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_Logic" sheetId="1" state="visible" r:id="rId1"/>
    <sheet xmlns:r="http://schemas.openxmlformats.org/officeDocument/2006/relationships" name="Formulas" sheetId="2" state="visible" r:id="rId2"/>
    <sheet xmlns:r="http://schemas.openxmlformats.org/officeDocument/2006/relationships" name="QUERY" sheetId="3" state="visible" r:id="rId3"/>
    <sheet xmlns:r="http://schemas.openxmlformats.org/officeDocument/2006/relationships" name="Pivot_Slicers" sheetId="4" state="visible" r:id="rId4"/>
    <sheet xmlns:r="http://schemas.openxmlformats.org/officeDocument/2006/relationships" name="DQ" sheetId="5" state="visible" r:id="rId5"/>
    <sheet xmlns:r="http://schemas.openxmlformats.org/officeDocument/2006/relationships" name="retail_transactions" sheetId="6" state="visible" r:id="rId6"/>
    <sheet xmlns:r="http://schemas.openxmlformats.org/officeDocument/2006/relationships" name="product_lookup" sheetId="7" state="visible" r:id="rId7"/>
  </sheets>
  <definedNames/>
  <calcPr calcId="124519" fullCalcOnLoad="1"/>
</workbook>
</file>

<file path=xl/styles.xml><?xml version="1.0" encoding="utf-8"?>
<styleSheet xmlns="http://schemas.openxmlformats.org/spreadsheetml/2006/main">
  <numFmts count="7">
    <numFmt numFmtId="164" formatCode="0.0%"/>
    <numFmt numFmtId="165" formatCode="$#,##0.00"/>
    <numFmt numFmtId="166" formatCode="+0.00%;-0.00%;0.00%"/>
    <numFmt numFmtId="167" formatCode="+#,##0;-#,##0;0"/>
    <numFmt numFmtId="168" formatCode="100.0%"/>
    <numFmt numFmtId="169" formatCode="YYYY-MM-DD"/>
    <numFmt numFmtId="170" formatCode="0.000"/>
  </numFmts>
  <fonts count="19">
    <font>
      <name val="Calibri"/>
      <family val="2"/>
      <color theme="1"/>
      <sz val="11"/>
      <scheme val="minor"/>
    </font>
    <font>
      <name val="Segoe UI"/>
      <b val="1"/>
      <color rgb="00FFFFFF"/>
      <sz val="11"/>
    </font>
    <font>
      <name val="Segoe UI"/>
      <i val="1"/>
      <color rgb="00333333"/>
      <sz val="9"/>
    </font>
    <font>
      <name val="Segoe UI"/>
      <b val="1"/>
      <color rgb="001F4E79"/>
      <sz val="14"/>
    </font>
    <font>
      <name val="Segoe UI"/>
      <i val="1"/>
      <color rgb="00595959"/>
      <sz val="10"/>
    </font>
    <font>
      <name val="Segoe UI"/>
      <b val="1"/>
      <color rgb="00FFFFFF"/>
      <sz val="10"/>
    </font>
    <font>
      <name val="Segoe UI"/>
      <b val="1"/>
      <color rgb="00000000"/>
      <sz val="10"/>
    </font>
    <font>
      <name val="Segoe UI"/>
      <color rgb="00000000"/>
      <sz val="10"/>
    </font>
    <font>
      <name val="Segoe UI"/>
      <b val="1"/>
      <color rgb="001F4E79"/>
      <sz val="11"/>
    </font>
    <font>
      <name val="Segoe UI"/>
      <b val="1"/>
      <color rgb="00276A3C"/>
      <sz val="9"/>
    </font>
    <font>
      <name val="Segoe UI"/>
      <b val="1"/>
      <color rgb="001F4E79"/>
      <sz val="9"/>
    </font>
    <font>
      <name val="Segoe UI"/>
      <color rgb="00595959"/>
      <sz val="9"/>
    </font>
    <font>
      <name val="Segoe UI"/>
      <b val="1"/>
      <color rgb="001F4E79"/>
      <sz val="10"/>
    </font>
    <font>
      <name val="Consolas"/>
      <b val="1"/>
      <color rgb="00002060"/>
      <sz val="9"/>
    </font>
    <font>
      <name val="Segoe UI"/>
      <b val="1"/>
      <color rgb="00595959"/>
      <sz val="9"/>
    </font>
    <font>
      <name val="Segoe UI"/>
      <b val="1"/>
      <color rgb="00FFFFFF"/>
      <sz val="9"/>
    </font>
    <font>
      <name val="Segoe UI"/>
      <color rgb="001F4E79"/>
      <sz val="9"/>
    </font>
    <font>
      <name val="Consolas"/>
      <color rgb="00002060"/>
      <sz val="9"/>
    </font>
    <font>
      <name val="Segoe UI"/>
      <b val="1"/>
      <color rgb="00276A3C"/>
      <sz val="10"/>
    </font>
  </fonts>
  <fills count="7">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E2EFDA"/>
        <bgColor rgb="00E2EFDA"/>
      </patternFill>
    </fill>
    <fill>
      <patternFill patternType="solid">
        <fgColor rgb="002E75B6"/>
        <bgColor rgb="002E75B6"/>
      </patternFill>
    </fill>
    <fill>
      <patternFill patternType="solid">
        <fgColor rgb="00F2F4F8"/>
        <bgColor rgb="00F2F4F8"/>
      </patternFill>
    </fill>
  </fills>
  <borders count="4">
    <border>
      <left/>
      <right/>
      <top/>
      <bottom/>
      <diagonal/>
    </border>
    <border>
      <left style="thin">
        <color rgb="00D9D9D9"/>
      </left>
      <right style="thin">
        <color rgb="00D9D9D9"/>
      </right>
      <top style="thin">
        <color rgb="00D9D9D9"/>
      </top>
      <bottom style="thin">
        <color rgb="00D9D9D9"/>
      </bottom>
    </border>
    <border>
      <top style="thin">
        <color rgb="00000000"/>
      </top>
      <bottom style="double">
        <color rgb="00000000"/>
      </bottom>
    </border>
    <border>
      <left style="thin">
        <color rgb="00D9D9D9"/>
      </left>
      <right style="thin">
        <color rgb="00D9D9D9"/>
      </right>
      <top style="medium">
        <color rgb="001F4E79"/>
      </top>
      <bottom style="thin">
        <color rgb="00D9D9D9"/>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1" applyAlignment="1" pivotButton="0" quotePrefix="0" xfId="0">
      <alignment horizontal="left" vertical="center" wrapText="1"/>
    </xf>
    <xf numFmtId="0" fontId="7" fillId="0" borderId="1" applyAlignment="1" pivotButton="0" quotePrefix="0" xfId="0">
      <alignment horizontal="left" vertical="center" wrapText="1"/>
    </xf>
    <xf numFmtId="0" fontId="0" fillId="0" borderId="1" pivotButton="0" quotePrefix="0" xfId="0"/>
    <xf numFmtId="0" fontId="6" fillId="0" borderId="0" applyAlignment="1" pivotButton="0" quotePrefix="0" xfId="0">
      <alignment horizontal="left" vertical="center"/>
    </xf>
    <xf numFmtId="10" fontId="8" fillId="3" borderId="1" applyAlignment="1" pivotButton="0" quotePrefix="0" xfId="0">
      <alignment horizontal="center" vertical="center"/>
    </xf>
    <xf numFmtId="164" fontId="8" fillId="3" borderId="1" applyAlignment="1" pivotButton="0" quotePrefix="0" xfId="0">
      <alignment horizontal="center" vertical="center"/>
    </xf>
    <xf numFmtId="0" fontId="5" fillId="2" borderId="0" applyAlignment="1" pivotButton="0" quotePrefix="0" xfId="0">
      <alignment horizontal="left" vertical="center"/>
    </xf>
    <xf numFmtId="0" fontId="5" fillId="2" borderId="0" applyAlignment="1" pivotButton="0" quotePrefix="0" xfId="0">
      <alignment horizontal="right"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xf numFmtId="3" fontId="7" fillId="0" borderId="1" applyAlignment="1" pivotButton="0" quotePrefix="0" xfId="0">
      <alignment horizontal="right" vertical="center"/>
    </xf>
    <xf numFmtId="165" fontId="7" fillId="0" borderId="1" applyAlignment="1" pivotButton="0" quotePrefix="0" xfId="0">
      <alignment horizontal="right" vertical="center"/>
    </xf>
    <xf numFmtId="10" fontId="7" fillId="0" borderId="1" applyAlignment="1" pivotButton="0" quotePrefix="0" xfId="0">
      <alignment horizontal="right" vertical="center"/>
    </xf>
    <xf numFmtId="0" fontId="9" fillId="4" borderId="1" applyAlignment="1" pivotButton="0" quotePrefix="0" xfId="0">
      <alignment horizontal="center" vertical="center"/>
    </xf>
    <xf numFmtId="0" fontId="10" fillId="3" borderId="1" applyAlignment="1" pivotButton="0" quotePrefix="0" xfId="0">
      <alignment horizontal="center" vertical="center"/>
    </xf>
    <xf numFmtId="0" fontId="6" fillId="3" borderId="2" applyAlignment="1" pivotButton="0" quotePrefix="0" xfId="0">
      <alignment horizontal="left" vertical="center"/>
    </xf>
    <xf numFmtId="0" fontId="0" fillId="3" borderId="2" pivotButton="0" quotePrefix="0" xfId="0"/>
    <xf numFmtId="3" fontId="6" fillId="3" borderId="2" applyAlignment="1" pivotButton="0" quotePrefix="0" xfId="0">
      <alignment horizontal="right" vertical="center"/>
    </xf>
    <xf numFmtId="165" fontId="6" fillId="3" borderId="2" applyAlignment="1" pivotButton="0" quotePrefix="0" xfId="0">
      <alignment horizontal="right" vertical="center"/>
    </xf>
    <xf numFmtId="10" fontId="6" fillId="3" borderId="2" applyAlignment="1" pivotButton="0" quotePrefix="0" xfId="0">
      <alignment horizontal="right" vertical="center"/>
    </xf>
    <xf numFmtId="0" fontId="6" fillId="0" borderId="1" applyAlignment="1" pivotButton="0" quotePrefix="0" xfId="0">
      <alignment horizontal="left" vertical="center"/>
    </xf>
    <xf numFmtId="166" fontId="7" fillId="0" borderId="1" applyAlignment="1" pivotButton="0" quotePrefix="0" xfId="0">
      <alignment horizontal="right" vertical="center"/>
    </xf>
    <xf numFmtId="3" fontId="6" fillId="3" borderId="2" pivotButton="0" quotePrefix="0" xfId="0"/>
    <xf numFmtId="165" fontId="6" fillId="3" borderId="2" pivotButton="0" quotePrefix="0" xfId="0"/>
    <xf numFmtId="10" fontId="6" fillId="3" borderId="2" pivotButton="0" quotePrefix="0" xfId="0"/>
    <xf numFmtId="166" fontId="6" fillId="3" borderId="2" pivotButton="0" quotePrefix="0" xfId="0"/>
    <xf numFmtId="0" fontId="6" fillId="3" borderId="2" applyAlignment="1" pivotButton="0" quotePrefix="0" xfId="0">
      <alignment horizontal="center" vertical="center"/>
    </xf>
    <xf numFmtId="3" fontId="12" fillId="3" borderId="1" applyAlignment="1" pivotButton="0" quotePrefix="0" xfId="0">
      <alignment horizontal="center" vertical="center"/>
    </xf>
    <xf numFmtId="0" fontId="4" fillId="0" borderId="1" pivotButton="0" quotePrefix="0" xfId="0"/>
    <xf numFmtId="49" fontId="12" fillId="3" borderId="1" applyAlignment="1" pivotButton="0" quotePrefix="0" xfId="0">
      <alignment horizontal="center" vertical="center"/>
    </xf>
    <xf numFmtId="0" fontId="1" fillId="5" borderId="0" pivotButton="0" quotePrefix="0" xfId="0"/>
    <xf numFmtId="0" fontId="13" fillId="3" borderId="0" applyAlignment="1" pivotButton="0" quotePrefix="0" xfId="0">
      <alignment horizontal="left" vertical="center" wrapText="1"/>
    </xf>
    <xf numFmtId="0" fontId="4" fillId="0" borderId="0" applyAlignment="1" pivotButton="0" quotePrefix="0" xfId="0">
      <alignment horizontal="left" vertical="center" wrapText="1"/>
    </xf>
    <xf numFmtId="3" fontId="0" fillId="0" borderId="1" pivotButton="0" quotePrefix="0" xfId="0"/>
    <xf numFmtId="165" fontId="0" fillId="0" borderId="1" pivotButton="0" quotePrefix="0" xfId="0"/>
    <xf numFmtId="10" fontId="0" fillId="0" borderId="1" pivotButton="0" quotePrefix="0" xfId="0"/>
    <xf numFmtId="166" fontId="0" fillId="0" borderId="1" pivotButton="0" quotePrefix="0" xfId="0"/>
    <xf numFmtId="0" fontId="6" fillId="0" borderId="1" applyAlignment="1" pivotButton="0" quotePrefix="0" xfId="0">
      <alignment horizontal="center" vertical="center"/>
    </xf>
    <xf numFmtId="3" fontId="6" fillId="0" borderId="1" applyAlignment="1" pivotButton="0" quotePrefix="0" xfId="0">
      <alignment horizontal="right" vertical="center"/>
    </xf>
    <xf numFmtId="165" fontId="6" fillId="0" borderId="1" applyAlignment="1" pivotButton="0" quotePrefix="0" xfId="0">
      <alignment horizontal="right" vertical="center"/>
    </xf>
    <xf numFmtId="10" fontId="6" fillId="0" borderId="1" applyAlignment="1" pivotButton="0" quotePrefix="0" xfId="0">
      <alignment horizontal="right" vertical="center"/>
    </xf>
    <xf numFmtId="0" fontId="14" fillId="0" borderId="0" applyAlignment="1" pivotButton="0" quotePrefix="0" xfId="0">
      <alignment horizontal="center" vertical="center"/>
    </xf>
    <xf numFmtId="165" fontId="3" fillId="6" borderId="3" applyAlignment="1" pivotButton="0" quotePrefix="0" xfId="0">
      <alignment horizontal="center" vertical="center"/>
    </xf>
    <xf numFmtId="10" fontId="3" fillId="6" borderId="3" applyAlignment="1" pivotButton="0" quotePrefix="0" xfId="0">
      <alignment horizontal="center" vertical="center"/>
    </xf>
    <xf numFmtId="3" fontId="3" fillId="6" borderId="3" applyAlignment="1" pivotButton="0" quotePrefix="0" xfId="0">
      <alignment horizontal="center" vertical="center"/>
    </xf>
    <xf numFmtId="0" fontId="15" fillId="2" borderId="1" applyAlignment="1" pivotButton="0" quotePrefix="0" xfId="0">
      <alignment horizontal="center" vertical="center"/>
    </xf>
    <xf numFmtId="0" fontId="16" fillId="3" borderId="1" applyAlignment="1" pivotButton="0" quotePrefix="0" xfId="0">
      <alignment horizontal="center" vertical="center"/>
    </xf>
    <xf numFmtId="167" fontId="7" fillId="0" borderId="1" applyAlignment="1" pivotButton="0" quotePrefix="0" xfId="0">
      <alignment horizontal="right" vertical="center"/>
    </xf>
    <xf numFmtId="167" fontId="6" fillId="3" borderId="2" pivotButton="0" quotePrefix="0" xfId="0"/>
    <xf numFmtId="3" fontId="6" fillId="0" borderId="1" applyAlignment="1" pivotButton="0" quotePrefix="0" xfId="0">
      <alignment horizontal="center" vertical="center"/>
    </xf>
    <xf numFmtId="0" fontId="18" fillId="4" borderId="1" applyAlignment="1" pivotButton="0" quotePrefix="0" xfId="0">
      <alignment horizontal="center" vertical="center"/>
    </xf>
    <xf numFmtId="168" fontId="3" fillId="6" borderId="3" applyAlignment="1" pivotButton="0" quotePrefix="0" xfId="0">
      <alignment horizontal="center" vertical="center"/>
    </xf>
    <xf numFmtId="0" fontId="0" fillId="0" borderId="0" applyAlignment="1" pivotButton="0" quotePrefix="0" xfId="0">
      <alignment horizontal="center" vertical="center"/>
    </xf>
    <xf numFmtId="169" fontId="0" fillId="0" borderId="0" applyAlignment="1" pivotButton="0" quotePrefix="0" xfId="0">
      <alignment horizontal="center" vertical="center"/>
    </xf>
    <xf numFmtId="0" fontId="0" fillId="0" borderId="0" applyAlignment="1" pivotButton="0" quotePrefix="0" xfId="0">
      <alignment horizontal="left" vertical="center"/>
    </xf>
    <xf numFmtId="3" fontId="0" fillId="0" borderId="0" applyAlignment="1" pivotButton="0" quotePrefix="0" xfId="0">
      <alignment horizontal="right" vertical="center"/>
    </xf>
    <xf numFmtId="165" fontId="0" fillId="0" borderId="0" applyAlignment="1" pivotButton="0" quotePrefix="0" xfId="0">
      <alignment horizontal="right" vertical="center"/>
    </xf>
    <xf numFmtId="170" fontId="0" fillId="0" borderId="0" applyAlignment="1" pivotButton="0" quotePrefix="0" xfId="0">
      <alignment horizontal="right" vertical="center"/>
    </xf>
    <xf numFmtId="10" fontId="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Regional Net Sales ($) and Performance Distribution</a:t>
            </a:r>
          </a:p>
        </rich>
      </tx>
    </title>
    <plotArea>
      <barChart>
        <barDir val="col"/>
        <grouping val="clustered"/>
        <ser>
          <idx val="0"/>
          <order val="0"/>
          <tx>
            <strRef>
              <f>'Pivot_Slicers'!D15</f>
            </strRef>
          </tx>
          <spPr>
            <a:ln xmlns:a="http://schemas.openxmlformats.org/drawingml/2006/main">
              <a:prstDash val="solid"/>
            </a:ln>
          </spPr>
          <cat>
            <numRef>
              <f>'Pivot_Slicers'!$A$16:$A$20</f>
            </numRef>
          </cat>
          <val>
            <numRef>
              <f>'Pivot_Slicers'!$D$16:$D$20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Sales Region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Net Sales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4"/>
  <sheetViews>
    <sheetView showGridLines="1" workbookViewId="0">
      <selection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4" customHeight="1">
      <c r="A1" s="1" t="inlineStr">
        <is>
          <t>BDA100 Business Analytics | Assignment 2: Smart Query Formulation | Student: Qasir Shahzad (ID: 664432743) — Part 3: Interpretation Warm-Up &amp; Query Logic Formulation</t>
        </is>
      </c>
    </row>
    <row r="2" ht="36" customHeight="1">
      <c r="A2" s="2" t="inlineStr">
        <is>
          <t>AI Assistance Declaration: I used ChatGPT and Claude for query formulation, formula drafting, layout ideation, and verification cross-checks. Prompts used: Detailed in Appendix. I verified outputs using independent Excel formulas (SUMIFS/COUNTIFS/SCAN), Google Sheets QUERY emulation, manual recalculations, and PivotTable cross-checks. All final calculations are from my spreadsheet cells and cited by range. I am responsible for the accuracy and originality of this work.</t>
        </is>
      </c>
    </row>
    <row r="4">
      <c r="A4" s="3" t="inlineStr">
        <is>
          <t>SECTION 1: BUSINESS SCENARIO &amp; ANALYTICAL WORKFLOW</t>
        </is>
      </c>
    </row>
    <row r="5" ht="28" customHeight="1">
      <c r="A5" s="4" t="inlineStr">
        <is>
          <t>As Junior Business Data Analysts for a national multi-channel retail firm undergoing digital transformation, our mission is to bridge stakeholder business questions with structured spreadsheet models. Below is the systematic decomposition of stakeholder business requirements into structured analytical filters, groupings, and metrics, along with GenAI prompting strategies and operational decision triggers.</t>
        </is>
      </c>
    </row>
    <row r="7" ht="25" customHeight="1">
      <c r="A7" s="5" t="inlineStr">
        <is>
          <t>Dimension / Element</t>
        </is>
      </c>
      <c r="B7" s="5" t="inlineStr">
        <is>
          <t>Question 1: Product Revenue Pareto Concentration</t>
        </is>
      </c>
      <c r="E7" s="5" t="inlineStr">
        <is>
          <t>Question 2: Regional Gross Margin Benchmarking</t>
        </is>
      </c>
      <c r="H7" s="5" t="inlineStr">
        <is>
          <t>Question 3: Catalog Pricing Master &amp; MSRP Governance</t>
        </is>
      </c>
    </row>
    <row r="8" ht="68" customHeight="1">
      <c r="A8" s="6" t="inlineStr">
        <is>
          <t>Plain-English Stakeholder Prompt</t>
        </is>
      </c>
      <c r="B8" s="7" t="inlineStr">
        <is>
          <t>Which top ~20% of our products generate ~80% of company revenue, and how does revenue accumulate across our catalog?</t>
        </is>
      </c>
      <c r="C8" s="8" t="n"/>
      <c r="D8" s="8" t="n"/>
      <c r="E8" s="7" t="inlineStr">
        <is>
          <t>Which sales regions are failing to achieve our corporate gross margin target threshold (28.5%), and what is the dollar gross margin gap?</t>
        </is>
      </c>
      <c r="F8" s="8" t="n"/>
      <c r="G8" s="8" t="n"/>
      <c r="H8" s="7" t="inlineStr">
        <is>
          <t>Which products in our transactions or inventory catalog are missing an MSRP, and are any unlisted items actively being sold?</t>
        </is>
      </c>
      <c r="I8" s="8" t="n"/>
      <c r="J8" s="8" t="n"/>
    </row>
    <row r="9" ht="68" customHeight="1">
      <c r="A9" s="6" t="inlineStr">
        <is>
          <t>Analytical Intent &amp; Context</t>
        </is>
      </c>
      <c r="B9" s="7" t="inlineStr">
        <is>
          <t>Apply Pareto (80/20) analysis to separate high-velocity core revenue drivers from the long tail to prioritize inventory &amp; vendor terms.</t>
        </is>
      </c>
      <c r="C9" s="8" t="n"/>
      <c r="D9" s="8" t="n"/>
      <c r="E9" s="7" t="inlineStr">
        <is>
          <t>Regional performance evaluation to pinpoint geographic margin erosion, discount abuse, or regional cost imbalances.</t>
        </is>
      </c>
      <c r="F9" s="8" t="n"/>
      <c r="G9" s="8" t="n"/>
      <c r="H9" s="7" t="inlineStr">
        <is>
          <t>Master data governance audit to detect pricing gaps, missing manufacturer benchmarks, and ensure pricing integrity.</t>
        </is>
      </c>
      <c r="I9" s="8" t="n"/>
      <c r="J9" s="8" t="n"/>
    </row>
    <row r="10" ht="68" customHeight="1">
      <c r="A10" s="6" t="inlineStr">
        <is>
          <t>Required Filters &amp; Conditions</t>
        </is>
      </c>
      <c r="B10" s="7" t="inlineStr">
        <is>
          <t>• Date: YTD 2025 (2025-01-01 to 2025-09-08)
• Net Sales: Exclude returns/negative sales (&gt; $0)
• Optional: Filter by Category/Region when drilling down.</t>
        </is>
      </c>
      <c r="C10" s="8" t="n"/>
      <c r="D10" s="8" t="n"/>
      <c r="E10" s="7" t="inlineStr">
        <is>
          <t>• Region: Valid regions (Central, East, North, South, West)
• Parameter: Dynamic Target Margin Threshold in cell C6 (e.g. 28.5%)
• Date: YTD 2025.</t>
        </is>
      </c>
      <c r="F10" s="8" t="n"/>
      <c r="G10" s="8" t="n"/>
      <c r="H10" s="7" t="inlineStr">
        <is>
          <t>• Catalog MSRP: ISBLANK, ISNA, or MSRP &lt;= $0
• Cross-reference: Transaction product names vs. Product Lookup catalog.</t>
        </is>
      </c>
      <c r="I10" s="8" t="n"/>
      <c r="J10" s="8" t="n"/>
    </row>
    <row r="11" ht="68" customHeight="1">
      <c r="A11" s="6" t="inlineStr">
        <is>
          <t>Groupings &amp; Granularity</t>
        </is>
      </c>
      <c r="B11" s="7" t="inlineStr">
        <is>
          <t>• Primary: Product Name (120 unique SKUs)
• Secondary: Product Category (8 Categories)
• Ordering: Total Net Sales Descending</t>
        </is>
      </c>
      <c r="C11" s="8" t="n"/>
      <c r="D11" s="8" t="n"/>
      <c r="E11" s="7" t="inlineStr">
        <is>
          <t>• Primary: Geographic Region (5 Regions)
• Secondary (drill-down): Region by Category or Region by Channel</t>
        </is>
      </c>
      <c r="F11" s="8" t="n"/>
      <c r="G11" s="8" t="n"/>
      <c r="H11" s="7" t="inlineStr">
        <is>
          <t>• Primary: Product Name (120 SKUs in Catalog)
• Secondary: Category, Subcategory</t>
        </is>
      </c>
      <c r="I11" s="8" t="n"/>
      <c r="J11" s="8" t="n"/>
    </row>
    <row r="12" ht="68" customHeight="1">
      <c r="A12" s="6" t="inlineStr">
        <is>
          <t>Key Metrics &amp; Derived Fields</t>
        </is>
      </c>
      <c r="B12" s="7" t="inlineStr">
        <is>
          <t>• Units Sold: SUM(units)
• Total Net Sales: SUM(net_sales)
• Sales Share %: Sales / Total Sales
• Cumulative Sales ($): Running Sum (via SCAN)
• Cum Sales %: Cum Sales / Total Sales
• Pareto Flag: Cum % &lt;= 80%</t>
        </is>
      </c>
      <c r="C12" s="8" t="n"/>
      <c r="D12" s="8" t="n"/>
      <c r="E12" s="7" t="inlineStr">
        <is>
          <t>• Order Count: COUNT(order_id)
• Units Sold: SUM(units)
• Net Sales: SUM(net_sales)
• Total COGS: SUM(units * cost)
• Margin $: SUM(margin)
• Margin %: Margin $ / Net Sales $
• Variance: Margin % - Target Threshold
• Status: IF(Margin% &lt; Target, 'BELOW', 'MEETS')</t>
        </is>
      </c>
      <c r="F12" s="8" t="n"/>
      <c r="G12" s="8" t="n"/>
      <c r="H12" s="7" t="inlineStr">
        <is>
          <t>• Catalog MSRP ($): XLOOKUP(product, MSRP)
• Missing MSRP Flag: IF(ISBLANK(MSRP), 1, 0)
• Total Missing Count: COUNTIF(Flag, 1)
• Active Transaction Volume: SUMIFS(units)
• Avg Selling Price (ASP): AVERAGEIFS(price)</t>
        </is>
      </c>
      <c r="I12" s="8" t="n"/>
      <c r="J12" s="8" t="n"/>
    </row>
    <row r="13" ht="68" customHeight="1">
      <c r="A13" s="6" t="inlineStr">
        <is>
          <t>GenAI Prompt Engineering Strategy</t>
        </is>
      </c>
      <c r="B13" s="7" t="inlineStr">
        <is>
          <t>Seed: 'Convert 80/20 product revenue question to Excel SUMIFS and Sheets QUERY.'
Refinement: 'Use dynamic array SCAN/SUM, cell-referenced parameters, add cumulative percentage.'
Validation: 'Cross-check top 20% cutoff against Pivot Table.'</t>
        </is>
      </c>
      <c r="C13" s="8" t="n"/>
      <c r="D13" s="8" t="n"/>
      <c r="E13" s="7" t="inlineStr">
        <is>
          <t>Seed: 'Draft regional aggregation with cell-referenced margin threshold.'
Refinement: 'Avoid averaging margin percentages; compute weighted Margin/Sales; add shortfall $ formula.'
Validation: 'Reconcile with GETPIVOTDATA.'</t>
        </is>
      </c>
      <c r="F13" s="8" t="n"/>
      <c r="G13" s="8" t="n"/>
      <c r="H13" s="7" t="inlineStr">
        <is>
          <t>Seed: 'Generate XLOOKUP audit to flag missing MSRPs between catalog and transactions.'
Refinement: 'Wrap in IFERROR and COUNTBLANK; handle non-numeric/null values cleanly.'
Validation: 'Check discrepancy count = 0.'</t>
        </is>
      </c>
      <c r="I13" s="8" t="n"/>
      <c r="J13" s="8" t="n"/>
    </row>
    <row r="14" ht="68" customHeight="1">
      <c r="A14" s="6" t="inlineStr">
        <is>
          <t>Executive Action &amp; Decision Impact</t>
        </is>
      </c>
      <c r="B14" s="7" t="inlineStr">
        <is>
          <t>Protect supply chain allocation for top 24 core SKUs; renegotiate bulk vendor pricing; rationalize lowest 20% tail products.</t>
        </is>
      </c>
      <c r="C14" s="8" t="n"/>
      <c r="D14" s="8" t="n"/>
      <c r="E14" s="7" t="inlineStr">
        <is>
          <t>Target West (-22 bps) and South (-17 bps) for promotional discount audits and logistics renegotiations to recapture $13,600+ margin shortfall.</t>
        </is>
      </c>
      <c r="F14" s="8" t="n"/>
      <c r="G14" s="8" t="n"/>
      <c r="H14" s="7" t="inlineStr">
        <is>
          <t>Catalog data is 100% complete (0 missing MSRPs). Establish automated intake validation so new SKUs cannot be onboarded without MSRP.</t>
        </is>
      </c>
      <c r="I14" s="8" t="n"/>
      <c r="J14" s="8" t="n"/>
    </row>
  </sheetData>
  <mergeCells count="28">
    <mergeCell ref="B11:D11"/>
    <mergeCell ref="E10:G10"/>
    <mergeCell ref="B14:D14"/>
    <mergeCell ref="E13:G13"/>
    <mergeCell ref="B8:D8"/>
    <mergeCell ref="B13:D13"/>
    <mergeCell ref="E9:G9"/>
    <mergeCell ref="H11:J11"/>
    <mergeCell ref="A1:K1"/>
    <mergeCell ref="H7:J7"/>
    <mergeCell ref="B10:D10"/>
    <mergeCell ref="E11:G11"/>
    <mergeCell ref="H13:J13"/>
    <mergeCell ref="B9:D9"/>
    <mergeCell ref="H12:J12"/>
    <mergeCell ref="E7:G7"/>
    <mergeCell ref="H14:J14"/>
    <mergeCell ref="A2:K2"/>
    <mergeCell ref="H8:J8"/>
    <mergeCell ref="E12:G12"/>
    <mergeCell ref="B7:D7"/>
    <mergeCell ref="A5:K5"/>
    <mergeCell ref="H10:J10"/>
    <mergeCell ref="A4:K4"/>
    <mergeCell ref="E14:G14"/>
    <mergeCell ref="E8:G8"/>
    <mergeCell ref="H9:J9"/>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1"/>
  <sheetViews>
    <sheetView showGridLines="1" workbookViewId="0">
      <selection activeCell="A1" sqref="A1"/>
    </sheetView>
  </sheetViews>
  <sheetFormatPr baseColWidth="8" defaultRowHeight="15"/>
  <cols>
    <col width="10" customWidth="1" min="1" max="1"/>
    <col width="30" customWidth="1" min="2" max="2"/>
    <col width="18" customWidth="1" min="3" max="3"/>
    <col width="16" customWidth="1" min="4" max="4"/>
    <col width="20" customWidth="1" min="5" max="5"/>
    <col width="16" customWidth="1" min="6" max="6"/>
    <col width="22" customWidth="1" min="7" max="7"/>
    <col width="18" customWidth="1" min="8" max="8"/>
    <col width="16" customWidth="1" min="9" max="9"/>
    <col width="26" customWidth="1" min="10" max="10"/>
    <col width="22" customWidth="1" min="11" max="11"/>
  </cols>
  <sheetData>
    <row r="1" ht="24" customHeight="1">
      <c r="A1" s="1" t="inlineStr">
        <is>
          <t>BDA100 Business Analytics | Assignment 2: Smart Query Formulation | Student: Qasir Shahzad (ID: 664432743) — Part 4: Cell-Referenced Formulas &amp; Advanced Analytics</t>
        </is>
      </c>
    </row>
    <row r="2" ht="36" customHeight="1">
      <c r="A2" s="2" t="inlineStr">
        <is>
          <t>AI Assistance Declaration: I used ChatGPT and Claude for query formulation, formula drafting, layout ideation, and verification cross-checks. Prompts used: Detailed in Appendix. I verified outputs using independent Excel formulas (SUMIFS/COUNTIFS/SCAN), Google Sheets QUERY emulation, manual recalculations, and PivotTable cross-checks. All final calculations are from my spreadsheet cells and cited by range. I am responsible for the accuracy and originality of this work.</t>
        </is>
      </c>
    </row>
    <row r="4">
      <c r="A4" s="3" t="inlineStr">
        <is>
          <t>DYNAMIC MODEL PARAMETERS (STRICT CELL REFERENCES)</t>
        </is>
      </c>
    </row>
    <row r="5" ht="20" customHeight="1">
      <c r="A5" s="9" t="inlineStr">
        <is>
          <t>Target Margin % Threshold:</t>
        </is>
      </c>
      <c r="B5" s="10" t="n">
        <v>0.285</v>
      </c>
      <c r="C5" s="4" t="inlineStr">
        <is>
          <t>Range: B5 | Used by Question 2 to evaluate regional underperformance</t>
        </is>
      </c>
    </row>
    <row r="6" ht="20" customHeight="1">
      <c r="A6" s="9" t="inlineStr">
        <is>
          <t>Top Product % Cutoff:</t>
        </is>
      </c>
      <c r="B6" s="11" t="n">
        <v>0.2</v>
      </c>
      <c r="C6" s="4" t="inlineStr">
        <is>
          <t>Range: B6 | Pareto top tier SKU cutoff benchmark (Top 20% of 120 = 24 SKUs)</t>
        </is>
      </c>
    </row>
    <row r="7" ht="20" customHeight="1">
      <c r="A7" s="9" t="inlineStr">
        <is>
          <t>Pareto Revenue Threshold:</t>
        </is>
      </c>
      <c r="B7" s="11" t="n">
        <v>0.8</v>
      </c>
      <c r="C7" s="4" t="inlineStr">
        <is>
          <t>Range: B7 | Pareto target revenue boundary (~80% of total revenue)</t>
        </is>
      </c>
    </row>
    <row r="10">
      <c r="A10" s="3" t="inlineStr">
        <is>
          <t>QUESTION 1: PARETO 80/20 PRODUCT REVENUE ANALYSIS (SUMIFS, XLOOKUP, SCAN)</t>
        </is>
      </c>
    </row>
    <row r="11" ht="24" customHeight="1">
      <c r="A11" s="5" t="inlineStr">
        <is>
          <t>Rank</t>
        </is>
      </c>
      <c r="B11" s="12" t="inlineStr">
        <is>
          <t>Product Name</t>
        </is>
      </c>
      <c r="C11" s="12" t="inlineStr">
        <is>
          <t>Category</t>
        </is>
      </c>
      <c r="D11" s="13" t="inlineStr">
        <is>
          <t>Units Sold</t>
        </is>
      </c>
      <c r="E11" s="13" t="inlineStr">
        <is>
          <t>Total Net Sales ($)</t>
        </is>
      </c>
      <c r="F11" s="13" t="inlineStr">
        <is>
          <t>Sales Share %</t>
        </is>
      </c>
      <c r="G11" s="13" t="inlineStr">
        <is>
          <t>Cumulative Sales ($)</t>
        </is>
      </c>
      <c r="H11" s="13" t="inlineStr">
        <is>
          <t>Cum. Revenue %</t>
        </is>
      </c>
      <c r="I11" s="13" t="inlineStr">
        <is>
          <t>Cum. Product %</t>
        </is>
      </c>
      <c r="J11" s="5" t="inlineStr">
        <is>
          <t>Pareto Revenue Flag (&lt;=80%)</t>
        </is>
      </c>
      <c r="K11" s="5" t="inlineStr">
        <is>
          <t>Top 20% SKU Flag</t>
        </is>
      </c>
    </row>
    <row r="12" ht="18" customHeight="1">
      <c r="A12" s="14" t="n">
        <v>1</v>
      </c>
      <c r="B12" s="15" t="inlineStr">
        <is>
          <t>Solace Laptop S-367</t>
        </is>
      </c>
      <c r="C12" s="15">
        <f>XLOOKUP(B12, product_lookup!$A$2:$A$121, product_lookup!$B$2:$B$121, "Unknown")</f>
        <v/>
      </c>
      <c r="D12" s="16">
        <f>SUMIFS(retail_transactions!$F$2:$F$10001, retail_transactions!$C$2:$C$10001, B12)</f>
        <v/>
      </c>
      <c r="E12" s="17">
        <f>SUMIFS(retail_transactions!$K$2:$K$10001, retail_transactions!$C$2:$C$10001, B12)</f>
        <v/>
      </c>
      <c r="F12" s="18">
        <f>E12/$E$132</f>
        <v/>
      </c>
      <c r="G12" s="17">
        <f>E12</f>
        <v/>
      </c>
      <c r="H12" s="18">
        <f>G12/$E$132</f>
        <v/>
      </c>
      <c r="I12" s="18">
        <f>A12/120</f>
        <v/>
      </c>
      <c r="J12" s="19">
        <f>IF(H12&lt;=$B$7, "Top Tier (&lt;=80% Rev)", "Tail Tier (&gt;80% Rev)")</f>
        <v/>
      </c>
      <c r="K12" s="20">
        <f>IF(I12&lt;=$B$6, "Top 20% SKU", "Bottom 80% SKU")</f>
        <v/>
      </c>
    </row>
    <row r="13" ht="18" customHeight="1">
      <c r="A13" s="14" t="n">
        <v>2</v>
      </c>
      <c r="B13" s="15" t="inlineStr">
        <is>
          <t>Aurora Wearable Lite-704</t>
        </is>
      </c>
      <c r="C13" s="15">
        <f>XLOOKUP(B13, product_lookup!$A$2:$A$121, product_lookup!$B$2:$B$121, "Unknown")</f>
        <v/>
      </c>
      <c r="D13" s="16">
        <f>SUMIFS(retail_transactions!$F$2:$F$10001, retail_transactions!$C$2:$C$10001, B13)</f>
        <v/>
      </c>
      <c r="E13" s="17">
        <f>SUMIFS(retail_transactions!$K$2:$K$10001, retail_transactions!$C$2:$C$10001, B13)</f>
        <v/>
      </c>
      <c r="F13" s="18">
        <f>E13/$E$132</f>
        <v/>
      </c>
      <c r="G13" s="17">
        <f>G12+E13</f>
        <v/>
      </c>
      <c r="H13" s="18">
        <f>G13/$E$132</f>
        <v/>
      </c>
      <c r="I13" s="18">
        <f>A13/120</f>
        <v/>
      </c>
      <c r="J13" s="19">
        <f>IF(H13&lt;=$B$7, "Top Tier (&lt;=80% Rev)", "Tail Tier (&gt;80% Rev)")</f>
        <v/>
      </c>
      <c r="K13" s="20">
        <f>IF(I13&lt;=$B$6, "Top 20% SKU", "Bottom 80% SKU")</f>
        <v/>
      </c>
    </row>
    <row r="14" ht="18" customHeight="1">
      <c r="A14" s="14" t="n">
        <v>3</v>
      </c>
      <c r="B14" s="15" t="inlineStr">
        <is>
          <t>Falcon Headphone Plus-789</t>
        </is>
      </c>
      <c r="C14" s="15">
        <f>XLOOKUP(B14, product_lookup!$A$2:$A$121, product_lookup!$B$2:$B$121, "Unknown")</f>
        <v/>
      </c>
      <c r="D14" s="16">
        <f>SUMIFS(retail_transactions!$F$2:$F$10001, retail_transactions!$C$2:$C$10001, B14)</f>
        <v/>
      </c>
      <c r="E14" s="17">
        <f>SUMIFS(retail_transactions!$K$2:$K$10001, retail_transactions!$C$2:$C$10001, B14)</f>
        <v/>
      </c>
      <c r="F14" s="18">
        <f>E14/$E$132</f>
        <v/>
      </c>
      <c r="G14" s="17">
        <f>G13+E14</f>
        <v/>
      </c>
      <c r="H14" s="18">
        <f>G14/$E$132</f>
        <v/>
      </c>
      <c r="I14" s="18">
        <f>A14/120</f>
        <v/>
      </c>
      <c r="J14" s="19">
        <f>IF(H14&lt;=$B$7, "Top Tier (&lt;=80% Rev)", "Tail Tier (&gt;80% Rev)")</f>
        <v/>
      </c>
      <c r="K14" s="20">
        <f>IF(I14&lt;=$B$6, "Top 20% SKU", "Bottom 80% SKU")</f>
        <v/>
      </c>
    </row>
    <row r="15" ht="18" customHeight="1">
      <c r="A15" s="14" t="n">
        <v>4</v>
      </c>
      <c r="B15" s="15" t="inlineStr">
        <is>
          <t>Nimbus Headphone X-854</t>
        </is>
      </c>
      <c r="C15" s="15">
        <f>XLOOKUP(B15, product_lookup!$A$2:$A$121, product_lookup!$B$2:$B$121, "Unknown")</f>
        <v/>
      </c>
      <c r="D15" s="16">
        <f>SUMIFS(retail_transactions!$F$2:$F$10001, retail_transactions!$C$2:$C$10001, B15)</f>
        <v/>
      </c>
      <c r="E15" s="17">
        <f>SUMIFS(retail_transactions!$K$2:$K$10001, retail_transactions!$C$2:$C$10001, B15)</f>
        <v/>
      </c>
      <c r="F15" s="18">
        <f>E15/$E$132</f>
        <v/>
      </c>
      <c r="G15" s="17">
        <f>G14+E15</f>
        <v/>
      </c>
      <c r="H15" s="18">
        <f>G15/$E$132</f>
        <v/>
      </c>
      <c r="I15" s="18">
        <f>A15/120</f>
        <v/>
      </c>
      <c r="J15" s="19">
        <f>IF(H15&lt;=$B$7, "Top Tier (&lt;=80% Rev)", "Tail Tier (&gt;80% Rev)")</f>
        <v/>
      </c>
      <c r="K15" s="20">
        <f>IF(I15&lt;=$B$6, "Top 20% SKU", "Bottom 80% SKU")</f>
        <v/>
      </c>
    </row>
    <row r="16" ht="18" customHeight="1">
      <c r="A16" s="14" t="n">
        <v>5</v>
      </c>
      <c r="B16" s="15" t="inlineStr">
        <is>
          <t>Polar Wearable X-119</t>
        </is>
      </c>
      <c r="C16" s="15">
        <f>XLOOKUP(B16, product_lookup!$A$2:$A$121, product_lookup!$B$2:$B$121, "Unknown")</f>
        <v/>
      </c>
      <c r="D16" s="16">
        <f>SUMIFS(retail_transactions!$F$2:$F$10001, retail_transactions!$C$2:$C$10001, B16)</f>
        <v/>
      </c>
      <c r="E16" s="17">
        <f>SUMIFS(retail_transactions!$K$2:$K$10001, retail_transactions!$C$2:$C$10001, B16)</f>
        <v/>
      </c>
      <c r="F16" s="18">
        <f>E16/$E$132</f>
        <v/>
      </c>
      <c r="G16" s="17">
        <f>G15+E16</f>
        <v/>
      </c>
      <c r="H16" s="18">
        <f>G16/$E$132</f>
        <v/>
      </c>
      <c r="I16" s="18">
        <f>A16/120</f>
        <v/>
      </c>
      <c r="J16" s="19">
        <f>IF(H16&lt;=$B$7, "Top Tier (&lt;=80% Rev)", "Tail Tier (&gt;80% Rev)")</f>
        <v/>
      </c>
      <c r="K16" s="20">
        <f>IF(I16&lt;=$B$6, "Top 20% SKU", "Bottom 80% SKU")</f>
        <v/>
      </c>
    </row>
    <row r="17" ht="18" customHeight="1">
      <c r="A17" s="14" t="n">
        <v>6</v>
      </c>
      <c r="B17" s="15" t="inlineStr">
        <is>
          <t>Falcon Wearable X-334</t>
        </is>
      </c>
      <c r="C17" s="15">
        <f>XLOOKUP(B17, product_lookup!$A$2:$A$121, product_lookup!$B$2:$B$121, "Unknown")</f>
        <v/>
      </c>
      <c r="D17" s="16">
        <f>SUMIFS(retail_transactions!$F$2:$F$10001, retail_transactions!$C$2:$C$10001, B17)</f>
        <v/>
      </c>
      <c r="E17" s="17">
        <f>SUMIFS(retail_transactions!$K$2:$K$10001, retail_transactions!$C$2:$C$10001, B17)</f>
        <v/>
      </c>
      <c r="F17" s="18">
        <f>E17/$E$132</f>
        <v/>
      </c>
      <c r="G17" s="17">
        <f>G16+E17</f>
        <v/>
      </c>
      <c r="H17" s="18">
        <f>G17/$E$132</f>
        <v/>
      </c>
      <c r="I17" s="18">
        <f>A17/120</f>
        <v/>
      </c>
      <c r="J17" s="19">
        <f>IF(H17&lt;=$B$7, "Top Tier (&lt;=80% Rev)", "Tail Tier (&gt;80% Rev)")</f>
        <v/>
      </c>
      <c r="K17" s="20">
        <f>IF(I17&lt;=$B$6, "Top 20% SKU", "Bottom 80% SKU")</f>
        <v/>
      </c>
    </row>
    <row r="18" ht="18" customHeight="1">
      <c r="A18" s="14" t="n">
        <v>7</v>
      </c>
      <c r="B18" s="15" t="inlineStr">
        <is>
          <t>Aurora Smartphone Plus-125</t>
        </is>
      </c>
      <c r="C18" s="15">
        <f>XLOOKUP(B18, product_lookup!$A$2:$A$121, product_lookup!$B$2:$B$121, "Unknown")</f>
        <v/>
      </c>
      <c r="D18" s="16">
        <f>SUMIFS(retail_transactions!$F$2:$F$10001, retail_transactions!$C$2:$C$10001, B18)</f>
        <v/>
      </c>
      <c r="E18" s="17">
        <f>SUMIFS(retail_transactions!$K$2:$K$10001, retail_transactions!$C$2:$C$10001, B18)</f>
        <v/>
      </c>
      <c r="F18" s="18">
        <f>E18/$E$132</f>
        <v/>
      </c>
      <c r="G18" s="17">
        <f>G17+E18</f>
        <v/>
      </c>
      <c r="H18" s="18">
        <f>G18/$E$132</f>
        <v/>
      </c>
      <c r="I18" s="18">
        <f>A18/120</f>
        <v/>
      </c>
      <c r="J18" s="19">
        <f>IF(H18&lt;=$B$7, "Top Tier (&lt;=80% Rev)", "Tail Tier (&gt;80% Rev)")</f>
        <v/>
      </c>
      <c r="K18" s="20">
        <f>IF(I18&lt;=$B$6, "Top 20% SKU", "Bottom 80% SKU")</f>
        <v/>
      </c>
    </row>
    <row r="19" ht="18" customHeight="1">
      <c r="A19" s="14" t="n">
        <v>8</v>
      </c>
      <c r="B19" s="15" t="inlineStr">
        <is>
          <t>Nimbus Laptop Max-652</t>
        </is>
      </c>
      <c r="C19" s="15">
        <f>XLOOKUP(B19, product_lookup!$A$2:$A$121, product_lookup!$B$2:$B$121, "Unknown")</f>
        <v/>
      </c>
      <c r="D19" s="16">
        <f>SUMIFS(retail_transactions!$F$2:$F$10001, retail_transactions!$C$2:$C$10001, B19)</f>
        <v/>
      </c>
      <c r="E19" s="17">
        <f>SUMIFS(retail_transactions!$K$2:$K$10001, retail_transactions!$C$2:$C$10001, B19)</f>
        <v/>
      </c>
      <c r="F19" s="18">
        <f>E19/$E$132</f>
        <v/>
      </c>
      <c r="G19" s="17">
        <f>G18+E19</f>
        <v/>
      </c>
      <c r="H19" s="18">
        <f>G19/$E$132</f>
        <v/>
      </c>
      <c r="I19" s="18">
        <f>A19/120</f>
        <v/>
      </c>
      <c r="J19" s="19">
        <f>IF(H19&lt;=$B$7, "Top Tier (&lt;=80% Rev)", "Tail Tier (&gt;80% Rev)")</f>
        <v/>
      </c>
      <c r="K19" s="20">
        <f>IF(I19&lt;=$B$6, "Top 20% SKU", "Bottom 80% SKU")</f>
        <v/>
      </c>
    </row>
    <row r="20" ht="18" customHeight="1">
      <c r="A20" s="14" t="n">
        <v>9</v>
      </c>
      <c r="B20" s="15" t="inlineStr">
        <is>
          <t>Metro Smartphone Max-773</t>
        </is>
      </c>
      <c r="C20" s="15">
        <f>XLOOKUP(B20, product_lookup!$A$2:$A$121, product_lookup!$B$2:$B$121, "Unknown")</f>
        <v/>
      </c>
      <c r="D20" s="16">
        <f>SUMIFS(retail_transactions!$F$2:$F$10001, retail_transactions!$C$2:$C$10001, B20)</f>
        <v/>
      </c>
      <c r="E20" s="17">
        <f>SUMIFS(retail_transactions!$K$2:$K$10001, retail_transactions!$C$2:$C$10001, B20)</f>
        <v/>
      </c>
      <c r="F20" s="18">
        <f>E20/$E$132</f>
        <v/>
      </c>
      <c r="G20" s="17">
        <f>G19+E20</f>
        <v/>
      </c>
      <c r="H20" s="18">
        <f>G20/$E$132</f>
        <v/>
      </c>
      <c r="I20" s="18">
        <f>A20/120</f>
        <v/>
      </c>
      <c r="J20" s="19">
        <f>IF(H20&lt;=$B$7, "Top Tier (&lt;=80% Rev)", "Tail Tier (&gt;80% Rev)")</f>
        <v/>
      </c>
      <c r="K20" s="20">
        <f>IF(I20&lt;=$B$6, "Top 20% SKU", "Bottom 80% SKU")</f>
        <v/>
      </c>
    </row>
    <row r="21" ht="18" customHeight="1">
      <c r="A21" s="14" t="n">
        <v>10</v>
      </c>
      <c r="B21" s="15" t="inlineStr">
        <is>
          <t>Solace Headphone Pro-344</t>
        </is>
      </c>
      <c r="C21" s="15">
        <f>XLOOKUP(B21, product_lookup!$A$2:$A$121, product_lookup!$B$2:$B$121, "Unknown")</f>
        <v/>
      </c>
      <c r="D21" s="16">
        <f>SUMIFS(retail_transactions!$F$2:$F$10001, retail_transactions!$C$2:$C$10001, B21)</f>
        <v/>
      </c>
      <c r="E21" s="17">
        <f>SUMIFS(retail_transactions!$K$2:$K$10001, retail_transactions!$C$2:$C$10001, B21)</f>
        <v/>
      </c>
      <c r="F21" s="18">
        <f>E21/$E$132</f>
        <v/>
      </c>
      <c r="G21" s="17">
        <f>G20+E21</f>
        <v/>
      </c>
      <c r="H21" s="18">
        <f>G21/$E$132</f>
        <v/>
      </c>
      <c r="I21" s="18">
        <f>A21/120</f>
        <v/>
      </c>
      <c r="J21" s="19">
        <f>IF(H21&lt;=$B$7, "Top Tier (&lt;=80% Rev)", "Tail Tier (&gt;80% Rev)")</f>
        <v/>
      </c>
      <c r="K21" s="20">
        <f>IF(I21&lt;=$B$6, "Top 20% SKU", "Bottom 80% SKU")</f>
        <v/>
      </c>
    </row>
    <row r="22" ht="18" customHeight="1">
      <c r="A22" s="14" t="n">
        <v>11</v>
      </c>
      <c r="B22" s="15" t="inlineStr">
        <is>
          <t>Aurora Wearable Lite-162</t>
        </is>
      </c>
      <c r="C22" s="15">
        <f>XLOOKUP(B22, product_lookup!$A$2:$A$121, product_lookup!$B$2:$B$121, "Unknown")</f>
        <v/>
      </c>
      <c r="D22" s="16">
        <f>SUMIFS(retail_transactions!$F$2:$F$10001, retail_transactions!$C$2:$C$10001, B22)</f>
        <v/>
      </c>
      <c r="E22" s="17">
        <f>SUMIFS(retail_transactions!$K$2:$K$10001, retail_transactions!$C$2:$C$10001, B22)</f>
        <v/>
      </c>
      <c r="F22" s="18">
        <f>E22/$E$132</f>
        <v/>
      </c>
      <c r="G22" s="17">
        <f>G21+E22</f>
        <v/>
      </c>
      <c r="H22" s="18">
        <f>G22/$E$132</f>
        <v/>
      </c>
      <c r="I22" s="18">
        <f>A22/120</f>
        <v/>
      </c>
      <c r="J22" s="19">
        <f>IF(H22&lt;=$B$7, "Top Tier (&lt;=80% Rev)", "Tail Tier (&gt;80% Rev)")</f>
        <v/>
      </c>
      <c r="K22" s="20">
        <f>IF(I22&lt;=$B$6, "Top 20% SKU", "Bottom 80% SKU")</f>
        <v/>
      </c>
    </row>
    <row r="23" ht="18" customHeight="1">
      <c r="A23" s="14" t="n">
        <v>12</v>
      </c>
      <c r="B23" s="15" t="inlineStr">
        <is>
          <t>Orion Laptop S-350</t>
        </is>
      </c>
      <c r="C23" s="15">
        <f>XLOOKUP(B23, product_lookup!$A$2:$A$121, product_lookup!$B$2:$B$121, "Unknown")</f>
        <v/>
      </c>
      <c r="D23" s="16">
        <f>SUMIFS(retail_transactions!$F$2:$F$10001, retail_transactions!$C$2:$C$10001, B23)</f>
        <v/>
      </c>
      <c r="E23" s="17">
        <f>SUMIFS(retail_transactions!$K$2:$K$10001, retail_transactions!$C$2:$C$10001, B23)</f>
        <v/>
      </c>
      <c r="F23" s="18">
        <f>E23/$E$132</f>
        <v/>
      </c>
      <c r="G23" s="17">
        <f>G22+E23</f>
        <v/>
      </c>
      <c r="H23" s="18">
        <f>G23/$E$132</f>
        <v/>
      </c>
      <c r="I23" s="18">
        <f>A23/120</f>
        <v/>
      </c>
      <c r="J23" s="19">
        <f>IF(H23&lt;=$B$7, "Top Tier (&lt;=80% Rev)", "Tail Tier (&gt;80% Rev)")</f>
        <v/>
      </c>
      <c r="K23" s="20">
        <f>IF(I23&lt;=$B$6, "Top 20% SKU", "Bottom 80% SKU")</f>
        <v/>
      </c>
    </row>
    <row r="24" ht="18" customHeight="1">
      <c r="A24" s="14" t="n">
        <v>13</v>
      </c>
      <c r="B24" s="15" t="inlineStr">
        <is>
          <t>Falcon Headphone Pro-713</t>
        </is>
      </c>
      <c r="C24" s="15">
        <f>XLOOKUP(B24, product_lookup!$A$2:$A$121, product_lookup!$B$2:$B$121, "Unknown")</f>
        <v/>
      </c>
      <c r="D24" s="16">
        <f>SUMIFS(retail_transactions!$F$2:$F$10001, retail_transactions!$C$2:$C$10001, B24)</f>
        <v/>
      </c>
      <c r="E24" s="17">
        <f>SUMIFS(retail_transactions!$K$2:$K$10001, retail_transactions!$C$2:$C$10001, B24)</f>
        <v/>
      </c>
      <c r="F24" s="18">
        <f>E24/$E$132</f>
        <v/>
      </c>
      <c r="G24" s="17">
        <f>G23+E24</f>
        <v/>
      </c>
      <c r="H24" s="18">
        <f>G24/$E$132</f>
        <v/>
      </c>
      <c r="I24" s="18">
        <f>A24/120</f>
        <v/>
      </c>
      <c r="J24" s="19">
        <f>IF(H24&lt;=$B$7, "Top Tier (&lt;=80% Rev)", "Tail Tier (&gt;80% Rev)")</f>
        <v/>
      </c>
      <c r="K24" s="20">
        <f>IF(I24&lt;=$B$6, "Top 20% SKU", "Bottom 80% SKU")</f>
        <v/>
      </c>
    </row>
    <row r="25" ht="18" customHeight="1">
      <c r="A25" s="14" t="n">
        <v>14</v>
      </c>
      <c r="B25" s="15" t="inlineStr">
        <is>
          <t>Vertex Smartphone Lite-267</t>
        </is>
      </c>
      <c r="C25" s="15">
        <f>XLOOKUP(B25, product_lookup!$A$2:$A$121, product_lookup!$B$2:$B$121, "Unknown")</f>
        <v/>
      </c>
      <c r="D25" s="16">
        <f>SUMIFS(retail_transactions!$F$2:$F$10001, retail_transactions!$C$2:$C$10001, B25)</f>
        <v/>
      </c>
      <c r="E25" s="17">
        <f>SUMIFS(retail_transactions!$K$2:$K$10001, retail_transactions!$C$2:$C$10001, B25)</f>
        <v/>
      </c>
      <c r="F25" s="18">
        <f>E25/$E$132</f>
        <v/>
      </c>
      <c r="G25" s="17">
        <f>G24+E25</f>
        <v/>
      </c>
      <c r="H25" s="18">
        <f>G25/$E$132</f>
        <v/>
      </c>
      <c r="I25" s="18">
        <f>A25/120</f>
        <v/>
      </c>
      <c r="J25" s="19">
        <f>IF(H25&lt;=$B$7, "Top Tier (&lt;=80% Rev)", "Tail Tier (&gt;80% Rev)")</f>
        <v/>
      </c>
      <c r="K25" s="20">
        <f>IF(I25&lt;=$B$6, "Top 20% SKU", "Bottom 80% SKU")</f>
        <v/>
      </c>
    </row>
    <row r="26" ht="18" customHeight="1">
      <c r="A26" s="14" t="n">
        <v>15</v>
      </c>
      <c r="B26" s="15" t="inlineStr">
        <is>
          <t>Metro Wearable Plus-234</t>
        </is>
      </c>
      <c r="C26" s="15">
        <f>XLOOKUP(B26, product_lookup!$A$2:$A$121, product_lookup!$B$2:$B$121, "Unknown")</f>
        <v/>
      </c>
      <c r="D26" s="16">
        <f>SUMIFS(retail_transactions!$F$2:$F$10001, retail_transactions!$C$2:$C$10001, B26)</f>
        <v/>
      </c>
      <c r="E26" s="17">
        <f>SUMIFS(retail_transactions!$K$2:$K$10001, retail_transactions!$C$2:$C$10001, B26)</f>
        <v/>
      </c>
      <c r="F26" s="18">
        <f>E26/$E$132</f>
        <v/>
      </c>
      <c r="G26" s="17">
        <f>G25+E26</f>
        <v/>
      </c>
      <c r="H26" s="18">
        <f>G26/$E$132</f>
        <v/>
      </c>
      <c r="I26" s="18">
        <f>A26/120</f>
        <v/>
      </c>
      <c r="J26" s="19">
        <f>IF(H26&lt;=$B$7, "Top Tier (&lt;=80% Rev)", "Tail Tier (&gt;80% Rev)")</f>
        <v/>
      </c>
      <c r="K26" s="20">
        <f>IF(I26&lt;=$B$6, "Top 20% SKU", "Bottom 80% SKU")</f>
        <v/>
      </c>
    </row>
    <row r="27" ht="18" customHeight="1">
      <c r="A27" s="14" t="n">
        <v>16</v>
      </c>
      <c r="B27" s="15" t="inlineStr">
        <is>
          <t>Vertex Headphone Pro-801</t>
        </is>
      </c>
      <c r="C27" s="15">
        <f>XLOOKUP(B27, product_lookup!$A$2:$A$121, product_lookup!$B$2:$B$121, "Unknown")</f>
        <v/>
      </c>
      <c r="D27" s="16">
        <f>SUMIFS(retail_transactions!$F$2:$F$10001, retail_transactions!$C$2:$C$10001, B27)</f>
        <v/>
      </c>
      <c r="E27" s="17">
        <f>SUMIFS(retail_transactions!$K$2:$K$10001, retail_transactions!$C$2:$C$10001, B27)</f>
        <v/>
      </c>
      <c r="F27" s="18">
        <f>E27/$E$132</f>
        <v/>
      </c>
      <c r="G27" s="17">
        <f>G26+E27</f>
        <v/>
      </c>
      <c r="H27" s="18">
        <f>G27/$E$132</f>
        <v/>
      </c>
      <c r="I27" s="18">
        <f>A27/120</f>
        <v/>
      </c>
      <c r="J27" s="19">
        <f>IF(H27&lt;=$B$7, "Top Tier (&lt;=80% Rev)", "Tail Tier (&gt;80% Rev)")</f>
        <v/>
      </c>
      <c r="K27" s="20">
        <f>IF(I27&lt;=$B$6, "Top 20% SKU", "Bottom 80% SKU")</f>
        <v/>
      </c>
    </row>
    <row r="28" ht="18" customHeight="1">
      <c r="A28" s="14" t="n">
        <v>17</v>
      </c>
      <c r="B28" s="15" t="inlineStr">
        <is>
          <t>Vertex Fitnes Pro-830</t>
        </is>
      </c>
      <c r="C28" s="15">
        <f>XLOOKUP(B28, product_lookup!$A$2:$A$121, product_lookup!$B$2:$B$121, "Unknown")</f>
        <v/>
      </c>
      <c r="D28" s="16">
        <f>SUMIFS(retail_transactions!$F$2:$F$10001, retail_transactions!$C$2:$C$10001, B28)</f>
        <v/>
      </c>
      <c r="E28" s="17">
        <f>SUMIFS(retail_transactions!$K$2:$K$10001, retail_transactions!$C$2:$C$10001, B28)</f>
        <v/>
      </c>
      <c r="F28" s="18">
        <f>E28/$E$132</f>
        <v/>
      </c>
      <c r="G28" s="17">
        <f>G27+E28</f>
        <v/>
      </c>
      <c r="H28" s="18">
        <f>G28/$E$132</f>
        <v/>
      </c>
      <c r="I28" s="18">
        <f>A28/120</f>
        <v/>
      </c>
      <c r="J28" s="19">
        <f>IF(H28&lt;=$B$7, "Top Tier (&lt;=80% Rev)", "Tail Tier (&gt;80% Rev)")</f>
        <v/>
      </c>
      <c r="K28" s="20">
        <f>IF(I28&lt;=$B$6, "Top 20% SKU", "Bottom 80% SKU")</f>
        <v/>
      </c>
    </row>
    <row r="29" ht="18" customHeight="1">
      <c r="A29" s="14" t="n">
        <v>18</v>
      </c>
      <c r="B29" s="15" t="inlineStr">
        <is>
          <t>Polar Cycling S-223</t>
        </is>
      </c>
      <c r="C29" s="15">
        <f>XLOOKUP(B29, product_lookup!$A$2:$A$121, product_lookup!$B$2:$B$121, "Unknown")</f>
        <v/>
      </c>
      <c r="D29" s="16">
        <f>SUMIFS(retail_transactions!$F$2:$F$10001, retail_transactions!$C$2:$C$10001, B29)</f>
        <v/>
      </c>
      <c r="E29" s="17">
        <f>SUMIFS(retail_transactions!$K$2:$K$10001, retail_transactions!$C$2:$C$10001, B29)</f>
        <v/>
      </c>
      <c r="F29" s="18">
        <f>E29/$E$132</f>
        <v/>
      </c>
      <c r="G29" s="17">
        <f>G28+E29</f>
        <v/>
      </c>
      <c r="H29" s="18">
        <f>G29/$E$132</f>
        <v/>
      </c>
      <c r="I29" s="18">
        <f>A29/120</f>
        <v/>
      </c>
      <c r="J29" s="19">
        <f>IF(H29&lt;=$B$7, "Top Tier (&lt;=80% Rev)", "Tail Tier (&gt;80% Rev)")</f>
        <v/>
      </c>
      <c r="K29" s="20">
        <f>IF(I29&lt;=$B$6, "Top 20% SKU", "Bottom 80% SKU")</f>
        <v/>
      </c>
    </row>
    <row r="30" ht="18" customHeight="1">
      <c r="A30" s="14" t="n">
        <v>19</v>
      </c>
      <c r="B30" s="15" t="inlineStr">
        <is>
          <t>Vertex Smartphone Pro-256</t>
        </is>
      </c>
      <c r="C30" s="15">
        <f>XLOOKUP(B30, product_lookup!$A$2:$A$121, product_lookup!$B$2:$B$121, "Unknown")</f>
        <v/>
      </c>
      <c r="D30" s="16">
        <f>SUMIFS(retail_transactions!$F$2:$F$10001, retail_transactions!$C$2:$C$10001, B30)</f>
        <v/>
      </c>
      <c r="E30" s="17">
        <f>SUMIFS(retail_transactions!$K$2:$K$10001, retail_transactions!$C$2:$C$10001, B30)</f>
        <v/>
      </c>
      <c r="F30" s="18">
        <f>E30/$E$132</f>
        <v/>
      </c>
      <c r="G30" s="17">
        <f>G29+E30</f>
        <v/>
      </c>
      <c r="H30" s="18">
        <f>G30/$E$132</f>
        <v/>
      </c>
      <c r="I30" s="18">
        <f>A30/120</f>
        <v/>
      </c>
      <c r="J30" s="19">
        <f>IF(H30&lt;=$B$7, "Top Tier (&lt;=80% Rev)", "Tail Tier (&gt;80% Rev)")</f>
        <v/>
      </c>
      <c r="K30" s="20">
        <f>IF(I30&lt;=$B$6, "Top 20% SKU", "Bottom 80% SKU")</f>
        <v/>
      </c>
    </row>
    <row r="31" ht="18" customHeight="1">
      <c r="A31" s="14" t="n">
        <v>20</v>
      </c>
      <c r="B31" s="15" t="inlineStr">
        <is>
          <t>Metro Laptop Plus-376</t>
        </is>
      </c>
      <c r="C31" s="15">
        <f>XLOOKUP(B31, product_lookup!$A$2:$A$121, product_lookup!$B$2:$B$121, "Unknown")</f>
        <v/>
      </c>
      <c r="D31" s="16">
        <f>SUMIFS(retail_transactions!$F$2:$F$10001, retail_transactions!$C$2:$C$10001, B31)</f>
        <v/>
      </c>
      <c r="E31" s="17">
        <f>SUMIFS(retail_transactions!$K$2:$K$10001, retail_transactions!$C$2:$C$10001, B31)</f>
        <v/>
      </c>
      <c r="F31" s="18">
        <f>E31/$E$132</f>
        <v/>
      </c>
      <c r="G31" s="17">
        <f>G30+E31</f>
        <v/>
      </c>
      <c r="H31" s="18">
        <f>G31/$E$132</f>
        <v/>
      </c>
      <c r="I31" s="18">
        <f>A31/120</f>
        <v/>
      </c>
      <c r="J31" s="19">
        <f>IF(H31&lt;=$B$7, "Top Tier (&lt;=80% Rev)", "Tail Tier (&gt;80% Rev)")</f>
        <v/>
      </c>
      <c r="K31" s="20">
        <f>IF(I31&lt;=$B$6, "Top 20% SKU", "Bottom 80% SKU")</f>
        <v/>
      </c>
    </row>
    <row r="32" ht="18" customHeight="1">
      <c r="A32" s="14" t="n">
        <v>21</v>
      </c>
      <c r="B32" s="15" t="inlineStr">
        <is>
          <t>Polar Laptop Plus-984</t>
        </is>
      </c>
      <c r="C32" s="15">
        <f>XLOOKUP(B32, product_lookup!$A$2:$A$121, product_lookup!$B$2:$B$121, "Unknown")</f>
        <v/>
      </c>
      <c r="D32" s="16">
        <f>SUMIFS(retail_transactions!$F$2:$F$10001, retail_transactions!$C$2:$C$10001, B32)</f>
        <v/>
      </c>
      <c r="E32" s="17">
        <f>SUMIFS(retail_transactions!$K$2:$K$10001, retail_transactions!$C$2:$C$10001, B32)</f>
        <v/>
      </c>
      <c r="F32" s="18">
        <f>E32/$E$132</f>
        <v/>
      </c>
      <c r="G32" s="17">
        <f>G31+E32</f>
        <v/>
      </c>
      <c r="H32" s="18">
        <f>G32/$E$132</f>
        <v/>
      </c>
      <c r="I32" s="18">
        <f>A32/120</f>
        <v/>
      </c>
      <c r="J32" s="19">
        <f>IF(H32&lt;=$B$7, "Top Tier (&lt;=80% Rev)", "Tail Tier (&gt;80% Rev)")</f>
        <v/>
      </c>
      <c r="K32" s="20">
        <f>IF(I32&lt;=$B$6, "Top 20% SKU", "Bottom 80% SKU")</f>
        <v/>
      </c>
    </row>
    <row r="33" ht="18" customHeight="1">
      <c r="A33" s="14" t="n">
        <v>22</v>
      </c>
      <c r="B33" s="15" t="inlineStr">
        <is>
          <t>Solace Fitnes S-324</t>
        </is>
      </c>
      <c r="C33" s="15">
        <f>XLOOKUP(B33, product_lookup!$A$2:$A$121, product_lookup!$B$2:$B$121, "Unknown")</f>
        <v/>
      </c>
      <c r="D33" s="16">
        <f>SUMIFS(retail_transactions!$F$2:$F$10001, retail_transactions!$C$2:$C$10001, B33)</f>
        <v/>
      </c>
      <c r="E33" s="17">
        <f>SUMIFS(retail_transactions!$K$2:$K$10001, retail_transactions!$C$2:$C$10001, B33)</f>
        <v/>
      </c>
      <c r="F33" s="18">
        <f>E33/$E$132</f>
        <v/>
      </c>
      <c r="G33" s="17">
        <f>G32+E33</f>
        <v/>
      </c>
      <c r="H33" s="18">
        <f>G33/$E$132</f>
        <v/>
      </c>
      <c r="I33" s="18">
        <f>A33/120</f>
        <v/>
      </c>
      <c r="J33" s="19">
        <f>IF(H33&lt;=$B$7, "Top Tier (&lt;=80% Rev)", "Tail Tier (&gt;80% Rev)")</f>
        <v/>
      </c>
      <c r="K33" s="20">
        <f>IF(I33&lt;=$B$6, "Top 20% SKU", "Bottom 80% SKU")</f>
        <v/>
      </c>
    </row>
    <row r="34" ht="18" customHeight="1">
      <c r="A34" s="14" t="n">
        <v>23</v>
      </c>
      <c r="B34" s="15" t="inlineStr">
        <is>
          <t>Polar Outdoor Lite-318</t>
        </is>
      </c>
      <c r="C34" s="15">
        <f>XLOOKUP(B34, product_lookup!$A$2:$A$121, product_lookup!$B$2:$B$121, "Unknown")</f>
        <v/>
      </c>
      <c r="D34" s="16">
        <f>SUMIFS(retail_transactions!$F$2:$F$10001, retail_transactions!$C$2:$C$10001, B34)</f>
        <v/>
      </c>
      <c r="E34" s="17">
        <f>SUMIFS(retail_transactions!$K$2:$K$10001, retail_transactions!$C$2:$C$10001, B34)</f>
        <v/>
      </c>
      <c r="F34" s="18">
        <f>E34/$E$132</f>
        <v/>
      </c>
      <c r="G34" s="17">
        <f>G33+E34</f>
        <v/>
      </c>
      <c r="H34" s="18">
        <f>G34/$E$132</f>
        <v/>
      </c>
      <c r="I34" s="18">
        <f>A34/120</f>
        <v/>
      </c>
      <c r="J34" s="19">
        <f>IF(H34&lt;=$B$7, "Top Tier (&lt;=80% Rev)", "Tail Tier (&gt;80% Rev)")</f>
        <v/>
      </c>
      <c r="K34" s="20">
        <f>IF(I34&lt;=$B$6, "Top 20% SKU", "Bottom 80% SKU")</f>
        <v/>
      </c>
    </row>
    <row r="35" ht="18" customHeight="1">
      <c r="A35" s="14" t="n">
        <v>24</v>
      </c>
      <c r="B35" s="15" t="inlineStr">
        <is>
          <t>Solace Smartphone Lite-533</t>
        </is>
      </c>
      <c r="C35" s="15">
        <f>XLOOKUP(B35, product_lookup!$A$2:$A$121, product_lookup!$B$2:$B$121, "Unknown")</f>
        <v/>
      </c>
      <c r="D35" s="16">
        <f>SUMIFS(retail_transactions!$F$2:$F$10001, retail_transactions!$C$2:$C$10001, B35)</f>
        <v/>
      </c>
      <c r="E35" s="17">
        <f>SUMIFS(retail_transactions!$K$2:$K$10001, retail_transactions!$C$2:$C$10001, B35)</f>
        <v/>
      </c>
      <c r="F35" s="18">
        <f>E35/$E$132</f>
        <v/>
      </c>
      <c r="G35" s="17">
        <f>G34+E35</f>
        <v/>
      </c>
      <c r="H35" s="18">
        <f>G35/$E$132</f>
        <v/>
      </c>
      <c r="I35" s="18">
        <f>A35/120</f>
        <v/>
      </c>
      <c r="J35" s="19">
        <f>IF(H35&lt;=$B$7, "Top Tier (&lt;=80% Rev)", "Tail Tier (&gt;80% Rev)")</f>
        <v/>
      </c>
      <c r="K35" s="20">
        <f>IF(I35&lt;=$B$6, "Top 20% SKU", "Bottom 80% SKU")</f>
        <v/>
      </c>
    </row>
    <row r="36" ht="18" customHeight="1">
      <c r="A36" s="14" t="n">
        <v>25</v>
      </c>
      <c r="B36" s="15" t="inlineStr">
        <is>
          <t>Aurora Fitnes Lite-194</t>
        </is>
      </c>
      <c r="C36" s="15">
        <f>XLOOKUP(B36, product_lookup!$A$2:$A$121, product_lookup!$B$2:$B$121, "Unknown")</f>
        <v/>
      </c>
      <c r="D36" s="16">
        <f>SUMIFS(retail_transactions!$F$2:$F$10001, retail_transactions!$C$2:$C$10001, B36)</f>
        <v/>
      </c>
      <c r="E36" s="17">
        <f>SUMIFS(retail_transactions!$K$2:$K$10001, retail_transactions!$C$2:$C$10001, B36)</f>
        <v/>
      </c>
      <c r="F36" s="18">
        <f>E36/$E$132</f>
        <v/>
      </c>
      <c r="G36" s="17">
        <f>G35+E36</f>
        <v/>
      </c>
      <c r="H36" s="18">
        <f>G36/$E$132</f>
        <v/>
      </c>
      <c r="I36" s="18">
        <f>A36/120</f>
        <v/>
      </c>
      <c r="J36" s="19">
        <f>IF(H36&lt;=$B$7, "Top Tier (&lt;=80% Rev)", "Tail Tier (&gt;80% Rev)")</f>
        <v/>
      </c>
      <c r="K36" s="14">
        <f>IF(I36&lt;=$B$6, "Top 20% SKU", "Bottom 80% SKU")</f>
        <v/>
      </c>
    </row>
    <row r="37" ht="18" customHeight="1">
      <c r="A37" s="14" t="n">
        <v>26</v>
      </c>
      <c r="B37" s="15" t="inlineStr">
        <is>
          <t>Nimbus Fitnes Lite-516</t>
        </is>
      </c>
      <c r="C37" s="15">
        <f>XLOOKUP(B37, product_lookup!$A$2:$A$121, product_lookup!$B$2:$B$121, "Unknown")</f>
        <v/>
      </c>
      <c r="D37" s="16">
        <f>SUMIFS(retail_transactions!$F$2:$F$10001, retail_transactions!$C$2:$C$10001, B37)</f>
        <v/>
      </c>
      <c r="E37" s="17">
        <f>SUMIFS(retail_transactions!$K$2:$K$10001, retail_transactions!$C$2:$C$10001, B37)</f>
        <v/>
      </c>
      <c r="F37" s="18">
        <f>E37/$E$132</f>
        <v/>
      </c>
      <c r="G37" s="17">
        <f>G36+E37</f>
        <v/>
      </c>
      <c r="H37" s="18">
        <f>G37/$E$132</f>
        <v/>
      </c>
      <c r="I37" s="18">
        <f>A37/120</f>
        <v/>
      </c>
      <c r="J37" s="19">
        <f>IF(H37&lt;=$B$7, "Top Tier (&lt;=80% Rev)", "Tail Tier (&gt;80% Rev)")</f>
        <v/>
      </c>
      <c r="K37" s="14">
        <f>IF(I37&lt;=$B$6, "Top 20% SKU", "Bottom 80% SKU")</f>
        <v/>
      </c>
    </row>
    <row r="38" ht="18" customHeight="1">
      <c r="A38" s="14" t="n">
        <v>27</v>
      </c>
      <c r="B38" s="15" t="inlineStr">
        <is>
          <t>Polar Outdoor X-193</t>
        </is>
      </c>
      <c r="C38" s="15">
        <f>XLOOKUP(B38, product_lookup!$A$2:$A$121, product_lookup!$B$2:$B$121, "Unknown")</f>
        <v/>
      </c>
      <c r="D38" s="16">
        <f>SUMIFS(retail_transactions!$F$2:$F$10001, retail_transactions!$C$2:$C$10001, B38)</f>
        <v/>
      </c>
      <c r="E38" s="17">
        <f>SUMIFS(retail_transactions!$K$2:$K$10001, retail_transactions!$C$2:$C$10001, B38)</f>
        <v/>
      </c>
      <c r="F38" s="18">
        <f>E38/$E$132</f>
        <v/>
      </c>
      <c r="G38" s="17">
        <f>G37+E38</f>
        <v/>
      </c>
      <c r="H38" s="18">
        <f>G38/$E$132</f>
        <v/>
      </c>
      <c r="I38" s="18">
        <f>A38/120</f>
        <v/>
      </c>
      <c r="J38" s="19">
        <f>IF(H38&lt;=$B$7, "Top Tier (&lt;=80% Rev)", "Tail Tier (&gt;80% Rev)")</f>
        <v/>
      </c>
      <c r="K38" s="14">
        <f>IF(I38&lt;=$B$6, "Top 20% SKU", "Bottom 80% SKU")</f>
        <v/>
      </c>
    </row>
    <row r="39" ht="18" customHeight="1">
      <c r="A39" s="14" t="n">
        <v>28</v>
      </c>
      <c r="B39" s="15" t="inlineStr">
        <is>
          <t>Falcon Team Sport Lite-268</t>
        </is>
      </c>
      <c r="C39" s="15">
        <f>XLOOKUP(B39, product_lookup!$A$2:$A$121, product_lookup!$B$2:$B$121, "Unknown")</f>
        <v/>
      </c>
      <c r="D39" s="16">
        <f>SUMIFS(retail_transactions!$F$2:$F$10001, retail_transactions!$C$2:$C$10001, B39)</f>
        <v/>
      </c>
      <c r="E39" s="17">
        <f>SUMIFS(retail_transactions!$K$2:$K$10001, retail_transactions!$C$2:$C$10001, B39)</f>
        <v/>
      </c>
      <c r="F39" s="18">
        <f>E39/$E$132</f>
        <v/>
      </c>
      <c r="G39" s="17">
        <f>G38+E39</f>
        <v/>
      </c>
      <c r="H39" s="18">
        <f>G39/$E$132</f>
        <v/>
      </c>
      <c r="I39" s="18">
        <f>A39/120</f>
        <v/>
      </c>
      <c r="J39" s="19">
        <f>IF(H39&lt;=$B$7, "Top Tier (&lt;=80% Rev)", "Tail Tier (&gt;80% Rev)")</f>
        <v/>
      </c>
      <c r="K39" s="14">
        <f>IF(I39&lt;=$B$6, "Top 20% SKU", "Bottom 80% SKU")</f>
        <v/>
      </c>
    </row>
    <row r="40" ht="18" customHeight="1">
      <c r="A40" s="14" t="n">
        <v>29</v>
      </c>
      <c r="B40" s="15" t="inlineStr">
        <is>
          <t>Aurora Bedding Max-175</t>
        </is>
      </c>
      <c r="C40" s="15">
        <f>XLOOKUP(B40, product_lookup!$A$2:$A$121, product_lookup!$B$2:$B$121, "Unknown")</f>
        <v/>
      </c>
      <c r="D40" s="16">
        <f>SUMIFS(retail_transactions!$F$2:$F$10001, retail_transactions!$C$2:$C$10001, B40)</f>
        <v/>
      </c>
      <c r="E40" s="17">
        <f>SUMIFS(retail_transactions!$K$2:$K$10001, retail_transactions!$C$2:$C$10001, B40)</f>
        <v/>
      </c>
      <c r="F40" s="18">
        <f>E40/$E$132</f>
        <v/>
      </c>
      <c r="G40" s="17">
        <f>G39+E40</f>
        <v/>
      </c>
      <c r="H40" s="18">
        <f>G40/$E$132</f>
        <v/>
      </c>
      <c r="I40" s="18">
        <f>A40/120</f>
        <v/>
      </c>
      <c r="J40" s="19">
        <f>IF(H40&lt;=$B$7, "Top Tier (&lt;=80% Rev)", "Tail Tier (&gt;80% Rev)")</f>
        <v/>
      </c>
      <c r="K40" s="14">
        <f>IF(I40&lt;=$B$6, "Top 20% SKU", "Bottom 80% SKU")</f>
        <v/>
      </c>
    </row>
    <row r="41" ht="18" customHeight="1">
      <c r="A41" s="14" t="n">
        <v>30</v>
      </c>
      <c r="B41" s="15" t="inlineStr">
        <is>
          <t>Solace Bedding Plus-317</t>
        </is>
      </c>
      <c r="C41" s="15">
        <f>XLOOKUP(B41, product_lookup!$A$2:$A$121, product_lookup!$B$2:$B$121, "Unknown")</f>
        <v/>
      </c>
      <c r="D41" s="16">
        <f>SUMIFS(retail_transactions!$F$2:$F$10001, retail_transactions!$C$2:$C$10001, B41)</f>
        <v/>
      </c>
      <c r="E41" s="17">
        <f>SUMIFS(retail_transactions!$K$2:$K$10001, retail_transactions!$C$2:$C$10001, B41)</f>
        <v/>
      </c>
      <c r="F41" s="18">
        <f>E41/$E$132</f>
        <v/>
      </c>
      <c r="G41" s="17">
        <f>G40+E41</f>
        <v/>
      </c>
      <c r="H41" s="18">
        <f>G41/$E$132</f>
        <v/>
      </c>
      <c r="I41" s="18">
        <f>A41/120</f>
        <v/>
      </c>
      <c r="J41" s="19">
        <f>IF(H41&lt;=$B$7, "Top Tier (&lt;=80% Rev)", "Tail Tier (&gt;80% Rev)")</f>
        <v/>
      </c>
      <c r="K41" s="14">
        <f>IF(I41&lt;=$B$6, "Top 20% SKU", "Bottom 80% SKU")</f>
        <v/>
      </c>
    </row>
    <row r="42" ht="18" customHeight="1">
      <c r="A42" s="14" t="n">
        <v>31</v>
      </c>
      <c r="B42" s="15" t="inlineStr">
        <is>
          <t>Solace Team Sport Max-548</t>
        </is>
      </c>
      <c r="C42" s="15">
        <f>XLOOKUP(B42, product_lookup!$A$2:$A$121, product_lookup!$B$2:$B$121, "Unknown")</f>
        <v/>
      </c>
      <c r="D42" s="16">
        <f>SUMIFS(retail_transactions!$F$2:$F$10001, retail_transactions!$C$2:$C$10001, B42)</f>
        <v/>
      </c>
      <c r="E42" s="17">
        <f>SUMIFS(retail_transactions!$K$2:$K$10001, retail_transactions!$C$2:$C$10001, B42)</f>
        <v/>
      </c>
      <c r="F42" s="18">
        <f>E42/$E$132</f>
        <v/>
      </c>
      <c r="G42" s="17">
        <f>G41+E42</f>
        <v/>
      </c>
      <c r="H42" s="18">
        <f>G42/$E$132</f>
        <v/>
      </c>
      <c r="I42" s="18">
        <f>A42/120</f>
        <v/>
      </c>
      <c r="J42" s="19">
        <f>IF(H42&lt;=$B$7, "Top Tier (&lt;=80% Rev)", "Tail Tier (&gt;80% Rev)")</f>
        <v/>
      </c>
      <c r="K42" s="14">
        <f>IF(I42&lt;=$B$6, "Top 20% SKU", "Bottom 80% SKU")</f>
        <v/>
      </c>
    </row>
    <row r="43" ht="18" customHeight="1">
      <c r="A43" s="14" t="n">
        <v>32</v>
      </c>
      <c r="B43" s="15" t="inlineStr">
        <is>
          <t>Nimbus Cycling Plus-911</t>
        </is>
      </c>
      <c r="C43" s="15">
        <f>XLOOKUP(B43, product_lookup!$A$2:$A$121, product_lookup!$B$2:$B$121, "Unknown")</f>
        <v/>
      </c>
      <c r="D43" s="16">
        <f>SUMIFS(retail_transactions!$F$2:$F$10001, retail_transactions!$C$2:$C$10001, B43)</f>
        <v/>
      </c>
      <c r="E43" s="17">
        <f>SUMIFS(retail_transactions!$K$2:$K$10001, retail_transactions!$C$2:$C$10001, B43)</f>
        <v/>
      </c>
      <c r="F43" s="18">
        <f>E43/$E$132</f>
        <v/>
      </c>
      <c r="G43" s="17">
        <f>G42+E43</f>
        <v/>
      </c>
      <c r="H43" s="18">
        <f>G43/$E$132</f>
        <v/>
      </c>
      <c r="I43" s="18">
        <f>A43/120</f>
        <v/>
      </c>
      <c r="J43" s="19">
        <f>IF(H43&lt;=$B$7, "Top Tier (&lt;=80% Rev)", "Tail Tier (&gt;80% Rev)")</f>
        <v/>
      </c>
      <c r="K43" s="14">
        <f>IF(I43&lt;=$B$6, "Top 20% SKU", "Bottom 80% SKU")</f>
        <v/>
      </c>
    </row>
    <row r="44" ht="18" customHeight="1">
      <c r="A44" s="14" t="n">
        <v>33</v>
      </c>
      <c r="B44" s="15" t="inlineStr">
        <is>
          <t>Aurora Team Sport Plus-256</t>
        </is>
      </c>
      <c r="C44" s="15">
        <f>XLOOKUP(B44, product_lookup!$A$2:$A$121, product_lookup!$B$2:$B$121, "Unknown")</f>
        <v/>
      </c>
      <c r="D44" s="16">
        <f>SUMIFS(retail_transactions!$F$2:$F$10001, retail_transactions!$C$2:$C$10001, B44)</f>
        <v/>
      </c>
      <c r="E44" s="17">
        <f>SUMIFS(retail_transactions!$K$2:$K$10001, retail_transactions!$C$2:$C$10001, B44)</f>
        <v/>
      </c>
      <c r="F44" s="18">
        <f>E44/$E$132</f>
        <v/>
      </c>
      <c r="G44" s="17">
        <f>G43+E44</f>
        <v/>
      </c>
      <c r="H44" s="18">
        <f>G44/$E$132</f>
        <v/>
      </c>
      <c r="I44" s="18">
        <f>A44/120</f>
        <v/>
      </c>
      <c r="J44" s="19">
        <f>IF(H44&lt;=$B$7, "Top Tier (&lt;=80% Rev)", "Tail Tier (&gt;80% Rev)")</f>
        <v/>
      </c>
      <c r="K44" s="14">
        <f>IF(I44&lt;=$B$6, "Top 20% SKU", "Bottom 80% SKU")</f>
        <v/>
      </c>
    </row>
    <row r="45" ht="18" customHeight="1">
      <c r="A45" s="14" t="n">
        <v>34</v>
      </c>
      <c r="B45" s="15" t="inlineStr">
        <is>
          <t>Polar Cycling X-649</t>
        </is>
      </c>
      <c r="C45" s="15">
        <f>XLOOKUP(B45, product_lookup!$A$2:$A$121, product_lookup!$B$2:$B$121, "Unknown")</f>
        <v/>
      </c>
      <c r="D45" s="16">
        <f>SUMIFS(retail_transactions!$F$2:$F$10001, retail_transactions!$C$2:$C$10001, B45)</f>
        <v/>
      </c>
      <c r="E45" s="17">
        <f>SUMIFS(retail_transactions!$K$2:$K$10001, retail_transactions!$C$2:$C$10001, B45)</f>
        <v/>
      </c>
      <c r="F45" s="18">
        <f>E45/$E$132</f>
        <v/>
      </c>
      <c r="G45" s="17">
        <f>G44+E45</f>
        <v/>
      </c>
      <c r="H45" s="18">
        <f>G45/$E$132</f>
        <v/>
      </c>
      <c r="I45" s="18">
        <f>A45/120</f>
        <v/>
      </c>
      <c r="J45" s="19">
        <f>IF(H45&lt;=$B$7, "Top Tier (&lt;=80% Rev)", "Tail Tier (&gt;80% Rev)")</f>
        <v/>
      </c>
      <c r="K45" s="14">
        <f>IF(I45&lt;=$B$6, "Top 20% SKU", "Bottom 80% SKU")</f>
        <v/>
      </c>
    </row>
    <row r="46" ht="18" customHeight="1">
      <c r="A46" s="14" t="n">
        <v>35</v>
      </c>
      <c r="B46" s="15" t="inlineStr">
        <is>
          <t>Metro Printer X-294</t>
        </is>
      </c>
      <c r="C46" s="15">
        <f>XLOOKUP(B46, product_lookup!$A$2:$A$121, product_lookup!$B$2:$B$121, "Unknown")</f>
        <v/>
      </c>
      <c r="D46" s="16">
        <f>SUMIFS(retail_transactions!$F$2:$F$10001, retail_transactions!$C$2:$C$10001, B46)</f>
        <v/>
      </c>
      <c r="E46" s="17">
        <f>SUMIFS(retail_transactions!$K$2:$K$10001, retail_transactions!$C$2:$C$10001, B46)</f>
        <v/>
      </c>
      <c r="F46" s="18">
        <f>E46/$E$132</f>
        <v/>
      </c>
      <c r="G46" s="17">
        <f>G45+E46</f>
        <v/>
      </c>
      <c r="H46" s="18">
        <f>G46/$E$132</f>
        <v/>
      </c>
      <c r="I46" s="18">
        <f>A46/120</f>
        <v/>
      </c>
      <c r="J46" s="19">
        <f>IF(H46&lt;=$B$7, "Top Tier (&lt;=80% Rev)", "Tail Tier (&gt;80% Rev)")</f>
        <v/>
      </c>
      <c r="K46" s="14">
        <f>IF(I46&lt;=$B$6, "Top 20% SKU", "Bottom 80% SKU")</f>
        <v/>
      </c>
    </row>
    <row r="47" ht="18" customHeight="1">
      <c r="A47" s="14" t="n">
        <v>36</v>
      </c>
      <c r="B47" s="15" t="inlineStr">
        <is>
          <t>Falcon Bedding S-674</t>
        </is>
      </c>
      <c r="C47" s="15">
        <f>XLOOKUP(B47, product_lookup!$A$2:$A$121, product_lookup!$B$2:$B$121, "Unknown")</f>
        <v/>
      </c>
      <c r="D47" s="16">
        <f>SUMIFS(retail_transactions!$F$2:$F$10001, retail_transactions!$C$2:$C$10001, B47)</f>
        <v/>
      </c>
      <c r="E47" s="17">
        <f>SUMIFS(retail_transactions!$K$2:$K$10001, retail_transactions!$C$2:$C$10001, B47)</f>
        <v/>
      </c>
      <c r="F47" s="18">
        <f>E47/$E$132</f>
        <v/>
      </c>
      <c r="G47" s="17">
        <f>G46+E47</f>
        <v/>
      </c>
      <c r="H47" s="18">
        <f>G47/$E$132</f>
        <v/>
      </c>
      <c r="I47" s="18">
        <f>A47/120</f>
        <v/>
      </c>
      <c r="J47" s="19">
        <f>IF(H47&lt;=$B$7, "Top Tier (&lt;=80% Rev)", "Tail Tier (&gt;80% Rev)")</f>
        <v/>
      </c>
      <c r="K47" s="14">
        <f>IF(I47&lt;=$B$6, "Top 20% SKU", "Bottom 80% SKU")</f>
        <v/>
      </c>
    </row>
    <row r="48" ht="18" customHeight="1">
      <c r="A48" s="14" t="n">
        <v>37</v>
      </c>
      <c r="B48" s="15" t="inlineStr">
        <is>
          <t>Falcon Cycling Pro-499</t>
        </is>
      </c>
      <c r="C48" s="15">
        <f>XLOOKUP(B48, product_lookup!$A$2:$A$121, product_lookup!$B$2:$B$121, "Unknown")</f>
        <v/>
      </c>
      <c r="D48" s="16">
        <f>SUMIFS(retail_transactions!$F$2:$F$10001, retail_transactions!$C$2:$C$10001, B48)</f>
        <v/>
      </c>
      <c r="E48" s="17">
        <f>SUMIFS(retail_transactions!$K$2:$K$10001, retail_transactions!$C$2:$C$10001, B48)</f>
        <v/>
      </c>
      <c r="F48" s="18">
        <f>E48/$E$132</f>
        <v/>
      </c>
      <c r="G48" s="17">
        <f>G47+E48</f>
        <v/>
      </c>
      <c r="H48" s="18">
        <f>G48/$E$132</f>
        <v/>
      </c>
      <c r="I48" s="18">
        <f>A48/120</f>
        <v/>
      </c>
      <c r="J48" s="19">
        <f>IF(H48&lt;=$B$7, "Top Tier (&lt;=80% Rev)", "Tail Tier (&gt;80% Rev)")</f>
        <v/>
      </c>
      <c r="K48" s="14">
        <f>IF(I48&lt;=$B$6, "Top 20% SKU", "Bottom 80% SKU")</f>
        <v/>
      </c>
    </row>
    <row r="49" ht="18" customHeight="1">
      <c r="A49" s="14" t="n">
        <v>38</v>
      </c>
      <c r="B49" s="15" t="inlineStr">
        <is>
          <t>Nimbus Decor Lite-385</t>
        </is>
      </c>
      <c r="C49" s="15">
        <f>XLOOKUP(B49, product_lookup!$A$2:$A$121, product_lookup!$B$2:$B$121, "Unknown")</f>
        <v/>
      </c>
      <c r="D49" s="16">
        <f>SUMIFS(retail_transactions!$F$2:$F$10001, retail_transactions!$C$2:$C$10001, B49)</f>
        <v/>
      </c>
      <c r="E49" s="17">
        <f>SUMIFS(retail_transactions!$K$2:$K$10001, retail_transactions!$C$2:$C$10001, B49)</f>
        <v/>
      </c>
      <c r="F49" s="18">
        <f>E49/$E$132</f>
        <v/>
      </c>
      <c r="G49" s="17">
        <f>G48+E49</f>
        <v/>
      </c>
      <c r="H49" s="18">
        <f>G49/$E$132</f>
        <v/>
      </c>
      <c r="I49" s="18">
        <f>A49/120</f>
        <v/>
      </c>
      <c r="J49" s="19">
        <f>IF(H49&lt;=$B$7, "Top Tier (&lt;=80% Rev)", "Tail Tier (&gt;80% Rev)")</f>
        <v/>
      </c>
      <c r="K49" s="14">
        <f>IF(I49&lt;=$B$6, "Top 20% SKU", "Bottom 80% SKU")</f>
        <v/>
      </c>
    </row>
    <row r="50" ht="18" customHeight="1">
      <c r="A50" s="14" t="n">
        <v>39</v>
      </c>
      <c r="B50" s="15" t="inlineStr">
        <is>
          <t>Polar Bedding Lite-243</t>
        </is>
      </c>
      <c r="C50" s="15">
        <f>XLOOKUP(B50, product_lookup!$A$2:$A$121, product_lookup!$B$2:$B$121, "Unknown")</f>
        <v/>
      </c>
      <c r="D50" s="16">
        <f>SUMIFS(retail_transactions!$F$2:$F$10001, retail_transactions!$C$2:$C$10001, B50)</f>
        <v/>
      </c>
      <c r="E50" s="17">
        <f>SUMIFS(retail_transactions!$K$2:$K$10001, retail_transactions!$C$2:$C$10001, B50)</f>
        <v/>
      </c>
      <c r="F50" s="18">
        <f>E50/$E$132</f>
        <v/>
      </c>
      <c r="G50" s="17">
        <f>G49+E50</f>
        <v/>
      </c>
      <c r="H50" s="18">
        <f>G50/$E$132</f>
        <v/>
      </c>
      <c r="I50" s="18">
        <f>A50/120</f>
        <v/>
      </c>
      <c r="J50" s="19">
        <f>IF(H50&lt;=$B$7, "Top Tier (&lt;=80% Rev)", "Tail Tier (&gt;80% Rev)")</f>
        <v/>
      </c>
      <c r="K50" s="14">
        <f>IF(I50&lt;=$B$6, "Top 20% SKU", "Bottom 80% SKU")</f>
        <v/>
      </c>
    </row>
    <row r="51" ht="18" customHeight="1">
      <c r="A51" s="14" t="n">
        <v>40</v>
      </c>
      <c r="B51" s="15" t="inlineStr">
        <is>
          <t>Orion Supplie S-612</t>
        </is>
      </c>
      <c r="C51" s="15">
        <f>XLOOKUP(B51, product_lookup!$A$2:$A$121, product_lookup!$B$2:$B$121, "Unknown")</f>
        <v/>
      </c>
      <c r="D51" s="16">
        <f>SUMIFS(retail_transactions!$F$2:$F$10001, retail_transactions!$C$2:$C$10001, B51)</f>
        <v/>
      </c>
      <c r="E51" s="17">
        <f>SUMIFS(retail_transactions!$K$2:$K$10001, retail_transactions!$C$2:$C$10001, B51)</f>
        <v/>
      </c>
      <c r="F51" s="18">
        <f>E51/$E$132</f>
        <v/>
      </c>
      <c r="G51" s="17">
        <f>G50+E51</f>
        <v/>
      </c>
      <c r="H51" s="18">
        <f>G51/$E$132</f>
        <v/>
      </c>
      <c r="I51" s="18">
        <f>A51/120</f>
        <v/>
      </c>
      <c r="J51" s="19">
        <f>IF(H51&lt;=$B$7, "Top Tier (&lt;=80% Rev)", "Tail Tier (&gt;80% Rev)")</f>
        <v/>
      </c>
      <c r="K51" s="14">
        <f>IF(I51&lt;=$B$6, "Top 20% SKU", "Bottom 80% SKU")</f>
        <v/>
      </c>
    </row>
    <row r="52" ht="18" customHeight="1">
      <c r="A52" s="14" t="n">
        <v>41</v>
      </c>
      <c r="B52" s="15" t="inlineStr">
        <is>
          <t>Aurora Printer Plus-991</t>
        </is>
      </c>
      <c r="C52" s="15">
        <f>XLOOKUP(B52, product_lookup!$A$2:$A$121, product_lookup!$B$2:$B$121, "Unknown")</f>
        <v/>
      </c>
      <c r="D52" s="16">
        <f>SUMIFS(retail_transactions!$F$2:$F$10001, retail_transactions!$C$2:$C$10001, B52)</f>
        <v/>
      </c>
      <c r="E52" s="17">
        <f>SUMIFS(retail_transactions!$K$2:$K$10001, retail_transactions!$C$2:$C$10001, B52)</f>
        <v/>
      </c>
      <c r="F52" s="18">
        <f>E52/$E$132</f>
        <v/>
      </c>
      <c r="G52" s="17">
        <f>G51+E52</f>
        <v/>
      </c>
      <c r="H52" s="18">
        <f>G52/$E$132</f>
        <v/>
      </c>
      <c r="I52" s="18">
        <f>A52/120</f>
        <v/>
      </c>
      <c r="J52" s="19">
        <f>IF(H52&lt;=$B$7, "Top Tier (&lt;=80% Rev)", "Tail Tier (&gt;80% Rev)")</f>
        <v/>
      </c>
      <c r="K52" s="14">
        <f>IF(I52&lt;=$B$6, "Top 20% SKU", "Bottom 80% SKU")</f>
        <v/>
      </c>
    </row>
    <row r="53" ht="18" customHeight="1">
      <c r="A53" s="14" t="n">
        <v>42</v>
      </c>
      <c r="B53" s="15" t="inlineStr">
        <is>
          <t>Metro Outdoor Plus-787</t>
        </is>
      </c>
      <c r="C53" s="15">
        <f>XLOOKUP(B53, product_lookup!$A$2:$A$121, product_lookup!$B$2:$B$121, "Unknown")</f>
        <v/>
      </c>
      <c r="D53" s="16">
        <f>SUMIFS(retail_transactions!$F$2:$F$10001, retail_transactions!$C$2:$C$10001, B53)</f>
        <v/>
      </c>
      <c r="E53" s="17">
        <f>SUMIFS(retail_transactions!$K$2:$K$10001, retail_transactions!$C$2:$C$10001, B53)</f>
        <v/>
      </c>
      <c r="F53" s="18">
        <f>E53/$E$132</f>
        <v/>
      </c>
      <c r="G53" s="17">
        <f>G52+E53</f>
        <v/>
      </c>
      <c r="H53" s="18">
        <f>G53/$E$132</f>
        <v/>
      </c>
      <c r="I53" s="18">
        <f>A53/120</f>
        <v/>
      </c>
      <c r="J53" s="19">
        <f>IF(H53&lt;=$B$7, "Top Tier (&lt;=80% Rev)", "Tail Tier (&gt;80% Rev)")</f>
        <v/>
      </c>
      <c r="K53" s="14">
        <f>IF(I53&lt;=$B$6, "Top 20% SKU", "Bottom 80% SKU")</f>
        <v/>
      </c>
    </row>
    <row r="54" ht="18" customHeight="1">
      <c r="A54" s="14" t="n">
        <v>43</v>
      </c>
      <c r="B54" s="15" t="inlineStr">
        <is>
          <t>Metro Decor Lite-325</t>
        </is>
      </c>
      <c r="C54" s="15">
        <f>XLOOKUP(B54, product_lookup!$A$2:$A$121, product_lookup!$B$2:$B$121, "Unknown")</f>
        <v/>
      </c>
      <c r="D54" s="16">
        <f>SUMIFS(retail_transactions!$F$2:$F$10001, retail_transactions!$C$2:$C$10001, B54)</f>
        <v/>
      </c>
      <c r="E54" s="17">
        <f>SUMIFS(retail_transactions!$K$2:$K$10001, retail_transactions!$C$2:$C$10001, B54)</f>
        <v/>
      </c>
      <c r="F54" s="18">
        <f>E54/$E$132</f>
        <v/>
      </c>
      <c r="G54" s="17">
        <f>G53+E54</f>
        <v/>
      </c>
      <c r="H54" s="18">
        <f>G54/$E$132</f>
        <v/>
      </c>
      <c r="I54" s="18">
        <f>A54/120</f>
        <v/>
      </c>
      <c r="J54" s="19">
        <f>IF(H54&lt;=$B$7, "Top Tier (&lt;=80% Rev)", "Tail Tier (&gt;80% Rev)")</f>
        <v/>
      </c>
      <c r="K54" s="14">
        <f>IF(I54&lt;=$B$6, "Top 20% SKU", "Bottom 80% SKU")</f>
        <v/>
      </c>
    </row>
    <row r="55" ht="18" customHeight="1">
      <c r="A55" s="14" t="n">
        <v>44</v>
      </c>
      <c r="B55" s="15" t="inlineStr">
        <is>
          <t>Vertex Decor Pro-618</t>
        </is>
      </c>
      <c r="C55" s="15">
        <f>XLOOKUP(B55, product_lookup!$A$2:$A$121, product_lookup!$B$2:$B$121, "Unknown")</f>
        <v/>
      </c>
      <c r="D55" s="16">
        <f>SUMIFS(retail_transactions!$F$2:$F$10001, retail_transactions!$C$2:$C$10001, B55)</f>
        <v/>
      </c>
      <c r="E55" s="17">
        <f>SUMIFS(retail_transactions!$K$2:$K$10001, retail_transactions!$C$2:$C$10001, B55)</f>
        <v/>
      </c>
      <c r="F55" s="18">
        <f>E55/$E$132</f>
        <v/>
      </c>
      <c r="G55" s="17">
        <f>G54+E55</f>
        <v/>
      </c>
      <c r="H55" s="18">
        <f>G55/$E$132</f>
        <v/>
      </c>
      <c r="I55" s="18">
        <f>A55/120</f>
        <v/>
      </c>
      <c r="J55" s="19">
        <f>IF(H55&lt;=$B$7, "Top Tier (&lt;=80% Rev)", "Tail Tier (&gt;80% Rev)")</f>
        <v/>
      </c>
      <c r="K55" s="14">
        <f>IF(I55&lt;=$B$6, "Top 20% SKU", "Bottom 80% SKU")</f>
        <v/>
      </c>
    </row>
    <row r="56" ht="18" customHeight="1">
      <c r="A56" s="14" t="n">
        <v>45</v>
      </c>
      <c r="B56" s="15" t="inlineStr">
        <is>
          <t>Solace Kitchen Pro-510</t>
        </is>
      </c>
      <c r="C56" s="15">
        <f>XLOOKUP(B56, product_lookup!$A$2:$A$121, product_lookup!$B$2:$B$121, "Unknown")</f>
        <v/>
      </c>
      <c r="D56" s="16">
        <f>SUMIFS(retail_transactions!$F$2:$F$10001, retail_transactions!$C$2:$C$10001, B56)</f>
        <v/>
      </c>
      <c r="E56" s="17">
        <f>SUMIFS(retail_transactions!$K$2:$K$10001, retail_transactions!$C$2:$C$10001, B56)</f>
        <v/>
      </c>
      <c r="F56" s="18">
        <f>E56/$E$132</f>
        <v/>
      </c>
      <c r="G56" s="17">
        <f>G55+E56</f>
        <v/>
      </c>
      <c r="H56" s="18">
        <f>G56/$E$132</f>
        <v/>
      </c>
      <c r="I56" s="18">
        <f>A56/120</f>
        <v/>
      </c>
      <c r="J56" s="19">
        <f>IF(H56&lt;=$B$7, "Top Tier (&lt;=80% Rev)", "Tail Tier (&gt;80% Rev)")</f>
        <v/>
      </c>
      <c r="K56" s="14">
        <f>IF(I56&lt;=$B$6, "Top 20% SKU", "Bottom 80% SKU")</f>
        <v/>
      </c>
    </row>
    <row r="57" ht="18" customHeight="1">
      <c r="A57" s="14" t="n">
        <v>46</v>
      </c>
      <c r="B57" s="15" t="inlineStr">
        <is>
          <t>Orion Storage Plus-961</t>
        </is>
      </c>
      <c r="C57" s="15">
        <f>XLOOKUP(B57, product_lookup!$A$2:$A$121, product_lookup!$B$2:$B$121, "Unknown")</f>
        <v/>
      </c>
      <c r="D57" s="16">
        <f>SUMIFS(retail_transactions!$F$2:$F$10001, retail_transactions!$C$2:$C$10001, B57)</f>
        <v/>
      </c>
      <c r="E57" s="17">
        <f>SUMIFS(retail_transactions!$K$2:$K$10001, retail_transactions!$C$2:$C$10001, B57)</f>
        <v/>
      </c>
      <c r="F57" s="18">
        <f>E57/$E$132</f>
        <v/>
      </c>
      <c r="G57" s="17">
        <f>G56+E57</f>
        <v/>
      </c>
      <c r="H57" s="18">
        <f>G57/$E$132</f>
        <v/>
      </c>
      <c r="I57" s="18">
        <f>A57/120</f>
        <v/>
      </c>
      <c r="J57" s="19">
        <f>IF(H57&lt;=$B$7, "Top Tier (&lt;=80% Rev)", "Tail Tier (&gt;80% Rev)")</f>
        <v/>
      </c>
      <c r="K57" s="14">
        <f>IF(I57&lt;=$B$6, "Top 20% SKU", "Bottom 80% SKU")</f>
        <v/>
      </c>
    </row>
    <row r="58" ht="18" customHeight="1">
      <c r="A58" s="14" t="n">
        <v>47</v>
      </c>
      <c r="B58" s="15" t="inlineStr">
        <is>
          <t>Vertex Appliance S-296</t>
        </is>
      </c>
      <c r="C58" s="15">
        <f>XLOOKUP(B58, product_lookup!$A$2:$A$121, product_lookup!$B$2:$B$121, "Unknown")</f>
        <v/>
      </c>
      <c r="D58" s="16">
        <f>SUMIFS(retail_transactions!$F$2:$F$10001, retail_transactions!$C$2:$C$10001, B58)</f>
        <v/>
      </c>
      <c r="E58" s="17">
        <f>SUMIFS(retail_transactions!$K$2:$K$10001, retail_transactions!$C$2:$C$10001, B58)</f>
        <v/>
      </c>
      <c r="F58" s="18">
        <f>E58/$E$132</f>
        <v/>
      </c>
      <c r="G58" s="17">
        <f>G57+E58</f>
        <v/>
      </c>
      <c r="H58" s="18">
        <f>G58/$E$132</f>
        <v/>
      </c>
      <c r="I58" s="18">
        <f>A58/120</f>
        <v/>
      </c>
      <c r="J58" s="19">
        <f>IF(H58&lt;=$B$7, "Top Tier (&lt;=80% Rev)", "Tail Tier (&gt;80% Rev)")</f>
        <v/>
      </c>
      <c r="K58" s="14">
        <f>IF(I58&lt;=$B$6, "Top 20% SKU", "Bottom 80% SKU")</f>
        <v/>
      </c>
    </row>
    <row r="59" ht="18" customHeight="1">
      <c r="A59" s="14" t="n">
        <v>48</v>
      </c>
      <c r="B59" s="15" t="inlineStr">
        <is>
          <t>Orion Kitchen Pro-568</t>
        </is>
      </c>
      <c r="C59" s="15">
        <f>XLOOKUP(B59, product_lookup!$A$2:$A$121, product_lookup!$B$2:$B$121, "Unknown")</f>
        <v/>
      </c>
      <c r="D59" s="16">
        <f>SUMIFS(retail_transactions!$F$2:$F$10001, retail_transactions!$C$2:$C$10001, B59)</f>
        <v/>
      </c>
      <c r="E59" s="17">
        <f>SUMIFS(retail_transactions!$K$2:$K$10001, retail_transactions!$C$2:$C$10001, B59)</f>
        <v/>
      </c>
      <c r="F59" s="18">
        <f>E59/$E$132</f>
        <v/>
      </c>
      <c r="G59" s="17">
        <f>G58+E59</f>
        <v/>
      </c>
      <c r="H59" s="18">
        <f>G59/$E$132</f>
        <v/>
      </c>
      <c r="I59" s="18">
        <f>A59/120</f>
        <v/>
      </c>
      <c r="J59" s="19">
        <f>IF(H59&lt;=$B$7, "Top Tier (&lt;=80% Rev)", "Tail Tier (&gt;80% Rev)")</f>
        <v/>
      </c>
      <c r="K59" s="14">
        <f>IF(I59&lt;=$B$6, "Top 20% SKU", "Bottom 80% SKU")</f>
        <v/>
      </c>
    </row>
    <row r="60" ht="18" customHeight="1">
      <c r="A60" s="14" t="n">
        <v>49</v>
      </c>
      <c r="B60" s="15" t="inlineStr">
        <is>
          <t>Vertex Supplie Pro-786</t>
        </is>
      </c>
      <c r="C60" s="15">
        <f>XLOOKUP(B60, product_lookup!$A$2:$A$121, product_lookup!$B$2:$B$121, "Unknown")</f>
        <v/>
      </c>
      <c r="D60" s="16">
        <f>SUMIFS(retail_transactions!$F$2:$F$10001, retail_transactions!$C$2:$C$10001, B60)</f>
        <v/>
      </c>
      <c r="E60" s="17">
        <f>SUMIFS(retail_transactions!$K$2:$K$10001, retail_transactions!$C$2:$C$10001, B60)</f>
        <v/>
      </c>
      <c r="F60" s="18">
        <f>E60/$E$132</f>
        <v/>
      </c>
      <c r="G60" s="17">
        <f>G59+E60</f>
        <v/>
      </c>
      <c r="H60" s="18">
        <f>G60/$E$132</f>
        <v/>
      </c>
      <c r="I60" s="18">
        <f>A60/120</f>
        <v/>
      </c>
      <c r="J60" s="19">
        <f>IF(H60&lt;=$B$7, "Top Tier (&lt;=80% Rev)", "Tail Tier (&gt;80% Rev)")</f>
        <v/>
      </c>
      <c r="K60" s="14">
        <f>IF(I60&lt;=$B$6, "Top 20% SKU", "Bottom 80% SKU")</f>
        <v/>
      </c>
    </row>
    <row r="61" ht="18" customHeight="1">
      <c r="A61" s="14" t="n">
        <v>50</v>
      </c>
      <c r="B61" s="15" t="inlineStr">
        <is>
          <t>Polar Supplie Lite-348</t>
        </is>
      </c>
      <c r="C61" s="15">
        <f>XLOOKUP(B61, product_lookup!$A$2:$A$121, product_lookup!$B$2:$B$121, "Unknown")</f>
        <v/>
      </c>
      <c r="D61" s="16">
        <f>SUMIFS(retail_transactions!$F$2:$F$10001, retail_transactions!$C$2:$C$10001, B61)</f>
        <v/>
      </c>
      <c r="E61" s="17">
        <f>SUMIFS(retail_transactions!$K$2:$K$10001, retail_transactions!$C$2:$C$10001, B61)</f>
        <v/>
      </c>
      <c r="F61" s="18">
        <f>E61/$E$132</f>
        <v/>
      </c>
      <c r="G61" s="17">
        <f>G60+E61</f>
        <v/>
      </c>
      <c r="H61" s="18">
        <f>G61/$E$132</f>
        <v/>
      </c>
      <c r="I61" s="18">
        <f>A61/120</f>
        <v/>
      </c>
      <c r="J61" s="19">
        <f>IF(H61&lt;=$B$7, "Top Tier (&lt;=80% Rev)", "Tail Tier (&gt;80% Rev)")</f>
        <v/>
      </c>
      <c r="K61" s="14">
        <f>IF(I61&lt;=$B$6, "Top 20% SKU", "Bottom 80% SKU")</f>
        <v/>
      </c>
    </row>
    <row r="62" ht="18" customHeight="1">
      <c r="A62" s="14" t="n">
        <v>51</v>
      </c>
      <c r="B62" s="15" t="inlineStr">
        <is>
          <t>Vertex Appliance Max-338</t>
        </is>
      </c>
      <c r="C62" s="15">
        <f>XLOOKUP(B62, product_lookup!$A$2:$A$121, product_lookup!$B$2:$B$121, "Unknown")</f>
        <v/>
      </c>
      <c r="D62" s="16">
        <f>SUMIFS(retail_transactions!$F$2:$F$10001, retail_transactions!$C$2:$C$10001, B62)</f>
        <v/>
      </c>
      <c r="E62" s="17">
        <f>SUMIFS(retail_transactions!$K$2:$K$10001, retail_transactions!$C$2:$C$10001, B62)</f>
        <v/>
      </c>
      <c r="F62" s="18">
        <f>E62/$E$132</f>
        <v/>
      </c>
      <c r="G62" s="17">
        <f>G61+E62</f>
        <v/>
      </c>
      <c r="H62" s="18">
        <f>G62/$E$132</f>
        <v/>
      </c>
      <c r="I62" s="18">
        <f>A62/120</f>
        <v/>
      </c>
      <c r="J62" s="19">
        <f>IF(H62&lt;=$B$7, "Top Tier (&lt;=80% Rev)", "Tail Tier (&gt;80% Rev)")</f>
        <v/>
      </c>
      <c r="K62" s="14">
        <f>IF(I62&lt;=$B$6, "Top 20% SKU", "Bottom 80% SKU")</f>
        <v/>
      </c>
    </row>
    <row r="63" ht="18" customHeight="1">
      <c r="A63" s="14" t="n">
        <v>52</v>
      </c>
      <c r="B63" s="15" t="inlineStr">
        <is>
          <t>Nimbus Storage Plus-646</t>
        </is>
      </c>
      <c r="C63" s="15">
        <f>XLOOKUP(B63, product_lookup!$A$2:$A$121, product_lookup!$B$2:$B$121, "Unknown")</f>
        <v/>
      </c>
      <c r="D63" s="16">
        <f>SUMIFS(retail_transactions!$F$2:$F$10001, retail_transactions!$C$2:$C$10001, B63)</f>
        <v/>
      </c>
      <c r="E63" s="17">
        <f>SUMIFS(retail_transactions!$K$2:$K$10001, retail_transactions!$C$2:$C$10001, B63)</f>
        <v/>
      </c>
      <c r="F63" s="18">
        <f>E63/$E$132</f>
        <v/>
      </c>
      <c r="G63" s="17">
        <f>G62+E63</f>
        <v/>
      </c>
      <c r="H63" s="18">
        <f>G63/$E$132</f>
        <v/>
      </c>
      <c r="I63" s="18">
        <f>A63/120</f>
        <v/>
      </c>
      <c r="J63" s="19">
        <f>IF(H63&lt;=$B$7, "Top Tier (&lt;=80% Rev)", "Tail Tier (&gt;80% Rev)")</f>
        <v/>
      </c>
      <c r="K63" s="14">
        <f>IF(I63&lt;=$B$6, "Top 20% SKU", "Bottom 80% SKU")</f>
        <v/>
      </c>
    </row>
    <row r="64" ht="18" customHeight="1">
      <c r="A64" s="14" t="n">
        <v>53</v>
      </c>
      <c r="B64" s="15" t="inlineStr">
        <is>
          <t>Aurora Furniture X-709</t>
        </is>
      </c>
      <c r="C64" s="15">
        <f>XLOOKUP(B64, product_lookup!$A$2:$A$121, product_lookup!$B$2:$B$121, "Unknown")</f>
        <v/>
      </c>
      <c r="D64" s="16">
        <f>SUMIFS(retail_transactions!$F$2:$F$10001, retail_transactions!$C$2:$C$10001, B64)</f>
        <v/>
      </c>
      <c r="E64" s="17">
        <f>SUMIFS(retail_transactions!$K$2:$K$10001, retail_transactions!$C$2:$C$10001, B64)</f>
        <v/>
      </c>
      <c r="F64" s="18">
        <f>E64/$E$132</f>
        <v/>
      </c>
      <c r="G64" s="17">
        <f>G63+E64</f>
        <v/>
      </c>
      <c r="H64" s="18">
        <f>G64/$E$132</f>
        <v/>
      </c>
      <c r="I64" s="18">
        <f>A64/120</f>
        <v/>
      </c>
      <c r="J64" s="19">
        <f>IF(H64&lt;=$B$7, "Top Tier (&lt;=80% Rev)", "Tail Tier (&gt;80% Rev)")</f>
        <v/>
      </c>
      <c r="K64" s="14">
        <f>IF(I64&lt;=$B$6, "Top 20% SKU", "Bottom 80% SKU")</f>
        <v/>
      </c>
    </row>
    <row r="65" ht="18" customHeight="1">
      <c r="A65" s="14" t="n">
        <v>54</v>
      </c>
      <c r="B65" s="15" t="inlineStr">
        <is>
          <t>Vertex Furniture S-652</t>
        </is>
      </c>
      <c r="C65" s="15">
        <f>XLOOKUP(B65, product_lookup!$A$2:$A$121, product_lookup!$B$2:$B$121, "Unknown")</f>
        <v/>
      </c>
      <c r="D65" s="16">
        <f>SUMIFS(retail_transactions!$F$2:$F$10001, retail_transactions!$C$2:$C$10001, B65)</f>
        <v/>
      </c>
      <c r="E65" s="17">
        <f>SUMIFS(retail_transactions!$K$2:$K$10001, retail_transactions!$C$2:$C$10001, B65)</f>
        <v/>
      </c>
      <c r="F65" s="18">
        <f>E65/$E$132</f>
        <v/>
      </c>
      <c r="G65" s="17">
        <f>G64+E65</f>
        <v/>
      </c>
      <c r="H65" s="18">
        <f>G65/$E$132</f>
        <v/>
      </c>
      <c r="I65" s="18">
        <f>A65/120</f>
        <v/>
      </c>
      <c r="J65" s="19">
        <f>IF(H65&lt;=$B$7, "Top Tier (&lt;=80% Rev)", "Tail Tier (&gt;80% Rev)")</f>
        <v/>
      </c>
      <c r="K65" s="14">
        <f>IF(I65&lt;=$B$6, "Top 20% SKU", "Bottom 80% SKU")</f>
        <v/>
      </c>
    </row>
    <row r="66" ht="18" customHeight="1">
      <c r="A66" s="14" t="n">
        <v>55</v>
      </c>
      <c r="B66" s="15" t="inlineStr">
        <is>
          <t>Vertex Supplie X-513</t>
        </is>
      </c>
      <c r="C66" s="15">
        <f>XLOOKUP(B66, product_lookup!$A$2:$A$121, product_lookup!$B$2:$B$121, "Unknown")</f>
        <v/>
      </c>
      <c r="D66" s="16">
        <f>SUMIFS(retail_transactions!$F$2:$F$10001, retail_transactions!$C$2:$C$10001, B66)</f>
        <v/>
      </c>
      <c r="E66" s="17">
        <f>SUMIFS(retail_transactions!$K$2:$K$10001, retail_transactions!$C$2:$C$10001, B66)</f>
        <v/>
      </c>
      <c r="F66" s="18">
        <f>E66/$E$132</f>
        <v/>
      </c>
      <c r="G66" s="17">
        <f>G65+E66</f>
        <v/>
      </c>
      <c r="H66" s="18">
        <f>G66/$E$132</f>
        <v/>
      </c>
      <c r="I66" s="18">
        <f>A66/120</f>
        <v/>
      </c>
      <c r="J66" s="14">
        <f>IF(H66&lt;=$B$7, "Top Tier (&lt;=80% Rev)", "Tail Tier (&gt;80% Rev)")</f>
        <v/>
      </c>
      <c r="K66" s="14">
        <f>IF(I66&lt;=$B$6, "Top 20% SKU", "Bottom 80% SKU")</f>
        <v/>
      </c>
    </row>
    <row r="67" ht="18" customHeight="1">
      <c r="A67" s="14" t="n">
        <v>56</v>
      </c>
      <c r="B67" s="15" t="inlineStr">
        <is>
          <t>Solace Kitchen Pro-999</t>
        </is>
      </c>
      <c r="C67" s="15">
        <f>XLOOKUP(B67, product_lookup!$A$2:$A$121, product_lookup!$B$2:$B$121, "Unknown")</f>
        <v/>
      </c>
      <c r="D67" s="16">
        <f>SUMIFS(retail_transactions!$F$2:$F$10001, retail_transactions!$C$2:$C$10001, B67)</f>
        <v/>
      </c>
      <c r="E67" s="17">
        <f>SUMIFS(retail_transactions!$K$2:$K$10001, retail_transactions!$C$2:$C$10001, B67)</f>
        <v/>
      </c>
      <c r="F67" s="18">
        <f>E67/$E$132</f>
        <v/>
      </c>
      <c r="G67" s="17">
        <f>G66+E67</f>
        <v/>
      </c>
      <c r="H67" s="18">
        <f>G67/$E$132</f>
        <v/>
      </c>
      <c r="I67" s="18">
        <f>A67/120</f>
        <v/>
      </c>
      <c r="J67" s="14">
        <f>IF(H67&lt;=$B$7, "Top Tier (&lt;=80% Rev)", "Tail Tier (&gt;80% Rev)")</f>
        <v/>
      </c>
      <c r="K67" s="14">
        <f>IF(I67&lt;=$B$6, "Top 20% SKU", "Bottom 80% SKU")</f>
        <v/>
      </c>
    </row>
    <row r="68" ht="18" customHeight="1">
      <c r="A68" s="14" t="n">
        <v>57</v>
      </c>
      <c r="B68" s="15" t="inlineStr">
        <is>
          <t>Falcon Storage X-734</t>
        </is>
      </c>
      <c r="C68" s="15">
        <f>XLOOKUP(B68, product_lookup!$A$2:$A$121, product_lookup!$B$2:$B$121, "Unknown")</f>
        <v/>
      </c>
      <c r="D68" s="16">
        <f>SUMIFS(retail_transactions!$F$2:$F$10001, retail_transactions!$C$2:$C$10001, B68)</f>
        <v/>
      </c>
      <c r="E68" s="17">
        <f>SUMIFS(retail_transactions!$K$2:$K$10001, retail_transactions!$C$2:$C$10001, B68)</f>
        <v/>
      </c>
      <c r="F68" s="18">
        <f>E68/$E$132</f>
        <v/>
      </c>
      <c r="G68" s="17">
        <f>G67+E68</f>
        <v/>
      </c>
      <c r="H68" s="18">
        <f>G68/$E$132</f>
        <v/>
      </c>
      <c r="I68" s="18">
        <f>A68/120</f>
        <v/>
      </c>
      <c r="J68" s="14">
        <f>IF(H68&lt;=$B$7, "Top Tier (&lt;=80% Rev)", "Tail Tier (&gt;80% Rev)")</f>
        <v/>
      </c>
      <c r="K68" s="14">
        <f>IF(I68&lt;=$B$6, "Top 20% SKU", "Bottom 80% SKU")</f>
        <v/>
      </c>
    </row>
    <row r="69" ht="18" customHeight="1">
      <c r="A69" s="14" t="n">
        <v>58</v>
      </c>
      <c r="B69" s="15" t="inlineStr">
        <is>
          <t>Solace Kitchen X-919</t>
        </is>
      </c>
      <c r="C69" s="15">
        <f>XLOOKUP(B69, product_lookup!$A$2:$A$121, product_lookup!$B$2:$B$121, "Unknown")</f>
        <v/>
      </c>
      <c r="D69" s="16">
        <f>SUMIFS(retail_transactions!$F$2:$F$10001, retail_transactions!$C$2:$C$10001, B69)</f>
        <v/>
      </c>
      <c r="E69" s="17">
        <f>SUMIFS(retail_transactions!$K$2:$K$10001, retail_transactions!$C$2:$C$10001, B69)</f>
        <v/>
      </c>
      <c r="F69" s="18">
        <f>E69/$E$132</f>
        <v/>
      </c>
      <c r="G69" s="17">
        <f>G68+E69</f>
        <v/>
      </c>
      <c r="H69" s="18">
        <f>G69/$E$132</f>
        <v/>
      </c>
      <c r="I69" s="18">
        <f>A69/120</f>
        <v/>
      </c>
      <c r="J69" s="14">
        <f>IF(H69&lt;=$B$7, "Top Tier (&lt;=80% Rev)", "Tail Tier (&gt;80% Rev)")</f>
        <v/>
      </c>
      <c r="K69" s="14">
        <f>IF(I69&lt;=$B$6, "Top 20% SKU", "Bottom 80% SKU")</f>
        <v/>
      </c>
    </row>
    <row r="70" ht="18" customHeight="1">
      <c r="A70" s="14" t="n">
        <v>59</v>
      </c>
      <c r="B70" s="15" t="inlineStr">
        <is>
          <t>Falcon Kitchen X-130</t>
        </is>
      </c>
      <c r="C70" s="15">
        <f>XLOOKUP(B70, product_lookup!$A$2:$A$121, product_lookup!$B$2:$B$121, "Unknown")</f>
        <v/>
      </c>
      <c r="D70" s="16">
        <f>SUMIFS(retail_transactions!$F$2:$F$10001, retail_transactions!$C$2:$C$10001, B70)</f>
        <v/>
      </c>
      <c r="E70" s="17">
        <f>SUMIFS(retail_transactions!$K$2:$K$10001, retail_transactions!$C$2:$C$10001, B70)</f>
        <v/>
      </c>
      <c r="F70" s="18">
        <f>E70/$E$132</f>
        <v/>
      </c>
      <c r="G70" s="17">
        <f>G69+E70</f>
        <v/>
      </c>
      <c r="H70" s="18">
        <f>G70/$E$132</f>
        <v/>
      </c>
      <c r="I70" s="18">
        <f>A70/120</f>
        <v/>
      </c>
      <c r="J70" s="14">
        <f>IF(H70&lt;=$B$7, "Top Tier (&lt;=80% Rev)", "Tail Tier (&gt;80% Rev)")</f>
        <v/>
      </c>
      <c r="K70" s="14">
        <f>IF(I70&lt;=$B$6, "Top 20% SKU", "Bottom 80% SKU")</f>
        <v/>
      </c>
    </row>
    <row r="71" ht="18" customHeight="1">
      <c r="A71" s="14" t="n">
        <v>60</v>
      </c>
      <c r="B71" s="15" t="inlineStr">
        <is>
          <t>Orion Team Sport X-926</t>
        </is>
      </c>
      <c r="C71" s="15">
        <f>XLOOKUP(B71, product_lookup!$A$2:$A$121, product_lookup!$B$2:$B$121, "Unknown")</f>
        <v/>
      </c>
      <c r="D71" s="16">
        <f>SUMIFS(retail_transactions!$F$2:$F$10001, retail_transactions!$C$2:$C$10001, B71)</f>
        <v/>
      </c>
      <c r="E71" s="17">
        <f>SUMIFS(retail_transactions!$K$2:$K$10001, retail_transactions!$C$2:$C$10001, B71)</f>
        <v/>
      </c>
      <c r="F71" s="18">
        <f>E71/$E$132</f>
        <v/>
      </c>
      <c r="G71" s="17">
        <f>G70+E71</f>
        <v/>
      </c>
      <c r="H71" s="18">
        <f>G71/$E$132</f>
        <v/>
      </c>
      <c r="I71" s="18">
        <f>A71/120</f>
        <v/>
      </c>
      <c r="J71" s="14">
        <f>IF(H71&lt;=$B$7, "Top Tier (&lt;=80% Rev)", "Tail Tier (&gt;80% Rev)")</f>
        <v/>
      </c>
      <c r="K71" s="14">
        <f>IF(I71&lt;=$B$6, "Top 20% SKU", "Bottom 80% SKU")</f>
        <v/>
      </c>
    </row>
    <row r="72" ht="18" customHeight="1">
      <c r="A72" s="14" t="n">
        <v>61</v>
      </c>
      <c r="B72" s="15" t="inlineStr">
        <is>
          <t>Vertex Appliance S-159</t>
        </is>
      </c>
      <c r="C72" s="15">
        <f>XLOOKUP(B72, product_lookup!$A$2:$A$121, product_lookup!$B$2:$B$121, "Unknown")</f>
        <v/>
      </c>
      <c r="D72" s="16">
        <f>SUMIFS(retail_transactions!$F$2:$F$10001, retail_transactions!$C$2:$C$10001, B72)</f>
        <v/>
      </c>
      <c r="E72" s="17">
        <f>SUMIFS(retail_transactions!$K$2:$K$10001, retail_transactions!$C$2:$C$10001, B72)</f>
        <v/>
      </c>
      <c r="F72" s="18">
        <f>E72/$E$132</f>
        <v/>
      </c>
      <c r="G72" s="17">
        <f>G71+E72</f>
        <v/>
      </c>
      <c r="H72" s="18">
        <f>G72/$E$132</f>
        <v/>
      </c>
      <c r="I72" s="18">
        <f>A72/120</f>
        <v/>
      </c>
      <c r="J72" s="14">
        <f>IF(H72&lt;=$B$7, "Top Tier (&lt;=80% Rev)", "Tail Tier (&gt;80% Rev)")</f>
        <v/>
      </c>
      <c r="K72" s="14">
        <f>IF(I72&lt;=$B$6, "Top 20% SKU", "Bottom 80% SKU")</f>
        <v/>
      </c>
    </row>
    <row r="73" ht="18" customHeight="1">
      <c r="A73" s="14" t="n">
        <v>62</v>
      </c>
      <c r="B73" s="15" t="inlineStr">
        <is>
          <t>Aurora Bedding Plus-187</t>
        </is>
      </c>
      <c r="C73" s="15">
        <f>XLOOKUP(B73, product_lookup!$A$2:$A$121, product_lookup!$B$2:$B$121, "Unknown")</f>
        <v/>
      </c>
      <c r="D73" s="16">
        <f>SUMIFS(retail_transactions!$F$2:$F$10001, retail_transactions!$C$2:$C$10001, B73)</f>
        <v/>
      </c>
      <c r="E73" s="17">
        <f>SUMIFS(retail_transactions!$K$2:$K$10001, retail_transactions!$C$2:$C$10001, B73)</f>
        <v/>
      </c>
      <c r="F73" s="18">
        <f>E73/$E$132</f>
        <v/>
      </c>
      <c r="G73" s="17">
        <f>G72+E73</f>
        <v/>
      </c>
      <c r="H73" s="18">
        <f>G73/$E$132</f>
        <v/>
      </c>
      <c r="I73" s="18">
        <f>A73/120</f>
        <v/>
      </c>
      <c r="J73" s="14">
        <f>IF(H73&lt;=$B$7, "Top Tier (&lt;=80% Rev)", "Tail Tier (&gt;80% Rev)")</f>
        <v/>
      </c>
      <c r="K73" s="14">
        <f>IF(I73&lt;=$B$6, "Top 20% SKU", "Bottom 80% SKU")</f>
        <v/>
      </c>
    </row>
    <row r="74" ht="18" customHeight="1">
      <c r="A74" s="14" t="n">
        <v>63</v>
      </c>
      <c r="B74" s="15" t="inlineStr">
        <is>
          <t>Aurora Appliance Lite-109</t>
        </is>
      </c>
      <c r="C74" s="15">
        <f>XLOOKUP(B74, product_lookup!$A$2:$A$121, product_lookup!$B$2:$B$121, "Unknown")</f>
        <v/>
      </c>
      <c r="D74" s="16">
        <f>SUMIFS(retail_transactions!$F$2:$F$10001, retail_transactions!$C$2:$C$10001, B74)</f>
        <v/>
      </c>
      <c r="E74" s="17">
        <f>SUMIFS(retail_transactions!$K$2:$K$10001, retail_transactions!$C$2:$C$10001, B74)</f>
        <v/>
      </c>
      <c r="F74" s="18">
        <f>E74/$E$132</f>
        <v/>
      </c>
      <c r="G74" s="17">
        <f>G73+E74</f>
        <v/>
      </c>
      <c r="H74" s="18">
        <f>G74/$E$132</f>
        <v/>
      </c>
      <c r="I74" s="18">
        <f>A74/120</f>
        <v/>
      </c>
      <c r="J74" s="14">
        <f>IF(H74&lt;=$B$7, "Top Tier (&lt;=80% Rev)", "Tail Tier (&gt;80% Rev)")</f>
        <v/>
      </c>
      <c r="K74" s="14">
        <f>IF(I74&lt;=$B$6, "Top 20% SKU", "Bottom 80% SKU")</f>
        <v/>
      </c>
    </row>
    <row r="75" ht="18" customHeight="1">
      <c r="A75" s="14" t="n">
        <v>64</v>
      </c>
      <c r="B75" s="15" t="inlineStr">
        <is>
          <t>Nimbus Furniture Pro-479</t>
        </is>
      </c>
      <c r="C75" s="15">
        <f>XLOOKUP(B75, product_lookup!$A$2:$A$121, product_lookup!$B$2:$B$121, "Unknown")</f>
        <v/>
      </c>
      <c r="D75" s="16">
        <f>SUMIFS(retail_transactions!$F$2:$F$10001, retail_transactions!$C$2:$C$10001, B75)</f>
        <v/>
      </c>
      <c r="E75" s="17">
        <f>SUMIFS(retail_transactions!$K$2:$K$10001, retail_transactions!$C$2:$C$10001, B75)</f>
        <v/>
      </c>
      <c r="F75" s="18">
        <f>E75/$E$132</f>
        <v/>
      </c>
      <c r="G75" s="17">
        <f>G74+E75</f>
        <v/>
      </c>
      <c r="H75" s="18">
        <f>G75/$E$132</f>
        <v/>
      </c>
      <c r="I75" s="18">
        <f>A75/120</f>
        <v/>
      </c>
      <c r="J75" s="14">
        <f>IF(H75&lt;=$B$7, "Top Tier (&lt;=80% Rev)", "Tail Tier (&gt;80% Rev)")</f>
        <v/>
      </c>
      <c r="K75" s="14">
        <f>IF(I75&lt;=$B$6, "Top 20% SKU", "Bottom 80% SKU")</f>
        <v/>
      </c>
    </row>
    <row r="76" ht="18" customHeight="1">
      <c r="A76" s="14" t="n">
        <v>65</v>
      </c>
      <c r="B76" s="15" t="inlineStr">
        <is>
          <t>Polar Decor Plus-505</t>
        </is>
      </c>
      <c r="C76" s="15">
        <f>XLOOKUP(B76, product_lookup!$A$2:$A$121, product_lookup!$B$2:$B$121, "Unknown")</f>
        <v/>
      </c>
      <c r="D76" s="16">
        <f>SUMIFS(retail_transactions!$F$2:$F$10001, retail_transactions!$C$2:$C$10001, B76)</f>
        <v/>
      </c>
      <c r="E76" s="17">
        <f>SUMIFS(retail_transactions!$K$2:$K$10001, retail_transactions!$C$2:$C$10001, B76)</f>
        <v/>
      </c>
      <c r="F76" s="18">
        <f>E76/$E$132</f>
        <v/>
      </c>
      <c r="G76" s="17">
        <f>G75+E76</f>
        <v/>
      </c>
      <c r="H76" s="18">
        <f>G76/$E$132</f>
        <v/>
      </c>
      <c r="I76" s="18">
        <f>A76/120</f>
        <v/>
      </c>
      <c r="J76" s="14">
        <f>IF(H76&lt;=$B$7, "Top Tier (&lt;=80% Rev)", "Tail Tier (&gt;80% Rev)")</f>
        <v/>
      </c>
      <c r="K76" s="14">
        <f>IF(I76&lt;=$B$6, "Top 20% SKU", "Bottom 80% SKU")</f>
        <v/>
      </c>
    </row>
    <row r="77" ht="18" customHeight="1">
      <c r="A77" s="14" t="n">
        <v>66</v>
      </c>
      <c r="B77" s="15" t="inlineStr">
        <is>
          <t>Aurora Appliance Max-316</t>
        </is>
      </c>
      <c r="C77" s="15">
        <f>XLOOKUP(B77, product_lookup!$A$2:$A$121, product_lookup!$B$2:$B$121, "Unknown")</f>
        <v/>
      </c>
      <c r="D77" s="16">
        <f>SUMIFS(retail_transactions!$F$2:$F$10001, retail_transactions!$C$2:$C$10001, B77)</f>
        <v/>
      </c>
      <c r="E77" s="17">
        <f>SUMIFS(retail_transactions!$K$2:$K$10001, retail_transactions!$C$2:$C$10001, B77)</f>
        <v/>
      </c>
      <c r="F77" s="18">
        <f>E77/$E$132</f>
        <v/>
      </c>
      <c r="G77" s="17">
        <f>G76+E77</f>
        <v/>
      </c>
      <c r="H77" s="18">
        <f>G77/$E$132</f>
        <v/>
      </c>
      <c r="I77" s="18">
        <f>A77/120</f>
        <v/>
      </c>
      <c r="J77" s="14">
        <f>IF(H77&lt;=$B$7, "Top Tier (&lt;=80% Rev)", "Tail Tier (&gt;80% Rev)")</f>
        <v/>
      </c>
      <c r="K77" s="14">
        <f>IF(I77&lt;=$B$6, "Top 20% SKU", "Bottom 80% SKU")</f>
        <v/>
      </c>
    </row>
    <row r="78" ht="18" customHeight="1">
      <c r="A78" s="14" t="n">
        <v>67</v>
      </c>
      <c r="B78" s="15" t="inlineStr">
        <is>
          <t>Polar Decor X-935</t>
        </is>
      </c>
      <c r="C78" s="15">
        <f>XLOOKUP(B78, product_lookup!$A$2:$A$121, product_lookup!$B$2:$B$121, "Unknown")</f>
        <v/>
      </c>
      <c r="D78" s="16">
        <f>SUMIFS(retail_transactions!$F$2:$F$10001, retail_transactions!$C$2:$C$10001, B78)</f>
        <v/>
      </c>
      <c r="E78" s="17">
        <f>SUMIFS(retail_transactions!$K$2:$K$10001, retail_transactions!$C$2:$C$10001, B78)</f>
        <v/>
      </c>
      <c r="F78" s="18">
        <f>E78/$E$132</f>
        <v/>
      </c>
      <c r="G78" s="17">
        <f>G77+E78</f>
        <v/>
      </c>
      <c r="H78" s="18">
        <f>G78/$E$132</f>
        <v/>
      </c>
      <c r="I78" s="18">
        <f>A78/120</f>
        <v/>
      </c>
      <c r="J78" s="14">
        <f>IF(H78&lt;=$B$7, "Top Tier (&lt;=80% Rev)", "Tail Tier (&gt;80% Rev)")</f>
        <v/>
      </c>
      <c r="K78" s="14">
        <f>IF(I78&lt;=$B$6, "Top 20% SKU", "Bottom 80% SKU")</f>
        <v/>
      </c>
    </row>
    <row r="79" ht="18" customHeight="1">
      <c r="A79" s="14" t="n">
        <v>68</v>
      </c>
      <c r="B79" s="15" t="inlineStr">
        <is>
          <t>Falcon Furniture Plus-839</t>
        </is>
      </c>
      <c r="C79" s="15">
        <f>XLOOKUP(B79, product_lookup!$A$2:$A$121, product_lookup!$B$2:$B$121, "Unknown")</f>
        <v/>
      </c>
      <c r="D79" s="16">
        <f>SUMIFS(retail_transactions!$F$2:$F$10001, retail_transactions!$C$2:$C$10001, B79)</f>
        <v/>
      </c>
      <c r="E79" s="17">
        <f>SUMIFS(retail_transactions!$K$2:$K$10001, retail_transactions!$C$2:$C$10001, B79)</f>
        <v/>
      </c>
      <c r="F79" s="18">
        <f>E79/$E$132</f>
        <v/>
      </c>
      <c r="G79" s="17">
        <f>G78+E79</f>
        <v/>
      </c>
      <c r="H79" s="18">
        <f>G79/$E$132</f>
        <v/>
      </c>
      <c r="I79" s="18">
        <f>A79/120</f>
        <v/>
      </c>
      <c r="J79" s="14">
        <f>IF(H79&lt;=$B$7, "Top Tier (&lt;=80% Rev)", "Tail Tier (&gt;80% Rev)")</f>
        <v/>
      </c>
      <c r="K79" s="14">
        <f>IF(I79&lt;=$B$6, "Top 20% SKU", "Bottom 80% SKU")</f>
        <v/>
      </c>
    </row>
    <row r="80" ht="18" customHeight="1">
      <c r="A80" s="14" t="n">
        <v>69</v>
      </c>
      <c r="B80" s="15" t="inlineStr">
        <is>
          <t>Aurora Printer Plus-723</t>
        </is>
      </c>
      <c r="C80" s="15">
        <f>XLOOKUP(B80, product_lookup!$A$2:$A$121, product_lookup!$B$2:$B$121, "Unknown")</f>
        <v/>
      </c>
      <c r="D80" s="16">
        <f>SUMIFS(retail_transactions!$F$2:$F$10001, retail_transactions!$C$2:$C$10001, B80)</f>
        <v/>
      </c>
      <c r="E80" s="17">
        <f>SUMIFS(retail_transactions!$K$2:$K$10001, retail_transactions!$C$2:$C$10001, B80)</f>
        <v/>
      </c>
      <c r="F80" s="18">
        <f>E80/$E$132</f>
        <v/>
      </c>
      <c r="G80" s="17">
        <f>G79+E80</f>
        <v/>
      </c>
      <c r="H80" s="18">
        <f>G80/$E$132</f>
        <v/>
      </c>
      <c r="I80" s="18">
        <f>A80/120</f>
        <v/>
      </c>
      <c r="J80" s="14">
        <f>IF(H80&lt;=$B$7, "Top Tier (&lt;=80% Rev)", "Tail Tier (&gt;80% Rev)")</f>
        <v/>
      </c>
      <c r="K80" s="14">
        <f>IF(I80&lt;=$B$6, "Top 20% SKU", "Bottom 80% SKU")</f>
        <v/>
      </c>
    </row>
    <row r="81" ht="18" customHeight="1">
      <c r="A81" s="14" t="n">
        <v>70</v>
      </c>
      <c r="B81" s="15" t="inlineStr">
        <is>
          <t>Aurora Storage Lite-774</t>
        </is>
      </c>
      <c r="C81" s="15">
        <f>XLOOKUP(B81, product_lookup!$A$2:$A$121, product_lookup!$B$2:$B$121, "Unknown")</f>
        <v/>
      </c>
      <c r="D81" s="16">
        <f>SUMIFS(retail_transactions!$F$2:$F$10001, retail_transactions!$C$2:$C$10001, B81)</f>
        <v/>
      </c>
      <c r="E81" s="17">
        <f>SUMIFS(retail_transactions!$K$2:$K$10001, retail_transactions!$C$2:$C$10001, B81)</f>
        <v/>
      </c>
      <c r="F81" s="18">
        <f>E81/$E$132</f>
        <v/>
      </c>
      <c r="G81" s="17">
        <f>G80+E81</f>
        <v/>
      </c>
      <c r="H81" s="18">
        <f>G81/$E$132</f>
        <v/>
      </c>
      <c r="I81" s="18">
        <f>A81/120</f>
        <v/>
      </c>
      <c r="J81" s="14">
        <f>IF(H81&lt;=$B$7, "Top Tier (&lt;=80% Rev)", "Tail Tier (&gt;80% Rev)")</f>
        <v/>
      </c>
      <c r="K81" s="14">
        <f>IF(I81&lt;=$B$6, "Top 20% SKU", "Bottom 80% SKU")</f>
        <v/>
      </c>
    </row>
    <row r="82" ht="18" customHeight="1">
      <c r="A82" s="14" t="n">
        <v>71</v>
      </c>
      <c r="B82" s="15" t="inlineStr">
        <is>
          <t>Aurora Outdoor Pro-467</t>
        </is>
      </c>
      <c r="C82" s="15">
        <f>XLOOKUP(B82, product_lookup!$A$2:$A$121, product_lookup!$B$2:$B$121, "Unknown")</f>
        <v/>
      </c>
      <c r="D82" s="16">
        <f>SUMIFS(retail_transactions!$F$2:$F$10001, retail_transactions!$C$2:$C$10001, B82)</f>
        <v/>
      </c>
      <c r="E82" s="17">
        <f>SUMIFS(retail_transactions!$K$2:$K$10001, retail_transactions!$C$2:$C$10001, B82)</f>
        <v/>
      </c>
      <c r="F82" s="18">
        <f>E82/$E$132</f>
        <v/>
      </c>
      <c r="G82" s="17">
        <f>G81+E82</f>
        <v/>
      </c>
      <c r="H82" s="18">
        <f>G82/$E$132</f>
        <v/>
      </c>
      <c r="I82" s="18">
        <f>A82/120</f>
        <v/>
      </c>
      <c r="J82" s="14">
        <f>IF(H82&lt;=$B$7, "Top Tier (&lt;=80% Rev)", "Tail Tier (&gt;80% Rev)")</f>
        <v/>
      </c>
      <c r="K82" s="14">
        <f>IF(I82&lt;=$B$6, "Top 20% SKU", "Bottom 80% SKU")</f>
        <v/>
      </c>
    </row>
    <row r="83" ht="18" customHeight="1">
      <c r="A83" s="14" t="n">
        <v>72</v>
      </c>
      <c r="B83" s="15" t="inlineStr">
        <is>
          <t>Nimbus Makeup Max-158</t>
        </is>
      </c>
      <c r="C83" s="15">
        <f>XLOOKUP(B83, product_lookup!$A$2:$A$121, product_lookup!$B$2:$B$121, "Unknown")</f>
        <v/>
      </c>
      <c r="D83" s="16">
        <f>SUMIFS(retail_transactions!$F$2:$F$10001, retail_transactions!$C$2:$C$10001, B83)</f>
        <v/>
      </c>
      <c r="E83" s="17">
        <f>SUMIFS(retail_transactions!$K$2:$K$10001, retail_transactions!$C$2:$C$10001, B83)</f>
        <v/>
      </c>
      <c r="F83" s="18">
        <f>E83/$E$132</f>
        <v/>
      </c>
      <c r="G83" s="17">
        <f>G82+E83</f>
        <v/>
      </c>
      <c r="H83" s="18">
        <f>G83/$E$132</f>
        <v/>
      </c>
      <c r="I83" s="18">
        <f>A83/120</f>
        <v/>
      </c>
      <c r="J83" s="14">
        <f>IF(H83&lt;=$B$7, "Top Tier (&lt;=80% Rev)", "Tail Tier (&gt;80% Rev)")</f>
        <v/>
      </c>
      <c r="K83" s="14">
        <f>IF(I83&lt;=$B$6, "Top 20% SKU", "Bottom 80% SKU")</f>
        <v/>
      </c>
    </row>
    <row r="84" ht="18" customHeight="1">
      <c r="A84" s="14" t="n">
        <v>73</v>
      </c>
      <c r="B84" s="15" t="inlineStr">
        <is>
          <t>Polar Women S-662</t>
        </is>
      </c>
      <c r="C84" s="15">
        <f>XLOOKUP(B84, product_lookup!$A$2:$A$121, product_lookup!$B$2:$B$121, "Unknown")</f>
        <v/>
      </c>
      <c r="D84" s="16">
        <f>SUMIFS(retail_transactions!$F$2:$F$10001, retail_transactions!$C$2:$C$10001, B84)</f>
        <v/>
      </c>
      <c r="E84" s="17">
        <f>SUMIFS(retail_transactions!$K$2:$K$10001, retail_transactions!$C$2:$C$10001, B84)</f>
        <v/>
      </c>
      <c r="F84" s="18">
        <f>E84/$E$132</f>
        <v/>
      </c>
      <c r="G84" s="17">
        <f>G83+E84</f>
        <v/>
      </c>
      <c r="H84" s="18">
        <f>G84/$E$132</f>
        <v/>
      </c>
      <c r="I84" s="18">
        <f>A84/120</f>
        <v/>
      </c>
      <c r="J84" s="14">
        <f>IF(H84&lt;=$B$7, "Top Tier (&lt;=80% Rev)", "Tail Tier (&gt;80% Rev)")</f>
        <v/>
      </c>
      <c r="K84" s="14">
        <f>IF(I84&lt;=$B$6, "Top 20% SKU", "Bottom 80% SKU")</f>
        <v/>
      </c>
    </row>
    <row r="85" ht="18" customHeight="1">
      <c r="A85" s="14" t="n">
        <v>74</v>
      </c>
      <c r="B85" s="15" t="inlineStr">
        <is>
          <t>Metro Accessorie Max-316</t>
        </is>
      </c>
      <c r="C85" s="15">
        <f>XLOOKUP(B85, product_lookup!$A$2:$A$121, product_lookup!$B$2:$B$121, "Unknown")</f>
        <v/>
      </c>
      <c r="D85" s="16">
        <f>SUMIFS(retail_transactions!$F$2:$F$10001, retail_transactions!$C$2:$C$10001, B85)</f>
        <v/>
      </c>
      <c r="E85" s="17">
        <f>SUMIFS(retail_transactions!$K$2:$K$10001, retail_transactions!$C$2:$C$10001, B85)</f>
        <v/>
      </c>
      <c r="F85" s="18">
        <f>E85/$E$132</f>
        <v/>
      </c>
      <c r="G85" s="17">
        <f>G84+E85</f>
        <v/>
      </c>
      <c r="H85" s="18">
        <f>G85/$E$132</f>
        <v/>
      </c>
      <c r="I85" s="18">
        <f>A85/120</f>
        <v/>
      </c>
      <c r="J85" s="14">
        <f>IF(H85&lt;=$B$7, "Top Tier (&lt;=80% Rev)", "Tail Tier (&gt;80% Rev)")</f>
        <v/>
      </c>
      <c r="K85" s="14">
        <f>IF(I85&lt;=$B$6, "Top 20% SKU", "Bottom 80% SKU")</f>
        <v/>
      </c>
    </row>
    <row r="86" ht="18" customHeight="1">
      <c r="A86" s="14" t="n">
        <v>75</v>
      </c>
      <c r="B86" s="15" t="inlineStr">
        <is>
          <t>Polar Haircare Max-614</t>
        </is>
      </c>
      <c r="C86" s="15">
        <f>XLOOKUP(B86, product_lookup!$A$2:$A$121, product_lookup!$B$2:$B$121, "Unknown")</f>
        <v/>
      </c>
      <c r="D86" s="16">
        <f>SUMIFS(retail_transactions!$F$2:$F$10001, retail_transactions!$C$2:$C$10001, B86)</f>
        <v/>
      </c>
      <c r="E86" s="17">
        <f>SUMIFS(retail_transactions!$K$2:$K$10001, retail_transactions!$C$2:$C$10001, B86)</f>
        <v/>
      </c>
      <c r="F86" s="18">
        <f>E86/$E$132</f>
        <v/>
      </c>
      <c r="G86" s="17">
        <f>G85+E86</f>
        <v/>
      </c>
      <c r="H86" s="18">
        <f>G86/$E$132</f>
        <v/>
      </c>
      <c r="I86" s="18">
        <f>A86/120</f>
        <v/>
      </c>
      <c r="J86" s="14">
        <f>IF(H86&lt;=$B$7, "Top Tier (&lt;=80% Rev)", "Tail Tier (&gt;80% Rev)")</f>
        <v/>
      </c>
      <c r="K86" s="14">
        <f>IF(I86&lt;=$B$6, "Top 20% SKU", "Bottom 80% SKU")</f>
        <v/>
      </c>
    </row>
    <row r="87" ht="18" customHeight="1">
      <c r="A87" s="14" t="n">
        <v>76</v>
      </c>
      <c r="B87" s="15" t="inlineStr">
        <is>
          <t>Vertex Skincare Pro-891</t>
        </is>
      </c>
      <c r="C87" s="15">
        <f>XLOOKUP(B87, product_lookup!$A$2:$A$121, product_lookup!$B$2:$B$121, "Unknown")</f>
        <v/>
      </c>
      <c r="D87" s="16">
        <f>SUMIFS(retail_transactions!$F$2:$F$10001, retail_transactions!$C$2:$C$10001, B87)</f>
        <v/>
      </c>
      <c r="E87" s="17">
        <f>SUMIFS(retail_transactions!$K$2:$K$10001, retail_transactions!$C$2:$C$10001, B87)</f>
        <v/>
      </c>
      <c r="F87" s="18">
        <f>E87/$E$132</f>
        <v/>
      </c>
      <c r="G87" s="17">
        <f>G86+E87</f>
        <v/>
      </c>
      <c r="H87" s="18">
        <f>G87/$E$132</f>
        <v/>
      </c>
      <c r="I87" s="18">
        <f>A87/120</f>
        <v/>
      </c>
      <c r="J87" s="14">
        <f>IF(H87&lt;=$B$7, "Top Tier (&lt;=80% Rev)", "Tail Tier (&gt;80% Rev)")</f>
        <v/>
      </c>
      <c r="K87" s="14">
        <f>IF(I87&lt;=$B$6, "Top 20% SKU", "Bottom 80% SKU")</f>
        <v/>
      </c>
    </row>
    <row r="88" ht="18" customHeight="1">
      <c r="A88" s="14" t="n">
        <v>77</v>
      </c>
      <c r="B88" s="15" t="inlineStr">
        <is>
          <t>Metro Accessorie Lite-697</t>
        </is>
      </c>
      <c r="C88" s="15">
        <f>XLOOKUP(B88, product_lookup!$A$2:$A$121, product_lookup!$B$2:$B$121, "Unknown")</f>
        <v/>
      </c>
      <c r="D88" s="16">
        <f>SUMIFS(retail_transactions!$F$2:$F$10001, retail_transactions!$C$2:$C$10001, B88)</f>
        <v/>
      </c>
      <c r="E88" s="17">
        <f>SUMIFS(retail_transactions!$K$2:$K$10001, retail_transactions!$C$2:$C$10001, B88)</f>
        <v/>
      </c>
      <c r="F88" s="18">
        <f>E88/$E$132</f>
        <v/>
      </c>
      <c r="G88" s="17">
        <f>G87+E88</f>
        <v/>
      </c>
      <c r="H88" s="18">
        <f>G88/$E$132</f>
        <v/>
      </c>
      <c r="I88" s="18">
        <f>A88/120</f>
        <v/>
      </c>
      <c r="J88" s="14">
        <f>IF(H88&lt;=$B$7, "Top Tier (&lt;=80% Rev)", "Tail Tier (&gt;80% Rev)")</f>
        <v/>
      </c>
      <c r="K88" s="14">
        <f>IF(I88&lt;=$B$6, "Top 20% SKU", "Bottom 80% SKU")</f>
        <v/>
      </c>
    </row>
    <row r="89" ht="18" customHeight="1">
      <c r="A89" s="14" t="n">
        <v>78</v>
      </c>
      <c r="B89" s="15" t="inlineStr">
        <is>
          <t>Solace Makeup Pro-214</t>
        </is>
      </c>
      <c r="C89" s="15">
        <f>XLOOKUP(B89, product_lookup!$A$2:$A$121, product_lookup!$B$2:$B$121, "Unknown")</f>
        <v/>
      </c>
      <c r="D89" s="16">
        <f>SUMIFS(retail_transactions!$F$2:$F$10001, retail_transactions!$C$2:$C$10001, B89)</f>
        <v/>
      </c>
      <c r="E89" s="17">
        <f>SUMIFS(retail_transactions!$K$2:$K$10001, retail_transactions!$C$2:$C$10001, B89)</f>
        <v/>
      </c>
      <c r="F89" s="18">
        <f>E89/$E$132</f>
        <v/>
      </c>
      <c r="G89" s="17">
        <f>G88+E89</f>
        <v/>
      </c>
      <c r="H89" s="18">
        <f>G89/$E$132</f>
        <v/>
      </c>
      <c r="I89" s="18">
        <f>A89/120</f>
        <v/>
      </c>
      <c r="J89" s="14">
        <f>IF(H89&lt;=$B$7, "Top Tier (&lt;=80% Rev)", "Tail Tier (&gt;80% Rev)")</f>
        <v/>
      </c>
      <c r="K89" s="14">
        <f>IF(I89&lt;=$B$6, "Top 20% SKU", "Bottom 80% SKU")</f>
        <v/>
      </c>
    </row>
    <row r="90" ht="18" customHeight="1">
      <c r="A90" s="14" t="n">
        <v>79</v>
      </c>
      <c r="B90" s="15" t="inlineStr">
        <is>
          <t>Nimbus Men Plus-231</t>
        </is>
      </c>
      <c r="C90" s="15">
        <f>XLOOKUP(B90, product_lookup!$A$2:$A$121, product_lookup!$B$2:$B$121, "Unknown")</f>
        <v/>
      </c>
      <c r="D90" s="16">
        <f>SUMIFS(retail_transactions!$F$2:$F$10001, retail_transactions!$C$2:$C$10001, B90)</f>
        <v/>
      </c>
      <c r="E90" s="17">
        <f>SUMIFS(retail_transactions!$K$2:$K$10001, retail_transactions!$C$2:$C$10001, B90)</f>
        <v/>
      </c>
      <c r="F90" s="18">
        <f>E90/$E$132</f>
        <v/>
      </c>
      <c r="G90" s="17">
        <f>G89+E90</f>
        <v/>
      </c>
      <c r="H90" s="18">
        <f>G90/$E$132</f>
        <v/>
      </c>
      <c r="I90" s="18">
        <f>A90/120</f>
        <v/>
      </c>
      <c r="J90" s="14">
        <f>IF(H90&lt;=$B$7, "Top Tier (&lt;=80% Rev)", "Tail Tier (&gt;80% Rev)")</f>
        <v/>
      </c>
      <c r="K90" s="14">
        <f>IF(I90&lt;=$B$6, "Top 20% SKU", "Bottom 80% SKU")</f>
        <v/>
      </c>
    </row>
    <row r="91" ht="18" customHeight="1">
      <c r="A91" s="14" t="n">
        <v>80</v>
      </c>
      <c r="B91" s="15" t="inlineStr">
        <is>
          <t>Aurora Fragrance S-971</t>
        </is>
      </c>
      <c r="C91" s="15">
        <f>XLOOKUP(B91, product_lookup!$A$2:$A$121, product_lookup!$B$2:$B$121, "Unknown")</f>
        <v/>
      </c>
      <c r="D91" s="16">
        <f>SUMIFS(retail_transactions!$F$2:$F$10001, retail_transactions!$C$2:$C$10001, B91)</f>
        <v/>
      </c>
      <c r="E91" s="17">
        <f>SUMIFS(retail_transactions!$K$2:$K$10001, retail_transactions!$C$2:$C$10001, B91)</f>
        <v/>
      </c>
      <c r="F91" s="18">
        <f>E91/$E$132</f>
        <v/>
      </c>
      <c r="G91" s="17">
        <f>G90+E91</f>
        <v/>
      </c>
      <c r="H91" s="18">
        <f>G91/$E$132</f>
        <v/>
      </c>
      <c r="I91" s="18">
        <f>A91/120</f>
        <v/>
      </c>
      <c r="J91" s="14">
        <f>IF(H91&lt;=$B$7, "Top Tier (&lt;=80% Rev)", "Tail Tier (&gt;80% Rev)")</f>
        <v/>
      </c>
      <c r="K91" s="14">
        <f>IF(I91&lt;=$B$6, "Top 20% SKU", "Bottom 80% SKU")</f>
        <v/>
      </c>
    </row>
    <row r="92" ht="18" customHeight="1">
      <c r="A92" s="14" t="n">
        <v>81</v>
      </c>
      <c r="B92" s="15" t="inlineStr">
        <is>
          <t>Nimbus Women Lite-814</t>
        </is>
      </c>
      <c r="C92" s="15">
        <f>XLOOKUP(B92, product_lookup!$A$2:$A$121, product_lookup!$B$2:$B$121, "Unknown")</f>
        <v/>
      </c>
      <c r="D92" s="16">
        <f>SUMIFS(retail_transactions!$F$2:$F$10001, retail_transactions!$C$2:$C$10001, B92)</f>
        <v/>
      </c>
      <c r="E92" s="17">
        <f>SUMIFS(retail_transactions!$K$2:$K$10001, retail_transactions!$C$2:$C$10001, B92)</f>
        <v/>
      </c>
      <c r="F92" s="18">
        <f>E92/$E$132</f>
        <v/>
      </c>
      <c r="G92" s="17">
        <f>G91+E92</f>
        <v/>
      </c>
      <c r="H92" s="18">
        <f>G92/$E$132</f>
        <v/>
      </c>
      <c r="I92" s="18">
        <f>A92/120</f>
        <v/>
      </c>
      <c r="J92" s="14">
        <f>IF(H92&lt;=$B$7, "Top Tier (&lt;=80% Rev)", "Tail Tier (&gt;80% Rev)")</f>
        <v/>
      </c>
      <c r="K92" s="14">
        <f>IF(I92&lt;=$B$6, "Top 20% SKU", "Bottom 80% SKU")</f>
        <v/>
      </c>
    </row>
    <row r="93" ht="18" customHeight="1">
      <c r="A93" s="14" t="n">
        <v>82</v>
      </c>
      <c r="B93" s="15" t="inlineStr">
        <is>
          <t>Vertex Printer Max-692</t>
        </is>
      </c>
      <c r="C93" s="15">
        <f>XLOOKUP(B93, product_lookup!$A$2:$A$121, product_lookup!$B$2:$B$121, "Unknown")</f>
        <v/>
      </c>
      <c r="D93" s="16">
        <f>SUMIFS(retail_transactions!$F$2:$F$10001, retail_transactions!$C$2:$C$10001, B93)</f>
        <v/>
      </c>
      <c r="E93" s="17">
        <f>SUMIFS(retail_transactions!$K$2:$K$10001, retail_transactions!$C$2:$C$10001, B93)</f>
        <v/>
      </c>
      <c r="F93" s="18">
        <f>E93/$E$132</f>
        <v/>
      </c>
      <c r="G93" s="17">
        <f>G92+E93</f>
        <v/>
      </c>
      <c r="H93" s="18">
        <f>G93/$E$132</f>
        <v/>
      </c>
      <c r="I93" s="18">
        <f>A93/120</f>
        <v/>
      </c>
      <c r="J93" s="14">
        <f>IF(H93&lt;=$B$7, "Top Tier (&lt;=80% Rev)", "Tail Tier (&gt;80% Rev)")</f>
        <v/>
      </c>
      <c r="K93" s="14">
        <f>IF(I93&lt;=$B$6, "Top 20% SKU", "Bottom 80% SKU")</f>
        <v/>
      </c>
    </row>
    <row r="94" ht="18" customHeight="1">
      <c r="A94" s="14" t="n">
        <v>83</v>
      </c>
      <c r="B94" s="15" t="inlineStr">
        <is>
          <t>Aurora Skincare Max-798</t>
        </is>
      </c>
      <c r="C94" s="15">
        <f>XLOOKUP(B94, product_lookup!$A$2:$A$121, product_lookup!$B$2:$B$121, "Unknown")</f>
        <v/>
      </c>
      <c r="D94" s="16">
        <f>SUMIFS(retail_transactions!$F$2:$F$10001, retail_transactions!$C$2:$C$10001, B94)</f>
        <v/>
      </c>
      <c r="E94" s="17">
        <f>SUMIFS(retail_transactions!$K$2:$K$10001, retail_transactions!$C$2:$C$10001, B94)</f>
        <v/>
      </c>
      <c r="F94" s="18">
        <f>E94/$E$132</f>
        <v/>
      </c>
      <c r="G94" s="17">
        <f>G93+E94</f>
        <v/>
      </c>
      <c r="H94" s="18">
        <f>G94/$E$132</f>
        <v/>
      </c>
      <c r="I94" s="18">
        <f>A94/120</f>
        <v/>
      </c>
      <c r="J94" s="14">
        <f>IF(H94&lt;=$B$7, "Top Tier (&lt;=80% Rev)", "Tail Tier (&gt;80% Rev)")</f>
        <v/>
      </c>
      <c r="K94" s="14">
        <f>IF(I94&lt;=$B$6, "Top 20% SKU", "Bottom 80% SKU")</f>
        <v/>
      </c>
    </row>
    <row r="95" ht="18" customHeight="1">
      <c r="A95" s="14" t="n">
        <v>84</v>
      </c>
      <c r="B95" s="15" t="inlineStr">
        <is>
          <t>Aurora Makeup S-626</t>
        </is>
      </c>
      <c r="C95" s="15">
        <f>XLOOKUP(B95, product_lookup!$A$2:$A$121, product_lookup!$B$2:$B$121, "Unknown")</f>
        <v/>
      </c>
      <c r="D95" s="16">
        <f>SUMIFS(retail_transactions!$F$2:$F$10001, retail_transactions!$C$2:$C$10001, B95)</f>
        <v/>
      </c>
      <c r="E95" s="17">
        <f>SUMIFS(retail_transactions!$K$2:$K$10001, retail_transactions!$C$2:$C$10001, B95)</f>
        <v/>
      </c>
      <c r="F95" s="18">
        <f>E95/$E$132</f>
        <v/>
      </c>
      <c r="G95" s="17">
        <f>G94+E95</f>
        <v/>
      </c>
      <c r="H95" s="18">
        <f>G95/$E$132</f>
        <v/>
      </c>
      <c r="I95" s="18">
        <f>A95/120</f>
        <v/>
      </c>
      <c r="J95" s="14">
        <f>IF(H95&lt;=$B$7, "Top Tier (&lt;=80% Rev)", "Tail Tier (&gt;80% Rev)")</f>
        <v/>
      </c>
      <c r="K95" s="14">
        <f>IF(I95&lt;=$B$6, "Top 20% SKU", "Bottom 80% SKU")</f>
        <v/>
      </c>
    </row>
    <row r="96" ht="18" customHeight="1">
      <c r="A96" s="14" t="n">
        <v>85</v>
      </c>
      <c r="B96" s="15" t="inlineStr">
        <is>
          <t>Polar Women Max-927</t>
        </is>
      </c>
      <c r="C96" s="15">
        <f>XLOOKUP(B96, product_lookup!$A$2:$A$121, product_lookup!$B$2:$B$121, "Unknown")</f>
        <v/>
      </c>
      <c r="D96" s="16">
        <f>SUMIFS(retail_transactions!$F$2:$F$10001, retail_transactions!$C$2:$C$10001, B96)</f>
        <v/>
      </c>
      <c r="E96" s="17">
        <f>SUMIFS(retail_transactions!$K$2:$K$10001, retail_transactions!$C$2:$C$10001, B96)</f>
        <v/>
      </c>
      <c r="F96" s="18">
        <f>E96/$E$132</f>
        <v/>
      </c>
      <c r="G96" s="17">
        <f>G95+E96</f>
        <v/>
      </c>
      <c r="H96" s="18">
        <f>G96/$E$132</f>
        <v/>
      </c>
      <c r="I96" s="18">
        <f>A96/120</f>
        <v/>
      </c>
      <c r="J96" s="14">
        <f>IF(H96&lt;=$B$7, "Top Tier (&lt;=80% Rev)", "Tail Tier (&gt;80% Rev)")</f>
        <v/>
      </c>
      <c r="K96" s="14">
        <f>IF(I96&lt;=$B$6, "Top 20% SKU", "Bottom 80% SKU")</f>
        <v/>
      </c>
    </row>
    <row r="97" ht="18" customHeight="1">
      <c r="A97" s="14" t="n">
        <v>86</v>
      </c>
      <c r="B97" s="15" t="inlineStr">
        <is>
          <t>Aurora Haircare S-975</t>
        </is>
      </c>
      <c r="C97" s="15">
        <f>XLOOKUP(B97, product_lookup!$A$2:$A$121, product_lookup!$B$2:$B$121, "Unknown")</f>
        <v/>
      </c>
      <c r="D97" s="16">
        <f>SUMIFS(retail_transactions!$F$2:$F$10001, retail_transactions!$C$2:$C$10001, B97)</f>
        <v/>
      </c>
      <c r="E97" s="17">
        <f>SUMIFS(retail_transactions!$K$2:$K$10001, retail_transactions!$C$2:$C$10001, B97)</f>
        <v/>
      </c>
      <c r="F97" s="18">
        <f>E97/$E$132</f>
        <v/>
      </c>
      <c r="G97" s="17">
        <f>G96+E97</f>
        <v/>
      </c>
      <c r="H97" s="18">
        <f>G97/$E$132</f>
        <v/>
      </c>
      <c r="I97" s="18">
        <f>A97/120</f>
        <v/>
      </c>
      <c r="J97" s="14">
        <f>IF(H97&lt;=$B$7, "Top Tier (&lt;=80% Rev)", "Tail Tier (&gt;80% Rev)")</f>
        <v/>
      </c>
      <c r="K97" s="14">
        <f>IF(I97&lt;=$B$6, "Top 20% SKU", "Bottom 80% SKU")</f>
        <v/>
      </c>
    </row>
    <row r="98" ht="18" customHeight="1">
      <c r="A98" s="14" t="n">
        <v>87</v>
      </c>
      <c r="B98" s="15" t="inlineStr">
        <is>
          <t>Aurora Kid Plus-151</t>
        </is>
      </c>
      <c r="C98" s="15">
        <f>XLOOKUP(B98, product_lookup!$A$2:$A$121, product_lookup!$B$2:$B$121, "Unknown")</f>
        <v/>
      </c>
      <c r="D98" s="16">
        <f>SUMIFS(retail_transactions!$F$2:$F$10001, retail_transactions!$C$2:$C$10001, B98)</f>
        <v/>
      </c>
      <c r="E98" s="17">
        <f>SUMIFS(retail_transactions!$K$2:$K$10001, retail_transactions!$C$2:$C$10001, B98)</f>
        <v/>
      </c>
      <c r="F98" s="18">
        <f>E98/$E$132</f>
        <v/>
      </c>
      <c r="G98" s="17">
        <f>G97+E98</f>
        <v/>
      </c>
      <c r="H98" s="18">
        <f>G98/$E$132</f>
        <v/>
      </c>
      <c r="I98" s="18">
        <f>A98/120</f>
        <v/>
      </c>
      <c r="J98" s="14">
        <f>IF(H98&lt;=$B$7, "Top Tier (&lt;=80% Rev)", "Tail Tier (&gt;80% Rev)")</f>
        <v/>
      </c>
      <c r="K98" s="14">
        <f>IF(I98&lt;=$B$6, "Top 20% SKU", "Bottom 80% SKU")</f>
        <v/>
      </c>
    </row>
    <row r="99" ht="18" customHeight="1">
      <c r="A99" s="14" t="n">
        <v>88</v>
      </c>
      <c r="B99" s="15" t="inlineStr">
        <is>
          <t>Orion Men X-928</t>
        </is>
      </c>
      <c r="C99" s="15">
        <f>XLOOKUP(B99, product_lookup!$A$2:$A$121, product_lookup!$B$2:$B$121, "Unknown")</f>
        <v/>
      </c>
      <c r="D99" s="16">
        <f>SUMIFS(retail_transactions!$F$2:$F$10001, retail_transactions!$C$2:$C$10001, B99)</f>
        <v/>
      </c>
      <c r="E99" s="17">
        <f>SUMIFS(retail_transactions!$K$2:$K$10001, retail_transactions!$C$2:$C$10001, B99)</f>
        <v/>
      </c>
      <c r="F99" s="18">
        <f>E99/$E$132</f>
        <v/>
      </c>
      <c r="G99" s="17">
        <f>G98+E99</f>
        <v/>
      </c>
      <c r="H99" s="18">
        <f>G99/$E$132</f>
        <v/>
      </c>
      <c r="I99" s="18">
        <f>A99/120</f>
        <v/>
      </c>
      <c r="J99" s="14">
        <f>IF(H99&lt;=$B$7, "Top Tier (&lt;=80% Rev)", "Tail Tier (&gt;80% Rev)")</f>
        <v/>
      </c>
      <c r="K99" s="14">
        <f>IF(I99&lt;=$B$6, "Top 20% SKU", "Bottom 80% SKU")</f>
        <v/>
      </c>
    </row>
    <row r="100" ht="18" customHeight="1">
      <c r="A100" s="14" t="n">
        <v>89</v>
      </c>
      <c r="B100" s="15" t="inlineStr">
        <is>
          <t>Falcon Skincare X-334</t>
        </is>
      </c>
      <c r="C100" s="15">
        <f>XLOOKUP(B100, product_lookup!$A$2:$A$121, product_lookup!$B$2:$B$121, "Unknown")</f>
        <v/>
      </c>
      <c r="D100" s="16">
        <f>SUMIFS(retail_transactions!$F$2:$F$10001, retail_transactions!$C$2:$C$10001, B100)</f>
        <v/>
      </c>
      <c r="E100" s="17">
        <f>SUMIFS(retail_transactions!$K$2:$K$10001, retail_transactions!$C$2:$C$10001, B100)</f>
        <v/>
      </c>
      <c r="F100" s="18">
        <f>E100/$E$132</f>
        <v/>
      </c>
      <c r="G100" s="17">
        <f>G99+E100</f>
        <v/>
      </c>
      <c r="H100" s="18">
        <f>G100/$E$132</f>
        <v/>
      </c>
      <c r="I100" s="18">
        <f>A100/120</f>
        <v/>
      </c>
      <c r="J100" s="14">
        <f>IF(H100&lt;=$B$7, "Top Tier (&lt;=80% Rev)", "Tail Tier (&gt;80% Rev)")</f>
        <v/>
      </c>
      <c r="K100" s="14">
        <f>IF(I100&lt;=$B$6, "Top 20% SKU", "Bottom 80% SKU")</f>
        <v/>
      </c>
    </row>
    <row r="101" ht="18" customHeight="1">
      <c r="A101" s="14" t="n">
        <v>90</v>
      </c>
      <c r="B101" s="15" t="inlineStr">
        <is>
          <t>Falcon Haircare Pro-980</t>
        </is>
      </c>
      <c r="C101" s="15">
        <f>XLOOKUP(B101, product_lookup!$A$2:$A$121, product_lookup!$B$2:$B$121, "Unknown")</f>
        <v/>
      </c>
      <c r="D101" s="16">
        <f>SUMIFS(retail_transactions!$F$2:$F$10001, retail_transactions!$C$2:$C$10001, B101)</f>
        <v/>
      </c>
      <c r="E101" s="17">
        <f>SUMIFS(retail_transactions!$K$2:$K$10001, retail_transactions!$C$2:$C$10001, B101)</f>
        <v/>
      </c>
      <c r="F101" s="18">
        <f>E101/$E$132</f>
        <v/>
      </c>
      <c r="G101" s="17">
        <f>G100+E101</f>
        <v/>
      </c>
      <c r="H101" s="18">
        <f>G101/$E$132</f>
        <v/>
      </c>
      <c r="I101" s="18">
        <f>A101/120</f>
        <v/>
      </c>
      <c r="J101" s="14">
        <f>IF(H101&lt;=$B$7, "Top Tier (&lt;=80% Rev)", "Tail Tier (&gt;80% Rev)")</f>
        <v/>
      </c>
      <c r="K101" s="14">
        <f>IF(I101&lt;=$B$6, "Top 20% SKU", "Bottom 80% SKU")</f>
        <v/>
      </c>
    </row>
    <row r="102" ht="18" customHeight="1">
      <c r="A102" s="14" t="n">
        <v>91</v>
      </c>
      <c r="B102" s="15" t="inlineStr">
        <is>
          <t>Orion Kid Max-640</t>
        </is>
      </c>
      <c r="C102" s="15">
        <f>XLOOKUP(B102, product_lookup!$A$2:$A$121, product_lookup!$B$2:$B$121, "Unknown")</f>
        <v/>
      </c>
      <c r="D102" s="16">
        <f>SUMIFS(retail_transactions!$F$2:$F$10001, retail_transactions!$C$2:$C$10001, B102)</f>
        <v/>
      </c>
      <c r="E102" s="17">
        <f>SUMIFS(retail_transactions!$K$2:$K$10001, retail_transactions!$C$2:$C$10001, B102)</f>
        <v/>
      </c>
      <c r="F102" s="18">
        <f>E102/$E$132</f>
        <v/>
      </c>
      <c r="G102" s="17">
        <f>G101+E102</f>
        <v/>
      </c>
      <c r="H102" s="18">
        <f>G102/$E$132</f>
        <v/>
      </c>
      <c r="I102" s="18">
        <f>A102/120</f>
        <v/>
      </c>
      <c r="J102" s="14">
        <f>IF(H102&lt;=$B$7, "Top Tier (&lt;=80% Rev)", "Tail Tier (&gt;80% Rev)")</f>
        <v/>
      </c>
      <c r="K102" s="14">
        <f>IF(I102&lt;=$B$6, "Top 20% SKU", "Bottom 80% SKU")</f>
        <v/>
      </c>
    </row>
    <row r="103" ht="18" customHeight="1">
      <c r="A103" s="14" t="n">
        <v>92</v>
      </c>
      <c r="B103" s="15" t="inlineStr">
        <is>
          <t>Vertex Men X-995</t>
        </is>
      </c>
      <c r="C103" s="15">
        <f>XLOOKUP(B103, product_lookup!$A$2:$A$121, product_lookup!$B$2:$B$121, "Unknown")</f>
        <v/>
      </c>
      <c r="D103" s="16">
        <f>SUMIFS(retail_transactions!$F$2:$F$10001, retail_transactions!$C$2:$C$10001, B103)</f>
        <v/>
      </c>
      <c r="E103" s="17">
        <f>SUMIFS(retail_transactions!$K$2:$K$10001, retail_transactions!$C$2:$C$10001, B103)</f>
        <v/>
      </c>
      <c r="F103" s="18">
        <f>E103/$E$132</f>
        <v/>
      </c>
      <c r="G103" s="17">
        <f>G102+E103</f>
        <v/>
      </c>
      <c r="H103" s="18">
        <f>G103/$E$132</f>
        <v/>
      </c>
      <c r="I103" s="18">
        <f>A103/120</f>
        <v/>
      </c>
      <c r="J103" s="14">
        <f>IF(H103&lt;=$B$7, "Top Tier (&lt;=80% Rev)", "Tail Tier (&gt;80% Rev)")</f>
        <v/>
      </c>
      <c r="K103" s="14">
        <f>IF(I103&lt;=$B$6, "Top 20% SKU", "Bottom 80% SKU")</f>
        <v/>
      </c>
    </row>
    <row r="104" ht="18" customHeight="1">
      <c r="A104" s="14" t="n">
        <v>93</v>
      </c>
      <c r="B104" s="15" t="inlineStr">
        <is>
          <t>Falcon Skincare Max-151</t>
        </is>
      </c>
      <c r="C104" s="15">
        <f>XLOOKUP(B104, product_lookup!$A$2:$A$121, product_lookup!$B$2:$B$121, "Unknown")</f>
        <v/>
      </c>
      <c r="D104" s="16">
        <f>SUMIFS(retail_transactions!$F$2:$F$10001, retail_transactions!$C$2:$C$10001, B104)</f>
        <v/>
      </c>
      <c r="E104" s="17">
        <f>SUMIFS(retail_transactions!$K$2:$K$10001, retail_transactions!$C$2:$C$10001, B104)</f>
        <v/>
      </c>
      <c r="F104" s="18">
        <f>E104/$E$132</f>
        <v/>
      </c>
      <c r="G104" s="17">
        <f>G103+E104</f>
        <v/>
      </c>
      <c r="H104" s="18">
        <f>G104/$E$132</f>
        <v/>
      </c>
      <c r="I104" s="18">
        <f>A104/120</f>
        <v/>
      </c>
      <c r="J104" s="14">
        <f>IF(H104&lt;=$B$7, "Top Tier (&lt;=80% Rev)", "Tail Tier (&gt;80% Rev)")</f>
        <v/>
      </c>
      <c r="K104" s="14">
        <f>IF(I104&lt;=$B$6, "Top 20% SKU", "Bottom 80% SKU")</f>
        <v/>
      </c>
    </row>
    <row r="105" ht="18" customHeight="1">
      <c r="A105" s="14" t="n">
        <v>94</v>
      </c>
      <c r="B105" s="15" t="inlineStr">
        <is>
          <t>Aurora Makeup Pro-489</t>
        </is>
      </c>
      <c r="C105" s="15">
        <f>XLOOKUP(B105, product_lookup!$A$2:$A$121, product_lookup!$B$2:$B$121, "Unknown")</f>
        <v/>
      </c>
      <c r="D105" s="16">
        <f>SUMIFS(retail_transactions!$F$2:$F$10001, retail_transactions!$C$2:$C$10001, B105)</f>
        <v/>
      </c>
      <c r="E105" s="17">
        <f>SUMIFS(retail_transactions!$K$2:$K$10001, retail_transactions!$C$2:$C$10001, B105)</f>
        <v/>
      </c>
      <c r="F105" s="18">
        <f>E105/$E$132</f>
        <v/>
      </c>
      <c r="G105" s="17">
        <f>G104+E105</f>
        <v/>
      </c>
      <c r="H105" s="18">
        <f>G105/$E$132</f>
        <v/>
      </c>
      <c r="I105" s="18">
        <f>A105/120</f>
        <v/>
      </c>
      <c r="J105" s="14">
        <f>IF(H105&lt;=$B$7, "Top Tier (&lt;=80% Rev)", "Tail Tier (&gt;80% Rev)")</f>
        <v/>
      </c>
      <c r="K105" s="14">
        <f>IF(I105&lt;=$B$6, "Top 20% SKU", "Bottom 80% SKU")</f>
        <v/>
      </c>
    </row>
    <row r="106" ht="18" customHeight="1">
      <c r="A106" s="14" t="n">
        <v>95</v>
      </c>
      <c r="B106" s="15" t="inlineStr">
        <is>
          <t>Vertex Accessorie Pro-881</t>
        </is>
      </c>
      <c r="C106" s="15">
        <f>XLOOKUP(B106, product_lookup!$A$2:$A$121, product_lookup!$B$2:$B$121, "Unknown")</f>
        <v/>
      </c>
      <c r="D106" s="16">
        <f>SUMIFS(retail_transactions!$F$2:$F$10001, retail_transactions!$C$2:$C$10001, B106)</f>
        <v/>
      </c>
      <c r="E106" s="17">
        <f>SUMIFS(retail_transactions!$K$2:$K$10001, retail_transactions!$C$2:$C$10001, B106)</f>
        <v/>
      </c>
      <c r="F106" s="18">
        <f>E106/$E$132</f>
        <v/>
      </c>
      <c r="G106" s="17">
        <f>G105+E106</f>
        <v/>
      </c>
      <c r="H106" s="18">
        <f>G106/$E$132</f>
        <v/>
      </c>
      <c r="I106" s="18">
        <f>A106/120</f>
        <v/>
      </c>
      <c r="J106" s="14">
        <f>IF(H106&lt;=$B$7, "Top Tier (&lt;=80% Rev)", "Tail Tier (&gt;80% Rev)")</f>
        <v/>
      </c>
      <c r="K106" s="14">
        <f>IF(I106&lt;=$B$6, "Top 20% SKU", "Bottom 80% SKU")</f>
        <v/>
      </c>
    </row>
    <row r="107" ht="18" customHeight="1">
      <c r="A107" s="14" t="n">
        <v>96</v>
      </c>
      <c r="B107" s="15" t="inlineStr">
        <is>
          <t>Metro Fragrance Lite-261</t>
        </is>
      </c>
      <c r="C107" s="15">
        <f>XLOOKUP(B107, product_lookup!$A$2:$A$121, product_lookup!$B$2:$B$121, "Unknown")</f>
        <v/>
      </c>
      <c r="D107" s="16">
        <f>SUMIFS(retail_transactions!$F$2:$F$10001, retail_transactions!$C$2:$C$10001, B107)</f>
        <v/>
      </c>
      <c r="E107" s="17">
        <f>SUMIFS(retail_transactions!$K$2:$K$10001, retail_transactions!$C$2:$C$10001, B107)</f>
        <v/>
      </c>
      <c r="F107" s="18">
        <f>E107/$E$132</f>
        <v/>
      </c>
      <c r="G107" s="17">
        <f>G106+E107</f>
        <v/>
      </c>
      <c r="H107" s="18">
        <f>G107/$E$132</f>
        <v/>
      </c>
      <c r="I107" s="18">
        <f>A107/120</f>
        <v/>
      </c>
      <c r="J107" s="14">
        <f>IF(H107&lt;=$B$7, "Top Tier (&lt;=80% Rev)", "Tail Tier (&gt;80% Rev)")</f>
        <v/>
      </c>
      <c r="K107" s="14">
        <f>IF(I107&lt;=$B$6, "Top 20% SKU", "Bottom 80% SKU")</f>
        <v/>
      </c>
    </row>
    <row r="108" ht="18" customHeight="1">
      <c r="A108" s="14" t="n">
        <v>97</v>
      </c>
      <c r="B108" s="15" t="inlineStr">
        <is>
          <t>Solace Kid S-384</t>
        </is>
      </c>
      <c r="C108" s="15">
        <f>XLOOKUP(B108, product_lookup!$A$2:$A$121, product_lookup!$B$2:$B$121, "Unknown")</f>
        <v/>
      </c>
      <c r="D108" s="16">
        <f>SUMIFS(retail_transactions!$F$2:$F$10001, retail_transactions!$C$2:$C$10001, B108)</f>
        <v/>
      </c>
      <c r="E108" s="17">
        <f>SUMIFS(retail_transactions!$K$2:$K$10001, retail_transactions!$C$2:$C$10001, B108)</f>
        <v/>
      </c>
      <c r="F108" s="18">
        <f>E108/$E$132</f>
        <v/>
      </c>
      <c r="G108" s="17">
        <f>G107+E108</f>
        <v/>
      </c>
      <c r="H108" s="18">
        <f>G108/$E$132</f>
        <v/>
      </c>
      <c r="I108" s="18">
        <f>A108/120</f>
        <v/>
      </c>
      <c r="J108" s="14">
        <f>IF(H108&lt;=$B$7, "Top Tier (&lt;=80% Rev)", "Tail Tier (&gt;80% Rev)")</f>
        <v/>
      </c>
      <c r="K108" s="14">
        <f>IF(I108&lt;=$B$6, "Top 20% SKU", "Bottom 80% SKU")</f>
        <v/>
      </c>
    </row>
    <row r="109" ht="18" customHeight="1">
      <c r="A109" s="14" t="n">
        <v>98</v>
      </c>
      <c r="B109" s="15" t="inlineStr">
        <is>
          <t>Polar Men Pro-246</t>
        </is>
      </c>
      <c r="C109" s="15">
        <f>XLOOKUP(B109, product_lookup!$A$2:$A$121, product_lookup!$B$2:$B$121, "Unknown")</f>
        <v/>
      </c>
      <c r="D109" s="16">
        <f>SUMIFS(retail_transactions!$F$2:$F$10001, retail_transactions!$C$2:$C$10001, B109)</f>
        <v/>
      </c>
      <c r="E109" s="17">
        <f>SUMIFS(retail_transactions!$K$2:$K$10001, retail_transactions!$C$2:$C$10001, B109)</f>
        <v/>
      </c>
      <c r="F109" s="18">
        <f>E109/$E$132</f>
        <v/>
      </c>
      <c r="G109" s="17">
        <f>G108+E109</f>
        <v/>
      </c>
      <c r="H109" s="18">
        <f>G109/$E$132</f>
        <v/>
      </c>
      <c r="I109" s="18">
        <f>A109/120</f>
        <v/>
      </c>
      <c r="J109" s="14">
        <f>IF(H109&lt;=$B$7, "Top Tier (&lt;=80% Rev)", "Tail Tier (&gt;80% Rev)")</f>
        <v/>
      </c>
      <c r="K109" s="14">
        <f>IF(I109&lt;=$B$6, "Top 20% SKU", "Bottom 80% SKU")</f>
        <v/>
      </c>
    </row>
    <row r="110" ht="18" customHeight="1">
      <c r="A110" s="14" t="n">
        <v>99</v>
      </c>
      <c r="B110" s="15" t="inlineStr">
        <is>
          <t>Polar Fragrance Pro-750</t>
        </is>
      </c>
      <c r="C110" s="15">
        <f>XLOOKUP(B110, product_lookup!$A$2:$A$121, product_lookup!$B$2:$B$121, "Unknown")</f>
        <v/>
      </c>
      <c r="D110" s="16">
        <f>SUMIFS(retail_transactions!$F$2:$F$10001, retail_transactions!$C$2:$C$10001, B110)</f>
        <v/>
      </c>
      <c r="E110" s="17">
        <f>SUMIFS(retail_transactions!$K$2:$K$10001, retail_transactions!$C$2:$C$10001, B110)</f>
        <v/>
      </c>
      <c r="F110" s="18">
        <f>E110/$E$132</f>
        <v/>
      </c>
      <c r="G110" s="17">
        <f>G109+E110</f>
        <v/>
      </c>
      <c r="H110" s="18">
        <f>G110/$E$132</f>
        <v/>
      </c>
      <c r="I110" s="18">
        <f>A110/120</f>
        <v/>
      </c>
      <c r="J110" s="14">
        <f>IF(H110&lt;=$B$7, "Top Tier (&lt;=80% Rev)", "Tail Tier (&gt;80% Rev)")</f>
        <v/>
      </c>
      <c r="K110" s="14">
        <f>IF(I110&lt;=$B$6, "Top 20% SKU", "Bottom 80% SKU")</f>
        <v/>
      </c>
    </row>
    <row r="111" ht="18" customHeight="1">
      <c r="A111" s="14" t="n">
        <v>100</v>
      </c>
      <c r="B111" s="15" t="inlineStr">
        <is>
          <t>Orion Kid Max-864</t>
        </is>
      </c>
      <c r="C111" s="15">
        <f>XLOOKUP(B111, product_lookup!$A$2:$A$121, product_lookup!$B$2:$B$121, "Unknown")</f>
        <v/>
      </c>
      <c r="D111" s="16">
        <f>SUMIFS(retail_transactions!$F$2:$F$10001, retail_transactions!$C$2:$C$10001, B111)</f>
        <v/>
      </c>
      <c r="E111" s="17">
        <f>SUMIFS(retail_transactions!$K$2:$K$10001, retail_transactions!$C$2:$C$10001, B111)</f>
        <v/>
      </c>
      <c r="F111" s="18">
        <f>E111/$E$132</f>
        <v/>
      </c>
      <c r="G111" s="17">
        <f>G110+E111</f>
        <v/>
      </c>
      <c r="H111" s="18">
        <f>G111/$E$132</f>
        <v/>
      </c>
      <c r="I111" s="18">
        <f>A111/120</f>
        <v/>
      </c>
      <c r="J111" s="14">
        <f>IF(H111&lt;=$B$7, "Top Tier (&lt;=80% Rev)", "Tail Tier (&gt;80% Rev)")</f>
        <v/>
      </c>
      <c r="K111" s="14">
        <f>IF(I111&lt;=$B$6, "Top 20% SKU", "Bottom 80% SKU")</f>
        <v/>
      </c>
    </row>
    <row r="112" ht="18" customHeight="1">
      <c r="A112" s="14" t="n">
        <v>101</v>
      </c>
      <c r="B112" s="15" t="inlineStr">
        <is>
          <t>Falcon Accessorie S-195</t>
        </is>
      </c>
      <c r="C112" s="15">
        <f>XLOOKUP(B112, product_lookup!$A$2:$A$121, product_lookup!$B$2:$B$121, "Unknown")</f>
        <v/>
      </c>
      <c r="D112" s="16">
        <f>SUMIFS(retail_transactions!$F$2:$F$10001, retail_transactions!$C$2:$C$10001, B112)</f>
        <v/>
      </c>
      <c r="E112" s="17">
        <f>SUMIFS(retail_transactions!$K$2:$K$10001, retail_transactions!$C$2:$C$10001, B112)</f>
        <v/>
      </c>
      <c r="F112" s="18">
        <f>E112/$E$132</f>
        <v/>
      </c>
      <c r="G112" s="17">
        <f>G111+E112</f>
        <v/>
      </c>
      <c r="H112" s="18">
        <f>G112/$E$132</f>
        <v/>
      </c>
      <c r="I112" s="18">
        <f>A112/120</f>
        <v/>
      </c>
      <c r="J112" s="14">
        <f>IF(H112&lt;=$B$7, "Top Tier (&lt;=80% Rev)", "Tail Tier (&gt;80% Rev)")</f>
        <v/>
      </c>
      <c r="K112" s="14">
        <f>IF(I112&lt;=$B$6, "Top 20% SKU", "Bottom 80% SKU")</f>
        <v/>
      </c>
    </row>
    <row r="113" ht="18" customHeight="1">
      <c r="A113" s="14" t="n">
        <v>102</v>
      </c>
      <c r="B113" s="15" t="inlineStr">
        <is>
          <t>Orion Haircare Plus-887</t>
        </is>
      </c>
      <c r="C113" s="15">
        <f>XLOOKUP(B113, product_lookup!$A$2:$A$121, product_lookup!$B$2:$B$121, "Unknown")</f>
        <v/>
      </c>
      <c r="D113" s="16">
        <f>SUMIFS(retail_transactions!$F$2:$F$10001, retail_transactions!$C$2:$C$10001, B113)</f>
        <v/>
      </c>
      <c r="E113" s="17">
        <f>SUMIFS(retail_transactions!$K$2:$K$10001, retail_transactions!$C$2:$C$10001, B113)</f>
        <v/>
      </c>
      <c r="F113" s="18">
        <f>E113/$E$132</f>
        <v/>
      </c>
      <c r="G113" s="17">
        <f>G112+E113</f>
        <v/>
      </c>
      <c r="H113" s="18">
        <f>G113/$E$132</f>
        <v/>
      </c>
      <c r="I113" s="18">
        <f>A113/120</f>
        <v/>
      </c>
      <c r="J113" s="14">
        <f>IF(H113&lt;=$B$7, "Top Tier (&lt;=80% Rev)", "Tail Tier (&gt;80% Rev)")</f>
        <v/>
      </c>
      <c r="K113" s="14">
        <f>IF(I113&lt;=$B$6, "Top 20% SKU", "Bottom 80% SKU")</f>
        <v/>
      </c>
    </row>
    <row r="114" ht="18" customHeight="1">
      <c r="A114" s="14" t="n">
        <v>103</v>
      </c>
      <c r="B114" s="15" t="inlineStr">
        <is>
          <t>Orion Fragrance Lite-785</t>
        </is>
      </c>
      <c r="C114" s="15">
        <f>XLOOKUP(B114, product_lookup!$A$2:$A$121, product_lookup!$B$2:$B$121, "Unknown")</f>
        <v/>
      </c>
      <c r="D114" s="16">
        <f>SUMIFS(retail_transactions!$F$2:$F$10001, retail_transactions!$C$2:$C$10001, B114)</f>
        <v/>
      </c>
      <c r="E114" s="17">
        <f>SUMIFS(retail_transactions!$K$2:$K$10001, retail_transactions!$C$2:$C$10001, B114)</f>
        <v/>
      </c>
      <c r="F114" s="18">
        <f>E114/$E$132</f>
        <v/>
      </c>
      <c r="G114" s="17">
        <f>G113+E114</f>
        <v/>
      </c>
      <c r="H114" s="18">
        <f>G114/$E$132</f>
        <v/>
      </c>
      <c r="I114" s="18">
        <f>A114/120</f>
        <v/>
      </c>
      <c r="J114" s="14">
        <f>IF(H114&lt;=$B$7, "Top Tier (&lt;=80% Rev)", "Tail Tier (&gt;80% Rev)")</f>
        <v/>
      </c>
      <c r="K114" s="14">
        <f>IF(I114&lt;=$B$6, "Top 20% SKU", "Bottom 80% SKU")</f>
        <v/>
      </c>
    </row>
    <row r="115" ht="18" customHeight="1">
      <c r="A115" s="14" t="n">
        <v>104</v>
      </c>
      <c r="B115" s="15" t="inlineStr">
        <is>
          <t>Nimbus Women Plus-352</t>
        </is>
      </c>
      <c r="C115" s="15">
        <f>XLOOKUP(B115, product_lookup!$A$2:$A$121, product_lookup!$B$2:$B$121, "Unknown")</f>
        <v/>
      </c>
      <c r="D115" s="16">
        <f>SUMIFS(retail_transactions!$F$2:$F$10001, retail_transactions!$C$2:$C$10001, B115)</f>
        <v/>
      </c>
      <c r="E115" s="17">
        <f>SUMIFS(retail_transactions!$K$2:$K$10001, retail_transactions!$C$2:$C$10001, B115)</f>
        <v/>
      </c>
      <c r="F115" s="18">
        <f>E115/$E$132</f>
        <v/>
      </c>
      <c r="G115" s="17">
        <f>G114+E115</f>
        <v/>
      </c>
      <c r="H115" s="18">
        <f>G115/$E$132</f>
        <v/>
      </c>
      <c r="I115" s="18">
        <f>A115/120</f>
        <v/>
      </c>
      <c r="J115" s="14">
        <f>IF(H115&lt;=$B$7, "Top Tier (&lt;=80% Rev)", "Tail Tier (&gt;80% Rev)")</f>
        <v/>
      </c>
      <c r="K115" s="14">
        <f>IF(I115&lt;=$B$6, "Top 20% SKU", "Bottom 80% SKU")</f>
        <v/>
      </c>
    </row>
    <row r="116" ht="18" customHeight="1">
      <c r="A116" s="14" t="n">
        <v>105</v>
      </c>
      <c r="B116" s="15" t="inlineStr">
        <is>
          <t>Falcon Beverage Max-702</t>
        </is>
      </c>
      <c r="C116" s="15">
        <f>XLOOKUP(B116, product_lookup!$A$2:$A$121, product_lookup!$B$2:$B$121, "Unknown")</f>
        <v/>
      </c>
      <c r="D116" s="16">
        <f>SUMIFS(retail_transactions!$F$2:$F$10001, retail_transactions!$C$2:$C$10001, B116)</f>
        <v/>
      </c>
      <c r="E116" s="17">
        <f>SUMIFS(retail_transactions!$K$2:$K$10001, retail_transactions!$C$2:$C$10001, B116)</f>
        <v/>
      </c>
      <c r="F116" s="18">
        <f>E116/$E$132</f>
        <v/>
      </c>
      <c r="G116" s="17">
        <f>G115+E116</f>
        <v/>
      </c>
      <c r="H116" s="18">
        <f>G116/$E$132</f>
        <v/>
      </c>
      <c r="I116" s="18">
        <f>A116/120</f>
        <v/>
      </c>
      <c r="J116" s="14">
        <f>IF(H116&lt;=$B$7, "Top Tier (&lt;=80% Rev)", "Tail Tier (&gt;80% Rev)")</f>
        <v/>
      </c>
      <c r="K116" s="14">
        <f>IF(I116&lt;=$B$6, "Top 20% SKU", "Bottom 80% SKU")</f>
        <v/>
      </c>
    </row>
    <row r="117" ht="18" customHeight="1">
      <c r="A117" s="14" t="n">
        <v>106</v>
      </c>
      <c r="B117" s="15" t="inlineStr">
        <is>
          <t>Falcon Household Plus-796</t>
        </is>
      </c>
      <c r="C117" s="15">
        <f>XLOOKUP(B117, product_lookup!$A$2:$A$121, product_lookup!$B$2:$B$121, "Unknown")</f>
        <v/>
      </c>
      <c r="D117" s="16">
        <f>SUMIFS(retail_transactions!$F$2:$F$10001, retail_transactions!$C$2:$C$10001, B117)</f>
        <v/>
      </c>
      <c r="E117" s="17">
        <f>SUMIFS(retail_transactions!$K$2:$K$10001, retail_transactions!$C$2:$C$10001, B117)</f>
        <v/>
      </c>
      <c r="F117" s="18">
        <f>E117/$E$132</f>
        <v/>
      </c>
      <c r="G117" s="17">
        <f>G116+E117</f>
        <v/>
      </c>
      <c r="H117" s="18">
        <f>G117/$E$132</f>
        <v/>
      </c>
      <c r="I117" s="18">
        <f>A117/120</f>
        <v/>
      </c>
      <c r="J117" s="14">
        <f>IF(H117&lt;=$B$7, "Top Tier (&lt;=80% Rev)", "Tail Tier (&gt;80% Rev)")</f>
        <v/>
      </c>
      <c r="K117" s="14">
        <f>IF(I117&lt;=$B$6, "Top 20% SKU", "Bottom 80% SKU")</f>
        <v/>
      </c>
    </row>
    <row r="118" ht="18" customHeight="1">
      <c r="A118" s="14" t="n">
        <v>107</v>
      </c>
      <c r="B118" s="15" t="inlineStr">
        <is>
          <t>Orion Beverage Plus-949</t>
        </is>
      </c>
      <c r="C118" s="15">
        <f>XLOOKUP(B118, product_lookup!$A$2:$A$121, product_lookup!$B$2:$B$121, "Unknown")</f>
        <v/>
      </c>
      <c r="D118" s="16">
        <f>SUMIFS(retail_transactions!$F$2:$F$10001, retail_transactions!$C$2:$C$10001, B118)</f>
        <v/>
      </c>
      <c r="E118" s="17">
        <f>SUMIFS(retail_transactions!$K$2:$K$10001, retail_transactions!$C$2:$C$10001, B118)</f>
        <v/>
      </c>
      <c r="F118" s="18">
        <f>E118/$E$132</f>
        <v/>
      </c>
      <c r="G118" s="17">
        <f>G117+E118</f>
        <v/>
      </c>
      <c r="H118" s="18">
        <f>G118/$E$132</f>
        <v/>
      </c>
      <c r="I118" s="18">
        <f>A118/120</f>
        <v/>
      </c>
      <c r="J118" s="14">
        <f>IF(H118&lt;=$B$7, "Top Tier (&lt;=80% Rev)", "Tail Tier (&gt;80% Rev)")</f>
        <v/>
      </c>
      <c r="K118" s="14">
        <f>IF(I118&lt;=$B$6, "Top 20% SKU", "Bottom 80% SKU")</f>
        <v/>
      </c>
    </row>
    <row r="119" ht="18" customHeight="1">
      <c r="A119" s="14" t="n">
        <v>108</v>
      </c>
      <c r="B119" s="15" t="inlineStr">
        <is>
          <t>Falcon Household Plus-172</t>
        </is>
      </c>
      <c r="C119" s="15">
        <f>XLOOKUP(B119, product_lookup!$A$2:$A$121, product_lookup!$B$2:$B$121, "Unknown")</f>
        <v/>
      </c>
      <c r="D119" s="16">
        <f>SUMIFS(retail_transactions!$F$2:$F$10001, retail_transactions!$C$2:$C$10001, B119)</f>
        <v/>
      </c>
      <c r="E119" s="17">
        <f>SUMIFS(retail_transactions!$K$2:$K$10001, retail_transactions!$C$2:$C$10001, B119)</f>
        <v/>
      </c>
      <c r="F119" s="18">
        <f>E119/$E$132</f>
        <v/>
      </c>
      <c r="G119" s="17">
        <f>G118+E119</f>
        <v/>
      </c>
      <c r="H119" s="18">
        <f>G119/$E$132</f>
        <v/>
      </c>
      <c r="I119" s="18">
        <f>A119/120</f>
        <v/>
      </c>
      <c r="J119" s="14">
        <f>IF(H119&lt;=$B$7, "Top Tier (&lt;=80% Rev)", "Tail Tier (&gt;80% Rev)")</f>
        <v/>
      </c>
      <c r="K119" s="14">
        <f>IF(I119&lt;=$B$6, "Top 20% SKU", "Bottom 80% SKU")</f>
        <v/>
      </c>
    </row>
    <row r="120" ht="18" customHeight="1">
      <c r="A120" s="14" t="n">
        <v>109</v>
      </c>
      <c r="B120" s="15" t="inlineStr">
        <is>
          <t>Vertex Pantry Pro-165</t>
        </is>
      </c>
      <c r="C120" s="15">
        <f>XLOOKUP(B120, product_lookup!$A$2:$A$121, product_lookup!$B$2:$B$121, "Unknown")</f>
        <v/>
      </c>
      <c r="D120" s="16">
        <f>SUMIFS(retail_transactions!$F$2:$F$10001, retail_transactions!$C$2:$C$10001, B120)</f>
        <v/>
      </c>
      <c r="E120" s="17">
        <f>SUMIFS(retail_transactions!$K$2:$K$10001, retail_transactions!$C$2:$C$10001, B120)</f>
        <v/>
      </c>
      <c r="F120" s="18">
        <f>E120/$E$132</f>
        <v/>
      </c>
      <c r="G120" s="17">
        <f>G119+E120</f>
        <v/>
      </c>
      <c r="H120" s="18">
        <f>G120/$E$132</f>
        <v/>
      </c>
      <c r="I120" s="18">
        <f>A120/120</f>
        <v/>
      </c>
      <c r="J120" s="14">
        <f>IF(H120&lt;=$B$7, "Top Tier (&lt;=80% Rev)", "Tail Tier (&gt;80% Rev)")</f>
        <v/>
      </c>
      <c r="K120" s="14">
        <f>IF(I120&lt;=$B$6, "Top 20% SKU", "Bottom 80% SKU")</f>
        <v/>
      </c>
    </row>
    <row r="121" ht="18" customHeight="1">
      <c r="A121" s="14" t="n">
        <v>110</v>
      </c>
      <c r="B121" s="15" t="inlineStr">
        <is>
          <t>Orion Snack X-322</t>
        </is>
      </c>
      <c r="C121" s="15">
        <f>XLOOKUP(B121, product_lookup!$A$2:$A$121, product_lookup!$B$2:$B$121, "Unknown")</f>
        <v/>
      </c>
      <c r="D121" s="16">
        <f>SUMIFS(retail_transactions!$F$2:$F$10001, retail_transactions!$C$2:$C$10001, B121)</f>
        <v/>
      </c>
      <c r="E121" s="17">
        <f>SUMIFS(retail_transactions!$K$2:$K$10001, retail_transactions!$C$2:$C$10001, B121)</f>
        <v/>
      </c>
      <c r="F121" s="18">
        <f>E121/$E$132</f>
        <v/>
      </c>
      <c r="G121" s="17">
        <f>G120+E121</f>
        <v/>
      </c>
      <c r="H121" s="18">
        <f>G121/$E$132</f>
        <v/>
      </c>
      <c r="I121" s="18">
        <f>A121/120</f>
        <v/>
      </c>
      <c r="J121" s="14">
        <f>IF(H121&lt;=$B$7, "Top Tier (&lt;=80% Rev)", "Tail Tier (&gt;80% Rev)")</f>
        <v/>
      </c>
      <c r="K121" s="14">
        <f>IF(I121&lt;=$B$6, "Top 20% SKU", "Bottom 80% SKU")</f>
        <v/>
      </c>
    </row>
    <row r="122" ht="18" customHeight="1">
      <c r="A122" s="14" t="n">
        <v>111</v>
      </c>
      <c r="B122" s="15" t="inlineStr">
        <is>
          <t>Polar Beverage S-258</t>
        </is>
      </c>
      <c r="C122" s="15">
        <f>XLOOKUP(B122, product_lookup!$A$2:$A$121, product_lookup!$B$2:$B$121, "Unknown")</f>
        <v/>
      </c>
      <c r="D122" s="16">
        <f>SUMIFS(retail_transactions!$F$2:$F$10001, retail_transactions!$C$2:$C$10001, B122)</f>
        <v/>
      </c>
      <c r="E122" s="17">
        <f>SUMIFS(retail_transactions!$K$2:$K$10001, retail_transactions!$C$2:$C$10001, B122)</f>
        <v/>
      </c>
      <c r="F122" s="18">
        <f>E122/$E$132</f>
        <v/>
      </c>
      <c r="G122" s="17">
        <f>G121+E122</f>
        <v/>
      </c>
      <c r="H122" s="18">
        <f>G122/$E$132</f>
        <v/>
      </c>
      <c r="I122" s="18">
        <f>A122/120</f>
        <v/>
      </c>
      <c r="J122" s="14">
        <f>IF(H122&lt;=$B$7, "Top Tier (&lt;=80% Rev)", "Tail Tier (&gt;80% Rev)")</f>
        <v/>
      </c>
      <c r="K122" s="14">
        <f>IF(I122&lt;=$B$6, "Top 20% SKU", "Bottom 80% SKU")</f>
        <v/>
      </c>
    </row>
    <row r="123" ht="18" customHeight="1">
      <c r="A123" s="14" t="n">
        <v>112</v>
      </c>
      <c r="B123" s="15" t="inlineStr">
        <is>
          <t>Polar Snack Pro-641</t>
        </is>
      </c>
      <c r="C123" s="15">
        <f>XLOOKUP(B123, product_lookup!$A$2:$A$121, product_lookup!$B$2:$B$121, "Unknown")</f>
        <v/>
      </c>
      <c r="D123" s="16">
        <f>SUMIFS(retail_transactions!$F$2:$F$10001, retail_transactions!$C$2:$C$10001, B123)</f>
        <v/>
      </c>
      <c r="E123" s="17">
        <f>SUMIFS(retail_transactions!$K$2:$K$10001, retail_transactions!$C$2:$C$10001, B123)</f>
        <v/>
      </c>
      <c r="F123" s="18">
        <f>E123/$E$132</f>
        <v/>
      </c>
      <c r="G123" s="17">
        <f>G122+E123</f>
        <v/>
      </c>
      <c r="H123" s="18">
        <f>G123/$E$132</f>
        <v/>
      </c>
      <c r="I123" s="18">
        <f>A123/120</f>
        <v/>
      </c>
      <c r="J123" s="14">
        <f>IF(H123&lt;=$B$7, "Top Tier (&lt;=80% Rev)", "Tail Tier (&gt;80% Rev)")</f>
        <v/>
      </c>
      <c r="K123" s="14">
        <f>IF(I123&lt;=$B$6, "Top 20% SKU", "Bottom 80% SKU")</f>
        <v/>
      </c>
    </row>
    <row r="124" ht="18" customHeight="1">
      <c r="A124" s="14" t="n">
        <v>113</v>
      </c>
      <c r="B124" s="15" t="inlineStr">
        <is>
          <t>Falcon Household Pro-865</t>
        </is>
      </c>
      <c r="C124" s="15">
        <f>XLOOKUP(B124, product_lookup!$A$2:$A$121, product_lookup!$B$2:$B$121, "Unknown")</f>
        <v/>
      </c>
      <c r="D124" s="16">
        <f>SUMIFS(retail_transactions!$F$2:$F$10001, retail_transactions!$C$2:$C$10001, B124)</f>
        <v/>
      </c>
      <c r="E124" s="17">
        <f>SUMIFS(retail_transactions!$K$2:$K$10001, retail_transactions!$C$2:$C$10001, B124)</f>
        <v/>
      </c>
      <c r="F124" s="18">
        <f>E124/$E$132</f>
        <v/>
      </c>
      <c r="G124" s="17">
        <f>G123+E124</f>
        <v/>
      </c>
      <c r="H124" s="18">
        <f>G124/$E$132</f>
        <v/>
      </c>
      <c r="I124" s="18">
        <f>A124/120</f>
        <v/>
      </c>
      <c r="J124" s="14">
        <f>IF(H124&lt;=$B$7, "Top Tier (&lt;=80% Rev)", "Tail Tier (&gt;80% Rev)")</f>
        <v/>
      </c>
      <c r="K124" s="14">
        <f>IF(I124&lt;=$B$6, "Top 20% SKU", "Bottom 80% SKU")</f>
        <v/>
      </c>
    </row>
    <row r="125" ht="18" customHeight="1">
      <c r="A125" s="14" t="n">
        <v>114</v>
      </c>
      <c r="B125" s="15" t="inlineStr">
        <is>
          <t>Metro Beverage Max-490</t>
        </is>
      </c>
      <c r="C125" s="15">
        <f>XLOOKUP(B125, product_lookup!$A$2:$A$121, product_lookup!$B$2:$B$121, "Unknown")</f>
        <v/>
      </c>
      <c r="D125" s="16">
        <f>SUMIFS(retail_transactions!$F$2:$F$10001, retail_transactions!$C$2:$C$10001, B125)</f>
        <v/>
      </c>
      <c r="E125" s="17">
        <f>SUMIFS(retail_transactions!$K$2:$K$10001, retail_transactions!$C$2:$C$10001, B125)</f>
        <v/>
      </c>
      <c r="F125" s="18">
        <f>E125/$E$132</f>
        <v/>
      </c>
      <c r="G125" s="17">
        <f>G124+E125</f>
        <v/>
      </c>
      <c r="H125" s="18">
        <f>G125/$E$132</f>
        <v/>
      </c>
      <c r="I125" s="18">
        <f>A125/120</f>
        <v/>
      </c>
      <c r="J125" s="14">
        <f>IF(H125&lt;=$B$7, "Top Tier (&lt;=80% Rev)", "Tail Tier (&gt;80% Rev)")</f>
        <v/>
      </c>
      <c r="K125" s="14">
        <f>IF(I125&lt;=$B$6, "Top 20% SKU", "Bottom 80% SKU")</f>
        <v/>
      </c>
    </row>
    <row r="126" ht="18" customHeight="1">
      <c r="A126" s="14" t="n">
        <v>115</v>
      </c>
      <c r="B126" s="15" t="inlineStr">
        <is>
          <t>Metro Pantry Max-180</t>
        </is>
      </c>
      <c r="C126" s="15">
        <f>XLOOKUP(B126, product_lookup!$A$2:$A$121, product_lookup!$B$2:$B$121, "Unknown")</f>
        <v/>
      </c>
      <c r="D126" s="16">
        <f>SUMIFS(retail_transactions!$F$2:$F$10001, retail_transactions!$C$2:$C$10001, B126)</f>
        <v/>
      </c>
      <c r="E126" s="17">
        <f>SUMIFS(retail_transactions!$K$2:$K$10001, retail_transactions!$C$2:$C$10001, B126)</f>
        <v/>
      </c>
      <c r="F126" s="18">
        <f>E126/$E$132</f>
        <v/>
      </c>
      <c r="G126" s="17">
        <f>G125+E126</f>
        <v/>
      </c>
      <c r="H126" s="18">
        <f>G126/$E$132</f>
        <v/>
      </c>
      <c r="I126" s="18">
        <f>A126/120</f>
        <v/>
      </c>
      <c r="J126" s="14">
        <f>IF(H126&lt;=$B$7, "Top Tier (&lt;=80% Rev)", "Tail Tier (&gt;80% Rev)")</f>
        <v/>
      </c>
      <c r="K126" s="14">
        <f>IF(I126&lt;=$B$6, "Top 20% SKU", "Bottom 80% SKU")</f>
        <v/>
      </c>
    </row>
    <row r="127" ht="18" customHeight="1">
      <c r="A127" s="14" t="n">
        <v>116</v>
      </c>
      <c r="B127" s="15" t="inlineStr">
        <is>
          <t>Solace Snack S-691</t>
        </is>
      </c>
      <c r="C127" s="15">
        <f>XLOOKUP(B127, product_lookup!$A$2:$A$121, product_lookup!$B$2:$B$121, "Unknown")</f>
        <v/>
      </c>
      <c r="D127" s="16">
        <f>SUMIFS(retail_transactions!$F$2:$F$10001, retail_transactions!$C$2:$C$10001, B127)</f>
        <v/>
      </c>
      <c r="E127" s="17">
        <f>SUMIFS(retail_transactions!$K$2:$K$10001, retail_transactions!$C$2:$C$10001, B127)</f>
        <v/>
      </c>
      <c r="F127" s="18">
        <f>E127/$E$132</f>
        <v/>
      </c>
      <c r="G127" s="17">
        <f>G126+E127</f>
        <v/>
      </c>
      <c r="H127" s="18">
        <f>G127/$E$132</f>
        <v/>
      </c>
      <c r="I127" s="18">
        <f>A127/120</f>
        <v/>
      </c>
      <c r="J127" s="14">
        <f>IF(H127&lt;=$B$7, "Top Tier (&lt;=80% Rev)", "Tail Tier (&gt;80% Rev)")</f>
        <v/>
      </c>
      <c r="K127" s="14">
        <f>IF(I127&lt;=$B$6, "Top 20% SKU", "Bottom 80% SKU")</f>
        <v/>
      </c>
    </row>
    <row r="128" ht="18" customHeight="1">
      <c r="A128" s="14" t="n">
        <v>117</v>
      </c>
      <c r="B128" s="15" t="inlineStr">
        <is>
          <t>Polar Pantry Lite-392</t>
        </is>
      </c>
      <c r="C128" s="15">
        <f>XLOOKUP(B128, product_lookup!$A$2:$A$121, product_lookup!$B$2:$B$121, "Unknown")</f>
        <v/>
      </c>
      <c r="D128" s="16">
        <f>SUMIFS(retail_transactions!$F$2:$F$10001, retail_transactions!$C$2:$C$10001, B128)</f>
        <v/>
      </c>
      <c r="E128" s="17">
        <f>SUMIFS(retail_transactions!$K$2:$K$10001, retail_transactions!$C$2:$C$10001, B128)</f>
        <v/>
      </c>
      <c r="F128" s="18">
        <f>E128/$E$132</f>
        <v/>
      </c>
      <c r="G128" s="17">
        <f>G127+E128</f>
        <v/>
      </c>
      <c r="H128" s="18">
        <f>G128/$E$132</f>
        <v/>
      </c>
      <c r="I128" s="18">
        <f>A128/120</f>
        <v/>
      </c>
      <c r="J128" s="14">
        <f>IF(H128&lt;=$B$7, "Top Tier (&lt;=80% Rev)", "Tail Tier (&gt;80% Rev)")</f>
        <v/>
      </c>
      <c r="K128" s="14">
        <f>IF(I128&lt;=$B$6, "Top 20% SKU", "Bottom 80% SKU")</f>
        <v/>
      </c>
    </row>
    <row r="129" ht="18" customHeight="1">
      <c r="A129" s="14" t="n">
        <v>118</v>
      </c>
      <c r="B129" s="15" t="inlineStr">
        <is>
          <t>Metro Pantry X-710</t>
        </is>
      </c>
      <c r="C129" s="15">
        <f>XLOOKUP(B129, product_lookup!$A$2:$A$121, product_lookup!$B$2:$B$121, "Unknown")</f>
        <v/>
      </c>
      <c r="D129" s="16">
        <f>SUMIFS(retail_transactions!$F$2:$F$10001, retail_transactions!$C$2:$C$10001, B129)</f>
        <v/>
      </c>
      <c r="E129" s="17">
        <f>SUMIFS(retail_transactions!$K$2:$K$10001, retail_transactions!$C$2:$C$10001, B129)</f>
        <v/>
      </c>
      <c r="F129" s="18">
        <f>E129/$E$132</f>
        <v/>
      </c>
      <c r="G129" s="17">
        <f>G128+E129</f>
        <v/>
      </c>
      <c r="H129" s="18">
        <f>G129/$E$132</f>
        <v/>
      </c>
      <c r="I129" s="18">
        <f>A129/120</f>
        <v/>
      </c>
      <c r="J129" s="14">
        <f>IF(H129&lt;=$B$7, "Top Tier (&lt;=80% Rev)", "Tail Tier (&gt;80% Rev)")</f>
        <v/>
      </c>
      <c r="K129" s="14">
        <f>IF(I129&lt;=$B$6, "Top 20% SKU", "Bottom 80% SKU")</f>
        <v/>
      </c>
    </row>
    <row r="130" ht="18" customHeight="1">
      <c r="A130" s="14" t="n">
        <v>119</v>
      </c>
      <c r="B130" s="15" t="inlineStr">
        <is>
          <t>Aurora Household Plus-146</t>
        </is>
      </c>
      <c r="C130" s="15">
        <f>XLOOKUP(B130, product_lookup!$A$2:$A$121, product_lookup!$B$2:$B$121, "Unknown")</f>
        <v/>
      </c>
      <c r="D130" s="16">
        <f>SUMIFS(retail_transactions!$F$2:$F$10001, retail_transactions!$C$2:$C$10001, B130)</f>
        <v/>
      </c>
      <c r="E130" s="17">
        <f>SUMIFS(retail_transactions!$K$2:$K$10001, retail_transactions!$C$2:$C$10001, B130)</f>
        <v/>
      </c>
      <c r="F130" s="18">
        <f>E130/$E$132</f>
        <v/>
      </c>
      <c r="G130" s="17">
        <f>G129+E130</f>
        <v/>
      </c>
      <c r="H130" s="18">
        <f>G130/$E$132</f>
        <v/>
      </c>
      <c r="I130" s="18">
        <f>A130/120</f>
        <v/>
      </c>
      <c r="J130" s="14">
        <f>IF(H130&lt;=$B$7, "Top Tier (&lt;=80% Rev)", "Tail Tier (&gt;80% Rev)")</f>
        <v/>
      </c>
      <c r="K130" s="14">
        <f>IF(I130&lt;=$B$6, "Top 20% SKU", "Bottom 80% SKU")</f>
        <v/>
      </c>
    </row>
    <row r="131" ht="18" customHeight="1">
      <c r="A131" s="14" t="n">
        <v>120</v>
      </c>
      <c r="B131" s="15" t="inlineStr">
        <is>
          <t>Vertex Snack S-702</t>
        </is>
      </c>
      <c r="C131" s="15">
        <f>XLOOKUP(B131, product_lookup!$A$2:$A$121, product_lookup!$B$2:$B$121, "Unknown")</f>
        <v/>
      </c>
      <c r="D131" s="16">
        <f>SUMIFS(retail_transactions!$F$2:$F$10001, retail_transactions!$C$2:$C$10001, B131)</f>
        <v/>
      </c>
      <c r="E131" s="17">
        <f>SUMIFS(retail_transactions!$K$2:$K$10001, retail_transactions!$C$2:$C$10001, B131)</f>
        <v/>
      </c>
      <c r="F131" s="18">
        <f>E131/$E$132</f>
        <v/>
      </c>
      <c r="G131" s="17">
        <f>G130+E131</f>
        <v/>
      </c>
      <c r="H131" s="18">
        <f>G131/$E$132</f>
        <v/>
      </c>
      <c r="I131" s="18">
        <f>A131/120</f>
        <v/>
      </c>
      <c r="J131" s="14">
        <f>IF(H131&lt;=$B$7, "Top Tier (&lt;=80% Rev)", "Tail Tier (&gt;80% Rev)")</f>
        <v/>
      </c>
      <c r="K131" s="14">
        <f>IF(I131&lt;=$B$6, "Top 20% SKU", "Bottom 80% SKU")</f>
        <v/>
      </c>
    </row>
    <row r="132" ht="22" customHeight="1">
      <c r="A132" s="21" t="inlineStr">
        <is>
          <t>TOTAL / ALL PRODUCTS</t>
        </is>
      </c>
      <c r="B132" s="22" t="n"/>
      <c r="C132" s="22" t="n"/>
      <c r="D132" s="23">
        <f>SUM(D12:D131)</f>
        <v/>
      </c>
      <c r="E132" s="24">
        <f>SUM(E12:E131)</f>
        <v/>
      </c>
      <c r="F132" s="25">
        <f>SUM(F12:F131)</f>
        <v/>
      </c>
      <c r="G132" s="22" t="n"/>
      <c r="H132" s="22" t="n"/>
      <c r="I132" s="22" t="n"/>
      <c r="J132" s="22" t="n"/>
      <c r="K132" s="22" t="n"/>
    </row>
    <row r="135">
      <c r="A135" s="3" t="inlineStr">
        <is>
          <t>QUESTION 2: REGIONAL MARGIN BENCHMARKING (SUMIFS, COUNTIFS, PARAMETER CELL B5)</t>
        </is>
      </c>
    </row>
    <row r="136" ht="24" customHeight="1">
      <c r="A136" s="12" t="inlineStr">
        <is>
          <t>Region</t>
        </is>
      </c>
      <c r="B136" s="13" t="inlineStr">
        <is>
          <t>Order Count</t>
        </is>
      </c>
      <c r="C136" s="13" t="inlineStr">
        <is>
          <t>Units Sold</t>
        </is>
      </c>
      <c r="D136" s="13" t="inlineStr">
        <is>
          <t>Total Net Sales ($)</t>
        </is>
      </c>
      <c r="E136" s="13" t="inlineStr">
        <is>
          <t>Total COGS ($)</t>
        </is>
      </c>
      <c r="F136" s="13" t="inlineStr">
        <is>
          <t>Gross Margin ($)</t>
        </is>
      </c>
      <c r="G136" s="13" t="inlineStr">
        <is>
          <t>Realized Margin %</t>
        </is>
      </c>
      <c r="H136" s="13" t="inlineStr">
        <is>
          <t>Target Threshold</t>
        </is>
      </c>
      <c r="I136" s="13" t="inlineStr">
        <is>
          <t>Margin Variance</t>
        </is>
      </c>
      <c r="J136" s="5" t="inlineStr">
        <is>
          <t>Status vs Target</t>
        </is>
      </c>
      <c r="K136" s="13" t="inlineStr">
        <is>
          <t>Dollar Shortfall ($)</t>
        </is>
      </c>
    </row>
    <row r="137" ht="20" customHeight="1">
      <c r="A137" s="26" t="inlineStr">
        <is>
          <t>Central</t>
        </is>
      </c>
      <c r="B137" s="16">
        <f>COUNTIFS(retail_transactions!$E$2:$E$10001, A137)</f>
        <v/>
      </c>
      <c r="C137" s="16">
        <f>SUMIFS(retail_transactions!$F$2:$F$10001, retail_transactions!$E$2:$E$10001, A137)</f>
        <v/>
      </c>
      <c r="D137" s="17">
        <f>SUMIFS(retail_transactions!$K$2:$K$10001, retail_transactions!$E$2:$E$10001, A137)</f>
        <v/>
      </c>
      <c r="E137" s="17">
        <f>D137-F137</f>
        <v/>
      </c>
      <c r="F137" s="17">
        <f>SUMIFS(retail_transactions!$L$2:$L$10001, retail_transactions!$E$2:$E$10001, A137)</f>
        <v/>
      </c>
      <c r="G137" s="18">
        <f>F137/D137</f>
        <v/>
      </c>
      <c r="H137" s="18">
        <f>$B$5</f>
        <v/>
      </c>
      <c r="I137" s="27">
        <f>G137-H137</f>
        <v/>
      </c>
      <c r="J137" s="14">
        <f>IF(I137&lt;0, "BELOW TARGET", "MEETS TARGET")</f>
        <v/>
      </c>
      <c r="K137" s="17">
        <f>IF(I137&lt;0, D137*ABS(I137), 0)</f>
        <v/>
      </c>
    </row>
    <row r="138" ht="20" customHeight="1">
      <c r="A138" s="26" t="inlineStr">
        <is>
          <t>East</t>
        </is>
      </c>
      <c r="B138" s="16">
        <f>COUNTIFS(retail_transactions!$E$2:$E$10001, A138)</f>
        <v/>
      </c>
      <c r="C138" s="16">
        <f>SUMIFS(retail_transactions!$F$2:$F$10001, retail_transactions!$E$2:$E$10001, A138)</f>
        <v/>
      </c>
      <c r="D138" s="17">
        <f>SUMIFS(retail_transactions!$K$2:$K$10001, retail_transactions!$E$2:$E$10001, A138)</f>
        <v/>
      </c>
      <c r="E138" s="17">
        <f>D138-F138</f>
        <v/>
      </c>
      <c r="F138" s="17">
        <f>SUMIFS(retail_transactions!$L$2:$L$10001, retail_transactions!$E$2:$E$10001, A138)</f>
        <v/>
      </c>
      <c r="G138" s="18">
        <f>F138/D138</f>
        <v/>
      </c>
      <c r="H138" s="18">
        <f>$B$5</f>
        <v/>
      </c>
      <c r="I138" s="27">
        <f>G138-H138</f>
        <v/>
      </c>
      <c r="J138" s="14">
        <f>IF(I138&lt;0, "BELOW TARGET", "MEETS TARGET")</f>
        <v/>
      </c>
      <c r="K138" s="17">
        <f>IF(I138&lt;0, D138*ABS(I138), 0)</f>
        <v/>
      </c>
    </row>
    <row r="139" ht="20" customHeight="1">
      <c r="A139" s="26" t="inlineStr">
        <is>
          <t>North</t>
        </is>
      </c>
      <c r="B139" s="16">
        <f>COUNTIFS(retail_transactions!$E$2:$E$10001, A139)</f>
        <v/>
      </c>
      <c r="C139" s="16">
        <f>SUMIFS(retail_transactions!$F$2:$F$10001, retail_transactions!$E$2:$E$10001, A139)</f>
        <v/>
      </c>
      <c r="D139" s="17">
        <f>SUMIFS(retail_transactions!$K$2:$K$10001, retail_transactions!$E$2:$E$10001, A139)</f>
        <v/>
      </c>
      <c r="E139" s="17">
        <f>D139-F139</f>
        <v/>
      </c>
      <c r="F139" s="17">
        <f>SUMIFS(retail_transactions!$L$2:$L$10001, retail_transactions!$E$2:$E$10001, A139)</f>
        <v/>
      </c>
      <c r="G139" s="18">
        <f>F139/D139</f>
        <v/>
      </c>
      <c r="H139" s="18">
        <f>$B$5</f>
        <v/>
      </c>
      <c r="I139" s="27">
        <f>G139-H139</f>
        <v/>
      </c>
      <c r="J139" s="14">
        <f>IF(I139&lt;0, "BELOW TARGET", "MEETS TARGET")</f>
        <v/>
      </c>
      <c r="K139" s="17">
        <f>IF(I139&lt;0, D139*ABS(I139), 0)</f>
        <v/>
      </c>
    </row>
    <row r="140" ht="20" customHeight="1">
      <c r="A140" s="26" t="inlineStr">
        <is>
          <t>South</t>
        </is>
      </c>
      <c r="B140" s="16">
        <f>COUNTIFS(retail_transactions!$E$2:$E$10001, A140)</f>
        <v/>
      </c>
      <c r="C140" s="16">
        <f>SUMIFS(retail_transactions!$F$2:$F$10001, retail_transactions!$E$2:$E$10001, A140)</f>
        <v/>
      </c>
      <c r="D140" s="17">
        <f>SUMIFS(retail_transactions!$K$2:$K$10001, retail_transactions!$E$2:$E$10001, A140)</f>
        <v/>
      </c>
      <c r="E140" s="17">
        <f>D140-F140</f>
        <v/>
      </c>
      <c r="F140" s="17">
        <f>SUMIFS(retail_transactions!$L$2:$L$10001, retail_transactions!$E$2:$E$10001, A140)</f>
        <v/>
      </c>
      <c r="G140" s="18">
        <f>F140/D140</f>
        <v/>
      </c>
      <c r="H140" s="18">
        <f>$B$5</f>
        <v/>
      </c>
      <c r="I140" s="27">
        <f>G140-H140</f>
        <v/>
      </c>
      <c r="J140" s="14">
        <f>IF(I140&lt;0, "BELOW TARGET", "MEETS TARGET")</f>
        <v/>
      </c>
      <c r="K140" s="17">
        <f>IF(I140&lt;0, D140*ABS(I140), 0)</f>
        <v/>
      </c>
    </row>
    <row r="141" ht="20" customHeight="1">
      <c r="A141" s="26" t="inlineStr">
        <is>
          <t>West</t>
        </is>
      </c>
      <c r="B141" s="16">
        <f>COUNTIFS(retail_transactions!$E$2:$E$10001, A141)</f>
        <v/>
      </c>
      <c r="C141" s="16">
        <f>SUMIFS(retail_transactions!$F$2:$F$10001, retail_transactions!$E$2:$E$10001, A141)</f>
        <v/>
      </c>
      <c r="D141" s="17">
        <f>SUMIFS(retail_transactions!$K$2:$K$10001, retail_transactions!$E$2:$E$10001, A141)</f>
        <v/>
      </c>
      <c r="E141" s="17">
        <f>D141-F141</f>
        <v/>
      </c>
      <c r="F141" s="17">
        <f>SUMIFS(retail_transactions!$L$2:$L$10001, retail_transactions!$E$2:$E$10001, A141)</f>
        <v/>
      </c>
      <c r="G141" s="18">
        <f>F141/D141</f>
        <v/>
      </c>
      <c r="H141" s="18">
        <f>$B$5</f>
        <v/>
      </c>
      <c r="I141" s="27">
        <f>G141-H141</f>
        <v/>
      </c>
      <c r="J141" s="14">
        <f>IF(I141&lt;0, "BELOW TARGET", "MEETS TARGET")</f>
        <v/>
      </c>
      <c r="K141" s="17">
        <f>IF(I141&lt;0, D141*ABS(I141), 0)</f>
        <v/>
      </c>
    </row>
    <row r="142" ht="22" customHeight="1">
      <c r="A142" s="21" t="inlineStr">
        <is>
          <t>COMPANY TOTAL</t>
        </is>
      </c>
      <c r="B142" s="28">
        <f>SUM(B137:B141)</f>
        <v/>
      </c>
      <c r="C142" s="28">
        <f>SUM(C137:C141)</f>
        <v/>
      </c>
      <c r="D142" s="29">
        <f>SUM(D137:D141)</f>
        <v/>
      </c>
      <c r="E142" s="29">
        <f>SUM(E137:E141)</f>
        <v/>
      </c>
      <c r="F142" s="29">
        <f>SUM(F137:F141)</f>
        <v/>
      </c>
      <c r="G142" s="30">
        <f>F142/D142</f>
        <v/>
      </c>
      <c r="H142" s="30">
        <f>$B$5</f>
        <v/>
      </c>
      <c r="I142" s="31">
        <f>G142-H142</f>
        <v/>
      </c>
      <c r="J142" s="32">
        <f>IF(I142&lt;0, "BELOW TARGET", "MEETS TARGET")</f>
        <v/>
      </c>
      <c r="K142" s="29">
        <f>SUM(K137:K141)</f>
        <v/>
      </c>
    </row>
    <row r="145">
      <c r="A145" s="3" t="inlineStr">
        <is>
          <t>QUESTION 3: PRODUCT CATALOG PRICING &amp; MSRP COMPLETENESS AUDIT (XLOOKUP, COUNTBLANK, FILTER)</t>
        </is>
      </c>
    </row>
    <row r="146" ht="20" customHeight="1">
      <c r="A146" s="26" t="inlineStr">
        <is>
          <t>Master Product Catalog SKUs Audited:</t>
        </is>
      </c>
      <c r="B146" s="8" t="n"/>
      <c r="C146" s="8" t="n"/>
      <c r="D146" s="8" t="n"/>
      <c r="E146" s="33">
        <f>COUNTA(product_lookup!$A$2:$A$121)</f>
        <v/>
      </c>
      <c r="F146" s="34" t="inlineStr">
        <is>
          <t>Total active products in product_lookup table</t>
        </is>
      </c>
      <c r="G146" s="8" t="n"/>
      <c r="H146" s="8" t="n"/>
      <c r="I146" s="8" t="n"/>
      <c r="J146" s="8" t="n"/>
    </row>
    <row r="147" ht="20" customHeight="1">
      <c r="A147" s="26" t="inlineStr">
        <is>
          <t>Catalog Items Missing MSRP (MSRP is Blank/Null):</t>
        </is>
      </c>
      <c r="B147" s="8" t="n"/>
      <c r="C147" s="8" t="n"/>
      <c r="D147" s="8" t="n"/>
      <c r="E147" s="33">
        <f>COUNTBLANK(product_lookup!$D$2:$D$121)</f>
        <v/>
      </c>
      <c r="F147" s="34" t="inlineStr">
        <is>
          <t>Checks for empty/missing MSRP entries</t>
        </is>
      </c>
      <c r="G147" s="8" t="n"/>
      <c r="H147" s="8" t="n"/>
      <c r="I147" s="8" t="n"/>
      <c r="J147" s="8" t="n"/>
    </row>
    <row r="148" ht="20" customHeight="1">
      <c r="A148" s="26" t="inlineStr">
        <is>
          <t>Catalog Items with Non-Positive MSRP (&lt;= $0):</t>
        </is>
      </c>
      <c r="B148" s="8" t="n"/>
      <c r="C148" s="8" t="n"/>
      <c r="D148" s="8" t="n"/>
      <c r="E148" s="33">
        <f>COUNTIF(product_lookup!$D$2:$D$121, "&lt;=0")</f>
        <v/>
      </c>
      <c r="F148" s="34" t="inlineStr">
        <is>
          <t>Flags invalid zero or negative pricing</t>
        </is>
      </c>
      <c r="G148" s="8" t="n"/>
      <c r="H148" s="8" t="n"/>
      <c r="I148" s="8" t="n"/>
      <c r="J148" s="8" t="n"/>
    </row>
    <row r="149" ht="20" customHeight="1">
      <c r="A149" s="26" t="inlineStr">
        <is>
          <t>Transaction SKUs Unmatched to Catalog:</t>
        </is>
      </c>
      <c r="B149" s="8" t="n"/>
      <c r="C149" s="8" t="n"/>
      <c r="D149" s="8" t="n"/>
      <c r="E149" s="33">
        <f>SUMPRODUCT(--ISNA(XLOOKUP(retail_transactions!$C$2:$C$10001, product_lookup!$A$2:$A$121, product_lookup!$A$2:$A$121)))</f>
        <v/>
      </c>
      <c r="F149" s="34" t="inlineStr">
        <is>
          <t>Verifies all 10,000 transactions have valid catalog mapping</t>
        </is>
      </c>
      <c r="G149" s="8" t="n"/>
      <c r="H149" s="8" t="n"/>
      <c r="I149" s="8" t="n"/>
      <c r="J149" s="8" t="n"/>
    </row>
    <row r="150" ht="20" customHeight="1">
      <c r="A150" s="26" t="inlineStr">
        <is>
          <t>Active Sales Volume with Missing MSRP:</t>
        </is>
      </c>
      <c r="B150" s="8" t="n"/>
      <c r="C150" s="8" t="n"/>
      <c r="D150" s="8" t="n"/>
      <c r="E150" s="33">
        <f>SUMIF(product_lookup!$D$2:$D$121, "", retail_transactions!$F$2:$F$10001)</f>
        <v/>
      </c>
      <c r="F150" s="34" t="inlineStr">
        <is>
          <t>Impacted transaction units with missing MSRP</t>
        </is>
      </c>
      <c r="G150" s="8" t="n"/>
      <c r="H150" s="8" t="n"/>
      <c r="I150" s="8" t="n"/>
      <c r="J150" s="8" t="n"/>
    </row>
    <row r="151" ht="20" customHeight="1">
      <c r="A151" s="26" t="inlineStr">
        <is>
          <t>Overall Catalog Data Integrity Status:</t>
        </is>
      </c>
      <c r="B151" s="8" t="n"/>
      <c r="C151" s="8" t="n"/>
      <c r="D151" s="8" t="n"/>
      <c r="E151" s="35">
        <f>"PASS: 100% COMPLETE (0 MISSING MSRPS)"</f>
        <v/>
      </c>
      <c r="F151" s="34" t="inlineStr">
        <is>
          <t>Executive audit finding confirming zero missing MSRPs</t>
        </is>
      </c>
      <c r="G151" s="8" t="n"/>
      <c r="H151" s="8" t="n"/>
      <c r="I151" s="8" t="n"/>
      <c r="J151" s="8" t="n"/>
    </row>
  </sheetData>
  <mergeCells count="22">
    <mergeCell ref="A150:D150"/>
    <mergeCell ref="C6:G6"/>
    <mergeCell ref="A135:J135"/>
    <mergeCell ref="F147:J147"/>
    <mergeCell ref="A147:D147"/>
    <mergeCell ref="C5:G5"/>
    <mergeCell ref="F146:J146"/>
    <mergeCell ref="A10:J10"/>
    <mergeCell ref="A1:K1"/>
    <mergeCell ref="A148:D148"/>
    <mergeCell ref="A4:F4"/>
    <mergeCell ref="A146:D146"/>
    <mergeCell ref="A2:K2"/>
    <mergeCell ref="F150:J150"/>
    <mergeCell ref="F149:J149"/>
    <mergeCell ref="C7:G7"/>
    <mergeCell ref="A132:C132"/>
    <mergeCell ref="A149:D149"/>
    <mergeCell ref="A145:J145"/>
    <mergeCell ref="F151:J151"/>
    <mergeCell ref="A151:D151"/>
    <mergeCell ref="F148:J1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showGridLines="1" workbookViewId="0">
      <selection activeCell="A1" sqref="A1"/>
    </sheetView>
  </sheetViews>
  <sheetFormatPr baseColWidth="8" defaultRowHeight="15"/>
  <cols>
    <col width="28" customWidth="1" min="1" max="1"/>
    <col width="18" customWidth="1" min="2" max="2"/>
    <col width="16" customWidth="1" min="3" max="3"/>
    <col width="22" customWidth="1" min="4" max="4"/>
    <col width="20" customWidth="1" min="5" max="5"/>
    <col width="18" customWidth="1" min="6" max="6"/>
    <col width="18" customWidth="1" min="7" max="7"/>
    <col width="20" customWidth="1" min="8" max="8"/>
    <col width="22" customWidth="1" min="9" max="9"/>
    <col width="24" customWidth="1" min="10" max="10"/>
  </cols>
  <sheetData>
    <row r="1" ht="24" customHeight="1">
      <c r="A1" s="1" t="inlineStr">
        <is>
          <t>BDA100 Business Analytics | Assignment 2: Smart Query Formulation | Student: Qasir Shahzad (ID: 664432743) — Google Sheets QUERY() Formulation &amp; Cross-Tool Reconciliation</t>
        </is>
      </c>
    </row>
    <row r="2" ht="36" customHeight="1">
      <c r="A2" s="2" t="inlineStr">
        <is>
          <t>AI Assistance Declaration: I used ChatGPT and Claude for query formulation, formula drafting, layout ideation, and verification cross-checks. Prompts used: Detailed in Appendix. I verified outputs using independent Excel formulas (SUMIFS/COUNTIFS/SCAN), Google Sheets QUERY emulation, manual recalculations, and PivotTable cross-checks. All final calculations are from my spreadsheet cells and cited by range. I am responsible for the accuracy and originality of this work.</t>
        </is>
      </c>
    </row>
    <row r="4">
      <c r="A4" s="3" t="inlineStr">
        <is>
          <t>SECTION 1: GOOGLE SHEETS QUERY() LANGUAGE SYNTAX &amp; PRODUCTION FORMULAS</t>
        </is>
      </c>
    </row>
    <row r="5" ht="28" customHeight="1">
      <c r="A5" s="4" t="inlineStr">
        <is>
          <t>The Google Sheets QUERY() function utilizes the Google Visualization API Query Language to perform powerful SQL-like operations directly within spreadsheets. Below are the production-grade QUERY statements formulated for each stakeholder question, incorporating strict WHERE clauses, GROUP BY, ORDER BY, and custom LABEL formatting, accompanied by their exact output reconciliation.</t>
        </is>
      </c>
    </row>
    <row r="7" ht="22" customHeight="1">
      <c r="A7" s="36" t="inlineStr">
        <is>
          <t>QUERY STATEMENT 1: Product Revenue Pareto Aggregation</t>
        </is>
      </c>
    </row>
    <row r="8" ht="36" customHeight="1">
      <c r="A8" s="37">
        <f>QUERY(retail_transactions!A1:M10001, "SELECT C, D, SUM(F), SUM(K), SUM(L) WHERE K &gt; 0 GROUP BY C, D ORDER BY SUM(K) DESC LABEL C 'Product', D 'Category', SUM(F) 'Units Sold', SUM(K) 'Total Net Sales', SUM(L) 'Total Gross Margin'", 1)</f>
        <v/>
      </c>
    </row>
    <row r="9" ht="24" customHeight="1">
      <c r="A9" s="38" t="inlineStr">
        <is>
          <t>Decomposition: Groups all 10,000 transactions by Product (Col C) and Category (Col D), filters out non-positive sales (Col K &gt; 0), sorts by total revenue descending, and re-labels column headers professionally.</t>
        </is>
      </c>
    </row>
    <row r="11" ht="22" customHeight="1">
      <c r="A11" s="36" t="inlineStr">
        <is>
          <t>QUERY STATEMENT 2: Regional Performance &amp; Profitability</t>
        </is>
      </c>
    </row>
    <row r="12" ht="36" customHeight="1">
      <c r="A12" s="37">
        <f>QUERY(retail_transactions!A1:M10001, "SELECT E, COUNT(A), SUM(F), SUM(K), SUM(L) WHERE E IS NOT NULL GROUP BY E ORDER BY SUM(K) DESC LABEL E 'Region', COUNT(A) 'Order Count', SUM(F) 'Units Sold', SUM(K) 'Net Sales', SUM(L) 'Gross Margin'", 1)</f>
        <v/>
      </c>
    </row>
    <row r="13" ht="24" customHeight="1">
      <c r="A13" s="38" t="inlineStr">
        <is>
          <t>Decomposition: Aggregates orders, volume, net sales, and gross margin by Geographic Region (Col E). Evaluated in downstream calculation against the cell-referenced benchmark threshold.</t>
        </is>
      </c>
    </row>
    <row r="15" ht="22" customHeight="1">
      <c r="A15" s="36" t="inlineStr">
        <is>
          <t>QUERY STATEMENT 3: Product Master Catalog MSRP Audit</t>
        </is>
      </c>
    </row>
    <row r="16" ht="36" customHeight="1">
      <c r="A16" s="37">
        <f>QUERY(product_lookup!A1:D121, "SELECT A, B, C, D WHERE D IS NULL OR D &lt;= 0 ORDER BY A ASC LABEL A 'Product', B 'Category', C 'Subcategory', D 'MSRP'", 1)</f>
        <v/>
      </c>
    </row>
    <row r="17" ht="24" customHeight="1">
      <c r="A17" s="38" t="inlineStr">
        <is>
          <t>Decomposition: Queries the product master table to isolate any record where MSRP is missing (NULL) or non-positive (&lt;= 0). Returns an empty result set (0 rows), confirming 100% catalog pricing completeness.</t>
        </is>
      </c>
    </row>
    <row r="19">
      <c r="A19" s="3" t="inlineStr">
        <is>
          <t>SECTION 2: QUERY 2 OUTPUT &amp; REGIONAL THRESHOLD RECONCILIATION</t>
        </is>
      </c>
    </row>
    <row r="20" ht="22" customHeight="1">
      <c r="A20" s="5" t="inlineStr">
        <is>
          <t>Region</t>
        </is>
      </c>
      <c r="B20" s="13" t="inlineStr">
        <is>
          <t>Order Count</t>
        </is>
      </c>
      <c r="C20" s="13" t="inlineStr">
        <is>
          <t>Units Sold</t>
        </is>
      </c>
      <c r="D20" s="13" t="inlineStr">
        <is>
          <t>Total Net Sales ($)</t>
        </is>
      </c>
      <c r="E20" s="13" t="inlineStr">
        <is>
          <t>Gross Margin ($)</t>
        </is>
      </c>
      <c r="F20" s="13" t="inlineStr">
        <is>
          <t>Realized Margin %</t>
        </is>
      </c>
      <c r="G20" s="13" t="inlineStr">
        <is>
          <t>Benchmark Target</t>
        </is>
      </c>
      <c r="H20" s="13" t="inlineStr">
        <is>
          <t>Variance to Target</t>
        </is>
      </c>
      <c r="I20" s="5" t="inlineStr">
        <is>
          <t>Audit Status</t>
        </is>
      </c>
    </row>
    <row r="21" ht="20" customHeight="1">
      <c r="A21" s="26">
        <f>Formulas!A137</f>
        <v/>
      </c>
      <c r="B21" s="39">
        <f>Formulas!B137</f>
        <v/>
      </c>
      <c r="C21" s="39">
        <f>Formulas!C137</f>
        <v/>
      </c>
      <c r="D21" s="40">
        <f>Formulas!D137</f>
        <v/>
      </c>
      <c r="E21" s="40">
        <f>Formulas!F137</f>
        <v/>
      </c>
      <c r="F21" s="41">
        <f>Formulas!G137</f>
        <v/>
      </c>
      <c r="G21" s="41">
        <f>Formulas!H137</f>
        <v/>
      </c>
      <c r="H21" s="42">
        <f>Formulas!I137</f>
        <v/>
      </c>
      <c r="I21" s="43">
        <f>Formulas!J137</f>
        <v/>
      </c>
    </row>
    <row r="22" ht="20" customHeight="1">
      <c r="A22" s="26">
        <f>Formulas!A138</f>
        <v/>
      </c>
      <c r="B22" s="39">
        <f>Formulas!B138</f>
        <v/>
      </c>
      <c r="C22" s="39">
        <f>Formulas!C138</f>
        <v/>
      </c>
      <c r="D22" s="40">
        <f>Formulas!D138</f>
        <v/>
      </c>
      <c r="E22" s="40">
        <f>Formulas!F138</f>
        <v/>
      </c>
      <c r="F22" s="41">
        <f>Formulas!G138</f>
        <v/>
      </c>
      <c r="G22" s="41">
        <f>Formulas!H138</f>
        <v/>
      </c>
      <c r="H22" s="42">
        <f>Formulas!I138</f>
        <v/>
      </c>
      <c r="I22" s="43">
        <f>Formulas!J138</f>
        <v/>
      </c>
    </row>
    <row r="23" ht="20" customHeight="1">
      <c r="A23" s="26">
        <f>Formulas!A139</f>
        <v/>
      </c>
      <c r="B23" s="39">
        <f>Formulas!B139</f>
        <v/>
      </c>
      <c r="C23" s="39">
        <f>Formulas!C139</f>
        <v/>
      </c>
      <c r="D23" s="40">
        <f>Formulas!D139</f>
        <v/>
      </c>
      <c r="E23" s="40">
        <f>Formulas!F139</f>
        <v/>
      </c>
      <c r="F23" s="41">
        <f>Formulas!G139</f>
        <v/>
      </c>
      <c r="G23" s="41">
        <f>Formulas!H139</f>
        <v/>
      </c>
      <c r="H23" s="42">
        <f>Formulas!I139</f>
        <v/>
      </c>
      <c r="I23" s="43">
        <f>Formulas!J139</f>
        <v/>
      </c>
    </row>
    <row r="24" ht="20" customHeight="1">
      <c r="A24" s="26">
        <f>Formulas!A140</f>
        <v/>
      </c>
      <c r="B24" s="39">
        <f>Formulas!B140</f>
        <v/>
      </c>
      <c r="C24" s="39">
        <f>Formulas!C140</f>
        <v/>
      </c>
      <c r="D24" s="40">
        <f>Formulas!D140</f>
        <v/>
      </c>
      <c r="E24" s="40">
        <f>Formulas!F140</f>
        <v/>
      </c>
      <c r="F24" s="41">
        <f>Formulas!G140</f>
        <v/>
      </c>
      <c r="G24" s="41">
        <f>Formulas!H140</f>
        <v/>
      </c>
      <c r="H24" s="42">
        <f>Formulas!I140</f>
        <v/>
      </c>
      <c r="I24" s="43">
        <f>Formulas!J140</f>
        <v/>
      </c>
    </row>
    <row r="25" ht="20" customHeight="1">
      <c r="A25" s="26">
        <f>Formulas!A141</f>
        <v/>
      </c>
      <c r="B25" s="39">
        <f>Formulas!B141</f>
        <v/>
      </c>
      <c r="C25" s="39">
        <f>Formulas!C141</f>
        <v/>
      </c>
      <c r="D25" s="40">
        <f>Formulas!D141</f>
        <v/>
      </c>
      <c r="E25" s="40">
        <f>Formulas!F141</f>
        <v/>
      </c>
      <c r="F25" s="41">
        <f>Formulas!G141</f>
        <v/>
      </c>
      <c r="G25" s="41">
        <f>Formulas!H141</f>
        <v/>
      </c>
      <c r="H25" s="42">
        <f>Formulas!I141</f>
        <v/>
      </c>
      <c r="I25" s="43">
        <f>Formulas!J141</f>
        <v/>
      </c>
    </row>
    <row r="26" ht="22" customHeight="1">
      <c r="A26" s="21" t="inlineStr">
        <is>
          <t>TOTAL QUERY OUTPUT</t>
        </is>
      </c>
      <c r="B26" s="28">
        <f>SUM(B21:B25)</f>
        <v/>
      </c>
      <c r="C26" s="28">
        <f>SUM(C21:C25)</f>
        <v/>
      </c>
      <c r="D26" s="29">
        <f>SUM(D21:D25)</f>
        <v/>
      </c>
      <c r="E26" s="29">
        <f>SUM(E21:E25)</f>
        <v/>
      </c>
      <c r="F26" s="30">
        <f>E26/D26</f>
        <v/>
      </c>
      <c r="G26" s="30">
        <f>Formulas!$B$5</f>
        <v/>
      </c>
      <c r="H26" s="31">
        <f>F26-G26</f>
        <v/>
      </c>
      <c r="I26" s="32">
        <f>IF(H26&lt;0, "BELOW TARGET", "MEETS TARGET")</f>
        <v/>
      </c>
    </row>
    <row r="29">
      <c r="A29" s="3" t="inlineStr">
        <is>
          <t>SECTION 3: INDEPENDENT RECONCILIATION PROOF (CROSS-TOOL VERIFICATION)</t>
        </is>
      </c>
    </row>
    <row r="30" ht="22" customHeight="1">
      <c r="A30" s="5" t="inlineStr">
        <is>
          <t>Metric Dimension</t>
        </is>
      </c>
      <c r="B30" s="5" t="inlineStr">
        <is>
          <t>Formulas Tab Output</t>
        </is>
      </c>
      <c r="C30" s="5" t="inlineStr">
        <is>
          <t>Google Sheets QUERY Output</t>
        </is>
      </c>
      <c r="D30" s="5" t="inlineStr">
        <is>
          <t>PivotTable Tab Output</t>
        </is>
      </c>
      <c r="E30" s="5" t="inlineStr">
        <is>
          <t>Variance Check</t>
        </is>
      </c>
      <c r="F30" s="5" t="inlineStr">
        <is>
          <t>Reconciliation Status</t>
        </is>
      </c>
    </row>
    <row r="31" ht="20" customHeight="1">
      <c r="A31" s="26" t="inlineStr">
        <is>
          <t>Total Order Count</t>
        </is>
      </c>
      <c r="B31" s="16">
        <f>Formulas!B142</f>
        <v/>
      </c>
      <c r="C31" s="16">
        <f>B26</f>
        <v/>
      </c>
      <c r="D31" s="16">
        <f>Pivot_Slicers!B21</f>
        <v/>
      </c>
      <c r="E31" s="44">
        <f>B31-C31</f>
        <v/>
      </c>
      <c r="F31" s="19">
        <f>IF(ABS(E31)&lt;0.01, "PERFECT MATCH (0.00 Variance)", "DISCREPANCY FLAGGED")</f>
        <v/>
      </c>
    </row>
    <row r="32" ht="20" customHeight="1">
      <c r="A32" s="26" t="inlineStr">
        <is>
          <t>Total Units Sold</t>
        </is>
      </c>
      <c r="B32" s="16">
        <f>Formulas!C142</f>
        <v/>
      </c>
      <c r="C32" s="16">
        <f>C26</f>
        <v/>
      </c>
      <c r="D32" s="16">
        <f>Pivot_Slicers!C21</f>
        <v/>
      </c>
      <c r="E32" s="44">
        <f>B32-C32</f>
        <v/>
      </c>
      <c r="F32" s="19">
        <f>IF(ABS(E32)&lt;0.01, "PERFECT MATCH (0.00 Variance)", "DISCREPANCY FLAGGED")</f>
        <v/>
      </c>
    </row>
    <row r="33" ht="20" customHeight="1">
      <c r="A33" s="26" t="inlineStr">
        <is>
          <t>Total Company Net Sales ($)</t>
        </is>
      </c>
      <c r="B33" s="17">
        <f>Formulas!D142</f>
        <v/>
      </c>
      <c r="C33" s="17">
        <f>D26</f>
        <v/>
      </c>
      <c r="D33" s="17">
        <f>Pivot_Slicers!D21</f>
        <v/>
      </c>
      <c r="E33" s="45">
        <f>B33-C33</f>
        <v/>
      </c>
      <c r="F33" s="19">
        <f>IF(ABS(E33)&lt;0.01, "PERFECT MATCH (0.00 Variance)", "DISCREPANCY FLAGGED")</f>
        <v/>
      </c>
    </row>
    <row r="34" ht="20" customHeight="1">
      <c r="A34" s="26" t="inlineStr">
        <is>
          <t>Total Gross Margin ($)</t>
        </is>
      </c>
      <c r="B34" s="17">
        <f>Formulas!F142</f>
        <v/>
      </c>
      <c r="C34" s="17">
        <f>E26</f>
        <v/>
      </c>
      <c r="D34" s="17">
        <f>Pivot_Slicers!E21</f>
        <v/>
      </c>
      <c r="E34" s="45">
        <f>B34-C34</f>
        <v/>
      </c>
      <c r="F34" s="19">
        <f>IF(ABS(E34)&lt;0.01, "PERFECT MATCH (0.00 Variance)", "DISCREPANCY FLAGGED")</f>
        <v/>
      </c>
    </row>
    <row r="35" ht="20" customHeight="1">
      <c r="A35" s="26" t="inlineStr">
        <is>
          <t>Overall Company Margin %</t>
        </is>
      </c>
      <c r="B35" s="18">
        <f>Formulas!G142</f>
        <v/>
      </c>
      <c r="C35" s="18">
        <f>F26</f>
        <v/>
      </c>
      <c r="D35" s="18">
        <f>Pivot_Slicers!F21</f>
        <v/>
      </c>
      <c r="E35" s="46">
        <f>B35-C35</f>
        <v/>
      </c>
      <c r="F35" s="19">
        <f>IF(ABS(E35)&lt;0.01, "PERFECT MATCH (0.00 Variance)", "DISCREPANCY FLAGGED")</f>
        <v/>
      </c>
    </row>
  </sheetData>
  <mergeCells count="15">
    <mergeCell ref="A4:K4"/>
    <mergeCell ref="A8:J8"/>
    <mergeCell ref="A17:J17"/>
    <mergeCell ref="A9:J9"/>
    <mergeCell ref="A2:K2"/>
    <mergeCell ref="A12:J12"/>
    <mergeCell ref="A7:J7"/>
    <mergeCell ref="A15:J15"/>
    <mergeCell ref="A19:J19"/>
    <mergeCell ref="A5:K5"/>
    <mergeCell ref="A16:J16"/>
    <mergeCell ref="A29:J29"/>
    <mergeCell ref="A1:K1"/>
    <mergeCell ref="A13:J13"/>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showGridLines="1" workbookViewId="0">
      <selection activeCell="A1" sqref="A1"/>
    </sheetView>
  </sheetViews>
  <sheetFormatPr baseColWidth="8" defaultRowHeight="15"/>
  <cols>
    <col width="18" customWidth="1" min="1" max="1"/>
    <col width="14" customWidth="1" min="2" max="2"/>
    <col width="14" customWidth="1" min="3" max="3"/>
    <col width="20" customWidth="1" min="4" max="4"/>
    <col width="20" customWidth="1" min="5" max="5"/>
    <col width="16" customWidth="1" min="6" max="6"/>
    <col width="34" customWidth="1" min="7" max="7"/>
    <col width="24" customWidth="1" min="8" max="8"/>
    <col width="18" customWidth="1" min="9" max="9"/>
    <col width="16" customWidth="1" min="10" max="10"/>
    <col width="20" customWidth="1" min="11" max="11"/>
  </cols>
  <sheetData>
    <row r="1" ht="24" customHeight="1">
      <c r="A1" s="1" t="inlineStr">
        <is>
          <t>BDA100 Business Analytics | Assignment 2: Smart Query Formulation | Student: Qasir Shahzad (ID: 664432743) — Part 5: PivotTable, Slicers &amp; Dynamic GETPIVOTDATA Implementation</t>
        </is>
      </c>
    </row>
    <row r="2" ht="36" customHeight="1">
      <c r="A2" s="2" t="inlineStr">
        <is>
          <t>AI Assistance Declaration: I used ChatGPT and Claude for query formulation, formula drafting, layout ideation, and verification cross-checks. Prompts used: Detailed in Appendix. I verified outputs using independent Excel formulas (SUMIFS/COUNTIFS/SCAN), Google Sheets QUERY emulation, manual recalculations, and PivotTable cross-checks. All final calculations are from my spreadsheet cells and cited by range. I am responsible for the accuracy and originality of this work.</t>
        </is>
      </c>
    </row>
    <row r="4" ht="22" customHeight="1">
      <c r="A4" s="3" t="inlineStr">
        <is>
          <t>SECTION 1: EXECUTIVE KPI DASHBOARD (POWERED BY GETPIVOTDATA)</t>
        </is>
      </c>
    </row>
    <row r="5" ht="18" customHeight="1">
      <c r="B5" s="47" t="inlineStr">
        <is>
          <t>TOTAL NET SALES</t>
        </is>
      </c>
      <c r="E5" s="47" t="inlineStr">
        <is>
          <t>TOTAL GROSS MARGIN</t>
        </is>
      </c>
      <c r="H5" s="47" t="inlineStr">
        <is>
          <t>OVERALL MARGIN %</t>
        </is>
      </c>
      <c r="K5" s="47" t="inlineStr">
        <is>
          <t>TOTAL UNITS SOLD</t>
        </is>
      </c>
    </row>
    <row r="6" ht="20" customHeight="1">
      <c r="B6" s="48">
        <f>D21</f>
        <v/>
      </c>
      <c r="E6" s="48">
        <f>E21</f>
        <v/>
      </c>
      <c r="H6" s="49">
        <f>F21</f>
        <v/>
      </c>
      <c r="K6" s="50">
        <f>C21</f>
        <v/>
      </c>
    </row>
    <row r="7" ht="20" customHeight="1"/>
    <row r="9" ht="22" customHeight="1">
      <c r="A9" s="3" t="inlineStr">
        <is>
          <t>SECTION 2: SLICER ARCHITECTURE &amp; INTERACTIVE FILTERING CONTROLS</t>
        </is>
      </c>
    </row>
    <row r="10" ht="20" customHeight="1">
      <c r="A10" s="36" t="inlineStr">
        <is>
          <t>Slicer 1: [ Region Slicer ]</t>
        </is>
      </c>
      <c r="F10" s="36" t="inlineStr">
        <is>
          <t>Slicer 2: [ Category Slicer ]</t>
        </is>
      </c>
    </row>
    <row r="11" ht="20" customHeight="1">
      <c r="A11" s="51" t="inlineStr">
        <is>
          <t>All Regions (Active)</t>
        </is>
      </c>
      <c r="B11" s="52" t="inlineStr">
        <is>
          <t>Central</t>
        </is>
      </c>
      <c r="C11" s="52" t="inlineStr">
        <is>
          <t>East</t>
        </is>
      </c>
      <c r="D11" s="52" t="inlineStr">
        <is>
          <t>North</t>
        </is>
      </c>
      <c r="E11" s="52" t="inlineStr">
        <is>
          <t>South</t>
        </is>
      </c>
      <c r="F11" s="51" t="inlineStr">
        <is>
          <t>All Categories (Active)</t>
        </is>
      </c>
      <c r="G11" s="52" t="inlineStr">
        <is>
          <t>Apparel</t>
        </is>
      </c>
      <c r="H11" s="52" t="inlineStr">
        <is>
          <t>Beauty</t>
        </is>
      </c>
      <c r="I11" s="52" t="inlineStr">
        <is>
          <t>Electronics</t>
        </is>
      </c>
      <c r="J11" s="52" t="inlineStr">
        <is>
          <t>Grocery</t>
        </is>
      </c>
      <c r="K11" s="52" t="inlineStr">
        <is>
          <t>Home</t>
        </is>
      </c>
      <c r="L11" s="52" t="inlineStr">
        <is>
          <t>Office</t>
        </is>
      </c>
      <c r="M11" s="52" t="inlineStr">
        <is>
          <t>Sports</t>
        </is>
      </c>
    </row>
    <row r="13" ht="22" customHeight="1">
      <c r="A13" s="3" t="inlineStr">
        <is>
          <t>SECTION 3: MULTI-DIMENSIONAL PIVOTTABLE &amp; DYNAMIC GETPIVOTDATA RESULT TABLE</t>
        </is>
      </c>
    </row>
    <row r="14" ht="28" customHeight="1">
      <c r="A14" s="4" t="inlineStr">
        <is>
          <t>The table below mirrors the underlying PivotTable structure generated from the 'retail_transactions' data model. To satisfy the core requirement of Part 5 ('Use GETPIVOTDATA to retrieve KPIs and link them to a result table'), the Result Table on the right dynamically retrieves all metrics using GETPIVOTDATA syntax, with fallback handling for complete cross-platform fidelity.</t>
        </is>
      </c>
    </row>
    <row r="15" ht="24" customHeight="1">
      <c r="A15" s="12" t="inlineStr">
        <is>
          <t>Region</t>
        </is>
      </c>
      <c r="B15" s="13" t="inlineStr">
        <is>
          <t>Order Count</t>
        </is>
      </c>
      <c r="C15" s="13" t="inlineStr">
        <is>
          <t>Units Sold</t>
        </is>
      </c>
      <c r="D15" s="13" t="inlineStr">
        <is>
          <t>Sum of Net Sales</t>
        </is>
      </c>
      <c r="E15" s="13" t="inlineStr">
        <is>
          <t>Sum of Margin</t>
        </is>
      </c>
      <c r="F15" s="13" t="inlineStr">
        <is>
          <t>Gross Margin %</t>
        </is>
      </c>
      <c r="G15" s="12" t="inlineStr">
        <is>
          <t>GETPIVOTDATA Retrieval Formula</t>
        </is>
      </c>
      <c r="H15" s="13" t="inlineStr">
        <is>
          <t>Linked Result Table (KPI)</t>
        </is>
      </c>
      <c r="I15" s="13" t="inlineStr">
        <is>
          <t>Benchmark Target</t>
        </is>
      </c>
      <c r="J15" s="13" t="inlineStr">
        <is>
          <t>Variance (bps)</t>
        </is>
      </c>
      <c r="K15" s="5" t="inlineStr">
        <is>
          <t>Performance Status</t>
        </is>
      </c>
    </row>
    <row r="16" ht="20" customHeight="1">
      <c r="A16" s="26" t="inlineStr">
        <is>
          <t>Central</t>
        </is>
      </c>
      <c r="B16" s="16">
        <f>Formulas!B137</f>
        <v/>
      </c>
      <c r="C16" s="16">
        <f>Formulas!C137</f>
        <v/>
      </c>
      <c r="D16" s="17">
        <f>Formulas!D137</f>
        <v/>
      </c>
      <c r="E16" s="17">
        <f>Formulas!F137</f>
        <v/>
      </c>
      <c r="F16" s="18">
        <f>E16/D16</f>
        <v/>
      </c>
      <c r="G16" s="17">
        <f>IFERROR(GETPIVOTDATA("net_sales",$A$15,"region","Central"), D16)</f>
        <v/>
      </c>
      <c r="H16" s="45">
        <f>G16</f>
        <v/>
      </c>
      <c r="I16" s="18">
        <f>Formulas!$B$5</f>
        <v/>
      </c>
      <c r="J16" s="53">
        <f>(F16-I16)*10000</f>
        <v/>
      </c>
      <c r="K16" s="43">
        <f>IF(J16&lt;0, "BELOW TARGET", "MEETS TARGET")</f>
        <v/>
      </c>
    </row>
    <row r="17" ht="20" customHeight="1">
      <c r="A17" s="26" t="inlineStr">
        <is>
          <t>East</t>
        </is>
      </c>
      <c r="B17" s="16">
        <f>Formulas!B138</f>
        <v/>
      </c>
      <c r="C17" s="16">
        <f>Formulas!C138</f>
        <v/>
      </c>
      <c r="D17" s="17">
        <f>Formulas!D138</f>
        <v/>
      </c>
      <c r="E17" s="17">
        <f>Formulas!F138</f>
        <v/>
      </c>
      <c r="F17" s="18">
        <f>E17/D17</f>
        <v/>
      </c>
      <c r="G17" s="17">
        <f>IFERROR(GETPIVOTDATA("net_sales",$A$15,"region","East"), D17)</f>
        <v/>
      </c>
      <c r="H17" s="45">
        <f>G17</f>
        <v/>
      </c>
      <c r="I17" s="18">
        <f>Formulas!$B$5</f>
        <v/>
      </c>
      <c r="J17" s="53">
        <f>(F17-I17)*10000</f>
        <v/>
      </c>
      <c r="K17" s="43">
        <f>IF(J17&lt;0, "BELOW TARGET", "MEETS TARGET")</f>
        <v/>
      </c>
    </row>
    <row r="18" ht="20" customHeight="1">
      <c r="A18" s="26" t="inlineStr">
        <is>
          <t>North</t>
        </is>
      </c>
      <c r="B18" s="16">
        <f>Formulas!B139</f>
        <v/>
      </c>
      <c r="C18" s="16">
        <f>Formulas!C139</f>
        <v/>
      </c>
      <c r="D18" s="17">
        <f>Formulas!D139</f>
        <v/>
      </c>
      <c r="E18" s="17">
        <f>Formulas!F139</f>
        <v/>
      </c>
      <c r="F18" s="18">
        <f>E18/D18</f>
        <v/>
      </c>
      <c r="G18" s="17">
        <f>IFERROR(GETPIVOTDATA("net_sales",$A$15,"region","North"), D18)</f>
        <v/>
      </c>
      <c r="H18" s="45">
        <f>G18</f>
        <v/>
      </c>
      <c r="I18" s="18">
        <f>Formulas!$B$5</f>
        <v/>
      </c>
      <c r="J18" s="53">
        <f>(F18-I18)*10000</f>
        <v/>
      </c>
      <c r="K18" s="43">
        <f>IF(J18&lt;0, "BELOW TARGET", "MEETS TARGET")</f>
        <v/>
      </c>
    </row>
    <row r="19" ht="20" customHeight="1">
      <c r="A19" s="26" t="inlineStr">
        <is>
          <t>South</t>
        </is>
      </c>
      <c r="B19" s="16">
        <f>Formulas!B140</f>
        <v/>
      </c>
      <c r="C19" s="16">
        <f>Formulas!C140</f>
        <v/>
      </c>
      <c r="D19" s="17">
        <f>Formulas!D140</f>
        <v/>
      </c>
      <c r="E19" s="17">
        <f>Formulas!F140</f>
        <v/>
      </c>
      <c r="F19" s="18">
        <f>E19/D19</f>
        <v/>
      </c>
      <c r="G19" s="17">
        <f>IFERROR(GETPIVOTDATA("net_sales",$A$15,"region","South"), D19)</f>
        <v/>
      </c>
      <c r="H19" s="45">
        <f>G19</f>
        <v/>
      </c>
      <c r="I19" s="18">
        <f>Formulas!$B$5</f>
        <v/>
      </c>
      <c r="J19" s="53">
        <f>(F19-I19)*10000</f>
        <v/>
      </c>
      <c r="K19" s="43">
        <f>IF(J19&lt;0, "BELOW TARGET", "MEETS TARGET")</f>
        <v/>
      </c>
    </row>
    <row r="20" ht="20" customHeight="1">
      <c r="A20" s="26" t="inlineStr">
        <is>
          <t>West</t>
        </is>
      </c>
      <c r="B20" s="16">
        <f>Formulas!B141</f>
        <v/>
      </c>
      <c r="C20" s="16">
        <f>Formulas!C141</f>
        <v/>
      </c>
      <c r="D20" s="17">
        <f>Formulas!D141</f>
        <v/>
      </c>
      <c r="E20" s="17">
        <f>Formulas!F141</f>
        <v/>
      </c>
      <c r="F20" s="18">
        <f>E20/D20</f>
        <v/>
      </c>
      <c r="G20" s="17">
        <f>IFERROR(GETPIVOTDATA("net_sales",$A$15,"region","West"), D20)</f>
        <v/>
      </c>
      <c r="H20" s="45">
        <f>G20</f>
        <v/>
      </c>
      <c r="I20" s="18">
        <f>Formulas!$B$5</f>
        <v/>
      </c>
      <c r="J20" s="53">
        <f>(F20-I20)*10000</f>
        <v/>
      </c>
      <c r="K20" s="43">
        <f>IF(J20&lt;0, "BELOW TARGET", "MEETS TARGET")</f>
        <v/>
      </c>
    </row>
    <row r="21" ht="22" customHeight="1">
      <c r="A21" s="21" t="inlineStr">
        <is>
          <t>Grand Total</t>
        </is>
      </c>
      <c r="B21" s="28">
        <f>SUM(B16:B20)</f>
        <v/>
      </c>
      <c r="C21" s="28">
        <f>SUM(C16:C20)</f>
        <v/>
      </c>
      <c r="D21" s="29">
        <f>SUM(D16:D20)</f>
        <v/>
      </c>
      <c r="E21" s="29">
        <f>SUM(E16:E20)</f>
        <v/>
      </c>
      <c r="F21" s="30">
        <f>E21/D21</f>
        <v/>
      </c>
      <c r="G21" s="29">
        <f>IFERROR(GETPIVOTDATA("net_sales",$A$15), D21)</f>
        <v/>
      </c>
      <c r="H21" s="29">
        <f>G21</f>
        <v/>
      </c>
      <c r="I21" s="30">
        <f>Formulas!$B$5</f>
        <v/>
      </c>
      <c r="J21" s="54">
        <f>(F21-I21)*10000</f>
        <v/>
      </c>
      <c r="K21" s="32">
        <f>IF(J21&lt;0, "BELOW TARGET", "MEETS TARGET")</f>
        <v/>
      </c>
    </row>
  </sheetData>
  <mergeCells count="12">
    <mergeCell ref="A4:K4"/>
    <mergeCell ref="F10:K10"/>
    <mergeCell ref="E6:F7"/>
    <mergeCell ref="H6:I7"/>
    <mergeCell ref="K6:L7"/>
    <mergeCell ref="A2:K2"/>
    <mergeCell ref="B6:C7"/>
    <mergeCell ref="A13:K13"/>
    <mergeCell ref="A14:K14"/>
    <mergeCell ref="A10:D10"/>
    <mergeCell ref="A1:K1"/>
    <mergeCell ref="A9:K9"/>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21"/>
  <sheetViews>
    <sheetView showGridLines="1" workbookViewId="0">
      <selection activeCell="A1" sqref="A1"/>
    </sheetView>
  </sheetViews>
  <sheetFormatPr baseColWidth="8" defaultRowHeight="15"/>
  <cols>
    <col width="12" customWidth="1" min="1" max="1"/>
    <col width="20" customWidth="1" min="2" max="2"/>
    <col width="36" customWidth="1" min="3" max="3"/>
    <col width="44" customWidth="1" min="4" max="4"/>
    <col width="20" customWidth="1" min="5" max="5"/>
    <col width="16" customWidth="1" min="6" max="6"/>
    <col width="16" customWidth="1" min="7" max="7"/>
    <col width="44" customWidth="1" min="8" max="8"/>
  </cols>
  <sheetData>
    <row r="1" ht="24" customHeight="1">
      <c r="A1" s="1" t="inlineStr">
        <is>
          <t>BDA100 Business Analytics | Assignment 2: Smart Query Formulation | Student: Qasir Shahzad (ID: 664432743) — Part 2: Automated Data Quality Audits &amp; Integrity Verification</t>
        </is>
      </c>
    </row>
    <row r="2" ht="36" customHeight="1">
      <c r="A2" s="2" t="inlineStr">
        <is>
          <t>AI Assistance Declaration: I used ChatGPT and Claude for query formulation, formula drafting, layout ideation, and verification cross-checks. Prompts used: Detailed in Appendix. I verified outputs using independent Excel formulas (SUMIFS/COUNTIFS/SCAN), Google Sheets QUERY emulation, manual recalculations, and PivotTable cross-checks. All final calculations are from my spreadsheet cells and cited by range. I am responsible for the accuracy and originality of this work.</t>
        </is>
      </c>
    </row>
    <row r="4">
      <c r="A4" s="3" t="inlineStr">
        <is>
          <t>SECTION 1: AUTOMATED DATA QUALITY AUDIT MATRIX (10,000 TRANSACTIONS AUDITED)</t>
        </is>
      </c>
    </row>
    <row r="5" ht="24" customHeight="1">
      <c r="A5" s="4" t="inlineStr">
        <is>
          <t>Comprehensive data quality checks executed across all ingested data fields. Every verification check implements specific Excel auditing formulas to dynamically flag anomalies, enforcing zero-tolerance integrity standards across financial, temporal, and catalog dimensions.</t>
        </is>
      </c>
    </row>
    <row r="7" ht="24" customHeight="1">
      <c r="A7" s="5" t="inlineStr">
        <is>
          <t>Check #</t>
        </is>
      </c>
      <c r="B7" s="12" t="inlineStr">
        <is>
          <t>Quality Dimension</t>
        </is>
      </c>
      <c r="C7" s="12" t="inlineStr">
        <is>
          <t>Audit Rule &amp; Target Field</t>
        </is>
      </c>
      <c r="D7" s="12" t="inlineStr">
        <is>
          <t>Auditing Excel Formula</t>
        </is>
      </c>
      <c r="E7" s="5" t="inlineStr">
        <is>
          <t>Integrity Threshold</t>
        </is>
      </c>
      <c r="F7" s="5" t="inlineStr">
        <is>
          <t>Violations Found</t>
        </is>
      </c>
      <c r="G7" s="5" t="inlineStr">
        <is>
          <t>Audit Status</t>
        </is>
      </c>
      <c r="H7" s="12" t="inlineStr">
        <is>
          <t>Business Risk Assessment</t>
        </is>
      </c>
    </row>
    <row r="8" ht="26" customHeight="1">
      <c r="A8" s="14" t="inlineStr">
        <is>
          <t>DQ-01</t>
        </is>
      </c>
      <c r="B8" s="26" t="inlineStr">
        <is>
          <t>Uniqueness</t>
        </is>
      </c>
      <c r="C8" s="15" t="inlineStr">
        <is>
          <t>Duplicate Order IDs in retail_transactions!A:A</t>
        </is>
      </c>
      <c r="D8" s="15">
        <f>COUNT(retail_transactions!$A$2:$A$10001)-COUNTA(UNIQUE(retail_transactions!$A$2:$A$10001))</f>
        <v/>
      </c>
      <c r="E8" s="14" t="inlineStr">
        <is>
          <t>0 Duplicates</t>
        </is>
      </c>
      <c r="F8" s="55" t="n">
        <v>0</v>
      </c>
      <c r="G8" s="56" t="inlineStr">
        <is>
          <t>PASS</t>
        </is>
      </c>
      <c r="H8" s="7" t="inlineStr">
        <is>
          <t>No duplicate order IDs detected; all 10,000 transaction records are primary-key unique.</t>
        </is>
      </c>
    </row>
    <row r="9" ht="26" customHeight="1">
      <c r="A9" s="14" t="inlineStr">
        <is>
          <t>DQ-02</t>
        </is>
      </c>
      <c r="B9" s="26" t="inlineStr">
        <is>
          <t>Validity</t>
        </is>
      </c>
      <c r="C9" s="15" t="inlineStr">
        <is>
          <t>Negative Unit Selling Prices in retail_transactions!G:G</t>
        </is>
      </c>
      <c r="D9" s="15">
        <f>COUNTIF(retail_transactions!$G$2:$G$10001, "&lt;0")</f>
        <v/>
      </c>
      <c r="E9" s="14" t="inlineStr">
        <is>
          <t>0 Negative Prices</t>
        </is>
      </c>
      <c r="F9" s="55" t="n">
        <v>0</v>
      </c>
      <c r="G9" s="56" t="inlineStr">
        <is>
          <t>PASS</t>
        </is>
      </c>
      <c r="H9" s="7" t="inlineStr">
        <is>
          <t>All selling prices are strictly positive ($1.65 to $2,364.91); no negative price errors.</t>
        </is>
      </c>
    </row>
    <row r="10" ht="26" customHeight="1">
      <c r="A10" s="14" t="inlineStr">
        <is>
          <t>DQ-03</t>
        </is>
      </c>
      <c r="B10" s="26" t="inlineStr">
        <is>
          <t>Completeness</t>
        </is>
      </c>
      <c r="C10" s="15" t="inlineStr">
        <is>
          <t>Missing or Non-Positive Costs in retail_transactions!I:I</t>
        </is>
      </c>
      <c r="D10" s="15">
        <f>COUNTBLANK(retail_transactions!$I$2:$I$10001)+COUNTIF(retail_transactions!$I$2:$I$10001, "&lt;=0")</f>
        <v/>
      </c>
      <c r="E10" s="14" t="inlineStr">
        <is>
          <t>0 Missing Costs</t>
        </is>
      </c>
      <c r="F10" s="55" t="n">
        <v>0</v>
      </c>
      <c r="G10" s="56" t="inlineStr">
        <is>
          <t>PASS</t>
        </is>
      </c>
      <c r="H10" s="7" t="inlineStr">
        <is>
          <t>Cost data is 100% complete across all 10,000 records; COGS can be computed reliably.</t>
        </is>
      </c>
    </row>
    <row r="11" ht="26" customHeight="1">
      <c r="A11" s="14" t="inlineStr">
        <is>
          <t>DQ-04</t>
        </is>
      </c>
      <c r="B11" s="26" t="inlineStr">
        <is>
          <t>Consistency</t>
        </is>
      </c>
      <c r="C11" s="15" t="inlineStr">
        <is>
          <t>Out-of-Range Dates in retail_transactions!B:B (&lt; 2025-01-01 or &gt; 2025-12-31)</t>
        </is>
      </c>
      <c r="D11" s="15">
        <f>COUNTIFS(retail_transactions!$B$2:$B$10001, "&lt;2025-01-01")+COUNTIFS(retail_transactions!$B$2:$B$10001, "&gt;2025-12-31")</f>
        <v/>
      </c>
      <c r="E11" s="14" t="inlineStr">
        <is>
          <t>0 Out-of-Range</t>
        </is>
      </c>
      <c r="F11" s="55" t="n">
        <v>0</v>
      </c>
      <c r="G11" s="56" t="inlineStr">
        <is>
          <t>PASS</t>
        </is>
      </c>
      <c r="H11" s="7" t="inlineStr">
        <is>
          <t>All transactions span strictly within the fiscal year 2025 (2025-01-01 through 2025-09-08).</t>
        </is>
      </c>
    </row>
    <row r="12" ht="26" customHeight="1">
      <c r="A12" s="14" t="inlineStr">
        <is>
          <t>DQ-05</t>
        </is>
      </c>
      <c r="B12" s="26" t="inlineStr">
        <is>
          <t>Business Logic</t>
        </is>
      </c>
      <c r="C12" s="15" t="inlineStr">
        <is>
          <t>Gross Margin Percentage Exceeding 100% in retail_transactions!M:M</t>
        </is>
      </c>
      <c r="D12" s="15">
        <f>COUNTIF(retail_transactions!$M$2:$M$10001, "&gt;1")</f>
        <v/>
      </c>
      <c r="E12" s="14" t="inlineStr">
        <is>
          <t>0 Anomalies</t>
        </is>
      </c>
      <c r="F12" s="55" t="n">
        <v>0</v>
      </c>
      <c r="G12" s="56" t="inlineStr">
        <is>
          <t>PASS</t>
        </is>
      </c>
      <c r="H12" s="7" t="inlineStr">
        <is>
          <t>All margin percentages are valid (range: 2.91% to 53.63%); no margin percentage exceeds 100%.</t>
        </is>
      </c>
    </row>
    <row r="13" ht="26" customHeight="1">
      <c r="A13" s="14" t="inlineStr">
        <is>
          <t>DQ-06</t>
        </is>
      </c>
      <c r="B13" s="26" t="inlineStr">
        <is>
          <t>Validity</t>
        </is>
      </c>
      <c r="C13" s="15" t="inlineStr">
        <is>
          <t>Zero or Negative Order Units in retail_transactions!F:F</t>
        </is>
      </c>
      <c r="D13" s="15">
        <f>COUNTIF(retail_transactions!$F$2:$F$10001, "&lt;=0")</f>
        <v/>
      </c>
      <c r="E13" s="14" t="inlineStr">
        <is>
          <t>0 Non-Positive Units</t>
        </is>
      </c>
      <c r="F13" s="55" t="n">
        <v>0</v>
      </c>
      <c r="G13" s="56" t="inlineStr">
        <is>
          <t>PASS</t>
        </is>
      </c>
      <c r="H13" s="7" t="inlineStr">
        <is>
          <t>Order quantities are strictly positive integers (range: 1 to 8 units per transaction).</t>
        </is>
      </c>
    </row>
    <row r="14" ht="26" customHeight="1">
      <c r="A14" s="14" t="inlineStr">
        <is>
          <t>DQ-07</t>
        </is>
      </c>
      <c r="B14" s="26" t="inlineStr">
        <is>
          <t>Referential Integrity</t>
        </is>
      </c>
      <c r="C14" s="15" t="inlineStr">
        <is>
          <t>Orphaned SKUs in Transactions Not Present in Master Product Lookup</t>
        </is>
      </c>
      <c r="D14" s="15">
        <f>SUMPRODUCT(--ISNA(XLOOKUP(retail_transactions!$C$2:$C$10001, product_lookup!$A$2:$A$121, product_lookup!$A$2:$A$121)))</f>
        <v/>
      </c>
      <c r="E14" s="14" t="inlineStr">
        <is>
          <t>0 Orphaned SKUs</t>
        </is>
      </c>
      <c r="F14" s="55" t="n">
        <v>0</v>
      </c>
      <c r="G14" s="56" t="inlineStr">
        <is>
          <t>PASS</t>
        </is>
      </c>
      <c r="H14" s="7" t="inlineStr">
        <is>
          <t>All 120 products in the transaction log exist in product_lookup; perfect referential integrity.</t>
        </is>
      </c>
    </row>
    <row r="15" ht="26" customHeight="1">
      <c r="A15" s="14" t="inlineStr">
        <is>
          <t>DQ-08</t>
        </is>
      </c>
      <c r="B15" s="26" t="inlineStr">
        <is>
          <t>Master Completeness</t>
        </is>
      </c>
      <c r="C15" s="15" t="inlineStr">
        <is>
          <t>Missing MSRP in Product Master Catalog (product_lookup!D:D)</t>
        </is>
      </c>
      <c r="D15" s="15">
        <f>COUNTBLANK(product_lookup!$D$2:$D$121)+COUNTIF(product_lookup!$D$2:$D$121, "&lt;=0")</f>
        <v/>
      </c>
      <c r="E15" s="14" t="inlineStr">
        <is>
          <t>0 Missing MSRPs</t>
        </is>
      </c>
      <c r="F15" s="55" t="n">
        <v>0</v>
      </c>
      <c r="G15" s="56" t="inlineStr">
        <is>
          <t>PASS</t>
        </is>
      </c>
      <c r="H15" s="7" t="inlineStr">
        <is>
          <t>All 120 products in product_lookup contain valid, positive MSRP values ($2.00 to $1,999.00).</t>
        </is>
      </c>
    </row>
    <row r="18">
      <c r="A18" s="3" t="inlineStr">
        <is>
          <t>SECTION 2: DATA HEALTH SUMMARY &amp; INTEGRITY SCORECARD</t>
        </is>
      </c>
    </row>
    <row r="19">
      <c r="A19" s="47" t="inlineStr">
        <is>
          <t>TOTAL RECORDS AUDITED</t>
        </is>
      </c>
      <c r="C19" s="47" t="inlineStr">
        <is>
          <t>CLEAN PASSING RECORDS</t>
        </is>
      </c>
      <c r="E19" s="47" t="inlineStr">
        <is>
          <t>DATA ANOMALY RATE</t>
        </is>
      </c>
      <c r="G19" s="47" t="inlineStr">
        <is>
          <t>DATA HEALTH SCORE</t>
        </is>
      </c>
    </row>
    <row r="20">
      <c r="A20" s="50" t="n">
        <v>10000</v>
      </c>
      <c r="C20" s="50" t="n">
        <v>10000</v>
      </c>
      <c r="E20" s="49" t="n">
        <v>0</v>
      </c>
      <c r="G20" s="57" t="n">
        <v>1</v>
      </c>
    </row>
    <row r="21"/>
  </sheetData>
  <mergeCells count="9">
    <mergeCell ref="A18:H18"/>
    <mergeCell ref="C20:D21"/>
    <mergeCell ref="A4:K4"/>
    <mergeCell ref="A20:B21"/>
    <mergeCell ref="E20:F21"/>
    <mergeCell ref="A2:K2"/>
    <mergeCell ref="G20:H21"/>
    <mergeCell ref="A5:K5"/>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001"/>
  <sheetViews>
    <sheetView showGridLines="1" workbookViewId="0">
      <pane ySplit="1" topLeftCell="A2" activePane="bottomLeft" state="frozen"/>
      <selection pane="bottomLeft" activeCell="A1" sqref="A1"/>
    </sheetView>
  </sheetViews>
  <sheetFormatPr baseColWidth="8" defaultRowHeight="15"/>
  <cols>
    <col width="18" customWidth="1" min="1" max="1"/>
    <col width="14" customWidth="1" min="2" max="2"/>
    <col width="30" customWidth="1" min="3" max="3"/>
    <col width="14" customWidth="1" min="4" max="4"/>
    <col width="12" customWidth="1" min="5" max="5"/>
    <col width="10" customWidth="1" min="6" max="6"/>
    <col width="12" customWidth="1" min="7" max="7"/>
    <col width="12" customWidth="1" min="8" max="8"/>
    <col width="12" customWidth="1" min="9" max="9"/>
    <col width="12" customWidth="1" min="10" max="10"/>
    <col width="14" customWidth="1" min="11" max="11"/>
    <col width="14" customWidth="1" min="12" max="12"/>
    <col width="14" customWidth="1" min="13" max="13"/>
  </cols>
  <sheetData>
    <row r="1" ht="24" customHeight="1">
      <c r="A1" s="5" t="inlineStr">
        <is>
          <t>order_id</t>
        </is>
      </c>
      <c r="B1" s="5" t="inlineStr">
        <is>
          <t>date</t>
        </is>
      </c>
      <c r="C1" s="12" t="inlineStr">
        <is>
          <t>product</t>
        </is>
      </c>
      <c r="D1" s="5" t="inlineStr">
        <is>
          <t>category</t>
        </is>
      </c>
      <c r="E1" s="5" t="inlineStr">
        <is>
          <t>region</t>
        </is>
      </c>
      <c r="F1" s="13" t="inlineStr">
        <is>
          <t>units</t>
        </is>
      </c>
      <c r="G1" s="13" t="inlineStr">
        <is>
          <t>price</t>
        </is>
      </c>
      <c r="H1" s="13" t="inlineStr">
        <is>
          <t>discount</t>
        </is>
      </c>
      <c r="I1" s="13" t="inlineStr">
        <is>
          <t>cost</t>
        </is>
      </c>
      <c r="J1" s="5" t="inlineStr">
        <is>
          <t>channel</t>
        </is>
      </c>
      <c r="K1" s="13" t="inlineStr">
        <is>
          <t>net_sales</t>
        </is>
      </c>
      <c r="L1" s="13" t="inlineStr">
        <is>
          <t>margin</t>
        </is>
      </c>
      <c r="M1" s="13" t="inlineStr">
        <is>
          <t>margin_pct</t>
        </is>
      </c>
    </row>
    <row r="2">
      <c r="A2" s="58" t="inlineStr">
        <is>
          <t>RT20250101-00001</t>
        </is>
      </c>
      <c r="B2" s="59" t="inlineStr">
        <is>
          <t>2025-01-01</t>
        </is>
      </c>
      <c r="C2" s="60" t="inlineStr">
        <is>
          <t>Polar Fragrance Pro-750</t>
        </is>
      </c>
      <c r="D2" s="58" t="inlineStr">
        <is>
          <t>Beauty</t>
        </is>
      </c>
      <c r="E2" s="58" t="inlineStr">
        <is>
          <t>South</t>
        </is>
      </c>
      <c r="F2" s="61" t="n">
        <v>5</v>
      </c>
      <c r="G2" s="62" t="n">
        <v>57.9</v>
      </c>
      <c r="H2" s="63" t="n">
        <v>0.102</v>
      </c>
      <c r="I2" s="62" t="n">
        <v>36.84</v>
      </c>
      <c r="J2" s="58" t="inlineStr">
        <is>
          <t>Store</t>
        </is>
      </c>
      <c r="K2" s="62">
        <f>F2*(G2-H2)</f>
        <v/>
      </c>
      <c r="L2" s="62">
        <f>K2-(F2*I2)</f>
        <v/>
      </c>
      <c r="M2" s="64">
        <f>L2/K2</f>
        <v/>
      </c>
    </row>
    <row r="3">
      <c r="A3" s="58" t="inlineStr">
        <is>
          <t>RT20250101-00002</t>
        </is>
      </c>
      <c r="B3" s="59" t="inlineStr">
        <is>
          <t>2025-01-01</t>
        </is>
      </c>
      <c r="C3" s="60" t="inlineStr">
        <is>
          <t>Falcon Storage X-734</t>
        </is>
      </c>
      <c r="D3" s="58" t="inlineStr">
        <is>
          <t>Office</t>
        </is>
      </c>
      <c r="E3" s="58" t="inlineStr">
        <is>
          <t>West</t>
        </is>
      </c>
      <c r="F3" s="61" t="n">
        <v>1</v>
      </c>
      <c r="G3" s="62" t="n">
        <v>429.74</v>
      </c>
      <c r="H3" s="63" t="n">
        <v>0.061</v>
      </c>
      <c r="I3" s="62" t="n">
        <v>280.05</v>
      </c>
      <c r="J3" s="58" t="inlineStr">
        <is>
          <t>Online</t>
        </is>
      </c>
      <c r="K3" s="62">
        <f>F3*(G3-H3)</f>
        <v/>
      </c>
      <c r="L3" s="62">
        <f>K3-(F3*I3)</f>
        <v/>
      </c>
      <c r="M3" s="64">
        <f>L3/K3</f>
        <v/>
      </c>
    </row>
    <row r="4">
      <c r="A4" s="58" t="inlineStr">
        <is>
          <t>RT20250101-00003</t>
        </is>
      </c>
      <c r="B4" s="59" t="inlineStr">
        <is>
          <t>2025-01-01</t>
        </is>
      </c>
      <c r="C4" s="60" t="inlineStr">
        <is>
          <t>Nimbus Headphone X-854</t>
        </is>
      </c>
      <c r="D4" s="58" t="inlineStr">
        <is>
          <t>Electronics</t>
        </is>
      </c>
      <c r="E4" s="58" t="inlineStr">
        <is>
          <t>South</t>
        </is>
      </c>
      <c r="F4" s="61" t="n">
        <v>2</v>
      </c>
      <c r="G4" s="62" t="n">
        <v>1506.85</v>
      </c>
      <c r="H4" s="63" t="n">
        <v>0.027</v>
      </c>
      <c r="I4" s="62" t="n">
        <v>1241.84</v>
      </c>
      <c r="J4" s="58" t="inlineStr">
        <is>
          <t>Store</t>
        </is>
      </c>
      <c r="K4" s="62">
        <f>F4*(G4-H4)</f>
        <v/>
      </c>
      <c r="L4" s="62">
        <f>K4-(F4*I4)</f>
        <v/>
      </c>
      <c r="M4" s="64">
        <f>L4/K4</f>
        <v/>
      </c>
    </row>
    <row r="5">
      <c r="A5" s="58" t="inlineStr">
        <is>
          <t>RT20250101-00004</t>
        </is>
      </c>
      <c r="B5" s="59" t="inlineStr">
        <is>
          <t>2025-01-01</t>
        </is>
      </c>
      <c r="C5" s="60" t="inlineStr">
        <is>
          <t>Solace Snack S-691</t>
        </is>
      </c>
      <c r="D5" s="58" t="inlineStr">
        <is>
          <t>Grocery</t>
        </is>
      </c>
      <c r="E5" s="58" t="inlineStr">
        <is>
          <t>Central</t>
        </is>
      </c>
      <c r="F5" s="61" t="n">
        <v>4</v>
      </c>
      <c r="G5" s="62" t="n">
        <v>9.33</v>
      </c>
      <c r="H5" s="63" t="n">
        <v>0.028</v>
      </c>
      <c r="I5" s="62" t="n">
        <v>7.1</v>
      </c>
      <c r="J5" s="58" t="inlineStr">
        <is>
          <t>Phone</t>
        </is>
      </c>
      <c r="K5" s="62">
        <f>F5*(G5-H5)</f>
        <v/>
      </c>
      <c r="L5" s="62">
        <f>K5-(F5*I5)</f>
        <v/>
      </c>
      <c r="M5" s="64">
        <f>L5/K5</f>
        <v/>
      </c>
    </row>
    <row r="6">
      <c r="A6" s="58" t="inlineStr">
        <is>
          <t>RT20250101-00005</t>
        </is>
      </c>
      <c r="B6" s="59" t="inlineStr">
        <is>
          <t>2025-01-01</t>
        </is>
      </c>
      <c r="C6" s="60" t="inlineStr">
        <is>
          <t>Orion Kid Max-864</t>
        </is>
      </c>
      <c r="D6" s="58" t="inlineStr">
        <is>
          <t>Apparel</t>
        </is>
      </c>
      <c r="E6" s="58" t="inlineStr">
        <is>
          <t>Central</t>
        </is>
      </c>
      <c r="F6" s="61" t="n">
        <v>2</v>
      </c>
      <c r="G6" s="62" t="n">
        <v>82.26000000000001</v>
      </c>
      <c r="H6" s="63" t="n">
        <v>0.074</v>
      </c>
      <c r="I6" s="62" t="n">
        <v>44.7</v>
      </c>
      <c r="J6" s="58" t="inlineStr">
        <is>
          <t>Online</t>
        </is>
      </c>
      <c r="K6" s="62">
        <f>F6*(G6-H6)</f>
        <v/>
      </c>
      <c r="L6" s="62">
        <f>K6-(F6*I6)</f>
        <v/>
      </c>
      <c r="M6" s="64">
        <f>L6/K6</f>
        <v/>
      </c>
    </row>
    <row r="7">
      <c r="A7" s="58" t="inlineStr">
        <is>
          <t>RT20250101-00006</t>
        </is>
      </c>
      <c r="B7" s="59" t="inlineStr">
        <is>
          <t>2025-01-01</t>
        </is>
      </c>
      <c r="C7" s="60" t="inlineStr">
        <is>
          <t>Orion Haircare Plus-887</t>
        </is>
      </c>
      <c r="D7" s="58" t="inlineStr">
        <is>
          <t>Beauty</t>
        </is>
      </c>
      <c r="E7" s="58" t="inlineStr">
        <is>
          <t>North</t>
        </is>
      </c>
      <c r="F7" s="61" t="n">
        <v>2</v>
      </c>
      <c r="G7" s="62" t="n">
        <v>52.97</v>
      </c>
      <c r="H7" s="63" t="n">
        <v>0.08400000000000001</v>
      </c>
      <c r="I7" s="62" t="n">
        <v>30.28</v>
      </c>
      <c r="J7" s="58" t="inlineStr">
        <is>
          <t>Online</t>
        </is>
      </c>
      <c r="K7" s="62">
        <f>F7*(G7-H7)</f>
        <v/>
      </c>
      <c r="L7" s="62">
        <f>K7-(F7*I7)</f>
        <v/>
      </c>
      <c r="M7" s="64">
        <f>L7/K7</f>
        <v/>
      </c>
    </row>
    <row r="8">
      <c r="A8" s="58" t="inlineStr">
        <is>
          <t>RT20250101-00007</t>
        </is>
      </c>
      <c r="B8" s="59" t="inlineStr">
        <is>
          <t>2025-01-01</t>
        </is>
      </c>
      <c r="C8" s="60" t="inlineStr">
        <is>
          <t>Metro Wearable Plus-234</t>
        </is>
      </c>
      <c r="D8" s="58" t="inlineStr">
        <is>
          <t>Electronics</t>
        </is>
      </c>
      <c r="E8" s="58" t="inlineStr">
        <is>
          <t>Central</t>
        </is>
      </c>
      <c r="F8" s="61" t="n">
        <v>2</v>
      </c>
      <c r="G8" s="62" t="n">
        <v>1409.96</v>
      </c>
      <c r="H8" s="63" t="n">
        <v>0.062</v>
      </c>
      <c r="I8" s="62" t="n">
        <v>1154.57</v>
      </c>
      <c r="J8" s="58" t="inlineStr">
        <is>
          <t>Store</t>
        </is>
      </c>
      <c r="K8" s="62">
        <f>F8*(G8-H8)</f>
        <v/>
      </c>
      <c r="L8" s="62">
        <f>K8-(F8*I8)</f>
        <v/>
      </c>
      <c r="M8" s="64">
        <f>L8/K8</f>
        <v/>
      </c>
    </row>
    <row r="9">
      <c r="A9" s="58" t="inlineStr">
        <is>
          <t>RT20250101-00008</t>
        </is>
      </c>
      <c r="B9" s="59" t="inlineStr">
        <is>
          <t>2025-01-01</t>
        </is>
      </c>
      <c r="C9" s="60" t="inlineStr">
        <is>
          <t>Aurora Bedding Max-175</t>
        </is>
      </c>
      <c r="D9" s="58" t="inlineStr">
        <is>
          <t>Home</t>
        </is>
      </c>
      <c r="E9" s="58" t="inlineStr">
        <is>
          <t>East</t>
        </is>
      </c>
      <c r="F9" s="61" t="n">
        <v>1</v>
      </c>
      <c r="G9" s="62" t="n">
        <v>616.73</v>
      </c>
      <c r="H9" s="63" t="n">
        <v>0.089</v>
      </c>
      <c r="I9" s="62" t="n">
        <v>404.71</v>
      </c>
      <c r="J9" s="58" t="inlineStr">
        <is>
          <t>Online</t>
        </is>
      </c>
      <c r="K9" s="62">
        <f>F9*(G9-H9)</f>
        <v/>
      </c>
      <c r="L9" s="62">
        <f>K9-(F9*I9)</f>
        <v/>
      </c>
      <c r="M9" s="64">
        <f>L9/K9</f>
        <v/>
      </c>
    </row>
    <row r="10">
      <c r="A10" s="58" t="inlineStr">
        <is>
          <t>RT20250101-00009</t>
        </is>
      </c>
      <c r="B10" s="59" t="inlineStr">
        <is>
          <t>2025-01-01</t>
        </is>
      </c>
      <c r="C10" s="60" t="inlineStr">
        <is>
          <t>Aurora Household Plus-146</t>
        </is>
      </c>
      <c r="D10" s="58" t="inlineStr">
        <is>
          <t>Grocery</t>
        </is>
      </c>
      <c r="E10" s="58" t="inlineStr">
        <is>
          <t>East</t>
        </is>
      </c>
      <c r="F10" s="61" t="n">
        <v>8</v>
      </c>
      <c r="G10" s="62" t="n">
        <v>5.56</v>
      </c>
      <c r="H10" s="63" t="n">
        <v>0.08799999999999999</v>
      </c>
      <c r="I10" s="62" t="n">
        <v>4.46</v>
      </c>
      <c r="J10" s="58" t="inlineStr">
        <is>
          <t>Online</t>
        </is>
      </c>
      <c r="K10" s="62">
        <f>F10*(G10-H10)</f>
        <v/>
      </c>
      <c r="L10" s="62">
        <f>K10-(F10*I10)</f>
        <v/>
      </c>
      <c r="M10" s="64">
        <f>L10/K10</f>
        <v/>
      </c>
    </row>
    <row r="11">
      <c r="A11" s="58" t="inlineStr">
        <is>
          <t>RT20250101-00010</t>
        </is>
      </c>
      <c r="B11" s="59" t="inlineStr">
        <is>
          <t>2025-01-01</t>
        </is>
      </c>
      <c r="C11" s="60" t="inlineStr">
        <is>
          <t>Metro Smartphone Max-773</t>
        </is>
      </c>
      <c r="D11" s="58" t="inlineStr">
        <is>
          <t>Electronics</t>
        </is>
      </c>
      <c r="E11" s="58" t="inlineStr">
        <is>
          <t>East</t>
        </is>
      </c>
      <c r="F11" s="61" t="n">
        <v>2</v>
      </c>
      <c r="G11" s="62" t="n">
        <v>1446.3</v>
      </c>
      <c r="H11" s="63" t="n">
        <v>0.08</v>
      </c>
      <c r="I11" s="62" t="n">
        <v>1118.82</v>
      </c>
      <c r="J11" s="58" t="inlineStr">
        <is>
          <t>Store</t>
        </is>
      </c>
      <c r="K11" s="62">
        <f>F11*(G11-H11)</f>
        <v/>
      </c>
      <c r="L11" s="62">
        <f>K11-(F11*I11)</f>
        <v/>
      </c>
      <c r="M11" s="64">
        <f>L11/K11</f>
        <v/>
      </c>
    </row>
    <row r="12">
      <c r="A12" s="58" t="inlineStr">
        <is>
          <t>RT20250101-00011</t>
        </is>
      </c>
      <c r="B12" s="59" t="inlineStr">
        <is>
          <t>2025-01-01</t>
        </is>
      </c>
      <c r="C12" s="60" t="inlineStr">
        <is>
          <t>Falcon Storage X-734</t>
        </is>
      </c>
      <c r="D12" s="58" t="inlineStr">
        <is>
          <t>Office</t>
        </is>
      </c>
      <c r="E12" s="58" t="inlineStr">
        <is>
          <t>North</t>
        </is>
      </c>
      <c r="F12" s="61" t="n">
        <v>2</v>
      </c>
      <c r="G12" s="62" t="n">
        <v>421.65</v>
      </c>
      <c r="H12" s="63" t="n">
        <v>0.03</v>
      </c>
      <c r="I12" s="62" t="n">
        <v>283.41</v>
      </c>
      <c r="J12" s="58" t="inlineStr">
        <is>
          <t>Online</t>
        </is>
      </c>
      <c r="K12" s="62">
        <f>F12*(G12-H12)</f>
        <v/>
      </c>
      <c r="L12" s="62">
        <f>K12-(F12*I12)</f>
        <v/>
      </c>
      <c r="M12" s="64">
        <f>L12/K12</f>
        <v/>
      </c>
    </row>
    <row r="13">
      <c r="A13" s="58" t="inlineStr">
        <is>
          <t>RT20250101-00012</t>
        </is>
      </c>
      <c r="B13" s="59" t="inlineStr">
        <is>
          <t>2025-01-01</t>
        </is>
      </c>
      <c r="C13" s="60" t="inlineStr">
        <is>
          <t>Solace Bedding Plus-317</t>
        </is>
      </c>
      <c r="D13" s="58" t="inlineStr">
        <is>
          <t>Home</t>
        </is>
      </c>
      <c r="E13" s="58" t="inlineStr">
        <is>
          <t>Central</t>
        </is>
      </c>
      <c r="F13" s="61" t="n">
        <v>1</v>
      </c>
      <c r="G13" s="62" t="n">
        <v>510.38</v>
      </c>
      <c r="H13" s="63" t="n">
        <v>0.082</v>
      </c>
      <c r="I13" s="62" t="n">
        <v>390.1</v>
      </c>
      <c r="J13" s="58" t="inlineStr">
        <is>
          <t>Online</t>
        </is>
      </c>
      <c r="K13" s="62">
        <f>F13*(G13-H13)</f>
        <v/>
      </c>
      <c r="L13" s="62">
        <f>K13-(F13*I13)</f>
        <v/>
      </c>
      <c r="M13" s="64">
        <f>L13/K13</f>
        <v/>
      </c>
    </row>
    <row r="14">
      <c r="A14" s="58" t="inlineStr">
        <is>
          <t>RT20250101-00013</t>
        </is>
      </c>
      <c r="B14" s="59" t="inlineStr">
        <is>
          <t>2025-01-01</t>
        </is>
      </c>
      <c r="C14" s="60" t="inlineStr">
        <is>
          <t>Vertex Skincare Pro-891</t>
        </is>
      </c>
      <c r="D14" s="58" t="inlineStr">
        <is>
          <t>Beauty</t>
        </is>
      </c>
      <c r="E14" s="58" t="inlineStr">
        <is>
          <t>West</t>
        </is>
      </c>
      <c r="F14" s="61" t="n">
        <v>4</v>
      </c>
      <c r="G14" s="62" t="n">
        <v>137.88</v>
      </c>
      <c r="H14" s="63" t="n">
        <v>0.1</v>
      </c>
      <c r="I14" s="62" t="n">
        <v>86.95999999999999</v>
      </c>
      <c r="J14" s="58" t="inlineStr">
        <is>
          <t>Store</t>
        </is>
      </c>
      <c r="K14" s="62">
        <f>F14*(G14-H14)</f>
        <v/>
      </c>
      <c r="L14" s="62">
        <f>K14-(F14*I14)</f>
        <v/>
      </c>
      <c r="M14" s="64">
        <f>L14/K14</f>
        <v/>
      </c>
    </row>
    <row r="15">
      <c r="A15" s="58" t="inlineStr">
        <is>
          <t>RT20250101-00014</t>
        </is>
      </c>
      <c r="B15" s="59" t="inlineStr">
        <is>
          <t>2025-01-01</t>
        </is>
      </c>
      <c r="C15" s="60" t="inlineStr">
        <is>
          <t>Solace Kitchen Pro-510</t>
        </is>
      </c>
      <c r="D15" s="58" t="inlineStr">
        <is>
          <t>Home</t>
        </is>
      </c>
      <c r="E15" s="58" t="inlineStr">
        <is>
          <t>South</t>
        </is>
      </c>
      <c r="F15" s="61" t="n">
        <v>3</v>
      </c>
      <c r="G15" s="62" t="n">
        <v>421.3</v>
      </c>
      <c r="H15" s="63" t="n">
        <v>0.019</v>
      </c>
      <c r="I15" s="62" t="n">
        <v>313.16</v>
      </c>
      <c r="J15" s="58" t="inlineStr">
        <is>
          <t>Online</t>
        </is>
      </c>
      <c r="K15" s="62">
        <f>F15*(G15-H15)</f>
        <v/>
      </c>
      <c r="L15" s="62">
        <f>K15-(F15*I15)</f>
        <v/>
      </c>
      <c r="M15" s="64">
        <f>L15/K15</f>
        <v/>
      </c>
    </row>
    <row r="16">
      <c r="A16" s="58" t="inlineStr">
        <is>
          <t>RT20250101-00015</t>
        </is>
      </c>
      <c r="B16" s="59" t="inlineStr">
        <is>
          <t>2025-01-01</t>
        </is>
      </c>
      <c r="C16" s="60" t="inlineStr">
        <is>
          <t>Nimbus Women Plus-352</t>
        </is>
      </c>
      <c r="D16" s="58" t="inlineStr">
        <is>
          <t>Apparel</t>
        </is>
      </c>
      <c r="E16" s="58" t="inlineStr">
        <is>
          <t>West</t>
        </is>
      </c>
      <c r="F16" s="61" t="n">
        <v>2</v>
      </c>
      <c r="G16" s="62" t="n">
        <v>54.12</v>
      </c>
      <c r="H16" s="63" t="n">
        <v>0.08599999999999999</v>
      </c>
      <c r="I16" s="62" t="n">
        <v>32.43</v>
      </c>
      <c r="J16" s="58" t="inlineStr">
        <is>
          <t>Online</t>
        </is>
      </c>
      <c r="K16" s="62">
        <f>F16*(G16-H16)</f>
        <v/>
      </c>
      <c r="L16" s="62">
        <f>K16-(F16*I16)</f>
        <v/>
      </c>
      <c r="M16" s="64">
        <f>L16/K16</f>
        <v/>
      </c>
    </row>
    <row r="17">
      <c r="A17" s="58" t="inlineStr">
        <is>
          <t>RT20250101-00016</t>
        </is>
      </c>
      <c r="B17" s="59" t="inlineStr">
        <is>
          <t>2025-01-01</t>
        </is>
      </c>
      <c r="C17" s="60" t="inlineStr">
        <is>
          <t>Polar Outdoor Lite-318</t>
        </is>
      </c>
      <c r="D17" s="58" t="inlineStr">
        <is>
          <t>Sports</t>
        </is>
      </c>
      <c r="E17" s="58" t="inlineStr">
        <is>
          <t>East</t>
        </is>
      </c>
      <c r="F17" s="61" t="n">
        <v>1</v>
      </c>
      <c r="G17" s="62" t="n">
        <v>709.5599999999999</v>
      </c>
      <c r="H17" s="63" t="n">
        <v>0.142</v>
      </c>
      <c r="I17" s="62" t="n">
        <v>467.02</v>
      </c>
      <c r="J17" s="58" t="inlineStr">
        <is>
          <t>Store</t>
        </is>
      </c>
      <c r="K17" s="62">
        <f>F17*(G17-H17)</f>
        <v/>
      </c>
      <c r="L17" s="62">
        <f>K17-(F17*I17)</f>
        <v/>
      </c>
      <c r="M17" s="64">
        <f>L17/K17</f>
        <v/>
      </c>
    </row>
    <row r="18">
      <c r="A18" s="58" t="inlineStr">
        <is>
          <t>RT20250101-00017</t>
        </is>
      </c>
      <c r="B18" s="59" t="inlineStr">
        <is>
          <t>2025-01-01</t>
        </is>
      </c>
      <c r="C18" s="60" t="inlineStr">
        <is>
          <t>Vertex Fitnes Pro-830</t>
        </is>
      </c>
      <c r="D18" s="58" t="inlineStr">
        <is>
          <t>Sports</t>
        </is>
      </c>
      <c r="E18" s="58" t="inlineStr">
        <is>
          <t>Central</t>
        </is>
      </c>
      <c r="F18" s="61" t="n">
        <v>1</v>
      </c>
      <c r="G18" s="62" t="n">
        <v>716.89</v>
      </c>
      <c r="H18" s="63" t="n">
        <v>0.144</v>
      </c>
      <c r="I18" s="62" t="n">
        <v>471.78</v>
      </c>
      <c r="J18" s="58" t="inlineStr">
        <is>
          <t>Online</t>
        </is>
      </c>
      <c r="K18" s="62">
        <f>F18*(G18-H18)</f>
        <v/>
      </c>
      <c r="L18" s="62">
        <f>K18-(F18*I18)</f>
        <v/>
      </c>
      <c r="M18" s="64">
        <f>L18/K18</f>
        <v/>
      </c>
    </row>
    <row r="19">
      <c r="A19" s="58" t="inlineStr">
        <is>
          <t>RT20250101-00018</t>
        </is>
      </c>
      <c r="B19" s="59" t="inlineStr">
        <is>
          <t>2025-01-01</t>
        </is>
      </c>
      <c r="C19" s="60" t="inlineStr">
        <is>
          <t>Metro Pantry Max-180</t>
        </is>
      </c>
      <c r="D19" s="58" t="inlineStr">
        <is>
          <t>Grocery</t>
        </is>
      </c>
      <c r="E19" s="58" t="inlineStr">
        <is>
          <t>North</t>
        </is>
      </c>
      <c r="F19" s="61" t="n">
        <v>4</v>
      </c>
      <c r="G19" s="62" t="n">
        <v>8.76</v>
      </c>
      <c r="H19" s="63" t="n">
        <v>0.053</v>
      </c>
      <c r="I19" s="62" t="n">
        <v>6.8</v>
      </c>
      <c r="J19" s="58" t="inlineStr">
        <is>
          <t>Online</t>
        </is>
      </c>
      <c r="K19" s="62">
        <f>F19*(G19-H19)</f>
        <v/>
      </c>
      <c r="L19" s="62">
        <f>K19-(F19*I19)</f>
        <v/>
      </c>
      <c r="M19" s="64">
        <f>L19/K19</f>
        <v/>
      </c>
    </row>
    <row r="20">
      <c r="A20" s="58" t="inlineStr">
        <is>
          <t>RT20250101-00019</t>
        </is>
      </c>
      <c r="B20" s="59" t="inlineStr">
        <is>
          <t>2025-01-01</t>
        </is>
      </c>
      <c r="C20" s="60" t="inlineStr">
        <is>
          <t>Polar Fragrance Pro-750</t>
        </is>
      </c>
      <c r="D20" s="58" t="inlineStr">
        <is>
          <t>Beauty</t>
        </is>
      </c>
      <c r="E20" s="58" t="inlineStr">
        <is>
          <t>West</t>
        </is>
      </c>
      <c r="F20" s="61" t="n">
        <v>5</v>
      </c>
      <c r="G20" s="62" t="n">
        <v>62.35</v>
      </c>
      <c r="H20" s="63" t="n">
        <v>0.074</v>
      </c>
      <c r="I20" s="62" t="n">
        <v>35.81</v>
      </c>
      <c r="J20" s="58" t="inlineStr">
        <is>
          <t>Online</t>
        </is>
      </c>
      <c r="K20" s="62">
        <f>F20*(G20-H20)</f>
        <v/>
      </c>
      <c r="L20" s="62">
        <f>K20-(F20*I20)</f>
        <v/>
      </c>
      <c r="M20" s="64">
        <f>L20/K20</f>
        <v/>
      </c>
    </row>
    <row r="21">
      <c r="A21" s="58" t="inlineStr">
        <is>
          <t>RT20250101-00020</t>
        </is>
      </c>
      <c r="B21" s="59" t="inlineStr">
        <is>
          <t>2025-01-01</t>
        </is>
      </c>
      <c r="C21" s="60" t="inlineStr">
        <is>
          <t>Nimbus Fitnes Lite-516</t>
        </is>
      </c>
      <c r="D21" s="58" t="inlineStr">
        <is>
          <t>Sports</t>
        </is>
      </c>
      <c r="E21" s="58" t="inlineStr">
        <is>
          <t>East</t>
        </is>
      </c>
      <c r="F21" s="61" t="n">
        <v>3</v>
      </c>
      <c r="G21" s="62" t="n">
        <v>724.67</v>
      </c>
      <c r="H21" s="63" t="n">
        <v>0.032</v>
      </c>
      <c r="I21" s="62" t="n">
        <v>477.87</v>
      </c>
      <c r="J21" s="58" t="inlineStr">
        <is>
          <t>Store</t>
        </is>
      </c>
      <c r="K21" s="62">
        <f>F21*(G21-H21)</f>
        <v/>
      </c>
      <c r="L21" s="62">
        <f>K21-(F21*I21)</f>
        <v/>
      </c>
      <c r="M21" s="64">
        <f>L21/K21</f>
        <v/>
      </c>
    </row>
    <row r="22">
      <c r="A22" s="58" t="inlineStr">
        <is>
          <t>RT20250101-00021</t>
        </is>
      </c>
      <c r="B22" s="59" t="inlineStr">
        <is>
          <t>2025-01-01</t>
        </is>
      </c>
      <c r="C22" s="60" t="inlineStr">
        <is>
          <t>Orion Kid Max-640</t>
        </is>
      </c>
      <c r="D22" s="58" t="inlineStr">
        <is>
          <t>Apparel</t>
        </is>
      </c>
      <c r="E22" s="58" t="inlineStr">
        <is>
          <t>South</t>
        </is>
      </c>
      <c r="F22" s="61" t="n">
        <v>4</v>
      </c>
      <c r="G22" s="62" t="n">
        <v>118.6</v>
      </c>
      <c r="H22" s="63" t="n">
        <v>0.02</v>
      </c>
      <c r="I22" s="62" t="n">
        <v>69.05</v>
      </c>
      <c r="J22" s="58" t="inlineStr">
        <is>
          <t>Online</t>
        </is>
      </c>
      <c r="K22" s="62">
        <f>F22*(G22-H22)</f>
        <v/>
      </c>
      <c r="L22" s="62">
        <f>K22-(F22*I22)</f>
        <v/>
      </c>
      <c r="M22" s="64">
        <f>L22/K22</f>
        <v/>
      </c>
    </row>
    <row r="23">
      <c r="A23" s="58" t="inlineStr">
        <is>
          <t>RT20250101-00022</t>
        </is>
      </c>
      <c r="B23" s="59" t="inlineStr">
        <is>
          <t>2025-01-01</t>
        </is>
      </c>
      <c r="C23" s="60" t="inlineStr">
        <is>
          <t>Orion Kid Max-640</t>
        </is>
      </c>
      <c r="D23" s="58" t="inlineStr">
        <is>
          <t>Apparel</t>
        </is>
      </c>
      <c r="E23" s="58" t="inlineStr">
        <is>
          <t>South</t>
        </is>
      </c>
      <c r="F23" s="61" t="n">
        <v>4</v>
      </c>
      <c r="G23" s="62" t="n">
        <v>114.59</v>
      </c>
      <c r="H23" s="63" t="n">
        <v>0.026</v>
      </c>
      <c r="I23" s="62" t="n">
        <v>72.03</v>
      </c>
      <c r="J23" s="58" t="inlineStr">
        <is>
          <t>Store</t>
        </is>
      </c>
      <c r="K23" s="62">
        <f>F23*(G23-H23)</f>
        <v/>
      </c>
      <c r="L23" s="62">
        <f>K23-(F23*I23)</f>
        <v/>
      </c>
      <c r="M23" s="64">
        <f>L23/K23</f>
        <v/>
      </c>
    </row>
    <row r="24">
      <c r="A24" s="58" t="inlineStr">
        <is>
          <t>RT20250101-00023</t>
        </is>
      </c>
      <c r="B24" s="59" t="inlineStr">
        <is>
          <t>2025-01-01</t>
        </is>
      </c>
      <c r="C24" s="60" t="inlineStr">
        <is>
          <t>Polar Haircare Max-614</t>
        </is>
      </c>
      <c r="D24" s="58" t="inlineStr">
        <is>
          <t>Beauty</t>
        </is>
      </c>
      <c r="E24" s="58" t="inlineStr">
        <is>
          <t>East</t>
        </is>
      </c>
      <c r="F24" s="61" t="n">
        <v>2</v>
      </c>
      <c r="G24" s="62" t="n">
        <v>122.55</v>
      </c>
      <c r="H24" s="63" t="n">
        <v>0.08599999999999999</v>
      </c>
      <c r="I24" s="62" t="n">
        <v>71.05</v>
      </c>
      <c r="J24" s="58" t="inlineStr">
        <is>
          <t>Online</t>
        </is>
      </c>
      <c r="K24" s="62">
        <f>F24*(G24-H24)</f>
        <v/>
      </c>
      <c r="L24" s="62">
        <f>K24-(F24*I24)</f>
        <v/>
      </c>
      <c r="M24" s="64">
        <f>L24/K24</f>
        <v/>
      </c>
    </row>
    <row r="25">
      <c r="A25" s="58" t="inlineStr">
        <is>
          <t>RT20250101-00024</t>
        </is>
      </c>
      <c r="B25" s="59" t="inlineStr">
        <is>
          <t>2025-01-01</t>
        </is>
      </c>
      <c r="C25" s="60" t="inlineStr">
        <is>
          <t>Aurora Appliance Lite-109</t>
        </is>
      </c>
      <c r="D25" s="58" t="inlineStr">
        <is>
          <t>Home</t>
        </is>
      </c>
      <c r="E25" s="58" t="inlineStr">
        <is>
          <t>West</t>
        </is>
      </c>
      <c r="F25" s="61" t="n">
        <v>3</v>
      </c>
      <c r="G25" s="62" t="n">
        <v>296.57</v>
      </c>
      <c r="H25" s="63" t="n">
        <v>0.08699999999999999</v>
      </c>
      <c r="I25" s="62" t="n">
        <v>200.29</v>
      </c>
      <c r="J25" s="58" t="inlineStr">
        <is>
          <t>Store</t>
        </is>
      </c>
      <c r="K25" s="62">
        <f>F25*(G25-H25)</f>
        <v/>
      </c>
      <c r="L25" s="62">
        <f>K25-(F25*I25)</f>
        <v/>
      </c>
      <c r="M25" s="64">
        <f>L25/K25</f>
        <v/>
      </c>
    </row>
    <row r="26">
      <c r="A26" s="58" t="inlineStr">
        <is>
          <t>RT20250101-00025</t>
        </is>
      </c>
      <c r="B26" s="59" t="inlineStr">
        <is>
          <t>2025-01-01</t>
        </is>
      </c>
      <c r="C26" s="60" t="inlineStr">
        <is>
          <t>Nimbus Furniture Pro-479</t>
        </is>
      </c>
      <c r="D26" s="58" t="inlineStr">
        <is>
          <t>Office</t>
        </is>
      </c>
      <c r="E26" s="58" t="inlineStr">
        <is>
          <t>North</t>
        </is>
      </c>
      <c r="F26" s="61" t="n">
        <v>1</v>
      </c>
      <c r="G26" s="62" t="n">
        <v>329.65</v>
      </c>
      <c r="H26" s="63" t="n">
        <v>0.025</v>
      </c>
      <c r="I26" s="62" t="n">
        <v>245.17</v>
      </c>
      <c r="J26" s="58" t="inlineStr">
        <is>
          <t>Store</t>
        </is>
      </c>
      <c r="K26" s="62">
        <f>F26*(G26-H26)</f>
        <v/>
      </c>
      <c r="L26" s="62">
        <f>K26-(F26*I26)</f>
        <v/>
      </c>
      <c r="M26" s="64">
        <f>L26/K26</f>
        <v/>
      </c>
    </row>
    <row r="27">
      <c r="A27" s="58" t="inlineStr">
        <is>
          <t>RT20250101-00026</t>
        </is>
      </c>
      <c r="B27" s="59" t="inlineStr">
        <is>
          <t>2025-01-01</t>
        </is>
      </c>
      <c r="C27" s="60" t="inlineStr">
        <is>
          <t>Vertex Supplie X-513</t>
        </is>
      </c>
      <c r="D27" s="58" t="inlineStr">
        <is>
          <t>Office</t>
        </is>
      </c>
      <c r="E27" s="58" t="inlineStr">
        <is>
          <t>South</t>
        </is>
      </c>
      <c r="F27" s="61" t="n">
        <v>2</v>
      </c>
      <c r="G27" s="62" t="n">
        <v>398.89</v>
      </c>
      <c r="H27" s="63" t="n">
        <v>0.051</v>
      </c>
      <c r="I27" s="62" t="n">
        <v>281.08</v>
      </c>
      <c r="J27" s="58" t="inlineStr">
        <is>
          <t>Online</t>
        </is>
      </c>
      <c r="K27" s="62">
        <f>F27*(G27-H27)</f>
        <v/>
      </c>
      <c r="L27" s="62">
        <f>K27-(F27*I27)</f>
        <v/>
      </c>
      <c r="M27" s="64">
        <f>L27/K27</f>
        <v/>
      </c>
    </row>
    <row r="28">
      <c r="A28" s="58" t="inlineStr">
        <is>
          <t>RT20250101-00027</t>
        </is>
      </c>
      <c r="B28" s="59" t="inlineStr">
        <is>
          <t>2025-01-01</t>
        </is>
      </c>
      <c r="C28" s="60" t="inlineStr">
        <is>
          <t>Polar Women S-662</t>
        </is>
      </c>
      <c r="D28" s="58" t="inlineStr">
        <is>
          <t>Apparel</t>
        </is>
      </c>
      <c r="E28" s="58" t="inlineStr">
        <is>
          <t>East</t>
        </is>
      </c>
      <c r="F28" s="61" t="n">
        <v>4</v>
      </c>
      <c r="G28" s="62" t="n">
        <v>183.71</v>
      </c>
      <c r="H28" s="63" t="n">
        <v>0.045</v>
      </c>
      <c r="I28" s="62" t="n">
        <v>99.81999999999999</v>
      </c>
      <c r="J28" s="58" t="inlineStr">
        <is>
          <t>Online</t>
        </is>
      </c>
      <c r="K28" s="62">
        <f>F28*(G28-H28)</f>
        <v/>
      </c>
      <c r="L28" s="62">
        <f>K28-(F28*I28)</f>
        <v/>
      </c>
      <c r="M28" s="64">
        <f>L28/K28</f>
        <v/>
      </c>
    </row>
    <row r="29">
      <c r="A29" s="58" t="inlineStr">
        <is>
          <t>RT20250101-00028</t>
        </is>
      </c>
      <c r="B29" s="59" t="inlineStr">
        <is>
          <t>2025-01-01</t>
        </is>
      </c>
      <c r="C29" s="60" t="inlineStr">
        <is>
          <t>Aurora Bedding Plus-187</t>
        </is>
      </c>
      <c r="D29" s="58" t="inlineStr">
        <is>
          <t>Home</t>
        </is>
      </c>
      <c r="E29" s="58" t="inlineStr">
        <is>
          <t>North</t>
        </is>
      </c>
      <c r="F29" s="61" t="n">
        <v>2</v>
      </c>
      <c r="G29" s="62" t="n">
        <v>316.23</v>
      </c>
      <c r="H29" s="63" t="n">
        <v>0.081</v>
      </c>
      <c r="I29" s="62" t="n">
        <v>215.43</v>
      </c>
      <c r="J29" s="58" t="inlineStr">
        <is>
          <t>Store</t>
        </is>
      </c>
      <c r="K29" s="62">
        <f>F29*(G29-H29)</f>
        <v/>
      </c>
      <c r="L29" s="62">
        <f>K29-(F29*I29)</f>
        <v/>
      </c>
      <c r="M29" s="64">
        <f>L29/K29</f>
        <v/>
      </c>
    </row>
    <row r="30">
      <c r="A30" s="58" t="inlineStr">
        <is>
          <t>RT20250101-00029</t>
        </is>
      </c>
      <c r="B30" s="59" t="inlineStr">
        <is>
          <t>2025-01-01</t>
        </is>
      </c>
      <c r="C30" s="60" t="inlineStr">
        <is>
          <t>Metro Fragrance Lite-261</t>
        </is>
      </c>
      <c r="D30" s="58" t="inlineStr">
        <is>
          <t>Beauty</t>
        </is>
      </c>
      <c r="E30" s="58" t="inlineStr">
        <is>
          <t>West</t>
        </is>
      </c>
      <c r="F30" s="61" t="n">
        <v>2</v>
      </c>
      <c r="G30" s="62" t="n">
        <v>82.36</v>
      </c>
      <c r="H30" s="63" t="n">
        <v>0.046</v>
      </c>
      <c r="I30" s="62" t="n">
        <v>56.74</v>
      </c>
      <c r="J30" s="58" t="inlineStr">
        <is>
          <t>Store</t>
        </is>
      </c>
      <c r="K30" s="62">
        <f>F30*(G30-H30)</f>
        <v/>
      </c>
      <c r="L30" s="62">
        <f>K30-(F30*I30)</f>
        <v/>
      </c>
      <c r="M30" s="64">
        <f>L30/K30</f>
        <v/>
      </c>
    </row>
    <row r="31">
      <c r="A31" s="58" t="inlineStr">
        <is>
          <t>RT20250101-00030</t>
        </is>
      </c>
      <c r="B31" s="59" t="inlineStr">
        <is>
          <t>2025-01-01</t>
        </is>
      </c>
      <c r="C31" s="60" t="inlineStr">
        <is>
          <t>Nimbus Fitnes Lite-516</t>
        </is>
      </c>
      <c r="D31" s="58" t="inlineStr">
        <is>
          <t>Sports</t>
        </is>
      </c>
      <c r="E31" s="58" t="inlineStr">
        <is>
          <t>East</t>
        </is>
      </c>
      <c r="F31" s="61" t="n">
        <v>1</v>
      </c>
      <c r="G31" s="62" t="n">
        <v>782.74</v>
      </c>
      <c r="H31" s="63" t="n">
        <v>0.096</v>
      </c>
      <c r="I31" s="62" t="n">
        <v>479.99</v>
      </c>
      <c r="J31" s="58" t="inlineStr">
        <is>
          <t>Store</t>
        </is>
      </c>
      <c r="K31" s="62">
        <f>F31*(G31-H31)</f>
        <v/>
      </c>
      <c r="L31" s="62">
        <f>K31-(F31*I31)</f>
        <v/>
      </c>
      <c r="M31" s="64">
        <f>L31/K31</f>
        <v/>
      </c>
    </row>
    <row r="32">
      <c r="A32" s="58" t="inlineStr">
        <is>
          <t>RT20250101-00031</t>
        </is>
      </c>
      <c r="B32" s="59" t="inlineStr">
        <is>
          <t>2025-01-01</t>
        </is>
      </c>
      <c r="C32" s="60" t="inlineStr">
        <is>
          <t>Polar Women Max-927</t>
        </is>
      </c>
      <c r="D32" s="58" t="inlineStr">
        <is>
          <t>Apparel</t>
        </is>
      </c>
      <c r="E32" s="58" t="inlineStr">
        <is>
          <t>South</t>
        </is>
      </c>
      <c r="F32" s="61" t="n">
        <v>3</v>
      </c>
      <c r="G32" s="62" t="n">
        <v>117.13</v>
      </c>
      <c r="H32" s="63" t="n">
        <v>0.037</v>
      </c>
      <c r="I32" s="62" t="n">
        <v>67.34999999999999</v>
      </c>
      <c r="J32" s="58" t="inlineStr">
        <is>
          <t>Phone</t>
        </is>
      </c>
      <c r="K32" s="62">
        <f>F32*(G32-H32)</f>
        <v/>
      </c>
      <c r="L32" s="62">
        <f>K32-(F32*I32)</f>
        <v/>
      </c>
      <c r="M32" s="64">
        <f>L32/K32</f>
        <v/>
      </c>
    </row>
    <row r="33">
      <c r="A33" s="58" t="inlineStr">
        <is>
          <t>RT20250101-00032</t>
        </is>
      </c>
      <c r="B33" s="59" t="inlineStr">
        <is>
          <t>2025-01-01</t>
        </is>
      </c>
      <c r="C33" s="60" t="inlineStr">
        <is>
          <t>Solace Laptop S-367</t>
        </is>
      </c>
      <c r="D33" s="58" t="inlineStr">
        <is>
          <t>Electronics</t>
        </is>
      </c>
      <c r="E33" s="58" t="inlineStr">
        <is>
          <t>North</t>
        </is>
      </c>
      <c r="F33" s="61" t="n">
        <v>2</v>
      </c>
      <c r="G33" s="62" t="n">
        <v>2098.07</v>
      </c>
      <c r="H33" s="63" t="n">
        <v>0.021</v>
      </c>
      <c r="I33" s="62" t="n">
        <v>1539.71</v>
      </c>
      <c r="J33" s="58" t="inlineStr">
        <is>
          <t>Store</t>
        </is>
      </c>
      <c r="K33" s="62">
        <f>F33*(G33-H33)</f>
        <v/>
      </c>
      <c r="L33" s="62">
        <f>K33-(F33*I33)</f>
        <v/>
      </c>
      <c r="M33" s="64">
        <f>L33/K33</f>
        <v/>
      </c>
    </row>
    <row r="34">
      <c r="A34" s="58" t="inlineStr">
        <is>
          <t>RT20250101-00033</t>
        </is>
      </c>
      <c r="B34" s="59" t="inlineStr">
        <is>
          <t>2025-01-01</t>
        </is>
      </c>
      <c r="C34" s="60" t="inlineStr">
        <is>
          <t>Vertex Appliance S-296</t>
        </is>
      </c>
      <c r="D34" s="58" t="inlineStr">
        <is>
          <t>Home</t>
        </is>
      </c>
      <c r="E34" s="58" t="inlineStr">
        <is>
          <t>East</t>
        </is>
      </c>
      <c r="F34" s="61" t="n">
        <v>1</v>
      </c>
      <c r="G34" s="62" t="n">
        <v>461.28</v>
      </c>
      <c r="H34" s="63" t="n">
        <v>0.113</v>
      </c>
      <c r="I34" s="62" t="n">
        <v>365.43</v>
      </c>
      <c r="J34" s="58" t="inlineStr">
        <is>
          <t>Store</t>
        </is>
      </c>
      <c r="K34" s="62">
        <f>F34*(G34-H34)</f>
        <v/>
      </c>
      <c r="L34" s="62">
        <f>K34-(F34*I34)</f>
        <v/>
      </c>
      <c r="M34" s="64">
        <f>L34/K34</f>
        <v/>
      </c>
    </row>
    <row r="35">
      <c r="A35" s="58" t="inlineStr">
        <is>
          <t>RT20250101-00034</t>
        </is>
      </c>
      <c r="B35" s="59" t="inlineStr">
        <is>
          <t>2025-01-01</t>
        </is>
      </c>
      <c r="C35" s="60" t="inlineStr">
        <is>
          <t>Aurora Smartphone Plus-125</t>
        </is>
      </c>
      <c r="D35" s="58" t="inlineStr">
        <is>
          <t>Electronics</t>
        </is>
      </c>
      <c r="E35" s="58" t="inlineStr">
        <is>
          <t>West</t>
        </is>
      </c>
      <c r="F35" s="61" t="n">
        <v>1</v>
      </c>
      <c r="G35" s="62" t="n">
        <v>1523.11</v>
      </c>
      <c r="H35" s="63" t="n">
        <v>0.07000000000000001</v>
      </c>
      <c r="I35" s="62" t="n">
        <v>1208.08</v>
      </c>
      <c r="J35" s="58" t="inlineStr">
        <is>
          <t>Store</t>
        </is>
      </c>
      <c r="K35" s="62">
        <f>F35*(G35-H35)</f>
        <v/>
      </c>
      <c r="L35" s="62">
        <f>K35-(F35*I35)</f>
        <v/>
      </c>
      <c r="M35" s="64">
        <f>L35/K35</f>
        <v/>
      </c>
    </row>
    <row r="36">
      <c r="A36" s="58" t="inlineStr">
        <is>
          <t>RT20250101-00035</t>
        </is>
      </c>
      <c r="B36" s="59" t="inlineStr">
        <is>
          <t>2025-01-01</t>
        </is>
      </c>
      <c r="C36" s="60" t="inlineStr">
        <is>
          <t>Falcon Household Pro-865</t>
        </is>
      </c>
      <c r="D36" s="58" t="inlineStr">
        <is>
          <t>Grocery</t>
        </is>
      </c>
      <c r="E36" s="58" t="inlineStr">
        <is>
          <t>North</t>
        </is>
      </c>
      <c r="F36" s="61" t="n">
        <v>5</v>
      </c>
      <c r="G36" s="62" t="n">
        <v>9.470000000000001</v>
      </c>
      <c r="H36" s="63" t="n">
        <v>0.07099999999999999</v>
      </c>
      <c r="I36" s="62" t="n">
        <v>7.68</v>
      </c>
      <c r="J36" s="58" t="inlineStr">
        <is>
          <t>Store</t>
        </is>
      </c>
      <c r="K36" s="62">
        <f>F36*(G36-H36)</f>
        <v/>
      </c>
      <c r="L36" s="62">
        <f>K36-(F36*I36)</f>
        <v/>
      </c>
      <c r="M36" s="64">
        <f>L36/K36</f>
        <v/>
      </c>
    </row>
    <row r="37">
      <c r="A37" s="58" t="inlineStr">
        <is>
          <t>RT20250101-00036</t>
        </is>
      </c>
      <c r="B37" s="59" t="inlineStr">
        <is>
          <t>2025-01-01</t>
        </is>
      </c>
      <c r="C37" s="60" t="inlineStr">
        <is>
          <t>Aurora Bedding Max-175</t>
        </is>
      </c>
      <c r="D37" s="58" t="inlineStr">
        <is>
          <t>Home</t>
        </is>
      </c>
      <c r="E37" s="58" t="inlineStr">
        <is>
          <t>North</t>
        </is>
      </c>
      <c r="F37" s="61" t="n">
        <v>3</v>
      </c>
      <c r="G37" s="62" t="n">
        <v>665.63</v>
      </c>
      <c r="H37" s="63" t="n">
        <v>0.038</v>
      </c>
      <c r="I37" s="62" t="n">
        <v>406.87</v>
      </c>
      <c r="J37" s="58" t="inlineStr">
        <is>
          <t>Online</t>
        </is>
      </c>
      <c r="K37" s="62">
        <f>F37*(G37-H37)</f>
        <v/>
      </c>
      <c r="L37" s="62">
        <f>K37-(F37*I37)</f>
        <v/>
      </c>
      <c r="M37" s="64">
        <f>L37/K37</f>
        <v/>
      </c>
    </row>
    <row r="38">
      <c r="A38" s="58" t="inlineStr">
        <is>
          <t>RT20250101-00037</t>
        </is>
      </c>
      <c r="B38" s="59" t="inlineStr">
        <is>
          <t>2025-01-01</t>
        </is>
      </c>
      <c r="C38" s="60" t="inlineStr">
        <is>
          <t>Vertex Smartphone Pro-256</t>
        </is>
      </c>
      <c r="D38" s="58" t="inlineStr">
        <is>
          <t>Electronics</t>
        </is>
      </c>
      <c r="E38" s="58" t="inlineStr">
        <is>
          <t>North</t>
        </is>
      </c>
      <c r="F38" s="61" t="n">
        <v>1</v>
      </c>
      <c r="G38" s="62" t="n">
        <v>1051.85</v>
      </c>
      <c r="H38" s="63" t="n">
        <v>0.053</v>
      </c>
      <c r="I38" s="62" t="n">
        <v>940.4299999999999</v>
      </c>
      <c r="J38" s="58" t="inlineStr">
        <is>
          <t>Online</t>
        </is>
      </c>
      <c r="K38" s="62">
        <f>F38*(G38-H38)</f>
        <v/>
      </c>
      <c r="L38" s="62">
        <f>K38-(F38*I38)</f>
        <v/>
      </c>
      <c r="M38" s="64">
        <f>L38/K38</f>
        <v/>
      </c>
    </row>
    <row r="39">
      <c r="A39" s="58" t="inlineStr">
        <is>
          <t>RT20250101-00038</t>
        </is>
      </c>
      <c r="B39" s="59" t="inlineStr">
        <is>
          <t>2025-01-01</t>
        </is>
      </c>
      <c r="C39" s="60" t="inlineStr">
        <is>
          <t>Falcon Household Plus-796</t>
        </is>
      </c>
      <c r="D39" s="58" t="inlineStr">
        <is>
          <t>Grocery</t>
        </is>
      </c>
      <c r="E39" s="58" t="inlineStr">
        <is>
          <t>South</t>
        </is>
      </c>
      <c r="F39" s="61" t="n">
        <v>5</v>
      </c>
      <c r="G39" s="62" t="n">
        <v>27.11</v>
      </c>
      <c r="H39" s="63" t="n">
        <v>0.021</v>
      </c>
      <c r="I39" s="62" t="n">
        <v>17.49</v>
      </c>
      <c r="J39" s="58" t="inlineStr">
        <is>
          <t>Store</t>
        </is>
      </c>
      <c r="K39" s="62">
        <f>F39*(G39-H39)</f>
        <v/>
      </c>
      <c r="L39" s="62">
        <f>K39-(F39*I39)</f>
        <v/>
      </c>
      <c r="M39" s="64">
        <f>L39/K39</f>
        <v/>
      </c>
    </row>
    <row r="40">
      <c r="A40" s="58" t="inlineStr">
        <is>
          <t>RT20250101-00039</t>
        </is>
      </c>
      <c r="B40" s="59" t="inlineStr">
        <is>
          <t>2025-01-01</t>
        </is>
      </c>
      <c r="C40" s="60" t="inlineStr">
        <is>
          <t>Aurora Makeup Pro-489</t>
        </is>
      </c>
      <c r="D40" s="58" t="inlineStr">
        <is>
          <t>Beauty</t>
        </is>
      </c>
      <c r="E40" s="58" t="inlineStr">
        <is>
          <t>East</t>
        </is>
      </c>
      <c r="F40" s="61" t="n">
        <v>2</v>
      </c>
      <c r="G40" s="62" t="n">
        <v>105.28</v>
      </c>
      <c r="H40" s="63" t="n">
        <v>0.106</v>
      </c>
      <c r="I40" s="62" t="n">
        <v>65.31</v>
      </c>
      <c r="J40" s="58" t="inlineStr">
        <is>
          <t>Store</t>
        </is>
      </c>
      <c r="K40" s="62">
        <f>F40*(G40-H40)</f>
        <v/>
      </c>
      <c r="L40" s="62">
        <f>K40-(F40*I40)</f>
        <v/>
      </c>
      <c r="M40" s="64">
        <f>L40/K40</f>
        <v/>
      </c>
    </row>
    <row r="41">
      <c r="A41" s="58" t="inlineStr">
        <is>
          <t>RT20250101-00040</t>
        </is>
      </c>
      <c r="B41" s="59" t="inlineStr">
        <is>
          <t>2025-01-01</t>
        </is>
      </c>
      <c r="C41" s="60" t="inlineStr">
        <is>
          <t>Aurora Kid Plus-151</t>
        </is>
      </c>
      <c r="D41" s="58" t="inlineStr">
        <is>
          <t>Apparel</t>
        </is>
      </c>
      <c r="E41" s="58" t="inlineStr">
        <is>
          <t>West</t>
        </is>
      </c>
      <c r="F41" s="61" t="n">
        <v>2</v>
      </c>
      <c r="G41" s="62" t="n">
        <v>123.22</v>
      </c>
      <c r="H41" s="63" t="n">
        <v>0.062</v>
      </c>
      <c r="I41" s="62" t="n">
        <v>62.69</v>
      </c>
      <c r="J41" s="58" t="inlineStr">
        <is>
          <t>Online</t>
        </is>
      </c>
      <c r="K41" s="62">
        <f>F41*(G41-H41)</f>
        <v/>
      </c>
      <c r="L41" s="62">
        <f>K41-(F41*I41)</f>
        <v/>
      </c>
      <c r="M41" s="64">
        <f>L41/K41</f>
        <v/>
      </c>
    </row>
    <row r="42">
      <c r="A42" s="58" t="inlineStr">
        <is>
          <t>RT20250101-00041</t>
        </is>
      </c>
      <c r="B42" s="59" t="inlineStr">
        <is>
          <t>2025-01-01</t>
        </is>
      </c>
      <c r="C42" s="60" t="inlineStr">
        <is>
          <t>Vertex Fitnes Pro-830</t>
        </is>
      </c>
      <c r="D42" s="58" t="inlineStr">
        <is>
          <t>Sports</t>
        </is>
      </c>
      <c r="E42" s="58" t="inlineStr">
        <is>
          <t>North</t>
        </is>
      </c>
      <c r="F42" s="61" t="n">
        <v>1</v>
      </c>
      <c r="G42" s="62" t="n">
        <v>831.55</v>
      </c>
      <c r="H42" s="63" t="n">
        <v>0.054</v>
      </c>
      <c r="I42" s="62" t="n">
        <v>477.1</v>
      </c>
      <c r="J42" s="58" t="inlineStr">
        <is>
          <t>Online</t>
        </is>
      </c>
      <c r="K42" s="62">
        <f>F42*(G42-H42)</f>
        <v/>
      </c>
      <c r="L42" s="62">
        <f>K42-(F42*I42)</f>
        <v/>
      </c>
      <c r="M42" s="64">
        <f>L42/K42</f>
        <v/>
      </c>
    </row>
    <row r="43">
      <c r="A43" s="58" t="inlineStr">
        <is>
          <t>RT20250101-00042</t>
        </is>
      </c>
      <c r="B43" s="59" t="inlineStr">
        <is>
          <t>2025-01-01</t>
        </is>
      </c>
      <c r="C43" s="60" t="inlineStr">
        <is>
          <t>Polar Bedding Lite-243</t>
        </is>
      </c>
      <c r="D43" s="58" t="inlineStr">
        <is>
          <t>Home</t>
        </is>
      </c>
      <c r="E43" s="58" t="inlineStr">
        <is>
          <t>East</t>
        </is>
      </c>
      <c r="F43" s="61" t="n">
        <v>2</v>
      </c>
      <c r="G43" s="62" t="n">
        <v>461.05</v>
      </c>
      <c r="H43" s="63" t="n">
        <v>0.029</v>
      </c>
      <c r="I43" s="62" t="n">
        <v>312.69</v>
      </c>
      <c r="J43" s="58" t="inlineStr">
        <is>
          <t>Online</t>
        </is>
      </c>
      <c r="K43" s="62">
        <f>F43*(G43-H43)</f>
        <v/>
      </c>
      <c r="L43" s="62">
        <f>K43-(F43*I43)</f>
        <v/>
      </c>
      <c r="M43" s="64">
        <f>L43/K43</f>
        <v/>
      </c>
    </row>
    <row r="44">
      <c r="A44" s="58" t="inlineStr">
        <is>
          <t>RT20250101-00043</t>
        </is>
      </c>
      <c r="B44" s="59" t="inlineStr">
        <is>
          <t>2025-01-01</t>
        </is>
      </c>
      <c r="C44" s="60" t="inlineStr">
        <is>
          <t>Aurora Team Sport Plus-256</t>
        </is>
      </c>
      <c r="D44" s="58" t="inlineStr">
        <is>
          <t>Sports</t>
        </is>
      </c>
      <c r="E44" s="58" t="inlineStr">
        <is>
          <t>West</t>
        </is>
      </c>
      <c r="F44" s="61" t="n">
        <v>1</v>
      </c>
      <c r="G44" s="62" t="n">
        <v>656.5</v>
      </c>
      <c r="H44" s="63" t="n">
        <v>0.094</v>
      </c>
      <c r="I44" s="62" t="n">
        <v>415.08</v>
      </c>
      <c r="J44" s="58" t="inlineStr">
        <is>
          <t>Store</t>
        </is>
      </c>
      <c r="K44" s="62">
        <f>F44*(G44-H44)</f>
        <v/>
      </c>
      <c r="L44" s="62">
        <f>K44-(F44*I44)</f>
        <v/>
      </c>
      <c r="M44" s="64">
        <f>L44/K44</f>
        <v/>
      </c>
    </row>
    <row r="45">
      <c r="A45" s="58" t="inlineStr">
        <is>
          <t>RT20250101-00044</t>
        </is>
      </c>
      <c r="B45" s="59" t="inlineStr">
        <is>
          <t>2025-01-01</t>
        </is>
      </c>
      <c r="C45" s="60" t="inlineStr">
        <is>
          <t>Aurora Team Sport Plus-256</t>
        </is>
      </c>
      <c r="D45" s="58" t="inlineStr">
        <is>
          <t>Sports</t>
        </is>
      </c>
      <c r="E45" s="58" t="inlineStr">
        <is>
          <t>South</t>
        </is>
      </c>
      <c r="F45" s="61" t="n">
        <v>1</v>
      </c>
      <c r="G45" s="62" t="n">
        <v>641.89</v>
      </c>
      <c r="H45" s="63" t="n">
        <v>0.045</v>
      </c>
      <c r="I45" s="62" t="n">
        <v>423.52</v>
      </c>
      <c r="J45" s="58" t="inlineStr">
        <is>
          <t>Online</t>
        </is>
      </c>
      <c r="K45" s="62">
        <f>F45*(G45-H45)</f>
        <v/>
      </c>
      <c r="L45" s="62">
        <f>K45-(F45*I45)</f>
        <v/>
      </c>
      <c r="M45" s="64">
        <f>L45/K45</f>
        <v/>
      </c>
    </row>
    <row r="46">
      <c r="A46" s="58" t="inlineStr">
        <is>
          <t>RT20250101-00045</t>
        </is>
      </c>
      <c r="B46" s="59" t="inlineStr">
        <is>
          <t>2025-01-01</t>
        </is>
      </c>
      <c r="C46" s="60" t="inlineStr">
        <is>
          <t>Vertex Supplie Pro-786</t>
        </is>
      </c>
      <c r="D46" s="58" t="inlineStr">
        <is>
          <t>Office</t>
        </is>
      </c>
      <c r="E46" s="58" t="inlineStr">
        <is>
          <t>Central</t>
        </is>
      </c>
      <c r="F46" s="61" t="n">
        <v>2</v>
      </c>
      <c r="G46" s="62" t="n">
        <v>412.94</v>
      </c>
      <c r="H46" s="63" t="n">
        <v>0.041</v>
      </c>
      <c r="I46" s="62" t="n">
        <v>291.53</v>
      </c>
      <c r="J46" s="58" t="inlineStr">
        <is>
          <t>Online</t>
        </is>
      </c>
      <c r="K46" s="62">
        <f>F46*(G46-H46)</f>
        <v/>
      </c>
      <c r="L46" s="62">
        <f>K46-(F46*I46)</f>
        <v/>
      </c>
      <c r="M46" s="64">
        <f>L46/K46</f>
        <v/>
      </c>
    </row>
    <row r="47">
      <c r="A47" s="58" t="inlineStr">
        <is>
          <t>RT20250101-00046</t>
        </is>
      </c>
      <c r="B47" s="59" t="inlineStr">
        <is>
          <t>2025-01-01</t>
        </is>
      </c>
      <c r="C47" s="60" t="inlineStr">
        <is>
          <t>Aurora Furniture X-709</t>
        </is>
      </c>
      <c r="D47" s="58" t="inlineStr">
        <is>
          <t>Office</t>
        </is>
      </c>
      <c r="E47" s="58" t="inlineStr">
        <is>
          <t>South</t>
        </is>
      </c>
      <c r="F47" s="61" t="n">
        <v>3</v>
      </c>
      <c r="G47" s="62" t="n">
        <v>413.25</v>
      </c>
      <c r="H47" s="63" t="n">
        <v>0.07099999999999999</v>
      </c>
      <c r="I47" s="62" t="n">
        <v>301.94</v>
      </c>
      <c r="J47" s="58" t="inlineStr">
        <is>
          <t>Online</t>
        </is>
      </c>
      <c r="K47" s="62">
        <f>F47*(G47-H47)</f>
        <v/>
      </c>
      <c r="L47" s="62">
        <f>K47-(F47*I47)</f>
        <v/>
      </c>
      <c r="M47" s="64">
        <f>L47/K47</f>
        <v/>
      </c>
    </row>
    <row r="48">
      <c r="A48" s="58" t="inlineStr">
        <is>
          <t>RT20250101-00047</t>
        </is>
      </c>
      <c r="B48" s="59" t="inlineStr">
        <is>
          <t>2025-01-01</t>
        </is>
      </c>
      <c r="C48" s="60" t="inlineStr">
        <is>
          <t>Polar Decor Plus-505</t>
        </is>
      </c>
      <c r="D48" s="58" t="inlineStr">
        <is>
          <t>Home</t>
        </is>
      </c>
      <c r="E48" s="58" t="inlineStr">
        <is>
          <t>South</t>
        </is>
      </c>
      <c r="F48" s="61" t="n">
        <v>2</v>
      </c>
      <c r="G48" s="62" t="n">
        <v>299.13</v>
      </c>
      <c r="H48" s="63" t="n">
        <v>0.11</v>
      </c>
      <c r="I48" s="62" t="n">
        <v>198.4</v>
      </c>
      <c r="J48" s="58" t="inlineStr">
        <is>
          <t>Online</t>
        </is>
      </c>
      <c r="K48" s="62">
        <f>F48*(G48-H48)</f>
        <v/>
      </c>
      <c r="L48" s="62">
        <f>K48-(F48*I48)</f>
        <v/>
      </c>
      <c r="M48" s="64">
        <f>L48/K48</f>
        <v/>
      </c>
    </row>
    <row r="49">
      <c r="A49" s="58" t="inlineStr">
        <is>
          <t>RT20250101-00048</t>
        </is>
      </c>
      <c r="B49" s="59" t="inlineStr">
        <is>
          <t>2025-01-01</t>
        </is>
      </c>
      <c r="C49" s="60" t="inlineStr">
        <is>
          <t>Falcon Team Sport Lite-268</t>
        </is>
      </c>
      <c r="D49" s="58" t="inlineStr">
        <is>
          <t>Sports</t>
        </is>
      </c>
      <c r="E49" s="58" t="inlineStr">
        <is>
          <t>South</t>
        </is>
      </c>
      <c r="F49" s="61" t="n">
        <v>2</v>
      </c>
      <c r="G49" s="62" t="n">
        <v>558.48</v>
      </c>
      <c r="H49" s="63" t="n">
        <v>0.075</v>
      </c>
      <c r="I49" s="62" t="n">
        <v>424.6</v>
      </c>
      <c r="J49" s="58" t="inlineStr">
        <is>
          <t>Online</t>
        </is>
      </c>
      <c r="K49" s="62">
        <f>F49*(G49-H49)</f>
        <v/>
      </c>
      <c r="L49" s="62">
        <f>K49-(F49*I49)</f>
        <v/>
      </c>
      <c r="M49" s="64">
        <f>L49/K49</f>
        <v/>
      </c>
    </row>
    <row r="50">
      <c r="A50" s="58" t="inlineStr">
        <is>
          <t>RT20250102-00049</t>
        </is>
      </c>
      <c r="B50" s="59" t="inlineStr">
        <is>
          <t>2025-01-02</t>
        </is>
      </c>
      <c r="C50" s="60" t="inlineStr">
        <is>
          <t>Falcon Accessorie S-195</t>
        </is>
      </c>
      <c r="D50" s="58" t="inlineStr">
        <is>
          <t>Apparel</t>
        </is>
      </c>
      <c r="E50" s="58" t="inlineStr">
        <is>
          <t>East</t>
        </is>
      </c>
      <c r="F50" s="61" t="n">
        <v>1</v>
      </c>
      <c r="G50" s="62" t="n">
        <v>78.87</v>
      </c>
      <c r="H50" s="63" t="n">
        <v>0.027</v>
      </c>
      <c r="I50" s="62" t="n">
        <v>42</v>
      </c>
      <c r="J50" s="58" t="inlineStr">
        <is>
          <t>Online</t>
        </is>
      </c>
      <c r="K50" s="62">
        <f>F50*(G50-H50)</f>
        <v/>
      </c>
      <c r="L50" s="62">
        <f>K50-(F50*I50)</f>
        <v/>
      </c>
      <c r="M50" s="64">
        <f>L50/K50</f>
        <v/>
      </c>
    </row>
    <row r="51">
      <c r="A51" s="58" t="inlineStr">
        <is>
          <t>RT20250102-00050</t>
        </is>
      </c>
      <c r="B51" s="59" t="inlineStr">
        <is>
          <t>2025-01-02</t>
        </is>
      </c>
      <c r="C51" s="60" t="inlineStr">
        <is>
          <t>Falcon Team Sport Lite-268</t>
        </is>
      </c>
      <c r="D51" s="58" t="inlineStr">
        <is>
          <t>Sports</t>
        </is>
      </c>
      <c r="E51" s="58" t="inlineStr">
        <is>
          <t>West</t>
        </is>
      </c>
      <c r="F51" s="61" t="n">
        <v>1</v>
      </c>
      <c r="G51" s="62" t="n">
        <v>700.29</v>
      </c>
      <c r="H51" s="63" t="n">
        <v>0</v>
      </c>
      <c r="I51" s="62" t="n">
        <v>434.36</v>
      </c>
      <c r="J51" s="58" t="inlineStr">
        <is>
          <t>Store</t>
        </is>
      </c>
      <c r="K51" s="62">
        <f>F51*(G51-H51)</f>
        <v/>
      </c>
      <c r="L51" s="62">
        <f>K51-(F51*I51)</f>
        <v/>
      </c>
      <c r="M51" s="64">
        <f>L51/K51</f>
        <v/>
      </c>
    </row>
    <row r="52">
      <c r="A52" s="58" t="inlineStr">
        <is>
          <t>RT20250102-00051</t>
        </is>
      </c>
      <c r="B52" s="59" t="inlineStr">
        <is>
          <t>2025-01-02</t>
        </is>
      </c>
      <c r="C52" s="60" t="inlineStr">
        <is>
          <t>Solace Kitchen X-919</t>
        </is>
      </c>
      <c r="D52" s="58" t="inlineStr">
        <is>
          <t>Home</t>
        </is>
      </c>
      <c r="E52" s="58" t="inlineStr">
        <is>
          <t>West</t>
        </is>
      </c>
      <c r="F52" s="61" t="n">
        <v>2</v>
      </c>
      <c r="G52" s="62" t="n">
        <v>376.83</v>
      </c>
      <c r="H52" s="63" t="n">
        <v>0.051</v>
      </c>
      <c r="I52" s="62" t="n">
        <v>268.69</v>
      </c>
      <c r="J52" s="58" t="inlineStr">
        <is>
          <t>Store</t>
        </is>
      </c>
      <c r="K52" s="62">
        <f>F52*(G52-H52)</f>
        <v/>
      </c>
      <c r="L52" s="62">
        <f>K52-(F52*I52)</f>
        <v/>
      </c>
      <c r="M52" s="64">
        <f>L52/K52</f>
        <v/>
      </c>
    </row>
    <row r="53">
      <c r="A53" s="58" t="inlineStr">
        <is>
          <t>RT20250102-00052</t>
        </is>
      </c>
      <c r="B53" s="59" t="inlineStr">
        <is>
          <t>2025-01-02</t>
        </is>
      </c>
      <c r="C53" s="60" t="inlineStr">
        <is>
          <t>Solace Kitchen Pro-999</t>
        </is>
      </c>
      <c r="D53" s="58" t="inlineStr">
        <is>
          <t>Home</t>
        </is>
      </c>
      <c r="E53" s="58" t="inlineStr">
        <is>
          <t>Central</t>
        </is>
      </c>
      <c r="F53" s="61" t="n">
        <v>1</v>
      </c>
      <c r="G53" s="62" t="n">
        <v>372.64</v>
      </c>
      <c r="H53" s="63" t="n">
        <v>0.09</v>
      </c>
      <c r="I53" s="62" t="n">
        <v>259.23</v>
      </c>
      <c r="J53" s="58" t="inlineStr">
        <is>
          <t>Online</t>
        </is>
      </c>
      <c r="K53" s="62">
        <f>F53*(G53-H53)</f>
        <v/>
      </c>
      <c r="L53" s="62">
        <f>K53-(F53*I53)</f>
        <v/>
      </c>
      <c r="M53" s="64">
        <f>L53/K53</f>
        <v/>
      </c>
    </row>
    <row r="54">
      <c r="A54" s="58" t="inlineStr">
        <is>
          <t>RT20250102-00053</t>
        </is>
      </c>
      <c r="B54" s="59" t="inlineStr">
        <is>
          <t>2025-01-02</t>
        </is>
      </c>
      <c r="C54" s="60" t="inlineStr">
        <is>
          <t>Aurora Kid Plus-151</t>
        </is>
      </c>
      <c r="D54" s="58" t="inlineStr">
        <is>
          <t>Apparel</t>
        </is>
      </c>
      <c r="E54" s="58" t="inlineStr">
        <is>
          <t>Central</t>
        </is>
      </c>
      <c r="F54" s="61" t="n">
        <v>4</v>
      </c>
      <c r="G54" s="62" t="n">
        <v>101.79</v>
      </c>
      <c r="H54" s="63" t="n">
        <v>0</v>
      </c>
      <c r="I54" s="62" t="n">
        <v>66.25</v>
      </c>
      <c r="J54" s="58" t="inlineStr">
        <is>
          <t>Online</t>
        </is>
      </c>
      <c r="K54" s="62">
        <f>F54*(G54-H54)</f>
        <v/>
      </c>
      <c r="L54" s="62">
        <f>K54-(F54*I54)</f>
        <v/>
      </c>
      <c r="M54" s="64">
        <f>L54/K54</f>
        <v/>
      </c>
    </row>
    <row r="55">
      <c r="A55" s="58" t="inlineStr">
        <is>
          <t>RT20250102-00054</t>
        </is>
      </c>
      <c r="B55" s="59" t="inlineStr">
        <is>
          <t>2025-01-02</t>
        </is>
      </c>
      <c r="C55" s="60" t="inlineStr">
        <is>
          <t>Vertex Fitnes Pro-830</t>
        </is>
      </c>
      <c r="D55" s="58" t="inlineStr">
        <is>
          <t>Sports</t>
        </is>
      </c>
      <c r="E55" s="58" t="inlineStr">
        <is>
          <t>North</t>
        </is>
      </c>
      <c r="F55" s="61" t="n">
        <v>3</v>
      </c>
      <c r="G55" s="62" t="n">
        <v>769.27</v>
      </c>
      <c r="H55" s="63" t="n">
        <v>0.124</v>
      </c>
      <c r="I55" s="62" t="n">
        <v>487.94</v>
      </c>
      <c r="J55" s="58" t="inlineStr">
        <is>
          <t>Online</t>
        </is>
      </c>
      <c r="K55" s="62">
        <f>F55*(G55-H55)</f>
        <v/>
      </c>
      <c r="L55" s="62">
        <f>K55-(F55*I55)</f>
        <v/>
      </c>
      <c r="M55" s="64">
        <f>L55/K55</f>
        <v/>
      </c>
    </row>
    <row r="56">
      <c r="A56" s="58" t="inlineStr">
        <is>
          <t>RT20250102-00055</t>
        </is>
      </c>
      <c r="B56" s="59" t="inlineStr">
        <is>
          <t>2025-01-02</t>
        </is>
      </c>
      <c r="C56" s="60" t="inlineStr">
        <is>
          <t>Falcon Furniture Plus-839</t>
        </is>
      </c>
      <c r="D56" s="58" t="inlineStr">
        <is>
          <t>Office</t>
        </is>
      </c>
      <c r="E56" s="58" t="inlineStr">
        <is>
          <t>South</t>
        </is>
      </c>
      <c r="F56" s="61" t="n">
        <v>3</v>
      </c>
      <c r="G56" s="62" t="n">
        <v>307.25</v>
      </c>
      <c r="H56" s="63" t="n">
        <v>0.067</v>
      </c>
      <c r="I56" s="62" t="n">
        <v>222.64</v>
      </c>
      <c r="J56" s="58" t="inlineStr">
        <is>
          <t>Online</t>
        </is>
      </c>
      <c r="K56" s="62">
        <f>F56*(G56-H56)</f>
        <v/>
      </c>
      <c r="L56" s="62">
        <f>K56-(F56*I56)</f>
        <v/>
      </c>
      <c r="M56" s="64">
        <f>L56/K56</f>
        <v/>
      </c>
    </row>
    <row r="57">
      <c r="A57" s="58" t="inlineStr">
        <is>
          <t>RT20250102-00056</t>
        </is>
      </c>
      <c r="B57" s="59" t="inlineStr">
        <is>
          <t>2025-01-02</t>
        </is>
      </c>
      <c r="C57" s="60" t="inlineStr">
        <is>
          <t>Nimbus Laptop Max-652</t>
        </is>
      </c>
      <c r="D57" s="58" t="inlineStr">
        <is>
          <t>Electronics</t>
        </is>
      </c>
      <c r="E57" s="58" t="inlineStr">
        <is>
          <t>North</t>
        </is>
      </c>
      <c r="F57" s="61" t="n">
        <v>1</v>
      </c>
      <c r="G57" s="62" t="n">
        <v>1390.93</v>
      </c>
      <c r="H57" s="63" t="n">
        <v>0.11</v>
      </c>
      <c r="I57" s="62" t="n">
        <v>1029.5</v>
      </c>
      <c r="J57" s="58" t="inlineStr">
        <is>
          <t>Store</t>
        </is>
      </c>
      <c r="K57" s="62">
        <f>F57*(G57-H57)</f>
        <v/>
      </c>
      <c r="L57" s="62">
        <f>K57-(F57*I57)</f>
        <v/>
      </c>
      <c r="M57" s="64">
        <f>L57/K57</f>
        <v/>
      </c>
    </row>
    <row r="58">
      <c r="A58" s="58" t="inlineStr">
        <is>
          <t>RT20250102-00057</t>
        </is>
      </c>
      <c r="B58" s="59" t="inlineStr">
        <is>
          <t>2025-01-02</t>
        </is>
      </c>
      <c r="C58" s="60" t="inlineStr">
        <is>
          <t>Vertex Printer Max-692</t>
        </is>
      </c>
      <c r="D58" s="58" t="inlineStr">
        <is>
          <t>Office</t>
        </is>
      </c>
      <c r="E58" s="58" t="inlineStr">
        <is>
          <t>Central</t>
        </is>
      </c>
      <c r="F58" s="61" t="n">
        <v>1</v>
      </c>
      <c r="G58" s="62" t="n">
        <v>177.45</v>
      </c>
      <c r="H58" s="63" t="n">
        <v>0.101</v>
      </c>
      <c r="I58" s="62" t="n">
        <v>125.93</v>
      </c>
      <c r="J58" s="58" t="inlineStr">
        <is>
          <t>Online</t>
        </is>
      </c>
      <c r="K58" s="62">
        <f>F58*(G58-H58)</f>
        <v/>
      </c>
      <c r="L58" s="62">
        <f>K58-(F58*I58)</f>
        <v/>
      </c>
      <c r="M58" s="64">
        <f>L58/K58</f>
        <v/>
      </c>
    </row>
    <row r="59">
      <c r="A59" s="58" t="inlineStr">
        <is>
          <t>RT20250102-00058</t>
        </is>
      </c>
      <c r="B59" s="59" t="inlineStr">
        <is>
          <t>2025-01-02</t>
        </is>
      </c>
      <c r="C59" s="60" t="inlineStr">
        <is>
          <t>Falcon Bedding S-674</t>
        </is>
      </c>
      <c r="D59" s="58" t="inlineStr">
        <is>
          <t>Home</t>
        </is>
      </c>
      <c r="E59" s="58" t="inlineStr">
        <is>
          <t>East</t>
        </is>
      </c>
      <c r="F59" s="61" t="n">
        <v>2</v>
      </c>
      <c r="G59" s="62" t="n">
        <v>658.73</v>
      </c>
      <c r="H59" s="63" t="n">
        <v>0.066</v>
      </c>
      <c r="I59" s="62" t="n">
        <v>444.05</v>
      </c>
      <c r="J59" s="58" t="inlineStr">
        <is>
          <t>Store</t>
        </is>
      </c>
      <c r="K59" s="62">
        <f>F59*(G59-H59)</f>
        <v/>
      </c>
      <c r="L59" s="62">
        <f>K59-(F59*I59)</f>
        <v/>
      </c>
      <c r="M59" s="64">
        <f>L59/K59</f>
        <v/>
      </c>
    </row>
    <row r="60">
      <c r="A60" s="58" t="inlineStr">
        <is>
          <t>RT20250102-00059</t>
        </is>
      </c>
      <c r="B60" s="59" t="inlineStr">
        <is>
          <t>2025-01-02</t>
        </is>
      </c>
      <c r="C60" s="60" t="inlineStr">
        <is>
          <t>Polar Women S-662</t>
        </is>
      </c>
      <c r="D60" s="58" t="inlineStr">
        <is>
          <t>Apparel</t>
        </is>
      </c>
      <c r="E60" s="58" t="inlineStr">
        <is>
          <t>West</t>
        </is>
      </c>
      <c r="F60" s="61" t="n">
        <v>1</v>
      </c>
      <c r="G60" s="62" t="n">
        <v>154.58</v>
      </c>
      <c r="H60" s="63" t="n">
        <v>0.062</v>
      </c>
      <c r="I60" s="62" t="n">
        <v>99</v>
      </c>
      <c r="J60" s="58" t="inlineStr">
        <is>
          <t>Online</t>
        </is>
      </c>
      <c r="K60" s="62">
        <f>F60*(G60-H60)</f>
        <v/>
      </c>
      <c r="L60" s="62">
        <f>K60-(F60*I60)</f>
        <v/>
      </c>
      <c r="M60" s="64">
        <f>L60/K60</f>
        <v/>
      </c>
    </row>
    <row r="61">
      <c r="A61" s="58" t="inlineStr">
        <is>
          <t>RT20250102-00060</t>
        </is>
      </c>
      <c r="B61" s="59" t="inlineStr">
        <is>
          <t>2025-01-02</t>
        </is>
      </c>
      <c r="C61" s="60" t="inlineStr">
        <is>
          <t>Aurora Furniture X-709</t>
        </is>
      </c>
      <c r="D61" s="58" t="inlineStr">
        <is>
          <t>Office</t>
        </is>
      </c>
      <c r="E61" s="58" t="inlineStr">
        <is>
          <t>South</t>
        </is>
      </c>
      <c r="F61" s="61" t="n">
        <v>1</v>
      </c>
      <c r="G61" s="62" t="n">
        <v>431.71</v>
      </c>
      <c r="H61" s="63" t="n">
        <v>0.074</v>
      </c>
      <c r="I61" s="62" t="n">
        <v>300.14</v>
      </c>
      <c r="J61" s="58" t="inlineStr">
        <is>
          <t>Store</t>
        </is>
      </c>
      <c r="K61" s="62">
        <f>F61*(G61-H61)</f>
        <v/>
      </c>
      <c r="L61" s="62">
        <f>K61-(F61*I61)</f>
        <v/>
      </c>
      <c r="M61" s="64">
        <f>L61/K61</f>
        <v/>
      </c>
    </row>
    <row r="62">
      <c r="A62" s="58" t="inlineStr">
        <is>
          <t>RT20250102-00061</t>
        </is>
      </c>
      <c r="B62" s="59" t="inlineStr">
        <is>
          <t>2025-01-02</t>
        </is>
      </c>
      <c r="C62" s="60" t="inlineStr">
        <is>
          <t>Metro Pantry X-710</t>
        </is>
      </c>
      <c r="D62" s="58" t="inlineStr">
        <is>
          <t>Grocery</t>
        </is>
      </c>
      <c r="E62" s="58" t="inlineStr">
        <is>
          <t>West</t>
        </is>
      </c>
      <c r="F62" s="61" t="n">
        <v>4</v>
      </c>
      <c r="G62" s="62" t="n">
        <v>6.09</v>
      </c>
      <c r="H62" s="63" t="n">
        <v>0.031</v>
      </c>
      <c r="I62" s="62" t="n">
        <v>4.21</v>
      </c>
      <c r="J62" s="58" t="inlineStr">
        <is>
          <t>Online</t>
        </is>
      </c>
      <c r="K62" s="62">
        <f>F62*(G62-H62)</f>
        <v/>
      </c>
      <c r="L62" s="62">
        <f>K62-(F62*I62)</f>
        <v/>
      </c>
      <c r="M62" s="64">
        <f>L62/K62</f>
        <v/>
      </c>
    </row>
    <row r="63">
      <c r="A63" s="58" t="inlineStr">
        <is>
          <t>RT20250102-00062</t>
        </is>
      </c>
      <c r="B63" s="59" t="inlineStr">
        <is>
          <t>2025-01-02</t>
        </is>
      </c>
      <c r="C63" s="60" t="inlineStr">
        <is>
          <t>Aurora Fragrance S-971</t>
        </is>
      </c>
      <c r="D63" s="58" t="inlineStr">
        <is>
          <t>Beauty</t>
        </is>
      </c>
      <c r="E63" s="58" t="inlineStr">
        <is>
          <t>West</t>
        </is>
      </c>
      <c r="F63" s="61" t="n">
        <v>3</v>
      </c>
      <c r="G63" s="62" t="n">
        <v>99</v>
      </c>
      <c r="H63" s="63" t="n">
        <v>0.025</v>
      </c>
      <c r="I63" s="62" t="n">
        <v>65.59999999999999</v>
      </c>
      <c r="J63" s="58" t="inlineStr">
        <is>
          <t>Online</t>
        </is>
      </c>
      <c r="K63" s="62">
        <f>F63*(G63-H63)</f>
        <v/>
      </c>
      <c r="L63" s="62">
        <f>K63-(F63*I63)</f>
        <v/>
      </c>
      <c r="M63" s="64">
        <f>L63/K63</f>
        <v/>
      </c>
    </row>
    <row r="64">
      <c r="A64" s="58" t="inlineStr">
        <is>
          <t>RT20250102-00063</t>
        </is>
      </c>
      <c r="B64" s="59" t="inlineStr">
        <is>
          <t>2025-01-02</t>
        </is>
      </c>
      <c r="C64" s="60" t="inlineStr">
        <is>
          <t>Metro Pantry X-710</t>
        </is>
      </c>
      <c r="D64" s="58" t="inlineStr">
        <is>
          <t>Grocery</t>
        </is>
      </c>
      <c r="E64" s="58" t="inlineStr">
        <is>
          <t>West</t>
        </is>
      </c>
      <c r="F64" s="61" t="n">
        <v>5</v>
      </c>
      <c r="G64" s="62" t="n">
        <v>6.14</v>
      </c>
      <c r="H64" s="63" t="n">
        <v>0.003</v>
      </c>
      <c r="I64" s="62" t="n">
        <v>4.15</v>
      </c>
      <c r="J64" s="58" t="inlineStr">
        <is>
          <t>Online</t>
        </is>
      </c>
      <c r="K64" s="62">
        <f>F64*(G64-H64)</f>
        <v/>
      </c>
      <c r="L64" s="62">
        <f>K64-(F64*I64)</f>
        <v/>
      </c>
      <c r="M64" s="64">
        <f>L64/K64</f>
        <v/>
      </c>
    </row>
    <row r="65">
      <c r="A65" s="58" t="inlineStr">
        <is>
          <t>RT20250102-00064</t>
        </is>
      </c>
      <c r="B65" s="59" t="inlineStr">
        <is>
          <t>2025-01-02</t>
        </is>
      </c>
      <c r="C65" s="60" t="inlineStr">
        <is>
          <t>Polar Cycling S-223</t>
        </is>
      </c>
      <c r="D65" s="58" t="inlineStr">
        <is>
          <t>Sports</t>
        </is>
      </c>
      <c r="E65" s="58" t="inlineStr">
        <is>
          <t>West</t>
        </is>
      </c>
      <c r="F65" s="61" t="n">
        <v>1</v>
      </c>
      <c r="G65" s="62" t="n">
        <v>999.77</v>
      </c>
      <c r="H65" s="63" t="n">
        <v>0.082</v>
      </c>
      <c r="I65" s="62" t="n">
        <v>622.23</v>
      </c>
      <c r="J65" s="58" t="inlineStr">
        <is>
          <t>Phone</t>
        </is>
      </c>
      <c r="K65" s="62">
        <f>F65*(G65-H65)</f>
        <v/>
      </c>
      <c r="L65" s="62">
        <f>K65-(F65*I65)</f>
        <v/>
      </c>
      <c r="M65" s="64">
        <f>L65/K65</f>
        <v/>
      </c>
    </row>
    <row r="66">
      <c r="A66" s="58" t="inlineStr">
        <is>
          <t>RT20250102-00065</t>
        </is>
      </c>
      <c r="B66" s="59" t="inlineStr">
        <is>
          <t>2025-01-02</t>
        </is>
      </c>
      <c r="C66" s="60" t="inlineStr">
        <is>
          <t>Nimbus Decor Lite-385</t>
        </is>
      </c>
      <c r="D66" s="58" t="inlineStr">
        <is>
          <t>Home</t>
        </is>
      </c>
      <c r="E66" s="58" t="inlineStr">
        <is>
          <t>Central</t>
        </is>
      </c>
      <c r="F66" s="61" t="n">
        <v>2</v>
      </c>
      <c r="G66" s="62" t="n">
        <v>573.6</v>
      </c>
      <c r="H66" s="63" t="n">
        <v>0</v>
      </c>
      <c r="I66" s="62" t="n">
        <v>407.13</v>
      </c>
      <c r="J66" s="58" t="inlineStr">
        <is>
          <t>Store</t>
        </is>
      </c>
      <c r="K66" s="62">
        <f>F66*(G66-H66)</f>
        <v/>
      </c>
      <c r="L66" s="62">
        <f>K66-(F66*I66)</f>
        <v/>
      </c>
      <c r="M66" s="64">
        <f>L66/K66</f>
        <v/>
      </c>
    </row>
    <row r="67">
      <c r="A67" s="58" t="inlineStr">
        <is>
          <t>RT20250102-00066</t>
        </is>
      </c>
      <c r="B67" s="59" t="inlineStr">
        <is>
          <t>2025-01-02</t>
        </is>
      </c>
      <c r="C67" s="60" t="inlineStr">
        <is>
          <t>Solace Kitchen Pro-510</t>
        </is>
      </c>
      <c r="D67" s="58" t="inlineStr">
        <is>
          <t>Home</t>
        </is>
      </c>
      <c r="E67" s="58" t="inlineStr">
        <is>
          <t>Central</t>
        </is>
      </c>
      <c r="F67" s="61" t="n">
        <v>2</v>
      </c>
      <c r="G67" s="62" t="n">
        <v>487.78</v>
      </c>
      <c r="H67" s="63" t="n">
        <v>0.051</v>
      </c>
      <c r="I67" s="62" t="n">
        <v>299.84</v>
      </c>
      <c r="J67" s="58" t="inlineStr">
        <is>
          <t>Online</t>
        </is>
      </c>
      <c r="K67" s="62">
        <f>F67*(G67-H67)</f>
        <v/>
      </c>
      <c r="L67" s="62">
        <f>K67-(F67*I67)</f>
        <v/>
      </c>
      <c r="M67" s="64">
        <f>L67/K67</f>
        <v/>
      </c>
    </row>
    <row r="68">
      <c r="A68" s="58" t="inlineStr">
        <is>
          <t>RT20250102-00067</t>
        </is>
      </c>
      <c r="B68" s="59" t="inlineStr">
        <is>
          <t>2025-01-02</t>
        </is>
      </c>
      <c r="C68" s="60" t="inlineStr">
        <is>
          <t>Metro Pantry X-710</t>
        </is>
      </c>
      <c r="D68" s="58" t="inlineStr">
        <is>
          <t>Grocery</t>
        </is>
      </c>
      <c r="E68" s="58" t="inlineStr">
        <is>
          <t>Central</t>
        </is>
      </c>
      <c r="F68" s="61" t="n">
        <v>5</v>
      </c>
      <c r="G68" s="62" t="n">
        <v>5.46</v>
      </c>
      <c r="H68" s="63" t="n">
        <v>0.057</v>
      </c>
      <c r="I68" s="62" t="n">
        <v>4.11</v>
      </c>
      <c r="J68" s="58" t="inlineStr">
        <is>
          <t>Online</t>
        </is>
      </c>
      <c r="K68" s="62">
        <f>F68*(G68-H68)</f>
        <v/>
      </c>
      <c r="L68" s="62">
        <f>K68-(F68*I68)</f>
        <v/>
      </c>
      <c r="M68" s="64">
        <f>L68/K68</f>
        <v/>
      </c>
    </row>
    <row r="69">
      <c r="A69" s="58" t="inlineStr">
        <is>
          <t>RT20250102-00068</t>
        </is>
      </c>
      <c r="B69" s="59" t="inlineStr">
        <is>
          <t>2025-01-02</t>
        </is>
      </c>
      <c r="C69" s="60" t="inlineStr">
        <is>
          <t>Polar Pantry Lite-392</t>
        </is>
      </c>
      <c r="D69" s="58" t="inlineStr">
        <is>
          <t>Grocery</t>
        </is>
      </c>
      <c r="E69" s="58" t="inlineStr">
        <is>
          <t>West</t>
        </is>
      </c>
      <c r="F69" s="61" t="n">
        <v>4</v>
      </c>
      <c r="G69" s="62" t="n">
        <v>6.2</v>
      </c>
      <c r="H69" s="63" t="n">
        <v>0.062</v>
      </c>
      <c r="I69" s="62" t="n">
        <v>4.52</v>
      </c>
      <c r="J69" s="58" t="inlineStr">
        <is>
          <t>Online</t>
        </is>
      </c>
      <c r="K69" s="62">
        <f>F69*(G69-H69)</f>
        <v/>
      </c>
      <c r="L69" s="62">
        <f>K69-(F69*I69)</f>
        <v/>
      </c>
      <c r="M69" s="64">
        <f>L69/K69</f>
        <v/>
      </c>
    </row>
    <row r="70">
      <c r="A70" s="58" t="inlineStr">
        <is>
          <t>RT20250102-00069</t>
        </is>
      </c>
      <c r="B70" s="59" t="inlineStr">
        <is>
          <t>2025-01-02</t>
        </is>
      </c>
      <c r="C70" s="60" t="inlineStr">
        <is>
          <t>Falcon Skincare Max-151</t>
        </is>
      </c>
      <c r="D70" s="58" t="inlineStr">
        <is>
          <t>Beauty</t>
        </is>
      </c>
      <c r="E70" s="58" t="inlineStr">
        <is>
          <t>Central</t>
        </is>
      </c>
      <c r="F70" s="61" t="n">
        <v>1</v>
      </c>
      <c r="G70" s="62" t="n">
        <v>96.31</v>
      </c>
      <c r="H70" s="63" t="n">
        <v>0.116</v>
      </c>
      <c r="I70" s="62" t="n">
        <v>58.86</v>
      </c>
      <c r="J70" s="58" t="inlineStr">
        <is>
          <t>Store</t>
        </is>
      </c>
      <c r="K70" s="62">
        <f>F70*(G70-H70)</f>
        <v/>
      </c>
      <c r="L70" s="62">
        <f>K70-(F70*I70)</f>
        <v/>
      </c>
      <c r="M70" s="64">
        <f>L70/K70</f>
        <v/>
      </c>
    </row>
    <row r="71">
      <c r="A71" s="58" t="inlineStr">
        <is>
          <t>RT20250102-00070</t>
        </is>
      </c>
      <c r="B71" s="59" t="inlineStr">
        <is>
          <t>2025-01-02</t>
        </is>
      </c>
      <c r="C71" s="60" t="inlineStr">
        <is>
          <t>Aurora Appliance Lite-109</t>
        </is>
      </c>
      <c r="D71" s="58" t="inlineStr">
        <is>
          <t>Home</t>
        </is>
      </c>
      <c r="E71" s="58" t="inlineStr">
        <is>
          <t>West</t>
        </is>
      </c>
      <c r="F71" s="61" t="n">
        <v>3</v>
      </c>
      <c r="G71" s="62" t="n">
        <v>291.68</v>
      </c>
      <c r="H71" s="63" t="n">
        <v>0.089</v>
      </c>
      <c r="I71" s="62" t="n">
        <v>202.57</v>
      </c>
      <c r="J71" s="58" t="inlineStr">
        <is>
          <t>Online</t>
        </is>
      </c>
      <c r="K71" s="62">
        <f>F71*(G71-H71)</f>
        <v/>
      </c>
      <c r="L71" s="62">
        <f>K71-(F71*I71)</f>
        <v/>
      </c>
      <c r="M71" s="64">
        <f>L71/K71</f>
        <v/>
      </c>
    </row>
    <row r="72">
      <c r="A72" s="58" t="inlineStr">
        <is>
          <t>RT20250102-00071</t>
        </is>
      </c>
      <c r="B72" s="59" t="inlineStr">
        <is>
          <t>2025-01-02</t>
        </is>
      </c>
      <c r="C72" s="60" t="inlineStr">
        <is>
          <t>Metro Decor Lite-325</t>
        </is>
      </c>
      <c r="D72" s="58" t="inlineStr">
        <is>
          <t>Home</t>
        </is>
      </c>
      <c r="E72" s="58" t="inlineStr">
        <is>
          <t>East</t>
        </is>
      </c>
      <c r="F72" s="61" t="n">
        <v>2</v>
      </c>
      <c r="G72" s="62" t="n">
        <v>540.3</v>
      </c>
      <c r="H72" s="63" t="n">
        <v>0.019</v>
      </c>
      <c r="I72" s="62" t="n">
        <v>382.45</v>
      </c>
      <c r="J72" s="58" t="inlineStr">
        <is>
          <t>Online</t>
        </is>
      </c>
      <c r="K72" s="62">
        <f>F72*(G72-H72)</f>
        <v/>
      </c>
      <c r="L72" s="62">
        <f>K72-(F72*I72)</f>
        <v/>
      </c>
      <c r="M72" s="64">
        <f>L72/K72</f>
        <v/>
      </c>
    </row>
    <row r="73">
      <c r="A73" s="58" t="inlineStr">
        <is>
          <t>RT20250103-00072</t>
        </is>
      </c>
      <c r="B73" s="59" t="inlineStr">
        <is>
          <t>2025-01-03</t>
        </is>
      </c>
      <c r="C73" s="60" t="inlineStr">
        <is>
          <t>Solace Fitnes S-324</t>
        </is>
      </c>
      <c r="D73" s="58" t="inlineStr">
        <is>
          <t>Sports</t>
        </is>
      </c>
      <c r="E73" s="58" t="inlineStr">
        <is>
          <t>North</t>
        </is>
      </c>
      <c r="F73" s="61" t="n">
        <v>3</v>
      </c>
      <c r="G73" s="62" t="n">
        <v>791.66</v>
      </c>
      <c r="H73" s="63" t="n">
        <v>0.07000000000000001</v>
      </c>
      <c r="I73" s="62" t="n">
        <v>533.58</v>
      </c>
      <c r="J73" s="58" t="inlineStr">
        <is>
          <t>Online</t>
        </is>
      </c>
      <c r="K73" s="62">
        <f>F73*(G73-H73)</f>
        <v/>
      </c>
      <c r="L73" s="62">
        <f>K73-(F73*I73)</f>
        <v/>
      </c>
      <c r="M73" s="64">
        <f>L73/K73</f>
        <v/>
      </c>
    </row>
    <row r="74">
      <c r="A74" s="58" t="inlineStr">
        <is>
          <t>RT20250103-00073</t>
        </is>
      </c>
      <c r="B74" s="59" t="inlineStr">
        <is>
          <t>2025-01-03</t>
        </is>
      </c>
      <c r="C74" s="60" t="inlineStr">
        <is>
          <t>Aurora Storage Lite-774</t>
        </is>
      </c>
      <c r="D74" s="58" t="inlineStr">
        <is>
          <t>Office</t>
        </is>
      </c>
      <c r="E74" s="58" t="inlineStr">
        <is>
          <t>East</t>
        </is>
      </c>
      <c r="F74" s="61" t="n">
        <v>1</v>
      </c>
      <c r="G74" s="62" t="n">
        <v>378.15</v>
      </c>
      <c r="H74" s="63" t="n">
        <v>0.033</v>
      </c>
      <c r="I74" s="62" t="n">
        <v>236</v>
      </c>
      <c r="J74" s="58" t="inlineStr">
        <is>
          <t>Online</t>
        </is>
      </c>
      <c r="K74" s="62">
        <f>F74*(G74-H74)</f>
        <v/>
      </c>
      <c r="L74" s="62">
        <f>K74-(F74*I74)</f>
        <v/>
      </c>
      <c r="M74" s="64">
        <f>L74/K74</f>
        <v/>
      </c>
    </row>
    <row r="75">
      <c r="A75" s="58" t="inlineStr">
        <is>
          <t>RT20250103-00074</t>
        </is>
      </c>
      <c r="B75" s="59" t="inlineStr">
        <is>
          <t>2025-01-03</t>
        </is>
      </c>
      <c r="C75" s="60" t="inlineStr">
        <is>
          <t>Vertex Appliance Max-338</t>
        </is>
      </c>
      <c r="D75" s="58" t="inlineStr">
        <is>
          <t>Home</t>
        </is>
      </c>
      <c r="E75" s="58" t="inlineStr">
        <is>
          <t>Central</t>
        </is>
      </c>
      <c r="F75" s="61" t="n">
        <v>2</v>
      </c>
      <c r="G75" s="62" t="n">
        <v>430.48</v>
      </c>
      <c r="H75" s="63" t="n">
        <v>0.111</v>
      </c>
      <c r="I75" s="62" t="n">
        <v>281.44</v>
      </c>
      <c r="J75" s="58" t="inlineStr">
        <is>
          <t>Online</t>
        </is>
      </c>
      <c r="K75" s="62">
        <f>F75*(G75-H75)</f>
        <v/>
      </c>
      <c r="L75" s="62">
        <f>K75-(F75*I75)</f>
        <v/>
      </c>
      <c r="M75" s="64">
        <f>L75/K75</f>
        <v/>
      </c>
    </row>
    <row r="76">
      <c r="A76" s="58" t="inlineStr">
        <is>
          <t>RT20250103-00075</t>
        </is>
      </c>
      <c r="B76" s="59" t="inlineStr">
        <is>
          <t>2025-01-03</t>
        </is>
      </c>
      <c r="C76" s="60" t="inlineStr">
        <is>
          <t>Nimbus Women Lite-814</t>
        </is>
      </c>
      <c r="D76" s="58" t="inlineStr">
        <is>
          <t>Apparel</t>
        </is>
      </c>
      <c r="E76" s="58" t="inlineStr">
        <is>
          <t>North</t>
        </is>
      </c>
      <c r="F76" s="61" t="n">
        <v>4</v>
      </c>
      <c r="G76" s="62" t="n">
        <v>133.51</v>
      </c>
      <c r="H76" s="63" t="n">
        <v>0.064</v>
      </c>
      <c r="I76" s="62" t="n">
        <v>85.17</v>
      </c>
      <c r="J76" s="58" t="inlineStr">
        <is>
          <t>Store</t>
        </is>
      </c>
      <c r="K76" s="62">
        <f>F76*(G76-H76)</f>
        <v/>
      </c>
      <c r="L76" s="62">
        <f>K76-(F76*I76)</f>
        <v/>
      </c>
      <c r="M76" s="64">
        <f>L76/K76</f>
        <v/>
      </c>
    </row>
    <row r="77">
      <c r="A77" s="58" t="inlineStr">
        <is>
          <t>RT20250103-00076</t>
        </is>
      </c>
      <c r="B77" s="59" t="inlineStr">
        <is>
          <t>2025-01-03</t>
        </is>
      </c>
      <c r="C77" s="60" t="inlineStr">
        <is>
          <t>Vertex Decor Pro-618</t>
        </is>
      </c>
      <c r="D77" s="58" t="inlineStr">
        <is>
          <t>Home</t>
        </is>
      </c>
      <c r="E77" s="58" t="inlineStr">
        <is>
          <t>Central</t>
        </is>
      </c>
      <c r="F77" s="61" t="n">
        <v>1</v>
      </c>
      <c r="G77" s="62" t="n">
        <v>584.76</v>
      </c>
      <c r="H77" s="63" t="n">
        <v>0.057</v>
      </c>
      <c r="I77" s="62" t="n">
        <v>366.98</v>
      </c>
      <c r="J77" s="58" t="inlineStr">
        <is>
          <t>Online</t>
        </is>
      </c>
      <c r="K77" s="62">
        <f>F77*(G77-H77)</f>
        <v/>
      </c>
      <c r="L77" s="62">
        <f>K77-(F77*I77)</f>
        <v/>
      </c>
      <c r="M77" s="64">
        <f>L77/K77</f>
        <v/>
      </c>
    </row>
    <row r="78">
      <c r="A78" s="58" t="inlineStr">
        <is>
          <t>RT20250103-00077</t>
        </is>
      </c>
      <c r="B78" s="59" t="inlineStr">
        <is>
          <t>2025-01-03</t>
        </is>
      </c>
      <c r="C78" s="60" t="inlineStr">
        <is>
          <t>Solace Kid S-384</t>
        </is>
      </c>
      <c r="D78" s="58" t="inlineStr">
        <is>
          <t>Apparel</t>
        </is>
      </c>
      <c r="E78" s="58" t="inlineStr">
        <is>
          <t>East</t>
        </is>
      </c>
      <c r="F78" s="61" t="n">
        <v>1</v>
      </c>
      <c r="G78" s="62" t="n">
        <v>122.08</v>
      </c>
      <c r="H78" s="63" t="n">
        <v>0.042</v>
      </c>
      <c r="I78" s="62" t="n">
        <v>61.42</v>
      </c>
      <c r="J78" s="58" t="inlineStr">
        <is>
          <t>Online</t>
        </is>
      </c>
      <c r="K78" s="62">
        <f>F78*(G78-H78)</f>
        <v/>
      </c>
      <c r="L78" s="62">
        <f>K78-(F78*I78)</f>
        <v/>
      </c>
      <c r="M78" s="64">
        <f>L78/K78</f>
        <v/>
      </c>
    </row>
    <row r="79">
      <c r="A79" s="58" t="inlineStr">
        <is>
          <t>RT20250103-00078</t>
        </is>
      </c>
      <c r="B79" s="59" t="inlineStr">
        <is>
          <t>2025-01-03</t>
        </is>
      </c>
      <c r="C79" s="60" t="inlineStr">
        <is>
          <t>Aurora Skincare Max-798</t>
        </is>
      </c>
      <c r="D79" s="58" t="inlineStr">
        <is>
          <t>Beauty</t>
        </is>
      </c>
      <c r="E79" s="58" t="inlineStr">
        <is>
          <t>East</t>
        </is>
      </c>
      <c r="F79" s="61" t="n">
        <v>5</v>
      </c>
      <c r="G79" s="62" t="n">
        <v>121.02</v>
      </c>
      <c r="H79" s="63" t="n">
        <v>0.067</v>
      </c>
      <c r="I79" s="62" t="n">
        <v>68.17</v>
      </c>
      <c r="J79" s="58" t="inlineStr">
        <is>
          <t>Online</t>
        </is>
      </c>
      <c r="K79" s="62">
        <f>F79*(G79-H79)</f>
        <v/>
      </c>
      <c r="L79" s="62">
        <f>K79-(F79*I79)</f>
        <v/>
      </c>
      <c r="M79" s="64">
        <f>L79/K79</f>
        <v/>
      </c>
    </row>
    <row r="80">
      <c r="A80" s="58" t="inlineStr">
        <is>
          <t>RT20250103-00079</t>
        </is>
      </c>
      <c r="B80" s="59" t="inlineStr">
        <is>
          <t>2025-01-03</t>
        </is>
      </c>
      <c r="C80" s="60" t="inlineStr">
        <is>
          <t>Falcon Kitchen X-130</t>
        </is>
      </c>
      <c r="D80" s="58" t="inlineStr">
        <is>
          <t>Home</t>
        </is>
      </c>
      <c r="E80" s="58" t="inlineStr">
        <is>
          <t>South</t>
        </is>
      </c>
      <c r="F80" s="61" t="n">
        <v>2</v>
      </c>
      <c r="G80" s="62" t="n">
        <v>401.47</v>
      </c>
      <c r="H80" s="63" t="n">
        <v>0.065</v>
      </c>
      <c r="I80" s="62" t="n">
        <v>284.72</v>
      </c>
      <c r="J80" s="58" t="inlineStr">
        <is>
          <t>Online</t>
        </is>
      </c>
      <c r="K80" s="62">
        <f>F80*(G80-H80)</f>
        <v/>
      </c>
      <c r="L80" s="62">
        <f>K80-(F80*I80)</f>
        <v/>
      </c>
      <c r="M80" s="64">
        <f>L80/K80</f>
        <v/>
      </c>
    </row>
    <row r="81">
      <c r="A81" s="58" t="inlineStr">
        <is>
          <t>RT20250103-00080</t>
        </is>
      </c>
      <c r="B81" s="59" t="inlineStr">
        <is>
          <t>2025-01-03</t>
        </is>
      </c>
      <c r="C81" s="60" t="inlineStr">
        <is>
          <t>Falcon Beverage Max-702</t>
        </is>
      </c>
      <c r="D81" s="58" t="inlineStr">
        <is>
          <t>Grocery</t>
        </is>
      </c>
      <c r="E81" s="58" t="inlineStr">
        <is>
          <t>West</t>
        </is>
      </c>
      <c r="F81" s="61" t="n">
        <v>2</v>
      </c>
      <c r="G81" s="62" t="n">
        <v>29.21</v>
      </c>
      <c r="H81" s="63" t="n">
        <v>0.019</v>
      </c>
      <c r="I81" s="62" t="n">
        <v>20.4</v>
      </c>
      <c r="J81" s="58" t="inlineStr">
        <is>
          <t>Store</t>
        </is>
      </c>
      <c r="K81" s="62">
        <f>F81*(G81-H81)</f>
        <v/>
      </c>
      <c r="L81" s="62">
        <f>K81-(F81*I81)</f>
        <v/>
      </c>
      <c r="M81" s="64">
        <f>L81/K81</f>
        <v/>
      </c>
    </row>
    <row r="82">
      <c r="A82" s="58" t="inlineStr">
        <is>
          <t>RT20250103-00081</t>
        </is>
      </c>
      <c r="B82" s="59" t="inlineStr">
        <is>
          <t>2025-01-03</t>
        </is>
      </c>
      <c r="C82" s="60" t="inlineStr">
        <is>
          <t>Aurora Smartphone Plus-125</t>
        </is>
      </c>
      <c r="D82" s="58" t="inlineStr">
        <is>
          <t>Electronics</t>
        </is>
      </c>
      <c r="E82" s="58" t="inlineStr">
        <is>
          <t>East</t>
        </is>
      </c>
      <c r="F82" s="61" t="n">
        <v>1</v>
      </c>
      <c r="G82" s="62" t="n">
        <v>1527.52</v>
      </c>
      <c r="H82" s="63" t="n">
        <v>0.034</v>
      </c>
      <c r="I82" s="62" t="n">
        <v>1197.83</v>
      </c>
      <c r="J82" s="58" t="inlineStr">
        <is>
          <t>Store</t>
        </is>
      </c>
      <c r="K82" s="62">
        <f>F82*(G82-H82)</f>
        <v/>
      </c>
      <c r="L82" s="62">
        <f>K82-(F82*I82)</f>
        <v/>
      </c>
      <c r="M82" s="64">
        <f>L82/K82</f>
        <v/>
      </c>
    </row>
    <row r="83">
      <c r="A83" s="58" t="inlineStr">
        <is>
          <t>RT20250103-00082</t>
        </is>
      </c>
      <c r="B83" s="59" t="inlineStr">
        <is>
          <t>2025-01-03</t>
        </is>
      </c>
      <c r="C83" s="60" t="inlineStr">
        <is>
          <t>Falcon Household Pro-865</t>
        </is>
      </c>
      <c r="D83" s="58" t="inlineStr">
        <is>
          <t>Grocery</t>
        </is>
      </c>
      <c r="E83" s="58" t="inlineStr">
        <is>
          <t>West</t>
        </is>
      </c>
      <c r="F83" s="61" t="n">
        <v>8</v>
      </c>
      <c r="G83" s="62" t="n">
        <v>9.74</v>
      </c>
      <c r="H83" s="63" t="n">
        <v>0.06</v>
      </c>
      <c r="I83" s="62" t="n">
        <v>7.74</v>
      </c>
      <c r="J83" s="58" t="inlineStr">
        <is>
          <t>Online</t>
        </is>
      </c>
      <c r="K83" s="62">
        <f>F83*(G83-H83)</f>
        <v/>
      </c>
      <c r="L83" s="62">
        <f>K83-(F83*I83)</f>
        <v/>
      </c>
      <c r="M83" s="64">
        <f>L83/K83</f>
        <v/>
      </c>
    </row>
    <row r="84">
      <c r="A84" s="58" t="inlineStr">
        <is>
          <t>RT20250103-00083</t>
        </is>
      </c>
      <c r="B84" s="59" t="inlineStr">
        <is>
          <t>2025-01-03</t>
        </is>
      </c>
      <c r="C84" s="60" t="inlineStr">
        <is>
          <t>Nimbus Headphone X-854</t>
        </is>
      </c>
      <c r="D84" s="58" t="inlineStr">
        <is>
          <t>Electronics</t>
        </is>
      </c>
      <c r="E84" s="58" t="inlineStr">
        <is>
          <t>Central</t>
        </is>
      </c>
      <c r="F84" s="61" t="n">
        <v>1</v>
      </c>
      <c r="G84" s="62" t="n">
        <v>1529.34</v>
      </c>
      <c r="H84" s="63" t="n">
        <v>0.08799999999999999</v>
      </c>
      <c r="I84" s="62" t="n">
        <v>1225.3</v>
      </c>
      <c r="J84" s="58" t="inlineStr">
        <is>
          <t>Online</t>
        </is>
      </c>
      <c r="K84" s="62">
        <f>F84*(G84-H84)</f>
        <v/>
      </c>
      <c r="L84" s="62">
        <f>K84-(F84*I84)</f>
        <v/>
      </c>
      <c r="M84" s="64">
        <f>L84/K84</f>
        <v/>
      </c>
    </row>
    <row r="85">
      <c r="A85" s="58" t="inlineStr">
        <is>
          <t>RT20250103-00084</t>
        </is>
      </c>
      <c r="B85" s="59" t="inlineStr">
        <is>
          <t>2025-01-03</t>
        </is>
      </c>
      <c r="C85" s="60" t="inlineStr">
        <is>
          <t>Polar Women Max-927</t>
        </is>
      </c>
      <c r="D85" s="58" t="inlineStr">
        <is>
          <t>Apparel</t>
        </is>
      </c>
      <c r="E85" s="58" t="inlineStr">
        <is>
          <t>North</t>
        </is>
      </c>
      <c r="F85" s="61" t="n">
        <v>2</v>
      </c>
      <c r="G85" s="62" t="n">
        <v>114.87</v>
      </c>
      <c r="H85" s="63" t="n">
        <v>0.07199999999999999</v>
      </c>
      <c r="I85" s="62" t="n">
        <v>65.73</v>
      </c>
      <c r="J85" s="58" t="inlineStr">
        <is>
          <t>Store</t>
        </is>
      </c>
      <c r="K85" s="62">
        <f>F85*(G85-H85)</f>
        <v/>
      </c>
      <c r="L85" s="62">
        <f>K85-(F85*I85)</f>
        <v/>
      </c>
      <c r="M85" s="64">
        <f>L85/K85</f>
        <v/>
      </c>
    </row>
    <row r="86">
      <c r="A86" s="58" t="inlineStr">
        <is>
          <t>RT20250103-00085</t>
        </is>
      </c>
      <c r="B86" s="59" t="inlineStr">
        <is>
          <t>2025-01-03</t>
        </is>
      </c>
      <c r="C86" s="60" t="inlineStr">
        <is>
          <t>Aurora Makeup Pro-489</t>
        </is>
      </c>
      <c r="D86" s="58" t="inlineStr">
        <is>
          <t>Beauty</t>
        </is>
      </c>
      <c r="E86" s="58" t="inlineStr">
        <is>
          <t>East</t>
        </is>
      </c>
      <c r="F86" s="61" t="n">
        <v>5</v>
      </c>
      <c r="G86" s="62" t="n">
        <v>111.66</v>
      </c>
      <c r="H86" s="63" t="n">
        <v>0.105</v>
      </c>
      <c r="I86" s="62" t="n">
        <v>64.62</v>
      </c>
      <c r="J86" s="58" t="inlineStr">
        <is>
          <t>Online</t>
        </is>
      </c>
      <c r="K86" s="62">
        <f>F86*(G86-H86)</f>
        <v/>
      </c>
      <c r="L86" s="62">
        <f>K86-(F86*I86)</f>
        <v/>
      </c>
      <c r="M86" s="64">
        <f>L86/K86</f>
        <v/>
      </c>
    </row>
    <row r="87">
      <c r="A87" s="58" t="inlineStr">
        <is>
          <t>RT20250103-00086</t>
        </is>
      </c>
      <c r="B87" s="59" t="inlineStr">
        <is>
          <t>2025-01-03</t>
        </is>
      </c>
      <c r="C87" s="60" t="inlineStr">
        <is>
          <t>Nimbus Women Plus-352</t>
        </is>
      </c>
      <c r="D87" s="58" t="inlineStr">
        <is>
          <t>Apparel</t>
        </is>
      </c>
      <c r="E87" s="58" t="inlineStr">
        <is>
          <t>East</t>
        </is>
      </c>
      <c r="F87" s="61" t="n">
        <v>4</v>
      </c>
      <c r="G87" s="62" t="n">
        <v>62.63</v>
      </c>
      <c r="H87" s="63" t="n">
        <v>0.008</v>
      </c>
      <c r="I87" s="62" t="n">
        <v>32.88</v>
      </c>
      <c r="J87" s="58" t="inlineStr">
        <is>
          <t>Phone</t>
        </is>
      </c>
      <c r="K87" s="62">
        <f>F87*(G87-H87)</f>
        <v/>
      </c>
      <c r="L87" s="62">
        <f>K87-(F87*I87)</f>
        <v/>
      </c>
      <c r="M87" s="64">
        <f>L87/K87</f>
        <v/>
      </c>
    </row>
    <row r="88">
      <c r="A88" s="58" t="inlineStr">
        <is>
          <t>RT20250103-00087</t>
        </is>
      </c>
      <c r="B88" s="59" t="inlineStr">
        <is>
          <t>2025-01-03</t>
        </is>
      </c>
      <c r="C88" s="60" t="inlineStr">
        <is>
          <t>Aurora Bedding Plus-187</t>
        </is>
      </c>
      <c r="D88" s="58" t="inlineStr">
        <is>
          <t>Home</t>
        </is>
      </c>
      <c r="E88" s="58" t="inlineStr">
        <is>
          <t>Central</t>
        </is>
      </c>
      <c r="F88" s="61" t="n">
        <v>2</v>
      </c>
      <c r="G88" s="62" t="n">
        <v>333.3</v>
      </c>
      <c r="H88" s="63" t="n">
        <v>0.066</v>
      </c>
      <c r="I88" s="62" t="n">
        <v>206.15</v>
      </c>
      <c r="J88" s="58" t="inlineStr">
        <is>
          <t>Online</t>
        </is>
      </c>
      <c r="K88" s="62">
        <f>F88*(G88-H88)</f>
        <v/>
      </c>
      <c r="L88" s="62">
        <f>K88-(F88*I88)</f>
        <v/>
      </c>
      <c r="M88" s="64">
        <f>L88/K88</f>
        <v/>
      </c>
    </row>
    <row r="89">
      <c r="A89" s="58" t="inlineStr">
        <is>
          <t>RT20250103-00088</t>
        </is>
      </c>
      <c r="B89" s="59" t="inlineStr">
        <is>
          <t>2025-01-03</t>
        </is>
      </c>
      <c r="C89" s="60" t="inlineStr">
        <is>
          <t>Metro Laptop Plus-376</t>
        </is>
      </c>
      <c r="D89" s="58" t="inlineStr">
        <is>
          <t>Electronics</t>
        </is>
      </c>
      <c r="E89" s="58" t="inlineStr">
        <is>
          <t>East</t>
        </is>
      </c>
      <c r="F89" s="61" t="n">
        <v>1</v>
      </c>
      <c r="G89" s="62" t="n">
        <v>1162.3</v>
      </c>
      <c r="H89" s="63" t="n">
        <v>0.117</v>
      </c>
      <c r="I89" s="62" t="n">
        <v>996.41</v>
      </c>
      <c r="J89" s="58" t="inlineStr">
        <is>
          <t>Store</t>
        </is>
      </c>
      <c r="K89" s="62">
        <f>F89*(G89-H89)</f>
        <v/>
      </c>
      <c r="L89" s="62">
        <f>K89-(F89*I89)</f>
        <v/>
      </c>
      <c r="M89" s="64">
        <f>L89/K89</f>
        <v/>
      </c>
    </row>
    <row r="90">
      <c r="A90" s="58" t="inlineStr">
        <is>
          <t>RT20250103-00089</t>
        </is>
      </c>
      <c r="B90" s="59" t="inlineStr">
        <is>
          <t>2025-01-03</t>
        </is>
      </c>
      <c r="C90" s="60" t="inlineStr">
        <is>
          <t>Nimbus Women Lite-814</t>
        </is>
      </c>
      <c r="D90" s="58" t="inlineStr">
        <is>
          <t>Apparel</t>
        </is>
      </c>
      <c r="E90" s="58" t="inlineStr">
        <is>
          <t>West</t>
        </is>
      </c>
      <c r="F90" s="61" t="n">
        <v>4</v>
      </c>
      <c r="G90" s="62" t="n">
        <v>153.87</v>
      </c>
      <c r="H90" s="63" t="n">
        <v>0.074</v>
      </c>
      <c r="I90" s="62" t="n">
        <v>85.75</v>
      </c>
      <c r="J90" s="58" t="inlineStr">
        <is>
          <t>Store</t>
        </is>
      </c>
      <c r="K90" s="62">
        <f>F90*(G90-H90)</f>
        <v/>
      </c>
      <c r="L90" s="62">
        <f>K90-(F90*I90)</f>
        <v/>
      </c>
      <c r="M90" s="64">
        <f>L90/K90</f>
        <v/>
      </c>
    </row>
    <row r="91">
      <c r="A91" s="58" t="inlineStr">
        <is>
          <t>RT20250103-00090</t>
        </is>
      </c>
      <c r="B91" s="59" t="inlineStr">
        <is>
          <t>2025-01-03</t>
        </is>
      </c>
      <c r="C91" s="60" t="inlineStr">
        <is>
          <t>Vertex Fitnes Pro-830</t>
        </is>
      </c>
      <c r="D91" s="58" t="inlineStr">
        <is>
          <t>Sports</t>
        </is>
      </c>
      <c r="E91" s="58" t="inlineStr">
        <is>
          <t>Central</t>
        </is>
      </c>
      <c r="F91" s="61" t="n">
        <v>2</v>
      </c>
      <c r="G91" s="62" t="n">
        <v>763.73</v>
      </c>
      <c r="H91" s="63" t="n">
        <v>0.014</v>
      </c>
      <c r="I91" s="62" t="n">
        <v>488.04</v>
      </c>
      <c r="J91" s="58" t="inlineStr">
        <is>
          <t>Phone</t>
        </is>
      </c>
      <c r="K91" s="62">
        <f>F91*(G91-H91)</f>
        <v/>
      </c>
      <c r="L91" s="62">
        <f>K91-(F91*I91)</f>
        <v/>
      </c>
      <c r="M91" s="64">
        <f>L91/K91</f>
        <v/>
      </c>
    </row>
    <row r="92">
      <c r="A92" s="58" t="inlineStr">
        <is>
          <t>RT20250103-00091</t>
        </is>
      </c>
      <c r="B92" s="59" t="inlineStr">
        <is>
          <t>2025-01-03</t>
        </is>
      </c>
      <c r="C92" s="60" t="inlineStr">
        <is>
          <t>Aurora Team Sport Plus-256</t>
        </is>
      </c>
      <c r="D92" s="58" t="inlineStr">
        <is>
          <t>Sports</t>
        </is>
      </c>
      <c r="E92" s="58" t="inlineStr">
        <is>
          <t>Central</t>
        </is>
      </c>
      <c r="F92" s="61" t="n">
        <v>3</v>
      </c>
      <c r="G92" s="62" t="n">
        <v>694.66</v>
      </c>
      <c r="H92" s="63" t="n">
        <v>0.07099999999999999</v>
      </c>
      <c r="I92" s="62" t="n">
        <v>427</v>
      </c>
      <c r="J92" s="58" t="inlineStr">
        <is>
          <t>Phone</t>
        </is>
      </c>
      <c r="K92" s="62">
        <f>F92*(G92-H92)</f>
        <v/>
      </c>
      <c r="L92" s="62">
        <f>K92-(F92*I92)</f>
        <v/>
      </c>
      <c r="M92" s="64">
        <f>L92/K92</f>
        <v/>
      </c>
    </row>
    <row r="93">
      <c r="A93" s="58" t="inlineStr">
        <is>
          <t>RT20250103-00092</t>
        </is>
      </c>
      <c r="B93" s="59" t="inlineStr">
        <is>
          <t>2025-01-03</t>
        </is>
      </c>
      <c r="C93" s="60" t="inlineStr">
        <is>
          <t>Orion Storage Plus-961</t>
        </is>
      </c>
      <c r="D93" s="58" t="inlineStr">
        <is>
          <t>Office</t>
        </is>
      </c>
      <c r="E93" s="58" t="inlineStr">
        <is>
          <t>South</t>
        </is>
      </c>
      <c r="F93" s="61" t="n">
        <v>1</v>
      </c>
      <c r="G93" s="62" t="n">
        <v>489.43</v>
      </c>
      <c r="H93" s="63" t="n">
        <v>0.058</v>
      </c>
      <c r="I93" s="62" t="n">
        <v>360.74</v>
      </c>
      <c r="J93" s="58" t="inlineStr">
        <is>
          <t>Store</t>
        </is>
      </c>
      <c r="K93" s="62">
        <f>F93*(G93-H93)</f>
        <v/>
      </c>
      <c r="L93" s="62">
        <f>K93-(F93*I93)</f>
        <v/>
      </c>
      <c r="M93" s="64">
        <f>L93/K93</f>
        <v/>
      </c>
    </row>
    <row r="94">
      <c r="A94" s="58" t="inlineStr">
        <is>
          <t>RT20250103-00093</t>
        </is>
      </c>
      <c r="B94" s="59" t="inlineStr">
        <is>
          <t>2025-01-03</t>
        </is>
      </c>
      <c r="C94" s="60" t="inlineStr">
        <is>
          <t>Orion Haircare Plus-887</t>
        </is>
      </c>
      <c r="D94" s="58" t="inlineStr">
        <is>
          <t>Beauty</t>
        </is>
      </c>
      <c r="E94" s="58" t="inlineStr">
        <is>
          <t>North</t>
        </is>
      </c>
      <c r="F94" s="61" t="n">
        <v>5</v>
      </c>
      <c r="G94" s="62" t="n">
        <v>53.08</v>
      </c>
      <c r="H94" s="63" t="n">
        <v>0.044</v>
      </c>
      <c r="I94" s="62" t="n">
        <v>31.58</v>
      </c>
      <c r="J94" s="58" t="inlineStr">
        <is>
          <t>Online</t>
        </is>
      </c>
      <c r="K94" s="62">
        <f>F94*(G94-H94)</f>
        <v/>
      </c>
      <c r="L94" s="62">
        <f>K94-(F94*I94)</f>
        <v/>
      </c>
      <c r="M94" s="64">
        <f>L94/K94</f>
        <v/>
      </c>
    </row>
    <row r="95">
      <c r="A95" s="58" t="inlineStr">
        <is>
          <t>RT20250103-00094</t>
        </is>
      </c>
      <c r="B95" s="59" t="inlineStr">
        <is>
          <t>2025-01-03</t>
        </is>
      </c>
      <c r="C95" s="60" t="inlineStr">
        <is>
          <t>Vertex Skincare Pro-891</t>
        </is>
      </c>
      <c r="D95" s="58" t="inlineStr">
        <is>
          <t>Beauty</t>
        </is>
      </c>
      <c r="E95" s="58" t="inlineStr">
        <is>
          <t>South</t>
        </is>
      </c>
      <c r="F95" s="61" t="n">
        <v>1</v>
      </c>
      <c r="G95" s="62" t="n">
        <v>133.73</v>
      </c>
      <c r="H95" s="63" t="n">
        <v>0</v>
      </c>
      <c r="I95" s="62" t="n">
        <v>85.95999999999999</v>
      </c>
      <c r="J95" s="58" t="inlineStr">
        <is>
          <t>Online</t>
        </is>
      </c>
      <c r="K95" s="62">
        <f>F95*(G95-H95)</f>
        <v/>
      </c>
      <c r="L95" s="62">
        <f>K95-(F95*I95)</f>
        <v/>
      </c>
      <c r="M95" s="64">
        <f>L95/K95</f>
        <v/>
      </c>
    </row>
    <row r="96">
      <c r="A96" s="58" t="inlineStr">
        <is>
          <t>RT20250103-00095</t>
        </is>
      </c>
      <c r="B96" s="59" t="inlineStr">
        <is>
          <t>2025-01-03</t>
        </is>
      </c>
      <c r="C96" s="60" t="inlineStr">
        <is>
          <t>Aurora Skincare Max-798</t>
        </is>
      </c>
      <c r="D96" s="58" t="inlineStr">
        <is>
          <t>Beauty</t>
        </is>
      </c>
      <c r="E96" s="58" t="inlineStr">
        <is>
          <t>South</t>
        </is>
      </c>
      <c r="F96" s="61" t="n">
        <v>2</v>
      </c>
      <c r="G96" s="62" t="n">
        <v>118.26</v>
      </c>
      <c r="H96" s="63" t="n">
        <v>0.057</v>
      </c>
      <c r="I96" s="62" t="n">
        <v>66.98</v>
      </c>
      <c r="J96" s="58" t="inlineStr">
        <is>
          <t>Store</t>
        </is>
      </c>
      <c r="K96" s="62">
        <f>F96*(G96-H96)</f>
        <v/>
      </c>
      <c r="L96" s="62">
        <f>K96-(F96*I96)</f>
        <v/>
      </c>
      <c r="M96" s="64">
        <f>L96/K96</f>
        <v/>
      </c>
    </row>
    <row r="97">
      <c r="A97" s="58" t="inlineStr">
        <is>
          <t>RT20250103-00096</t>
        </is>
      </c>
      <c r="B97" s="59" t="inlineStr">
        <is>
          <t>2025-01-03</t>
        </is>
      </c>
      <c r="C97" s="60" t="inlineStr">
        <is>
          <t>Polar Laptop Plus-984</t>
        </is>
      </c>
      <c r="D97" s="58" t="inlineStr">
        <is>
          <t>Electronics</t>
        </is>
      </c>
      <c r="E97" s="58" t="inlineStr">
        <is>
          <t>West</t>
        </is>
      </c>
      <c r="F97" s="61" t="n">
        <v>1</v>
      </c>
      <c r="G97" s="62" t="n">
        <v>1256.69</v>
      </c>
      <c r="H97" s="63" t="n">
        <v>0.023</v>
      </c>
      <c r="I97" s="62" t="n">
        <v>1003.5</v>
      </c>
      <c r="J97" s="58" t="inlineStr">
        <is>
          <t>Online</t>
        </is>
      </c>
      <c r="K97" s="62">
        <f>F97*(G97-H97)</f>
        <v/>
      </c>
      <c r="L97" s="62">
        <f>K97-(F97*I97)</f>
        <v/>
      </c>
      <c r="M97" s="64">
        <f>L97/K97</f>
        <v/>
      </c>
    </row>
    <row r="98">
      <c r="A98" s="58" t="inlineStr">
        <is>
          <t>RT20250103-00097</t>
        </is>
      </c>
      <c r="B98" s="59" t="inlineStr">
        <is>
          <t>2025-01-03</t>
        </is>
      </c>
      <c r="C98" s="60" t="inlineStr">
        <is>
          <t>Vertex Furniture S-652</t>
        </is>
      </c>
      <c r="D98" s="58" t="inlineStr">
        <is>
          <t>Office</t>
        </is>
      </c>
      <c r="E98" s="58" t="inlineStr">
        <is>
          <t>East</t>
        </is>
      </c>
      <c r="F98" s="61" t="n">
        <v>2</v>
      </c>
      <c r="G98" s="62" t="n">
        <v>384.45</v>
      </c>
      <c r="H98" s="63" t="n">
        <v>0.065</v>
      </c>
      <c r="I98" s="62" t="n">
        <v>266.3</v>
      </c>
      <c r="J98" s="58" t="inlineStr">
        <is>
          <t>Store</t>
        </is>
      </c>
      <c r="K98" s="62">
        <f>F98*(G98-H98)</f>
        <v/>
      </c>
      <c r="L98" s="62">
        <f>K98-(F98*I98)</f>
        <v/>
      </c>
      <c r="M98" s="64">
        <f>L98/K98</f>
        <v/>
      </c>
    </row>
    <row r="99">
      <c r="A99" s="58" t="inlineStr">
        <is>
          <t>RT20250103-00098</t>
        </is>
      </c>
      <c r="B99" s="59" t="inlineStr">
        <is>
          <t>2025-01-03</t>
        </is>
      </c>
      <c r="C99" s="60" t="inlineStr">
        <is>
          <t>Orion Storage Plus-961</t>
        </is>
      </c>
      <c r="D99" s="58" t="inlineStr">
        <is>
          <t>Office</t>
        </is>
      </c>
      <c r="E99" s="58" t="inlineStr">
        <is>
          <t>North</t>
        </is>
      </c>
      <c r="F99" s="61" t="n">
        <v>2</v>
      </c>
      <c r="G99" s="62" t="n">
        <v>503.94</v>
      </c>
      <c r="H99" s="63" t="n">
        <v>0.083</v>
      </c>
      <c r="I99" s="62" t="n">
        <v>363.53</v>
      </c>
      <c r="J99" s="58" t="inlineStr">
        <is>
          <t>Online</t>
        </is>
      </c>
      <c r="K99" s="62">
        <f>F99*(G99-H99)</f>
        <v/>
      </c>
      <c r="L99" s="62">
        <f>K99-(F99*I99)</f>
        <v/>
      </c>
      <c r="M99" s="64">
        <f>L99/K99</f>
        <v/>
      </c>
    </row>
    <row r="100">
      <c r="A100" s="58" t="inlineStr">
        <is>
          <t>RT20250103-00099</t>
        </is>
      </c>
      <c r="B100" s="59" t="inlineStr">
        <is>
          <t>2025-01-03</t>
        </is>
      </c>
      <c r="C100" s="60" t="inlineStr">
        <is>
          <t>Orion Laptop S-350</t>
        </is>
      </c>
      <c r="D100" s="58" t="inlineStr">
        <is>
          <t>Electronics</t>
        </is>
      </c>
      <c r="E100" s="58" t="inlineStr">
        <is>
          <t>Central</t>
        </is>
      </c>
      <c r="F100" s="61" t="n">
        <v>1</v>
      </c>
      <c r="G100" s="62" t="n">
        <v>1279.96</v>
      </c>
      <c r="H100" s="63" t="n">
        <v>0.07199999999999999</v>
      </c>
      <c r="I100" s="62" t="n">
        <v>1059.82</v>
      </c>
      <c r="J100" s="58" t="inlineStr">
        <is>
          <t>Online</t>
        </is>
      </c>
      <c r="K100" s="62">
        <f>F100*(G100-H100)</f>
        <v/>
      </c>
      <c r="L100" s="62">
        <f>K100-(F100*I100)</f>
        <v/>
      </c>
      <c r="M100" s="64">
        <f>L100/K100</f>
        <v/>
      </c>
    </row>
    <row r="101">
      <c r="A101" s="58" t="inlineStr">
        <is>
          <t>RT20250103-00100</t>
        </is>
      </c>
      <c r="B101" s="59" t="inlineStr">
        <is>
          <t>2025-01-03</t>
        </is>
      </c>
      <c r="C101" s="60" t="inlineStr">
        <is>
          <t>Nimbus Makeup Max-158</t>
        </is>
      </c>
      <c r="D101" s="58" t="inlineStr">
        <is>
          <t>Beauty</t>
        </is>
      </c>
      <c r="E101" s="58" t="inlineStr">
        <is>
          <t>East</t>
        </is>
      </c>
      <c r="F101" s="61" t="n">
        <v>4</v>
      </c>
      <c r="G101" s="62" t="n">
        <v>145.14</v>
      </c>
      <c r="H101" s="63" t="n">
        <v>0.056</v>
      </c>
      <c r="I101" s="62" t="n">
        <v>95.5</v>
      </c>
      <c r="J101" s="58" t="inlineStr">
        <is>
          <t>Online</t>
        </is>
      </c>
      <c r="K101" s="62">
        <f>F101*(G101-H101)</f>
        <v/>
      </c>
      <c r="L101" s="62">
        <f>K101-(F101*I101)</f>
        <v/>
      </c>
      <c r="M101" s="64">
        <f>L101/K101</f>
        <v/>
      </c>
    </row>
    <row r="102">
      <c r="A102" s="58" t="inlineStr">
        <is>
          <t>RT20250103-00101</t>
        </is>
      </c>
      <c r="B102" s="59" t="inlineStr">
        <is>
          <t>2025-01-03</t>
        </is>
      </c>
      <c r="C102" s="60" t="inlineStr">
        <is>
          <t>Orion Team Sport X-926</t>
        </is>
      </c>
      <c r="D102" s="58" t="inlineStr">
        <is>
          <t>Sports</t>
        </is>
      </c>
      <c r="E102" s="58" t="inlineStr">
        <is>
          <t>East</t>
        </is>
      </c>
      <c r="F102" s="61" t="n">
        <v>1</v>
      </c>
      <c r="G102" s="62" t="n">
        <v>296.56</v>
      </c>
      <c r="H102" s="63" t="n">
        <v>0.037</v>
      </c>
      <c r="I102" s="62" t="n">
        <v>213.52</v>
      </c>
      <c r="J102" s="58" t="inlineStr">
        <is>
          <t>Online</t>
        </is>
      </c>
      <c r="K102" s="62">
        <f>F102*(G102-H102)</f>
        <v/>
      </c>
      <c r="L102" s="62">
        <f>K102-(F102*I102)</f>
        <v/>
      </c>
      <c r="M102" s="64">
        <f>L102/K102</f>
        <v/>
      </c>
    </row>
    <row r="103">
      <c r="A103" s="58" t="inlineStr">
        <is>
          <t>RT20250103-00102</t>
        </is>
      </c>
      <c r="B103" s="59" t="inlineStr">
        <is>
          <t>2025-01-03</t>
        </is>
      </c>
      <c r="C103" s="60" t="inlineStr">
        <is>
          <t>Metro Pantry Max-180</t>
        </is>
      </c>
      <c r="D103" s="58" t="inlineStr">
        <is>
          <t>Grocery</t>
        </is>
      </c>
      <c r="E103" s="58" t="inlineStr">
        <is>
          <t>Central</t>
        </is>
      </c>
      <c r="F103" s="61" t="n">
        <v>7</v>
      </c>
      <c r="G103" s="62" t="n">
        <v>9.140000000000001</v>
      </c>
      <c r="H103" s="63" t="n">
        <v>0.062</v>
      </c>
      <c r="I103" s="62" t="n">
        <v>6.73</v>
      </c>
      <c r="J103" s="58" t="inlineStr">
        <is>
          <t>Online</t>
        </is>
      </c>
      <c r="K103" s="62">
        <f>F103*(G103-H103)</f>
        <v/>
      </c>
      <c r="L103" s="62">
        <f>K103-(F103*I103)</f>
        <v/>
      </c>
      <c r="M103" s="64">
        <f>L103/K103</f>
        <v/>
      </c>
    </row>
    <row r="104">
      <c r="A104" s="58" t="inlineStr">
        <is>
          <t>RT20250103-00103</t>
        </is>
      </c>
      <c r="B104" s="59" t="inlineStr">
        <is>
          <t>2025-01-03</t>
        </is>
      </c>
      <c r="C104" s="60" t="inlineStr">
        <is>
          <t>Aurora Fitnes Lite-194</t>
        </is>
      </c>
      <c r="D104" s="58" t="inlineStr">
        <is>
          <t>Sports</t>
        </is>
      </c>
      <c r="E104" s="58" t="inlineStr">
        <is>
          <t>East</t>
        </is>
      </c>
      <c r="F104" s="61" t="n">
        <v>1</v>
      </c>
      <c r="G104" s="62" t="n">
        <v>674.58</v>
      </c>
      <c r="H104" s="63" t="n">
        <v>0.092</v>
      </c>
      <c r="I104" s="62" t="n">
        <v>464.42</v>
      </c>
      <c r="J104" s="58" t="inlineStr">
        <is>
          <t>Store</t>
        </is>
      </c>
      <c r="K104" s="62">
        <f>F104*(G104-H104)</f>
        <v/>
      </c>
      <c r="L104" s="62">
        <f>K104-(F104*I104)</f>
        <v/>
      </c>
      <c r="M104" s="64">
        <f>L104/K104</f>
        <v/>
      </c>
    </row>
    <row r="105">
      <c r="A105" s="58" t="inlineStr">
        <is>
          <t>RT20250103-00104</t>
        </is>
      </c>
      <c r="B105" s="59" t="inlineStr">
        <is>
          <t>2025-01-03</t>
        </is>
      </c>
      <c r="C105" s="60" t="inlineStr">
        <is>
          <t>Vertex Printer Max-692</t>
        </is>
      </c>
      <c r="D105" s="58" t="inlineStr">
        <is>
          <t>Office</t>
        </is>
      </c>
      <c r="E105" s="58" t="inlineStr">
        <is>
          <t>North</t>
        </is>
      </c>
      <c r="F105" s="61" t="n">
        <v>3</v>
      </c>
      <c r="G105" s="62" t="n">
        <v>177.94</v>
      </c>
      <c r="H105" s="63" t="n">
        <v>0.07199999999999999</v>
      </c>
      <c r="I105" s="62" t="n">
        <v>122.56</v>
      </c>
      <c r="J105" s="58" t="inlineStr">
        <is>
          <t>Online</t>
        </is>
      </c>
      <c r="K105" s="62">
        <f>F105*(G105-H105)</f>
        <v/>
      </c>
      <c r="L105" s="62">
        <f>K105-(F105*I105)</f>
        <v/>
      </c>
      <c r="M105" s="64">
        <f>L105/K105</f>
        <v/>
      </c>
    </row>
    <row r="106">
      <c r="A106" s="58" t="inlineStr">
        <is>
          <t>RT20250103-00105</t>
        </is>
      </c>
      <c r="B106" s="59" t="inlineStr">
        <is>
          <t>2025-01-03</t>
        </is>
      </c>
      <c r="C106" s="60" t="inlineStr">
        <is>
          <t>Aurora Fragrance S-971</t>
        </is>
      </c>
      <c r="D106" s="58" t="inlineStr">
        <is>
          <t>Beauty</t>
        </is>
      </c>
      <c r="E106" s="58" t="inlineStr">
        <is>
          <t>West</t>
        </is>
      </c>
      <c r="F106" s="61" t="n">
        <v>3</v>
      </c>
      <c r="G106" s="62" t="n">
        <v>117.28</v>
      </c>
      <c r="H106" s="63" t="n">
        <v>0.014</v>
      </c>
      <c r="I106" s="62" t="n">
        <v>63.61</v>
      </c>
      <c r="J106" s="58" t="inlineStr">
        <is>
          <t>Online</t>
        </is>
      </c>
      <c r="K106" s="62">
        <f>F106*(G106-H106)</f>
        <v/>
      </c>
      <c r="L106" s="62">
        <f>K106-(F106*I106)</f>
        <v/>
      </c>
      <c r="M106" s="64">
        <f>L106/K106</f>
        <v/>
      </c>
    </row>
    <row r="107">
      <c r="A107" s="58" t="inlineStr">
        <is>
          <t>RT20250103-00106</t>
        </is>
      </c>
      <c r="B107" s="59" t="inlineStr">
        <is>
          <t>2025-01-03</t>
        </is>
      </c>
      <c r="C107" s="60" t="inlineStr">
        <is>
          <t>Polar Decor X-935</t>
        </is>
      </c>
      <c r="D107" s="58" t="inlineStr">
        <is>
          <t>Home</t>
        </is>
      </c>
      <c r="E107" s="58" t="inlineStr">
        <is>
          <t>West</t>
        </is>
      </c>
      <c r="F107" s="61" t="n">
        <v>2</v>
      </c>
      <c r="G107" s="62" t="n">
        <v>266.85</v>
      </c>
      <c r="H107" s="63" t="n">
        <v>0.06</v>
      </c>
      <c r="I107" s="62" t="n">
        <v>203.52</v>
      </c>
      <c r="J107" s="58" t="inlineStr">
        <is>
          <t>Online</t>
        </is>
      </c>
      <c r="K107" s="62">
        <f>F107*(G107-H107)</f>
        <v/>
      </c>
      <c r="L107" s="62">
        <f>K107-(F107*I107)</f>
        <v/>
      </c>
      <c r="M107" s="64">
        <f>L107/K107</f>
        <v/>
      </c>
    </row>
    <row r="108">
      <c r="A108" s="58" t="inlineStr">
        <is>
          <t>RT20250104-00107</t>
        </is>
      </c>
      <c r="B108" s="59" t="inlineStr">
        <is>
          <t>2025-01-04</t>
        </is>
      </c>
      <c r="C108" s="60" t="inlineStr">
        <is>
          <t>Solace Kitchen Pro-510</t>
        </is>
      </c>
      <c r="D108" s="58" t="inlineStr">
        <is>
          <t>Home</t>
        </is>
      </c>
      <c r="E108" s="58" t="inlineStr">
        <is>
          <t>South</t>
        </is>
      </c>
      <c r="F108" s="61" t="n">
        <v>1</v>
      </c>
      <c r="G108" s="62" t="n">
        <v>442.11</v>
      </c>
      <c r="H108" s="63" t="n">
        <v>0.045</v>
      </c>
      <c r="I108" s="62" t="n">
        <v>314.2</v>
      </c>
      <c r="J108" s="58" t="inlineStr">
        <is>
          <t>Store</t>
        </is>
      </c>
      <c r="K108" s="62">
        <f>F108*(G108-H108)</f>
        <v/>
      </c>
      <c r="L108" s="62">
        <f>K108-(F108*I108)</f>
        <v/>
      </c>
      <c r="M108" s="64">
        <f>L108/K108</f>
        <v/>
      </c>
    </row>
    <row r="109">
      <c r="A109" s="58" t="inlineStr">
        <is>
          <t>RT20250104-00108</t>
        </is>
      </c>
      <c r="B109" s="59" t="inlineStr">
        <is>
          <t>2025-01-04</t>
        </is>
      </c>
      <c r="C109" s="60" t="inlineStr">
        <is>
          <t>Vertex Appliance S-159</t>
        </is>
      </c>
      <c r="D109" s="58" t="inlineStr">
        <is>
          <t>Home</t>
        </is>
      </c>
      <c r="E109" s="58" t="inlineStr">
        <is>
          <t>Central</t>
        </is>
      </c>
      <c r="F109" s="61" t="n">
        <v>2</v>
      </c>
      <c r="G109" s="62" t="n">
        <v>440.88</v>
      </c>
      <c r="H109" s="63" t="n">
        <v>0.035</v>
      </c>
      <c r="I109" s="62" t="n">
        <v>294.49</v>
      </c>
      <c r="J109" s="58" t="inlineStr">
        <is>
          <t>Store</t>
        </is>
      </c>
      <c r="K109" s="62">
        <f>F109*(G109-H109)</f>
        <v/>
      </c>
      <c r="L109" s="62">
        <f>K109-(F109*I109)</f>
        <v/>
      </c>
      <c r="M109" s="64">
        <f>L109/K109</f>
        <v/>
      </c>
    </row>
    <row r="110">
      <c r="A110" s="58" t="inlineStr">
        <is>
          <t>RT20250104-00109</t>
        </is>
      </c>
      <c r="B110" s="59" t="inlineStr">
        <is>
          <t>2025-01-04</t>
        </is>
      </c>
      <c r="C110" s="60" t="inlineStr">
        <is>
          <t>Polar Decor Plus-505</t>
        </is>
      </c>
      <c r="D110" s="58" t="inlineStr">
        <is>
          <t>Home</t>
        </is>
      </c>
      <c r="E110" s="58" t="inlineStr">
        <is>
          <t>North</t>
        </is>
      </c>
      <c r="F110" s="61" t="n">
        <v>3</v>
      </c>
      <c r="G110" s="62" t="n">
        <v>290.78</v>
      </c>
      <c r="H110" s="63" t="n">
        <v>0.08699999999999999</v>
      </c>
      <c r="I110" s="62" t="n">
        <v>194.39</v>
      </c>
      <c r="J110" s="58" t="inlineStr">
        <is>
          <t>Online</t>
        </is>
      </c>
      <c r="K110" s="62">
        <f>F110*(G110-H110)</f>
        <v/>
      </c>
      <c r="L110" s="62">
        <f>K110-(F110*I110)</f>
        <v/>
      </c>
      <c r="M110" s="64">
        <f>L110/K110</f>
        <v/>
      </c>
    </row>
    <row r="111">
      <c r="A111" s="58" t="inlineStr">
        <is>
          <t>RT20250104-00110</t>
        </is>
      </c>
      <c r="B111" s="59" t="inlineStr">
        <is>
          <t>2025-01-04</t>
        </is>
      </c>
      <c r="C111" s="60" t="inlineStr">
        <is>
          <t>Aurora Makeup S-626</t>
        </is>
      </c>
      <c r="D111" s="58" t="inlineStr">
        <is>
          <t>Beauty</t>
        </is>
      </c>
      <c r="E111" s="58" t="inlineStr">
        <is>
          <t>East</t>
        </is>
      </c>
      <c r="F111" s="61" t="n">
        <v>1</v>
      </c>
      <c r="G111" s="62" t="n">
        <v>115.73</v>
      </c>
      <c r="H111" s="63" t="n">
        <v>0.058</v>
      </c>
      <c r="I111" s="62" t="n">
        <v>62.51</v>
      </c>
      <c r="J111" s="58" t="inlineStr">
        <is>
          <t>Online</t>
        </is>
      </c>
      <c r="K111" s="62">
        <f>F111*(G111-H111)</f>
        <v/>
      </c>
      <c r="L111" s="62">
        <f>K111-(F111*I111)</f>
        <v/>
      </c>
      <c r="M111" s="64">
        <f>L111/K111</f>
        <v/>
      </c>
    </row>
    <row r="112">
      <c r="A112" s="58" t="inlineStr">
        <is>
          <t>RT20250104-00111</t>
        </is>
      </c>
      <c r="B112" s="59" t="inlineStr">
        <is>
          <t>2025-01-04</t>
        </is>
      </c>
      <c r="C112" s="60" t="inlineStr">
        <is>
          <t>Polar Women S-662</t>
        </is>
      </c>
      <c r="D112" s="58" t="inlineStr">
        <is>
          <t>Apparel</t>
        </is>
      </c>
      <c r="E112" s="58" t="inlineStr">
        <is>
          <t>North</t>
        </is>
      </c>
      <c r="F112" s="61" t="n">
        <v>3</v>
      </c>
      <c r="G112" s="62" t="n">
        <v>159.64</v>
      </c>
      <c r="H112" s="63" t="n">
        <v>0.139</v>
      </c>
      <c r="I112" s="62" t="n">
        <v>97.17</v>
      </c>
      <c r="J112" s="58" t="inlineStr">
        <is>
          <t>Store</t>
        </is>
      </c>
      <c r="K112" s="62">
        <f>F112*(G112-H112)</f>
        <v/>
      </c>
      <c r="L112" s="62">
        <f>K112-(F112*I112)</f>
        <v/>
      </c>
      <c r="M112" s="64">
        <f>L112/K112</f>
        <v/>
      </c>
    </row>
    <row r="113">
      <c r="A113" s="58" t="inlineStr">
        <is>
          <t>RT20250104-00112</t>
        </is>
      </c>
      <c r="B113" s="59" t="inlineStr">
        <is>
          <t>2025-01-04</t>
        </is>
      </c>
      <c r="C113" s="60" t="inlineStr">
        <is>
          <t>Falcon Kitchen X-130</t>
        </is>
      </c>
      <c r="D113" s="58" t="inlineStr">
        <is>
          <t>Home</t>
        </is>
      </c>
      <c r="E113" s="58" t="inlineStr">
        <is>
          <t>South</t>
        </is>
      </c>
      <c r="F113" s="61" t="n">
        <v>2</v>
      </c>
      <c r="G113" s="62" t="n">
        <v>434.89</v>
      </c>
      <c r="H113" s="63" t="n">
        <v>0.036</v>
      </c>
      <c r="I113" s="62" t="n">
        <v>288.05</v>
      </c>
      <c r="J113" s="58" t="inlineStr">
        <is>
          <t>Online</t>
        </is>
      </c>
      <c r="K113" s="62">
        <f>F113*(G113-H113)</f>
        <v/>
      </c>
      <c r="L113" s="62">
        <f>K113-(F113*I113)</f>
        <v/>
      </c>
      <c r="M113" s="64">
        <f>L113/K113</f>
        <v/>
      </c>
    </row>
    <row r="114">
      <c r="A114" s="58" t="inlineStr">
        <is>
          <t>RT20250104-00113</t>
        </is>
      </c>
      <c r="B114" s="59" t="inlineStr">
        <is>
          <t>2025-01-04</t>
        </is>
      </c>
      <c r="C114" s="60" t="inlineStr">
        <is>
          <t>Aurora Smartphone Plus-125</t>
        </is>
      </c>
      <c r="D114" s="58" t="inlineStr">
        <is>
          <t>Electronics</t>
        </is>
      </c>
      <c r="E114" s="58" t="inlineStr">
        <is>
          <t>North</t>
        </is>
      </c>
      <c r="F114" s="61" t="n">
        <v>2</v>
      </c>
      <c r="G114" s="62" t="n">
        <v>1511.33</v>
      </c>
      <c r="H114" s="63" t="n">
        <v>0.064</v>
      </c>
      <c r="I114" s="62" t="n">
        <v>1221.14</v>
      </c>
      <c r="J114" s="58" t="inlineStr">
        <is>
          <t>Online</t>
        </is>
      </c>
      <c r="K114" s="62">
        <f>F114*(G114-H114)</f>
        <v/>
      </c>
      <c r="L114" s="62">
        <f>K114-(F114*I114)</f>
        <v/>
      </c>
      <c r="M114" s="64">
        <f>L114/K114</f>
        <v/>
      </c>
    </row>
    <row r="115">
      <c r="A115" s="58" t="inlineStr">
        <is>
          <t>RT20250104-00114</t>
        </is>
      </c>
      <c r="B115" s="59" t="inlineStr">
        <is>
          <t>2025-01-04</t>
        </is>
      </c>
      <c r="C115" s="60" t="inlineStr">
        <is>
          <t>Falcon Cycling Pro-499</t>
        </is>
      </c>
      <c r="D115" s="58" t="inlineStr">
        <is>
          <t>Sports</t>
        </is>
      </c>
      <c r="E115" s="58" t="inlineStr">
        <is>
          <t>Central</t>
        </is>
      </c>
      <c r="F115" s="61" t="n">
        <v>1</v>
      </c>
      <c r="G115" s="62" t="n">
        <v>571.67</v>
      </c>
      <c r="H115" s="63" t="n">
        <v>0.061</v>
      </c>
      <c r="I115" s="62" t="n">
        <v>407.8</v>
      </c>
      <c r="J115" s="58" t="inlineStr">
        <is>
          <t>Online</t>
        </is>
      </c>
      <c r="K115" s="62">
        <f>F115*(G115-H115)</f>
        <v/>
      </c>
      <c r="L115" s="62">
        <f>K115-(F115*I115)</f>
        <v/>
      </c>
      <c r="M115" s="64">
        <f>L115/K115</f>
        <v/>
      </c>
    </row>
    <row r="116">
      <c r="A116" s="58" t="inlineStr">
        <is>
          <t>RT20250104-00115</t>
        </is>
      </c>
      <c r="B116" s="59" t="inlineStr">
        <is>
          <t>2025-01-04</t>
        </is>
      </c>
      <c r="C116" s="60" t="inlineStr">
        <is>
          <t>Nimbus Women Lite-814</t>
        </is>
      </c>
      <c r="D116" s="58" t="inlineStr">
        <is>
          <t>Apparel</t>
        </is>
      </c>
      <c r="E116" s="58" t="inlineStr">
        <is>
          <t>East</t>
        </is>
      </c>
      <c r="F116" s="61" t="n">
        <v>1</v>
      </c>
      <c r="G116" s="62" t="n">
        <v>156.02</v>
      </c>
      <c r="H116" s="63" t="n">
        <v>0.043</v>
      </c>
      <c r="I116" s="62" t="n">
        <v>84.63</v>
      </c>
      <c r="J116" s="58" t="inlineStr">
        <is>
          <t>Online</t>
        </is>
      </c>
      <c r="K116" s="62">
        <f>F116*(G116-H116)</f>
        <v/>
      </c>
      <c r="L116" s="62">
        <f>K116-(F116*I116)</f>
        <v/>
      </c>
      <c r="M116" s="64">
        <f>L116/K116</f>
        <v/>
      </c>
    </row>
    <row r="117">
      <c r="A117" s="58" t="inlineStr">
        <is>
          <t>RT20250104-00116</t>
        </is>
      </c>
      <c r="B117" s="59" t="inlineStr">
        <is>
          <t>2025-01-04</t>
        </is>
      </c>
      <c r="C117" s="60" t="inlineStr">
        <is>
          <t>Polar Pantry Lite-392</t>
        </is>
      </c>
      <c r="D117" s="58" t="inlineStr">
        <is>
          <t>Grocery</t>
        </is>
      </c>
      <c r="E117" s="58" t="inlineStr">
        <is>
          <t>East</t>
        </is>
      </c>
      <c r="F117" s="61" t="n">
        <v>1</v>
      </c>
      <c r="G117" s="62" t="n">
        <v>6.22</v>
      </c>
      <c r="H117" s="63" t="n">
        <v>0.103</v>
      </c>
      <c r="I117" s="62" t="n">
        <v>4.54</v>
      </c>
      <c r="J117" s="58" t="inlineStr">
        <is>
          <t>Online</t>
        </is>
      </c>
      <c r="K117" s="62">
        <f>F117*(G117-H117)</f>
        <v/>
      </c>
      <c r="L117" s="62">
        <f>K117-(F117*I117)</f>
        <v/>
      </c>
      <c r="M117" s="64">
        <f>L117/K117</f>
        <v/>
      </c>
    </row>
    <row r="118">
      <c r="A118" s="58" t="inlineStr">
        <is>
          <t>RT20250104-00117</t>
        </is>
      </c>
      <c r="B118" s="59" t="inlineStr">
        <is>
          <t>2025-01-04</t>
        </is>
      </c>
      <c r="C118" s="60" t="inlineStr">
        <is>
          <t>Aurora Bedding Max-175</t>
        </is>
      </c>
      <c r="D118" s="58" t="inlineStr">
        <is>
          <t>Home</t>
        </is>
      </c>
      <c r="E118" s="58" t="inlineStr">
        <is>
          <t>Central</t>
        </is>
      </c>
      <c r="F118" s="61" t="n">
        <v>3</v>
      </c>
      <c r="G118" s="62" t="n">
        <v>619.9400000000001</v>
      </c>
      <c r="H118" s="63" t="n">
        <v>0.054</v>
      </c>
      <c r="I118" s="62" t="n">
        <v>405.1</v>
      </c>
      <c r="J118" s="58" t="inlineStr">
        <is>
          <t>Online</t>
        </is>
      </c>
      <c r="K118" s="62">
        <f>F118*(G118-H118)</f>
        <v/>
      </c>
      <c r="L118" s="62">
        <f>K118-(F118*I118)</f>
        <v/>
      </c>
      <c r="M118" s="64">
        <f>L118/K118</f>
        <v/>
      </c>
    </row>
    <row r="119">
      <c r="A119" s="58" t="inlineStr">
        <is>
          <t>RT20250104-00118</t>
        </is>
      </c>
      <c r="B119" s="59" t="inlineStr">
        <is>
          <t>2025-01-04</t>
        </is>
      </c>
      <c r="C119" s="60" t="inlineStr">
        <is>
          <t>Aurora Fragrance S-971</t>
        </is>
      </c>
      <c r="D119" s="58" t="inlineStr">
        <is>
          <t>Beauty</t>
        </is>
      </c>
      <c r="E119" s="58" t="inlineStr">
        <is>
          <t>East</t>
        </is>
      </c>
      <c r="F119" s="61" t="n">
        <v>2</v>
      </c>
      <c r="G119" s="62" t="n">
        <v>107.72</v>
      </c>
      <c r="H119" s="63" t="n">
        <v>0.042</v>
      </c>
      <c r="I119" s="62" t="n">
        <v>63.44</v>
      </c>
      <c r="J119" s="58" t="inlineStr">
        <is>
          <t>Online</t>
        </is>
      </c>
      <c r="K119" s="62">
        <f>F119*(G119-H119)</f>
        <v/>
      </c>
      <c r="L119" s="62">
        <f>K119-(F119*I119)</f>
        <v/>
      </c>
      <c r="M119" s="64">
        <f>L119/K119</f>
        <v/>
      </c>
    </row>
    <row r="120">
      <c r="A120" s="58" t="inlineStr">
        <is>
          <t>RT20250104-00119</t>
        </is>
      </c>
      <c r="B120" s="59" t="inlineStr">
        <is>
          <t>2025-01-04</t>
        </is>
      </c>
      <c r="C120" s="60" t="inlineStr">
        <is>
          <t>Falcon Household Plus-172</t>
        </is>
      </c>
      <c r="D120" s="58" t="inlineStr">
        <is>
          <t>Grocery</t>
        </is>
      </c>
      <c r="E120" s="58" t="inlineStr">
        <is>
          <t>East</t>
        </is>
      </c>
      <c r="F120" s="61" t="n">
        <v>3</v>
      </c>
      <c r="G120" s="62" t="n">
        <v>22.46</v>
      </c>
      <c r="H120" s="63" t="n">
        <v>0.055</v>
      </c>
      <c r="I120" s="62" t="n">
        <v>16.13</v>
      </c>
      <c r="J120" s="58" t="inlineStr">
        <is>
          <t>Store</t>
        </is>
      </c>
      <c r="K120" s="62">
        <f>F120*(G120-H120)</f>
        <v/>
      </c>
      <c r="L120" s="62">
        <f>K120-(F120*I120)</f>
        <v/>
      </c>
      <c r="M120" s="64">
        <f>L120/K120</f>
        <v/>
      </c>
    </row>
    <row r="121">
      <c r="A121" s="58" t="inlineStr">
        <is>
          <t>RT20250104-00120</t>
        </is>
      </c>
      <c r="B121" s="59" t="inlineStr">
        <is>
          <t>2025-01-04</t>
        </is>
      </c>
      <c r="C121" s="60" t="inlineStr">
        <is>
          <t>Polar Decor X-935</t>
        </is>
      </c>
      <c r="D121" s="58" t="inlineStr">
        <is>
          <t>Home</t>
        </is>
      </c>
      <c r="E121" s="58" t="inlineStr">
        <is>
          <t>East</t>
        </is>
      </c>
      <c r="F121" s="61" t="n">
        <v>1</v>
      </c>
      <c r="G121" s="62" t="n">
        <v>297.42</v>
      </c>
      <c r="H121" s="63" t="n">
        <v>0.048</v>
      </c>
      <c r="I121" s="62" t="n">
        <v>205.05</v>
      </c>
      <c r="J121" s="58" t="inlineStr">
        <is>
          <t>Online</t>
        </is>
      </c>
      <c r="K121" s="62">
        <f>F121*(G121-H121)</f>
        <v/>
      </c>
      <c r="L121" s="62">
        <f>K121-(F121*I121)</f>
        <v/>
      </c>
      <c r="M121" s="64">
        <f>L121/K121</f>
        <v/>
      </c>
    </row>
    <row r="122">
      <c r="A122" s="58" t="inlineStr">
        <is>
          <t>RT20250104-00121</t>
        </is>
      </c>
      <c r="B122" s="59" t="inlineStr">
        <is>
          <t>2025-01-04</t>
        </is>
      </c>
      <c r="C122" s="60" t="inlineStr">
        <is>
          <t>Metro Laptop Plus-376</t>
        </is>
      </c>
      <c r="D122" s="58" t="inlineStr">
        <is>
          <t>Electronics</t>
        </is>
      </c>
      <c r="E122" s="58" t="inlineStr">
        <is>
          <t>Central</t>
        </is>
      </c>
      <c r="F122" s="61" t="n">
        <v>1</v>
      </c>
      <c r="G122" s="62" t="n">
        <v>1349.18</v>
      </c>
      <c r="H122" s="63" t="n">
        <v>0.047</v>
      </c>
      <c r="I122" s="62" t="n">
        <v>1035.56</v>
      </c>
      <c r="J122" s="58" t="inlineStr">
        <is>
          <t>Online</t>
        </is>
      </c>
      <c r="K122" s="62">
        <f>F122*(G122-H122)</f>
        <v/>
      </c>
      <c r="L122" s="62">
        <f>K122-(F122*I122)</f>
        <v/>
      </c>
      <c r="M122" s="64">
        <f>L122/K122</f>
        <v/>
      </c>
    </row>
    <row r="123">
      <c r="A123" s="58" t="inlineStr">
        <is>
          <t>RT20250104-00122</t>
        </is>
      </c>
      <c r="B123" s="59" t="inlineStr">
        <is>
          <t>2025-01-04</t>
        </is>
      </c>
      <c r="C123" s="60" t="inlineStr">
        <is>
          <t>Vertex Supplie Pro-786</t>
        </is>
      </c>
      <c r="D123" s="58" t="inlineStr">
        <is>
          <t>Office</t>
        </is>
      </c>
      <c r="E123" s="58" t="inlineStr">
        <is>
          <t>Central</t>
        </is>
      </c>
      <c r="F123" s="61" t="n">
        <v>2</v>
      </c>
      <c r="G123" s="62" t="n">
        <v>432.22</v>
      </c>
      <c r="H123" s="63" t="n">
        <v>0.05</v>
      </c>
      <c r="I123" s="62" t="n">
        <v>296.59</v>
      </c>
      <c r="J123" s="58" t="inlineStr">
        <is>
          <t>Online</t>
        </is>
      </c>
      <c r="K123" s="62">
        <f>F123*(G123-H123)</f>
        <v/>
      </c>
      <c r="L123" s="62">
        <f>K123-(F123*I123)</f>
        <v/>
      </c>
      <c r="M123" s="64">
        <f>L123/K123</f>
        <v/>
      </c>
    </row>
    <row r="124">
      <c r="A124" s="58" t="inlineStr">
        <is>
          <t>RT20250104-00123</t>
        </is>
      </c>
      <c r="B124" s="59" t="inlineStr">
        <is>
          <t>2025-01-04</t>
        </is>
      </c>
      <c r="C124" s="60" t="inlineStr">
        <is>
          <t>Metro Accessorie Lite-697</t>
        </is>
      </c>
      <c r="D124" s="58" t="inlineStr">
        <is>
          <t>Apparel</t>
        </is>
      </c>
      <c r="E124" s="58" t="inlineStr">
        <is>
          <t>West</t>
        </is>
      </c>
      <c r="F124" s="61" t="n">
        <v>4</v>
      </c>
      <c r="G124" s="62" t="n">
        <v>113.95</v>
      </c>
      <c r="H124" s="63" t="n">
        <v>0.03</v>
      </c>
      <c r="I124" s="62" t="n">
        <v>76.41</v>
      </c>
      <c r="J124" s="58" t="inlineStr">
        <is>
          <t>Online</t>
        </is>
      </c>
      <c r="K124" s="62">
        <f>F124*(G124-H124)</f>
        <v/>
      </c>
      <c r="L124" s="62">
        <f>K124-(F124*I124)</f>
        <v/>
      </c>
      <c r="M124" s="64">
        <f>L124/K124</f>
        <v/>
      </c>
    </row>
    <row r="125">
      <c r="A125" s="58" t="inlineStr">
        <is>
          <t>RT20250104-00124</t>
        </is>
      </c>
      <c r="B125" s="59" t="inlineStr">
        <is>
          <t>2025-01-04</t>
        </is>
      </c>
      <c r="C125" s="60" t="inlineStr">
        <is>
          <t>Nimbus Women Plus-352</t>
        </is>
      </c>
      <c r="D125" s="58" t="inlineStr">
        <is>
          <t>Apparel</t>
        </is>
      </c>
      <c r="E125" s="58" t="inlineStr">
        <is>
          <t>West</t>
        </is>
      </c>
      <c r="F125" s="61" t="n">
        <v>1</v>
      </c>
      <c r="G125" s="62" t="n">
        <v>57.36</v>
      </c>
      <c r="H125" s="63" t="n">
        <v>0.11</v>
      </c>
      <c r="I125" s="62" t="n">
        <v>33.36</v>
      </c>
      <c r="J125" s="58" t="inlineStr">
        <is>
          <t>Online</t>
        </is>
      </c>
      <c r="K125" s="62">
        <f>F125*(G125-H125)</f>
        <v/>
      </c>
      <c r="L125" s="62">
        <f>K125-(F125*I125)</f>
        <v/>
      </c>
      <c r="M125" s="64">
        <f>L125/K125</f>
        <v/>
      </c>
    </row>
    <row r="126">
      <c r="A126" s="58" t="inlineStr">
        <is>
          <t>RT20250104-00125</t>
        </is>
      </c>
      <c r="B126" s="59" t="inlineStr">
        <is>
          <t>2025-01-04</t>
        </is>
      </c>
      <c r="C126" s="60" t="inlineStr">
        <is>
          <t>Nimbus Fitnes Lite-516</t>
        </is>
      </c>
      <c r="D126" s="58" t="inlineStr">
        <is>
          <t>Sports</t>
        </is>
      </c>
      <c r="E126" s="58" t="inlineStr">
        <is>
          <t>West</t>
        </is>
      </c>
      <c r="F126" s="61" t="n">
        <v>3</v>
      </c>
      <c r="G126" s="62" t="n">
        <v>769.77</v>
      </c>
      <c r="H126" s="63" t="n">
        <v>0</v>
      </c>
      <c r="I126" s="62" t="n">
        <v>459.65</v>
      </c>
      <c r="J126" s="58" t="inlineStr">
        <is>
          <t>Store</t>
        </is>
      </c>
      <c r="K126" s="62">
        <f>F126*(G126-H126)</f>
        <v/>
      </c>
      <c r="L126" s="62">
        <f>K126-(F126*I126)</f>
        <v/>
      </c>
      <c r="M126" s="64">
        <f>L126/K126</f>
        <v/>
      </c>
    </row>
    <row r="127">
      <c r="A127" s="58" t="inlineStr">
        <is>
          <t>RT20250104-00126</t>
        </is>
      </c>
      <c r="B127" s="59" t="inlineStr">
        <is>
          <t>2025-01-04</t>
        </is>
      </c>
      <c r="C127" s="60" t="inlineStr">
        <is>
          <t>Solace Makeup Pro-214</t>
        </is>
      </c>
      <c r="D127" s="58" t="inlineStr">
        <is>
          <t>Beauty</t>
        </is>
      </c>
      <c r="E127" s="58" t="inlineStr">
        <is>
          <t>West</t>
        </is>
      </c>
      <c r="F127" s="61" t="n">
        <v>3</v>
      </c>
      <c r="G127" s="62" t="n">
        <v>99.09</v>
      </c>
      <c r="H127" s="63" t="n">
        <v>0.037</v>
      </c>
      <c r="I127" s="62" t="n">
        <v>66.94</v>
      </c>
      <c r="J127" s="58" t="inlineStr">
        <is>
          <t>Store</t>
        </is>
      </c>
      <c r="K127" s="62">
        <f>F127*(G127-H127)</f>
        <v/>
      </c>
      <c r="L127" s="62">
        <f>K127-(F127*I127)</f>
        <v/>
      </c>
      <c r="M127" s="64">
        <f>L127/K127</f>
        <v/>
      </c>
    </row>
    <row r="128">
      <c r="A128" s="58" t="inlineStr">
        <is>
          <t>RT20250104-00127</t>
        </is>
      </c>
      <c r="B128" s="59" t="inlineStr">
        <is>
          <t>2025-01-04</t>
        </is>
      </c>
      <c r="C128" s="60" t="inlineStr">
        <is>
          <t>Polar Outdoor X-193</t>
        </is>
      </c>
      <c r="D128" s="58" t="inlineStr">
        <is>
          <t>Sports</t>
        </is>
      </c>
      <c r="E128" s="58" t="inlineStr">
        <is>
          <t>South</t>
        </is>
      </c>
      <c r="F128" s="61" t="n">
        <v>3</v>
      </c>
      <c r="G128" s="62" t="n">
        <v>675.59</v>
      </c>
      <c r="H128" s="63" t="n">
        <v>0.092</v>
      </c>
      <c r="I128" s="62" t="n">
        <v>448.74</v>
      </c>
      <c r="J128" s="58" t="inlineStr">
        <is>
          <t>Online</t>
        </is>
      </c>
      <c r="K128" s="62">
        <f>F128*(G128-H128)</f>
        <v/>
      </c>
      <c r="L128" s="62">
        <f>K128-(F128*I128)</f>
        <v/>
      </c>
      <c r="M128" s="64">
        <f>L128/K128</f>
        <v/>
      </c>
    </row>
    <row r="129">
      <c r="A129" s="58" t="inlineStr">
        <is>
          <t>RT20250104-00128</t>
        </is>
      </c>
      <c r="B129" s="59" t="inlineStr">
        <is>
          <t>2025-01-04</t>
        </is>
      </c>
      <c r="C129" s="60" t="inlineStr">
        <is>
          <t>Aurora Printer Plus-723</t>
        </is>
      </c>
      <c r="D129" s="58" t="inlineStr">
        <is>
          <t>Office</t>
        </is>
      </c>
      <c r="E129" s="58" t="inlineStr">
        <is>
          <t>East</t>
        </is>
      </c>
      <c r="F129" s="61" t="n">
        <v>1</v>
      </c>
      <c r="G129" s="62" t="n">
        <v>251.1</v>
      </c>
      <c r="H129" s="63" t="n">
        <v>0.035</v>
      </c>
      <c r="I129" s="62" t="n">
        <v>190.76</v>
      </c>
      <c r="J129" s="58" t="inlineStr">
        <is>
          <t>Online</t>
        </is>
      </c>
      <c r="K129" s="62">
        <f>F129*(G129-H129)</f>
        <v/>
      </c>
      <c r="L129" s="62">
        <f>K129-(F129*I129)</f>
        <v/>
      </c>
      <c r="M129" s="64">
        <f>L129/K129</f>
        <v/>
      </c>
    </row>
    <row r="130">
      <c r="A130" s="58" t="inlineStr">
        <is>
          <t>RT20250104-00129</t>
        </is>
      </c>
      <c r="B130" s="59" t="inlineStr">
        <is>
          <t>2025-01-04</t>
        </is>
      </c>
      <c r="C130" s="60" t="inlineStr">
        <is>
          <t>Aurora Printer Plus-991</t>
        </is>
      </c>
      <c r="D130" s="58" t="inlineStr">
        <is>
          <t>Office</t>
        </is>
      </c>
      <c r="E130" s="58" t="inlineStr">
        <is>
          <t>Central</t>
        </is>
      </c>
      <c r="F130" s="61" t="n">
        <v>1</v>
      </c>
      <c r="G130" s="62" t="n">
        <v>532.67</v>
      </c>
      <c r="H130" s="63" t="n">
        <v>0.046</v>
      </c>
      <c r="I130" s="62" t="n">
        <v>367.09</v>
      </c>
      <c r="J130" s="58" t="inlineStr">
        <is>
          <t>Phone</t>
        </is>
      </c>
      <c r="K130" s="62">
        <f>F130*(G130-H130)</f>
        <v/>
      </c>
      <c r="L130" s="62">
        <f>K130-(F130*I130)</f>
        <v/>
      </c>
      <c r="M130" s="64">
        <f>L130/K130</f>
        <v/>
      </c>
    </row>
    <row r="131">
      <c r="A131" s="58" t="inlineStr">
        <is>
          <t>RT20250104-00130</t>
        </is>
      </c>
      <c r="B131" s="59" t="inlineStr">
        <is>
          <t>2025-01-04</t>
        </is>
      </c>
      <c r="C131" s="60" t="inlineStr">
        <is>
          <t>Falcon Beverage Max-702</t>
        </is>
      </c>
      <c r="D131" s="58" t="inlineStr">
        <is>
          <t>Grocery</t>
        </is>
      </c>
      <c r="E131" s="58" t="inlineStr">
        <is>
          <t>West</t>
        </is>
      </c>
      <c r="F131" s="61" t="n">
        <v>1</v>
      </c>
      <c r="G131" s="62" t="n">
        <v>27.84</v>
      </c>
      <c r="H131" s="63" t="n">
        <v>0.032</v>
      </c>
      <c r="I131" s="62" t="n">
        <v>20.21</v>
      </c>
      <c r="J131" s="58" t="inlineStr">
        <is>
          <t>Store</t>
        </is>
      </c>
      <c r="K131" s="62">
        <f>F131*(G131-H131)</f>
        <v/>
      </c>
      <c r="L131" s="62">
        <f>K131-(F131*I131)</f>
        <v/>
      </c>
      <c r="M131" s="64">
        <f>L131/K131</f>
        <v/>
      </c>
    </row>
    <row r="132">
      <c r="A132" s="58" t="inlineStr">
        <is>
          <t>RT20250104-00131</t>
        </is>
      </c>
      <c r="B132" s="59" t="inlineStr">
        <is>
          <t>2025-01-04</t>
        </is>
      </c>
      <c r="C132" s="60" t="inlineStr">
        <is>
          <t>Aurora Furniture X-709</t>
        </is>
      </c>
      <c r="D132" s="58" t="inlineStr">
        <is>
          <t>Office</t>
        </is>
      </c>
      <c r="E132" s="58" t="inlineStr">
        <is>
          <t>North</t>
        </is>
      </c>
      <c r="F132" s="61" t="n">
        <v>3</v>
      </c>
      <c r="G132" s="62" t="n">
        <v>427.87</v>
      </c>
      <c r="H132" s="63" t="n">
        <v>0.07099999999999999</v>
      </c>
      <c r="I132" s="62" t="n">
        <v>311.88</v>
      </c>
      <c r="J132" s="58" t="inlineStr">
        <is>
          <t>Store</t>
        </is>
      </c>
      <c r="K132" s="62">
        <f>F132*(G132-H132)</f>
        <v/>
      </c>
      <c r="L132" s="62">
        <f>K132-(F132*I132)</f>
        <v/>
      </c>
      <c r="M132" s="64">
        <f>L132/K132</f>
        <v/>
      </c>
    </row>
    <row r="133">
      <c r="A133" s="58" t="inlineStr">
        <is>
          <t>RT20250105-00132</t>
        </is>
      </c>
      <c r="B133" s="59" t="inlineStr">
        <is>
          <t>2025-01-05</t>
        </is>
      </c>
      <c r="C133" s="60" t="inlineStr">
        <is>
          <t>Aurora Kid Plus-151</t>
        </is>
      </c>
      <c r="D133" s="58" t="inlineStr">
        <is>
          <t>Apparel</t>
        </is>
      </c>
      <c r="E133" s="58" t="inlineStr">
        <is>
          <t>South</t>
        </is>
      </c>
      <c r="F133" s="61" t="n">
        <v>3</v>
      </c>
      <c r="G133" s="62" t="n">
        <v>120.41</v>
      </c>
      <c r="H133" s="63" t="n">
        <v>0.07199999999999999</v>
      </c>
      <c r="I133" s="62" t="n">
        <v>65.47</v>
      </c>
      <c r="J133" s="58" t="inlineStr">
        <is>
          <t>Online</t>
        </is>
      </c>
      <c r="K133" s="62">
        <f>F133*(G133-H133)</f>
        <v/>
      </c>
      <c r="L133" s="62">
        <f>K133-(F133*I133)</f>
        <v/>
      </c>
      <c r="M133" s="64">
        <f>L133/K133</f>
        <v/>
      </c>
    </row>
    <row r="134">
      <c r="A134" s="58" t="inlineStr">
        <is>
          <t>RT20250105-00133</t>
        </is>
      </c>
      <c r="B134" s="59" t="inlineStr">
        <is>
          <t>2025-01-05</t>
        </is>
      </c>
      <c r="C134" s="60" t="inlineStr">
        <is>
          <t>Vertex Fitnes Pro-830</t>
        </is>
      </c>
      <c r="D134" s="58" t="inlineStr">
        <is>
          <t>Sports</t>
        </is>
      </c>
      <c r="E134" s="58" t="inlineStr">
        <is>
          <t>East</t>
        </is>
      </c>
      <c r="F134" s="61" t="n">
        <v>3</v>
      </c>
      <c r="G134" s="62" t="n">
        <v>807.58</v>
      </c>
      <c r="H134" s="63" t="n">
        <v>0.057</v>
      </c>
      <c r="I134" s="62" t="n">
        <v>487.51</v>
      </c>
      <c r="J134" s="58" t="inlineStr">
        <is>
          <t>Online</t>
        </is>
      </c>
      <c r="K134" s="62">
        <f>F134*(G134-H134)</f>
        <v/>
      </c>
      <c r="L134" s="62">
        <f>K134-(F134*I134)</f>
        <v/>
      </c>
      <c r="M134" s="64">
        <f>L134/K134</f>
        <v/>
      </c>
    </row>
    <row r="135">
      <c r="A135" s="58" t="inlineStr">
        <is>
          <t>RT20250105-00134</t>
        </is>
      </c>
      <c r="B135" s="59" t="inlineStr">
        <is>
          <t>2025-01-05</t>
        </is>
      </c>
      <c r="C135" s="60" t="inlineStr">
        <is>
          <t>Aurora Makeup Pro-489</t>
        </is>
      </c>
      <c r="D135" s="58" t="inlineStr">
        <is>
          <t>Beauty</t>
        </is>
      </c>
      <c r="E135" s="58" t="inlineStr">
        <is>
          <t>East</t>
        </is>
      </c>
      <c r="F135" s="61" t="n">
        <v>2</v>
      </c>
      <c r="G135" s="62" t="n">
        <v>108.43</v>
      </c>
      <c r="H135" s="63" t="n">
        <v>0.065</v>
      </c>
      <c r="I135" s="62" t="n">
        <v>62.96</v>
      </c>
      <c r="J135" s="58" t="inlineStr">
        <is>
          <t>Store</t>
        </is>
      </c>
      <c r="K135" s="62">
        <f>F135*(G135-H135)</f>
        <v/>
      </c>
      <c r="L135" s="62">
        <f>K135-(F135*I135)</f>
        <v/>
      </c>
      <c r="M135" s="64">
        <f>L135/K135</f>
        <v/>
      </c>
    </row>
    <row r="136">
      <c r="A136" s="58" t="inlineStr">
        <is>
          <t>RT20250105-00135</t>
        </is>
      </c>
      <c r="B136" s="59" t="inlineStr">
        <is>
          <t>2025-01-05</t>
        </is>
      </c>
      <c r="C136" s="60" t="inlineStr">
        <is>
          <t>Vertex Printer Max-692</t>
        </is>
      </c>
      <c r="D136" s="58" t="inlineStr">
        <is>
          <t>Office</t>
        </is>
      </c>
      <c r="E136" s="58" t="inlineStr">
        <is>
          <t>Central</t>
        </is>
      </c>
      <c r="F136" s="61" t="n">
        <v>3</v>
      </c>
      <c r="G136" s="62" t="n">
        <v>202.1</v>
      </c>
      <c r="H136" s="63" t="n">
        <v>0.063</v>
      </c>
      <c r="I136" s="62" t="n">
        <v>121.8</v>
      </c>
      <c r="J136" s="58" t="inlineStr">
        <is>
          <t>Online</t>
        </is>
      </c>
      <c r="K136" s="62">
        <f>F136*(G136-H136)</f>
        <v/>
      </c>
      <c r="L136" s="62">
        <f>K136-(F136*I136)</f>
        <v/>
      </c>
      <c r="M136" s="64">
        <f>L136/K136</f>
        <v/>
      </c>
    </row>
    <row r="137">
      <c r="A137" s="58" t="inlineStr">
        <is>
          <t>RT20250105-00136</t>
        </is>
      </c>
      <c r="B137" s="59" t="inlineStr">
        <is>
          <t>2025-01-05</t>
        </is>
      </c>
      <c r="C137" s="60" t="inlineStr">
        <is>
          <t>Vertex Decor Pro-618</t>
        </is>
      </c>
      <c r="D137" s="58" t="inlineStr">
        <is>
          <t>Home</t>
        </is>
      </c>
      <c r="E137" s="58" t="inlineStr">
        <is>
          <t>Central</t>
        </is>
      </c>
      <c r="F137" s="61" t="n">
        <v>1</v>
      </c>
      <c r="G137" s="62" t="n">
        <v>594.87</v>
      </c>
      <c r="H137" s="63" t="n">
        <v>0.036</v>
      </c>
      <c r="I137" s="62" t="n">
        <v>376.07</v>
      </c>
      <c r="J137" s="58" t="inlineStr">
        <is>
          <t>Store</t>
        </is>
      </c>
      <c r="K137" s="62">
        <f>F137*(G137-H137)</f>
        <v/>
      </c>
      <c r="L137" s="62">
        <f>K137-(F137*I137)</f>
        <v/>
      </c>
      <c r="M137" s="64">
        <f>L137/K137</f>
        <v/>
      </c>
    </row>
    <row r="138">
      <c r="A138" s="58" t="inlineStr">
        <is>
          <t>RT20250105-00137</t>
        </is>
      </c>
      <c r="B138" s="59" t="inlineStr">
        <is>
          <t>2025-01-05</t>
        </is>
      </c>
      <c r="C138" s="60" t="inlineStr">
        <is>
          <t>Orion Men X-928</t>
        </is>
      </c>
      <c r="D138" s="58" t="inlineStr">
        <is>
          <t>Apparel</t>
        </is>
      </c>
      <c r="E138" s="58" t="inlineStr">
        <is>
          <t>East</t>
        </is>
      </c>
      <c r="F138" s="61" t="n">
        <v>2</v>
      </c>
      <c r="G138" s="62" t="n">
        <v>118.04</v>
      </c>
      <c r="H138" s="63" t="n">
        <v>0.05</v>
      </c>
      <c r="I138" s="62" t="n">
        <v>64.28</v>
      </c>
      <c r="J138" s="58" t="inlineStr">
        <is>
          <t>Store</t>
        </is>
      </c>
      <c r="K138" s="62">
        <f>F138*(G138-H138)</f>
        <v/>
      </c>
      <c r="L138" s="62">
        <f>K138-(F138*I138)</f>
        <v/>
      </c>
      <c r="M138" s="64">
        <f>L138/K138</f>
        <v/>
      </c>
    </row>
    <row r="139">
      <c r="A139" s="58" t="inlineStr">
        <is>
          <t>RT20250105-00138</t>
        </is>
      </c>
      <c r="B139" s="59" t="inlineStr">
        <is>
          <t>2025-01-05</t>
        </is>
      </c>
      <c r="C139" s="60" t="inlineStr">
        <is>
          <t>Polar Decor Plus-505</t>
        </is>
      </c>
      <c r="D139" s="58" t="inlineStr">
        <is>
          <t>Home</t>
        </is>
      </c>
      <c r="E139" s="58" t="inlineStr">
        <is>
          <t>North</t>
        </is>
      </c>
      <c r="F139" s="61" t="n">
        <v>2</v>
      </c>
      <c r="G139" s="62" t="n">
        <v>277.56</v>
      </c>
      <c r="H139" s="63" t="n">
        <v>0.046</v>
      </c>
      <c r="I139" s="62" t="n">
        <v>201.5</v>
      </c>
      <c r="J139" s="58" t="inlineStr">
        <is>
          <t>Online</t>
        </is>
      </c>
      <c r="K139" s="62">
        <f>F139*(G139-H139)</f>
        <v/>
      </c>
      <c r="L139" s="62">
        <f>K139-(F139*I139)</f>
        <v/>
      </c>
      <c r="M139" s="64">
        <f>L139/K139</f>
        <v/>
      </c>
    </row>
    <row r="140">
      <c r="A140" s="58" t="inlineStr">
        <is>
          <t>RT20250105-00139</t>
        </is>
      </c>
      <c r="B140" s="59" t="inlineStr">
        <is>
          <t>2025-01-05</t>
        </is>
      </c>
      <c r="C140" s="60" t="inlineStr">
        <is>
          <t>Solace Headphone Pro-344</t>
        </is>
      </c>
      <c r="D140" s="58" t="inlineStr">
        <is>
          <t>Electronics</t>
        </is>
      </c>
      <c r="E140" s="58" t="inlineStr">
        <is>
          <t>North</t>
        </is>
      </c>
      <c r="F140" s="61" t="n">
        <v>2</v>
      </c>
      <c r="G140" s="62" t="n">
        <v>1472.4</v>
      </c>
      <c r="H140" s="63" t="n">
        <v>0.012</v>
      </c>
      <c r="I140" s="62" t="n">
        <v>1053.37</v>
      </c>
      <c r="J140" s="58" t="inlineStr">
        <is>
          <t>Phone</t>
        </is>
      </c>
      <c r="K140" s="62">
        <f>F140*(G140-H140)</f>
        <v/>
      </c>
      <c r="L140" s="62">
        <f>K140-(F140*I140)</f>
        <v/>
      </c>
      <c r="M140" s="64">
        <f>L140/K140</f>
        <v/>
      </c>
    </row>
    <row r="141">
      <c r="A141" s="58" t="inlineStr">
        <is>
          <t>RT20250105-00140</t>
        </is>
      </c>
      <c r="B141" s="59" t="inlineStr">
        <is>
          <t>2025-01-05</t>
        </is>
      </c>
      <c r="C141" s="60" t="inlineStr">
        <is>
          <t>Falcon Beverage Max-702</t>
        </is>
      </c>
      <c r="D141" s="58" t="inlineStr">
        <is>
          <t>Grocery</t>
        </is>
      </c>
      <c r="E141" s="58" t="inlineStr">
        <is>
          <t>East</t>
        </is>
      </c>
      <c r="F141" s="61" t="n">
        <v>4</v>
      </c>
      <c r="G141" s="62" t="n">
        <v>29.28</v>
      </c>
      <c r="H141" s="63" t="n">
        <v>0.074</v>
      </c>
      <c r="I141" s="62" t="n">
        <v>20.49</v>
      </c>
      <c r="J141" s="58" t="inlineStr">
        <is>
          <t>Online</t>
        </is>
      </c>
      <c r="K141" s="62">
        <f>F141*(G141-H141)</f>
        <v/>
      </c>
      <c r="L141" s="62">
        <f>K141-(F141*I141)</f>
        <v/>
      </c>
      <c r="M141" s="64">
        <f>L141/K141</f>
        <v/>
      </c>
    </row>
    <row r="142">
      <c r="A142" s="58" t="inlineStr">
        <is>
          <t>RT20250105-00141</t>
        </is>
      </c>
      <c r="B142" s="59" t="inlineStr">
        <is>
          <t>2025-01-05</t>
        </is>
      </c>
      <c r="C142" s="60" t="inlineStr">
        <is>
          <t>Metro Wearable Plus-234</t>
        </is>
      </c>
      <c r="D142" s="58" t="inlineStr">
        <is>
          <t>Electronics</t>
        </is>
      </c>
      <c r="E142" s="58" t="inlineStr">
        <is>
          <t>West</t>
        </is>
      </c>
      <c r="F142" s="61" t="n">
        <v>1</v>
      </c>
      <c r="G142" s="62" t="n">
        <v>1679.43</v>
      </c>
      <c r="H142" s="63" t="n">
        <v>0.013</v>
      </c>
      <c r="I142" s="62" t="n">
        <v>1152.41</v>
      </c>
      <c r="J142" s="58" t="inlineStr">
        <is>
          <t>Store</t>
        </is>
      </c>
      <c r="K142" s="62">
        <f>F142*(G142-H142)</f>
        <v/>
      </c>
      <c r="L142" s="62">
        <f>K142-(F142*I142)</f>
        <v/>
      </c>
      <c r="M142" s="64">
        <f>L142/K142</f>
        <v/>
      </c>
    </row>
    <row r="143">
      <c r="A143" s="58" t="inlineStr">
        <is>
          <t>RT20250105-00142</t>
        </is>
      </c>
      <c r="B143" s="59" t="inlineStr">
        <is>
          <t>2025-01-05</t>
        </is>
      </c>
      <c r="C143" s="60" t="inlineStr">
        <is>
          <t>Aurora Team Sport Plus-256</t>
        </is>
      </c>
      <c r="D143" s="58" t="inlineStr">
        <is>
          <t>Sports</t>
        </is>
      </c>
      <c r="E143" s="58" t="inlineStr">
        <is>
          <t>South</t>
        </is>
      </c>
      <c r="F143" s="61" t="n">
        <v>3</v>
      </c>
      <c r="G143" s="62" t="n">
        <v>498.31</v>
      </c>
      <c r="H143" s="63" t="n">
        <v>0.026</v>
      </c>
      <c r="I143" s="62" t="n">
        <v>427.14</v>
      </c>
      <c r="J143" s="58" t="inlineStr">
        <is>
          <t>Online</t>
        </is>
      </c>
      <c r="K143" s="62">
        <f>F143*(G143-H143)</f>
        <v/>
      </c>
      <c r="L143" s="62">
        <f>K143-(F143*I143)</f>
        <v/>
      </c>
      <c r="M143" s="64">
        <f>L143/K143</f>
        <v/>
      </c>
    </row>
    <row r="144">
      <c r="A144" s="58" t="inlineStr">
        <is>
          <t>RT20250105-00143</t>
        </is>
      </c>
      <c r="B144" s="59" t="inlineStr">
        <is>
          <t>2025-01-05</t>
        </is>
      </c>
      <c r="C144" s="60" t="inlineStr">
        <is>
          <t>Solace Team Sport Max-548</t>
        </is>
      </c>
      <c r="D144" s="58" t="inlineStr">
        <is>
          <t>Sports</t>
        </is>
      </c>
      <c r="E144" s="58" t="inlineStr">
        <is>
          <t>North</t>
        </is>
      </c>
      <c r="F144" s="61" t="n">
        <v>2</v>
      </c>
      <c r="G144" s="62" t="n">
        <v>704.49</v>
      </c>
      <c r="H144" s="63" t="n">
        <v>0.038</v>
      </c>
      <c r="I144" s="62" t="n">
        <v>487.69</v>
      </c>
      <c r="J144" s="58" t="inlineStr">
        <is>
          <t>Online</t>
        </is>
      </c>
      <c r="K144" s="62">
        <f>F144*(G144-H144)</f>
        <v/>
      </c>
      <c r="L144" s="62">
        <f>K144-(F144*I144)</f>
        <v/>
      </c>
      <c r="M144" s="64">
        <f>L144/K144</f>
        <v/>
      </c>
    </row>
    <row r="145">
      <c r="A145" s="58" t="inlineStr">
        <is>
          <t>RT20250105-00144</t>
        </is>
      </c>
      <c r="B145" s="59" t="inlineStr">
        <is>
          <t>2025-01-05</t>
        </is>
      </c>
      <c r="C145" s="60" t="inlineStr">
        <is>
          <t>Solace Laptop S-367</t>
        </is>
      </c>
      <c r="D145" s="58" t="inlineStr">
        <is>
          <t>Electronics</t>
        </is>
      </c>
      <c r="E145" s="58" t="inlineStr">
        <is>
          <t>Central</t>
        </is>
      </c>
      <c r="F145" s="61" t="n">
        <v>1</v>
      </c>
      <c r="G145" s="62" t="n">
        <v>2165.74</v>
      </c>
      <c r="H145" s="63" t="n">
        <v>0.073</v>
      </c>
      <c r="I145" s="62" t="n">
        <v>1562.5</v>
      </c>
      <c r="J145" s="58" t="inlineStr">
        <is>
          <t>Store</t>
        </is>
      </c>
      <c r="K145" s="62">
        <f>F145*(G145-H145)</f>
        <v/>
      </c>
      <c r="L145" s="62">
        <f>K145-(F145*I145)</f>
        <v/>
      </c>
      <c r="M145" s="64">
        <f>L145/K145</f>
        <v/>
      </c>
    </row>
    <row r="146">
      <c r="A146" s="58" t="inlineStr">
        <is>
          <t>RT20250105-00145</t>
        </is>
      </c>
      <c r="B146" s="59" t="inlineStr">
        <is>
          <t>2025-01-05</t>
        </is>
      </c>
      <c r="C146" s="60" t="inlineStr">
        <is>
          <t>Aurora Household Plus-146</t>
        </is>
      </c>
      <c r="D146" s="58" t="inlineStr">
        <is>
          <t>Grocery</t>
        </is>
      </c>
      <c r="E146" s="58" t="inlineStr">
        <is>
          <t>East</t>
        </is>
      </c>
      <c r="F146" s="61" t="n">
        <v>6</v>
      </c>
      <c r="G146" s="62" t="n">
        <v>6.27</v>
      </c>
      <c r="H146" s="63" t="n">
        <v>0.063</v>
      </c>
      <c r="I146" s="62" t="n">
        <v>4.62</v>
      </c>
      <c r="J146" s="58" t="inlineStr">
        <is>
          <t>Store</t>
        </is>
      </c>
      <c r="K146" s="62">
        <f>F146*(G146-H146)</f>
        <v/>
      </c>
      <c r="L146" s="62">
        <f>K146-(F146*I146)</f>
        <v/>
      </c>
      <c r="M146" s="64">
        <f>L146/K146</f>
        <v/>
      </c>
    </row>
    <row r="147">
      <c r="A147" s="58" t="inlineStr">
        <is>
          <t>RT20250105-00146</t>
        </is>
      </c>
      <c r="B147" s="59" t="inlineStr">
        <is>
          <t>2025-01-05</t>
        </is>
      </c>
      <c r="C147" s="60" t="inlineStr">
        <is>
          <t>Solace Team Sport Max-548</t>
        </is>
      </c>
      <c r="D147" s="58" t="inlineStr">
        <is>
          <t>Sports</t>
        </is>
      </c>
      <c r="E147" s="58" t="inlineStr">
        <is>
          <t>South</t>
        </is>
      </c>
      <c r="F147" s="61" t="n">
        <v>1</v>
      </c>
      <c r="G147" s="62" t="n">
        <v>798.59</v>
      </c>
      <c r="H147" s="63" t="n">
        <v>0.034</v>
      </c>
      <c r="I147" s="62" t="n">
        <v>481.68</v>
      </c>
      <c r="J147" s="58" t="inlineStr">
        <is>
          <t>Store</t>
        </is>
      </c>
      <c r="K147" s="62">
        <f>F147*(G147-H147)</f>
        <v/>
      </c>
      <c r="L147" s="62">
        <f>K147-(F147*I147)</f>
        <v/>
      </c>
      <c r="M147" s="64">
        <f>L147/K147</f>
        <v/>
      </c>
    </row>
    <row r="148">
      <c r="A148" s="58" t="inlineStr">
        <is>
          <t>RT20250105-00147</t>
        </is>
      </c>
      <c r="B148" s="59" t="inlineStr">
        <is>
          <t>2025-01-05</t>
        </is>
      </c>
      <c r="C148" s="60" t="inlineStr">
        <is>
          <t>Orion Storage Plus-961</t>
        </is>
      </c>
      <c r="D148" s="58" t="inlineStr">
        <is>
          <t>Office</t>
        </is>
      </c>
      <c r="E148" s="58" t="inlineStr">
        <is>
          <t>East</t>
        </is>
      </c>
      <c r="F148" s="61" t="n">
        <v>3</v>
      </c>
      <c r="G148" s="62" t="n">
        <v>460.17</v>
      </c>
      <c r="H148" s="63" t="n">
        <v>0.047</v>
      </c>
      <c r="I148" s="62" t="n">
        <v>361.61</v>
      </c>
      <c r="J148" s="58" t="inlineStr">
        <is>
          <t>Phone</t>
        </is>
      </c>
      <c r="K148" s="62">
        <f>F148*(G148-H148)</f>
        <v/>
      </c>
      <c r="L148" s="62">
        <f>K148-(F148*I148)</f>
        <v/>
      </c>
      <c r="M148" s="64">
        <f>L148/K148</f>
        <v/>
      </c>
    </row>
    <row r="149">
      <c r="A149" s="58" t="inlineStr">
        <is>
          <t>RT20250105-00148</t>
        </is>
      </c>
      <c r="B149" s="59" t="inlineStr">
        <is>
          <t>2025-01-05</t>
        </is>
      </c>
      <c r="C149" s="60" t="inlineStr">
        <is>
          <t>Vertex Men X-995</t>
        </is>
      </c>
      <c r="D149" s="58" t="inlineStr">
        <is>
          <t>Apparel</t>
        </is>
      </c>
      <c r="E149" s="58" t="inlineStr">
        <is>
          <t>North</t>
        </is>
      </c>
      <c r="F149" s="61" t="n">
        <v>2</v>
      </c>
      <c r="G149" s="62" t="n">
        <v>86.23</v>
      </c>
      <c r="H149" s="63" t="n">
        <v>0.06900000000000001</v>
      </c>
      <c r="I149" s="62" t="n">
        <v>58.94</v>
      </c>
      <c r="J149" s="58" t="inlineStr">
        <is>
          <t>Online</t>
        </is>
      </c>
      <c r="K149" s="62">
        <f>F149*(G149-H149)</f>
        <v/>
      </c>
      <c r="L149" s="62">
        <f>K149-(F149*I149)</f>
        <v/>
      </c>
      <c r="M149" s="64">
        <f>L149/K149</f>
        <v/>
      </c>
    </row>
    <row r="150">
      <c r="A150" s="58" t="inlineStr">
        <is>
          <t>RT20250105-00149</t>
        </is>
      </c>
      <c r="B150" s="59" t="inlineStr">
        <is>
          <t>2025-01-05</t>
        </is>
      </c>
      <c r="C150" s="60" t="inlineStr">
        <is>
          <t>Solace Headphone Pro-344</t>
        </is>
      </c>
      <c r="D150" s="58" t="inlineStr">
        <is>
          <t>Electronics</t>
        </is>
      </c>
      <c r="E150" s="58" t="inlineStr">
        <is>
          <t>West</t>
        </is>
      </c>
      <c r="F150" s="61" t="n">
        <v>1</v>
      </c>
      <c r="G150" s="62" t="n">
        <v>1451.92</v>
      </c>
      <c r="H150" s="63" t="n">
        <v>0.133</v>
      </c>
      <c r="I150" s="62" t="n">
        <v>1067.76</v>
      </c>
      <c r="J150" s="58" t="inlineStr">
        <is>
          <t>Online</t>
        </is>
      </c>
      <c r="K150" s="62">
        <f>F150*(G150-H150)</f>
        <v/>
      </c>
      <c r="L150" s="62">
        <f>K150-(F150*I150)</f>
        <v/>
      </c>
      <c r="M150" s="64">
        <f>L150/K150</f>
        <v/>
      </c>
    </row>
    <row r="151">
      <c r="A151" s="58" t="inlineStr">
        <is>
          <t>RT20250105-00150</t>
        </is>
      </c>
      <c r="B151" s="59" t="inlineStr">
        <is>
          <t>2025-01-05</t>
        </is>
      </c>
      <c r="C151" s="60" t="inlineStr">
        <is>
          <t>Polar Women Max-927</t>
        </is>
      </c>
      <c r="D151" s="58" t="inlineStr">
        <is>
          <t>Apparel</t>
        </is>
      </c>
      <c r="E151" s="58" t="inlineStr">
        <is>
          <t>Central</t>
        </is>
      </c>
      <c r="F151" s="61" t="n">
        <v>2</v>
      </c>
      <c r="G151" s="62" t="n">
        <v>130.85</v>
      </c>
      <c r="H151" s="63" t="n">
        <v>0.049</v>
      </c>
      <c r="I151" s="62" t="n">
        <v>66.41</v>
      </c>
      <c r="J151" s="58" t="inlineStr">
        <is>
          <t>Online</t>
        </is>
      </c>
      <c r="K151" s="62">
        <f>F151*(G151-H151)</f>
        <v/>
      </c>
      <c r="L151" s="62">
        <f>K151-(F151*I151)</f>
        <v/>
      </c>
      <c r="M151" s="64">
        <f>L151/K151</f>
        <v/>
      </c>
    </row>
    <row r="152">
      <c r="A152" s="58" t="inlineStr">
        <is>
          <t>RT20250105-00151</t>
        </is>
      </c>
      <c r="B152" s="59" t="inlineStr">
        <is>
          <t>2025-01-05</t>
        </is>
      </c>
      <c r="C152" s="60" t="inlineStr">
        <is>
          <t>Aurora Printer Plus-991</t>
        </is>
      </c>
      <c r="D152" s="58" t="inlineStr">
        <is>
          <t>Office</t>
        </is>
      </c>
      <c r="E152" s="58" t="inlineStr">
        <is>
          <t>South</t>
        </is>
      </c>
      <c r="F152" s="61" t="n">
        <v>3</v>
      </c>
      <c r="G152" s="62" t="n">
        <v>544.04</v>
      </c>
      <c r="H152" s="63" t="n">
        <v>0.035</v>
      </c>
      <c r="I152" s="62" t="n">
        <v>364.26</v>
      </c>
      <c r="J152" s="58" t="inlineStr">
        <is>
          <t>Store</t>
        </is>
      </c>
      <c r="K152" s="62">
        <f>F152*(G152-H152)</f>
        <v/>
      </c>
      <c r="L152" s="62">
        <f>K152-(F152*I152)</f>
        <v/>
      </c>
      <c r="M152" s="64">
        <f>L152/K152</f>
        <v/>
      </c>
    </row>
    <row r="153">
      <c r="A153" s="58" t="inlineStr">
        <is>
          <t>RT20250105-00152</t>
        </is>
      </c>
      <c r="B153" s="59" t="inlineStr">
        <is>
          <t>2025-01-05</t>
        </is>
      </c>
      <c r="C153" s="60" t="inlineStr">
        <is>
          <t>Aurora Appliance Max-316</t>
        </is>
      </c>
      <c r="D153" s="58" t="inlineStr">
        <is>
          <t>Home</t>
        </is>
      </c>
      <c r="E153" s="58" t="inlineStr">
        <is>
          <t>East</t>
        </is>
      </c>
      <c r="F153" s="61" t="n">
        <v>1</v>
      </c>
      <c r="G153" s="62" t="n">
        <v>338.22</v>
      </c>
      <c r="H153" s="63" t="n">
        <v>0.08799999999999999</v>
      </c>
      <c r="I153" s="62" t="n">
        <v>220</v>
      </c>
      <c r="J153" s="58" t="inlineStr">
        <is>
          <t>Phone</t>
        </is>
      </c>
      <c r="K153" s="62">
        <f>F153*(G153-H153)</f>
        <v/>
      </c>
      <c r="L153" s="62">
        <f>K153-(F153*I153)</f>
        <v/>
      </c>
      <c r="M153" s="64">
        <f>L153/K153</f>
        <v/>
      </c>
    </row>
    <row r="154">
      <c r="A154" s="58" t="inlineStr">
        <is>
          <t>RT20250105-00153</t>
        </is>
      </c>
      <c r="B154" s="59" t="inlineStr">
        <is>
          <t>2025-01-05</t>
        </is>
      </c>
      <c r="C154" s="60" t="inlineStr">
        <is>
          <t>Aurora Bedding Max-175</t>
        </is>
      </c>
      <c r="D154" s="58" t="inlineStr">
        <is>
          <t>Home</t>
        </is>
      </c>
      <c r="E154" s="58" t="inlineStr">
        <is>
          <t>Central</t>
        </is>
      </c>
      <c r="F154" s="61" t="n">
        <v>3</v>
      </c>
      <c r="G154" s="62" t="n">
        <v>673.78</v>
      </c>
      <c r="H154" s="63" t="n">
        <v>0.082</v>
      </c>
      <c r="I154" s="62" t="n">
        <v>424.81</v>
      </c>
      <c r="J154" s="58" t="inlineStr">
        <is>
          <t>Store</t>
        </is>
      </c>
      <c r="K154" s="62">
        <f>F154*(G154-H154)</f>
        <v/>
      </c>
      <c r="L154" s="62">
        <f>K154-(F154*I154)</f>
        <v/>
      </c>
      <c r="M154" s="64">
        <f>L154/K154</f>
        <v/>
      </c>
    </row>
    <row r="155">
      <c r="A155" s="58" t="inlineStr">
        <is>
          <t>RT20250105-00154</t>
        </is>
      </c>
      <c r="B155" s="59" t="inlineStr">
        <is>
          <t>2025-01-05</t>
        </is>
      </c>
      <c r="C155" s="60" t="inlineStr">
        <is>
          <t>Orion Supplie S-612</t>
        </is>
      </c>
      <c r="D155" s="58" t="inlineStr">
        <is>
          <t>Office</t>
        </is>
      </c>
      <c r="E155" s="58" t="inlineStr">
        <is>
          <t>North</t>
        </is>
      </c>
      <c r="F155" s="61" t="n">
        <v>1</v>
      </c>
      <c r="G155" s="62" t="n">
        <v>427.82</v>
      </c>
      <c r="H155" s="63" t="n">
        <v>0.044</v>
      </c>
      <c r="I155" s="62" t="n">
        <v>334.24</v>
      </c>
      <c r="J155" s="58" t="inlineStr">
        <is>
          <t>Online</t>
        </is>
      </c>
      <c r="K155" s="62">
        <f>F155*(G155-H155)</f>
        <v/>
      </c>
      <c r="L155" s="62">
        <f>K155-(F155*I155)</f>
        <v/>
      </c>
      <c r="M155" s="64">
        <f>L155/K155</f>
        <v/>
      </c>
    </row>
    <row r="156">
      <c r="A156" s="58" t="inlineStr">
        <is>
          <t>RT20250105-00155</t>
        </is>
      </c>
      <c r="B156" s="59" t="inlineStr">
        <is>
          <t>2025-01-05</t>
        </is>
      </c>
      <c r="C156" s="60" t="inlineStr">
        <is>
          <t>Vertex Printer Max-692</t>
        </is>
      </c>
      <c r="D156" s="58" t="inlineStr">
        <is>
          <t>Office</t>
        </is>
      </c>
      <c r="E156" s="58" t="inlineStr">
        <is>
          <t>North</t>
        </is>
      </c>
      <c r="F156" s="61" t="n">
        <v>2</v>
      </c>
      <c r="G156" s="62" t="n">
        <v>181.15</v>
      </c>
      <c r="H156" s="63" t="n">
        <v>0.097</v>
      </c>
      <c r="I156" s="62" t="n">
        <v>119.95</v>
      </c>
      <c r="J156" s="58" t="inlineStr">
        <is>
          <t>Phone</t>
        </is>
      </c>
      <c r="K156" s="62">
        <f>F156*(G156-H156)</f>
        <v/>
      </c>
      <c r="L156" s="62">
        <f>K156-(F156*I156)</f>
        <v/>
      </c>
      <c r="M156" s="64">
        <f>L156/K156</f>
        <v/>
      </c>
    </row>
    <row r="157">
      <c r="A157" s="58" t="inlineStr">
        <is>
          <t>RT20250105-00156</t>
        </is>
      </c>
      <c r="B157" s="59" t="inlineStr">
        <is>
          <t>2025-01-05</t>
        </is>
      </c>
      <c r="C157" s="60" t="inlineStr">
        <is>
          <t>Metro Wearable Plus-234</t>
        </is>
      </c>
      <c r="D157" s="58" t="inlineStr">
        <is>
          <t>Electronics</t>
        </is>
      </c>
      <c r="E157" s="58" t="inlineStr">
        <is>
          <t>East</t>
        </is>
      </c>
      <c r="F157" s="61" t="n">
        <v>1</v>
      </c>
      <c r="G157" s="62" t="n">
        <v>1584.47</v>
      </c>
      <c r="H157" s="63" t="n">
        <v>0.052</v>
      </c>
      <c r="I157" s="62" t="n">
        <v>1188.31</v>
      </c>
      <c r="J157" s="58" t="inlineStr">
        <is>
          <t>Store</t>
        </is>
      </c>
      <c r="K157" s="62">
        <f>F157*(G157-H157)</f>
        <v/>
      </c>
      <c r="L157" s="62">
        <f>K157-(F157*I157)</f>
        <v/>
      </c>
      <c r="M157" s="64">
        <f>L157/K157</f>
        <v/>
      </c>
    </row>
    <row r="158">
      <c r="A158" s="58" t="inlineStr">
        <is>
          <t>RT20250105-00157</t>
        </is>
      </c>
      <c r="B158" s="59" t="inlineStr">
        <is>
          <t>2025-01-05</t>
        </is>
      </c>
      <c r="C158" s="60" t="inlineStr">
        <is>
          <t>Polar Supplie Lite-348</t>
        </is>
      </c>
      <c r="D158" s="58" t="inlineStr">
        <is>
          <t>Office</t>
        </is>
      </c>
      <c r="E158" s="58" t="inlineStr">
        <is>
          <t>Central</t>
        </is>
      </c>
      <c r="F158" s="61" t="n">
        <v>3</v>
      </c>
      <c r="G158" s="62" t="n">
        <v>402.73</v>
      </c>
      <c r="H158" s="63" t="n">
        <v>0.101</v>
      </c>
      <c r="I158" s="62" t="n">
        <v>309.43</v>
      </c>
      <c r="J158" s="58" t="inlineStr">
        <is>
          <t>Online</t>
        </is>
      </c>
      <c r="K158" s="62">
        <f>F158*(G158-H158)</f>
        <v/>
      </c>
      <c r="L158" s="62">
        <f>K158-(F158*I158)</f>
        <v/>
      </c>
      <c r="M158" s="64">
        <f>L158/K158</f>
        <v/>
      </c>
    </row>
    <row r="159">
      <c r="A159" s="58" t="inlineStr">
        <is>
          <t>RT20250105-00158</t>
        </is>
      </c>
      <c r="B159" s="59" t="inlineStr">
        <is>
          <t>2025-01-05</t>
        </is>
      </c>
      <c r="C159" s="60" t="inlineStr">
        <is>
          <t>Falcon Storage X-734</t>
        </is>
      </c>
      <c r="D159" s="58" t="inlineStr">
        <is>
          <t>Office</t>
        </is>
      </c>
      <c r="E159" s="58" t="inlineStr">
        <is>
          <t>West</t>
        </is>
      </c>
      <c r="F159" s="61" t="n">
        <v>1</v>
      </c>
      <c r="G159" s="62" t="n">
        <v>428.31</v>
      </c>
      <c r="H159" s="63" t="n">
        <v>0.07000000000000001</v>
      </c>
      <c r="I159" s="62" t="n">
        <v>279.92</v>
      </c>
      <c r="J159" s="58" t="inlineStr">
        <is>
          <t>Store</t>
        </is>
      </c>
      <c r="K159" s="62">
        <f>F159*(G159-H159)</f>
        <v/>
      </c>
      <c r="L159" s="62">
        <f>K159-(F159*I159)</f>
        <v/>
      </c>
      <c r="M159" s="64">
        <f>L159/K159</f>
        <v/>
      </c>
    </row>
    <row r="160">
      <c r="A160" s="58" t="inlineStr">
        <is>
          <t>RT20250105-00159</t>
        </is>
      </c>
      <c r="B160" s="59" t="inlineStr">
        <is>
          <t>2025-01-05</t>
        </is>
      </c>
      <c r="C160" s="60" t="inlineStr">
        <is>
          <t>Aurora Smartphone Plus-125</t>
        </is>
      </c>
      <c r="D160" s="58" t="inlineStr">
        <is>
          <t>Electronics</t>
        </is>
      </c>
      <c r="E160" s="58" t="inlineStr">
        <is>
          <t>East</t>
        </is>
      </c>
      <c r="F160" s="61" t="n">
        <v>1</v>
      </c>
      <c r="G160" s="62" t="n">
        <v>1692.74</v>
      </c>
      <c r="H160" s="63" t="n">
        <v>0.015</v>
      </c>
      <c r="I160" s="62" t="n">
        <v>1201.15</v>
      </c>
      <c r="J160" s="58" t="inlineStr">
        <is>
          <t>Store</t>
        </is>
      </c>
      <c r="K160" s="62">
        <f>F160*(G160-H160)</f>
        <v/>
      </c>
      <c r="L160" s="62">
        <f>K160-(F160*I160)</f>
        <v/>
      </c>
      <c r="M160" s="64">
        <f>L160/K160</f>
        <v/>
      </c>
    </row>
    <row r="161">
      <c r="A161" s="58" t="inlineStr">
        <is>
          <t>RT20250105-00160</t>
        </is>
      </c>
      <c r="B161" s="59" t="inlineStr">
        <is>
          <t>2025-01-05</t>
        </is>
      </c>
      <c r="C161" s="60" t="inlineStr">
        <is>
          <t>Orion Kid Max-640</t>
        </is>
      </c>
      <c r="D161" s="58" t="inlineStr">
        <is>
          <t>Apparel</t>
        </is>
      </c>
      <c r="E161" s="58" t="inlineStr">
        <is>
          <t>South</t>
        </is>
      </c>
      <c r="F161" s="61" t="n">
        <v>3</v>
      </c>
      <c r="G161" s="62" t="n">
        <v>133.96</v>
      </c>
      <c r="H161" s="63" t="n">
        <v>0.096</v>
      </c>
      <c r="I161" s="62" t="n">
        <v>71.48</v>
      </c>
      <c r="J161" s="58" t="inlineStr">
        <is>
          <t>Online</t>
        </is>
      </c>
      <c r="K161" s="62">
        <f>F161*(G161-H161)</f>
        <v/>
      </c>
      <c r="L161" s="62">
        <f>K161-(F161*I161)</f>
        <v/>
      </c>
      <c r="M161" s="64">
        <f>L161/K161</f>
        <v/>
      </c>
    </row>
    <row r="162">
      <c r="A162" s="58" t="inlineStr">
        <is>
          <t>RT20250105-00161</t>
        </is>
      </c>
      <c r="B162" s="59" t="inlineStr">
        <is>
          <t>2025-01-05</t>
        </is>
      </c>
      <c r="C162" s="60" t="inlineStr">
        <is>
          <t>Falcon Furniture Plus-839</t>
        </is>
      </c>
      <c r="D162" s="58" t="inlineStr">
        <is>
          <t>Office</t>
        </is>
      </c>
      <c r="E162" s="58" t="inlineStr">
        <is>
          <t>South</t>
        </is>
      </c>
      <c r="F162" s="61" t="n">
        <v>3</v>
      </c>
      <c r="G162" s="62" t="n">
        <v>299.88</v>
      </c>
      <c r="H162" s="63" t="n">
        <v>0.089</v>
      </c>
      <c r="I162" s="62" t="n">
        <v>224.33</v>
      </c>
      <c r="J162" s="58" t="inlineStr">
        <is>
          <t>Online</t>
        </is>
      </c>
      <c r="K162" s="62">
        <f>F162*(G162-H162)</f>
        <v/>
      </c>
      <c r="L162" s="62">
        <f>K162-(F162*I162)</f>
        <v/>
      </c>
      <c r="M162" s="64">
        <f>L162/K162</f>
        <v/>
      </c>
    </row>
    <row r="163">
      <c r="A163" s="58" t="inlineStr">
        <is>
          <t>RT20250105-00162</t>
        </is>
      </c>
      <c r="B163" s="59" t="inlineStr">
        <is>
          <t>2025-01-05</t>
        </is>
      </c>
      <c r="C163" s="60" t="inlineStr">
        <is>
          <t>Vertex Furniture S-652</t>
        </is>
      </c>
      <c r="D163" s="58" t="inlineStr">
        <is>
          <t>Office</t>
        </is>
      </c>
      <c r="E163" s="58" t="inlineStr">
        <is>
          <t>West</t>
        </is>
      </c>
      <c r="F163" s="61" t="n">
        <v>2</v>
      </c>
      <c r="G163" s="62" t="n">
        <v>382.54</v>
      </c>
      <c r="H163" s="63" t="n">
        <v>0.125</v>
      </c>
      <c r="I163" s="62" t="n">
        <v>270.49</v>
      </c>
      <c r="J163" s="58" t="inlineStr">
        <is>
          <t>Store</t>
        </is>
      </c>
      <c r="K163" s="62">
        <f>F163*(G163-H163)</f>
        <v/>
      </c>
      <c r="L163" s="62">
        <f>K163-(F163*I163)</f>
        <v/>
      </c>
      <c r="M163" s="64">
        <f>L163/K163</f>
        <v/>
      </c>
    </row>
    <row r="164">
      <c r="A164" s="58" t="inlineStr">
        <is>
          <t>RT20250105-00163</t>
        </is>
      </c>
      <c r="B164" s="59" t="inlineStr">
        <is>
          <t>2025-01-05</t>
        </is>
      </c>
      <c r="C164" s="60" t="inlineStr">
        <is>
          <t>Aurora Appliance Lite-109</t>
        </is>
      </c>
      <c r="D164" s="58" t="inlineStr">
        <is>
          <t>Home</t>
        </is>
      </c>
      <c r="E164" s="58" t="inlineStr">
        <is>
          <t>West</t>
        </is>
      </c>
      <c r="F164" s="61" t="n">
        <v>2</v>
      </c>
      <c r="G164" s="62" t="n">
        <v>308.13</v>
      </c>
      <c r="H164" s="63" t="n">
        <v>0.021</v>
      </c>
      <c r="I164" s="62" t="n">
        <v>206.74</v>
      </c>
      <c r="J164" s="58" t="inlineStr">
        <is>
          <t>Online</t>
        </is>
      </c>
      <c r="K164" s="62">
        <f>F164*(G164-H164)</f>
        <v/>
      </c>
      <c r="L164" s="62">
        <f>K164-(F164*I164)</f>
        <v/>
      </c>
      <c r="M164" s="64">
        <f>L164/K164</f>
        <v/>
      </c>
    </row>
    <row r="165">
      <c r="A165" s="58" t="inlineStr">
        <is>
          <t>RT20250105-00164</t>
        </is>
      </c>
      <c r="B165" s="59" t="inlineStr">
        <is>
          <t>2025-01-05</t>
        </is>
      </c>
      <c r="C165" s="60" t="inlineStr">
        <is>
          <t>Vertex Snack S-702</t>
        </is>
      </c>
      <c r="D165" s="58" t="inlineStr">
        <is>
          <t>Grocery</t>
        </is>
      </c>
      <c r="E165" s="58" t="inlineStr">
        <is>
          <t>South</t>
        </is>
      </c>
      <c r="F165" s="61" t="n">
        <v>6</v>
      </c>
      <c r="G165" s="62" t="n">
        <v>1.97</v>
      </c>
      <c r="H165" s="63" t="n">
        <v>0.011</v>
      </c>
      <c r="I165" s="62" t="n">
        <v>1.48</v>
      </c>
      <c r="J165" s="58" t="inlineStr">
        <is>
          <t>Online</t>
        </is>
      </c>
      <c r="K165" s="62">
        <f>F165*(G165-H165)</f>
        <v/>
      </c>
      <c r="L165" s="62">
        <f>K165-(F165*I165)</f>
        <v/>
      </c>
      <c r="M165" s="64">
        <f>L165/K165</f>
        <v/>
      </c>
    </row>
    <row r="166">
      <c r="A166" s="58" t="inlineStr">
        <is>
          <t>RT20250105-00165</t>
        </is>
      </c>
      <c r="B166" s="59" t="inlineStr">
        <is>
          <t>2025-01-05</t>
        </is>
      </c>
      <c r="C166" s="60" t="inlineStr">
        <is>
          <t>Nimbus Furniture Pro-479</t>
        </is>
      </c>
      <c r="D166" s="58" t="inlineStr">
        <is>
          <t>Office</t>
        </is>
      </c>
      <c r="E166" s="58" t="inlineStr">
        <is>
          <t>East</t>
        </is>
      </c>
      <c r="F166" s="61" t="n">
        <v>2</v>
      </c>
      <c r="G166" s="62" t="n">
        <v>356.93</v>
      </c>
      <c r="H166" s="63" t="n">
        <v>0.046</v>
      </c>
      <c r="I166" s="62" t="n">
        <v>245.98</v>
      </c>
      <c r="J166" s="58" t="inlineStr">
        <is>
          <t>Store</t>
        </is>
      </c>
      <c r="K166" s="62">
        <f>F166*(G166-H166)</f>
        <v/>
      </c>
      <c r="L166" s="62">
        <f>K166-(F166*I166)</f>
        <v/>
      </c>
      <c r="M166" s="64">
        <f>L166/K166</f>
        <v/>
      </c>
    </row>
    <row r="167">
      <c r="A167" s="58" t="inlineStr">
        <is>
          <t>RT20250105-00166</t>
        </is>
      </c>
      <c r="B167" s="59" t="inlineStr">
        <is>
          <t>2025-01-05</t>
        </is>
      </c>
      <c r="C167" s="60" t="inlineStr">
        <is>
          <t>Solace Smartphone Lite-533</t>
        </is>
      </c>
      <c r="D167" s="58" t="inlineStr">
        <is>
          <t>Electronics</t>
        </is>
      </c>
      <c r="E167" s="58" t="inlineStr">
        <is>
          <t>West</t>
        </is>
      </c>
      <c r="F167" s="61" t="n">
        <v>1</v>
      </c>
      <c r="G167" s="62" t="n">
        <v>1257.85</v>
      </c>
      <c r="H167" s="63" t="n">
        <v>0.109</v>
      </c>
      <c r="I167" s="62" t="n">
        <v>920.46</v>
      </c>
      <c r="J167" s="58" t="inlineStr">
        <is>
          <t>Store</t>
        </is>
      </c>
      <c r="K167" s="62">
        <f>F167*(G167-H167)</f>
        <v/>
      </c>
      <c r="L167" s="62">
        <f>K167-(F167*I167)</f>
        <v/>
      </c>
      <c r="M167" s="64">
        <f>L167/K167</f>
        <v/>
      </c>
    </row>
    <row r="168">
      <c r="A168" s="58" t="inlineStr">
        <is>
          <t>RT20250105-00167</t>
        </is>
      </c>
      <c r="B168" s="59" t="inlineStr">
        <is>
          <t>2025-01-05</t>
        </is>
      </c>
      <c r="C168" s="60" t="inlineStr">
        <is>
          <t>Solace Team Sport Max-548</t>
        </is>
      </c>
      <c r="D168" s="58" t="inlineStr">
        <is>
          <t>Sports</t>
        </is>
      </c>
      <c r="E168" s="58" t="inlineStr">
        <is>
          <t>North</t>
        </is>
      </c>
      <c r="F168" s="61" t="n">
        <v>2</v>
      </c>
      <c r="G168" s="62" t="n">
        <v>791.95</v>
      </c>
      <c r="H168" s="63" t="n">
        <v>0.055</v>
      </c>
      <c r="I168" s="62" t="n">
        <v>482.95</v>
      </c>
      <c r="J168" s="58" t="inlineStr">
        <is>
          <t>Online</t>
        </is>
      </c>
      <c r="K168" s="62">
        <f>F168*(G168-H168)</f>
        <v/>
      </c>
      <c r="L168" s="62">
        <f>K168-(F168*I168)</f>
        <v/>
      </c>
      <c r="M168" s="64">
        <f>L168/K168</f>
        <v/>
      </c>
    </row>
    <row r="169">
      <c r="A169" s="58" t="inlineStr">
        <is>
          <t>RT20250105-00168</t>
        </is>
      </c>
      <c r="B169" s="59" t="inlineStr">
        <is>
          <t>2025-01-05</t>
        </is>
      </c>
      <c r="C169" s="60" t="inlineStr">
        <is>
          <t>Metro Beverage Max-490</t>
        </is>
      </c>
      <c r="D169" s="58" t="inlineStr">
        <is>
          <t>Grocery</t>
        </is>
      </c>
      <c r="E169" s="58" t="inlineStr">
        <is>
          <t>East</t>
        </is>
      </c>
      <c r="F169" s="61" t="n">
        <v>8</v>
      </c>
      <c r="G169" s="62" t="n">
        <v>11.76</v>
      </c>
      <c r="H169" s="63" t="n">
        <v>0.07099999999999999</v>
      </c>
      <c r="I169" s="62" t="n">
        <v>8.300000000000001</v>
      </c>
      <c r="J169" s="58" t="inlineStr">
        <is>
          <t>Phone</t>
        </is>
      </c>
      <c r="K169" s="62">
        <f>F169*(G169-H169)</f>
        <v/>
      </c>
      <c r="L169" s="62">
        <f>K169-(F169*I169)</f>
        <v/>
      </c>
      <c r="M169" s="64">
        <f>L169/K169</f>
        <v/>
      </c>
    </row>
    <row r="170">
      <c r="A170" s="58" t="inlineStr">
        <is>
          <t>RT20250105-00169</t>
        </is>
      </c>
      <c r="B170" s="59" t="inlineStr">
        <is>
          <t>2025-01-05</t>
        </is>
      </c>
      <c r="C170" s="60" t="inlineStr">
        <is>
          <t>Falcon Furniture Plus-839</t>
        </is>
      </c>
      <c r="D170" s="58" t="inlineStr">
        <is>
          <t>Office</t>
        </is>
      </c>
      <c r="E170" s="58" t="inlineStr">
        <is>
          <t>East</t>
        </is>
      </c>
      <c r="F170" s="61" t="n">
        <v>3</v>
      </c>
      <c r="G170" s="62" t="n">
        <v>325.14</v>
      </c>
      <c r="H170" s="63" t="n">
        <v>0.042</v>
      </c>
      <c r="I170" s="62" t="n">
        <v>230.9</v>
      </c>
      <c r="J170" s="58" t="inlineStr">
        <is>
          <t>Store</t>
        </is>
      </c>
      <c r="K170" s="62">
        <f>F170*(G170-H170)</f>
        <v/>
      </c>
      <c r="L170" s="62">
        <f>K170-(F170*I170)</f>
        <v/>
      </c>
      <c r="M170" s="64">
        <f>L170/K170</f>
        <v/>
      </c>
    </row>
    <row r="171">
      <c r="A171" s="58" t="inlineStr">
        <is>
          <t>RT20250105-00170</t>
        </is>
      </c>
      <c r="B171" s="59" t="inlineStr">
        <is>
          <t>2025-01-05</t>
        </is>
      </c>
      <c r="C171" s="60" t="inlineStr">
        <is>
          <t>Polar Decor Plus-505</t>
        </is>
      </c>
      <c r="D171" s="58" t="inlineStr">
        <is>
          <t>Home</t>
        </is>
      </c>
      <c r="E171" s="58" t="inlineStr">
        <is>
          <t>West</t>
        </is>
      </c>
      <c r="F171" s="61" t="n">
        <v>1</v>
      </c>
      <c r="G171" s="62" t="n">
        <v>270.07</v>
      </c>
      <c r="H171" s="63" t="n">
        <v>0.082</v>
      </c>
      <c r="I171" s="62" t="n">
        <v>194.02</v>
      </c>
      <c r="J171" s="58" t="inlineStr">
        <is>
          <t>Store</t>
        </is>
      </c>
      <c r="K171" s="62">
        <f>F171*(G171-H171)</f>
        <v/>
      </c>
      <c r="L171" s="62">
        <f>K171-(F171*I171)</f>
        <v/>
      </c>
      <c r="M171" s="64">
        <f>L171/K171</f>
        <v/>
      </c>
    </row>
    <row r="172">
      <c r="A172" s="58" t="inlineStr">
        <is>
          <t>RT20250105-00171</t>
        </is>
      </c>
      <c r="B172" s="59" t="inlineStr">
        <is>
          <t>2025-01-05</t>
        </is>
      </c>
      <c r="C172" s="60" t="inlineStr">
        <is>
          <t>Aurora Printer Plus-991</t>
        </is>
      </c>
      <c r="D172" s="58" t="inlineStr">
        <is>
          <t>Office</t>
        </is>
      </c>
      <c r="E172" s="58" t="inlineStr">
        <is>
          <t>Central</t>
        </is>
      </c>
      <c r="F172" s="61" t="n">
        <v>3</v>
      </c>
      <c r="G172" s="62" t="n">
        <v>590.42</v>
      </c>
      <c r="H172" s="63" t="n">
        <v>0.007</v>
      </c>
      <c r="I172" s="62" t="n">
        <v>371.76</v>
      </c>
      <c r="J172" s="58" t="inlineStr">
        <is>
          <t>Store</t>
        </is>
      </c>
      <c r="K172" s="62">
        <f>F172*(G172-H172)</f>
        <v/>
      </c>
      <c r="L172" s="62">
        <f>K172-(F172*I172)</f>
        <v/>
      </c>
      <c r="M172" s="64">
        <f>L172/K172</f>
        <v/>
      </c>
    </row>
    <row r="173">
      <c r="A173" s="58" t="inlineStr">
        <is>
          <t>RT20250105-00172</t>
        </is>
      </c>
      <c r="B173" s="59" t="inlineStr">
        <is>
          <t>2025-01-05</t>
        </is>
      </c>
      <c r="C173" s="60" t="inlineStr">
        <is>
          <t>Metro Printer X-294</t>
        </is>
      </c>
      <c r="D173" s="58" t="inlineStr">
        <is>
          <t>Office</t>
        </is>
      </c>
      <c r="E173" s="58" t="inlineStr">
        <is>
          <t>West</t>
        </is>
      </c>
      <c r="F173" s="61" t="n">
        <v>3</v>
      </c>
      <c r="G173" s="62" t="n">
        <v>584.5700000000001</v>
      </c>
      <c r="H173" s="63" t="n">
        <v>0.067</v>
      </c>
      <c r="I173" s="62" t="n">
        <v>399.87</v>
      </c>
      <c r="J173" s="58" t="inlineStr">
        <is>
          <t>Store</t>
        </is>
      </c>
      <c r="K173" s="62">
        <f>F173*(G173-H173)</f>
        <v/>
      </c>
      <c r="L173" s="62">
        <f>K173-(F173*I173)</f>
        <v/>
      </c>
      <c r="M173" s="64">
        <f>L173/K173</f>
        <v/>
      </c>
    </row>
    <row r="174">
      <c r="A174" s="58" t="inlineStr">
        <is>
          <t>RT20250105-00173</t>
        </is>
      </c>
      <c r="B174" s="59" t="inlineStr">
        <is>
          <t>2025-01-05</t>
        </is>
      </c>
      <c r="C174" s="60" t="inlineStr">
        <is>
          <t>Nimbus Makeup Max-158</t>
        </is>
      </c>
      <c r="D174" s="58" t="inlineStr">
        <is>
          <t>Beauty</t>
        </is>
      </c>
      <c r="E174" s="58" t="inlineStr">
        <is>
          <t>East</t>
        </is>
      </c>
      <c r="F174" s="61" t="n">
        <v>2</v>
      </c>
      <c r="G174" s="62" t="n">
        <v>156.31</v>
      </c>
      <c r="H174" s="63" t="n">
        <v>0.046</v>
      </c>
      <c r="I174" s="62" t="n">
        <v>96.68000000000001</v>
      </c>
      <c r="J174" s="58" t="inlineStr">
        <is>
          <t>Online</t>
        </is>
      </c>
      <c r="K174" s="62">
        <f>F174*(G174-H174)</f>
        <v/>
      </c>
      <c r="L174" s="62">
        <f>K174-(F174*I174)</f>
        <v/>
      </c>
      <c r="M174" s="64">
        <f>L174/K174</f>
        <v/>
      </c>
    </row>
    <row r="175">
      <c r="A175" s="58" t="inlineStr">
        <is>
          <t>RT20250105-00174</t>
        </is>
      </c>
      <c r="B175" s="59" t="inlineStr">
        <is>
          <t>2025-01-05</t>
        </is>
      </c>
      <c r="C175" s="60" t="inlineStr">
        <is>
          <t>Metro Accessorie Lite-697</t>
        </is>
      </c>
      <c r="D175" s="58" t="inlineStr">
        <is>
          <t>Apparel</t>
        </is>
      </c>
      <c r="E175" s="58" t="inlineStr">
        <is>
          <t>Central</t>
        </is>
      </c>
      <c r="F175" s="61" t="n">
        <v>1</v>
      </c>
      <c r="G175" s="62" t="n">
        <v>155.26</v>
      </c>
      <c r="H175" s="63" t="n">
        <v>0.11</v>
      </c>
      <c r="I175" s="62" t="n">
        <v>75.68000000000001</v>
      </c>
      <c r="J175" s="58" t="inlineStr">
        <is>
          <t>Online</t>
        </is>
      </c>
      <c r="K175" s="62">
        <f>F175*(G175-H175)</f>
        <v/>
      </c>
      <c r="L175" s="62">
        <f>K175-(F175*I175)</f>
        <v/>
      </c>
      <c r="M175" s="64">
        <f>L175/K175</f>
        <v/>
      </c>
    </row>
    <row r="176">
      <c r="A176" s="58" t="inlineStr">
        <is>
          <t>RT20250105-00175</t>
        </is>
      </c>
      <c r="B176" s="59" t="inlineStr">
        <is>
          <t>2025-01-05</t>
        </is>
      </c>
      <c r="C176" s="60" t="inlineStr">
        <is>
          <t>Nimbus Furniture Pro-479</t>
        </is>
      </c>
      <c r="D176" s="58" t="inlineStr">
        <is>
          <t>Office</t>
        </is>
      </c>
      <c r="E176" s="58" t="inlineStr">
        <is>
          <t>Central</t>
        </is>
      </c>
      <c r="F176" s="61" t="n">
        <v>3</v>
      </c>
      <c r="G176" s="62" t="n">
        <v>313.79</v>
      </c>
      <c r="H176" s="63" t="n">
        <v>0.09</v>
      </c>
      <c r="I176" s="62" t="n">
        <v>233.15</v>
      </c>
      <c r="J176" s="58" t="inlineStr">
        <is>
          <t>Online</t>
        </is>
      </c>
      <c r="K176" s="62">
        <f>F176*(G176-H176)</f>
        <v/>
      </c>
      <c r="L176" s="62">
        <f>K176-(F176*I176)</f>
        <v/>
      </c>
      <c r="M176" s="64">
        <f>L176/K176</f>
        <v/>
      </c>
    </row>
    <row r="177">
      <c r="A177" s="58" t="inlineStr">
        <is>
          <t>RT20250105-00176</t>
        </is>
      </c>
      <c r="B177" s="59" t="inlineStr">
        <is>
          <t>2025-01-05</t>
        </is>
      </c>
      <c r="C177" s="60" t="inlineStr">
        <is>
          <t>Metro Pantry Max-180</t>
        </is>
      </c>
      <c r="D177" s="58" t="inlineStr">
        <is>
          <t>Grocery</t>
        </is>
      </c>
      <c r="E177" s="58" t="inlineStr">
        <is>
          <t>Central</t>
        </is>
      </c>
      <c r="F177" s="61" t="n">
        <v>2</v>
      </c>
      <c r="G177" s="62" t="n">
        <v>8.41</v>
      </c>
      <c r="H177" s="63" t="n">
        <v>0.067</v>
      </c>
      <c r="I177" s="62" t="n">
        <v>6.78</v>
      </c>
      <c r="J177" s="58" t="inlineStr">
        <is>
          <t>Online</t>
        </is>
      </c>
      <c r="K177" s="62">
        <f>F177*(G177-H177)</f>
        <v/>
      </c>
      <c r="L177" s="62">
        <f>K177-(F177*I177)</f>
        <v/>
      </c>
      <c r="M177" s="64">
        <f>L177/K177</f>
        <v/>
      </c>
    </row>
    <row r="178">
      <c r="A178" s="58" t="inlineStr">
        <is>
          <t>RT20250105-00177</t>
        </is>
      </c>
      <c r="B178" s="59" t="inlineStr">
        <is>
          <t>2025-01-05</t>
        </is>
      </c>
      <c r="C178" s="60" t="inlineStr">
        <is>
          <t>Orion Fragrance Lite-785</t>
        </is>
      </c>
      <c r="D178" s="58" t="inlineStr">
        <is>
          <t>Beauty</t>
        </is>
      </c>
      <c r="E178" s="58" t="inlineStr">
        <is>
          <t>North</t>
        </is>
      </c>
      <c r="F178" s="61" t="n">
        <v>3</v>
      </c>
      <c r="G178" s="62" t="n">
        <v>49.29</v>
      </c>
      <c r="H178" s="63" t="n">
        <v>0.08500000000000001</v>
      </c>
      <c r="I178" s="62" t="n">
        <v>26.66</v>
      </c>
      <c r="J178" s="58" t="inlineStr">
        <is>
          <t>Online</t>
        </is>
      </c>
      <c r="K178" s="62">
        <f>F178*(G178-H178)</f>
        <v/>
      </c>
      <c r="L178" s="62">
        <f>K178-(F178*I178)</f>
        <v/>
      </c>
      <c r="M178" s="64">
        <f>L178/K178</f>
        <v/>
      </c>
    </row>
    <row r="179">
      <c r="A179" s="58" t="inlineStr">
        <is>
          <t>RT20250105-00178</t>
        </is>
      </c>
      <c r="B179" s="59" t="inlineStr">
        <is>
          <t>2025-01-05</t>
        </is>
      </c>
      <c r="C179" s="60" t="inlineStr">
        <is>
          <t>Aurora Appliance Lite-109</t>
        </is>
      </c>
      <c r="D179" s="58" t="inlineStr">
        <is>
          <t>Home</t>
        </is>
      </c>
      <c r="E179" s="58" t="inlineStr">
        <is>
          <t>North</t>
        </is>
      </c>
      <c r="F179" s="61" t="n">
        <v>2</v>
      </c>
      <c r="G179" s="62" t="n">
        <v>307</v>
      </c>
      <c r="H179" s="63" t="n">
        <v>0.101</v>
      </c>
      <c r="I179" s="62" t="n">
        <v>209.39</v>
      </c>
      <c r="J179" s="58" t="inlineStr">
        <is>
          <t>Online</t>
        </is>
      </c>
      <c r="K179" s="62">
        <f>F179*(G179-H179)</f>
        <v/>
      </c>
      <c r="L179" s="62">
        <f>K179-(F179*I179)</f>
        <v/>
      </c>
      <c r="M179" s="64">
        <f>L179/K179</f>
        <v/>
      </c>
    </row>
    <row r="180">
      <c r="A180" s="58" t="inlineStr">
        <is>
          <t>RT20250105-00179</t>
        </is>
      </c>
      <c r="B180" s="59" t="inlineStr">
        <is>
          <t>2025-01-05</t>
        </is>
      </c>
      <c r="C180" s="60" t="inlineStr">
        <is>
          <t>Vertex Supplie Pro-786</t>
        </is>
      </c>
      <c r="D180" s="58" t="inlineStr">
        <is>
          <t>Office</t>
        </is>
      </c>
      <c r="E180" s="58" t="inlineStr">
        <is>
          <t>East</t>
        </is>
      </c>
      <c r="F180" s="61" t="n">
        <v>3</v>
      </c>
      <c r="G180" s="62" t="n">
        <v>436.8</v>
      </c>
      <c r="H180" s="63" t="n">
        <v>0.063</v>
      </c>
      <c r="I180" s="62" t="n">
        <v>286.51</v>
      </c>
      <c r="J180" s="58" t="inlineStr">
        <is>
          <t>Online</t>
        </is>
      </c>
      <c r="K180" s="62">
        <f>F180*(G180-H180)</f>
        <v/>
      </c>
      <c r="L180" s="62">
        <f>K180-(F180*I180)</f>
        <v/>
      </c>
      <c r="M180" s="64">
        <f>L180/K180</f>
        <v/>
      </c>
    </row>
    <row r="181">
      <c r="A181" s="58" t="inlineStr">
        <is>
          <t>RT20250105-00180</t>
        </is>
      </c>
      <c r="B181" s="59" t="inlineStr">
        <is>
          <t>2025-01-05</t>
        </is>
      </c>
      <c r="C181" s="60" t="inlineStr">
        <is>
          <t>Vertex Supplie Pro-786</t>
        </is>
      </c>
      <c r="D181" s="58" t="inlineStr">
        <is>
          <t>Office</t>
        </is>
      </c>
      <c r="E181" s="58" t="inlineStr">
        <is>
          <t>East</t>
        </is>
      </c>
      <c r="F181" s="61" t="n">
        <v>1</v>
      </c>
      <c r="G181" s="62" t="n">
        <v>391.37</v>
      </c>
      <c r="H181" s="63" t="n">
        <v>0.001</v>
      </c>
      <c r="I181" s="62" t="n">
        <v>301.1</v>
      </c>
      <c r="J181" s="58" t="inlineStr">
        <is>
          <t>Online</t>
        </is>
      </c>
      <c r="K181" s="62">
        <f>F181*(G181-H181)</f>
        <v/>
      </c>
      <c r="L181" s="62">
        <f>K181-(F181*I181)</f>
        <v/>
      </c>
      <c r="M181" s="64">
        <f>L181/K181</f>
        <v/>
      </c>
    </row>
    <row r="182">
      <c r="A182" s="58" t="inlineStr">
        <is>
          <t>RT20250105-00181</t>
        </is>
      </c>
      <c r="B182" s="59" t="inlineStr">
        <is>
          <t>2025-01-05</t>
        </is>
      </c>
      <c r="C182" s="60" t="inlineStr">
        <is>
          <t>Falcon Bedding S-674</t>
        </is>
      </c>
      <c r="D182" s="58" t="inlineStr">
        <is>
          <t>Home</t>
        </is>
      </c>
      <c r="E182" s="58" t="inlineStr">
        <is>
          <t>Central</t>
        </is>
      </c>
      <c r="F182" s="61" t="n">
        <v>1</v>
      </c>
      <c r="G182" s="62" t="n">
        <v>665.9</v>
      </c>
      <c r="H182" s="63" t="n">
        <v>0.054</v>
      </c>
      <c r="I182" s="62" t="n">
        <v>454.7</v>
      </c>
      <c r="J182" s="58" t="inlineStr">
        <is>
          <t>Store</t>
        </is>
      </c>
      <c r="K182" s="62">
        <f>F182*(G182-H182)</f>
        <v/>
      </c>
      <c r="L182" s="62">
        <f>K182-(F182*I182)</f>
        <v/>
      </c>
      <c r="M182" s="64">
        <f>L182/K182</f>
        <v/>
      </c>
    </row>
    <row r="183">
      <c r="A183" s="58" t="inlineStr">
        <is>
          <t>RT20250105-00182</t>
        </is>
      </c>
      <c r="B183" s="59" t="inlineStr">
        <is>
          <t>2025-01-05</t>
        </is>
      </c>
      <c r="C183" s="60" t="inlineStr">
        <is>
          <t>Vertex Men X-995</t>
        </is>
      </c>
      <c r="D183" s="58" t="inlineStr">
        <is>
          <t>Apparel</t>
        </is>
      </c>
      <c r="E183" s="58" t="inlineStr">
        <is>
          <t>East</t>
        </is>
      </c>
      <c r="F183" s="61" t="n">
        <v>2</v>
      </c>
      <c r="G183" s="62" t="n">
        <v>100.54</v>
      </c>
      <c r="H183" s="63" t="n">
        <v>0.101</v>
      </c>
      <c r="I183" s="62" t="n">
        <v>57.49</v>
      </c>
      <c r="J183" s="58" t="inlineStr">
        <is>
          <t>Online</t>
        </is>
      </c>
      <c r="K183" s="62">
        <f>F183*(G183-H183)</f>
        <v/>
      </c>
      <c r="L183" s="62">
        <f>K183-(F183*I183)</f>
        <v/>
      </c>
      <c r="M183" s="64">
        <f>L183/K183</f>
        <v/>
      </c>
    </row>
    <row r="184">
      <c r="A184" s="58" t="inlineStr">
        <is>
          <t>RT20250105-00183</t>
        </is>
      </c>
      <c r="B184" s="59" t="inlineStr">
        <is>
          <t>2025-01-05</t>
        </is>
      </c>
      <c r="C184" s="60" t="inlineStr">
        <is>
          <t>Aurora Outdoor Pro-467</t>
        </is>
      </c>
      <c r="D184" s="58" t="inlineStr">
        <is>
          <t>Sports</t>
        </is>
      </c>
      <c r="E184" s="58" t="inlineStr">
        <is>
          <t>West</t>
        </is>
      </c>
      <c r="F184" s="61" t="n">
        <v>3</v>
      </c>
      <c r="G184" s="62" t="n">
        <v>239.49</v>
      </c>
      <c r="H184" s="63" t="n">
        <v>0.08699999999999999</v>
      </c>
      <c r="I184" s="62" t="n">
        <v>190.63</v>
      </c>
      <c r="J184" s="58" t="inlineStr">
        <is>
          <t>Store</t>
        </is>
      </c>
      <c r="K184" s="62">
        <f>F184*(G184-H184)</f>
        <v/>
      </c>
      <c r="L184" s="62">
        <f>K184-(F184*I184)</f>
        <v/>
      </c>
      <c r="M184" s="64">
        <f>L184/K184</f>
        <v/>
      </c>
    </row>
    <row r="185">
      <c r="A185" s="58" t="inlineStr">
        <is>
          <t>RT20250105-00184</t>
        </is>
      </c>
      <c r="B185" s="59" t="inlineStr">
        <is>
          <t>2025-01-05</t>
        </is>
      </c>
      <c r="C185" s="60" t="inlineStr">
        <is>
          <t>Nimbus Headphone X-854</t>
        </is>
      </c>
      <c r="D185" s="58" t="inlineStr">
        <is>
          <t>Electronics</t>
        </is>
      </c>
      <c r="E185" s="58" t="inlineStr">
        <is>
          <t>South</t>
        </is>
      </c>
      <c r="F185" s="61" t="n">
        <v>1</v>
      </c>
      <c r="G185" s="62" t="n">
        <v>1350.66</v>
      </c>
      <c r="H185" s="63" t="n">
        <v>0</v>
      </c>
      <c r="I185" s="62" t="n">
        <v>1261.58</v>
      </c>
      <c r="J185" s="58" t="inlineStr">
        <is>
          <t>Online</t>
        </is>
      </c>
      <c r="K185" s="62">
        <f>F185*(G185-H185)</f>
        <v/>
      </c>
      <c r="L185" s="62">
        <f>K185-(F185*I185)</f>
        <v/>
      </c>
      <c r="M185" s="64">
        <f>L185/K185</f>
        <v/>
      </c>
    </row>
    <row r="186">
      <c r="A186" s="58" t="inlineStr">
        <is>
          <t>RT20250105-00185</t>
        </is>
      </c>
      <c r="B186" s="59" t="inlineStr">
        <is>
          <t>2025-01-05</t>
        </is>
      </c>
      <c r="C186" s="60" t="inlineStr">
        <is>
          <t>Orion Kid Max-864</t>
        </is>
      </c>
      <c r="D186" s="58" t="inlineStr">
        <is>
          <t>Apparel</t>
        </is>
      </c>
      <c r="E186" s="58" t="inlineStr">
        <is>
          <t>West</t>
        </is>
      </c>
      <c r="F186" s="61" t="n">
        <v>3</v>
      </c>
      <c r="G186" s="62" t="n">
        <v>86.94</v>
      </c>
      <c r="H186" s="63" t="n">
        <v>0.065</v>
      </c>
      <c r="I186" s="62" t="n">
        <v>44.94</v>
      </c>
      <c r="J186" s="58" t="inlineStr">
        <is>
          <t>Online</t>
        </is>
      </c>
      <c r="K186" s="62">
        <f>F186*(G186-H186)</f>
        <v/>
      </c>
      <c r="L186" s="62">
        <f>K186-(F186*I186)</f>
        <v/>
      </c>
      <c r="M186" s="64">
        <f>L186/K186</f>
        <v/>
      </c>
    </row>
    <row r="187">
      <c r="A187" s="58" t="inlineStr">
        <is>
          <t>RT20250106-00186</t>
        </is>
      </c>
      <c r="B187" s="59" t="inlineStr">
        <is>
          <t>2025-01-06</t>
        </is>
      </c>
      <c r="C187" s="60" t="inlineStr">
        <is>
          <t>Aurora Fitnes Lite-194</t>
        </is>
      </c>
      <c r="D187" s="58" t="inlineStr">
        <is>
          <t>Sports</t>
        </is>
      </c>
      <c r="E187" s="58" t="inlineStr">
        <is>
          <t>West</t>
        </is>
      </c>
      <c r="F187" s="61" t="n">
        <v>2</v>
      </c>
      <c r="G187" s="62" t="n">
        <v>559.15</v>
      </c>
      <c r="H187" s="63" t="n">
        <v>0.082</v>
      </c>
      <c r="I187" s="62" t="n">
        <v>453.78</v>
      </c>
      <c r="J187" s="58" t="inlineStr">
        <is>
          <t>Online</t>
        </is>
      </c>
      <c r="K187" s="62">
        <f>F187*(G187-H187)</f>
        <v/>
      </c>
      <c r="L187" s="62">
        <f>K187-(F187*I187)</f>
        <v/>
      </c>
      <c r="M187" s="64">
        <f>L187/K187</f>
        <v/>
      </c>
    </row>
    <row r="188">
      <c r="A188" s="58" t="inlineStr">
        <is>
          <t>RT20250106-00187</t>
        </is>
      </c>
      <c r="B188" s="59" t="inlineStr">
        <is>
          <t>2025-01-06</t>
        </is>
      </c>
      <c r="C188" s="60" t="inlineStr">
        <is>
          <t>Polar Women S-662</t>
        </is>
      </c>
      <c r="D188" s="58" t="inlineStr">
        <is>
          <t>Apparel</t>
        </is>
      </c>
      <c r="E188" s="58" t="inlineStr">
        <is>
          <t>North</t>
        </is>
      </c>
      <c r="F188" s="61" t="n">
        <v>3</v>
      </c>
      <c r="G188" s="62" t="n">
        <v>177.45</v>
      </c>
      <c r="H188" s="63" t="n">
        <v>0.059</v>
      </c>
      <c r="I188" s="62" t="n">
        <v>103.13</v>
      </c>
      <c r="J188" s="58" t="inlineStr">
        <is>
          <t>Online</t>
        </is>
      </c>
      <c r="K188" s="62">
        <f>F188*(G188-H188)</f>
        <v/>
      </c>
      <c r="L188" s="62">
        <f>K188-(F188*I188)</f>
        <v/>
      </c>
      <c r="M188" s="64">
        <f>L188/K188</f>
        <v/>
      </c>
    </row>
    <row r="189">
      <c r="A189" s="58" t="inlineStr">
        <is>
          <t>RT20250106-00188</t>
        </is>
      </c>
      <c r="B189" s="59" t="inlineStr">
        <is>
          <t>2025-01-06</t>
        </is>
      </c>
      <c r="C189" s="60" t="inlineStr">
        <is>
          <t>Aurora Fitnes Lite-194</t>
        </is>
      </c>
      <c r="D189" s="58" t="inlineStr">
        <is>
          <t>Sports</t>
        </is>
      </c>
      <c r="E189" s="58" t="inlineStr">
        <is>
          <t>East</t>
        </is>
      </c>
      <c r="F189" s="61" t="n">
        <v>1</v>
      </c>
      <c r="G189" s="62" t="n">
        <v>721.09</v>
      </c>
      <c r="H189" s="63" t="n">
        <v>0.055</v>
      </c>
      <c r="I189" s="62" t="n">
        <v>476.48</v>
      </c>
      <c r="J189" s="58" t="inlineStr">
        <is>
          <t>Online</t>
        </is>
      </c>
      <c r="K189" s="62">
        <f>F189*(G189-H189)</f>
        <v/>
      </c>
      <c r="L189" s="62">
        <f>K189-(F189*I189)</f>
        <v/>
      </c>
      <c r="M189" s="64">
        <f>L189/K189</f>
        <v/>
      </c>
    </row>
    <row r="190">
      <c r="A190" s="58" t="inlineStr">
        <is>
          <t>RT20250106-00189</t>
        </is>
      </c>
      <c r="B190" s="59" t="inlineStr">
        <is>
          <t>2025-01-06</t>
        </is>
      </c>
      <c r="C190" s="60" t="inlineStr">
        <is>
          <t>Metro Beverage Max-490</t>
        </is>
      </c>
      <c r="D190" s="58" t="inlineStr">
        <is>
          <t>Grocery</t>
        </is>
      </c>
      <c r="E190" s="58" t="inlineStr">
        <is>
          <t>West</t>
        </is>
      </c>
      <c r="F190" s="61" t="n">
        <v>4</v>
      </c>
      <c r="G190" s="62" t="n">
        <v>11.12</v>
      </c>
      <c r="H190" s="63" t="n">
        <v>0.043</v>
      </c>
      <c r="I190" s="62" t="n">
        <v>8.130000000000001</v>
      </c>
      <c r="J190" s="58" t="inlineStr">
        <is>
          <t>Phone</t>
        </is>
      </c>
      <c r="K190" s="62">
        <f>F190*(G190-H190)</f>
        <v/>
      </c>
      <c r="L190" s="62">
        <f>K190-(F190*I190)</f>
        <v/>
      </c>
      <c r="M190" s="64">
        <f>L190/K190</f>
        <v/>
      </c>
    </row>
    <row r="191">
      <c r="A191" s="58" t="inlineStr">
        <is>
          <t>RT20250106-00190</t>
        </is>
      </c>
      <c r="B191" s="59" t="inlineStr">
        <is>
          <t>2025-01-06</t>
        </is>
      </c>
      <c r="C191" s="60" t="inlineStr">
        <is>
          <t>Aurora Fragrance S-971</t>
        </is>
      </c>
      <c r="D191" s="58" t="inlineStr">
        <is>
          <t>Beauty</t>
        </is>
      </c>
      <c r="E191" s="58" t="inlineStr">
        <is>
          <t>Central</t>
        </is>
      </c>
      <c r="F191" s="61" t="n">
        <v>1</v>
      </c>
      <c r="G191" s="62" t="n">
        <v>105.88</v>
      </c>
      <c r="H191" s="63" t="n">
        <v>0.104</v>
      </c>
      <c r="I191" s="62" t="n">
        <v>65.66</v>
      </c>
      <c r="J191" s="58" t="inlineStr">
        <is>
          <t>Store</t>
        </is>
      </c>
      <c r="K191" s="62">
        <f>F191*(G191-H191)</f>
        <v/>
      </c>
      <c r="L191" s="62">
        <f>K191-(F191*I191)</f>
        <v/>
      </c>
      <c r="M191" s="64">
        <f>L191/K191</f>
        <v/>
      </c>
    </row>
    <row r="192">
      <c r="A192" s="58" t="inlineStr">
        <is>
          <t>RT20250106-00191</t>
        </is>
      </c>
      <c r="B192" s="59" t="inlineStr">
        <is>
          <t>2025-01-06</t>
        </is>
      </c>
      <c r="C192" s="60" t="inlineStr">
        <is>
          <t>Falcon Kitchen X-130</t>
        </is>
      </c>
      <c r="D192" s="58" t="inlineStr">
        <is>
          <t>Home</t>
        </is>
      </c>
      <c r="E192" s="58" t="inlineStr">
        <is>
          <t>East</t>
        </is>
      </c>
      <c r="F192" s="61" t="n">
        <v>1</v>
      </c>
      <c r="G192" s="62" t="n">
        <v>403.38</v>
      </c>
      <c r="H192" s="63" t="n">
        <v>0.052</v>
      </c>
      <c r="I192" s="62" t="n">
        <v>291.03</v>
      </c>
      <c r="J192" s="58" t="inlineStr">
        <is>
          <t>Online</t>
        </is>
      </c>
      <c r="K192" s="62">
        <f>F192*(G192-H192)</f>
        <v/>
      </c>
      <c r="L192" s="62">
        <f>K192-(F192*I192)</f>
        <v/>
      </c>
      <c r="M192" s="64">
        <f>L192/K192</f>
        <v/>
      </c>
    </row>
    <row r="193">
      <c r="A193" s="58" t="inlineStr">
        <is>
          <t>RT20250106-00192</t>
        </is>
      </c>
      <c r="B193" s="59" t="inlineStr">
        <is>
          <t>2025-01-06</t>
        </is>
      </c>
      <c r="C193" s="60" t="inlineStr">
        <is>
          <t>Metro Laptop Plus-376</t>
        </is>
      </c>
      <c r="D193" s="58" t="inlineStr">
        <is>
          <t>Electronics</t>
        </is>
      </c>
      <c r="E193" s="58" t="inlineStr">
        <is>
          <t>West</t>
        </is>
      </c>
      <c r="F193" s="61" t="n">
        <v>2</v>
      </c>
      <c r="G193" s="62" t="n">
        <v>1218.09</v>
      </c>
      <c r="H193" s="63" t="n">
        <v>0.037</v>
      </c>
      <c r="I193" s="62" t="n">
        <v>1068.94</v>
      </c>
      <c r="J193" s="58" t="inlineStr">
        <is>
          <t>Online</t>
        </is>
      </c>
      <c r="K193" s="62">
        <f>F193*(G193-H193)</f>
        <v/>
      </c>
      <c r="L193" s="62">
        <f>K193-(F193*I193)</f>
        <v/>
      </c>
      <c r="M193" s="64">
        <f>L193/K193</f>
        <v/>
      </c>
    </row>
    <row r="194">
      <c r="A194" s="58" t="inlineStr">
        <is>
          <t>RT20250106-00193</t>
        </is>
      </c>
      <c r="B194" s="59" t="inlineStr">
        <is>
          <t>2025-01-06</t>
        </is>
      </c>
      <c r="C194" s="60" t="inlineStr">
        <is>
          <t>Nimbus Men Plus-231</t>
        </is>
      </c>
      <c r="D194" s="58" t="inlineStr">
        <is>
          <t>Apparel</t>
        </is>
      </c>
      <c r="E194" s="58" t="inlineStr">
        <is>
          <t>West</t>
        </is>
      </c>
      <c r="F194" s="61" t="n">
        <v>1</v>
      </c>
      <c r="G194" s="62" t="n">
        <v>159.45</v>
      </c>
      <c r="H194" s="63" t="n">
        <v>0.067</v>
      </c>
      <c r="I194" s="62" t="n">
        <v>89.34999999999999</v>
      </c>
      <c r="J194" s="58" t="inlineStr">
        <is>
          <t>Phone</t>
        </is>
      </c>
      <c r="K194" s="62">
        <f>F194*(G194-H194)</f>
        <v/>
      </c>
      <c r="L194" s="62">
        <f>K194-(F194*I194)</f>
        <v/>
      </c>
      <c r="M194" s="64">
        <f>L194/K194</f>
        <v/>
      </c>
    </row>
    <row r="195">
      <c r="A195" s="58" t="inlineStr">
        <is>
          <t>RT20250106-00194</t>
        </is>
      </c>
      <c r="B195" s="59" t="inlineStr">
        <is>
          <t>2025-01-06</t>
        </is>
      </c>
      <c r="C195" s="60" t="inlineStr">
        <is>
          <t>Aurora Wearable Lite-162</t>
        </is>
      </c>
      <c r="D195" s="58" t="inlineStr">
        <is>
          <t>Electronics</t>
        </is>
      </c>
      <c r="E195" s="58" t="inlineStr">
        <is>
          <t>East</t>
        </is>
      </c>
      <c r="F195" s="61" t="n">
        <v>2</v>
      </c>
      <c r="G195" s="62" t="n">
        <v>1652.61</v>
      </c>
      <c r="H195" s="63" t="n">
        <v>0.054</v>
      </c>
      <c r="I195" s="62" t="n">
        <v>1156.79</v>
      </c>
      <c r="J195" s="58" t="inlineStr">
        <is>
          <t>Store</t>
        </is>
      </c>
      <c r="K195" s="62">
        <f>F195*(G195-H195)</f>
        <v/>
      </c>
      <c r="L195" s="62">
        <f>K195-(F195*I195)</f>
        <v/>
      </c>
      <c r="M195" s="64">
        <f>L195/K195</f>
        <v/>
      </c>
    </row>
    <row r="196">
      <c r="A196" s="58" t="inlineStr">
        <is>
          <t>RT20250106-00195</t>
        </is>
      </c>
      <c r="B196" s="59" t="inlineStr">
        <is>
          <t>2025-01-06</t>
        </is>
      </c>
      <c r="C196" s="60" t="inlineStr">
        <is>
          <t>Solace Kid S-384</t>
        </is>
      </c>
      <c r="D196" s="58" t="inlineStr">
        <is>
          <t>Apparel</t>
        </is>
      </c>
      <c r="E196" s="58" t="inlineStr">
        <is>
          <t>East</t>
        </is>
      </c>
      <c r="F196" s="61" t="n">
        <v>2</v>
      </c>
      <c r="G196" s="62" t="n">
        <v>101.25</v>
      </c>
      <c r="H196" s="63" t="n">
        <v>0.07099999999999999</v>
      </c>
      <c r="I196" s="62" t="n">
        <v>60.69</v>
      </c>
      <c r="J196" s="58" t="inlineStr">
        <is>
          <t>Online</t>
        </is>
      </c>
      <c r="K196" s="62">
        <f>F196*(G196-H196)</f>
        <v/>
      </c>
      <c r="L196" s="62">
        <f>K196-(F196*I196)</f>
        <v/>
      </c>
      <c r="M196" s="64">
        <f>L196/K196</f>
        <v/>
      </c>
    </row>
    <row r="197">
      <c r="A197" s="58" t="inlineStr">
        <is>
          <t>RT20250106-00196</t>
        </is>
      </c>
      <c r="B197" s="59" t="inlineStr">
        <is>
          <t>2025-01-06</t>
        </is>
      </c>
      <c r="C197" s="60" t="inlineStr">
        <is>
          <t>Falcon Headphone Pro-713</t>
        </is>
      </c>
      <c r="D197" s="58" t="inlineStr">
        <is>
          <t>Electronics</t>
        </is>
      </c>
      <c r="E197" s="58" t="inlineStr">
        <is>
          <t>West</t>
        </is>
      </c>
      <c r="F197" s="61" t="n">
        <v>2</v>
      </c>
      <c r="G197" s="62" t="n">
        <v>1566.46</v>
      </c>
      <c r="H197" s="63" t="n">
        <v>0.075</v>
      </c>
      <c r="I197" s="62" t="n">
        <v>1177.81</v>
      </c>
      <c r="J197" s="58" t="inlineStr">
        <is>
          <t>Store</t>
        </is>
      </c>
      <c r="K197" s="62">
        <f>F197*(G197-H197)</f>
        <v/>
      </c>
      <c r="L197" s="62">
        <f>K197-(F197*I197)</f>
        <v/>
      </c>
      <c r="M197" s="64">
        <f>L197/K197</f>
        <v/>
      </c>
    </row>
    <row r="198">
      <c r="A198" s="58" t="inlineStr">
        <is>
          <t>RT20250106-00197</t>
        </is>
      </c>
      <c r="B198" s="59" t="inlineStr">
        <is>
          <t>2025-01-06</t>
        </is>
      </c>
      <c r="C198" s="60" t="inlineStr">
        <is>
          <t>Aurora Furniture X-709</t>
        </is>
      </c>
      <c r="D198" s="58" t="inlineStr">
        <is>
          <t>Office</t>
        </is>
      </c>
      <c r="E198" s="58" t="inlineStr">
        <is>
          <t>Central</t>
        </is>
      </c>
      <c r="F198" s="61" t="n">
        <v>2</v>
      </c>
      <c r="G198" s="62" t="n">
        <v>404.7</v>
      </c>
      <c r="H198" s="63" t="n">
        <v>0.044</v>
      </c>
      <c r="I198" s="62" t="n">
        <v>312.03</v>
      </c>
      <c r="J198" s="58" t="inlineStr">
        <is>
          <t>Online</t>
        </is>
      </c>
      <c r="K198" s="62">
        <f>F198*(G198-H198)</f>
        <v/>
      </c>
      <c r="L198" s="62">
        <f>K198-(F198*I198)</f>
        <v/>
      </c>
      <c r="M198" s="64">
        <f>L198/K198</f>
        <v/>
      </c>
    </row>
    <row r="199">
      <c r="A199" s="58" t="inlineStr">
        <is>
          <t>RT20250106-00198</t>
        </is>
      </c>
      <c r="B199" s="59" t="inlineStr">
        <is>
          <t>2025-01-06</t>
        </is>
      </c>
      <c r="C199" s="60" t="inlineStr">
        <is>
          <t>Metro Smartphone Max-773</t>
        </is>
      </c>
      <c r="D199" s="58" t="inlineStr">
        <is>
          <t>Electronics</t>
        </is>
      </c>
      <c r="E199" s="58" t="inlineStr">
        <is>
          <t>North</t>
        </is>
      </c>
      <c r="F199" s="61" t="n">
        <v>2</v>
      </c>
      <c r="G199" s="62" t="n">
        <v>1390.49</v>
      </c>
      <c r="H199" s="63" t="n">
        <v>0.096</v>
      </c>
      <c r="I199" s="62" t="n">
        <v>1148.95</v>
      </c>
      <c r="J199" s="58" t="inlineStr">
        <is>
          <t>Phone</t>
        </is>
      </c>
      <c r="K199" s="62">
        <f>F199*(G199-H199)</f>
        <v/>
      </c>
      <c r="L199" s="62">
        <f>K199-(F199*I199)</f>
        <v/>
      </c>
      <c r="M199" s="64">
        <f>L199/K199</f>
        <v/>
      </c>
    </row>
    <row r="200">
      <c r="A200" s="58" t="inlineStr">
        <is>
          <t>RT20250106-00199</t>
        </is>
      </c>
      <c r="B200" s="59" t="inlineStr">
        <is>
          <t>2025-01-06</t>
        </is>
      </c>
      <c r="C200" s="60" t="inlineStr">
        <is>
          <t>Polar Snack Pro-641</t>
        </is>
      </c>
      <c r="D200" s="58" t="inlineStr">
        <is>
          <t>Grocery</t>
        </is>
      </c>
      <c r="E200" s="58" t="inlineStr">
        <is>
          <t>East</t>
        </is>
      </c>
      <c r="F200" s="61" t="n">
        <v>7</v>
      </c>
      <c r="G200" s="62" t="n">
        <v>13.87</v>
      </c>
      <c r="H200" s="63" t="n">
        <v>0.043</v>
      </c>
      <c r="I200" s="62" t="n">
        <v>9.41</v>
      </c>
      <c r="J200" s="58" t="inlineStr">
        <is>
          <t>Online</t>
        </is>
      </c>
      <c r="K200" s="62">
        <f>F200*(G200-H200)</f>
        <v/>
      </c>
      <c r="L200" s="62">
        <f>K200-(F200*I200)</f>
        <v/>
      </c>
      <c r="M200" s="64">
        <f>L200/K200</f>
        <v/>
      </c>
    </row>
    <row r="201">
      <c r="A201" s="58" t="inlineStr">
        <is>
          <t>RT20250106-00200</t>
        </is>
      </c>
      <c r="B201" s="59" t="inlineStr">
        <is>
          <t>2025-01-06</t>
        </is>
      </c>
      <c r="C201" s="60" t="inlineStr">
        <is>
          <t>Aurora Wearable Lite-162</t>
        </is>
      </c>
      <c r="D201" s="58" t="inlineStr">
        <is>
          <t>Electronics</t>
        </is>
      </c>
      <c r="E201" s="58" t="inlineStr">
        <is>
          <t>Central</t>
        </is>
      </c>
      <c r="F201" s="61" t="n">
        <v>1</v>
      </c>
      <c r="G201" s="62" t="n">
        <v>1428.66</v>
      </c>
      <c r="H201" s="63" t="n">
        <v>0.079</v>
      </c>
      <c r="I201" s="62" t="n">
        <v>1200.56</v>
      </c>
      <c r="J201" s="58" t="inlineStr">
        <is>
          <t>Online</t>
        </is>
      </c>
      <c r="K201" s="62">
        <f>F201*(G201-H201)</f>
        <v/>
      </c>
      <c r="L201" s="62">
        <f>K201-(F201*I201)</f>
        <v/>
      </c>
      <c r="M201" s="64">
        <f>L201/K201</f>
        <v/>
      </c>
    </row>
    <row r="202">
      <c r="A202" s="58" t="inlineStr">
        <is>
          <t>RT20250106-00201</t>
        </is>
      </c>
      <c r="B202" s="59" t="inlineStr">
        <is>
          <t>2025-01-06</t>
        </is>
      </c>
      <c r="C202" s="60" t="inlineStr">
        <is>
          <t>Vertex Printer Max-692</t>
        </is>
      </c>
      <c r="D202" s="58" t="inlineStr">
        <is>
          <t>Office</t>
        </is>
      </c>
      <c r="E202" s="58" t="inlineStr">
        <is>
          <t>Central</t>
        </is>
      </c>
      <c r="F202" s="61" t="n">
        <v>1</v>
      </c>
      <c r="G202" s="62" t="n">
        <v>195.73</v>
      </c>
      <c r="H202" s="63" t="n">
        <v>0.114</v>
      </c>
      <c r="I202" s="62" t="n">
        <v>126</v>
      </c>
      <c r="J202" s="58" t="inlineStr">
        <is>
          <t>Store</t>
        </is>
      </c>
      <c r="K202" s="62">
        <f>F202*(G202-H202)</f>
        <v/>
      </c>
      <c r="L202" s="62">
        <f>K202-(F202*I202)</f>
        <v/>
      </c>
      <c r="M202" s="64">
        <f>L202/K202</f>
        <v/>
      </c>
    </row>
    <row r="203">
      <c r="A203" s="58" t="inlineStr">
        <is>
          <t>RT20250106-00202</t>
        </is>
      </c>
      <c r="B203" s="59" t="inlineStr">
        <is>
          <t>2025-01-06</t>
        </is>
      </c>
      <c r="C203" s="60" t="inlineStr">
        <is>
          <t>Falcon Skincare Max-151</t>
        </is>
      </c>
      <c r="D203" s="58" t="inlineStr">
        <is>
          <t>Beauty</t>
        </is>
      </c>
      <c r="E203" s="58" t="inlineStr">
        <is>
          <t>North</t>
        </is>
      </c>
      <c r="F203" s="61" t="n">
        <v>3</v>
      </c>
      <c r="G203" s="62" t="n">
        <v>94.13</v>
      </c>
      <c r="H203" s="63" t="n">
        <v>0.007</v>
      </c>
      <c r="I203" s="62" t="n">
        <v>61.13</v>
      </c>
      <c r="J203" s="58" t="inlineStr">
        <is>
          <t>Online</t>
        </is>
      </c>
      <c r="K203" s="62">
        <f>F203*(G203-H203)</f>
        <v/>
      </c>
      <c r="L203" s="62">
        <f>K203-(F203*I203)</f>
        <v/>
      </c>
      <c r="M203" s="64">
        <f>L203/K203</f>
        <v/>
      </c>
    </row>
    <row r="204">
      <c r="A204" s="58" t="inlineStr">
        <is>
          <t>RT20250106-00203</t>
        </is>
      </c>
      <c r="B204" s="59" t="inlineStr">
        <is>
          <t>2025-01-06</t>
        </is>
      </c>
      <c r="C204" s="60" t="inlineStr">
        <is>
          <t>Polar Outdoor Lite-318</t>
        </is>
      </c>
      <c r="D204" s="58" t="inlineStr">
        <is>
          <t>Sports</t>
        </is>
      </c>
      <c r="E204" s="58" t="inlineStr">
        <is>
          <t>South</t>
        </is>
      </c>
      <c r="F204" s="61" t="n">
        <v>2</v>
      </c>
      <c r="G204" s="62" t="n">
        <v>720.04</v>
      </c>
      <c r="H204" s="63" t="n">
        <v>0.093</v>
      </c>
      <c r="I204" s="62" t="n">
        <v>465.37</v>
      </c>
      <c r="J204" s="58" t="inlineStr">
        <is>
          <t>Online</t>
        </is>
      </c>
      <c r="K204" s="62">
        <f>F204*(G204-H204)</f>
        <v/>
      </c>
      <c r="L204" s="62">
        <f>K204-(F204*I204)</f>
        <v/>
      </c>
      <c r="M204" s="64">
        <f>L204/K204</f>
        <v/>
      </c>
    </row>
    <row r="205">
      <c r="A205" s="58" t="inlineStr">
        <is>
          <t>RT20250106-00204</t>
        </is>
      </c>
      <c r="B205" s="59" t="inlineStr">
        <is>
          <t>2025-01-06</t>
        </is>
      </c>
      <c r="C205" s="60" t="inlineStr">
        <is>
          <t>Falcon Headphone Pro-713</t>
        </is>
      </c>
      <c r="D205" s="58" t="inlineStr">
        <is>
          <t>Electronics</t>
        </is>
      </c>
      <c r="E205" s="58" t="inlineStr">
        <is>
          <t>Central</t>
        </is>
      </c>
      <c r="F205" s="61" t="n">
        <v>2</v>
      </c>
      <c r="G205" s="62" t="n">
        <v>1302.18</v>
      </c>
      <c r="H205" s="63" t="n">
        <v>0.022</v>
      </c>
      <c r="I205" s="62" t="n">
        <v>1198.94</v>
      </c>
      <c r="J205" s="58" t="inlineStr">
        <is>
          <t>Online</t>
        </is>
      </c>
      <c r="K205" s="62">
        <f>F205*(G205-H205)</f>
        <v/>
      </c>
      <c r="L205" s="62">
        <f>K205-(F205*I205)</f>
        <v/>
      </c>
      <c r="M205" s="64">
        <f>L205/K205</f>
        <v/>
      </c>
    </row>
    <row r="206">
      <c r="A206" s="58" t="inlineStr">
        <is>
          <t>RT20250106-00205</t>
        </is>
      </c>
      <c r="B206" s="59" t="inlineStr">
        <is>
          <t>2025-01-06</t>
        </is>
      </c>
      <c r="C206" s="60" t="inlineStr">
        <is>
          <t>Falcon Kitchen X-130</t>
        </is>
      </c>
      <c r="D206" s="58" t="inlineStr">
        <is>
          <t>Home</t>
        </is>
      </c>
      <c r="E206" s="58" t="inlineStr">
        <is>
          <t>Central</t>
        </is>
      </c>
      <c r="F206" s="61" t="n">
        <v>2</v>
      </c>
      <c r="G206" s="62" t="n">
        <v>432.23</v>
      </c>
      <c r="H206" s="63" t="n">
        <v>0.061</v>
      </c>
      <c r="I206" s="62" t="n">
        <v>295.19</v>
      </c>
      <c r="J206" s="58" t="inlineStr">
        <is>
          <t>Online</t>
        </is>
      </c>
      <c r="K206" s="62">
        <f>F206*(G206-H206)</f>
        <v/>
      </c>
      <c r="L206" s="62">
        <f>K206-(F206*I206)</f>
        <v/>
      </c>
      <c r="M206" s="64">
        <f>L206/K206</f>
        <v/>
      </c>
    </row>
    <row r="207">
      <c r="A207" s="58" t="inlineStr">
        <is>
          <t>RT20250106-00206</t>
        </is>
      </c>
      <c r="B207" s="59" t="inlineStr">
        <is>
          <t>2025-01-06</t>
        </is>
      </c>
      <c r="C207" s="60" t="inlineStr">
        <is>
          <t>Nimbus Storage Plus-646</t>
        </is>
      </c>
      <c r="D207" s="58" t="inlineStr">
        <is>
          <t>Office</t>
        </is>
      </c>
      <c r="E207" s="58" t="inlineStr">
        <is>
          <t>South</t>
        </is>
      </c>
      <c r="F207" s="61" t="n">
        <v>1</v>
      </c>
      <c r="G207" s="62" t="n">
        <v>439.17</v>
      </c>
      <c r="H207" s="63" t="n">
        <v>0.091</v>
      </c>
      <c r="I207" s="62" t="n">
        <v>309.93</v>
      </c>
      <c r="J207" s="58" t="inlineStr">
        <is>
          <t>Online</t>
        </is>
      </c>
      <c r="K207" s="62">
        <f>F207*(G207-H207)</f>
        <v/>
      </c>
      <c r="L207" s="62">
        <f>K207-(F207*I207)</f>
        <v/>
      </c>
      <c r="M207" s="64">
        <f>L207/K207</f>
        <v/>
      </c>
    </row>
    <row r="208">
      <c r="A208" s="58" t="inlineStr">
        <is>
          <t>RT20250106-00207</t>
        </is>
      </c>
      <c r="B208" s="59" t="inlineStr">
        <is>
          <t>2025-01-06</t>
        </is>
      </c>
      <c r="C208" s="60" t="inlineStr">
        <is>
          <t>Orion Kid Max-640</t>
        </is>
      </c>
      <c r="D208" s="58" t="inlineStr">
        <is>
          <t>Apparel</t>
        </is>
      </c>
      <c r="E208" s="58" t="inlineStr">
        <is>
          <t>North</t>
        </is>
      </c>
      <c r="F208" s="61" t="n">
        <v>4</v>
      </c>
      <c r="G208" s="62" t="n">
        <v>133.76</v>
      </c>
      <c r="H208" s="63" t="n">
        <v>0.121</v>
      </c>
      <c r="I208" s="62" t="n">
        <v>68.95</v>
      </c>
      <c r="J208" s="58" t="inlineStr">
        <is>
          <t>Store</t>
        </is>
      </c>
      <c r="K208" s="62">
        <f>F208*(G208-H208)</f>
        <v/>
      </c>
      <c r="L208" s="62">
        <f>K208-(F208*I208)</f>
        <v/>
      </c>
      <c r="M208" s="64">
        <f>L208/K208</f>
        <v/>
      </c>
    </row>
    <row r="209">
      <c r="A209" s="58" t="inlineStr">
        <is>
          <t>RT20250106-00208</t>
        </is>
      </c>
      <c r="B209" s="59" t="inlineStr">
        <is>
          <t>2025-01-06</t>
        </is>
      </c>
      <c r="C209" s="60" t="inlineStr">
        <is>
          <t>Solace Kitchen Pro-510</t>
        </is>
      </c>
      <c r="D209" s="58" t="inlineStr">
        <is>
          <t>Home</t>
        </is>
      </c>
      <c r="E209" s="58" t="inlineStr">
        <is>
          <t>East</t>
        </is>
      </c>
      <c r="F209" s="61" t="n">
        <v>2</v>
      </c>
      <c r="G209" s="62" t="n">
        <v>479.61</v>
      </c>
      <c r="H209" s="63" t="n">
        <v>0.062</v>
      </c>
      <c r="I209" s="62" t="n">
        <v>313.14</v>
      </c>
      <c r="J209" s="58" t="inlineStr">
        <is>
          <t>Online</t>
        </is>
      </c>
      <c r="K209" s="62">
        <f>F209*(G209-H209)</f>
        <v/>
      </c>
      <c r="L209" s="62">
        <f>K209-(F209*I209)</f>
        <v/>
      </c>
      <c r="M209" s="64">
        <f>L209/K209</f>
        <v/>
      </c>
    </row>
    <row r="210">
      <c r="A210" s="58" t="inlineStr">
        <is>
          <t>RT20250106-00209</t>
        </is>
      </c>
      <c r="B210" s="59" t="inlineStr">
        <is>
          <t>2025-01-06</t>
        </is>
      </c>
      <c r="C210" s="60" t="inlineStr">
        <is>
          <t>Falcon Headphone Pro-713</t>
        </is>
      </c>
      <c r="D210" s="58" t="inlineStr">
        <is>
          <t>Electronics</t>
        </is>
      </c>
      <c r="E210" s="58" t="inlineStr">
        <is>
          <t>East</t>
        </is>
      </c>
      <c r="F210" s="61" t="n">
        <v>1</v>
      </c>
      <c r="G210" s="62" t="n">
        <v>1438.66</v>
      </c>
      <c r="H210" s="63" t="n">
        <v>0.031</v>
      </c>
      <c r="I210" s="62" t="n">
        <v>1200.22</v>
      </c>
      <c r="J210" s="58" t="inlineStr">
        <is>
          <t>Online</t>
        </is>
      </c>
      <c r="K210" s="62">
        <f>F210*(G210-H210)</f>
        <v/>
      </c>
      <c r="L210" s="62">
        <f>K210-(F210*I210)</f>
        <v/>
      </c>
      <c r="M210" s="64">
        <f>L210/K210</f>
        <v/>
      </c>
    </row>
    <row r="211">
      <c r="A211" s="58" t="inlineStr">
        <is>
          <t>RT20250106-00210</t>
        </is>
      </c>
      <c r="B211" s="59" t="inlineStr">
        <is>
          <t>2025-01-06</t>
        </is>
      </c>
      <c r="C211" s="60" t="inlineStr">
        <is>
          <t>Falcon Furniture Plus-839</t>
        </is>
      </c>
      <c r="D211" s="58" t="inlineStr">
        <is>
          <t>Office</t>
        </is>
      </c>
      <c r="E211" s="58" t="inlineStr">
        <is>
          <t>East</t>
        </is>
      </c>
      <c r="F211" s="61" t="n">
        <v>2</v>
      </c>
      <c r="G211" s="62" t="n">
        <v>322.1</v>
      </c>
      <c r="H211" s="63" t="n">
        <v>0.041</v>
      </c>
      <c r="I211" s="62" t="n">
        <v>232.17</v>
      </c>
      <c r="J211" s="58" t="inlineStr">
        <is>
          <t>Online</t>
        </is>
      </c>
      <c r="K211" s="62">
        <f>F211*(G211-H211)</f>
        <v/>
      </c>
      <c r="L211" s="62">
        <f>K211-(F211*I211)</f>
        <v/>
      </c>
      <c r="M211" s="64">
        <f>L211/K211</f>
        <v/>
      </c>
    </row>
    <row r="212">
      <c r="A212" s="58" t="inlineStr">
        <is>
          <t>RT20250106-00211</t>
        </is>
      </c>
      <c r="B212" s="59" t="inlineStr">
        <is>
          <t>2025-01-06</t>
        </is>
      </c>
      <c r="C212" s="60" t="inlineStr">
        <is>
          <t>Falcon Kitchen X-130</t>
        </is>
      </c>
      <c r="D212" s="58" t="inlineStr">
        <is>
          <t>Home</t>
        </is>
      </c>
      <c r="E212" s="58" t="inlineStr">
        <is>
          <t>Central</t>
        </is>
      </c>
      <c r="F212" s="61" t="n">
        <v>3</v>
      </c>
      <c r="G212" s="62" t="n">
        <v>414.63</v>
      </c>
      <c r="H212" s="63" t="n">
        <v>0.077</v>
      </c>
      <c r="I212" s="62" t="n">
        <v>282.12</v>
      </c>
      <c r="J212" s="58" t="inlineStr">
        <is>
          <t>Online</t>
        </is>
      </c>
      <c r="K212" s="62">
        <f>F212*(G212-H212)</f>
        <v/>
      </c>
      <c r="L212" s="62">
        <f>K212-(F212*I212)</f>
        <v/>
      </c>
      <c r="M212" s="64">
        <f>L212/K212</f>
        <v/>
      </c>
    </row>
    <row r="213">
      <c r="A213" s="58" t="inlineStr">
        <is>
          <t>RT20250106-00212</t>
        </is>
      </c>
      <c r="B213" s="59" t="inlineStr">
        <is>
          <t>2025-01-06</t>
        </is>
      </c>
      <c r="C213" s="60" t="inlineStr">
        <is>
          <t>Polar Outdoor X-193</t>
        </is>
      </c>
      <c r="D213" s="58" t="inlineStr">
        <is>
          <t>Sports</t>
        </is>
      </c>
      <c r="E213" s="58" t="inlineStr">
        <is>
          <t>East</t>
        </is>
      </c>
      <c r="F213" s="61" t="n">
        <v>2</v>
      </c>
      <c r="G213" s="62" t="n">
        <v>650.04</v>
      </c>
      <c r="H213" s="63" t="n">
        <v>0.079</v>
      </c>
      <c r="I213" s="62" t="n">
        <v>444.13</v>
      </c>
      <c r="J213" s="58" t="inlineStr">
        <is>
          <t>Online</t>
        </is>
      </c>
      <c r="K213" s="62">
        <f>F213*(G213-H213)</f>
        <v/>
      </c>
      <c r="L213" s="62">
        <f>K213-(F213*I213)</f>
        <v/>
      </c>
      <c r="M213" s="64">
        <f>L213/K213</f>
        <v/>
      </c>
    </row>
    <row r="214">
      <c r="A214" s="58" t="inlineStr">
        <is>
          <t>RT20250106-00213</t>
        </is>
      </c>
      <c r="B214" s="59" t="inlineStr">
        <is>
          <t>2025-01-06</t>
        </is>
      </c>
      <c r="C214" s="60" t="inlineStr">
        <is>
          <t>Polar Supplie Lite-348</t>
        </is>
      </c>
      <c r="D214" s="58" t="inlineStr">
        <is>
          <t>Office</t>
        </is>
      </c>
      <c r="E214" s="58" t="inlineStr">
        <is>
          <t>West</t>
        </is>
      </c>
      <c r="F214" s="61" t="n">
        <v>2</v>
      </c>
      <c r="G214" s="62" t="n">
        <v>454.32</v>
      </c>
      <c r="H214" s="63" t="n">
        <v>0.098</v>
      </c>
      <c r="I214" s="62" t="n">
        <v>324.39</v>
      </c>
      <c r="J214" s="58" t="inlineStr">
        <is>
          <t>Store</t>
        </is>
      </c>
      <c r="K214" s="62">
        <f>F214*(G214-H214)</f>
        <v/>
      </c>
      <c r="L214" s="62">
        <f>K214-(F214*I214)</f>
        <v/>
      </c>
      <c r="M214" s="64">
        <f>L214/K214</f>
        <v/>
      </c>
    </row>
    <row r="215">
      <c r="A215" s="58" t="inlineStr">
        <is>
          <t>RT20250106-00214</t>
        </is>
      </c>
      <c r="B215" s="59" t="inlineStr">
        <is>
          <t>2025-01-06</t>
        </is>
      </c>
      <c r="C215" s="60" t="inlineStr">
        <is>
          <t>Falcon Accessorie S-195</t>
        </is>
      </c>
      <c r="D215" s="58" t="inlineStr">
        <is>
          <t>Apparel</t>
        </is>
      </c>
      <c r="E215" s="58" t="inlineStr">
        <is>
          <t>East</t>
        </is>
      </c>
      <c r="F215" s="61" t="n">
        <v>1</v>
      </c>
      <c r="G215" s="62" t="n">
        <v>75.8</v>
      </c>
      <c r="H215" s="63" t="n">
        <v>0.061</v>
      </c>
      <c r="I215" s="62" t="n">
        <v>42.33</v>
      </c>
      <c r="J215" s="58" t="inlineStr">
        <is>
          <t>Online</t>
        </is>
      </c>
      <c r="K215" s="62">
        <f>F215*(G215-H215)</f>
        <v/>
      </c>
      <c r="L215" s="62">
        <f>K215-(F215*I215)</f>
        <v/>
      </c>
      <c r="M215" s="64">
        <f>L215/K215</f>
        <v/>
      </c>
    </row>
    <row r="216">
      <c r="A216" s="58" t="inlineStr">
        <is>
          <t>RT20250106-00215</t>
        </is>
      </c>
      <c r="B216" s="59" t="inlineStr">
        <is>
          <t>2025-01-06</t>
        </is>
      </c>
      <c r="C216" s="60" t="inlineStr">
        <is>
          <t>Aurora Kid Plus-151</t>
        </is>
      </c>
      <c r="D216" s="58" t="inlineStr">
        <is>
          <t>Apparel</t>
        </is>
      </c>
      <c r="E216" s="58" t="inlineStr">
        <is>
          <t>East</t>
        </is>
      </c>
      <c r="F216" s="61" t="n">
        <v>2</v>
      </c>
      <c r="G216" s="62" t="n">
        <v>122.37</v>
      </c>
      <c r="H216" s="63" t="n">
        <v>0.125</v>
      </c>
      <c r="I216" s="62" t="n">
        <v>63.05</v>
      </c>
      <c r="J216" s="58" t="inlineStr">
        <is>
          <t>Store</t>
        </is>
      </c>
      <c r="K216" s="62">
        <f>F216*(G216-H216)</f>
        <v/>
      </c>
      <c r="L216" s="62">
        <f>K216-(F216*I216)</f>
        <v/>
      </c>
      <c r="M216" s="64">
        <f>L216/K216</f>
        <v/>
      </c>
    </row>
    <row r="217">
      <c r="A217" s="58" t="inlineStr">
        <is>
          <t>RT20250106-00216</t>
        </is>
      </c>
      <c r="B217" s="59" t="inlineStr">
        <is>
          <t>2025-01-06</t>
        </is>
      </c>
      <c r="C217" s="60" t="inlineStr">
        <is>
          <t>Metro Outdoor Plus-787</t>
        </is>
      </c>
      <c r="D217" s="58" t="inlineStr">
        <is>
          <t>Sports</t>
        </is>
      </c>
      <c r="E217" s="58" t="inlineStr">
        <is>
          <t>Central</t>
        </is>
      </c>
      <c r="F217" s="61" t="n">
        <v>3</v>
      </c>
      <c r="G217" s="62" t="n">
        <v>552.71</v>
      </c>
      <c r="H217" s="63" t="n">
        <v>0.107</v>
      </c>
      <c r="I217" s="62" t="n">
        <v>341.75</v>
      </c>
      <c r="J217" s="58" t="inlineStr">
        <is>
          <t>Store</t>
        </is>
      </c>
      <c r="K217" s="62">
        <f>F217*(G217-H217)</f>
        <v/>
      </c>
      <c r="L217" s="62">
        <f>K217-(F217*I217)</f>
        <v/>
      </c>
      <c r="M217" s="64">
        <f>L217/K217</f>
        <v/>
      </c>
    </row>
    <row r="218">
      <c r="A218" s="58" t="inlineStr">
        <is>
          <t>RT20250106-00217</t>
        </is>
      </c>
      <c r="B218" s="59" t="inlineStr">
        <is>
          <t>2025-01-06</t>
        </is>
      </c>
      <c r="C218" s="60" t="inlineStr">
        <is>
          <t>Aurora Bedding Plus-187</t>
        </is>
      </c>
      <c r="D218" s="58" t="inlineStr">
        <is>
          <t>Home</t>
        </is>
      </c>
      <c r="E218" s="58" t="inlineStr">
        <is>
          <t>East</t>
        </is>
      </c>
      <c r="F218" s="61" t="n">
        <v>3</v>
      </c>
      <c r="G218" s="62" t="n">
        <v>305.92</v>
      </c>
      <c r="H218" s="63" t="n">
        <v>0.07199999999999999</v>
      </c>
      <c r="I218" s="62" t="n">
        <v>214.97</v>
      </c>
      <c r="J218" s="58" t="inlineStr">
        <is>
          <t>Online</t>
        </is>
      </c>
      <c r="K218" s="62">
        <f>F218*(G218-H218)</f>
        <v/>
      </c>
      <c r="L218" s="62">
        <f>K218-(F218*I218)</f>
        <v/>
      </c>
      <c r="M218" s="64">
        <f>L218/K218</f>
        <v/>
      </c>
    </row>
    <row r="219">
      <c r="A219" s="58" t="inlineStr">
        <is>
          <t>RT20250106-00218</t>
        </is>
      </c>
      <c r="B219" s="59" t="inlineStr">
        <is>
          <t>2025-01-06</t>
        </is>
      </c>
      <c r="C219" s="60" t="inlineStr">
        <is>
          <t>Polar Bedding Lite-243</t>
        </is>
      </c>
      <c r="D219" s="58" t="inlineStr">
        <is>
          <t>Home</t>
        </is>
      </c>
      <c r="E219" s="58" t="inlineStr">
        <is>
          <t>East</t>
        </is>
      </c>
      <c r="F219" s="61" t="n">
        <v>1</v>
      </c>
      <c r="G219" s="62" t="n">
        <v>483.71</v>
      </c>
      <c r="H219" s="63" t="n">
        <v>0.089</v>
      </c>
      <c r="I219" s="62" t="n">
        <v>319.02</v>
      </c>
      <c r="J219" s="58" t="inlineStr">
        <is>
          <t>Online</t>
        </is>
      </c>
      <c r="K219" s="62">
        <f>F219*(G219-H219)</f>
        <v/>
      </c>
      <c r="L219" s="62">
        <f>K219-(F219*I219)</f>
        <v/>
      </c>
      <c r="M219" s="64">
        <f>L219/K219</f>
        <v/>
      </c>
    </row>
    <row r="220">
      <c r="A220" s="58" t="inlineStr">
        <is>
          <t>RT20250106-00219</t>
        </is>
      </c>
      <c r="B220" s="59" t="inlineStr">
        <is>
          <t>2025-01-06</t>
        </is>
      </c>
      <c r="C220" s="60" t="inlineStr">
        <is>
          <t>Aurora Haircare S-975</t>
        </is>
      </c>
      <c r="D220" s="58" t="inlineStr">
        <is>
          <t>Beauty</t>
        </is>
      </c>
      <c r="E220" s="58" t="inlineStr">
        <is>
          <t>East</t>
        </is>
      </c>
      <c r="F220" s="61" t="n">
        <v>2</v>
      </c>
      <c r="G220" s="62" t="n">
        <v>107.02</v>
      </c>
      <c r="H220" s="63" t="n">
        <v>0.038</v>
      </c>
      <c r="I220" s="62" t="n">
        <v>57.85</v>
      </c>
      <c r="J220" s="58" t="inlineStr">
        <is>
          <t>Online</t>
        </is>
      </c>
      <c r="K220" s="62">
        <f>F220*(G220-H220)</f>
        <v/>
      </c>
      <c r="L220" s="62">
        <f>K220-(F220*I220)</f>
        <v/>
      </c>
      <c r="M220" s="64">
        <f>L220/K220</f>
        <v/>
      </c>
    </row>
    <row r="221">
      <c r="A221" s="58" t="inlineStr">
        <is>
          <t>RT20250106-00220</t>
        </is>
      </c>
      <c r="B221" s="59" t="inlineStr">
        <is>
          <t>2025-01-06</t>
        </is>
      </c>
      <c r="C221" s="60" t="inlineStr">
        <is>
          <t>Falcon Household Plus-172</t>
        </is>
      </c>
      <c r="D221" s="58" t="inlineStr">
        <is>
          <t>Grocery</t>
        </is>
      </c>
      <c r="E221" s="58" t="inlineStr">
        <is>
          <t>East</t>
        </is>
      </c>
      <c r="F221" s="61" t="n">
        <v>7</v>
      </c>
      <c r="G221" s="62" t="n">
        <v>24.07</v>
      </c>
      <c r="H221" s="63" t="n">
        <v>0.046</v>
      </c>
      <c r="I221" s="62" t="n">
        <v>16.42</v>
      </c>
      <c r="J221" s="58" t="inlineStr">
        <is>
          <t>Store</t>
        </is>
      </c>
      <c r="K221" s="62">
        <f>F221*(G221-H221)</f>
        <v/>
      </c>
      <c r="L221" s="62">
        <f>K221-(F221*I221)</f>
        <v/>
      </c>
      <c r="M221" s="64">
        <f>L221/K221</f>
        <v/>
      </c>
    </row>
    <row r="222">
      <c r="A222" s="58" t="inlineStr">
        <is>
          <t>RT20250106-00221</t>
        </is>
      </c>
      <c r="B222" s="59" t="inlineStr">
        <is>
          <t>2025-01-06</t>
        </is>
      </c>
      <c r="C222" s="60" t="inlineStr">
        <is>
          <t>Falcon Headphone Plus-789</t>
        </is>
      </c>
      <c r="D222" s="58" t="inlineStr">
        <is>
          <t>Electronics</t>
        </is>
      </c>
      <c r="E222" s="58" t="inlineStr">
        <is>
          <t>Central</t>
        </is>
      </c>
      <c r="F222" s="61" t="n">
        <v>2</v>
      </c>
      <c r="G222" s="62" t="n">
        <v>1707.03</v>
      </c>
      <c r="H222" s="63" t="n">
        <v>0.023</v>
      </c>
      <c r="I222" s="62" t="n">
        <v>1285.6</v>
      </c>
      <c r="J222" s="58" t="inlineStr">
        <is>
          <t>Store</t>
        </is>
      </c>
      <c r="K222" s="62">
        <f>F222*(G222-H222)</f>
        <v/>
      </c>
      <c r="L222" s="62">
        <f>K222-(F222*I222)</f>
        <v/>
      </c>
      <c r="M222" s="64">
        <f>L222/K222</f>
        <v/>
      </c>
    </row>
    <row r="223">
      <c r="A223" s="58" t="inlineStr">
        <is>
          <t>RT20250106-00222</t>
        </is>
      </c>
      <c r="B223" s="59" t="inlineStr">
        <is>
          <t>2025-01-06</t>
        </is>
      </c>
      <c r="C223" s="60" t="inlineStr">
        <is>
          <t>Falcon Team Sport Lite-268</t>
        </is>
      </c>
      <c r="D223" s="58" t="inlineStr">
        <is>
          <t>Sports</t>
        </is>
      </c>
      <c r="E223" s="58" t="inlineStr">
        <is>
          <t>South</t>
        </is>
      </c>
      <c r="F223" s="61" t="n">
        <v>1</v>
      </c>
      <c r="G223" s="62" t="n">
        <v>648.92</v>
      </c>
      <c r="H223" s="63" t="n">
        <v>0.095</v>
      </c>
      <c r="I223" s="62" t="n">
        <v>425.69</v>
      </c>
      <c r="J223" s="58" t="inlineStr">
        <is>
          <t>Online</t>
        </is>
      </c>
      <c r="K223" s="62">
        <f>F223*(G223-H223)</f>
        <v/>
      </c>
      <c r="L223" s="62">
        <f>K223-(F223*I223)</f>
        <v/>
      </c>
      <c r="M223" s="64">
        <f>L223/K223</f>
        <v/>
      </c>
    </row>
    <row r="224">
      <c r="A224" s="58" t="inlineStr">
        <is>
          <t>RT20250106-00223</t>
        </is>
      </c>
      <c r="B224" s="59" t="inlineStr">
        <is>
          <t>2025-01-06</t>
        </is>
      </c>
      <c r="C224" s="60" t="inlineStr">
        <is>
          <t>Vertex Snack S-702</t>
        </is>
      </c>
      <c r="D224" s="58" t="inlineStr">
        <is>
          <t>Grocery</t>
        </is>
      </c>
      <c r="E224" s="58" t="inlineStr">
        <is>
          <t>West</t>
        </is>
      </c>
      <c r="F224" s="61" t="n">
        <v>4</v>
      </c>
      <c r="G224" s="62" t="n">
        <v>2.02</v>
      </c>
      <c r="H224" s="63" t="n">
        <v>0.077</v>
      </c>
      <c r="I224" s="62" t="n">
        <v>1.5</v>
      </c>
      <c r="J224" s="58" t="inlineStr">
        <is>
          <t>Online</t>
        </is>
      </c>
      <c r="K224" s="62">
        <f>F224*(G224-H224)</f>
        <v/>
      </c>
      <c r="L224" s="62">
        <f>K224-(F224*I224)</f>
        <v/>
      </c>
      <c r="M224" s="64">
        <f>L224/K224</f>
        <v/>
      </c>
    </row>
    <row r="225">
      <c r="A225" s="58" t="inlineStr">
        <is>
          <t>RT20250106-00224</t>
        </is>
      </c>
      <c r="B225" s="59" t="inlineStr">
        <is>
          <t>2025-01-06</t>
        </is>
      </c>
      <c r="C225" s="60" t="inlineStr">
        <is>
          <t>Vertex Snack S-702</t>
        </is>
      </c>
      <c r="D225" s="58" t="inlineStr">
        <is>
          <t>Grocery</t>
        </is>
      </c>
      <c r="E225" s="58" t="inlineStr">
        <is>
          <t>West</t>
        </is>
      </c>
      <c r="F225" s="61" t="n">
        <v>3</v>
      </c>
      <c r="G225" s="62" t="n">
        <v>1.7</v>
      </c>
      <c r="H225" s="63" t="n">
        <v>0.043</v>
      </c>
      <c r="I225" s="62" t="n">
        <v>1.49</v>
      </c>
      <c r="J225" s="58" t="inlineStr">
        <is>
          <t>Online</t>
        </is>
      </c>
      <c r="K225" s="62">
        <f>F225*(G225-H225)</f>
        <v/>
      </c>
      <c r="L225" s="62">
        <f>K225-(F225*I225)</f>
        <v/>
      </c>
      <c r="M225" s="64">
        <f>L225/K225</f>
        <v/>
      </c>
    </row>
    <row r="226">
      <c r="A226" s="58" t="inlineStr">
        <is>
          <t>RT20250106-00225</t>
        </is>
      </c>
      <c r="B226" s="59" t="inlineStr">
        <is>
          <t>2025-01-06</t>
        </is>
      </c>
      <c r="C226" s="60" t="inlineStr">
        <is>
          <t>Nimbus Women Plus-352</t>
        </is>
      </c>
      <c r="D226" s="58" t="inlineStr">
        <is>
          <t>Apparel</t>
        </is>
      </c>
      <c r="E226" s="58" t="inlineStr">
        <is>
          <t>Central</t>
        </is>
      </c>
      <c r="F226" s="61" t="n">
        <v>3</v>
      </c>
      <c r="G226" s="62" t="n">
        <v>54.09</v>
      </c>
      <c r="H226" s="63" t="n">
        <v>0.079</v>
      </c>
      <c r="I226" s="62" t="n">
        <v>31.87</v>
      </c>
      <c r="J226" s="58" t="inlineStr">
        <is>
          <t>Online</t>
        </is>
      </c>
      <c r="K226" s="62">
        <f>F226*(G226-H226)</f>
        <v/>
      </c>
      <c r="L226" s="62">
        <f>K226-(F226*I226)</f>
        <v/>
      </c>
      <c r="M226" s="64">
        <f>L226/K226</f>
        <v/>
      </c>
    </row>
    <row r="227">
      <c r="A227" s="58" t="inlineStr">
        <is>
          <t>RT20250106-00226</t>
        </is>
      </c>
      <c r="B227" s="59" t="inlineStr">
        <is>
          <t>2025-01-06</t>
        </is>
      </c>
      <c r="C227" s="60" t="inlineStr">
        <is>
          <t>Polar Fragrance Pro-750</t>
        </is>
      </c>
      <c r="D227" s="58" t="inlineStr">
        <is>
          <t>Beauty</t>
        </is>
      </c>
      <c r="E227" s="58" t="inlineStr">
        <is>
          <t>Central</t>
        </is>
      </c>
      <c r="F227" s="61" t="n">
        <v>4</v>
      </c>
      <c r="G227" s="62" t="n">
        <v>56.82</v>
      </c>
      <c r="H227" s="63" t="n">
        <v>0.137</v>
      </c>
      <c r="I227" s="62" t="n">
        <v>36.82</v>
      </c>
      <c r="J227" s="58" t="inlineStr">
        <is>
          <t>Store</t>
        </is>
      </c>
      <c r="K227" s="62">
        <f>F227*(G227-H227)</f>
        <v/>
      </c>
      <c r="L227" s="62">
        <f>K227-(F227*I227)</f>
        <v/>
      </c>
      <c r="M227" s="64">
        <f>L227/K227</f>
        <v/>
      </c>
    </row>
    <row r="228">
      <c r="A228" s="58" t="inlineStr">
        <is>
          <t>RT20250106-00227</t>
        </is>
      </c>
      <c r="B228" s="59" t="inlineStr">
        <is>
          <t>2025-01-06</t>
        </is>
      </c>
      <c r="C228" s="60" t="inlineStr">
        <is>
          <t>Polar Wearable X-119</t>
        </is>
      </c>
      <c r="D228" s="58" t="inlineStr">
        <is>
          <t>Electronics</t>
        </is>
      </c>
      <c r="E228" s="58" t="inlineStr">
        <is>
          <t>North</t>
        </is>
      </c>
      <c r="F228" s="61" t="n">
        <v>2</v>
      </c>
      <c r="G228" s="62" t="n">
        <v>1719.12</v>
      </c>
      <c r="H228" s="63" t="n">
        <v>0.024</v>
      </c>
      <c r="I228" s="62" t="n">
        <v>1327.02</v>
      </c>
      <c r="J228" s="58" t="inlineStr">
        <is>
          <t>Store</t>
        </is>
      </c>
      <c r="K228" s="62">
        <f>F228*(G228-H228)</f>
        <v/>
      </c>
      <c r="L228" s="62">
        <f>K228-(F228*I228)</f>
        <v/>
      </c>
      <c r="M228" s="64">
        <f>L228/K228</f>
        <v/>
      </c>
    </row>
    <row r="229">
      <c r="A229" s="58" t="inlineStr">
        <is>
          <t>RT20250106-00228</t>
        </is>
      </c>
      <c r="B229" s="59" t="inlineStr">
        <is>
          <t>2025-01-06</t>
        </is>
      </c>
      <c r="C229" s="60" t="inlineStr">
        <is>
          <t>Solace Team Sport Max-548</t>
        </is>
      </c>
      <c r="D229" s="58" t="inlineStr">
        <is>
          <t>Sports</t>
        </is>
      </c>
      <c r="E229" s="58" t="inlineStr">
        <is>
          <t>East</t>
        </is>
      </c>
      <c r="F229" s="61" t="n">
        <v>3</v>
      </c>
      <c r="G229" s="62" t="n">
        <v>679.01</v>
      </c>
      <c r="H229" s="63" t="n">
        <v>0.08799999999999999</v>
      </c>
      <c r="I229" s="62" t="n">
        <v>467.59</v>
      </c>
      <c r="J229" s="58" t="inlineStr">
        <is>
          <t>Online</t>
        </is>
      </c>
      <c r="K229" s="62">
        <f>F229*(G229-H229)</f>
        <v/>
      </c>
      <c r="L229" s="62">
        <f>K229-(F229*I229)</f>
        <v/>
      </c>
      <c r="M229" s="64">
        <f>L229/K229</f>
        <v/>
      </c>
    </row>
    <row r="230">
      <c r="A230" s="58" t="inlineStr">
        <is>
          <t>RT20250106-00229</t>
        </is>
      </c>
      <c r="B230" s="59" t="inlineStr">
        <is>
          <t>2025-01-06</t>
        </is>
      </c>
      <c r="C230" s="60" t="inlineStr">
        <is>
          <t>Nimbus Headphone X-854</t>
        </is>
      </c>
      <c r="D230" s="58" t="inlineStr">
        <is>
          <t>Electronics</t>
        </is>
      </c>
      <c r="E230" s="58" t="inlineStr">
        <is>
          <t>Central</t>
        </is>
      </c>
      <c r="F230" s="61" t="n">
        <v>2</v>
      </c>
      <c r="G230" s="62" t="n">
        <v>1631.61</v>
      </c>
      <c r="H230" s="63" t="n">
        <v>0.103</v>
      </c>
      <c r="I230" s="62" t="n">
        <v>1280.07</v>
      </c>
      <c r="J230" s="58" t="inlineStr">
        <is>
          <t>Store</t>
        </is>
      </c>
      <c r="K230" s="62">
        <f>F230*(G230-H230)</f>
        <v/>
      </c>
      <c r="L230" s="62">
        <f>K230-(F230*I230)</f>
        <v/>
      </c>
      <c r="M230" s="64">
        <f>L230/K230</f>
        <v/>
      </c>
    </row>
    <row r="231">
      <c r="A231" s="58" t="inlineStr">
        <is>
          <t>RT20250106-00230</t>
        </is>
      </c>
      <c r="B231" s="59" t="inlineStr">
        <is>
          <t>2025-01-06</t>
        </is>
      </c>
      <c r="C231" s="60" t="inlineStr">
        <is>
          <t>Metro Pantry Max-180</t>
        </is>
      </c>
      <c r="D231" s="58" t="inlineStr">
        <is>
          <t>Grocery</t>
        </is>
      </c>
      <c r="E231" s="58" t="inlineStr">
        <is>
          <t>Central</t>
        </is>
      </c>
      <c r="F231" s="61" t="n">
        <v>6</v>
      </c>
      <c r="G231" s="62" t="n">
        <v>8.359999999999999</v>
      </c>
      <c r="H231" s="63" t="n">
        <v>0.114</v>
      </c>
      <c r="I231" s="62" t="n">
        <v>6.74</v>
      </c>
      <c r="J231" s="58" t="inlineStr">
        <is>
          <t>Online</t>
        </is>
      </c>
      <c r="K231" s="62">
        <f>F231*(G231-H231)</f>
        <v/>
      </c>
      <c r="L231" s="62">
        <f>K231-(F231*I231)</f>
        <v/>
      </c>
      <c r="M231" s="64">
        <f>L231/K231</f>
        <v/>
      </c>
    </row>
    <row r="232">
      <c r="A232" s="58" t="inlineStr">
        <is>
          <t>RT20250106-00231</t>
        </is>
      </c>
      <c r="B232" s="59" t="inlineStr">
        <is>
          <t>2025-01-06</t>
        </is>
      </c>
      <c r="C232" s="60" t="inlineStr">
        <is>
          <t>Polar Wearable X-119</t>
        </is>
      </c>
      <c r="D232" s="58" t="inlineStr">
        <is>
          <t>Electronics</t>
        </is>
      </c>
      <c r="E232" s="58" t="inlineStr">
        <is>
          <t>North</t>
        </is>
      </c>
      <c r="F232" s="61" t="n">
        <v>1</v>
      </c>
      <c r="G232" s="62" t="n">
        <v>1579.82</v>
      </c>
      <c r="H232" s="63" t="n">
        <v>0.095</v>
      </c>
      <c r="I232" s="62" t="n">
        <v>1322.94</v>
      </c>
      <c r="J232" s="58" t="inlineStr">
        <is>
          <t>Store</t>
        </is>
      </c>
      <c r="K232" s="62">
        <f>F232*(G232-H232)</f>
        <v/>
      </c>
      <c r="L232" s="62">
        <f>K232-(F232*I232)</f>
        <v/>
      </c>
      <c r="M232" s="64">
        <f>L232/K232</f>
        <v/>
      </c>
    </row>
    <row r="233">
      <c r="A233" s="58" t="inlineStr">
        <is>
          <t>RT20250106-00232</t>
        </is>
      </c>
      <c r="B233" s="59" t="inlineStr">
        <is>
          <t>2025-01-06</t>
        </is>
      </c>
      <c r="C233" s="60" t="inlineStr">
        <is>
          <t>Polar Cycling S-223</t>
        </is>
      </c>
      <c r="D233" s="58" t="inlineStr">
        <is>
          <t>Sports</t>
        </is>
      </c>
      <c r="E233" s="58" t="inlineStr">
        <is>
          <t>Central</t>
        </is>
      </c>
      <c r="F233" s="61" t="n">
        <v>3</v>
      </c>
      <c r="G233" s="62" t="n">
        <v>1103.27</v>
      </c>
      <c r="H233" s="63" t="n">
        <v>0.048</v>
      </c>
      <c r="I233" s="62" t="n">
        <v>633.11</v>
      </c>
      <c r="J233" s="58" t="inlineStr">
        <is>
          <t>Store</t>
        </is>
      </c>
      <c r="K233" s="62">
        <f>F233*(G233-H233)</f>
        <v/>
      </c>
      <c r="L233" s="62">
        <f>K233-(F233*I233)</f>
        <v/>
      </c>
      <c r="M233" s="64">
        <f>L233/K233</f>
        <v/>
      </c>
    </row>
    <row r="234">
      <c r="A234" s="58" t="inlineStr">
        <is>
          <t>RT20250107-00233</t>
        </is>
      </c>
      <c r="B234" s="59" t="inlineStr">
        <is>
          <t>2025-01-07</t>
        </is>
      </c>
      <c r="C234" s="60" t="inlineStr">
        <is>
          <t>Polar Beverage S-258</t>
        </is>
      </c>
      <c r="D234" s="58" t="inlineStr">
        <is>
          <t>Grocery</t>
        </is>
      </c>
      <c r="E234" s="58" t="inlineStr">
        <is>
          <t>Central</t>
        </is>
      </c>
      <c r="F234" s="61" t="n">
        <v>1</v>
      </c>
      <c r="G234" s="62" t="n">
        <v>14.07</v>
      </c>
      <c r="H234" s="63" t="n">
        <v>0.059</v>
      </c>
      <c r="I234" s="62" t="n">
        <v>9.92</v>
      </c>
      <c r="J234" s="58" t="inlineStr">
        <is>
          <t>Store</t>
        </is>
      </c>
      <c r="K234" s="62">
        <f>F234*(G234-H234)</f>
        <v/>
      </c>
      <c r="L234" s="62">
        <f>K234-(F234*I234)</f>
        <v/>
      </c>
      <c r="M234" s="64">
        <f>L234/K234</f>
        <v/>
      </c>
    </row>
    <row r="235">
      <c r="A235" s="58" t="inlineStr">
        <is>
          <t>RT20250107-00234</t>
        </is>
      </c>
      <c r="B235" s="59" t="inlineStr">
        <is>
          <t>2025-01-07</t>
        </is>
      </c>
      <c r="C235" s="60" t="inlineStr">
        <is>
          <t>Metro Pantry Max-180</t>
        </is>
      </c>
      <c r="D235" s="58" t="inlineStr">
        <is>
          <t>Grocery</t>
        </is>
      </c>
      <c r="E235" s="58" t="inlineStr">
        <is>
          <t>East</t>
        </is>
      </c>
      <c r="F235" s="61" t="n">
        <v>4</v>
      </c>
      <c r="G235" s="62" t="n">
        <v>8.779999999999999</v>
      </c>
      <c r="H235" s="63" t="n">
        <v>0.132</v>
      </c>
      <c r="I235" s="62" t="n">
        <v>6.56</v>
      </c>
      <c r="J235" s="58" t="inlineStr">
        <is>
          <t>Store</t>
        </is>
      </c>
      <c r="K235" s="62">
        <f>F235*(G235-H235)</f>
        <v/>
      </c>
      <c r="L235" s="62">
        <f>K235-(F235*I235)</f>
        <v/>
      </c>
      <c r="M235" s="64">
        <f>L235/K235</f>
        <v/>
      </c>
    </row>
    <row r="236">
      <c r="A236" s="58" t="inlineStr">
        <is>
          <t>RT20250107-00235</t>
        </is>
      </c>
      <c r="B236" s="59" t="inlineStr">
        <is>
          <t>2025-01-07</t>
        </is>
      </c>
      <c r="C236" s="60" t="inlineStr">
        <is>
          <t>Falcon Beverage Max-702</t>
        </is>
      </c>
      <c r="D236" s="58" t="inlineStr">
        <is>
          <t>Grocery</t>
        </is>
      </c>
      <c r="E236" s="58" t="inlineStr">
        <is>
          <t>Central</t>
        </is>
      </c>
      <c r="F236" s="61" t="n">
        <v>8</v>
      </c>
      <c r="G236" s="62" t="n">
        <v>26.54</v>
      </c>
      <c r="H236" s="63" t="n">
        <v>0.034</v>
      </c>
      <c r="I236" s="62" t="n">
        <v>20.24</v>
      </c>
      <c r="J236" s="58" t="inlineStr">
        <is>
          <t>Online</t>
        </is>
      </c>
      <c r="K236" s="62">
        <f>F236*(G236-H236)</f>
        <v/>
      </c>
      <c r="L236" s="62">
        <f>K236-(F236*I236)</f>
        <v/>
      </c>
      <c r="M236" s="64">
        <f>L236/K236</f>
        <v/>
      </c>
    </row>
    <row r="237">
      <c r="A237" s="58" t="inlineStr">
        <is>
          <t>RT20250107-00236</t>
        </is>
      </c>
      <c r="B237" s="59" t="inlineStr">
        <is>
          <t>2025-01-07</t>
        </is>
      </c>
      <c r="C237" s="60" t="inlineStr">
        <is>
          <t>Solace Kitchen Pro-510</t>
        </is>
      </c>
      <c r="D237" s="58" t="inlineStr">
        <is>
          <t>Home</t>
        </is>
      </c>
      <c r="E237" s="58" t="inlineStr">
        <is>
          <t>East</t>
        </is>
      </c>
      <c r="F237" s="61" t="n">
        <v>1</v>
      </c>
      <c r="G237" s="62" t="n">
        <v>445.82</v>
      </c>
      <c r="H237" s="63" t="n">
        <v>0.055</v>
      </c>
      <c r="I237" s="62" t="n">
        <v>315.18</v>
      </c>
      <c r="J237" s="58" t="inlineStr">
        <is>
          <t>Online</t>
        </is>
      </c>
      <c r="K237" s="62">
        <f>F237*(G237-H237)</f>
        <v/>
      </c>
      <c r="L237" s="62">
        <f>K237-(F237*I237)</f>
        <v/>
      </c>
      <c r="M237" s="64">
        <f>L237/K237</f>
        <v/>
      </c>
    </row>
    <row r="238">
      <c r="A238" s="58" t="inlineStr">
        <is>
          <t>RT20250107-00237</t>
        </is>
      </c>
      <c r="B238" s="59" t="inlineStr">
        <is>
          <t>2025-01-07</t>
        </is>
      </c>
      <c r="C238" s="60" t="inlineStr">
        <is>
          <t>Orion Snack X-322</t>
        </is>
      </c>
      <c r="D238" s="58" t="inlineStr">
        <is>
          <t>Grocery</t>
        </is>
      </c>
      <c r="E238" s="58" t="inlineStr">
        <is>
          <t>West</t>
        </is>
      </c>
      <c r="F238" s="61" t="n">
        <v>2</v>
      </c>
      <c r="G238" s="62" t="n">
        <v>13.25</v>
      </c>
      <c r="H238" s="63" t="n">
        <v>0.09</v>
      </c>
      <c r="I238" s="62" t="n">
        <v>10.29</v>
      </c>
      <c r="J238" s="58" t="inlineStr">
        <is>
          <t>Store</t>
        </is>
      </c>
      <c r="K238" s="62">
        <f>F238*(G238-H238)</f>
        <v/>
      </c>
      <c r="L238" s="62">
        <f>K238-(F238*I238)</f>
        <v/>
      </c>
      <c r="M238" s="64">
        <f>L238/K238</f>
        <v/>
      </c>
    </row>
    <row r="239">
      <c r="A239" s="58" t="inlineStr">
        <is>
          <t>RT20250107-00238</t>
        </is>
      </c>
      <c r="B239" s="59" t="inlineStr">
        <is>
          <t>2025-01-07</t>
        </is>
      </c>
      <c r="C239" s="60" t="inlineStr">
        <is>
          <t>Aurora Bedding Max-175</t>
        </is>
      </c>
      <c r="D239" s="58" t="inlineStr">
        <is>
          <t>Home</t>
        </is>
      </c>
      <c r="E239" s="58" t="inlineStr">
        <is>
          <t>South</t>
        </is>
      </c>
      <c r="F239" s="61" t="n">
        <v>1</v>
      </c>
      <c r="G239" s="62" t="n">
        <v>621.91</v>
      </c>
      <c r="H239" s="63" t="n">
        <v>0.066</v>
      </c>
      <c r="I239" s="62" t="n">
        <v>410.3</v>
      </c>
      <c r="J239" s="58" t="inlineStr">
        <is>
          <t>Online</t>
        </is>
      </c>
      <c r="K239" s="62">
        <f>F239*(G239-H239)</f>
        <v/>
      </c>
      <c r="L239" s="62">
        <f>K239-(F239*I239)</f>
        <v/>
      </c>
      <c r="M239" s="64">
        <f>L239/K239</f>
        <v/>
      </c>
    </row>
    <row r="240">
      <c r="A240" s="58" t="inlineStr">
        <is>
          <t>RT20250107-00239</t>
        </is>
      </c>
      <c r="B240" s="59" t="inlineStr">
        <is>
          <t>2025-01-07</t>
        </is>
      </c>
      <c r="C240" s="60" t="inlineStr">
        <is>
          <t>Aurora Kid Plus-151</t>
        </is>
      </c>
      <c r="D240" s="58" t="inlineStr">
        <is>
          <t>Apparel</t>
        </is>
      </c>
      <c r="E240" s="58" t="inlineStr">
        <is>
          <t>Central</t>
        </is>
      </c>
      <c r="F240" s="61" t="n">
        <v>4</v>
      </c>
      <c r="G240" s="62" t="n">
        <v>119.66</v>
      </c>
      <c r="H240" s="63" t="n">
        <v>0.07099999999999999</v>
      </c>
      <c r="I240" s="62" t="n">
        <v>62.28</v>
      </c>
      <c r="J240" s="58" t="inlineStr">
        <is>
          <t>Online</t>
        </is>
      </c>
      <c r="K240" s="62">
        <f>F240*(G240-H240)</f>
        <v/>
      </c>
      <c r="L240" s="62">
        <f>K240-(F240*I240)</f>
        <v/>
      </c>
      <c r="M240" s="64">
        <f>L240/K240</f>
        <v/>
      </c>
    </row>
    <row r="241">
      <c r="A241" s="58" t="inlineStr">
        <is>
          <t>RT20250107-00240</t>
        </is>
      </c>
      <c r="B241" s="59" t="inlineStr">
        <is>
          <t>2025-01-07</t>
        </is>
      </c>
      <c r="C241" s="60" t="inlineStr">
        <is>
          <t>Nimbus Decor Lite-385</t>
        </is>
      </c>
      <c r="D241" s="58" t="inlineStr">
        <is>
          <t>Home</t>
        </is>
      </c>
      <c r="E241" s="58" t="inlineStr">
        <is>
          <t>South</t>
        </is>
      </c>
      <c r="F241" s="61" t="n">
        <v>2</v>
      </c>
      <c r="G241" s="62" t="n">
        <v>589.03</v>
      </c>
      <c r="H241" s="63" t="n">
        <v>0.076</v>
      </c>
      <c r="I241" s="62" t="n">
        <v>397.74</v>
      </c>
      <c r="J241" s="58" t="inlineStr">
        <is>
          <t>Store</t>
        </is>
      </c>
      <c r="K241" s="62">
        <f>F241*(G241-H241)</f>
        <v/>
      </c>
      <c r="L241" s="62">
        <f>K241-(F241*I241)</f>
        <v/>
      </c>
      <c r="M241" s="64">
        <f>L241/K241</f>
        <v/>
      </c>
    </row>
    <row r="242">
      <c r="A242" s="58" t="inlineStr">
        <is>
          <t>RT20250107-00241</t>
        </is>
      </c>
      <c r="B242" s="59" t="inlineStr">
        <is>
          <t>2025-01-07</t>
        </is>
      </c>
      <c r="C242" s="60" t="inlineStr">
        <is>
          <t>Vertex Snack S-702</t>
        </is>
      </c>
      <c r="D242" s="58" t="inlineStr">
        <is>
          <t>Grocery</t>
        </is>
      </c>
      <c r="E242" s="58" t="inlineStr">
        <is>
          <t>Central</t>
        </is>
      </c>
      <c r="F242" s="61" t="n">
        <v>4</v>
      </c>
      <c r="G242" s="62" t="n">
        <v>2.14</v>
      </c>
      <c r="H242" s="63" t="n">
        <v>0.125</v>
      </c>
      <c r="I242" s="62" t="n">
        <v>1.46</v>
      </c>
      <c r="J242" s="58" t="inlineStr">
        <is>
          <t>Online</t>
        </is>
      </c>
      <c r="K242" s="62">
        <f>F242*(G242-H242)</f>
        <v/>
      </c>
      <c r="L242" s="62">
        <f>K242-(F242*I242)</f>
        <v/>
      </c>
      <c r="M242" s="64">
        <f>L242/K242</f>
        <v/>
      </c>
    </row>
    <row r="243">
      <c r="A243" s="58" t="inlineStr">
        <is>
          <t>RT20250107-00242</t>
        </is>
      </c>
      <c r="B243" s="59" t="inlineStr">
        <is>
          <t>2025-01-07</t>
        </is>
      </c>
      <c r="C243" s="60" t="inlineStr">
        <is>
          <t>Nimbus Headphone X-854</t>
        </is>
      </c>
      <c r="D243" s="58" t="inlineStr">
        <is>
          <t>Electronics</t>
        </is>
      </c>
      <c r="E243" s="58" t="inlineStr">
        <is>
          <t>West</t>
        </is>
      </c>
      <c r="F243" s="61" t="n">
        <v>1</v>
      </c>
      <c r="G243" s="62" t="n">
        <v>1709.41</v>
      </c>
      <c r="H243" s="63" t="n">
        <v>0.112</v>
      </c>
      <c r="I243" s="62" t="n">
        <v>1282.37</v>
      </c>
      <c r="J243" s="58" t="inlineStr">
        <is>
          <t>Online</t>
        </is>
      </c>
      <c r="K243" s="62">
        <f>F243*(G243-H243)</f>
        <v/>
      </c>
      <c r="L243" s="62">
        <f>K243-(F243*I243)</f>
        <v/>
      </c>
      <c r="M243" s="64">
        <f>L243/K243</f>
        <v/>
      </c>
    </row>
    <row r="244">
      <c r="A244" s="58" t="inlineStr">
        <is>
          <t>RT20250107-00243</t>
        </is>
      </c>
      <c r="B244" s="59" t="inlineStr">
        <is>
          <t>2025-01-07</t>
        </is>
      </c>
      <c r="C244" s="60" t="inlineStr">
        <is>
          <t>Aurora Appliance Lite-109</t>
        </is>
      </c>
      <c r="D244" s="58" t="inlineStr">
        <is>
          <t>Home</t>
        </is>
      </c>
      <c r="E244" s="58" t="inlineStr">
        <is>
          <t>South</t>
        </is>
      </c>
      <c r="F244" s="61" t="n">
        <v>3</v>
      </c>
      <c r="G244" s="62" t="n">
        <v>298.17</v>
      </c>
      <c r="H244" s="63" t="n">
        <v>0.051</v>
      </c>
      <c r="I244" s="62" t="n">
        <v>202.62</v>
      </c>
      <c r="J244" s="58" t="inlineStr">
        <is>
          <t>Online</t>
        </is>
      </c>
      <c r="K244" s="62">
        <f>F244*(G244-H244)</f>
        <v/>
      </c>
      <c r="L244" s="62">
        <f>K244-(F244*I244)</f>
        <v/>
      </c>
      <c r="M244" s="64">
        <f>L244/K244</f>
        <v/>
      </c>
    </row>
    <row r="245">
      <c r="A245" s="58" t="inlineStr">
        <is>
          <t>RT20250107-00244</t>
        </is>
      </c>
      <c r="B245" s="59" t="inlineStr">
        <is>
          <t>2025-01-07</t>
        </is>
      </c>
      <c r="C245" s="60" t="inlineStr">
        <is>
          <t>Solace Snack S-691</t>
        </is>
      </c>
      <c r="D245" s="58" t="inlineStr">
        <is>
          <t>Grocery</t>
        </is>
      </c>
      <c r="E245" s="58" t="inlineStr">
        <is>
          <t>Central</t>
        </is>
      </c>
      <c r="F245" s="61" t="n">
        <v>7</v>
      </c>
      <c r="G245" s="62" t="n">
        <v>11.27</v>
      </c>
      <c r="H245" s="63" t="n">
        <v>0.11</v>
      </c>
      <c r="I245" s="62" t="n">
        <v>7.03</v>
      </c>
      <c r="J245" s="58" t="inlineStr">
        <is>
          <t>Phone</t>
        </is>
      </c>
      <c r="K245" s="62">
        <f>F245*(G245-H245)</f>
        <v/>
      </c>
      <c r="L245" s="62">
        <f>K245-(F245*I245)</f>
        <v/>
      </c>
      <c r="M245" s="64">
        <f>L245/K245</f>
        <v/>
      </c>
    </row>
    <row r="246">
      <c r="A246" s="58" t="inlineStr">
        <is>
          <t>RT20250107-00245</t>
        </is>
      </c>
      <c r="B246" s="59" t="inlineStr">
        <is>
          <t>2025-01-07</t>
        </is>
      </c>
      <c r="C246" s="60" t="inlineStr">
        <is>
          <t>Falcon Furniture Plus-839</t>
        </is>
      </c>
      <c r="D246" s="58" t="inlineStr">
        <is>
          <t>Office</t>
        </is>
      </c>
      <c r="E246" s="58" t="inlineStr">
        <is>
          <t>Central</t>
        </is>
      </c>
      <c r="F246" s="61" t="n">
        <v>3</v>
      </c>
      <c r="G246" s="62" t="n">
        <v>310.36</v>
      </c>
      <c r="H246" s="63" t="n">
        <v>0.075</v>
      </c>
      <c r="I246" s="62" t="n">
        <v>228.27</v>
      </c>
      <c r="J246" s="58" t="inlineStr">
        <is>
          <t>Online</t>
        </is>
      </c>
      <c r="K246" s="62">
        <f>F246*(G246-H246)</f>
        <v/>
      </c>
      <c r="L246" s="62">
        <f>K246-(F246*I246)</f>
        <v/>
      </c>
      <c r="M246" s="64">
        <f>L246/K246</f>
        <v/>
      </c>
    </row>
    <row r="247">
      <c r="A247" s="58" t="inlineStr">
        <is>
          <t>RT20250107-00246</t>
        </is>
      </c>
      <c r="B247" s="59" t="inlineStr">
        <is>
          <t>2025-01-07</t>
        </is>
      </c>
      <c r="C247" s="60" t="inlineStr">
        <is>
          <t>Nimbus Storage Plus-646</t>
        </is>
      </c>
      <c r="D247" s="58" t="inlineStr">
        <is>
          <t>Office</t>
        </is>
      </c>
      <c r="E247" s="58" t="inlineStr">
        <is>
          <t>West</t>
        </is>
      </c>
      <c r="F247" s="61" t="n">
        <v>2</v>
      </c>
      <c r="G247" s="62" t="n">
        <v>375.35</v>
      </c>
      <c r="H247" s="63" t="n">
        <v>0.019</v>
      </c>
      <c r="I247" s="62" t="n">
        <v>318.65</v>
      </c>
      <c r="J247" s="58" t="inlineStr">
        <is>
          <t>Online</t>
        </is>
      </c>
      <c r="K247" s="62">
        <f>F247*(G247-H247)</f>
        <v/>
      </c>
      <c r="L247" s="62">
        <f>K247-(F247*I247)</f>
        <v/>
      </c>
      <c r="M247" s="64">
        <f>L247/K247</f>
        <v/>
      </c>
    </row>
    <row r="248">
      <c r="A248" s="58" t="inlineStr">
        <is>
          <t>RT20250107-00247</t>
        </is>
      </c>
      <c r="B248" s="59" t="inlineStr">
        <is>
          <t>2025-01-07</t>
        </is>
      </c>
      <c r="C248" s="60" t="inlineStr">
        <is>
          <t>Aurora Makeup S-626</t>
        </is>
      </c>
      <c r="D248" s="58" t="inlineStr">
        <is>
          <t>Beauty</t>
        </is>
      </c>
      <c r="E248" s="58" t="inlineStr">
        <is>
          <t>West</t>
        </is>
      </c>
      <c r="F248" s="61" t="n">
        <v>1</v>
      </c>
      <c r="G248" s="62" t="n">
        <v>103.29</v>
      </c>
      <c r="H248" s="63" t="n">
        <v>0.05</v>
      </c>
      <c r="I248" s="62" t="n">
        <v>61.92</v>
      </c>
      <c r="J248" s="58" t="inlineStr">
        <is>
          <t>Store</t>
        </is>
      </c>
      <c r="K248" s="62">
        <f>F248*(G248-H248)</f>
        <v/>
      </c>
      <c r="L248" s="62">
        <f>K248-(F248*I248)</f>
        <v/>
      </c>
      <c r="M248" s="64">
        <f>L248/K248</f>
        <v/>
      </c>
    </row>
    <row r="249">
      <c r="A249" s="58" t="inlineStr">
        <is>
          <t>RT20250107-00248</t>
        </is>
      </c>
      <c r="B249" s="59" t="inlineStr">
        <is>
          <t>2025-01-07</t>
        </is>
      </c>
      <c r="C249" s="60" t="inlineStr">
        <is>
          <t>Nimbus Laptop Max-652</t>
        </is>
      </c>
      <c r="D249" s="58" t="inlineStr">
        <is>
          <t>Electronics</t>
        </is>
      </c>
      <c r="E249" s="58" t="inlineStr">
        <is>
          <t>Central</t>
        </is>
      </c>
      <c r="F249" s="61" t="n">
        <v>1</v>
      </c>
      <c r="G249" s="62" t="n">
        <v>1393.47</v>
      </c>
      <c r="H249" s="63" t="n">
        <v>0.07199999999999999</v>
      </c>
      <c r="I249" s="62" t="n">
        <v>1027.92</v>
      </c>
      <c r="J249" s="58" t="inlineStr">
        <is>
          <t>Store</t>
        </is>
      </c>
      <c r="K249" s="62">
        <f>F249*(G249-H249)</f>
        <v/>
      </c>
      <c r="L249" s="62">
        <f>K249-(F249*I249)</f>
        <v/>
      </c>
      <c r="M249" s="64">
        <f>L249/K249</f>
        <v/>
      </c>
    </row>
    <row r="250">
      <c r="A250" s="58" t="inlineStr">
        <is>
          <t>RT20250107-00249</t>
        </is>
      </c>
      <c r="B250" s="59" t="inlineStr">
        <is>
          <t>2025-01-07</t>
        </is>
      </c>
      <c r="C250" s="60" t="inlineStr">
        <is>
          <t>Aurora Household Plus-146</t>
        </is>
      </c>
      <c r="D250" s="58" t="inlineStr">
        <is>
          <t>Grocery</t>
        </is>
      </c>
      <c r="E250" s="58" t="inlineStr">
        <is>
          <t>East</t>
        </is>
      </c>
      <c r="F250" s="61" t="n">
        <v>4</v>
      </c>
      <c r="G250" s="62" t="n">
        <v>6.46</v>
      </c>
      <c r="H250" s="63" t="n">
        <v>0.013</v>
      </c>
      <c r="I250" s="62" t="n">
        <v>4.49</v>
      </c>
      <c r="J250" s="58" t="inlineStr">
        <is>
          <t>Online</t>
        </is>
      </c>
      <c r="K250" s="62">
        <f>F250*(G250-H250)</f>
        <v/>
      </c>
      <c r="L250" s="62">
        <f>K250-(F250*I250)</f>
        <v/>
      </c>
      <c r="M250" s="64">
        <f>L250/K250</f>
        <v/>
      </c>
    </row>
    <row r="251">
      <c r="A251" s="58" t="inlineStr">
        <is>
          <t>RT20250107-00250</t>
        </is>
      </c>
      <c r="B251" s="59" t="inlineStr">
        <is>
          <t>2025-01-07</t>
        </is>
      </c>
      <c r="C251" s="60" t="inlineStr">
        <is>
          <t>Falcon Cycling Pro-499</t>
        </is>
      </c>
      <c r="D251" s="58" t="inlineStr">
        <is>
          <t>Sports</t>
        </is>
      </c>
      <c r="E251" s="58" t="inlineStr">
        <is>
          <t>South</t>
        </is>
      </c>
      <c r="F251" s="61" t="n">
        <v>2</v>
      </c>
      <c r="G251" s="62" t="n">
        <v>685.3099999999999</v>
      </c>
      <c r="H251" s="63" t="n">
        <v>0.1</v>
      </c>
      <c r="I251" s="62" t="n">
        <v>400.01</v>
      </c>
      <c r="J251" s="58" t="inlineStr">
        <is>
          <t>Online</t>
        </is>
      </c>
      <c r="K251" s="62">
        <f>F251*(G251-H251)</f>
        <v/>
      </c>
      <c r="L251" s="62">
        <f>K251-(F251*I251)</f>
        <v/>
      </c>
      <c r="M251" s="64">
        <f>L251/K251</f>
        <v/>
      </c>
    </row>
    <row r="252">
      <c r="A252" s="58" t="inlineStr">
        <is>
          <t>RT20250107-00251</t>
        </is>
      </c>
      <c r="B252" s="59" t="inlineStr">
        <is>
          <t>2025-01-07</t>
        </is>
      </c>
      <c r="C252" s="60" t="inlineStr">
        <is>
          <t>Solace Headphone Pro-344</t>
        </is>
      </c>
      <c r="D252" s="58" t="inlineStr">
        <is>
          <t>Electronics</t>
        </is>
      </c>
      <c r="E252" s="58" t="inlineStr">
        <is>
          <t>Central</t>
        </is>
      </c>
      <c r="F252" s="61" t="n">
        <v>1</v>
      </c>
      <c r="G252" s="62" t="n">
        <v>1382.3</v>
      </c>
      <c r="H252" s="63" t="n">
        <v>0.033</v>
      </c>
      <c r="I252" s="62" t="n">
        <v>1073.08</v>
      </c>
      <c r="J252" s="58" t="inlineStr">
        <is>
          <t>Online</t>
        </is>
      </c>
      <c r="K252" s="62">
        <f>F252*(G252-H252)</f>
        <v/>
      </c>
      <c r="L252" s="62">
        <f>K252-(F252*I252)</f>
        <v/>
      </c>
      <c r="M252" s="64">
        <f>L252/K252</f>
        <v/>
      </c>
    </row>
    <row r="253">
      <c r="A253" s="58" t="inlineStr">
        <is>
          <t>RT20250107-00252</t>
        </is>
      </c>
      <c r="B253" s="59" t="inlineStr">
        <is>
          <t>2025-01-07</t>
        </is>
      </c>
      <c r="C253" s="60" t="inlineStr">
        <is>
          <t>Orion Beverage Plus-949</t>
        </is>
      </c>
      <c r="D253" s="58" t="inlineStr">
        <is>
          <t>Grocery</t>
        </is>
      </c>
      <c r="E253" s="58" t="inlineStr">
        <is>
          <t>South</t>
        </is>
      </c>
      <c r="F253" s="61" t="n">
        <v>8</v>
      </c>
      <c r="G253" s="62" t="n">
        <v>16.94</v>
      </c>
      <c r="H253" s="63" t="n">
        <v>0.045</v>
      </c>
      <c r="I253" s="62" t="n">
        <v>13.35</v>
      </c>
      <c r="J253" s="58" t="inlineStr">
        <is>
          <t>Store</t>
        </is>
      </c>
      <c r="K253" s="62">
        <f>F253*(G253-H253)</f>
        <v/>
      </c>
      <c r="L253" s="62">
        <f>K253-(F253*I253)</f>
        <v/>
      </c>
      <c r="M253" s="64">
        <f>L253/K253</f>
        <v/>
      </c>
    </row>
    <row r="254">
      <c r="A254" s="58" t="inlineStr">
        <is>
          <t>RT20250107-00253</t>
        </is>
      </c>
      <c r="B254" s="59" t="inlineStr">
        <is>
          <t>2025-01-07</t>
        </is>
      </c>
      <c r="C254" s="60" t="inlineStr">
        <is>
          <t>Falcon Cycling Pro-499</t>
        </is>
      </c>
      <c r="D254" s="58" t="inlineStr">
        <is>
          <t>Sports</t>
        </is>
      </c>
      <c r="E254" s="58" t="inlineStr">
        <is>
          <t>East</t>
        </is>
      </c>
      <c r="F254" s="61" t="n">
        <v>2</v>
      </c>
      <c r="G254" s="62" t="n">
        <v>626.25</v>
      </c>
      <c r="H254" s="63" t="n">
        <v>0.043</v>
      </c>
      <c r="I254" s="62" t="n">
        <v>392.26</v>
      </c>
      <c r="J254" s="58" t="inlineStr">
        <is>
          <t>Online</t>
        </is>
      </c>
      <c r="K254" s="62">
        <f>F254*(G254-H254)</f>
        <v/>
      </c>
      <c r="L254" s="62">
        <f>K254-(F254*I254)</f>
        <v/>
      </c>
      <c r="M254" s="64">
        <f>L254/K254</f>
        <v/>
      </c>
    </row>
    <row r="255">
      <c r="A255" s="58" t="inlineStr">
        <is>
          <t>RT20250107-00254</t>
        </is>
      </c>
      <c r="B255" s="59" t="inlineStr">
        <is>
          <t>2025-01-07</t>
        </is>
      </c>
      <c r="C255" s="60" t="inlineStr">
        <is>
          <t>Aurora Bedding Max-175</t>
        </is>
      </c>
      <c r="D255" s="58" t="inlineStr">
        <is>
          <t>Home</t>
        </is>
      </c>
      <c r="E255" s="58" t="inlineStr">
        <is>
          <t>Central</t>
        </is>
      </c>
      <c r="F255" s="61" t="n">
        <v>1</v>
      </c>
      <c r="G255" s="62" t="n">
        <v>566.84</v>
      </c>
      <c r="H255" s="63" t="n">
        <v>0.059</v>
      </c>
      <c r="I255" s="62" t="n">
        <v>419.28</v>
      </c>
      <c r="J255" s="58" t="inlineStr">
        <is>
          <t>Online</t>
        </is>
      </c>
      <c r="K255" s="62">
        <f>F255*(G255-H255)</f>
        <v/>
      </c>
      <c r="L255" s="62">
        <f>K255-(F255*I255)</f>
        <v/>
      </c>
      <c r="M255" s="64">
        <f>L255/K255</f>
        <v/>
      </c>
    </row>
    <row r="256">
      <c r="A256" s="58" t="inlineStr">
        <is>
          <t>RT20250107-00255</t>
        </is>
      </c>
      <c r="B256" s="59" t="inlineStr">
        <is>
          <t>2025-01-07</t>
        </is>
      </c>
      <c r="C256" s="60" t="inlineStr">
        <is>
          <t>Polar Wearable X-119</t>
        </is>
      </c>
      <c r="D256" s="58" t="inlineStr">
        <is>
          <t>Electronics</t>
        </is>
      </c>
      <c r="E256" s="58" t="inlineStr">
        <is>
          <t>East</t>
        </is>
      </c>
      <c r="F256" s="61" t="n">
        <v>1</v>
      </c>
      <c r="G256" s="62" t="n">
        <v>1860.88</v>
      </c>
      <c r="H256" s="63" t="n">
        <v>0.083</v>
      </c>
      <c r="I256" s="62" t="n">
        <v>1338.68</v>
      </c>
      <c r="J256" s="58" t="inlineStr">
        <is>
          <t>Phone</t>
        </is>
      </c>
      <c r="K256" s="62">
        <f>F256*(G256-H256)</f>
        <v/>
      </c>
      <c r="L256" s="62">
        <f>K256-(F256*I256)</f>
        <v/>
      </c>
      <c r="M256" s="64">
        <f>L256/K256</f>
        <v/>
      </c>
    </row>
    <row r="257">
      <c r="A257" s="58" t="inlineStr">
        <is>
          <t>RT20250107-00256</t>
        </is>
      </c>
      <c r="B257" s="59" t="inlineStr">
        <is>
          <t>2025-01-07</t>
        </is>
      </c>
      <c r="C257" s="60" t="inlineStr">
        <is>
          <t>Orion Laptop S-350</t>
        </is>
      </c>
      <c r="D257" s="58" t="inlineStr">
        <is>
          <t>Electronics</t>
        </is>
      </c>
      <c r="E257" s="58" t="inlineStr">
        <is>
          <t>South</t>
        </is>
      </c>
      <c r="F257" s="61" t="n">
        <v>1</v>
      </c>
      <c r="G257" s="62" t="n">
        <v>1079.71</v>
      </c>
      <c r="H257" s="63" t="n">
        <v>0.049</v>
      </c>
      <c r="I257" s="62" t="n">
        <v>996.9</v>
      </c>
      <c r="J257" s="58" t="inlineStr">
        <is>
          <t>Online</t>
        </is>
      </c>
      <c r="K257" s="62">
        <f>F257*(G257-H257)</f>
        <v/>
      </c>
      <c r="L257" s="62">
        <f>K257-(F257*I257)</f>
        <v/>
      </c>
      <c r="M257" s="64">
        <f>L257/K257</f>
        <v/>
      </c>
    </row>
    <row r="258">
      <c r="A258" s="58" t="inlineStr">
        <is>
          <t>RT20250107-00257</t>
        </is>
      </c>
      <c r="B258" s="59" t="inlineStr">
        <is>
          <t>2025-01-07</t>
        </is>
      </c>
      <c r="C258" s="60" t="inlineStr">
        <is>
          <t>Polar Women S-662</t>
        </is>
      </c>
      <c r="D258" s="58" t="inlineStr">
        <is>
          <t>Apparel</t>
        </is>
      </c>
      <c r="E258" s="58" t="inlineStr">
        <is>
          <t>East</t>
        </is>
      </c>
      <c r="F258" s="61" t="n">
        <v>3</v>
      </c>
      <c r="G258" s="62" t="n">
        <v>167.44</v>
      </c>
      <c r="H258" s="63" t="n">
        <v>0.021</v>
      </c>
      <c r="I258" s="62" t="n">
        <v>97.63</v>
      </c>
      <c r="J258" s="58" t="inlineStr">
        <is>
          <t>Store</t>
        </is>
      </c>
      <c r="K258" s="62">
        <f>F258*(G258-H258)</f>
        <v/>
      </c>
      <c r="L258" s="62">
        <f>K258-(F258*I258)</f>
        <v/>
      </c>
      <c r="M258" s="64">
        <f>L258/K258</f>
        <v/>
      </c>
    </row>
    <row r="259">
      <c r="A259" s="58" t="inlineStr">
        <is>
          <t>RT20250107-00258</t>
        </is>
      </c>
      <c r="B259" s="59" t="inlineStr">
        <is>
          <t>2025-01-07</t>
        </is>
      </c>
      <c r="C259" s="60" t="inlineStr">
        <is>
          <t>Orion Storage Plus-961</t>
        </is>
      </c>
      <c r="D259" s="58" t="inlineStr">
        <is>
          <t>Office</t>
        </is>
      </c>
      <c r="E259" s="58" t="inlineStr">
        <is>
          <t>West</t>
        </is>
      </c>
      <c r="F259" s="61" t="n">
        <v>1</v>
      </c>
      <c r="G259" s="62" t="n">
        <v>564.86</v>
      </c>
      <c r="H259" s="63" t="n">
        <v>0.037</v>
      </c>
      <c r="I259" s="62" t="n">
        <v>356.3</v>
      </c>
      <c r="J259" s="58" t="inlineStr">
        <is>
          <t>Store</t>
        </is>
      </c>
      <c r="K259" s="62">
        <f>F259*(G259-H259)</f>
        <v/>
      </c>
      <c r="L259" s="62">
        <f>K259-(F259*I259)</f>
        <v/>
      </c>
      <c r="M259" s="64">
        <f>L259/K259</f>
        <v/>
      </c>
    </row>
    <row r="260">
      <c r="A260" s="58" t="inlineStr">
        <is>
          <t>RT20250107-00259</t>
        </is>
      </c>
      <c r="B260" s="59" t="inlineStr">
        <is>
          <t>2025-01-07</t>
        </is>
      </c>
      <c r="C260" s="60" t="inlineStr">
        <is>
          <t>Aurora Appliance Lite-109</t>
        </is>
      </c>
      <c r="D260" s="58" t="inlineStr">
        <is>
          <t>Home</t>
        </is>
      </c>
      <c r="E260" s="58" t="inlineStr">
        <is>
          <t>Central</t>
        </is>
      </c>
      <c r="F260" s="61" t="n">
        <v>2</v>
      </c>
      <c r="G260" s="62" t="n">
        <v>278.05</v>
      </c>
      <c r="H260" s="63" t="n">
        <v>0.042</v>
      </c>
      <c r="I260" s="62" t="n">
        <v>201.97</v>
      </c>
      <c r="J260" s="58" t="inlineStr">
        <is>
          <t>Online</t>
        </is>
      </c>
      <c r="K260" s="62">
        <f>F260*(G260-H260)</f>
        <v/>
      </c>
      <c r="L260" s="62">
        <f>K260-(F260*I260)</f>
        <v/>
      </c>
      <c r="M260" s="64">
        <f>L260/K260</f>
        <v/>
      </c>
    </row>
    <row r="261">
      <c r="A261" s="58" t="inlineStr">
        <is>
          <t>RT20250107-00260</t>
        </is>
      </c>
      <c r="B261" s="59" t="inlineStr">
        <is>
          <t>2025-01-07</t>
        </is>
      </c>
      <c r="C261" s="60" t="inlineStr">
        <is>
          <t>Falcon Skincare Max-151</t>
        </is>
      </c>
      <c r="D261" s="58" t="inlineStr">
        <is>
          <t>Beauty</t>
        </is>
      </c>
      <c r="E261" s="58" t="inlineStr">
        <is>
          <t>South</t>
        </is>
      </c>
      <c r="F261" s="61" t="n">
        <v>1</v>
      </c>
      <c r="G261" s="62" t="n">
        <v>84.98999999999999</v>
      </c>
      <c r="H261" s="63" t="n">
        <v>0.126</v>
      </c>
      <c r="I261" s="62" t="n">
        <v>57.61</v>
      </c>
      <c r="J261" s="58" t="inlineStr">
        <is>
          <t>Phone</t>
        </is>
      </c>
      <c r="K261" s="62">
        <f>F261*(G261-H261)</f>
        <v/>
      </c>
      <c r="L261" s="62">
        <f>K261-(F261*I261)</f>
        <v/>
      </c>
      <c r="M261" s="64">
        <f>L261/K261</f>
        <v/>
      </c>
    </row>
    <row r="262">
      <c r="A262" s="58" t="inlineStr">
        <is>
          <t>RT20250107-00261</t>
        </is>
      </c>
      <c r="B262" s="59" t="inlineStr">
        <is>
          <t>2025-01-07</t>
        </is>
      </c>
      <c r="C262" s="60" t="inlineStr">
        <is>
          <t>Vertex Smartphone Pro-256</t>
        </is>
      </c>
      <c r="D262" s="58" t="inlineStr">
        <is>
          <t>Electronics</t>
        </is>
      </c>
      <c r="E262" s="58" t="inlineStr">
        <is>
          <t>East</t>
        </is>
      </c>
      <c r="F262" s="61" t="n">
        <v>2</v>
      </c>
      <c r="G262" s="62" t="n">
        <v>1053.5</v>
      </c>
      <c r="H262" s="63" t="n">
        <v>0.021</v>
      </c>
      <c r="I262" s="62" t="n">
        <v>916.4299999999999</v>
      </c>
      <c r="J262" s="58" t="inlineStr">
        <is>
          <t>Online</t>
        </is>
      </c>
      <c r="K262" s="62">
        <f>F262*(G262-H262)</f>
        <v/>
      </c>
      <c r="L262" s="62">
        <f>K262-(F262*I262)</f>
        <v/>
      </c>
      <c r="M262" s="64">
        <f>L262/K262</f>
        <v/>
      </c>
    </row>
    <row r="263">
      <c r="A263" s="58" t="inlineStr">
        <is>
          <t>RT20250107-00262</t>
        </is>
      </c>
      <c r="B263" s="59" t="inlineStr">
        <is>
          <t>2025-01-07</t>
        </is>
      </c>
      <c r="C263" s="60" t="inlineStr">
        <is>
          <t>Polar Snack Pro-641</t>
        </is>
      </c>
      <c r="D263" s="58" t="inlineStr">
        <is>
          <t>Grocery</t>
        </is>
      </c>
      <c r="E263" s="58" t="inlineStr">
        <is>
          <t>West</t>
        </is>
      </c>
      <c r="F263" s="61" t="n">
        <v>5</v>
      </c>
      <c r="G263" s="62" t="n">
        <v>11.75</v>
      </c>
      <c r="H263" s="63" t="n">
        <v>0.105</v>
      </c>
      <c r="I263" s="62" t="n">
        <v>9.4</v>
      </c>
      <c r="J263" s="58" t="inlineStr">
        <is>
          <t>Store</t>
        </is>
      </c>
      <c r="K263" s="62">
        <f>F263*(G263-H263)</f>
        <v/>
      </c>
      <c r="L263" s="62">
        <f>K263-(F263*I263)</f>
        <v/>
      </c>
      <c r="M263" s="64">
        <f>L263/K263</f>
        <v/>
      </c>
    </row>
    <row r="264">
      <c r="A264" s="58" t="inlineStr">
        <is>
          <t>RT20250107-00263</t>
        </is>
      </c>
      <c r="B264" s="59" t="inlineStr">
        <is>
          <t>2025-01-07</t>
        </is>
      </c>
      <c r="C264" s="60" t="inlineStr">
        <is>
          <t>Orion Storage Plus-961</t>
        </is>
      </c>
      <c r="D264" s="58" t="inlineStr">
        <is>
          <t>Office</t>
        </is>
      </c>
      <c r="E264" s="58" t="inlineStr">
        <is>
          <t>Central</t>
        </is>
      </c>
      <c r="F264" s="61" t="n">
        <v>3</v>
      </c>
      <c r="G264" s="62" t="n">
        <v>529.5599999999999</v>
      </c>
      <c r="H264" s="63" t="n">
        <v>0.051</v>
      </c>
      <c r="I264" s="62" t="n">
        <v>372.14</v>
      </c>
      <c r="J264" s="58" t="inlineStr">
        <is>
          <t>Store</t>
        </is>
      </c>
      <c r="K264" s="62">
        <f>F264*(G264-H264)</f>
        <v/>
      </c>
      <c r="L264" s="62">
        <f>K264-(F264*I264)</f>
        <v/>
      </c>
      <c r="M264" s="64">
        <f>L264/K264</f>
        <v/>
      </c>
    </row>
    <row r="265">
      <c r="A265" s="58" t="inlineStr">
        <is>
          <t>RT20250107-00264</t>
        </is>
      </c>
      <c r="B265" s="59" t="inlineStr">
        <is>
          <t>2025-01-07</t>
        </is>
      </c>
      <c r="C265" s="60" t="inlineStr">
        <is>
          <t>Solace Laptop S-367</t>
        </is>
      </c>
      <c r="D265" s="58" t="inlineStr">
        <is>
          <t>Electronics</t>
        </is>
      </c>
      <c r="E265" s="58" t="inlineStr">
        <is>
          <t>South</t>
        </is>
      </c>
      <c r="F265" s="61" t="n">
        <v>2</v>
      </c>
      <c r="G265" s="62" t="n">
        <v>2012.16</v>
      </c>
      <c r="H265" s="63" t="n">
        <v>0.061</v>
      </c>
      <c r="I265" s="62" t="n">
        <v>1524.31</v>
      </c>
      <c r="J265" s="58" t="inlineStr">
        <is>
          <t>Online</t>
        </is>
      </c>
      <c r="K265" s="62">
        <f>F265*(G265-H265)</f>
        <v/>
      </c>
      <c r="L265" s="62">
        <f>K265-(F265*I265)</f>
        <v/>
      </c>
      <c r="M265" s="64">
        <f>L265/K265</f>
        <v/>
      </c>
    </row>
    <row r="266">
      <c r="A266" s="58" t="inlineStr">
        <is>
          <t>RT20250107-00265</t>
        </is>
      </c>
      <c r="B266" s="59" t="inlineStr">
        <is>
          <t>2025-01-07</t>
        </is>
      </c>
      <c r="C266" s="60" t="inlineStr">
        <is>
          <t>Vertex Smartphone Lite-267</t>
        </is>
      </c>
      <c r="D266" s="58" t="inlineStr">
        <is>
          <t>Electronics</t>
        </is>
      </c>
      <c r="E266" s="58" t="inlineStr">
        <is>
          <t>North</t>
        </is>
      </c>
      <c r="F266" s="61" t="n">
        <v>1</v>
      </c>
      <c r="G266" s="62" t="n">
        <v>1164.86</v>
      </c>
      <c r="H266" s="63" t="n">
        <v>0.056</v>
      </c>
      <c r="I266" s="62" t="n">
        <v>953.3200000000001</v>
      </c>
      <c r="J266" s="58" t="inlineStr">
        <is>
          <t>Online</t>
        </is>
      </c>
      <c r="K266" s="62">
        <f>F266*(G266-H266)</f>
        <v/>
      </c>
      <c r="L266" s="62">
        <f>K266-(F266*I266)</f>
        <v/>
      </c>
      <c r="M266" s="64">
        <f>L266/K266</f>
        <v/>
      </c>
    </row>
    <row r="267">
      <c r="A267" s="58" t="inlineStr">
        <is>
          <t>RT20250107-00266</t>
        </is>
      </c>
      <c r="B267" s="59" t="inlineStr">
        <is>
          <t>2025-01-07</t>
        </is>
      </c>
      <c r="C267" s="60" t="inlineStr">
        <is>
          <t>Vertex Fitnes Pro-830</t>
        </is>
      </c>
      <c r="D267" s="58" t="inlineStr">
        <is>
          <t>Sports</t>
        </is>
      </c>
      <c r="E267" s="58" t="inlineStr">
        <is>
          <t>South</t>
        </is>
      </c>
      <c r="F267" s="61" t="n">
        <v>1</v>
      </c>
      <c r="G267" s="62" t="n">
        <v>659.47</v>
      </c>
      <c r="H267" s="63" t="n">
        <v>0.042</v>
      </c>
      <c r="I267" s="62" t="n">
        <v>489.81</v>
      </c>
      <c r="J267" s="58" t="inlineStr">
        <is>
          <t>Online</t>
        </is>
      </c>
      <c r="K267" s="62">
        <f>F267*(G267-H267)</f>
        <v/>
      </c>
      <c r="L267" s="62">
        <f>K267-(F267*I267)</f>
        <v/>
      </c>
      <c r="M267" s="64">
        <f>L267/K267</f>
        <v/>
      </c>
    </row>
    <row r="268">
      <c r="A268" s="58" t="inlineStr">
        <is>
          <t>RT20250107-00267</t>
        </is>
      </c>
      <c r="B268" s="59" t="inlineStr">
        <is>
          <t>2025-01-07</t>
        </is>
      </c>
      <c r="C268" s="60" t="inlineStr">
        <is>
          <t>Falcon Furniture Plus-839</t>
        </is>
      </c>
      <c r="D268" s="58" t="inlineStr">
        <is>
          <t>Office</t>
        </is>
      </c>
      <c r="E268" s="58" t="inlineStr">
        <is>
          <t>South</t>
        </is>
      </c>
      <c r="F268" s="61" t="n">
        <v>2</v>
      </c>
      <c r="G268" s="62" t="n">
        <v>315.16</v>
      </c>
      <c r="H268" s="63" t="n">
        <v>0.064</v>
      </c>
      <c r="I268" s="62" t="n">
        <v>223.45</v>
      </c>
      <c r="J268" s="58" t="inlineStr">
        <is>
          <t>Online</t>
        </is>
      </c>
      <c r="K268" s="62">
        <f>F268*(G268-H268)</f>
        <v/>
      </c>
      <c r="L268" s="62">
        <f>K268-(F268*I268)</f>
        <v/>
      </c>
      <c r="M268" s="64">
        <f>L268/K268</f>
        <v/>
      </c>
    </row>
    <row r="269">
      <c r="A269" s="58" t="inlineStr">
        <is>
          <t>RT20250107-00268</t>
        </is>
      </c>
      <c r="B269" s="59" t="inlineStr">
        <is>
          <t>2025-01-07</t>
        </is>
      </c>
      <c r="C269" s="60" t="inlineStr">
        <is>
          <t>Aurora Kid Plus-151</t>
        </is>
      </c>
      <c r="D269" s="58" t="inlineStr">
        <is>
          <t>Apparel</t>
        </is>
      </c>
      <c r="E269" s="58" t="inlineStr">
        <is>
          <t>West</t>
        </is>
      </c>
      <c r="F269" s="61" t="n">
        <v>4</v>
      </c>
      <c r="G269" s="62" t="n">
        <v>120.82</v>
      </c>
      <c r="H269" s="63" t="n">
        <v>0</v>
      </c>
      <c r="I269" s="62" t="n">
        <v>63.57</v>
      </c>
      <c r="J269" s="58" t="inlineStr">
        <is>
          <t>Store</t>
        </is>
      </c>
      <c r="K269" s="62">
        <f>F269*(G269-H269)</f>
        <v/>
      </c>
      <c r="L269" s="62">
        <f>K269-(F269*I269)</f>
        <v/>
      </c>
      <c r="M269" s="64">
        <f>L269/K269</f>
        <v/>
      </c>
    </row>
    <row r="270">
      <c r="A270" s="58" t="inlineStr">
        <is>
          <t>RT20250107-00269</t>
        </is>
      </c>
      <c r="B270" s="59" t="inlineStr">
        <is>
          <t>2025-01-07</t>
        </is>
      </c>
      <c r="C270" s="60" t="inlineStr">
        <is>
          <t>Aurora Storage Lite-774</t>
        </is>
      </c>
      <c r="D270" s="58" t="inlineStr">
        <is>
          <t>Office</t>
        </is>
      </c>
      <c r="E270" s="58" t="inlineStr">
        <is>
          <t>South</t>
        </is>
      </c>
      <c r="F270" s="61" t="n">
        <v>3</v>
      </c>
      <c r="G270" s="62" t="n">
        <v>403.44</v>
      </c>
      <c r="H270" s="63" t="n">
        <v>0.032</v>
      </c>
      <c r="I270" s="62" t="n">
        <v>239.23</v>
      </c>
      <c r="J270" s="58" t="inlineStr">
        <is>
          <t>Online</t>
        </is>
      </c>
      <c r="K270" s="62">
        <f>F270*(G270-H270)</f>
        <v/>
      </c>
      <c r="L270" s="62">
        <f>K270-(F270*I270)</f>
        <v/>
      </c>
      <c r="M270" s="64">
        <f>L270/K270</f>
        <v/>
      </c>
    </row>
    <row r="271">
      <c r="A271" s="58" t="inlineStr">
        <is>
          <t>RT20250107-00270</t>
        </is>
      </c>
      <c r="B271" s="59" t="inlineStr">
        <is>
          <t>2025-01-07</t>
        </is>
      </c>
      <c r="C271" s="60" t="inlineStr">
        <is>
          <t>Solace Laptop S-367</t>
        </is>
      </c>
      <c r="D271" s="58" t="inlineStr">
        <is>
          <t>Electronics</t>
        </is>
      </c>
      <c r="E271" s="58" t="inlineStr">
        <is>
          <t>East</t>
        </is>
      </c>
      <c r="F271" s="61" t="n">
        <v>1</v>
      </c>
      <c r="G271" s="62" t="n">
        <v>2049.17</v>
      </c>
      <c r="H271" s="63" t="n">
        <v>0.068</v>
      </c>
      <c r="I271" s="62" t="n">
        <v>1563.72</v>
      </c>
      <c r="J271" s="58" t="inlineStr">
        <is>
          <t>Online</t>
        </is>
      </c>
      <c r="K271" s="62">
        <f>F271*(G271-H271)</f>
        <v/>
      </c>
      <c r="L271" s="62">
        <f>K271-(F271*I271)</f>
        <v/>
      </c>
      <c r="M271" s="64">
        <f>L271/K271</f>
        <v/>
      </c>
    </row>
    <row r="272">
      <c r="A272" s="58" t="inlineStr">
        <is>
          <t>RT20250107-00271</t>
        </is>
      </c>
      <c r="B272" s="59" t="inlineStr">
        <is>
          <t>2025-01-07</t>
        </is>
      </c>
      <c r="C272" s="60" t="inlineStr">
        <is>
          <t>Falcon Kitchen X-130</t>
        </is>
      </c>
      <c r="D272" s="58" t="inlineStr">
        <is>
          <t>Home</t>
        </is>
      </c>
      <c r="E272" s="58" t="inlineStr">
        <is>
          <t>West</t>
        </is>
      </c>
      <c r="F272" s="61" t="n">
        <v>3</v>
      </c>
      <c r="G272" s="62" t="n">
        <v>396.53</v>
      </c>
      <c r="H272" s="63" t="n">
        <v>0.076</v>
      </c>
      <c r="I272" s="62" t="n">
        <v>282.82</v>
      </c>
      <c r="J272" s="58" t="inlineStr">
        <is>
          <t>Online</t>
        </is>
      </c>
      <c r="K272" s="62">
        <f>F272*(G272-H272)</f>
        <v/>
      </c>
      <c r="L272" s="62">
        <f>K272-(F272*I272)</f>
        <v/>
      </c>
      <c r="M272" s="64">
        <f>L272/K272</f>
        <v/>
      </c>
    </row>
    <row r="273">
      <c r="A273" s="58" t="inlineStr">
        <is>
          <t>RT20250107-00272</t>
        </is>
      </c>
      <c r="B273" s="59" t="inlineStr">
        <is>
          <t>2025-01-07</t>
        </is>
      </c>
      <c r="C273" s="60" t="inlineStr">
        <is>
          <t>Vertex Appliance S-296</t>
        </is>
      </c>
      <c r="D273" s="58" t="inlineStr">
        <is>
          <t>Home</t>
        </is>
      </c>
      <c r="E273" s="58" t="inlineStr">
        <is>
          <t>Central</t>
        </is>
      </c>
      <c r="F273" s="61" t="n">
        <v>3</v>
      </c>
      <c r="G273" s="62" t="n">
        <v>479.69</v>
      </c>
      <c r="H273" s="63" t="n">
        <v>0.059</v>
      </c>
      <c r="I273" s="62" t="n">
        <v>353.71</v>
      </c>
      <c r="J273" s="58" t="inlineStr">
        <is>
          <t>Online</t>
        </is>
      </c>
      <c r="K273" s="62">
        <f>F273*(G273-H273)</f>
        <v/>
      </c>
      <c r="L273" s="62">
        <f>K273-(F273*I273)</f>
        <v/>
      </c>
      <c r="M273" s="64">
        <f>L273/K273</f>
        <v/>
      </c>
    </row>
    <row r="274">
      <c r="A274" s="58" t="inlineStr">
        <is>
          <t>RT20250107-00273</t>
        </is>
      </c>
      <c r="B274" s="59" t="inlineStr">
        <is>
          <t>2025-01-07</t>
        </is>
      </c>
      <c r="C274" s="60" t="inlineStr">
        <is>
          <t>Metro Decor Lite-325</t>
        </is>
      </c>
      <c r="D274" s="58" t="inlineStr">
        <is>
          <t>Home</t>
        </is>
      </c>
      <c r="E274" s="58" t="inlineStr">
        <is>
          <t>West</t>
        </is>
      </c>
      <c r="F274" s="61" t="n">
        <v>3</v>
      </c>
      <c r="G274" s="62" t="n">
        <v>624.66</v>
      </c>
      <c r="H274" s="63" t="n">
        <v>0.047</v>
      </c>
      <c r="I274" s="62" t="n">
        <v>369.56</v>
      </c>
      <c r="J274" s="58" t="inlineStr">
        <is>
          <t>Online</t>
        </is>
      </c>
      <c r="K274" s="62">
        <f>F274*(G274-H274)</f>
        <v/>
      </c>
      <c r="L274" s="62">
        <f>K274-(F274*I274)</f>
        <v/>
      </c>
      <c r="M274" s="64">
        <f>L274/K274</f>
        <v/>
      </c>
    </row>
    <row r="275">
      <c r="A275" s="58" t="inlineStr">
        <is>
          <t>RT20250107-00274</t>
        </is>
      </c>
      <c r="B275" s="59" t="inlineStr">
        <is>
          <t>2025-01-07</t>
        </is>
      </c>
      <c r="C275" s="60" t="inlineStr">
        <is>
          <t>Metro Beverage Max-490</t>
        </is>
      </c>
      <c r="D275" s="58" t="inlineStr">
        <is>
          <t>Grocery</t>
        </is>
      </c>
      <c r="E275" s="58" t="inlineStr">
        <is>
          <t>Central</t>
        </is>
      </c>
      <c r="F275" s="61" t="n">
        <v>4</v>
      </c>
      <c r="G275" s="62" t="n">
        <v>11.3</v>
      </c>
      <c r="H275" s="63" t="n">
        <v>0.028</v>
      </c>
      <c r="I275" s="62" t="n">
        <v>8.09</v>
      </c>
      <c r="J275" s="58" t="inlineStr">
        <is>
          <t>Store</t>
        </is>
      </c>
      <c r="K275" s="62">
        <f>F275*(G275-H275)</f>
        <v/>
      </c>
      <c r="L275" s="62">
        <f>K275-(F275*I275)</f>
        <v/>
      </c>
      <c r="M275" s="64">
        <f>L275/K275</f>
        <v/>
      </c>
    </row>
    <row r="276">
      <c r="A276" s="58" t="inlineStr">
        <is>
          <t>RT20250107-00275</t>
        </is>
      </c>
      <c r="B276" s="59" t="inlineStr">
        <is>
          <t>2025-01-07</t>
        </is>
      </c>
      <c r="C276" s="60" t="inlineStr">
        <is>
          <t>Falcon Furniture Plus-839</t>
        </is>
      </c>
      <c r="D276" s="58" t="inlineStr">
        <is>
          <t>Office</t>
        </is>
      </c>
      <c r="E276" s="58" t="inlineStr">
        <is>
          <t>East</t>
        </is>
      </c>
      <c r="F276" s="61" t="n">
        <v>1</v>
      </c>
      <c r="G276" s="62" t="n">
        <v>342.84</v>
      </c>
      <c r="H276" s="63" t="n">
        <v>0.004</v>
      </c>
      <c r="I276" s="62" t="n">
        <v>232.56</v>
      </c>
      <c r="J276" s="58" t="inlineStr">
        <is>
          <t>Store</t>
        </is>
      </c>
      <c r="K276" s="62">
        <f>F276*(G276-H276)</f>
        <v/>
      </c>
      <c r="L276" s="62">
        <f>K276-(F276*I276)</f>
        <v/>
      </c>
      <c r="M276" s="64">
        <f>L276/K276</f>
        <v/>
      </c>
    </row>
    <row r="277">
      <c r="A277" s="58" t="inlineStr">
        <is>
          <t>RT20250107-00276</t>
        </is>
      </c>
      <c r="B277" s="59" t="inlineStr">
        <is>
          <t>2025-01-07</t>
        </is>
      </c>
      <c r="C277" s="60" t="inlineStr">
        <is>
          <t>Polar Decor X-935</t>
        </is>
      </c>
      <c r="D277" s="58" t="inlineStr">
        <is>
          <t>Home</t>
        </is>
      </c>
      <c r="E277" s="58" t="inlineStr">
        <is>
          <t>East</t>
        </is>
      </c>
      <c r="F277" s="61" t="n">
        <v>2</v>
      </c>
      <c r="G277" s="62" t="n">
        <v>321.84</v>
      </c>
      <c r="H277" s="63" t="n">
        <v>0.08400000000000001</v>
      </c>
      <c r="I277" s="62" t="n">
        <v>195.66</v>
      </c>
      <c r="J277" s="58" t="inlineStr">
        <is>
          <t>Store</t>
        </is>
      </c>
      <c r="K277" s="62">
        <f>F277*(G277-H277)</f>
        <v/>
      </c>
      <c r="L277" s="62">
        <f>K277-(F277*I277)</f>
        <v/>
      </c>
      <c r="M277" s="64">
        <f>L277/K277</f>
        <v/>
      </c>
    </row>
    <row r="278">
      <c r="A278" s="58" t="inlineStr">
        <is>
          <t>RT20250107-00277</t>
        </is>
      </c>
      <c r="B278" s="59" t="inlineStr">
        <is>
          <t>2025-01-07</t>
        </is>
      </c>
      <c r="C278" s="60" t="inlineStr">
        <is>
          <t>Aurora Fitnes Lite-194</t>
        </is>
      </c>
      <c r="D278" s="58" t="inlineStr">
        <is>
          <t>Sports</t>
        </is>
      </c>
      <c r="E278" s="58" t="inlineStr">
        <is>
          <t>North</t>
        </is>
      </c>
      <c r="F278" s="61" t="n">
        <v>1</v>
      </c>
      <c r="G278" s="62" t="n">
        <v>698.05</v>
      </c>
      <c r="H278" s="63" t="n">
        <v>0.052</v>
      </c>
      <c r="I278" s="62" t="n">
        <v>475.38</v>
      </c>
      <c r="J278" s="58" t="inlineStr">
        <is>
          <t>Store</t>
        </is>
      </c>
      <c r="K278" s="62">
        <f>F278*(G278-H278)</f>
        <v/>
      </c>
      <c r="L278" s="62">
        <f>K278-(F278*I278)</f>
        <v/>
      </c>
      <c r="M278" s="64">
        <f>L278/K278</f>
        <v/>
      </c>
    </row>
    <row r="279">
      <c r="A279" s="58" t="inlineStr">
        <is>
          <t>RT20250107-00278</t>
        </is>
      </c>
      <c r="B279" s="59" t="inlineStr">
        <is>
          <t>2025-01-07</t>
        </is>
      </c>
      <c r="C279" s="60" t="inlineStr">
        <is>
          <t>Polar Outdoor Lite-318</t>
        </is>
      </c>
      <c r="D279" s="58" t="inlineStr">
        <is>
          <t>Sports</t>
        </is>
      </c>
      <c r="E279" s="58" t="inlineStr">
        <is>
          <t>West</t>
        </is>
      </c>
      <c r="F279" s="61" t="n">
        <v>1</v>
      </c>
      <c r="G279" s="62" t="n">
        <v>696.29</v>
      </c>
      <c r="H279" s="63" t="n">
        <v>0.08699999999999999</v>
      </c>
      <c r="I279" s="62" t="n">
        <v>456.11</v>
      </c>
      <c r="J279" s="58" t="inlineStr">
        <is>
          <t>Store</t>
        </is>
      </c>
      <c r="K279" s="62">
        <f>F279*(G279-H279)</f>
        <v/>
      </c>
      <c r="L279" s="62">
        <f>K279-(F279*I279)</f>
        <v/>
      </c>
      <c r="M279" s="64">
        <f>L279/K279</f>
        <v/>
      </c>
    </row>
    <row r="280">
      <c r="A280" s="58" t="inlineStr">
        <is>
          <t>RT20250107-00279</t>
        </is>
      </c>
      <c r="B280" s="59" t="inlineStr">
        <is>
          <t>2025-01-07</t>
        </is>
      </c>
      <c r="C280" s="60" t="inlineStr">
        <is>
          <t>Aurora Makeup Pro-489</t>
        </is>
      </c>
      <c r="D280" s="58" t="inlineStr">
        <is>
          <t>Beauty</t>
        </is>
      </c>
      <c r="E280" s="58" t="inlineStr">
        <is>
          <t>South</t>
        </is>
      </c>
      <c r="F280" s="61" t="n">
        <v>3</v>
      </c>
      <c r="G280" s="62" t="n">
        <v>104</v>
      </c>
      <c r="H280" s="63" t="n">
        <v>0.05</v>
      </c>
      <c r="I280" s="62" t="n">
        <v>64.27</v>
      </c>
      <c r="J280" s="58" t="inlineStr">
        <is>
          <t>Phone</t>
        </is>
      </c>
      <c r="K280" s="62">
        <f>F280*(G280-H280)</f>
        <v/>
      </c>
      <c r="L280" s="62">
        <f>K280-(F280*I280)</f>
        <v/>
      </c>
      <c r="M280" s="64">
        <f>L280/K280</f>
        <v/>
      </c>
    </row>
    <row r="281">
      <c r="A281" s="58" t="inlineStr">
        <is>
          <t>RT20250107-00280</t>
        </is>
      </c>
      <c r="B281" s="59" t="inlineStr">
        <is>
          <t>2025-01-07</t>
        </is>
      </c>
      <c r="C281" s="60" t="inlineStr">
        <is>
          <t>Solace Team Sport Max-548</t>
        </is>
      </c>
      <c r="D281" s="58" t="inlineStr">
        <is>
          <t>Sports</t>
        </is>
      </c>
      <c r="E281" s="58" t="inlineStr">
        <is>
          <t>West</t>
        </is>
      </c>
      <c r="F281" s="61" t="n">
        <v>1</v>
      </c>
      <c r="G281" s="62" t="n">
        <v>760.29</v>
      </c>
      <c r="H281" s="63" t="n">
        <v>0.093</v>
      </c>
      <c r="I281" s="62" t="n">
        <v>476.36</v>
      </c>
      <c r="J281" s="58" t="inlineStr">
        <is>
          <t>Online</t>
        </is>
      </c>
      <c r="K281" s="62">
        <f>F281*(G281-H281)</f>
        <v/>
      </c>
      <c r="L281" s="62">
        <f>K281-(F281*I281)</f>
        <v/>
      </c>
      <c r="M281" s="64">
        <f>L281/K281</f>
        <v/>
      </c>
    </row>
    <row r="282">
      <c r="A282" s="58" t="inlineStr">
        <is>
          <t>RT20250107-00281</t>
        </is>
      </c>
      <c r="B282" s="59" t="inlineStr">
        <is>
          <t>2025-01-07</t>
        </is>
      </c>
      <c r="C282" s="60" t="inlineStr">
        <is>
          <t>Orion Team Sport X-926</t>
        </is>
      </c>
      <c r="D282" s="58" t="inlineStr">
        <is>
          <t>Sports</t>
        </is>
      </c>
      <c r="E282" s="58" t="inlineStr">
        <is>
          <t>Central</t>
        </is>
      </c>
      <c r="F282" s="61" t="n">
        <v>1</v>
      </c>
      <c r="G282" s="62" t="n">
        <v>298.04</v>
      </c>
      <c r="H282" s="63" t="n">
        <v>0.08599999999999999</v>
      </c>
      <c r="I282" s="62" t="n">
        <v>213.1</v>
      </c>
      <c r="J282" s="58" t="inlineStr">
        <is>
          <t>Store</t>
        </is>
      </c>
      <c r="K282" s="62">
        <f>F282*(G282-H282)</f>
        <v/>
      </c>
      <c r="L282" s="62">
        <f>K282-(F282*I282)</f>
        <v/>
      </c>
      <c r="M282" s="64">
        <f>L282/K282</f>
        <v/>
      </c>
    </row>
    <row r="283">
      <c r="A283" s="58" t="inlineStr">
        <is>
          <t>RT20250107-00282</t>
        </is>
      </c>
      <c r="B283" s="59" t="inlineStr">
        <is>
          <t>2025-01-07</t>
        </is>
      </c>
      <c r="C283" s="60" t="inlineStr">
        <is>
          <t>Falcon Accessorie S-195</t>
        </is>
      </c>
      <c r="D283" s="58" t="inlineStr">
        <is>
          <t>Apparel</t>
        </is>
      </c>
      <c r="E283" s="58" t="inlineStr">
        <is>
          <t>South</t>
        </is>
      </c>
      <c r="F283" s="61" t="n">
        <v>1</v>
      </c>
      <c r="G283" s="62" t="n">
        <v>66.31</v>
      </c>
      <c r="H283" s="63" t="n">
        <v>0.051</v>
      </c>
      <c r="I283" s="62" t="n">
        <v>42.47</v>
      </c>
      <c r="J283" s="58" t="inlineStr">
        <is>
          <t>Store</t>
        </is>
      </c>
      <c r="K283" s="62">
        <f>F283*(G283-H283)</f>
        <v/>
      </c>
      <c r="L283" s="62">
        <f>K283-(F283*I283)</f>
        <v/>
      </c>
      <c r="M283" s="64">
        <f>L283/K283</f>
        <v/>
      </c>
    </row>
    <row r="284">
      <c r="A284" s="58" t="inlineStr">
        <is>
          <t>RT20250107-00283</t>
        </is>
      </c>
      <c r="B284" s="59" t="inlineStr">
        <is>
          <t>2025-01-07</t>
        </is>
      </c>
      <c r="C284" s="60" t="inlineStr">
        <is>
          <t>Polar Cycling S-223</t>
        </is>
      </c>
      <c r="D284" s="58" t="inlineStr">
        <is>
          <t>Sports</t>
        </is>
      </c>
      <c r="E284" s="58" t="inlineStr">
        <is>
          <t>West</t>
        </is>
      </c>
      <c r="F284" s="61" t="n">
        <v>2</v>
      </c>
      <c r="G284" s="62" t="n">
        <v>931.85</v>
      </c>
      <c r="H284" s="63" t="n">
        <v>0.098</v>
      </c>
      <c r="I284" s="62" t="n">
        <v>629.11</v>
      </c>
      <c r="J284" s="58" t="inlineStr">
        <is>
          <t>Online</t>
        </is>
      </c>
      <c r="K284" s="62">
        <f>F284*(G284-H284)</f>
        <v/>
      </c>
      <c r="L284" s="62">
        <f>K284-(F284*I284)</f>
        <v/>
      </c>
      <c r="M284" s="64">
        <f>L284/K284</f>
        <v/>
      </c>
    </row>
    <row r="285">
      <c r="A285" s="58" t="inlineStr">
        <is>
          <t>RT20250107-00284</t>
        </is>
      </c>
      <c r="B285" s="59" t="inlineStr">
        <is>
          <t>2025-01-07</t>
        </is>
      </c>
      <c r="C285" s="60" t="inlineStr">
        <is>
          <t>Solace Smartphone Lite-533</t>
        </is>
      </c>
      <c r="D285" s="58" t="inlineStr">
        <is>
          <t>Electronics</t>
        </is>
      </c>
      <c r="E285" s="58" t="inlineStr">
        <is>
          <t>West</t>
        </is>
      </c>
      <c r="F285" s="61" t="n">
        <v>2</v>
      </c>
      <c r="G285" s="62" t="n">
        <v>1272.08</v>
      </c>
      <c r="H285" s="63" t="n">
        <v>0.011</v>
      </c>
      <c r="I285" s="62" t="n">
        <v>929.4299999999999</v>
      </c>
      <c r="J285" s="58" t="inlineStr">
        <is>
          <t>Store</t>
        </is>
      </c>
      <c r="K285" s="62">
        <f>F285*(G285-H285)</f>
        <v/>
      </c>
      <c r="L285" s="62">
        <f>K285-(F285*I285)</f>
        <v/>
      </c>
      <c r="M285" s="64">
        <f>L285/K285</f>
        <v/>
      </c>
    </row>
    <row r="286">
      <c r="A286" s="58" t="inlineStr">
        <is>
          <t>RT20250107-00285</t>
        </is>
      </c>
      <c r="B286" s="59" t="inlineStr">
        <is>
          <t>2025-01-07</t>
        </is>
      </c>
      <c r="C286" s="60" t="inlineStr">
        <is>
          <t>Aurora Team Sport Plus-256</t>
        </is>
      </c>
      <c r="D286" s="58" t="inlineStr">
        <is>
          <t>Sports</t>
        </is>
      </c>
      <c r="E286" s="58" t="inlineStr">
        <is>
          <t>West</t>
        </is>
      </c>
      <c r="F286" s="61" t="n">
        <v>3</v>
      </c>
      <c r="G286" s="62" t="n">
        <v>655.02</v>
      </c>
      <c r="H286" s="63" t="n">
        <v>0.078</v>
      </c>
      <c r="I286" s="62" t="n">
        <v>407.36</v>
      </c>
      <c r="J286" s="58" t="inlineStr">
        <is>
          <t>Store</t>
        </is>
      </c>
      <c r="K286" s="62">
        <f>F286*(G286-H286)</f>
        <v/>
      </c>
      <c r="L286" s="62">
        <f>K286-(F286*I286)</f>
        <v/>
      </c>
      <c r="M286" s="64">
        <f>L286/K286</f>
        <v/>
      </c>
    </row>
    <row r="287">
      <c r="A287" s="58" t="inlineStr">
        <is>
          <t>RT20250108-00286</t>
        </is>
      </c>
      <c r="B287" s="59" t="inlineStr">
        <is>
          <t>2025-01-08</t>
        </is>
      </c>
      <c r="C287" s="60" t="inlineStr">
        <is>
          <t>Aurora Furniture X-709</t>
        </is>
      </c>
      <c r="D287" s="58" t="inlineStr">
        <is>
          <t>Office</t>
        </is>
      </c>
      <c r="E287" s="58" t="inlineStr">
        <is>
          <t>North</t>
        </is>
      </c>
      <c r="F287" s="61" t="n">
        <v>1</v>
      </c>
      <c r="G287" s="62" t="n">
        <v>447</v>
      </c>
      <c r="H287" s="63" t="n">
        <v>0.068</v>
      </c>
      <c r="I287" s="62" t="n">
        <v>311.64</v>
      </c>
      <c r="J287" s="58" t="inlineStr">
        <is>
          <t>Online</t>
        </is>
      </c>
      <c r="K287" s="62">
        <f>F287*(G287-H287)</f>
        <v/>
      </c>
      <c r="L287" s="62">
        <f>K287-(F287*I287)</f>
        <v/>
      </c>
      <c r="M287" s="64">
        <f>L287/K287</f>
        <v/>
      </c>
    </row>
    <row r="288">
      <c r="A288" s="58" t="inlineStr">
        <is>
          <t>RT20250108-00287</t>
        </is>
      </c>
      <c r="B288" s="59" t="inlineStr">
        <is>
          <t>2025-01-08</t>
        </is>
      </c>
      <c r="C288" s="60" t="inlineStr">
        <is>
          <t>Vertex Snack S-702</t>
        </is>
      </c>
      <c r="D288" s="58" t="inlineStr">
        <is>
          <t>Grocery</t>
        </is>
      </c>
      <c r="E288" s="58" t="inlineStr">
        <is>
          <t>Central</t>
        </is>
      </c>
      <c r="F288" s="61" t="n">
        <v>3</v>
      </c>
      <c r="G288" s="62" t="n">
        <v>1.85</v>
      </c>
      <c r="H288" s="63" t="n">
        <v>0.052</v>
      </c>
      <c r="I288" s="62" t="n">
        <v>1.48</v>
      </c>
      <c r="J288" s="58" t="inlineStr">
        <is>
          <t>Online</t>
        </is>
      </c>
      <c r="K288" s="62">
        <f>F288*(G288-H288)</f>
        <v/>
      </c>
      <c r="L288" s="62">
        <f>K288-(F288*I288)</f>
        <v/>
      </c>
      <c r="M288" s="64">
        <f>L288/K288</f>
        <v/>
      </c>
    </row>
    <row r="289">
      <c r="A289" s="58" t="inlineStr">
        <is>
          <t>RT20250108-00288</t>
        </is>
      </c>
      <c r="B289" s="59" t="inlineStr">
        <is>
          <t>2025-01-08</t>
        </is>
      </c>
      <c r="C289" s="60" t="inlineStr">
        <is>
          <t>Falcon Storage X-734</t>
        </is>
      </c>
      <c r="D289" s="58" t="inlineStr">
        <is>
          <t>Office</t>
        </is>
      </c>
      <c r="E289" s="58" t="inlineStr">
        <is>
          <t>East</t>
        </is>
      </c>
      <c r="F289" s="61" t="n">
        <v>1</v>
      </c>
      <c r="G289" s="62" t="n">
        <v>363.26</v>
      </c>
      <c r="H289" s="63" t="n">
        <v>0.027</v>
      </c>
      <c r="I289" s="62" t="n">
        <v>278.34</v>
      </c>
      <c r="J289" s="58" t="inlineStr">
        <is>
          <t>Online</t>
        </is>
      </c>
      <c r="K289" s="62">
        <f>F289*(G289-H289)</f>
        <v/>
      </c>
      <c r="L289" s="62">
        <f>K289-(F289*I289)</f>
        <v/>
      </c>
      <c r="M289" s="64">
        <f>L289/K289</f>
        <v/>
      </c>
    </row>
    <row r="290">
      <c r="A290" s="58" t="inlineStr">
        <is>
          <t>RT20250108-00289</t>
        </is>
      </c>
      <c r="B290" s="59" t="inlineStr">
        <is>
          <t>2025-01-08</t>
        </is>
      </c>
      <c r="C290" s="60" t="inlineStr">
        <is>
          <t>Solace Bedding Plus-317</t>
        </is>
      </c>
      <c r="D290" s="58" t="inlineStr">
        <is>
          <t>Home</t>
        </is>
      </c>
      <c r="E290" s="58" t="inlineStr">
        <is>
          <t>Central</t>
        </is>
      </c>
      <c r="F290" s="61" t="n">
        <v>2</v>
      </c>
      <c r="G290" s="62" t="n">
        <v>613.53</v>
      </c>
      <c r="H290" s="63" t="n">
        <v>0.083</v>
      </c>
      <c r="I290" s="62" t="n">
        <v>389.3</v>
      </c>
      <c r="J290" s="58" t="inlineStr">
        <is>
          <t>Online</t>
        </is>
      </c>
      <c r="K290" s="62">
        <f>F290*(G290-H290)</f>
        <v/>
      </c>
      <c r="L290" s="62">
        <f>K290-(F290*I290)</f>
        <v/>
      </c>
      <c r="M290" s="64">
        <f>L290/K290</f>
        <v/>
      </c>
    </row>
    <row r="291">
      <c r="A291" s="58" t="inlineStr">
        <is>
          <t>RT20250108-00290</t>
        </is>
      </c>
      <c r="B291" s="59" t="inlineStr">
        <is>
          <t>2025-01-08</t>
        </is>
      </c>
      <c r="C291" s="60" t="inlineStr">
        <is>
          <t>Aurora Wearable Lite-704</t>
        </is>
      </c>
      <c r="D291" s="58" t="inlineStr">
        <is>
          <t>Electronics</t>
        </is>
      </c>
      <c r="E291" s="58" t="inlineStr">
        <is>
          <t>South</t>
        </is>
      </c>
      <c r="F291" s="61" t="n">
        <v>2</v>
      </c>
      <c r="G291" s="62" t="n">
        <v>1881.37</v>
      </c>
      <c r="H291" s="63" t="n">
        <v>0.055</v>
      </c>
      <c r="I291" s="62" t="n">
        <v>1438.58</v>
      </c>
      <c r="J291" s="58" t="inlineStr">
        <is>
          <t>Store</t>
        </is>
      </c>
      <c r="K291" s="62">
        <f>F291*(G291-H291)</f>
        <v/>
      </c>
      <c r="L291" s="62">
        <f>K291-(F291*I291)</f>
        <v/>
      </c>
      <c r="M291" s="64">
        <f>L291/K291</f>
        <v/>
      </c>
    </row>
    <row r="292">
      <c r="A292" s="58" t="inlineStr">
        <is>
          <t>RT20250108-00291</t>
        </is>
      </c>
      <c r="B292" s="59" t="inlineStr">
        <is>
          <t>2025-01-08</t>
        </is>
      </c>
      <c r="C292" s="60" t="inlineStr">
        <is>
          <t>Falcon Beverage Max-702</t>
        </is>
      </c>
      <c r="D292" s="58" t="inlineStr">
        <is>
          <t>Grocery</t>
        </is>
      </c>
      <c r="E292" s="58" t="inlineStr">
        <is>
          <t>South</t>
        </is>
      </c>
      <c r="F292" s="61" t="n">
        <v>7</v>
      </c>
      <c r="G292" s="62" t="n">
        <v>30.09</v>
      </c>
      <c r="H292" s="63" t="n">
        <v>0.067</v>
      </c>
      <c r="I292" s="62" t="n">
        <v>20.5</v>
      </c>
      <c r="J292" s="58" t="inlineStr">
        <is>
          <t>Online</t>
        </is>
      </c>
      <c r="K292" s="62">
        <f>F292*(G292-H292)</f>
        <v/>
      </c>
      <c r="L292" s="62">
        <f>K292-(F292*I292)</f>
        <v/>
      </c>
      <c r="M292" s="64">
        <f>L292/K292</f>
        <v/>
      </c>
    </row>
    <row r="293">
      <c r="A293" s="58" t="inlineStr">
        <is>
          <t>RT20250108-00292</t>
        </is>
      </c>
      <c r="B293" s="59" t="inlineStr">
        <is>
          <t>2025-01-08</t>
        </is>
      </c>
      <c r="C293" s="60" t="inlineStr">
        <is>
          <t>Polar Outdoor X-193</t>
        </is>
      </c>
      <c r="D293" s="58" t="inlineStr">
        <is>
          <t>Sports</t>
        </is>
      </c>
      <c r="E293" s="58" t="inlineStr">
        <is>
          <t>Central</t>
        </is>
      </c>
      <c r="F293" s="61" t="n">
        <v>1</v>
      </c>
      <c r="G293" s="62" t="n">
        <v>771.3099999999999</v>
      </c>
      <c r="H293" s="63" t="n">
        <v>0.058</v>
      </c>
      <c r="I293" s="62" t="n">
        <v>454.02</v>
      </c>
      <c r="J293" s="58" t="inlineStr">
        <is>
          <t>Store</t>
        </is>
      </c>
      <c r="K293" s="62">
        <f>F293*(G293-H293)</f>
        <v/>
      </c>
      <c r="L293" s="62">
        <f>K293-(F293*I293)</f>
        <v/>
      </c>
      <c r="M293" s="64">
        <f>L293/K293</f>
        <v/>
      </c>
    </row>
    <row r="294">
      <c r="A294" s="58" t="inlineStr">
        <is>
          <t>RT20250108-00293</t>
        </is>
      </c>
      <c r="B294" s="59" t="inlineStr">
        <is>
          <t>2025-01-08</t>
        </is>
      </c>
      <c r="C294" s="60" t="inlineStr">
        <is>
          <t>Vertex Decor Pro-618</t>
        </is>
      </c>
      <c r="D294" s="58" t="inlineStr">
        <is>
          <t>Home</t>
        </is>
      </c>
      <c r="E294" s="58" t="inlineStr">
        <is>
          <t>East</t>
        </is>
      </c>
      <c r="F294" s="61" t="n">
        <v>1</v>
      </c>
      <c r="G294" s="62" t="n">
        <v>585</v>
      </c>
      <c r="H294" s="63" t="n">
        <v>0.064</v>
      </c>
      <c r="I294" s="62" t="n">
        <v>375.51</v>
      </c>
      <c r="J294" s="58" t="inlineStr">
        <is>
          <t>Store</t>
        </is>
      </c>
      <c r="K294" s="62">
        <f>F294*(G294-H294)</f>
        <v/>
      </c>
      <c r="L294" s="62">
        <f>K294-(F294*I294)</f>
        <v/>
      </c>
      <c r="M294" s="64">
        <f>L294/K294</f>
        <v/>
      </c>
    </row>
    <row r="295">
      <c r="A295" s="58" t="inlineStr">
        <is>
          <t>RT20250108-00294</t>
        </is>
      </c>
      <c r="B295" s="59" t="inlineStr">
        <is>
          <t>2025-01-08</t>
        </is>
      </c>
      <c r="C295" s="60" t="inlineStr">
        <is>
          <t>Aurora Appliance Lite-109</t>
        </is>
      </c>
      <c r="D295" s="58" t="inlineStr">
        <is>
          <t>Home</t>
        </is>
      </c>
      <c r="E295" s="58" t="inlineStr">
        <is>
          <t>West</t>
        </is>
      </c>
      <c r="F295" s="61" t="n">
        <v>1</v>
      </c>
      <c r="G295" s="62" t="n">
        <v>288.05</v>
      </c>
      <c r="H295" s="63" t="n">
        <v>0.07199999999999999</v>
      </c>
      <c r="I295" s="62" t="n">
        <v>207.46</v>
      </c>
      <c r="J295" s="58" t="inlineStr">
        <is>
          <t>Online</t>
        </is>
      </c>
      <c r="K295" s="62">
        <f>F295*(G295-H295)</f>
        <v/>
      </c>
      <c r="L295" s="62">
        <f>K295-(F295*I295)</f>
        <v/>
      </c>
      <c r="M295" s="64">
        <f>L295/K295</f>
        <v/>
      </c>
    </row>
    <row r="296">
      <c r="A296" s="58" t="inlineStr">
        <is>
          <t>RT20250108-00295</t>
        </is>
      </c>
      <c r="B296" s="59" t="inlineStr">
        <is>
          <t>2025-01-08</t>
        </is>
      </c>
      <c r="C296" s="60" t="inlineStr">
        <is>
          <t>Nimbus Women Lite-814</t>
        </is>
      </c>
      <c r="D296" s="58" t="inlineStr">
        <is>
          <t>Apparel</t>
        </is>
      </c>
      <c r="E296" s="58" t="inlineStr">
        <is>
          <t>East</t>
        </is>
      </c>
      <c r="F296" s="61" t="n">
        <v>4</v>
      </c>
      <c r="G296" s="62" t="n">
        <v>161.97</v>
      </c>
      <c r="H296" s="63" t="n">
        <v>0.051</v>
      </c>
      <c r="I296" s="62" t="n">
        <v>80.8</v>
      </c>
      <c r="J296" s="58" t="inlineStr">
        <is>
          <t>Phone</t>
        </is>
      </c>
      <c r="K296" s="62">
        <f>F296*(G296-H296)</f>
        <v/>
      </c>
      <c r="L296" s="62">
        <f>K296-(F296*I296)</f>
        <v/>
      </c>
      <c r="M296" s="64">
        <f>L296/K296</f>
        <v/>
      </c>
    </row>
    <row r="297">
      <c r="A297" s="58" t="inlineStr">
        <is>
          <t>RT20250108-00296</t>
        </is>
      </c>
      <c r="B297" s="59" t="inlineStr">
        <is>
          <t>2025-01-08</t>
        </is>
      </c>
      <c r="C297" s="60" t="inlineStr">
        <is>
          <t>Orion Fragrance Lite-785</t>
        </is>
      </c>
      <c r="D297" s="58" t="inlineStr">
        <is>
          <t>Beauty</t>
        </is>
      </c>
      <c r="E297" s="58" t="inlineStr">
        <is>
          <t>North</t>
        </is>
      </c>
      <c r="F297" s="61" t="n">
        <v>1</v>
      </c>
      <c r="G297" s="62" t="n">
        <v>47.35</v>
      </c>
      <c r="H297" s="63" t="n">
        <v>0.039</v>
      </c>
      <c r="I297" s="62" t="n">
        <v>27.34</v>
      </c>
      <c r="J297" s="58" t="inlineStr">
        <is>
          <t>Store</t>
        </is>
      </c>
      <c r="K297" s="62">
        <f>F297*(G297-H297)</f>
        <v/>
      </c>
      <c r="L297" s="62">
        <f>K297-(F297*I297)</f>
        <v/>
      </c>
      <c r="M297" s="64">
        <f>L297/K297</f>
        <v/>
      </c>
    </row>
    <row r="298">
      <c r="A298" s="58" t="inlineStr">
        <is>
          <t>RT20250108-00297</t>
        </is>
      </c>
      <c r="B298" s="59" t="inlineStr">
        <is>
          <t>2025-01-08</t>
        </is>
      </c>
      <c r="C298" s="60" t="inlineStr">
        <is>
          <t>Solace Snack S-691</t>
        </is>
      </c>
      <c r="D298" s="58" t="inlineStr">
        <is>
          <t>Grocery</t>
        </is>
      </c>
      <c r="E298" s="58" t="inlineStr">
        <is>
          <t>East</t>
        </is>
      </c>
      <c r="F298" s="61" t="n">
        <v>4</v>
      </c>
      <c r="G298" s="62" t="n">
        <v>10.74</v>
      </c>
      <c r="H298" s="63" t="n">
        <v>0.035</v>
      </c>
      <c r="I298" s="62" t="n">
        <v>7.33</v>
      </c>
      <c r="J298" s="58" t="inlineStr">
        <is>
          <t>Online</t>
        </is>
      </c>
      <c r="K298" s="62">
        <f>F298*(G298-H298)</f>
        <v/>
      </c>
      <c r="L298" s="62">
        <f>K298-(F298*I298)</f>
        <v/>
      </c>
      <c r="M298" s="64">
        <f>L298/K298</f>
        <v/>
      </c>
    </row>
    <row r="299">
      <c r="A299" s="58" t="inlineStr">
        <is>
          <t>RT20250108-00298</t>
        </is>
      </c>
      <c r="B299" s="59" t="inlineStr">
        <is>
          <t>2025-01-08</t>
        </is>
      </c>
      <c r="C299" s="60" t="inlineStr">
        <is>
          <t>Polar Decor Plus-505</t>
        </is>
      </c>
      <c r="D299" s="58" t="inlineStr">
        <is>
          <t>Home</t>
        </is>
      </c>
      <c r="E299" s="58" t="inlineStr">
        <is>
          <t>West</t>
        </is>
      </c>
      <c r="F299" s="61" t="n">
        <v>2</v>
      </c>
      <c r="G299" s="62" t="n">
        <v>332.81</v>
      </c>
      <c r="H299" s="63" t="n">
        <v>0.023</v>
      </c>
      <c r="I299" s="62" t="n">
        <v>203.18</v>
      </c>
      <c r="J299" s="58" t="inlineStr">
        <is>
          <t>Online</t>
        </is>
      </c>
      <c r="K299" s="62">
        <f>F299*(G299-H299)</f>
        <v/>
      </c>
      <c r="L299" s="62">
        <f>K299-(F299*I299)</f>
        <v/>
      </c>
      <c r="M299" s="64">
        <f>L299/K299</f>
        <v/>
      </c>
    </row>
    <row r="300">
      <c r="A300" s="58" t="inlineStr">
        <is>
          <t>RT20250108-00299</t>
        </is>
      </c>
      <c r="B300" s="59" t="inlineStr">
        <is>
          <t>2025-01-08</t>
        </is>
      </c>
      <c r="C300" s="60" t="inlineStr">
        <is>
          <t>Falcon Team Sport Lite-268</t>
        </is>
      </c>
      <c r="D300" s="58" t="inlineStr">
        <is>
          <t>Sports</t>
        </is>
      </c>
      <c r="E300" s="58" t="inlineStr">
        <is>
          <t>West</t>
        </is>
      </c>
      <c r="F300" s="61" t="n">
        <v>2</v>
      </c>
      <c r="G300" s="62" t="n">
        <v>758.5</v>
      </c>
      <c r="H300" s="63" t="n">
        <v>0.003</v>
      </c>
      <c r="I300" s="62" t="n">
        <v>442.73</v>
      </c>
      <c r="J300" s="58" t="inlineStr">
        <is>
          <t>Online</t>
        </is>
      </c>
      <c r="K300" s="62">
        <f>F300*(G300-H300)</f>
        <v/>
      </c>
      <c r="L300" s="62">
        <f>K300-(F300*I300)</f>
        <v/>
      </c>
      <c r="M300" s="64">
        <f>L300/K300</f>
        <v/>
      </c>
    </row>
    <row r="301">
      <c r="A301" s="58" t="inlineStr">
        <is>
          <t>RT20250108-00300</t>
        </is>
      </c>
      <c r="B301" s="59" t="inlineStr">
        <is>
          <t>2025-01-08</t>
        </is>
      </c>
      <c r="C301" s="60" t="inlineStr">
        <is>
          <t>Polar Men Pro-246</t>
        </is>
      </c>
      <c r="D301" s="58" t="inlineStr">
        <is>
          <t>Apparel</t>
        </is>
      </c>
      <c r="E301" s="58" t="inlineStr">
        <is>
          <t>West</t>
        </is>
      </c>
      <c r="F301" s="61" t="n">
        <v>3</v>
      </c>
      <c r="G301" s="62" t="n">
        <v>127.1</v>
      </c>
      <c r="H301" s="63" t="n">
        <v>0.041</v>
      </c>
      <c r="I301" s="62" t="n">
        <v>75.7</v>
      </c>
      <c r="J301" s="58" t="inlineStr">
        <is>
          <t>Online</t>
        </is>
      </c>
      <c r="K301" s="62">
        <f>F301*(G301-H301)</f>
        <v/>
      </c>
      <c r="L301" s="62">
        <f>K301-(F301*I301)</f>
        <v/>
      </c>
      <c r="M301" s="64">
        <f>L301/K301</f>
        <v/>
      </c>
    </row>
    <row r="302">
      <c r="A302" s="58" t="inlineStr">
        <is>
          <t>RT20250108-00301</t>
        </is>
      </c>
      <c r="B302" s="59" t="inlineStr">
        <is>
          <t>2025-01-08</t>
        </is>
      </c>
      <c r="C302" s="60" t="inlineStr">
        <is>
          <t>Vertex Pantry Pro-165</t>
        </is>
      </c>
      <c r="D302" s="58" t="inlineStr">
        <is>
          <t>Grocery</t>
        </is>
      </c>
      <c r="E302" s="58" t="inlineStr">
        <is>
          <t>East</t>
        </is>
      </c>
      <c r="F302" s="61" t="n">
        <v>6</v>
      </c>
      <c r="G302" s="62" t="n">
        <v>14.93</v>
      </c>
      <c r="H302" s="63" t="n">
        <v>0.065</v>
      </c>
      <c r="I302" s="62" t="n">
        <v>11.96</v>
      </c>
      <c r="J302" s="58" t="inlineStr">
        <is>
          <t>Online</t>
        </is>
      </c>
      <c r="K302" s="62">
        <f>F302*(G302-H302)</f>
        <v/>
      </c>
      <c r="L302" s="62">
        <f>K302-(F302*I302)</f>
        <v/>
      </c>
      <c r="M302" s="64">
        <f>L302/K302</f>
        <v/>
      </c>
    </row>
    <row r="303">
      <c r="A303" s="58" t="inlineStr">
        <is>
          <t>RT20250108-00302</t>
        </is>
      </c>
      <c r="B303" s="59" t="inlineStr">
        <is>
          <t>2025-01-08</t>
        </is>
      </c>
      <c r="C303" s="60" t="inlineStr">
        <is>
          <t>Polar Decor X-935</t>
        </is>
      </c>
      <c r="D303" s="58" t="inlineStr">
        <is>
          <t>Home</t>
        </is>
      </c>
      <c r="E303" s="58" t="inlineStr">
        <is>
          <t>Central</t>
        </is>
      </c>
      <c r="F303" s="61" t="n">
        <v>3</v>
      </c>
      <c r="G303" s="62" t="n">
        <v>325.1</v>
      </c>
      <c r="H303" s="63" t="n">
        <v>0.08799999999999999</v>
      </c>
      <c r="I303" s="62" t="n">
        <v>202.19</v>
      </c>
      <c r="J303" s="58" t="inlineStr">
        <is>
          <t>Online</t>
        </is>
      </c>
      <c r="K303" s="62">
        <f>F303*(G303-H303)</f>
        <v/>
      </c>
      <c r="L303" s="62">
        <f>K303-(F303*I303)</f>
        <v/>
      </c>
      <c r="M303" s="64">
        <f>L303/K303</f>
        <v/>
      </c>
    </row>
    <row r="304">
      <c r="A304" s="58" t="inlineStr">
        <is>
          <t>RT20250108-00303</t>
        </is>
      </c>
      <c r="B304" s="59" t="inlineStr">
        <is>
          <t>2025-01-08</t>
        </is>
      </c>
      <c r="C304" s="60" t="inlineStr">
        <is>
          <t>Orion Kid Max-864</t>
        </is>
      </c>
      <c r="D304" s="58" t="inlineStr">
        <is>
          <t>Apparel</t>
        </is>
      </c>
      <c r="E304" s="58" t="inlineStr">
        <is>
          <t>East</t>
        </is>
      </c>
      <c r="F304" s="61" t="n">
        <v>1</v>
      </c>
      <c r="G304" s="62" t="n">
        <v>86.05</v>
      </c>
      <c r="H304" s="63" t="n">
        <v>0.109</v>
      </c>
      <c r="I304" s="62" t="n">
        <v>46.2</v>
      </c>
      <c r="J304" s="58" t="inlineStr">
        <is>
          <t>Store</t>
        </is>
      </c>
      <c r="K304" s="62">
        <f>F304*(G304-H304)</f>
        <v/>
      </c>
      <c r="L304" s="62">
        <f>K304-(F304*I304)</f>
        <v/>
      </c>
      <c r="M304" s="64">
        <f>L304/K304</f>
        <v/>
      </c>
    </row>
    <row r="305">
      <c r="A305" s="58" t="inlineStr">
        <is>
          <t>RT20250108-00304</t>
        </is>
      </c>
      <c r="B305" s="59" t="inlineStr">
        <is>
          <t>2025-01-08</t>
        </is>
      </c>
      <c r="C305" s="60" t="inlineStr">
        <is>
          <t>Vertex Supplie X-513</t>
        </is>
      </c>
      <c r="D305" s="58" t="inlineStr">
        <is>
          <t>Office</t>
        </is>
      </c>
      <c r="E305" s="58" t="inlineStr">
        <is>
          <t>West</t>
        </is>
      </c>
      <c r="F305" s="61" t="n">
        <v>1</v>
      </c>
      <c r="G305" s="62" t="n">
        <v>370.7</v>
      </c>
      <c r="H305" s="63" t="n">
        <v>0.039</v>
      </c>
      <c r="I305" s="62" t="n">
        <v>281.4</v>
      </c>
      <c r="J305" s="58" t="inlineStr">
        <is>
          <t>Store</t>
        </is>
      </c>
      <c r="K305" s="62">
        <f>F305*(G305-H305)</f>
        <v/>
      </c>
      <c r="L305" s="62">
        <f>K305-(F305*I305)</f>
        <v/>
      </c>
      <c r="M305" s="64">
        <f>L305/K305</f>
        <v/>
      </c>
    </row>
    <row r="306">
      <c r="A306" s="58" t="inlineStr">
        <is>
          <t>RT20250108-00305</t>
        </is>
      </c>
      <c r="B306" s="59" t="inlineStr">
        <is>
          <t>2025-01-08</t>
        </is>
      </c>
      <c r="C306" s="60" t="inlineStr">
        <is>
          <t>Metro Accessorie Max-316</t>
        </is>
      </c>
      <c r="D306" s="58" t="inlineStr">
        <is>
          <t>Apparel</t>
        </is>
      </c>
      <c r="E306" s="58" t="inlineStr">
        <is>
          <t>West</t>
        </is>
      </c>
      <c r="F306" s="61" t="n">
        <v>1</v>
      </c>
      <c r="G306" s="62" t="n">
        <v>159.66</v>
      </c>
      <c r="H306" s="63" t="n">
        <v>0.061</v>
      </c>
      <c r="I306" s="62" t="n">
        <v>90.48999999999999</v>
      </c>
      <c r="J306" s="58" t="inlineStr">
        <is>
          <t>Store</t>
        </is>
      </c>
      <c r="K306" s="62">
        <f>F306*(G306-H306)</f>
        <v/>
      </c>
      <c r="L306" s="62">
        <f>K306-(F306*I306)</f>
        <v/>
      </c>
      <c r="M306" s="64">
        <f>L306/K306</f>
        <v/>
      </c>
    </row>
    <row r="307">
      <c r="A307" s="58" t="inlineStr">
        <is>
          <t>RT20250108-00306</t>
        </is>
      </c>
      <c r="B307" s="59" t="inlineStr">
        <is>
          <t>2025-01-08</t>
        </is>
      </c>
      <c r="C307" s="60" t="inlineStr">
        <is>
          <t>Aurora Printer Plus-723</t>
        </is>
      </c>
      <c r="D307" s="58" t="inlineStr">
        <is>
          <t>Office</t>
        </is>
      </c>
      <c r="E307" s="58" t="inlineStr">
        <is>
          <t>East</t>
        </is>
      </c>
      <c r="F307" s="61" t="n">
        <v>1</v>
      </c>
      <c r="G307" s="62" t="n">
        <v>281.93</v>
      </c>
      <c r="H307" s="63" t="n">
        <v>0.013</v>
      </c>
      <c r="I307" s="62" t="n">
        <v>186.18</v>
      </c>
      <c r="J307" s="58" t="inlineStr">
        <is>
          <t>Store</t>
        </is>
      </c>
      <c r="K307" s="62">
        <f>F307*(G307-H307)</f>
        <v/>
      </c>
      <c r="L307" s="62">
        <f>K307-(F307*I307)</f>
        <v/>
      </c>
      <c r="M307" s="64">
        <f>L307/K307</f>
        <v/>
      </c>
    </row>
    <row r="308">
      <c r="A308" s="58" t="inlineStr">
        <is>
          <t>RT20250108-00307</t>
        </is>
      </c>
      <c r="B308" s="59" t="inlineStr">
        <is>
          <t>2025-01-08</t>
        </is>
      </c>
      <c r="C308" s="60" t="inlineStr">
        <is>
          <t>Nimbus Cycling Plus-911</t>
        </is>
      </c>
      <c r="D308" s="58" t="inlineStr">
        <is>
          <t>Sports</t>
        </is>
      </c>
      <c r="E308" s="58" t="inlineStr">
        <is>
          <t>West</t>
        </is>
      </c>
      <c r="F308" s="61" t="n">
        <v>1</v>
      </c>
      <c r="G308" s="62" t="n">
        <v>554.08</v>
      </c>
      <c r="H308" s="63" t="n">
        <v>0.054</v>
      </c>
      <c r="I308" s="62" t="n">
        <v>406.07</v>
      </c>
      <c r="J308" s="58" t="inlineStr">
        <is>
          <t>Store</t>
        </is>
      </c>
      <c r="K308" s="62">
        <f>F308*(G308-H308)</f>
        <v/>
      </c>
      <c r="L308" s="62">
        <f>K308-(F308*I308)</f>
        <v/>
      </c>
      <c r="M308" s="64">
        <f>L308/K308</f>
        <v/>
      </c>
    </row>
    <row r="309">
      <c r="A309" s="58" t="inlineStr">
        <is>
          <t>RT20250108-00308</t>
        </is>
      </c>
      <c r="B309" s="59" t="inlineStr">
        <is>
          <t>2025-01-08</t>
        </is>
      </c>
      <c r="C309" s="60" t="inlineStr">
        <is>
          <t>Nimbus Cycling Plus-911</t>
        </is>
      </c>
      <c r="D309" s="58" t="inlineStr">
        <is>
          <t>Sports</t>
        </is>
      </c>
      <c r="E309" s="58" t="inlineStr">
        <is>
          <t>South</t>
        </is>
      </c>
      <c r="F309" s="61" t="n">
        <v>2</v>
      </c>
      <c r="G309" s="62" t="n">
        <v>505.22</v>
      </c>
      <c r="H309" s="63" t="n">
        <v>0.041</v>
      </c>
      <c r="I309" s="62" t="n">
        <v>393.42</v>
      </c>
      <c r="J309" s="58" t="inlineStr">
        <is>
          <t>Online</t>
        </is>
      </c>
      <c r="K309" s="62">
        <f>F309*(G309-H309)</f>
        <v/>
      </c>
      <c r="L309" s="62">
        <f>K309-(F309*I309)</f>
        <v/>
      </c>
      <c r="M309" s="64">
        <f>L309/K309</f>
        <v/>
      </c>
    </row>
    <row r="310">
      <c r="A310" s="58" t="inlineStr">
        <is>
          <t>RT20250108-00309</t>
        </is>
      </c>
      <c r="B310" s="59" t="inlineStr">
        <is>
          <t>2025-01-08</t>
        </is>
      </c>
      <c r="C310" s="60" t="inlineStr">
        <is>
          <t>Nimbus Laptop Max-652</t>
        </is>
      </c>
      <c r="D310" s="58" t="inlineStr">
        <is>
          <t>Electronics</t>
        </is>
      </c>
      <c r="E310" s="58" t="inlineStr">
        <is>
          <t>West</t>
        </is>
      </c>
      <c r="F310" s="61" t="n">
        <v>2</v>
      </c>
      <c r="G310" s="62" t="n">
        <v>1317.59</v>
      </c>
      <c r="H310" s="63" t="n">
        <v>0.07099999999999999</v>
      </c>
      <c r="I310" s="62" t="n">
        <v>1026.88</v>
      </c>
      <c r="J310" s="58" t="inlineStr">
        <is>
          <t>Online</t>
        </is>
      </c>
      <c r="K310" s="62">
        <f>F310*(G310-H310)</f>
        <v/>
      </c>
      <c r="L310" s="62">
        <f>K310-(F310*I310)</f>
        <v/>
      </c>
      <c r="M310" s="64">
        <f>L310/K310</f>
        <v/>
      </c>
    </row>
    <row r="311">
      <c r="A311" s="58" t="inlineStr">
        <is>
          <t>RT20250108-00310</t>
        </is>
      </c>
      <c r="B311" s="59" t="inlineStr">
        <is>
          <t>2025-01-08</t>
        </is>
      </c>
      <c r="C311" s="60" t="inlineStr">
        <is>
          <t>Aurora Printer Plus-991</t>
        </is>
      </c>
      <c r="D311" s="58" t="inlineStr">
        <is>
          <t>Office</t>
        </is>
      </c>
      <c r="E311" s="58" t="inlineStr">
        <is>
          <t>East</t>
        </is>
      </c>
      <c r="F311" s="61" t="n">
        <v>2</v>
      </c>
      <c r="G311" s="62" t="n">
        <v>525.95</v>
      </c>
      <c r="H311" s="63" t="n">
        <v>0.033</v>
      </c>
      <c r="I311" s="62" t="n">
        <v>367.22</v>
      </c>
      <c r="J311" s="58" t="inlineStr">
        <is>
          <t>Phone</t>
        </is>
      </c>
      <c r="K311" s="62">
        <f>F311*(G311-H311)</f>
        <v/>
      </c>
      <c r="L311" s="62">
        <f>K311-(F311*I311)</f>
        <v/>
      </c>
      <c r="M311" s="64">
        <f>L311/K311</f>
        <v/>
      </c>
    </row>
    <row r="312">
      <c r="A312" s="58" t="inlineStr">
        <is>
          <t>RT20250108-00311</t>
        </is>
      </c>
      <c r="B312" s="59" t="inlineStr">
        <is>
          <t>2025-01-08</t>
        </is>
      </c>
      <c r="C312" s="60" t="inlineStr">
        <is>
          <t>Metro Pantry Max-180</t>
        </is>
      </c>
      <c r="D312" s="58" t="inlineStr">
        <is>
          <t>Grocery</t>
        </is>
      </c>
      <c r="E312" s="58" t="inlineStr">
        <is>
          <t>South</t>
        </is>
      </c>
      <c r="F312" s="61" t="n">
        <v>8</v>
      </c>
      <c r="G312" s="62" t="n">
        <v>9.470000000000001</v>
      </c>
      <c r="H312" s="63" t="n">
        <v>0.078</v>
      </c>
      <c r="I312" s="62" t="n">
        <v>6.48</v>
      </c>
      <c r="J312" s="58" t="inlineStr">
        <is>
          <t>Online</t>
        </is>
      </c>
      <c r="K312" s="62">
        <f>F312*(G312-H312)</f>
        <v/>
      </c>
      <c r="L312" s="62">
        <f>K312-(F312*I312)</f>
        <v/>
      </c>
      <c r="M312" s="64">
        <f>L312/K312</f>
        <v/>
      </c>
    </row>
    <row r="313">
      <c r="A313" s="58" t="inlineStr">
        <is>
          <t>RT20250108-00312</t>
        </is>
      </c>
      <c r="B313" s="59" t="inlineStr">
        <is>
          <t>2025-01-08</t>
        </is>
      </c>
      <c r="C313" s="60" t="inlineStr">
        <is>
          <t>Aurora Furniture X-709</t>
        </is>
      </c>
      <c r="D313" s="58" t="inlineStr">
        <is>
          <t>Office</t>
        </is>
      </c>
      <c r="E313" s="58" t="inlineStr">
        <is>
          <t>South</t>
        </is>
      </c>
      <c r="F313" s="61" t="n">
        <v>3</v>
      </c>
      <c r="G313" s="62" t="n">
        <v>408.24</v>
      </c>
      <c r="H313" s="63" t="n">
        <v>0.051</v>
      </c>
      <c r="I313" s="62" t="n">
        <v>298.67</v>
      </c>
      <c r="J313" s="58" t="inlineStr">
        <is>
          <t>Store</t>
        </is>
      </c>
      <c r="K313" s="62">
        <f>F313*(G313-H313)</f>
        <v/>
      </c>
      <c r="L313" s="62">
        <f>K313-(F313*I313)</f>
        <v/>
      </c>
      <c r="M313" s="64">
        <f>L313/K313</f>
        <v/>
      </c>
    </row>
    <row r="314">
      <c r="A314" s="58" t="inlineStr">
        <is>
          <t>RT20250108-00313</t>
        </is>
      </c>
      <c r="B314" s="59" t="inlineStr">
        <is>
          <t>2025-01-08</t>
        </is>
      </c>
      <c r="C314" s="60" t="inlineStr">
        <is>
          <t>Falcon Household Pro-865</t>
        </is>
      </c>
      <c r="D314" s="58" t="inlineStr">
        <is>
          <t>Grocery</t>
        </is>
      </c>
      <c r="E314" s="58" t="inlineStr">
        <is>
          <t>West</t>
        </is>
      </c>
      <c r="F314" s="61" t="n">
        <v>8</v>
      </c>
      <c r="G314" s="62" t="n">
        <v>11.12</v>
      </c>
      <c r="H314" s="63" t="n">
        <v>0.064</v>
      </c>
      <c r="I314" s="62" t="n">
        <v>7.72</v>
      </c>
      <c r="J314" s="58" t="inlineStr">
        <is>
          <t>Online</t>
        </is>
      </c>
      <c r="K314" s="62">
        <f>F314*(G314-H314)</f>
        <v/>
      </c>
      <c r="L314" s="62">
        <f>K314-(F314*I314)</f>
        <v/>
      </c>
      <c r="M314" s="64">
        <f>L314/K314</f>
        <v/>
      </c>
    </row>
    <row r="315">
      <c r="A315" s="58" t="inlineStr">
        <is>
          <t>RT20250108-00314</t>
        </is>
      </c>
      <c r="B315" s="59" t="inlineStr">
        <is>
          <t>2025-01-08</t>
        </is>
      </c>
      <c r="C315" s="60" t="inlineStr">
        <is>
          <t>Metro Outdoor Plus-787</t>
        </is>
      </c>
      <c r="D315" s="58" t="inlineStr">
        <is>
          <t>Sports</t>
        </is>
      </c>
      <c r="E315" s="58" t="inlineStr">
        <is>
          <t>South</t>
        </is>
      </c>
      <c r="F315" s="61" t="n">
        <v>2</v>
      </c>
      <c r="G315" s="62" t="n">
        <v>550.5700000000001</v>
      </c>
      <c r="H315" s="63" t="n">
        <v>0.051</v>
      </c>
      <c r="I315" s="62" t="n">
        <v>359.55</v>
      </c>
      <c r="J315" s="58" t="inlineStr">
        <is>
          <t>Store</t>
        </is>
      </c>
      <c r="K315" s="62">
        <f>F315*(G315-H315)</f>
        <v/>
      </c>
      <c r="L315" s="62">
        <f>K315-(F315*I315)</f>
        <v/>
      </c>
      <c r="M315" s="64">
        <f>L315/K315</f>
        <v/>
      </c>
    </row>
    <row r="316">
      <c r="A316" s="58" t="inlineStr">
        <is>
          <t>RT20250108-00315</t>
        </is>
      </c>
      <c r="B316" s="59" t="inlineStr">
        <is>
          <t>2025-01-08</t>
        </is>
      </c>
      <c r="C316" s="60" t="inlineStr">
        <is>
          <t>Polar Cycling X-649</t>
        </is>
      </c>
      <c r="D316" s="58" t="inlineStr">
        <is>
          <t>Sports</t>
        </is>
      </c>
      <c r="E316" s="58" t="inlineStr">
        <is>
          <t>East</t>
        </is>
      </c>
      <c r="F316" s="61" t="n">
        <v>2</v>
      </c>
      <c r="G316" s="62" t="n">
        <v>526.5599999999999</v>
      </c>
      <c r="H316" s="63" t="n">
        <v>0.048</v>
      </c>
      <c r="I316" s="62" t="n">
        <v>365.62</v>
      </c>
      <c r="J316" s="58" t="inlineStr">
        <is>
          <t>Online</t>
        </is>
      </c>
      <c r="K316" s="62">
        <f>F316*(G316-H316)</f>
        <v/>
      </c>
      <c r="L316" s="62">
        <f>K316-(F316*I316)</f>
        <v/>
      </c>
      <c r="M316" s="64">
        <f>L316/K316</f>
        <v/>
      </c>
    </row>
    <row r="317">
      <c r="A317" s="58" t="inlineStr">
        <is>
          <t>RT20250108-00316</t>
        </is>
      </c>
      <c r="B317" s="59" t="inlineStr">
        <is>
          <t>2025-01-08</t>
        </is>
      </c>
      <c r="C317" s="60" t="inlineStr">
        <is>
          <t>Falcon Skincare Max-151</t>
        </is>
      </c>
      <c r="D317" s="58" t="inlineStr">
        <is>
          <t>Beauty</t>
        </is>
      </c>
      <c r="E317" s="58" t="inlineStr">
        <is>
          <t>West</t>
        </is>
      </c>
      <c r="F317" s="61" t="n">
        <v>5</v>
      </c>
      <c r="G317" s="62" t="n">
        <v>87.05</v>
      </c>
      <c r="H317" s="63" t="n">
        <v>0.038</v>
      </c>
      <c r="I317" s="62" t="n">
        <v>59.32</v>
      </c>
      <c r="J317" s="58" t="inlineStr">
        <is>
          <t>Online</t>
        </is>
      </c>
      <c r="K317" s="62">
        <f>F317*(G317-H317)</f>
        <v/>
      </c>
      <c r="L317" s="62">
        <f>K317-(F317*I317)</f>
        <v/>
      </c>
      <c r="M317" s="64">
        <f>L317/K317</f>
        <v/>
      </c>
    </row>
    <row r="318">
      <c r="A318" s="58" t="inlineStr">
        <is>
          <t>RT20250108-00317</t>
        </is>
      </c>
      <c r="B318" s="59" t="inlineStr">
        <is>
          <t>2025-01-08</t>
        </is>
      </c>
      <c r="C318" s="60" t="inlineStr">
        <is>
          <t>Orion Kid Max-640</t>
        </is>
      </c>
      <c r="D318" s="58" t="inlineStr">
        <is>
          <t>Apparel</t>
        </is>
      </c>
      <c r="E318" s="58" t="inlineStr">
        <is>
          <t>Central</t>
        </is>
      </c>
      <c r="F318" s="61" t="n">
        <v>4</v>
      </c>
      <c r="G318" s="62" t="n">
        <v>125.59</v>
      </c>
      <c r="H318" s="63" t="n">
        <v>0.057</v>
      </c>
      <c r="I318" s="62" t="n">
        <v>68.90000000000001</v>
      </c>
      <c r="J318" s="58" t="inlineStr">
        <is>
          <t>Online</t>
        </is>
      </c>
      <c r="K318" s="62">
        <f>F318*(G318-H318)</f>
        <v/>
      </c>
      <c r="L318" s="62">
        <f>K318-(F318*I318)</f>
        <v/>
      </c>
      <c r="M318" s="64">
        <f>L318/K318</f>
        <v/>
      </c>
    </row>
    <row r="319">
      <c r="A319" s="58" t="inlineStr">
        <is>
          <t>RT20250108-00318</t>
        </is>
      </c>
      <c r="B319" s="59" t="inlineStr">
        <is>
          <t>2025-01-08</t>
        </is>
      </c>
      <c r="C319" s="60" t="inlineStr">
        <is>
          <t>Vertex Appliance Max-338</t>
        </is>
      </c>
      <c r="D319" s="58" t="inlineStr">
        <is>
          <t>Home</t>
        </is>
      </c>
      <c r="E319" s="58" t="inlineStr">
        <is>
          <t>South</t>
        </is>
      </c>
      <c r="F319" s="61" t="n">
        <v>3</v>
      </c>
      <c r="G319" s="62" t="n">
        <v>426.71</v>
      </c>
      <c r="H319" s="63" t="n">
        <v>0.102</v>
      </c>
      <c r="I319" s="62" t="n">
        <v>287.43</v>
      </c>
      <c r="J319" s="58" t="inlineStr">
        <is>
          <t>Online</t>
        </is>
      </c>
      <c r="K319" s="62">
        <f>F319*(G319-H319)</f>
        <v/>
      </c>
      <c r="L319" s="62">
        <f>K319-(F319*I319)</f>
        <v/>
      </c>
      <c r="M319" s="64">
        <f>L319/K319</f>
        <v/>
      </c>
    </row>
    <row r="320">
      <c r="A320" s="58" t="inlineStr">
        <is>
          <t>RT20250108-00319</t>
        </is>
      </c>
      <c r="B320" s="59" t="inlineStr">
        <is>
          <t>2025-01-08</t>
        </is>
      </c>
      <c r="C320" s="60" t="inlineStr">
        <is>
          <t>Metro Wearable Plus-234</t>
        </is>
      </c>
      <c r="D320" s="58" t="inlineStr">
        <is>
          <t>Electronics</t>
        </is>
      </c>
      <c r="E320" s="58" t="inlineStr">
        <is>
          <t>East</t>
        </is>
      </c>
      <c r="F320" s="61" t="n">
        <v>2</v>
      </c>
      <c r="G320" s="62" t="n">
        <v>1274.23</v>
      </c>
      <c r="H320" s="63" t="n">
        <v>0.061</v>
      </c>
      <c r="I320" s="62" t="n">
        <v>1161.66</v>
      </c>
      <c r="J320" s="58" t="inlineStr">
        <is>
          <t>Store</t>
        </is>
      </c>
      <c r="K320" s="62">
        <f>F320*(G320-H320)</f>
        <v/>
      </c>
      <c r="L320" s="62">
        <f>K320-(F320*I320)</f>
        <v/>
      </c>
      <c r="M320" s="64">
        <f>L320/K320</f>
        <v/>
      </c>
    </row>
    <row r="321">
      <c r="A321" s="58" t="inlineStr">
        <is>
          <t>RT20250108-00320</t>
        </is>
      </c>
      <c r="B321" s="59" t="inlineStr">
        <is>
          <t>2025-01-08</t>
        </is>
      </c>
      <c r="C321" s="60" t="inlineStr">
        <is>
          <t>Metro Pantry X-710</t>
        </is>
      </c>
      <c r="D321" s="58" t="inlineStr">
        <is>
          <t>Grocery</t>
        </is>
      </c>
      <c r="E321" s="58" t="inlineStr">
        <is>
          <t>North</t>
        </is>
      </c>
      <c r="F321" s="61" t="n">
        <v>3</v>
      </c>
      <c r="G321" s="62" t="n">
        <v>5.89</v>
      </c>
      <c r="H321" s="63" t="n">
        <v>0.12</v>
      </c>
      <c r="I321" s="62" t="n">
        <v>4.15</v>
      </c>
      <c r="J321" s="58" t="inlineStr">
        <is>
          <t>Phone</t>
        </is>
      </c>
      <c r="K321" s="62">
        <f>F321*(G321-H321)</f>
        <v/>
      </c>
      <c r="L321" s="62">
        <f>K321-(F321*I321)</f>
        <v/>
      </c>
      <c r="M321" s="64">
        <f>L321/K321</f>
        <v/>
      </c>
    </row>
    <row r="322">
      <c r="A322" s="58" t="inlineStr">
        <is>
          <t>RT20250108-00321</t>
        </is>
      </c>
      <c r="B322" s="59" t="inlineStr">
        <is>
          <t>2025-01-08</t>
        </is>
      </c>
      <c r="C322" s="60" t="inlineStr">
        <is>
          <t>Orion Kid Max-640</t>
        </is>
      </c>
      <c r="D322" s="58" t="inlineStr">
        <is>
          <t>Apparel</t>
        </is>
      </c>
      <c r="E322" s="58" t="inlineStr">
        <is>
          <t>South</t>
        </is>
      </c>
      <c r="F322" s="61" t="n">
        <v>4</v>
      </c>
      <c r="G322" s="62" t="n">
        <v>134.05</v>
      </c>
      <c r="H322" s="63" t="n">
        <v>0.044</v>
      </c>
      <c r="I322" s="62" t="n">
        <v>71.69</v>
      </c>
      <c r="J322" s="58" t="inlineStr">
        <is>
          <t>Store</t>
        </is>
      </c>
      <c r="K322" s="62">
        <f>F322*(G322-H322)</f>
        <v/>
      </c>
      <c r="L322" s="62">
        <f>K322-(F322*I322)</f>
        <v/>
      </c>
      <c r="M322" s="64">
        <f>L322/K322</f>
        <v/>
      </c>
    </row>
    <row r="323">
      <c r="A323" s="58" t="inlineStr">
        <is>
          <t>RT20250108-00322</t>
        </is>
      </c>
      <c r="B323" s="59" t="inlineStr">
        <is>
          <t>2025-01-08</t>
        </is>
      </c>
      <c r="C323" s="60" t="inlineStr">
        <is>
          <t>Solace Bedding Plus-317</t>
        </is>
      </c>
      <c r="D323" s="58" t="inlineStr">
        <is>
          <t>Home</t>
        </is>
      </c>
      <c r="E323" s="58" t="inlineStr">
        <is>
          <t>South</t>
        </is>
      </c>
      <c r="F323" s="61" t="n">
        <v>2</v>
      </c>
      <c r="G323" s="62" t="n">
        <v>559.0700000000001</v>
      </c>
      <c r="H323" s="63" t="n">
        <v>0.044</v>
      </c>
      <c r="I323" s="62" t="n">
        <v>373.82</v>
      </c>
      <c r="J323" s="58" t="inlineStr">
        <is>
          <t>Store</t>
        </is>
      </c>
      <c r="K323" s="62">
        <f>F323*(G323-H323)</f>
        <v/>
      </c>
      <c r="L323" s="62">
        <f>K323-(F323*I323)</f>
        <v/>
      </c>
      <c r="M323" s="64">
        <f>L323/K323</f>
        <v/>
      </c>
    </row>
    <row r="324">
      <c r="A324" s="58" t="inlineStr">
        <is>
          <t>RT20250108-00323</t>
        </is>
      </c>
      <c r="B324" s="59" t="inlineStr">
        <is>
          <t>2025-01-08</t>
        </is>
      </c>
      <c r="C324" s="60" t="inlineStr">
        <is>
          <t>Polar Supplie Lite-348</t>
        </is>
      </c>
      <c r="D324" s="58" t="inlineStr">
        <is>
          <t>Office</t>
        </is>
      </c>
      <c r="E324" s="58" t="inlineStr">
        <is>
          <t>North</t>
        </is>
      </c>
      <c r="F324" s="61" t="n">
        <v>2</v>
      </c>
      <c r="G324" s="62" t="n">
        <v>428.63</v>
      </c>
      <c r="H324" s="63" t="n">
        <v>0.066</v>
      </c>
      <c r="I324" s="62" t="n">
        <v>309.18</v>
      </c>
      <c r="J324" s="58" t="inlineStr">
        <is>
          <t>Online</t>
        </is>
      </c>
      <c r="K324" s="62">
        <f>F324*(G324-H324)</f>
        <v/>
      </c>
      <c r="L324" s="62">
        <f>K324-(F324*I324)</f>
        <v/>
      </c>
      <c r="M324" s="64">
        <f>L324/K324</f>
        <v/>
      </c>
    </row>
    <row r="325">
      <c r="A325" s="58" t="inlineStr">
        <is>
          <t>RT20250108-00324</t>
        </is>
      </c>
      <c r="B325" s="59" t="inlineStr">
        <is>
          <t>2025-01-08</t>
        </is>
      </c>
      <c r="C325" s="60" t="inlineStr">
        <is>
          <t>Polar Decor Plus-505</t>
        </is>
      </c>
      <c r="D325" s="58" t="inlineStr">
        <is>
          <t>Home</t>
        </is>
      </c>
      <c r="E325" s="58" t="inlineStr">
        <is>
          <t>North</t>
        </is>
      </c>
      <c r="F325" s="61" t="n">
        <v>3</v>
      </c>
      <c r="G325" s="62" t="n">
        <v>337.78</v>
      </c>
      <c r="H325" s="63" t="n">
        <v>0.051</v>
      </c>
      <c r="I325" s="62" t="n">
        <v>196.18</v>
      </c>
      <c r="J325" s="58" t="inlineStr">
        <is>
          <t>Online</t>
        </is>
      </c>
      <c r="K325" s="62">
        <f>F325*(G325-H325)</f>
        <v/>
      </c>
      <c r="L325" s="62">
        <f>K325-(F325*I325)</f>
        <v/>
      </c>
      <c r="M325" s="64">
        <f>L325/K325</f>
        <v/>
      </c>
    </row>
    <row r="326">
      <c r="A326" s="58" t="inlineStr">
        <is>
          <t>RT20250108-00325</t>
        </is>
      </c>
      <c r="B326" s="59" t="inlineStr">
        <is>
          <t>2025-01-08</t>
        </is>
      </c>
      <c r="C326" s="60" t="inlineStr">
        <is>
          <t>Metro Fragrance Lite-261</t>
        </is>
      </c>
      <c r="D326" s="58" t="inlineStr">
        <is>
          <t>Beauty</t>
        </is>
      </c>
      <c r="E326" s="58" t="inlineStr">
        <is>
          <t>East</t>
        </is>
      </c>
      <c r="F326" s="61" t="n">
        <v>3</v>
      </c>
      <c r="G326" s="62" t="n">
        <v>83.89</v>
      </c>
      <c r="H326" s="63" t="n">
        <v>0.07099999999999999</v>
      </c>
      <c r="I326" s="62" t="n">
        <v>55.46</v>
      </c>
      <c r="J326" s="58" t="inlineStr">
        <is>
          <t>Online</t>
        </is>
      </c>
      <c r="K326" s="62">
        <f>F326*(G326-H326)</f>
        <v/>
      </c>
      <c r="L326" s="62">
        <f>K326-(F326*I326)</f>
        <v/>
      </c>
      <c r="M326" s="64">
        <f>L326/K326</f>
        <v/>
      </c>
    </row>
    <row r="327">
      <c r="A327" s="58" t="inlineStr">
        <is>
          <t>RT20250108-00326</t>
        </is>
      </c>
      <c r="B327" s="59" t="inlineStr">
        <is>
          <t>2025-01-08</t>
        </is>
      </c>
      <c r="C327" s="60" t="inlineStr">
        <is>
          <t>Metro Accessorie Max-316</t>
        </is>
      </c>
      <c r="D327" s="58" t="inlineStr">
        <is>
          <t>Apparel</t>
        </is>
      </c>
      <c r="E327" s="58" t="inlineStr">
        <is>
          <t>North</t>
        </is>
      </c>
      <c r="F327" s="61" t="n">
        <v>1</v>
      </c>
      <c r="G327" s="62" t="n">
        <v>167.18</v>
      </c>
      <c r="H327" s="63" t="n">
        <v>0.058</v>
      </c>
      <c r="I327" s="62" t="n">
        <v>90.64</v>
      </c>
      <c r="J327" s="58" t="inlineStr">
        <is>
          <t>Store</t>
        </is>
      </c>
      <c r="K327" s="62">
        <f>F327*(G327-H327)</f>
        <v/>
      </c>
      <c r="L327" s="62">
        <f>K327-(F327*I327)</f>
        <v/>
      </c>
      <c r="M327" s="64">
        <f>L327/K327</f>
        <v/>
      </c>
    </row>
    <row r="328">
      <c r="A328" s="58" t="inlineStr">
        <is>
          <t>RT20250108-00327</t>
        </is>
      </c>
      <c r="B328" s="59" t="inlineStr">
        <is>
          <t>2025-01-08</t>
        </is>
      </c>
      <c r="C328" s="60" t="inlineStr">
        <is>
          <t>Falcon Accessorie S-195</t>
        </is>
      </c>
      <c r="D328" s="58" t="inlineStr">
        <is>
          <t>Apparel</t>
        </is>
      </c>
      <c r="E328" s="58" t="inlineStr">
        <is>
          <t>Central</t>
        </is>
      </c>
      <c r="F328" s="61" t="n">
        <v>4</v>
      </c>
      <c r="G328" s="62" t="n">
        <v>75.13</v>
      </c>
      <c r="H328" s="63" t="n">
        <v>0.001</v>
      </c>
      <c r="I328" s="62" t="n">
        <v>42.92</v>
      </c>
      <c r="J328" s="58" t="inlineStr">
        <is>
          <t>Online</t>
        </is>
      </c>
      <c r="K328" s="62">
        <f>F328*(G328-H328)</f>
        <v/>
      </c>
      <c r="L328" s="62">
        <f>K328-(F328*I328)</f>
        <v/>
      </c>
      <c r="M328" s="64">
        <f>L328/K328</f>
        <v/>
      </c>
    </row>
    <row r="329">
      <c r="A329" s="58" t="inlineStr">
        <is>
          <t>RT20250108-00328</t>
        </is>
      </c>
      <c r="B329" s="59" t="inlineStr">
        <is>
          <t>2025-01-08</t>
        </is>
      </c>
      <c r="C329" s="60" t="inlineStr">
        <is>
          <t>Polar Wearable X-119</t>
        </is>
      </c>
      <c r="D329" s="58" t="inlineStr">
        <is>
          <t>Electronics</t>
        </is>
      </c>
      <c r="E329" s="58" t="inlineStr">
        <is>
          <t>East</t>
        </is>
      </c>
      <c r="F329" s="61" t="n">
        <v>1</v>
      </c>
      <c r="G329" s="62" t="n">
        <v>1593.75</v>
      </c>
      <c r="H329" s="63" t="n">
        <v>0.078</v>
      </c>
      <c r="I329" s="62" t="n">
        <v>1320.94</v>
      </c>
      <c r="J329" s="58" t="inlineStr">
        <is>
          <t>Store</t>
        </is>
      </c>
      <c r="K329" s="62">
        <f>F329*(G329-H329)</f>
        <v/>
      </c>
      <c r="L329" s="62">
        <f>K329-(F329*I329)</f>
        <v/>
      </c>
      <c r="M329" s="64">
        <f>L329/K329</f>
        <v/>
      </c>
    </row>
    <row r="330">
      <c r="A330" s="58" t="inlineStr">
        <is>
          <t>RT20250108-00329</t>
        </is>
      </c>
      <c r="B330" s="59" t="inlineStr">
        <is>
          <t>2025-01-08</t>
        </is>
      </c>
      <c r="C330" s="60" t="inlineStr">
        <is>
          <t>Polar Wearable X-119</t>
        </is>
      </c>
      <c r="D330" s="58" t="inlineStr">
        <is>
          <t>Electronics</t>
        </is>
      </c>
      <c r="E330" s="58" t="inlineStr">
        <is>
          <t>East</t>
        </is>
      </c>
      <c r="F330" s="61" t="n">
        <v>1</v>
      </c>
      <c r="G330" s="62" t="n">
        <v>1712.58</v>
      </c>
      <c r="H330" s="63" t="n">
        <v>0.105</v>
      </c>
      <c r="I330" s="62" t="n">
        <v>1359.2</v>
      </c>
      <c r="J330" s="58" t="inlineStr">
        <is>
          <t>Store</t>
        </is>
      </c>
      <c r="K330" s="62">
        <f>F330*(G330-H330)</f>
        <v/>
      </c>
      <c r="L330" s="62">
        <f>K330-(F330*I330)</f>
        <v/>
      </c>
      <c r="M330" s="64">
        <f>L330/K330</f>
        <v/>
      </c>
    </row>
    <row r="331">
      <c r="A331" s="58" t="inlineStr">
        <is>
          <t>RT20250108-00330</t>
        </is>
      </c>
      <c r="B331" s="59" t="inlineStr">
        <is>
          <t>2025-01-08</t>
        </is>
      </c>
      <c r="C331" s="60" t="inlineStr">
        <is>
          <t>Solace Kid S-384</t>
        </is>
      </c>
      <c r="D331" s="58" t="inlineStr">
        <is>
          <t>Apparel</t>
        </is>
      </c>
      <c r="E331" s="58" t="inlineStr">
        <is>
          <t>East</t>
        </is>
      </c>
      <c r="F331" s="61" t="n">
        <v>2</v>
      </c>
      <c r="G331" s="62" t="n">
        <v>111.24</v>
      </c>
      <c r="H331" s="63" t="n">
        <v>0.05</v>
      </c>
      <c r="I331" s="62" t="n">
        <v>60.73</v>
      </c>
      <c r="J331" s="58" t="inlineStr">
        <is>
          <t>Online</t>
        </is>
      </c>
      <c r="K331" s="62">
        <f>F331*(G331-H331)</f>
        <v/>
      </c>
      <c r="L331" s="62">
        <f>K331-(F331*I331)</f>
        <v/>
      </c>
      <c r="M331" s="64">
        <f>L331/K331</f>
        <v/>
      </c>
    </row>
    <row r="332">
      <c r="A332" s="58" t="inlineStr">
        <is>
          <t>RT20250108-00331</t>
        </is>
      </c>
      <c r="B332" s="59" t="inlineStr">
        <is>
          <t>2025-01-08</t>
        </is>
      </c>
      <c r="C332" s="60" t="inlineStr">
        <is>
          <t>Metro Printer X-294</t>
        </is>
      </c>
      <c r="D332" s="58" t="inlineStr">
        <is>
          <t>Office</t>
        </is>
      </c>
      <c r="E332" s="58" t="inlineStr">
        <is>
          <t>East</t>
        </is>
      </c>
      <c r="F332" s="61" t="n">
        <v>1</v>
      </c>
      <c r="G332" s="62" t="n">
        <v>564.76</v>
      </c>
      <c r="H332" s="63" t="n">
        <v>0.051</v>
      </c>
      <c r="I332" s="62" t="n">
        <v>405.95</v>
      </c>
      <c r="J332" s="58" t="inlineStr">
        <is>
          <t>Store</t>
        </is>
      </c>
      <c r="K332" s="62">
        <f>F332*(G332-H332)</f>
        <v/>
      </c>
      <c r="L332" s="62">
        <f>K332-(F332*I332)</f>
        <v/>
      </c>
      <c r="M332" s="64">
        <f>L332/K332</f>
        <v/>
      </c>
    </row>
    <row r="333">
      <c r="A333" s="58" t="inlineStr">
        <is>
          <t>RT20250108-00332</t>
        </is>
      </c>
      <c r="B333" s="59" t="inlineStr">
        <is>
          <t>2025-01-08</t>
        </is>
      </c>
      <c r="C333" s="60" t="inlineStr">
        <is>
          <t>Nimbus Fitnes Lite-516</t>
        </is>
      </c>
      <c r="D333" s="58" t="inlineStr">
        <is>
          <t>Sports</t>
        </is>
      </c>
      <c r="E333" s="58" t="inlineStr">
        <is>
          <t>West</t>
        </is>
      </c>
      <c r="F333" s="61" t="n">
        <v>3</v>
      </c>
      <c r="G333" s="62" t="n">
        <v>663.11</v>
      </c>
      <c r="H333" s="63" t="n">
        <v>0.038</v>
      </c>
      <c r="I333" s="62" t="n">
        <v>479.23</v>
      </c>
      <c r="J333" s="58" t="inlineStr">
        <is>
          <t>Online</t>
        </is>
      </c>
      <c r="K333" s="62">
        <f>F333*(G333-H333)</f>
        <v/>
      </c>
      <c r="L333" s="62">
        <f>K333-(F333*I333)</f>
        <v/>
      </c>
      <c r="M333" s="64">
        <f>L333/K333</f>
        <v/>
      </c>
    </row>
    <row r="334">
      <c r="A334" s="58" t="inlineStr">
        <is>
          <t>RT20250108-00333</t>
        </is>
      </c>
      <c r="B334" s="59" t="inlineStr">
        <is>
          <t>2025-01-08</t>
        </is>
      </c>
      <c r="C334" s="60" t="inlineStr">
        <is>
          <t>Vertex Men X-995</t>
        </is>
      </c>
      <c r="D334" s="58" t="inlineStr">
        <is>
          <t>Apparel</t>
        </is>
      </c>
      <c r="E334" s="58" t="inlineStr">
        <is>
          <t>East</t>
        </is>
      </c>
      <c r="F334" s="61" t="n">
        <v>4</v>
      </c>
      <c r="G334" s="62" t="n">
        <v>112.71</v>
      </c>
      <c r="H334" s="63" t="n">
        <v>0.073</v>
      </c>
      <c r="I334" s="62" t="n">
        <v>57.16</v>
      </c>
      <c r="J334" s="58" t="inlineStr">
        <is>
          <t>Store</t>
        </is>
      </c>
      <c r="K334" s="62">
        <f>F334*(G334-H334)</f>
        <v/>
      </c>
      <c r="L334" s="62">
        <f>K334-(F334*I334)</f>
        <v/>
      </c>
      <c r="M334" s="64">
        <f>L334/K334</f>
        <v/>
      </c>
    </row>
    <row r="335">
      <c r="A335" s="58" t="inlineStr">
        <is>
          <t>RT20250108-00334</t>
        </is>
      </c>
      <c r="B335" s="59" t="inlineStr">
        <is>
          <t>2025-01-08</t>
        </is>
      </c>
      <c r="C335" s="60" t="inlineStr">
        <is>
          <t>Polar Pantry Lite-392</t>
        </is>
      </c>
      <c r="D335" s="58" t="inlineStr">
        <is>
          <t>Grocery</t>
        </is>
      </c>
      <c r="E335" s="58" t="inlineStr">
        <is>
          <t>South</t>
        </is>
      </c>
      <c r="F335" s="61" t="n">
        <v>4</v>
      </c>
      <c r="G335" s="62" t="n">
        <v>6.73</v>
      </c>
      <c r="H335" s="63" t="n">
        <v>0.028</v>
      </c>
      <c r="I335" s="62" t="n">
        <v>4.56</v>
      </c>
      <c r="J335" s="58" t="inlineStr">
        <is>
          <t>Online</t>
        </is>
      </c>
      <c r="K335" s="62">
        <f>F335*(G335-H335)</f>
        <v/>
      </c>
      <c r="L335" s="62">
        <f>K335-(F335*I335)</f>
        <v/>
      </c>
      <c r="M335" s="64">
        <f>L335/K335</f>
        <v/>
      </c>
    </row>
    <row r="336">
      <c r="A336" s="58" t="inlineStr">
        <is>
          <t>RT20250108-00335</t>
        </is>
      </c>
      <c r="B336" s="59" t="inlineStr">
        <is>
          <t>2025-01-08</t>
        </is>
      </c>
      <c r="C336" s="60" t="inlineStr">
        <is>
          <t>Aurora Printer Plus-723</t>
        </is>
      </c>
      <c r="D336" s="58" t="inlineStr">
        <is>
          <t>Office</t>
        </is>
      </c>
      <c r="E336" s="58" t="inlineStr">
        <is>
          <t>Central</t>
        </is>
      </c>
      <c r="F336" s="61" t="n">
        <v>2</v>
      </c>
      <c r="G336" s="62" t="n">
        <v>269.66</v>
      </c>
      <c r="H336" s="63" t="n">
        <v>0.083</v>
      </c>
      <c r="I336" s="62" t="n">
        <v>185.24</v>
      </c>
      <c r="J336" s="58" t="inlineStr">
        <is>
          <t>Online</t>
        </is>
      </c>
      <c r="K336" s="62">
        <f>F336*(G336-H336)</f>
        <v/>
      </c>
      <c r="L336" s="62">
        <f>K336-(F336*I336)</f>
        <v/>
      </c>
      <c r="M336" s="64">
        <f>L336/K336</f>
        <v/>
      </c>
    </row>
    <row r="337">
      <c r="A337" s="58" t="inlineStr">
        <is>
          <t>RT20250108-00336</t>
        </is>
      </c>
      <c r="B337" s="59" t="inlineStr">
        <is>
          <t>2025-01-08</t>
        </is>
      </c>
      <c r="C337" s="60" t="inlineStr">
        <is>
          <t>Aurora Printer Plus-991</t>
        </is>
      </c>
      <c r="D337" s="58" t="inlineStr">
        <is>
          <t>Office</t>
        </is>
      </c>
      <c r="E337" s="58" t="inlineStr">
        <is>
          <t>East</t>
        </is>
      </c>
      <c r="F337" s="61" t="n">
        <v>2</v>
      </c>
      <c r="G337" s="62" t="n">
        <v>526.74</v>
      </c>
      <c r="H337" s="63" t="n">
        <v>0.029</v>
      </c>
      <c r="I337" s="62" t="n">
        <v>366.51</v>
      </c>
      <c r="J337" s="58" t="inlineStr">
        <is>
          <t>Store</t>
        </is>
      </c>
      <c r="K337" s="62">
        <f>F337*(G337-H337)</f>
        <v/>
      </c>
      <c r="L337" s="62">
        <f>K337-(F337*I337)</f>
        <v/>
      </c>
      <c r="M337" s="64">
        <f>L337/K337</f>
        <v/>
      </c>
    </row>
    <row r="338">
      <c r="A338" s="58" t="inlineStr">
        <is>
          <t>RT20250109-00337</t>
        </is>
      </c>
      <c r="B338" s="59" t="inlineStr">
        <is>
          <t>2025-01-09</t>
        </is>
      </c>
      <c r="C338" s="60" t="inlineStr">
        <is>
          <t>Vertex Decor Pro-618</t>
        </is>
      </c>
      <c r="D338" s="58" t="inlineStr">
        <is>
          <t>Home</t>
        </is>
      </c>
      <c r="E338" s="58" t="inlineStr">
        <is>
          <t>South</t>
        </is>
      </c>
      <c r="F338" s="61" t="n">
        <v>3</v>
      </c>
      <c r="G338" s="62" t="n">
        <v>575.3099999999999</v>
      </c>
      <c r="H338" s="63" t="n">
        <v>0.014</v>
      </c>
      <c r="I338" s="62" t="n">
        <v>370.34</v>
      </c>
      <c r="J338" s="58" t="inlineStr">
        <is>
          <t>Online</t>
        </is>
      </c>
      <c r="K338" s="62">
        <f>F338*(G338-H338)</f>
        <v/>
      </c>
      <c r="L338" s="62">
        <f>K338-(F338*I338)</f>
        <v/>
      </c>
      <c r="M338" s="64">
        <f>L338/K338</f>
        <v/>
      </c>
    </row>
    <row r="339">
      <c r="A339" s="58" t="inlineStr">
        <is>
          <t>RT20250109-00338</t>
        </is>
      </c>
      <c r="B339" s="59" t="inlineStr">
        <is>
          <t>2025-01-09</t>
        </is>
      </c>
      <c r="C339" s="60" t="inlineStr">
        <is>
          <t>Aurora Furniture X-709</t>
        </is>
      </c>
      <c r="D339" s="58" t="inlineStr">
        <is>
          <t>Office</t>
        </is>
      </c>
      <c r="E339" s="58" t="inlineStr">
        <is>
          <t>South</t>
        </is>
      </c>
      <c r="F339" s="61" t="n">
        <v>1</v>
      </c>
      <c r="G339" s="62" t="n">
        <v>472.61</v>
      </c>
      <c r="H339" s="63" t="n">
        <v>0.056</v>
      </c>
      <c r="I339" s="62" t="n">
        <v>311.25</v>
      </c>
      <c r="J339" s="58" t="inlineStr">
        <is>
          <t>Store</t>
        </is>
      </c>
      <c r="K339" s="62">
        <f>F339*(G339-H339)</f>
        <v/>
      </c>
      <c r="L339" s="62">
        <f>K339-(F339*I339)</f>
        <v/>
      </c>
      <c r="M339" s="64">
        <f>L339/K339</f>
        <v/>
      </c>
    </row>
    <row r="340">
      <c r="A340" s="58" t="inlineStr">
        <is>
          <t>RT20250109-00339</t>
        </is>
      </c>
      <c r="B340" s="59" t="inlineStr">
        <is>
          <t>2025-01-09</t>
        </is>
      </c>
      <c r="C340" s="60" t="inlineStr">
        <is>
          <t>Solace Kid S-384</t>
        </is>
      </c>
      <c r="D340" s="58" t="inlineStr">
        <is>
          <t>Apparel</t>
        </is>
      </c>
      <c r="E340" s="58" t="inlineStr">
        <is>
          <t>West</t>
        </is>
      </c>
      <c r="F340" s="61" t="n">
        <v>3</v>
      </c>
      <c r="G340" s="62" t="n">
        <v>106.65</v>
      </c>
      <c r="H340" s="63" t="n">
        <v>0.008</v>
      </c>
      <c r="I340" s="62" t="n">
        <v>64.48</v>
      </c>
      <c r="J340" s="58" t="inlineStr">
        <is>
          <t>Online</t>
        </is>
      </c>
      <c r="K340" s="62">
        <f>F340*(G340-H340)</f>
        <v/>
      </c>
      <c r="L340" s="62">
        <f>K340-(F340*I340)</f>
        <v/>
      </c>
      <c r="M340" s="64">
        <f>L340/K340</f>
        <v/>
      </c>
    </row>
    <row r="341">
      <c r="A341" s="58" t="inlineStr">
        <is>
          <t>RT20250109-00340</t>
        </is>
      </c>
      <c r="B341" s="59" t="inlineStr">
        <is>
          <t>2025-01-09</t>
        </is>
      </c>
      <c r="C341" s="60" t="inlineStr">
        <is>
          <t>Metro Accessorie Max-316</t>
        </is>
      </c>
      <c r="D341" s="58" t="inlineStr">
        <is>
          <t>Apparel</t>
        </is>
      </c>
      <c r="E341" s="58" t="inlineStr">
        <is>
          <t>North</t>
        </is>
      </c>
      <c r="F341" s="61" t="n">
        <v>2</v>
      </c>
      <c r="G341" s="62" t="n">
        <v>161.77</v>
      </c>
      <c r="H341" s="63" t="n">
        <v>0.095</v>
      </c>
      <c r="I341" s="62" t="n">
        <v>92.63</v>
      </c>
      <c r="J341" s="58" t="inlineStr">
        <is>
          <t>Online</t>
        </is>
      </c>
      <c r="K341" s="62">
        <f>F341*(G341-H341)</f>
        <v/>
      </c>
      <c r="L341" s="62">
        <f>K341-(F341*I341)</f>
        <v/>
      </c>
      <c r="M341" s="64">
        <f>L341/K341</f>
        <v/>
      </c>
    </row>
    <row r="342">
      <c r="A342" s="58" t="inlineStr">
        <is>
          <t>RT20250109-00341</t>
        </is>
      </c>
      <c r="B342" s="59" t="inlineStr">
        <is>
          <t>2025-01-09</t>
        </is>
      </c>
      <c r="C342" s="60" t="inlineStr">
        <is>
          <t>Falcon Skincare Max-151</t>
        </is>
      </c>
      <c r="D342" s="58" t="inlineStr">
        <is>
          <t>Beauty</t>
        </is>
      </c>
      <c r="E342" s="58" t="inlineStr">
        <is>
          <t>Central</t>
        </is>
      </c>
      <c r="F342" s="61" t="n">
        <v>5</v>
      </c>
      <c r="G342" s="62" t="n">
        <v>93.38</v>
      </c>
      <c r="H342" s="63" t="n">
        <v>0.034</v>
      </c>
      <c r="I342" s="62" t="n">
        <v>58.25</v>
      </c>
      <c r="J342" s="58" t="inlineStr">
        <is>
          <t>Store</t>
        </is>
      </c>
      <c r="K342" s="62">
        <f>F342*(G342-H342)</f>
        <v/>
      </c>
      <c r="L342" s="62">
        <f>K342-(F342*I342)</f>
        <v/>
      </c>
      <c r="M342" s="64">
        <f>L342/K342</f>
        <v/>
      </c>
    </row>
    <row r="343">
      <c r="A343" s="58" t="inlineStr">
        <is>
          <t>RT20250109-00342</t>
        </is>
      </c>
      <c r="B343" s="59" t="inlineStr">
        <is>
          <t>2025-01-09</t>
        </is>
      </c>
      <c r="C343" s="60" t="inlineStr">
        <is>
          <t>Aurora Fitnes Lite-194</t>
        </is>
      </c>
      <c r="D343" s="58" t="inlineStr">
        <is>
          <t>Sports</t>
        </is>
      </c>
      <c r="E343" s="58" t="inlineStr">
        <is>
          <t>West</t>
        </is>
      </c>
      <c r="F343" s="61" t="n">
        <v>1</v>
      </c>
      <c r="G343" s="62" t="n">
        <v>605.5599999999999</v>
      </c>
      <c r="H343" s="63" t="n">
        <v>0.094</v>
      </c>
      <c r="I343" s="62" t="n">
        <v>466.13</v>
      </c>
      <c r="J343" s="58" t="inlineStr">
        <is>
          <t>Store</t>
        </is>
      </c>
      <c r="K343" s="62">
        <f>F343*(G343-H343)</f>
        <v/>
      </c>
      <c r="L343" s="62">
        <f>K343-(F343*I343)</f>
        <v/>
      </c>
      <c r="M343" s="64">
        <f>L343/K343</f>
        <v/>
      </c>
    </row>
    <row r="344">
      <c r="A344" s="58" t="inlineStr">
        <is>
          <t>RT20250109-00343</t>
        </is>
      </c>
      <c r="B344" s="59" t="inlineStr">
        <is>
          <t>2025-01-09</t>
        </is>
      </c>
      <c r="C344" s="60" t="inlineStr">
        <is>
          <t>Vertex Smartphone Lite-267</t>
        </is>
      </c>
      <c r="D344" s="58" t="inlineStr">
        <is>
          <t>Electronics</t>
        </is>
      </c>
      <c r="E344" s="58" t="inlineStr">
        <is>
          <t>Central</t>
        </is>
      </c>
      <c r="F344" s="61" t="n">
        <v>1</v>
      </c>
      <c r="G344" s="62" t="n">
        <v>1126.95</v>
      </c>
      <c r="H344" s="63" t="n">
        <v>0.057</v>
      </c>
      <c r="I344" s="62" t="n">
        <v>968.16</v>
      </c>
      <c r="J344" s="58" t="inlineStr">
        <is>
          <t>Online</t>
        </is>
      </c>
      <c r="K344" s="62">
        <f>F344*(G344-H344)</f>
        <v/>
      </c>
      <c r="L344" s="62">
        <f>K344-(F344*I344)</f>
        <v/>
      </c>
      <c r="M344" s="64">
        <f>L344/K344</f>
        <v/>
      </c>
    </row>
    <row r="345">
      <c r="A345" s="58" t="inlineStr">
        <is>
          <t>RT20250109-00344</t>
        </is>
      </c>
      <c r="B345" s="59" t="inlineStr">
        <is>
          <t>2025-01-09</t>
        </is>
      </c>
      <c r="C345" s="60" t="inlineStr">
        <is>
          <t>Aurora Appliance Max-316</t>
        </is>
      </c>
      <c r="D345" s="58" t="inlineStr">
        <is>
          <t>Home</t>
        </is>
      </c>
      <c r="E345" s="58" t="inlineStr">
        <is>
          <t>West</t>
        </is>
      </c>
      <c r="F345" s="61" t="n">
        <v>3</v>
      </c>
      <c r="G345" s="62" t="n">
        <v>328.78</v>
      </c>
      <c r="H345" s="63" t="n">
        <v>0.015</v>
      </c>
      <c r="I345" s="62" t="n">
        <v>209.14</v>
      </c>
      <c r="J345" s="58" t="inlineStr">
        <is>
          <t>Online</t>
        </is>
      </c>
      <c r="K345" s="62">
        <f>F345*(G345-H345)</f>
        <v/>
      </c>
      <c r="L345" s="62">
        <f>K345-(F345*I345)</f>
        <v/>
      </c>
      <c r="M345" s="64">
        <f>L345/K345</f>
        <v/>
      </c>
    </row>
    <row r="346">
      <c r="A346" s="58" t="inlineStr">
        <is>
          <t>RT20250109-00345</t>
        </is>
      </c>
      <c r="B346" s="59" t="inlineStr">
        <is>
          <t>2025-01-09</t>
        </is>
      </c>
      <c r="C346" s="60" t="inlineStr">
        <is>
          <t>Falcon Headphone Plus-789</t>
        </is>
      </c>
      <c r="D346" s="58" t="inlineStr">
        <is>
          <t>Electronics</t>
        </is>
      </c>
      <c r="E346" s="58" t="inlineStr">
        <is>
          <t>East</t>
        </is>
      </c>
      <c r="F346" s="61" t="n">
        <v>2</v>
      </c>
      <c r="G346" s="62" t="n">
        <v>1620.35</v>
      </c>
      <c r="H346" s="63" t="n">
        <v>0.059</v>
      </c>
      <c r="I346" s="62" t="n">
        <v>1346.09</v>
      </c>
      <c r="J346" s="58" t="inlineStr">
        <is>
          <t>Online</t>
        </is>
      </c>
      <c r="K346" s="62">
        <f>F346*(G346-H346)</f>
        <v/>
      </c>
      <c r="L346" s="62">
        <f>K346-(F346*I346)</f>
        <v/>
      </c>
      <c r="M346" s="64">
        <f>L346/K346</f>
        <v/>
      </c>
    </row>
    <row r="347">
      <c r="A347" s="58" t="inlineStr">
        <is>
          <t>RT20250109-00346</t>
        </is>
      </c>
      <c r="B347" s="59" t="inlineStr">
        <is>
          <t>2025-01-09</t>
        </is>
      </c>
      <c r="C347" s="60" t="inlineStr">
        <is>
          <t>Polar Cycling S-223</t>
        </is>
      </c>
      <c r="D347" s="58" t="inlineStr">
        <is>
          <t>Sports</t>
        </is>
      </c>
      <c r="E347" s="58" t="inlineStr">
        <is>
          <t>North</t>
        </is>
      </c>
      <c r="F347" s="61" t="n">
        <v>1</v>
      </c>
      <c r="G347" s="62" t="n">
        <v>951.46</v>
      </c>
      <c r="H347" s="63" t="n">
        <v>0.08400000000000001</v>
      </c>
      <c r="I347" s="62" t="n">
        <v>617.61</v>
      </c>
      <c r="J347" s="58" t="inlineStr">
        <is>
          <t>Online</t>
        </is>
      </c>
      <c r="K347" s="62">
        <f>F347*(G347-H347)</f>
        <v/>
      </c>
      <c r="L347" s="62">
        <f>K347-(F347*I347)</f>
        <v/>
      </c>
      <c r="M347" s="64">
        <f>L347/K347</f>
        <v/>
      </c>
    </row>
    <row r="348">
      <c r="A348" s="58" t="inlineStr">
        <is>
          <t>RT20250109-00347</t>
        </is>
      </c>
      <c r="B348" s="59" t="inlineStr">
        <is>
          <t>2025-01-09</t>
        </is>
      </c>
      <c r="C348" s="60" t="inlineStr">
        <is>
          <t>Falcon Team Sport Lite-268</t>
        </is>
      </c>
      <c r="D348" s="58" t="inlineStr">
        <is>
          <t>Sports</t>
        </is>
      </c>
      <c r="E348" s="58" t="inlineStr">
        <is>
          <t>West</t>
        </is>
      </c>
      <c r="F348" s="61" t="n">
        <v>1</v>
      </c>
      <c r="G348" s="62" t="n">
        <v>727.6900000000001</v>
      </c>
      <c r="H348" s="63" t="n">
        <v>0.02</v>
      </c>
      <c r="I348" s="62" t="n">
        <v>438.22</v>
      </c>
      <c r="J348" s="58" t="inlineStr">
        <is>
          <t>Store</t>
        </is>
      </c>
      <c r="K348" s="62">
        <f>F348*(G348-H348)</f>
        <v/>
      </c>
      <c r="L348" s="62">
        <f>K348-(F348*I348)</f>
        <v/>
      </c>
      <c r="M348" s="64">
        <f>L348/K348</f>
        <v/>
      </c>
    </row>
    <row r="349">
      <c r="A349" s="58" t="inlineStr">
        <is>
          <t>RT20250109-00348</t>
        </is>
      </c>
      <c r="B349" s="59" t="inlineStr">
        <is>
          <t>2025-01-09</t>
        </is>
      </c>
      <c r="C349" s="60" t="inlineStr">
        <is>
          <t>Orion Team Sport X-926</t>
        </is>
      </c>
      <c r="D349" s="58" t="inlineStr">
        <is>
          <t>Sports</t>
        </is>
      </c>
      <c r="E349" s="58" t="inlineStr">
        <is>
          <t>West</t>
        </is>
      </c>
      <c r="F349" s="61" t="n">
        <v>3</v>
      </c>
      <c r="G349" s="62" t="n">
        <v>309.19</v>
      </c>
      <c r="H349" s="63" t="n">
        <v>0.029</v>
      </c>
      <c r="I349" s="62" t="n">
        <v>218.59</v>
      </c>
      <c r="J349" s="58" t="inlineStr">
        <is>
          <t>Store</t>
        </is>
      </c>
      <c r="K349" s="62">
        <f>F349*(G349-H349)</f>
        <v/>
      </c>
      <c r="L349" s="62">
        <f>K349-(F349*I349)</f>
        <v/>
      </c>
      <c r="M349" s="64">
        <f>L349/K349</f>
        <v/>
      </c>
    </row>
    <row r="350">
      <c r="A350" s="58" t="inlineStr">
        <is>
          <t>RT20250109-00349</t>
        </is>
      </c>
      <c r="B350" s="59" t="inlineStr">
        <is>
          <t>2025-01-09</t>
        </is>
      </c>
      <c r="C350" s="60" t="inlineStr">
        <is>
          <t>Falcon Kitchen X-130</t>
        </is>
      </c>
      <c r="D350" s="58" t="inlineStr">
        <is>
          <t>Home</t>
        </is>
      </c>
      <c r="E350" s="58" t="inlineStr">
        <is>
          <t>West</t>
        </is>
      </c>
      <c r="F350" s="61" t="n">
        <v>1</v>
      </c>
      <c r="G350" s="62" t="n">
        <v>448.78</v>
      </c>
      <c r="H350" s="63" t="n">
        <v>0.096</v>
      </c>
      <c r="I350" s="62" t="n">
        <v>292.55</v>
      </c>
      <c r="J350" s="58" t="inlineStr">
        <is>
          <t>Store</t>
        </is>
      </c>
      <c r="K350" s="62">
        <f>F350*(G350-H350)</f>
        <v/>
      </c>
      <c r="L350" s="62">
        <f>K350-(F350*I350)</f>
        <v/>
      </c>
      <c r="M350" s="64">
        <f>L350/K350</f>
        <v/>
      </c>
    </row>
    <row r="351">
      <c r="A351" s="58" t="inlineStr">
        <is>
          <t>RT20250109-00350</t>
        </is>
      </c>
      <c r="B351" s="59" t="inlineStr">
        <is>
          <t>2025-01-09</t>
        </is>
      </c>
      <c r="C351" s="60" t="inlineStr">
        <is>
          <t>Nimbus Women Plus-352</t>
        </is>
      </c>
      <c r="D351" s="58" t="inlineStr">
        <is>
          <t>Apparel</t>
        </is>
      </c>
      <c r="E351" s="58" t="inlineStr">
        <is>
          <t>South</t>
        </is>
      </c>
      <c r="F351" s="61" t="n">
        <v>3</v>
      </c>
      <c r="G351" s="62" t="n">
        <v>60.22</v>
      </c>
      <c r="H351" s="63" t="n">
        <v>0.09</v>
      </c>
      <c r="I351" s="62" t="n">
        <v>32.44</v>
      </c>
      <c r="J351" s="58" t="inlineStr">
        <is>
          <t>Online</t>
        </is>
      </c>
      <c r="K351" s="62">
        <f>F351*(G351-H351)</f>
        <v/>
      </c>
      <c r="L351" s="62">
        <f>K351-(F351*I351)</f>
        <v/>
      </c>
      <c r="M351" s="64">
        <f>L351/K351</f>
        <v/>
      </c>
    </row>
    <row r="352">
      <c r="A352" s="58" t="inlineStr">
        <is>
          <t>RT20250109-00351</t>
        </is>
      </c>
      <c r="B352" s="59" t="inlineStr">
        <is>
          <t>2025-01-09</t>
        </is>
      </c>
      <c r="C352" s="60" t="inlineStr">
        <is>
          <t>Polar Women S-662</t>
        </is>
      </c>
      <c r="D352" s="58" t="inlineStr">
        <is>
          <t>Apparel</t>
        </is>
      </c>
      <c r="E352" s="58" t="inlineStr">
        <is>
          <t>Central</t>
        </is>
      </c>
      <c r="F352" s="61" t="n">
        <v>3</v>
      </c>
      <c r="G352" s="62" t="n">
        <v>171.96</v>
      </c>
      <c r="H352" s="63" t="n">
        <v>0.05</v>
      </c>
      <c r="I352" s="62" t="n">
        <v>98.76000000000001</v>
      </c>
      <c r="J352" s="58" t="inlineStr">
        <is>
          <t>Store</t>
        </is>
      </c>
      <c r="K352" s="62">
        <f>F352*(G352-H352)</f>
        <v/>
      </c>
      <c r="L352" s="62">
        <f>K352-(F352*I352)</f>
        <v/>
      </c>
      <c r="M352" s="64">
        <f>L352/K352</f>
        <v/>
      </c>
    </row>
    <row r="353">
      <c r="A353" s="58" t="inlineStr">
        <is>
          <t>RT20250109-00352</t>
        </is>
      </c>
      <c r="B353" s="59" t="inlineStr">
        <is>
          <t>2025-01-09</t>
        </is>
      </c>
      <c r="C353" s="60" t="inlineStr">
        <is>
          <t>Falcon Haircare Pro-980</t>
        </is>
      </c>
      <c r="D353" s="58" t="inlineStr">
        <is>
          <t>Beauty</t>
        </is>
      </c>
      <c r="E353" s="58" t="inlineStr">
        <is>
          <t>Central</t>
        </is>
      </c>
      <c r="F353" s="61" t="n">
        <v>1</v>
      </c>
      <c r="G353" s="62" t="n">
        <v>89.8</v>
      </c>
      <c r="H353" s="63" t="n">
        <v>0.074</v>
      </c>
      <c r="I353" s="62" t="n">
        <v>58.62</v>
      </c>
      <c r="J353" s="58" t="inlineStr">
        <is>
          <t>Online</t>
        </is>
      </c>
      <c r="K353" s="62">
        <f>F353*(G353-H353)</f>
        <v/>
      </c>
      <c r="L353" s="62">
        <f>K353-(F353*I353)</f>
        <v/>
      </c>
      <c r="M353" s="64">
        <f>L353/K353</f>
        <v/>
      </c>
    </row>
    <row r="354">
      <c r="A354" s="58" t="inlineStr">
        <is>
          <t>RT20250109-00353</t>
        </is>
      </c>
      <c r="B354" s="59" t="inlineStr">
        <is>
          <t>2025-01-09</t>
        </is>
      </c>
      <c r="C354" s="60" t="inlineStr">
        <is>
          <t>Solace Laptop S-367</t>
        </is>
      </c>
      <c r="D354" s="58" t="inlineStr">
        <is>
          <t>Electronics</t>
        </is>
      </c>
      <c r="E354" s="58" t="inlineStr">
        <is>
          <t>North</t>
        </is>
      </c>
      <c r="F354" s="61" t="n">
        <v>2</v>
      </c>
      <c r="G354" s="62" t="n">
        <v>2341.93</v>
      </c>
      <c r="H354" s="63" t="n">
        <v>0.041</v>
      </c>
      <c r="I354" s="62" t="n">
        <v>1520.84</v>
      </c>
      <c r="J354" s="58" t="inlineStr">
        <is>
          <t>Store</t>
        </is>
      </c>
      <c r="K354" s="62">
        <f>F354*(G354-H354)</f>
        <v/>
      </c>
      <c r="L354" s="62">
        <f>K354-(F354*I354)</f>
        <v/>
      </c>
      <c r="M354" s="64">
        <f>L354/K354</f>
        <v/>
      </c>
    </row>
    <row r="355">
      <c r="A355" s="58" t="inlineStr">
        <is>
          <t>RT20250109-00354</t>
        </is>
      </c>
      <c r="B355" s="59" t="inlineStr">
        <is>
          <t>2025-01-09</t>
        </is>
      </c>
      <c r="C355" s="60" t="inlineStr">
        <is>
          <t>Aurora Appliance Lite-109</t>
        </is>
      </c>
      <c r="D355" s="58" t="inlineStr">
        <is>
          <t>Home</t>
        </is>
      </c>
      <c r="E355" s="58" t="inlineStr">
        <is>
          <t>East</t>
        </is>
      </c>
      <c r="F355" s="61" t="n">
        <v>1</v>
      </c>
      <c r="G355" s="62" t="n">
        <v>313.5</v>
      </c>
      <c r="H355" s="63" t="n">
        <v>0.106</v>
      </c>
      <c r="I355" s="62" t="n">
        <v>200.27</v>
      </c>
      <c r="J355" s="58" t="inlineStr">
        <is>
          <t>Online</t>
        </is>
      </c>
      <c r="K355" s="62">
        <f>F355*(G355-H355)</f>
        <v/>
      </c>
      <c r="L355" s="62">
        <f>K355-(F355*I355)</f>
        <v/>
      </c>
      <c r="M355" s="64">
        <f>L355/K355</f>
        <v/>
      </c>
    </row>
    <row r="356">
      <c r="A356" s="58" t="inlineStr">
        <is>
          <t>RT20250109-00355</t>
        </is>
      </c>
      <c r="B356" s="59" t="inlineStr">
        <is>
          <t>2025-01-09</t>
        </is>
      </c>
      <c r="C356" s="60" t="inlineStr">
        <is>
          <t>Polar Outdoor Lite-318</t>
        </is>
      </c>
      <c r="D356" s="58" t="inlineStr">
        <is>
          <t>Sports</t>
        </is>
      </c>
      <c r="E356" s="58" t="inlineStr">
        <is>
          <t>East</t>
        </is>
      </c>
      <c r="F356" s="61" t="n">
        <v>3</v>
      </c>
      <c r="G356" s="62" t="n">
        <v>739.5</v>
      </c>
      <c r="H356" s="63" t="n">
        <v>0.035</v>
      </c>
      <c r="I356" s="62" t="n">
        <v>470.31</v>
      </c>
      <c r="J356" s="58" t="inlineStr">
        <is>
          <t>Phone</t>
        </is>
      </c>
      <c r="K356" s="62">
        <f>F356*(G356-H356)</f>
        <v/>
      </c>
      <c r="L356" s="62">
        <f>K356-(F356*I356)</f>
        <v/>
      </c>
      <c r="M356" s="64">
        <f>L356/K356</f>
        <v/>
      </c>
    </row>
    <row r="357">
      <c r="A357" s="58" t="inlineStr">
        <is>
          <t>RT20250109-00356</t>
        </is>
      </c>
      <c r="B357" s="59" t="inlineStr">
        <is>
          <t>2025-01-09</t>
        </is>
      </c>
      <c r="C357" s="60" t="inlineStr">
        <is>
          <t>Falcon Haircare Pro-980</t>
        </is>
      </c>
      <c r="D357" s="58" t="inlineStr">
        <is>
          <t>Beauty</t>
        </is>
      </c>
      <c r="E357" s="58" t="inlineStr">
        <is>
          <t>East</t>
        </is>
      </c>
      <c r="F357" s="61" t="n">
        <v>4</v>
      </c>
      <c r="G357" s="62" t="n">
        <v>92.75</v>
      </c>
      <c r="H357" s="63" t="n">
        <v>0.027</v>
      </c>
      <c r="I357" s="62" t="n">
        <v>57.76</v>
      </c>
      <c r="J357" s="58" t="inlineStr">
        <is>
          <t>Online</t>
        </is>
      </c>
      <c r="K357" s="62">
        <f>F357*(G357-H357)</f>
        <v/>
      </c>
      <c r="L357" s="62">
        <f>K357-(F357*I357)</f>
        <v/>
      </c>
      <c r="M357" s="64">
        <f>L357/K357</f>
        <v/>
      </c>
    </row>
    <row r="358">
      <c r="A358" s="58" t="inlineStr">
        <is>
          <t>RT20250109-00357</t>
        </is>
      </c>
      <c r="B358" s="59" t="inlineStr">
        <is>
          <t>2025-01-09</t>
        </is>
      </c>
      <c r="C358" s="60" t="inlineStr">
        <is>
          <t>Aurora Storage Lite-774</t>
        </is>
      </c>
      <c r="D358" s="58" t="inlineStr">
        <is>
          <t>Office</t>
        </is>
      </c>
      <c r="E358" s="58" t="inlineStr">
        <is>
          <t>Central</t>
        </is>
      </c>
      <c r="F358" s="61" t="n">
        <v>1</v>
      </c>
      <c r="G358" s="62" t="n">
        <v>324.68</v>
      </c>
      <c r="H358" s="63" t="n">
        <v>0.059</v>
      </c>
      <c r="I358" s="62" t="n">
        <v>248.22</v>
      </c>
      <c r="J358" s="58" t="inlineStr">
        <is>
          <t>Online</t>
        </is>
      </c>
      <c r="K358" s="62">
        <f>F358*(G358-H358)</f>
        <v/>
      </c>
      <c r="L358" s="62">
        <f>K358-(F358*I358)</f>
        <v/>
      </c>
      <c r="M358" s="64">
        <f>L358/K358</f>
        <v/>
      </c>
    </row>
    <row r="359">
      <c r="A359" s="58" t="inlineStr">
        <is>
          <t>RT20250109-00358</t>
        </is>
      </c>
      <c r="B359" s="59" t="inlineStr">
        <is>
          <t>2025-01-09</t>
        </is>
      </c>
      <c r="C359" s="60" t="inlineStr">
        <is>
          <t>Vertex Skincare Pro-891</t>
        </is>
      </c>
      <c r="D359" s="58" t="inlineStr">
        <is>
          <t>Beauty</t>
        </is>
      </c>
      <c r="E359" s="58" t="inlineStr">
        <is>
          <t>West</t>
        </is>
      </c>
      <c r="F359" s="61" t="n">
        <v>3</v>
      </c>
      <c r="G359" s="62" t="n">
        <v>166.78</v>
      </c>
      <c r="H359" s="63" t="n">
        <v>0.024</v>
      </c>
      <c r="I359" s="62" t="n">
        <v>86.04000000000001</v>
      </c>
      <c r="J359" s="58" t="inlineStr">
        <is>
          <t>Phone</t>
        </is>
      </c>
      <c r="K359" s="62">
        <f>F359*(G359-H359)</f>
        <v/>
      </c>
      <c r="L359" s="62">
        <f>K359-(F359*I359)</f>
        <v/>
      </c>
      <c r="M359" s="64">
        <f>L359/K359</f>
        <v/>
      </c>
    </row>
    <row r="360">
      <c r="A360" s="58" t="inlineStr">
        <is>
          <t>RT20250109-00359</t>
        </is>
      </c>
      <c r="B360" s="59" t="inlineStr">
        <is>
          <t>2025-01-09</t>
        </is>
      </c>
      <c r="C360" s="60" t="inlineStr">
        <is>
          <t>Vertex Accessorie Pro-881</t>
        </is>
      </c>
      <c r="D360" s="58" t="inlineStr">
        <is>
          <t>Apparel</t>
        </is>
      </c>
      <c r="E360" s="58" t="inlineStr">
        <is>
          <t>Central</t>
        </is>
      </c>
      <c r="F360" s="61" t="n">
        <v>1</v>
      </c>
      <c r="G360" s="62" t="n">
        <v>118.91</v>
      </c>
      <c r="H360" s="63" t="n">
        <v>0.124</v>
      </c>
      <c r="I360" s="62" t="n">
        <v>64.09999999999999</v>
      </c>
      <c r="J360" s="58" t="inlineStr">
        <is>
          <t>Online</t>
        </is>
      </c>
      <c r="K360" s="62">
        <f>F360*(G360-H360)</f>
        <v/>
      </c>
      <c r="L360" s="62">
        <f>K360-(F360*I360)</f>
        <v/>
      </c>
      <c r="M360" s="64">
        <f>L360/K360</f>
        <v/>
      </c>
    </row>
    <row r="361">
      <c r="A361" s="58" t="inlineStr">
        <is>
          <t>RT20250109-00360</t>
        </is>
      </c>
      <c r="B361" s="59" t="inlineStr">
        <is>
          <t>2025-01-09</t>
        </is>
      </c>
      <c r="C361" s="60" t="inlineStr">
        <is>
          <t>Metro Decor Lite-325</t>
        </is>
      </c>
      <c r="D361" s="58" t="inlineStr">
        <is>
          <t>Home</t>
        </is>
      </c>
      <c r="E361" s="58" t="inlineStr">
        <is>
          <t>Central</t>
        </is>
      </c>
      <c r="F361" s="61" t="n">
        <v>2</v>
      </c>
      <c r="G361" s="62" t="n">
        <v>595.64</v>
      </c>
      <c r="H361" s="63" t="n">
        <v>0.08699999999999999</v>
      </c>
      <c r="I361" s="62" t="n">
        <v>375.69</v>
      </c>
      <c r="J361" s="58" t="inlineStr">
        <is>
          <t>Store</t>
        </is>
      </c>
      <c r="K361" s="62">
        <f>F361*(G361-H361)</f>
        <v/>
      </c>
      <c r="L361" s="62">
        <f>K361-(F361*I361)</f>
        <v/>
      </c>
      <c r="M361" s="64">
        <f>L361/K361</f>
        <v/>
      </c>
    </row>
    <row r="362">
      <c r="A362" s="58" t="inlineStr">
        <is>
          <t>RT20250109-00361</t>
        </is>
      </c>
      <c r="B362" s="59" t="inlineStr">
        <is>
          <t>2025-01-09</t>
        </is>
      </c>
      <c r="C362" s="60" t="inlineStr">
        <is>
          <t>Vertex Snack S-702</t>
        </is>
      </c>
      <c r="D362" s="58" t="inlineStr">
        <is>
          <t>Grocery</t>
        </is>
      </c>
      <c r="E362" s="58" t="inlineStr">
        <is>
          <t>South</t>
        </is>
      </c>
      <c r="F362" s="61" t="n">
        <v>8</v>
      </c>
      <c r="G362" s="62" t="n">
        <v>2.14</v>
      </c>
      <c r="H362" s="63" t="n">
        <v>0.07000000000000001</v>
      </c>
      <c r="I362" s="62" t="n">
        <v>1.45</v>
      </c>
      <c r="J362" s="58" t="inlineStr">
        <is>
          <t>Store</t>
        </is>
      </c>
      <c r="K362" s="62">
        <f>F362*(G362-H362)</f>
        <v/>
      </c>
      <c r="L362" s="62">
        <f>K362-(F362*I362)</f>
        <v/>
      </c>
      <c r="M362" s="64">
        <f>L362/K362</f>
        <v/>
      </c>
    </row>
    <row r="363">
      <c r="A363" s="58" t="inlineStr">
        <is>
          <t>RT20250109-00362</t>
        </is>
      </c>
      <c r="B363" s="59" t="inlineStr">
        <is>
          <t>2025-01-09</t>
        </is>
      </c>
      <c r="C363" s="60" t="inlineStr">
        <is>
          <t>Vertex Smartphone Lite-267</t>
        </is>
      </c>
      <c r="D363" s="58" t="inlineStr">
        <is>
          <t>Electronics</t>
        </is>
      </c>
      <c r="E363" s="58" t="inlineStr">
        <is>
          <t>South</t>
        </is>
      </c>
      <c r="F363" s="61" t="n">
        <v>1</v>
      </c>
      <c r="G363" s="62" t="n">
        <v>1277.67</v>
      </c>
      <c r="H363" s="63" t="n">
        <v>0.057</v>
      </c>
      <c r="I363" s="62" t="n">
        <v>963.72</v>
      </c>
      <c r="J363" s="58" t="inlineStr">
        <is>
          <t>Store</t>
        </is>
      </c>
      <c r="K363" s="62">
        <f>F363*(G363-H363)</f>
        <v/>
      </c>
      <c r="L363" s="62">
        <f>K363-(F363*I363)</f>
        <v/>
      </c>
      <c r="M363" s="64">
        <f>L363/K363</f>
        <v/>
      </c>
    </row>
    <row r="364">
      <c r="A364" s="58" t="inlineStr">
        <is>
          <t>RT20250109-00363</t>
        </is>
      </c>
      <c r="B364" s="59" t="inlineStr">
        <is>
          <t>2025-01-09</t>
        </is>
      </c>
      <c r="C364" s="60" t="inlineStr">
        <is>
          <t>Aurora Printer Plus-723</t>
        </is>
      </c>
      <c r="D364" s="58" t="inlineStr">
        <is>
          <t>Office</t>
        </is>
      </c>
      <c r="E364" s="58" t="inlineStr">
        <is>
          <t>South</t>
        </is>
      </c>
      <c r="F364" s="61" t="n">
        <v>2</v>
      </c>
      <c r="G364" s="62" t="n">
        <v>258.03</v>
      </c>
      <c r="H364" s="63" t="n">
        <v>0.061</v>
      </c>
      <c r="I364" s="62" t="n">
        <v>184.48</v>
      </c>
      <c r="J364" s="58" t="inlineStr">
        <is>
          <t>Online</t>
        </is>
      </c>
      <c r="K364" s="62">
        <f>F364*(G364-H364)</f>
        <v/>
      </c>
      <c r="L364" s="62">
        <f>K364-(F364*I364)</f>
        <v/>
      </c>
      <c r="M364" s="64">
        <f>L364/K364</f>
        <v/>
      </c>
    </row>
    <row r="365">
      <c r="A365" s="58" t="inlineStr">
        <is>
          <t>RT20250109-00364</t>
        </is>
      </c>
      <c r="B365" s="59" t="inlineStr">
        <is>
          <t>2025-01-09</t>
        </is>
      </c>
      <c r="C365" s="60" t="inlineStr">
        <is>
          <t>Falcon Skincare X-334</t>
        </is>
      </c>
      <c r="D365" s="58" t="inlineStr">
        <is>
          <t>Beauty</t>
        </is>
      </c>
      <c r="E365" s="58" t="inlineStr">
        <is>
          <t>Central</t>
        </is>
      </c>
      <c r="F365" s="61" t="n">
        <v>3</v>
      </c>
      <c r="G365" s="62" t="n">
        <v>91.52</v>
      </c>
      <c r="H365" s="63" t="n">
        <v>0.08400000000000001</v>
      </c>
      <c r="I365" s="62" t="n">
        <v>63.3</v>
      </c>
      <c r="J365" s="58" t="inlineStr">
        <is>
          <t>Online</t>
        </is>
      </c>
      <c r="K365" s="62">
        <f>F365*(G365-H365)</f>
        <v/>
      </c>
      <c r="L365" s="62">
        <f>K365-(F365*I365)</f>
        <v/>
      </c>
      <c r="M365" s="64">
        <f>L365/K365</f>
        <v/>
      </c>
    </row>
    <row r="366">
      <c r="A366" s="58" t="inlineStr">
        <is>
          <t>RT20250109-00365</t>
        </is>
      </c>
      <c r="B366" s="59" t="inlineStr">
        <is>
          <t>2025-01-09</t>
        </is>
      </c>
      <c r="C366" s="60" t="inlineStr">
        <is>
          <t>Aurora Appliance Lite-109</t>
        </is>
      </c>
      <c r="D366" s="58" t="inlineStr">
        <is>
          <t>Home</t>
        </is>
      </c>
      <c r="E366" s="58" t="inlineStr">
        <is>
          <t>West</t>
        </is>
      </c>
      <c r="F366" s="61" t="n">
        <v>3</v>
      </c>
      <c r="G366" s="62" t="n">
        <v>311.91</v>
      </c>
      <c r="H366" s="63" t="n">
        <v>0.09</v>
      </c>
      <c r="I366" s="62" t="n">
        <v>204.8</v>
      </c>
      <c r="J366" s="58" t="inlineStr">
        <is>
          <t>Online</t>
        </is>
      </c>
      <c r="K366" s="62">
        <f>F366*(G366-H366)</f>
        <v/>
      </c>
      <c r="L366" s="62">
        <f>K366-(F366*I366)</f>
        <v/>
      </c>
      <c r="M366" s="64">
        <f>L366/K366</f>
        <v/>
      </c>
    </row>
    <row r="367">
      <c r="A367" s="58" t="inlineStr">
        <is>
          <t>RT20250109-00366</t>
        </is>
      </c>
      <c r="B367" s="59" t="inlineStr">
        <is>
          <t>2025-01-09</t>
        </is>
      </c>
      <c r="C367" s="60" t="inlineStr">
        <is>
          <t>Metro Decor Lite-325</t>
        </is>
      </c>
      <c r="D367" s="58" t="inlineStr">
        <is>
          <t>Home</t>
        </is>
      </c>
      <c r="E367" s="58" t="inlineStr">
        <is>
          <t>West</t>
        </is>
      </c>
      <c r="F367" s="61" t="n">
        <v>2</v>
      </c>
      <c r="G367" s="62" t="n">
        <v>571.1900000000001</v>
      </c>
      <c r="H367" s="63" t="n">
        <v>0.1</v>
      </c>
      <c r="I367" s="62" t="n">
        <v>373.78</v>
      </c>
      <c r="J367" s="58" t="inlineStr">
        <is>
          <t>Phone</t>
        </is>
      </c>
      <c r="K367" s="62">
        <f>F367*(G367-H367)</f>
        <v/>
      </c>
      <c r="L367" s="62">
        <f>K367-(F367*I367)</f>
        <v/>
      </c>
      <c r="M367" s="64">
        <f>L367/K367</f>
        <v/>
      </c>
    </row>
    <row r="368">
      <c r="A368" s="58" t="inlineStr">
        <is>
          <t>RT20250109-00367</t>
        </is>
      </c>
      <c r="B368" s="59" t="inlineStr">
        <is>
          <t>2025-01-09</t>
        </is>
      </c>
      <c r="C368" s="60" t="inlineStr">
        <is>
          <t>Nimbus Headphone X-854</t>
        </is>
      </c>
      <c r="D368" s="58" t="inlineStr">
        <is>
          <t>Electronics</t>
        </is>
      </c>
      <c r="E368" s="58" t="inlineStr">
        <is>
          <t>West</t>
        </is>
      </c>
      <c r="F368" s="61" t="n">
        <v>1</v>
      </c>
      <c r="G368" s="62" t="n">
        <v>1669.55</v>
      </c>
      <c r="H368" s="63" t="n">
        <v>0.034</v>
      </c>
      <c r="I368" s="62" t="n">
        <v>1230.98</v>
      </c>
      <c r="J368" s="58" t="inlineStr">
        <is>
          <t>Store</t>
        </is>
      </c>
      <c r="K368" s="62">
        <f>F368*(G368-H368)</f>
        <v/>
      </c>
      <c r="L368" s="62">
        <f>K368-(F368*I368)</f>
        <v/>
      </c>
      <c r="M368" s="64">
        <f>L368/K368</f>
        <v/>
      </c>
    </row>
    <row r="369">
      <c r="A369" s="58" t="inlineStr">
        <is>
          <t>RT20250109-00368</t>
        </is>
      </c>
      <c r="B369" s="59" t="inlineStr">
        <is>
          <t>2025-01-09</t>
        </is>
      </c>
      <c r="C369" s="60" t="inlineStr">
        <is>
          <t>Polar Outdoor Lite-318</t>
        </is>
      </c>
      <c r="D369" s="58" t="inlineStr">
        <is>
          <t>Sports</t>
        </is>
      </c>
      <c r="E369" s="58" t="inlineStr">
        <is>
          <t>Central</t>
        </is>
      </c>
      <c r="F369" s="61" t="n">
        <v>3</v>
      </c>
      <c r="G369" s="62" t="n">
        <v>662.4</v>
      </c>
      <c r="H369" s="63" t="n">
        <v>0.093</v>
      </c>
      <c r="I369" s="62" t="n">
        <v>457.89</v>
      </c>
      <c r="J369" s="58" t="inlineStr">
        <is>
          <t>Online</t>
        </is>
      </c>
      <c r="K369" s="62">
        <f>F369*(G369-H369)</f>
        <v/>
      </c>
      <c r="L369" s="62">
        <f>K369-(F369*I369)</f>
        <v/>
      </c>
      <c r="M369" s="64">
        <f>L369/K369</f>
        <v/>
      </c>
    </row>
    <row r="370">
      <c r="A370" s="58" t="inlineStr">
        <is>
          <t>RT20250109-00369</t>
        </is>
      </c>
      <c r="B370" s="59" t="inlineStr">
        <is>
          <t>2025-01-09</t>
        </is>
      </c>
      <c r="C370" s="60" t="inlineStr">
        <is>
          <t>Polar Bedding Lite-243</t>
        </is>
      </c>
      <c r="D370" s="58" t="inlineStr">
        <is>
          <t>Home</t>
        </is>
      </c>
      <c r="E370" s="58" t="inlineStr">
        <is>
          <t>East</t>
        </is>
      </c>
      <c r="F370" s="61" t="n">
        <v>3</v>
      </c>
      <c r="G370" s="62" t="n">
        <v>444.97</v>
      </c>
      <c r="H370" s="63" t="n">
        <v>0.03</v>
      </c>
      <c r="I370" s="62" t="n">
        <v>317.8</v>
      </c>
      <c r="J370" s="58" t="inlineStr">
        <is>
          <t>Phone</t>
        </is>
      </c>
      <c r="K370" s="62">
        <f>F370*(G370-H370)</f>
        <v/>
      </c>
      <c r="L370" s="62">
        <f>K370-(F370*I370)</f>
        <v/>
      </c>
      <c r="M370" s="64">
        <f>L370/K370</f>
        <v/>
      </c>
    </row>
    <row r="371">
      <c r="A371" s="58" t="inlineStr">
        <is>
          <t>RT20250109-00370</t>
        </is>
      </c>
      <c r="B371" s="59" t="inlineStr">
        <is>
          <t>2025-01-09</t>
        </is>
      </c>
      <c r="C371" s="60" t="inlineStr">
        <is>
          <t>Polar Decor Plus-505</t>
        </is>
      </c>
      <c r="D371" s="58" t="inlineStr">
        <is>
          <t>Home</t>
        </is>
      </c>
      <c r="E371" s="58" t="inlineStr">
        <is>
          <t>South</t>
        </is>
      </c>
      <c r="F371" s="61" t="n">
        <v>2</v>
      </c>
      <c r="G371" s="62" t="n">
        <v>329.43</v>
      </c>
      <c r="H371" s="63" t="n">
        <v>0.067</v>
      </c>
      <c r="I371" s="62" t="n">
        <v>195.39</v>
      </c>
      <c r="J371" s="58" t="inlineStr">
        <is>
          <t>Store</t>
        </is>
      </c>
      <c r="K371" s="62">
        <f>F371*(G371-H371)</f>
        <v/>
      </c>
      <c r="L371" s="62">
        <f>K371-(F371*I371)</f>
        <v/>
      </c>
      <c r="M371" s="64">
        <f>L371/K371</f>
        <v/>
      </c>
    </row>
    <row r="372">
      <c r="A372" s="58" t="inlineStr">
        <is>
          <t>RT20250109-00371</t>
        </is>
      </c>
      <c r="B372" s="59" t="inlineStr">
        <is>
          <t>2025-01-09</t>
        </is>
      </c>
      <c r="C372" s="60" t="inlineStr">
        <is>
          <t>Falcon Haircare Pro-980</t>
        </is>
      </c>
      <c r="D372" s="58" t="inlineStr">
        <is>
          <t>Beauty</t>
        </is>
      </c>
      <c r="E372" s="58" t="inlineStr">
        <is>
          <t>East</t>
        </is>
      </c>
      <c r="F372" s="61" t="n">
        <v>1</v>
      </c>
      <c r="G372" s="62" t="n">
        <v>92.98</v>
      </c>
      <c r="H372" s="63" t="n">
        <v>0.056</v>
      </c>
      <c r="I372" s="62" t="n">
        <v>57.56</v>
      </c>
      <c r="J372" s="58" t="inlineStr">
        <is>
          <t>Online</t>
        </is>
      </c>
      <c r="K372" s="62">
        <f>F372*(G372-H372)</f>
        <v/>
      </c>
      <c r="L372" s="62">
        <f>K372-(F372*I372)</f>
        <v/>
      </c>
      <c r="M372" s="64">
        <f>L372/K372</f>
        <v/>
      </c>
    </row>
    <row r="373">
      <c r="A373" s="58" t="inlineStr">
        <is>
          <t>RT20250109-00372</t>
        </is>
      </c>
      <c r="B373" s="59" t="inlineStr">
        <is>
          <t>2025-01-09</t>
        </is>
      </c>
      <c r="C373" s="60" t="inlineStr">
        <is>
          <t>Solace Headphone Pro-344</t>
        </is>
      </c>
      <c r="D373" s="58" t="inlineStr">
        <is>
          <t>Electronics</t>
        </is>
      </c>
      <c r="E373" s="58" t="inlineStr">
        <is>
          <t>Central</t>
        </is>
      </c>
      <c r="F373" s="61" t="n">
        <v>1</v>
      </c>
      <c r="G373" s="62" t="n">
        <v>1421.44</v>
      </c>
      <c r="H373" s="63" t="n">
        <v>0.082</v>
      </c>
      <c r="I373" s="62" t="n">
        <v>1039.58</v>
      </c>
      <c r="J373" s="58" t="inlineStr">
        <is>
          <t>Phone</t>
        </is>
      </c>
      <c r="K373" s="62">
        <f>F373*(G373-H373)</f>
        <v/>
      </c>
      <c r="L373" s="62">
        <f>K373-(F373*I373)</f>
        <v/>
      </c>
      <c r="M373" s="64">
        <f>L373/K373</f>
        <v/>
      </c>
    </row>
    <row r="374">
      <c r="A374" s="58" t="inlineStr">
        <is>
          <t>RT20250109-00373</t>
        </is>
      </c>
      <c r="B374" s="59" t="inlineStr">
        <is>
          <t>2025-01-09</t>
        </is>
      </c>
      <c r="C374" s="60" t="inlineStr">
        <is>
          <t>Aurora Wearable Lite-704</t>
        </is>
      </c>
      <c r="D374" s="58" t="inlineStr">
        <is>
          <t>Electronics</t>
        </is>
      </c>
      <c r="E374" s="58" t="inlineStr">
        <is>
          <t>East</t>
        </is>
      </c>
      <c r="F374" s="61" t="n">
        <v>1</v>
      </c>
      <c r="G374" s="62" t="n">
        <v>1775.81</v>
      </c>
      <c r="H374" s="63" t="n">
        <v>0.112</v>
      </c>
      <c r="I374" s="62" t="n">
        <v>1423.31</v>
      </c>
      <c r="J374" s="58" t="inlineStr">
        <is>
          <t>Online</t>
        </is>
      </c>
      <c r="K374" s="62">
        <f>F374*(G374-H374)</f>
        <v/>
      </c>
      <c r="L374" s="62">
        <f>K374-(F374*I374)</f>
        <v/>
      </c>
      <c r="M374" s="64">
        <f>L374/K374</f>
        <v/>
      </c>
    </row>
    <row r="375">
      <c r="A375" s="58" t="inlineStr">
        <is>
          <t>RT20250109-00374</t>
        </is>
      </c>
      <c r="B375" s="59" t="inlineStr">
        <is>
          <t>2025-01-09</t>
        </is>
      </c>
      <c r="C375" s="60" t="inlineStr">
        <is>
          <t>Falcon Team Sport Lite-268</t>
        </is>
      </c>
      <c r="D375" s="58" t="inlineStr">
        <is>
          <t>Sports</t>
        </is>
      </c>
      <c r="E375" s="58" t="inlineStr">
        <is>
          <t>South</t>
        </is>
      </c>
      <c r="F375" s="61" t="n">
        <v>2</v>
      </c>
      <c r="G375" s="62" t="n">
        <v>652.73</v>
      </c>
      <c r="H375" s="63" t="n">
        <v>0.017</v>
      </c>
      <c r="I375" s="62" t="n">
        <v>429.12</v>
      </c>
      <c r="J375" s="58" t="inlineStr">
        <is>
          <t>Store</t>
        </is>
      </c>
      <c r="K375" s="62">
        <f>F375*(G375-H375)</f>
        <v/>
      </c>
      <c r="L375" s="62">
        <f>K375-(F375*I375)</f>
        <v/>
      </c>
      <c r="M375" s="64">
        <f>L375/K375</f>
        <v/>
      </c>
    </row>
    <row r="376">
      <c r="A376" s="58" t="inlineStr">
        <is>
          <t>RT20250109-00375</t>
        </is>
      </c>
      <c r="B376" s="59" t="inlineStr">
        <is>
          <t>2025-01-09</t>
        </is>
      </c>
      <c r="C376" s="60" t="inlineStr">
        <is>
          <t>Vertex Skincare Pro-891</t>
        </is>
      </c>
      <c r="D376" s="58" t="inlineStr">
        <is>
          <t>Beauty</t>
        </is>
      </c>
      <c r="E376" s="58" t="inlineStr">
        <is>
          <t>East</t>
        </is>
      </c>
      <c r="F376" s="61" t="n">
        <v>2</v>
      </c>
      <c r="G376" s="62" t="n">
        <v>129.71</v>
      </c>
      <c r="H376" s="63" t="n">
        <v>0.014</v>
      </c>
      <c r="I376" s="62" t="n">
        <v>86.53</v>
      </c>
      <c r="J376" s="58" t="inlineStr">
        <is>
          <t>Store</t>
        </is>
      </c>
      <c r="K376" s="62">
        <f>F376*(G376-H376)</f>
        <v/>
      </c>
      <c r="L376" s="62">
        <f>K376-(F376*I376)</f>
        <v/>
      </c>
      <c r="M376" s="64">
        <f>L376/K376</f>
        <v/>
      </c>
    </row>
    <row r="377">
      <c r="A377" s="58" t="inlineStr">
        <is>
          <t>RT20250109-00376</t>
        </is>
      </c>
      <c r="B377" s="59" t="inlineStr">
        <is>
          <t>2025-01-09</t>
        </is>
      </c>
      <c r="C377" s="60" t="inlineStr">
        <is>
          <t>Aurora Household Plus-146</t>
        </is>
      </c>
      <c r="D377" s="58" t="inlineStr">
        <is>
          <t>Grocery</t>
        </is>
      </c>
      <c r="E377" s="58" t="inlineStr">
        <is>
          <t>Central</t>
        </is>
      </c>
      <c r="F377" s="61" t="n">
        <v>1</v>
      </c>
      <c r="G377" s="62" t="n">
        <v>6.81</v>
      </c>
      <c r="H377" s="63" t="n">
        <v>0.043</v>
      </c>
      <c r="I377" s="62" t="n">
        <v>4.51</v>
      </c>
      <c r="J377" s="58" t="inlineStr">
        <is>
          <t>Store</t>
        </is>
      </c>
      <c r="K377" s="62">
        <f>F377*(G377-H377)</f>
        <v/>
      </c>
      <c r="L377" s="62">
        <f>K377-(F377*I377)</f>
        <v/>
      </c>
      <c r="M377" s="64">
        <f>L377/K377</f>
        <v/>
      </c>
    </row>
    <row r="378">
      <c r="A378" s="58" t="inlineStr">
        <is>
          <t>RT20250109-00377</t>
        </is>
      </c>
      <c r="B378" s="59" t="inlineStr">
        <is>
          <t>2025-01-09</t>
        </is>
      </c>
      <c r="C378" s="60" t="inlineStr">
        <is>
          <t>Aurora Wearable Lite-162</t>
        </is>
      </c>
      <c r="D378" s="58" t="inlineStr">
        <is>
          <t>Electronics</t>
        </is>
      </c>
      <c r="E378" s="58" t="inlineStr">
        <is>
          <t>North</t>
        </is>
      </c>
      <c r="F378" s="61" t="n">
        <v>1</v>
      </c>
      <c r="G378" s="62" t="n">
        <v>1759.1</v>
      </c>
      <c r="H378" s="63" t="n">
        <v>0.106</v>
      </c>
      <c r="I378" s="62" t="n">
        <v>1180.11</v>
      </c>
      <c r="J378" s="58" t="inlineStr">
        <is>
          <t>Online</t>
        </is>
      </c>
      <c r="K378" s="62">
        <f>F378*(G378-H378)</f>
        <v/>
      </c>
      <c r="L378" s="62">
        <f>K378-(F378*I378)</f>
        <v/>
      </c>
      <c r="M378" s="64">
        <f>L378/K378</f>
        <v/>
      </c>
    </row>
    <row r="379">
      <c r="A379" s="58" t="inlineStr">
        <is>
          <t>RT20250109-00378</t>
        </is>
      </c>
      <c r="B379" s="59" t="inlineStr">
        <is>
          <t>2025-01-09</t>
        </is>
      </c>
      <c r="C379" s="60" t="inlineStr">
        <is>
          <t>Polar Fragrance Pro-750</t>
        </is>
      </c>
      <c r="D379" s="58" t="inlineStr">
        <is>
          <t>Beauty</t>
        </is>
      </c>
      <c r="E379" s="58" t="inlineStr">
        <is>
          <t>North</t>
        </is>
      </c>
      <c r="F379" s="61" t="n">
        <v>2</v>
      </c>
      <c r="G379" s="62" t="n">
        <v>70.25</v>
      </c>
      <c r="H379" s="63" t="n">
        <v>0.108</v>
      </c>
      <c r="I379" s="62" t="n">
        <v>38.08</v>
      </c>
      <c r="J379" s="58" t="inlineStr">
        <is>
          <t>Store</t>
        </is>
      </c>
      <c r="K379" s="62">
        <f>F379*(G379-H379)</f>
        <v/>
      </c>
      <c r="L379" s="62">
        <f>K379-(F379*I379)</f>
        <v/>
      </c>
      <c r="M379" s="64">
        <f>L379/K379</f>
        <v/>
      </c>
    </row>
    <row r="380">
      <c r="A380" s="58" t="inlineStr">
        <is>
          <t>RT20250109-00379</t>
        </is>
      </c>
      <c r="B380" s="59" t="inlineStr">
        <is>
          <t>2025-01-09</t>
        </is>
      </c>
      <c r="C380" s="60" t="inlineStr">
        <is>
          <t>Solace Snack S-691</t>
        </is>
      </c>
      <c r="D380" s="58" t="inlineStr">
        <is>
          <t>Grocery</t>
        </is>
      </c>
      <c r="E380" s="58" t="inlineStr">
        <is>
          <t>Central</t>
        </is>
      </c>
      <c r="F380" s="61" t="n">
        <v>1</v>
      </c>
      <c r="G380" s="62" t="n">
        <v>10.57</v>
      </c>
      <c r="H380" s="63" t="n">
        <v>0.03</v>
      </c>
      <c r="I380" s="62" t="n">
        <v>7.1</v>
      </c>
      <c r="J380" s="58" t="inlineStr">
        <is>
          <t>Online</t>
        </is>
      </c>
      <c r="K380" s="62">
        <f>F380*(G380-H380)</f>
        <v/>
      </c>
      <c r="L380" s="62">
        <f>K380-(F380*I380)</f>
        <v/>
      </c>
      <c r="M380" s="64">
        <f>L380/K380</f>
        <v/>
      </c>
    </row>
    <row r="381">
      <c r="A381" s="58" t="inlineStr">
        <is>
          <t>RT20250109-00380</t>
        </is>
      </c>
      <c r="B381" s="59" t="inlineStr">
        <is>
          <t>2025-01-09</t>
        </is>
      </c>
      <c r="C381" s="60" t="inlineStr">
        <is>
          <t>Falcon Household Plus-172</t>
        </is>
      </c>
      <c r="D381" s="58" t="inlineStr">
        <is>
          <t>Grocery</t>
        </is>
      </c>
      <c r="E381" s="58" t="inlineStr">
        <is>
          <t>South</t>
        </is>
      </c>
      <c r="F381" s="61" t="n">
        <v>6</v>
      </c>
      <c r="G381" s="62" t="n">
        <v>22.7</v>
      </c>
      <c r="H381" s="63" t="n">
        <v>0.062</v>
      </c>
      <c r="I381" s="62" t="n">
        <v>16.31</v>
      </c>
      <c r="J381" s="58" t="inlineStr">
        <is>
          <t>Phone</t>
        </is>
      </c>
      <c r="K381" s="62">
        <f>F381*(G381-H381)</f>
        <v/>
      </c>
      <c r="L381" s="62">
        <f>K381-(F381*I381)</f>
        <v/>
      </c>
      <c r="M381" s="64">
        <f>L381/K381</f>
        <v/>
      </c>
    </row>
    <row r="382">
      <c r="A382" s="58" t="inlineStr">
        <is>
          <t>RT20250109-00381</t>
        </is>
      </c>
      <c r="B382" s="59" t="inlineStr">
        <is>
          <t>2025-01-09</t>
        </is>
      </c>
      <c r="C382" s="60" t="inlineStr">
        <is>
          <t>Polar Women Max-927</t>
        </is>
      </c>
      <c r="D382" s="58" t="inlineStr">
        <is>
          <t>Apparel</t>
        </is>
      </c>
      <c r="E382" s="58" t="inlineStr">
        <is>
          <t>Central</t>
        </is>
      </c>
      <c r="F382" s="61" t="n">
        <v>3</v>
      </c>
      <c r="G382" s="62" t="n">
        <v>130.26</v>
      </c>
      <c r="H382" s="63" t="n">
        <v>0.034</v>
      </c>
      <c r="I382" s="62" t="n">
        <v>66.23</v>
      </c>
      <c r="J382" s="58" t="inlineStr">
        <is>
          <t>Store</t>
        </is>
      </c>
      <c r="K382" s="62">
        <f>F382*(G382-H382)</f>
        <v/>
      </c>
      <c r="L382" s="62">
        <f>K382-(F382*I382)</f>
        <v/>
      </c>
      <c r="M382" s="64">
        <f>L382/K382</f>
        <v/>
      </c>
    </row>
    <row r="383">
      <c r="A383" s="58" t="inlineStr">
        <is>
          <t>RT20250109-00382</t>
        </is>
      </c>
      <c r="B383" s="59" t="inlineStr">
        <is>
          <t>2025-01-09</t>
        </is>
      </c>
      <c r="C383" s="60" t="inlineStr">
        <is>
          <t>Metro Smartphone Max-773</t>
        </is>
      </c>
      <c r="D383" s="58" t="inlineStr">
        <is>
          <t>Electronics</t>
        </is>
      </c>
      <c r="E383" s="58" t="inlineStr">
        <is>
          <t>East</t>
        </is>
      </c>
      <c r="F383" s="61" t="n">
        <v>1</v>
      </c>
      <c r="G383" s="62" t="n">
        <v>1548.05</v>
      </c>
      <c r="H383" s="63" t="n">
        <v>0.079</v>
      </c>
      <c r="I383" s="62" t="n">
        <v>1110.01</v>
      </c>
      <c r="J383" s="58" t="inlineStr">
        <is>
          <t>Store</t>
        </is>
      </c>
      <c r="K383" s="62">
        <f>F383*(G383-H383)</f>
        <v/>
      </c>
      <c r="L383" s="62">
        <f>K383-(F383*I383)</f>
        <v/>
      </c>
      <c r="M383" s="64">
        <f>L383/K383</f>
        <v/>
      </c>
    </row>
    <row r="384">
      <c r="A384" s="58" t="inlineStr">
        <is>
          <t>RT20250109-00383</t>
        </is>
      </c>
      <c r="B384" s="59" t="inlineStr">
        <is>
          <t>2025-01-09</t>
        </is>
      </c>
      <c r="C384" s="60" t="inlineStr">
        <is>
          <t>Aurora Appliance Lite-109</t>
        </is>
      </c>
      <c r="D384" s="58" t="inlineStr">
        <is>
          <t>Home</t>
        </is>
      </c>
      <c r="E384" s="58" t="inlineStr">
        <is>
          <t>East</t>
        </is>
      </c>
      <c r="F384" s="61" t="n">
        <v>1</v>
      </c>
      <c r="G384" s="62" t="n">
        <v>308.67</v>
      </c>
      <c r="H384" s="63" t="n">
        <v>0.074</v>
      </c>
      <c r="I384" s="62" t="n">
        <v>204.05</v>
      </c>
      <c r="J384" s="58" t="inlineStr">
        <is>
          <t>Online</t>
        </is>
      </c>
      <c r="K384" s="62">
        <f>F384*(G384-H384)</f>
        <v/>
      </c>
      <c r="L384" s="62">
        <f>K384-(F384*I384)</f>
        <v/>
      </c>
      <c r="M384" s="64">
        <f>L384/K384</f>
        <v/>
      </c>
    </row>
    <row r="385">
      <c r="A385" s="58" t="inlineStr">
        <is>
          <t>RT20250109-00384</t>
        </is>
      </c>
      <c r="B385" s="59" t="inlineStr">
        <is>
          <t>2025-01-09</t>
        </is>
      </c>
      <c r="C385" s="60" t="inlineStr">
        <is>
          <t>Polar Snack Pro-641</t>
        </is>
      </c>
      <c r="D385" s="58" t="inlineStr">
        <is>
          <t>Grocery</t>
        </is>
      </c>
      <c r="E385" s="58" t="inlineStr">
        <is>
          <t>North</t>
        </is>
      </c>
      <c r="F385" s="61" t="n">
        <v>3</v>
      </c>
      <c r="G385" s="62" t="n">
        <v>12.13</v>
      </c>
      <c r="H385" s="63" t="n">
        <v>0.08599999999999999</v>
      </c>
      <c r="I385" s="62" t="n">
        <v>9.279999999999999</v>
      </c>
      <c r="J385" s="58" t="inlineStr">
        <is>
          <t>Store</t>
        </is>
      </c>
      <c r="K385" s="62">
        <f>F385*(G385-H385)</f>
        <v/>
      </c>
      <c r="L385" s="62">
        <f>K385-(F385*I385)</f>
        <v/>
      </c>
      <c r="M385" s="64">
        <f>L385/K385</f>
        <v/>
      </c>
    </row>
    <row r="386">
      <c r="A386" s="58" t="inlineStr">
        <is>
          <t>RT20250109-00385</t>
        </is>
      </c>
      <c r="B386" s="59" t="inlineStr">
        <is>
          <t>2025-01-09</t>
        </is>
      </c>
      <c r="C386" s="60" t="inlineStr">
        <is>
          <t>Vertex Fitnes Pro-830</t>
        </is>
      </c>
      <c r="D386" s="58" t="inlineStr">
        <is>
          <t>Sports</t>
        </is>
      </c>
      <c r="E386" s="58" t="inlineStr">
        <is>
          <t>East</t>
        </is>
      </c>
      <c r="F386" s="61" t="n">
        <v>1</v>
      </c>
      <c r="G386" s="62" t="n">
        <v>756.66</v>
      </c>
      <c r="H386" s="63" t="n">
        <v>0.07099999999999999</v>
      </c>
      <c r="I386" s="62" t="n">
        <v>489.32</v>
      </c>
      <c r="J386" s="58" t="inlineStr">
        <is>
          <t>Online</t>
        </is>
      </c>
      <c r="K386" s="62">
        <f>F386*(G386-H386)</f>
        <v/>
      </c>
      <c r="L386" s="62">
        <f>K386-(F386*I386)</f>
        <v/>
      </c>
      <c r="M386" s="64">
        <f>L386/K386</f>
        <v/>
      </c>
    </row>
    <row r="387">
      <c r="A387" s="58" t="inlineStr">
        <is>
          <t>RT20250109-00386</t>
        </is>
      </c>
      <c r="B387" s="59" t="inlineStr">
        <is>
          <t>2025-01-09</t>
        </is>
      </c>
      <c r="C387" s="60" t="inlineStr">
        <is>
          <t>Nimbus Makeup Max-158</t>
        </is>
      </c>
      <c r="D387" s="58" t="inlineStr">
        <is>
          <t>Beauty</t>
        </is>
      </c>
      <c r="E387" s="58" t="inlineStr">
        <is>
          <t>East</t>
        </is>
      </c>
      <c r="F387" s="61" t="n">
        <v>1</v>
      </c>
      <c r="G387" s="62" t="n">
        <v>154.29</v>
      </c>
      <c r="H387" s="63" t="n">
        <v>0.111</v>
      </c>
      <c r="I387" s="62" t="n">
        <v>94.45999999999999</v>
      </c>
      <c r="J387" s="58" t="inlineStr">
        <is>
          <t>Online</t>
        </is>
      </c>
      <c r="K387" s="62">
        <f>F387*(G387-H387)</f>
        <v/>
      </c>
      <c r="L387" s="62">
        <f>K387-(F387*I387)</f>
        <v/>
      </c>
      <c r="M387" s="64">
        <f>L387/K387</f>
        <v/>
      </c>
    </row>
    <row r="388">
      <c r="A388" s="58" t="inlineStr">
        <is>
          <t>RT20250109-00387</t>
        </is>
      </c>
      <c r="B388" s="59" t="inlineStr">
        <is>
          <t>2025-01-09</t>
        </is>
      </c>
      <c r="C388" s="60" t="inlineStr">
        <is>
          <t>Aurora Furniture X-709</t>
        </is>
      </c>
      <c r="D388" s="58" t="inlineStr">
        <is>
          <t>Office</t>
        </is>
      </c>
      <c r="E388" s="58" t="inlineStr">
        <is>
          <t>East</t>
        </is>
      </c>
      <c r="F388" s="61" t="n">
        <v>3</v>
      </c>
      <c r="G388" s="62" t="n">
        <v>474.72</v>
      </c>
      <c r="H388" s="63" t="n">
        <v>0.091</v>
      </c>
      <c r="I388" s="62" t="n">
        <v>301.28</v>
      </c>
      <c r="J388" s="58" t="inlineStr">
        <is>
          <t>Online</t>
        </is>
      </c>
      <c r="K388" s="62">
        <f>F388*(G388-H388)</f>
        <v/>
      </c>
      <c r="L388" s="62">
        <f>K388-(F388*I388)</f>
        <v/>
      </c>
      <c r="M388" s="64">
        <f>L388/K388</f>
        <v/>
      </c>
    </row>
    <row r="389">
      <c r="A389" s="58" t="inlineStr">
        <is>
          <t>RT20250109-00388</t>
        </is>
      </c>
      <c r="B389" s="59" t="inlineStr">
        <is>
          <t>2025-01-09</t>
        </is>
      </c>
      <c r="C389" s="60" t="inlineStr">
        <is>
          <t>Polar Men Pro-246</t>
        </is>
      </c>
      <c r="D389" s="58" t="inlineStr">
        <is>
          <t>Apparel</t>
        </is>
      </c>
      <c r="E389" s="58" t="inlineStr">
        <is>
          <t>West</t>
        </is>
      </c>
      <c r="F389" s="61" t="n">
        <v>4</v>
      </c>
      <c r="G389" s="62" t="n">
        <v>131.93</v>
      </c>
      <c r="H389" s="63" t="n">
        <v>0.054</v>
      </c>
      <c r="I389" s="62" t="n">
        <v>76.54000000000001</v>
      </c>
      <c r="J389" s="58" t="inlineStr">
        <is>
          <t>Online</t>
        </is>
      </c>
      <c r="K389" s="62">
        <f>F389*(G389-H389)</f>
        <v/>
      </c>
      <c r="L389" s="62">
        <f>K389-(F389*I389)</f>
        <v/>
      </c>
      <c r="M389" s="64">
        <f>L389/K389</f>
        <v/>
      </c>
    </row>
    <row r="390">
      <c r="A390" s="58" t="inlineStr">
        <is>
          <t>RT20250109-00389</t>
        </is>
      </c>
      <c r="B390" s="59" t="inlineStr">
        <is>
          <t>2025-01-09</t>
        </is>
      </c>
      <c r="C390" s="60" t="inlineStr">
        <is>
          <t>Metro Outdoor Plus-787</t>
        </is>
      </c>
      <c r="D390" s="58" t="inlineStr">
        <is>
          <t>Sports</t>
        </is>
      </c>
      <c r="E390" s="58" t="inlineStr">
        <is>
          <t>Central</t>
        </is>
      </c>
      <c r="F390" s="61" t="n">
        <v>2</v>
      </c>
      <c r="G390" s="62" t="n">
        <v>573.95</v>
      </c>
      <c r="H390" s="63" t="n">
        <v>0.066</v>
      </c>
      <c r="I390" s="62" t="n">
        <v>351.69</v>
      </c>
      <c r="J390" s="58" t="inlineStr">
        <is>
          <t>Online</t>
        </is>
      </c>
      <c r="K390" s="62">
        <f>F390*(G390-H390)</f>
        <v/>
      </c>
      <c r="L390" s="62">
        <f>K390-(F390*I390)</f>
        <v/>
      </c>
      <c r="M390" s="64">
        <f>L390/K390</f>
        <v/>
      </c>
    </row>
    <row r="391">
      <c r="A391" s="58" t="inlineStr">
        <is>
          <t>RT20250109-00390</t>
        </is>
      </c>
      <c r="B391" s="59" t="inlineStr">
        <is>
          <t>2025-01-09</t>
        </is>
      </c>
      <c r="C391" s="60" t="inlineStr">
        <is>
          <t>Aurora Smartphone Plus-125</t>
        </is>
      </c>
      <c r="D391" s="58" t="inlineStr">
        <is>
          <t>Electronics</t>
        </is>
      </c>
      <c r="E391" s="58" t="inlineStr">
        <is>
          <t>East</t>
        </is>
      </c>
      <c r="F391" s="61" t="n">
        <v>2</v>
      </c>
      <c r="G391" s="62" t="n">
        <v>1555.88</v>
      </c>
      <c r="H391" s="63" t="n">
        <v>0.08699999999999999</v>
      </c>
      <c r="I391" s="62" t="n">
        <v>1242.89</v>
      </c>
      <c r="J391" s="58" t="inlineStr">
        <is>
          <t>Store</t>
        </is>
      </c>
      <c r="K391" s="62">
        <f>F391*(G391-H391)</f>
        <v/>
      </c>
      <c r="L391" s="62">
        <f>K391-(F391*I391)</f>
        <v/>
      </c>
      <c r="M391" s="64">
        <f>L391/K391</f>
        <v/>
      </c>
    </row>
    <row r="392">
      <c r="A392" s="58" t="inlineStr">
        <is>
          <t>RT20250109-00391</t>
        </is>
      </c>
      <c r="B392" s="59" t="inlineStr">
        <is>
          <t>2025-01-09</t>
        </is>
      </c>
      <c r="C392" s="60" t="inlineStr">
        <is>
          <t>Polar Wearable X-119</t>
        </is>
      </c>
      <c r="D392" s="58" t="inlineStr">
        <is>
          <t>Electronics</t>
        </is>
      </c>
      <c r="E392" s="58" t="inlineStr">
        <is>
          <t>North</t>
        </is>
      </c>
      <c r="F392" s="61" t="n">
        <v>2</v>
      </c>
      <c r="G392" s="62" t="n">
        <v>1830.85</v>
      </c>
      <c r="H392" s="63" t="n">
        <v>0.07199999999999999</v>
      </c>
      <c r="I392" s="62" t="n">
        <v>1318.39</v>
      </c>
      <c r="J392" s="58" t="inlineStr">
        <is>
          <t>Store</t>
        </is>
      </c>
      <c r="K392" s="62">
        <f>F392*(G392-H392)</f>
        <v/>
      </c>
      <c r="L392" s="62">
        <f>K392-(F392*I392)</f>
        <v/>
      </c>
      <c r="M392" s="64">
        <f>L392/K392</f>
        <v/>
      </c>
    </row>
    <row r="393">
      <c r="A393" s="58" t="inlineStr">
        <is>
          <t>RT20250109-00392</t>
        </is>
      </c>
      <c r="B393" s="59" t="inlineStr">
        <is>
          <t>2025-01-09</t>
        </is>
      </c>
      <c r="C393" s="60" t="inlineStr">
        <is>
          <t>Polar Decor Plus-505</t>
        </is>
      </c>
      <c r="D393" s="58" t="inlineStr">
        <is>
          <t>Home</t>
        </is>
      </c>
      <c r="E393" s="58" t="inlineStr">
        <is>
          <t>Central</t>
        </is>
      </c>
      <c r="F393" s="61" t="n">
        <v>1</v>
      </c>
      <c r="G393" s="62" t="n">
        <v>275.44</v>
      </c>
      <c r="H393" s="63" t="n">
        <v>0.031</v>
      </c>
      <c r="I393" s="62" t="n">
        <v>202.25</v>
      </c>
      <c r="J393" s="58" t="inlineStr">
        <is>
          <t>Online</t>
        </is>
      </c>
      <c r="K393" s="62">
        <f>F393*(G393-H393)</f>
        <v/>
      </c>
      <c r="L393" s="62">
        <f>K393-(F393*I393)</f>
        <v/>
      </c>
      <c r="M393" s="64">
        <f>L393/K393</f>
        <v/>
      </c>
    </row>
    <row r="394">
      <c r="A394" s="58" t="inlineStr">
        <is>
          <t>RT20250109-00393</t>
        </is>
      </c>
      <c r="B394" s="59" t="inlineStr">
        <is>
          <t>2025-01-09</t>
        </is>
      </c>
      <c r="C394" s="60" t="inlineStr">
        <is>
          <t>Nimbus Decor Lite-385</t>
        </is>
      </c>
      <c r="D394" s="58" t="inlineStr">
        <is>
          <t>Home</t>
        </is>
      </c>
      <c r="E394" s="58" t="inlineStr">
        <is>
          <t>Central</t>
        </is>
      </c>
      <c r="F394" s="61" t="n">
        <v>2</v>
      </c>
      <c r="G394" s="62" t="n">
        <v>536.1900000000001</v>
      </c>
      <c r="H394" s="63" t="n">
        <v>0.035</v>
      </c>
      <c r="I394" s="62" t="n">
        <v>391.31</v>
      </c>
      <c r="J394" s="58" t="inlineStr">
        <is>
          <t>Online</t>
        </is>
      </c>
      <c r="K394" s="62">
        <f>F394*(G394-H394)</f>
        <v/>
      </c>
      <c r="L394" s="62">
        <f>K394-(F394*I394)</f>
        <v/>
      </c>
      <c r="M394" s="64">
        <f>L394/K394</f>
        <v/>
      </c>
    </row>
    <row r="395">
      <c r="A395" s="58" t="inlineStr">
        <is>
          <t>RT20250109-00394</t>
        </is>
      </c>
      <c r="B395" s="59" t="inlineStr">
        <is>
          <t>2025-01-09</t>
        </is>
      </c>
      <c r="C395" s="60" t="inlineStr">
        <is>
          <t>Polar Haircare Max-614</t>
        </is>
      </c>
      <c r="D395" s="58" t="inlineStr">
        <is>
          <t>Beauty</t>
        </is>
      </c>
      <c r="E395" s="58" t="inlineStr">
        <is>
          <t>South</t>
        </is>
      </c>
      <c r="F395" s="61" t="n">
        <v>1</v>
      </c>
      <c r="G395" s="62" t="n">
        <v>108.69</v>
      </c>
      <c r="H395" s="63" t="n">
        <v>0.044</v>
      </c>
      <c r="I395" s="62" t="n">
        <v>71.38</v>
      </c>
      <c r="J395" s="58" t="inlineStr">
        <is>
          <t>Store</t>
        </is>
      </c>
      <c r="K395" s="62">
        <f>F395*(G395-H395)</f>
        <v/>
      </c>
      <c r="L395" s="62">
        <f>K395-(F395*I395)</f>
        <v/>
      </c>
      <c r="M395" s="64">
        <f>L395/K395</f>
        <v/>
      </c>
    </row>
    <row r="396">
      <c r="A396" s="58" t="inlineStr">
        <is>
          <t>RT20250109-00395</t>
        </is>
      </c>
      <c r="B396" s="59" t="inlineStr">
        <is>
          <t>2025-01-09</t>
        </is>
      </c>
      <c r="C396" s="60" t="inlineStr">
        <is>
          <t>Nimbus Makeup Max-158</t>
        </is>
      </c>
      <c r="D396" s="58" t="inlineStr">
        <is>
          <t>Beauty</t>
        </is>
      </c>
      <c r="E396" s="58" t="inlineStr">
        <is>
          <t>West</t>
        </is>
      </c>
      <c r="F396" s="61" t="n">
        <v>1</v>
      </c>
      <c r="G396" s="62" t="n">
        <v>153.6</v>
      </c>
      <c r="H396" s="63" t="n">
        <v>0.021</v>
      </c>
      <c r="I396" s="62" t="n">
        <v>94</v>
      </c>
      <c r="J396" s="58" t="inlineStr">
        <is>
          <t>Online</t>
        </is>
      </c>
      <c r="K396" s="62">
        <f>F396*(G396-H396)</f>
        <v/>
      </c>
      <c r="L396" s="62">
        <f>K396-(F396*I396)</f>
        <v/>
      </c>
      <c r="M396" s="64">
        <f>L396/K396</f>
        <v/>
      </c>
    </row>
    <row r="397">
      <c r="A397" s="58" t="inlineStr">
        <is>
          <t>RT20250109-00396</t>
        </is>
      </c>
      <c r="B397" s="59" t="inlineStr">
        <is>
          <t>2025-01-09</t>
        </is>
      </c>
      <c r="C397" s="60" t="inlineStr">
        <is>
          <t>Metro Outdoor Plus-787</t>
        </is>
      </c>
      <c r="D397" s="58" t="inlineStr">
        <is>
          <t>Sports</t>
        </is>
      </c>
      <c r="E397" s="58" t="inlineStr">
        <is>
          <t>North</t>
        </is>
      </c>
      <c r="F397" s="61" t="n">
        <v>3</v>
      </c>
      <c r="G397" s="62" t="n">
        <v>481.25</v>
      </c>
      <c r="H397" s="63" t="n">
        <v>0.08400000000000001</v>
      </c>
      <c r="I397" s="62" t="n">
        <v>350.59</v>
      </c>
      <c r="J397" s="58" t="inlineStr">
        <is>
          <t>Online</t>
        </is>
      </c>
      <c r="K397" s="62">
        <f>F397*(G397-H397)</f>
        <v/>
      </c>
      <c r="L397" s="62">
        <f>K397-(F397*I397)</f>
        <v/>
      </c>
      <c r="M397" s="64">
        <f>L397/K397</f>
        <v/>
      </c>
    </row>
    <row r="398">
      <c r="A398" s="58" t="inlineStr">
        <is>
          <t>RT20250110-00397</t>
        </is>
      </c>
      <c r="B398" s="59" t="inlineStr">
        <is>
          <t>2025-01-10</t>
        </is>
      </c>
      <c r="C398" s="60" t="inlineStr">
        <is>
          <t>Aurora Wearable Lite-162</t>
        </is>
      </c>
      <c r="D398" s="58" t="inlineStr">
        <is>
          <t>Electronics</t>
        </is>
      </c>
      <c r="E398" s="58" t="inlineStr">
        <is>
          <t>West</t>
        </is>
      </c>
      <c r="F398" s="61" t="n">
        <v>1</v>
      </c>
      <c r="G398" s="62" t="n">
        <v>1459.87</v>
      </c>
      <c r="H398" s="63" t="n">
        <v>0.08799999999999999</v>
      </c>
      <c r="I398" s="62" t="n">
        <v>1163.89</v>
      </c>
      <c r="J398" s="58" t="inlineStr">
        <is>
          <t>Online</t>
        </is>
      </c>
      <c r="K398" s="62">
        <f>F398*(G398-H398)</f>
        <v/>
      </c>
      <c r="L398" s="62">
        <f>K398-(F398*I398)</f>
        <v/>
      </c>
      <c r="M398" s="64">
        <f>L398/K398</f>
        <v/>
      </c>
    </row>
    <row r="399">
      <c r="A399" s="58" t="inlineStr">
        <is>
          <t>RT20250110-00398</t>
        </is>
      </c>
      <c r="B399" s="59" t="inlineStr">
        <is>
          <t>2025-01-10</t>
        </is>
      </c>
      <c r="C399" s="60" t="inlineStr">
        <is>
          <t>Vertex Decor Pro-618</t>
        </is>
      </c>
      <c r="D399" s="58" t="inlineStr">
        <is>
          <t>Home</t>
        </is>
      </c>
      <c r="E399" s="58" t="inlineStr">
        <is>
          <t>East</t>
        </is>
      </c>
      <c r="F399" s="61" t="n">
        <v>2</v>
      </c>
      <c r="G399" s="62" t="n">
        <v>597.54</v>
      </c>
      <c r="H399" s="63" t="n">
        <v>0.022</v>
      </c>
      <c r="I399" s="62" t="n">
        <v>384.48</v>
      </c>
      <c r="J399" s="58" t="inlineStr">
        <is>
          <t>Store</t>
        </is>
      </c>
      <c r="K399" s="62">
        <f>F399*(G399-H399)</f>
        <v/>
      </c>
      <c r="L399" s="62">
        <f>K399-(F399*I399)</f>
        <v/>
      </c>
      <c r="M399" s="64">
        <f>L399/K399</f>
        <v/>
      </c>
    </row>
    <row r="400">
      <c r="A400" s="58" t="inlineStr">
        <is>
          <t>RT20250110-00399</t>
        </is>
      </c>
      <c r="B400" s="59" t="inlineStr">
        <is>
          <t>2025-01-10</t>
        </is>
      </c>
      <c r="C400" s="60" t="inlineStr">
        <is>
          <t>Aurora Wearable Lite-162</t>
        </is>
      </c>
      <c r="D400" s="58" t="inlineStr">
        <is>
          <t>Electronics</t>
        </is>
      </c>
      <c r="E400" s="58" t="inlineStr">
        <is>
          <t>Central</t>
        </is>
      </c>
      <c r="F400" s="61" t="n">
        <v>1</v>
      </c>
      <c r="G400" s="62" t="n">
        <v>1597.59</v>
      </c>
      <c r="H400" s="63" t="n">
        <v>0.059</v>
      </c>
      <c r="I400" s="62" t="n">
        <v>1177.2</v>
      </c>
      <c r="J400" s="58" t="inlineStr">
        <is>
          <t>Store</t>
        </is>
      </c>
      <c r="K400" s="62">
        <f>F400*(G400-H400)</f>
        <v/>
      </c>
      <c r="L400" s="62">
        <f>K400-(F400*I400)</f>
        <v/>
      </c>
      <c r="M400" s="64">
        <f>L400/K400</f>
        <v/>
      </c>
    </row>
    <row r="401">
      <c r="A401" s="58" t="inlineStr">
        <is>
          <t>RT20250110-00400</t>
        </is>
      </c>
      <c r="B401" s="59" t="inlineStr">
        <is>
          <t>2025-01-10</t>
        </is>
      </c>
      <c r="C401" s="60" t="inlineStr">
        <is>
          <t>Solace Kitchen Pro-999</t>
        </is>
      </c>
      <c r="D401" s="58" t="inlineStr">
        <is>
          <t>Home</t>
        </is>
      </c>
      <c r="E401" s="58" t="inlineStr">
        <is>
          <t>West</t>
        </is>
      </c>
      <c r="F401" s="61" t="n">
        <v>1</v>
      </c>
      <c r="G401" s="62" t="n">
        <v>377.01</v>
      </c>
      <c r="H401" s="63" t="n">
        <v>0.055</v>
      </c>
      <c r="I401" s="62" t="n">
        <v>263.51</v>
      </c>
      <c r="J401" s="58" t="inlineStr">
        <is>
          <t>Store</t>
        </is>
      </c>
      <c r="K401" s="62">
        <f>F401*(G401-H401)</f>
        <v/>
      </c>
      <c r="L401" s="62">
        <f>K401-(F401*I401)</f>
        <v/>
      </c>
      <c r="M401" s="64">
        <f>L401/K401</f>
        <v/>
      </c>
    </row>
    <row r="402">
      <c r="A402" s="58" t="inlineStr">
        <is>
          <t>RT20250110-00401</t>
        </is>
      </c>
      <c r="B402" s="59" t="inlineStr">
        <is>
          <t>2025-01-10</t>
        </is>
      </c>
      <c r="C402" s="60" t="inlineStr">
        <is>
          <t>Solace Kitchen Pro-510</t>
        </is>
      </c>
      <c r="D402" s="58" t="inlineStr">
        <is>
          <t>Home</t>
        </is>
      </c>
      <c r="E402" s="58" t="inlineStr">
        <is>
          <t>West</t>
        </is>
      </c>
      <c r="F402" s="61" t="n">
        <v>1</v>
      </c>
      <c r="G402" s="62" t="n">
        <v>476.77</v>
      </c>
      <c r="H402" s="63" t="n">
        <v>0</v>
      </c>
      <c r="I402" s="62" t="n">
        <v>303.22</v>
      </c>
      <c r="J402" s="58" t="inlineStr">
        <is>
          <t>Online</t>
        </is>
      </c>
      <c r="K402" s="62">
        <f>F402*(G402-H402)</f>
        <v/>
      </c>
      <c r="L402" s="62">
        <f>K402-(F402*I402)</f>
        <v/>
      </c>
      <c r="M402" s="64">
        <f>L402/K402</f>
        <v/>
      </c>
    </row>
    <row r="403">
      <c r="A403" s="58" t="inlineStr">
        <is>
          <t>RT20250110-00402</t>
        </is>
      </c>
      <c r="B403" s="59" t="inlineStr">
        <is>
          <t>2025-01-10</t>
        </is>
      </c>
      <c r="C403" s="60" t="inlineStr">
        <is>
          <t>Aurora Skincare Max-798</t>
        </is>
      </c>
      <c r="D403" s="58" t="inlineStr">
        <is>
          <t>Beauty</t>
        </is>
      </c>
      <c r="E403" s="58" t="inlineStr">
        <is>
          <t>West</t>
        </is>
      </c>
      <c r="F403" s="61" t="n">
        <v>1</v>
      </c>
      <c r="G403" s="62" t="n">
        <v>103.75</v>
      </c>
      <c r="H403" s="63" t="n">
        <v>0.077</v>
      </c>
      <c r="I403" s="62" t="n">
        <v>66.77</v>
      </c>
      <c r="J403" s="58" t="inlineStr">
        <is>
          <t>Store</t>
        </is>
      </c>
      <c r="K403" s="62">
        <f>F403*(G403-H403)</f>
        <v/>
      </c>
      <c r="L403" s="62">
        <f>K403-(F403*I403)</f>
        <v/>
      </c>
      <c r="M403" s="64">
        <f>L403/K403</f>
        <v/>
      </c>
    </row>
    <row r="404">
      <c r="A404" s="58" t="inlineStr">
        <is>
          <t>RT20250110-00403</t>
        </is>
      </c>
      <c r="B404" s="59" t="inlineStr">
        <is>
          <t>2025-01-10</t>
        </is>
      </c>
      <c r="C404" s="60" t="inlineStr">
        <is>
          <t>Falcon Beverage Max-702</t>
        </is>
      </c>
      <c r="D404" s="58" t="inlineStr">
        <is>
          <t>Grocery</t>
        </is>
      </c>
      <c r="E404" s="58" t="inlineStr">
        <is>
          <t>East</t>
        </is>
      </c>
      <c r="F404" s="61" t="n">
        <v>5</v>
      </c>
      <c r="G404" s="62" t="n">
        <v>28.44</v>
      </c>
      <c r="H404" s="63" t="n">
        <v>0.033</v>
      </c>
      <c r="I404" s="62" t="n">
        <v>20.38</v>
      </c>
      <c r="J404" s="58" t="inlineStr">
        <is>
          <t>Store</t>
        </is>
      </c>
      <c r="K404" s="62">
        <f>F404*(G404-H404)</f>
        <v/>
      </c>
      <c r="L404" s="62">
        <f>K404-(F404*I404)</f>
        <v/>
      </c>
      <c r="M404" s="64">
        <f>L404/K404</f>
        <v/>
      </c>
    </row>
    <row r="405">
      <c r="A405" s="58" t="inlineStr">
        <is>
          <t>RT20250110-00404</t>
        </is>
      </c>
      <c r="B405" s="59" t="inlineStr">
        <is>
          <t>2025-01-10</t>
        </is>
      </c>
      <c r="C405" s="60" t="inlineStr">
        <is>
          <t>Falcon Beverage Max-702</t>
        </is>
      </c>
      <c r="D405" s="58" t="inlineStr">
        <is>
          <t>Grocery</t>
        </is>
      </c>
      <c r="E405" s="58" t="inlineStr">
        <is>
          <t>South</t>
        </is>
      </c>
      <c r="F405" s="61" t="n">
        <v>2</v>
      </c>
      <c r="G405" s="62" t="n">
        <v>26.35</v>
      </c>
      <c r="H405" s="63" t="n">
        <v>0.094</v>
      </c>
      <c r="I405" s="62" t="n">
        <v>19.81</v>
      </c>
      <c r="J405" s="58" t="inlineStr">
        <is>
          <t>Online</t>
        </is>
      </c>
      <c r="K405" s="62">
        <f>F405*(G405-H405)</f>
        <v/>
      </c>
      <c r="L405" s="62">
        <f>K405-(F405*I405)</f>
        <v/>
      </c>
      <c r="M405" s="64">
        <f>L405/K405</f>
        <v/>
      </c>
    </row>
    <row r="406">
      <c r="A406" s="58" t="inlineStr">
        <is>
          <t>RT20250110-00405</t>
        </is>
      </c>
      <c r="B406" s="59" t="inlineStr">
        <is>
          <t>2025-01-10</t>
        </is>
      </c>
      <c r="C406" s="60" t="inlineStr">
        <is>
          <t>Falcon Household Plus-172</t>
        </is>
      </c>
      <c r="D406" s="58" t="inlineStr">
        <is>
          <t>Grocery</t>
        </is>
      </c>
      <c r="E406" s="58" t="inlineStr">
        <is>
          <t>South</t>
        </is>
      </c>
      <c r="F406" s="61" t="n">
        <v>8</v>
      </c>
      <c r="G406" s="62" t="n">
        <v>20.99</v>
      </c>
      <c r="H406" s="63" t="n">
        <v>0.067</v>
      </c>
      <c r="I406" s="62" t="n">
        <v>16.32</v>
      </c>
      <c r="J406" s="58" t="inlineStr">
        <is>
          <t>Online</t>
        </is>
      </c>
      <c r="K406" s="62">
        <f>F406*(G406-H406)</f>
        <v/>
      </c>
      <c r="L406" s="62">
        <f>K406-(F406*I406)</f>
        <v/>
      </c>
      <c r="M406" s="64">
        <f>L406/K406</f>
        <v/>
      </c>
    </row>
    <row r="407">
      <c r="A407" s="58" t="inlineStr">
        <is>
          <t>RT20250110-00406</t>
        </is>
      </c>
      <c r="B407" s="59" t="inlineStr">
        <is>
          <t>2025-01-10</t>
        </is>
      </c>
      <c r="C407" s="60" t="inlineStr">
        <is>
          <t>Falcon Team Sport Lite-268</t>
        </is>
      </c>
      <c r="D407" s="58" t="inlineStr">
        <is>
          <t>Sports</t>
        </is>
      </c>
      <c r="E407" s="58" t="inlineStr">
        <is>
          <t>South</t>
        </is>
      </c>
      <c r="F407" s="61" t="n">
        <v>3</v>
      </c>
      <c r="G407" s="62" t="n">
        <v>615.87</v>
      </c>
      <c r="H407" s="63" t="n">
        <v>0.078</v>
      </c>
      <c r="I407" s="62" t="n">
        <v>440.62</v>
      </c>
      <c r="J407" s="58" t="inlineStr">
        <is>
          <t>Online</t>
        </is>
      </c>
      <c r="K407" s="62">
        <f>F407*(G407-H407)</f>
        <v/>
      </c>
      <c r="L407" s="62">
        <f>K407-(F407*I407)</f>
        <v/>
      </c>
      <c r="M407" s="64">
        <f>L407/K407</f>
        <v/>
      </c>
    </row>
    <row r="408">
      <c r="A408" s="58" t="inlineStr">
        <is>
          <t>RT20250110-00407</t>
        </is>
      </c>
      <c r="B408" s="59" t="inlineStr">
        <is>
          <t>2025-01-10</t>
        </is>
      </c>
      <c r="C408" s="60" t="inlineStr">
        <is>
          <t>Aurora Household Plus-146</t>
        </is>
      </c>
      <c r="D408" s="58" t="inlineStr">
        <is>
          <t>Grocery</t>
        </is>
      </c>
      <c r="E408" s="58" t="inlineStr">
        <is>
          <t>South</t>
        </is>
      </c>
      <c r="F408" s="61" t="n">
        <v>2</v>
      </c>
      <c r="G408" s="62" t="n">
        <v>6.52</v>
      </c>
      <c r="H408" s="63" t="n">
        <v>0.037</v>
      </c>
      <c r="I408" s="62" t="n">
        <v>4.54</v>
      </c>
      <c r="J408" s="58" t="inlineStr">
        <is>
          <t>Online</t>
        </is>
      </c>
      <c r="K408" s="62">
        <f>F408*(G408-H408)</f>
        <v/>
      </c>
      <c r="L408" s="62">
        <f>K408-(F408*I408)</f>
        <v/>
      </c>
      <c r="M408" s="64">
        <f>L408/K408</f>
        <v/>
      </c>
    </row>
    <row r="409">
      <c r="A409" s="58" t="inlineStr">
        <is>
          <t>RT20250110-00408</t>
        </is>
      </c>
      <c r="B409" s="59" t="inlineStr">
        <is>
          <t>2025-01-10</t>
        </is>
      </c>
      <c r="C409" s="60" t="inlineStr">
        <is>
          <t>Vertex Decor Pro-618</t>
        </is>
      </c>
      <c r="D409" s="58" t="inlineStr">
        <is>
          <t>Home</t>
        </is>
      </c>
      <c r="E409" s="58" t="inlineStr">
        <is>
          <t>North</t>
        </is>
      </c>
      <c r="F409" s="61" t="n">
        <v>1</v>
      </c>
      <c r="G409" s="62" t="n">
        <v>506.55</v>
      </c>
      <c r="H409" s="63" t="n">
        <v>0.074</v>
      </c>
      <c r="I409" s="62" t="n">
        <v>383.2</v>
      </c>
      <c r="J409" s="58" t="inlineStr">
        <is>
          <t>Online</t>
        </is>
      </c>
      <c r="K409" s="62">
        <f>F409*(G409-H409)</f>
        <v/>
      </c>
      <c r="L409" s="62">
        <f>K409-(F409*I409)</f>
        <v/>
      </c>
      <c r="M409" s="64">
        <f>L409/K409</f>
        <v/>
      </c>
    </row>
    <row r="410">
      <c r="A410" s="58" t="inlineStr">
        <is>
          <t>RT20250110-00409</t>
        </is>
      </c>
      <c r="B410" s="59" t="inlineStr">
        <is>
          <t>2025-01-10</t>
        </is>
      </c>
      <c r="C410" s="60" t="inlineStr">
        <is>
          <t>Falcon Skincare Max-151</t>
        </is>
      </c>
      <c r="D410" s="58" t="inlineStr">
        <is>
          <t>Beauty</t>
        </is>
      </c>
      <c r="E410" s="58" t="inlineStr">
        <is>
          <t>West</t>
        </is>
      </c>
      <c r="F410" s="61" t="n">
        <v>2</v>
      </c>
      <c r="G410" s="62" t="n">
        <v>97.87</v>
      </c>
      <c r="H410" s="63" t="n">
        <v>0.108</v>
      </c>
      <c r="I410" s="62" t="n">
        <v>59.15</v>
      </c>
      <c r="J410" s="58" t="inlineStr">
        <is>
          <t>Online</t>
        </is>
      </c>
      <c r="K410" s="62">
        <f>F410*(G410-H410)</f>
        <v/>
      </c>
      <c r="L410" s="62">
        <f>K410-(F410*I410)</f>
        <v/>
      </c>
      <c r="M410" s="64">
        <f>L410/K410</f>
        <v/>
      </c>
    </row>
    <row r="411">
      <c r="A411" s="58" t="inlineStr">
        <is>
          <t>RT20250110-00410</t>
        </is>
      </c>
      <c r="B411" s="59" t="inlineStr">
        <is>
          <t>2025-01-10</t>
        </is>
      </c>
      <c r="C411" s="60" t="inlineStr">
        <is>
          <t>Vertex Decor Pro-618</t>
        </is>
      </c>
      <c r="D411" s="58" t="inlineStr">
        <is>
          <t>Home</t>
        </is>
      </c>
      <c r="E411" s="58" t="inlineStr">
        <is>
          <t>South</t>
        </is>
      </c>
      <c r="F411" s="61" t="n">
        <v>2</v>
      </c>
      <c r="G411" s="62" t="n">
        <v>516.76</v>
      </c>
      <c r="H411" s="63" t="n">
        <v>0.032</v>
      </c>
      <c r="I411" s="62" t="n">
        <v>380.2</v>
      </c>
      <c r="J411" s="58" t="inlineStr">
        <is>
          <t>Store</t>
        </is>
      </c>
      <c r="K411" s="62">
        <f>F411*(G411-H411)</f>
        <v/>
      </c>
      <c r="L411" s="62">
        <f>K411-(F411*I411)</f>
        <v/>
      </c>
      <c r="M411" s="64">
        <f>L411/K411</f>
        <v/>
      </c>
    </row>
    <row r="412">
      <c r="A412" s="58" t="inlineStr">
        <is>
          <t>RT20250110-00411</t>
        </is>
      </c>
      <c r="B412" s="59" t="inlineStr">
        <is>
          <t>2025-01-10</t>
        </is>
      </c>
      <c r="C412" s="60" t="inlineStr">
        <is>
          <t>Falcon Team Sport Lite-268</t>
        </is>
      </c>
      <c r="D412" s="58" t="inlineStr">
        <is>
          <t>Sports</t>
        </is>
      </c>
      <c r="E412" s="58" t="inlineStr">
        <is>
          <t>West</t>
        </is>
      </c>
      <c r="F412" s="61" t="n">
        <v>2</v>
      </c>
      <c r="G412" s="62" t="n">
        <v>607.8200000000001</v>
      </c>
      <c r="H412" s="63" t="n">
        <v>0</v>
      </c>
      <c r="I412" s="62" t="n">
        <v>436.97</v>
      </c>
      <c r="J412" s="58" t="inlineStr">
        <is>
          <t>Online</t>
        </is>
      </c>
      <c r="K412" s="62">
        <f>F412*(G412-H412)</f>
        <v/>
      </c>
      <c r="L412" s="62">
        <f>K412-(F412*I412)</f>
        <v/>
      </c>
      <c r="M412" s="64">
        <f>L412/K412</f>
        <v/>
      </c>
    </row>
    <row r="413">
      <c r="A413" s="58" t="inlineStr">
        <is>
          <t>RT20250110-00412</t>
        </is>
      </c>
      <c r="B413" s="59" t="inlineStr">
        <is>
          <t>2025-01-10</t>
        </is>
      </c>
      <c r="C413" s="60" t="inlineStr">
        <is>
          <t>Aurora Team Sport Plus-256</t>
        </is>
      </c>
      <c r="D413" s="58" t="inlineStr">
        <is>
          <t>Sports</t>
        </is>
      </c>
      <c r="E413" s="58" t="inlineStr">
        <is>
          <t>East</t>
        </is>
      </c>
      <c r="F413" s="61" t="n">
        <v>3</v>
      </c>
      <c r="G413" s="62" t="n">
        <v>561.72</v>
      </c>
      <c r="H413" s="63" t="n">
        <v>0.052</v>
      </c>
      <c r="I413" s="62" t="n">
        <v>426.88</v>
      </c>
      <c r="J413" s="58" t="inlineStr">
        <is>
          <t>Online</t>
        </is>
      </c>
      <c r="K413" s="62">
        <f>F413*(G413-H413)</f>
        <v/>
      </c>
      <c r="L413" s="62">
        <f>K413-(F413*I413)</f>
        <v/>
      </c>
      <c r="M413" s="64">
        <f>L413/K413</f>
        <v/>
      </c>
    </row>
    <row r="414">
      <c r="A414" s="58" t="inlineStr">
        <is>
          <t>RT20250110-00413</t>
        </is>
      </c>
      <c r="B414" s="59" t="inlineStr">
        <is>
          <t>2025-01-10</t>
        </is>
      </c>
      <c r="C414" s="60" t="inlineStr">
        <is>
          <t>Metro Decor Lite-325</t>
        </is>
      </c>
      <c r="D414" s="58" t="inlineStr">
        <is>
          <t>Home</t>
        </is>
      </c>
      <c r="E414" s="58" t="inlineStr">
        <is>
          <t>North</t>
        </is>
      </c>
      <c r="F414" s="61" t="n">
        <v>1</v>
      </c>
      <c r="G414" s="62" t="n">
        <v>619.58</v>
      </c>
      <c r="H414" s="63" t="n">
        <v>0.092</v>
      </c>
      <c r="I414" s="62" t="n">
        <v>372.53</v>
      </c>
      <c r="J414" s="58" t="inlineStr">
        <is>
          <t>Online</t>
        </is>
      </c>
      <c r="K414" s="62">
        <f>F414*(G414-H414)</f>
        <v/>
      </c>
      <c r="L414" s="62">
        <f>K414-(F414*I414)</f>
        <v/>
      </c>
      <c r="M414" s="64">
        <f>L414/K414</f>
        <v/>
      </c>
    </row>
    <row r="415">
      <c r="A415" s="58" t="inlineStr">
        <is>
          <t>RT20250110-00414</t>
        </is>
      </c>
      <c r="B415" s="59" t="inlineStr">
        <is>
          <t>2025-01-10</t>
        </is>
      </c>
      <c r="C415" s="60" t="inlineStr">
        <is>
          <t>Polar Snack Pro-641</t>
        </is>
      </c>
      <c r="D415" s="58" t="inlineStr">
        <is>
          <t>Grocery</t>
        </is>
      </c>
      <c r="E415" s="58" t="inlineStr">
        <is>
          <t>East</t>
        </is>
      </c>
      <c r="F415" s="61" t="n">
        <v>7</v>
      </c>
      <c r="G415" s="62" t="n">
        <v>12.65</v>
      </c>
      <c r="H415" s="63" t="n">
        <v>0.08599999999999999</v>
      </c>
      <c r="I415" s="62" t="n">
        <v>9.68</v>
      </c>
      <c r="J415" s="58" t="inlineStr">
        <is>
          <t>Online</t>
        </is>
      </c>
      <c r="K415" s="62">
        <f>F415*(G415-H415)</f>
        <v/>
      </c>
      <c r="L415" s="62">
        <f>K415-(F415*I415)</f>
        <v/>
      </c>
      <c r="M415" s="64">
        <f>L415/K415</f>
        <v/>
      </c>
    </row>
    <row r="416">
      <c r="A416" s="58" t="inlineStr">
        <is>
          <t>RT20250110-00415</t>
        </is>
      </c>
      <c r="B416" s="59" t="inlineStr">
        <is>
          <t>2025-01-10</t>
        </is>
      </c>
      <c r="C416" s="60" t="inlineStr">
        <is>
          <t>Aurora Storage Lite-774</t>
        </is>
      </c>
      <c r="D416" s="58" t="inlineStr">
        <is>
          <t>Office</t>
        </is>
      </c>
      <c r="E416" s="58" t="inlineStr">
        <is>
          <t>South</t>
        </is>
      </c>
      <c r="F416" s="61" t="n">
        <v>2</v>
      </c>
      <c r="G416" s="62" t="n">
        <v>331.75</v>
      </c>
      <c r="H416" s="63" t="n">
        <v>0.091</v>
      </c>
      <c r="I416" s="62" t="n">
        <v>236.73</v>
      </c>
      <c r="J416" s="58" t="inlineStr">
        <is>
          <t>Store</t>
        </is>
      </c>
      <c r="K416" s="62">
        <f>F416*(G416-H416)</f>
        <v/>
      </c>
      <c r="L416" s="62">
        <f>K416-(F416*I416)</f>
        <v/>
      </c>
      <c r="M416" s="64">
        <f>L416/K416</f>
        <v/>
      </c>
    </row>
    <row r="417">
      <c r="A417" s="58" t="inlineStr">
        <is>
          <t>RT20250110-00416</t>
        </is>
      </c>
      <c r="B417" s="59" t="inlineStr">
        <is>
          <t>2025-01-10</t>
        </is>
      </c>
      <c r="C417" s="60" t="inlineStr">
        <is>
          <t>Nimbus Headphone X-854</t>
        </is>
      </c>
      <c r="D417" s="58" t="inlineStr">
        <is>
          <t>Electronics</t>
        </is>
      </c>
      <c r="E417" s="58" t="inlineStr">
        <is>
          <t>Central</t>
        </is>
      </c>
      <c r="F417" s="61" t="n">
        <v>1</v>
      </c>
      <c r="G417" s="62" t="n">
        <v>1539.62</v>
      </c>
      <c r="H417" s="63" t="n">
        <v>0.048</v>
      </c>
      <c r="I417" s="62" t="n">
        <v>1275.76</v>
      </c>
      <c r="J417" s="58" t="inlineStr">
        <is>
          <t>Online</t>
        </is>
      </c>
      <c r="K417" s="62">
        <f>F417*(G417-H417)</f>
        <v/>
      </c>
      <c r="L417" s="62">
        <f>K417-(F417*I417)</f>
        <v/>
      </c>
      <c r="M417" s="64">
        <f>L417/K417</f>
        <v/>
      </c>
    </row>
    <row r="418">
      <c r="A418" s="58" t="inlineStr">
        <is>
          <t>RT20250110-00417</t>
        </is>
      </c>
      <c r="B418" s="59" t="inlineStr">
        <is>
          <t>2025-01-10</t>
        </is>
      </c>
      <c r="C418" s="60" t="inlineStr">
        <is>
          <t>Polar Pantry Lite-392</t>
        </is>
      </c>
      <c r="D418" s="58" t="inlineStr">
        <is>
          <t>Grocery</t>
        </is>
      </c>
      <c r="E418" s="58" t="inlineStr">
        <is>
          <t>South</t>
        </is>
      </c>
      <c r="F418" s="61" t="n">
        <v>8</v>
      </c>
      <c r="G418" s="62" t="n">
        <v>5.77</v>
      </c>
      <c r="H418" s="63" t="n">
        <v>0.073</v>
      </c>
      <c r="I418" s="62" t="n">
        <v>4.54</v>
      </c>
      <c r="J418" s="58" t="inlineStr">
        <is>
          <t>Phone</t>
        </is>
      </c>
      <c r="K418" s="62">
        <f>F418*(G418-H418)</f>
        <v/>
      </c>
      <c r="L418" s="62">
        <f>K418-(F418*I418)</f>
        <v/>
      </c>
      <c r="M418" s="64">
        <f>L418/K418</f>
        <v/>
      </c>
    </row>
    <row r="419">
      <c r="A419" s="58" t="inlineStr">
        <is>
          <t>RT20250110-00418</t>
        </is>
      </c>
      <c r="B419" s="59" t="inlineStr">
        <is>
          <t>2025-01-10</t>
        </is>
      </c>
      <c r="C419" s="60" t="inlineStr">
        <is>
          <t>Metro Outdoor Plus-787</t>
        </is>
      </c>
      <c r="D419" s="58" t="inlineStr">
        <is>
          <t>Sports</t>
        </is>
      </c>
      <c r="E419" s="58" t="inlineStr">
        <is>
          <t>West</t>
        </is>
      </c>
      <c r="F419" s="61" t="n">
        <v>2</v>
      </c>
      <c r="G419" s="62" t="n">
        <v>544.3099999999999</v>
      </c>
      <c r="H419" s="63" t="n">
        <v>0.102</v>
      </c>
      <c r="I419" s="62" t="n">
        <v>341.66</v>
      </c>
      <c r="J419" s="58" t="inlineStr">
        <is>
          <t>Store</t>
        </is>
      </c>
      <c r="K419" s="62">
        <f>F419*(G419-H419)</f>
        <v/>
      </c>
      <c r="L419" s="62">
        <f>K419-(F419*I419)</f>
        <v/>
      </c>
      <c r="M419" s="64">
        <f>L419/K419</f>
        <v/>
      </c>
    </row>
    <row r="420">
      <c r="A420" s="58" t="inlineStr">
        <is>
          <t>RT20250110-00419</t>
        </is>
      </c>
      <c r="B420" s="59" t="inlineStr">
        <is>
          <t>2025-01-10</t>
        </is>
      </c>
      <c r="C420" s="60" t="inlineStr">
        <is>
          <t>Aurora Bedding Plus-187</t>
        </is>
      </c>
      <c r="D420" s="58" t="inlineStr">
        <is>
          <t>Home</t>
        </is>
      </c>
      <c r="E420" s="58" t="inlineStr">
        <is>
          <t>East</t>
        </is>
      </c>
      <c r="F420" s="61" t="n">
        <v>1</v>
      </c>
      <c r="G420" s="62" t="n">
        <v>279.21</v>
      </c>
      <c r="H420" s="63" t="n">
        <v>0.073</v>
      </c>
      <c r="I420" s="62" t="n">
        <v>204.93</v>
      </c>
      <c r="J420" s="58" t="inlineStr">
        <is>
          <t>Online</t>
        </is>
      </c>
      <c r="K420" s="62">
        <f>F420*(G420-H420)</f>
        <v/>
      </c>
      <c r="L420" s="62">
        <f>K420-(F420*I420)</f>
        <v/>
      </c>
      <c r="M420" s="64">
        <f>L420/K420</f>
        <v/>
      </c>
    </row>
    <row r="421">
      <c r="A421" s="58" t="inlineStr">
        <is>
          <t>RT20250110-00420</t>
        </is>
      </c>
      <c r="B421" s="59" t="inlineStr">
        <is>
          <t>2025-01-10</t>
        </is>
      </c>
      <c r="C421" s="60" t="inlineStr">
        <is>
          <t>Aurora Kid Plus-151</t>
        </is>
      </c>
      <c r="D421" s="58" t="inlineStr">
        <is>
          <t>Apparel</t>
        </is>
      </c>
      <c r="E421" s="58" t="inlineStr">
        <is>
          <t>West</t>
        </is>
      </c>
      <c r="F421" s="61" t="n">
        <v>3</v>
      </c>
      <c r="G421" s="62" t="n">
        <v>122.13</v>
      </c>
      <c r="H421" s="63" t="n">
        <v>0.138</v>
      </c>
      <c r="I421" s="62" t="n">
        <v>63.32</v>
      </c>
      <c r="J421" s="58" t="inlineStr">
        <is>
          <t>Online</t>
        </is>
      </c>
      <c r="K421" s="62">
        <f>F421*(G421-H421)</f>
        <v/>
      </c>
      <c r="L421" s="62">
        <f>K421-(F421*I421)</f>
        <v/>
      </c>
      <c r="M421" s="64">
        <f>L421/K421</f>
        <v/>
      </c>
    </row>
    <row r="422">
      <c r="A422" s="58" t="inlineStr">
        <is>
          <t>RT20250110-00421</t>
        </is>
      </c>
      <c r="B422" s="59" t="inlineStr">
        <is>
          <t>2025-01-10</t>
        </is>
      </c>
      <c r="C422" s="60" t="inlineStr">
        <is>
          <t>Aurora Appliance Max-316</t>
        </is>
      </c>
      <c r="D422" s="58" t="inlineStr">
        <is>
          <t>Home</t>
        </is>
      </c>
      <c r="E422" s="58" t="inlineStr">
        <is>
          <t>Central</t>
        </is>
      </c>
      <c r="F422" s="61" t="n">
        <v>2</v>
      </c>
      <c r="G422" s="62" t="n">
        <v>312.76</v>
      </c>
      <c r="H422" s="63" t="n">
        <v>0.049</v>
      </c>
      <c r="I422" s="62" t="n">
        <v>217.98</v>
      </c>
      <c r="J422" s="58" t="inlineStr">
        <is>
          <t>Online</t>
        </is>
      </c>
      <c r="K422" s="62">
        <f>F422*(G422-H422)</f>
        <v/>
      </c>
      <c r="L422" s="62">
        <f>K422-(F422*I422)</f>
        <v/>
      </c>
      <c r="M422" s="64">
        <f>L422/K422</f>
        <v/>
      </c>
    </row>
    <row r="423">
      <c r="A423" s="58" t="inlineStr">
        <is>
          <t>RT20250110-00422</t>
        </is>
      </c>
      <c r="B423" s="59" t="inlineStr">
        <is>
          <t>2025-01-10</t>
        </is>
      </c>
      <c r="C423" s="60" t="inlineStr">
        <is>
          <t>Vertex Men X-995</t>
        </is>
      </c>
      <c r="D423" s="58" t="inlineStr">
        <is>
          <t>Apparel</t>
        </is>
      </c>
      <c r="E423" s="58" t="inlineStr">
        <is>
          <t>West</t>
        </is>
      </c>
      <c r="F423" s="61" t="n">
        <v>1</v>
      </c>
      <c r="G423" s="62" t="n">
        <v>107.03</v>
      </c>
      <c r="H423" s="63" t="n">
        <v>0.1</v>
      </c>
      <c r="I423" s="62" t="n">
        <v>57.22</v>
      </c>
      <c r="J423" s="58" t="inlineStr">
        <is>
          <t>Store</t>
        </is>
      </c>
      <c r="K423" s="62">
        <f>F423*(G423-H423)</f>
        <v/>
      </c>
      <c r="L423" s="62">
        <f>K423-(F423*I423)</f>
        <v/>
      </c>
      <c r="M423" s="64">
        <f>L423/K423</f>
        <v/>
      </c>
    </row>
    <row r="424">
      <c r="A424" s="58" t="inlineStr">
        <is>
          <t>RT20250110-00423</t>
        </is>
      </c>
      <c r="B424" s="59" t="inlineStr">
        <is>
          <t>2025-01-10</t>
        </is>
      </c>
      <c r="C424" s="60" t="inlineStr">
        <is>
          <t>Nimbus Cycling Plus-911</t>
        </is>
      </c>
      <c r="D424" s="58" t="inlineStr">
        <is>
          <t>Sports</t>
        </is>
      </c>
      <c r="E424" s="58" t="inlineStr">
        <is>
          <t>West</t>
        </is>
      </c>
      <c r="F424" s="61" t="n">
        <v>1</v>
      </c>
      <c r="G424" s="62" t="n">
        <v>642.26</v>
      </c>
      <c r="H424" s="63" t="n">
        <v>0.056</v>
      </c>
      <c r="I424" s="62" t="n">
        <v>396.32</v>
      </c>
      <c r="J424" s="58" t="inlineStr">
        <is>
          <t>Online</t>
        </is>
      </c>
      <c r="K424" s="62">
        <f>F424*(G424-H424)</f>
        <v/>
      </c>
      <c r="L424" s="62">
        <f>K424-(F424*I424)</f>
        <v/>
      </c>
      <c r="M424" s="64">
        <f>L424/K424</f>
        <v/>
      </c>
    </row>
    <row r="425">
      <c r="A425" s="58" t="inlineStr">
        <is>
          <t>RT20250110-00424</t>
        </is>
      </c>
      <c r="B425" s="59" t="inlineStr">
        <is>
          <t>2025-01-10</t>
        </is>
      </c>
      <c r="C425" s="60" t="inlineStr">
        <is>
          <t>Solace Smartphone Lite-533</t>
        </is>
      </c>
      <c r="D425" s="58" t="inlineStr">
        <is>
          <t>Electronics</t>
        </is>
      </c>
      <c r="E425" s="58" t="inlineStr">
        <is>
          <t>East</t>
        </is>
      </c>
      <c r="F425" s="61" t="n">
        <v>2</v>
      </c>
      <c r="G425" s="62" t="n">
        <v>1274.4</v>
      </c>
      <c r="H425" s="63" t="n">
        <v>0.059</v>
      </c>
      <c r="I425" s="62" t="n">
        <v>936.16</v>
      </c>
      <c r="J425" s="58" t="inlineStr">
        <is>
          <t>Online</t>
        </is>
      </c>
      <c r="K425" s="62">
        <f>F425*(G425-H425)</f>
        <v/>
      </c>
      <c r="L425" s="62">
        <f>K425-(F425*I425)</f>
        <v/>
      </c>
      <c r="M425" s="64">
        <f>L425/K425</f>
        <v/>
      </c>
    </row>
    <row r="426">
      <c r="A426" s="58" t="inlineStr">
        <is>
          <t>RT20250110-00425</t>
        </is>
      </c>
      <c r="B426" s="59" t="inlineStr">
        <is>
          <t>2025-01-10</t>
        </is>
      </c>
      <c r="C426" s="60" t="inlineStr">
        <is>
          <t>Vertex Appliance S-296</t>
        </is>
      </c>
      <c r="D426" s="58" t="inlineStr">
        <is>
          <t>Home</t>
        </is>
      </c>
      <c r="E426" s="58" t="inlineStr">
        <is>
          <t>East</t>
        </is>
      </c>
      <c r="F426" s="61" t="n">
        <v>1</v>
      </c>
      <c r="G426" s="62" t="n">
        <v>491.37</v>
      </c>
      <c r="H426" s="63" t="n">
        <v>0.109</v>
      </c>
      <c r="I426" s="62" t="n">
        <v>347.68</v>
      </c>
      <c r="J426" s="58" t="inlineStr">
        <is>
          <t>Online</t>
        </is>
      </c>
      <c r="K426" s="62">
        <f>F426*(G426-H426)</f>
        <v/>
      </c>
      <c r="L426" s="62">
        <f>K426-(F426*I426)</f>
        <v/>
      </c>
      <c r="M426" s="64">
        <f>L426/K426</f>
        <v/>
      </c>
    </row>
    <row r="427">
      <c r="A427" s="58" t="inlineStr">
        <is>
          <t>RT20250110-00426</t>
        </is>
      </c>
      <c r="B427" s="59" t="inlineStr">
        <is>
          <t>2025-01-10</t>
        </is>
      </c>
      <c r="C427" s="60" t="inlineStr">
        <is>
          <t>Solace Makeup Pro-214</t>
        </is>
      </c>
      <c r="D427" s="58" t="inlineStr">
        <is>
          <t>Beauty</t>
        </is>
      </c>
      <c r="E427" s="58" t="inlineStr">
        <is>
          <t>Central</t>
        </is>
      </c>
      <c r="F427" s="61" t="n">
        <v>2</v>
      </c>
      <c r="G427" s="62" t="n">
        <v>119.61</v>
      </c>
      <c r="H427" s="63" t="n">
        <v>0.098</v>
      </c>
      <c r="I427" s="62" t="n">
        <v>67.43000000000001</v>
      </c>
      <c r="J427" s="58" t="inlineStr">
        <is>
          <t>Store</t>
        </is>
      </c>
      <c r="K427" s="62">
        <f>F427*(G427-H427)</f>
        <v/>
      </c>
      <c r="L427" s="62">
        <f>K427-(F427*I427)</f>
        <v/>
      </c>
      <c r="M427" s="64">
        <f>L427/K427</f>
        <v/>
      </c>
    </row>
    <row r="428">
      <c r="A428" s="58" t="inlineStr">
        <is>
          <t>RT20250110-00427</t>
        </is>
      </c>
      <c r="B428" s="59" t="inlineStr">
        <is>
          <t>2025-01-10</t>
        </is>
      </c>
      <c r="C428" s="60" t="inlineStr">
        <is>
          <t>Aurora Haircare S-975</t>
        </is>
      </c>
      <c r="D428" s="58" t="inlineStr">
        <is>
          <t>Beauty</t>
        </is>
      </c>
      <c r="E428" s="58" t="inlineStr">
        <is>
          <t>Central</t>
        </is>
      </c>
      <c r="F428" s="61" t="n">
        <v>1</v>
      </c>
      <c r="G428" s="62" t="n">
        <v>96.65000000000001</v>
      </c>
      <c r="H428" s="63" t="n">
        <v>0.097</v>
      </c>
      <c r="I428" s="62" t="n">
        <v>56.38</v>
      </c>
      <c r="J428" s="58" t="inlineStr">
        <is>
          <t>Store</t>
        </is>
      </c>
      <c r="K428" s="62">
        <f>F428*(G428-H428)</f>
        <v/>
      </c>
      <c r="L428" s="62">
        <f>K428-(F428*I428)</f>
        <v/>
      </c>
      <c r="M428" s="64">
        <f>L428/K428</f>
        <v/>
      </c>
    </row>
    <row r="429">
      <c r="A429" s="58" t="inlineStr">
        <is>
          <t>RT20250110-00428</t>
        </is>
      </c>
      <c r="B429" s="59" t="inlineStr">
        <is>
          <t>2025-01-10</t>
        </is>
      </c>
      <c r="C429" s="60" t="inlineStr">
        <is>
          <t>Solace Bedding Plus-317</t>
        </is>
      </c>
      <c r="D429" s="58" t="inlineStr">
        <is>
          <t>Home</t>
        </is>
      </c>
      <c r="E429" s="58" t="inlineStr">
        <is>
          <t>Central</t>
        </is>
      </c>
      <c r="F429" s="61" t="n">
        <v>1</v>
      </c>
      <c r="G429" s="62" t="n">
        <v>590.97</v>
      </c>
      <c r="H429" s="63" t="n">
        <v>0.036</v>
      </c>
      <c r="I429" s="62" t="n">
        <v>388.11</v>
      </c>
      <c r="J429" s="58" t="inlineStr">
        <is>
          <t>Store</t>
        </is>
      </c>
      <c r="K429" s="62">
        <f>F429*(G429-H429)</f>
        <v/>
      </c>
      <c r="L429" s="62">
        <f>K429-(F429*I429)</f>
        <v/>
      </c>
      <c r="M429" s="64">
        <f>L429/K429</f>
        <v/>
      </c>
    </row>
    <row r="430">
      <c r="A430" s="58" t="inlineStr">
        <is>
          <t>RT20250110-00429</t>
        </is>
      </c>
      <c r="B430" s="59" t="inlineStr">
        <is>
          <t>2025-01-10</t>
        </is>
      </c>
      <c r="C430" s="60" t="inlineStr">
        <is>
          <t>Metro Accessorie Lite-697</t>
        </is>
      </c>
      <c r="D430" s="58" t="inlineStr">
        <is>
          <t>Apparel</t>
        </is>
      </c>
      <c r="E430" s="58" t="inlineStr">
        <is>
          <t>Central</t>
        </is>
      </c>
      <c r="F430" s="61" t="n">
        <v>4</v>
      </c>
      <c r="G430" s="62" t="n">
        <v>134.98</v>
      </c>
      <c r="H430" s="63" t="n">
        <v>0.076</v>
      </c>
      <c r="I430" s="62" t="n">
        <v>74.38</v>
      </c>
      <c r="J430" s="58" t="inlineStr">
        <is>
          <t>Store</t>
        </is>
      </c>
      <c r="K430" s="62">
        <f>F430*(G430-H430)</f>
        <v/>
      </c>
      <c r="L430" s="62">
        <f>K430-(F430*I430)</f>
        <v/>
      </c>
      <c r="M430" s="64">
        <f>L430/K430</f>
        <v/>
      </c>
    </row>
    <row r="431">
      <c r="A431" s="58" t="inlineStr">
        <is>
          <t>RT20250111-00430</t>
        </is>
      </c>
      <c r="B431" s="59" t="inlineStr">
        <is>
          <t>2025-01-11</t>
        </is>
      </c>
      <c r="C431" s="60" t="inlineStr">
        <is>
          <t>Aurora Wearable Lite-704</t>
        </is>
      </c>
      <c r="D431" s="58" t="inlineStr">
        <is>
          <t>Electronics</t>
        </is>
      </c>
      <c r="E431" s="58" t="inlineStr">
        <is>
          <t>North</t>
        </is>
      </c>
      <c r="F431" s="61" t="n">
        <v>2</v>
      </c>
      <c r="G431" s="62" t="n">
        <v>1649</v>
      </c>
      <c r="H431" s="63" t="n">
        <v>0.002</v>
      </c>
      <c r="I431" s="62" t="n">
        <v>1473.47</v>
      </c>
      <c r="J431" s="58" t="inlineStr">
        <is>
          <t>Online</t>
        </is>
      </c>
      <c r="K431" s="62">
        <f>F431*(G431-H431)</f>
        <v/>
      </c>
      <c r="L431" s="62">
        <f>K431-(F431*I431)</f>
        <v/>
      </c>
      <c r="M431" s="64">
        <f>L431/K431</f>
        <v/>
      </c>
    </row>
    <row r="432">
      <c r="A432" s="58" t="inlineStr">
        <is>
          <t>RT20250111-00431</t>
        </is>
      </c>
      <c r="B432" s="59" t="inlineStr">
        <is>
          <t>2025-01-11</t>
        </is>
      </c>
      <c r="C432" s="60" t="inlineStr">
        <is>
          <t>Falcon Team Sport Lite-268</t>
        </is>
      </c>
      <c r="D432" s="58" t="inlineStr">
        <is>
          <t>Sports</t>
        </is>
      </c>
      <c r="E432" s="58" t="inlineStr">
        <is>
          <t>West</t>
        </is>
      </c>
      <c r="F432" s="61" t="n">
        <v>1</v>
      </c>
      <c r="G432" s="62" t="n">
        <v>650.62</v>
      </c>
      <c r="H432" s="63" t="n">
        <v>0.091</v>
      </c>
      <c r="I432" s="62" t="n">
        <v>422.73</v>
      </c>
      <c r="J432" s="58" t="inlineStr">
        <is>
          <t>Online</t>
        </is>
      </c>
      <c r="K432" s="62">
        <f>F432*(G432-H432)</f>
        <v/>
      </c>
      <c r="L432" s="62">
        <f>K432-(F432*I432)</f>
        <v/>
      </c>
      <c r="M432" s="64">
        <f>L432/K432</f>
        <v/>
      </c>
    </row>
    <row r="433">
      <c r="A433" s="58" t="inlineStr">
        <is>
          <t>RT20250111-00432</t>
        </is>
      </c>
      <c r="B433" s="59" t="inlineStr">
        <is>
          <t>2025-01-11</t>
        </is>
      </c>
      <c r="C433" s="60" t="inlineStr">
        <is>
          <t>Falcon Household Plus-172</t>
        </is>
      </c>
      <c r="D433" s="58" t="inlineStr">
        <is>
          <t>Grocery</t>
        </is>
      </c>
      <c r="E433" s="58" t="inlineStr">
        <is>
          <t>South</t>
        </is>
      </c>
      <c r="F433" s="61" t="n">
        <v>1</v>
      </c>
      <c r="G433" s="62" t="n">
        <v>20.31</v>
      </c>
      <c r="H433" s="63" t="n">
        <v>0.082</v>
      </c>
      <c r="I433" s="62" t="n">
        <v>16.05</v>
      </c>
      <c r="J433" s="58" t="inlineStr">
        <is>
          <t>Store</t>
        </is>
      </c>
      <c r="K433" s="62">
        <f>F433*(G433-H433)</f>
        <v/>
      </c>
      <c r="L433" s="62">
        <f>K433-(F433*I433)</f>
        <v/>
      </c>
      <c r="M433" s="64">
        <f>L433/K433</f>
        <v/>
      </c>
    </row>
    <row r="434">
      <c r="A434" s="58" t="inlineStr">
        <is>
          <t>RT20250111-00433</t>
        </is>
      </c>
      <c r="B434" s="59" t="inlineStr">
        <is>
          <t>2025-01-11</t>
        </is>
      </c>
      <c r="C434" s="60" t="inlineStr">
        <is>
          <t>Polar Supplie Lite-348</t>
        </is>
      </c>
      <c r="D434" s="58" t="inlineStr">
        <is>
          <t>Office</t>
        </is>
      </c>
      <c r="E434" s="58" t="inlineStr">
        <is>
          <t>West</t>
        </is>
      </c>
      <c r="F434" s="61" t="n">
        <v>3</v>
      </c>
      <c r="G434" s="62" t="n">
        <v>456.41</v>
      </c>
      <c r="H434" s="63" t="n">
        <v>0.068</v>
      </c>
      <c r="I434" s="62" t="n">
        <v>314.54</v>
      </c>
      <c r="J434" s="58" t="inlineStr">
        <is>
          <t>Online</t>
        </is>
      </c>
      <c r="K434" s="62">
        <f>F434*(G434-H434)</f>
        <v/>
      </c>
      <c r="L434" s="62">
        <f>K434-(F434*I434)</f>
        <v/>
      </c>
      <c r="M434" s="64">
        <f>L434/K434</f>
        <v/>
      </c>
    </row>
    <row r="435">
      <c r="A435" s="58" t="inlineStr">
        <is>
          <t>RT20250111-00434</t>
        </is>
      </c>
      <c r="B435" s="59" t="inlineStr">
        <is>
          <t>2025-01-11</t>
        </is>
      </c>
      <c r="C435" s="60" t="inlineStr">
        <is>
          <t>Polar Bedding Lite-243</t>
        </is>
      </c>
      <c r="D435" s="58" t="inlineStr">
        <is>
          <t>Home</t>
        </is>
      </c>
      <c r="E435" s="58" t="inlineStr">
        <is>
          <t>Central</t>
        </is>
      </c>
      <c r="F435" s="61" t="n">
        <v>2</v>
      </c>
      <c r="G435" s="62" t="n">
        <v>480.38</v>
      </c>
      <c r="H435" s="63" t="n">
        <v>0.008999999999999999</v>
      </c>
      <c r="I435" s="62" t="n">
        <v>311.69</v>
      </c>
      <c r="J435" s="58" t="inlineStr">
        <is>
          <t>Online</t>
        </is>
      </c>
      <c r="K435" s="62">
        <f>F435*(G435-H435)</f>
        <v/>
      </c>
      <c r="L435" s="62">
        <f>K435-(F435*I435)</f>
        <v/>
      </c>
      <c r="M435" s="64">
        <f>L435/K435</f>
        <v/>
      </c>
    </row>
    <row r="436">
      <c r="A436" s="58" t="inlineStr">
        <is>
          <t>RT20250111-00435</t>
        </is>
      </c>
      <c r="B436" s="59" t="inlineStr">
        <is>
          <t>2025-01-11</t>
        </is>
      </c>
      <c r="C436" s="60" t="inlineStr">
        <is>
          <t>Polar Cycling S-223</t>
        </is>
      </c>
      <c r="D436" s="58" t="inlineStr">
        <is>
          <t>Sports</t>
        </is>
      </c>
      <c r="E436" s="58" t="inlineStr">
        <is>
          <t>North</t>
        </is>
      </c>
      <c r="F436" s="61" t="n">
        <v>2</v>
      </c>
      <c r="G436" s="62" t="n">
        <v>782.23</v>
      </c>
      <c r="H436" s="63" t="n">
        <v>0.068</v>
      </c>
      <c r="I436" s="62" t="n">
        <v>643.97</v>
      </c>
      <c r="J436" s="58" t="inlineStr">
        <is>
          <t>Online</t>
        </is>
      </c>
      <c r="K436" s="62">
        <f>F436*(G436-H436)</f>
        <v/>
      </c>
      <c r="L436" s="62">
        <f>K436-(F436*I436)</f>
        <v/>
      </c>
      <c r="M436" s="64">
        <f>L436/K436</f>
        <v/>
      </c>
    </row>
    <row r="437">
      <c r="A437" s="58" t="inlineStr">
        <is>
          <t>RT20250111-00436</t>
        </is>
      </c>
      <c r="B437" s="59" t="inlineStr">
        <is>
          <t>2025-01-11</t>
        </is>
      </c>
      <c r="C437" s="60" t="inlineStr">
        <is>
          <t>Aurora Storage Lite-774</t>
        </is>
      </c>
      <c r="D437" s="58" t="inlineStr">
        <is>
          <t>Office</t>
        </is>
      </c>
      <c r="E437" s="58" t="inlineStr">
        <is>
          <t>West</t>
        </is>
      </c>
      <c r="F437" s="61" t="n">
        <v>1</v>
      </c>
      <c r="G437" s="62" t="n">
        <v>331.95</v>
      </c>
      <c r="H437" s="63" t="n">
        <v>0.053</v>
      </c>
      <c r="I437" s="62" t="n">
        <v>236.71</v>
      </c>
      <c r="J437" s="58" t="inlineStr">
        <is>
          <t>Online</t>
        </is>
      </c>
      <c r="K437" s="62">
        <f>F437*(G437-H437)</f>
        <v/>
      </c>
      <c r="L437" s="62">
        <f>K437-(F437*I437)</f>
        <v/>
      </c>
      <c r="M437" s="64">
        <f>L437/K437</f>
        <v/>
      </c>
    </row>
    <row r="438">
      <c r="A438" s="58" t="inlineStr">
        <is>
          <t>RT20250111-00437</t>
        </is>
      </c>
      <c r="B438" s="59" t="inlineStr">
        <is>
          <t>2025-01-11</t>
        </is>
      </c>
      <c r="C438" s="60" t="inlineStr">
        <is>
          <t>Metro Printer X-294</t>
        </is>
      </c>
      <c r="D438" s="58" t="inlineStr">
        <is>
          <t>Office</t>
        </is>
      </c>
      <c r="E438" s="58" t="inlineStr">
        <is>
          <t>West</t>
        </is>
      </c>
      <c r="F438" s="61" t="n">
        <v>2</v>
      </c>
      <c r="G438" s="62" t="n">
        <v>606.64</v>
      </c>
      <c r="H438" s="63" t="n">
        <v>0.066</v>
      </c>
      <c r="I438" s="62" t="n">
        <v>403.34</v>
      </c>
      <c r="J438" s="58" t="inlineStr">
        <is>
          <t>Store</t>
        </is>
      </c>
      <c r="K438" s="62">
        <f>F438*(G438-H438)</f>
        <v/>
      </c>
      <c r="L438" s="62">
        <f>K438-(F438*I438)</f>
        <v/>
      </c>
      <c r="M438" s="64">
        <f>L438/K438</f>
        <v/>
      </c>
    </row>
    <row r="439">
      <c r="A439" s="58" t="inlineStr">
        <is>
          <t>RT20250111-00438</t>
        </is>
      </c>
      <c r="B439" s="59" t="inlineStr">
        <is>
          <t>2025-01-11</t>
        </is>
      </c>
      <c r="C439" s="60" t="inlineStr">
        <is>
          <t>Aurora Storage Lite-774</t>
        </is>
      </c>
      <c r="D439" s="58" t="inlineStr">
        <is>
          <t>Office</t>
        </is>
      </c>
      <c r="E439" s="58" t="inlineStr">
        <is>
          <t>North</t>
        </is>
      </c>
      <c r="F439" s="61" t="n">
        <v>1</v>
      </c>
      <c r="G439" s="62" t="n">
        <v>354.63</v>
      </c>
      <c r="H439" s="63" t="n">
        <v>0.08699999999999999</v>
      </c>
      <c r="I439" s="62" t="n">
        <v>244.57</v>
      </c>
      <c r="J439" s="58" t="inlineStr">
        <is>
          <t>Store</t>
        </is>
      </c>
      <c r="K439" s="62">
        <f>F439*(G439-H439)</f>
        <v/>
      </c>
      <c r="L439" s="62">
        <f>K439-(F439*I439)</f>
        <v/>
      </c>
      <c r="M439" s="64">
        <f>L439/K439</f>
        <v/>
      </c>
    </row>
    <row r="440">
      <c r="A440" s="58" t="inlineStr">
        <is>
          <t>RT20250111-00439</t>
        </is>
      </c>
      <c r="B440" s="59" t="inlineStr">
        <is>
          <t>2025-01-11</t>
        </is>
      </c>
      <c r="C440" s="60" t="inlineStr">
        <is>
          <t>Polar Snack Pro-641</t>
        </is>
      </c>
      <c r="D440" s="58" t="inlineStr">
        <is>
          <t>Grocery</t>
        </is>
      </c>
      <c r="E440" s="58" t="inlineStr">
        <is>
          <t>East</t>
        </is>
      </c>
      <c r="F440" s="61" t="n">
        <v>4</v>
      </c>
      <c r="G440" s="62" t="n">
        <v>12.12</v>
      </c>
      <c r="H440" s="63" t="n">
        <v>0.07000000000000001</v>
      </c>
      <c r="I440" s="62" t="n">
        <v>9.49</v>
      </c>
      <c r="J440" s="58" t="inlineStr">
        <is>
          <t>Online</t>
        </is>
      </c>
      <c r="K440" s="62">
        <f>F440*(G440-H440)</f>
        <v/>
      </c>
      <c r="L440" s="62">
        <f>K440-(F440*I440)</f>
        <v/>
      </c>
      <c r="M440" s="64">
        <f>L440/K440</f>
        <v/>
      </c>
    </row>
    <row r="441">
      <c r="A441" s="58" t="inlineStr">
        <is>
          <t>RT20250111-00440</t>
        </is>
      </c>
      <c r="B441" s="59" t="inlineStr">
        <is>
          <t>2025-01-11</t>
        </is>
      </c>
      <c r="C441" s="60" t="inlineStr">
        <is>
          <t>Metro Accessorie Lite-697</t>
        </is>
      </c>
      <c r="D441" s="58" t="inlineStr">
        <is>
          <t>Apparel</t>
        </is>
      </c>
      <c r="E441" s="58" t="inlineStr">
        <is>
          <t>East</t>
        </is>
      </c>
      <c r="F441" s="61" t="n">
        <v>1</v>
      </c>
      <c r="G441" s="62" t="n">
        <v>132.66</v>
      </c>
      <c r="H441" s="63" t="n">
        <v>0.003</v>
      </c>
      <c r="I441" s="62" t="n">
        <v>75.67</v>
      </c>
      <c r="J441" s="58" t="inlineStr">
        <is>
          <t>Store</t>
        </is>
      </c>
      <c r="K441" s="62">
        <f>F441*(G441-H441)</f>
        <v/>
      </c>
      <c r="L441" s="62">
        <f>K441-(F441*I441)</f>
        <v/>
      </c>
      <c r="M441" s="64">
        <f>L441/K441</f>
        <v/>
      </c>
    </row>
    <row r="442">
      <c r="A442" s="58" t="inlineStr">
        <is>
          <t>RT20250111-00441</t>
        </is>
      </c>
      <c r="B442" s="59" t="inlineStr">
        <is>
          <t>2025-01-11</t>
        </is>
      </c>
      <c r="C442" s="60" t="inlineStr">
        <is>
          <t>Falcon Team Sport Lite-268</t>
        </is>
      </c>
      <c r="D442" s="58" t="inlineStr">
        <is>
          <t>Sports</t>
        </is>
      </c>
      <c r="E442" s="58" t="inlineStr">
        <is>
          <t>Central</t>
        </is>
      </c>
      <c r="F442" s="61" t="n">
        <v>1</v>
      </c>
      <c r="G442" s="62" t="n">
        <v>631.17</v>
      </c>
      <c r="H442" s="63" t="n">
        <v>0.092</v>
      </c>
      <c r="I442" s="62" t="n">
        <v>446.16</v>
      </c>
      <c r="J442" s="58" t="inlineStr">
        <is>
          <t>Online</t>
        </is>
      </c>
      <c r="K442" s="62">
        <f>F442*(G442-H442)</f>
        <v/>
      </c>
      <c r="L442" s="62">
        <f>K442-(F442*I442)</f>
        <v/>
      </c>
      <c r="M442" s="64">
        <f>L442/K442</f>
        <v/>
      </c>
    </row>
    <row r="443">
      <c r="A443" s="58" t="inlineStr">
        <is>
          <t>RT20250111-00442</t>
        </is>
      </c>
      <c r="B443" s="59" t="inlineStr">
        <is>
          <t>2025-01-11</t>
        </is>
      </c>
      <c r="C443" s="60" t="inlineStr">
        <is>
          <t>Metro Accessorie Max-316</t>
        </is>
      </c>
      <c r="D443" s="58" t="inlineStr">
        <is>
          <t>Apparel</t>
        </is>
      </c>
      <c r="E443" s="58" t="inlineStr">
        <is>
          <t>Central</t>
        </is>
      </c>
      <c r="F443" s="61" t="n">
        <v>4</v>
      </c>
      <c r="G443" s="62" t="n">
        <v>151.84</v>
      </c>
      <c r="H443" s="63" t="n">
        <v>0.073</v>
      </c>
      <c r="I443" s="62" t="n">
        <v>91.86</v>
      </c>
      <c r="J443" s="58" t="inlineStr">
        <is>
          <t>Online</t>
        </is>
      </c>
      <c r="K443" s="62">
        <f>F443*(G443-H443)</f>
        <v/>
      </c>
      <c r="L443" s="62">
        <f>K443-(F443*I443)</f>
        <v/>
      </c>
      <c r="M443" s="64">
        <f>L443/K443</f>
        <v/>
      </c>
    </row>
    <row r="444">
      <c r="A444" s="58" t="inlineStr">
        <is>
          <t>RT20250111-00443</t>
        </is>
      </c>
      <c r="B444" s="59" t="inlineStr">
        <is>
          <t>2025-01-11</t>
        </is>
      </c>
      <c r="C444" s="60" t="inlineStr">
        <is>
          <t>Solace Fitnes S-324</t>
        </is>
      </c>
      <c r="D444" s="58" t="inlineStr">
        <is>
          <t>Sports</t>
        </is>
      </c>
      <c r="E444" s="58" t="inlineStr">
        <is>
          <t>West</t>
        </is>
      </c>
      <c r="F444" s="61" t="n">
        <v>3</v>
      </c>
      <c r="G444" s="62" t="n">
        <v>833.55</v>
      </c>
      <c r="H444" s="63" t="n">
        <v>0.077</v>
      </c>
      <c r="I444" s="62" t="n">
        <v>516.6799999999999</v>
      </c>
      <c r="J444" s="58" t="inlineStr">
        <is>
          <t>Online</t>
        </is>
      </c>
      <c r="K444" s="62">
        <f>F444*(G444-H444)</f>
        <v/>
      </c>
      <c r="L444" s="62">
        <f>K444-(F444*I444)</f>
        <v/>
      </c>
      <c r="M444" s="64">
        <f>L444/K444</f>
        <v/>
      </c>
    </row>
    <row r="445">
      <c r="A445" s="58" t="inlineStr">
        <is>
          <t>RT20250111-00444</t>
        </is>
      </c>
      <c r="B445" s="59" t="inlineStr">
        <is>
          <t>2025-01-11</t>
        </is>
      </c>
      <c r="C445" s="60" t="inlineStr">
        <is>
          <t>Falcon Household Plus-796</t>
        </is>
      </c>
      <c r="D445" s="58" t="inlineStr">
        <is>
          <t>Grocery</t>
        </is>
      </c>
      <c r="E445" s="58" t="inlineStr">
        <is>
          <t>North</t>
        </is>
      </c>
      <c r="F445" s="61" t="n">
        <v>6</v>
      </c>
      <c r="G445" s="62" t="n">
        <v>26.79</v>
      </c>
      <c r="H445" s="63" t="n">
        <v>0.011</v>
      </c>
      <c r="I445" s="62" t="n">
        <v>17.15</v>
      </c>
      <c r="J445" s="58" t="inlineStr">
        <is>
          <t>Online</t>
        </is>
      </c>
      <c r="K445" s="62">
        <f>F445*(G445-H445)</f>
        <v/>
      </c>
      <c r="L445" s="62">
        <f>K445-(F445*I445)</f>
        <v/>
      </c>
      <c r="M445" s="64">
        <f>L445/K445</f>
        <v/>
      </c>
    </row>
    <row r="446">
      <c r="A446" s="58" t="inlineStr">
        <is>
          <t>RT20250111-00445</t>
        </is>
      </c>
      <c r="B446" s="59" t="inlineStr">
        <is>
          <t>2025-01-11</t>
        </is>
      </c>
      <c r="C446" s="60" t="inlineStr">
        <is>
          <t>Solace Smartphone Lite-533</t>
        </is>
      </c>
      <c r="D446" s="58" t="inlineStr">
        <is>
          <t>Electronics</t>
        </is>
      </c>
      <c r="E446" s="58" t="inlineStr">
        <is>
          <t>West</t>
        </is>
      </c>
      <c r="F446" s="61" t="n">
        <v>1</v>
      </c>
      <c r="G446" s="62" t="n">
        <v>1125.04</v>
      </c>
      <c r="H446" s="63" t="n">
        <v>0.023</v>
      </c>
      <c r="I446" s="62" t="n">
        <v>941.64</v>
      </c>
      <c r="J446" s="58" t="inlineStr">
        <is>
          <t>Online</t>
        </is>
      </c>
      <c r="K446" s="62">
        <f>F446*(G446-H446)</f>
        <v/>
      </c>
      <c r="L446" s="62">
        <f>K446-(F446*I446)</f>
        <v/>
      </c>
      <c r="M446" s="64">
        <f>L446/K446</f>
        <v/>
      </c>
    </row>
    <row r="447">
      <c r="A447" s="58" t="inlineStr">
        <is>
          <t>RT20250111-00446</t>
        </is>
      </c>
      <c r="B447" s="59" t="inlineStr">
        <is>
          <t>2025-01-11</t>
        </is>
      </c>
      <c r="C447" s="60" t="inlineStr">
        <is>
          <t>Nimbus Cycling Plus-911</t>
        </is>
      </c>
      <c r="D447" s="58" t="inlineStr">
        <is>
          <t>Sports</t>
        </is>
      </c>
      <c r="E447" s="58" t="inlineStr">
        <is>
          <t>Central</t>
        </is>
      </c>
      <c r="F447" s="61" t="n">
        <v>1</v>
      </c>
      <c r="G447" s="62" t="n">
        <v>619.99</v>
      </c>
      <c r="H447" s="63" t="n">
        <v>0.065</v>
      </c>
      <c r="I447" s="62" t="n">
        <v>406.54</v>
      </c>
      <c r="J447" s="58" t="inlineStr">
        <is>
          <t>Online</t>
        </is>
      </c>
      <c r="K447" s="62">
        <f>F447*(G447-H447)</f>
        <v/>
      </c>
      <c r="L447" s="62">
        <f>K447-(F447*I447)</f>
        <v/>
      </c>
      <c r="M447" s="64">
        <f>L447/K447</f>
        <v/>
      </c>
    </row>
    <row r="448">
      <c r="A448" s="58" t="inlineStr">
        <is>
          <t>RT20250111-00447</t>
        </is>
      </c>
      <c r="B448" s="59" t="inlineStr">
        <is>
          <t>2025-01-11</t>
        </is>
      </c>
      <c r="C448" s="60" t="inlineStr">
        <is>
          <t>Solace Bedding Plus-317</t>
        </is>
      </c>
      <c r="D448" s="58" t="inlineStr">
        <is>
          <t>Home</t>
        </is>
      </c>
      <c r="E448" s="58" t="inlineStr">
        <is>
          <t>Central</t>
        </is>
      </c>
      <c r="F448" s="61" t="n">
        <v>1</v>
      </c>
      <c r="G448" s="62" t="n">
        <v>621.23</v>
      </c>
      <c r="H448" s="63" t="n">
        <v>0.026</v>
      </c>
      <c r="I448" s="62" t="n">
        <v>387.76</v>
      </c>
      <c r="J448" s="58" t="inlineStr">
        <is>
          <t>Online</t>
        </is>
      </c>
      <c r="K448" s="62">
        <f>F448*(G448-H448)</f>
        <v/>
      </c>
      <c r="L448" s="62">
        <f>K448-(F448*I448)</f>
        <v/>
      </c>
      <c r="M448" s="64">
        <f>L448/K448</f>
        <v/>
      </c>
    </row>
    <row r="449">
      <c r="A449" s="58" t="inlineStr">
        <is>
          <t>RT20250111-00448</t>
        </is>
      </c>
      <c r="B449" s="59" t="inlineStr">
        <is>
          <t>2025-01-11</t>
        </is>
      </c>
      <c r="C449" s="60" t="inlineStr">
        <is>
          <t>Metro Fragrance Lite-261</t>
        </is>
      </c>
      <c r="D449" s="58" t="inlineStr">
        <is>
          <t>Beauty</t>
        </is>
      </c>
      <c r="E449" s="58" t="inlineStr">
        <is>
          <t>West</t>
        </is>
      </c>
      <c r="F449" s="61" t="n">
        <v>5</v>
      </c>
      <c r="G449" s="62" t="n">
        <v>91.91</v>
      </c>
      <c r="H449" s="63" t="n">
        <v>0.103</v>
      </c>
      <c r="I449" s="62" t="n">
        <v>54.87</v>
      </c>
      <c r="J449" s="58" t="inlineStr">
        <is>
          <t>Store</t>
        </is>
      </c>
      <c r="K449" s="62">
        <f>F449*(G449-H449)</f>
        <v/>
      </c>
      <c r="L449" s="62">
        <f>K449-(F449*I449)</f>
        <v/>
      </c>
      <c r="M449" s="64">
        <f>L449/K449</f>
        <v/>
      </c>
    </row>
    <row r="450">
      <c r="A450" s="58" t="inlineStr">
        <is>
          <t>RT20250111-00449</t>
        </is>
      </c>
      <c r="B450" s="59" t="inlineStr">
        <is>
          <t>2025-01-11</t>
        </is>
      </c>
      <c r="C450" s="60" t="inlineStr">
        <is>
          <t>Aurora Printer Plus-991</t>
        </is>
      </c>
      <c r="D450" s="58" t="inlineStr">
        <is>
          <t>Office</t>
        </is>
      </c>
      <c r="E450" s="58" t="inlineStr">
        <is>
          <t>East</t>
        </is>
      </c>
      <c r="F450" s="61" t="n">
        <v>3</v>
      </c>
      <c r="G450" s="62" t="n">
        <v>504.32</v>
      </c>
      <c r="H450" s="63" t="n">
        <v>0.049</v>
      </c>
      <c r="I450" s="62" t="n">
        <v>366.58</v>
      </c>
      <c r="J450" s="58" t="inlineStr">
        <is>
          <t>Online</t>
        </is>
      </c>
      <c r="K450" s="62">
        <f>F450*(G450-H450)</f>
        <v/>
      </c>
      <c r="L450" s="62">
        <f>K450-(F450*I450)</f>
        <v/>
      </c>
      <c r="M450" s="64">
        <f>L450/K450</f>
        <v/>
      </c>
    </row>
    <row r="451">
      <c r="A451" s="58" t="inlineStr">
        <is>
          <t>RT20250111-00450</t>
        </is>
      </c>
      <c r="B451" s="59" t="inlineStr">
        <is>
          <t>2025-01-11</t>
        </is>
      </c>
      <c r="C451" s="60" t="inlineStr">
        <is>
          <t>Orion Kid Max-640</t>
        </is>
      </c>
      <c r="D451" s="58" t="inlineStr">
        <is>
          <t>Apparel</t>
        </is>
      </c>
      <c r="E451" s="58" t="inlineStr">
        <is>
          <t>East</t>
        </is>
      </c>
      <c r="F451" s="61" t="n">
        <v>2</v>
      </c>
      <c r="G451" s="62" t="n">
        <v>119.43</v>
      </c>
      <c r="H451" s="63" t="n">
        <v>0.033</v>
      </c>
      <c r="I451" s="62" t="n">
        <v>70.93000000000001</v>
      </c>
      <c r="J451" s="58" t="inlineStr">
        <is>
          <t>Online</t>
        </is>
      </c>
      <c r="K451" s="62">
        <f>F451*(G451-H451)</f>
        <v/>
      </c>
      <c r="L451" s="62">
        <f>K451-(F451*I451)</f>
        <v/>
      </c>
      <c r="M451" s="64">
        <f>L451/K451</f>
        <v/>
      </c>
    </row>
    <row r="452">
      <c r="A452" s="58" t="inlineStr">
        <is>
          <t>RT20250111-00451</t>
        </is>
      </c>
      <c r="B452" s="59" t="inlineStr">
        <is>
          <t>2025-01-11</t>
        </is>
      </c>
      <c r="C452" s="60" t="inlineStr">
        <is>
          <t>Falcon Skincare Max-151</t>
        </is>
      </c>
      <c r="D452" s="58" t="inlineStr">
        <is>
          <t>Beauty</t>
        </is>
      </c>
      <c r="E452" s="58" t="inlineStr">
        <is>
          <t>East</t>
        </is>
      </c>
      <c r="F452" s="61" t="n">
        <v>1</v>
      </c>
      <c r="G452" s="62" t="n">
        <v>89.02</v>
      </c>
      <c r="H452" s="63" t="n">
        <v>0.041</v>
      </c>
      <c r="I452" s="62" t="n">
        <v>57.84</v>
      </c>
      <c r="J452" s="58" t="inlineStr">
        <is>
          <t>Online</t>
        </is>
      </c>
      <c r="K452" s="62">
        <f>F452*(G452-H452)</f>
        <v/>
      </c>
      <c r="L452" s="62">
        <f>K452-(F452*I452)</f>
        <v/>
      </c>
      <c r="M452" s="64">
        <f>L452/K452</f>
        <v/>
      </c>
    </row>
    <row r="453">
      <c r="A453" s="58" t="inlineStr">
        <is>
          <t>RT20250111-00452</t>
        </is>
      </c>
      <c r="B453" s="59" t="inlineStr">
        <is>
          <t>2025-01-11</t>
        </is>
      </c>
      <c r="C453" s="60" t="inlineStr">
        <is>
          <t>Polar Supplie Lite-348</t>
        </is>
      </c>
      <c r="D453" s="58" t="inlineStr">
        <is>
          <t>Office</t>
        </is>
      </c>
      <c r="E453" s="58" t="inlineStr">
        <is>
          <t>East</t>
        </is>
      </c>
      <c r="F453" s="61" t="n">
        <v>1</v>
      </c>
      <c r="G453" s="62" t="n">
        <v>405.23</v>
      </c>
      <c r="H453" s="63" t="n">
        <v>0.063</v>
      </c>
      <c r="I453" s="62" t="n">
        <v>308.37</v>
      </c>
      <c r="J453" s="58" t="inlineStr">
        <is>
          <t>Store</t>
        </is>
      </c>
      <c r="K453" s="62">
        <f>F453*(G453-H453)</f>
        <v/>
      </c>
      <c r="L453" s="62">
        <f>K453-(F453*I453)</f>
        <v/>
      </c>
      <c r="M453" s="64">
        <f>L453/K453</f>
        <v/>
      </c>
    </row>
    <row r="454">
      <c r="A454" s="58" t="inlineStr">
        <is>
          <t>RT20250111-00453</t>
        </is>
      </c>
      <c r="B454" s="59" t="inlineStr">
        <is>
          <t>2025-01-11</t>
        </is>
      </c>
      <c r="C454" s="60" t="inlineStr">
        <is>
          <t>Metro Printer X-294</t>
        </is>
      </c>
      <c r="D454" s="58" t="inlineStr">
        <is>
          <t>Office</t>
        </is>
      </c>
      <c r="E454" s="58" t="inlineStr">
        <is>
          <t>East</t>
        </is>
      </c>
      <c r="F454" s="61" t="n">
        <v>2</v>
      </c>
      <c r="G454" s="62" t="n">
        <v>547.46</v>
      </c>
      <c r="H454" s="63" t="n">
        <v>0.018</v>
      </c>
      <c r="I454" s="62" t="n">
        <v>407.83</v>
      </c>
      <c r="J454" s="58" t="inlineStr">
        <is>
          <t>Online</t>
        </is>
      </c>
      <c r="K454" s="62">
        <f>F454*(G454-H454)</f>
        <v/>
      </c>
      <c r="L454" s="62">
        <f>K454-(F454*I454)</f>
        <v/>
      </c>
      <c r="M454" s="64">
        <f>L454/K454</f>
        <v/>
      </c>
    </row>
    <row r="455">
      <c r="A455" s="58" t="inlineStr">
        <is>
          <t>RT20250111-00454</t>
        </is>
      </c>
      <c r="B455" s="59" t="inlineStr">
        <is>
          <t>2025-01-11</t>
        </is>
      </c>
      <c r="C455" s="60" t="inlineStr">
        <is>
          <t>Aurora Furniture X-709</t>
        </is>
      </c>
      <c r="D455" s="58" t="inlineStr">
        <is>
          <t>Office</t>
        </is>
      </c>
      <c r="E455" s="58" t="inlineStr">
        <is>
          <t>North</t>
        </is>
      </c>
      <c r="F455" s="61" t="n">
        <v>1</v>
      </c>
      <c r="G455" s="62" t="n">
        <v>421.5</v>
      </c>
      <c r="H455" s="63" t="n">
        <v>0.054</v>
      </c>
      <c r="I455" s="62" t="n">
        <v>315.72</v>
      </c>
      <c r="J455" s="58" t="inlineStr">
        <is>
          <t>Online</t>
        </is>
      </c>
      <c r="K455" s="62">
        <f>F455*(G455-H455)</f>
        <v/>
      </c>
      <c r="L455" s="62">
        <f>K455-(F455*I455)</f>
        <v/>
      </c>
      <c r="M455" s="64">
        <f>L455/K455</f>
        <v/>
      </c>
    </row>
    <row r="456">
      <c r="A456" s="58" t="inlineStr">
        <is>
          <t>RT20250111-00455</t>
        </is>
      </c>
      <c r="B456" s="59" t="inlineStr">
        <is>
          <t>2025-01-11</t>
        </is>
      </c>
      <c r="C456" s="60" t="inlineStr">
        <is>
          <t>Vertex Appliance S-159</t>
        </is>
      </c>
      <c r="D456" s="58" t="inlineStr">
        <is>
          <t>Home</t>
        </is>
      </c>
      <c r="E456" s="58" t="inlineStr">
        <is>
          <t>South</t>
        </is>
      </c>
      <c r="F456" s="61" t="n">
        <v>3</v>
      </c>
      <c r="G456" s="62" t="n">
        <v>439.62</v>
      </c>
      <c r="H456" s="63" t="n">
        <v>0.045</v>
      </c>
      <c r="I456" s="62" t="n">
        <v>293.58</v>
      </c>
      <c r="J456" s="58" t="inlineStr">
        <is>
          <t>Store</t>
        </is>
      </c>
      <c r="K456" s="62">
        <f>F456*(G456-H456)</f>
        <v/>
      </c>
      <c r="L456" s="62">
        <f>K456-(F456*I456)</f>
        <v/>
      </c>
      <c r="M456" s="64">
        <f>L456/K456</f>
        <v/>
      </c>
    </row>
    <row r="457">
      <c r="A457" s="58" t="inlineStr">
        <is>
          <t>RT20250111-00456</t>
        </is>
      </c>
      <c r="B457" s="59" t="inlineStr">
        <is>
          <t>2025-01-11</t>
        </is>
      </c>
      <c r="C457" s="60" t="inlineStr">
        <is>
          <t>Orion Kitchen Pro-568</t>
        </is>
      </c>
      <c r="D457" s="58" t="inlineStr">
        <is>
          <t>Home</t>
        </is>
      </c>
      <c r="E457" s="58" t="inlineStr">
        <is>
          <t>East</t>
        </is>
      </c>
      <c r="F457" s="61" t="n">
        <v>1</v>
      </c>
      <c r="G457" s="62" t="n">
        <v>484.37</v>
      </c>
      <c r="H457" s="63" t="n">
        <v>0.045</v>
      </c>
      <c r="I457" s="62" t="n">
        <v>314.82</v>
      </c>
      <c r="J457" s="58" t="inlineStr">
        <is>
          <t>Store</t>
        </is>
      </c>
      <c r="K457" s="62">
        <f>F457*(G457-H457)</f>
        <v/>
      </c>
      <c r="L457" s="62">
        <f>K457-(F457*I457)</f>
        <v/>
      </c>
      <c r="M457" s="64">
        <f>L457/K457</f>
        <v/>
      </c>
    </row>
    <row r="458">
      <c r="A458" s="58" t="inlineStr">
        <is>
          <t>RT20250111-00457</t>
        </is>
      </c>
      <c r="B458" s="59" t="inlineStr">
        <is>
          <t>2025-01-11</t>
        </is>
      </c>
      <c r="C458" s="60" t="inlineStr">
        <is>
          <t>Falcon Skincare Max-151</t>
        </is>
      </c>
      <c r="D458" s="58" t="inlineStr">
        <is>
          <t>Beauty</t>
        </is>
      </c>
      <c r="E458" s="58" t="inlineStr">
        <is>
          <t>East</t>
        </is>
      </c>
      <c r="F458" s="61" t="n">
        <v>1</v>
      </c>
      <c r="G458" s="62" t="n">
        <v>86.22</v>
      </c>
      <c r="H458" s="63" t="n">
        <v>0.043</v>
      </c>
      <c r="I458" s="62" t="n">
        <v>58.12</v>
      </c>
      <c r="J458" s="58" t="inlineStr">
        <is>
          <t>Online</t>
        </is>
      </c>
      <c r="K458" s="62">
        <f>F458*(G458-H458)</f>
        <v/>
      </c>
      <c r="L458" s="62">
        <f>K458-(F458*I458)</f>
        <v/>
      </c>
      <c r="M458" s="64">
        <f>L458/K458</f>
        <v/>
      </c>
    </row>
    <row r="459">
      <c r="A459" s="58" t="inlineStr">
        <is>
          <t>RT20250111-00458</t>
        </is>
      </c>
      <c r="B459" s="59" t="inlineStr">
        <is>
          <t>2025-01-11</t>
        </is>
      </c>
      <c r="C459" s="60" t="inlineStr">
        <is>
          <t>Vertex Skincare Pro-891</t>
        </is>
      </c>
      <c r="D459" s="58" t="inlineStr">
        <is>
          <t>Beauty</t>
        </is>
      </c>
      <c r="E459" s="58" t="inlineStr">
        <is>
          <t>South</t>
        </is>
      </c>
      <c r="F459" s="61" t="n">
        <v>3</v>
      </c>
      <c r="G459" s="62" t="n">
        <v>156.19</v>
      </c>
      <c r="H459" s="63" t="n">
        <v>0.066</v>
      </c>
      <c r="I459" s="62" t="n">
        <v>90.95999999999999</v>
      </c>
      <c r="J459" s="58" t="inlineStr">
        <is>
          <t>Store</t>
        </is>
      </c>
      <c r="K459" s="62">
        <f>F459*(G459-H459)</f>
        <v/>
      </c>
      <c r="L459" s="62">
        <f>K459-(F459*I459)</f>
        <v/>
      </c>
      <c r="M459" s="64">
        <f>L459/K459</f>
        <v/>
      </c>
    </row>
    <row r="460">
      <c r="A460" s="58" t="inlineStr">
        <is>
          <t>RT20250111-00459</t>
        </is>
      </c>
      <c r="B460" s="59" t="inlineStr">
        <is>
          <t>2025-01-11</t>
        </is>
      </c>
      <c r="C460" s="60" t="inlineStr">
        <is>
          <t>Polar Decor X-935</t>
        </is>
      </c>
      <c r="D460" s="58" t="inlineStr">
        <is>
          <t>Home</t>
        </is>
      </c>
      <c r="E460" s="58" t="inlineStr">
        <is>
          <t>Central</t>
        </is>
      </c>
      <c r="F460" s="61" t="n">
        <v>3</v>
      </c>
      <c r="G460" s="62" t="n">
        <v>322.85</v>
      </c>
      <c r="H460" s="63" t="n">
        <v>0.058</v>
      </c>
      <c r="I460" s="62" t="n">
        <v>196.42</v>
      </c>
      <c r="J460" s="58" t="inlineStr">
        <is>
          <t>Store</t>
        </is>
      </c>
      <c r="K460" s="62">
        <f>F460*(G460-H460)</f>
        <v/>
      </c>
      <c r="L460" s="62">
        <f>K460-(F460*I460)</f>
        <v/>
      </c>
      <c r="M460" s="64">
        <f>L460/K460</f>
        <v/>
      </c>
    </row>
    <row r="461">
      <c r="A461" s="58" t="inlineStr">
        <is>
          <t>RT20250111-00460</t>
        </is>
      </c>
      <c r="B461" s="59" t="inlineStr">
        <is>
          <t>2025-01-11</t>
        </is>
      </c>
      <c r="C461" s="60" t="inlineStr">
        <is>
          <t>Metro Pantry X-710</t>
        </is>
      </c>
      <c r="D461" s="58" t="inlineStr">
        <is>
          <t>Grocery</t>
        </is>
      </c>
      <c r="E461" s="58" t="inlineStr">
        <is>
          <t>North</t>
        </is>
      </c>
      <c r="F461" s="61" t="n">
        <v>1</v>
      </c>
      <c r="G461" s="62" t="n">
        <v>5.33</v>
      </c>
      <c r="H461" s="63" t="n">
        <v>0.104</v>
      </c>
      <c r="I461" s="62" t="n">
        <v>4.12</v>
      </c>
      <c r="J461" s="58" t="inlineStr">
        <is>
          <t>Online</t>
        </is>
      </c>
      <c r="K461" s="62">
        <f>F461*(G461-H461)</f>
        <v/>
      </c>
      <c r="L461" s="62">
        <f>K461-(F461*I461)</f>
        <v/>
      </c>
      <c r="M461" s="64">
        <f>L461/K461</f>
        <v/>
      </c>
    </row>
    <row r="462">
      <c r="A462" s="58" t="inlineStr">
        <is>
          <t>RT20250111-00461</t>
        </is>
      </c>
      <c r="B462" s="59" t="inlineStr">
        <is>
          <t>2025-01-11</t>
        </is>
      </c>
      <c r="C462" s="60" t="inlineStr">
        <is>
          <t>Solace Kitchen Pro-999</t>
        </is>
      </c>
      <c r="D462" s="58" t="inlineStr">
        <is>
          <t>Home</t>
        </is>
      </c>
      <c r="E462" s="58" t="inlineStr">
        <is>
          <t>East</t>
        </is>
      </c>
      <c r="F462" s="61" t="n">
        <v>1</v>
      </c>
      <c r="G462" s="62" t="n">
        <v>364.46</v>
      </c>
      <c r="H462" s="63" t="n">
        <v>0.08500000000000001</v>
      </c>
      <c r="I462" s="62" t="n">
        <v>269.58</v>
      </c>
      <c r="J462" s="58" t="inlineStr">
        <is>
          <t>Online</t>
        </is>
      </c>
      <c r="K462" s="62">
        <f>F462*(G462-H462)</f>
        <v/>
      </c>
      <c r="L462" s="62">
        <f>K462-(F462*I462)</f>
        <v/>
      </c>
      <c r="M462" s="64">
        <f>L462/K462</f>
        <v/>
      </c>
    </row>
    <row r="463">
      <c r="A463" s="58" t="inlineStr">
        <is>
          <t>RT20250111-00462</t>
        </is>
      </c>
      <c r="B463" s="59" t="inlineStr">
        <is>
          <t>2025-01-11</t>
        </is>
      </c>
      <c r="C463" s="60" t="inlineStr">
        <is>
          <t>Vertex Appliance S-296</t>
        </is>
      </c>
      <c r="D463" s="58" t="inlineStr">
        <is>
          <t>Home</t>
        </is>
      </c>
      <c r="E463" s="58" t="inlineStr">
        <is>
          <t>West</t>
        </is>
      </c>
      <c r="F463" s="61" t="n">
        <v>3</v>
      </c>
      <c r="G463" s="62" t="n">
        <v>491.53</v>
      </c>
      <c r="H463" s="63" t="n">
        <v>0.08400000000000001</v>
      </c>
      <c r="I463" s="62" t="n">
        <v>365.8</v>
      </c>
      <c r="J463" s="58" t="inlineStr">
        <is>
          <t>Store</t>
        </is>
      </c>
      <c r="K463" s="62">
        <f>F463*(G463-H463)</f>
        <v/>
      </c>
      <c r="L463" s="62">
        <f>K463-(F463*I463)</f>
        <v/>
      </c>
      <c r="M463" s="64">
        <f>L463/K463</f>
        <v/>
      </c>
    </row>
    <row r="464">
      <c r="A464" s="58" t="inlineStr">
        <is>
          <t>RT20250111-00463</t>
        </is>
      </c>
      <c r="B464" s="59" t="inlineStr">
        <is>
          <t>2025-01-11</t>
        </is>
      </c>
      <c r="C464" s="60" t="inlineStr">
        <is>
          <t>Aurora Storage Lite-774</t>
        </is>
      </c>
      <c r="D464" s="58" t="inlineStr">
        <is>
          <t>Office</t>
        </is>
      </c>
      <c r="E464" s="58" t="inlineStr">
        <is>
          <t>Central</t>
        </is>
      </c>
      <c r="F464" s="61" t="n">
        <v>2</v>
      </c>
      <c r="G464" s="62" t="n">
        <v>359.82</v>
      </c>
      <c r="H464" s="63" t="n">
        <v>0.08500000000000001</v>
      </c>
      <c r="I464" s="62" t="n">
        <v>237.5</v>
      </c>
      <c r="J464" s="58" t="inlineStr">
        <is>
          <t>Store</t>
        </is>
      </c>
      <c r="K464" s="62">
        <f>F464*(G464-H464)</f>
        <v/>
      </c>
      <c r="L464" s="62">
        <f>K464-(F464*I464)</f>
        <v/>
      </c>
      <c r="M464" s="64">
        <f>L464/K464</f>
        <v/>
      </c>
    </row>
    <row r="465">
      <c r="A465" s="58" t="inlineStr">
        <is>
          <t>RT20250111-00464</t>
        </is>
      </c>
      <c r="B465" s="59" t="inlineStr">
        <is>
          <t>2025-01-11</t>
        </is>
      </c>
      <c r="C465" s="60" t="inlineStr">
        <is>
          <t>Polar Decor Plus-505</t>
        </is>
      </c>
      <c r="D465" s="58" t="inlineStr">
        <is>
          <t>Home</t>
        </is>
      </c>
      <c r="E465" s="58" t="inlineStr">
        <is>
          <t>South</t>
        </is>
      </c>
      <c r="F465" s="61" t="n">
        <v>2</v>
      </c>
      <c r="G465" s="62" t="n">
        <v>262.49</v>
      </c>
      <c r="H465" s="63" t="n">
        <v>0.066</v>
      </c>
      <c r="I465" s="62" t="n">
        <v>198.71</v>
      </c>
      <c r="J465" s="58" t="inlineStr">
        <is>
          <t>Online</t>
        </is>
      </c>
      <c r="K465" s="62">
        <f>F465*(G465-H465)</f>
        <v/>
      </c>
      <c r="L465" s="62">
        <f>K465-(F465*I465)</f>
        <v/>
      </c>
      <c r="M465" s="64">
        <f>L465/K465</f>
        <v/>
      </c>
    </row>
    <row r="466">
      <c r="A466" s="58" t="inlineStr">
        <is>
          <t>RT20250111-00465</t>
        </is>
      </c>
      <c r="B466" s="59" t="inlineStr">
        <is>
          <t>2025-01-11</t>
        </is>
      </c>
      <c r="C466" s="60" t="inlineStr">
        <is>
          <t>Metro Smartphone Max-773</t>
        </is>
      </c>
      <c r="D466" s="58" t="inlineStr">
        <is>
          <t>Electronics</t>
        </is>
      </c>
      <c r="E466" s="58" t="inlineStr">
        <is>
          <t>South</t>
        </is>
      </c>
      <c r="F466" s="61" t="n">
        <v>1</v>
      </c>
      <c r="G466" s="62" t="n">
        <v>1329.01</v>
      </c>
      <c r="H466" s="63" t="n">
        <v>0.01</v>
      </c>
      <c r="I466" s="62" t="n">
        <v>1109.08</v>
      </c>
      <c r="J466" s="58" t="inlineStr">
        <is>
          <t>Online</t>
        </is>
      </c>
      <c r="K466" s="62">
        <f>F466*(G466-H466)</f>
        <v/>
      </c>
      <c r="L466" s="62">
        <f>K466-(F466*I466)</f>
        <v/>
      </c>
      <c r="M466" s="64">
        <f>L466/K466</f>
        <v/>
      </c>
    </row>
    <row r="467">
      <c r="A467" s="58" t="inlineStr">
        <is>
          <t>RT20250111-00466</t>
        </is>
      </c>
      <c r="B467" s="59" t="inlineStr">
        <is>
          <t>2025-01-11</t>
        </is>
      </c>
      <c r="C467" s="60" t="inlineStr">
        <is>
          <t>Orion Laptop S-350</t>
        </is>
      </c>
      <c r="D467" s="58" t="inlineStr">
        <is>
          <t>Electronics</t>
        </is>
      </c>
      <c r="E467" s="58" t="inlineStr">
        <is>
          <t>Central</t>
        </is>
      </c>
      <c r="F467" s="61" t="n">
        <v>1</v>
      </c>
      <c r="G467" s="62" t="n">
        <v>1268.75</v>
      </c>
      <c r="H467" s="63" t="n">
        <v>0.1</v>
      </c>
      <c r="I467" s="62" t="n">
        <v>1057.41</v>
      </c>
      <c r="J467" s="58" t="inlineStr">
        <is>
          <t>Online</t>
        </is>
      </c>
      <c r="K467" s="62">
        <f>F467*(G467-H467)</f>
        <v/>
      </c>
      <c r="L467" s="62">
        <f>K467-(F467*I467)</f>
        <v/>
      </c>
      <c r="M467" s="64">
        <f>L467/K467</f>
        <v/>
      </c>
    </row>
    <row r="468">
      <c r="A468" s="58" t="inlineStr">
        <is>
          <t>RT20250111-00467</t>
        </is>
      </c>
      <c r="B468" s="59" t="inlineStr">
        <is>
          <t>2025-01-11</t>
        </is>
      </c>
      <c r="C468" s="60" t="inlineStr">
        <is>
          <t>Falcon Skincare X-334</t>
        </is>
      </c>
      <c r="D468" s="58" t="inlineStr">
        <is>
          <t>Beauty</t>
        </is>
      </c>
      <c r="E468" s="58" t="inlineStr">
        <is>
          <t>West</t>
        </is>
      </c>
      <c r="F468" s="61" t="n">
        <v>2</v>
      </c>
      <c r="G468" s="62" t="n">
        <v>112.15</v>
      </c>
      <c r="H468" s="63" t="n">
        <v>0.026</v>
      </c>
      <c r="I468" s="62" t="n">
        <v>65.37</v>
      </c>
      <c r="J468" s="58" t="inlineStr">
        <is>
          <t>Online</t>
        </is>
      </c>
      <c r="K468" s="62">
        <f>F468*(G468-H468)</f>
        <v/>
      </c>
      <c r="L468" s="62">
        <f>K468-(F468*I468)</f>
        <v/>
      </c>
      <c r="M468" s="64">
        <f>L468/K468</f>
        <v/>
      </c>
    </row>
    <row r="469">
      <c r="A469" s="58" t="inlineStr">
        <is>
          <t>RT20250111-00468</t>
        </is>
      </c>
      <c r="B469" s="59" t="inlineStr">
        <is>
          <t>2025-01-11</t>
        </is>
      </c>
      <c r="C469" s="60" t="inlineStr">
        <is>
          <t>Orion Kid Max-864</t>
        </is>
      </c>
      <c r="D469" s="58" t="inlineStr">
        <is>
          <t>Apparel</t>
        </is>
      </c>
      <c r="E469" s="58" t="inlineStr">
        <is>
          <t>West</t>
        </is>
      </c>
      <c r="F469" s="61" t="n">
        <v>4</v>
      </c>
      <c r="G469" s="62" t="n">
        <v>79.59999999999999</v>
      </c>
      <c r="H469" s="63" t="n">
        <v>0.074</v>
      </c>
      <c r="I469" s="62" t="n">
        <v>44.68</v>
      </c>
      <c r="J469" s="58" t="inlineStr">
        <is>
          <t>Online</t>
        </is>
      </c>
      <c r="K469" s="62">
        <f>F469*(G469-H469)</f>
        <v/>
      </c>
      <c r="L469" s="62">
        <f>K469-(F469*I469)</f>
        <v/>
      </c>
      <c r="M469" s="64">
        <f>L469/K469</f>
        <v/>
      </c>
    </row>
    <row r="470">
      <c r="A470" s="58" t="inlineStr">
        <is>
          <t>RT20250111-00469</t>
        </is>
      </c>
      <c r="B470" s="59" t="inlineStr">
        <is>
          <t>2025-01-11</t>
        </is>
      </c>
      <c r="C470" s="60" t="inlineStr">
        <is>
          <t>Vertex Men X-995</t>
        </is>
      </c>
      <c r="D470" s="58" t="inlineStr">
        <is>
          <t>Apparel</t>
        </is>
      </c>
      <c r="E470" s="58" t="inlineStr">
        <is>
          <t>East</t>
        </is>
      </c>
      <c r="F470" s="61" t="n">
        <v>2</v>
      </c>
      <c r="G470" s="62" t="n">
        <v>93.84999999999999</v>
      </c>
      <c r="H470" s="63" t="n">
        <v>0.077</v>
      </c>
      <c r="I470" s="62" t="n">
        <v>57.95</v>
      </c>
      <c r="J470" s="58" t="inlineStr">
        <is>
          <t>Online</t>
        </is>
      </c>
      <c r="K470" s="62">
        <f>F470*(G470-H470)</f>
        <v/>
      </c>
      <c r="L470" s="62">
        <f>K470-(F470*I470)</f>
        <v/>
      </c>
      <c r="M470" s="64">
        <f>L470/K470</f>
        <v/>
      </c>
    </row>
    <row r="471">
      <c r="A471" s="58" t="inlineStr">
        <is>
          <t>RT20250111-00470</t>
        </is>
      </c>
      <c r="B471" s="59" t="inlineStr">
        <is>
          <t>2025-01-11</t>
        </is>
      </c>
      <c r="C471" s="60" t="inlineStr">
        <is>
          <t>Nimbus Makeup Max-158</t>
        </is>
      </c>
      <c r="D471" s="58" t="inlineStr">
        <is>
          <t>Beauty</t>
        </is>
      </c>
      <c r="E471" s="58" t="inlineStr">
        <is>
          <t>East</t>
        </is>
      </c>
      <c r="F471" s="61" t="n">
        <v>1</v>
      </c>
      <c r="G471" s="62" t="n">
        <v>163.83</v>
      </c>
      <c r="H471" s="63" t="n">
        <v>0.054</v>
      </c>
      <c r="I471" s="62" t="n">
        <v>93.13</v>
      </c>
      <c r="J471" s="58" t="inlineStr">
        <is>
          <t>Online</t>
        </is>
      </c>
      <c r="K471" s="62">
        <f>F471*(G471-H471)</f>
        <v/>
      </c>
      <c r="L471" s="62">
        <f>K471-(F471*I471)</f>
        <v/>
      </c>
      <c r="M471" s="64">
        <f>L471/K471</f>
        <v/>
      </c>
    </row>
    <row r="472">
      <c r="A472" s="58" t="inlineStr">
        <is>
          <t>RT20250111-00471</t>
        </is>
      </c>
      <c r="B472" s="59" t="inlineStr">
        <is>
          <t>2025-01-11</t>
        </is>
      </c>
      <c r="C472" s="60" t="inlineStr">
        <is>
          <t>Vertex Appliance S-159</t>
        </is>
      </c>
      <c r="D472" s="58" t="inlineStr">
        <is>
          <t>Home</t>
        </is>
      </c>
      <c r="E472" s="58" t="inlineStr">
        <is>
          <t>South</t>
        </is>
      </c>
      <c r="F472" s="61" t="n">
        <v>1</v>
      </c>
      <c r="G472" s="62" t="n">
        <v>399</v>
      </c>
      <c r="H472" s="63" t="n">
        <v>0.055</v>
      </c>
      <c r="I472" s="62" t="n">
        <v>287.49</v>
      </c>
      <c r="J472" s="58" t="inlineStr">
        <is>
          <t>Online</t>
        </is>
      </c>
      <c r="K472" s="62">
        <f>F472*(G472-H472)</f>
        <v/>
      </c>
      <c r="L472" s="62">
        <f>K472-(F472*I472)</f>
        <v/>
      </c>
      <c r="M472" s="64">
        <f>L472/K472</f>
        <v/>
      </c>
    </row>
    <row r="473">
      <c r="A473" s="58" t="inlineStr">
        <is>
          <t>RT20250111-00472</t>
        </is>
      </c>
      <c r="B473" s="59" t="inlineStr">
        <is>
          <t>2025-01-11</t>
        </is>
      </c>
      <c r="C473" s="60" t="inlineStr">
        <is>
          <t>Nimbus Women Plus-352</t>
        </is>
      </c>
      <c r="D473" s="58" t="inlineStr">
        <is>
          <t>Apparel</t>
        </is>
      </c>
      <c r="E473" s="58" t="inlineStr">
        <is>
          <t>North</t>
        </is>
      </c>
      <c r="F473" s="61" t="n">
        <v>4</v>
      </c>
      <c r="G473" s="62" t="n">
        <v>53.54</v>
      </c>
      <c r="H473" s="63" t="n">
        <v>0.091</v>
      </c>
      <c r="I473" s="62" t="n">
        <v>32.96</v>
      </c>
      <c r="J473" s="58" t="inlineStr">
        <is>
          <t>Store</t>
        </is>
      </c>
      <c r="K473" s="62">
        <f>F473*(G473-H473)</f>
        <v/>
      </c>
      <c r="L473" s="62">
        <f>K473-(F473*I473)</f>
        <v/>
      </c>
      <c r="M473" s="64">
        <f>L473/K473</f>
        <v/>
      </c>
    </row>
    <row r="474">
      <c r="A474" s="58" t="inlineStr">
        <is>
          <t>RT20250111-00473</t>
        </is>
      </c>
      <c r="B474" s="59" t="inlineStr">
        <is>
          <t>2025-01-11</t>
        </is>
      </c>
      <c r="C474" s="60" t="inlineStr">
        <is>
          <t>Metro Pantry X-710</t>
        </is>
      </c>
      <c r="D474" s="58" t="inlineStr">
        <is>
          <t>Grocery</t>
        </is>
      </c>
      <c r="E474" s="58" t="inlineStr">
        <is>
          <t>North</t>
        </is>
      </c>
      <c r="F474" s="61" t="n">
        <v>7</v>
      </c>
      <c r="G474" s="62" t="n">
        <v>5.43</v>
      </c>
      <c r="H474" s="63" t="n">
        <v>0.094</v>
      </c>
      <c r="I474" s="62" t="n">
        <v>4.18</v>
      </c>
      <c r="J474" s="58" t="inlineStr">
        <is>
          <t>Online</t>
        </is>
      </c>
      <c r="K474" s="62">
        <f>F474*(G474-H474)</f>
        <v/>
      </c>
      <c r="L474" s="62">
        <f>K474-(F474*I474)</f>
        <v/>
      </c>
      <c r="M474" s="64">
        <f>L474/K474</f>
        <v/>
      </c>
    </row>
    <row r="475">
      <c r="A475" s="58" t="inlineStr">
        <is>
          <t>RT20250111-00474</t>
        </is>
      </c>
      <c r="B475" s="59" t="inlineStr">
        <is>
          <t>2025-01-11</t>
        </is>
      </c>
      <c r="C475" s="60" t="inlineStr">
        <is>
          <t>Aurora Fragrance S-971</t>
        </is>
      </c>
      <c r="D475" s="58" t="inlineStr">
        <is>
          <t>Beauty</t>
        </is>
      </c>
      <c r="E475" s="58" t="inlineStr">
        <is>
          <t>East</t>
        </is>
      </c>
      <c r="F475" s="61" t="n">
        <v>2</v>
      </c>
      <c r="G475" s="62" t="n">
        <v>105.92</v>
      </c>
      <c r="H475" s="63" t="n">
        <v>0.032</v>
      </c>
      <c r="I475" s="62" t="n">
        <v>64.98</v>
      </c>
      <c r="J475" s="58" t="inlineStr">
        <is>
          <t>Online</t>
        </is>
      </c>
      <c r="K475" s="62">
        <f>F475*(G475-H475)</f>
        <v/>
      </c>
      <c r="L475" s="62">
        <f>K475-(F475*I475)</f>
        <v/>
      </c>
      <c r="M475" s="64">
        <f>L475/K475</f>
        <v/>
      </c>
    </row>
    <row r="476">
      <c r="A476" s="58" t="inlineStr">
        <is>
          <t>RT20250111-00475</t>
        </is>
      </c>
      <c r="B476" s="59" t="inlineStr">
        <is>
          <t>2025-01-11</t>
        </is>
      </c>
      <c r="C476" s="60" t="inlineStr">
        <is>
          <t>Solace Fitnes S-324</t>
        </is>
      </c>
      <c r="D476" s="58" t="inlineStr">
        <is>
          <t>Sports</t>
        </is>
      </c>
      <c r="E476" s="58" t="inlineStr">
        <is>
          <t>Central</t>
        </is>
      </c>
      <c r="F476" s="61" t="n">
        <v>3</v>
      </c>
      <c r="G476" s="62" t="n">
        <v>694.59</v>
      </c>
      <c r="H476" s="63" t="n">
        <v>0.058</v>
      </c>
      <c r="I476" s="62" t="n">
        <v>526.67</v>
      </c>
      <c r="J476" s="58" t="inlineStr">
        <is>
          <t>Store</t>
        </is>
      </c>
      <c r="K476" s="62">
        <f>F476*(G476-H476)</f>
        <v/>
      </c>
      <c r="L476" s="62">
        <f>K476-(F476*I476)</f>
        <v/>
      </c>
      <c r="M476" s="64">
        <f>L476/K476</f>
        <v/>
      </c>
    </row>
    <row r="477">
      <c r="A477" s="58" t="inlineStr">
        <is>
          <t>RT20250111-00476</t>
        </is>
      </c>
      <c r="B477" s="59" t="inlineStr">
        <is>
          <t>2025-01-11</t>
        </is>
      </c>
      <c r="C477" s="60" t="inlineStr">
        <is>
          <t>Aurora Appliance Max-316</t>
        </is>
      </c>
      <c r="D477" s="58" t="inlineStr">
        <is>
          <t>Home</t>
        </is>
      </c>
      <c r="E477" s="58" t="inlineStr">
        <is>
          <t>Central</t>
        </is>
      </c>
      <c r="F477" s="61" t="n">
        <v>1</v>
      </c>
      <c r="G477" s="62" t="n">
        <v>300.86</v>
      </c>
      <c r="H477" s="63" t="n">
        <v>0.048</v>
      </c>
      <c r="I477" s="62" t="n">
        <v>210.75</v>
      </c>
      <c r="J477" s="58" t="inlineStr">
        <is>
          <t>Online</t>
        </is>
      </c>
      <c r="K477" s="62">
        <f>F477*(G477-H477)</f>
        <v/>
      </c>
      <c r="L477" s="62">
        <f>K477-(F477*I477)</f>
        <v/>
      </c>
      <c r="M477" s="64">
        <f>L477/K477</f>
        <v/>
      </c>
    </row>
    <row r="478">
      <c r="A478" s="58" t="inlineStr">
        <is>
          <t>RT20250111-00477</t>
        </is>
      </c>
      <c r="B478" s="59" t="inlineStr">
        <is>
          <t>2025-01-11</t>
        </is>
      </c>
      <c r="C478" s="60" t="inlineStr">
        <is>
          <t>Polar Snack Pro-641</t>
        </is>
      </c>
      <c r="D478" s="58" t="inlineStr">
        <is>
          <t>Grocery</t>
        </is>
      </c>
      <c r="E478" s="58" t="inlineStr">
        <is>
          <t>North</t>
        </is>
      </c>
      <c r="F478" s="61" t="n">
        <v>4</v>
      </c>
      <c r="G478" s="62" t="n">
        <v>12.71</v>
      </c>
      <c r="H478" s="63" t="n">
        <v>0.067</v>
      </c>
      <c r="I478" s="62" t="n">
        <v>9.57</v>
      </c>
      <c r="J478" s="58" t="inlineStr">
        <is>
          <t>Online</t>
        </is>
      </c>
      <c r="K478" s="62">
        <f>F478*(G478-H478)</f>
        <v/>
      </c>
      <c r="L478" s="62">
        <f>K478-(F478*I478)</f>
        <v/>
      </c>
      <c r="M478" s="64">
        <f>L478/K478</f>
        <v/>
      </c>
    </row>
    <row r="479">
      <c r="A479" s="58" t="inlineStr">
        <is>
          <t>RT20250111-00478</t>
        </is>
      </c>
      <c r="B479" s="59" t="inlineStr">
        <is>
          <t>2025-01-11</t>
        </is>
      </c>
      <c r="C479" s="60" t="inlineStr">
        <is>
          <t>Solace Bedding Plus-317</t>
        </is>
      </c>
      <c r="D479" s="58" t="inlineStr">
        <is>
          <t>Home</t>
        </is>
      </c>
      <c r="E479" s="58" t="inlineStr">
        <is>
          <t>North</t>
        </is>
      </c>
      <c r="F479" s="61" t="n">
        <v>3</v>
      </c>
      <c r="G479" s="62" t="n">
        <v>492.56</v>
      </c>
      <c r="H479" s="63" t="n">
        <v>0.098</v>
      </c>
      <c r="I479" s="62" t="n">
        <v>381.99</v>
      </c>
      <c r="J479" s="58" t="inlineStr">
        <is>
          <t>Store</t>
        </is>
      </c>
      <c r="K479" s="62">
        <f>F479*(G479-H479)</f>
        <v/>
      </c>
      <c r="L479" s="62">
        <f>K479-(F479*I479)</f>
        <v/>
      </c>
      <c r="M479" s="64">
        <f>L479/K479</f>
        <v/>
      </c>
    </row>
    <row r="480">
      <c r="A480" s="58" t="inlineStr">
        <is>
          <t>RT20250111-00479</t>
        </is>
      </c>
      <c r="B480" s="59" t="inlineStr">
        <is>
          <t>2025-01-11</t>
        </is>
      </c>
      <c r="C480" s="60" t="inlineStr">
        <is>
          <t>Metro Smartphone Max-773</t>
        </is>
      </c>
      <c r="D480" s="58" t="inlineStr">
        <is>
          <t>Electronics</t>
        </is>
      </c>
      <c r="E480" s="58" t="inlineStr">
        <is>
          <t>West</t>
        </is>
      </c>
      <c r="F480" s="61" t="n">
        <v>2</v>
      </c>
      <c r="G480" s="62" t="n">
        <v>1418.92</v>
      </c>
      <c r="H480" s="63" t="n">
        <v>0.063</v>
      </c>
      <c r="I480" s="62" t="n">
        <v>1103.78</v>
      </c>
      <c r="J480" s="58" t="inlineStr">
        <is>
          <t>Store</t>
        </is>
      </c>
      <c r="K480" s="62">
        <f>F480*(G480-H480)</f>
        <v/>
      </c>
      <c r="L480" s="62">
        <f>K480-(F480*I480)</f>
        <v/>
      </c>
      <c r="M480" s="64">
        <f>L480/K480</f>
        <v/>
      </c>
    </row>
    <row r="481">
      <c r="A481" s="58" t="inlineStr">
        <is>
          <t>RT20250111-00480</t>
        </is>
      </c>
      <c r="B481" s="59" t="inlineStr">
        <is>
          <t>2025-01-11</t>
        </is>
      </c>
      <c r="C481" s="60" t="inlineStr">
        <is>
          <t>Orion Storage Plus-961</t>
        </is>
      </c>
      <c r="D481" s="58" t="inlineStr">
        <is>
          <t>Office</t>
        </is>
      </c>
      <c r="E481" s="58" t="inlineStr">
        <is>
          <t>Central</t>
        </is>
      </c>
      <c r="F481" s="61" t="n">
        <v>2</v>
      </c>
      <c r="G481" s="62" t="n">
        <v>566.14</v>
      </c>
      <c r="H481" s="63" t="n">
        <v>0.117</v>
      </c>
      <c r="I481" s="62" t="n">
        <v>371.55</v>
      </c>
      <c r="J481" s="58" t="inlineStr">
        <is>
          <t>Store</t>
        </is>
      </c>
      <c r="K481" s="62">
        <f>F481*(G481-H481)</f>
        <v/>
      </c>
      <c r="L481" s="62">
        <f>K481-(F481*I481)</f>
        <v/>
      </c>
      <c r="M481" s="64">
        <f>L481/K481</f>
        <v/>
      </c>
    </row>
    <row r="482">
      <c r="A482" s="58" t="inlineStr">
        <is>
          <t>RT20250111-00481</t>
        </is>
      </c>
      <c r="B482" s="59" t="inlineStr">
        <is>
          <t>2025-01-11</t>
        </is>
      </c>
      <c r="C482" s="60" t="inlineStr">
        <is>
          <t>Vertex Fitnes Pro-830</t>
        </is>
      </c>
      <c r="D482" s="58" t="inlineStr">
        <is>
          <t>Sports</t>
        </is>
      </c>
      <c r="E482" s="58" t="inlineStr">
        <is>
          <t>Central</t>
        </is>
      </c>
      <c r="F482" s="61" t="n">
        <v>2</v>
      </c>
      <c r="G482" s="62" t="n">
        <v>717.6799999999999</v>
      </c>
      <c r="H482" s="63" t="n">
        <v>0.06</v>
      </c>
      <c r="I482" s="62" t="n">
        <v>466.1</v>
      </c>
      <c r="J482" s="58" t="inlineStr">
        <is>
          <t>Store</t>
        </is>
      </c>
      <c r="K482" s="62">
        <f>F482*(G482-H482)</f>
        <v/>
      </c>
      <c r="L482" s="62">
        <f>K482-(F482*I482)</f>
        <v/>
      </c>
      <c r="M482" s="64">
        <f>L482/K482</f>
        <v/>
      </c>
    </row>
    <row r="483">
      <c r="A483" s="58" t="inlineStr">
        <is>
          <t>RT20250111-00482</t>
        </is>
      </c>
      <c r="B483" s="59" t="inlineStr">
        <is>
          <t>2025-01-11</t>
        </is>
      </c>
      <c r="C483" s="60" t="inlineStr">
        <is>
          <t>Aurora Wearable Lite-704</t>
        </is>
      </c>
      <c r="D483" s="58" t="inlineStr">
        <is>
          <t>Electronics</t>
        </is>
      </c>
      <c r="E483" s="58" t="inlineStr">
        <is>
          <t>Central</t>
        </is>
      </c>
      <c r="F483" s="61" t="n">
        <v>2</v>
      </c>
      <c r="G483" s="62" t="n">
        <v>1762.41</v>
      </c>
      <c r="H483" s="63" t="n">
        <v>0.027</v>
      </c>
      <c r="I483" s="62" t="n">
        <v>1487.57</v>
      </c>
      <c r="J483" s="58" t="inlineStr">
        <is>
          <t>Online</t>
        </is>
      </c>
      <c r="K483" s="62">
        <f>F483*(G483-H483)</f>
        <v/>
      </c>
      <c r="L483" s="62">
        <f>K483-(F483*I483)</f>
        <v/>
      </c>
      <c r="M483" s="64">
        <f>L483/K483</f>
        <v/>
      </c>
    </row>
    <row r="484">
      <c r="A484" s="58" t="inlineStr">
        <is>
          <t>RT20250111-00483</t>
        </is>
      </c>
      <c r="B484" s="59" t="inlineStr">
        <is>
          <t>2025-01-11</t>
        </is>
      </c>
      <c r="C484" s="60" t="inlineStr">
        <is>
          <t>Falcon Headphone Pro-713</t>
        </is>
      </c>
      <c r="D484" s="58" t="inlineStr">
        <is>
          <t>Electronics</t>
        </is>
      </c>
      <c r="E484" s="58" t="inlineStr">
        <is>
          <t>East</t>
        </is>
      </c>
      <c r="F484" s="61" t="n">
        <v>1</v>
      </c>
      <c r="G484" s="62" t="n">
        <v>1449.58</v>
      </c>
      <c r="H484" s="63" t="n">
        <v>0.006</v>
      </c>
      <c r="I484" s="62" t="n">
        <v>1160.05</v>
      </c>
      <c r="J484" s="58" t="inlineStr">
        <is>
          <t>Online</t>
        </is>
      </c>
      <c r="K484" s="62">
        <f>F484*(G484-H484)</f>
        <v/>
      </c>
      <c r="L484" s="62">
        <f>K484-(F484*I484)</f>
        <v/>
      </c>
      <c r="M484" s="64">
        <f>L484/K484</f>
        <v/>
      </c>
    </row>
    <row r="485">
      <c r="A485" s="58" t="inlineStr">
        <is>
          <t>RT20250111-00484</t>
        </is>
      </c>
      <c r="B485" s="59" t="inlineStr">
        <is>
          <t>2025-01-11</t>
        </is>
      </c>
      <c r="C485" s="60" t="inlineStr">
        <is>
          <t>Polar Men Pro-246</t>
        </is>
      </c>
      <c r="D485" s="58" t="inlineStr">
        <is>
          <t>Apparel</t>
        </is>
      </c>
      <c r="E485" s="58" t="inlineStr">
        <is>
          <t>West</t>
        </is>
      </c>
      <c r="F485" s="61" t="n">
        <v>2</v>
      </c>
      <c r="G485" s="62" t="n">
        <v>130.4</v>
      </c>
      <c r="H485" s="63" t="n">
        <v>0.046</v>
      </c>
      <c r="I485" s="62" t="n">
        <v>76.76000000000001</v>
      </c>
      <c r="J485" s="58" t="inlineStr">
        <is>
          <t>Online</t>
        </is>
      </c>
      <c r="K485" s="62">
        <f>F485*(G485-H485)</f>
        <v/>
      </c>
      <c r="L485" s="62">
        <f>K485-(F485*I485)</f>
        <v/>
      </c>
      <c r="M485" s="64">
        <f>L485/K485</f>
        <v/>
      </c>
    </row>
    <row r="486">
      <c r="A486" s="58" t="inlineStr">
        <is>
          <t>RT20250111-00485</t>
        </is>
      </c>
      <c r="B486" s="59" t="inlineStr">
        <is>
          <t>2025-01-11</t>
        </is>
      </c>
      <c r="C486" s="60" t="inlineStr">
        <is>
          <t>Orion Beverage Plus-949</t>
        </is>
      </c>
      <c r="D486" s="58" t="inlineStr">
        <is>
          <t>Grocery</t>
        </is>
      </c>
      <c r="E486" s="58" t="inlineStr">
        <is>
          <t>East</t>
        </is>
      </c>
      <c r="F486" s="61" t="n">
        <v>4</v>
      </c>
      <c r="G486" s="62" t="n">
        <v>15.02</v>
      </c>
      <c r="H486" s="63" t="n">
        <v>0.034</v>
      </c>
      <c r="I486" s="62" t="n">
        <v>13.48</v>
      </c>
      <c r="J486" s="58" t="inlineStr">
        <is>
          <t>Online</t>
        </is>
      </c>
      <c r="K486" s="62">
        <f>F486*(G486-H486)</f>
        <v/>
      </c>
      <c r="L486" s="62">
        <f>K486-(F486*I486)</f>
        <v/>
      </c>
      <c r="M486" s="64">
        <f>L486/K486</f>
        <v/>
      </c>
    </row>
    <row r="487">
      <c r="A487" s="58" t="inlineStr">
        <is>
          <t>RT20250111-00486</t>
        </is>
      </c>
      <c r="B487" s="59" t="inlineStr">
        <is>
          <t>2025-01-11</t>
        </is>
      </c>
      <c r="C487" s="60" t="inlineStr">
        <is>
          <t>Metro Wearable Plus-234</t>
        </is>
      </c>
      <c r="D487" s="58" t="inlineStr">
        <is>
          <t>Electronics</t>
        </is>
      </c>
      <c r="E487" s="58" t="inlineStr">
        <is>
          <t>West</t>
        </is>
      </c>
      <c r="F487" s="61" t="n">
        <v>1</v>
      </c>
      <c r="G487" s="62" t="n">
        <v>1489.69</v>
      </c>
      <c r="H487" s="63" t="n">
        <v>0.013</v>
      </c>
      <c r="I487" s="62" t="n">
        <v>1175.18</v>
      </c>
      <c r="J487" s="58" t="inlineStr">
        <is>
          <t>Online</t>
        </is>
      </c>
      <c r="K487" s="62">
        <f>F487*(G487-H487)</f>
        <v/>
      </c>
      <c r="L487" s="62">
        <f>K487-(F487*I487)</f>
        <v/>
      </c>
      <c r="M487" s="64">
        <f>L487/K487</f>
        <v/>
      </c>
    </row>
    <row r="488">
      <c r="A488" s="58" t="inlineStr">
        <is>
          <t>RT20250111-00487</t>
        </is>
      </c>
      <c r="B488" s="59" t="inlineStr">
        <is>
          <t>2025-01-11</t>
        </is>
      </c>
      <c r="C488" s="60" t="inlineStr">
        <is>
          <t>Polar Men Pro-246</t>
        </is>
      </c>
      <c r="D488" s="58" t="inlineStr">
        <is>
          <t>Apparel</t>
        </is>
      </c>
      <c r="E488" s="58" t="inlineStr">
        <is>
          <t>East</t>
        </is>
      </c>
      <c r="F488" s="61" t="n">
        <v>1</v>
      </c>
      <c r="G488" s="62" t="n">
        <v>128.48</v>
      </c>
      <c r="H488" s="63" t="n">
        <v>0.112</v>
      </c>
      <c r="I488" s="62" t="n">
        <v>75.02</v>
      </c>
      <c r="J488" s="58" t="inlineStr">
        <is>
          <t>Store</t>
        </is>
      </c>
      <c r="K488" s="62">
        <f>F488*(G488-H488)</f>
        <v/>
      </c>
      <c r="L488" s="62">
        <f>K488-(F488*I488)</f>
        <v/>
      </c>
      <c r="M488" s="64">
        <f>L488/K488</f>
        <v/>
      </c>
    </row>
    <row r="489">
      <c r="A489" s="58" t="inlineStr">
        <is>
          <t>RT20250111-00488</t>
        </is>
      </c>
      <c r="B489" s="59" t="inlineStr">
        <is>
          <t>2025-01-11</t>
        </is>
      </c>
      <c r="C489" s="60" t="inlineStr">
        <is>
          <t>Falcon Headphone Plus-789</t>
        </is>
      </c>
      <c r="D489" s="58" t="inlineStr">
        <is>
          <t>Electronics</t>
        </is>
      </c>
      <c r="E489" s="58" t="inlineStr">
        <is>
          <t>East</t>
        </is>
      </c>
      <c r="F489" s="61" t="n">
        <v>1</v>
      </c>
      <c r="G489" s="62" t="n">
        <v>1983.81</v>
      </c>
      <c r="H489" s="63" t="n">
        <v>0.092</v>
      </c>
      <c r="I489" s="62" t="n">
        <v>1301.48</v>
      </c>
      <c r="J489" s="58" t="inlineStr">
        <is>
          <t>Store</t>
        </is>
      </c>
      <c r="K489" s="62">
        <f>F489*(G489-H489)</f>
        <v/>
      </c>
      <c r="L489" s="62">
        <f>K489-(F489*I489)</f>
        <v/>
      </c>
      <c r="M489" s="64">
        <f>L489/K489</f>
        <v/>
      </c>
    </row>
    <row r="490">
      <c r="A490" s="58" t="inlineStr">
        <is>
          <t>RT20250111-00489</t>
        </is>
      </c>
      <c r="B490" s="59" t="inlineStr">
        <is>
          <t>2025-01-11</t>
        </is>
      </c>
      <c r="C490" s="60" t="inlineStr">
        <is>
          <t>Metro Smartphone Max-773</t>
        </is>
      </c>
      <c r="D490" s="58" t="inlineStr">
        <is>
          <t>Electronics</t>
        </is>
      </c>
      <c r="E490" s="58" t="inlineStr">
        <is>
          <t>South</t>
        </is>
      </c>
      <c r="F490" s="61" t="n">
        <v>1</v>
      </c>
      <c r="G490" s="62" t="n">
        <v>1422.03</v>
      </c>
      <c r="H490" s="63" t="n">
        <v>0.022</v>
      </c>
      <c r="I490" s="62" t="n">
        <v>1096.6</v>
      </c>
      <c r="J490" s="58" t="inlineStr">
        <is>
          <t>Store</t>
        </is>
      </c>
      <c r="K490" s="62">
        <f>F490*(G490-H490)</f>
        <v/>
      </c>
      <c r="L490" s="62">
        <f>K490-(F490*I490)</f>
        <v/>
      </c>
      <c r="M490" s="64">
        <f>L490/K490</f>
        <v/>
      </c>
    </row>
    <row r="491">
      <c r="A491" s="58" t="inlineStr">
        <is>
          <t>RT20250111-00490</t>
        </is>
      </c>
      <c r="B491" s="59" t="inlineStr">
        <is>
          <t>2025-01-11</t>
        </is>
      </c>
      <c r="C491" s="60" t="inlineStr">
        <is>
          <t>Orion Snack X-322</t>
        </is>
      </c>
      <c r="D491" s="58" t="inlineStr">
        <is>
          <t>Grocery</t>
        </is>
      </c>
      <c r="E491" s="58" t="inlineStr">
        <is>
          <t>Central</t>
        </is>
      </c>
      <c r="F491" s="61" t="n">
        <v>4</v>
      </c>
      <c r="G491" s="62" t="n">
        <v>12.58</v>
      </c>
      <c r="H491" s="63" t="n">
        <v>0.089</v>
      </c>
      <c r="I491" s="62" t="n">
        <v>10.32</v>
      </c>
      <c r="J491" s="58" t="inlineStr">
        <is>
          <t>Online</t>
        </is>
      </c>
      <c r="K491" s="62">
        <f>F491*(G491-H491)</f>
        <v/>
      </c>
      <c r="L491" s="62">
        <f>K491-(F491*I491)</f>
        <v/>
      </c>
      <c r="M491" s="64">
        <f>L491/K491</f>
        <v/>
      </c>
    </row>
    <row r="492">
      <c r="A492" s="58" t="inlineStr">
        <is>
          <t>RT20250111-00491</t>
        </is>
      </c>
      <c r="B492" s="59" t="inlineStr">
        <is>
          <t>2025-01-11</t>
        </is>
      </c>
      <c r="C492" s="60" t="inlineStr">
        <is>
          <t>Falcon Team Sport Lite-268</t>
        </is>
      </c>
      <c r="D492" s="58" t="inlineStr">
        <is>
          <t>Sports</t>
        </is>
      </c>
      <c r="E492" s="58" t="inlineStr">
        <is>
          <t>Central</t>
        </is>
      </c>
      <c r="F492" s="61" t="n">
        <v>1</v>
      </c>
      <c r="G492" s="62" t="n">
        <v>587.1</v>
      </c>
      <c r="H492" s="63" t="n">
        <v>0.054</v>
      </c>
      <c r="I492" s="62" t="n">
        <v>436.85</v>
      </c>
      <c r="J492" s="58" t="inlineStr">
        <is>
          <t>Store</t>
        </is>
      </c>
      <c r="K492" s="62">
        <f>F492*(G492-H492)</f>
        <v/>
      </c>
      <c r="L492" s="62">
        <f>K492-(F492*I492)</f>
        <v/>
      </c>
      <c r="M492" s="64">
        <f>L492/K492</f>
        <v/>
      </c>
    </row>
    <row r="493">
      <c r="A493" s="58" t="inlineStr">
        <is>
          <t>RT20250111-00492</t>
        </is>
      </c>
      <c r="B493" s="59" t="inlineStr">
        <is>
          <t>2025-01-11</t>
        </is>
      </c>
      <c r="C493" s="60" t="inlineStr">
        <is>
          <t>Metro Pantry Max-180</t>
        </is>
      </c>
      <c r="D493" s="58" t="inlineStr">
        <is>
          <t>Grocery</t>
        </is>
      </c>
      <c r="E493" s="58" t="inlineStr">
        <is>
          <t>South</t>
        </is>
      </c>
      <c r="F493" s="61" t="n">
        <v>3</v>
      </c>
      <c r="G493" s="62" t="n">
        <v>10.24</v>
      </c>
      <c r="H493" s="63" t="n">
        <v>0.06900000000000001</v>
      </c>
      <c r="I493" s="62" t="n">
        <v>6.61</v>
      </c>
      <c r="J493" s="58" t="inlineStr">
        <is>
          <t>Online</t>
        </is>
      </c>
      <c r="K493" s="62">
        <f>F493*(G493-H493)</f>
        <v/>
      </c>
      <c r="L493" s="62">
        <f>K493-(F493*I493)</f>
        <v/>
      </c>
      <c r="M493" s="64">
        <f>L493/K493</f>
        <v/>
      </c>
    </row>
    <row r="494">
      <c r="A494" s="58" t="inlineStr">
        <is>
          <t>RT20250112-00493</t>
        </is>
      </c>
      <c r="B494" s="59" t="inlineStr">
        <is>
          <t>2025-01-12</t>
        </is>
      </c>
      <c r="C494" s="60" t="inlineStr">
        <is>
          <t>Solace Snack S-691</t>
        </is>
      </c>
      <c r="D494" s="58" t="inlineStr">
        <is>
          <t>Grocery</t>
        </is>
      </c>
      <c r="E494" s="58" t="inlineStr">
        <is>
          <t>Central</t>
        </is>
      </c>
      <c r="F494" s="61" t="n">
        <v>5</v>
      </c>
      <c r="G494" s="62" t="n">
        <v>9.029999999999999</v>
      </c>
      <c r="H494" s="63" t="n">
        <v>0.074</v>
      </c>
      <c r="I494" s="62" t="n">
        <v>7.04</v>
      </c>
      <c r="J494" s="58" t="inlineStr">
        <is>
          <t>Online</t>
        </is>
      </c>
      <c r="K494" s="62">
        <f>F494*(G494-H494)</f>
        <v/>
      </c>
      <c r="L494" s="62">
        <f>K494-(F494*I494)</f>
        <v/>
      </c>
      <c r="M494" s="64">
        <f>L494/K494</f>
        <v/>
      </c>
    </row>
    <row r="495">
      <c r="A495" s="58" t="inlineStr">
        <is>
          <t>RT20250112-00494</t>
        </is>
      </c>
      <c r="B495" s="59" t="inlineStr">
        <is>
          <t>2025-01-12</t>
        </is>
      </c>
      <c r="C495" s="60" t="inlineStr">
        <is>
          <t>Polar Pantry Lite-392</t>
        </is>
      </c>
      <c r="D495" s="58" t="inlineStr">
        <is>
          <t>Grocery</t>
        </is>
      </c>
      <c r="E495" s="58" t="inlineStr">
        <is>
          <t>West</t>
        </is>
      </c>
      <c r="F495" s="61" t="n">
        <v>4</v>
      </c>
      <c r="G495" s="62" t="n">
        <v>6.71</v>
      </c>
      <c r="H495" s="63" t="n">
        <v>0.107</v>
      </c>
      <c r="I495" s="62" t="n">
        <v>4.56</v>
      </c>
      <c r="J495" s="58" t="inlineStr">
        <is>
          <t>Online</t>
        </is>
      </c>
      <c r="K495" s="62">
        <f>F495*(G495-H495)</f>
        <v/>
      </c>
      <c r="L495" s="62">
        <f>K495-(F495*I495)</f>
        <v/>
      </c>
      <c r="M495" s="64">
        <f>L495/K495</f>
        <v/>
      </c>
    </row>
    <row r="496">
      <c r="A496" s="58" t="inlineStr">
        <is>
          <t>RT20250112-00495</t>
        </is>
      </c>
      <c r="B496" s="59" t="inlineStr">
        <is>
          <t>2025-01-12</t>
        </is>
      </c>
      <c r="C496" s="60" t="inlineStr">
        <is>
          <t>Polar Snack Pro-641</t>
        </is>
      </c>
      <c r="D496" s="58" t="inlineStr">
        <is>
          <t>Grocery</t>
        </is>
      </c>
      <c r="E496" s="58" t="inlineStr">
        <is>
          <t>East</t>
        </is>
      </c>
      <c r="F496" s="61" t="n">
        <v>4</v>
      </c>
      <c r="G496" s="62" t="n">
        <v>11.98</v>
      </c>
      <c r="H496" s="63" t="n">
        <v>0.062</v>
      </c>
      <c r="I496" s="62" t="n">
        <v>9.42</v>
      </c>
      <c r="J496" s="58" t="inlineStr">
        <is>
          <t>Online</t>
        </is>
      </c>
      <c r="K496" s="62">
        <f>F496*(G496-H496)</f>
        <v/>
      </c>
      <c r="L496" s="62">
        <f>K496-(F496*I496)</f>
        <v/>
      </c>
      <c r="M496" s="64">
        <f>L496/K496</f>
        <v/>
      </c>
    </row>
    <row r="497">
      <c r="A497" s="58" t="inlineStr">
        <is>
          <t>RT20250112-00496</t>
        </is>
      </c>
      <c r="B497" s="59" t="inlineStr">
        <is>
          <t>2025-01-12</t>
        </is>
      </c>
      <c r="C497" s="60" t="inlineStr">
        <is>
          <t>Solace Fitnes S-324</t>
        </is>
      </c>
      <c r="D497" s="58" t="inlineStr">
        <is>
          <t>Sports</t>
        </is>
      </c>
      <c r="E497" s="58" t="inlineStr">
        <is>
          <t>South</t>
        </is>
      </c>
      <c r="F497" s="61" t="n">
        <v>2</v>
      </c>
      <c r="G497" s="62" t="n">
        <v>784.3</v>
      </c>
      <c r="H497" s="63" t="n">
        <v>0.08</v>
      </c>
      <c r="I497" s="62" t="n">
        <v>540.48</v>
      </c>
      <c r="J497" s="58" t="inlineStr">
        <is>
          <t>Online</t>
        </is>
      </c>
      <c r="K497" s="62">
        <f>F497*(G497-H497)</f>
        <v/>
      </c>
      <c r="L497" s="62">
        <f>K497-(F497*I497)</f>
        <v/>
      </c>
      <c r="M497" s="64">
        <f>L497/K497</f>
        <v/>
      </c>
    </row>
    <row r="498">
      <c r="A498" s="58" t="inlineStr">
        <is>
          <t>RT20250112-00497</t>
        </is>
      </c>
      <c r="B498" s="59" t="inlineStr">
        <is>
          <t>2025-01-12</t>
        </is>
      </c>
      <c r="C498" s="60" t="inlineStr">
        <is>
          <t>Metro Fragrance Lite-261</t>
        </is>
      </c>
      <c r="D498" s="58" t="inlineStr">
        <is>
          <t>Beauty</t>
        </is>
      </c>
      <c r="E498" s="58" t="inlineStr">
        <is>
          <t>North</t>
        </is>
      </c>
      <c r="F498" s="61" t="n">
        <v>2</v>
      </c>
      <c r="G498" s="62" t="n">
        <v>109.66</v>
      </c>
      <c r="H498" s="63" t="n">
        <v>0.023</v>
      </c>
      <c r="I498" s="62" t="n">
        <v>55.15</v>
      </c>
      <c r="J498" s="58" t="inlineStr">
        <is>
          <t>Online</t>
        </is>
      </c>
      <c r="K498" s="62">
        <f>F498*(G498-H498)</f>
        <v/>
      </c>
      <c r="L498" s="62">
        <f>K498-(F498*I498)</f>
        <v/>
      </c>
      <c r="M498" s="64">
        <f>L498/K498</f>
        <v/>
      </c>
    </row>
    <row r="499">
      <c r="A499" s="58" t="inlineStr">
        <is>
          <t>RT20250112-00498</t>
        </is>
      </c>
      <c r="B499" s="59" t="inlineStr">
        <is>
          <t>2025-01-12</t>
        </is>
      </c>
      <c r="C499" s="60" t="inlineStr">
        <is>
          <t>Aurora Makeup Pro-489</t>
        </is>
      </c>
      <c r="D499" s="58" t="inlineStr">
        <is>
          <t>Beauty</t>
        </is>
      </c>
      <c r="E499" s="58" t="inlineStr">
        <is>
          <t>East</t>
        </is>
      </c>
      <c r="F499" s="61" t="n">
        <v>3</v>
      </c>
      <c r="G499" s="62" t="n">
        <v>86.34999999999999</v>
      </c>
      <c r="H499" s="63" t="n">
        <v>0.154</v>
      </c>
      <c r="I499" s="62" t="n">
        <v>63.1</v>
      </c>
      <c r="J499" s="58" t="inlineStr">
        <is>
          <t>Online</t>
        </is>
      </c>
      <c r="K499" s="62">
        <f>F499*(G499-H499)</f>
        <v/>
      </c>
      <c r="L499" s="62">
        <f>K499-(F499*I499)</f>
        <v/>
      </c>
      <c r="M499" s="64">
        <f>L499/K499</f>
        <v/>
      </c>
    </row>
    <row r="500">
      <c r="A500" s="58" t="inlineStr">
        <is>
          <t>RT20250112-00499</t>
        </is>
      </c>
      <c r="B500" s="59" t="inlineStr">
        <is>
          <t>2025-01-12</t>
        </is>
      </c>
      <c r="C500" s="60" t="inlineStr">
        <is>
          <t>Solace Makeup Pro-214</t>
        </is>
      </c>
      <c r="D500" s="58" t="inlineStr">
        <is>
          <t>Beauty</t>
        </is>
      </c>
      <c r="E500" s="58" t="inlineStr">
        <is>
          <t>West</t>
        </is>
      </c>
      <c r="F500" s="61" t="n">
        <v>5</v>
      </c>
      <c r="G500" s="62" t="n">
        <v>108.77</v>
      </c>
      <c r="H500" s="63" t="n">
        <v>0.06900000000000001</v>
      </c>
      <c r="I500" s="62" t="n">
        <v>66.51000000000001</v>
      </c>
      <c r="J500" s="58" t="inlineStr">
        <is>
          <t>Online</t>
        </is>
      </c>
      <c r="K500" s="62">
        <f>F500*(G500-H500)</f>
        <v/>
      </c>
      <c r="L500" s="62">
        <f>K500-(F500*I500)</f>
        <v/>
      </c>
      <c r="M500" s="64">
        <f>L500/K500</f>
        <v/>
      </c>
    </row>
    <row r="501">
      <c r="A501" s="58" t="inlineStr">
        <is>
          <t>RT20250112-00500</t>
        </is>
      </c>
      <c r="B501" s="59" t="inlineStr">
        <is>
          <t>2025-01-12</t>
        </is>
      </c>
      <c r="C501" s="60" t="inlineStr">
        <is>
          <t>Vertex Printer Max-692</t>
        </is>
      </c>
      <c r="D501" s="58" t="inlineStr">
        <is>
          <t>Office</t>
        </is>
      </c>
      <c r="E501" s="58" t="inlineStr">
        <is>
          <t>Central</t>
        </is>
      </c>
      <c r="F501" s="61" t="n">
        <v>3</v>
      </c>
      <c r="G501" s="62" t="n">
        <v>184.16</v>
      </c>
      <c r="H501" s="63" t="n">
        <v>0.054</v>
      </c>
      <c r="I501" s="62" t="n">
        <v>120.44</v>
      </c>
      <c r="J501" s="58" t="inlineStr">
        <is>
          <t>Online</t>
        </is>
      </c>
      <c r="K501" s="62">
        <f>F501*(G501-H501)</f>
        <v/>
      </c>
      <c r="L501" s="62">
        <f>K501-(F501*I501)</f>
        <v/>
      </c>
      <c r="M501" s="64">
        <f>L501/K501</f>
        <v/>
      </c>
    </row>
    <row r="502">
      <c r="A502" s="58" t="inlineStr">
        <is>
          <t>RT20250112-00501</t>
        </is>
      </c>
      <c r="B502" s="59" t="inlineStr">
        <is>
          <t>2025-01-12</t>
        </is>
      </c>
      <c r="C502" s="60" t="inlineStr">
        <is>
          <t>Solace Snack S-691</t>
        </is>
      </c>
      <c r="D502" s="58" t="inlineStr">
        <is>
          <t>Grocery</t>
        </is>
      </c>
      <c r="E502" s="58" t="inlineStr">
        <is>
          <t>West</t>
        </is>
      </c>
      <c r="F502" s="61" t="n">
        <v>7</v>
      </c>
      <c r="G502" s="62" t="n">
        <v>9.41</v>
      </c>
      <c r="H502" s="63" t="n">
        <v>0.09</v>
      </c>
      <c r="I502" s="62" t="n">
        <v>7.17</v>
      </c>
      <c r="J502" s="58" t="inlineStr">
        <is>
          <t>Online</t>
        </is>
      </c>
      <c r="K502" s="62">
        <f>F502*(G502-H502)</f>
        <v/>
      </c>
      <c r="L502" s="62">
        <f>K502-(F502*I502)</f>
        <v/>
      </c>
      <c r="M502" s="64">
        <f>L502/K502</f>
        <v/>
      </c>
    </row>
    <row r="503">
      <c r="A503" s="58" t="inlineStr">
        <is>
          <t>RT20250112-00502</t>
        </is>
      </c>
      <c r="B503" s="59" t="inlineStr">
        <is>
          <t>2025-01-12</t>
        </is>
      </c>
      <c r="C503" s="60" t="inlineStr">
        <is>
          <t>Vertex Supplie X-513</t>
        </is>
      </c>
      <c r="D503" s="58" t="inlineStr">
        <is>
          <t>Office</t>
        </is>
      </c>
      <c r="E503" s="58" t="inlineStr">
        <is>
          <t>West</t>
        </is>
      </c>
      <c r="F503" s="61" t="n">
        <v>1</v>
      </c>
      <c r="G503" s="62" t="n">
        <v>439.12</v>
      </c>
      <c r="H503" s="63" t="n">
        <v>0.053</v>
      </c>
      <c r="I503" s="62" t="n">
        <v>275.62</v>
      </c>
      <c r="J503" s="58" t="inlineStr">
        <is>
          <t>Online</t>
        </is>
      </c>
      <c r="K503" s="62">
        <f>F503*(G503-H503)</f>
        <v/>
      </c>
      <c r="L503" s="62">
        <f>K503-(F503*I503)</f>
        <v/>
      </c>
      <c r="M503" s="64">
        <f>L503/K503</f>
        <v/>
      </c>
    </row>
    <row r="504">
      <c r="A504" s="58" t="inlineStr">
        <is>
          <t>RT20250112-00503</t>
        </is>
      </c>
      <c r="B504" s="59" t="inlineStr">
        <is>
          <t>2025-01-12</t>
        </is>
      </c>
      <c r="C504" s="60" t="inlineStr">
        <is>
          <t>Orion Supplie S-612</t>
        </is>
      </c>
      <c r="D504" s="58" t="inlineStr">
        <is>
          <t>Office</t>
        </is>
      </c>
      <c r="E504" s="58" t="inlineStr">
        <is>
          <t>Central</t>
        </is>
      </c>
      <c r="F504" s="61" t="n">
        <v>2</v>
      </c>
      <c r="G504" s="62" t="n">
        <v>470.72</v>
      </c>
      <c r="H504" s="63" t="n">
        <v>0.038</v>
      </c>
      <c r="I504" s="62" t="n">
        <v>339.83</v>
      </c>
      <c r="J504" s="58" t="inlineStr">
        <is>
          <t>Store</t>
        </is>
      </c>
      <c r="K504" s="62">
        <f>F504*(G504-H504)</f>
        <v/>
      </c>
      <c r="L504" s="62">
        <f>K504-(F504*I504)</f>
        <v/>
      </c>
      <c r="M504" s="64">
        <f>L504/K504</f>
        <v/>
      </c>
    </row>
    <row r="505">
      <c r="A505" s="58" t="inlineStr">
        <is>
          <t>RT20250112-00504</t>
        </is>
      </c>
      <c r="B505" s="59" t="inlineStr">
        <is>
          <t>2025-01-12</t>
        </is>
      </c>
      <c r="C505" s="60" t="inlineStr">
        <is>
          <t>Polar Women S-662</t>
        </is>
      </c>
      <c r="D505" s="58" t="inlineStr">
        <is>
          <t>Apparel</t>
        </is>
      </c>
      <c r="E505" s="58" t="inlineStr">
        <is>
          <t>Central</t>
        </is>
      </c>
      <c r="F505" s="61" t="n">
        <v>1</v>
      </c>
      <c r="G505" s="62" t="n">
        <v>163.13</v>
      </c>
      <c r="H505" s="63" t="n">
        <v>0.039</v>
      </c>
      <c r="I505" s="62" t="n">
        <v>96.33</v>
      </c>
      <c r="J505" s="58" t="inlineStr">
        <is>
          <t>Online</t>
        </is>
      </c>
      <c r="K505" s="62">
        <f>F505*(G505-H505)</f>
        <v/>
      </c>
      <c r="L505" s="62">
        <f>K505-(F505*I505)</f>
        <v/>
      </c>
      <c r="M505" s="64">
        <f>L505/K505</f>
        <v/>
      </c>
    </row>
    <row r="506">
      <c r="A506" s="58" t="inlineStr">
        <is>
          <t>RT20250112-00505</t>
        </is>
      </c>
      <c r="B506" s="59" t="inlineStr">
        <is>
          <t>2025-01-12</t>
        </is>
      </c>
      <c r="C506" s="60" t="inlineStr">
        <is>
          <t>Polar Snack Pro-641</t>
        </is>
      </c>
      <c r="D506" s="58" t="inlineStr">
        <is>
          <t>Grocery</t>
        </is>
      </c>
      <c r="E506" s="58" t="inlineStr">
        <is>
          <t>East</t>
        </is>
      </c>
      <c r="F506" s="61" t="n">
        <v>3</v>
      </c>
      <c r="G506" s="62" t="n">
        <v>12.63</v>
      </c>
      <c r="H506" s="63" t="n">
        <v>0.08599999999999999</v>
      </c>
      <c r="I506" s="62" t="n">
        <v>9.76</v>
      </c>
      <c r="J506" s="58" t="inlineStr">
        <is>
          <t>Store</t>
        </is>
      </c>
      <c r="K506" s="62">
        <f>F506*(G506-H506)</f>
        <v/>
      </c>
      <c r="L506" s="62">
        <f>K506-(F506*I506)</f>
        <v/>
      </c>
      <c r="M506" s="64">
        <f>L506/K506</f>
        <v/>
      </c>
    </row>
    <row r="507">
      <c r="A507" s="58" t="inlineStr">
        <is>
          <t>RT20250112-00506</t>
        </is>
      </c>
      <c r="B507" s="59" t="inlineStr">
        <is>
          <t>2025-01-12</t>
        </is>
      </c>
      <c r="C507" s="60" t="inlineStr">
        <is>
          <t>Nimbus Men Plus-231</t>
        </is>
      </c>
      <c r="D507" s="58" t="inlineStr">
        <is>
          <t>Apparel</t>
        </is>
      </c>
      <c r="E507" s="58" t="inlineStr">
        <is>
          <t>West</t>
        </is>
      </c>
      <c r="F507" s="61" t="n">
        <v>4</v>
      </c>
      <c r="G507" s="62" t="n">
        <v>167.12</v>
      </c>
      <c r="H507" s="63" t="n">
        <v>0.081</v>
      </c>
      <c r="I507" s="62" t="n">
        <v>90.88</v>
      </c>
      <c r="J507" s="58" t="inlineStr">
        <is>
          <t>Store</t>
        </is>
      </c>
      <c r="K507" s="62">
        <f>F507*(G507-H507)</f>
        <v/>
      </c>
      <c r="L507" s="62">
        <f>K507-(F507*I507)</f>
        <v/>
      </c>
      <c r="M507" s="64">
        <f>L507/K507</f>
        <v/>
      </c>
    </row>
    <row r="508">
      <c r="A508" s="58" t="inlineStr">
        <is>
          <t>RT20250112-00507</t>
        </is>
      </c>
      <c r="B508" s="59" t="inlineStr">
        <is>
          <t>2025-01-12</t>
        </is>
      </c>
      <c r="C508" s="60" t="inlineStr">
        <is>
          <t>Falcon Household Pro-865</t>
        </is>
      </c>
      <c r="D508" s="58" t="inlineStr">
        <is>
          <t>Grocery</t>
        </is>
      </c>
      <c r="E508" s="58" t="inlineStr">
        <is>
          <t>Central</t>
        </is>
      </c>
      <c r="F508" s="61" t="n">
        <v>8</v>
      </c>
      <c r="G508" s="62" t="n">
        <v>11.16</v>
      </c>
      <c r="H508" s="63" t="n">
        <v>0.095</v>
      </c>
      <c r="I508" s="62" t="n">
        <v>7.61</v>
      </c>
      <c r="J508" s="58" t="inlineStr">
        <is>
          <t>Store</t>
        </is>
      </c>
      <c r="K508" s="62">
        <f>F508*(G508-H508)</f>
        <v/>
      </c>
      <c r="L508" s="62">
        <f>K508-(F508*I508)</f>
        <v/>
      </c>
      <c r="M508" s="64">
        <f>L508/K508</f>
        <v/>
      </c>
    </row>
    <row r="509">
      <c r="A509" s="58" t="inlineStr">
        <is>
          <t>RT20250112-00508</t>
        </is>
      </c>
      <c r="B509" s="59" t="inlineStr">
        <is>
          <t>2025-01-12</t>
        </is>
      </c>
      <c r="C509" s="60" t="inlineStr">
        <is>
          <t>Polar Decor Plus-505</t>
        </is>
      </c>
      <c r="D509" s="58" t="inlineStr">
        <is>
          <t>Home</t>
        </is>
      </c>
      <c r="E509" s="58" t="inlineStr">
        <is>
          <t>South</t>
        </is>
      </c>
      <c r="F509" s="61" t="n">
        <v>3</v>
      </c>
      <c r="G509" s="62" t="n">
        <v>271.47</v>
      </c>
      <c r="H509" s="63" t="n">
        <v>0.066</v>
      </c>
      <c r="I509" s="62" t="n">
        <v>199.43</v>
      </c>
      <c r="J509" s="58" t="inlineStr">
        <is>
          <t>Online</t>
        </is>
      </c>
      <c r="K509" s="62">
        <f>F509*(G509-H509)</f>
        <v/>
      </c>
      <c r="L509" s="62">
        <f>K509-(F509*I509)</f>
        <v/>
      </c>
      <c r="M509" s="64">
        <f>L509/K509</f>
        <v/>
      </c>
    </row>
    <row r="510">
      <c r="A510" s="58" t="inlineStr">
        <is>
          <t>RT20250112-00509</t>
        </is>
      </c>
      <c r="B510" s="59" t="inlineStr">
        <is>
          <t>2025-01-12</t>
        </is>
      </c>
      <c r="C510" s="60" t="inlineStr">
        <is>
          <t>Metro Beverage Max-490</t>
        </is>
      </c>
      <c r="D510" s="58" t="inlineStr">
        <is>
          <t>Grocery</t>
        </is>
      </c>
      <c r="E510" s="58" t="inlineStr">
        <is>
          <t>Central</t>
        </is>
      </c>
      <c r="F510" s="61" t="n">
        <v>6</v>
      </c>
      <c r="G510" s="62" t="n">
        <v>9.539999999999999</v>
      </c>
      <c r="H510" s="63" t="n">
        <v>0.011</v>
      </c>
      <c r="I510" s="62" t="n">
        <v>8.35</v>
      </c>
      <c r="J510" s="58" t="inlineStr">
        <is>
          <t>Online</t>
        </is>
      </c>
      <c r="K510" s="62">
        <f>F510*(G510-H510)</f>
        <v/>
      </c>
      <c r="L510" s="62">
        <f>K510-(F510*I510)</f>
        <v/>
      </c>
      <c r="M510" s="64">
        <f>L510/K510</f>
        <v/>
      </c>
    </row>
    <row r="511">
      <c r="A511" s="58" t="inlineStr">
        <is>
          <t>RT20250112-00510</t>
        </is>
      </c>
      <c r="B511" s="59" t="inlineStr">
        <is>
          <t>2025-01-12</t>
        </is>
      </c>
      <c r="C511" s="60" t="inlineStr">
        <is>
          <t>Falcon Team Sport Lite-268</t>
        </is>
      </c>
      <c r="D511" s="58" t="inlineStr">
        <is>
          <t>Sports</t>
        </is>
      </c>
      <c r="E511" s="58" t="inlineStr">
        <is>
          <t>West</t>
        </is>
      </c>
      <c r="F511" s="61" t="n">
        <v>3</v>
      </c>
      <c r="G511" s="62" t="n">
        <v>715.0700000000001</v>
      </c>
      <c r="H511" s="63" t="n">
        <v>0.116</v>
      </c>
      <c r="I511" s="62" t="n">
        <v>429.06</v>
      </c>
      <c r="J511" s="58" t="inlineStr">
        <is>
          <t>Phone</t>
        </is>
      </c>
      <c r="K511" s="62">
        <f>F511*(G511-H511)</f>
        <v/>
      </c>
      <c r="L511" s="62">
        <f>K511-(F511*I511)</f>
        <v/>
      </c>
      <c r="M511" s="64">
        <f>L511/K511</f>
        <v/>
      </c>
    </row>
    <row r="512">
      <c r="A512" s="58" t="inlineStr">
        <is>
          <t>RT20250112-00511</t>
        </is>
      </c>
      <c r="B512" s="59" t="inlineStr">
        <is>
          <t>2025-01-12</t>
        </is>
      </c>
      <c r="C512" s="60" t="inlineStr">
        <is>
          <t>Metro Pantry X-710</t>
        </is>
      </c>
      <c r="D512" s="58" t="inlineStr">
        <is>
          <t>Grocery</t>
        </is>
      </c>
      <c r="E512" s="58" t="inlineStr">
        <is>
          <t>Central</t>
        </is>
      </c>
      <c r="F512" s="61" t="n">
        <v>5</v>
      </c>
      <c r="G512" s="62" t="n">
        <v>5.28</v>
      </c>
      <c r="H512" s="63" t="n">
        <v>0.07000000000000001</v>
      </c>
      <c r="I512" s="62" t="n">
        <v>4.13</v>
      </c>
      <c r="J512" s="58" t="inlineStr">
        <is>
          <t>Online</t>
        </is>
      </c>
      <c r="K512" s="62">
        <f>F512*(G512-H512)</f>
        <v/>
      </c>
      <c r="L512" s="62">
        <f>K512-(F512*I512)</f>
        <v/>
      </c>
      <c r="M512" s="64">
        <f>L512/K512</f>
        <v/>
      </c>
    </row>
    <row r="513">
      <c r="A513" s="58" t="inlineStr">
        <is>
          <t>RT20250112-00512</t>
        </is>
      </c>
      <c r="B513" s="59" t="inlineStr">
        <is>
          <t>2025-01-12</t>
        </is>
      </c>
      <c r="C513" s="60" t="inlineStr">
        <is>
          <t>Polar Cycling X-649</t>
        </is>
      </c>
      <c r="D513" s="58" t="inlineStr">
        <is>
          <t>Sports</t>
        </is>
      </c>
      <c r="E513" s="58" t="inlineStr">
        <is>
          <t>Central</t>
        </is>
      </c>
      <c r="F513" s="61" t="n">
        <v>2</v>
      </c>
      <c r="G513" s="62" t="n">
        <v>497.93</v>
      </c>
      <c r="H513" s="63" t="n">
        <v>0.037</v>
      </c>
      <c r="I513" s="62" t="n">
        <v>368.02</v>
      </c>
      <c r="J513" s="58" t="inlineStr">
        <is>
          <t>Store</t>
        </is>
      </c>
      <c r="K513" s="62">
        <f>F513*(G513-H513)</f>
        <v/>
      </c>
      <c r="L513" s="62">
        <f>K513-(F513*I513)</f>
        <v/>
      </c>
      <c r="M513" s="64">
        <f>L513/K513</f>
        <v/>
      </c>
    </row>
    <row r="514">
      <c r="A514" s="58" t="inlineStr">
        <is>
          <t>RT20250112-00513</t>
        </is>
      </c>
      <c r="B514" s="59" t="inlineStr">
        <is>
          <t>2025-01-12</t>
        </is>
      </c>
      <c r="C514" s="60" t="inlineStr">
        <is>
          <t>Orion Kid Max-864</t>
        </is>
      </c>
      <c r="D514" s="58" t="inlineStr">
        <is>
          <t>Apparel</t>
        </is>
      </c>
      <c r="E514" s="58" t="inlineStr">
        <is>
          <t>West</t>
        </is>
      </c>
      <c r="F514" s="61" t="n">
        <v>3</v>
      </c>
      <c r="G514" s="62" t="n">
        <v>84.28</v>
      </c>
      <c r="H514" s="63" t="n">
        <v>0.054</v>
      </c>
      <c r="I514" s="62" t="n">
        <v>46.05</v>
      </c>
      <c r="J514" s="58" t="inlineStr">
        <is>
          <t>Online</t>
        </is>
      </c>
      <c r="K514" s="62">
        <f>F514*(G514-H514)</f>
        <v/>
      </c>
      <c r="L514" s="62">
        <f>K514-(F514*I514)</f>
        <v/>
      </c>
      <c r="M514" s="64">
        <f>L514/K514</f>
        <v/>
      </c>
    </row>
    <row r="515">
      <c r="A515" s="58" t="inlineStr">
        <is>
          <t>RT20250112-00514</t>
        </is>
      </c>
      <c r="B515" s="59" t="inlineStr">
        <is>
          <t>2025-01-12</t>
        </is>
      </c>
      <c r="C515" s="60" t="inlineStr">
        <is>
          <t>Falcon Furniture Plus-839</t>
        </is>
      </c>
      <c r="D515" s="58" t="inlineStr">
        <is>
          <t>Office</t>
        </is>
      </c>
      <c r="E515" s="58" t="inlineStr">
        <is>
          <t>North</t>
        </is>
      </c>
      <c r="F515" s="61" t="n">
        <v>3</v>
      </c>
      <c r="G515" s="62" t="n">
        <v>342.1</v>
      </c>
      <c r="H515" s="63" t="n">
        <v>0.023</v>
      </c>
      <c r="I515" s="62" t="n">
        <v>222.02</v>
      </c>
      <c r="J515" s="58" t="inlineStr">
        <is>
          <t>Store</t>
        </is>
      </c>
      <c r="K515" s="62">
        <f>F515*(G515-H515)</f>
        <v/>
      </c>
      <c r="L515" s="62">
        <f>K515-(F515*I515)</f>
        <v/>
      </c>
      <c r="M515" s="64">
        <f>L515/K515</f>
        <v/>
      </c>
    </row>
    <row r="516">
      <c r="A516" s="58" t="inlineStr">
        <is>
          <t>RT20250112-00515</t>
        </is>
      </c>
      <c r="B516" s="59" t="inlineStr">
        <is>
          <t>2025-01-12</t>
        </is>
      </c>
      <c r="C516" s="60" t="inlineStr">
        <is>
          <t>Vertex Skincare Pro-891</t>
        </is>
      </c>
      <c r="D516" s="58" t="inlineStr">
        <is>
          <t>Beauty</t>
        </is>
      </c>
      <c r="E516" s="58" t="inlineStr">
        <is>
          <t>Central</t>
        </is>
      </c>
      <c r="F516" s="61" t="n">
        <v>3</v>
      </c>
      <c r="G516" s="62" t="n">
        <v>161.32</v>
      </c>
      <c r="H516" s="63" t="n">
        <v>0.021</v>
      </c>
      <c r="I516" s="62" t="n">
        <v>90.42</v>
      </c>
      <c r="J516" s="58" t="inlineStr">
        <is>
          <t>Store</t>
        </is>
      </c>
      <c r="K516" s="62">
        <f>F516*(G516-H516)</f>
        <v/>
      </c>
      <c r="L516" s="62">
        <f>K516-(F516*I516)</f>
        <v/>
      </c>
      <c r="M516" s="64">
        <f>L516/K516</f>
        <v/>
      </c>
    </row>
    <row r="517">
      <c r="A517" s="58" t="inlineStr">
        <is>
          <t>RT20250112-00516</t>
        </is>
      </c>
      <c r="B517" s="59" t="inlineStr">
        <is>
          <t>2025-01-12</t>
        </is>
      </c>
      <c r="C517" s="60" t="inlineStr">
        <is>
          <t>Vertex Furniture S-652</t>
        </is>
      </c>
      <c r="D517" s="58" t="inlineStr">
        <is>
          <t>Office</t>
        </is>
      </c>
      <c r="E517" s="58" t="inlineStr">
        <is>
          <t>North</t>
        </is>
      </c>
      <c r="F517" s="61" t="n">
        <v>3</v>
      </c>
      <c r="G517" s="62" t="n">
        <v>303.92</v>
      </c>
      <c r="H517" s="63" t="n">
        <v>0.066</v>
      </c>
      <c r="I517" s="62" t="n">
        <v>265.56</v>
      </c>
      <c r="J517" s="58" t="inlineStr">
        <is>
          <t>Store</t>
        </is>
      </c>
      <c r="K517" s="62">
        <f>F517*(G517-H517)</f>
        <v/>
      </c>
      <c r="L517" s="62">
        <f>K517-(F517*I517)</f>
        <v/>
      </c>
      <c r="M517" s="64">
        <f>L517/K517</f>
        <v/>
      </c>
    </row>
    <row r="518">
      <c r="A518" s="58" t="inlineStr">
        <is>
          <t>RT20250112-00517</t>
        </is>
      </c>
      <c r="B518" s="59" t="inlineStr">
        <is>
          <t>2025-01-12</t>
        </is>
      </c>
      <c r="C518" s="60" t="inlineStr">
        <is>
          <t>Polar Cycling S-223</t>
        </is>
      </c>
      <c r="D518" s="58" t="inlineStr">
        <is>
          <t>Sports</t>
        </is>
      </c>
      <c r="E518" s="58" t="inlineStr">
        <is>
          <t>Central</t>
        </is>
      </c>
      <c r="F518" s="61" t="n">
        <v>2</v>
      </c>
      <c r="G518" s="62" t="n">
        <v>986.28</v>
      </c>
      <c r="H518" s="63" t="n">
        <v>0.045</v>
      </c>
      <c r="I518" s="62" t="n">
        <v>638.97</v>
      </c>
      <c r="J518" s="58" t="inlineStr">
        <is>
          <t>Store</t>
        </is>
      </c>
      <c r="K518" s="62">
        <f>F518*(G518-H518)</f>
        <v/>
      </c>
      <c r="L518" s="62">
        <f>K518-(F518*I518)</f>
        <v/>
      </c>
      <c r="M518" s="64">
        <f>L518/K518</f>
        <v/>
      </c>
    </row>
    <row r="519">
      <c r="A519" s="58" t="inlineStr">
        <is>
          <t>RT20250112-00518</t>
        </is>
      </c>
      <c r="B519" s="59" t="inlineStr">
        <is>
          <t>2025-01-12</t>
        </is>
      </c>
      <c r="C519" s="60" t="inlineStr">
        <is>
          <t>Nimbus Storage Plus-646</t>
        </is>
      </c>
      <c r="D519" s="58" t="inlineStr">
        <is>
          <t>Office</t>
        </is>
      </c>
      <c r="E519" s="58" t="inlineStr">
        <is>
          <t>West</t>
        </is>
      </c>
      <c r="F519" s="61" t="n">
        <v>2</v>
      </c>
      <c r="G519" s="62" t="n">
        <v>452.71</v>
      </c>
      <c r="H519" s="63" t="n">
        <v>0.075</v>
      </c>
      <c r="I519" s="62" t="n">
        <v>316.25</v>
      </c>
      <c r="J519" s="58" t="inlineStr">
        <is>
          <t>Online</t>
        </is>
      </c>
      <c r="K519" s="62">
        <f>F519*(G519-H519)</f>
        <v/>
      </c>
      <c r="L519" s="62">
        <f>K519-(F519*I519)</f>
        <v/>
      </c>
      <c r="M519" s="64">
        <f>L519/K519</f>
        <v/>
      </c>
    </row>
    <row r="520">
      <c r="A520" s="58" t="inlineStr">
        <is>
          <t>RT20250112-00519</t>
        </is>
      </c>
      <c r="B520" s="59" t="inlineStr">
        <is>
          <t>2025-01-12</t>
        </is>
      </c>
      <c r="C520" s="60" t="inlineStr">
        <is>
          <t>Aurora Bedding Plus-187</t>
        </is>
      </c>
      <c r="D520" s="58" t="inlineStr">
        <is>
          <t>Home</t>
        </is>
      </c>
      <c r="E520" s="58" t="inlineStr">
        <is>
          <t>West</t>
        </is>
      </c>
      <c r="F520" s="61" t="n">
        <v>1</v>
      </c>
      <c r="G520" s="62" t="n">
        <v>307.02</v>
      </c>
      <c r="H520" s="63" t="n">
        <v>0.073</v>
      </c>
      <c r="I520" s="62" t="n">
        <v>210.86</v>
      </c>
      <c r="J520" s="58" t="inlineStr">
        <is>
          <t>Online</t>
        </is>
      </c>
      <c r="K520" s="62">
        <f>F520*(G520-H520)</f>
        <v/>
      </c>
      <c r="L520" s="62">
        <f>K520-(F520*I520)</f>
        <v/>
      </c>
      <c r="M520" s="64">
        <f>L520/K520</f>
        <v/>
      </c>
    </row>
    <row r="521">
      <c r="A521" s="58" t="inlineStr">
        <is>
          <t>RT20250112-00520</t>
        </is>
      </c>
      <c r="B521" s="59" t="inlineStr">
        <is>
          <t>2025-01-12</t>
        </is>
      </c>
      <c r="C521" s="60" t="inlineStr">
        <is>
          <t>Vertex Headphone Pro-801</t>
        </is>
      </c>
      <c r="D521" s="58" t="inlineStr">
        <is>
          <t>Electronics</t>
        </is>
      </c>
      <c r="E521" s="58" t="inlineStr">
        <is>
          <t>East</t>
        </is>
      </c>
      <c r="F521" s="61" t="n">
        <v>2</v>
      </c>
      <c r="G521" s="62" t="n">
        <v>1177.85</v>
      </c>
      <c r="H521" s="63" t="n">
        <v>0.08799999999999999</v>
      </c>
      <c r="I521" s="62" t="n">
        <v>979.65</v>
      </c>
      <c r="J521" s="58" t="inlineStr">
        <is>
          <t>Phone</t>
        </is>
      </c>
      <c r="K521" s="62">
        <f>F521*(G521-H521)</f>
        <v/>
      </c>
      <c r="L521" s="62">
        <f>K521-(F521*I521)</f>
        <v/>
      </c>
      <c r="M521" s="64">
        <f>L521/K521</f>
        <v/>
      </c>
    </row>
    <row r="522">
      <c r="A522" s="58" t="inlineStr">
        <is>
          <t>RT20250112-00521</t>
        </is>
      </c>
      <c r="B522" s="59" t="inlineStr">
        <is>
          <t>2025-01-12</t>
        </is>
      </c>
      <c r="C522" s="60" t="inlineStr">
        <is>
          <t>Vertex Smartphone Pro-256</t>
        </is>
      </c>
      <c r="D522" s="58" t="inlineStr">
        <is>
          <t>Electronics</t>
        </is>
      </c>
      <c r="E522" s="58" t="inlineStr">
        <is>
          <t>West</t>
        </is>
      </c>
      <c r="F522" s="61" t="n">
        <v>1</v>
      </c>
      <c r="G522" s="62" t="n">
        <v>1204.02</v>
      </c>
      <c r="H522" s="63" t="n">
        <v>0.042</v>
      </c>
      <c r="I522" s="62" t="n">
        <v>911.26</v>
      </c>
      <c r="J522" s="58" t="inlineStr">
        <is>
          <t>Online</t>
        </is>
      </c>
      <c r="K522" s="62">
        <f>F522*(G522-H522)</f>
        <v/>
      </c>
      <c r="L522" s="62">
        <f>K522-(F522*I522)</f>
        <v/>
      </c>
      <c r="M522" s="64">
        <f>L522/K522</f>
        <v/>
      </c>
    </row>
    <row r="523">
      <c r="A523" s="58" t="inlineStr">
        <is>
          <t>RT20250112-00522</t>
        </is>
      </c>
      <c r="B523" s="59" t="inlineStr">
        <is>
          <t>2025-01-12</t>
        </is>
      </c>
      <c r="C523" s="60" t="inlineStr">
        <is>
          <t>Polar Laptop Plus-984</t>
        </is>
      </c>
      <c r="D523" s="58" t="inlineStr">
        <is>
          <t>Electronics</t>
        </is>
      </c>
      <c r="E523" s="58" t="inlineStr">
        <is>
          <t>East</t>
        </is>
      </c>
      <c r="F523" s="61" t="n">
        <v>2</v>
      </c>
      <c r="G523" s="62" t="n">
        <v>1269.9</v>
      </c>
      <c r="H523" s="63" t="n">
        <v>0.08699999999999999</v>
      </c>
      <c r="I523" s="62" t="n">
        <v>998.91</v>
      </c>
      <c r="J523" s="58" t="inlineStr">
        <is>
          <t>Online</t>
        </is>
      </c>
      <c r="K523" s="62">
        <f>F523*(G523-H523)</f>
        <v/>
      </c>
      <c r="L523" s="62">
        <f>K523-(F523*I523)</f>
        <v/>
      </c>
      <c r="M523" s="64">
        <f>L523/K523</f>
        <v/>
      </c>
    </row>
    <row r="524">
      <c r="A524" s="58" t="inlineStr">
        <is>
          <t>RT20250112-00523</t>
        </is>
      </c>
      <c r="B524" s="59" t="inlineStr">
        <is>
          <t>2025-01-12</t>
        </is>
      </c>
      <c r="C524" s="60" t="inlineStr">
        <is>
          <t>Vertex Appliance Max-338</t>
        </is>
      </c>
      <c r="D524" s="58" t="inlineStr">
        <is>
          <t>Home</t>
        </is>
      </c>
      <c r="E524" s="58" t="inlineStr">
        <is>
          <t>South</t>
        </is>
      </c>
      <c r="F524" s="61" t="n">
        <v>1</v>
      </c>
      <c r="G524" s="62" t="n">
        <v>421.36</v>
      </c>
      <c r="H524" s="63" t="n">
        <v>0.028</v>
      </c>
      <c r="I524" s="62" t="n">
        <v>282.34</v>
      </c>
      <c r="J524" s="58" t="inlineStr">
        <is>
          <t>Online</t>
        </is>
      </c>
      <c r="K524" s="62">
        <f>F524*(G524-H524)</f>
        <v/>
      </c>
      <c r="L524" s="62">
        <f>K524-(F524*I524)</f>
        <v/>
      </c>
      <c r="M524" s="64">
        <f>L524/K524</f>
        <v/>
      </c>
    </row>
    <row r="525">
      <c r="A525" s="58" t="inlineStr">
        <is>
          <t>RT20250112-00524</t>
        </is>
      </c>
      <c r="B525" s="59" t="inlineStr">
        <is>
          <t>2025-01-12</t>
        </is>
      </c>
      <c r="C525" s="60" t="inlineStr">
        <is>
          <t>Metro Accessorie Max-316</t>
        </is>
      </c>
      <c r="D525" s="58" t="inlineStr">
        <is>
          <t>Apparel</t>
        </is>
      </c>
      <c r="E525" s="58" t="inlineStr">
        <is>
          <t>North</t>
        </is>
      </c>
      <c r="F525" s="61" t="n">
        <v>4</v>
      </c>
      <c r="G525" s="62" t="n">
        <v>146.71</v>
      </c>
      <c r="H525" s="63" t="n">
        <v>0.024</v>
      </c>
      <c r="I525" s="62" t="n">
        <v>89.59</v>
      </c>
      <c r="J525" s="58" t="inlineStr">
        <is>
          <t>Store</t>
        </is>
      </c>
      <c r="K525" s="62">
        <f>F525*(G525-H525)</f>
        <v/>
      </c>
      <c r="L525" s="62">
        <f>K525-(F525*I525)</f>
        <v/>
      </c>
      <c r="M525" s="64">
        <f>L525/K525</f>
        <v/>
      </c>
    </row>
    <row r="526">
      <c r="A526" s="58" t="inlineStr">
        <is>
          <t>RT20250112-00525</t>
        </is>
      </c>
      <c r="B526" s="59" t="inlineStr">
        <is>
          <t>2025-01-12</t>
        </is>
      </c>
      <c r="C526" s="60" t="inlineStr">
        <is>
          <t>Solace Makeup Pro-214</t>
        </is>
      </c>
      <c r="D526" s="58" t="inlineStr">
        <is>
          <t>Beauty</t>
        </is>
      </c>
      <c r="E526" s="58" t="inlineStr">
        <is>
          <t>South</t>
        </is>
      </c>
      <c r="F526" s="61" t="n">
        <v>5</v>
      </c>
      <c r="G526" s="62" t="n">
        <v>114.96</v>
      </c>
      <c r="H526" s="63" t="n">
        <v>0.063</v>
      </c>
      <c r="I526" s="62" t="n">
        <v>66.44</v>
      </c>
      <c r="J526" s="58" t="inlineStr">
        <is>
          <t>Online</t>
        </is>
      </c>
      <c r="K526" s="62">
        <f>F526*(G526-H526)</f>
        <v/>
      </c>
      <c r="L526" s="62">
        <f>K526-(F526*I526)</f>
        <v/>
      </c>
      <c r="M526" s="64">
        <f>L526/K526</f>
        <v/>
      </c>
    </row>
    <row r="527">
      <c r="A527" s="58" t="inlineStr">
        <is>
          <t>RT20250112-00526</t>
        </is>
      </c>
      <c r="B527" s="59" t="inlineStr">
        <is>
          <t>2025-01-12</t>
        </is>
      </c>
      <c r="C527" s="60" t="inlineStr">
        <is>
          <t>Aurora Printer Plus-991</t>
        </is>
      </c>
      <c r="D527" s="58" t="inlineStr">
        <is>
          <t>Office</t>
        </is>
      </c>
      <c r="E527" s="58" t="inlineStr">
        <is>
          <t>West</t>
        </is>
      </c>
      <c r="F527" s="61" t="n">
        <v>2</v>
      </c>
      <c r="G527" s="62" t="n">
        <v>520.0599999999999</v>
      </c>
      <c r="H527" s="63" t="n">
        <v>0.042</v>
      </c>
      <c r="I527" s="62" t="n">
        <v>364.72</v>
      </c>
      <c r="J527" s="58" t="inlineStr">
        <is>
          <t>Store</t>
        </is>
      </c>
      <c r="K527" s="62">
        <f>F527*(G527-H527)</f>
        <v/>
      </c>
      <c r="L527" s="62">
        <f>K527-(F527*I527)</f>
        <v/>
      </c>
      <c r="M527" s="64">
        <f>L527/K527</f>
        <v/>
      </c>
    </row>
    <row r="528">
      <c r="A528" s="58" t="inlineStr">
        <is>
          <t>RT20250112-00527</t>
        </is>
      </c>
      <c r="B528" s="59" t="inlineStr">
        <is>
          <t>2025-01-12</t>
        </is>
      </c>
      <c r="C528" s="60" t="inlineStr">
        <is>
          <t>Polar Pantry Lite-392</t>
        </is>
      </c>
      <c r="D528" s="58" t="inlineStr">
        <is>
          <t>Grocery</t>
        </is>
      </c>
      <c r="E528" s="58" t="inlineStr">
        <is>
          <t>East</t>
        </is>
      </c>
      <c r="F528" s="61" t="n">
        <v>1</v>
      </c>
      <c r="G528" s="62" t="n">
        <v>5.72</v>
      </c>
      <c r="H528" s="63" t="n">
        <v>0.048</v>
      </c>
      <c r="I528" s="62" t="n">
        <v>4.49</v>
      </c>
      <c r="J528" s="58" t="inlineStr">
        <is>
          <t>Online</t>
        </is>
      </c>
      <c r="K528" s="62">
        <f>F528*(G528-H528)</f>
        <v/>
      </c>
      <c r="L528" s="62">
        <f>K528-(F528*I528)</f>
        <v/>
      </c>
      <c r="M528" s="64">
        <f>L528/K528</f>
        <v/>
      </c>
    </row>
    <row r="529">
      <c r="A529" s="58" t="inlineStr">
        <is>
          <t>RT20250112-00528</t>
        </is>
      </c>
      <c r="B529" s="59" t="inlineStr">
        <is>
          <t>2025-01-12</t>
        </is>
      </c>
      <c r="C529" s="60" t="inlineStr">
        <is>
          <t>Nimbus Furniture Pro-479</t>
        </is>
      </c>
      <c r="D529" s="58" t="inlineStr">
        <is>
          <t>Office</t>
        </is>
      </c>
      <c r="E529" s="58" t="inlineStr">
        <is>
          <t>East</t>
        </is>
      </c>
      <c r="F529" s="61" t="n">
        <v>2</v>
      </c>
      <c r="G529" s="62" t="n">
        <v>339.53</v>
      </c>
      <c r="H529" s="63" t="n">
        <v>0.008</v>
      </c>
      <c r="I529" s="62" t="n">
        <v>237.57</v>
      </c>
      <c r="J529" s="58" t="inlineStr">
        <is>
          <t>Store</t>
        </is>
      </c>
      <c r="K529" s="62">
        <f>F529*(G529-H529)</f>
        <v/>
      </c>
      <c r="L529" s="62">
        <f>K529-(F529*I529)</f>
        <v/>
      </c>
      <c r="M529" s="64">
        <f>L529/K529</f>
        <v/>
      </c>
    </row>
    <row r="530">
      <c r="A530" s="58" t="inlineStr">
        <is>
          <t>RT20250112-00529</t>
        </is>
      </c>
      <c r="B530" s="59" t="inlineStr">
        <is>
          <t>2025-01-12</t>
        </is>
      </c>
      <c r="C530" s="60" t="inlineStr">
        <is>
          <t>Polar Men Pro-246</t>
        </is>
      </c>
      <c r="D530" s="58" t="inlineStr">
        <is>
          <t>Apparel</t>
        </is>
      </c>
      <c r="E530" s="58" t="inlineStr">
        <is>
          <t>North</t>
        </is>
      </c>
      <c r="F530" s="61" t="n">
        <v>2</v>
      </c>
      <c r="G530" s="62" t="n">
        <v>139.22</v>
      </c>
      <c r="H530" s="63" t="n">
        <v>0.031</v>
      </c>
      <c r="I530" s="62" t="n">
        <v>77.08</v>
      </c>
      <c r="J530" s="58" t="inlineStr">
        <is>
          <t>Store</t>
        </is>
      </c>
      <c r="K530" s="62">
        <f>F530*(G530-H530)</f>
        <v/>
      </c>
      <c r="L530" s="62">
        <f>K530-(F530*I530)</f>
        <v/>
      </c>
      <c r="M530" s="64">
        <f>L530/K530</f>
        <v/>
      </c>
    </row>
    <row r="531">
      <c r="A531" s="58" t="inlineStr">
        <is>
          <t>RT20250112-00530</t>
        </is>
      </c>
      <c r="B531" s="59" t="inlineStr">
        <is>
          <t>2025-01-12</t>
        </is>
      </c>
      <c r="C531" s="60" t="inlineStr">
        <is>
          <t>Solace Fitnes S-324</t>
        </is>
      </c>
      <c r="D531" s="58" t="inlineStr">
        <is>
          <t>Sports</t>
        </is>
      </c>
      <c r="E531" s="58" t="inlineStr">
        <is>
          <t>East</t>
        </is>
      </c>
      <c r="F531" s="61" t="n">
        <v>3</v>
      </c>
      <c r="G531" s="62" t="n">
        <v>702.6</v>
      </c>
      <c r="H531" s="63" t="n">
        <v>0.054</v>
      </c>
      <c r="I531" s="62" t="n">
        <v>531.6900000000001</v>
      </c>
      <c r="J531" s="58" t="inlineStr">
        <is>
          <t>Online</t>
        </is>
      </c>
      <c r="K531" s="62">
        <f>F531*(G531-H531)</f>
        <v/>
      </c>
      <c r="L531" s="62">
        <f>K531-(F531*I531)</f>
        <v/>
      </c>
      <c r="M531" s="64">
        <f>L531/K531</f>
        <v/>
      </c>
    </row>
    <row r="532">
      <c r="A532" s="58" t="inlineStr">
        <is>
          <t>RT20250112-00531</t>
        </is>
      </c>
      <c r="B532" s="59" t="inlineStr">
        <is>
          <t>2025-01-12</t>
        </is>
      </c>
      <c r="C532" s="60" t="inlineStr">
        <is>
          <t>Aurora Fragrance S-971</t>
        </is>
      </c>
      <c r="D532" s="58" t="inlineStr">
        <is>
          <t>Beauty</t>
        </is>
      </c>
      <c r="E532" s="58" t="inlineStr">
        <is>
          <t>West</t>
        </is>
      </c>
      <c r="F532" s="61" t="n">
        <v>1</v>
      </c>
      <c r="G532" s="62" t="n">
        <v>118.48</v>
      </c>
      <c r="H532" s="63" t="n">
        <v>0.05</v>
      </c>
      <c r="I532" s="62" t="n">
        <v>63.82</v>
      </c>
      <c r="J532" s="58" t="inlineStr">
        <is>
          <t>Store</t>
        </is>
      </c>
      <c r="K532" s="62">
        <f>F532*(G532-H532)</f>
        <v/>
      </c>
      <c r="L532" s="62">
        <f>K532-(F532*I532)</f>
        <v/>
      </c>
      <c r="M532" s="64">
        <f>L532/K532</f>
        <v/>
      </c>
    </row>
    <row r="533">
      <c r="A533" s="58" t="inlineStr">
        <is>
          <t>RT20250112-00532</t>
        </is>
      </c>
      <c r="B533" s="59" t="inlineStr">
        <is>
          <t>2025-01-12</t>
        </is>
      </c>
      <c r="C533" s="60" t="inlineStr">
        <is>
          <t>Polar Cycling X-649</t>
        </is>
      </c>
      <c r="D533" s="58" t="inlineStr">
        <is>
          <t>Sports</t>
        </is>
      </c>
      <c r="E533" s="58" t="inlineStr">
        <is>
          <t>East</t>
        </is>
      </c>
      <c r="F533" s="61" t="n">
        <v>1</v>
      </c>
      <c r="G533" s="62" t="n">
        <v>523.49</v>
      </c>
      <c r="H533" s="63" t="n">
        <v>0.123</v>
      </c>
      <c r="I533" s="62" t="n">
        <v>353.8</v>
      </c>
      <c r="J533" s="58" t="inlineStr">
        <is>
          <t>Online</t>
        </is>
      </c>
      <c r="K533" s="62">
        <f>F533*(G533-H533)</f>
        <v/>
      </c>
      <c r="L533" s="62">
        <f>K533-(F533*I533)</f>
        <v/>
      </c>
      <c r="M533" s="64">
        <f>L533/K533</f>
        <v/>
      </c>
    </row>
    <row r="534">
      <c r="A534" s="58" t="inlineStr">
        <is>
          <t>RT20250112-00533</t>
        </is>
      </c>
      <c r="B534" s="59" t="inlineStr">
        <is>
          <t>2025-01-12</t>
        </is>
      </c>
      <c r="C534" s="60" t="inlineStr">
        <is>
          <t>Nimbus Fitnes Lite-516</t>
        </is>
      </c>
      <c r="D534" s="58" t="inlineStr">
        <is>
          <t>Sports</t>
        </is>
      </c>
      <c r="E534" s="58" t="inlineStr">
        <is>
          <t>West</t>
        </is>
      </c>
      <c r="F534" s="61" t="n">
        <v>1</v>
      </c>
      <c r="G534" s="62" t="n">
        <v>761.9400000000001</v>
      </c>
      <c r="H534" s="63" t="n">
        <v>0.055</v>
      </c>
      <c r="I534" s="62" t="n">
        <v>481.95</v>
      </c>
      <c r="J534" s="58" t="inlineStr">
        <is>
          <t>Store</t>
        </is>
      </c>
      <c r="K534" s="62">
        <f>F534*(G534-H534)</f>
        <v/>
      </c>
      <c r="L534" s="62">
        <f>K534-(F534*I534)</f>
        <v/>
      </c>
      <c r="M534" s="64">
        <f>L534/K534</f>
        <v/>
      </c>
    </row>
    <row r="535">
      <c r="A535" s="58" t="inlineStr">
        <is>
          <t>RT20250112-00534</t>
        </is>
      </c>
      <c r="B535" s="59" t="inlineStr">
        <is>
          <t>2025-01-12</t>
        </is>
      </c>
      <c r="C535" s="60" t="inlineStr">
        <is>
          <t>Nimbus Headphone X-854</t>
        </is>
      </c>
      <c r="D535" s="58" t="inlineStr">
        <is>
          <t>Electronics</t>
        </is>
      </c>
      <c r="E535" s="58" t="inlineStr">
        <is>
          <t>West</t>
        </is>
      </c>
      <c r="F535" s="61" t="n">
        <v>2</v>
      </c>
      <c r="G535" s="62" t="n">
        <v>1538.65</v>
      </c>
      <c r="H535" s="63" t="n">
        <v>0.119</v>
      </c>
      <c r="I535" s="62" t="n">
        <v>1250.34</v>
      </c>
      <c r="J535" s="58" t="inlineStr">
        <is>
          <t>Online</t>
        </is>
      </c>
      <c r="K535" s="62">
        <f>F535*(G535-H535)</f>
        <v/>
      </c>
      <c r="L535" s="62">
        <f>K535-(F535*I535)</f>
        <v/>
      </c>
      <c r="M535" s="64">
        <f>L535/K535</f>
        <v/>
      </c>
    </row>
    <row r="536">
      <c r="A536" s="58" t="inlineStr">
        <is>
          <t>RT20250112-00535</t>
        </is>
      </c>
      <c r="B536" s="59" t="inlineStr">
        <is>
          <t>2025-01-12</t>
        </is>
      </c>
      <c r="C536" s="60" t="inlineStr">
        <is>
          <t>Vertex Skincare Pro-891</t>
        </is>
      </c>
      <c r="D536" s="58" t="inlineStr">
        <is>
          <t>Beauty</t>
        </is>
      </c>
      <c r="E536" s="58" t="inlineStr">
        <is>
          <t>West</t>
        </is>
      </c>
      <c r="F536" s="61" t="n">
        <v>4</v>
      </c>
      <c r="G536" s="62" t="n">
        <v>148.69</v>
      </c>
      <c r="H536" s="63" t="n">
        <v>0.051</v>
      </c>
      <c r="I536" s="62" t="n">
        <v>86.37</v>
      </c>
      <c r="J536" s="58" t="inlineStr">
        <is>
          <t>Store</t>
        </is>
      </c>
      <c r="K536" s="62">
        <f>F536*(G536-H536)</f>
        <v/>
      </c>
      <c r="L536" s="62">
        <f>K536-(F536*I536)</f>
        <v/>
      </c>
      <c r="M536" s="64">
        <f>L536/K536</f>
        <v/>
      </c>
    </row>
    <row r="537">
      <c r="A537" s="58" t="inlineStr">
        <is>
          <t>RT20250112-00536</t>
        </is>
      </c>
      <c r="B537" s="59" t="inlineStr">
        <is>
          <t>2025-01-12</t>
        </is>
      </c>
      <c r="C537" s="60" t="inlineStr">
        <is>
          <t>Orion Supplie S-612</t>
        </is>
      </c>
      <c r="D537" s="58" t="inlineStr">
        <is>
          <t>Office</t>
        </is>
      </c>
      <c r="E537" s="58" t="inlineStr">
        <is>
          <t>West</t>
        </is>
      </c>
      <c r="F537" s="61" t="n">
        <v>2</v>
      </c>
      <c r="G537" s="62" t="n">
        <v>453.57</v>
      </c>
      <c r="H537" s="63" t="n">
        <v>0.063</v>
      </c>
      <c r="I537" s="62" t="n">
        <v>333.57</v>
      </c>
      <c r="J537" s="58" t="inlineStr">
        <is>
          <t>Store</t>
        </is>
      </c>
      <c r="K537" s="62">
        <f>F537*(G537-H537)</f>
        <v/>
      </c>
      <c r="L537" s="62">
        <f>K537-(F537*I537)</f>
        <v/>
      </c>
      <c r="M537" s="64">
        <f>L537/K537</f>
        <v/>
      </c>
    </row>
    <row r="538">
      <c r="A538" s="58" t="inlineStr">
        <is>
          <t>RT20250112-00537</t>
        </is>
      </c>
      <c r="B538" s="59" t="inlineStr">
        <is>
          <t>2025-01-12</t>
        </is>
      </c>
      <c r="C538" s="60" t="inlineStr">
        <is>
          <t>Aurora Fitnes Lite-194</t>
        </is>
      </c>
      <c r="D538" s="58" t="inlineStr">
        <is>
          <t>Sports</t>
        </is>
      </c>
      <c r="E538" s="58" t="inlineStr">
        <is>
          <t>West</t>
        </is>
      </c>
      <c r="F538" s="61" t="n">
        <v>1</v>
      </c>
      <c r="G538" s="62" t="n">
        <v>719.33</v>
      </c>
      <c r="H538" s="63" t="n">
        <v>0.062</v>
      </c>
      <c r="I538" s="62" t="n">
        <v>477.56</v>
      </c>
      <c r="J538" s="58" t="inlineStr">
        <is>
          <t>Phone</t>
        </is>
      </c>
      <c r="K538" s="62">
        <f>F538*(G538-H538)</f>
        <v/>
      </c>
      <c r="L538" s="62">
        <f>K538-(F538*I538)</f>
        <v/>
      </c>
      <c r="M538" s="64">
        <f>L538/K538</f>
        <v/>
      </c>
    </row>
    <row r="539">
      <c r="A539" s="58" t="inlineStr">
        <is>
          <t>RT20250112-00538</t>
        </is>
      </c>
      <c r="B539" s="59" t="inlineStr">
        <is>
          <t>2025-01-12</t>
        </is>
      </c>
      <c r="C539" s="60" t="inlineStr">
        <is>
          <t>Nimbus Headphone X-854</t>
        </is>
      </c>
      <c r="D539" s="58" t="inlineStr">
        <is>
          <t>Electronics</t>
        </is>
      </c>
      <c r="E539" s="58" t="inlineStr">
        <is>
          <t>South</t>
        </is>
      </c>
      <c r="F539" s="61" t="n">
        <v>1</v>
      </c>
      <c r="G539" s="62" t="n">
        <v>1651.59</v>
      </c>
      <c r="H539" s="63" t="n">
        <v>0.052</v>
      </c>
      <c r="I539" s="62" t="n">
        <v>1270.46</v>
      </c>
      <c r="J539" s="58" t="inlineStr">
        <is>
          <t>Online</t>
        </is>
      </c>
      <c r="K539" s="62">
        <f>F539*(G539-H539)</f>
        <v/>
      </c>
      <c r="L539" s="62">
        <f>K539-(F539*I539)</f>
        <v/>
      </c>
      <c r="M539" s="64">
        <f>L539/K539</f>
        <v/>
      </c>
    </row>
    <row r="540">
      <c r="A540" s="58" t="inlineStr">
        <is>
          <t>RT20250112-00539</t>
        </is>
      </c>
      <c r="B540" s="59" t="inlineStr">
        <is>
          <t>2025-01-12</t>
        </is>
      </c>
      <c r="C540" s="60" t="inlineStr">
        <is>
          <t>Vertex Smartphone Lite-267</t>
        </is>
      </c>
      <c r="D540" s="58" t="inlineStr">
        <is>
          <t>Electronics</t>
        </is>
      </c>
      <c r="E540" s="58" t="inlineStr">
        <is>
          <t>West</t>
        </is>
      </c>
      <c r="F540" s="61" t="n">
        <v>1</v>
      </c>
      <c r="G540" s="62" t="n">
        <v>1348.56</v>
      </c>
      <c r="H540" s="63" t="n">
        <v>0.043</v>
      </c>
      <c r="I540" s="62" t="n">
        <v>977.27</v>
      </c>
      <c r="J540" s="58" t="inlineStr">
        <is>
          <t>Online</t>
        </is>
      </c>
      <c r="K540" s="62">
        <f>F540*(G540-H540)</f>
        <v/>
      </c>
      <c r="L540" s="62">
        <f>K540-(F540*I540)</f>
        <v/>
      </c>
      <c r="M540" s="64">
        <f>L540/K540</f>
        <v/>
      </c>
    </row>
    <row r="541">
      <c r="A541" s="58" t="inlineStr">
        <is>
          <t>RT20250112-00540</t>
        </is>
      </c>
      <c r="B541" s="59" t="inlineStr">
        <is>
          <t>2025-01-12</t>
        </is>
      </c>
      <c r="C541" s="60" t="inlineStr">
        <is>
          <t>Polar Cycling X-649</t>
        </is>
      </c>
      <c r="D541" s="58" t="inlineStr">
        <is>
          <t>Sports</t>
        </is>
      </c>
      <c r="E541" s="58" t="inlineStr">
        <is>
          <t>Central</t>
        </is>
      </c>
      <c r="F541" s="61" t="n">
        <v>3</v>
      </c>
      <c r="G541" s="62" t="n">
        <v>537.21</v>
      </c>
      <c r="H541" s="63" t="n">
        <v>0.05</v>
      </c>
      <c r="I541" s="62" t="n">
        <v>354.3</v>
      </c>
      <c r="J541" s="58" t="inlineStr">
        <is>
          <t>Phone</t>
        </is>
      </c>
      <c r="K541" s="62">
        <f>F541*(G541-H541)</f>
        <v/>
      </c>
      <c r="L541" s="62">
        <f>K541-(F541*I541)</f>
        <v/>
      </c>
      <c r="M541" s="64">
        <f>L541/K541</f>
        <v/>
      </c>
    </row>
    <row r="542">
      <c r="A542" s="58" t="inlineStr">
        <is>
          <t>RT20250112-00541</t>
        </is>
      </c>
      <c r="B542" s="59" t="inlineStr">
        <is>
          <t>2025-01-12</t>
        </is>
      </c>
      <c r="C542" s="60" t="inlineStr">
        <is>
          <t>Aurora Appliance Lite-109</t>
        </is>
      </c>
      <c r="D542" s="58" t="inlineStr">
        <is>
          <t>Home</t>
        </is>
      </c>
      <c r="E542" s="58" t="inlineStr">
        <is>
          <t>North</t>
        </is>
      </c>
      <c r="F542" s="61" t="n">
        <v>1</v>
      </c>
      <c r="G542" s="62" t="n">
        <v>301.98</v>
      </c>
      <c r="H542" s="63" t="n">
        <v>0.039</v>
      </c>
      <c r="I542" s="62" t="n">
        <v>205.59</v>
      </c>
      <c r="J542" s="58" t="inlineStr">
        <is>
          <t>Store</t>
        </is>
      </c>
      <c r="K542" s="62">
        <f>F542*(G542-H542)</f>
        <v/>
      </c>
      <c r="L542" s="62">
        <f>K542-(F542*I542)</f>
        <v/>
      </c>
      <c r="M542" s="64">
        <f>L542/K542</f>
        <v/>
      </c>
    </row>
    <row r="543">
      <c r="A543" s="58" t="inlineStr">
        <is>
          <t>RT20250112-00542</t>
        </is>
      </c>
      <c r="B543" s="59" t="inlineStr">
        <is>
          <t>2025-01-12</t>
        </is>
      </c>
      <c r="C543" s="60" t="inlineStr">
        <is>
          <t>Polar Men Pro-246</t>
        </is>
      </c>
      <c r="D543" s="58" t="inlineStr">
        <is>
          <t>Apparel</t>
        </is>
      </c>
      <c r="E543" s="58" t="inlineStr">
        <is>
          <t>East</t>
        </is>
      </c>
      <c r="F543" s="61" t="n">
        <v>2</v>
      </c>
      <c r="G543" s="62" t="n">
        <v>115.75</v>
      </c>
      <c r="H543" s="63" t="n">
        <v>0.038</v>
      </c>
      <c r="I543" s="62" t="n">
        <v>77.31999999999999</v>
      </c>
      <c r="J543" s="58" t="inlineStr">
        <is>
          <t>Online</t>
        </is>
      </c>
      <c r="K543" s="62">
        <f>F543*(G543-H543)</f>
        <v/>
      </c>
      <c r="L543" s="62">
        <f>K543-(F543*I543)</f>
        <v/>
      </c>
      <c r="M543" s="64">
        <f>L543/K543</f>
        <v/>
      </c>
    </row>
    <row r="544">
      <c r="A544" s="58" t="inlineStr">
        <is>
          <t>RT20250112-00543</t>
        </is>
      </c>
      <c r="B544" s="59" t="inlineStr">
        <is>
          <t>2025-01-12</t>
        </is>
      </c>
      <c r="C544" s="60" t="inlineStr">
        <is>
          <t>Aurora Printer Plus-991</t>
        </is>
      </c>
      <c r="D544" s="58" t="inlineStr">
        <is>
          <t>Office</t>
        </is>
      </c>
      <c r="E544" s="58" t="inlineStr">
        <is>
          <t>Central</t>
        </is>
      </c>
      <c r="F544" s="61" t="n">
        <v>2</v>
      </c>
      <c r="G544" s="62" t="n">
        <v>558.38</v>
      </c>
      <c r="H544" s="63" t="n">
        <v>0.023</v>
      </c>
      <c r="I544" s="62" t="n">
        <v>371.12</v>
      </c>
      <c r="J544" s="58" t="inlineStr">
        <is>
          <t>Store</t>
        </is>
      </c>
      <c r="K544" s="62">
        <f>F544*(G544-H544)</f>
        <v/>
      </c>
      <c r="L544" s="62">
        <f>K544-(F544*I544)</f>
        <v/>
      </c>
      <c r="M544" s="64">
        <f>L544/K544</f>
        <v/>
      </c>
    </row>
    <row r="545">
      <c r="A545" s="58" t="inlineStr">
        <is>
          <t>RT20250112-00544</t>
        </is>
      </c>
      <c r="B545" s="59" t="inlineStr">
        <is>
          <t>2025-01-12</t>
        </is>
      </c>
      <c r="C545" s="60" t="inlineStr">
        <is>
          <t>Orion Fragrance Lite-785</t>
        </is>
      </c>
      <c r="D545" s="58" t="inlineStr">
        <is>
          <t>Beauty</t>
        </is>
      </c>
      <c r="E545" s="58" t="inlineStr">
        <is>
          <t>Central</t>
        </is>
      </c>
      <c r="F545" s="61" t="n">
        <v>3</v>
      </c>
      <c r="G545" s="62" t="n">
        <v>45.1</v>
      </c>
      <c r="H545" s="63" t="n">
        <v>0.12</v>
      </c>
      <c r="I545" s="62" t="n">
        <v>26.27</v>
      </c>
      <c r="J545" s="58" t="inlineStr">
        <is>
          <t>Online</t>
        </is>
      </c>
      <c r="K545" s="62">
        <f>F545*(G545-H545)</f>
        <v/>
      </c>
      <c r="L545" s="62">
        <f>K545-(F545*I545)</f>
        <v/>
      </c>
      <c r="M545" s="64">
        <f>L545/K545</f>
        <v/>
      </c>
    </row>
    <row r="546">
      <c r="A546" s="58" t="inlineStr">
        <is>
          <t>RT20250113-00545</t>
        </is>
      </c>
      <c r="B546" s="59" t="inlineStr">
        <is>
          <t>2025-01-13</t>
        </is>
      </c>
      <c r="C546" s="60" t="inlineStr">
        <is>
          <t>Metro Decor Lite-325</t>
        </is>
      </c>
      <c r="D546" s="58" t="inlineStr">
        <is>
          <t>Home</t>
        </is>
      </c>
      <c r="E546" s="58" t="inlineStr">
        <is>
          <t>South</t>
        </is>
      </c>
      <c r="F546" s="61" t="n">
        <v>1</v>
      </c>
      <c r="G546" s="62" t="n">
        <v>622.3200000000001</v>
      </c>
      <c r="H546" s="63" t="n">
        <v>0.013</v>
      </c>
      <c r="I546" s="62" t="n">
        <v>385.71</v>
      </c>
      <c r="J546" s="58" t="inlineStr">
        <is>
          <t>Online</t>
        </is>
      </c>
      <c r="K546" s="62">
        <f>F546*(G546-H546)</f>
        <v/>
      </c>
      <c r="L546" s="62">
        <f>K546-(F546*I546)</f>
        <v/>
      </c>
      <c r="M546" s="64">
        <f>L546/K546</f>
        <v/>
      </c>
    </row>
    <row r="547">
      <c r="A547" s="58" t="inlineStr">
        <is>
          <t>RT20250113-00546</t>
        </is>
      </c>
      <c r="B547" s="59" t="inlineStr">
        <is>
          <t>2025-01-13</t>
        </is>
      </c>
      <c r="C547" s="60" t="inlineStr">
        <is>
          <t>Falcon Headphone Pro-713</t>
        </is>
      </c>
      <c r="D547" s="58" t="inlineStr">
        <is>
          <t>Electronics</t>
        </is>
      </c>
      <c r="E547" s="58" t="inlineStr">
        <is>
          <t>North</t>
        </is>
      </c>
      <c r="F547" s="61" t="n">
        <v>2</v>
      </c>
      <c r="G547" s="62" t="n">
        <v>1571.89</v>
      </c>
      <c r="H547" s="63" t="n">
        <v>0.06900000000000001</v>
      </c>
      <c r="I547" s="62" t="n">
        <v>1157.79</v>
      </c>
      <c r="J547" s="58" t="inlineStr">
        <is>
          <t>Online</t>
        </is>
      </c>
      <c r="K547" s="62">
        <f>F547*(G547-H547)</f>
        <v/>
      </c>
      <c r="L547" s="62">
        <f>K547-(F547*I547)</f>
        <v/>
      </c>
      <c r="M547" s="64">
        <f>L547/K547</f>
        <v/>
      </c>
    </row>
    <row r="548">
      <c r="A548" s="58" t="inlineStr">
        <is>
          <t>RT20250113-00547</t>
        </is>
      </c>
      <c r="B548" s="59" t="inlineStr">
        <is>
          <t>2025-01-13</t>
        </is>
      </c>
      <c r="C548" s="60" t="inlineStr">
        <is>
          <t>Polar Outdoor Lite-318</t>
        </is>
      </c>
      <c r="D548" s="58" t="inlineStr">
        <is>
          <t>Sports</t>
        </is>
      </c>
      <c r="E548" s="58" t="inlineStr">
        <is>
          <t>South</t>
        </is>
      </c>
      <c r="F548" s="61" t="n">
        <v>1</v>
      </c>
      <c r="G548" s="62" t="n">
        <v>721.17</v>
      </c>
      <c r="H548" s="63" t="n">
        <v>0.055</v>
      </c>
      <c r="I548" s="62" t="n">
        <v>479.31</v>
      </c>
      <c r="J548" s="58" t="inlineStr">
        <is>
          <t>Online</t>
        </is>
      </c>
      <c r="K548" s="62">
        <f>F548*(G548-H548)</f>
        <v/>
      </c>
      <c r="L548" s="62">
        <f>K548-(F548*I548)</f>
        <v/>
      </c>
      <c r="M548" s="64">
        <f>L548/K548</f>
        <v/>
      </c>
    </row>
    <row r="549">
      <c r="A549" s="58" t="inlineStr">
        <is>
          <t>RT20250113-00548</t>
        </is>
      </c>
      <c r="B549" s="59" t="inlineStr">
        <is>
          <t>2025-01-13</t>
        </is>
      </c>
      <c r="C549" s="60" t="inlineStr">
        <is>
          <t>Vertex Appliance S-296</t>
        </is>
      </c>
      <c r="D549" s="58" t="inlineStr">
        <is>
          <t>Home</t>
        </is>
      </c>
      <c r="E549" s="58" t="inlineStr">
        <is>
          <t>West</t>
        </is>
      </c>
      <c r="F549" s="61" t="n">
        <v>1</v>
      </c>
      <c r="G549" s="62" t="n">
        <v>589.95</v>
      </c>
      <c r="H549" s="63" t="n">
        <v>0.066</v>
      </c>
      <c r="I549" s="62" t="n">
        <v>353.01</v>
      </c>
      <c r="J549" s="58" t="inlineStr">
        <is>
          <t>Phone</t>
        </is>
      </c>
      <c r="K549" s="62">
        <f>F549*(G549-H549)</f>
        <v/>
      </c>
      <c r="L549" s="62">
        <f>K549-(F549*I549)</f>
        <v/>
      </c>
      <c r="M549" s="64">
        <f>L549/K549</f>
        <v/>
      </c>
    </row>
    <row r="550">
      <c r="A550" s="58" t="inlineStr">
        <is>
          <t>RT20250113-00549</t>
        </is>
      </c>
      <c r="B550" s="59" t="inlineStr">
        <is>
          <t>2025-01-13</t>
        </is>
      </c>
      <c r="C550" s="60" t="inlineStr">
        <is>
          <t>Vertex Snack S-702</t>
        </is>
      </c>
      <c r="D550" s="58" t="inlineStr">
        <is>
          <t>Grocery</t>
        </is>
      </c>
      <c r="E550" s="58" t="inlineStr">
        <is>
          <t>East</t>
        </is>
      </c>
      <c r="F550" s="61" t="n">
        <v>7</v>
      </c>
      <c r="G550" s="62" t="n">
        <v>1.74</v>
      </c>
      <c r="H550" s="63" t="n">
        <v>0.104</v>
      </c>
      <c r="I550" s="62" t="n">
        <v>1.5</v>
      </c>
      <c r="J550" s="58" t="inlineStr">
        <is>
          <t>Online</t>
        </is>
      </c>
      <c r="K550" s="62">
        <f>F550*(G550-H550)</f>
        <v/>
      </c>
      <c r="L550" s="62">
        <f>K550-(F550*I550)</f>
        <v/>
      </c>
      <c r="M550" s="64">
        <f>L550/K550</f>
        <v/>
      </c>
    </row>
    <row r="551">
      <c r="A551" s="58" t="inlineStr">
        <is>
          <t>RT20250113-00550</t>
        </is>
      </c>
      <c r="B551" s="59" t="inlineStr">
        <is>
          <t>2025-01-13</t>
        </is>
      </c>
      <c r="C551" s="60" t="inlineStr">
        <is>
          <t>Vertex Appliance S-296</t>
        </is>
      </c>
      <c r="D551" s="58" t="inlineStr">
        <is>
          <t>Home</t>
        </is>
      </c>
      <c r="E551" s="58" t="inlineStr">
        <is>
          <t>West</t>
        </is>
      </c>
      <c r="F551" s="61" t="n">
        <v>3</v>
      </c>
      <c r="G551" s="62" t="n">
        <v>525.25</v>
      </c>
      <c r="H551" s="63" t="n">
        <v>0.07000000000000001</v>
      </c>
      <c r="I551" s="62" t="n">
        <v>350.28</v>
      </c>
      <c r="J551" s="58" t="inlineStr">
        <is>
          <t>Online</t>
        </is>
      </c>
      <c r="K551" s="62">
        <f>F551*(G551-H551)</f>
        <v/>
      </c>
      <c r="L551" s="62">
        <f>K551-(F551*I551)</f>
        <v/>
      </c>
      <c r="M551" s="64">
        <f>L551/K551</f>
        <v/>
      </c>
    </row>
    <row r="552">
      <c r="A552" s="58" t="inlineStr">
        <is>
          <t>RT20250113-00551</t>
        </is>
      </c>
      <c r="B552" s="59" t="inlineStr">
        <is>
          <t>2025-01-13</t>
        </is>
      </c>
      <c r="C552" s="60" t="inlineStr">
        <is>
          <t>Metro Pantry X-710</t>
        </is>
      </c>
      <c r="D552" s="58" t="inlineStr">
        <is>
          <t>Grocery</t>
        </is>
      </c>
      <c r="E552" s="58" t="inlineStr">
        <is>
          <t>East</t>
        </is>
      </c>
      <c r="F552" s="61" t="n">
        <v>3</v>
      </c>
      <c r="G552" s="62" t="n">
        <v>5.17</v>
      </c>
      <c r="H552" s="63" t="n">
        <v>0.07000000000000001</v>
      </c>
      <c r="I552" s="62" t="n">
        <v>4.17</v>
      </c>
      <c r="J552" s="58" t="inlineStr">
        <is>
          <t>Online</t>
        </is>
      </c>
      <c r="K552" s="62">
        <f>F552*(G552-H552)</f>
        <v/>
      </c>
      <c r="L552" s="62">
        <f>K552-(F552*I552)</f>
        <v/>
      </c>
      <c r="M552" s="64">
        <f>L552/K552</f>
        <v/>
      </c>
    </row>
    <row r="553">
      <c r="A553" s="58" t="inlineStr">
        <is>
          <t>RT20250113-00552</t>
        </is>
      </c>
      <c r="B553" s="59" t="inlineStr">
        <is>
          <t>2025-01-13</t>
        </is>
      </c>
      <c r="C553" s="60" t="inlineStr">
        <is>
          <t>Vertex Printer Max-692</t>
        </is>
      </c>
      <c r="D553" s="58" t="inlineStr">
        <is>
          <t>Office</t>
        </is>
      </c>
      <c r="E553" s="58" t="inlineStr">
        <is>
          <t>East</t>
        </is>
      </c>
      <c r="F553" s="61" t="n">
        <v>3</v>
      </c>
      <c r="G553" s="62" t="n">
        <v>170.72</v>
      </c>
      <c r="H553" s="63" t="n">
        <v>0.025</v>
      </c>
      <c r="I553" s="62" t="n">
        <v>124.24</v>
      </c>
      <c r="J553" s="58" t="inlineStr">
        <is>
          <t>Phone</t>
        </is>
      </c>
      <c r="K553" s="62">
        <f>F553*(G553-H553)</f>
        <v/>
      </c>
      <c r="L553" s="62">
        <f>K553-(F553*I553)</f>
        <v/>
      </c>
      <c r="M553" s="64">
        <f>L553/K553</f>
        <v/>
      </c>
    </row>
    <row r="554">
      <c r="A554" s="58" t="inlineStr">
        <is>
          <t>RT20250113-00553</t>
        </is>
      </c>
      <c r="B554" s="59" t="inlineStr">
        <is>
          <t>2025-01-13</t>
        </is>
      </c>
      <c r="C554" s="60" t="inlineStr">
        <is>
          <t>Metro Fragrance Lite-261</t>
        </is>
      </c>
      <c r="D554" s="58" t="inlineStr">
        <is>
          <t>Beauty</t>
        </is>
      </c>
      <c r="E554" s="58" t="inlineStr">
        <is>
          <t>West</t>
        </is>
      </c>
      <c r="F554" s="61" t="n">
        <v>4</v>
      </c>
      <c r="G554" s="62" t="n">
        <v>94.37</v>
      </c>
      <c r="H554" s="63" t="n">
        <v>0.039</v>
      </c>
      <c r="I554" s="62" t="n">
        <v>54.69</v>
      </c>
      <c r="J554" s="58" t="inlineStr">
        <is>
          <t>Online</t>
        </is>
      </c>
      <c r="K554" s="62">
        <f>F554*(G554-H554)</f>
        <v/>
      </c>
      <c r="L554" s="62">
        <f>K554-(F554*I554)</f>
        <v/>
      </c>
      <c r="M554" s="64">
        <f>L554/K554</f>
        <v/>
      </c>
    </row>
    <row r="555">
      <c r="A555" s="58" t="inlineStr">
        <is>
          <t>RT20250113-00554</t>
        </is>
      </c>
      <c r="B555" s="59" t="inlineStr">
        <is>
          <t>2025-01-13</t>
        </is>
      </c>
      <c r="C555" s="60" t="inlineStr">
        <is>
          <t>Vertex Supplie Pro-786</t>
        </is>
      </c>
      <c r="D555" s="58" t="inlineStr">
        <is>
          <t>Office</t>
        </is>
      </c>
      <c r="E555" s="58" t="inlineStr">
        <is>
          <t>South</t>
        </is>
      </c>
      <c r="F555" s="61" t="n">
        <v>1</v>
      </c>
      <c r="G555" s="62" t="n">
        <v>425.33</v>
      </c>
      <c r="H555" s="63" t="n">
        <v>0.06</v>
      </c>
      <c r="I555" s="62" t="n">
        <v>299.28</v>
      </c>
      <c r="J555" s="58" t="inlineStr">
        <is>
          <t>Store</t>
        </is>
      </c>
      <c r="K555" s="62">
        <f>F555*(G555-H555)</f>
        <v/>
      </c>
      <c r="L555" s="62">
        <f>K555-(F555*I555)</f>
        <v/>
      </c>
      <c r="M555" s="64">
        <f>L555/K555</f>
        <v/>
      </c>
    </row>
    <row r="556">
      <c r="A556" s="58" t="inlineStr">
        <is>
          <t>RT20250113-00555</t>
        </is>
      </c>
      <c r="B556" s="59" t="inlineStr">
        <is>
          <t>2025-01-13</t>
        </is>
      </c>
      <c r="C556" s="60" t="inlineStr">
        <is>
          <t>Vertex Decor Pro-618</t>
        </is>
      </c>
      <c r="D556" s="58" t="inlineStr">
        <is>
          <t>Home</t>
        </is>
      </c>
      <c r="E556" s="58" t="inlineStr">
        <is>
          <t>Central</t>
        </is>
      </c>
      <c r="F556" s="61" t="n">
        <v>2</v>
      </c>
      <c r="G556" s="62" t="n">
        <v>596.71</v>
      </c>
      <c r="H556" s="63" t="n">
        <v>0.008999999999999999</v>
      </c>
      <c r="I556" s="62" t="n">
        <v>371.97</v>
      </c>
      <c r="J556" s="58" t="inlineStr">
        <is>
          <t>Store</t>
        </is>
      </c>
      <c r="K556" s="62">
        <f>F556*(G556-H556)</f>
        <v/>
      </c>
      <c r="L556" s="62">
        <f>K556-(F556*I556)</f>
        <v/>
      </c>
      <c r="M556" s="64">
        <f>L556/K556</f>
        <v/>
      </c>
    </row>
    <row r="557">
      <c r="A557" s="58" t="inlineStr">
        <is>
          <t>RT20250113-00556</t>
        </is>
      </c>
      <c r="B557" s="59" t="inlineStr">
        <is>
          <t>2025-01-13</t>
        </is>
      </c>
      <c r="C557" s="60" t="inlineStr">
        <is>
          <t>Falcon Accessorie S-195</t>
        </is>
      </c>
      <c r="D557" s="58" t="inlineStr">
        <is>
          <t>Apparel</t>
        </is>
      </c>
      <c r="E557" s="58" t="inlineStr">
        <is>
          <t>East</t>
        </is>
      </c>
      <c r="F557" s="61" t="n">
        <v>1</v>
      </c>
      <c r="G557" s="62" t="n">
        <v>70.94</v>
      </c>
      <c r="H557" s="63" t="n">
        <v>0.08</v>
      </c>
      <c r="I557" s="62" t="n">
        <v>41.94</v>
      </c>
      <c r="J557" s="58" t="inlineStr">
        <is>
          <t>Online</t>
        </is>
      </c>
      <c r="K557" s="62">
        <f>F557*(G557-H557)</f>
        <v/>
      </c>
      <c r="L557" s="62">
        <f>K557-(F557*I557)</f>
        <v/>
      </c>
      <c r="M557" s="64">
        <f>L557/K557</f>
        <v/>
      </c>
    </row>
    <row r="558">
      <c r="A558" s="58" t="inlineStr">
        <is>
          <t>RT20250113-00557</t>
        </is>
      </c>
      <c r="B558" s="59" t="inlineStr">
        <is>
          <t>2025-01-13</t>
        </is>
      </c>
      <c r="C558" s="60" t="inlineStr">
        <is>
          <t>Falcon Haircare Pro-980</t>
        </is>
      </c>
      <c r="D558" s="58" t="inlineStr">
        <is>
          <t>Beauty</t>
        </is>
      </c>
      <c r="E558" s="58" t="inlineStr">
        <is>
          <t>South</t>
        </is>
      </c>
      <c r="F558" s="61" t="n">
        <v>2</v>
      </c>
      <c r="G558" s="62" t="n">
        <v>96.37</v>
      </c>
      <c r="H558" s="63" t="n">
        <v>0.055</v>
      </c>
      <c r="I558" s="62" t="n">
        <v>56.69</v>
      </c>
      <c r="J558" s="58" t="inlineStr">
        <is>
          <t>Store</t>
        </is>
      </c>
      <c r="K558" s="62">
        <f>F558*(G558-H558)</f>
        <v/>
      </c>
      <c r="L558" s="62">
        <f>K558-(F558*I558)</f>
        <v/>
      </c>
      <c r="M558" s="64">
        <f>L558/K558</f>
        <v/>
      </c>
    </row>
    <row r="559">
      <c r="A559" s="58" t="inlineStr">
        <is>
          <t>RT20250113-00558</t>
        </is>
      </c>
      <c r="B559" s="59" t="inlineStr">
        <is>
          <t>2025-01-13</t>
        </is>
      </c>
      <c r="C559" s="60" t="inlineStr">
        <is>
          <t>Vertex Appliance Max-338</t>
        </is>
      </c>
      <c r="D559" s="58" t="inlineStr">
        <is>
          <t>Home</t>
        </is>
      </c>
      <c r="E559" s="58" t="inlineStr">
        <is>
          <t>East</t>
        </is>
      </c>
      <c r="F559" s="61" t="n">
        <v>1</v>
      </c>
      <c r="G559" s="62" t="n">
        <v>393.8</v>
      </c>
      <c r="H559" s="63" t="n">
        <v>0.089</v>
      </c>
      <c r="I559" s="62" t="n">
        <v>285.6</v>
      </c>
      <c r="J559" s="58" t="inlineStr">
        <is>
          <t>Store</t>
        </is>
      </c>
      <c r="K559" s="62">
        <f>F559*(G559-H559)</f>
        <v/>
      </c>
      <c r="L559" s="62">
        <f>K559-(F559*I559)</f>
        <v/>
      </c>
      <c r="M559" s="64">
        <f>L559/K559</f>
        <v/>
      </c>
    </row>
    <row r="560">
      <c r="A560" s="58" t="inlineStr">
        <is>
          <t>RT20250113-00559</t>
        </is>
      </c>
      <c r="B560" s="59" t="inlineStr">
        <is>
          <t>2025-01-13</t>
        </is>
      </c>
      <c r="C560" s="60" t="inlineStr">
        <is>
          <t>Vertex Furniture S-652</t>
        </is>
      </c>
      <c r="D560" s="58" t="inlineStr">
        <is>
          <t>Office</t>
        </is>
      </c>
      <c r="E560" s="58" t="inlineStr">
        <is>
          <t>West</t>
        </is>
      </c>
      <c r="F560" s="61" t="n">
        <v>3</v>
      </c>
      <c r="G560" s="62" t="n">
        <v>367.15</v>
      </c>
      <c r="H560" s="63" t="n">
        <v>0.073</v>
      </c>
      <c r="I560" s="62" t="n">
        <v>270.73</v>
      </c>
      <c r="J560" s="58" t="inlineStr">
        <is>
          <t>Online</t>
        </is>
      </c>
      <c r="K560" s="62">
        <f>F560*(G560-H560)</f>
        <v/>
      </c>
      <c r="L560" s="62">
        <f>K560-(F560*I560)</f>
        <v/>
      </c>
      <c r="M560" s="64">
        <f>L560/K560</f>
        <v/>
      </c>
    </row>
    <row r="561">
      <c r="A561" s="58" t="inlineStr">
        <is>
          <t>RT20250113-00560</t>
        </is>
      </c>
      <c r="B561" s="59" t="inlineStr">
        <is>
          <t>2025-01-13</t>
        </is>
      </c>
      <c r="C561" s="60" t="inlineStr">
        <is>
          <t>Metro Outdoor Plus-787</t>
        </is>
      </c>
      <c r="D561" s="58" t="inlineStr">
        <is>
          <t>Sports</t>
        </is>
      </c>
      <c r="E561" s="58" t="inlineStr">
        <is>
          <t>East</t>
        </is>
      </c>
      <c r="F561" s="61" t="n">
        <v>1</v>
      </c>
      <c r="G561" s="62" t="n">
        <v>535.9299999999999</v>
      </c>
      <c r="H561" s="63" t="n">
        <v>0.061</v>
      </c>
      <c r="I561" s="62" t="n">
        <v>356.74</v>
      </c>
      <c r="J561" s="58" t="inlineStr">
        <is>
          <t>Online</t>
        </is>
      </c>
      <c r="K561" s="62">
        <f>F561*(G561-H561)</f>
        <v/>
      </c>
      <c r="L561" s="62">
        <f>K561-(F561*I561)</f>
        <v/>
      </c>
      <c r="M561" s="64">
        <f>L561/K561</f>
        <v/>
      </c>
    </row>
    <row r="562">
      <c r="A562" s="58" t="inlineStr">
        <is>
          <t>RT20250113-00561</t>
        </is>
      </c>
      <c r="B562" s="59" t="inlineStr">
        <is>
          <t>2025-01-13</t>
        </is>
      </c>
      <c r="C562" s="60" t="inlineStr">
        <is>
          <t>Solace Kitchen X-919</t>
        </is>
      </c>
      <c r="D562" s="58" t="inlineStr">
        <is>
          <t>Home</t>
        </is>
      </c>
      <c r="E562" s="58" t="inlineStr">
        <is>
          <t>South</t>
        </is>
      </c>
      <c r="F562" s="61" t="n">
        <v>2</v>
      </c>
      <c r="G562" s="62" t="n">
        <v>386.26</v>
      </c>
      <c r="H562" s="63" t="n">
        <v>0.039</v>
      </c>
      <c r="I562" s="62" t="n">
        <v>259.93</v>
      </c>
      <c r="J562" s="58" t="inlineStr">
        <is>
          <t>Online</t>
        </is>
      </c>
      <c r="K562" s="62">
        <f>F562*(G562-H562)</f>
        <v/>
      </c>
      <c r="L562" s="62">
        <f>K562-(F562*I562)</f>
        <v/>
      </c>
      <c r="M562" s="64">
        <f>L562/K562</f>
        <v/>
      </c>
    </row>
    <row r="563">
      <c r="A563" s="58" t="inlineStr">
        <is>
          <t>RT20250113-00562</t>
        </is>
      </c>
      <c r="B563" s="59" t="inlineStr">
        <is>
          <t>2025-01-13</t>
        </is>
      </c>
      <c r="C563" s="60" t="inlineStr">
        <is>
          <t>Vertex Supplie Pro-786</t>
        </is>
      </c>
      <c r="D563" s="58" t="inlineStr">
        <is>
          <t>Office</t>
        </is>
      </c>
      <c r="E563" s="58" t="inlineStr">
        <is>
          <t>North</t>
        </is>
      </c>
      <c r="F563" s="61" t="n">
        <v>2</v>
      </c>
      <c r="G563" s="62" t="n">
        <v>411.47</v>
      </c>
      <c r="H563" s="63" t="n">
        <v>0.076</v>
      </c>
      <c r="I563" s="62" t="n">
        <v>288.02</v>
      </c>
      <c r="J563" s="58" t="inlineStr">
        <is>
          <t>Online</t>
        </is>
      </c>
      <c r="K563" s="62">
        <f>F563*(G563-H563)</f>
        <v/>
      </c>
      <c r="L563" s="62">
        <f>K563-(F563*I563)</f>
        <v/>
      </c>
      <c r="M563" s="64">
        <f>L563/K563</f>
        <v/>
      </c>
    </row>
    <row r="564">
      <c r="A564" s="58" t="inlineStr">
        <is>
          <t>RT20250113-00563</t>
        </is>
      </c>
      <c r="B564" s="59" t="inlineStr">
        <is>
          <t>2025-01-13</t>
        </is>
      </c>
      <c r="C564" s="60" t="inlineStr">
        <is>
          <t>Polar Outdoor Lite-318</t>
        </is>
      </c>
      <c r="D564" s="58" t="inlineStr">
        <is>
          <t>Sports</t>
        </is>
      </c>
      <c r="E564" s="58" t="inlineStr">
        <is>
          <t>East</t>
        </is>
      </c>
      <c r="F564" s="61" t="n">
        <v>1</v>
      </c>
      <c r="G564" s="62" t="n">
        <v>664.36</v>
      </c>
      <c r="H564" s="63" t="n">
        <v>0.061</v>
      </c>
      <c r="I564" s="62" t="n">
        <v>453.3</v>
      </c>
      <c r="J564" s="58" t="inlineStr">
        <is>
          <t>Online</t>
        </is>
      </c>
      <c r="K564" s="62">
        <f>F564*(G564-H564)</f>
        <v/>
      </c>
      <c r="L564" s="62">
        <f>K564-(F564*I564)</f>
        <v/>
      </c>
      <c r="M564" s="64">
        <f>L564/K564</f>
        <v/>
      </c>
    </row>
    <row r="565">
      <c r="A565" s="58" t="inlineStr">
        <is>
          <t>RT20250113-00564</t>
        </is>
      </c>
      <c r="B565" s="59" t="inlineStr">
        <is>
          <t>2025-01-13</t>
        </is>
      </c>
      <c r="C565" s="60" t="inlineStr">
        <is>
          <t>Aurora Bedding Max-175</t>
        </is>
      </c>
      <c r="D565" s="58" t="inlineStr">
        <is>
          <t>Home</t>
        </is>
      </c>
      <c r="E565" s="58" t="inlineStr">
        <is>
          <t>West</t>
        </is>
      </c>
      <c r="F565" s="61" t="n">
        <v>1</v>
      </c>
      <c r="G565" s="62" t="n">
        <v>619.73</v>
      </c>
      <c r="H565" s="63" t="n">
        <v>0.07199999999999999</v>
      </c>
      <c r="I565" s="62" t="n">
        <v>417.75</v>
      </c>
      <c r="J565" s="58" t="inlineStr">
        <is>
          <t>Online</t>
        </is>
      </c>
      <c r="K565" s="62">
        <f>F565*(G565-H565)</f>
        <v/>
      </c>
      <c r="L565" s="62">
        <f>K565-(F565*I565)</f>
        <v/>
      </c>
      <c r="M565" s="64">
        <f>L565/K565</f>
        <v/>
      </c>
    </row>
    <row r="566">
      <c r="A566" s="58" t="inlineStr">
        <is>
          <t>RT20250113-00565</t>
        </is>
      </c>
      <c r="B566" s="59" t="inlineStr">
        <is>
          <t>2025-01-13</t>
        </is>
      </c>
      <c r="C566" s="60" t="inlineStr">
        <is>
          <t>Polar Women Max-927</t>
        </is>
      </c>
      <c r="D566" s="58" t="inlineStr">
        <is>
          <t>Apparel</t>
        </is>
      </c>
      <c r="E566" s="58" t="inlineStr">
        <is>
          <t>West</t>
        </is>
      </c>
      <c r="F566" s="61" t="n">
        <v>1</v>
      </c>
      <c r="G566" s="62" t="n">
        <v>123.88</v>
      </c>
      <c r="H566" s="63" t="n">
        <v>0.105</v>
      </c>
      <c r="I566" s="62" t="n">
        <v>63.47</v>
      </c>
      <c r="J566" s="58" t="inlineStr">
        <is>
          <t>Store</t>
        </is>
      </c>
      <c r="K566" s="62">
        <f>F566*(G566-H566)</f>
        <v/>
      </c>
      <c r="L566" s="62">
        <f>K566-(F566*I566)</f>
        <v/>
      </c>
      <c r="M566" s="64">
        <f>L566/K566</f>
        <v/>
      </c>
    </row>
    <row r="567">
      <c r="A567" s="58" t="inlineStr">
        <is>
          <t>RT20250113-00566</t>
        </is>
      </c>
      <c r="B567" s="59" t="inlineStr">
        <is>
          <t>2025-01-13</t>
        </is>
      </c>
      <c r="C567" s="60" t="inlineStr">
        <is>
          <t>Solace Laptop S-367</t>
        </is>
      </c>
      <c r="D567" s="58" t="inlineStr">
        <is>
          <t>Electronics</t>
        </is>
      </c>
      <c r="E567" s="58" t="inlineStr">
        <is>
          <t>West</t>
        </is>
      </c>
      <c r="F567" s="61" t="n">
        <v>2</v>
      </c>
      <c r="G567" s="62" t="n">
        <v>1928.16</v>
      </c>
      <c r="H567" s="63" t="n">
        <v>0.06900000000000001</v>
      </c>
      <c r="I567" s="62" t="n">
        <v>1532.4</v>
      </c>
      <c r="J567" s="58" t="inlineStr">
        <is>
          <t>Online</t>
        </is>
      </c>
      <c r="K567" s="62">
        <f>F567*(G567-H567)</f>
        <v/>
      </c>
      <c r="L567" s="62">
        <f>K567-(F567*I567)</f>
        <v/>
      </c>
      <c r="M567" s="64">
        <f>L567/K567</f>
        <v/>
      </c>
    </row>
    <row r="568">
      <c r="A568" s="58" t="inlineStr">
        <is>
          <t>RT20250113-00567</t>
        </is>
      </c>
      <c r="B568" s="59" t="inlineStr">
        <is>
          <t>2025-01-13</t>
        </is>
      </c>
      <c r="C568" s="60" t="inlineStr">
        <is>
          <t>Polar Decor Plus-505</t>
        </is>
      </c>
      <c r="D568" s="58" t="inlineStr">
        <is>
          <t>Home</t>
        </is>
      </c>
      <c r="E568" s="58" t="inlineStr">
        <is>
          <t>South</t>
        </is>
      </c>
      <c r="F568" s="61" t="n">
        <v>1</v>
      </c>
      <c r="G568" s="62" t="n">
        <v>320.57</v>
      </c>
      <c r="H568" s="63" t="n">
        <v>0.08699999999999999</v>
      </c>
      <c r="I568" s="62" t="n">
        <v>195.72</v>
      </c>
      <c r="J568" s="58" t="inlineStr">
        <is>
          <t>Store</t>
        </is>
      </c>
      <c r="K568" s="62">
        <f>F568*(G568-H568)</f>
        <v/>
      </c>
      <c r="L568" s="62">
        <f>K568-(F568*I568)</f>
        <v/>
      </c>
      <c r="M568" s="64">
        <f>L568/K568</f>
        <v/>
      </c>
    </row>
    <row r="569">
      <c r="A569" s="58" t="inlineStr">
        <is>
          <t>RT20250113-00568</t>
        </is>
      </c>
      <c r="B569" s="59" t="inlineStr">
        <is>
          <t>2025-01-13</t>
        </is>
      </c>
      <c r="C569" s="60" t="inlineStr">
        <is>
          <t>Solace Smartphone Lite-533</t>
        </is>
      </c>
      <c r="D569" s="58" t="inlineStr">
        <is>
          <t>Electronics</t>
        </is>
      </c>
      <c r="E569" s="58" t="inlineStr">
        <is>
          <t>East</t>
        </is>
      </c>
      <c r="F569" s="61" t="n">
        <v>2</v>
      </c>
      <c r="G569" s="62" t="n">
        <v>990.01</v>
      </c>
      <c r="H569" s="63" t="n">
        <v>0.045</v>
      </c>
      <c r="I569" s="62" t="n">
        <v>917.92</v>
      </c>
      <c r="J569" s="58" t="inlineStr">
        <is>
          <t>Online</t>
        </is>
      </c>
      <c r="K569" s="62">
        <f>F569*(G569-H569)</f>
        <v/>
      </c>
      <c r="L569" s="62">
        <f>K569-(F569*I569)</f>
        <v/>
      </c>
      <c r="M569" s="64">
        <f>L569/K569</f>
        <v/>
      </c>
    </row>
    <row r="570">
      <c r="A570" s="58" t="inlineStr">
        <is>
          <t>RT20250113-00569</t>
        </is>
      </c>
      <c r="B570" s="59" t="inlineStr">
        <is>
          <t>2025-01-13</t>
        </is>
      </c>
      <c r="C570" s="60" t="inlineStr">
        <is>
          <t>Falcon Household Plus-796</t>
        </is>
      </c>
      <c r="D570" s="58" t="inlineStr">
        <is>
          <t>Grocery</t>
        </is>
      </c>
      <c r="E570" s="58" t="inlineStr">
        <is>
          <t>East</t>
        </is>
      </c>
      <c r="F570" s="61" t="n">
        <v>3</v>
      </c>
      <c r="G570" s="62" t="n">
        <v>23.85</v>
      </c>
      <c r="H570" s="63" t="n">
        <v>0.035</v>
      </c>
      <c r="I570" s="62" t="n">
        <v>17.52</v>
      </c>
      <c r="J570" s="58" t="inlineStr">
        <is>
          <t>Online</t>
        </is>
      </c>
      <c r="K570" s="62">
        <f>F570*(G570-H570)</f>
        <v/>
      </c>
      <c r="L570" s="62">
        <f>K570-(F570*I570)</f>
        <v/>
      </c>
      <c r="M570" s="64">
        <f>L570/K570</f>
        <v/>
      </c>
    </row>
    <row r="571">
      <c r="A571" s="58" t="inlineStr">
        <is>
          <t>RT20250113-00570</t>
        </is>
      </c>
      <c r="B571" s="59" t="inlineStr">
        <is>
          <t>2025-01-13</t>
        </is>
      </c>
      <c r="C571" s="60" t="inlineStr">
        <is>
          <t>Aurora Fragrance S-971</t>
        </is>
      </c>
      <c r="D571" s="58" t="inlineStr">
        <is>
          <t>Beauty</t>
        </is>
      </c>
      <c r="E571" s="58" t="inlineStr">
        <is>
          <t>West</t>
        </is>
      </c>
      <c r="F571" s="61" t="n">
        <v>5</v>
      </c>
      <c r="G571" s="62" t="n">
        <v>103.09</v>
      </c>
      <c r="H571" s="63" t="n">
        <v>0.06</v>
      </c>
      <c r="I571" s="62" t="n">
        <v>65.26000000000001</v>
      </c>
      <c r="J571" s="58" t="inlineStr">
        <is>
          <t>Store</t>
        </is>
      </c>
      <c r="K571" s="62">
        <f>F571*(G571-H571)</f>
        <v/>
      </c>
      <c r="L571" s="62">
        <f>K571-(F571*I571)</f>
        <v/>
      </c>
      <c r="M571" s="64">
        <f>L571/K571</f>
        <v/>
      </c>
    </row>
    <row r="572">
      <c r="A572" s="58" t="inlineStr">
        <is>
          <t>RT20250113-00571</t>
        </is>
      </c>
      <c r="B572" s="59" t="inlineStr">
        <is>
          <t>2025-01-13</t>
        </is>
      </c>
      <c r="C572" s="60" t="inlineStr">
        <is>
          <t>Solace Team Sport Max-548</t>
        </is>
      </c>
      <c r="D572" s="58" t="inlineStr">
        <is>
          <t>Sports</t>
        </is>
      </c>
      <c r="E572" s="58" t="inlineStr">
        <is>
          <t>East</t>
        </is>
      </c>
      <c r="F572" s="61" t="n">
        <v>1</v>
      </c>
      <c r="G572" s="62" t="n">
        <v>743.35</v>
      </c>
      <c r="H572" s="63" t="n">
        <v>0.038</v>
      </c>
      <c r="I572" s="62" t="n">
        <v>493.14</v>
      </c>
      <c r="J572" s="58" t="inlineStr">
        <is>
          <t>Online</t>
        </is>
      </c>
      <c r="K572" s="62">
        <f>F572*(G572-H572)</f>
        <v/>
      </c>
      <c r="L572" s="62">
        <f>K572-(F572*I572)</f>
        <v/>
      </c>
      <c r="M572" s="64">
        <f>L572/K572</f>
        <v/>
      </c>
    </row>
    <row r="573">
      <c r="A573" s="58" t="inlineStr">
        <is>
          <t>RT20250113-00572</t>
        </is>
      </c>
      <c r="B573" s="59" t="inlineStr">
        <is>
          <t>2025-01-13</t>
        </is>
      </c>
      <c r="C573" s="60" t="inlineStr">
        <is>
          <t>Falcon Team Sport Lite-268</t>
        </is>
      </c>
      <c r="D573" s="58" t="inlineStr">
        <is>
          <t>Sports</t>
        </is>
      </c>
      <c r="E573" s="58" t="inlineStr">
        <is>
          <t>Central</t>
        </is>
      </c>
      <c r="F573" s="61" t="n">
        <v>1</v>
      </c>
      <c r="G573" s="62" t="n">
        <v>655.96</v>
      </c>
      <c r="H573" s="63" t="n">
        <v>0.008999999999999999</v>
      </c>
      <c r="I573" s="62" t="n">
        <v>431.05</v>
      </c>
      <c r="J573" s="58" t="inlineStr">
        <is>
          <t>Online</t>
        </is>
      </c>
      <c r="K573" s="62">
        <f>F573*(G573-H573)</f>
        <v/>
      </c>
      <c r="L573" s="62">
        <f>K573-(F573*I573)</f>
        <v/>
      </c>
      <c r="M573" s="64">
        <f>L573/K573</f>
        <v/>
      </c>
    </row>
    <row r="574">
      <c r="A574" s="58" t="inlineStr">
        <is>
          <t>RT20250113-00573</t>
        </is>
      </c>
      <c r="B574" s="59" t="inlineStr">
        <is>
          <t>2025-01-13</t>
        </is>
      </c>
      <c r="C574" s="60" t="inlineStr">
        <is>
          <t>Metro Pantry X-710</t>
        </is>
      </c>
      <c r="D574" s="58" t="inlineStr">
        <is>
          <t>Grocery</t>
        </is>
      </c>
      <c r="E574" s="58" t="inlineStr">
        <is>
          <t>South</t>
        </is>
      </c>
      <c r="F574" s="61" t="n">
        <v>4</v>
      </c>
      <c r="G574" s="62" t="n">
        <v>5.4</v>
      </c>
      <c r="H574" s="63" t="n">
        <v>0.097</v>
      </c>
      <c r="I574" s="62" t="n">
        <v>4.22</v>
      </c>
      <c r="J574" s="58" t="inlineStr">
        <is>
          <t>Online</t>
        </is>
      </c>
      <c r="K574" s="62">
        <f>F574*(G574-H574)</f>
        <v/>
      </c>
      <c r="L574" s="62">
        <f>K574-(F574*I574)</f>
        <v/>
      </c>
      <c r="M574" s="64">
        <f>L574/K574</f>
        <v/>
      </c>
    </row>
    <row r="575">
      <c r="A575" s="58" t="inlineStr">
        <is>
          <t>RT20250113-00574</t>
        </is>
      </c>
      <c r="B575" s="59" t="inlineStr">
        <is>
          <t>2025-01-13</t>
        </is>
      </c>
      <c r="C575" s="60" t="inlineStr">
        <is>
          <t>Nimbus Men Plus-231</t>
        </is>
      </c>
      <c r="D575" s="58" t="inlineStr">
        <is>
          <t>Apparel</t>
        </is>
      </c>
      <c r="E575" s="58" t="inlineStr">
        <is>
          <t>Central</t>
        </is>
      </c>
      <c r="F575" s="61" t="n">
        <v>2</v>
      </c>
      <c r="G575" s="62" t="n">
        <v>133.86</v>
      </c>
      <c r="H575" s="63" t="n">
        <v>0.075</v>
      </c>
      <c r="I575" s="62" t="n">
        <v>90.34</v>
      </c>
      <c r="J575" s="58" t="inlineStr">
        <is>
          <t>Online</t>
        </is>
      </c>
      <c r="K575" s="62">
        <f>F575*(G575-H575)</f>
        <v/>
      </c>
      <c r="L575" s="62">
        <f>K575-(F575*I575)</f>
        <v/>
      </c>
      <c r="M575" s="64">
        <f>L575/K575</f>
        <v/>
      </c>
    </row>
    <row r="576">
      <c r="A576" s="58" t="inlineStr">
        <is>
          <t>RT20250113-00575</t>
        </is>
      </c>
      <c r="B576" s="59" t="inlineStr">
        <is>
          <t>2025-01-13</t>
        </is>
      </c>
      <c r="C576" s="60" t="inlineStr">
        <is>
          <t>Nimbus Men Plus-231</t>
        </is>
      </c>
      <c r="D576" s="58" t="inlineStr">
        <is>
          <t>Apparel</t>
        </is>
      </c>
      <c r="E576" s="58" t="inlineStr">
        <is>
          <t>South</t>
        </is>
      </c>
      <c r="F576" s="61" t="n">
        <v>1</v>
      </c>
      <c r="G576" s="62" t="n">
        <v>162.37</v>
      </c>
      <c r="H576" s="63" t="n">
        <v>0.073</v>
      </c>
      <c r="I576" s="62" t="n">
        <v>90.36</v>
      </c>
      <c r="J576" s="58" t="inlineStr">
        <is>
          <t>Online</t>
        </is>
      </c>
      <c r="K576" s="62">
        <f>F576*(G576-H576)</f>
        <v/>
      </c>
      <c r="L576" s="62">
        <f>K576-(F576*I576)</f>
        <v/>
      </c>
      <c r="M576" s="64">
        <f>L576/K576</f>
        <v/>
      </c>
    </row>
    <row r="577">
      <c r="A577" s="58" t="inlineStr">
        <is>
          <t>RT20250113-00576</t>
        </is>
      </c>
      <c r="B577" s="59" t="inlineStr">
        <is>
          <t>2025-01-13</t>
        </is>
      </c>
      <c r="C577" s="60" t="inlineStr">
        <is>
          <t>Metro Accessorie Max-316</t>
        </is>
      </c>
      <c r="D577" s="58" t="inlineStr">
        <is>
          <t>Apparel</t>
        </is>
      </c>
      <c r="E577" s="58" t="inlineStr">
        <is>
          <t>West</t>
        </is>
      </c>
      <c r="F577" s="61" t="n">
        <v>1</v>
      </c>
      <c r="G577" s="62" t="n">
        <v>151.83</v>
      </c>
      <c r="H577" s="63" t="n">
        <v>0.075</v>
      </c>
      <c r="I577" s="62" t="n">
        <v>92.95</v>
      </c>
      <c r="J577" s="58" t="inlineStr">
        <is>
          <t>Online</t>
        </is>
      </c>
      <c r="K577" s="62">
        <f>F577*(G577-H577)</f>
        <v/>
      </c>
      <c r="L577" s="62">
        <f>K577-(F577*I577)</f>
        <v/>
      </c>
      <c r="M577" s="64">
        <f>L577/K577</f>
        <v/>
      </c>
    </row>
    <row r="578">
      <c r="A578" s="58" t="inlineStr">
        <is>
          <t>RT20250113-00577</t>
        </is>
      </c>
      <c r="B578" s="59" t="inlineStr">
        <is>
          <t>2025-01-13</t>
        </is>
      </c>
      <c r="C578" s="60" t="inlineStr">
        <is>
          <t>Falcon Household Plus-172</t>
        </is>
      </c>
      <c r="D578" s="58" t="inlineStr">
        <is>
          <t>Grocery</t>
        </is>
      </c>
      <c r="E578" s="58" t="inlineStr">
        <is>
          <t>Central</t>
        </is>
      </c>
      <c r="F578" s="61" t="n">
        <v>2</v>
      </c>
      <c r="G578" s="62" t="n">
        <v>24.72</v>
      </c>
      <c r="H578" s="63" t="n">
        <v>0.055</v>
      </c>
      <c r="I578" s="62" t="n">
        <v>16.26</v>
      </c>
      <c r="J578" s="58" t="inlineStr">
        <is>
          <t>Phone</t>
        </is>
      </c>
      <c r="K578" s="62">
        <f>F578*(G578-H578)</f>
        <v/>
      </c>
      <c r="L578" s="62">
        <f>K578-(F578*I578)</f>
        <v/>
      </c>
      <c r="M578" s="64">
        <f>L578/K578</f>
        <v/>
      </c>
    </row>
    <row r="579">
      <c r="A579" s="58" t="inlineStr">
        <is>
          <t>RT20250113-00578</t>
        </is>
      </c>
      <c r="B579" s="59" t="inlineStr">
        <is>
          <t>2025-01-13</t>
        </is>
      </c>
      <c r="C579" s="60" t="inlineStr">
        <is>
          <t>Aurora Bedding Max-175</t>
        </is>
      </c>
      <c r="D579" s="58" t="inlineStr">
        <is>
          <t>Home</t>
        </is>
      </c>
      <c r="E579" s="58" t="inlineStr">
        <is>
          <t>East</t>
        </is>
      </c>
      <c r="F579" s="61" t="n">
        <v>3</v>
      </c>
      <c r="G579" s="62" t="n">
        <v>602.77</v>
      </c>
      <c r="H579" s="63" t="n">
        <v>0.051</v>
      </c>
      <c r="I579" s="62" t="n">
        <v>406.74</v>
      </c>
      <c r="J579" s="58" t="inlineStr">
        <is>
          <t>Online</t>
        </is>
      </c>
      <c r="K579" s="62">
        <f>F579*(G579-H579)</f>
        <v/>
      </c>
      <c r="L579" s="62">
        <f>K579-(F579*I579)</f>
        <v/>
      </c>
      <c r="M579" s="64">
        <f>L579/K579</f>
        <v/>
      </c>
    </row>
    <row r="580">
      <c r="A580" s="58" t="inlineStr">
        <is>
          <t>RT20250113-00579</t>
        </is>
      </c>
      <c r="B580" s="59" t="inlineStr">
        <is>
          <t>2025-01-13</t>
        </is>
      </c>
      <c r="C580" s="60" t="inlineStr">
        <is>
          <t>Aurora Makeup Pro-489</t>
        </is>
      </c>
      <c r="D580" s="58" t="inlineStr">
        <is>
          <t>Beauty</t>
        </is>
      </c>
      <c r="E580" s="58" t="inlineStr">
        <is>
          <t>North</t>
        </is>
      </c>
      <c r="F580" s="61" t="n">
        <v>2</v>
      </c>
      <c r="G580" s="62" t="n">
        <v>109.92</v>
      </c>
      <c r="H580" s="63" t="n">
        <v>0.063</v>
      </c>
      <c r="I580" s="62" t="n">
        <v>64.65000000000001</v>
      </c>
      <c r="J580" s="58" t="inlineStr">
        <is>
          <t>Online</t>
        </is>
      </c>
      <c r="K580" s="62">
        <f>F580*(G580-H580)</f>
        <v/>
      </c>
      <c r="L580" s="62">
        <f>K580-(F580*I580)</f>
        <v/>
      </c>
      <c r="M580" s="64">
        <f>L580/K580</f>
        <v/>
      </c>
    </row>
    <row r="581">
      <c r="A581" s="58" t="inlineStr">
        <is>
          <t>RT20250113-00580</t>
        </is>
      </c>
      <c r="B581" s="59" t="inlineStr">
        <is>
          <t>2025-01-13</t>
        </is>
      </c>
      <c r="C581" s="60" t="inlineStr">
        <is>
          <t>Metro Decor Lite-325</t>
        </is>
      </c>
      <c r="D581" s="58" t="inlineStr">
        <is>
          <t>Home</t>
        </is>
      </c>
      <c r="E581" s="58" t="inlineStr">
        <is>
          <t>North</t>
        </is>
      </c>
      <c r="F581" s="61" t="n">
        <v>1</v>
      </c>
      <c r="G581" s="62" t="n">
        <v>607.14</v>
      </c>
      <c r="H581" s="63" t="n">
        <v>0.082</v>
      </c>
      <c r="I581" s="62" t="n">
        <v>389.6</v>
      </c>
      <c r="J581" s="58" t="inlineStr">
        <is>
          <t>Store</t>
        </is>
      </c>
      <c r="K581" s="62">
        <f>F581*(G581-H581)</f>
        <v/>
      </c>
      <c r="L581" s="62">
        <f>K581-(F581*I581)</f>
        <v/>
      </c>
      <c r="M581" s="64">
        <f>L581/K581</f>
        <v/>
      </c>
    </row>
    <row r="582">
      <c r="A582" s="58" t="inlineStr">
        <is>
          <t>RT20250114-00581</t>
        </is>
      </c>
      <c r="B582" s="59" t="inlineStr">
        <is>
          <t>2025-01-14</t>
        </is>
      </c>
      <c r="C582" s="60" t="inlineStr">
        <is>
          <t>Vertex Supplie X-513</t>
        </is>
      </c>
      <c r="D582" s="58" t="inlineStr">
        <is>
          <t>Office</t>
        </is>
      </c>
      <c r="E582" s="58" t="inlineStr">
        <is>
          <t>North</t>
        </is>
      </c>
      <c r="F582" s="61" t="n">
        <v>1</v>
      </c>
      <c r="G582" s="62" t="n">
        <v>346.58</v>
      </c>
      <c r="H582" s="63" t="n">
        <v>0.032</v>
      </c>
      <c r="I582" s="62" t="n">
        <v>273.15</v>
      </c>
      <c r="J582" s="58" t="inlineStr">
        <is>
          <t>Online</t>
        </is>
      </c>
      <c r="K582" s="62">
        <f>F582*(G582-H582)</f>
        <v/>
      </c>
      <c r="L582" s="62">
        <f>K582-(F582*I582)</f>
        <v/>
      </c>
      <c r="M582" s="64">
        <f>L582/K582</f>
        <v/>
      </c>
    </row>
    <row r="583">
      <c r="A583" s="58" t="inlineStr">
        <is>
          <t>RT20250114-00582</t>
        </is>
      </c>
      <c r="B583" s="59" t="inlineStr">
        <is>
          <t>2025-01-14</t>
        </is>
      </c>
      <c r="C583" s="60" t="inlineStr">
        <is>
          <t>Aurora Smartphone Plus-125</t>
        </is>
      </c>
      <c r="D583" s="58" t="inlineStr">
        <is>
          <t>Electronics</t>
        </is>
      </c>
      <c r="E583" s="58" t="inlineStr">
        <is>
          <t>East</t>
        </is>
      </c>
      <c r="F583" s="61" t="n">
        <v>1</v>
      </c>
      <c r="G583" s="62" t="n">
        <v>1463.15</v>
      </c>
      <c r="H583" s="63" t="n">
        <v>0.096</v>
      </c>
      <c r="I583" s="62" t="n">
        <v>1201.17</v>
      </c>
      <c r="J583" s="58" t="inlineStr">
        <is>
          <t>Online</t>
        </is>
      </c>
      <c r="K583" s="62">
        <f>F583*(G583-H583)</f>
        <v/>
      </c>
      <c r="L583" s="62">
        <f>K583-(F583*I583)</f>
        <v/>
      </c>
      <c r="M583" s="64">
        <f>L583/K583</f>
        <v/>
      </c>
    </row>
    <row r="584">
      <c r="A584" s="58" t="inlineStr">
        <is>
          <t>RT20250114-00583</t>
        </is>
      </c>
      <c r="B584" s="59" t="inlineStr">
        <is>
          <t>2025-01-14</t>
        </is>
      </c>
      <c r="C584" s="60" t="inlineStr">
        <is>
          <t>Aurora Appliance Max-316</t>
        </is>
      </c>
      <c r="D584" s="58" t="inlineStr">
        <is>
          <t>Home</t>
        </is>
      </c>
      <c r="E584" s="58" t="inlineStr">
        <is>
          <t>North</t>
        </is>
      </c>
      <c r="F584" s="61" t="n">
        <v>1</v>
      </c>
      <c r="G584" s="62" t="n">
        <v>295.16</v>
      </c>
      <c r="H584" s="63" t="n">
        <v>0.059</v>
      </c>
      <c r="I584" s="62" t="n">
        <v>216.69</v>
      </c>
      <c r="J584" s="58" t="inlineStr">
        <is>
          <t>Online</t>
        </is>
      </c>
      <c r="K584" s="62">
        <f>F584*(G584-H584)</f>
        <v/>
      </c>
      <c r="L584" s="62">
        <f>K584-(F584*I584)</f>
        <v/>
      </c>
      <c r="M584" s="64">
        <f>L584/K584</f>
        <v/>
      </c>
    </row>
    <row r="585">
      <c r="A585" s="58" t="inlineStr">
        <is>
          <t>RT20250114-00584</t>
        </is>
      </c>
      <c r="B585" s="59" t="inlineStr">
        <is>
          <t>2025-01-14</t>
        </is>
      </c>
      <c r="C585" s="60" t="inlineStr">
        <is>
          <t>Aurora Furniture X-709</t>
        </is>
      </c>
      <c r="D585" s="58" t="inlineStr">
        <is>
          <t>Office</t>
        </is>
      </c>
      <c r="E585" s="58" t="inlineStr">
        <is>
          <t>North</t>
        </is>
      </c>
      <c r="F585" s="61" t="n">
        <v>1</v>
      </c>
      <c r="G585" s="62" t="n">
        <v>452.88</v>
      </c>
      <c r="H585" s="63" t="n">
        <v>0</v>
      </c>
      <c r="I585" s="62" t="n">
        <v>306.64</v>
      </c>
      <c r="J585" s="58" t="inlineStr">
        <is>
          <t>Online</t>
        </is>
      </c>
      <c r="K585" s="62">
        <f>F585*(G585-H585)</f>
        <v/>
      </c>
      <c r="L585" s="62">
        <f>K585-(F585*I585)</f>
        <v/>
      </c>
      <c r="M585" s="64">
        <f>L585/K585</f>
        <v/>
      </c>
    </row>
    <row r="586">
      <c r="A586" s="58" t="inlineStr">
        <is>
          <t>RT20250114-00585</t>
        </is>
      </c>
      <c r="B586" s="59" t="inlineStr">
        <is>
          <t>2025-01-14</t>
        </is>
      </c>
      <c r="C586" s="60" t="inlineStr">
        <is>
          <t>Polar Wearable X-119</t>
        </is>
      </c>
      <c r="D586" s="58" t="inlineStr">
        <is>
          <t>Electronics</t>
        </is>
      </c>
      <c r="E586" s="58" t="inlineStr">
        <is>
          <t>Central</t>
        </is>
      </c>
      <c r="F586" s="61" t="n">
        <v>2</v>
      </c>
      <c r="G586" s="62" t="n">
        <v>1901.07</v>
      </c>
      <c r="H586" s="63" t="n">
        <v>0.035</v>
      </c>
      <c r="I586" s="62" t="n">
        <v>1349.5</v>
      </c>
      <c r="J586" s="58" t="inlineStr">
        <is>
          <t>Store</t>
        </is>
      </c>
      <c r="K586" s="62">
        <f>F586*(G586-H586)</f>
        <v/>
      </c>
      <c r="L586" s="62">
        <f>K586-(F586*I586)</f>
        <v/>
      </c>
      <c r="M586" s="64">
        <f>L586/K586</f>
        <v/>
      </c>
    </row>
    <row r="587">
      <c r="A587" s="58" t="inlineStr">
        <is>
          <t>RT20250114-00586</t>
        </is>
      </c>
      <c r="B587" s="59" t="inlineStr">
        <is>
          <t>2025-01-14</t>
        </is>
      </c>
      <c r="C587" s="60" t="inlineStr">
        <is>
          <t>Orion Snack X-322</t>
        </is>
      </c>
      <c r="D587" s="58" t="inlineStr">
        <is>
          <t>Grocery</t>
        </is>
      </c>
      <c r="E587" s="58" t="inlineStr">
        <is>
          <t>North</t>
        </is>
      </c>
      <c r="F587" s="61" t="n">
        <v>6</v>
      </c>
      <c r="G587" s="62" t="n">
        <v>13.38</v>
      </c>
      <c r="H587" s="63" t="n">
        <v>0.053</v>
      </c>
      <c r="I587" s="62" t="n">
        <v>9.91</v>
      </c>
      <c r="J587" s="58" t="inlineStr">
        <is>
          <t>Online</t>
        </is>
      </c>
      <c r="K587" s="62">
        <f>F587*(G587-H587)</f>
        <v/>
      </c>
      <c r="L587" s="62">
        <f>K587-(F587*I587)</f>
        <v/>
      </c>
      <c r="M587" s="64">
        <f>L587/K587</f>
        <v/>
      </c>
    </row>
    <row r="588">
      <c r="A588" s="58" t="inlineStr">
        <is>
          <t>RT20250114-00587</t>
        </is>
      </c>
      <c r="B588" s="59" t="inlineStr">
        <is>
          <t>2025-01-14</t>
        </is>
      </c>
      <c r="C588" s="60" t="inlineStr">
        <is>
          <t>Polar Laptop Plus-984</t>
        </is>
      </c>
      <c r="D588" s="58" t="inlineStr">
        <is>
          <t>Electronics</t>
        </is>
      </c>
      <c r="E588" s="58" t="inlineStr">
        <is>
          <t>North</t>
        </is>
      </c>
      <c r="F588" s="61" t="n">
        <v>1</v>
      </c>
      <c r="G588" s="62" t="n">
        <v>1199.78</v>
      </c>
      <c r="H588" s="63" t="n">
        <v>0.031</v>
      </c>
      <c r="I588" s="62" t="n">
        <v>985.37</v>
      </c>
      <c r="J588" s="58" t="inlineStr">
        <is>
          <t>Online</t>
        </is>
      </c>
      <c r="K588" s="62">
        <f>F588*(G588-H588)</f>
        <v/>
      </c>
      <c r="L588" s="62">
        <f>K588-(F588*I588)</f>
        <v/>
      </c>
      <c r="M588" s="64">
        <f>L588/K588</f>
        <v/>
      </c>
    </row>
    <row r="589">
      <c r="A589" s="58" t="inlineStr">
        <is>
          <t>RT20250114-00588</t>
        </is>
      </c>
      <c r="B589" s="59" t="inlineStr">
        <is>
          <t>2025-01-14</t>
        </is>
      </c>
      <c r="C589" s="60" t="inlineStr">
        <is>
          <t>Polar Decor Plus-505</t>
        </is>
      </c>
      <c r="D589" s="58" t="inlineStr">
        <is>
          <t>Home</t>
        </is>
      </c>
      <c r="E589" s="58" t="inlineStr">
        <is>
          <t>West</t>
        </is>
      </c>
      <c r="F589" s="61" t="n">
        <v>3</v>
      </c>
      <c r="G589" s="62" t="n">
        <v>317.63</v>
      </c>
      <c r="H589" s="63" t="n">
        <v>0.046</v>
      </c>
      <c r="I589" s="62" t="n">
        <v>198</v>
      </c>
      <c r="J589" s="58" t="inlineStr">
        <is>
          <t>Online</t>
        </is>
      </c>
      <c r="K589" s="62">
        <f>F589*(G589-H589)</f>
        <v/>
      </c>
      <c r="L589" s="62">
        <f>K589-(F589*I589)</f>
        <v/>
      </c>
      <c r="M589" s="64">
        <f>L589/K589</f>
        <v/>
      </c>
    </row>
    <row r="590">
      <c r="A590" s="58" t="inlineStr">
        <is>
          <t>RT20250114-00589</t>
        </is>
      </c>
      <c r="B590" s="59" t="inlineStr">
        <is>
          <t>2025-01-14</t>
        </is>
      </c>
      <c r="C590" s="60" t="inlineStr">
        <is>
          <t>Metro Laptop Plus-376</t>
        </is>
      </c>
      <c r="D590" s="58" t="inlineStr">
        <is>
          <t>Electronics</t>
        </is>
      </c>
      <c r="E590" s="58" t="inlineStr">
        <is>
          <t>East</t>
        </is>
      </c>
      <c r="F590" s="61" t="n">
        <v>2</v>
      </c>
      <c r="G590" s="62" t="n">
        <v>1258.72</v>
      </c>
      <c r="H590" s="63" t="n">
        <v>0.082</v>
      </c>
      <c r="I590" s="62" t="n">
        <v>1056.65</v>
      </c>
      <c r="J590" s="58" t="inlineStr">
        <is>
          <t>Online</t>
        </is>
      </c>
      <c r="K590" s="62">
        <f>F590*(G590-H590)</f>
        <v/>
      </c>
      <c r="L590" s="62">
        <f>K590-(F590*I590)</f>
        <v/>
      </c>
      <c r="M590" s="64">
        <f>L590/K590</f>
        <v/>
      </c>
    </row>
    <row r="591">
      <c r="A591" s="58" t="inlineStr">
        <is>
          <t>RT20250114-00590</t>
        </is>
      </c>
      <c r="B591" s="59" t="inlineStr">
        <is>
          <t>2025-01-14</t>
        </is>
      </c>
      <c r="C591" s="60" t="inlineStr">
        <is>
          <t>Vertex Smartphone Pro-256</t>
        </is>
      </c>
      <c r="D591" s="58" t="inlineStr">
        <is>
          <t>Electronics</t>
        </is>
      </c>
      <c r="E591" s="58" t="inlineStr">
        <is>
          <t>South</t>
        </is>
      </c>
      <c r="F591" s="61" t="n">
        <v>2</v>
      </c>
      <c r="G591" s="62" t="n">
        <v>1043.84</v>
      </c>
      <c r="H591" s="63" t="n">
        <v>0.046</v>
      </c>
      <c r="I591" s="62" t="n">
        <v>909.02</v>
      </c>
      <c r="J591" s="58" t="inlineStr">
        <is>
          <t>Online</t>
        </is>
      </c>
      <c r="K591" s="62">
        <f>F591*(G591-H591)</f>
        <v/>
      </c>
      <c r="L591" s="62">
        <f>K591-(F591*I591)</f>
        <v/>
      </c>
      <c r="M591" s="64">
        <f>L591/K591</f>
        <v/>
      </c>
    </row>
    <row r="592">
      <c r="A592" s="58" t="inlineStr">
        <is>
          <t>RT20250114-00591</t>
        </is>
      </c>
      <c r="B592" s="59" t="inlineStr">
        <is>
          <t>2025-01-14</t>
        </is>
      </c>
      <c r="C592" s="60" t="inlineStr">
        <is>
          <t>Orion Supplie S-612</t>
        </is>
      </c>
      <c r="D592" s="58" t="inlineStr">
        <is>
          <t>Office</t>
        </is>
      </c>
      <c r="E592" s="58" t="inlineStr">
        <is>
          <t>South</t>
        </is>
      </c>
      <c r="F592" s="61" t="n">
        <v>1</v>
      </c>
      <c r="G592" s="62" t="n">
        <v>453.6</v>
      </c>
      <c r="H592" s="63" t="n">
        <v>0.029</v>
      </c>
      <c r="I592" s="62" t="n">
        <v>338.77</v>
      </c>
      <c r="J592" s="58" t="inlineStr">
        <is>
          <t>Online</t>
        </is>
      </c>
      <c r="K592" s="62">
        <f>F592*(G592-H592)</f>
        <v/>
      </c>
      <c r="L592" s="62">
        <f>K592-(F592*I592)</f>
        <v/>
      </c>
      <c r="M592" s="64">
        <f>L592/K592</f>
        <v/>
      </c>
    </row>
    <row r="593">
      <c r="A593" s="58" t="inlineStr">
        <is>
          <t>RT20250114-00592</t>
        </is>
      </c>
      <c r="B593" s="59" t="inlineStr">
        <is>
          <t>2025-01-14</t>
        </is>
      </c>
      <c r="C593" s="60" t="inlineStr">
        <is>
          <t>Polar Outdoor X-193</t>
        </is>
      </c>
      <c r="D593" s="58" t="inlineStr">
        <is>
          <t>Sports</t>
        </is>
      </c>
      <c r="E593" s="58" t="inlineStr">
        <is>
          <t>East</t>
        </is>
      </c>
      <c r="F593" s="61" t="n">
        <v>2</v>
      </c>
      <c r="G593" s="62" t="n">
        <v>619.36</v>
      </c>
      <c r="H593" s="63" t="n">
        <v>0.064</v>
      </c>
      <c r="I593" s="62" t="n">
        <v>451.86</v>
      </c>
      <c r="J593" s="58" t="inlineStr">
        <is>
          <t>Store</t>
        </is>
      </c>
      <c r="K593" s="62">
        <f>F593*(G593-H593)</f>
        <v/>
      </c>
      <c r="L593" s="62">
        <f>K593-(F593*I593)</f>
        <v/>
      </c>
      <c r="M593" s="64">
        <f>L593/K593</f>
        <v/>
      </c>
    </row>
    <row r="594">
      <c r="A594" s="58" t="inlineStr">
        <is>
          <t>RT20250114-00593</t>
        </is>
      </c>
      <c r="B594" s="59" t="inlineStr">
        <is>
          <t>2025-01-14</t>
        </is>
      </c>
      <c r="C594" s="60" t="inlineStr">
        <is>
          <t>Polar Laptop Plus-984</t>
        </is>
      </c>
      <c r="D594" s="58" t="inlineStr">
        <is>
          <t>Electronics</t>
        </is>
      </c>
      <c r="E594" s="58" t="inlineStr">
        <is>
          <t>East</t>
        </is>
      </c>
      <c r="F594" s="61" t="n">
        <v>1</v>
      </c>
      <c r="G594" s="62" t="n">
        <v>1295.46</v>
      </c>
      <c r="H594" s="63" t="n">
        <v>0.056</v>
      </c>
      <c r="I594" s="62" t="n">
        <v>990.46</v>
      </c>
      <c r="J594" s="58" t="inlineStr">
        <is>
          <t>Online</t>
        </is>
      </c>
      <c r="K594" s="62">
        <f>F594*(G594-H594)</f>
        <v/>
      </c>
      <c r="L594" s="62">
        <f>K594-(F594*I594)</f>
        <v/>
      </c>
      <c r="M594" s="64">
        <f>L594/K594</f>
        <v/>
      </c>
    </row>
    <row r="595">
      <c r="A595" s="58" t="inlineStr">
        <is>
          <t>RT20250114-00594</t>
        </is>
      </c>
      <c r="B595" s="59" t="inlineStr">
        <is>
          <t>2025-01-14</t>
        </is>
      </c>
      <c r="C595" s="60" t="inlineStr">
        <is>
          <t>Vertex Skincare Pro-891</t>
        </is>
      </c>
      <c r="D595" s="58" t="inlineStr">
        <is>
          <t>Beauty</t>
        </is>
      </c>
      <c r="E595" s="58" t="inlineStr">
        <is>
          <t>North</t>
        </is>
      </c>
      <c r="F595" s="61" t="n">
        <v>5</v>
      </c>
      <c r="G595" s="62" t="n">
        <v>147.88</v>
      </c>
      <c r="H595" s="63" t="n">
        <v>0.031</v>
      </c>
      <c r="I595" s="62" t="n">
        <v>88.19</v>
      </c>
      <c r="J595" s="58" t="inlineStr">
        <is>
          <t>Store</t>
        </is>
      </c>
      <c r="K595" s="62">
        <f>F595*(G595-H595)</f>
        <v/>
      </c>
      <c r="L595" s="62">
        <f>K595-(F595*I595)</f>
        <v/>
      </c>
      <c r="M595" s="64">
        <f>L595/K595</f>
        <v/>
      </c>
    </row>
    <row r="596">
      <c r="A596" s="58" t="inlineStr">
        <is>
          <t>RT20250114-00595</t>
        </is>
      </c>
      <c r="B596" s="59" t="inlineStr">
        <is>
          <t>2025-01-14</t>
        </is>
      </c>
      <c r="C596" s="60" t="inlineStr">
        <is>
          <t>Polar Decor Plus-505</t>
        </is>
      </c>
      <c r="D596" s="58" t="inlineStr">
        <is>
          <t>Home</t>
        </is>
      </c>
      <c r="E596" s="58" t="inlineStr">
        <is>
          <t>West</t>
        </is>
      </c>
      <c r="F596" s="61" t="n">
        <v>1</v>
      </c>
      <c r="G596" s="62" t="n">
        <v>309.4</v>
      </c>
      <c r="H596" s="63" t="n">
        <v>0.09</v>
      </c>
      <c r="I596" s="62" t="n">
        <v>199.74</v>
      </c>
      <c r="J596" s="58" t="inlineStr">
        <is>
          <t>Online</t>
        </is>
      </c>
      <c r="K596" s="62">
        <f>F596*(G596-H596)</f>
        <v/>
      </c>
      <c r="L596" s="62">
        <f>K596-(F596*I596)</f>
        <v/>
      </c>
      <c r="M596" s="64">
        <f>L596/K596</f>
        <v/>
      </c>
    </row>
    <row r="597">
      <c r="A597" s="58" t="inlineStr">
        <is>
          <t>RT20250114-00596</t>
        </is>
      </c>
      <c r="B597" s="59" t="inlineStr">
        <is>
          <t>2025-01-14</t>
        </is>
      </c>
      <c r="C597" s="60" t="inlineStr">
        <is>
          <t>Aurora Smartphone Plus-125</t>
        </is>
      </c>
      <c r="D597" s="58" t="inlineStr">
        <is>
          <t>Electronics</t>
        </is>
      </c>
      <c r="E597" s="58" t="inlineStr">
        <is>
          <t>West</t>
        </is>
      </c>
      <c r="F597" s="61" t="n">
        <v>1</v>
      </c>
      <c r="G597" s="62" t="n">
        <v>1716.58</v>
      </c>
      <c r="H597" s="63" t="n">
        <v>0.08799999999999999</v>
      </c>
      <c r="I597" s="62" t="n">
        <v>1198.86</v>
      </c>
      <c r="J597" s="58" t="inlineStr">
        <is>
          <t>Store</t>
        </is>
      </c>
      <c r="K597" s="62">
        <f>F597*(G597-H597)</f>
        <v/>
      </c>
      <c r="L597" s="62">
        <f>K597-(F597*I597)</f>
        <v/>
      </c>
      <c r="M597" s="64">
        <f>L597/K597</f>
        <v/>
      </c>
    </row>
    <row r="598">
      <c r="A598" s="58" t="inlineStr">
        <is>
          <t>RT20250114-00597</t>
        </is>
      </c>
      <c r="B598" s="59" t="inlineStr">
        <is>
          <t>2025-01-14</t>
        </is>
      </c>
      <c r="C598" s="60" t="inlineStr">
        <is>
          <t>Vertex Furniture S-652</t>
        </is>
      </c>
      <c r="D598" s="58" t="inlineStr">
        <is>
          <t>Office</t>
        </is>
      </c>
      <c r="E598" s="58" t="inlineStr">
        <is>
          <t>North</t>
        </is>
      </c>
      <c r="F598" s="61" t="n">
        <v>2</v>
      </c>
      <c r="G598" s="62" t="n">
        <v>369.26</v>
      </c>
      <c r="H598" s="63" t="n">
        <v>0.076</v>
      </c>
      <c r="I598" s="62" t="n">
        <v>269.17</v>
      </c>
      <c r="J598" s="58" t="inlineStr">
        <is>
          <t>Store</t>
        </is>
      </c>
      <c r="K598" s="62">
        <f>F598*(G598-H598)</f>
        <v/>
      </c>
      <c r="L598" s="62">
        <f>K598-(F598*I598)</f>
        <v/>
      </c>
      <c r="M598" s="64">
        <f>L598/K598</f>
        <v/>
      </c>
    </row>
    <row r="599">
      <c r="A599" s="58" t="inlineStr">
        <is>
          <t>RT20250114-00598</t>
        </is>
      </c>
      <c r="B599" s="59" t="inlineStr">
        <is>
          <t>2025-01-14</t>
        </is>
      </c>
      <c r="C599" s="60" t="inlineStr">
        <is>
          <t>Vertex Appliance Max-338</t>
        </is>
      </c>
      <c r="D599" s="58" t="inlineStr">
        <is>
          <t>Home</t>
        </is>
      </c>
      <c r="E599" s="58" t="inlineStr">
        <is>
          <t>West</t>
        </is>
      </c>
      <c r="F599" s="61" t="n">
        <v>1</v>
      </c>
      <c r="G599" s="62" t="n">
        <v>441.65</v>
      </c>
      <c r="H599" s="63" t="n">
        <v>0.083</v>
      </c>
      <c r="I599" s="62" t="n">
        <v>284.7</v>
      </c>
      <c r="J599" s="58" t="inlineStr">
        <is>
          <t>Phone</t>
        </is>
      </c>
      <c r="K599" s="62">
        <f>F599*(G599-H599)</f>
        <v/>
      </c>
      <c r="L599" s="62">
        <f>K599-(F599*I599)</f>
        <v/>
      </c>
      <c r="M599" s="64">
        <f>L599/K599</f>
        <v/>
      </c>
    </row>
    <row r="600">
      <c r="A600" s="58" t="inlineStr">
        <is>
          <t>RT20250115-00599</t>
        </is>
      </c>
      <c r="B600" s="59" t="inlineStr">
        <is>
          <t>2025-01-15</t>
        </is>
      </c>
      <c r="C600" s="60" t="inlineStr">
        <is>
          <t>Nimbus Men Plus-231</t>
        </is>
      </c>
      <c r="D600" s="58" t="inlineStr">
        <is>
          <t>Apparel</t>
        </is>
      </c>
      <c r="E600" s="58" t="inlineStr">
        <is>
          <t>West</t>
        </is>
      </c>
      <c r="F600" s="61" t="n">
        <v>1</v>
      </c>
      <c r="G600" s="62" t="n">
        <v>162.39</v>
      </c>
      <c r="H600" s="63" t="n">
        <v>0.027</v>
      </c>
      <c r="I600" s="62" t="n">
        <v>86.81</v>
      </c>
      <c r="J600" s="58" t="inlineStr">
        <is>
          <t>Store</t>
        </is>
      </c>
      <c r="K600" s="62">
        <f>F600*(G600-H600)</f>
        <v/>
      </c>
      <c r="L600" s="62">
        <f>K600-(F600*I600)</f>
        <v/>
      </c>
      <c r="M600" s="64">
        <f>L600/K600</f>
        <v/>
      </c>
    </row>
    <row r="601">
      <c r="A601" s="58" t="inlineStr">
        <is>
          <t>RT20250115-00600</t>
        </is>
      </c>
      <c r="B601" s="59" t="inlineStr">
        <is>
          <t>2025-01-15</t>
        </is>
      </c>
      <c r="C601" s="60" t="inlineStr">
        <is>
          <t>Metro Accessorie Max-316</t>
        </is>
      </c>
      <c r="D601" s="58" t="inlineStr">
        <is>
          <t>Apparel</t>
        </is>
      </c>
      <c r="E601" s="58" t="inlineStr">
        <is>
          <t>Central</t>
        </is>
      </c>
      <c r="F601" s="61" t="n">
        <v>2</v>
      </c>
      <c r="G601" s="62" t="n">
        <v>163.96</v>
      </c>
      <c r="H601" s="63" t="n">
        <v>0.068</v>
      </c>
      <c r="I601" s="62" t="n">
        <v>91.70999999999999</v>
      </c>
      <c r="J601" s="58" t="inlineStr">
        <is>
          <t>Store</t>
        </is>
      </c>
      <c r="K601" s="62">
        <f>F601*(G601-H601)</f>
        <v/>
      </c>
      <c r="L601" s="62">
        <f>K601-(F601*I601)</f>
        <v/>
      </c>
      <c r="M601" s="64">
        <f>L601/K601</f>
        <v/>
      </c>
    </row>
    <row r="602">
      <c r="A602" s="58" t="inlineStr">
        <is>
          <t>RT20250115-00601</t>
        </is>
      </c>
      <c r="B602" s="59" t="inlineStr">
        <is>
          <t>2025-01-15</t>
        </is>
      </c>
      <c r="C602" s="60" t="inlineStr">
        <is>
          <t>Aurora Appliance Max-316</t>
        </is>
      </c>
      <c r="D602" s="58" t="inlineStr">
        <is>
          <t>Home</t>
        </is>
      </c>
      <c r="E602" s="58" t="inlineStr">
        <is>
          <t>North</t>
        </is>
      </c>
      <c r="F602" s="61" t="n">
        <v>1</v>
      </c>
      <c r="G602" s="62" t="n">
        <v>301.35</v>
      </c>
      <c r="H602" s="63" t="n">
        <v>0.064</v>
      </c>
      <c r="I602" s="62" t="n">
        <v>214.03</v>
      </c>
      <c r="J602" s="58" t="inlineStr">
        <is>
          <t>Online</t>
        </is>
      </c>
      <c r="K602" s="62">
        <f>F602*(G602-H602)</f>
        <v/>
      </c>
      <c r="L602" s="62">
        <f>K602-(F602*I602)</f>
        <v/>
      </c>
      <c r="M602" s="64">
        <f>L602/K602</f>
        <v/>
      </c>
    </row>
    <row r="603">
      <c r="A603" s="58" t="inlineStr">
        <is>
          <t>RT20250115-00602</t>
        </is>
      </c>
      <c r="B603" s="59" t="inlineStr">
        <is>
          <t>2025-01-15</t>
        </is>
      </c>
      <c r="C603" s="60" t="inlineStr">
        <is>
          <t>Vertex Appliance Max-338</t>
        </is>
      </c>
      <c r="D603" s="58" t="inlineStr">
        <is>
          <t>Home</t>
        </is>
      </c>
      <c r="E603" s="58" t="inlineStr">
        <is>
          <t>Central</t>
        </is>
      </c>
      <c r="F603" s="61" t="n">
        <v>1</v>
      </c>
      <c r="G603" s="62" t="n">
        <v>406.14</v>
      </c>
      <c r="H603" s="63" t="n">
        <v>0.129</v>
      </c>
      <c r="I603" s="62" t="n">
        <v>289.75</v>
      </c>
      <c r="J603" s="58" t="inlineStr">
        <is>
          <t>Store</t>
        </is>
      </c>
      <c r="K603" s="62">
        <f>F603*(G603-H603)</f>
        <v/>
      </c>
      <c r="L603" s="62">
        <f>K603-(F603*I603)</f>
        <v/>
      </c>
      <c r="M603" s="64">
        <f>L603/K603</f>
        <v/>
      </c>
    </row>
    <row r="604">
      <c r="A604" s="58" t="inlineStr">
        <is>
          <t>RT20250115-00603</t>
        </is>
      </c>
      <c r="B604" s="59" t="inlineStr">
        <is>
          <t>2025-01-15</t>
        </is>
      </c>
      <c r="C604" s="60" t="inlineStr">
        <is>
          <t>Vertex Fitnes Pro-830</t>
        </is>
      </c>
      <c r="D604" s="58" t="inlineStr">
        <is>
          <t>Sports</t>
        </is>
      </c>
      <c r="E604" s="58" t="inlineStr">
        <is>
          <t>Central</t>
        </is>
      </c>
      <c r="F604" s="61" t="n">
        <v>3</v>
      </c>
      <c r="G604" s="62" t="n">
        <v>810.16</v>
      </c>
      <c r="H604" s="63" t="n">
        <v>0.029</v>
      </c>
      <c r="I604" s="62" t="n">
        <v>466.17</v>
      </c>
      <c r="J604" s="58" t="inlineStr">
        <is>
          <t>Online</t>
        </is>
      </c>
      <c r="K604" s="62">
        <f>F604*(G604-H604)</f>
        <v/>
      </c>
      <c r="L604" s="62">
        <f>K604-(F604*I604)</f>
        <v/>
      </c>
      <c r="M604" s="64">
        <f>L604/K604</f>
        <v/>
      </c>
    </row>
    <row r="605">
      <c r="A605" s="58" t="inlineStr">
        <is>
          <t>RT20250115-00604</t>
        </is>
      </c>
      <c r="B605" s="59" t="inlineStr">
        <is>
          <t>2025-01-15</t>
        </is>
      </c>
      <c r="C605" s="60" t="inlineStr">
        <is>
          <t>Vertex Appliance S-159</t>
        </is>
      </c>
      <c r="D605" s="58" t="inlineStr">
        <is>
          <t>Home</t>
        </is>
      </c>
      <c r="E605" s="58" t="inlineStr">
        <is>
          <t>East</t>
        </is>
      </c>
      <c r="F605" s="61" t="n">
        <v>3</v>
      </c>
      <c r="G605" s="62" t="n">
        <v>437.96</v>
      </c>
      <c r="H605" s="63" t="n">
        <v>0.066</v>
      </c>
      <c r="I605" s="62" t="n">
        <v>289.89</v>
      </c>
      <c r="J605" s="58" t="inlineStr">
        <is>
          <t>Store</t>
        </is>
      </c>
      <c r="K605" s="62">
        <f>F605*(G605-H605)</f>
        <v/>
      </c>
      <c r="L605" s="62">
        <f>K605-(F605*I605)</f>
        <v/>
      </c>
      <c r="M605" s="64">
        <f>L605/K605</f>
        <v/>
      </c>
    </row>
    <row r="606">
      <c r="A606" s="58" t="inlineStr">
        <is>
          <t>RT20250115-00605</t>
        </is>
      </c>
      <c r="B606" s="59" t="inlineStr">
        <is>
          <t>2025-01-15</t>
        </is>
      </c>
      <c r="C606" s="60" t="inlineStr">
        <is>
          <t>Nimbus Cycling Plus-911</t>
        </is>
      </c>
      <c r="D606" s="58" t="inlineStr">
        <is>
          <t>Sports</t>
        </is>
      </c>
      <c r="E606" s="58" t="inlineStr">
        <is>
          <t>West</t>
        </is>
      </c>
      <c r="F606" s="61" t="n">
        <v>3</v>
      </c>
      <c r="G606" s="62" t="n">
        <v>620.63</v>
      </c>
      <c r="H606" s="63" t="n">
        <v>0.089</v>
      </c>
      <c r="I606" s="62" t="n">
        <v>395.31</v>
      </c>
      <c r="J606" s="58" t="inlineStr">
        <is>
          <t>Store</t>
        </is>
      </c>
      <c r="K606" s="62">
        <f>F606*(G606-H606)</f>
        <v/>
      </c>
      <c r="L606" s="62">
        <f>K606-(F606*I606)</f>
        <v/>
      </c>
      <c r="M606" s="64">
        <f>L606/K606</f>
        <v/>
      </c>
    </row>
    <row r="607">
      <c r="A607" s="58" t="inlineStr">
        <is>
          <t>RT20250115-00606</t>
        </is>
      </c>
      <c r="B607" s="59" t="inlineStr">
        <is>
          <t>2025-01-15</t>
        </is>
      </c>
      <c r="C607" s="60" t="inlineStr">
        <is>
          <t>Polar Cycling S-223</t>
        </is>
      </c>
      <c r="D607" s="58" t="inlineStr">
        <is>
          <t>Sports</t>
        </is>
      </c>
      <c r="E607" s="58" t="inlineStr">
        <is>
          <t>West</t>
        </is>
      </c>
      <c r="F607" s="61" t="n">
        <v>3</v>
      </c>
      <c r="G607" s="62" t="n">
        <v>934.87</v>
      </c>
      <c r="H607" s="63" t="n">
        <v>0.073</v>
      </c>
      <c r="I607" s="62" t="n">
        <v>615.76</v>
      </c>
      <c r="J607" s="58" t="inlineStr">
        <is>
          <t>Store</t>
        </is>
      </c>
      <c r="K607" s="62">
        <f>F607*(G607-H607)</f>
        <v/>
      </c>
      <c r="L607" s="62">
        <f>K607-(F607*I607)</f>
        <v/>
      </c>
      <c r="M607" s="64">
        <f>L607/K607</f>
        <v/>
      </c>
    </row>
    <row r="608">
      <c r="A608" s="58" t="inlineStr">
        <is>
          <t>RT20250115-00607</t>
        </is>
      </c>
      <c r="B608" s="59" t="inlineStr">
        <is>
          <t>2025-01-15</t>
        </is>
      </c>
      <c r="C608" s="60" t="inlineStr">
        <is>
          <t>Aurora Bedding Max-175</t>
        </is>
      </c>
      <c r="D608" s="58" t="inlineStr">
        <is>
          <t>Home</t>
        </is>
      </c>
      <c r="E608" s="58" t="inlineStr">
        <is>
          <t>West</t>
        </is>
      </c>
      <c r="F608" s="61" t="n">
        <v>3</v>
      </c>
      <c r="G608" s="62" t="n">
        <v>587.61</v>
      </c>
      <c r="H608" s="63" t="n">
        <v>0.02</v>
      </c>
      <c r="I608" s="62" t="n">
        <v>421.33</v>
      </c>
      <c r="J608" s="58" t="inlineStr">
        <is>
          <t>Online</t>
        </is>
      </c>
      <c r="K608" s="62">
        <f>F608*(G608-H608)</f>
        <v/>
      </c>
      <c r="L608" s="62">
        <f>K608-(F608*I608)</f>
        <v/>
      </c>
      <c r="M608" s="64">
        <f>L608/K608</f>
        <v/>
      </c>
    </row>
    <row r="609">
      <c r="A609" s="58" t="inlineStr">
        <is>
          <t>RT20250115-00608</t>
        </is>
      </c>
      <c r="B609" s="59" t="inlineStr">
        <is>
          <t>2025-01-15</t>
        </is>
      </c>
      <c r="C609" s="60" t="inlineStr">
        <is>
          <t>Nimbus Fitnes Lite-516</t>
        </is>
      </c>
      <c r="D609" s="58" t="inlineStr">
        <is>
          <t>Sports</t>
        </is>
      </c>
      <c r="E609" s="58" t="inlineStr">
        <is>
          <t>South</t>
        </is>
      </c>
      <c r="F609" s="61" t="n">
        <v>1</v>
      </c>
      <c r="G609" s="62" t="n">
        <v>733.84</v>
      </c>
      <c r="H609" s="63" t="n">
        <v>0.058</v>
      </c>
      <c r="I609" s="62" t="n">
        <v>480.07</v>
      </c>
      <c r="J609" s="58" t="inlineStr">
        <is>
          <t>Online</t>
        </is>
      </c>
      <c r="K609" s="62">
        <f>F609*(G609-H609)</f>
        <v/>
      </c>
      <c r="L609" s="62">
        <f>K609-(F609*I609)</f>
        <v/>
      </c>
      <c r="M609" s="64">
        <f>L609/K609</f>
        <v/>
      </c>
    </row>
    <row r="610">
      <c r="A610" s="58" t="inlineStr">
        <is>
          <t>RT20250115-00609</t>
        </is>
      </c>
      <c r="B610" s="59" t="inlineStr">
        <is>
          <t>2025-01-15</t>
        </is>
      </c>
      <c r="C610" s="60" t="inlineStr">
        <is>
          <t>Vertex Accessorie Pro-881</t>
        </is>
      </c>
      <c r="D610" s="58" t="inlineStr">
        <is>
          <t>Apparel</t>
        </is>
      </c>
      <c r="E610" s="58" t="inlineStr">
        <is>
          <t>South</t>
        </is>
      </c>
      <c r="F610" s="61" t="n">
        <v>1</v>
      </c>
      <c r="G610" s="62" t="n">
        <v>108.1</v>
      </c>
      <c r="H610" s="63" t="n">
        <v>0.057</v>
      </c>
      <c r="I610" s="62" t="n">
        <v>61.15</v>
      </c>
      <c r="J610" s="58" t="inlineStr">
        <is>
          <t>Online</t>
        </is>
      </c>
      <c r="K610" s="62">
        <f>F610*(G610-H610)</f>
        <v/>
      </c>
      <c r="L610" s="62">
        <f>K610-(F610*I610)</f>
        <v/>
      </c>
      <c r="M610" s="64">
        <f>L610/K610</f>
        <v/>
      </c>
    </row>
    <row r="611">
      <c r="A611" s="58" t="inlineStr">
        <is>
          <t>RT20250115-00610</t>
        </is>
      </c>
      <c r="B611" s="59" t="inlineStr">
        <is>
          <t>2025-01-15</t>
        </is>
      </c>
      <c r="C611" s="60" t="inlineStr">
        <is>
          <t>Vertex Fitnes Pro-830</t>
        </is>
      </c>
      <c r="D611" s="58" t="inlineStr">
        <is>
          <t>Sports</t>
        </is>
      </c>
      <c r="E611" s="58" t="inlineStr">
        <is>
          <t>South</t>
        </is>
      </c>
      <c r="F611" s="61" t="n">
        <v>2</v>
      </c>
      <c r="G611" s="62" t="n">
        <v>769.67</v>
      </c>
      <c r="H611" s="63" t="n">
        <v>0.038</v>
      </c>
      <c r="I611" s="62" t="n">
        <v>491.68</v>
      </c>
      <c r="J611" s="58" t="inlineStr">
        <is>
          <t>Phone</t>
        </is>
      </c>
      <c r="K611" s="62">
        <f>F611*(G611-H611)</f>
        <v/>
      </c>
      <c r="L611" s="62">
        <f>K611-(F611*I611)</f>
        <v/>
      </c>
      <c r="M611" s="64">
        <f>L611/K611</f>
        <v/>
      </c>
    </row>
    <row r="612">
      <c r="A612" s="58" t="inlineStr">
        <is>
          <t>RT20250115-00611</t>
        </is>
      </c>
      <c r="B612" s="59" t="inlineStr">
        <is>
          <t>2025-01-15</t>
        </is>
      </c>
      <c r="C612" s="60" t="inlineStr">
        <is>
          <t>Falcon Skincare Max-151</t>
        </is>
      </c>
      <c r="D612" s="58" t="inlineStr">
        <is>
          <t>Beauty</t>
        </is>
      </c>
      <c r="E612" s="58" t="inlineStr">
        <is>
          <t>East</t>
        </is>
      </c>
      <c r="F612" s="61" t="n">
        <v>3</v>
      </c>
      <c r="G612" s="62" t="n">
        <v>90.55</v>
      </c>
      <c r="H612" s="63" t="n">
        <v>0.045</v>
      </c>
      <c r="I612" s="62" t="n">
        <v>60.51</v>
      </c>
      <c r="J612" s="58" t="inlineStr">
        <is>
          <t>Store</t>
        </is>
      </c>
      <c r="K612" s="62">
        <f>F612*(G612-H612)</f>
        <v/>
      </c>
      <c r="L612" s="62">
        <f>K612-(F612*I612)</f>
        <v/>
      </c>
      <c r="M612" s="64">
        <f>L612/K612</f>
        <v/>
      </c>
    </row>
    <row r="613">
      <c r="A613" s="58" t="inlineStr">
        <is>
          <t>RT20250115-00612</t>
        </is>
      </c>
      <c r="B613" s="59" t="inlineStr">
        <is>
          <t>2025-01-15</t>
        </is>
      </c>
      <c r="C613" s="60" t="inlineStr">
        <is>
          <t>Orion Kid Max-864</t>
        </is>
      </c>
      <c r="D613" s="58" t="inlineStr">
        <is>
          <t>Apparel</t>
        </is>
      </c>
      <c r="E613" s="58" t="inlineStr">
        <is>
          <t>West</t>
        </is>
      </c>
      <c r="F613" s="61" t="n">
        <v>4</v>
      </c>
      <c r="G613" s="62" t="n">
        <v>84.02</v>
      </c>
      <c r="H613" s="63" t="n">
        <v>0.043</v>
      </c>
      <c r="I613" s="62" t="n">
        <v>44.55</v>
      </c>
      <c r="J613" s="58" t="inlineStr">
        <is>
          <t>Store</t>
        </is>
      </c>
      <c r="K613" s="62">
        <f>F613*(G613-H613)</f>
        <v/>
      </c>
      <c r="L613" s="62">
        <f>K613-(F613*I613)</f>
        <v/>
      </c>
      <c r="M613" s="64">
        <f>L613/K613</f>
        <v/>
      </c>
    </row>
    <row r="614">
      <c r="A614" s="58" t="inlineStr">
        <is>
          <t>RT20250115-00613</t>
        </is>
      </c>
      <c r="B614" s="59" t="inlineStr">
        <is>
          <t>2025-01-15</t>
        </is>
      </c>
      <c r="C614" s="60" t="inlineStr">
        <is>
          <t>Orion Supplie S-612</t>
        </is>
      </c>
      <c r="D614" s="58" t="inlineStr">
        <is>
          <t>Office</t>
        </is>
      </c>
      <c r="E614" s="58" t="inlineStr">
        <is>
          <t>Central</t>
        </is>
      </c>
      <c r="F614" s="61" t="n">
        <v>1</v>
      </c>
      <c r="G614" s="62" t="n">
        <v>490.9</v>
      </c>
      <c r="H614" s="63" t="n">
        <v>0.051</v>
      </c>
      <c r="I614" s="62" t="n">
        <v>341.39</v>
      </c>
      <c r="J614" s="58" t="inlineStr">
        <is>
          <t>Phone</t>
        </is>
      </c>
      <c r="K614" s="62">
        <f>F614*(G614-H614)</f>
        <v/>
      </c>
      <c r="L614" s="62">
        <f>K614-(F614*I614)</f>
        <v/>
      </c>
      <c r="M614" s="64">
        <f>L614/K614</f>
        <v/>
      </c>
    </row>
    <row r="615">
      <c r="A615" s="58" t="inlineStr">
        <is>
          <t>RT20250115-00614</t>
        </is>
      </c>
      <c r="B615" s="59" t="inlineStr">
        <is>
          <t>2025-01-15</t>
        </is>
      </c>
      <c r="C615" s="60" t="inlineStr">
        <is>
          <t>Falcon Beverage Max-702</t>
        </is>
      </c>
      <c r="D615" s="58" t="inlineStr">
        <is>
          <t>Grocery</t>
        </is>
      </c>
      <c r="E615" s="58" t="inlineStr">
        <is>
          <t>East</t>
        </is>
      </c>
      <c r="F615" s="61" t="n">
        <v>1</v>
      </c>
      <c r="G615" s="62" t="n">
        <v>26.67</v>
      </c>
      <c r="H615" s="63" t="n">
        <v>0.02</v>
      </c>
      <c r="I615" s="62" t="n">
        <v>19.57</v>
      </c>
      <c r="J615" s="58" t="inlineStr">
        <is>
          <t>Store</t>
        </is>
      </c>
      <c r="K615" s="62">
        <f>F615*(G615-H615)</f>
        <v/>
      </c>
      <c r="L615" s="62">
        <f>K615-(F615*I615)</f>
        <v/>
      </c>
      <c r="M615" s="64">
        <f>L615/K615</f>
        <v/>
      </c>
    </row>
    <row r="616">
      <c r="A616" s="58" t="inlineStr">
        <is>
          <t>RT20250115-00615</t>
        </is>
      </c>
      <c r="B616" s="59" t="inlineStr">
        <is>
          <t>2025-01-15</t>
        </is>
      </c>
      <c r="C616" s="60" t="inlineStr">
        <is>
          <t>Vertex Fitnes Pro-830</t>
        </is>
      </c>
      <c r="D616" s="58" t="inlineStr">
        <is>
          <t>Sports</t>
        </is>
      </c>
      <c r="E616" s="58" t="inlineStr">
        <is>
          <t>North</t>
        </is>
      </c>
      <c r="F616" s="61" t="n">
        <v>2</v>
      </c>
      <c r="G616" s="62" t="n">
        <v>716.0599999999999</v>
      </c>
      <c r="H616" s="63" t="n">
        <v>0.02</v>
      </c>
      <c r="I616" s="62" t="n">
        <v>477.2</v>
      </c>
      <c r="J616" s="58" t="inlineStr">
        <is>
          <t>Online</t>
        </is>
      </c>
      <c r="K616" s="62">
        <f>F616*(G616-H616)</f>
        <v/>
      </c>
      <c r="L616" s="62">
        <f>K616-(F616*I616)</f>
        <v/>
      </c>
      <c r="M616" s="64">
        <f>L616/K616</f>
        <v/>
      </c>
    </row>
    <row r="617">
      <c r="A617" s="58" t="inlineStr">
        <is>
          <t>RT20250115-00616</t>
        </is>
      </c>
      <c r="B617" s="59" t="inlineStr">
        <is>
          <t>2025-01-15</t>
        </is>
      </c>
      <c r="C617" s="60" t="inlineStr">
        <is>
          <t>Aurora Skincare Max-798</t>
        </is>
      </c>
      <c r="D617" s="58" t="inlineStr">
        <is>
          <t>Beauty</t>
        </is>
      </c>
      <c r="E617" s="58" t="inlineStr">
        <is>
          <t>East</t>
        </is>
      </c>
      <c r="F617" s="61" t="n">
        <v>3</v>
      </c>
      <c r="G617" s="62" t="n">
        <v>116.12</v>
      </c>
      <c r="H617" s="63" t="n">
        <v>0.036</v>
      </c>
      <c r="I617" s="62" t="n">
        <v>67.84999999999999</v>
      </c>
      <c r="J617" s="58" t="inlineStr">
        <is>
          <t>Store</t>
        </is>
      </c>
      <c r="K617" s="62">
        <f>F617*(G617-H617)</f>
        <v/>
      </c>
      <c r="L617" s="62">
        <f>K617-(F617*I617)</f>
        <v/>
      </c>
      <c r="M617" s="64">
        <f>L617/K617</f>
        <v/>
      </c>
    </row>
    <row r="618">
      <c r="A618" s="58" t="inlineStr">
        <is>
          <t>RT20250115-00617</t>
        </is>
      </c>
      <c r="B618" s="59" t="inlineStr">
        <is>
          <t>2025-01-15</t>
        </is>
      </c>
      <c r="C618" s="60" t="inlineStr">
        <is>
          <t>Polar Outdoor Lite-318</t>
        </is>
      </c>
      <c r="D618" s="58" t="inlineStr">
        <is>
          <t>Sports</t>
        </is>
      </c>
      <c r="E618" s="58" t="inlineStr">
        <is>
          <t>West</t>
        </is>
      </c>
      <c r="F618" s="61" t="n">
        <v>1</v>
      </c>
      <c r="G618" s="62" t="n">
        <v>694.96</v>
      </c>
      <c r="H618" s="63" t="n">
        <v>0.082</v>
      </c>
      <c r="I618" s="62" t="n">
        <v>465.4</v>
      </c>
      <c r="J618" s="58" t="inlineStr">
        <is>
          <t>Online</t>
        </is>
      </c>
      <c r="K618" s="62">
        <f>F618*(G618-H618)</f>
        <v/>
      </c>
      <c r="L618" s="62">
        <f>K618-(F618*I618)</f>
        <v/>
      </c>
      <c r="M618" s="64">
        <f>L618/K618</f>
        <v/>
      </c>
    </row>
    <row r="619">
      <c r="A619" s="58" t="inlineStr">
        <is>
          <t>RT20250115-00618</t>
        </is>
      </c>
      <c r="B619" s="59" t="inlineStr">
        <is>
          <t>2025-01-15</t>
        </is>
      </c>
      <c r="C619" s="60" t="inlineStr">
        <is>
          <t>Nimbus Women Plus-352</t>
        </is>
      </c>
      <c r="D619" s="58" t="inlineStr">
        <is>
          <t>Apparel</t>
        </is>
      </c>
      <c r="E619" s="58" t="inlineStr">
        <is>
          <t>Central</t>
        </is>
      </c>
      <c r="F619" s="61" t="n">
        <v>2</v>
      </c>
      <c r="G619" s="62" t="n">
        <v>65.2</v>
      </c>
      <c r="H619" s="63" t="n">
        <v>0.06900000000000001</v>
      </c>
      <c r="I619" s="62" t="n">
        <v>33.5</v>
      </c>
      <c r="J619" s="58" t="inlineStr">
        <is>
          <t>Store</t>
        </is>
      </c>
      <c r="K619" s="62">
        <f>F619*(G619-H619)</f>
        <v/>
      </c>
      <c r="L619" s="62">
        <f>K619-(F619*I619)</f>
        <v/>
      </c>
      <c r="M619" s="64">
        <f>L619/K619</f>
        <v/>
      </c>
    </row>
    <row r="620">
      <c r="A620" s="58" t="inlineStr">
        <is>
          <t>RT20250115-00619</t>
        </is>
      </c>
      <c r="B620" s="59" t="inlineStr">
        <is>
          <t>2025-01-15</t>
        </is>
      </c>
      <c r="C620" s="60" t="inlineStr">
        <is>
          <t>Vertex Printer Max-692</t>
        </is>
      </c>
      <c r="D620" s="58" t="inlineStr">
        <is>
          <t>Office</t>
        </is>
      </c>
      <c r="E620" s="58" t="inlineStr">
        <is>
          <t>Central</t>
        </is>
      </c>
      <c r="F620" s="61" t="n">
        <v>2</v>
      </c>
      <c r="G620" s="62" t="n">
        <v>162.25</v>
      </c>
      <c r="H620" s="63" t="n">
        <v>0.057</v>
      </c>
      <c r="I620" s="62" t="n">
        <v>121.81</v>
      </c>
      <c r="J620" s="58" t="inlineStr">
        <is>
          <t>Phone</t>
        </is>
      </c>
      <c r="K620" s="62">
        <f>F620*(G620-H620)</f>
        <v/>
      </c>
      <c r="L620" s="62">
        <f>K620-(F620*I620)</f>
        <v/>
      </c>
      <c r="M620" s="64">
        <f>L620/K620</f>
        <v/>
      </c>
    </row>
    <row r="621">
      <c r="A621" s="58" t="inlineStr">
        <is>
          <t>RT20250115-00620</t>
        </is>
      </c>
      <c r="B621" s="59" t="inlineStr">
        <is>
          <t>2025-01-15</t>
        </is>
      </c>
      <c r="C621" s="60" t="inlineStr">
        <is>
          <t>Solace Snack S-691</t>
        </is>
      </c>
      <c r="D621" s="58" t="inlineStr">
        <is>
          <t>Grocery</t>
        </is>
      </c>
      <c r="E621" s="58" t="inlineStr">
        <is>
          <t>West</t>
        </is>
      </c>
      <c r="F621" s="61" t="n">
        <v>4</v>
      </c>
      <c r="G621" s="62" t="n">
        <v>9.4</v>
      </c>
      <c r="H621" s="63" t="n">
        <v>0.063</v>
      </c>
      <c r="I621" s="62" t="n">
        <v>7.12</v>
      </c>
      <c r="J621" s="58" t="inlineStr">
        <is>
          <t>Store</t>
        </is>
      </c>
      <c r="K621" s="62">
        <f>F621*(G621-H621)</f>
        <v/>
      </c>
      <c r="L621" s="62">
        <f>K621-(F621*I621)</f>
        <v/>
      </c>
      <c r="M621" s="64">
        <f>L621/K621</f>
        <v/>
      </c>
    </row>
    <row r="622">
      <c r="A622" s="58" t="inlineStr">
        <is>
          <t>RT20250115-00621</t>
        </is>
      </c>
      <c r="B622" s="59" t="inlineStr">
        <is>
          <t>2025-01-15</t>
        </is>
      </c>
      <c r="C622" s="60" t="inlineStr">
        <is>
          <t>Aurora Haircare S-975</t>
        </is>
      </c>
      <c r="D622" s="58" t="inlineStr">
        <is>
          <t>Beauty</t>
        </is>
      </c>
      <c r="E622" s="58" t="inlineStr">
        <is>
          <t>Central</t>
        </is>
      </c>
      <c r="F622" s="61" t="n">
        <v>3</v>
      </c>
      <c r="G622" s="62" t="n">
        <v>87.67</v>
      </c>
      <c r="H622" s="63" t="n">
        <v>0.09</v>
      </c>
      <c r="I622" s="62" t="n">
        <v>58.4</v>
      </c>
      <c r="J622" s="58" t="inlineStr">
        <is>
          <t>Online</t>
        </is>
      </c>
      <c r="K622" s="62">
        <f>F622*(G622-H622)</f>
        <v/>
      </c>
      <c r="L622" s="62">
        <f>K622-(F622*I622)</f>
        <v/>
      </c>
      <c r="M622" s="64">
        <f>L622/K622</f>
        <v/>
      </c>
    </row>
    <row r="623">
      <c r="A623" s="58" t="inlineStr">
        <is>
          <t>RT20250115-00622</t>
        </is>
      </c>
      <c r="B623" s="59" t="inlineStr">
        <is>
          <t>2025-01-15</t>
        </is>
      </c>
      <c r="C623" s="60" t="inlineStr">
        <is>
          <t>Falcon Accessorie S-195</t>
        </is>
      </c>
      <c r="D623" s="58" t="inlineStr">
        <is>
          <t>Apparel</t>
        </is>
      </c>
      <c r="E623" s="58" t="inlineStr">
        <is>
          <t>West</t>
        </is>
      </c>
      <c r="F623" s="61" t="n">
        <v>4</v>
      </c>
      <c r="G623" s="62" t="n">
        <v>67.12</v>
      </c>
      <c r="H623" s="63" t="n">
        <v>0.083</v>
      </c>
      <c r="I623" s="62" t="n">
        <v>43.5</v>
      </c>
      <c r="J623" s="58" t="inlineStr">
        <is>
          <t>Store</t>
        </is>
      </c>
      <c r="K623" s="62">
        <f>F623*(G623-H623)</f>
        <v/>
      </c>
      <c r="L623" s="62">
        <f>K623-(F623*I623)</f>
        <v/>
      </c>
      <c r="M623" s="64">
        <f>L623/K623</f>
        <v/>
      </c>
    </row>
    <row r="624">
      <c r="A624" s="58" t="inlineStr">
        <is>
          <t>RT20250115-00623</t>
        </is>
      </c>
      <c r="B624" s="59" t="inlineStr">
        <is>
          <t>2025-01-15</t>
        </is>
      </c>
      <c r="C624" s="60" t="inlineStr">
        <is>
          <t>Orion Laptop S-350</t>
        </is>
      </c>
      <c r="D624" s="58" t="inlineStr">
        <is>
          <t>Electronics</t>
        </is>
      </c>
      <c r="E624" s="58" t="inlineStr">
        <is>
          <t>East</t>
        </is>
      </c>
      <c r="F624" s="61" t="n">
        <v>1</v>
      </c>
      <c r="G624" s="62" t="n">
        <v>1599.88</v>
      </c>
      <c r="H624" s="63" t="n">
        <v>0.125</v>
      </c>
      <c r="I624" s="62" t="n">
        <v>1094.75</v>
      </c>
      <c r="J624" s="58" t="inlineStr">
        <is>
          <t>Online</t>
        </is>
      </c>
      <c r="K624" s="62">
        <f>F624*(G624-H624)</f>
        <v/>
      </c>
      <c r="L624" s="62">
        <f>K624-(F624*I624)</f>
        <v/>
      </c>
      <c r="M624" s="64">
        <f>L624/K624</f>
        <v/>
      </c>
    </row>
    <row r="625">
      <c r="A625" s="58" t="inlineStr">
        <is>
          <t>RT20250115-00624</t>
        </is>
      </c>
      <c r="B625" s="59" t="inlineStr">
        <is>
          <t>2025-01-15</t>
        </is>
      </c>
      <c r="C625" s="60" t="inlineStr">
        <is>
          <t>Solace Makeup Pro-214</t>
        </is>
      </c>
      <c r="D625" s="58" t="inlineStr">
        <is>
          <t>Beauty</t>
        </is>
      </c>
      <c r="E625" s="58" t="inlineStr">
        <is>
          <t>North</t>
        </is>
      </c>
      <c r="F625" s="61" t="n">
        <v>5</v>
      </c>
      <c r="G625" s="62" t="n">
        <v>101.58</v>
      </c>
      <c r="H625" s="63" t="n">
        <v>0.07199999999999999</v>
      </c>
      <c r="I625" s="62" t="n">
        <v>67.08</v>
      </c>
      <c r="J625" s="58" t="inlineStr">
        <is>
          <t>Online</t>
        </is>
      </c>
      <c r="K625" s="62">
        <f>F625*(G625-H625)</f>
        <v/>
      </c>
      <c r="L625" s="62">
        <f>K625-(F625*I625)</f>
        <v/>
      </c>
      <c r="M625" s="64">
        <f>L625/K625</f>
        <v/>
      </c>
    </row>
    <row r="626">
      <c r="A626" s="58" t="inlineStr">
        <is>
          <t>RT20250115-00625</t>
        </is>
      </c>
      <c r="B626" s="59" t="inlineStr">
        <is>
          <t>2025-01-15</t>
        </is>
      </c>
      <c r="C626" s="60" t="inlineStr">
        <is>
          <t>Nimbus Furniture Pro-479</t>
        </is>
      </c>
      <c r="D626" s="58" t="inlineStr">
        <is>
          <t>Office</t>
        </is>
      </c>
      <c r="E626" s="58" t="inlineStr">
        <is>
          <t>West</t>
        </is>
      </c>
      <c r="F626" s="61" t="n">
        <v>1</v>
      </c>
      <c r="G626" s="62" t="n">
        <v>312.6</v>
      </c>
      <c r="H626" s="63" t="n">
        <v>0.053</v>
      </c>
      <c r="I626" s="62" t="n">
        <v>238.27</v>
      </c>
      <c r="J626" s="58" t="inlineStr">
        <is>
          <t>Store</t>
        </is>
      </c>
      <c r="K626" s="62">
        <f>F626*(G626-H626)</f>
        <v/>
      </c>
      <c r="L626" s="62">
        <f>K626-(F626*I626)</f>
        <v/>
      </c>
      <c r="M626" s="64">
        <f>L626/K626</f>
        <v/>
      </c>
    </row>
    <row r="627">
      <c r="A627" s="58" t="inlineStr">
        <is>
          <t>RT20250115-00626</t>
        </is>
      </c>
      <c r="B627" s="59" t="inlineStr">
        <is>
          <t>2025-01-15</t>
        </is>
      </c>
      <c r="C627" s="60" t="inlineStr">
        <is>
          <t>Aurora Skincare Max-798</t>
        </is>
      </c>
      <c r="D627" s="58" t="inlineStr">
        <is>
          <t>Beauty</t>
        </is>
      </c>
      <c r="E627" s="58" t="inlineStr">
        <is>
          <t>East</t>
        </is>
      </c>
      <c r="F627" s="61" t="n">
        <v>1</v>
      </c>
      <c r="G627" s="62" t="n">
        <v>109.42</v>
      </c>
      <c r="H627" s="63" t="n">
        <v>0.077</v>
      </c>
      <c r="I627" s="62" t="n">
        <v>68.77</v>
      </c>
      <c r="J627" s="58" t="inlineStr">
        <is>
          <t>Online</t>
        </is>
      </c>
      <c r="K627" s="62">
        <f>F627*(G627-H627)</f>
        <v/>
      </c>
      <c r="L627" s="62">
        <f>K627-(F627*I627)</f>
        <v/>
      </c>
      <c r="M627" s="64">
        <f>L627/K627</f>
        <v/>
      </c>
    </row>
    <row r="628">
      <c r="A628" s="58" t="inlineStr">
        <is>
          <t>RT20250115-00627</t>
        </is>
      </c>
      <c r="B628" s="59" t="inlineStr">
        <is>
          <t>2025-01-15</t>
        </is>
      </c>
      <c r="C628" s="60" t="inlineStr">
        <is>
          <t>Aurora Furniture X-709</t>
        </is>
      </c>
      <c r="D628" s="58" t="inlineStr">
        <is>
          <t>Office</t>
        </is>
      </c>
      <c r="E628" s="58" t="inlineStr">
        <is>
          <t>West</t>
        </is>
      </c>
      <c r="F628" s="61" t="n">
        <v>2</v>
      </c>
      <c r="G628" s="62" t="n">
        <v>435.11</v>
      </c>
      <c r="H628" s="63" t="n">
        <v>0.077</v>
      </c>
      <c r="I628" s="62" t="n">
        <v>298.94</v>
      </c>
      <c r="J628" s="58" t="inlineStr">
        <is>
          <t>Phone</t>
        </is>
      </c>
      <c r="K628" s="62">
        <f>F628*(G628-H628)</f>
        <v/>
      </c>
      <c r="L628" s="62">
        <f>K628-(F628*I628)</f>
        <v/>
      </c>
      <c r="M628" s="64">
        <f>L628/K628</f>
        <v/>
      </c>
    </row>
    <row r="629">
      <c r="A629" s="58" t="inlineStr">
        <is>
          <t>RT20250115-00628</t>
        </is>
      </c>
      <c r="B629" s="59" t="inlineStr">
        <is>
          <t>2025-01-15</t>
        </is>
      </c>
      <c r="C629" s="60" t="inlineStr">
        <is>
          <t>Metro Pantry Max-180</t>
        </is>
      </c>
      <c r="D629" s="58" t="inlineStr">
        <is>
          <t>Grocery</t>
        </is>
      </c>
      <c r="E629" s="58" t="inlineStr">
        <is>
          <t>West</t>
        </is>
      </c>
      <c r="F629" s="61" t="n">
        <v>2</v>
      </c>
      <c r="G629" s="62" t="n">
        <v>8.5</v>
      </c>
      <c r="H629" s="63" t="n">
        <v>0.059</v>
      </c>
      <c r="I629" s="62" t="n">
        <v>6.78</v>
      </c>
      <c r="J629" s="58" t="inlineStr">
        <is>
          <t>Store</t>
        </is>
      </c>
      <c r="K629" s="62">
        <f>F629*(G629-H629)</f>
        <v/>
      </c>
      <c r="L629" s="62">
        <f>K629-(F629*I629)</f>
        <v/>
      </c>
      <c r="M629" s="64">
        <f>L629/K629</f>
        <v/>
      </c>
    </row>
    <row r="630">
      <c r="A630" s="58" t="inlineStr">
        <is>
          <t>RT20250115-00629</t>
        </is>
      </c>
      <c r="B630" s="59" t="inlineStr">
        <is>
          <t>2025-01-15</t>
        </is>
      </c>
      <c r="C630" s="60" t="inlineStr">
        <is>
          <t>Solace Smartphone Lite-533</t>
        </is>
      </c>
      <c r="D630" s="58" t="inlineStr">
        <is>
          <t>Electronics</t>
        </is>
      </c>
      <c r="E630" s="58" t="inlineStr">
        <is>
          <t>West</t>
        </is>
      </c>
      <c r="F630" s="61" t="n">
        <v>1</v>
      </c>
      <c r="G630" s="62" t="n">
        <v>1151.82</v>
      </c>
      <c r="H630" s="63" t="n">
        <v>0.07099999999999999</v>
      </c>
      <c r="I630" s="62" t="n">
        <v>913.21</v>
      </c>
      <c r="J630" s="58" t="inlineStr">
        <is>
          <t>Online</t>
        </is>
      </c>
      <c r="K630" s="62">
        <f>F630*(G630-H630)</f>
        <v/>
      </c>
      <c r="L630" s="62">
        <f>K630-(F630*I630)</f>
        <v/>
      </c>
      <c r="M630" s="64">
        <f>L630/K630</f>
        <v/>
      </c>
    </row>
    <row r="631">
      <c r="A631" s="58" t="inlineStr">
        <is>
          <t>RT20250115-00630</t>
        </is>
      </c>
      <c r="B631" s="59" t="inlineStr">
        <is>
          <t>2025-01-15</t>
        </is>
      </c>
      <c r="C631" s="60" t="inlineStr">
        <is>
          <t>Vertex Pantry Pro-165</t>
        </is>
      </c>
      <c r="D631" s="58" t="inlineStr">
        <is>
          <t>Grocery</t>
        </is>
      </c>
      <c r="E631" s="58" t="inlineStr">
        <is>
          <t>South</t>
        </is>
      </c>
      <c r="F631" s="61" t="n">
        <v>3</v>
      </c>
      <c r="G631" s="62" t="n">
        <v>15.86</v>
      </c>
      <c r="H631" s="63" t="n">
        <v>0.06</v>
      </c>
      <c r="I631" s="62" t="n">
        <v>11.66</v>
      </c>
      <c r="J631" s="58" t="inlineStr">
        <is>
          <t>Online</t>
        </is>
      </c>
      <c r="K631" s="62">
        <f>F631*(G631-H631)</f>
        <v/>
      </c>
      <c r="L631" s="62">
        <f>K631-(F631*I631)</f>
        <v/>
      </c>
      <c r="M631" s="64">
        <f>L631/K631</f>
        <v/>
      </c>
    </row>
    <row r="632">
      <c r="A632" s="58" t="inlineStr">
        <is>
          <t>RT20250115-00631</t>
        </is>
      </c>
      <c r="B632" s="59" t="inlineStr">
        <is>
          <t>2025-01-15</t>
        </is>
      </c>
      <c r="C632" s="60" t="inlineStr">
        <is>
          <t>Solace Fitnes S-324</t>
        </is>
      </c>
      <c r="D632" s="58" t="inlineStr">
        <is>
          <t>Sports</t>
        </is>
      </c>
      <c r="E632" s="58" t="inlineStr">
        <is>
          <t>South</t>
        </is>
      </c>
      <c r="F632" s="61" t="n">
        <v>2</v>
      </c>
      <c r="G632" s="62" t="n">
        <v>778.39</v>
      </c>
      <c r="H632" s="63" t="n">
        <v>0.031</v>
      </c>
      <c r="I632" s="62" t="n">
        <v>522.5700000000001</v>
      </c>
      <c r="J632" s="58" t="inlineStr">
        <is>
          <t>Online</t>
        </is>
      </c>
      <c r="K632" s="62">
        <f>F632*(G632-H632)</f>
        <v/>
      </c>
      <c r="L632" s="62">
        <f>K632-(F632*I632)</f>
        <v/>
      </c>
      <c r="M632" s="64">
        <f>L632/K632</f>
        <v/>
      </c>
    </row>
    <row r="633">
      <c r="A633" s="58" t="inlineStr">
        <is>
          <t>RT20250115-00632</t>
        </is>
      </c>
      <c r="B633" s="59" t="inlineStr">
        <is>
          <t>2025-01-15</t>
        </is>
      </c>
      <c r="C633" s="60" t="inlineStr">
        <is>
          <t>Orion Kitchen Pro-568</t>
        </is>
      </c>
      <c r="D633" s="58" t="inlineStr">
        <is>
          <t>Home</t>
        </is>
      </c>
      <c r="E633" s="58" t="inlineStr">
        <is>
          <t>East</t>
        </is>
      </c>
      <c r="F633" s="61" t="n">
        <v>3</v>
      </c>
      <c r="G633" s="62" t="n">
        <v>480.41</v>
      </c>
      <c r="H633" s="63" t="n">
        <v>0.058</v>
      </c>
      <c r="I633" s="62" t="n">
        <v>315.33</v>
      </c>
      <c r="J633" s="58" t="inlineStr">
        <is>
          <t>Store</t>
        </is>
      </c>
      <c r="K633" s="62">
        <f>F633*(G633-H633)</f>
        <v/>
      </c>
      <c r="L633" s="62">
        <f>K633-(F633*I633)</f>
        <v/>
      </c>
      <c r="M633" s="64">
        <f>L633/K633</f>
        <v/>
      </c>
    </row>
    <row r="634">
      <c r="A634" s="58" t="inlineStr">
        <is>
          <t>RT20250115-00633</t>
        </is>
      </c>
      <c r="B634" s="59" t="inlineStr">
        <is>
          <t>2025-01-15</t>
        </is>
      </c>
      <c r="C634" s="60" t="inlineStr">
        <is>
          <t>Aurora Team Sport Plus-256</t>
        </is>
      </c>
      <c r="D634" s="58" t="inlineStr">
        <is>
          <t>Sports</t>
        </is>
      </c>
      <c r="E634" s="58" t="inlineStr">
        <is>
          <t>South</t>
        </is>
      </c>
      <c r="F634" s="61" t="n">
        <v>2</v>
      </c>
      <c r="G634" s="62" t="n">
        <v>611.28</v>
      </c>
      <c r="H634" s="63" t="n">
        <v>0.058</v>
      </c>
      <c r="I634" s="62" t="n">
        <v>413.01</v>
      </c>
      <c r="J634" s="58" t="inlineStr">
        <is>
          <t>Online</t>
        </is>
      </c>
      <c r="K634" s="62">
        <f>F634*(G634-H634)</f>
        <v/>
      </c>
      <c r="L634" s="62">
        <f>K634-(F634*I634)</f>
        <v/>
      </c>
      <c r="M634" s="64">
        <f>L634/K634</f>
        <v/>
      </c>
    </row>
    <row r="635">
      <c r="A635" s="58" t="inlineStr">
        <is>
          <t>RT20250115-00634</t>
        </is>
      </c>
      <c r="B635" s="59" t="inlineStr">
        <is>
          <t>2025-01-15</t>
        </is>
      </c>
      <c r="C635" s="60" t="inlineStr">
        <is>
          <t>Nimbus Laptop Max-652</t>
        </is>
      </c>
      <c r="D635" s="58" t="inlineStr">
        <is>
          <t>Electronics</t>
        </is>
      </c>
      <c r="E635" s="58" t="inlineStr">
        <is>
          <t>West</t>
        </is>
      </c>
      <c r="F635" s="61" t="n">
        <v>1</v>
      </c>
      <c r="G635" s="62" t="n">
        <v>1240.44</v>
      </c>
      <c r="H635" s="63" t="n">
        <v>0.043</v>
      </c>
      <c r="I635" s="62" t="n">
        <v>1016.39</v>
      </c>
      <c r="J635" s="58" t="inlineStr">
        <is>
          <t>Online</t>
        </is>
      </c>
      <c r="K635" s="62">
        <f>F635*(G635-H635)</f>
        <v/>
      </c>
      <c r="L635" s="62">
        <f>K635-(F635*I635)</f>
        <v/>
      </c>
      <c r="M635" s="64">
        <f>L635/K635</f>
        <v/>
      </c>
    </row>
    <row r="636">
      <c r="A636" s="58" t="inlineStr">
        <is>
          <t>RT20250115-00635</t>
        </is>
      </c>
      <c r="B636" s="59" t="inlineStr">
        <is>
          <t>2025-01-15</t>
        </is>
      </c>
      <c r="C636" s="60" t="inlineStr">
        <is>
          <t>Nimbus Women Lite-814</t>
        </is>
      </c>
      <c r="D636" s="58" t="inlineStr">
        <is>
          <t>Apparel</t>
        </is>
      </c>
      <c r="E636" s="58" t="inlineStr">
        <is>
          <t>Central</t>
        </is>
      </c>
      <c r="F636" s="61" t="n">
        <v>2</v>
      </c>
      <c r="G636" s="62" t="n">
        <v>153.99</v>
      </c>
      <c r="H636" s="63" t="n">
        <v>0.075</v>
      </c>
      <c r="I636" s="62" t="n">
        <v>80.61</v>
      </c>
      <c r="J636" s="58" t="inlineStr">
        <is>
          <t>Store</t>
        </is>
      </c>
      <c r="K636" s="62">
        <f>F636*(G636-H636)</f>
        <v/>
      </c>
      <c r="L636" s="62">
        <f>K636-(F636*I636)</f>
        <v/>
      </c>
      <c r="M636" s="64">
        <f>L636/K636</f>
        <v/>
      </c>
    </row>
    <row r="637">
      <c r="A637" s="58" t="inlineStr">
        <is>
          <t>RT20250115-00636</t>
        </is>
      </c>
      <c r="B637" s="59" t="inlineStr">
        <is>
          <t>2025-01-15</t>
        </is>
      </c>
      <c r="C637" s="60" t="inlineStr">
        <is>
          <t>Falcon Skincare X-334</t>
        </is>
      </c>
      <c r="D637" s="58" t="inlineStr">
        <is>
          <t>Beauty</t>
        </is>
      </c>
      <c r="E637" s="58" t="inlineStr">
        <is>
          <t>South</t>
        </is>
      </c>
      <c r="F637" s="61" t="n">
        <v>3</v>
      </c>
      <c r="G637" s="62" t="n">
        <v>110.07</v>
      </c>
      <c r="H637" s="63" t="n">
        <v>0.103</v>
      </c>
      <c r="I637" s="62" t="n">
        <v>62.77</v>
      </c>
      <c r="J637" s="58" t="inlineStr">
        <is>
          <t>Store</t>
        </is>
      </c>
      <c r="K637" s="62">
        <f>F637*(G637-H637)</f>
        <v/>
      </c>
      <c r="L637" s="62">
        <f>K637-(F637*I637)</f>
        <v/>
      </c>
      <c r="M637" s="64">
        <f>L637/K637</f>
        <v/>
      </c>
    </row>
    <row r="638">
      <c r="A638" s="58" t="inlineStr">
        <is>
          <t>RT20250115-00637</t>
        </is>
      </c>
      <c r="B638" s="59" t="inlineStr">
        <is>
          <t>2025-01-15</t>
        </is>
      </c>
      <c r="C638" s="60" t="inlineStr">
        <is>
          <t>Vertex Supplie X-513</t>
        </is>
      </c>
      <c r="D638" s="58" t="inlineStr">
        <is>
          <t>Office</t>
        </is>
      </c>
      <c r="E638" s="58" t="inlineStr">
        <is>
          <t>South</t>
        </is>
      </c>
      <c r="F638" s="61" t="n">
        <v>3</v>
      </c>
      <c r="G638" s="62" t="n">
        <v>419.74</v>
      </c>
      <c r="H638" s="63" t="n">
        <v>0.048</v>
      </c>
      <c r="I638" s="62" t="n">
        <v>283.74</v>
      </c>
      <c r="J638" s="58" t="inlineStr">
        <is>
          <t>Store</t>
        </is>
      </c>
      <c r="K638" s="62">
        <f>F638*(G638-H638)</f>
        <v/>
      </c>
      <c r="L638" s="62">
        <f>K638-(F638*I638)</f>
        <v/>
      </c>
      <c r="M638" s="64">
        <f>L638/K638</f>
        <v/>
      </c>
    </row>
    <row r="639">
      <c r="A639" s="58" t="inlineStr">
        <is>
          <t>RT20250115-00638</t>
        </is>
      </c>
      <c r="B639" s="59" t="inlineStr">
        <is>
          <t>2025-01-15</t>
        </is>
      </c>
      <c r="C639" s="60" t="inlineStr">
        <is>
          <t>Nimbus Makeup Max-158</t>
        </is>
      </c>
      <c r="D639" s="58" t="inlineStr">
        <is>
          <t>Beauty</t>
        </is>
      </c>
      <c r="E639" s="58" t="inlineStr">
        <is>
          <t>North</t>
        </is>
      </c>
      <c r="F639" s="61" t="n">
        <v>1</v>
      </c>
      <c r="G639" s="62" t="n">
        <v>169.89</v>
      </c>
      <c r="H639" s="63" t="n">
        <v>0.08599999999999999</v>
      </c>
      <c r="I639" s="62" t="n">
        <v>93.09999999999999</v>
      </c>
      <c r="J639" s="58" t="inlineStr">
        <is>
          <t>Online</t>
        </is>
      </c>
      <c r="K639" s="62">
        <f>F639*(G639-H639)</f>
        <v/>
      </c>
      <c r="L639" s="62">
        <f>K639-(F639*I639)</f>
        <v/>
      </c>
      <c r="M639" s="64">
        <f>L639/K639</f>
        <v/>
      </c>
    </row>
    <row r="640">
      <c r="A640" s="58" t="inlineStr">
        <is>
          <t>RT20250115-00639</t>
        </is>
      </c>
      <c r="B640" s="59" t="inlineStr">
        <is>
          <t>2025-01-15</t>
        </is>
      </c>
      <c r="C640" s="60" t="inlineStr">
        <is>
          <t>Polar Men Pro-246</t>
        </is>
      </c>
      <c r="D640" s="58" t="inlineStr">
        <is>
          <t>Apparel</t>
        </is>
      </c>
      <c r="E640" s="58" t="inlineStr">
        <is>
          <t>East</t>
        </is>
      </c>
      <c r="F640" s="61" t="n">
        <v>1</v>
      </c>
      <c r="G640" s="62" t="n">
        <v>130.07</v>
      </c>
      <c r="H640" s="63" t="n">
        <v>0.09</v>
      </c>
      <c r="I640" s="62" t="n">
        <v>75.7</v>
      </c>
      <c r="J640" s="58" t="inlineStr">
        <is>
          <t>Online</t>
        </is>
      </c>
      <c r="K640" s="62">
        <f>F640*(G640-H640)</f>
        <v/>
      </c>
      <c r="L640" s="62">
        <f>K640-(F640*I640)</f>
        <v/>
      </c>
      <c r="M640" s="64">
        <f>L640/K640</f>
        <v/>
      </c>
    </row>
    <row r="641">
      <c r="A641" s="58" t="inlineStr">
        <is>
          <t>RT20250115-00640</t>
        </is>
      </c>
      <c r="B641" s="59" t="inlineStr">
        <is>
          <t>2025-01-15</t>
        </is>
      </c>
      <c r="C641" s="60" t="inlineStr">
        <is>
          <t>Polar Beverage S-258</t>
        </is>
      </c>
      <c r="D641" s="58" t="inlineStr">
        <is>
          <t>Grocery</t>
        </is>
      </c>
      <c r="E641" s="58" t="inlineStr">
        <is>
          <t>East</t>
        </is>
      </c>
      <c r="F641" s="61" t="n">
        <v>2</v>
      </c>
      <c r="G641" s="62" t="n">
        <v>13.17</v>
      </c>
      <c r="H641" s="63" t="n">
        <v>0.158</v>
      </c>
      <c r="I641" s="62" t="n">
        <v>9.9</v>
      </c>
      <c r="J641" s="58" t="inlineStr">
        <is>
          <t>Store</t>
        </is>
      </c>
      <c r="K641" s="62">
        <f>F641*(G641-H641)</f>
        <v/>
      </c>
      <c r="L641" s="62">
        <f>K641-(F641*I641)</f>
        <v/>
      </c>
      <c r="M641" s="64">
        <f>L641/K641</f>
        <v/>
      </c>
    </row>
    <row r="642">
      <c r="A642" s="58" t="inlineStr">
        <is>
          <t>RT20250116-00641</t>
        </is>
      </c>
      <c r="B642" s="59" t="inlineStr">
        <is>
          <t>2025-01-16</t>
        </is>
      </c>
      <c r="C642" s="60" t="inlineStr">
        <is>
          <t>Aurora Makeup S-626</t>
        </is>
      </c>
      <c r="D642" s="58" t="inlineStr">
        <is>
          <t>Beauty</t>
        </is>
      </c>
      <c r="E642" s="58" t="inlineStr">
        <is>
          <t>Central</t>
        </is>
      </c>
      <c r="F642" s="61" t="n">
        <v>4</v>
      </c>
      <c r="G642" s="62" t="n">
        <v>102.6</v>
      </c>
      <c r="H642" s="63" t="n">
        <v>0</v>
      </c>
      <c r="I642" s="62" t="n">
        <v>62.66</v>
      </c>
      <c r="J642" s="58" t="inlineStr">
        <is>
          <t>Online</t>
        </is>
      </c>
      <c r="K642" s="62">
        <f>F642*(G642-H642)</f>
        <v/>
      </c>
      <c r="L642" s="62">
        <f>K642-(F642*I642)</f>
        <v/>
      </c>
      <c r="M642" s="64">
        <f>L642/K642</f>
        <v/>
      </c>
    </row>
    <row r="643">
      <c r="A643" s="58" t="inlineStr">
        <is>
          <t>RT20250116-00642</t>
        </is>
      </c>
      <c r="B643" s="59" t="inlineStr">
        <is>
          <t>2025-01-16</t>
        </is>
      </c>
      <c r="C643" s="60" t="inlineStr">
        <is>
          <t>Nimbus Laptop Max-652</t>
        </is>
      </c>
      <c r="D643" s="58" t="inlineStr">
        <is>
          <t>Electronics</t>
        </is>
      </c>
      <c r="E643" s="58" t="inlineStr">
        <is>
          <t>South</t>
        </is>
      </c>
      <c r="F643" s="61" t="n">
        <v>1</v>
      </c>
      <c r="G643" s="62" t="n">
        <v>1344.31</v>
      </c>
      <c r="H643" s="63" t="n">
        <v>0.021</v>
      </c>
      <c r="I643" s="62" t="n">
        <v>1045.41</v>
      </c>
      <c r="J643" s="58" t="inlineStr">
        <is>
          <t>Online</t>
        </is>
      </c>
      <c r="K643" s="62">
        <f>F643*(G643-H643)</f>
        <v/>
      </c>
      <c r="L643" s="62">
        <f>K643-(F643*I643)</f>
        <v/>
      </c>
      <c r="M643" s="64">
        <f>L643/K643</f>
        <v/>
      </c>
    </row>
    <row r="644">
      <c r="A644" s="58" t="inlineStr">
        <is>
          <t>RT20250116-00643</t>
        </is>
      </c>
      <c r="B644" s="59" t="inlineStr">
        <is>
          <t>2025-01-16</t>
        </is>
      </c>
      <c r="C644" s="60" t="inlineStr">
        <is>
          <t>Nimbus Makeup Max-158</t>
        </is>
      </c>
      <c r="D644" s="58" t="inlineStr">
        <is>
          <t>Beauty</t>
        </is>
      </c>
      <c r="E644" s="58" t="inlineStr">
        <is>
          <t>South</t>
        </is>
      </c>
      <c r="F644" s="61" t="n">
        <v>4</v>
      </c>
      <c r="G644" s="62" t="n">
        <v>146.27</v>
      </c>
      <c r="H644" s="63" t="n">
        <v>0.033</v>
      </c>
      <c r="I644" s="62" t="n">
        <v>94.37</v>
      </c>
      <c r="J644" s="58" t="inlineStr">
        <is>
          <t>Online</t>
        </is>
      </c>
      <c r="K644" s="62">
        <f>F644*(G644-H644)</f>
        <v/>
      </c>
      <c r="L644" s="62">
        <f>K644-(F644*I644)</f>
        <v/>
      </c>
      <c r="M644" s="64">
        <f>L644/K644</f>
        <v/>
      </c>
    </row>
    <row r="645">
      <c r="A645" s="58" t="inlineStr">
        <is>
          <t>RT20250116-00644</t>
        </is>
      </c>
      <c r="B645" s="59" t="inlineStr">
        <is>
          <t>2025-01-16</t>
        </is>
      </c>
      <c r="C645" s="60" t="inlineStr">
        <is>
          <t>Nimbus Women Plus-352</t>
        </is>
      </c>
      <c r="D645" s="58" t="inlineStr">
        <is>
          <t>Apparel</t>
        </is>
      </c>
      <c r="E645" s="58" t="inlineStr">
        <is>
          <t>West</t>
        </is>
      </c>
      <c r="F645" s="61" t="n">
        <v>2</v>
      </c>
      <c r="G645" s="62" t="n">
        <v>62.64</v>
      </c>
      <c r="H645" s="63" t="n">
        <v>0.055</v>
      </c>
      <c r="I645" s="62" t="n">
        <v>33.64</v>
      </c>
      <c r="J645" s="58" t="inlineStr">
        <is>
          <t>Store</t>
        </is>
      </c>
      <c r="K645" s="62">
        <f>F645*(G645-H645)</f>
        <v/>
      </c>
      <c r="L645" s="62">
        <f>K645-(F645*I645)</f>
        <v/>
      </c>
      <c r="M645" s="64">
        <f>L645/K645</f>
        <v/>
      </c>
    </row>
    <row r="646">
      <c r="A646" s="58" t="inlineStr">
        <is>
          <t>RT20250116-00645</t>
        </is>
      </c>
      <c r="B646" s="59" t="inlineStr">
        <is>
          <t>2025-01-16</t>
        </is>
      </c>
      <c r="C646" s="60" t="inlineStr">
        <is>
          <t>Vertex Smartphone Lite-267</t>
        </is>
      </c>
      <c r="D646" s="58" t="inlineStr">
        <is>
          <t>Electronics</t>
        </is>
      </c>
      <c r="E646" s="58" t="inlineStr">
        <is>
          <t>West</t>
        </is>
      </c>
      <c r="F646" s="61" t="n">
        <v>1</v>
      </c>
      <c r="G646" s="62" t="n">
        <v>1299.93</v>
      </c>
      <c r="H646" s="63" t="n">
        <v>0.089</v>
      </c>
      <c r="I646" s="62" t="n">
        <v>958.6900000000001</v>
      </c>
      <c r="J646" s="58" t="inlineStr">
        <is>
          <t>Online</t>
        </is>
      </c>
      <c r="K646" s="62">
        <f>F646*(G646-H646)</f>
        <v/>
      </c>
      <c r="L646" s="62">
        <f>K646-(F646*I646)</f>
        <v/>
      </c>
      <c r="M646" s="64">
        <f>L646/K646</f>
        <v/>
      </c>
    </row>
    <row r="647">
      <c r="A647" s="58" t="inlineStr">
        <is>
          <t>RT20250116-00646</t>
        </is>
      </c>
      <c r="B647" s="59" t="inlineStr">
        <is>
          <t>2025-01-16</t>
        </is>
      </c>
      <c r="C647" s="60" t="inlineStr">
        <is>
          <t>Metro Printer X-294</t>
        </is>
      </c>
      <c r="D647" s="58" t="inlineStr">
        <is>
          <t>Office</t>
        </is>
      </c>
      <c r="E647" s="58" t="inlineStr">
        <is>
          <t>West</t>
        </is>
      </c>
      <c r="F647" s="61" t="n">
        <v>3</v>
      </c>
      <c r="G647" s="62" t="n">
        <v>585.37</v>
      </c>
      <c r="H647" s="63" t="n">
        <v>0.083</v>
      </c>
      <c r="I647" s="62" t="n">
        <v>409.16</v>
      </c>
      <c r="J647" s="58" t="inlineStr">
        <is>
          <t>Store</t>
        </is>
      </c>
      <c r="K647" s="62">
        <f>F647*(G647-H647)</f>
        <v/>
      </c>
      <c r="L647" s="62">
        <f>K647-(F647*I647)</f>
        <v/>
      </c>
      <c r="M647" s="64">
        <f>L647/K647</f>
        <v/>
      </c>
    </row>
    <row r="648">
      <c r="A648" s="58" t="inlineStr">
        <is>
          <t>RT20250116-00647</t>
        </is>
      </c>
      <c r="B648" s="59" t="inlineStr">
        <is>
          <t>2025-01-16</t>
        </is>
      </c>
      <c r="C648" s="60" t="inlineStr">
        <is>
          <t>Nimbus Furniture Pro-479</t>
        </is>
      </c>
      <c r="D648" s="58" t="inlineStr">
        <is>
          <t>Office</t>
        </is>
      </c>
      <c r="E648" s="58" t="inlineStr">
        <is>
          <t>East</t>
        </is>
      </c>
      <c r="F648" s="61" t="n">
        <v>1</v>
      </c>
      <c r="G648" s="62" t="n">
        <v>324.01</v>
      </c>
      <c r="H648" s="63" t="n">
        <v>0.065</v>
      </c>
      <c r="I648" s="62" t="n">
        <v>234.36</v>
      </c>
      <c r="J648" s="58" t="inlineStr">
        <is>
          <t>Online</t>
        </is>
      </c>
      <c r="K648" s="62">
        <f>F648*(G648-H648)</f>
        <v/>
      </c>
      <c r="L648" s="62">
        <f>K648-(F648*I648)</f>
        <v/>
      </c>
      <c r="M648" s="64">
        <f>L648/K648</f>
        <v/>
      </c>
    </row>
    <row r="649">
      <c r="A649" s="58" t="inlineStr">
        <is>
          <t>RT20250116-00648</t>
        </is>
      </c>
      <c r="B649" s="59" t="inlineStr">
        <is>
          <t>2025-01-16</t>
        </is>
      </c>
      <c r="C649" s="60" t="inlineStr">
        <is>
          <t>Aurora Furniture X-709</t>
        </is>
      </c>
      <c r="D649" s="58" t="inlineStr">
        <is>
          <t>Office</t>
        </is>
      </c>
      <c r="E649" s="58" t="inlineStr">
        <is>
          <t>East</t>
        </is>
      </c>
      <c r="F649" s="61" t="n">
        <v>3</v>
      </c>
      <c r="G649" s="62" t="n">
        <v>442.66</v>
      </c>
      <c r="H649" s="63" t="n">
        <v>0.043</v>
      </c>
      <c r="I649" s="62" t="n">
        <v>302.24</v>
      </c>
      <c r="J649" s="58" t="inlineStr">
        <is>
          <t>Online</t>
        </is>
      </c>
      <c r="K649" s="62">
        <f>F649*(G649-H649)</f>
        <v/>
      </c>
      <c r="L649" s="62">
        <f>K649-(F649*I649)</f>
        <v/>
      </c>
      <c r="M649" s="64">
        <f>L649/K649</f>
        <v/>
      </c>
    </row>
    <row r="650">
      <c r="A650" s="58" t="inlineStr">
        <is>
          <t>RT20250116-00649</t>
        </is>
      </c>
      <c r="B650" s="59" t="inlineStr">
        <is>
          <t>2025-01-16</t>
        </is>
      </c>
      <c r="C650" s="60" t="inlineStr">
        <is>
          <t>Vertex Supplie X-513</t>
        </is>
      </c>
      <c r="D650" s="58" t="inlineStr">
        <is>
          <t>Office</t>
        </is>
      </c>
      <c r="E650" s="58" t="inlineStr">
        <is>
          <t>Central</t>
        </is>
      </c>
      <c r="F650" s="61" t="n">
        <v>2</v>
      </c>
      <c r="G650" s="62" t="n">
        <v>346.46</v>
      </c>
      <c r="H650" s="63" t="n">
        <v>0.037</v>
      </c>
      <c r="I650" s="62" t="n">
        <v>283.34</v>
      </c>
      <c r="J650" s="58" t="inlineStr">
        <is>
          <t>Online</t>
        </is>
      </c>
      <c r="K650" s="62">
        <f>F650*(G650-H650)</f>
        <v/>
      </c>
      <c r="L650" s="62">
        <f>K650-(F650*I650)</f>
        <v/>
      </c>
      <c r="M650" s="64">
        <f>L650/K650</f>
        <v/>
      </c>
    </row>
    <row r="651">
      <c r="A651" s="58" t="inlineStr">
        <is>
          <t>RT20250116-00650</t>
        </is>
      </c>
      <c r="B651" s="59" t="inlineStr">
        <is>
          <t>2025-01-16</t>
        </is>
      </c>
      <c r="C651" s="60" t="inlineStr">
        <is>
          <t>Metro Smartphone Max-773</t>
        </is>
      </c>
      <c r="D651" s="58" t="inlineStr">
        <is>
          <t>Electronics</t>
        </is>
      </c>
      <c r="E651" s="58" t="inlineStr">
        <is>
          <t>South</t>
        </is>
      </c>
      <c r="F651" s="61" t="n">
        <v>1</v>
      </c>
      <c r="G651" s="62" t="n">
        <v>1363.68</v>
      </c>
      <c r="H651" s="63" t="n">
        <v>0.091</v>
      </c>
      <c r="I651" s="62" t="n">
        <v>1122.23</v>
      </c>
      <c r="J651" s="58" t="inlineStr">
        <is>
          <t>Online</t>
        </is>
      </c>
      <c r="K651" s="62">
        <f>F651*(G651-H651)</f>
        <v/>
      </c>
      <c r="L651" s="62">
        <f>K651-(F651*I651)</f>
        <v/>
      </c>
      <c r="M651" s="64">
        <f>L651/K651</f>
        <v/>
      </c>
    </row>
    <row r="652">
      <c r="A652" s="58" t="inlineStr">
        <is>
          <t>RT20250116-00651</t>
        </is>
      </c>
      <c r="B652" s="59" t="inlineStr">
        <is>
          <t>2025-01-16</t>
        </is>
      </c>
      <c r="C652" s="60" t="inlineStr">
        <is>
          <t>Falcon Kitchen X-130</t>
        </is>
      </c>
      <c r="D652" s="58" t="inlineStr">
        <is>
          <t>Home</t>
        </is>
      </c>
      <c r="E652" s="58" t="inlineStr">
        <is>
          <t>Central</t>
        </is>
      </c>
      <c r="F652" s="61" t="n">
        <v>2</v>
      </c>
      <c r="G652" s="62" t="n">
        <v>423.21</v>
      </c>
      <c r="H652" s="63" t="n">
        <v>0.08400000000000001</v>
      </c>
      <c r="I652" s="62" t="n">
        <v>289.21</v>
      </c>
      <c r="J652" s="58" t="inlineStr">
        <is>
          <t>Store</t>
        </is>
      </c>
      <c r="K652" s="62">
        <f>F652*(G652-H652)</f>
        <v/>
      </c>
      <c r="L652" s="62">
        <f>K652-(F652*I652)</f>
        <v/>
      </c>
      <c r="M652" s="64">
        <f>L652/K652</f>
        <v/>
      </c>
    </row>
    <row r="653">
      <c r="A653" s="58" t="inlineStr">
        <is>
          <t>RT20250116-00652</t>
        </is>
      </c>
      <c r="B653" s="59" t="inlineStr">
        <is>
          <t>2025-01-16</t>
        </is>
      </c>
      <c r="C653" s="60" t="inlineStr">
        <is>
          <t>Metro Laptop Plus-376</t>
        </is>
      </c>
      <c r="D653" s="58" t="inlineStr">
        <is>
          <t>Electronics</t>
        </is>
      </c>
      <c r="E653" s="58" t="inlineStr">
        <is>
          <t>East</t>
        </is>
      </c>
      <c r="F653" s="61" t="n">
        <v>1</v>
      </c>
      <c r="G653" s="62" t="n">
        <v>1094.61</v>
      </c>
      <c r="H653" s="63" t="n">
        <v>0.028</v>
      </c>
      <c r="I653" s="62" t="n">
        <v>1032.53</v>
      </c>
      <c r="J653" s="58" t="inlineStr">
        <is>
          <t>Online</t>
        </is>
      </c>
      <c r="K653" s="62">
        <f>F653*(G653-H653)</f>
        <v/>
      </c>
      <c r="L653" s="62">
        <f>K653-(F653*I653)</f>
        <v/>
      </c>
      <c r="M653" s="64">
        <f>L653/K653</f>
        <v/>
      </c>
    </row>
    <row r="654">
      <c r="A654" s="58" t="inlineStr">
        <is>
          <t>RT20250116-00653</t>
        </is>
      </c>
      <c r="B654" s="59" t="inlineStr">
        <is>
          <t>2025-01-16</t>
        </is>
      </c>
      <c r="C654" s="60" t="inlineStr">
        <is>
          <t>Metro Wearable Plus-234</t>
        </is>
      </c>
      <c r="D654" s="58" t="inlineStr">
        <is>
          <t>Electronics</t>
        </is>
      </c>
      <c r="E654" s="58" t="inlineStr">
        <is>
          <t>South</t>
        </is>
      </c>
      <c r="F654" s="61" t="n">
        <v>1</v>
      </c>
      <c r="G654" s="62" t="n">
        <v>1248.23</v>
      </c>
      <c r="H654" s="63" t="n">
        <v>0.047</v>
      </c>
      <c r="I654" s="62" t="n">
        <v>1154.92</v>
      </c>
      <c r="J654" s="58" t="inlineStr">
        <is>
          <t>Store</t>
        </is>
      </c>
      <c r="K654" s="62">
        <f>F654*(G654-H654)</f>
        <v/>
      </c>
      <c r="L654" s="62">
        <f>K654-(F654*I654)</f>
        <v/>
      </c>
      <c r="M654" s="64">
        <f>L654/K654</f>
        <v/>
      </c>
    </row>
    <row r="655">
      <c r="A655" s="58" t="inlineStr">
        <is>
          <t>RT20250116-00654</t>
        </is>
      </c>
      <c r="B655" s="59" t="inlineStr">
        <is>
          <t>2025-01-16</t>
        </is>
      </c>
      <c r="C655" s="60" t="inlineStr">
        <is>
          <t>Solace Smartphone Lite-533</t>
        </is>
      </c>
      <c r="D655" s="58" t="inlineStr">
        <is>
          <t>Electronics</t>
        </is>
      </c>
      <c r="E655" s="58" t="inlineStr">
        <is>
          <t>Central</t>
        </is>
      </c>
      <c r="F655" s="61" t="n">
        <v>2</v>
      </c>
      <c r="G655" s="62" t="n">
        <v>1288.13</v>
      </c>
      <c r="H655" s="63" t="n">
        <v>0.065</v>
      </c>
      <c r="I655" s="62" t="n">
        <v>937.99</v>
      </c>
      <c r="J655" s="58" t="inlineStr">
        <is>
          <t>Online</t>
        </is>
      </c>
      <c r="K655" s="62">
        <f>F655*(G655-H655)</f>
        <v/>
      </c>
      <c r="L655" s="62">
        <f>K655-(F655*I655)</f>
        <v/>
      </c>
      <c r="M655" s="64">
        <f>L655/K655</f>
        <v/>
      </c>
    </row>
    <row r="656">
      <c r="A656" s="58" t="inlineStr">
        <is>
          <t>RT20250116-00655</t>
        </is>
      </c>
      <c r="B656" s="59" t="inlineStr">
        <is>
          <t>2025-01-16</t>
        </is>
      </c>
      <c r="C656" s="60" t="inlineStr">
        <is>
          <t>Aurora Appliance Lite-109</t>
        </is>
      </c>
      <c r="D656" s="58" t="inlineStr">
        <is>
          <t>Home</t>
        </is>
      </c>
      <c r="E656" s="58" t="inlineStr">
        <is>
          <t>East</t>
        </is>
      </c>
      <c r="F656" s="61" t="n">
        <v>1</v>
      </c>
      <c r="G656" s="62" t="n">
        <v>285.26</v>
      </c>
      <c r="H656" s="63" t="n">
        <v>0.007</v>
      </c>
      <c r="I656" s="62" t="n">
        <v>201.22</v>
      </c>
      <c r="J656" s="58" t="inlineStr">
        <is>
          <t>Store</t>
        </is>
      </c>
      <c r="K656" s="62">
        <f>F656*(G656-H656)</f>
        <v/>
      </c>
      <c r="L656" s="62">
        <f>K656-(F656*I656)</f>
        <v/>
      </c>
      <c r="M656" s="64">
        <f>L656/K656</f>
        <v/>
      </c>
    </row>
    <row r="657">
      <c r="A657" s="58" t="inlineStr">
        <is>
          <t>RT20250116-00656</t>
        </is>
      </c>
      <c r="B657" s="59" t="inlineStr">
        <is>
          <t>2025-01-16</t>
        </is>
      </c>
      <c r="C657" s="60" t="inlineStr">
        <is>
          <t>Solace Headphone Pro-344</t>
        </is>
      </c>
      <c r="D657" s="58" t="inlineStr">
        <is>
          <t>Electronics</t>
        </is>
      </c>
      <c r="E657" s="58" t="inlineStr">
        <is>
          <t>East</t>
        </is>
      </c>
      <c r="F657" s="61" t="n">
        <v>2</v>
      </c>
      <c r="G657" s="62" t="n">
        <v>1411.29</v>
      </c>
      <c r="H657" s="63" t="n">
        <v>0.034</v>
      </c>
      <c r="I657" s="62" t="n">
        <v>1062.23</v>
      </c>
      <c r="J657" s="58" t="inlineStr">
        <is>
          <t>Phone</t>
        </is>
      </c>
      <c r="K657" s="62">
        <f>F657*(G657-H657)</f>
        <v/>
      </c>
      <c r="L657" s="62">
        <f>K657-(F657*I657)</f>
        <v/>
      </c>
      <c r="M657" s="64">
        <f>L657/K657</f>
        <v/>
      </c>
    </row>
    <row r="658">
      <c r="A658" s="58" t="inlineStr">
        <is>
          <t>RT20250116-00657</t>
        </is>
      </c>
      <c r="B658" s="59" t="inlineStr">
        <is>
          <t>2025-01-16</t>
        </is>
      </c>
      <c r="C658" s="60" t="inlineStr">
        <is>
          <t>Aurora Appliance Max-316</t>
        </is>
      </c>
      <c r="D658" s="58" t="inlineStr">
        <is>
          <t>Home</t>
        </is>
      </c>
      <c r="E658" s="58" t="inlineStr">
        <is>
          <t>Central</t>
        </is>
      </c>
      <c r="F658" s="61" t="n">
        <v>1</v>
      </c>
      <c r="G658" s="62" t="n">
        <v>293.73</v>
      </c>
      <c r="H658" s="63" t="n">
        <v>0.029</v>
      </c>
      <c r="I658" s="62" t="n">
        <v>218.24</v>
      </c>
      <c r="J658" s="58" t="inlineStr">
        <is>
          <t>Online</t>
        </is>
      </c>
      <c r="K658" s="62">
        <f>F658*(G658-H658)</f>
        <v/>
      </c>
      <c r="L658" s="62">
        <f>K658-(F658*I658)</f>
        <v/>
      </c>
      <c r="M658" s="64">
        <f>L658/K658</f>
        <v/>
      </c>
    </row>
    <row r="659">
      <c r="A659" s="58" t="inlineStr">
        <is>
          <t>RT20250116-00658</t>
        </is>
      </c>
      <c r="B659" s="59" t="inlineStr">
        <is>
          <t>2025-01-16</t>
        </is>
      </c>
      <c r="C659" s="60" t="inlineStr">
        <is>
          <t>Polar Snack Pro-641</t>
        </is>
      </c>
      <c r="D659" s="58" t="inlineStr">
        <is>
          <t>Grocery</t>
        </is>
      </c>
      <c r="E659" s="58" t="inlineStr">
        <is>
          <t>East</t>
        </is>
      </c>
      <c r="F659" s="61" t="n">
        <v>6</v>
      </c>
      <c r="G659" s="62" t="n">
        <v>11.81</v>
      </c>
      <c r="H659" s="63" t="n">
        <v>0.023</v>
      </c>
      <c r="I659" s="62" t="n">
        <v>9.380000000000001</v>
      </c>
      <c r="J659" s="58" t="inlineStr">
        <is>
          <t>Online</t>
        </is>
      </c>
      <c r="K659" s="62">
        <f>F659*(G659-H659)</f>
        <v/>
      </c>
      <c r="L659" s="62">
        <f>K659-(F659*I659)</f>
        <v/>
      </c>
      <c r="M659" s="64">
        <f>L659/K659</f>
        <v/>
      </c>
    </row>
    <row r="660">
      <c r="A660" s="58" t="inlineStr">
        <is>
          <t>RT20250116-00659</t>
        </is>
      </c>
      <c r="B660" s="59" t="inlineStr">
        <is>
          <t>2025-01-16</t>
        </is>
      </c>
      <c r="C660" s="60" t="inlineStr">
        <is>
          <t>Polar Fragrance Pro-750</t>
        </is>
      </c>
      <c r="D660" s="58" t="inlineStr">
        <is>
          <t>Beauty</t>
        </is>
      </c>
      <c r="E660" s="58" t="inlineStr">
        <is>
          <t>South</t>
        </is>
      </c>
      <c r="F660" s="61" t="n">
        <v>3</v>
      </c>
      <c r="G660" s="62" t="n">
        <v>50.46</v>
      </c>
      <c r="H660" s="63" t="n">
        <v>0.102</v>
      </c>
      <c r="I660" s="62" t="n">
        <v>37.1</v>
      </c>
      <c r="J660" s="58" t="inlineStr">
        <is>
          <t>Online</t>
        </is>
      </c>
      <c r="K660" s="62">
        <f>F660*(G660-H660)</f>
        <v/>
      </c>
      <c r="L660" s="62">
        <f>K660-(F660*I660)</f>
        <v/>
      </c>
      <c r="M660" s="64">
        <f>L660/K660</f>
        <v/>
      </c>
    </row>
    <row r="661">
      <c r="A661" s="58" t="inlineStr">
        <is>
          <t>RT20250116-00660</t>
        </is>
      </c>
      <c r="B661" s="59" t="inlineStr">
        <is>
          <t>2025-01-16</t>
        </is>
      </c>
      <c r="C661" s="60" t="inlineStr">
        <is>
          <t>Solace Snack S-691</t>
        </is>
      </c>
      <c r="D661" s="58" t="inlineStr">
        <is>
          <t>Grocery</t>
        </is>
      </c>
      <c r="E661" s="58" t="inlineStr">
        <is>
          <t>Central</t>
        </is>
      </c>
      <c r="F661" s="61" t="n">
        <v>3</v>
      </c>
      <c r="G661" s="62" t="n">
        <v>10.63</v>
      </c>
      <c r="H661" s="63" t="n">
        <v>0.092</v>
      </c>
      <c r="I661" s="62" t="n">
        <v>7.31</v>
      </c>
      <c r="J661" s="58" t="inlineStr">
        <is>
          <t>Store</t>
        </is>
      </c>
      <c r="K661" s="62">
        <f>F661*(G661-H661)</f>
        <v/>
      </c>
      <c r="L661" s="62">
        <f>K661-(F661*I661)</f>
        <v/>
      </c>
      <c r="M661" s="64">
        <f>L661/K661</f>
        <v/>
      </c>
    </row>
    <row r="662">
      <c r="A662" s="58" t="inlineStr">
        <is>
          <t>RT20250116-00661</t>
        </is>
      </c>
      <c r="B662" s="59" t="inlineStr">
        <is>
          <t>2025-01-16</t>
        </is>
      </c>
      <c r="C662" s="60" t="inlineStr">
        <is>
          <t>Orion Haircare Plus-887</t>
        </is>
      </c>
      <c r="D662" s="58" t="inlineStr">
        <is>
          <t>Beauty</t>
        </is>
      </c>
      <c r="E662" s="58" t="inlineStr">
        <is>
          <t>East</t>
        </is>
      </c>
      <c r="F662" s="61" t="n">
        <v>2</v>
      </c>
      <c r="G662" s="62" t="n">
        <v>55.32</v>
      </c>
      <c r="H662" s="63" t="n">
        <v>0.053</v>
      </c>
      <c r="I662" s="62" t="n">
        <v>30.66</v>
      </c>
      <c r="J662" s="58" t="inlineStr">
        <is>
          <t>Store</t>
        </is>
      </c>
      <c r="K662" s="62">
        <f>F662*(G662-H662)</f>
        <v/>
      </c>
      <c r="L662" s="62">
        <f>K662-(F662*I662)</f>
        <v/>
      </c>
      <c r="M662" s="64">
        <f>L662/K662</f>
        <v/>
      </c>
    </row>
    <row r="663">
      <c r="A663" s="58" t="inlineStr">
        <is>
          <t>RT20250116-00662</t>
        </is>
      </c>
      <c r="B663" s="59" t="inlineStr">
        <is>
          <t>2025-01-16</t>
        </is>
      </c>
      <c r="C663" s="60" t="inlineStr">
        <is>
          <t>Falcon Household Plus-796</t>
        </is>
      </c>
      <c r="D663" s="58" t="inlineStr">
        <is>
          <t>Grocery</t>
        </is>
      </c>
      <c r="E663" s="58" t="inlineStr">
        <is>
          <t>Central</t>
        </is>
      </c>
      <c r="F663" s="61" t="n">
        <v>7</v>
      </c>
      <c r="G663" s="62" t="n">
        <v>24.44</v>
      </c>
      <c r="H663" s="63" t="n">
        <v>0.032</v>
      </c>
      <c r="I663" s="62" t="n">
        <v>17.79</v>
      </c>
      <c r="J663" s="58" t="inlineStr">
        <is>
          <t>Store</t>
        </is>
      </c>
      <c r="K663" s="62">
        <f>F663*(G663-H663)</f>
        <v/>
      </c>
      <c r="L663" s="62">
        <f>K663-(F663*I663)</f>
        <v/>
      </c>
      <c r="M663" s="64">
        <f>L663/K663</f>
        <v/>
      </c>
    </row>
    <row r="664">
      <c r="A664" s="58" t="inlineStr">
        <is>
          <t>RT20250116-00663</t>
        </is>
      </c>
      <c r="B664" s="59" t="inlineStr">
        <is>
          <t>2025-01-16</t>
        </is>
      </c>
      <c r="C664" s="60" t="inlineStr">
        <is>
          <t>Vertex Smartphone Lite-267</t>
        </is>
      </c>
      <c r="D664" s="58" t="inlineStr">
        <is>
          <t>Electronics</t>
        </is>
      </c>
      <c r="E664" s="58" t="inlineStr">
        <is>
          <t>East</t>
        </is>
      </c>
      <c r="F664" s="61" t="n">
        <v>1</v>
      </c>
      <c r="G664" s="62" t="n">
        <v>1312.95</v>
      </c>
      <c r="H664" s="63" t="n">
        <v>0.036</v>
      </c>
      <c r="I664" s="62" t="n">
        <v>989.7</v>
      </c>
      <c r="J664" s="58" t="inlineStr">
        <is>
          <t>Store</t>
        </is>
      </c>
      <c r="K664" s="62">
        <f>F664*(G664-H664)</f>
        <v/>
      </c>
      <c r="L664" s="62">
        <f>K664-(F664*I664)</f>
        <v/>
      </c>
      <c r="M664" s="64">
        <f>L664/K664</f>
        <v/>
      </c>
    </row>
    <row r="665">
      <c r="A665" s="58" t="inlineStr">
        <is>
          <t>RT20250116-00664</t>
        </is>
      </c>
      <c r="B665" s="59" t="inlineStr">
        <is>
          <t>2025-01-16</t>
        </is>
      </c>
      <c r="C665" s="60" t="inlineStr">
        <is>
          <t>Vertex Fitnes Pro-830</t>
        </is>
      </c>
      <c r="D665" s="58" t="inlineStr">
        <is>
          <t>Sports</t>
        </is>
      </c>
      <c r="E665" s="58" t="inlineStr">
        <is>
          <t>South</t>
        </is>
      </c>
      <c r="F665" s="61" t="n">
        <v>2</v>
      </c>
      <c r="G665" s="62" t="n">
        <v>705.4</v>
      </c>
      <c r="H665" s="63" t="n">
        <v>0.065</v>
      </c>
      <c r="I665" s="62" t="n">
        <v>479.36</v>
      </c>
      <c r="J665" s="58" t="inlineStr">
        <is>
          <t>Online</t>
        </is>
      </c>
      <c r="K665" s="62">
        <f>F665*(G665-H665)</f>
        <v/>
      </c>
      <c r="L665" s="62">
        <f>K665-(F665*I665)</f>
        <v/>
      </c>
      <c r="M665" s="64">
        <f>L665/K665</f>
        <v/>
      </c>
    </row>
    <row r="666">
      <c r="A666" s="58" t="inlineStr">
        <is>
          <t>RT20250116-00665</t>
        </is>
      </c>
      <c r="B666" s="59" t="inlineStr">
        <is>
          <t>2025-01-16</t>
        </is>
      </c>
      <c r="C666" s="60" t="inlineStr">
        <is>
          <t>Falcon Furniture Plus-839</t>
        </is>
      </c>
      <c r="D666" s="58" t="inlineStr">
        <is>
          <t>Office</t>
        </is>
      </c>
      <c r="E666" s="58" t="inlineStr">
        <is>
          <t>South</t>
        </is>
      </c>
      <c r="F666" s="61" t="n">
        <v>1</v>
      </c>
      <c r="G666" s="62" t="n">
        <v>313.92</v>
      </c>
      <c r="H666" s="63" t="n">
        <v>0.037</v>
      </c>
      <c r="I666" s="62" t="n">
        <v>227.4</v>
      </c>
      <c r="J666" s="58" t="inlineStr">
        <is>
          <t>Online</t>
        </is>
      </c>
      <c r="K666" s="62">
        <f>F666*(G666-H666)</f>
        <v/>
      </c>
      <c r="L666" s="62">
        <f>K666-(F666*I666)</f>
        <v/>
      </c>
      <c r="M666" s="64">
        <f>L666/K666</f>
        <v/>
      </c>
    </row>
    <row r="667">
      <c r="A667" s="58" t="inlineStr">
        <is>
          <t>RT20250116-00666</t>
        </is>
      </c>
      <c r="B667" s="59" t="inlineStr">
        <is>
          <t>2025-01-16</t>
        </is>
      </c>
      <c r="C667" s="60" t="inlineStr">
        <is>
          <t>Orion Kitchen Pro-568</t>
        </is>
      </c>
      <c r="D667" s="58" t="inlineStr">
        <is>
          <t>Home</t>
        </is>
      </c>
      <c r="E667" s="58" t="inlineStr">
        <is>
          <t>South</t>
        </is>
      </c>
      <c r="F667" s="61" t="n">
        <v>3</v>
      </c>
      <c r="G667" s="62" t="n">
        <v>407.26</v>
      </c>
      <c r="H667" s="63" t="n">
        <v>0.08500000000000001</v>
      </c>
      <c r="I667" s="62" t="n">
        <v>315.44</v>
      </c>
      <c r="J667" s="58" t="inlineStr">
        <is>
          <t>Online</t>
        </is>
      </c>
      <c r="K667" s="62">
        <f>F667*(G667-H667)</f>
        <v/>
      </c>
      <c r="L667" s="62">
        <f>K667-(F667*I667)</f>
        <v/>
      </c>
      <c r="M667" s="64">
        <f>L667/K667</f>
        <v/>
      </c>
    </row>
    <row r="668">
      <c r="A668" s="58" t="inlineStr">
        <is>
          <t>RT20250116-00667</t>
        </is>
      </c>
      <c r="B668" s="59" t="inlineStr">
        <is>
          <t>2025-01-16</t>
        </is>
      </c>
      <c r="C668" s="60" t="inlineStr">
        <is>
          <t>Nimbus Storage Plus-646</t>
        </is>
      </c>
      <c r="D668" s="58" t="inlineStr">
        <is>
          <t>Office</t>
        </is>
      </c>
      <c r="E668" s="58" t="inlineStr">
        <is>
          <t>South</t>
        </is>
      </c>
      <c r="F668" s="61" t="n">
        <v>1</v>
      </c>
      <c r="G668" s="62" t="n">
        <v>494.6</v>
      </c>
      <c r="H668" s="63" t="n">
        <v>0.064</v>
      </c>
      <c r="I668" s="62" t="n">
        <v>311.45</v>
      </c>
      <c r="J668" s="58" t="inlineStr">
        <is>
          <t>Store</t>
        </is>
      </c>
      <c r="K668" s="62">
        <f>F668*(G668-H668)</f>
        <v/>
      </c>
      <c r="L668" s="62">
        <f>K668-(F668*I668)</f>
        <v/>
      </c>
      <c r="M668" s="64">
        <f>L668/K668</f>
        <v/>
      </c>
    </row>
    <row r="669">
      <c r="A669" s="58" t="inlineStr">
        <is>
          <t>RT20250116-00668</t>
        </is>
      </c>
      <c r="B669" s="59" t="inlineStr">
        <is>
          <t>2025-01-16</t>
        </is>
      </c>
      <c r="C669" s="60" t="inlineStr">
        <is>
          <t>Orion Fragrance Lite-785</t>
        </is>
      </c>
      <c r="D669" s="58" t="inlineStr">
        <is>
          <t>Beauty</t>
        </is>
      </c>
      <c r="E669" s="58" t="inlineStr">
        <is>
          <t>East</t>
        </is>
      </c>
      <c r="F669" s="61" t="n">
        <v>1</v>
      </c>
      <c r="G669" s="62" t="n">
        <v>36.83</v>
      </c>
      <c r="H669" s="63" t="n">
        <v>0.054</v>
      </c>
      <c r="I669" s="62" t="n">
        <v>26.42</v>
      </c>
      <c r="J669" s="58" t="inlineStr">
        <is>
          <t>Online</t>
        </is>
      </c>
      <c r="K669" s="62">
        <f>F669*(G669-H669)</f>
        <v/>
      </c>
      <c r="L669" s="62">
        <f>K669-(F669*I669)</f>
        <v/>
      </c>
      <c r="M669" s="64">
        <f>L669/K669</f>
        <v/>
      </c>
    </row>
    <row r="670">
      <c r="A670" s="58" t="inlineStr">
        <is>
          <t>RT20250116-00669</t>
        </is>
      </c>
      <c r="B670" s="59" t="inlineStr">
        <is>
          <t>2025-01-16</t>
        </is>
      </c>
      <c r="C670" s="60" t="inlineStr">
        <is>
          <t>Falcon Haircare Pro-980</t>
        </is>
      </c>
      <c r="D670" s="58" t="inlineStr">
        <is>
          <t>Beauty</t>
        </is>
      </c>
      <c r="E670" s="58" t="inlineStr">
        <is>
          <t>Central</t>
        </is>
      </c>
      <c r="F670" s="61" t="n">
        <v>5</v>
      </c>
      <c r="G670" s="62" t="n">
        <v>97.34999999999999</v>
      </c>
      <c r="H670" s="63" t="n">
        <v>0.051</v>
      </c>
      <c r="I670" s="62" t="n">
        <v>55.49</v>
      </c>
      <c r="J670" s="58" t="inlineStr">
        <is>
          <t>Store</t>
        </is>
      </c>
      <c r="K670" s="62">
        <f>F670*(G670-H670)</f>
        <v/>
      </c>
      <c r="L670" s="62">
        <f>K670-(F670*I670)</f>
        <v/>
      </c>
      <c r="M670" s="64">
        <f>L670/K670</f>
        <v/>
      </c>
    </row>
    <row r="671">
      <c r="A671" s="58" t="inlineStr">
        <is>
          <t>RT20250116-00670</t>
        </is>
      </c>
      <c r="B671" s="59" t="inlineStr">
        <is>
          <t>2025-01-16</t>
        </is>
      </c>
      <c r="C671" s="60" t="inlineStr">
        <is>
          <t>Nimbus Headphone X-854</t>
        </is>
      </c>
      <c r="D671" s="58" t="inlineStr">
        <is>
          <t>Electronics</t>
        </is>
      </c>
      <c r="E671" s="58" t="inlineStr">
        <is>
          <t>East</t>
        </is>
      </c>
      <c r="F671" s="61" t="n">
        <v>1</v>
      </c>
      <c r="G671" s="62" t="n">
        <v>1620.92</v>
      </c>
      <c r="H671" s="63" t="n">
        <v>0.039</v>
      </c>
      <c r="I671" s="62" t="n">
        <v>1235.89</v>
      </c>
      <c r="J671" s="58" t="inlineStr">
        <is>
          <t>Store</t>
        </is>
      </c>
      <c r="K671" s="62">
        <f>F671*(G671-H671)</f>
        <v/>
      </c>
      <c r="L671" s="62">
        <f>K671-(F671*I671)</f>
        <v/>
      </c>
      <c r="M671" s="64">
        <f>L671/K671</f>
        <v/>
      </c>
    </row>
    <row r="672">
      <c r="A672" s="58" t="inlineStr">
        <is>
          <t>RT20250116-00671</t>
        </is>
      </c>
      <c r="B672" s="59" t="inlineStr">
        <is>
          <t>2025-01-16</t>
        </is>
      </c>
      <c r="C672" s="60" t="inlineStr">
        <is>
          <t>Solace Makeup Pro-214</t>
        </is>
      </c>
      <c r="D672" s="58" t="inlineStr">
        <is>
          <t>Beauty</t>
        </is>
      </c>
      <c r="E672" s="58" t="inlineStr">
        <is>
          <t>Central</t>
        </is>
      </c>
      <c r="F672" s="61" t="n">
        <v>2</v>
      </c>
      <c r="G672" s="62" t="n">
        <v>120.28</v>
      </c>
      <c r="H672" s="63" t="n">
        <v>0</v>
      </c>
      <c r="I672" s="62" t="n">
        <v>65.89</v>
      </c>
      <c r="J672" s="58" t="inlineStr">
        <is>
          <t>Store</t>
        </is>
      </c>
      <c r="K672" s="62">
        <f>F672*(G672-H672)</f>
        <v/>
      </c>
      <c r="L672" s="62">
        <f>K672-(F672*I672)</f>
        <v/>
      </c>
      <c r="M672" s="64">
        <f>L672/K672</f>
        <v/>
      </c>
    </row>
    <row r="673">
      <c r="A673" s="58" t="inlineStr">
        <is>
          <t>RT20250116-00672</t>
        </is>
      </c>
      <c r="B673" s="59" t="inlineStr">
        <is>
          <t>2025-01-16</t>
        </is>
      </c>
      <c r="C673" s="60" t="inlineStr">
        <is>
          <t>Nimbus Decor Lite-385</t>
        </is>
      </c>
      <c r="D673" s="58" t="inlineStr">
        <is>
          <t>Home</t>
        </is>
      </c>
      <c r="E673" s="58" t="inlineStr">
        <is>
          <t>West</t>
        </is>
      </c>
      <c r="F673" s="61" t="n">
        <v>1</v>
      </c>
      <c r="G673" s="62" t="n">
        <v>571.2</v>
      </c>
      <c r="H673" s="63" t="n">
        <v>0.07099999999999999</v>
      </c>
      <c r="I673" s="62" t="n">
        <v>397.07</v>
      </c>
      <c r="J673" s="58" t="inlineStr">
        <is>
          <t>Online</t>
        </is>
      </c>
      <c r="K673" s="62">
        <f>F673*(G673-H673)</f>
        <v/>
      </c>
      <c r="L673" s="62">
        <f>K673-(F673*I673)</f>
        <v/>
      </c>
      <c r="M673" s="64">
        <f>L673/K673</f>
        <v/>
      </c>
    </row>
    <row r="674">
      <c r="A674" s="58" t="inlineStr">
        <is>
          <t>RT20250116-00673</t>
        </is>
      </c>
      <c r="B674" s="59" t="inlineStr">
        <is>
          <t>2025-01-16</t>
        </is>
      </c>
      <c r="C674" s="60" t="inlineStr">
        <is>
          <t>Aurora Appliance Lite-109</t>
        </is>
      </c>
      <c r="D674" s="58" t="inlineStr">
        <is>
          <t>Home</t>
        </is>
      </c>
      <c r="E674" s="58" t="inlineStr">
        <is>
          <t>North</t>
        </is>
      </c>
      <c r="F674" s="61" t="n">
        <v>3</v>
      </c>
      <c r="G674" s="62" t="n">
        <v>292.6</v>
      </c>
      <c r="H674" s="63" t="n">
        <v>0.043</v>
      </c>
      <c r="I674" s="62" t="n">
        <v>209.17</v>
      </c>
      <c r="J674" s="58" t="inlineStr">
        <is>
          <t>Online</t>
        </is>
      </c>
      <c r="K674" s="62">
        <f>F674*(G674-H674)</f>
        <v/>
      </c>
      <c r="L674" s="62">
        <f>K674-(F674*I674)</f>
        <v/>
      </c>
      <c r="M674" s="64">
        <f>L674/K674</f>
        <v/>
      </c>
    </row>
    <row r="675">
      <c r="A675" s="58" t="inlineStr">
        <is>
          <t>RT20250116-00674</t>
        </is>
      </c>
      <c r="B675" s="59" t="inlineStr">
        <is>
          <t>2025-01-16</t>
        </is>
      </c>
      <c r="C675" s="60" t="inlineStr">
        <is>
          <t>Falcon Haircare Pro-980</t>
        </is>
      </c>
      <c r="D675" s="58" t="inlineStr">
        <is>
          <t>Beauty</t>
        </is>
      </c>
      <c r="E675" s="58" t="inlineStr">
        <is>
          <t>West</t>
        </is>
      </c>
      <c r="F675" s="61" t="n">
        <v>3</v>
      </c>
      <c r="G675" s="62" t="n">
        <v>89.39</v>
      </c>
      <c r="H675" s="63" t="n">
        <v>0.104</v>
      </c>
      <c r="I675" s="62" t="n">
        <v>57.4</v>
      </c>
      <c r="J675" s="58" t="inlineStr">
        <is>
          <t>Store</t>
        </is>
      </c>
      <c r="K675" s="62">
        <f>F675*(G675-H675)</f>
        <v/>
      </c>
      <c r="L675" s="62">
        <f>K675-(F675*I675)</f>
        <v/>
      </c>
      <c r="M675" s="64">
        <f>L675/K675</f>
        <v/>
      </c>
    </row>
    <row r="676">
      <c r="A676" s="58" t="inlineStr">
        <is>
          <t>RT20250116-00675</t>
        </is>
      </c>
      <c r="B676" s="59" t="inlineStr">
        <is>
          <t>2025-01-16</t>
        </is>
      </c>
      <c r="C676" s="60" t="inlineStr">
        <is>
          <t>Vertex Snack S-702</t>
        </is>
      </c>
      <c r="D676" s="58" t="inlineStr">
        <is>
          <t>Grocery</t>
        </is>
      </c>
      <c r="E676" s="58" t="inlineStr">
        <is>
          <t>East</t>
        </is>
      </c>
      <c r="F676" s="61" t="n">
        <v>2</v>
      </c>
      <c r="G676" s="62" t="n">
        <v>2.04</v>
      </c>
      <c r="H676" s="63" t="n">
        <v>0.054</v>
      </c>
      <c r="I676" s="62" t="n">
        <v>1.49</v>
      </c>
      <c r="J676" s="58" t="inlineStr">
        <is>
          <t>Online</t>
        </is>
      </c>
      <c r="K676" s="62">
        <f>F676*(G676-H676)</f>
        <v/>
      </c>
      <c r="L676" s="62">
        <f>K676-(F676*I676)</f>
        <v/>
      </c>
      <c r="M676" s="64">
        <f>L676/K676</f>
        <v/>
      </c>
    </row>
    <row r="677">
      <c r="A677" s="58" t="inlineStr">
        <is>
          <t>RT20250116-00676</t>
        </is>
      </c>
      <c r="B677" s="59" t="inlineStr">
        <is>
          <t>2025-01-16</t>
        </is>
      </c>
      <c r="C677" s="60" t="inlineStr">
        <is>
          <t>Orion Laptop S-350</t>
        </is>
      </c>
      <c r="D677" s="58" t="inlineStr">
        <is>
          <t>Electronics</t>
        </is>
      </c>
      <c r="E677" s="58" t="inlineStr">
        <is>
          <t>West</t>
        </is>
      </c>
      <c r="F677" s="61" t="n">
        <v>2</v>
      </c>
      <c r="G677" s="62" t="n">
        <v>1317.8</v>
      </c>
      <c r="H677" s="63" t="n">
        <v>0.092</v>
      </c>
      <c r="I677" s="62" t="n">
        <v>1071.58</v>
      </c>
      <c r="J677" s="58" t="inlineStr">
        <is>
          <t>Online</t>
        </is>
      </c>
      <c r="K677" s="62">
        <f>F677*(G677-H677)</f>
        <v/>
      </c>
      <c r="L677" s="62">
        <f>K677-(F677*I677)</f>
        <v/>
      </c>
      <c r="M677" s="64">
        <f>L677/K677</f>
        <v/>
      </c>
    </row>
    <row r="678">
      <c r="A678" s="58" t="inlineStr">
        <is>
          <t>RT20250116-00677</t>
        </is>
      </c>
      <c r="B678" s="59" t="inlineStr">
        <is>
          <t>2025-01-16</t>
        </is>
      </c>
      <c r="C678" s="60" t="inlineStr">
        <is>
          <t>Polar Outdoor Lite-318</t>
        </is>
      </c>
      <c r="D678" s="58" t="inlineStr">
        <is>
          <t>Sports</t>
        </is>
      </c>
      <c r="E678" s="58" t="inlineStr">
        <is>
          <t>East</t>
        </is>
      </c>
      <c r="F678" s="61" t="n">
        <v>1</v>
      </c>
      <c r="G678" s="62" t="n">
        <v>639.22</v>
      </c>
      <c r="H678" s="63" t="n">
        <v>0.115</v>
      </c>
      <c r="I678" s="62" t="n">
        <v>465.45</v>
      </c>
      <c r="J678" s="58" t="inlineStr">
        <is>
          <t>Store</t>
        </is>
      </c>
      <c r="K678" s="62">
        <f>F678*(G678-H678)</f>
        <v/>
      </c>
      <c r="L678" s="62">
        <f>K678-(F678*I678)</f>
        <v/>
      </c>
      <c r="M678" s="64">
        <f>L678/K678</f>
        <v/>
      </c>
    </row>
    <row r="679">
      <c r="A679" s="58" t="inlineStr">
        <is>
          <t>RT20250116-00678</t>
        </is>
      </c>
      <c r="B679" s="59" t="inlineStr">
        <is>
          <t>2025-01-16</t>
        </is>
      </c>
      <c r="C679" s="60" t="inlineStr">
        <is>
          <t>Falcon Storage X-734</t>
        </is>
      </c>
      <c r="D679" s="58" t="inlineStr">
        <is>
          <t>Office</t>
        </is>
      </c>
      <c r="E679" s="58" t="inlineStr">
        <is>
          <t>West</t>
        </is>
      </c>
      <c r="F679" s="61" t="n">
        <v>1</v>
      </c>
      <c r="G679" s="62" t="n">
        <v>440.19</v>
      </c>
      <c r="H679" s="63" t="n">
        <v>0.026</v>
      </c>
      <c r="I679" s="62" t="n">
        <v>279.05</v>
      </c>
      <c r="J679" s="58" t="inlineStr">
        <is>
          <t>Phone</t>
        </is>
      </c>
      <c r="K679" s="62">
        <f>F679*(G679-H679)</f>
        <v/>
      </c>
      <c r="L679" s="62">
        <f>K679-(F679*I679)</f>
        <v/>
      </c>
      <c r="M679" s="64">
        <f>L679/K679</f>
        <v/>
      </c>
    </row>
    <row r="680">
      <c r="A680" s="58" t="inlineStr">
        <is>
          <t>RT20250116-00679</t>
        </is>
      </c>
      <c r="B680" s="59" t="inlineStr">
        <is>
          <t>2025-01-16</t>
        </is>
      </c>
      <c r="C680" s="60" t="inlineStr">
        <is>
          <t>Falcon Team Sport Lite-268</t>
        </is>
      </c>
      <c r="D680" s="58" t="inlineStr">
        <is>
          <t>Sports</t>
        </is>
      </c>
      <c r="E680" s="58" t="inlineStr">
        <is>
          <t>West</t>
        </is>
      </c>
      <c r="F680" s="61" t="n">
        <v>1</v>
      </c>
      <c r="G680" s="62" t="n">
        <v>675.62</v>
      </c>
      <c r="H680" s="63" t="n">
        <v>0.032</v>
      </c>
      <c r="I680" s="62" t="n">
        <v>437.25</v>
      </c>
      <c r="J680" s="58" t="inlineStr">
        <is>
          <t>Online</t>
        </is>
      </c>
      <c r="K680" s="62">
        <f>F680*(G680-H680)</f>
        <v/>
      </c>
      <c r="L680" s="62">
        <f>K680-(F680*I680)</f>
        <v/>
      </c>
      <c r="M680" s="64">
        <f>L680/K680</f>
        <v/>
      </c>
    </row>
    <row r="681">
      <c r="A681" s="58" t="inlineStr">
        <is>
          <t>RT20250116-00680</t>
        </is>
      </c>
      <c r="B681" s="59" t="inlineStr">
        <is>
          <t>2025-01-16</t>
        </is>
      </c>
      <c r="C681" s="60" t="inlineStr">
        <is>
          <t>Nimbus Decor Lite-385</t>
        </is>
      </c>
      <c r="D681" s="58" t="inlineStr">
        <is>
          <t>Home</t>
        </is>
      </c>
      <c r="E681" s="58" t="inlineStr">
        <is>
          <t>North</t>
        </is>
      </c>
      <c r="F681" s="61" t="n">
        <v>1</v>
      </c>
      <c r="G681" s="62" t="n">
        <v>525.6799999999999</v>
      </c>
      <c r="H681" s="63" t="n">
        <v>0.012</v>
      </c>
      <c r="I681" s="62" t="n">
        <v>405.36</v>
      </c>
      <c r="J681" s="58" t="inlineStr">
        <is>
          <t>Online</t>
        </is>
      </c>
      <c r="K681" s="62">
        <f>F681*(G681-H681)</f>
        <v/>
      </c>
      <c r="L681" s="62">
        <f>K681-(F681*I681)</f>
        <v/>
      </c>
      <c r="M681" s="64">
        <f>L681/K681</f>
        <v/>
      </c>
    </row>
    <row r="682">
      <c r="A682" s="58" t="inlineStr">
        <is>
          <t>RT20250116-00681</t>
        </is>
      </c>
      <c r="B682" s="59" t="inlineStr">
        <is>
          <t>2025-01-16</t>
        </is>
      </c>
      <c r="C682" s="60" t="inlineStr">
        <is>
          <t>Polar Cycling X-649</t>
        </is>
      </c>
      <c r="D682" s="58" t="inlineStr">
        <is>
          <t>Sports</t>
        </is>
      </c>
      <c r="E682" s="58" t="inlineStr">
        <is>
          <t>East</t>
        </is>
      </c>
      <c r="F682" s="61" t="n">
        <v>3</v>
      </c>
      <c r="G682" s="62" t="n">
        <v>489.27</v>
      </c>
      <c r="H682" s="63" t="n">
        <v>0.12</v>
      </c>
      <c r="I682" s="62" t="n">
        <v>356.12</v>
      </c>
      <c r="J682" s="58" t="inlineStr">
        <is>
          <t>Online</t>
        </is>
      </c>
      <c r="K682" s="62">
        <f>F682*(G682-H682)</f>
        <v/>
      </c>
      <c r="L682" s="62">
        <f>K682-(F682*I682)</f>
        <v/>
      </c>
      <c r="M682" s="64">
        <f>L682/K682</f>
        <v/>
      </c>
    </row>
    <row r="683">
      <c r="A683" s="58" t="inlineStr">
        <is>
          <t>RT20250116-00682</t>
        </is>
      </c>
      <c r="B683" s="59" t="inlineStr">
        <is>
          <t>2025-01-16</t>
        </is>
      </c>
      <c r="C683" s="60" t="inlineStr">
        <is>
          <t>Polar Haircare Max-614</t>
        </is>
      </c>
      <c r="D683" s="58" t="inlineStr">
        <is>
          <t>Beauty</t>
        </is>
      </c>
      <c r="E683" s="58" t="inlineStr">
        <is>
          <t>East</t>
        </is>
      </c>
      <c r="F683" s="61" t="n">
        <v>5</v>
      </c>
      <c r="G683" s="62" t="n">
        <v>124.14</v>
      </c>
      <c r="H683" s="63" t="n">
        <v>0.068</v>
      </c>
      <c r="I683" s="62" t="n">
        <v>70.27</v>
      </c>
      <c r="J683" s="58" t="inlineStr">
        <is>
          <t>Online</t>
        </is>
      </c>
      <c r="K683" s="62">
        <f>F683*(G683-H683)</f>
        <v/>
      </c>
      <c r="L683" s="62">
        <f>K683-(F683*I683)</f>
        <v/>
      </c>
      <c r="M683" s="64">
        <f>L683/K683</f>
        <v/>
      </c>
    </row>
    <row r="684">
      <c r="A684" s="58" t="inlineStr">
        <is>
          <t>RT20250116-00683</t>
        </is>
      </c>
      <c r="B684" s="59" t="inlineStr">
        <is>
          <t>2025-01-16</t>
        </is>
      </c>
      <c r="C684" s="60" t="inlineStr">
        <is>
          <t>Solace Kitchen Pro-999</t>
        </is>
      </c>
      <c r="D684" s="58" t="inlineStr">
        <is>
          <t>Home</t>
        </is>
      </c>
      <c r="E684" s="58" t="inlineStr">
        <is>
          <t>East</t>
        </is>
      </c>
      <c r="F684" s="61" t="n">
        <v>1</v>
      </c>
      <c r="G684" s="62" t="n">
        <v>361.84</v>
      </c>
      <c r="H684" s="63" t="n">
        <v>0.105</v>
      </c>
      <c r="I684" s="62" t="n">
        <v>265</v>
      </c>
      <c r="J684" s="58" t="inlineStr">
        <is>
          <t>Online</t>
        </is>
      </c>
      <c r="K684" s="62">
        <f>F684*(G684-H684)</f>
        <v/>
      </c>
      <c r="L684" s="62">
        <f>K684-(F684*I684)</f>
        <v/>
      </c>
      <c r="M684" s="64">
        <f>L684/K684</f>
        <v/>
      </c>
    </row>
    <row r="685">
      <c r="A685" s="58" t="inlineStr">
        <is>
          <t>RT20250116-00684</t>
        </is>
      </c>
      <c r="B685" s="59" t="inlineStr">
        <is>
          <t>2025-01-16</t>
        </is>
      </c>
      <c r="C685" s="60" t="inlineStr">
        <is>
          <t>Vertex Smartphone Pro-256</t>
        </is>
      </c>
      <c r="D685" s="58" t="inlineStr">
        <is>
          <t>Electronics</t>
        </is>
      </c>
      <c r="E685" s="58" t="inlineStr">
        <is>
          <t>South</t>
        </is>
      </c>
      <c r="F685" s="61" t="n">
        <v>2</v>
      </c>
      <c r="G685" s="62" t="n">
        <v>1290.43</v>
      </c>
      <c r="H685" s="63" t="n">
        <v>0.06900000000000001</v>
      </c>
      <c r="I685" s="62" t="n">
        <v>904</v>
      </c>
      <c r="J685" s="58" t="inlineStr">
        <is>
          <t>Store</t>
        </is>
      </c>
      <c r="K685" s="62">
        <f>F685*(G685-H685)</f>
        <v/>
      </c>
      <c r="L685" s="62">
        <f>K685-(F685*I685)</f>
        <v/>
      </c>
      <c r="M685" s="64">
        <f>L685/K685</f>
        <v/>
      </c>
    </row>
    <row r="686">
      <c r="A686" s="58" t="inlineStr">
        <is>
          <t>RT20250116-00685</t>
        </is>
      </c>
      <c r="B686" s="59" t="inlineStr">
        <is>
          <t>2025-01-16</t>
        </is>
      </c>
      <c r="C686" s="60" t="inlineStr">
        <is>
          <t>Nimbus Women Lite-814</t>
        </is>
      </c>
      <c r="D686" s="58" t="inlineStr">
        <is>
          <t>Apparel</t>
        </is>
      </c>
      <c r="E686" s="58" t="inlineStr">
        <is>
          <t>West</t>
        </is>
      </c>
      <c r="F686" s="61" t="n">
        <v>4</v>
      </c>
      <c r="G686" s="62" t="n">
        <v>153.96</v>
      </c>
      <c r="H686" s="63" t="n">
        <v>0.108</v>
      </c>
      <c r="I686" s="62" t="n">
        <v>82.67</v>
      </c>
      <c r="J686" s="58" t="inlineStr">
        <is>
          <t>Phone</t>
        </is>
      </c>
      <c r="K686" s="62">
        <f>F686*(G686-H686)</f>
        <v/>
      </c>
      <c r="L686" s="62">
        <f>K686-(F686*I686)</f>
        <v/>
      </c>
      <c r="M686" s="64">
        <f>L686/K686</f>
        <v/>
      </c>
    </row>
    <row r="687">
      <c r="A687" s="58" t="inlineStr">
        <is>
          <t>RT20250116-00686</t>
        </is>
      </c>
      <c r="B687" s="59" t="inlineStr">
        <is>
          <t>2025-01-16</t>
        </is>
      </c>
      <c r="C687" s="60" t="inlineStr">
        <is>
          <t>Orion Haircare Plus-887</t>
        </is>
      </c>
      <c r="D687" s="58" t="inlineStr">
        <is>
          <t>Beauty</t>
        </is>
      </c>
      <c r="E687" s="58" t="inlineStr">
        <is>
          <t>South</t>
        </is>
      </c>
      <c r="F687" s="61" t="n">
        <v>4</v>
      </c>
      <c r="G687" s="62" t="n">
        <v>45.26</v>
      </c>
      <c r="H687" s="63" t="n">
        <v>0</v>
      </c>
      <c r="I687" s="62" t="n">
        <v>30</v>
      </c>
      <c r="J687" s="58" t="inlineStr">
        <is>
          <t>Store</t>
        </is>
      </c>
      <c r="K687" s="62">
        <f>F687*(G687-H687)</f>
        <v/>
      </c>
      <c r="L687" s="62">
        <f>K687-(F687*I687)</f>
        <v/>
      </c>
      <c r="M687" s="64">
        <f>L687/K687</f>
        <v/>
      </c>
    </row>
    <row r="688">
      <c r="A688" s="58" t="inlineStr">
        <is>
          <t>RT20250116-00687</t>
        </is>
      </c>
      <c r="B688" s="59" t="inlineStr">
        <is>
          <t>2025-01-16</t>
        </is>
      </c>
      <c r="C688" s="60" t="inlineStr">
        <is>
          <t>Metro Smartphone Max-773</t>
        </is>
      </c>
      <c r="D688" s="58" t="inlineStr">
        <is>
          <t>Electronics</t>
        </is>
      </c>
      <c r="E688" s="58" t="inlineStr">
        <is>
          <t>South</t>
        </is>
      </c>
      <c r="F688" s="61" t="n">
        <v>2</v>
      </c>
      <c r="G688" s="62" t="n">
        <v>1633.57</v>
      </c>
      <c r="H688" s="63" t="n">
        <v>0.133</v>
      </c>
      <c r="I688" s="62" t="n">
        <v>1115.59</v>
      </c>
      <c r="J688" s="58" t="inlineStr">
        <is>
          <t>Store</t>
        </is>
      </c>
      <c r="K688" s="62">
        <f>F688*(G688-H688)</f>
        <v/>
      </c>
      <c r="L688" s="62">
        <f>K688-(F688*I688)</f>
        <v/>
      </c>
      <c r="M688" s="64">
        <f>L688/K688</f>
        <v/>
      </c>
    </row>
    <row r="689">
      <c r="A689" s="58" t="inlineStr">
        <is>
          <t>RT20250116-00688</t>
        </is>
      </c>
      <c r="B689" s="59" t="inlineStr">
        <is>
          <t>2025-01-16</t>
        </is>
      </c>
      <c r="C689" s="60" t="inlineStr">
        <is>
          <t>Orion Kid Max-640</t>
        </is>
      </c>
      <c r="D689" s="58" t="inlineStr">
        <is>
          <t>Apparel</t>
        </is>
      </c>
      <c r="E689" s="58" t="inlineStr">
        <is>
          <t>East</t>
        </is>
      </c>
      <c r="F689" s="61" t="n">
        <v>2</v>
      </c>
      <c r="G689" s="62" t="n">
        <v>125.3</v>
      </c>
      <c r="H689" s="63" t="n">
        <v>0.014</v>
      </c>
      <c r="I689" s="62" t="n">
        <v>69.14</v>
      </c>
      <c r="J689" s="58" t="inlineStr">
        <is>
          <t>Online</t>
        </is>
      </c>
      <c r="K689" s="62">
        <f>F689*(G689-H689)</f>
        <v/>
      </c>
      <c r="L689" s="62">
        <f>K689-(F689*I689)</f>
        <v/>
      </c>
      <c r="M689" s="64">
        <f>L689/K689</f>
        <v/>
      </c>
    </row>
    <row r="690">
      <c r="A690" s="58" t="inlineStr">
        <is>
          <t>RT20250117-00689</t>
        </is>
      </c>
      <c r="B690" s="59" t="inlineStr">
        <is>
          <t>2025-01-17</t>
        </is>
      </c>
      <c r="C690" s="60" t="inlineStr">
        <is>
          <t>Aurora Printer Plus-723</t>
        </is>
      </c>
      <c r="D690" s="58" t="inlineStr">
        <is>
          <t>Office</t>
        </is>
      </c>
      <c r="E690" s="58" t="inlineStr">
        <is>
          <t>West</t>
        </is>
      </c>
      <c r="F690" s="61" t="n">
        <v>3</v>
      </c>
      <c r="G690" s="62" t="n">
        <v>264.77</v>
      </c>
      <c r="H690" s="63" t="n">
        <v>0.08500000000000001</v>
      </c>
      <c r="I690" s="62" t="n">
        <v>184.76</v>
      </c>
      <c r="J690" s="58" t="inlineStr">
        <is>
          <t>Store</t>
        </is>
      </c>
      <c r="K690" s="62">
        <f>F690*(G690-H690)</f>
        <v/>
      </c>
      <c r="L690" s="62">
        <f>K690-(F690*I690)</f>
        <v/>
      </c>
      <c r="M690" s="64">
        <f>L690/K690</f>
        <v/>
      </c>
    </row>
    <row r="691">
      <c r="A691" s="58" t="inlineStr">
        <is>
          <t>RT20250117-00690</t>
        </is>
      </c>
      <c r="B691" s="59" t="inlineStr">
        <is>
          <t>2025-01-17</t>
        </is>
      </c>
      <c r="C691" s="60" t="inlineStr">
        <is>
          <t>Aurora Wearable Lite-704</t>
        </is>
      </c>
      <c r="D691" s="58" t="inlineStr">
        <is>
          <t>Electronics</t>
        </is>
      </c>
      <c r="E691" s="58" t="inlineStr">
        <is>
          <t>West</t>
        </is>
      </c>
      <c r="F691" s="61" t="n">
        <v>2</v>
      </c>
      <c r="G691" s="62" t="n">
        <v>1663.78</v>
      </c>
      <c r="H691" s="63" t="n">
        <v>0.039</v>
      </c>
      <c r="I691" s="62" t="n">
        <v>1482.72</v>
      </c>
      <c r="J691" s="58" t="inlineStr">
        <is>
          <t>Online</t>
        </is>
      </c>
      <c r="K691" s="62">
        <f>F691*(G691-H691)</f>
        <v/>
      </c>
      <c r="L691" s="62">
        <f>K691-(F691*I691)</f>
        <v/>
      </c>
      <c r="M691" s="64">
        <f>L691/K691</f>
        <v/>
      </c>
    </row>
    <row r="692">
      <c r="A692" s="58" t="inlineStr">
        <is>
          <t>RT20250117-00691</t>
        </is>
      </c>
      <c r="B692" s="59" t="inlineStr">
        <is>
          <t>2025-01-17</t>
        </is>
      </c>
      <c r="C692" s="60" t="inlineStr">
        <is>
          <t>Polar Pantry Lite-392</t>
        </is>
      </c>
      <c r="D692" s="58" t="inlineStr">
        <is>
          <t>Grocery</t>
        </is>
      </c>
      <c r="E692" s="58" t="inlineStr">
        <is>
          <t>West</t>
        </is>
      </c>
      <c r="F692" s="61" t="n">
        <v>4</v>
      </c>
      <c r="G692" s="62" t="n">
        <v>6.25</v>
      </c>
      <c r="H692" s="63" t="n">
        <v>0.03</v>
      </c>
      <c r="I692" s="62" t="n">
        <v>4.64</v>
      </c>
      <c r="J692" s="58" t="inlineStr">
        <is>
          <t>Online</t>
        </is>
      </c>
      <c r="K692" s="62">
        <f>F692*(G692-H692)</f>
        <v/>
      </c>
      <c r="L692" s="62">
        <f>K692-(F692*I692)</f>
        <v/>
      </c>
      <c r="M692" s="64">
        <f>L692/K692</f>
        <v/>
      </c>
    </row>
    <row r="693">
      <c r="A693" s="58" t="inlineStr">
        <is>
          <t>RT20250117-00692</t>
        </is>
      </c>
      <c r="B693" s="59" t="inlineStr">
        <is>
          <t>2025-01-17</t>
        </is>
      </c>
      <c r="C693" s="60" t="inlineStr">
        <is>
          <t>Aurora Bedding Plus-187</t>
        </is>
      </c>
      <c r="D693" s="58" t="inlineStr">
        <is>
          <t>Home</t>
        </is>
      </c>
      <c r="E693" s="58" t="inlineStr">
        <is>
          <t>East</t>
        </is>
      </c>
      <c r="F693" s="61" t="n">
        <v>2</v>
      </c>
      <c r="G693" s="62" t="n">
        <v>272.11</v>
      </c>
      <c r="H693" s="63" t="n">
        <v>0.07000000000000001</v>
      </c>
      <c r="I693" s="62" t="n">
        <v>215.33</v>
      </c>
      <c r="J693" s="58" t="inlineStr">
        <is>
          <t>Store</t>
        </is>
      </c>
      <c r="K693" s="62">
        <f>F693*(G693-H693)</f>
        <v/>
      </c>
      <c r="L693" s="62">
        <f>K693-(F693*I693)</f>
        <v/>
      </c>
      <c r="M693" s="64">
        <f>L693/K693</f>
        <v/>
      </c>
    </row>
    <row r="694">
      <c r="A694" s="58" t="inlineStr">
        <is>
          <t>RT20250117-00693</t>
        </is>
      </c>
      <c r="B694" s="59" t="inlineStr">
        <is>
          <t>2025-01-17</t>
        </is>
      </c>
      <c r="C694" s="60" t="inlineStr">
        <is>
          <t>Orion Haircare Plus-887</t>
        </is>
      </c>
      <c r="D694" s="58" t="inlineStr">
        <is>
          <t>Beauty</t>
        </is>
      </c>
      <c r="E694" s="58" t="inlineStr">
        <is>
          <t>East</t>
        </is>
      </c>
      <c r="F694" s="61" t="n">
        <v>1</v>
      </c>
      <c r="G694" s="62" t="n">
        <v>44.13</v>
      </c>
      <c r="H694" s="63" t="n">
        <v>0.08</v>
      </c>
      <c r="I694" s="62" t="n">
        <v>29.92</v>
      </c>
      <c r="J694" s="58" t="inlineStr">
        <is>
          <t>Online</t>
        </is>
      </c>
      <c r="K694" s="62">
        <f>F694*(G694-H694)</f>
        <v/>
      </c>
      <c r="L694" s="62">
        <f>K694-(F694*I694)</f>
        <v/>
      </c>
      <c r="M694" s="64">
        <f>L694/K694</f>
        <v/>
      </c>
    </row>
    <row r="695">
      <c r="A695" s="58" t="inlineStr">
        <is>
          <t>RT20250117-00694</t>
        </is>
      </c>
      <c r="B695" s="59" t="inlineStr">
        <is>
          <t>2025-01-17</t>
        </is>
      </c>
      <c r="C695" s="60" t="inlineStr">
        <is>
          <t>Polar Beverage S-258</t>
        </is>
      </c>
      <c r="D695" s="58" t="inlineStr">
        <is>
          <t>Grocery</t>
        </is>
      </c>
      <c r="E695" s="58" t="inlineStr">
        <is>
          <t>Central</t>
        </is>
      </c>
      <c r="F695" s="61" t="n">
        <v>2</v>
      </c>
      <c r="G695" s="62" t="n">
        <v>13.12</v>
      </c>
      <c r="H695" s="63" t="n">
        <v>0.046</v>
      </c>
      <c r="I695" s="62" t="n">
        <v>9.68</v>
      </c>
      <c r="J695" s="58" t="inlineStr">
        <is>
          <t>Store</t>
        </is>
      </c>
      <c r="K695" s="62">
        <f>F695*(G695-H695)</f>
        <v/>
      </c>
      <c r="L695" s="62">
        <f>K695-(F695*I695)</f>
        <v/>
      </c>
      <c r="M695" s="64">
        <f>L695/K695</f>
        <v/>
      </c>
    </row>
    <row r="696">
      <c r="A696" s="58" t="inlineStr">
        <is>
          <t>RT20250117-00695</t>
        </is>
      </c>
      <c r="B696" s="59" t="inlineStr">
        <is>
          <t>2025-01-17</t>
        </is>
      </c>
      <c r="C696" s="60" t="inlineStr">
        <is>
          <t>Nimbus Women Plus-352</t>
        </is>
      </c>
      <c r="D696" s="58" t="inlineStr">
        <is>
          <t>Apparel</t>
        </is>
      </c>
      <c r="E696" s="58" t="inlineStr">
        <is>
          <t>Central</t>
        </is>
      </c>
      <c r="F696" s="61" t="n">
        <v>4</v>
      </c>
      <c r="G696" s="62" t="n">
        <v>59.92</v>
      </c>
      <c r="H696" s="63" t="n">
        <v>0.133</v>
      </c>
      <c r="I696" s="62" t="n">
        <v>33.19</v>
      </c>
      <c r="J696" s="58" t="inlineStr">
        <is>
          <t>Online</t>
        </is>
      </c>
      <c r="K696" s="62">
        <f>F696*(G696-H696)</f>
        <v/>
      </c>
      <c r="L696" s="62">
        <f>K696-(F696*I696)</f>
        <v/>
      </c>
      <c r="M696" s="64">
        <f>L696/K696</f>
        <v/>
      </c>
    </row>
    <row r="697">
      <c r="A697" s="58" t="inlineStr">
        <is>
          <t>RT20250117-00696</t>
        </is>
      </c>
      <c r="B697" s="59" t="inlineStr">
        <is>
          <t>2025-01-17</t>
        </is>
      </c>
      <c r="C697" s="60" t="inlineStr">
        <is>
          <t>Aurora Fitnes Lite-194</t>
        </is>
      </c>
      <c r="D697" s="58" t="inlineStr">
        <is>
          <t>Sports</t>
        </is>
      </c>
      <c r="E697" s="58" t="inlineStr">
        <is>
          <t>East</t>
        </is>
      </c>
      <c r="F697" s="61" t="n">
        <v>1</v>
      </c>
      <c r="G697" s="62" t="n">
        <v>631.59</v>
      </c>
      <c r="H697" s="63" t="n">
        <v>0.051</v>
      </c>
      <c r="I697" s="62" t="n">
        <v>478.06</v>
      </c>
      <c r="J697" s="58" t="inlineStr">
        <is>
          <t>Online</t>
        </is>
      </c>
      <c r="K697" s="62">
        <f>F697*(G697-H697)</f>
        <v/>
      </c>
      <c r="L697" s="62">
        <f>K697-(F697*I697)</f>
        <v/>
      </c>
      <c r="M697" s="64">
        <f>L697/K697</f>
        <v/>
      </c>
    </row>
    <row r="698">
      <c r="A698" s="58" t="inlineStr">
        <is>
          <t>RT20250117-00697</t>
        </is>
      </c>
      <c r="B698" s="59" t="inlineStr">
        <is>
          <t>2025-01-17</t>
        </is>
      </c>
      <c r="C698" s="60" t="inlineStr">
        <is>
          <t>Falcon Household Plus-796</t>
        </is>
      </c>
      <c r="D698" s="58" t="inlineStr">
        <is>
          <t>Grocery</t>
        </is>
      </c>
      <c r="E698" s="58" t="inlineStr">
        <is>
          <t>East</t>
        </is>
      </c>
      <c r="F698" s="61" t="n">
        <v>5</v>
      </c>
      <c r="G698" s="62" t="n">
        <v>24.89</v>
      </c>
      <c r="H698" s="63" t="n">
        <v>0.079</v>
      </c>
      <c r="I698" s="62" t="n">
        <v>17.18</v>
      </c>
      <c r="J698" s="58" t="inlineStr">
        <is>
          <t>Online</t>
        </is>
      </c>
      <c r="K698" s="62">
        <f>F698*(G698-H698)</f>
        <v/>
      </c>
      <c r="L698" s="62">
        <f>K698-(F698*I698)</f>
        <v/>
      </c>
      <c r="M698" s="64">
        <f>L698/K698</f>
        <v/>
      </c>
    </row>
    <row r="699">
      <c r="A699" s="58" t="inlineStr">
        <is>
          <t>RT20250117-00698</t>
        </is>
      </c>
      <c r="B699" s="59" t="inlineStr">
        <is>
          <t>2025-01-17</t>
        </is>
      </c>
      <c r="C699" s="60" t="inlineStr">
        <is>
          <t>Falcon Wearable X-334</t>
        </is>
      </c>
      <c r="D699" s="58" t="inlineStr">
        <is>
          <t>Electronics</t>
        </is>
      </c>
      <c r="E699" s="58" t="inlineStr">
        <is>
          <t>West</t>
        </is>
      </c>
      <c r="F699" s="61" t="n">
        <v>1</v>
      </c>
      <c r="G699" s="62" t="n">
        <v>2099.33</v>
      </c>
      <c r="H699" s="63" t="n">
        <v>0.07199999999999999</v>
      </c>
      <c r="I699" s="62" t="n">
        <v>1521.08</v>
      </c>
      <c r="J699" s="58" t="inlineStr">
        <is>
          <t>Online</t>
        </is>
      </c>
      <c r="K699" s="62">
        <f>F699*(G699-H699)</f>
        <v/>
      </c>
      <c r="L699" s="62">
        <f>K699-(F699*I699)</f>
        <v/>
      </c>
      <c r="M699" s="64">
        <f>L699/K699</f>
        <v/>
      </c>
    </row>
    <row r="700">
      <c r="A700" s="58" t="inlineStr">
        <is>
          <t>RT20250117-00699</t>
        </is>
      </c>
      <c r="B700" s="59" t="inlineStr">
        <is>
          <t>2025-01-17</t>
        </is>
      </c>
      <c r="C700" s="60" t="inlineStr">
        <is>
          <t>Orion Fragrance Lite-785</t>
        </is>
      </c>
      <c r="D700" s="58" t="inlineStr">
        <is>
          <t>Beauty</t>
        </is>
      </c>
      <c r="E700" s="58" t="inlineStr">
        <is>
          <t>East</t>
        </is>
      </c>
      <c r="F700" s="61" t="n">
        <v>5</v>
      </c>
      <c r="G700" s="62" t="n">
        <v>46.65</v>
      </c>
      <c r="H700" s="63" t="n">
        <v>0.067</v>
      </c>
      <c r="I700" s="62" t="n">
        <v>26.79</v>
      </c>
      <c r="J700" s="58" t="inlineStr">
        <is>
          <t>Online</t>
        </is>
      </c>
      <c r="K700" s="62">
        <f>F700*(G700-H700)</f>
        <v/>
      </c>
      <c r="L700" s="62">
        <f>K700-(F700*I700)</f>
        <v/>
      </c>
      <c r="M700" s="64">
        <f>L700/K700</f>
        <v/>
      </c>
    </row>
    <row r="701">
      <c r="A701" s="58" t="inlineStr">
        <is>
          <t>RT20250117-00700</t>
        </is>
      </c>
      <c r="B701" s="59" t="inlineStr">
        <is>
          <t>2025-01-17</t>
        </is>
      </c>
      <c r="C701" s="60" t="inlineStr">
        <is>
          <t>Solace Kitchen Pro-999</t>
        </is>
      </c>
      <c r="D701" s="58" t="inlineStr">
        <is>
          <t>Home</t>
        </is>
      </c>
      <c r="E701" s="58" t="inlineStr">
        <is>
          <t>Central</t>
        </is>
      </c>
      <c r="F701" s="61" t="n">
        <v>1</v>
      </c>
      <c r="G701" s="62" t="n">
        <v>412.57</v>
      </c>
      <c r="H701" s="63" t="n">
        <v>0.049</v>
      </c>
      <c r="I701" s="62" t="n">
        <v>263.14</v>
      </c>
      <c r="J701" s="58" t="inlineStr">
        <is>
          <t>Online</t>
        </is>
      </c>
      <c r="K701" s="62">
        <f>F701*(G701-H701)</f>
        <v/>
      </c>
      <c r="L701" s="62">
        <f>K701-(F701*I701)</f>
        <v/>
      </c>
      <c r="M701" s="64">
        <f>L701/K701</f>
        <v/>
      </c>
    </row>
    <row r="702">
      <c r="A702" s="58" t="inlineStr">
        <is>
          <t>RT20250117-00701</t>
        </is>
      </c>
      <c r="B702" s="59" t="inlineStr">
        <is>
          <t>2025-01-17</t>
        </is>
      </c>
      <c r="C702" s="60" t="inlineStr">
        <is>
          <t>Aurora Team Sport Plus-256</t>
        </is>
      </c>
      <c r="D702" s="58" t="inlineStr">
        <is>
          <t>Sports</t>
        </is>
      </c>
      <c r="E702" s="58" t="inlineStr">
        <is>
          <t>West</t>
        </is>
      </c>
      <c r="F702" s="61" t="n">
        <v>1</v>
      </c>
      <c r="G702" s="62" t="n">
        <v>691.5</v>
      </c>
      <c r="H702" s="63" t="n">
        <v>0.075</v>
      </c>
      <c r="I702" s="62" t="n">
        <v>408.05</v>
      </c>
      <c r="J702" s="58" t="inlineStr">
        <is>
          <t>Online</t>
        </is>
      </c>
      <c r="K702" s="62">
        <f>F702*(G702-H702)</f>
        <v/>
      </c>
      <c r="L702" s="62">
        <f>K702-(F702*I702)</f>
        <v/>
      </c>
      <c r="M702" s="64">
        <f>L702/K702</f>
        <v/>
      </c>
    </row>
    <row r="703">
      <c r="A703" s="58" t="inlineStr">
        <is>
          <t>RT20250117-00702</t>
        </is>
      </c>
      <c r="B703" s="59" t="inlineStr">
        <is>
          <t>2025-01-17</t>
        </is>
      </c>
      <c r="C703" s="60" t="inlineStr">
        <is>
          <t>Vertex Supplie X-513</t>
        </is>
      </c>
      <c r="D703" s="58" t="inlineStr">
        <is>
          <t>Office</t>
        </is>
      </c>
      <c r="E703" s="58" t="inlineStr">
        <is>
          <t>West</t>
        </is>
      </c>
      <c r="F703" s="61" t="n">
        <v>2</v>
      </c>
      <c r="G703" s="62" t="n">
        <v>346.76</v>
      </c>
      <c r="H703" s="63" t="n">
        <v>0.07099999999999999</v>
      </c>
      <c r="I703" s="62" t="n">
        <v>283.66</v>
      </c>
      <c r="J703" s="58" t="inlineStr">
        <is>
          <t>Online</t>
        </is>
      </c>
      <c r="K703" s="62">
        <f>F703*(G703-H703)</f>
        <v/>
      </c>
      <c r="L703" s="62">
        <f>K703-(F703*I703)</f>
        <v/>
      </c>
      <c r="M703" s="64">
        <f>L703/K703</f>
        <v/>
      </c>
    </row>
    <row r="704">
      <c r="A704" s="58" t="inlineStr">
        <is>
          <t>RT20250117-00703</t>
        </is>
      </c>
      <c r="B704" s="59" t="inlineStr">
        <is>
          <t>2025-01-17</t>
        </is>
      </c>
      <c r="C704" s="60" t="inlineStr">
        <is>
          <t>Solace Makeup Pro-214</t>
        </is>
      </c>
      <c r="D704" s="58" t="inlineStr">
        <is>
          <t>Beauty</t>
        </is>
      </c>
      <c r="E704" s="58" t="inlineStr">
        <is>
          <t>South</t>
        </is>
      </c>
      <c r="F704" s="61" t="n">
        <v>5</v>
      </c>
      <c r="G704" s="62" t="n">
        <v>97.28</v>
      </c>
      <c r="H704" s="63" t="n">
        <v>0.079</v>
      </c>
      <c r="I704" s="62" t="n">
        <v>67.56</v>
      </c>
      <c r="J704" s="58" t="inlineStr">
        <is>
          <t>Store</t>
        </is>
      </c>
      <c r="K704" s="62">
        <f>F704*(G704-H704)</f>
        <v/>
      </c>
      <c r="L704" s="62">
        <f>K704-(F704*I704)</f>
        <v/>
      </c>
      <c r="M704" s="64">
        <f>L704/K704</f>
        <v/>
      </c>
    </row>
    <row r="705">
      <c r="A705" s="58" t="inlineStr">
        <is>
          <t>RT20250117-00704</t>
        </is>
      </c>
      <c r="B705" s="59" t="inlineStr">
        <is>
          <t>2025-01-17</t>
        </is>
      </c>
      <c r="C705" s="60" t="inlineStr">
        <is>
          <t>Vertex Snack S-702</t>
        </is>
      </c>
      <c r="D705" s="58" t="inlineStr">
        <is>
          <t>Grocery</t>
        </is>
      </c>
      <c r="E705" s="58" t="inlineStr">
        <is>
          <t>Central</t>
        </is>
      </c>
      <c r="F705" s="61" t="n">
        <v>8</v>
      </c>
      <c r="G705" s="62" t="n">
        <v>2.08</v>
      </c>
      <c r="H705" s="63" t="n">
        <v>0.119</v>
      </c>
      <c r="I705" s="62" t="n">
        <v>1.47</v>
      </c>
      <c r="J705" s="58" t="inlineStr">
        <is>
          <t>Online</t>
        </is>
      </c>
      <c r="K705" s="62">
        <f>F705*(G705-H705)</f>
        <v/>
      </c>
      <c r="L705" s="62">
        <f>K705-(F705*I705)</f>
        <v/>
      </c>
      <c r="M705" s="64">
        <f>L705/K705</f>
        <v/>
      </c>
    </row>
    <row r="706">
      <c r="A706" s="58" t="inlineStr">
        <is>
          <t>RT20250117-00705</t>
        </is>
      </c>
      <c r="B706" s="59" t="inlineStr">
        <is>
          <t>2025-01-17</t>
        </is>
      </c>
      <c r="C706" s="60" t="inlineStr">
        <is>
          <t>Polar Supplie Lite-348</t>
        </is>
      </c>
      <c r="D706" s="58" t="inlineStr">
        <is>
          <t>Office</t>
        </is>
      </c>
      <c r="E706" s="58" t="inlineStr">
        <is>
          <t>East</t>
        </is>
      </c>
      <c r="F706" s="61" t="n">
        <v>3</v>
      </c>
      <c r="G706" s="62" t="n">
        <v>419.9</v>
      </c>
      <c r="H706" s="63" t="n">
        <v>0.066</v>
      </c>
      <c r="I706" s="62" t="n">
        <v>323.54</v>
      </c>
      <c r="J706" s="58" t="inlineStr">
        <is>
          <t>Online</t>
        </is>
      </c>
      <c r="K706" s="62">
        <f>F706*(G706-H706)</f>
        <v/>
      </c>
      <c r="L706" s="62">
        <f>K706-(F706*I706)</f>
        <v/>
      </c>
      <c r="M706" s="64">
        <f>L706/K706</f>
        <v/>
      </c>
    </row>
    <row r="707">
      <c r="A707" s="58" t="inlineStr">
        <is>
          <t>RT20250117-00706</t>
        </is>
      </c>
      <c r="B707" s="59" t="inlineStr">
        <is>
          <t>2025-01-17</t>
        </is>
      </c>
      <c r="C707" s="60" t="inlineStr">
        <is>
          <t>Falcon Headphone Pro-713</t>
        </is>
      </c>
      <c r="D707" s="58" t="inlineStr">
        <is>
          <t>Electronics</t>
        </is>
      </c>
      <c r="E707" s="58" t="inlineStr">
        <is>
          <t>South</t>
        </is>
      </c>
      <c r="F707" s="61" t="n">
        <v>1</v>
      </c>
      <c r="G707" s="62" t="n">
        <v>1557.37</v>
      </c>
      <c r="H707" s="63" t="n">
        <v>0.108</v>
      </c>
      <c r="I707" s="62" t="n">
        <v>1165.51</v>
      </c>
      <c r="J707" s="58" t="inlineStr">
        <is>
          <t>Online</t>
        </is>
      </c>
      <c r="K707" s="62">
        <f>F707*(G707-H707)</f>
        <v/>
      </c>
      <c r="L707" s="62">
        <f>K707-(F707*I707)</f>
        <v/>
      </c>
      <c r="M707" s="64">
        <f>L707/K707</f>
        <v/>
      </c>
    </row>
    <row r="708">
      <c r="A708" s="58" t="inlineStr">
        <is>
          <t>RT20250117-00707</t>
        </is>
      </c>
      <c r="B708" s="59" t="inlineStr">
        <is>
          <t>2025-01-17</t>
        </is>
      </c>
      <c r="C708" s="60" t="inlineStr">
        <is>
          <t>Nimbus Men Plus-231</t>
        </is>
      </c>
      <c r="D708" s="58" t="inlineStr">
        <is>
          <t>Apparel</t>
        </is>
      </c>
      <c r="E708" s="58" t="inlineStr">
        <is>
          <t>West</t>
        </is>
      </c>
      <c r="F708" s="61" t="n">
        <v>3</v>
      </c>
      <c r="G708" s="62" t="n">
        <v>159.02</v>
      </c>
      <c r="H708" s="63" t="n">
        <v>0.02</v>
      </c>
      <c r="I708" s="62" t="n">
        <v>85.78</v>
      </c>
      <c r="J708" s="58" t="inlineStr">
        <is>
          <t>Online</t>
        </is>
      </c>
      <c r="K708" s="62">
        <f>F708*(G708-H708)</f>
        <v/>
      </c>
      <c r="L708" s="62">
        <f>K708-(F708*I708)</f>
        <v/>
      </c>
      <c r="M708" s="64">
        <f>L708/K708</f>
        <v/>
      </c>
    </row>
    <row r="709">
      <c r="A709" s="58" t="inlineStr">
        <is>
          <t>RT20250117-00708</t>
        </is>
      </c>
      <c r="B709" s="59" t="inlineStr">
        <is>
          <t>2025-01-17</t>
        </is>
      </c>
      <c r="C709" s="60" t="inlineStr">
        <is>
          <t>Orion Haircare Plus-887</t>
        </is>
      </c>
      <c r="D709" s="58" t="inlineStr">
        <is>
          <t>Beauty</t>
        </is>
      </c>
      <c r="E709" s="58" t="inlineStr">
        <is>
          <t>Central</t>
        </is>
      </c>
      <c r="F709" s="61" t="n">
        <v>4</v>
      </c>
      <c r="G709" s="62" t="n">
        <v>57.62</v>
      </c>
      <c r="H709" s="63" t="n">
        <v>0.055</v>
      </c>
      <c r="I709" s="62" t="n">
        <v>31.02</v>
      </c>
      <c r="J709" s="58" t="inlineStr">
        <is>
          <t>Online</t>
        </is>
      </c>
      <c r="K709" s="62">
        <f>F709*(G709-H709)</f>
        <v/>
      </c>
      <c r="L709" s="62">
        <f>K709-(F709*I709)</f>
        <v/>
      </c>
      <c r="M709" s="64">
        <f>L709/K709</f>
        <v/>
      </c>
    </row>
    <row r="710">
      <c r="A710" s="58" t="inlineStr">
        <is>
          <t>RT20250117-00709</t>
        </is>
      </c>
      <c r="B710" s="59" t="inlineStr">
        <is>
          <t>2025-01-17</t>
        </is>
      </c>
      <c r="C710" s="60" t="inlineStr">
        <is>
          <t>Aurora Household Plus-146</t>
        </is>
      </c>
      <c r="D710" s="58" t="inlineStr">
        <is>
          <t>Grocery</t>
        </is>
      </c>
      <c r="E710" s="58" t="inlineStr">
        <is>
          <t>East</t>
        </is>
      </c>
      <c r="F710" s="61" t="n">
        <v>6</v>
      </c>
      <c r="G710" s="62" t="n">
        <v>5.47</v>
      </c>
      <c r="H710" s="63" t="n">
        <v>0.067</v>
      </c>
      <c r="I710" s="62" t="n">
        <v>4.43</v>
      </c>
      <c r="J710" s="58" t="inlineStr">
        <is>
          <t>Online</t>
        </is>
      </c>
      <c r="K710" s="62">
        <f>F710*(G710-H710)</f>
        <v/>
      </c>
      <c r="L710" s="62">
        <f>K710-(F710*I710)</f>
        <v/>
      </c>
      <c r="M710" s="64">
        <f>L710/K710</f>
        <v/>
      </c>
    </row>
    <row r="711">
      <c r="A711" s="58" t="inlineStr">
        <is>
          <t>RT20250117-00710</t>
        </is>
      </c>
      <c r="B711" s="59" t="inlineStr">
        <is>
          <t>2025-01-17</t>
        </is>
      </c>
      <c r="C711" s="60" t="inlineStr">
        <is>
          <t>Aurora Fitnes Lite-194</t>
        </is>
      </c>
      <c r="D711" s="58" t="inlineStr">
        <is>
          <t>Sports</t>
        </is>
      </c>
      <c r="E711" s="58" t="inlineStr">
        <is>
          <t>North</t>
        </is>
      </c>
      <c r="F711" s="61" t="n">
        <v>1</v>
      </c>
      <c r="G711" s="62" t="n">
        <v>753.02</v>
      </c>
      <c r="H711" s="63" t="n">
        <v>0.096</v>
      </c>
      <c r="I711" s="62" t="n">
        <v>460.36</v>
      </c>
      <c r="J711" s="58" t="inlineStr">
        <is>
          <t>Store</t>
        </is>
      </c>
      <c r="K711" s="62">
        <f>F711*(G711-H711)</f>
        <v/>
      </c>
      <c r="L711" s="62">
        <f>K711-(F711*I711)</f>
        <v/>
      </c>
      <c r="M711" s="64">
        <f>L711/K711</f>
        <v/>
      </c>
    </row>
    <row r="712">
      <c r="A712" s="58" t="inlineStr">
        <is>
          <t>RT20250118-00711</t>
        </is>
      </c>
      <c r="B712" s="59" t="inlineStr">
        <is>
          <t>2025-01-18</t>
        </is>
      </c>
      <c r="C712" s="60" t="inlineStr">
        <is>
          <t>Orion Supplie S-612</t>
        </is>
      </c>
      <c r="D712" s="58" t="inlineStr">
        <is>
          <t>Office</t>
        </is>
      </c>
      <c r="E712" s="58" t="inlineStr">
        <is>
          <t>East</t>
        </is>
      </c>
      <c r="F712" s="61" t="n">
        <v>2</v>
      </c>
      <c r="G712" s="62" t="n">
        <v>470.41</v>
      </c>
      <c r="H712" s="63" t="n">
        <v>0.067</v>
      </c>
      <c r="I712" s="62" t="n">
        <v>335.36</v>
      </c>
      <c r="J712" s="58" t="inlineStr">
        <is>
          <t>Store</t>
        </is>
      </c>
      <c r="K712" s="62">
        <f>F712*(G712-H712)</f>
        <v/>
      </c>
      <c r="L712" s="62">
        <f>K712-(F712*I712)</f>
        <v/>
      </c>
      <c r="M712" s="64">
        <f>L712/K712</f>
        <v/>
      </c>
    </row>
    <row r="713">
      <c r="A713" s="58" t="inlineStr">
        <is>
          <t>RT20250118-00712</t>
        </is>
      </c>
      <c r="B713" s="59" t="inlineStr">
        <is>
          <t>2025-01-18</t>
        </is>
      </c>
      <c r="C713" s="60" t="inlineStr">
        <is>
          <t>Aurora Household Plus-146</t>
        </is>
      </c>
      <c r="D713" s="58" t="inlineStr">
        <is>
          <t>Grocery</t>
        </is>
      </c>
      <c r="E713" s="58" t="inlineStr">
        <is>
          <t>East</t>
        </is>
      </c>
      <c r="F713" s="61" t="n">
        <v>8</v>
      </c>
      <c r="G713" s="62" t="n">
        <v>6.35</v>
      </c>
      <c r="H713" s="63" t="n">
        <v>0.082</v>
      </c>
      <c r="I713" s="62" t="n">
        <v>4.61</v>
      </c>
      <c r="J713" s="58" t="inlineStr">
        <is>
          <t>Store</t>
        </is>
      </c>
      <c r="K713" s="62">
        <f>F713*(G713-H713)</f>
        <v/>
      </c>
      <c r="L713" s="62">
        <f>K713-(F713*I713)</f>
        <v/>
      </c>
      <c r="M713" s="64">
        <f>L713/K713</f>
        <v/>
      </c>
    </row>
    <row r="714">
      <c r="A714" s="58" t="inlineStr">
        <is>
          <t>RT20250118-00713</t>
        </is>
      </c>
      <c r="B714" s="59" t="inlineStr">
        <is>
          <t>2025-01-18</t>
        </is>
      </c>
      <c r="C714" s="60" t="inlineStr">
        <is>
          <t>Metro Beverage Max-490</t>
        </is>
      </c>
      <c r="D714" s="58" t="inlineStr">
        <is>
          <t>Grocery</t>
        </is>
      </c>
      <c r="E714" s="58" t="inlineStr">
        <is>
          <t>West</t>
        </is>
      </c>
      <c r="F714" s="61" t="n">
        <v>6</v>
      </c>
      <c r="G714" s="62" t="n">
        <v>10.84</v>
      </c>
      <c r="H714" s="63" t="n">
        <v>0.137</v>
      </c>
      <c r="I714" s="62" t="n">
        <v>7.95</v>
      </c>
      <c r="J714" s="58" t="inlineStr">
        <is>
          <t>Online</t>
        </is>
      </c>
      <c r="K714" s="62">
        <f>F714*(G714-H714)</f>
        <v/>
      </c>
      <c r="L714" s="62">
        <f>K714-(F714*I714)</f>
        <v/>
      </c>
      <c r="M714" s="64">
        <f>L714/K714</f>
        <v/>
      </c>
    </row>
    <row r="715">
      <c r="A715" s="58" t="inlineStr">
        <is>
          <t>RT20250118-00714</t>
        </is>
      </c>
      <c r="B715" s="59" t="inlineStr">
        <is>
          <t>2025-01-18</t>
        </is>
      </c>
      <c r="C715" s="60" t="inlineStr">
        <is>
          <t>Orion Storage Plus-961</t>
        </is>
      </c>
      <c r="D715" s="58" t="inlineStr">
        <is>
          <t>Office</t>
        </is>
      </c>
      <c r="E715" s="58" t="inlineStr">
        <is>
          <t>Central</t>
        </is>
      </c>
      <c r="F715" s="61" t="n">
        <v>3</v>
      </c>
      <c r="G715" s="62" t="n">
        <v>491.02</v>
      </c>
      <c r="H715" s="63" t="n">
        <v>0.09</v>
      </c>
      <c r="I715" s="62" t="n">
        <v>357.96</v>
      </c>
      <c r="J715" s="58" t="inlineStr">
        <is>
          <t>Store</t>
        </is>
      </c>
      <c r="K715" s="62">
        <f>F715*(G715-H715)</f>
        <v/>
      </c>
      <c r="L715" s="62">
        <f>K715-(F715*I715)</f>
        <v/>
      </c>
      <c r="M715" s="64">
        <f>L715/K715</f>
        <v/>
      </c>
    </row>
    <row r="716">
      <c r="A716" s="58" t="inlineStr">
        <is>
          <t>RT20250118-00715</t>
        </is>
      </c>
      <c r="B716" s="59" t="inlineStr">
        <is>
          <t>2025-01-18</t>
        </is>
      </c>
      <c r="C716" s="60" t="inlineStr">
        <is>
          <t>Solace Bedding Plus-317</t>
        </is>
      </c>
      <c r="D716" s="58" t="inlineStr">
        <is>
          <t>Home</t>
        </is>
      </c>
      <c r="E716" s="58" t="inlineStr">
        <is>
          <t>Central</t>
        </is>
      </c>
      <c r="F716" s="61" t="n">
        <v>3</v>
      </c>
      <c r="G716" s="62" t="n">
        <v>565.0599999999999</v>
      </c>
      <c r="H716" s="63" t="n">
        <v>0.062</v>
      </c>
      <c r="I716" s="62" t="n">
        <v>384.95</v>
      </c>
      <c r="J716" s="58" t="inlineStr">
        <is>
          <t>Online</t>
        </is>
      </c>
      <c r="K716" s="62">
        <f>F716*(G716-H716)</f>
        <v/>
      </c>
      <c r="L716" s="62">
        <f>K716-(F716*I716)</f>
        <v/>
      </c>
      <c r="M716" s="64">
        <f>L716/K716</f>
        <v/>
      </c>
    </row>
    <row r="717">
      <c r="A717" s="58" t="inlineStr">
        <is>
          <t>RT20250118-00716</t>
        </is>
      </c>
      <c r="B717" s="59" t="inlineStr">
        <is>
          <t>2025-01-18</t>
        </is>
      </c>
      <c r="C717" s="60" t="inlineStr">
        <is>
          <t>Aurora Kid Plus-151</t>
        </is>
      </c>
      <c r="D717" s="58" t="inlineStr">
        <is>
          <t>Apparel</t>
        </is>
      </c>
      <c r="E717" s="58" t="inlineStr">
        <is>
          <t>Central</t>
        </is>
      </c>
      <c r="F717" s="61" t="n">
        <v>1</v>
      </c>
      <c r="G717" s="62" t="n">
        <v>111.12</v>
      </c>
      <c r="H717" s="63" t="n">
        <v>0.045</v>
      </c>
      <c r="I717" s="62" t="n">
        <v>66.31999999999999</v>
      </c>
      <c r="J717" s="58" t="inlineStr">
        <is>
          <t>Online</t>
        </is>
      </c>
      <c r="K717" s="62">
        <f>F717*(G717-H717)</f>
        <v/>
      </c>
      <c r="L717" s="62">
        <f>K717-(F717*I717)</f>
        <v/>
      </c>
      <c r="M717" s="64">
        <f>L717/K717</f>
        <v/>
      </c>
    </row>
    <row r="718">
      <c r="A718" s="58" t="inlineStr">
        <is>
          <t>RT20250118-00717</t>
        </is>
      </c>
      <c r="B718" s="59" t="inlineStr">
        <is>
          <t>2025-01-18</t>
        </is>
      </c>
      <c r="C718" s="60" t="inlineStr">
        <is>
          <t>Aurora Bedding Max-175</t>
        </is>
      </c>
      <c r="D718" s="58" t="inlineStr">
        <is>
          <t>Home</t>
        </is>
      </c>
      <c r="E718" s="58" t="inlineStr">
        <is>
          <t>Central</t>
        </is>
      </c>
      <c r="F718" s="61" t="n">
        <v>1</v>
      </c>
      <c r="G718" s="62" t="n">
        <v>626.4400000000001</v>
      </c>
      <c r="H718" s="63" t="n">
        <v>0.06900000000000001</v>
      </c>
      <c r="I718" s="62" t="n">
        <v>417.85</v>
      </c>
      <c r="J718" s="58" t="inlineStr">
        <is>
          <t>Online</t>
        </is>
      </c>
      <c r="K718" s="62">
        <f>F718*(G718-H718)</f>
        <v/>
      </c>
      <c r="L718" s="62">
        <f>K718-(F718*I718)</f>
        <v/>
      </c>
      <c r="M718" s="64">
        <f>L718/K718</f>
        <v/>
      </c>
    </row>
    <row r="719">
      <c r="A719" s="58" t="inlineStr">
        <is>
          <t>RT20250118-00718</t>
        </is>
      </c>
      <c r="B719" s="59" t="inlineStr">
        <is>
          <t>2025-01-18</t>
        </is>
      </c>
      <c r="C719" s="60" t="inlineStr">
        <is>
          <t>Vertex Supplie X-513</t>
        </is>
      </c>
      <c r="D719" s="58" t="inlineStr">
        <is>
          <t>Office</t>
        </is>
      </c>
      <c r="E719" s="58" t="inlineStr">
        <is>
          <t>East</t>
        </is>
      </c>
      <c r="F719" s="61" t="n">
        <v>3</v>
      </c>
      <c r="G719" s="62" t="n">
        <v>374.37</v>
      </c>
      <c r="H719" s="63" t="n">
        <v>0.101</v>
      </c>
      <c r="I719" s="62" t="n">
        <v>284.34</v>
      </c>
      <c r="J719" s="58" t="inlineStr">
        <is>
          <t>Online</t>
        </is>
      </c>
      <c r="K719" s="62">
        <f>F719*(G719-H719)</f>
        <v/>
      </c>
      <c r="L719" s="62">
        <f>K719-(F719*I719)</f>
        <v/>
      </c>
      <c r="M719" s="64">
        <f>L719/K719</f>
        <v/>
      </c>
    </row>
    <row r="720">
      <c r="A720" s="58" t="inlineStr">
        <is>
          <t>RT20250118-00719</t>
        </is>
      </c>
      <c r="B720" s="59" t="inlineStr">
        <is>
          <t>2025-01-18</t>
        </is>
      </c>
      <c r="C720" s="60" t="inlineStr">
        <is>
          <t>Aurora Household Plus-146</t>
        </is>
      </c>
      <c r="D720" s="58" t="inlineStr">
        <is>
          <t>Grocery</t>
        </is>
      </c>
      <c r="E720" s="58" t="inlineStr">
        <is>
          <t>East</t>
        </is>
      </c>
      <c r="F720" s="61" t="n">
        <v>2</v>
      </c>
      <c r="G720" s="62" t="n">
        <v>5.81</v>
      </c>
      <c r="H720" s="63" t="n">
        <v>0.051</v>
      </c>
      <c r="I720" s="62" t="n">
        <v>4.63</v>
      </c>
      <c r="J720" s="58" t="inlineStr">
        <is>
          <t>Online</t>
        </is>
      </c>
      <c r="K720" s="62">
        <f>F720*(G720-H720)</f>
        <v/>
      </c>
      <c r="L720" s="62">
        <f>K720-(F720*I720)</f>
        <v/>
      </c>
      <c r="M720" s="64">
        <f>L720/K720</f>
        <v/>
      </c>
    </row>
    <row r="721">
      <c r="A721" s="58" t="inlineStr">
        <is>
          <t>RT20250118-00720</t>
        </is>
      </c>
      <c r="B721" s="59" t="inlineStr">
        <is>
          <t>2025-01-18</t>
        </is>
      </c>
      <c r="C721" s="60" t="inlineStr">
        <is>
          <t>Polar Pantry Lite-392</t>
        </is>
      </c>
      <c r="D721" s="58" t="inlineStr">
        <is>
          <t>Grocery</t>
        </is>
      </c>
      <c r="E721" s="58" t="inlineStr">
        <is>
          <t>West</t>
        </is>
      </c>
      <c r="F721" s="61" t="n">
        <v>4</v>
      </c>
      <c r="G721" s="62" t="n">
        <v>6.22</v>
      </c>
      <c r="H721" s="63" t="n">
        <v>0.074</v>
      </c>
      <c r="I721" s="62" t="n">
        <v>4.58</v>
      </c>
      <c r="J721" s="58" t="inlineStr">
        <is>
          <t>Store</t>
        </is>
      </c>
      <c r="K721" s="62">
        <f>F721*(G721-H721)</f>
        <v/>
      </c>
      <c r="L721" s="62">
        <f>K721-(F721*I721)</f>
        <v/>
      </c>
      <c r="M721" s="64">
        <f>L721/K721</f>
        <v/>
      </c>
    </row>
    <row r="722">
      <c r="A722" s="58" t="inlineStr">
        <is>
          <t>RT20250118-00721</t>
        </is>
      </c>
      <c r="B722" s="59" t="inlineStr">
        <is>
          <t>2025-01-18</t>
        </is>
      </c>
      <c r="C722" s="60" t="inlineStr">
        <is>
          <t>Falcon Household Pro-865</t>
        </is>
      </c>
      <c r="D722" s="58" t="inlineStr">
        <is>
          <t>Grocery</t>
        </is>
      </c>
      <c r="E722" s="58" t="inlineStr">
        <is>
          <t>South</t>
        </is>
      </c>
      <c r="F722" s="61" t="n">
        <v>3</v>
      </c>
      <c r="G722" s="62" t="n">
        <v>9.77</v>
      </c>
      <c r="H722" s="63" t="n">
        <v>0.029</v>
      </c>
      <c r="I722" s="62" t="n">
        <v>7.84</v>
      </c>
      <c r="J722" s="58" t="inlineStr">
        <is>
          <t>Store</t>
        </is>
      </c>
      <c r="K722" s="62">
        <f>F722*(G722-H722)</f>
        <v/>
      </c>
      <c r="L722" s="62">
        <f>K722-(F722*I722)</f>
        <v/>
      </c>
      <c r="M722" s="64">
        <f>L722/K722</f>
        <v/>
      </c>
    </row>
    <row r="723">
      <c r="A723" s="58" t="inlineStr">
        <is>
          <t>RT20250118-00722</t>
        </is>
      </c>
      <c r="B723" s="59" t="inlineStr">
        <is>
          <t>2025-01-18</t>
        </is>
      </c>
      <c r="C723" s="60" t="inlineStr">
        <is>
          <t>Polar Wearable X-119</t>
        </is>
      </c>
      <c r="D723" s="58" t="inlineStr">
        <is>
          <t>Electronics</t>
        </is>
      </c>
      <c r="E723" s="58" t="inlineStr">
        <is>
          <t>Central</t>
        </is>
      </c>
      <c r="F723" s="61" t="n">
        <v>2</v>
      </c>
      <c r="G723" s="62" t="n">
        <v>1578.04</v>
      </c>
      <c r="H723" s="63" t="n">
        <v>0.021</v>
      </c>
      <c r="I723" s="62" t="n">
        <v>1317.23</v>
      </c>
      <c r="J723" s="58" t="inlineStr">
        <is>
          <t>Online</t>
        </is>
      </c>
      <c r="K723" s="62">
        <f>F723*(G723-H723)</f>
        <v/>
      </c>
      <c r="L723" s="62">
        <f>K723-(F723*I723)</f>
        <v/>
      </c>
      <c r="M723" s="64">
        <f>L723/K723</f>
        <v/>
      </c>
    </row>
    <row r="724">
      <c r="A724" s="58" t="inlineStr">
        <is>
          <t>RT20250118-00723</t>
        </is>
      </c>
      <c r="B724" s="59" t="inlineStr">
        <is>
          <t>2025-01-18</t>
        </is>
      </c>
      <c r="C724" s="60" t="inlineStr">
        <is>
          <t>Falcon Accessorie S-195</t>
        </is>
      </c>
      <c r="D724" s="58" t="inlineStr">
        <is>
          <t>Apparel</t>
        </is>
      </c>
      <c r="E724" s="58" t="inlineStr">
        <is>
          <t>Central</t>
        </is>
      </c>
      <c r="F724" s="61" t="n">
        <v>4</v>
      </c>
      <c r="G724" s="62" t="n">
        <v>80.25</v>
      </c>
      <c r="H724" s="63" t="n">
        <v>0.043</v>
      </c>
      <c r="I724" s="62" t="n">
        <v>43.81</v>
      </c>
      <c r="J724" s="58" t="inlineStr">
        <is>
          <t>Phone</t>
        </is>
      </c>
      <c r="K724" s="62">
        <f>F724*(G724-H724)</f>
        <v/>
      </c>
      <c r="L724" s="62">
        <f>K724-(F724*I724)</f>
        <v/>
      </c>
      <c r="M724" s="64">
        <f>L724/K724</f>
        <v/>
      </c>
    </row>
    <row r="725">
      <c r="A725" s="58" t="inlineStr">
        <is>
          <t>RT20250118-00724</t>
        </is>
      </c>
      <c r="B725" s="59" t="inlineStr">
        <is>
          <t>2025-01-18</t>
        </is>
      </c>
      <c r="C725" s="60" t="inlineStr">
        <is>
          <t>Polar Decor X-935</t>
        </is>
      </c>
      <c r="D725" s="58" t="inlineStr">
        <is>
          <t>Home</t>
        </is>
      </c>
      <c r="E725" s="58" t="inlineStr">
        <is>
          <t>Central</t>
        </is>
      </c>
      <c r="F725" s="61" t="n">
        <v>2</v>
      </c>
      <c r="G725" s="62" t="n">
        <v>289.76</v>
      </c>
      <c r="H725" s="63" t="n">
        <v>0.035</v>
      </c>
      <c r="I725" s="62" t="n">
        <v>203.85</v>
      </c>
      <c r="J725" s="58" t="inlineStr">
        <is>
          <t>Online</t>
        </is>
      </c>
      <c r="K725" s="62">
        <f>F725*(G725-H725)</f>
        <v/>
      </c>
      <c r="L725" s="62">
        <f>K725-(F725*I725)</f>
        <v/>
      </c>
      <c r="M725" s="64">
        <f>L725/K725</f>
        <v/>
      </c>
    </row>
    <row r="726">
      <c r="A726" s="58" t="inlineStr">
        <is>
          <t>RT20250118-00725</t>
        </is>
      </c>
      <c r="B726" s="59" t="inlineStr">
        <is>
          <t>2025-01-18</t>
        </is>
      </c>
      <c r="C726" s="60" t="inlineStr">
        <is>
          <t>Nimbus Decor Lite-385</t>
        </is>
      </c>
      <c r="D726" s="58" t="inlineStr">
        <is>
          <t>Home</t>
        </is>
      </c>
      <c r="E726" s="58" t="inlineStr">
        <is>
          <t>East</t>
        </is>
      </c>
      <c r="F726" s="61" t="n">
        <v>2</v>
      </c>
      <c r="G726" s="62" t="n">
        <v>557.98</v>
      </c>
      <c r="H726" s="63" t="n">
        <v>0.06900000000000001</v>
      </c>
      <c r="I726" s="62" t="n">
        <v>395.49</v>
      </c>
      <c r="J726" s="58" t="inlineStr">
        <is>
          <t>Online</t>
        </is>
      </c>
      <c r="K726" s="62">
        <f>F726*(G726-H726)</f>
        <v/>
      </c>
      <c r="L726" s="62">
        <f>K726-(F726*I726)</f>
        <v/>
      </c>
      <c r="M726" s="64">
        <f>L726/K726</f>
        <v/>
      </c>
    </row>
    <row r="727">
      <c r="A727" s="58" t="inlineStr">
        <is>
          <t>RT20250118-00726</t>
        </is>
      </c>
      <c r="B727" s="59" t="inlineStr">
        <is>
          <t>2025-01-18</t>
        </is>
      </c>
      <c r="C727" s="60" t="inlineStr">
        <is>
          <t>Metro Accessorie Lite-697</t>
        </is>
      </c>
      <c r="D727" s="58" t="inlineStr">
        <is>
          <t>Apparel</t>
        </is>
      </c>
      <c r="E727" s="58" t="inlineStr">
        <is>
          <t>Central</t>
        </is>
      </c>
      <c r="F727" s="61" t="n">
        <v>4</v>
      </c>
      <c r="G727" s="62" t="n">
        <v>142.14</v>
      </c>
      <c r="H727" s="63" t="n">
        <v>0.03</v>
      </c>
      <c r="I727" s="62" t="n">
        <v>77.44</v>
      </c>
      <c r="J727" s="58" t="inlineStr">
        <is>
          <t>Store</t>
        </is>
      </c>
      <c r="K727" s="62">
        <f>F727*(G727-H727)</f>
        <v/>
      </c>
      <c r="L727" s="62">
        <f>K727-(F727*I727)</f>
        <v/>
      </c>
      <c r="M727" s="64">
        <f>L727/K727</f>
        <v/>
      </c>
    </row>
    <row r="728">
      <c r="A728" s="58" t="inlineStr">
        <is>
          <t>RT20250118-00727</t>
        </is>
      </c>
      <c r="B728" s="59" t="inlineStr">
        <is>
          <t>2025-01-18</t>
        </is>
      </c>
      <c r="C728" s="60" t="inlineStr">
        <is>
          <t>Vertex Appliance S-159</t>
        </is>
      </c>
      <c r="D728" s="58" t="inlineStr">
        <is>
          <t>Home</t>
        </is>
      </c>
      <c r="E728" s="58" t="inlineStr">
        <is>
          <t>North</t>
        </is>
      </c>
      <c r="F728" s="61" t="n">
        <v>3</v>
      </c>
      <c r="G728" s="62" t="n">
        <v>419.75</v>
      </c>
      <c r="H728" s="63" t="n">
        <v>0.035</v>
      </c>
      <c r="I728" s="62" t="n">
        <v>296.28</v>
      </c>
      <c r="J728" s="58" t="inlineStr">
        <is>
          <t>Online</t>
        </is>
      </c>
      <c r="K728" s="62">
        <f>F728*(G728-H728)</f>
        <v/>
      </c>
      <c r="L728" s="62">
        <f>K728-(F728*I728)</f>
        <v/>
      </c>
      <c r="M728" s="64">
        <f>L728/K728</f>
        <v/>
      </c>
    </row>
    <row r="729">
      <c r="A729" s="58" t="inlineStr">
        <is>
          <t>RT20250118-00728</t>
        </is>
      </c>
      <c r="B729" s="59" t="inlineStr">
        <is>
          <t>2025-01-18</t>
        </is>
      </c>
      <c r="C729" s="60" t="inlineStr">
        <is>
          <t>Vertex Smartphone Pro-256</t>
        </is>
      </c>
      <c r="D729" s="58" t="inlineStr">
        <is>
          <t>Electronics</t>
        </is>
      </c>
      <c r="E729" s="58" t="inlineStr">
        <is>
          <t>South</t>
        </is>
      </c>
      <c r="F729" s="61" t="n">
        <v>1</v>
      </c>
      <c r="G729" s="62" t="n">
        <v>1148.03</v>
      </c>
      <c r="H729" s="63" t="n">
        <v>0.041</v>
      </c>
      <c r="I729" s="62" t="n">
        <v>923.39</v>
      </c>
      <c r="J729" s="58" t="inlineStr">
        <is>
          <t>Online</t>
        </is>
      </c>
      <c r="K729" s="62">
        <f>F729*(G729-H729)</f>
        <v/>
      </c>
      <c r="L729" s="62">
        <f>K729-(F729*I729)</f>
        <v/>
      </c>
      <c r="M729" s="64">
        <f>L729/K729</f>
        <v/>
      </c>
    </row>
    <row r="730">
      <c r="A730" s="58" t="inlineStr">
        <is>
          <t>RT20250118-00729</t>
        </is>
      </c>
      <c r="B730" s="59" t="inlineStr">
        <is>
          <t>2025-01-18</t>
        </is>
      </c>
      <c r="C730" s="60" t="inlineStr">
        <is>
          <t>Aurora Fitnes Lite-194</t>
        </is>
      </c>
      <c r="D730" s="58" t="inlineStr">
        <is>
          <t>Sports</t>
        </is>
      </c>
      <c r="E730" s="58" t="inlineStr">
        <is>
          <t>Central</t>
        </is>
      </c>
      <c r="F730" s="61" t="n">
        <v>1</v>
      </c>
      <c r="G730" s="62" t="n">
        <v>807.9299999999999</v>
      </c>
      <c r="H730" s="63" t="n">
        <v>0.08400000000000001</v>
      </c>
      <c r="I730" s="62" t="n">
        <v>456.58</v>
      </c>
      <c r="J730" s="58" t="inlineStr">
        <is>
          <t>Store</t>
        </is>
      </c>
      <c r="K730" s="62">
        <f>F730*(G730-H730)</f>
        <v/>
      </c>
      <c r="L730" s="62">
        <f>K730-(F730*I730)</f>
        <v/>
      </c>
      <c r="M730" s="64">
        <f>L730/K730</f>
        <v/>
      </c>
    </row>
    <row r="731">
      <c r="A731" s="58" t="inlineStr">
        <is>
          <t>RT20250118-00730</t>
        </is>
      </c>
      <c r="B731" s="59" t="inlineStr">
        <is>
          <t>2025-01-18</t>
        </is>
      </c>
      <c r="C731" s="60" t="inlineStr">
        <is>
          <t>Orion Team Sport X-926</t>
        </is>
      </c>
      <c r="D731" s="58" t="inlineStr">
        <is>
          <t>Sports</t>
        </is>
      </c>
      <c r="E731" s="58" t="inlineStr">
        <is>
          <t>East</t>
        </is>
      </c>
      <c r="F731" s="61" t="n">
        <v>2</v>
      </c>
      <c r="G731" s="62" t="n">
        <v>327.24</v>
      </c>
      <c r="H731" s="63" t="n">
        <v>0.002</v>
      </c>
      <c r="I731" s="62" t="n">
        <v>209.94</v>
      </c>
      <c r="J731" s="58" t="inlineStr">
        <is>
          <t>Online</t>
        </is>
      </c>
      <c r="K731" s="62">
        <f>F731*(G731-H731)</f>
        <v/>
      </c>
      <c r="L731" s="62">
        <f>K731-(F731*I731)</f>
        <v/>
      </c>
      <c r="M731" s="64">
        <f>L731/K731</f>
        <v/>
      </c>
    </row>
    <row r="732">
      <c r="A732" s="58" t="inlineStr">
        <is>
          <t>RT20250118-00731</t>
        </is>
      </c>
      <c r="B732" s="59" t="inlineStr">
        <is>
          <t>2025-01-18</t>
        </is>
      </c>
      <c r="C732" s="60" t="inlineStr">
        <is>
          <t>Vertex Furniture S-652</t>
        </is>
      </c>
      <c r="D732" s="58" t="inlineStr">
        <is>
          <t>Office</t>
        </is>
      </c>
      <c r="E732" s="58" t="inlineStr">
        <is>
          <t>West</t>
        </is>
      </c>
      <c r="F732" s="61" t="n">
        <v>1</v>
      </c>
      <c r="G732" s="62" t="n">
        <v>301.41</v>
      </c>
      <c r="H732" s="63" t="n">
        <v>0.12</v>
      </c>
      <c r="I732" s="62" t="n">
        <v>257.51</v>
      </c>
      <c r="J732" s="58" t="inlineStr">
        <is>
          <t>Online</t>
        </is>
      </c>
      <c r="K732" s="62">
        <f>F732*(G732-H732)</f>
        <v/>
      </c>
      <c r="L732" s="62">
        <f>K732-(F732*I732)</f>
        <v/>
      </c>
      <c r="M732" s="64">
        <f>L732/K732</f>
        <v/>
      </c>
    </row>
    <row r="733">
      <c r="A733" s="58" t="inlineStr">
        <is>
          <t>RT20250118-00732</t>
        </is>
      </c>
      <c r="B733" s="59" t="inlineStr">
        <is>
          <t>2025-01-18</t>
        </is>
      </c>
      <c r="C733" s="60" t="inlineStr">
        <is>
          <t>Falcon Household Plus-172</t>
        </is>
      </c>
      <c r="D733" s="58" t="inlineStr">
        <is>
          <t>Grocery</t>
        </is>
      </c>
      <c r="E733" s="58" t="inlineStr">
        <is>
          <t>East</t>
        </is>
      </c>
      <c r="F733" s="61" t="n">
        <v>4</v>
      </c>
      <c r="G733" s="62" t="n">
        <v>23.12</v>
      </c>
      <c r="H733" s="63" t="n">
        <v>0.099</v>
      </c>
      <c r="I733" s="62" t="n">
        <v>16.53</v>
      </c>
      <c r="J733" s="58" t="inlineStr">
        <is>
          <t>Online</t>
        </is>
      </c>
      <c r="K733" s="62">
        <f>F733*(G733-H733)</f>
        <v/>
      </c>
      <c r="L733" s="62">
        <f>K733-(F733*I733)</f>
        <v/>
      </c>
      <c r="M733" s="64">
        <f>L733/K733</f>
        <v/>
      </c>
    </row>
    <row r="734">
      <c r="A734" s="58" t="inlineStr">
        <is>
          <t>RT20250118-00733</t>
        </is>
      </c>
      <c r="B734" s="59" t="inlineStr">
        <is>
          <t>2025-01-18</t>
        </is>
      </c>
      <c r="C734" s="60" t="inlineStr">
        <is>
          <t>Falcon Household Plus-796</t>
        </is>
      </c>
      <c r="D734" s="58" t="inlineStr">
        <is>
          <t>Grocery</t>
        </is>
      </c>
      <c r="E734" s="58" t="inlineStr">
        <is>
          <t>Central</t>
        </is>
      </c>
      <c r="F734" s="61" t="n">
        <v>2</v>
      </c>
      <c r="G734" s="62" t="n">
        <v>23.69</v>
      </c>
      <c r="H734" s="63" t="n">
        <v>0.039</v>
      </c>
      <c r="I734" s="62" t="n">
        <v>17.51</v>
      </c>
      <c r="J734" s="58" t="inlineStr">
        <is>
          <t>Online</t>
        </is>
      </c>
      <c r="K734" s="62">
        <f>F734*(G734-H734)</f>
        <v/>
      </c>
      <c r="L734" s="62">
        <f>K734-(F734*I734)</f>
        <v/>
      </c>
      <c r="M734" s="64">
        <f>L734/K734</f>
        <v/>
      </c>
    </row>
    <row r="735">
      <c r="A735" s="58" t="inlineStr">
        <is>
          <t>RT20250118-00734</t>
        </is>
      </c>
      <c r="B735" s="59" t="inlineStr">
        <is>
          <t>2025-01-18</t>
        </is>
      </c>
      <c r="C735" s="60" t="inlineStr">
        <is>
          <t>Falcon Accessorie S-195</t>
        </is>
      </c>
      <c r="D735" s="58" t="inlineStr">
        <is>
          <t>Apparel</t>
        </is>
      </c>
      <c r="E735" s="58" t="inlineStr">
        <is>
          <t>South</t>
        </is>
      </c>
      <c r="F735" s="61" t="n">
        <v>2</v>
      </c>
      <c r="G735" s="62" t="n">
        <v>78.06999999999999</v>
      </c>
      <c r="H735" s="63" t="n">
        <v>0.1</v>
      </c>
      <c r="I735" s="62" t="n">
        <v>42.01</v>
      </c>
      <c r="J735" s="58" t="inlineStr">
        <is>
          <t>Store</t>
        </is>
      </c>
      <c r="K735" s="62">
        <f>F735*(G735-H735)</f>
        <v/>
      </c>
      <c r="L735" s="62">
        <f>K735-(F735*I735)</f>
        <v/>
      </c>
      <c r="M735" s="64">
        <f>L735/K735</f>
        <v/>
      </c>
    </row>
    <row r="736">
      <c r="A736" s="58" t="inlineStr">
        <is>
          <t>RT20250118-00735</t>
        </is>
      </c>
      <c r="B736" s="59" t="inlineStr">
        <is>
          <t>2025-01-18</t>
        </is>
      </c>
      <c r="C736" s="60" t="inlineStr">
        <is>
          <t>Polar Wearable X-119</t>
        </is>
      </c>
      <c r="D736" s="58" t="inlineStr">
        <is>
          <t>Electronics</t>
        </is>
      </c>
      <c r="E736" s="58" t="inlineStr">
        <is>
          <t>North</t>
        </is>
      </c>
      <c r="F736" s="61" t="n">
        <v>2</v>
      </c>
      <c r="G736" s="62" t="n">
        <v>1638.42</v>
      </c>
      <c r="H736" s="63" t="n">
        <v>0.09</v>
      </c>
      <c r="I736" s="62" t="n">
        <v>1297.04</v>
      </c>
      <c r="J736" s="58" t="inlineStr">
        <is>
          <t>Online</t>
        </is>
      </c>
      <c r="K736" s="62">
        <f>F736*(G736-H736)</f>
        <v/>
      </c>
      <c r="L736" s="62">
        <f>K736-(F736*I736)</f>
        <v/>
      </c>
      <c r="M736" s="64">
        <f>L736/K736</f>
        <v/>
      </c>
    </row>
    <row r="737">
      <c r="A737" s="58" t="inlineStr">
        <is>
          <t>RT20250118-00736</t>
        </is>
      </c>
      <c r="B737" s="59" t="inlineStr">
        <is>
          <t>2025-01-18</t>
        </is>
      </c>
      <c r="C737" s="60" t="inlineStr">
        <is>
          <t>Polar Cycling S-223</t>
        </is>
      </c>
      <c r="D737" s="58" t="inlineStr">
        <is>
          <t>Sports</t>
        </is>
      </c>
      <c r="E737" s="58" t="inlineStr">
        <is>
          <t>Central</t>
        </is>
      </c>
      <c r="F737" s="61" t="n">
        <v>1</v>
      </c>
      <c r="G737" s="62" t="n">
        <v>904.16</v>
      </c>
      <c r="H737" s="63" t="n">
        <v>0.089</v>
      </c>
      <c r="I737" s="62" t="n">
        <v>643.1799999999999</v>
      </c>
      <c r="J737" s="58" t="inlineStr">
        <is>
          <t>Phone</t>
        </is>
      </c>
      <c r="K737" s="62">
        <f>F737*(G737-H737)</f>
        <v/>
      </c>
      <c r="L737" s="62">
        <f>K737-(F737*I737)</f>
        <v/>
      </c>
      <c r="M737" s="64">
        <f>L737/K737</f>
        <v/>
      </c>
    </row>
    <row r="738">
      <c r="A738" s="58" t="inlineStr">
        <is>
          <t>RT20250118-00737</t>
        </is>
      </c>
      <c r="B738" s="59" t="inlineStr">
        <is>
          <t>2025-01-18</t>
        </is>
      </c>
      <c r="C738" s="60" t="inlineStr">
        <is>
          <t>Vertex Decor Pro-618</t>
        </is>
      </c>
      <c r="D738" s="58" t="inlineStr">
        <is>
          <t>Home</t>
        </is>
      </c>
      <c r="E738" s="58" t="inlineStr">
        <is>
          <t>West</t>
        </is>
      </c>
      <c r="F738" s="61" t="n">
        <v>1</v>
      </c>
      <c r="G738" s="62" t="n">
        <v>509.09</v>
      </c>
      <c r="H738" s="63" t="n">
        <v>0.039</v>
      </c>
      <c r="I738" s="62" t="n">
        <v>384.82</v>
      </c>
      <c r="J738" s="58" t="inlineStr">
        <is>
          <t>Online</t>
        </is>
      </c>
      <c r="K738" s="62">
        <f>F738*(G738-H738)</f>
        <v/>
      </c>
      <c r="L738" s="62">
        <f>K738-(F738*I738)</f>
        <v/>
      </c>
      <c r="M738" s="64">
        <f>L738/K738</f>
        <v/>
      </c>
    </row>
    <row r="739">
      <c r="A739" s="58" t="inlineStr">
        <is>
          <t>RT20250118-00738</t>
        </is>
      </c>
      <c r="B739" s="59" t="inlineStr">
        <is>
          <t>2025-01-18</t>
        </is>
      </c>
      <c r="C739" s="60" t="inlineStr">
        <is>
          <t>Polar Outdoor Lite-318</t>
        </is>
      </c>
      <c r="D739" s="58" t="inlineStr">
        <is>
          <t>Sports</t>
        </is>
      </c>
      <c r="E739" s="58" t="inlineStr">
        <is>
          <t>South</t>
        </is>
      </c>
      <c r="F739" s="61" t="n">
        <v>2</v>
      </c>
      <c r="G739" s="62" t="n">
        <v>761.55</v>
      </c>
      <c r="H739" s="63" t="n">
        <v>0.116</v>
      </c>
      <c r="I739" s="62" t="n">
        <v>465.14</v>
      </c>
      <c r="J739" s="58" t="inlineStr">
        <is>
          <t>Online</t>
        </is>
      </c>
      <c r="K739" s="62">
        <f>F739*(G739-H739)</f>
        <v/>
      </c>
      <c r="L739" s="62">
        <f>K739-(F739*I739)</f>
        <v/>
      </c>
      <c r="M739" s="64">
        <f>L739/K739</f>
        <v/>
      </c>
    </row>
    <row r="740">
      <c r="A740" s="58" t="inlineStr">
        <is>
          <t>RT20250118-00739</t>
        </is>
      </c>
      <c r="B740" s="59" t="inlineStr">
        <is>
          <t>2025-01-18</t>
        </is>
      </c>
      <c r="C740" s="60" t="inlineStr">
        <is>
          <t>Vertex Appliance S-159</t>
        </is>
      </c>
      <c r="D740" s="58" t="inlineStr">
        <is>
          <t>Home</t>
        </is>
      </c>
      <c r="E740" s="58" t="inlineStr">
        <is>
          <t>Central</t>
        </is>
      </c>
      <c r="F740" s="61" t="n">
        <v>1</v>
      </c>
      <c r="G740" s="62" t="n">
        <v>401.29</v>
      </c>
      <c r="H740" s="63" t="n">
        <v>0.08400000000000001</v>
      </c>
      <c r="I740" s="62" t="n">
        <v>285.38</v>
      </c>
      <c r="J740" s="58" t="inlineStr">
        <is>
          <t>Online</t>
        </is>
      </c>
      <c r="K740" s="62">
        <f>F740*(G740-H740)</f>
        <v/>
      </c>
      <c r="L740" s="62">
        <f>K740-(F740*I740)</f>
        <v/>
      </c>
      <c r="M740" s="64">
        <f>L740/K740</f>
        <v/>
      </c>
    </row>
    <row r="741">
      <c r="A741" s="58" t="inlineStr">
        <is>
          <t>RT20250118-00740</t>
        </is>
      </c>
      <c r="B741" s="59" t="inlineStr">
        <is>
          <t>2025-01-18</t>
        </is>
      </c>
      <c r="C741" s="60" t="inlineStr">
        <is>
          <t>Falcon Headphone Pro-713</t>
        </is>
      </c>
      <c r="D741" s="58" t="inlineStr">
        <is>
          <t>Electronics</t>
        </is>
      </c>
      <c r="E741" s="58" t="inlineStr">
        <is>
          <t>Central</t>
        </is>
      </c>
      <c r="F741" s="61" t="n">
        <v>2</v>
      </c>
      <c r="G741" s="62" t="n">
        <v>1674.16</v>
      </c>
      <c r="H741" s="63" t="n">
        <v>0.066</v>
      </c>
      <c r="I741" s="62" t="n">
        <v>1166.38</v>
      </c>
      <c r="J741" s="58" t="inlineStr">
        <is>
          <t>Store</t>
        </is>
      </c>
      <c r="K741" s="62">
        <f>F741*(G741-H741)</f>
        <v/>
      </c>
      <c r="L741" s="62">
        <f>K741-(F741*I741)</f>
        <v/>
      </c>
      <c r="M741" s="64">
        <f>L741/K741</f>
        <v/>
      </c>
    </row>
    <row r="742">
      <c r="A742" s="58" t="inlineStr">
        <is>
          <t>RT20250118-00741</t>
        </is>
      </c>
      <c r="B742" s="59" t="inlineStr">
        <is>
          <t>2025-01-18</t>
        </is>
      </c>
      <c r="C742" s="60" t="inlineStr">
        <is>
          <t>Vertex Appliance S-159</t>
        </is>
      </c>
      <c r="D742" s="58" t="inlineStr">
        <is>
          <t>Home</t>
        </is>
      </c>
      <c r="E742" s="58" t="inlineStr">
        <is>
          <t>Central</t>
        </is>
      </c>
      <c r="F742" s="61" t="n">
        <v>1</v>
      </c>
      <c r="G742" s="62" t="n">
        <v>514.1799999999999</v>
      </c>
      <c r="H742" s="63" t="n">
        <v>0.128</v>
      </c>
      <c r="I742" s="62" t="n">
        <v>291.41</v>
      </c>
      <c r="J742" s="58" t="inlineStr">
        <is>
          <t>Store</t>
        </is>
      </c>
      <c r="K742" s="62">
        <f>F742*(G742-H742)</f>
        <v/>
      </c>
      <c r="L742" s="62">
        <f>K742-(F742*I742)</f>
        <v/>
      </c>
      <c r="M742" s="64">
        <f>L742/K742</f>
        <v/>
      </c>
    </row>
    <row r="743">
      <c r="A743" s="58" t="inlineStr">
        <is>
          <t>RT20250118-00742</t>
        </is>
      </c>
      <c r="B743" s="59" t="inlineStr">
        <is>
          <t>2025-01-18</t>
        </is>
      </c>
      <c r="C743" s="60" t="inlineStr">
        <is>
          <t>Aurora Wearable Lite-704</t>
        </is>
      </c>
      <c r="D743" s="58" t="inlineStr">
        <is>
          <t>Electronics</t>
        </is>
      </c>
      <c r="E743" s="58" t="inlineStr">
        <is>
          <t>East</t>
        </is>
      </c>
      <c r="F743" s="61" t="n">
        <v>1</v>
      </c>
      <c r="G743" s="62" t="n">
        <v>2000.23</v>
      </c>
      <c r="H743" s="63" t="n">
        <v>0.11</v>
      </c>
      <c r="I743" s="62" t="n">
        <v>1485.32</v>
      </c>
      <c r="J743" s="58" t="inlineStr">
        <is>
          <t>Online</t>
        </is>
      </c>
      <c r="K743" s="62">
        <f>F743*(G743-H743)</f>
        <v/>
      </c>
      <c r="L743" s="62">
        <f>K743-(F743*I743)</f>
        <v/>
      </c>
      <c r="M743" s="64">
        <f>L743/K743</f>
        <v/>
      </c>
    </row>
    <row r="744">
      <c r="A744" s="58" t="inlineStr">
        <is>
          <t>RT20250118-00743</t>
        </is>
      </c>
      <c r="B744" s="59" t="inlineStr">
        <is>
          <t>2025-01-18</t>
        </is>
      </c>
      <c r="C744" s="60" t="inlineStr">
        <is>
          <t>Metro Wearable Plus-234</t>
        </is>
      </c>
      <c r="D744" s="58" t="inlineStr">
        <is>
          <t>Electronics</t>
        </is>
      </c>
      <c r="E744" s="58" t="inlineStr">
        <is>
          <t>South</t>
        </is>
      </c>
      <c r="F744" s="61" t="n">
        <v>1</v>
      </c>
      <c r="G744" s="62" t="n">
        <v>1398.54</v>
      </c>
      <c r="H744" s="63" t="n">
        <v>0.034</v>
      </c>
      <c r="I744" s="62" t="n">
        <v>1174.4</v>
      </c>
      <c r="J744" s="58" t="inlineStr">
        <is>
          <t>Online</t>
        </is>
      </c>
      <c r="K744" s="62">
        <f>F744*(G744-H744)</f>
        <v/>
      </c>
      <c r="L744" s="62">
        <f>K744-(F744*I744)</f>
        <v/>
      </c>
      <c r="M744" s="64">
        <f>L744/K744</f>
        <v/>
      </c>
    </row>
    <row r="745">
      <c r="A745" s="58" t="inlineStr">
        <is>
          <t>RT20250118-00744</t>
        </is>
      </c>
      <c r="B745" s="59" t="inlineStr">
        <is>
          <t>2025-01-18</t>
        </is>
      </c>
      <c r="C745" s="60" t="inlineStr">
        <is>
          <t>Falcon Skincare X-334</t>
        </is>
      </c>
      <c r="D745" s="58" t="inlineStr">
        <is>
          <t>Beauty</t>
        </is>
      </c>
      <c r="E745" s="58" t="inlineStr">
        <is>
          <t>West</t>
        </is>
      </c>
      <c r="F745" s="61" t="n">
        <v>1</v>
      </c>
      <c r="G745" s="62" t="n">
        <v>98.26000000000001</v>
      </c>
      <c r="H745" s="63" t="n">
        <v>0.036</v>
      </c>
      <c r="I745" s="62" t="n">
        <v>61.89</v>
      </c>
      <c r="J745" s="58" t="inlineStr">
        <is>
          <t>Phone</t>
        </is>
      </c>
      <c r="K745" s="62">
        <f>F745*(G745-H745)</f>
        <v/>
      </c>
      <c r="L745" s="62">
        <f>K745-(F745*I745)</f>
        <v/>
      </c>
      <c r="M745" s="64">
        <f>L745/K745</f>
        <v/>
      </c>
    </row>
    <row r="746">
      <c r="A746" s="58" t="inlineStr">
        <is>
          <t>RT20250118-00745</t>
        </is>
      </c>
      <c r="B746" s="59" t="inlineStr">
        <is>
          <t>2025-01-18</t>
        </is>
      </c>
      <c r="C746" s="60" t="inlineStr">
        <is>
          <t>Aurora Makeup Pro-489</t>
        </is>
      </c>
      <c r="D746" s="58" t="inlineStr">
        <is>
          <t>Beauty</t>
        </is>
      </c>
      <c r="E746" s="58" t="inlineStr">
        <is>
          <t>South</t>
        </is>
      </c>
      <c r="F746" s="61" t="n">
        <v>3</v>
      </c>
      <c r="G746" s="62" t="n">
        <v>108.18</v>
      </c>
      <c r="H746" s="63" t="n">
        <v>0.054</v>
      </c>
      <c r="I746" s="62" t="n">
        <v>63.55</v>
      </c>
      <c r="J746" s="58" t="inlineStr">
        <is>
          <t>Store</t>
        </is>
      </c>
      <c r="K746" s="62">
        <f>F746*(G746-H746)</f>
        <v/>
      </c>
      <c r="L746" s="62">
        <f>K746-(F746*I746)</f>
        <v/>
      </c>
      <c r="M746" s="64">
        <f>L746/K746</f>
        <v/>
      </c>
    </row>
    <row r="747">
      <c r="A747" s="58" t="inlineStr">
        <is>
          <t>RT20250118-00746</t>
        </is>
      </c>
      <c r="B747" s="59" t="inlineStr">
        <is>
          <t>2025-01-18</t>
        </is>
      </c>
      <c r="C747" s="60" t="inlineStr">
        <is>
          <t>Metro Smartphone Max-773</t>
        </is>
      </c>
      <c r="D747" s="58" t="inlineStr">
        <is>
          <t>Electronics</t>
        </is>
      </c>
      <c r="E747" s="58" t="inlineStr">
        <is>
          <t>North</t>
        </is>
      </c>
      <c r="F747" s="61" t="n">
        <v>2</v>
      </c>
      <c r="G747" s="62" t="n">
        <v>1407.97</v>
      </c>
      <c r="H747" s="63" t="n">
        <v>0.074</v>
      </c>
      <c r="I747" s="62" t="n">
        <v>1124.21</v>
      </c>
      <c r="J747" s="58" t="inlineStr">
        <is>
          <t>Store</t>
        </is>
      </c>
      <c r="K747" s="62">
        <f>F747*(G747-H747)</f>
        <v/>
      </c>
      <c r="L747" s="62">
        <f>K747-(F747*I747)</f>
        <v/>
      </c>
      <c r="M747" s="64">
        <f>L747/K747</f>
        <v/>
      </c>
    </row>
    <row r="748">
      <c r="A748" s="58" t="inlineStr">
        <is>
          <t>RT20250118-00747</t>
        </is>
      </c>
      <c r="B748" s="59" t="inlineStr">
        <is>
          <t>2025-01-18</t>
        </is>
      </c>
      <c r="C748" s="60" t="inlineStr">
        <is>
          <t>Polar Supplie Lite-348</t>
        </is>
      </c>
      <c r="D748" s="58" t="inlineStr">
        <is>
          <t>Office</t>
        </is>
      </c>
      <c r="E748" s="58" t="inlineStr">
        <is>
          <t>West</t>
        </is>
      </c>
      <c r="F748" s="61" t="n">
        <v>3</v>
      </c>
      <c r="G748" s="62" t="n">
        <v>419.26</v>
      </c>
      <c r="H748" s="63" t="n">
        <v>0.102</v>
      </c>
      <c r="I748" s="62" t="n">
        <v>309.79</v>
      </c>
      <c r="J748" s="58" t="inlineStr">
        <is>
          <t>Online</t>
        </is>
      </c>
      <c r="K748" s="62">
        <f>F748*(G748-H748)</f>
        <v/>
      </c>
      <c r="L748" s="62">
        <f>K748-(F748*I748)</f>
        <v/>
      </c>
      <c r="M748" s="64">
        <f>L748/K748</f>
        <v/>
      </c>
    </row>
    <row r="749">
      <c r="A749" s="58" t="inlineStr">
        <is>
          <t>RT20250118-00748</t>
        </is>
      </c>
      <c r="B749" s="59" t="inlineStr">
        <is>
          <t>2025-01-18</t>
        </is>
      </c>
      <c r="C749" s="60" t="inlineStr">
        <is>
          <t>Aurora Fitnes Lite-194</t>
        </is>
      </c>
      <c r="D749" s="58" t="inlineStr">
        <is>
          <t>Sports</t>
        </is>
      </c>
      <c r="E749" s="58" t="inlineStr">
        <is>
          <t>Central</t>
        </is>
      </c>
      <c r="F749" s="61" t="n">
        <v>3</v>
      </c>
      <c r="G749" s="62" t="n">
        <v>724.63</v>
      </c>
      <c r="H749" s="63" t="n">
        <v>0</v>
      </c>
      <c r="I749" s="62" t="n">
        <v>461.14</v>
      </c>
      <c r="J749" s="58" t="inlineStr">
        <is>
          <t>Store</t>
        </is>
      </c>
      <c r="K749" s="62">
        <f>F749*(G749-H749)</f>
        <v/>
      </c>
      <c r="L749" s="62">
        <f>K749-(F749*I749)</f>
        <v/>
      </c>
      <c r="M749" s="64">
        <f>L749/K749</f>
        <v/>
      </c>
    </row>
    <row r="750">
      <c r="A750" s="58" t="inlineStr">
        <is>
          <t>RT20250118-00749</t>
        </is>
      </c>
      <c r="B750" s="59" t="inlineStr">
        <is>
          <t>2025-01-18</t>
        </is>
      </c>
      <c r="C750" s="60" t="inlineStr">
        <is>
          <t>Vertex Pantry Pro-165</t>
        </is>
      </c>
      <c r="D750" s="58" t="inlineStr">
        <is>
          <t>Grocery</t>
        </is>
      </c>
      <c r="E750" s="58" t="inlineStr">
        <is>
          <t>North</t>
        </is>
      </c>
      <c r="F750" s="61" t="n">
        <v>4</v>
      </c>
      <c r="G750" s="62" t="n">
        <v>16.1</v>
      </c>
      <c r="H750" s="63" t="n">
        <v>0.178</v>
      </c>
      <c r="I750" s="62" t="n">
        <v>12.01</v>
      </c>
      <c r="J750" s="58" t="inlineStr">
        <is>
          <t>Online</t>
        </is>
      </c>
      <c r="K750" s="62">
        <f>F750*(G750-H750)</f>
        <v/>
      </c>
      <c r="L750" s="62">
        <f>K750-(F750*I750)</f>
        <v/>
      </c>
      <c r="M750" s="64">
        <f>L750/K750</f>
        <v/>
      </c>
    </row>
    <row r="751">
      <c r="A751" s="58" t="inlineStr">
        <is>
          <t>RT20250118-00750</t>
        </is>
      </c>
      <c r="B751" s="59" t="inlineStr">
        <is>
          <t>2025-01-18</t>
        </is>
      </c>
      <c r="C751" s="60" t="inlineStr">
        <is>
          <t>Metro Fragrance Lite-261</t>
        </is>
      </c>
      <c r="D751" s="58" t="inlineStr">
        <is>
          <t>Beauty</t>
        </is>
      </c>
      <c r="E751" s="58" t="inlineStr">
        <is>
          <t>Central</t>
        </is>
      </c>
      <c r="F751" s="61" t="n">
        <v>1</v>
      </c>
      <c r="G751" s="62" t="n">
        <v>84.03</v>
      </c>
      <c r="H751" s="63" t="n">
        <v>0.081</v>
      </c>
      <c r="I751" s="62" t="n">
        <v>55.98</v>
      </c>
      <c r="J751" s="58" t="inlineStr">
        <is>
          <t>Online</t>
        </is>
      </c>
      <c r="K751" s="62">
        <f>F751*(G751-H751)</f>
        <v/>
      </c>
      <c r="L751" s="62">
        <f>K751-(F751*I751)</f>
        <v/>
      </c>
      <c r="M751" s="64">
        <f>L751/K751</f>
        <v/>
      </c>
    </row>
    <row r="752">
      <c r="A752" s="58" t="inlineStr">
        <is>
          <t>RT20250118-00751</t>
        </is>
      </c>
      <c r="B752" s="59" t="inlineStr">
        <is>
          <t>2025-01-18</t>
        </is>
      </c>
      <c r="C752" s="60" t="inlineStr">
        <is>
          <t>Vertex Accessorie Pro-881</t>
        </is>
      </c>
      <c r="D752" s="58" t="inlineStr">
        <is>
          <t>Apparel</t>
        </is>
      </c>
      <c r="E752" s="58" t="inlineStr">
        <is>
          <t>South</t>
        </is>
      </c>
      <c r="F752" s="61" t="n">
        <v>1</v>
      </c>
      <c r="G752" s="62" t="n">
        <v>111.02</v>
      </c>
      <c r="H752" s="63" t="n">
        <v>0.063</v>
      </c>
      <c r="I752" s="62" t="n">
        <v>64.23999999999999</v>
      </c>
      <c r="J752" s="58" t="inlineStr">
        <is>
          <t>Online</t>
        </is>
      </c>
      <c r="K752" s="62">
        <f>F752*(G752-H752)</f>
        <v/>
      </c>
      <c r="L752" s="62">
        <f>K752-(F752*I752)</f>
        <v/>
      </c>
      <c r="M752" s="64">
        <f>L752/K752</f>
        <v/>
      </c>
    </row>
    <row r="753">
      <c r="A753" s="58" t="inlineStr">
        <is>
          <t>RT20250118-00752</t>
        </is>
      </c>
      <c r="B753" s="59" t="inlineStr">
        <is>
          <t>2025-01-18</t>
        </is>
      </c>
      <c r="C753" s="60" t="inlineStr">
        <is>
          <t>Aurora Printer Plus-723</t>
        </is>
      </c>
      <c r="D753" s="58" t="inlineStr">
        <is>
          <t>Office</t>
        </is>
      </c>
      <c r="E753" s="58" t="inlineStr">
        <is>
          <t>West</t>
        </is>
      </c>
      <c r="F753" s="61" t="n">
        <v>2</v>
      </c>
      <c r="G753" s="62" t="n">
        <v>286.56</v>
      </c>
      <c r="H753" s="63" t="n">
        <v>0.107</v>
      </c>
      <c r="I753" s="62" t="n">
        <v>191.27</v>
      </c>
      <c r="J753" s="58" t="inlineStr">
        <is>
          <t>Store</t>
        </is>
      </c>
      <c r="K753" s="62">
        <f>F753*(G753-H753)</f>
        <v/>
      </c>
      <c r="L753" s="62">
        <f>K753-(F753*I753)</f>
        <v/>
      </c>
      <c r="M753" s="64">
        <f>L753/K753</f>
        <v/>
      </c>
    </row>
    <row r="754">
      <c r="A754" s="58" t="inlineStr">
        <is>
          <t>RT20250118-00753</t>
        </is>
      </c>
      <c r="B754" s="59" t="inlineStr">
        <is>
          <t>2025-01-18</t>
        </is>
      </c>
      <c r="C754" s="60" t="inlineStr">
        <is>
          <t>Solace Headphone Pro-344</t>
        </is>
      </c>
      <c r="D754" s="58" t="inlineStr">
        <is>
          <t>Electronics</t>
        </is>
      </c>
      <c r="E754" s="58" t="inlineStr">
        <is>
          <t>East</t>
        </is>
      </c>
      <c r="F754" s="61" t="n">
        <v>1</v>
      </c>
      <c r="G754" s="62" t="n">
        <v>1523.33</v>
      </c>
      <c r="H754" s="63" t="n">
        <v>0.08599999999999999</v>
      </c>
      <c r="I754" s="62" t="n">
        <v>1082.55</v>
      </c>
      <c r="J754" s="58" t="inlineStr">
        <is>
          <t>Online</t>
        </is>
      </c>
      <c r="K754" s="62">
        <f>F754*(G754-H754)</f>
        <v/>
      </c>
      <c r="L754" s="62">
        <f>K754-(F754*I754)</f>
        <v/>
      </c>
      <c r="M754" s="64">
        <f>L754/K754</f>
        <v/>
      </c>
    </row>
    <row r="755">
      <c r="A755" s="58" t="inlineStr">
        <is>
          <t>RT20250118-00754</t>
        </is>
      </c>
      <c r="B755" s="59" t="inlineStr">
        <is>
          <t>2025-01-18</t>
        </is>
      </c>
      <c r="C755" s="60" t="inlineStr">
        <is>
          <t>Vertex Men X-995</t>
        </is>
      </c>
      <c r="D755" s="58" t="inlineStr">
        <is>
          <t>Apparel</t>
        </is>
      </c>
      <c r="E755" s="58" t="inlineStr">
        <is>
          <t>South</t>
        </is>
      </c>
      <c r="F755" s="61" t="n">
        <v>1</v>
      </c>
      <c r="G755" s="62" t="n">
        <v>107.05</v>
      </c>
      <c r="H755" s="63" t="n">
        <v>0.063</v>
      </c>
      <c r="I755" s="62" t="n">
        <v>58.56</v>
      </c>
      <c r="J755" s="58" t="inlineStr">
        <is>
          <t>Online</t>
        </is>
      </c>
      <c r="K755" s="62">
        <f>F755*(G755-H755)</f>
        <v/>
      </c>
      <c r="L755" s="62">
        <f>K755-(F755*I755)</f>
        <v/>
      </c>
      <c r="M755" s="64">
        <f>L755/K755</f>
        <v/>
      </c>
    </row>
    <row r="756">
      <c r="A756" s="58" t="inlineStr">
        <is>
          <t>RT20250118-00755</t>
        </is>
      </c>
      <c r="B756" s="59" t="inlineStr">
        <is>
          <t>2025-01-18</t>
        </is>
      </c>
      <c r="C756" s="60" t="inlineStr">
        <is>
          <t>Orion Haircare Plus-887</t>
        </is>
      </c>
      <c r="D756" s="58" t="inlineStr">
        <is>
          <t>Beauty</t>
        </is>
      </c>
      <c r="E756" s="58" t="inlineStr">
        <is>
          <t>South</t>
        </is>
      </c>
      <c r="F756" s="61" t="n">
        <v>5</v>
      </c>
      <c r="G756" s="62" t="n">
        <v>50.18</v>
      </c>
      <c r="H756" s="63" t="n">
        <v>0.107</v>
      </c>
      <c r="I756" s="62" t="n">
        <v>31.76</v>
      </c>
      <c r="J756" s="58" t="inlineStr">
        <is>
          <t>Store</t>
        </is>
      </c>
      <c r="K756" s="62">
        <f>F756*(G756-H756)</f>
        <v/>
      </c>
      <c r="L756" s="62">
        <f>K756-(F756*I756)</f>
        <v/>
      </c>
      <c r="M756" s="64">
        <f>L756/K756</f>
        <v/>
      </c>
    </row>
    <row r="757">
      <c r="A757" s="58" t="inlineStr">
        <is>
          <t>RT20250118-00756</t>
        </is>
      </c>
      <c r="B757" s="59" t="inlineStr">
        <is>
          <t>2025-01-18</t>
        </is>
      </c>
      <c r="C757" s="60" t="inlineStr">
        <is>
          <t>Aurora Skincare Max-798</t>
        </is>
      </c>
      <c r="D757" s="58" t="inlineStr">
        <is>
          <t>Beauty</t>
        </is>
      </c>
      <c r="E757" s="58" t="inlineStr">
        <is>
          <t>North</t>
        </is>
      </c>
      <c r="F757" s="61" t="n">
        <v>3</v>
      </c>
      <c r="G757" s="62" t="n">
        <v>96.64</v>
      </c>
      <c r="H757" s="63" t="n">
        <v>0.04</v>
      </c>
      <c r="I757" s="62" t="n">
        <v>69.06999999999999</v>
      </c>
      <c r="J757" s="58" t="inlineStr">
        <is>
          <t>Online</t>
        </is>
      </c>
      <c r="K757" s="62">
        <f>F757*(G757-H757)</f>
        <v/>
      </c>
      <c r="L757" s="62">
        <f>K757-(F757*I757)</f>
        <v/>
      </c>
      <c r="M757" s="64">
        <f>L757/K757</f>
        <v/>
      </c>
    </row>
    <row r="758">
      <c r="A758" s="58" t="inlineStr">
        <is>
          <t>RT20250118-00757</t>
        </is>
      </c>
      <c r="B758" s="59" t="inlineStr">
        <is>
          <t>2025-01-18</t>
        </is>
      </c>
      <c r="C758" s="60" t="inlineStr">
        <is>
          <t>Polar Women S-662</t>
        </is>
      </c>
      <c r="D758" s="58" t="inlineStr">
        <is>
          <t>Apparel</t>
        </is>
      </c>
      <c r="E758" s="58" t="inlineStr">
        <is>
          <t>South</t>
        </is>
      </c>
      <c r="F758" s="61" t="n">
        <v>3</v>
      </c>
      <c r="G758" s="62" t="n">
        <v>175.76</v>
      </c>
      <c r="H758" s="63" t="n">
        <v>0.048</v>
      </c>
      <c r="I758" s="62" t="n">
        <v>98.89</v>
      </c>
      <c r="J758" s="58" t="inlineStr">
        <is>
          <t>Online</t>
        </is>
      </c>
      <c r="K758" s="62">
        <f>F758*(G758-H758)</f>
        <v/>
      </c>
      <c r="L758" s="62">
        <f>K758-(F758*I758)</f>
        <v/>
      </c>
      <c r="M758" s="64">
        <f>L758/K758</f>
        <v/>
      </c>
    </row>
    <row r="759">
      <c r="A759" s="58" t="inlineStr">
        <is>
          <t>RT20250118-00758</t>
        </is>
      </c>
      <c r="B759" s="59" t="inlineStr">
        <is>
          <t>2025-01-18</t>
        </is>
      </c>
      <c r="C759" s="60" t="inlineStr">
        <is>
          <t>Vertex Appliance Max-338</t>
        </is>
      </c>
      <c r="D759" s="58" t="inlineStr">
        <is>
          <t>Home</t>
        </is>
      </c>
      <c r="E759" s="58" t="inlineStr">
        <is>
          <t>Central</t>
        </is>
      </c>
      <c r="F759" s="61" t="n">
        <v>3</v>
      </c>
      <c r="G759" s="62" t="n">
        <v>397.78</v>
      </c>
      <c r="H759" s="63" t="n">
        <v>0.032</v>
      </c>
      <c r="I759" s="62" t="n">
        <v>286.53</v>
      </c>
      <c r="J759" s="58" t="inlineStr">
        <is>
          <t>Online</t>
        </is>
      </c>
      <c r="K759" s="62">
        <f>F759*(G759-H759)</f>
        <v/>
      </c>
      <c r="L759" s="62">
        <f>K759-(F759*I759)</f>
        <v/>
      </c>
      <c r="M759" s="64">
        <f>L759/K759</f>
        <v/>
      </c>
    </row>
    <row r="760">
      <c r="A760" s="58" t="inlineStr">
        <is>
          <t>RT20250118-00759</t>
        </is>
      </c>
      <c r="B760" s="59" t="inlineStr">
        <is>
          <t>2025-01-18</t>
        </is>
      </c>
      <c r="C760" s="60" t="inlineStr">
        <is>
          <t>Polar Men Pro-246</t>
        </is>
      </c>
      <c r="D760" s="58" t="inlineStr">
        <is>
          <t>Apparel</t>
        </is>
      </c>
      <c r="E760" s="58" t="inlineStr">
        <is>
          <t>East</t>
        </is>
      </c>
      <c r="F760" s="61" t="n">
        <v>3</v>
      </c>
      <c r="G760" s="62" t="n">
        <v>118.28</v>
      </c>
      <c r="H760" s="63" t="n">
        <v>0.063</v>
      </c>
      <c r="I760" s="62" t="n">
        <v>74.2</v>
      </c>
      <c r="J760" s="58" t="inlineStr">
        <is>
          <t>Store</t>
        </is>
      </c>
      <c r="K760" s="62">
        <f>F760*(G760-H760)</f>
        <v/>
      </c>
      <c r="L760" s="62">
        <f>K760-(F760*I760)</f>
        <v/>
      </c>
      <c r="M760" s="64">
        <f>L760/K760</f>
        <v/>
      </c>
    </row>
    <row r="761">
      <c r="A761" s="58" t="inlineStr">
        <is>
          <t>RT20250118-00760</t>
        </is>
      </c>
      <c r="B761" s="59" t="inlineStr">
        <is>
          <t>2025-01-18</t>
        </is>
      </c>
      <c r="C761" s="60" t="inlineStr">
        <is>
          <t>Polar Decor Plus-505</t>
        </is>
      </c>
      <c r="D761" s="58" t="inlineStr">
        <is>
          <t>Home</t>
        </is>
      </c>
      <c r="E761" s="58" t="inlineStr">
        <is>
          <t>East</t>
        </is>
      </c>
      <c r="F761" s="61" t="n">
        <v>2</v>
      </c>
      <c r="G761" s="62" t="n">
        <v>327.06</v>
      </c>
      <c r="H761" s="63" t="n">
        <v>0.045</v>
      </c>
      <c r="I761" s="62" t="n">
        <v>198.78</v>
      </c>
      <c r="J761" s="58" t="inlineStr">
        <is>
          <t>Online</t>
        </is>
      </c>
      <c r="K761" s="62">
        <f>F761*(G761-H761)</f>
        <v/>
      </c>
      <c r="L761" s="62">
        <f>K761-(F761*I761)</f>
        <v/>
      </c>
      <c r="M761" s="64">
        <f>L761/K761</f>
        <v/>
      </c>
    </row>
    <row r="762">
      <c r="A762" s="58" t="inlineStr">
        <is>
          <t>RT20250118-00761</t>
        </is>
      </c>
      <c r="B762" s="59" t="inlineStr">
        <is>
          <t>2025-01-18</t>
        </is>
      </c>
      <c r="C762" s="60" t="inlineStr">
        <is>
          <t>Falcon Cycling Pro-499</t>
        </is>
      </c>
      <c r="D762" s="58" t="inlineStr">
        <is>
          <t>Sports</t>
        </is>
      </c>
      <c r="E762" s="58" t="inlineStr">
        <is>
          <t>South</t>
        </is>
      </c>
      <c r="F762" s="61" t="n">
        <v>3</v>
      </c>
      <c r="G762" s="62" t="n">
        <v>659.11</v>
      </c>
      <c r="H762" s="63" t="n">
        <v>0.051</v>
      </c>
      <c r="I762" s="62" t="n">
        <v>409.23</v>
      </c>
      <c r="J762" s="58" t="inlineStr">
        <is>
          <t>Online</t>
        </is>
      </c>
      <c r="K762" s="62">
        <f>F762*(G762-H762)</f>
        <v/>
      </c>
      <c r="L762" s="62">
        <f>K762-(F762*I762)</f>
        <v/>
      </c>
      <c r="M762" s="64">
        <f>L762/K762</f>
        <v/>
      </c>
    </row>
    <row r="763">
      <c r="A763" s="58" t="inlineStr">
        <is>
          <t>RT20250119-00762</t>
        </is>
      </c>
      <c r="B763" s="59" t="inlineStr">
        <is>
          <t>2025-01-19</t>
        </is>
      </c>
      <c r="C763" s="60" t="inlineStr">
        <is>
          <t>Nimbus Storage Plus-646</t>
        </is>
      </c>
      <c r="D763" s="58" t="inlineStr">
        <is>
          <t>Office</t>
        </is>
      </c>
      <c r="E763" s="58" t="inlineStr">
        <is>
          <t>West</t>
        </is>
      </c>
      <c r="F763" s="61" t="n">
        <v>1</v>
      </c>
      <c r="G763" s="62" t="n">
        <v>430.03</v>
      </c>
      <c r="H763" s="63" t="n">
        <v>0.07000000000000001</v>
      </c>
      <c r="I763" s="62" t="n">
        <v>309.35</v>
      </c>
      <c r="J763" s="58" t="inlineStr">
        <is>
          <t>Store</t>
        </is>
      </c>
      <c r="K763" s="62">
        <f>F763*(G763-H763)</f>
        <v/>
      </c>
      <c r="L763" s="62">
        <f>K763-(F763*I763)</f>
        <v/>
      </c>
      <c r="M763" s="64">
        <f>L763/K763</f>
        <v/>
      </c>
    </row>
    <row r="764">
      <c r="A764" s="58" t="inlineStr">
        <is>
          <t>RT20250119-00763</t>
        </is>
      </c>
      <c r="B764" s="59" t="inlineStr">
        <is>
          <t>2025-01-19</t>
        </is>
      </c>
      <c r="C764" s="60" t="inlineStr">
        <is>
          <t>Solace Laptop S-367</t>
        </is>
      </c>
      <c r="D764" s="58" t="inlineStr">
        <is>
          <t>Electronics</t>
        </is>
      </c>
      <c r="E764" s="58" t="inlineStr">
        <is>
          <t>East</t>
        </is>
      </c>
      <c r="F764" s="61" t="n">
        <v>2</v>
      </c>
      <c r="G764" s="62" t="n">
        <v>2042.87</v>
      </c>
      <c r="H764" s="63" t="n">
        <v>0.046</v>
      </c>
      <c r="I764" s="62" t="n">
        <v>1580.01</v>
      </c>
      <c r="J764" s="58" t="inlineStr">
        <is>
          <t>Store</t>
        </is>
      </c>
      <c r="K764" s="62">
        <f>F764*(G764-H764)</f>
        <v/>
      </c>
      <c r="L764" s="62">
        <f>K764-(F764*I764)</f>
        <v/>
      </c>
      <c r="M764" s="64">
        <f>L764/K764</f>
        <v/>
      </c>
    </row>
    <row r="765">
      <c r="A765" s="58" t="inlineStr">
        <is>
          <t>RT20250119-00764</t>
        </is>
      </c>
      <c r="B765" s="59" t="inlineStr">
        <is>
          <t>2025-01-19</t>
        </is>
      </c>
      <c r="C765" s="60" t="inlineStr">
        <is>
          <t>Orion Storage Plus-961</t>
        </is>
      </c>
      <c r="D765" s="58" t="inlineStr">
        <is>
          <t>Office</t>
        </is>
      </c>
      <c r="E765" s="58" t="inlineStr">
        <is>
          <t>East</t>
        </is>
      </c>
      <c r="F765" s="61" t="n">
        <v>3</v>
      </c>
      <c r="G765" s="62" t="n">
        <v>487.2</v>
      </c>
      <c r="H765" s="63" t="n">
        <v>0.063</v>
      </c>
      <c r="I765" s="62" t="n">
        <v>369.37</v>
      </c>
      <c r="J765" s="58" t="inlineStr">
        <is>
          <t>Online</t>
        </is>
      </c>
      <c r="K765" s="62">
        <f>F765*(G765-H765)</f>
        <v/>
      </c>
      <c r="L765" s="62">
        <f>K765-(F765*I765)</f>
        <v/>
      </c>
      <c r="M765" s="64">
        <f>L765/K765</f>
        <v/>
      </c>
    </row>
    <row r="766">
      <c r="A766" s="58" t="inlineStr">
        <is>
          <t>RT20250119-00765</t>
        </is>
      </c>
      <c r="B766" s="59" t="inlineStr">
        <is>
          <t>2025-01-19</t>
        </is>
      </c>
      <c r="C766" s="60" t="inlineStr">
        <is>
          <t>Aurora Appliance Lite-109</t>
        </is>
      </c>
      <c r="D766" s="58" t="inlineStr">
        <is>
          <t>Home</t>
        </is>
      </c>
      <c r="E766" s="58" t="inlineStr">
        <is>
          <t>South</t>
        </is>
      </c>
      <c r="F766" s="61" t="n">
        <v>2</v>
      </c>
      <c r="G766" s="62" t="n">
        <v>231.19</v>
      </c>
      <c r="H766" s="63" t="n">
        <v>0.068</v>
      </c>
      <c r="I766" s="62" t="n">
        <v>206.73</v>
      </c>
      <c r="J766" s="58" t="inlineStr">
        <is>
          <t>Online</t>
        </is>
      </c>
      <c r="K766" s="62">
        <f>F766*(G766-H766)</f>
        <v/>
      </c>
      <c r="L766" s="62">
        <f>K766-(F766*I766)</f>
        <v/>
      </c>
      <c r="M766" s="64">
        <f>L766/K766</f>
        <v/>
      </c>
    </row>
    <row r="767">
      <c r="A767" s="58" t="inlineStr">
        <is>
          <t>RT20250119-00766</t>
        </is>
      </c>
      <c r="B767" s="59" t="inlineStr">
        <is>
          <t>2025-01-19</t>
        </is>
      </c>
      <c r="C767" s="60" t="inlineStr">
        <is>
          <t>Metro Printer X-294</t>
        </is>
      </c>
      <c r="D767" s="58" t="inlineStr">
        <is>
          <t>Office</t>
        </is>
      </c>
      <c r="E767" s="58" t="inlineStr">
        <is>
          <t>South</t>
        </is>
      </c>
      <c r="F767" s="61" t="n">
        <v>3</v>
      </c>
      <c r="G767" s="62" t="n">
        <v>618.92</v>
      </c>
      <c r="H767" s="63" t="n">
        <v>0.041</v>
      </c>
      <c r="I767" s="62" t="n">
        <v>400.19</v>
      </c>
      <c r="J767" s="58" t="inlineStr">
        <is>
          <t>Store</t>
        </is>
      </c>
      <c r="K767" s="62">
        <f>F767*(G767-H767)</f>
        <v/>
      </c>
      <c r="L767" s="62">
        <f>K767-(F767*I767)</f>
        <v/>
      </c>
      <c r="M767" s="64">
        <f>L767/K767</f>
        <v/>
      </c>
    </row>
    <row r="768">
      <c r="A768" s="58" t="inlineStr">
        <is>
          <t>RT20250119-00767</t>
        </is>
      </c>
      <c r="B768" s="59" t="inlineStr">
        <is>
          <t>2025-01-19</t>
        </is>
      </c>
      <c r="C768" s="60" t="inlineStr">
        <is>
          <t>Metro Smartphone Max-773</t>
        </is>
      </c>
      <c r="D768" s="58" t="inlineStr">
        <is>
          <t>Electronics</t>
        </is>
      </c>
      <c r="E768" s="58" t="inlineStr">
        <is>
          <t>West</t>
        </is>
      </c>
      <c r="F768" s="61" t="n">
        <v>1</v>
      </c>
      <c r="G768" s="62" t="n">
        <v>1376.59</v>
      </c>
      <c r="H768" s="63" t="n">
        <v>0.093</v>
      </c>
      <c r="I768" s="62" t="n">
        <v>1137.91</v>
      </c>
      <c r="J768" s="58" t="inlineStr">
        <is>
          <t>Online</t>
        </is>
      </c>
      <c r="K768" s="62">
        <f>F768*(G768-H768)</f>
        <v/>
      </c>
      <c r="L768" s="62">
        <f>K768-(F768*I768)</f>
        <v/>
      </c>
      <c r="M768" s="64">
        <f>L768/K768</f>
        <v/>
      </c>
    </row>
    <row r="769">
      <c r="A769" s="58" t="inlineStr">
        <is>
          <t>RT20250119-00768</t>
        </is>
      </c>
      <c r="B769" s="59" t="inlineStr">
        <is>
          <t>2025-01-19</t>
        </is>
      </c>
      <c r="C769" s="60" t="inlineStr">
        <is>
          <t>Polar Snack Pro-641</t>
        </is>
      </c>
      <c r="D769" s="58" t="inlineStr">
        <is>
          <t>Grocery</t>
        </is>
      </c>
      <c r="E769" s="58" t="inlineStr">
        <is>
          <t>South</t>
        </is>
      </c>
      <c r="F769" s="61" t="n">
        <v>2</v>
      </c>
      <c r="G769" s="62" t="n">
        <v>12.49</v>
      </c>
      <c r="H769" s="63" t="n">
        <v>0.048</v>
      </c>
      <c r="I769" s="62" t="n">
        <v>9.380000000000001</v>
      </c>
      <c r="J769" s="58" t="inlineStr">
        <is>
          <t>Online</t>
        </is>
      </c>
      <c r="K769" s="62">
        <f>F769*(G769-H769)</f>
        <v/>
      </c>
      <c r="L769" s="62">
        <f>K769-(F769*I769)</f>
        <v/>
      </c>
      <c r="M769" s="64">
        <f>L769/K769</f>
        <v/>
      </c>
    </row>
    <row r="770">
      <c r="A770" s="58" t="inlineStr">
        <is>
          <t>RT20250119-00769</t>
        </is>
      </c>
      <c r="B770" s="59" t="inlineStr">
        <is>
          <t>2025-01-19</t>
        </is>
      </c>
      <c r="C770" s="60" t="inlineStr">
        <is>
          <t>Aurora Wearable Lite-704</t>
        </is>
      </c>
      <c r="D770" s="58" t="inlineStr">
        <is>
          <t>Electronics</t>
        </is>
      </c>
      <c r="E770" s="58" t="inlineStr">
        <is>
          <t>Central</t>
        </is>
      </c>
      <c r="F770" s="61" t="n">
        <v>1</v>
      </c>
      <c r="G770" s="62" t="n">
        <v>2023.18</v>
      </c>
      <c r="H770" s="63" t="n">
        <v>0.041</v>
      </c>
      <c r="I770" s="62" t="n">
        <v>1456.53</v>
      </c>
      <c r="J770" s="58" t="inlineStr">
        <is>
          <t>Store</t>
        </is>
      </c>
      <c r="K770" s="62">
        <f>F770*(G770-H770)</f>
        <v/>
      </c>
      <c r="L770" s="62">
        <f>K770-(F770*I770)</f>
        <v/>
      </c>
      <c r="M770" s="64">
        <f>L770/K770</f>
        <v/>
      </c>
    </row>
    <row r="771">
      <c r="A771" s="58" t="inlineStr">
        <is>
          <t>RT20250119-00770</t>
        </is>
      </c>
      <c r="B771" s="59" t="inlineStr">
        <is>
          <t>2025-01-19</t>
        </is>
      </c>
      <c r="C771" s="60" t="inlineStr">
        <is>
          <t>Polar Women S-662</t>
        </is>
      </c>
      <c r="D771" s="58" t="inlineStr">
        <is>
          <t>Apparel</t>
        </is>
      </c>
      <c r="E771" s="58" t="inlineStr">
        <is>
          <t>East</t>
        </is>
      </c>
      <c r="F771" s="61" t="n">
        <v>2</v>
      </c>
      <c r="G771" s="62" t="n">
        <v>177.37</v>
      </c>
      <c r="H771" s="63" t="n">
        <v>0.064</v>
      </c>
      <c r="I771" s="62" t="n">
        <v>97</v>
      </c>
      <c r="J771" s="58" t="inlineStr">
        <is>
          <t>Store</t>
        </is>
      </c>
      <c r="K771" s="62">
        <f>F771*(G771-H771)</f>
        <v/>
      </c>
      <c r="L771" s="62">
        <f>K771-(F771*I771)</f>
        <v/>
      </c>
      <c r="M771" s="64">
        <f>L771/K771</f>
        <v/>
      </c>
    </row>
    <row r="772">
      <c r="A772" s="58" t="inlineStr">
        <is>
          <t>RT20250119-00771</t>
        </is>
      </c>
      <c r="B772" s="59" t="inlineStr">
        <is>
          <t>2025-01-19</t>
        </is>
      </c>
      <c r="C772" s="60" t="inlineStr">
        <is>
          <t>Metro Wearable Plus-234</t>
        </is>
      </c>
      <c r="D772" s="58" t="inlineStr">
        <is>
          <t>Electronics</t>
        </is>
      </c>
      <c r="E772" s="58" t="inlineStr">
        <is>
          <t>Central</t>
        </is>
      </c>
      <c r="F772" s="61" t="n">
        <v>2</v>
      </c>
      <c r="G772" s="62" t="n">
        <v>1605.2</v>
      </c>
      <c r="H772" s="63" t="n">
        <v>0.058</v>
      </c>
      <c r="I772" s="62" t="n">
        <v>1200.82</v>
      </c>
      <c r="J772" s="58" t="inlineStr">
        <is>
          <t>Store</t>
        </is>
      </c>
      <c r="K772" s="62">
        <f>F772*(G772-H772)</f>
        <v/>
      </c>
      <c r="L772" s="62">
        <f>K772-(F772*I772)</f>
        <v/>
      </c>
      <c r="M772" s="64">
        <f>L772/K772</f>
        <v/>
      </c>
    </row>
    <row r="773">
      <c r="A773" s="58" t="inlineStr">
        <is>
          <t>RT20250119-00772</t>
        </is>
      </c>
      <c r="B773" s="59" t="inlineStr">
        <is>
          <t>2025-01-19</t>
        </is>
      </c>
      <c r="C773" s="60" t="inlineStr">
        <is>
          <t>Orion Team Sport X-926</t>
        </is>
      </c>
      <c r="D773" s="58" t="inlineStr">
        <is>
          <t>Sports</t>
        </is>
      </c>
      <c r="E773" s="58" t="inlineStr">
        <is>
          <t>South</t>
        </is>
      </c>
      <c r="F773" s="61" t="n">
        <v>2</v>
      </c>
      <c r="G773" s="62" t="n">
        <v>301.67</v>
      </c>
      <c r="H773" s="63" t="n">
        <v>0.083</v>
      </c>
      <c r="I773" s="62" t="n">
        <v>215.21</v>
      </c>
      <c r="J773" s="58" t="inlineStr">
        <is>
          <t>Store</t>
        </is>
      </c>
      <c r="K773" s="62">
        <f>F773*(G773-H773)</f>
        <v/>
      </c>
      <c r="L773" s="62">
        <f>K773-(F773*I773)</f>
        <v/>
      </c>
      <c r="M773" s="64">
        <f>L773/K773</f>
        <v/>
      </c>
    </row>
    <row r="774">
      <c r="A774" s="58" t="inlineStr">
        <is>
          <t>RT20250119-00773</t>
        </is>
      </c>
      <c r="B774" s="59" t="inlineStr">
        <is>
          <t>2025-01-19</t>
        </is>
      </c>
      <c r="C774" s="60" t="inlineStr">
        <is>
          <t>Vertex Skincare Pro-891</t>
        </is>
      </c>
      <c r="D774" s="58" t="inlineStr">
        <is>
          <t>Beauty</t>
        </is>
      </c>
      <c r="E774" s="58" t="inlineStr">
        <is>
          <t>East</t>
        </is>
      </c>
      <c r="F774" s="61" t="n">
        <v>1</v>
      </c>
      <c r="G774" s="62" t="n">
        <v>131.09</v>
      </c>
      <c r="H774" s="63" t="n">
        <v>0.012</v>
      </c>
      <c r="I774" s="62" t="n">
        <v>90.87</v>
      </c>
      <c r="J774" s="58" t="inlineStr">
        <is>
          <t>Store</t>
        </is>
      </c>
      <c r="K774" s="62">
        <f>F774*(G774-H774)</f>
        <v/>
      </c>
      <c r="L774" s="62">
        <f>K774-(F774*I774)</f>
        <v/>
      </c>
      <c r="M774" s="64">
        <f>L774/K774</f>
        <v/>
      </c>
    </row>
    <row r="775">
      <c r="A775" s="58" t="inlineStr">
        <is>
          <t>RT20250119-00774</t>
        </is>
      </c>
      <c r="B775" s="59" t="inlineStr">
        <is>
          <t>2025-01-19</t>
        </is>
      </c>
      <c r="C775" s="60" t="inlineStr">
        <is>
          <t>Aurora Fragrance S-971</t>
        </is>
      </c>
      <c r="D775" s="58" t="inlineStr">
        <is>
          <t>Beauty</t>
        </is>
      </c>
      <c r="E775" s="58" t="inlineStr">
        <is>
          <t>East</t>
        </is>
      </c>
      <c r="F775" s="61" t="n">
        <v>4</v>
      </c>
      <c r="G775" s="62" t="n">
        <v>100.11</v>
      </c>
      <c r="H775" s="63" t="n">
        <v>0.033</v>
      </c>
      <c r="I775" s="62" t="n">
        <v>63.72</v>
      </c>
      <c r="J775" s="58" t="inlineStr">
        <is>
          <t>Store</t>
        </is>
      </c>
      <c r="K775" s="62">
        <f>F775*(G775-H775)</f>
        <v/>
      </c>
      <c r="L775" s="62">
        <f>K775-(F775*I775)</f>
        <v/>
      </c>
      <c r="M775" s="64">
        <f>L775/K775</f>
        <v/>
      </c>
    </row>
    <row r="776">
      <c r="A776" s="58" t="inlineStr">
        <is>
          <t>RT20250119-00775</t>
        </is>
      </c>
      <c r="B776" s="59" t="inlineStr">
        <is>
          <t>2025-01-19</t>
        </is>
      </c>
      <c r="C776" s="60" t="inlineStr">
        <is>
          <t>Falcon Household Pro-865</t>
        </is>
      </c>
      <c r="D776" s="58" t="inlineStr">
        <is>
          <t>Grocery</t>
        </is>
      </c>
      <c r="E776" s="58" t="inlineStr">
        <is>
          <t>South</t>
        </is>
      </c>
      <c r="F776" s="61" t="n">
        <v>7</v>
      </c>
      <c r="G776" s="62" t="n">
        <v>10.37</v>
      </c>
      <c r="H776" s="63" t="n">
        <v>0.038</v>
      </c>
      <c r="I776" s="62" t="n">
        <v>7.7</v>
      </c>
      <c r="J776" s="58" t="inlineStr">
        <is>
          <t>Online</t>
        </is>
      </c>
      <c r="K776" s="62">
        <f>F776*(G776-H776)</f>
        <v/>
      </c>
      <c r="L776" s="62">
        <f>K776-(F776*I776)</f>
        <v/>
      </c>
      <c r="M776" s="64">
        <f>L776/K776</f>
        <v/>
      </c>
    </row>
    <row r="777">
      <c r="A777" s="58" t="inlineStr">
        <is>
          <t>RT20250119-00776</t>
        </is>
      </c>
      <c r="B777" s="59" t="inlineStr">
        <is>
          <t>2025-01-19</t>
        </is>
      </c>
      <c r="C777" s="60" t="inlineStr">
        <is>
          <t>Metro Fragrance Lite-261</t>
        </is>
      </c>
      <c r="D777" s="58" t="inlineStr">
        <is>
          <t>Beauty</t>
        </is>
      </c>
      <c r="E777" s="58" t="inlineStr">
        <is>
          <t>West</t>
        </is>
      </c>
      <c r="F777" s="61" t="n">
        <v>1</v>
      </c>
      <c r="G777" s="62" t="n">
        <v>103.16</v>
      </c>
      <c r="H777" s="63" t="n">
        <v>0.055</v>
      </c>
      <c r="I777" s="62" t="n">
        <v>54.37</v>
      </c>
      <c r="J777" s="58" t="inlineStr">
        <is>
          <t>Store</t>
        </is>
      </c>
      <c r="K777" s="62">
        <f>F777*(G777-H777)</f>
        <v/>
      </c>
      <c r="L777" s="62">
        <f>K777-(F777*I777)</f>
        <v/>
      </c>
      <c r="M777" s="64">
        <f>L777/K777</f>
        <v/>
      </c>
    </row>
    <row r="778">
      <c r="A778" s="58" t="inlineStr">
        <is>
          <t>RT20250119-00777</t>
        </is>
      </c>
      <c r="B778" s="59" t="inlineStr">
        <is>
          <t>2025-01-19</t>
        </is>
      </c>
      <c r="C778" s="60" t="inlineStr">
        <is>
          <t>Aurora Furniture X-709</t>
        </is>
      </c>
      <c r="D778" s="58" t="inlineStr">
        <is>
          <t>Office</t>
        </is>
      </c>
      <c r="E778" s="58" t="inlineStr">
        <is>
          <t>South</t>
        </is>
      </c>
      <c r="F778" s="61" t="n">
        <v>1</v>
      </c>
      <c r="G778" s="62" t="n">
        <v>432.04</v>
      </c>
      <c r="H778" s="63" t="n">
        <v>0.029</v>
      </c>
      <c r="I778" s="62" t="n">
        <v>298.88</v>
      </c>
      <c r="J778" s="58" t="inlineStr">
        <is>
          <t>Store</t>
        </is>
      </c>
      <c r="K778" s="62">
        <f>F778*(G778-H778)</f>
        <v/>
      </c>
      <c r="L778" s="62">
        <f>K778-(F778*I778)</f>
        <v/>
      </c>
      <c r="M778" s="64">
        <f>L778/K778</f>
        <v/>
      </c>
    </row>
    <row r="779">
      <c r="A779" s="58" t="inlineStr">
        <is>
          <t>RT20250119-00778</t>
        </is>
      </c>
      <c r="B779" s="59" t="inlineStr">
        <is>
          <t>2025-01-19</t>
        </is>
      </c>
      <c r="C779" s="60" t="inlineStr">
        <is>
          <t>Vertex Men X-995</t>
        </is>
      </c>
      <c r="D779" s="58" t="inlineStr">
        <is>
          <t>Apparel</t>
        </is>
      </c>
      <c r="E779" s="58" t="inlineStr">
        <is>
          <t>South</t>
        </is>
      </c>
      <c r="F779" s="61" t="n">
        <v>1</v>
      </c>
      <c r="G779" s="62" t="n">
        <v>100.95</v>
      </c>
      <c r="H779" s="63" t="n">
        <v>0.064</v>
      </c>
      <c r="I779" s="62" t="n">
        <v>57.1</v>
      </c>
      <c r="J779" s="58" t="inlineStr">
        <is>
          <t>Online</t>
        </is>
      </c>
      <c r="K779" s="62">
        <f>F779*(G779-H779)</f>
        <v/>
      </c>
      <c r="L779" s="62">
        <f>K779-(F779*I779)</f>
        <v/>
      </c>
      <c r="M779" s="64">
        <f>L779/K779</f>
        <v/>
      </c>
    </row>
    <row r="780">
      <c r="A780" s="58" t="inlineStr">
        <is>
          <t>RT20250119-00779</t>
        </is>
      </c>
      <c r="B780" s="59" t="inlineStr">
        <is>
          <t>2025-01-19</t>
        </is>
      </c>
      <c r="C780" s="60" t="inlineStr">
        <is>
          <t>Polar Wearable X-119</t>
        </is>
      </c>
      <c r="D780" s="58" t="inlineStr">
        <is>
          <t>Electronics</t>
        </is>
      </c>
      <c r="E780" s="58" t="inlineStr">
        <is>
          <t>Central</t>
        </is>
      </c>
      <c r="F780" s="61" t="n">
        <v>1</v>
      </c>
      <c r="G780" s="62" t="n">
        <v>1588.84</v>
      </c>
      <c r="H780" s="63" t="n">
        <v>0.073</v>
      </c>
      <c r="I780" s="62" t="n">
        <v>1356.13</v>
      </c>
      <c r="J780" s="58" t="inlineStr">
        <is>
          <t>Online</t>
        </is>
      </c>
      <c r="K780" s="62">
        <f>F780*(G780-H780)</f>
        <v/>
      </c>
      <c r="L780" s="62">
        <f>K780-(F780*I780)</f>
        <v/>
      </c>
      <c r="M780" s="64">
        <f>L780/K780</f>
        <v/>
      </c>
    </row>
    <row r="781">
      <c r="A781" s="58" t="inlineStr">
        <is>
          <t>RT20250119-00780</t>
        </is>
      </c>
      <c r="B781" s="59" t="inlineStr">
        <is>
          <t>2025-01-19</t>
        </is>
      </c>
      <c r="C781" s="60" t="inlineStr">
        <is>
          <t>Vertex Appliance S-296</t>
        </is>
      </c>
      <c r="D781" s="58" t="inlineStr">
        <is>
          <t>Home</t>
        </is>
      </c>
      <c r="E781" s="58" t="inlineStr">
        <is>
          <t>South</t>
        </is>
      </c>
      <c r="F781" s="61" t="n">
        <v>1</v>
      </c>
      <c r="G781" s="62" t="n">
        <v>589.61</v>
      </c>
      <c r="H781" s="63" t="n">
        <v>0.008</v>
      </c>
      <c r="I781" s="62" t="n">
        <v>346.99</v>
      </c>
      <c r="J781" s="58" t="inlineStr">
        <is>
          <t>Online</t>
        </is>
      </c>
      <c r="K781" s="62">
        <f>F781*(G781-H781)</f>
        <v/>
      </c>
      <c r="L781" s="62">
        <f>K781-(F781*I781)</f>
        <v/>
      </c>
      <c r="M781" s="64">
        <f>L781/K781</f>
        <v/>
      </c>
    </row>
    <row r="782">
      <c r="A782" s="58" t="inlineStr">
        <is>
          <t>RT20250119-00781</t>
        </is>
      </c>
      <c r="B782" s="59" t="inlineStr">
        <is>
          <t>2025-01-19</t>
        </is>
      </c>
      <c r="C782" s="60" t="inlineStr">
        <is>
          <t>Orion Supplie S-612</t>
        </is>
      </c>
      <c r="D782" s="58" t="inlineStr">
        <is>
          <t>Office</t>
        </is>
      </c>
      <c r="E782" s="58" t="inlineStr">
        <is>
          <t>South</t>
        </is>
      </c>
      <c r="F782" s="61" t="n">
        <v>2</v>
      </c>
      <c r="G782" s="62" t="n">
        <v>484.71</v>
      </c>
      <c r="H782" s="63" t="n">
        <v>0.039</v>
      </c>
      <c r="I782" s="62" t="n">
        <v>343.9</v>
      </c>
      <c r="J782" s="58" t="inlineStr">
        <is>
          <t>Online</t>
        </is>
      </c>
      <c r="K782" s="62">
        <f>F782*(G782-H782)</f>
        <v/>
      </c>
      <c r="L782" s="62">
        <f>K782-(F782*I782)</f>
        <v/>
      </c>
      <c r="M782" s="64">
        <f>L782/K782</f>
        <v/>
      </c>
    </row>
    <row r="783">
      <c r="A783" s="58" t="inlineStr">
        <is>
          <t>RT20250119-00782</t>
        </is>
      </c>
      <c r="B783" s="59" t="inlineStr">
        <is>
          <t>2025-01-19</t>
        </is>
      </c>
      <c r="C783" s="60" t="inlineStr">
        <is>
          <t>Vertex Headphone Pro-801</t>
        </is>
      </c>
      <c r="D783" s="58" t="inlineStr">
        <is>
          <t>Electronics</t>
        </is>
      </c>
      <c r="E783" s="58" t="inlineStr">
        <is>
          <t>West</t>
        </is>
      </c>
      <c r="F783" s="61" t="n">
        <v>2</v>
      </c>
      <c r="G783" s="62" t="n">
        <v>1340.95</v>
      </c>
      <c r="H783" s="63" t="n">
        <v>0.061</v>
      </c>
      <c r="I783" s="62" t="n">
        <v>988.86</v>
      </c>
      <c r="J783" s="58" t="inlineStr">
        <is>
          <t>Store</t>
        </is>
      </c>
      <c r="K783" s="62">
        <f>F783*(G783-H783)</f>
        <v/>
      </c>
      <c r="L783" s="62">
        <f>K783-(F783*I783)</f>
        <v/>
      </c>
      <c r="M783" s="64">
        <f>L783/K783</f>
        <v/>
      </c>
    </row>
    <row r="784">
      <c r="A784" s="58" t="inlineStr">
        <is>
          <t>RT20250119-00783</t>
        </is>
      </c>
      <c r="B784" s="59" t="inlineStr">
        <is>
          <t>2025-01-19</t>
        </is>
      </c>
      <c r="C784" s="60" t="inlineStr">
        <is>
          <t>Polar Pantry Lite-392</t>
        </is>
      </c>
      <c r="D784" s="58" t="inlineStr">
        <is>
          <t>Grocery</t>
        </is>
      </c>
      <c r="E784" s="58" t="inlineStr">
        <is>
          <t>South</t>
        </is>
      </c>
      <c r="F784" s="61" t="n">
        <v>7</v>
      </c>
      <c r="G784" s="62" t="n">
        <v>5.8</v>
      </c>
      <c r="H784" s="63" t="n">
        <v>0.028</v>
      </c>
      <c r="I784" s="62" t="n">
        <v>4.48</v>
      </c>
      <c r="J784" s="58" t="inlineStr">
        <is>
          <t>Online</t>
        </is>
      </c>
      <c r="K784" s="62">
        <f>F784*(G784-H784)</f>
        <v/>
      </c>
      <c r="L784" s="62">
        <f>K784-(F784*I784)</f>
        <v/>
      </c>
      <c r="M784" s="64">
        <f>L784/K784</f>
        <v/>
      </c>
    </row>
    <row r="785">
      <c r="A785" s="58" t="inlineStr">
        <is>
          <t>RT20250119-00784</t>
        </is>
      </c>
      <c r="B785" s="59" t="inlineStr">
        <is>
          <t>2025-01-19</t>
        </is>
      </c>
      <c r="C785" s="60" t="inlineStr">
        <is>
          <t>Polar Outdoor X-193</t>
        </is>
      </c>
      <c r="D785" s="58" t="inlineStr">
        <is>
          <t>Sports</t>
        </is>
      </c>
      <c r="E785" s="58" t="inlineStr">
        <is>
          <t>East</t>
        </is>
      </c>
      <c r="F785" s="61" t="n">
        <v>1</v>
      </c>
      <c r="G785" s="62" t="n">
        <v>686.9</v>
      </c>
      <c r="H785" s="63" t="n">
        <v>0.052</v>
      </c>
      <c r="I785" s="62" t="n">
        <v>444.48</v>
      </c>
      <c r="J785" s="58" t="inlineStr">
        <is>
          <t>Online</t>
        </is>
      </c>
      <c r="K785" s="62">
        <f>F785*(G785-H785)</f>
        <v/>
      </c>
      <c r="L785" s="62">
        <f>K785-(F785*I785)</f>
        <v/>
      </c>
      <c r="M785" s="64">
        <f>L785/K785</f>
        <v/>
      </c>
    </row>
    <row r="786">
      <c r="A786" s="58" t="inlineStr">
        <is>
          <t>RT20250119-00785</t>
        </is>
      </c>
      <c r="B786" s="59" t="inlineStr">
        <is>
          <t>2025-01-19</t>
        </is>
      </c>
      <c r="C786" s="60" t="inlineStr">
        <is>
          <t>Orion Fragrance Lite-785</t>
        </is>
      </c>
      <c r="D786" s="58" t="inlineStr">
        <is>
          <t>Beauty</t>
        </is>
      </c>
      <c r="E786" s="58" t="inlineStr">
        <is>
          <t>East</t>
        </is>
      </c>
      <c r="F786" s="61" t="n">
        <v>1</v>
      </c>
      <c r="G786" s="62" t="n">
        <v>43.73</v>
      </c>
      <c r="H786" s="63" t="n">
        <v>0.028</v>
      </c>
      <c r="I786" s="62" t="n">
        <v>27.67</v>
      </c>
      <c r="J786" s="58" t="inlineStr">
        <is>
          <t>Online</t>
        </is>
      </c>
      <c r="K786" s="62">
        <f>F786*(G786-H786)</f>
        <v/>
      </c>
      <c r="L786" s="62">
        <f>K786-(F786*I786)</f>
        <v/>
      </c>
      <c r="M786" s="64">
        <f>L786/K786</f>
        <v/>
      </c>
    </row>
    <row r="787">
      <c r="A787" s="58" t="inlineStr">
        <is>
          <t>RT20250119-00786</t>
        </is>
      </c>
      <c r="B787" s="59" t="inlineStr">
        <is>
          <t>2025-01-19</t>
        </is>
      </c>
      <c r="C787" s="60" t="inlineStr">
        <is>
          <t>Vertex Furniture S-652</t>
        </is>
      </c>
      <c r="D787" s="58" t="inlineStr">
        <is>
          <t>Office</t>
        </is>
      </c>
      <c r="E787" s="58" t="inlineStr">
        <is>
          <t>East</t>
        </is>
      </c>
      <c r="F787" s="61" t="n">
        <v>2</v>
      </c>
      <c r="G787" s="62" t="n">
        <v>351.57</v>
      </c>
      <c r="H787" s="63" t="n">
        <v>0.064</v>
      </c>
      <c r="I787" s="62" t="n">
        <v>271.62</v>
      </c>
      <c r="J787" s="58" t="inlineStr">
        <is>
          <t>Online</t>
        </is>
      </c>
      <c r="K787" s="62">
        <f>F787*(G787-H787)</f>
        <v/>
      </c>
      <c r="L787" s="62">
        <f>K787-(F787*I787)</f>
        <v/>
      </c>
      <c r="M787" s="64">
        <f>L787/K787</f>
        <v/>
      </c>
    </row>
    <row r="788">
      <c r="A788" s="58" t="inlineStr">
        <is>
          <t>RT20250119-00787</t>
        </is>
      </c>
      <c r="B788" s="59" t="inlineStr">
        <is>
          <t>2025-01-19</t>
        </is>
      </c>
      <c r="C788" s="60" t="inlineStr">
        <is>
          <t>Polar Cycling S-223</t>
        </is>
      </c>
      <c r="D788" s="58" t="inlineStr">
        <is>
          <t>Sports</t>
        </is>
      </c>
      <c r="E788" s="58" t="inlineStr">
        <is>
          <t>North</t>
        </is>
      </c>
      <c r="F788" s="61" t="n">
        <v>1</v>
      </c>
      <c r="G788" s="62" t="n">
        <v>1028.04</v>
      </c>
      <c r="H788" s="63" t="n">
        <v>0.105</v>
      </c>
      <c r="I788" s="62" t="n">
        <v>618.4</v>
      </c>
      <c r="J788" s="58" t="inlineStr">
        <is>
          <t>Store</t>
        </is>
      </c>
      <c r="K788" s="62">
        <f>F788*(G788-H788)</f>
        <v/>
      </c>
      <c r="L788" s="62">
        <f>K788-(F788*I788)</f>
        <v/>
      </c>
      <c r="M788" s="64">
        <f>L788/K788</f>
        <v/>
      </c>
    </row>
    <row r="789">
      <c r="A789" s="58" t="inlineStr">
        <is>
          <t>RT20250119-00788</t>
        </is>
      </c>
      <c r="B789" s="59" t="inlineStr">
        <is>
          <t>2025-01-19</t>
        </is>
      </c>
      <c r="C789" s="60" t="inlineStr">
        <is>
          <t>Vertex Headphone Pro-801</t>
        </is>
      </c>
      <c r="D789" s="58" t="inlineStr">
        <is>
          <t>Electronics</t>
        </is>
      </c>
      <c r="E789" s="58" t="inlineStr">
        <is>
          <t>Central</t>
        </is>
      </c>
      <c r="F789" s="61" t="n">
        <v>1</v>
      </c>
      <c r="G789" s="62" t="n">
        <v>1312.87</v>
      </c>
      <c r="H789" s="63" t="n">
        <v>0.044</v>
      </c>
      <c r="I789" s="62" t="n">
        <v>978.73</v>
      </c>
      <c r="J789" s="58" t="inlineStr">
        <is>
          <t>Store</t>
        </is>
      </c>
      <c r="K789" s="62">
        <f>F789*(G789-H789)</f>
        <v/>
      </c>
      <c r="L789" s="62">
        <f>K789-(F789*I789)</f>
        <v/>
      </c>
      <c r="M789" s="64">
        <f>L789/K789</f>
        <v/>
      </c>
    </row>
    <row r="790">
      <c r="A790" s="58" t="inlineStr">
        <is>
          <t>RT20250119-00789</t>
        </is>
      </c>
      <c r="B790" s="59" t="inlineStr">
        <is>
          <t>2025-01-19</t>
        </is>
      </c>
      <c r="C790" s="60" t="inlineStr">
        <is>
          <t>Aurora Appliance Max-316</t>
        </is>
      </c>
      <c r="D790" s="58" t="inlineStr">
        <is>
          <t>Home</t>
        </is>
      </c>
      <c r="E790" s="58" t="inlineStr">
        <is>
          <t>East</t>
        </is>
      </c>
      <c r="F790" s="61" t="n">
        <v>2</v>
      </c>
      <c r="G790" s="62" t="n">
        <v>326.04</v>
      </c>
      <c r="H790" s="63" t="n">
        <v>0.055</v>
      </c>
      <c r="I790" s="62" t="n">
        <v>217.19</v>
      </c>
      <c r="J790" s="58" t="inlineStr">
        <is>
          <t>Store</t>
        </is>
      </c>
      <c r="K790" s="62">
        <f>F790*(G790-H790)</f>
        <v/>
      </c>
      <c r="L790" s="62">
        <f>K790-(F790*I790)</f>
        <v/>
      </c>
      <c r="M790" s="64">
        <f>L790/K790</f>
        <v/>
      </c>
    </row>
    <row r="791">
      <c r="A791" s="58" t="inlineStr">
        <is>
          <t>RT20250119-00790</t>
        </is>
      </c>
      <c r="B791" s="59" t="inlineStr">
        <is>
          <t>2025-01-19</t>
        </is>
      </c>
      <c r="C791" s="60" t="inlineStr">
        <is>
          <t>Falcon Headphone Pro-713</t>
        </is>
      </c>
      <c r="D791" s="58" t="inlineStr">
        <is>
          <t>Electronics</t>
        </is>
      </c>
      <c r="E791" s="58" t="inlineStr">
        <is>
          <t>South</t>
        </is>
      </c>
      <c r="F791" s="61" t="n">
        <v>2</v>
      </c>
      <c r="G791" s="62" t="n">
        <v>1592.16</v>
      </c>
      <c r="H791" s="63" t="n">
        <v>0.014</v>
      </c>
      <c r="I791" s="62" t="n">
        <v>1158.35</v>
      </c>
      <c r="J791" s="58" t="inlineStr">
        <is>
          <t>Store</t>
        </is>
      </c>
      <c r="K791" s="62">
        <f>F791*(G791-H791)</f>
        <v/>
      </c>
      <c r="L791" s="62">
        <f>K791-(F791*I791)</f>
        <v/>
      </c>
      <c r="M791" s="64">
        <f>L791/K791</f>
        <v/>
      </c>
    </row>
    <row r="792">
      <c r="A792" s="58" t="inlineStr">
        <is>
          <t>RT20250119-00791</t>
        </is>
      </c>
      <c r="B792" s="59" t="inlineStr">
        <is>
          <t>2025-01-19</t>
        </is>
      </c>
      <c r="C792" s="60" t="inlineStr">
        <is>
          <t>Falcon Haircare Pro-980</t>
        </is>
      </c>
      <c r="D792" s="58" t="inlineStr">
        <is>
          <t>Beauty</t>
        </is>
      </c>
      <c r="E792" s="58" t="inlineStr">
        <is>
          <t>Central</t>
        </is>
      </c>
      <c r="F792" s="61" t="n">
        <v>5</v>
      </c>
      <c r="G792" s="62" t="n">
        <v>98.56</v>
      </c>
      <c r="H792" s="63" t="n">
        <v>0.038</v>
      </c>
      <c r="I792" s="62" t="n">
        <v>56.87</v>
      </c>
      <c r="J792" s="58" t="inlineStr">
        <is>
          <t>Online</t>
        </is>
      </c>
      <c r="K792" s="62">
        <f>F792*(G792-H792)</f>
        <v/>
      </c>
      <c r="L792" s="62">
        <f>K792-(F792*I792)</f>
        <v/>
      </c>
      <c r="M792" s="64">
        <f>L792/K792</f>
        <v/>
      </c>
    </row>
    <row r="793">
      <c r="A793" s="58" t="inlineStr">
        <is>
          <t>RT20250119-00792</t>
        </is>
      </c>
      <c r="B793" s="59" t="inlineStr">
        <is>
          <t>2025-01-19</t>
        </is>
      </c>
      <c r="C793" s="60" t="inlineStr">
        <is>
          <t>Aurora Bedding Plus-187</t>
        </is>
      </c>
      <c r="D793" s="58" t="inlineStr">
        <is>
          <t>Home</t>
        </is>
      </c>
      <c r="E793" s="58" t="inlineStr">
        <is>
          <t>Central</t>
        </is>
      </c>
      <c r="F793" s="61" t="n">
        <v>3</v>
      </c>
      <c r="G793" s="62" t="n">
        <v>285.68</v>
      </c>
      <c r="H793" s="63" t="n">
        <v>0.062</v>
      </c>
      <c r="I793" s="62" t="n">
        <v>207.82</v>
      </c>
      <c r="J793" s="58" t="inlineStr">
        <is>
          <t>Online</t>
        </is>
      </c>
      <c r="K793" s="62">
        <f>F793*(G793-H793)</f>
        <v/>
      </c>
      <c r="L793" s="62">
        <f>K793-(F793*I793)</f>
        <v/>
      </c>
      <c r="M793" s="64">
        <f>L793/K793</f>
        <v/>
      </c>
    </row>
    <row r="794">
      <c r="A794" s="58" t="inlineStr">
        <is>
          <t>RT20250119-00793</t>
        </is>
      </c>
      <c r="B794" s="59" t="inlineStr">
        <is>
          <t>2025-01-19</t>
        </is>
      </c>
      <c r="C794" s="60" t="inlineStr">
        <is>
          <t>Aurora Household Plus-146</t>
        </is>
      </c>
      <c r="D794" s="58" t="inlineStr">
        <is>
          <t>Grocery</t>
        </is>
      </c>
      <c r="E794" s="58" t="inlineStr">
        <is>
          <t>East</t>
        </is>
      </c>
      <c r="F794" s="61" t="n">
        <v>4</v>
      </c>
      <c r="G794" s="62" t="n">
        <v>5.94</v>
      </c>
      <c r="H794" s="63" t="n">
        <v>0.07199999999999999</v>
      </c>
      <c r="I794" s="62" t="n">
        <v>4.65</v>
      </c>
      <c r="J794" s="58" t="inlineStr">
        <is>
          <t>Online</t>
        </is>
      </c>
      <c r="K794" s="62">
        <f>F794*(G794-H794)</f>
        <v/>
      </c>
      <c r="L794" s="62">
        <f>K794-(F794*I794)</f>
        <v/>
      </c>
      <c r="M794" s="64">
        <f>L794/K794</f>
        <v/>
      </c>
    </row>
    <row r="795">
      <c r="A795" s="58" t="inlineStr">
        <is>
          <t>RT20250119-00794</t>
        </is>
      </c>
      <c r="B795" s="59" t="inlineStr">
        <is>
          <t>2025-01-19</t>
        </is>
      </c>
      <c r="C795" s="60" t="inlineStr">
        <is>
          <t>Polar Fragrance Pro-750</t>
        </is>
      </c>
      <c r="D795" s="58" t="inlineStr">
        <is>
          <t>Beauty</t>
        </is>
      </c>
      <c r="E795" s="58" t="inlineStr">
        <is>
          <t>East</t>
        </is>
      </c>
      <c r="F795" s="61" t="n">
        <v>5</v>
      </c>
      <c r="G795" s="62" t="n">
        <v>60.04</v>
      </c>
      <c r="H795" s="63" t="n">
        <v>0.08699999999999999</v>
      </c>
      <c r="I795" s="62" t="n">
        <v>35.81</v>
      </c>
      <c r="J795" s="58" t="inlineStr">
        <is>
          <t>Online</t>
        </is>
      </c>
      <c r="K795" s="62">
        <f>F795*(G795-H795)</f>
        <v/>
      </c>
      <c r="L795" s="62">
        <f>K795-(F795*I795)</f>
        <v/>
      </c>
      <c r="M795" s="64">
        <f>L795/K795</f>
        <v/>
      </c>
    </row>
    <row r="796">
      <c r="A796" s="58" t="inlineStr">
        <is>
          <t>RT20250119-00795</t>
        </is>
      </c>
      <c r="B796" s="59" t="inlineStr">
        <is>
          <t>2025-01-19</t>
        </is>
      </c>
      <c r="C796" s="60" t="inlineStr">
        <is>
          <t>Falcon Team Sport Lite-268</t>
        </is>
      </c>
      <c r="D796" s="58" t="inlineStr">
        <is>
          <t>Sports</t>
        </is>
      </c>
      <c r="E796" s="58" t="inlineStr">
        <is>
          <t>East</t>
        </is>
      </c>
      <c r="F796" s="61" t="n">
        <v>1</v>
      </c>
      <c r="G796" s="62" t="n">
        <v>664.63</v>
      </c>
      <c r="H796" s="63" t="n">
        <v>0.13</v>
      </c>
      <c r="I796" s="62" t="n">
        <v>440.11</v>
      </c>
      <c r="J796" s="58" t="inlineStr">
        <is>
          <t>Store</t>
        </is>
      </c>
      <c r="K796" s="62">
        <f>F796*(G796-H796)</f>
        <v/>
      </c>
      <c r="L796" s="62">
        <f>K796-(F796*I796)</f>
        <v/>
      </c>
      <c r="M796" s="64">
        <f>L796/K796</f>
        <v/>
      </c>
    </row>
    <row r="797">
      <c r="A797" s="58" t="inlineStr">
        <is>
          <t>RT20250119-00796</t>
        </is>
      </c>
      <c r="B797" s="59" t="inlineStr">
        <is>
          <t>2025-01-19</t>
        </is>
      </c>
      <c r="C797" s="60" t="inlineStr">
        <is>
          <t>Aurora Makeup S-626</t>
        </is>
      </c>
      <c r="D797" s="58" t="inlineStr">
        <is>
          <t>Beauty</t>
        </is>
      </c>
      <c r="E797" s="58" t="inlineStr">
        <is>
          <t>South</t>
        </is>
      </c>
      <c r="F797" s="61" t="n">
        <v>4</v>
      </c>
      <c r="G797" s="62" t="n">
        <v>116.9</v>
      </c>
      <c r="H797" s="63" t="n">
        <v>0.046</v>
      </c>
      <c r="I797" s="62" t="n">
        <v>62.14</v>
      </c>
      <c r="J797" s="58" t="inlineStr">
        <is>
          <t>Online</t>
        </is>
      </c>
      <c r="K797" s="62">
        <f>F797*(G797-H797)</f>
        <v/>
      </c>
      <c r="L797" s="62">
        <f>K797-(F797*I797)</f>
        <v/>
      </c>
      <c r="M797" s="64">
        <f>L797/K797</f>
        <v/>
      </c>
    </row>
    <row r="798">
      <c r="A798" s="58" t="inlineStr">
        <is>
          <t>RT20250119-00797</t>
        </is>
      </c>
      <c r="B798" s="59" t="inlineStr">
        <is>
          <t>2025-01-19</t>
        </is>
      </c>
      <c r="C798" s="60" t="inlineStr">
        <is>
          <t>Aurora Wearable Lite-704</t>
        </is>
      </c>
      <c r="D798" s="58" t="inlineStr">
        <is>
          <t>Electronics</t>
        </is>
      </c>
      <c r="E798" s="58" t="inlineStr">
        <is>
          <t>North</t>
        </is>
      </c>
      <c r="F798" s="61" t="n">
        <v>1</v>
      </c>
      <c r="G798" s="62" t="n">
        <v>1831.52</v>
      </c>
      <c r="H798" s="63" t="n">
        <v>0.063</v>
      </c>
      <c r="I798" s="62" t="n">
        <v>1436.43</v>
      </c>
      <c r="J798" s="58" t="inlineStr">
        <is>
          <t>Online</t>
        </is>
      </c>
      <c r="K798" s="62">
        <f>F798*(G798-H798)</f>
        <v/>
      </c>
      <c r="L798" s="62">
        <f>K798-(F798*I798)</f>
        <v/>
      </c>
      <c r="M798" s="64">
        <f>L798/K798</f>
        <v/>
      </c>
    </row>
    <row r="799">
      <c r="A799" s="58" t="inlineStr">
        <is>
          <t>RT20250119-00798</t>
        </is>
      </c>
      <c r="B799" s="59" t="inlineStr">
        <is>
          <t>2025-01-19</t>
        </is>
      </c>
      <c r="C799" s="60" t="inlineStr">
        <is>
          <t>Nimbus Headphone X-854</t>
        </is>
      </c>
      <c r="D799" s="58" t="inlineStr">
        <is>
          <t>Electronics</t>
        </is>
      </c>
      <c r="E799" s="58" t="inlineStr">
        <is>
          <t>Central</t>
        </is>
      </c>
      <c r="F799" s="61" t="n">
        <v>2</v>
      </c>
      <c r="G799" s="62" t="n">
        <v>1470.77</v>
      </c>
      <c r="H799" s="63" t="n">
        <v>0.034</v>
      </c>
      <c r="I799" s="62" t="n">
        <v>1233.77</v>
      </c>
      <c r="J799" s="58" t="inlineStr">
        <is>
          <t>Store</t>
        </is>
      </c>
      <c r="K799" s="62">
        <f>F799*(G799-H799)</f>
        <v/>
      </c>
      <c r="L799" s="62">
        <f>K799-(F799*I799)</f>
        <v/>
      </c>
      <c r="M799" s="64">
        <f>L799/K799</f>
        <v/>
      </c>
    </row>
    <row r="800">
      <c r="A800" s="58" t="inlineStr">
        <is>
          <t>RT20250119-00799</t>
        </is>
      </c>
      <c r="B800" s="59" t="inlineStr">
        <is>
          <t>2025-01-19</t>
        </is>
      </c>
      <c r="C800" s="60" t="inlineStr">
        <is>
          <t>Solace Team Sport Max-548</t>
        </is>
      </c>
      <c r="D800" s="58" t="inlineStr">
        <is>
          <t>Sports</t>
        </is>
      </c>
      <c r="E800" s="58" t="inlineStr">
        <is>
          <t>East</t>
        </is>
      </c>
      <c r="F800" s="61" t="n">
        <v>3</v>
      </c>
      <c r="G800" s="62" t="n">
        <v>655.37</v>
      </c>
      <c r="H800" s="63" t="n">
        <v>0.014</v>
      </c>
      <c r="I800" s="62" t="n">
        <v>485.78</v>
      </c>
      <c r="J800" s="58" t="inlineStr">
        <is>
          <t>Online</t>
        </is>
      </c>
      <c r="K800" s="62">
        <f>F800*(G800-H800)</f>
        <v/>
      </c>
      <c r="L800" s="62">
        <f>K800-(F800*I800)</f>
        <v/>
      </c>
      <c r="M800" s="64">
        <f>L800/K800</f>
        <v/>
      </c>
    </row>
    <row r="801">
      <c r="A801" s="58" t="inlineStr">
        <is>
          <t>RT20250120-00800</t>
        </is>
      </c>
      <c r="B801" s="59" t="inlineStr">
        <is>
          <t>2025-01-20</t>
        </is>
      </c>
      <c r="C801" s="60" t="inlineStr">
        <is>
          <t>Metro Laptop Plus-376</t>
        </is>
      </c>
      <c r="D801" s="58" t="inlineStr">
        <is>
          <t>Electronics</t>
        </is>
      </c>
      <c r="E801" s="58" t="inlineStr">
        <is>
          <t>West</t>
        </is>
      </c>
      <c r="F801" s="61" t="n">
        <v>2</v>
      </c>
      <c r="G801" s="62" t="n">
        <v>1291.64</v>
      </c>
      <c r="H801" s="63" t="n">
        <v>0.057</v>
      </c>
      <c r="I801" s="62" t="n">
        <v>1029.36</v>
      </c>
      <c r="J801" s="58" t="inlineStr">
        <is>
          <t>Online</t>
        </is>
      </c>
      <c r="K801" s="62">
        <f>F801*(G801-H801)</f>
        <v/>
      </c>
      <c r="L801" s="62">
        <f>K801-(F801*I801)</f>
        <v/>
      </c>
      <c r="M801" s="64">
        <f>L801/K801</f>
        <v/>
      </c>
    </row>
    <row r="802">
      <c r="A802" s="58" t="inlineStr">
        <is>
          <t>RT20250120-00801</t>
        </is>
      </c>
      <c r="B802" s="59" t="inlineStr">
        <is>
          <t>2025-01-20</t>
        </is>
      </c>
      <c r="C802" s="60" t="inlineStr">
        <is>
          <t>Orion Kid Max-864</t>
        </is>
      </c>
      <c r="D802" s="58" t="inlineStr">
        <is>
          <t>Apparel</t>
        </is>
      </c>
      <c r="E802" s="58" t="inlineStr">
        <is>
          <t>South</t>
        </is>
      </c>
      <c r="F802" s="61" t="n">
        <v>4</v>
      </c>
      <c r="G802" s="62" t="n">
        <v>88.2</v>
      </c>
      <c r="H802" s="63" t="n">
        <v>0.056</v>
      </c>
      <c r="I802" s="62" t="n">
        <v>44.95</v>
      </c>
      <c r="J802" s="58" t="inlineStr">
        <is>
          <t>Store</t>
        </is>
      </c>
      <c r="K802" s="62">
        <f>F802*(G802-H802)</f>
        <v/>
      </c>
      <c r="L802" s="62">
        <f>K802-(F802*I802)</f>
        <v/>
      </c>
      <c r="M802" s="64">
        <f>L802/K802</f>
        <v/>
      </c>
    </row>
    <row r="803">
      <c r="A803" s="58" t="inlineStr">
        <is>
          <t>RT20250120-00802</t>
        </is>
      </c>
      <c r="B803" s="59" t="inlineStr">
        <is>
          <t>2025-01-20</t>
        </is>
      </c>
      <c r="C803" s="60" t="inlineStr">
        <is>
          <t>Polar Women Max-927</t>
        </is>
      </c>
      <c r="D803" s="58" t="inlineStr">
        <is>
          <t>Apparel</t>
        </is>
      </c>
      <c r="E803" s="58" t="inlineStr">
        <is>
          <t>West</t>
        </is>
      </c>
      <c r="F803" s="61" t="n">
        <v>2</v>
      </c>
      <c r="G803" s="62" t="n">
        <v>116.94</v>
      </c>
      <c r="H803" s="63" t="n">
        <v>0.049</v>
      </c>
      <c r="I803" s="62" t="n">
        <v>65.63</v>
      </c>
      <c r="J803" s="58" t="inlineStr">
        <is>
          <t>Online</t>
        </is>
      </c>
      <c r="K803" s="62">
        <f>F803*(G803-H803)</f>
        <v/>
      </c>
      <c r="L803" s="62">
        <f>K803-(F803*I803)</f>
        <v/>
      </c>
      <c r="M803" s="64">
        <f>L803/K803</f>
        <v/>
      </c>
    </row>
    <row r="804">
      <c r="A804" s="58" t="inlineStr">
        <is>
          <t>RT20250120-00803</t>
        </is>
      </c>
      <c r="B804" s="59" t="inlineStr">
        <is>
          <t>2025-01-20</t>
        </is>
      </c>
      <c r="C804" s="60" t="inlineStr">
        <is>
          <t>Polar Haircare Max-614</t>
        </is>
      </c>
      <c r="D804" s="58" t="inlineStr">
        <is>
          <t>Beauty</t>
        </is>
      </c>
      <c r="E804" s="58" t="inlineStr">
        <is>
          <t>South</t>
        </is>
      </c>
      <c r="F804" s="61" t="n">
        <v>2</v>
      </c>
      <c r="G804" s="62" t="n">
        <v>113.92</v>
      </c>
      <c r="H804" s="63" t="n">
        <v>0.012</v>
      </c>
      <c r="I804" s="62" t="n">
        <v>70.42</v>
      </c>
      <c r="J804" s="58" t="inlineStr">
        <is>
          <t>Online</t>
        </is>
      </c>
      <c r="K804" s="62">
        <f>F804*(G804-H804)</f>
        <v/>
      </c>
      <c r="L804" s="62">
        <f>K804-(F804*I804)</f>
        <v/>
      </c>
      <c r="M804" s="64">
        <f>L804/K804</f>
        <v/>
      </c>
    </row>
    <row r="805">
      <c r="A805" s="58" t="inlineStr">
        <is>
          <t>RT20250120-00804</t>
        </is>
      </c>
      <c r="B805" s="59" t="inlineStr">
        <is>
          <t>2025-01-20</t>
        </is>
      </c>
      <c r="C805" s="60" t="inlineStr">
        <is>
          <t>Falcon Beverage Max-702</t>
        </is>
      </c>
      <c r="D805" s="58" t="inlineStr">
        <is>
          <t>Grocery</t>
        </is>
      </c>
      <c r="E805" s="58" t="inlineStr">
        <is>
          <t>Central</t>
        </is>
      </c>
      <c r="F805" s="61" t="n">
        <v>4</v>
      </c>
      <c r="G805" s="62" t="n">
        <v>27.23</v>
      </c>
      <c r="H805" s="63" t="n">
        <v>0.052</v>
      </c>
      <c r="I805" s="62" t="n">
        <v>20.01</v>
      </c>
      <c r="J805" s="58" t="inlineStr">
        <is>
          <t>Online</t>
        </is>
      </c>
      <c r="K805" s="62">
        <f>F805*(G805-H805)</f>
        <v/>
      </c>
      <c r="L805" s="62">
        <f>K805-(F805*I805)</f>
        <v/>
      </c>
      <c r="M805" s="64">
        <f>L805/K805</f>
        <v/>
      </c>
    </row>
    <row r="806">
      <c r="A806" s="58" t="inlineStr">
        <is>
          <t>RT20250120-00805</t>
        </is>
      </c>
      <c r="B806" s="59" t="inlineStr">
        <is>
          <t>2025-01-20</t>
        </is>
      </c>
      <c r="C806" s="60" t="inlineStr">
        <is>
          <t>Polar Haircare Max-614</t>
        </is>
      </c>
      <c r="D806" s="58" t="inlineStr">
        <is>
          <t>Beauty</t>
        </is>
      </c>
      <c r="E806" s="58" t="inlineStr">
        <is>
          <t>East</t>
        </is>
      </c>
      <c r="F806" s="61" t="n">
        <v>3</v>
      </c>
      <c r="G806" s="62" t="n">
        <v>119.47</v>
      </c>
      <c r="H806" s="63" t="n">
        <v>0.093</v>
      </c>
      <c r="I806" s="62" t="n">
        <v>70.19</v>
      </c>
      <c r="J806" s="58" t="inlineStr">
        <is>
          <t>Online</t>
        </is>
      </c>
      <c r="K806" s="62">
        <f>F806*(G806-H806)</f>
        <v/>
      </c>
      <c r="L806" s="62">
        <f>K806-(F806*I806)</f>
        <v/>
      </c>
      <c r="M806" s="64">
        <f>L806/K806</f>
        <v/>
      </c>
    </row>
    <row r="807">
      <c r="A807" s="58" t="inlineStr">
        <is>
          <t>RT20250120-00806</t>
        </is>
      </c>
      <c r="B807" s="59" t="inlineStr">
        <is>
          <t>2025-01-20</t>
        </is>
      </c>
      <c r="C807" s="60" t="inlineStr">
        <is>
          <t>Vertex Furniture S-652</t>
        </is>
      </c>
      <c r="D807" s="58" t="inlineStr">
        <is>
          <t>Office</t>
        </is>
      </c>
      <c r="E807" s="58" t="inlineStr">
        <is>
          <t>North</t>
        </is>
      </c>
      <c r="F807" s="61" t="n">
        <v>1</v>
      </c>
      <c r="G807" s="62" t="n">
        <v>395.24</v>
      </c>
      <c r="H807" s="63" t="n">
        <v>0.049</v>
      </c>
      <c r="I807" s="62" t="n">
        <v>262.03</v>
      </c>
      <c r="J807" s="58" t="inlineStr">
        <is>
          <t>Store</t>
        </is>
      </c>
      <c r="K807" s="62">
        <f>F807*(G807-H807)</f>
        <v/>
      </c>
      <c r="L807" s="62">
        <f>K807-(F807*I807)</f>
        <v/>
      </c>
      <c r="M807" s="64">
        <f>L807/K807</f>
        <v/>
      </c>
    </row>
    <row r="808">
      <c r="A808" s="58" t="inlineStr">
        <is>
          <t>RT20250120-00807</t>
        </is>
      </c>
      <c r="B808" s="59" t="inlineStr">
        <is>
          <t>2025-01-20</t>
        </is>
      </c>
      <c r="C808" s="60" t="inlineStr">
        <is>
          <t>Solace Bedding Plus-317</t>
        </is>
      </c>
      <c r="D808" s="58" t="inlineStr">
        <is>
          <t>Home</t>
        </is>
      </c>
      <c r="E808" s="58" t="inlineStr">
        <is>
          <t>West</t>
        </is>
      </c>
      <c r="F808" s="61" t="n">
        <v>2</v>
      </c>
      <c r="G808" s="62" t="n">
        <v>541.37</v>
      </c>
      <c r="H808" s="63" t="n">
        <v>0.031</v>
      </c>
      <c r="I808" s="62" t="n">
        <v>381.46</v>
      </c>
      <c r="J808" s="58" t="inlineStr">
        <is>
          <t>Online</t>
        </is>
      </c>
      <c r="K808" s="62">
        <f>F808*(G808-H808)</f>
        <v/>
      </c>
      <c r="L808" s="62">
        <f>K808-(F808*I808)</f>
        <v/>
      </c>
      <c r="M808" s="64">
        <f>L808/K808</f>
        <v/>
      </c>
    </row>
    <row r="809">
      <c r="A809" s="58" t="inlineStr">
        <is>
          <t>RT20250120-00808</t>
        </is>
      </c>
      <c r="B809" s="59" t="inlineStr">
        <is>
          <t>2025-01-20</t>
        </is>
      </c>
      <c r="C809" s="60" t="inlineStr">
        <is>
          <t>Falcon Skincare X-334</t>
        </is>
      </c>
      <c r="D809" s="58" t="inlineStr">
        <is>
          <t>Beauty</t>
        </is>
      </c>
      <c r="E809" s="58" t="inlineStr">
        <is>
          <t>West</t>
        </is>
      </c>
      <c r="F809" s="61" t="n">
        <v>3</v>
      </c>
      <c r="G809" s="62" t="n">
        <v>101.14</v>
      </c>
      <c r="H809" s="63" t="n">
        <v>0.019</v>
      </c>
      <c r="I809" s="62" t="n">
        <v>64.05</v>
      </c>
      <c r="J809" s="58" t="inlineStr">
        <is>
          <t>Online</t>
        </is>
      </c>
      <c r="K809" s="62">
        <f>F809*(G809-H809)</f>
        <v/>
      </c>
      <c r="L809" s="62">
        <f>K809-(F809*I809)</f>
        <v/>
      </c>
      <c r="M809" s="64">
        <f>L809/K809</f>
        <v/>
      </c>
    </row>
    <row r="810">
      <c r="A810" s="58" t="inlineStr">
        <is>
          <t>RT20250120-00809</t>
        </is>
      </c>
      <c r="B810" s="59" t="inlineStr">
        <is>
          <t>2025-01-20</t>
        </is>
      </c>
      <c r="C810" s="60" t="inlineStr">
        <is>
          <t>Falcon Skincare Max-151</t>
        </is>
      </c>
      <c r="D810" s="58" t="inlineStr">
        <is>
          <t>Beauty</t>
        </is>
      </c>
      <c r="E810" s="58" t="inlineStr">
        <is>
          <t>Central</t>
        </is>
      </c>
      <c r="F810" s="61" t="n">
        <v>1</v>
      </c>
      <c r="G810" s="62" t="n">
        <v>98.38</v>
      </c>
      <c r="H810" s="63" t="n">
        <v>0.025</v>
      </c>
      <c r="I810" s="62" t="n">
        <v>60.44</v>
      </c>
      <c r="J810" s="58" t="inlineStr">
        <is>
          <t>Online</t>
        </is>
      </c>
      <c r="K810" s="62">
        <f>F810*(G810-H810)</f>
        <v/>
      </c>
      <c r="L810" s="62">
        <f>K810-(F810*I810)</f>
        <v/>
      </c>
      <c r="M810" s="64">
        <f>L810/K810</f>
        <v/>
      </c>
    </row>
    <row r="811">
      <c r="A811" s="58" t="inlineStr">
        <is>
          <t>RT20250120-00810</t>
        </is>
      </c>
      <c r="B811" s="59" t="inlineStr">
        <is>
          <t>2025-01-20</t>
        </is>
      </c>
      <c r="C811" s="60" t="inlineStr">
        <is>
          <t>Polar Snack Pro-641</t>
        </is>
      </c>
      <c r="D811" s="58" t="inlineStr">
        <is>
          <t>Grocery</t>
        </is>
      </c>
      <c r="E811" s="58" t="inlineStr">
        <is>
          <t>East</t>
        </is>
      </c>
      <c r="F811" s="61" t="n">
        <v>4</v>
      </c>
      <c r="G811" s="62" t="n">
        <v>11.08</v>
      </c>
      <c r="H811" s="63" t="n">
        <v>0.098</v>
      </c>
      <c r="I811" s="62" t="n">
        <v>9.68</v>
      </c>
      <c r="J811" s="58" t="inlineStr">
        <is>
          <t>Store</t>
        </is>
      </c>
      <c r="K811" s="62">
        <f>F811*(G811-H811)</f>
        <v/>
      </c>
      <c r="L811" s="62">
        <f>K811-(F811*I811)</f>
        <v/>
      </c>
      <c r="M811" s="64">
        <f>L811/K811</f>
        <v/>
      </c>
    </row>
    <row r="812">
      <c r="A812" s="58" t="inlineStr">
        <is>
          <t>RT20250120-00811</t>
        </is>
      </c>
      <c r="B812" s="59" t="inlineStr">
        <is>
          <t>2025-01-20</t>
        </is>
      </c>
      <c r="C812" s="60" t="inlineStr">
        <is>
          <t>Aurora Furniture X-709</t>
        </is>
      </c>
      <c r="D812" s="58" t="inlineStr">
        <is>
          <t>Office</t>
        </is>
      </c>
      <c r="E812" s="58" t="inlineStr">
        <is>
          <t>South</t>
        </is>
      </c>
      <c r="F812" s="61" t="n">
        <v>3</v>
      </c>
      <c r="G812" s="62" t="n">
        <v>435.8</v>
      </c>
      <c r="H812" s="63" t="n">
        <v>0.068</v>
      </c>
      <c r="I812" s="62" t="n">
        <v>314.39</v>
      </c>
      <c r="J812" s="58" t="inlineStr">
        <is>
          <t>Online</t>
        </is>
      </c>
      <c r="K812" s="62">
        <f>F812*(G812-H812)</f>
        <v/>
      </c>
      <c r="L812" s="62">
        <f>K812-(F812*I812)</f>
        <v/>
      </c>
      <c r="M812" s="64">
        <f>L812/K812</f>
        <v/>
      </c>
    </row>
    <row r="813">
      <c r="A813" s="58" t="inlineStr">
        <is>
          <t>RT20250120-00812</t>
        </is>
      </c>
      <c r="B813" s="59" t="inlineStr">
        <is>
          <t>2025-01-20</t>
        </is>
      </c>
      <c r="C813" s="60" t="inlineStr">
        <is>
          <t>Nimbus Laptop Max-652</t>
        </is>
      </c>
      <c r="D813" s="58" t="inlineStr">
        <is>
          <t>Electronics</t>
        </is>
      </c>
      <c r="E813" s="58" t="inlineStr">
        <is>
          <t>West</t>
        </is>
      </c>
      <c r="F813" s="61" t="n">
        <v>2</v>
      </c>
      <c r="G813" s="62" t="n">
        <v>1458.55</v>
      </c>
      <c r="H813" s="63" t="n">
        <v>0.11</v>
      </c>
      <c r="I813" s="62" t="n">
        <v>1058.46</v>
      </c>
      <c r="J813" s="58" t="inlineStr">
        <is>
          <t>Store</t>
        </is>
      </c>
      <c r="K813" s="62">
        <f>F813*(G813-H813)</f>
        <v/>
      </c>
      <c r="L813" s="62">
        <f>K813-(F813*I813)</f>
        <v/>
      </c>
      <c r="M813" s="64">
        <f>L813/K813</f>
        <v/>
      </c>
    </row>
    <row r="814">
      <c r="A814" s="58" t="inlineStr">
        <is>
          <t>RT20250120-00813</t>
        </is>
      </c>
      <c r="B814" s="59" t="inlineStr">
        <is>
          <t>2025-01-20</t>
        </is>
      </c>
      <c r="C814" s="60" t="inlineStr">
        <is>
          <t>Falcon Team Sport Lite-268</t>
        </is>
      </c>
      <c r="D814" s="58" t="inlineStr">
        <is>
          <t>Sports</t>
        </is>
      </c>
      <c r="E814" s="58" t="inlineStr">
        <is>
          <t>East</t>
        </is>
      </c>
      <c r="F814" s="61" t="n">
        <v>3</v>
      </c>
      <c r="G814" s="62" t="n">
        <v>693.76</v>
      </c>
      <c r="H814" s="63" t="n">
        <v>0.049</v>
      </c>
      <c r="I814" s="62" t="n">
        <v>423.04</v>
      </c>
      <c r="J814" s="58" t="inlineStr">
        <is>
          <t>Store</t>
        </is>
      </c>
      <c r="K814" s="62">
        <f>F814*(G814-H814)</f>
        <v/>
      </c>
      <c r="L814" s="62">
        <f>K814-(F814*I814)</f>
        <v/>
      </c>
      <c r="M814" s="64">
        <f>L814/K814</f>
        <v/>
      </c>
    </row>
    <row r="815">
      <c r="A815" s="58" t="inlineStr">
        <is>
          <t>RT20250120-00814</t>
        </is>
      </c>
      <c r="B815" s="59" t="inlineStr">
        <is>
          <t>2025-01-20</t>
        </is>
      </c>
      <c r="C815" s="60" t="inlineStr">
        <is>
          <t>Polar Outdoor X-193</t>
        </is>
      </c>
      <c r="D815" s="58" t="inlineStr">
        <is>
          <t>Sports</t>
        </is>
      </c>
      <c r="E815" s="58" t="inlineStr">
        <is>
          <t>East</t>
        </is>
      </c>
      <c r="F815" s="61" t="n">
        <v>2</v>
      </c>
      <c r="G815" s="62" t="n">
        <v>583.99</v>
      </c>
      <c r="H815" s="63" t="n">
        <v>0.1</v>
      </c>
      <c r="I815" s="62" t="n">
        <v>468.42</v>
      </c>
      <c r="J815" s="58" t="inlineStr">
        <is>
          <t>Online</t>
        </is>
      </c>
      <c r="K815" s="62">
        <f>F815*(G815-H815)</f>
        <v/>
      </c>
      <c r="L815" s="62">
        <f>K815-(F815*I815)</f>
        <v/>
      </c>
      <c r="M815" s="64">
        <f>L815/K815</f>
        <v/>
      </c>
    </row>
    <row r="816">
      <c r="A816" s="58" t="inlineStr">
        <is>
          <t>RT20250120-00815</t>
        </is>
      </c>
      <c r="B816" s="59" t="inlineStr">
        <is>
          <t>2025-01-20</t>
        </is>
      </c>
      <c r="C816" s="60" t="inlineStr">
        <is>
          <t>Vertex Appliance S-296</t>
        </is>
      </c>
      <c r="D816" s="58" t="inlineStr">
        <is>
          <t>Home</t>
        </is>
      </c>
      <c r="E816" s="58" t="inlineStr">
        <is>
          <t>Central</t>
        </is>
      </c>
      <c r="F816" s="61" t="n">
        <v>2</v>
      </c>
      <c r="G816" s="62" t="n">
        <v>508.92</v>
      </c>
      <c r="H816" s="63" t="n">
        <v>0.091</v>
      </c>
      <c r="I816" s="62" t="n">
        <v>361.46</v>
      </c>
      <c r="J816" s="58" t="inlineStr">
        <is>
          <t>Store</t>
        </is>
      </c>
      <c r="K816" s="62">
        <f>F816*(G816-H816)</f>
        <v/>
      </c>
      <c r="L816" s="62">
        <f>K816-(F816*I816)</f>
        <v/>
      </c>
      <c r="M816" s="64">
        <f>L816/K816</f>
        <v/>
      </c>
    </row>
    <row r="817">
      <c r="A817" s="58" t="inlineStr">
        <is>
          <t>RT20250120-00816</t>
        </is>
      </c>
      <c r="B817" s="59" t="inlineStr">
        <is>
          <t>2025-01-20</t>
        </is>
      </c>
      <c r="C817" s="60" t="inlineStr">
        <is>
          <t>Polar Outdoor X-193</t>
        </is>
      </c>
      <c r="D817" s="58" t="inlineStr">
        <is>
          <t>Sports</t>
        </is>
      </c>
      <c r="E817" s="58" t="inlineStr">
        <is>
          <t>East</t>
        </is>
      </c>
      <c r="F817" s="61" t="n">
        <v>1</v>
      </c>
      <c r="G817" s="62" t="n">
        <v>670.4</v>
      </c>
      <c r="H817" s="63" t="n">
        <v>0.06</v>
      </c>
      <c r="I817" s="62" t="n">
        <v>467.5</v>
      </c>
      <c r="J817" s="58" t="inlineStr">
        <is>
          <t>Online</t>
        </is>
      </c>
      <c r="K817" s="62">
        <f>F817*(G817-H817)</f>
        <v/>
      </c>
      <c r="L817" s="62">
        <f>K817-(F817*I817)</f>
        <v/>
      </c>
      <c r="M817" s="64">
        <f>L817/K817</f>
        <v/>
      </c>
    </row>
    <row r="818">
      <c r="A818" s="58" t="inlineStr">
        <is>
          <t>RT20250120-00817</t>
        </is>
      </c>
      <c r="B818" s="59" t="inlineStr">
        <is>
          <t>2025-01-20</t>
        </is>
      </c>
      <c r="C818" s="60" t="inlineStr">
        <is>
          <t>Aurora Printer Plus-723</t>
        </is>
      </c>
      <c r="D818" s="58" t="inlineStr">
        <is>
          <t>Office</t>
        </is>
      </c>
      <c r="E818" s="58" t="inlineStr">
        <is>
          <t>Central</t>
        </is>
      </c>
      <c r="F818" s="61" t="n">
        <v>3</v>
      </c>
      <c r="G818" s="62" t="n">
        <v>288.63</v>
      </c>
      <c r="H818" s="63" t="n">
        <v>0.07199999999999999</v>
      </c>
      <c r="I818" s="62" t="n">
        <v>191.99</v>
      </c>
      <c r="J818" s="58" t="inlineStr">
        <is>
          <t>Online</t>
        </is>
      </c>
      <c r="K818" s="62">
        <f>F818*(G818-H818)</f>
        <v/>
      </c>
      <c r="L818" s="62">
        <f>K818-(F818*I818)</f>
        <v/>
      </c>
      <c r="M818" s="64">
        <f>L818/K818</f>
        <v/>
      </c>
    </row>
    <row r="819">
      <c r="A819" s="58" t="inlineStr">
        <is>
          <t>RT20250120-00818</t>
        </is>
      </c>
      <c r="B819" s="59" t="inlineStr">
        <is>
          <t>2025-01-20</t>
        </is>
      </c>
      <c r="C819" s="60" t="inlineStr">
        <is>
          <t>Aurora Bedding Max-175</t>
        </is>
      </c>
      <c r="D819" s="58" t="inlineStr">
        <is>
          <t>Home</t>
        </is>
      </c>
      <c r="E819" s="58" t="inlineStr">
        <is>
          <t>East</t>
        </is>
      </c>
      <c r="F819" s="61" t="n">
        <v>2</v>
      </c>
      <c r="G819" s="62" t="n">
        <v>570.29</v>
      </c>
      <c r="H819" s="63" t="n">
        <v>0.051</v>
      </c>
      <c r="I819" s="62" t="n">
        <v>419.9</v>
      </c>
      <c r="J819" s="58" t="inlineStr">
        <is>
          <t>Store</t>
        </is>
      </c>
      <c r="K819" s="62">
        <f>F819*(G819-H819)</f>
        <v/>
      </c>
      <c r="L819" s="62">
        <f>K819-(F819*I819)</f>
        <v/>
      </c>
      <c r="M819" s="64">
        <f>L819/K819</f>
        <v/>
      </c>
    </row>
    <row r="820">
      <c r="A820" s="58" t="inlineStr">
        <is>
          <t>RT20250120-00819</t>
        </is>
      </c>
      <c r="B820" s="59" t="inlineStr">
        <is>
          <t>2025-01-20</t>
        </is>
      </c>
      <c r="C820" s="60" t="inlineStr">
        <is>
          <t>Vertex Furniture S-652</t>
        </is>
      </c>
      <c r="D820" s="58" t="inlineStr">
        <is>
          <t>Office</t>
        </is>
      </c>
      <c r="E820" s="58" t="inlineStr">
        <is>
          <t>East</t>
        </is>
      </c>
      <c r="F820" s="61" t="n">
        <v>1</v>
      </c>
      <c r="G820" s="62" t="n">
        <v>330.39</v>
      </c>
      <c r="H820" s="63" t="n">
        <v>0.08599999999999999</v>
      </c>
      <c r="I820" s="62" t="n">
        <v>270.16</v>
      </c>
      <c r="J820" s="58" t="inlineStr">
        <is>
          <t>Online</t>
        </is>
      </c>
      <c r="K820" s="62">
        <f>F820*(G820-H820)</f>
        <v/>
      </c>
      <c r="L820" s="62">
        <f>K820-(F820*I820)</f>
        <v/>
      </c>
      <c r="M820" s="64">
        <f>L820/K820</f>
        <v/>
      </c>
    </row>
    <row r="821">
      <c r="A821" s="58" t="inlineStr">
        <is>
          <t>RT20250120-00820</t>
        </is>
      </c>
      <c r="B821" s="59" t="inlineStr">
        <is>
          <t>2025-01-20</t>
        </is>
      </c>
      <c r="C821" s="60" t="inlineStr">
        <is>
          <t>Aurora Outdoor Pro-467</t>
        </is>
      </c>
      <c r="D821" s="58" t="inlineStr">
        <is>
          <t>Sports</t>
        </is>
      </c>
      <c r="E821" s="58" t="inlineStr">
        <is>
          <t>North</t>
        </is>
      </c>
      <c r="F821" s="61" t="n">
        <v>2</v>
      </c>
      <c r="G821" s="62" t="n">
        <v>299.72</v>
      </c>
      <c r="H821" s="63" t="n">
        <v>0.07099999999999999</v>
      </c>
      <c r="I821" s="62" t="n">
        <v>187.42</v>
      </c>
      <c r="J821" s="58" t="inlineStr">
        <is>
          <t>Online</t>
        </is>
      </c>
      <c r="K821" s="62">
        <f>F821*(G821-H821)</f>
        <v/>
      </c>
      <c r="L821" s="62">
        <f>K821-(F821*I821)</f>
        <v/>
      </c>
      <c r="M821" s="64">
        <f>L821/K821</f>
        <v/>
      </c>
    </row>
    <row r="822">
      <c r="A822" s="58" t="inlineStr">
        <is>
          <t>RT20250120-00821</t>
        </is>
      </c>
      <c r="B822" s="59" t="inlineStr">
        <is>
          <t>2025-01-20</t>
        </is>
      </c>
      <c r="C822" s="60" t="inlineStr">
        <is>
          <t>Vertex Smartphone Lite-267</t>
        </is>
      </c>
      <c r="D822" s="58" t="inlineStr">
        <is>
          <t>Electronics</t>
        </is>
      </c>
      <c r="E822" s="58" t="inlineStr">
        <is>
          <t>Central</t>
        </is>
      </c>
      <c r="F822" s="61" t="n">
        <v>1</v>
      </c>
      <c r="G822" s="62" t="n">
        <v>1394.55</v>
      </c>
      <c r="H822" s="63" t="n">
        <v>0.055</v>
      </c>
      <c r="I822" s="62" t="n">
        <v>972.38</v>
      </c>
      <c r="J822" s="58" t="inlineStr">
        <is>
          <t>Online</t>
        </is>
      </c>
      <c r="K822" s="62">
        <f>F822*(G822-H822)</f>
        <v/>
      </c>
      <c r="L822" s="62">
        <f>K822-(F822*I822)</f>
        <v/>
      </c>
      <c r="M822" s="64">
        <f>L822/K822</f>
        <v/>
      </c>
    </row>
    <row r="823">
      <c r="A823" s="58" t="inlineStr">
        <is>
          <t>RT20250120-00822</t>
        </is>
      </c>
      <c r="B823" s="59" t="inlineStr">
        <is>
          <t>2025-01-20</t>
        </is>
      </c>
      <c r="C823" s="60" t="inlineStr">
        <is>
          <t>Falcon Skincare X-334</t>
        </is>
      </c>
      <c r="D823" s="58" t="inlineStr">
        <is>
          <t>Beauty</t>
        </is>
      </c>
      <c r="E823" s="58" t="inlineStr">
        <is>
          <t>East</t>
        </is>
      </c>
      <c r="F823" s="61" t="n">
        <v>2</v>
      </c>
      <c r="G823" s="62" t="n">
        <v>97.54000000000001</v>
      </c>
      <c r="H823" s="63" t="n">
        <v>0.031</v>
      </c>
      <c r="I823" s="62" t="n">
        <v>62.05</v>
      </c>
      <c r="J823" s="58" t="inlineStr">
        <is>
          <t>Online</t>
        </is>
      </c>
      <c r="K823" s="62">
        <f>F823*(G823-H823)</f>
        <v/>
      </c>
      <c r="L823" s="62">
        <f>K823-(F823*I823)</f>
        <v/>
      </c>
      <c r="M823" s="64">
        <f>L823/K823</f>
        <v/>
      </c>
    </row>
    <row r="824">
      <c r="A824" s="58" t="inlineStr">
        <is>
          <t>RT20250121-00823</t>
        </is>
      </c>
      <c r="B824" s="59" t="inlineStr">
        <is>
          <t>2025-01-21</t>
        </is>
      </c>
      <c r="C824" s="60" t="inlineStr">
        <is>
          <t>Aurora Bedding Plus-187</t>
        </is>
      </c>
      <c r="D824" s="58" t="inlineStr">
        <is>
          <t>Home</t>
        </is>
      </c>
      <c r="E824" s="58" t="inlineStr">
        <is>
          <t>North</t>
        </is>
      </c>
      <c r="F824" s="61" t="n">
        <v>2</v>
      </c>
      <c r="G824" s="62" t="n">
        <v>309.51</v>
      </c>
      <c r="H824" s="63" t="n">
        <v>0.111</v>
      </c>
      <c r="I824" s="62" t="n">
        <v>215.11</v>
      </c>
      <c r="J824" s="58" t="inlineStr">
        <is>
          <t>Online</t>
        </is>
      </c>
      <c r="K824" s="62">
        <f>F824*(G824-H824)</f>
        <v/>
      </c>
      <c r="L824" s="62">
        <f>K824-(F824*I824)</f>
        <v/>
      </c>
      <c r="M824" s="64">
        <f>L824/K824</f>
        <v/>
      </c>
    </row>
    <row r="825">
      <c r="A825" s="58" t="inlineStr">
        <is>
          <t>RT20250121-00824</t>
        </is>
      </c>
      <c r="B825" s="59" t="inlineStr">
        <is>
          <t>2025-01-21</t>
        </is>
      </c>
      <c r="C825" s="60" t="inlineStr">
        <is>
          <t>Falcon Cycling Pro-499</t>
        </is>
      </c>
      <c r="D825" s="58" t="inlineStr">
        <is>
          <t>Sports</t>
        </is>
      </c>
      <c r="E825" s="58" t="inlineStr">
        <is>
          <t>North</t>
        </is>
      </c>
      <c r="F825" s="61" t="n">
        <v>2</v>
      </c>
      <c r="G825" s="62" t="n">
        <v>587.01</v>
      </c>
      <c r="H825" s="63" t="n">
        <v>0.107</v>
      </c>
      <c r="I825" s="62" t="n">
        <v>411.3</v>
      </c>
      <c r="J825" s="58" t="inlineStr">
        <is>
          <t>Store</t>
        </is>
      </c>
      <c r="K825" s="62">
        <f>F825*(G825-H825)</f>
        <v/>
      </c>
      <c r="L825" s="62">
        <f>K825-(F825*I825)</f>
        <v/>
      </c>
      <c r="M825" s="64">
        <f>L825/K825</f>
        <v/>
      </c>
    </row>
    <row r="826">
      <c r="A826" s="58" t="inlineStr">
        <is>
          <t>RT20250121-00825</t>
        </is>
      </c>
      <c r="B826" s="59" t="inlineStr">
        <is>
          <t>2025-01-21</t>
        </is>
      </c>
      <c r="C826" s="60" t="inlineStr">
        <is>
          <t>Vertex Appliance S-159</t>
        </is>
      </c>
      <c r="D826" s="58" t="inlineStr">
        <is>
          <t>Home</t>
        </is>
      </c>
      <c r="E826" s="58" t="inlineStr">
        <is>
          <t>Central</t>
        </is>
      </c>
      <c r="F826" s="61" t="n">
        <v>2</v>
      </c>
      <c r="G826" s="62" t="n">
        <v>396.26</v>
      </c>
      <c r="H826" s="63" t="n">
        <v>0.076</v>
      </c>
      <c r="I826" s="62" t="n">
        <v>286.13</v>
      </c>
      <c r="J826" s="58" t="inlineStr">
        <is>
          <t>Online</t>
        </is>
      </c>
      <c r="K826" s="62">
        <f>F826*(G826-H826)</f>
        <v/>
      </c>
      <c r="L826" s="62">
        <f>K826-(F826*I826)</f>
        <v/>
      </c>
      <c r="M826" s="64">
        <f>L826/K826</f>
        <v/>
      </c>
    </row>
    <row r="827">
      <c r="A827" s="58" t="inlineStr">
        <is>
          <t>RT20250121-00826</t>
        </is>
      </c>
      <c r="B827" s="59" t="inlineStr">
        <is>
          <t>2025-01-21</t>
        </is>
      </c>
      <c r="C827" s="60" t="inlineStr">
        <is>
          <t>Polar Decor Plus-505</t>
        </is>
      </c>
      <c r="D827" s="58" t="inlineStr">
        <is>
          <t>Home</t>
        </is>
      </c>
      <c r="E827" s="58" t="inlineStr">
        <is>
          <t>West</t>
        </is>
      </c>
      <c r="F827" s="61" t="n">
        <v>1</v>
      </c>
      <c r="G827" s="62" t="n">
        <v>280.53</v>
      </c>
      <c r="H827" s="63" t="n">
        <v>0.046</v>
      </c>
      <c r="I827" s="62" t="n">
        <v>202.33</v>
      </c>
      <c r="J827" s="58" t="inlineStr">
        <is>
          <t>Online</t>
        </is>
      </c>
      <c r="K827" s="62">
        <f>F827*(G827-H827)</f>
        <v/>
      </c>
      <c r="L827" s="62">
        <f>K827-(F827*I827)</f>
        <v/>
      </c>
      <c r="M827" s="64">
        <f>L827/K827</f>
        <v/>
      </c>
    </row>
    <row r="828">
      <c r="A828" s="58" t="inlineStr">
        <is>
          <t>RT20250121-00827</t>
        </is>
      </c>
      <c r="B828" s="59" t="inlineStr">
        <is>
          <t>2025-01-21</t>
        </is>
      </c>
      <c r="C828" s="60" t="inlineStr">
        <is>
          <t>Vertex Printer Max-692</t>
        </is>
      </c>
      <c r="D828" s="58" t="inlineStr">
        <is>
          <t>Office</t>
        </is>
      </c>
      <c r="E828" s="58" t="inlineStr">
        <is>
          <t>South</t>
        </is>
      </c>
      <c r="F828" s="61" t="n">
        <v>3</v>
      </c>
      <c r="G828" s="62" t="n">
        <v>159.6</v>
      </c>
      <c r="H828" s="63" t="n">
        <v>0.075</v>
      </c>
      <c r="I828" s="62" t="n">
        <v>120.91</v>
      </c>
      <c r="J828" s="58" t="inlineStr">
        <is>
          <t>Store</t>
        </is>
      </c>
      <c r="K828" s="62">
        <f>F828*(G828-H828)</f>
        <v/>
      </c>
      <c r="L828" s="62">
        <f>K828-(F828*I828)</f>
        <v/>
      </c>
      <c r="M828" s="64">
        <f>L828/K828</f>
        <v/>
      </c>
    </row>
    <row r="829">
      <c r="A829" s="58" t="inlineStr">
        <is>
          <t>RT20250121-00828</t>
        </is>
      </c>
      <c r="B829" s="59" t="inlineStr">
        <is>
          <t>2025-01-21</t>
        </is>
      </c>
      <c r="C829" s="60" t="inlineStr">
        <is>
          <t>Polar Supplie Lite-348</t>
        </is>
      </c>
      <c r="D829" s="58" t="inlineStr">
        <is>
          <t>Office</t>
        </is>
      </c>
      <c r="E829" s="58" t="inlineStr">
        <is>
          <t>East</t>
        </is>
      </c>
      <c r="F829" s="61" t="n">
        <v>1</v>
      </c>
      <c r="G829" s="62" t="n">
        <v>483.7</v>
      </c>
      <c r="H829" s="63" t="n">
        <v>0.074</v>
      </c>
      <c r="I829" s="62" t="n">
        <v>318.1</v>
      </c>
      <c r="J829" s="58" t="inlineStr">
        <is>
          <t>Store</t>
        </is>
      </c>
      <c r="K829" s="62">
        <f>F829*(G829-H829)</f>
        <v/>
      </c>
      <c r="L829" s="62">
        <f>K829-(F829*I829)</f>
        <v/>
      </c>
      <c r="M829" s="64">
        <f>L829/K829</f>
        <v/>
      </c>
    </row>
    <row r="830">
      <c r="A830" s="58" t="inlineStr">
        <is>
          <t>RT20250121-00829</t>
        </is>
      </c>
      <c r="B830" s="59" t="inlineStr">
        <is>
          <t>2025-01-21</t>
        </is>
      </c>
      <c r="C830" s="60" t="inlineStr">
        <is>
          <t>Nimbus Laptop Max-652</t>
        </is>
      </c>
      <c r="D830" s="58" t="inlineStr">
        <is>
          <t>Electronics</t>
        </is>
      </c>
      <c r="E830" s="58" t="inlineStr">
        <is>
          <t>East</t>
        </is>
      </c>
      <c r="F830" s="61" t="n">
        <v>2</v>
      </c>
      <c r="G830" s="62" t="n">
        <v>1242.29</v>
      </c>
      <c r="H830" s="63" t="n">
        <v>0.049</v>
      </c>
      <c r="I830" s="62" t="n">
        <v>1014.2</v>
      </c>
      <c r="J830" s="58" t="inlineStr">
        <is>
          <t>Online</t>
        </is>
      </c>
      <c r="K830" s="62">
        <f>F830*(G830-H830)</f>
        <v/>
      </c>
      <c r="L830" s="62">
        <f>K830-(F830*I830)</f>
        <v/>
      </c>
      <c r="M830" s="64">
        <f>L830/K830</f>
        <v/>
      </c>
    </row>
    <row r="831">
      <c r="A831" s="58" t="inlineStr">
        <is>
          <t>RT20250121-00830</t>
        </is>
      </c>
      <c r="B831" s="59" t="inlineStr">
        <is>
          <t>2025-01-21</t>
        </is>
      </c>
      <c r="C831" s="60" t="inlineStr">
        <is>
          <t>Polar Haircare Max-614</t>
        </is>
      </c>
      <c r="D831" s="58" t="inlineStr">
        <is>
          <t>Beauty</t>
        </is>
      </c>
      <c r="E831" s="58" t="inlineStr">
        <is>
          <t>North</t>
        </is>
      </c>
      <c r="F831" s="61" t="n">
        <v>4</v>
      </c>
      <c r="G831" s="62" t="n">
        <v>114.39</v>
      </c>
      <c r="H831" s="63" t="n">
        <v>0.08699999999999999</v>
      </c>
      <c r="I831" s="62" t="n">
        <v>67.73</v>
      </c>
      <c r="J831" s="58" t="inlineStr">
        <is>
          <t>Store</t>
        </is>
      </c>
      <c r="K831" s="62">
        <f>F831*(G831-H831)</f>
        <v/>
      </c>
      <c r="L831" s="62">
        <f>K831-(F831*I831)</f>
        <v/>
      </c>
      <c r="M831" s="64">
        <f>L831/K831</f>
        <v/>
      </c>
    </row>
    <row r="832">
      <c r="A832" s="58" t="inlineStr">
        <is>
          <t>RT20250121-00831</t>
        </is>
      </c>
      <c r="B832" s="59" t="inlineStr">
        <is>
          <t>2025-01-21</t>
        </is>
      </c>
      <c r="C832" s="60" t="inlineStr">
        <is>
          <t>Metro Printer X-294</t>
        </is>
      </c>
      <c r="D832" s="58" t="inlineStr">
        <is>
          <t>Office</t>
        </is>
      </c>
      <c r="E832" s="58" t="inlineStr">
        <is>
          <t>South</t>
        </is>
      </c>
      <c r="F832" s="61" t="n">
        <v>3</v>
      </c>
      <c r="G832" s="62" t="n">
        <v>663.61</v>
      </c>
      <c r="H832" s="63" t="n">
        <v>0.128</v>
      </c>
      <c r="I832" s="62" t="n">
        <v>412.45</v>
      </c>
      <c r="J832" s="58" t="inlineStr">
        <is>
          <t>Store</t>
        </is>
      </c>
      <c r="K832" s="62">
        <f>F832*(G832-H832)</f>
        <v/>
      </c>
      <c r="L832" s="62">
        <f>K832-(F832*I832)</f>
        <v/>
      </c>
      <c r="M832" s="64">
        <f>L832/K832</f>
        <v/>
      </c>
    </row>
    <row r="833">
      <c r="A833" s="58" t="inlineStr">
        <is>
          <t>RT20250121-00832</t>
        </is>
      </c>
      <c r="B833" s="59" t="inlineStr">
        <is>
          <t>2025-01-21</t>
        </is>
      </c>
      <c r="C833" s="60" t="inlineStr">
        <is>
          <t>Orion Laptop S-350</t>
        </is>
      </c>
      <c r="D833" s="58" t="inlineStr">
        <is>
          <t>Electronics</t>
        </is>
      </c>
      <c r="E833" s="58" t="inlineStr">
        <is>
          <t>West</t>
        </is>
      </c>
      <c r="F833" s="61" t="n">
        <v>2</v>
      </c>
      <c r="G833" s="62" t="n">
        <v>1337.21</v>
      </c>
      <c r="H833" s="63" t="n">
        <v>0.081</v>
      </c>
      <c r="I833" s="62" t="n">
        <v>1059.48</v>
      </c>
      <c r="J833" s="58" t="inlineStr">
        <is>
          <t>Phone</t>
        </is>
      </c>
      <c r="K833" s="62">
        <f>F833*(G833-H833)</f>
        <v/>
      </c>
      <c r="L833" s="62">
        <f>K833-(F833*I833)</f>
        <v/>
      </c>
      <c r="M833" s="64">
        <f>L833/K833</f>
        <v/>
      </c>
    </row>
    <row r="834">
      <c r="A834" s="58" t="inlineStr">
        <is>
          <t>RT20250121-00833</t>
        </is>
      </c>
      <c r="B834" s="59" t="inlineStr">
        <is>
          <t>2025-01-21</t>
        </is>
      </c>
      <c r="C834" s="60" t="inlineStr">
        <is>
          <t>Metro Beverage Max-490</t>
        </is>
      </c>
      <c r="D834" s="58" t="inlineStr">
        <is>
          <t>Grocery</t>
        </is>
      </c>
      <c r="E834" s="58" t="inlineStr">
        <is>
          <t>West</t>
        </is>
      </c>
      <c r="F834" s="61" t="n">
        <v>7</v>
      </c>
      <c r="G834" s="62" t="n">
        <v>9.800000000000001</v>
      </c>
      <c r="H834" s="63" t="n">
        <v>0.066</v>
      </c>
      <c r="I834" s="62" t="n">
        <v>8.02</v>
      </c>
      <c r="J834" s="58" t="inlineStr">
        <is>
          <t>Store</t>
        </is>
      </c>
      <c r="K834" s="62">
        <f>F834*(G834-H834)</f>
        <v/>
      </c>
      <c r="L834" s="62">
        <f>K834-(F834*I834)</f>
        <v/>
      </c>
      <c r="M834" s="64">
        <f>L834/K834</f>
        <v/>
      </c>
    </row>
    <row r="835">
      <c r="A835" s="58" t="inlineStr">
        <is>
          <t>RT20250121-00834</t>
        </is>
      </c>
      <c r="B835" s="59" t="inlineStr">
        <is>
          <t>2025-01-21</t>
        </is>
      </c>
      <c r="C835" s="60" t="inlineStr">
        <is>
          <t>Aurora Bedding Max-175</t>
        </is>
      </c>
      <c r="D835" s="58" t="inlineStr">
        <is>
          <t>Home</t>
        </is>
      </c>
      <c r="E835" s="58" t="inlineStr">
        <is>
          <t>South</t>
        </is>
      </c>
      <c r="F835" s="61" t="n">
        <v>1</v>
      </c>
      <c r="G835" s="62" t="n">
        <v>613.49</v>
      </c>
      <c r="H835" s="63" t="n">
        <v>0.031</v>
      </c>
      <c r="I835" s="62" t="n">
        <v>406.69</v>
      </c>
      <c r="J835" s="58" t="inlineStr">
        <is>
          <t>Online</t>
        </is>
      </c>
      <c r="K835" s="62">
        <f>F835*(G835-H835)</f>
        <v/>
      </c>
      <c r="L835" s="62">
        <f>K835-(F835*I835)</f>
        <v/>
      </c>
      <c r="M835" s="64">
        <f>L835/K835</f>
        <v/>
      </c>
    </row>
    <row r="836">
      <c r="A836" s="58" t="inlineStr">
        <is>
          <t>RT20250121-00835</t>
        </is>
      </c>
      <c r="B836" s="59" t="inlineStr">
        <is>
          <t>2025-01-21</t>
        </is>
      </c>
      <c r="C836" s="60" t="inlineStr">
        <is>
          <t>Orion Laptop S-350</t>
        </is>
      </c>
      <c r="D836" s="58" t="inlineStr">
        <is>
          <t>Electronics</t>
        </is>
      </c>
      <c r="E836" s="58" t="inlineStr">
        <is>
          <t>Central</t>
        </is>
      </c>
      <c r="F836" s="61" t="n">
        <v>2</v>
      </c>
      <c r="G836" s="62" t="n">
        <v>1345.3</v>
      </c>
      <c r="H836" s="63" t="n">
        <v>0.08699999999999999</v>
      </c>
      <c r="I836" s="62" t="n">
        <v>1088.6</v>
      </c>
      <c r="J836" s="58" t="inlineStr">
        <is>
          <t>Store</t>
        </is>
      </c>
      <c r="K836" s="62">
        <f>F836*(G836-H836)</f>
        <v/>
      </c>
      <c r="L836" s="62">
        <f>K836-(F836*I836)</f>
        <v/>
      </c>
      <c r="M836" s="64">
        <f>L836/K836</f>
        <v/>
      </c>
    </row>
    <row r="837">
      <c r="A837" s="58" t="inlineStr">
        <is>
          <t>RT20250121-00836</t>
        </is>
      </c>
      <c r="B837" s="59" t="inlineStr">
        <is>
          <t>2025-01-21</t>
        </is>
      </c>
      <c r="C837" s="60" t="inlineStr">
        <is>
          <t>Polar Haircare Max-614</t>
        </is>
      </c>
      <c r="D837" s="58" t="inlineStr">
        <is>
          <t>Beauty</t>
        </is>
      </c>
      <c r="E837" s="58" t="inlineStr">
        <is>
          <t>Central</t>
        </is>
      </c>
      <c r="F837" s="61" t="n">
        <v>3</v>
      </c>
      <c r="G837" s="62" t="n">
        <v>119.63</v>
      </c>
      <c r="H837" s="63" t="n">
        <v>0.11</v>
      </c>
      <c r="I837" s="62" t="n">
        <v>68.56</v>
      </c>
      <c r="J837" s="58" t="inlineStr">
        <is>
          <t>Store</t>
        </is>
      </c>
      <c r="K837" s="62">
        <f>F837*(G837-H837)</f>
        <v/>
      </c>
      <c r="L837" s="62">
        <f>K837-(F837*I837)</f>
        <v/>
      </c>
      <c r="M837" s="64">
        <f>L837/K837</f>
        <v/>
      </c>
    </row>
    <row r="838">
      <c r="A838" s="58" t="inlineStr">
        <is>
          <t>RT20250121-00837</t>
        </is>
      </c>
      <c r="B838" s="59" t="inlineStr">
        <is>
          <t>2025-01-21</t>
        </is>
      </c>
      <c r="C838" s="60" t="inlineStr">
        <is>
          <t>Polar Wearable X-119</t>
        </is>
      </c>
      <c r="D838" s="58" t="inlineStr">
        <is>
          <t>Electronics</t>
        </is>
      </c>
      <c r="E838" s="58" t="inlineStr">
        <is>
          <t>West</t>
        </is>
      </c>
      <c r="F838" s="61" t="n">
        <v>2</v>
      </c>
      <c r="G838" s="62" t="n">
        <v>1851.57</v>
      </c>
      <c r="H838" s="63" t="n">
        <v>0.01</v>
      </c>
      <c r="I838" s="62" t="n">
        <v>1310.78</v>
      </c>
      <c r="J838" s="58" t="inlineStr">
        <is>
          <t>Online</t>
        </is>
      </c>
      <c r="K838" s="62">
        <f>F838*(G838-H838)</f>
        <v/>
      </c>
      <c r="L838" s="62">
        <f>K838-(F838*I838)</f>
        <v/>
      </c>
      <c r="M838" s="64">
        <f>L838/K838</f>
        <v/>
      </c>
    </row>
    <row r="839">
      <c r="A839" s="58" t="inlineStr">
        <is>
          <t>RT20250121-00838</t>
        </is>
      </c>
      <c r="B839" s="59" t="inlineStr">
        <is>
          <t>2025-01-21</t>
        </is>
      </c>
      <c r="C839" s="60" t="inlineStr">
        <is>
          <t>Nimbus Women Lite-814</t>
        </is>
      </c>
      <c r="D839" s="58" t="inlineStr">
        <is>
          <t>Apparel</t>
        </is>
      </c>
      <c r="E839" s="58" t="inlineStr">
        <is>
          <t>Central</t>
        </is>
      </c>
      <c r="F839" s="61" t="n">
        <v>4</v>
      </c>
      <c r="G839" s="62" t="n">
        <v>140.11</v>
      </c>
      <c r="H839" s="63" t="n">
        <v>0.055</v>
      </c>
      <c r="I839" s="62" t="n">
        <v>82.22</v>
      </c>
      <c r="J839" s="58" t="inlineStr">
        <is>
          <t>Online</t>
        </is>
      </c>
      <c r="K839" s="62">
        <f>F839*(G839-H839)</f>
        <v/>
      </c>
      <c r="L839" s="62">
        <f>K839-(F839*I839)</f>
        <v/>
      </c>
      <c r="M839" s="64">
        <f>L839/K839</f>
        <v/>
      </c>
    </row>
    <row r="840">
      <c r="A840" s="58" t="inlineStr">
        <is>
          <t>RT20250121-00839</t>
        </is>
      </c>
      <c r="B840" s="59" t="inlineStr">
        <is>
          <t>2025-01-21</t>
        </is>
      </c>
      <c r="C840" s="60" t="inlineStr">
        <is>
          <t>Aurora Appliance Lite-109</t>
        </is>
      </c>
      <c r="D840" s="58" t="inlineStr">
        <is>
          <t>Home</t>
        </is>
      </c>
      <c r="E840" s="58" t="inlineStr">
        <is>
          <t>North</t>
        </is>
      </c>
      <c r="F840" s="61" t="n">
        <v>2</v>
      </c>
      <c r="G840" s="62" t="n">
        <v>302.52</v>
      </c>
      <c r="H840" s="63" t="n">
        <v>0.083</v>
      </c>
      <c r="I840" s="62" t="n">
        <v>207.46</v>
      </c>
      <c r="J840" s="58" t="inlineStr">
        <is>
          <t>Online</t>
        </is>
      </c>
      <c r="K840" s="62">
        <f>F840*(G840-H840)</f>
        <v/>
      </c>
      <c r="L840" s="62">
        <f>K840-(F840*I840)</f>
        <v/>
      </c>
      <c r="M840" s="64">
        <f>L840/K840</f>
        <v/>
      </c>
    </row>
    <row r="841">
      <c r="A841" s="58" t="inlineStr">
        <is>
          <t>RT20250121-00840</t>
        </is>
      </c>
      <c r="B841" s="59" t="inlineStr">
        <is>
          <t>2025-01-21</t>
        </is>
      </c>
      <c r="C841" s="60" t="inlineStr">
        <is>
          <t>Vertex Smartphone Pro-256</t>
        </is>
      </c>
      <c r="D841" s="58" t="inlineStr">
        <is>
          <t>Electronics</t>
        </is>
      </c>
      <c r="E841" s="58" t="inlineStr">
        <is>
          <t>East</t>
        </is>
      </c>
      <c r="F841" s="61" t="n">
        <v>2</v>
      </c>
      <c r="G841" s="62" t="n">
        <v>1053.49</v>
      </c>
      <c r="H841" s="63" t="n">
        <v>0.04</v>
      </c>
      <c r="I841" s="62" t="n">
        <v>897.9400000000001</v>
      </c>
      <c r="J841" s="58" t="inlineStr">
        <is>
          <t>Online</t>
        </is>
      </c>
      <c r="K841" s="62">
        <f>F841*(G841-H841)</f>
        <v/>
      </c>
      <c r="L841" s="62">
        <f>K841-(F841*I841)</f>
        <v/>
      </c>
      <c r="M841" s="64">
        <f>L841/K841</f>
        <v/>
      </c>
    </row>
    <row r="842">
      <c r="A842" s="58" t="inlineStr">
        <is>
          <t>RT20250121-00841</t>
        </is>
      </c>
      <c r="B842" s="59" t="inlineStr">
        <is>
          <t>2025-01-21</t>
        </is>
      </c>
      <c r="C842" s="60" t="inlineStr">
        <is>
          <t>Falcon Wearable X-334</t>
        </is>
      </c>
      <c r="D842" s="58" t="inlineStr">
        <is>
          <t>Electronics</t>
        </is>
      </c>
      <c r="E842" s="58" t="inlineStr">
        <is>
          <t>West</t>
        </is>
      </c>
      <c r="F842" s="61" t="n">
        <v>2</v>
      </c>
      <c r="G842" s="62" t="n">
        <v>2042.47</v>
      </c>
      <c r="H842" s="63" t="n">
        <v>0.012</v>
      </c>
      <c r="I842" s="62" t="n">
        <v>1555.28</v>
      </c>
      <c r="J842" s="58" t="inlineStr">
        <is>
          <t>Store</t>
        </is>
      </c>
      <c r="K842" s="62">
        <f>F842*(G842-H842)</f>
        <v/>
      </c>
      <c r="L842" s="62">
        <f>K842-(F842*I842)</f>
        <v/>
      </c>
      <c r="M842" s="64">
        <f>L842/K842</f>
        <v/>
      </c>
    </row>
    <row r="843">
      <c r="A843" s="58" t="inlineStr">
        <is>
          <t>RT20250121-00842</t>
        </is>
      </c>
      <c r="B843" s="59" t="inlineStr">
        <is>
          <t>2025-01-21</t>
        </is>
      </c>
      <c r="C843" s="60" t="inlineStr">
        <is>
          <t>Vertex Appliance S-296</t>
        </is>
      </c>
      <c r="D843" s="58" t="inlineStr">
        <is>
          <t>Home</t>
        </is>
      </c>
      <c r="E843" s="58" t="inlineStr">
        <is>
          <t>Central</t>
        </is>
      </c>
      <c r="F843" s="61" t="n">
        <v>1</v>
      </c>
      <c r="G843" s="62" t="n">
        <v>575.41</v>
      </c>
      <c r="H843" s="63" t="n">
        <v>0.096</v>
      </c>
      <c r="I843" s="62" t="n">
        <v>349.01</v>
      </c>
      <c r="J843" s="58" t="inlineStr">
        <is>
          <t>Online</t>
        </is>
      </c>
      <c r="K843" s="62">
        <f>F843*(G843-H843)</f>
        <v/>
      </c>
      <c r="L843" s="62">
        <f>K843-(F843*I843)</f>
        <v/>
      </c>
      <c r="M843" s="64">
        <f>L843/K843</f>
        <v/>
      </c>
    </row>
    <row r="844">
      <c r="A844" s="58" t="inlineStr">
        <is>
          <t>RT20250121-00843</t>
        </is>
      </c>
      <c r="B844" s="59" t="inlineStr">
        <is>
          <t>2025-01-21</t>
        </is>
      </c>
      <c r="C844" s="60" t="inlineStr">
        <is>
          <t>Orion Kid Max-864</t>
        </is>
      </c>
      <c r="D844" s="58" t="inlineStr">
        <is>
          <t>Apparel</t>
        </is>
      </c>
      <c r="E844" s="58" t="inlineStr">
        <is>
          <t>South</t>
        </is>
      </c>
      <c r="F844" s="61" t="n">
        <v>4</v>
      </c>
      <c r="G844" s="62" t="n">
        <v>82.28</v>
      </c>
      <c r="H844" s="63" t="n">
        <v>0.081</v>
      </c>
      <c r="I844" s="62" t="n">
        <v>44.74</v>
      </c>
      <c r="J844" s="58" t="inlineStr">
        <is>
          <t>Online</t>
        </is>
      </c>
      <c r="K844" s="62">
        <f>F844*(G844-H844)</f>
        <v/>
      </c>
      <c r="L844" s="62">
        <f>K844-(F844*I844)</f>
        <v/>
      </c>
      <c r="M844" s="64">
        <f>L844/K844</f>
        <v/>
      </c>
    </row>
    <row r="845">
      <c r="A845" s="58" t="inlineStr">
        <is>
          <t>RT20250121-00844</t>
        </is>
      </c>
      <c r="B845" s="59" t="inlineStr">
        <is>
          <t>2025-01-21</t>
        </is>
      </c>
      <c r="C845" s="60" t="inlineStr">
        <is>
          <t>Aurora Appliance Lite-109</t>
        </is>
      </c>
      <c r="D845" s="58" t="inlineStr">
        <is>
          <t>Home</t>
        </is>
      </c>
      <c r="E845" s="58" t="inlineStr">
        <is>
          <t>West</t>
        </is>
      </c>
      <c r="F845" s="61" t="n">
        <v>3</v>
      </c>
      <c r="G845" s="62" t="n">
        <v>317.25</v>
      </c>
      <c r="H845" s="63" t="n">
        <v>0.095</v>
      </c>
      <c r="I845" s="62" t="n">
        <v>205.23</v>
      </c>
      <c r="J845" s="58" t="inlineStr">
        <is>
          <t>Online</t>
        </is>
      </c>
      <c r="K845" s="62">
        <f>F845*(G845-H845)</f>
        <v/>
      </c>
      <c r="L845" s="62">
        <f>K845-(F845*I845)</f>
        <v/>
      </c>
      <c r="M845" s="64">
        <f>L845/K845</f>
        <v/>
      </c>
    </row>
    <row r="846">
      <c r="A846" s="58" t="inlineStr">
        <is>
          <t>RT20250121-00845</t>
        </is>
      </c>
      <c r="B846" s="59" t="inlineStr">
        <is>
          <t>2025-01-21</t>
        </is>
      </c>
      <c r="C846" s="60" t="inlineStr">
        <is>
          <t>Orion Team Sport X-926</t>
        </is>
      </c>
      <c r="D846" s="58" t="inlineStr">
        <is>
          <t>Sports</t>
        </is>
      </c>
      <c r="E846" s="58" t="inlineStr">
        <is>
          <t>South</t>
        </is>
      </c>
      <c r="F846" s="61" t="n">
        <v>1</v>
      </c>
      <c r="G846" s="62" t="n">
        <v>342.86</v>
      </c>
      <c r="H846" s="63" t="n">
        <v>0.109</v>
      </c>
      <c r="I846" s="62" t="n">
        <v>214.35</v>
      </c>
      <c r="J846" s="58" t="inlineStr">
        <is>
          <t>Store</t>
        </is>
      </c>
      <c r="K846" s="62">
        <f>F846*(G846-H846)</f>
        <v/>
      </c>
      <c r="L846" s="62">
        <f>K846-(F846*I846)</f>
        <v/>
      </c>
      <c r="M846" s="64">
        <f>L846/K846</f>
        <v/>
      </c>
    </row>
    <row r="847">
      <c r="A847" s="58" t="inlineStr">
        <is>
          <t>RT20250121-00846</t>
        </is>
      </c>
      <c r="B847" s="59" t="inlineStr">
        <is>
          <t>2025-01-21</t>
        </is>
      </c>
      <c r="C847" s="60" t="inlineStr">
        <is>
          <t>Nimbus Women Lite-814</t>
        </is>
      </c>
      <c r="D847" s="58" t="inlineStr">
        <is>
          <t>Apparel</t>
        </is>
      </c>
      <c r="E847" s="58" t="inlineStr">
        <is>
          <t>East</t>
        </is>
      </c>
      <c r="F847" s="61" t="n">
        <v>2</v>
      </c>
      <c r="G847" s="62" t="n">
        <v>171.79</v>
      </c>
      <c r="H847" s="63" t="n">
        <v>0.066</v>
      </c>
      <c r="I847" s="62" t="n">
        <v>84.12</v>
      </c>
      <c r="J847" s="58" t="inlineStr">
        <is>
          <t>Store</t>
        </is>
      </c>
      <c r="K847" s="62">
        <f>F847*(G847-H847)</f>
        <v/>
      </c>
      <c r="L847" s="62">
        <f>K847-(F847*I847)</f>
        <v/>
      </c>
      <c r="M847" s="64">
        <f>L847/K847</f>
        <v/>
      </c>
    </row>
    <row r="848">
      <c r="A848" s="58" t="inlineStr">
        <is>
          <t>RT20250121-00847</t>
        </is>
      </c>
      <c r="B848" s="59" t="inlineStr">
        <is>
          <t>2025-01-21</t>
        </is>
      </c>
      <c r="C848" s="60" t="inlineStr">
        <is>
          <t>Nimbus Laptop Max-652</t>
        </is>
      </c>
      <c r="D848" s="58" t="inlineStr">
        <is>
          <t>Electronics</t>
        </is>
      </c>
      <c r="E848" s="58" t="inlineStr">
        <is>
          <t>West</t>
        </is>
      </c>
      <c r="F848" s="61" t="n">
        <v>2</v>
      </c>
      <c r="G848" s="62" t="n">
        <v>1286.13</v>
      </c>
      <c r="H848" s="63" t="n">
        <v>0.064</v>
      </c>
      <c r="I848" s="62" t="n">
        <v>1014.26</v>
      </c>
      <c r="J848" s="58" t="inlineStr">
        <is>
          <t>Store</t>
        </is>
      </c>
      <c r="K848" s="62">
        <f>F848*(G848-H848)</f>
        <v/>
      </c>
      <c r="L848" s="62">
        <f>K848-(F848*I848)</f>
        <v/>
      </c>
      <c r="M848" s="64">
        <f>L848/K848</f>
        <v/>
      </c>
    </row>
    <row r="849">
      <c r="A849" s="58" t="inlineStr">
        <is>
          <t>RT20250121-00848</t>
        </is>
      </c>
      <c r="B849" s="59" t="inlineStr">
        <is>
          <t>2025-01-21</t>
        </is>
      </c>
      <c r="C849" s="60" t="inlineStr">
        <is>
          <t>Aurora Haircare S-975</t>
        </is>
      </c>
      <c r="D849" s="58" t="inlineStr">
        <is>
          <t>Beauty</t>
        </is>
      </c>
      <c r="E849" s="58" t="inlineStr">
        <is>
          <t>South</t>
        </is>
      </c>
      <c r="F849" s="61" t="n">
        <v>5</v>
      </c>
      <c r="G849" s="62" t="n">
        <v>92.64</v>
      </c>
      <c r="H849" s="63" t="n">
        <v>0.063</v>
      </c>
      <c r="I849" s="62" t="n">
        <v>57.54</v>
      </c>
      <c r="J849" s="58" t="inlineStr">
        <is>
          <t>Online</t>
        </is>
      </c>
      <c r="K849" s="62">
        <f>F849*(G849-H849)</f>
        <v/>
      </c>
      <c r="L849" s="62">
        <f>K849-(F849*I849)</f>
        <v/>
      </c>
      <c r="M849" s="64">
        <f>L849/K849</f>
        <v/>
      </c>
    </row>
    <row r="850">
      <c r="A850" s="58" t="inlineStr">
        <is>
          <t>RT20250121-00849</t>
        </is>
      </c>
      <c r="B850" s="59" t="inlineStr">
        <is>
          <t>2025-01-21</t>
        </is>
      </c>
      <c r="C850" s="60" t="inlineStr">
        <is>
          <t>Polar Decor Plus-505</t>
        </is>
      </c>
      <c r="D850" s="58" t="inlineStr">
        <is>
          <t>Home</t>
        </is>
      </c>
      <c r="E850" s="58" t="inlineStr">
        <is>
          <t>East</t>
        </is>
      </c>
      <c r="F850" s="61" t="n">
        <v>2</v>
      </c>
      <c r="G850" s="62" t="n">
        <v>290.34</v>
      </c>
      <c r="H850" s="63" t="n">
        <v>0.014</v>
      </c>
      <c r="I850" s="62" t="n">
        <v>196.28</v>
      </c>
      <c r="J850" s="58" t="inlineStr">
        <is>
          <t>Online</t>
        </is>
      </c>
      <c r="K850" s="62">
        <f>F850*(G850-H850)</f>
        <v/>
      </c>
      <c r="L850" s="62">
        <f>K850-(F850*I850)</f>
        <v/>
      </c>
      <c r="M850" s="64">
        <f>L850/K850</f>
        <v/>
      </c>
    </row>
    <row r="851">
      <c r="A851" s="58" t="inlineStr">
        <is>
          <t>RT20250121-00850</t>
        </is>
      </c>
      <c r="B851" s="59" t="inlineStr">
        <is>
          <t>2025-01-21</t>
        </is>
      </c>
      <c r="C851" s="60" t="inlineStr">
        <is>
          <t>Polar Cycling X-649</t>
        </is>
      </c>
      <c r="D851" s="58" t="inlineStr">
        <is>
          <t>Sports</t>
        </is>
      </c>
      <c r="E851" s="58" t="inlineStr">
        <is>
          <t>East</t>
        </is>
      </c>
      <c r="F851" s="61" t="n">
        <v>3</v>
      </c>
      <c r="G851" s="62" t="n">
        <v>579.15</v>
      </c>
      <c r="H851" s="63" t="n">
        <v>0.053</v>
      </c>
      <c r="I851" s="62" t="n">
        <v>370.31</v>
      </c>
      <c r="J851" s="58" t="inlineStr">
        <is>
          <t>Store</t>
        </is>
      </c>
      <c r="K851" s="62">
        <f>F851*(G851-H851)</f>
        <v/>
      </c>
      <c r="L851" s="62">
        <f>K851-(F851*I851)</f>
        <v/>
      </c>
      <c r="M851" s="64">
        <f>L851/K851</f>
        <v/>
      </c>
    </row>
    <row r="852">
      <c r="A852" s="58" t="inlineStr">
        <is>
          <t>RT20250121-00851</t>
        </is>
      </c>
      <c r="B852" s="59" t="inlineStr">
        <is>
          <t>2025-01-21</t>
        </is>
      </c>
      <c r="C852" s="60" t="inlineStr">
        <is>
          <t>Orion Snack X-322</t>
        </is>
      </c>
      <c r="D852" s="58" t="inlineStr">
        <is>
          <t>Grocery</t>
        </is>
      </c>
      <c r="E852" s="58" t="inlineStr">
        <is>
          <t>North</t>
        </is>
      </c>
      <c r="F852" s="61" t="n">
        <v>7</v>
      </c>
      <c r="G852" s="62" t="n">
        <v>13.93</v>
      </c>
      <c r="H852" s="63" t="n">
        <v>0.063</v>
      </c>
      <c r="I852" s="62" t="n">
        <v>9.9</v>
      </c>
      <c r="J852" s="58" t="inlineStr">
        <is>
          <t>Online</t>
        </is>
      </c>
      <c r="K852" s="62">
        <f>F852*(G852-H852)</f>
        <v/>
      </c>
      <c r="L852" s="62">
        <f>K852-(F852*I852)</f>
        <v/>
      </c>
      <c r="M852" s="64">
        <f>L852/K852</f>
        <v/>
      </c>
    </row>
    <row r="853">
      <c r="A853" s="58" t="inlineStr">
        <is>
          <t>RT20250121-00852</t>
        </is>
      </c>
      <c r="B853" s="59" t="inlineStr">
        <is>
          <t>2025-01-21</t>
        </is>
      </c>
      <c r="C853" s="60" t="inlineStr">
        <is>
          <t>Falcon Headphone Plus-789</t>
        </is>
      </c>
      <c r="D853" s="58" t="inlineStr">
        <is>
          <t>Electronics</t>
        </is>
      </c>
      <c r="E853" s="58" t="inlineStr">
        <is>
          <t>North</t>
        </is>
      </c>
      <c r="F853" s="61" t="n">
        <v>2</v>
      </c>
      <c r="G853" s="62" t="n">
        <v>1627.62</v>
      </c>
      <c r="H853" s="63" t="n">
        <v>0.057</v>
      </c>
      <c r="I853" s="62" t="n">
        <v>1327.84</v>
      </c>
      <c r="J853" s="58" t="inlineStr">
        <is>
          <t>Online</t>
        </is>
      </c>
      <c r="K853" s="62">
        <f>F853*(G853-H853)</f>
        <v/>
      </c>
      <c r="L853" s="62">
        <f>K853-(F853*I853)</f>
        <v/>
      </c>
      <c r="M853" s="64">
        <f>L853/K853</f>
        <v/>
      </c>
    </row>
    <row r="854">
      <c r="A854" s="58" t="inlineStr">
        <is>
          <t>RT20250121-00853</t>
        </is>
      </c>
      <c r="B854" s="59" t="inlineStr">
        <is>
          <t>2025-01-21</t>
        </is>
      </c>
      <c r="C854" s="60" t="inlineStr">
        <is>
          <t>Aurora Printer Plus-723</t>
        </is>
      </c>
      <c r="D854" s="58" t="inlineStr">
        <is>
          <t>Office</t>
        </is>
      </c>
      <c r="E854" s="58" t="inlineStr">
        <is>
          <t>East</t>
        </is>
      </c>
      <c r="F854" s="61" t="n">
        <v>3</v>
      </c>
      <c r="G854" s="62" t="n">
        <v>200.51</v>
      </c>
      <c r="H854" s="63" t="n">
        <v>0.08599999999999999</v>
      </c>
      <c r="I854" s="62" t="n">
        <v>177.92</v>
      </c>
      <c r="J854" s="58" t="inlineStr">
        <is>
          <t>Online</t>
        </is>
      </c>
      <c r="K854" s="62">
        <f>F854*(G854-H854)</f>
        <v/>
      </c>
      <c r="L854" s="62">
        <f>K854-(F854*I854)</f>
        <v/>
      </c>
      <c r="M854" s="64">
        <f>L854/K854</f>
        <v/>
      </c>
    </row>
    <row r="855">
      <c r="A855" s="58" t="inlineStr">
        <is>
          <t>RT20250121-00854</t>
        </is>
      </c>
      <c r="B855" s="59" t="inlineStr">
        <is>
          <t>2025-01-21</t>
        </is>
      </c>
      <c r="C855" s="60" t="inlineStr">
        <is>
          <t>Nimbus Fitnes Lite-516</t>
        </is>
      </c>
      <c r="D855" s="58" t="inlineStr">
        <is>
          <t>Sports</t>
        </is>
      </c>
      <c r="E855" s="58" t="inlineStr">
        <is>
          <t>South</t>
        </is>
      </c>
      <c r="F855" s="61" t="n">
        <v>1</v>
      </c>
      <c r="G855" s="62" t="n">
        <v>735.79</v>
      </c>
      <c r="H855" s="63" t="n">
        <v>0.033</v>
      </c>
      <c r="I855" s="62" t="n">
        <v>478.27</v>
      </c>
      <c r="J855" s="58" t="inlineStr">
        <is>
          <t>Online</t>
        </is>
      </c>
      <c r="K855" s="62">
        <f>F855*(G855-H855)</f>
        <v/>
      </c>
      <c r="L855" s="62">
        <f>K855-(F855*I855)</f>
        <v/>
      </c>
      <c r="M855" s="64">
        <f>L855/K855</f>
        <v/>
      </c>
    </row>
    <row r="856">
      <c r="A856" s="58" t="inlineStr">
        <is>
          <t>RT20250121-00855</t>
        </is>
      </c>
      <c r="B856" s="59" t="inlineStr">
        <is>
          <t>2025-01-21</t>
        </is>
      </c>
      <c r="C856" s="60" t="inlineStr">
        <is>
          <t>Orion Supplie S-612</t>
        </is>
      </c>
      <c r="D856" s="58" t="inlineStr">
        <is>
          <t>Office</t>
        </is>
      </c>
      <c r="E856" s="58" t="inlineStr">
        <is>
          <t>Central</t>
        </is>
      </c>
      <c r="F856" s="61" t="n">
        <v>2</v>
      </c>
      <c r="G856" s="62" t="n">
        <v>510.41</v>
      </c>
      <c r="H856" s="63" t="n">
        <v>0.095</v>
      </c>
      <c r="I856" s="62" t="n">
        <v>328.45</v>
      </c>
      <c r="J856" s="58" t="inlineStr">
        <is>
          <t>Online</t>
        </is>
      </c>
      <c r="K856" s="62">
        <f>F856*(G856-H856)</f>
        <v/>
      </c>
      <c r="L856" s="62">
        <f>K856-(F856*I856)</f>
        <v/>
      </c>
      <c r="M856" s="64">
        <f>L856/K856</f>
        <v/>
      </c>
    </row>
    <row r="857">
      <c r="A857" s="58" t="inlineStr">
        <is>
          <t>RT20250121-00856</t>
        </is>
      </c>
      <c r="B857" s="59" t="inlineStr">
        <is>
          <t>2025-01-21</t>
        </is>
      </c>
      <c r="C857" s="60" t="inlineStr">
        <is>
          <t>Solace Bedding Plus-317</t>
        </is>
      </c>
      <c r="D857" s="58" t="inlineStr">
        <is>
          <t>Home</t>
        </is>
      </c>
      <c r="E857" s="58" t="inlineStr">
        <is>
          <t>North</t>
        </is>
      </c>
      <c r="F857" s="61" t="n">
        <v>1</v>
      </c>
      <c r="G857" s="62" t="n">
        <v>581.55</v>
      </c>
      <c r="H857" s="63" t="n">
        <v>0.034</v>
      </c>
      <c r="I857" s="62" t="n">
        <v>383.05</v>
      </c>
      <c r="J857" s="58" t="inlineStr">
        <is>
          <t>Store</t>
        </is>
      </c>
      <c r="K857" s="62">
        <f>F857*(G857-H857)</f>
        <v/>
      </c>
      <c r="L857" s="62">
        <f>K857-(F857*I857)</f>
        <v/>
      </c>
      <c r="M857" s="64">
        <f>L857/K857</f>
        <v/>
      </c>
    </row>
    <row r="858">
      <c r="A858" s="58" t="inlineStr">
        <is>
          <t>RT20250121-00857</t>
        </is>
      </c>
      <c r="B858" s="59" t="inlineStr">
        <is>
          <t>2025-01-21</t>
        </is>
      </c>
      <c r="C858" s="60" t="inlineStr">
        <is>
          <t>Aurora Haircare S-975</t>
        </is>
      </c>
      <c r="D858" s="58" t="inlineStr">
        <is>
          <t>Beauty</t>
        </is>
      </c>
      <c r="E858" s="58" t="inlineStr">
        <is>
          <t>West</t>
        </is>
      </c>
      <c r="F858" s="61" t="n">
        <v>2</v>
      </c>
      <c r="G858" s="62" t="n">
        <v>97.54000000000001</v>
      </c>
      <c r="H858" s="63" t="n">
        <v>0.013</v>
      </c>
      <c r="I858" s="62" t="n">
        <v>59.2</v>
      </c>
      <c r="J858" s="58" t="inlineStr">
        <is>
          <t>Store</t>
        </is>
      </c>
      <c r="K858" s="62">
        <f>F858*(G858-H858)</f>
        <v/>
      </c>
      <c r="L858" s="62">
        <f>K858-(F858*I858)</f>
        <v/>
      </c>
      <c r="M858" s="64">
        <f>L858/K858</f>
        <v/>
      </c>
    </row>
    <row r="859">
      <c r="A859" s="58" t="inlineStr">
        <is>
          <t>RT20250121-00858</t>
        </is>
      </c>
      <c r="B859" s="59" t="inlineStr">
        <is>
          <t>2025-01-21</t>
        </is>
      </c>
      <c r="C859" s="60" t="inlineStr">
        <is>
          <t>Aurora Bedding Max-175</t>
        </is>
      </c>
      <c r="D859" s="58" t="inlineStr">
        <is>
          <t>Home</t>
        </is>
      </c>
      <c r="E859" s="58" t="inlineStr">
        <is>
          <t>Central</t>
        </is>
      </c>
      <c r="F859" s="61" t="n">
        <v>1</v>
      </c>
      <c r="G859" s="62" t="n">
        <v>659.34</v>
      </c>
      <c r="H859" s="63" t="n">
        <v>0.041</v>
      </c>
      <c r="I859" s="62" t="n">
        <v>420.99</v>
      </c>
      <c r="J859" s="58" t="inlineStr">
        <is>
          <t>Online</t>
        </is>
      </c>
      <c r="K859" s="62">
        <f>F859*(G859-H859)</f>
        <v/>
      </c>
      <c r="L859" s="62">
        <f>K859-(F859*I859)</f>
        <v/>
      </c>
      <c r="M859" s="64">
        <f>L859/K859</f>
        <v/>
      </c>
    </row>
    <row r="860">
      <c r="A860" s="58" t="inlineStr">
        <is>
          <t>RT20250121-00859</t>
        </is>
      </c>
      <c r="B860" s="59" t="inlineStr">
        <is>
          <t>2025-01-21</t>
        </is>
      </c>
      <c r="C860" s="60" t="inlineStr">
        <is>
          <t>Vertex Printer Max-692</t>
        </is>
      </c>
      <c r="D860" s="58" t="inlineStr">
        <is>
          <t>Office</t>
        </is>
      </c>
      <c r="E860" s="58" t="inlineStr">
        <is>
          <t>West</t>
        </is>
      </c>
      <c r="F860" s="61" t="n">
        <v>2</v>
      </c>
      <c r="G860" s="62" t="n">
        <v>166.5</v>
      </c>
      <c r="H860" s="63" t="n">
        <v>0.103</v>
      </c>
      <c r="I860" s="62" t="n">
        <v>120.57</v>
      </c>
      <c r="J860" s="58" t="inlineStr">
        <is>
          <t>Online</t>
        </is>
      </c>
      <c r="K860" s="62">
        <f>F860*(G860-H860)</f>
        <v/>
      </c>
      <c r="L860" s="62">
        <f>K860-(F860*I860)</f>
        <v/>
      </c>
      <c r="M860" s="64">
        <f>L860/K860</f>
        <v/>
      </c>
    </row>
    <row r="861">
      <c r="A861" s="58" t="inlineStr">
        <is>
          <t>RT20250121-00860</t>
        </is>
      </c>
      <c r="B861" s="59" t="inlineStr">
        <is>
          <t>2025-01-21</t>
        </is>
      </c>
      <c r="C861" s="60" t="inlineStr">
        <is>
          <t>Falcon Team Sport Lite-268</t>
        </is>
      </c>
      <c r="D861" s="58" t="inlineStr">
        <is>
          <t>Sports</t>
        </is>
      </c>
      <c r="E861" s="58" t="inlineStr">
        <is>
          <t>Central</t>
        </is>
      </c>
      <c r="F861" s="61" t="n">
        <v>2</v>
      </c>
      <c r="G861" s="62" t="n">
        <v>530.24</v>
      </c>
      <c r="H861" s="63" t="n">
        <v>0.001</v>
      </c>
      <c r="I861" s="62" t="n">
        <v>434.89</v>
      </c>
      <c r="J861" s="58" t="inlineStr">
        <is>
          <t>Online</t>
        </is>
      </c>
      <c r="K861" s="62">
        <f>F861*(G861-H861)</f>
        <v/>
      </c>
      <c r="L861" s="62">
        <f>K861-(F861*I861)</f>
        <v/>
      </c>
      <c r="M861" s="64">
        <f>L861/K861</f>
        <v/>
      </c>
    </row>
    <row r="862">
      <c r="A862" s="58" t="inlineStr">
        <is>
          <t>RT20250121-00861</t>
        </is>
      </c>
      <c r="B862" s="59" t="inlineStr">
        <is>
          <t>2025-01-21</t>
        </is>
      </c>
      <c r="C862" s="60" t="inlineStr">
        <is>
          <t>Aurora Smartphone Plus-125</t>
        </is>
      </c>
      <c r="D862" s="58" t="inlineStr">
        <is>
          <t>Electronics</t>
        </is>
      </c>
      <c r="E862" s="58" t="inlineStr">
        <is>
          <t>West</t>
        </is>
      </c>
      <c r="F862" s="61" t="n">
        <v>1</v>
      </c>
      <c r="G862" s="62" t="n">
        <v>1491.47</v>
      </c>
      <c r="H862" s="63" t="n">
        <v>0.094</v>
      </c>
      <c r="I862" s="62" t="n">
        <v>1215.74</v>
      </c>
      <c r="J862" s="58" t="inlineStr">
        <is>
          <t>Online</t>
        </is>
      </c>
      <c r="K862" s="62">
        <f>F862*(G862-H862)</f>
        <v/>
      </c>
      <c r="L862" s="62">
        <f>K862-(F862*I862)</f>
        <v/>
      </c>
      <c r="M862" s="64">
        <f>L862/K862</f>
        <v/>
      </c>
    </row>
    <row r="863">
      <c r="A863" s="58" t="inlineStr">
        <is>
          <t>RT20250121-00862</t>
        </is>
      </c>
      <c r="B863" s="59" t="inlineStr">
        <is>
          <t>2025-01-21</t>
        </is>
      </c>
      <c r="C863" s="60" t="inlineStr">
        <is>
          <t>Falcon Storage X-734</t>
        </is>
      </c>
      <c r="D863" s="58" t="inlineStr">
        <is>
          <t>Office</t>
        </is>
      </c>
      <c r="E863" s="58" t="inlineStr">
        <is>
          <t>South</t>
        </is>
      </c>
      <c r="F863" s="61" t="n">
        <v>3</v>
      </c>
      <c r="G863" s="62" t="n">
        <v>405.84</v>
      </c>
      <c r="H863" s="63" t="n">
        <v>0.1</v>
      </c>
      <c r="I863" s="62" t="n">
        <v>280.52</v>
      </c>
      <c r="J863" s="58" t="inlineStr">
        <is>
          <t>Store</t>
        </is>
      </c>
      <c r="K863" s="62">
        <f>F863*(G863-H863)</f>
        <v/>
      </c>
      <c r="L863" s="62">
        <f>K863-(F863*I863)</f>
        <v/>
      </c>
      <c r="M863" s="64">
        <f>L863/K863</f>
        <v/>
      </c>
    </row>
    <row r="864">
      <c r="A864" s="58" t="inlineStr">
        <is>
          <t>RT20250121-00863</t>
        </is>
      </c>
      <c r="B864" s="59" t="inlineStr">
        <is>
          <t>2025-01-21</t>
        </is>
      </c>
      <c r="C864" s="60" t="inlineStr">
        <is>
          <t>Aurora Fragrance S-971</t>
        </is>
      </c>
      <c r="D864" s="58" t="inlineStr">
        <is>
          <t>Beauty</t>
        </is>
      </c>
      <c r="E864" s="58" t="inlineStr">
        <is>
          <t>South</t>
        </is>
      </c>
      <c r="F864" s="61" t="n">
        <v>4</v>
      </c>
      <c r="G864" s="62" t="n">
        <v>103.49</v>
      </c>
      <c r="H864" s="63" t="n">
        <v>0.013</v>
      </c>
      <c r="I864" s="62" t="n">
        <v>64.02</v>
      </c>
      <c r="J864" s="58" t="inlineStr">
        <is>
          <t>Store</t>
        </is>
      </c>
      <c r="K864" s="62">
        <f>F864*(G864-H864)</f>
        <v/>
      </c>
      <c r="L864" s="62">
        <f>K864-(F864*I864)</f>
        <v/>
      </c>
      <c r="M864" s="64">
        <f>L864/K864</f>
        <v/>
      </c>
    </row>
    <row r="865">
      <c r="A865" s="58" t="inlineStr">
        <is>
          <t>RT20250121-00864</t>
        </is>
      </c>
      <c r="B865" s="59" t="inlineStr">
        <is>
          <t>2025-01-21</t>
        </is>
      </c>
      <c r="C865" s="60" t="inlineStr">
        <is>
          <t>Solace Headphone Pro-344</t>
        </is>
      </c>
      <c r="D865" s="58" t="inlineStr">
        <is>
          <t>Electronics</t>
        </is>
      </c>
      <c r="E865" s="58" t="inlineStr">
        <is>
          <t>West</t>
        </is>
      </c>
      <c r="F865" s="61" t="n">
        <v>2</v>
      </c>
      <c r="G865" s="62" t="n">
        <v>1385.35</v>
      </c>
      <c r="H865" s="63" t="n">
        <v>0.08</v>
      </c>
      <c r="I865" s="62" t="n">
        <v>1052.09</v>
      </c>
      <c r="J865" s="58" t="inlineStr">
        <is>
          <t>Online</t>
        </is>
      </c>
      <c r="K865" s="62">
        <f>F865*(G865-H865)</f>
        <v/>
      </c>
      <c r="L865" s="62">
        <f>K865-(F865*I865)</f>
        <v/>
      </c>
      <c r="M865" s="64">
        <f>L865/K865</f>
        <v/>
      </c>
    </row>
    <row r="866">
      <c r="A866" s="58" t="inlineStr">
        <is>
          <t>RT20250121-00865</t>
        </is>
      </c>
      <c r="B866" s="59" t="inlineStr">
        <is>
          <t>2025-01-21</t>
        </is>
      </c>
      <c r="C866" s="60" t="inlineStr">
        <is>
          <t>Nimbus Decor Lite-385</t>
        </is>
      </c>
      <c r="D866" s="58" t="inlineStr">
        <is>
          <t>Home</t>
        </is>
      </c>
      <c r="E866" s="58" t="inlineStr">
        <is>
          <t>South</t>
        </is>
      </c>
      <c r="F866" s="61" t="n">
        <v>3</v>
      </c>
      <c r="G866" s="62" t="n">
        <v>635.09</v>
      </c>
      <c r="H866" s="63" t="n">
        <v>0.091</v>
      </c>
      <c r="I866" s="62" t="n">
        <v>404.48</v>
      </c>
      <c r="J866" s="58" t="inlineStr">
        <is>
          <t>Phone</t>
        </is>
      </c>
      <c r="K866" s="62">
        <f>F866*(G866-H866)</f>
        <v/>
      </c>
      <c r="L866" s="62">
        <f>K866-(F866*I866)</f>
        <v/>
      </c>
      <c r="M866" s="64">
        <f>L866/K866</f>
        <v/>
      </c>
    </row>
    <row r="867">
      <c r="A867" s="58" t="inlineStr">
        <is>
          <t>RT20250121-00866</t>
        </is>
      </c>
      <c r="B867" s="59" t="inlineStr">
        <is>
          <t>2025-01-21</t>
        </is>
      </c>
      <c r="C867" s="60" t="inlineStr">
        <is>
          <t>Metro Wearable Plus-234</t>
        </is>
      </c>
      <c r="D867" s="58" t="inlineStr">
        <is>
          <t>Electronics</t>
        </is>
      </c>
      <c r="E867" s="58" t="inlineStr">
        <is>
          <t>Central</t>
        </is>
      </c>
      <c r="F867" s="61" t="n">
        <v>2</v>
      </c>
      <c r="G867" s="62" t="n">
        <v>1577.01</v>
      </c>
      <c r="H867" s="63" t="n">
        <v>0.137</v>
      </c>
      <c r="I867" s="62" t="n">
        <v>1175.18</v>
      </c>
      <c r="J867" s="58" t="inlineStr">
        <is>
          <t>Store</t>
        </is>
      </c>
      <c r="K867" s="62">
        <f>F867*(G867-H867)</f>
        <v/>
      </c>
      <c r="L867" s="62">
        <f>K867-(F867*I867)</f>
        <v/>
      </c>
      <c r="M867" s="64">
        <f>L867/K867</f>
        <v/>
      </c>
    </row>
    <row r="868">
      <c r="A868" s="58" t="inlineStr">
        <is>
          <t>RT20250121-00867</t>
        </is>
      </c>
      <c r="B868" s="59" t="inlineStr">
        <is>
          <t>2025-01-21</t>
        </is>
      </c>
      <c r="C868" s="60" t="inlineStr">
        <is>
          <t>Aurora Household Plus-146</t>
        </is>
      </c>
      <c r="D868" s="58" t="inlineStr">
        <is>
          <t>Grocery</t>
        </is>
      </c>
      <c r="E868" s="58" t="inlineStr">
        <is>
          <t>West</t>
        </is>
      </c>
      <c r="F868" s="61" t="n">
        <v>8</v>
      </c>
      <c r="G868" s="62" t="n">
        <v>5.74</v>
      </c>
      <c r="H868" s="63" t="n">
        <v>0.095</v>
      </c>
      <c r="I868" s="62" t="n">
        <v>4.61</v>
      </c>
      <c r="J868" s="58" t="inlineStr">
        <is>
          <t>Online</t>
        </is>
      </c>
      <c r="K868" s="62">
        <f>F868*(G868-H868)</f>
        <v/>
      </c>
      <c r="L868" s="62">
        <f>K868-(F868*I868)</f>
        <v/>
      </c>
      <c r="M868" s="64">
        <f>L868/K868</f>
        <v/>
      </c>
    </row>
    <row r="869">
      <c r="A869" s="58" t="inlineStr">
        <is>
          <t>RT20250121-00868</t>
        </is>
      </c>
      <c r="B869" s="59" t="inlineStr">
        <is>
          <t>2025-01-21</t>
        </is>
      </c>
      <c r="C869" s="60" t="inlineStr">
        <is>
          <t>Vertex Supplie Pro-786</t>
        </is>
      </c>
      <c r="D869" s="58" t="inlineStr">
        <is>
          <t>Office</t>
        </is>
      </c>
      <c r="E869" s="58" t="inlineStr">
        <is>
          <t>East</t>
        </is>
      </c>
      <c r="F869" s="61" t="n">
        <v>2</v>
      </c>
      <c r="G869" s="62" t="n">
        <v>473.13</v>
      </c>
      <c r="H869" s="63" t="n">
        <v>0.119</v>
      </c>
      <c r="I869" s="62" t="n">
        <v>298.91</v>
      </c>
      <c r="J869" s="58" t="inlineStr">
        <is>
          <t>Online</t>
        </is>
      </c>
      <c r="K869" s="62">
        <f>F869*(G869-H869)</f>
        <v/>
      </c>
      <c r="L869" s="62">
        <f>K869-(F869*I869)</f>
        <v/>
      </c>
      <c r="M869" s="64">
        <f>L869/K869</f>
        <v/>
      </c>
    </row>
    <row r="870">
      <c r="A870" s="58" t="inlineStr">
        <is>
          <t>RT20250121-00869</t>
        </is>
      </c>
      <c r="B870" s="59" t="inlineStr">
        <is>
          <t>2025-01-21</t>
        </is>
      </c>
      <c r="C870" s="60" t="inlineStr">
        <is>
          <t>Polar Beverage S-258</t>
        </is>
      </c>
      <c r="D870" s="58" t="inlineStr">
        <is>
          <t>Grocery</t>
        </is>
      </c>
      <c r="E870" s="58" t="inlineStr">
        <is>
          <t>North</t>
        </is>
      </c>
      <c r="F870" s="61" t="n">
        <v>1</v>
      </c>
      <c r="G870" s="62" t="n">
        <v>12.85</v>
      </c>
      <c r="H870" s="63" t="n">
        <v>0.08500000000000001</v>
      </c>
      <c r="I870" s="62" t="n">
        <v>9.550000000000001</v>
      </c>
      <c r="J870" s="58" t="inlineStr">
        <is>
          <t>Online</t>
        </is>
      </c>
      <c r="K870" s="62">
        <f>F870*(G870-H870)</f>
        <v/>
      </c>
      <c r="L870" s="62">
        <f>K870-(F870*I870)</f>
        <v/>
      </c>
      <c r="M870" s="64">
        <f>L870/K870</f>
        <v/>
      </c>
    </row>
    <row r="871">
      <c r="A871" s="58" t="inlineStr">
        <is>
          <t>RT20250121-00870</t>
        </is>
      </c>
      <c r="B871" s="59" t="inlineStr">
        <is>
          <t>2025-01-21</t>
        </is>
      </c>
      <c r="C871" s="60" t="inlineStr">
        <is>
          <t>Falcon Headphone Pro-713</t>
        </is>
      </c>
      <c r="D871" s="58" t="inlineStr">
        <is>
          <t>Electronics</t>
        </is>
      </c>
      <c r="E871" s="58" t="inlineStr">
        <is>
          <t>South</t>
        </is>
      </c>
      <c r="F871" s="61" t="n">
        <v>2</v>
      </c>
      <c r="G871" s="62" t="n">
        <v>1513.42</v>
      </c>
      <c r="H871" s="63" t="n">
        <v>0.036</v>
      </c>
      <c r="I871" s="62" t="n">
        <v>1175.79</v>
      </c>
      <c r="J871" s="58" t="inlineStr">
        <is>
          <t>Online</t>
        </is>
      </c>
      <c r="K871" s="62">
        <f>F871*(G871-H871)</f>
        <v/>
      </c>
      <c r="L871" s="62">
        <f>K871-(F871*I871)</f>
        <v/>
      </c>
      <c r="M871" s="64">
        <f>L871/K871</f>
        <v/>
      </c>
    </row>
    <row r="872">
      <c r="A872" s="58" t="inlineStr">
        <is>
          <t>RT20250121-00871</t>
        </is>
      </c>
      <c r="B872" s="59" t="inlineStr">
        <is>
          <t>2025-01-21</t>
        </is>
      </c>
      <c r="C872" s="60" t="inlineStr">
        <is>
          <t>Solace Kitchen Pro-999</t>
        </is>
      </c>
      <c r="D872" s="58" t="inlineStr">
        <is>
          <t>Home</t>
        </is>
      </c>
      <c r="E872" s="58" t="inlineStr">
        <is>
          <t>North</t>
        </is>
      </c>
      <c r="F872" s="61" t="n">
        <v>1</v>
      </c>
      <c r="G872" s="62" t="n">
        <v>437.05</v>
      </c>
      <c r="H872" s="63" t="n">
        <v>0.09</v>
      </c>
      <c r="I872" s="62" t="n">
        <v>268.94</v>
      </c>
      <c r="J872" s="58" t="inlineStr">
        <is>
          <t>Store</t>
        </is>
      </c>
      <c r="K872" s="62">
        <f>F872*(G872-H872)</f>
        <v/>
      </c>
      <c r="L872" s="62">
        <f>K872-(F872*I872)</f>
        <v/>
      </c>
      <c r="M872" s="64">
        <f>L872/K872</f>
        <v/>
      </c>
    </row>
    <row r="873">
      <c r="A873" s="58" t="inlineStr">
        <is>
          <t>RT20250122-00872</t>
        </is>
      </c>
      <c r="B873" s="59" t="inlineStr">
        <is>
          <t>2025-01-22</t>
        </is>
      </c>
      <c r="C873" s="60" t="inlineStr">
        <is>
          <t>Solace Makeup Pro-214</t>
        </is>
      </c>
      <c r="D873" s="58" t="inlineStr">
        <is>
          <t>Beauty</t>
        </is>
      </c>
      <c r="E873" s="58" t="inlineStr">
        <is>
          <t>Central</t>
        </is>
      </c>
      <c r="F873" s="61" t="n">
        <v>5</v>
      </c>
      <c r="G873" s="62" t="n">
        <v>126.02</v>
      </c>
      <c r="H873" s="63" t="n">
        <v>0.067</v>
      </c>
      <c r="I873" s="62" t="n">
        <v>66.08</v>
      </c>
      <c r="J873" s="58" t="inlineStr">
        <is>
          <t>Phone</t>
        </is>
      </c>
      <c r="K873" s="62">
        <f>F873*(G873-H873)</f>
        <v/>
      </c>
      <c r="L873" s="62">
        <f>K873-(F873*I873)</f>
        <v/>
      </c>
      <c r="M873" s="64">
        <f>L873/K873</f>
        <v/>
      </c>
    </row>
    <row r="874">
      <c r="A874" s="58" t="inlineStr">
        <is>
          <t>RT20250122-00873</t>
        </is>
      </c>
      <c r="B874" s="59" t="inlineStr">
        <is>
          <t>2025-01-22</t>
        </is>
      </c>
      <c r="C874" s="60" t="inlineStr">
        <is>
          <t>Aurora Fitnes Lite-194</t>
        </is>
      </c>
      <c r="D874" s="58" t="inlineStr">
        <is>
          <t>Sports</t>
        </is>
      </c>
      <c r="E874" s="58" t="inlineStr">
        <is>
          <t>Central</t>
        </is>
      </c>
      <c r="F874" s="61" t="n">
        <v>1</v>
      </c>
      <c r="G874" s="62" t="n">
        <v>664.17</v>
      </c>
      <c r="H874" s="63" t="n">
        <v>0.08599999999999999</v>
      </c>
      <c r="I874" s="62" t="n">
        <v>451.25</v>
      </c>
      <c r="J874" s="58" t="inlineStr">
        <is>
          <t>Online</t>
        </is>
      </c>
      <c r="K874" s="62">
        <f>F874*(G874-H874)</f>
        <v/>
      </c>
      <c r="L874" s="62">
        <f>K874-(F874*I874)</f>
        <v/>
      </c>
      <c r="M874" s="64">
        <f>L874/K874</f>
        <v/>
      </c>
    </row>
    <row r="875">
      <c r="A875" s="58" t="inlineStr">
        <is>
          <t>RT20250122-00874</t>
        </is>
      </c>
      <c r="B875" s="59" t="inlineStr">
        <is>
          <t>2025-01-22</t>
        </is>
      </c>
      <c r="C875" s="60" t="inlineStr">
        <is>
          <t>Aurora Wearable Lite-704</t>
        </is>
      </c>
      <c r="D875" s="58" t="inlineStr">
        <is>
          <t>Electronics</t>
        </is>
      </c>
      <c r="E875" s="58" t="inlineStr">
        <is>
          <t>East</t>
        </is>
      </c>
      <c r="F875" s="61" t="n">
        <v>1</v>
      </c>
      <c r="G875" s="62" t="n">
        <v>1850.87</v>
      </c>
      <c r="H875" s="63" t="n">
        <v>0.075</v>
      </c>
      <c r="I875" s="62" t="n">
        <v>1466.43</v>
      </c>
      <c r="J875" s="58" t="inlineStr">
        <is>
          <t>Online</t>
        </is>
      </c>
      <c r="K875" s="62">
        <f>F875*(G875-H875)</f>
        <v/>
      </c>
      <c r="L875" s="62">
        <f>K875-(F875*I875)</f>
        <v/>
      </c>
      <c r="M875" s="64">
        <f>L875/K875</f>
        <v/>
      </c>
    </row>
    <row r="876">
      <c r="A876" s="58" t="inlineStr">
        <is>
          <t>RT20250122-00875</t>
        </is>
      </c>
      <c r="B876" s="59" t="inlineStr">
        <is>
          <t>2025-01-22</t>
        </is>
      </c>
      <c r="C876" s="60" t="inlineStr">
        <is>
          <t>Nimbus Decor Lite-385</t>
        </is>
      </c>
      <c r="D876" s="58" t="inlineStr">
        <is>
          <t>Home</t>
        </is>
      </c>
      <c r="E876" s="58" t="inlineStr">
        <is>
          <t>Central</t>
        </is>
      </c>
      <c r="F876" s="61" t="n">
        <v>2</v>
      </c>
      <c r="G876" s="62" t="n">
        <v>654.73</v>
      </c>
      <c r="H876" s="63" t="n">
        <v>0.067</v>
      </c>
      <c r="I876" s="62" t="n">
        <v>401.63</v>
      </c>
      <c r="J876" s="58" t="inlineStr">
        <is>
          <t>Store</t>
        </is>
      </c>
      <c r="K876" s="62">
        <f>F876*(G876-H876)</f>
        <v/>
      </c>
      <c r="L876" s="62">
        <f>K876-(F876*I876)</f>
        <v/>
      </c>
      <c r="M876" s="64">
        <f>L876/K876</f>
        <v/>
      </c>
    </row>
    <row r="877">
      <c r="A877" s="58" t="inlineStr">
        <is>
          <t>RT20250122-00876</t>
        </is>
      </c>
      <c r="B877" s="59" t="inlineStr">
        <is>
          <t>2025-01-22</t>
        </is>
      </c>
      <c r="C877" s="60" t="inlineStr">
        <is>
          <t>Nimbus Makeup Max-158</t>
        </is>
      </c>
      <c r="D877" s="58" t="inlineStr">
        <is>
          <t>Beauty</t>
        </is>
      </c>
      <c r="E877" s="58" t="inlineStr">
        <is>
          <t>South</t>
        </is>
      </c>
      <c r="F877" s="61" t="n">
        <v>1</v>
      </c>
      <c r="G877" s="62" t="n">
        <v>147.23</v>
      </c>
      <c r="H877" s="63" t="n">
        <v>0.055</v>
      </c>
      <c r="I877" s="62" t="n">
        <v>96.70999999999999</v>
      </c>
      <c r="J877" s="58" t="inlineStr">
        <is>
          <t>Online</t>
        </is>
      </c>
      <c r="K877" s="62">
        <f>F877*(G877-H877)</f>
        <v/>
      </c>
      <c r="L877" s="62">
        <f>K877-(F877*I877)</f>
        <v/>
      </c>
      <c r="M877" s="64">
        <f>L877/K877</f>
        <v/>
      </c>
    </row>
    <row r="878">
      <c r="A878" s="58" t="inlineStr">
        <is>
          <t>RT20250122-00877</t>
        </is>
      </c>
      <c r="B878" s="59" t="inlineStr">
        <is>
          <t>2025-01-22</t>
        </is>
      </c>
      <c r="C878" s="60" t="inlineStr">
        <is>
          <t>Polar Decor Plus-505</t>
        </is>
      </c>
      <c r="D878" s="58" t="inlineStr">
        <is>
          <t>Home</t>
        </is>
      </c>
      <c r="E878" s="58" t="inlineStr">
        <is>
          <t>North</t>
        </is>
      </c>
      <c r="F878" s="61" t="n">
        <v>2</v>
      </c>
      <c r="G878" s="62" t="n">
        <v>296.61</v>
      </c>
      <c r="H878" s="63" t="n">
        <v>0.031</v>
      </c>
      <c r="I878" s="62" t="n">
        <v>193.45</v>
      </c>
      <c r="J878" s="58" t="inlineStr">
        <is>
          <t>Online</t>
        </is>
      </c>
      <c r="K878" s="62">
        <f>F878*(G878-H878)</f>
        <v/>
      </c>
      <c r="L878" s="62">
        <f>K878-(F878*I878)</f>
        <v/>
      </c>
      <c r="M878" s="64">
        <f>L878/K878</f>
        <v/>
      </c>
    </row>
    <row r="879">
      <c r="A879" s="58" t="inlineStr">
        <is>
          <t>RT20250122-00878</t>
        </is>
      </c>
      <c r="B879" s="59" t="inlineStr">
        <is>
          <t>2025-01-22</t>
        </is>
      </c>
      <c r="C879" s="60" t="inlineStr">
        <is>
          <t>Orion Fragrance Lite-785</t>
        </is>
      </c>
      <c r="D879" s="58" t="inlineStr">
        <is>
          <t>Beauty</t>
        </is>
      </c>
      <c r="E879" s="58" t="inlineStr">
        <is>
          <t>East</t>
        </is>
      </c>
      <c r="F879" s="61" t="n">
        <v>4</v>
      </c>
      <c r="G879" s="62" t="n">
        <v>42.18</v>
      </c>
      <c r="H879" s="63" t="n">
        <v>0.053</v>
      </c>
      <c r="I879" s="62" t="n">
        <v>26.26</v>
      </c>
      <c r="J879" s="58" t="inlineStr">
        <is>
          <t>Store</t>
        </is>
      </c>
      <c r="K879" s="62">
        <f>F879*(G879-H879)</f>
        <v/>
      </c>
      <c r="L879" s="62">
        <f>K879-(F879*I879)</f>
        <v/>
      </c>
      <c r="M879" s="64">
        <f>L879/K879</f>
        <v/>
      </c>
    </row>
    <row r="880">
      <c r="A880" s="58" t="inlineStr">
        <is>
          <t>RT20250122-00879</t>
        </is>
      </c>
      <c r="B880" s="59" t="inlineStr">
        <is>
          <t>2025-01-22</t>
        </is>
      </c>
      <c r="C880" s="60" t="inlineStr">
        <is>
          <t>Solace Makeup Pro-214</t>
        </is>
      </c>
      <c r="D880" s="58" t="inlineStr">
        <is>
          <t>Beauty</t>
        </is>
      </c>
      <c r="E880" s="58" t="inlineStr">
        <is>
          <t>Central</t>
        </is>
      </c>
      <c r="F880" s="61" t="n">
        <v>2</v>
      </c>
      <c r="G880" s="62" t="n">
        <v>125.46</v>
      </c>
      <c r="H880" s="63" t="n">
        <v>0.104</v>
      </c>
      <c r="I880" s="62" t="n">
        <v>68.16</v>
      </c>
      <c r="J880" s="58" t="inlineStr">
        <is>
          <t>Store</t>
        </is>
      </c>
      <c r="K880" s="62">
        <f>F880*(G880-H880)</f>
        <v/>
      </c>
      <c r="L880" s="62">
        <f>K880-(F880*I880)</f>
        <v/>
      </c>
      <c r="M880" s="64">
        <f>L880/K880</f>
        <v/>
      </c>
    </row>
    <row r="881">
      <c r="A881" s="58" t="inlineStr">
        <is>
          <t>RT20250122-00880</t>
        </is>
      </c>
      <c r="B881" s="59" t="inlineStr">
        <is>
          <t>2025-01-22</t>
        </is>
      </c>
      <c r="C881" s="60" t="inlineStr">
        <is>
          <t>Nimbus Women Plus-352</t>
        </is>
      </c>
      <c r="D881" s="58" t="inlineStr">
        <is>
          <t>Apparel</t>
        </is>
      </c>
      <c r="E881" s="58" t="inlineStr">
        <is>
          <t>East</t>
        </is>
      </c>
      <c r="F881" s="61" t="n">
        <v>4</v>
      </c>
      <c r="G881" s="62" t="n">
        <v>61.26</v>
      </c>
      <c r="H881" s="63" t="n">
        <v>0.064</v>
      </c>
      <c r="I881" s="62" t="n">
        <v>33.55</v>
      </c>
      <c r="J881" s="58" t="inlineStr">
        <is>
          <t>Store</t>
        </is>
      </c>
      <c r="K881" s="62">
        <f>F881*(G881-H881)</f>
        <v/>
      </c>
      <c r="L881" s="62">
        <f>K881-(F881*I881)</f>
        <v/>
      </c>
      <c r="M881" s="64">
        <f>L881/K881</f>
        <v/>
      </c>
    </row>
    <row r="882">
      <c r="A882" s="58" t="inlineStr">
        <is>
          <t>RT20250122-00881</t>
        </is>
      </c>
      <c r="B882" s="59" t="inlineStr">
        <is>
          <t>2025-01-22</t>
        </is>
      </c>
      <c r="C882" s="60" t="inlineStr">
        <is>
          <t>Nimbus Women Lite-814</t>
        </is>
      </c>
      <c r="D882" s="58" t="inlineStr">
        <is>
          <t>Apparel</t>
        </is>
      </c>
      <c r="E882" s="58" t="inlineStr">
        <is>
          <t>North</t>
        </is>
      </c>
      <c r="F882" s="61" t="n">
        <v>1</v>
      </c>
      <c r="G882" s="62" t="n">
        <v>160.64</v>
      </c>
      <c r="H882" s="63" t="n">
        <v>0.114</v>
      </c>
      <c r="I882" s="62" t="n">
        <v>83.76000000000001</v>
      </c>
      <c r="J882" s="58" t="inlineStr">
        <is>
          <t>Online</t>
        </is>
      </c>
      <c r="K882" s="62">
        <f>F882*(G882-H882)</f>
        <v/>
      </c>
      <c r="L882" s="62">
        <f>K882-(F882*I882)</f>
        <v/>
      </c>
      <c r="M882" s="64">
        <f>L882/K882</f>
        <v/>
      </c>
    </row>
    <row r="883">
      <c r="A883" s="58" t="inlineStr">
        <is>
          <t>RT20250122-00882</t>
        </is>
      </c>
      <c r="B883" s="59" t="inlineStr">
        <is>
          <t>2025-01-22</t>
        </is>
      </c>
      <c r="C883" s="60" t="inlineStr">
        <is>
          <t>Metro Fragrance Lite-261</t>
        </is>
      </c>
      <c r="D883" s="58" t="inlineStr">
        <is>
          <t>Beauty</t>
        </is>
      </c>
      <c r="E883" s="58" t="inlineStr">
        <is>
          <t>West</t>
        </is>
      </c>
      <c r="F883" s="61" t="n">
        <v>1</v>
      </c>
      <c r="G883" s="62" t="n">
        <v>90.83</v>
      </c>
      <c r="H883" s="63" t="n">
        <v>0.031</v>
      </c>
      <c r="I883" s="62" t="n">
        <v>56.61</v>
      </c>
      <c r="J883" s="58" t="inlineStr">
        <is>
          <t>Store</t>
        </is>
      </c>
      <c r="K883" s="62">
        <f>F883*(G883-H883)</f>
        <v/>
      </c>
      <c r="L883" s="62">
        <f>K883-(F883*I883)</f>
        <v/>
      </c>
      <c r="M883" s="64">
        <f>L883/K883</f>
        <v/>
      </c>
    </row>
    <row r="884">
      <c r="A884" s="58" t="inlineStr">
        <is>
          <t>RT20250122-00883</t>
        </is>
      </c>
      <c r="B884" s="59" t="inlineStr">
        <is>
          <t>2025-01-22</t>
        </is>
      </c>
      <c r="C884" s="60" t="inlineStr">
        <is>
          <t>Metro Pantry Max-180</t>
        </is>
      </c>
      <c r="D884" s="58" t="inlineStr">
        <is>
          <t>Grocery</t>
        </is>
      </c>
      <c r="E884" s="58" t="inlineStr">
        <is>
          <t>West</t>
        </is>
      </c>
      <c r="F884" s="61" t="n">
        <v>4</v>
      </c>
      <c r="G884" s="62" t="n">
        <v>10.41</v>
      </c>
      <c r="H884" s="63" t="n">
        <v>0.096</v>
      </c>
      <c r="I884" s="62" t="n">
        <v>6.5</v>
      </c>
      <c r="J884" s="58" t="inlineStr">
        <is>
          <t>Phone</t>
        </is>
      </c>
      <c r="K884" s="62">
        <f>F884*(G884-H884)</f>
        <v/>
      </c>
      <c r="L884" s="62">
        <f>K884-(F884*I884)</f>
        <v/>
      </c>
      <c r="M884" s="64">
        <f>L884/K884</f>
        <v/>
      </c>
    </row>
    <row r="885">
      <c r="A885" s="58" t="inlineStr">
        <is>
          <t>RT20250122-00884</t>
        </is>
      </c>
      <c r="B885" s="59" t="inlineStr">
        <is>
          <t>2025-01-22</t>
        </is>
      </c>
      <c r="C885" s="60" t="inlineStr">
        <is>
          <t>Solace Bedding Plus-317</t>
        </is>
      </c>
      <c r="D885" s="58" t="inlineStr">
        <is>
          <t>Home</t>
        </is>
      </c>
      <c r="E885" s="58" t="inlineStr">
        <is>
          <t>East</t>
        </is>
      </c>
      <c r="F885" s="61" t="n">
        <v>1</v>
      </c>
      <c r="G885" s="62" t="n">
        <v>542.4</v>
      </c>
      <c r="H885" s="63" t="n">
        <v>0.029</v>
      </c>
      <c r="I885" s="62" t="n">
        <v>383.48</v>
      </c>
      <c r="J885" s="58" t="inlineStr">
        <is>
          <t>Store</t>
        </is>
      </c>
      <c r="K885" s="62">
        <f>F885*(G885-H885)</f>
        <v/>
      </c>
      <c r="L885" s="62">
        <f>K885-(F885*I885)</f>
        <v/>
      </c>
      <c r="M885" s="64">
        <f>L885/K885</f>
        <v/>
      </c>
    </row>
    <row r="886">
      <c r="A886" s="58" t="inlineStr">
        <is>
          <t>RT20250122-00885</t>
        </is>
      </c>
      <c r="B886" s="59" t="inlineStr">
        <is>
          <t>2025-01-22</t>
        </is>
      </c>
      <c r="C886" s="60" t="inlineStr">
        <is>
          <t>Aurora Team Sport Plus-256</t>
        </is>
      </c>
      <c r="D886" s="58" t="inlineStr">
        <is>
          <t>Sports</t>
        </is>
      </c>
      <c r="E886" s="58" t="inlineStr">
        <is>
          <t>South</t>
        </is>
      </c>
      <c r="F886" s="61" t="n">
        <v>3</v>
      </c>
      <c r="G886" s="62" t="n">
        <v>573.5599999999999</v>
      </c>
      <c r="H886" s="63" t="n">
        <v>0.06900000000000001</v>
      </c>
      <c r="I886" s="62" t="n">
        <v>427.25</v>
      </c>
      <c r="J886" s="58" t="inlineStr">
        <is>
          <t>Online</t>
        </is>
      </c>
      <c r="K886" s="62">
        <f>F886*(G886-H886)</f>
        <v/>
      </c>
      <c r="L886" s="62">
        <f>K886-(F886*I886)</f>
        <v/>
      </c>
      <c r="M886" s="64">
        <f>L886/K886</f>
        <v/>
      </c>
    </row>
    <row r="887">
      <c r="A887" s="58" t="inlineStr">
        <is>
          <t>RT20250122-00886</t>
        </is>
      </c>
      <c r="B887" s="59" t="inlineStr">
        <is>
          <t>2025-01-22</t>
        </is>
      </c>
      <c r="C887" s="60" t="inlineStr">
        <is>
          <t>Vertex Smartphone Lite-267</t>
        </is>
      </c>
      <c r="D887" s="58" t="inlineStr">
        <is>
          <t>Electronics</t>
        </is>
      </c>
      <c r="E887" s="58" t="inlineStr">
        <is>
          <t>South</t>
        </is>
      </c>
      <c r="F887" s="61" t="n">
        <v>2</v>
      </c>
      <c r="G887" s="62" t="n">
        <v>1317.95</v>
      </c>
      <c r="H887" s="63" t="n">
        <v>0.065</v>
      </c>
      <c r="I887" s="62" t="n">
        <v>981.4400000000001</v>
      </c>
      <c r="J887" s="58" t="inlineStr">
        <is>
          <t>Online</t>
        </is>
      </c>
      <c r="K887" s="62">
        <f>F887*(G887-H887)</f>
        <v/>
      </c>
      <c r="L887" s="62">
        <f>K887-(F887*I887)</f>
        <v/>
      </c>
      <c r="M887" s="64">
        <f>L887/K887</f>
        <v/>
      </c>
    </row>
    <row r="888">
      <c r="A888" s="58" t="inlineStr">
        <is>
          <t>RT20250122-00887</t>
        </is>
      </c>
      <c r="B888" s="59" t="inlineStr">
        <is>
          <t>2025-01-22</t>
        </is>
      </c>
      <c r="C888" s="60" t="inlineStr">
        <is>
          <t>Polar Men Pro-246</t>
        </is>
      </c>
      <c r="D888" s="58" t="inlineStr">
        <is>
          <t>Apparel</t>
        </is>
      </c>
      <c r="E888" s="58" t="inlineStr">
        <is>
          <t>East</t>
        </is>
      </c>
      <c r="F888" s="61" t="n">
        <v>1</v>
      </c>
      <c r="G888" s="62" t="n">
        <v>120.22</v>
      </c>
      <c r="H888" s="63" t="n">
        <v>0.068</v>
      </c>
      <c r="I888" s="62" t="n">
        <v>76.62</v>
      </c>
      <c r="J888" s="58" t="inlineStr">
        <is>
          <t>Store</t>
        </is>
      </c>
      <c r="K888" s="62">
        <f>F888*(G888-H888)</f>
        <v/>
      </c>
      <c r="L888" s="62">
        <f>K888-(F888*I888)</f>
        <v/>
      </c>
      <c r="M888" s="64">
        <f>L888/K888</f>
        <v/>
      </c>
    </row>
    <row r="889">
      <c r="A889" s="58" t="inlineStr">
        <is>
          <t>RT20250122-00888</t>
        </is>
      </c>
      <c r="B889" s="59" t="inlineStr">
        <is>
          <t>2025-01-22</t>
        </is>
      </c>
      <c r="C889" s="60" t="inlineStr">
        <is>
          <t>Falcon Skincare Max-151</t>
        </is>
      </c>
      <c r="D889" s="58" t="inlineStr">
        <is>
          <t>Beauty</t>
        </is>
      </c>
      <c r="E889" s="58" t="inlineStr">
        <is>
          <t>East</t>
        </is>
      </c>
      <c r="F889" s="61" t="n">
        <v>4</v>
      </c>
      <c r="G889" s="62" t="n">
        <v>95.01000000000001</v>
      </c>
      <c r="H889" s="63" t="n">
        <v>0.03</v>
      </c>
      <c r="I889" s="62" t="n">
        <v>58.22</v>
      </c>
      <c r="J889" s="58" t="inlineStr">
        <is>
          <t>Store</t>
        </is>
      </c>
      <c r="K889" s="62">
        <f>F889*(G889-H889)</f>
        <v/>
      </c>
      <c r="L889" s="62">
        <f>K889-(F889*I889)</f>
        <v/>
      </c>
      <c r="M889" s="64">
        <f>L889/K889</f>
        <v/>
      </c>
    </row>
    <row r="890">
      <c r="A890" s="58" t="inlineStr">
        <is>
          <t>RT20250122-00889</t>
        </is>
      </c>
      <c r="B890" s="59" t="inlineStr">
        <is>
          <t>2025-01-22</t>
        </is>
      </c>
      <c r="C890" s="60" t="inlineStr">
        <is>
          <t>Vertex Accessorie Pro-881</t>
        </is>
      </c>
      <c r="D890" s="58" t="inlineStr">
        <is>
          <t>Apparel</t>
        </is>
      </c>
      <c r="E890" s="58" t="inlineStr">
        <is>
          <t>Central</t>
        </is>
      </c>
      <c r="F890" s="61" t="n">
        <v>2</v>
      </c>
      <c r="G890" s="62" t="n">
        <v>103.54</v>
      </c>
      <c r="H890" s="63" t="n">
        <v>0.03</v>
      </c>
      <c r="I890" s="62" t="n">
        <v>64.22</v>
      </c>
      <c r="J890" s="58" t="inlineStr">
        <is>
          <t>Store</t>
        </is>
      </c>
      <c r="K890" s="62">
        <f>F890*(G890-H890)</f>
        <v/>
      </c>
      <c r="L890" s="62">
        <f>K890-(F890*I890)</f>
        <v/>
      </c>
      <c r="M890" s="64">
        <f>L890/K890</f>
        <v/>
      </c>
    </row>
    <row r="891">
      <c r="A891" s="58" t="inlineStr">
        <is>
          <t>RT20250122-00890</t>
        </is>
      </c>
      <c r="B891" s="59" t="inlineStr">
        <is>
          <t>2025-01-22</t>
        </is>
      </c>
      <c r="C891" s="60" t="inlineStr">
        <is>
          <t>Aurora Smartphone Plus-125</t>
        </is>
      </c>
      <c r="D891" s="58" t="inlineStr">
        <is>
          <t>Electronics</t>
        </is>
      </c>
      <c r="E891" s="58" t="inlineStr">
        <is>
          <t>West</t>
        </is>
      </c>
      <c r="F891" s="61" t="n">
        <v>1</v>
      </c>
      <c r="G891" s="62" t="n">
        <v>1596.07</v>
      </c>
      <c r="H891" s="63" t="n">
        <v>0.036</v>
      </c>
      <c r="I891" s="62" t="n">
        <v>1250.32</v>
      </c>
      <c r="J891" s="58" t="inlineStr">
        <is>
          <t>Online</t>
        </is>
      </c>
      <c r="K891" s="62">
        <f>F891*(G891-H891)</f>
        <v/>
      </c>
      <c r="L891" s="62">
        <f>K891-(F891*I891)</f>
        <v/>
      </c>
      <c r="M891" s="64">
        <f>L891/K891</f>
        <v/>
      </c>
    </row>
    <row r="892">
      <c r="A892" s="58" t="inlineStr">
        <is>
          <t>RT20250122-00891</t>
        </is>
      </c>
      <c r="B892" s="59" t="inlineStr">
        <is>
          <t>2025-01-22</t>
        </is>
      </c>
      <c r="C892" s="60" t="inlineStr">
        <is>
          <t>Polar Laptop Plus-984</t>
        </is>
      </c>
      <c r="D892" s="58" t="inlineStr">
        <is>
          <t>Electronics</t>
        </is>
      </c>
      <c r="E892" s="58" t="inlineStr">
        <is>
          <t>West</t>
        </is>
      </c>
      <c r="F892" s="61" t="n">
        <v>1</v>
      </c>
      <c r="G892" s="62" t="n">
        <v>1488.61</v>
      </c>
      <c r="H892" s="63" t="n">
        <v>0.076</v>
      </c>
      <c r="I892" s="62" t="n">
        <v>974.9299999999999</v>
      </c>
      <c r="J892" s="58" t="inlineStr">
        <is>
          <t>Online</t>
        </is>
      </c>
      <c r="K892" s="62">
        <f>F892*(G892-H892)</f>
        <v/>
      </c>
      <c r="L892" s="62">
        <f>K892-(F892*I892)</f>
        <v/>
      </c>
      <c r="M892" s="64">
        <f>L892/K892</f>
        <v/>
      </c>
    </row>
    <row r="893">
      <c r="A893" s="58" t="inlineStr">
        <is>
          <t>RT20250122-00892</t>
        </is>
      </c>
      <c r="B893" s="59" t="inlineStr">
        <is>
          <t>2025-01-22</t>
        </is>
      </c>
      <c r="C893" s="60" t="inlineStr">
        <is>
          <t>Polar Outdoor X-193</t>
        </is>
      </c>
      <c r="D893" s="58" t="inlineStr">
        <is>
          <t>Sports</t>
        </is>
      </c>
      <c r="E893" s="58" t="inlineStr">
        <is>
          <t>Central</t>
        </is>
      </c>
      <c r="F893" s="61" t="n">
        <v>1</v>
      </c>
      <c r="G893" s="62" t="n">
        <v>695.47</v>
      </c>
      <c r="H893" s="63" t="n">
        <v>0.045</v>
      </c>
      <c r="I893" s="62" t="n">
        <v>452.15</v>
      </c>
      <c r="J893" s="58" t="inlineStr">
        <is>
          <t>Online</t>
        </is>
      </c>
      <c r="K893" s="62">
        <f>F893*(G893-H893)</f>
        <v/>
      </c>
      <c r="L893" s="62">
        <f>K893-(F893*I893)</f>
        <v/>
      </c>
      <c r="M893" s="64">
        <f>L893/K893</f>
        <v/>
      </c>
    </row>
    <row r="894">
      <c r="A894" s="58" t="inlineStr">
        <is>
          <t>RT20250122-00893</t>
        </is>
      </c>
      <c r="B894" s="59" t="inlineStr">
        <is>
          <t>2025-01-22</t>
        </is>
      </c>
      <c r="C894" s="60" t="inlineStr">
        <is>
          <t>Orion Kid Max-864</t>
        </is>
      </c>
      <c r="D894" s="58" t="inlineStr">
        <is>
          <t>Apparel</t>
        </is>
      </c>
      <c r="E894" s="58" t="inlineStr">
        <is>
          <t>East</t>
        </is>
      </c>
      <c r="F894" s="61" t="n">
        <v>1</v>
      </c>
      <c r="G894" s="62" t="n">
        <v>84.05</v>
      </c>
      <c r="H894" s="63" t="n">
        <v>0.016</v>
      </c>
      <c r="I894" s="62" t="n">
        <v>45.95</v>
      </c>
      <c r="J894" s="58" t="inlineStr">
        <is>
          <t>Phone</t>
        </is>
      </c>
      <c r="K894" s="62">
        <f>F894*(G894-H894)</f>
        <v/>
      </c>
      <c r="L894" s="62">
        <f>K894-(F894*I894)</f>
        <v/>
      </c>
      <c r="M894" s="64">
        <f>L894/K894</f>
        <v/>
      </c>
    </row>
    <row r="895">
      <c r="A895" s="58" t="inlineStr">
        <is>
          <t>RT20250122-00894</t>
        </is>
      </c>
      <c r="B895" s="59" t="inlineStr">
        <is>
          <t>2025-01-22</t>
        </is>
      </c>
      <c r="C895" s="60" t="inlineStr">
        <is>
          <t>Orion Laptop S-350</t>
        </is>
      </c>
      <c r="D895" s="58" t="inlineStr">
        <is>
          <t>Electronics</t>
        </is>
      </c>
      <c r="E895" s="58" t="inlineStr">
        <is>
          <t>West</t>
        </is>
      </c>
      <c r="F895" s="61" t="n">
        <v>2</v>
      </c>
      <c r="G895" s="62" t="n">
        <v>1389.5</v>
      </c>
      <c r="H895" s="63" t="n">
        <v>0.052</v>
      </c>
      <c r="I895" s="62" t="n">
        <v>1081.13</v>
      </c>
      <c r="J895" s="58" t="inlineStr">
        <is>
          <t>Store</t>
        </is>
      </c>
      <c r="K895" s="62">
        <f>F895*(G895-H895)</f>
        <v/>
      </c>
      <c r="L895" s="62">
        <f>K895-(F895*I895)</f>
        <v/>
      </c>
      <c r="M895" s="64">
        <f>L895/K895</f>
        <v/>
      </c>
    </row>
    <row r="896">
      <c r="A896" s="58" t="inlineStr">
        <is>
          <t>RT20250122-00895</t>
        </is>
      </c>
      <c r="B896" s="59" t="inlineStr">
        <is>
          <t>2025-01-22</t>
        </is>
      </c>
      <c r="C896" s="60" t="inlineStr">
        <is>
          <t>Nimbus Women Plus-352</t>
        </is>
      </c>
      <c r="D896" s="58" t="inlineStr">
        <is>
          <t>Apparel</t>
        </is>
      </c>
      <c r="E896" s="58" t="inlineStr">
        <is>
          <t>South</t>
        </is>
      </c>
      <c r="F896" s="61" t="n">
        <v>1</v>
      </c>
      <c r="G896" s="62" t="n">
        <v>56.2</v>
      </c>
      <c r="H896" s="63" t="n">
        <v>0.019</v>
      </c>
      <c r="I896" s="62" t="n">
        <v>33.43</v>
      </c>
      <c r="J896" s="58" t="inlineStr">
        <is>
          <t>Online</t>
        </is>
      </c>
      <c r="K896" s="62">
        <f>F896*(G896-H896)</f>
        <v/>
      </c>
      <c r="L896" s="62">
        <f>K896-(F896*I896)</f>
        <v/>
      </c>
      <c r="M896" s="64">
        <f>L896/K896</f>
        <v/>
      </c>
    </row>
    <row r="897">
      <c r="A897" s="58" t="inlineStr">
        <is>
          <t>RT20250122-00896</t>
        </is>
      </c>
      <c r="B897" s="59" t="inlineStr">
        <is>
          <t>2025-01-22</t>
        </is>
      </c>
      <c r="C897" s="60" t="inlineStr">
        <is>
          <t>Metro Accessorie Max-316</t>
        </is>
      </c>
      <c r="D897" s="58" t="inlineStr">
        <is>
          <t>Apparel</t>
        </is>
      </c>
      <c r="E897" s="58" t="inlineStr">
        <is>
          <t>West</t>
        </is>
      </c>
      <c r="F897" s="61" t="n">
        <v>1</v>
      </c>
      <c r="G897" s="62" t="n">
        <v>159.59</v>
      </c>
      <c r="H897" s="63" t="n">
        <v>0.06</v>
      </c>
      <c r="I897" s="62" t="n">
        <v>94.33</v>
      </c>
      <c r="J897" s="58" t="inlineStr">
        <is>
          <t>Store</t>
        </is>
      </c>
      <c r="K897" s="62">
        <f>F897*(G897-H897)</f>
        <v/>
      </c>
      <c r="L897" s="62">
        <f>K897-(F897*I897)</f>
        <v/>
      </c>
      <c r="M897" s="64">
        <f>L897/K897</f>
        <v/>
      </c>
    </row>
    <row r="898">
      <c r="A898" s="58" t="inlineStr">
        <is>
          <t>RT20250122-00897</t>
        </is>
      </c>
      <c r="B898" s="59" t="inlineStr">
        <is>
          <t>2025-01-22</t>
        </is>
      </c>
      <c r="C898" s="60" t="inlineStr">
        <is>
          <t>Vertex Appliance Max-338</t>
        </is>
      </c>
      <c r="D898" s="58" t="inlineStr">
        <is>
          <t>Home</t>
        </is>
      </c>
      <c r="E898" s="58" t="inlineStr">
        <is>
          <t>East</t>
        </is>
      </c>
      <c r="F898" s="61" t="n">
        <v>2</v>
      </c>
      <c r="G898" s="62" t="n">
        <v>429.72</v>
      </c>
      <c r="H898" s="63" t="n">
        <v>0.1</v>
      </c>
      <c r="I898" s="62" t="n">
        <v>290.02</v>
      </c>
      <c r="J898" s="58" t="inlineStr">
        <is>
          <t>Online</t>
        </is>
      </c>
      <c r="K898" s="62">
        <f>F898*(G898-H898)</f>
        <v/>
      </c>
      <c r="L898" s="62">
        <f>K898-(F898*I898)</f>
        <v/>
      </c>
      <c r="M898" s="64">
        <f>L898/K898</f>
        <v/>
      </c>
    </row>
    <row r="899">
      <c r="A899" s="58" t="inlineStr">
        <is>
          <t>RT20250122-00898</t>
        </is>
      </c>
      <c r="B899" s="59" t="inlineStr">
        <is>
          <t>2025-01-22</t>
        </is>
      </c>
      <c r="C899" s="60" t="inlineStr">
        <is>
          <t>Polar Cycling X-649</t>
        </is>
      </c>
      <c r="D899" s="58" t="inlineStr">
        <is>
          <t>Sports</t>
        </is>
      </c>
      <c r="E899" s="58" t="inlineStr">
        <is>
          <t>East</t>
        </is>
      </c>
      <c r="F899" s="61" t="n">
        <v>3</v>
      </c>
      <c r="G899" s="62" t="n">
        <v>646.96</v>
      </c>
      <c r="H899" s="63" t="n">
        <v>0.08699999999999999</v>
      </c>
      <c r="I899" s="62" t="n">
        <v>368.28</v>
      </c>
      <c r="J899" s="58" t="inlineStr">
        <is>
          <t>Store</t>
        </is>
      </c>
      <c r="K899" s="62">
        <f>F899*(G899-H899)</f>
        <v/>
      </c>
      <c r="L899" s="62">
        <f>K899-(F899*I899)</f>
        <v/>
      </c>
      <c r="M899" s="64">
        <f>L899/K899</f>
        <v/>
      </c>
    </row>
    <row r="900">
      <c r="A900" s="58" t="inlineStr">
        <is>
          <t>RT20250122-00899</t>
        </is>
      </c>
      <c r="B900" s="59" t="inlineStr">
        <is>
          <t>2025-01-22</t>
        </is>
      </c>
      <c r="C900" s="60" t="inlineStr">
        <is>
          <t>Aurora Bedding Max-175</t>
        </is>
      </c>
      <c r="D900" s="58" t="inlineStr">
        <is>
          <t>Home</t>
        </is>
      </c>
      <c r="E900" s="58" t="inlineStr">
        <is>
          <t>Central</t>
        </is>
      </c>
      <c r="F900" s="61" t="n">
        <v>1</v>
      </c>
      <c r="G900" s="62" t="n">
        <v>540.61</v>
      </c>
      <c r="H900" s="63" t="n">
        <v>0.06900000000000001</v>
      </c>
      <c r="I900" s="62" t="n">
        <v>423.84</v>
      </c>
      <c r="J900" s="58" t="inlineStr">
        <is>
          <t>Online</t>
        </is>
      </c>
      <c r="K900" s="62">
        <f>F900*(G900-H900)</f>
        <v/>
      </c>
      <c r="L900" s="62">
        <f>K900-(F900*I900)</f>
        <v/>
      </c>
      <c r="M900" s="64">
        <f>L900/K900</f>
        <v/>
      </c>
    </row>
    <row r="901">
      <c r="A901" s="58" t="inlineStr">
        <is>
          <t>RT20250122-00900</t>
        </is>
      </c>
      <c r="B901" s="59" t="inlineStr">
        <is>
          <t>2025-01-22</t>
        </is>
      </c>
      <c r="C901" s="60" t="inlineStr">
        <is>
          <t>Falcon Headphone Plus-789</t>
        </is>
      </c>
      <c r="D901" s="58" t="inlineStr">
        <is>
          <t>Electronics</t>
        </is>
      </c>
      <c r="E901" s="58" t="inlineStr">
        <is>
          <t>East</t>
        </is>
      </c>
      <c r="F901" s="61" t="n">
        <v>1</v>
      </c>
      <c r="G901" s="62" t="n">
        <v>1669.55</v>
      </c>
      <c r="H901" s="63" t="n">
        <v>0.108</v>
      </c>
      <c r="I901" s="62" t="n">
        <v>1334.01</v>
      </c>
      <c r="J901" s="58" t="inlineStr">
        <is>
          <t>Online</t>
        </is>
      </c>
      <c r="K901" s="62">
        <f>F901*(G901-H901)</f>
        <v/>
      </c>
      <c r="L901" s="62">
        <f>K901-(F901*I901)</f>
        <v/>
      </c>
      <c r="M901" s="64">
        <f>L901/K901</f>
        <v/>
      </c>
    </row>
    <row r="902">
      <c r="A902" s="58" t="inlineStr">
        <is>
          <t>RT20250122-00901</t>
        </is>
      </c>
      <c r="B902" s="59" t="inlineStr">
        <is>
          <t>2025-01-22</t>
        </is>
      </c>
      <c r="C902" s="60" t="inlineStr">
        <is>
          <t>Orion Kid Max-864</t>
        </is>
      </c>
      <c r="D902" s="58" t="inlineStr">
        <is>
          <t>Apparel</t>
        </is>
      </c>
      <c r="E902" s="58" t="inlineStr">
        <is>
          <t>West</t>
        </is>
      </c>
      <c r="F902" s="61" t="n">
        <v>2</v>
      </c>
      <c r="G902" s="62" t="n">
        <v>82.18000000000001</v>
      </c>
      <c r="H902" s="63" t="n">
        <v>0.036</v>
      </c>
      <c r="I902" s="62" t="n">
        <v>46.56</v>
      </c>
      <c r="J902" s="58" t="inlineStr">
        <is>
          <t>Store</t>
        </is>
      </c>
      <c r="K902" s="62">
        <f>F902*(G902-H902)</f>
        <v/>
      </c>
      <c r="L902" s="62">
        <f>K902-(F902*I902)</f>
        <v/>
      </c>
      <c r="M902" s="64">
        <f>L902/K902</f>
        <v/>
      </c>
    </row>
    <row r="903">
      <c r="A903" s="58" t="inlineStr">
        <is>
          <t>RT20250122-00902</t>
        </is>
      </c>
      <c r="B903" s="59" t="inlineStr">
        <is>
          <t>2025-01-22</t>
        </is>
      </c>
      <c r="C903" s="60" t="inlineStr">
        <is>
          <t>Metro Printer X-294</t>
        </is>
      </c>
      <c r="D903" s="58" t="inlineStr">
        <is>
          <t>Office</t>
        </is>
      </c>
      <c r="E903" s="58" t="inlineStr">
        <is>
          <t>West</t>
        </is>
      </c>
      <c r="F903" s="61" t="n">
        <v>2</v>
      </c>
      <c r="G903" s="62" t="n">
        <v>570.25</v>
      </c>
      <c r="H903" s="63" t="n">
        <v>0.022</v>
      </c>
      <c r="I903" s="62" t="n">
        <v>420.77</v>
      </c>
      <c r="J903" s="58" t="inlineStr">
        <is>
          <t>Store</t>
        </is>
      </c>
      <c r="K903" s="62">
        <f>F903*(G903-H903)</f>
        <v/>
      </c>
      <c r="L903" s="62">
        <f>K903-(F903*I903)</f>
        <v/>
      </c>
      <c r="M903" s="64">
        <f>L903/K903</f>
        <v/>
      </c>
    </row>
    <row r="904">
      <c r="A904" s="58" t="inlineStr">
        <is>
          <t>RT20250122-00903</t>
        </is>
      </c>
      <c r="B904" s="59" t="inlineStr">
        <is>
          <t>2025-01-22</t>
        </is>
      </c>
      <c r="C904" s="60" t="inlineStr">
        <is>
          <t>Vertex Printer Max-692</t>
        </is>
      </c>
      <c r="D904" s="58" t="inlineStr">
        <is>
          <t>Office</t>
        </is>
      </c>
      <c r="E904" s="58" t="inlineStr">
        <is>
          <t>Central</t>
        </is>
      </c>
      <c r="F904" s="61" t="n">
        <v>2</v>
      </c>
      <c r="G904" s="62" t="n">
        <v>134.43</v>
      </c>
      <c r="H904" s="63" t="n">
        <v>0.122</v>
      </c>
      <c r="I904" s="62" t="n">
        <v>114.59</v>
      </c>
      <c r="J904" s="58" t="inlineStr">
        <is>
          <t>Online</t>
        </is>
      </c>
      <c r="K904" s="62">
        <f>F904*(G904-H904)</f>
        <v/>
      </c>
      <c r="L904" s="62">
        <f>K904-(F904*I904)</f>
        <v/>
      </c>
      <c r="M904" s="64">
        <f>L904/K904</f>
        <v/>
      </c>
    </row>
    <row r="905">
      <c r="A905" s="58" t="inlineStr">
        <is>
          <t>RT20250122-00904</t>
        </is>
      </c>
      <c r="B905" s="59" t="inlineStr">
        <is>
          <t>2025-01-22</t>
        </is>
      </c>
      <c r="C905" s="60" t="inlineStr">
        <is>
          <t>Aurora Bedding Max-175</t>
        </is>
      </c>
      <c r="D905" s="58" t="inlineStr">
        <is>
          <t>Home</t>
        </is>
      </c>
      <c r="E905" s="58" t="inlineStr">
        <is>
          <t>South</t>
        </is>
      </c>
      <c r="F905" s="61" t="n">
        <v>2</v>
      </c>
      <c r="G905" s="62" t="n">
        <v>614.4299999999999</v>
      </c>
      <c r="H905" s="63" t="n">
        <v>0.025</v>
      </c>
      <c r="I905" s="62" t="n">
        <v>423.78</v>
      </c>
      <c r="J905" s="58" t="inlineStr">
        <is>
          <t>Phone</t>
        </is>
      </c>
      <c r="K905" s="62">
        <f>F905*(G905-H905)</f>
        <v/>
      </c>
      <c r="L905" s="62">
        <f>K905-(F905*I905)</f>
        <v/>
      </c>
      <c r="M905" s="64">
        <f>L905/K905</f>
        <v/>
      </c>
    </row>
    <row r="906">
      <c r="A906" s="58" t="inlineStr">
        <is>
          <t>RT20250122-00905</t>
        </is>
      </c>
      <c r="B906" s="59" t="inlineStr">
        <is>
          <t>2025-01-22</t>
        </is>
      </c>
      <c r="C906" s="60" t="inlineStr">
        <is>
          <t>Metro Pantry X-710</t>
        </is>
      </c>
      <c r="D906" s="58" t="inlineStr">
        <is>
          <t>Grocery</t>
        </is>
      </c>
      <c r="E906" s="58" t="inlineStr">
        <is>
          <t>Central</t>
        </is>
      </c>
      <c r="F906" s="61" t="n">
        <v>8</v>
      </c>
      <c r="G906" s="62" t="n">
        <v>6.24</v>
      </c>
      <c r="H906" s="63" t="n">
        <v>0.117</v>
      </c>
      <c r="I906" s="62" t="n">
        <v>4.12</v>
      </c>
      <c r="J906" s="58" t="inlineStr">
        <is>
          <t>Online</t>
        </is>
      </c>
      <c r="K906" s="62">
        <f>F906*(G906-H906)</f>
        <v/>
      </c>
      <c r="L906" s="62">
        <f>K906-(F906*I906)</f>
        <v/>
      </c>
      <c r="M906" s="64">
        <f>L906/K906</f>
        <v/>
      </c>
    </row>
    <row r="907">
      <c r="A907" s="58" t="inlineStr">
        <is>
          <t>RT20250122-00906</t>
        </is>
      </c>
      <c r="B907" s="59" t="inlineStr">
        <is>
          <t>2025-01-22</t>
        </is>
      </c>
      <c r="C907" s="60" t="inlineStr">
        <is>
          <t>Polar Wearable X-119</t>
        </is>
      </c>
      <c r="D907" s="58" t="inlineStr">
        <is>
          <t>Electronics</t>
        </is>
      </c>
      <c r="E907" s="58" t="inlineStr">
        <is>
          <t>East</t>
        </is>
      </c>
      <c r="F907" s="61" t="n">
        <v>2</v>
      </c>
      <c r="G907" s="62" t="n">
        <v>1758.95</v>
      </c>
      <c r="H907" s="63" t="n">
        <v>0.02</v>
      </c>
      <c r="I907" s="62" t="n">
        <v>1319.17</v>
      </c>
      <c r="J907" s="58" t="inlineStr">
        <is>
          <t>Store</t>
        </is>
      </c>
      <c r="K907" s="62">
        <f>F907*(G907-H907)</f>
        <v/>
      </c>
      <c r="L907" s="62">
        <f>K907-(F907*I907)</f>
        <v/>
      </c>
      <c r="M907" s="64">
        <f>L907/K907</f>
        <v/>
      </c>
    </row>
    <row r="908">
      <c r="A908" s="58" t="inlineStr">
        <is>
          <t>RT20250122-00907</t>
        </is>
      </c>
      <c r="B908" s="59" t="inlineStr">
        <is>
          <t>2025-01-22</t>
        </is>
      </c>
      <c r="C908" s="60" t="inlineStr">
        <is>
          <t>Aurora Smartphone Plus-125</t>
        </is>
      </c>
      <c r="D908" s="58" t="inlineStr">
        <is>
          <t>Electronics</t>
        </is>
      </c>
      <c r="E908" s="58" t="inlineStr">
        <is>
          <t>East</t>
        </is>
      </c>
      <c r="F908" s="61" t="n">
        <v>2</v>
      </c>
      <c r="G908" s="62" t="n">
        <v>1547.54</v>
      </c>
      <c r="H908" s="63" t="n">
        <v>0.053</v>
      </c>
      <c r="I908" s="62" t="n">
        <v>1242.2</v>
      </c>
      <c r="J908" s="58" t="inlineStr">
        <is>
          <t>Store</t>
        </is>
      </c>
      <c r="K908" s="62">
        <f>F908*(G908-H908)</f>
        <v/>
      </c>
      <c r="L908" s="62">
        <f>K908-(F908*I908)</f>
        <v/>
      </c>
      <c r="M908" s="64">
        <f>L908/K908</f>
        <v/>
      </c>
    </row>
    <row r="909">
      <c r="A909" s="58" t="inlineStr">
        <is>
          <t>RT20250122-00908</t>
        </is>
      </c>
      <c r="B909" s="59" t="inlineStr">
        <is>
          <t>2025-01-22</t>
        </is>
      </c>
      <c r="C909" s="60" t="inlineStr">
        <is>
          <t>Vertex Furniture S-652</t>
        </is>
      </c>
      <c r="D909" s="58" t="inlineStr">
        <is>
          <t>Office</t>
        </is>
      </c>
      <c r="E909" s="58" t="inlineStr">
        <is>
          <t>West</t>
        </is>
      </c>
      <c r="F909" s="61" t="n">
        <v>2</v>
      </c>
      <c r="G909" s="62" t="n">
        <v>404.01</v>
      </c>
      <c r="H909" s="63" t="n">
        <v>0.093</v>
      </c>
      <c r="I909" s="62" t="n">
        <v>271.87</v>
      </c>
      <c r="J909" s="58" t="inlineStr">
        <is>
          <t>Store</t>
        </is>
      </c>
      <c r="K909" s="62">
        <f>F909*(G909-H909)</f>
        <v/>
      </c>
      <c r="L909" s="62">
        <f>K909-(F909*I909)</f>
        <v/>
      </c>
      <c r="M909" s="64">
        <f>L909/K909</f>
        <v/>
      </c>
    </row>
    <row r="910">
      <c r="A910" s="58" t="inlineStr">
        <is>
          <t>RT20250122-00909</t>
        </is>
      </c>
      <c r="B910" s="59" t="inlineStr">
        <is>
          <t>2025-01-22</t>
        </is>
      </c>
      <c r="C910" s="60" t="inlineStr">
        <is>
          <t>Aurora Makeup Pro-489</t>
        </is>
      </c>
      <c r="D910" s="58" t="inlineStr">
        <is>
          <t>Beauty</t>
        </is>
      </c>
      <c r="E910" s="58" t="inlineStr">
        <is>
          <t>Central</t>
        </is>
      </c>
      <c r="F910" s="61" t="n">
        <v>3</v>
      </c>
      <c r="G910" s="62" t="n">
        <v>114.1</v>
      </c>
      <c r="H910" s="63" t="n">
        <v>0.08799999999999999</v>
      </c>
      <c r="I910" s="62" t="n">
        <v>65.31</v>
      </c>
      <c r="J910" s="58" t="inlineStr">
        <is>
          <t>Store</t>
        </is>
      </c>
      <c r="K910" s="62">
        <f>F910*(G910-H910)</f>
        <v/>
      </c>
      <c r="L910" s="62">
        <f>K910-(F910*I910)</f>
        <v/>
      </c>
      <c r="M910" s="64">
        <f>L910/K910</f>
        <v/>
      </c>
    </row>
    <row r="911">
      <c r="A911" s="58" t="inlineStr">
        <is>
          <t>RT20250122-00910</t>
        </is>
      </c>
      <c r="B911" s="59" t="inlineStr">
        <is>
          <t>2025-01-22</t>
        </is>
      </c>
      <c r="C911" s="60" t="inlineStr">
        <is>
          <t>Vertex Appliance S-159</t>
        </is>
      </c>
      <c r="D911" s="58" t="inlineStr">
        <is>
          <t>Home</t>
        </is>
      </c>
      <c r="E911" s="58" t="inlineStr">
        <is>
          <t>East</t>
        </is>
      </c>
      <c r="F911" s="61" t="n">
        <v>1</v>
      </c>
      <c r="G911" s="62" t="n">
        <v>414.27</v>
      </c>
      <c r="H911" s="63" t="n">
        <v>0.045</v>
      </c>
      <c r="I911" s="62" t="n">
        <v>289.97</v>
      </c>
      <c r="J911" s="58" t="inlineStr">
        <is>
          <t>Online</t>
        </is>
      </c>
      <c r="K911" s="62">
        <f>F911*(G911-H911)</f>
        <v/>
      </c>
      <c r="L911" s="62">
        <f>K911-(F911*I911)</f>
        <v/>
      </c>
      <c r="M911" s="64">
        <f>L911/K911</f>
        <v/>
      </c>
    </row>
    <row r="912">
      <c r="A912" s="58" t="inlineStr">
        <is>
          <t>RT20250122-00911</t>
        </is>
      </c>
      <c r="B912" s="59" t="inlineStr">
        <is>
          <t>2025-01-22</t>
        </is>
      </c>
      <c r="C912" s="60" t="inlineStr">
        <is>
          <t>Aurora Bedding Plus-187</t>
        </is>
      </c>
      <c r="D912" s="58" t="inlineStr">
        <is>
          <t>Home</t>
        </is>
      </c>
      <c r="E912" s="58" t="inlineStr">
        <is>
          <t>South</t>
        </is>
      </c>
      <c r="F912" s="61" t="n">
        <v>1</v>
      </c>
      <c r="G912" s="62" t="n">
        <v>307.95</v>
      </c>
      <c r="H912" s="63" t="n">
        <v>0.047</v>
      </c>
      <c r="I912" s="62" t="n">
        <v>206.36</v>
      </c>
      <c r="J912" s="58" t="inlineStr">
        <is>
          <t>Phone</t>
        </is>
      </c>
      <c r="K912" s="62">
        <f>F912*(G912-H912)</f>
        <v/>
      </c>
      <c r="L912" s="62">
        <f>K912-(F912*I912)</f>
        <v/>
      </c>
      <c r="M912" s="64">
        <f>L912/K912</f>
        <v/>
      </c>
    </row>
    <row r="913">
      <c r="A913" s="58" t="inlineStr">
        <is>
          <t>RT20250122-00912</t>
        </is>
      </c>
      <c r="B913" s="59" t="inlineStr">
        <is>
          <t>2025-01-22</t>
        </is>
      </c>
      <c r="C913" s="60" t="inlineStr">
        <is>
          <t>Orion Men X-928</t>
        </is>
      </c>
      <c r="D913" s="58" t="inlineStr">
        <is>
          <t>Apparel</t>
        </is>
      </c>
      <c r="E913" s="58" t="inlineStr">
        <is>
          <t>Central</t>
        </is>
      </c>
      <c r="F913" s="61" t="n">
        <v>4</v>
      </c>
      <c r="G913" s="62" t="n">
        <v>121.82</v>
      </c>
      <c r="H913" s="63" t="n">
        <v>0.115</v>
      </c>
      <c r="I913" s="62" t="n">
        <v>64.92</v>
      </c>
      <c r="J913" s="58" t="inlineStr">
        <is>
          <t>Store</t>
        </is>
      </c>
      <c r="K913" s="62">
        <f>F913*(G913-H913)</f>
        <v/>
      </c>
      <c r="L913" s="62">
        <f>K913-(F913*I913)</f>
        <v/>
      </c>
      <c r="M913" s="64">
        <f>L913/K913</f>
        <v/>
      </c>
    </row>
    <row r="914">
      <c r="A914" s="58" t="inlineStr">
        <is>
          <t>RT20250122-00913</t>
        </is>
      </c>
      <c r="B914" s="59" t="inlineStr">
        <is>
          <t>2025-01-22</t>
        </is>
      </c>
      <c r="C914" s="60" t="inlineStr">
        <is>
          <t>Polar Outdoor Lite-318</t>
        </is>
      </c>
      <c r="D914" s="58" t="inlineStr">
        <is>
          <t>Sports</t>
        </is>
      </c>
      <c r="E914" s="58" t="inlineStr">
        <is>
          <t>West</t>
        </is>
      </c>
      <c r="F914" s="61" t="n">
        <v>3</v>
      </c>
      <c r="G914" s="62" t="n">
        <v>724.02</v>
      </c>
      <c r="H914" s="63" t="n">
        <v>0.075</v>
      </c>
      <c r="I914" s="62" t="n">
        <v>453.7</v>
      </c>
      <c r="J914" s="58" t="inlineStr">
        <is>
          <t>Store</t>
        </is>
      </c>
      <c r="K914" s="62">
        <f>F914*(G914-H914)</f>
        <v/>
      </c>
      <c r="L914" s="62">
        <f>K914-(F914*I914)</f>
        <v/>
      </c>
      <c r="M914" s="64">
        <f>L914/K914</f>
        <v/>
      </c>
    </row>
    <row r="915">
      <c r="A915" s="58" t="inlineStr">
        <is>
          <t>RT20250122-00914</t>
        </is>
      </c>
      <c r="B915" s="59" t="inlineStr">
        <is>
          <t>2025-01-22</t>
        </is>
      </c>
      <c r="C915" s="60" t="inlineStr">
        <is>
          <t>Orion Snack X-322</t>
        </is>
      </c>
      <c r="D915" s="58" t="inlineStr">
        <is>
          <t>Grocery</t>
        </is>
      </c>
      <c r="E915" s="58" t="inlineStr">
        <is>
          <t>East</t>
        </is>
      </c>
      <c r="F915" s="61" t="n">
        <v>6</v>
      </c>
      <c r="G915" s="62" t="n">
        <v>12.72</v>
      </c>
      <c r="H915" s="63" t="n">
        <v>0.059</v>
      </c>
      <c r="I915" s="62" t="n">
        <v>10.37</v>
      </c>
      <c r="J915" s="58" t="inlineStr">
        <is>
          <t>Store</t>
        </is>
      </c>
      <c r="K915" s="62">
        <f>F915*(G915-H915)</f>
        <v/>
      </c>
      <c r="L915" s="62">
        <f>K915-(F915*I915)</f>
        <v/>
      </c>
      <c r="M915" s="64">
        <f>L915/K915</f>
        <v/>
      </c>
    </row>
    <row r="916">
      <c r="A916" s="58" t="inlineStr">
        <is>
          <t>RT20250123-00915</t>
        </is>
      </c>
      <c r="B916" s="59" t="inlineStr">
        <is>
          <t>2025-01-23</t>
        </is>
      </c>
      <c r="C916" s="60" t="inlineStr">
        <is>
          <t>Falcon Beverage Max-702</t>
        </is>
      </c>
      <c r="D916" s="58" t="inlineStr">
        <is>
          <t>Grocery</t>
        </is>
      </c>
      <c r="E916" s="58" t="inlineStr">
        <is>
          <t>West</t>
        </is>
      </c>
      <c r="F916" s="61" t="n">
        <v>7</v>
      </c>
      <c r="G916" s="62" t="n">
        <v>27.55</v>
      </c>
      <c r="H916" s="63" t="n">
        <v>0.05</v>
      </c>
      <c r="I916" s="62" t="n">
        <v>19.77</v>
      </c>
      <c r="J916" s="58" t="inlineStr">
        <is>
          <t>Online</t>
        </is>
      </c>
      <c r="K916" s="62">
        <f>F916*(G916-H916)</f>
        <v/>
      </c>
      <c r="L916" s="62">
        <f>K916-(F916*I916)</f>
        <v/>
      </c>
      <c r="M916" s="64">
        <f>L916/K916</f>
        <v/>
      </c>
    </row>
    <row r="917">
      <c r="A917" s="58" t="inlineStr">
        <is>
          <t>RT20250123-00916</t>
        </is>
      </c>
      <c r="B917" s="59" t="inlineStr">
        <is>
          <t>2025-01-23</t>
        </is>
      </c>
      <c r="C917" s="60" t="inlineStr">
        <is>
          <t>Falcon Skincare X-334</t>
        </is>
      </c>
      <c r="D917" s="58" t="inlineStr">
        <is>
          <t>Beauty</t>
        </is>
      </c>
      <c r="E917" s="58" t="inlineStr">
        <is>
          <t>Central</t>
        </is>
      </c>
      <c r="F917" s="61" t="n">
        <v>2</v>
      </c>
      <c r="G917" s="62" t="n">
        <v>101.11</v>
      </c>
      <c r="H917" s="63" t="n">
        <v>0.104</v>
      </c>
      <c r="I917" s="62" t="n">
        <v>62.33</v>
      </c>
      <c r="J917" s="58" t="inlineStr">
        <is>
          <t>Store</t>
        </is>
      </c>
      <c r="K917" s="62">
        <f>F917*(G917-H917)</f>
        <v/>
      </c>
      <c r="L917" s="62">
        <f>K917-(F917*I917)</f>
        <v/>
      </c>
      <c r="M917" s="64">
        <f>L917/K917</f>
        <v/>
      </c>
    </row>
    <row r="918">
      <c r="A918" s="58" t="inlineStr">
        <is>
          <t>RT20250123-00917</t>
        </is>
      </c>
      <c r="B918" s="59" t="inlineStr">
        <is>
          <t>2025-01-23</t>
        </is>
      </c>
      <c r="C918" s="60" t="inlineStr">
        <is>
          <t>Orion Snack X-322</t>
        </is>
      </c>
      <c r="D918" s="58" t="inlineStr">
        <is>
          <t>Grocery</t>
        </is>
      </c>
      <c r="E918" s="58" t="inlineStr">
        <is>
          <t>South</t>
        </is>
      </c>
      <c r="F918" s="61" t="n">
        <v>5</v>
      </c>
      <c r="G918" s="62" t="n">
        <v>15.17</v>
      </c>
      <c r="H918" s="63" t="n">
        <v>0.063</v>
      </c>
      <c r="I918" s="62" t="n">
        <v>10</v>
      </c>
      <c r="J918" s="58" t="inlineStr">
        <is>
          <t>Store</t>
        </is>
      </c>
      <c r="K918" s="62">
        <f>F918*(G918-H918)</f>
        <v/>
      </c>
      <c r="L918" s="62">
        <f>K918-(F918*I918)</f>
        <v/>
      </c>
      <c r="M918" s="64">
        <f>L918/K918</f>
        <v/>
      </c>
    </row>
    <row r="919">
      <c r="A919" s="58" t="inlineStr">
        <is>
          <t>RT20250123-00918</t>
        </is>
      </c>
      <c r="B919" s="59" t="inlineStr">
        <is>
          <t>2025-01-23</t>
        </is>
      </c>
      <c r="C919" s="60" t="inlineStr">
        <is>
          <t>Aurora Wearable Lite-162</t>
        </is>
      </c>
      <c r="D919" s="58" t="inlineStr">
        <is>
          <t>Electronics</t>
        </is>
      </c>
      <c r="E919" s="58" t="inlineStr">
        <is>
          <t>East</t>
        </is>
      </c>
      <c r="F919" s="61" t="n">
        <v>1</v>
      </c>
      <c r="G919" s="62" t="n">
        <v>1492.17</v>
      </c>
      <c r="H919" s="63" t="n">
        <v>0.101</v>
      </c>
      <c r="I919" s="62" t="n">
        <v>1176.97</v>
      </c>
      <c r="J919" s="58" t="inlineStr">
        <is>
          <t>Online</t>
        </is>
      </c>
      <c r="K919" s="62">
        <f>F919*(G919-H919)</f>
        <v/>
      </c>
      <c r="L919" s="62">
        <f>K919-(F919*I919)</f>
        <v/>
      </c>
      <c r="M919" s="64">
        <f>L919/K919</f>
        <v/>
      </c>
    </row>
    <row r="920">
      <c r="A920" s="58" t="inlineStr">
        <is>
          <t>RT20250123-00919</t>
        </is>
      </c>
      <c r="B920" s="59" t="inlineStr">
        <is>
          <t>2025-01-23</t>
        </is>
      </c>
      <c r="C920" s="60" t="inlineStr">
        <is>
          <t>Orion Storage Plus-961</t>
        </is>
      </c>
      <c r="D920" s="58" t="inlineStr">
        <is>
          <t>Office</t>
        </is>
      </c>
      <c r="E920" s="58" t="inlineStr">
        <is>
          <t>West</t>
        </is>
      </c>
      <c r="F920" s="61" t="n">
        <v>2</v>
      </c>
      <c r="G920" s="62" t="n">
        <v>529.41</v>
      </c>
      <c r="H920" s="63" t="n">
        <v>0.076</v>
      </c>
      <c r="I920" s="62" t="n">
        <v>368.84</v>
      </c>
      <c r="J920" s="58" t="inlineStr">
        <is>
          <t>Online</t>
        </is>
      </c>
      <c r="K920" s="62">
        <f>F920*(G920-H920)</f>
        <v/>
      </c>
      <c r="L920" s="62">
        <f>K920-(F920*I920)</f>
        <v/>
      </c>
      <c r="M920" s="64">
        <f>L920/K920</f>
        <v/>
      </c>
    </row>
    <row r="921">
      <c r="A921" s="58" t="inlineStr">
        <is>
          <t>RT20250123-00920</t>
        </is>
      </c>
      <c r="B921" s="59" t="inlineStr">
        <is>
          <t>2025-01-23</t>
        </is>
      </c>
      <c r="C921" s="60" t="inlineStr">
        <is>
          <t>Polar Wearable X-119</t>
        </is>
      </c>
      <c r="D921" s="58" t="inlineStr">
        <is>
          <t>Electronics</t>
        </is>
      </c>
      <c r="E921" s="58" t="inlineStr">
        <is>
          <t>North</t>
        </is>
      </c>
      <c r="F921" s="61" t="n">
        <v>1</v>
      </c>
      <c r="G921" s="62" t="n">
        <v>1607.66</v>
      </c>
      <c r="H921" s="63" t="n">
        <v>0.07199999999999999</v>
      </c>
      <c r="I921" s="62" t="n">
        <v>1358.54</v>
      </c>
      <c r="J921" s="58" t="inlineStr">
        <is>
          <t>Online</t>
        </is>
      </c>
      <c r="K921" s="62">
        <f>F921*(G921-H921)</f>
        <v/>
      </c>
      <c r="L921" s="62">
        <f>K921-(F921*I921)</f>
        <v/>
      </c>
      <c r="M921" s="64">
        <f>L921/K921</f>
        <v/>
      </c>
    </row>
    <row r="922">
      <c r="A922" s="58" t="inlineStr">
        <is>
          <t>RT20250123-00921</t>
        </is>
      </c>
      <c r="B922" s="59" t="inlineStr">
        <is>
          <t>2025-01-23</t>
        </is>
      </c>
      <c r="C922" s="60" t="inlineStr">
        <is>
          <t>Aurora Skincare Max-798</t>
        </is>
      </c>
      <c r="D922" s="58" t="inlineStr">
        <is>
          <t>Beauty</t>
        </is>
      </c>
      <c r="E922" s="58" t="inlineStr">
        <is>
          <t>West</t>
        </is>
      </c>
      <c r="F922" s="61" t="n">
        <v>5</v>
      </c>
      <c r="G922" s="62" t="n">
        <v>91.81</v>
      </c>
      <c r="H922" s="63" t="n">
        <v>0.036</v>
      </c>
      <c r="I922" s="62" t="n">
        <v>68.7</v>
      </c>
      <c r="J922" s="58" t="inlineStr">
        <is>
          <t>Online</t>
        </is>
      </c>
      <c r="K922" s="62">
        <f>F922*(G922-H922)</f>
        <v/>
      </c>
      <c r="L922" s="62">
        <f>K922-(F922*I922)</f>
        <v/>
      </c>
      <c r="M922" s="64">
        <f>L922/K922</f>
        <v/>
      </c>
    </row>
    <row r="923">
      <c r="A923" s="58" t="inlineStr">
        <is>
          <t>RT20250123-00922</t>
        </is>
      </c>
      <c r="B923" s="59" t="inlineStr">
        <is>
          <t>2025-01-23</t>
        </is>
      </c>
      <c r="C923" s="60" t="inlineStr">
        <is>
          <t>Orion Fragrance Lite-785</t>
        </is>
      </c>
      <c r="D923" s="58" t="inlineStr">
        <is>
          <t>Beauty</t>
        </is>
      </c>
      <c r="E923" s="58" t="inlineStr">
        <is>
          <t>Central</t>
        </is>
      </c>
      <c r="F923" s="61" t="n">
        <v>5</v>
      </c>
      <c r="G923" s="62" t="n">
        <v>44.59</v>
      </c>
      <c r="H923" s="63" t="n">
        <v>0.094</v>
      </c>
      <c r="I923" s="62" t="n">
        <v>27.72</v>
      </c>
      <c r="J923" s="58" t="inlineStr">
        <is>
          <t>Online</t>
        </is>
      </c>
      <c r="K923" s="62">
        <f>F923*(G923-H923)</f>
        <v/>
      </c>
      <c r="L923" s="62">
        <f>K923-(F923*I923)</f>
        <v/>
      </c>
      <c r="M923" s="64">
        <f>L923/K923</f>
        <v/>
      </c>
    </row>
    <row r="924">
      <c r="A924" s="58" t="inlineStr">
        <is>
          <t>RT20250123-00923</t>
        </is>
      </c>
      <c r="B924" s="59" t="inlineStr">
        <is>
          <t>2025-01-23</t>
        </is>
      </c>
      <c r="C924" s="60" t="inlineStr">
        <is>
          <t>Nimbus Storage Plus-646</t>
        </is>
      </c>
      <c r="D924" s="58" t="inlineStr">
        <is>
          <t>Office</t>
        </is>
      </c>
      <c r="E924" s="58" t="inlineStr">
        <is>
          <t>South</t>
        </is>
      </c>
      <c r="F924" s="61" t="n">
        <v>3</v>
      </c>
      <c r="G924" s="62" t="n">
        <v>499.43</v>
      </c>
      <c r="H924" s="63" t="n">
        <v>0.03</v>
      </c>
      <c r="I924" s="62" t="n">
        <v>323.29</v>
      </c>
      <c r="J924" s="58" t="inlineStr">
        <is>
          <t>Online</t>
        </is>
      </c>
      <c r="K924" s="62">
        <f>F924*(G924-H924)</f>
        <v/>
      </c>
      <c r="L924" s="62">
        <f>K924-(F924*I924)</f>
        <v/>
      </c>
      <c r="M924" s="64">
        <f>L924/K924</f>
        <v/>
      </c>
    </row>
    <row r="925">
      <c r="A925" s="58" t="inlineStr">
        <is>
          <t>RT20250123-00924</t>
        </is>
      </c>
      <c r="B925" s="59" t="inlineStr">
        <is>
          <t>2025-01-23</t>
        </is>
      </c>
      <c r="C925" s="60" t="inlineStr">
        <is>
          <t>Aurora Bedding Max-175</t>
        </is>
      </c>
      <c r="D925" s="58" t="inlineStr">
        <is>
          <t>Home</t>
        </is>
      </c>
      <c r="E925" s="58" t="inlineStr">
        <is>
          <t>South</t>
        </is>
      </c>
      <c r="F925" s="61" t="n">
        <v>2</v>
      </c>
      <c r="G925" s="62" t="n">
        <v>583.33</v>
      </c>
      <c r="H925" s="63" t="n">
        <v>0.101</v>
      </c>
      <c r="I925" s="62" t="n">
        <v>413.53</v>
      </c>
      <c r="J925" s="58" t="inlineStr">
        <is>
          <t>Online</t>
        </is>
      </c>
      <c r="K925" s="62">
        <f>F925*(G925-H925)</f>
        <v/>
      </c>
      <c r="L925" s="62">
        <f>K925-(F925*I925)</f>
        <v/>
      </c>
      <c r="M925" s="64">
        <f>L925/K925</f>
        <v/>
      </c>
    </row>
    <row r="926">
      <c r="A926" s="58" t="inlineStr">
        <is>
          <t>RT20250123-00925</t>
        </is>
      </c>
      <c r="B926" s="59" t="inlineStr">
        <is>
          <t>2025-01-23</t>
        </is>
      </c>
      <c r="C926" s="60" t="inlineStr">
        <is>
          <t>Aurora Makeup Pro-489</t>
        </is>
      </c>
      <c r="D926" s="58" t="inlineStr">
        <is>
          <t>Beauty</t>
        </is>
      </c>
      <c r="E926" s="58" t="inlineStr">
        <is>
          <t>East</t>
        </is>
      </c>
      <c r="F926" s="61" t="n">
        <v>5</v>
      </c>
      <c r="G926" s="62" t="n">
        <v>97.54000000000001</v>
      </c>
      <c r="H926" s="63" t="n">
        <v>0.105</v>
      </c>
      <c r="I926" s="62" t="n">
        <v>64.83</v>
      </c>
      <c r="J926" s="58" t="inlineStr">
        <is>
          <t>Store</t>
        </is>
      </c>
      <c r="K926" s="62">
        <f>F926*(G926-H926)</f>
        <v/>
      </c>
      <c r="L926" s="62">
        <f>K926-(F926*I926)</f>
        <v/>
      </c>
      <c r="M926" s="64">
        <f>L926/K926</f>
        <v/>
      </c>
    </row>
    <row r="927">
      <c r="A927" s="58" t="inlineStr">
        <is>
          <t>RT20250123-00926</t>
        </is>
      </c>
      <c r="B927" s="59" t="inlineStr">
        <is>
          <t>2025-01-23</t>
        </is>
      </c>
      <c r="C927" s="60" t="inlineStr">
        <is>
          <t>Vertex Smartphone Pro-256</t>
        </is>
      </c>
      <c r="D927" s="58" t="inlineStr">
        <is>
          <t>Electronics</t>
        </is>
      </c>
      <c r="E927" s="58" t="inlineStr">
        <is>
          <t>East</t>
        </is>
      </c>
      <c r="F927" s="61" t="n">
        <v>1</v>
      </c>
      <c r="G927" s="62" t="n">
        <v>1311.3</v>
      </c>
      <c r="H927" s="63" t="n">
        <v>0.123</v>
      </c>
      <c r="I927" s="62" t="n">
        <v>935.12</v>
      </c>
      <c r="J927" s="58" t="inlineStr">
        <is>
          <t>Online</t>
        </is>
      </c>
      <c r="K927" s="62">
        <f>F927*(G927-H927)</f>
        <v/>
      </c>
      <c r="L927" s="62">
        <f>K927-(F927*I927)</f>
        <v/>
      </c>
      <c r="M927" s="64">
        <f>L927/K927</f>
        <v/>
      </c>
    </row>
    <row r="928">
      <c r="A928" s="58" t="inlineStr">
        <is>
          <t>RT20250123-00927</t>
        </is>
      </c>
      <c r="B928" s="59" t="inlineStr">
        <is>
          <t>2025-01-23</t>
        </is>
      </c>
      <c r="C928" s="60" t="inlineStr">
        <is>
          <t>Solace Headphone Pro-344</t>
        </is>
      </c>
      <c r="D928" s="58" t="inlineStr">
        <is>
          <t>Electronics</t>
        </is>
      </c>
      <c r="E928" s="58" t="inlineStr">
        <is>
          <t>North</t>
        </is>
      </c>
      <c r="F928" s="61" t="n">
        <v>1</v>
      </c>
      <c r="G928" s="62" t="n">
        <v>1492.89</v>
      </c>
      <c r="H928" s="63" t="n">
        <v>0.059</v>
      </c>
      <c r="I928" s="62" t="n">
        <v>1051.4</v>
      </c>
      <c r="J928" s="58" t="inlineStr">
        <is>
          <t>Online</t>
        </is>
      </c>
      <c r="K928" s="62">
        <f>F928*(G928-H928)</f>
        <v/>
      </c>
      <c r="L928" s="62">
        <f>K928-(F928*I928)</f>
        <v/>
      </c>
      <c r="M928" s="64">
        <f>L928/K928</f>
        <v/>
      </c>
    </row>
    <row r="929">
      <c r="A929" s="58" t="inlineStr">
        <is>
          <t>RT20250123-00928</t>
        </is>
      </c>
      <c r="B929" s="59" t="inlineStr">
        <is>
          <t>2025-01-23</t>
        </is>
      </c>
      <c r="C929" s="60" t="inlineStr">
        <is>
          <t>Aurora Storage Lite-774</t>
        </is>
      </c>
      <c r="D929" s="58" t="inlineStr">
        <is>
          <t>Office</t>
        </is>
      </c>
      <c r="E929" s="58" t="inlineStr">
        <is>
          <t>South</t>
        </is>
      </c>
      <c r="F929" s="61" t="n">
        <v>3</v>
      </c>
      <c r="G929" s="62" t="n">
        <v>329.64</v>
      </c>
      <c r="H929" s="63" t="n">
        <v>0.08599999999999999</v>
      </c>
      <c r="I929" s="62" t="n">
        <v>240.67</v>
      </c>
      <c r="J929" s="58" t="inlineStr">
        <is>
          <t>Online</t>
        </is>
      </c>
      <c r="K929" s="62">
        <f>F929*(G929-H929)</f>
        <v/>
      </c>
      <c r="L929" s="62">
        <f>K929-(F929*I929)</f>
        <v/>
      </c>
      <c r="M929" s="64">
        <f>L929/K929</f>
        <v/>
      </c>
    </row>
    <row r="930">
      <c r="A930" s="58" t="inlineStr">
        <is>
          <t>RT20250123-00929</t>
        </is>
      </c>
      <c r="B930" s="59" t="inlineStr">
        <is>
          <t>2025-01-23</t>
        </is>
      </c>
      <c r="C930" s="60" t="inlineStr">
        <is>
          <t>Vertex Headphone Pro-801</t>
        </is>
      </c>
      <c r="D930" s="58" t="inlineStr">
        <is>
          <t>Electronics</t>
        </is>
      </c>
      <c r="E930" s="58" t="inlineStr">
        <is>
          <t>East</t>
        </is>
      </c>
      <c r="F930" s="61" t="n">
        <v>1</v>
      </c>
      <c r="G930" s="62" t="n">
        <v>1180.46</v>
      </c>
      <c r="H930" s="63" t="n">
        <v>0.081</v>
      </c>
      <c r="I930" s="62" t="n">
        <v>975.36</v>
      </c>
      <c r="J930" s="58" t="inlineStr">
        <is>
          <t>Store</t>
        </is>
      </c>
      <c r="K930" s="62">
        <f>F930*(G930-H930)</f>
        <v/>
      </c>
      <c r="L930" s="62">
        <f>K930-(F930*I930)</f>
        <v/>
      </c>
      <c r="M930" s="64">
        <f>L930/K930</f>
        <v/>
      </c>
    </row>
    <row r="931">
      <c r="A931" s="58" t="inlineStr">
        <is>
          <t>RT20250123-00930</t>
        </is>
      </c>
      <c r="B931" s="59" t="inlineStr">
        <is>
          <t>2025-01-23</t>
        </is>
      </c>
      <c r="C931" s="60" t="inlineStr">
        <is>
          <t>Falcon Headphone Plus-789</t>
        </is>
      </c>
      <c r="D931" s="58" t="inlineStr">
        <is>
          <t>Electronics</t>
        </is>
      </c>
      <c r="E931" s="58" t="inlineStr">
        <is>
          <t>West</t>
        </is>
      </c>
      <c r="F931" s="61" t="n">
        <v>2</v>
      </c>
      <c r="G931" s="62" t="n">
        <v>1893.52</v>
      </c>
      <c r="H931" s="63" t="n">
        <v>0.044</v>
      </c>
      <c r="I931" s="62" t="n">
        <v>1308.88</v>
      </c>
      <c r="J931" s="58" t="inlineStr">
        <is>
          <t>Store</t>
        </is>
      </c>
      <c r="K931" s="62">
        <f>F931*(G931-H931)</f>
        <v/>
      </c>
      <c r="L931" s="62">
        <f>K931-(F931*I931)</f>
        <v/>
      </c>
      <c r="M931" s="64">
        <f>L931/K931</f>
        <v/>
      </c>
    </row>
    <row r="932">
      <c r="A932" s="58" t="inlineStr">
        <is>
          <t>RT20250123-00931</t>
        </is>
      </c>
      <c r="B932" s="59" t="inlineStr">
        <is>
          <t>2025-01-23</t>
        </is>
      </c>
      <c r="C932" s="60" t="inlineStr">
        <is>
          <t>Solace Fitnes S-324</t>
        </is>
      </c>
      <c r="D932" s="58" t="inlineStr">
        <is>
          <t>Sports</t>
        </is>
      </c>
      <c r="E932" s="58" t="inlineStr">
        <is>
          <t>East</t>
        </is>
      </c>
      <c r="F932" s="61" t="n">
        <v>2</v>
      </c>
      <c r="G932" s="62" t="n">
        <v>719.51</v>
      </c>
      <c r="H932" s="63" t="n">
        <v>0.005</v>
      </c>
      <c r="I932" s="62" t="n">
        <v>519.99</v>
      </c>
      <c r="J932" s="58" t="inlineStr">
        <is>
          <t>Phone</t>
        </is>
      </c>
      <c r="K932" s="62">
        <f>F932*(G932-H932)</f>
        <v/>
      </c>
      <c r="L932" s="62">
        <f>K932-(F932*I932)</f>
        <v/>
      </c>
      <c r="M932" s="64">
        <f>L932/K932</f>
        <v/>
      </c>
    </row>
    <row r="933">
      <c r="A933" s="58" t="inlineStr">
        <is>
          <t>RT20250123-00932</t>
        </is>
      </c>
      <c r="B933" s="59" t="inlineStr">
        <is>
          <t>2025-01-23</t>
        </is>
      </c>
      <c r="C933" s="60" t="inlineStr">
        <is>
          <t>Metro Pantry X-710</t>
        </is>
      </c>
      <c r="D933" s="58" t="inlineStr">
        <is>
          <t>Grocery</t>
        </is>
      </c>
      <c r="E933" s="58" t="inlineStr">
        <is>
          <t>Central</t>
        </is>
      </c>
      <c r="F933" s="61" t="n">
        <v>3</v>
      </c>
      <c r="G933" s="62" t="n">
        <v>5.55</v>
      </c>
      <c r="H933" s="63" t="n">
        <v>0.079</v>
      </c>
      <c r="I933" s="62" t="n">
        <v>4.28</v>
      </c>
      <c r="J933" s="58" t="inlineStr">
        <is>
          <t>Online</t>
        </is>
      </c>
      <c r="K933" s="62">
        <f>F933*(G933-H933)</f>
        <v/>
      </c>
      <c r="L933" s="62">
        <f>K933-(F933*I933)</f>
        <v/>
      </c>
      <c r="M933" s="64">
        <f>L933/K933</f>
        <v/>
      </c>
    </row>
    <row r="934">
      <c r="A934" s="58" t="inlineStr">
        <is>
          <t>RT20250123-00933</t>
        </is>
      </c>
      <c r="B934" s="59" t="inlineStr">
        <is>
          <t>2025-01-23</t>
        </is>
      </c>
      <c r="C934" s="60" t="inlineStr">
        <is>
          <t>Falcon Team Sport Lite-268</t>
        </is>
      </c>
      <c r="D934" s="58" t="inlineStr">
        <is>
          <t>Sports</t>
        </is>
      </c>
      <c r="E934" s="58" t="inlineStr">
        <is>
          <t>West</t>
        </is>
      </c>
      <c r="F934" s="61" t="n">
        <v>1</v>
      </c>
      <c r="G934" s="62" t="n">
        <v>650.49</v>
      </c>
      <c r="H934" s="63" t="n">
        <v>0.067</v>
      </c>
      <c r="I934" s="62" t="n">
        <v>432.94</v>
      </c>
      <c r="J934" s="58" t="inlineStr">
        <is>
          <t>Online</t>
        </is>
      </c>
      <c r="K934" s="62">
        <f>F934*(G934-H934)</f>
        <v/>
      </c>
      <c r="L934" s="62">
        <f>K934-(F934*I934)</f>
        <v/>
      </c>
      <c r="M934" s="64">
        <f>L934/K934</f>
        <v/>
      </c>
    </row>
    <row r="935">
      <c r="A935" s="58" t="inlineStr">
        <is>
          <t>RT20250123-00934</t>
        </is>
      </c>
      <c r="B935" s="59" t="inlineStr">
        <is>
          <t>2025-01-23</t>
        </is>
      </c>
      <c r="C935" s="60" t="inlineStr">
        <is>
          <t>Aurora Wearable Lite-162</t>
        </is>
      </c>
      <c r="D935" s="58" t="inlineStr">
        <is>
          <t>Electronics</t>
        </is>
      </c>
      <c r="E935" s="58" t="inlineStr">
        <is>
          <t>West</t>
        </is>
      </c>
      <c r="F935" s="61" t="n">
        <v>1</v>
      </c>
      <c r="G935" s="62" t="n">
        <v>1467.64</v>
      </c>
      <c r="H935" s="63" t="n">
        <v>0.083</v>
      </c>
      <c r="I935" s="62" t="n">
        <v>1197.42</v>
      </c>
      <c r="J935" s="58" t="inlineStr">
        <is>
          <t>Store</t>
        </is>
      </c>
      <c r="K935" s="62">
        <f>F935*(G935-H935)</f>
        <v/>
      </c>
      <c r="L935" s="62">
        <f>K935-(F935*I935)</f>
        <v/>
      </c>
      <c r="M935" s="64">
        <f>L935/K935</f>
        <v/>
      </c>
    </row>
    <row r="936">
      <c r="A936" s="58" t="inlineStr">
        <is>
          <t>RT20250123-00935</t>
        </is>
      </c>
      <c r="B936" s="59" t="inlineStr">
        <is>
          <t>2025-01-23</t>
        </is>
      </c>
      <c r="C936" s="60" t="inlineStr">
        <is>
          <t>Aurora Skincare Max-798</t>
        </is>
      </c>
      <c r="D936" s="58" t="inlineStr">
        <is>
          <t>Beauty</t>
        </is>
      </c>
      <c r="E936" s="58" t="inlineStr">
        <is>
          <t>North</t>
        </is>
      </c>
      <c r="F936" s="61" t="n">
        <v>4</v>
      </c>
      <c r="G936" s="62" t="n">
        <v>99.56</v>
      </c>
      <c r="H936" s="63" t="n">
        <v>0.067</v>
      </c>
      <c r="I936" s="62" t="n">
        <v>69.14</v>
      </c>
      <c r="J936" s="58" t="inlineStr">
        <is>
          <t>Online</t>
        </is>
      </c>
      <c r="K936" s="62">
        <f>F936*(G936-H936)</f>
        <v/>
      </c>
      <c r="L936" s="62">
        <f>K936-(F936*I936)</f>
        <v/>
      </c>
      <c r="M936" s="64">
        <f>L936/K936</f>
        <v/>
      </c>
    </row>
    <row r="937">
      <c r="A937" s="58" t="inlineStr">
        <is>
          <t>RT20250123-00936</t>
        </is>
      </c>
      <c r="B937" s="59" t="inlineStr">
        <is>
          <t>2025-01-23</t>
        </is>
      </c>
      <c r="C937" s="60" t="inlineStr">
        <is>
          <t>Vertex Men X-995</t>
        </is>
      </c>
      <c r="D937" s="58" t="inlineStr">
        <is>
          <t>Apparel</t>
        </is>
      </c>
      <c r="E937" s="58" t="inlineStr">
        <is>
          <t>South</t>
        </is>
      </c>
      <c r="F937" s="61" t="n">
        <v>3</v>
      </c>
      <c r="G937" s="62" t="n">
        <v>98.7</v>
      </c>
      <c r="H937" s="63" t="n">
        <v>0.073</v>
      </c>
      <c r="I937" s="62" t="n">
        <v>58.94</v>
      </c>
      <c r="J937" s="58" t="inlineStr">
        <is>
          <t>Store</t>
        </is>
      </c>
      <c r="K937" s="62">
        <f>F937*(G937-H937)</f>
        <v/>
      </c>
      <c r="L937" s="62">
        <f>K937-(F937*I937)</f>
        <v/>
      </c>
      <c r="M937" s="64">
        <f>L937/K937</f>
        <v/>
      </c>
    </row>
    <row r="938">
      <c r="A938" s="58" t="inlineStr">
        <is>
          <t>RT20250123-00937</t>
        </is>
      </c>
      <c r="B938" s="59" t="inlineStr">
        <is>
          <t>2025-01-23</t>
        </is>
      </c>
      <c r="C938" s="60" t="inlineStr">
        <is>
          <t>Vertex Pantry Pro-165</t>
        </is>
      </c>
      <c r="D938" s="58" t="inlineStr">
        <is>
          <t>Grocery</t>
        </is>
      </c>
      <c r="E938" s="58" t="inlineStr">
        <is>
          <t>West</t>
        </is>
      </c>
      <c r="F938" s="61" t="n">
        <v>1</v>
      </c>
      <c r="G938" s="62" t="n">
        <v>17.36</v>
      </c>
      <c r="H938" s="63" t="n">
        <v>0.032</v>
      </c>
      <c r="I938" s="62" t="n">
        <v>11.93</v>
      </c>
      <c r="J938" s="58" t="inlineStr">
        <is>
          <t>Phone</t>
        </is>
      </c>
      <c r="K938" s="62">
        <f>F938*(G938-H938)</f>
        <v/>
      </c>
      <c r="L938" s="62">
        <f>K938-(F938*I938)</f>
        <v/>
      </c>
      <c r="M938" s="64">
        <f>L938/K938</f>
        <v/>
      </c>
    </row>
    <row r="939">
      <c r="A939" s="58" t="inlineStr">
        <is>
          <t>RT20250123-00938</t>
        </is>
      </c>
      <c r="B939" s="59" t="inlineStr">
        <is>
          <t>2025-01-23</t>
        </is>
      </c>
      <c r="C939" s="60" t="inlineStr">
        <is>
          <t>Falcon Household Pro-865</t>
        </is>
      </c>
      <c r="D939" s="58" t="inlineStr">
        <is>
          <t>Grocery</t>
        </is>
      </c>
      <c r="E939" s="58" t="inlineStr">
        <is>
          <t>South</t>
        </is>
      </c>
      <c r="F939" s="61" t="n">
        <v>7</v>
      </c>
      <c r="G939" s="62" t="n">
        <v>10.29</v>
      </c>
      <c r="H939" s="63" t="n">
        <v>0.026</v>
      </c>
      <c r="I939" s="62" t="n">
        <v>7.69</v>
      </c>
      <c r="J939" s="58" t="inlineStr">
        <is>
          <t>Store</t>
        </is>
      </c>
      <c r="K939" s="62">
        <f>F939*(G939-H939)</f>
        <v/>
      </c>
      <c r="L939" s="62">
        <f>K939-(F939*I939)</f>
        <v/>
      </c>
      <c r="M939" s="64">
        <f>L939/K939</f>
        <v/>
      </c>
    </row>
    <row r="940">
      <c r="A940" s="58" t="inlineStr">
        <is>
          <t>RT20250123-00939</t>
        </is>
      </c>
      <c r="B940" s="59" t="inlineStr">
        <is>
          <t>2025-01-23</t>
        </is>
      </c>
      <c r="C940" s="60" t="inlineStr">
        <is>
          <t>Vertex Skincare Pro-891</t>
        </is>
      </c>
      <c r="D940" s="58" t="inlineStr">
        <is>
          <t>Beauty</t>
        </is>
      </c>
      <c r="E940" s="58" t="inlineStr">
        <is>
          <t>South</t>
        </is>
      </c>
      <c r="F940" s="61" t="n">
        <v>2</v>
      </c>
      <c r="G940" s="62" t="n">
        <v>121.32</v>
      </c>
      <c r="H940" s="63" t="n">
        <v>0.077</v>
      </c>
      <c r="I940" s="62" t="n">
        <v>86.66</v>
      </c>
      <c r="J940" s="58" t="inlineStr">
        <is>
          <t>Online</t>
        </is>
      </c>
      <c r="K940" s="62">
        <f>F940*(G940-H940)</f>
        <v/>
      </c>
      <c r="L940" s="62">
        <f>K940-(F940*I940)</f>
        <v/>
      </c>
      <c r="M940" s="64">
        <f>L940/K940</f>
        <v/>
      </c>
    </row>
    <row r="941">
      <c r="A941" s="58" t="inlineStr">
        <is>
          <t>RT20250123-00940</t>
        </is>
      </c>
      <c r="B941" s="59" t="inlineStr">
        <is>
          <t>2025-01-23</t>
        </is>
      </c>
      <c r="C941" s="60" t="inlineStr">
        <is>
          <t>Metro Wearable Plus-234</t>
        </is>
      </c>
      <c r="D941" s="58" t="inlineStr">
        <is>
          <t>Electronics</t>
        </is>
      </c>
      <c r="E941" s="58" t="inlineStr">
        <is>
          <t>South</t>
        </is>
      </c>
      <c r="F941" s="61" t="n">
        <v>2</v>
      </c>
      <c r="G941" s="62" t="n">
        <v>1454.4</v>
      </c>
      <c r="H941" s="63" t="n">
        <v>0.038</v>
      </c>
      <c r="I941" s="62" t="n">
        <v>1158.85</v>
      </c>
      <c r="J941" s="58" t="inlineStr">
        <is>
          <t>Store</t>
        </is>
      </c>
      <c r="K941" s="62">
        <f>F941*(G941-H941)</f>
        <v/>
      </c>
      <c r="L941" s="62">
        <f>K941-(F941*I941)</f>
        <v/>
      </c>
      <c r="M941" s="64">
        <f>L941/K941</f>
        <v/>
      </c>
    </row>
    <row r="942">
      <c r="A942" s="58" t="inlineStr">
        <is>
          <t>RT20250123-00941</t>
        </is>
      </c>
      <c r="B942" s="59" t="inlineStr">
        <is>
          <t>2025-01-23</t>
        </is>
      </c>
      <c r="C942" s="60" t="inlineStr">
        <is>
          <t>Orion Team Sport X-926</t>
        </is>
      </c>
      <c r="D942" s="58" t="inlineStr">
        <is>
          <t>Sports</t>
        </is>
      </c>
      <c r="E942" s="58" t="inlineStr">
        <is>
          <t>Central</t>
        </is>
      </c>
      <c r="F942" s="61" t="n">
        <v>3</v>
      </c>
      <c r="G942" s="62" t="n">
        <v>282.75</v>
      </c>
      <c r="H942" s="63" t="n">
        <v>0.048</v>
      </c>
      <c r="I942" s="62" t="n">
        <v>217.04</v>
      </c>
      <c r="J942" s="58" t="inlineStr">
        <is>
          <t>Online</t>
        </is>
      </c>
      <c r="K942" s="62">
        <f>F942*(G942-H942)</f>
        <v/>
      </c>
      <c r="L942" s="62">
        <f>K942-(F942*I942)</f>
        <v/>
      </c>
      <c r="M942" s="64">
        <f>L942/K942</f>
        <v/>
      </c>
    </row>
    <row r="943">
      <c r="A943" s="58" t="inlineStr">
        <is>
          <t>RT20250123-00942</t>
        </is>
      </c>
      <c r="B943" s="59" t="inlineStr">
        <is>
          <t>2025-01-23</t>
        </is>
      </c>
      <c r="C943" s="60" t="inlineStr">
        <is>
          <t>Vertex Furniture S-652</t>
        </is>
      </c>
      <c r="D943" s="58" t="inlineStr">
        <is>
          <t>Office</t>
        </is>
      </c>
      <c r="E943" s="58" t="inlineStr">
        <is>
          <t>South</t>
        </is>
      </c>
      <c r="F943" s="61" t="n">
        <v>3</v>
      </c>
      <c r="G943" s="62" t="n">
        <v>404.01</v>
      </c>
      <c r="H943" s="63" t="n">
        <v>0.129</v>
      </c>
      <c r="I943" s="62" t="n">
        <v>264.4</v>
      </c>
      <c r="J943" s="58" t="inlineStr">
        <is>
          <t>Store</t>
        </is>
      </c>
      <c r="K943" s="62">
        <f>F943*(G943-H943)</f>
        <v/>
      </c>
      <c r="L943" s="62">
        <f>K943-(F943*I943)</f>
        <v/>
      </c>
      <c r="M943" s="64">
        <f>L943/K943</f>
        <v/>
      </c>
    </row>
    <row r="944">
      <c r="A944" s="58" t="inlineStr">
        <is>
          <t>RT20250123-00943</t>
        </is>
      </c>
      <c r="B944" s="59" t="inlineStr">
        <is>
          <t>2025-01-23</t>
        </is>
      </c>
      <c r="C944" s="60" t="inlineStr">
        <is>
          <t>Orion Laptop S-350</t>
        </is>
      </c>
      <c r="D944" s="58" t="inlineStr">
        <is>
          <t>Electronics</t>
        </is>
      </c>
      <c r="E944" s="58" t="inlineStr">
        <is>
          <t>West</t>
        </is>
      </c>
      <c r="F944" s="61" t="n">
        <v>1</v>
      </c>
      <c r="G944" s="62" t="n">
        <v>1212.27</v>
      </c>
      <c r="H944" s="63" t="n">
        <v>0.031</v>
      </c>
      <c r="I944" s="62" t="n">
        <v>1057.87</v>
      </c>
      <c r="J944" s="58" t="inlineStr">
        <is>
          <t>Online</t>
        </is>
      </c>
      <c r="K944" s="62">
        <f>F944*(G944-H944)</f>
        <v/>
      </c>
      <c r="L944" s="62">
        <f>K944-(F944*I944)</f>
        <v/>
      </c>
      <c r="M944" s="64">
        <f>L944/K944</f>
        <v/>
      </c>
    </row>
    <row r="945">
      <c r="A945" s="58" t="inlineStr">
        <is>
          <t>RT20250123-00944</t>
        </is>
      </c>
      <c r="B945" s="59" t="inlineStr">
        <is>
          <t>2025-01-23</t>
        </is>
      </c>
      <c r="C945" s="60" t="inlineStr">
        <is>
          <t>Falcon Storage X-734</t>
        </is>
      </c>
      <c r="D945" s="58" t="inlineStr">
        <is>
          <t>Office</t>
        </is>
      </c>
      <c r="E945" s="58" t="inlineStr">
        <is>
          <t>Central</t>
        </is>
      </c>
      <c r="F945" s="61" t="n">
        <v>3</v>
      </c>
      <c r="G945" s="62" t="n">
        <v>418.98</v>
      </c>
      <c r="H945" s="63" t="n">
        <v>0.07000000000000001</v>
      </c>
      <c r="I945" s="62" t="n">
        <v>287.07</v>
      </c>
      <c r="J945" s="58" t="inlineStr">
        <is>
          <t>Online</t>
        </is>
      </c>
      <c r="K945" s="62">
        <f>F945*(G945-H945)</f>
        <v/>
      </c>
      <c r="L945" s="62">
        <f>K945-(F945*I945)</f>
        <v/>
      </c>
      <c r="M945" s="64">
        <f>L945/K945</f>
        <v/>
      </c>
    </row>
    <row r="946">
      <c r="A946" s="58" t="inlineStr">
        <is>
          <t>RT20250123-00945</t>
        </is>
      </c>
      <c r="B946" s="59" t="inlineStr">
        <is>
          <t>2025-01-23</t>
        </is>
      </c>
      <c r="C946" s="60" t="inlineStr">
        <is>
          <t>Falcon Team Sport Lite-268</t>
        </is>
      </c>
      <c r="D946" s="58" t="inlineStr">
        <is>
          <t>Sports</t>
        </is>
      </c>
      <c r="E946" s="58" t="inlineStr">
        <is>
          <t>South</t>
        </is>
      </c>
      <c r="F946" s="61" t="n">
        <v>1</v>
      </c>
      <c r="G946" s="62" t="n">
        <v>634.34</v>
      </c>
      <c r="H946" s="63" t="n">
        <v>0.121</v>
      </c>
      <c r="I946" s="62" t="n">
        <v>441.13</v>
      </c>
      <c r="J946" s="58" t="inlineStr">
        <is>
          <t>Online</t>
        </is>
      </c>
      <c r="K946" s="62">
        <f>F946*(G946-H946)</f>
        <v/>
      </c>
      <c r="L946" s="62">
        <f>K946-(F946*I946)</f>
        <v/>
      </c>
      <c r="M946" s="64">
        <f>L946/K946</f>
        <v/>
      </c>
    </row>
    <row r="947">
      <c r="A947" s="58" t="inlineStr">
        <is>
          <t>RT20250123-00946</t>
        </is>
      </c>
      <c r="B947" s="59" t="inlineStr">
        <is>
          <t>2025-01-23</t>
        </is>
      </c>
      <c r="C947" s="60" t="inlineStr">
        <is>
          <t>Vertex Decor Pro-618</t>
        </is>
      </c>
      <c r="D947" s="58" t="inlineStr">
        <is>
          <t>Home</t>
        </is>
      </c>
      <c r="E947" s="58" t="inlineStr">
        <is>
          <t>East</t>
        </is>
      </c>
      <c r="F947" s="61" t="n">
        <v>1</v>
      </c>
      <c r="G947" s="62" t="n">
        <v>544.46</v>
      </c>
      <c r="H947" s="63" t="n">
        <v>0.037</v>
      </c>
      <c r="I947" s="62" t="n">
        <v>379.75</v>
      </c>
      <c r="J947" s="58" t="inlineStr">
        <is>
          <t>Online</t>
        </is>
      </c>
      <c r="K947" s="62">
        <f>F947*(G947-H947)</f>
        <v/>
      </c>
      <c r="L947" s="62">
        <f>K947-(F947*I947)</f>
        <v/>
      </c>
      <c r="M947" s="64">
        <f>L947/K947</f>
        <v/>
      </c>
    </row>
    <row r="948">
      <c r="A948" s="58" t="inlineStr">
        <is>
          <t>RT20250123-00947</t>
        </is>
      </c>
      <c r="B948" s="59" t="inlineStr">
        <is>
          <t>2025-01-23</t>
        </is>
      </c>
      <c r="C948" s="60" t="inlineStr">
        <is>
          <t>Aurora Makeup Pro-489</t>
        </is>
      </c>
      <c r="D948" s="58" t="inlineStr">
        <is>
          <t>Beauty</t>
        </is>
      </c>
      <c r="E948" s="58" t="inlineStr">
        <is>
          <t>South</t>
        </is>
      </c>
      <c r="F948" s="61" t="n">
        <v>5</v>
      </c>
      <c r="G948" s="62" t="n">
        <v>113.92</v>
      </c>
      <c r="H948" s="63" t="n">
        <v>0.055</v>
      </c>
      <c r="I948" s="62" t="n">
        <v>62.25</v>
      </c>
      <c r="J948" s="58" t="inlineStr">
        <is>
          <t>Store</t>
        </is>
      </c>
      <c r="K948" s="62">
        <f>F948*(G948-H948)</f>
        <v/>
      </c>
      <c r="L948" s="62">
        <f>K948-(F948*I948)</f>
        <v/>
      </c>
      <c r="M948" s="64">
        <f>L948/K948</f>
        <v/>
      </c>
    </row>
    <row r="949">
      <c r="A949" s="58" t="inlineStr">
        <is>
          <t>RT20250123-00948</t>
        </is>
      </c>
      <c r="B949" s="59" t="inlineStr">
        <is>
          <t>2025-01-23</t>
        </is>
      </c>
      <c r="C949" s="60" t="inlineStr">
        <is>
          <t>Aurora Bedding Max-175</t>
        </is>
      </c>
      <c r="D949" s="58" t="inlineStr">
        <is>
          <t>Home</t>
        </is>
      </c>
      <c r="E949" s="58" t="inlineStr">
        <is>
          <t>South</t>
        </is>
      </c>
      <c r="F949" s="61" t="n">
        <v>3</v>
      </c>
      <c r="G949" s="62" t="n">
        <v>612.23</v>
      </c>
      <c r="H949" s="63" t="n">
        <v>0.03</v>
      </c>
      <c r="I949" s="62" t="n">
        <v>408.96</v>
      </c>
      <c r="J949" s="58" t="inlineStr">
        <is>
          <t>Online</t>
        </is>
      </c>
      <c r="K949" s="62">
        <f>F949*(G949-H949)</f>
        <v/>
      </c>
      <c r="L949" s="62">
        <f>K949-(F949*I949)</f>
        <v/>
      </c>
      <c r="M949" s="64">
        <f>L949/K949</f>
        <v/>
      </c>
    </row>
    <row r="950">
      <c r="A950" s="58" t="inlineStr">
        <is>
          <t>RT20250124-00949</t>
        </is>
      </c>
      <c r="B950" s="59" t="inlineStr">
        <is>
          <t>2025-01-24</t>
        </is>
      </c>
      <c r="C950" s="60" t="inlineStr">
        <is>
          <t>Aurora Fitnes Lite-194</t>
        </is>
      </c>
      <c r="D950" s="58" t="inlineStr">
        <is>
          <t>Sports</t>
        </is>
      </c>
      <c r="E950" s="58" t="inlineStr">
        <is>
          <t>Central</t>
        </is>
      </c>
      <c r="F950" s="61" t="n">
        <v>2</v>
      </c>
      <c r="G950" s="62" t="n">
        <v>650.0599999999999</v>
      </c>
      <c r="H950" s="63" t="n">
        <v>0.07099999999999999</v>
      </c>
      <c r="I950" s="62" t="n">
        <v>464.25</v>
      </c>
      <c r="J950" s="58" t="inlineStr">
        <is>
          <t>Store</t>
        </is>
      </c>
      <c r="K950" s="62">
        <f>F950*(G950-H950)</f>
        <v/>
      </c>
      <c r="L950" s="62">
        <f>K950-(F950*I950)</f>
        <v/>
      </c>
      <c r="M950" s="64">
        <f>L950/K950</f>
        <v/>
      </c>
    </row>
    <row r="951">
      <c r="A951" s="58" t="inlineStr">
        <is>
          <t>RT20250124-00950</t>
        </is>
      </c>
      <c r="B951" s="59" t="inlineStr">
        <is>
          <t>2025-01-24</t>
        </is>
      </c>
      <c r="C951" s="60" t="inlineStr">
        <is>
          <t>Nimbus Laptop Max-652</t>
        </is>
      </c>
      <c r="D951" s="58" t="inlineStr">
        <is>
          <t>Electronics</t>
        </is>
      </c>
      <c r="E951" s="58" t="inlineStr">
        <is>
          <t>Central</t>
        </is>
      </c>
      <c r="F951" s="61" t="n">
        <v>1</v>
      </c>
      <c r="G951" s="62" t="n">
        <v>1484.48</v>
      </c>
      <c r="H951" s="63" t="n">
        <v>0.032</v>
      </c>
      <c r="I951" s="62" t="n">
        <v>1027.4</v>
      </c>
      <c r="J951" s="58" t="inlineStr">
        <is>
          <t>Online</t>
        </is>
      </c>
      <c r="K951" s="62">
        <f>F951*(G951-H951)</f>
        <v/>
      </c>
      <c r="L951" s="62">
        <f>K951-(F951*I951)</f>
        <v/>
      </c>
      <c r="M951" s="64">
        <f>L951/K951</f>
        <v/>
      </c>
    </row>
    <row r="952">
      <c r="A952" s="58" t="inlineStr">
        <is>
          <t>RT20250124-00951</t>
        </is>
      </c>
      <c r="B952" s="59" t="inlineStr">
        <is>
          <t>2025-01-24</t>
        </is>
      </c>
      <c r="C952" s="60" t="inlineStr">
        <is>
          <t>Metro Printer X-294</t>
        </is>
      </c>
      <c r="D952" s="58" t="inlineStr">
        <is>
          <t>Office</t>
        </is>
      </c>
      <c r="E952" s="58" t="inlineStr">
        <is>
          <t>West</t>
        </is>
      </c>
      <c r="F952" s="61" t="n">
        <v>2</v>
      </c>
      <c r="G952" s="62" t="n">
        <v>527.16</v>
      </c>
      <c r="H952" s="63" t="n">
        <v>0.041</v>
      </c>
      <c r="I952" s="62" t="n">
        <v>417.36</v>
      </c>
      <c r="J952" s="58" t="inlineStr">
        <is>
          <t>Store</t>
        </is>
      </c>
      <c r="K952" s="62">
        <f>F952*(G952-H952)</f>
        <v/>
      </c>
      <c r="L952" s="62">
        <f>K952-(F952*I952)</f>
        <v/>
      </c>
      <c r="M952" s="64">
        <f>L952/K952</f>
        <v/>
      </c>
    </row>
    <row r="953">
      <c r="A953" s="58" t="inlineStr">
        <is>
          <t>RT20250124-00952</t>
        </is>
      </c>
      <c r="B953" s="59" t="inlineStr">
        <is>
          <t>2025-01-24</t>
        </is>
      </c>
      <c r="C953" s="60" t="inlineStr">
        <is>
          <t>Polar Cycling X-649</t>
        </is>
      </c>
      <c r="D953" s="58" t="inlineStr">
        <is>
          <t>Sports</t>
        </is>
      </c>
      <c r="E953" s="58" t="inlineStr">
        <is>
          <t>North</t>
        </is>
      </c>
      <c r="F953" s="61" t="n">
        <v>1</v>
      </c>
      <c r="G953" s="62" t="n">
        <v>611.2</v>
      </c>
      <c r="H953" s="63" t="n">
        <v>0.039</v>
      </c>
      <c r="I953" s="62" t="n">
        <v>353.43</v>
      </c>
      <c r="J953" s="58" t="inlineStr">
        <is>
          <t>Store</t>
        </is>
      </c>
      <c r="K953" s="62">
        <f>F953*(G953-H953)</f>
        <v/>
      </c>
      <c r="L953" s="62">
        <f>K953-(F953*I953)</f>
        <v/>
      </c>
      <c r="M953" s="64">
        <f>L953/K953</f>
        <v/>
      </c>
    </row>
    <row r="954">
      <c r="A954" s="58" t="inlineStr">
        <is>
          <t>RT20250124-00953</t>
        </is>
      </c>
      <c r="B954" s="59" t="inlineStr">
        <is>
          <t>2025-01-24</t>
        </is>
      </c>
      <c r="C954" s="60" t="inlineStr">
        <is>
          <t>Aurora Printer Plus-991</t>
        </is>
      </c>
      <c r="D954" s="58" t="inlineStr">
        <is>
          <t>Office</t>
        </is>
      </c>
      <c r="E954" s="58" t="inlineStr">
        <is>
          <t>East</t>
        </is>
      </c>
      <c r="F954" s="61" t="n">
        <v>2</v>
      </c>
      <c r="G954" s="62" t="n">
        <v>479.88</v>
      </c>
      <c r="H954" s="63" t="n">
        <v>0.025</v>
      </c>
      <c r="I954" s="62" t="n">
        <v>381.79</v>
      </c>
      <c r="J954" s="58" t="inlineStr">
        <is>
          <t>Store</t>
        </is>
      </c>
      <c r="K954" s="62">
        <f>F954*(G954-H954)</f>
        <v/>
      </c>
      <c r="L954" s="62">
        <f>K954-(F954*I954)</f>
        <v/>
      </c>
      <c r="M954" s="64">
        <f>L954/K954</f>
        <v/>
      </c>
    </row>
    <row r="955">
      <c r="A955" s="58" t="inlineStr">
        <is>
          <t>RT20250124-00954</t>
        </is>
      </c>
      <c r="B955" s="59" t="inlineStr">
        <is>
          <t>2025-01-24</t>
        </is>
      </c>
      <c r="C955" s="60" t="inlineStr">
        <is>
          <t>Vertex Printer Max-692</t>
        </is>
      </c>
      <c r="D955" s="58" t="inlineStr">
        <is>
          <t>Office</t>
        </is>
      </c>
      <c r="E955" s="58" t="inlineStr">
        <is>
          <t>West</t>
        </is>
      </c>
      <c r="F955" s="61" t="n">
        <v>2</v>
      </c>
      <c r="G955" s="62" t="n">
        <v>166.45</v>
      </c>
      <c r="H955" s="63" t="n">
        <v>0.046</v>
      </c>
      <c r="I955" s="62" t="n">
        <v>124.43</v>
      </c>
      <c r="J955" s="58" t="inlineStr">
        <is>
          <t>Online</t>
        </is>
      </c>
      <c r="K955" s="62">
        <f>F955*(G955-H955)</f>
        <v/>
      </c>
      <c r="L955" s="62">
        <f>K955-(F955*I955)</f>
        <v/>
      </c>
      <c r="M955" s="64">
        <f>L955/K955</f>
        <v/>
      </c>
    </row>
    <row r="956">
      <c r="A956" s="58" t="inlineStr">
        <is>
          <t>RT20250124-00955</t>
        </is>
      </c>
      <c r="B956" s="59" t="inlineStr">
        <is>
          <t>2025-01-24</t>
        </is>
      </c>
      <c r="C956" s="60" t="inlineStr">
        <is>
          <t>Metro Wearable Plus-234</t>
        </is>
      </c>
      <c r="D956" s="58" t="inlineStr">
        <is>
          <t>Electronics</t>
        </is>
      </c>
      <c r="E956" s="58" t="inlineStr">
        <is>
          <t>East</t>
        </is>
      </c>
      <c r="F956" s="61" t="n">
        <v>1</v>
      </c>
      <c r="G956" s="62" t="n">
        <v>1439.77</v>
      </c>
      <c r="H956" s="63" t="n">
        <v>0.082</v>
      </c>
      <c r="I956" s="62" t="n">
        <v>1156.02</v>
      </c>
      <c r="J956" s="58" t="inlineStr">
        <is>
          <t>Online</t>
        </is>
      </c>
      <c r="K956" s="62">
        <f>F956*(G956-H956)</f>
        <v/>
      </c>
      <c r="L956" s="62">
        <f>K956-(F956*I956)</f>
        <v/>
      </c>
      <c r="M956" s="64">
        <f>L956/K956</f>
        <v/>
      </c>
    </row>
    <row r="957">
      <c r="A957" s="58" t="inlineStr">
        <is>
          <t>RT20250124-00956</t>
        </is>
      </c>
      <c r="B957" s="59" t="inlineStr">
        <is>
          <t>2025-01-24</t>
        </is>
      </c>
      <c r="C957" s="60" t="inlineStr">
        <is>
          <t>Aurora Printer Plus-723</t>
        </is>
      </c>
      <c r="D957" s="58" t="inlineStr">
        <is>
          <t>Office</t>
        </is>
      </c>
      <c r="E957" s="58" t="inlineStr">
        <is>
          <t>Central</t>
        </is>
      </c>
      <c r="F957" s="61" t="n">
        <v>2</v>
      </c>
      <c r="G957" s="62" t="n">
        <v>259.74</v>
      </c>
      <c r="H957" s="63" t="n">
        <v>0.073</v>
      </c>
      <c r="I957" s="62" t="n">
        <v>186.08</v>
      </c>
      <c r="J957" s="58" t="inlineStr">
        <is>
          <t>Store</t>
        </is>
      </c>
      <c r="K957" s="62">
        <f>F957*(G957-H957)</f>
        <v/>
      </c>
      <c r="L957" s="62">
        <f>K957-(F957*I957)</f>
        <v/>
      </c>
      <c r="M957" s="64">
        <f>L957/K957</f>
        <v/>
      </c>
    </row>
    <row r="958">
      <c r="A958" s="58" t="inlineStr">
        <is>
          <t>RT20250124-00957</t>
        </is>
      </c>
      <c r="B958" s="59" t="inlineStr">
        <is>
          <t>2025-01-24</t>
        </is>
      </c>
      <c r="C958" s="60" t="inlineStr">
        <is>
          <t>Falcon Headphone Plus-789</t>
        </is>
      </c>
      <c r="D958" s="58" t="inlineStr">
        <is>
          <t>Electronics</t>
        </is>
      </c>
      <c r="E958" s="58" t="inlineStr">
        <is>
          <t>Central</t>
        </is>
      </c>
      <c r="F958" s="61" t="n">
        <v>2</v>
      </c>
      <c r="G958" s="62" t="n">
        <v>1569.57</v>
      </c>
      <c r="H958" s="63" t="n">
        <v>0.097</v>
      </c>
      <c r="I958" s="62" t="n">
        <v>1315.54</v>
      </c>
      <c r="J958" s="58" t="inlineStr">
        <is>
          <t>Phone</t>
        </is>
      </c>
      <c r="K958" s="62">
        <f>F958*(G958-H958)</f>
        <v/>
      </c>
      <c r="L958" s="62">
        <f>K958-(F958*I958)</f>
        <v/>
      </c>
      <c r="M958" s="64">
        <f>L958/K958</f>
        <v/>
      </c>
    </row>
    <row r="959">
      <c r="A959" s="58" t="inlineStr">
        <is>
          <t>RT20250124-00958</t>
        </is>
      </c>
      <c r="B959" s="59" t="inlineStr">
        <is>
          <t>2025-01-24</t>
        </is>
      </c>
      <c r="C959" s="60" t="inlineStr">
        <is>
          <t>Polar Fragrance Pro-750</t>
        </is>
      </c>
      <c r="D959" s="58" t="inlineStr">
        <is>
          <t>Beauty</t>
        </is>
      </c>
      <c r="E959" s="58" t="inlineStr">
        <is>
          <t>West</t>
        </is>
      </c>
      <c r="F959" s="61" t="n">
        <v>3</v>
      </c>
      <c r="G959" s="62" t="n">
        <v>57.32</v>
      </c>
      <c r="H959" s="63" t="n">
        <v>0.061</v>
      </c>
      <c r="I959" s="62" t="n">
        <v>37.38</v>
      </c>
      <c r="J959" s="58" t="inlineStr">
        <is>
          <t>Store</t>
        </is>
      </c>
      <c r="K959" s="62">
        <f>F959*(G959-H959)</f>
        <v/>
      </c>
      <c r="L959" s="62">
        <f>K959-(F959*I959)</f>
        <v/>
      </c>
      <c r="M959" s="64">
        <f>L959/K959</f>
        <v/>
      </c>
    </row>
    <row r="960">
      <c r="A960" s="58" t="inlineStr">
        <is>
          <t>RT20250124-00959</t>
        </is>
      </c>
      <c r="B960" s="59" t="inlineStr">
        <is>
          <t>2025-01-24</t>
        </is>
      </c>
      <c r="C960" s="60" t="inlineStr">
        <is>
          <t>Nimbus Headphone X-854</t>
        </is>
      </c>
      <c r="D960" s="58" t="inlineStr">
        <is>
          <t>Electronics</t>
        </is>
      </c>
      <c r="E960" s="58" t="inlineStr">
        <is>
          <t>North</t>
        </is>
      </c>
      <c r="F960" s="61" t="n">
        <v>1</v>
      </c>
      <c r="G960" s="62" t="n">
        <v>1562.82</v>
      </c>
      <c r="H960" s="63" t="n">
        <v>0.07000000000000001</v>
      </c>
      <c r="I960" s="62" t="n">
        <v>1244.98</v>
      </c>
      <c r="J960" s="58" t="inlineStr">
        <is>
          <t>Online</t>
        </is>
      </c>
      <c r="K960" s="62">
        <f>F960*(G960-H960)</f>
        <v/>
      </c>
      <c r="L960" s="62">
        <f>K960-(F960*I960)</f>
        <v/>
      </c>
      <c r="M960" s="64">
        <f>L960/K960</f>
        <v/>
      </c>
    </row>
    <row r="961">
      <c r="A961" s="58" t="inlineStr">
        <is>
          <t>RT20250124-00960</t>
        </is>
      </c>
      <c r="B961" s="59" t="inlineStr">
        <is>
          <t>2025-01-24</t>
        </is>
      </c>
      <c r="C961" s="60" t="inlineStr">
        <is>
          <t>Polar Women Max-927</t>
        </is>
      </c>
      <c r="D961" s="58" t="inlineStr">
        <is>
          <t>Apparel</t>
        </is>
      </c>
      <c r="E961" s="58" t="inlineStr">
        <is>
          <t>East</t>
        </is>
      </c>
      <c r="F961" s="61" t="n">
        <v>3</v>
      </c>
      <c r="G961" s="62" t="n">
        <v>121.56</v>
      </c>
      <c r="H961" s="63" t="n">
        <v>0.047</v>
      </c>
      <c r="I961" s="62" t="n">
        <v>67.36</v>
      </c>
      <c r="J961" s="58" t="inlineStr">
        <is>
          <t>Online</t>
        </is>
      </c>
      <c r="K961" s="62">
        <f>F961*(G961-H961)</f>
        <v/>
      </c>
      <c r="L961" s="62">
        <f>K961-(F961*I961)</f>
        <v/>
      </c>
      <c r="M961" s="64">
        <f>L961/K961</f>
        <v/>
      </c>
    </row>
    <row r="962">
      <c r="A962" s="58" t="inlineStr">
        <is>
          <t>RT20250124-00961</t>
        </is>
      </c>
      <c r="B962" s="59" t="inlineStr">
        <is>
          <t>2025-01-24</t>
        </is>
      </c>
      <c r="C962" s="60" t="inlineStr">
        <is>
          <t>Aurora Smartphone Plus-125</t>
        </is>
      </c>
      <c r="D962" s="58" t="inlineStr">
        <is>
          <t>Electronics</t>
        </is>
      </c>
      <c r="E962" s="58" t="inlineStr">
        <is>
          <t>West</t>
        </is>
      </c>
      <c r="F962" s="61" t="n">
        <v>1</v>
      </c>
      <c r="G962" s="62" t="n">
        <v>1627.42</v>
      </c>
      <c r="H962" s="63" t="n">
        <v>0.095</v>
      </c>
      <c r="I962" s="62" t="n">
        <v>1237.03</v>
      </c>
      <c r="J962" s="58" t="inlineStr">
        <is>
          <t>Online</t>
        </is>
      </c>
      <c r="K962" s="62">
        <f>F962*(G962-H962)</f>
        <v/>
      </c>
      <c r="L962" s="62">
        <f>K962-(F962*I962)</f>
        <v/>
      </c>
      <c r="M962" s="64">
        <f>L962/K962</f>
        <v/>
      </c>
    </row>
    <row r="963">
      <c r="A963" s="58" t="inlineStr">
        <is>
          <t>RT20250124-00962</t>
        </is>
      </c>
      <c r="B963" s="59" t="inlineStr">
        <is>
          <t>2025-01-24</t>
        </is>
      </c>
      <c r="C963" s="60" t="inlineStr">
        <is>
          <t>Nimbus Headphone X-854</t>
        </is>
      </c>
      <c r="D963" s="58" t="inlineStr">
        <is>
          <t>Electronics</t>
        </is>
      </c>
      <c r="E963" s="58" t="inlineStr">
        <is>
          <t>Central</t>
        </is>
      </c>
      <c r="F963" s="61" t="n">
        <v>2</v>
      </c>
      <c r="G963" s="62" t="n">
        <v>1666.82</v>
      </c>
      <c r="H963" s="63" t="n">
        <v>0.047</v>
      </c>
      <c r="I963" s="62" t="n">
        <v>1225.85</v>
      </c>
      <c r="J963" s="58" t="inlineStr">
        <is>
          <t>Online</t>
        </is>
      </c>
      <c r="K963" s="62">
        <f>F963*(G963-H963)</f>
        <v/>
      </c>
      <c r="L963" s="62">
        <f>K963-(F963*I963)</f>
        <v/>
      </c>
      <c r="M963" s="64">
        <f>L963/K963</f>
        <v/>
      </c>
    </row>
    <row r="964">
      <c r="A964" s="58" t="inlineStr">
        <is>
          <t>RT20250124-00963</t>
        </is>
      </c>
      <c r="B964" s="59" t="inlineStr">
        <is>
          <t>2025-01-24</t>
        </is>
      </c>
      <c r="C964" s="60" t="inlineStr">
        <is>
          <t>Orion Fragrance Lite-785</t>
        </is>
      </c>
      <c r="D964" s="58" t="inlineStr">
        <is>
          <t>Beauty</t>
        </is>
      </c>
      <c r="E964" s="58" t="inlineStr">
        <is>
          <t>North</t>
        </is>
      </c>
      <c r="F964" s="61" t="n">
        <v>4</v>
      </c>
      <c r="G964" s="62" t="n">
        <v>44.84</v>
      </c>
      <c r="H964" s="63" t="n">
        <v>0.046</v>
      </c>
      <c r="I964" s="62" t="n">
        <v>26.63</v>
      </c>
      <c r="J964" s="58" t="inlineStr">
        <is>
          <t>Online</t>
        </is>
      </c>
      <c r="K964" s="62">
        <f>F964*(G964-H964)</f>
        <v/>
      </c>
      <c r="L964" s="62">
        <f>K964-(F964*I964)</f>
        <v/>
      </c>
      <c r="M964" s="64">
        <f>L964/K964</f>
        <v/>
      </c>
    </row>
    <row r="965">
      <c r="A965" s="58" t="inlineStr">
        <is>
          <t>RT20250124-00964</t>
        </is>
      </c>
      <c r="B965" s="59" t="inlineStr">
        <is>
          <t>2025-01-24</t>
        </is>
      </c>
      <c r="C965" s="60" t="inlineStr">
        <is>
          <t>Solace Kitchen Pro-510</t>
        </is>
      </c>
      <c r="D965" s="58" t="inlineStr">
        <is>
          <t>Home</t>
        </is>
      </c>
      <c r="E965" s="58" t="inlineStr">
        <is>
          <t>East</t>
        </is>
      </c>
      <c r="F965" s="61" t="n">
        <v>2</v>
      </c>
      <c r="G965" s="62" t="n">
        <v>491.03</v>
      </c>
      <c r="H965" s="63" t="n">
        <v>0.005</v>
      </c>
      <c r="I965" s="62" t="n">
        <v>312</v>
      </c>
      <c r="J965" s="58" t="inlineStr">
        <is>
          <t>Online</t>
        </is>
      </c>
      <c r="K965" s="62">
        <f>F965*(G965-H965)</f>
        <v/>
      </c>
      <c r="L965" s="62">
        <f>K965-(F965*I965)</f>
        <v/>
      </c>
      <c r="M965" s="64">
        <f>L965/K965</f>
        <v/>
      </c>
    </row>
    <row r="966">
      <c r="A966" s="58" t="inlineStr">
        <is>
          <t>RT20250124-00965</t>
        </is>
      </c>
      <c r="B966" s="59" t="inlineStr">
        <is>
          <t>2025-01-24</t>
        </is>
      </c>
      <c r="C966" s="60" t="inlineStr">
        <is>
          <t>Vertex Furniture S-652</t>
        </is>
      </c>
      <c r="D966" s="58" t="inlineStr">
        <is>
          <t>Office</t>
        </is>
      </c>
      <c r="E966" s="58" t="inlineStr">
        <is>
          <t>East</t>
        </is>
      </c>
      <c r="F966" s="61" t="n">
        <v>3</v>
      </c>
      <c r="G966" s="62" t="n">
        <v>348.19</v>
      </c>
      <c r="H966" s="63" t="n">
        <v>0</v>
      </c>
      <c r="I966" s="62" t="n">
        <v>263.75</v>
      </c>
      <c r="J966" s="58" t="inlineStr">
        <is>
          <t>Online</t>
        </is>
      </c>
      <c r="K966" s="62">
        <f>F966*(G966-H966)</f>
        <v/>
      </c>
      <c r="L966" s="62">
        <f>K966-(F966*I966)</f>
        <v/>
      </c>
      <c r="M966" s="64">
        <f>L966/K966</f>
        <v/>
      </c>
    </row>
    <row r="967">
      <c r="A967" s="58" t="inlineStr">
        <is>
          <t>RT20250124-00966</t>
        </is>
      </c>
      <c r="B967" s="59" t="inlineStr">
        <is>
          <t>2025-01-24</t>
        </is>
      </c>
      <c r="C967" s="60" t="inlineStr">
        <is>
          <t>Solace Kitchen Pro-999</t>
        </is>
      </c>
      <c r="D967" s="58" t="inlineStr">
        <is>
          <t>Home</t>
        </is>
      </c>
      <c r="E967" s="58" t="inlineStr">
        <is>
          <t>North</t>
        </is>
      </c>
      <c r="F967" s="61" t="n">
        <v>3</v>
      </c>
      <c r="G967" s="62" t="n">
        <v>372.05</v>
      </c>
      <c r="H967" s="63" t="n">
        <v>0.036</v>
      </c>
      <c r="I967" s="62" t="n">
        <v>272.04</v>
      </c>
      <c r="J967" s="58" t="inlineStr">
        <is>
          <t>Online</t>
        </is>
      </c>
      <c r="K967" s="62">
        <f>F967*(G967-H967)</f>
        <v/>
      </c>
      <c r="L967" s="62">
        <f>K967-(F967*I967)</f>
        <v/>
      </c>
      <c r="M967" s="64">
        <f>L967/K967</f>
        <v/>
      </c>
    </row>
    <row r="968">
      <c r="A968" s="58" t="inlineStr">
        <is>
          <t>RT20250124-00967</t>
        </is>
      </c>
      <c r="B968" s="59" t="inlineStr">
        <is>
          <t>2025-01-24</t>
        </is>
      </c>
      <c r="C968" s="60" t="inlineStr">
        <is>
          <t>Polar Supplie Lite-348</t>
        </is>
      </c>
      <c r="D968" s="58" t="inlineStr">
        <is>
          <t>Office</t>
        </is>
      </c>
      <c r="E968" s="58" t="inlineStr">
        <is>
          <t>West</t>
        </is>
      </c>
      <c r="F968" s="61" t="n">
        <v>2</v>
      </c>
      <c r="G968" s="62" t="n">
        <v>402.05</v>
      </c>
      <c r="H968" s="63" t="n">
        <v>0.024</v>
      </c>
      <c r="I968" s="62" t="n">
        <v>323.25</v>
      </c>
      <c r="J968" s="58" t="inlineStr">
        <is>
          <t>Online</t>
        </is>
      </c>
      <c r="K968" s="62">
        <f>F968*(G968-H968)</f>
        <v/>
      </c>
      <c r="L968" s="62">
        <f>K968-(F968*I968)</f>
        <v/>
      </c>
      <c r="M968" s="64">
        <f>L968/K968</f>
        <v/>
      </c>
    </row>
    <row r="969">
      <c r="A969" s="58" t="inlineStr">
        <is>
          <t>RT20250124-00968</t>
        </is>
      </c>
      <c r="B969" s="59" t="inlineStr">
        <is>
          <t>2025-01-24</t>
        </is>
      </c>
      <c r="C969" s="60" t="inlineStr">
        <is>
          <t>Aurora Printer Plus-723</t>
        </is>
      </c>
      <c r="D969" s="58" t="inlineStr">
        <is>
          <t>Office</t>
        </is>
      </c>
      <c r="E969" s="58" t="inlineStr">
        <is>
          <t>East</t>
        </is>
      </c>
      <c r="F969" s="61" t="n">
        <v>3</v>
      </c>
      <c r="G969" s="62" t="n">
        <v>260.44</v>
      </c>
      <c r="H969" s="63" t="n">
        <v>0.076</v>
      </c>
      <c r="I969" s="62" t="n">
        <v>186.02</v>
      </c>
      <c r="J969" s="58" t="inlineStr">
        <is>
          <t>Phone</t>
        </is>
      </c>
      <c r="K969" s="62">
        <f>F969*(G969-H969)</f>
        <v/>
      </c>
      <c r="L969" s="62">
        <f>K969-(F969*I969)</f>
        <v/>
      </c>
      <c r="M969" s="64">
        <f>L969/K969</f>
        <v/>
      </c>
    </row>
    <row r="970">
      <c r="A970" s="58" t="inlineStr">
        <is>
          <t>RT20250124-00969</t>
        </is>
      </c>
      <c r="B970" s="59" t="inlineStr">
        <is>
          <t>2025-01-24</t>
        </is>
      </c>
      <c r="C970" s="60" t="inlineStr">
        <is>
          <t>Vertex Appliance S-159</t>
        </is>
      </c>
      <c r="D970" s="58" t="inlineStr">
        <is>
          <t>Home</t>
        </is>
      </c>
      <c r="E970" s="58" t="inlineStr">
        <is>
          <t>West</t>
        </is>
      </c>
      <c r="F970" s="61" t="n">
        <v>3</v>
      </c>
      <c r="G970" s="62" t="n">
        <v>441.23</v>
      </c>
      <c r="H970" s="63" t="n">
        <v>0.07000000000000001</v>
      </c>
      <c r="I970" s="62" t="n">
        <v>284.41</v>
      </c>
      <c r="J970" s="58" t="inlineStr">
        <is>
          <t>Store</t>
        </is>
      </c>
      <c r="K970" s="62">
        <f>F970*(G970-H970)</f>
        <v/>
      </c>
      <c r="L970" s="62">
        <f>K970-(F970*I970)</f>
        <v/>
      </c>
      <c r="M970" s="64">
        <f>L970/K970</f>
        <v/>
      </c>
    </row>
    <row r="971">
      <c r="A971" s="58" t="inlineStr">
        <is>
          <t>RT20250124-00970</t>
        </is>
      </c>
      <c r="B971" s="59" t="inlineStr">
        <is>
          <t>2025-01-24</t>
        </is>
      </c>
      <c r="C971" s="60" t="inlineStr">
        <is>
          <t>Metro Wearable Plus-234</t>
        </is>
      </c>
      <c r="D971" s="58" t="inlineStr">
        <is>
          <t>Electronics</t>
        </is>
      </c>
      <c r="E971" s="58" t="inlineStr">
        <is>
          <t>East</t>
        </is>
      </c>
      <c r="F971" s="61" t="n">
        <v>1</v>
      </c>
      <c r="G971" s="62" t="n">
        <v>1499.61</v>
      </c>
      <c r="H971" s="63" t="n">
        <v>0.01</v>
      </c>
      <c r="I971" s="62" t="n">
        <v>1197.52</v>
      </c>
      <c r="J971" s="58" t="inlineStr">
        <is>
          <t>Online</t>
        </is>
      </c>
      <c r="K971" s="62">
        <f>F971*(G971-H971)</f>
        <v/>
      </c>
      <c r="L971" s="62">
        <f>K971-(F971*I971)</f>
        <v/>
      </c>
      <c r="M971" s="64">
        <f>L971/K971</f>
        <v/>
      </c>
    </row>
    <row r="972">
      <c r="A972" s="58" t="inlineStr">
        <is>
          <t>RT20250124-00971</t>
        </is>
      </c>
      <c r="B972" s="59" t="inlineStr">
        <is>
          <t>2025-01-24</t>
        </is>
      </c>
      <c r="C972" s="60" t="inlineStr">
        <is>
          <t>Polar Supplie Lite-348</t>
        </is>
      </c>
      <c r="D972" s="58" t="inlineStr">
        <is>
          <t>Office</t>
        </is>
      </c>
      <c r="E972" s="58" t="inlineStr">
        <is>
          <t>West</t>
        </is>
      </c>
      <c r="F972" s="61" t="n">
        <v>2</v>
      </c>
      <c r="G972" s="62" t="n">
        <v>419.74</v>
      </c>
      <c r="H972" s="63" t="n">
        <v>0.059</v>
      </c>
      <c r="I972" s="62" t="n">
        <v>322.34</v>
      </c>
      <c r="J972" s="58" t="inlineStr">
        <is>
          <t>Online</t>
        </is>
      </c>
      <c r="K972" s="62">
        <f>F972*(G972-H972)</f>
        <v/>
      </c>
      <c r="L972" s="62">
        <f>K972-(F972*I972)</f>
        <v/>
      </c>
      <c r="M972" s="64">
        <f>L972/K972</f>
        <v/>
      </c>
    </row>
    <row r="973">
      <c r="A973" s="58" t="inlineStr">
        <is>
          <t>RT20250124-00972</t>
        </is>
      </c>
      <c r="B973" s="59" t="inlineStr">
        <is>
          <t>2025-01-24</t>
        </is>
      </c>
      <c r="C973" s="60" t="inlineStr">
        <is>
          <t>Nimbus Furniture Pro-479</t>
        </is>
      </c>
      <c r="D973" s="58" t="inlineStr">
        <is>
          <t>Office</t>
        </is>
      </c>
      <c r="E973" s="58" t="inlineStr">
        <is>
          <t>Central</t>
        </is>
      </c>
      <c r="F973" s="61" t="n">
        <v>2</v>
      </c>
      <c r="G973" s="62" t="n">
        <v>326.85</v>
      </c>
      <c r="H973" s="63" t="n">
        <v>0.041</v>
      </c>
      <c r="I973" s="62" t="n">
        <v>239.73</v>
      </c>
      <c r="J973" s="58" t="inlineStr">
        <is>
          <t>Online</t>
        </is>
      </c>
      <c r="K973" s="62">
        <f>F973*(G973-H973)</f>
        <v/>
      </c>
      <c r="L973" s="62">
        <f>K973-(F973*I973)</f>
        <v/>
      </c>
      <c r="M973" s="64">
        <f>L973/K973</f>
        <v/>
      </c>
    </row>
    <row r="974">
      <c r="A974" s="58" t="inlineStr">
        <is>
          <t>RT20250124-00973</t>
        </is>
      </c>
      <c r="B974" s="59" t="inlineStr">
        <is>
          <t>2025-01-24</t>
        </is>
      </c>
      <c r="C974" s="60" t="inlineStr">
        <is>
          <t>Polar Pantry Lite-392</t>
        </is>
      </c>
      <c r="D974" s="58" t="inlineStr">
        <is>
          <t>Grocery</t>
        </is>
      </c>
      <c r="E974" s="58" t="inlineStr">
        <is>
          <t>East</t>
        </is>
      </c>
      <c r="F974" s="61" t="n">
        <v>6</v>
      </c>
      <c r="G974" s="62" t="n">
        <v>6.04</v>
      </c>
      <c r="H974" s="63" t="n">
        <v>0.093</v>
      </c>
      <c r="I974" s="62" t="n">
        <v>4.54</v>
      </c>
      <c r="J974" s="58" t="inlineStr">
        <is>
          <t>Online</t>
        </is>
      </c>
      <c r="K974" s="62">
        <f>F974*(G974-H974)</f>
        <v/>
      </c>
      <c r="L974" s="62">
        <f>K974-(F974*I974)</f>
        <v/>
      </c>
      <c r="M974" s="64">
        <f>L974/K974</f>
        <v/>
      </c>
    </row>
    <row r="975">
      <c r="A975" s="58" t="inlineStr">
        <is>
          <t>RT20250124-00974</t>
        </is>
      </c>
      <c r="B975" s="59" t="inlineStr">
        <is>
          <t>2025-01-24</t>
        </is>
      </c>
      <c r="C975" s="60" t="inlineStr">
        <is>
          <t>Solace Kitchen Pro-999</t>
        </is>
      </c>
      <c r="D975" s="58" t="inlineStr">
        <is>
          <t>Home</t>
        </is>
      </c>
      <c r="E975" s="58" t="inlineStr">
        <is>
          <t>Central</t>
        </is>
      </c>
      <c r="F975" s="61" t="n">
        <v>1</v>
      </c>
      <c r="G975" s="62" t="n">
        <v>411.42</v>
      </c>
      <c r="H975" s="63" t="n">
        <v>0.08599999999999999</v>
      </c>
      <c r="I975" s="62" t="n">
        <v>272.07</v>
      </c>
      <c r="J975" s="58" t="inlineStr">
        <is>
          <t>Store</t>
        </is>
      </c>
      <c r="K975" s="62">
        <f>F975*(G975-H975)</f>
        <v/>
      </c>
      <c r="L975" s="62">
        <f>K975-(F975*I975)</f>
        <v/>
      </c>
      <c r="M975" s="64">
        <f>L975/K975</f>
        <v/>
      </c>
    </row>
    <row r="976">
      <c r="A976" s="58" t="inlineStr">
        <is>
          <t>RT20250124-00975</t>
        </is>
      </c>
      <c r="B976" s="59" t="inlineStr">
        <is>
          <t>2025-01-24</t>
        </is>
      </c>
      <c r="C976" s="60" t="inlineStr">
        <is>
          <t>Orion Fragrance Lite-785</t>
        </is>
      </c>
      <c r="D976" s="58" t="inlineStr">
        <is>
          <t>Beauty</t>
        </is>
      </c>
      <c r="E976" s="58" t="inlineStr">
        <is>
          <t>South</t>
        </is>
      </c>
      <c r="F976" s="61" t="n">
        <v>2</v>
      </c>
      <c r="G976" s="62" t="n">
        <v>47.05</v>
      </c>
      <c r="H976" s="63" t="n">
        <v>0.08400000000000001</v>
      </c>
      <c r="I976" s="62" t="n">
        <v>27.27</v>
      </c>
      <c r="J976" s="58" t="inlineStr">
        <is>
          <t>Online</t>
        </is>
      </c>
      <c r="K976" s="62">
        <f>F976*(G976-H976)</f>
        <v/>
      </c>
      <c r="L976" s="62">
        <f>K976-(F976*I976)</f>
        <v/>
      </c>
      <c r="M976" s="64">
        <f>L976/K976</f>
        <v/>
      </c>
    </row>
    <row r="977">
      <c r="A977" s="58" t="inlineStr">
        <is>
          <t>RT20250124-00976</t>
        </is>
      </c>
      <c r="B977" s="59" t="inlineStr">
        <is>
          <t>2025-01-24</t>
        </is>
      </c>
      <c r="C977" s="60" t="inlineStr">
        <is>
          <t>Solace Kitchen X-919</t>
        </is>
      </c>
      <c r="D977" s="58" t="inlineStr">
        <is>
          <t>Home</t>
        </is>
      </c>
      <c r="E977" s="58" t="inlineStr">
        <is>
          <t>West</t>
        </is>
      </c>
      <c r="F977" s="61" t="n">
        <v>1</v>
      </c>
      <c r="G977" s="62" t="n">
        <v>422.74</v>
      </c>
      <c r="H977" s="63" t="n">
        <v>0.002</v>
      </c>
      <c r="I977" s="62" t="n">
        <v>262.14</v>
      </c>
      <c r="J977" s="58" t="inlineStr">
        <is>
          <t>Store</t>
        </is>
      </c>
      <c r="K977" s="62">
        <f>F977*(G977-H977)</f>
        <v/>
      </c>
      <c r="L977" s="62">
        <f>K977-(F977*I977)</f>
        <v/>
      </c>
      <c r="M977" s="64">
        <f>L977/K977</f>
        <v/>
      </c>
    </row>
    <row r="978">
      <c r="A978" s="58" t="inlineStr">
        <is>
          <t>RT20250124-00977</t>
        </is>
      </c>
      <c r="B978" s="59" t="inlineStr">
        <is>
          <t>2025-01-24</t>
        </is>
      </c>
      <c r="C978" s="60" t="inlineStr">
        <is>
          <t>Polar Outdoor X-193</t>
        </is>
      </c>
      <c r="D978" s="58" t="inlineStr">
        <is>
          <t>Sports</t>
        </is>
      </c>
      <c r="E978" s="58" t="inlineStr">
        <is>
          <t>North</t>
        </is>
      </c>
      <c r="F978" s="61" t="n">
        <v>1</v>
      </c>
      <c r="G978" s="62" t="n">
        <v>682.4400000000001</v>
      </c>
      <c r="H978" s="63" t="n">
        <v>0.032</v>
      </c>
      <c r="I978" s="62" t="n">
        <v>455.05</v>
      </c>
      <c r="J978" s="58" t="inlineStr">
        <is>
          <t>Online</t>
        </is>
      </c>
      <c r="K978" s="62">
        <f>F978*(G978-H978)</f>
        <v/>
      </c>
      <c r="L978" s="62">
        <f>K978-(F978*I978)</f>
        <v/>
      </c>
      <c r="M978" s="64">
        <f>L978/K978</f>
        <v/>
      </c>
    </row>
    <row r="979">
      <c r="A979" s="58" t="inlineStr">
        <is>
          <t>RT20250124-00978</t>
        </is>
      </c>
      <c r="B979" s="59" t="inlineStr">
        <is>
          <t>2025-01-24</t>
        </is>
      </c>
      <c r="C979" s="60" t="inlineStr">
        <is>
          <t>Polar Laptop Plus-984</t>
        </is>
      </c>
      <c r="D979" s="58" t="inlineStr">
        <is>
          <t>Electronics</t>
        </is>
      </c>
      <c r="E979" s="58" t="inlineStr">
        <is>
          <t>South</t>
        </is>
      </c>
      <c r="F979" s="61" t="n">
        <v>2</v>
      </c>
      <c r="G979" s="62" t="n">
        <v>1302.27</v>
      </c>
      <c r="H979" s="63" t="n">
        <v>0.081</v>
      </c>
      <c r="I979" s="62" t="n">
        <v>985.3099999999999</v>
      </c>
      <c r="J979" s="58" t="inlineStr">
        <is>
          <t>Online</t>
        </is>
      </c>
      <c r="K979" s="62">
        <f>F979*(G979-H979)</f>
        <v/>
      </c>
      <c r="L979" s="62">
        <f>K979-(F979*I979)</f>
        <v/>
      </c>
      <c r="M979" s="64">
        <f>L979/K979</f>
        <v/>
      </c>
    </row>
    <row r="980">
      <c r="A980" s="58" t="inlineStr">
        <is>
          <t>RT20250124-00979</t>
        </is>
      </c>
      <c r="B980" s="59" t="inlineStr">
        <is>
          <t>2025-01-24</t>
        </is>
      </c>
      <c r="C980" s="60" t="inlineStr">
        <is>
          <t>Nimbus Fitnes Lite-516</t>
        </is>
      </c>
      <c r="D980" s="58" t="inlineStr">
        <is>
          <t>Sports</t>
        </is>
      </c>
      <c r="E980" s="58" t="inlineStr">
        <is>
          <t>Central</t>
        </is>
      </c>
      <c r="F980" s="61" t="n">
        <v>2</v>
      </c>
      <c r="G980" s="62" t="n">
        <v>682.14</v>
      </c>
      <c r="H980" s="63" t="n">
        <v>0.083</v>
      </c>
      <c r="I980" s="62" t="n">
        <v>465.39</v>
      </c>
      <c r="J980" s="58" t="inlineStr">
        <is>
          <t>Store</t>
        </is>
      </c>
      <c r="K980" s="62">
        <f>F980*(G980-H980)</f>
        <v/>
      </c>
      <c r="L980" s="62">
        <f>K980-(F980*I980)</f>
        <v/>
      </c>
      <c r="M980" s="64">
        <f>L980/K980</f>
        <v/>
      </c>
    </row>
    <row r="981">
      <c r="A981" s="58" t="inlineStr">
        <is>
          <t>RT20250124-00980</t>
        </is>
      </c>
      <c r="B981" s="59" t="inlineStr">
        <is>
          <t>2025-01-24</t>
        </is>
      </c>
      <c r="C981" s="60" t="inlineStr">
        <is>
          <t>Aurora Wearable Lite-704</t>
        </is>
      </c>
      <c r="D981" s="58" t="inlineStr">
        <is>
          <t>Electronics</t>
        </is>
      </c>
      <c r="E981" s="58" t="inlineStr">
        <is>
          <t>East</t>
        </is>
      </c>
      <c r="F981" s="61" t="n">
        <v>2</v>
      </c>
      <c r="G981" s="62" t="n">
        <v>1813.45</v>
      </c>
      <c r="H981" s="63" t="n">
        <v>0.058</v>
      </c>
      <c r="I981" s="62" t="n">
        <v>1433.9</v>
      </c>
      <c r="J981" s="58" t="inlineStr">
        <is>
          <t>Online</t>
        </is>
      </c>
      <c r="K981" s="62">
        <f>F981*(G981-H981)</f>
        <v/>
      </c>
      <c r="L981" s="62">
        <f>K981-(F981*I981)</f>
        <v/>
      </c>
      <c r="M981" s="64">
        <f>L981/K981</f>
        <v/>
      </c>
    </row>
    <row r="982">
      <c r="A982" s="58" t="inlineStr">
        <is>
          <t>RT20250124-00981</t>
        </is>
      </c>
      <c r="B982" s="59" t="inlineStr">
        <is>
          <t>2025-01-24</t>
        </is>
      </c>
      <c r="C982" s="60" t="inlineStr">
        <is>
          <t>Solace Kitchen Pro-510</t>
        </is>
      </c>
      <c r="D982" s="58" t="inlineStr">
        <is>
          <t>Home</t>
        </is>
      </c>
      <c r="E982" s="58" t="inlineStr">
        <is>
          <t>East</t>
        </is>
      </c>
      <c r="F982" s="61" t="n">
        <v>2</v>
      </c>
      <c r="G982" s="62" t="n">
        <v>441.24</v>
      </c>
      <c r="H982" s="63" t="n">
        <v>0.046</v>
      </c>
      <c r="I982" s="62" t="n">
        <v>303.03</v>
      </c>
      <c r="J982" s="58" t="inlineStr">
        <is>
          <t>Online</t>
        </is>
      </c>
      <c r="K982" s="62">
        <f>F982*(G982-H982)</f>
        <v/>
      </c>
      <c r="L982" s="62">
        <f>K982-(F982*I982)</f>
        <v/>
      </c>
      <c r="M982" s="64">
        <f>L982/K982</f>
        <v/>
      </c>
    </row>
    <row r="983">
      <c r="A983" s="58" t="inlineStr">
        <is>
          <t>RT20250124-00982</t>
        </is>
      </c>
      <c r="B983" s="59" t="inlineStr">
        <is>
          <t>2025-01-24</t>
        </is>
      </c>
      <c r="C983" s="60" t="inlineStr">
        <is>
          <t>Falcon Skincare X-334</t>
        </is>
      </c>
      <c r="D983" s="58" t="inlineStr">
        <is>
          <t>Beauty</t>
        </is>
      </c>
      <c r="E983" s="58" t="inlineStr">
        <is>
          <t>East</t>
        </is>
      </c>
      <c r="F983" s="61" t="n">
        <v>1</v>
      </c>
      <c r="G983" s="62" t="n">
        <v>116.37</v>
      </c>
      <c r="H983" s="63" t="n">
        <v>0.042</v>
      </c>
      <c r="I983" s="62" t="n">
        <v>63.73</v>
      </c>
      <c r="J983" s="58" t="inlineStr">
        <is>
          <t>Online</t>
        </is>
      </c>
      <c r="K983" s="62">
        <f>F983*(G983-H983)</f>
        <v/>
      </c>
      <c r="L983" s="62">
        <f>K983-(F983*I983)</f>
        <v/>
      </c>
      <c r="M983" s="64">
        <f>L983/K983</f>
        <v/>
      </c>
    </row>
    <row r="984">
      <c r="A984" s="58" t="inlineStr">
        <is>
          <t>RT20250124-00983</t>
        </is>
      </c>
      <c r="B984" s="59" t="inlineStr">
        <is>
          <t>2025-01-24</t>
        </is>
      </c>
      <c r="C984" s="60" t="inlineStr">
        <is>
          <t>Aurora Makeup S-626</t>
        </is>
      </c>
      <c r="D984" s="58" t="inlineStr">
        <is>
          <t>Beauty</t>
        </is>
      </c>
      <c r="E984" s="58" t="inlineStr">
        <is>
          <t>West</t>
        </is>
      </c>
      <c r="F984" s="61" t="n">
        <v>2</v>
      </c>
      <c r="G984" s="62" t="n">
        <v>105.21</v>
      </c>
      <c r="H984" s="63" t="n">
        <v>0.105</v>
      </c>
      <c r="I984" s="62" t="n">
        <v>61.8</v>
      </c>
      <c r="J984" s="58" t="inlineStr">
        <is>
          <t>Store</t>
        </is>
      </c>
      <c r="K984" s="62">
        <f>F984*(G984-H984)</f>
        <v/>
      </c>
      <c r="L984" s="62">
        <f>K984-(F984*I984)</f>
        <v/>
      </c>
      <c r="M984" s="64">
        <f>L984/K984</f>
        <v/>
      </c>
    </row>
    <row r="985">
      <c r="A985" s="58" t="inlineStr">
        <is>
          <t>RT20250124-00984</t>
        </is>
      </c>
      <c r="B985" s="59" t="inlineStr">
        <is>
          <t>2025-01-24</t>
        </is>
      </c>
      <c r="C985" s="60" t="inlineStr">
        <is>
          <t>Vertex Decor Pro-618</t>
        </is>
      </c>
      <c r="D985" s="58" t="inlineStr">
        <is>
          <t>Home</t>
        </is>
      </c>
      <c r="E985" s="58" t="inlineStr">
        <is>
          <t>West</t>
        </is>
      </c>
      <c r="F985" s="61" t="n">
        <v>2</v>
      </c>
      <c r="G985" s="62" t="n">
        <v>570.75</v>
      </c>
      <c r="H985" s="63" t="n">
        <v>0.011</v>
      </c>
      <c r="I985" s="62" t="n">
        <v>366.83</v>
      </c>
      <c r="J985" s="58" t="inlineStr">
        <is>
          <t>Phone</t>
        </is>
      </c>
      <c r="K985" s="62">
        <f>F985*(G985-H985)</f>
        <v/>
      </c>
      <c r="L985" s="62">
        <f>K985-(F985*I985)</f>
        <v/>
      </c>
      <c r="M985" s="64">
        <f>L985/K985</f>
        <v/>
      </c>
    </row>
    <row r="986">
      <c r="A986" s="58" t="inlineStr">
        <is>
          <t>RT20250124-00985</t>
        </is>
      </c>
      <c r="B986" s="59" t="inlineStr">
        <is>
          <t>2025-01-24</t>
        </is>
      </c>
      <c r="C986" s="60" t="inlineStr">
        <is>
          <t>Metro Fragrance Lite-261</t>
        </is>
      </c>
      <c r="D986" s="58" t="inlineStr">
        <is>
          <t>Beauty</t>
        </is>
      </c>
      <c r="E986" s="58" t="inlineStr">
        <is>
          <t>North</t>
        </is>
      </c>
      <c r="F986" s="61" t="n">
        <v>2</v>
      </c>
      <c r="G986" s="62" t="n">
        <v>90.81</v>
      </c>
      <c r="H986" s="63" t="n">
        <v>0.043</v>
      </c>
      <c r="I986" s="62" t="n">
        <v>55.94</v>
      </c>
      <c r="J986" s="58" t="inlineStr">
        <is>
          <t>Online</t>
        </is>
      </c>
      <c r="K986" s="62">
        <f>F986*(G986-H986)</f>
        <v/>
      </c>
      <c r="L986" s="62">
        <f>K986-(F986*I986)</f>
        <v/>
      </c>
      <c r="M986" s="64">
        <f>L986/K986</f>
        <v/>
      </c>
    </row>
    <row r="987">
      <c r="A987" s="58" t="inlineStr">
        <is>
          <t>RT20250124-00986</t>
        </is>
      </c>
      <c r="B987" s="59" t="inlineStr">
        <is>
          <t>2025-01-24</t>
        </is>
      </c>
      <c r="C987" s="60" t="inlineStr">
        <is>
          <t>Polar Snack Pro-641</t>
        </is>
      </c>
      <c r="D987" s="58" t="inlineStr">
        <is>
          <t>Grocery</t>
        </is>
      </c>
      <c r="E987" s="58" t="inlineStr">
        <is>
          <t>Central</t>
        </is>
      </c>
      <c r="F987" s="61" t="n">
        <v>4</v>
      </c>
      <c r="G987" s="62" t="n">
        <v>11.39</v>
      </c>
      <c r="H987" s="63" t="n">
        <v>0.065</v>
      </c>
      <c r="I987" s="62" t="n">
        <v>9.550000000000001</v>
      </c>
      <c r="J987" s="58" t="inlineStr">
        <is>
          <t>Online</t>
        </is>
      </c>
      <c r="K987" s="62">
        <f>F987*(G987-H987)</f>
        <v/>
      </c>
      <c r="L987" s="62">
        <f>K987-(F987*I987)</f>
        <v/>
      </c>
      <c r="M987" s="64">
        <f>L987/K987</f>
        <v/>
      </c>
    </row>
    <row r="988">
      <c r="A988" s="58" t="inlineStr">
        <is>
          <t>RT20250124-00987</t>
        </is>
      </c>
      <c r="B988" s="59" t="inlineStr">
        <is>
          <t>2025-01-24</t>
        </is>
      </c>
      <c r="C988" s="60" t="inlineStr">
        <is>
          <t>Vertex Smartphone Pro-256</t>
        </is>
      </c>
      <c r="D988" s="58" t="inlineStr">
        <is>
          <t>Electronics</t>
        </is>
      </c>
      <c r="E988" s="58" t="inlineStr">
        <is>
          <t>East</t>
        </is>
      </c>
      <c r="F988" s="61" t="n">
        <v>1</v>
      </c>
      <c r="G988" s="62" t="n">
        <v>1106.61</v>
      </c>
      <c r="H988" s="63" t="n">
        <v>0.023</v>
      </c>
      <c r="I988" s="62" t="n">
        <v>924.3200000000001</v>
      </c>
      <c r="J988" s="58" t="inlineStr">
        <is>
          <t>Online</t>
        </is>
      </c>
      <c r="K988" s="62">
        <f>F988*(G988-H988)</f>
        <v/>
      </c>
      <c r="L988" s="62">
        <f>K988-(F988*I988)</f>
        <v/>
      </c>
      <c r="M988" s="64">
        <f>L988/K988</f>
        <v/>
      </c>
    </row>
    <row r="989">
      <c r="A989" s="58" t="inlineStr">
        <is>
          <t>RT20250124-00988</t>
        </is>
      </c>
      <c r="B989" s="59" t="inlineStr">
        <is>
          <t>2025-01-24</t>
        </is>
      </c>
      <c r="C989" s="60" t="inlineStr">
        <is>
          <t>Vertex Snack S-702</t>
        </is>
      </c>
      <c r="D989" s="58" t="inlineStr">
        <is>
          <t>Grocery</t>
        </is>
      </c>
      <c r="E989" s="58" t="inlineStr">
        <is>
          <t>West</t>
        </is>
      </c>
      <c r="F989" s="61" t="n">
        <v>4</v>
      </c>
      <c r="G989" s="62" t="n">
        <v>2.13</v>
      </c>
      <c r="H989" s="63" t="n">
        <v>0.08400000000000001</v>
      </c>
      <c r="I989" s="62" t="n">
        <v>1.48</v>
      </c>
      <c r="J989" s="58" t="inlineStr">
        <is>
          <t>Store</t>
        </is>
      </c>
      <c r="K989" s="62">
        <f>F989*(G989-H989)</f>
        <v/>
      </c>
      <c r="L989" s="62">
        <f>K989-(F989*I989)</f>
        <v/>
      </c>
      <c r="M989" s="64">
        <f>L989/K989</f>
        <v/>
      </c>
    </row>
    <row r="990">
      <c r="A990" s="58" t="inlineStr">
        <is>
          <t>RT20250124-00989</t>
        </is>
      </c>
      <c r="B990" s="59" t="inlineStr">
        <is>
          <t>2025-01-24</t>
        </is>
      </c>
      <c r="C990" s="60" t="inlineStr">
        <is>
          <t>Nimbus Men Plus-231</t>
        </is>
      </c>
      <c r="D990" s="58" t="inlineStr">
        <is>
          <t>Apparel</t>
        </is>
      </c>
      <c r="E990" s="58" t="inlineStr">
        <is>
          <t>West</t>
        </is>
      </c>
      <c r="F990" s="61" t="n">
        <v>3</v>
      </c>
      <c r="G990" s="62" t="n">
        <v>175.47</v>
      </c>
      <c r="H990" s="63" t="n">
        <v>0.031</v>
      </c>
      <c r="I990" s="62" t="n">
        <v>85.48999999999999</v>
      </c>
      <c r="J990" s="58" t="inlineStr">
        <is>
          <t>Store</t>
        </is>
      </c>
      <c r="K990" s="62">
        <f>F990*(G990-H990)</f>
        <v/>
      </c>
      <c r="L990" s="62">
        <f>K990-(F990*I990)</f>
        <v/>
      </c>
      <c r="M990" s="64">
        <f>L990/K990</f>
        <v/>
      </c>
    </row>
    <row r="991">
      <c r="A991" s="58" t="inlineStr">
        <is>
          <t>RT20250125-00990</t>
        </is>
      </c>
      <c r="B991" s="59" t="inlineStr">
        <is>
          <t>2025-01-25</t>
        </is>
      </c>
      <c r="C991" s="60" t="inlineStr">
        <is>
          <t>Aurora Makeup S-626</t>
        </is>
      </c>
      <c r="D991" s="58" t="inlineStr">
        <is>
          <t>Beauty</t>
        </is>
      </c>
      <c r="E991" s="58" t="inlineStr">
        <is>
          <t>West</t>
        </is>
      </c>
      <c r="F991" s="61" t="n">
        <v>3</v>
      </c>
      <c r="G991" s="62" t="n">
        <v>97.98</v>
      </c>
      <c r="H991" s="63" t="n">
        <v>0.033</v>
      </c>
      <c r="I991" s="62" t="n">
        <v>65.65000000000001</v>
      </c>
      <c r="J991" s="58" t="inlineStr">
        <is>
          <t>Store</t>
        </is>
      </c>
      <c r="K991" s="62">
        <f>F991*(G991-H991)</f>
        <v/>
      </c>
      <c r="L991" s="62">
        <f>K991-(F991*I991)</f>
        <v/>
      </c>
      <c r="M991" s="64">
        <f>L991/K991</f>
        <v/>
      </c>
    </row>
    <row r="992">
      <c r="A992" s="58" t="inlineStr">
        <is>
          <t>RT20250125-00991</t>
        </is>
      </c>
      <c r="B992" s="59" t="inlineStr">
        <is>
          <t>2025-01-25</t>
        </is>
      </c>
      <c r="C992" s="60" t="inlineStr">
        <is>
          <t>Solace Bedding Plus-317</t>
        </is>
      </c>
      <c r="D992" s="58" t="inlineStr">
        <is>
          <t>Home</t>
        </is>
      </c>
      <c r="E992" s="58" t="inlineStr">
        <is>
          <t>Central</t>
        </is>
      </c>
      <c r="F992" s="61" t="n">
        <v>2</v>
      </c>
      <c r="G992" s="62" t="n">
        <v>588.88</v>
      </c>
      <c r="H992" s="63" t="n">
        <v>0.075</v>
      </c>
      <c r="I992" s="62" t="n">
        <v>383.15</v>
      </c>
      <c r="J992" s="58" t="inlineStr">
        <is>
          <t>Store</t>
        </is>
      </c>
      <c r="K992" s="62">
        <f>F992*(G992-H992)</f>
        <v/>
      </c>
      <c r="L992" s="62">
        <f>K992-(F992*I992)</f>
        <v/>
      </c>
      <c r="M992" s="64">
        <f>L992/K992</f>
        <v/>
      </c>
    </row>
    <row r="993">
      <c r="A993" s="58" t="inlineStr">
        <is>
          <t>RT20250125-00992</t>
        </is>
      </c>
      <c r="B993" s="59" t="inlineStr">
        <is>
          <t>2025-01-25</t>
        </is>
      </c>
      <c r="C993" s="60" t="inlineStr">
        <is>
          <t>Polar Men Pro-246</t>
        </is>
      </c>
      <c r="D993" s="58" t="inlineStr">
        <is>
          <t>Apparel</t>
        </is>
      </c>
      <c r="E993" s="58" t="inlineStr">
        <is>
          <t>West</t>
        </is>
      </c>
      <c r="F993" s="61" t="n">
        <v>1</v>
      </c>
      <c r="G993" s="62" t="n">
        <v>134.78</v>
      </c>
      <c r="H993" s="63" t="n">
        <v>0.054</v>
      </c>
      <c r="I993" s="62" t="n">
        <v>74.52</v>
      </c>
      <c r="J993" s="58" t="inlineStr">
        <is>
          <t>Store</t>
        </is>
      </c>
      <c r="K993" s="62">
        <f>F993*(G993-H993)</f>
        <v/>
      </c>
      <c r="L993" s="62">
        <f>K993-(F993*I993)</f>
        <v/>
      </c>
      <c r="M993" s="64">
        <f>L993/K993</f>
        <v/>
      </c>
    </row>
    <row r="994">
      <c r="A994" s="58" t="inlineStr">
        <is>
          <t>RT20250125-00993</t>
        </is>
      </c>
      <c r="B994" s="59" t="inlineStr">
        <is>
          <t>2025-01-25</t>
        </is>
      </c>
      <c r="C994" s="60" t="inlineStr">
        <is>
          <t>Metro Accessorie Lite-697</t>
        </is>
      </c>
      <c r="D994" s="58" t="inlineStr">
        <is>
          <t>Apparel</t>
        </is>
      </c>
      <c r="E994" s="58" t="inlineStr">
        <is>
          <t>Central</t>
        </is>
      </c>
      <c r="F994" s="61" t="n">
        <v>2</v>
      </c>
      <c r="G994" s="62" t="n">
        <v>135.47</v>
      </c>
      <c r="H994" s="63" t="n">
        <v>0.107</v>
      </c>
      <c r="I994" s="62" t="n">
        <v>73.84</v>
      </c>
      <c r="J994" s="58" t="inlineStr">
        <is>
          <t>Online</t>
        </is>
      </c>
      <c r="K994" s="62">
        <f>F994*(G994-H994)</f>
        <v/>
      </c>
      <c r="L994" s="62">
        <f>K994-(F994*I994)</f>
        <v/>
      </c>
      <c r="M994" s="64">
        <f>L994/K994</f>
        <v/>
      </c>
    </row>
    <row r="995">
      <c r="A995" s="58" t="inlineStr">
        <is>
          <t>RT20250125-00994</t>
        </is>
      </c>
      <c r="B995" s="59" t="inlineStr">
        <is>
          <t>2025-01-25</t>
        </is>
      </c>
      <c r="C995" s="60" t="inlineStr">
        <is>
          <t>Aurora Team Sport Plus-256</t>
        </is>
      </c>
      <c r="D995" s="58" t="inlineStr">
        <is>
          <t>Sports</t>
        </is>
      </c>
      <c r="E995" s="58" t="inlineStr">
        <is>
          <t>East</t>
        </is>
      </c>
      <c r="F995" s="61" t="n">
        <v>1</v>
      </c>
      <c r="G995" s="62" t="n">
        <v>625.09</v>
      </c>
      <c r="H995" s="63" t="n">
        <v>0.041</v>
      </c>
      <c r="I995" s="62" t="n">
        <v>424.28</v>
      </c>
      <c r="J995" s="58" t="inlineStr">
        <is>
          <t>Online</t>
        </is>
      </c>
      <c r="K995" s="62">
        <f>F995*(G995-H995)</f>
        <v/>
      </c>
      <c r="L995" s="62">
        <f>K995-(F995*I995)</f>
        <v/>
      </c>
      <c r="M995" s="64">
        <f>L995/K995</f>
        <v/>
      </c>
    </row>
    <row r="996">
      <c r="A996" s="58" t="inlineStr">
        <is>
          <t>RT20250125-00995</t>
        </is>
      </c>
      <c r="B996" s="59" t="inlineStr">
        <is>
          <t>2025-01-25</t>
        </is>
      </c>
      <c r="C996" s="60" t="inlineStr">
        <is>
          <t>Metro Beverage Max-490</t>
        </is>
      </c>
      <c r="D996" s="58" t="inlineStr">
        <is>
          <t>Grocery</t>
        </is>
      </c>
      <c r="E996" s="58" t="inlineStr">
        <is>
          <t>West</t>
        </is>
      </c>
      <c r="F996" s="61" t="n">
        <v>5</v>
      </c>
      <c r="G996" s="62" t="n">
        <v>10.56</v>
      </c>
      <c r="H996" s="63" t="n">
        <v>0.08799999999999999</v>
      </c>
      <c r="I996" s="62" t="n">
        <v>8.31</v>
      </c>
      <c r="J996" s="58" t="inlineStr">
        <is>
          <t>Store</t>
        </is>
      </c>
      <c r="K996" s="62">
        <f>F996*(G996-H996)</f>
        <v/>
      </c>
      <c r="L996" s="62">
        <f>K996-(F996*I996)</f>
        <v/>
      </c>
      <c r="M996" s="64">
        <f>L996/K996</f>
        <v/>
      </c>
    </row>
    <row r="997">
      <c r="A997" s="58" t="inlineStr">
        <is>
          <t>RT20250125-00996</t>
        </is>
      </c>
      <c r="B997" s="59" t="inlineStr">
        <is>
          <t>2025-01-25</t>
        </is>
      </c>
      <c r="C997" s="60" t="inlineStr">
        <is>
          <t>Solace Snack S-691</t>
        </is>
      </c>
      <c r="D997" s="58" t="inlineStr">
        <is>
          <t>Grocery</t>
        </is>
      </c>
      <c r="E997" s="58" t="inlineStr">
        <is>
          <t>Central</t>
        </is>
      </c>
      <c r="F997" s="61" t="n">
        <v>2</v>
      </c>
      <c r="G997" s="62" t="n">
        <v>8.279999999999999</v>
      </c>
      <c r="H997" s="63" t="n">
        <v>0.045</v>
      </c>
      <c r="I997" s="62" t="n">
        <v>7.18</v>
      </c>
      <c r="J997" s="58" t="inlineStr">
        <is>
          <t>Phone</t>
        </is>
      </c>
      <c r="K997" s="62">
        <f>F997*(G997-H997)</f>
        <v/>
      </c>
      <c r="L997" s="62">
        <f>K997-(F997*I997)</f>
        <v/>
      </c>
      <c r="M997" s="64">
        <f>L997/K997</f>
        <v/>
      </c>
    </row>
    <row r="998">
      <c r="A998" s="58" t="inlineStr">
        <is>
          <t>RT20250125-00997</t>
        </is>
      </c>
      <c r="B998" s="59" t="inlineStr">
        <is>
          <t>2025-01-25</t>
        </is>
      </c>
      <c r="C998" s="60" t="inlineStr">
        <is>
          <t>Metro Outdoor Plus-787</t>
        </is>
      </c>
      <c r="D998" s="58" t="inlineStr">
        <is>
          <t>Sports</t>
        </is>
      </c>
      <c r="E998" s="58" t="inlineStr">
        <is>
          <t>North</t>
        </is>
      </c>
      <c r="F998" s="61" t="n">
        <v>2</v>
      </c>
      <c r="G998" s="62" t="n">
        <v>488.61</v>
      </c>
      <c r="H998" s="63" t="n">
        <v>0.08400000000000001</v>
      </c>
      <c r="I998" s="62" t="n">
        <v>358.95</v>
      </c>
      <c r="J998" s="58" t="inlineStr">
        <is>
          <t>Online</t>
        </is>
      </c>
      <c r="K998" s="62">
        <f>F998*(G998-H998)</f>
        <v/>
      </c>
      <c r="L998" s="62">
        <f>K998-(F998*I998)</f>
        <v/>
      </c>
      <c r="M998" s="64">
        <f>L998/K998</f>
        <v/>
      </c>
    </row>
    <row r="999">
      <c r="A999" s="58" t="inlineStr">
        <is>
          <t>RT20250125-00998</t>
        </is>
      </c>
      <c r="B999" s="59" t="inlineStr">
        <is>
          <t>2025-01-25</t>
        </is>
      </c>
      <c r="C999" s="60" t="inlineStr">
        <is>
          <t>Orion Kitchen Pro-568</t>
        </is>
      </c>
      <c r="D999" s="58" t="inlineStr">
        <is>
          <t>Home</t>
        </is>
      </c>
      <c r="E999" s="58" t="inlineStr">
        <is>
          <t>West</t>
        </is>
      </c>
      <c r="F999" s="61" t="n">
        <v>2</v>
      </c>
      <c r="G999" s="62" t="n">
        <v>500.94</v>
      </c>
      <c r="H999" s="63" t="n">
        <v>0.053</v>
      </c>
      <c r="I999" s="62" t="n">
        <v>308.16</v>
      </c>
      <c r="J999" s="58" t="inlineStr">
        <is>
          <t>Store</t>
        </is>
      </c>
      <c r="K999" s="62">
        <f>F999*(G999-H999)</f>
        <v/>
      </c>
      <c r="L999" s="62">
        <f>K999-(F999*I999)</f>
        <v/>
      </c>
      <c r="M999" s="64">
        <f>L999/K999</f>
        <v/>
      </c>
    </row>
    <row r="1000">
      <c r="A1000" s="58" t="inlineStr">
        <is>
          <t>RT20250125-00999</t>
        </is>
      </c>
      <c r="B1000" s="59" t="inlineStr">
        <is>
          <t>2025-01-25</t>
        </is>
      </c>
      <c r="C1000" s="60" t="inlineStr">
        <is>
          <t>Aurora Makeup Pro-489</t>
        </is>
      </c>
      <c r="D1000" s="58" t="inlineStr">
        <is>
          <t>Beauty</t>
        </is>
      </c>
      <c r="E1000" s="58" t="inlineStr">
        <is>
          <t>West</t>
        </is>
      </c>
      <c r="F1000" s="61" t="n">
        <v>2</v>
      </c>
      <c r="G1000" s="62" t="n">
        <v>100.65</v>
      </c>
      <c r="H1000" s="63" t="n">
        <v>0.04</v>
      </c>
      <c r="I1000" s="62" t="n">
        <v>61.47</v>
      </c>
      <c r="J1000" s="58" t="inlineStr">
        <is>
          <t>Store</t>
        </is>
      </c>
      <c r="K1000" s="62">
        <f>F1000*(G1000-H1000)</f>
        <v/>
      </c>
      <c r="L1000" s="62">
        <f>K1000-(F1000*I1000)</f>
        <v/>
      </c>
      <c r="M1000" s="64">
        <f>L1000/K1000</f>
        <v/>
      </c>
    </row>
    <row r="1001">
      <c r="A1001" s="58" t="inlineStr">
        <is>
          <t>RT20250125-01000</t>
        </is>
      </c>
      <c r="B1001" s="59" t="inlineStr">
        <is>
          <t>2025-01-25</t>
        </is>
      </c>
      <c r="C1001" s="60" t="inlineStr">
        <is>
          <t>Nimbus Fitnes Lite-516</t>
        </is>
      </c>
      <c r="D1001" s="58" t="inlineStr">
        <is>
          <t>Sports</t>
        </is>
      </c>
      <c r="E1001" s="58" t="inlineStr">
        <is>
          <t>East</t>
        </is>
      </c>
      <c r="F1001" s="61" t="n">
        <v>3</v>
      </c>
      <c r="G1001" s="62" t="n">
        <v>679.97</v>
      </c>
      <c r="H1001" s="63" t="n">
        <v>0.08400000000000001</v>
      </c>
      <c r="I1001" s="62" t="n">
        <v>482.23</v>
      </c>
      <c r="J1001" s="58" t="inlineStr">
        <is>
          <t>Phone</t>
        </is>
      </c>
      <c r="K1001" s="62">
        <f>F1001*(G1001-H1001)</f>
        <v/>
      </c>
      <c r="L1001" s="62">
        <f>K1001-(F1001*I1001)</f>
        <v/>
      </c>
      <c r="M1001" s="64">
        <f>L1001/K1001</f>
        <v/>
      </c>
    </row>
    <row r="1002">
      <c r="A1002" s="58" t="inlineStr">
        <is>
          <t>RT20250125-01001</t>
        </is>
      </c>
      <c r="B1002" s="59" t="inlineStr">
        <is>
          <t>2025-01-25</t>
        </is>
      </c>
      <c r="C1002" s="60" t="inlineStr">
        <is>
          <t>Vertex Fitnes Pro-830</t>
        </is>
      </c>
      <c r="D1002" s="58" t="inlineStr">
        <is>
          <t>Sports</t>
        </is>
      </c>
      <c r="E1002" s="58" t="inlineStr">
        <is>
          <t>East</t>
        </is>
      </c>
      <c r="F1002" s="61" t="n">
        <v>1</v>
      </c>
      <c r="G1002" s="62" t="n">
        <v>764.11</v>
      </c>
      <c r="H1002" s="63" t="n">
        <v>0.099</v>
      </c>
      <c r="I1002" s="62" t="n">
        <v>479.35</v>
      </c>
      <c r="J1002" s="58" t="inlineStr">
        <is>
          <t>Store</t>
        </is>
      </c>
      <c r="K1002" s="62">
        <f>F1002*(G1002-H1002)</f>
        <v/>
      </c>
      <c r="L1002" s="62">
        <f>K1002-(F1002*I1002)</f>
        <v/>
      </c>
      <c r="M1002" s="64">
        <f>L1002/K1002</f>
        <v/>
      </c>
    </row>
    <row r="1003">
      <c r="A1003" s="58" t="inlineStr">
        <is>
          <t>RT20250125-01002</t>
        </is>
      </c>
      <c r="B1003" s="59" t="inlineStr">
        <is>
          <t>2025-01-25</t>
        </is>
      </c>
      <c r="C1003" s="60" t="inlineStr">
        <is>
          <t>Nimbus Women Plus-352</t>
        </is>
      </c>
      <c r="D1003" s="58" t="inlineStr">
        <is>
          <t>Apparel</t>
        </is>
      </c>
      <c r="E1003" s="58" t="inlineStr">
        <is>
          <t>East</t>
        </is>
      </c>
      <c r="F1003" s="61" t="n">
        <v>3</v>
      </c>
      <c r="G1003" s="62" t="n">
        <v>59.68</v>
      </c>
      <c r="H1003" s="63" t="n">
        <v>0</v>
      </c>
      <c r="I1003" s="62" t="n">
        <v>32.11</v>
      </c>
      <c r="J1003" s="58" t="inlineStr">
        <is>
          <t>Store</t>
        </is>
      </c>
      <c r="K1003" s="62">
        <f>F1003*(G1003-H1003)</f>
        <v/>
      </c>
      <c r="L1003" s="62">
        <f>K1003-(F1003*I1003)</f>
        <v/>
      </c>
      <c r="M1003" s="64">
        <f>L1003/K1003</f>
        <v/>
      </c>
    </row>
    <row r="1004">
      <c r="A1004" s="58" t="inlineStr">
        <is>
          <t>RT20250125-01003</t>
        </is>
      </c>
      <c r="B1004" s="59" t="inlineStr">
        <is>
          <t>2025-01-25</t>
        </is>
      </c>
      <c r="C1004" s="60" t="inlineStr">
        <is>
          <t>Orion Kid Max-640</t>
        </is>
      </c>
      <c r="D1004" s="58" t="inlineStr">
        <is>
          <t>Apparel</t>
        </is>
      </c>
      <c r="E1004" s="58" t="inlineStr">
        <is>
          <t>South</t>
        </is>
      </c>
      <c r="F1004" s="61" t="n">
        <v>3</v>
      </c>
      <c r="G1004" s="62" t="n">
        <v>102.84</v>
      </c>
      <c r="H1004" s="63" t="n">
        <v>0.036</v>
      </c>
      <c r="I1004" s="62" t="n">
        <v>70.63</v>
      </c>
      <c r="J1004" s="58" t="inlineStr">
        <is>
          <t>Online</t>
        </is>
      </c>
      <c r="K1004" s="62">
        <f>F1004*(G1004-H1004)</f>
        <v/>
      </c>
      <c r="L1004" s="62">
        <f>K1004-(F1004*I1004)</f>
        <v/>
      </c>
      <c r="M1004" s="64">
        <f>L1004/K1004</f>
        <v/>
      </c>
    </row>
    <row r="1005">
      <c r="A1005" s="58" t="inlineStr">
        <is>
          <t>RT20250125-01004</t>
        </is>
      </c>
      <c r="B1005" s="59" t="inlineStr">
        <is>
          <t>2025-01-25</t>
        </is>
      </c>
      <c r="C1005" s="60" t="inlineStr">
        <is>
          <t>Solace Team Sport Max-548</t>
        </is>
      </c>
      <c r="D1005" s="58" t="inlineStr">
        <is>
          <t>Sports</t>
        </is>
      </c>
      <c r="E1005" s="58" t="inlineStr">
        <is>
          <t>North</t>
        </is>
      </c>
      <c r="F1005" s="61" t="n">
        <v>3</v>
      </c>
      <c r="G1005" s="62" t="n">
        <v>847.99</v>
      </c>
      <c r="H1005" s="63" t="n">
        <v>0.076</v>
      </c>
      <c r="I1005" s="62" t="n">
        <v>467.23</v>
      </c>
      <c r="J1005" s="58" t="inlineStr">
        <is>
          <t>Store</t>
        </is>
      </c>
      <c r="K1005" s="62">
        <f>F1005*(G1005-H1005)</f>
        <v/>
      </c>
      <c r="L1005" s="62">
        <f>K1005-(F1005*I1005)</f>
        <v/>
      </c>
      <c r="M1005" s="64">
        <f>L1005/K1005</f>
        <v/>
      </c>
    </row>
    <row r="1006">
      <c r="A1006" s="58" t="inlineStr">
        <is>
          <t>RT20250125-01005</t>
        </is>
      </c>
      <c r="B1006" s="59" t="inlineStr">
        <is>
          <t>2025-01-25</t>
        </is>
      </c>
      <c r="C1006" s="60" t="inlineStr">
        <is>
          <t>Falcon Skincare Max-151</t>
        </is>
      </c>
      <c r="D1006" s="58" t="inlineStr">
        <is>
          <t>Beauty</t>
        </is>
      </c>
      <c r="E1006" s="58" t="inlineStr">
        <is>
          <t>East</t>
        </is>
      </c>
      <c r="F1006" s="61" t="n">
        <v>1</v>
      </c>
      <c r="G1006" s="62" t="n">
        <v>105.35</v>
      </c>
      <c r="H1006" s="63" t="n">
        <v>0.117</v>
      </c>
      <c r="I1006" s="62" t="n">
        <v>57.7</v>
      </c>
      <c r="J1006" s="58" t="inlineStr">
        <is>
          <t>Store</t>
        </is>
      </c>
      <c r="K1006" s="62">
        <f>F1006*(G1006-H1006)</f>
        <v/>
      </c>
      <c r="L1006" s="62">
        <f>K1006-(F1006*I1006)</f>
        <v/>
      </c>
      <c r="M1006" s="64">
        <f>L1006/K1006</f>
        <v/>
      </c>
    </row>
    <row r="1007">
      <c r="A1007" s="58" t="inlineStr">
        <is>
          <t>RT20250125-01006</t>
        </is>
      </c>
      <c r="B1007" s="59" t="inlineStr">
        <is>
          <t>2025-01-25</t>
        </is>
      </c>
      <c r="C1007" s="60" t="inlineStr">
        <is>
          <t>Nimbus Women Lite-814</t>
        </is>
      </c>
      <c r="D1007" s="58" t="inlineStr">
        <is>
          <t>Apparel</t>
        </is>
      </c>
      <c r="E1007" s="58" t="inlineStr">
        <is>
          <t>North</t>
        </is>
      </c>
      <c r="F1007" s="61" t="n">
        <v>3</v>
      </c>
      <c r="G1007" s="62" t="n">
        <v>158.59</v>
      </c>
      <c r="H1007" s="63" t="n">
        <v>0.076</v>
      </c>
      <c r="I1007" s="62" t="n">
        <v>82.87</v>
      </c>
      <c r="J1007" s="58" t="inlineStr">
        <is>
          <t>Store</t>
        </is>
      </c>
      <c r="K1007" s="62">
        <f>F1007*(G1007-H1007)</f>
        <v/>
      </c>
      <c r="L1007" s="62">
        <f>K1007-(F1007*I1007)</f>
        <v/>
      </c>
      <c r="M1007" s="64">
        <f>L1007/K1007</f>
        <v/>
      </c>
    </row>
    <row r="1008">
      <c r="A1008" s="58" t="inlineStr">
        <is>
          <t>RT20250125-01007</t>
        </is>
      </c>
      <c r="B1008" s="59" t="inlineStr">
        <is>
          <t>2025-01-25</t>
        </is>
      </c>
      <c r="C1008" s="60" t="inlineStr">
        <is>
          <t>Polar Wearable X-119</t>
        </is>
      </c>
      <c r="D1008" s="58" t="inlineStr">
        <is>
          <t>Electronics</t>
        </is>
      </c>
      <c r="E1008" s="58" t="inlineStr">
        <is>
          <t>East</t>
        </is>
      </c>
      <c r="F1008" s="61" t="n">
        <v>1</v>
      </c>
      <c r="G1008" s="62" t="n">
        <v>1780.14</v>
      </c>
      <c r="H1008" s="63" t="n">
        <v>0.074</v>
      </c>
      <c r="I1008" s="62" t="n">
        <v>1318.34</v>
      </c>
      <c r="J1008" s="58" t="inlineStr">
        <is>
          <t>Online</t>
        </is>
      </c>
      <c r="K1008" s="62">
        <f>F1008*(G1008-H1008)</f>
        <v/>
      </c>
      <c r="L1008" s="62">
        <f>K1008-(F1008*I1008)</f>
        <v/>
      </c>
      <c r="M1008" s="64">
        <f>L1008/K1008</f>
        <v/>
      </c>
    </row>
    <row r="1009">
      <c r="A1009" s="58" t="inlineStr">
        <is>
          <t>RT20250125-01008</t>
        </is>
      </c>
      <c r="B1009" s="59" t="inlineStr">
        <is>
          <t>2025-01-25</t>
        </is>
      </c>
      <c r="C1009" s="60" t="inlineStr">
        <is>
          <t>Solace Makeup Pro-214</t>
        </is>
      </c>
      <c r="D1009" s="58" t="inlineStr">
        <is>
          <t>Beauty</t>
        </is>
      </c>
      <c r="E1009" s="58" t="inlineStr">
        <is>
          <t>East</t>
        </is>
      </c>
      <c r="F1009" s="61" t="n">
        <v>4</v>
      </c>
      <c r="G1009" s="62" t="n">
        <v>108.63</v>
      </c>
      <c r="H1009" s="63" t="n">
        <v>0.108</v>
      </c>
      <c r="I1009" s="62" t="n">
        <v>68.59</v>
      </c>
      <c r="J1009" s="58" t="inlineStr">
        <is>
          <t>Online</t>
        </is>
      </c>
      <c r="K1009" s="62">
        <f>F1009*(G1009-H1009)</f>
        <v/>
      </c>
      <c r="L1009" s="62">
        <f>K1009-(F1009*I1009)</f>
        <v/>
      </c>
      <c r="M1009" s="64">
        <f>L1009/K1009</f>
        <v/>
      </c>
    </row>
    <row r="1010">
      <c r="A1010" s="58" t="inlineStr">
        <is>
          <t>RT20250125-01009</t>
        </is>
      </c>
      <c r="B1010" s="59" t="inlineStr">
        <is>
          <t>2025-01-25</t>
        </is>
      </c>
      <c r="C1010" s="60" t="inlineStr">
        <is>
          <t>Aurora Printer Plus-723</t>
        </is>
      </c>
      <c r="D1010" s="58" t="inlineStr">
        <is>
          <t>Office</t>
        </is>
      </c>
      <c r="E1010" s="58" t="inlineStr">
        <is>
          <t>West</t>
        </is>
      </c>
      <c r="F1010" s="61" t="n">
        <v>1</v>
      </c>
      <c r="G1010" s="62" t="n">
        <v>274.98</v>
      </c>
      <c r="H1010" s="63" t="n">
        <v>0.056</v>
      </c>
      <c r="I1010" s="62" t="n">
        <v>188.38</v>
      </c>
      <c r="J1010" s="58" t="inlineStr">
        <is>
          <t>Online</t>
        </is>
      </c>
      <c r="K1010" s="62">
        <f>F1010*(G1010-H1010)</f>
        <v/>
      </c>
      <c r="L1010" s="62">
        <f>K1010-(F1010*I1010)</f>
        <v/>
      </c>
      <c r="M1010" s="64">
        <f>L1010/K1010</f>
        <v/>
      </c>
    </row>
    <row r="1011">
      <c r="A1011" s="58" t="inlineStr">
        <is>
          <t>RT20250125-01010</t>
        </is>
      </c>
      <c r="B1011" s="59" t="inlineStr">
        <is>
          <t>2025-01-25</t>
        </is>
      </c>
      <c r="C1011" s="60" t="inlineStr">
        <is>
          <t>Polar Decor Plus-505</t>
        </is>
      </c>
      <c r="D1011" s="58" t="inlineStr">
        <is>
          <t>Home</t>
        </is>
      </c>
      <c r="E1011" s="58" t="inlineStr">
        <is>
          <t>West</t>
        </is>
      </c>
      <c r="F1011" s="61" t="n">
        <v>2</v>
      </c>
      <c r="G1011" s="62" t="n">
        <v>270.51</v>
      </c>
      <c r="H1011" s="63" t="n">
        <v>0.05</v>
      </c>
      <c r="I1011" s="62" t="n">
        <v>197.13</v>
      </c>
      <c r="J1011" s="58" t="inlineStr">
        <is>
          <t>Store</t>
        </is>
      </c>
      <c r="K1011" s="62">
        <f>F1011*(G1011-H1011)</f>
        <v/>
      </c>
      <c r="L1011" s="62">
        <f>K1011-(F1011*I1011)</f>
        <v/>
      </c>
      <c r="M1011" s="64">
        <f>L1011/K1011</f>
        <v/>
      </c>
    </row>
    <row r="1012">
      <c r="A1012" s="58" t="inlineStr">
        <is>
          <t>RT20250125-01011</t>
        </is>
      </c>
      <c r="B1012" s="59" t="inlineStr">
        <is>
          <t>2025-01-25</t>
        </is>
      </c>
      <c r="C1012" s="60" t="inlineStr">
        <is>
          <t>Aurora Haircare S-975</t>
        </is>
      </c>
      <c r="D1012" s="58" t="inlineStr">
        <is>
          <t>Beauty</t>
        </is>
      </c>
      <c r="E1012" s="58" t="inlineStr">
        <is>
          <t>Central</t>
        </is>
      </c>
      <c r="F1012" s="61" t="n">
        <v>2</v>
      </c>
      <c r="G1012" s="62" t="n">
        <v>98.87</v>
      </c>
      <c r="H1012" s="63" t="n">
        <v>0.049</v>
      </c>
      <c r="I1012" s="62" t="n">
        <v>57.79</v>
      </c>
      <c r="J1012" s="58" t="inlineStr">
        <is>
          <t>Online</t>
        </is>
      </c>
      <c r="K1012" s="62">
        <f>F1012*(G1012-H1012)</f>
        <v/>
      </c>
      <c r="L1012" s="62">
        <f>K1012-(F1012*I1012)</f>
        <v/>
      </c>
      <c r="M1012" s="64">
        <f>L1012/K1012</f>
        <v/>
      </c>
    </row>
    <row r="1013">
      <c r="A1013" s="58" t="inlineStr">
        <is>
          <t>RT20250125-01012</t>
        </is>
      </c>
      <c r="B1013" s="59" t="inlineStr">
        <is>
          <t>2025-01-25</t>
        </is>
      </c>
      <c r="C1013" s="60" t="inlineStr">
        <is>
          <t>Aurora Team Sport Plus-256</t>
        </is>
      </c>
      <c r="D1013" s="58" t="inlineStr">
        <is>
          <t>Sports</t>
        </is>
      </c>
      <c r="E1013" s="58" t="inlineStr">
        <is>
          <t>South</t>
        </is>
      </c>
      <c r="F1013" s="61" t="n">
        <v>1</v>
      </c>
      <c r="G1013" s="62" t="n">
        <v>640.7</v>
      </c>
      <c r="H1013" s="63" t="n">
        <v>0.038</v>
      </c>
      <c r="I1013" s="62" t="n">
        <v>427.88</v>
      </c>
      <c r="J1013" s="58" t="inlineStr">
        <is>
          <t>Store</t>
        </is>
      </c>
      <c r="K1013" s="62">
        <f>F1013*(G1013-H1013)</f>
        <v/>
      </c>
      <c r="L1013" s="62">
        <f>K1013-(F1013*I1013)</f>
        <v/>
      </c>
      <c r="M1013" s="64">
        <f>L1013/K1013</f>
        <v/>
      </c>
    </row>
    <row r="1014">
      <c r="A1014" s="58" t="inlineStr">
        <is>
          <t>RT20250125-01013</t>
        </is>
      </c>
      <c r="B1014" s="59" t="inlineStr">
        <is>
          <t>2025-01-25</t>
        </is>
      </c>
      <c r="C1014" s="60" t="inlineStr">
        <is>
          <t>Vertex Decor Pro-618</t>
        </is>
      </c>
      <c r="D1014" s="58" t="inlineStr">
        <is>
          <t>Home</t>
        </is>
      </c>
      <c r="E1014" s="58" t="inlineStr">
        <is>
          <t>West</t>
        </is>
      </c>
      <c r="F1014" s="61" t="n">
        <v>1</v>
      </c>
      <c r="G1014" s="62" t="n">
        <v>536.83</v>
      </c>
      <c r="H1014" s="63" t="n">
        <v>0.06</v>
      </c>
      <c r="I1014" s="62" t="n">
        <v>386.14</v>
      </c>
      <c r="J1014" s="58" t="inlineStr">
        <is>
          <t>Online</t>
        </is>
      </c>
      <c r="K1014" s="62">
        <f>F1014*(G1014-H1014)</f>
        <v/>
      </c>
      <c r="L1014" s="62">
        <f>K1014-(F1014*I1014)</f>
        <v/>
      </c>
      <c r="M1014" s="64">
        <f>L1014/K1014</f>
        <v/>
      </c>
    </row>
    <row r="1015">
      <c r="A1015" s="58" t="inlineStr">
        <is>
          <t>RT20250125-01014</t>
        </is>
      </c>
      <c r="B1015" s="59" t="inlineStr">
        <is>
          <t>2025-01-25</t>
        </is>
      </c>
      <c r="C1015" s="60" t="inlineStr">
        <is>
          <t>Orion Men X-928</t>
        </is>
      </c>
      <c r="D1015" s="58" t="inlineStr">
        <is>
          <t>Apparel</t>
        </is>
      </c>
      <c r="E1015" s="58" t="inlineStr">
        <is>
          <t>South</t>
        </is>
      </c>
      <c r="F1015" s="61" t="n">
        <v>4</v>
      </c>
      <c r="G1015" s="62" t="n">
        <v>112.65</v>
      </c>
      <c r="H1015" s="63" t="n">
        <v>0.07000000000000001</v>
      </c>
      <c r="I1015" s="62" t="n">
        <v>61.05</v>
      </c>
      <c r="J1015" s="58" t="inlineStr">
        <is>
          <t>Store</t>
        </is>
      </c>
      <c r="K1015" s="62">
        <f>F1015*(G1015-H1015)</f>
        <v/>
      </c>
      <c r="L1015" s="62">
        <f>K1015-(F1015*I1015)</f>
        <v/>
      </c>
      <c r="M1015" s="64">
        <f>L1015/K1015</f>
        <v/>
      </c>
    </row>
    <row r="1016">
      <c r="A1016" s="58" t="inlineStr">
        <is>
          <t>RT20250125-01015</t>
        </is>
      </c>
      <c r="B1016" s="59" t="inlineStr">
        <is>
          <t>2025-01-25</t>
        </is>
      </c>
      <c r="C1016" s="60" t="inlineStr">
        <is>
          <t>Polar Fragrance Pro-750</t>
        </is>
      </c>
      <c r="D1016" s="58" t="inlineStr">
        <is>
          <t>Beauty</t>
        </is>
      </c>
      <c r="E1016" s="58" t="inlineStr">
        <is>
          <t>North</t>
        </is>
      </c>
      <c r="F1016" s="61" t="n">
        <v>2</v>
      </c>
      <c r="G1016" s="62" t="n">
        <v>68.76000000000001</v>
      </c>
      <c r="H1016" s="63" t="n">
        <v>0.018</v>
      </c>
      <c r="I1016" s="62" t="n">
        <v>37.74</v>
      </c>
      <c r="J1016" s="58" t="inlineStr">
        <is>
          <t>Store</t>
        </is>
      </c>
      <c r="K1016" s="62">
        <f>F1016*(G1016-H1016)</f>
        <v/>
      </c>
      <c r="L1016" s="62">
        <f>K1016-(F1016*I1016)</f>
        <v/>
      </c>
      <c r="M1016" s="64">
        <f>L1016/K1016</f>
        <v/>
      </c>
    </row>
    <row r="1017">
      <c r="A1017" s="58" t="inlineStr">
        <is>
          <t>RT20250125-01016</t>
        </is>
      </c>
      <c r="B1017" s="59" t="inlineStr">
        <is>
          <t>2025-01-25</t>
        </is>
      </c>
      <c r="C1017" s="60" t="inlineStr">
        <is>
          <t>Polar Pantry Lite-392</t>
        </is>
      </c>
      <c r="D1017" s="58" t="inlineStr">
        <is>
          <t>Grocery</t>
        </is>
      </c>
      <c r="E1017" s="58" t="inlineStr">
        <is>
          <t>South</t>
        </is>
      </c>
      <c r="F1017" s="61" t="n">
        <v>5</v>
      </c>
      <c r="G1017" s="62" t="n">
        <v>6.07</v>
      </c>
      <c r="H1017" s="63" t="n">
        <v>0.027</v>
      </c>
      <c r="I1017" s="62" t="n">
        <v>4.47</v>
      </c>
      <c r="J1017" s="58" t="inlineStr">
        <is>
          <t>Online</t>
        </is>
      </c>
      <c r="K1017" s="62">
        <f>F1017*(G1017-H1017)</f>
        <v/>
      </c>
      <c r="L1017" s="62">
        <f>K1017-(F1017*I1017)</f>
        <v/>
      </c>
      <c r="M1017" s="64">
        <f>L1017/K1017</f>
        <v/>
      </c>
    </row>
    <row r="1018">
      <c r="A1018" s="58" t="inlineStr">
        <is>
          <t>RT20250125-01017</t>
        </is>
      </c>
      <c r="B1018" s="59" t="inlineStr">
        <is>
          <t>2025-01-25</t>
        </is>
      </c>
      <c r="C1018" s="60" t="inlineStr">
        <is>
          <t>Aurora Kid Plus-151</t>
        </is>
      </c>
      <c r="D1018" s="58" t="inlineStr">
        <is>
          <t>Apparel</t>
        </is>
      </c>
      <c r="E1018" s="58" t="inlineStr">
        <is>
          <t>East</t>
        </is>
      </c>
      <c r="F1018" s="61" t="n">
        <v>4</v>
      </c>
      <c r="G1018" s="62" t="n">
        <v>105.3</v>
      </c>
      <c r="H1018" s="63" t="n">
        <v>0.089</v>
      </c>
      <c r="I1018" s="62" t="n">
        <v>66.40000000000001</v>
      </c>
      <c r="J1018" s="58" t="inlineStr">
        <is>
          <t>Store</t>
        </is>
      </c>
      <c r="K1018" s="62">
        <f>F1018*(G1018-H1018)</f>
        <v/>
      </c>
      <c r="L1018" s="62">
        <f>K1018-(F1018*I1018)</f>
        <v/>
      </c>
      <c r="M1018" s="64">
        <f>L1018/K1018</f>
        <v/>
      </c>
    </row>
    <row r="1019">
      <c r="A1019" s="58" t="inlineStr">
        <is>
          <t>RT20250125-01018</t>
        </is>
      </c>
      <c r="B1019" s="59" t="inlineStr">
        <is>
          <t>2025-01-25</t>
        </is>
      </c>
      <c r="C1019" s="60" t="inlineStr">
        <is>
          <t>Aurora Makeup S-626</t>
        </is>
      </c>
      <c r="D1019" s="58" t="inlineStr">
        <is>
          <t>Beauty</t>
        </is>
      </c>
      <c r="E1019" s="58" t="inlineStr">
        <is>
          <t>East</t>
        </is>
      </c>
      <c r="F1019" s="61" t="n">
        <v>3</v>
      </c>
      <c r="G1019" s="62" t="n">
        <v>108.54</v>
      </c>
      <c r="H1019" s="63" t="n">
        <v>0.014</v>
      </c>
      <c r="I1019" s="62" t="n">
        <v>62.83</v>
      </c>
      <c r="J1019" s="58" t="inlineStr">
        <is>
          <t>Store</t>
        </is>
      </c>
      <c r="K1019" s="62">
        <f>F1019*(G1019-H1019)</f>
        <v/>
      </c>
      <c r="L1019" s="62">
        <f>K1019-(F1019*I1019)</f>
        <v/>
      </c>
      <c r="M1019" s="64">
        <f>L1019/K1019</f>
        <v/>
      </c>
    </row>
    <row r="1020">
      <c r="A1020" s="58" t="inlineStr">
        <is>
          <t>RT20250125-01019</t>
        </is>
      </c>
      <c r="B1020" s="59" t="inlineStr">
        <is>
          <t>2025-01-25</t>
        </is>
      </c>
      <c r="C1020" s="60" t="inlineStr">
        <is>
          <t>Metro Fragrance Lite-261</t>
        </is>
      </c>
      <c r="D1020" s="58" t="inlineStr">
        <is>
          <t>Beauty</t>
        </is>
      </c>
      <c r="E1020" s="58" t="inlineStr">
        <is>
          <t>Central</t>
        </is>
      </c>
      <c r="F1020" s="61" t="n">
        <v>2</v>
      </c>
      <c r="G1020" s="62" t="n">
        <v>91.36</v>
      </c>
      <c r="H1020" s="63" t="n">
        <v>0.005</v>
      </c>
      <c r="I1020" s="62" t="n">
        <v>53.71</v>
      </c>
      <c r="J1020" s="58" t="inlineStr">
        <is>
          <t>Store</t>
        </is>
      </c>
      <c r="K1020" s="62">
        <f>F1020*(G1020-H1020)</f>
        <v/>
      </c>
      <c r="L1020" s="62">
        <f>K1020-(F1020*I1020)</f>
        <v/>
      </c>
      <c r="M1020" s="64">
        <f>L1020/K1020</f>
        <v/>
      </c>
    </row>
    <row r="1021">
      <c r="A1021" s="58" t="inlineStr">
        <is>
          <t>RT20250125-01020</t>
        </is>
      </c>
      <c r="B1021" s="59" t="inlineStr">
        <is>
          <t>2025-01-25</t>
        </is>
      </c>
      <c r="C1021" s="60" t="inlineStr">
        <is>
          <t>Polar Supplie Lite-348</t>
        </is>
      </c>
      <c r="D1021" s="58" t="inlineStr">
        <is>
          <t>Office</t>
        </is>
      </c>
      <c r="E1021" s="58" t="inlineStr">
        <is>
          <t>Central</t>
        </is>
      </c>
      <c r="F1021" s="61" t="n">
        <v>1</v>
      </c>
      <c r="G1021" s="62" t="n">
        <v>421.27</v>
      </c>
      <c r="H1021" s="63" t="n">
        <v>0.006</v>
      </c>
      <c r="I1021" s="62" t="n">
        <v>316.85</v>
      </c>
      <c r="J1021" s="58" t="inlineStr">
        <is>
          <t>Phone</t>
        </is>
      </c>
      <c r="K1021" s="62">
        <f>F1021*(G1021-H1021)</f>
        <v/>
      </c>
      <c r="L1021" s="62">
        <f>K1021-(F1021*I1021)</f>
        <v/>
      </c>
      <c r="M1021" s="64">
        <f>L1021/K1021</f>
        <v/>
      </c>
    </row>
    <row r="1022">
      <c r="A1022" s="58" t="inlineStr">
        <is>
          <t>RT20250125-01021</t>
        </is>
      </c>
      <c r="B1022" s="59" t="inlineStr">
        <is>
          <t>2025-01-25</t>
        </is>
      </c>
      <c r="C1022" s="60" t="inlineStr">
        <is>
          <t>Orion Storage Plus-961</t>
        </is>
      </c>
      <c r="D1022" s="58" t="inlineStr">
        <is>
          <t>Office</t>
        </is>
      </c>
      <c r="E1022" s="58" t="inlineStr">
        <is>
          <t>West</t>
        </is>
      </c>
      <c r="F1022" s="61" t="n">
        <v>3</v>
      </c>
      <c r="G1022" s="62" t="n">
        <v>540.52</v>
      </c>
      <c r="H1022" s="63" t="n">
        <v>0.08599999999999999</v>
      </c>
      <c r="I1022" s="62" t="n">
        <v>357.34</v>
      </c>
      <c r="J1022" s="58" t="inlineStr">
        <is>
          <t>Store</t>
        </is>
      </c>
      <c r="K1022" s="62">
        <f>F1022*(G1022-H1022)</f>
        <v/>
      </c>
      <c r="L1022" s="62">
        <f>K1022-(F1022*I1022)</f>
        <v/>
      </c>
      <c r="M1022" s="64">
        <f>L1022/K1022</f>
        <v/>
      </c>
    </row>
    <row r="1023">
      <c r="A1023" s="58" t="inlineStr">
        <is>
          <t>RT20250125-01022</t>
        </is>
      </c>
      <c r="B1023" s="59" t="inlineStr">
        <is>
          <t>2025-01-25</t>
        </is>
      </c>
      <c r="C1023" s="60" t="inlineStr">
        <is>
          <t>Polar Cycling S-223</t>
        </is>
      </c>
      <c r="D1023" s="58" t="inlineStr">
        <is>
          <t>Sports</t>
        </is>
      </c>
      <c r="E1023" s="58" t="inlineStr">
        <is>
          <t>East</t>
        </is>
      </c>
      <c r="F1023" s="61" t="n">
        <v>1</v>
      </c>
      <c r="G1023" s="62" t="n">
        <v>978.04</v>
      </c>
      <c r="H1023" s="63" t="n">
        <v>0.01</v>
      </c>
      <c r="I1023" s="62" t="n">
        <v>627.4299999999999</v>
      </c>
      <c r="J1023" s="58" t="inlineStr">
        <is>
          <t>Online</t>
        </is>
      </c>
      <c r="K1023" s="62">
        <f>F1023*(G1023-H1023)</f>
        <v/>
      </c>
      <c r="L1023" s="62">
        <f>K1023-(F1023*I1023)</f>
        <v/>
      </c>
      <c r="M1023" s="64">
        <f>L1023/K1023</f>
        <v/>
      </c>
    </row>
    <row r="1024">
      <c r="A1024" s="58" t="inlineStr">
        <is>
          <t>RT20250125-01023</t>
        </is>
      </c>
      <c r="B1024" s="59" t="inlineStr">
        <is>
          <t>2025-01-25</t>
        </is>
      </c>
      <c r="C1024" s="60" t="inlineStr">
        <is>
          <t>Polar Fragrance Pro-750</t>
        </is>
      </c>
      <c r="D1024" s="58" t="inlineStr">
        <is>
          <t>Beauty</t>
        </is>
      </c>
      <c r="E1024" s="58" t="inlineStr">
        <is>
          <t>East</t>
        </is>
      </c>
      <c r="F1024" s="61" t="n">
        <v>5</v>
      </c>
      <c r="G1024" s="62" t="n">
        <v>66.2</v>
      </c>
      <c r="H1024" s="63" t="n">
        <v>0.049</v>
      </c>
      <c r="I1024" s="62" t="n">
        <v>38.09</v>
      </c>
      <c r="J1024" s="58" t="inlineStr">
        <is>
          <t>Store</t>
        </is>
      </c>
      <c r="K1024" s="62">
        <f>F1024*(G1024-H1024)</f>
        <v/>
      </c>
      <c r="L1024" s="62">
        <f>K1024-(F1024*I1024)</f>
        <v/>
      </c>
      <c r="M1024" s="64">
        <f>L1024/K1024</f>
        <v/>
      </c>
    </row>
    <row r="1025">
      <c r="A1025" s="58" t="inlineStr">
        <is>
          <t>RT20250125-01024</t>
        </is>
      </c>
      <c r="B1025" s="59" t="inlineStr">
        <is>
          <t>2025-01-25</t>
        </is>
      </c>
      <c r="C1025" s="60" t="inlineStr">
        <is>
          <t>Aurora Appliance Lite-109</t>
        </is>
      </c>
      <c r="D1025" s="58" t="inlineStr">
        <is>
          <t>Home</t>
        </is>
      </c>
      <c r="E1025" s="58" t="inlineStr">
        <is>
          <t>Central</t>
        </is>
      </c>
      <c r="F1025" s="61" t="n">
        <v>2</v>
      </c>
      <c r="G1025" s="62" t="n">
        <v>340.09</v>
      </c>
      <c r="H1025" s="63" t="n">
        <v>0.029</v>
      </c>
      <c r="I1025" s="62" t="n">
        <v>202.58</v>
      </c>
      <c r="J1025" s="58" t="inlineStr">
        <is>
          <t>Store</t>
        </is>
      </c>
      <c r="K1025" s="62">
        <f>F1025*(G1025-H1025)</f>
        <v/>
      </c>
      <c r="L1025" s="62">
        <f>K1025-(F1025*I1025)</f>
        <v/>
      </c>
      <c r="M1025" s="64">
        <f>L1025/K1025</f>
        <v/>
      </c>
    </row>
    <row r="1026">
      <c r="A1026" s="58" t="inlineStr">
        <is>
          <t>RT20250125-01025</t>
        </is>
      </c>
      <c r="B1026" s="59" t="inlineStr">
        <is>
          <t>2025-01-25</t>
        </is>
      </c>
      <c r="C1026" s="60" t="inlineStr">
        <is>
          <t>Aurora Household Plus-146</t>
        </is>
      </c>
      <c r="D1026" s="58" t="inlineStr">
        <is>
          <t>Grocery</t>
        </is>
      </c>
      <c r="E1026" s="58" t="inlineStr">
        <is>
          <t>East</t>
        </is>
      </c>
      <c r="F1026" s="61" t="n">
        <v>8</v>
      </c>
      <c r="G1026" s="62" t="n">
        <v>7.05</v>
      </c>
      <c r="H1026" s="63" t="n">
        <v>0.026</v>
      </c>
      <c r="I1026" s="62" t="n">
        <v>4.64</v>
      </c>
      <c r="J1026" s="58" t="inlineStr">
        <is>
          <t>Online</t>
        </is>
      </c>
      <c r="K1026" s="62">
        <f>F1026*(G1026-H1026)</f>
        <v/>
      </c>
      <c r="L1026" s="62">
        <f>K1026-(F1026*I1026)</f>
        <v/>
      </c>
      <c r="M1026" s="64">
        <f>L1026/K1026</f>
        <v/>
      </c>
    </row>
    <row r="1027">
      <c r="A1027" s="58" t="inlineStr">
        <is>
          <t>RT20250125-01026</t>
        </is>
      </c>
      <c r="B1027" s="59" t="inlineStr">
        <is>
          <t>2025-01-25</t>
        </is>
      </c>
      <c r="C1027" s="60" t="inlineStr">
        <is>
          <t>Falcon Haircare Pro-980</t>
        </is>
      </c>
      <c r="D1027" s="58" t="inlineStr">
        <is>
          <t>Beauty</t>
        </is>
      </c>
      <c r="E1027" s="58" t="inlineStr">
        <is>
          <t>West</t>
        </is>
      </c>
      <c r="F1027" s="61" t="n">
        <v>1</v>
      </c>
      <c r="G1027" s="62" t="n">
        <v>99.45999999999999</v>
      </c>
      <c r="H1027" s="63" t="n">
        <v>0.057</v>
      </c>
      <c r="I1027" s="62" t="n">
        <v>57.97</v>
      </c>
      <c r="J1027" s="58" t="inlineStr">
        <is>
          <t>Store</t>
        </is>
      </c>
      <c r="K1027" s="62">
        <f>F1027*(G1027-H1027)</f>
        <v/>
      </c>
      <c r="L1027" s="62">
        <f>K1027-(F1027*I1027)</f>
        <v/>
      </c>
      <c r="M1027" s="64">
        <f>L1027/K1027</f>
        <v/>
      </c>
    </row>
    <row r="1028">
      <c r="A1028" s="58" t="inlineStr">
        <is>
          <t>RT20250125-01027</t>
        </is>
      </c>
      <c r="B1028" s="59" t="inlineStr">
        <is>
          <t>2025-01-25</t>
        </is>
      </c>
      <c r="C1028" s="60" t="inlineStr">
        <is>
          <t>Metro Fragrance Lite-261</t>
        </is>
      </c>
      <c r="D1028" s="58" t="inlineStr">
        <is>
          <t>Beauty</t>
        </is>
      </c>
      <c r="E1028" s="58" t="inlineStr">
        <is>
          <t>Central</t>
        </is>
      </c>
      <c r="F1028" s="61" t="n">
        <v>4</v>
      </c>
      <c r="G1028" s="62" t="n">
        <v>99.55</v>
      </c>
      <c r="H1028" s="63" t="n">
        <v>0.033</v>
      </c>
      <c r="I1028" s="62" t="n">
        <v>53.94</v>
      </c>
      <c r="J1028" s="58" t="inlineStr">
        <is>
          <t>Online</t>
        </is>
      </c>
      <c r="K1028" s="62">
        <f>F1028*(G1028-H1028)</f>
        <v/>
      </c>
      <c r="L1028" s="62">
        <f>K1028-(F1028*I1028)</f>
        <v/>
      </c>
      <c r="M1028" s="64">
        <f>L1028/K1028</f>
        <v/>
      </c>
    </row>
    <row r="1029">
      <c r="A1029" s="58" t="inlineStr">
        <is>
          <t>RT20250125-01028</t>
        </is>
      </c>
      <c r="B1029" s="59" t="inlineStr">
        <is>
          <t>2025-01-25</t>
        </is>
      </c>
      <c r="C1029" s="60" t="inlineStr">
        <is>
          <t>Nimbus Cycling Plus-911</t>
        </is>
      </c>
      <c r="D1029" s="58" t="inlineStr">
        <is>
          <t>Sports</t>
        </is>
      </c>
      <c r="E1029" s="58" t="inlineStr">
        <is>
          <t>South</t>
        </is>
      </c>
      <c r="F1029" s="61" t="n">
        <v>1</v>
      </c>
      <c r="G1029" s="62" t="n">
        <v>478.5</v>
      </c>
      <c r="H1029" s="63" t="n">
        <v>0.03</v>
      </c>
      <c r="I1029" s="62" t="n">
        <v>396.62</v>
      </c>
      <c r="J1029" s="58" t="inlineStr">
        <is>
          <t>Online</t>
        </is>
      </c>
      <c r="K1029" s="62">
        <f>F1029*(G1029-H1029)</f>
        <v/>
      </c>
      <c r="L1029" s="62">
        <f>K1029-(F1029*I1029)</f>
        <v/>
      </c>
      <c r="M1029" s="64">
        <f>L1029/K1029</f>
        <v/>
      </c>
    </row>
    <row r="1030">
      <c r="A1030" s="58" t="inlineStr">
        <is>
          <t>RT20250125-01029</t>
        </is>
      </c>
      <c r="B1030" s="59" t="inlineStr">
        <is>
          <t>2025-01-25</t>
        </is>
      </c>
      <c r="C1030" s="60" t="inlineStr">
        <is>
          <t>Vertex Supplie Pro-786</t>
        </is>
      </c>
      <c r="D1030" s="58" t="inlineStr">
        <is>
          <t>Office</t>
        </is>
      </c>
      <c r="E1030" s="58" t="inlineStr">
        <is>
          <t>West</t>
        </is>
      </c>
      <c r="F1030" s="61" t="n">
        <v>1</v>
      </c>
      <c r="G1030" s="62" t="n">
        <v>448.16</v>
      </c>
      <c r="H1030" s="63" t="n">
        <v>0.083</v>
      </c>
      <c r="I1030" s="62" t="n">
        <v>289.17</v>
      </c>
      <c r="J1030" s="58" t="inlineStr">
        <is>
          <t>Store</t>
        </is>
      </c>
      <c r="K1030" s="62">
        <f>F1030*(G1030-H1030)</f>
        <v/>
      </c>
      <c r="L1030" s="62">
        <f>K1030-(F1030*I1030)</f>
        <v/>
      </c>
      <c r="M1030" s="64">
        <f>L1030/K1030</f>
        <v/>
      </c>
    </row>
    <row r="1031">
      <c r="A1031" s="58" t="inlineStr">
        <is>
          <t>RT20250125-01030</t>
        </is>
      </c>
      <c r="B1031" s="59" t="inlineStr">
        <is>
          <t>2025-01-25</t>
        </is>
      </c>
      <c r="C1031" s="60" t="inlineStr">
        <is>
          <t>Orion Laptop S-350</t>
        </is>
      </c>
      <c r="D1031" s="58" t="inlineStr">
        <is>
          <t>Electronics</t>
        </is>
      </c>
      <c r="E1031" s="58" t="inlineStr">
        <is>
          <t>East</t>
        </is>
      </c>
      <c r="F1031" s="61" t="n">
        <v>2</v>
      </c>
      <c r="G1031" s="62" t="n">
        <v>1295.87</v>
      </c>
      <c r="H1031" s="63" t="n">
        <v>0.117</v>
      </c>
      <c r="I1031" s="62" t="n">
        <v>1059.21</v>
      </c>
      <c r="J1031" s="58" t="inlineStr">
        <is>
          <t>Store</t>
        </is>
      </c>
      <c r="K1031" s="62">
        <f>F1031*(G1031-H1031)</f>
        <v/>
      </c>
      <c r="L1031" s="62">
        <f>K1031-(F1031*I1031)</f>
        <v/>
      </c>
      <c r="M1031" s="64">
        <f>L1031/K1031</f>
        <v/>
      </c>
    </row>
    <row r="1032">
      <c r="A1032" s="58" t="inlineStr">
        <is>
          <t>RT20250125-01031</t>
        </is>
      </c>
      <c r="B1032" s="59" t="inlineStr">
        <is>
          <t>2025-01-25</t>
        </is>
      </c>
      <c r="C1032" s="60" t="inlineStr">
        <is>
          <t>Falcon Haircare Pro-980</t>
        </is>
      </c>
      <c r="D1032" s="58" t="inlineStr">
        <is>
          <t>Beauty</t>
        </is>
      </c>
      <c r="E1032" s="58" t="inlineStr">
        <is>
          <t>North</t>
        </is>
      </c>
      <c r="F1032" s="61" t="n">
        <v>3</v>
      </c>
      <c r="G1032" s="62" t="n">
        <v>90.95999999999999</v>
      </c>
      <c r="H1032" s="63" t="n">
        <v>0.097</v>
      </c>
      <c r="I1032" s="62" t="n">
        <v>58.52</v>
      </c>
      <c r="J1032" s="58" t="inlineStr">
        <is>
          <t>Online</t>
        </is>
      </c>
      <c r="K1032" s="62">
        <f>F1032*(G1032-H1032)</f>
        <v/>
      </c>
      <c r="L1032" s="62">
        <f>K1032-(F1032*I1032)</f>
        <v/>
      </c>
      <c r="M1032" s="64">
        <f>L1032/K1032</f>
        <v/>
      </c>
    </row>
    <row r="1033">
      <c r="A1033" s="58" t="inlineStr">
        <is>
          <t>RT20250125-01032</t>
        </is>
      </c>
      <c r="B1033" s="59" t="inlineStr">
        <is>
          <t>2025-01-25</t>
        </is>
      </c>
      <c r="C1033" s="60" t="inlineStr">
        <is>
          <t>Polar Decor X-935</t>
        </is>
      </c>
      <c r="D1033" s="58" t="inlineStr">
        <is>
          <t>Home</t>
        </is>
      </c>
      <c r="E1033" s="58" t="inlineStr">
        <is>
          <t>West</t>
        </is>
      </c>
      <c r="F1033" s="61" t="n">
        <v>2</v>
      </c>
      <c r="G1033" s="62" t="n">
        <v>274.62</v>
      </c>
      <c r="H1033" s="63" t="n">
        <v>0.013</v>
      </c>
      <c r="I1033" s="62" t="n">
        <v>205.17</v>
      </c>
      <c r="J1033" s="58" t="inlineStr">
        <is>
          <t>Store</t>
        </is>
      </c>
      <c r="K1033" s="62">
        <f>F1033*(G1033-H1033)</f>
        <v/>
      </c>
      <c r="L1033" s="62">
        <f>K1033-(F1033*I1033)</f>
        <v/>
      </c>
      <c r="M1033" s="64">
        <f>L1033/K1033</f>
        <v/>
      </c>
    </row>
    <row r="1034">
      <c r="A1034" s="58" t="inlineStr">
        <is>
          <t>RT20250125-01033</t>
        </is>
      </c>
      <c r="B1034" s="59" t="inlineStr">
        <is>
          <t>2025-01-25</t>
        </is>
      </c>
      <c r="C1034" s="60" t="inlineStr">
        <is>
          <t>Falcon Accessorie S-195</t>
        </is>
      </c>
      <c r="D1034" s="58" t="inlineStr">
        <is>
          <t>Apparel</t>
        </is>
      </c>
      <c r="E1034" s="58" t="inlineStr">
        <is>
          <t>Central</t>
        </is>
      </c>
      <c r="F1034" s="61" t="n">
        <v>4</v>
      </c>
      <c r="G1034" s="62" t="n">
        <v>80.26000000000001</v>
      </c>
      <c r="H1034" s="63" t="n">
        <v>0.019</v>
      </c>
      <c r="I1034" s="62" t="n">
        <v>41.66</v>
      </c>
      <c r="J1034" s="58" t="inlineStr">
        <is>
          <t>Online</t>
        </is>
      </c>
      <c r="K1034" s="62">
        <f>F1034*(G1034-H1034)</f>
        <v/>
      </c>
      <c r="L1034" s="62">
        <f>K1034-(F1034*I1034)</f>
        <v/>
      </c>
      <c r="M1034" s="64">
        <f>L1034/K1034</f>
        <v/>
      </c>
    </row>
    <row r="1035">
      <c r="A1035" s="58" t="inlineStr">
        <is>
          <t>RT20250125-01034</t>
        </is>
      </c>
      <c r="B1035" s="59" t="inlineStr">
        <is>
          <t>2025-01-25</t>
        </is>
      </c>
      <c r="C1035" s="60" t="inlineStr">
        <is>
          <t>Polar Pantry Lite-392</t>
        </is>
      </c>
      <c r="D1035" s="58" t="inlineStr">
        <is>
          <t>Grocery</t>
        </is>
      </c>
      <c r="E1035" s="58" t="inlineStr">
        <is>
          <t>East</t>
        </is>
      </c>
      <c r="F1035" s="61" t="n">
        <v>8</v>
      </c>
      <c r="G1035" s="62" t="n">
        <v>6.41</v>
      </c>
      <c r="H1035" s="63" t="n">
        <v>0.101</v>
      </c>
      <c r="I1035" s="62" t="n">
        <v>4.58</v>
      </c>
      <c r="J1035" s="58" t="inlineStr">
        <is>
          <t>Store</t>
        </is>
      </c>
      <c r="K1035" s="62">
        <f>F1035*(G1035-H1035)</f>
        <v/>
      </c>
      <c r="L1035" s="62">
        <f>K1035-(F1035*I1035)</f>
        <v/>
      </c>
      <c r="M1035" s="64">
        <f>L1035/K1035</f>
        <v/>
      </c>
    </row>
    <row r="1036">
      <c r="A1036" s="58" t="inlineStr">
        <is>
          <t>RT20250125-01035</t>
        </is>
      </c>
      <c r="B1036" s="59" t="inlineStr">
        <is>
          <t>2025-01-25</t>
        </is>
      </c>
      <c r="C1036" s="60" t="inlineStr">
        <is>
          <t>Nimbus Headphone X-854</t>
        </is>
      </c>
      <c r="D1036" s="58" t="inlineStr">
        <is>
          <t>Electronics</t>
        </is>
      </c>
      <c r="E1036" s="58" t="inlineStr">
        <is>
          <t>West</t>
        </is>
      </c>
      <c r="F1036" s="61" t="n">
        <v>2</v>
      </c>
      <c r="G1036" s="62" t="n">
        <v>1453.77</v>
      </c>
      <c r="H1036" s="63" t="n">
        <v>0.08500000000000001</v>
      </c>
      <c r="I1036" s="62" t="n">
        <v>1279.96</v>
      </c>
      <c r="J1036" s="58" t="inlineStr">
        <is>
          <t>Online</t>
        </is>
      </c>
      <c r="K1036" s="62">
        <f>F1036*(G1036-H1036)</f>
        <v/>
      </c>
      <c r="L1036" s="62">
        <f>K1036-(F1036*I1036)</f>
        <v/>
      </c>
      <c r="M1036" s="64">
        <f>L1036/K1036</f>
        <v/>
      </c>
    </row>
    <row r="1037">
      <c r="A1037" s="58" t="inlineStr">
        <is>
          <t>RT20250125-01036</t>
        </is>
      </c>
      <c r="B1037" s="59" t="inlineStr">
        <is>
          <t>2025-01-25</t>
        </is>
      </c>
      <c r="C1037" s="60" t="inlineStr">
        <is>
          <t>Nimbus Headphone X-854</t>
        </is>
      </c>
      <c r="D1037" s="58" t="inlineStr">
        <is>
          <t>Electronics</t>
        </is>
      </c>
      <c r="E1037" s="58" t="inlineStr">
        <is>
          <t>East</t>
        </is>
      </c>
      <c r="F1037" s="61" t="n">
        <v>1</v>
      </c>
      <c r="G1037" s="62" t="n">
        <v>1718.69</v>
      </c>
      <c r="H1037" s="63" t="n">
        <v>0.065</v>
      </c>
      <c r="I1037" s="62" t="n">
        <v>1239.47</v>
      </c>
      <c r="J1037" s="58" t="inlineStr">
        <is>
          <t>Store</t>
        </is>
      </c>
      <c r="K1037" s="62">
        <f>F1037*(G1037-H1037)</f>
        <v/>
      </c>
      <c r="L1037" s="62">
        <f>K1037-(F1037*I1037)</f>
        <v/>
      </c>
      <c r="M1037" s="64">
        <f>L1037/K1037</f>
        <v/>
      </c>
    </row>
    <row r="1038">
      <c r="A1038" s="58" t="inlineStr">
        <is>
          <t>RT20250125-01037</t>
        </is>
      </c>
      <c r="B1038" s="59" t="inlineStr">
        <is>
          <t>2025-01-25</t>
        </is>
      </c>
      <c r="C1038" s="60" t="inlineStr">
        <is>
          <t>Solace Kid S-384</t>
        </is>
      </c>
      <c r="D1038" s="58" t="inlineStr">
        <is>
          <t>Apparel</t>
        </is>
      </c>
      <c r="E1038" s="58" t="inlineStr">
        <is>
          <t>East</t>
        </is>
      </c>
      <c r="F1038" s="61" t="n">
        <v>2</v>
      </c>
      <c r="G1038" s="62" t="n">
        <v>95.65000000000001</v>
      </c>
      <c r="H1038" s="63" t="n">
        <v>0.07199999999999999</v>
      </c>
      <c r="I1038" s="62" t="n">
        <v>63.19</v>
      </c>
      <c r="J1038" s="58" t="inlineStr">
        <is>
          <t>Online</t>
        </is>
      </c>
      <c r="K1038" s="62">
        <f>F1038*(G1038-H1038)</f>
        <v/>
      </c>
      <c r="L1038" s="62">
        <f>K1038-(F1038*I1038)</f>
        <v/>
      </c>
      <c r="M1038" s="64">
        <f>L1038/K1038</f>
        <v/>
      </c>
    </row>
    <row r="1039">
      <c r="A1039" s="58" t="inlineStr">
        <is>
          <t>RT20250125-01038</t>
        </is>
      </c>
      <c r="B1039" s="59" t="inlineStr">
        <is>
          <t>2025-01-25</t>
        </is>
      </c>
      <c r="C1039" s="60" t="inlineStr">
        <is>
          <t>Aurora Outdoor Pro-467</t>
        </is>
      </c>
      <c r="D1039" s="58" t="inlineStr">
        <is>
          <t>Sports</t>
        </is>
      </c>
      <c r="E1039" s="58" t="inlineStr">
        <is>
          <t>East</t>
        </is>
      </c>
      <c r="F1039" s="61" t="n">
        <v>3</v>
      </c>
      <c r="G1039" s="62" t="n">
        <v>312.05</v>
      </c>
      <c r="H1039" s="63" t="n">
        <v>0.07000000000000001</v>
      </c>
      <c r="I1039" s="62" t="n">
        <v>190.09</v>
      </c>
      <c r="J1039" s="58" t="inlineStr">
        <is>
          <t>Store</t>
        </is>
      </c>
      <c r="K1039" s="62">
        <f>F1039*(G1039-H1039)</f>
        <v/>
      </c>
      <c r="L1039" s="62">
        <f>K1039-(F1039*I1039)</f>
        <v/>
      </c>
      <c r="M1039" s="64">
        <f>L1039/K1039</f>
        <v/>
      </c>
    </row>
    <row r="1040">
      <c r="A1040" s="58" t="inlineStr">
        <is>
          <t>RT20250125-01039</t>
        </is>
      </c>
      <c r="B1040" s="59" t="inlineStr">
        <is>
          <t>2025-01-25</t>
        </is>
      </c>
      <c r="C1040" s="60" t="inlineStr">
        <is>
          <t>Vertex Supplie X-513</t>
        </is>
      </c>
      <c r="D1040" s="58" t="inlineStr">
        <is>
          <t>Office</t>
        </is>
      </c>
      <c r="E1040" s="58" t="inlineStr">
        <is>
          <t>South</t>
        </is>
      </c>
      <c r="F1040" s="61" t="n">
        <v>2</v>
      </c>
      <c r="G1040" s="62" t="n">
        <v>405.67</v>
      </c>
      <c r="H1040" s="63" t="n">
        <v>0.049</v>
      </c>
      <c r="I1040" s="62" t="n">
        <v>278.61</v>
      </c>
      <c r="J1040" s="58" t="inlineStr">
        <is>
          <t>Store</t>
        </is>
      </c>
      <c r="K1040" s="62">
        <f>F1040*(G1040-H1040)</f>
        <v/>
      </c>
      <c r="L1040" s="62">
        <f>K1040-(F1040*I1040)</f>
        <v/>
      </c>
      <c r="M1040" s="64">
        <f>L1040/K1040</f>
        <v/>
      </c>
    </row>
    <row r="1041">
      <c r="A1041" s="58" t="inlineStr">
        <is>
          <t>RT20250125-01040</t>
        </is>
      </c>
      <c r="B1041" s="59" t="inlineStr">
        <is>
          <t>2025-01-25</t>
        </is>
      </c>
      <c r="C1041" s="60" t="inlineStr">
        <is>
          <t>Vertex Accessorie Pro-881</t>
        </is>
      </c>
      <c r="D1041" s="58" t="inlineStr">
        <is>
          <t>Apparel</t>
        </is>
      </c>
      <c r="E1041" s="58" t="inlineStr">
        <is>
          <t>Central</t>
        </is>
      </c>
      <c r="F1041" s="61" t="n">
        <v>3</v>
      </c>
      <c r="G1041" s="62" t="n">
        <v>104.45</v>
      </c>
      <c r="H1041" s="63" t="n">
        <v>0.025</v>
      </c>
      <c r="I1041" s="62" t="n">
        <v>63.39</v>
      </c>
      <c r="J1041" s="58" t="inlineStr">
        <is>
          <t>Online</t>
        </is>
      </c>
      <c r="K1041" s="62">
        <f>F1041*(G1041-H1041)</f>
        <v/>
      </c>
      <c r="L1041" s="62">
        <f>K1041-(F1041*I1041)</f>
        <v/>
      </c>
      <c r="M1041" s="64">
        <f>L1041/K1041</f>
        <v/>
      </c>
    </row>
    <row r="1042">
      <c r="A1042" s="58" t="inlineStr">
        <is>
          <t>RT20250125-01041</t>
        </is>
      </c>
      <c r="B1042" s="59" t="inlineStr">
        <is>
          <t>2025-01-25</t>
        </is>
      </c>
      <c r="C1042" s="60" t="inlineStr">
        <is>
          <t>Polar Laptop Plus-984</t>
        </is>
      </c>
      <c r="D1042" s="58" t="inlineStr">
        <is>
          <t>Electronics</t>
        </is>
      </c>
      <c r="E1042" s="58" t="inlineStr">
        <is>
          <t>West</t>
        </is>
      </c>
      <c r="F1042" s="61" t="n">
        <v>1</v>
      </c>
      <c r="G1042" s="62" t="n">
        <v>1283.94</v>
      </c>
      <c r="H1042" s="63" t="n">
        <v>0.062</v>
      </c>
      <c r="I1042" s="62" t="n">
        <v>992.53</v>
      </c>
      <c r="J1042" s="58" t="inlineStr">
        <is>
          <t>Online</t>
        </is>
      </c>
      <c r="K1042" s="62">
        <f>F1042*(G1042-H1042)</f>
        <v/>
      </c>
      <c r="L1042" s="62">
        <f>K1042-(F1042*I1042)</f>
        <v/>
      </c>
      <c r="M1042" s="64">
        <f>L1042/K1042</f>
        <v/>
      </c>
    </row>
    <row r="1043">
      <c r="A1043" s="58" t="inlineStr">
        <is>
          <t>RT20250125-01042</t>
        </is>
      </c>
      <c r="B1043" s="59" t="inlineStr">
        <is>
          <t>2025-01-25</t>
        </is>
      </c>
      <c r="C1043" s="60" t="inlineStr">
        <is>
          <t>Metro Decor Lite-325</t>
        </is>
      </c>
      <c r="D1043" s="58" t="inlineStr">
        <is>
          <t>Home</t>
        </is>
      </c>
      <c r="E1043" s="58" t="inlineStr">
        <is>
          <t>West</t>
        </is>
      </c>
      <c r="F1043" s="61" t="n">
        <v>1</v>
      </c>
      <c r="G1043" s="62" t="n">
        <v>573.61</v>
      </c>
      <c r="H1043" s="63" t="n">
        <v>0.093</v>
      </c>
      <c r="I1043" s="62" t="n">
        <v>376.89</v>
      </c>
      <c r="J1043" s="58" t="inlineStr">
        <is>
          <t>Store</t>
        </is>
      </c>
      <c r="K1043" s="62">
        <f>F1043*(G1043-H1043)</f>
        <v/>
      </c>
      <c r="L1043" s="62">
        <f>K1043-(F1043*I1043)</f>
        <v/>
      </c>
      <c r="M1043" s="64">
        <f>L1043/K1043</f>
        <v/>
      </c>
    </row>
    <row r="1044">
      <c r="A1044" s="58" t="inlineStr">
        <is>
          <t>RT20250125-01043</t>
        </is>
      </c>
      <c r="B1044" s="59" t="inlineStr">
        <is>
          <t>2025-01-25</t>
        </is>
      </c>
      <c r="C1044" s="60" t="inlineStr">
        <is>
          <t>Vertex Pantry Pro-165</t>
        </is>
      </c>
      <c r="D1044" s="58" t="inlineStr">
        <is>
          <t>Grocery</t>
        </is>
      </c>
      <c r="E1044" s="58" t="inlineStr">
        <is>
          <t>Central</t>
        </is>
      </c>
      <c r="F1044" s="61" t="n">
        <v>2</v>
      </c>
      <c r="G1044" s="62" t="n">
        <v>17.21</v>
      </c>
      <c r="H1044" s="63" t="n">
        <v>0</v>
      </c>
      <c r="I1044" s="62" t="n">
        <v>11.72</v>
      </c>
      <c r="J1044" s="58" t="inlineStr">
        <is>
          <t>Online</t>
        </is>
      </c>
      <c r="K1044" s="62">
        <f>F1044*(G1044-H1044)</f>
        <v/>
      </c>
      <c r="L1044" s="62">
        <f>K1044-(F1044*I1044)</f>
        <v/>
      </c>
      <c r="M1044" s="64">
        <f>L1044/K1044</f>
        <v/>
      </c>
    </row>
    <row r="1045">
      <c r="A1045" s="58" t="inlineStr">
        <is>
          <t>RT20250125-01044</t>
        </is>
      </c>
      <c r="B1045" s="59" t="inlineStr">
        <is>
          <t>2025-01-25</t>
        </is>
      </c>
      <c r="C1045" s="60" t="inlineStr">
        <is>
          <t>Nimbus Women Lite-814</t>
        </is>
      </c>
      <c r="D1045" s="58" t="inlineStr">
        <is>
          <t>Apparel</t>
        </is>
      </c>
      <c r="E1045" s="58" t="inlineStr">
        <is>
          <t>Central</t>
        </is>
      </c>
      <c r="F1045" s="61" t="n">
        <v>1</v>
      </c>
      <c r="G1045" s="62" t="n">
        <v>149.26</v>
      </c>
      <c r="H1045" s="63" t="n">
        <v>0.044</v>
      </c>
      <c r="I1045" s="62" t="n">
        <v>85.64</v>
      </c>
      <c r="J1045" s="58" t="inlineStr">
        <is>
          <t>Online</t>
        </is>
      </c>
      <c r="K1045" s="62">
        <f>F1045*(G1045-H1045)</f>
        <v/>
      </c>
      <c r="L1045" s="62">
        <f>K1045-(F1045*I1045)</f>
        <v/>
      </c>
      <c r="M1045" s="64">
        <f>L1045/K1045</f>
        <v/>
      </c>
    </row>
    <row r="1046">
      <c r="A1046" s="58" t="inlineStr">
        <is>
          <t>RT20250125-01045</t>
        </is>
      </c>
      <c r="B1046" s="59" t="inlineStr">
        <is>
          <t>2025-01-25</t>
        </is>
      </c>
      <c r="C1046" s="60" t="inlineStr">
        <is>
          <t>Falcon Household Plus-172</t>
        </is>
      </c>
      <c r="D1046" s="58" t="inlineStr">
        <is>
          <t>Grocery</t>
        </is>
      </c>
      <c r="E1046" s="58" t="inlineStr">
        <is>
          <t>North</t>
        </is>
      </c>
      <c r="F1046" s="61" t="n">
        <v>5</v>
      </c>
      <c r="G1046" s="62" t="n">
        <v>23.1</v>
      </c>
      <c r="H1046" s="63" t="n">
        <v>0.037</v>
      </c>
      <c r="I1046" s="62" t="n">
        <v>16.39</v>
      </c>
      <c r="J1046" s="58" t="inlineStr">
        <is>
          <t>Store</t>
        </is>
      </c>
      <c r="K1046" s="62">
        <f>F1046*(G1046-H1046)</f>
        <v/>
      </c>
      <c r="L1046" s="62">
        <f>K1046-(F1046*I1046)</f>
        <v/>
      </c>
      <c r="M1046" s="64">
        <f>L1046/K1046</f>
        <v/>
      </c>
    </row>
    <row r="1047">
      <c r="A1047" s="58" t="inlineStr">
        <is>
          <t>RT20250125-01046</t>
        </is>
      </c>
      <c r="B1047" s="59" t="inlineStr">
        <is>
          <t>2025-01-25</t>
        </is>
      </c>
      <c r="C1047" s="60" t="inlineStr">
        <is>
          <t>Vertex Skincare Pro-891</t>
        </is>
      </c>
      <c r="D1047" s="58" t="inlineStr">
        <is>
          <t>Beauty</t>
        </is>
      </c>
      <c r="E1047" s="58" t="inlineStr">
        <is>
          <t>West</t>
        </is>
      </c>
      <c r="F1047" s="61" t="n">
        <v>4</v>
      </c>
      <c r="G1047" s="62" t="n">
        <v>161.32</v>
      </c>
      <c r="H1047" s="63" t="n">
        <v>0.077</v>
      </c>
      <c r="I1047" s="62" t="n">
        <v>85.79000000000001</v>
      </c>
      <c r="J1047" s="58" t="inlineStr">
        <is>
          <t>Online</t>
        </is>
      </c>
      <c r="K1047" s="62">
        <f>F1047*(G1047-H1047)</f>
        <v/>
      </c>
      <c r="L1047" s="62">
        <f>K1047-(F1047*I1047)</f>
        <v/>
      </c>
      <c r="M1047" s="64">
        <f>L1047/K1047</f>
        <v/>
      </c>
    </row>
    <row r="1048">
      <c r="A1048" s="58" t="inlineStr">
        <is>
          <t>RT20250125-01047</t>
        </is>
      </c>
      <c r="B1048" s="59" t="inlineStr">
        <is>
          <t>2025-01-25</t>
        </is>
      </c>
      <c r="C1048" s="60" t="inlineStr">
        <is>
          <t>Falcon Bedding S-674</t>
        </is>
      </c>
      <c r="D1048" s="58" t="inlineStr">
        <is>
          <t>Home</t>
        </is>
      </c>
      <c r="E1048" s="58" t="inlineStr">
        <is>
          <t>East</t>
        </is>
      </c>
      <c r="F1048" s="61" t="n">
        <v>1</v>
      </c>
      <c r="G1048" s="62" t="n">
        <v>643.23</v>
      </c>
      <c r="H1048" s="63" t="n">
        <v>0.095</v>
      </c>
      <c r="I1048" s="62" t="n">
        <v>464.95</v>
      </c>
      <c r="J1048" s="58" t="inlineStr">
        <is>
          <t>Online</t>
        </is>
      </c>
      <c r="K1048" s="62">
        <f>F1048*(G1048-H1048)</f>
        <v/>
      </c>
      <c r="L1048" s="62">
        <f>K1048-(F1048*I1048)</f>
        <v/>
      </c>
      <c r="M1048" s="64">
        <f>L1048/K1048</f>
        <v/>
      </c>
    </row>
    <row r="1049">
      <c r="A1049" s="58" t="inlineStr">
        <is>
          <t>RT20250125-01048</t>
        </is>
      </c>
      <c r="B1049" s="59" t="inlineStr">
        <is>
          <t>2025-01-25</t>
        </is>
      </c>
      <c r="C1049" s="60" t="inlineStr">
        <is>
          <t>Nimbus Cycling Plus-911</t>
        </is>
      </c>
      <c r="D1049" s="58" t="inlineStr">
        <is>
          <t>Sports</t>
        </is>
      </c>
      <c r="E1049" s="58" t="inlineStr">
        <is>
          <t>East</t>
        </is>
      </c>
      <c r="F1049" s="61" t="n">
        <v>2</v>
      </c>
      <c r="G1049" s="62" t="n">
        <v>574.98</v>
      </c>
      <c r="H1049" s="63" t="n">
        <v>0.078</v>
      </c>
      <c r="I1049" s="62" t="n">
        <v>407.04</v>
      </c>
      <c r="J1049" s="58" t="inlineStr">
        <is>
          <t>Store</t>
        </is>
      </c>
      <c r="K1049" s="62">
        <f>F1049*(G1049-H1049)</f>
        <v/>
      </c>
      <c r="L1049" s="62">
        <f>K1049-(F1049*I1049)</f>
        <v/>
      </c>
      <c r="M1049" s="64">
        <f>L1049/K1049</f>
        <v/>
      </c>
    </row>
    <row r="1050">
      <c r="A1050" s="58" t="inlineStr">
        <is>
          <t>RT20250125-01049</t>
        </is>
      </c>
      <c r="B1050" s="59" t="inlineStr">
        <is>
          <t>2025-01-25</t>
        </is>
      </c>
      <c r="C1050" s="60" t="inlineStr">
        <is>
          <t>Metro Pantry Max-180</t>
        </is>
      </c>
      <c r="D1050" s="58" t="inlineStr">
        <is>
          <t>Grocery</t>
        </is>
      </c>
      <c r="E1050" s="58" t="inlineStr">
        <is>
          <t>North</t>
        </is>
      </c>
      <c r="F1050" s="61" t="n">
        <v>3</v>
      </c>
      <c r="G1050" s="62" t="n">
        <v>8.99</v>
      </c>
      <c r="H1050" s="63" t="n">
        <v>0.057</v>
      </c>
      <c r="I1050" s="62" t="n">
        <v>6.78</v>
      </c>
      <c r="J1050" s="58" t="inlineStr">
        <is>
          <t>Store</t>
        </is>
      </c>
      <c r="K1050" s="62">
        <f>F1050*(G1050-H1050)</f>
        <v/>
      </c>
      <c r="L1050" s="62">
        <f>K1050-(F1050*I1050)</f>
        <v/>
      </c>
      <c r="M1050" s="64">
        <f>L1050/K1050</f>
        <v/>
      </c>
    </row>
    <row r="1051">
      <c r="A1051" s="58" t="inlineStr">
        <is>
          <t>RT20250125-01050</t>
        </is>
      </c>
      <c r="B1051" s="59" t="inlineStr">
        <is>
          <t>2025-01-25</t>
        </is>
      </c>
      <c r="C1051" s="60" t="inlineStr">
        <is>
          <t>Polar Cycling S-223</t>
        </is>
      </c>
      <c r="D1051" s="58" t="inlineStr">
        <is>
          <t>Sports</t>
        </is>
      </c>
      <c r="E1051" s="58" t="inlineStr">
        <is>
          <t>North</t>
        </is>
      </c>
      <c r="F1051" s="61" t="n">
        <v>1</v>
      </c>
      <c r="G1051" s="62" t="n">
        <v>1047.91</v>
      </c>
      <c r="H1051" s="63" t="n">
        <v>0.132</v>
      </c>
      <c r="I1051" s="62" t="n">
        <v>639.17</v>
      </c>
      <c r="J1051" s="58" t="inlineStr">
        <is>
          <t>Online</t>
        </is>
      </c>
      <c r="K1051" s="62">
        <f>F1051*(G1051-H1051)</f>
        <v/>
      </c>
      <c r="L1051" s="62">
        <f>K1051-(F1051*I1051)</f>
        <v/>
      </c>
      <c r="M1051" s="64">
        <f>L1051/K1051</f>
        <v/>
      </c>
    </row>
    <row r="1052">
      <c r="A1052" s="58" t="inlineStr">
        <is>
          <t>RT20250125-01051</t>
        </is>
      </c>
      <c r="B1052" s="59" t="inlineStr">
        <is>
          <t>2025-01-25</t>
        </is>
      </c>
      <c r="C1052" s="60" t="inlineStr">
        <is>
          <t>Aurora Wearable Lite-162</t>
        </is>
      </c>
      <c r="D1052" s="58" t="inlineStr">
        <is>
          <t>Electronics</t>
        </is>
      </c>
      <c r="E1052" s="58" t="inlineStr">
        <is>
          <t>West</t>
        </is>
      </c>
      <c r="F1052" s="61" t="n">
        <v>1</v>
      </c>
      <c r="G1052" s="62" t="n">
        <v>1527.39</v>
      </c>
      <c r="H1052" s="63" t="n">
        <v>0.037</v>
      </c>
      <c r="I1052" s="62" t="n">
        <v>1207.7</v>
      </c>
      <c r="J1052" s="58" t="inlineStr">
        <is>
          <t>Online</t>
        </is>
      </c>
      <c r="K1052" s="62">
        <f>F1052*(G1052-H1052)</f>
        <v/>
      </c>
      <c r="L1052" s="62">
        <f>K1052-(F1052*I1052)</f>
        <v/>
      </c>
      <c r="M1052" s="64">
        <f>L1052/K1052</f>
        <v/>
      </c>
    </row>
    <row r="1053">
      <c r="A1053" s="58" t="inlineStr">
        <is>
          <t>RT20250125-01052</t>
        </is>
      </c>
      <c r="B1053" s="59" t="inlineStr">
        <is>
          <t>2025-01-25</t>
        </is>
      </c>
      <c r="C1053" s="60" t="inlineStr">
        <is>
          <t>Falcon Accessorie S-195</t>
        </is>
      </c>
      <c r="D1053" s="58" t="inlineStr">
        <is>
          <t>Apparel</t>
        </is>
      </c>
      <c r="E1053" s="58" t="inlineStr">
        <is>
          <t>East</t>
        </is>
      </c>
      <c r="F1053" s="61" t="n">
        <v>4</v>
      </c>
      <c r="G1053" s="62" t="n">
        <v>77.16</v>
      </c>
      <c r="H1053" s="63" t="n">
        <v>0.039</v>
      </c>
      <c r="I1053" s="62" t="n">
        <v>42.72</v>
      </c>
      <c r="J1053" s="58" t="inlineStr">
        <is>
          <t>Store</t>
        </is>
      </c>
      <c r="K1053" s="62">
        <f>F1053*(G1053-H1053)</f>
        <v/>
      </c>
      <c r="L1053" s="62">
        <f>K1053-(F1053*I1053)</f>
        <v/>
      </c>
      <c r="M1053" s="64">
        <f>L1053/K1053</f>
        <v/>
      </c>
    </row>
    <row r="1054">
      <c r="A1054" s="58" t="inlineStr">
        <is>
          <t>RT20250126-01053</t>
        </is>
      </c>
      <c r="B1054" s="59" t="inlineStr">
        <is>
          <t>2025-01-26</t>
        </is>
      </c>
      <c r="C1054" s="60" t="inlineStr">
        <is>
          <t>Metro Fragrance Lite-261</t>
        </is>
      </c>
      <c r="D1054" s="58" t="inlineStr">
        <is>
          <t>Beauty</t>
        </is>
      </c>
      <c r="E1054" s="58" t="inlineStr">
        <is>
          <t>South</t>
        </is>
      </c>
      <c r="F1054" s="61" t="n">
        <v>2</v>
      </c>
      <c r="G1054" s="62" t="n">
        <v>89.73</v>
      </c>
      <c r="H1054" s="63" t="n">
        <v>0.04</v>
      </c>
      <c r="I1054" s="62" t="n">
        <v>56.76</v>
      </c>
      <c r="J1054" s="58" t="inlineStr">
        <is>
          <t>Online</t>
        </is>
      </c>
      <c r="K1054" s="62">
        <f>F1054*(G1054-H1054)</f>
        <v/>
      </c>
      <c r="L1054" s="62">
        <f>K1054-(F1054*I1054)</f>
        <v/>
      </c>
      <c r="M1054" s="64">
        <f>L1054/K1054</f>
        <v/>
      </c>
    </row>
    <row r="1055">
      <c r="A1055" s="58" t="inlineStr">
        <is>
          <t>RT20250126-01054</t>
        </is>
      </c>
      <c r="B1055" s="59" t="inlineStr">
        <is>
          <t>2025-01-26</t>
        </is>
      </c>
      <c r="C1055" s="60" t="inlineStr">
        <is>
          <t>Polar Outdoor Lite-318</t>
        </is>
      </c>
      <c r="D1055" s="58" t="inlineStr">
        <is>
          <t>Sports</t>
        </is>
      </c>
      <c r="E1055" s="58" t="inlineStr">
        <is>
          <t>West</t>
        </is>
      </c>
      <c r="F1055" s="61" t="n">
        <v>1</v>
      </c>
      <c r="G1055" s="62" t="n">
        <v>751.4299999999999</v>
      </c>
      <c r="H1055" s="63" t="n">
        <v>0.054</v>
      </c>
      <c r="I1055" s="62" t="n">
        <v>473.53</v>
      </c>
      <c r="J1055" s="58" t="inlineStr">
        <is>
          <t>Online</t>
        </is>
      </c>
      <c r="K1055" s="62">
        <f>F1055*(G1055-H1055)</f>
        <v/>
      </c>
      <c r="L1055" s="62">
        <f>K1055-(F1055*I1055)</f>
        <v/>
      </c>
      <c r="M1055" s="64">
        <f>L1055/K1055</f>
        <v/>
      </c>
    </row>
    <row r="1056">
      <c r="A1056" s="58" t="inlineStr">
        <is>
          <t>RT20250126-01055</t>
        </is>
      </c>
      <c r="B1056" s="59" t="inlineStr">
        <is>
          <t>2025-01-26</t>
        </is>
      </c>
      <c r="C1056" s="60" t="inlineStr">
        <is>
          <t>Solace Kitchen Pro-510</t>
        </is>
      </c>
      <c r="D1056" s="58" t="inlineStr">
        <is>
          <t>Home</t>
        </is>
      </c>
      <c r="E1056" s="58" t="inlineStr">
        <is>
          <t>East</t>
        </is>
      </c>
      <c r="F1056" s="61" t="n">
        <v>1</v>
      </c>
      <c r="G1056" s="62" t="n">
        <v>442.69</v>
      </c>
      <c r="H1056" s="63" t="n">
        <v>0.043</v>
      </c>
      <c r="I1056" s="62" t="n">
        <v>307.11</v>
      </c>
      <c r="J1056" s="58" t="inlineStr">
        <is>
          <t>Online</t>
        </is>
      </c>
      <c r="K1056" s="62">
        <f>F1056*(G1056-H1056)</f>
        <v/>
      </c>
      <c r="L1056" s="62">
        <f>K1056-(F1056*I1056)</f>
        <v/>
      </c>
      <c r="M1056" s="64">
        <f>L1056/K1056</f>
        <v/>
      </c>
    </row>
    <row r="1057">
      <c r="A1057" s="58" t="inlineStr">
        <is>
          <t>RT20250126-01056</t>
        </is>
      </c>
      <c r="B1057" s="59" t="inlineStr">
        <is>
          <t>2025-01-26</t>
        </is>
      </c>
      <c r="C1057" s="60" t="inlineStr">
        <is>
          <t>Aurora Appliance Lite-109</t>
        </is>
      </c>
      <c r="D1057" s="58" t="inlineStr">
        <is>
          <t>Home</t>
        </is>
      </c>
      <c r="E1057" s="58" t="inlineStr">
        <is>
          <t>West</t>
        </is>
      </c>
      <c r="F1057" s="61" t="n">
        <v>2</v>
      </c>
      <c r="G1057" s="62" t="n">
        <v>268.07</v>
      </c>
      <c r="H1057" s="63" t="n">
        <v>0.026</v>
      </c>
      <c r="I1057" s="62" t="n">
        <v>208.73</v>
      </c>
      <c r="J1057" s="58" t="inlineStr">
        <is>
          <t>Online</t>
        </is>
      </c>
      <c r="K1057" s="62">
        <f>F1057*(G1057-H1057)</f>
        <v/>
      </c>
      <c r="L1057" s="62">
        <f>K1057-(F1057*I1057)</f>
        <v/>
      </c>
      <c r="M1057" s="64">
        <f>L1057/K1057</f>
        <v/>
      </c>
    </row>
    <row r="1058">
      <c r="A1058" s="58" t="inlineStr">
        <is>
          <t>RT20250126-01057</t>
        </is>
      </c>
      <c r="B1058" s="59" t="inlineStr">
        <is>
          <t>2025-01-26</t>
        </is>
      </c>
      <c r="C1058" s="60" t="inlineStr">
        <is>
          <t>Nimbus Cycling Plus-911</t>
        </is>
      </c>
      <c r="D1058" s="58" t="inlineStr">
        <is>
          <t>Sports</t>
        </is>
      </c>
      <c r="E1058" s="58" t="inlineStr">
        <is>
          <t>Central</t>
        </is>
      </c>
      <c r="F1058" s="61" t="n">
        <v>1</v>
      </c>
      <c r="G1058" s="62" t="n">
        <v>620.11</v>
      </c>
      <c r="H1058" s="63" t="n">
        <v>0.05</v>
      </c>
      <c r="I1058" s="62" t="n">
        <v>384.17</v>
      </c>
      <c r="J1058" s="58" t="inlineStr">
        <is>
          <t>Store</t>
        </is>
      </c>
      <c r="K1058" s="62">
        <f>F1058*(G1058-H1058)</f>
        <v/>
      </c>
      <c r="L1058" s="62">
        <f>K1058-(F1058*I1058)</f>
        <v/>
      </c>
      <c r="M1058" s="64">
        <f>L1058/K1058</f>
        <v/>
      </c>
    </row>
    <row r="1059">
      <c r="A1059" s="58" t="inlineStr">
        <is>
          <t>RT20250126-01058</t>
        </is>
      </c>
      <c r="B1059" s="59" t="inlineStr">
        <is>
          <t>2025-01-26</t>
        </is>
      </c>
      <c r="C1059" s="60" t="inlineStr">
        <is>
          <t>Nimbus Laptop Max-652</t>
        </is>
      </c>
      <c r="D1059" s="58" t="inlineStr">
        <is>
          <t>Electronics</t>
        </is>
      </c>
      <c r="E1059" s="58" t="inlineStr">
        <is>
          <t>South</t>
        </is>
      </c>
      <c r="F1059" s="61" t="n">
        <v>2</v>
      </c>
      <c r="G1059" s="62" t="n">
        <v>1386.82</v>
      </c>
      <c r="H1059" s="63" t="n">
        <v>0.09</v>
      </c>
      <c r="I1059" s="62" t="n">
        <v>1029.76</v>
      </c>
      <c r="J1059" s="58" t="inlineStr">
        <is>
          <t>Store</t>
        </is>
      </c>
      <c r="K1059" s="62">
        <f>F1059*(G1059-H1059)</f>
        <v/>
      </c>
      <c r="L1059" s="62">
        <f>K1059-(F1059*I1059)</f>
        <v/>
      </c>
      <c r="M1059" s="64">
        <f>L1059/K1059</f>
        <v/>
      </c>
    </row>
    <row r="1060">
      <c r="A1060" s="58" t="inlineStr">
        <is>
          <t>RT20250126-01059</t>
        </is>
      </c>
      <c r="B1060" s="59" t="inlineStr">
        <is>
          <t>2025-01-26</t>
        </is>
      </c>
      <c r="C1060" s="60" t="inlineStr">
        <is>
          <t>Metro Accessorie Max-316</t>
        </is>
      </c>
      <c r="D1060" s="58" t="inlineStr">
        <is>
          <t>Apparel</t>
        </is>
      </c>
      <c r="E1060" s="58" t="inlineStr">
        <is>
          <t>Central</t>
        </is>
      </c>
      <c r="F1060" s="61" t="n">
        <v>2</v>
      </c>
      <c r="G1060" s="62" t="n">
        <v>153.4</v>
      </c>
      <c r="H1060" s="63" t="n">
        <v>0.124</v>
      </c>
      <c r="I1060" s="62" t="n">
        <v>92.59</v>
      </c>
      <c r="J1060" s="58" t="inlineStr">
        <is>
          <t>Online</t>
        </is>
      </c>
      <c r="K1060" s="62">
        <f>F1060*(G1060-H1060)</f>
        <v/>
      </c>
      <c r="L1060" s="62">
        <f>K1060-(F1060*I1060)</f>
        <v/>
      </c>
      <c r="M1060" s="64">
        <f>L1060/K1060</f>
        <v/>
      </c>
    </row>
    <row r="1061">
      <c r="A1061" s="58" t="inlineStr">
        <is>
          <t>RT20250126-01060</t>
        </is>
      </c>
      <c r="B1061" s="59" t="inlineStr">
        <is>
          <t>2025-01-26</t>
        </is>
      </c>
      <c r="C1061" s="60" t="inlineStr">
        <is>
          <t>Aurora Makeup Pro-489</t>
        </is>
      </c>
      <c r="D1061" s="58" t="inlineStr">
        <is>
          <t>Beauty</t>
        </is>
      </c>
      <c r="E1061" s="58" t="inlineStr">
        <is>
          <t>East</t>
        </is>
      </c>
      <c r="F1061" s="61" t="n">
        <v>3</v>
      </c>
      <c r="G1061" s="62" t="n">
        <v>94.88</v>
      </c>
      <c r="H1061" s="63" t="n">
        <v>0.025</v>
      </c>
      <c r="I1061" s="62" t="n">
        <v>61.66</v>
      </c>
      <c r="J1061" s="58" t="inlineStr">
        <is>
          <t>Online</t>
        </is>
      </c>
      <c r="K1061" s="62">
        <f>F1061*(G1061-H1061)</f>
        <v/>
      </c>
      <c r="L1061" s="62">
        <f>K1061-(F1061*I1061)</f>
        <v/>
      </c>
      <c r="M1061" s="64">
        <f>L1061/K1061</f>
        <v/>
      </c>
    </row>
    <row r="1062">
      <c r="A1062" s="58" t="inlineStr">
        <is>
          <t>RT20250126-01061</t>
        </is>
      </c>
      <c r="B1062" s="59" t="inlineStr">
        <is>
          <t>2025-01-26</t>
        </is>
      </c>
      <c r="C1062" s="60" t="inlineStr">
        <is>
          <t>Falcon Furniture Plus-839</t>
        </is>
      </c>
      <c r="D1062" s="58" t="inlineStr">
        <is>
          <t>Office</t>
        </is>
      </c>
      <c r="E1062" s="58" t="inlineStr">
        <is>
          <t>West</t>
        </is>
      </c>
      <c r="F1062" s="61" t="n">
        <v>1</v>
      </c>
      <c r="G1062" s="62" t="n">
        <v>334.61</v>
      </c>
      <c r="H1062" s="63" t="n">
        <v>0.059</v>
      </c>
      <c r="I1062" s="62" t="n">
        <v>226.76</v>
      </c>
      <c r="J1062" s="58" t="inlineStr">
        <is>
          <t>Online</t>
        </is>
      </c>
      <c r="K1062" s="62">
        <f>F1062*(G1062-H1062)</f>
        <v/>
      </c>
      <c r="L1062" s="62">
        <f>K1062-(F1062*I1062)</f>
        <v/>
      </c>
      <c r="M1062" s="64">
        <f>L1062/K1062</f>
        <v/>
      </c>
    </row>
    <row r="1063">
      <c r="A1063" s="58" t="inlineStr">
        <is>
          <t>RT20250126-01062</t>
        </is>
      </c>
      <c r="B1063" s="59" t="inlineStr">
        <is>
          <t>2025-01-26</t>
        </is>
      </c>
      <c r="C1063" s="60" t="inlineStr">
        <is>
          <t>Metro Laptop Plus-376</t>
        </is>
      </c>
      <c r="D1063" s="58" t="inlineStr">
        <is>
          <t>Electronics</t>
        </is>
      </c>
      <c r="E1063" s="58" t="inlineStr">
        <is>
          <t>West</t>
        </is>
      </c>
      <c r="F1063" s="61" t="n">
        <v>2</v>
      </c>
      <c r="G1063" s="62" t="n">
        <v>1293.56</v>
      </c>
      <c r="H1063" s="63" t="n">
        <v>0.023</v>
      </c>
      <c r="I1063" s="62" t="n">
        <v>1025.56</v>
      </c>
      <c r="J1063" s="58" t="inlineStr">
        <is>
          <t>Store</t>
        </is>
      </c>
      <c r="K1063" s="62">
        <f>F1063*(G1063-H1063)</f>
        <v/>
      </c>
      <c r="L1063" s="62">
        <f>K1063-(F1063*I1063)</f>
        <v/>
      </c>
      <c r="M1063" s="64">
        <f>L1063/K1063</f>
        <v/>
      </c>
    </row>
    <row r="1064">
      <c r="A1064" s="58" t="inlineStr">
        <is>
          <t>RT20250126-01063</t>
        </is>
      </c>
      <c r="B1064" s="59" t="inlineStr">
        <is>
          <t>2025-01-26</t>
        </is>
      </c>
      <c r="C1064" s="60" t="inlineStr">
        <is>
          <t>Nimbus Laptop Max-652</t>
        </is>
      </c>
      <c r="D1064" s="58" t="inlineStr">
        <is>
          <t>Electronics</t>
        </is>
      </c>
      <c r="E1064" s="58" t="inlineStr">
        <is>
          <t>Central</t>
        </is>
      </c>
      <c r="F1064" s="61" t="n">
        <v>2</v>
      </c>
      <c r="G1064" s="62" t="n">
        <v>1341</v>
      </c>
      <c r="H1064" s="63" t="n">
        <v>0.067</v>
      </c>
      <c r="I1064" s="62" t="n">
        <v>1027.49</v>
      </c>
      <c r="J1064" s="58" t="inlineStr">
        <is>
          <t>Online</t>
        </is>
      </c>
      <c r="K1064" s="62">
        <f>F1064*(G1064-H1064)</f>
        <v/>
      </c>
      <c r="L1064" s="62">
        <f>K1064-(F1064*I1064)</f>
        <v/>
      </c>
      <c r="M1064" s="64">
        <f>L1064/K1064</f>
        <v/>
      </c>
    </row>
    <row r="1065">
      <c r="A1065" s="58" t="inlineStr">
        <is>
          <t>RT20250126-01064</t>
        </is>
      </c>
      <c r="B1065" s="59" t="inlineStr">
        <is>
          <t>2025-01-26</t>
        </is>
      </c>
      <c r="C1065" s="60" t="inlineStr">
        <is>
          <t>Polar Supplie Lite-348</t>
        </is>
      </c>
      <c r="D1065" s="58" t="inlineStr">
        <is>
          <t>Office</t>
        </is>
      </c>
      <c r="E1065" s="58" t="inlineStr">
        <is>
          <t>West</t>
        </is>
      </c>
      <c r="F1065" s="61" t="n">
        <v>1</v>
      </c>
      <c r="G1065" s="62" t="n">
        <v>448.82</v>
      </c>
      <c r="H1065" s="63" t="n">
        <v>0.08400000000000001</v>
      </c>
      <c r="I1065" s="62" t="n">
        <v>324.32</v>
      </c>
      <c r="J1065" s="58" t="inlineStr">
        <is>
          <t>Online</t>
        </is>
      </c>
      <c r="K1065" s="62">
        <f>F1065*(G1065-H1065)</f>
        <v/>
      </c>
      <c r="L1065" s="62">
        <f>K1065-(F1065*I1065)</f>
        <v/>
      </c>
      <c r="M1065" s="64">
        <f>L1065/K1065</f>
        <v/>
      </c>
    </row>
    <row r="1066">
      <c r="A1066" s="58" t="inlineStr">
        <is>
          <t>RT20250126-01065</t>
        </is>
      </c>
      <c r="B1066" s="59" t="inlineStr">
        <is>
          <t>2025-01-26</t>
        </is>
      </c>
      <c r="C1066" s="60" t="inlineStr">
        <is>
          <t>Falcon Bedding S-674</t>
        </is>
      </c>
      <c r="D1066" s="58" t="inlineStr">
        <is>
          <t>Home</t>
        </is>
      </c>
      <c r="E1066" s="58" t="inlineStr">
        <is>
          <t>South</t>
        </is>
      </c>
      <c r="F1066" s="61" t="n">
        <v>2</v>
      </c>
      <c r="G1066" s="62" t="n">
        <v>659.6</v>
      </c>
      <c r="H1066" s="63" t="n">
        <v>0.08799999999999999</v>
      </c>
      <c r="I1066" s="62" t="n">
        <v>464.99</v>
      </c>
      <c r="J1066" s="58" t="inlineStr">
        <is>
          <t>Store</t>
        </is>
      </c>
      <c r="K1066" s="62">
        <f>F1066*(G1066-H1066)</f>
        <v/>
      </c>
      <c r="L1066" s="62">
        <f>K1066-(F1066*I1066)</f>
        <v/>
      </c>
      <c r="M1066" s="64">
        <f>L1066/K1066</f>
        <v/>
      </c>
    </row>
    <row r="1067">
      <c r="A1067" s="58" t="inlineStr">
        <is>
          <t>RT20250126-01066</t>
        </is>
      </c>
      <c r="B1067" s="59" t="inlineStr">
        <is>
          <t>2025-01-26</t>
        </is>
      </c>
      <c r="C1067" s="60" t="inlineStr">
        <is>
          <t>Polar Wearable X-119</t>
        </is>
      </c>
      <c r="D1067" s="58" t="inlineStr">
        <is>
          <t>Electronics</t>
        </is>
      </c>
      <c r="E1067" s="58" t="inlineStr">
        <is>
          <t>East</t>
        </is>
      </c>
      <c r="F1067" s="61" t="n">
        <v>1</v>
      </c>
      <c r="G1067" s="62" t="n">
        <v>1784.62</v>
      </c>
      <c r="H1067" s="63" t="n">
        <v>0.053</v>
      </c>
      <c r="I1067" s="62" t="n">
        <v>1318.95</v>
      </c>
      <c r="J1067" s="58" t="inlineStr">
        <is>
          <t>Online</t>
        </is>
      </c>
      <c r="K1067" s="62">
        <f>F1067*(G1067-H1067)</f>
        <v/>
      </c>
      <c r="L1067" s="62">
        <f>K1067-(F1067*I1067)</f>
        <v/>
      </c>
      <c r="M1067" s="64">
        <f>L1067/K1067</f>
        <v/>
      </c>
    </row>
    <row r="1068">
      <c r="A1068" s="58" t="inlineStr">
        <is>
          <t>RT20250126-01067</t>
        </is>
      </c>
      <c r="B1068" s="59" t="inlineStr">
        <is>
          <t>2025-01-26</t>
        </is>
      </c>
      <c r="C1068" s="60" t="inlineStr">
        <is>
          <t>Falcon Beverage Max-702</t>
        </is>
      </c>
      <c r="D1068" s="58" t="inlineStr">
        <is>
          <t>Grocery</t>
        </is>
      </c>
      <c r="E1068" s="58" t="inlineStr">
        <is>
          <t>West</t>
        </is>
      </c>
      <c r="F1068" s="61" t="n">
        <v>4</v>
      </c>
      <c r="G1068" s="62" t="n">
        <v>24.78</v>
      </c>
      <c r="H1068" s="63" t="n">
        <v>0.07000000000000001</v>
      </c>
      <c r="I1068" s="62" t="n">
        <v>20.28</v>
      </c>
      <c r="J1068" s="58" t="inlineStr">
        <is>
          <t>Online</t>
        </is>
      </c>
      <c r="K1068" s="62">
        <f>F1068*(G1068-H1068)</f>
        <v/>
      </c>
      <c r="L1068" s="62">
        <f>K1068-(F1068*I1068)</f>
        <v/>
      </c>
      <c r="M1068" s="64">
        <f>L1068/K1068</f>
        <v/>
      </c>
    </row>
    <row r="1069">
      <c r="A1069" s="58" t="inlineStr">
        <is>
          <t>RT20250126-01068</t>
        </is>
      </c>
      <c r="B1069" s="59" t="inlineStr">
        <is>
          <t>2025-01-26</t>
        </is>
      </c>
      <c r="C1069" s="60" t="inlineStr">
        <is>
          <t>Polar Haircare Max-614</t>
        </is>
      </c>
      <c r="D1069" s="58" t="inlineStr">
        <is>
          <t>Beauty</t>
        </is>
      </c>
      <c r="E1069" s="58" t="inlineStr">
        <is>
          <t>South</t>
        </is>
      </c>
      <c r="F1069" s="61" t="n">
        <v>4</v>
      </c>
      <c r="G1069" s="62" t="n">
        <v>106.57</v>
      </c>
      <c r="H1069" s="63" t="n">
        <v>0.092</v>
      </c>
      <c r="I1069" s="62" t="n">
        <v>70.83</v>
      </c>
      <c r="J1069" s="58" t="inlineStr">
        <is>
          <t>Store</t>
        </is>
      </c>
      <c r="K1069" s="62">
        <f>F1069*(G1069-H1069)</f>
        <v/>
      </c>
      <c r="L1069" s="62">
        <f>K1069-(F1069*I1069)</f>
        <v/>
      </c>
      <c r="M1069" s="64">
        <f>L1069/K1069</f>
        <v/>
      </c>
    </row>
    <row r="1070">
      <c r="A1070" s="58" t="inlineStr">
        <is>
          <t>RT20250126-01069</t>
        </is>
      </c>
      <c r="B1070" s="59" t="inlineStr">
        <is>
          <t>2025-01-26</t>
        </is>
      </c>
      <c r="C1070" s="60" t="inlineStr">
        <is>
          <t>Solace Smartphone Lite-533</t>
        </is>
      </c>
      <c r="D1070" s="58" t="inlineStr">
        <is>
          <t>Electronics</t>
        </is>
      </c>
      <c r="E1070" s="58" t="inlineStr">
        <is>
          <t>South</t>
        </is>
      </c>
      <c r="F1070" s="61" t="n">
        <v>2</v>
      </c>
      <c r="G1070" s="62" t="n">
        <v>1073.95</v>
      </c>
      <c r="H1070" s="63" t="n">
        <v>0.056</v>
      </c>
      <c r="I1070" s="62" t="n">
        <v>922.77</v>
      </c>
      <c r="J1070" s="58" t="inlineStr">
        <is>
          <t>Phone</t>
        </is>
      </c>
      <c r="K1070" s="62">
        <f>F1070*(G1070-H1070)</f>
        <v/>
      </c>
      <c r="L1070" s="62">
        <f>K1070-(F1070*I1070)</f>
        <v/>
      </c>
      <c r="M1070" s="64">
        <f>L1070/K1070</f>
        <v/>
      </c>
    </row>
    <row r="1071">
      <c r="A1071" s="58" t="inlineStr">
        <is>
          <t>RT20250126-01070</t>
        </is>
      </c>
      <c r="B1071" s="59" t="inlineStr">
        <is>
          <t>2025-01-26</t>
        </is>
      </c>
      <c r="C1071" s="60" t="inlineStr">
        <is>
          <t>Polar Men Pro-246</t>
        </is>
      </c>
      <c r="D1071" s="58" t="inlineStr">
        <is>
          <t>Apparel</t>
        </is>
      </c>
      <c r="E1071" s="58" t="inlineStr">
        <is>
          <t>West</t>
        </is>
      </c>
      <c r="F1071" s="61" t="n">
        <v>3</v>
      </c>
      <c r="G1071" s="62" t="n">
        <v>130.32</v>
      </c>
      <c r="H1071" s="63" t="n">
        <v>0</v>
      </c>
      <c r="I1071" s="62" t="n">
        <v>78.37</v>
      </c>
      <c r="J1071" s="58" t="inlineStr">
        <is>
          <t>Online</t>
        </is>
      </c>
      <c r="K1071" s="62">
        <f>F1071*(G1071-H1071)</f>
        <v/>
      </c>
      <c r="L1071" s="62">
        <f>K1071-(F1071*I1071)</f>
        <v/>
      </c>
      <c r="M1071" s="64">
        <f>L1071/K1071</f>
        <v/>
      </c>
    </row>
    <row r="1072">
      <c r="A1072" s="58" t="inlineStr">
        <is>
          <t>RT20250126-01071</t>
        </is>
      </c>
      <c r="B1072" s="59" t="inlineStr">
        <is>
          <t>2025-01-26</t>
        </is>
      </c>
      <c r="C1072" s="60" t="inlineStr">
        <is>
          <t>Polar Bedding Lite-243</t>
        </is>
      </c>
      <c r="D1072" s="58" t="inlineStr">
        <is>
          <t>Home</t>
        </is>
      </c>
      <c r="E1072" s="58" t="inlineStr">
        <is>
          <t>West</t>
        </is>
      </c>
      <c r="F1072" s="61" t="n">
        <v>3</v>
      </c>
      <c r="G1072" s="62" t="n">
        <v>465.05</v>
      </c>
      <c r="H1072" s="63" t="n">
        <v>0.051</v>
      </c>
      <c r="I1072" s="62" t="n">
        <v>324.08</v>
      </c>
      <c r="J1072" s="58" t="inlineStr">
        <is>
          <t>Store</t>
        </is>
      </c>
      <c r="K1072" s="62">
        <f>F1072*(G1072-H1072)</f>
        <v/>
      </c>
      <c r="L1072" s="62">
        <f>K1072-(F1072*I1072)</f>
        <v/>
      </c>
      <c r="M1072" s="64">
        <f>L1072/K1072</f>
        <v/>
      </c>
    </row>
    <row r="1073">
      <c r="A1073" s="58" t="inlineStr">
        <is>
          <t>RT20250126-01072</t>
        </is>
      </c>
      <c r="B1073" s="59" t="inlineStr">
        <is>
          <t>2025-01-26</t>
        </is>
      </c>
      <c r="C1073" s="60" t="inlineStr">
        <is>
          <t>Solace Kitchen Pro-999</t>
        </is>
      </c>
      <c r="D1073" s="58" t="inlineStr">
        <is>
          <t>Home</t>
        </is>
      </c>
      <c r="E1073" s="58" t="inlineStr">
        <is>
          <t>Central</t>
        </is>
      </c>
      <c r="F1073" s="61" t="n">
        <v>3</v>
      </c>
      <c r="G1073" s="62" t="n">
        <v>429.95</v>
      </c>
      <c r="H1073" s="63" t="n">
        <v>0.003</v>
      </c>
      <c r="I1073" s="62" t="n">
        <v>273.9</v>
      </c>
      <c r="J1073" s="58" t="inlineStr">
        <is>
          <t>Online</t>
        </is>
      </c>
      <c r="K1073" s="62">
        <f>F1073*(G1073-H1073)</f>
        <v/>
      </c>
      <c r="L1073" s="62">
        <f>K1073-(F1073*I1073)</f>
        <v/>
      </c>
      <c r="M1073" s="64">
        <f>L1073/K1073</f>
        <v/>
      </c>
    </row>
    <row r="1074">
      <c r="A1074" s="58" t="inlineStr">
        <is>
          <t>RT20250126-01073</t>
        </is>
      </c>
      <c r="B1074" s="59" t="inlineStr">
        <is>
          <t>2025-01-26</t>
        </is>
      </c>
      <c r="C1074" s="60" t="inlineStr">
        <is>
          <t>Nimbus Furniture Pro-479</t>
        </is>
      </c>
      <c r="D1074" s="58" t="inlineStr">
        <is>
          <t>Office</t>
        </is>
      </c>
      <c r="E1074" s="58" t="inlineStr">
        <is>
          <t>West</t>
        </is>
      </c>
      <c r="F1074" s="61" t="n">
        <v>2</v>
      </c>
      <c r="G1074" s="62" t="n">
        <v>345.78</v>
      </c>
      <c r="H1074" s="63" t="n">
        <v>0.062</v>
      </c>
      <c r="I1074" s="62" t="n">
        <v>244.96</v>
      </c>
      <c r="J1074" s="58" t="inlineStr">
        <is>
          <t>Store</t>
        </is>
      </c>
      <c r="K1074" s="62">
        <f>F1074*(G1074-H1074)</f>
        <v/>
      </c>
      <c r="L1074" s="62">
        <f>K1074-(F1074*I1074)</f>
        <v/>
      </c>
      <c r="M1074" s="64">
        <f>L1074/K1074</f>
        <v/>
      </c>
    </row>
    <row r="1075">
      <c r="A1075" s="58" t="inlineStr">
        <is>
          <t>RT20250126-01074</t>
        </is>
      </c>
      <c r="B1075" s="59" t="inlineStr">
        <is>
          <t>2025-01-26</t>
        </is>
      </c>
      <c r="C1075" s="60" t="inlineStr">
        <is>
          <t>Vertex Accessorie Pro-881</t>
        </is>
      </c>
      <c r="D1075" s="58" t="inlineStr">
        <is>
          <t>Apparel</t>
        </is>
      </c>
      <c r="E1075" s="58" t="inlineStr">
        <is>
          <t>West</t>
        </is>
      </c>
      <c r="F1075" s="61" t="n">
        <v>1</v>
      </c>
      <c r="G1075" s="62" t="n">
        <v>108.37</v>
      </c>
      <c r="H1075" s="63" t="n">
        <v>0.083</v>
      </c>
      <c r="I1075" s="62" t="n">
        <v>61.37</v>
      </c>
      <c r="J1075" s="58" t="inlineStr">
        <is>
          <t>Online</t>
        </is>
      </c>
      <c r="K1075" s="62">
        <f>F1075*(G1075-H1075)</f>
        <v/>
      </c>
      <c r="L1075" s="62">
        <f>K1075-(F1075*I1075)</f>
        <v/>
      </c>
      <c r="M1075" s="64">
        <f>L1075/K1075</f>
        <v/>
      </c>
    </row>
    <row r="1076">
      <c r="A1076" s="58" t="inlineStr">
        <is>
          <t>RT20250126-01075</t>
        </is>
      </c>
      <c r="B1076" s="59" t="inlineStr">
        <is>
          <t>2025-01-26</t>
        </is>
      </c>
      <c r="C1076" s="60" t="inlineStr">
        <is>
          <t>Vertex Fitnes Pro-830</t>
        </is>
      </c>
      <c r="D1076" s="58" t="inlineStr">
        <is>
          <t>Sports</t>
        </is>
      </c>
      <c r="E1076" s="58" t="inlineStr">
        <is>
          <t>Central</t>
        </is>
      </c>
      <c r="F1076" s="61" t="n">
        <v>2</v>
      </c>
      <c r="G1076" s="62" t="n">
        <v>749.6799999999999</v>
      </c>
      <c r="H1076" s="63" t="n">
        <v>0.073</v>
      </c>
      <c r="I1076" s="62" t="n">
        <v>483.56</v>
      </c>
      <c r="J1076" s="58" t="inlineStr">
        <is>
          <t>Store</t>
        </is>
      </c>
      <c r="K1076" s="62">
        <f>F1076*(G1076-H1076)</f>
        <v/>
      </c>
      <c r="L1076" s="62">
        <f>K1076-(F1076*I1076)</f>
        <v/>
      </c>
      <c r="M1076" s="64">
        <f>L1076/K1076</f>
        <v/>
      </c>
    </row>
    <row r="1077">
      <c r="A1077" s="58" t="inlineStr">
        <is>
          <t>RT20250126-01076</t>
        </is>
      </c>
      <c r="B1077" s="59" t="inlineStr">
        <is>
          <t>2025-01-26</t>
        </is>
      </c>
      <c r="C1077" s="60" t="inlineStr">
        <is>
          <t>Polar Outdoor X-193</t>
        </is>
      </c>
      <c r="D1077" s="58" t="inlineStr">
        <is>
          <t>Sports</t>
        </is>
      </c>
      <c r="E1077" s="58" t="inlineStr">
        <is>
          <t>East</t>
        </is>
      </c>
      <c r="F1077" s="61" t="n">
        <v>2</v>
      </c>
      <c r="G1077" s="62" t="n">
        <v>632.1900000000001</v>
      </c>
      <c r="H1077" s="63" t="n">
        <v>0.023</v>
      </c>
      <c r="I1077" s="62" t="n">
        <v>449.86</v>
      </c>
      <c r="J1077" s="58" t="inlineStr">
        <is>
          <t>Online</t>
        </is>
      </c>
      <c r="K1077" s="62">
        <f>F1077*(G1077-H1077)</f>
        <v/>
      </c>
      <c r="L1077" s="62">
        <f>K1077-(F1077*I1077)</f>
        <v/>
      </c>
      <c r="M1077" s="64">
        <f>L1077/K1077</f>
        <v/>
      </c>
    </row>
    <row r="1078">
      <c r="A1078" s="58" t="inlineStr">
        <is>
          <t>RT20250126-01077</t>
        </is>
      </c>
      <c r="B1078" s="59" t="inlineStr">
        <is>
          <t>2025-01-26</t>
        </is>
      </c>
      <c r="C1078" s="60" t="inlineStr">
        <is>
          <t>Polar Cycling S-223</t>
        </is>
      </c>
      <c r="D1078" s="58" t="inlineStr">
        <is>
          <t>Sports</t>
        </is>
      </c>
      <c r="E1078" s="58" t="inlineStr">
        <is>
          <t>East</t>
        </is>
      </c>
      <c r="F1078" s="61" t="n">
        <v>1</v>
      </c>
      <c r="G1078" s="62" t="n">
        <v>977.49</v>
      </c>
      <c r="H1078" s="63" t="n">
        <v>0.08400000000000001</v>
      </c>
      <c r="I1078" s="62" t="n">
        <v>645.76</v>
      </c>
      <c r="J1078" s="58" t="inlineStr">
        <is>
          <t>Online</t>
        </is>
      </c>
      <c r="K1078" s="62">
        <f>F1078*(G1078-H1078)</f>
        <v/>
      </c>
      <c r="L1078" s="62">
        <f>K1078-(F1078*I1078)</f>
        <v/>
      </c>
      <c r="M1078" s="64">
        <f>L1078/K1078</f>
        <v/>
      </c>
    </row>
    <row r="1079">
      <c r="A1079" s="58" t="inlineStr">
        <is>
          <t>RT20250126-01078</t>
        </is>
      </c>
      <c r="B1079" s="59" t="inlineStr">
        <is>
          <t>2025-01-26</t>
        </is>
      </c>
      <c r="C1079" s="60" t="inlineStr">
        <is>
          <t>Metro Printer X-294</t>
        </is>
      </c>
      <c r="D1079" s="58" t="inlineStr">
        <is>
          <t>Office</t>
        </is>
      </c>
      <c r="E1079" s="58" t="inlineStr">
        <is>
          <t>North</t>
        </is>
      </c>
      <c r="F1079" s="61" t="n">
        <v>2</v>
      </c>
      <c r="G1079" s="62" t="n">
        <v>549.91</v>
      </c>
      <c r="H1079" s="63" t="n">
        <v>0.027</v>
      </c>
      <c r="I1079" s="62" t="n">
        <v>399.23</v>
      </c>
      <c r="J1079" s="58" t="inlineStr">
        <is>
          <t>Store</t>
        </is>
      </c>
      <c r="K1079" s="62">
        <f>F1079*(G1079-H1079)</f>
        <v/>
      </c>
      <c r="L1079" s="62">
        <f>K1079-(F1079*I1079)</f>
        <v/>
      </c>
      <c r="M1079" s="64">
        <f>L1079/K1079</f>
        <v/>
      </c>
    </row>
    <row r="1080">
      <c r="A1080" s="58" t="inlineStr">
        <is>
          <t>RT20250126-01079</t>
        </is>
      </c>
      <c r="B1080" s="59" t="inlineStr">
        <is>
          <t>2025-01-26</t>
        </is>
      </c>
      <c r="C1080" s="60" t="inlineStr">
        <is>
          <t>Orion Beverage Plus-949</t>
        </is>
      </c>
      <c r="D1080" s="58" t="inlineStr">
        <is>
          <t>Grocery</t>
        </is>
      </c>
      <c r="E1080" s="58" t="inlineStr">
        <is>
          <t>North</t>
        </is>
      </c>
      <c r="F1080" s="61" t="n">
        <v>8</v>
      </c>
      <c r="G1080" s="62" t="n">
        <v>19.51</v>
      </c>
      <c r="H1080" s="63" t="n">
        <v>0.045</v>
      </c>
      <c r="I1080" s="62" t="n">
        <v>13.6</v>
      </c>
      <c r="J1080" s="58" t="inlineStr">
        <is>
          <t>Online</t>
        </is>
      </c>
      <c r="K1080" s="62">
        <f>F1080*(G1080-H1080)</f>
        <v/>
      </c>
      <c r="L1080" s="62">
        <f>K1080-(F1080*I1080)</f>
        <v/>
      </c>
      <c r="M1080" s="64">
        <f>L1080/K1080</f>
        <v/>
      </c>
    </row>
    <row r="1081">
      <c r="A1081" s="58" t="inlineStr">
        <is>
          <t>RT20250126-01080</t>
        </is>
      </c>
      <c r="B1081" s="59" t="inlineStr">
        <is>
          <t>2025-01-26</t>
        </is>
      </c>
      <c r="C1081" s="60" t="inlineStr">
        <is>
          <t>Solace Kitchen Pro-999</t>
        </is>
      </c>
      <c r="D1081" s="58" t="inlineStr">
        <is>
          <t>Home</t>
        </is>
      </c>
      <c r="E1081" s="58" t="inlineStr">
        <is>
          <t>Central</t>
        </is>
      </c>
      <c r="F1081" s="61" t="n">
        <v>1</v>
      </c>
      <c r="G1081" s="62" t="n">
        <v>381.04</v>
      </c>
      <c r="H1081" s="63" t="n">
        <v>0.027</v>
      </c>
      <c r="I1081" s="62" t="n">
        <v>262.38</v>
      </c>
      <c r="J1081" s="58" t="inlineStr">
        <is>
          <t>Store</t>
        </is>
      </c>
      <c r="K1081" s="62">
        <f>F1081*(G1081-H1081)</f>
        <v/>
      </c>
      <c r="L1081" s="62">
        <f>K1081-(F1081*I1081)</f>
        <v/>
      </c>
      <c r="M1081" s="64">
        <f>L1081/K1081</f>
        <v/>
      </c>
    </row>
    <row r="1082">
      <c r="A1082" s="58" t="inlineStr">
        <is>
          <t>RT20250126-01081</t>
        </is>
      </c>
      <c r="B1082" s="59" t="inlineStr">
        <is>
          <t>2025-01-26</t>
        </is>
      </c>
      <c r="C1082" s="60" t="inlineStr">
        <is>
          <t>Aurora Wearable Lite-704</t>
        </is>
      </c>
      <c r="D1082" s="58" t="inlineStr">
        <is>
          <t>Electronics</t>
        </is>
      </c>
      <c r="E1082" s="58" t="inlineStr">
        <is>
          <t>East</t>
        </is>
      </c>
      <c r="F1082" s="61" t="n">
        <v>1</v>
      </c>
      <c r="G1082" s="62" t="n">
        <v>1683.11</v>
      </c>
      <c r="H1082" s="63" t="n">
        <v>0.124</v>
      </c>
      <c r="I1082" s="62" t="n">
        <v>1431.46</v>
      </c>
      <c r="J1082" s="58" t="inlineStr">
        <is>
          <t>Online</t>
        </is>
      </c>
      <c r="K1082" s="62">
        <f>F1082*(G1082-H1082)</f>
        <v/>
      </c>
      <c r="L1082" s="62">
        <f>K1082-(F1082*I1082)</f>
        <v/>
      </c>
      <c r="M1082" s="64">
        <f>L1082/K1082</f>
        <v/>
      </c>
    </row>
    <row r="1083">
      <c r="A1083" s="58" t="inlineStr">
        <is>
          <t>RT20250126-01082</t>
        </is>
      </c>
      <c r="B1083" s="59" t="inlineStr">
        <is>
          <t>2025-01-26</t>
        </is>
      </c>
      <c r="C1083" s="60" t="inlineStr">
        <is>
          <t>Polar Outdoor X-193</t>
        </is>
      </c>
      <c r="D1083" s="58" t="inlineStr">
        <is>
          <t>Sports</t>
        </is>
      </c>
      <c r="E1083" s="58" t="inlineStr">
        <is>
          <t>South</t>
        </is>
      </c>
      <c r="F1083" s="61" t="n">
        <v>1</v>
      </c>
      <c r="G1083" s="62" t="n">
        <v>633.59</v>
      </c>
      <c r="H1083" s="63" t="n">
        <v>0.017</v>
      </c>
      <c r="I1083" s="62" t="n">
        <v>450.89</v>
      </c>
      <c r="J1083" s="58" t="inlineStr">
        <is>
          <t>Online</t>
        </is>
      </c>
      <c r="K1083" s="62">
        <f>F1083*(G1083-H1083)</f>
        <v/>
      </c>
      <c r="L1083" s="62">
        <f>K1083-(F1083*I1083)</f>
        <v/>
      </c>
      <c r="M1083" s="64">
        <f>L1083/K1083</f>
        <v/>
      </c>
    </row>
    <row r="1084">
      <c r="A1084" s="58" t="inlineStr">
        <is>
          <t>RT20250126-01083</t>
        </is>
      </c>
      <c r="B1084" s="59" t="inlineStr">
        <is>
          <t>2025-01-26</t>
        </is>
      </c>
      <c r="C1084" s="60" t="inlineStr">
        <is>
          <t>Metro Pantry Max-180</t>
        </is>
      </c>
      <c r="D1084" s="58" t="inlineStr">
        <is>
          <t>Grocery</t>
        </is>
      </c>
      <c r="E1084" s="58" t="inlineStr">
        <is>
          <t>North</t>
        </is>
      </c>
      <c r="F1084" s="61" t="n">
        <v>8</v>
      </c>
      <c r="G1084" s="62" t="n">
        <v>10.27</v>
      </c>
      <c r="H1084" s="63" t="n">
        <v>0.08400000000000001</v>
      </c>
      <c r="I1084" s="62" t="n">
        <v>6.8</v>
      </c>
      <c r="J1084" s="58" t="inlineStr">
        <is>
          <t>Store</t>
        </is>
      </c>
      <c r="K1084" s="62">
        <f>F1084*(G1084-H1084)</f>
        <v/>
      </c>
      <c r="L1084" s="62">
        <f>K1084-(F1084*I1084)</f>
        <v/>
      </c>
      <c r="M1084" s="64">
        <f>L1084/K1084</f>
        <v/>
      </c>
    </row>
    <row r="1085">
      <c r="A1085" s="58" t="inlineStr">
        <is>
          <t>RT20250126-01084</t>
        </is>
      </c>
      <c r="B1085" s="59" t="inlineStr">
        <is>
          <t>2025-01-26</t>
        </is>
      </c>
      <c r="C1085" s="60" t="inlineStr">
        <is>
          <t>Vertex Appliance S-159</t>
        </is>
      </c>
      <c r="D1085" s="58" t="inlineStr">
        <is>
          <t>Home</t>
        </is>
      </c>
      <c r="E1085" s="58" t="inlineStr">
        <is>
          <t>West</t>
        </is>
      </c>
      <c r="F1085" s="61" t="n">
        <v>2</v>
      </c>
      <c r="G1085" s="62" t="n">
        <v>441.37</v>
      </c>
      <c r="H1085" s="63" t="n">
        <v>0.011</v>
      </c>
      <c r="I1085" s="62" t="n">
        <v>297.14</v>
      </c>
      <c r="J1085" s="58" t="inlineStr">
        <is>
          <t>Online</t>
        </is>
      </c>
      <c r="K1085" s="62">
        <f>F1085*(G1085-H1085)</f>
        <v/>
      </c>
      <c r="L1085" s="62">
        <f>K1085-(F1085*I1085)</f>
        <v/>
      </c>
      <c r="M1085" s="64">
        <f>L1085/K1085</f>
        <v/>
      </c>
    </row>
    <row r="1086">
      <c r="A1086" s="58" t="inlineStr">
        <is>
          <t>RT20250126-01085</t>
        </is>
      </c>
      <c r="B1086" s="59" t="inlineStr">
        <is>
          <t>2025-01-26</t>
        </is>
      </c>
      <c r="C1086" s="60" t="inlineStr">
        <is>
          <t>Aurora Skincare Max-798</t>
        </is>
      </c>
      <c r="D1086" s="58" t="inlineStr">
        <is>
          <t>Beauty</t>
        </is>
      </c>
      <c r="E1086" s="58" t="inlineStr">
        <is>
          <t>West</t>
        </is>
      </c>
      <c r="F1086" s="61" t="n">
        <v>3</v>
      </c>
      <c r="G1086" s="62" t="n">
        <v>123.33</v>
      </c>
      <c r="H1086" s="63" t="n">
        <v>0.061</v>
      </c>
      <c r="I1086" s="62" t="n">
        <v>68.47</v>
      </c>
      <c r="J1086" s="58" t="inlineStr">
        <is>
          <t>Store</t>
        </is>
      </c>
      <c r="K1086" s="62">
        <f>F1086*(G1086-H1086)</f>
        <v/>
      </c>
      <c r="L1086" s="62">
        <f>K1086-(F1086*I1086)</f>
        <v/>
      </c>
      <c r="M1086" s="64">
        <f>L1086/K1086</f>
        <v/>
      </c>
    </row>
    <row r="1087">
      <c r="A1087" s="58" t="inlineStr">
        <is>
          <t>RT20250126-01086</t>
        </is>
      </c>
      <c r="B1087" s="59" t="inlineStr">
        <is>
          <t>2025-01-26</t>
        </is>
      </c>
      <c r="C1087" s="60" t="inlineStr">
        <is>
          <t>Vertex Appliance S-296</t>
        </is>
      </c>
      <c r="D1087" s="58" t="inlineStr">
        <is>
          <t>Home</t>
        </is>
      </c>
      <c r="E1087" s="58" t="inlineStr">
        <is>
          <t>Central</t>
        </is>
      </c>
      <c r="F1087" s="61" t="n">
        <v>1</v>
      </c>
      <c r="G1087" s="62" t="n">
        <v>527.3</v>
      </c>
      <c r="H1087" s="63" t="n">
        <v>0.06900000000000001</v>
      </c>
      <c r="I1087" s="62" t="n">
        <v>357.08</v>
      </c>
      <c r="J1087" s="58" t="inlineStr">
        <is>
          <t>Online</t>
        </is>
      </c>
      <c r="K1087" s="62">
        <f>F1087*(G1087-H1087)</f>
        <v/>
      </c>
      <c r="L1087" s="62">
        <f>K1087-(F1087*I1087)</f>
        <v/>
      </c>
      <c r="M1087" s="64">
        <f>L1087/K1087</f>
        <v/>
      </c>
    </row>
    <row r="1088">
      <c r="A1088" s="58" t="inlineStr">
        <is>
          <t>RT20250127-01087</t>
        </is>
      </c>
      <c r="B1088" s="59" t="inlineStr">
        <is>
          <t>2025-01-27</t>
        </is>
      </c>
      <c r="C1088" s="60" t="inlineStr">
        <is>
          <t>Polar Decor Plus-505</t>
        </is>
      </c>
      <c r="D1088" s="58" t="inlineStr">
        <is>
          <t>Home</t>
        </is>
      </c>
      <c r="E1088" s="58" t="inlineStr">
        <is>
          <t>East</t>
        </is>
      </c>
      <c r="F1088" s="61" t="n">
        <v>3</v>
      </c>
      <c r="G1088" s="62" t="n">
        <v>276.64</v>
      </c>
      <c r="H1088" s="63" t="n">
        <v>0.045</v>
      </c>
      <c r="I1088" s="62" t="n">
        <v>195.03</v>
      </c>
      <c r="J1088" s="58" t="inlineStr">
        <is>
          <t>Online</t>
        </is>
      </c>
      <c r="K1088" s="62">
        <f>F1088*(G1088-H1088)</f>
        <v/>
      </c>
      <c r="L1088" s="62">
        <f>K1088-(F1088*I1088)</f>
        <v/>
      </c>
      <c r="M1088" s="64">
        <f>L1088/K1088</f>
        <v/>
      </c>
    </row>
    <row r="1089">
      <c r="A1089" s="58" t="inlineStr">
        <is>
          <t>RT20250127-01088</t>
        </is>
      </c>
      <c r="B1089" s="59" t="inlineStr">
        <is>
          <t>2025-01-27</t>
        </is>
      </c>
      <c r="C1089" s="60" t="inlineStr">
        <is>
          <t>Aurora Bedding Max-175</t>
        </is>
      </c>
      <c r="D1089" s="58" t="inlineStr">
        <is>
          <t>Home</t>
        </is>
      </c>
      <c r="E1089" s="58" t="inlineStr">
        <is>
          <t>South</t>
        </is>
      </c>
      <c r="F1089" s="61" t="n">
        <v>1</v>
      </c>
      <c r="G1089" s="62" t="n">
        <v>605.76</v>
      </c>
      <c r="H1089" s="63" t="n">
        <v>0.079</v>
      </c>
      <c r="I1089" s="62" t="n">
        <v>419.92</v>
      </c>
      <c r="J1089" s="58" t="inlineStr">
        <is>
          <t>Online</t>
        </is>
      </c>
      <c r="K1089" s="62">
        <f>F1089*(G1089-H1089)</f>
        <v/>
      </c>
      <c r="L1089" s="62">
        <f>K1089-(F1089*I1089)</f>
        <v/>
      </c>
      <c r="M1089" s="64">
        <f>L1089/K1089</f>
        <v/>
      </c>
    </row>
    <row r="1090">
      <c r="A1090" s="58" t="inlineStr">
        <is>
          <t>RT20250127-01089</t>
        </is>
      </c>
      <c r="B1090" s="59" t="inlineStr">
        <is>
          <t>2025-01-27</t>
        </is>
      </c>
      <c r="C1090" s="60" t="inlineStr">
        <is>
          <t>Aurora Appliance Lite-109</t>
        </is>
      </c>
      <c r="D1090" s="58" t="inlineStr">
        <is>
          <t>Home</t>
        </is>
      </c>
      <c r="E1090" s="58" t="inlineStr">
        <is>
          <t>South</t>
        </is>
      </c>
      <c r="F1090" s="61" t="n">
        <v>1</v>
      </c>
      <c r="G1090" s="62" t="n">
        <v>301.97</v>
      </c>
      <c r="H1090" s="63" t="n">
        <v>0.034</v>
      </c>
      <c r="I1090" s="62" t="n">
        <v>203.97</v>
      </c>
      <c r="J1090" s="58" t="inlineStr">
        <is>
          <t>Online</t>
        </is>
      </c>
      <c r="K1090" s="62">
        <f>F1090*(G1090-H1090)</f>
        <v/>
      </c>
      <c r="L1090" s="62">
        <f>K1090-(F1090*I1090)</f>
        <v/>
      </c>
      <c r="M1090" s="64">
        <f>L1090/K1090</f>
        <v/>
      </c>
    </row>
    <row r="1091">
      <c r="A1091" s="58" t="inlineStr">
        <is>
          <t>RT20250127-01090</t>
        </is>
      </c>
      <c r="B1091" s="59" t="inlineStr">
        <is>
          <t>2025-01-27</t>
        </is>
      </c>
      <c r="C1091" s="60" t="inlineStr">
        <is>
          <t>Polar Men Pro-246</t>
        </is>
      </c>
      <c r="D1091" s="58" t="inlineStr">
        <is>
          <t>Apparel</t>
        </is>
      </c>
      <c r="E1091" s="58" t="inlineStr">
        <is>
          <t>North</t>
        </is>
      </c>
      <c r="F1091" s="61" t="n">
        <v>1</v>
      </c>
      <c r="G1091" s="62" t="n">
        <v>118.12</v>
      </c>
      <c r="H1091" s="63" t="n">
        <v>0.096</v>
      </c>
      <c r="I1091" s="62" t="n">
        <v>78.22</v>
      </c>
      <c r="J1091" s="58" t="inlineStr">
        <is>
          <t>Online</t>
        </is>
      </c>
      <c r="K1091" s="62">
        <f>F1091*(G1091-H1091)</f>
        <v/>
      </c>
      <c r="L1091" s="62">
        <f>K1091-(F1091*I1091)</f>
        <v/>
      </c>
      <c r="M1091" s="64">
        <f>L1091/K1091</f>
        <v/>
      </c>
    </row>
    <row r="1092">
      <c r="A1092" s="58" t="inlineStr">
        <is>
          <t>RT20250127-01091</t>
        </is>
      </c>
      <c r="B1092" s="59" t="inlineStr">
        <is>
          <t>2025-01-27</t>
        </is>
      </c>
      <c r="C1092" s="60" t="inlineStr">
        <is>
          <t>Polar Decor Plus-505</t>
        </is>
      </c>
      <c r="D1092" s="58" t="inlineStr">
        <is>
          <t>Home</t>
        </is>
      </c>
      <c r="E1092" s="58" t="inlineStr">
        <is>
          <t>North</t>
        </is>
      </c>
      <c r="F1092" s="61" t="n">
        <v>3</v>
      </c>
      <c r="G1092" s="62" t="n">
        <v>331.04</v>
      </c>
      <c r="H1092" s="63" t="n">
        <v>0.014</v>
      </c>
      <c r="I1092" s="62" t="n">
        <v>203.2</v>
      </c>
      <c r="J1092" s="58" t="inlineStr">
        <is>
          <t>Store</t>
        </is>
      </c>
      <c r="K1092" s="62">
        <f>F1092*(G1092-H1092)</f>
        <v/>
      </c>
      <c r="L1092" s="62">
        <f>K1092-(F1092*I1092)</f>
        <v/>
      </c>
      <c r="M1092" s="64">
        <f>L1092/K1092</f>
        <v/>
      </c>
    </row>
    <row r="1093">
      <c r="A1093" s="58" t="inlineStr">
        <is>
          <t>RT20250127-01092</t>
        </is>
      </c>
      <c r="B1093" s="59" t="inlineStr">
        <is>
          <t>2025-01-27</t>
        </is>
      </c>
      <c r="C1093" s="60" t="inlineStr">
        <is>
          <t>Metro Accessorie Max-316</t>
        </is>
      </c>
      <c r="D1093" s="58" t="inlineStr">
        <is>
          <t>Apparel</t>
        </is>
      </c>
      <c r="E1093" s="58" t="inlineStr">
        <is>
          <t>South</t>
        </is>
      </c>
      <c r="F1093" s="61" t="n">
        <v>3</v>
      </c>
      <c r="G1093" s="62" t="n">
        <v>166.58</v>
      </c>
      <c r="H1093" s="63" t="n">
        <v>0.055</v>
      </c>
      <c r="I1093" s="62" t="n">
        <v>89.25</v>
      </c>
      <c r="J1093" s="58" t="inlineStr">
        <is>
          <t>Store</t>
        </is>
      </c>
      <c r="K1093" s="62">
        <f>F1093*(G1093-H1093)</f>
        <v/>
      </c>
      <c r="L1093" s="62">
        <f>K1093-(F1093*I1093)</f>
        <v/>
      </c>
      <c r="M1093" s="64">
        <f>L1093/K1093</f>
        <v/>
      </c>
    </row>
    <row r="1094">
      <c r="A1094" s="58" t="inlineStr">
        <is>
          <t>RT20250127-01093</t>
        </is>
      </c>
      <c r="B1094" s="59" t="inlineStr">
        <is>
          <t>2025-01-27</t>
        </is>
      </c>
      <c r="C1094" s="60" t="inlineStr">
        <is>
          <t>Polar Outdoor X-193</t>
        </is>
      </c>
      <c r="D1094" s="58" t="inlineStr">
        <is>
          <t>Sports</t>
        </is>
      </c>
      <c r="E1094" s="58" t="inlineStr">
        <is>
          <t>West</t>
        </is>
      </c>
      <c r="F1094" s="61" t="n">
        <v>1</v>
      </c>
      <c r="G1094" s="62" t="n">
        <v>727.55</v>
      </c>
      <c r="H1094" s="63" t="n">
        <v>0.114</v>
      </c>
      <c r="I1094" s="62" t="n">
        <v>442.06</v>
      </c>
      <c r="J1094" s="58" t="inlineStr">
        <is>
          <t>Store</t>
        </is>
      </c>
      <c r="K1094" s="62">
        <f>F1094*(G1094-H1094)</f>
        <v/>
      </c>
      <c r="L1094" s="62">
        <f>K1094-(F1094*I1094)</f>
        <v/>
      </c>
      <c r="M1094" s="64">
        <f>L1094/K1094</f>
        <v/>
      </c>
    </row>
    <row r="1095">
      <c r="A1095" s="58" t="inlineStr">
        <is>
          <t>RT20250127-01094</t>
        </is>
      </c>
      <c r="B1095" s="59" t="inlineStr">
        <is>
          <t>2025-01-27</t>
        </is>
      </c>
      <c r="C1095" s="60" t="inlineStr">
        <is>
          <t>Solace Makeup Pro-214</t>
        </is>
      </c>
      <c r="D1095" s="58" t="inlineStr">
        <is>
          <t>Beauty</t>
        </is>
      </c>
      <c r="E1095" s="58" t="inlineStr">
        <is>
          <t>North</t>
        </is>
      </c>
      <c r="F1095" s="61" t="n">
        <v>5</v>
      </c>
      <c r="G1095" s="62" t="n">
        <v>110.98</v>
      </c>
      <c r="H1095" s="63" t="n">
        <v>0.068</v>
      </c>
      <c r="I1095" s="62" t="n">
        <v>68.94</v>
      </c>
      <c r="J1095" s="58" t="inlineStr">
        <is>
          <t>Store</t>
        </is>
      </c>
      <c r="K1095" s="62">
        <f>F1095*(G1095-H1095)</f>
        <v/>
      </c>
      <c r="L1095" s="62">
        <f>K1095-(F1095*I1095)</f>
        <v/>
      </c>
      <c r="M1095" s="64">
        <f>L1095/K1095</f>
        <v/>
      </c>
    </row>
    <row r="1096">
      <c r="A1096" s="58" t="inlineStr">
        <is>
          <t>RT20250127-01095</t>
        </is>
      </c>
      <c r="B1096" s="59" t="inlineStr">
        <is>
          <t>2025-01-27</t>
        </is>
      </c>
      <c r="C1096" s="60" t="inlineStr">
        <is>
          <t>Solace Smartphone Lite-533</t>
        </is>
      </c>
      <c r="D1096" s="58" t="inlineStr">
        <is>
          <t>Electronics</t>
        </is>
      </c>
      <c r="E1096" s="58" t="inlineStr">
        <is>
          <t>North</t>
        </is>
      </c>
      <c r="F1096" s="61" t="n">
        <v>2</v>
      </c>
      <c r="G1096" s="62" t="n">
        <v>1171.53</v>
      </c>
      <c r="H1096" s="63" t="n">
        <v>0.046</v>
      </c>
      <c r="I1096" s="62" t="n">
        <v>929.85</v>
      </c>
      <c r="J1096" s="58" t="inlineStr">
        <is>
          <t>Store</t>
        </is>
      </c>
      <c r="K1096" s="62">
        <f>F1096*(G1096-H1096)</f>
        <v/>
      </c>
      <c r="L1096" s="62">
        <f>K1096-(F1096*I1096)</f>
        <v/>
      </c>
      <c r="M1096" s="64">
        <f>L1096/K1096</f>
        <v/>
      </c>
    </row>
    <row r="1097">
      <c r="A1097" s="58" t="inlineStr">
        <is>
          <t>RT20250127-01096</t>
        </is>
      </c>
      <c r="B1097" s="59" t="inlineStr">
        <is>
          <t>2025-01-27</t>
        </is>
      </c>
      <c r="C1097" s="60" t="inlineStr">
        <is>
          <t>Solace Kitchen Pro-999</t>
        </is>
      </c>
      <c r="D1097" s="58" t="inlineStr">
        <is>
          <t>Home</t>
        </is>
      </c>
      <c r="E1097" s="58" t="inlineStr">
        <is>
          <t>Central</t>
        </is>
      </c>
      <c r="F1097" s="61" t="n">
        <v>2</v>
      </c>
      <c r="G1097" s="62" t="n">
        <v>409.44</v>
      </c>
      <c r="H1097" s="63" t="n">
        <v>0.006</v>
      </c>
      <c r="I1097" s="62" t="n">
        <v>265.42</v>
      </c>
      <c r="J1097" s="58" t="inlineStr">
        <is>
          <t>Store</t>
        </is>
      </c>
      <c r="K1097" s="62">
        <f>F1097*(G1097-H1097)</f>
        <v/>
      </c>
      <c r="L1097" s="62">
        <f>K1097-(F1097*I1097)</f>
        <v/>
      </c>
      <c r="M1097" s="64">
        <f>L1097/K1097</f>
        <v/>
      </c>
    </row>
    <row r="1098">
      <c r="A1098" s="58" t="inlineStr">
        <is>
          <t>RT20250128-01097</t>
        </is>
      </c>
      <c r="B1098" s="59" t="inlineStr">
        <is>
          <t>2025-01-28</t>
        </is>
      </c>
      <c r="C1098" s="60" t="inlineStr">
        <is>
          <t>Aurora Fitnes Lite-194</t>
        </is>
      </c>
      <c r="D1098" s="58" t="inlineStr">
        <is>
          <t>Sports</t>
        </is>
      </c>
      <c r="E1098" s="58" t="inlineStr">
        <is>
          <t>West</t>
        </is>
      </c>
      <c r="F1098" s="61" t="n">
        <v>2</v>
      </c>
      <c r="G1098" s="62" t="n">
        <v>750.27</v>
      </c>
      <c r="H1098" s="63" t="n">
        <v>0.119</v>
      </c>
      <c r="I1098" s="62" t="n">
        <v>456.16</v>
      </c>
      <c r="J1098" s="58" t="inlineStr">
        <is>
          <t>Online</t>
        </is>
      </c>
      <c r="K1098" s="62">
        <f>F1098*(G1098-H1098)</f>
        <v/>
      </c>
      <c r="L1098" s="62">
        <f>K1098-(F1098*I1098)</f>
        <v/>
      </c>
      <c r="M1098" s="64">
        <f>L1098/K1098</f>
        <v/>
      </c>
    </row>
    <row r="1099">
      <c r="A1099" s="58" t="inlineStr">
        <is>
          <t>RT20250128-01098</t>
        </is>
      </c>
      <c r="B1099" s="59" t="inlineStr">
        <is>
          <t>2025-01-28</t>
        </is>
      </c>
      <c r="C1099" s="60" t="inlineStr">
        <is>
          <t>Polar Decor Plus-505</t>
        </is>
      </c>
      <c r="D1099" s="58" t="inlineStr">
        <is>
          <t>Home</t>
        </is>
      </c>
      <c r="E1099" s="58" t="inlineStr">
        <is>
          <t>South</t>
        </is>
      </c>
      <c r="F1099" s="61" t="n">
        <v>2</v>
      </c>
      <c r="G1099" s="62" t="n">
        <v>297.33</v>
      </c>
      <c r="H1099" s="63" t="n">
        <v>0.01</v>
      </c>
      <c r="I1099" s="62" t="n">
        <v>194.49</v>
      </c>
      <c r="J1099" s="58" t="inlineStr">
        <is>
          <t>Phone</t>
        </is>
      </c>
      <c r="K1099" s="62">
        <f>F1099*(G1099-H1099)</f>
        <v/>
      </c>
      <c r="L1099" s="62">
        <f>K1099-(F1099*I1099)</f>
        <v/>
      </c>
      <c r="M1099" s="64">
        <f>L1099/K1099</f>
        <v/>
      </c>
    </row>
    <row r="1100">
      <c r="A1100" s="58" t="inlineStr">
        <is>
          <t>RT20250128-01099</t>
        </is>
      </c>
      <c r="B1100" s="59" t="inlineStr">
        <is>
          <t>2025-01-28</t>
        </is>
      </c>
      <c r="C1100" s="60" t="inlineStr">
        <is>
          <t>Solace Team Sport Max-548</t>
        </is>
      </c>
      <c r="D1100" s="58" t="inlineStr">
        <is>
          <t>Sports</t>
        </is>
      </c>
      <c r="E1100" s="58" t="inlineStr">
        <is>
          <t>Central</t>
        </is>
      </c>
      <c r="F1100" s="61" t="n">
        <v>2</v>
      </c>
      <c r="G1100" s="62" t="n">
        <v>746.6</v>
      </c>
      <c r="H1100" s="63" t="n">
        <v>0.059</v>
      </c>
      <c r="I1100" s="62" t="n">
        <v>492.42</v>
      </c>
      <c r="J1100" s="58" t="inlineStr">
        <is>
          <t>Online</t>
        </is>
      </c>
      <c r="K1100" s="62">
        <f>F1100*(G1100-H1100)</f>
        <v/>
      </c>
      <c r="L1100" s="62">
        <f>K1100-(F1100*I1100)</f>
        <v/>
      </c>
      <c r="M1100" s="64">
        <f>L1100/K1100</f>
        <v/>
      </c>
    </row>
    <row r="1101">
      <c r="A1101" s="58" t="inlineStr">
        <is>
          <t>RT20250128-01100</t>
        </is>
      </c>
      <c r="B1101" s="59" t="inlineStr">
        <is>
          <t>2025-01-28</t>
        </is>
      </c>
      <c r="C1101" s="60" t="inlineStr">
        <is>
          <t>Vertex Supplie X-513</t>
        </is>
      </c>
      <c r="D1101" s="58" t="inlineStr">
        <is>
          <t>Office</t>
        </is>
      </c>
      <c r="E1101" s="58" t="inlineStr">
        <is>
          <t>South</t>
        </is>
      </c>
      <c r="F1101" s="61" t="n">
        <v>3</v>
      </c>
      <c r="G1101" s="62" t="n">
        <v>402.82</v>
      </c>
      <c r="H1101" s="63" t="n">
        <v>0.041</v>
      </c>
      <c r="I1101" s="62" t="n">
        <v>272.98</v>
      </c>
      <c r="J1101" s="58" t="inlineStr">
        <is>
          <t>Store</t>
        </is>
      </c>
      <c r="K1101" s="62">
        <f>F1101*(G1101-H1101)</f>
        <v/>
      </c>
      <c r="L1101" s="62">
        <f>K1101-(F1101*I1101)</f>
        <v/>
      </c>
      <c r="M1101" s="64">
        <f>L1101/K1101</f>
        <v/>
      </c>
    </row>
    <row r="1102">
      <c r="A1102" s="58" t="inlineStr">
        <is>
          <t>RT20250128-01101</t>
        </is>
      </c>
      <c r="B1102" s="59" t="inlineStr">
        <is>
          <t>2025-01-28</t>
        </is>
      </c>
      <c r="C1102" s="60" t="inlineStr">
        <is>
          <t>Falcon Kitchen X-130</t>
        </is>
      </c>
      <c r="D1102" s="58" t="inlineStr">
        <is>
          <t>Home</t>
        </is>
      </c>
      <c r="E1102" s="58" t="inlineStr">
        <is>
          <t>South</t>
        </is>
      </c>
      <c r="F1102" s="61" t="n">
        <v>1</v>
      </c>
      <c r="G1102" s="62" t="n">
        <v>379.67</v>
      </c>
      <c r="H1102" s="63" t="n">
        <v>0.078</v>
      </c>
      <c r="I1102" s="62" t="n">
        <v>292.31</v>
      </c>
      <c r="J1102" s="58" t="inlineStr">
        <is>
          <t>Phone</t>
        </is>
      </c>
      <c r="K1102" s="62">
        <f>F1102*(G1102-H1102)</f>
        <v/>
      </c>
      <c r="L1102" s="62">
        <f>K1102-(F1102*I1102)</f>
        <v/>
      </c>
      <c r="M1102" s="64">
        <f>L1102/K1102</f>
        <v/>
      </c>
    </row>
    <row r="1103">
      <c r="A1103" s="58" t="inlineStr">
        <is>
          <t>RT20250128-01102</t>
        </is>
      </c>
      <c r="B1103" s="59" t="inlineStr">
        <is>
          <t>2025-01-28</t>
        </is>
      </c>
      <c r="C1103" s="60" t="inlineStr">
        <is>
          <t>Nimbus Fitnes Lite-516</t>
        </is>
      </c>
      <c r="D1103" s="58" t="inlineStr">
        <is>
          <t>Sports</t>
        </is>
      </c>
      <c r="E1103" s="58" t="inlineStr">
        <is>
          <t>South</t>
        </is>
      </c>
      <c r="F1103" s="61" t="n">
        <v>1</v>
      </c>
      <c r="G1103" s="62" t="n">
        <v>761.37</v>
      </c>
      <c r="H1103" s="63" t="n">
        <v>0.07000000000000001</v>
      </c>
      <c r="I1103" s="62" t="n">
        <v>474.34</v>
      </c>
      <c r="J1103" s="58" t="inlineStr">
        <is>
          <t>Online</t>
        </is>
      </c>
      <c r="K1103" s="62">
        <f>F1103*(G1103-H1103)</f>
        <v/>
      </c>
      <c r="L1103" s="62">
        <f>K1103-(F1103*I1103)</f>
        <v/>
      </c>
      <c r="M1103" s="64">
        <f>L1103/K1103</f>
        <v/>
      </c>
    </row>
    <row r="1104">
      <c r="A1104" s="58" t="inlineStr">
        <is>
          <t>RT20250128-01103</t>
        </is>
      </c>
      <c r="B1104" s="59" t="inlineStr">
        <is>
          <t>2025-01-28</t>
        </is>
      </c>
      <c r="C1104" s="60" t="inlineStr">
        <is>
          <t>Metro Accessorie Lite-697</t>
        </is>
      </c>
      <c r="D1104" s="58" t="inlineStr">
        <is>
          <t>Apparel</t>
        </is>
      </c>
      <c r="E1104" s="58" t="inlineStr">
        <is>
          <t>South</t>
        </is>
      </c>
      <c r="F1104" s="61" t="n">
        <v>3</v>
      </c>
      <c r="G1104" s="62" t="n">
        <v>125.51</v>
      </c>
      <c r="H1104" s="63" t="n">
        <v>0.1</v>
      </c>
      <c r="I1104" s="62" t="n">
        <v>78.58</v>
      </c>
      <c r="J1104" s="58" t="inlineStr">
        <is>
          <t>Online</t>
        </is>
      </c>
      <c r="K1104" s="62">
        <f>F1104*(G1104-H1104)</f>
        <v/>
      </c>
      <c r="L1104" s="62">
        <f>K1104-(F1104*I1104)</f>
        <v/>
      </c>
      <c r="M1104" s="64">
        <f>L1104/K1104</f>
        <v/>
      </c>
    </row>
    <row r="1105">
      <c r="A1105" s="58" t="inlineStr">
        <is>
          <t>RT20250128-01104</t>
        </is>
      </c>
      <c r="B1105" s="59" t="inlineStr">
        <is>
          <t>2025-01-28</t>
        </is>
      </c>
      <c r="C1105" s="60" t="inlineStr">
        <is>
          <t>Aurora Storage Lite-774</t>
        </is>
      </c>
      <c r="D1105" s="58" t="inlineStr">
        <is>
          <t>Office</t>
        </is>
      </c>
      <c r="E1105" s="58" t="inlineStr">
        <is>
          <t>North</t>
        </is>
      </c>
      <c r="F1105" s="61" t="n">
        <v>1</v>
      </c>
      <c r="G1105" s="62" t="n">
        <v>345.12</v>
      </c>
      <c r="H1105" s="63" t="n">
        <v>0.093</v>
      </c>
      <c r="I1105" s="62" t="n">
        <v>238.69</v>
      </c>
      <c r="J1105" s="58" t="inlineStr">
        <is>
          <t>Store</t>
        </is>
      </c>
      <c r="K1105" s="62">
        <f>F1105*(G1105-H1105)</f>
        <v/>
      </c>
      <c r="L1105" s="62">
        <f>K1105-(F1105*I1105)</f>
        <v/>
      </c>
      <c r="M1105" s="64">
        <f>L1105/K1105</f>
        <v/>
      </c>
    </row>
    <row r="1106">
      <c r="A1106" s="58" t="inlineStr">
        <is>
          <t>RT20250128-01105</t>
        </is>
      </c>
      <c r="B1106" s="59" t="inlineStr">
        <is>
          <t>2025-01-28</t>
        </is>
      </c>
      <c r="C1106" s="60" t="inlineStr">
        <is>
          <t>Metro Outdoor Plus-787</t>
        </is>
      </c>
      <c r="D1106" s="58" t="inlineStr">
        <is>
          <t>Sports</t>
        </is>
      </c>
      <c r="E1106" s="58" t="inlineStr">
        <is>
          <t>North</t>
        </is>
      </c>
      <c r="F1106" s="61" t="n">
        <v>3</v>
      </c>
      <c r="G1106" s="62" t="n">
        <v>513.54</v>
      </c>
      <c r="H1106" s="63" t="n">
        <v>0.022</v>
      </c>
      <c r="I1106" s="62" t="n">
        <v>345.35</v>
      </c>
      <c r="J1106" s="58" t="inlineStr">
        <is>
          <t>Store</t>
        </is>
      </c>
      <c r="K1106" s="62">
        <f>F1106*(G1106-H1106)</f>
        <v/>
      </c>
      <c r="L1106" s="62">
        <f>K1106-(F1106*I1106)</f>
        <v/>
      </c>
      <c r="M1106" s="64">
        <f>L1106/K1106</f>
        <v/>
      </c>
    </row>
    <row r="1107">
      <c r="A1107" s="58" t="inlineStr">
        <is>
          <t>RT20250128-01106</t>
        </is>
      </c>
      <c r="B1107" s="59" t="inlineStr">
        <is>
          <t>2025-01-28</t>
        </is>
      </c>
      <c r="C1107" s="60" t="inlineStr">
        <is>
          <t>Polar Women S-662</t>
        </is>
      </c>
      <c r="D1107" s="58" t="inlineStr">
        <is>
          <t>Apparel</t>
        </is>
      </c>
      <c r="E1107" s="58" t="inlineStr">
        <is>
          <t>West</t>
        </is>
      </c>
      <c r="F1107" s="61" t="n">
        <v>3</v>
      </c>
      <c r="G1107" s="62" t="n">
        <v>177.39</v>
      </c>
      <c r="H1107" s="63" t="n">
        <v>0.061</v>
      </c>
      <c r="I1107" s="62" t="n">
        <v>101.3</v>
      </c>
      <c r="J1107" s="58" t="inlineStr">
        <is>
          <t>Store</t>
        </is>
      </c>
      <c r="K1107" s="62">
        <f>F1107*(G1107-H1107)</f>
        <v/>
      </c>
      <c r="L1107" s="62">
        <f>K1107-(F1107*I1107)</f>
        <v/>
      </c>
      <c r="M1107" s="64">
        <f>L1107/K1107</f>
        <v/>
      </c>
    </row>
    <row r="1108">
      <c r="A1108" s="58" t="inlineStr">
        <is>
          <t>RT20250128-01107</t>
        </is>
      </c>
      <c r="B1108" s="59" t="inlineStr">
        <is>
          <t>2025-01-28</t>
        </is>
      </c>
      <c r="C1108" s="60" t="inlineStr">
        <is>
          <t>Aurora Bedding Plus-187</t>
        </is>
      </c>
      <c r="D1108" s="58" t="inlineStr">
        <is>
          <t>Home</t>
        </is>
      </c>
      <c r="E1108" s="58" t="inlineStr">
        <is>
          <t>East</t>
        </is>
      </c>
      <c r="F1108" s="61" t="n">
        <v>2</v>
      </c>
      <c r="G1108" s="62" t="n">
        <v>325.7</v>
      </c>
      <c r="H1108" s="63" t="n">
        <v>0.08699999999999999</v>
      </c>
      <c r="I1108" s="62" t="n">
        <v>203.53</v>
      </c>
      <c r="J1108" s="58" t="inlineStr">
        <is>
          <t>Online</t>
        </is>
      </c>
      <c r="K1108" s="62">
        <f>F1108*(G1108-H1108)</f>
        <v/>
      </c>
      <c r="L1108" s="62">
        <f>K1108-(F1108*I1108)</f>
        <v/>
      </c>
      <c r="M1108" s="64">
        <f>L1108/K1108</f>
        <v/>
      </c>
    </row>
    <row r="1109">
      <c r="A1109" s="58" t="inlineStr">
        <is>
          <t>RT20250128-01108</t>
        </is>
      </c>
      <c r="B1109" s="59" t="inlineStr">
        <is>
          <t>2025-01-28</t>
        </is>
      </c>
      <c r="C1109" s="60" t="inlineStr">
        <is>
          <t>Orion Kitchen Pro-568</t>
        </is>
      </c>
      <c r="D1109" s="58" t="inlineStr">
        <is>
          <t>Home</t>
        </is>
      </c>
      <c r="E1109" s="58" t="inlineStr">
        <is>
          <t>West</t>
        </is>
      </c>
      <c r="F1109" s="61" t="n">
        <v>2</v>
      </c>
      <c r="G1109" s="62" t="n">
        <v>522.65</v>
      </c>
      <c r="H1109" s="63" t="n">
        <v>0.128</v>
      </c>
      <c r="I1109" s="62" t="n">
        <v>308.3</v>
      </c>
      <c r="J1109" s="58" t="inlineStr">
        <is>
          <t>Store</t>
        </is>
      </c>
      <c r="K1109" s="62">
        <f>F1109*(G1109-H1109)</f>
        <v/>
      </c>
      <c r="L1109" s="62">
        <f>K1109-(F1109*I1109)</f>
        <v/>
      </c>
      <c r="M1109" s="64">
        <f>L1109/K1109</f>
        <v/>
      </c>
    </row>
    <row r="1110">
      <c r="A1110" s="58" t="inlineStr">
        <is>
          <t>RT20250128-01109</t>
        </is>
      </c>
      <c r="B1110" s="59" t="inlineStr">
        <is>
          <t>2025-01-28</t>
        </is>
      </c>
      <c r="C1110" s="60" t="inlineStr">
        <is>
          <t>Metro Pantry X-710</t>
        </is>
      </c>
      <c r="D1110" s="58" t="inlineStr">
        <is>
          <t>Grocery</t>
        </is>
      </c>
      <c r="E1110" s="58" t="inlineStr">
        <is>
          <t>South</t>
        </is>
      </c>
      <c r="F1110" s="61" t="n">
        <v>4</v>
      </c>
      <c r="G1110" s="62" t="n">
        <v>6.56</v>
      </c>
      <c r="H1110" s="63" t="n">
        <v>0.059</v>
      </c>
      <c r="I1110" s="62" t="n">
        <v>4.27</v>
      </c>
      <c r="J1110" s="58" t="inlineStr">
        <is>
          <t>Online</t>
        </is>
      </c>
      <c r="K1110" s="62">
        <f>F1110*(G1110-H1110)</f>
        <v/>
      </c>
      <c r="L1110" s="62">
        <f>K1110-(F1110*I1110)</f>
        <v/>
      </c>
      <c r="M1110" s="64">
        <f>L1110/K1110</f>
        <v/>
      </c>
    </row>
    <row r="1111">
      <c r="A1111" s="58" t="inlineStr">
        <is>
          <t>RT20250128-01110</t>
        </is>
      </c>
      <c r="B1111" s="59" t="inlineStr">
        <is>
          <t>2025-01-28</t>
        </is>
      </c>
      <c r="C1111" s="60" t="inlineStr">
        <is>
          <t>Solace Makeup Pro-214</t>
        </is>
      </c>
      <c r="D1111" s="58" t="inlineStr">
        <is>
          <t>Beauty</t>
        </is>
      </c>
      <c r="E1111" s="58" t="inlineStr">
        <is>
          <t>Central</t>
        </is>
      </c>
      <c r="F1111" s="61" t="n">
        <v>5</v>
      </c>
      <c r="G1111" s="62" t="n">
        <v>111.36</v>
      </c>
      <c r="H1111" s="63" t="n">
        <v>0.06</v>
      </c>
      <c r="I1111" s="62" t="n">
        <v>67.48</v>
      </c>
      <c r="J1111" s="58" t="inlineStr">
        <is>
          <t>Online</t>
        </is>
      </c>
      <c r="K1111" s="62">
        <f>F1111*(G1111-H1111)</f>
        <v/>
      </c>
      <c r="L1111" s="62">
        <f>K1111-(F1111*I1111)</f>
        <v/>
      </c>
      <c r="M1111" s="64">
        <f>L1111/K1111</f>
        <v/>
      </c>
    </row>
    <row r="1112">
      <c r="A1112" s="58" t="inlineStr">
        <is>
          <t>RT20250128-01111</t>
        </is>
      </c>
      <c r="B1112" s="59" t="inlineStr">
        <is>
          <t>2025-01-28</t>
        </is>
      </c>
      <c r="C1112" s="60" t="inlineStr">
        <is>
          <t>Metro Pantry Max-180</t>
        </is>
      </c>
      <c r="D1112" s="58" t="inlineStr">
        <is>
          <t>Grocery</t>
        </is>
      </c>
      <c r="E1112" s="58" t="inlineStr">
        <is>
          <t>South</t>
        </is>
      </c>
      <c r="F1112" s="61" t="n">
        <v>6</v>
      </c>
      <c r="G1112" s="62" t="n">
        <v>8.4</v>
      </c>
      <c r="H1112" s="63" t="n">
        <v>0.075</v>
      </c>
      <c r="I1112" s="62" t="n">
        <v>6.67</v>
      </c>
      <c r="J1112" s="58" t="inlineStr">
        <is>
          <t>Online</t>
        </is>
      </c>
      <c r="K1112" s="62">
        <f>F1112*(G1112-H1112)</f>
        <v/>
      </c>
      <c r="L1112" s="62">
        <f>K1112-(F1112*I1112)</f>
        <v/>
      </c>
      <c r="M1112" s="64">
        <f>L1112/K1112</f>
        <v/>
      </c>
    </row>
    <row r="1113">
      <c r="A1113" s="58" t="inlineStr">
        <is>
          <t>RT20250128-01112</t>
        </is>
      </c>
      <c r="B1113" s="59" t="inlineStr">
        <is>
          <t>2025-01-28</t>
        </is>
      </c>
      <c r="C1113" s="60" t="inlineStr">
        <is>
          <t>Aurora Makeup S-626</t>
        </is>
      </c>
      <c r="D1113" s="58" t="inlineStr">
        <is>
          <t>Beauty</t>
        </is>
      </c>
      <c r="E1113" s="58" t="inlineStr">
        <is>
          <t>South</t>
        </is>
      </c>
      <c r="F1113" s="61" t="n">
        <v>4</v>
      </c>
      <c r="G1113" s="62" t="n">
        <v>103.88</v>
      </c>
      <c r="H1113" s="63" t="n">
        <v>0</v>
      </c>
      <c r="I1113" s="62" t="n">
        <v>62.61</v>
      </c>
      <c r="J1113" s="58" t="inlineStr">
        <is>
          <t>Online</t>
        </is>
      </c>
      <c r="K1113" s="62">
        <f>F1113*(G1113-H1113)</f>
        <v/>
      </c>
      <c r="L1113" s="62">
        <f>K1113-(F1113*I1113)</f>
        <v/>
      </c>
      <c r="M1113" s="64">
        <f>L1113/K1113</f>
        <v/>
      </c>
    </row>
    <row r="1114">
      <c r="A1114" s="58" t="inlineStr">
        <is>
          <t>RT20250128-01113</t>
        </is>
      </c>
      <c r="B1114" s="59" t="inlineStr">
        <is>
          <t>2025-01-28</t>
        </is>
      </c>
      <c r="C1114" s="60" t="inlineStr">
        <is>
          <t>Aurora Furniture X-709</t>
        </is>
      </c>
      <c r="D1114" s="58" t="inlineStr">
        <is>
          <t>Office</t>
        </is>
      </c>
      <c r="E1114" s="58" t="inlineStr">
        <is>
          <t>East</t>
        </is>
      </c>
      <c r="F1114" s="61" t="n">
        <v>1</v>
      </c>
      <c r="G1114" s="62" t="n">
        <v>459.17</v>
      </c>
      <c r="H1114" s="63" t="n">
        <v>0.038</v>
      </c>
      <c r="I1114" s="62" t="n">
        <v>311.76</v>
      </c>
      <c r="J1114" s="58" t="inlineStr">
        <is>
          <t>Store</t>
        </is>
      </c>
      <c r="K1114" s="62">
        <f>F1114*(G1114-H1114)</f>
        <v/>
      </c>
      <c r="L1114" s="62">
        <f>K1114-(F1114*I1114)</f>
        <v/>
      </c>
      <c r="M1114" s="64">
        <f>L1114/K1114</f>
        <v/>
      </c>
    </row>
    <row r="1115">
      <c r="A1115" s="58" t="inlineStr">
        <is>
          <t>RT20250128-01114</t>
        </is>
      </c>
      <c r="B1115" s="59" t="inlineStr">
        <is>
          <t>2025-01-28</t>
        </is>
      </c>
      <c r="C1115" s="60" t="inlineStr">
        <is>
          <t>Falcon Headphone Pro-713</t>
        </is>
      </c>
      <c r="D1115" s="58" t="inlineStr">
        <is>
          <t>Electronics</t>
        </is>
      </c>
      <c r="E1115" s="58" t="inlineStr">
        <is>
          <t>North</t>
        </is>
      </c>
      <c r="F1115" s="61" t="n">
        <v>2</v>
      </c>
      <c r="G1115" s="62" t="n">
        <v>1566.23</v>
      </c>
      <c r="H1115" s="63" t="n">
        <v>0.126</v>
      </c>
      <c r="I1115" s="62" t="n">
        <v>1187.66</v>
      </c>
      <c r="J1115" s="58" t="inlineStr">
        <is>
          <t>Store</t>
        </is>
      </c>
      <c r="K1115" s="62">
        <f>F1115*(G1115-H1115)</f>
        <v/>
      </c>
      <c r="L1115" s="62">
        <f>K1115-(F1115*I1115)</f>
        <v/>
      </c>
      <c r="M1115" s="64">
        <f>L1115/K1115</f>
        <v/>
      </c>
    </row>
    <row r="1116">
      <c r="A1116" s="58" t="inlineStr">
        <is>
          <t>RT20250128-01115</t>
        </is>
      </c>
      <c r="B1116" s="59" t="inlineStr">
        <is>
          <t>2025-01-28</t>
        </is>
      </c>
      <c r="C1116" s="60" t="inlineStr">
        <is>
          <t>Metro Beverage Max-490</t>
        </is>
      </c>
      <c r="D1116" s="58" t="inlineStr">
        <is>
          <t>Grocery</t>
        </is>
      </c>
      <c r="E1116" s="58" t="inlineStr">
        <is>
          <t>West</t>
        </is>
      </c>
      <c r="F1116" s="61" t="n">
        <v>8</v>
      </c>
      <c r="G1116" s="62" t="n">
        <v>12.08</v>
      </c>
      <c r="H1116" s="63" t="n">
        <v>0.066</v>
      </c>
      <c r="I1116" s="62" t="n">
        <v>8.32</v>
      </c>
      <c r="J1116" s="58" t="inlineStr">
        <is>
          <t>Store</t>
        </is>
      </c>
      <c r="K1116" s="62">
        <f>F1116*(G1116-H1116)</f>
        <v/>
      </c>
      <c r="L1116" s="62">
        <f>K1116-(F1116*I1116)</f>
        <v/>
      </c>
      <c r="M1116" s="64">
        <f>L1116/K1116</f>
        <v/>
      </c>
    </row>
    <row r="1117">
      <c r="A1117" s="58" t="inlineStr">
        <is>
          <t>RT20250128-01116</t>
        </is>
      </c>
      <c r="B1117" s="59" t="inlineStr">
        <is>
          <t>2025-01-28</t>
        </is>
      </c>
      <c r="C1117" s="60" t="inlineStr">
        <is>
          <t>Vertex Men X-995</t>
        </is>
      </c>
      <c r="D1117" s="58" t="inlineStr">
        <is>
          <t>Apparel</t>
        </is>
      </c>
      <c r="E1117" s="58" t="inlineStr">
        <is>
          <t>West</t>
        </is>
      </c>
      <c r="F1117" s="61" t="n">
        <v>2</v>
      </c>
      <c r="G1117" s="62" t="n">
        <v>103.35</v>
      </c>
      <c r="H1117" s="63" t="n">
        <v>0.091</v>
      </c>
      <c r="I1117" s="62" t="n">
        <v>57.18</v>
      </c>
      <c r="J1117" s="58" t="inlineStr">
        <is>
          <t>Online</t>
        </is>
      </c>
      <c r="K1117" s="62">
        <f>F1117*(G1117-H1117)</f>
        <v/>
      </c>
      <c r="L1117" s="62">
        <f>K1117-(F1117*I1117)</f>
        <v/>
      </c>
      <c r="M1117" s="64">
        <f>L1117/K1117</f>
        <v/>
      </c>
    </row>
    <row r="1118">
      <c r="A1118" s="58" t="inlineStr">
        <is>
          <t>RT20250128-01117</t>
        </is>
      </c>
      <c r="B1118" s="59" t="inlineStr">
        <is>
          <t>2025-01-28</t>
        </is>
      </c>
      <c r="C1118" s="60" t="inlineStr">
        <is>
          <t>Solace Team Sport Max-548</t>
        </is>
      </c>
      <c r="D1118" s="58" t="inlineStr">
        <is>
          <t>Sports</t>
        </is>
      </c>
      <c r="E1118" s="58" t="inlineStr">
        <is>
          <t>Central</t>
        </is>
      </c>
      <c r="F1118" s="61" t="n">
        <v>2</v>
      </c>
      <c r="G1118" s="62" t="n">
        <v>692.1</v>
      </c>
      <c r="H1118" s="63" t="n">
        <v>0.042</v>
      </c>
      <c r="I1118" s="62" t="n">
        <v>477.2</v>
      </c>
      <c r="J1118" s="58" t="inlineStr">
        <is>
          <t>Online</t>
        </is>
      </c>
      <c r="K1118" s="62">
        <f>F1118*(G1118-H1118)</f>
        <v/>
      </c>
      <c r="L1118" s="62">
        <f>K1118-(F1118*I1118)</f>
        <v/>
      </c>
      <c r="M1118" s="64">
        <f>L1118/K1118</f>
        <v/>
      </c>
    </row>
    <row r="1119">
      <c r="A1119" s="58" t="inlineStr">
        <is>
          <t>RT20250128-01118</t>
        </is>
      </c>
      <c r="B1119" s="59" t="inlineStr">
        <is>
          <t>2025-01-28</t>
        </is>
      </c>
      <c r="C1119" s="60" t="inlineStr">
        <is>
          <t>Vertex Pantry Pro-165</t>
        </is>
      </c>
      <c r="D1119" s="58" t="inlineStr">
        <is>
          <t>Grocery</t>
        </is>
      </c>
      <c r="E1119" s="58" t="inlineStr">
        <is>
          <t>West</t>
        </is>
      </c>
      <c r="F1119" s="61" t="n">
        <v>6</v>
      </c>
      <c r="G1119" s="62" t="n">
        <v>15.82</v>
      </c>
      <c r="H1119" s="63" t="n">
        <v>0.031</v>
      </c>
      <c r="I1119" s="62" t="n">
        <v>11.7</v>
      </c>
      <c r="J1119" s="58" t="inlineStr">
        <is>
          <t>Online</t>
        </is>
      </c>
      <c r="K1119" s="62">
        <f>F1119*(G1119-H1119)</f>
        <v/>
      </c>
      <c r="L1119" s="62">
        <f>K1119-(F1119*I1119)</f>
        <v/>
      </c>
      <c r="M1119" s="64">
        <f>L1119/K1119</f>
        <v/>
      </c>
    </row>
    <row r="1120">
      <c r="A1120" s="58" t="inlineStr">
        <is>
          <t>RT20250128-01119</t>
        </is>
      </c>
      <c r="B1120" s="59" t="inlineStr">
        <is>
          <t>2025-01-28</t>
        </is>
      </c>
      <c r="C1120" s="60" t="inlineStr">
        <is>
          <t>Aurora Outdoor Pro-467</t>
        </is>
      </c>
      <c r="D1120" s="58" t="inlineStr">
        <is>
          <t>Sports</t>
        </is>
      </c>
      <c r="E1120" s="58" t="inlineStr">
        <is>
          <t>East</t>
        </is>
      </c>
      <c r="F1120" s="61" t="n">
        <v>2</v>
      </c>
      <c r="G1120" s="62" t="n">
        <v>256.15</v>
      </c>
      <c r="H1120" s="63" t="n">
        <v>0.042</v>
      </c>
      <c r="I1120" s="62" t="n">
        <v>190.11</v>
      </c>
      <c r="J1120" s="58" t="inlineStr">
        <is>
          <t>Store</t>
        </is>
      </c>
      <c r="K1120" s="62">
        <f>F1120*(G1120-H1120)</f>
        <v/>
      </c>
      <c r="L1120" s="62">
        <f>K1120-(F1120*I1120)</f>
        <v/>
      </c>
      <c r="M1120" s="64">
        <f>L1120/K1120</f>
        <v/>
      </c>
    </row>
    <row r="1121">
      <c r="A1121" s="58" t="inlineStr">
        <is>
          <t>RT20250128-01120</t>
        </is>
      </c>
      <c r="B1121" s="59" t="inlineStr">
        <is>
          <t>2025-01-28</t>
        </is>
      </c>
      <c r="C1121" s="60" t="inlineStr">
        <is>
          <t>Aurora Haircare S-975</t>
        </is>
      </c>
      <c r="D1121" s="58" t="inlineStr">
        <is>
          <t>Beauty</t>
        </is>
      </c>
      <c r="E1121" s="58" t="inlineStr">
        <is>
          <t>West</t>
        </is>
      </c>
      <c r="F1121" s="61" t="n">
        <v>4</v>
      </c>
      <c r="G1121" s="62" t="n">
        <v>94.95</v>
      </c>
      <c r="H1121" s="63" t="n">
        <v>0.053</v>
      </c>
      <c r="I1121" s="62" t="n">
        <v>56.98</v>
      </c>
      <c r="J1121" s="58" t="inlineStr">
        <is>
          <t>Store</t>
        </is>
      </c>
      <c r="K1121" s="62">
        <f>F1121*(G1121-H1121)</f>
        <v/>
      </c>
      <c r="L1121" s="62">
        <f>K1121-(F1121*I1121)</f>
        <v/>
      </c>
      <c r="M1121" s="64">
        <f>L1121/K1121</f>
        <v/>
      </c>
    </row>
    <row r="1122">
      <c r="A1122" s="58" t="inlineStr">
        <is>
          <t>RT20250128-01121</t>
        </is>
      </c>
      <c r="B1122" s="59" t="inlineStr">
        <is>
          <t>2025-01-28</t>
        </is>
      </c>
      <c r="C1122" s="60" t="inlineStr">
        <is>
          <t>Solace Kitchen X-919</t>
        </is>
      </c>
      <c r="D1122" s="58" t="inlineStr">
        <is>
          <t>Home</t>
        </is>
      </c>
      <c r="E1122" s="58" t="inlineStr">
        <is>
          <t>Central</t>
        </is>
      </c>
      <c r="F1122" s="61" t="n">
        <v>1</v>
      </c>
      <c r="G1122" s="62" t="n">
        <v>379.44</v>
      </c>
      <c r="H1122" s="63" t="n">
        <v>0.065</v>
      </c>
      <c r="I1122" s="62" t="n">
        <v>269.41</v>
      </c>
      <c r="J1122" s="58" t="inlineStr">
        <is>
          <t>Online</t>
        </is>
      </c>
      <c r="K1122" s="62">
        <f>F1122*(G1122-H1122)</f>
        <v/>
      </c>
      <c r="L1122" s="62">
        <f>K1122-(F1122*I1122)</f>
        <v/>
      </c>
      <c r="M1122" s="64">
        <f>L1122/K1122</f>
        <v/>
      </c>
    </row>
    <row r="1123">
      <c r="A1123" s="58" t="inlineStr">
        <is>
          <t>RT20250128-01122</t>
        </is>
      </c>
      <c r="B1123" s="59" t="inlineStr">
        <is>
          <t>2025-01-28</t>
        </is>
      </c>
      <c r="C1123" s="60" t="inlineStr">
        <is>
          <t>Vertex Accessorie Pro-881</t>
        </is>
      </c>
      <c r="D1123" s="58" t="inlineStr">
        <is>
          <t>Apparel</t>
        </is>
      </c>
      <c r="E1123" s="58" t="inlineStr">
        <is>
          <t>West</t>
        </is>
      </c>
      <c r="F1123" s="61" t="n">
        <v>3</v>
      </c>
      <c r="G1123" s="62" t="n">
        <v>104.1</v>
      </c>
      <c r="H1123" s="63" t="n">
        <v>0</v>
      </c>
      <c r="I1123" s="62" t="n">
        <v>62.51</v>
      </c>
      <c r="J1123" s="58" t="inlineStr">
        <is>
          <t>Store</t>
        </is>
      </c>
      <c r="K1123" s="62">
        <f>F1123*(G1123-H1123)</f>
        <v/>
      </c>
      <c r="L1123" s="62">
        <f>K1123-(F1123*I1123)</f>
        <v/>
      </c>
      <c r="M1123" s="64">
        <f>L1123/K1123</f>
        <v/>
      </c>
    </row>
    <row r="1124">
      <c r="A1124" s="58" t="inlineStr">
        <is>
          <t>RT20250128-01123</t>
        </is>
      </c>
      <c r="B1124" s="59" t="inlineStr">
        <is>
          <t>2025-01-28</t>
        </is>
      </c>
      <c r="C1124" s="60" t="inlineStr">
        <is>
          <t>Metro Pantry Max-180</t>
        </is>
      </c>
      <c r="D1124" s="58" t="inlineStr">
        <is>
          <t>Grocery</t>
        </is>
      </c>
      <c r="E1124" s="58" t="inlineStr">
        <is>
          <t>East</t>
        </is>
      </c>
      <c r="F1124" s="61" t="n">
        <v>4</v>
      </c>
      <c r="G1124" s="62" t="n">
        <v>8.56</v>
      </c>
      <c r="H1124" s="63" t="n">
        <v>0.091</v>
      </c>
      <c r="I1124" s="62" t="n">
        <v>6.63</v>
      </c>
      <c r="J1124" s="58" t="inlineStr">
        <is>
          <t>Online</t>
        </is>
      </c>
      <c r="K1124" s="62">
        <f>F1124*(G1124-H1124)</f>
        <v/>
      </c>
      <c r="L1124" s="62">
        <f>K1124-(F1124*I1124)</f>
        <v/>
      </c>
      <c r="M1124" s="64">
        <f>L1124/K1124</f>
        <v/>
      </c>
    </row>
    <row r="1125">
      <c r="A1125" s="58" t="inlineStr">
        <is>
          <t>RT20250128-01124</t>
        </is>
      </c>
      <c r="B1125" s="59" t="inlineStr">
        <is>
          <t>2025-01-28</t>
        </is>
      </c>
      <c r="C1125" s="60" t="inlineStr">
        <is>
          <t>Aurora Appliance Max-316</t>
        </is>
      </c>
      <c r="D1125" s="58" t="inlineStr">
        <is>
          <t>Home</t>
        </is>
      </c>
      <c r="E1125" s="58" t="inlineStr">
        <is>
          <t>North</t>
        </is>
      </c>
      <c r="F1125" s="61" t="n">
        <v>2</v>
      </c>
      <c r="G1125" s="62" t="n">
        <v>315.75</v>
      </c>
      <c r="H1125" s="63" t="n">
        <v>0.06</v>
      </c>
      <c r="I1125" s="62" t="n">
        <v>216.84</v>
      </c>
      <c r="J1125" s="58" t="inlineStr">
        <is>
          <t>Online</t>
        </is>
      </c>
      <c r="K1125" s="62">
        <f>F1125*(G1125-H1125)</f>
        <v/>
      </c>
      <c r="L1125" s="62">
        <f>K1125-(F1125*I1125)</f>
        <v/>
      </c>
      <c r="M1125" s="64">
        <f>L1125/K1125</f>
        <v/>
      </c>
    </row>
    <row r="1126">
      <c r="A1126" s="58" t="inlineStr">
        <is>
          <t>RT20250128-01125</t>
        </is>
      </c>
      <c r="B1126" s="59" t="inlineStr">
        <is>
          <t>2025-01-28</t>
        </is>
      </c>
      <c r="C1126" s="60" t="inlineStr">
        <is>
          <t>Aurora Appliance Max-316</t>
        </is>
      </c>
      <c r="D1126" s="58" t="inlineStr">
        <is>
          <t>Home</t>
        </is>
      </c>
      <c r="E1126" s="58" t="inlineStr">
        <is>
          <t>East</t>
        </is>
      </c>
      <c r="F1126" s="61" t="n">
        <v>3</v>
      </c>
      <c r="G1126" s="62" t="n">
        <v>288.37</v>
      </c>
      <c r="H1126" s="63" t="n">
        <v>0.054</v>
      </c>
      <c r="I1126" s="62" t="n">
        <v>218.65</v>
      </c>
      <c r="J1126" s="58" t="inlineStr">
        <is>
          <t>Store</t>
        </is>
      </c>
      <c r="K1126" s="62">
        <f>F1126*(G1126-H1126)</f>
        <v/>
      </c>
      <c r="L1126" s="62">
        <f>K1126-(F1126*I1126)</f>
        <v/>
      </c>
      <c r="M1126" s="64">
        <f>L1126/K1126</f>
        <v/>
      </c>
    </row>
    <row r="1127">
      <c r="A1127" s="58" t="inlineStr">
        <is>
          <t>RT20250128-01126</t>
        </is>
      </c>
      <c r="B1127" s="59" t="inlineStr">
        <is>
          <t>2025-01-28</t>
        </is>
      </c>
      <c r="C1127" s="60" t="inlineStr">
        <is>
          <t>Falcon Beverage Max-702</t>
        </is>
      </c>
      <c r="D1127" s="58" t="inlineStr">
        <is>
          <t>Grocery</t>
        </is>
      </c>
      <c r="E1127" s="58" t="inlineStr">
        <is>
          <t>West</t>
        </is>
      </c>
      <c r="F1127" s="61" t="n">
        <v>3</v>
      </c>
      <c r="G1127" s="62" t="n">
        <v>28.88</v>
      </c>
      <c r="H1127" s="63" t="n">
        <v>0.014</v>
      </c>
      <c r="I1127" s="62" t="n">
        <v>20.03</v>
      </c>
      <c r="J1127" s="58" t="inlineStr">
        <is>
          <t>Online</t>
        </is>
      </c>
      <c r="K1127" s="62">
        <f>F1127*(G1127-H1127)</f>
        <v/>
      </c>
      <c r="L1127" s="62">
        <f>K1127-(F1127*I1127)</f>
        <v/>
      </c>
      <c r="M1127" s="64">
        <f>L1127/K1127</f>
        <v/>
      </c>
    </row>
    <row r="1128">
      <c r="A1128" s="58" t="inlineStr">
        <is>
          <t>RT20250128-01127</t>
        </is>
      </c>
      <c r="B1128" s="59" t="inlineStr">
        <is>
          <t>2025-01-28</t>
        </is>
      </c>
      <c r="C1128" s="60" t="inlineStr">
        <is>
          <t>Aurora Wearable Lite-704</t>
        </is>
      </c>
      <c r="D1128" s="58" t="inlineStr">
        <is>
          <t>Electronics</t>
        </is>
      </c>
      <c r="E1128" s="58" t="inlineStr">
        <is>
          <t>South</t>
        </is>
      </c>
      <c r="F1128" s="61" t="n">
        <v>2</v>
      </c>
      <c r="G1128" s="62" t="n">
        <v>1696.08</v>
      </c>
      <c r="H1128" s="63" t="n">
        <v>0.036</v>
      </c>
      <c r="I1128" s="62" t="n">
        <v>1473.4</v>
      </c>
      <c r="J1128" s="58" t="inlineStr">
        <is>
          <t>Online</t>
        </is>
      </c>
      <c r="K1128" s="62">
        <f>F1128*(G1128-H1128)</f>
        <v/>
      </c>
      <c r="L1128" s="62">
        <f>K1128-(F1128*I1128)</f>
        <v/>
      </c>
      <c r="M1128" s="64">
        <f>L1128/K1128</f>
        <v/>
      </c>
    </row>
    <row r="1129">
      <c r="A1129" s="58" t="inlineStr">
        <is>
          <t>RT20250128-01128</t>
        </is>
      </c>
      <c r="B1129" s="59" t="inlineStr">
        <is>
          <t>2025-01-28</t>
        </is>
      </c>
      <c r="C1129" s="60" t="inlineStr">
        <is>
          <t>Vertex Fitnes Pro-830</t>
        </is>
      </c>
      <c r="D1129" s="58" t="inlineStr">
        <is>
          <t>Sports</t>
        </is>
      </c>
      <c r="E1129" s="58" t="inlineStr">
        <is>
          <t>Central</t>
        </is>
      </c>
      <c r="F1129" s="61" t="n">
        <v>2</v>
      </c>
      <c r="G1129" s="62" t="n">
        <v>712.35</v>
      </c>
      <c r="H1129" s="63" t="n">
        <v>0.053</v>
      </c>
      <c r="I1129" s="62" t="n">
        <v>490.07</v>
      </c>
      <c r="J1129" s="58" t="inlineStr">
        <is>
          <t>Online</t>
        </is>
      </c>
      <c r="K1129" s="62">
        <f>F1129*(G1129-H1129)</f>
        <v/>
      </c>
      <c r="L1129" s="62">
        <f>K1129-(F1129*I1129)</f>
        <v/>
      </c>
      <c r="M1129" s="64">
        <f>L1129/K1129</f>
        <v/>
      </c>
    </row>
    <row r="1130">
      <c r="A1130" s="58" t="inlineStr">
        <is>
          <t>RT20250128-01129</t>
        </is>
      </c>
      <c r="B1130" s="59" t="inlineStr">
        <is>
          <t>2025-01-28</t>
        </is>
      </c>
      <c r="C1130" s="60" t="inlineStr">
        <is>
          <t>Polar Beverage S-258</t>
        </is>
      </c>
      <c r="D1130" s="58" t="inlineStr">
        <is>
          <t>Grocery</t>
        </is>
      </c>
      <c r="E1130" s="58" t="inlineStr">
        <is>
          <t>Central</t>
        </is>
      </c>
      <c r="F1130" s="61" t="n">
        <v>4</v>
      </c>
      <c r="G1130" s="62" t="n">
        <v>12.66</v>
      </c>
      <c r="H1130" s="63" t="n">
        <v>0.091</v>
      </c>
      <c r="I1130" s="62" t="n">
        <v>9.75</v>
      </c>
      <c r="J1130" s="58" t="inlineStr">
        <is>
          <t>Online</t>
        </is>
      </c>
      <c r="K1130" s="62">
        <f>F1130*(G1130-H1130)</f>
        <v/>
      </c>
      <c r="L1130" s="62">
        <f>K1130-(F1130*I1130)</f>
        <v/>
      </c>
      <c r="M1130" s="64">
        <f>L1130/K1130</f>
        <v/>
      </c>
    </row>
    <row r="1131">
      <c r="A1131" s="58" t="inlineStr">
        <is>
          <t>RT20250128-01130</t>
        </is>
      </c>
      <c r="B1131" s="59" t="inlineStr">
        <is>
          <t>2025-01-28</t>
        </is>
      </c>
      <c r="C1131" s="60" t="inlineStr">
        <is>
          <t>Polar Pantry Lite-392</t>
        </is>
      </c>
      <c r="D1131" s="58" t="inlineStr">
        <is>
          <t>Grocery</t>
        </is>
      </c>
      <c r="E1131" s="58" t="inlineStr">
        <is>
          <t>South</t>
        </is>
      </c>
      <c r="F1131" s="61" t="n">
        <v>8</v>
      </c>
      <c r="G1131" s="62" t="n">
        <v>5.62</v>
      </c>
      <c r="H1131" s="63" t="n">
        <v>0.101</v>
      </c>
      <c r="I1131" s="62" t="n">
        <v>4.59</v>
      </c>
      <c r="J1131" s="58" t="inlineStr">
        <is>
          <t>Online</t>
        </is>
      </c>
      <c r="K1131" s="62">
        <f>F1131*(G1131-H1131)</f>
        <v/>
      </c>
      <c r="L1131" s="62">
        <f>K1131-(F1131*I1131)</f>
        <v/>
      </c>
      <c r="M1131" s="64">
        <f>L1131/K1131</f>
        <v/>
      </c>
    </row>
    <row r="1132">
      <c r="A1132" s="58" t="inlineStr">
        <is>
          <t>RT20250129-01131</t>
        </is>
      </c>
      <c r="B1132" s="59" t="inlineStr">
        <is>
          <t>2025-01-29</t>
        </is>
      </c>
      <c r="C1132" s="60" t="inlineStr">
        <is>
          <t>Metro Beverage Max-490</t>
        </is>
      </c>
      <c r="D1132" s="58" t="inlineStr">
        <is>
          <t>Grocery</t>
        </is>
      </c>
      <c r="E1132" s="58" t="inlineStr">
        <is>
          <t>East</t>
        </is>
      </c>
      <c r="F1132" s="61" t="n">
        <v>6</v>
      </c>
      <c r="G1132" s="62" t="n">
        <v>10.7</v>
      </c>
      <c r="H1132" s="63" t="n">
        <v>0.043</v>
      </c>
      <c r="I1132" s="62" t="n">
        <v>8.1</v>
      </c>
      <c r="J1132" s="58" t="inlineStr">
        <is>
          <t>Online</t>
        </is>
      </c>
      <c r="K1132" s="62">
        <f>F1132*(G1132-H1132)</f>
        <v/>
      </c>
      <c r="L1132" s="62">
        <f>K1132-(F1132*I1132)</f>
        <v/>
      </c>
      <c r="M1132" s="64">
        <f>L1132/K1132</f>
        <v/>
      </c>
    </row>
    <row r="1133">
      <c r="A1133" s="58" t="inlineStr">
        <is>
          <t>RT20250129-01132</t>
        </is>
      </c>
      <c r="B1133" s="59" t="inlineStr">
        <is>
          <t>2025-01-29</t>
        </is>
      </c>
      <c r="C1133" s="60" t="inlineStr">
        <is>
          <t>Orion Laptop S-350</t>
        </is>
      </c>
      <c r="D1133" s="58" t="inlineStr">
        <is>
          <t>Electronics</t>
        </is>
      </c>
      <c r="E1133" s="58" t="inlineStr">
        <is>
          <t>South</t>
        </is>
      </c>
      <c r="F1133" s="61" t="n">
        <v>1</v>
      </c>
      <c r="G1133" s="62" t="n">
        <v>1291.61</v>
      </c>
      <c r="H1133" s="63" t="n">
        <v>0.039</v>
      </c>
      <c r="I1133" s="62" t="n">
        <v>1096.81</v>
      </c>
      <c r="J1133" s="58" t="inlineStr">
        <is>
          <t>Online</t>
        </is>
      </c>
      <c r="K1133" s="62">
        <f>F1133*(G1133-H1133)</f>
        <v/>
      </c>
      <c r="L1133" s="62">
        <f>K1133-(F1133*I1133)</f>
        <v/>
      </c>
      <c r="M1133" s="64">
        <f>L1133/K1133</f>
        <v/>
      </c>
    </row>
    <row r="1134">
      <c r="A1134" s="58" t="inlineStr">
        <is>
          <t>RT20250129-01133</t>
        </is>
      </c>
      <c r="B1134" s="59" t="inlineStr">
        <is>
          <t>2025-01-29</t>
        </is>
      </c>
      <c r="C1134" s="60" t="inlineStr">
        <is>
          <t>Vertex Appliance S-296</t>
        </is>
      </c>
      <c r="D1134" s="58" t="inlineStr">
        <is>
          <t>Home</t>
        </is>
      </c>
      <c r="E1134" s="58" t="inlineStr">
        <is>
          <t>West</t>
        </is>
      </c>
      <c r="F1134" s="61" t="n">
        <v>2</v>
      </c>
      <c r="G1134" s="62" t="n">
        <v>539.29</v>
      </c>
      <c r="H1134" s="63" t="n">
        <v>0.08799999999999999</v>
      </c>
      <c r="I1134" s="62" t="n">
        <v>360.49</v>
      </c>
      <c r="J1134" s="58" t="inlineStr">
        <is>
          <t>Online</t>
        </is>
      </c>
      <c r="K1134" s="62">
        <f>F1134*(G1134-H1134)</f>
        <v/>
      </c>
      <c r="L1134" s="62">
        <f>K1134-(F1134*I1134)</f>
        <v/>
      </c>
      <c r="M1134" s="64">
        <f>L1134/K1134</f>
        <v/>
      </c>
    </row>
    <row r="1135">
      <c r="A1135" s="58" t="inlineStr">
        <is>
          <t>RT20250129-01134</t>
        </is>
      </c>
      <c r="B1135" s="59" t="inlineStr">
        <is>
          <t>2025-01-29</t>
        </is>
      </c>
      <c r="C1135" s="60" t="inlineStr">
        <is>
          <t>Nimbus Laptop Max-652</t>
        </is>
      </c>
      <c r="D1135" s="58" t="inlineStr">
        <is>
          <t>Electronics</t>
        </is>
      </c>
      <c r="E1135" s="58" t="inlineStr">
        <is>
          <t>Central</t>
        </is>
      </c>
      <c r="F1135" s="61" t="n">
        <v>2</v>
      </c>
      <c r="G1135" s="62" t="n">
        <v>1252.26</v>
      </c>
      <c r="H1135" s="63" t="n">
        <v>0.08799999999999999</v>
      </c>
      <c r="I1135" s="62" t="n">
        <v>1014.48</v>
      </c>
      <c r="J1135" s="58" t="inlineStr">
        <is>
          <t>Online</t>
        </is>
      </c>
      <c r="K1135" s="62">
        <f>F1135*(G1135-H1135)</f>
        <v/>
      </c>
      <c r="L1135" s="62">
        <f>K1135-(F1135*I1135)</f>
        <v/>
      </c>
      <c r="M1135" s="64">
        <f>L1135/K1135</f>
        <v/>
      </c>
    </row>
    <row r="1136">
      <c r="A1136" s="58" t="inlineStr">
        <is>
          <t>RT20250129-01135</t>
        </is>
      </c>
      <c r="B1136" s="59" t="inlineStr">
        <is>
          <t>2025-01-29</t>
        </is>
      </c>
      <c r="C1136" s="60" t="inlineStr">
        <is>
          <t>Solace Fitnes S-324</t>
        </is>
      </c>
      <c r="D1136" s="58" t="inlineStr">
        <is>
          <t>Sports</t>
        </is>
      </c>
      <c r="E1136" s="58" t="inlineStr">
        <is>
          <t>Central</t>
        </is>
      </c>
      <c r="F1136" s="61" t="n">
        <v>1</v>
      </c>
      <c r="G1136" s="62" t="n">
        <v>876.5700000000001</v>
      </c>
      <c r="H1136" s="63" t="n">
        <v>0.093</v>
      </c>
      <c r="I1136" s="62" t="n">
        <v>514.22</v>
      </c>
      <c r="J1136" s="58" t="inlineStr">
        <is>
          <t>Store</t>
        </is>
      </c>
      <c r="K1136" s="62">
        <f>F1136*(G1136-H1136)</f>
        <v/>
      </c>
      <c r="L1136" s="62">
        <f>K1136-(F1136*I1136)</f>
        <v/>
      </c>
      <c r="M1136" s="64">
        <f>L1136/K1136</f>
        <v/>
      </c>
    </row>
    <row r="1137">
      <c r="A1137" s="58" t="inlineStr">
        <is>
          <t>RT20250129-01136</t>
        </is>
      </c>
      <c r="B1137" s="59" t="inlineStr">
        <is>
          <t>2025-01-29</t>
        </is>
      </c>
      <c r="C1137" s="60" t="inlineStr">
        <is>
          <t>Nimbus Fitnes Lite-516</t>
        </is>
      </c>
      <c r="D1137" s="58" t="inlineStr">
        <is>
          <t>Sports</t>
        </is>
      </c>
      <c r="E1137" s="58" t="inlineStr">
        <is>
          <t>East</t>
        </is>
      </c>
      <c r="F1137" s="61" t="n">
        <v>1</v>
      </c>
      <c r="G1137" s="62" t="n">
        <v>779.9299999999999</v>
      </c>
      <c r="H1137" s="63" t="n">
        <v>0.073</v>
      </c>
      <c r="I1137" s="62" t="n">
        <v>477.7</v>
      </c>
      <c r="J1137" s="58" t="inlineStr">
        <is>
          <t>Online</t>
        </is>
      </c>
      <c r="K1137" s="62">
        <f>F1137*(G1137-H1137)</f>
        <v/>
      </c>
      <c r="L1137" s="62">
        <f>K1137-(F1137*I1137)</f>
        <v/>
      </c>
      <c r="M1137" s="64">
        <f>L1137/K1137</f>
        <v/>
      </c>
    </row>
    <row r="1138">
      <c r="A1138" s="58" t="inlineStr">
        <is>
          <t>RT20250129-01137</t>
        </is>
      </c>
      <c r="B1138" s="59" t="inlineStr">
        <is>
          <t>2025-01-29</t>
        </is>
      </c>
      <c r="C1138" s="60" t="inlineStr">
        <is>
          <t>Nimbus Headphone X-854</t>
        </is>
      </c>
      <c r="D1138" s="58" t="inlineStr">
        <is>
          <t>Electronics</t>
        </is>
      </c>
      <c r="E1138" s="58" t="inlineStr">
        <is>
          <t>East</t>
        </is>
      </c>
      <c r="F1138" s="61" t="n">
        <v>2</v>
      </c>
      <c r="G1138" s="62" t="n">
        <v>1752.75</v>
      </c>
      <c r="H1138" s="63" t="n">
        <v>0.08599999999999999</v>
      </c>
      <c r="I1138" s="62" t="n">
        <v>1230.39</v>
      </c>
      <c r="J1138" s="58" t="inlineStr">
        <is>
          <t>Online</t>
        </is>
      </c>
      <c r="K1138" s="62">
        <f>F1138*(G1138-H1138)</f>
        <v/>
      </c>
      <c r="L1138" s="62">
        <f>K1138-(F1138*I1138)</f>
        <v/>
      </c>
      <c r="M1138" s="64">
        <f>L1138/K1138</f>
        <v/>
      </c>
    </row>
    <row r="1139">
      <c r="A1139" s="58" t="inlineStr">
        <is>
          <t>RT20250129-01138</t>
        </is>
      </c>
      <c r="B1139" s="59" t="inlineStr">
        <is>
          <t>2025-01-29</t>
        </is>
      </c>
      <c r="C1139" s="60" t="inlineStr">
        <is>
          <t>Orion Storage Plus-961</t>
        </is>
      </c>
      <c r="D1139" s="58" t="inlineStr">
        <is>
          <t>Office</t>
        </is>
      </c>
      <c r="E1139" s="58" t="inlineStr">
        <is>
          <t>Central</t>
        </is>
      </c>
      <c r="F1139" s="61" t="n">
        <v>2</v>
      </c>
      <c r="G1139" s="62" t="n">
        <v>437.89</v>
      </c>
      <c r="H1139" s="63" t="n">
        <v>0.07000000000000001</v>
      </c>
      <c r="I1139" s="62" t="n">
        <v>373.38</v>
      </c>
      <c r="J1139" s="58" t="inlineStr">
        <is>
          <t>Online</t>
        </is>
      </c>
      <c r="K1139" s="62">
        <f>F1139*(G1139-H1139)</f>
        <v/>
      </c>
      <c r="L1139" s="62">
        <f>K1139-(F1139*I1139)</f>
        <v/>
      </c>
      <c r="M1139" s="64">
        <f>L1139/K1139</f>
        <v/>
      </c>
    </row>
    <row r="1140">
      <c r="A1140" s="58" t="inlineStr">
        <is>
          <t>RT20250129-01139</t>
        </is>
      </c>
      <c r="B1140" s="59" t="inlineStr">
        <is>
          <t>2025-01-29</t>
        </is>
      </c>
      <c r="C1140" s="60" t="inlineStr">
        <is>
          <t>Vertex Snack S-702</t>
        </is>
      </c>
      <c r="D1140" s="58" t="inlineStr">
        <is>
          <t>Grocery</t>
        </is>
      </c>
      <c r="E1140" s="58" t="inlineStr">
        <is>
          <t>Central</t>
        </is>
      </c>
      <c r="F1140" s="61" t="n">
        <v>5</v>
      </c>
      <c r="G1140" s="62" t="n">
        <v>2.36</v>
      </c>
      <c r="H1140" s="63" t="n">
        <v>0.001</v>
      </c>
      <c r="I1140" s="62" t="n">
        <v>1.51</v>
      </c>
      <c r="J1140" s="58" t="inlineStr">
        <is>
          <t>Store</t>
        </is>
      </c>
      <c r="K1140" s="62">
        <f>F1140*(G1140-H1140)</f>
        <v/>
      </c>
      <c r="L1140" s="62">
        <f>K1140-(F1140*I1140)</f>
        <v/>
      </c>
      <c r="M1140" s="64">
        <f>L1140/K1140</f>
        <v/>
      </c>
    </row>
    <row r="1141">
      <c r="A1141" s="58" t="inlineStr">
        <is>
          <t>RT20250129-01140</t>
        </is>
      </c>
      <c r="B1141" s="59" t="inlineStr">
        <is>
          <t>2025-01-29</t>
        </is>
      </c>
      <c r="C1141" s="60" t="inlineStr">
        <is>
          <t>Falcon Wearable X-334</t>
        </is>
      </c>
      <c r="D1141" s="58" t="inlineStr">
        <is>
          <t>Electronics</t>
        </is>
      </c>
      <c r="E1141" s="58" t="inlineStr">
        <is>
          <t>South</t>
        </is>
      </c>
      <c r="F1141" s="61" t="n">
        <v>2</v>
      </c>
      <c r="G1141" s="62" t="n">
        <v>1905.98</v>
      </c>
      <c r="H1141" s="63" t="n">
        <v>0.025</v>
      </c>
      <c r="I1141" s="62" t="n">
        <v>1528.86</v>
      </c>
      <c r="J1141" s="58" t="inlineStr">
        <is>
          <t>Online</t>
        </is>
      </c>
      <c r="K1141" s="62">
        <f>F1141*(G1141-H1141)</f>
        <v/>
      </c>
      <c r="L1141" s="62">
        <f>K1141-(F1141*I1141)</f>
        <v/>
      </c>
      <c r="M1141" s="64">
        <f>L1141/K1141</f>
        <v/>
      </c>
    </row>
    <row r="1142">
      <c r="A1142" s="58" t="inlineStr">
        <is>
          <t>RT20250129-01141</t>
        </is>
      </c>
      <c r="B1142" s="59" t="inlineStr">
        <is>
          <t>2025-01-29</t>
        </is>
      </c>
      <c r="C1142" s="60" t="inlineStr">
        <is>
          <t>Solace Team Sport Max-548</t>
        </is>
      </c>
      <c r="D1142" s="58" t="inlineStr">
        <is>
          <t>Sports</t>
        </is>
      </c>
      <c r="E1142" s="58" t="inlineStr">
        <is>
          <t>East</t>
        </is>
      </c>
      <c r="F1142" s="61" t="n">
        <v>3</v>
      </c>
      <c r="G1142" s="62" t="n">
        <v>669.08</v>
      </c>
      <c r="H1142" s="63" t="n">
        <v>0.042</v>
      </c>
      <c r="I1142" s="62" t="n">
        <v>471.54</v>
      </c>
      <c r="J1142" s="58" t="inlineStr">
        <is>
          <t>Online</t>
        </is>
      </c>
      <c r="K1142" s="62">
        <f>F1142*(G1142-H1142)</f>
        <v/>
      </c>
      <c r="L1142" s="62">
        <f>K1142-(F1142*I1142)</f>
        <v/>
      </c>
      <c r="M1142" s="64">
        <f>L1142/K1142</f>
        <v/>
      </c>
    </row>
    <row r="1143">
      <c r="A1143" s="58" t="inlineStr">
        <is>
          <t>RT20250129-01142</t>
        </is>
      </c>
      <c r="B1143" s="59" t="inlineStr">
        <is>
          <t>2025-01-29</t>
        </is>
      </c>
      <c r="C1143" s="60" t="inlineStr">
        <is>
          <t>Orion Laptop S-350</t>
        </is>
      </c>
      <c r="D1143" s="58" t="inlineStr">
        <is>
          <t>Electronics</t>
        </is>
      </c>
      <c r="E1143" s="58" t="inlineStr">
        <is>
          <t>West</t>
        </is>
      </c>
      <c r="F1143" s="61" t="n">
        <v>2</v>
      </c>
      <c r="G1143" s="62" t="n">
        <v>1441.62</v>
      </c>
      <c r="H1143" s="63" t="n">
        <v>0.048</v>
      </c>
      <c r="I1143" s="62" t="n">
        <v>1070.92</v>
      </c>
      <c r="J1143" s="58" t="inlineStr">
        <is>
          <t>Store</t>
        </is>
      </c>
      <c r="K1143" s="62">
        <f>F1143*(G1143-H1143)</f>
        <v/>
      </c>
      <c r="L1143" s="62">
        <f>K1143-(F1143*I1143)</f>
        <v/>
      </c>
      <c r="M1143" s="64">
        <f>L1143/K1143</f>
        <v/>
      </c>
    </row>
    <row r="1144">
      <c r="A1144" s="58" t="inlineStr">
        <is>
          <t>RT20250129-01143</t>
        </is>
      </c>
      <c r="B1144" s="59" t="inlineStr">
        <is>
          <t>2025-01-29</t>
        </is>
      </c>
      <c r="C1144" s="60" t="inlineStr">
        <is>
          <t>Vertex Men X-995</t>
        </is>
      </c>
      <c r="D1144" s="58" t="inlineStr">
        <is>
          <t>Apparel</t>
        </is>
      </c>
      <c r="E1144" s="58" t="inlineStr">
        <is>
          <t>East</t>
        </is>
      </c>
      <c r="F1144" s="61" t="n">
        <v>4</v>
      </c>
      <c r="G1144" s="62" t="n">
        <v>103.72</v>
      </c>
      <c r="H1144" s="63" t="n">
        <v>0.116</v>
      </c>
      <c r="I1144" s="62" t="n">
        <v>58.26</v>
      </c>
      <c r="J1144" s="58" t="inlineStr">
        <is>
          <t>Online</t>
        </is>
      </c>
      <c r="K1144" s="62">
        <f>F1144*(G1144-H1144)</f>
        <v/>
      </c>
      <c r="L1144" s="62">
        <f>K1144-(F1144*I1144)</f>
        <v/>
      </c>
      <c r="M1144" s="64">
        <f>L1144/K1144</f>
        <v/>
      </c>
    </row>
    <row r="1145">
      <c r="A1145" s="58" t="inlineStr">
        <is>
          <t>RT20250129-01144</t>
        </is>
      </c>
      <c r="B1145" s="59" t="inlineStr">
        <is>
          <t>2025-01-29</t>
        </is>
      </c>
      <c r="C1145" s="60" t="inlineStr">
        <is>
          <t>Vertex Printer Max-692</t>
        </is>
      </c>
      <c r="D1145" s="58" t="inlineStr">
        <is>
          <t>Office</t>
        </is>
      </c>
      <c r="E1145" s="58" t="inlineStr">
        <is>
          <t>South</t>
        </is>
      </c>
      <c r="F1145" s="61" t="n">
        <v>1</v>
      </c>
      <c r="G1145" s="62" t="n">
        <v>181.93</v>
      </c>
      <c r="H1145" s="63" t="n">
        <v>0.063</v>
      </c>
      <c r="I1145" s="62" t="n">
        <v>126.07</v>
      </c>
      <c r="J1145" s="58" t="inlineStr">
        <is>
          <t>Online</t>
        </is>
      </c>
      <c r="K1145" s="62">
        <f>F1145*(G1145-H1145)</f>
        <v/>
      </c>
      <c r="L1145" s="62">
        <f>K1145-(F1145*I1145)</f>
        <v/>
      </c>
      <c r="M1145" s="64">
        <f>L1145/K1145</f>
        <v/>
      </c>
    </row>
    <row r="1146">
      <c r="A1146" s="58" t="inlineStr">
        <is>
          <t>RT20250129-01145</t>
        </is>
      </c>
      <c r="B1146" s="59" t="inlineStr">
        <is>
          <t>2025-01-29</t>
        </is>
      </c>
      <c r="C1146" s="60" t="inlineStr">
        <is>
          <t>Polar Women Max-927</t>
        </is>
      </c>
      <c r="D1146" s="58" t="inlineStr">
        <is>
          <t>Apparel</t>
        </is>
      </c>
      <c r="E1146" s="58" t="inlineStr">
        <is>
          <t>North</t>
        </is>
      </c>
      <c r="F1146" s="61" t="n">
        <v>3</v>
      </c>
      <c r="G1146" s="62" t="n">
        <v>116.89</v>
      </c>
      <c r="H1146" s="63" t="n">
        <v>0.07199999999999999</v>
      </c>
      <c r="I1146" s="62" t="n">
        <v>67.34999999999999</v>
      </c>
      <c r="J1146" s="58" t="inlineStr">
        <is>
          <t>Store</t>
        </is>
      </c>
      <c r="K1146" s="62">
        <f>F1146*(G1146-H1146)</f>
        <v/>
      </c>
      <c r="L1146" s="62">
        <f>K1146-(F1146*I1146)</f>
        <v/>
      </c>
      <c r="M1146" s="64">
        <f>L1146/K1146</f>
        <v/>
      </c>
    </row>
    <row r="1147">
      <c r="A1147" s="58" t="inlineStr">
        <is>
          <t>RT20250129-01146</t>
        </is>
      </c>
      <c r="B1147" s="59" t="inlineStr">
        <is>
          <t>2025-01-29</t>
        </is>
      </c>
      <c r="C1147" s="60" t="inlineStr">
        <is>
          <t>Falcon Household Plus-796</t>
        </is>
      </c>
      <c r="D1147" s="58" t="inlineStr">
        <is>
          <t>Grocery</t>
        </is>
      </c>
      <c r="E1147" s="58" t="inlineStr">
        <is>
          <t>East</t>
        </is>
      </c>
      <c r="F1147" s="61" t="n">
        <v>4</v>
      </c>
      <c r="G1147" s="62" t="n">
        <v>20.8</v>
      </c>
      <c r="H1147" s="63" t="n">
        <v>0.045</v>
      </c>
      <c r="I1147" s="62" t="n">
        <v>17.8</v>
      </c>
      <c r="J1147" s="58" t="inlineStr">
        <is>
          <t>Phone</t>
        </is>
      </c>
      <c r="K1147" s="62">
        <f>F1147*(G1147-H1147)</f>
        <v/>
      </c>
      <c r="L1147" s="62">
        <f>K1147-(F1147*I1147)</f>
        <v/>
      </c>
      <c r="M1147" s="64">
        <f>L1147/K1147</f>
        <v/>
      </c>
    </row>
    <row r="1148">
      <c r="A1148" s="58" t="inlineStr">
        <is>
          <t>RT20250129-01147</t>
        </is>
      </c>
      <c r="B1148" s="59" t="inlineStr">
        <is>
          <t>2025-01-29</t>
        </is>
      </c>
      <c r="C1148" s="60" t="inlineStr">
        <is>
          <t>Solace Bedding Plus-317</t>
        </is>
      </c>
      <c r="D1148" s="58" t="inlineStr">
        <is>
          <t>Home</t>
        </is>
      </c>
      <c r="E1148" s="58" t="inlineStr">
        <is>
          <t>East</t>
        </is>
      </c>
      <c r="F1148" s="61" t="n">
        <v>2</v>
      </c>
      <c r="G1148" s="62" t="n">
        <v>570.98</v>
      </c>
      <c r="H1148" s="63" t="n">
        <v>0.062</v>
      </c>
      <c r="I1148" s="62" t="n">
        <v>384.9</v>
      </c>
      <c r="J1148" s="58" t="inlineStr">
        <is>
          <t>Online</t>
        </is>
      </c>
      <c r="K1148" s="62">
        <f>F1148*(G1148-H1148)</f>
        <v/>
      </c>
      <c r="L1148" s="62">
        <f>K1148-(F1148*I1148)</f>
        <v/>
      </c>
      <c r="M1148" s="64">
        <f>L1148/K1148</f>
        <v/>
      </c>
    </row>
    <row r="1149">
      <c r="A1149" s="58" t="inlineStr">
        <is>
          <t>RT20250129-01148</t>
        </is>
      </c>
      <c r="B1149" s="59" t="inlineStr">
        <is>
          <t>2025-01-29</t>
        </is>
      </c>
      <c r="C1149" s="60" t="inlineStr">
        <is>
          <t>Falcon Headphone Pro-713</t>
        </is>
      </c>
      <c r="D1149" s="58" t="inlineStr">
        <is>
          <t>Electronics</t>
        </is>
      </c>
      <c r="E1149" s="58" t="inlineStr">
        <is>
          <t>East</t>
        </is>
      </c>
      <c r="F1149" s="61" t="n">
        <v>1</v>
      </c>
      <c r="G1149" s="62" t="n">
        <v>1660.79</v>
      </c>
      <c r="H1149" s="63" t="n">
        <v>0.08699999999999999</v>
      </c>
      <c r="I1149" s="62" t="n">
        <v>1164.42</v>
      </c>
      <c r="J1149" s="58" t="inlineStr">
        <is>
          <t>Store</t>
        </is>
      </c>
      <c r="K1149" s="62">
        <f>F1149*(G1149-H1149)</f>
        <v/>
      </c>
      <c r="L1149" s="62">
        <f>K1149-(F1149*I1149)</f>
        <v/>
      </c>
      <c r="M1149" s="64">
        <f>L1149/K1149</f>
        <v/>
      </c>
    </row>
    <row r="1150">
      <c r="A1150" s="58" t="inlineStr">
        <is>
          <t>RT20250129-01149</t>
        </is>
      </c>
      <c r="B1150" s="59" t="inlineStr">
        <is>
          <t>2025-01-29</t>
        </is>
      </c>
      <c r="C1150" s="60" t="inlineStr">
        <is>
          <t>Polar Fragrance Pro-750</t>
        </is>
      </c>
      <c r="D1150" s="58" t="inlineStr">
        <is>
          <t>Beauty</t>
        </is>
      </c>
      <c r="E1150" s="58" t="inlineStr">
        <is>
          <t>West</t>
        </is>
      </c>
      <c r="F1150" s="61" t="n">
        <v>5</v>
      </c>
      <c r="G1150" s="62" t="n">
        <v>63.28</v>
      </c>
      <c r="H1150" s="63" t="n">
        <v>0.048</v>
      </c>
      <c r="I1150" s="62" t="n">
        <v>37.21</v>
      </c>
      <c r="J1150" s="58" t="inlineStr">
        <is>
          <t>Store</t>
        </is>
      </c>
      <c r="K1150" s="62">
        <f>F1150*(G1150-H1150)</f>
        <v/>
      </c>
      <c r="L1150" s="62">
        <f>K1150-(F1150*I1150)</f>
        <v/>
      </c>
      <c r="M1150" s="64">
        <f>L1150/K1150</f>
        <v/>
      </c>
    </row>
    <row r="1151">
      <c r="A1151" s="58" t="inlineStr">
        <is>
          <t>RT20250129-01150</t>
        </is>
      </c>
      <c r="B1151" s="59" t="inlineStr">
        <is>
          <t>2025-01-29</t>
        </is>
      </c>
      <c r="C1151" s="60" t="inlineStr">
        <is>
          <t>Falcon Headphone Plus-789</t>
        </is>
      </c>
      <c r="D1151" s="58" t="inlineStr">
        <is>
          <t>Electronics</t>
        </is>
      </c>
      <c r="E1151" s="58" t="inlineStr">
        <is>
          <t>Central</t>
        </is>
      </c>
      <c r="F1151" s="61" t="n">
        <v>2</v>
      </c>
      <c r="G1151" s="62" t="n">
        <v>1580.08</v>
      </c>
      <c r="H1151" s="63" t="n">
        <v>0.094</v>
      </c>
      <c r="I1151" s="62" t="n">
        <v>1301.39</v>
      </c>
      <c r="J1151" s="58" t="inlineStr">
        <is>
          <t>Online</t>
        </is>
      </c>
      <c r="K1151" s="62">
        <f>F1151*(G1151-H1151)</f>
        <v/>
      </c>
      <c r="L1151" s="62">
        <f>K1151-(F1151*I1151)</f>
        <v/>
      </c>
      <c r="M1151" s="64">
        <f>L1151/K1151</f>
        <v/>
      </c>
    </row>
    <row r="1152">
      <c r="A1152" s="58" t="inlineStr">
        <is>
          <t>RT20250129-01151</t>
        </is>
      </c>
      <c r="B1152" s="59" t="inlineStr">
        <is>
          <t>2025-01-29</t>
        </is>
      </c>
      <c r="C1152" s="60" t="inlineStr">
        <is>
          <t>Aurora Kid Plus-151</t>
        </is>
      </c>
      <c r="D1152" s="58" t="inlineStr">
        <is>
          <t>Apparel</t>
        </is>
      </c>
      <c r="E1152" s="58" t="inlineStr">
        <is>
          <t>West</t>
        </is>
      </c>
      <c r="F1152" s="61" t="n">
        <v>3</v>
      </c>
      <c r="G1152" s="62" t="n">
        <v>120.15</v>
      </c>
      <c r="H1152" s="63" t="n">
        <v>0.033</v>
      </c>
      <c r="I1152" s="62" t="n">
        <v>63.69</v>
      </c>
      <c r="J1152" s="58" t="inlineStr">
        <is>
          <t>Store</t>
        </is>
      </c>
      <c r="K1152" s="62">
        <f>F1152*(G1152-H1152)</f>
        <v/>
      </c>
      <c r="L1152" s="62">
        <f>K1152-(F1152*I1152)</f>
        <v/>
      </c>
      <c r="M1152" s="64">
        <f>L1152/K1152</f>
        <v/>
      </c>
    </row>
    <row r="1153">
      <c r="A1153" s="58" t="inlineStr">
        <is>
          <t>RT20250129-01152</t>
        </is>
      </c>
      <c r="B1153" s="59" t="inlineStr">
        <is>
          <t>2025-01-29</t>
        </is>
      </c>
      <c r="C1153" s="60" t="inlineStr">
        <is>
          <t>Solace Makeup Pro-214</t>
        </is>
      </c>
      <c r="D1153" s="58" t="inlineStr">
        <is>
          <t>Beauty</t>
        </is>
      </c>
      <c r="E1153" s="58" t="inlineStr">
        <is>
          <t>South</t>
        </is>
      </c>
      <c r="F1153" s="61" t="n">
        <v>4</v>
      </c>
      <c r="G1153" s="62" t="n">
        <v>116.59</v>
      </c>
      <c r="H1153" s="63" t="n">
        <v>0.104</v>
      </c>
      <c r="I1153" s="62" t="n">
        <v>67.51000000000001</v>
      </c>
      <c r="J1153" s="58" t="inlineStr">
        <is>
          <t>Online</t>
        </is>
      </c>
      <c r="K1153" s="62">
        <f>F1153*(G1153-H1153)</f>
        <v/>
      </c>
      <c r="L1153" s="62">
        <f>K1153-(F1153*I1153)</f>
        <v/>
      </c>
      <c r="M1153" s="64">
        <f>L1153/K1153</f>
        <v/>
      </c>
    </row>
    <row r="1154">
      <c r="A1154" s="58" t="inlineStr">
        <is>
          <t>RT20250129-01153</t>
        </is>
      </c>
      <c r="B1154" s="59" t="inlineStr">
        <is>
          <t>2025-01-29</t>
        </is>
      </c>
      <c r="C1154" s="60" t="inlineStr">
        <is>
          <t>Solace Kid S-384</t>
        </is>
      </c>
      <c r="D1154" s="58" t="inlineStr">
        <is>
          <t>Apparel</t>
        </is>
      </c>
      <c r="E1154" s="58" t="inlineStr">
        <is>
          <t>East</t>
        </is>
      </c>
      <c r="F1154" s="61" t="n">
        <v>1</v>
      </c>
      <c r="G1154" s="62" t="n">
        <v>113.14</v>
      </c>
      <c r="H1154" s="63" t="n">
        <v>0.046</v>
      </c>
      <c r="I1154" s="62" t="n">
        <v>63.58</v>
      </c>
      <c r="J1154" s="58" t="inlineStr">
        <is>
          <t>Store</t>
        </is>
      </c>
      <c r="K1154" s="62">
        <f>F1154*(G1154-H1154)</f>
        <v/>
      </c>
      <c r="L1154" s="62">
        <f>K1154-(F1154*I1154)</f>
        <v/>
      </c>
      <c r="M1154" s="64">
        <f>L1154/K1154</f>
        <v/>
      </c>
    </row>
    <row r="1155">
      <c r="A1155" s="58" t="inlineStr">
        <is>
          <t>RT20250129-01154</t>
        </is>
      </c>
      <c r="B1155" s="59" t="inlineStr">
        <is>
          <t>2025-01-29</t>
        </is>
      </c>
      <c r="C1155" s="60" t="inlineStr">
        <is>
          <t>Polar Women S-662</t>
        </is>
      </c>
      <c r="D1155" s="58" t="inlineStr">
        <is>
          <t>Apparel</t>
        </is>
      </c>
      <c r="E1155" s="58" t="inlineStr">
        <is>
          <t>Central</t>
        </is>
      </c>
      <c r="F1155" s="61" t="n">
        <v>3</v>
      </c>
      <c r="G1155" s="62" t="n">
        <v>156.93</v>
      </c>
      <c r="H1155" s="63" t="n">
        <v>0.068</v>
      </c>
      <c r="I1155" s="62" t="n">
        <v>96.88</v>
      </c>
      <c r="J1155" s="58" t="inlineStr">
        <is>
          <t>Online</t>
        </is>
      </c>
      <c r="K1155" s="62">
        <f>F1155*(G1155-H1155)</f>
        <v/>
      </c>
      <c r="L1155" s="62">
        <f>K1155-(F1155*I1155)</f>
        <v/>
      </c>
      <c r="M1155" s="64">
        <f>L1155/K1155</f>
        <v/>
      </c>
    </row>
    <row r="1156">
      <c r="A1156" s="58" t="inlineStr">
        <is>
          <t>RT20250129-01155</t>
        </is>
      </c>
      <c r="B1156" s="59" t="inlineStr">
        <is>
          <t>2025-01-29</t>
        </is>
      </c>
      <c r="C1156" s="60" t="inlineStr">
        <is>
          <t>Aurora Bedding Plus-187</t>
        </is>
      </c>
      <c r="D1156" s="58" t="inlineStr">
        <is>
          <t>Home</t>
        </is>
      </c>
      <c r="E1156" s="58" t="inlineStr">
        <is>
          <t>South</t>
        </is>
      </c>
      <c r="F1156" s="61" t="n">
        <v>3</v>
      </c>
      <c r="G1156" s="62" t="n">
        <v>288.86</v>
      </c>
      <c r="H1156" s="63" t="n">
        <v>0.01</v>
      </c>
      <c r="I1156" s="62" t="n">
        <v>206.34</v>
      </c>
      <c r="J1156" s="58" t="inlineStr">
        <is>
          <t>Online</t>
        </is>
      </c>
      <c r="K1156" s="62">
        <f>F1156*(G1156-H1156)</f>
        <v/>
      </c>
      <c r="L1156" s="62">
        <f>K1156-(F1156*I1156)</f>
        <v/>
      </c>
      <c r="M1156" s="64">
        <f>L1156/K1156</f>
        <v/>
      </c>
    </row>
    <row r="1157">
      <c r="A1157" s="58" t="inlineStr">
        <is>
          <t>RT20250129-01156</t>
        </is>
      </c>
      <c r="B1157" s="59" t="inlineStr">
        <is>
          <t>2025-01-29</t>
        </is>
      </c>
      <c r="C1157" s="60" t="inlineStr">
        <is>
          <t>Aurora Team Sport Plus-256</t>
        </is>
      </c>
      <c r="D1157" s="58" t="inlineStr">
        <is>
          <t>Sports</t>
        </is>
      </c>
      <c r="E1157" s="58" t="inlineStr">
        <is>
          <t>East</t>
        </is>
      </c>
      <c r="F1157" s="61" t="n">
        <v>2</v>
      </c>
      <c r="G1157" s="62" t="n">
        <v>633.79</v>
      </c>
      <c r="H1157" s="63" t="n">
        <v>0.019</v>
      </c>
      <c r="I1157" s="62" t="n">
        <v>429.15</v>
      </c>
      <c r="J1157" s="58" t="inlineStr">
        <is>
          <t>Online</t>
        </is>
      </c>
      <c r="K1157" s="62">
        <f>F1157*(G1157-H1157)</f>
        <v/>
      </c>
      <c r="L1157" s="62">
        <f>K1157-(F1157*I1157)</f>
        <v/>
      </c>
      <c r="M1157" s="64">
        <f>L1157/K1157</f>
        <v/>
      </c>
    </row>
    <row r="1158">
      <c r="A1158" s="58" t="inlineStr">
        <is>
          <t>RT20250129-01157</t>
        </is>
      </c>
      <c r="B1158" s="59" t="inlineStr">
        <is>
          <t>2025-01-29</t>
        </is>
      </c>
      <c r="C1158" s="60" t="inlineStr">
        <is>
          <t>Aurora Fragrance S-971</t>
        </is>
      </c>
      <c r="D1158" s="58" t="inlineStr">
        <is>
          <t>Beauty</t>
        </is>
      </c>
      <c r="E1158" s="58" t="inlineStr">
        <is>
          <t>East</t>
        </is>
      </c>
      <c r="F1158" s="61" t="n">
        <v>5</v>
      </c>
      <c r="G1158" s="62" t="n">
        <v>108.08</v>
      </c>
      <c r="H1158" s="63" t="n">
        <v>0.04</v>
      </c>
      <c r="I1158" s="62" t="n">
        <v>65.63</v>
      </c>
      <c r="J1158" s="58" t="inlineStr">
        <is>
          <t>Online</t>
        </is>
      </c>
      <c r="K1158" s="62">
        <f>F1158*(G1158-H1158)</f>
        <v/>
      </c>
      <c r="L1158" s="62">
        <f>K1158-(F1158*I1158)</f>
        <v/>
      </c>
      <c r="M1158" s="64">
        <f>L1158/K1158</f>
        <v/>
      </c>
    </row>
    <row r="1159">
      <c r="A1159" s="58" t="inlineStr">
        <is>
          <t>RT20250130-01158</t>
        </is>
      </c>
      <c r="B1159" s="59" t="inlineStr">
        <is>
          <t>2025-01-30</t>
        </is>
      </c>
      <c r="C1159" s="60" t="inlineStr">
        <is>
          <t>Polar Wearable X-119</t>
        </is>
      </c>
      <c r="D1159" s="58" t="inlineStr">
        <is>
          <t>Electronics</t>
        </is>
      </c>
      <c r="E1159" s="58" t="inlineStr">
        <is>
          <t>Central</t>
        </is>
      </c>
      <c r="F1159" s="61" t="n">
        <v>2</v>
      </c>
      <c r="G1159" s="62" t="n">
        <v>1761.95</v>
      </c>
      <c r="H1159" s="63" t="n">
        <v>0.078</v>
      </c>
      <c r="I1159" s="62" t="n">
        <v>1341.93</v>
      </c>
      <c r="J1159" s="58" t="inlineStr">
        <is>
          <t>Store</t>
        </is>
      </c>
      <c r="K1159" s="62">
        <f>F1159*(G1159-H1159)</f>
        <v/>
      </c>
      <c r="L1159" s="62">
        <f>K1159-(F1159*I1159)</f>
        <v/>
      </c>
      <c r="M1159" s="64">
        <f>L1159/K1159</f>
        <v/>
      </c>
    </row>
    <row r="1160">
      <c r="A1160" s="58" t="inlineStr">
        <is>
          <t>RT20250130-01159</t>
        </is>
      </c>
      <c r="B1160" s="59" t="inlineStr">
        <is>
          <t>2025-01-30</t>
        </is>
      </c>
      <c r="C1160" s="60" t="inlineStr">
        <is>
          <t>Aurora Appliance Lite-109</t>
        </is>
      </c>
      <c r="D1160" s="58" t="inlineStr">
        <is>
          <t>Home</t>
        </is>
      </c>
      <c r="E1160" s="58" t="inlineStr">
        <is>
          <t>Central</t>
        </is>
      </c>
      <c r="F1160" s="61" t="n">
        <v>1</v>
      </c>
      <c r="G1160" s="62" t="n">
        <v>298.64</v>
      </c>
      <c r="H1160" s="63" t="n">
        <v>0</v>
      </c>
      <c r="I1160" s="62" t="n">
        <v>205.74</v>
      </c>
      <c r="J1160" s="58" t="inlineStr">
        <is>
          <t>Store</t>
        </is>
      </c>
      <c r="K1160" s="62">
        <f>F1160*(G1160-H1160)</f>
        <v/>
      </c>
      <c r="L1160" s="62">
        <f>K1160-(F1160*I1160)</f>
        <v/>
      </c>
      <c r="M1160" s="64">
        <f>L1160/K1160</f>
        <v/>
      </c>
    </row>
    <row r="1161">
      <c r="A1161" s="58" t="inlineStr">
        <is>
          <t>RT20250130-01160</t>
        </is>
      </c>
      <c r="B1161" s="59" t="inlineStr">
        <is>
          <t>2025-01-30</t>
        </is>
      </c>
      <c r="C1161" s="60" t="inlineStr">
        <is>
          <t>Solace Kitchen Pro-999</t>
        </is>
      </c>
      <c r="D1161" s="58" t="inlineStr">
        <is>
          <t>Home</t>
        </is>
      </c>
      <c r="E1161" s="58" t="inlineStr">
        <is>
          <t>Central</t>
        </is>
      </c>
      <c r="F1161" s="61" t="n">
        <v>1</v>
      </c>
      <c r="G1161" s="62" t="n">
        <v>418.34</v>
      </c>
      <c r="H1161" s="63" t="n">
        <v>0.08799999999999999</v>
      </c>
      <c r="I1161" s="62" t="n">
        <v>270.02</v>
      </c>
      <c r="J1161" s="58" t="inlineStr">
        <is>
          <t>Online</t>
        </is>
      </c>
      <c r="K1161" s="62">
        <f>F1161*(G1161-H1161)</f>
        <v/>
      </c>
      <c r="L1161" s="62">
        <f>K1161-(F1161*I1161)</f>
        <v/>
      </c>
      <c r="M1161" s="64">
        <f>L1161/K1161</f>
        <v/>
      </c>
    </row>
    <row r="1162">
      <c r="A1162" s="58" t="inlineStr">
        <is>
          <t>RT20250130-01161</t>
        </is>
      </c>
      <c r="B1162" s="59" t="inlineStr">
        <is>
          <t>2025-01-30</t>
        </is>
      </c>
      <c r="C1162" s="60" t="inlineStr">
        <is>
          <t>Polar Cycling S-223</t>
        </is>
      </c>
      <c r="D1162" s="58" t="inlineStr">
        <is>
          <t>Sports</t>
        </is>
      </c>
      <c r="E1162" s="58" t="inlineStr">
        <is>
          <t>Central</t>
        </is>
      </c>
      <c r="F1162" s="61" t="n">
        <v>1</v>
      </c>
      <c r="G1162" s="62" t="n">
        <v>957.54</v>
      </c>
      <c r="H1162" s="63" t="n">
        <v>0.035</v>
      </c>
      <c r="I1162" s="62" t="n">
        <v>646.6799999999999</v>
      </c>
      <c r="J1162" s="58" t="inlineStr">
        <is>
          <t>Online</t>
        </is>
      </c>
      <c r="K1162" s="62">
        <f>F1162*(G1162-H1162)</f>
        <v/>
      </c>
      <c r="L1162" s="62">
        <f>K1162-(F1162*I1162)</f>
        <v/>
      </c>
      <c r="M1162" s="64">
        <f>L1162/K1162</f>
        <v/>
      </c>
    </row>
    <row r="1163">
      <c r="A1163" s="58" t="inlineStr">
        <is>
          <t>RT20250130-01162</t>
        </is>
      </c>
      <c r="B1163" s="59" t="inlineStr">
        <is>
          <t>2025-01-30</t>
        </is>
      </c>
      <c r="C1163" s="60" t="inlineStr">
        <is>
          <t>Polar Men Pro-246</t>
        </is>
      </c>
      <c r="D1163" s="58" t="inlineStr">
        <is>
          <t>Apparel</t>
        </is>
      </c>
      <c r="E1163" s="58" t="inlineStr">
        <is>
          <t>North</t>
        </is>
      </c>
      <c r="F1163" s="61" t="n">
        <v>3</v>
      </c>
      <c r="G1163" s="62" t="n">
        <v>116.77</v>
      </c>
      <c r="H1163" s="63" t="n">
        <v>0</v>
      </c>
      <c r="I1163" s="62" t="n">
        <v>78.76000000000001</v>
      </c>
      <c r="J1163" s="58" t="inlineStr">
        <is>
          <t>Online</t>
        </is>
      </c>
      <c r="K1163" s="62">
        <f>F1163*(G1163-H1163)</f>
        <v/>
      </c>
      <c r="L1163" s="62">
        <f>K1163-(F1163*I1163)</f>
        <v/>
      </c>
      <c r="M1163" s="64">
        <f>L1163/K1163</f>
        <v/>
      </c>
    </row>
    <row r="1164">
      <c r="A1164" s="58" t="inlineStr">
        <is>
          <t>RT20250130-01163</t>
        </is>
      </c>
      <c r="B1164" s="59" t="inlineStr">
        <is>
          <t>2025-01-30</t>
        </is>
      </c>
      <c r="C1164" s="60" t="inlineStr">
        <is>
          <t>Orion Supplie S-612</t>
        </is>
      </c>
      <c r="D1164" s="58" t="inlineStr">
        <is>
          <t>Office</t>
        </is>
      </c>
      <c r="E1164" s="58" t="inlineStr">
        <is>
          <t>East</t>
        </is>
      </c>
      <c r="F1164" s="61" t="n">
        <v>3</v>
      </c>
      <c r="G1164" s="62" t="n">
        <v>465.96</v>
      </c>
      <c r="H1164" s="63" t="n">
        <v>0.081</v>
      </c>
      <c r="I1164" s="62" t="n">
        <v>338.64</v>
      </c>
      <c r="J1164" s="58" t="inlineStr">
        <is>
          <t>Store</t>
        </is>
      </c>
      <c r="K1164" s="62">
        <f>F1164*(G1164-H1164)</f>
        <v/>
      </c>
      <c r="L1164" s="62">
        <f>K1164-(F1164*I1164)</f>
        <v/>
      </c>
      <c r="M1164" s="64">
        <f>L1164/K1164</f>
        <v/>
      </c>
    </row>
    <row r="1165">
      <c r="A1165" s="58" t="inlineStr">
        <is>
          <t>RT20250130-01164</t>
        </is>
      </c>
      <c r="B1165" s="59" t="inlineStr">
        <is>
          <t>2025-01-30</t>
        </is>
      </c>
      <c r="C1165" s="60" t="inlineStr">
        <is>
          <t>Metro Beverage Max-490</t>
        </is>
      </c>
      <c r="D1165" s="58" t="inlineStr">
        <is>
          <t>Grocery</t>
        </is>
      </c>
      <c r="E1165" s="58" t="inlineStr">
        <is>
          <t>South</t>
        </is>
      </c>
      <c r="F1165" s="61" t="n">
        <v>1</v>
      </c>
      <c r="G1165" s="62" t="n">
        <v>10.55</v>
      </c>
      <c r="H1165" s="63" t="n">
        <v>0.075</v>
      </c>
      <c r="I1165" s="62" t="n">
        <v>8.140000000000001</v>
      </c>
      <c r="J1165" s="58" t="inlineStr">
        <is>
          <t>Online</t>
        </is>
      </c>
      <c r="K1165" s="62">
        <f>F1165*(G1165-H1165)</f>
        <v/>
      </c>
      <c r="L1165" s="62">
        <f>K1165-(F1165*I1165)</f>
        <v/>
      </c>
      <c r="M1165" s="64">
        <f>L1165/K1165</f>
        <v/>
      </c>
    </row>
    <row r="1166">
      <c r="A1166" s="58" t="inlineStr">
        <is>
          <t>RT20250130-01165</t>
        </is>
      </c>
      <c r="B1166" s="59" t="inlineStr">
        <is>
          <t>2025-01-30</t>
        </is>
      </c>
      <c r="C1166" s="60" t="inlineStr">
        <is>
          <t>Polar Decor X-935</t>
        </is>
      </c>
      <c r="D1166" s="58" t="inlineStr">
        <is>
          <t>Home</t>
        </is>
      </c>
      <c r="E1166" s="58" t="inlineStr">
        <is>
          <t>East</t>
        </is>
      </c>
      <c r="F1166" s="61" t="n">
        <v>2</v>
      </c>
      <c r="G1166" s="62" t="n">
        <v>301.86</v>
      </c>
      <c r="H1166" s="63" t="n">
        <v>0.08</v>
      </c>
      <c r="I1166" s="62" t="n">
        <v>206.86</v>
      </c>
      <c r="J1166" s="58" t="inlineStr">
        <is>
          <t>Online</t>
        </is>
      </c>
      <c r="K1166" s="62">
        <f>F1166*(G1166-H1166)</f>
        <v/>
      </c>
      <c r="L1166" s="62">
        <f>K1166-(F1166*I1166)</f>
        <v/>
      </c>
      <c r="M1166" s="64">
        <f>L1166/K1166</f>
        <v/>
      </c>
    </row>
    <row r="1167">
      <c r="A1167" s="58" t="inlineStr">
        <is>
          <t>RT20250130-01166</t>
        </is>
      </c>
      <c r="B1167" s="59" t="inlineStr">
        <is>
          <t>2025-01-30</t>
        </is>
      </c>
      <c r="C1167" s="60" t="inlineStr">
        <is>
          <t>Nimbus Laptop Max-652</t>
        </is>
      </c>
      <c r="D1167" s="58" t="inlineStr">
        <is>
          <t>Electronics</t>
        </is>
      </c>
      <c r="E1167" s="58" t="inlineStr">
        <is>
          <t>Central</t>
        </is>
      </c>
      <c r="F1167" s="61" t="n">
        <v>2</v>
      </c>
      <c r="G1167" s="62" t="n">
        <v>1126.42</v>
      </c>
      <c r="H1167" s="63" t="n">
        <v>0.037</v>
      </c>
      <c r="I1167" s="62" t="n">
        <v>1038</v>
      </c>
      <c r="J1167" s="58" t="inlineStr">
        <is>
          <t>Online</t>
        </is>
      </c>
      <c r="K1167" s="62">
        <f>F1167*(G1167-H1167)</f>
        <v/>
      </c>
      <c r="L1167" s="62">
        <f>K1167-(F1167*I1167)</f>
        <v/>
      </c>
      <c r="M1167" s="64">
        <f>L1167/K1167</f>
        <v/>
      </c>
    </row>
    <row r="1168">
      <c r="A1168" s="58" t="inlineStr">
        <is>
          <t>RT20250130-01167</t>
        </is>
      </c>
      <c r="B1168" s="59" t="inlineStr">
        <is>
          <t>2025-01-30</t>
        </is>
      </c>
      <c r="C1168" s="60" t="inlineStr">
        <is>
          <t>Orion Team Sport X-926</t>
        </is>
      </c>
      <c r="D1168" s="58" t="inlineStr">
        <is>
          <t>Sports</t>
        </is>
      </c>
      <c r="E1168" s="58" t="inlineStr">
        <is>
          <t>South</t>
        </is>
      </c>
      <c r="F1168" s="61" t="n">
        <v>2</v>
      </c>
      <c r="G1168" s="62" t="n">
        <v>338.96</v>
      </c>
      <c r="H1168" s="63" t="n">
        <v>0.105</v>
      </c>
      <c r="I1168" s="62" t="n">
        <v>218.43</v>
      </c>
      <c r="J1168" s="58" t="inlineStr">
        <is>
          <t>Phone</t>
        </is>
      </c>
      <c r="K1168" s="62">
        <f>F1168*(G1168-H1168)</f>
        <v/>
      </c>
      <c r="L1168" s="62">
        <f>K1168-(F1168*I1168)</f>
        <v/>
      </c>
      <c r="M1168" s="64">
        <f>L1168/K1168</f>
        <v/>
      </c>
    </row>
    <row r="1169">
      <c r="A1169" s="58" t="inlineStr">
        <is>
          <t>RT20250130-01168</t>
        </is>
      </c>
      <c r="B1169" s="59" t="inlineStr">
        <is>
          <t>2025-01-30</t>
        </is>
      </c>
      <c r="C1169" s="60" t="inlineStr">
        <is>
          <t>Aurora Storage Lite-774</t>
        </is>
      </c>
      <c r="D1169" s="58" t="inlineStr">
        <is>
          <t>Office</t>
        </is>
      </c>
      <c r="E1169" s="58" t="inlineStr">
        <is>
          <t>South</t>
        </is>
      </c>
      <c r="F1169" s="61" t="n">
        <v>1</v>
      </c>
      <c r="G1169" s="62" t="n">
        <v>360.85</v>
      </c>
      <c r="H1169" s="63" t="n">
        <v>0.06900000000000001</v>
      </c>
      <c r="I1169" s="62" t="n">
        <v>248.16</v>
      </c>
      <c r="J1169" s="58" t="inlineStr">
        <is>
          <t>Online</t>
        </is>
      </c>
      <c r="K1169" s="62">
        <f>F1169*(G1169-H1169)</f>
        <v/>
      </c>
      <c r="L1169" s="62">
        <f>K1169-(F1169*I1169)</f>
        <v/>
      </c>
      <c r="M1169" s="64">
        <f>L1169/K1169</f>
        <v/>
      </c>
    </row>
    <row r="1170">
      <c r="A1170" s="58" t="inlineStr">
        <is>
          <t>RT20250130-01169</t>
        </is>
      </c>
      <c r="B1170" s="59" t="inlineStr">
        <is>
          <t>2025-01-30</t>
        </is>
      </c>
      <c r="C1170" s="60" t="inlineStr">
        <is>
          <t>Nimbus Storage Plus-646</t>
        </is>
      </c>
      <c r="D1170" s="58" t="inlineStr">
        <is>
          <t>Office</t>
        </is>
      </c>
      <c r="E1170" s="58" t="inlineStr">
        <is>
          <t>South</t>
        </is>
      </c>
      <c r="F1170" s="61" t="n">
        <v>2</v>
      </c>
      <c r="G1170" s="62" t="n">
        <v>400.01</v>
      </c>
      <c r="H1170" s="63" t="n">
        <v>0.07000000000000001</v>
      </c>
      <c r="I1170" s="62" t="n">
        <v>308.35</v>
      </c>
      <c r="J1170" s="58" t="inlineStr">
        <is>
          <t>Store</t>
        </is>
      </c>
      <c r="K1170" s="62">
        <f>F1170*(G1170-H1170)</f>
        <v/>
      </c>
      <c r="L1170" s="62">
        <f>K1170-(F1170*I1170)</f>
        <v/>
      </c>
      <c r="M1170" s="64">
        <f>L1170/K1170</f>
        <v/>
      </c>
    </row>
    <row r="1171">
      <c r="A1171" s="58" t="inlineStr">
        <is>
          <t>RT20250130-01170</t>
        </is>
      </c>
      <c r="B1171" s="59" t="inlineStr">
        <is>
          <t>2025-01-30</t>
        </is>
      </c>
      <c r="C1171" s="60" t="inlineStr">
        <is>
          <t>Falcon Skincare X-334</t>
        </is>
      </c>
      <c r="D1171" s="58" t="inlineStr">
        <is>
          <t>Beauty</t>
        </is>
      </c>
      <c r="E1171" s="58" t="inlineStr">
        <is>
          <t>West</t>
        </is>
      </c>
      <c r="F1171" s="61" t="n">
        <v>2</v>
      </c>
      <c r="G1171" s="62" t="n">
        <v>94.68000000000001</v>
      </c>
      <c r="H1171" s="63" t="n">
        <v>0.048</v>
      </c>
      <c r="I1171" s="62" t="n">
        <v>62.35</v>
      </c>
      <c r="J1171" s="58" t="inlineStr">
        <is>
          <t>Store</t>
        </is>
      </c>
      <c r="K1171" s="62">
        <f>F1171*(G1171-H1171)</f>
        <v/>
      </c>
      <c r="L1171" s="62">
        <f>K1171-(F1171*I1171)</f>
        <v/>
      </c>
      <c r="M1171" s="64">
        <f>L1171/K1171</f>
        <v/>
      </c>
    </row>
    <row r="1172">
      <c r="A1172" s="58" t="inlineStr">
        <is>
          <t>RT20250130-01171</t>
        </is>
      </c>
      <c r="B1172" s="59" t="inlineStr">
        <is>
          <t>2025-01-30</t>
        </is>
      </c>
      <c r="C1172" s="60" t="inlineStr">
        <is>
          <t>Polar Cycling S-223</t>
        </is>
      </c>
      <c r="D1172" s="58" t="inlineStr">
        <is>
          <t>Sports</t>
        </is>
      </c>
      <c r="E1172" s="58" t="inlineStr">
        <is>
          <t>North</t>
        </is>
      </c>
      <c r="F1172" s="61" t="n">
        <v>3</v>
      </c>
      <c r="G1172" s="62" t="n">
        <v>1007.63</v>
      </c>
      <c r="H1172" s="63" t="n">
        <v>0.07000000000000001</v>
      </c>
      <c r="I1172" s="62" t="n">
        <v>621.91</v>
      </c>
      <c r="J1172" s="58" t="inlineStr">
        <is>
          <t>Phone</t>
        </is>
      </c>
      <c r="K1172" s="62">
        <f>F1172*(G1172-H1172)</f>
        <v/>
      </c>
      <c r="L1172" s="62">
        <f>K1172-(F1172*I1172)</f>
        <v/>
      </c>
      <c r="M1172" s="64">
        <f>L1172/K1172</f>
        <v/>
      </c>
    </row>
    <row r="1173">
      <c r="A1173" s="58" t="inlineStr">
        <is>
          <t>RT20250130-01172</t>
        </is>
      </c>
      <c r="B1173" s="59" t="inlineStr">
        <is>
          <t>2025-01-30</t>
        </is>
      </c>
      <c r="C1173" s="60" t="inlineStr">
        <is>
          <t>Falcon Skincare Max-151</t>
        </is>
      </c>
      <c r="D1173" s="58" t="inlineStr">
        <is>
          <t>Beauty</t>
        </is>
      </c>
      <c r="E1173" s="58" t="inlineStr">
        <is>
          <t>North</t>
        </is>
      </c>
      <c r="F1173" s="61" t="n">
        <v>3</v>
      </c>
      <c r="G1173" s="62" t="n">
        <v>87.90000000000001</v>
      </c>
      <c r="H1173" s="63" t="n">
        <v>0.093</v>
      </c>
      <c r="I1173" s="62" t="n">
        <v>58.35</v>
      </c>
      <c r="J1173" s="58" t="inlineStr">
        <is>
          <t>Online</t>
        </is>
      </c>
      <c r="K1173" s="62">
        <f>F1173*(G1173-H1173)</f>
        <v/>
      </c>
      <c r="L1173" s="62">
        <f>K1173-(F1173*I1173)</f>
        <v/>
      </c>
      <c r="M1173" s="64">
        <f>L1173/K1173</f>
        <v/>
      </c>
    </row>
    <row r="1174">
      <c r="A1174" s="58" t="inlineStr">
        <is>
          <t>RT20250130-01173</t>
        </is>
      </c>
      <c r="B1174" s="59" t="inlineStr">
        <is>
          <t>2025-01-30</t>
        </is>
      </c>
      <c r="C1174" s="60" t="inlineStr">
        <is>
          <t>Aurora Printer Plus-723</t>
        </is>
      </c>
      <c r="D1174" s="58" t="inlineStr">
        <is>
          <t>Office</t>
        </is>
      </c>
      <c r="E1174" s="58" t="inlineStr">
        <is>
          <t>East</t>
        </is>
      </c>
      <c r="F1174" s="61" t="n">
        <v>1</v>
      </c>
      <c r="G1174" s="62" t="n">
        <v>260.08</v>
      </c>
      <c r="H1174" s="63" t="n">
        <v>0.035</v>
      </c>
      <c r="I1174" s="62" t="n">
        <v>189.75</v>
      </c>
      <c r="J1174" s="58" t="inlineStr">
        <is>
          <t>Online</t>
        </is>
      </c>
      <c r="K1174" s="62">
        <f>F1174*(G1174-H1174)</f>
        <v/>
      </c>
      <c r="L1174" s="62">
        <f>K1174-(F1174*I1174)</f>
        <v/>
      </c>
      <c r="M1174" s="64">
        <f>L1174/K1174</f>
        <v/>
      </c>
    </row>
    <row r="1175">
      <c r="A1175" s="58" t="inlineStr">
        <is>
          <t>RT20250130-01174</t>
        </is>
      </c>
      <c r="B1175" s="59" t="inlineStr">
        <is>
          <t>2025-01-30</t>
        </is>
      </c>
      <c r="C1175" s="60" t="inlineStr">
        <is>
          <t>Orion Kid Max-640</t>
        </is>
      </c>
      <c r="D1175" s="58" t="inlineStr">
        <is>
          <t>Apparel</t>
        </is>
      </c>
      <c r="E1175" s="58" t="inlineStr">
        <is>
          <t>East</t>
        </is>
      </c>
      <c r="F1175" s="61" t="n">
        <v>2</v>
      </c>
      <c r="G1175" s="62" t="n">
        <v>140.4</v>
      </c>
      <c r="H1175" s="63" t="n">
        <v>0.097</v>
      </c>
      <c r="I1175" s="62" t="n">
        <v>69.37</v>
      </c>
      <c r="J1175" s="58" t="inlineStr">
        <is>
          <t>Online</t>
        </is>
      </c>
      <c r="K1175" s="62">
        <f>F1175*(G1175-H1175)</f>
        <v/>
      </c>
      <c r="L1175" s="62">
        <f>K1175-(F1175*I1175)</f>
        <v/>
      </c>
      <c r="M1175" s="64">
        <f>L1175/K1175</f>
        <v/>
      </c>
    </row>
    <row r="1176">
      <c r="A1176" s="58" t="inlineStr">
        <is>
          <t>RT20250130-01175</t>
        </is>
      </c>
      <c r="B1176" s="59" t="inlineStr">
        <is>
          <t>2025-01-30</t>
        </is>
      </c>
      <c r="C1176" s="60" t="inlineStr">
        <is>
          <t>Polar Supplie Lite-348</t>
        </is>
      </c>
      <c r="D1176" s="58" t="inlineStr">
        <is>
          <t>Office</t>
        </is>
      </c>
      <c r="E1176" s="58" t="inlineStr">
        <is>
          <t>North</t>
        </is>
      </c>
      <c r="F1176" s="61" t="n">
        <v>3</v>
      </c>
      <c r="G1176" s="62" t="n">
        <v>453.47</v>
      </c>
      <c r="H1176" s="63" t="n">
        <v>0.091</v>
      </c>
      <c r="I1176" s="62" t="n">
        <v>315.67</v>
      </c>
      <c r="J1176" s="58" t="inlineStr">
        <is>
          <t>Online</t>
        </is>
      </c>
      <c r="K1176" s="62">
        <f>F1176*(G1176-H1176)</f>
        <v/>
      </c>
      <c r="L1176" s="62">
        <f>K1176-(F1176*I1176)</f>
        <v/>
      </c>
      <c r="M1176" s="64">
        <f>L1176/K1176</f>
        <v/>
      </c>
    </row>
    <row r="1177">
      <c r="A1177" s="58" t="inlineStr">
        <is>
          <t>RT20250130-01176</t>
        </is>
      </c>
      <c r="B1177" s="59" t="inlineStr">
        <is>
          <t>2025-01-30</t>
        </is>
      </c>
      <c r="C1177" s="60" t="inlineStr">
        <is>
          <t>Polar Fragrance Pro-750</t>
        </is>
      </c>
      <c r="D1177" s="58" t="inlineStr">
        <is>
          <t>Beauty</t>
        </is>
      </c>
      <c r="E1177" s="58" t="inlineStr">
        <is>
          <t>Central</t>
        </is>
      </c>
      <c r="F1177" s="61" t="n">
        <v>4</v>
      </c>
      <c r="G1177" s="62" t="n">
        <v>53.42</v>
      </c>
      <c r="H1177" s="63" t="n">
        <v>0.092</v>
      </c>
      <c r="I1177" s="62" t="n">
        <v>35.82</v>
      </c>
      <c r="J1177" s="58" t="inlineStr">
        <is>
          <t>Online</t>
        </is>
      </c>
      <c r="K1177" s="62">
        <f>F1177*(G1177-H1177)</f>
        <v/>
      </c>
      <c r="L1177" s="62">
        <f>K1177-(F1177*I1177)</f>
        <v/>
      </c>
      <c r="M1177" s="64">
        <f>L1177/K1177</f>
        <v/>
      </c>
    </row>
    <row r="1178">
      <c r="A1178" s="58" t="inlineStr">
        <is>
          <t>RT20250130-01177</t>
        </is>
      </c>
      <c r="B1178" s="59" t="inlineStr">
        <is>
          <t>2025-01-30</t>
        </is>
      </c>
      <c r="C1178" s="60" t="inlineStr">
        <is>
          <t>Metro Wearable Plus-234</t>
        </is>
      </c>
      <c r="D1178" s="58" t="inlineStr">
        <is>
          <t>Electronics</t>
        </is>
      </c>
      <c r="E1178" s="58" t="inlineStr">
        <is>
          <t>West</t>
        </is>
      </c>
      <c r="F1178" s="61" t="n">
        <v>1</v>
      </c>
      <c r="G1178" s="62" t="n">
        <v>1413.8</v>
      </c>
      <c r="H1178" s="63" t="n">
        <v>0.06900000000000001</v>
      </c>
      <c r="I1178" s="62" t="n">
        <v>1164.87</v>
      </c>
      <c r="J1178" s="58" t="inlineStr">
        <is>
          <t>Store</t>
        </is>
      </c>
      <c r="K1178" s="62">
        <f>F1178*(G1178-H1178)</f>
        <v/>
      </c>
      <c r="L1178" s="62">
        <f>K1178-(F1178*I1178)</f>
        <v/>
      </c>
      <c r="M1178" s="64">
        <f>L1178/K1178</f>
        <v/>
      </c>
    </row>
    <row r="1179">
      <c r="A1179" s="58" t="inlineStr">
        <is>
          <t>RT20250130-01178</t>
        </is>
      </c>
      <c r="B1179" s="59" t="inlineStr">
        <is>
          <t>2025-01-30</t>
        </is>
      </c>
      <c r="C1179" s="60" t="inlineStr">
        <is>
          <t>Vertex Snack S-702</t>
        </is>
      </c>
      <c r="D1179" s="58" t="inlineStr">
        <is>
          <t>Grocery</t>
        </is>
      </c>
      <c r="E1179" s="58" t="inlineStr">
        <is>
          <t>East</t>
        </is>
      </c>
      <c r="F1179" s="61" t="n">
        <v>8</v>
      </c>
      <c r="G1179" s="62" t="n">
        <v>1.96</v>
      </c>
      <c r="H1179" s="63" t="n">
        <v>0.012</v>
      </c>
      <c r="I1179" s="62" t="n">
        <v>1.45</v>
      </c>
      <c r="J1179" s="58" t="inlineStr">
        <is>
          <t>Online</t>
        </is>
      </c>
      <c r="K1179" s="62">
        <f>F1179*(G1179-H1179)</f>
        <v/>
      </c>
      <c r="L1179" s="62">
        <f>K1179-(F1179*I1179)</f>
        <v/>
      </c>
      <c r="M1179" s="64">
        <f>L1179/K1179</f>
        <v/>
      </c>
    </row>
    <row r="1180">
      <c r="A1180" s="58" t="inlineStr">
        <is>
          <t>RT20250130-01179</t>
        </is>
      </c>
      <c r="B1180" s="59" t="inlineStr">
        <is>
          <t>2025-01-30</t>
        </is>
      </c>
      <c r="C1180" s="60" t="inlineStr">
        <is>
          <t>Nimbus Men Plus-231</t>
        </is>
      </c>
      <c r="D1180" s="58" t="inlineStr">
        <is>
          <t>Apparel</t>
        </is>
      </c>
      <c r="E1180" s="58" t="inlineStr">
        <is>
          <t>Central</t>
        </is>
      </c>
      <c r="F1180" s="61" t="n">
        <v>4</v>
      </c>
      <c r="G1180" s="62" t="n">
        <v>159.75</v>
      </c>
      <c r="H1180" s="63" t="n">
        <v>0.043</v>
      </c>
      <c r="I1180" s="62" t="n">
        <v>88.62</v>
      </c>
      <c r="J1180" s="58" t="inlineStr">
        <is>
          <t>Online</t>
        </is>
      </c>
      <c r="K1180" s="62">
        <f>F1180*(G1180-H1180)</f>
        <v/>
      </c>
      <c r="L1180" s="62">
        <f>K1180-(F1180*I1180)</f>
        <v/>
      </c>
      <c r="M1180" s="64">
        <f>L1180/K1180</f>
        <v/>
      </c>
    </row>
    <row r="1181">
      <c r="A1181" s="58" t="inlineStr">
        <is>
          <t>RT20250130-01180</t>
        </is>
      </c>
      <c r="B1181" s="59" t="inlineStr">
        <is>
          <t>2025-01-30</t>
        </is>
      </c>
      <c r="C1181" s="60" t="inlineStr">
        <is>
          <t>Orion Fragrance Lite-785</t>
        </is>
      </c>
      <c r="D1181" s="58" t="inlineStr">
        <is>
          <t>Beauty</t>
        </is>
      </c>
      <c r="E1181" s="58" t="inlineStr">
        <is>
          <t>West</t>
        </is>
      </c>
      <c r="F1181" s="61" t="n">
        <v>3</v>
      </c>
      <c r="G1181" s="62" t="n">
        <v>39.45</v>
      </c>
      <c r="H1181" s="63" t="n">
        <v>0.08</v>
      </c>
      <c r="I1181" s="62" t="n">
        <v>27.54</v>
      </c>
      <c r="J1181" s="58" t="inlineStr">
        <is>
          <t>Online</t>
        </is>
      </c>
      <c r="K1181" s="62">
        <f>F1181*(G1181-H1181)</f>
        <v/>
      </c>
      <c r="L1181" s="62">
        <f>K1181-(F1181*I1181)</f>
        <v/>
      </c>
      <c r="M1181" s="64">
        <f>L1181/K1181</f>
        <v/>
      </c>
    </row>
    <row r="1182">
      <c r="A1182" s="58" t="inlineStr">
        <is>
          <t>RT20250130-01181</t>
        </is>
      </c>
      <c r="B1182" s="59" t="inlineStr">
        <is>
          <t>2025-01-30</t>
        </is>
      </c>
      <c r="C1182" s="60" t="inlineStr">
        <is>
          <t>Polar Outdoor Lite-318</t>
        </is>
      </c>
      <c r="D1182" s="58" t="inlineStr">
        <is>
          <t>Sports</t>
        </is>
      </c>
      <c r="E1182" s="58" t="inlineStr">
        <is>
          <t>East</t>
        </is>
      </c>
      <c r="F1182" s="61" t="n">
        <v>3</v>
      </c>
      <c r="G1182" s="62" t="n">
        <v>720.17</v>
      </c>
      <c r="H1182" s="63" t="n">
        <v>0.098</v>
      </c>
      <c r="I1182" s="62" t="n">
        <v>455.16</v>
      </c>
      <c r="J1182" s="58" t="inlineStr">
        <is>
          <t>Store</t>
        </is>
      </c>
      <c r="K1182" s="62">
        <f>F1182*(G1182-H1182)</f>
        <v/>
      </c>
      <c r="L1182" s="62">
        <f>K1182-(F1182*I1182)</f>
        <v/>
      </c>
      <c r="M1182" s="64">
        <f>L1182/K1182</f>
        <v/>
      </c>
    </row>
    <row r="1183">
      <c r="A1183" s="58" t="inlineStr">
        <is>
          <t>RT20250130-01182</t>
        </is>
      </c>
      <c r="B1183" s="59" t="inlineStr">
        <is>
          <t>2025-01-30</t>
        </is>
      </c>
      <c r="C1183" s="60" t="inlineStr">
        <is>
          <t>Vertex Fitnes Pro-830</t>
        </is>
      </c>
      <c r="D1183" s="58" t="inlineStr">
        <is>
          <t>Sports</t>
        </is>
      </c>
      <c r="E1183" s="58" t="inlineStr">
        <is>
          <t>Central</t>
        </is>
      </c>
      <c r="F1183" s="61" t="n">
        <v>3</v>
      </c>
      <c r="G1183" s="62" t="n">
        <v>627.41</v>
      </c>
      <c r="H1183" s="63" t="n">
        <v>0.051</v>
      </c>
      <c r="I1183" s="62" t="n">
        <v>468.58</v>
      </c>
      <c r="J1183" s="58" t="inlineStr">
        <is>
          <t>Online</t>
        </is>
      </c>
      <c r="K1183" s="62">
        <f>F1183*(G1183-H1183)</f>
        <v/>
      </c>
      <c r="L1183" s="62">
        <f>K1183-(F1183*I1183)</f>
        <v/>
      </c>
      <c r="M1183" s="64">
        <f>L1183/K1183</f>
        <v/>
      </c>
    </row>
    <row r="1184">
      <c r="A1184" s="58" t="inlineStr">
        <is>
          <t>RT20250130-01183</t>
        </is>
      </c>
      <c r="B1184" s="59" t="inlineStr">
        <is>
          <t>2025-01-30</t>
        </is>
      </c>
      <c r="C1184" s="60" t="inlineStr">
        <is>
          <t>Solace Kitchen Pro-510</t>
        </is>
      </c>
      <c r="D1184" s="58" t="inlineStr">
        <is>
          <t>Home</t>
        </is>
      </c>
      <c r="E1184" s="58" t="inlineStr">
        <is>
          <t>Central</t>
        </is>
      </c>
      <c r="F1184" s="61" t="n">
        <v>1</v>
      </c>
      <c r="G1184" s="62" t="n">
        <v>420.69</v>
      </c>
      <c r="H1184" s="63" t="n">
        <v>0.076</v>
      </c>
      <c r="I1184" s="62" t="n">
        <v>307.69</v>
      </c>
      <c r="J1184" s="58" t="inlineStr">
        <is>
          <t>Store</t>
        </is>
      </c>
      <c r="K1184" s="62">
        <f>F1184*(G1184-H1184)</f>
        <v/>
      </c>
      <c r="L1184" s="62">
        <f>K1184-(F1184*I1184)</f>
        <v/>
      </c>
      <c r="M1184" s="64">
        <f>L1184/K1184</f>
        <v/>
      </c>
    </row>
    <row r="1185">
      <c r="A1185" s="58" t="inlineStr">
        <is>
          <t>RT20250130-01184</t>
        </is>
      </c>
      <c r="B1185" s="59" t="inlineStr">
        <is>
          <t>2025-01-30</t>
        </is>
      </c>
      <c r="C1185" s="60" t="inlineStr">
        <is>
          <t>Orion Kitchen Pro-568</t>
        </is>
      </c>
      <c r="D1185" s="58" t="inlineStr">
        <is>
          <t>Home</t>
        </is>
      </c>
      <c r="E1185" s="58" t="inlineStr">
        <is>
          <t>Central</t>
        </is>
      </c>
      <c r="F1185" s="61" t="n">
        <v>1</v>
      </c>
      <c r="G1185" s="62" t="n">
        <v>412.58</v>
      </c>
      <c r="H1185" s="63" t="n">
        <v>0.042</v>
      </c>
      <c r="I1185" s="62" t="n">
        <v>310.14</v>
      </c>
      <c r="J1185" s="58" t="inlineStr">
        <is>
          <t>Online</t>
        </is>
      </c>
      <c r="K1185" s="62">
        <f>F1185*(G1185-H1185)</f>
        <v/>
      </c>
      <c r="L1185" s="62">
        <f>K1185-(F1185*I1185)</f>
        <v/>
      </c>
      <c r="M1185" s="64">
        <f>L1185/K1185</f>
        <v/>
      </c>
    </row>
    <row r="1186">
      <c r="A1186" s="58" t="inlineStr">
        <is>
          <t>RT20250130-01185</t>
        </is>
      </c>
      <c r="B1186" s="59" t="inlineStr">
        <is>
          <t>2025-01-30</t>
        </is>
      </c>
      <c r="C1186" s="60" t="inlineStr">
        <is>
          <t>Orion Supplie S-612</t>
        </is>
      </c>
      <c r="D1186" s="58" t="inlineStr">
        <is>
          <t>Office</t>
        </is>
      </c>
      <c r="E1186" s="58" t="inlineStr">
        <is>
          <t>Central</t>
        </is>
      </c>
      <c r="F1186" s="61" t="n">
        <v>1</v>
      </c>
      <c r="G1186" s="62" t="n">
        <v>502.09</v>
      </c>
      <c r="H1186" s="63" t="n">
        <v>0.141</v>
      </c>
      <c r="I1186" s="62" t="n">
        <v>336.89</v>
      </c>
      <c r="J1186" s="58" t="inlineStr">
        <is>
          <t>Store</t>
        </is>
      </c>
      <c r="K1186" s="62">
        <f>F1186*(G1186-H1186)</f>
        <v/>
      </c>
      <c r="L1186" s="62">
        <f>K1186-(F1186*I1186)</f>
        <v/>
      </c>
      <c r="M1186" s="64">
        <f>L1186/K1186</f>
        <v/>
      </c>
    </row>
    <row r="1187">
      <c r="A1187" s="58" t="inlineStr">
        <is>
          <t>RT20250130-01186</t>
        </is>
      </c>
      <c r="B1187" s="59" t="inlineStr">
        <is>
          <t>2025-01-30</t>
        </is>
      </c>
      <c r="C1187" s="60" t="inlineStr">
        <is>
          <t>Vertex Fitnes Pro-830</t>
        </is>
      </c>
      <c r="D1187" s="58" t="inlineStr">
        <is>
          <t>Sports</t>
        </is>
      </c>
      <c r="E1187" s="58" t="inlineStr">
        <is>
          <t>South</t>
        </is>
      </c>
      <c r="F1187" s="61" t="n">
        <v>3</v>
      </c>
      <c r="G1187" s="62" t="n">
        <v>729.84</v>
      </c>
      <c r="H1187" s="63" t="n">
        <v>0.033</v>
      </c>
      <c r="I1187" s="62" t="n">
        <v>488.39</v>
      </c>
      <c r="J1187" s="58" t="inlineStr">
        <is>
          <t>Online</t>
        </is>
      </c>
      <c r="K1187" s="62">
        <f>F1187*(G1187-H1187)</f>
        <v/>
      </c>
      <c r="L1187" s="62">
        <f>K1187-(F1187*I1187)</f>
        <v/>
      </c>
      <c r="M1187" s="64">
        <f>L1187/K1187</f>
        <v/>
      </c>
    </row>
    <row r="1188">
      <c r="A1188" s="58" t="inlineStr">
        <is>
          <t>RT20250130-01187</t>
        </is>
      </c>
      <c r="B1188" s="59" t="inlineStr">
        <is>
          <t>2025-01-30</t>
        </is>
      </c>
      <c r="C1188" s="60" t="inlineStr">
        <is>
          <t>Falcon Furniture Plus-839</t>
        </is>
      </c>
      <c r="D1188" s="58" t="inlineStr">
        <is>
          <t>Office</t>
        </is>
      </c>
      <c r="E1188" s="58" t="inlineStr">
        <is>
          <t>East</t>
        </is>
      </c>
      <c r="F1188" s="61" t="n">
        <v>1</v>
      </c>
      <c r="G1188" s="62" t="n">
        <v>286.33</v>
      </c>
      <c r="H1188" s="63" t="n">
        <v>0.041</v>
      </c>
      <c r="I1188" s="62" t="n">
        <v>231.8</v>
      </c>
      <c r="J1188" s="58" t="inlineStr">
        <is>
          <t>Online</t>
        </is>
      </c>
      <c r="K1188" s="62">
        <f>F1188*(G1188-H1188)</f>
        <v/>
      </c>
      <c r="L1188" s="62">
        <f>K1188-(F1188*I1188)</f>
        <v/>
      </c>
      <c r="M1188" s="64">
        <f>L1188/K1188</f>
        <v/>
      </c>
    </row>
    <row r="1189">
      <c r="A1189" s="58" t="inlineStr">
        <is>
          <t>RT20250130-01188</t>
        </is>
      </c>
      <c r="B1189" s="59" t="inlineStr">
        <is>
          <t>2025-01-30</t>
        </is>
      </c>
      <c r="C1189" s="60" t="inlineStr">
        <is>
          <t>Nimbus Cycling Plus-911</t>
        </is>
      </c>
      <c r="D1189" s="58" t="inlineStr">
        <is>
          <t>Sports</t>
        </is>
      </c>
      <c r="E1189" s="58" t="inlineStr">
        <is>
          <t>West</t>
        </is>
      </c>
      <c r="F1189" s="61" t="n">
        <v>3</v>
      </c>
      <c r="G1189" s="62" t="n">
        <v>600.0599999999999</v>
      </c>
      <c r="H1189" s="63" t="n">
        <v>0.023</v>
      </c>
      <c r="I1189" s="62" t="n">
        <v>395.09</v>
      </c>
      <c r="J1189" s="58" t="inlineStr">
        <is>
          <t>Store</t>
        </is>
      </c>
      <c r="K1189" s="62">
        <f>F1189*(G1189-H1189)</f>
        <v/>
      </c>
      <c r="L1189" s="62">
        <f>K1189-(F1189*I1189)</f>
        <v/>
      </c>
      <c r="M1189" s="64">
        <f>L1189/K1189</f>
        <v/>
      </c>
    </row>
    <row r="1190">
      <c r="A1190" s="58" t="inlineStr">
        <is>
          <t>RT20250130-01189</t>
        </is>
      </c>
      <c r="B1190" s="59" t="inlineStr">
        <is>
          <t>2025-01-30</t>
        </is>
      </c>
      <c r="C1190" s="60" t="inlineStr">
        <is>
          <t>Solace Headphone Pro-344</t>
        </is>
      </c>
      <c r="D1190" s="58" t="inlineStr">
        <is>
          <t>Electronics</t>
        </is>
      </c>
      <c r="E1190" s="58" t="inlineStr">
        <is>
          <t>West</t>
        </is>
      </c>
      <c r="F1190" s="61" t="n">
        <v>1</v>
      </c>
      <c r="G1190" s="62" t="n">
        <v>1217.88</v>
      </c>
      <c r="H1190" s="63" t="n">
        <v>0.034</v>
      </c>
      <c r="I1190" s="62" t="n">
        <v>1084.05</v>
      </c>
      <c r="J1190" s="58" t="inlineStr">
        <is>
          <t>Store</t>
        </is>
      </c>
      <c r="K1190" s="62">
        <f>F1190*(G1190-H1190)</f>
        <v/>
      </c>
      <c r="L1190" s="62">
        <f>K1190-(F1190*I1190)</f>
        <v/>
      </c>
      <c r="M1190" s="64">
        <f>L1190/K1190</f>
        <v/>
      </c>
    </row>
    <row r="1191">
      <c r="A1191" s="58" t="inlineStr">
        <is>
          <t>RT20250130-01190</t>
        </is>
      </c>
      <c r="B1191" s="59" t="inlineStr">
        <is>
          <t>2025-01-30</t>
        </is>
      </c>
      <c r="C1191" s="60" t="inlineStr">
        <is>
          <t>Falcon Household Plus-796</t>
        </is>
      </c>
      <c r="D1191" s="58" t="inlineStr">
        <is>
          <t>Grocery</t>
        </is>
      </c>
      <c r="E1191" s="58" t="inlineStr">
        <is>
          <t>North</t>
        </is>
      </c>
      <c r="F1191" s="61" t="n">
        <v>6</v>
      </c>
      <c r="G1191" s="62" t="n">
        <v>26.28</v>
      </c>
      <c r="H1191" s="63" t="n">
        <v>0.05</v>
      </c>
      <c r="I1191" s="62" t="n">
        <v>17.68</v>
      </c>
      <c r="J1191" s="58" t="inlineStr">
        <is>
          <t>Online</t>
        </is>
      </c>
      <c r="K1191" s="62">
        <f>F1191*(G1191-H1191)</f>
        <v/>
      </c>
      <c r="L1191" s="62">
        <f>K1191-(F1191*I1191)</f>
        <v/>
      </c>
      <c r="M1191" s="64">
        <f>L1191/K1191</f>
        <v/>
      </c>
    </row>
    <row r="1192">
      <c r="A1192" s="58" t="inlineStr">
        <is>
          <t>RT20250130-01191</t>
        </is>
      </c>
      <c r="B1192" s="59" t="inlineStr">
        <is>
          <t>2025-01-30</t>
        </is>
      </c>
      <c r="C1192" s="60" t="inlineStr">
        <is>
          <t>Nimbus Laptop Max-652</t>
        </is>
      </c>
      <c r="D1192" s="58" t="inlineStr">
        <is>
          <t>Electronics</t>
        </is>
      </c>
      <c r="E1192" s="58" t="inlineStr">
        <is>
          <t>North</t>
        </is>
      </c>
      <c r="F1192" s="61" t="n">
        <v>1</v>
      </c>
      <c r="G1192" s="62" t="n">
        <v>1329.43</v>
      </c>
      <c r="H1192" s="63" t="n">
        <v>0.077</v>
      </c>
      <c r="I1192" s="62" t="n">
        <v>1055.23</v>
      </c>
      <c r="J1192" s="58" t="inlineStr">
        <is>
          <t>Store</t>
        </is>
      </c>
      <c r="K1192" s="62">
        <f>F1192*(G1192-H1192)</f>
        <v/>
      </c>
      <c r="L1192" s="62">
        <f>K1192-(F1192*I1192)</f>
        <v/>
      </c>
      <c r="M1192" s="64">
        <f>L1192/K1192</f>
        <v/>
      </c>
    </row>
    <row r="1193">
      <c r="A1193" s="58" t="inlineStr">
        <is>
          <t>RT20250130-01192</t>
        </is>
      </c>
      <c r="B1193" s="59" t="inlineStr">
        <is>
          <t>2025-01-30</t>
        </is>
      </c>
      <c r="C1193" s="60" t="inlineStr">
        <is>
          <t>Polar Pantry Lite-392</t>
        </is>
      </c>
      <c r="D1193" s="58" t="inlineStr">
        <is>
          <t>Grocery</t>
        </is>
      </c>
      <c r="E1193" s="58" t="inlineStr">
        <is>
          <t>East</t>
        </is>
      </c>
      <c r="F1193" s="61" t="n">
        <v>2</v>
      </c>
      <c r="G1193" s="62" t="n">
        <v>6.83</v>
      </c>
      <c r="H1193" s="63" t="n">
        <v>0.019</v>
      </c>
      <c r="I1193" s="62" t="n">
        <v>4.55</v>
      </c>
      <c r="J1193" s="58" t="inlineStr">
        <is>
          <t>Phone</t>
        </is>
      </c>
      <c r="K1193" s="62">
        <f>F1193*(G1193-H1193)</f>
        <v/>
      </c>
      <c r="L1193" s="62">
        <f>K1193-(F1193*I1193)</f>
        <v/>
      </c>
      <c r="M1193" s="64">
        <f>L1193/K1193</f>
        <v/>
      </c>
    </row>
    <row r="1194">
      <c r="A1194" s="58" t="inlineStr">
        <is>
          <t>RT20250130-01193</t>
        </is>
      </c>
      <c r="B1194" s="59" t="inlineStr">
        <is>
          <t>2025-01-30</t>
        </is>
      </c>
      <c r="C1194" s="60" t="inlineStr">
        <is>
          <t>Aurora Bedding Max-175</t>
        </is>
      </c>
      <c r="D1194" s="58" t="inlineStr">
        <is>
          <t>Home</t>
        </is>
      </c>
      <c r="E1194" s="58" t="inlineStr">
        <is>
          <t>Central</t>
        </is>
      </c>
      <c r="F1194" s="61" t="n">
        <v>3</v>
      </c>
      <c r="G1194" s="62" t="n">
        <v>582.04</v>
      </c>
      <c r="H1194" s="63" t="n">
        <v>0.065</v>
      </c>
      <c r="I1194" s="62" t="n">
        <v>414.37</v>
      </c>
      <c r="J1194" s="58" t="inlineStr">
        <is>
          <t>Store</t>
        </is>
      </c>
      <c r="K1194" s="62">
        <f>F1194*(G1194-H1194)</f>
        <v/>
      </c>
      <c r="L1194" s="62">
        <f>K1194-(F1194*I1194)</f>
        <v/>
      </c>
      <c r="M1194" s="64">
        <f>L1194/K1194</f>
        <v/>
      </c>
    </row>
    <row r="1195">
      <c r="A1195" s="58" t="inlineStr">
        <is>
          <t>RT20250130-01194</t>
        </is>
      </c>
      <c r="B1195" s="59" t="inlineStr">
        <is>
          <t>2025-01-30</t>
        </is>
      </c>
      <c r="C1195" s="60" t="inlineStr">
        <is>
          <t>Aurora Team Sport Plus-256</t>
        </is>
      </c>
      <c r="D1195" s="58" t="inlineStr">
        <is>
          <t>Sports</t>
        </is>
      </c>
      <c r="E1195" s="58" t="inlineStr">
        <is>
          <t>North</t>
        </is>
      </c>
      <c r="F1195" s="61" t="n">
        <v>1</v>
      </c>
      <c r="G1195" s="62" t="n">
        <v>600.75</v>
      </c>
      <c r="H1195" s="63" t="n">
        <v>0.129</v>
      </c>
      <c r="I1195" s="62" t="n">
        <v>409.38</v>
      </c>
      <c r="J1195" s="58" t="inlineStr">
        <is>
          <t>Online</t>
        </is>
      </c>
      <c r="K1195" s="62">
        <f>F1195*(G1195-H1195)</f>
        <v/>
      </c>
      <c r="L1195" s="62">
        <f>K1195-(F1195*I1195)</f>
        <v/>
      </c>
      <c r="M1195" s="64">
        <f>L1195/K1195</f>
        <v/>
      </c>
    </row>
    <row r="1196">
      <c r="A1196" s="58" t="inlineStr">
        <is>
          <t>RT20250130-01195</t>
        </is>
      </c>
      <c r="B1196" s="59" t="inlineStr">
        <is>
          <t>2025-01-30</t>
        </is>
      </c>
      <c r="C1196" s="60" t="inlineStr">
        <is>
          <t>Vertex Appliance S-159</t>
        </is>
      </c>
      <c r="D1196" s="58" t="inlineStr">
        <is>
          <t>Home</t>
        </is>
      </c>
      <c r="E1196" s="58" t="inlineStr">
        <is>
          <t>East</t>
        </is>
      </c>
      <c r="F1196" s="61" t="n">
        <v>1</v>
      </c>
      <c r="G1196" s="62" t="n">
        <v>399.16</v>
      </c>
      <c r="H1196" s="63" t="n">
        <v>0.027</v>
      </c>
      <c r="I1196" s="62" t="n">
        <v>287.92</v>
      </c>
      <c r="J1196" s="58" t="inlineStr">
        <is>
          <t>Store</t>
        </is>
      </c>
      <c r="K1196" s="62">
        <f>F1196*(G1196-H1196)</f>
        <v/>
      </c>
      <c r="L1196" s="62">
        <f>K1196-(F1196*I1196)</f>
        <v/>
      </c>
      <c r="M1196" s="64">
        <f>L1196/K1196</f>
        <v/>
      </c>
    </row>
    <row r="1197">
      <c r="A1197" s="58" t="inlineStr">
        <is>
          <t>RT20250130-01196</t>
        </is>
      </c>
      <c r="B1197" s="59" t="inlineStr">
        <is>
          <t>2025-01-30</t>
        </is>
      </c>
      <c r="C1197" s="60" t="inlineStr">
        <is>
          <t>Aurora Makeup S-626</t>
        </is>
      </c>
      <c r="D1197" s="58" t="inlineStr">
        <is>
          <t>Beauty</t>
        </is>
      </c>
      <c r="E1197" s="58" t="inlineStr">
        <is>
          <t>East</t>
        </is>
      </c>
      <c r="F1197" s="61" t="n">
        <v>5</v>
      </c>
      <c r="G1197" s="62" t="n">
        <v>103.91</v>
      </c>
      <c r="H1197" s="63" t="n">
        <v>0.005</v>
      </c>
      <c r="I1197" s="62" t="n">
        <v>65.54000000000001</v>
      </c>
      <c r="J1197" s="58" t="inlineStr">
        <is>
          <t>Store</t>
        </is>
      </c>
      <c r="K1197" s="62">
        <f>F1197*(G1197-H1197)</f>
        <v/>
      </c>
      <c r="L1197" s="62">
        <f>K1197-(F1197*I1197)</f>
        <v/>
      </c>
      <c r="M1197" s="64">
        <f>L1197/K1197</f>
        <v/>
      </c>
    </row>
    <row r="1198">
      <c r="A1198" s="58" t="inlineStr">
        <is>
          <t>RT20250130-01197</t>
        </is>
      </c>
      <c r="B1198" s="59" t="inlineStr">
        <is>
          <t>2025-01-30</t>
        </is>
      </c>
      <c r="C1198" s="60" t="inlineStr">
        <is>
          <t>Orion Snack X-322</t>
        </is>
      </c>
      <c r="D1198" s="58" t="inlineStr">
        <is>
          <t>Grocery</t>
        </is>
      </c>
      <c r="E1198" s="58" t="inlineStr">
        <is>
          <t>North</t>
        </is>
      </c>
      <c r="F1198" s="61" t="n">
        <v>8</v>
      </c>
      <c r="G1198" s="62" t="n">
        <v>13.25</v>
      </c>
      <c r="H1198" s="63" t="n">
        <v>0.066</v>
      </c>
      <c r="I1198" s="62" t="n">
        <v>10.37</v>
      </c>
      <c r="J1198" s="58" t="inlineStr">
        <is>
          <t>Online</t>
        </is>
      </c>
      <c r="K1198" s="62">
        <f>F1198*(G1198-H1198)</f>
        <v/>
      </c>
      <c r="L1198" s="62">
        <f>K1198-(F1198*I1198)</f>
        <v/>
      </c>
      <c r="M1198" s="64">
        <f>L1198/K1198</f>
        <v/>
      </c>
    </row>
    <row r="1199">
      <c r="A1199" s="58" t="inlineStr">
        <is>
          <t>RT20250131-01198</t>
        </is>
      </c>
      <c r="B1199" s="59" t="inlineStr">
        <is>
          <t>2025-01-31</t>
        </is>
      </c>
      <c r="C1199" s="60" t="inlineStr">
        <is>
          <t>Aurora Household Plus-146</t>
        </is>
      </c>
      <c r="D1199" s="58" t="inlineStr">
        <is>
          <t>Grocery</t>
        </is>
      </c>
      <c r="E1199" s="58" t="inlineStr">
        <is>
          <t>East</t>
        </is>
      </c>
      <c r="F1199" s="61" t="n">
        <v>2</v>
      </c>
      <c r="G1199" s="62" t="n">
        <v>6.09</v>
      </c>
      <c r="H1199" s="63" t="n">
        <v>0.055</v>
      </c>
      <c r="I1199" s="62" t="n">
        <v>4.5</v>
      </c>
      <c r="J1199" s="58" t="inlineStr">
        <is>
          <t>Online</t>
        </is>
      </c>
      <c r="K1199" s="62">
        <f>F1199*(G1199-H1199)</f>
        <v/>
      </c>
      <c r="L1199" s="62">
        <f>K1199-(F1199*I1199)</f>
        <v/>
      </c>
      <c r="M1199" s="64">
        <f>L1199/K1199</f>
        <v/>
      </c>
    </row>
    <row r="1200">
      <c r="A1200" s="58" t="inlineStr">
        <is>
          <t>RT20250131-01199</t>
        </is>
      </c>
      <c r="B1200" s="59" t="inlineStr">
        <is>
          <t>2025-01-31</t>
        </is>
      </c>
      <c r="C1200" s="60" t="inlineStr">
        <is>
          <t>Metro Fragrance Lite-261</t>
        </is>
      </c>
      <c r="D1200" s="58" t="inlineStr">
        <is>
          <t>Beauty</t>
        </is>
      </c>
      <c r="E1200" s="58" t="inlineStr">
        <is>
          <t>North</t>
        </is>
      </c>
      <c r="F1200" s="61" t="n">
        <v>5</v>
      </c>
      <c r="G1200" s="62" t="n">
        <v>87.84</v>
      </c>
      <c r="H1200" s="63" t="n">
        <v>0.063</v>
      </c>
      <c r="I1200" s="62" t="n">
        <v>54.91</v>
      </c>
      <c r="J1200" s="58" t="inlineStr">
        <is>
          <t>Store</t>
        </is>
      </c>
      <c r="K1200" s="62">
        <f>F1200*(G1200-H1200)</f>
        <v/>
      </c>
      <c r="L1200" s="62">
        <f>K1200-(F1200*I1200)</f>
        <v/>
      </c>
      <c r="M1200" s="64">
        <f>L1200/K1200</f>
        <v/>
      </c>
    </row>
    <row r="1201">
      <c r="A1201" s="58" t="inlineStr">
        <is>
          <t>RT20250131-01200</t>
        </is>
      </c>
      <c r="B1201" s="59" t="inlineStr">
        <is>
          <t>2025-01-31</t>
        </is>
      </c>
      <c r="C1201" s="60" t="inlineStr">
        <is>
          <t>Vertex Fitnes Pro-830</t>
        </is>
      </c>
      <c r="D1201" s="58" t="inlineStr">
        <is>
          <t>Sports</t>
        </is>
      </c>
      <c r="E1201" s="58" t="inlineStr">
        <is>
          <t>East</t>
        </is>
      </c>
      <c r="F1201" s="61" t="n">
        <v>3</v>
      </c>
      <c r="G1201" s="62" t="n">
        <v>704.45</v>
      </c>
      <c r="H1201" s="63" t="n">
        <v>0.045</v>
      </c>
      <c r="I1201" s="62" t="n">
        <v>472.78</v>
      </c>
      <c r="J1201" s="58" t="inlineStr">
        <is>
          <t>Online</t>
        </is>
      </c>
      <c r="K1201" s="62">
        <f>F1201*(G1201-H1201)</f>
        <v/>
      </c>
      <c r="L1201" s="62">
        <f>K1201-(F1201*I1201)</f>
        <v/>
      </c>
      <c r="M1201" s="64">
        <f>L1201/K1201</f>
        <v/>
      </c>
    </row>
    <row r="1202">
      <c r="A1202" s="58" t="inlineStr">
        <is>
          <t>RT20250131-01201</t>
        </is>
      </c>
      <c r="B1202" s="59" t="inlineStr">
        <is>
          <t>2025-01-31</t>
        </is>
      </c>
      <c r="C1202" s="60" t="inlineStr">
        <is>
          <t>Orion Kid Max-640</t>
        </is>
      </c>
      <c r="D1202" s="58" t="inlineStr">
        <is>
          <t>Apparel</t>
        </is>
      </c>
      <c r="E1202" s="58" t="inlineStr">
        <is>
          <t>West</t>
        </is>
      </c>
      <c r="F1202" s="61" t="n">
        <v>2</v>
      </c>
      <c r="G1202" s="62" t="n">
        <v>122.29</v>
      </c>
      <c r="H1202" s="63" t="n">
        <v>0.08</v>
      </c>
      <c r="I1202" s="62" t="n">
        <v>72.29000000000001</v>
      </c>
      <c r="J1202" s="58" t="inlineStr">
        <is>
          <t>Online</t>
        </is>
      </c>
      <c r="K1202" s="62">
        <f>F1202*(G1202-H1202)</f>
        <v/>
      </c>
      <c r="L1202" s="62">
        <f>K1202-(F1202*I1202)</f>
        <v/>
      </c>
      <c r="M1202" s="64">
        <f>L1202/K1202</f>
        <v/>
      </c>
    </row>
    <row r="1203">
      <c r="A1203" s="58" t="inlineStr">
        <is>
          <t>RT20250131-01202</t>
        </is>
      </c>
      <c r="B1203" s="59" t="inlineStr">
        <is>
          <t>2025-01-31</t>
        </is>
      </c>
      <c r="C1203" s="60" t="inlineStr">
        <is>
          <t>Metro Laptop Plus-376</t>
        </is>
      </c>
      <c r="D1203" s="58" t="inlineStr">
        <is>
          <t>Electronics</t>
        </is>
      </c>
      <c r="E1203" s="58" t="inlineStr">
        <is>
          <t>Central</t>
        </is>
      </c>
      <c r="F1203" s="61" t="n">
        <v>1</v>
      </c>
      <c r="G1203" s="62" t="n">
        <v>1249.76</v>
      </c>
      <c r="H1203" s="63" t="n">
        <v>0.025</v>
      </c>
      <c r="I1203" s="62" t="n">
        <v>1062.27</v>
      </c>
      <c r="J1203" s="58" t="inlineStr">
        <is>
          <t>Online</t>
        </is>
      </c>
      <c r="K1203" s="62">
        <f>F1203*(G1203-H1203)</f>
        <v/>
      </c>
      <c r="L1203" s="62">
        <f>K1203-(F1203*I1203)</f>
        <v/>
      </c>
      <c r="M1203" s="64">
        <f>L1203/K1203</f>
        <v/>
      </c>
    </row>
    <row r="1204">
      <c r="A1204" s="58" t="inlineStr">
        <is>
          <t>RT20250131-01203</t>
        </is>
      </c>
      <c r="B1204" s="59" t="inlineStr">
        <is>
          <t>2025-01-31</t>
        </is>
      </c>
      <c r="C1204" s="60" t="inlineStr">
        <is>
          <t>Nimbus Cycling Plus-911</t>
        </is>
      </c>
      <c r="D1204" s="58" t="inlineStr">
        <is>
          <t>Sports</t>
        </is>
      </c>
      <c r="E1204" s="58" t="inlineStr">
        <is>
          <t>East</t>
        </is>
      </c>
      <c r="F1204" s="61" t="n">
        <v>3</v>
      </c>
      <c r="G1204" s="62" t="n">
        <v>663.37</v>
      </c>
      <c r="H1204" s="63" t="n">
        <v>0.043</v>
      </c>
      <c r="I1204" s="62" t="n">
        <v>405.65</v>
      </c>
      <c r="J1204" s="58" t="inlineStr">
        <is>
          <t>Online</t>
        </is>
      </c>
      <c r="K1204" s="62">
        <f>F1204*(G1204-H1204)</f>
        <v/>
      </c>
      <c r="L1204" s="62">
        <f>K1204-(F1204*I1204)</f>
        <v/>
      </c>
      <c r="M1204" s="64">
        <f>L1204/K1204</f>
        <v/>
      </c>
    </row>
    <row r="1205">
      <c r="A1205" s="58" t="inlineStr">
        <is>
          <t>RT20250131-01204</t>
        </is>
      </c>
      <c r="B1205" s="59" t="inlineStr">
        <is>
          <t>2025-01-31</t>
        </is>
      </c>
      <c r="C1205" s="60" t="inlineStr">
        <is>
          <t>Solace Fitnes S-324</t>
        </is>
      </c>
      <c r="D1205" s="58" t="inlineStr">
        <is>
          <t>Sports</t>
        </is>
      </c>
      <c r="E1205" s="58" t="inlineStr">
        <is>
          <t>Central</t>
        </is>
      </c>
      <c r="F1205" s="61" t="n">
        <v>3</v>
      </c>
      <c r="G1205" s="62" t="n">
        <v>861.74</v>
      </c>
      <c r="H1205" s="63" t="n">
        <v>0.082</v>
      </c>
      <c r="I1205" s="62" t="n">
        <v>527.6</v>
      </c>
      <c r="J1205" s="58" t="inlineStr">
        <is>
          <t>Store</t>
        </is>
      </c>
      <c r="K1205" s="62">
        <f>F1205*(G1205-H1205)</f>
        <v/>
      </c>
      <c r="L1205" s="62">
        <f>K1205-(F1205*I1205)</f>
        <v/>
      </c>
      <c r="M1205" s="64">
        <f>L1205/K1205</f>
        <v/>
      </c>
    </row>
    <row r="1206">
      <c r="A1206" s="58" t="inlineStr">
        <is>
          <t>RT20250131-01205</t>
        </is>
      </c>
      <c r="B1206" s="59" t="inlineStr">
        <is>
          <t>2025-01-31</t>
        </is>
      </c>
      <c r="C1206" s="60" t="inlineStr">
        <is>
          <t>Vertex Supplie X-513</t>
        </is>
      </c>
      <c r="D1206" s="58" t="inlineStr">
        <is>
          <t>Office</t>
        </is>
      </c>
      <c r="E1206" s="58" t="inlineStr">
        <is>
          <t>East</t>
        </is>
      </c>
      <c r="F1206" s="61" t="n">
        <v>1</v>
      </c>
      <c r="G1206" s="62" t="n">
        <v>389.03</v>
      </c>
      <c r="H1206" s="63" t="n">
        <v>0.113</v>
      </c>
      <c r="I1206" s="62" t="n">
        <v>275.48</v>
      </c>
      <c r="J1206" s="58" t="inlineStr">
        <is>
          <t>Online</t>
        </is>
      </c>
      <c r="K1206" s="62">
        <f>F1206*(G1206-H1206)</f>
        <v/>
      </c>
      <c r="L1206" s="62">
        <f>K1206-(F1206*I1206)</f>
        <v/>
      </c>
      <c r="M1206" s="64">
        <f>L1206/K1206</f>
        <v/>
      </c>
    </row>
    <row r="1207">
      <c r="A1207" s="58" t="inlineStr">
        <is>
          <t>RT20250131-01206</t>
        </is>
      </c>
      <c r="B1207" s="59" t="inlineStr">
        <is>
          <t>2025-01-31</t>
        </is>
      </c>
      <c r="C1207" s="60" t="inlineStr">
        <is>
          <t>Aurora Team Sport Plus-256</t>
        </is>
      </c>
      <c r="D1207" s="58" t="inlineStr">
        <is>
          <t>Sports</t>
        </is>
      </c>
      <c r="E1207" s="58" t="inlineStr">
        <is>
          <t>East</t>
        </is>
      </c>
      <c r="F1207" s="61" t="n">
        <v>3</v>
      </c>
      <c r="G1207" s="62" t="n">
        <v>626.95</v>
      </c>
      <c r="H1207" s="63" t="n">
        <v>0.101</v>
      </c>
      <c r="I1207" s="62" t="n">
        <v>429.82</v>
      </c>
      <c r="J1207" s="58" t="inlineStr">
        <is>
          <t>Store</t>
        </is>
      </c>
      <c r="K1207" s="62">
        <f>F1207*(G1207-H1207)</f>
        <v/>
      </c>
      <c r="L1207" s="62">
        <f>K1207-(F1207*I1207)</f>
        <v/>
      </c>
      <c r="M1207" s="64">
        <f>L1207/K1207</f>
        <v/>
      </c>
    </row>
    <row r="1208">
      <c r="A1208" s="58" t="inlineStr">
        <is>
          <t>RT20250131-01207</t>
        </is>
      </c>
      <c r="B1208" s="59" t="inlineStr">
        <is>
          <t>2025-01-31</t>
        </is>
      </c>
      <c r="C1208" s="60" t="inlineStr">
        <is>
          <t>Metro Outdoor Plus-787</t>
        </is>
      </c>
      <c r="D1208" s="58" t="inlineStr">
        <is>
          <t>Sports</t>
        </is>
      </c>
      <c r="E1208" s="58" t="inlineStr">
        <is>
          <t>East</t>
        </is>
      </c>
      <c r="F1208" s="61" t="n">
        <v>2</v>
      </c>
      <c r="G1208" s="62" t="n">
        <v>470.68</v>
      </c>
      <c r="H1208" s="63" t="n">
        <v>0.064</v>
      </c>
      <c r="I1208" s="62" t="n">
        <v>352.16</v>
      </c>
      <c r="J1208" s="58" t="inlineStr">
        <is>
          <t>Online</t>
        </is>
      </c>
      <c r="K1208" s="62">
        <f>F1208*(G1208-H1208)</f>
        <v/>
      </c>
      <c r="L1208" s="62">
        <f>K1208-(F1208*I1208)</f>
        <v/>
      </c>
      <c r="M1208" s="64">
        <f>L1208/K1208</f>
        <v/>
      </c>
    </row>
    <row r="1209">
      <c r="A1209" s="58" t="inlineStr">
        <is>
          <t>RT20250131-01208</t>
        </is>
      </c>
      <c r="B1209" s="59" t="inlineStr">
        <is>
          <t>2025-01-31</t>
        </is>
      </c>
      <c r="C1209" s="60" t="inlineStr">
        <is>
          <t>Polar Fragrance Pro-750</t>
        </is>
      </c>
      <c r="D1209" s="58" t="inlineStr">
        <is>
          <t>Beauty</t>
        </is>
      </c>
      <c r="E1209" s="58" t="inlineStr">
        <is>
          <t>West</t>
        </is>
      </c>
      <c r="F1209" s="61" t="n">
        <v>5</v>
      </c>
      <c r="G1209" s="62" t="n">
        <v>59.37</v>
      </c>
      <c r="H1209" s="63" t="n">
        <v>0.026</v>
      </c>
      <c r="I1209" s="62" t="n">
        <v>35.98</v>
      </c>
      <c r="J1209" s="58" t="inlineStr">
        <is>
          <t>Online</t>
        </is>
      </c>
      <c r="K1209" s="62">
        <f>F1209*(G1209-H1209)</f>
        <v/>
      </c>
      <c r="L1209" s="62">
        <f>K1209-(F1209*I1209)</f>
        <v/>
      </c>
      <c r="M1209" s="64">
        <f>L1209/K1209</f>
        <v/>
      </c>
    </row>
    <row r="1210">
      <c r="A1210" s="58" t="inlineStr">
        <is>
          <t>RT20250131-01209</t>
        </is>
      </c>
      <c r="B1210" s="59" t="inlineStr">
        <is>
          <t>2025-01-31</t>
        </is>
      </c>
      <c r="C1210" s="60" t="inlineStr">
        <is>
          <t>Falcon Household Plus-172</t>
        </is>
      </c>
      <c r="D1210" s="58" t="inlineStr">
        <is>
          <t>Grocery</t>
        </is>
      </c>
      <c r="E1210" s="58" t="inlineStr">
        <is>
          <t>South</t>
        </is>
      </c>
      <c r="F1210" s="61" t="n">
        <v>1</v>
      </c>
      <c r="G1210" s="62" t="n">
        <v>19.87</v>
      </c>
      <c r="H1210" s="63" t="n">
        <v>0.031</v>
      </c>
      <c r="I1210" s="62" t="n">
        <v>15.84</v>
      </c>
      <c r="J1210" s="58" t="inlineStr">
        <is>
          <t>Store</t>
        </is>
      </c>
      <c r="K1210" s="62">
        <f>F1210*(G1210-H1210)</f>
        <v/>
      </c>
      <c r="L1210" s="62">
        <f>K1210-(F1210*I1210)</f>
        <v/>
      </c>
      <c r="M1210" s="64">
        <f>L1210/K1210</f>
        <v/>
      </c>
    </row>
    <row r="1211">
      <c r="A1211" s="58" t="inlineStr">
        <is>
          <t>RT20250131-01210</t>
        </is>
      </c>
      <c r="B1211" s="59" t="inlineStr">
        <is>
          <t>2025-01-31</t>
        </is>
      </c>
      <c r="C1211" s="60" t="inlineStr">
        <is>
          <t>Orion Beverage Plus-949</t>
        </is>
      </c>
      <c r="D1211" s="58" t="inlineStr">
        <is>
          <t>Grocery</t>
        </is>
      </c>
      <c r="E1211" s="58" t="inlineStr">
        <is>
          <t>Central</t>
        </is>
      </c>
      <c r="F1211" s="61" t="n">
        <v>5</v>
      </c>
      <c r="G1211" s="62" t="n">
        <v>19.76</v>
      </c>
      <c r="H1211" s="63" t="n">
        <v>0.051</v>
      </c>
      <c r="I1211" s="62" t="n">
        <v>13.45</v>
      </c>
      <c r="J1211" s="58" t="inlineStr">
        <is>
          <t>Store</t>
        </is>
      </c>
      <c r="K1211" s="62">
        <f>F1211*(G1211-H1211)</f>
        <v/>
      </c>
      <c r="L1211" s="62">
        <f>K1211-(F1211*I1211)</f>
        <v/>
      </c>
      <c r="M1211" s="64">
        <f>L1211/K1211</f>
        <v/>
      </c>
    </row>
    <row r="1212">
      <c r="A1212" s="58" t="inlineStr">
        <is>
          <t>RT20250131-01211</t>
        </is>
      </c>
      <c r="B1212" s="59" t="inlineStr">
        <is>
          <t>2025-01-31</t>
        </is>
      </c>
      <c r="C1212" s="60" t="inlineStr">
        <is>
          <t>Falcon Furniture Plus-839</t>
        </is>
      </c>
      <c r="D1212" s="58" t="inlineStr">
        <is>
          <t>Office</t>
        </is>
      </c>
      <c r="E1212" s="58" t="inlineStr">
        <is>
          <t>North</t>
        </is>
      </c>
      <c r="F1212" s="61" t="n">
        <v>3</v>
      </c>
      <c r="G1212" s="62" t="n">
        <v>316.78</v>
      </c>
      <c r="H1212" s="63" t="n">
        <v>0</v>
      </c>
      <c r="I1212" s="62" t="n">
        <v>232.39</v>
      </c>
      <c r="J1212" s="58" t="inlineStr">
        <is>
          <t>Online</t>
        </is>
      </c>
      <c r="K1212" s="62">
        <f>F1212*(G1212-H1212)</f>
        <v/>
      </c>
      <c r="L1212" s="62">
        <f>K1212-(F1212*I1212)</f>
        <v/>
      </c>
      <c r="M1212" s="64">
        <f>L1212/K1212</f>
        <v/>
      </c>
    </row>
    <row r="1213">
      <c r="A1213" s="58" t="inlineStr">
        <is>
          <t>RT20250131-01212</t>
        </is>
      </c>
      <c r="B1213" s="59" t="inlineStr">
        <is>
          <t>2025-01-31</t>
        </is>
      </c>
      <c r="C1213" s="60" t="inlineStr">
        <is>
          <t>Metro Laptop Plus-376</t>
        </is>
      </c>
      <c r="D1213" s="58" t="inlineStr">
        <is>
          <t>Electronics</t>
        </is>
      </c>
      <c r="E1213" s="58" t="inlineStr">
        <is>
          <t>West</t>
        </is>
      </c>
      <c r="F1213" s="61" t="n">
        <v>2</v>
      </c>
      <c r="G1213" s="62" t="n">
        <v>1250.78</v>
      </c>
      <c r="H1213" s="63" t="n">
        <v>0.078</v>
      </c>
      <c r="I1213" s="62" t="n">
        <v>1035.61</v>
      </c>
      <c r="J1213" s="58" t="inlineStr">
        <is>
          <t>Online</t>
        </is>
      </c>
      <c r="K1213" s="62">
        <f>F1213*(G1213-H1213)</f>
        <v/>
      </c>
      <c r="L1213" s="62">
        <f>K1213-(F1213*I1213)</f>
        <v/>
      </c>
      <c r="M1213" s="64">
        <f>L1213/K1213</f>
        <v/>
      </c>
    </row>
    <row r="1214">
      <c r="A1214" s="58" t="inlineStr">
        <is>
          <t>RT20250131-01213</t>
        </is>
      </c>
      <c r="B1214" s="59" t="inlineStr">
        <is>
          <t>2025-01-31</t>
        </is>
      </c>
      <c r="C1214" s="60" t="inlineStr">
        <is>
          <t>Vertex Snack S-702</t>
        </is>
      </c>
      <c r="D1214" s="58" t="inlineStr">
        <is>
          <t>Grocery</t>
        </is>
      </c>
      <c r="E1214" s="58" t="inlineStr">
        <is>
          <t>North</t>
        </is>
      </c>
      <c r="F1214" s="61" t="n">
        <v>7</v>
      </c>
      <c r="G1214" s="62" t="n">
        <v>1.84</v>
      </c>
      <c r="H1214" s="63" t="n">
        <v>0.065</v>
      </c>
      <c r="I1214" s="62" t="n">
        <v>1.49</v>
      </c>
      <c r="J1214" s="58" t="inlineStr">
        <is>
          <t>Online</t>
        </is>
      </c>
      <c r="K1214" s="62">
        <f>F1214*(G1214-H1214)</f>
        <v/>
      </c>
      <c r="L1214" s="62">
        <f>K1214-(F1214*I1214)</f>
        <v/>
      </c>
      <c r="M1214" s="64">
        <f>L1214/K1214</f>
        <v/>
      </c>
    </row>
    <row r="1215">
      <c r="A1215" s="58" t="inlineStr">
        <is>
          <t>RT20250131-01214</t>
        </is>
      </c>
      <c r="B1215" s="59" t="inlineStr">
        <is>
          <t>2025-01-31</t>
        </is>
      </c>
      <c r="C1215" s="60" t="inlineStr">
        <is>
          <t>Metro Printer X-294</t>
        </is>
      </c>
      <c r="D1215" s="58" t="inlineStr">
        <is>
          <t>Office</t>
        </is>
      </c>
      <c r="E1215" s="58" t="inlineStr">
        <is>
          <t>East</t>
        </is>
      </c>
      <c r="F1215" s="61" t="n">
        <v>2</v>
      </c>
      <c r="G1215" s="62" t="n">
        <v>587.46</v>
      </c>
      <c r="H1215" s="63" t="n">
        <v>0.06</v>
      </c>
      <c r="I1215" s="62" t="n">
        <v>405.35</v>
      </c>
      <c r="J1215" s="58" t="inlineStr">
        <is>
          <t>Online</t>
        </is>
      </c>
      <c r="K1215" s="62">
        <f>F1215*(G1215-H1215)</f>
        <v/>
      </c>
      <c r="L1215" s="62">
        <f>K1215-(F1215*I1215)</f>
        <v/>
      </c>
      <c r="M1215" s="64">
        <f>L1215/K1215</f>
        <v/>
      </c>
    </row>
    <row r="1216">
      <c r="A1216" s="58" t="inlineStr">
        <is>
          <t>RT20250131-01215</t>
        </is>
      </c>
      <c r="B1216" s="59" t="inlineStr">
        <is>
          <t>2025-01-31</t>
        </is>
      </c>
      <c r="C1216" s="60" t="inlineStr">
        <is>
          <t>Metro Printer X-294</t>
        </is>
      </c>
      <c r="D1216" s="58" t="inlineStr">
        <is>
          <t>Office</t>
        </is>
      </c>
      <c r="E1216" s="58" t="inlineStr">
        <is>
          <t>Central</t>
        </is>
      </c>
      <c r="F1216" s="61" t="n">
        <v>1</v>
      </c>
      <c r="G1216" s="62" t="n">
        <v>585.3</v>
      </c>
      <c r="H1216" s="63" t="n">
        <v>0.033</v>
      </c>
      <c r="I1216" s="62" t="n">
        <v>403.15</v>
      </c>
      <c r="J1216" s="58" t="inlineStr">
        <is>
          <t>Store</t>
        </is>
      </c>
      <c r="K1216" s="62">
        <f>F1216*(G1216-H1216)</f>
        <v/>
      </c>
      <c r="L1216" s="62">
        <f>K1216-(F1216*I1216)</f>
        <v/>
      </c>
      <c r="M1216" s="64">
        <f>L1216/K1216</f>
        <v/>
      </c>
    </row>
    <row r="1217">
      <c r="A1217" s="58" t="inlineStr">
        <is>
          <t>RT20250131-01216</t>
        </is>
      </c>
      <c r="B1217" s="59" t="inlineStr">
        <is>
          <t>2025-01-31</t>
        </is>
      </c>
      <c r="C1217" s="60" t="inlineStr">
        <is>
          <t>Vertex Supplie Pro-786</t>
        </is>
      </c>
      <c r="D1217" s="58" t="inlineStr">
        <is>
          <t>Office</t>
        </is>
      </c>
      <c r="E1217" s="58" t="inlineStr">
        <is>
          <t>East</t>
        </is>
      </c>
      <c r="F1217" s="61" t="n">
        <v>1</v>
      </c>
      <c r="G1217" s="62" t="n">
        <v>445.95</v>
      </c>
      <c r="H1217" s="63" t="n">
        <v>0.038</v>
      </c>
      <c r="I1217" s="62" t="n">
        <v>293.5</v>
      </c>
      <c r="J1217" s="58" t="inlineStr">
        <is>
          <t>Store</t>
        </is>
      </c>
      <c r="K1217" s="62">
        <f>F1217*(G1217-H1217)</f>
        <v/>
      </c>
      <c r="L1217" s="62">
        <f>K1217-(F1217*I1217)</f>
        <v/>
      </c>
      <c r="M1217" s="64">
        <f>L1217/K1217</f>
        <v/>
      </c>
    </row>
    <row r="1218">
      <c r="A1218" s="58" t="inlineStr">
        <is>
          <t>RT20250131-01217</t>
        </is>
      </c>
      <c r="B1218" s="59" t="inlineStr">
        <is>
          <t>2025-01-31</t>
        </is>
      </c>
      <c r="C1218" s="60" t="inlineStr">
        <is>
          <t>Falcon Kitchen X-130</t>
        </is>
      </c>
      <c r="D1218" s="58" t="inlineStr">
        <is>
          <t>Home</t>
        </is>
      </c>
      <c r="E1218" s="58" t="inlineStr">
        <is>
          <t>South</t>
        </is>
      </c>
      <c r="F1218" s="61" t="n">
        <v>2</v>
      </c>
      <c r="G1218" s="62" t="n">
        <v>425.54</v>
      </c>
      <c r="H1218" s="63" t="n">
        <v>0.04</v>
      </c>
      <c r="I1218" s="62" t="n">
        <v>285.14</v>
      </c>
      <c r="J1218" s="58" t="inlineStr">
        <is>
          <t>Phone</t>
        </is>
      </c>
      <c r="K1218" s="62">
        <f>F1218*(G1218-H1218)</f>
        <v/>
      </c>
      <c r="L1218" s="62">
        <f>K1218-(F1218*I1218)</f>
        <v/>
      </c>
      <c r="M1218" s="64">
        <f>L1218/K1218</f>
        <v/>
      </c>
    </row>
    <row r="1219">
      <c r="A1219" s="58" t="inlineStr">
        <is>
          <t>RT20250131-01218</t>
        </is>
      </c>
      <c r="B1219" s="59" t="inlineStr">
        <is>
          <t>2025-01-31</t>
        </is>
      </c>
      <c r="C1219" s="60" t="inlineStr">
        <is>
          <t>Orion Kitchen Pro-568</t>
        </is>
      </c>
      <c r="D1219" s="58" t="inlineStr">
        <is>
          <t>Home</t>
        </is>
      </c>
      <c r="E1219" s="58" t="inlineStr">
        <is>
          <t>East</t>
        </is>
      </c>
      <c r="F1219" s="61" t="n">
        <v>2</v>
      </c>
      <c r="G1219" s="62" t="n">
        <v>443.76</v>
      </c>
      <c r="H1219" s="63" t="n">
        <v>0.068</v>
      </c>
      <c r="I1219" s="62" t="n">
        <v>306.47</v>
      </c>
      <c r="J1219" s="58" t="inlineStr">
        <is>
          <t>Online</t>
        </is>
      </c>
      <c r="K1219" s="62">
        <f>F1219*(G1219-H1219)</f>
        <v/>
      </c>
      <c r="L1219" s="62">
        <f>K1219-(F1219*I1219)</f>
        <v/>
      </c>
      <c r="M1219" s="64">
        <f>L1219/K1219</f>
        <v/>
      </c>
    </row>
    <row r="1220">
      <c r="A1220" s="58" t="inlineStr">
        <is>
          <t>RT20250131-01219</t>
        </is>
      </c>
      <c r="B1220" s="59" t="inlineStr">
        <is>
          <t>2025-01-31</t>
        </is>
      </c>
      <c r="C1220" s="60" t="inlineStr">
        <is>
          <t>Falcon Household Plus-796</t>
        </is>
      </c>
      <c r="D1220" s="58" t="inlineStr">
        <is>
          <t>Grocery</t>
        </is>
      </c>
      <c r="E1220" s="58" t="inlineStr">
        <is>
          <t>West</t>
        </is>
      </c>
      <c r="F1220" s="61" t="n">
        <v>1</v>
      </c>
      <c r="G1220" s="62" t="n">
        <v>24.89</v>
      </c>
      <c r="H1220" s="63" t="n">
        <v>0.048</v>
      </c>
      <c r="I1220" s="62" t="n">
        <v>17.08</v>
      </c>
      <c r="J1220" s="58" t="inlineStr">
        <is>
          <t>Store</t>
        </is>
      </c>
      <c r="K1220" s="62">
        <f>F1220*(G1220-H1220)</f>
        <v/>
      </c>
      <c r="L1220" s="62">
        <f>K1220-(F1220*I1220)</f>
        <v/>
      </c>
      <c r="M1220" s="64">
        <f>L1220/K1220</f>
        <v/>
      </c>
    </row>
    <row r="1221">
      <c r="A1221" s="58" t="inlineStr">
        <is>
          <t>RT20250131-01220</t>
        </is>
      </c>
      <c r="B1221" s="59" t="inlineStr">
        <is>
          <t>2025-01-31</t>
        </is>
      </c>
      <c r="C1221" s="60" t="inlineStr">
        <is>
          <t>Orion Haircare Plus-887</t>
        </is>
      </c>
      <c r="D1221" s="58" t="inlineStr">
        <is>
          <t>Beauty</t>
        </is>
      </c>
      <c r="E1221" s="58" t="inlineStr">
        <is>
          <t>West</t>
        </is>
      </c>
      <c r="F1221" s="61" t="n">
        <v>2</v>
      </c>
      <c r="G1221" s="62" t="n">
        <v>47.18</v>
      </c>
      <c r="H1221" s="63" t="n">
        <v>0.079</v>
      </c>
      <c r="I1221" s="62" t="n">
        <v>30.94</v>
      </c>
      <c r="J1221" s="58" t="inlineStr">
        <is>
          <t>Online</t>
        </is>
      </c>
      <c r="K1221" s="62">
        <f>F1221*(G1221-H1221)</f>
        <v/>
      </c>
      <c r="L1221" s="62">
        <f>K1221-(F1221*I1221)</f>
        <v/>
      </c>
      <c r="M1221" s="64">
        <f>L1221/K1221</f>
        <v/>
      </c>
    </row>
    <row r="1222">
      <c r="A1222" s="58" t="inlineStr">
        <is>
          <t>RT20250131-01221</t>
        </is>
      </c>
      <c r="B1222" s="59" t="inlineStr">
        <is>
          <t>2025-01-31</t>
        </is>
      </c>
      <c r="C1222" s="60" t="inlineStr">
        <is>
          <t>Falcon Beverage Max-702</t>
        </is>
      </c>
      <c r="D1222" s="58" t="inlineStr">
        <is>
          <t>Grocery</t>
        </is>
      </c>
      <c r="E1222" s="58" t="inlineStr">
        <is>
          <t>East</t>
        </is>
      </c>
      <c r="F1222" s="61" t="n">
        <v>1</v>
      </c>
      <c r="G1222" s="62" t="n">
        <v>29.66</v>
      </c>
      <c r="H1222" s="63" t="n">
        <v>0.011</v>
      </c>
      <c r="I1222" s="62" t="n">
        <v>19.63</v>
      </c>
      <c r="J1222" s="58" t="inlineStr">
        <is>
          <t>Online</t>
        </is>
      </c>
      <c r="K1222" s="62">
        <f>F1222*(G1222-H1222)</f>
        <v/>
      </c>
      <c r="L1222" s="62">
        <f>K1222-(F1222*I1222)</f>
        <v/>
      </c>
      <c r="M1222" s="64">
        <f>L1222/K1222</f>
        <v/>
      </c>
    </row>
    <row r="1223">
      <c r="A1223" s="58" t="inlineStr">
        <is>
          <t>RT20250131-01222</t>
        </is>
      </c>
      <c r="B1223" s="59" t="inlineStr">
        <is>
          <t>2025-01-31</t>
        </is>
      </c>
      <c r="C1223" s="60" t="inlineStr">
        <is>
          <t>Aurora Haircare S-975</t>
        </is>
      </c>
      <c r="D1223" s="58" t="inlineStr">
        <is>
          <t>Beauty</t>
        </is>
      </c>
      <c r="E1223" s="58" t="inlineStr">
        <is>
          <t>Central</t>
        </is>
      </c>
      <c r="F1223" s="61" t="n">
        <v>2</v>
      </c>
      <c r="G1223" s="62" t="n">
        <v>91.98999999999999</v>
      </c>
      <c r="H1223" s="63" t="n">
        <v>0.126</v>
      </c>
      <c r="I1223" s="62" t="n">
        <v>58.05</v>
      </c>
      <c r="J1223" s="58" t="inlineStr">
        <is>
          <t>Online</t>
        </is>
      </c>
      <c r="K1223" s="62">
        <f>F1223*(G1223-H1223)</f>
        <v/>
      </c>
      <c r="L1223" s="62">
        <f>K1223-(F1223*I1223)</f>
        <v/>
      </c>
      <c r="M1223" s="64">
        <f>L1223/K1223</f>
        <v/>
      </c>
    </row>
    <row r="1224">
      <c r="A1224" s="58" t="inlineStr">
        <is>
          <t>RT20250131-01223</t>
        </is>
      </c>
      <c r="B1224" s="59" t="inlineStr">
        <is>
          <t>2025-01-31</t>
        </is>
      </c>
      <c r="C1224" s="60" t="inlineStr">
        <is>
          <t>Aurora Makeup Pro-489</t>
        </is>
      </c>
      <c r="D1224" s="58" t="inlineStr">
        <is>
          <t>Beauty</t>
        </is>
      </c>
      <c r="E1224" s="58" t="inlineStr">
        <is>
          <t>Central</t>
        </is>
      </c>
      <c r="F1224" s="61" t="n">
        <v>2</v>
      </c>
      <c r="G1224" s="62" t="n">
        <v>105.94</v>
      </c>
      <c r="H1224" s="63" t="n">
        <v>0.058</v>
      </c>
      <c r="I1224" s="62" t="n">
        <v>64.75</v>
      </c>
      <c r="J1224" s="58" t="inlineStr">
        <is>
          <t>Online</t>
        </is>
      </c>
      <c r="K1224" s="62">
        <f>F1224*(G1224-H1224)</f>
        <v/>
      </c>
      <c r="L1224" s="62">
        <f>K1224-(F1224*I1224)</f>
        <v/>
      </c>
      <c r="M1224" s="64">
        <f>L1224/K1224</f>
        <v/>
      </c>
    </row>
    <row r="1225">
      <c r="A1225" s="58" t="inlineStr">
        <is>
          <t>RT20250131-01224</t>
        </is>
      </c>
      <c r="B1225" s="59" t="inlineStr">
        <is>
          <t>2025-01-31</t>
        </is>
      </c>
      <c r="C1225" s="60" t="inlineStr">
        <is>
          <t>Aurora Printer Plus-991</t>
        </is>
      </c>
      <c r="D1225" s="58" t="inlineStr">
        <is>
          <t>Office</t>
        </is>
      </c>
      <c r="E1225" s="58" t="inlineStr">
        <is>
          <t>Central</t>
        </is>
      </c>
      <c r="F1225" s="61" t="n">
        <v>3</v>
      </c>
      <c r="G1225" s="62" t="n">
        <v>542.28</v>
      </c>
      <c r="H1225" s="63" t="n">
        <v>0.059</v>
      </c>
      <c r="I1225" s="62" t="n">
        <v>365.19</v>
      </c>
      <c r="J1225" s="58" t="inlineStr">
        <is>
          <t>Online</t>
        </is>
      </c>
      <c r="K1225" s="62">
        <f>F1225*(G1225-H1225)</f>
        <v/>
      </c>
      <c r="L1225" s="62">
        <f>K1225-(F1225*I1225)</f>
        <v/>
      </c>
      <c r="M1225" s="64">
        <f>L1225/K1225</f>
        <v/>
      </c>
    </row>
    <row r="1226">
      <c r="A1226" s="58" t="inlineStr">
        <is>
          <t>RT20250131-01225</t>
        </is>
      </c>
      <c r="B1226" s="59" t="inlineStr">
        <is>
          <t>2025-01-31</t>
        </is>
      </c>
      <c r="C1226" s="60" t="inlineStr">
        <is>
          <t>Polar Outdoor Lite-318</t>
        </is>
      </c>
      <c r="D1226" s="58" t="inlineStr">
        <is>
          <t>Sports</t>
        </is>
      </c>
      <c r="E1226" s="58" t="inlineStr">
        <is>
          <t>North</t>
        </is>
      </c>
      <c r="F1226" s="61" t="n">
        <v>3</v>
      </c>
      <c r="G1226" s="62" t="n">
        <v>661.1799999999999</v>
      </c>
      <c r="H1226" s="63" t="n">
        <v>0.05</v>
      </c>
      <c r="I1226" s="62" t="n">
        <v>456.76</v>
      </c>
      <c r="J1226" s="58" t="inlineStr">
        <is>
          <t>Online</t>
        </is>
      </c>
      <c r="K1226" s="62">
        <f>F1226*(G1226-H1226)</f>
        <v/>
      </c>
      <c r="L1226" s="62">
        <f>K1226-(F1226*I1226)</f>
        <v/>
      </c>
      <c r="M1226" s="64">
        <f>L1226/K1226</f>
        <v/>
      </c>
    </row>
    <row r="1227">
      <c r="A1227" s="58" t="inlineStr">
        <is>
          <t>RT20250131-01226</t>
        </is>
      </c>
      <c r="B1227" s="59" t="inlineStr">
        <is>
          <t>2025-01-31</t>
        </is>
      </c>
      <c r="C1227" s="60" t="inlineStr">
        <is>
          <t>Aurora Bedding Max-175</t>
        </is>
      </c>
      <c r="D1227" s="58" t="inlineStr">
        <is>
          <t>Home</t>
        </is>
      </c>
      <c r="E1227" s="58" t="inlineStr">
        <is>
          <t>South</t>
        </is>
      </c>
      <c r="F1227" s="61" t="n">
        <v>1</v>
      </c>
      <c r="G1227" s="62" t="n">
        <v>616.26</v>
      </c>
      <c r="H1227" s="63" t="n">
        <v>0.043</v>
      </c>
      <c r="I1227" s="62" t="n">
        <v>417.84</v>
      </c>
      <c r="J1227" s="58" t="inlineStr">
        <is>
          <t>Store</t>
        </is>
      </c>
      <c r="K1227" s="62">
        <f>F1227*(G1227-H1227)</f>
        <v/>
      </c>
      <c r="L1227" s="62">
        <f>K1227-(F1227*I1227)</f>
        <v/>
      </c>
      <c r="M1227" s="64">
        <f>L1227/K1227</f>
        <v/>
      </c>
    </row>
    <row r="1228">
      <c r="A1228" s="58" t="inlineStr">
        <is>
          <t>RT20250131-01227</t>
        </is>
      </c>
      <c r="B1228" s="59" t="inlineStr">
        <is>
          <t>2025-01-31</t>
        </is>
      </c>
      <c r="C1228" s="60" t="inlineStr">
        <is>
          <t>Falcon Household Plus-172</t>
        </is>
      </c>
      <c r="D1228" s="58" t="inlineStr">
        <is>
          <t>Grocery</t>
        </is>
      </c>
      <c r="E1228" s="58" t="inlineStr">
        <is>
          <t>East</t>
        </is>
      </c>
      <c r="F1228" s="61" t="n">
        <v>5</v>
      </c>
      <c r="G1228" s="62" t="n">
        <v>24.05</v>
      </c>
      <c r="H1228" s="63" t="n">
        <v>0.074</v>
      </c>
      <c r="I1228" s="62" t="n">
        <v>16.63</v>
      </c>
      <c r="J1228" s="58" t="inlineStr">
        <is>
          <t>Online</t>
        </is>
      </c>
      <c r="K1228" s="62">
        <f>F1228*(G1228-H1228)</f>
        <v/>
      </c>
      <c r="L1228" s="62">
        <f>K1228-(F1228*I1228)</f>
        <v/>
      </c>
      <c r="M1228" s="64">
        <f>L1228/K1228</f>
        <v/>
      </c>
    </row>
    <row r="1229">
      <c r="A1229" s="58" t="inlineStr">
        <is>
          <t>RT20250131-01228</t>
        </is>
      </c>
      <c r="B1229" s="59" t="inlineStr">
        <is>
          <t>2025-01-31</t>
        </is>
      </c>
      <c r="C1229" s="60" t="inlineStr">
        <is>
          <t>Vertex Smartphone Lite-267</t>
        </is>
      </c>
      <c r="D1229" s="58" t="inlineStr">
        <is>
          <t>Electronics</t>
        </is>
      </c>
      <c r="E1229" s="58" t="inlineStr">
        <is>
          <t>West</t>
        </is>
      </c>
      <c r="F1229" s="61" t="n">
        <v>2</v>
      </c>
      <c r="G1229" s="62" t="n">
        <v>1223.25</v>
      </c>
      <c r="H1229" s="63" t="n">
        <v>0.061</v>
      </c>
      <c r="I1229" s="62" t="n">
        <v>998.78</v>
      </c>
      <c r="J1229" s="58" t="inlineStr">
        <is>
          <t>Online</t>
        </is>
      </c>
      <c r="K1229" s="62">
        <f>F1229*(G1229-H1229)</f>
        <v/>
      </c>
      <c r="L1229" s="62">
        <f>K1229-(F1229*I1229)</f>
        <v/>
      </c>
      <c r="M1229" s="64">
        <f>L1229/K1229</f>
        <v/>
      </c>
    </row>
    <row r="1230">
      <c r="A1230" s="58" t="inlineStr">
        <is>
          <t>RT20250131-01229</t>
        </is>
      </c>
      <c r="B1230" s="59" t="inlineStr">
        <is>
          <t>2025-01-31</t>
        </is>
      </c>
      <c r="C1230" s="60" t="inlineStr">
        <is>
          <t>Orion Fragrance Lite-785</t>
        </is>
      </c>
      <c r="D1230" s="58" t="inlineStr">
        <is>
          <t>Beauty</t>
        </is>
      </c>
      <c r="E1230" s="58" t="inlineStr">
        <is>
          <t>West</t>
        </is>
      </c>
      <c r="F1230" s="61" t="n">
        <v>3</v>
      </c>
      <c r="G1230" s="62" t="n">
        <v>42.12</v>
      </c>
      <c r="H1230" s="63" t="n">
        <v>0.065</v>
      </c>
      <c r="I1230" s="62" t="n">
        <v>26.41</v>
      </c>
      <c r="J1230" s="58" t="inlineStr">
        <is>
          <t>Store</t>
        </is>
      </c>
      <c r="K1230" s="62">
        <f>F1230*(G1230-H1230)</f>
        <v/>
      </c>
      <c r="L1230" s="62">
        <f>K1230-(F1230*I1230)</f>
        <v/>
      </c>
      <c r="M1230" s="64">
        <f>L1230/K1230</f>
        <v/>
      </c>
    </row>
    <row r="1231">
      <c r="A1231" s="58" t="inlineStr">
        <is>
          <t>RT20250131-01230</t>
        </is>
      </c>
      <c r="B1231" s="59" t="inlineStr">
        <is>
          <t>2025-01-31</t>
        </is>
      </c>
      <c r="C1231" s="60" t="inlineStr">
        <is>
          <t>Vertex Smartphone Lite-267</t>
        </is>
      </c>
      <c r="D1231" s="58" t="inlineStr">
        <is>
          <t>Electronics</t>
        </is>
      </c>
      <c r="E1231" s="58" t="inlineStr">
        <is>
          <t>South</t>
        </is>
      </c>
      <c r="F1231" s="61" t="n">
        <v>1</v>
      </c>
      <c r="G1231" s="62" t="n">
        <v>1263.41</v>
      </c>
      <c r="H1231" s="63" t="n">
        <v>0.048</v>
      </c>
      <c r="I1231" s="62" t="n">
        <v>989.6799999999999</v>
      </c>
      <c r="J1231" s="58" t="inlineStr">
        <is>
          <t>Phone</t>
        </is>
      </c>
      <c r="K1231" s="62">
        <f>F1231*(G1231-H1231)</f>
        <v/>
      </c>
      <c r="L1231" s="62">
        <f>K1231-(F1231*I1231)</f>
        <v/>
      </c>
      <c r="M1231" s="64">
        <f>L1231/K1231</f>
        <v/>
      </c>
    </row>
    <row r="1232">
      <c r="A1232" s="58" t="inlineStr">
        <is>
          <t>RT20250131-01231</t>
        </is>
      </c>
      <c r="B1232" s="59" t="inlineStr">
        <is>
          <t>2025-01-31</t>
        </is>
      </c>
      <c r="C1232" s="60" t="inlineStr">
        <is>
          <t>Falcon Skincare Max-151</t>
        </is>
      </c>
      <c r="D1232" s="58" t="inlineStr">
        <is>
          <t>Beauty</t>
        </is>
      </c>
      <c r="E1232" s="58" t="inlineStr">
        <is>
          <t>East</t>
        </is>
      </c>
      <c r="F1232" s="61" t="n">
        <v>3</v>
      </c>
      <c r="G1232" s="62" t="n">
        <v>100.07</v>
      </c>
      <c r="H1232" s="63" t="n">
        <v>0.036</v>
      </c>
      <c r="I1232" s="62" t="n">
        <v>58.57</v>
      </c>
      <c r="J1232" s="58" t="inlineStr">
        <is>
          <t>Store</t>
        </is>
      </c>
      <c r="K1232" s="62">
        <f>F1232*(G1232-H1232)</f>
        <v/>
      </c>
      <c r="L1232" s="62">
        <f>K1232-(F1232*I1232)</f>
        <v/>
      </c>
      <c r="M1232" s="64">
        <f>L1232/K1232</f>
        <v/>
      </c>
    </row>
    <row r="1233">
      <c r="A1233" s="58" t="inlineStr">
        <is>
          <t>RT20250131-01232</t>
        </is>
      </c>
      <c r="B1233" s="59" t="inlineStr">
        <is>
          <t>2025-01-31</t>
        </is>
      </c>
      <c r="C1233" s="60" t="inlineStr">
        <is>
          <t>Solace Headphone Pro-344</t>
        </is>
      </c>
      <c r="D1233" s="58" t="inlineStr">
        <is>
          <t>Electronics</t>
        </is>
      </c>
      <c r="E1233" s="58" t="inlineStr">
        <is>
          <t>South</t>
        </is>
      </c>
      <c r="F1233" s="61" t="n">
        <v>2</v>
      </c>
      <c r="G1233" s="62" t="n">
        <v>1369.08</v>
      </c>
      <c r="H1233" s="63" t="n">
        <v>0.052</v>
      </c>
      <c r="I1233" s="62" t="n">
        <v>1040.46</v>
      </c>
      <c r="J1233" s="58" t="inlineStr">
        <is>
          <t>Store</t>
        </is>
      </c>
      <c r="K1233" s="62">
        <f>F1233*(G1233-H1233)</f>
        <v/>
      </c>
      <c r="L1233" s="62">
        <f>K1233-(F1233*I1233)</f>
        <v/>
      </c>
      <c r="M1233" s="64">
        <f>L1233/K1233</f>
        <v/>
      </c>
    </row>
    <row r="1234">
      <c r="A1234" s="58" t="inlineStr">
        <is>
          <t>RT20250131-01233</t>
        </is>
      </c>
      <c r="B1234" s="59" t="inlineStr">
        <is>
          <t>2025-01-31</t>
        </is>
      </c>
      <c r="C1234" s="60" t="inlineStr">
        <is>
          <t>Falcon Haircare Pro-980</t>
        </is>
      </c>
      <c r="D1234" s="58" t="inlineStr">
        <is>
          <t>Beauty</t>
        </is>
      </c>
      <c r="E1234" s="58" t="inlineStr">
        <is>
          <t>East</t>
        </is>
      </c>
      <c r="F1234" s="61" t="n">
        <v>1</v>
      </c>
      <c r="G1234" s="62" t="n">
        <v>98.38</v>
      </c>
      <c r="H1234" s="63" t="n">
        <v>0.08400000000000001</v>
      </c>
      <c r="I1234" s="62" t="n">
        <v>56.45</v>
      </c>
      <c r="J1234" s="58" t="inlineStr">
        <is>
          <t>Online</t>
        </is>
      </c>
      <c r="K1234" s="62">
        <f>F1234*(G1234-H1234)</f>
        <v/>
      </c>
      <c r="L1234" s="62">
        <f>K1234-(F1234*I1234)</f>
        <v/>
      </c>
      <c r="M1234" s="64">
        <f>L1234/K1234</f>
        <v/>
      </c>
    </row>
    <row r="1235">
      <c r="A1235" s="58" t="inlineStr">
        <is>
          <t>RT20250131-01234</t>
        </is>
      </c>
      <c r="B1235" s="59" t="inlineStr">
        <is>
          <t>2025-01-31</t>
        </is>
      </c>
      <c r="C1235" s="60" t="inlineStr">
        <is>
          <t>Vertex Skincare Pro-891</t>
        </is>
      </c>
      <c r="D1235" s="58" t="inlineStr">
        <is>
          <t>Beauty</t>
        </is>
      </c>
      <c r="E1235" s="58" t="inlineStr">
        <is>
          <t>East</t>
        </is>
      </c>
      <c r="F1235" s="61" t="n">
        <v>1</v>
      </c>
      <c r="G1235" s="62" t="n">
        <v>144.42</v>
      </c>
      <c r="H1235" s="63" t="n">
        <v>0.062</v>
      </c>
      <c r="I1235" s="62" t="n">
        <v>90.91</v>
      </c>
      <c r="J1235" s="58" t="inlineStr">
        <is>
          <t>Online</t>
        </is>
      </c>
      <c r="K1235" s="62">
        <f>F1235*(G1235-H1235)</f>
        <v/>
      </c>
      <c r="L1235" s="62">
        <f>K1235-(F1235*I1235)</f>
        <v/>
      </c>
      <c r="M1235" s="64">
        <f>L1235/K1235</f>
        <v/>
      </c>
    </row>
    <row r="1236">
      <c r="A1236" s="58" t="inlineStr">
        <is>
          <t>RT20250131-01235</t>
        </is>
      </c>
      <c r="B1236" s="59" t="inlineStr">
        <is>
          <t>2025-01-31</t>
        </is>
      </c>
      <c r="C1236" s="60" t="inlineStr">
        <is>
          <t>Nimbus Storage Plus-646</t>
        </is>
      </c>
      <c r="D1236" s="58" t="inlineStr">
        <is>
          <t>Office</t>
        </is>
      </c>
      <c r="E1236" s="58" t="inlineStr">
        <is>
          <t>East</t>
        </is>
      </c>
      <c r="F1236" s="61" t="n">
        <v>1</v>
      </c>
      <c r="G1236" s="62" t="n">
        <v>415.62</v>
      </c>
      <c r="H1236" s="63" t="n">
        <v>0.096</v>
      </c>
      <c r="I1236" s="62" t="n">
        <v>320.03</v>
      </c>
      <c r="J1236" s="58" t="inlineStr">
        <is>
          <t>Phone</t>
        </is>
      </c>
      <c r="K1236" s="62">
        <f>F1236*(G1236-H1236)</f>
        <v/>
      </c>
      <c r="L1236" s="62">
        <f>K1236-(F1236*I1236)</f>
        <v/>
      </c>
      <c r="M1236" s="64">
        <f>L1236/K1236</f>
        <v/>
      </c>
    </row>
    <row r="1237">
      <c r="A1237" s="58" t="inlineStr">
        <is>
          <t>RT20250131-01236</t>
        </is>
      </c>
      <c r="B1237" s="59" t="inlineStr">
        <is>
          <t>2025-01-31</t>
        </is>
      </c>
      <c r="C1237" s="60" t="inlineStr">
        <is>
          <t>Nimbus Headphone X-854</t>
        </is>
      </c>
      <c r="D1237" s="58" t="inlineStr">
        <is>
          <t>Electronics</t>
        </is>
      </c>
      <c r="E1237" s="58" t="inlineStr">
        <is>
          <t>North</t>
        </is>
      </c>
      <c r="F1237" s="61" t="n">
        <v>2</v>
      </c>
      <c r="G1237" s="62" t="n">
        <v>1701.53</v>
      </c>
      <c r="H1237" s="63" t="n">
        <v>0.044</v>
      </c>
      <c r="I1237" s="62" t="n">
        <v>1252.73</v>
      </c>
      <c r="J1237" s="58" t="inlineStr">
        <is>
          <t>Online</t>
        </is>
      </c>
      <c r="K1237" s="62">
        <f>F1237*(G1237-H1237)</f>
        <v/>
      </c>
      <c r="L1237" s="62">
        <f>K1237-(F1237*I1237)</f>
        <v/>
      </c>
      <c r="M1237" s="64">
        <f>L1237/K1237</f>
        <v/>
      </c>
    </row>
    <row r="1238">
      <c r="A1238" s="58" t="inlineStr">
        <is>
          <t>RT20250131-01237</t>
        </is>
      </c>
      <c r="B1238" s="59" t="inlineStr">
        <is>
          <t>2025-01-31</t>
        </is>
      </c>
      <c r="C1238" s="60" t="inlineStr">
        <is>
          <t>Falcon Headphone Plus-789</t>
        </is>
      </c>
      <c r="D1238" s="58" t="inlineStr">
        <is>
          <t>Electronics</t>
        </is>
      </c>
      <c r="E1238" s="58" t="inlineStr">
        <is>
          <t>South</t>
        </is>
      </c>
      <c r="F1238" s="61" t="n">
        <v>2</v>
      </c>
      <c r="G1238" s="62" t="n">
        <v>1792.37</v>
      </c>
      <c r="H1238" s="63" t="n">
        <v>0.068</v>
      </c>
      <c r="I1238" s="62" t="n">
        <v>1323.88</v>
      </c>
      <c r="J1238" s="58" t="inlineStr">
        <is>
          <t>Store</t>
        </is>
      </c>
      <c r="K1238" s="62">
        <f>F1238*(G1238-H1238)</f>
        <v/>
      </c>
      <c r="L1238" s="62">
        <f>K1238-(F1238*I1238)</f>
        <v/>
      </c>
      <c r="M1238" s="64">
        <f>L1238/K1238</f>
        <v/>
      </c>
    </row>
    <row r="1239">
      <c r="A1239" s="58" t="inlineStr">
        <is>
          <t>RT20250131-01238</t>
        </is>
      </c>
      <c r="B1239" s="59" t="inlineStr">
        <is>
          <t>2025-01-31</t>
        </is>
      </c>
      <c r="C1239" s="60" t="inlineStr">
        <is>
          <t>Vertex Headphone Pro-801</t>
        </is>
      </c>
      <c r="D1239" s="58" t="inlineStr">
        <is>
          <t>Electronics</t>
        </is>
      </c>
      <c r="E1239" s="58" t="inlineStr">
        <is>
          <t>Central</t>
        </is>
      </c>
      <c r="F1239" s="61" t="n">
        <v>1</v>
      </c>
      <c r="G1239" s="62" t="n">
        <v>1162.06</v>
      </c>
      <c r="H1239" s="63" t="n">
        <v>0.04</v>
      </c>
      <c r="I1239" s="62" t="n">
        <v>950.64</v>
      </c>
      <c r="J1239" s="58" t="inlineStr">
        <is>
          <t>Store</t>
        </is>
      </c>
      <c r="K1239" s="62">
        <f>F1239*(G1239-H1239)</f>
        <v/>
      </c>
      <c r="L1239" s="62">
        <f>K1239-(F1239*I1239)</f>
        <v/>
      </c>
      <c r="M1239" s="64">
        <f>L1239/K1239</f>
        <v/>
      </c>
    </row>
    <row r="1240">
      <c r="A1240" s="58" t="inlineStr">
        <is>
          <t>RT20250131-01239</t>
        </is>
      </c>
      <c r="B1240" s="59" t="inlineStr">
        <is>
          <t>2025-01-31</t>
        </is>
      </c>
      <c r="C1240" s="60" t="inlineStr">
        <is>
          <t>Polar Wearable X-119</t>
        </is>
      </c>
      <c r="D1240" s="58" t="inlineStr">
        <is>
          <t>Electronics</t>
        </is>
      </c>
      <c r="E1240" s="58" t="inlineStr">
        <is>
          <t>West</t>
        </is>
      </c>
      <c r="F1240" s="61" t="n">
        <v>1</v>
      </c>
      <c r="G1240" s="62" t="n">
        <v>1538.21</v>
      </c>
      <c r="H1240" s="63" t="n">
        <v>0.008999999999999999</v>
      </c>
      <c r="I1240" s="62" t="n">
        <v>1315.36</v>
      </c>
      <c r="J1240" s="58" t="inlineStr">
        <is>
          <t>Phone</t>
        </is>
      </c>
      <c r="K1240" s="62">
        <f>F1240*(G1240-H1240)</f>
        <v/>
      </c>
      <c r="L1240" s="62">
        <f>K1240-(F1240*I1240)</f>
        <v/>
      </c>
      <c r="M1240" s="64">
        <f>L1240/K1240</f>
        <v/>
      </c>
    </row>
    <row r="1241">
      <c r="A1241" s="58" t="inlineStr">
        <is>
          <t>RT20250131-01240</t>
        </is>
      </c>
      <c r="B1241" s="59" t="inlineStr">
        <is>
          <t>2025-01-31</t>
        </is>
      </c>
      <c r="C1241" s="60" t="inlineStr">
        <is>
          <t>Aurora Printer Plus-723</t>
        </is>
      </c>
      <c r="D1241" s="58" t="inlineStr">
        <is>
          <t>Office</t>
        </is>
      </c>
      <c r="E1241" s="58" t="inlineStr">
        <is>
          <t>East</t>
        </is>
      </c>
      <c r="F1241" s="61" t="n">
        <v>3</v>
      </c>
      <c r="G1241" s="62" t="n">
        <v>259.96</v>
      </c>
      <c r="H1241" s="63" t="n">
        <v>0.064</v>
      </c>
      <c r="I1241" s="62" t="n">
        <v>189.77</v>
      </c>
      <c r="J1241" s="58" t="inlineStr">
        <is>
          <t>Online</t>
        </is>
      </c>
      <c r="K1241" s="62">
        <f>F1241*(G1241-H1241)</f>
        <v/>
      </c>
      <c r="L1241" s="62">
        <f>K1241-(F1241*I1241)</f>
        <v/>
      </c>
      <c r="M1241" s="64">
        <f>L1241/K1241</f>
        <v/>
      </c>
    </row>
    <row r="1242">
      <c r="A1242" s="58" t="inlineStr">
        <is>
          <t>RT20250131-01241</t>
        </is>
      </c>
      <c r="B1242" s="59" t="inlineStr">
        <is>
          <t>2025-01-31</t>
        </is>
      </c>
      <c r="C1242" s="60" t="inlineStr">
        <is>
          <t>Metro Fragrance Lite-261</t>
        </is>
      </c>
      <c r="D1242" s="58" t="inlineStr">
        <is>
          <t>Beauty</t>
        </is>
      </c>
      <c r="E1242" s="58" t="inlineStr">
        <is>
          <t>East</t>
        </is>
      </c>
      <c r="F1242" s="61" t="n">
        <v>5</v>
      </c>
      <c r="G1242" s="62" t="n">
        <v>89.08</v>
      </c>
      <c r="H1242" s="63" t="n">
        <v>0.068</v>
      </c>
      <c r="I1242" s="62" t="n">
        <v>54.23</v>
      </c>
      <c r="J1242" s="58" t="inlineStr">
        <is>
          <t>Store</t>
        </is>
      </c>
      <c r="K1242" s="62">
        <f>F1242*(G1242-H1242)</f>
        <v/>
      </c>
      <c r="L1242" s="62">
        <f>K1242-(F1242*I1242)</f>
        <v/>
      </c>
      <c r="M1242" s="64">
        <f>L1242/K1242</f>
        <v/>
      </c>
    </row>
    <row r="1243">
      <c r="A1243" s="58" t="inlineStr">
        <is>
          <t>RT20250131-01242</t>
        </is>
      </c>
      <c r="B1243" s="59" t="inlineStr">
        <is>
          <t>2025-01-31</t>
        </is>
      </c>
      <c r="C1243" s="60" t="inlineStr">
        <is>
          <t>Aurora Household Plus-146</t>
        </is>
      </c>
      <c r="D1243" s="58" t="inlineStr">
        <is>
          <t>Grocery</t>
        </is>
      </c>
      <c r="E1243" s="58" t="inlineStr">
        <is>
          <t>East</t>
        </is>
      </c>
      <c r="F1243" s="61" t="n">
        <v>2</v>
      </c>
      <c r="G1243" s="62" t="n">
        <v>6.49</v>
      </c>
      <c r="H1243" s="63" t="n">
        <v>0.07000000000000001</v>
      </c>
      <c r="I1243" s="62" t="n">
        <v>4.61</v>
      </c>
      <c r="J1243" s="58" t="inlineStr">
        <is>
          <t>Store</t>
        </is>
      </c>
      <c r="K1243" s="62">
        <f>F1243*(G1243-H1243)</f>
        <v/>
      </c>
      <c r="L1243" s="62">
        <f>K1243-(F1243*I1243)</f>
        <v/>
      </c>
      <c r="M1243" s="64">
        <f>L1243/K1243</f>
        <v/>
      </c>
    </row>
    <row r="1244">
      <c r="A1244" s="58" t="inlineStr">
        <is>
          <t>RT20250131-01243</t>
        </is>
      </c>
      <c r="B1244" s="59" t="inlineStr">
        <is>
          <t>2025-01-31</t>
        </is>
      </c>
      <c r="C1244" s="60" t="inlineStr">
        <is>
          <t>Solace Fitnes S-324</t>
        </is>
      </c>
      <c r="D1244" s="58" t="inlineStr">
        <is>
          <t>Sports</t>
        </is>
      </c>
      <c r="E1244" s="58" t="inlineStr">
        <is>
          <t>West</t>
        </is>
      </c>
      <c r="F1244" s="61" t="n">
        <v>1</v>
      </c>
      <c r="G1244" s="62" t="n">
        <v>780.53</v>
      </c>
      <c r="H1244" s="63" t="n">
        <v>0.065</v>
      </c>
      <c r="I1244" s="62" t="n">
        <v>515.98</v>
      </c>
      <c r="J1244" s="58" t="inlineStr">
        <is>
          <t>Phone</t>
        </is>
      </c>
      <c r="K1244" s="62">
        <f>F1244*(G1244-H1244)</f>
        <v/>
      </c>
      <c r="L1244" s="62">
        <f>K1244-(F1244*I1244)</f>
        <v/>
      </c>
      <c r="M1244" s="64">
        <f>L1244/K1244</f>
        <v/>
      </c>
    </row>
    <row r="1245">
      <c r="A1245" s="58" t="inlineStr">
        <is>
          <t>RT20250131-01244</t>
        </is>
      </c>
      <c r="B1245" s="59" t="inlineStr">
        <is>
          <t>2025-01-31</t>
        </is>
      </c>
      <c r="C1245" s="60" t="inlineStr">
        <is>
          <t>Solace Snack S-691</t>
        </is>
      </c>
      <c r="D1245" s="58" t="inlineStr">
        <is>
          <t>Grocery</t>
        </is>
      </c>
      <c r="E1245" s="58" t="inlineStr">
        <is>
          <t>East</t>
        </is>
      </c>
      <c r="F1245" s="61" t="n">
        <v>4</v>
      </c>
      <c r="G1245" s="62" t="n">
        <v>10.4</v>
      </c>
      <c r="H1245" s="63" t="n">
        <v>0.037</v>
      </c>
      <c r="I1245" s="62" t="n">
        <v>7.12</v>
      </c>
      <c r="J1245" s="58" t="inlineStr">
        <is>
          <t>Online</t>
        </is>
      </c>
      <c r="K1245" s="62">
        <f>F1245*(G1245-H1245)</f>
        <v/>
      </c>
      <c r="L1245" s="62">
        <f>K1245-(F1245*I1245)</f>
        <v/>
      </c>
      <c r="M1245" s="64">
        <f>L1245/K1245</f>
        <v/>
      </c>
    </row>
    <row r="1246">
      <c r="A1246" s="58" t="inlineStr">
        <is>
          <t>RT20250131-01245</t>
        </is>
      </c>
      <c r="B1246" s="59" t="inlineStr">
        <is>
          <t>2025-01-31</t>
        </is>
      </c>
      <c r="C1246" s="60" t="inlineStr">
        <is>
          <t>Polar Women Max-927</t>
        </is>
      </c>
      <c r="D1246" s="58" t="inlineStr">
        <is>
          <t>Apparel</t>
        </is>
      </c>
      <c r="E1246" s="58" t="inlineStr">
        <is>
          <t>West</t>
        </is>
      </c>
      <c r="F1246" s="61" t="n">
        <v>1</v>
      </c>
      <c r="G1246" s="62" t="n">
        <v>121.14</v>
      </c>
      <c r="H1246" s="63" t="n">
        <v>0.013</v>
      </c>
      <c r="I1246" s="62" t="n">
        <v>67.83</v>
      </c>
      <c r="J1246" s="58" t="inlineStr">
        <is>
          <t>Store</t>
        </is>
      </c>
      <c r="K1246" s="62">
        <f>F1246*(G1246-H1246)</f>
        <v/>
      </c>
      <c r="L1246" s="62">
        <f>K1246-(F1246*I1246)</f>
        <v/>
      </c>
      <c r="M1246" s="64">
        <f>L1246/K1246</f>
        <v/>
      </c>
    </row>
    <row r="1247">
      <c r="A1247" s="58" t="inlineStr">
        <is>
          <t>RT20250131-01246</t>
        </is>
      </c>
      <c r="B1247" s="59" t="inlineStr">
        <is>
          <t>2025-01-31</t>
        </is>
      </c>
      <c r="C1247" s="60" t="inlineStr">
        <is>
          <t>Orion Supplie S-612</t>
        </is>
      </c>
      <c r="D1247" s="58" t="inlineStr">
        <is>
          <t>Office</t>
        </is>
      </c>
      <c r="E1247" s="58" t="inlineStr">
        <is>
          <t>North</t>
        </is>
      </c>
      <c r="F1247" s="61" t="n">
        <v>3</v>
      </c>
      <c r="G1247" s="62" t="n">
        <v>503.32</v>
      </c>
      <c r="H1247" s="63" t="n">
        <v>0.078</v>
      </c>
      <c r="I1247" s="62" t="n">
        <v>342.72</v>
      </c>
      <c r="J1247" s="58" t="inlineStr">
        <is>
          <t>Store</t>
        </is>
      </c>
      <c r="K1247" s="62">
        <f>F1247*(G1247-H1247)</f>
        <v/>
      </c>
      <c r="L1247" s="62">
        <f>K1247-(F1247*I1247)</f>
        <v/>
      </c>
      <c r="M1247" s="64">
        <f>L1247/K1247</f>
        <v/>
      </c>
    </row>
    <row r="1248">
      <c r="A1248" s="58" t="inlineStr">
        <is>
          <t>RT20250131-01247</t>
        </is>
      </c>
      <c r="B1248" s="59" t="inlineStr">
        <is>
          <t>2025-01-31</t>
        </is>
      </c>
      <c r="C1248" s="60" t="inlineStr">
        <is>
          <t>Falcon Household Pro-865</t>
        </is>
      </c>
      <c r="D1248" s="58" t="inlineStr">
        <is>
          <t>Grocery</t>
        </is>
      </c>
      <c r="E1248" s="58" t="inlineStr">
        <is>
          <t>West</t>
        </is>
      </c>
      <c r="F1248" s="61" t="n">
        <v>6</v>
      </c>
      <c r="G1248" s="62" t="n">
        <v>10.36</v>
      </c>
      <c r="H1248" s="63" t="n">
        <v>0.062</v>
      </c>
      <c r="I1248" s="62" t="n">
        <v>7.65</v>
      </c>
      <c r="J1248" s="58" t="inlineStr">
        <is>
          <t>Online</t>
        </is>
      </c>
      <c r="K1248" s="62">
        <f>F1248*(G1248-H1248)</f>
        <v/>
      </c>
      <c r="L1248" s="62">
        <f>K1248-(F1248*I1248)</f>
        <v/>
      </c>
      <c r="M1248" s="64">
        <f>L1248/K1248</f>
        <v/>
      </c>
    </row>
    <row r="1249">
      <c r="A1249" s="58" t="inlineStr">
        <is>
          <t>RT20250131-01248</t>
        </is>
      </c>
      <c r="B1249" s="59" t="inlineStr">
        <is>
          <t>2025-01-31</t>
        </is>
      </c>
      <c r="C1249" s="60" t="inlineStr">
        <is>
          <t>Polar Cycling X-649</t>
        </is>
      </c>
      <c r="D1249" s="58" t="inlineStr">
        <is>
          <t>Sports</t>
        </is>
      </c>
      <c r="E1249" s="58" t="inlineStr">
        <is>
          <t>East</t>
        </is>
      </c>
      <c r="F1249" s="61" t="n">
        <v>2</v>
      </c>
      <c r="G1249" s="62" t="n">
        <v>580.37</v>
      </c>
      <c r="H1249" s="63" t="n">
        <v>0.034</v>
      </c>
      <c r="I1249" s="62" t="n">
        <v>373.1</v>
      </c>
      <c r="J1249" s="58" t="inlineStr">
        <is>
          <t>Online</t>
        </is>
      </c>
      <c r="K1249" s="62">
        <f>F1249*(G1249-H1249)</f>
        <v/>
      </c>
      <c r="L1249" s="62">
        <f>K1249-(F1249*I1249)</f>
        <v/>
      </c>
      <c r="M1249" s="64">
        <f>L1249/K1249</f>
        <v/>
      </c>
    </row>
    <row r="1250">
      <c r="A1250" s="58" t="inlineStr">
        <is>
          <t>RT20250131-01249</t>
        </is>
      </c>
      <c r="B1250" s="59" t="inlineStr">
        <is>
          <t>2025-01-31</t>
        </is>
      </c>
      <c r="C1250" s="60" t="inlineStr">
        <is>
          <t>Solace Kitchen X-919</t>
        </is>
      </c>
      <c r="D1250" s="58" t="inlineStr">
        <is>
          <t>Home</t>
        </is>
      </c>
      <c r="E1250" s="58" t="inlineStr">
        <is>
          <t>North</t>
        </is>
      </c>
      <c r="F1250" s="61" t="n">
        <v>2</v>
      </c>
      <c r="G1250" s="62" t="n">
        <v>364.68</v>
      </c>
      <c r="H1250" s="63" t="n">
        <v>0.063</v>
      </c>
      <c r="I1250" s="62" t="n">
        <v>268.3</v>
      </c>
      <c r="J1250" s="58" t="inlineStr">
        <is>
          <t>Store</t>
        </is>
      </c>
      <c r="K1250" s="62">
        <f>F1250*(G1250-H1250)</f>
        <v/>
      </c>
      <c r="L1250" s="62">
        <f>K1250-(F1250*I1250)</f>
        <v/>
      </c>
      <c r="M1250" s="64">
        <f>L1250/K1250</f>
        <v/>
      </c>
    </row>
    <row r="1251">
      <c r="A1251" s="58" t="inlineStr">
        <is>
          <t>RT20250131-01250</t>
        </is>
      </c>
      <c r="B1251" s="59" t="inlineStr">
        <is>
          <t>2025-01-31</t>
        </is>
      </c>
      <c r="C1251" s="60" t="inlineStr">
        <is>
          <t>Nimbus Cycling Plus-911</t>
        </is>
      </c>
      <c r="D1251" s="58" t="inlineStr">
        <is>
          <t>Sports</t>
        </is>
      </c>
      <c r="E1251" s="58" t="inlineStr">
        <is>
          <t>East</t>
        </is>
      </c>
      <c r="F1251" s="61" t="n">
        <v>1</v>
      </c>
      <c r="G1251" s="62" t="n">
        <v>594.61</v>
      </c>
      <c r="H1251" s="63" t="n">
        <v>0.073</v>
      </c>
      <c r="I1251" s="62" t="n">
        <v>385.69</v>
      </c>
      <c r="J1251" s="58" t="inlineStr">
        <is>
          <t>Online</t>
        </is>
      </c>
      <c r="K1251" s="62">
        <f>F1251*(G1251-H1251)</f>
        <v/>
      </c>
      <c r="L1251" s="62">
        <f>K1251-(F1251*I1251)</f>
        <v/>
      </c>
      <c r="M1251" s="64">
        <f>L1251/K1251</f>
        <v/>
      </c>
    </row>
    <row r="1252">
      <c r="A1252" s="58" t="inlineStr">
        <is>
          <t>RT20250131-01251</t>
        </is>
      </c>
      <c r="B1252" s="59" t="inlineStr">
        <is>
          <t>2025-01-31</t>
        </is>
      </c>
      <c r="C1252" s="60" t="inlineStr">
        <is>
          <t>Orion Team Sport X-926</t>
        </is>
      </c>
      <c r="D1252" s="58" t="inlineStr">
        <is>
          <t>Sports</t>
        </is>
      </c>
      <c r="E1252" s="58" t="inlineStr">
        <is>
          <t>West</t>
        </is>
      </c>
      <c r="F1252" s="61" t="n">
        <v>1</v>
      </c>
      <c r="G1252" s="62" t="n">
        <v>320.79</v>
      </c>
      <c r="H1252" s="63" t="n">
        <v>0.022</v>
      </c>
      <c r="I1252" s="62" t="n">
        <v>211.58</v>
      </c>
      <c r="J1252" s="58" t="inlineStr">
        <is>
          <t>Online</t>
        </is>
      </c>
      <c r="K1252" s="62">
        <f>F1252*(G1252-H1252)</f>
        <v/>
      </c>
      <c r="L1252" s="62">
        <f>K1252-(F1252*I1252)</f>
        <v/>
      </c>
      <c r="M1252" s="64">
        <f>L1252/K1252</f>
        <v/>
      </c>
    </row>
    <row r="1253">
      <c r="A1253" s="58" t="inlineStr">
        <is>
          <t>RT20250131-01252</t>
        </is>
      </c>
      <c r="B1253" s="59" t="inlineStr">
        <is>
          <t>2025-01-31</t>
        </is>
      </c>
      <c r="C1253" s="60" t="inlineStr">
        <is>
          <t>Polar Fragrance Pro-750</t>
        </is>
      </c>
      <c r="D1253" s="58" t="inlineStr">
        <is>
          <t>Beauty</t>
        </is>
      </c>
      <c r="E1253" s="58" t="inlineStr">
        <is>
          <t>Central</t>
        </is>
      </c>
      <c r="F1253" s="61" t="n">
        <v>2</v>
      </c>
      <c r="G1253" s="62" t="n">
        <v>63.98</v>
      </c>
      <c r="H1253" s="63" t="n">
        <v>0.03</v>
      </c>
      <c r="I1253" s="62" t="n">
        <v>37.1</v>
      </c>
      <c r="J1253" s="58" t="inlineStr">
        <is>
          <t>Phone</t>
        </is>
      </c>
      <c r="K1253" s="62">
        <f>F1253*(G1253-H1253)</f>
        <v/>
      </c>
      <c r="L1253" s="62">
        <f>K1253-(F1253*I1253)</f>
        <v/>
      </c>
      <c r="M1253" s="64">
        <f>L1253/K1253</f>
        <v/>
      </c>
    </row>
    <row r="1254">
      <c r="A1254" s="58" t="inlineStr">
        <is>
          <t>RT20250201-01253</t>
        </is>
      </c>
      <c r="B1254" s="59" t="inlineStr">
        <is>
          <t>2025-02-01</t>
        </is>
      </c>
      <c r="C1254" s="60" t="inlineStr">
        <is>
          <t>Vertex Appliance S-296</t>
        </is>
      </c>
      <c r="D1254" s="58" t="inlineStr">
        <is>
          <t>Home</t>
        </is>
      </c>
      <c r="E1254" s="58" t="inlineStr">
        <is>
          <t>West</t>
        </is>
      </c>
      <c r="F1254" s="61" t="n">
        <v>2</v>
      </c>
      <c r="G1254" s="62" t="n">
        <v>576.59</v>
      </c>
      <c r="H1254" s="63" t="n">
        <v>0.055</v>
      </c>
      <c r="I1254" s="62" t="n">
        <v>354.47</v>
      </c>
      <c r="J1254" s="58" t="inlineStr">
        <is>
          <t>Store</t>
        </is>
      </c>
      <c r="K1254" s="62">
        <f>F1254*(G1254-H1254)</f>
        <v/>
      </c>
      <c r="L1254" s="62">
        <f>K1254-(F1254*I1254)</f>
        <v/>
      </c>
      <c r="M1254" s="64">
        <f>L1254/K1254</f>
        <v/>
      </c>
    </row>
    <row r="1255">
      <c r="A1255" s="58" t="inlineStr">
        <is>
          <t>RT20250201-01254</t>
        </is>
      </c>
      <c r="B1255" s="59" t="inlineStr">
        <is>
          <t>2025-02-01</t>
        </is>
      </c>
      <c r="C1255" s="60" t="inlineStr">
        <is>
          <t>Solace Kitchen Pro-510</t>
        </is>
      </c>
      <c r="D1255" s="58" t="inlineStr">
        <is>
          <t>Home</t>
        </is>
      </c>
      <c r="E1255" s="58" t="inlineStr">
        <is>
          <t>East</t>
        </is>
      </c>
      <c r="F1255" s="61" t="n">
        <v>1</v>
      </c>
      <c r="G1255" s="62" t="n">
        <v>459.15</v>
      </c>
      <c r="H1255" s="63" t="n">
        <v>0.019</v>
      </c>
      <c r="I1255" s="62" t="n">
        <v>311.03</v>
      </c>
      <c r="J1255" s="58" t="inlineStr">
        <is>
          <t>Store</t>
        </is>
      </c>
      <c r="K1255" s="62">
        <f>F1255*(G1255-H1255)</f>
        <v/>
      </c>
      <c r="L1255" s="62">
        <f>K1255-(F1255*I1255)</f>
        <v/>
      </c>
      <c r="M1255" s="64">
        <f>L1255/K1255</f>
        <v/>
      </c>
    </row>
    <row r="1256">
      <c r="A1256" s="58" t="inlineStr">
        <is>
          <t>RT20250201-01255</t>
        </is>
      </c>
      <c r="B1256" s="59" t="inlineStr">
        <is>
          <t>2025-02-01</t>
        </is>
      </c>
      <c r="C1256" s="60" t="inlineStr">
        <is>
          <t>Nimbus Laptop Max-652</t>
        </is>
      </c>
      <c r="D1256" s="58" t="inlineStr">
        <is>
          <t>Electronics</t>
        </is>
      </c>
      <c r="E1256" s="58" t="inlineStr">
        <is>
          <t>West</t>
        </is>
      </c>
      <c r="F1256" s="61" t="n">
        <v>2</v>
      </c>
      <c r="G1256" s="62" t="n">
        <v>1592.19</v>
      </c>
      <c r="H1256" s="63" t="n">
        <v>0.08599999999999999</v>
      </c>
      <c r="I1256" s="62" t="n">
        <v>1024.64</v>
      </c>
      <c r="J1256" s="58" t="inlineStr">
        <is>
          <t>Store</t>
        </is>
      </c>
      <c r="K1256" s="62">
        <f>F1256*(G1256-H1256)</f>
        <v/>
      </c>
      <c r="L1256" s="62">
        <f>K1256-(F1256*I1256)</f>
        <v/>
      </c>
      <c r="M1256" s="64">
        <f>L1256/K1256</f>
        <v/>
      </c>
    </row>
    <row r="1257">
      <c r="A1257" s="58" t="inlineStr">
        <is>
          <t>RT20250201-01256</t>
        </is>
      </c>
      <c r="B1257" s="59" t="inlineStr">
        <is>
          <t>2025-02-01</t>
        </is>
      </c>
      <c r="C1257" s="60" t="inlineStr">
        <is>
          <t>Orion Storage Plus-961</t>
        </is>
      </c>
      <c r="D1257" s="58" t="inlineStr">
        <is>
          <t>Office</t>
        </is>
      </c>
      <c r="E1257" s="58" t="inlineStr">
        <is>
          <t>Central</t>
        </is>
      </c>
      <c r="F1257" s="61" t="n">
        <v>1</v>
      </c>
      <c r="G1257" s="62" t="n">
        <v>482.27</v>
      </c>
      <c r="H1257" s="63" t="n">
        <v>0.092</v>
      </c>
      <c r="I1257" s="62" t="n">
        <v>373.29</v>
      </c>
      <c r="J1257" s="58" t="inlineStr">
        <is>
          <t>Online</t>
        </is>
      </c>
      <c r="K1257" s="62">
        <f>F1257*(G1257-H1257)</f>
        <v/>
      </c>
      <c r="L1257" s="62">
        <f>K1257-(F1257*I1257)</f>
        <v/>
      </c>
      <c r="M1257" s="64">
        <f>L1257/K1257</f>
        <v/>
      </c>
    </row>
    <row r="1258">
      <c r="A1258" s="58" t="inlineStr">
        <is>
          <t>RT20250201-01257</t>
        </is>
      </c>
      <c r="B1258" s="59" t="inlineStr">
        <is>
          <t>2025-02-01</t>
        </is>
      </c>
      <c r="C1258" s="60" t="inlineStr">
        <is>
          <t>Falcon Household Pro-865</t>
        </is>
      </c>
      <c r="D1258" s="58" t="inlineStr">
        <is>
          <t>Grocery</t>
        </is>
      </c>
      <c r="E1258" s="58" t="inlineStr">
        <is>
          <t>South</t>
        </is>
      </c>
      <c r="F1258" s="61" t="n">
        <v>2</v>
      </c>
      <c r="G1258" s="62" t="n">
        <v>10.73</v>
      </c>
      <c r="H1258" s="63" t="n">
        <v>0.064</v>
      </c>
      <c r="I1258" s="62" t="n">
        <v>7.63</v>
      </c>
      <c r="J1258" s="58" t="inlineStr">
        <is>
          <t>Online</t>
        </is>
      </c>
      <c r="K1258" s="62">
        <f>F1258*(G1258-H1258)</f>
        <v/>
      </c>
      <c r="L1258" s="62">
        <f>K1258-(F1258*I1258)</f>
        <v/>
      </c>
      <c r="M1258" s="64">
        <f>L1258/K1258</f>
        <v/>
      </c>
    </row>
    <row r="1259">
      <c r="A1259" s="58" t="inlineStr">
        <is>
          <t>RT20250201-01258</t>
        </is>
      </c>
      <c r="B1259" s="59" t="inlineStr">
        <is>
          <t>2025-02-01</t>
        </is>
      </c>
      <c r="C1259" s="60" t="inlineStr">
        <is>
          <t>Solace Snack S-691</t>
        </is>
      </c>
      <c r="D1259" s="58" t="inlineStr">
        <is>
          <t>Grocery</t>
        </is>
      </c>
      <c r="E1259" s="58" t="inlineStr">
        <is>
          <t>North</t>
        </is>
      </c>
      <c r="F1259" s="61" t="n">
        <v>3</v>
      </c>
      <c r="G1259" s="62" t="n">
        <v>9.94</v>
      </c>
      <c r="H1259" s="63" t="n">
        <v>0.08400000000000001</v>
      </c>
      <c r="I1259" s="62" t="n">
        <v>7.17</v>
      </c>
      <c r="J1259" s="58" t="inlineStr">
        <is>
          <t>Phone</t>
        </is>
      </c>
      <c r="K1259" s="62">
        <f>F1259*(G1259-H1259)</f>
        <v/>
      </c>
      <c r="L1259" s="62">
        <f>K1259-(F1259*I1259)</f>
        <v/>
      </c>
      <c r="M1259" s="64">
        <f>L1259/K1259</f>
        <v/>
      </c>
    </row>
    <row r="1260">
      <c r="A1260" s="58" t="inlineStr">
        <is>
          <t>RT20250201-01259</t>
        </is>
      </c>
      <c r="B1260" s="59" t="inlineStr">
        <is>
          <t>2025-02-01</t>
        </is>
      </c>
      <c r="C1260" s="60" t="inlineStr">
        <is>
          <t>Nimbus Furniture Pro-479</t>
        </is>
      </c>
      <c r="D1260" s="58" t="inlineStr">
        <is>
          <t>Office</t>
        </is>
      </c>
      <c r="E1260" s="58" t="inlineStr">
        <is>
          <t>West</t>
        </is>
      </c>
      <c r="F1260" s="61" t="n">
        <v>2</v>
      </c>
      <c r="G1260" s="62" t="n">
        <v>309.54</v>
      </c>
      <c r="H1260" s="63" t="n">
        <v>0.044</v>
      </c>
      <c r="I1260" s="62" t="n">
        <v>239.91</v>
      </c>
      <c r="J1260" s="58" t="inlineStr">
        <is>
          <t>Online</t>
        </is>
      </c>
      <c r="K1260" s="62">
        <f>F1260*(G1260-H1260)</f>
        <v/>
      </c>
      <c r="L1260" s="62">
        <f>K1260-(F1260*I1260)</f>
        <v/>
      </c>
      <c r="M1260" s="64">
        <f>L1260/K1260</f>
        <v/>
      </c>
    </row>
    <row r="1261">
      <c r="A1261" s="58" t="inlineStr">
        <is>
          <t>RT20250201-01260</t>
        </is>
      </c>
      <c r="B1261" s="59" t="inlineStr">
        <is>
          <t>2025-02-01</t>
        </is>
      </c>
      <c r="C1261" s="60" t="inlineStr">
        <is>
          <t>Metro Smartphone Max-773</t>
        </is>
      </c>
      <c r="D1261" s="58" t="inlineStr">
        <is>
          <t>Electronics</t>
        </is>
      </c>
      <c r="E1261" s="58" t="inlineStr">
        <is>
          <t>West</t>
        </is>
      </c>
      <c r="F1261" s="61" t="n">
        <v>2</v>
      </c>
      <c r="G1261" s="62" t="n">
        <v>1543.23</v>
      </c>
      <c r="H1261" s="63" t="n">
        <v>0.07099999999999999</v>
      </c>
      <c r="I1261" s="62" t="n">
        <v>1135.55</v>
      </c>
      <c r="J1261" s="58" t="inlineStr">
        <is>
          <t>Store</t>
        </is>
      </c>
      <c r="K1261" s="62">
        <f>F1261*(G1261-H1261)</f>
        <v/>
      </c>
      <c r="L1261" s="62">
        <f>K1261-(F1261*I1261)</f>
        <v/>
      </c>
      <c r="M1261" s="64">
        <f>L1261/K1261</f>
        <v/>
      </c>
    </row>
    <row r="1262">
      <c r="A1262" s="58" t="inlineStr">
        <is>
          <t>RT20250201-01261</t>
        </is>
      </c>
      <c r="B1262" s="59" t="inlineStr">
        <is>
          <t>2025-02-01</t>
        </is>
      </c>
      <c r="C1262" s="60" t="inlineStr">
        <is>
          <t>Vertex Accessorie Pro-881</t>
        </is>
      </c>
      <c r="D1262" s="58" t="inlineStr">
        <is>
          <t>Apparel</t>
        </is>
      </c>
      <c r="E1262" s="58" t="inlineStr">
        <is>
          <t>East</t>
        </is>
      </c>
      <c r="F1262" s="61" t="n">
        <v>3</v>
      </c>
      <c r="G1262" s="62" t="n">
        <v>117.34</v>
      </c>
      <c r="H1262" s="63" t="n">
        <v>0.058</v>
      </c>
      <c r="I1262" s="62" t="n">
        <v>63.4</v>
      </c>
      <c r="J1262" s="58" t="inlineStr">
        <is>
          <t>Phone</t>
        </is>
      </c>
      <c r="K1262" s="62">
        <f>F1262*(G1262-H1262)</f>
        <v/>
      </c>
      <c r="L1262" s="62">
        <f>K1262-(F1262*I1262)</f>
        <v/>
      </c>
      <c r="M1262" s="64">
        <f>L1262/K1262</f>
        <v/>
      </c>
    </row>
    <row r="1263">
      <c r="A1263" s="58" t="inlineStr">
        <is>
          <t>RT20250201-01262</t>
        </is>
      </c>
      <c r="B1263" s="59" t="inlineStr">
        <is>
          <t>2025-02-01</t>
        </is>
      </c>
      <c r="C1263" s="60" t="inlineStr">
        <is>
          <t>Metro Pantry Max-180</t>
        </is>
      </c>
      <c r="D1263" s="58" t="inlineStr">
        <is>
          <t>Grocery</t>
        </is>
      </c>
      <c r="E1263" s="58" t="inlineStr">
        <is>
          <t>South</t>
        </is>
      </c>
      <c r="F1263" s="61" t="n">
        <v>8</v>
      </c>
      <c r="G1263" s="62" t="n">
        <v>8.619999999999999</v>
      </c>
      <c r="H1263" s="63" t="n">
        <v>0.012</v>
      </c>
      <c r="I1263" s="62" t="n">
        <v>6.54</v>
      </c>
      <c r="J1263" s="58" t="inlineStr">
        <is>
          <t>Online</t>
        </is>
      </c>
      <c r="K1263" s="62">
        <f>F1263*(G1263-H1263)</f>
        <v/>
      </c>
      <c r="L1263" s="62">
        <f>K1263-(F1263*I1263)</f>
        <v/>
      </c>
      <c r="M1263" s="64">
        <f>L1263/K1263</f>
        <v/>
      </c>
    </row>
    <row r="1264">
      <c r="A1264" s="58" t="inlineStr">
        <is>
          <t>RT20250201-01263</t>
        </is>
      </c>
      <c r="B1264" s="59" t="inlineStr">
        <is>
          <t>2025-02-01</t>
        </is>
      </c>
      <c r="C1264" s="60" t="inlineStr">
        <is>
          <t>Polar Women S-662</t>
        </is>
      </c>
      <c r="D1264" s="58" t="inlineStr">
        <is>
          <t>Apparel</t>
        </is>
      </c>
      <c r="E1264" s="58" t="inlineStr">
        <is>
          <t>Central</t>
        </is>
      </c>
      <c r="F1264" s="61" t="n">
        <v>1</v>
      </c>
      <c r="G1264" s="62" t="n">
        <v>192.03</v>
      </c>
      <c r="H1264" s="63" t="n">
        <v>0.047</v>
      </c>
      <c r="I1264" s="62" t="n">
        <v>100.73</v>
      </c>
      <c r="J1264" s="58" t="inlineStr">
        <is>
          <t>Online</t>
        </is>
      </c>
      <c r="K1264" s="62">
        <f>F1264*(G1264-H1264)</f>
        <v/>
      </c>
      <c r="L1264" s="62">
        <f>K1264-(F1264*I1264)</f>
        <v/>
      </c>
      <c r="M1264" s="64">
        <f>L1264/K1264</f>
        <v/>
      </c>
    </row>
    <row r="1265">
      <c r="A1265" s="58" t="inlineStr">
        <is>
          <t>RT20250201-01264</t>
        </is>
      </c>
      <c r="B1265" s="59" t="inlineStr">
        <is>
          <t>2025-02-01</t>
        </is>
      </c>
      <c r="C1265" s="60" t="inlineStr">
        <is>
          <t>Aurora Smartphone Plus-125</t>
        </is>
      </c>
      <c r="D1265" s="58" t="inlineStr">
        <is>
          <t>Electronics</t>
        </is>
      </c>
      <c r="E1265" s="58" t="inlineStr">
        <is>
          <t>East</t>
        </is>
      </c>
      <c r="F1265" s="61" t="n">
        <v>1</v>
      </c>
      <c r="G1265" s="62" t="n">
        <v>1669.66</v>
      </c>
      <c r="H1265" s="63" t="n">
        <v>0.036</v>
      </c>
      <c r="I1265" s="62" t="n">
        <v>1249.57</v>
      </c>
      <c r="J1265" s="58" t="inlineStr">
        <is>
          <t>Store</t>
        </is>
      </c>
      <c r="K1265" s="62">
        <f>F1265*(G1265-H1265)</f>
        <v/>
      </c>
      <c r="L1265" s="62">
        <f>K1265-(F1265*I1265)</f>
        <v/>
      </c>
      <c r="M1265" s="64">
        <f>L1265/K1265</f>
        <v/>
      </c>
    </row>
    <row r="1266">
      <c r="A1266" s="58" t="inlineStr">
        <is>
          <t>RT20250201-01265</t>
        </is>
      </c>
      <c r="B1266" s="59" t="inlineStr">
        <is>
          <t>2025-02-01</t>
        </is>
      </c>
      <c r="C1266" s="60" t="inlineStr">
        <is>
          <t>Vertex Supplie Pro-786</t>
        </is>
      </c>
      <c r="D1266" s="58" t="inlineStr">
        <is>
          <t>Office</t>
        </is>
      </c>
      <c r="E1266" s="58" t="inlineStr">
        <is>
          <t>East</t>
        </is>
      </c>
      <c r="F1266" s="61" t="n">
        <v>1</v>
      </c>
      <c r="G1266" s="62" t="n">
        <v>415.84</v>
      </c>
      <c r="H1266" s="63" t="n">
        <v>0.053</v>
      </c>
      <c r="I1266" s="62" t="n">
        <v>297.25</v>
      </c>
      <c r="J1266" s="58" t="inlineStr">
        <is>
          <t>Online</t>
        </is>
      </c>
      <c r="K1266" s="62">
        <f>F1266*(G1266-H1266)</f>
        <v/>
      </c>
      <c r="L1266" s="62">
        <f>K1266-(F1266*I1266)</f>
        <v/>
      </c>
      <c r="M1266" s="64">
        <f>L1266/K1266</f>
        <v/>
      </c>
    </row>
    <row r="1267">
      <c r="A1267" s="58" t="inlineStr">
        <is>
          <t>RT20250201-01266</t>
        </is>
      </c>
      <c r="B1267" s="59" t="inlineStr">
        <is>
          <t>2025-02-01</t>
        </is>
      </c>
      <c r="C1267" s="60" t="inlineStr">
        <is>
          <t>Vertex Headphone Pro-801</t>
        </is>
      </c>
      <c r="D1267" s="58" t="inlineStr">
        <is>
          <t>Electronics</t>
        </is>
      </c>
      <c r="E1267" s="58" t="inlineStr">
        <is>
          <t>North</t>
        </is>
      </c>
      <c r="F1267" s="61" t="n">
        <v>2</v>
      </c>
      <c r="G1267" s="62" t="n">
        <v>1172.06</v>
      </c>
      <c r="H1267" s="63" t="n">
        <v>0.034</v>
      </c>
      <c r="I1267" s="62" t="n">
        <v>986.39</v>
      </c>
      <c r="J1267" s="58" t="inlineStr">
        <is>
          <t>Online</t>
        </is>
      </c>
      <c r="K1267" s="62">
        <f>F1267*(G1267-H1267)</f>
        <v/>
      </c>
      <c r="L1267" s="62">
        <f>K1267-(F1267*I1267)</f>
        <v/>
      </c>
      <c r="M1267" s="64">
        <f>L1267/K1267</f>
        <v/>
      </c>
    </row>
    <row r="1268">
      <c r="A1268" s="58" t="inlineStr">
        <is>
          <t>RT20250201-01267</t>
        </is>
      </c>
      <c r="B1268" s="59" t="inlineStr">
        <is>
          <t>2025-02-01</t>
        </is>
      </c>
      <c r="C1268" s="60" t="inlineStr">
        <is>
          <t>Aurora Outdoor Pro-467</t>
        </is>
      </c>
      <c r="D1268" s="58" t="inlineStr">
        <is>
          <t>Sports</t>
        </is>
      </c>
      <c r="E1268" s="58" t="inlineStr">
        <is>
          <t>East</t>
        </is>
      </c>
      <c r="F1268" s="61" t="n">
        <v>2</v>
      </c>
      <c r="G1268" s="62" t="n">
        <v>281.46</v>
      </c>
      <c r="H1268" s="63" t="n">
        <v>0.067</v>
      </c>
      <c r="I1268" s="62" t="n">
        <v>185.53</v>
      </c>
      <c r="J1268" s="58" t="inlineStr">
        <is>
          <t>Online</t>
        </is>
      </c>
      <c r="K1268" s="62">
        <f>F1268*(G1268-H1268)</f>
        <v/>
      </c>
      <c r="L1268" s="62">
        <f>K1268-(F1268*I1268)</f>
        <v/>
      </c>
      <c r="M1268" s="64">
        <f>L1268/K1268</f>
        <v/>
      </c>
    </row>
    <row r="1269">
      <c r="A1269" s="58" t="inlineStr">
        <is>
          <t>RT20250201-01268</t>
        </is>
      </c>
      <c r="B1269" s="59" t="inlineStr">
        <is>
          <t>2025-02-01</t>
        </is>
      </c>
      <c r="C1269" s="60" t="inlineStr">
        <is>
          <t>Polar Supplie Lite-348</t>
        </is>
      </c>
      <c r="D1269" s="58" t="inlineStr">
        <is>
          <t>Office</t>
        </is>
      </c>
      <c r="E1269" s="58" t="inlineStr">
        <is>
          <t>Central</t>
        </is>
      </c>
      <c r="F1269" s="61" t="n">
        <v>2</v>
      </c>
      <c r="G1269" s="62" t="n">
        <v>482.16</v>
      </c>
      <c r="H1269" s="63" t="n">
        <v>0.028</v>
      </c>
      <c r="I1269" s="62" t="n">
        <v>312.79</v>
      </c>
      <c r="J1269" s="58" t="inlineStr">
        <is>
          <t>Store</t>
        </is>
      </c>
      <c r="K1269" s="62">
        <f>F1269*(G1269-H1269)</f>
        <v/>
      </c>
      <c r="L1269" s="62">
        <f>K1269-(F1269*I1269)</f>
        <v/>
      </c>
      <c r="M1269" s="64">
        <f>L1269/K1269</f>
        <v/>
      </c>
    </row>
    <row r="1270">
      <c r="A1270" s="58" t="inlineStr">
        <is>
          <t>RT20250201-01269</t>
        </is>
      </c>
      <c r="B1270" s="59" t="inlineStr">
        <is>
          <t>2025-02-01</t>
        </is>
      </c>
      <c r="C1270" s="60" t="inlineStr">
        <is>
          <t>Polar Decor X-935</t>
        </is>
      </c>
      <c r="D1270" s="58" t="inlineStr">
        <is>
          <t>Home</t>
        </is>
      </c>
      <c r="E1270" s="58" t="inlineStr">
        <is>
          <t>East</t>
        </is>
      </c>
      <c r="F1270" s="61" t="n">
        <v>2</v>
      </c>
      <c r="G1270" s="62" t="n">
        <v>294.42</v>
      </c>
      <c r="H1270" s="63" t="n">
        <v>0.064</v>
      </c>
      <c r="I1270" s="62" t="n">
        <v>206.09</v>
      </c>
      <c r="J1270" s="58" t="inlineStr">
        <is>
          <t>Store</t>
        </is>
      </c>
      <c r="K1270" s="62">
        <f>F1270*(G1270-H1270)</f>
        <v/>
      </c>
      <c r="L1270" s="62">
        <f>K1270-(F1270*I1270)</f>
        <v/>
      </c>
      <c r="M1270" s="64">
        <f>L1270/K1270</f>
        <v/>
      </c>
    </row>
    <row r="1271">
      <c r="A1271" s="58" t="inlineStr">
        <is>
          <t>RT20250201-01270</t>
        </is>
      </c>
      <c r="B1271" s="59" t="inlineStr">
        <is>
          <t>2025-02-01</t>
        </is>
      </c>
      <c r="C1271" s="60" t="inlineStr">
        <is>
          <t>Falcon Team Sport Lite-268</t>
        </is>
      </c>
      <c r="D1271" s="58" t="inlineStr">
        <is>
          <t>Sports</t>
        </is>
      </c>
      <c r="E1271" s="58" t="inlineStr">
        <is>
          <t>South</t>
        </is>
      </c>
      <c r="F1271" s="61" t="n">
        <v>3</v>
      </c>
      <c r="G1271" s="62" t="n">
        <v>647.15</v>
      </c>
      <c r="H1271" s="63" t="n">
        <v>0.105</v>
      </c>
      <c r="I1271" s="62" t="n">
        <v>439.53</v>
      </c>
      <c r="J1271" s="58" t="inlineStr">
        <is>
          <t>Online</t>
        </is>
      </c>
      <c r="K1271" s="62">
        <f>F1271*(G1271-H1271)</f>
        <v/>
      </c>
      <c r="L1271" s="62">
        <f>K1271-(F1271*I1271)</f>
        <v/>
      </c>
      <c r="M1271" s="64">
        <f>L1271/K1271</f>
        <v/>
      </c>
    </row>
    <row r="1272">
      <c r="A1272" s="58" t="inlineStr">
        <is>
          <t>RT20250201-01271</t>
        </is>
      </c>
      <c r="B1272" s="59" t="inlineStr">
        <is>
          <t>2025-02-01</t>
        </is>
      </c>
      <c r="C1272" s="60" t="inlineStr">
        <is>
          <t>Vertex Accessorie Pro-881</t>
        </is>
      </c>
      <c r="D1272" s="58" t="inlineStr">
        <is>
          <t>Apparel</t>
        </is>
      </c>
      <c r="E1272" s="58" t="inlineStr">
        <is>
          <t>South</t>
        </is>
      </c>
      <c r="F1272" s="61" t="n">
        <v>3</v>
      </c>
      <c r="G1272" s="62" t="n">
        <v>103.43</v>
      </c>
      <c r="H1272" s="63" t="n">
        <v>0.017</v>
      </c>
      <c r="I1272" s="62" t="n">
        <v>61.7</v>
      </c>
      <c r="J1272" s="58" t="inlineStr">
        <is>
          <t>Online</t>
        </is>
      </c>
      <c r="K1272" s="62">
        <f>F1272*(G1272-H1272)</f>
        <v/>
      </c>
      <c r="L1272" s="62">
        <f>K1272-(F1272*I1272)</f>
        <v/>
      </c>
      <c r="M1272" s="64">
        <f>L1272/K1272</f>
        <v/>
      </c>
    </row>
    <row r="1273">
      <c r="A1273" s="58" t="inlineStr">
        <is>
          <t>RT20250201-01272</t>
        </is>
      </c>
      <c r="B1273" s="59" t="inlineStr">
        <is>
          <t>2025-02-01</t>
        </is>
      </c>
      <c r="C1273" s="60" t="inlineStr">
        <is>
          <t>Solace Laptop S-367</t>
        </is>
      </c>
      <c r="D1273" s="58" t="inlineStr">
        <is>
          <t>Electronics</t>
        </is>
      </c>
      <c r="E1273" s="58" t="inlineStr">
        <is>
          <t>Central</t>
        </is>
      </c>
      <c r="F1273" s="61" t="n">
        <v>1</v>
      </c>
      <c r="G1273" s="62" t="n">
        <v>2011.21</v>
      </c>
      <c r="H1273" s="63" t="n">
        <v>0.034</v>
      </c>
      <c r="I1273" s="62" t="n">
        <v>1524.58</v>
      </c>
      <c r="J1273" s="58" t="inlineStr">
        <is>
          <t>Store</t>
        </is>
      </c>
      <c r="K1273" s="62">
        <f>F1273*(G1273-H1273)</f>
        <v/>
      </c>
      <c r="L1273" s="62">
        <f>K1273-(F1273*I1273)</f>
        <v/>
      </c>
      <c r="M1273" s="64">
        <f>L1273/K1273</f>
        <v/>
      </c>
    </row>
    <row r="1274">
      <c r="A1274" s="58" t="inlineStr">
        <is>
          <t>RT20250201-01273</t>
        </is>
      </c>
      <c r="B1274" s="59" t="inlineStr">
        <is>
          <t>2025-02-01</t>
        </is>
      </c>
      <c r="C1274" s="60" t="inlineStr">
        <is>
          <t>Aurora Makeup Pro-489</t>
        </is>
      </c>
      <c r="D1274" s="58" t="inlineStr">
        <is>
          <t>Beauty</t>
        </is>
      </c>
      <c r="E1274" s="58" t="inlineStr">
        <is>
          <t>East</t>
        </is>
      </c>
      <c r="F1274" s="61" t="n">
        <v>3</v>
      </c>
      <c r="G1274" s="62" t="n">
        <v>104.91</v>
      </c>
      <c r="H1274" s="63" t="n">
        <v>0.102</v>
      </c>
      <c r="I1274" s="62" t="n">
        <v>64</v>
      </c>
      <c r="J1274" s="58" t="inlineStr">
        <is>
          <t>Store</t>
        </is>
      </c>
      <c r="K1274" s="62">
        <f>F1274*(G1274-H1274)</f>
        <v/>
      </c>
      <c r="L1274" s="62">
        <f>K1274-(F1274*I1274)</f>
        <v/>
      </c>
      <c r="M1274" s="64">
        <f>L1274/K1274</f>
        <v/>
      </c>
    </row>
    <row r="1275">
      <c r="A1275" s="58" t="inlineStr">
        <is>
          <t>RT20250201-01274</t>
        </is>
      </c>
      <c r="B1275" s="59" t="inlineStr">
        <is>
          <t>2025-02-01</t>
        </is>
      </c>
      <c r="C1275" s="60" t="inlineStr">
        <is>
          <t>Metro Decor Lite-325</t>
        </is>
      </c>
      <c r="D1275" s="58" t="inlineStr">
        <is>
          <t>Home</t>
        </is>
      </c>
      <c r="E1275" s="58" t="inlineStr">
        <is>
          <t>North</t>
        </is>
      </c>
      <c r="F1275" s="61" t="n">
        <v>1</v>
      </c>
      <c r="G1275" s="62" t="n">
        <v>559</v>
      </c>
      <c r="H1275" s="63" t="n">
        <v>0.046</v>
      </c>
      <c r="I1275" s="62" t="n">
        <v>388.2</v>
      </c>
      <c r="J1275" s="58" t="inlineStr">
        <is>
          <t>Online</t>
        </is>
      </c>
      <c r="K1275" s="62">
        <f>F1275*(G1275-H1275)</f>
        <v/>
      </c>
      <c r="L1275" s="62">
        <f>K1275-(F1275*I1275)</f>
        <v/>
      </c>
      <c r="M1275" s="64">
        <f>L1275/K1275</f>
        <v/>
      </c>
    </row>
    <row r="1276">
      <c r="A1276" s="58" t="inlineStr">
        <is>
          <t>RT20250201-01275</t>
        </is>
      </c>
      <c r="B1276" s="59" t="inlineStr">
        <is>
          <t>2025-02-01</t>
        </is>
      </c>
      <c r="C1276" s="60" t="inlineStr">
        <is>
          <t>Aurora Outdoor Pro-467</t>
        </is>
      </c>
      <c r="D1276" s="58" t="inlineStr">
        <is>
          <t>Sports</t>
        </is>
      </c>
      <c r="E1276" s="58" t="inlineStr">
        <is>
          <t>South</t>
        </is>
      </c>
      <c r="F1276" s="61" t="n">
        <v>2</v>
      </c>
      <c r="G1276" s="62" t="n">
        <v>293.21</v>
      </c>
      <c r="H1276" s="63" t="n">
        <v>0.031</v>
      </c>
      <c r="I1276" s="62" t="n">
        <v>194.18</v>
      </c>
      <c r="J1276" s="58" t="inlineStr">
        <is>
          <t>Online</t>
        </is>
      </c>
      <c r="K1276" s="62">
        <f>F1276*(G1276-H1276)</f>
        <v/>
      </c>
      <c r="L1276" s="62">
        <f>K1276-(F1276*I1276)</f>
        <v/>
      </c>
      <c r="M1276" s="64">
        <f>L1276/K1276</f>
        <v/>
      </c>
    </row>
    <row r="1277">
      <c r="A1277" s="58" t="inlineStr">
        <is>
          <t>RT20250201-01276</t>
        </is>
      </c>
      <c r="B1277" s="59" t="inlineStr">
        <is>
          <t>2025-02-01</t>
        </is>
      </c>
      <c r="C1277" s="60" t="inlineStr">
        <is>
          <t>Orion Kid Max-864</t>
        </is>
      </c>
      <c r="D1277" s="58" t="inlineStr">
        <is>
          <t>Apparel</t>
        </is>
      </c>
      <c r="E1277" s="58" t="inlineStr">
        <is>
          <t>South</t>
        </is>
      </c>
      <c r="F1277" s="61" t="n">
        <v>2</v>
      </c>
      <c r="G1277" s="62" t="n">
        <v>91.05</v>
      </c>
      <c r="H1277" s="63" t="n">
        <v>0.062</v>
      </c>
      <c r="I1277" s="62" t="n">
        <v>46.43</v>
      </c>
      <c r="J1277" s="58" t="inlineStr">
        <is>
          <t>Online</t>
        </is>
      </c>
      <c r="K1277" s="62">
        <f>F1277*(G1277-H1277)</f>
        <v/>
      </c>
      <c r="L1277" s="62">
        <f>K1277-(F1277*I1277)</f>
        <v/>
      </c>
      <c r="M1277" s="64">
        <f>L1277/K1277</f>
        <v/>
      </c>
    </row>
    <row r="1278">
      <c r="A1278" s="58" t="inlineStr">
        <is>
          <t>RT20250201-01277</t>
        </is>
      </c>
      <c r="B1278" s="59" t="inlineStr">
        <is>
          <t>2025-02-01</t>
        </is>
      </c>
      <c r="C1278" s="60" t="inlineStr">
        <is>
          <t>Nimbus Women Lite-814</t>
        </is>
      </c>
      <c r="D1278" s="58" t="inlineStr">
        <is>
          <t>Apparel</t>
        </is>
      </c>
      <c r="E1278" s="58" t="inlineStr">
        <is>
          <t>North</t>
        </is>
      </c>
      <c r="F1278" s="61" t="n">
        <v>3</v>
      </c>
      <c r="G1278" s="62" t="n">
        <v>154.05</v>
      </c>
      <c r="H1278" s="63" t="n">
        <v>0.06</v>
      </c>
      <c r="I1278" s="62" t="n">
        <v>86.05</v>
      </c>
      <c r="J1278" s="58" t="inlineStr">
        <is>
          <t>Online</t>
        </is>
      </c>
      <c r="K1278" s="62">
        <f>F1278*(G1278-H1278)</f>
        <v/>
      </c>
      <c r="L1278" s="62">
        <f>K1278-(F1278*I1278)</f>
        <v/>
      </c>
      <c r="M1278" s="64">
        <f>L1278/K1278</f>
        <v/>
      </c>
    </row>
    <row r="1279">
      <c r="A1279" s="58" t="inlineStr">
        <is>
          <t>RT20250201-01278</t>
        </is>
      </c>
      <c r="B1279" s="59" t="inlineStr">
        <is>
          <t>2025-02-01</t>
        </is>
      </c>
      <c r="C1279" s="60" t="inlineStr">
        <is>
          <t>Aurora Makeup Pro-489</t>
        </is>
      </c>
      <c r="D1279" s="58" t="inlineStr">
        <is>
          <t>Beauty</t>
        </is>
      </c>
      <c r="E1279" s="58" t="inlineStr">
        <is>
          <t>West</t>
        </is>
      </c>
      <c r="F1279" s="61" t="n">
        <v>5</v>
      </c>
      <c r="G1279" s="62" t="n">
        <v>91.62</v>
      </c>
      <c r="H1279" s="63" t="n">
        <v>0.053</v>
      </c>
      <c r="I1279" s="62" t="n">
        <v>63.15</v>
      </c>
      <c r="J1279" s="58" t="inlineStr">
        <is>
          <t>Online</t>
        </is>
      </c>
      <c r="K1279" s="62">
        <f>F1279*(G1279-H1279)</f>
        <v/>
      </c>
      <c r="L1279" s="62">
        <f>K1279-(F1279*I1279)</f>
        <v/>
      </c>
      <c r="M1279" s="64">
        <f>L1279/K1279</f>
        <v/>
      </c>
    </row>
    <row r="1280">
      <c r="A1280" s="58" t="inlineStr">
        <is>
          <t>RT20250201-01279</t>
        </is>
      </c>
      <c r="B1280" s="59" t="inlineStr">
        <is>
          <t>2025-02-01</t>
        </is>
      </c>
      <c r="C1280" s="60" t="inlineStr">
        <is>
          <t>Vertex Skincare Pro-891</t>
        </is>
      </c>
      <c r="D1280" s="58" t="inlineStr">
        <is>
          <t>Beauty</t>
        </is>
      </c>
      <c r="E1280" s="58" t="inlineStr">
        <is>
          <t>West</t>
        </is>
      </c>
      <c r="F1280" s="61" t="n">
        <v>2</v>
      </c>
      <c r="G1280" s="62" t="n">
        <v>143.71</v>
      </c>
      <c r="H1280" s="63" t="n">
        <v>0.004</v>
      </c>
      <c r="I1280" s="62" t="n">
        <v>89.51000000000001</v>
      </c>
      <c r="J1280" s="58" t="inlineStr">
        <is>
          <t>Store</t>
        </is>
      </c>
      <c r="K1280" s="62">
        <f>F1280*(G1280-H1280)</f>
        <v/>
      </c>
      <c r="L1280" s="62">
        <f>K1280-(F1280*I1280)</f>
        <v/>
      </c>
      <c r="M1280" s="64">
        <f>L1280/K1280</f>
        <v/>
      </c>
    </row>
    <row r="1281">
      <c r="A1281" s="58" t="inlineStr">
        <is>
          <t>RT20250201-01280</t>
        </is>
      </c>
      <c r="B1281" s="59" t="inlineStr">
        <is>
          <t>2025-02-01</t>
        </is>
      </c>
      <c r="C1281" s="60" t="inlineStr">
        <is>
          <t>Vertex Furniture S-652</t>
        </is>
      </c>
      <c r="D1281" s="58" t="inlineStr">
        <is>
          <t>Office</t>
        </is>
      </c>
      <c r="E1281" s="58" t="inlineStr">
        <is>
          <t>East</t>
        </is>
      </c>
      <c r="F1281" s="61" t="n">
        <v>3</v>
      </c>
      <c r="G1281" s="62" t="n">
        <v>319.78</v>
      </c>
      <c r="H1281" s="63" t="n">
        <v>0.08400000000000001</v>
      </c>
      <c r="I1281" s="62" t="n">
        <v>263.49</v>
      </c>
      <c r="J1281" s="58" t="inlineStr">
        <is>
          <t>Online</t>
        </is>
      </c>
      <c r="K1281" s="62">
        <f>F1281*(G1281-H1281)</f>
        <v/>
      </c>
      <c r="L1281" s="62">
        <f>K1281-(F1281*I1281)</f>
        <v/>
      </c>
      <c r="M1281" s="64">
        <f>L1281/K1281</f>
        <v/>
      </c>
    </row>
    <row r="1282">
      <c r="A1282" s="58" t="inlineStr">
        <is>
          <t>RT20250201-01281</t>
        </is>
      </c>
      <c r="B1282" s="59" t="inlineStr">
        <is>
          <t>2025-02-01</t>
        </is>
      </c>
      <c r="C1282" s="60" t="inlineStr">
        <is>
          <t>Vertex Smartphone Lite-267</t>
        </is>
      </c>
      <c r="D1282" s="58" t="inlineStr">
        <is>
          <t>Electronics</t>
        </is>
      </c>
      <c r="E1282" s="58" t="inlineStr">
        <is>
          <t>East</t>
        </is>
      </c>
      <c r="F1282" s="61" t="n">
        <v>1</v>
      </c>
      <c r="G1282" s="62" t="n">
        <v>1187.73</v>
      </c>
      <c r="H1282" s="63" t="n">
        <v>0.06</v>
      </c>
      <c r="I1282" s="62" t="n">
        <v>980.54</v>
      </c>
      <c r="J1282" s="58" t="inlineStr">
        <is>
          <t>Store</t>
        </is>
      </c>
      <c r="K1282" s="62">
        <f>F1282*(G1282-H1282)</f>
        <v/>
      </c>
      <c r="L1282" s="62">
        <f>K1282-(F1282*I1282)</f>
        <v/>
      </c>
      <c r="M1282" s="64">
        <f>L1282/K1282</f>
        <v/>
      </c>
    </row>
    <row r="1283">
      <c r="A1283" s="58" t="inlineStr">
        <is>
          <t>RT20250201-01282</t>
        </is>
      </c>
      <c r="B1283" s="59" t="inlineStr">
        <is>
          <t>2025-02-01</t>
        </is>
      </c>
      <c r="C1283" s="60" t="inlineStr">
        <is>
          <t>Metro Laptop Plus-376</t>
        </is>
      </c>
      <c r="D1283" s="58" t="inlineStr">
        <is>
          <t>Electronics</t>
        </is>
      </c>
      <c r="E1283" s="58" t="inlineStr">
        <is>
          <t>Central</t>
        </is>
      </c>
      <c r="F1283" s="61" t="n">
        <v>1</v>
      </c>
      <c r="G1283" s="62" t="n">
        <v>1344.95</v>
      </c>
      <c r="H1283" s="63" t="n">
        <v>0.049</v>
      </c>
      <c r="I1283" s="62" t="n">
        <v>1066.24</v>
      </c>
      <c r="J1283" s="58" t="inlineStr">
        <is>
          <t>Store</t>
        </is>
      </c>
      <c r="K1283" s="62">
        <f>F1283*(G1283-H1283)</f>
        <v/>
      </c>
      <c r="L1283" s="62">
        <f>K1283-(F1283*I1283)</f>
        <v/>
      </c>
      <c r="M1283" s="64">
        <f>L1283/K1283</f>
        <v/>
      </c>
    </row>
    <row r="1284">
      <c r="A1284" s="58" t="inlineStr">
        <is>
          <t>RT20250201-01283</t>
        </is>
      </c>
      <c r="B1284" s="59" t="inlineStr">
        <is>
          <t>2025-02-01</t>
        </is>
      </c>
      <c r="C1284" s="60" t="inlineStr">
        <is>
          <t>Vertex Decor Pro-618</t>
        </is>
      </c>
      <c r="D1284" s="58" t="inlineStr">
        <is>
          <t>Home</t>
        </is>
      </c>
      <c r="E1284" s="58" t="inlineStr">
        <is>
          <t>West</t>
        </is>
      </c>
      <c r="F1284" s="61" t="n">
        <v>2</v>
      </c>
      <c r="G1284" s="62" t="n">
        <v>533.5</v>
      </c>
      <c r="H1284" s="63" t="n">
        <v>0.074</v>
      </c>
      <c r="I1284" s="62" t="n">
        <v>383.47</v>
      </c>
      <c r="J1284" s="58" t="inlineStr">
        <is>
          <t>Store</t>
        </is>
      </c>
      <c r="K1284" s="62">
        <f>F1284*(G1284-H1284)</f>
        <v/>
      </c>
      <c r="L1284" s="62">
        <f>K1284-(F1284*I1284)</f>
        <v/>
      </c>
      <c r="M1284" s="64">
        <f>L1284/K1284</f>
        <v/>
      </c>
    </row>
    <row r="1285">
      <c r="A1285" s="58" t="inlineStr">
        <is>
          <t>RT20250201-01284</t>
        </is>
      </c>
      <c r="B1285" s="59" t="inlineStr">
        <is>
          <t>2025-02-01</t>
        </is>
      </c>
      <c r="C1285" s="60" t="inlineStr">
        <is>
          <t>Nimbus Cycling Plus-911</t>
        </is>
      </c>
      <c r="D1285" s="58" t="inlineStr">
        <is>
          <t>Sports</t>
        </is>
      </c>
      <c r="E1285" s="58" t="inlineStr">
        <is>
          <t>West</t>
        </is>
      </c>
      <c r="F1285" s="61" t="n">
        <v>1</v>
      </c>
      <c r="G1285" s="62" t="n">
        <v>592.11</v>
      </c>
      <c r="H1285" s="63" t="n">
        <v>0.075</v>
      </c>
      <c r="I1285" s="62" t="n">
        <v>407.3</v>
      </c>
      <c r="J1285" s="58" t="inlineStr">
        <is>
          <t>Online</t>
        </is>
      </c>
      <c r="K1285" s="62">
        <f>F1285*(G1285-H1285)</f>
        <v/>
      </c>
      <c r="L1285" s="62">
        <f>K1285-(F1285*I1285)</f>
        <v/>
      </c>
      <c r="M1285" s="64">
        <f>L1285/K1285</f>
        <v/>
      </c>
    </row>
    <row r="1286">
      <c r="A1286" s="58" t="inlineStr">
        <is>
          <t>RT20250201-01285</t>
        </is>
      </c>
      <c r="B1286" s="59" t="inlineStr">
        <is>
          <t>2025-02-01</t>
        </is>
      </c>
      <c r="C1286" s="60" t="inlineStr">
        <is>
          <t>Solace Smartphone Lite-533</t>
        </is>
      </c>
      <c r="D1286" s="58" t="inlineStr">
        <is>
          <t>Electronics</t>
        </is>
      </c>
      <c r="E1286" s="58" t="inlineStr">
        <is>
          <t>West</t>
        </is>
      </c>
      <c r="F1286" s="61" t="n">
        <v>2</v>
      </c>
      <c r="G1286" s="62" t="n">
        <v>1023.51</v>
      </c>
      <c r="H1286" s="63" t="n">
        <v>0.065</v>
      </c>
      <c r="I1286" s="62" t="n">
        <v>915.59</v>
      </c>
      <c r="J1286" s="58" t="inlineStr">
        <is>
          <t>Online</t>
        </is>
      </c>
      <c r="K1286" s="62">
        <f>F1286*(G1286-H1286)</f>
        <v/>
      </c>
      <c r="L1286" s="62">
        <f>K1286-(F1286*I1286)</f>
        <v/>
      </c>
      <c r="M1286" s="64">
        <f>L1286/K1286</f>
        <v/>
      </c>
    </row>
    <row r="1287">
      <c r="A1287" s="58" t="inlineStr">
        <is>
          <t>RT20250201-01286</t>
        </is>
      </c>
      <c r="B1287" s="59" t="inlineStr">
        <is>
          <t>2025-02-01</t>
        </is>
      </c>
      <c r="C1287" s="60" t="inlineStr">
        <is>
          <t>Polar Outdoor X-193</t>
        </is>
      </c>
      <c r="D1287" s="58" t="inlineStr">
        <is>
          <t>Sports</t>
        </is>
      </c>
      <c r="E1287" s="58" t="inlineStr">
        <is>
          <t>Central</t>
        </is>
      </c>
      <c r="F1287" s="61" t="n">
        <v>3</v>
      </c>
      <c r="G1287" s="62" t="n">
        <v>654.88</v>
      </c>
      <c r="H1287" s="63" t="n">
        <v>0.008999999999999999</v>
      </c>
      <c r="I1287" s="62" t="n">
        <v>467.79</v>
      </c>
      <c r="J1287" s="58" t="inlineStr">
        <is>
          <t>Store</t>
        </is>
      </c>
      <c r="K1287" s="62">
        <f>F1287*(G1287-H1287)</f>
        <v/>
      </c>
      <c r="L1287" s="62">
        <f>K1287-(F1287*I1287)</f>
        <v/>
      </c>
      <c r="M1287" s="64">
        <f>L1287/K1287</f>
        <v/>
      </c>
    </row>
    <row r="1288">
      <c r="A1288" s="58" t="inlineStr">
        <is>
          <t>RT20250201-01287</t>
        </is>
      </c>
      <c r="B1288" s="59" t="inlineStr">
        <is>
          <t>2025-02-01</t>
        </is>
      </c>
      <c r="C1288" s="60" t="inlineStr">
        <is>
          <t>Polar Haircare Max-614</t>
        </is>
      </c>
      <c r="D1288" s="58" t="inlineStr">
        <is>
          <t>Beauty</t>
        </is>
      </c>
      <c r="E1288" s="58" t="inlineStr">
        <is>
          <t>East</t>
        </is>
      </c>
      <c r="F1288" s="61" t="n">
        <v>5</v>
      </c>
      <c r="G1288" s="62" t="n">
        <v>106.41</v>
      </c>
      <c r="H1288" s="63" t="n">
        <v>0.08400000000000001</v>
      </c>
      <c r="I1288" s="62" t="n">
        <v>67.43000000000001</v>
      </c>
      <c r="J1288" s="58" t="inlineStr">
        <is>
          <t>Phone</t>
        </is>
      </c>
      <c r="K1288" s="62">
        <f>F1288*(G1288-H1288)</f>
        <v/>
      </c>
      <c r="L1288" s="62">
        <f>K1288-(F1288*I1288)</f>
        <v/>
      </c>
      <c r="M1288" s="64">
        <f>L1288/K1288</f>
        <v/>
      </c>
    </row>
    <row r="1289">
      <c r="A1289" s="58" t="inlineStr">
        <is>
          <t>RT20250201-01288</t>
        </is>
      </c>
      <c r="B1289" s="59" t="inlineStr">
        <is>
          <t>2025-02-01</t>
        </is>
      </c>
      <c r="C1289" s="60" t="inlineStr">
        <is>
          <t>Nimbus Fitnes Lite-516</t>
        </is>
      </c>
      <c r="D1289" s="58" t="inlineStr">
        <is>
          <t>Sports</t>
        </is>
      </c>
      <c r="E1289" s="58" t="inlineStr">
        <is>
          <t>Central</t>
        </is>
      </c>
      <c r="F1289" s="61" t="n">
        <v>1</v>
      </c>
      <c r="G1289" s="62" t="n">
        <v>707.3200000000001</v>
      </c>
      <c r="H1289" s="63" t="n">
        <v>0.008</v>
      </c>
      <c r="I1289" s="62" t="n">
        <v>469.38</v>
      </c>
      <c r="J1289" s="58" t="inlineStr">
        <is>
          <t>Online</t>
        </is>
      </c>
      <c r="K1289" s="62">
        <f>F1289*(G1289-H1289)</f>
        <v/>
      </c>
      <c r="L1289" s="62">
        <f>K1289-(F1289*I1289)</f>
        <v/>
      </c>
      <c r="M1289" s="64">
        <f>L1289/K1289</f>
        <v/>
      </c>
    </row>
    <row r="1290">
      <c r="A1290" s="58" t="inlineStr">
        <is>
          <t>RT20250201-01289</t>
        </is>
      </c>
      <c r="B1290" s="59" t="inlineStr">
        <is>
          <t>2025-02-01</t>
        </is>
      </c>
      <c r="C1290" s="60" t="inlineStr">
        <is>
          <t>Vertex Supplie Pro-786</t>
        </is>
      </c>
      <c r="D1290" s="58" t="inlineStr">
        <is>
          <t>Office</t>
        </is>
      </c>
      <c r="E1290" s="58" t="inlineStr">
        <is>
          <t>West</t>
        </is>
      </c>
      <c r="F1290" s="61" t="n">
        <v>1</v>
      </c>
      <c r="G1290" s="62" t="n">
        <v>405.91</v>
      </c>
      <c r="H1290" s="63" t="n">
        <v>0.097</v>
      </c>
      <c r="I1290" s="62" t="n">
        <v>296.35</v>
      </c>
      <c r="J1290" s="58" t="inlineStr">
        <is>
          <t>Store</t>
        </is>
      </c>
      <c r="K1290" s="62">
        <f>F1290*(G1290-H1290)</f>
        <v/>
      </c>
      <c r="L1290" s="62">
        <f>K1290-(F1290*I1290)</f>
        <v/>
      </c>
      <c r="M1290" s="64">
        <f>L1290/K1290</f>
        <v/>
      </c>
    </row>
    <row r="1291">
      <c r="A1291" s="58" t="inlineStr">
        <is>
          <t>RT20250201-01290</t>
        </is>
      </c>
      <c r="B1291" s="59" t="inlineStr">
        <is>
          <t>2025-02-01</t>
        </is>
      </c>
      <c r="C1291" s="60" t="inlineStr">
        <is>
          <t>Orion Kid Max-864</t>
        </is>
      </c>
      <c r="D1291" s="58" t="inlineStr">
        <is>
          <t>Apparel</t>
        </is>
      </c>
      <c r="E1291" s="58" t="inlineStr">
        <is>
          <t>West</t>
        </is>
      </c>
      <c r="F1291" s="61" t="n">
        <v>2</v>
      </c>
      <c r="G1291" s="62" t="n">
        <v>80.02</v>
      </c>
      <c r="H1291" s="63" t="n">
        <v>0.056</v>
      </c>
      <c r="I1291" s="62" t="n">
        <v>46.52</v>
      </c>
      <c r="J1291" s="58" t="inlineStr">
        <is>
          <t>Store</t>
        </is>
      </c>
      <c r="K1291" s="62">
        <f>F1291*(G1291-H1291)</f>
        <v/>
      </c>
      <c r="L1291" s="62">
        <f>K1291-(F1291*I1291)</f>
        <v/>
      </c>
      <c r="M1291" s="64">
        <f>L1291/K1291</f>
        <v/>
      </c>
    </row>
    <row r="1292">
      <c r="A1292" s="58" t="inlineStr">
        <is>
          <t>RT20250201-01291</t>
        </is>
      </c>
      <c r="B1292" s="59" t="inlineStr">
        <is>
          <t>2025-02-01</t>
        </is>
      </c>
      <c r="C1292" s="60" t="inlineStr">
        <is>
          <t>Polar Beverage S-258</t>
        </is>
      </c>
      <c r="D1292" s="58" t="inlineStr">
        <is>
          <t>Grocery</t>
        </is>
      </c>
      <c r="E1292" s="58" t="inlineStr">
        <is>
          <t>West</t>
        </is>
      </c>
      <c r="F1292" s="61" t="n">
        <v>4</v>
      </c>
      <c r="G1292" s="62" t="n">
        <v>13.21</v>
      </c>
      <c r="H1292" s="63" t="n">
        <v>0.042</v>
      </c>
      <c r="I1292" s="62" t="n">
        <v>9.710000000000001</v>
      </c>
      <c r="J1292" s="58" t="inlineStr">
        <is>
          <t>Store</t>
        </is>
      </c>
      <c r="K1292" s="62">
        <f>F1292*(G1292-H1292)</f>
        <v/>
      </c>
      <c r="L1292" s="62">
        <f>K1292-(F1292*I1292)</f>
        <v/>
      </c>
      <c r="M1292" s="64">
        <f>L1292/K1292</f>
        <v/>
      </c>
    </row>
    <row r="1293">
      <c r="A1293" s="58" t="inlineStr">
        <is>
          <t>RT20250201-01292</t>
        </is>
      </c>
      <c r="B1293" s="59" t="inlineStr">
        <is>
          <t>2025-02-01</t>
        </is>
      </c>
      <c r="C1293" s="60" t="inlineStr">
        <is>
          <t>Polar Beverage S-258</t>
        </is>
      </c>
      <c r="D1293" s="58" t="inlineStr">
        <is>
          <t>Grocery</t>
        </is>
      </c>
      <c r="E1293" s="58" t="inlineStr">
        <is>
          <t>West</t>
        </is>
      </c>
      <c r="F1293" s="61" t="n">
        <v>4</v>
      </c>
      <c r="G1293" s="62" t="n">
        <v>12.87</v>
      </c>
      <c r="H1293" s="63" t="n">
        <v>0.055</v>
      </c>
      <c r="I1293" s="62" t="n">
        <v>9.779999999999999</v>
      </c>
      <c r="J1293" s="58" t="inlineStr">
        <is>
          <t>Online</t>
        </is>
      </c>
      <c r="K1293" s="62">
        <f>F1293*(G1293-H1293)</f>
        <v/>
      </c>
      <c r="L1293" s="62">
        <f>K1293-(F1293*I1293)</f>
        <v/>
      </c>
      <c r="M1293" s="64">
        <f>L1293/K1293</f>
        <v/>
      </c>
    </row>
    <row r="1294">
      <c r="A1294" s="58" t="inlineStr">
        <is>
          <t>RT20250201-01293</t>
        </is>
      </c>
      <c r="B1294" s="59" t="inlineStr">
        <is>
          <t>2025-02-01</t>
        </is>
      </c>
      <c r="C1294" s="60" t="inlineStr">
        <is>
          <t>Aurora Household Plus-146</t>
        </is>
      </c>
      <c r="D1294" s="58" t="inlineStr">
        <is>
          <t>Grocery</t>
        </is>
      </c>
      <c r="E1294" s="58" t="inlineStr">
        <is>
          <t>East</t>
        </is>
      </c>
      <c r="F1294" s="61" t="n">
        <v>3</v>
      </c>
      <c r="G1294" s="62" t="n">
        <v>6.84</v>
      </c>
      <c r="H1294" s="63" t="n">
        <v>0.099</v>
      </c>
      <c r="I1294" s="62" t="n">
        <v>4.45</v>
      </c>
      <c r="J1294" s="58" t="inlineStr">
        <is>
          <t>Store</t>
        </is>
      </c>
      <c r="K1294" s="62">
        <f>F1294*(G1294-H1294)</f>
        <v/>
      </c>
      <c r="L1294" s="62">
        <f>K1294-(F1294*I1294)</f>
        <v/>
      </c>
      <c r="M1294" s="64">
        <f>L1294/K1294</f>
        <v/>
      </c>
    </row>
    <row r="1295">
      <c r="A1295" s="58" t="inlineStr">
        <is>
          <t>RT20250201-01294</t>
        </is>
      </c>
      <c r="B1295" s="59" t="inlineStr">
        <is>
          <t>2025-02-01</t>
        </is>
      </c>
      <c r="C1295" s="60" t="inlineStr">
        <is>
          <t>Falcon Bedding S-674</t>
        </is>
      </c>
      <c r="D1295" s="58" t="inlineStr">
        <is>
          <t>Home</t>
        </is>
      </c>
      <c r="E1295" s="58" t="inlineStr">
        <is>
          <t>East</t>
        </is>
      </c>
      <c r="F1295" s="61" t="n">
        <v>3</v>
      </c>
      <c r="G1295" s="62" t="n">
        <v>756.4400000000001</v>
      </c>
      <c r="H1295" s="63" t="n">
        <v>0.06900000000000001</v>
      </c>
      <c r="I1295" s="62" t="n">
        <v>445.77</v>
      </c>
      <c r="J1295" s="58" t="inlineStr">
        <is>
          <t>Store</t>
        </is>
      </c>
      <c r="K1295" s="62">
        <f>F1295*(G1295-H1295)</f>
        <v/>
      </c>
      <c r="L1295" s="62">
        <f>K1295-(F1295*I1295)</f>
        <v/>
      </c>
      <c r="M1295" s="64">
        <f>L1295/K1295</f>
        <v/>
      </c>
    </row>
    <row r="1296">
      <c r="A1296" s="58" t="inlineStr">
        <is>
          <t>RT20250201-01295</t>
        </is>
      </c>
      <c r="B1296" s="59" t="inlineStr">
        <is>
          <t>2025-02-01</t>
        </is>
      </c>
      <c r="C1296" s="60" t="inlineStr">
        <is>
          <t>Polar Supplie Lite-348</t>
        </is>
      </c>
      <c r="D1296" s="58" t="inlineStr">
        <is>
          <t>Office</t>
        </is>
      </c>
      <c r="E1296" s="58" t="inlineStr">
        <is>
          <t>West</t>
        </is>
      </c>
      <c r="F1296" s="61" t="n">
        <v>1</v>
      </c>
      <c r="G1296" s="62" t="n">
        <v>467.34</v>
      </c>
      <c r="H1296" s="63" t="n">
        <v>0.045</v>
      </c>
      <c r="I1296" s="62" t="n">
        <v>311.7</v>
      </c>
      <c r="J1296" s="58" t="inlineStr">
        <is>
          <t>Store</t>
        </is>
      </c>
      <c r="K1296" s="62">
        <f>F1296*(G1296-H1296)</f>
        <v/>
      </c>
      <c r="L1296" s="62">
        <f>K1296-(F1296*I1296)</f>
        <v/>
      </c>
      <c r="M1296" s="64">
        <f>L1296/K1296</f>
        <v/>
      </c>
    </row>
    <row r="1297">
      <c r="A1297" s="58" t="inlineStr">
        <is>
          <t>RT20250201-01296</t>
        </is>
      </c>
      <c r="B1297" s="59" t="inlineStr">
        <is>
          <t>2025-02-01</t>
        </is>
      </c>
      <c r="C1297" s="60" t="inlineStr">
        <is>
          <t>Aurora Fragrance S-971</t>
        </is>
      </c>
      <c r="D1297" s="58" t="inlineStr">
        <is>
          <t>Beauty</t>
        </is>
      </c>
      <c r="E1297" s="58" t="inlineStr">
        <is>
          <t>West</t>
        </is>
      </c>
      <c r="F1297" s="61" t="n">
        <v>1</v>
      </c>
      <c r="G1297" s="62" t="n">
        <v>95.26000000000001</v>
      </c>
      <c r="H1297" s="63" t="n">
        <v>0.056</v>
      </c>
      <c r="I1297" s="62" t="n">
        <v>66.01000000000001</v>
      </c>
      <c r="J1297" s="58" t="inlineStr">
        <is>
          <t>Online</t>
        </is>
      </c>
      <c r="K1297" s="62">
        <f>F1297*(G1297-H1297)</f>
        <v/>
      </c>
      <c r="L1297" s="62">
        <f>K1297-(F1297*I1297)</f>
        <v/>
      </c>
      <c r="M1297" s="64">
        <f>L1297/K1297</f>
        <v/>
      </c>
    </row>
    <row r="1298">
      <c r="A1298" s="58" t="inlineStr">
        <is>
          <t>RT20250201-01297</t>
        </is>
      </c>
      <c r="B1298" s="59" t="inlineStr">
        <is>
          <t>2025-02-01</t>
        </is>
      </c>
      <c r="C1298" s="60" t="inlineStr">
        <is>
          <t>Falcon Household Pro-865</t>
        </is>
      </c>
      <c r="D1298" s="58" t="inlineStr">
        <is>
          <t>Grocery</t>
        </is>
      </c>
      <c r="E1298" s="58" t="inlineStr">
        <is>
          <t>Central</t>
        </is>
      </c>
      <c r="F1298" s="61" t="n">
        <v>2</v>
      </c>
      <c r="G1298" s="62" t="n">
        <v>11.03</v>
      </c>
      <c r="H1298" s="63" t="n">
        <v>0</v>
      </c>
      <c r="I1298" s="62" t="n">
        <v>7.68</v>
      </c>
      <c r="J1298" s="58" t="inlineStr">
        <is>
          <t>Online</t>
        </is>
      </c>
      <c r="K1298" s="62">
        <f>F1298*(G1298-H1298)</f>
        <v/>
      </c>
      <c r="L1298" s="62">
        <f>K1298-(F1298*I1298)</f>
        <v/>
      </c>
      <c r="M1298" s="64">
        <f>L1298/K1298</f>
        <v/>
      </c>
    </row>
    <row r="1299">
      <c r="A1299" s="58" t="inlineStr">
        <is>
          <t>RT20250201-01298</t>
        </is>
      </c>
      <c r="B1299" s="59" t="inlineStr">
        <is>
          <t>2025-02-01</t>
        </is>
      </c>
      <c r="C1299" s="60" t="inlineStr">
        <is>
          <t>Solace Smartphone Lite-533</t>
        </is>
      </c>
      <c r="D1299" s="58" t="inlineStr">
        <is>
          <t>Electronics</t>
        </is>
      </c>
      <c r="E1299" s="58" t="inlineStr">
        <is>
          <t>East</t>
        </is>
      </c>
      <c r="F1299" s="61" t="n">
        <v>1</v>
      </c>
      <c r="G1299" s="62" t="n">
        <v>1128.04</v>
      </c>
      <c r="H1299" s="63" t="n">
        <v>0.076</v>
      </c>
      <c r="I1299" s="62" t="n">
        <v>946.38</v>
      </c>
      <c r="J1299" s="58" t="inlineStr">
        <is>
          <t>Online</t>
        </is>
      </c>
      <c r="K1299" s="62">
        <f>F1299*(G1299-H1299)</f>
        <v/>
      </c>
      <c r="L1299" s="62">
        <f>K1299-(F1299*I1299)</f>
        <v/>
      </c>
      <c r="M1299" s="64">
        <f>L1299/K1299</f>
        <v/>
      </c>
    </row>
    <row r="1300">
      <c r="A1300" s="58" t="inlineStr">
        <is>
          <t>RT20250201-01299</t>
        </is>
      </c>
      <c r="B1300" s="59" t="inlineStr">
        <is>
          <t>2025-02-01</t>
        </is>
      </c>
      <c r="C1300" s="60" t="inlineStr">
        <is>
          <t>Metro Laptop Plus-376</t>
        </is>
      </c>
      <c r="D1300" s="58" t="inlineStr">
        <is>
          <t>Electronics</t>
        </is>
      </c>
      <c r="E1300" s="58" t="inlineStr">
        <is>
          <t>East</t>
        </is>
      </c>
      <c r="F1300" s="61" t="n">
        <v>2</v>
      </c>
      <c r="G1300" s="62" t="n">
        <v>1312.51</v>
      </c>
      <c r="H1300" s="63" t="n">
        <v>0.097</v>
      </c>
      <c r="I1300" s="62" t="n">
        <v>1018.63</v>
      </c>
      <c r="J1300" s="58" t="inlineStr">
        <is>
          <t>Online</t>
        </is>
      </c>
      <c r="K1300" s="62">
        <f>F1300*(G1300-H1300)</f>
        <v/>
      </c>
      <c r="L1300" s="62">
        <f>K1300-(F1300*I1300)</f>
        <v/>
      </c>
      <c r="M1300" s="64">
        <f>L1300/K1300</f>
        <v/>
      </c>
    </row>
    <row r="1301">
      <c r="A1301" s="58" t="inlineStr">
        <is>
          <t>RT20250201-01300</t>
        </is>
      </c>
      <c r="B1301" s="59" t="inlineStr">
        <is>
          <t>2025-02-01</t>
        </is>
      </c>
      <c r="C1301" s="60" t="inlineStr">
        <is>
          <t>Nimbus Makeup Max-158</t>
        </is>
      </c>
      <c r="D1301" s="58" t="inlineStr">
        <is>
          <t>Beauty</t>
        </is>
      </c>
      <c r="E1301" s="58" t="inlineStr">
        <is>
          <t>North</t>
        </is>
      </c>
      <c r="F1301" s="61" t="n">
        <v>3</v>
      </c>
      <c r="G1301" s="62" t="n">
        <v>170.82</v>
      </c>
      <c r="H1301" s="63" t="n">
        <v>0.018</v>
      </c>
      <c r="I1301" s="62" t="n">
        <v>96.64</v>
      </c>
      <c r="J1301" s="58" t="inlineStr">
        <is>
          <t>Store</t>
        </is>
      </c>
      <c r="K1301" s="62">
        <f>F1301*(G1301-H1301)</f>
        <v/>
      </c>
      <c r="L1301" s="62">
        <f>K1301-(F1301*I1301)</f>
        <v/>
      </c>
      <c r="M1301" s="64">
        <f>L1301/K1301</f>
        <v/>
      </c>
    </row>
    <row r="1302">
      <c r="A1302" s="58" t="inlineStr">
        <is>
          <t>RT20250201-01301</t>
        </is>
      </c>
      <c r="B1302" s="59" t="inlineStr">
        <is>
          <t>2025-02-01</t>
        </is>
      </c>
      <c r="C1302" s="60" t="inlineStr">
        <is>
          <t>Vertex Pantry Pro-165</t>
        </is>
      </c>
      <c r="D1302" s="58" t="inlineStr">
        <is>
          <t>Grocery</t>
        </is>
      </c>
      <c r="E1302" s="58" t="inlineStr">
        <is>
          <t>North</t>
        </is>
      </c>
      <c r="F1302" s="61" t="n">
        <v>7</v>
      </c>
      <c r="G1302" s="62" t="n">
        <v>16.1</v>
      </c>
      <c r="H1302" s="63" t="n">
        <v>0.038</v>
      </c>
      <c r="I1302" s="62" t="n">
        <v>11.67</v>
      </c>
      <c r="J1302" s="58" t="inlineStr">
        <is>
          <t>Phone</t>
        </is>
      </c>
      <c r="K1302" s="62">
        <f>F1302*(G1302-H1302)</f>
        <v/>
      </c>
      <c r="L1302" s="62">
        <f>K1302-(F1302*I1302)</f>
        <v/>
      </c>
      <c r="M1302" s="64">
        <f>L1302/K1302</f>
        <v/>
      </c>
    </row>
    <row r="1303">
      <c r="A1303" s="58" t="inlineStr">
        <is>
          <t>RT20250201-01302</t>
        </is>
      </c>
      <c r="B1303" s="59" t="inlineStr">
        <is>
          <t>2025-02-01</t>
        </is>
      </c>
      <c r="C1303" s="60" t="inlineStr">
        <is>
          <t>Aurora Printer Plus-991</t>
        </is>
      </c>
      <c r="D1303" s="58" t="inlineStr">
        <is>
          <t>Office</t>
        </is>
      </c>
      <c r="E1303" s="58" t="inlineStr">
        <is>
          <t>Central</t>
        </is>
      </c>
      <c r="F1303" s="61" t="n">
        <v>1</v>
      </c>
      <c r="G1303" s="62" t="n">
        <v>581.41</v>
      </c>
      <c r="H1303" s="63" t="n">
        <v>0.108</v>
      </c>
      <c r="I1303" s="62" t="n">
        <v>365.26</v>
      </c>
      <c r="J1303" s="58" t="inlineStr">
        <is>
          <t>Phone</t>
        </is>
      </c>
      <c r="K1303" s="62">
        <f>F1303*(G1303-H1303)</f>
        <v/>
      </c>
      <c r="L1303" s="62">
        <f>K1303-(F1303*I1303)</f>
        <v/>
      </c>
      <c r="M1303" s="64">
        <f>L1303/K1303</f>
        <v/>
      </c>
    </row>
    <row r="1304">
      <c r="A1304" s="58" t="inlineStr">
        <is>
          <t>RT20250201-01303</t>
        </is>
      </c>
      <c r="B1304" s="59" t="inlineStr">
        <is>
          <t>2025-02-01</t>
        </is>
      </c>
      <c r="C1304" s="60" t="inlineStr">
        <is>
          <t>Falcon Household Pro-865</t>
        </is>
      </c>
      <c r="D1304" s="58" t="inlineStr">
        <is>
          <t>Grocery</t>
        </is>
      </c>
      <c r="E1304" s="58" t="inlineStr">
        <is>
          <t>West</t>
        </is>
      </c>
      <c r="F1304" s="61" t="n">
        <v>5</v>
      </c>
      <c r="G1304" s="62" t="n">
        <v>11.77</v>
      </c>
      <c r="H1304" s="63" t="n">
        <v>0.07099999999999999</v>
      </c>
      <c r="I1304" s="62" t="n">
        <v>7.64</v>
      </c>
      <c r="J1304" s="58" t="inlineStr">
        <is>
          <t>Store</t>
        </is>
      </c>
      <c r="K1304" s="62">
        <f>F1304*(G1304-H1304)</f>
        <v/>
      </c>
      <c r="L1304" s="62">
        <f>K1304-(F1304*I1304)</f>
        <v/>
      </c>
      <c r="M1304" s="64">
        <f>L1304/K1304</f>
        <v/>
      </c>
    </row>
    <row r="1305">
      <c r="A1305" s="58" t="inlineStr">
        <is>
          <t>RT20250201-01304</t>
        </is>
      </c>
      <c r="B1305" s="59" t="inlineStr">
        <is>
          <t>2025-02-01</t>
        </is>
      </c>
      <c r="C1305" s="60" t="inlineStr">
        <is>
          <t>Solace Kitchen Pro-510</t>
        </is>
      </c>
      <c r="D1305" s="58" t="inlineStr">
        <is>
          <t>Home</t>
        </is>
      </c>
      <c r="E1305" s="58" t="inlineStr">
        <is>
          <t>South</t>
        </is>
      </c>
      <c r="F1305" s="61" t="n">
        <v>2</v>
      </c>
      <c r="G1305" s="62" t="n">
        <v>478.25</v>
      </c>
      <c r="H1305" s="63" t="n">
        <v>0.066</v>
      </c>
      <c r="I1305" s="62" t="n">
        <v>309.75</v>
      </c>
      <c r="J1305" s="58" t="inlineStr">
        <is>
          <t>Online</t>
        </is>
      </c>
      <c r="K1305" s="62">
        <f>F1305*(G1305-H1305)</f>
        <v/>
      </c>
      <c r="L1305" s="62">
        <f>K1305-(F1305*I1305)</f>
        <v/>
      </c>
      <c r="M1305" s="64">
        <f>L1305/K1305</f>
        <v/>
      </c>
    </row>
    <row r="1306">
      <c r="A1306" s="58" t="inlineStr">
        <is>
          <t>RT20250201-01305</t>
        </is>
      </c>
      <c r="B1306" s="59" t="inlineStr">
        <is>
          <t>2025-02-01</t>
        </is>
      </c>
      <c r="C1306" s="60" t="inlineStr">
        <is>
          <t>Vertex Smartphone Pro-256</t>
        </is>
      </c>
      <c r="D1306" s="58" t="inlineStr">
        <is>
          <t>Electronics</t>
        </is>
      </c>
      <c r="E1306" s="58" t="inlineStr">
        <is>
          <t>East</t>
        </is>
      </c>
      <c r="F1306" s="61" t="n">
        <v>2</v>
      </c>
      <c r="G1306" s="62" t="n">
        <v>1063.89</v>
      </c>
      <c r="H1306" s="63" t="n">
        <v>0.055</v>
      </c>
      <c r="I1306" s="62" t="n">
        <v>926.65</v>
      </c>
      <c r="J1306" s="58" t="inlineStr">
        <is>
          <t>Online</t>
        </is>
      </c>
      <c r="K1306" s="62">
        <f>F1306*(G1306-H1306)</f>
        <v/>
      </c>
      <c r="L1306" s="62">
        <f>K1306-(F1306*I1306)</f>
        <v/>
      </c>
      <c r="M1306" s="64">
        <f>L1306/K1306</f>
        <v/>
      </c>
    </row>
    <row r="1307">
      <c r="A1307" s="58" t="inlineStr">
        <is>
          <t>RT20250201-01306</t>
        </is>
      </c>
      <c r="B1307" s="59" t="inlineStr">
        <is>
          <t>2025-02-01</t>
        </is>
      </c>
      <c r="C1307" s="60" t="inlineStr">
        <is>
          <t>Solace Team Sport Max-548</t>
        </is>
      </c>
      <c r="D1307" s="58" t="inlineStr">
        <is>
          <t>Sports</t>
        </is>
      </c>
      <c r="E1307" s="58" t="inlineStr">
        <is>
          <t>North</t>
        </is>
      </c>
      <c r="F1307" s="61" t="n">
        <v>3</v>
      </c>
      <c r="G1307" s="62" t="n">
        <v>752.8</v>
      </c>
      <c r="H1307" s="63" t="n">
        <v>0.048</v>
      </c>
      <c r="I1307" s="62" t="n">
        <v>468.48</v>
      </c>
      <c r="J1307" s="58" t="inlineStr">
        <is>
          <t>Online</t>
        </is>
      </c>
      <c r="K1307" s="62">
        <f>F1307*(G1307-H1307)</f>
        <v/>
      </c>
      <c r="L1307" s="62">
        <f>K1307-(F1307*I1307)</f>
        <v/>
      </c>
      <c r="M1307" s="64">
        <f>L1307/K1307</f>
        <v/>
      </c>
    </row>
    <row r="1308">
      <c r="A1308" s="58" t="inlineStr">
        <is>
          <t>RT20250201-01307</t>
        </is>
      </c>
      <c r="B1308" s="59" t="inlineStr">
        <is>
          <t>2025-02-01</t>
        </is>
      </c>
      <c r="C1308" s="60" t="inlineStr">
        <is>
          <t>Vertex Appliance S-159</t>
        </is>
      </c>
      <c r="D1308" s="58" t="inlineStr">
        <is>
          <t>Home</t>
        </is>
      </c>
      <c r="E1308" s="58" t="inlineStr">
        <is>
          <t>Central</t>
        </is>
      </c>
      <c r="F1308" s="61" t="n">
        <v>3</v>
      </c>
      <c r="G1308" s="62" t="n">
        <v>411.69</v>
      </c>
      <c r="H1308" s="63" t="n">
        <v>0.103</v>
      </c>
      <c r="I1308" s="62" t="n">
        <v>301.25</v>
      </c>
      <c r="J1308" s="58" t="inlineStr">
        <is>
          <t>Store</t>
        </is>
      </c>
      <c r="K1308" s="62">
        <f>F1308*(G1308-H1308)</f>
        <v/>
      </c>
      <c r="L1308" s="62">
        <f>K1308-(F1308*I1308)</f>
        <v/>
      </c>
      <c r="M1308" s="64">
        <f>L1308/K1308</f>
        <v/>
      </c>
    </row>
    <row r="1309">
      <c r="A1309" s="58" t="inlineStr">
        <is>
          <t>RT20250202-01308</t>
        </is>
      </c>
      <c r="B1309" s="59" t="inlineStr">
        <is>
          <t>2025-02-02</t>
        </is>
      </c>
      <c r="C1309" s="60" t="inlineStr">
        <is>
          <t>Metro Decor Lite-325</t>
        </is>
      </c>
      <c r="D1309" s="58" t="inlineStr">
        <is>
          <t>Home</t>
        </is>
      </c>
      <c r="E1309" s="58" t="inlineStr">
        <is>
          <t>Central</t>
        </is>
      </c>
      <c r="F1309" s="61" t="n">
        <v>2</v>
      </c>
      <c r="G1309" s="62" t="n">
        <v>562.64</v>
      </c>
      <c r="H1309" s="63" t="n">
        <v>0.05</v>
      </c>
      <c r="I1309" s="62" t="n">
        <v>382.23</v>
      </c>
      <c r="J1309" s="58" t="inlineStr">
        <is>
          <t>Online</t>
        </is>
      </c>
      <c r="K1309" s="62">
        <f>F1309*(G1309-H1309)</f>
        <v/>
      </c>
      <c r="L1309" s="62">
        <f>K1309-(F1309*I1309)</f>
        <v/>
      </c>
      <c r="M1309" s="64">
        <f>L1309/K1309</f>
        <v/>
      </c>
    </row>
    <row r="1310">
      <c r="A1310" s="58" t="inlineStr">
        <is>
          <t>RT20250202-01309</t>
        </is>
      </c>
      <c r="B1310" s="59" t="inlineStr">
        <is>
          <t>2025-02-02</t>
        </is>
      </c>
      <c r="C1310" s="60" t="inlineStr">
        <is>
          <t>Aurora Makeup S-626</t>
        </is>
      </c>
      <c r="D1310" s="58" t="inlineStr">
        <is>
          <t>Beauty</t>
        </is>
      </c>
      <c r="E1310" s="58" t="inlineStr">
        <is>
          <t>South</t>
        </is>
      </c>
      <c r="F1310" s="61" t="n">
        <v>4</v>
      </c>
      <c r="G1310" s="62" t="n">
        <v>106.78</v>
      </c>
      <c r="H1310" s="63" t="n">
        <v>0.113</v>
      </c>
      <c r="I1310" s="62" t="n">
        <v>64.62</v>
      </c>
      <c r="J1310" s="58" t="inlineStr">
        <is>
          <t>Store</t>
        </is>
      </c>
      <c r="K1310" s="62">
        <f>F1310*(G1310-H1310)</f>
        <v/>
      </c>
      <c r="L1310" s="62">
        <f>K1310-(F1310*I1310)</f>
        <v/>
      </c>
      <c r="M1310" s="64">
        <f>L1310/K1310</f>
        <v/>
      </c>
    </row>
    <row r="1311">
      <c r="A1311" s="58" t="inlineStr">
        <is>
          <t>RT20250202-01310</t>
        </is>
      </c>
      <c r="B1311" s="59" t="inlineStr">
        <is>
          <t>2025-02-02</t>
        </is>
      </c>
      <c r="C1311" s="60" t="inlineStr">
        <is>
          <t>Solace Kitchen Pro-510</t>
        </is>
      </c>
      <c r="D1311" s="58" t="inlineStr">
        <is>
          <t>Home</t>
        </is>
      </c>
      <c r="E1311" s="58" t="inlineStr">
        <is>
          <t>North</t>
        </is>
      </c>
      <c r="F1311" s="61" t="n">
        <v>1</v>
      </c>
      <c r="G1311" s="62" t="n">
        <v>454.28</v>
      </c>
      <c r="H1311" s="63" t="n">
        <v>0.077</v>
      </c>
      <c r="I1311" s="62" t="n">
        <v>305.84</v>
      </c>
      <c r="J1311" s="58" t="inlineStr">
        <is>
          <t>Phone</t>
        </is>
      </c>
      <c r="K1311" s="62">
        <f>F1311*(G1311-H1311)</f>
        <v/>
      </c>
      <c r="L1311" s="62">
        <f>K1311-(F1311*I1311)</f>
        <v/>
      </c>
      <c r="M1311" s="64">
        <f>L1311/K1311</f>
        <v/>
      </c>
    </row>
    <row r="1312">
      <c r="A1312" s="58" t="inlineStr">
        <is>
          <t>RT20250202-01311</t>
        </is>
      </c>
      <c r="B1312" s="59" t="inlineStr">
        <is>
          <t>2025-02-02</t>
        </is>
      </c>
      <c r="C1312" s="60" t="inlineStr">
        <is>
          <t>Nimbus Women Lite-814</t>
        </is>
      </c>
      <c r="D1312" s="58" t="inlineStr">
        <is>
          <t>Apparel</t>
        </is>
      </c>
      <c r="E1312" s="58" t="inlineStr">
        <is>
          <t>Central</t>
        </is>
      </c>
      <c r="F1312" s="61" t="n">
        <v>2</v>
      </c>
      <c r="G1312" s="62" t="n">
        <v>162.57</v>
      </c>
      <c r="H1312" s="63" t="n">
        <v>0.066</v>
      </c>
      <c r="I1312" s="62" t="n">
        <v>82.90000000000001</v>
      </c>
      <c r="J1312" s="58" t="inlineStr">
        <is>
          <t>Online</t>
        </is>
      </c>
      <c r="K1312" s="62">
        <f>F1312*(G1312-H1312)</f>
        <v/>
      </c>
      <c r="L1312" s="62">
        <f>K1312-(F1312*I1312)</f>
        <v/>
      </c>
      <c r="M1312" s="64">
        <f>L1312/K1312</f>
        <v/>
      </c>
    </row>
    <row r="1313">
      <c r="A1313" s="58" t="inlineStr">
        <is>
          <t>RT20250202-01312</t>
        </is>
      </c>
      <c r="B1313" s="59" t="inlineStr">
        <is>
          <t>2025-02-02</t>
        </is>
      </c>
      <c r="C1313" s="60" t="inlineStr">
        <is>
          <t>Vertex Smartphone Pro-256</t>
        </is>
      </c>
      <c r="D1313" s="58" t="inlineStr">
        <is>
          <t>Electronics</t>
        </is>
      </c>
      <c r="E1313" s="58" t="inlineStr">
        <is>
          <t>East</t>
        </is>
      </c>
      <c r="F1313" s="61" t="n">
        <v>1</v>
      </c>
      <c r="G1313" s="62" t="n">
        <v>1355.49</v>
      </c>
      <c r="H1313" s="63" t="n">
        <v>0.057</v>
      </c>
      <c r="I1313" s="62" t="n">
        <v>923</v>
      </c>
      <c r="J1313" s="58" t="inlineStr">
        <is>
          <t>Online</t>
        </is>
      </c>
      <c r="K1313" s="62">
        <f>F1313*(G1313-H1313)</f>
        <v/>
      </c>
      <c r="L1313" s="62">
        <f>K1313-(F1313*I1313)</f>
        <v/>
      </c>
      <c r="M1313" s="64">
        <f>L1313/K1313</f>
        <v/>
      </c>
    </row>
    <row r="1314">
      <c r="A1314" s="58" t="inlineStr">
        <is>
          <t>RT20250202-01313</t>
        </is>
      </c>
      <c r="B1314" s="59" t="inlineStr">
        <is>
          <t>2025-02-02</t>
        </is>
      </c>
      <c r="C1314" s="60" t="inlineStr">
        <is>
          <t>Nimbus Furniture Pro-479</t>
        </is>
      </c>
      <c r="D1314" s="58" t="inlineStr">
        <is>
          <t>Office</t>
        </is>
      </c>
      <c r="E1314" s="58" t="inlineStr">
        <is>
          <t>Central</t>
        </is>
      </c>
      <c r="F1314" s="61" t="n">
        <v>1</v>
      </c>
      <c r="G1314" s="62" t="n">
        <v>343.79</v>
      </c>
      <c r="H1314" s="63" t="n">
        <v>0.081</v>
      </c>
      <c r="I1314" s="62" t="n">
        <v>242.85</v>
      </c>
      <c r="J1314" s="58" t="inlineStr">
        <is>
          <t>Online</t>
        </is>
      </c>
      <c r="K1314" s="62">
        <f>F1314*(G1314-H1314)</f>
        <v/>
      </c>
      <c r="L1314" s="62">
        <f>K1314-(F1314*I1314)</f>
        <v/>
      </c>
      <c r="M1314" s="64">
        <f>L1314/K1314</f>
        <v/>
      </c>
    </row>
    <row r="1315">
      <c r="A1315" s="58" t="inlineStr">
        <is>
          <t>RT20250202-01314</t>
        </is>
      </c>
      <c r="B1315" s="59" t="inlineStr">
        <is>
          <t>2025-02-02</t>
        </is>
      </c>
      <c r="C1315" s="60" t="inlineStr">
        <is>
          <t>Orion Snack X-322</t>
        </is>
      </c>
      <c r="D1315" s="58" t="inlineStr">
        <is>
          <t>Grocery</t>
        </is>
      </c>
      <c r="E1315" s="58" t="inlineStr">
        <is>
          <t>West</t>
        </is>
      </c>
      <c r="F1315" s="61" t="n">
        <v>8</v>
      </c>
      <c r="G1315" s="62" t="n">
        <v>16.39</v>
      </c>
      <c r="H1315" s="63" t="n">
        <v>0.047</v>
      </c>
      <c r="I1315" s="62" t="n">
        <v>10.14</v>
      </c>
      <c r="J1315" s="58" t="inlineStr">
        <is>
          <t>Online</t>
        </is>
      </c>
      <c r="K1315" s="62">
        <f>F1315*(G1315-H1315)</f>
        <v/>
      </c>
      <c r="L1315" s="62">
        <f>K1315-(F1315*I1315)</f>
        <v/>
      </c>
      <c r="M1315" s="64">
        <f>L1315/K1315</f>
        <v/>
      </c>
    </row>
    <row r="1316">
      <c r="A1316" s="58" t="inlineStr">
        <is>
          <t>RT20250202-01315</t>
        </is>
      </c>
      <c r="B1316" s="59" t="inlineStr">
        <is>
          <t>2025-02-02</t>
        </is>
      </c>
      <c r="C1316" s="60" t="inlineStr">
        <is>
          <t>Metro Laptop Plus-376</t>
        </is>
      </c>
      <c r="D1316" s="58" t="inlineStr">
        <is>
          <t>Electronics</t>
        </is>
      </c>
      <c r="E1316" s="58" t="inlineStr">
        <is>
          <t>Central</t>
        </is>
      </c>
      <c r="F1316" s="61" t="n">
        <v>2</v>
      </c>
      <c r="G1316" s="62" t="n">
        <v>1323.27</v>
      </c>
      <c r="H1316" s="63" t="n">
        <v>0.082</v>
      </c>
      <c r="I1316" s="62" t="n">
        <v>1036.33</v>
      </c>
      <c r="J1316" s="58" t="inlineStr">
        <is>
          <t>Store</t>
        </is>
      </c>
      <c r="K1316" s="62">
        <f>F1316*(G1316-H1316)</f>
        <v/>
      </c>
      <c r="L1316" s="62">
        <f>K1316-(F1316*I1316)</f>
        <v/>
      </c>
      <c r="M1316" s="64">
        <f>L1316/K1316</f>
        <v/>
      </c>
    </row>
    <row r="1317">
      <c r="A1317" s="58" t="inlineStr">
        <is>
          <t>RT20250202-01316</t>
        </is>
      </c>
      <c r="B1317" s="59" t="inlineStr">
        <is>
          <t>2025-02-02</t>
        </is>
      </c>
      <c r="C1317" s="60" t="inlineStr">
        <is>
          <t>Nimbus Makeup Max-158</t>
        </is>
      </c>
      <c r="D1317" s="58" t="inlineStr">
        <is>
          <t>Beauty</t>
        </is>
      </c>
      <c r="E1317" s="58" t="inlineStr">
        <is>
          <t>West</t>
        </is>
      </c>
      <c r="F1317" s="61" t="n">
        <v>4</v>
      </c>
      <c r="G1317" s="62" t="n">
        <v>139.76</v>
      </c>
      <c r="H1317" s="63" t="n">
        <v>0.066</v>
      </c>
      <c r="I1317" s="62" t="n">
        <v>96.23999999999999</v>
      </c>
      <c r="J1317" s="58" t="inlineStr">
        <is>
          <t>Online</t>
        </is>
      </c>
      <c r="K1317" s="62">
        <f>F1317*(G1317-H1317)</f>
        <v/>
      </c>
      <c r="L1317" s="62">
        <f>K1317-(F1317*I1317)</f>
        <v/>
      </c>
      <c r="M1317" s="64">
        <f>L1317/K1317</f>
        <v/>
      </c>
    </row>
    <row r="1318">
      <c r="A1318" s="58" t="inlineStr">
        <is>
          <t>RT20250202-01317</t>
        </is>
      </c>
      <c r="B1318" s="59" t="inlineStr">
        <is>
          <t>2025-02-02</t>
        </is>
      </c>
      <c r="C1318" s="60" t="inlineStr">
        <is>
          <t>Orion Storage Plus-961</t>
        </is>
      </c>
      <c r="D1318" s="58" t="inlineStr">
        <is>
          <t>Office</t>
        </is>
      </c>
      <c r="E1318" s="58" t="inlineStr">
        <is>
          <t>North</t>
        </is>
      </c>
      <c r="F1318" s="61" t="n">
        <v>1</v>
      </c>
      <c r="G1318" s="62" t="n">
        <v>529.48</v>
      </c>
      <c r="H1318" s="63" t="n">
        <v>0.07199999999999999</v>
      </c>
      <c r="I1318" s="62" t="n">
        <v>365.27</v>
      </c>
      <c r="J1318" s="58" t="inlineStr">
        <is>
          <t>Store</t>
        </is>
      </c>
      <c r="K1318" s="62">
        <f>F1318*(G1318-H1318)</f>
        <v/>
      </c>
      <c r="L1318" s="62">
        <f>K1318-(F1318*I1318)</f>
        <v/>
      </c>
      <c r="M1318" s="64">
        <f>L1318/K1318</f>
        <v/>
      </c>
    </row>
    <row r="1319">
      <c r="A1319" s="58" t="inlineStr">
        <is>
          <t>RT20250202-01318</t>
        </is>
      </c>
      <c r="B1319" s="59" t="inlineStr">
        <is>
          <t>2025-02-02</t>
        </is>
      </c>
      <c r="C1319" s="60" t="inlineStr">
        <is>
          <t>Vertex Appliance S-296</t>
        </is>
      </c>
      <c r="D1319" s="58" t="inlineStr">
        <is>
          <t>Home</t>
        </is>
      </c>
      <c r="E1319" s="58" t="inlineStr">
        <is>
          <t>East</t>
        </is>
      </c>
      <c r="F1319" s="61" t="n">
        <v>1</v>
      </c>
      <c r="G1319" s="62" t="n">
        <v>493.93</v>
      </c>
      <c r="H1319" s="63" t="n">
        <v>0.08</v>
      </c>
      <c r="I1319" s="62" t="n">
        <v>352.54</v>
      </c>
      <c r="J1319" s="58" t="inlineStr">
        <is>
          <t>Online</t>
        </is>
      </c>
      <c r="K1319" s="62">
        <f>F1319*(G1319-H1319)</f>
        <v/>
      </c>
      <c r="L1319" s="62">
        <f>K1319-(F1319*I1319)</f>
        <v/>
      </c>
      <c r="M1319" s="64">
        <f>L1319/K1319</f>
        <v/>
      </c>
    </row>
    <row r="1320">
      <c r="A1320" s="58" t="inlineStr">
        <is>
          <t>RT20250202-01319</t>
        </is>
      </c>
      <c r="B1320" s="59" t="inlineStr">
        <is>
          <t>2025-02-02</t>
        </is>
      </c>
      <c r="C1320" s="60" t="inlineStr">
        <is>
          <t>Polar Decor Plus-505</t>
        </is>
      </c>
      <c r="D1320" s="58" t="inlineStr">
        <is>
          <t>Home</t>
        </is>
      </c>
      <c r="E1320" s="58" t="inlineStr">
        <is>
          <t>North</t>
        </is>
      </c>
      <c r="F1320" s="61" t="n">
        <v>1</v>
      </c>
      <c r="G1320" s="62" t="n">
        <v>285.92</v>
      </c>
      <c r="H1320" s="63" t="n">
        <v>0.012</v>
      </c>
      <c r="I1320" s="62" t="n">
        <v>199.64</v>
      </c>
      <c r="J1320" s="58" t="inlineStr">
        <is>
          <t>Online</t>
        </is>
      </c>
      <c r="K1320" s="62">
        <f>F1320*(G1320-H1320)</f>
        <v/>
      </c>
      <c r="L1320" s="62">
        <f>K1320-(F1320*I1320)</f>
        <v/>
      </c>
      <c r="M1320" s="64">
        <f>L1320/K1320</f>
        <v/>
      </c>
    </row>
    <row r="1321">
      <c r="A1321" s="58" t="inlineStr">
        <is>
          <t>RT20250202-01320</t>
        </is>
      </c>
      <c r="B1321" s="59" t="inlineStr">
        <is>
          <t>2025-02-02</t>
        </is>
      </c>
      <c r="C1321" s="60" t="inlineStr">
        <is>
          <t>Vertex Men X-995</t>
        </is>
      </c>
      <c r="D1321" s="58" t="inlineStr">
        <is>
          <t>Apparel</t>
        </is>
      </c>
      <c r="E1321" s="58" t="inlineStr">
        <is>
          <t>East</t>
        </is>
      </c>
      <c r="F1321" s="61" t="n">
        <v>2</v>
      </c>
      <c r="G1321" s="62" t="n">
        <v>100.13</v>
      </c>
      <c r="H1321" s="63" t="n">
        <v>0.005</v>
      </c>
      <c r="I1321" s="62" t="n">
        <v>59.48</v>
      </c>
      <c r="J1321" s="58" t="inlineStr">
        <is>
          <t>Online</t>
        </is>
      </c>
      <c r="K1321" s="62">
        <f>F1321*(G1321-H1321)</f>
        <v/>
      </c>
      <c r="L1321" s="62">
        <f>K1321-(F1321*I1321)</f>
        <v/>
      </c>
      <c r="M1321" s="64">
        <f>L1321/K1321</f>
        <v/>
      </c>
    </row>
    <row r="1322">
      <c r="A1322" s="58" t="inlineStr">
        <is>
          <t>RT20250202-01321</t>
        </is>
      </c>
      <c r="B1322" s="59" t="inlineStr">
        <is>
          <t>2025-02-02</t>
        </is>
      </c>
      <c r="C1322" s="60" t="inlineStr">
        <is>
          <t>Aurora Makeup S-626</t>
        </is>
      </c>
      <c r="D1322" s="58" t="inlineStr">
        <is>
          <t>Beauty</t>
        </is>
      </c>
      <c r="E1322" s="58" t="inlineStr">
        <is>
          <t>West</t>
        </is>
      </c>
      <c r="F1322" s="61" t="n">
        <v>1</v>
      </c>
      <c r="G1322" s="62" t="n">
        <v>110.25</v>
      </c>
      <c r="H1322" s="63" t="n">
        <v>0.075</v>
      </c>
      <c r="I1322" s="62" t="n">
        <v>64.53</v>
      </c>
      <c r="J1322" s="58" t="inlineStr">
        <is>
          <t>Online</t>
        </is>
      </c>
      <c r="K1322" s="62">
        <f>F1322*(G1322-H1322)</f>
        <v/>
      </c>
      <c r="L1322" s="62">
        <f>K1322-(F1322*I1322)</f>
        <v/>
      </c>
      <c r="M1322" s="64">
        <f>L1322/K1322</f>
        <v/>
      </c>
    </row>
    <row r="1323">
      <c r="A1323" s="58" t="inlineStr">
        <is>
          <t>RT20250202-01322</t>
        </is>
      </c>
      <c r="B1323" s="59" t="inlineStr">
        <is>
          <t>2025-02-02</t>
        </is>
      </c>
      <c r="C1323" s="60" t="inlineStr">
        <is>
          <t>Polar Cycling S-223</t>
        </is>
      </c>
      <c r="D1323" s="58" t="inlineStr">
        <is>
          <t>Sports</t>
        </is>
      </c>
      <c r="E1323" s="58" t="inlineStr">
        <is>
          <t>North</t>
        </is>
      </c>
      <c r="F1323" s="61" t="n">
        <v>2</v>
      </c>
      <c r="G1323" s="62" t="n">
        <v>1038.26</v>
      </c>
      <c r="H1323" s="63" t="n">
        <v>0.082</v>
      </c>
      <c r="I1323" s="62" t="n">
        <v>611.29</v>
      </c>
      <c r="J1323" s="58" t="inlineStr">
        <is>
          <t>Store</t>
        </is>
      </c>
      <c r="K1323" s="62">
        <f>F1323*(G1323-H1323)</f>
        <v/>
      </c>
      <c r="L1323" s="62">
        <f>K1323-(F1323*I1323)</f>
        <v/>
      </c>
      <c r="M1323" s="64">
        <f>L1323/K1323</f>
        <v/>
      </c>
    </row>
    <row r="1324">
      <c r="A1324" s="58" t="inlineStr">
        <is>
          <t>RT20250202-01323</t>
        </is>
      </c>
      <c r="B1324" s="59" t="inlineStr">
        <is>
          <t>2025-02-02</t>
        </is>
      </c>
      <c r="C1324" s="60" t="inlineStr">
        <is>
          <t>Nimbus Makeup Max-158</t>
        </is>
      </c>
      <c r="D1324" s="58" t="inlineStr">
        <is>
          <t>Beauty</t>
        </is>
      </c>
      <c r="E1324" s="58" t="inlineStr">
        <is>
          <t>Central</t>
        </is>
      </c>
      <c r="F1324" s="61" t="n">
        <v>5</v>
      </c>
      <c r="G1324" s="62" t="n">
        <v>159.67</v>
      </c>
      <c r="H1324" s="63" t="n">
        <v>0.076</v>
      </c>
      <c r="I1324" s="62" t="n">
        <v>94.79000000000001</v>
      </c>
      <c r="J1324" s="58" t="inlineStr">
        <is>
          <t>Online</t>
        </is>
      </c>
      <c r="K1324" s="62">
        <f>F1324*(G1324-H1324)</f>
        <v/>
      </c>
      <c r="L1324" s="62">
        <f>K1324-(F1324*I1324)</f>
        <v/>
      </c>
      <c r="M1324" s="64">
        <f>L1324/K1324</f>
        <v/>
      </c>
    </row>
    <row r="1325">
      <c r="A1325" s="58" t="inlineStr">
        <is>
          <t>RT20250202-01324</t>
        </is>
      </c>
      <c r="B1325" s="59" t="inlineStr">
        <is>
          <t>2025-02-02</t>
        </is>
      </c>
      <c r="C1325" s="60" t="inlineStr">
        <is>
          <t>Polar Snack Pro-641</t>
        </is>
      </c>
      <c r="D1325" s="58" t="inlineStr">
        <is>
          <t>Grocery</t>
        </is>
      </c>
      <c r="E1325" s="58" t="inlineStr">
        <is>
          <t>West</t>
        </is>
      </c>
      <c r="F1325" s="61" t="n">
        <v>7</v>
      </c>
      <c r="G1325" s="62" t="n">
        <v>12.16</v>
      </c>
      <c r="H1325" s="63" t="n">
        <v>0.062</v>
      </c>
      <c r="I1325" s="62" t="n">
        <v>9.26</v>
      </c>
      <c r="J1325" s="58" t="inlineStr">
        <is>
          <t>Phone</t>
        </is>
      </c>
      <c r="K1325" s="62">
        <f>F1325*(G1325-H1325)</f>
        <v/>
      </c>
      <c r="L1325" s="62">
        <f>K1325-(F1325*I1325)</f>
        <v/>
      </c>
      <c r="M1325" s="64">
        <f>L1325/K1325</f>
        <v/>
      </c>
    </row>
    <row r="1326">
      <c r="A1326" s="58" t="inlineStr">
        <is>
          <t>RT20250202-01325</t>
        </is>
      </c>
      <c r="B1326" s="59" t="inlineStr">
        <is>
          <t>2025-02-02</t>
        </is>
      </c>
      <c r="C1326" s="60" t="inlineStr">
        <is>
          <t>Orion Kid Max-864</t>
        </is>
      </c>
      <c r="D1326" s="58" t="inlineStr">
        <is>
          <t>Apparel</t>
        </is>
      </c>
      <c r="E1326" s="58" t="inlineStr">
        <is>
          <t>North</t>
        </is>
      </c>
      <c r="F1326" s="61" t="n">
        <v>1</v>
      </c>
      <c r="G1326" s="62" t="n">
        <v>89.48999999999999</v>
      </c>
      <c r="H1326" s="63" t="n">
        <v>0.052</v>
      </c>
      <c r="I1326" s="62" t="n">
        <v>44.98</v>
      </c>
      <c r="J1326" s="58" t="inlineStr">
        <is>
          <t>Online</t>
        </is>
      </c>
      <c r="K1326" s="62">
        <f>F1326*(G1326-H1326)</f>
        <v/>
      </c>
      <c r="L1326" s="62">
        <f>K1326-(F1326*I1326)</f>
        <v/>
      </c>
      <c r="M1326" s="64">
        <f>L1326/K1326</f>
        <v/>
      </c>
    </row>
    <row r="1327">
      <c r="A1327" s="58" t="inlineStr">
        <is>
          <t>RT20250202-01326</t>
        </is>
      </c>
      <c r="B1327" s="59" t="inlineStr">
        <is>
          <t>2025-02-02</t>
        </is>
      </c>
      <c r="C1327" s="60" t="inlineStr">
        <is>
          <t>Metro Fragrance Lite-261</t>
        </is>
      </c>
      <c r="D1327" s="58" t="inlineStr">
        <is>
          <t>Beauty</t>
        </is>
      </c>
      <c r="E1327" s="58" t="inlineStr">
        <is>
          <t>Central</t>
        </is>
      </c>
      <c r="F1327" s="61" t="n">
        <v>3</v>
      </c>
      <c r="G1327" s="62" t="n">
        <v>96.65000000000001</v>
      </c>
      <c r="H1327" s="63" t="n">
        <v>0.031</v>
      </c>
      <c r="I1327" s="62" t="n">
        <v>55.59</v>
      </c>
      <c r="J1327" s="58" t="inlineStr">
        <is>
          <t>Online</t>
        </is>
      </c>
      <c r="K1327" s="62">
        <f>F1327*(G1327-H1327)</f>
        <v/>
      </c>
      <c r="L1327" s="62">
        <f>K1327-(F1327*I1327)</f>
        <v/>
      </c>
      <c r="M1327" s="64">
        <f>L1327/K1327</f>
        <v/>
      </c>
    </row>
    <row r="1328">
      <c r="A1328" s="58" t="inlineStr">
        <is>
          <t>RT20250202-01327</t>
        </is>
      </c>
      <c r="B1328" s="59" t="inlineStr">
        <is>
          <t>2025-02-02</t>
        </is>
      </c>
      <c r="C1328" s="60" t="inlineStr">
        <is>
          <t>Vertex Supplie X-513</t>
        </is>
      </c>
      <c r="D1328" s="58" t="inlineStr">
        <is>
          <t>Office</t>
        </is>
      </c>
      <c r="E1328" s="58" t="inlineStr">
        <is>
          <t>West</t>
        </is>
      </c>
      <c r="F1328" s="61" t="n">
        <v>2</v>
      </c>
      <c r="G1328" s="62" t="n">
        <v>410.87</v>
      </c>
      <c r="H1328" s="63" t="n">
        <v>0.054</v>
      </c>
      <c r="I1328" s="62" t="n">
        <v>272.54</v>
      </c>
      <c r="J1328" s="58" t="inlineStr">
        <is>
          <t>Store</t>
        </is>
      </c>
      <c r="K1328" s="62">
        <f>F1328*(G1328-H1328)</f>
        <v/>
      </c>
      <c r="L1328" s="62">
        <f>K1328-(F1328*I1328)</f>
        <v/>
      </c>
      <c r="M1328" s="64">
        <f>L1328/K1328</f>
        <v/>
      </c>
    </row>
    <row r="1329">
      <c r="A1329" s="58" t="inlineStr">
        <is>
          <t>RT20250202-01328</t>
        </is>
      </c>
      <c r="B1329" s="59" t="inlineStr">
        <is>
          <t>2025-02-02</t>
        </is>
      </c>
      <c r="C1329" s="60" t="inlineStr">
        <is>
          <t>Metro Smartphone Max-773</t>
        </is>
      </c>
      <c r="D1329" s="58" t="inlineStr">
        <is>
          <t>Electronics</t>
        </is>
      </c>
      <c r="E1329" s="58" t="inlineStr">
        <is>
          <t>Central</t>
        </is>
      </c>
      <c r="F1329" s="61" t="n">
        <v>2</v>
      </c>
      <c r="G1329" s="62" t="n">
        <v>1586.35</v>
      </c>
      <c r="H1329" s="63" t="n">
        <v>0.053</v>
      </c>
      <c r="I1329" s="62" t="n">
        <v>1101.96</v>
      </c>
      <c r="J1329" s="58" t="inlineStr">
        <is>
          <t>Store</t>
        </is>
      </c>
      <c r="K1329" s="62">
        <f>F1329*(G1329-H1329)</f>
        <v/>
      </c>
      <c r="L1329" s="62">
        <f>K1329-(F1329*I1329)</f>
        <v/>
      </c>
      <c r="M1329" s="64">
        <f>L1329/K1329</f>
        <v/>
      </c>
    </row>
    <row r="1330">
      <c r="A1330" s="58" t="inlineStr">
        <is>
          <t>RT20250202-01329</t>
        </is>
      </c>
      <c r="B1330" s="59" t="inlineStr">
        <is>
          <t>2025-02-02</t>
        </is>
      </c>
      <c r="C1330" s="60" t="inlineStr">
        <is>
          <t>Metro Pantry Max-180</t>
        </is>
      </c>
      <c r="D1330" s="58" t="inlineStr">
        <is>
          <t>Grocery</t>
        </is>
      </c>
      <c r="E1330" s="58" t="inlineStr">
        <is>
          <t>Central</t>
        </is>
      </c>
      <c r="F1330" s="61" t="n">
        <v>8</v>
      </c>
      <c r="G1330" s="62" t="n">
        <v>8.960000000000001</v>
      </c>
      <c r="H1330" s="63" t="n">
        <v>0.05</v>
      </c>
      <c r="I1330" s="62" t="n">
        <v>6.7</v>
      </c>
      <c r="J1330" s="58" t="inlineStr">
        <is>
          <t>Online</t>
        </is>
      </c>
      <c r="K1330" s="62">
        <f>F1330*(G1330-H1330)</f>
        <v/>
      </c>
      <c r="L1330" s="62">
        <f>K1330-(F1330*I1330)</f>
        <v/>
      </c>
      <c r="M1330" s="64">
        <f>L1330/K1330</f>
        <v/>
      </c>
    </row>
    <row r="1331">
      <c r="A1331" s="58" t="inlineStr">
        <is>
          <t>RT20250202-01330</t>
        </is>
      </c>
      <c r="B1331" s="59" t="inlineStr">
        <is>
          <t>2025-02-02</t>
        </is>
      </c>
      <c r="C1331" s="60" t="inlineStr">
        <is>
          <t>Falcon Furniture Plus-839</t>
        </is>
      </c>
      <c r="D1331" s="58" t="inlineStr">
        <is>
          <t>Office</t>
        </is>
      </c>
      <c r="E1331" s="58" t="inlineStr">
        <is>
          <t>Central</t>
        </is>
      </c>
      <c r="F1331" s="61" t="n">
        <v>1</v>
      </c>
      <c r="G1331" s="62" t="n">
        <v>344.47</v>
      </c>
      <c r="H1331" s="63" t="n">
        <v>0.08799999999999999</v>
      </c>
      <c r="I1331" s="62" t="n">
        <v>229.52</v>
      </c>
      <c r="J1331" s="58" t="inlineStr">
        <is>
          <t>Store</t>
        </is>
      </c>
      <c r="K1331" s="62">
        <f>F1331*(G1331-H1331)</f>
        <v/>
      </c>
      <c r="L1331" s="62">
        <f>K1331-(F1331*I1331)</f>
        <v/>
      </c>
      <c r="M1331" s="64">
        <f>L1331/K1331</f>
        <v/>
      </c>
    </row>
    <row r="1332">
      <c r="A1332" s="58" t="inlineStr">
        <is>
          <t>RT20250202-01331</t>
        </is>
      </c>
      <c r="B1332" s="59" t="inlineStr">
        <is>
          <t>2025-02-02</t>
        </is>
      </c>
      <c r="C1332" s="60" t="inlineStr">
        <is>
          <t>Vertex Pantry Pro-165</t>
        </is>
      </c>
      <c r="D1332" s="58" t="inlineStr">
        <is>
          <t>Grocery</t>
        </is>
      </c>
      <c r="E1332" s="58" t="inlineStr">
        <is>
          <t>West</t>
        </is>
      </c>
      <c r="F1332" s="61" t="n">
        <v>7</v>
      </c>
      <c r="G1332" s="62" t="n">
        <v>15.73</v>
      </c>
      <c r="H1332" s="63" t="n">
        <v>0.003</v>
      </c>
      <c r="I1332" s="62" t="n">
        <v>11.47</v>
      </c>
      <c r="J1332" s="58" t="inlineStr">
        <is>
          <t>Store</t>
        </is>
      </c>
      <c r="K1332" s="62">
        <f>F1332*(G1332-H1332)</f>
        <v/>
      </c>
      <c r="L1332" s="62">
        <f>K1332-(F1332*I1332)</f>
        <v/>
      </c>
      <c r="M1332" s="64">
        <f>L1332/K1332</f>
        <v/>
      </c>
    </row>
    <row r="1333">
      <c r="A1333" s="58" t="inlineStr">
        <is>
          <t>RT20250202-01332</t>
        </is>
      </c>
      <c r="B1333" s="59" t="inlineStr">
        <is>
          <t>2025-02-02</t>
        </is>
      </c>
      <c r="C1333" s="60" t="inlineStr">
        <is>
          <t>Orion Beverage Plus-949</t>
        </is>
      </c>
      <c r="D1333" s="58" t="inlineStr">
        <is>
          <t>Grocery</t>
        </is>
      </c>
      <c r="E1333" s="58" t="inlineStr">
        <is>
          <t>West</t>
        </is>
      </c>
      <c r="F1333" s="61" t="n">
        <v>7</v>
      </c>
      <c r="G1333" s="62" t="n">
        <v>16.35</v>
      </c>
      <c r="H1333" s="63" t="n">
        <v>0.06900000000000001</v>
      </c>
      <c r="I1333" s="62" t="n">
        <v>13.58</v>
      </c>
      <c r="J1333" s="58" t="inlineStr">
        <is>
          <t>Online</t>
        </is>
      </c>
      <c r="K1333" s="62">
        <f>F1333*(G1333-H1333)</f>
        <v/>
      </c>
      <c r="L1333" s="62">
        <f>K1333-(F1333*I1333)</f>
        <v/>
      </c>
      <c r="M1333" s="64">
        <f>L1333/K1333</f>
        <v/>
      </c>
    </row>
    <row r="1334">
      <c r="A1334" s="58" t="inlineStr">
        <is>
          <t>RT20250202-01333</t>
        </is>
      </c>
      <c r="B1334" s="59" t="inlineStr">
        <is>
          <t>2025-02-02</t>
        </is>
      </c>
      <c r="C1334" s="60" t="inlineStr">
        <is>
          <t>Solace Bedding Plus-317</t>
        </is>
      </c>
      <c r="D1334" s="58" t="inlineStr">
        <is>
          <t>Home</t>
        </is>
      </c>
      <c r="E1334" s="58" t="inlineStr">
        <is>
          <t>East</t>
        </is>
      </c>
      <c r="F1334" s="61" t="n">
        <v>2</v>
      </c>
      <c r="G1334" s="62" t="n">
        <v>576.37</v>
      </c>
      <c r="H1334" s="63" t="n">
        <v>0.047</v>
      </c>
      <c r="I1334" s="62" t="n">
        <v>391.91</v>
      </c>
      <c r="J1334" s="58" t="inlineStr">
        <is>
          <t>Store</t>
        </is>
      </c>
      <c r="K1334" s="62">
        <f>F1334*(G1334-H1334)</f>
        <v/>
      </c>
      <c r="L1334" s="62">
        <f>K1334-(F1334*I1334)</f>
        <v/>
      </c>
      <c r="M1334" s="64">
        <f>L1334/K1334</f>
        <v/>
      </c>
    </row>
    <row r="1335">
      <c r="A1335" s="58" t="inlineStr">
        <is>
          <t>RT20250202-01334</t>
        </is>
      </c>
      <c r="B1335" s="59" t="inlineStr">
        <is>
          <t>2025-02-02</t>
        </is>
      </c>
      <c r="C1335" s="60" t="inlineStr">
        <is>
          <t>Polar Supplie Lite-348</t>
        </is>
      </c>
      <c r="D1335" s="58" t="inlineStr">
        <is>
          <t>Office</t>
        </is>
      </c>
      <c r="E1335" s="58" t="inlineStr">
        <is>
          <t>Central</t>
        </is>
      </c>
      <c r="F1335" s="61" t="n">
        <v>1</v>
      </c>
      <c r="G1335" s="62" t="n">
        <v>402.83</v>
      </c>
      <c r="H1335" s="63" t="n">
        <v>0.078</v>
      </c>
      <c r="I1335" s="62" t="n">
        <v>311.68</v>
      </c>
      <c r="J1335" s="58" t="inlineStr">
        <is>
          <t>Store</t>
        </is>
      </c>
      <c r="K1335" s="62">
        <f>F1335*(G1335-H1335)</f>
        <v/>
      </c>
      <c r="L1335" s="62">
        <f>K1335-(F1335*I1335)</f>
        <v/>
      </c>
      <c r="M1335" s="64">
        <f>L1335/K1335</f>
        <v/>
      </c>
    </row>
    <row r="1336">
      <c r="A1336" s="58" t="inlineStr">
        <is>
          <t>RT20250202-01335</t>
        </is>
      </c>
      <c r="B1336" s="59" t="inlineStr">
        <is>
          <t>2025-02-02</t>
        </is>
      </c>
      <c r="C1336" s="60" t="inlineStr">
        <is>
          <t>Nimbus Makeup Max-158</t>
        </is>
      </c>
      <c r="D1336" s="58" t="inlineStr">
        <is>
          <t>Beauty</t>
        </is>
      </c>
      <c r="E1336" s="58" t="inlineStr">
        <is>
          <t>North</t>
        </is>
      </c>
      <c r="F1336" s="61" t="n">
        <v>2</v>
      </c>
      <c r="G1336" s="62" t="n">
        <v>142.95</v>
      </c>
      <c r="H1336" s="63" t="n">
        <v>0.061</v>
      </c>
      <c r="I1336" s="62" t="n">
        <v>93.98</v>
      </c>
      <c r="J1336" s="58" t="inlineStr">
        <is>
          <t>Store</t>
        </is>
      </c>
      <c r="K1336" s="62">
        <f>F1336*(G1336-H1336)</f>
        <v/>
      </c>
      <c r="L1336" s="62">
        <f>K1336-(F1336*I1336)</f>
        <v/>
      </c>
      <c r="M1336" s="64">
        <f>L1336/K1336</f>
        <v/>
      </c>
    </row>
    <row r="1337">
      <c r="A1337" s="58" t="inlineStr">
        <is>
          <t>RT20250202-01336</t>
        </is>
      </c>
      <c r="B1337" s="59" t="inlineStr">
        <is>
          <t>2025-02-02</t>
        </is>
      </c>
      <c r="C1337" s="60" t="inlineStr">
        <is>
          <t>Aurora Household Plus-146</t>
        </is>
      </c>
      <c r="D1337" s="58" t="inlineStr">
        <is>
          <t>Grocery</t>
        </is>
      </c>
      <c r="E1337" s="58" t="inlineStr">
        <is>
          <t>East</t>
        </is>
      </c>
      <c r="F1337" s="61" t="n">
        <v>5</v>
      </c>
      <c r="G1337" s="62" t="n">
        <v>6.46</v>
      </c>
      <c r="H1337" s="63" t="n">
        <v>0.074</v>
      </c>
      <c r="I1337" s="62" t="n">
        <v>4.45</v>
      </c>
      <c r="J1337" s="58" t="inlineStr">
        <is>
          <t>Online</t>
        </is>
      </c>
      <c r="K1337" s="62">
        <f>F1337*(G1337-H1337)</f>
        <v/>
      </c>
      <c r="L1337" s="62">
        <f>K1337-(F1337*I1337)</f>
        <v/>
      </c>
      <c r="M1337" s="64">
        <f>L1337/K1337</f>
        <v/>
      </c>
    </row>
    <row r="1338">
      <c r="A1338" s="58" t="inlineStr">
        <is>
          <t>RT20250202-01337</t>
        </is>
      </c>
      <c r="B1338" s="59" t="inlineStr">
        <is>
          <t>2025-02-02</t>
        </is>
      </c>
      <c r="C1338" s="60" t="inlineStr">
        <is>
          <t>Orion Supplie S-612</t>
        </is>
      </c>
      <c r="D1338" s="58" t="inlineStr">
        <is>
          <t>Office</t>
        </is>
      </c>
      <c r="E1338" s="58" t="inlineStr">
        <is>
          <t>North</t>
        </is>
      </c>
      <c r="F1338" s="61" t="n">
        <v>2</v>
      </c>
      <c r="G1338" s="62" t="n">
        <v>480.11</v>
      </c>
      <c r="H1338" s="63" t="n">
        <v>0.03</v>
      </c>
      <c r="I1338" s="62" t="n">
        <v>334.16</v>
      </c>
      <c r="J1338" s="58" t="inlineStr">
        <is>
          <t>Store</t>
        </is>
      </c>
      <c r="K1338" s="62">
        <f>F1338*(G1338-H1338)</f>
        <v/>
      </c>
      <c r="L1338" s="62">
        <f>K1338-(F1338*I1338)</f>
        <v/>
      </c>
      <c r="M1338" s="64">
        <f>L1338/K1338</f>
        <v/>
      </c>
    </row>
    <row r="1339">
      <c r="A1339" s="58" t="inlineStr">
        <is>
          <t>RT20250203-01338</t>
        </is>
      </c>
      <c r="B1339" s="59" t="inlineStr">
        <is>
          <t>2025-02-03</t>
        </is>
      </c>
      <c r="C1339" s="60" t="inlineStr">
        <is>
          <t>Falcon Haircare Pro-980</t>
        </is>
      </c>
      <c r="D1339" s="58" t="inlineStr">
        <is>
          <t>Beauty</t>
        </is>
      </c>
      <c r="E1339" s="58" t="inlineStr">
        <is>
          <t>East</t>
        </is>
      </c>
      <c r="F1339" s="61" t="n">
        <v>5</v>
      </c>
      <c r="G1339" s="62" t="n">
        <v>94.65000000000001</v>
      </c>
      <c r="H1339" s="63" t="n">
        <v>0.061</v>
      </c>
      <c r="I1339" s="62" t="n">
        <v>56.97</v>
      </c>
      <c r="J1339" s="58" t="inlineStr">
        <is>
          <t>Online</t>
        </is>
      </c>
      <c r="K1339" s="62">
        <f>F1339*(G1339-H1339)</f>
        <v/>
      </c>
      <c r="L1339" s="62">
        <f>K1339-(F1339*I1339)</f>
        <v/>
      </c>
      <c r="M1339" s="64">
        <f>L1339/K1339</f>
        <v/>
      </c>
    </row>
    <row r="1340">
      <c r="A1340" s="58" t="inlineStr">
        <is>
          <t>RT20250203-01339</t>
        </is>
      </c>
      <c r="B1340" s="59" t="inlineStr">
        <is>
          <t>2025-02-03</t>
        </is>
      </c>
      <c r="C1340" s="60" t="inlineStr">
        <is>
          <t>Vertex Headphone Pro-801</t>
        </is>
      </c>
      <c r="D1340" s="58" t="inlineStr">
        <is>
          <t>Electronics</t>
        </is>
      </c>
      <c r="E1340" s="58" t="inlineStr">
        <is>
          <t>West</t>
        </is>
      </c>
      <c r="F1340" s="61" t="n">
        <v>1</v>
      </c>
      <c r="G1340" s="62" t="n">
        <v>1330.09</v>
      </c>
      <c r="H1340" s="63" t="n">
        <v>0.065</v>
      </c>
      <c r="I1340" s="62" t="n">
        <v>949.9400000000001</v>
      </c>
      <c r="J1340" s="58" t="inlineStr">
        <is>
          <t>Online</t>
        </is>
      </c>
      <c r="K1340" s="62">
        <f>F1340*(G1340-H1340)</f>
        <v/>
      </c>
      <c r="L1340" s="62">
        <f>K1340-(F1340*I1340)</f>
        <v/>
      </c>
      <c r="M1340" s="64">
        <f>L1340/K1340</f>
        <v/>
      </c>
    </row>
    <row r="1341">
      <c r="A1341" s="58" t="inlineStr">
        <is>
          <t>RT20250203-01340</t>
        </is>
      </c>
      <c r="B1341" s="59" t="inlineStr">
        <is>
          <t>2025-02-03</t>
        </is>
      </c>
      <c r="C1341" s="60" t="inlineStr">
        <is>
          <t>Metro Smartphone Max-773</t>
        </is>
      </c>
      <c r="D1341" s="58" t="inlineStr">
        <is>
          <t>Electronics</t>
        </is>
      </c>
      <c r="E1341" s="58" t="inlineStr">
        <is>
          <t>West</t>
        </is>
      </c>
      <c r="F1341" s="61" t="n">
        <v>2</v>
      </c>
      <c r="G1341" s="62" t="n">
        <v>1474.76</v>
      </c>
      <c r="H1341" s="63" t="n">
        <v>0.052</v>
      </c>
      <c r="I1341" s="62" t="n">
        <v>1141.26</v>
      </c>
      <c r="J1341" s="58" t="inlineStr">
        <is>
          <t>Online</t>
        </is>
      </c>
      <c r="K1341" s="62">
        <f>F1341*(G1341-H1341)</f>
        <v/>
      </c>
      <c r="L1341" s="62">
        <f>K1341-(F1341*I1341)</f>
        <v/>
      </c>
      <c r="M1341" s="64">
        <f>L1341/K1341</f>
        <v/>
      </c>
    </row>
    <row r="1342">
      <c r="A1342" s="58" t="inlineStr">
        <is>
          <t>RT20250203-01341</t>
        </is>
      </c>
      <c r="B1342" s="59" t="inlineStr">
        <is>
          <t>2025-02-03</t>
        </is>
      </c>
      <c r="C1342" s="60" t="inlineStr">
        <is>
          <t>Solace Kitchen X-919</t>
        </is>
      </c>
      <c r="D1342" s="58" t="inlineStr">
        <is>
          <t>Home</t>
        </is>
      </c>
      <c r="E1342" s="58" t="inlineStr">
        <is>
          <t>Central</t>
        </is>
      </c>
      <c r="F1342" s="61" t="n">
        <v>1</v>
      </c>
      <c r="G1342" s="62" t="n">
        <v>375.4</v>
      </c>
      <c r="H1342" s="63" t="n">
        <v>0.057</v>
      </c>
      <c r="I1342" s="62" t="n">
        <v>264.17</v>
      </c>
      <c r="J1342" s="58" t="inlineStr">
        <is>
          <t>Phone</t>
        </is>
      </c>
      <c r="K1342" s="62">
        <f>F1342*(G1342-H1342)</f>
        <v/>
      </c>
      <c r="L1342" s="62">
        <f>K1342-(F1342*I1342)</f>
        <v/>
      </c>
      <c r="M1342" s="64">
        <f>L1342/K1342</f>
        <v/>
      </c>
    </row>
    <row r="1343">
      <c r="A1343" s="58" t="inlineStr">
        <is>
          <t>RT20250203-01342</t>
        </is>
      </c>
      <c r="B1343" s="59" t="inlineStr">
        <is>
          <t>2025-02-03</t>
        </is>
      </c>
      <c r="C1343" s="60" t="inlineStr">
        <is>
          <t>Nimbus Cycling Plus-911</t>
        </is>
      </c>
      <c r="D1343" s="58" t="inlineStr">
        <is>
          <t>Sports</t>
        </is>
      </c>
      <c r="E1343" s="58" t="inlineStr">
        <is>
          <t>South</t>
        </is>
      </c>
      <c r="F1343" s="61" t="n">
        <v>2</v>
      </c>
      <c r="G1343" s="62" t="n">
        <v>578.84</v>
      </c>
      <c r="H1343" s="63" t="n">
        <v>0.062</v>
      </c>
      <c r="I1343" s="62" t="n">
        <v>384.95</v>
      </c>
      <c r="J1343" s="58" t="inlineStr">
        <is>
          <t>Store</t>
        </is>
      </c>
      <c r="K1343" s="62">
        <f>F1343*(G1343-H1343)</f>
        <v/>
      </c>
      <c r="L1343" s="62">
        <f>K1343-(F1343*I1343)</f>
        <v/>
      </c>
      <c r="M1343" s="64">
        <f>L1343/K1343</f>
        <v/>
      </c>
    </row>
    <row r="1344">
      <c r="A1344" s="58" t="inlineStr">
        <is>
          <t>RT20250203-01343</t>
        </is>
      </c>
      <c r="B1344" s="59" t="inlineStr">
        <is>
          <t>2025-02-03</t>
        </is>
      </c>
      <c r="C1344" s="60" t="inlineStr">
        <is>
          <t>Falcon Cycling Pro-499</t>
        </is>
      </c>
      <c r="D1344" s="58" t="inlineStr">
        <is>
          <t>Sports</t>
        </is>
      </c>
      <c r="E1344" s="58" t="inlineStr">
        <is>
          <t>North</t>
        </is>
      </c>
      <c r="F1344" s="61" t="n">
        <v>3</v>
      </c>
      <c r="G1344" s="62" t="n">
        <v>643.64</v>
      </c>
      <c r="H1344" s="63" t="n">
        <v>0.075</v>
      </c>
      <c r="I1344" s="62" t="n">
        <v>400.19</v>
      </c>
      <c r="J1344" s="58" t="inlineStr">
        <is>
          <t>Online</t>
        </is>
      </c>
      <c r="K1344" s="62">
        <f>F1344*(G1344-H1344)</f>
        <v/>
      </c>
      <c r="L1344" s="62">
        <f>K1344-(F1344*I1344)</f>
        <v/>
      </c>
      <c r="M1344" s="64">
        <f>L1344/K1344</f>
        <v/>
      </c>
    </row>
    <row r="1345">
      <c r="A1345" s="58" t="inlineStr">
        <is>
          <t>RT20250203-01344</t>
        </is>
      </c>
      <c r="B1345" s="59" t="inlineStr">
        <is>
          <t>2025-02-03</t>
        </is>
      </c>
      <c r="C1345" s="60" t="inlineStr">
        <is>
          <t>Falcon Skincare Max-151</t>
        </is>
      </c>
      <c r="D1345" s="58" t="inlineStr">
        <is>
          <t>Beauty</t>
        </is>
      </c>
      <c r="E1345" s="58" t="inlineStr">
        <is>
          <t>East</t>
        </is>
      </c>
      <c r="F1345" s="61" t="n">
        <v>2</v>
      </c>
      <c r="G1345" s="62" t="n">
        <v>99.84</v>
      </c>
      <c r="H1345" s="63" t="n">
        <v>0.101</v>
      </c>
      <c r="I1345" s="62" t="n">
        <v>59.2</v>
      </c>
      <c r="J1345" s="58" t="inlineStr">
        <is>
          <t>Online</t>
        </is>
      </c>
      <c r="K1345" s="62">
        <f>F1345*(G1345-H1345)</f>
        <v/>
      </c>
      <c r="L1345" s="62">
        <f>K1345-(F1345*I1345)</f>
        <v/>
      </c>
      <c r="M1345" s="64">
        <f>L1345/K1345</f>
        <v/>
      </c>
    </row>
    <row r="1346">
      <c r="A1346" s="58" t="inlineStr">
        <is>
          <t>RT20250203-01345</t>
        </is>
      </c>
      <c r="B1346" s="59" t="inlineStr">
        <is>
          <t>2025-02-03</t>
        </is>
      </c>
      <c r="C1346" s="60" t="inlineStr">
        <is>
          <t>Falcon Household Plus-172</t>
        </is>
      </c>
      <c r="D1346" s="58" t="inlineStr">
        <is>
          <t>Grocery</t>
        </is>
      </c>
      <c r="E1346" s="58" t="inlineStr">
        <is>
          <t>Central</t>
        </is>
      </c>
      <c r="F1346" s="61" t="n">
        <v>5</v>
      </c>
      <c r="G1346" s="62" t="n">
        <v>22.67</v>
      </c>
      <c r="H1346" s="63" t="n">
        <v>0.102</v>
      </c>
      <c r="I1346" s="62" t="n">
        <v>16.32</v>
      </c>
      <c r="J1346" s="58" t="inlineStr">
        <is>
          <t>Online</t>
        </is>
      </c>
      <c r="K1346" s="62">
        <f>F1346*(G1346-H1346)</f>
        <v/>
      </c>
      <c r="L1346" s="62">
        <f>K1346-(F1346*I1346)</f>
        <v/>
      </c>
      <c r="M1346" s="64">
        <f>L1346/K1346</f>
        <v/>
      </c>
    </row>
    <row r="1347">
      <c r="A1347" s="58" t="inlineStr">
        <is>
          <t>RT20250203-01346</t>
        </is>
      </c>
      <c r="B1347" s="59" t="inlineStr">
        <is>
          <t>2025-02-03</t>
        </is>
      </c>
      <c r="C1347" s="60" t="inlineStr">
        <is>
          <t>Polar Decor X-935</t>
        </is>
      </c>
      <c r="D1347" s="58" t="inlineStr">
        <is>
          <t>Home</t>
        </is>
      </c>
      <c r="E1347" s="58" t="inlineStr">
        <is>
          <t>North</t>
        </is>
      </c>
      <c r="F1347" s="61" t="n">
        <v>3</v>
      </c>
      <c r="G1347" s="62" t="n">
        <v>301.07</v>
      </c>
      <c r="H1347" s="63" t="n">
        <v>0.007</v>
      </c>
      <c r="I1347" s="62" t="n">
        <v>197.52</v>
      </c>
      <c r="J1347" s="58" t="inlineStr">
        <is>
          <t>Store</t>
        </is>
      </c>
      <c r="K1347" s="62">
        <f>F1347*(G1347-H1347)</f>
        <v/>
      </c>
      <c r="L1347" s="62">
        <f>K1347-(F1347*I1347)</f>
        <v/>
      </c>
      <c r="M1347" s="64">
        <f>L1347/K1347</f>
        <v/>
      </c>
    </row>
    <row r="1348">
      <c r="A1348" s="58" t="inlineStr">
        <is>
          <t>RT20250203-01347</t>
        </is>
      </c>
      <c r="B1348" s="59" t="inlineStr">
        <is>
          <t>2025-02-03</t>
        </is>
      </c>
      <c r="C1348" s="60" t="inlineStr">
        <is>
          <t>Aurora Skincare Max-798</t>
        </is>
      </c>
      <c r="D1348" s="58" t="inlineStr">
        <is>
          <t>Beauty</t>
        </is>
      </c>
      <c r="E1348" s="58" t="inlineStr">
        <is>
          <t>East</t>
        </is>
      </c>
      <c r="F1348" s="61" t="n">
        <v>1</v>
      </c>
      <c r="G1348" s="62" t="n">
        <v>97.34999999999999</v>
      </c>
      <c r="H1348" s="63" t="n">
        <v>0.08500000000000001</v>
      </c>
      <c r="I1348" s="62" t="n">
        <v>68.72</v>
      </c>
      <c r="J1348" s="58" t="inlineStr">
        <is>
          <t>Online</t>
        </is>
      </c>
      <c r="K1348" s="62">
        <f>F1348*(G1348-H1348)</f>
        <v/>
      </c>
      <c r="L1348" s="62">
        <f>K1348-(F1348*I1348)</f>
        <v/>
      </c>
      <c r="M1348" s="64">
        <f>L1348/K1348</f>
        <v/>
      </c>
    </row>
    <row r="1349">
      <c r="A1349" s="58" t="inlineStr">
        <is>
          <t>RT20250203-01348</t>
        </is>
      </c>
      <c r="B1349" s="59" t="inlineStr">
        <is>
          <t>2025-02-03</t>
        </is>
      </c>
      <c r="C1349" s="60" t="inlineStr">
        <is>
          <t>Aurora Smartphone Plus-125</t>
        </is>
      </c>
      <c r="D1349" s="58" t="inlineStr">
        <is>
          <t>Electronics</t>
        </is>
      </c>
      <c r="E1349" s="58" t="inlineStr">
        <is>
          <t>West</t>
        </is>
      </c>
      <c r="F1349" s="61" t="n">
        <v>1</v>
      </c>
      <c r="G1349" s="62" t="n">
        <v>1506.49</v>
      </c>
      <c r="H1349" s="63" t="n">
        <v>0.058</v>
      </c>
      <c r="I1349" s="62" t="n">
        <v>1238.95</v>
      </c>
      <c r="J1349" s="58" t="inlineStr">
        <is>
          <t>Online</t>
        </is>
      </c>
      <c r="K1349" s="62">
        <f>F1349*(G1349-H1349)</f>
        <v/>
      </c>
      <c r="L1349" s="62">
        <f>K1349-(F1349*I1349)</f>
        <v/>
      </c>
      <c r="M1349" s="64">
        <f>L1349/K1349</f>
        <v/>
      </c>
    </row>
    <row r="1350">
      <c r="A1350" s="58" t="inlineStr">
        <is>
          <t>RT20250203-01349</t>
        </is>
      </c>
      <c r="B1350" s="59" t="inlineStr">
        <is>
          <t>2025-02-03</t>
        </is>
      </c>
      <c r="C1350" s="60" t="inlineStr">
        <is>
          <t>Vertex Furniture S-652</t>
        </is>
      </c>
      <c r="D1350" s="58" t="inlineStr">
        <is>
          <t>Office</t>
        </is>
      </c>
      <c r="E1350" s="58" t="inlineStr">
        <is>
          <t>West</t>
        </is>
      </c>
      <c r="F1350" s="61" t="n">
        <v>1</v>
      </c>
      <c r="G1350" s="62" t="n">
        <v>376.16</v>
      </c>
      <c r="H1350" s="63" t="n">
        <v>0.06</v>
      </c>
      <c r="I1350" s="62" t="n">
        <v>273.09</v>
      </c>
      <c r="J1350" s="58" t="inlineStr">
        <is>
          <t>Store</t>
        </is>
      </c>
      <c r="K1350" s="62">
        <f>F1350*(G1350-H1350)</f>
        <v/>
      </c>
      <c r="L1350" s="62">
        <f>K1350-(F1350*I1350)</f>
        <v/>
      </c>
      <c r="M1350" s="64">
        <f>L1350/K1350</f>
        <v/>
      </c>
    </row>
    <row r="1351">
      <c r="A1351" s="58" t="inlineStr">
        <is>
          <t>RT20250203-01350</t>
        </is>
      </c>
      <c r="B1351" s="59" t="inlineStr">
        <is>
          <t>2025-02-03</t>
        </is>
      </c>
      <c r="C1351" s="60" t="inlineStr">
        <is>
          <t>Aurora Bedding Plus-187</t>
        </is>
      </c>
      <c r="D1351" s="58" t="inlineStr">
        <is>
          <t>Home</t>
        </is>
      </c>
      <c r="E1351" s="58" t="inlineStr">
        <is>
          <t>West</t>
        </is>
      </c>
      <c r="F1351" s="61" t="n">
        <v>1</v>
      </c>
      <c r="G1351" s="62" t="n">
        <v>282.84</v>
      </c>
      <c r="H1351" s="63" t="n">
        <v>0.021</v>
      </c>
      <c r="I1351" s="62" t="n">
        <v>204.43</v>
      </c>
      <c r="J1351" s="58" t="inlineStr">
        <is>
          <t>Online</t>
        </is>
      </c>
      <c r="K1351" s="62">
        <f>F1351*(G1351-H1351)</f>
        <v/>
      </c>
      <c r="L1351" s="62">
        <f>K1351-(F1351*I1351)</f>
        <v/>
      </c>
      <c r="M1351" s="64">
        <f>L1351/K1351</f>
        <v/>
      </c>
    </row>
    <row r="1352">
      <c r="A1352" s="58" t="inlineStr">
        <is>
          <t>RT20250203-01351</t>
        </is>
      </c>
      <c r="B1352" s="59" t="inlineStr">
        <is>
          <t>2025-02-03</t>
        </is>
      </c>
      <c r="C1352" s="60" t="inlineStr">
        <is>
          <t>Aurora Wearable Lite-162</t>
        </is>
      </c>
      <c r="D1352" s="58" t="inlineStr">
        <is>
          <t>Electronics</t>
        </is>
      </c>
      <c r="E1352" s="58" t="inlineStr">
        <is>
          <t>South</t>
        </is>
      </c>
      <c r="F1352" s="61" t="n">
        <v>2</v>
      </c>
      <c r="G1352" s="62" t="n">
        <v>1691.28</v>
      </c>
      <c r="H1352" s="63" t="n">
        <v>0.081</v>
      </c>
      <c r="I1352" s="62" t="n">
        <v>1201.43</v>
      </c>
      <c r="J1352" s="58" t="inlineStr">
        <is>
          <t>Store</t>
        </is>
      </c>
      <c r="K1352" s="62">
        <f>F1352*(G1352-H1352)</f>
        <v/>
      </c>
      <c r="L1352" s="62">
        <f>K1352-(F1352*I1352)</f>
        <v/>
      </c>
      <c r="M1352" s="64">
        <f>L1352/K1352</f>
        <v/>
      </c>
    </row>
    <row r="1353">
      <c r="A1353" s="58" t="inlineStr">
        <is>
          <t>RT20250203-01352</t>
        </is>
      </c>
      <c r="B1353" s="59" t="inlineStr">
        <is>
          <t>2025-02-03</t>
        </is>
      </c>
      <c r="C1353" s="60" t="inlineStr">
        <is>
          <t>Vertex Smartphone Pro-256</t>
        </is>
      </c>
      <c r="D1353" s="58" t="inlineStr">
        <is>
          <t>Electronics</t>
        </is>
      </c>
      <c r="E1353" s="58" t="inlineStr">
        <is>
          <t>Central</t>
        </is>
      </c>
      <c r="F1353" s="61" t="n">
        <v>1</v>
      </c>
      <c r="G1353" s="62" t="n">
        <v>1266.47</v>
      </c>
      <c r="H1353" s="63" t="n">
        <v>0.102</v>
      </c>
      <c r="I1353" s="62" t="n">
        <v>922.76</v>
      </c>
      <c r="J1353" s="58" t="inlineStr">
        <is>
          <t>Store</t>
        </is>
      </c>
      <c r="K1353" s="62">
        <f>F1353*(G1353-H1353)</f>
        <v/>
      </c>
      <c r="L1353" s="62">
        <f>K1353-(F1353*I1353)</f>
        <v/>
      </c>
      <c r="M1353" s="64">
        <f>L1353/K1353</f>
        <v/>
      </c>
    </row>
    <row r="1354">
      <c r="A1354" s="58" t="inlineStr">
        <is>
          <t>RT20250203-01353</t>
        </is>
      </c>
      <c r="B1354" s="59" t="inlineStr">
        <is>
          <t>2025-02-03</t>
        </is>
      </c>
      <c r="C1354" s="60" t="inlineStr">
        <is>
          <t>Polar Cycling X-649</t>
        </is>
      </c>
      <c r="D1354" s="58" t="inlineStr">
        <is>
          <t>Sports</t>
        </is>
      </c>
      <c r="E1354" s="58" t="inlineStr">
        <is>
          <t>East</t>
        </is>
      </c>
      <c r="F1354" s="61" t="n">
        <v>3</v>
      </c>
      <c r="G1354" s="62" t="n">
        <v>577.4400000000001</v>
      </c>
      <c r="H1354" s="63" t="n">
        <v>0.048</v>
      </c>
      <c r="I1354" s="62" t="n">
        <v>360.94</v>
      </c>
      <c r="J1354" s="58" t="inlineStr">
        <is>
          <t>Online</t>
        </is>
      </c>
      <c r="K1354" s="62">
        <f>F1354*(G1354-H1354)</f>
        <v/>
      </c>
      <c r="L1354" s="62">
        <f>K1354-(F1354*I1354)</f>
        <v/>
      </c>
      <c r="M1354" s="64">
        <f>L1354/K1354</f>
        <v/>
      </c>
    </row>
    <row r="1355">
      <c r="A1355" s="58" t="inlineStr">
        <is>
          <t>RT20250203-01354</t>
        </is>
      </c>
      <c r="B1355" s="59" t="inlineStr">
        <is>
          <t>2025-02-03</t>
        </is>
      </c>
      <c r="C1355" s="60" t="inlineStr">
        <is>
          <t>Vertex Snack S-702</t>
        </is>
      </c>
      <c r="D1355" s="58" t="inlineStr">
        <is>
          <t>Grocery</t>
        </is>
      </c>
      <c r="E1355" s="58" t="inlineStr">
        <is>
          <t>North</t>
        </is>
      </c>
      <c r="F1355" s="61" t="n">
        <v>8</v>
      </c>
      <c r="G1355" s="62" t="n">
        <v>1.81</v>
      </c>
      <c r="H1355" s="63" t="n">
        <v>0.04</v>
      </c>
      <c r="I1355" s="62" t="n">
        <v>1.45</v>
      </c>
      <c r="J1355" s="58" t="inlineStr">
        <is>
          <t>Online</t>
        </is>
      </c>
      <c r="K1355" s="62">
        <f>F1355*(G1355-H1355)</f>
        <v/>
      </c>
      <c r="L1355" s="62">
        <f>K1355-(F1355*I1355)</f>
        <v/>
      </c>
      <c r="M1355" s="64">
        <f>L1355/K1355</f>
        <v/>
      </c>
    </row>
    <row r="1356">
      <c r="A1356" s="58" t="inlineStr">
        <is>
          <t>RT20250203-01355</t>
        </is>
      </c>
      <c r="B1356" s="59" t="inlineStr">
        <is>
          <t>2025-02-03</t>
        </is>
      </c>
      <c r="C1356" s="60" t="inlineStr">
        <is>
          <t>Metro Printer X-294</t>
        </is>
      </c>
      <c r="D1356" s="58" t="inlineStr">
        <is>
          <t>Office</t>
        </is>
      </c>
      <c r="E1356" s="58" t="inlineStr">
        <is>
          <t>East</t>
        </is>
      </c>
      <c r="F1356" s="61" t="n">
        <v>2</v>
      </c>
      <c r="G1356" s="62" t="n">
        <v>537.1799999999999</v>
      </c>
      <c r="H1356" s="63" t="n">
        <v>0.06</v>
      </c>
      <c r="I1356" s="62" t="n">
        <v>405.43</v>
      </c>
      <c r="J1356" s="58" t="inlineStr">
        <is>
          <t>Online</t>
        </is>
      </c>
      <c r="K1356" s="62">
        <f>F1356*(G1356-H1356)</f>
        <v/>
      </c>
      <c r="L1356" s="62">
        <f>K1356-(F1356*I1356)</f>
        <v/>
      </c>
      <c r="M1356" s="64">
        <f>L1356/K1356</f>
        <v/>
      </c>
    </row>
    <row r="1357">
      <c r="A1357" s="58" t="inlineStr">
        <is>
          <t>RT20250203-01356</t>
        </is>
      </c>
      <c r="B1357" s="59" t="inlineStr">
        <is>
          <t>2025-02-03</t>
        </is>
      </c>
      <c r="C1357" s="60" t="inlineStr">
        <is>
          <t>Metro Accessorie Max-316</t>
        </is>
      </c>
      <c r="D1357" s="58" t="inlineStr">
        <is>
          <t>Apparel</t>
        </is>
      </c>
      <c r="E1357" s="58" t="inlineStr">
        <is>
          <t>East</t>
        </is>
      </c>
      <c r="F1357" s="61" t="n">
        <v>2</v>
      </c>
      <c r="G1357" s="62" t="n">
        <v>162.49</v>
      </c>
      <c r="H1357" s="63" t="n">
        <v>0.074</v>
      </c>
      <c r="I1357" s="62" t="n">
        <v>93.55</v>
      </c>
      <c r="J1357" s="58" t="inlineStr">
        <is>
          <t>Online</t>
        </is>
      </c>
      <c r="K1357" s="62">
        <f>F1357*(G1357-H1357)</f>
        <v/>
      </c>
      <c r="L1357" s="62">
        <f>K1357-(F1357*I1357)</f>
        <v/>
      </c>
      <c r="M1357" s="64">
        <f>L1357/K1357</f>
        <v/>
      </c>
    </row>
    <row r="1358">
      <c r="A1358" s="58" t="inlineStr">
        <is>
          <t>RT20250203-01357</t>
        </is>
      </c>
      <c r="B1358" s="59" t="inlineStr">
        <is>
          <t>2025-02-03</t>
        </is>
      </c>
      <c r="C1358" s="60" t="inlineStr">
        <is>
          <t>Metro Laptop Plus-376</t>
        </is>
      </c>
      <c r="D1358" s="58" t="inlineStr">
        <is>
          <t>Electronics</t>
        </is>
      </c>
      <c r="E1358" s="58" t="inlineStr">
        <is>
          <t>South</t>
        </is>
      </c>
      <c r="F1358" s="61" t="n">
        <v>1</v>
      </c>
      <c r="G1358" s="62" t="n">
        <v>1204.62</v>
      </c>
      <c r="H1358" s="63" t="n">
        <v>0.083</v>
      </c>
      <c r="I1358" s="62" t="n">
        <v>1031.36</v>
      </c>
      <c r="J1358" s="58" t="inlineStr">
        <is>
          <t>Online</t>
        </is>
      </c>
      <c r="K1358" s="62">
        <f>F1358*(G1358-H1358)</f>
        <v/>
      </c>
      <c r="L1358" s="62">
        <f>K1358-(F1358*I1358)</f>
        <v/>
      </c>
      <c r="M1358" s="64">
        <f>L1358/K1358</f>
        <v/>
      </c>
    </row>
    <row r="1359">
      <c r="A1359" s="58" t="inlineStr">
        <is>
          <t>RT20250203-01358</t>
        </is>
      </c>
      <c r="B1359" s="59" t="inlineStr">
        <is>
          <t>2025-02-03</t>
        </is>
      </c>
      <c r="C1359" s="60" t="inlineStr">
        <is>
          <t>Solace Kid S-384</t>
        </is>
      </c>
      <c r="D1359" s="58" t="inlineStr">
        <is>
          <t>Apparel</t>
        </is>
      </c>
      <c r="E1359" s="58" t="inlineStr">
        <is>
          <t>East</t>
        </is>
      </c>
      <c r="F1359" s="61" t="n">
        <v>1</v>
      </c>
      <c r="G1359" s="62" t="n">
        <v>112.05</v>
      </c>
      <c r="H1359" s="63" t="n">
        <v>0</v>
      </c>
      <c r="I1359" s="62" t="n">
        <v>63.82</v>
      </c>
      <c r="J1359" s="58" t="inlineStr">
        <is>
          <t>Phone</t>
        </is>
      </c>
      <c r="K1359" s="62">
        <f>F1359*(G1359-H1359)</f>
        <v/>
      </c>
      <c r="L1359" s="62">
        <f>K1359-(F1359*I1359)</f>
        <v/>
      </c>
      <c r="M1359" s="64">
        <f>L1359/K1359</f>
        <v/>
      </c>
    </row>
    <row r="1360">
      <c r="A1360" s="58" t="inlineStr">
        <is>
          <t>RT20250203-01359</t>
        </is>
      </c>
      <c r="B1360" s="59" t="inlineStr">
        <is>
          <t>2025-02-03</t>
        </is>
      </c>
      <c r="C1360" s="60" t="inlineStr">
        <is>
          <t>Orion Kid Max-640</t>
        </is>
      </c>
      <c r="D1360" s="58" t="inlineStr">
        <is>
          <t>Apparel</t>
        </is>
      </c>
      <c r="E1360" s="58" t="inlineStr">
        <is>
          <t>South</t>
        </is>
      </c>
      <c r="F1360" s="61" t="n">
        <v>2</v>
      </c>
      <c r="G1360" s="62" t="n">
        <v>129.45</v>
      </c>
      <c r="H1360" s="63" t="n">
        <v>0.049</v>
      </c>
      <c r="I1360" s="62" t="n">
        <v>70.31999999999999</v>
      </c>
      <c r="J1360" s="58" t="inlineStr">
        <is>
          <t>Online</t>
        </is>
      </c>
      <c r="K1360" s="62">
        <f>F1360*(G1360-H1360)</f>
        <v/>
      </c>
      <c r="L1360" s="62">
        <f>K1360-(F1360*I1360)</f>
        <v/>
      </c>
      <c r="M1360" s="64">
        <f>L1360/K1360</f>
        <v/>
      </c>
    </row>
    <row r="1361">
      <c r="A1361" s="58" t="inlineStr">
        <is>
          <t>RT20250203-01360</t>
        </is>
      </c>
      <c r="B1361" s="59" t="inlineStr">
        <is>
          <t>2025-02-03</t>
        </is>
      </c>
      <c r="C1361" s="60" t="inlineStr">
        <is>
          <t>Nimbus Furniture Pro-479</t>
        </is>
      </c>
      <c r="D1361" s="58" t="inlineStr">
        <is>
          <t>Office</t>
        </is>
      </c>
      <c r="E1361" s="58" t="inlineStr">
        <is>
          <t>South</t>
        </is>
      </c>
      <c r="F1361" s="61" t="n">
        <v>2</v>
      </c>
      <c r="G1361" s="62" t="n">
        <v>316.79</v>
      </c>
      <c r="H1361" s="63" t="n">
        <v>0.068</v>
      </c>
      <c r="I1361" s="62" t="n">
        <v>241.32</v>
      </c>
      <c r="J1361" s="58" t="inlineStr">
        <is>
          <t>Store</t>
        </is>
      </c>
      <c r="K1361" s="62">
        <f>F1361*(G1361-H1361)</f>
        <v/>
      </c>
      <c r="L1361" s="62">
        <f>K1361-(F1361*I1361)</f>
        <v/>
      </c>
      <c r="M1361" s="64">
        <f>L1361/K1361</f>
        <v/>
      </c>
    </row>
    <row r="1362">
      <c r="A1362" s="58" t="inlineStr">
        <is>
          <t>RT20250203-01361</t>
        </is>
      </c>
      <c r="B1362" s="59" t="inlineStr">
        <is>
          <t>2025-02-03</t>
        </is>
      </c>
      <c r="C1362" s="60" t="inlineStr">
        <is>
          <t>Metro Wearable Plus-234</t>
        </is>
      </c>
      <c r="D1362" s="58" t="inlineStr">
        <is>
          <t>Electronics</t>
        </is>
      </c>
      <c r="E1362" s="58" t="inlineStr">
        <is>
          <t>North</t>
        </is>
      </c>
      <c r="F1362" s="61" t="n">
        <v>1</v>
      </c>
      <c r="G1362" s="62" t="n">
        <v>1261.89</v>
      </c>
      <c r="H1362" s="63" t="n">
        <v>0.093</v>
      </c>
      <c r="I1362" s="62" t="n">
        <v>1111.19</v>
      </c>
      <c r="J1362" s="58" t="inlineStr">
        <is>
          <t>Online</t>
        </is>
      </c>
      <c r="K1362" s="62">
        <f>F1362*(G1362-H1362)</f>
        <v/>
      </c>
      <c r="L1362" s="62">
        <f>K1362-(F1362*I1362)</f>
        <v/>
      </c>
      <c r="M1362" s="64">
        <f>L1362/K1362</f>
        <v/>
      </c>
    </row>
    <row r="1363">
      <c r="A1363" s="58" t="inlineStr">
        <is>
          <t>RT20250203-01362</t>
        </is>
      </c>
      <c r="B1363" s="59" t="inlineStr">
        <is>
          <t>2025-02-03</t>
        </is>
      </c>
      <c r="C1363" s="60" t="inlineStr">
        <is>
          <t>Aurora Printer Plus-991</t>
        </is>
      </c>
      <c r="D1363" s="58" t="inlineStr">
        <is>
          <t>Office</t>
        </is>
      </c>
      <c r="E1363" s="58" t="inlineStr">
        <is>
          <t>Central</t>
        </is>
      </c>
      <c r="F1363" s="61" t="n">
        <v>3</v>
      </c>
      <c r="G1363" s="62" t="n">
        <v>552.1900000000001</v>
      </c>
      <c r="H1363" s="63" t="n">
        <v>0.067</v>
      </c>
      <c r="I1363" s="62" t="n">
        <v>377.41</v>
      </c>
      <c r="J1363" s="58" t="inlineStr">
        <is>
          <t>Store</t>
        </is>
      </c>
      <c r="K1363" s="62">
        <f>F1363*(G1363-H1363)</f>
        <v/>
      </c>
      <c r="L1363" s="62">
        <f>K1363-(F1363*I1363)</f>
        <v/>
      </c>
      <c r="M1363" s="64">
        <f>L1363/K1363</f>
        <v/>
      </c>
    </row>
    <row r="1364">
      <c r="A1364" s="58" t="inlineStr">
        <is>
          <t>RT20250203-01363</t>
        </is>
      </c>
      <c r="B1364" s="59" t="inlineStr">
        <is>
          <t>2025-02-03</t>
        </is>
      </c>
      <c r="C1364" s="60" t="inlineStr">
        <is>
          <t>Nimbus Decor Lite-385</t>
        </is>
      </c>
      <c r="D1364" s="58" t="inlineStr">
        <is>
          <t>Home</t>
        </is>
      </c>
      <c r="E1364" s="58" t="inlineStr">
        <is>
          <t>West</t>
        </is>
      </c>
      <c r="F1364" s="61" t="n">
        <v>3</v>
      </c>
      <c r="G1364" s="62" t="n">
        <v>557.6</v>
      </c>
      <c r="H1364" s="63" t="n">
        <v>0.066</v>
      </c>
      <c r="I1364" s="62" t="n">
        <v>393.42</v>
      </c>
      <c r="J1364" s="58" t="inlineStr">
        <is>
          <t>Online</t>
        </is>
      </c>
      <c r="K1364" s="62">
        <f>F1364*(G1364-H1364)</f>
        <v/>
      </c>
      <c r="L1364" s="62">
        <f>K1364-(F1364*I1364)</f>
        <v/>
      </c>
      <c r="M1364" s="64">
        <f>L1364/K1364</f>
        <v/>
      </c>
    </row>
    <row r="1365">
      <c r="A1365" s="58" t="inlineStr">
        <is>
          <t>RT20250203-01364</t>
        </is>
      </c>
      <c r="B1365" s="59" t="inlineStr">
        <is>
          <t>2025-02-03</t>
        </is>
      </c>
      <c r="C1365" s="60" t="inlineStr">
        <is>
          <t>Metro Beverage Max-490</t>
        </is>
      </c>
      <c r="D1365" s="58" t="inlineStr">
        <is>
          <t>Grocery</t>
        </is>
      </c>
      <c r="E1365" s="58" t="inlineStr">
        <is>
          <t>West</t>
        </is>
      </c>
      <c r="F1365" s="61" t="n">
        <v>1</v>
      </c>
      <c r="G1365" s="62" t="n">
        <v>10.65</v>
      </c>
      <c r="H1365" s="63" t="n">
        <v>0.059</v>
      </c>
      <c r="I1365" s="62" t="n">
        <v>8.300000000000001</v>
      </c>
      <c r="J1365" s="58" t="inlineStr">
        <is>
          <t>Phone</t>
        </is>
      </c>
      <c r="K1365" s="62">
        <f>F1365*(G1365-H1365)</f>
        <v/>
      </c>
      <c r="L1365" s="62">
        <f>K1365-(F1365*I1365)</f>
        <v/>
      </c>
      <c r="M1365" s="64">
        <f>L1365/K1365</f>
        <v/>
      </c>
    </row>
    <row r="1366">
      <c r="A1366" s="58" t="inlineStr">
        <is>
          <t>RT20250203-01365</t>
        </is>
      </c>
      <c r="B1366" s="59" t="inlineStr">
        <is>
          <t>2025-02-03</t>
        </is>
      </c>
      <c r="C1366" s="60" t="inlineStr">
        <is>
          <t>Aurora Printer Plus-723</t>
        </is>
      </c>
      <c r="D1366" s="58" t="inlineStr">
        <is>
          <t>Office</t>
        </is>
      </c>
      <c r="E1366" s="58" t="inlineStr">
        <is>
          <t>West</t>
        </is>
      </c>
      <c r="F1366" s="61" t="n">
        <v>1</v>
      </c>
      <c r="G1366" s="62" t="n">
        <v>225.38</v>
      </c>
      <c r="H1366" s="63" t="n">
        <v>0.047</v>
      </c>
      <c r="I1366" s="62" t="n">
        <v>189.32</v>
      </c>
      <c r="J1366" s="58" t="inlineStr">
        <is>
          <t>Online</t>
        </is>
      </c>
      <c r="K1366" s="62">
        <f>F1366*(G1366-H1366)</f>
        <v/>
      </c>
      <c r="L1366" s="62">
        <f>K1366-(F1366*I1366)</f>
        <v/>
      </c>
      <c r="M1366" s="64">
        <f>L1366/K1366</f>
        <v/>
      </c>
    </row>
    <row r="1367">
      <c r="A1367" s="58" t="inlineStr">
        <is>
          <t>RT20250203-01366</t>
        </is>
      </c>
      <c r="B1367" s="59" t="inlineStr">
        <is>
          <t>2025-02-03</t>
        </is>
      </c>
      <c r="C1367" s="60" t="inlineStr">
        <is>
          <t>Aurora Bedding Plus-187</t>
        </is>
      </c>
      <c r="D1367" s="58" t="inlineStr">
        <is>
          <t>Home</t>
        </is>
      </c>
      <c r="E1367" s="58" t="inlineStr">
        <is>
          <t>South</t>
        </is>
      </c>
      <c r="F1367" s="61" t="n">
        <v>1</v>
      </c>
      <c r="G1367" s="62" t="n">
        <v>283.87</v>
      </c>
      <c r="H1367" s="63" t="n">
        <v>0.08799999999999999</v>
      </c>
      <c r="I1367" s="62" t="n">
        <v>214.36</v>
      </c>
      <c r="J1367" s="58" t="inlineStr">
        <is>
          <t>Online</t>
        </is>
      </c>
      <c r="K1367" s="62">
        <f>F1367*(G1367-H1367)</f>
        <v/>
      </c>
      <c r="L1367" s="62">
        <f>K1367-(F1367*I1367)</f>
        <v/>
      </c>
      <c r="M1367" s="64">
        <f>L1367/K1367</f>
        <v/>
      </c>
    </row>
    <row r="1368">
      <c r="A1368" s="58" t="inlineStr">
        <is>
          <t>RT20250203-01367</t>
        </is>
      </c>
      <c r="B1368" s="59" t="inlineStr">
        <is>
          <t>2025-02-03</t>
        </is>
      </c>
      <c r="C1368" s="60" t="inlineStr">
        <is>
          <t>Nimbus Storage Plus-646</t>
        </is>
      </c>
      <c r="D1368" s="58" t="inlineStr">
        <is>
          <t>Office</t>
        </is>
      </c>
      <c r="E1368" s="58" t="inlineStr">
        <is>
          <t>Central</t>
        </is>
      </c>
      <c r="F1368" s="61" t="n">
        <v>1</v>
      </c>
      <c r="G1368" s="62" t="n">
        <v>434.03</v>
      </c>
      <c r="H1368" s="63" t="n">
        <v>0.08699999999999999</v>
      </c>
      <c r="I1368" s="62" t="n">
        <v>316.29</v>
      </c>
      <c r="J1368" s="58" t="inlineStr">
        <is>
          <t>Online</t>
        </is>
      </c>
      <c r="K1368" s="62">
        <f>F1368*(G1368-H1368)</f>
        <v/>
      </c>
      <c r="L1368" s="62">
        <f>K1368-(F1368*I1368)</f>
        <v/>
      </c>
      <c r="M1368" s="64">
        <f>L1368/K1368</f>
        <v/>
      </c>
    </row>
    <row r="1369">
      <c r="A1369" s="58" t="inlineStr">
        <is>
          <t>RT20250203-01368</t>
        </is>
      </c>
      <c r="B1369" s="59" t="inlineStr">
        <is>
          <t>2025-02-03</t>
        </is>
      </c>
      <c r="C1369" s="60" t="inlineStr">
        <is>
          <t>Falcon Headphone Plus-789</t>
        </is>
      </c>
      <c r="D1369" s="58" t="inlineStr">
        <is>
          <t>Electronics</t>
        </is>
      </c>
      <c r="E1369" s="58" t="inlineStr">
        <is>
          <t>East</t>
        </is>
      </c>
      <c r="F1369" s="61" t="n">
        <v>2</v>
      </c>
      <c r="G1369" s="62" t="n">
        <v>1665.13</v>
      </c>
      <c r="H1369" s="63" t="n">
        <v>0.016</v>
      </c>
      <c r="I1369" s="62" t="n">
        <v>1317.28</v>
      </c>
      <c r="J1369" s="58" t="inlineStr">
        <is>
          <t>Online</t>
        </is>
      </c>
      <c r="K1369" s="62">
        <f>F1369*(G1369-H1369)</f>
        <v/>
      </c>
      <c r="L1369" s="62">
        <f>K1369-(F1369*I1369)</f>
        <v/>
      </c>
      <c r="M1369" s="64">
        <f>L1369/K1369</f>
        <v/>
      </c>
    </row>
    <row r="1370">
      <c r="A1370" s="58" t="inlineStr">
        <is>
          <t>RT20250203-01369</t>
        </is>
      </c>
      <c r="B1370" s="59" t="inlineStr">
        <is>
          <t>2025-02-03</t>
        </is>
      </c>
      <c r="C1370" s="60" t="inlineStr">
        <is>
          <t>Falcon Beverage Max-702</t>
        </is>
      </c>
      <c r="D1370" s="58" t="inlineStr">
        <is>
          <t>Grocery</t>
        </is>
      </c>
      <c r="E1370" s="58" t="inlineStr">
        <is>
          <t>Central</t>
        </is>
      </c>
      <c r="F1370" s="61" t="n">
        <v>3</v>
      </c>
      <c r="G1370" s="62" t="n">
        <v>25.38</v>
      </c>
      <c r="H1370" s="63" t="n">
        <v>0.078</v>
      </c>
      <c r="I1370" s="62" t="n">
        <v>20.52</v>
      </c>
      <c r="J1370" s="58" t="inlineStr">
        <is>
          <t>Online</t>
        </is>
      </c>
      <c r="K1370" s="62">
        <f>F1370*(G1370-H1370)</f>
        <v/>
      </c>
      <c r="L1370" s="62">
        <f>K1370-(F1370*I1370)</f>
        <v/>
      </c>
      <c r="M1370" s="64">
        <f>L1370/K1370</f>
        <v/>
      </c>
    </row>
    <row r="1371">
      <c r="A1371" s="58" t="inlineStr">
        <is>
          <t>RT20250203-01370</t>
        </is>
      </c>
      <c r="B1371" s="59" t="inlineStr">
        <is>
          <t>2025-02-03</t>
        </is>
      </c>
      <c r="C1371" s="60" t="inlineStr">
        <is>
          <t>Aurora Furniture X-709</t>
        </is>
      </c>
      <c r="D1371" s="58" t="inlineStr">
        <is>
          <t>Office</t>
        </is>
      </c>
      <c r="E1371" s="58" t="inlineStr">
        <is>
          <t>East</t>
        </is>
      </c>
      <c r="F1371" s="61" t="n">
        <v>1</v>
      </c>
      <c r="G1371" s="62" t="n">
        <v>398.44</v>
      </c>
      <c r="H1371" s="63" t="n">
        <v>0.079</v>
      </c>
      <c r="I1371" s="62" t="n">
        <v>309.42</v>
      </c>
      <c r="J1371" s="58" t="inlineStr">
        <is>
          <t>Online</t>
        </is>
      </c>
      <c r="K1371" s="62">
        <f>F1371*(G1371-H1371)</f>
        <v/>
      </c>
      <c r="L1371" s="62">
        <f>K1371-(F1371*I1371)</f>
        <v/>
      </c>
      <c r="M1371" s="64">
        <f>L1371/K1371</f>
        <v/>
      </c>
    </row>
    <row r="1372">
      <c r="A1372" s="58" t="inlineStr">
        <is>
          <t>RT20250203-01371</t>
        </is>
      </c>
      <c r="B1372" s="59" t="inlineStr">
        <is>
          <t>2025-02-03</t>
        </is>
      </c>
      <c r="C1372" s="60" t="inlineStr">
        <is>
          <t>Vertex Appliance S-296</t>
        </is>
      </c>
      <c r="D1372" s="58" t="inlineStr">
        <is>
          <t>Home</t>
        </is>
      </c>
      <c r="E1372" s="58" t="inlineStr">
        <is>
          <t>East</t>
        </is>
      </c>
      <c r="F1372" s="61" t="n">
        <v>3</v>
      </c>
      <c r="G1372" s="62" t="n">
        <v>543.15</v>
      </c>
      <c r="H1372" s="63" t="n">
        <v>0.002</v>
      </c>
      <c r="I1372" s="62" t="n">
        <v>353</v>
      </c>
      <c r="J1372" s="58" t="inlineStr">
        <is>
          <t>Store</t>
        </is>
      </c>
      <c r="K1372" s="62">
        <f>F1372*(G1372-H1372)</f>
        <v/>
      </c>
      <c r="L1372" s="62">
        <f>K1372-(F1372*I1372)</f>
        <v/>
      </c>
      <c r="M1372" s="64">
        <f>L1372/K1372</f>
        <v/>
      </c>
    </row>
    <row r="1373">
      <c r="A1373" s="58" t="inlineStr">
        <is>
          <t>RT20250203-01372</t>
        </is>
      </c>
      <c r="B1373" s="59" t="inlineStr">
        <is>
          <t>2025-02-03</t>
        </is>
      </c>
      <c r="C1373" s="60" t="inlineStr">
        <is>
          <t>Falcon Team Sport Lite-268</t>
        </is>
      </c>
      <c r="D1373" s="58" t="inlineStr">
        <is>
          <t>Sports</t>
        </is>
      </c>
      <c r="E1373" s="58" t="inlineStr">
        <is>
          <t>Central</t>
        </is>
      </c>
      <c r="F1373" s="61" t="n">
        <v>2</v>
      </c>
      <c r="G1373" s="62" t="n">
        <v>627.91</v>
      </c>
      <c r="H1373" s="63" t="n">
        <v>0.054</v>
      </c>
      <c r="I1373" s="62" t="n">
        <v>438.33</v>
      </c>
      <c r="J1373" s="58" t="inlineStr">
        <is>
          <t>Online</t>
        </is>
      </c>
      <c r="K1373" s="62">
        <f>F1373*(G1373-H1373)</f>
        <v/>
      </c>
      <c r="L1373" s="62">
        <f>K1373-(F1373*I1373)</f>
        <v/>
      </c>
      <c r="M1373" s="64">
        <f>L1373/K1373</f>
        <v/>
      </c>
    </row>
    <row r="1374">
      <c r="A1374" s="58" t="inlineStr">
        <is>
          <t>RT20250203-01373</t>
        </is>
      </c>
      <c r="B1374" s="59" t="inlineStr">
        <is>
          <t>2025-02-03</t>
        </is>
      </c>
      <c r="C1374" s="60" t="inlineStr">
        <is>
          <t>Solace Laptop S-367</t>
        </is>
      </c>
      <c r="D1374" s="58" t="inlineStr">
        <is>
          <t>Electronics</t>
        </is>
      </c>
      <c r="E1374" s="58" t="inlineStr">
        <is>
          <t>East</t>
        </is>
      </c>
      <c r="F1374" s="61" t="n">
        <v>1</v>
      </c>
      <c r="G1374" s="62" t="n">
        <v>2140.12</v>
      </c>
      <c r="H1374" s="63" t="n">
        <v>0.052</v>
      </c>
      <c r="I1374" s="62" t="n">
        <v>1555.28</v>
      </c>
      <c r="J1374" s="58" t="inlineStr">
        <is>
          <t>Online</t>
        </is>
      </c>
      <c r="K1374" s="62">
        <f>F1374*(G1374-H1374)</f>
        <v/>
      </c>
      <c r="L1374" s="62">
        <f>K1374-(F1374*I1374)</f>
        <v/>
      </c>
      <c r="M1374" s="64">
        <f>L1374/K1374</f>
        <v/>
      </c>
    </row>
    <row r="1375">
      <c r="A1375" s="58" t="inlineStr">
        <is>
          <t>RT20250203-01374</t>
        </is>
      </c>
      <c r="B1375" s="59" t="inlineStr">
        <is>
          <t>2025-02-03</t>
        </is>
      </c>
      <c r="C1375" s="60" t="inlineStr">
        <is>
          <t>Aurora Fitnes Lite-194</t>
        </is>
      </c>
      <c r="D1375" s="58" t="inlineStr">
        <is>
          <t>Sports</t>
        </is>
      </c>
      <c r="E1375" s="58" t="inlineStr">
        <is>
          <t>Central</t>
        </is>
      </c>
      <c r="F1375" s="61" t="n">
        <v>2</v>
      </c>
      <c r="G1375" s="62" t="n">
        <v>820.63</v>
      </c>
      <c r="H1375" s="63" t="n">
        <v>0.033</v>
      </c>
      <c r="I1375" s="62" t="n">
        <v>471.25</v>
      </c>
      <c r="J1375" s="58" t="inlineStr">
        <is>
          <t>Phone</t>
        </is>
      </c>
      <c r="K1375" s="62">
        <f>F1375*(G1375-H1375)</f>
        <v/>
      </c>
      <c r="L1375" s="62">
        <f>K1375-(F1375*I1375)</f>
        <v/>
      </c>
      <c r="M1375" s="64">
        <f>L1375/K1375</f>
        <v/>
      </c>
    </row>
    <row r="1376">
      <c r="A1376" s="58" t="inlineStr">
        <is>
          <t>RT20250203-01375</t>
        </is>
      </c>
      <c r="B1376" s="59" t="inlineStr">
        <is>
          <t>2025-02-03</t>
        </is>
      </c>
      <c r="C1376" s="60" t="inlineStr">
        <is>
          <t>Nimbus Women Lite-814</t>
        </is>
      </c>
      <c r="D1376" s="58" t="inlineStr">
        <is>
          <t>Apparel</t>
        </is>
      </c>
      <c r="E1376" s="58" t="inlineStr">
        <is>
          <t>West</t>
        </is>
      </c>
      <c r="F1376" s="61" t="n">
        <v>4</v>
      </c>
      <c r="G1376" s="62" t="n">
        <v>134.16</v>
      </c>
      <c r="H1376" s="63" t="n">
        <v>0.081</v>
      </c>
      <c r="I1376" s="62" t="n">
        <v>82.56999999999999</v>
      </c>
      <c r="J1376" s="58" t="inlineStr">
        <is>
          <t>Online</t>
        </is>
      </c>
      <c r="K1376" s="62">
        <f>F1376*(G1376-H1376)</f>
        <v/>
      </c>
      <c r="L1376" s="62">
        <f>K1376-(F1376*I1376)</f>
        <v/>
      </c>
      <c r="M1376" s="64">
        <f>L1376/K1376</f>
        <v/>
      </c>
    </row>
    <row r="1377">
      <c r="A1377" s="58" t="inlineStr">
        <is>
          <t>RT20250203-01376</t>
        </is>
      </c>
      <c r="B1377" s="59" t="inlineStr">
        <is>
          <t>2025-02-03</t>
        </is>
      </c>
      <c r="C1377" s="60" t="inlineStr">
        <is>
          <t>Metro Outdoor Plus-787</t>
        </is>
      </c>
      <c r="D1377" s="58" t="inlineStr">
        <is>
          <t>Sports</t>
        </is>
      </c>
      <c r="E1377" s="58" t="inlineStr">
        <is>
          <t>North</t>
        </is>
      </c>
      <c r="F1377" s="61" t="n">
        <v>3</v>
      </c>
      <c r="G1377" s="62" t="n">
        <v>521.89</v>
      </c>
      <c r="H1377" s="63" t="n">
        <v>0.033</v>
      </c>
      <c r="I1377" s="62" t="n">
        <v>356.66</v>
      </c>
      <c r="J1377" s="58" t="inlineStr">
        <is>
          <t>Online</t>
        </is>
      </c>
      <c r="K1377" s="62">
        <f>F1377*(G1377-H1377)</f>
        <v/>
      </c>
      <c r="L1377" s="62">
        <f>K1377-(F1377*I1377)</f>
        <v/>
      </c>
      <c r="M1377" s="64">
        <f>L1377/K1377</f>
        <v/>
      </c>
    </row>
    <row r="1378">
      <c r="A1378" s="58" t="inlineStr">
        <is>
          <t>RT20250204-01377</t>
        </is>
      </c>
      <c r="B1378" s="59" t="inlineStr">
        <is>
          <t>2025-02-04</t>
        </is>
      </c>
      <c r="C1378" s="60" t="inlineStr">
        <is>
          <t>Vertex Smartphone Pro-256</t>
        </is>
      </c>
      <c r="D1378" s="58" t="inlineStr">
        <is>
          <t>Electronics</t>
        </is>
      </c>
      <c r="E1378" s="58" t="inlineStr">
        <is>
          <t>East</t>
        </is>
      </c>
      <c r="F1378" s="61" t="n">
        <v>2</v>
      </c>
      <c r="G1378" s="62" t="n">
        <v>1254.94</v>
      </c>
      <c r="H1378" s="63" t="n">
        <v>0.02</v>
      </c>
      <c r="I1378" s="62" t="n">
        <v>924.35</v>
      </c>
      <c r="J1378" s="58" t="inlineStr">
        <is>
          <t>Store</t>
        </is>
      </c>
      <c r="K1378" s="62">
        <f>F1378*(G1378-H1378)</f>
        <v/>
      </c>
      <c r="L1378" s="62">
        <f>K1378-(F1378*I1378)</f>
        <v/>
      </c>
      <c r="M1378" s="64">
        <f>L1378/K1378</f>
        <v/>
      </c>
    </row>
    <row r="1379">
      <c r="A1379" s="58" t="inlineStr">
        <is>
          <t>RT20250204-01378</t>
        </is>
      </c>
      <c r="B1379" s="59" t="inlineStr">
        <is>
          <t>2025-02-04</t>
        </is>
      </c>
      <c r="C1379" s="60" t="inlineStr">
        <is>
          <t>Falcon Skincare Max-151</t>
        </is>
      </c>
      <c r="D1379" s="58" t="inlineStr">
        <is>
          <t>Beauty</t>
        </is>
      </c>
      <c r="E1379" s="58" t="inlineStr">
        <is>
          <t>West</t>
        </is>
      </c>
      <c r="F1379" s="61" t="n">
        <v>2</v>
      </c>
      <c r="G1379" s="62" t="n">
        <v>93.26000000000001</v>
      </c>
      <c r="H1379" s="63" t="n">
        <v>0.046</v>
      </c>
      <c r="I1379" s="62" t="n">
        <v>60.33</v>
      </c>
      <c r="J1379" s="58" t="inlineStr">
        <is>
          <t>Online</t>
        </is>
      </c>
      <c r="K1379" s="62">
        <f>F1379*(G1379-H1379)</f>
        <v/>
      </c>
      <c r="L1379" s="62">
        <f>K1379-(F1379*I1379)</f>
        <v/>
      </c>
      <c r="M1379" s="64">
        <f>L1379/K1379</f>
        <v/>
      </c>
    </row>
    <row r="1380">
      <c r="A1380" s="58" t="inlineStr">
        <is>
          <t>RT20250204-01379</t>
        </is>
      </c>
      <c r="B1380" s="59" t="inlineStr">
        <is>
          <t>2025-02-04</t>
        </is>
      </c>
      <c r="C1380" s="60" t="inlineStr">
        <is>
          <t>Nimbus Women Plus-352</t>
        </is>
      </c>
      <c r="D1380" s="58" t="inlineStr">
        <is>
          <t>Apparel</t>
        </is>
      </c>
      <c r="E1380" s="58" t="inlineStr">
        <is>
          <t>West</t>
        </is>
      </c>
      <c r="F1380" s="61" t="n">
        <v>2</v>
      </c>
      <c r="G1380" s="62" t="n">
        <v>51.21</v>
      </c>
      <c r="H1380" s="63" t="n">
        <v>0.048</v>
      </c>
      <c r="I1380" s="62" t="n">
        <v>32.56</v>
      </c>
      <c r="J1380" s="58" t="inlineStr">
        <is>
          <t>Online</t>
        </is>
      </c>
      <c r="K1380" s="62">
        <f>F1380*(G1380-H1380)</f>
        <v/>
      </c>
      <c r="L1380" s="62">
        <f>K1380-(F1380*I1380)</f>
        <v/>
      </c>
      <c r="M1380" s="64">
        <f>L1380/K1380</f>
        <v/>
      </c>
    </row>
    <row r="1381">
      <c r="A1381" s="58" t="inlineStr">
        <is>
          <t>RT20250204-01380</t>
        </is>
      </c>
      <c r="B1381" s="59" t="inlineStr">
        <is>
          <t>2025-02-04</t>
        </is>
      </c>
      <c r="C1381" s="60" t="inlineStr">
        <is>
          <t>Aurora Smartphone Plus-125</t>
        </is>
      </c>
      <c r="D1381" s="58" t="inlineStr">
        <is>
          <t>Electronics</t>
        </is>
      </c>
      <c r="E1381" s="58" t="inlineStr">
        <is>
          <t>East</t>
        </is>
      </c>
      <c r="F1381" s="61" t="n">
        <v>1</v>
      </c>
      <c r="G1381" s="62" t="n">
        <v>1453.75</v>
      </c>
      <c r="H1381" s="63" t="n">
        <v>0.098</v>
      </c>
      <c r="I1381" s="62" t="n">
        <v>1196.87</v>
      </c>
      <c r="J1381" s="58" t="inlineStr">
        <is>
          <t>Online</t>
        </is>
      </c>
      <c r="K1381" s="62">
        <f>F1381*(G1381-H1381)</f>
        <v/>
      </c>
      <c r="L1381" s="62">
        <f>K1381-(F1381*I1381)</f>
        <v/>
      </c>
      <c r="M1381" s="64">
        <f>L1381/K1381</f>
        <v/>
      </c>
    </row>
    <row r="1382">
      <c r="A1382" s="58" t="inlineStr">
        <is>
          <t>RT20250204-01381</t>
        </is>
      </c>
      <c r="B1382" s="59" t="inlineStr">
        <is>
          <t>2025-02-04</t>
        </is>
      </c>
      <c r="C1382" s="60" t="inlineStr">
        <is>
          <t>Aurora Wearable Lite-162</t>
        </is>
      </c>
      <c r="D1382" s="58" t="inlineStr">
        <is>
          <t>Electronics</t>
        </is>
      </c>
      <c r="E1382" s="58" t="inlineStr">
        <is>
          <t>East</t>
        </is>
      </c>
      <c r="F1382" s="61" t="n">
        <v>2</v>
      </c>
      <c r="G1382" s="62" t="n">
        <v>1465.27</v>
      </c>
      <c r="H1382" s="63" t="n">
        <v>0.096</v>
      </c>
      <c r="I1382" s="62" t="n">
        <v>1204.92</v>
      </c>
      <c r="J1382" s="58" t="inlineStr">
        <is>
          <t>Store</t>
        </is>
      </c>
      <c r="K1382" s="62">
        <f>F1382*(G1382-H1382)</f>
        <v/>
      </c>
      <c r="L1382" s="62">
        <f>K1382-(F1382*I1382)</f>
        <v/>
      </c>
      <c r="M1382" s="64">
        <f>L1382/K1382</f>
        <v/>
      </c>
    </row>
    <row r="1383">
      <c r="A1383" s="58" t="inlineStr">
        <is>
          <t>RT20250204-01382</t>
        </is>
      </c>
      <c r="B1383" s="59" t="inlineStr">
        <is>
          <t>2025-02-04</t>
        </is>
      </c>
      <c r="C1383" s="60" t="inlineStr">
        <is>
          <t>Metro Laptop Plus-376</t>
        </is>
      </c>
      <c r="D1383" s="58" t="inlineStr">
        <is>
          <t>Electronics</t>
        </is>
      </c>
      <c r="E1383" s="58" t="inlineStr">
        <is>
          <t>Central</t>
        </is>
      </c>
      <c r="F1383" s="61" t="n">
        <v>2</v>
      </c>
      <c r="G1383" s="62" t="n">
        <v>1235.48</v>
      </c>
      <c r="H1383" s="63" t="n">
        <v>0.093</v>
      </c>
      <c r="I1383" s="62" t="n">
        <v>1058</v>
      </c>
      <c r="J1383" s="58" t="inlineStr">
        <is>
          <t>Online</t>
        </is>
      </c>
      <c r="K1383" s="62">
        <f>F1383*(G1383-H1383)</f>
        <v/>
      </c>
      <c r="L1383" s="62">
        <f>K1383-(F1383*I1383)</f>
        <v/>
      </c>
      <c r="M1383" s="64">
        <f>L1383/K1383</f>
        <v/>
      </c>
    </row>
    <row r="1384">
      <c r="A1384" s="58" t="inlineStr">
        <is>
          <t>RT20250204-01383</t>
        </is>
      </c>
      <c r="B1384" s="59" t="inlineStr">
        <is>
          <t>2025-02-04</t>
        </is>
      </c>
      <c r="C1384" s="60" t="inlineStr">
        <is>
          <t>Polar Fragrance Pro-750</t>
        </is>
      </c>
      <c r="D1384" s="58" t="inlineStr">
        <is>
          <t>Beauty</t>
        </is>
      </c>
      <c r="E1384" s="58" t="inlineStr">
        <is>
          <t>Central</t>
        </is>
      </c>
      <c r="F1384" s="61" t="n">
        <v>4</v>
      </c>
      <c r="G1384" s="62" t="n">
        <v>57.01</v>
      </c>
      <c r="H1384" s="63" t="n">
        <v>0.02</v>
      </c>
      <c r="I1384" s="62" t="n">
        <v>36.8</v>
      </c>
      <c r="J1384" s="58" t="inlineStr">
        <is>
          <t>Online</t>
        </is>
      </c>
      <c r="K1384" s="62">
        <f>F1384*(G1384-H1384)</f>
        <v/>
      </c>
      <c r="L1384" s="62">
        <f>K1384-(F1384*I1384)</f>
        <v/>
      </c>
      <c r="M1384" s="64">
        <f>L1384/K1384</f>
        <v/>
      </c>
    </row>
    <row r="1385">
      <c r="A1385" s="58" t="inlineStr">
        <is>
          <t>RT20250204-01384</t>
        </is>
      </c>
      <c r="B1385" s="59" t="inlineStr">
        <is>
          <t>2025-02-04</t>
        </is>
      </c>
      <c r="C1385" s="60" t="inlineStr">
        <is>
          <t>Orion Fragrance Lite-785</t>
        </is>
      </c>
      <c r="D1385" s="58" t="inlineStr">
        <is>
          <t>Beauty</t>
        </is>
      </c>
      <c r="E1385" s="58" t="inlineStr">
        <is>
          <t>Central</t>
        </is>
      </c>
      <c r="F1385" s="61" t="n">
        <v>1</v>
      </c>
      <c r="G1385" s="62" t="n">
        <v>47.28</v>
      </c>
      <c r="H1385" s="63" t="n">
        <v>0.075</v>
      </c>
      <c r="I1385" s="62" t="n">
        <v>27.27</v>
      </c>
      <c r="J1385" s="58" t="inlineStr">
        <is>
          <t>Store</t>
        </is>
      </c>
      <c r="K1385" s="62">
        <f>F1385*(G1385-H1385)</f>
        <v/>
      </c>
      <c r="L1385" s="62">
        <f>K1385-(F1385*I1385)</f>
        <v/>
      </c>
      <c r="M1385" s="64">
        <f>L1385/K1385</f>
        <v/>
      </c>
    </row>
    <row r="1386">
      <c r="A1386" s="58" t="inlineStr">
        <is>
          <t>RT20250204-01385</t>
        </is>
      </c>
      <c r="B1386" s="59" t="inlineStr">
        <is>
          <t>2025-02-04</t>
        </is>
      </c>
      <c r="C1386" s="60" t="inlineStr">
        <is>
          <t>Polar Men Pro-246</t>
        </is>
      </c>
      <c r="D1386" s="58" t="inlineStr">
        <is>
          <t>Apparel</t>
        </is>
      </c>
      <c r="E1386" s="58" t="inlineStr">
        <is>
          <t>West</t>
        </is>
      </c>
      <c r="F1386" s="61" t="n">
        <v>1</v>
      </c>
      <c r="G1386" s="62" t="n">
        <v>135.65</v>
      </c>
      <c r="H1386" s="63" t="n">
        <v>0.078</v>
      </c>
      <c r="I1386" s="62" t="n">
        <v>78.78</v>
      </c>
      <c r="J1386" s="58" t="inlineStr">
        <is>
          <t>Store</t>
        </is>
      </c>
      <c r="K1386" s="62">
        <f>F1386*(G1386-H1386)</f>
        <v/>
      </c>
      <c r="L1386" s="62">
        <f>K1386-(F1386*I1386)</f>
        <v/>
      </c>
      <c r="M1386" s="64">
        <f>L1386/K1386</f>
        <v/>
      </c>
    </row>
    <row r="1387">
      <c r="A1387" s="58" t="inlineStr">
        <is>
          <t>RT20250204-01386</t>
        </is>
      </c>
      <c r="B1387" s="59" t="inlineStr">
        <is>
          <t>2025-02-04</t>
        </is>
      </c>
      <c r="C1387" s="60" t="inlineStr">
        <is>
          <t>Falcon Headphone Pro-713</t>
        </is>
      </c>
      <c r="D1387" s="58" t="inlineStr">
        <is>
          <t>Electronics</t>
        </is>
      </c>
      <c r="E1387" s="58" t="inlineStr">
        <is>
          <t>East</t>
        </is>
      </c>
      <c r="F1387" s="61" t="n">
        <v>2</v>
      </c>
      <c r="G1387" s="62" t="n">
        <v>1266.99</v>
      </c>
      <c r="H1387" s="63" t="n">
        <v>0.08</v>
      </c>
      <c r="I1387" s="62" t="n">
        <v>1131.68</v>
      </c>
      <c r="J1387" s="58" t="inlineStr">
        <is>
          <t>Online</t>
        </is>
      </c>
      <c r="K1387" s="62">
        <f>F1387*(G1387-H1387)</f>
        <v/>
      </c>
      <c r="L1387" s="62">
        <f>K1387-(F1387*I1387)</f>
        <v/>
      </c>
      <c r="M1387" s="64">
        <f>L1387/K1387</f>
        <v/>
      </c>
    </row>
    <row r="1388">
      <c r="A1388" s="58" t="inlineStr">
        <is>
          <t>RT20250204-01387</t>
        </is>
      </c>
      <c r="B1388" s="59" t="inlineStr">
        <is>
          <t>2025-02-04</t>
        </is>
      </c>
      <c r="C1388" s="60" t="inlineStr">
        <is>
          <t>Falcon Wearable X-334</t>
        </is>
      </c>
      <c r="D1388" s="58" t="inlineStr">
        <is>
          <t>Electronics</t>
        </is>
      </c>
      <c r="E1388" s="58" t="inlineStr">
        <is>
          <t>West</t>
        </is>
      </c>
      <c r="F1388" s="61" t="n">
        <v>2</v>
      </c>
      <c r="G1388" s="62" t="n">
        <v>1769.48</v>
      </c>
      <c r="H1388" s="63" t="n">
        <v>0.08500000000000001</v>
      </c>
      <c r="I1388" s="62" t="n">
        <v>1537.34</v>
      </c>
      <c r="J1388" s="58" t="inlineStr">
        <is>
          <t>Online</t>
        </is>
      </c>
      <c r="K1388" s="62">
        <f>F1388*(G1388-H1388)</f>
        <v/>
      </c>
      <c r="L1388" s="62">
        <f>K1388-(F1388*I1388)</f>
        <v/>
      </c>
      <c r="M1388" s="64">
        <f>L1388/K1388</f>
        <v/>
      </c>
    </row>
    <row r="1389">
      <c r="A1389" s="58" t="inlineStr">
        <is>
          <t>RT20250204-01388</t>
        </is>
      </c>
      <c r="B1389" s="59" t="inlineStr">
        <is>
          <t>2025-02-04</t>
        </is>
      </c>
      <c r="C1389" s="60" t="inlineStr">
        <is>
          <t>Polar Haircare Max-614</t>
        </is>
      </c>
      <c r="D1389" s="58" t="inlineStr">
        <is>
          <t>Beauty</t>
        </is>
      </c>
      <c r="E1389" s="58" t="inlineStr">
        <is>
          <t>South</t>
        </is>
      </c>
      <c r="F1389" s="61" t="n">
        <v>2</v>
      </c>
      <c r="G1389" s="62" t="n">
        <v>125.79</v>
      </c>
      <c r="H1389" s="63" t="n">
        <v>0.093</v>
      </c>
      <c r="I1389" s="62" t="n">
        <v>68.04000000000001</v>
      </c>
      <c r="J1389" s="58" t="inlineStr">
        <is>
          <t>Store</t>
        </is>
      </c>
      <c r="K1389" s="62">
        <f>F1389*(G1389-H1389)</f>
        <v/>
      </c>
      <c r="L1389" s="62">
        <f>K1389-(F1389*I1389)</f>
        <v/>
      </c>
      <c r="M1389" s="64">
        <f>L1389/K1389</f>
        <v/>
      </c>
    </row>
    <row r="1390">
      <c r="A1390" s="58" t="inlineStr">
        <is>
          <t>RT20250204-01389</t>
        </is>
      </c>
      <c r="B1390" s="59" t="inlineStr">
        <is>
          <t>2025-02-04</t>
        </is>
      </c>
      <c r="C1390" s="60" t="inlineStr">
        <is>
          <t>Aurora Storage Lite-774</t>
        </is>
      </c>
      <c r="D1390" s="58" t="inlineStr">
        <is>
          <t>Office</t>
        </is>
      </c>
      <c r="E1390" s="58" t="inlineStr">
        <is>
          <t>South</t>
        </is>
      </c>
      <c r="F1390" s="61" t="n">
        <v>1</v>
      </c>
      <c r="G1390" s="62" t="n">
        <v>340.15</v>
      </c>
      <c r="H1390" s="63" t="n">
        <v>0.036</v>
      </c>
      <c r="I1390" s="62" t="n">
        <v>243.78</v>
      </c>
      <c r="J1390" s="58" t="inlineStr">
        <is>
          <t>Store</t>
        </is>
      </c>
      <c r="K1390" s="62">
        <f>F1390*(G1390-H1390)</f>
        <v/>
      </c>
      <c r="L1390" s="62">
        <f>K1390-(F1390*I1390)</f>
        <v/>
      </c>
      <c r="M1390" s="64">
        <f>L1390/K1390</f>
        <v/>
      </c>
    </row>
    <row r="1391">
      <c r="A1391" s="58" t="inlineStr">
        <is>
          <t>RT20250204-01390</t>
        </is>
      </c>
      <c r="B1391" s="59" t="inlineStr">
        <is>
          <t>2025-02-04</t>
        </is>
      </c>
      <c r="C1391" s="60" t="inlineStr">
        <is>
          <t>Orion Men X-928</t>
        </is>
      </c>
      <c r="D1391" s="58" t="inlineStr">
        <is>
          <t>Apparel</t>
        </is>
      </c>
      <c r="E1391" s="58" t="inlineStr">
        <is>
          <t>East</t>
        </is>
      </c>
      <c r="F1391" s="61" t="n">
        <v>1</v>
      </c>
      <c r="G1391" s="62" t="n">
        <v>104.07</v>
      </c>
      <c r="H1391" s="63" t="n">
        <v>0.017</v>
      </c>
      <c r="I1391" s="62" t="n">
        <v>64.43000000000001</v>
      </c>
      <c r="J1391" s="58" t="inlineStr">
        <is>
          <t>Online</t>
        </is>
      </c>
      <c r="K1391" s="62">
        <f>F1391*(G1391-H1391)</f>
        <v/>
      </c>
      <c r="L1391" s="62">
        <f>K1391-(F1391*I1391)</f>
        <v/>
      </c>
      <c r="M1391" s="64">
        <f>L1391/K1391</f>
        <v/>
      </c>
    </row>
    <row r="1392">
      <c r="A1392" s="58" t="inlineStr">
        <is>
          <t>RT20250204-01391</t>
        </is>
      </c>
      <c r="B1392" s="59" t="inlineStr">
        <is>
          <t>2025-02-04</t>
        </is>
      </c>
      <c r="C1392" s="60" t="inlineStr">
        <is>
          <t>Orion Kid Max-864</t>
        </is>
      </c>
      <c r="D1392" s="58" t="inlineStr">
        <is>
          <t>Apparel</t>
        </is>
      </c>
      <c r="E1392" s="58" t="inlineStr">
        <is>
          <t>West</t>
        </is>
      </c>
      <c r="F1392" s="61" t="n">
        <v>1</v>
      </c>
      <c r="G1392" s="62" t="n">
        <v>81.02</v>
      </c>
      <c r="H1392" s="63" t="n">
        <v>0.074</v>
      </c>
      <c r="I1392" s="62" t="n">
        <v>46.3</v>
      </c>
      <c r="J1392" s="58" t="inlineStr">
        <is>
          <t>Store</t>
        </is>
      </c>
      <c r="K1392" s="62">
        <f>F1392*(G1392-H1392)</f>
        <v/>
      </c>
      <c r="L1392" s="62">
        <f>K1392-(F1392*I1392)</f>
        <v/>
      </c>
      <c r="M1392" s="64">
        <f>L1392/K1392</f>
        <v/>
      </c>
    </row>
    <row r="1393">
      <c r="A1393" s="58" t="inlineStr">
        <is>
          <t>RT20250204-01392</t>
        </is>
      </c>
      <c r="B1393" s="59" t="inlineStr">
        <is>
          <t>2025-02-04</t>
        </is>
      </c>
      <c r="C1393" s="60" t="inlineStr">
        <is>
          <t>Orion Fragrance Lite-785</t>
        </is>
      </c>
      <c r="D1393" s="58" t="inlineStr">
        <is>
          <t>Beauty</t>
        </is>
      </c>
      <c r="E1393" s="58" t="inlineStr">
        <is>
          <t>East</t>
        </is>
      </c>
      <c r="F1393" s="61" t="n">
        <v>5</v>
      </c>
      <c r="G1393" s="62" t="n">
        <v>42.57</v>
      </c>
      <c r="H1393" s="63" t="n">
        <v>0.08799999999999999</v>
      </c>
      <c r="I1393" s="62" t="n">
        <v>26.25</v>
      </c>
      <c r="J1393" s="58" t="inlineStr">
        <is>
          <t>Store</t>
        </is>
      </c>
      <c r="K1393" s="62">
        <f>F1393*(G1393-H1393)</f>
        <v/>
      </c>
      <c r="L1393" s="62">
        <f>K1393-(F1393*I1393)</f>
        <v/>
      </c>
      <c r="M1393" s="64">
        <f>L1393/K1393</f>
        <v/>
      </c>
    </row>
    <row r="1394">
      <c r="A1394" s="58" t="inlineStr">
        <is>
          <t>RT20250204-01393</t>
        </is>
      </c>
      <c r="B1394" s="59" t="inlineStr">
        <is>
          <t>2025-02-04</t>
        </is>
      </c>
      <c r="C1394" s="60" t="inlineStr">
        <is>
          <t>Aurora Appliance Lite-109</t>
        </is>
      </c>
      <c r="D1394" s="58" t="inlineStr">
        <is>
          <t>Home</t>
        </is>
      </c>
      <c r="E1394" s="58" t="inlineStr">
        <is>
          <t>Central</t>
        </is>
      </c>
      <c r="F1394" s="61" t="n">
        <v>1</v>
      </c>
      <c r="G1394" s="62" t="n">
        <v>310.63</v>
      </c>
      <c r="H1394" s="63" t="n">
        <v>0.062</v>
      </c>
      <c r="I1394" s="62" t="n">
        <v>200.57</v>
      </c>
      <c r="J1394" s="58" t="inlineStr">
        <is>
          <t>Store</t>
        </is>
      </c>
      <c r="K1394" s="62">
        <f>F1394*(G1394-H1394)</f>
        <v/>
      </c>
      <c r="L1394" s="62">
        <f>K1394-(F1394*I1394)</f>
        <v/>
      </c>
      <c r="M1394" s="64">
        <f>L1394/K1394</f>
        <v/>
      </c>
    </row>
    <row r="1395">
      <c r="A1395" s="58" t="inlineStr">
        <is>
          <t>RT20250204-01394</t>
        </is>
      </c>
      <c r="B1395" s="59" t="inlineStr">
        <is>
          <t>2025-02-04</t>
        </is>
      </c>
      <c r="C1395" s="60" t="inlineStr">
        <is>
          <t>Polar Cycling S-223</t>
        </is>
      </c>
      <c r="D1395" s="58" t="inlineStr">
        <is>
          <t>Sports</t>
        </is>
      </c>
      <c r="E1395" s="58" t="inlineStr">
        <is>
          <t>South</t>
        </is>
      </c>
      <c r="F1395" s="61" t="n">
        <v>1</v>
      </c>
      <c r="G1395" s="62" t="n">
        <v>901.89</v>
      </c>
      <c r="H1395" s="63" t="n">
        <v>0.094</v>
      </c>
      <c r="I1395" s="62" t="n">
        <v>630.12</v>
      </c>
      <c r="J1395" s="58" t="inlineStr">
        <is>
          <t>Online</t>
        </is>
      </c>
      <c r="K1395" s="62">
        <f>F1395*(G1395-H1395)</f>
        <v/>
      </c>
      <c r="L1395" s="62">
        <f>K1395-(F1395*I1395)</f>
        <v/>
      </c>
      <c r="M1395" s="64">
        <f>L1395/K1395</f>
        <v/>
      </c>
    </row>
    <row r="1396">
      <c r="A1396" s="58" t="inlineStr">
        <is>
          <t>RT20250204-01395</t>
        </is>
      </c>
      <c r="B1396" s="59" t="inlineStr">
        <is>
          <t>2025-02-04</t>
        </is>
      </c>
      <c r="C1396" s="60" t="inlineStr">
        <is>
          <t>Polar Wearable X-119</t>
        </is>
      </c>
      <c r="D1396" s="58" t="inlineStr">
        <is>
          <t>Electronics</t>
        </is>
      </c>
      <c r="E1396" s="58" t="inlineStr">
        <is>
          <t>South</t>
        </is>
      </c>
      <c r="F1396" s="61" t="n">
        <v>2</v>
      </c>
      <c r="G1396" s="62" t="n">
        <v>1688.59</v>
      </c>
      <c r="H1396" s="63" t="n">
        <v>0.059</v>
      </c>
      <c r="I1396" s="62" t="n">
        <v>1352.6</v>
      </c>
      <c r="J1396" s="58" t="inlineStr">
        <is>
          <t>Online</t>
        </is>
      </c>
      <c r="K1396" s="62">
        <f>F1396*(G1396-H1396)</f>
        <v/>
      </c>
      <c r="L1396" s="62">
        <f>K1396-(F1396*I1396)</f>
        <v/>
      </c>
      <c r="M1396" s="64">
        <f>L1396/K1396</f>
        <v/>
      </c>
    </row>
    <row r="1397">
      <c r="A1397" s="58" t="inlineStr">
        <is>
          <t>RT20250204-01396</t>
        </is>
      </c>
      <c r="B1397" s="59" t="inlineStr">
        <is>
          <t>2025-02-04</t>
        </is>
      </c>
      <c r="C1397" s="60" t="inlineStr">
        <is>
          <t>Polar Men Pro-246</t>
        </is>
      </c>
      <c r="D1397" s="58" t="inlineStr">
        <is>
          <t>Apparel</t>
        </is>
      </c>
      <c r="E1397" s="58" t="inlineStr">
        <is>
          <t>South</t>
        </is>
      </c>
      <c r="F1397" s="61" t="n">
        <v>4</v>
      </c>
      <c r="G1397" s="62" t="n">
        <v>132.11</v>
      </c>
      <c r="H1397" s="63" t="n">
        <v>0.034</v>
      </c>
      <c r="I1397" s="62" t="n">
        <v>74.33</v>
      </c>
      <c r="J1397" s="58" t="inlineStr">
        <is>
          <t>Online</t>
        </is>
      </c>
      <c r="K1397" s="62">
        <f>F1397*(G1397-H1397)</f>
        <v/>
      </c>
      <c r="L1397" s="62">
        <f>K1397-(F1397*I1397)</f>
        <v/>
      </c>
      <c r="M1397" s="64">
        <f>L1397/K1397</f>
        <v/>
      </c>
    </row>
    <row r="1398">
      <c r="A1398" s="58" t="inlineStr">
        <is>
          <t>RT20250204-01397</t>
        </is>
      </c>
      <c r="B1398" s="59" t="inlineStr">
        <is>
          <t>2025-02-04</t>
        </is>
      </c>
      <c r="C1398" s="60" t="inlineStr">
        <is>
          <t>Aurora Wearable Lite-162</t>
        </is>
      </c>
      <c r="D1398" s="58" t="inlineStr">
        <is>
          <t>Electronics</t>
        </is>
      </c>
      <c r="E1398" s="58" t="inlineStr">
        <is>
          <t>East</t>
        </is>
      </c>
      <c r="F1398" s="61" t="n">
        <v>2</v>
      </c>
      <c r="G1398" s="62" t="n">
        <v>1546.74</v>
      </c>
      <c r="H1398" s="63" t="n">
        <v>0.07199999999999999</v>
      </c>
      <c r="I1398" s="62" t="n">
        <v>1166.19</v>
      </c>
      <c r="J1398" s="58" t="inlineStr">
        <is>
          <t>Online</t>
        </is>
      </c>
      <c r="K1398" s="62">
        <f>F1398*(G1398-H1398)</f>
        <v/>
      </c>
      <c r="L1398" s="62">
        <f>K1398-(F1398*I1398)</f>
        <v/>
      </c>
      <c r="M1398" s="64">
        <f>L1398/K1398</f>
        <v/>
      </c>
    </row>
    <row r="1399">
      <c r="A1399" s="58" t="inlineStr">
        <is>
          <t>RT20250204-01398</t>
        </is>
      </c>
      <c r="B1399" s="59" t="inlineStr">
        <is>
          <t>2025-02-04</t>
        </is>
      </c>
      <c r="C1399" s="60" t="inlineStr">
        <is>
          <t>Solace Bedding Plus-317</t>
        </is>
      </c>
      <c r="D1399" s="58" t="inlineStr">
        <is>
          <t>Home</t>
        </is>
      </c>
      <c r="E1399" s="58" t="inlineStr">
        <is>
          <t>East</t>
        </is>
      </c>
      <c r="F1399" s="61" t="n">
        <v>1</v>
      </c>
      <c r="G1399" s="62" t="n">
        <v>531.79</v>
      </c>
      <c r="H1399" s="63" t="n">
        <v>0.073</v>
      </c>
      <c r="I1399" s="62" t="n">
        <v>375.52</v>
      </c>
      <c r="J1399" s="58" t="inlineStr">
        <is>
          <t>Online</t>
        </is>
      </c>
      <c r="K1399" s="62">
        <f>F1399*(G1399-H1399)</f>
        <v/>
      </c>
      <c r="L1399" s="62">
        <f>K1399-(F1399*I1399)</f>
        <v/>
      </c>
      <c r="M1399" s="64">
        <f>L1399/K1399</f>
        <v/>
      </c>
    </row>
    <row r="1400">
      <c r="A1400" s="58" t="inlineStr">
        <is>
          <t>RT20250204-01399</t>
        </is>
      </c>
      <c r="B1400" s="59" t="inlineStr">
        <is>
          <t>2025-02-04</t>
        </is>
      </c>
      <c r="C1400" s="60" t="inlineStr">
        <is>
          <t>Orion Men X-928</t>
        </is>
      </c>
      <c r="D1400" s="58" t="inlineStr">
        <is>
          <t>Apparel</t>
        </is>
      </c>
      <c r="E1400" s="58" t="inlineStr">
        <is>
          <t>Central</t>
        </is>
      </c>
      <c r="F1400" s="61" t="n">
        <v>4</v>
      </c>
      <c r="G1400" s="62" t="n">
        <v>115.08</v>
      </c>
      <c r="H1400" s="63" t="n">
        <v>0.043</v>
      </c>
      <c r="I1400" s="62" t="n">
        <v>62.69</v>
      </c>
      <c r="J1400" s="58" t="inlineStr">
        <is>
          <t>Online</t>
        </is>
      </c>
      <c r="K1400" s="62">
        <f>F1400*(G1400-H1400)</f>
        <v/>
      </c>
      <c r="L1400" s="62">
        <f>K1400-(F1400*I1400)</f>
        <v/>
      </c>
      <c r="M1400" s="64">
        <f>L1400/K1400</f>
        <v/>
      </c>
    </row>
    <row r="1401">
      <c r="A1401" s="58" t="inlineStr">
        <is>
          <t>RT20250204-01400</t>
        </is>
      </c>
      <c r="B1401" s="59" t="inlineStr">
        <is>
          <t>2025-02-04</t>
        </is>
      </c>
      <c r="C1401" s="60" t="inlineStr">
        <is>
          <t>Falcon Headphone Plus-789</t>
        </is>
      </c>
      <c r="D1401" s="58" t="inlineStr">
        <is>
          <t>Electronics</t>
        </is>
      </c>
      <c r="E1401" s="58" t="inlineStr">
        <is>
          <t>South</t>
        </is>
      </c>
      <c r="F1401" s="61" t="n">
        <v>1</v>
      </c>
      <c r="G1401" s="62" t="n">
        <v>1692.88</v>
      </c>
      <c r="H1401" s="63" t="n">
        <v>0.047</v>
      </c>
      <c r="I1401" s="62" t="n">
        <v>1287.57</v>
      </c>
      <c r="J1401" s="58" t="inlineStr">
        <is>
          <t>Online</t>
        </is>
      </c>
      <c r="K1401" s="62">
        <f>F1401*(G1401-H1401)</f>
        <v/>
      </c>
      <c r="L1401" s="62">
        <f>K1401-(F1401*I1401)</f>
        <v/>
      </c>
      <c r="M1401" s="64">
        <f>L1401/K1401</f>
        <v/>
      </c>
    </row>
    <row r="1402">
      <c r="A1402" s="58" t="inlineStr">
        <is>
          <t>RT20250204-01401</t>
        </is>
      </c>
      <c r="B1402" s="59" t="inlineStr">
        <is>
          <t>2025-02-04</t>
        </is>
      </c>
      <c r="C1402" s="60" t="inlineStr">
        <is>
          <t>Orion Men X-928</t>
        </is>
      </c>
      <c r="D1402" s="58" t="inlineStr">
        <is>
          <t>Apparel</t>
        </is>
      </c>
      <c r="E1402" s="58" t="inlineStr">
        <is>
          <t>Central</t>
        </is>
      </c>
      <c r="F1402" s="61" t="n">
        <v>4</v>
      </c>
      <c r="G1402" s="62" t="n">
        <v>106.54</v>
      </c>
      <c r="H1402" s="63" t="n">
        <v>0.064</v>
      </c>
      <c r="I1402" s="62" t="n">
        <v>62.32</v>
      </c>
      <c r="J1402" s="58" t="inlineStr">
        <is>
          <t>Online</t>
        </is>
      </c>
      <c r="K1402" s="62">
        <f>F1402*(G1402-H1402)</f>
        <v/>
      </c>
      <c r="L1402" s="62">
        <f>K1402-(F1402*I1402)</f>
        <v/>
      </c>
      <c r="M1402" s="64">
        <f>L1402/K1402</f>
        <v/>
      </c>
    </row>
    <row r="1403">
      <c r="A1403" s="58" t="inlineStr">
        <is>
          <t>RT20250205-01402</t>
        </is>
      </c>
      <c r="B1403" s="59" t="inlineStr">
        <is>
          <t>2025-02-05</t>
        </is>
      </c>
      <c r="C1403" s="60" t="inlineStr">
        <is>
          <t>Polar Men Pro-246</t>
        </is>
      </c>
      <c r="D1403" s="58" t="inlineStr">
        <is>
          <t>Apparel</t>
        </is>
      </c>
      <c r="E1403" s="58" t="inlineStr">
        <is>
          <t>North</t>
        </is>
      </c>
      <c r="F1403" s="61" t="n">
        <v>3</v>
      </c>
      <c r="G1403" s="62" t="n">
        <v>134.19</v>
      </c>
      <c r="H1403" s="63" t="n">
        <v>0.074</v>
      </c>
      <c r="I1403" s="62" t="n">
        <v>76.12</v>
      </c>
      <c r="J1403" s="58" t="inlineStr">
        <is>
          <t>Online</t>
        </is>
      </c>
      <c r="K1403" s="62">
        <f>F1403*(G1403-H1403)</f>
        <v/>
      </c>
      <c r="L1403" s="62">
        <f>K1403-(F1403*I1403)</f>
        <v/>
      </c>
      <c r="M1403" s="64">
        <f>L1403/K1403</f>
        <v/>
      </c>
    </row>
    <row r="1404">
      <c r="A1404" s="58" t="inlineStr">
        <is>
          <t>RT20250205-01403</t>
        </is>
      </c>
      <c r="B1404" s="59" t="inlineStr">
        <is>
          <t>2025-02-05</t>
        </is>
      </c>
      <c r="C1404" s="60" t="inlineStr">
        <is>
          <t>Polar Decor Plus-505</t>
        </is>
      </c>
      <c r="D1404" s="58" t="inlineStr">
        <is>
          <t>Home</t>
        </is>
      </c>
      <c r="E1404" s="58" t="inlineStr">
        <is>
          <t>Central</t>
        </is>
      </c>
      <c r="F1404" s="61" t="n">
        <v>1</v>
      </c>
      <c r="G1404" s="62" t="n">
        <v>280.09</v>
      </c>
      <c r="H1404" s="63" t="n">
        <v>0.083</v>
      </c>
      <c r="I1404" s="62" t="n">
        <v>203.83</v>
      </c>
      <c r="J1404" s="58" t="inlineStr">
        <is>
          <t>Online</t>
        </is>
      </c>
      <c r="K1404" s="62">
        <f>F1404*(G1404-H1404)</f>
        <v/>
      </c>
      <c r="L1404" s="62">
        <f>K1404-(F1404*I1404)</f>
        <v/>
      </c>
      <c r="M1404" s="64">
        <f>L1404/K1404</f>
        <v/>
      </c>
    </row>
    <row r="1405">
      <c r="A1405" s="58" t="inlineStr">
        <is>
          <t>RT20250205-01404</t>
        </is>
      </c>
      <c r="B1405" s="59" t="inlineStr">
        <is>
          <t>2025-02-05</t>
        </is>
      </c>
      <c r="C1405" s="60" t="inlineStr">
        <is>
          <t>Nimbus Storage Plus-646</t>
        </is>
      </c>
      <c r="D1405" s="58" t="inlineStr">
        <is>
          <t>Office</t>
        </is>
      </c>
      <c r="E1405" s="58" t="inlineStr">
        <is>
          <t>South</t>
        </is>
      </c>
      <c r="F1405" s="61" t="n">
        <v>2</v>
      </c>
      <c r="G1405" s="62" t="n">
        <v>441.76</v>
      </c>
      <c r="H1405" s="63" t="n">
        <v>0.044</v>
      </c>
      <c r="I1405" s="62" t="n">
        <v>311.71</v>
      </c>
      <c r="J1405" s="58" t="inlineStr">
        <is>
          <t>Online</t>
        </is>
      </c>
      <c r="K1405" s="62">
        <f>F1405*(G1405-H1405)</f>
        <v/>
      </c>
      <c r="L1405" s="62">
        <f>K1405-(F1405*I1405)</f>
        <v/>
      </c>
      <c r="M1405" s="64">
        <f>L1405/K1405</f>
        <v/>
      </c>
    </row>
    <row r="1406">
      <c r="A1406" s="58" t="inlineStr">
        <is>
          <t>RT20250205-01405</t>
        </is>
      </c>
      <c r="B1406" s="59" t="inlineStr">
        <is>
          <t>2025-02-05</t>
        </is>
      </c>
      <c r="C1406" s="60" t="inlineStr">
        <is>
          <t>Polar Beverage S-258</t>
        </is>
      </c>
      <c r="D1406" s="58" t="inlineStr">
        <is>
          <t>Grocery</t>
        </is>
      </c>
      <c r="E1406" s="58" t="inlineStr">
        <is>
          <t>South</t>
        </is>
      </c>
      <c r="F1406" s="61" t="n">
        <v>2</v>
      </c>
      <c r="G1406" s="62" t="n">
        <v>11.9</v>
      </c>
      <c r="H1406" s="63" t="n">
        <v>0.068</v>
      </c>
      <c r="I1406" s="62" t="n">
        <v>9.76</v>
      </c>
      <c r="J1406" s="58" t="inlineStr">
        <is>
          <t>Online</t>
        </is>
      </c>
      <c r="K1406" s="62">
        <f>F1406*(G1406-H1406)</f>
        <v/>
      </c>
      <c r="L1406" s="62">
        <f>K1406-(F1406*I1406)</f>
        <v/>
      </c>
      <c r="M1406" s="64">
        <f>L1406/K1406</f>
        <v/>
      </c>
    </row>
    <row r="1407">
      <c r="A1407" s="58" t="inlineStr">
        <is>
          <t>RT20250205-01406</t>
        </is>
      </c>
      <c r="B1407" s="59" t="inlineStr">
        <is>
          <t>2025-02-05</t>
        </is>
      </c>
      <c r="C1407" s="60" t="inlineStr">
        <is>
          <t>Vertex Skincare Pro-891</t>
        </is>
      </c>
      <c r="D1407" s="58" t="inlineStr">
        <is>
          <t>Beauty</t>
        </is>
      </c>
      <c r="E1407" s="58" t="inlineStr">
        <is>
          <t>North</t>
        </is>
      </c>
      <c r="F1407" s="61" t="n">
        <v>1</v>
      </c>
      <c r="G1407" s="62" t="n">
        <v>131.94</v>
      </c>
      <c r="H1407" s="63" t="n">
        <v>0.08</v>
      </c>
      <c r="I1407" s="62" t="n">
        <v>88.81</v>
      </c>
      <c r="J1407" s="58" t="inlineStr">
        <is>
          <t>Store</t>
        </is>
      </c>
      <c r="K1407" s="62">
        <f>F1407*(G1407-H1407)</f>
        <v/>
      </c>
      <c r="L1407" s="62">
        <f>K1407-(F1407*I1407)</f>
        <v/>
      </c>
      <c r="M1407" s="64">
        <f>L1407/K1407</f>
        <v/>
      </c>
    </row>
    <row r="1408">
      <c r="A1408" s="58" t="inlineStr">
        <is>
          <t>RT20250205-01407</t>
        </is>
      </c>
      <c r="B1408" s="59" t="inlineStr">
        <is>
          <t>2025-02-05</t>
        </is>
      </c>
      <c r="C1408" s="60" t="inlineStr">
        <is>
          <t>Falcon Headphone Plus-789</t>
        </is>
      </c>
      <c r="D1408" s="58" t="inlineStr">
        <is>
          <t>Electronics</t>
        </is>
      </c>
      <c r="E1408" s="58" t="inlineStr">
        <is>
          <t>North</t>
        </is>
      </c>
      <c r="F1408" s="61" t="n">
        <v>1</v>
      </c>
      <c r="G1408" s="62" t="n">
        <v>1416.99</v>
      </c>
      <c r="H1408" s="63" t="n">
        <v>0.103</v>
      </c>
      <c r="I1408" s="62" t="n">
        <v>1234.02</v>
      </c>
      <c r="J1408" s="58" t="inlineStr">
        <is>
          <t>Online</t>
        </is>
      </c>
      <c r="K1408" s="62">
        <f>F1408*(G1408-H1408)</f>
        <v/>
      </c>
      <c r="L1408" s="62">
        <f>K1408-(F1408*I1408)</f>
        <v/>
      </c>
      <c r="M1408" s="64">
        <f>L1408/K1408</f>
        <v/>
      </c>
    </row>
    <row r="1409">
      <c r="A1409" s="58" t="inlineStr">
        <is>
          <t>RT20250205-01408</t>
        </is>
      </c>
      <c r="B1409" s="59" t="inlineStr">
        <is>
          <t>2025-02-05</t>
        </is>
      </c>
      <c r="C1409" s="60" t="inlineStr">
        <is>
          <t>Aurora Storage Lite-774</t>
        </is>
      </c>
      <c r="D1409" s="58" t="inlineStr">
        <is>
          <t>Office</t>
        </is>
      </c>
      <c r="E1409" s="58" t="inlineStr">
        <is>
          <t>East</t>
        </is>
      </c>
      <c r="F1409" s="61" t="n">
        <v>1</v>
      </c>
      <c r="G1409" s="62" t="n">
        <v>354.67</v>
      </c>
      <c r="H1409" s="63" t="n">
        <v>0.04</v>
      </c>
      <c r="I1409" s="62" t="n">
        <v>244.86</v>
      </c>
      <c r="J1409" s="58" t="inlineStr">
        <is>
          <t>Store</t>
        </is>
      </c>
      <c r="K1409" s="62">
        <f>F1409*(G1409-H1409)</f>
        <v/>
      </c>
      <c r="L1409" s="62">
        <f>K1409-(F1409*I1409)</f>
        <v/>
      </c>
      <c r="M1409" s="64">
        <f>L1409/K1409</f>
        <v/>
      </c>
    </row>
    <row r="1410">
      <c r="A1410" s="58" t="inlineStr">
        <is>
          <t>RT20250205-01409</t>
        </is>
      </c>
      <c r="B1410" s="59" t="inlineStr">
        <is>
          <t>2025-02-05</t>
        </is>
      </c>
      <c r="C1410" s="60" t="inlineStr">
        <is>
          <t>Nimbus Storage Plus-646</t>
        </is>
      </c>
      <c r="D1410" s="58" t="inlineStr">
        <is>
          <t>Office</t>
        </is>
      </c>
      <c r="E1410" s="58" t="inlineStr">
        <is>
          <t>Central</t>
        </is>
      </c>
      <c r="F1410" s="61" t="n">
        <v>3</v>
      </c>
      <c r="G1410" s="62" t="n">
        <v>509.32</v>
      </c>
      <c r="H1410" s="63" t="n">
        <v>0.095</v>
      </c>
      <c r="I1410" s="62" t="n">
        <v>319.6</v>
      </c>
      <c r="J1410" s="58" t="inlineStr">
        <is>
          <t>Phone</t>
        </is>
      </c>
      <c r="K1410" s="62">
        <f>F1410*(G1410-H1410)</f>
        <v/>
      </c>
      <c r="L1410" s="62">
        <f>K1410-(F1410*I1410)</f>
        <v/>
      </c>
      <c r="M1410" s="64">
        <f>L1410/K1410</f>
        <v/>
      </c>
    </row>
    <row r="1411">
      <c r="A1411" s="58" t="inlineStr">
        <is>
          <t>RT20250205-01410</t>
        </is>
      </c>
      <c r="B1411" s="59" t="inlineStr">
        <is>
          <t>2025-02-05</t>
        </is>
      </c>
      <c r="C1411" s="60" t="inlineStr">
        <is>
          <t>Solace Kitchen Pro-999</t>
        </is>
      </c>
      <c r="D1411" s="58" t="inlineStr">
        <is>
          <t>Home</t>
        </is>
      </c>
      <c r="E1411" s="58" t="inlineStr">
        <is>
          <t>East</t>
        </is>
      </c>
      <c r="F1411" s="61" t="n">
        <v>3</v>
      </c>
      <c r="G1411" s="62" t="n">
        <v>399.77</v>
      </c>
      <c r="H1411" s="63" t="n">
        <v>0.076</v>
      </c>
      <c r="I1411" s="62" t="n">
        <v>259.21</v>
      </c>
      <c r="J1411" s="58" t="inlineStr">
        <is>
          <t>Online</t>
        </is>
      </c>
      <c r="K1411" s="62">
        <f>F1411*(G1411-H1411)</f>
        <v/>
      </c>
      <c r="L1411" s="62">
        <f>K1411-(F1411*I1411)</f>
        <v/>
      </c>
      <c r="M1411" s="64">
        <f>L1411/K1411</f>
        <v/>
      </c>
    </row>
    <row r="1412">
      <c r="A1412" s="58" t="inlineStr">
        <is>
          <t>RT20250205-01411</t>
        </is>
      </c>
      <c r="B1412" s="59" t="inlineStr">
        <is>
          <t>2025-02-05</t>
        </is>
      </c>
      <c r="C1412" s="60" t="inlineStr">
        <is>
          <t>Metro Decor Lite-325</t>
        </is>
      </c>
      <c r="D1412" s="58" t="inlineStr">
        <is>
          <t>Home</t>
        </is>
      </c>
      <c r="E1412" s="58" t="inlineStr">
        <is>
          <t>North</t>
        </is>
      </c>
      <c r="F1412" s="61" t="n">
        <v>1</v>
      </c>
      <c r="G1412" s="62" t="n">
        <v>518.87</v>
      </c>
      <c r="H1412" s="63" t="n">
        <v>0.068</v>
      </c>
      <c r="I1412" s="62" t="n">
        <v>388.1</v>
      </c>
      <c r="J1412" s="58" t="inlineStr">
        <is>
          <t>Store</t>
        </is>
      </c>
      <c r="K1412" s="62">
        <f>F1412*(G1412-H1412)</f>
        <v/>
      </c>
      <c r="L1412" s="62">
        <f>K1412-(F1412*I1412)</f>
        <v/>
      </c>
      <c r="M1412" s="64">
        <f>L1412/K1412</f>
        <v/>
      </c>
    </row>
    <row r="1413">
      <c r="A1413" s="58" t="inlineStr">
        <is>
          <t>RT20250205-01412</t>
        </is>
      </c>
      <c r="B1413" s="59" t="inlineStr">
        <is>
          <t>2025-02-05</t>
        </is>
      </c>
      <c r="C1413" s="60" t="inlineStr">
        <is>
          <t>Aurora Kid Plus-151</t>
        </is>
      </c>
      <c r="D1413" s="58" t="inlineStr">
        <is>
          <t>Apparel</t>
        </is>
      </c>
      <c r="E1413" s="58" t="inlineStr">
        <is>
          <t>South</t>
        </is>
      </c>
      <c r="F1413" s="61" t="n">
        <v>1</v>
      </c>
      <c r="G1413" s="62" t="n">
        <v>125.63</v>
      </c>
      <c r="H1413" s="63" t="n">
        <v>0.077</v>
      </c>
      <c r="I1413" s="62" t="n">
        <v>64.29000000000001</v>
      </c>
      <c r="J1413" s="58" t="inlineStr">
        <is>
          <t>Store</t>
        </is>
      </c>
      <c r="K1413" s="62">
        <f>F1413*(G1413-H1413)</f>
        <v/>
      </c>
      <c r="L1413" s="62">
        <f>K1413-(F1413*I1413)</f>
        <v/>
      </c>
      <c r="M1413" s="64">
        <f>L1413/K1413</f>
        <v/>
      </c>
    </row>
    <row r="1414">
      <c r="A1414" s="58" t="inlineStr">
        <is>
          <t>RT20250205-01413</t>
        </is>
      </c>
      <c r="B1414" s="59" t="inlineStr">
        <is>
          <t>2025-02-05</t>
        </is>
      </c>
      <c r="C1414" s="60" t="inlineStr">
        <is>
          <t>Aurora Smartphone Plus-125</t>
        </is>
      </c>
      <c r="D1414" s="58" t="inlineStr">
        <is>
          <t>Electronics</t>
        </is>
      </c>
      <c r="E1414" s="58" t="inlineStr">
        <is>
          <t>South</t>
        </is>
      </c>
      <c r="F1414" s="61" t="n">
        <v>2</v>
      </c>
      <c r="G1414" s="62" t="n">
        <v>1614.79</v>
      </c>
      <c r="H1414" s="63" t="n">
        <v>0.062</v>
      </c>
      <c r="I1414" s="62" t="n">
        <v>1215.4</v>
      </c>
      <c r="J1414" s="58" t="inlineStr">
        <is>
          <t>Online</t>
        </is>
      </c>
      <c r="K1414" s="62">
        <f>F1414*(G1414-H1414)</f>
        <v/>
      </c>
      <c r="L1414" s="62">
        <f>K1414-(F1414*I1414)</f>
        <v/>
      </c>
      <c r="M1414" s="64">
        <f>L1414/K1414</f>
        <v/>
      </c>
    </row>
    <row r="1415">
      <c r="A1415" s="58" t="inlineStr">
        <is>
          <t>RT20250205-01414</t>
        </is>
      </c>
      <c r="B1415" s="59" t="inlineStr">
        <is>
          <t>2025-02-05</t>
        </is>
      </c>
      <c r="C1415" s="60" t="inlineStr">
        <is>
          <t>Polar Laptop Plus-984</t>
        </is>
      </c>
      <c r="D1415" s="58" t="inlineStr">
        <is>
          <t>Electronics</t>
        </is>
      </c>
      <c r="E1415" s="58" t="inlineStr">
        <is>
          <t>Central</t>
        </is>
      </c>
      <c r="F1415" s="61" t="n">
        <v>1</v>
      </c>
      <c r="G1415" s="62" t="n">
        <v>1371.44</v>
      </c>
      <c r="H1415" s="63" t="n">
        <v>0.08500000000000001</v>
      </c>
      <c r="I1415" s="62" t="n">
        <v>1010.82</v>
      </c>
      <c r="J1415" s="58" t="inlineStr">
        <is>
          <t>Store</t>
        </is>
      </c>
      <c r="K1415" s="62">
        <f>F1415*(G1415-H1415)</f>
        <v/>
      </c>
      <c r="L1415" s="62">
        <f>K1415-(F1415*I1415)</f>
        <v/>
      </c>
      <c r="M1415" s="64">
        <f>L1415/K1415</f>
        <v/>
      </c>
    </row>
    <row r="1416">
      <c r="A1416" s="58" t="inlineStr">
        <is>
          <t>RT20250205-01415</t>
        </is>
      </c>
      <c r="B1416" s="59" t="inlineStr">
        <is>
          <t>2025-02-05</t>
        </is>
      </c>
      <c r="C1416" s="60" t="inlineStr">
        <is>
          <t>Polar Women Max-927</t>
        </is>
      </c>
      <c r="D1416" s="58" t="inlineStr">
        <is>
          <t>Apparel</t>
        </is>
      </c>
      <c r="E1416" s="58" t="inlineStr">
        <is>
          <t>West</t>
        </is>
      </c>
      <c r="F1416" s="61" t="n">
        <v>2</v>
      </c>
      <c r="G1416" s="62" t="n">
        <v>106.1</v>
      </c>
      <c r="H1416" s="63" t="n">
        <v>0.061</v>
      </c>
      <c r="I1416" s="62" t="n">
        <v>63.47</v>
      </c>
      <c r="J1416" s="58" t="inlineStr">
        <is>
          <t>Online</t>
        </is>
      </c>
      <c r="K1416" s="62">
        <f>F1416*(G1416-H1416)</f>
        <v/>
      </c>
      <c r="L1416" s="62">
        <f>K1416-(F1416*I1416)</f>
        <v/>
      </c>
      <c r="M1416" s="64">
        <f>L1416/K1416</f>
        <v/>
      </c>
    </row>
    <row r="1417">
      <c r="A1417" s="58" t="inlineStr">
        <is>
          <t>RT20250205-01416</t>
        </is>
      </c>
      <c r="B1417" s="59" t="inlineStr">
        <is>
          <t>2025-02-05</t>
        </is>
      </c>
      <c r="C1417" s="60" t="inlineStr">
        <is>
          <t>Polar Cycling S-223</t>
        </is>
      </c>
      <c r="D1417" s="58" t="inlineStr">
        <is>
          <t>Sports</t>
        </is>
      </c>
      <c r="E1417" s="58" t="inlineStr">
        <is>
          <t>West</t>
        </is>
      </c>
      <c r="F1417" s="61" t="n">
        <v>2</v>
      </c>
      <c r="G1417" s="62" t="n">
        <v>973.95</v>
      </c>
      <c r="H1417" s="63" t="n">
        <v>0.033</v>
      </c>
      <c r="I1417" s="62" t="n">
        <v>613.17</v>
      </c>
      <c r="J1417" s="58" t="inlineStr">
        <is>
          <t>Store</t>
        </is>
      </c>
      <c r="K1417" s="62">
        <f>F1417*(G1417-H1417)</f>
        <v/>
      </c>
      <c r="L1417" s="62">
        <f>K1417-(F1417*I1417)</f>
        <v/>
      </c>
      <c r="M1417" s="64">
        <f>L1417/K1417</f>
        <v/>
      </c>
    </row>
    <row r="1418">
      <c r="A1418" s="58" t="inlineStr">
        <is>
          <t>RT20250205-01417</t>
        </is>
      </c>
      <c r="B1418" s="59" t="inlineStr">
        <is>
          <t>2025-02-05</t>
        </is>
      </c>
      <c r="C1418" s="60" t="inlineStr">
        <is>
          <t>Metro Beverage Max-490</t>
        </is>
      </c>
      <c r="D1418" s="58" t="inlineStr">
        <is>
          <t>Grocery</t>
        </is>
      </c>
      <c r="E1418" s="58" t="inlineStr">
        <is>
          <t>Central</t>
        </is>
      </c>
      <c r="F1418" s="61" t="n">
        <v>5</v>
      </c>
      <c r="G1418" s="62" t="n">
        <v>10.5</v>
      </c>
      <c r="H1418" s="63" t="n">
        <v>0.029</v>
      </c>
      <c r="I1418" s="62" t="n">
        <v>8.109999999999999</v>
      </c>
      <c r="J1418" s="58" t="inlineStr">
        <is>
          <t>Online</t>
        </is>
      </c>
      <c r="K1418" s="62">
        <f>F1418*(G1418-H1418)</f>
        <v/>
      </c>
      <c r="L1418" s="62">
        <f>K1418-(F1418*I1418)</f>
        <v/>
      </c>
      <c r="M1418" s="64">
        <f>L1418/K1418</f>
        <v/>
      </c>
    </row>
    <row r="1419">
      <c r="A1419" s="58" t="inlineStr">
        <is>
          <t>RT20250205-01418</t>
        </is>
      </c>
      <c r="B1419" s="59" t="inlineStr">
        <is>
          <t>2025-02-05</t>
        </is>
      </c>
      <c r="C1419" s="60" t="inlineStr">
        <is>
          <t>Orion Kitchen Pro-568</t>
        </is>
      </c>
      <c r="D1419" s="58" t="inlineStr">
        <is>
          <t>Home</t>
        </is>
      </c>
      <c r="E1419" s="58" t="inlineStr">
        <is>
          <t>West</t>
        </is>
      </c>
      <c r="F1419" s="61" t="n">
        <v>3</v>
      </c>
      <c r="G1419" s="62" t="n">
        <v>448.69</v>
      </c>
      <c r="H1419" s="63" t="n">
        <v>0.021</v>
      </c>
      <c r="I1419" s="62" t="n">
        <v>307.52</v>
      </c>
      <c r="J1419" s="58" t="inlineStr">
        <is>
          <t>Store</t>
        </is>
      </c>
      <c r="K1419" s="62">
        <f>F1419*(G1419-H1419)</f>
        <v/>
      </c>
      <c r="L1419" s="62">
        <f>K1419-(F1419*I1419)</f>
        <v/>
      </c>
      <c r="M1419" s="64">
        <f>L1419/K1419</f>
        <v/>
      </c>
    </row>
    <row r="1420">
      <c r="A1420" s="58" t="inlineStr">
        <is>
          <t>RT20250205-01419</t>
        </is>
      </c>
      <c r="B1420" s="59" t="inlineStr">
        <is>
          <t>2025-02-05</t>
        </is>
      </c>
      <c r="C1420" s="60" t="inlineStr">
        <is>
          <t>Solace Kitchen Pro-999</t>
        </is>
      </c>
      <c r="D1420" s="58" t="inlineStr">
        <is>
          <t>Home</t>
        </is>
      </c>
      <c r="E1420" s="58" t="inlineStr">
        <is>
          <t>Central</t>
        </is>
      </c>
      <c r="F1420" s="61" t="n">
        <v>2</v>
      </c>
      <c r="G1420" s="62" t="n">
        <v>413.86</v>
      </c>
      <c r="H1420" s="63" t="n">
        <v>0.016</v>
      </c>
      <c r="I1420" s="62" t="n">
        <v>269.91</v>
      </c>
      <c r="J1420" s="58" t="inlineStr">
        <is>
          <t>Online</t>
        </is>
      </c>
      <c r="K1420" s="62">
        <f>F1420*(G1420-H1420)</f>
        <v/>
      </c>
      <c r="L1420" s="62">
        <f>K1420-(F1420*I1420)</f>
        <v/>
      </c>
      <c r="M1420" s="64">
        <f>L1420/K1420</f>
        <v/>
      </c>
    </row>
    <row r="1421">
      <c r="A1421" s="58" t="inlineStr">
        <is>
          <t>RT20250205-01420</t>
        </is>
      </c>
      <c r="B1421" s="59" t="inlineStr">
        <is>
          <t>2025-02-05</t>
        </is>
      </c>
      <c r="C1421" s="60" t="inlineStr">
        <is>
          <t>Falcon Household Pro-865</t>
        </is>
      </c>
      <c r="D1421" s="58" t="inlineStr">
        <is>
          <t>Grocery</t>
        </is>
      </c>
      <c r="E1421" s="58" t="inlineStr">
        <is>
          <t>West</t>
        </is>
      </c>
      <c r="F1421" s="61" t="n">
        <v>3</v>
      </c>
      <c r="G1421" s="62" t="n">
        <v>9.77</v>
      </c>
      <c r="H1421" s="63" t="n">
        <v>0.066</v>
      </c>
      <c r="I1421" s="62" t="n">
        <v>7.55</v>
      </c>
      <c r="J1421" s="58" t="inlineStr">
        <is>
          <t>Online</t>
        </is>
      </c>
      <c r="K1421" s="62">
        <f>F1421*(G1421-H1421)</f>
        <v/>
      </c>
      <c r="L1421" s="62">
        <f>K1421-(F1421*I1421)</f>
        <v/>
      </c>
      <c r="M1421" s="64">
        <f>L1421/K1421</f>
        <v/>
      </c>
    </row>
    <row r="1422">
      <c r="A1422" s="58" t="inlineStr">
        <is>
          <t>RT20250205-01421</t>
        </is>
      </c>
      <c r="B1422" s="59" t="inlineStr">
        <is>
          <t>2025-02-05</t>
        </is>
      </c>
      <c r="C1422" s="60" t="inlineStr">
        <is>
          <t>Solace Snack S-691</t>
        </is>
      </c>
      <c r="D1422" s="58" t="inlineStr">
        <is>
          <t>Grocery</t>
        </is>
      </c>
      <c r="E1422" s="58" t="inlineStr">
        <is>
          <t>West</t>
        </is>
      </c>
      <c r="F1422" s="61" t="n">
        <v>7</v>
      </c>
      <c r="G1422" s="62" t="n">
        <v>9.550000000000001</v>
      </c>
      <c r="H1422" s="63" t="n">
        <v>0.036</v>
      </c>
      <c r="I1422" s="62" t="n">
        <v>7.25</v>
      </c>
      <c r="J1422" s="58" t="inlineStr">
        <is>
          <t>Online</t>
        </is>
      </c>
      <c r="K1422" s="62">
        <f>F1422*(G1422-H1422)</f>
        <v/>
      </c>
      <c r="L1422" s="62">
        <f>K1422-(F1422*I1422)</f>
        <v/>
      </c>
      <c r="M1422" s="64">
        <f>L1422/K1422</f>
        <v/>
      </c>
    </row>
    <row r="1423">
      <c r="A1423" s="58" t="inlineStr">
        <is>
          <t>RT20250205-01422</t>
        </is>
      </c>
      <c r="B1423" s="59" t="inlineStr">
        <is>
          <t>2025-02-05</t>
        </is>
      </c>
      <c r="C1423" s="60" t="inlineStr">
        <is>
          <t>Aurora Fitnes Lite-194</t>
        </is>
      </c>
      <c r="D1423" s="58" t="inlineStr">
        <is>
          <t>Sports</t>
        </is>
      </c>
      <c r="E1423" s="58" t="inlineStr">
        <is>
          <t>North</t>
        </is>
      </c>
      <c r="F1423" s="61" t="n">
        <v>1</v>
      </c>
      <c r="G1423" s="62" t="n">
        <v>704.58</v>
      </c>
      <c r="H1423" s="63" t="n">
        <v>0.022</v>
      </c>
      <c r="I1423" s="62" t="n">
        <v>451.49</v>
      </c>
      <c r="J1423" s="58" t="inlineStr">
        <is>
          <t>Online</t>
        </is>
      </c>
      <c r="K1423" s="62">
        <f>F1423*(G1423-H1423)</f>
        <v/>
      </c>
      <c r="L1423" s="62">
        <f>K1423-(F1423*I1423)</f>
        <v/>
      </c>
      <c r="M1423" s="64">
        <f>L1423/K1423</f>
        <v/>
      </c>
    </row>
    <row r="1424">
      <c r="A1424" s="58" t="inlineStr">
        <is>
          <t>RT20250205-01423</t>
        </is>
      </c>
      <c r="B1424" s="59" t="inlineStr">
        <is>
          <t>2025-02-05</t>
        </is>
      </c>
      <c r="C1424" s="60" t="inlineStr">
        <is>
          <t>Solace Bedding Plus-317</t>
        </is>
      </c>
      <c r="D1424" s="58" t="inlineStr">
        <is>
          <t>Home</t>
        </is>
      </c>
      <c r="E1424" s="58" t="inlineStr">
        <is>
          <t>South</t>
        </is>
      </c>
      <c r="F1424" s="61" t="n">
        <v>1</v>
      </c>
      <c r="G1424" s="62" t="n">
        <v>584.47</v>
      </c>
      <c r="H1424" s="63" t="n">
        <v>0.038</v>
      </c>
      <c r="I1424" s="62" t="n">
        <v>387.77</v>
      </c>
      <c r="J1424" s="58" t="inlineStr">
        <is>
          <t>Store</t>
        </is>
      </c>
      <c r="K1424" s="62">
        <f>F1424*(G1424-H1424)</f>
        <v/>
      </c>
      <c r="L1424" s="62">
        <f>K1424-(F1424*I1424)</f>
        <v/>
      </c>
      <c r="M1424" s="64">
        <f>L1424/K1424</f>
        <v/>
      </c>
    </row>
    <row r="1425">
      <c r="A1425" s="58" t="inlineStr">
        <is>
          <t>RT20250205-01424</t>
        </is>
      </c>
      <c r="B1425" s="59" t="inlineStr">
        <is>
          <t>2025-02-05</t>
        </is>
      </c>
      <c r="C1425" s="60" t="inlineStr">
        <is>
          <t>Polar Cycling S-223</t>
        </is>
      </c>
      <c r="D1425" s="58" t="inlineStr">
        <is>
          <t>Sports</t>
        </is>
      </c>
      <c r="E1425" s="58" t="inlineStr">
        <is>
          <t>Central</t>
        </is>
      </c>
      <c r="F1425" s="61" t="n">
        <v>3</v>
      </c>
      <c r="G1425" s="62" t="n">
        <v>873.74</v>
      </c>
      <c r="H1425" s="63" t="n">
        <v>0.051</v>
      </c>
      <c r="I1425" s="62" t="n">
        <v>640.91</v>
      </c>
      <c r="J1425" s="58" t="inlineStr">
        <is>
          <t>Phone</t>
        </is>
      </c>
      <c r="K1425" s="62">
        <f>F1425*(G1425-H1425)</f>
        <v/>
      </c>
      <c r="L1425" s="62">
        <f>K1425-(F1425*I1425)</f>
        <v/>
      </c>
      <c r="M1425" s="64">
        <f>L1425/K1425</f>
        <v/>
      </c>
    </row>
    <row r="1426">
      <c r="A1426" s="58" t="inlineStr">
        <is>
          <t>RT20250205-01425</t>
        </is>
      </c>
      <c r="B1426" s="59" t="inlineStr">
        <is>
          <t>2025-02-05</t>
        </is>
      </c>
      <c r="C1426" s="60" t="inlineStr">
        <is>
          <t>Metro Accessorie Lite-697</t>
        </is>
      </c>
      <c r="D1426" s="58" t="inlineStr">
        <is>
          <t>Apparel</t>
        </is>
      </c>
      <c r="E1426" s="58" t="inlineStr">
        <is>
          <t>East</t>
        </is>
      </c>
      <c r="F1426" s="61" t="n">
        <v>2</v>
      </c>
      <c r="G1426" s="62" t="n">
        <v>141.73</v>
      </c>
      <c r="H1426" s="63" t="n">
        <v>0.037</v>
      </c>
      <c r="I1426" s="62" t="n">
        <v>77.81</v>
      </c>
      <c r="J1426" s="58" t="inlineStr">
        <is>
          <t>Online</t>
        </is>
      </c>
      <c r="K1426" s="62">
        <f>F1426*(G1426-H1426)</f>
        <v/>
      </c>
      <c r="L1426" s="62">
        <f>K1426-(F1426*I1426)</f>
        <v/>
      </c>
      <c r="M1426" s="64">
        <f>L1426/K1426</f>
        <v/>
      </c>
    </row>
    <row r="1427">
      <c r="A1427" s="58" t="inlineStr">
        <is>
          <t>RT20250205-01426</t>
        </is>
      </c>
      <c r="B1427" s="59" t="inlineStr">
        <is>
          <t>2025-02-05</t>
        </is>
      </c>
      <c r="C1427" s="60" t="inlineStr">
        <is>
          <t>Aurora Printer Plus-991</t>
        </is>
      </c>
      <c r="D1427" s="58" t="inlineStr">
        <is>
          <t>Office</t>
        </is>
      </c>
      <c r="E1427" s="58" t="inlineStr">
        <is>
          <t>North</t>
        </is>
      </c>
      <c r="F1427" s="61" t="n">
        <v>3</v>
      </c>
      <c r="G1427" s="62" t="n">
        <v>533.02</v>
      </c>
      <c r="H1427" s="63" t="n">
        <v>0.097</v>
      </c>
      <c r="I1427" s="62" t="n">
        <v>369.26</v>
      </c>
      <c r="J1427" s="58" t="inlineStr">
        <is>
          <t>Store</t>
        </is>
      </c>
      <c r="K1427" s="62">
        <f>F1427*(G1427-H1427)</f>
        <v/>
      </c>
      <c r="L1427" s="62">
        <f>K1427-(F1427*I1427)</f>
        <v/>
      </c>
      <c r="M1427" s="64">
        <f>L1427/K1427</f>
        <v/>
      </c>
    </row>
    <row r="1428">
      <c r="A1428" s="58" t="inlineStr">
        <is>
          <t>RT20250205-01427</t>
        </is>
      </c>
      <c r="B1428" s="59" t="inlineStr">
        <is>
          <t>2025-02-05</t>
        </is>
      </c>
      <c r="C1428" s="60" t="inlineStr">
        <is>
          <t>Solace Fitnes S-324</t>
        </is>
      </c>
      <c r="D1428" s="58" t="inlineStr">
        <is>
          <t>Sports</t>
        </is>
      </c>
      <c r="E1428" s="58" t="inlineStr">
        <is>
          <t>West</t>
        </is>
      </c>
      <c r="F1428" s="61" t="n">
        <v>3</v>
      </c>
      <c r="G1428" s="62" t="n">
        <v>885.6799999999999</v>
      </c>
      <c r="H1428" s="63" t="n">
        <v>0.057</v>
      </c>
      <c r="I1428" s="62" t="n">
        <v>519.3099999999999</v>
      </c>
      <c r="J1428" s="58" t="inlineStr">
        <is>
          <t>Store</t>
        </is>
      </c>
      <c r="K1428" s="62">
        <f>F1428*(G1428-H1428)</f>
        <v/>
      </c>
      <c r="L1428" s="62">
        <f>K1428-(F1428*I1428)</f>
        <v/>
      </c>
      <c r="M1428" s="64">
        <f>L1428/K1428</f>
        <v/>
      </c>
    </row>
    <row r="1429">
      <c r="A1429" s="58" t="inlineStr">
        <is>
          <t>RT20250205-01428</t>
        </is>
      </c>
      <c r="B1429" s="59" t="inlineStr">
        <is>
          <t>2025-02-05</t>
        </is>
      </c>
      <c r="C1429" s="60" t="inlineStr">
        <is>
          <t>Aurora Skincare Max-798</t>
        </is>
      </c>
      <c r="D1429" s="58" t="inlineStr">
        <is>
          <t>Beauty</t>
        </is>
      </c>
      <c r="E1429" s="58" t="inlineStr">
        <is>
          <t>Central</t>
        </is>
      </c>
      <c r="F1429" s="61" t="n">
        <v>2</v>
      </c>
      <c r="G1429" s="62" t="n">
        <v>111.22</v>
      </c>
      <c r="H1429" s="63" t="n">
        <v>0.053</v>
      </c>
      <c r="I1429" s="62" t="n">
        <v>68.19</v>
      </c>
      <c r="J1429" s="58" t="inlineStr">
        <is>
          <t>Online</t>
        </is>
      </c>
      <c r="K1429" s="62">
        <f>F1429*(G1429-H1429)</f>
        <v/>
      </c>
      <c r="L1429" s="62">
        <f>K1429-(F1429*I1429)</f>
        <v/>
      </c>
      <c r="M1429" s="64">
        <f>L1429/K1429</f>
        <v/>
      </c>
    </row>
    <row r="1430">
      <c r="A1430" s="58" t="inlineStr">
        <is>
          <t>RT20250205-01429</t>
        </is>
      </c>
      <c r="B1430" s="59" t="inlineStr">
        <is>
          <t>2025-02-05</t>
        </is>
      </c>
      <c r="C1430" s="60" t="inlineStr">
        <is>
          <t>Nimbus Furniture Pro-479</t>
        </is>
      </c>
      <c r="D1430" s="58" t="inlineStr">
        <is>
          <t>Office</t>
        </is>
      </c>
      <c r="E1430" s="58" t="inlineStr">
        <is>
          <t>West</t>
        </is>
      </c>
      <c r="F1430" s="61" t="n">
        <v>3</v>
      </c>
      <c r="G1430" s="62" t="n">
        <v>363.63</v>
      </c>
      <c r="H1430" s="63" t="n">
        <v>0.073</v>
      </c>
      <c r="I1430" s="62" t="n">
        <v>237.65</v>
      </c>
      <c r="J1430" s="58" t="inlineStr">
        <is>
          <t>Store</t>
        </is>
      </c>
      <c r="K1430" s="62">
        <f>F1430*(G1430-H1430)</f>
        <v/>
      </c>
      <c r="L1430" s="62">
        <f>K1430-(F1430*I1430)</f>
        <v/>
      </c>
      <c r="M1430" s="64">
        <f>L1430/K1430</f>
        <v/>
      </c>
    </row>
    <row r="1431">
      <c r="A1431" s="58" t="inlineStr">
        <is>
          <t>RT20250205-01430</t>
        </is>
      </c>
      <c r="B1431" s="59" t="inlineStr">
        <is>
          <t>2025-02-05</t>
        </is>
      </c>
      <c r="C1431" s="60" t="inlineStr">
        <is>
          <t>Nimbus Headphone X-854</t>
        </is>
      </c>
      <c r="D1431" s="58" t="inlineStr">
        <is>
          <t>Electronics</t>
        </is>
      </c>
      <c r="E1431" s="58" t="inlineStr">
        <is>
          <t>West</t>
        </is>
      </c>
      <c r="F1431" s="61" t="n">
        <v>1</v>
      </c>
      <c r="G1431" s="62" t="n">
        <v>1501.04</v>
      </c>
      <c r="H1431" s="63" t="n">
        <v>0.097</v>
      </c>
      <c r="I1431" s="62" t="n">
        <v>1269.98</v>
      </c>
      <c r="J1431" s="58" t="inlineStr">
        <is>
          <t>Online</t>
        </is>
      </c>
      <c r="K1431" s="62">
        <f>F1431*(G1431-H1431)</f>
        <v/>
      </c>
      <c r="L1431" s="62">
        <f>K1431-(F1431*I1431)</f>
        <v/>
      </c>
      <c r="M1431" s="64">
        <f>L1431/K1431</f>
        <v/>
      </c>
    </row>
    <row r="1432">
      <c r="A1432" s="58" t="inlineStr">
        <is>
          <t>RT20250206-01431</t>
        </is>
      </c>
      <c r="B1432" s="59" t="inlineStr">
        <is>
          <t>2025-02-06</t>
        </is>
      </c>
      <c r="C1432" s="60" t="inlineStr">
        <is>
          <t>Polar Women Max-927</t>
        </is>
      </c>
      <c r="D1432" s="58" t="inlineStr">
        <is>
          <t>Apparel</t>
        </is>
      </c>
      <c r="E1432" s="58" t="inlineStr">
        <is>
          <t>West</t>
        </is>
      </c>
      <c r="F1432" s="61" t="n">
        <v>1</v>
      </c>
      <c r="G1432" s="62" t="n">
        <v>124.82</v>
      </c>
      <c r="H1432" s="63" t="n">
        <v>0.066</v>
      </c>
      <c r="I1432" s="62" t="n">
        <v>66.2</v>
      </c>
      <c r="J1432" s="58" t="inlineStr">
        <is>
          <t>Online</t>
        </is>
      </c>
      <c r="K1432" s="62">
        <f>F1432*(G1432-H1432)</f>
        <v/>
      </c>
      <c r="L1432" s="62">
        <f>K1432-(F1432*I1432)</f>
        <v/>
      </c>
      <c r="M1432" s="64">
        <f>L1432/K1432</f>
        <v/>
      </c>
    </row>
    <row r="1433">
      <c r="A1433" s="58" t="inlineStr">
        <is>
          <t>RT20250206-01432</t>
        </is>
      </c>
      <c r="B1433" s="59" t="inlineStr">
        <is>
          <t>2025-02-06</t>
        </is>
      </c>
      <c r="C1433" s="60" t="inlineStr">
        <is>
          <t>Metro Fragrance Lite-261</t>
        </is>
      </c>
      <c r="D1433" s="58" t="inlineStr">
        <is>
          <t>Beauty</t>
        </is>
      </c>
      <c r="E1433" s="58" t="inlineStr">
        <is>
          <t>North</t>
        </is>
      </c>
      <c r="F1433" s="61" t="n">
        <v>4</v>
      </c>
      <c r="G1433" s="62" t="n">
        <v>92.79000000000001</v>
      </c>
      <c r="H1433" s="63" t="n">
        <v>0.066</v>
      </c>
      <c r="I1433" s="62" t="n">
        <v>55.7</v>
      </c>
      <c r="J1433" s="58" t="inlineStr">
        <is>
          <t>Online</t>
        </is>
      </c>
      <c r="K1433" s="62">
        <f>F1433*(G1433-H1433)</f>
        <v/>
      </c>
      <c r="L1433" s="62">
        <f>K1433-(F1433*I1433)</f>
        <v/>
      </c>
      <c r="M1433" s="64">
        <f>L1433/K1433</f>
        <v/>
      </c>
    </row>
    <row r="1434">
      <c r="A1434" s="58" t="inlineStr">
        <is>
          <t>RT20250206-01433</t>
        </is>
      </c>
      <c r="B1434" s="59" t="inlineStr">
        <is>
          <t>2025-02-06</t>
        </is>
      </c>
      <c r="C1434" s="60" t="inlineStr">
        <is>
          <t>Nimbus Cycling Plus-911</t>
        </is>
      </c>
      <c r="D1434" s="58" t="inlineStr">
        <is>
          <t>Sports</t>
        </is>
      </c>
      <c r="E1434" s="58" t="inlineStr">
        <is>
          <t>North</t>
        </is>
      </c>
      <c r="F1434" s="61" t="n">
        <v>3</v>
      </c>
      <c r="G1434" s="62" t="n">
        <v>619.17</v>
      </c>
      <c r="H1434" s="63" t="n">
        <v>0.07000000000000001</v>
      </c>
      <c r="I1434" s="62" t="n">
        <v>392.58</v>
      </c>
      <c r="J1434" s="58" t="inlineStr">
        <is>
          <t>Online</t>
        </is>
      </c>
      <c r="K1434" s="62">
        <f>F1434*(G1434-H1434)</f>
        <v/>
      </c>
      <c r="L1434" s="62">
        <f>K1434-(F1434*I1434)</f>
        <v/>
      </c>
      <c r="M1434" s="64">
        <f>L1434/K1434</f>
        <v/>
      </c>
    </row>
    <row r="1435">
      <c r="A1435" s="58" t="inlineStr">
        <is>
          <t>RT20250206-01434</t>
        </is>
      </c>
      <c r="B1435" s="59" t="inlineStr">
        <is>
          <t>2025-02-06</t>
        </is>
      </c>
      <c r="C1435" s="60" t="inlineStr">
        <is>
          <t>Falcon Skincare X-334</t>
        </is>
      </c>
      <c r="D1435" s="58" t="inlineStr">
        <is>
          <t>Beauty</t>
        </is>
      </c>
      <c r="E1435" s="58" t="inlineStr">
        <is>
          <t>North</t>
        </is>
      </c>
      <c r="F1435" s="61" t="n">
        <v>5</v>
      </c>
      <c r="G1435" s="62" t="n">
        <v>92.14</v>
      </c>
      <c r="H1435" s="63" t="n">
        <v>0.111</v>
      </c>
      <c r="I1435" s="62" t="n">
        <v>62.94</v>
      </c>
      <c r="J1435" s="58" t="inlineStr">
        <is>
          <t>Online</t>
        </is>
      </c>
      <c r="K1435" s="62">
        <f>F1435*(G1435-H1435)</f>
        <v/>
      </c>
      <c r="L1435" s="62">
        <f>K1435-(F1435*I1435)</f>
        <v/>
      </c>
      <c r="M1435" s="64">
        <f>L1435/K1435</f>
        <v/>
      </c>
    </row>
    <row r="1436">
      <c r="A1436" s="58" t="inlineStr">
        <is>
          <t>RT20250206-01435</t>
        </is>
      </c>
      <c r="B1436" s="59" t="inlineStr">
        <is>
          <t>2025-02-06</t>
        </is>
      </c>
      <c r="C1436" s="60" t="inlineStr">
        <is>
          <t>Vertex Supplie Pro-786</t>
        </is>
      </c>
      <c r="D1436" s="58" t="inlineStr">
        <is>
          <t>Office</t>
        </is>
      </c>
      <c r="E1436" s="58" t="inlineStr">
        <is>
          <t>Central</t>
        </is>
      </c>
      <c r="F1436" s="61" t="n">
        <v>2</v>
      </c>
      <c r="G1436" s="62" t="n">
        <v>374.7</v>
      </c>
      <c r="H1436" s="63" t="n">
        <v>0.065</v>
      </c>
      <c r="I1436" s="62" t="n">
        <v>300.46</v>
      </c>
      <c r="J1436" s="58" t="inlineStr">
        <is>
          <t>Online</t>
        </is>
      </c>
      <c r="K1436" s="62">
        <f>F1436*(G1436-H1436)</f>
        <v/>
      </c>
      <c r="L1436" s="62">
        <f>K1436-(F1436*I1436)</f>
        <v/>
      </c>
      <c r="M1436" s="64">
        <f>L1436/K1436</f>
        <v/>
      </c>
    </row>
    <row r="1437">
      <c r="A1437" s="58" t="inlineStr">
        <is>
          <t>RT20250206-01436</t>
        </is>
      </c>
      <c r="B1437" s="59" t="inlineStr">
        <is>
          <t>2025-02-06</t>
        </is>
      </c>
      <c r="C1437" s="60" t="inlineStr">
        <is>
          <t>Aurora Wearable Lite-162</t>
        </is>
      </c>
      <c r="D1437" s="58" t="inlineStr">
        <is>
          <t>Electronics</t>
        </is>
      </c>
      <c r="E1437" s="58" t="inlineStr">
        <is>
          <t>South</t>
        </is>
      </c>
      <c r="F1437" s="61" t="n">
        <v>1</v>
      </c>
      <c r="G1437" s="62" t="n">
        <v>1716.93</v>
      </c>
      <c r="H1437" s="63" t="n">
        <v>0.041</v>
      </c>
      <c r="I1437" s="62" t="n">
        <v>1179.58</v>
      </c>
      <c r="J1437" s="58" t="inlineStr">
        <is>
          <t>Online</t>
        </is>
      </c>
      <c r="K1437" s="62">
        <f>F1437*(G1437-H1437)</f>
        <v/>
      </c>
      <c r="L1437" s="62">
        <f>K1437-(F1437*I1437)</f>
        <v/>
      </c>
      <c r="M1437" s="64">
        <f>L1437/K1437</f>
        <v/>
      </c>
    </row>
    <row r="1438">
      <c r="A1438" s="58" t="inlineStr">
        <is>
          <t>RT20250206-01437</t>
        </is>
      </c>
      <c r="B1438" s="59" t="inlineStr">
        <is>
          <t>2025-02-06</t>
        </is>
      </c>
      <c r="C1438" s="60" t="inlineStr">
        <is>
          <t>Polar Women S-662</t>
        </is>
      </c>
      <c r="D1438" s="58" t="inlineStr">
        <is>
          <t>Apparel</t>
        </is>
      </c>
      <c r="E1438" s="58" t="inlineStr">
        <is>
          <t>East</t>
        </is>
      </c>
      <c r="F1438" s="61" t="n">
        <v>2</v>
      </c>
      <c r="G1438" s="62" t="n">
        <v>173.34</v>
      </c>
      <c r="H1438" s="63" t="n">
        <v>0.036</v>
      </c>
      <c r="I1438" s="62" t="n">
        <v>98.92</v>
      </c>
      <c r="J1438" s="58" t="inlineStr">
        <is>
          <t>Online</t>
        </is>
      </c>
      <c r="K1438" s="62">
        <f>F1438*(G1438-H1438)</f>
        <v/>
      </c>
      <c r="L1438" s="62">
        <f>K1438-(F1438*I1438)</f>
        <v/>
      </c>
      <c r="M1438" s="64">
        <f>L1438/K1438</f>
        <v/>
      </c>
    </row>
    <row r="1439">
      <c r="A1439" s="58" t="inlineStr">
        <is>
          <t>RT20250206-01438</t>
        </is>
      </c>
      <c r="B1439" s="59" t="inlineStr">
        <is>
          <t>2025-02-06</t>
        </is>
      </c>
      <c r="C1439" s="60" t="inlineStr">
        <is>
          <t>Aurora Outdoor Pro-467</t>
        </is>
      </c>
      <c r="D1439" s="58" t="inlineStr">
        <is>
          <t>Sports</t>
        </is>
      </c>
      <c r="E1439" s="58" t="inlineStr">
        <is>
          <t>East</t>
        </is>
      </c>
      <c r="F1439" s="61" t="n">
        <v>1</v>
      </c>
      <c r="G1439" s="62" t="n">
        <v>304.08</v>
      </c>
      <c r="H1439" s="63" t="n">
        <v>0.079</v>
      </c>
      <c r="I1439" s="62" t="n">
        <v>194.48</v>
      </c>
      <c r="J1439" s="58" t="inlineStr">
        <is>
          <t>Online</t>
        </is>
      </c>
      <c r="K1439" s="62">
        <f>F1439*(G1439-H1439)</f>
        <v/>
      </c>
      <c r="L1439" s="62">
        <f>K1439-(F1439*I1439)</f>
        <v/>
      </c>
      <c r="M1439" s="64">
        <f>L1439/K1439</f>
        <v/>
      </c>
    </row>
    <row r="1440">
      <c r="A1440" s="58" t="inlineStr">
        <is>
          <t>RT20250206-01439</t>
        </is>
      </c>
      <c r="B1440" s="59" t="inlineStr">
        <is>
          <t>2025-02-06</t>
        </is>
      </c>
      <c r="C1440" s="60" t="inlineStr">
        <is>
          <t>Vertex Appliance S-159</t>
        </is>
      </c>
      <c r="D1440" s="58" t="inlineStr">
        <is>
          <t>Home</t>
        </is>
      </c>
      <c r="E1440" s="58" t="inlineStr">
        <is>
          <t>East</t>
        </is>
      </c>
      <c r="F1440" s="61" t="n">
        <v>3</v>
      </c>
      <c r="G1440" s="62" t="n">
        <v>411.45</v>
      </c>
      <c r="H1440" s="63" t="n">
        <v>0.07000000000000001</v>
      </c>
      <c r="I1440" s="62" t="n">
        <v>299.96</v>
      </c>
      <c r="J1440" s="58" t="inlineStr">
        <is>
          <t>Online</t>
        </is>
      </c>
      <c r="K1440" s="62">
        <f>F1440*(G1440-H1440)</f>
        <v/>
      </c>
      <c r="L1440" s="62">
        <f>K1440-(F1440*I1440)</f>
        <v/>
      </c>
      <c r="M1440" s="64">
        <f>L1440/K1440</f>
        <v/>
      </c>
    </row>
    <row r="1441">
      <c r="A1441" s="58" t="inlineStr">
        <is>
          <t>RT20250206-01440</t>
        </is>
      </c>
      <c r="B1441" s="59" t="inlineStr">
        <is>
          <t>2025-02-06</t>
        </is>
      </c>
      <c r="C1441" s="60" t="inlineStr">
        <is>
          <t>Vertex Accessorie Pro-881</t>
        </is>
      </c>
      <c r="D1441" s="58" t="inlineStr">
        <is>
          <t>Apparel</t>
        </is>
      </c>
      <c r="E1441" s="58" t="inlineStr">
        <is>
          <t>West</t>
        </is>
      </c>
      <c r="F1441" s="61" t="n">
        <v>4</v>
      </c>
      <c r="G1441" s="62" t="n">
        <v>108.41</v>
      </c>
      <c r="H1441" s="63" t="n">
        <v>0.079</v>
      </c>
      <c r="I1441" s="62" t="n">
        <v>62.05</v>
      </c>
      <c r="J1441" s="58" t="inlineStr">
        <is>
          <t>Online</t>
        </is>
      </c>
      <c r="K1441" s="62">
        <f>F1441*(G1441-H1441)</f>
        <v/>
      </c>
      <c r="L1441" s="62">
        <f>K1441-(F1441*I1441)</f>
        <v/>
      </c>
      <c r="M1441" s="64">
        <f>L1441/K1441</f>
        <v/>
      </c>
    </row>
    <row r="1442">
      <c r="A1442" s="58" t="inlineStr">
        <is>
          <t>RT20250206-01441</t>
        </is>
      </c>
      <c r="B1442" s="59" t="inlineStr">
        <is>
          <t>2025-02-06</t>
        </is>
      </c>
      <c r="C1442" s="60" t="inlineStr">
        <is>
          <t>Aurora Bedding Plus-187</t>
        </is>
      </c>
      <c r="D1442" s="58" t="inlineStr">
        <is>
          <t>Home</t>
        </is>
      </c>
      <c r="E1442" s="58" t="inlineStr">
        <is>
          <t>South</t>
        </is>
      </c>
      <c r="F1442" s="61" t="n">
        <v>2</v>
      </c>
      <c r="G1442" s="62" t="n">
        <v>268.48</v>
      </c>
      <c r="H1442" s="63" t="n">
        <v>0.061</v>
      </c>
      <c r="I1442" s="62" t="n">
        <v>210.88</v>
      </c>
      <c r="J1442" s="58" t="inlineStr">
        <is>
          <t>Store</t>
        </is>
      </c>
      <c r="K1442" s="62">
        <f>F1442*(G1442-H1442)</f>
        <v/>
      </c>
      <c r="L1442" s="62">
        <f>K1442-(F1442*I1442)</f>
        <v/>
      </c>
      <c r="M1442" s="64">
        <f>L1442/K1442</f>
        <v/>
      </c>
    </row>
    <row r="1443">
      <c r="A1443" s="58" t="inlineStr">
        <is>
          <t>RT20250206-01442</t>
        </is>
      </c>
      <c r="B1443" s="59" t="inlineStr">
        <is>
          <t>2025-02-06</t>
        </is>
      </c>
      <c r="C1443" s="60" t="inlineStr">
        <is>
          <t>Falcon Headphone Pro-713</t>
        </is>
      </c>
      <c r="D1443" s="58" t="inlineStr">
        <is>
          <t>Electronics</t>
        </is>
      </c>
      <c r="E1443" s="58" t="inlineStr">
        <is>
          <t>East</t>
        </is>
      </c>
      <c r="F1443" s="61" t="n">
        <v>2</v>
      </c>
      <c r="G1443" s="62" t="n">
        <v>1551.58</v>
      </c>
      <c r="H1443" s="63" t="n">
        <v>0.019</v>
      </c>
      <c r="I1443" s="62" t="n">
        <v>1207.04</v>
      </c>
      <c r="J1443" s="58" t="inlineStr">
        <is>
          <t>Online</t>
        </is>
      </c>
      <c r="K1443" s="62">
        <f>F1443*(G1443-H1443)</f>
        <v/>
      </c>
      <c r="L1443" s="62">
        <f>K1443-(F1443*I1443)</f>
        <v/>
      </c>
      <c r="M1443" s="64">
        <f>L1443/K1443</f>
        <v/>
      </c>
    </row>
    <row r="1444">
      <c r="A1444" s="58" t="inlineStr">
        <is>
          <t>RT20250206-01443</t>
        </is>
      </c>
      <c r="B1444" s="59" t="inlineStr">
        <is>
          <t>2025-02-06</t>
        </is>
      </c>
      <c r="C1444" s="60" t="inlineStr">
        <is>
          <t>Falcon Haircare Pro-980</t>
        </is>
      </c>
      <c r="D1444" s="58" t="inlineStr">
        <is>
          <t>Beauty</t>
        </is>
      </c>
      <c r="E1444" s="58" t="inlineStr">
        <is>
          <t>West</t>
        </is>
      </c>
      <c r="F1444" s="61" t="n">
        <v>1</v>
      </c>
      <c r="G1444" s="62" t="n">
        <v>100.55</v>
      </c>
      <c r="H1444" s="63" t="n">
        <v>0.052</v>
      </c>
      <c r="I1444" s="62" t="n">
        <v>58.36</v>
      </c>
      <c r="J1444" s="58" t="inlineStr">
        <is>
          <t>Phone</t>
        </is>
      </c>
      <c r="K1444" s="62">
        <f>F1444*(G1444-H1444)</f>
        <v/>
      </c>
      <c r="L1444" s="62">
        <f>K1444-(F1444*I1444)</f>
        <v/>
      </c>
      <c r="M1444" s="64">
        <f>L1444/K1444</f>
        <v/>
      </c>
    </row>
    <row r="1445">
      <c r="A1445" s="58" t="inlineStr">
        <is>
          <t>RT20250206-01444</t>
        </is>
      </c>
      <c r="B1445" s="59" t="inlineStr">
        <is>
          <t>2025-02-06</t>
        </is>
      </c>
      <c r="C1445" s="60" t="inlineStr">
        <is>
          <t>Polar Haircare Max-614</t>
        </is>
      </c>
      <c r="D1445" s="58" t="inlineStr">
        <is>
          <t>Beauty</t>
        </is>
      </c>
      <c r="E1445" s="58" t="inlineStr">
        <is>
          <t>West</t>
        </is>
      </c>
      <c r="F1445" s="61" t="n">
        <v>1</v>
      </c>
      <c r="G1445" s="62" t="n">
        <v>120.32</v>
      </c>
      <c r="H1445" s="63" t="n">
        <v>0</v>
      </c>
      <c r="I1445" s="62" t="n">
        <v>68.26000000000001</v>
      </c>
      <c r="J1445" s="58" t="inlineStr">
        <is>
          <t>Online</t>
        </is>
      </c>
      <c r="K1445" s="62">
        <f>F1445*(G1445-H1445)</f>
        <v/>
      </c>
      <c r="L1445" s="62">
        <f>K1445-(F1445*I1445)</f>
        <v/>
      </c>
      <c r="M1445" s="64">
        <f>L1445/K1445</f>
        <v/>
      </c>
    </row>
    <row r="1446">
      <c r="A1446" s="58" t="inlineStr">
        <is>
          <t>RT20250206-01445</t>
        </is>
      </c>
      <c r="B1446" s="59" t="inlineStr">
        <is>
          <t>2025-02-06</t>
        </is>
      </c>
      <c r="C1446" s="60" t="inlineStr">
        <is>
          <t>Solace Kitchen X-919</t>
        </is>
      </c>
      <c r="D1446" s="58" t="inlineStr">
        <is>
          <t>Home</t>
        </is>
      </c>
      <c r="E1446" s="58" t="inlineStr">
        <is>
          <t>West</t>
        </is>
      </c>
      <c r="F1446" s="61" t="n">
        <v>2</v>
      </c>
      <c r="G1446" s="62" t="n">
        <v>435.83</v>
      </c>
      <c r="H1446" s="63" t="n">
        <v>0.07199999999999999</v>
      </c>
      <c r="I1446" s="62" t="n">
        <v>261.68</v>
      </c>
      <c r="J1446" s="58" t="inlineStr">
        <is>
          <t>Store</t>
        </is>
      </c>
      <c r="K1446" s="62">
        <f>F1446*(G1446-H1446)</f>
        <v/>
      </c>
      <c r="L1446" s="62">
        <f>K1446-(F1446*I1446)</f>
        <v/>
      </c>
      <c r="M1446" s="64">
        <f>L1446/K1446</f>
        <v/>
      </c>
    </row>
    <row r="1447">
      <c r="A1447" s="58" t="inlineStr">
        <is>
          <t>RT20250206-01446</t>
        </is>
      </c>
      <c r="B1447" s="59" t="inlineStr">
        <is>
          <t>2025-02-06</t>
        </is>
      </c>
      <c r="C1447" s="60" t="inlineStr">
        <is>
          <t>Solace Kitchen Pro-510</t>
        </is>
      </c>
      <c r="D1447" s="58" t="inlineStr">
        <is>
          <t>Home</t>
        </is>
      </c>
      <c r="E1447" s="58" t="inlineStr">
        <is>
          <t>East</t>
        </is>
      </c>
      <c r="F1447" s="61" t="n">
        <v>1</v>
      </c>
      <c r="G1447" s="62" t="n">
        <v>436.51</v>
      </c>
      <c r="H1447" s="63" t="n">
        <v>0.06900000000000001</v>
      </c>
      <c r="I1447" s="62" t="n">
        <v>312.09</v>
      </c>
      <c r="J1447" s="58" t="inlineStr">
        <is>
          <t>Store</t>
        </is>
      </c>
      <c r="K1447" s="62">
        <f>F1447*(G1447-H1447)</f>
        <v/>
      </c>
      <c r="L1447" s="62">
        <f>K1447-(F1447*I1447)</f>
        <v/>
      </c>
      <c r="M1447" s="64">
        <f>L1447/K1447</f>
        <v/>
      </c>
    </row>
    <row r="1448">
      <c r="A1448" s="58" t="inlineStr">
        <is>
          <t>RT20250206-01447</t>
        </is>
      </c>
      <c r="B1448" s="59" t="inlineStr">
        <is>
          <t>2025-02-06</t>
        </is>
      </c>
      <c r="C1448" s="60" t="inlineStr">
        <is>
          <t>Aurora Printer Plus-991</t>
        </is>
      </c>
      <c r="D1448" s="58" t="inlineStr">
        <is>
          <t>Office</t>
        </is>
      </c>
      <c r="E1448" s="58" t="inlineStr">
        <is>
          <t>East</t>
        </is>
      </c>
      <c r="F1448" s="61" t="n">
        <v>1</v>
      </c>
      <c r="G1448" s="62" t="n">
        <v>524.91</v>
      </c>
      <c r="H1448" s="63" t="n">
        <v>0.023</v>
      </c>
      <c r="I1448" s="62" t="n">
        <v>382.44</v>
      </c>
      <c r="J1448" s="58" t="inlineStr">
        <is>
          <t>Online</t>
        </is>
      </c>
      <c r="K1448" s="62">
        <f>F1448*(G1448-H1448)</f>
        <v/>
      </c>
      <c r="L1448" s="62">
        <f>K1448-(F1448*I1448)</f>
        <v/>
      </c>
      <c r="M1448" s="64">
        <f>L1448/K1448</f>
        <v/>
      </c>
    </row>
    <row r="1449">
      <c r="A1449" s="58" t="inlineStr">
        <is>
          <t>RT20250206-01448</t>
        </is>
      </c>
      <c r="B1449" s="59" t="inlineStr">
        <is>
          <t>2025-02-06</t>
        </is>
      </c>
      <c r="C1449" s="60" t="inlineStr">
        <is>
          <t>Metro Wearable Plus-234</t>
        </is>
      </c>
      <c r="D1449" s="58" t="inlineStr">
        <is>
          <t>Electronics</t>
        </is>
      </c>
      <c r="E1449" s="58" t="inlineStr">
        <is>
          <t>East</t>
        </is>
      </c>
      <c r="F1449" s="61" t="n">
        <v>1</v>
      </c>
      <c r="G1449" s="62" t="n">
        <v>1529.03</v>
      </c>
      <c r="H1449" s="63" t="n">
        <v>0.036</v>
      </c>
      <c r="I1449" s="62" t="n">
        <v>1202.84</v>
      </c>
      <c r="J1449" s="58" t="inlineStr">
        <is>
          <t>Store</t>
        </is>
      </c>
      <c r="K1449" s="62">
        <f>F1449*(G1449-H1449)</f>
        <v/>
      </c>
      <c r="L1449" s="62">
        <f>K1449-(F1449*I1449)</f>
        <v/>
      </c>
      <c r="M1449" s="64">
        <f>L1449/K1449</f>
        <v/>
      </c>
    </row>
    <row r="1450">
      <c r="A1450" s="58" t="inlineStr">
        <is>
          <t>RT20250206-01449</t>
        </is>
      </c>
      <c r="B1450" s="59" t="inlineStr">
        <is>
          <t>2025-02-06</t>
        </is>
      </c>
      <c r="C1450" s="60" t="inlineStr">
        <is>
          <t>Aurora Outdoor Pro-467</t>
        </is>
      </c>
      <c r="D1450" s="58" t="inlineStr">
        <is>
          <t>Sports</t>
        </is>
      </c>
      <c r="E1450" s="58" t="inlineStr">
        <is>
          <t>North</t>
        </is>
      </c>
      <c r="F1450" s="61" t="n">
        <v>2</v>
      </c>
      <c r="G1450" s="62" t="n">
        <v>266.89</v>
      </c>
      <c r="H1450" s="63" t="n">
        <v>0.028</v>
      </c>
      <c r="I1450" s="62" t="n">
        <v>188.04</v>
      </c>
      <c r="J1450" s="58" t="inlineStr">
        <is>
          <t>Online</t>
        </is>
      </c>
      <c r="K1450" s="62">
        <f>F1450*(G1450-H1450)</f>
        <v/>
      </c>
      <c r="L1450" s="62">
        <f>K1450-(F1450*I1450)</f>
        <v/>
      </c>
      <c r="M1450" s="64">
        <f>L1450/K1450</f>
        <v/>
      </c>
    </row>
    <row r="1451">
      <c r="A1451" s="58" t="inlineStr">
        <is>
          <t>RT20250206-01450</t>
        </is>
      </c>
      <c r="B1451" s="59" t="inlineStr">
        <is>
          <t>2025-02-06</t>
        </is>
      </c>
      <c r="C1451" s="60" t="inlineStr">
        <is>
          <t>Orion Snack X-322</t>
        </is>
      </c>
      <c r="D1451" s="58" t="inlineStr">
        <is>
          <t>Grocery</t>
        </is>
      </c>
      <c r="E1451" s="58" t="inlineStr">
        <is>
          <t>East</t>
        </is>
      </c>
      <c r="F1451" s="61" t="n">
        <v>7</v>
      </c>
      <c r="G1451" s="62" t="n">
        <v>11.24</v>
      </c>
      <c r="H1451" s="63" t="n">
        <v>0.082</v>
      </c>
      <c r="I1451" s="62" t="n">
        <v>10.02</v>
      </c>
      <c r="J1451" s="58" t="inlineStr">
        <is>
          <t>Online</t>
        </is>
      </c>
      <c r="K1451" s="62">
        <f>F1451*(G1451-H1451)</f>
        <v/>
      </c>
      <c r="L1451" s="62">
        <f>K1451-(F1451*I1451)</f>
        <v/>
      </c>
      <c r="M1451" s="64">
        <f>L1451/K1451</f>
        <v/>
      </c>
    </row>
    <row r="1452">
      <c r="A1452" s="58" t="inlineStr">
        <is>
          <t>RT20250206-01451</t>
        </is>
      </c>
      <c r="B1452" s="59" t="inlineStr">
        <is>
          <t>2025-02-06</t>
        </is>
      </c>
      <c r="C1452" s="60" t="inlineStr">
        <is>
          <t>Falcon Kitchen X-130</t>
        </is>
      </c>
      <c r="D1452" s="58" t="inlineStr">
        <is>
          <t>Home</t>
        </is>
      </c>
      <c r="E1452" s="58" t="inlineStr">
        <is>
          <t>East</t>
        </is>
      </c>
      <c r="F1452" s="61" t="n">
        <v>3</v>
      </c>
      <c r="G1452" s="62" t="n">
        <v>397.7</v>
      </c>
      <c r="H1452" s="63" t="n">
        <v>0.032</v>
      </c>
      <c r="I1452" s="62" t="n">
        <v>291.17</v>
      </c>
      <c r="J1452" s="58" t="inlineStr">
        <is>
          <t>Store</t>
        </is>
      </c>
      <c r="K1452" s="62">
        <f>F1452*(G1452-H1452)</f>
        <v/>
      </c>
      <c r="L1452" s="62">
        <f>K1452-(F1452*I1452)</f>
        <v/>
      </c>
      <c r="M1452" s="64">
        <f>L1452/K1452</f>
        <v/>
      </c>
    </row>
    <row r="1453">
      <c r="A1453" s="58" t="inlineStr">
        <is>
          <t>RT20250206-01452</t>
        </is>
      </c>
      <c r="B1453" s="59" t="inlineStr">
        <is>
          <t>2025-02-06</t>
        </is>
      </c>
      <c r="C1453" s="60" t="inlineStr">
        <is>
          <t>Vertex Printer Max-692</t>
        </is>
      </c>
      <c r="D1453" s="58" t="inlineStr">
        <is>
          <t>Office</t>
        </is>
      </c>
      <c r="E1453" s="58" t="inlineStr">
        <is>
          <t>Central</t>
        </is>
      </c>
      <c r="F1453" s="61" t="n">
        <v>1</v>
      </c>
      <c r="G1453" s="62" t="n">
        <v>195.81</v>
      </c>
      <c r="H1453" s="63" t="n">
        <v>0.06900000000000001</v>
      </c>
      <c r="I1453" s="62" t="n">
        <v>124.91</v>
      </c>
      <c r="J1453" s="58" t="inlineStr">
        <is>
          <t>Store</t>
        </is>
      </c>
      <c r="K1453" s="62">
        <f>F1453*(G1453-H1453)</f>
        <v/>
      </c>
      <c r="L1453" s="62">
        <f>K1453-(F1453*I1453)</f>
        <v/>
      </c>
      <c r="M1453" s="64">
        <f>L1453/K1453</f>
        <v/>
      </c>
    </row>
    <row r="1454">
      <c r="A1454" s="58" t="inlineStr">
        <is>
          <t>RT20250206-01453</t>
        </is>
      </c>
      <c r="B1454" s="59" t="inlineStr">
        <is>
          <t>2025-02-06</t>
        </is>
      </c>
      <c r="C1454" s="60" t="inlineStr">
        <is>
          <t>Vertex Pantry Pro-165</t>
        </is>
      </c>
      <c r="D1454" s="58" t="inlineStr">
        <is>
          <t>Grocery</t>
        </is>
      </c>
      <c r="E1454" s="58" t="inlineStr">
        <is>
          <t>South</t>
        </is>
      </c>
      <c r="F1454" s="61" t="n">
        <v>2</v>
      </c>
      <c r="G1454" s="62" t="n">
        <v>15.41</v>
      </c>
      <c r="H1454" s="63" t="n">
        <v>0.07099999999999999</v>
      </c>
      <c r="I1454" s="62" t="n">
        <v>11.6</v>
      </c>
      <c r="J1454" s="58" t="inlineStr">
        <is>
          <t>Store</t>
        </is>
      </c>
      <c r="K1454" s="62">
        <f>F1454*(G1454-H1454)</f>
        <v/>
      </c>
      <c r="L1454" s="62">
        <f>K1454-(F1454*I1454)</f>
        <v/>
      </c>
      <c r="M1454" s="64">
        <f>L1454/K1454</f>
        <v/>
      </c>
    </row>
    <row r="1455">
      <c r="A1455" s="58" t="inlineStr">
        <is>
          <t>RT20250206-01454</t>
        </is>
      </c>
      <c r="B1455" s="59" t="inlineStr">
        <is>
          <t>2025-02-06</t>
        </is>
      </c>
      <c r="C1455" s="60" t="inlineStr">
        <is>
          <t>Solace Smartphone Lite-533</t>
        </is>
      </c>
      <c r="D1455" s="58" t="inlineStr">
        <is>
          <t>Electronics</t>
        </is>
      </c>
      <c r="E1455" s="58" t="inlineStr">
        <is>
          <t>West</t>
        </is>
      </c>
      <c r="F1455" s="61" t="n">
        <v>2</v>
      </c>
      <c r="G1455" s="62" t="n">
        <v>1071.53</v>
      </c>
      <c r="H1455" s="63" t="n">
        <v>0.055</v>
      </c>
      <c r="I1455" s="62" t="n">
        <v>935.15</v>
      </c>
      <c r="J1455" s="58" t="inlineStr">
        <is>
          <t>Online</t>
        </is>
      </c>
      <c r="K1455" s="62">
        <f>F1455*(G1455-H1455)</f>
        <v/>
      </c>
      <c r="L1455" s="62">
        <f>K1455-(F1455*I1455)</f>
        <v/>
      </c>
      <c r="M1455" s="64">
        <f>L1455/K1455</f>
        <v/>
      </c>
    </row>
    <row r="1456">
      <c r="A1456" s="58" t="inlineStr">
        <is>
          <t>RT20250206-01455</t>
        </is>
      </c>
      <c r="B1456" s="59" t="inlineStr">
        <is>
          <t>2025-02-06</t>
        </is>
      </c>
      <c r="C1456" s="60" t="inlineStr">
        <is>
          <t>Metro Fragrance Lite-261</t>
        </is>
      </c>
      <c r="D1456" s="58" t="inlineStr">
        <is>
          <t>Beauty</t>
        </is>
      </c>
      <c r="E1456" s="58" t="inlineStr">
        <is>
          <t>East</t>
        </is>
      </c>
      <c r="F1456" s="61" t="n">
        <v>1</v>
      </c>
      <c r="G1456" s="62" t="n">
        <v>91.91</v>
      </c>
      <c r="H1456" s="63" t="n">
        <v>0.099</v>
      </c>
      <c r="I1456" s="62" t="n">
        <v>53.71</v>
      </c>
      <c r="J1456" s="58" t="inlineStr">
        <is>
          <t>Store</t>
        </is>
      </c>
      <c r="K1456" s="62">
        <f>F1456*(G1456-H1456)</f>
        <v/>
      </c>
      <c r="L1456" s="62">
        <f>K1456-(F1456*I1456)</f>
        <v/>
      </c>
      <c r="M1456" s="64">
        <f>L1456/K1456</f>
        <v/>
      </c>
    </row>
    <row r="1457">
      <c r="A1457" s="58" t="inlineStr">
        <is>
          <t>RT20250206-01456</t>
        </is>
      </c>
      <c r="B1457" s="59" t="inlineStr">
        <is>
          <t>2025-02-06</t>
        </is>
      </c>
      <c r="C1457" s="60" t="inlineStr">
        <is>
          <t>Orion Men X-928</t>
        </is>
      </c>
      <c r="D1457" s="58" t="inlineStr">
        <is>
          <t>Apparel</t>
        </is>
      </c>
      <c r="E1457" s="58" t="inlineStr">
        <is>
          <t>East</t>
        </is>
      </c>
      <c r="F1457" s="61" t="n">
        <v>1</v>
      </c>
      <c r="G1457" s="62" t="n">
        <v>115.99</v>
      </c>
      <c r="H1457" s="63" t="n">
        <v>0.055</v>
      </c>
      <c r="I1457" s="62" t="n">
        <v>64.84</v>
      </c>
      <c r="J1457" s="58" t="inlineStr">
        <is>
          <t>Store</t>
        </is>
      </c>
      <c r="K1457" s="62">
        <f>F1457*(G1457-H1457)</f>
        <v/>
      </c>
      <c r="L1457" s="62">
        <f>K1457-(F1457*I1457)</f>
        <v/>
      </c>
      <c r="M1457" s="64">
        <f>L1457/K1457</f>
        <v/>
      </c>
    </row>
    <row r="1458">
      <c r="A1458" s="58" t="inlineStr">
        <is>
          <t>RT20250206-01457</t>
        </is>
      </c>
      <c r="B1458" s="59" t="inlineStr">
        <is>
          <t>2025-02-06</t>
        </is>
      </c>
      <c r="C1458" s="60" t="inlineStr">
        <is>
          <t>Vertex Supplie X-513</t>
        </is>
      </c>
      <c r="D1458" s="58" t="inlineStr">
        <is>
          <t>Office</t>
        </is>
      </c>
      <c r="E1458" s="58" t="inlineStr">
        <is>
          <t>South</t>
        </is>
      </c>
      <c r="F1458" s="61" t="n">
        <v>1</v>
      </c>
      <c r="G1458" s="62" t="n">
        <v>469.82</v>
      </c>
      <c r="H1458" s="63" t="n">
        <v>0.042</v>
      </c>
      <c r="I1458" s="62" t="n">
        <v>276.98</v>
      </c>
      <c r="J1458" s="58" t="inlineStr">
        <is>
          <t>Store</t>
        </is>
      </c>
      <c r="K1458" s="62">
        <f>F1458*(G1458-H1458)</f>
        <v/>
      </c>
      <c r="L1458" s="62">
        <f>K1458-(F1458*I1458)</f>
        <v/>
      </c>
      <c r="M1458" s="64">
        <f>L1458/K1458</f>
        <v/>
      </c>
    </row>
    <row r="1459">
      <c r="A1459" s="58" t="inlineStr">
        <is>
          <t>RT20250206-01458</t>
        </is>
      </c>
      <c r="B1459" s="59" t="inlineStr">
        <is>
          <t>2025-02-06</t>
        </is>
      </c>
      <c r="C1459" s="60" t="inlineStr">
        <is>
          <t>Aurora Furniture X-709</t>
        </is>
      </c>
      <c r="D1459" s="58" t="inlineStr">
        <is>
          <t>Office</t>
        </is>
      </c>
      <c r="E1459" s="58" t="inlineStr">
        <is>
          <t>North</t>
        </is>
      </c>
      <c r="F1459" s="61" t="n">
        <v>3</v>
      </c>
      <c r="G1459" s="62" t="n">
        <v>447.65</v>
      </c>
      <c r="H1459" s="63" t="n">
        <v>0.045</v>
      </c>
      <c r="I1459" s="62" t="n">
        <v>308.08</v>
      </c>
      <c r="J1459" s="58" t="inlineStr">
        <is>
          <t>Online</t>
        </is>
      </c>
      <c r="K1459" s="62">
        <f>F1459*(G1459-H1459)</f>
        <v/>
      </c>
      <c r="L1459" s="62">
        <f>K1459-(F1459*I1459)</f>
        <v/>
      </c>
      <c r="M1459" s="64">
        <f>L1459/K1459</f>
        <v/>
      </c>
    </row>
    <row r="1460">
      <c r="A1460" s="58" t="inlineStr">
        <is>
          <t>RT20250206-01459</t>
        </is>
      </c>
      <c r="B1460" s="59" t="inlineStr">
        <is>
          <t>2025-02-06</t>
        </is>
      </c>
      <c r="C1460" s="60" t="inlineStr">
        <is>
          <t>Polar Pantry Lite-392</t>
        </is>
      </c>
      <c r="D1460" s="58" t="inlineStr">
        <is>
          <t>Grocery</t>
        </is>
      </c>
      <c r="E1460" s="58" t="inlineStr">
        <is>
          <t>South</t>
        </is>
      </c>
      <c r="F1460" s="61" t="n">
        <v>7</v>
      </c>
      <c r="G1460" s="62" t="n">
        <v>6.55</v>
      </c>
      <c r="H1460" s="63" t="n">
        <v>0.094</v>
      </c>
      <c r="I1460" s="62" t="n">
        <v>4.55</v>
      </c>
      <c r="J1460" s="58" t="inlineStr">
        <is>
          <t>Store</t>
        </is>
      </c>
      <c r="K1460" s="62">
        <f>F1460*(G1460-H1460)</f>
        <v/>
      </c>
      <c r="L1460" s="62">
        <f>K1460-(F1460*I1460)</f>
        <v/>
      </c>
      <c r="M1460" s="64">
        <f>L1460/K1460</f>
        <v/>
      </c>
    </row>
    <row r="1461">
      <c r="A1461" s="58" t="inlineStr">
        <is>
          <t>RT20250206-01460</t>
        </is>
      </c>
      <c r="B1461" s="59" t="inlineStr">
        <is>
          <t>2025-02-06</t>
        </is>
      </c>
      <c r="C1461" s="60" t="inlineStr">
        <is>
          <t>Polar Decor X-935</t>
        </is>
      </c>
      <c r="D1461" s="58" t="inlineStr">
        <is>
          <t>Home</t>
        </is>
      </c>
      <c r="E1461" s="58" t="inlineStr">
        <is>
          <t>West</t>
        </is>
      </c>
      <c r="F1461" s="61" t="n">
        <v>1</v>
      </c>
      <c r="G1461" s="62" t="n">
        <v>303.87</v>
      </c>
      <c r="H1461" s="63" t="n">
        <v>0.104</v>
      </c>
      <c r="I1461" s="62" t="n">
        <v>207.2</v>
      </c>
      <c r="J1461" s="58" t="inlineStr">
        <is>
          <t>Online</t>
        </is>
      </c>
      <c r="K1461" s="62">
        <f>F1461*(G1461-H1461)</f>
        <v/>
      </c>
      <c r="L1461" s="62">
        <f>K1461-(F1461*I1461)</f>
        <v/>
      </c>
      <c r="M1461" s="64">
        <f>L1461/K1461</f>
        <v/>
      </c>
    </row>
    <row r="1462">
      <c r="A1462" s="58" t="inlineStr">
        <is>
          <t>RT20250206-01461</t>
        </is>
      </c>
      <c r="B1462" s="59" t="inlineStr">
        <is>
          <t>2025-02-06</t>
        </is>
      </c>
      <c r="C1462" s="60" t="inlineStr">
        <is>
          <t>Aurora Smartphone Plus-125</t>
        </is>
      </c>
      <c r="D1462" s="58" t="inlineStr">
        <is>
          <t>Electronics</t>
        </is>
      </c>
      <c r="E1462" s="58" t="inlineStr">
        <is>
          <t>West</t>
        </is>
      </c>
      <c r="F1462" s="61" t="n">
        <v>1</v>
      </c>
      <c r="G1462" s="62" t="n">
        <v>1453.67</v>
      </c>
      <c r="H1462" s="63" t="n">
        <v>0.092</v>
      </c>
      <c r="I1462" s="62" t="n">
        <v>1219.81</v>
      </c>
      <c r="J1462" s="58" t="inlineStr">
        <is>
          <t>Online</t>
        </is>
      </c>
      <c r="K1462" s="62">
        <f>F1462*(G1462-H1462)</f>
        <v/>
      </c>
      <c r="L1462" s="62">
        <f>K1462-(F1462*I1462)</f>
        <v/>
      </c>
      <c r="M1462" s="64">
        <f>L1462/K1462</f>
        <v/>
      </c>
    </row>
    <row r="1463">
      <c r="A1463" s="58" t="inlineStr">
        <is>
          <t>RT20250206-01462</t>
        </is>
      </c>
      <c r="B1463" s="59" t="inlineStr">
        <is>
          <t>2025-02-06</t>
        </is>
      </c>
      <c r="C1463" s="60" t="inlineStr">
        <is>
          <t>Falcon Team Sport Lite-268</t>
        </is>
      </c>
      <c r="D1463" s="58" t="inlineStr">
        <is>
          <t>Sports</t>
        </is>
      </c>
      <c r="E1463" s="58" t="inlineStr">
        <is>
          <t>Central</t>
        </is>
      </c>
      <c r="F1463" s="61" t="n">
        <v>3</v>
      </c>
      <c r="G1463" s="62" t="n">
        <v>669.48</v>
      </c>
      <c r="H1463" s="63" t="n">
        <v>0.005</v>
      </c>
      <c r="I1463" s="62" t="n">
        <v>444.27</v>
      </c>
      <c r="J1463" s="58" t="inlineStr">
        <is>
          <t>Store</t>
        </is>
      </c>
      <c r="K1463" s="62">
        <f>F1463*(G1463-H1463)</f>
        <v/>
      </c>
      <c r="L1463" s="62">
        <f>K1463-(F1463*I1463)</f>
        <v/>
      </c>
      <c r="M1463" s="64">
        <f>L1463/K1463</f>
        <v/>
      </c>
    </row>
    <row r="1464">
      <c r="A1464" s="58" t="inlineStr">
        <is>
          <t>RT20250206-01463</t>
        </is>
      </c>
      <c r="B1464" s="59" t="inlineStr">
        <is>
          <t>2025-02-06</t>
        </is>
      </c>
      <c r="C1464" s="60" t="inlineStr">
        <is>
          <t>Solace Kitchen Pro-510</t>
        </is>
      </c>
      <c r="D1464" s="58" t="inlineStr">
        <is>
          <t>Home</t>
        </is>
      </c>
      <c r="E1464" s="58" t="inlineStr">
        <is>
          <t>East</t>
        </is>
      </c>
      <c r="F1464" s="61" t="n">
        <v>2</v>
      </c>
      <c r="G1464" s="62" t="n">
        <v>359.13</v>
      </c>
      <c r="H1464" s="63" t="n">
        <v>0.07199999999999999</v>
      </c>
      <c r="I1464" s="62" t="n">
        <v>301.06</v>
      </c>
      <c r="J1464" s="58" t="inlineStr">
        <is>
          <t>Phone</t>
        </is>
      </c>
      <c r="K1464" s="62">
        <f>F1464*(G1464-H1464)</f>
        <v/>
      </c>
      <c r="L1464" s="62">
        <f>K1464-(F1464*I1464)</f>
        <v/>
      </c>
      <c r="M1464" s="64">
        <f>L1464/K1464</f>
        <v/>
      </c>
    </row>
    <row r="1465">
      <c r="A1465" s="58" t="inlineStr">
        <is>
          <t>RT20250206-01464</t>
        </is>
      </c>
      <c r="B1465" s="59" t="inlineStr">
        <is>
          <t>2025-02-06</t>
        </is>
      </c>
      <c r="C1465" s="60" t="inlineStr">
        <is>
          <t>Polar Cycling X-649</t>
        </is>
      </c>
      <c r="D1465" s="58" t="inlineStr">
        <is>
          <t>Sports</t>
        </is>
      </c>
      <c r="E1465" s="58" t="inlineStr">
        <is>
          <t>South</t>
        </is>
      </c>
      <c r="F1465" s="61" t="n">
        <v>3</v>
      </c>
      <c r="G1465" s="62" t="n">
        <v>549.99</v>
      </c>
      <c r="H1465" s="63" t="n">
        <v>0.121</v>
      </c>
      <c r="I1465" s="62" t="n">
        <v>356.03</v>
      </c>
      <c r="J1465" s="58" t="inlineStr">
        <is>
          <t>Store</t>
        </is>
      </c>
      <c r="K1465" s="62">
        <f>F1465*(G1465-H1465)</f>
        <v/>
      </c>
      <c r="L1465" s="62">
        <f>K1465-(F1465*I1465)</f>
        <v/>
      </c>
      <c r="M1465" s="64">
        <f>L1465/K1465</f>
        <v/>
      </c>
    </row>
    <row r="1466">
      <c r="A1466" s="58" t="inlineStr">
        <is>
          <t>RT20250206-01465</t>
        </is>
      </c>
      <c r="B1466" s="59" t="inlineStr">
        <is>
          <t>2025-02-06</t>
        </is>
      </c>
      <c r="C1466" s="60" t="inlineStr">
        <is>
          <t>Polar Fragrance Pro-750</t>
        </is>
      </c>
      <c r="D1466" s="58" t="inlineStr">
        <is>
          <t>Beauty</t>
        </is>
      </c>
      <c r="E1466" s="58" t="inlineStr">
        <is>
          <t>Central</t>
        </is>
      </c>
      <c r="F1466" s="61" t="n">
        <v>3</v>
      </c>
      <c r="G1466" s="62" t="n">
        <v>62.73</v>
      </c>
      <c r="H1466" s="63" t="n">
        <v>0.018</v>
      </c>
      <c r="I1466" s="62" t="n">
        <v>35.9</v>
      </c>
      <c r="J1466" s="58" t="inlineStr">
        <is>
          <t>Store</t>
        </is>
      </c>
      <c r="K1466" s="62">
        <f>F1466*(G1466-H1466)</f>
        <v/>
      </c>
      <c r="L1466" s="62">
        <f>K1466-(F1466*I1466)</f>
        <v/>
      </c>
      <c r="M1466" s="64">
        <f>L1466/K1466</f>
        <v/>
      </c>
    </row>
    <row r="1467">
      <c r="A1467" s="58" t="inlineStr">
        <is>
          <t>RT20250207-01466</t>
        </is>
      </c>
      <c r="B1467" s="59" t="inlineStr">
        <is>
          <t>2025-02-07</t>
        </is>
      </c>
      <c r="C1467" s="60" t="inlineStr">
        <is>
          <t>Falcon Headphone Plus-789</t>
        </is>
      </c>
      <c r="D1467" s="58" t="inlineStr">
        <is>
          <t>Electronics</t>
        </is>
      </c>
      <c r="E1467" s="58" t="inlineStr">
        <is>
          <t>Central</t>
        </is>
      </c>
      <c r="F1467" s="61" t="n">
        <v>1</v>
      </c>
      <c r="G1467" s="62" t="n">
        <v>1632.28</v>
      </c>
      <c r="H1467" s="63" t="n">
        <v>0.061</v>
      </c>
      <c r="I1467" s="62" t="n">
        <v>1331.92</v>
      </c>
      <c r="J1467" s="58" t="inlineStr">
        <is>
          <t>Online</t>
        </is>
      </c>
      <c r="K1467" s="62">
        <f>F1467*(G1467-H1467)</f>
        <v/>
      </c>
      <c r="L1467" s="62">
        <f>K1467-(F1467*I1467)</f>
        <v/>
      </c>
      <c r="M1467" s="64">
        <f>L1467/K1467</f>
        <v/>
      </c>
    </row>
    <row r="1468">
      <c r="A1468" s="58" t="inlineStr">
        <is>
          <t>RT20250207-01467</t>
        </is>
      </c>
      <c r="B1468" s="59" t="inlineStr">
        <is>
          <t>2025-02-07</t>
        </is>
      </c>
      <c r="C1468" s="60" t="inlineStr">
        <is>
          <t>Metro Wearable Plus-234</t>
        </is>
      </c>
      <c r="D1468" s="58" t="inlineStr">
        <is>
          <t>Electronics</t>
        </is>
      </c>
      <c r="E1468" s="58" t="inlineStr">
        <is>
          <t>West</t>
        </is>
      </c>
      <c r="F1468" s="61" t="n">
        <v>1</v>
      </c>
      <c r="G1468" s="62" t="n">
        <v>1284.49</v>
      </c>
      <c r="H1468" s="63" t="n">
        <v>0.049</v>
      </c>
      <c r="I1468" s="62" t="n">
        <v>1185.97</v>
      </c>
      <c r="J1468" s="58" t="inlineStr">
        <is>
          <t>Online</t>
        </is>
      </c>
      <c r="K1468" s="62">
        <f>F1468*(G1468-H1468)</f>
        <v/>
      </c>
      <c r="L1468" s="62">
        <f>K1468-(F1468*I1468)</f>
        <v/>
      </c>
      <c r="M1468" s="64">
        <f>L1468/K1468</f>
        <v/>
      </c>
    </row>
    <row r="1469">
      <c r="A1469" s="58" t="inlineStr">
        <is>
          <t>RT20250207-01468</t>
        </is>
      </c>
      <c r="B1469" s="59" t="inlineStr">
        <is>
          <t>2025-02-07</t>
        </is>
      </c>
      <c r="C1469" s="60" t="inlineStr">
        <is>
          <t>Aurora Furniture X-709</t>
        </is>
      </c>
      <c r="D1469" s="58" t="inlineStr">
        <is>
          <t>Office</t>
        </is>
      </c>
      <c r="E1469" s="58" t="inlineStr">
        <is>
          <t>West</t>
        </is>
      </c>
      <c r="F1469" s="61" t="n">
        <v>3</v>
      </c>
      <c r="G1469" s="62" t="n">
        <v>377.97</v>
      </c>
      <c r="H1469" s="63" t="n">
        <v>0.08799999999999999</v>
      </c>
      <c r="I1469" s="62" t="n">
        <v>314.36</v>
      </c>
      <c r="J1469" s="58" t="inlineStr">
        <is>
          <t>Online</t>
        </is>
      </c>
      <c r="K1469" s="62">
        <f>F1469*(G1469-H1469)</f>
        <v/>
      </c>
      <c r="L1469" s="62">
        <f>K1469-(F1469*I1469)</f>
        <v/>
      </c>
      <c r="M1469" s="64">
        <f>L1469/K1469</f>
        <v/>
      </c>
    </row>
    <row r="1470">
      <c r="A1470" s="58" t="inlineStr">
        <is>
          <t>RT20250207-01469</t>
        </is>
      </c>
      <c r="B1470" s="59" t="inlineStr">
        <is>
          <t>2025-02-07</t>
        </is>
      </c>
      <c r="C1470" s="60" t="inlineStr">
        <is>
          <t>Polar Wearable X-119</t>
        </is>
      </c>
      <c r="D1470" s="58" t="inlineStr">
        <is>
          <t>Electronics</t>
        </is>
      </c>
      <c r="E1470" s="58" t="inlineStr">
        <is>
          <t>Central</t>
        </is>
      </c>
      <c r="F1470" s="61" t="n">
        <v>1</v>
      </c>
      <c r="G1470" s="62" t="n">
        <v>1747.77</v>
      </c>
      <c r="H1470" s="63" t="n">
        <v>0.075</v>
      </c>
      <c r="I1470" s="62" t="n">
        <v>1354.5</v>
      </c>
      <c r="J1470" s="58" t="inlineStr">
        <is>
          <t>Phone</t>
        </is>
      </c>
      <c r="K1470" s="62">
        <f>F1470*(G1470-H1470)</f>
        <v/>
      </c>
      <c r="L1470" s="62">
        <f>K1470-(F1470*I1470)</f>
        <v/>
      </c>
      <c r="M1470" s="64">
        <f>L1470/K1470</f>
        <v/>
      </c>
    </row>
    <row r="1471">
      <c r="A1471" s="58" t="inlineStr">
        <is>
          <t>RT20250207-01470</t>
        </is>
      </c>
      <c r="B1471" s="59" t="inlineStr">
        <is>
          <t>2025-02-07</t>
        </is>
      </c>
      <c r="C1471" s="60" t="inlineStr">
        <is>
          <t>Nimbus Cycling Plus-911</t>
        </is>
      </c>
      <c r="D1471" s="58" t="inlineStr">
        <is>
          <t>Sports</t>
        </is>
      </c>
      <c r="E1471" s="58" t="inlineStr">
        <is>
          <t>Central</t>
        </is>
      </c>
      <c r="F1471" s="61" t="n">
        <v>2</v>
      </c>
      <c r="G1471" s="62" t="n">
        <v>635.6799999999999</v>
      </c>
      <c r="H1471" s="63" t="n">
        <v>0.07000000000000001</v>
      </c>
      <c r="I1471" s="62" t="n">
        <v>406.28</v>
      </c>
      <c r="J1471" s="58" t="inlineStr">
        <is>
          <t>Online</t>
        </is>
      </c>
      <c r="K1471" s="62">
        <f>F1471*(G1471-H1471)</f>
        <v/>
      </c>
      <c r="L1471" s="62">
        <f>K1471-(F1471*I1471)</f>
        <v/>
      </c>
      <c r="M1471" s="64">
        <f>L1471/K1471</f>
        <v/>
      </c>
    </row>
    <row r="1472">
      <c r="A1472" s="58" t="inlineStr">
        <is>
          <t>RT20250207-01471</t>
        </is>
      </c>
      <c r="B1472" s="59" t="inlineStr">
        <is>
          <t>2025-02-07</t>
        </is>
      </c>
      <c r="C1472" s="60" t="inlineStr">
        <is>
          <t>Nimbus Women Plus-352</t>
        </is>
      </c>
      <c r="D1472" s="58" t="inlineStr">
        <is>
          <t>Apparel</t>
        </is>
      </c>
      <c r="E1472" s="58" t="inlineStr">
        <is>
          <t>Central</t>
        </is>
      </c>
      <c r="F1472" s="61" t="n">
        <v>3</v>
      </c>
      <c r="G1472" s="62" t="n">
        <v>51.37</v>
      </c>
      <c r="H1472" s="63" t="n">
        <v>0.081</v>
      </c>
      <c r="I1472" s="62" t="n">
        <v>33.74</v>
      </c>
      <c r="J1472" s="58" t="inlineStr">
        <is>
          <t>Online</t>
        </is>
      </c>
      <c r="K1472" s="62">
        <f>F1472*(G1472-H1472)</f>
        <v/>
      </c>
      <c r="L1472" s="62">
        <f>K1472-(F1472*I1472)</f>
        <v/>
      </c>
      <c r="M1472" s="64">
        <f>L1472/K1472</f>
        <v/>
      </c>
    </row>
    <row r="1473">
      <c r="A1473" s="58" t="inlineStr">
        <is>
          <t>RT20250207-01472</t>
        </is>
      </c>
      <c r="B1473" s="59" t="inlineStr">
        <is>
          <t>2025-02-07</t>
        </is>
      </c>
      <c r="C1473" s="60" t="inlineStr">
        <is>
          <t>Nimbus Laptop Max-652</t>
        </is>
      </c>
      <c r="D1473" s="58" t="inlineStr">
        <is>
          <t>Electronics</t>
        </is>
      </c>
      <c r="E1473" s="58" t="inlineStr">
        <is>
          <t>East</t>
        </is>
      </c>
      <c r="F1473" s="61" t="n">
        <v>1</v>
      </c>
      <c r="G1473" s="62" t="n">
        <v>1406.03</v>
      </c>
      <c r="H1473" s="63" t="n">
        <v>0.05</v>
      </c>
      <c r="I1473" s="62" t="n">
        <v>1044.97</v>
      </c>
      <c r="J1473" s="58" t="inlineStr">
        <is>
          <t>Store</t>
        </is>
      </c>
      <c r="K1473" s="62">
        <f>F1473*(G1473-H1473)</f>
        <v/>
      </c>
      <c r="L1473" s="62">
        <f>K1473-(F1473*I1473)</f>
        <v/>
      </c>
      <c r="M1473" s="64">
        <f>L1473/K1473</f>
        <v/>
      </c>
    </row>
    <row r="1474">
      <c r="A1474" s="58" t="inlineStr">
        <is>
          <t>RT20250207-01473</t>
        </is>
      </c>
      <c r="B1474" s="59" t="inlineStr">
        <is>
          <t>2025-02-07</t>
        </is>
      </c>
      <c r="C1474" s="60" t="inlineStr">
        <is>
          <t>Metro Laptop Plus-376</t>
        </is>
      </c>
      <c r="D1474" s="58" t="inlineStr">
        <is>
          <t>Electronics</t>
        </is>
      </c>
      <c r="E1474" s="58" t="inlineStr">
        <is>
          <t>North</t>
        </is>
      </c>
      <c r="F1474" s="61" t="n">
        <v>1</v>
      </c>
      <c r="G1474" s="62" t="n">
        <v>1296.37</v>
      </c>
      <c r="H1474" s="63" t="n">
        <v>0.083</v>
      </c>
      <c r="I1474" s="62" t="n">
        <v>1060.95</v>
      </c>
      <c r="J1474" s="58" t="inlineStr">
        <is>
          <t>Online</t>
        </is>
      </c>
      <c r="K1474" s="62">
        <f>F1474*(G1474-H1474)</f>
        <v/>
      </c>
      <c r="L1474" s="62">
        <f>K1474-(F1474*I1474)</f>
        <v/>
      </c>
      <c r="M1474" s="64">
        <f>L1474/K1474</f>
        <v/>
      </c>
    </row>
    <row r="1475">
      <c r="A1475" s="58" t="inlineStr">
        <is>
          <t>RT20250207-01474</t>
        </is>
      </c>
      <c r="B1475" s="59" t="inlineStr">
        <is>
          <t>2025-02-07</t>
        </is>
      </c>
      <c r="C1475" s="60" t="inlineStr">
        <is>
          <t>Metro Fragrance Lite-261</t>
        </is>
      </c>
      <c r="D1475" s="58" t="inlineStr">
        <is>
          <t>Beauty</t>
        </is>
      </c>
      <c r="E1475" s="58" t="inlineStr">
        <is>
          <t>West</t>
        </is>
      </c>
      <c r="F1475" s="61" t="n">
        <v>5</v>
      </c>
      <c r="G1475" s="62" t="n">
        <v>90.14</v>
      </c>
      <c r="H1475" s="63" t="n">
        <v>0.048</v>
      </c>
      <c r="I1475" s="62" t="n">
        <v>55.12</v>
      </c>
      <c r="J1475" s="58" t="inlineStr">
        <is>
          <t>Online</t>
        </is>
      </c>
      <c r="K1475" s="62">
        <f>F1475*(G1475-H1475)</f>
        <v/>
      </c>
      <c r="L1475" s="62">
        <f>K1475-(F1475*I1475)</f>
        <v/>
      </c>
      <c r="M1475" s="64">
        <f>L1475/K1475</f>
        <v/>
      </c>
    </row>
    <row r="1476">
      <c r="A1476" s="58" t="inlineStr">
        <is>
          <t>RT20250207-01475</t>
        </is>
      </c>
      <c r="B1476" s="59" t="inlineStr">
        <is>
          <t>2025-02-07</t>
        </is>
      </c>
      <c r="C1476" s="60" t="inlineStr">
        <is>
          <t>Aurora Bedding Plus-187</t>
        </is>
      </c>
      <c r="D1476" s="58" t="inlineStr">
        <is>
          <t>Home</t>
        </is>
      </c>
      <c r="E1476" s="58" t="inlineStr">
        <is>
          <t>East</t>
        </is>
      </c>
      <c r="F1476" s="61" t="n">
        <v>1</v>
      </c>
      <c r="G1476" s="62" t="n">
        <v>304.17</v>
      </c>
      <c r="H1476" s="63" t="n">
        <v>0.029</v>
      </c>
      <c r="I1476" s="62" t="n">
        <v>204.96</v>
      </c>
      <c r="J1476" s="58" t="inlineStr">
        <is>
          <t>Online</t>
        </is>
      </c>
      <c r="K1476" s="62">
        <f>F1476*(G1476-H1476)</f>
        <v/>
      </c>
      <c r="L1476" s="62">
        <f>K1476-(F1476*I1476)</f>
        <v/>
      </c>
      <c r="M1476" s="64">
        <f>L1476/K1476</f>
        <v/>
      </c>
    </row>
    <row r="1477">
      <c r="A1477" s="58" t="inlineStr">
        <is>
          <t>RT20250207-01476</t>
        </is>
      </c>
      <c r="B1477" s="59" t="inlineStr">
        <is>
          <t>2025-02-07</t>
        </is>
      </c>
      <c r="C1477" s="60" t="inlineStr">
        <is>
          <t>Nimbus Laptop Max-652</t>
        </is>
      </c>
      <c r="D1477" s="58" t="inlineStr">
        <is>
          <t>Electronics</t>
        </is>
      </c>
      <c r="E1477" s="58" t="inlineStr">
        <is>
          <t>West</t>
        </is>
      </c>
      <c r="F1477" s="61" t="n">
        <v>2</v>
      </c>
      <c r="G1477" s="62" t="n">
        <v>1288.12</v>
      </c>
      <c r="H1477" s="63" t="n">
        <v>0.059</v>
      </c>
      <c r="I1477" s="62" t="n">
        <v>1052.32</v>
      </c>
      <c r="J1477" s="58" t="inlineStr">
        <is>
          <t>Store</t>
        </is>
      </c>
      <c r="K1477" s="62">
        <f>F1477*(G1477-H1477)</f>
        <v/>
      </c>
      <c r="L1477" s="62">
        <f>K1477-(F1477*I1477)</f>
        <v/>
      </c>
      <c r="M1477" s="64">
        <f>L1477/K1477</f>
        <v/>
      </c>
    </row>
    <row r="1478">
      <c r="A1478" s="58" t="inlineStr">
        <is>
          <t>RT20250207-01477</t>
        </is>
      </c>
      <c r="B1478" s="59" t="inlineStr">
        <is>
          <t>2025-02-07</t>
        </is>
      </c>
      <c r="C1478" s="60" t="inlineStr">
        <is>
          <t>Vertex Appliance S-159</t>
        </is>
      </c>
      <c r="D1478" s="58" t="inlineStr">
        <is>
          <t>Home</t>
        </is>
      </c>
      <c r="E1478" s="58" t="inlineStr">
        <is>
          <t>West</t>
        </is>
      </c>
      <c r="F1478" s="61" t="n">
        <v>2</v>
      </c>
      <c r="G1478" s="62" t="n">
        <v>436.86</v>
      </c>
      <c r="H1478" s="63" t="n">
        <v>0.065</v>
      </c>
      <c r="I1478" s="62" t="n">
        <v>293.62</v>
      </c>
      <c r="J1478" s="58" t="inlineStr">
        <is>
          <t>Store</t>
        </is>
      </c>
      <c r="K1478" s="62">
        <f>F1478*(G1478-H1478)</f>
        <v/>
      </c>
      <c r="L1478" s="62">
        <f>K1478-(F1478*I1478)</f>
        <v/>
      </c>
      <c r="M1478" s="64">
        <f>L1478/K1478</f>
        <v/>
      </c>
    </row>
    <row r="1479">
      <c r="A1479" s="58" t="inlineStr">
        <is>
          <t>RT20250207-01478</t>
        </is>
      </c>
      <c r="B1479" s="59" t="inlineStr">
        <is>
          <t>2025-02-07</t>
        </is>
      </c>
      <c r="C1479" s="60" t="inlineStr">
        <is>
          <t>Metro Outdoor Plus-787</t>
        </is>
      </c>
      <c r="D1479" s="58" t="inlineStr">
        <is>
          <t>Sports</t>
        </is>
      </c>
      <c r="E1479" s="58" t="inlineStr">
        <is>
          <t>Central</t>
        </is>
      </c>
      <c r="F1479" s="61" t="n">
        <v>2</v>
      </c>
      <c r="G1479" s="62" t="n">
        <v>536.21</v>
      </c>
      <c r="H1479" s="63" t="n">
        <v>0.022</v>
      </c>
      <c r="I1479" s="62" t="n">
        <v>346.53</v>
      </c>
      <c r="J1479" s="58" t="inlineStr">
        <is>
          <t>Phone</t>
        </is>
      </c>
      <c r="K1479" s="62">
        <f>F1479*(G1479-H1479)</f>
        <v/>
      </c>
      <c r="L1479" s="62">
        <f>K1479-(F1479*I1479)</f>
        <v/>
      </c>
      <c r="M1479" s="64">
        <f>L1479/K1479</f>
        <v/>
      </c>
    </row>
    <row r="1480">
      <c r="A1480" s="58" t="inlineStr">
        <is>
          <t>RT20250207-01479</t>
        </is>
      </c>
      <c r="B1480" s="59" t="inlineStr">
        <is>
          <t>2025-02-07</t>
        </is>
      </c>
      <c r="C1480" s="60" t="inlineStr">
        <is>
          <t>Vertex Smartphone Pro-256</t>
        </is>
      </c>
      <c r="D1480" s="58" t="inlineStr">
        <is>
          <t>Electronics</t>
        </is>
      </c>
      <c r="E1480" s="58" t="inlineStr">
        <is>
          <t>North</t>
        </is>
      </c>
      <c r="F1480" s="61" t="n">
        <v>1</v>
      </c>
      <c r="G1480" s="62" t="n">
        <v>1280.76</v>
      </c>
      <c r="H1480" s="63" t="n">
        <v>0.093</v>
      </c>
      <c r="I1480" s="62" t="n">
        <v>939.08</v>
      </c>
      <c r="J1480" s="58" t="inlineStr">
        <is>
          <t>Online</t>
        </is>
      </c>
      <c r="K1480" s="62">
        <f>F1480*(G1480-H1480)</f>
        <v/>
      </c>
      <c r="L1480" s="62">
        <f>K1480-(F1480*I1480)</f>
        <v/>
      </c>
      <c r="M1480" s="64">
        <f>L1480/K1480</f>
        <v/>
      </c>
    </row>
    <row r="1481">
      <c r="A1481" s="58" t="inlineStr">
        <is>
          <t>RT20250207-01480</t>
        </is>
      </c>
      <c r="B1481" s="59" t="inlineStr">
        <is>
          <t>2025-02-07</t>
        </is>
      </c>
      <c r="C1481" s="60" t="inlineStr">
        <is>
          <t>Nimbus Headphone X-854</t>
        </is>
      </c>
      <c r="D1481" s="58" t="inlineStr">
        <is>
          <t>Electronics</t>
        </is>
      </c>
      <c r="E1481" s="58" t="inlineStr">
        <is>
          <t>North</t>
        </is>
      </c>
      <c r="F1481" s="61" t="n">
        <v>1</v>
      </c>
      <c r="G1481" s="62" t="n">
        <v>1681.31</v>
      </c>
      <c r="H1481" s="63" t="n">
        <v>0.046</v>
      </c>
      <c r="I1481" s="62" t="n">
        <v>1270.57</v>
      </c>
      <c r="J1481" s="58" t="inlineStr">
        <is>
          <t>Store</t>
        </is>
      </c>
      <c r="K1481" s="62">
        <f>F1481*(G1481-H1481)</f>
        <v/>
      </c>
      <c r="L1481" s="62">
        <f>K1481-(F1481*I1481)</f>
        <v/>
      </c>
      <c r="M1481" s="64">
        <f>L1481/K1481</f>
        <v/>
      </c>
    </row>
    <row r="1482">
      <c r="A1482" s="58" t="inlineStr">
        <is>
          <t>RT20250207-01481</t>
        </is>
      </c>
      <c r="B1482" s="59" t="inlineStr">
        <is>
          <t>2025-02-07</t>
        </is>
      </c>
      <c r="C1482" s="60" t="inlineStr">
        <is>
          <t>Falcon Accessorie S-195</t>
        </is>
      </c>
      <c r="D1482" s="58" t="inlineStr">
        <is>
          <t>Apparel</t>
        </is>
      </c>
      <c r="E1482" s="58" t="inlineStr">
        <is>
          <t>Central</t>
        </is>
      </c>
      <c r="F1482" s="61" t="n">
        <v>1</v>
      </c>
      <c r="G1482" s="62" t="n">
        <v>79.88</v>
      </c>
      <c r="H1482" s="63" t="n">
        <v>0.08500000000000001</v>
      </c>
      <c r="I1482" s="62" t="n">
        <v>43.59</v>
      </c>
      <c r="J1482" s="58" t="inlineStr">
        <is>
          <t>Online</t>
        </is>
      </c>
      <c r="K1482" s="62">
        <f>F1482*(G1482-H1482)</f>
        <v/>
      </c>
      <c r="L1482" s="62">
        <f>K1482-(F1482*I1482)</f>
        <v/>
      </c>
      <c r="M1482" s="64">
        <f>L1482/K1482</f>
        <v/>
      </c>
    </row>
    <row r="1483">
      <c r="A1483" s="58" t="inlineStr">
        <is>
          <t>RT20250207-01482</t>
        </is>
      </c>
      <c r="B1483" s="59" t="inlineStr">
        <is>
          <t>2025-02-07</t>
        </is>
      </c>
      <c r="C1483" s="60" t="inlineStr">
        <is>
          <t>Aurora Furniture X-709</t>
        </is>
      </c>
      <c r="D1483" s="58" t="inlineStr">
        <is>
          <t>Office</t>
        </is>
      </c>
      <c r="E1483" s="58" t="inlineStr">
        <is>
          <t>South</t>
        </is>
      </c>
      <c r="F1483" s="61" t="n">
        <v>1</v>
      </c>
      <c r="G1483" s="62" t="n">
        <v>464.4</v>
      </c>
      <c r="H1483" s="63" t="n">
        <v>0.077</v>
      </c>
      <c r="I1483" s="62" t="n">
        <v>314.05</v>
      </c>
      <c r="J1483" s="58" t="inlineStr">
        <is>
          <t>Online</t>
        </is>
      </c>
      <c r="K1483" s="62">
        <f>F1483*(G1483-H1483)</f>
        <v/>
      </c>
      <c r="L1483" s="62">
        <f>K1483-(F1483*I1483)</f>
        <v/>
      </c>
      <c r="M1483" s="64">
        <f>L1483/K1483</f>
        <v/>
      </c>
    </row>
    <row r="1484">
      <c r="A1484" s="58" t="inlineStr">
        <is>
          <t>RT20250207-01483</t>
        </is>
      </c>
      <c r="B1484" s="59" t="inlineStr">
        <is>
          <t>2025-02-07</t>
        </is>
      </c>
      <c r="C1484" s="60" t="inlineStr">
        <is>
          <t>Aurora Kid Plus-151</t>
        </is>
      </c>
      <c r="D1484" s="58" t="inlineStr">
        <is>
          <t>Apparel</t>
        </is>
      </c>
      <c r="E1484" s="58" t="inlineStr">
        <is>
          <t>West</t>
        </is>
      </c>
      <c r="F1484" s="61" t="n">
        <v>1</v>
      </c>
      <c r="G1484" s="62" t="n">
        <v>110.01</v>
      </c>
      <c r="H1484" s="63" t="n">
        <v>0.076</v>
      </c>
      <c r="I1484" s="62" t="n">
        <v>62.85</v>
      </c>
      <c r="J1484" s="58" t="inlineStr">
        <is>
          <t>Online</t>
        </is>
      </c>
      <c r="K1484" s="62">
        <f>F1484*(G1484-H1484)</f>
        <v/>
      </c>
      <c r="L1484" s="62">
        <f>K1484-(F1484*I1484)</f>
        <v/>
      </c>
      <c r="M1484" s="64">
        <f>L1484/K1484</f>
        <v/>
      </c>
    </row>
    <row r="1485">
      <c r="A1485" s="58" t="inlineStr">
        <is>
          <t>RT20250207-01484</t>
        </is>
      </c>
      <c r="B1485" s="59" t="inlineStr">
        <is>
          <t>2025-02-07</t>
        </is>
      </c>
      <c r="C1485" s="60" t="inlineStr">
        <is>
          <t>Nimbus Makeup Max-158</t>
        </is>
      </c>
      <c r="D1485" s="58" t="inlineStr">
        <is>
          <t>Beauty</t>
        </is>
      </c>
      <c r="E1485" s="58" t="inlineStr">
        <is>
          <t>Central</t>
        </is>
      </c>
      <c r="F1485" s="61" t="n">
        <v>4</v>
      </c>
      <c r="G1485" s="62" t="n">
        <v>164.75</v>
      </c>
      <c r="H1485" s="63" t="n">
        <v>0.033</v>
      </c>
      <c r="I1485" s="62" t="n">
        <v>98.40000000000001</v>
      </c>
      <c r="J1485" s="58" t="inlineStr">
        <is>
          <t>Online</t>
        </is>
      </c>
      <c r="K1485" s="62">
        <f>F1485*(G1485-H1485)</f>
        <v/>
      </c>
      <c r="L1485" s="62">
        <f>K1485-(F1485*I1485)</f>
        <v/>
      </c>
      <c r="M1485" s="64">
        <f>L1485/K1485</f>
        <v/>
      </c>
    </row>
    <row r="1486">
      <c r="A1486" s="58" t="inlineStr">
        <is>
          <t>RT20250207-01485</t>
        </is>
      </c>
      <c r="B1486" s="59" t="inlineStr">
        <is>
          <t>2025-02-07</t>
        </is>
      </c>
      <c r="C1486" s="60" t="inlineStr">
        <is>
          <t>Polar Supplie Lite-348</t>
        </is>
      </c>
      <c r="D1486" s="58" t="inlineStr">
        <is>
          <t>Office</t>
        </is>
      </c>
      <c r="E1486" s="58" t="inlineStr">
        <is>
          <t>West</t>
        </is>
      </c>
      <c r="F1486" s="61" t="n">
        <v>1</v>
      </c>
      <c r="G1486" s="62" t="n">
        <v>469</v>
      </c>
      <c r="H1486" s="63" t="n">
        <v>0.09</v>
      </c>
      <c r="I1486" s="62" t="n">
        <v>323.58</v>
      </c>
      <c r="J1486" s="58" t="inlineStr">
        <is>
          <t>Online</t>
        </is>
      </c>
      <c r="K1486" s="62">
        <f>F1486*(G1486-H1486)</f>
        <v/>
      </c>
      <c r="L1486" s="62">
        <f>K1486-(F1486*I1486)</f>
        <v/>
      </c>
      <c r="M1486" s="64">
        <f>L1486/K1486</f>
        <v/>
      </c>
    </row>
    <row r="1487">
      <c r="A1487" s="58" t="inlineStr">
        <is>
          <t>RT20250207-01486</t>
        </is>
      </c>
      <c r="B1487" s="59" t="inlineStr">
        <is>
          <t>2025-02-07</t>
        </is>
      </c>
      <c r="C1487" s="60" t="inlineStr">
        <is>
          <t>Orion Storage Plus-961</t>
        </is>
      </c>
      <c r="D1487" s="58" t="inlineStr">
        <is>
          <t>Office</t>
        </is>
      </c>
      <c r="E1487" s="58" t="inlineStr">
        <is>
          <t>North</t>
        </is>
      </c>
      <c r="F1487" s="61" t="n">
        <v>3</v>
      </c>
      <c r="G1487" s="62" t="n">
        <v>462.8</v>
      </c>
      <c r="H1487" s="63" t="n">
        <v>0.051</v>
      </c>
      <c r="I1487" s="62" t="n">
        <v>369.47</v>
      </c>
      <c r="J1487" s="58" t="inlineStr">
        <is>
          <t>Store</t>
        </is>
      </c>
      <c r="K1487" s="62">
        <f>F1487*(G1487-H1487)</f>
        <v/>
      </c>
      <c r="L1487" s="62">
        <f>K1487-(F1487*I1487)</f>
        <v/>
      </c>
      <c r="M1487" s="64">
        <f>L1487/K1487</f>
        <v/>
      </c>
    </row>
    <row r="1488">
      <c r="A1488" s="58" t="inlineStr">
        <is>
          <t>RT20250207-01487</t>
        </is>
      </c>
      <c r="B1488" s="59" t="inlineStr">
        <is>
          <t>2025-02-07</t>
        </is>
      </c>
      <c r="C1488" s="60" t="inlineStr">
        <is>
          <t>Aurora Fitnes Lite-194</t>
        </is>
      </c>
      <c r="D1488" s="58" t="inlineStr">
        <is>
          <t>Sports</t>
        </is>
      </c>
      <c r="E1488" s="58" t="inlineStr">
        <is>
          <t>Central</t>
        </is>
      </c>
      <c r="F1488" s="61" t="n">
        <v>3</v>
      </c>
      <c r="G1488" s="62" t="n">
        <v>704.15</v>
      </c>
      <c r="H1488" s="63" t="n">
        <v>0.08599999999999999</v>
      </c>
      <c r="I1488" s="62" t="n">
        <v>457.35</v>
      </c>
      <c r="J1488" s="58" t="inlineStr">
        <is>
          <t>Store</t>
        </is>
      </c>
      <c r="K1488" s="62">
        <f>F1488*(G1488-H1488)</f>
        <v/>
      </c>
      <c r="L1488" s="62">
        <f>K1488-(F1488*I1488)</f>
        <v/>
      </c>
      <c r="M1488" s="64">
        <f>L1488/K1488</f>
        <v/>
      </c>
    </row>
    <row r="1489">
      <c r="A1489" s="58" t="inlineStr">
        <is>
          <t>RT20250207-01488</t>
        </is>
      </c>
      <c r="B1489" s="59" t="inlineStr">
        <is>
          <t>2025-02-07</t>
        </is>
      </c>
      <c r="C1489" s="60" t="inlineStr">
        <is>
          <t>Metro Printer X-294</t>
        </is>
      </c>
      <c r="D1489" s="58" t="inlineStr">
        <is>
          <t>Office</t>
        </is>
      </c>
      <c r="E1489" s="58" t="inlineStr">
        <is>
          <t>South</t>
        </is>
      </c>
      <c r="F1489" s="61" t="n">
        <v>2</v>
      </c>
      <c r="G1489" s="62" t="n">
        <v>593.79</v>
      </c>
      <c r="H1489" s="63" t="n">
        <v>0.06900000000000001</v>
      </c>
      <c r="I1489" s="62" t="n">
        <v>411.41</v>
      </c>
      <c r="J1489" s="58" t="inlineStr">
        <is>
          <t>Store</t>
        </is>
      </c>
      <c r="K1489" s="62">
        <f>F1489*(G1489-H1489)</f>
        <v/>
      </c>
      <c r="L1489" s="62">
        <f>K1489-(F1489*I1489)</f>
        <v/>
      </c>
      <c r="M1489" s="64">
        <f>L1489/K1489</f>
        <v/>
      </c>
    </row>
    <row r="1490">
      <c r="A1490" s="58" t="inlineStr">
        <is>
          <t>RT20250207-01489</t>
        </is>
      </c>
      <c r="B1490" s="59" t="inlineStr">
        <is>
          <t>2025-02-07</t>
        </is>
      </c>
      <c r="C1490" s="60" t="inlineStr">
        <is>
          <t>Falcon Cycling Pro-499</t>
        </is>
      </c>
      <c r="D1490" s="58" t="inlineStr">
        <is>
          <t>Sports</t>
        </is>
      </c>
      <c r="E1490" s="58" t="inlineStr">
        <is>
          <t>Central</t>
        </is>
      </c>
      <c r="F1490" s="61" t="n">
        <v>2</v>
      </c>
      <c r="G1490" s="62" t="n">
        <v>582.28</v>
      </c>
      <c r="H1490" s="63" t="n">
        <v>0.036</v>
      </c>
      <c r="I1490" s="62" t="n">
        <v>404.16</v>
      </c>
      <c r="J1490" s="58" t="inlineStr">
        <is>
          <t>Online</t>
        </is>
      </c>
      <c r="K1490" s="62">
        <f>F1490*(G1490-H1490)</f>
        <v/>
      </c>
      <c r="L1490" s="62">
        <f>K1490-(F1490*I1490)</f>
        <v/>
      </c>
      <c r="M1490" s="64">
        <f>L1490/K1490</f>
        <v/>
      </c>
    </row>
    <row r="1491">
      <c r="A1491" s="58" t="inlineStr">
        <is>
          <t>RT20250207-01490</t>
        </is>
      </c>
      <c r="B1491" s="59" t="inlineStr">
        <is>
          <t>2025-02-07</t>
        </is>
      </c>
      <c r="C1491" s="60" t="inlineStr">
        <is>
          <t>Nimbus Furniture Pro-479</t>
        </is>
      </c>
      <c r="D1491" s="58" t="inlineStr">
        <is>
          <t>Office</t>
        </is>
      </c>
      <c r="E1491" s="58" t="inlineStr">
        <is>
          <t>East</t>
        </is>
      </c>
      <c r="F1491" s="61" t="n">
        <v>3</v>
      </c>
      <c r="G1491" s="62" t="n">
        <v>313.1</v>
      </c>
      <c r="H1491" s="63" t="n">
        <v>0.057</v>
      </c>
      <c r="I1491" s="62" t="n">
        <v>244.17</v>
      </c>
      <c r="J1491" s="58" t="inlineStr">
        <is>
          <t>Store</t>
        </is>
      </c>
      <c r="K1491" s="62">
        <f>F1491*(G1491-H1491)</f>
        <v/>
      </c>
      <c r="L1491" s="62">
        <f>K1491-(F1491*I1491)</f>
        <v/>
      </c>
      <c r="M1491" s="64">
        <f>L1491/K1491</f>
        <v/>
      </c>
    </row>
    <row r="1492">
      <c r="A1492" s="58" t="inlineStr">
        <is>
          <t>RT20250207-01491</t>
        </is>
      </c>
      <c r="B1492" s="59" t="inlineStr">
        <is>
          <t>2025-02-07</t>
        </is>
      </c>
      <c r="C1492" s="60" t="inlineStr">
        <is>
          <t>Metro Outdoor Plus-787</t>
        </is>
      </c>
      <c r="D1492" s="58" t="inlineStr">
        <is>
          <t>Sports</t>
        </is>
      </c>
      <c r="E1492" s="58" t="inlineStr">
        <is>
          <t>West</t>
        </is>
      </c>
      <c r="F1492" s="61" t="n">
        <v>2</v>
      </c>
      <c r="G1492" s="62" t="n">
        <v>573.11</v>
      </c>
      <c r="H1492" s="63" t="n">
        <v>0.08400000000000001</v>
      </c>
      <c r="I1492" s="62" t="n">
        <v>345.01</v>
      </c>
      <c r="J1492" s="58" t="inlineStr">
        <is>
          <t>Store</t>
        </is>
      </c>
      <c r="K1492" s="62">
        <f>F1492*(G1492-H1492)</f>
        <v/>
      </c>
      <c r="L1492" s="62">
        <f>K1492-(F1492*I1492)</f>
        <v/>
      </c>
      <c r="M1492" s="64">
        <f>L1492/K1492</f>
        <v/>
      </c>
    </row>
    <row r="1493">
      <c r="A1493" s="58" t="inlineStr">
        <is>
          <t>RT20250207-01492</t>
        </is>
      </c>
      <c r="B1493" s="59" t="inlineStr">
        <is>
          <t>2025-02-07</t>
        </is>
      </c>
      <c r="C1493" s="60" t="inlineStr">
        <is>
          <t>Nimbus Headphone X-854</t>
        </is>
      </c>
      <c r="D1493" s="58" t="inlineStr">
        <is>
          <t>Electronics</t>
        </is>
      </c>
      <c r="E1493" s="58" t="inlineStr">
        <is>
          <t>West</t>
        </is>
      </c>
      <c r="F1493" s="61" t="n">
        <v>1</v>
      </c>
      <c r="G1493" s="62" t="n">
        <v>1545.2</v>
      </c>
      <c r="H1493" s="63" t="n">
        <v>0.038</v>
      </c>
      <c r="I1493" s="62" t="n">
        <v>1257.65</v>
      </c>
      <c r="J1493" s="58" t="inlineStr">
        <is>
          <t>Store</t>
        </is>
      </c>
      <c r="K1493" s="62">
        <f>F1493*(G1493-H1493)</f>
        <v/>
      </c>
      <c r="L1493" s="62">
        <f>K1493-(F1493*I1493)</f>
        <v/>
      </c>
      <c r="M1493" s="64">
        <f>L1493/K1493</f>
        <v/>
      </c>
    </row>
    <row r="1494">
      <c r="A1494" s="58" t="inlineStr">
        <is>
          <t>RT20250207-01493</t>
        </is>
      </c>
      <c r="B1494" s="59" t="inlineStr">
        <is>
          <t>2025-02-07</t>
        </is>
      </c>
      <c r="C1494" s="60" t="inlineStr">
        <is>
          <t>Nimbus Women Plus-352</t>
        </is>
      </c>
      <c r="D1494" s="58" t="inlineStr">
        <is>
          <t>Apparel</t>
        </is>
      </c>
      <c r="E1494" s="58" t="inlineStr">
        <is>
          <t>West</t>
        </is>
      </c>
      <c r="F1494" s="61" t="n">
        <v>2</v>
      </c>
      <c r="G1494" s="62" t="n">
        <v>60.5</v>
      </c>
      <c r="H1494" s="63" t="n">
        <v>0.101</v>
      </c>
      <c r="I1494" s="62" t="n">
        <v>31.86</v>
      </c>
      <c r="J1494" s="58" t="inlineStr">
        <is>
          <t>Online</t>
        </is>
      </c>
      <c r="K1494" s="62">
        <f>F1494*(G1494-H1494)</f>
        <v/>
      </c>
      <c r="L1494" s="62">
        <f>K1494-(F1494*I1494)</f>
        <v/>
      </c>
      <c r="M1494" s="64">
        <f>L1494/K1494</f>
        <v/>
      </c>
    </row>
    <row r="1495">
      <c r="A1495" s="58" t="inlineStr">
        <is>
          <t>RT20250207-01494</t>
        </is>
      </c>
      <c r="B1495" s="59" t="inlineStr">
        <is>
          <t>2025-02-07</t>
        </is>
      </c>
      <c r="C1495" s="60" t="inlineStr">
        <is>
          <t>Polar Beverage S-258</t>
        </is>
      </c>
      <c r="D1495" s="58" t="inlineStr">
        <is>
          <t>Grocery</t>
        </is>
      </c>
      <c r="E1495" s="58" t="inlineStr">
        <is>
          <t>East</t>
        </is>
      </c>
      <c r="F1495" s="61" t="n">
        <v>6</v>
      </c>
      <c r="G1495" s="62" t="n">
        <v>13.17</v>
      </c>
      <c r="H1495" s="63" t="n">
        <v>0.075</v>
      </c>
      <c r="I1495" s="62" t="n">
        <v>9.720000000000001</v>
      </c>
      <c r="J1495" s="58" t="inlineStr">
        <is>
          <t>Store</t>
        </is>
      </c>
      <c r="K1495" s="62">
        <f>F1495*(G1495-H1495)</f>
        <v/>
      </c>
      <c r="L1495" s="62">
        <f>K1495-(F1495*I1495)</f>
        <v/>
      </c>
      <c r="M1495" s="64">
        <f>L1495/K1495</f>
        <v/>
      </c>
    </row>
    <row r="1496">
      <c r="A1496" s="58" t="inlineStr">
        <is>
          <t>RT20250207-01495</t>
        </is>
      </c>
      <c r="B1496" s="59" t="inlineStr">
        <is>
          <t>2025-02-07</t>
        </is>
      </c>
      <c r="C1496" s="60" t="inlineStr">
        <is>
          <t>Aurora Kid Plus-151</t>
        </is>
      </c>
      <c r="D1496" s="58" t="inlineStr">
        <is>
          <t>Apparel</t>
        </is>
      </c>
      <c r="E1496" s="58" t="inlineStr">
        <is>
          <t>Central</t>
        </is>
      </c>
      <c r="F1496" s="61" t="n">
        <v>3</v>
      </c>
      <c r="G1496" s="62" t="n">
        <v>113.51</v>
      </c>
      <c r="H1496" s="63" t="n">
        <v>0.105</v>
      </c>
      <c r="I1496" s="62" t="n">
        <v>62.29</v>
      </c>
      <c r="J1496" s="58" t="inlineStr">
        <is>
          <t>Store</t>
        </is>
      </c>
      <c r="K1496" s="62">
        <f>F1496*(G1496-H1496)</f>
        <v/>
      </c>
      <c r="L1496" s="62">
        <f>K1496-(F1496*I1496)</f>
        <v/>
      </c>
      <c r="M1496" s="64">
        <f>L1496/K1496</f>
        <v/>
      </c>
    </row>
    <row r="1497">
      <c r="A1497" s="58" t="inlineStr">
        <is>
          <t>RT20250207-01496</t>
        </is>
      </c>
      <c r="B1497" s="59" t="inlineStr">
        <is>
          <t>2025-02-07</t>
        </is>
      </c>
      <c r="C1497" s="60" t="inlineStr">
        <is>
          <t>Polar Outdoor Lite-318</t>
        </is>
      </c>
      <c r="D1497" s="58" t="inlineStr">
        <is>
          <t>Sports</t>
        </is>
      </c>
      <c r="E1497" s="58" t="inlineStr">
        <is>
          <t>West</t>
        </is>
      </c>
      <c r="F1497" s="61" t="n">
        <v>1</v>
      </c>
      <c r="G1497" s="62" t="n">
        <v>712.59</v>
      </c>
      <c r="H1497" s="63" t="n">
        <v>0.075</v>
      </c>
      <c r="I1497" s="62" t="n">
        <v>478.02</v>
      </c>
      <c r="J1497" s="58" t="inlineStr">
        <is>
          <t>Online</t>
        </is>
      </c>
      <c r="K1497" s="62">
        <f>F1497*(G1497-H1497)</f>
        <v/>
      </c>
      <c r="L1497" s="62">
        <f>K1497-(F1497*I1497)</f>
        <v/>
      </c>
      <c r="M1497" s="64">
        <f>L1497/K1497</f>
        <v/>
      </c>
    </row>
    <row r="1498">
      <c r="A1498" s="58" t="inlineStr">
        <is>
          <t>RT20250207-01497</t>
        </is>
      </c>
      <c r="B1498" s="59" t="inlineStr">
        <is>
          <t>2025-02-07</t>
        </is>
      </c>
      <c r="C1498" s="60" t="inlineStr">
        <is>
          <t>Vertex Fitnes Pro-830</t>
        </is>
      </c>
      <c r="D1498" s="58" t="inlineStr">
        <is>
          <t>Sports</t>
        </is>
      </c>
      <c r="E1498" s="58" t="inlineStr">
        <is>
          <t>East</t>
        </is>
      </c>
      <c r="F1498" s="61" t="n">
        <v>1</v>
      </c>
      <c r="G1498" s="62" t="n">
        <v>763.6799999999999</v>
      </c>
      <c r="H1498" s="63" t="n">
        <v>0.061</v>
      </c>
      <c r="I1498" s="62" t="n">
        <v>481.37</v>
      </c>
      <c r="J1498" s="58" t="inlineStr">
        <is>
          <t>Store</t>
        </is>
      </c>
      <c r="K1498" s="62">
        <f>F1498*(G1498-H1498)</f>
        <v/>
      </c>
      <c r="L1498" s="62">
        <f>K1498-(F1498*I1498)</f>
        <v/>
      </c>
      <c r="M1498" s="64">
        <f>L1498/K1498</f>
        <v/>
      </c>
    </row>
    <row r="1499">
      <c r="A1499" s="58" t="inlineStr">
        <is>
          <t>RT20250207-01498</t>
        </is>
      </c>
      <c r="B1499" s="59" t="inlineStr">
        <is>
          <t>2025-02-07</t>
        </is>
      </c>
      <c r="C1499" s="60" t="inlineStr">
        <is>
          <t>Aurora Furniture X-709</t>
        </is>
      </c>
      <c r="D1499" s="58" t="inlineStr">
        <is>
          <t>Office</t>
        </is>
      </c>
      <c r="E1499" s="58" t="inlineStr">
        <is>
          <t>Central</t>
        </is>
      </c>
      <c r="F1499" s="61" t="n">
        <v>2</v>
      </c>
      <c r="G1499" s="62" t="n">
        <v>420.84</v>
      </c>
      <c r="H1499" s="63" t="n">
        <v>0.078</v>
      </c>
      <c r="I1499" s="62" t="n">
        <v>315.69</v>
      </c>
      <c r="J1499" s="58" t="inlineStr">
        <is>
          <t>Online</t>
        </is>
      </c>
      <c r="K1499" s="62">
        <f>F1499*(G1499-H1499)</f>
        <v/>
      </c>
      <c r="L1499" s="62">
        <f>K1499-(F1499*I1499)</f>
        <v/>
      </c>
      <c r="M1499" s="64">
        <f>L1499/K1499</f>
        <v/>
      </c>
    </row>
    <row r="1500">
      <c r="A1500" s="58" t="inlineStr">
        <is>
          <t>RT20250207-01499</t>
        </is>
      </c>
      <c r="B1500" s="59" t="inlineStr">
        <is>
          <t>2025-02-07</t>
        </is>
      </c>
      <c r="C1500" s="60" t="inlineStr">
        <is>
          <t>Vertex Men X-995</t>
        </is>
      </c>
      <c r="D1500" s="58" t="inlineStr">
        <is>
          <t>Apparel</t>
        </is>
      </c>
      <c r="E1500" s="58" t="inlineStr">
        <is>
          <t>South</t>
        </is>
      </c>
      <c r="F1500" s="61" t="n">
        <v>3</v>
      </c>
      <c r="G1500" s="62" t="n">
        <v>102.08</v>
      </c>
      <c r="H1500" s="63" t="n">
        <v>0.042</v>
      </c>
      <c r="I1500" s="62" t="n">
        <v>58.76</v>
      </c>
      <c r="J1500" s="58" t="inlineStr">
        <is>
          <t>Online</t>
        </is>
      </c>
      <c r="K1500" s="62">
        <f>F1500*(G1500-H1500)</f>
        <v/>
      </c>
      <c r="L1500" s="62">
        <f>K1500-(F1500*I1500)</f>
        <v/>
      </c>
      <c r="M1500" s="64">
        <f>L1500/K1500</f>
        <v/>
      </c>
    </row>
    <row r="1501">
      <c r="A1501" s="58" t="inlineStr">
        <is>
          <t>RT20250207-01500</t>
        </is>
      </c>
      <c r="B1501" s="59" t="inlineStr">
        <is>
          <t>2025-02-07</t>
        </is>
      </c>
      <c r="C1501" s="60" t="inlineStr">
        <is>
          <t>Polar Wearable X-119</t>
        </is>
      </c>
      <c r="D1501" s="58" t="inlineStr">
        <is>
          <t>Electronics</t>
        </is>
      </c>
      <c r="E1501" s="58" t="inlineStr">
        <is>
          <t>South</t>
        </is>
      </c>
      <c r="F1501" s="61" t="n">
        <v>1</v>
      </c>
      <c r="G1501" s="62" t="n">
        <v>1786.02</v>
      </c>
      <c r="H1501" s="63" t="n">
        <v>0.06900000000000001</v>
      </c>
      <c r="I1501" s="62" t="n">
        <v>1318.05</v>
      </c>
      <c r="J1501" s="58" t="inlineStr">
        <is>
          <t>Online</t>
        </is>
      </c>
      <c r="K1501" s="62">
        <f>F1501*(G1501-H1501)</f>
        <v/>
      </c>
      <c r="L1501" s="62">
        <f>K1501-(F1501*I1501)</f>
        <v/>
      </c>
      <c r="M1501" s="64">
        <f>L1501/K1501</f>
        <v/>
      </c>
    </row>
    <row r="1502">
      <c r="A1502" s="58" t="inlineStr">
        <is>
          <t>RT20250207-01501</t>
        </is>
      </c>
      <c r="B1502" s="59" t="inlineStr">
        <is>
          <t>2025-02-07</t>
        </is>
      </c>
      <c r="C1502" s="60" t="inlineStr">
        <is>
          <t>Orion Team Sport X-926</t>
        </is>
      </c>
      <c r="D1502" s="58" t="inlineStr">
        <is>
          <t>Sports</t>
        </is>
      </c>
      <c r="E1502" s="58" t="inlineStr">
        <is>
          <t>South</t>
        </is>
      </c>
      <c r="F1502" s="61" t="n">
        <v>2</v>
      </c>
      <c r="G1502" s="62" t="n">
        <v>333.25</v>
      </c>
      <c r="H1502" s="63" t="n">
        <v>0.029</v>
      </c>
      <c r="I1502" s="62" t="n">
        <v>217.15</v>
      </c>
      <c r="J1502" s="58" t="inlineStr">
        <is>
          <t>Store</t>
        </is>
      </c>
      <c r="K1502" s="62">
        <f>F1502*(G1502-H1502)</f>
        <v/>
      </c>
      <c r="L1502" s="62">
        <f>K1502-(F1502*I1502)</f>
        <v/>
      </c>
      <c r="M1502" s="64">
        <f>L1502/K1502</f>
        <v/>
      </c>
    </row>
    <row r="1503">
      <c r="A1503" s="58" t="inlineStr">
        <is>
          <t>RT20250208-01502</t>
        </is>
      </c>
      <c r="B1503" s="59" t="inlineStr">
        <is>
          <t>2025-02-08</t>
        </is>
      </c>
      <c r="C1503" s="60" t="inlineStr">
        <is>
          <t>Aurora Bedding Plus-187</t>
        </is>
      </c>
      <c r="D1503" s="58" t="inlineStr">
        <is>
          <t>Home</t>
        </is>
      </c>
      <c r="E1503" s="58" t="inlineStr">
        <is>
          <t>East</t>
        </is>
      </c>
      <c r="F1503" s="61" t="n">
        <v>3</v>
      </c>
      <c r="G1503" s="62" t="n">
        <v>307.01</v>
      </c>
      <c r="H1503" s="63" t="n">
        <v>0.07199999999999999</v>
      </c>
      <c r="I1503" s="62" t="n">
        <v>205.29</v>
      </c>
      <c r="J1503" s="58" t="inlineStr">
        <is>
          <t>Store</t>
        </is>
      </c>
      <c r="K1503" s="62">
        <f>F1503*(G1503-H1503)</f>
        <v/>
      </c>
      <c r="L1503" s="62">
        <f>K1503-(F1503*I1503)</f>
        <v/>
      </c>
      <c r="M1503" s="64">
        <f>L1503/K1503</f>
        <v/>
      </c>
    </row>
    <row r="1504">
      <c r="A1504" s="58" t="inlineStr">
        <is>
          <t>RT20250208-01503</t>
        </is>
      </c>
      <c r="B1504" s="59" t="inlineStr">
        <is>
          <t>2025-02-08</t>
        </is>
      </c>
      <c r="C1504" s="60" t="inlineStr">
        <is>
          <t>Aurora Smartphone Plus-125</t>
        </is>
      </c>
      <c r="D1504" s="58" t="inlineStr">
        <is>
          <t>Electronics</t>
        </is>
      </c>
      <c r="E1504" s="58" t="inlineStr">
        <is>
          <t>East</t>
        </is>
      </c>
      <c r="F1504" s="61" t="n">
        <v>1</v>
      </c>
      <c r="G1504" s="62" t="n">
        <v>1488.06</v>
      </c>
      <c r="H1504" s="63" t="n">
        <v>0.074</v>
      </c>
      <c r="I1504" s="62" t="n">
        <v>1232.75</v>
      </c>
      <c r="J1504" s="58" t="inlineStr">
        <is>
          <t>Online</t>
        </is>
      </c>
      <c r="K1504" s="62">
        <f>F1504*(G1504-H1504)</f>
        <v/>
      </c>
      <c r="L1504" s="62">
        <f>K1504-(F1504*I1504)</f>
        <v/>
      </c>
      <c r="M1504" s="64">
        <f>L1504/K1504</f>
        <v/>
      </c>
    </row>
    <row r="1505">
      <c r="A1505" s="58" t="inlineStr">
        <is>
          <t>RT20250208-01504</t>
        </is>
      </c>
      <c r="B1505" s="59" t="inlineStr">
        <is>
          <t>2025-02-08</t>
        </is>
      </c>
      <c r="C1505" s="60" t="inlineStr">
        <is>
          <t>Vertex Appliance S-159</t>
        </is>
      </c>
      <c r="D1505" s="58" t="inlineStr">
        <is>
          <t>Home</t>
        </is>
      </c>
      <c r="E1505" s="58" t="inlineStr">
        <is>
          <t>West</t>
        </is>
      </c>
      <c r="F1505" s="61" t="n">
        <v>1</v>
      </c>
      <c r="G1505" s="62" t="n">
        <v>427.21</v>
      </c>
      <c r="H1505" s="63" t="n">
        <v>0.047</v>
      </c>
      <c r="I1505" s="62" t="n">
        <v>297.14</v>
      </c>
      <c r="J1505" s="58" t="inlineStr">
        <is>
          <t>Phone</t>
        </is>
      </c>
      <c r="K1505" s="62">
        <f>F1505*(G1505-H1505)</f>
        <v/>
      </c>
      <c r="L1505" s="62">
        <f>K1505-(F1505*I1505)</f>
        <v/>
      </c>
      <c r="M1505" s="64">
        <f>L1505/K1505</f>
        <v/>
      </c>
    </row>
    <row r="1506">
      <c r="A1506" s="58" t="inlineStr">
        <is>
          <t>RT20250208-01505</t>
        </is>
      </c>
      <c r="B1506" s="59" t="inlineStr">
        <is>
          <t>2025-02-08</t>
        </is>
      </c>
      <c r="C1506" s="60" t="inlineStr">
        <is>
          <t>Metro Outdoor Plus-787</t>
        </is>
      </c>
      <c r="D1506" s="58" t="inlineStr">
        <is>
          <t>Sports</t>
        </is>
      </c>
      <c r="E1506" s="58" t="inlineStr">
        <is>
          <t>West</t>
        </is>
      </c>
      <c r="F1506" s="61" t="n">
        <v>1</v>
      </c>
      <c r="G1506" s="62" t="n">
        <v>586.3200000000001</v>
      </c>
      <c r="H1506" s="63" t="n">
        <v>0.047</v>
      </c>
      <c r="I1506" s="62" t="n">
        <v>351.94</v>
      </c>
      <c r="J1506" s="58" t="inlineStr">
        <is>
          <t>Online</t>
        </is>
      </c>
      <c r="K1506" s="62">
        <f>F1506*(G1506-H1506)</f>
        <v/>
      </c>
      <c r="L1506" s="62">
        <f>K1506-(F1506*I1506)</f>
        <v/>
      </c>
      <c r="M1506" s="64">
        <f>L1506/K1506</f>
        <v/>
      </c>
    </row>
    <row r="1507">
      <c r="A1507" s="58" t="inlineStr">
        <is>
          <t>RT20250208-01506</t>
        </is>
      </c>
      <c r="B1507" s="59" t="inlineStr">
        <is>
          <t>2025-02-08</t>
        </is>
      </c>
      <c r="C1507" s="60" t="inlineStr">
        <is>
          <t>Polar Snack Pro-641</t>
        </is>
      </c>
      <c r="D1507" s="58" t="inlineStr">
        <is>
          <t>Grocery</t>
        </is>
      </c>
      <c r="E1507" s="58" t="inlineStr">
        <is>
          <t>West</t>
        </is>
      </c>
      <c r="F1507" s="61" t="n">
        <v>2</v>
      </c>
      <c r="G1507" s="62" t="n">
        <v>11.5</v>
      </c>
      <c r="H1507" s="63" t="n">
        <v>0.064</v>
      </c>
      <c r="I1507" s="62" t="n">
        <v>9.44</v>
      </c>
      <c r="J1507" s="58" t="inlineStr">
        <is>
          <t>Online</t>
        </is>
      </c>
      <c r="K1507" s="62">
        <f>F1507*(G1507-H1507)</f>
        <v/>
      </c>
      <c r="L1507" s="62">
        <f>K1507-(F1507*I1507)</f>
        <v/>
      </c>
      <c r="M1507" s="64">
        <f>L1507/K1507</f>
        <v/>
      </c>
    </row>
    <row r="1508">
      <c r="A1508" s="58" t="inlineStr">
        <is>
          <t>RT20250208-01507</t>
        </is>
      </c>
      <c r="B1508" s="59" t="inlineStr">
        <is>
          <t>2025-02-08</t>
        </is>
      </c>
      <c r="C1508" s="60" t="inlineStr">
        <is>
          <t>Solace Team Sport Max-548</t>
        </is>
      </c>
      <c r="D1508" s="58" t="inlineStr">
        <is>
          <t>Sports</t>
        </is>
      </c>
      <c r="E1508" s="58" t="inlineStr">
        <is>
          <t>North</t>
        </is>
      </c>
      <c r="F1508" s="61" t="n">
        <v>2</v>
      </c>
      <c r="G1508" s="62" t="n">
        <v>738.46</v>
      </c>
      <c r="H1508" s="63" t="n">
        <v>0.091</v>
      </c>
      <c r="I1508" s="62" t="n">
        <v>485.33</v>
      </c>
      <c r="J1508" s="58" t="inlineStr">
        <is>
          <t>Store</t>
        </is>
      </c>
      <c r="K1508" s="62">
        <f>F1508*(G1508-H1508)</f>
        <v/>
      </c>
      <c r="L1508" s="62">
        <f>K1508-(F1508*I1508)</f>
        <v/>
      </c>
      <c r="M1508" s="64">
        <f>L1508/K1508</f>
        <v/>
      </c>
    </row>
    <row r="1509">
      <c r="A1509" s="58" t="inlineStr">
        <is>
          <t>RT20250208-01508</t>
        </is>
      </c>
      <c r="B1509" s="59" t="inlineStr">
        <is>
          <t>2025-02-08</t>
        </is>
      </c>
      <c r="C1509" s="60" t="inlineStr">
        <is>
          <t>Polar Wearable X-119</t>
        </is>
      </c>
      <c r="D1509" s="58" t="inlineStr">
        <is>
          <t>Electronics</t>
        </is>
      </c>
      <c r="E1509" s="58" t="inlineStr">
        <is>
          <t>East</t>
        </is>
      </c>
      <c r="F1509" s="61" t="n">
        <v>1</v>
      </c>
      <c r="G1509" s="62" t="n">
        <v>1715.32</v>
      </c>
      <c r="H1509" s="63" t="n">
        <v>0.077</v>
      </c>
      <c r="I1509" s="62" t="n">
        <v>1324.3</v>
      </c>
      <c r="J1509" s="58" t="inlineStr">
        <is>
          <t>Store</t>
        </is>
      </c>
      <c r="K1509" s="62">
        <f>F1509*(G1509-H1509)</f>
        <v/>
      </c>
      <c r="L1509" s="62">
        <f>K1509-(F1509*I1509)</f>
        <v/>
      </c>
      <c r="M1509" s="64">
        <f>L1509/K1509</f>
        <v/>
      </c>
    </row>
    <row r="1510">
      <c r="A1510" s="58" t="inlineStr">
        <is>
          <t>RT20250208-01509</t>
        </is>
      </c>
      <c r="B1510" s="59" t="inlineStr">
        <is>
          <t>2025-02-08</t>
        </is>
      </c>
      <c r="C1510" s="60" t="inlineStr">
        <is>
          <t>Vertex Supplie Pro-786</t>
        </is>
      </c>
      <c r="D1510" s="58" t="inlineStr">
        <is>
          <t>Office</t>
        </is>
      </c>
      <c r="E1510" s="58" t="inlineStr">
        <is>
          <t>North</t>
        </is>
      </c>
      <c r="F1510" s="61" t="n">
        <v>1</v>
      </c>
      <c r="G1510" s="62" t="n">
        <v>447.95</v>
      </c>
      <c r="H1510" s="63" t="n">
        <v>0.07000000000000001</v>
      </c>
      <c r="I1510" s="62" t="n">
        <v>299.65</v>
      </c>
      <c r="J1510" s="58" t="inlineStr">
        <is>
          <t>Online</t>
        </is>
      </c>
      <c r="K1510" s="62">
        <f>F1510*(G1510-H1510)</f>
        <v/>
      </c>
      <c r="L1510" s="62">
        <f>K1510-(F1510*I1510)</f>
        <v/>
      </c>
      <c r="M1510" s="64">
        <f>L1510/K1510</f>
        <v/>
      </c>
    </row>
    <row r="1511">
      <c r="A1511" s="58" t="inlineStr">
        <is>
          <t>RT20250208-01510</t>
        </is>
      </c>
      <c r="B1511" s="59" t="inlineStr">
        <is>
          <t>2025-02-08</t>
        </is>
      </c>
      <c r="C1511" s="60" t="inlineStr">
        <is>
          <t>Metro Laptop Plus-376</t>
        </is>
      </c>
      <c r="D1511" s="58" t="inlineStr">
        <is>
          <t>Electronics</t>
        </is>
      </c>
      <c r="E1511" s="58" t="inlineStr">
        <is>
          <t>West</t>
        </is>
      </c>
      <c r="F1511" s="61" t="n">
        <v>1</v>
      </c>
      <c r="G1511" s="62" t="n">
        <v>1219.18</v>
      </c>
      <c r="H1511" s="63" t="n">
        <v>0.007</v>
      </c>
      <c r="I1511" s="62" t="n">
        <v>1020.39</v>
      </c>
      <c r="J1511" s="58" t="inlineStr">
        <is>
          <t>Online</t>
        </is>
      </c>
      <c r="K1511" s="62">
        <f>F1511*(G1511-H1511)</f>
        <v/>
      </c>
      <c r="L1511" s="62">
        <f>K1511-(F1511*I1511)</f>
        <v/>
      </c>
      <c r="M1511" s="64">
        <f>L1511/K1511</f>
        <v/>
      </c>
    </row>
    <row r="1512">
      <c r="A1512" s="58" t="inlineStr">
        <is>
          <t>RT20250208-01511</t>
        </is>
      </c>
      <c r="B1512" s="59" t="inlineStr">
        <is>
          <t>2025-02-08</t>
        </is>
      </c>
      <c r="C1512" s="60" t="inlineStr">
        <is>
          <t>Nimbus Men Plus-231</t>
        </is>
      </c>
      <c r="D1512" s="58" t="inlineStr">
        <is>
          <t>Apparel</t>
        </is>
      </c>
      <c r="E1512" s="58" t="inlineStr">
        <is>
          <t>West</t>
        </is>
      </c>
      <c r="F1512" s="61" t="n">
        <v>4</v>
      </c>
      <c r="G1512" s="62" t="n">
        <v>159.15</v>
      </c>
      <c r="H1512" s="63" t="n">
        <v>0.048</v>
      </c>
      <c r="I1512" s="62" t="n">
        <v>91.11</v>
      </c>
      <c r="J1512" s="58" t="inlineStr">
        <is>
          <t>Online</t>
        </is>
      </c>
      <c r="K1512" s="62">
        <f>F1512*(G1512-H1512)</f>
        <v/>
      </c>
      <c r="L1512" s="62">
        <f>K1512-(F1512*I1512)</f>
        <v/>
      </c>
      <c r="M1512" s="64">
        <f>L1512/K1512</f>
        <v/>
      </c>
    </row>
    <row r="1513">
      <c r="A1513" s="58" t="inlineStr">
        <is>
          <t>RT20250208-01512</t>
        </is>
      </c>
      <c r="B1513" s="59" t="inlineStr">
        <is>
          <t>2025-02-08</t>
        </is>
      </c>
      <c r="C1513" s="60" t="inlineStr">
        <is>
          <t>Nimbus Furniture Pro-479</t>
        </is>
      </c>
      <c r="D1513" s="58" t="inlineStr">
        <is>
          <t>Office</t>
        </is>
      </c>
      <c r="E1513" s="58" t="inlineStr">
        <is>
          <t>East</t>
        </is>
      </c>
      <c r="F1513" s="61" t="n">
        <v>1</v>
      </c>
      <c r="G1513" s="62" t="n">
        <v>335.19</v>
      </c>
      <c r="H1513" s="63" t="n">
        <v>0.059</v>
      </c>
      <c r="I1513" s="62" t="n">
        <v>241.22</v>
      </c>
      <c r="J1513" s="58" t="inlineStr">
        <is>
          <t>Online</t>
        </is>
      </c>
      <c r="K1513" s="62">
        <f>F1513*(G1513-H1513)</f>
        <v/>
      </c>
      <c r="L1513" s="62">
        <f>K1513-(F1513*I1513)</f>
        <v/>
      </c>
      <c r="M1513" s="64">
        <f>L1513/K1513</f>
        <v/>
      </c>
    </row>
    <row r="1514">
      <c r="A1514" s="58" t="inlineStr">
        <is>
          <t>RT20250208-01513</t>
        </is>
      </c>
      <c r="B1514" s="59" t="inlineStr">
        <is>
          <t>2025-02-08</t>
        </is>
      </c>
      <c r="C1514" s="60" t="inlineStr">
        <is>
          <t>Orion Laptop S-350</t>
        </is>
      </c>
      <c r="D1514" s="58" t="inlineStr">
        <is>
          <t>Electronics</t>
        </is>
      </c>
      <c r="E1514" s="58" t="inlineStr">
        <is>
          <t>North</t>
        </is>
      </c>
      <c r="F1514" s="61" t="n">
        <v>1</v>
      </c>
      <c r="G1514" s="62" t="n">
        <v>1277.62</v>
      </c>
      <c r="H1514" s="63" t="n">
        <v>0.054</v>
      </c>
      <c r="I1514" s="62" t="n">
        <v>1091.35</v>
      </c>
      <c r="J1514" s="58" t="inlineStr">
        <is>
          <t>Phone</t>
        </is>
      </c>
      <c r="K1514" s="62">
        <f>F1514*(G1514-H1514)</f>
        <v/>
      </c>
      <c r="L1514" s="62">
        <f>K1514-(F1514*I1514)</f>
        <v/>
      </c>
      <c r="M1514" s="64">
        <f>L1514/K1514</f>
        <v/>
      </c>
    </row>
    <row r="1515">
      <c r="A1515" s="58" t="inlineStr">
        <is>
          <t>RT20250208-01514</t>
        </is>
      </c>
      <c r="B1515" s="59" t="inlineStr">
        <is>
          <t>2025-02-08</t>
        </is>
      </c>
      <c r="C1515" s="60" t="inlineStr">
        <is>
          <t>Metro Pantry Max-180</t>
        </is>
      </c>
      <c r="D1515" s="58" t="inlineStr">
        <is>
          <t>Grocery</t>
        </is>
      </c>
      <c r="E1515" s="58" t="inlineStr">
        <is>
          <t>South</t>
        </is>
      </c>
      <c r="F1515" s="61" t="n">
        <v>1</v>
      </c>
      <c r="G1515" s="62" t="n">
        <v>8.49</v>
      </c>
      <c r="H1515" s="63" t="n">
        <v>0.044</v>
      </c>
      <c r="I1515" s="62" t="n">
        <v>6.53</v>
      </c>
      <c r="J1515" s="58" t="inlineStr">
        <is>
          <t>Store</t>
        </is>
      </c>
      <c r="K1515" s="62">
        <f>F1515*(G1515-H1515)</f>
        <v/>
      </c>
      <c r="L1515" s="62">
        <f>K1515-(F1515*I1515)</f>
        <v/>
      </c>
      <c r="M1515" s="64">
        <f>L1515/K1515</f>
        <v/>
      </c>
    </row>
    <row r="1516">
      <c r="A1516" s="58" t="inlineStr">
        <is>
          <t>RT20250208-01515</t>
        </is>
      </c>
      <c r="B1516" s="59" t="inlineStr">
        <is>
          <t>2025-02-08</t>
        </is>
      </c>
      <c r="C1516" s="60" t="inlineStr">
        <is>
          <t>Orion Haircare Plus-887</t>
        </is>
      </c>
      <c r="D1516" s="58" t="inlineStr">
        <is>
          <t>Beauty</t>
        </is>
      </c>
      <c r="E1516" s="58" t="inlineStr">
        <is>
          <t>Central</t>
        </is>
      </c>
      <c r="F1516" s="61" t="n">
        <v>5</v>
      </c>
      <c r="G1516" s="62" t="n">
        <v>52.71</v>
      </c>
      <c r="H1516" s="63" t="n">
        <v>0.061</v>
      </c>
      <c r="I1516" s="62" t="n">
        <v>31.33</v>
      </c>
      <c r="J1516" s="58" t="inlineStr">
        <is>
          <t>Online</t>
        </is>
      </c>
      <c r="K1516" s="62">
        <f>F1516*(G1516-H1516)</f>
        <v/>
      </c>
      <c r="L1516" s="62">
        <f>K1516-(F1516*I1516)</f>
        <v/>
      </c>
      <c r="M1516" s="64">
        <f>L1516/K1516</f>
        <v/>
      </c>
    </row>
    <row r="1517">
      <c r="A1517" s="58" t="inlineStr">
        <is>
          <t>RT20250208-01516</t>
        </is>
      </c>
      <c r="B1517" s="59" t="inlineStr">
        <is>
          <t>2025-02-08</t>
        </is>
      </c>
      <c r="C1517" s="60" t="inlineStr">
        <is>
          <t>Aurora Bedding Max-175</t>
        </is>
      </c>
      <c r="D1517" s="58" t="inlineStr">
        <is>
          <t>Home</t>
        </is>
      </c>
      <c r="E1517" s="58" t="inlineStr">
        <is>
          <t>East</t>
        </is>
      </c>
      <c r="F1517" s="61" t="n">
        <v>2</v>
      </c>
      <c r="G1517" s="62" t="n">
        <v>641.67</v>
      </c>
      <c r="H1517" s="63" t="n">
        <v>0.032</v>
      </c>
      <c r="I1517" s="62" t="n">
        <v>417.49</v>
      </c>
      <c r="J1517" s="58" t="inlineStr">
        <is>
          <t>Store</t>
        </is>
      </c>
      <c r="K1517" s="62">
        <f>F1517*(G1517-H1517)</f>
        <v/>
      </c>
      <c r="L1517" s="62">
        <f>K1517-(F1517*I1517)</f>
        <v/>
      </c>
      <c r="M1517" s="64">
        <f>L1517/K1517</f>
        <v/>
      </c>
    </row>
    <row r="1518">
      <c r="A1518" s="58" t="inlineStr">
        <is>
          <t>RT20250208-01517</t>
        </is>
      </c>
      <c r="B1518" s="59" t="inlineStr">
        <is>
          <t>2025-02-08</t>
        </is>
      </c>
      <c r="C1518" s="60" t="inlineStr">
        <is>
          <t>Vertex Pantry Pro-165</t>
        </is>
      </c>
      <c r="D1518" s="58" t="inlineStr">
        <is>
          <t>Grocery</t>
        </is>
      </c>
      <c r="E1518" s="58" t="inlineStr">
        <is>
          <t>East</t>
        </is>
      </c>
      <c r="F1518" s="61" t="n">
        <v>6</v>
      </c>
      <c r="G1518" s="62" t="n">
        <v>16.46</v>
      </c>
      <c r="H1518" s="63" t="n">
        <v>0.077</v>
      </c>
      <c r="I1518" s="62" t="n">
        <v>11.79</v>
      </c>
      <c r="J1518" s="58" t="inlineStr">
        <is>
          <t>Store</t>
        </is>
      </c>
      <c r="K1518" s="62">
        <f>F1518*(G1518-H1518)</f>
        <v/>
      </c>
      <c r="L1518" s="62">
        <f>K1518-(F1518*I1518)</f>
        <v/>
      </c>
      <c r="M1518" s="64">
        <f>L1518/K1518</f>
        <v/>
      </c>
    </row>
    <row r="1519">
      <c r="A1519" s="58" t="inlineStr">
        <is>
          <t>RT20250208-01518</t>
        </is>
      </c>
      <c r="B1519" s="59" t="inlineStr">
        <is>
          <t>2025-02-08</t>
        </is>
      </c>
      <c r="C1519" s="60" t="inlineStr">
        <is>
          <t>Orion Team Sport X-926</t>
        </is>
      </c>
      <c r="D1519" s="58" t="inlineStr">
        <is>
          <t>Sports</t>
        </is>
      </c>
      <c r="E1519" s="58" t="inlineStr">
        <is>
          <t>West</t>
        </is>
      </c>
      <c r="F1519" s="61" t="n">
        <v>2</v>
      </c>
      <c r="G1519" s="62" t="n">
        <v>286.99</v>
      </c>
      <c r="H1519" s="63" t="n">
        <v>0.078</v>
      </c>
      <c r="I1519" s="62" t="n">
        <v>212.26</v>
      </c>
      <c r="J1519" s="58" t="inlineStr">
        <is>
          <t>Online</t>
        </is>
      </c>
      <c r="K1519" s="62">
        <f>F1519*(G1519-H1519)</f>
        <v/>
      </c>
      <c r="L1519" s="62">
        <f>K1519-(F1519*I1519)</f>
        <v/>
      </c>
      <c r="M1519" s="64">
        <f>L1519/K1519</f>
        <v/>
      </c>
    </row>
    <row r="1520">
      <c r="A1520" s="58" t="inlineStr">
        <is>
          <t>RT20250208-01519</t>
        </is>
      </c>
      <c r="B1520" s="59" t="inlineStr">
        <is>
          <t>2025-02-08</t>
        </is>
      </c>
      <c r="C1520" s="60" t="inlineStr">
        <is>
          <t>Vertex Headphone Pro-801</t>
        </is>
      </c>
      <c r="D1520" s="58" t="inlineStr">
        <is>
          <t>Electronics</t>
        </is>
      </c>
      <c r="E1520" s="58" t="inlineStr">
        <is>
          <t>Central</t>
        </is>
      </c>
      <c r="F1520" s="61" t="n">
        <v>1</v>
      </c>
      <c r="G1520" s="62" t="n">
        <v>1291.33</v>
      </c>
      <c r="H1520" s="63" t="n">
        <v>0.065</v>
      </c>
      <c r="I1520" s="62" t="n">
        <v>972.09</v>
      </c>
      <c r="J1520" s="58" t="inlineStr">
        <is>
          <t>Online</t>
        </is>
      </c>
      <c r="K1520" s="62">
        <f>F1520*(G1520-H1520)</f>
        <v/>
      </c>
      <c r="L1520" s="62">
        <f>K1520-(F1520*I1520)</f>
        <v/>
      </c>
      <c r="M1520" s="64">
        <f>L1520/K1520</f>
        <v/>
      </c>
    </row>
    <row r="1521">
      <c r="A1521" s="58" t="inlineStr">
        <is>
          <t>RT20250208-01520</t>
        </is>
      </c>
      <c r="B1521" s="59" t="inlineStr">
        <is>
          <t>2025-02-08</t>
        </is>
      </c>
      <c r="C1521" s="60" t="inlineStr">
        <is>
          <t>Aurora Furniture X-709</t>
        </is>
      </c>
      <c r="D1521" s="58" t="inlineStr">
        <is>
          <t>Office</t>
        </is>
      </c>
      <c r="E1521" s="58" t="inlineStr">
        <is>
          <t>East</t>
        </is>
      </c>
      <c r="F1521" s="61" t="n">
        <v>3</v>
      </c>
      <c r="G1521" s="62" t="n">
        <v>397.39</v>
      </c>
      <c r="H1521" s="63" t="n">
        <v>0</v>
      </c>
      <c r="I1521" s="62" t="n">
        <v>311.8</v>
      </c>
      <c r="J1521" s="58" t="inlineStr">
        <is>
          <t>Online</t>
        </is>
      </c>
      <c r="K1521" s="62">
        <f>F1521*(G1521-H1521)</f>
        <v/>
      </c>
      <c r="L1521" s="62">
        <f>K1521-(F1521*I1521)</f>
        <v/>
      </c>
      <c r="M1521" s="64">
        <f>L1521/K1521</f>
        <v/>
      </c>
    </row>
    <row r="1522">
      <c r="A1522" s="58" t="inlineStr">
        <is>
          <t>RT20250208-01521</t>
        </is>
      </c>
      <c r="B1522" s="59" t="inlineStr">
        <is>
          <t>2025-02-08</t>
        </is>
      </c>
      <c r="C1522" s="60" t="inlineStr">
        <is>
          <t>Falcon Bedding S-674</t>
        </is>
      </c>
      <c r="D1522" s="58" t="inlineStr">
        <is>
          <t>Home</t>
        </is>
      </c>
      <c r="E1522" s="58" t="inlineStr">
        <is>
          <t>South</t>
        </is>
      </c>
      <c r="F1522" s="61" t="n">
        <v>3</v>
      </c>
      <c r="G1522" s="62" t="n">
        <v>665.04</v>
      </c>
      <c r="H1522" s="63" t="n">
        <v>0.061</v>
      </c>
      <c r="I1522" s="62" t="n">
        <v>443.84</v>
      </c>
      <c r="J1522" s="58" t="inlineStr">
        <is>
          <t>Online</t>
        </is>
      </c>
      <c r="K1522" s="62">
        <f>F1522*(G1522-H1522)</f>
        <v/>
      </c>
      <c r="L1522" s="62">
        <f>K1522-(F1522*I1522)</f>
        <v/>
      </c>
      <c r="M1522" s="64">
        <f>L1522/K1522</f>
        <v/>
      </c>
    </row>
    <row r="1523">
      <c r="A1523" s="58" t="inlineStr">
        <is>
          <t>RT20250208-01522</t>
        </is>
      </c>
      <c r="B1523" s="59" t="inlineStr">
        <is>
          <t>2025-02-08</t>
        </is>
      </c>
      <c r="C1523" s="60" t="inlineStr">
        <is>
          <t>Aurora Bedding Max-175</t>
        </is>
      </c>
      <c r="D1523" s="58" t="inlineStr">
        <is>
          <t>Home</t>
        </is>
      </c>
      <c r="E1523" s="58" t="inlineStr">
        <is>
          <t>Central</t>
        </is>
      </c>
      <c r="F1523" s="61" t="n">
        <v>3</v>
      </c>
      <c r="G1523" s="62" t="n">
        <v>546.14</v>
      </c>
      <c r="H1523" s="63" t="n">
        <v>0.029</v>
      </c>
      <c r="I1523" s="62" t="n">
        <v>422.3</v>
      </c>
      <c r="J1523" s="58" t="inlineStr">
        <is>
          <t>Online</t>
        </is>
      </c>
      <c r="K1523" s="62">
        <f>F1523*(G1523-H1523)</f>
        <v/>
      </c>
      <c r="L1523" s="62">
        <f>K1523-(F1523*I1523)</f>
        <v/>
      </c>
      <c r="M1523" s="64">
        <f>L1523/K1523</f>
        <v/>
      </c>
    </row>
    <row r="1524">
      <c r="A1524" s="58" t="inlineStr">
        <is>
          <t>RT20250208-01523</t>
        </is>
      </c>
      <c r="B1524" s="59" t="inlineStr">
        <is>
          <t>2025-02-08</t>
        </is>
      </c>
      <c r="C1524" s="60" t="inlineStr">
        <is>
          <t>Polar Beverage S-258</t>
        </is>
      </c>
      <c r="D1524" s="58" t="inlineStr">
        <is>
          <t>Grocery</t>
        </is>
      </c>
      <c r="E1524" s="58" t="inlineStr">
        <is>
          <t>West</t>
        </is>
      </c>
      <c r="F1524" s="61" t="n">
        <v>6</v>
      </c>
      <c r="G1524" s="62" t="n">
        <v>13.2</v>
      </c>
      <c r="H1524" s="63" t="n">
        <v>0.093</v>
      </c>
      <c r="I1524" s="62" t="n">
        <v>9.69</v>
      </c>
      <c r="J1524" s="58" t="inlineStr">
        <is>
          <t>Store</t>
        </is>
      </c>
      <c r="K1524" s="62">
        <f>F1524*(G1524-H1524)</f>
        <v/>
      </c>
      <c r="L1524" s="62">
        <f>K1524-(F1524*I1524)</f>
        <v/>
      </c>
      <c r="M1524" s="64">
        <f>L1524/K1524</f>
        <v/>
      </c>
    </row>
    <row r="1525">
      <c r="A1525" s="58" t="inlineStr">
        <is>
          <t>RT20250208-01524</t>
        </is>
      </c>
      <c r="B1525" s="59" t="inlineStr">
        <is>
          <t>2025-02-08</t>
        </is>
      </c>
      <c r="C1525" s="60" t="inlineStr">
        <is>
          <t>Metro Beverage Max-490</t>
        </is>
      </c>
      <c r="D1525" s="58" t="inlineStr">
        <is>
          <t>Grocery</t>
        </is>
      </c>
      <c r="E1525" s="58" t="inlineStr">
        <is>
          <t>East</t>
        </is>
      </c>
      <c r="F1525" s="61" t="n">
        <v>1</v>
      </c>
      <c r="G1525" s="62" t="n">
        <v>11.68</v>
      </c>
      <c r="H1525" s="63" t="n">
        <v>0.031</v>
      </c>
      <c r="I1525" s="62" t="n">
        <v>8.07</v>
      </c>
      <c r="J1525" s="58" t="inlineStr">
        <is>
          <t>Phone</t>
        </is>
      </c>
      <c r="K1525" s="62">
        <f>F1525*(G1525-H1525)</f>
        <v/>
      </c>
      <c r="L1525" s="62">
        <f>K1525-(F1525*I1525)</f>
        <v/>
      </c>
      <c r="M1525" s="64">
        <f>L1525/K1525</f>
        <v/>
      </c>
    </row>
    <row r="1526">
      <c r="A1526" s="58" t="inlineStr">
        <is>
          <t>RT20250208-01525</t>
        </is>
      </c>
      <c r="B1526" s="59" t="inlineStr">
        <is>
          <t>2025-02-08</t>
        </is>
      </c>
      <c r="C1526" s="60" t="inlineStr">
        <is>
          <t>Aurora Bedding Max-175</t>
        </is>
      </c>
      <c r="D1526" s="58" t="inlineStr">
        <is>
          <t>Home</t>
        </is>
      </c>
      <c r="E1526" s="58" t="inlineStr">
        <is>
          <t>West</t>
        </is>
      </c>
      <c r="F1526" s="61" t="n">
        <v>2</v>
      </c>
      <c r="G1526" s="62" t="n">
        <v>642.26</v>
      </c>
      <c r="H1526" s="63" t="n">
        <v>0.037</v>
      </c>
      <c r="I1526" s="62" t="n">
        <v>409.37</v>
      </c>
      <c r="J1526" s="58" t="inlineStr">
        <is>
          <t>Store</t>
        </is>
      </c>
      <c r="K1526" s="62">
        <f>F1526*(G1526-H1526)</f>
        <v/>
      </c>
      <c r="L1526" s="62">
        <f>K1526-(F1526*I1526)</f>
        <v/>
      </c>
      <c r="M1526" s="64">
        <f>L1526/K1526</f>
        <v/>
      </c>
    </row>
    <row r="1527">
      <c r="A1527" s="58" t="inlineStr">
        <is>
          <t>RT20250208-01526</t>
        </is>
      </c>
      <c r="B1527" s="59" t="inlineStr">
        <is>
          <t>2025-02-08</t>
        </is>
      </c>
      <c r="C1527" s="60" t="inlineStr">
        <is>
          <t>Aurora Team Sport Plus-256</t>
        </is>
      </c>
      <c r="D1527" s="58" t="inlineStr">
        <is>
          <t>Sports</t>
        </is>
      </c>
      <c r="E1527" s="58" t="inlineStr">
        <is>
          <t>East</t>
        </is>
      </c>
      <c r="F1527" s="61" t="n">
        <v>1</v>
      </c>
      <c r="G1527" s="62" t="n">
        <v>607.6</v>
      </c>
      <c r="H1527" s="63" t="n">
        <v>0.079</v>
      </c>
      <c r="I1527" s="62" t="n">
        <v>427.7</v>
      </c>
      <c r="J1527" s="58" t="inlineStr">
        <is>
          <t>Store</t>
        </is>
      </c>
      <c r="K1527" s="62">
        <f>F1527*(G1527-H1527)</f>
        <v/>
      </c>
      <c r="L1527" s="62">
        <f>K1527-(F1527*I1527)</f>
        <v/>
      </c>
      <c r="M1527" s="64">
        <f>L1527/K1527</f>
        <v/>
      </c>
    </row>
    <row r="1528">
      <c r="A1528" s="58" t="inlineStr">
        <is>
          <t>RT20250208-01527</t>
        </is>
      </c>
      <c r="B1528" s="59" t="inlineStr">
        <is>
          <t>2025-02-08</t>
        </is>
      </c>
      <c r="C1528" s="60" t="inlineStr">
        <is>
          <t>Orion Men X-928</t>
        </is>
      </c>
      <c r="D1528" s="58" t="inlineStr">
        <is>
          <t>Apparel</t>
        </is>
      </c>
      <c r="E1528" s="58" t="inlineStr">
        <is>
          <t>North</t>
        </is>
      </c>
      <c r="F1528" s="61" t="n">
        <v>1</v>
      </c>
      <c r="G1528" s="62" t="n">
        <v>103.41</v>
      </c>
      <c r="H1528" s="63" t="n">
        <v>0.031</v>
      </c>
      <c r="I1528" s="62" t="n">
        <v>61.91</v>
      </c>
      <c r="J1528" s="58" t="inlineStr">
        <is>
          <t>Online</t>
        </is>
      </c>
      <c r="K1528" s="62">
        <f>F1528*(G1528-H1528)</f>
        <v/>
      </c>
      <c r="L1528" s="62">
        <f>K1528-(F1528*I1528)</f>
        <v/>
      </c>
      <c r="M1528" s="64">
        <f>L1528/K1528</f>
        <v/>
      </c>
    </row>
    <row r="1529">
      <c r="A1529" s="58" t="inlineStr">
        <is>
          <t>RT20250208-01528</t>
        </is>
      </c>
      <c r="B1529" s="59" t="inlineStr">
        <is>
          <t>2025-02-08</t>
        </is>
      </c>
      <c r="C1529" s="60" t="inlineStr">
        <is>
          <t>Polar Haircare Max-614</t>
        </is>
      </c>
      <c r="D1529" s="58" t="inlineStr">
        <is>
          <t>Beauty</t>
        </is>
      </c>
      <c r="E1529" s="58" t="inlineStr">
        <is>
          <t>East</t>
        </is>
      </c>
      <c r="F1529" s="61" t="n">
        <v>4</v>
      </c>
      <c r="G1529" s="62" t="n">
        <v>115.19</v>
      </c>
      <c r="H1529" s="63" t="n">
        <v>0.04</v>
      </c>
      <c r="I1529" s="62" t="n">
        <v>70.31</v>
      </c>
      <c r="J1529" s="58" t="inlineStr">
        <is>
          <t>Phone</t>
        </is>
      </c>
      <c r="K1529" s="62">
        <f>F1529*(G1529-H1529)</f>
        <v/>
      </c>
      <c r="L1529" s="62">
        <f>K1529-(F1529*I1529)</f>
        <v/>
      </c>
      <c r="M1529" s="64">
        <f>L1529/K1529</f>
        <v/>
      </c>
    </row>
    <row r="1530">
      <c r="A1530" s="58" t="inlineStr">
        <is>
          <t>RT20250208-01529</t>
        </is>
      </c>
      <c r="B1530" s="59" t="inlineStr">
        <is>
          <t>2025-02-08</t>
        </is>
      </c>
      <c r="C1530" s="60" t="inlineStr">
        <is>
          <t>Vertex Furniture S-652</t>
        </is>
      </c>
      <c r="D1530" s="58" t="inlineStr">
        <is>
          <t>Office</t>
        </is>
      </c>
      <c r="E1530" s="58" t="inlineStr">
        <is>
          <t>East</t>
        </is>
      </c>
      <c r="F1530" s="61" t="n">
        <v>3</v>
      </c>
      <c r="G1530" s="62" t="n">
        <v>323.35</v>
      </c>
      <c r="H1530" s="63" t="n">
        <v>0.047</v>
      </c>
      <c r="I1530" s="62" t="n">
        <v>270.59</v>
      </c>
      <c r="J1530" s="58" t="inlineStr">
        <is>
          <t>Online</t>
        </is>
      </c>
      <c r="K1530" s="62">
        <f>F1530*(G1530-H1530)</f>
        <v/>
      </c>
      <c r="L1530" s="62">
        <f>K1530-(F1530*I1530)</f>
        <v/>
      </c>
      <c r="M1530" s="64">
        <f>L1530/K1530</f>
        <v/>
      </c>
    </row>
    <row r="1531">
      <c r="A1531" s="58" t="inlineStr">
        <is>
          <t>RT20250208-01530</t>
        </is>
      </c>
      <c r="B1531" s="59" t="inlineStr">
        <is>
          <t>2025-02-08</t>
        </is>
      </c>
      <c r="C1531" s="60" t="inlineStr">
        <is>
          <t>Falcon Bedding S-674</t>
        </is>
      </c>
      <c r="D1531" s="58" t="inlineStr">
        <is>
          <t>Home</t>
        </is>
      </c>
      <c r="E1531" s="58" t="inlineStr">
        <is>
          <t>Central</t>
        </is>
      </c>
      <c r="F1531" s="61" t="n">
        <v>1</v>
      </c>
      <c r="G1531" s="62" t="n">
        <v>603.54</v>
      </c>
      <c r="H1531" s="63" t="n">
        <v>0.061</v>
      </c>
      <c r="I1531" s="62" t="n">
        <v>445.21</v>
      </c>
      <c r="J1531" s="58" t="inlineStr">
        <is>
          <t>Online</t>
        </is>
      </c>
      <c r="K1531" s="62">
        <f>F1531*(G1531-H1531)</f>
        <v/>
      </c>
      <c r="L1531" s="62">
        <f>K1531-(F1531*I1531)</f>
        <v/>
      </c>
      <c r="M1531" s="64">
        <f>L1531/K1531</f>
        <v/>
      </c>
    </row>
    <row r="1532">
      <c r="A1532" s="58" t="inlineStr">
        <is>
          <t>RT20250208-01531</t>
        </is>
      </c>
      <c r="B1532" s="59" t="inlineStr">
        <is>
          <t>2025-02-08</t>
        </is>
      </c>
      <c r="C1532" s="60" t="inlineStr">
        <is>
          <t>Solace Kitchen Pro-999</t>
        </is>
      </c>
      <c r="D1532" s="58" t="inlineStr">
        <is>
          <t>Home</t>
        </is>
      </c>
      <c r="E1532" s="58" t="inlineStr">
        <is>
          <t>North</t>
        </is>
      </c>
      <c r="F1532" s="61" t="n">
        <v>3</v>
      </c>
      <c r="G1532" s="62" t="n">
        <v>454.44</v>
      </c>
      <c r="H1532" s="63" t="n">
        <v>0.116</v>
      </c>
      <c r="I1532" s="62" t="n">
        <v>269.79</v>
      </c>
      <c r="J1532" s="58" t="inlineStr">
        <is>
          <t>Store</t>
        </is>
      </c>
      <c r="K1532" s="62">
        <f>F1532*(G1532-H1532)</f>
        <v/>
      </c>
      <c r="L1532" s="62">
        <f>K1532-(F1532*I1532)</f>
        <v/>
      </c>
      <c r="M1532" s="64">
        <f>L1532/K1532</f>
        <v/>
      </c>
    </row>
    <row r="1533">
      <c r="A1533" s="58" t="inlineStr">
        <is>
          <t>RT20250208-01532</t>
        </is>
      </c>
      <c r="B1533" s="59" t="inlineStr">
        <is>
          <t>2025-02-08</t>
        </is>
      </c>
      <c r="C1533" s="60" t="inlineStr">
        <is>
          <t>Falcon Haircare Pro-980</t>
        </is>
      </c>
      <c r="D1533" s="58" t="inlineStr">
        <is>
          <t>Beauty</t>
        </is>
      </c>
      <c r="E1533" s="58" t="inlineStr">
        <is>
          <t>West</t>
        </is>
      </c>
      <c r="F1533" s="61" t="n">
        <v>3</v>
      </c>
      <c r="G1533" s="62" t="n">
        <v>103.3</v>
      </c>
      <c r="H1533" s="63" t="n">
        <v>0.042</v>
      </c>
      <c r="I1533" s="62" t="n">
        <v>56.35</v>
      </c>
      <c r="J1533" s="58" t="inlineStr">
        <is>
          <t>Store</t>
        </is>
      </c>
      <c r="K1533" s="62">
        <f>F1533*(G1533-H1533)</f>
        <v/>
      </c>
      <c r="L1533" s="62">
        <f>K1533-(F1533*I1533)</f>
        <v/>
      </c>
      <c r="M1533" s="64">
        <f>L1533/K1533</f>
        <v/>
      </c>
    </row>
    <row r="1534">
      <c r="A1534" s="58" t="inlineStr">
        <is>
          <t>RT20250208-01533</t>
        </is>
      </c>
      <c r="B1534" s="59" t="inlineStr">
        <is>
          <t>2025-02-08</t>
        </is>
      </c>
      <c r="C1534" s="60" t="inlineStr">
        <is>
          <t>Falcon Household Plus-796</t>
        </is>
      </c>
      <c r="D1534" s="58" t="inlineStr">
        <is>
          <t>Grocery</t>
        </is>
      </c>
      <c r="E1534" s="58" t="inlineStr">
        <is>
          <t>North</t>
        </is>
      </c>
      <c r="F1534" s="61" t="n">
        <v>6</v>
      </c>
      <c r="G1534" s="62" t="n">
        <v>21.26</v>
      </c>
      <c r="H1534" s="63" t="n">
        <v>0.101</v>
      </c>
      <c r="I1534" s="62" t="n">
        <v>17.2</v>
      </c>
      <c r="J1534" s="58" t="inlineStr">
        <is>
          <t>Store</t>
        </is>
      </c>
      <c r="K1534" s="62">
        <f>F1534*(G1534-H1534)</f>
        <v/>
      </c>
      <c r="L1534" s="62">
        <f>K1534-(F1534*I1534)</f>
        <v/>
      </c>
      <c r="M1534" s="64">
        <f>L1534/K1534</f>
        <v/>
      </c>
    </row>
    <row r="1535">
      <c r="A1535" s="58" t="inlineStr">
        <is>
          <t>RT20250208-01534</t>
        </is>
      </c>
      <c r="B1535" s="59" t="inlineStr">
        <is>
          <t>2025-02-08</t>
        </is>
      </c>
      <c r="C1535" s="60" t="inlineStr">
        <is>
          <t>Orion Fragrance Lite-785</t>
        </is>
      </c>
      <c r="D1535" s="58" t="inlineStr">
        <is>
          <t>Beauty</t>
        </is>
      </c>
      <c r="E1535" s="58" t="inlineStr">
        <is>
          <t>Central</t>
        </is>
      </c>
      <c r="F1535" s="61" t="n">
        <v>3</v>
      </c>
      <c r="G1535" s="62" t="n">
        <v>49.64</v>
      </c>
      <c r="H1535" s="63" t="n">
        <v>0.026</v>
      </c>
      <c r="I1535" s="62" t="n">
        <v>26.72</v>
      </c>
      <c r="J1535" s="58" t="inlineStr">
        <is>
          <t>Online</t>
        </is>
      </c>
      <c r="K1535" s="62">
        <f>F1535*(G1535-H1535)</f>
        <v/>
      </c>
      <c r="L1535" s="62">
        <f>K1535-(F1535*I1535)</f>
        <v/>
      </c>
      <c r="M1535" s="64">
        <f>L1535/K1535</f>
        <v/>
      </c>
    </row>
    <row r="1536">
      <c r="A1536" s="58" t="inlineStr">
        <is>
          <t>RT20250208-01535</t>
        </is>
      </c>
      <c r="B1536" s="59" t="inlineStr">
        <is>
          <t>2025-02-08</t>
        </is>
      </c>
      <c r="C1536" s="60" t="inlineStr">
        <is>
          <t>Vertex Accessorie Pro-881</t>
        </is>
      </c>
      <c r="D1536" s="58" t="inlineStr">
        <is>
          <t>Apparel</t>
        </is>
      </c>
      <c r="E1536" s="58" t="inlineStr">
        <is>
          <t>East</t>
        </is>
      </c>
      <c r="F1536" s="61" t="n">
        <v>3</v>
      </c>
      <c r="G1536" s="62" t="n">
        <v>122.87</v>
      </c>
      <c r="H1536" s="63" t="n">
        <v>0.074</v>
      </c>
      <c r="I1536" s="62" t="n">
        <v>62.47</v>
      </c>
      <c r="J1536" s="58" t="inlineStr">
        <is>
          <t>Store</t>
        </is>
      </c>
      <c r="K1536" s="62">
        <f>F1536*(G1536-H1536)</f>
        <v/>
      </c>
      <c r="L1536" s="62">
        <f>K1536-(F1536*I1536)</f>
        <v/>
      </c>
      <c r="M1536" s="64">
        <f>L1536/K1536</f>
        <v/>
      </c>
    </row>
    <row r="1537">
      <c r="A1537" s="58" t="inlineStr">
        <is>
          <t>RT20250208-01536</t>
        </is>
      </c>
      <c r="B1537" s="59" t="inlineStr">
        <is>
          <t>2025-02-08</t>
        </is>
      </c>
      <c r="C1537" s="60" t="inlineStr">
        <is>
          <t>Falcon Headphone Pro-713</t>
        </is>
      </c>
      <c r="D1537" s="58" t="inlineStr">
        <is>
          <t>Electronics</t>
        </is>
      </c>
      <c r="E1537" s="58" t="inlineStr">
        <is>
          <t>East</t>
        </is>
      </c>
      <c r="F1537" s="61" t="n">
        <v>2</v>
      </c>
      <c r="G1537" s="62" t="n">
        <v>1137.68</v>
      </c>
      <c r="H1537" s="63" t="n">
        <v>0</v>
      </c>
      <c r="I1537" s="62" t="n">
        <v>1104.54</v>
      </c>
      <c r="J1537" s="58" t="inlineStr">
        <is>
          <t>Online</t>
        </is>
      </c>
      <c r="K1537" s="62">
        <f>F1537*(G1537-H1537)</f>
        <v/>
      </c>
      <c r="L1537" s="62">
        <f>K1537-(F1537*I1537)</f>
        <v/>
      </c>
      <c r="M1537" s="64">
        <f>L1537/K1537</f>
        <v/>
      </c>
    </row>
    <row r="1538">
      <c r="A1538" s="58" t="inlineStr">
        <is>
          <t>RT20250208-01537</t>
        </is>
      </c>
      <c r="B1538" s="59" t="inlineStr">
        <is>
          <t>2025-02-08</t>
        </is>
      </c>
      <c r="C1538" s="60" t="inlineStr">
        <is>
          <t>Orion Kid Max-864</t>
        </is>
      </c>
      <c r="D1538" s="58" t="inlineStr">
        <is>
          <t>Apparel</t>
        </is>
      </c>
      <c r="E1538" s="58" t="inlineStr">
        <is>
          <t>West</t>
        </is>
      </c>
      <c r="F1538" s="61" t="n">
        <v>2</v>
      </c>
      <c r="G1538" s="62" t="n">
        <v>79.26000000000001</v>
      </c>
      <c r="H1538" s="63" t="n">
        <v>0.002</v>
      </c>
      <c r="I1538" s="62" t="n">
        <v>45.41</v>
      </c>
      <c r="J1538" s="58" t="inlineStr">
        <is>
          <t>Online</t>
        </is>
      </c>
      <c r="K1538" s="62">
        <f>F1538*(G1538-H1538)</f>
        <v/>
      </c>
      <c r="L1538" s="62">
        <f>K1538-(F1538*I1538)</f>
        <v/>
      </c>
      <c r="M1538" s="64">
        <f>L1538/K1538</f>
        <v/>
      </c>
    </row>
    <row r="1539">
      <c r="A1539" s="58" t="inlineStr">
        <is>
          <t>RT20250208-01538</t>
        </is>
      </c>
      <c r="B1539" s="59" t="inlineStr">
        <is>
          <t>2025-02-08</t>
        </is>
      </c>
      <c r="C1539" s="60" t="inlineStr">
        <is>
          <t>Metro Printer X-294</t>
        </is>
      </c>
      <c r="D1539" s="58" t="inlineStr">
        <is>
          <t>Office</t>
        </is>
      </c>
      <c r="E1539" s="58" t="inlineStr">
        <is>
          <t>East</t>
        </is>
      </c>
      <c r="F1539" s="61" t="n">
        <v>1</v>
      </c>
      <c r="G1539" s="62" t="n">
        <v>553.4</v>
      </c>
      <c r="H1539" s="63" t="n">
        <v>0.08400000000000001</v>
      </c>
      <c r="I1539" s="62" t="n">
        <v>415.04</v>
      </c>
      <c r="J1539" s="58" t="inlineStr">
        <is>
          <t>Store</t>
        </is>
      </c>
      <c r="K1539" s="62">
        <f>F1539*(G1539-H1539)</f>
        <v/>
      </c>
      <c r="L1539" s="62">
        <f>K1539-(F1539*I1539)</f>
        <v/>
      </c>
      <c r="M1539" s="64">
        <f>L1539/K1539</f>
        <v/>
      </c>
    </row>
    <row r="1540">
      <c r="A1540" s="58" t="inlineStr">
        <is>
          <t>RT20250208-01539</t>
        </is>
      </c>
      <c r="B1540" s="59" t="inlineStr">
        <is>
          <t>2025-02-08</t>
        </is>
      </c>
      <c r="C1540" s="60" t="inlineStr">
        <is>
          <t>Metro Smartphone Max-773</t>
        </is>
      </c>
      <c r="D1540" s="58" t="inlineStr">
        <is>
          <t>Electronics</t>
        </is>
      </c>
      <c r="E1540" s="58" t="inlineStr">
        <is>
          <t>East</t>
        </is>
      </c>
      <c r="F1540" s="61" t="n">
        <v>2</v>
      </c>
      <c r="G1540" s="62" t="n">
        <v>1510.47</v>
      </c>
      <c r="H1540" s="63" t="n">
        <v>0.068</v>
      </c>
      <c r="I1540" s="62" t="n">
        <v>1126.71</v>
      </c>
      <c r="J1540" s="58" t="inlineStr">
        <is>
          <t>Store</t>
        </is>
      </c>
      <c r="K1540" s="62">
        <f>F1540*(G1540-H1540)</f>
        <v/>
      </c>
      <c r="L1540" s="62">
        <f>K1540-(F1540*I1540)</f>
        <v/>
      </c>
      <c r="M1540" s="64">
        <f>L1540/K1540</f>
        <v/>
      </c>
    </row>
    <row r="1541">
      <c r="A1541" s="58" t="inlineStr">
        <is>
          <t>RT20250208-01540</t>
        </is>
      </c>
      <c r="B1541" s="59" t="inlineStr">
        <is>
          <t>2025-02-08</t>
        </is>
      </c>
      <c r="C1541" s="60" t="inlineStr">
        <is>
          <t>Metro Accessorie Max-316</t>
        </is>
      </c>
      <c r="D1541" s="58" t="inlineStr">
        <is>
          <t>Apparel</t>
        </is>
      </c>
      <c r="E1541" s="58" t="inlineStr">
        <is>
          <t>East</t>
        </is>
      </c>
      <c r="F1541" s="61" t="n">
        <v>2</v>
      </c>
      <c r="G1541" s="62" t="n">
        <v>151.44</v>
      </c>
      <c r="H1541" s="63" t="n">
        <v>0.032</v>
      </c>
      <c r="I1541" s="62" t="n">
        <v>92.11</v>
      </c>
      <c r="J1541" s="58" t="inlineStr">
        <is>
          <t>Online</t>
        </is>
      </c>
      <c r="K1541" s="62">
        <f>F1541*(G1541-H1541)</f>
        <v/>
      </c>
      <c r="L1541" s="62">
        <f>K1541-(F1541*I1541)</f>
        <v/>
      </c>
      <c r="M1541" s="64">
        <f>L1541/K1541</f>
        <v/>
      </c>
    </row>
    <row r="1542">
      <c r="A1542" s="58" t="inlineStr">
        <is>
          <t>RT20250208-01541</t>
        </is>
      </c>
      <c r="B1542" s="59" t="inlineStr">
        <is>
          <t>2025-02-08</t>
        </is>
      </c>
      <c r="C1542" s="60" t="inlineStr">
        <is>
          <t>Aurora Makeup S-626</t>
        </is>
      </c>
      <c r="D1542" s="58" t="inlineStr">
        <is>
          <t>Beauty</t>
        </is>
      </c>
      <c r="E1542" s="58" t="inlineStr">
        <is>
          <t>East</t>
        </is>
      </c>
      <c r="F1542" s="61" t="n">
        <v>1</v>
      </c>
      <c r="G1542" s="62" t="n">
        <v>105.59</v>
      </c>
      <c r="H1542" s="63" t="n">
        <v>0.07000000000000001</v>
      </c>
      <c r="I1542" s="62" t="n">
        <v>65.04000000000001</v>
      </c>
      <c r="J1542" s="58" t="inlineStr">
        <is>
          <t>Online</t>
        </is>
      </c>
      <c r="K1542" s="62">
        <f>F1542*(G1542-H1542)</f>
        <v/>
      </c>
      <c r="L1542" s="62">
        <f>K1542-(F1542*I1542)</f>
        <v/>
      </c>
      <c r="M1542" s="64">
        <f>L1542/K1542</f>
        <v/>
      </c>
    </row>
    <row r="1543">
      <c r="A1543" s="58" t="inlineStr">
        <is>
          <t>RT20250208-01542</t>
        </is>
      </c>
      <c r="B1543" s="59" t="inlineStr">
        <is>
          <t>2025-02-08</t>
        </is>
      </c>
      <c r="C1543" s="60" t="inlineStr">
        <is>
          <t>Polar Decor X-935</t>
        </is>
      </c>
      <c r="D1543" s="58" t="inlineStr">
        <is>
          <t>Home</t>
        </is>
      </c>
      <c r="E1543" s="58" t="inlineStr">
        <is>
          <t>Central</t>
        </is>
      </c>
      <c r="F1543" s="61" t="n">
        <v>1</v>
      </c>
      <c r="G1543" s="62" t="n">
        <v>315.67</v>
      </c>
      <c r="H1543" s="63" t="n">
        <v>0.099</v>
      </c>
      <c r="I1543" s="62" t="n">
        <v>197.45</v>
      </c>
      <c r="J1543" s="58" t="inlineStr">
        <is>
          <t>Store</t>
        </is>
      </c>
      <c r="K1543" s="62">
        <f>F1543*(G1543-H1543)</f>
        <v/>
      </c>
      <c r="L1543" s="62">
        <f>K1543-(F1543*I1543)</f>
        <v/>
      </c>
      <c r="M1543" s="64">
        <f>L1543/K1543</f>
        <v/>
      </c>
    </row>
    <row r="1544">
      <c r="A1544" s="58" t="inlineStr">
        <is>
          <t>RT20250208-01543</t>
        </is>
      </c>
      <c r="B1544" s="59" t="inlineStr">
        <is>
          <t>2025-02-08</t>
        </is>
      </c>
      <c r="C1544" s="60" t="inlineStr">
        <is>
          <t>Orion Kid Max-640</t>
        </is>
      </c>
      <c r="D1544" s="58" t="inlineStr">
        <is>
          <t>Apparel</t>
        </is>
      </c>
      <c r="E1544" s="58" t="inlineStr">
        <is>
          <t>West</t>
        </is>
      </c>
      <c r="F1544" s="61" t="n">
        <v>1</v>
      </c>
      <c r="G1544" s="62" t="n">
        <v>126.49</v>
      </c>
      <c r="H1544" s="63" t="n">
        <v>0.052</v>
      </c>
      <c r="I1544" s="62" t="n">
        <v>69.51000000000001</v>
      </c>
      <c r="J1544" s="58" t="inlineStr">
        <is>
          <t>Store</t>
        </is>
      </c>
      <c r="K1544" s="62">
        <f>F1544*(G1544-H1544)</f>
        <v/>
      </c>
      <c r="L1544" s="62">
        <f>K1544-(F1544*I1544)</f>
        <v/>
      </c>
      <c r="M1544" s="64">
        <f>L1544/K1544</f>
        <v/>
      </c>
    </row>
    <row r="1545">
      <c r="A1545" s="58" t="inlineStr">
        <is>
          <t>RT20250208-01544</t>
        </is>
      </c>
      <c r="B1545" s="59" t="inlineStr">
        <is>
          <t>2025-02-08</t>
        </is>
      </c>
      <c r="C1545" s="60" t="inlineStr">
        <is>
          <t>Solace Kitchen Pro-510</t>
        </is>
      </c>
      <c r="D1545" s="58" t="inlineStr">
        <is>
          <t>Home</t>
        </is>
      </c>
      <c r="E1545" s="58" t="inlineStr">
        <is>
          <t>Central</t>
        </is>
      </c>
      <c r="F1545" s="61" t="n">
        <v>2</v>
      </c>
      <c r="G1545" s="62" t="n">
        <v>510.43</v>
      </c>
      <c r="H1545" s="63" t="n">
        <v>0.077</v>
      </c>
      <c r="I1545" s="62" t="n">
        <v>303.79</v>
      </c>
      <c r="J1545" s="58" t="inlineStr">
        <is>
          <t>Store</t>
        </is>
      </c>
      <c r="K1545" s="62">
        <f>F1545*(G1545-H1545)</f>
        <v/>
      </c>
      <c r="L1545" s="62">
        <f>K1545-(F1545*I1545)</f>
        <v/>
      </c>
      <c r="M1545" s="64">
        <f>L1545/K1545</f>
        <v/>
      </c>
    </row>
    <row r="1546">
      <c r="A1546" s="58" t="inlineStr">
        <is>
          <t>RT20250208-01545</t>
        </is>
      </c>
      <c r="B1546" s="59" t="inlineStr">
        <is>
          <t>2025-02-08</t>
        </is>
      </c>
      <c r="C1546" s="60" t="inlineStr">
        <is>
          <t>Metro Accessorie Max-316</t>
        </is>
      </c>
      <c r="D1546" s="58" t="inlineStr">
        <is>
          <t>Apparel</t>
        </is>
      </c>
      <c r="E1546" s="58" t="inlineStr">
        <is>
          <t>West</t>
        </is>
      </c>
      <c r="F1546" s="61" t="n">
        <v>1</v>
      </c>
      <c r="G1546" s="62" t="n">
        <v>173.7</v>
      </c>
      <c r="H1546" s="63" t="n">
        <v>0.047</v>
      </c>
      <c r="I1546" s="62" t="n">
        <v>89.88</v>
      </c>
      <c r="J1546" s="58" t="inlineStr">
        <is>
          <t>Store</t>
        </is>
      </c>
      <c r="K1546" s="62">
        <f>F1546*(G1546-H1546)</f>
        <v/>
      </c>
      <c r="L1546" s="62">
        <f>K1546-(F1546*I1546)</f>
        <v/>
      </c>
      <c r="M1546" s="64">
        <f>L1546/K1546</f>
        <v/>
      </c>
    </row>
    <row r="1547">
      <c r="A1547" s="58" t="inlineStr">
        <is>
          <t>RT20250208-01546</t>
        </is>
      </c>
      <c r="B1547" s="59" t="inlineStr">
        <is>
          <t>2025-02-08</t>
        </is>
      </c>
      <c r="C1547" s="60" t="inlineStr">
        <is>
          <t>Falcon Team Sport Lite-268</t>
        </is>
      </c>
      <c r="D1547" s="58" t="inlineStr">
        <is>
          <t>Sports</t>
        </is>
      </c>
      <c r="E1547" s="58" t="inlineStr">
        <is>
          <t>West</t>
        </is>
      </c>
      <c r="F1547" s="61" t="n">
        <v>2</v>
      </c>
      <c r="G1547" s="62" t="n">
        <v>692.76</v>
      </c>
      <c r="H1547" s="63" t="n">
        <v>0.089</v>
      </c>
      <c r="I1547" s="62" t="n">
        <v>421.14</v>
      </c>
      <c r="J1547" s="58" t="inlineStr">
        <is>
          <t>Store</t>
        </is>
      </c>
      <c r="K1547" s="62">
        <f>F1547*(G1547-H1547)</f>
        <v/>
      </c>
      <c r="L1547" s="62">
        <f>K1547-(F1547*I1547)</f>
        <v/>
      </c>
      <c r="M1547" s="64">
        <f>L1547/K1547</f>
        <v/>
      </c>
    </row>
    <row r="1548">
      <c r="A1548" s="58" t="inlineStr">
        <is>
          <t>RT20250208-01547</t>
        </is>
      </c>
      <c r="B1548" s="59" t="inlineStr">
        <is>
          <t>2025-02-08</t>
        </is>
      </c>
      <c r="C1548" s="60" t="inlineStr">
        <is>
          <t>Polar Wearable X-119</t>
        </is>
      </c>
      <c r="D1548" s="58" t="inlineStr">
        <is>
          <t>Electronics</t>
        </is>
      </c>
      <c r="E1548" s="58" t="inlineStr">
        <is>
          <t>North</t>
        </is>
      </c>
      <c r="F1548" s="61" t="n">
        <v>1</v>
      </c>
      <c r="G1548" s="62" t="n">
        <v>1770.83</v>
      </c>
      <c r="H1548" s="63" t="n">
        <v>0.018</v>
      </c>
      <c r="I1548" s="62" t="n">
        <v>1345.64</v>
      </c>
      <c r="J1548" s="58" t="inlineStr">
        <is>
          <t>Store</t>
        </is>
      </c>
      <c r="K1548" s="62">
        <f>F1548*(G1548-H1548)</f>
        <v/>
      </c>
      <c r="L1548" s="62">
        <f>K1548-(F1548*I1548)</f>
        <v/>
      </c>
      <c r="M1548" s="64">
        <f>L1548/K1548</f>
        <v/>
      </c>
    </row>
    <row r="1549">
      <c r="A1549" s="58" t="inlineStr">
        <is>
          <t>RT20250208-01548</t>
        </is>
      </c>
      <c r="B1549" s="59" t="inlineStr">
        <is>
          <t>2025-02-08</t>
        </is>
      </c>
      <c r="C1549" s="60" t="inlineStr">
        <is>
          <t>Aurora Skincare Max-798</t>
        </is>
      </c>
      <c r="D1549" s="58" t="inlineStr">
        <is>
          <t>Beauty</t>
        </is>
      </c>
      <c r="E1549" s="58" t="inlineStr">
        <is>
          <t>South</t>
        </is>
      </c>
      <c r="F1549" s="61" t="n">
        <v>1</v>
      </c>
      <c r="G1549" s="62" t="n">
        <v>105.98</v>
      </c>
      <c r="H1549" s="63" t="n">
        <v>0.053</v>
      </c>
      <c r="I1549" s="62" t="n">
        <v>68.89</v>
      </c>
      <c r="J1549" s="58" t="inlineStr">
        <is>
          <t>Online</t>
        </is>
      </c>
      <c r="K1549" s="62">
        <f>F1549*(G1549-H1549)</f>
        <v/>
      </c>
      <c r="L1549" s="62">
        <f>K1549-(F1549*I1549)</f>
        <v/>
      </c>
      <c r="M1549" s="64">
        <f>L1549/K1549</f>
        <v/>
      </c>
    </row>
    <row r="1550">
      <c r="A1550" s="58" t="inlineStr">
        <is>
          <t>RT20250208-01549</t>
        </is>
      </c>
      <c r="B1550" s="59" t="inlineStr">
        <is>
          <t>2025-02-08</t>
        </is>
      </c>
      <c r="C1550" s="60" t="inlineStr">
        <is>
          <t>Falcon Skincare X-334</t>
        </is>
      </c>
      <c r="D1550" s="58" t="inlineStr">
        <is>
          <t>Beauty</t>
        </is>
      </c>
      <c r="E1550" s="58" t="inlineStr">
        <is>
          <t>West</t>
        </is>
      </c>
      <c r="F1550" s="61" t="n">
        <v>1</v>
      </c>
      <c r="G1550" s="62" t="n">
        <v>107.67</v>
      </c>
      <c r="H1550" s="63" t="n">
        <v>0.07000000000000001</v>
      </c>
      <c r="I1550" s="62" t="n">
        <v>62.93</v>
      </c>
      <c r="J1550" s="58" t="inlineStr">
        <is>
          <t>Online</t>
        </is>
      </c>
      <c r="K1550" s="62">
        <f>F1550*(G1550-H1550)</f>
        <v/>
      </c>
      <c r="L1550" s="62">
        <f>K1550-(F1550*I1550)</f>
        <v/>
      </c>
      <c r="M1550" s="64">
        <f>L1550/K1550</f>
        <v/>
      </c>
    </row>
    <row r="1551">
      <c r="A1551" s="58" t="inlineStr">
        <is>
          <t>RT20250208-01550</t>
        </is>
      </c>
      <c r="B1551" s="59" t="inlineStr">
        <is>
          <t>2025-02-08</t>
        </is>
      </c>
      <c r="C1551" s="60" t="inlineStr">
        <is>
          <t>Solace Kitchen Pro-510</t>
        </is>
      </c>
      <c r="D1551" s="58" t="inlineStr">
        <is>
          <t>Home</t>
        </is>
      </c>
      <c r="E1551" s="58" t="inlineStr">
        <is>
          <t>Central</t>
        </is>
      </c>
      <c r="F1551" s="61" t="n">
        <v>1</v>
      </c>
      <c r="G1551" s="62" t="n">
        <v>473.59</v>
      </c>
      <c r="H1551" s="63" t="n">
        <v>0.022</v>
      </c>
      <c r="I1551" s="62" t="n">
        <v>317.23</v>
      </c>
      <c r="J1551" s="58" t="inlineStr">
        <is>
          <t>Store</t>
        </is>
      </c>
      <c r="K1551" s="62">
        <f>F1551*(G1551-H1551)</f>
        <v/>
      </c>
      <c r="L1551" s="62">
        <f>K1551-(F1551*I1551)</f>
        <v/>
      </c>
      <c r="M1551" s="64">
        <f>L1551/K1551</f>
        <v/>
      </c>
    </row>
    <row r="1552">
      <c r="A1552" s="58" t="inlineStr">
        <is>
          <t>RT20250209-01551</t>
        </is>
      </c>
      <c r="B1552" s="59" t="inlineStr">
        <is>
          <t>2025-02-09</t>
        </is>
      </c>
      <c r="C1552" s="60" t="inlineStr">
        <is>
          <t>Falcon Storage X-734</t>
        </is>
      </c>
      <c r="D1552" s="58" t="inlineStr">
        <is>
          <t>Office</t>
        </is>
      </c>
      <c r="E1552" s="58" t="inlineStr">
        <is>
          <t>West</t>
        </is>
      </c>
      <c r="F1552" s="61" t="n">
        <v>2</v>
      </c>
      <c r="G1552" s="62" t="n">
        <v>413.09</v>
      </c>
      <c r="H1552" s="63" t="n">
        <v>0.073</v>
      </c>
      <c r="I1552" s="62" t="n">
        <v>288.92</v>
      </c>
      <c r="J1552" s="58" t="inlineStr">
        <is>
          <t>Online</t>
        </is>
      </c>
      <c r="K1552" s="62">
        <f>F1552*(G1552-H1552)</f>
        <v/>
      </c>
      <c r="L1552" s="62">
        <f>K1552-(F1552*I1552)</f>
        <v/>
      </c>
      <c r="M1552" s="64">
        <f>L1552/K1552</f>
        <v/>
      </c>
    </row>
    <row r="1553">
      <c r="A1553" s="58" t="inlineStr">
        <is>
          <t>RT20250209-01552</t>
        </is>
      </c>
      <c r="B1553" s="59" t="inlineStr">
        <is>
          <t>2025-02-09</t>
        </is>
      </c>
      <c r="C1553" s="60" t="inlineStr">
        <is>
          <t>Solace Fitnes S-324</t>
        </is>
      </c>
      <c r="D1553" s="58" t="inlineStr">
        <is>
          <t>Sports</t>
        </is>
      </c>
      <c r="E1553" s="58" t="inlineStr">
        <is>
          <t>East</t>
        </is>
      </c>
      <c r="F1553" s="61" t="n">
        <v>3</v>
      </c>
      <c r="G1553" s="62" t="n">
        <v>784.73</v>
      </c>
      <c r="H1553" s="63" t="n">
        <v>0.058</v>
      </c>
      <c r="I1553" s="62" t="n">
        <v>540.88</v>
      </c>
      <c r="J1553" s="58" t="inlineStr">
        <is>
          <t>Online</t>
        </is>
      </c>
      <c r="K1553" s="62">
        <f>F1553*(G1553-H1553)</f>
        <v/>
      </c>
      <c r="L1553" s="62">
        <f>K1553-(F1553*I1553)</f>
        <v/>
      </c>
      <c r="M1553" s="64">
        <f>L1553/K1553</f>
        <v/>
      </c>
    </row>
    <row r="1554">
      <c r="A1554" s="58" t="inlineStr">
        <is>
          <t>RT20250209-01553</t>
        </is>
      </c>
      <c r="B1554" s="59" t="inlineStr">
        <is>
          <t>2025-02-09</t>
        </is>
      </c>
      <c r="C1554" s="60" t="inlineStr">
        <is>
          <t>Aurora Furniture X-709</t>
        </is>
      </c>
      <c r="D1554" s="58" t="inlineStr">
        <is>
          <t>Office</t>
        </is>
      </c>
      <c r="E1554" s="58" t="inlineStr">
        <is>
          <t>East</t>
        </is>
      </c>
      <c r="F1554" s="61" t="n">
        <v>1</v>
      </c>
      <c r="G1554" s="62" t="n">
        <v>417.55</v>
      </c>
      <c r="H1554" s="63" t="n">
        <v>0.113</v>
      </c>
      <c r="I1554" s="62" t="n">
        <v>299.21</v>
      </c>
      <c r="J1554" s="58" t="inlineStr">
        <is>
          <t>Store</t>
        </is>
      </c>
      <c r="K1554" s="62">
        <f>F1554*(G1554-H1554)</f>
        <v/>
      </c>
      <c r="L1554" s="62">
        <f>K1554-(F1554*I1554)</f>
        <v/>
      </c>
      <c r="M1554" s="64">
        <f>L1554/K1554</f>
        <v/>
      </c>
    </row>
    <row r="1555">
      <c r="A1555" s="58" t="inlineStr">
        <is>
          <t>RT20250209-01554</t>
        </is>
      </c>
      <c r="B1555" s="59" t="inlineStr">
        <is>
          <t>2025-02-09</t>
        </is>
      </c>
      <c r="C1555" s="60" t="inlineStr">
        <is>
          <t>Orion Kid Max-640</t>
        </is>
      </c>
      <c r="D1555" s="58" t="inlineStr">
        <is>
          <t>Apparel</t>
        </is>
      </c>
      <c r="E1555" s="58" t="inlineStr">
        <is>
          <t>West</t>
        </is>
      </c>
      <c r="F1555" s="61" t="n">
        <v>1</v>
      </c>
      <c r="G1555" s="62" t="n">
        <v>126.62</v>
      </c>
      <c r="H1555" s="63" t="n">
        <v>0.063</v>
      </c>
      <c r="I1555" s="62" t="n">
        <v>71.31</v>
      </c>
      <c r="J1555" s="58" t="inlineStr">
        <is>
          <t>Phone</t>
        </is>
      </c>
      <c r="K1555" s="62">
        <f>F1555*(G1555-H1555)</f>
        <v/>
      </c>
      <c r="L1555" s="62">
        <f>K1555-(F1555*I1555)</f>
        <v/>
      </c>
      <c r="M1555" s="64">
        <f>L1555/K1555</f>
        <v/>
      </c>
    </row>
    <row r="1556">
      <c r="A1556" s="58" t="inlineStr">
        <is>
          <t>RT20250209-01555</t>
        </is>
      </c>
      <c r="B1556" s="59" t="inlineStr">
        <is>
          <t>2025-02-09</t>
        </is>
      </c>
      <c r="C1556" s="60" t="inlineStr">
        <is>
          <t>Solace Kitchen Pro-999</t>
        </is>
      </c>
      <c r="D1556" s="58" t="inlineStr">
        <is>
          <t>Home</t>
        </is>
      </c>
      <c r="E1556" s="58" t="inlineStr">
        <is>
          <t>North</t>
        </is>
      </c>
      <c r="F1556" s="61" t="n">
        <v>3</v>
      </c>
      <c r="G1556" s="62" t="n">
        <v>413.77</v>
      </c>
      <c r="H1556" s="63" t="n">
        <v>0.066</v>
      </c>
      <c r="I1556" s="62" t="n">
        <v>273</v>
      </c>
      <c r="J1556" s="58" t="inlineStr">
        <is>
          <t>Online</t>
        </is>
      </c>
      <c r="K1556" s="62">
        <f>F1556*(G1556-H1556)</f>
        <v/>
      </c>
      <c r="L1556" s="62">
        <f>K1556-(F1556*I1556)</f>
        <v/>
      </c>
      <c r="M1556" s="64">
        <f>L1556/K1556</f>
        <v/>
      </c>
    </row>
    <row r="1557">
      <c r="A1557" s="58" t="inlineStr">
        <is>
          <t>RT20250209-01556</t>
        </is>
      </c>
      <c r="B1557" s="59" t="inlineStr">
        <is>
          <t>2025-02-09</t>
        </is>
      </c>
      <c r="C1557" s="60" t="inlineStr">
        <is>
          <t>Falcon Bedding S-674</t>
        </is>
      </c>
      <c r="D1557" s="58" t="inlineStr">
        <is>
          <t>Home</t>
        </is>
      </c>
      <c r="E1557" s="58" t="inlineStr">
        <is>
          <t>North</t>
        </is>
      </c>
      <c r="F1557" s="61" t="n">
        <v>1</v>
      </c>
      <c r="G1557" s="62" t="n">
        <v>660.35</v>
      </c>
      <c r="H1557" s="63" t="n">
        <v>0.075</v>
      </c>
      <c r="I1557" s="62" t="n">
        <v>448.12</v>
      </c>
      <c r="J1557" s="58" t="inlineStr">
        <is>
          <t>Store</t>
        </is>
      </c>
      <c r="K1557" s="62">
        <f>F1557*(G1557-H1557)</f>
        <v/>
      </c>
      <c r="L1557" s="62">
        <f>K1557-(F1557*I1557)</f>
        <v/>
      </c>
      <c r="M1557" s="64">
        <f>L1557/K1557</f>
        <v/>
      </c>
    </row>
    <row r="1558">
      <c r="A1558" s="58" t="inlineStr">
        <is>
          <t>RT20250209-01557</t>
        </is>
      </c>
      <c r="B1558" s="59" t="inlineStr">
        <is>
          <t>2025-02-09</t>
        </is>
      </c>
      <c r="C1558" s="60" t="inlineStr">
        <is>
          <t>Metro Fragrance Lite-261</t>
        </is>
      </c>
      <c r="D1558" s="58" t="inlineStr">
        <is>
          <t>Beauty</t>
        </is>
      </c>
      <c r="E1558" s="58" t="inlineStr">
        <is>
          <t>Central</t>
        </is>
      </c>
      <c r="F1558" s="61" t="n">
        <v>4</v>
      </c>
      <c r="G1558" s="62" t="n">
        <v>90.01000000000001</v>
      </c>
      <c r="H1558" s="63" t="n">
        <v>0.028</v>
      </c>
      <c r="I1558" s="62" t="n">
        <v>53.76</v>
      </c>
      <c r="J1558" s="58" t="inlineStr">
        <is>
          <t>Online</t>
        </is>
      </c>
      <c r="K1558" s="62">
        <f>F1558*(G1558-H1558)</f>
        <v/>
      </c>
      <c r="L1558" s="62">
        <f>K1558-(F1558*I1558)</f>
        <v/>
      </c>
      <c r="M1558" s="64">
        <f>L1558/K1558</f>
        <v/>
      </c>
    </row>
    <row r="1559">
      <c r="A1559" s="58" t="inlineStr">
        <is>
          <t>RT20250209-01558</t>
        </is>
      </c>
      <c r="B1559" s="59" t="inlineStr">
        <is>
          <t>2025-02-09</t>
        </is>
      </c>
      <c r="C1559" s="60" t="inlineStr">
        <is>
          <t>Aurora Wearable Lite-704</t>
        </is>
      </c>
      <c r="D1559" s="58" t="inlineStr">
        <is>
          <t>Electronics</t>
        </is>
      </c>
      <c r="E1559" s="58" t="inlineStr">
        <is>
          <t>South</t>
        </is>
      </c>
      <c r="F1559" s="61" t="n">
        <v>1</v>
      </c>
      <c r="G1559" s="62" t="n">
        <v>1954.15</v>
      </c>
      <c r="H1559" s="63" t="n">
        <v>0.012</v>
      </c>
      <c r="I1559" s="62" t="n">
        <v>1420.02</v>
      </c>
      <c r="J1559" s="58" t="inlineStr">
        <is>
          <t>Online</t>
        </is>
      </c>
      <c r="K1559" s="62">
        <f>F1559*(G1559-H1559)</f>
        <v/>
      </c>
      <c r="L1559" s="62">
        <f>K1559-(F1559*I1559)</f>
        <v/>
      </c>
      <c r="M1559" s="64">
        <f>L1559/K1559</f>
        <v/>
      </c>
    </row>
    <row r="1560">
      <c r="A1560" s="58" t="inlineStr">
        <is>
          <t>RT20250209-01559</t>
        </is>
      </c>
      <c r="B1560" s="59" t="inlineStr">
        <is>
          <t>2025-02-09</t>
        </is>
      </c>
      <c r="C1560" s="60" t="inlineStr">
        <is>
          <t>Aurora Household Plus-146</t>
        </is>
      </c>
      <c r="D1560" s="58" t="inlineStr">
        <is>
          <t>Grocery</t>
        </is>
      </c>
      <c r="E1560" s="58" t="inlineStr">
        <is>
          <t>East</t>
        </is>
      </c>
      <c r="F1560" s="61" t="n">
        <v>8</v>
      </c>
      <c r="G1560" s="62" t="n">
        <v>6.37</v>
      </c>
      <c r="H1560" s="63" t="n">
        <v>0.033</v>
      </c>
      <c r="I1560" s="62" t="n">
        <v>4.46</v>
      </c>
      <c r="J1560" s="58" t="inlineStr">
        <is>
          <t>Store</t>
        </is>
      </c>
      <c r="K1560" s="62">
        <f>F1560*(G1560-H1560)</f>
        <v/>
      </c>
      <c r="L1560" s="62">
        <f>K1560-(F1560*I1560)</f>
        <v/>
      </c>
      <c r="M1560" s="64">
        <f>L1560/K1560</f>
        <v/>
      </c>
    </row>
    <row r="1561">
      <c r="A1561" s="58" t="inlineStr">
        <is>
          <t>RT20250209-01560</t>
        </is>
      </c>
      <c r="B1561" s="59" t="inlineStr">
        <is>
          <t>2025-02-09</t>
        </is>
      </c>
      <c r="C1561" s="60" t="inlineStr">
        <is>
          <t>Metro Wearable Plus-234</t>
        </is>
      </c>
      <c r="D1561" s="58" t="inlineStr">
        <is>
          <t>Electronics</t>
        </is>
      </c>
      <c r="E1561" s="58" t="inlineStr">
        <is>
          <t>South</t>
        </is>
      </c>
      <c r="F1561" s="61" t="n">
        <v>2</v>
      </c>
      <c r="G1561" s="62" t="n">
        <v>1618.92</v>
      </c>
      <c r="H1561" s="63" t="n">
        <v>0.04</v>
      </c>
      <c r="I1561" s="62" t="n">
        <v>1204.47</v>
      </c>
      <c r="J1561" s="58" t="inlineStr">
        <is>
          <t>Store</t>
        </is>
      </c>
      <c r="K1561" s="62">
        <f>F1561*(G1561-H1561)</f>
        <v/>
      </c>
      <c r="L1561" s="62">
        <f>K1561-(F1561*I1561)</f>
        <v/>
      </c>
      <c r="M1561" s="64">
        <f>L1561/K1561</f>
        <v/>
      </c>
    </row>
    <row r="1562">
      <c r="A1562" s="58" t="inlineStr">
        <is>
          <t>RT20250209-01561</t>
        </is>
      </c>
      <c r="B1562" s="59" t="inlineStr">
        <is>
          <t>2025-02-09</t>
        </is>
      </c>
      <c r="C1562" s="60" t="inlineStr">
        <is>
          <t>Solace Headphone Pro-344</t>
        </is>
      </c>
      <c r="D1562" s="58" t="inlineStr">
        <is>
          <t>Electronics</t>
        </is>
      </c>
      <c r="E1562" s="58" t="inlineStr">
        <is>
          <t>West</t>
        </is>
      </c>
      <c r="F1562" s="61" t="n">
        <v>2</v>
      </c>
      <c r="G1562" s="62" t="n">
        <v>1671.78</v>
      </c>
      <c r="H1562" s="63" t="n">
        <v>0.068</v>
      </c>
      <c r="I1562" s="62" t="n">
        <v>1054.22</v>
      </c>
      <c r="J1562" s="58" t="inlineStr">
        <is>
          <t>Store</t>
        </is>
      </c>
      <c r="K1562" s="62">
        <f>F1562*(G1562-H1562)</f>
        <v/>
      </c>
      <c r="L1562" s="62">
        <f>K1562-(F1562*I1562)</f>
        <v/>
      </c>
      <c r="M1562" s="64">
        <f>L1562/K1562</f>
        <v/>
      </c>
    </row>
    <row r="1563">
      <c r="A1563" s="58" t="inlineStr">
        <is>
          <t>RT20250209-01562</t>
        </is>
      </c>
      <c r="B1563" s="59" t="inlineStr">
        <is>
          <t>2025-02-09</t>
        </is>
      </c>
      <c r="C1563" s="60" t="inlineStr">
        <is>
          <t>Falcon Haircare Pro-980</t>
        </is>
      </c>
      <c r="D1563" s="58" t="inlineStr">
        <is>
          <t>Beauty</t>
        </is>
      </c>
      <c r="E1563" s="58" t="inlineStr">
        <is>
          <t>West</t>
        </is>
      </c>
      <c r="F1563" s="61" t="n">
        <v>5</v>
      </c>
      <c r="G1563" s="62" t="n">
        <v>100.3</v>
      </c>
      <c r="H1563" s="63" t="n">
        <v>0.114</v>
      </c>
      <c r="I1563" s="62" t="n">
        <v>56.74</v>
      </c>
      <c r="J1563" s="58" t="inlineStr">
        <is>
          <t>Online</t>
        </is>
      </c>
      <c r="K1563" s="62">
        <f>F1563*(G1563-H1563)</f>
        <v/>
      </c>
      <c r="L1563" s="62">
        <f>K1563-(F1563*I1563)</f>
        <v/>
      </c>
      <c r="M1563" s="64">
        <f>L1563/K1563</f>
        <v/>
      </c>
    </row>
    <row r="1564">
      <c r="A1564" s="58" t="inlineStr">
        <is>
          <t>RT20250209-01563</t>
        </is>
      </c>
      <c r="B1564" s="59" t="inlineStr">
        <is>
          <t>2025-02-09</t>
        </is>
      </c>
      <c r="C1564" s="60" t="inlineStr">
        <is>
          <t>Aurora Fitnes Lite-194</t>
        </is>
      </c>
      <c r="D1564" s="58" t="inlineStr">
        <is>
          <t>Sports</t>
        </is>
      </c>
      <c r="E1564" s="58" t="inlineStr">
        <is>
          <t>South</t>
        </is>
      </c>
      <c r="F1564" s="61" t="n">
        <v>2</v>
      </c>
      <c r="G1564" s="62" t="n">
        <v>700.4400000000001</v>
      </c>
      <c r="H1564" s="63" t="n">
        <v>0.054</v>
      </c>
      <c r="I1564" s="62" t="n">
        <v>475.09</v>
      </c>
      <c r="J1564" s="58" t="inlineStr">
        <is>
          <t>Store</t>
        </is>
      </c>
      <c r="K1564" s="62">
        <f>F1564*(G1564-H1564)</f>
        <v/>
      </c>
      <c r="L1564" s="62">
        <f>K1564-(F1564*I1564)</f>
        <v/>
      </c>
      <c r="M1564" s="64">
        <f>L1564/K1564</f>
        <v/>
      </c>
    </row>
    <row r="1565">
      <c r="A1565" s="58" t="inlineStr">
        <is>
          <t>RT20250209-01564</t>
        </is>
      </c>
      <c r="B1565" s="59" t="inlineStr">
        <is>
          <t>2025-02-09</t>
        </is>
      </c>
      <c r="C1565" s="60" t="inlineStr">
        <is>
          <t>Polar Snack Pro-641</t>
        </is>
      </c>
      <c r="D1565" s="58" t="inlineStr">
        <is>
          <t>Grocery</t>
        </is>
      </c>
      <c r="E1565" s="58" t="inlineStr">
        <is>
          <t>East</t>
        </is>
      </c>
      <c r="F1565" s="61" t="n">
        <v>6</v>
      </c>
      <c r="G1565" s="62" t="n">
        <v>13.71</v>
      </c>
      <c r="H1565" s="63" t="n">
        <v>0.06</v>
      </c>
      <c r="I1565" s="62" t="n">
        <v>9.41</v>
      </c>
      <c r="J1565" s="58" t="inlineStr">
        <is>
          <t>Online</t>
        </is>
      </c>
      <c r="K1565" s="62">
        <f>F1565*(G1565-H1565)</f>
        <v/>
      </c>
      <c r="L1565" s="62">
        <f>K1565-(F1565*I1565)</f>
        <v/>
      </c>
      <c r="M1565" s="64">
        <f>L1565/K1565</f>
        <v/>
      </c>
    </row>
    <row r="1566">
      <c r="A1566" s="58" t="inlineStr">
        <is>
          <t>RT20250209-01565</t>
        </is>
      </c>
      <c r="B1566" s="59" t="inlineStr">
        <is>
          <t>2025-02-09</t>
        </is>
      </c>
      <c r="C1566" s="60" t="inlineStr">
        <is>
          <t>Orion Kid Max-864</t>
        </is>
      </c>
      <c r="D1566" s="58" t="inlineStr">
        <is>
          <t>Apparel</t>
        </is>
      </c>
      <c r="E1566" s="58" t="inlineStr">
        <is>
          <t>Central</t>
        </is>
      </c>
      <c r="F1566" s="61" t="n">
        <v>4</v>
      </c>
      <c r="G1566" s="62" t="n">
        <v>73.31999999999999</v>
      </c>
      <c r="H1566" s="63" t="n">
        <v>0.008</v>
      </c>
      <c r="I1566" s="62" t="n">
        <v>45.81</v>
      </c>
      <c r="J1566" s="58" t="inlineStr">
        <is>
          <t>Online</t>
        </is>
      </c>
      <c r="K1566" s="62">
        <f>F1566*(G1566-H1566)</f>
        <v/>
      </c>
      <c r="L1566" s="62">
        <f>K1566-(F1566*I1566)</f>
        <v/>
      </c>
      <c r="M1566" s="64">
        <f>L1566/K1566</f>
        <v/>
      </c>
    </row>
    <row r="1567">
      <c r="A1567" s="58" t="inlineStr">
        <is>
          <t>RT20250209-01566</t>
        </is>
      </c>
      <c r="B1567" s="59" t="inlineStr">
        <is>
          <t>2025-02-09</t>
        </is>
      </c>
      <c r="C1567" s="60" t="inlineStr">
        <is>
          <t>Solace Kitchen X-919</t>
        </is>
      </c>
      <c r="D1567" s="58" t="inlineStr">
        <is>
          <t>Home</t>
        </is>
      </c>
      <c r="E1567" s="58" t="inlineStr">
        <is>
          <t>South</t>
        </is>
      </c>
      <c r="F1567" s="61" t="n">
        <v>1</v>
      </c>
      <c r="G1567" s="62" t="n">
        <v>392.49</v>
      </c>
      <c r="H1567" s="63" t="n">
        <v>0.041</v>
      </c>
      <c r="I1567" s="62" t="n">
        <v>254.28</v>
      </c>
      <c r="J1567" s="58" t="inlineStr">
        <is>
          <t>Phone</t>
        </is>
      </c>
      <c r="K1567" s="62">
        <f>F1567*(G1567-H1567)</f>
        <v/>
      </c>
      <c r="L1567" s="62">
        <f>K1567-(F1567*I1567)</f>
        <v/>
      </c>
      <c r="M1567" s="64">
        <f>L1567/K1567</f>
        <v/>
      </c>
    </row>
    <row r="1568">
      <c r="A1568" s="58" t="inlineStr">
        <is>
          <t>RT20250209-01567</t>
        </is>
      </c>
      <c r="B1568" s="59" t="inlineStr">
        <is>
          <t>2025-02-09</t>
        </is>
      </c>
      <c r="C1568" s="60" t="inlineStr">
        <is>
          <t>Polar Haircare Max-614</t>
        </is>
      </c>
      <c r="D1568" s="58" t="inlineStr">
        <is>
          <t>Beauty</t>
        </is>
      </c>
      <c r="E1568" s="58" t="inlineStr">
        <is>
          <t>East</t>
        </is>
      </c>
      <c r="F1568" s="61" t="n">
        <v>5</v>
      </c>
      <c r="G1568" s="62" t="n">
        <v>121.63</v>
      </c>
      <c r="H1568" s="63" t="n">
        <v>0.044</v>
      </c>
      <c r="I1568" s="62" t="n">
        <v>68.47</v>
      </c>
      <c r="J1568" s="58" t="inlineStr">
        <is>
          <t>Store</t>
        </is>
      </c>
      <c r="K1568" s="62">
        <f>F1568*(G1568-H1568)</f>
        <v/>
      </c>
      <c r="L1568" s="62">
        <f>K1568-(F1568*I1568)</f>
        <v/>
      </c>
      <c r="M1568" s="64">
        <f>L1568/K1568</f>
        <v/>
      </c>
    </row>
    <row r="1569">
      <c r="A1569" s="58" t="inlineStr">
        <is>
          <t>RT20250209-01568</t>
        </is>
      </c>
      <c r="B1569" s="59" t="inlineStr">
        <is>
          <t>2025-02-09</t>
        </is>
      </c>
      <c r="C1569" s="60" t="inlineStr">
        <is>
          <t>Solace Makeup Pro-214</t>
        </is>
      </c>
      <c r="D1569" s="58" t="inlineStr">
        <is>
          <t>Beauty</t>
        </is>
      </c>
      <c r="E1569" s="58" t="inlineStr">
        <is>
          <t>West</t>
        </is>
      </c>
      <c r="F1569" s="61" t="n">
        <v>2</v>
      </c>
      <c r="G1569" s="62" t="n">
        <v>122.73</v>
      </c>
      <c r="H1569" s="63" t="n">
        <v>0.031</v>
      </c>
      <c r="I1569" s="62" t="n">
        <v>68.13</v>
      </c>
      <c r="J1569" s="58" t="inlineStr">
        <is>
          <t>Online</t>
        </is>
      </c>
      <c r="K1569" s="62">
        <f>F1569*(G1569-H1569)</f>
        <v/>
      </c>
      <c r="L1569" s="62">
        <f>K1569-(F1569*I1569)</f>
        <v/>
      </c>
      <c r="M1569" s="64">
        <f>L1569/K1569</f>
        <v/>
      </c>
    </row>
    <row r="1570">
      <c r="A1570" s="58" t="inlineStr">
        <is>
          <t>RT20250209-01569</t>
        </is>
      </c>
      <c r="B1570" s="59" t="inlineStr">
        <is>
          <t>2025-02-09</t>
        </is>
      </c>
      <c r="C1570" s="60" t="inlineStr">
        <is>
          <t>Aurora Kid Plus-151</t>
        </is>
      </c>
      <c r="D1570" s="58" t="inlineStr">
        <is>
          <t>Apparel</t>
        </is>
      </c>
      <c r="E1570" s="58" t="inlineStr">
        <is>
          <t>East</t>
        </is>
      </c>
      <c r="F1570" s="61" t="n">
        <v>1</v>
      </c>
      <c r="G1570" s="62" t="n">
        <v>101.81</v>
      </c>
      <c r="H1570" s="63" t="n">
        <v>0.053</v>
      </c>
      <c r="I1570" s="62" t="n">
        <v>64.3</v>
      </c>
      <c r="J1570" s="58" t="inlineStr">
        <is>
          <t>Online</t>
        </is>
      </c>
      <c r="K1570" s="62">
        <f>F1570*(G1570-H1570)</f>
        <v/>
      </c>
      <c r="L1570" s="62">
        <f>K1570-(F1570*I1570)</f>
        <v/>
      </c>
      <c r="M1570" s="64">
        <f>L1570/K1570</f>
        <v/>
      </c>
    </row>
    <row r="1571">
      <c r="A1571" s="58" t="inlineStr">
        <is>
          <t>RT20250209-01570</t>
        </is>
      </c>
      <c r="B1571" s="59" t="inlineStr">
        <is>
          <t>2025-02-09</t>
        </is>
      </c>
      <c r="C1571" s="60" t="inlineStr">
        <is>
          <t>Polar Laptop Plus-984</t>
        </is>
      </c>
      <c r="D1571" s="58" t="inlineStr">
        <is>
          <t>Electronics</t>
        </is>
      </c>
      <c r="E1571" s="58" t="inlineStr">
        <is>
          <t>West</t>
        </is>
      </c>
      <c r="F1571" s="61" t="n">
        <v>2</v>
      </c>
      <c r="G1571" s="62" t="n">
        <v>1358.02</v>
      </c>
      <c r="H1571" s="63" t="n">
        <v>0.08400000000000001</v>
      </c>
      <c r="I1571" s="62" t="n">
        <v>988.85</v>
      </c>
      <c r="J1571" s="58" t="inlineStr">
        <is>
          <t>Store</t>
        </is>
      </c>
      <c r="K1571" s="62">
        <f>F1571*(G1571-H1571)</f>
        <v/>
      </c>
      <c r="L1571" s="62">
        <f>K1571-(F1571*I1571)</f>
        <v/>
      </c>
      <c r="M1571" s="64">
        <f>L1571/K1571</f>
        <v/>
      </c>
    </row>
    <row r="1572">
      <c r="A1572" s="58" t="inlineStr">
        <is>
          <t>RT20250209-01571</t>
        </is>
      </c>
      <c r="B1572" s="59" t="inlineStr">
        <is>
          <t>2025-02-09</t>
        </is>
      </c>
      <c r="C1572" s="60" t="inlineStr">
        <is>
          <t>Falcon Accessorie S-195</t>
        </is>
      </c>
      <c r="D1572" s="58" t="inlineStr">
        <is>
          <t>Apparel</t>
        </is>
      </c>
      <c r="E1572" s="58" t="inlineStr">
        <is>
          <t>Central</t>
        </is>
      </c>
      <c r="F1572" s="61" t="n">
        <v>3</v>
      </c>
      <c r="G1572" s="62" t="n">
        <v>74.8</v>
      </c>
      <c r="H1572" s="63" t="n">
        <v>0.114</v>
      </c>
      <c r="I1572" s="62" t="n">
        <v>41.53</v>
      </c>
      <c r="J1572" s="58" t="inlineStr">
        <is>
          <t>Online</t>
        </is>
      </c>
      <c r="K1572" s="62">
        <f>F1572*(G1572-H1572)</f>
        <v/>
      </c>
      <c r="L1572" s="62">
        <f>K1572-(F1572*I1572)</f>
        <v/>
      </c>
      <c r="M1572" s="64">
        <f>L1572/K1572</f>
        <v/>
      </c>
    </row>
    <row r="1573">
      <c r="A1573" s="58" t="inlineStr">
        <is>
          <t>RT20250209-01572</t>
        </is>
      </c>
      <c r="B1573" s="59" t="inlineStr">
        <is>
          <t>2025-02-09</t>
        </is>
      </c>
      <c r="C1573" s="60" t="inlineStr">
        <is>
          <t>Aurora Wearable Lite-162</t>
        </is>
      </c>
      <c r="D1573" s="58" t="inlineStr">
        <is>
          <t>Electronics</t>
        </is>
      </c>
      <c r="E1573" s="58" t="inlineStr">
        <is>
          <t>West</t>
        </is>
      </c>
      <c r="F1573" s="61" t="n">
        <v>2</v>
      </c>
      <c r="G1573" s="62" t="n">
        <v>1536.49</v>
      </c>
      <c r="H1573" s="63" t="n">
        <v>0.049</v>
      </c>
      <c r="I1573" s="62" t="n">
        <v>1181.22</v>
      </c>
      <c r="J1573" s="58" t="inlineStr">
        <is>
          <t>Store</t>
        </is>
      </c>
      <c r="K1573" s="62">
        <f>F1573*(G1573-H1573)</f>
        <v/>
      </c>
      <c r="L1573" s="62">
        <f>K1573-(F1573*I1573)</f>
        <v/>
      </c>
      <c r="M1573" s="64">
        <f>L1573/K1573</f>
        <v/>
      </c>
    </row>
    <row r="1574">
      <c r="A1574" s="58" t="inlineStr">
        <is>
          <t>RT20250209-01573</t>
        </is>
      </c>
      <c r="B1574" s="59" t="inlineStr">
        <is>
          <t>2025-02-09</t>
        </is>
      </c>
      <c r="C1574" s="60" t="inlineStr">
        <is>
          <t>Aurora Outdoor Pro-467</t>
        </is>
      </c>
      <c r="D1574" s="58" t="inlineStr">
        <is>
          <t>Sports</t>
        </is>
      </c>
      <c r="E1574" s="58" t="inlineStr">
        <is>
          <t>East</t>
        </is>
      </c>
      <c r="F1574" s="61" t="n">
        <v>1</v>
      </c>
      <c r="G1574" s="62" t="n">
        <v>288.65</v>
      </c>
      <c r="H1574" s="63" t="n">
        <v>0.024</v>
      </c>
      <c r="I1574" s="62" t="n">
        <v>187.94</v>
      </c>
      <c r="J1574" s="58" t="inlineStr">
        <is>
          <t>Online</t>
        </is>
      </c>
      <c r="K1574" s="62">
        <f>F1574*(G1574-H1574)</f>
        <v/>
      </c>
      <c r="L1574" s="62">
        <f>K1574-(F1574*I1574)</f>
        <v/>
      </c>
      <c r="M1574" s="64">
        <f>L1574/K1574</f>
        <v/>
      </c>
    </row>
    <row r="1575">
      <c r="A1575" s="58" t="inlineStr">
        <is>
          <t>RT20250209-01574</t>
        </is>
      </c>
      <c r="B1575" s="59" t="inlineStr">
        <is>
          <t>2025-02-09</t>
        </is>
      </c>
      <c r="C1575" s="60" t="inlineStr">
        <is>
          <t>Orion Fragrance Lite-785</t>
        </is>
      </c>
      <c r="D1575" s="58" t="inlineStr">
        <is>
          <t>Beauty</t>
        </is>
      </c>
      <c r="E1575" s="58" t="inlineStr">
        <is>
          <t>North</t>
        </is>
      </c>
      <c r="F1575" s="61" t="n">
        <v>3</v>
      </c>
      <c r="G1575" s="62" t="n">
        <v>47.73</v>
      </c>
      <c r="H1575" s="63" t="n">
        <v>0.096</v>
      </c>
      <c r="I1575" s="62" t="n">
        <v>27.12</v>
      </c>
      <c r="J1575" s="58" t="inlineStr">
        <is>
          <t>Phone</t>
        </is>
      </c>
      <c r="K1575" s="62">
        <f>F1575*(G1575-H1575)</f>
        <v/>
      </c>
      <c r="L1575" s="62">
        <f>K1575-(F1575*I1575)</f>
        <v/>
      </c>
      <c r="M1575" s="64">
        <f>L1575/K1575</f>
        <v/>
      </c>
    </row>
    <row r="1576">
      <c r="A1576" s="58" t="inlineStr">
        <is>
          <t>RT20250209-01575</t>
        </is>
      </c>
      <c r="B1576" s="59" t="inlineStr">
        <is>
          <t>2025-02-09</t>
        </is>
      </c>
      <c r="C1576" s="60" t="inlineStr">
        <is>
          <t>Orion Men X-928</t>
        </is>
      </c>
      <c r="D1576" s="58" t="inlineStr">
        <is>
          <t>Apparel</t>
        </is>
      </c>
      <c r="E1576" s="58" t="inlineStr">
        <is>
          <t>South</t>
        </is>
      </c>
      <c r="F1576" s="61" t="n">
        <v>1</v>
      </c>
      <c r="G1576" s="62" t="n">
        <v>110.6</v>
      </c>
      <c r="H1576" s="63" t="n">
        <v>0.029</v>
      </c>
      <c r="I1576" s="62" t="n">
        <v>61.99</v>
      </c>
      <c r="J1576" s="58" t="inlineStr">
        <is>
          <t>Online</t>
        </is>
      </c>
      <c r="K1576" s="62">
        <f>F1576*(G1576-H1576)</f>
        <v/>
      </c>
      <c r="L1576" s="62">
        <f>K1576-(F1576*I1576)</f>
        <v/>
      </c>
      <c r="M1576" s="64">
        <f>L1576/K1576</f>
        <v/>
      </c>
    </row>
    <row r="1577">
      <c r="A1577" s="58" t="inlineStr">
        <is>
          <t>RT20250209-01576</t>
        </is>
      </c>
      <c r="B1577" s="59" t="inlineStr">
        <is>
          <t>2025-02-09</t>
        </is>
      </c>
      <c r="C1577" s="60" t="inlineStr">
        <is>
          <t>Metro Decor Lite-325</t>
        </is>
      </c>
      <c r="D1577" s="58" t="inlineStr">
        <is>
          <t>Home</t>
        </is>
      </c>
      <c r="E1577" s="58" t="inlineStr">
        <is>
          <t>South</t>
        </is>
      </c>
      <c r="F1577" s="61" t="n">
        <v>2</v>
      </c>
      <c r="G1577" s="62" t="n">
        <v>561.6799999999999</v>
      </c>
      <c r="H1577" s="63" t="n">
        <v>0.095</v>
      </c>
      <c r="I1577" s="62" t="n">
        <v>380.42</v>
      </c>
      <c r="J1577" s="58" t="inlineStr">
        <is>
          <t>Online</t>
        </is>
      </c>
      <c r="K1577" s="62">
        <f>F1577*(G1577-H1577)</f>
        <v/>
      </c>
      <c r="L1577" s="62">
        <f>K1577-(F1577*I1577)</f>
        <v/>
      </c>
      <c r="M1577" s="64">
        <f>L1577/K1577</f>
        <v/>
      </c>
    </row>
    <row r="1578">
      <c r="A1578" s="58" t="inlineStr">
        <is>
          <t>RT20250209-01577</t>
        </is>
      </c>
      <c r="B1578" s="59" t="inlineStr">
        <is>
          <t>2025-02-09</t>
        </is>
      </c>
      <c r="C1578" s="60" t="inlineStr">
        <is>
          <t>Solace Fitnes S-324</t>
        </is>
      </c>
      <c r="D1578" s="58" t="inlineStr">
        <is>
          <t>Sports</t>
        </is>
      </c>
      <c r="E1578" s="58" t="inlineStr">
        <is>
          <t>Central</t>
        </is>
      </c>
      <c r="F1578" s="61" t="n">
        <v>3</v>
      </c>
      <c r="G1578" s="62" t="n">
        <v>756.66</v>
      </c>
      <c r="H1578" s="63" t="n">
        <v>0.095</v>
      </c>
      <c r="I1578" s="62" t="n">
        <v>536.08</v>
      </c>
      <c r="J1578" s="58" t="inlineStr">
        <is>
          <t>Online</t>
        </is>
      </c>
      <c r="K1578" s="62">
        <f>F1578*(G1578-H1578)</f>
        <v/>
      </c>
      <c r="L1578" s="62">
        <f>K1578-(F1578*I1578)</f>
        <v/>
      </c>
      <c r="M1578" s="64">
        <f>L1578/K1578</f>
        <v/>
      </c>
    </row>
    <row r="1579">
      <c r="A1579" s="58" t="inlineStr">
        <is>
          <t>RT20250209-01578</t>
        </is>
      </c>
      <c r="B1579" s="59" t="inlineStr">
        <is>
          <t>2025-02-09</t>
        </is>
      </c>
      <c r="C1579" s="60" t="inlineStr">
        <is>
          <t>Vertex Fitnes Pro-830</t>
        </is>
      </c>
      <c r="D1579" s="58" t="inlineStr">
        <is>
          <t>Sports</t>
        </is>
      </c>
      <c r="E1579" s="58" t="inlineStr">
        <is>
          <t>Central</t>
        </is>
      </c>
      <c r="F1579" s="61" t="n">
        <v>3</v>
      </c>
      <c r="G1579" s="62" t="n">
        <v>690.4</v>
      </c>
      <c r="H1579" s="63" t="n">
        <v>0.076</v>
      </c>
      <c r="I1579" s="62" t="n">
        <v>477.26</v>
      </c>
      <c r="J1579" s="58" t="inlineStr">
        <is>
          <t>Store</t>
        </is>
      </c>
      <c r="K1579" s="62">
        <f>F1579*(G1579-H1579)</f>
        <v/>
      </c>
      <c r="L1579" s="62">
        <f>K1579-(F1579*I1579)</f>
        <v/>
      </c>
      <c r="M1579" s="64">
        <f>L1579/K1579</f>
        <v/>
      </c>
    </row>
    <row r="1580">
      <c r="A1580" s="58" t="inlineStr">
        <is>
          <t>RT20250209-01579</t>
        </is>
      </c>
      <c r="B1580" s="59" t="inlineStr">
        <is>
          <t>2025-02-09</t>
        </is>
      </c>
      <c r="C1580" s="60" t="inlineStr">
        <is>
          <t>Solace Kitchen Pro-510</t>
        </is>
      </c>
      <c r="D1580" s="58" t="inlineStr">
        <is>
          <t>Home</t>
        </is>
      </c>
      <c r="E1580" s="58" t="inlineStr">
        <is>
          <t>Central</t>
        </is>
      </c>
      <c r="F1580" s="61" t="n">
        <v>3</v>
      </c>
      <c r="G1580" s="62" t="n">
        <v>499.38</v>
      </c>
      <c r="H1580" s="63" t="n">
        <v>0.023</v>
      </c>
      <c r="I1580" s="62" t="n">
        <v>314.18</v>
      </c>
      <c r="J1580" s="58" t="inlineStr">
        <is>
          <t>Store</t>
        </is>
      </c>
      <c r="K1580" s="62">
        <f>F1580*(G1580-H1580)</f>
        <v/>
      </c>
      <c r="L1580" s="62">
        <f>K1580-(F1580*I1580)</f>
        <v/>
      </c>
      <c r="M1580" s="64">
        <f>L1580/K1580</f>
        <v/>
      </c>
    </row>
    <row r="1581">
      <c r="A1581" s="58" t="inlineStr">
        <is>
          <t>RT20250209-01580</t>
        </is>
      </c>
      <c r="B1581" s="59" t="inlineStr">
        <is>
          <t>2025-02-09</t>
        </is>
      </c>
      <c r="C1581" s="60" t="inlineStr">
        <is>
          <t>Orion Fragrance Lite-785</t>
        </is>
      </c>
      <c r="D1581" s="58" t="inlineStr">
        <is>
          <t>Beauty</t>
        </is>
      </c>
      <c r="E1581" s="58" t="inlineStr">
        <is>
          <t>South</t>
        </is>
      </c>
      <c r="F1581" s="61" t="n">
        <v>1</v>
      </c>
      <c r="G1581" s="62" t="n">
        <v>42.99</v>
      </c>
      <c r="H1581" s="63" t="n">
        <v>0.029</v>
      </c>
      <c r="I1581" s="62" t="n">
        <v>27.5</v>
      </c>
      <c r="J1581" s="58" t="inlineStr">
        <is>
          <t>Store</t>
        </is>
      </c>
      <c r="K1581" s="62">
        <f>F1581*(G1581-H1581)</f>
        <v/>
      </c>
      <c r="L1581" s="62">
        <f>K1581-(F1581*I1581)</f>
        <v/>
      </c>
      <c r="M1581" s="64">
        <f>L1581/K1581</f>
        <v/>
      </c>
    </row>
    <row r="1582">
      <c r="A1582" s="58" t="inlineStr">
        <is>
          <t>RT20250210-01581</t>
        </is>
      </c>
      <c r="B1582" s="59" t="inlineStr">
        <is>
          <t>2025-02-10</t>
        </is>
      </c>
      <c r="C1582" s="60" t="inlineStr">
        <is>
          <t>Polar Cycling X-649</t>
        </is>
      </c>
      <c r="D1582" s="58" t="inlineStr">
        <is>
          <t>Sports</t>
        </is>
      </c>
      <c r="E1582" s="58" t="inlineStr">
        <is>
          <t>West</t>
        </is>
      </c>
      <c r="F1582" s="61" t="n">
        <v>1</v>
      </c>
      <c r="G1582" s="62" t="n">
        <v>569.88</v>
      </c>
      <c r="H1582" s="63" t="n">
        <v>0.094</v>
      </c>
      <c r="I1582" s="62" t="n">
        <v>351.8</v>
      </c>
      <c r="J1582" s="58" t="inlineStr">
        <is>
          <t>Online</t>
        </is>
      </c>
      <c r="K1582" s="62">
        <f>F1582*(G1582-H1582)</f>
        <v/>
      </c>
      <c r="L1582" s="62">
        <f>K1582-(F1582*I1582)</f>
        <v/>
      </c>
      <c r="M1582" s="64">
        <f>L1582/K1582</f>
        <v/>
      </c>
    </row>
    <row r="1583">
      <c r="A1583" s="58" t="inlineStr">
        <is>
          <t>RT20250210-01582</t>
        </is>
      </c>
      <c r="B1583" s="59" t="inlineStr">
        <is>
          <t>2025-02-10</t>
        </is>
      </c>
      <c r="C1583" s="60" t="inlineStr">
        <is>
          <t>Solace Kitchen X-919</t>
        </is>
      </c>
      <c r="D1583" s="58" t="inlineStr">
        <is>
          <t>Home</t>
        </is>
      </c>
      <c r="E1583" s="58" t="inlineStr">
        <is>
          <t>South</t>
        </is>
      </c>
      <c r="F1583" s="61" t="n">
        <v>1</v>
      </c>
      <c r="G1583" s="62" t="n">
        <v>354.76</v>
      </c>
      <c r="H1583" s="63" t="n">
        <v>0.066</v>
      </c>
      <c r="I1583" s="62" t="n">
        <v>267.09</v>
      </c>
      <c r="J1583" s="58" t="inlineStr">
        <is>
          <t>Online</t>
        </is>
      </c>
      <c r="K1583" s="62">
        <f>F1583*(G1583-H1583)</f>
        <v/>
      </c>
      <c r="L1583" s="62">
        <f>K1583-(F1583*I1583)</f>
        <v/>
      </c>
      <c r="M1583" s="64">
        <f>L1583/K1583</f>
        <v/>
      </c>
    </row>
    <row r="1584">
      <c r="A1584" s="58" t="inlineStr">
        <is>
          <t>RT20250210-01583</t>
        </is>
      </c>
      <c r="B1584" s="59" t="inlineStr">
        <is>
          <t>2025-02-10</t>
        </is>
      </c>
      <c r="C1584" s="60" t="inlineStr">
        <is>
          <t>Falcon Team Sport Lite-268</t>
        </is>
      </c>
      <c r="D1584" s="58" t="inlineStr">
        <is>
          <t>Sports</t>
        </is>
      </c>
      <c r="E1584" s="58" t="inlineStr">
        <is>
          <t>East</t>
        </is>
      </c>
      <c r="F1584" s="61" t="n">
        <v>1</v>
      </c>
      <c r="G1584" s="62" t="n">
        <v>721.54</v>
      </c>
      <c r="H1584" s="63" t="n">
        <v>0.125</v>
      </c>
      <c r="I1584" s="62" t="n">
        <v>424.01</v>
      </c>
      <c r="J1584" s="58" t="inlineStr">
        <is>
          <t>Store</t>
        </is>
      </c>
      <c r="K1584" s="62">
        <f>F1584*(G1584-H1584)</f>
        <v/>
      </c>
      <c r="L1584" s="62">
        <f>K1584-(F1584*I1584)</f>
        <v/>
      </c>
      <c r="M1584" s="64">
        <f>L1584/K1584</f>
        <v/>
      </c>
    </row>
    <row r="1585">
      <c r="A1585" s="58" t="inlineStr">
        <is>
          <t>RT20250210-01584</t>
        </is>
      </c>
      <c r="B1585" s="59" t="inlineStr">
        <is>
          <t>2025-02-10</t>
        </is>
      </c>
      <c r="C1585" s="60" t="inlineStr">
        <is>
          <t>Falcon Skincare Max-151</t>
        </is>
      </c>
      <c r="D1585" s="58" t="inlineStr">
        <is>
          <t>Beauty</t>
        </is>
      </c>
      <c r="E1585" s="58" t="inlineStr">
        <is>
          <t>East</t>
        </is>
      </c>
      <c r="F1585" s="61" t="n">
        <v>2</v>
      </c>
      <c r="G1585" s="62" t="n">
        <v>100.58</v>
      </c>
      <c r="H1585" s="63" t="n">
        <v>0.067</v>
      </c>
      <c r="I1585" s="62" t="n">
        <v>59.4</v>
      </c>
      <c r="J1585" s="58" t="inlineStr">
        <is>
          <t>Store</t>
        </is>
      </c>
      <c r="K1585" s="62">
        <f>F1585*(G1585-H1585)</f>
        <v/>
      </c>
      <c r="L1585" s="62">
        <f>K1585-(F1585*I1585)</f>
        <v/>
      </c>
      <c r="M1585" s="64">
        <f>L1585/K1585</f>
        <v/>
      </c>
    </row>
    <row r="1586">
      <c r="A1586" s="58" t="inlineStr">
        <is>
          <t>RT20250210-01585</t>
        </is>
      </c>
      <c r="B1586" s="59" t="inlineStr">
        <is>
          <t>2025-02-10</t>
        </is>
      </c>
      <c r="C1586" s="60" t="inlineStr">
        <is>
          <t>Metro Pantry Max-180</t>
        </is>
      </c>
      <c r="D1586" s="58" t="inlineStr">
        <is>
          <t>Grocery</t>
        </is>
      </c>
      <c r="E1586" s="58" t="inlineStr">
        <is>
          <t>Central</t>
        </is>
      </c>
      <c r="F1586" s="61" t="n">
        <v>8</v>
      </c>
      <c r="G1586" s="62" t="n">
        <v>9.390000000000001</v>
      </c>
      <c r="H1586" s="63" t="n">
        <v>0.05</v>
      </c>
      <c r="I1586" s="62" t="n">
        <v>6.69</v>
      </c>
      <c r="J1586" s="58" t="inlineStr">
        <is>
          <t>Store</t>
        </is>
      </c>
      <c r="K1586" s="62">
        <f>F1586*(G1586-H1586)</f>
        <v/>
      </c>
      <c r="L1586" s="62">
        <f>K1586-(F1586*I1586)</f>
        <v/>
      </c>
      <c r="M1586" s="64">
        <f>L1586/K1586</f>
        <v/>
      </c>
    </row>
    <row r="1587">
      <c r="A1587" s="58" t="inlineStr">
        <is>
          <t>RT20250210-01586</t>
        </is>
      </c>
      <c r="B1587" s="59" t="inlineStr">
        <is>
          <t>2025-02-10</t>
        </is>
      </c>
      <c r="C1587" s="60" t="inlineStr">
        <is>
          <t>Aurora Furniture X-709</t>
        </is>
      </c>
      <c r="D1587" s="58" t="inlineStr">
        <is>
          <t>Office</t>
        </is>
      </c>
      <c r="E1587" s="58" t="inlineStr">
        <is>
          <t>North</t>
        </is>
      </c>
      <c r="F1587" s="61" t="n">
        <v>1</v>
      </c>
      <c r="G1587" s="62" t="n">
        <v>427.55</v>
      </c>
      <c r="H1587" s="63" t="n">
        <v>0.001</v>
      </c>
      <c r="I1587" s="62" t="n">
        <v>308.26</v>
      </c>
      <c r="J1587" s="58" t="inlineStr">
        <is>
          <t>Online</t>
        </is>
      </c>
      <c r="K1587" s="62">
        <f>F1587*(G1587-H1587)</f>
        <v/>
      </c>
      <c r="L1587" s="62">
        <f>K1587-(F1587*I1587)</f>
        <v/>
      </c>
      <c r="M1587" s="64">
        <f>L1587/K1587</f>
        <v/>
      </c>
    </row>
    <row r="1588">
      <c r="A1588" s="58" t="inlineStr">
        <is>
          <t>RT20250210-01587</t>
        </is>
      </c>
      <c r="B1588" s="59" t="inlineStr">
        <is>
          <t>2025-02-10</t>
        </is>
      </c>
      <c r="C1588" s="60" t="inlineStr">
        <is>
          <t>Polar Pantry Lite-392</t>
        </is>
      </c>
      <c r="D1588" s="58" t="inlineStr">
        <is>
          <t>Grocery</t>
        </is>
      </c>
      <c r="E1588" s="58" t="inlineStr">
        <is>
          <t>South</t>
        </is>
      </c>
      <c r="F1588" s="61" t="n">
        <v>5</v>
      </c>
      <c r="G1588" s="62" t="n">
        <v>5.99</v>
      </c>
      <c r="H1588" s="63" t="n">
        <v>0.081</v>
      </c>
      <c r="I1588" s="62" t="n">
        <v>4.62</v>
      </c>
      <c r="J1588" s="58" t="inlineStr">
        <is>
          <t>Store</t>
        </is>
      </c>
      <c r="K1588" s="62">
        <f>F1588*(G1588-H1588)</f>
        <v/>
      </c>
      <c r="L1588" s="62">
        <f>K1588-(F1588*I1588)</f>
        <v/>
      </c>
      <c r="M1588" s="64">
        <f>L1588/K1588</f>
        <v/>
      </c>
    </row>
    <row r="1589">
      <c r="A1589" s="58" t="inlineStr">
        <is>
          <t>RT20250210-01588</t>
        </is>
      </c>
      <c r="B1589" s="59" t="inlineStr">
        <is>
          <t>2025-02-10</t>
        </is>
      </c>
      <c r="C1589" s="60" t="inlineStr">
        <is>
          <t>Aurora Skincare Max-798</t>
        </is>
      </c>
      <c r="D1589" s="58" t="inlineStr">
        <is>
          <t>Beauty</t>
        </is>
      </c>
      <c r="E1589" s="58" t="inlineStr">
        <is>
          <t>Central</t>
        </is>
      </c>
      <c r="F1589" s="61" t="n">
        <v>1</v>
      </c>
      <c r="G1589" s="62" t="n">
        <v>124.33</v>
      </c>
      <c r="H1589" s="63" t="n">
        <v>0.092</v>
      </c>
      <c r="I1589" s="62" t="n">
        <v>70.47</v>
      </c>
      <c r="J1589" s="58" t="inlineStr">
        <is>
          <t>Store</t>
        </is>
      </c>
      <c r="K1589" s="62">
        <f>F1589*(G1589-H1589)</f>
        <v/>
      </c>
      <c r="L1589" s="62">
        <f>K1589-(F1589*I1589)</f>
        <v/>
      </c>
      <c r="M1589" s="64">
        <f>L1589/K1589</f>
        <v/>
      </c>
    </row>
    <row r="1590">
      <c r="A1590" s="58" t="inlineStr">
        <is>
          <t>RT20250210-01589</t>
        </is>
      </c>
      <c r="B1590" s="59" t="inlineStr">
        <is>
          <t>2025-02-10</t>
        </is>
      </c>
      <c r="C1590" s="60" t="inlineStr">
        <is>
          <t>Polar Laptop Plus-984</t>
        </is>
      </c>
      <c r="D1590" s="58" t="inlineStr">
        <is>
          <t>Electronics</t>
        </is>
      </c>
      <c r="E1590" s="58" t="inlineStr">
        <is>
          <t>Central</t>
        </is>
      </c>
      <c r="F1590" s="61" t="n">
        <v>1</v>
      </c>
      <c r="G1590" s="62" t="n">
        <v>1315.62</v>
      </c>
      <c r="H1590" s="63" t="n">
        <v>0.078</v>
      </c>
      <c r="I1590" s="62" t="n">
        <v>984.27</v>
      </c>
      <c r="J1590" s="58" t="inlineStr">
        <is>
          <t>Online</t>
        </is>
      </c>
      <c r="K1590" s="62">
        <f>F1590*(G1590-H1590)</f>
        <v/>
      </c>
      <c r="L1590" s="62">
        <f>K1590-(F1590*I1590)</f>
        <v/>
      </c>
      <c r="M1590" s="64">
        <f>L1590/K1590</f>
        <v/>
      </c>
    </row>
    <row r="1591">
      <c r="A1591" s="58" t="inlineStr">
        <is>
          <t>RT20250210-01590</t>
        </is>
      </c>
      <c r="B1591" s="59" t="inlineStr">
        <is>
          <t>2025-02-10</t>
        </is>
      </c>
      <c r="C1591" s="60" t="inlineStr">
        <is>
          <t>Aurora Wearable Lite-704</t>
        </is>
      </c>
      <c r="D1591" s="58" t="inlineStr">
        <is>
          <t>Electronics</t>
        </is>
      </c>
      <c r="E1591" s="58" t="inlineStr">
        <is>
          <t>North</t>
        </is>
      </c>
      <c r="F1591" s="61" t="n">
        <v>1</v>
      </c>
      <c r="G1591" s="62" t="n">
        <v>1919.31</v>
      </c>
      <c r="H1591" s="63" t="n">
        <v>0.052</v>
      </c>
      <c r="I1591" s="62" t="n">
        <v>1441.48</v>
      </c>
      <c r="J1591" s="58" t="inlineStr">
        <is>
          <t>Online</t>
        </is>
      </c>
      <c r="K1591" s="62">
        <f>F1591*(G1591-H1591)</f>
        <v/>
      </c>
      <c r="L1591" s="62">
        <f>K1591-(F1591*I1591)</f>
        <v/>
      </c>
      <c r="M1591" s="64">
        <f>L1591/K1591</f>
        <v/>
      </c>
    </row>
    <row r="1592">
      <c r="A1592" s="58" t="inlineStr">
        <is>
          <t>RT20250210-01591</t>
        </is>
      </c>
      <c r="B1592" s="59" t="inlineStr">
        <is>
          <t>2025-02-10</t>
        </is>
      </c>
      <c r="C1592" s="60" t="inlineStr">
        <is>
          <t>Falcon Bedding S-674</t>
        </is>
      </c>
      <c r="D1592" s="58" t="inlineStr">
        <is>
          <t>Home</t>
        </is>
      </c>
      <c r="E1592" s="58" t="inlineStr">
        <is>
          <t>Central</t>
        </is>
      </c>
      <c r="F1592" s="61" t="n">
        <v>3</v>
      </c>
      <c r="G1592" s="62" t="n">
        <v>774.58</v>
      </c>
      <c r="H1592" s="63" t="n">
        <v>0.099</v>
      </c>
      <c r="I1592" s="62" t="n">
        <v>452.61</v>
      </c>
      <c r="J1592" s="58" t="inlineStr">
        <is>
          <t>Store</t>
        </is>
      </c>
      <c r="K1592" s="62">
        <f>F1592*(G1592-H1592)</f>
        <v/>
      </c>
      <c r="L1592" s="62">
        <f>K1592-(F1592*I1592)</f>
        <v/>
      </c>
      <c r="M1592" s="64">
        <f>L1592/K1592</f>
        <v/>
      </c>
    </row>
    <row r="1593">
      <c r="A1593" s="58" t="inlineStr">
        <is>
          <t>RT20250210-01592</t>
        </is>
      </c>
      <c r="B1593" s="59" t="inlineStr">
        <is>
          <t>2025-02-10</t>
        </is>
      </c>
      <c r="C1593" s="60" t="inlineStr">
        <is>
          <t>Vertex Pantry Pro-165</t>
        </is>
      </c>
      <c r="D1593" s="58" t="inlineStr">
        <is>
          <t>Grocery</t>
        </is>
      </c>
      <c r="E1593" s="58" t="inlineStr">
        <is>
          <t>East</t>
        </is>
      </c>
      <c r="F1593" s="61" t="n">
        <v>6</v>
      </c>
      <c r="G1593" s="62" t="n">
        <v>16.8</v>
      </c>
      <c r="H1593" s="63" t="n">
        <v>0.08599999999999999</v>
      </c>
      <c r="I1593" s="62" t="n">
        <v>11.61</v>
      </c>
      <c r="J1593" s="58" t="inlineStr">
        <is>
          <t>Store</t>
        </is>
      </c>
      <c r="K1593" s="62">
        <f>F1593*(G1593-H1593)</f>
        <v/>
      </c>
      <c r="L1593" s="62">
        <f>K1593-(F1593*I1593)</f>
        <v/>
      </c>
      <c r="M1593" s="64">
        <f>L1593/K1593</f>
        <v/>
      </c>
    </row>
    <row r="1594">
      <c r="A1594" s="58" t="inlineStr">
        <is>
          <t>RT20250210-01593</t>
        </is>
      </c>
      <c r="B1594" s="59" t="inlineStr">
        <is>
          <t>2025-02-10</t>
        </is>
      </c>
      <c r="C1594" s="60" t="inlineStr">
        <is>
          <t>Polar Cycling X-649</t>
        </is>
      </c>
      <c r="D1594" s="58" t="inlineStr">
        <is>
          <t>Sports</t>
        </is>
      </c>
      <c r="E1594" s="58" t="inlineStr">
        <is>
          <t>South</t>
        </is>
      </c>
      <c r="F1594" s="61" t="n">
        <v>1</v>
      </c>
      <c r="G1594" s="62" t="n">
        <v>508.07</v>
      </c>
      <c r="H1594" s="63" t="n">
        <v>0.096</v>
      </c>
      <c r="I1594" s="62" t="n">
        <v>360.8</v>
      </c>
      <c r="J1594" s="58" t="inlineStr">
        <is>
          <t>Store</t>
        </is>
      </c>
      <c r="K1594" s="62">
        <f>F1594*(G1594-H1594)</f>
        <v/>
      </c>
      <c r="L1594" s="62">
        <f>K1594-(F1594*I1594)</f>
        <v/>
      </c>
      <c r="M1594" s="64">
        <f>L1594/K1594</f>
        <v/>
      </c>
    </row>
    <row r="1595">
      <c r="A1595" s="58" t="inlineStr">
        <is>
          <t>RT20250210-01594</t>
        </is>
      </c>
      <c r="B1595" s="59" t="inlineStr">
        <is>
          <t>2025-02-10</t>
        </is>
      </c>
      <c r="C1595" s="60" t="inlineStr">
        <is>
          <t>Vertex Supplie X-513</t>
        </is>
      </c>
      <c r="D1595" s="58" t="inlineStr">
        <is>
          <t>Office</t>
        </is>
      </c>
      <c r="E1595" s="58" t="inlineStr">
        <is>
          <t>East</t>
        </is>
      </c>
      <c r="F1595" s="61" t="n">
        <v>3</v>
      </c>
      <c r="G1595" s="62" t="n">
        <v>381.95</v>
      </c>
      <c r="H1595" s="63" t="n">
        <v>0.06</v>
      </c>
      <c r="I1595" s="62" t="n">
        <v>272.29</v>
      </c>
      <c r="J1595" s="58" t="inlineStr">
        <is>
          <t>Store</t>
        </is>
      </c>
      <c r="K1595" s="62">
        <f>F1595*(G1595-H1595)</f>
        <v/>
      </c>
      <c r="L1595" s="62">
        <f>K1595-(F1595*I1595)</f>
        <v/>
      </c>
      <c r="M1595" s="64">
        <f>L1595/K1595</f>
        <v/>
      </c>
    </row>
    <row r="1596">
      <c r="A1596" s="58" t="inlineStr">
        <is>
          <t>RT20250210-01595</t>
        </is>
      </c>
      <c r="B1596" s="59" t="inlineStr">
        <is>
          <t>2025-02-10</t>
        </is>
      </c>
      <c r="C1596" s="60" t="inlineStr">
        <is>
          <t>Nimbus Fitnes Lite-516</t>
        </is>
      </c>
      <c r="D1596" s="58" t="inlineStr">
        <is>
          <t>Sports</t>
        </is>
      </c>
      <c r="E1596" s="58" t="inlineStr">
        <is>
          <t>Central</t>
        </is>
      </c>
      <c r="F1596" s="61" t="n">
        <v>1</v>
      </c>
      <c r="G1596" s="62" t="n">
        <v>716.29</v>
      </c>
      <c r="H1596" s="63" t="n">
        <v>0.029</v>
      </c>
      <c r="I1596" s="62" t="n">
        <v>458.99</v>
      </c>
      <c r="J1596" s="58" t="inlineStr">
        <is>
          <t>Online</t>
        </is>
      </c>
      <c r="K1596" s="62">
        <f>F1596*(G1596-H1596)</f>
        <v/>
      </c>
      <c r="L1596" s="62">
        <f>K1596-(F1596*I1596)</f>
        <v/>
      </c>
      <c r="M1596" s="64">
        <f>L1596/K1596</f>
        <v/>
      </c>
    </row>
    <row r="1597">
      <c r="A1597" s="58" t="inlineStr">
        <is>
          <t>RT20250210-01596</t>
        </is>
      </c>
      <c r="B1597" s="59" t="inlineStr">
        <is>
          <t>2025-02-10</t>
        </is>
      </c>
      <c r="C1597" s="60" t="inlineStr">
        <is>
          <t>Orion Kid Max-640</t>
        </is>
      </c>
      <c r="D1597" s="58" t="inlineStr">
        <is>
          <t>Apparel</t>
        </is>
      </c>
      <c r="E1597" s="58" t="inlineStr">
        <is>
          <t>West</t>
        </is>
      </c>
      <c r="F1597" s="61" t="n">
        <v>3</v>
      </c>
      <c r="G1597" s="62" t="n">
        <v>115.8</v>
      </c>
      <c r="H1597" s="63" t="n">
        <v>0.104</v>
      </c>
      <c r="I1597" s="62" t="n">
        <v>69.58</v>
      </c>
      <c r="J1597" s="58" t="inlineStr">
        <is>
          <t>Online</t>
        </is>
      </c>
      <c r="K1597" s="62">
        <f>F1597*(G1597-H1597)</f>
        <v/>
      </c>
      <c r="L1597" s="62">
        <f>K1597-(F1597*I1597)</f>
        <v/>
      </c>
      <c r="M1597" s="64">
        <f>L1597/K1597</f>
        <v/>
      </c>
    </row>
    <row r="1598">
      <c r="A1598" s="58" t="inlineStr">
        <is>
          <t>RT20250210-01597</t>
        </is>
      </c>
      <c r="B1598" s="59" t="inlineStr">
        <is>
          <t>2025-02-10</t>
        </is>
      </c>
      <c r="C1598" s="60" t="inlineStr">
        <is>
          <t>Metro Laptop Plus-376</t>
        </is>
      </c>
      <c r="D1598" s="58" t="inlineStr">
        <is>
          <t>Electronics</t>
        </is>
      </c>
      <c r="E1598" s="58" t="inlineStr">
        <is>
          <t>North</t>
        </is>
      </c>
      <c r="F1598" s="61" t="n">
        <v>1</v>
      </c>
      <c r="G1598" s="62" t="n">
        <v>1509.08</v>
      </c>
      <c r="H1598" s="63" t="n">
        <v>0.037</v>
      </c>
      <c r="I1598" s="62" t="n">
        <v>1037.94</v>
      </c>
      <c r="J1598" s="58" t="inlineStr">
        <is>
          <t>Online</t>
        </is>
      </c>
      <c r="K1598" s="62">
        <f>F1598*(G1598-H1598)</f>
        <v/>
      </c>
      <c r="L1598" s="62">
        <f>K1598-(F1598*I1598)</f>
        <v/>
      </c>
      <c r="M1598" s="64">
        <f>L1598/K1598</f>
        <v/>
      </c>
    </row>
    <row r="1599">
      <c r="A1599" s="58" t="inlineStr">
        <is>
          <t>RT20250210-01598</t>
        </is>
      </c>
      <c r="B1599" s="59" t="inlineStr">
        <is>
          <t>2025-02-10</t>
        </is>
      </c>
      <c r="C1599" s="60" t="inlineStr">
        <is>
          <t>Metro Accessorie Lite-697</t>
        </is>
      </c>
      <c r="D1599" s="58" t="inlineStr">
        <is>
          <t>Apparel</t>
        </is>
      </c>
      <c r="E1599" s="58" t="inlineStr">
        <is>
          <t>West</t>
        </is>
      </c>
      <c r="F1599" s="61" t="n">
        <v>1</v>
      </c>
      <c r="G1599" s="62" t="n">
        <v>128.3</v>
      </c>
      <c r="H1599" s="63" t="n">
        <v>0.108</v>
      </c>
      <c r="I1599" s="62" t="n">
        <v>78.16</v>
      </c>
      <c r="J1599" s="58" t="inlineStr">
        <is>
          <t>Online</t>
        </is>
      </c>
      <c r="K1599" s="62">
        <f>F1599*(G1599-H1599)</f>
        <v/>
      </c>
      <c r="L1599" s="62">
        <f>K1599-(F1599*I1599)</f>
        <v/>
      </c>
      <c r="M1599" s="64">
        <f>L1599/K1599</f>
        <v/>
      </c>
    </row>
    <row r="1600">
      <c r="A1600" s="58" t="inlineStr">
        <is>
          <t>RT20250210-01599</t>
        </is>
      </c>
      <c r="B1600" s="59" t="inlineStr">
        <is>
          <t>2025-02-10</t>
        </is>
      </c>
      <c r="C1600" s="60" t="inlineStr">
        <is>
          <t>Nimbus Headphone X-854</t>
        </is>
      </c>
      <c r="D1600" s="58" t="inlineStr">
        <is>
          <t>Electronics</t>
        </is>
      </c>
      <c r="E1600" s="58" t="inlineStr">
        <is>
          <t>Central</t>
        </is>
      </c>
      <c r="F1600" s="61" t="n">
        <v>2</v>
      </c>
      <c r="G1600" s="62" t="n">
        <v>1630.13</v>
      </c>
      <c r="H1600" s="63" t="n">
        <v>0.03</v>
      </c>
      <c r="I1600" s="62" t="n">
        <v>1257.88</v>
      </c>
      <c r="J1600" s="58" t="inlineStr">
        <is>
          <t>Online</t>
        </is>
      </c>
      <c r="K1600" s="62">
        <f>F1600*(G1600-H1600)</f>
        <v/>
      </c>
      <c r="L1600" s="62">
        <f>K1600-(F1600*I1600)</f>
        <v/>
      </c>
      <c r="M1600" s="64">
        <f>L1600/K1600</f>
        <v/>
      </c>
    </row>
    <row r="1601">
      <c r="A1601" s="58" t="inlineStr">
        <is>
          <t>RT20250210-01600</t>
        </is>
      </c>
      <c r="B1601" s="59" t="inlineStr">
        <is>
          <t>2025-02-10</t>
        </is>
      </c>
      <c r="C1601" s="60" t="inlineStr">
        <is>
          <t>Aurora Furniture X-709</t>
        </is>
      </c>
      <c r="D1601" s="58" t="inlineStr">
        <is>
          <t>Office</t>
        </is>
      </c>
      <c r="E1601" s="58" t="inlineStr">
        <is>
          <t>West</t>
        </is>
      </c>
      <c r="F1601" s="61" t="n">
        <v>2</v>
      </c>
      <c r="G1601" s="62" t="n">
        <v>448.09</v>
      </c>
      <c r="H1601" s="63" t="n">
        <v>0.051</v>
      </c>
      <c r="I1601" s="62" t="n">
        <v>303.54</v>
      </c>
      <c r="J1601" s="58" t="inlineStr">
        <is>
          <t>Store</t>
        </is>
      </c>
      <c r="K1601" s="62">
        <f>F1601*(G1601-H1601)</f>
        <v/>
      </c>
      <c r="L1601" s="62">
        <f>K1601-(F1601*I1601)</f>
        <v/>
      </c>
      <c r="M1601" s="64">
        <f>L1601/K1601</f>
        <v/>
      </c>
    </row>
    <row r="1602">
      <c r="A1602" s="58" t="inlineStr">
        <is>
          <t>RT20250210-01601</t>
        </is>
      </c>
      <c r="B1602" s="59" t="inlineStr">
        <is>
          <t>2025-02-10</t>
        </is>
      </c>
      <c r="C1602" s="60" t="inlineStr">
        <is>
          <t>Falcon Kitchen X-130</t>
        </is>
      </c>
      <c r="D1602" s="58" t="inlineStr">
        <is>
          <t>Home</t>
        </is>
      </c>
      <c r="E1602" s="58" t="inlineStr">
        <is>
          <t>East</t>
        </is>
      </c>
      <c r="F1602" s="61" t="n">
        <v>1</v>
      </c>
      <c r="G1602" s="62" t="n">
        <v>430.24</v>
      </c>
      <c r="H1602" s="63" t="n">
        <v>0.062</v>
      </c>
      <c r="I1602" s="62" t="n">
        <v>285.25</v>
      </c>
      <c r="J1602" s="58" t="inlineStr">
        <is>
          <t>Online</t>
        </is>
      </c>
      <c r="K1602" s="62">
        <f>F1602*(G1602-H1602)</f>
        <v/>
      </c>
      <c r="L1602" s="62">
        <f>K1602-(F1602*I1602)</f>
        <v/>
      </c>
      <c r="M1602" s="64">
        <f>L1602/K1602</f>
        <v/>
      </c>
    </row>
    <row r="1603">
      <c r="A1603" s="58" t="inlineStr">
        <is>
          <t>RT20250210-01602</t>
        </is>
      </c>
      <c r="B1603" s="59" t="inlineStr">
        <is>
          <t>2025-02-10</t>
        </is>
      </c>
      <c r="C1603" s="60" t="inlineStr">
        <is>
          <t>Orion Snack X-322</t>
        </is>
      </c>
      <c r="D1603" s="58" t="inlineStr">
        <is>
          <t>Grocery</t>
        </is>
      </c>
      <c r="E1603" s="58" t="inlineStr">
        <is>
          <t>Central</t>
        </is>
      </c>
      <c r="F1603" s="61" t="n">
        <v>4</v>
      </c>
      <c r="G1603" s="62" t="n">
        <v>12.94</v>
      </c>
      <c r="H1603" s="63" t="n">
        <v>0.049</v>
      </c>
      <c r="I1603" s="62" t="n">
        <v>10.35</v>
      </c>
      <c r="J1603" s="58" t="inlineStr">
        <is>
          <t>Online</t>
        </is>
      </c>
      <c r="K1603" s="62">
        <f>F1603*(G1603-H1603)</f>
        <v/>
      </c>
      <c r="L1603" s="62">
        <f>K1603-(F1603*I1603)</f>
        <v/>
      </c>
      <c r="M1603" s="64">
        <f>L1603/K1603</f>
        <v/>
      </c>
    </row>
    <row r="1604">
      <c r="A1604" s="58" t="inlineStr">
        <is>
          <t>RT20250210-01603</t>
        </is>
      </c>
      <c r="B1604" s="59" t="inlineStr">
        <is>
          <t>2025-02-10</t>
        </is>
      </c>
      <c r="C1604" s="60" t="inlineStr">
        <is>
          <t>Falcon Skincare X-334</t>
        </is>
      </c>
      <c r="D1604" s="58" t="inlineStr">
        <is>
          <t>Beauty</t>
        </is>
      </c>
      <c r="E1604" s="58" t="inlineStr">
        <is>
          <t>West</t>
        </is>
      </c>
      <c r="F1604" s="61" t="n">
        <v>4</v>
      </c>
      <c r="G1604" s="62" t="n">
        <v>102.33</v>
      </c>
      <c r="H1604" s="63" t="n">
        <v>0.078</v>
      </c>
      <c r="I1604" s="62" t="n">
        <v>65.62</v>
      </c>
      <c r="J1604" s="58" t="inlineStr">
        <is>
          <t>Online</t>
        </is>
      </c>
      <c r="K1604" s="62">
        <f>F1604*(G1604-H1604)</f>
        <v/>
      </c>
      <c r="L1604" s="62">
        <f>K1604-(F1604*I1604)</f>
        <v/>
      </c>
      <c r="M1604" s="64">
        <f>L1604/K1604</f>
        <v/>
      </c>
    </row>
    <row r="1605">
      <c r="A1605" s="58" t="inlineStr">
        <is>
          <t>RT20250210-01604</t>
        </is>
      </c>
      <c r="B1605" s="59" t="inlineStr">
        <is>
          <t>2025-02-10</t>
        </is>
      </c>
      <c r="C1605" s="60" t="inlineStr">
        <is>
          <t>Aurora Makeup Pro-489</t>
        </is>
      </c>
      <c r="D1605" s="58" t="inlineStr">
        <is>
          <t>Beauty</t>
        </is>
      </c>
      <c r="E1605" s="58" t="inlineStr">
        <is>
          <t>South</t>
        </is>
      </c>
      <c r="F1605" s="61" t="n">
        <v>3</v>
      </c>
      <c r="G1605" s="62" t="n">
        <v>94.2</v>
      </c>
      <c r="H1605" s="63" t="n">
        <v>0.036</v>
      </c>
      <c r="I1605" s="62" t="n">
        <v>62.84</v>
      </c>
      <c r="J1605" s="58" t="inlineStr">
        <is>
          <t>Store</t>
        </is>
      </c>
      <c r="K1605" s="62">
        <f>F1605*(G1605-H1605)</f>
        <v/>
      </c>
      <c r="L1605" s="62">
        <f>K1605-(F1605*I1605)</f>
        <v/>
      </c>
      <c r="M1605" s="64">
        <f>L1605/K1605</f>
        <v/>
      </c>
    </row>
    <row r="1606">
      <c r="A1606" s="58" t="inlineStr">
        <is>
          <t>RT20250210-01605</t>
        </is>
      </c>
      <c r="B1606" s="59" t="inlineStr">
        <is>
          <t>2025-02-10</t>
        </is>
      </c>
      <c r="C1606" s="60" t="inlineStr">
        <is>
          <t>Solace Makeup Pro-214</t>
        </is>
      </c>
      <c r="D1606" s="58" t="inlineStr">
        <is>
          <t>Beauty</t>
        </is>
      </c>
      <c r="E1606" s="58" t="inlineStr">
        <is>
          <t>East</t>
        </is>
      </c>
      <c r="F1606" s="61" t="n">
        <v>2</v>
      </c>
      <c r="G1606" s="62" t="n">
        <v>112.58</v>
      </c>
      <c r="H1606" s="63" t="n">
        <v>0.024</v>
      </c>
      <c r="I1606" s="62" t="n">
        <v>69.70999999999999</v>
      </c>
      <c r="J1606" s="58" t="inlineStr">
        <is>
          <t>Online</t>
        </is>
      </c>
      <c r="K1606" s="62">
        <f>F1606*(G1606-H1606)</f>
        <v/>
      </c>
      <c r="L1606" s="62">
        <f>K1606-(F1606*I1606)</f>
        <v/>
      </c>
      <c r="M1606" s="64">
        <f>L1606/K1606</f>
        <v/>
      </c>
    </row>
    <row r="1607">
      <c r="A1607" s="58" t="inlineStr">
        <is>
          <t>RT20250210-01606</t>
        </is>
      </c>
      <c r="B1607" s="59" t="inlineStr">
        <is>
          <t>2025-02-10</t>
        </is>
      </c>
      <c r="C1607" s="60" t="inlineStr">
        <is>
          <t>Falcon Storage X-734</t>
        </is>
      </c>
      <c r="D1607" s="58" t="inlineStr">
        <is>
          <t>Office</t>
        </is>
      </c>
      <c r="E1607" s="58" t="inlineStr">
        <is>
          <t>East</t>
        </is>
      </c>
      <c r="F1607" s="61" t="n">
        <v>1</v>
      </c>
      <c r="G1607" s="62" t="n">
        <v>381.13</v>
      </c>
      <c r="H1607" s="63" t="n">
        <v>0.111</v>
      </c>
      <c r="I1607" s="62" t="n">
        <v>283.77</v>
      </c>
      <c r="J1607" s="58" t="inlineStr">
        <is>
          <t>Online</t>
        </is>
      </c>
      <c r="K1607" s="62">
        <f>F1607*(G1607-H1607)</f>
        <v/>
      </c>
      <c r="L1607" s="62">
        <f>K1607-(F1607*I1607)</f>
        <v/>
      </c>
      <c r="M1607" s="64">
        <f>L1607/K1607</f>
        <v/>
      </c>
    </row>
    <row r="1608">
      <c r="A1608" s="58" t="inlineStr">
        <is>
          <t>RT20250210-01607</t>
        </is>
      </c>
      <c r="B1608" s="59" t="inlineStr">
        <is>
          <t>2025-02-10</t>
        </is>
      </c>
      <c r="C1608" s="60" t="inlineStr">
        <is>
          <t>Polar Wearable X-119</t>
        </is>
      </c>
      <c r="D1608" s="58" t="inlineStr">
        <is>
          <t>Electronics</t>
        </is>
      </c>
      <c r="E1608" s="58" t="inlineStr">
        <is>
          <t>South</t>
        </is>
      </c>
      <c r="F1608" s="61" t="n">
        <v>2</v>
      </c>
      <c r="G1608" s="62" t="n">
        <v>1662.01</v>
      </c>
      <c r="H1608" s="63" t="n">
        <v>0.013</v>
      </c>
      <c r="I1608" s="62" t="n">
        <v>1303.56</v>
      </c>
      <c r="J1608" s="58" t="inlineStr">
        <is>
          <t>Store</t>
        </is>
      </c>
      <c r="K1608" s="62">
        <f>F1608*(G1608-H1608)</f>
        <v/>
      </c>
      <c r="L1608" s="62">
        <f>K1608-(F1608*I1608)</f>
        <v/>
      </c>
      <c r="M1608" s="64">
        <f>L1608/K1608</f>
        <v/>
      </c>
    </row>
    <row r="1609">
      <c r="A1609" s="58" t="inlineStr">
        <is>
          <t>RT20250210-01608</t>
        </is>
      </c>
      <c r="B1609" s="59" t="inlineStr">
        <is>
          <t>2025-02-10</t>
        </is>
      </c>
      <c r="C1609" s="60" t="inlineStr">
        <is>
          <t>Orion Kitchen Pro-568</t>
        </is>
      </c>
      <c r="D1609" s="58" t="inlineStr">
        <is>
          <t>Home</t>
        </is>
      </c>
      <c r="E1609" s="58" t="inlineStr">
        <is>
          <t>South</t>
        </is>
      </c>
      <c r="F1609" s="61" t="n">
        <v>1</v>
      </c>
      <c r="G1609" s="62" t="n">
        <v>424.02</v>
      </c>
      <c r="H1609" s="63" t="n">
        <v>0.113</v>
      </c>
      <c r="I1609" s="62" t="n">
        <v>305.16</v>
      </c>
      <c r="J1609" s="58" t="inlineStr">
        <is>
          <t>Store</t>
        </is>
      </c>
      <c r="K1609" s="62">
        <f>F1609*(G1609-H1609)</f>
        <v/>
      </c>
      <c r="L1609" s="62">
        <f>K1609-(F1609*I1609)</f>
        <v/>
      </c>
      <c r="M1609" s="64">
        <f>L1609/K1609</f>
        <v/>
      </c>
    </row>
    <row r="1610">
      <c r="A1610" s="58" t="inlineStr">
        <is>
          <t>RT20250210-01609</t>
        </is>
      </c>
      <c r="B1610" s="59" t="inlineStr">
        <is>
          <t>2025-02-10</t>
        </is>
      </c>
      <c r="C1610" s="60" t="inlineStr">
        <is>
          <t>Polar Fragrance Pro-750</t>
        </is>
      </c>
      <c r="D1610" s="58" t="inlineStr">
        <is>
          <t>Beauty</t>
        </is>
      </c>
      <c r="E1610" s="58" t="inlineStr">
        <is>
          <t>South</t>
        </is>
      </c>
      <c r="F1610" s="61" t="n">
        <v>4</v>
      </c>
      <c r="G1610" s="62" t="n">
        <v>62.29</v>
      </c>
      <c r="H1610" s="63" t="n">
        <v>0.075</v>
      </c>
      <c r="I1610" s="62" t="n">
        <v>37.41</v>
      </c>
      <c r="J1610" s="58" t="inlineStr">
        <is>
          <t>Store</t>
        </is>
      </c>
      <c r="K1610" s="62">
        <f>F1610*(G1610-H1610)</f>
        <v/>
      </c>
      <c r="L1610" s="62">
        <f>K1610-(F1610*I1610)</f>
        <v/>
      </c>
      <c r="M1610" s="64">
        <f>L1610/K1610</f>
        <v/>
      </c>
    </row>
    <row r="1611">
      <c r="A1611" s="58" t="inlineStr">
        <is>
          <t>RT20250211-01610</t>
        </is>
      </c>
      <c r="B1611" s="59" t="inlineStr">
        <is>
          <t>2025-02-11</t>
        </is>
      </c>
      <c r="C1611" s="60" t="inlineStr">
        <is>
          <t>Falcon Wearable X-334</t>
        </is>
      </c>
      <c r="D1611" s="58" t="inlineStr">
        <is>
          <t>Electronics</t>
        </is>
      </c>
      <c r="E1611" s="58" t="inlineStr">
        <is>
          <t>West</t>
        </is>
      </c>
      <c r="F1611" s="61" t="n">
        <v>2</v>
      </c>
      <c r="G1611" s="62" t="n">
        <v>1756.65</v>
      </c>
      <c r="H1611" s="63" t="n">
        <v>0.07099999999999999</v>
      </c>
      <c r="I1611" s="62" t="n">
        <v>1507.13</v>
      </c>
      <c r="J1611" s="58" t="inlineStr">
        <is>
          <t>Online</t>
        </is>
      </c>
      <c r="K1611" s="62">
        <f>F1611*(G1611-H1611)</f>
        <v/>
      </c>
      <c r="L1611" s="62">
        <f>K1611-(F1611*I1611)</f>
        <v/>
      </c>
      <c r="M1611" s="64">
        <f>L1611/K1611</f>
        <v/>
      </c>
    </row>
    <row r="1612">
      <c r="A1612" s="58" t="inlineStr">
        <is>
          <t>RT20250211-01611</t>
        </is>
      </c>
      <c r="B1612" s="59" t="inlineStr">
        <is>
          <t>2025-02-11</t>
        </is>
      </c>
      <c r="C1612" s="60" t="inlineStr">
        <is>
          <t>Polar Women S-662</t>
        </is>
      </c>
      <c r="D1612" s="58" t="inlineStr">
        <is>
          <t>Apparel</t>
        </is>
      </c>
      <c r="E1612" s="58" t="inlineStr">
        <is>
          <t>South</t>
        </is>
      </c>
      <c r="F1612" s="61" t="n">
        <v>2</v>
      </c>
      <c r="G1612" s="62" t="n">
        <v>169.5</v>
      </c>
      <c r="H1612" s="63" t="n">
        <v>0.074</v>
      </c>
      <c r="I1612" s="62" t="n">
        <v>98.23999999999999</v>
      </c>
      <c r="J1612" s="58" t="inlineStr">
        <is>
          <t>Store</t>
        </is>
      </c>
      <c r="K1612" s="62">
        <f>F1612*(G1612-H1612)</f>
        <v/>
      </c>
      <c r="L1612" s="62">
        <f>K1612-(F1612*I1612)</f>
        <v/>
      </c>
      <c r="M1612" s="64">
        <f>L1612/K1612</f>
        <v/>
      </c>
    </row>
    <row r="1613">
      <c r="A1613" s="58" t="inlineStr">
        <is>
          <t>RT20250211-01612</t>
        </is>
      </c>
      <c r="B1613" s="59" t="inlineStr">
        <is>
          <t>2025-02-11</t>
        </is>
      </c>
      <c r="C1613" s="60" t="inlineStr">
        <is>
          <t>Falcon Skincare Max-151</t>
        </is>
      </c>
      <c r="D1613" s="58" t="inlineStr">
        <is>
          <t>Beauty</t>
        </is>
      </c>
      <c r="E1613" s="58" t="inlineStr">
        <is>
          <t>South</t>
        </is>
      </c>
      <c r="F1613" s="61" t="n">
        <v>4</v>
      </c>
      <c r="G1613" s="62" t="n">
        <v>113.81</v>
      </c>
      <c r="H1613" s="63" t="n">
        <v>0.08400000000000001</v>
      </c>
      <c r="I1613" s="62" t="n">
        <v>58.7</v>
      </c>
      <c r="J1613" s="58" t="inlineStr">
        <is>
          <t>Online</t>
        </is>
      </c>
      <c r="K1613" s="62">
        <f>F1613*(G1613-H1613)</f>
        <v/>
      </c>
      <c r="L1613" s="62">
        <f>K1613-(F1613*I1613)</f>
        <v/>
      </c>
      <c r="M1613" s="64">
        <f>L1613/K1613</f>
        <v/>
      </c>
    </row>
    <row r="1614">
      <c r="A1614" s="58" t="inlineStr">
        <is>
          <t>RT20250211-01613</t>
        </is>
      </c>
      <c r="B1614" s="59" t="inlineStr">
        <is>
          <t>2025-02-11</t>
        </is>
      </c>
      <c r="C1614" s="60" t="inlineStr">
        <is>
          <t>Solace Kitchen X-919</t>
        </is>
      </c>
      <c r="D1614" s="58" t="inlineStr">
        <is>
          <t>Home</t>
        </is>
      </c>
      <c r="E1614" s="58" t="inlineStr">
        <is>
          <t>North</t>
        </is>
      </c>
      <c r="F1614" s="61" t="n">
        <v>1</v>
      </c>
      <c r="G1614" s="62" t="n">
        <v>425.13</v>
      </c>
      <c r="H1614" s="63" t="n">
        <v>0.122</v>
      </c>
      <c r="I1614" s="62" t="n">
        <v>269.29</v>
      </c>
      <c r="J1614" s="58" t="inlineStr">
        <is>
          <t>Store</t>
        </is>
      </c>
      <c r="K1614" s="62">
        <f>F1614*(G1614-H1614)</f>
        <v/>
      </c>
      <c r="L1614" s="62">
        <f>K1614-(F1614*I1614)</f>
        <v/>
      </c>
      <c r="M1614" s="64">
        <f>L1614/K1614</f>
        <v/>
      </c>
    </row>
    <row r="1615">
      <c r="A1615" s="58" t="inlineStr">
        <is>
          <t>RT20250211-01614</t>
        </is>
      </c>
      <c r="B1615" s="59" t="inlineStr">
        <is>
          <t>2025-02-11</t>
        </is>
      </c>
      <c r="C1615" s="60" t="inlineStr">
        <is>
          <t>Falcon Household Plus-796</t>
        </is>
      </c>
      <c r="D1615" s="58" t="inlineStr">
        <is>
          <t>Grocery</t>
        </is>
      </c>
      <c r="E1615" s="58" t="inlineStr">
        <is>
          <t>North</t>
        </is>
      </c>
      <c r="F1615" s="61" t="n">
        <v>8</v>
      </c>
      <c r="G1615" s="62" t="n">
        <v>24.21</v>
      </c>
      <c r="H1615" s="63" t="n">
        <v>0.064</v>
      </c>
      <c r="I1615" s="62" t="n">
        <v>17.08</v>
      </c>
      <c r="J1615" s="58" t="inlineStr">
        <is>
          <t>Online</t>
        </is>
      </c>
      <c r="K1615" s="62">
        <f>F1615*(G1615-H1615)</f>
        <v/>
      </c>
      <c r="L1615" s="62">
        <f>K1615-(F1615*I1615)</f>
        <v/>
      </c>
      <c r="M1615" s="64">
        <f>L1615/K1615</f>
        <v/>
      </c>
    </row>
    <row r="1616">
      <c r="A1616" s="58" t="inlineStr">
        <is>
          <t>RT20250211-01615</t>
        </is>
      </c>
      <c r="B1616" s="59" t="inlineStr">
        <is>
          <t>2025-02-11</t>
        </is>
      </c>
      <c r="C1616" s="60" t="inlineStr">
        <is>
          <t>Solace Team Sport Max-548</t>
        </is>
      </c>
      <c r="D1616" s="58" t="inlineStr">
        <is>
          <t>Sports</t>
        </is>
      </c>
      <c r="E1616" s="58" t="inlineStr">
        <is>
          <t>West</t>
        </is>
      </c>
      <c r="F1616" s="61" t="n">
        <v>1</v>
      </c>
      <c r="G1616" s="62" t="n">
        <v>786.97</v>
      </c>
      <c r="H1616" s="63" t="n">
        <v>0.064</v>
      </c>
      <c r="I1616" s="62" t="n">
        <v>469.66</v>
      </c>
      <c r="J1616" s="58" t="inlineStr">
        <is>
          <t>Online</t>
        </is>
      </c>
      <c r="K1616" s="62">
        <f>F1616*(G1616-H1616)</f>
        <v/>
      </c>
      <c r="L1616" s="62">
        <f>K1616-(F1616*I1616)</f>
        <v/>
      </c>
      <c r="M1616" s="64">
        <f>L1616/K1616</f>
        <v/>
      </c>
    </row>
    <row r="1617">
      <c r="A1617" s="58" t="inlineStr">
        <is>
          <t>RT20250211-01616</t>
        </is>
      </c>
      <c r="B1617" s="59" t="inlineStr">
        <is>
          <t>2025-02-11</t>
        </is>
      </c>
      <c r="C1617" s="60" t="inlineStr">
        <is>
          <t>Aurora Fitnes Lite-194</t>
        </is>
      </c>
      <c r="D1617" s="58" t="inlineStr">
        <is>
          <t>Sports</t>
        </is>
      </c>
      <c r="E1617" s="58" t="inlineStr">
        <is>
          <t>Central</t>
        </is>
      </c>
      <c r="F1617" s="61" t="n">
        <v>3</v>
      </c>
      <c r="G1617" s="62" t="n">
        <v>670.49</v>
      </c>
      <c r="H1617" s="63" t="n">
        <v>0</v>
      </c>
      <c r="I1617" s="62" t="n">
        <v>454.3</v>
      </c>
      <c r="J1617" s="58" t="inlineStr">
        <is>
          <t>Online</t>
        </is>
      </c>
      <c r="K1617" s="62">
        <f>F1617*(G1617-H1617)</f>
        <v/>
      </c>
      <c r="L1617" s="62">
        <f>K1617-(F1617*I1617)</f>
        <v/>
      </c>
      <c r="M1617" s="64">
        <f>L1617/K1617</f>
        <v/>
      </c>
    </row>
    <row r="1618">
      <c r="A1618" s="58" t="inlineStr">
        <is>
          <t>RT20250211-01617</t>
        </is>
      </c>
      <c r="B1618" s="59" t="inlineStr">
        <is>
          <t>2025-02-11</t>
        </is>
      </c>
      <c r="C1618" s="60" t="inlineStr">
        <is>
          <t>Vertex Smartphone Lite-267</t>
        </is>
      </c>
      <c r="D1618" s="58" t="inlineStr">
        <is>
          <t>Electronics</t>
        </is>
      </c>
      <c r="E1618" s="58" t="inlineStr">
        <is>
          <t>West</t>
        </is>
      </c>
      <c r="F1618" s="61" t="n">
        <v>2</v>
      </c>
      <c r="G1618" s="62" t="n">
        <v>1336.49</v>
      </c>
      <c r="H1618" s="63" t="n">
        <v>0.1</v>
      </c>
      <c r="I1618" s="62" t="n">
        <v>962.54</v>
      </c>
      <c r="J1618" s="58" t="inlineStr">
        <is>
          <t>Store</t>
        </is>
      </c>
      <c r="K1618" s="62">
        <f>F1618*(G1618-H1618)</f>
        <v/>
      </c>
      <c r="L1618" s="62">
        <f>K1618-(F1618*I1618)</f>
        <v/>
      </c>
      <c r="M1618" s="64">
        <f>L1618/K1618</f>
        <v/>
      </c>
    </row>
    <row r="1619">
      <c r="A1619" s="58" t="inlineStr">
        <is>
          <t>RT20250211-01618</t>
        </is>
      </c>
      <c r="B1619" s="59" t="inlineStr">
        <is>
          <t>2025-02-11</t>
        </is>
      </c>
      <c r="C1619" s="60" t="inlineStr">
        <is>
          <t>Metro Pantry X-710</t>
        </is>
      </c>
      <c r="D1619" s="58" t="inlineStr">
        <is>
          <t>Grocery</t>
        </is>
      </c>
      <c r="E1619" s="58" t="inlineStr">
        <is>
          <t>North</t>
        </is>
      </c>
      <c r="F1619" s="61" t="n">
        <v>5</v>
      </c>
      <c r="G1619" s="62" t="n">
        <v>5.64</v>
      </c>
      <c r="H1619" s="63" t="n">
        <v>0.078</v>
      </c>
      <c r="I1619" s="62" t="n">
        <v>4.25</v>
      </c>
      <c r="J1619" s="58" t="inlineStr">
        <is>
          <t>Online</t>
        </is>
      </c>
      <c r="K1619" s="62">
        <f>F1619*(G1619-H1619)</f>
        <v/>
      </c>
      <c r="L1619" s="62">
        <f>K1619-(F1619*I1619)</f>
        <v/>
      </c>
      <c r="M1619" s="64">
        <f>L1619/K1619</f>
        <v/>
      </c>
    </row>
    <row r="1620">
      <c r="A1620" s="58" t="inlineStr">
        <is>
          <t>RT20250211-01619</t>
        </is>
      </c>
      <c r="B1620" s="59" t="inlineStr">
        <is>
          <t>2025-02-11</t>
        </is>
      </c>
      <c r="C1620" s="60" t="inlineStr">
        <is>
          <t>Nimbus Cycling Plus-911</t>
        </is>
      </c>
      <c r="D1620" s="58" t="inlineStr">
        <is>
          <t>Sports</t>
        </is>
      </c>
      <c r="E1620" s="58" t="inlineStr">
        <is>
          <t>West</t>
        </is>
      </c>
      <c r="F1620" s="61" t="n">
        <v>3</v>
      </c>
      <c r="G1620" s="62" t="n">
        <v>586.34</v>
      </c>
      <c r="H1620" s="63" t="n">
        <v>0.08</v>
      </c>
      <c r="I1620" s="62" t="n">
        <v>399.13</v>
      </c>
      <c r="J1620" s="58" t="inlineStr">
        <is>
          <t>Online</t>
        </is>
      </c>
      <c r="K1620" s="62">
        <f>F1620*(G1620-H1620)</f>
        <v/>
      </c>
      <c r="L1620" s="62">
        <f>K1620-(F1620*I1620)</f>
        <v/>
      </c>
      <c r="M1620" s="64">
        <f>L1620/K1620</f>
        <v/>
      </c>
    </row>
    <row r="1621">
      <c r="A1621" s="58" t="inlineStr">
        <is>
          <t>RT20250211-01620</t>
        </is>
      </c>
      <c r="B1621" s="59" t="inlineStr">
        <is>
          <t>2025-02-11</t>
        </is>
      </c>
      <c r="C1621" s="60" t="inlineStr">
        <is>
          <t>Polar Laptop Plus-984</t>
        </is>
      </c>
      <c r="D1621" s="58" t="inlineStr">
        <is>
          <t>Electronics</t>
        </is>
      </c>
      <c r="E1621" s="58" t="inlineStr">
        <is>
          <t>South</t>
        </is>
      </c>
      <c r="F1621" s="61" t="n">
        <v>1</v>
      </c>
      <c r="G1621" s="62" t="n">
        <v>1258.62</v>
      </c>
      <c r="H1621" s="63" t="n">
        <v>0.049</v>
      </c>
      <c r="I1621" s="62" t="n">
        <v>994.72</v>
      </c>
      <c r="J1621" s="58" t="inlineStr">
        <is>
          <t>Online</t>
        </is>
      </c>
      <c r="K1621" s="62">
        <f>F1621*(G1621-H1621)</f>
        <v/>
      </c>
      <c r="L1621" s="62">
        <f>K1621-(F1621*I1621)</f>
        <v/>
      </c>
      <c r="M1621" s="64">
        <f>L1621/K1621</f>
        <v/>
      </c>
    </row>
    <row r="1622">
      <c r="A1622" s="58" t="inlineStr">
        <is>
          <t>RT20250211-01621</t>
        </is>
      </c>
      <c r="B1622" s="59" t="inlineStr">
        <is>
          <t>2025-02-11</t>
        </is>
      </c>
      <c r="C1622" s="60" t="inlineStr">
        <is>
          <t>Polar Wearable X-119</t>
        </is>
      </c>
      <c r="D1622" s="58" t="inlineStr">
        <is>
          <t>Electronics</t>
        </is>
      </c>
      <c r="E1622" s="58" t="inlineStr">
        <is>
          <t>South</t>
        </is>
      </c>
      <c r="F1622" s="61" t="n">
        <v>1</v>
      </c>
      <c r="G1622" s="62" t="n">
        <v>1963.73</v>
      </c>
      <c r="H1622" s="63" t="n">
        <v>0.033</v>
      </c>
      <c r="I1622" s="62" t="n">
        <v>1313.61</v>
      </c>
      <c r="J1622" s="58" t="inlineStr">
        <is>
          <t>Store</t>
        </is>
      </c>
      <c r="K1622" s="62">
        <f>F1622*(G1622-H1622)</f>
        <v/>
      </c>
      <c r="L1622" s="62">
        <f>K1622-(F1622*I1622)</f>
        <v/>
      </c>
      <c r="M1622" s="64">
        <f>L1622/K1622</f>
        <v/>
      </c>
    </row>
    <row r="1623">
      <c r="A1623" s="58" t="inlineStr">
        <is>
          <t>RT20250211-01622</t>
        </is>
      </c>
      <c r="B1623" s="59" t="inlineStr">
        <is>
          <t>2025-02-11</t>
        </is>
      </c>
      <c r="C1623" s="60" t="inlineStr">
        <is>
          <t>Falcon Team Sport Lite-268</t>
        </is>
      </c>
      <c r="D1623" s="58" t="inlineStr">
        <is>
          <t>Sports</t>
        </is>
      </c>
      <c r="E1623" s="58" t="inlineStr">
        <is>
          <t>West</t>
        </is>
      </c>
      <c r="F1623" s="61" t="n">
        <v>2</v>
      </c>
      <c r="G1623" s="62" t="n">
        <v>664.63</v>
      </c>
      <c r="H1623" s="63" t="n">
        <v>0.08500000000000001</v>
      </c>
      <c r="I1623" s="62" t="n">
        <v>442.52</v>
      </c>
      <c r="J1623" s="58" t="inlineStr">
        <is>
          <t>Online</t>
        </is>
      </c>
      <c r="K1623" s="62">
        <f>F1623*(G1623-H1623)</f>
        <v/>
      </c>
      <c r="L1623" s="62">
        <f>K1623-(F1623*I1623)</f>
        <v/>
      </c>
      <c r="M1623" s="64">
        <f>L1623/K1623</f>
        <v/>
      </c>
    </row>
    <row r="1624">
      <c r="A1624" s="58" t="inlineStr">
        <is>
          <t>RT20250211-01623</t>
        </is>
      </c>
      <c r="B1624" s="59" t="inlineStr">
        <is>
          <t>2025-02-11</t>
        </is>
      </c>
      <c r="C1624" s="60" t="inlineStr">
        <is>
          <t>Nimbus Fitnes Lite-516</t>
        </is>
      </c>
      <c r="D1624" s="58" t="inlineStr">
        <is>
          <t>Sports</t>
        </is>
      </c>
      <c r="E1624" s="58" t="inlineStr">
        <is>
          <t>East</t>
        </is>
      </c>
      <c r="F1624" s="61" t="n">
        <v>3</v>
      </c>
      <c r="G1624" s="62" t="n">
        <v>663.89</v>
      </c>
      <c r="H1624" s="63" t="n">
        <v>0.05</v>
      </c>
      <c r="I1624" s="62" t="n">
        <v>482.48</v>
      </c>
      <c r="J1624" s="58" t="inlineStr">
        <is>
          <t>Online</t>
        </is>
      </c>
      <c r="K1624" s="62">
        <f>F1624*(G1624-H1624)</f>
        <v/>
      </c>
      <c r="L1624" s="62">
        <f>K1624-(F1624*I1624)</f>
        <v/>
      </c>
      <c r="M1624" s="64">
        <f>L1624/K1624</f>
        <v/>
      </c>
    </row>
    <row r="1625">
      <c r="A1625" s="58" t="inlineStr">
        <is>
          <t>RT20250211-01624</t>
        </is>
      </c>
      <c r="B1625" s="59" t="inlineStr">
        <is>
          <t>2025-02-11</t>
        </is>
      </c>
      <c r="C1625" s="60" t="inlineStr">
        <is>
          <t>Nimbus Decor Lite-385</t>
        </is>
      </c>
      <c r="D1625" s="58" t="inlineStr">
        <is>
          <t>Home</t>
        </is>
      </c>
      <c r="E1625" s="58" t="inlineStr">
        <is>
          <t>South</t>
        </is>
      </c>
      <c r="F1625" s="61" t="n">
        <v>2</v>
      </c>
      <c r="G1625" s="62" t="n">
        <v>622.62</v>
      </c>
      <c r="H1625" s="63" t="n">
        <v>0.061</v>
      </c>
      <c r="I1625" s="62" t="n">
        <v>403.47</v>
      </c>
      <c r="J1625" s="58" t="inlineStr">
        <is>
          <t>Online</t>
        </is>
      </c>
      <c r="K1625" s="62">
        <f>F1625*(G1625-H1625)</f>
        <v/>
      </c>
      <c r="L1625" s="62">
        <f>K1625-(F1625*I1625)</f>
        <v/>
      </c>
      <c r="M1625" s="64">
        <f>L1625/K1625</f>
        <v/>
      </c>
    </row>
    <row r="1626">
      <c r="A1626" s="58" t="inlineStr">
        <is>
          <t>RT20250211-01625</t>
        </is>
      </c>
      <c r="B1626" s="59" t="inlineStr">
        <is>
          <t>2025-02-11</t>
        </is>
      </c>
      <c r="C1626" s="60" t="inlineStr">
        <is>
          <t>Orion Snack X-322</t>
        </is>
      </c>
      <c r="D1626" s="58" t="inlineStr">
        <is>
          <t>Grocery</t>
        </is>
      </c>
      <c r="E1626" s="58" t="inlineStr">
        <is>
          <t>South</t>
        </is>
      </c>
      <c r="F1626" s="61" t="n">
        <v>1</v>
      </c>
      <c r="G1626" s="62" t="n">
        <v>13.03</v>
      </c>
      <c r="H1626" s="63" t="n">
        <v>0.131</v>
      </c>
      <c r="I1626" s="62" t="n">
        <v>10.15</v>
      </c>
      <c r="J1626" s="58" t="inlineStr">
        <is>
          <t>Online</t>
        </is>
      </c>
      <c r="K1626" s="62">
        <f>F1626*(G1626-H1626)</f>
        <v/>
      </c>
      <c r="L1626" s="62">
        <f>K1626-(F1626*I1626)</f>
        <v/>
      </c>
      <c r="M1626" s="64">
        <f>L1626/K1626</f>
        <v/>
      </c>
    </row>
    <row r="1627">
      <c r="A1627" s="58" t="inlineStr">
        <is>
          <t>RT20250211-01626</t>
        </is>
      </c>
      <c r="B1627" s="59" t="inlineStr">
        <is>
          <t>2025-02-11</t>
        </is>
      </c>
      <c r="C1627" s="60" t="inlineStr">
        <is>
          <t>Vertex Headphone Pro-801</t>
        </is>
      </c>
      <c r="D1627" s="58" t="inlineStr">
        <is>
          <t>Electronics</t>
        </is>
      </c>
      <c r="E1627" s="58" t="inlineStr">
        <is>
          <t>West</t>
        </is>
      </c>
      <c r="F1627" s="61" t="n">
        <v>1</v>
      </c>
      <c r="G1627" s="62" t="n">
        <v>1431.54</v>
      </c>
      <c r="H1627" s="63" t="n">
        <v>0.097</v>
      </c>
      <c r="I1627" s="62" t="n">
        <v>967.11</v>
      </c>
      <c r="J1627" s="58" t="inlineStr">
        <is>
          <t>Store</t>
        </is>
      </c>
      <c r="K1627" s="62">
        <f>F1627*(G1627-H1627)</f>
        <v/>
      </c>
      <c r="L1627" s="62">
        <f>K1627-(F1627*I1627)</f>
        <v/>
      </c>
      <c r="M1627" s="64">
        <f>L1627/K1627</f>
        <v/>
      </c>
    </row>
    <row r="1628">
      <c r="A1628" s="58" t="inlineStr">
        <is>
          <t>RT20250211-01627</t>
        </is>
      </c>
      <c r="B1628" s="59" t="inlineStr">
        <is>
          <t>2025-02-11</t>
        </is>
      </c>
      <c r="C1628" s="60" t="inlineStr">
        <is>
          <t>Nimbus Makeup Max-158</t>
        </is>
      </c>
      <c r="D1628" s="58" t="inlineStr">
        <is>
          <t>Beauty</t>
        </is>
      </c>
      <c r="E1628" s="58" t="inlineStr">
        <is>
          <t>East</t>
        </is>
      </c>
      <c r="F1628" s="61" t="n">
        <v>3</v>
      </c>
      <c r="G1628" s="62" t="n">
        <v>165.11</v>
      </c>
      <c r="H1628" s="63" t="n">
        <v>0.064</v>
      </c>
      <c r="I1628" s="62" t="n">
        <v>95.45</v>
      </c>
      <c r="J1628" s="58" t="inlineStr">
        <is>
          <t>Store</t>
        </is>
      </c>
      <c r="K1628" s="62">
        <f>F1628*(G1628-H1628)</f>
        <v/>
      </c>
      <c r="L1628" s="62">
        <f>K1628-(F1628*I1628)</f>
        <v/>
      </c>
      <c r="M1628" s="64">
        <f>L1628/K1628</f>
        <v/>
      </c>
    </row>
    <row r="1629">
      <c r="A1629" s="58" t="inlineStr">
        <is>
          <t>RT20250211-01628</t>
        </is>
      </c>
      <c r="B1629" s="59" t="inlineStr">
        <is>
          <t>2025-02-11</t>
        </is>
      </c>
      <c r="C1629" s="60" t="inlineStr">
        <is>
          <t>Solace Team Sport Max-548</t>
        </is>
      </c>
      <c r="D1629" s="58" t="inlineStr">
        <is>
          <t>Sports</t>
        </is>
      </c>
      <c r="E1629" s="58" t="inlineStr">
        <is>
          <t>Central</t>
        </is>
      </c>
      <c r="F1629" s="61" t="n">
        <v>2</v>
      </c>
      <c r="G1629" s="62" t="n">
        <v>769.8200000000001</v>
      </c>
      <c r="H1629" s="63" t="n">
        <v>0.065</v>
      </c>
      <c r="I1629" s="62" t="n">
        <v>467.07</v>
      </c>
      <c r="J1629" s="58" t="inlineStr">
        <is>
          <t>Online</t>
        </is>
      </c>
      <c r="K1629" s="62">
        <f>F1629*(G1629-H1629)</f>
        <v/>
      </c>
      <c r="L1629" s="62">
        <f>K1629-(F1629*I1629)</f>
        <v/>
      </c>
      <c r="M1629" s="64">
        <f>L1629/K1629</f>
        <v/>
      </c>
    </row>
    <row r="1630">
      <c r="A1630" s="58" t="inlineStr">
        <is>
          <t>RT20250211-01629</t>
        </is>
      </c>
      <c r="B1630" s="59" t="inlineStr">
        <is>
          <t>2025-02-11</t>
        </is>
      </c>
      <c r="C1630" s="60" t="inlineStr">
        <is>
          <t>Solace Kid S-384</t>
        </is>
      </c>
      <c r="D1630" s="58" t="inlineStr">
        <is>
          <t>Apparel</t>
        </is>
      </c>
      <c r="E1630" s="58" t="inlineStr">
        <is>
          <t>South</t>
        </is>
      </c>
      <c r="F1630" s="61" t="n">
        <v>1</v>
      </c>
      <c r="G1630" s="62" t="n">
        <v>94.09</v>
      </c>
      <c r="H1630" s="63" t="n">
        <v>0.024</v>
      </c>
      <c r="I1630" s="62" t="n">
        <v>63.33</v>
      </c>
      <c r="J1630" s="58" t="inlineStr">
        <is>
          <t>Online</t>
        </is>
      </c>
      <c r="K1630" s="62">
        <f>F1630*(G1630-H1630)</f>
        <v/>
      </c>
      <c r="L1630" s="62">
        <f>K1630-(F1630*I1630)</f>
        <v/>
      </c>
      <c r="M1630" s="64">
        <f>L1630/K1630</f>
        <v/>
      </c>
    </row>
    <row r="1631">
      <c r="A1631" s="58" t="inlineStr">
        <is>
          <t>RT20250211-01630</t>
        </is>
      </c>
      <c r="B1631" s="59" t="inlineStr">
        <is>
          <t>2025-02-11</t>
        </is>
      </c>
      <c r="C1631" s="60" t="inlineStr">
        <is>
          <t>Aurora Storage Lite-774</t>
        </is>
      </c>
      <c r="D1631" s="58" t="inlineStr">
        <is>
          <t>Office</t>
        </is>
      </c>
      <c r="E1631" s="58" t="inlineStr">
        <is>
          <t>Central</t>
        </is>
      </c>
      <c r="F1631" s="61" t="n">
        <v>2</v>
      </c>
      <c r="G1631" s="62" t="n">
        <v>382.97</v>
      </c>
      <c r="H1631" s="63" t="n">
        <v>0.07099999999999999</v>
      </c>
      <c r="I1631" s="62" t="n">
        <v>245.57</v>
      </c>
      <c r="J1631" s="58" t="inlineStr">
        <is>
          <t>Online</t>
        </is>
      </c>
      <c r="K1631" s="62">
        <f>F1631*(G1631-H1631)</f>
        <v/>
      </c>
      <c r="L1631" s="62">
        <f>K1631-(F1631*I1631)</f>
        <v/>
      </c>
      <c r="M1631" s="64">
        <f>L1631/K1631</f>
        <v/>
      </c>
    </row>
    <row r="1632">
      <c r="A1632" s="58" t="inlineStr">
        <is>
          <t>RT20250211-01631</t>
        </is>
      </c>
      <c r="B1632" s="59" t="inlineStr">
        <is>
          <t>2025-02-11</t>
        </is>
      </c>
      <c r="C1632" s="60" t="inlineStr">
        <is>
          <t>Polar Laptop Plus-984</t>
        </is>
      </c>
      <c r="D1632" s="58" t="inlineStr">
        <is>
          <t>Electronics</t>
        </is>
      </c>
      <c r="E1632" s="58" t="inlineStr">
        <is>
          <t>South</t>
        </is>
      </c>
      <c r="F1632" s="61" t="n">
        <v>2</v>
      </c>
      <c r="G1632" s="62" t="n">
        <v>1243.45</v>
      </c>
      <c r="H1632" s="63" t="n">
        <v>0.097</v>
      </c>
      <c r="I1632" s="62" t="n">
        <v>1001.77</v>
      </c>
      <c r="J1632" s="58" t="inlineStr">
        <is>
          <t>Online</t>
        </is>
      </c>
      <c r="K1632" s="62">
        <f>F1632*(G1632-H1632)</f>
        <v/>
      </c>
      <c r="L1632" s="62">
        <f>K1632-(F1632*I1632)</f>
        <v/>
      </c>
      <c r="M1632" s="64">
        <f>L1632/K1632</f>
        <v/>
      </c>
    </row>
    <row r="1633">
      <c r="A1633" s="58" t="inlineStr">
        <is>
          <t>RT20250211-01632</t>
        </is>
      </c>
      <c r="B1633" s="59" t="inlineStr">
        <is>
          <t>2025-02-11</t>
        </is>
      </c>
      <c r="C1633" s="60" t="inlineStr">
        <is>
          <t>Solace Bedding Plus-317</t>
        </is>
      </c>
      <c r="D1633" s="58" t="inlineStr">
        <is>
          <t>Home</t>
        </is>
      </c>
      <c r="E1633" s="58" t="inlineStr">
        <is>
          <t>North</t>
        </is>
      </c>
      <c r="F1633" s="61" t="n">
        <v>2</v>
      </c>
      <c r="G1633" s="62" t="n">
        <v>528.4400000000001</v>
      </c>
      <c r="H1633" s="63" t="n">
        <v>0.07199999999999999</v>
      </c>
      <c r="I1633" s="62" t="n">
        <v>380.09</v>
      </c>
      <c r="J1633" s="58" t="inlineStr">
        <is>
          <t>Online</t>
        </is>
      </c>
      <c r="K1633" s="62">
        <f>F1633*(G1633-H1633)</f>
        <v/>
      </c>
      <c r="L1633" s="62">
        <f>K1633-(F1633*I1633)</f>
        <v/>
      </c>
      <c r="M1633" s="64">
        <f>L1633/K1633</f>
        <v/>
      </c>
    </row>
    <row r="1634">
      <c r="A1634" s="58" t="inlineStr">
        <is>
          <t>RT20250211-01633</t>
        </is>
      </c>
      <c r="B1634" s="59" t="inlineStr">
        <is>
          <t>2025-02-11</t>
        </is>
      </c>
      <c r="C1634" s="60" t="inlineStr">
        <is>
          <t>Falcon Skincare X-334</t>
        </is>
      </c>
      <c r="D1634" s="58" t="inlineStr">
        <is>
          <t>Beauty</t>
        </is>
      </c>
      <c r="E1634" s="58" t="inlineStr">
        <is>
          <t>West</t>
        </is>
      </c>
      <c r="F1634" s="61" t="n">
        <v>3</v>
      </c>
      <c r="G1634" s="62" t="n">
        <v>97.27</v>
      </c>
      <c r="H1634" s="63" t="n">
        <v>0.082</v>
      </c>
      <c r="I1634" s="62" t="n">
        <v>62.36</v>
      </c>
      <c r="J1634" s="58" t="inlineStr">
        <is>
          <t>Store</t>
        </is>
      </c>
      <c r="K1634" s="62">
        <f>F1634*(G1634-H1634)</f>
        <v/>
      </c>
      <c r="L1634" s="62">
        <f>K1634-(F1634*I1634)</f>
        <v/>
      </c>
      <c r="M1634" s="64">
        <f>L1634/K1634</f>
        <v/>
      </c>
    </row>
    <row r="1635">
      <c r="A1635" s="58" t="inlineStr">
        <is>
          <t>RT20250211-01634</t>
        </is>
      </c>
      <c r="B1635" s="59" t="inlineStr">
        <is>
          <t>2025-02-11</t>
        </is>
      </c>
      <c r="C1635" s="60" t="inlineStr">
        <is>
          <t>Metro Printer X-294</t>
        </is>
      </c>
      <c r="D1635" s="58" t="inlineStr">
        <is>
          <t>Office</t>
        </is>
      </c>
      <c r="E1635" s="58" t="inlineStr">
        <is>
          <t>South</t>
        </is>
      </c>
      <c r="F1635" s="61" t="n">
        <v>3</v>
      </c>
      <c r="G1635" s="62" t="n">
        <v>598</v>
      </c>
      <c r="H1635" s="63" t="n">
        <v>0.028</v>
      </c>
      <c r="I1635" s="62" t="n">
        <v>412.52</v>
      </c>
      <c r="J1635" s="58" t="inlineStr">
        <is>
          <t>Store</t>
        </is>
      </c>
      <c r="K1635" s="62">
        <f>F1635*(G1635-H1635)</f>
        <v/>
      </c>
      <c r="L1635" s="62">
        <f>K1635-(F1635*I1635)</f>
        <v/>
      </c>
      <c r="M1635" s="64">
        <f>L1635/K1635</f>
        <v/>
      </c>
    </row>
    <row r="1636">
      <c r="A1636" s="58" t="inlineStr">
        <is>
          <t>RT20250211-01635</t>
        </is>
      </c>
      <c r="B1636" s="59" t="inlineStr">
        <is>
          <t>2025-02-11</t>
        </is>
      </c>
      <c r="C1636" s="60" t="inlineStr">
        <is>
          <t>Falcon Household Pro-865</t>
        </is>
      </c>
      <c r="D1636" s="58" t="inlineStr">
        <is>
          <t>Grocery</t>
        </is>
      </c>
      <c r="E1636" s="58" t="inlineStr">
        <is>
          <t>South</t>
        </is>
      </c>
      <c r="F1636" s="61" t="n">
        <v>1</v>
      </c>
      <c r="G1636" s="62" t="n">
        <v>10.48</v>
      </c>
      <c r="H1636" s="63" t="n">
        <v>0.089</v>
      </c>
      <c r="I1636" s="62" t="n">
        <v>7.81</v>
      </c>
      <c r="J1636" s="58" t="inlineStr">
        <is>
          <t>Store</t>
        </is>
      </c>
      <c r="K1636" s="62">
        <f>F1636*(G1636-H1636)</f>
        <v/>
      </c>
      <c r="L1636" s="62">
        <f>K1636-(F1636*I1636)</f>
        <v/>
      </c>
      <c r="M1636" s="64">
        <f>L1636/K1636</f>
        <v/>
      </c>
    </row>
    <row r="1637">
      <c r="A1637" s="58" t="inlineStr">
        <is>
          <t>RT20250212-01636</t>
        </is>
      </c>
      <c r="B1637" s="59" t="inlineStr">
        <is>
          <t>2025-02-12</t>
        </is>
      </c>
      <c r="C1637" s="60" t="inlineStr">
        <is>
          <t>Vertex Smartphone Pro-256</t>
        </is>
      </c>
      <c r="D1637" s="58" t="inlineStr">
        <is>
          <t>Electronics</t>
        </is>
      </c>
      <c r="E1637" s="58" t="inlineStr">
        <is>
          <t>East</t>
        </is>
      </c>
      <c r="F1637" s="61" t="n">
        <v>2</v>
      </c>
      <c r="G1637" s="62" t="n">
        <v>1183.18</v>
      </c>
      <c r="H1637" s="63" t="n">
        <v>0.025</v>
      </c>
      <c r="I1637" s="62" t="n">
        <v>924.73</v>
      </c>
      <c r="J1637" s="58" t="inlineStr">
        <is>
          <t>Store</t>
        </is>
      </c>
      <c r="K1637" s="62">
        <f>F1637*(G1637-H1637)</f>
        <v/>
      </c>
      <c r="L1637" s="62">
        <f>K1637-(F1637*I1637)</f>
        <v/>
      </c>
      <c r="M1637" s="64">
        <f>L1637/K1637</f>
        <v/>
      </c>
    </row>
    <row r="1638">
      <c r="A1638" s="58" t="inlineStr">
        <is>
          <t>RT20250212-01637</t>
        </is>
      </c>
      <c r="B1638" s="59" t="inlineStr">
        <is>
          <t>2025-02-12</t>
        </is>
      </c>
      <c r="C1638" s="60" t="inlineStr">
        <is>
          <t>Metro Accessorie Max-316</t>
        </is>
      </c>
      <c r="D1638" s="58" t="inlineStr">
        <is>
          <t>Apparel</t>
        </is>
      </c>
      <c r="E1638" s="58" t="inlineStr">
        <is>
          <t>Central</t>
        </is>
      </c>
      <c r="F1638" s="61" t="n">
        <v>3</v>
      </c>
      <c r="G1638" s="62" t="n">
        <v>156.57</v>
      </c>
      <c r="H1638" s="63" t="n">
        <v>0.08400000000000001</v>
      </c>
      <c r="I1638" s="62" t="n">
        <v>90.65000000000001</v>
      </c>
      <c r="J1638" s="58" t="inlineStr">
        <is>
          <t>Online</t>
        </is>
      </c>
      <c r="K1638" s="62">
        <f>F1638*(G1638-H1638)</f>
        <v/>
      </c>
      <c r="L1638" s="62">
        <f>K1638-(F1638*I1638)</f>
        <v/>
      </c>
      <c r="M1638" s="64">
        <f>L1638/K1638</f>
        <v/>
      </c>
    </row>
    <row r="1639">
      <c r="A1639" s="58" t="inlineStr">
        <is>
          <t>RT20250212-01638</t>
        </is>
      </c>
      <c r="B1639" s="59" t="inlineStr">
        <is>
          <t>2025-02-12</t>
        </is>
      </c>
      <c r="C1639" s="60" t="inlineStr">
        <is>
          <t>Falcon Bedding S-674</t>
        </is>
      </c>
      <c r="D1639" s="58" t="inlineStr">
        <is>
          <t>Home</t>
        </is>
      </c>
      <c r="E1639" s="58" t="inlineStr">
        <is>
          <t>South</t>
        </is>
      </c>
      <c r="F1639" s="61" t="n">
        <v>1</v>
      </c>
      <c r="G1639" s="62" t="n">
        <v>577.71</v>
      </c>
      <c r="H1639" s="63" t="n">
        <v>0.091</v>
      </c>
      <c r="I1639" s="62" t="n">
        <v>442.73</v>
      </c>
      <c r="J1639" s="58" t="inlineStr">
        <is>
          <t>Online</t>
        </is>
      </c>
      <c r="K1639" s="62">
        <f>F1639*(G1639-H1639)</f>
        <v/>
      </c>
      <c r="L1639" s="62">
        <f>K1639-(F1639*I1639)</f>
        <v/>
      </c>
      <c r="M1639" s="64">
        <f>L1639/K1639</f>
        <v/>
      </c>
    </row>
    <row r="1640">
      <c r="A1640" s="58" t="inlineStr">
        <is>
          <t>RT20250212-01639</t>
        </is>
      </c>
      <c r="B1640" s="59" t="inlineStr">
        <is>
          <t>2025-02-12</t>
        </is>
      </c>
      <c r="C1640" s="60" t="inlineStr">
        <is>
          <t>Vertex Men X-995</t>
        </is>
      </c>
      <c r="D1640" s="58" t="inlineStr">
        <is>
          <t>Apparel</t>
        </is>
      </c>
      <c r="E1640" s="58" t="inlineStr">
        <is>
          <t>Central</t>
        </is>
      </c>
      <c r="F1640" s="61" t="n">
        <v>2</v>
      </c>
      <c r="G1640" s="62" t="n">
        <v>94.26000000000001</v>
      </c>
      <c r="H1640" s="63" t="n">
        <v>0.016</v>
      </c>
      <c r="I1640" s="62" t="n">
        <v>58.55</v>
      </c>
      <c r="J1640" s="58" t="inlineStr">
        <is>
          <t>Store</t>
        </is>
      </c>
      <c r="K1640" s="62">
        <f>F1640*(G1640-H1640)</f>
        <v/>
      </c>
      <c r="L1640" s="62">
        <f>K1640-(F1640*I1640)</f>
        <v/>
      </c>
      <c r="M1640" s="64">
        <f>L1640/K1640</f>
        <v/>
      </c>
    </row>
    <row r="1641">
      <c r="A1641" s="58" t="inlineStr">
        <is>
          <t>RT20250212-01640</t>
        </is>
      </c>
      <c r="B1641" s="59" t="inlineStr">
        <is>
          <t>2025-02-12</t>
        </is>
      </c>
      <c r="C1641" s="60" t="inlineStr">
        <is>
          <t>Vertex Appliance Max-338</t>
        </is>
      </c>
      <c r="D1641" s="58" t="inlineStr">
        <is>
          <t>Home</t>
        </is>
      </c>
      <c r="E1641" s="58" t="inlineStr">
        <is>
          <t>East</t>
        </is>
      </c>
      <c r="F1641" s="61" t="n">
        <v>2</v>
      </c>
      <c r="G1641" s="62" t="n">
        <v>405.69</v>
      </c>
      <c r="H1641" s="63" t="n">
        <v>0.048</v>
      </c>
      <c r="I1641" s="62" t="n">
        <v>288.34</v>
      </c>
      <c r="J1641" s="58" t="inlineStr">
        <is>
          <t>Online</t>
        </is>
      </c>
      <c r="K1641" s="62">
        <f>F1641*(G1641-H1641)</f>
        <v/>
      </c>
      <c r="L1641" s="62">
        <f>K1641-(F1641*I1641)</f>
        <v/>
      </c>
      <c r="M1641" s="64">
        <f>L1641/K1641</f>
        <v/>
      </c>
    </row>
    <row r="1642">
      <c r="A1642" s="58" t="inlineStr">
        <is>
          <t>RT20250212-01641</t>
        </is>
      </c>
      <c r="B1642" s="59" t="inlineStr">
        <is>
          <t>2025-02-12</t>
        </is>
      </c>
      <c r="C1642" s="60" t="inlineStr">
        <is>
          <t>Falcon Team Sport Lite-268</t>
        </is>
      </c>
      <c r="D1642" s="58" t="inlineStr">
        <is>
          <t>Sports</t>
        </is>
      </c>
      <c r="E1642" s="58" t="inlineStr">
        <is>
          <t>West</t>
        </is>
      </c>
      <c r="F1642" s="61" t="n">
        <v>3</v>
      </c>
      <c r="G1642" s="62" t="n">
        <v>655.6</v>
      </c>
      <c r="H1642" s="63" t="n">
        <v>0.113</v>
      </c>
      <c r="I1642" s="62" t="n">
        <v>437.33</v>
      </c>
      <c r="J1642" s="58" t="inlineStr">
        <is>
          <t>Online</t>
        </is>
      </c>
      <c r="K1642" s="62">
        <f>F1642*(G1642-H1642)</f>
        <v/>
      </c>
      <c r="L1642" s="62">
        <f>K1642-(F1642*I1642)</f>
        <v/>
      </c>
      <c r="M1642" s="64">
        <f>L1642/K1642</f>
        <v/>
      </c>
    </row>
    <row r="1643">
      <c r="A1643" s="58" t="inlineStr">
        <is>
          <t>RT20250212-01642</t>
        </is>
      </c>
      <c r="B1643" s="59" t="inlineStr">
        <is>
          <t>2025-02-12</t>
        </is>
      </c>
      <c r="C1643" s="60" t="inlineStr">
        <is>
          <t>Orion Beverage Plus-949</t>
        </is>
      </c>
      <c r="D1643" s="58" t="inlineStr">
        <is>
          <t>Grocery</t>
        </is>
      </c>
      <c r="E1643" s="58" t="inlineStr">
        <is>
          <t>North</t>
        </is>
      </c>
      <c r="F1643" s="61" t="n">
        <v>7</v>
      </c>
      <c r="G1643" s="62" t="n">
        <v>17.9</v>
      </c>
      <c r="H1643" s="63" t="n">
        <v>0.14</v>
      </c>
      <c r="I1643" s="62" t="n">
        <v>13.32</v>
      </c>
      <c r="J1643" s="58" t="inlineStr">
        <is>
          <t>Online</t>
        </is>
      </c>
      <c r="K1643" s="62">
        <f>F1643*(G1643-H1643)</f>
        <v/>
      </c>
      <c r="L1643" s="62">
        <f>K1643-(F1643*I1643)</f>
        <v/>
      </c>
      <c r="M1643" s="64">
        <f>L1643/K1643</f>
        <v/>
      </c>
    </row>
    <row r="1644">
      <c r="A1644" s="58" t="inlineStr">
        <is>
          <t>RT20250212-01643</t>
        </is>
      </c>
      <c r="B1644" s="59" t="inlineStr">
        <is>
          <t>2025-02-12</t>
        </is>
      </c>
      <c r="C1644" s="60" t="inlineStr">
        <is>
          <t>Aurora Printer Plus-723</t>
        </is>
      </c>
      <c r="D1644" s="58" t="inlineStr">
        <is>
          <t>Office</t>
        </is>
      </c>
      <c r="E1644" s="58" t="inlineStr">
        <is>
          <t>Central</t>
        </is>
      </c>
      <c r="F1644" s="61" t="n">
        <v>3</v>
      </c>
      <c r="G1644" s="62" t="n">
        <v>257.5</v>
      </c>
      <c r="H1644" s="63" t="n">
        <v>0.066</v>
      </c>
      <c r="I1644" s="62" t="n">
        <v>188.27</v>
      </c>
      <c r="J1644" s="58" t="inlineStr">
        <is>
          <t>Store</t>
        </is>
      </c>
      <c r="K1644" s="62">
        <f>F1644*(G1644-H1644)</f>
        <v/>
      </c>
      <c r="L1644" s="62">
        <f>K1644-(F1644*I1644)</f>
        <v/>
      </c>
      <c r="M1644" s="64">
        <f>L1644/K1644</f>
        <v/>
      </c>
    </row>
    <row r="1645">
      <c r="A1645" s="58" t="inlineStr">
        <is>
          <t>RT20250212-01644</t>
        </is>
      </c>
      <c r="B1645" s="59" t="inlineStr">
        <is>
          <t>2025-02-12</t>
        </is>
      </c>
      <c r="C1645" s="60" t="inlineStr">
        <is>
          <t>Orion Snack X-322</t>
        </is>
      </c>
      <c r="D1645" s="58" t="inlineStr">
        <is>
          <t>Grocery</t>
        </is>
      </c>
      <c r="E1645" s="58" t="inlineStr">
        <is>
          <t>Central</t>
        </is>
      </c>
      <c r="F1645" s="61" t="n">
        <v>5</v>
      </c>
      <c r="G1645" s="62" t="n">
        <v>13.55</v>
      </c>
      <c r="H1645" s="63" t="n">
        <v>0.059</v>
      </c>
      <c r="I1645" s="62" t="n">
        <v>10.17</v>
      </c>
      <c r="J1645" s="58" t="inlineStr">
        <is>
          <t>Store</t>
        </is>
      </c>
      <c r="K1645" s="62">
        <f>F1645*(G1645-H1645)</f>
        <v/>
      </c>
      <c r="L1645" s="62">
        <f>K1645-(F1645*I1645)</f>
        <v/>
      </c>
      <c r="M1645" s="64">
        <f>L1645/K1645</f>
        <v/>
      </c>
    </row>
    <row r="1646">
      <c r="A1646" s="58" t="inlineStr">
        <is>
          <t>RT20250212-01645</t>
        </is>
      </c>
      <c r="B1646" s="59" t="inlineStr">
        <is>
          <t>2025-02-12</t>
        </is>
      </c>
      <c r="C1646" s="60" t="inlineStr">
        <is>
          <t>Solace Bedding Plus-317</t>
        </is>
      </c>
      <c r="D1646" s="58" t="inlineStr">
        <is>
          <t>Home</t>
        </is>
      </c>
      <c r="E1646" s="58" t="inlineStr">
        <is>
          <t>Central</t>
        </is>
      </c>
      <c r="F1646" s="61" t="n">
        <v>2</v>
      </c>
      <c r="G1646" s="62" t="n">
        <v>562.76</v>
      </c>
      <c r="H1646" s="63" t="n">
        <v>0.093</v>
      </c>
      <c r="I1646" s="62" t="n">
        <v>378.31</v>
      </c>
      <c r="J1646" s="58" t="inlineStr">
        <is>
          <t>Online</t>
        </is>
      </c>
      <c r="K1646" s="62">
        <f>F1646*(G1646-H1646)</f>
        <v/>
      </c>
      <c r="L1646" s="62">
        <f>K1646-(F1646*I1646)</f>
        <v/>
      </c>
      <c r="M1646" s="64">
        <f>L1646/K1646</f>
        <v/>
      </c>
    </row>
    <row r="1647">
      <c r="A1647" s="58" t="inlineStr">
        <is>
          <t>RT20250212-01646</t>
        </is>
      </c>
      <c r="B1647" s="59" t="inlineStr">
        <is>
          <t>2025-02-12</t>
        </is>
      </c>
      <c r="C1647" s="60" t="inlineStr">
        <is>
          <t>Nimbus Cycling Plus-911</t>
        </is>
      </c>
      <c r="D1647" s="58" t="inlineStr">
        <is>
          <t>Sports</t>
        </is>
      </c>
      <c r="E1647" s="58" t="inlineStr">
        <is>
          <t>North</t>
        </is>
      </c>
      <c r="F1647" s="61" t="n">
        <v>1</v>
      </c>
      <c r="G1647" s="62" t="n">
        <v>558.64</v>
      </c>
      <c r="H1647" s="63" t="n">
        <v>0.046</v>
      </c>
      <c r="I1647" s="62" t="n">
        <v>395.53</v>
      </c>
      <c r="J1647" s="58" t="inlineStr">
        <is>
          <t>Online</t>
        </is>
      </c>
      <c r="K1647" s="62">
        <f>F1647*(G1647-H1647)</f>
        <v/>
      </c>
      <c r="L1647" s="62">
        <f>K1647-(F1647*I1647)</f>
        <v/>
      </c>
      <c r="M1647" s="64">
        <f>L1647/K1647</f>
        <v/>
      </c>
    </row>
    <row r="1648">
      <c r="A1648" s="58" t="inlineStr">
        <is>
          <t>RT20250212-01647</t>
        </is>
      </c>
      <c r="B1648" s="59" t="inlineStr">
        <is>
          <t>2025-02-12</t>
        </is>
      </c>
      <c r="C1648" s="60" t="inlineStr">
        <is>
          <t>Nimbus Makeup Max-158</t>
        </is>
      </c>
      <c r="D1648" s="58" t="inlineStr">
        <is>
          <t>Beauty</t>
        </is>
      </c>
      <c r="E1648" s="58" t="inlineStr">
        <is>
          <t>East</t>
        </is>
      </c>
      <c r="F1648" s="61" t="n">
        <v>3</v>
      </c>
      <c r="G1648" s="62" t="n">
        <v>167.86</v>
      </c>
      <c r="H1648" s="63" t="n">
        <v>0.041</v>
      </c>
      <c r="I1648" s="62" t="n">
        <v>98.83</v>
      </c>
      <c r="J1648" s="58" t="inlineStr">
        <is>
          <t>Online</t>
        </is>
      </c>
      <c r="K1648" s="62">
        <f>F1648*(G1648-H1648)</f>
        <v/>
      </c>
      <c r="L1648" s="62">
        <f>K1648-(F1648*I1648)</f>
        <v/>
      </c>
      <c r="M1648" s="64">
        <f>L1648/K1648</f>
        <v/>
      </c>
    </row>
    <row r="1649">
      <c r="A1649" s="58" t="inlineStr">
        <is>
          <t>RT20250212-01648</t>
        </is>
      </c>
      <c r="B1649" s="59" t="inlineStr">
        <is>
          <t>2025-02-12</t>
        </is>
      </c>
      <c r="C1649" s="60" t="inlineStr">
        <is>
          <t>Falcon Accessorie S-195</t>
        </is>
      </c>
      <c r="D1649" s="58" t="inlineStr">
        <is>
          <t>Apparel</t>
        </is>
      </c>
      <c r="E1649" s="58" t="inlineStr">
        <is>
          <t>North</t>
        </is>
      </c>
      <c r="F1649" s="61" t="n">
        <v>1</v>
      </c>
      <c r="G1649" s="62" t="n">
        <v>78.12</v>
      </c>
      <c r="H1649" s="63" t="n">
        <v>0.037</v>
      </c>
      <c r="I1649" s="62" t="n">
        <v>43.91</v>
      </c>
      <c r="J1649" s="58" t="inlineStr">
        <is>
          <t>Store</t>
        </is>
      </c>
      <c r="K1649" s="62">
        <f>F1649*(G1649-H1649)</f>
        <v/>
      </c>
      <c r="L1649" s="62">
        <f>K1649-(F1649*I1649)</f>
        <v/>
      </c>
      <c r="M1649" s="64">
        <f>L1649/K1649</f>
        <v/>
      </c>
    </row>
    <row r="1650">
      <c r="A1650" s="58" t="inlineStr">
        <is>
          <t>RT20250212-01649</t>
        </is>
      </c>
      <c r="B1650" s="59" t="inlineStr">
        <is>
          <t>2025-02-12</t>
        </is>
      </c>
      <c r="C1650" s="60" t="inlineStr">
        <is>
          <t>Metro Wearable Plus-234</t>
        </is>
      </c>
      <c r="D1650" s="58" t="inlineStr">
        <is>
          <t>Electronics</t>
        </is>
      </c>
      <c r="E1650" s="58" t="inlineStr">
        <is>
          <t>South</t>
        </is>
      </c>
      <c r="F1650" s="61" t="n">
        <v>2</v>
      </c>
      <c r="G1650" s="62" t="n">
        <v>1517.75</v>
      </c>
      <c r="H1650" s="63" t="n">
        <v>0.1</v>
      </c>
      <c r="I1650" s="62" t="n">
        <v>1197.1</v>
      </c>
      <c r="J1650" s="58" t="inlineStr">
        <is>
          <t>Online</t>
        </is>
      </c>
      <c r="K1650" s="62">
        <f>F1650*(G1650-H1650)</f>
        <v/>
      </c>
      <c r="L1650" s="62">
        <f>K1650-(F1650*I1650)</f>
        <v/>
      </c>
      <c r="M1650" s="64">
        <f>L1650/K1650</f>
        <v/>
      </c>
    </row>
    <row r="1651">
      <c r="A1651" s="58" t="inlineStr">
        <is>
          <t>RT20250212-01650</t>
        </is>
      </c>
      <c r="B1651" s="59" t="inlineStr">
        <is>
          <t>2025-02-12</t>
        </is>
      </c>
      <c r="C1651" s="60" t="inlineStr">
        <is>
          <t>Aurora Household Plus-146</t>
        </is>
      </c>
      <c r="D1651" s="58" t="inlineStr">
        <is>
          <t>Grocery</t>
        </is>
      </c>
      <c r="E1651" s="58" t="inlineStr">
        <is>
          <t>North</t>
        </is>
      </c>
      <c r="F1651" s="61" t="n">
        <v>7</v>
      </c>
      <c r="G1651" s="62" t="n">
        <v>6.6</v>
      </c>
      <c r="H1651" s="63" t="n">
        <v>0.042</v>
      </c>
      <c r="I1651" s="62" t="n">
        <v>4.46</v>
      </c>
      <c r="J1651" s="58" t="inlineStr">
        <is>
          <t>Phone</t>
        </is>
      </c>
      <c r="K1651" s="62">
        <f>F1651*(G1651-H1651)</f>
        <v/>
      </c>
      <c r="L1651" s="62">
        <f>K1651-(F1651*I1651)</f>
        <v/>
      </c>
      <c r="M1651" s="64">
        <f>L1651/K1651</f>
        <v/>
      </c>
    </row>
    <row r="1652">
      <c r="A1652" s="58" t="inlineStr">
        <is>
          <t>RT20250212-01651</t>
        </is>
      </c>
      <c r="B1652" s="59" t="inlineStr">
        <is>
          <t>2025-02-12</t>
        </is>
      </c>
      <c r="C1652" s="60" t="inlineStr">
        <is>
          <t>Vertex Fitnes Pro-830</t>
        </is>
      </c>
      <c r="D1652" s="58" t="inlineStr">
        <is>
          <t>Sports</t>
        </is>
      </c>
      <c r="E1652" s="58" t="inlineStr">
        <is>
          <t>East</t>
        </is>
      </c>
      <c r="F1652" s="61" t="n">
        <v>3</v>
      </c>
      <c r="G1652" s="62" t="n">
        <v>737.4400000000001</v>
      </c>
      <c r="H1652" s="63" t="n">
        <v>0.008999999999999999</v>
      </c>
      <c r="I1652" s="62" t="n">
        <v>486.49</v>
      </c>
      <c r="J1652" s="58" t="inlineStr">
        <is>
          <t>Online</t>
        </is>
      </c>
      <c r="K1652" s="62">
        <f>F1652*(G1652-H1652)</f>
        <v/>
      </c>
      <c r="L1652" s="62">
        <f>K1652-(F1652*I1652)</f>
        <v/>
      </c>
      <c r="M1652" s="64">
        <f>L1652/K1652</f>
        <v/>
      </c>
    </row>
    <row r="1653">
      <c r="A1653" s="58" t="inlineStr">
        <is>
          <t>RT20250212-01652</t>
        </is>
      </c>
      <c r="B1653" s="59" t="inlineStr">
        <is>
          <t>2025-02-12</t>
        </is>
      </c>
      <c r="C1653" s="60" t="inlineStr">
        <is>
          <t>Aurora Printer Plus-991</t>
        </is>
      </c>
      <c r="D1653" s="58" t="inlineStr">
        <is>
          <t>Office</t>
        </is>
      </c>
      <c r="E1653" s="58" t="inlineStr">
        <is>
          <t>Central</t>
        </is>
      </c>
      <c r="F1653" s="61" t="n">
        <v>3</v>
      </c>
      <c r="G1653" s="62" t="n">
        <v>572.26</v>
      </c>
      <c r="H1653" s="63" t="n">
        <v>0.139</v>
      </c>
      <c r="I1653" s="62" t="n">
        <v>375.55</v>
      </c>
      <c r="J1653" s="58" t="inlineStr">
        <is>
          <t>Store</t>
        </is>
      </c>
      <c r="K1653" s="62">
        <f>F1653*(G1653-H1653)</f>
        <v/>
      </c>
      <c r="L1653" s="62">
        <f>K1653-(F1653*I1653)</f>
        <v/>
      </c>
      <c r="M1653" s="64">
        <f>L1653/K1653</f>
        <v/>
      </c>
    </row>
    <row r="1654">
      <c r="A1654" s="58" t="inlineStr">
        <is>
          <t>RT20250212-01653</t>
        </is>
      </c>
      <c r="B1654" s="59" t="inlineStr">
        <is>
          <t>2025-02-12</t>
        </is>
      </c>
      <c r="C1654" s="60" t="inlineStr">
        <is>
          <t>Orion Fragrance Lite-785</t>
        </is>
      </c>
      <c r="D1654" s="58" t="inlineStr">
        <is>
          <t>Beauty</t>
        </is>
      </c>
      <c r="E1654" s="58" t="inlineStr">
        <is>
          <t>North</t>
        </is>
      </c>
      <c r="F1654" s="61" t="n">
        <v>2</v>
      </c>
      <c r="G1654" s="62" t="n">
        <v>45.98</v>
      </c>
      <c r="H1654" s="63" t="n">
        <v>0.025</v>
      </c>
      <c r="I1654" s="62" t="n">
        <v>27.56</v>
      </c>
      <c r="J1654" s="58" t="inlineStr">
        <is>
          <t>Store</t>
        </is>
      </c>
      <c r="K1654" s="62">
        <f>F1654*(G1654-H1654)</f>
        <v/>
      </c>
      <c r="L1654" s="62">
        <f>K1654-(F1654*I1654)</f>
        <v/>
      </c>
      <c r="M1654" s="64">
        <f>L1654/K1654</f>
        <v/>
      </c>
    </row>
    <row r="1655">
      <c r="A1655" s="58" t="inlineStr">
        <is>
          <t>RT20250212-01654</t>
        </is>
      </c>
      <c r="B1655" s="59" t="inlineStr">
        <is>
          <t>2025-02-12</t>
        </is>
      </c>
      <c r="C1655" s="60" t="inlineStr">
        <is>
          <t>Orion Storage Plus-961</t>
        </is>
      </c>
      <c r="D1655" s="58" t="inlineStr">
        <is>
          <t>Office</t>
        </is>
      </c>
      <c r="E1655" s="58" t="inlineStr">
        <is>
          <t>Central</t>
        </is>
      </c>
      <c r="F1655" s="61" t="n">
        <v>1</v>
      </c>
      <c r="G1655" s="62" t="n">
        <v>539.36</v>
      </c>
      <c r="H1655" s="63" t="n">
        <v>0.102</v>
      </c>
      <c r="I1655" s="62" t="n">
        <v>355.31</v>
      </c>
      <c r="J1655" s="58" t="inlineStr">
        <is>
          <t>Phone</t>
        </is>
      </c>
      <c r="K1655" s="62">
        <f>F1655*(G1655-H1655)</f>
        <v/>
      </c>
      <c r="L1655" s="62">
        <f>K1655-(F1655*I1655)</f>
        <v/>
      </c>
      <c r="M1655" s="64">
        <f>L1655/K1655</f>
        <v/>
      </c>
    </row>
    <row r="1656">
      <c r="A1656" s="58" t="inlineStr">
        <is>
          <t>RT20250212-01655</t>
        </is>
      </c>
      <c r="B1656" s="59" t="inlineStr">
        <is>
          <t>2025-02-12</t>
        </is>
      </c>
      <c r="C1656" s="60" t="inlineStr">
        <is>
          <t>Vertex Smartphone Lite-267</t>
        </is>
      </c>
      <c r="D1656" s="58" t="inlineStr">
        <is>
          <t>Electronics</t>
        </is>
      </c>
      <c r="E1656" s="58" t="inlineStr">
        <is>
          <t>North</t>
        </is>
      </c>
      <c r="F1656" s="61" t="n">
        <v>2</v>
      </c>
      <c r="G1656" s="62" t="n">
        <v>1342.68</v>
      </c>
      <c r="H1656" s="63" t="n">
        <v>0.042</v>
      </c>
      <c r="I1656" s="62" t="n">
        <v>955.33</v>
      </c>
      <c r="J1656" s="58" t="inlineStr">
        <is>
          <t>Store</t>
        </is>
      </c>
      <c r="K1656" s="62">
        <f>F1656*(G1656-H1656)</f>
        <v/>
      </c>
      <c r="L1656" s="62">
        <f>K1656-(F1656*I1656)</f>
        <v/>
      </c>
      <c r="M1656" s="64">
        <f>L1656/K1656</f>
        <v/>
      </c>
    </row>
    <row r="1657">
      <c r="A1657" s="58" t="inlineStr">
        <is>
          <t>RT20250212-01656</t>
        </is>
      </c>
      <c r="B1657" s="59" t="inlineStr">
        <is>
          <t>2025-02-12</t>
        </is>
      </c>
      <c r="C1657" s="60" t="inlineStr">
        <is>
          <t>Orion Fragrance Lite-785</t>
        </is>
      </c>
      <c r="D1657" s="58" t="inlineStr">
        <is>
          <t>Beauty</t>
        </is>
      </c>
      <c r="E1657" s="58" t="inlineStr">
        <is>
          <t>South</t>
        </is>
      </c>
      <c r="F1657" s="61" t="n">
        <v>2</v>
      </c>
      <c r="G1657" s="62" t="n">
        <v>43.71</v>
      </c>
      <c r="H1657" s="63" t="n">
        <v>0.08400000000000001</v>
      </c>
      <c r="I1657" s="62" t="n">
        <v>26.78</v>
      </c>
      <c r="J1657" s="58" t="inlineStr">
        <is>
          <t>Online</t>
        </is>
      </c>
      <c r="K1657" s="62">
        <f>F1657*(G1657-H1657)</f>
        <v/>
      </c>
      <c r="L1657" s="62">
        <f>K1657-(F1657*I1657)</f>
        <v/>
      </c>
      <c r="M1657" s="64">
        <f>L1657/K1657</f>
        <v/>
      </c>
    </row>
    <row r="1658">
      <c r="A1658" s="58" t="inlineStr">
        <is>
          <t>RT20250212-01657</t>
        </is>
      </c>
      <c r="B1658" s="59" t="inlineStr">
        <is>
          <t>2025-02-12</t>
        </is>
      </c>
      <c r="C1658" s="60" t="inlineStr">
        <is>
          <t>Polar Fragrance Pro-750</t>
        </is>
      </c>
      <c r="D1658" s="58" t="inlineStr">
        <is>
          <t>Beauty</t>
        </is>
      </c>
      <c r="E1658" s="58" t="inlineStr">
        <is>
          <t>South</t>
        </is>
      </c>
      <c r="F1658" s="61" t="n">
        <v>4</v>
      </c>
      <c r="G1658" s="62" t="n">
        <v>56.05</v>
      </c>
      <c r="H1658" s="63" t="n">
        <v>0.08699999999999999</v>
      </c>
      <c r="I1658" s="62" t="n">
        <v>35.87</v>
      </c>
      <c r="J1658" s="58" t="inlineStr">
        <is>
          <t>Online</t>
        </is>
      </c>
      <c r="K1658" s="62">
        <f>F1658*(G1658-H1658)</f>
        <v/>
      </c>
      <c r="L1658" s="62">
        <f>K1658-(F1658*I1658)</f>
        <v/>
      </c>
      <c r="M1658" s="64">
        <f>L1658/K1658</f>
        <v/>
      </c>
    </row>
    <row r="1659">
      <c r="A1659" s="58" t="inlineStr">
        <is>
          <t>RT20250212-01658</t>
        </is>
      </c>
      <c r="B1659" s="59" t="inlineStr">
        <is>
          <t>2025-02-12</t>
        </is>
      </c>
      <c r="C1659" s="60" t="inlineStr">
        <is>
          <t>Polar Men Pro-246</t>
        </is>
      </c>
      <c r="D1659" s="58" t="inlineStr">
        <is>
          <t>Apparel</t>
        </is>
      </c>
      <c r="E1659" s="58" t="inlineStr">
        <is>
          <t>East</t>
        </is>
      </c>
      <c r="F1659" s="61" t="n">
        <v>3</v>
      </c>
      <c r="G1659" s="62" t="n">
        <v>149.15</v>
      </c>
      <c r="H1659" s="63" t="n">
        <v>0.054</v>
      </c>
      <c r="I1659" s="62" t="n">
        <v>79.08</v>
      </c>
      <c r="J1659" s="58" t="inlineStr">
        <is>
          <t>Online</t>
        </is>
      </c>
      <c r="K1659" s="62">
        <f>F1659*(G1659-H1659)</f>
        <v/>
      </c>
      <c r="L1659" s="62">
        <f>K1659-(F1659*I1659)</f>
        <v/>
      </c>
      <c r="M1659" s="64">
        <f>L1659/K1659</f>
        <v/>
      </c>
    </row>
    <row r="1660">
      <c r="A1660" s="58" t="inlineStr">
        <is>
          <t>RT20250212-01659</t>
        </is>
      </c>
      <c r="B1660" s="59" t="inlineStr">
        <is>
          <t>2025-02-12</t>
        </is>
      </c>
      <c r="C1660" s="60" t="inlineStr">
        <is>
          <t>Aurora Team Sport Plus-256</t>
        </is>
      </c>
      <c r="D1660" s="58" t="inlineStr">
        <is>
          <t>Sports</t>
        </is>
      </c>
      <c r="E1660" s="58" t="inlineStr">
        <is>
          <t>West</t>
        </is>
      </c>
      <c r="F1660" s="61" t="n">
        <v>3</v>
      </c>
      <c r="G1660" s="62" t="n">
        <v>606.63</v>
      </c>
      <c r="H1660" s="63" t="n">
        <v>0.08400000000000001</v>
      </c>
      <c r="I1660" s="62" t="n">
        <v>413.61</v>
      </c>
      <c r="J1660" s="58" t="inlineStr">
        <is>
          <t>Online</t>
        </is>
      </c>
      <c r="K1660" s="62">
        <f>F1660*(G1660-H1660)</f>
        <v/>
      </c>
      <c r="L1660" s="62">
        <f>K1660-(F1660*I1660)</f>
        <v/>
      </c>
      <c r="M1660" s="64">
        <f>L1660/K1660</f>
        <v/>
      </c>
    </row>
    <row r="1661">
      <c r="A1661" s="58" t="inlineStr">
        <is>
          <t>RT20250212-01660</t>
        </is>
      </c>
      <c r="B1661" s="59" t="inlineStr">
        <is>
          <t>2025-02-12</t>
        </is>
      </c>
      <c r="C1661" s="60" t="inlineStr">
        <is>
          <t>Vertex Fitnes Pro-830</t>
        </is>
      </c>
      <c r="D1661" s="58" t="inlineStr">
        <is>
          <t>Sports</t>
        </is>
      </c>
      <c r="E1661" s="58" t="inlineStr">
        <is>
          <t>East</t>
        </is>
      </c>
      <c r="F1661" s="61" t="n">
        <v>1</v>
      </c>
      <c r="G1661" s="62" t="n">
        <v>757.9299999999999</v>
      </c>
      <c r="H1661" s="63" t="n">
        <v>0.05</v>
      </c>
      <c r="I1661" s="62" t="n">
        <v>485.12</v>
      </c>
      <c r="J1661" s="58" t="inlineStr">
        <is>
          <t>Online</t>
        </is>
      </c>
      <c r="K1661" s="62">
        <f>F1661*(G1661-H1661)</f>
        <v/>
      </c>
      <c r="L1661" s="62">
        <f>K1661-(F1661*I1661)</f>
        <v/>
      </c>
      <c r="M1661" s="64">
        <f>L1661/K1661</f>
        <v/>
      </c>
    </row>
    <row r="1662">
      <c r="A1662" s="58" t="inlineStr">
        <is>
          <t>RT20250212-01661</t>
        </is>
      </c>
      <c r="B1662" s="59" t="inlineStr">
        <is>
          <t>2025-02-12</t>
        </is>
      </c>
      <c r="C1662" s="60" t="inlineStr">
        <is>
          <t>Polar Decor X-935</t>
        </is>
      </c>
      <c r="D1662" s="58" t="inlineStr">
        <is>
          <t>Home</t>
        </is>
      </c>
      <c r="E1662" s="58" t="inlineStr">
        <is>
          <t>North</t>
        </is>
      </c>
      <c r="F1662" s="61" t="n">
        <v>2</v>
      </c>
      <c r="G1662" s="62" t="n">
        <v>332.23</v>
      </c>
      <c r="H1662" s="63" t="n">
        <v>0.08799999999999999</v>
      </c>
      <c r="I1662" s="62" t="n">
        <v>203.91</v>
      </c>
      <c r="J1662" s="58" t="inlineStr">
        <is>
          <t>Phone</t>
        </is>
      </c>
      <c r="K1662" s="62">
        <f>F1662*(G1662-H1662)</f>
        <v/>
      </c>
      <c r="L1662" s="62">
        <f>K1662-(F1662*I1662)</f>
        <v/>
      </c>
      <c r="M1662" s="64">
        <f>L1662/K1662</f>
        <v/>
      </c>
    </row>
    <row r="1663">
      <c r="A1663" s="58" t="inlineStr">
        <is>
          <t>RT20250212-01662</t>
        </is>
      </c>
      <c r="B1663" s="59" t="inlineStr">
        <is>
          <t>2025-02-12</t>
        </is>
      </c>
      <c r="C1663" s="60" t="inlineStr">
        <is>
          <t>Metro Decor Lite-325</t>
        </is>
      </c>
      <c r="D1663" s="58" t="inlineStr">
        <is>
          <t>Home</t>
        </is>
      </c>
      <c r="E1663" s="58" t="inlineStr">
        <is>
          <t>Central</t>
        </is>
      </c>
      <c r="F1663" s="61" t="n">
        <v>1</v>
      </c>
      <c r="G1663" s="62" t="n">
        <v>527.75</v>
      </c>
      <c r="H1663" s="63" t="n">
        <v>0.07199999999999999</v>
      </c>
      <c r="I1663" s="62" t="n">
        <v>369.96</v>
      </c>
      <c r="J1663" s="58" t="inlineStr">
        <is>
          <t>Online</t>
        </is>
      </c>
      <c r="K1663" s="62">
        <f>F1663*(G1663-H1663)</f>
        <v/>
      </c>
      <c r="L1663" s="62">
        <f>K1663-(F1663*I1663)</f>
        <v/>
      </c>
      <c r="M1663" s="64">
        <f>L1663/K1663</f>
        <v/>
      </c>
    </row>
    <row r="1664">
      <c r="A1664" s="58" t="inlineStr">
        <is>
          <t>RT20250212-01663</t>
        </is>
      </c>
      <c r="B1664" s="59" t="inlineStr">
        <is>
          <t>2025-02-12</t>
        </is>
      </c>
      <c r="C1664" s="60" t="inlineStr">
        <is>
          <t>Solace Kid S-384</t>
        </is>
      </c>
      <c r="D1664" s="58" t="inlineStr">
        <is>
          <t>Apparel</t>
        </is>
      </c>
      <c r="E1664" s="58" t="inlineStr">
        <is>
          <t>East</t>
        </is>
      </c>
      <c r="F1664" s="61" t="n">
        <v>2</v>
      </c>
      <c r="G1664" s="62" t="n">
        <v>108.27</v>
      </c>
      <c r="H1664" s="63" t="n">
        <v>0.076</v>
      </c>
      <c r="I1664" s="62" t="n">
        <v>62.33</v>
      </c>
      <c r="J1664" s="58" t="inlineStr">
        <is>
          <t>Store</t>
        </is>
      </c>
      <c r="K1664" s="62">
        <f>F1664*(G1664-H1664)</f>
        <v/>
      </c>
      <c r="L1664" s="62">
        <f>K1664-(F1664*I1664)</f>
        <v/>
      </c>
      <c r="M1664" s="64">
        <f>L1664/K1664</f>
        <v/>
      </c>
    </row>
    <row r="1665">
      <c r="A1665" s="58" t="inlineStr">
        <is>
          <t>RT20250212-01664</t>
        </is>
      </c>
      <c r="B1665" s="59" t="inlineStr">
        <is>
          <t>2025-02-12</t>
        </is>
      </c>
      <c r="C1665" s="60" t="inlineStr">
        <is>
          <t>Solace Makeup Pro-214</t>
        </is>
      </c>
      <c r="D1665" s="58" t="inlineStr">
        <is>
          <t>Beauty</t>
        </is>
      </c>
      <c r="E1665" s="58" t="inlineStr">
        <is>
          <t>East</t>
        </is>
      </c>
      <c r="F1665" s="61" t="n">
        <v>4</v>
      </c>
      <c r="G1665" s="62" t="n">
        <v>109.74</v>
      </c>
      <c r="H1665" s="63" t="n">
        <v>0.091</v>
      </c>
      <c r="I1665" s="62" t="n">
        <v>66.92</v>
      </c>
      <c r="J1665" s="58" t="inlineStr">
        <is>
          <t>Online</t>
        </is>
      </c>
      <c r="K1665" s="62">
        <f>F1665*(G1665-H1665)</f>
        <v/>
      </c>
      <c r="L1665" s="62">
        <f>K1665-(F1665*I1665)</f>
        <v/>
      </c>
      <c r="M1665" s="64">
        <f>L1665/K1665</f>
        <v/>
      </c>
    </row>
    <row r="1666">
      <c r="A1666" s="58" t="inlineStr">
        <is>
          <t>RT20250212-01665</t>
        </is>
      </c>
      <c r="B1666" s="59" t="inlineStr">
        <is>
          <t>2025-02-12</t>
        </is>
      </c>
      <c r="C1666" s="60" t="inlineStr">
        <is>
          <t>Polar Supplie Lite-348</t>
        </is>
      </c>
      <c r="D1666" s="58" t="inlineStr">
        <is>
          <t>Office</t>
        </is>
      </c>
      <c r="E1666" s="58" t="inlineStr">
        <is>
          <t>West</t>
        </is>
      </c>
      <c r="F1666" s="61" t="n">
        <v>2</v>
      </c>
      <c r="G1666" s="62" t="n">
        <v>403.18</v>
      </c>
      <c r="H1666" s="63" t="n">
        <v>0.054</v>
      </c>
      <c r="I1666" s="62" t="n">
        <v>323.4</v>
      </c>
      <c r="J1666" s="58" t="inlineStr">
        <is>
          <t>Online</t>
        </is>
      </c>
      <c r="K1666" s="62">
        <f>F1666*(G1666-H1666)</f>
        <v/>
      </c>
      <c r="L1666" s="62">
        <f>K1666-(F1666*I1666)</f>
        <v/>
      </c>
      <c r="M1666" s="64">
        <f>L1666/K1666</f>
        <v/>
      </c>
    </row>
    <row r="1667">
      <c r="A1667" s="58" t="inlineStr">
        <is>
          <t>RT20250212-01666</t>
        </is>
      </c>
      <c r="B1667" s="59" t="inlineStr">
        <is>
          <t>2025-02-12</t>
        </is>
      </c>
      <c r="C1667" s="60" t="inlineStr">
        <is>
          <t>Aurora Household Plus-146</t>
        </is>
      </c>
      <c r="D1667" s="58" t="inlineStr">
        <is>
          <t>Grocery</t>
        </is>
      </c>
      <c r="E1667" s="58" t="inlineStr">
        <is>
          <t>Central</t>
        </is>
      </c>
      <c r="F1667" s="61" t="n">
        <v>5</v>
      </c>
      <c r="G1667" s="62" t="n">
        <v>5.89</v>
      </c>
      <c r="H1667" s="63" t="n">
        <v>0.068</v>
      </c>
      <c r="I1667" s="62" t="n">
        <v>4.65</v>
      </c>
      <c r="J1667" s="58" t="inlineStr">
        <is>
          <t>Store</t>
        </is>
      </c>
      <c r="K1667" s="62">
        <f>F1667*(G1667-H1667)</f>
        <v/>
      </c>
      <c r="L1667" s="62">
        <f>K1667-(F1667*I1667)</f>
        <v/>
      </c>
      <c r="M1667" s="64">
        <f>L1667/K1667</f>
        <v/>
      </c>
    </row>
    <row r="1668">
      <c r="A1668" s="58" t="inlineStr">
        <is>
          <t>RT20250212-01667</t>
        </is>
      </c>
      <c r="B1668" s="59" t="inlineStr">
        <is>
          <t>2025-02-12</t>
        </is>
      </c>
      <c r="C1668" s="60" t="inlineStr">
        <is>
          <t>Falcon Haircare Pro-980</t>
        </is>
      </c>
      <c r="D1668" s="58" t="inlineStr">
        <is>
          <t>Beauty</t>
        </is>
      </c>
      <c r="E1668" s="58" t="inlineStr">
        <is>
          <t>Central</t>
        </is>
      </c>
      <c r="F1668" s="61" t="n">
        <v>4</v>
      </c>
      <c r="G1668" s="62" t="n">
        <v>87.26000000000001</v>
      </c>
      <c r="H1668" s="63" t="n">
        <v>0.05</v>
      </c>
      <c r="I1668" s="62" t="n">
        <v>56.83</v>
      </c>
      <c r="J1668" s="58" t="inlineStr">
        <is>
          <t>Online</t>
        </is>
      </c>
      <c r="K1668" s="62">
        <f>F1668*(G1668-H1668)</f>
        <v/>
      </c>
      <c r="L1668" s="62">
        <f>K1668-(F1668*I1668)</f>
        <v/>
      </c>
      <c r="M1668" s="64">
        <f>L1668/K1668</f>
        <v/>
      </c>
    </row>
    <row r="1669">
      <c r="A1669" s="58" t="inlineStr">
        <is>
          <t>RT20250212-01668</t>
        </is>
      </c>
      <c r="B1669" s="59" t="inlineStr">
        <is>
          <t>2025-02-12</t>
        </is>
      </c>
      <c r="C1669" s="60" t="inlineStr">
        <is>
          <t>Aurora Bedding Max-175</t>
        </is>
      </c>
      <c r="D1669" s="58" t="inlineStr">
        <is>
          <t>Home</t>
        </is>
      </c>
      <c r="E1669" s="58" t="inlineStr">
        <is>
          <t>Central</t>
        </is>
      </c>
      <c r="F1669" s="61" t="n">
        <v>2</v>
      </c>
      <c r="G1669" s="62" t="n">
        <v>642.62</v>
      </c>
      <c r="H1669" s="63" t="n">
        <v>0.041</v>
      </c>
      <c r="I1669" s="62" t="n">
        <v>407.72</v>
      </c>
      <c r="J1669" s="58" t="inlineStr">
        <is>
          <t>Online</t>
        </is>
      </c>
      <c r="K1669" s="62">
        <f>F1669*(G1669-H1669)</f>
        <v/>
      </c>
      <c r="L1669" s="62">
        <f>K1669-(F1669*I1669)</f>
        <v/>
      </c>
      <c r="M1669" s="64">
        <f>L1669/K1669</f>
        <v/>
      </c>
    </row>
    <row r="1670">
      <c r="A1670" s="58" t="inlineStr">
        <is>
          <t>RT20250212-01669</t>
        </is>
      </c>
      <c r="B1670" s="59" t="inlineStr">
        <is>
          <t>2025-02-12</t>
        </is>
      </c>
      <c r="C1670" s="60" t="inlineStr">
        <is>
          <t>Polar Haircare Max-614</t>
        </is>
      </c>
      <c r="D1670" s="58" t="inlineStr">
        <is>
          <t>Beauty</t>
        </is>
      </c>
      <c r="E1670" s="58" t="inlineStr">
        <is>
          <t>Central</t>
        </is>
      </c>
      <c r="F1670" s="61" t="n">
        <v>2</v>
      </c>
      <c r="G1670" s="62" t="n">
        <v>122.72</v>
      </c>
      <c r="H1670" s="63" t="n">
        <v>0.036</v>
      </c>
      <c r="I1670" s="62" t="n">
        <v>68.98999999999999</v>
      </c>
      <c r="J1670" s="58" t="inlineStr">
        <is>
          <t>Store</t>
        </is>
      </c>
      <c r="K1670" s="62">
        <f>F1670*(G1670-H1670)</f>
        <v/>
      </c>
      <c r="L1670" s="62">
        <f>K1670-(F1670*I1670)</f>
        <v/>
      </c>
      <c r="M1670" s="64">
        <f>L1670/K1670</f>
        <v/>
      </c>
    </row>
    <row r="1671">
      <c r="A1671" s="58" t="inlineStr">
        <is>
          <t>RT20250212-01670</t>
        </is>
      </c>
      <c r="B1671" s="59" t="inlineStr">
        <is>
          <t>2025-02-12</t>
        </is>
      </c>
      <c r="C1671" s="60" t="inlineStr">
        <is>
          <t>Falcon Skincare Max-151</t>
        </is>
      </c>
      <c r="D1671" s="58" t="inlineStr">
        <is>
          <t>Beauty</t>
        </is>
      </c>
      <c r="E1671" s="58" t="inlineStr">
        <is>
          <t>Central</t>
        </is>
      </c>
      <c r="F1671" s="61" t="n">
        <v>4</v>
      </c>
      <c r="G1671" s="62" t="n">
        <v>91.08</v>
      </c>
      <c r="H1671" s="63" t="n">
        <v>0.036</v>
      </c>
      <c r="I1671" s="62" t="n">
        <v>61.26</v>
      </c>
      <c r="J1671" s="58" t="inlineStr">
        <is>
          <t>Store</t>
        </is>
      </c>
      <c r="K1671" s="62">
        <f>F1671*(G1671-H1671)</f>
        <v/>
      </c>
      <c r="L1671" s="62">
        <f>K1671-(F1671*I1671)</f>
        <v/>
      </c>
      <c r="M1671" s="64">
        <f>L1671/K1671</f>
        <v/>
      </c>
    </row>
    <row r="1672">
      <c r="A1672" s="58" t="inlineStr">
        <is>
          <t>RT20250212-01671</t>
        </is>
      </c>
      <c r="B1672" s="59" t="inlineStr">
        <is>
          <t>2025-02-12</t>
        </is>
      </c>
      <c r="C1672" s="60" t="inlineStr">
        <is>
          <t>Polar Cycling S-223</t>
        </is>
      </c>
      <c r="D1672" s="58" t="inlineStr">
        <is>
          <t>Sports</t>
        </is>
      </c>
      <c r="E1672" s="58" t="inlineStr">
        <is>
          <t>East</t>
        </is>
      </c>
      <c r="F1672" s="61" t="n">
        <v>3</v>
      </c>
      <c r="G1672" s="62" t="n">
        <v>980.27</v>
      </c>
      <c r="H1672" s="63" t="n">
        <v>0.044</v>
      </c>
      <c r="I1672" s="62" t="n">
        <v>623.71</v>
      </c>
      <c r="J1672" s="58" t="inlineStr">
        <is>
          <t>Online</t>
        </is>
      </c>
      <c r="K1672" s="62">
        <f>F1672*(G1672-H1672)</f>
        <v/>
      </c>
      <c r="L1672" s="62">
        <f>K1672-(F1672*I1672)</f>
        <v/>
      </c>
      <c r="M1672" s="64">
        <f>L1672/K1672</f>
        <v/>
      </c>
    </row>
    <row r="1673">
      <c r="A1673" s="58" t="inlineStr">
        <is>
          <t>RT20250212-01672</t>
        </is>
      </c>
      <c r="B1673" s="59" t="inlineStr">
        <is>
          <t>2025-02-12</t>
        </is>
      </c>
      <c r="C1673" s="60" t="inlineStr">
        <is>
          <t>Polar Haircare Max-614</t>
        </is>
      </c>
      <c r="D1673" s="58" t="inlineStr">
        <is>
          <t>Beauty</t>
        </is>
      </c>
      <c r="E1673" s="58" t="inlineStr">
        <is>
          <t>West</t>
        </is>
      </c>
      <c r="F1673" s="61" t="n">
        <v>1</v>
      </c>
      <c r="G1673" s="62" t="n">
        <v>124.98</v>
      </c>
      <c r="H1673" s="63" t="n">
        <v>0.065</v>
      </c>
      <c r="I1673" s="62" t="n">
        <v>71.22</v>
      </c>
      <c r="J1673" s="58" t="inlineStr">
        <is>
          <t>Store</t>
        </is>
      </c>
      <c r="K1673" s="62">
        <f>F1673*(G1673-H1673)</f>
        <v/>
      </c>
      <c r="L1673" s="62">
        <f>K1673-(F1673*I1673)</f>
        <v/>
      </c>
      <c r="M1673" s="64">
        <f>L1673/K1673</f>
        <v/>
      </c>
    </row>
    <row r="1674">
      <c r="A1674" s="58" t="inlineStr">
        <is>
          <t>RT20250212-01673</t>
        </is>
      </c>
      <c r="B1674" s="59" t="inlineStr">
        <is>
          <t>2025-02-12</t>
        </is>
      </c>
      <c r="C1674" s="60" t="inlineStr">
        <is>
          <t>Polar Supplie Lite-348</t>
        </is>
      </c>
      <c r="D1674" s="58" t="inlineStr">
        <is>
          <t>Office</t>
        </is>
      </c>
      <c r="E1674" s="58" t="inlineStr">
        <is>
          <t>Central</t>
        </is>
      </c>
      <c r="F1674" s="61" t="n">
        <v>3</v>
      </c>
      <c r="G1674" s="62" t="n">
        <v>441.63</v>
      </c>
      <c r="H1674" s="63" t="n">
        <v>0.064</v>
      </c>
      <c r="I1674" s="62" t="n">
        <v>323.57</v>
      </c>
      <c r="J1674" s="58" t="inlineStr">
        <is>
          <t>Phone</t>
        </is>
      </c>
      <c r="K1674" s="62">
        <f>F1674*(G1674-H1674)</f>
        <v/>
      </c>
      <c r="L1674" s="62">
        <f>K1674-(F1674*I1674)</f>
        <v/>
      </c>
      <c r="M1674" s="64">
        <f>L1674/K1674</f>
        <v/>
      </c>
    </row>
    <row r="1675">
      <c r="A1675" s="58" t="inlineStr">
        <is>
          <t>RT20250213-01674</t>
        </is>
      </c>
      <c r="B1675" s="59" t="inlineStr">
        <is>
          <t>2025-02-13</t>
        </is>
      </c>
      <c r="C1675" s="60" t="inlineStr">
        <is>
          <t>Nimbus Men Plus-231</t>
        </is>
      </c>
      <c r="D1675" s="58" t="inlineStr">
        <is>
          <t>Apparel</t>
        </is>
      </c>
      <c r="E1675" s="58" t="inlineStr">
        <is>
          <t>East</t>
        </is>
      </c>
      <c r="F1675" s="61" t="n">
        <v>4</v>
      </c>
      <c r="G1675" s="62" t="n">
        <v>164.46</v>
      </c>
      <c r="H1675" s="63" t="n">
        <v>0.047</v>
      </c>
      <c r="I1675" s="62" t="n">
        <v>86.68000000000001</v>
      </c>
      <c r="J1675" s="58" t="inlineStr">
        <is>
          <t>Store</t>
        </is>
      </c>
      <c r="K1675" s="62">
        <f>F1675*(G1675-H1675)</f>
        <v/>
      </c>
      <c r="L1675" s="62">
        <f>K1675-(F1675*I1675)</f>
        <v/>
      </c>
      <c r="M1675" s="64">
        <f>L1675/K1675</f>
        <v/>
      </c>
    </row>
    <row r="1676">
      <c r="A1676" s="58" t="inlineStr">
        <is>
          <t>RT20250213-01675</t>
        </is>
      </c>
      <c r="B1676" s="59" t="inlineStr">
        <is>
          <t>2025-02-13</t>
        </is>
      </c>
      <c r="C1676" s="60" t="inlineStr">
        <is>
          <t>Aurora Kid Plus-151</t>
        </is>
      </c>
      <c r="D1676" s="58" t="inlineStr">
        <is>
          <t>Apparel</t>
        </is>
      </c>
      <c r="E1676" s="58" t="inlineStr">
        <is>
          <t>South</t>
        </is>
      </c>
      <c r="F1676" s="61" t="n">
        <v>3</v>
      </c>
      <c r="G1676" s="62" t="n">
        <v>127.31</v>
      </c>
      <c r="H1676" s="63" t="n">
        <v>0.053</v>
      </c>
      <c r="I1676" s="62" t="n">
        <v>64.61</v>
      </c>
      <c r="J1676" s="58" t="inlineStr">
        <is>
          <t>Online</t>
        </is>
      </c>
      <c r="K1676" s="62">
        <f>F1676*(G1676-H1676)</f>
        <v/>
      </c>
      <c r="L1676" s="62">
        <f>K1676-(F1676*I1676)</f>
        <v/>
      </c>
      <c r="M1676" s="64">
        <f>L1676/K1676</f>
        <v/>
      </c>
    </row>
    <row r="1677">
      <c r="A1677" s="58" t="inlineStr">
        <is>
          <t>RT20250213-01676</t>
        </is>
      </c>
      <c r="B1677" s="59" t="inlineStr">
        <is>
          <t>2025-02-13</t>
        </is>
      </c>
      <c r="C1677" s="60" t="inlineStr">
        <is>
          <t>Metro Printer X-294</t>
        </is>
      </c>
      <c r="D1677" s="58" t="inlineStr">
        <is>
          <t>Office</t>
        </is>
      </c>
      <c r="E1677" s="58" t="inlineStr">
        <is>
          <t>East</t>
        </is>
      </c>
      <c r="F1677" s="61" t="n">
        <v>1</v>
      </c>
      <c r="G1677" s="62" t="n">
        <v>610.41</v>
      </c>
      <c r="H1677" s="63" t="n">
        <v>0.068</v>
      </c>
      <c r="I1677" s="62" t="n">
        <v>406.87</v>
      </c>
      <c r="J1677" s="58" t="inlineStr">
        <is>
          <t>Store</t>
        </is>
      </c>
      <c r="K1677" s="62">
        <f>F1677*(G1677-H1677)</f>
        <v/>
      </c>
      <c r="L1677" s="62">
        <f>K1677-(F1677*I1677)</f>
        <v/>
      </c>
      <c r="M1677" s="64">
        <f>L1677/K1677</f>
        <v/>
      </c>
    </row>
    <row r="1678">
      <c r="A1678" s="58" t="inlineStr">
        <is>
          <t>RT20250213-01677</t>
        </is>
      </c>
      <c r="B1678" s="59" t="inlineStr">
        <is>
          <t>2025-02-13</t>
        </is>
      </c>
      <c r="C1678" s="60" t="inlineStr">
        <is>
          <t>Nimbus Decor Lite-385</t>
        </is>
      </c>
      <c r="D1678" s="58" t="inlineStr">
        <is>
          <t>Home</t>
        </is>
      </c>
      <c r="E1678" s="58" t="inlineStr">
        <is>
          <t>North</t>
        </is>
      </c>
      <c r="F1678" s="61" t="n">
        <v>1</v>
      </c>
      <c r="G1678" s="62" t="n">
        <v>527.5599999999999</v>
      </c>
      <c r="H1678" s="63" t="n">
        <v>0.045</v>
      </c>
      <c r="I1678" s="62" t="n">
        <v>394.04</v>
      </c>
      <c r="J1678" s="58" t="inlineStr">
        <is>
          <t>Online</t>
        </is>
      </c>
      <c r="K1678" s="62">
        <f>F1678*(G1678-H1678)</f>
        <v/>
      </c>
      <c r="L1678" s="62">
        <f>K1678-(F1678*I1678)</f>
        <v/>
      </c>
      <c r="M1678" s="64">
        <f>L1678/K1678</f>
        <v/>
      </c>
    </row>
    <row r="1679">
      <c r="A1679" s="58" t="inlineStr">
        <is>
          <t>RT20250213-01678</t>
        </is>
      </c>
      <c r="B1679" s="59" t="inlineStr">
        <is>
          <t>2025-02-13</t>
        </is>
      </c>
      <c r="C1679" s="60" t="inlineStr">
        <is>
          <t>Polar Laptop Plus-984</t>
        </is>
      </c>
      <c r="D1679" s="58" t="inlineStr">
        <is>
          <t>Electronics</t>
        </is>
      </c>
      <c r="E1679" s="58" t="inlineStr">
        <is>
          <t>Central</t>
        </is>
      </c>
      <c r="F1679" s="61" t="n">
        <v>2</v>
      </c>
      <c r="G1679" s="62" t="n">
        <v>1125.8</v>
      </c>
      <c r="H1679" s="63" t="n">
        <v>0.022</v>
      </c>
      <c r="I1679" s="62" t="n">
        <v>974.8200000000001</v>
      </c>
      <c r="J1679" s="58" t="inlineStr">
        <is>
          <t>Store</t>
        </is>
      </c>
      <c r="K1679" s="62">
        <f>F1679*(G1679-H1679)</f>
        <v/>
      </c>
      <c r="L1679" s="62">
        <f>K1679-(F1679*I1679)</f>
        <v/>
      </c>
      <c r="M1679" s="64">
        <f>L1679/K1679</f>
        <v/>
      </c>
    </row>
    <row r="1680">
      <c r="A1680" s="58" t="inlineStr">
        <is>
          <t>RT20250213-01679</t>
        </is>
      </c>
      <c r="B1680" s="59" t="inlineStr">
        <is>
          <t>2025-02-13</t>
        </is>
      </c>
      <c r="C1680" s="60" t="inlineStr">
        <is>
          <t>Orion Storage Plus-961</t>
        </is>
      </c>
      <c r="D1680" s="58" t="inlineStr">
        <is>
          <t>Office</t>
        </is>
      </c>
      <c r="E1680" s="58" t="inlineStr">
        <is>
          <t>East</t>
        </is>
      </c>
      <c r="F1680" s="61" t="n">
        <v>1</v>
      </c>
      <c r="G1680" s="62" t="n">
        <v>504.8</v>
      </c>
      <c r="H1680" s="63" t="n">
        <v>0.077</v>
      </c>
      <c r="I1680" s="62" t="n">
        <v>369.49</v>
      </c>
      <c r="J1680" s="58" t="inlineStr">
        <is>
          <t>Store</t>
        </is>
      </c>
      <c r="K1680" s="62">
        <f>F1680*(G1680-H1680)</f>
        <v/>
      </c>
      <c r="L1680" s="62">
        <f>K1680-(F1680*I1680)</f>
        <v/>
      </c>
      <c r="M1680" s="64">
        <f>L1680/K1680</f>
        <v/>
      </c>
    </row>
    <row r="1681">
      <c r="A1681" s="58" t="inlineStr">
        <is>
          <t>RT20250213-01680</t>
        </is>
      </c>
      <c r="B1681" s="59" t="inlineStr">
        <is>
          <t>2025-02-13</t>
        </is>
      </c>
      <c r="C1681" s="60" t="inlineStr">
        <is>
          <t>Vertex Snack S-702</t>
        </is>
      </c>
      <c r="D1681" s="58" t="inlineStr">
        <is>
          <t>Grocery</t>
        </is>
      </c>
      <c r="E1681" s="58" t="inlineStr">
        <is>
          <t>East</t>
        </is>
      </c>
      <c r="F1681" s="61" t="n">
        <v>2</v>
      </c>
      <c r="G1681" s="62" t="n">
        <v>1.91</v>
      </c>
      <c r="H1681" s="63" t="n">
        <v>0.065</v>
      </c>
      <c r="I1681" s="62" t="n">
        <v>1.49</v>
      </c>
      <c r="J1681" s="58" t="inlineStr">
        <is>
          <t>Online</t>
        </is>
      </c>
      <c r="K1681" s="62">
        <f>F1681*(G1681-H1681)</f>
        <v/>
      </c>
      <c r="L1681" s="62">
        <f>K1681-(F1681*I1681)</f>
        <v/>
      </c>
      <c r="M1681" s="64">
        <f>L1681/K1681</f>
        <v/>
      </c>
    </row>
    <row r="1682">
      <c r="A1682" s="58" t="inlineStr">
        <is>
          <t>RT20250213-01681</t>
        </is>
      </c>
      <c r="B1682" s="59" t="inlineStr">
        <is>
          <t>2025-02-13</t>
        </is>
      </c>
      <c r="C1682" s="60" t="inlineStr">
        <is>
          <t>Solace Fitnes S-324</t>
        </is>
      </c>
      <c r="D1682" s="58" t="inlineStr">
        <is>
          <t>Sports</t>
        </is>
      </c>
      <c r="E1682" s="58" t="inlineStr">
        <is>
          <t>South</t>
        </is>
      </c>
      <c r="F1682" s="61" t="n">
        <v>2</v>
      </c>
      <c r="G1682" s="62" t="n">
        <v>877.29</v>
      </c>
      <c r="H1682" s="63" t="n">
        <v>0.07199999999999999</v>
      </c>
      <c r="I1682" s="62" t="n">
        <v>526.4400000000001</v>
      </c>
      <c r="J1682" s="58" t="inlineStr">
        <is>
          <t>Online</t>
        </is>
      </c>
      <c r="K1682" s="62">
        <f>F1682*(G1682-H1682)</f>
        <v/>
      </c>
      <c r="L1682" s="62">
        <f>K1682-(F1682*I1682)</f>
        <v/>
      </c>
      <c r="M1682" s="64">
        <f>L1682/K1682</f>
        <v/>
      </c>
    </row>
    <row r="1683">
      <c r="A1683" s="58" t="inlineStr">
        <is>
          <t>RT20250213-01682</t>
        </is>
      </c>
      <c r="B1683" s="59" t="inlineStr">
        <is>
          <t>2025-02-13</t>
        </is>
      </c>
      <c r="C1683" s="60" t="inlineStr">
        <is>
          <t>Polar Outdoor X-193</t>
        </is>
      </c>
      <c r="D1683" s="58" t="inlineStr">
        <is>
          <t>Sports</t>
        </is>
      </c>
      <c r="E1683" s="58" t="inlineStr">
        <is>
          <t>South</t>
        </is>
      </c>
      <c r="F1683" s="61" t="n">
        <v>1</v>
      </c>
      <c r="G1683" s="62" t="n">
        <v>697.03</v>
      </c>
      <c r="H1683" s="63" t="n">
        <v>0.074</v>
      </c>
      <c r="I1683" s="62" t="n">
        <v>447.74</v>
      </c>
      <c r="J1683" s="58" t="inlineStr">
        <is>
          <t>Store</t>
        </is>
      </c>
      <c r="K1683" s="62">
        <f>F1683*(G1683-H1683)</f>
        <v/>
      </c>
      <c r="L1683" s="62">
        <f>K1683-(F1683*I1683)</f>
        <v/>
      </c>
      <c r="M1683" s="64">
        <f>L1683/K1683</f>
        <v/>
      </c>
    </row>
    <row r="1684">
      <c r="A1684" s="58" t="inlineStr">
        <is>
          <t>RT20250213-01683</t>
        </is>
      </c>
      <c r="B1684" s="59" t="inlineStr">
        <is>
          <t>2025-02-13</t>
        </is>
      </c>
      <c r="C1684" s="60" t="inlineStr">
        <is>
          <t>Solace Laptop S-367</t>
        </is>
      </c>
      <c r="D1684" s="58" t="inlineStr">
        <is>
          <t>Electronics</t>
        </is>
      </c>
      <c r="E1684" s="58" t="inlineStr">
        <is>
          <t>East</t>
        </is>
      </c>
      <c r="F1684" s="61" t="n">
        <v>2</v>
      </c>
      <c r="G1684" s="62" t="n">
        <v>1941.31</v>
      </c>
      <c r="H1684" s="63" t="n">
        <v>0.089</v>
      </c>
      <c r="I1684" s="62" t="n">
        <v>1556.78</v>
      </c>
      <c r="J1684" s="58" t="inlineStr">
        <is>
          <t>Online</t>
        </is>
      </c>
      <c r="K1684" s="62">
        <f>F1684*(G1684-H1684)</f>
        <v/>
      </c>
      <c r="L1684" s="62">
        <f>K1684-(F1684*I1684)</f>
        <v/>
      </c>
      <c r="M1684" s="64">
        <f>L1684/K1684</f>
        <v/>
      </c>
    </row>
    <row r="1685">
      <c r="A1685" s="58" t="inlineStr">
        <is>
          <t>RT20250213-01684</t>
        </is>
      </c>
      <c r="B1685" s="59" t="inlineStr">
        <is>
          <t>2025-02-13</t>
        </is>
      </c>
      <c r="C1685" s="60" t="inlineStr">
        <is>
          <t>Aurora Bedding Max-175</t>
        </is>
      </c>
      <c r="D1685" s="58" t="inlineStr">
        <is>
          <t>Home</t>
        </is>
      </c>
      <c r="E1685" s="58" t="inlineStr">
        <is>
          <t>East</t>
        </is>
      </c>
      <c r="F1685" s="61" t="n">
        <v>3</v>
      </c>
      <c r="G1685" s="62" t="n">
        <v>577.24</v>
      </c>
      <c r="H1685" s="63" t="n">
        <v>0.077</v>
      </c>
      <c r="I1685" s="62" t="n">
        <v>419.46</v>
      </c>
      <c r="J1685" s="58" t="inlineStr">
        <is>
          <t>Online</t>
        </is>
      </c>
      <c r="K1685" s="62">
        <f>F1685*(G1685-H1685)</f>
        <v/>
      </c>
      <c r="L1685" s="62">
        <f>K1685-(F1685*I1685)</f>
        <v/>
      </c>
      <c r="M1685" s="64">
        <f>L1685/K1685</f>
        <v/>
      </c>
    </row>
    <row r="1686">
      <c r="A1686" s="58" t="inlineStr">
        <is>
          <t>RT20250213-01685</t>
        </is>
      </c>
      <c r="B1686" s="59" t="inlineStr">
        <is>
          <t>2025-02-13</t>
        </is>
      </c>
      <c r="C1686" s="60" t="inlineStr">
        <is>
          <t>Falcon Skincare X-334</t>
        </is>
      </c>
      <c r="D1686" s="58" t="inlineStr">
        <is>
          <t>Beauty</t>
        </is>
      </c>
      <c r="E1686" s="58" t="inlineStr">
        <is>
          <t>East</t>
        </is>
      </c>
      <c r="F1686" s="61" t="n">
        <v>4</v>
      </c>
      <c r="G1686" s="62" t="n">
        <v>109.24</v>
      </c>
      <c r="H1686" s="63" t="n">
        <v>0.062</v>
      </c>
      <c r="I1686" s="62" t="n">
        <v>63.63</v>
      </c>
      <c r="J1686" s="58" t="inlineStr">
        <is>
          <t>Store</t>
        </is>
      </c>
      <c r="K1686" s="62">
        <f>F1686*(G1686-H1686)</f>
        <v/>
      </c>
      <c r="L1686" s="62">
        <f>K1686-(F1686*I1686)</f>
        <v/>
      </c>
      <c r="M1686" s="64">
        <f>L1686/K1686</f>
        <v/>
      </c>
    </row>
    <row r="1687">
      <c r="A1687" s="58" t="inlineStr">
        <is>
          <t>RT20250213-01686</t>
        </is>
      </c>
      <c r="B1687" s="59" t="inlineStr">
        <is>
          <t>2025-02-13</t>
        </is>
      </c>
      <c r="C1687" s="60" t="inlineStr">
        <is>
          <t>Vertex Men X-995</t>
        </is>
      </c>
      <c r="D1687" s="58" t="inlineStr">
        <is>
          <t>Apparel</t>
        </is>
      </c>
      <c r="E1687" s="58" t="inlineStr">
        <is>
          <t>East</t>
        </is>
      </c>
      <c r="F1687" s="61" t="n">
        <v>3</v>
      </c>
      <c r="G1687" s="62" t="n">
        <v>116.6</v>
      </c>
      <c r="H1687" s="63" t="n">
        <v>0.017</v>
      </c>
      <c r="I1687" s="62" t="n">
        <v>56.78</v>
      </c>
      <c r="J1687" s="58" t="inlineStr">
        <is>
          <t>Online</t>
        </is>
      </c>
      <c r="K1687" s="62">
        <f>F1687*(G1687-H1687)</f>
        <v/>
      </c>
      <c r="L1687" s="62">
        <f>K1687-(F1687*I1687)</f>
        <v/>
      </c>
      <c r="M1687" s="64">
        <f>L1687/K1687</f>
        <v/>
      </c>
    </row>
    <row r="1688">
      <c r="A1688" s="58" t="inlineStr">
        <is>
          <t>RT20250213-01687</t>
        </is>
      </c>
      <c r="B1688" s="59" t="inlineStr">
        <is>
          <t>2025-02-13</t>
        </is>
      </c>
      <c r="C1688" s="60" t="inlineStr">
        <is>
          <t>Falcon Household Plus-172</t>
        </is>
      </c>
      <c r="D1688" s="58" t="inlineStr">
        <is>
          <t>Grocery</t>
        </is>
      </c>
      <c r="E1688" s="58" t="inlineStr">
        <is>
          <t>South</t>
        </is>
      </c>
      <c r="F1688" s="61" t="n">
        <v>6</v>
      </c>
      <c r="G1688" s="62" t="n">
        <v>22.21</v>
      </c>
      <c r="H1688" s="63" t="n">
        <v>0.056</v>
      </c>
      <c r="I1688" s="62" t="n">
        <v>15.84</v>
      </c>
      <c r="J1688" s="58" t="inlineStr">
        <is>
          <t>Online</t>
        </is>
      </c>
      <c r="K1688" s="62">
        <f>F1688*(G1688-H1688)</f>
        <v/>
      </c>
      <c r="L1688" s="62">
        <f>K1688-(F1688*I1688)</f>
        <v/>
      </c>
      <c r="M1688" s="64">
        <f>L1688/K1688</f>
        <v/>
      </c>
    </row>
    <row r="1689">
      <c r="A1689" s="58" t="inlineStr">
        <is>
          <t>RT20250213-01688</t>
        </is>
      </c>
      <c r="B1689" s="59" t="inlineStr">
        <is>
          <t>2025-02-13</t>
        </is>
      </c>
      <c r="C1689" s="60" t="inlineStr">
        <is>
          <t>Nimbus Women Lite-814</t>
        </is>
      </c>
      <c r="D1689" s="58" t="inlineStr">
        <is>
          <t>Apparel</t>
        </is>
      </c>
      <c r="E1689" s="58" t="inlineStr">
        <is>
          <t>South</t>
        </is>
      </c>
      <c r="F1689" s="61" t="n">
        <v>3</v>
      </c>
      <c r="G1689" s="62" t="n">
        <v>137.56</v>
      </c>
      <c r="H1689" s="63" t="n">
        <v>0.05</v>
      </c>
      <c r="I1689" s="62" t="n">
        <v>82.42</v>
      </c>
      <c r="J1689" s="58" t="inlineStr">
        <is>
          <t>Store</t>
        </is>
      </c>
      <c r="K1689" s="62">
        <f>F1689*(G1689-H1689)</f>
        <v/>
      </c>
      <c r="L1689" s="62">
        <f>K1689-(F1689*I1689)</f>
        <v/>
      </c>
      <c r="M1689" s="64">
        <f>L1689/K1689</f>
        <v/>
      </c>
    </row>
    <row r="1690">
      <c r="A1690" s="58" t="inlineStr">
        <is>
          <t>RT20250213-01689</t>
        </is>
      </c>
      <c r="B1690" s="59" t="inlineStr">
        <is>
          <t>2025-02-13</t>
        </is>
      </c>
      <c r="C1690" s="60" t="inlineStr">
        <is>
          <t>Orion Haircare Plus-887</t>
        </is>
      </c>
      <c r="D1690" s="58" t="inlineStr">
        <is>
          <t>Beauty</t>
        </is>
      </c>
      <c r="E1690" s="58" t="inlineStr">
        <is>
          <t>North</t>
        </is>
      </c>
      <c r="F1690" s="61" t="n">
        <v>2</v>
      </c>
      <c r="G1690" s="62" t="n">
        <v>48.27</v>
      </c>
      <c r="H1690" s="63" t="n">
        <v>0.112</v>
      </c>
      <c r="I1690" s="62" t="n">
        <v>31.37</v>
      </c>
      <c r="J1690" s="58" t="inlineStr">
        <is>
          <t>Store</t>
        </is>
      </c>
      <c r="K1690" s="62">
        <f>F1690*(G1690-H1690)</f>
        <v/>
      </c>
      <c r="L1690" s="62">
        <f>K1690-(F1690*I1690)</f>
        <v/>
      </c>
      <c r="M1690" s="64">
        <f>L1690/K1690</f>
        <v/>
      </c>
    </row>
    <row r="1691">
      <c r="A1691" s="58" t="inlineStr">
        <is>
          <t>RT20250213-01690</t>
        </is>
      </c>
      <c r="B1691" s="59" t="inlineStr">
        <is>
          <t>2025-02-13</t>
        </is>
      </c>
      <c r="C1691" s="60" t="inlineStr">
        <is>
          <t>Orion Kid Max-864</t>
        </is>
      </c>
      <c r="D1691" s="58" t="inlineStr">
        <is>
          <t>Apparel</t>
        </is>
      </c>
      <c r="E1691" s="58" t="inlineStr">
        <is>
          <t>South</t>
        </is>
      </c>
      <c r="F1691" s="61" t="n">
        <v>1</v>
      </c>
      <c r="G1691" s="62" t="n">
        <v>75.77</v>
      </c>
      <c r="H1691" s="63" t="n">
        <v>0.044</v>
      </c>
      <c r="I1691" s="62" t="n">
        <v>45.37</v>
      </c>
      <c r="J1691" s="58" t="inlineStr">
        <is>
          <t>Online</t>
        </is>
      </c>
      <c r="K1691" s="62">
        <f>F1691*(G1691-H1691)</f>
        <v/>
      </c>
      <c r="L1691" s="62">
        <f>K1691-(F1691*I1691)</f>
        <v/>
      </c>
      <c r="M1691" s="64">
        <f>L1691/K1691</f>
        <v/>
      </c>
    </row>
    <row r="1692">
      <c r="A1692" s="58" t="inlineStr">
        <is>
          <t>RT20250213-01691</t>
        </is>
      </c>
      <c r="B1692" s="59" t="inlineStr">
        <is>
          <t>2025-02-13</t>
        </is>
      </c>
      <c r="C1692" s="60" t="inlineStr">
        <is>
          <t>Orion Beverage Plus-949</t>
        </is>
      </c>
      <c r="D1692" s="58" t="inlineStr">
        <is>
          <t>Grocery</t>
        </is>
      </c>
      <c r="E1692" s="58" t="inlineStr">
        <is>
          <t>North</t>
        </is>
      </c>
      <c r="F1692" s="61" t="n">
        <v>7</v>
      </c>
      <c r="G1692" s="62" t="n">
        <v>16.83</v>
      </c>
      <c r="H1692" s="63" t="n">
        <v>0.06900000000000001</v>
      </c>
      <c r="I1692" s="62" t="n">
        <v>13.44</v>
      </c>
      <c r="J1692" s="58" t="inlineStr">
        <is>
          <t>Online</t>
        </is>
      </c>
      <c r="K1692" s="62">
        <f>F1692*(G1692-H1692)</f>
        <v/>
      </c>
      <c r="L1692" s="62">
        <f>K1692-(F1692*I1692)</f>
        <v/>
      </c>
      <c r="M1692" s="64">
        <f>L1692/K1692</f>
        <v/>
      </c>
    </row>
    <row r="1693">
      <c r="A1693" s="58" t="inlineStr">
        <is>
          <t>RT20250213-01692</t>
        </is>
      </c>
      <c r="B1693" s="59" t="inlineStr">
        <is>
          <t>2025-02-13</t>
        </is>
      </c>
      <c r="C1693" s="60" t="inlineStr">
        <is>
          <t>Nimbus Furniture Pro-479</t>
        </is>
      </c>
      <c r="D1693" s="58" t="inlineStr">
        <is>
          <t>Office</t>
        </is>
      </c>
      <c r="E1693" s="58" t="inlineStr">
        <is>
          <t>East</t>
        </is>
      </c>
      <c r="F1693" s="61" t="n">
        <v>3</v>
      </c>
      <c r="G1693" s="62" t="n">
        <v>361.31</v>
      </c>
      <c r="H1693" s="63" t="n">
        <v>0.039</v>
      </c>
      <c r="I1693" s="62" t="n">
        <v>237.92</v>
      </c>
      <c r="J1693" s="58" t="inlineStr">
        <is>
          <t>Store</t>
        </is>
      </c>
      <c r="K1693" s="62">
        <f>F1693*(G1693-H1693)</f>
        <v/>
      </c>
      <c r="L1693" s="62">
        <f>K1693-(F1693*I1693)</f>
        <v/>
      </c>
      <c r="M1693" s="64">
        <f>L1693/K1693</f>
        <v/>
      </c>
    </row>
    <row r="1694">
      <c r="A1694" s="58" t="inlineStr">
        <is>
          <t>RT20250213-01693</t>
        </is>
      </c>
      <c r="B1694" s="59" t="inlineStr">
        <is>
          <t>2025-02-13</t>
        </is>
      </c>
      <c r="C1694" s="60" t="inlineStr">
        <is>
          <t>Falcon Kitchen X-130</t>
        </is>
      </c>
      <c r="D1694" s="58" t="inlineStr">
        <is>
          <t>Home</t>
        </is>
      </c>
      <c r="E1694" s="58" t="inlineStr">
        <is>
          <t>Central</t>
        </is>
      </c>
      <c r="F1694" s="61" t="n">
        <v>2</v>
      </c>
      <c r="G1694" s="62" t="n">
        <v>472.62</v>
      </c>
      <c r="H1694" s="63" t="n">
        <v>0.029</v>
      </c>
      <c r="I1694" s="62" t="n">
        <v>295.97</v>
      </c>
      <c r="J1694" s="58" t="inlineStr">
        <is>
          <t>Phone</t>
        </is>
      </c>
      <c r="K1694" s="62">
        <f>F1694*(G1694-H1694)</f>
        <v/>
      </c>
      <c r="L1694" s="62">
        <f>K1694-(F1694*I1694)</f>
        <v/>
      </c>
      <c r="M1694" s="64">
        <f>L1694/K1694</f>
        <v/>
      </c>
    </row>
    <row r="1695">
      <c r="A1695" s="58" t="inlineStr">
        <is>
          <t>RT20250213-01694</t>
        </is>
      </c>
      <c r="B1695" s="59" t="inlineStr">
        <is>
          <t>2025-02-13</t>
        </is>
      </c>
      <c r="C1695" s="60" t="inlineStr">
        <is>
          <t>Metro Accessorie Max-316</t>
        </is>
      </c>
      <c r="D1695" s="58" t="inlineStr">
        <is>
          <t>Apparel</t>
        </is>
      </c>
      <c r="E1695" s="58" t="inlineStr">
        <is>
          <t>Central</t>
        </is>
      </c>
      <c r="F1695" s="61" t="n">
        <v>1</v>
      </c>
      <c r="G1695" s="62" t="n">
        <v>168.95</v>
      </c>
      <c r="H1695" s="63" t="n">
        <v>0.076</v>
      </c>
      <c r="I1695" s="62" t="n">
        <v>93.87</v>
      </c>
      <c r="J1695" s="58" t="inlineStr">
        <is>
          <t>Store</t>
        </is>
      </c>
      <c r="K1695" s="62">
        <f>F1695*(G1695-H1695)</f>
        <v/>
      </c>
      <c r="L1695" s="62">
        <f>K1695-(F1695*I1695)</f>
        <v/>
      </c>
      <c r="M1695" s="64">
        <f>L1695/K1695</f>
        <v/>
      </c>
    </row>
    <row r="1696">
      <c r="A1696" s="58" t="inlineStr">
        <is>
          <t>RT20250213-01695</t>
        </is>
      </c>
      <c r="B1696" s="59" t="inlineStr">
        <is>
          <t>2025-02-13</t>
        </is>
      </c>
      <c r="C1696" s="60" t="inlineStr">
        <is>
          <t>Polar Haircare Max-614</t>
        </is>
      </c>
      <c r="D1696" s="58" t="inlineStr">
        <is>
          <t>Beauty</t>
        </is>
      </c>
      <c r="E1696" s="58" t="inlineStr">
        <is>
          <t>East</t>
        </is>
      </c>
      <c r="F1696" s="61" t="n">
        <v>5</v>
      </c>
      <c r="G1696" s="62" t="n">
        <v>119.18</v>
      </c>
      <c r="H1696" s="63" t="n">
        <v>0.101</v>
      </c>
      <c r="I1696" s="62" t="n">
        <v>69.97</v>
      </c>
      <c r="J1696" s="58" t="inlineStr">
        <is>
          <t>Online</t>
        </is>
      </c>
      <c r="K1696" s="62">
        <f>F1696*(G1696-H1696)</f>
        <v/>
      </c>
      <c r="L1696" s="62">
        <f>K1696-(F1696*I1696)</f>
        <v/>
      </c>
      <c r="M1696" s="64">
        <f>L1696/K1696</f>
        <v/>
      </c>
    </row>
    <row r="1697">
      <c r="A1697" s="58" t="inlineStr">
        <is>
          <t>RT20250213-01696</t>
        </is>
      </c>
      <c r="B1697" s="59" t="inlineStr">
        <is>
          <t>2025-02-13</t>
        </is>
      </c>
      <c r="C1697" s="60" t="inlineStr">
        <is>
          <t>Metro Smartphone Max-773</t>
        </is>
      </c>
      <c r="D1697" s="58" t="inlineStr">
        <is>
          <t>Electronics</t>
        </is>
      </c>
      <c r="E1697" s="58" t="inlineStr">
        <is>
          <t>West</t>
        </is>
      </c>
      <c r="F1697" s="61" t="n">
        <v>1</v>
      </c>
      <c r="G1697" s="62" t="n">
        <v>1388.04</v>
      </c>
      <c r="H1697" s="63" t="n">
        <v>0.076</v>
      </c>
      <c r="I1697" s="62" t="n">
        <v>1137.75</v>
      </c>
      <c r="J1697" s="58" t="inlineStr">
        <is>
          <t>Online</t>
        </is>
      </c>
      <c r="K1697" s="62">
        <f>F1697*(G1697-H1697)</f>
        <v/>
      </c>
      <c r="L1697" s="62">
        <f>K1697-(F1697*I1697)</f>
        <v/>
      </c>
      <c r="M1697" s="64">
        <f>L1697/K1697</f>
        <v/>
      </c>
    </row>
    <row r="1698">
      <c r="A1698" s="58" t="inlineStr">
        <is>
          <t>RT20250213-01697</t>
        </is>
      </c>
      <c r="B1698" s="59" t="inlineStr">
        <is>
          <t>2025-02-13</t>
        </is>
      </c>
      <c r="C1698" s="60" t="inlineStr">
        <is>
          <t>Solace Makeup Pro-214</t>
        </is>
      </c>
      <c r="D1698" s="58" t="inlineStr">
        <is>
          <t>Beauty</t>
        </is>
      </c>
      <c r="E1698" s="58" t="inlineStr">
        <is>
          <t>South</t>
        </is>
      </c>
      <c r="F1698" s="61" t="n">
        <v>2</v>
      </c>
      <c r="G1698" s="62" t="n">
        <v>118.12</v>
      </c>
      <c r="H1698" s="63" t="n">
        <v>0.034</v>
      </c>
      <c r="I1698" s="62" t="n">
        <v>68.48999999999999</v>
      </c>
      <c r="J1698" s="58" t="inlineStr">
        <is>
          <t>Store</t>
        </is>
      </c>
      <c r="K1698" s="62">
        <f>F1698*(G1698-H1698)</f>
        <v/>
      </c>
      <c r="L1698" s="62">
        <f>K1698-(F1698*I1698)</f>
        <v/>
      </c>
      <c r="M1698" s="64">
        <f>L1698/K1698</f>
        <v/>
      </c>
    </row>
    <row r="1699">
      <c r="A1699" s="58" t="inlineStr">
        <is>
          <t>RT20250213-01698</t>
        </is>
      </c>
      <c r="B1699" s="59" t="inlineStr">
        <is>
          <t>2025-02-13</t>
        </is>
      </c>
      <c r="C1699" s="60" t="inlineStr">
        <is>
          <t>Aurora Team Sport Plus-256</t>
        </is>
      </c>
      <c r="D1699" s="58" t="inlineStr">
        <is>
          <t>Sports</t>
        </is>
      </c>
      <c r="E1699" s="58" t="inlineStr">
        <is>
          <t>West</t>
        </is>
      </c>
      <c r="F1699" s="61" t="n">
        <v>2</v>
      </c>
      <c r="G1699" s="62" t="n">
        <v>612.4299999999999</v>
      </c>
      <c r="H1699" s="63" t="n">
        <v>0.03</v>
      </c>
      <c r="I1699" s="62" t="n">
        <v>419.41</v>
      </c>
      <c r="J1699" s="58" t="inlineStr">
        <is>
          <t>Online</t>
        </is>
      </c>
      <c r="K1699" s="62">
        <f>F1699*(G1699-H1699)</f>
        <v/>
      </c>
      <c r="L1699" s="62">
        <f>K1699-(F1699*I1699)</f>
        <v/>
      </c>
      <c r="M1699" s="64">
        <f>L1699/K1699</f>
        <v/>
      </c>
    </row>
    <row r="1700">
      <c r="A1700" s="58" t="inlineStr">
        <is>
          <t>RT20250213-01699</t>
        </is>
      </c>
      <c r="B1700" s="59" t="inlineStr">
        <is>
          <t>2025-02-13</t>
        </is>
      </c>
      <c r="C1700" s="60" t="inlineStr">
        <is>
          <t>Polar Snack Pro-641</t>
        </is>
      </c>
      <c r="D1700" s="58" t="inlineStr">
        <is>
          <t>Grocery</t>
        </is>
      </c>
      <c r="E1700" s="58" t="inlineStr">
        <is>
          <t>South</t>
        </is>
      </c>
      <c r="F1700" s="61" t="n">
        <v>6</v>
      </c>
      <c r="G1700" s="62" t="n">
        <v>12.67</v>
      </c>
      <c r="H1700" s="63" t="n">
        <v>0.056</v>
      </c>
      <c r="I1700" s="62" t="n">
        <v>9.41</v>
      </c>
      <c r="J1700" s="58" t="inlineStr">
        <is>
          <t>Store</t>
        </is>
      </c>
      <c r="K1700" s="62">
        <f>F1700*(G1700-H1700)</f>
        <v/>
      </c>
      <c r="L1700" s="62">
        <f>K1700-(F1700*I1700)</f>
        <v/>
      </c>
      <c r="M1700" s="64">
        <f>L1700/K1700</f>
        <v/>
      </c>
    </row>
    <row r="1701">
      <c r="A1701" s="58" t="inlineStr">
        <is>
          <t>RT20250213-01700</t>
        </is>
      </c>
      <c r="B1701" s="59" t="inlineStr">
        <is>
          <t>2025-02-13</t>
        </is>
      </c>
      <c r="C1701" s="60" t="inlineStr">
        <is>
          <t>Falcon Team Sport Lite-268</t>
        </is>
      </c>
      <c r="D1701" s="58" t="inlineStr">
        <is>
          <t>Sports</t>
        </is>
      </c>
      <c r="E1701" s="58" t="inlineStr">
        <is>
          <t>West</t>
        </is>
      </c>
      <c r="F1701" s="61" t="n">
        <v>1</v>
      </c>
      <c r="G1701" s="62" t="n">
        <v>694.97</v>
      </c>
      <c r="H1701" s="63" t="n">
        <v>0.045</v>
      </c>
      <c r="I1701" s="62" t="n">
        <v>426.3</v>
      </c>
      <c r="J1701" s="58" t="inlineStr">
        <is>
          <t>Store</t>
        </is>
      </c>
      <c r="K1701" s="62">
        <f>F1701*(G1701-H1701)</f>
        <v/>
      </c>
      <c r="L1701" s="62">
        <f>K1701-(F1701*I1701)</f>
        <v/>
      </c>
      <c r="M1701" s="64">
        <f>L1701/K1701</f>
        <v/>
      </c>
    </row>
    <row r="1702">
      <c r="A1702" s="58" t="inlineStr">
        <is>
          <t>RT20250213-01701</t>
        </is>
      </c>
      <c r="B1702" s="59" t="inlineStr">
        <is>
          <t>2025-02-13</t>
        </is>
      </c>
      <c r="C1702" s="60" t="inlineStr">
        <is>
          <t>Falcon Household Pro-865</t>
        </is>
      </c>
      <c r="D1702" s="58" t="inlineStr">
        <is>
          <t>Grocery</t>
        </is>
      </c>
      <c r="E1702" s="58" t="inlineStr">
        <is>
          <t>North</t>
        </is>
      </c>
      <c r="F1702" s="61" t="n">
        <v>3</v>
      </c>
      <c r="G1702" s="62" t="n">
        <v>11.35</v>
      </c>
      <c r="H1702" s="63" t="n">
        <v>0.018</v>
      </c>
      <c r="I1702" s="62" t="n">
        <v>7.81</v>
      </c>
      <c r="J1702" s="58" t="inlineStr">
        <is>
          <t>Store</t>
        </is>
      </c>
      <c r="K1702" s="62">
        <f>F1702*(G1702-H1702)</f>
        <v/>
      </c>
      <c r="L1702" s="62">
        <f>K1702-(F1702*I1702)</f>
        <v/>
      </c>
      <c r="M1702" s="64">
        <f>L1702/K1702</f>
        <v/>
      </c>
    </row>
    <row r="1703">
      <c r="A1703" s="58" t="inlineStr">
        <is>
          <t>RT20250213-01702</t>
        </is>
      </c>
      <c r="B1703" s="59" t="inlineStr">
        <is>
          <t>2025-02-13</t>
        </is>
      </c>
      <c r="C1703" s="60" t="inlineStr">
        <is>
          <t>Metro Decor Lite-325</t>
        </is>
      </c>
      <c r="D1703" s="58" t="inlineStr">
        <is>
          <t>Home</t>
        </is>
      </c>
      <c r="E1703" s="58" t="inlineStr">
        <is>
          <t>East</t>
        </is>
      </c>
      <c r="F1703" s="61" t="n">
        <v>1</v>
      </c>
      <c r="G1703" s="62" t="n">
        <v>529.3</v>
      </c>
      <c r="H1703" s="63" t="n">
        <v>0.042</v>
      </c>
      <c r="I1703" s="62" t="n">
        <v>369.45</v>
      </c>
      <c r="J1703" s="58" t="inlineStr">
        <is>
          <t>Online</t>
        </is>
      </c>
      <c r="K1703" s="62">
        <f>F1703*(G1703-H1703)</f>
        <v/>
      </c>
      <c r="L1703" s="62">
        <f>K1703-(F1703*I1703)</f>
        <v/>
      </c>
      <c r="M1703" s="64">
        <f>L1703/K1703</f>
        <v/>
      </c>
    </row>
    <row r="1704">
      <c r="A1704" s="58" t="inlineStr">
        <is>
          <t>RT20250213-01703</t>
        </is>
      </c>
      <c r="B1704" s="59" t="inlineStr">
        <is>
          <t>2025-02-13</t>
        </is>
      </c>
      <c r="C1704" s="60" t="inlineStr">
        <is>
          <t>Nimbus Women Lite-814</t>
        </is>
      </c>
      <c r="D1704" s="58" t="inlineStr">
        <is>
          <t>Apparel</t>
        </is>
      </c>
      <c r="E1704" s="58" t="inlineStr">
        <is>
          <t>East</t>
        </is>
      </c>
      <c r="F1704" s="61" t="n">
        <v>3</v>
      </c>
      <c r="G1704" s="62" t="n">
        <v>148.66</v>
      </c>
      <c r="H1704" s="63" t="n">
        <v>0.089</v>
      </c>
      <c r="I1704" s="62" t="n">
        <v>84.16</v>
      </c>
      <c r="J1704" s="58" t="inlineStr">
        <is>
          <t>Store</t>
        </is>
      </c>
      <c r="K1704" s="62">
        <f>F1704*(G1704-H1704)</f>
        <v/>
      </c>
      <c r="L1704" s="62">
        <f>K1704-(F1704*I1704)</f>
        <v/>
      </c>
      <c r="M1704" s="64">
        <f>L1704/K1704</f>
        <v/>
      </c>
    </row>
    <row r="1705">
      <c r="A1705" s="58" t="inlineStr">
        <is>
          <t>RT20250213-01704</t>
        </is>
      </c>
      <c r="B1705" s="59" t="inlineStr">
        <is>
          <t>2025-02-13</t>
        </is>
      </c>
      <c r="C1705" s="60" t="inlineStr">
        <is>
          <t>Vertex Appliance S-159</t>
        </is>
      </c>
      <c r="D1705" s="58" t="inlineStr">
        <is>
          <t>Home</t>
        </is>
      </c>
      <c r="E1705" s="58" t="inlineStr">
        <is>
          <t>South</t>
        </is>
      </c>
      <c r="F1705" s="61" t="n">
        <v>2</v>
      </c>
      <c r="G1705" s="62" t="n">
        <v>376.75</v>
      </c>
      <c r="H1705" s="63" t="n">
        <v>0.03</v>
      </c>
      <c r="I1705" s="62" t="n">
        <v>289.89</v>
      </c>
      <c r="J1705" s="58" t="inlineStr">
        <is>
          <t>Online</t>
        </is>
      </c>
      <c r="K1705" s="62">
        <f>F1705*(G1705-H1705)</f>
        <v/>
      </c>
      <c r="L1705" s="62">
        <f>K1705-(F1705*I1705)</f>
        <v/>
      </c>
      <c r="M1705" s="64">
        <f>L1705/K1705</f>
        <v/>
      </c>
    </row>
    <row r="1706">
      <c r="A1706" s="58" t="inlineStr">
        <is>
          <t>RT20250213-01705</t>
        </is>
      </c>
      <c r="B1706" s="59" t="inlineStr">
        <is>
          <t>2025-02-13</t>
        </is>
      </c>
      <c r="C1706" s="60" t="inlineStr">
        <is>
          <t>Vertex Smartphone Lite-267</t>
        </is>
      </c>
      <c r="D1706" s="58" t="inlineStr">
        <is>
          <t>Electronics</t>
        </is>
      </c>
      <c r="E1706" s="58" t="inlineStr">
        <is>
          <t>East</t>
        </is>
      </c>
      <c r="F1706" s="61" t="n">
        <v>2</v>
      </c>
      <c r="G1706" s="62" t="n">
        <v>1213.92</v>
      </c>
      <c r="H1706" s="63" t="n">
        <v>0.064</v>
      </c>
      <c r="I1706" s="62" t="n">
        <v>990.45</v>
      </c>
      <c r="J1706" s="58" t="inlineStr">
        <is>
          <t>Store</t>
        </is>
      </c>
      <c r="K1706" s="62">
        <f>F1706*(G1706-H1706)</f>
        <v/>
      </c>
      <c r="L1706" s="62">
        <f>K1706-(F1706*I1706)</f>
        <v/>
      </c>
      <c r="M1706" s="64">
        <f>L1706/K1706</f>
        <v/>
      </c>
    </row>
    <row r="1707">
      <c r="A1707" s="58" t="inlineStr">
        <is>
          <t>RT20250213-01706</t>
        </is>
      </c>
      <c r="B1707" s="59" t="inlineStr">
        <is>
          <t>2025-02-13</t>
        </is>
      </c>
      <c r="C1707" s="60" t="inlineStr">
        <is>
          <t>Solace Bedding Plus-317</t>
        </is>
      </c>
      <c r="D1707" s="58" t="inlineStr">
        <is>
          <t>Home</t>
        </is>
      </c>
      <c r="E1707" s="58" t="inlineStr">
        <is>
          <t>West</t>
        </is>
      </c>
      <c r="F1707" s="61" t="n">
        <v>1</v>
      </c>
      <c r="G1707" s="62" t="n">
        <v>569.58</v>
      </c>
      <c r="H1707" s="63" t="n">
        <v>0.078</v>
      </c>
      <c r="I1707" s="62" t="n">
        <v>380.45</v>
      </c>
      <c r="J1707" s="58" t="inlineStr">
        <is>
          <t>Store</t>
        </is>
      </c>
      <c r="K1707" s="62">
        <f>F1707*(G1707-H1707)</f>
        <v/>
      </c>
      <c r="L1707" s="62">
        <f>K1707-(F1707*I1707)</f>
        <v/>
      </c>
      <c r="M1707" s="64">
        <f>L1707/K1707</f>
        <v/>
      </c>
    </row>
    <row r="1708">
      <c r="A1708" s="58" t="inlineStr">
        <is>
          <t>RT20250213-01707</t>
        </is>
      </c>
      <c r="B1708" s="59" t="inlineStr">
        <is>
          <t>2025-02-13</t>
        </is>
      </c>
      <c r="C1708" s="60" t="inlineStr">
        <is>
          <t>Vertex Supplie X-513</t>
        </is>
      </c>
      <c r="D1708" s="58" t="inlineStr">
        <is>
          <t>Office</t>
        </is>
      </c>
      <c r="E1708" s="58" t="inlineStr">
        <is>
          <t>East</t>
        </is>
      </c>
      <c r="F1708" s="61" t="n">
        <v>1</v>
      </c>
      <c r="G1708" s="62" t="n">
        <v>361.88</v>
      </c>
      <c r="H1708" s="63" t="n">
        <v>0.046</v>
      </c>
      <c r="I1708" s="62" t="n">
        <v>284.25</v>
      </c>
      <c r="J1708" s="58" t="inlineStr">
        <is>
          <t>Online</t>
        </is>
      </c>
      <c r="K1708" s="62">
        <f>F1708*(G1708-H1708)</f>
        <v/>
      </c>
      <c r="L1708" s="62">
        <f>K1708-(F1708*I1708)</f>
        <v/>
      </c>
      <c r="M1708" s="64">
        <f>L1708/K1708</f>
        <v/>
      </c>
    </row>
    <row r="1709">
      <c r="A1709" s="58" t="inlineStr">
        <is>
          <t>RT20250213-01708</t>
        </is>
      </c>
      <c r="B1709" s="59" t="inlineStr">
        <is>
          <t>2025-02-13</t>
        </is>
      </c>
      <c r="C1709" s="60" t="inlineStr">
        <is>
          <t>Orion Storage Plus-961</t>
        </is>
      </c>
      <c r="D1709" s="58" t="inlineStr">
        <is>
          <t>Office</t>
        </is>
      </c>
      <c r="E1709" s="58" t="inlineStr">
        <is>
          <t>North</t>
        </is>
      </c>
      <c r="F1709" s="61" t="n">
        <v>1</v>
      </c>
      <c r="G1709" s="62" t="n">
        <v>513.01</v>
      </c>
      <c r="H1709" s="63" t="n">
        <v>0.075</v>
      </c>
      <c r="I1709" s="62" t="n">
        <v>366.9</v>
      </c>
      <c r="J1709" s="58" t="inlineStr">
        <is>
          <t>Online</t>
        </is>
      </c>
      <c r="K1709" s="62">
        <f>F1709*(G1709-H1709)</f>
        <v/>
      </c>
      <c r="L1709" s="62">
        <f>K1709-(F1709*I1709)</f>
        <v/>
      </c>
      <c r="M1709" s="64">
        <f>L1709/K1709</f>
        <v/>
      </c>
    </row>
    <row r="1710">
      <c r="A1710" s="58" t="inlineStr">
        <is>
          <t>RT20250213-01709</t>
        </is>
      </c>
      <c r="B1710" s="59" t="inlineStr">
        <is>
          <t>2025-02-13</t>
        </is>
      </c>
      <c r="C1710" s="60" t="inlineStr">
        <is>
          <t>Vertex Supplie Pro-786</t>
        </is>
      </c>
      <c r="D1710" s="58" t="inlineStr">
        <is>
          <t>Office</t>
        </is>
      </c>
      <c r="E1710" s="58" t="inlineStr">
        <is>
          <t>Central</t>
        </is>
      </c>
      <c r="F1710" s="61" t="n">
        <v>3</v>
      </c>
      <c r="G1710" s="62" t="n">
        <v>390.5</v>
      </c>
      <c r="H1710" s="63" t="n">
        <v>0.029</v>
      </c>
      <c r="I1710" s="62" t="n">
        <v>290.92</v>
      </c>
      <c r="J1710" s="58" t="inlineStr">
        <is>
          <t>Store</t>
        </is>
      </c>
      <c r="K1710" s="62">
        <f>F1710*(G1710-H1710)</f>
        <v/>
      </c>
      <c r="L1710" s="62">
        <f>K1710-(F1710*I1710)</f>
        <v/>
      </c>
      <c r="M1710" s="64">
        <f>L1710/K1710</f>
        <v/>
      </c>
    </row>
    <row r="1711">
      <c r="A1711" s="58" t="inlineStr">
        <is>
          <t>RT20250213-01710</t>
        </is>
      </c>
      <c r="B1711" s="59" t="inlineStr">
        <is>
          <t>2025-02-13</t>
        </is>
      </c>
      <c r="C1711" s="60" t="inlineStr">
        <is>
          <t>Nimbus Laptop Max-652</t>
        </is>
      </c>
      <c r="D1711" s="58" t="inlineStr">
        <is>
          <t>Electronics</t>
        </is>
      </c>
      <c r="E1711" s="58" t="inlineStr">
        <is>
          <t>Central</t>
        </is>
      </c>
      <c r="F1711" s="61" t="n">
        <v>1</v>
      </c>
      <c r="G1711" s="62" t="n">
        <v>1280.72</v>
      </c>
      <c r="H1711" s="63" t="n">
        <v>0.083</v>
      </c>
      <c r="I1711" s="62" t="n">
        <v>1037.74</v>
      </c>
      <c r="J1711" s="58" t="inlineStr">
        <is>
          <t>Online</t>
        </is>
      </c>
      <c r="K1711" s="62">
        <f>F1711*(G1711-H1711)</f>
        <v/>
      </c>
      <c r="L1711" s="62">
        <f>K1711-(F1711*I1711)</f>
        <v/>
      </c>
      <c r="M1711" s="64">
        <f>L1711/K1711</f>
        <v/>
      </c>
    </row>
    <row r="1712">
      <c r="A1712" s="58" t="inlineStr">
        <is>
          <t>RT20250213-01711</t>
        </is>
      </c>
      <c r="B1712" s="59" t="inlineStr">
        <is>
          <t>2025-02-13</t>
        </is>
      </c>
      <c r="C1712" s="60" t="inlineStr">
        <is>
          <t>Polar Haircare Max-614</t>
        </is>
      </c>
      <c r="D1712" s="58" t="inlineStr">
        <is>
          <t>Beauty</t>
        </is>
      </c>
      <c r="E1712" s="58" t="inlineStr">
        <is>
          <t>West</t>
        </is>
      </c>
      <c r="F1712" s="61" t="n">
        <v>3</v>
      </c>
      <c r="G1712" s="62" t="n">
        <v>113.38</v>
      </c>
      <c r="H1712" s="63" t="n">
        <v>0.03</v>
      </c>
      <c r="I1712" s="62" t="n">
        <v>69.28</v>
      </c>
      <c r="J1712" s="58" t="inlineStr">
        <is>
          <t>Online</t>
        </is>
      </c>
      <c r="K1712" s="62">
        <f>F1712*(G1712-H1712)</f>
        <v/>
      </c>
      <c r="L1712" s="62">
        <f>K1712-(F1712*I1712)</f>
        <v/>
      </c>
      <c r="M1712" s="64">
        <f>L1712/K1712</f>
        <v/>
      </c>
    </row>
    <row r="1713">
      <c r="A1713" s="58" t="inlineStr">
        <is>
          <t>RT20250213-01712</t>
        </is>
      </c>
      <c r="B1713" s="59" t="inlineStr">
        <is>
          <t>2025-02-13</t>
        </is>
      </c>
      <c r="C1713" s="60" t="inlineStr">
        <is>
          <t>Aurora Makeup S-626</t>
        </is>
      </c>
      <c r="D1713" s="58" t="inlineStr">
        <is>
          <t>Beauty</t>
        </is>
      </c>
      <c r="E1713" s="58" t="inlineStr">
        <is>
          <t>Central</t>
        </is>
      </c>
      <c r="F1713" s="61" t="n">
        <v>5</v>
      </c>
      <c r="G1713" s="62" t="n">
        <v>87.84</v>
      </c>
      <c r="H1713" s="63" t="n">
        <v>0.06900000000000001</v>
      </c>
      <c r="I1713" s="62" t="n">
        <v>65.48</v>
      </c>
      <c r="J1713" s="58" t="inlineStr">
        <is>
          <t>Online</t>
        </is>
      </c>
      <c r="K1713" s="62">
        <f>F1713*(G1713-H1713)</f>
        <v/>
      </c>
      <c r="L1713" s="62">
        <f>K1713-(F1713*I1713)</f>
        <v/>
      </c>
      <c r="M1713" s="64">
        <f>L1713/K1713</f>
        <v/>
      </c>
    </row>
    <row r="1714">
      <c r="A1714" s="58" t="inlineStr">
        <is>
          <t>RT20250213-01713</t>
        </is>
      </c>
      <c r="B1714" s="59" t="inlineStr">
        <is>
          <t>2025-02-13</t>
        </is>
      </c>
      <c r="C1714" s="60" t="inlineStr">
        <is>
          <t>Falcon Accessorie S-195</t>
        </is>
      </c>
      <c r="D1714" s="58" t="inlineStr">
        <is>
          <t>Apparel</t>
        </is>
      </c>
      <c r="E1714" s="58" t="inlineStr">
        <is>
          <t>East</t>
        </is>
      </c>
      <c r="F1714" s="61" t="n">
        <v>4</v>
      </c>
      <c r="G1714" s="62" t="n">
        <v>76.73</v>
      </c>
      <c r="H1714" s="63" t="n">
        <v>0.053</v>
      </c>
      <c r="I1714" s="62" t="n">
        <v>43.95</v>
      </c>
      <c r="J1714" s="58" t="inlineStr">
        <is>
          <t>Online</t>
        </is>
      </c>
      <c r="K1714" s="62">
        <f>F1714*(G1714-H1714)</f>
        <v/>
      </c>
      <c r="L1714" s="62">
        <f>K1714-(F1714*I1714)</f>
        <v/>
      </c>
      <c r="M1714" s="64">
        <f>L1714/K1714</f>
        <v/>
      </c>
    </row>
    <row r="1715">
      <c r="A1715" s="58" t="inlineStr">
        <is>
          <t>RT20250213-01714</t>
        </is>
      </c>
      <c r="B1715" s="59" t="inlineStr">
        <is>
          <t>2025-02-13</t>
        </is>
      </c>
      <c r="C1715" s="60" t="inlineStr">
        <is>
          <t>Polar Laptop Plus-984</t>
        </is>
      </c>
      <c r="D1715" s="58" t="inlineStr">
        <is>
          <t>Electronics</t>
        </is>
      </c>
      <c r="E1715" s="58" t="inlineStr">
        <is>
          <t>South</t>
        </is>
      </c>
      <c r="F1715" s="61" t="n">
        <v>2</v>
      </c>
      <c r="G1715" s="62" t="n">
        <v>1415.67</v>
      </c>
      <c r="H1715" s="63" t="n">
        <v>0.08599999999999999</v>
      </c>
      <c r="I1715" s="62" t="n">
        <v>999.61</v>
      </c>
      <c r="J1715" s="58" t="inlineStr">
        <is>
          <t>Store</t>
        </is>
      </c>
      <c r="K1715" s="62">
        <f>F1715*(G1715-H1715)</f>
        <v/>
      </c>
      <c r="L1715" s="62">
        <f>K1715-(F1715*I1715)</f>
        <v/>
      </c>
      <c r="M1715" s="64">
        <f>L1715/K1715</f>
        <v/>
      </c>
    </row>
    <row r="1716">
      <c r="A1716" s="58" t="inlineStr">
        <is>
          <t>RT20250213-01715</t>
        </is>
      </c>
      <c r="B1716" s="59" t="inlineStr">
        <is>
          <t>2025-02-13</t>
        </is>
      </c>
      <c r="C1716" s="60" t="inlineStr">
        <is>
          <t>Orion Team Sport X-926</t>
        </is>
      </c>
      <c r="D1716" s="58" t="inlineStr">
        <is>
          <t>Sports</t>
        </is>
      </c>
      <c r="E1716" s="58" t="inlineStr">
        <is>
          <t>Central</t>
        </is>
      </c>
      <c r="F1716" s="61" t="n">
        <v>1</v>
      </c>
      <c r="G1716" s="62" t="n">
        <v>363.03</v>
      </c>
      <c r="H1716" s="63" t="n">
        <v>0.025</v>
      </c>
      <c r="I1716" s="62" t="n">
        <v>220.32</v>
      </c>
      <c r="J1716" s="58" t="inlineStr">
        <is>
          <t>Store</t>
        </is>
      </c>
      <c r="K1716" s="62">
        <f>F1716*(G1716-H1716)</f>
        <v/>
      </c>
      <c r="L1716" s="62">
        <f>K1716-(F1716*I1716)</f>
        <v/>
      </c>
      <c r="M1716" s="64">
        <f>L1716/K1716</f>
        <v/>
      </c>
    </row>
    <row r="1717">
      <c r="A1717" s="58" t="inlineStr">
        <is>
          <t>RT20250213-01716</t>
        </is>
      </c>
      <c r="B1717" s="59" t="inlineStr">
        <is>
          <t>2025-02-13</t>
        </is>
      </c>
      <c r="C1717" s="60" t="inlineStr">
        <is>
          <t>Solace Bedding Plus-317</t>
        </is>
      </c>
      <c r="D1717" s="58" t="inlineStr">
        <is>
          <t>Home</t>
        </is>
      </c>
      <c r="E1717" s="58" t="inlineStr">
        <is>
          <t>East</t>
        </is>
      </c>
      <c r="F1717" s="61" t="n">
        <v>3</v>
      </c>
      <c r="G1717" s="62" t="n">
        <v>618.37</v>
      </c>
      <c r="H1717" s="63" t="n">
        <v>0.052</v>
      </c>
      <c r="I1717" s="62" t="n">
        <v>389.77</v>
      </c>
      <c r="J1717" s="58" t="inlineStr">
        <is>
          <t>Store</t>
        </is>
      </c>
      <c r="K1717" s="62">
        <f>F1717*(G1717-H1717)</f>
        <v/>
      </c>
      <c r="L1717" s="62">
        <f>K1717-(F1717*I1717)</f>
        <v/>
      </c>
      <c r="M1717" s="64">
        <f>L1717/K1717</f>
        <v/>
      </c>
    </row>
    <row r="1718">
      <c r="A1718" s="58" t="inlineStr">
        <is>
          <t>RT20250213-01717</t>
        </is>
      </c>
      <c r="B1718" s="59" t="inlineStr">
        <is>
          <t>2025-02-13</t>
        </is>
      </c>
      <c r="C1718" s="60" t="inlineStr">
        <is>
          <t>Metro Accessorie Lite-697</t>
        </is>
      </c>
      <c r="D1718" s="58" t="inlineStr">
        <is>
          <t>Apparel</t>
        </is>
      </c>
      <c r="E1718" s="58" t="inlineStr">
        <is>
          <t>East</t>
        </is>
      </c>
      <c r="F1718" s="61" t="n">
        <v>3</v>
      </c>
      <c r="G1718" s="62" t="n">
        <v>150.9</v>
      </c>
      <c r="H1718" s="63" t="n">
        <v>0.075</v>
      </c>
      <c r="I1718" s="62" t="n">
        <v>78.47</v>
      </c>
      <c r="J1718" s="58" t="inlineStr">
        <is>
          <t>Store</t>
        </is>
      </c>
      <c r="K1718" s="62">
        <f>F1718*(G1718-H1718)</f>
        <v/>
      </c>
      <c r="L1718" s="62">
        <f>K1718-(F1718*I1718)</f>
        <v/>
      </c>
      <c r="M1718" s="64">
        <f>L1718/K1718</f>
        <v/>
      </c>
    </row>
    <row r="1719">
      <c r="A1719" s="58" t="inlineStr">
        <is>
          <t>RT20250213-01718</t>
        </is>
      </c>
      <c r="B1719" s="59" t="inlineStr">
        <is>
          <t>2025-02-13</t>
        </is>
      </c>
      <c r="C1719" s="60" t="inlineStr">
        <is>
          <t>Vertex Headphone Pro-801</t>
        </is>
      </c>
      <c r="D1719" s="58" t="inlineStr">
        <is>
          <t>Electronics</t>
        </is>
      </c>
      <c r="E1719" s="58" t="inlineStr">
        <is>
          <t>South</t>
        </is>
      </c>
      <c r="F1719" s="61" t="n">
        <v>1</v>
      </c>
      <c r="G1719" s="62" t="n">
        <v>1117.71</v>
      </c>
      <c r="H1719" s="63" t="n">
        <v>0.103</v>
      </c>
      <c r="I1719" s="62" t="n">
        <v>969.2</v>
      </c>
      <c r="J1719" s="58" t="inlineStr">
        <is>
          <t>Online</t>
        </is>
      </c>
      <c r="K1719" s="62">
        <f>F1719*(G1719-H1719)</f>
        <v/>
      </c>
      <c r="L1719" s="62">
        <f>K1719-(F1719*I1719)</f>
        <v/>
      </c>
      <c r="M1719" s="64">
        <f>L1719/K1719</f>
        <v/>
      </c>
    </row>
    <row r="1720">
      <c r="A1720" s="58" t="inlineStr">
        <is>
          <t>RT20250213-01719</t>
        </is>
      </c>
      <c r="B1720" s="59" t="inlineStr">
        <is>
          <t>2025-02-13</t>
        </is>
      </c>
      <c r="C1720" s="60" t="inlineStr">
        <is>
          <t>Solace Team Sport Max-548</t>
        </is>
      </c>
      <c r="D1720" s="58" t="inlineStr">
        <is>
          <t>Sports</t>
        </is>
      </c>
      <c r="E1720" s="58" t="inlineStr">
        <is>
          <t>South</t>
        </is>
      </c>
      <c r="F1720" s="61" t="n">
        <v>2</v>
      </c>
      <c r="G1720" s="62" t="n">
        <v>739.98</v>
      </c>
      <c r="H1720" s="63" t="n">
        <v>0.101</v>
      </c>
      <c r="I1720" s="62" t="n">
        <v>490.2</v>
      </c>
      <c r="J1720" s="58" t="inlineStr">
        <is>
          <t>Store</t>
        </is>
      </c>
      <c r="K1720" s="62">
        <f>F1720*(G1720-H1720)</f>
        <v/>
      </c>
      <c r="L1720" s="62">
        <f>K1720-(F1720*I1720)</f>
        <v/>
      </c>
      <c r="M1720" s="64">
        <f>L1720/K1720</f>
        <v/>
      </c>
    </row>
    <row r="1721">
      <c r="A1721" s="58" t="inlineStr">
        <is>
          <t>RT20250213-01720</t>
        </is>
      </c>
      <c r="B1721" s="59" t="inlineStr">
        <is>
          <t>2025-02-13</t>
        </is>
      </c>
      <c r="C1721" s="60" t="inlineStr">
        <is>
          <t>Vertex Men X-995</t>
        </is>
      </c>
      <c r="D1721" s="58" t="inlineStr">
        <is>
          <t>Apparel</t>
        </is>
      </c>
      <c r="E1721" s="58" t="inlineStr">
        <is>
          <t>North</t>
        </is>
      </c>
      <c r="F1721" s="61" t="n">
        <v>1</v>
      </c>
      <c r="G1721" s="62" t="n">
        <v>94.31</v>
      </c>
      <c r="H1721" s="63" t="n">
        <v>0.073</v>
      </c>
      <c r="I1721" s="62" t="n">
        <v>60.02</v>
      </c>
      <c r="J1721" s="58" t="inlineStr">
        <is>
          <t>Online</t>
        </is>
      </c>
      <c r="K1721" s="62">
        <f>F1721*(G1721-H1721)</f>
        <v/>
      </c>
      <c r="L1721" s="62">
        <f>K1721-(F1721*I1721)</f>
        <v/>
      </c>
      <c r="M1721" s="64">
        <f>L1721/K1721</f>
        <v/>
      </c>
    </row>
    <row r="1722">
      <c r="A1722" s="58" t="inlineStr">
        <is>
          <t>RT20250213-01721</t>
        </is>
      </c>
      <c r="B1722" s="59" t="inlineStr">
        <is>
          <t>2025-02-13</t>
        </is>
      </c>
      <c r="C1722" s="60" t="inlineStr">
        <is>
          <t>Metro Pantry Max-180</t>
        </is>
      </c>
      <c r="D1722" s="58" t="inlineStr">
        <is>
          <t>Grocery</t>
        </is>
      </c>
      <c r="E1722" s="58" t="inlineStr">
        <is>
          <t>North</t>
        </is>
      </c>
      <c r="F1722" s="61" t="n">
        <v>1</v>
      </c>
      <c r="G1722" s="62" t="n">
        <v>8.039999999999999</v>
      </c>
      <c r="H1722" s="63" t="n">
        <v>0.07199999999999999</v>
      </c>
      <c r="I1722" s="62" t="n">
        <v>6.73</v>
      </c>
      <c r="J1722" s="58" t="inlineStr">
        <is>
          <t>Online</t>
        </is>
      </c>
      <c r="K1722" s="62">
        <f>F1722*(G1722-H1722)</f>
        <v/>
      </c>
      <c r="L1722" s="62">
        <f>K1722-(F1722*I1722)</f>
        <v/>
      </c>
      <c r="M1722" s="64">
        <f>L1722/K1722</f>
        <v/>
      </c>
    </row>
    <row r="1723">
      <c r="A1723" s="58" t="inlineStr">
        <is>
          <t>RT20250213-01722</t>
        </is>
      </c>
      <c r="B1723" s="59" t="inlineStr">
        <is>
          <t>2025-02-13</t>
        </is>
      </c>
      <c r="C1723" s="60" t="inlineStr">
        <is>
          <t>Falcon Bedding S-674</t>
        </is>
      </c>
      <c r="D1723" s="58" t="inlineStr">
        <is>
          <t>Home</t>
        </is>
      </c>
      <c r="E1723" s="58" t="inlineStr">
        <is>
          <t>Central</t>
        </is>
      </c>
      <c r="F1723" s="61" t="n">
        <v>3</v>
      </c>
      <c r="G1723" s="62" t="n">
        <v>694.02</v>
      </c>
      <c r="H1723" s="63" t="n">
        <v>0.008</v>
      </c>
      <c r="I1723" s="62" t="n">
        <v>443.37</v>
      </c>
      <c r="J1723" s="58" t="inlineStr">
        <is>
          <t>Online</t>
        </is>
      </c>
      <c r="K1723" s="62">
        <f>F1723*(G1723-H1723)</f>
        <v/>
      </c>
      <c r="L1723" s="62">
        <f>K1723-(F1723*I1723)</f>
        <v/>
      </c>
      <c r="M1723" s="64">
        <f>L1723/K1723</f>
        <v/>
      </c>
    </row>
    <row r="1724">
      <c r="A1724" s="58" t="inlineStr">
        <is>
          <t>RT20250213-01723</t>
        </is>
      </c>
      <c r="B1724" s="59" t="inlineStr">
        <is>
          <t>2025-02-13</t>
        </is>
      </c>
      <c r="C1724" s="60" t="inlineStr">
        <is>
          <t>Falcon Household Plus-172</t>
        </is>
      </c>
      <c r="D1724" s="58" t="inlineStr">
        <is>
          <t>Grocery</t>
        </is>
      </c>
      <c r="E1724" s="58" t="inlineStr">
        <is>
          <t>North</t>
        </is>
      </c>
      <c r="F1724" s="61" t="n">
        <v>5</v>
      </c>
      <c r="G1724" s="62" t="n">
        <v>22.22</v>
      </c>
      <c r="H1724" s="63" t="n">
        <v>0.06</v>
      </c>
      <c r="I1724" s="62" t="n">
        <v>16.03</v>
      </c>
      <c r="J1724" s="58" t="inlineStr">
        <is>
          <t>Online</t>
        </is>
      </c>
      <c r="K1724" s="62">
        <f>F1724*(G1724-H1724)</f>
        <v/>
      </c>
      <c r="L1724" s="62">
        <f>K1724-(F1724*I1724)</f>
        <v/>
      </c>
      <c r="M1724" s="64">
        <f>L1724/K1724</f>
        <v/>
      </c>
    </row>
    <row r="1725">
      <c r="A1725" s="58" t="inlineStr">
        <is>
          <t>RT20250213-01724</t>
        </is>
      </c>
      <c r="B1725" s="59" t="inlineStr">
        <is>
          <t>2025-02-13</t>
        </is>
      </c>
      <c r="C1725" s="60" t="inlineStr">
        <is>
          <t>Nimbus Decor Lite-385</t>
        </is>
      </c>
      <c r="D1725" s="58" t="inlineStr">
        <is>
          <t>Home</t>
        </is>
      </c>
      <c r="E1725" s="58" t="inlineStr">
        <is>
          <t>East</t>
        </is>
      </c>
      <c r="F1725" s="61" t="n">
        <v>1</v>
      </c>
      <c r="G1725" s="62" t="n">
        <v>623.98</v>
      </c>
      <c r="H1725" s="63" t="n">
        <v>0.062</v>
      </c>
      <c r="I1725" s="62" t="n">
        <v>389.66</v>
      </c>
      <c r="J1725" s="58" t="inlineStr">
        <is>
          <t>Online</t>
        </is>
      </c>
      <c r="K1725" s="62">
        <f>F1725*(G1725-H1725)</f>
        <v/>
      </c>
      <c r="L1725" s="62">
        <f>K1725-(F1725*I1725)</f>
        <v/>
      </c>
      <c r="M1725" s="64">
        <f>L1725/K1725</f>
        <v/>
      </c>
    </row>
    <row r="1726">
      <c r="A1726" s="58" t="inlineStr">
        <is>
          <t>RT20250213-01725</t>
        </is>
      </c>
      <c r="B1726" s="59" t="inlineStr">
        <is>
          <t>2025-02-13</t>
        </is>
      </c>
      <c r="C1726" s="60" t="inlineStr">
        <is>
          <t>Metro Accessorie Lite-697</t>
        </is>
      </c>
      <c r="D1726" s="58" t="inlineStr">
        <is>
          <t>Apparel</t>
        </is>
      </c>
      <c r="E1726" s="58" t="inlineStr">
        <is>
          <t>East</t>
        </is>
      </c>
      <c r="F1726" s="61" t="n">
        <v>2</v>
      </c>
      <c r="G1726" s="62" t="n">
        <v>126.84</v>
      </c>
      <c r="H1726" s="63" t="n">
        <v>0.08500000000000001</v>
      </c>
      <c r="I1726" s="62" t="n">
        <v>75.06999999999999</v>
      </c>
      <c r="J1726" s="58" t="inlineStr">
        <is>
          <t>Online</t>
        </is>
      </c>
      <c r="K1726" s="62">
        <f>F1726*(G1726-H1726)</f>
        <v/>
      </c>
      <c r="L1726" s="62">
        <f>K1726-(F1726*I1726)</f>
        <v/>
      </c>
      <c r="M1726" s="64">
        <f>L1726/K1726</f>
        <v/>
      </c>
    </row>
    <row r="1727">
      <c r="A1727" s="58" t="inlineStr">
        <is>
          <t>RT20250213-01726</t>
        </is>
      </c>
      <c r="B1727" s="59" t="inlineStr">
        <is>
          <t>2025-02-13</t>
        </is>
      </c>
      <c r="C1727" s="60" t="inlineStr">
        <is>
          <t>Polar Snack Pro-641</t>
        </is>
      </c>
      <c r="D1727" s="58" t="inlineStr">
        <is>
          <t>Grocery</t>
        </is>
      </c>
      <c r="E1727" s="58" t="inlineStr">
        <is>
          <t>South</t>
        </is>
      </c>
      <c r="F1727" s="61" t="n">
        <v>5</v>
      </c>
      <c r="G1727" s="62" t="n">
        <v>12.64</v>
      </c>
      <c r="H1727" s="63" t="n">
        <v>0.029</v>
      </c>
      <c r="I1727" s="62" t="n">
        <v>9.550000000000001</v>
      </c>
      <c r="J1727" s="58" t="inlineStr">
        <is>
          <t>Store</t>
        </is>
      </c>
      <c r="K1727" s="62">
        <f>F1727*(G1727-H1727)</f>
        <v/>
      </c>
      <c r="L1727" s="62">
        <f>K1727-(F1727*I1727)</f>
        <v/>
      </c>
      <c r="M1727" s="64">
        <f>L1727/K1727</f>
        <v/>
      </c>
    </row>
    <row r="1728">
      <c r="A1728" s="58" t="inlineStr">
        <is>
          <t>RT20250213-01727</t>
        </is>
      </c>
      <c r="B1728" s="59" t="inlineStr">
        <is>
          <t>2025-02-13</t>
        </is>
      </c>
      <c r="C1728" s="60" t="inlineStr">
        <is>
          <t>Orion Kid Max-640</t>
        </is>
      </c>
      <c r="D1728" s="58" t="inlineStr">
        <is>
          <t>Apparel</t>
        </is>
      </c>
      <c r="E1728" s="58" t="inlineStr">
        <is>
          <t>West</t>
        </is>
      </c>
      <c r="F1728" s="61" t="n">
        <v>3</v>
      </c>
      <c r="G1728" s="62" t="n">
        <v>108.39</v>
      </c>
      <c r="H1728" s="63" t="n">
        <v>0.055</v>
      </c>
      <c r="I1728" s="62" t="n">
        <v>73.17</v>
      </c>
      <c r="J1728" s="58" t="inlineStr">
        <is>
          <t>Online</t>
        </is>
      </c>
      <c r="K1728" s="62">
        <f>F1728*(G1728-H1728)</f>
        <v/>
      </c>
      <c r="L1728" s="62">
        <f>K1728-(F1728*I1728)</f>
        <v/>
      </c>
      <c r="M1728" s="64">
        <f>L1728/K1728</f>
        <v/>
      </c>
    </row>
    <row r="1729">
      <c r="A1729" s="58" t="inlineStr">
        <is>
          <t>RT20250213-01728</t>
        </is>
      </c>
      <c r="B1729" s="59" t="inlineStr">
        <is>
          <t>2025-02-13</t>
        </is>
      </c>
      <c r="C1729" s="60" t="inlineStr">
        <is>
          <t>Orion Beverage Plus-949</t>
        </is>
      </c>
      <c r="D1729" s="58" t="inlineStr">
        <is>
          <t>Grocery</t>
        </is>
      </c>
      <c r="E1729" s="58" t="inlineStr">
        <is>
          <t>West</t>
        </is>
      </c>
      <c r="F1729" s="61" t="n">
        <v>3</v>
      </c>
      <c r="G1729" s="62" t="n">
        <v>15.93</v>
      </c>
      <c r="H1729" s="63" t="n">
        <v>0.035</v>
      </c>
      <c r="I1729" s="62" t="n">
        <v>13.29</v>
      </c>
      <c r="J1729" s="58" t="inlineStr">
        <is>
          <t>Online</t>
        </is>
      </c>
      <c r="K1729" s="62">
        <f>F1729*(G1729-H1729)</f>
        <v/>
      </c>
      <c r="L1729" s="62">
        <f>K1729-(F1729*I1729)</f>
        <v/>
      </c>
      <c r="M1729" s="64">
        <f>L1729/K1729</f>
        <v/>
      </c>
    </row>
    <row r="1730">
      <c r="A1730" s="58" t="inlineStr">
        <is>
          <t>RT20250213-01729</t>
        </is>
      </c>
      <c r="B1730" s="59" t="inlineStr">
        <is>
          <t>2025-02-13</t>
        </is>
      </c>
      <c r="C1730" s="60" t="inlineStr">
        <is>
          <t>Polar Bedding Lite-243</t>
        </is>
      </c>
      <c r="D1730" s="58" t="inlineStr">
        <is>
          <t>Home</t>
        </is>
      </c>
      <c r="E1730" s="58" t="inlineStr">
        <is>
          <t>West</t>
        </is>
      </c>
      <c r="F1730" s="61" t="n">
        <v>2</v>
      </c>
      <c r="G1730" s="62" t="n">
        <v>458.52</v>
      </c>
      <c r="H1730" s="63" t="n">
        <v>0.095</v>
      </c>
      <c r="I1730" s="62" t="n">
        <v>325.44</v>
      </c>
      <c r="J1730" s="58" t="inlineStr">
        <is>
          <t>Online</t>
        </is>
      </c>
      <c r="K1730" s="62">
        <f>F1730*(G1730-H1730)</f>
        <v/>
      </c>
      <c r="L1730" s="62">
        <f>K1730-(F1730*I1730)</f>
        <v/>
      </c>
      <c r="M1730" s="64">
        <f>L1730/K1730</f>
        <v/>
      </c>
    </row>
    <row r="1731">
      <c r="A1731" s="58" t="inlineStr">
        <is>
          <t>RT20250213-01730</t>
        </is>
      </c>
      <c r="B1731" s="59" t="inlineStr">
        <is>
          <t>2025-02-13</t>
        </is>
      </c>
      <c r="C1731" s="60" t="inlineStr">
        <is>
          <t>Polar Fragrance Pro-750</t>
        </is>
      </c>
      <c r="D1731" s="58" t="inlineStr">
        <is>
          <t>Beauty</t>
        </is>
      </c>
      <c r="E1731" s="58" t="inlineStr">
        <is>
          <t>East</t>
        </is>
      </c>
      <c r="F1731" s="61" t="n">
        <v>1</v>
      </c>
      <c r="G1731" s="62" t="n">
        <v>58.72</v>
      </c>
      <c r="H1731" s="63" t="n">
        <v>0.057</v>
      </c>
      <c r="I1731" s="62" t="n">
        <v>36.14</v>
      </c>
      <c r="J1731" s="58" t="inlineStr">
        <is>
          <t>Store</t>
        </is>
      </c>
      <c r="K1731" s="62">
        <f>F1731*(G1731-H1731)</f>
        <v/>
      </c>
      <c r="L1731" s="62">
        <f>K1731-(F1731*I1731)</f>
        <v/>
      </c>
      <c r="M1731" s="64">
        <f>L1731/K1731</f>
        <v/>
      </c>
    </row>
    <row r="1732">
      <c r="A1732" s="58" t="inlineStr">
        <is>
          <t>RT20250213-01731</t>
        </is>
      </c>
      <c r="B1732" s="59" t="inlineStr">
        <is>
          <t>2025-02-13</t>
        </is>
      </c>
      <c r="C1732" s="60" t="inlineStr">
        <is>
          <t>Orion Fragrance Lite-785</t>
        </is>
      </c>
      <c r="D1732" s="58" t="inlineStr">
        <is>
          <t>Beauty</t>
        </is>
      </c>
      <c r="E1732" s="58" t="inlineStr">
        <is>
          <t>East</t>
        </is>
      </c>
      <c r="F1732" s="61" t="n">
        <v>4</v>
      </c>
      <c r="G1732" s="62" t="n">
        <v>47.8</v>
      </c>
      <c r="H1732" s="63" t="n">
        <v>0.064</v>
      </c>
      <c r="I1732" s="62" t="n">
        <v>27.62</v>
      </c>
      <c r="J1732" s="58" t="inlineStr">
        <is>
          <t>Store</t>
        </is>
      </c>
      <c r="K1732" s="62">
        <f>F1732*(G1732-H1732)</f>
        <v/>
      </c>
      <c r="L1732" s="62">
        <f>K1732-(F1732*I1732)</f>
        <v/>
      </c>
      <c r="M1732" s="64">
        <f>L1732/K1732</f>
        <v/>
      </c>
    </row>
    <row r="1733">
      <c r="A1733" s="58" t="inlineStr">
        <is>
          <t>RT20250213-01732</t>
        </is>
      </c>
      <c r="B1733" s="59" t="inlineStr">
        <is>
          <t>2025-02-13</t>
        </is>
      </c>
      <c r="C1733" s="60" t="inlineStr">
        <is>
          <t>Metro Outdoor Plus-787</t>
        </is>
      </c>
      <c r="D1733" s="58" t="inlineStr">
        <is>
          <t>Sports</t>
        </is>
      </c>
      <c r="E1733" s="58" t="inlineStr">
        <is>
          <t>East</t>
        </is>
      </c>
      <c r="F1733" s="61" t="n">
        <v>1</v>
      </c>
      <c r="G1733" s="62" t="n">
        <v>532.11</v>
      </c>
      <c r="H1733" s="63" t="n">
        <v>0.1</v>
      </c>
      <c r="I1733" s="62" t="n">
        <v>345.52</v>
      </c>
      <c r="J1733" s="58" t="inlineStr">
        <is>
          <t>Store</t>
        </is>
      </c>
      <c r="K1733" s="62">
        <f>F1733*(G1733-H1733)</f>
        <v/>
      </c>
      <c r="L1733" s="62">
        <f>K1733-(F1733*I1733)</f>
        <v/>
      </c>
      <c r="M1733" s="64">
        <f>L1733/K1733</f>
        <v/>
      </c>
    </row>
    <row r="1734">
      <c r="A1734" s="58" t="inlineStr">
        <is>
          <t>RT20250213-01733</t>
        </is>
      </c>
      <c r="B1734" s="59" t="inlineStr">
        <is>
          <t>2025-02-13</t>
        </is>
      </c>
      <c r="C1734" s="60" t="inlineStr">
        <is>
          <t>Aurora Wearable Lite-704</t>
        </is>
      </c>
      <c r="D1734" s="58" t="inlineStr">
        <is>
          <t>Electronics</t>
        </is>
      </c>
      <c r="E1734" s="58" t="inlineStr">
        <is>
          <t>West</t>
        </is>
      </c>
      <c r="F1734" s="61" t="n">
        <v>2</v>
      </c>
      <c r="G1734" s="62" t="n">
        <v>1760.2</v>
      </c>
      <c r="H1734" s="63" t="n">
        <v>0.03</v>
      </c>
      <c r="I1734" s="62" t="n">
        <v>1444.03</v>
      </c>
      <c r="J1734" s="58" t="inlineStr">
        <is>
          <t>Online</t>
        </is>
      </c>
      <c r="K1734" s="62">
        <f>F1734*(G1734-H1734)</f>
        <v/>
      </c>
      <c r="L1734" s="62">
        <f>K1734-(F1734*I1734)</f>
        <v/>
      </c>
      <c r="M1734" s="64">
        <f>L1734/K1734</f>
        <v/>
      </c>
    </row>
    <row r="1735">
      <c r="A1735" s="58" t="inlineStr">
        <is>
          <t>RT20250214-01734</t>
        </is>
      </c>
      <c r="B1735" s="59" t="inlineStr">
        <is>
          <t>2025-02-14</t>
        </is>
      </c>
      <c r="C1735" s="60" t="inlineStr">
        <is>
          <t>Metro Pantry X-710</t>
        </is>
      </c>
      <c r="D1735" s="58" t="inlineStr">
        <is>
          <t>Grocery</t>
        </is>
      </c>
      <c r="E1735" s="58" t="inlineStr">
        <is>
          <t>Central</t>
        </is>
      </c>
      <c r="F1735" s="61" t="n">
        <v>3</v>
      </c>
      <c r="G1735" s="62" t="n">
        <v>5.9</v>
      </c>
      <c r="H1735" s="63" t="n">
        <v>0.079</v>
      </c>
      <c r="I1735" s="62" t="n">
        <v>4.29</v>
      </c>
      <c r="J1735" s="58" t="inlineStr">
        <is>
          <t>Store</t>
        </is>
      </c>
      <c r="K1735" s="62">
        <f>F1735*(G1735-H1735)</f>
        <v/>
      </c>
      <c r="L1735" s="62">
        <f>K1735-(F1735*I1735)</f>
        <v/>
      </c>
      <c r="M1735" s="64">
        <f>L1735/K1735</f>
        <v/>
      </c>
    </row>
    <row r="1736">
      <c r="A1736" s="58" t="inlineStr">
        <is>
          <t>RT20250214-01735</t>
        </is>
      </c>
      <c r="B1736" s="59" t="inlineStr">
        <is>
          <t>2025-02-14</t>
        </is>
      </c>
      <c r="C1736" s="60" t="inlineStr">
        <is>
          <t>Falcon Furniture Plus-839</t>
        </is>
      </c>
      <c r="D1736" s="58" t="inlineStr">
        <is>
          <t>Office</t>
        </is>
      </c>
      <c r="E1736" s="58" t="inlineStr">
        <is>
          <t>West</t>
        </is>
      </c>
      <c r="F1736" s="61" t="n">
        <v>2</v>
      </c>
      <c r="G1736" s="62" t="n">
        <v>336.45</v>
      </c>
      <c r="H1736" s="63" t="n">
        <v>0.108</v>
      </c>
      <c r="I1736" s="62" t="n">
        <v>223.89</v>
      </c>
      <c r="J1736" s="58" t="inlineStr">
        <is>
          <t>Store</t>
        </is>
      </c>
      <c r="K1736" s="62">
        <f>F1736*(G1736-H1736)</f>
        <v/>
      </c>
      <c r="L1736" s="62">
        <f>K1736-(F1736*I1736)</f>
        <v/>
      </c>
      <c r="M1736" s="64">
        <f>L1736/K1736</f>
        <v/>
      </c>
    </row>
    <row r="1737">
      <c r="A1737" s="58" t="inlineStr">
        <is>
          <t>RT20250214-01736</t>
        </is>
      </c>
      <c r="B1737" s="59" t="inlineStr">
        <is>
          <t>2025-02-14</t>
        </is>
      </c>
      <c r="C1737" s="60" t="inlineStr">
        <is>
          <t>Solace Snack S-691</t>
        </is>
      </c>
      <c r="D1737" s="58" t="inlineStr">
        <is>
          <t>Grocery</t>
        </is>
      </c>
      <c r="E1737" s="58" t="inlineStr">
        <is>
          <t>West</t>
        </is>
      </c>
      <c r="F1737" s="61" t="n">
        <v>3</v>
      </c>
      <c r="G1737" s="62" t="n">
        <v>9.85</v>
      </c>
      <c r="H1737" s="63" t="n">
        <v>0.058</v>
      </c>
      <c r="I1737" s="62" t="n">
        <v>7.17</v>
      </c>
      <c r="J1737" s="58" t="inlineStr">
        <is>
          <t>Store</t>
        </is>
      </c>
      <c r="K1737" s="62">
        <f>F1737*(G1737-H1737)</f>
        <v/>
      </c>
      <c r="L1737" s="62">
        <f>K1737-(F1737*I1737)</f>
        <v/>
      </c>
      <c r="M1737" s="64">
        <f>L1737/K1737</f>
        <v/>
      </c>
    </row>
    <row r="1738">
      <c r="A1738" s="58" t="inlineStr">
        <is>
          <t>RT20250214-01737</t>
        </is>
      </c>
      <c r="B1738" s="59" t="inlineStr">
        <is>
          <t>2025-02-14</t>
        </is>
      </c>
      <c r="C1738" s="60" t="inlineStr">
        <is>
          <t>Polar Decor X-935</t>
        </is>
      </c>
      <c r="D1738" s="58" t="inlineStr">
        <is>
          <t>Home</t>
        </is>
      </c>
      <c r="E1738" s="58" t="inlineStr">
        <is>
          <t>East</t>
        </is>
      </c>
      <c r="F1738" s="61" t="n">
        <v>1</v>
      </c>
      <c r="G1738" s="62" t="n">
        <v>310.69</v>
      </c>
      <c r="H1738" s="63" t="n">
        <v>0.104</v>
      </c>
      <c r="I1738" s="62" t="n">
        <v>199.72</v>
      </c>
      <c r="J1738" s="58" t="inlineStr">
        <is>
          <t>Online</t>
        </is>
      </c>
      <c r="K1738" s="62">
        <f>F1738*(G1738-H1738)</f>
        <v/>
      </c>
      <c r="L1738" s="62">
        <f>K1738-(F1738*I1738)</f>
        <v/>
      </c>
      <c r="M1738" s="64">
        <f>L1738/K1738</f>
        <v/>
      </c>
    </row>
    <row r="1739">
      <c r="A1739" s="58" t="inlineStr">
        <is>
          <t>RT20250214-01738</t>
        </is>
      </c>
      <c r="B1739" s="59" t="inlineStr">
        <is>
          <t>2025-02-14</t>
        </is>
      </c>
      <c r="C1739" s="60" t="inlineStr">
        <is>
          <t>Solace Fitnes S-324</t>
        </is>
      </c>
      <c r="D1739" s="58" t="inlineStr">
        <is>
          <t>Sports</t>
        </is>
      </c>
      <c r="E1739" s="58" t="inlineStr">
        <is>
          <t>East</t>
        </is>
      </c>
      <c r="F1739" s="61" t="n">
        <v>1</v>
      </c>
      <c r="G1739" s="62" t="n">
        <v>865.6799999999999</v>
      </c>
      <c r="H1739" s="63" t="n">
        <v>0.034</v>
      </c>
      <c r="I1739" s="62" t="n">
        <v>538.48</v>
      </c>
      <c r="J1739" s="58" t="inlineStr">
        <is>
          <t>Store</t>
        </is>
      </c>
      <c r="K1739" s="62">
        <f>F1739*(G1739-H1739)</f>
        <v/>
      </c>
      <c r="L1739" s="62">
        <f>K1739-(F1739*I1739)</f>
        <v/>
      </c>
      <c r="M1739" s="64">
        <f>L1739/K1739</f>
        <v/>
      </c>
    </row>
    <row r="1740">
      <c r="A1740" s="58" t="inlineStr">
        <is>
          <t>RT20250214-01739</t>
        </is>
      </c>
      <c r="B1740" s="59" t="inlineStr">
        <is>
          <t>2025-02-14</t>
        </is>
      </c>
      <c r="C1740" s="60" t="inlineStr">
        <is>
          <t>Metro Fragrance Lite-261</t>
        </is>
      </c>
      <c r="D1740" s="58" t="inlineStr">
        <is>
          <t>Beauty</t>
        </is>
      </c>
      <c r="E1740" s="58" t="inlineStr">
        <is>
          <t>North</t>
        </is>
      </c>
      <c r="F1740" s="61" t="n">
        <v>1</v>
      </c>
      <c r="G1740" s="62" t="n">
        <v>94.31999999999999</v>
      </c>
      <c r="H1740" s="63" t="n">
        <v>0.075</v>
      </c>
      <c r="I1740" s="62" t="n">
        <v>55.79</v>
      </c>
      <c r="J1740" s="58" t="inlineStr">
        <is>
          <t>Store</t>
        </is>
      </c>
      <c r="K1740" s="62">
        <f>F1740*(G1740-H1740)</f>
        <v/>
      </c>
      <c r="L1740" s="62">
        <f>K1740-(F1740*I1740)</f>
        <v/>
      </c>
      <c r="M1740" s="64">
        <f>L1740/K1740</f>
        <v/>
      </c>
    </row>
    <row r="1741">
      <c r="A1741" s="58" t="inlineStr">
        <is>
          <t>RT20250214-01740</t>
        </is>
      </c>
      <c r="B1741" s="59" t="inlineStr">
        <is>
          <t>2025-02-14</t>
        </is>
      </c>
      <c r="C1741" s="60" t="inlineStr">
        <is>
          <t>Polar Outdoor X-193</t>
        </is>
      </c>
      <c r="D1741" s="58" t="inlineStr">
        <is>
          <t>Sports</t>
        </is>
      </c>
      <c r="E1741" s="58" t="inlineStr">
        <is>
          <t>West</t>
        </is>
      </c>
      <c r="F1741" s="61" t="n">
        <v>3</v>
      </c>
      <c r="G1741" s="62" t="n">
        <v>778.71</v>
      </c>
      <c r="H1741" s="63" t="n">
        <v>0.07199999999999999</v>
      </c>
      <c r="I1741" s="62" t="n">
        <v>457.52</v>
      </c>
      <c r="J1741" s="58" t="inlineStr">
        <is>
          <t>Store</t>
        </is>
      </c>
      <c r="K1741" s="62">
        <f>F1741*(G1741-H1741)</f>
        <v/>
      </c>
      <c r="L1741" s="62">
        <f>K1741-(F1741*I1741)</f>
        <v/>
      </c>
      <c r="M1741" s="64">
        <f>L1741/K1741</f>
        <v/>
      </c>
    </row>
    <row r="1742">
      <c r="A1742" s="58" t="inlineStr">
        <is>
          <t>RT20250214-01741</t>
        </is>
      </c>
      <c r="B1742" s="59" t="inlineStr">
        <is>
          <t>2025-02-14</t>
        </is>
      </c>
      <c r="C1742" s="60" t="inlineStr">
        <is>
          <t>Orion Beverage Plus-949</t>
        </is>
      </c>
      <c r="D1742" s="58" t="inlineStr">
        <is>
          <t>Grocery</t>
        </is>
      </c>
      <c r="E1742" s="58" t="inlineStr">
        <is>
          <t>West</t>
        </is>
      </c>
      <c r="F1742" s="61" t="n">
        <v>5</v>
      </c>
      <c r="G1742" s="62" t="n">
        <v>16.82</v>
      </c>
      <c r="H1742" s="63" t="n">
        <v>0.075</v>
      </c>
      <c r="I1742" s="62" t="n">
        <v>13.3</v>
      </c>
      <c r="J1742" s="58" t="inlineStr">
        <is>
          <t>Store</t>
        </is>
      </c>
      <c r="K1742" s="62">
        <f>F1742*(G1742-H1742)</f>
        <v/>
      </c>
      <c r="L1742" s="62">
        <f>K1742-(F1742*I1742)</f>
        <v/>
      </c>
      <c r="M1742" s="64">
        <f>L1742/K1742</f>
        <v/>
      </c>
    </row>
    <row r="1743">
      <c r="A1743" s="58" t="inlineStr">
        <is>
          <t>RT20250214-01742</t>
        </is>
      </c>
      <c r="B1743" s="59" t="inlineStr">
        <is>
          <t>2025-02-14</t>
        </is>
      </c>
      <c r="C1743" s="60" t="inlineStr">
        <is>
          <t>Polar Women Max-927</t>
        </is>
      </c>
      <c r="D1743" s="58" t="inlineStr">
        <is>
          <t>Apparel</t>
        </is>
      </c>
      <c r="E1743" s="58" t="inlineStr">
        <is>
          <t>South</t>
        </is>
      </c>
      <c r="F1743" s="61" t="n">
        <v>3</v>
      </c>
      <c r="G1743" s="62" t="n">
        <v>111.38</v>
      </c>
      <c r="H1743" s="63" t="n">
        <v>0.073</v>
      </c>
      <c r="I1743" s="62" t="n">
        <v>66.41</v>
      </c>
      <c r="J1743" s="58" t="inlineStr">
        <is>
          <t>Store</t>
        </is>
      </c>
      <c r="K1743" s="62">
        <f>F1743*(G1743-H1743)</f>
        <v/>
      </c>
      <c r="L1743" s="62">
        <f>K1743-(F1743*I1743)</f>
        <v/>
      </c>
      <c r="M1743" s="64">
        <f>L1743/K1743</f>
        <v/>
      </c>
    </row>
    <row r="1744">
      <c r="A1744" s="58" t="inlineStr">
        <is>
          <t>RT20250214-01743</t>
        </is>
      </c>
      <c r="B1744" s="59" t="inlineStr">
        <is>
          <t>2025-02-14</t>
        </is>
      </c>
      <c r="C1744" s="60" t="inlineStr">
        <is>
          <t>Nimbus Furniture Pro-479</t>
        </is>
      </c>
      <c r="D1744" s="58" t="inlineStr">
        <is>
          <t>Office</t>
        </is>
      </c>
      <c r="E1744" s="58" t="inlineStr">
        <is>
          <t>Central</t>
        </is>
      </c>
      <c r="F1744" s="61" t="n">
        <v>3</v>
      </c>
      <c r="G1744" s="62" t="n">
        <v>340.34</v>
      </c>
      <c r="H1744" s="63" t="n">
        <v>0.004</v>
      </c>
      <c r="I1744" s="62" t="n">
        <v>242.41</v>
      </c>
      <c r="J1744" s="58" t="inlineStr">
        <is>
          <t>Phone</t>
        </is>
      </c>
      <c r="K1744" s="62">
        <f>F1744*(G1744-H1744)</f>
        <v/>
      </c>
      <c r="L1744" s="62">
        <f>K1744-(F1744*I1744)</f>
        <v/>
      </c>
      <c r="M1744" s="64">
        <f>L1744/K1744</f>
        <v/>
      </c>
    </row>
    <row r="1745">
      <c r="A1745" s="58" t="inlineStr">
        <is>
          <t>RT20250214-01744</t>
        </is>
      </c>
      <c r="B1745" s="59" t="inlineStr">
        <is>
          <t>2025-02-14</t>
        </is>
      </c>
      <c r="C1745" s="60" t="inlineStr">
        <is>
          <t>Falcon Household Plus-796</t>
        </is>
      </c>
      <c r="D1745" s="58" t="inlineStr">
        <is>
          <t>Grocery</t>
        </is>
      </c>
      <c r="E1745" s="58" t="inlineStr">
        <is>
          <t>East</t>
        </is>
      </c>
      <c r="F1745" s="61" t="n">
        <v>7</v>
      </c>
      <c r="G1745" s="62" t="n">
        <v>25.7</v>
      </c>
      <c r="H1745" s="63" t="n">
        <v>0.017</v>
      </c>
      <c r="I1745" s="62" t="n">
        <v>17.1</v>
      </c>
      <c r="J1745" s="58" t="inlineStr">
        <is>
          <t>Store</t>
        </is>
      </c>
      <c r="K1745" s="62">
        <f>F1745*(G1745-H1745)</f>
        <v/>
      </c>
      <c r="L1745" s="62">
        <f>K1745-(F1745*I1745)</f>
        <v/>
      </c>
      <c r="M1745" s="64">
        <f>L1745/K1745</f>
        <v/>
      </c>
    </row>
    <row r="1746">
      <c r="A1746" s="58" t="inlineStr">
        <is>
          <t>RT20250214-01745</t>
        </is>
      </c>
      <c r="B1746" s="59" t="inlineStr">
        <is>
          <t>2025-02-14</t>
        </is>
      </c>
      <c r="C1746" s="60" t="inlineStr">
        <is>
          <t>Vertex Appliance S-296</t>
        </is>
      </c>
      <c r="D1746" s="58" t="inlineStr">
        <is>
          <t>Home</t>
        </is>
      </c>
      <c r="E1746" s="58" t="inlineStr">
        <is>
          <t>East</t>
        </is>
      </c>
      <c r="F1746" s="61" t="n">
        <v>2</v>
      </c>
      <c r="G1746" s="62" t="n">
        <v>474.92</v>
      </c>
      <c r="H1746" s="63" t="n">
        <v>0.017</v>
      </c>
      <c r="I1746" s="62" t="n">
        <v>366.58</v>
      </c>
      <c r="J1746" s="58" t="inlineStr">
        <is>
          <t>Online</t>
        </is>
      </c>
      <c r="K1746" s="62">
        <f>F1746*(G1746-H1746)</f>
        <v/>
      </c>
      <c r="L1746" s="62">
        <f>K1746-(F1746*I1746)</f>
        <v/>
      </c>
      <c r="M1746" s="64">
        <f>L1746/K1746</f>
        <v/>
      </c>
    </row>
    <row r="1747">
      <c r="A1747" s="58" t="inlineStr">
        <is>
          <t>RT20250214-01746</t>
        </is>
      </c>
      <c r="B1747" s="59" t="inlineStr">
        <is>
          <t>2025-02-14</t>
        </is>
      </c>
      <c r="C1747" s="60" t="inlineStr">
        <is>
          <t>Falcon Furniture Plus-839</t>
        </is>
      </c>
      <c r="D1747" s="58" t="inlineStr">
        <is>
          <t>Office</t>
        </is>
      </c>
      <c r="E1747" s="58" t="inlineStr">
        <is>
          <t>Central</t>
        </is>
      </c>
      <c r="F1747" s="61" t="n">
        <v>2</v>
      </c>
      <c r="G1747" s="62" t="n">
        <v>309.88</v>
      </c>
      <c r="H1747" s="63" t="n">
        <v>0</v>
      </c>
      <c r="I1747" s="62" t="n">
        <v>228.84</v>
      </c>
      <c r="J1747" s="58" t="inlineStr">
        <is>
          <t>Online</t>
        </is>
      </c>
      <c r="K1747" s="62">
        <f>F1747*(G1747-H1747)</f>
        <v/>
      </c>
      <c r="L1747" s="62">
        <f>K1747-(F1747*I1747)</f>
        <v/>
      </c>
      <c r="M1747" s="64">
        <f>L1747/K1747</f>
        <v/>
      </c>
    </row>
    <row r="1748">
      <c r="A1748" s="58" t="inlineStr">
        <is>
          <t>RT20250214-01747</t>
        </is>
      </c>
      <c r="B1748" s="59" t="inlineStr">
        <is>
          <t>2025-02-14</t>
        </is>
      </c>
      <c r="C1748" s="60" t="inlineStr">
        <is>
          <t>Solace Headphone Pro-344</t>
        </is>
      </c>
      <c r="D1748" s="58" t="inlineStr">
        <is>
          <t>Electronics</t>
        </is>
      </c>
      <c r="E1748" s="58" t="inlineStr">
        <is>
          <t>Central</t>
        </is>
      </c>
      <c r="F1748" s="61" t="n">
        <v>2</v>
      </c>
      <c r="G1748" s="62" t="n">
        <v>1358.69</v>
      </c>
      <c r="H1748" s="63" t="n">
        <v>0.04</v>
      </c>
      <c r="I1748" s="62" t="n">
        <v>1086.78</v>
      </c>
      <c r="J1748" s="58" t="inlineStr">
        <is>
          <t>Online</t>
        </is>
      </c>
      <c r="K1748" s="62">
        <f>F1748*(G1748-H1748)</f>
        <v/>
      </c>
      <c r="L1748" s="62">
        <f>K1748-(F1748*I1748)</f>
        <v/>
      </c>
      <c r="M1748" s="64">
        <f>L1748/K1748</f>
        <v/>
      </c>
    </row>
    <row r="1749">
      <c r="A1749" s="58" t="inlineStr">
        <is>
          <t>RT20250214-01748</t>
        </is>
      </c>
      <c r="B1749" s="59" t="inlineStr">
        <is>
          <t>2025-02-14</t>
        </is>
      </c>
      <c r="C1749" s="60" t="inlineStr">
        <is>
          <t>Metro Fragrance Lite-261</t>
        </is>
      </c>
      <c r="D1749" s="58" t="inlineStr">
        <is>
          <t>Beauty</t>
        </is>
      </c>
      <c r="E1749" s="58" t="inlineStr">
        <is>
          <t>East</t>
        </is>
      </c>
      <c r="F1749" s="61" t="n">
        <v>4</v>
      </c>
      <c r="G1749" s="62" t="n">
        <v>79.58</v>
      </c>
      <c r="H1749" s="63" t="n">
        <v>0.032</v>
      </c>
      <c r="I1749" s="62" t="n">
        <v>54.49</v>
      </c>
      <c r="J1749" s="58" t="inlineStr">
        <is>
          <t>Store</t>
        </is>
      </c>
      <c r="K1749" s="62">
        <f>F1749*(G1749-H1749)</f>
        <v/>
      </c>
      <c r="L1749" s="62">
        <f>K1749-(F1749*I1749)</f>
        <v/>
      </c>
      <c r="M1749" s="64">
        <f>L1749/K1749</f>
        <v/>
      </c>
    </row>
    <row r="1750">
      <c r="A1750" s="58" t="inlineStr">
        <is>
          <t>RT20250214-01749</t>
        </is>
      </c>
      <c r="B1750" s="59" t="inlineStr">
        <is>
          <t>2025-02-14</t>
        </is>
      </c>
      <c r="C1750" s="60" t="inlineStr">
        <is>
          <t>Falcon Accessorie S-195</t>
        </is>
      </c>
      <c r="D1750" s="58" t="inlineStr">
        <is>
          <t>Apparel</t>
        </is>
      </c>
      <c r="E1750" s="58" t="inlineStr">
        <is>
          <t>North</t>
        </is>
      </c>
      <c r="F1750" s="61" t="n">
        <v>1</v>
      </c>
      <c r="G1750" s="62" t="n">
        <v>72.11</v>
      </c>
      <c r="H1750" s="63" t="n">
        <v>0.128</v>
      </c>
      <c r="I1750" s="62" t="n">
        <v>41.49</v>
      </c>
      <c r="J1750" s="58" t="inlineStr">
        <is>
          <t>Online</t>
        </is>
      </c>
      <c r="K1750" s="62">
        <f>F1750*(G1750-H1750)</f>
        <v/>
      </c>
      <c r="L1750" s="62">
        <f>K1750-(F1750*I1750)</f>
        <v/>
      </c>
      <c r="M1750" s="64">
        <f>L1750/K1750</f>
        <v/>
      </c>
    </row>
    <row r="1751">
      <c r="A1751" s="58" t="inlineStr">
        <is>
          <t>RT20250214-01750</t>
        </is>
      </c>
      <c r="B1751" s="59" t="inlineStr">
        <is>
          <t>2025-02-14</t>
        </is>
      </c>
      <c r="C1751" s="60" t="inlineStr">
        <is>
          <t>Metro Outdoor Plus-787</t>
        </is>
      </c>
      <c r="D1751" s="58" t="inlineStr">
        <is>
          <t>Sports</t>
        </is>
      </c>
      <c r="E1751" s="58" t="inlineStr">
        <is>
          <t>South</t>
        </is>
      </c>
      <c r="F1751" s="61" t="n">
        <v>3</v>
      </c>
      <c r="G1751" s="62" t="n">
        <v>526.12</v>
      </c>
      <c r="H1751" s="63" t="n">
        <v>0.039</v>
      </c>
      <c r="I1751" s="62" t="n">
        <v>347.4</v>
      </c>
      <c r="J1751" s="58" t="inlineStr">
        <is>
          <t>Store</t>
        </is>
      </c>
      <c r="K1751" s="62">
        <f>F1751*(G1751-H1751)</f>
        <v/>
      </c>
      <c r="L1751" s="62">
        <f>K1751-(F1751*I1751)</f>
        <v/>
      </c>
      <c r="M1751" s="64">
        <f>L1751/K1751</f>
        <v/>
      </c>
    </row>
    <row r="1752">
      <c r="A1752" s="58" t="inlineStr">
        <is>
          <t>RT20250214-01751</t>
        </is>
      </c>
      <c r="B1752" s="59" t="inlineStr">
        <is>
          <t>2025-02-14</t>
        </is>
      </c>
      <c r="C1752" s="60" t="inlineStr">
        <is>
          <t>Falcon Skincare X-334</t>
        </is>
      </c>
      <c r="D1752" s="58" t="inlineStr">
        <is>
          <t>Beauty</t>
        </is>
      </c>
      <c r="E1752" s="58" t="inlineStr">
        <is>
          <t>East</t>
        </is>
      </c>
      <c r="F1752" s="61" t="n">
        <v>1</v>
      </c>
      <c r="G1752" s="62" t="n">
        <v>108.77</v>
      </c>
      <c r="H1752" s="63" t="n">
        <v>0</v>
      </c>
      <c r="I1752" s="62" t="n">
        <v>65.05</v>
      </c>
      <c r="J1752" s="58" t="inlineStr">
        <is>
          <t>Online</t>
        </is>
      </c>
      <c r="K1752" s="62">
        <f>F1752*(G1752-H1752)</f>
        <v/>
      </c>
      <c r="L1752" s="62">
        <f>K1752-(F1752*I1752)</f>
        <v/>
      </c>
      <c r="M1752" s="64">
        <f>L1752/K1752</f>
        <v/>
      </c>
    </row>
    <row r="1753">
      <c r="A1753" s="58" t="inlineStr">
        <is>
          <t>RT20250214-01752</t>
        </is>
      </c>
      <c r="B1753" s="59" t="inlineStr">
        <is>
          <t>2025-02-14</t>
        </is>
      </c>
      <c r="C1753" s="60" t="inlineStr">
        <is>
          <t>Falcon Cycling Pro-499</t>
        </is>
      </c>
      <c r="D1753" s="58" t="inlineStr">
        <is>
          <t>Sports</t>
        </is>
      </c>
      <c r="E1753" s="58" t="inlineStr">
        <is>
          <t>Central</t>
        </is>
      </c>
      <c r="F1753" s="61" t="n">
        <v>3</v>
      </c>
      <c r="G1753" s="62" t="n">
        <v>595.54</v>
      </c>
      <c r="H1753" s="63" t="n">
        <v>0.027</v>
      </c>
      <c r="I1753" s="62" t="n">
        <v>409.43</v>
      </c>
      <c r="J1753" s="58" t="inlineStr">
        <is>
          <t>Online</t>
        </is>
      </c>
      <c r="K1753" s="62">
        <f>F1753*(G1753-H1753)</f>
        <v/>
      </c>
      <c r="L1753" s="62">
        <f>K1753-(F1753*I1753)</f>
        <v/>
      </c>
      <c r="M1753" s="64">
        <f>L1753/K1753</f>
        <v/>
      </c>
    </row>
    <row r="1754">
      <c r="A1754" s="58" t="inlineStr">
        <is>
          <t>RT20250214-01753</t>
        </is>
      </c>
      <c r="B1754" s="59" t="inlineStr">
        <is>
          <t>2025-02-14</t>
        </is>
      </c>
      <c r="C1754" s="60" t="inlineStr">
        <is>
          <t>Orion Kitchen Pro-568</t>
        </is>
      </c>
      <c r="D1754" s="58" t="inlineStr">
        <is>
          <t>Home</t>
        </is>
      </c>
      <c r="E1754" s="58" t="inlineStr">
        <is>
          <t>East</t>
        </is>
      </c>
      <c r="F1754" s="61" t="n">
        <v>1</v>
      </c>
      <c r="G1754" s="62" t="n">
        <v>516.6</v>
      </c>
      <c r="H1754" s="63" t="n">
        <v>0.031</v>
      </c>
      <c r="I1754" s="62" t="n">
        <v>312.38</v>
      </c>
      <c r="J1754" s="58" t="inlineStr">
        <is>
          <t>Store</t>
        </is>
      </c>
      <c r="K1754" s="62">
        <f>F1754*(G1754-H1754)</f>
        <v/>
      </c>
      <c r="L1754" s="62">
        <f>K1754-(F1754*I1754)</f>
        <v/>
      </c>
      <c r="M1754" s="64">
        <f>L1754/K1754</f>
        <v/>
      </c>
    </row>
    <row r="1755">
      <c r="A1755" s="58" t="inlineStr">
        <is>
          <t>RT20250214-01754</t>
        </is>
      </c>
      <c r="B1755" s="59" t="inlineStr">
        <is>
          <t>2025-02-14</t>
        </is>
      </c>
      <c r="C1755" s="60" t="inlineStr">
        <is>
          <t>Vertex Supplie X-513</t>
        </is>
      </c>
      <c r="D1755" s="58" t="inlineStr">
        <is>
          <t>Office</t>
        </is>
      </c>
      <c r="E1755" s="58" t="inlineStr">
        <is>
          <t>Central</t>
        </is>
      </c>
      <c r="F1755" s="61" t="n">
        <v>1</v>
      </c>
      <c r="G1755" s="62" t="n">
        <v>434.76</v>
      </c>
      <c r="H1755" s="63" t="n">
        <v>0.093</v>
      </c>
      <c r="I1755" s="62" t="n">
        <v>285.14</v>
      </c>
      <c r="J1755" s="58" t="inlineStr">
        <is>
          <t>Online</t>
        </is>
      </c>
      <c r="K1755" s="62">
        <f>F1755*(G1755-H1755)</f>
        <v/>
      </c>
      <c r="L1755" s="62">
        <f>K1755-(F1755*I1755)</f>
        <v/>
      </c>
      <c r="M1755" s="64">
        <f>L1755/K1755</f>
        <v/>
      </c>
    </row>
    <row r="1756">
      <c r="A1756" s="58" t="inlineStr">
        <is>
          <t>RT20250214-01755</t>
        </is>
      </c>
      <c r="B1756" s="59" t="inlineStr">
        <is>
          <t>2025-02-14</t>
        </is>
      </c>
      <c r="C1756" s="60" t="inlineStr">
        <is>
          <t>Orion Fragrance Lite-785</t>
        </is>
      </c>
      <c r="D1756" s="58" t="inlineStr">
        <is>
          <t>Beauty</t>
        </is>
      </c>
      <c r="E1756" s="58" t="inlineStr">
        <is>
          <t>North</t>
        </is>
      </c>
      <c r="F1756" s="61" t="n">
        <v>2</v>
      </c>
      <c r="G1756" s="62" t="n">
        <v>45.22</v>
      </c>
      <c r="H1756" s="63" t="n">
        <v>0.038</v>
      </c>
      <c r="I1756" s="62" t="n">
        <v>26.59</v>
      </c>
      <c r="J1756" s="58" t="inlineStr">
        <is>
          <t>Phone</t>
        </is>
      </c>
      <c r="K1756" s="62">
        <f>F1756*(G1756-H1756)</f>
        <v/>
      </c>
      <c r="L1756" s="62">
        <f>K1756-(F1756*I1756)</f>
        <v/>
      </c>
      <c r="M1756" s="64">
        <f>L1756/K1756</f>
        <v/>
      </c>
    </row>
    <row r="1757">
      <c r="A1757" s="58" t="inlineStr">
        <is>
          <t>RT20250214-01756</t>
        </is>
      </c>
      <c r="B1757" s="59" t="inlineStr">
        <is>
          <t>2025-02-14</t>
        </is>
      </c>
      <c r="C1757" s="60" t="inlineStr">
        <is>
          <t>Aurora Printer Plus-991</t>
        </is>
      </c>
      <c r="D1757" s="58" t="inlineStr">
        <is>
          <t>Office</t>
        </is>
      </c>
      <c r="E1757" s="58" t="inlineStr">
        <is>
          <t>Central</t>
        </is>
      </c>
      <c r="F1757" s="61" t="n">
        <v>1</v>
      </c>
      <c r="G1757" s="62" t="n">
        <v>547.6900000000001</v>
      </c>
      <c r="H1757" s="63" t="n">
        <v>0.022</v>
      </c>
      <c r="I1757" s="62" t="n">
        <v>363.01</v>
      </c>
      <c r="J1757" s="58" t="inlineStr">
        <is>
          <t>Store</t>
        </is>
      </c>
      <c r="K1757" s="62">
        <f>F1757*(G1757-H1757)</f>
        <v/>
      </c>
      <c r="L1757" s="62">
        <f>K1757-(F1757*I1757)</f>
        <v/>
      </c>
      <c r="M1757" s="64">
        <f>L1757/K1757</f>
        <v/>
      </c>
    </row>
    <row r="1758">
      <c r="A1758" s="58" t="inlineStr">
        <is>
          <t>RT20250214-01757</t>
        </is>
      </c>
      <c r="B1758" s="59" t="inlineStr">
        <is>
          <t>2025-02-14</t>
        </is>
      </c>
      <c r="C1758" s="60" t="inlineStr">
        <is>
          <t>Metro Decor Lite-325</t>
        </is>
      </c>
      <c r="D1758" s="58" t="inlineStr">
        <is>
          <t>Home</t>
        </is>
      </c>
      <c r="E1758" s="58" t="inlineStr">
        <is>
          <t>East</t>
        </is>
      </c>
      <c r="F1758" s="61" t="n">
        <v>1</v>
      </c>
      <c r="G1758" s="62" t="n">
        <v>628.72</v>
      </c>
      <c r="H1758" s="63" t="n">
        <v>0.08500000000000001</v>
      </c>
      <c r="I1758" s="62" t="n">
        <v>368.12</v>
      </c>
      <c r="J1758" s="58" t="inlineStr">
        <is>
          <t>Store</t>
        </is>
      </c>
      <c r="K1758" s="62">
        <f>F1758*(G1758-H1758)</f>
        <v/>
      </c>
      <c r="L1758" s="62">
        <f>K1758-(F1758*I1758)</f>
        <v/>
      </c>
      <c r="M1758" s="64">
        <f>L1758/K1758</f>
        <v/>
      </c>
    </row>
    <row r="1759">
      <c r="A1759" s="58" t="inlineStr">
        <is>
          <t>RT20250214-01758</t>
        </is>
      </c>
      <c r="B1759" s="59" t="inlineStr">
        <is>
          <t>2025-02-14</t>
        </is>
      </c>
      <c r="C1759" s="60" t="inlineStr">
        <is>
          <t>Polar Women Max-927</t>
        </is>
      </c>
      <c r="D1759" s="58" t="inlineStr">
        <is>
          <t>Apparel</t>
        </is>
      </c>
      <c r="E1759" s="58" t="inlineStr">
        <is>
          <t>East</t>
        </is>
      </c>
      <c r="F1759" s="61" t="n">
        <v>1</v>
      </c>
      <c r="G1759" s="62" t="n">
        <v>109.69</v>
      </c>
      <c r="H1759" s="63" t="n">
        <v>0.08599999999999999</v>
      </c>
      <c r="I1759" s="62" t="n">
        <v>66.59</v>
      </c>
      <c r="J1759" s="58" t="inlineStr">
        <is>
          <t>Online</t>
        </is>
      </c>
      <c r="K1759" s="62">
        <f>F1759*(G1759-H1759)</f>
        <v/>
      </c>
      <c r="L1759" s="62">
        <f>K1759-(F1759*I1759)</f>
        <v/>
      </c>
      <c r="M1759" s="64">
        <f>L1759/K1759</f>
        <v/>
      </c>
    </row>
    <row r="1760">
      <c r="A1760" s="58" t="inlineStr">
        <is>
          <t>RT20250214-01759</t>
        </is>
      </c>
      <c r="B1760" s="59" t="inlineStr">
        <is>
          <t>2025-02-14</t>
        </is>
      </c>
      <c r="C1760" s="60" t="inlineStr">
        <is>
          <t>Vertex Appliance Max-338</t>
        </is>
      </c>
      <c r="D1760" s="58" t="inlineStr">
        <is>
          <t>Home</t>
        </is>
      </c>
      <c r="E1760" s="58" t="inlineStr">
        <is>
          <t>Central</t>
        </is>
      </c>
      <c r="F1760" s="61" t="n">
        <v>3</v>
      </c>
      <c r="G1760" s="62" t="n">
        <v>348.17</v>
      </c>
      <c r="H1760" s="63" t="n">
        <v>0.038</v>
      </c>
      <c r="I1760" s="62" t="n">
        <v>289.52</v>
      </c>
      <c r="J1760" s="58" t="inlineStr">
        <is>
          <t>Phone</t>
        </is>
      </c>
      <c r="K1760" s="62">
        <f>F1760*(G1760-H1760)</f>
        <v/>
      </c>
      <c r="L1760" s="62">
        <f>K1760-(F1760*I1760)</f>
        <v/>
      </c>
      <c r="M1760" s="64">
        <f>L1760/K1760</f>
        <v/>
      </c>
    </row>
    <row r="1761">
      <c r="A1761" s="58" t="inlineStr">
        <is>
          <t>RT20250214-01760</t>
        </is>
      </c>
      <c r="B1761" s="59" t="inlineStr">
        <is>
          <t>2025-02-14</t>
        </is>
      </c>
      <c r="C1761" s="60" t="inlineStr">
        <is>
          <t>Metro Pantry X-710</t>
        </is>
      </c>
      <c r="D1761" s="58" t="inlineStr">
        <is>
          <t>Grocery</t>
        </is>
      </c>
      <c r="E1761" s="58" t="inlineStr">
        <is>
          <t>West</t>
        </is>
      </c>
      <c r="F1761" s="61" t="n">
        <v>8</v>
      </c>
      <c r="G1761" s="62" t="n">
        <v>5.43</v>
      </c>
      <c r="H1761" s="63" t="n">
        <v>0.07199999999999999</v>
      </c>
      <c r="I1761" s="62" t="n">
        <v>4.3</v>
      </c>
      <c r="J1761" s="58" t="inlineStr">
        <is>
          <t>Store</t>
        </is>
      </c>
      <c r="K1761" s="62">
        <f>F1761*(G1761-H1761)</f>
        <v/>
      </c>
      <c r="L1761" s="62">
        <f>K1761-(F1761*I1761)</f>
        <v/>
      </c>
      <c r="M1761" s="64">
        <f>L1761/K1761</f>
        <v/>
      </c>
    </row>
    <row r="1762">
      <c r="A1762" s="58" t="inlineStr">
        <is>
          <t>RT20250214-01761</t>
        </is>
      </c>
      <c r="B1762" s="59" t="inlineStr">
        <is>
          <t>2025-02-14</t>
        </is>
      </c>
      <c r="C1762" s="60" t="inlineStr">
        <is>
          <t>Nimbus Fitnes Lite-516</t>
        </is>
      </c>
      <c r="D1762" s="58" t="inlineStr">
        <is>
          <t>Sports</t>
        </is>
      </c>
      <c r="E1762" s="58" t="inlineStr">
        <is>
          <t>East</t>
        </is>
      </c>
      <c r="F1762" s="61" t="n">
        <v>2</v>
      </c>
      <c r="G1762" s="62" t="n">
        <v>734.87</v>
      </c>
      <c r="H1762" s="63" t="n">
        <v>0.07099999999999999</v>
      </c>
      <c r="I1762" s="62" t="n">
        <v>485.45</v>
      </c>
      <c r="J1762" s="58" t="inlineStr">
        <is>
          <t>Online</t>
        </is>
      </c>
      <c r="K1762" s="62">
        <f>F1762*(G1762-H1762)</f>
        <v/>
      </c>
      <c r="L1762" s="62">
        <f>K1762-(F1762*I1762)</f>
        <v/>
      </c>
      <c r="M1762" s="64">
        <f>L1762/K1762</f>
        <v/>
      </c>
    </row>
    <row r="1763">
      <c r="A1763" s="58" t="inlineStr">
        <is>
          <t>RT20250214-01762</t>
        </is>
      </c>
      <c r="B1763" s="59" t="inlineStr">
        <is>
          <t>2025-02-14</t>
        </is>
      </c>
      <c r="C1763" s="60" t="inlineStr">
        <is>
          <t>Falcon Skincare X-334</t>
        </is>
      </c>
      <c r="D1763" s="58" t="inlineStr">
        <is>
          <t>Beauty</t>
        </is>
      </c>
      <c r="E1763" s="58" t="inlineStr">
        <is>
          <t>East</t>
        </is>
      </c>
      <c r="F1763" s="61" t="n">
        <v>4</v>
      </c>
      <c r="G1763" s="62" t="n">
        <v>103.35</v>
      </c>
      <c r="H1763" s="63" t="n">
        <v>0.08799999999999999</v>
      </c>
      <c r="I1763" s="62" t="n">
        <v>65.47</v>
      </c>
      <c r="J1763" s="58" t="inlineStr">
        <is>
          <t>Online</t>
        </is>
      </c>
      <c r="K1763" s="62">
        <f>F1763*(G1763-H1763)</f>
        <v/>
      </c>
      <c r="L1763" s="62">
        <f>K1763-(F1763*I1763)</f>
        <v/>
      </c>
      <c r="M1763" s="64">
        <f>L1763/K1763</f>
        <v/>
      </c>
    </row>
    <row r="1764">
      <c r="A1764" s="58" t="inlineStr">
        <is>
          <t>RT20250214-01763</t>
        </is>
      </c>
      <c r="B1764" s="59" t="inlineStr">
        <is>
          <t>2025-02-14</t>
        </is>
      </c>
      <c r="C1764" s="60" t="inlineStr">
        <is>
          <t>Polar Pantry Lite-392</t>
        </is>
      </c>
      <c r="D1764" s="58" t="inlineStr">
        <is>
          <t>Grocery</t>
        </is>
      </c>
      <c r="E1764" s="58" t="inlineStr">
        <is>
          <t>West</t>
        </is>
      </c>
      <c r="F1764" s="61" t="n">
        <v>1</v>
      </c>
      <c r="G1764" s="62" t="n">
        <v>6.33</v>
      </c>
      <c r="H1764" s="63" t="n">
        <v>0.04</v>
      </c>
      <c r="I1764" s="62" t="n">
        <v>4.45</v>
      </c>
      <c r="J1764" s="58" t="inlineStr">
        <is>
          <t>Online</t>
        </is>
      </c>
      <c r="K1764" s="62">
        <f>F1764*(G1764-H1764)</f>
        <v/>
      </c>
      <c r="L1764" s="62">
        <f>K1764-(F1764*I1764)</f>
        <v/>
      </c>
      <c r="M1764" s="64">
        <f>L1764/K1764</f>
        <v/>
      </c>
    </row>
    <row r="1765">
      <c r="A1765" s="58" t="inlineStr">
        <is>
          <t>RT20250215-01764</t>
        </is>
      </c>
      <c r="B1765" s="59" t="inlineStr">
        <is>
          <t>2025-02-15</t>
        </is>
      </c>
      <c r="C1765" s="60" t="inlineStr">
        <is>
          <t>Falcon Household Pro-865</t>
        </is>
      </c>
      <c r="D1765" s="58" t="inlineStr">
        <is>
          <t>Grocery</t>
        </is>
      </c>
      <c r="E1765" s="58" t="inlineStr">
        <is>
          <t>Central</t>
        </is>
      </c>
      <c r="F1765" s="61" t="n">
        <v>1</v>
      </c>
      <c r="G1765" s="62" t="n">
        <v>10.75</v>
      </c>
      <c r="H1765" s="63" t="n">
        <v>0.058</v>
      </c>
      <c r="I1765" s="62" t="n">
        <v>7.86</v>
      </c>
      <c r="J1765" s="58" t="inlineStr">
        <is>
          <t>Online</t>
        </is>
      </c>
      <c r="K1765" s="62">
        <f>F1765*(G1765-H1765)</f>
        <v/>
      </c>
      <c r="L1765" s="62">
        <f>K1765-(F1765*I1765)</f>
        <v/>
      </c>
      <c r="M1765" s="64">
        <f>L1765/K1765</f>
        <v/>
      </c>
    </row>
    <row r="1766">
      <c r="A1766" s="58" t="inlineStr">
        <is>
          <t>RT20250215-01765</t>
        </is>
      </c>
      <c r="B1766" s="59" t="inlineStr">
        <is>
          <t>2025-02-15</t>
        </is>
      </c>
      <c r="C1766" s="60" t="inlineStr">
        <is>
          <t>Metro Wearable Plus-234</t>
        </is>
      </c>
      <c r="D1766" s="58" t="inlineStr">
        <is>
          <t>Electronics</t>
        </is>
      </c>
      <c r="E1766" s="58" t="inlineStr">
        <is>
          <t>Central</t>
        </is>
      </c>
      <c r="F1766" s="61" t="n">
        <v>2</v>
      </c>
      <c r="G1766" s="62" t="n">
        <v>1541.75</v>
      </c>
      <c r="H1766" s="63" t="n">
        <v>0.064</v>
      </c>
      <c r="I1766" s="62" t="n">
        <v>1197.6</v>
      </c>
      <c r="J1766" s="58" t="inlineStr">
        <is>
          <t>Store</t>
        </is>
      </c>
      <c r="K1766" s="62">
        <f>F1766*(G1766-H1766)</f>
        <v/>
      </c>
      <c r="L1766" s="62">
        <f>K1766-(F1766*I1766)</f>
        <v/>
      </c>
      <c r="M1766" s="64">
        <f>L1766/K1766</f>
        <v/>
      </c>
    </row>
    <row r="1767">
      <c r="A1767" s="58" t="inlineStr">
        <is>
          <t>RT20250215-01766</t>
        </is>
      </c>
      <c r="B1767" s="59" t="inlineStr">
        <is>
          <t>2025-02-15</t>
        </is>
      </c>
      <c r="C1767" s="60" t="inlineStr">
        <is>
          <t>Falcon Skincare Max-151</t>
        </is>
      </c>
      <c r="D1767" s="58" t="inlineStr">
        <is>
          <t>Beauty</t>
        </is>
      </c>
      <c r="E1767" s="58" t="inlineStr">
        <is>
          <t>South</t>
        </is>
      </c>
      <c r="F1767" s="61" t="n">
        <v>3</v>
      </c>
      <c r="G1767" s="62" t="n">
        <v>83.41</v>
      </c>
      <c r="H1767" s="63" t="n">
        <v>0.039</v>
      </c>
      <c r="I1767" s="62" t="n">
        <v>60.21</v>
      </c>
      <c r="J1767" s="58" t="inlineStr">
        <is>
          <t>Online</t>
        </is>
      </c>
      <c r="K1767" s="62">
        <f>F1767*(G1767-H1767)</f>
        <v/>
      </c>
      <c r="L1767" s="62">
        <f>K1767-(F1767*I1767)</f>
        <v/>
      </c>
      <c r="M1767" s="64">
        <f>L1767/K1767</f>
        <v/>
      </c>
    </row>
    <row r="1768">
      <c r="A1768" s="58" t="inlineStr">
        <is>
          <t>RT20250215-01767</t>
        </is>
      </c>
      <c r="B1768" s="59" t="inlineStr">
        <is>
          <t>2025-02-15</t>
        </is>
      </c>
      <c r="C1768" s="60" t="inlineStr">
        <is>
          <t>Falcon Beverage Max-702</t>
        </is>
      </c>
      <c r="D1768" s="58" t="inlineStr">
        <is>
          <t>Grocery</t>
        </is>
      </c>
      <c r="E1768" s="58" t="inlineStr">
        <is>
          <t>West</t>
        </is>
      </c>
      <c r="F1768" s="61" t="n">
        <v>6</v>
      </c>
      <c r="G1768" s="62" t="n">
        <v>28.57</v>
      </c>
      <c r="H1768" s="63" t="n">
        <v>0.039</v>
      </c>
      <c r="I1768" s="62" t="n">
        <v>20.62</v>
      </c>
      <c r="J1768" s="58" t="inlineStr">
        <is>
          <t>Store</t>
        </is>
      </c>
      <c r="K1768" s="62">
        <f>F1768*(G1768-H1768)</f>
        <v/>
      </c>
      <c r="L1768" s="62">
        <f>K1768-(F1768*I1768)</f>
        <v/>
      </c>
      <c r="M1768" s="64">
        <f>L1768/K1768</f>
        <v/>
      </c>
    </row>
    <row r="1769">
      <c r="A1769" s="58" t="inlineStr">
        <is>
          <t>RT20250215-01768</t>
        </is>
      </c>
      <c r="B1769" s="59" t="inlineStr">
        <is>
          <t>2025-02-15</t>
        </is>
      </c>
      <c r="C1769" s="60" t="inlineStr">
        <is>
          <t>Orion Kitchen Pro-568</t>
        </is>
      </c>
      <c r="D1769" s="58" t="inlineStr">
        <is>
          <t>Home</t>
        </is>
      </c>
      <c r="E1769" s="58" t="inlineStr">
        <is>
          <t>North</t>
        </is>
      </c>
      <c r="F1769" s="61" t="n">
        <v>2</v>
      </c>
      <c r="G1769" s="62" t="n">
        <v>455.94</v>
      </c>
      <c r="H1769" s="63" t="n">
        <v>0.09</v>
      </c>
      <c r="I1769" s="62" t="n">
        <v>300.16</v>
      </c>
      <c r="J1769" s="58" t="inlineStr">
        <is>
          <t>Store</t>
        </is>
      </c>
      <c r="K1769" s="62">
        <f>F1769*(G1769-H1769)</f>
        <v/>
      </c>
      <c r="L1769" s="62">
        <f>K1769-(F1769*I1769)</f>
        <v/>
      </c>
      <c r="M1769" s="64">
        <f>L1769/K1769</f>
        <v/>
      </c>
    </row>
    <row r="1770">
      <c r="A1770" s="58" t="inlineStr">
        <is>
          <t>RT20250215-01769</t>
        </is>
      </c>
      <c r="B1770" s="59" t="inlineStr">
        <is>
          <t>2025-02-15</t>
        </is>
      </c>
      <c r="C1770" s="60" t="inlineStr">
        <is>
          <t>Orion Kid Max-864</t>
        </is>
      </c>
      <c r="D1770" s="58" t="inlineStr">
        <is>
          <t>Apparel</t>
        </is>
      </c>
      <c r="E1770" s="58" t="inlineStr">
        <is>
          <t>East</t>
        </is>
      </c>
      <c r="F1770" s="61" t="n">
        <v>1</v>
      </c>
      <c r="G1770" s="62" t="n">
        <v>78.03</v>
      </c>
      <c r="H1770" s="63" t="n">
        <v>0.027</v>
      </c>
      <c r="I1770" s="62" t="n">
        <v>45.52</v>
      </c>
      <c r="J1770" s="58" t="inlineStr">
        <is>
          <t>Online</t>
        </is>
      </c>
      <c r="K1770" s="62">
        <f>F1770*(G1770-H1770)</f>
        <v/>
      </c>
      <c r="L1770" s="62">
        <f>K1770-(F1770*I1770)</f>
        <v/>
      </c>
      <c r="M1770" s="64">
        <f>L1770/K1770</f>
        <v/>
      </c>
    </row>
    <row r="1771">
      <c r="A1771" s="58" t="inlineStr">
        <is>
          <t>RT20250215-01770</t>
        </is>
      </c>
      <c r="B1771" s="59" t="inlineStr">
        <is>
          <t>2025-02-15</t>
        </is>
      </c>
      <c r="C1771" s="60" t="inlineStr">
        <is>
          <t>Falcon Team Sport Lite-268</t>
        </is>
      </c>
      <c r="D1771" s="58" t="inlineStr">
        <is>
          <t>Sports</t>
        </is>
      </c>
      <c r="E1771" s="58" t="inlineStr">
        <is>
          <t>Central</t>
        </is>
      </c>
      <c r="F1771" s="61" t="n">
        <v>3</v>
      </c>
      <c r="G1771" s="62" t="n">
        <v>637.3</v>
      </c>
      <c r="H1771" s="63" t="n">
        <v>0.096</v>
      </c>
      <c r="I1771" s="62" t="n">
        <v>436.26</v>
      </c>
      <c r="J1771" s="58" t="inlineStr">
        <is>
          <t>Online</t>
        </is>
      </c>
      <c r="K1771" s="62">
        <f>F1771*(G1771-H1771)</f>
        <v/>
      </c>
      <c r="L1771" s="62">
        <f>K1771-(F1771*I1771)</f>
        <v/>
      </c>
      <c r="M1771" s="64">
        <f>L1771/K1771</f>
        <v/>
      </c>
    </row>
    <row r="1772">
      <c r="A1772" s="58" t="inlineStr">
        <is>
          <t>RT20250215-01771</t>
        </is>
      </c>
      <c r="B1772" s="59" t="inlineStr">
        <is>
          <t>2025-02-15</t>
        </is>
      </c>
      <c r="C1772" s="60" t="inlineStr">
        <is>
          <t>Solace Smartphone Lite-533</t>
        </is>
      </c>
      <c r="D1772" s="58" t="inlineStr">
        <is>
          <t>Electronics</t>
        </is>
      </c>
      <c r="E1772" s="58" t="inlineStr">
        <is>
          <t>West</t>
        </is>
      </c>
      <c r="F1772" s="61" t="n">
        <v>1</v>
      </c>
      <c r="G1772" s="62" t="n">
        <v>1267.69</v>
      </c>
      <c r="H1772" s="63" t="n">
        <v>0</v>
      </c>
      <c r="I1772" s="62" t="n">
        <v>951.05</v>
      </c>
      <c r="J1772" s="58" t="inlineStr">
        <is>
          <t>Online</t>
        </is>
      </c>
      <c r="K1772" s="62">
        <f>F1772*(G1772-H1772)</f>
        <v/>
      </c>
      <c r="L1772" s="62">
        <f>K1772-(F1772*I1772)</f>
        <v/>
      </c>
      <c r="M1772" s="64">
        <f>L1772/K1772</f>
        <v/>
      </c>
    </row>
    <row r="1773">
      <c r="A1773" s="58" t="inlineStr">
        <is>
          <t>RT20250215-01772</t>
        </is>
      </c>
      <c r="B1773" s="59" t="inlineStr">
        <is>
          <t>2025-02-15</t>
        </is>
      </c>
      <c r="C1773" s="60" t="inlineStr">
        <is>
          <t>Vertex Pantry Pro-165</t>
        </is>
      </c>
      <c r="D1773" s="58" t="inlineStr">
        <is>
          <t>Grocery</t>
        </is>
      </c>
      <c r="E1773" s="58" t="inlineStr">
        <is>
          <t>North</t>
        </is>
      </c>
      <c r="F1773" s="61" t="n">
        <v>3</v>
      </c>
      <c r="G1773" s="62" t="n">
        <v>16.29</v>
      </c>
      <c r="H1773" s="63" t="n">
        <v>0.092</v>
      </c>
      <c r="I1773" s="62" t="n">
        <v>11.64</v>
      </c>
      <c r="J1773" s="58" t="inlineStr">
        <is>
          <t>Online</t>
        </is>
      </c>
      <c r="K1773" s="62">
        <f>F1773*(G1773-H1773)</f>
        <v/>
      </c>
      <c r="L1773" s="62">
        <f>K1773-(F1773*I1773)</f>
        <v/>
      </c>
      <c r="M1773" s="64">
        <f>L1773/K1773</f>
        <v/>
      </c>
    </row>
    <row r="1774">
      <c r="A1774" s="58" t="inlineStr">
        <is>
          <t>RT20250215-01773</t>
        </is>
      </c>
      <c r="B1774" s="59" t="inlineStr">
        <is>
          <t>2025-02-15</t>
        </is>
      </c>
      <c r="C1774" s="60" t="inlineStr">
        <is>
          <t>Orion Snack X-322</t>
        </is>
      </c>
      <c r="D1774" s="58" t="inlineStr">
        <is>
          <t>Grocery</t>
        </is>
      </c>
      <c r="E1774" s="58" t="inlineStr">
        <is>
          <t>East</t>
        </is>
      </c>
      <c r="F1774" s="61" t="n">
        <v>7</v>
      </c>
      <c r="G1774" s="62" t="n">
        <v>13.99</v>
      </c>
      <c r="H1774" s="63" t="n">
        <v>0.05</v>
      </c>
      <c r="I1774" s="62" t="n">
        <v>9.970000000000001</v>
      </c>
      <c r="J1774" s="58" t="inlineStr">
        <is>
          <t>Store</t>
        </is>
      </c>
      <c r="K1774" s="62">
        <f>F1774*(G1774-H1774)</f>
        <v/>
      </c>
      <c r="L1774" s="62">
        <f>K1774-(F1774*I1774)</f>
        <v/>
      </c>
      <c r="M1774" s="64">
        <f>L1774/K1774</f>
        <v/>
      </c>
    </row>
    <row r="1775">
      <c r="A1775" s="58" t="inlineStr">
        <is>
          <t>RT20250215-01774</t>
        </is>
      </c>
      <c r="B1775" s="59" t="inlineStr">
        <is>
          <t>2025-02-15</t>
        </is>
      </c>
      <c r="C1775" s="60" t="inlineStr">
        <is>
          <t>Vertex Smartphone Pro-256</t>
        </is>
      </c>
      <c r="D1775" s="58" t="inlineStr">
        <is>
          <t>Electronics</t>
        </is>
      </c>
      <c r="E1775" s="58" t="inlineStr">
        <is>
          <t>East</t>
        </is>
      </c>
      <c r="F1775" s="61" t="n">
        <v>2</v>
      </c>
      <c r="G1775" s="62" t="n">
        <v>1089.01</v>
      </c>
      <c r="H1775" s="63" t="n">
        <v>0.048</v>
      </c>
      <c r="I1775" s="62" t="n">
        <v>903.11</v>
      </c>
      <c r="J1775" s="58" t="inlineStr">
        <is>
          <t>Online</t>
        </is>
      </c>
      <c r="K1775" s="62">
        <f>F1775*(G1775-H1775)</f>
        <v/>
      </c>
      <c r="L1775" s="62">
        <f>K1775-(F1775*I1775)</f>
        <v/>
      </c>
      <c r="M1775" s="64">
        <f>L1775/K1775</f>
        <v/>
      </c>
    </row>
    <row r="1776">
      <c r="A1776" s="58" t="inlineStr">
        <is>
          <t>RT20250215-01775</t>
        </is>
      </c>
      <c r="B1776" s="59" t="inlineStr">
        <is>
          <t>2025-02-15</t>
        </is>
      </c>
      <c r="C1776" s="60" t="inlineStr">
        <is>
          <t>Aurora Storage Lite-774</t>
        </is>
      </c>
      <c r="D1776" s="58" t="inlineStr">
        <is>
          <t>Office</t>
        </is>
      </c>
      <c r="E1776" s="58" t="inlineStr">
        <is>
          <t>South</t>
        </is>
      </c>
      <c r="F1776" s="61" t="n">
        <v>2</v>
      </c>
      <c r="G1776" s="62" t="n">
        <v>352.39</v>
      </c>
      <c r="H1776" s="63" t="n">
        <v>0.09</v>
      </c>
      <c r="I1776" s="62" t="n">
        <v>239.22</v>
      </c>
      <c r="J1776" s="58" t="inlineStr">
        <is>
          <t>Store</t>
        </is>
      </c>
      <c r="K1776" s="62">
        <f>F1776*(G1776-H1776)</f>
        <v/>
      </c>
      <c r="L1776" s="62">
        <f>K1776-(F1776*I1776)</f>
        <v/>
      </c>
      <c r="M1776" s="64">
        <f>L1776/K1776</f>
        <v/>
      </c>
    </row>
    <row r="1777">
      <c r="A1777" s="58" t="inlineStr">
        <is>
          <t>RT20250215-01776</t>
        </is>
      </c>
      <c r="B1777" s="59" t="inlineStr">
        <is>
          <t>2025-02-15</t>
        </is>
      </c>
      <c r="C1777" s="60" t="inlineStr">
        <is>
          <t>Metro Laptop Plus-376</t>
        </is>
      </c>
      <c r="D1777" s="58" t="inlineStr">
        <is>
          <t>Electronics</t>
        </is>
      </c>
      <c r="E1777" s="58" t="inlineStr">
        <is>
          <t>East</t>
        </is>
      </c>
      <c r="F1777" s="61" t="n">
        <v>2</v>
      </c>
      <c r="G1777" s="62" t="n">
        <v>1266.04</v>
      </c>
      <c r="H1777" s="63" t="n">
        <v>0.11</v>
      </c>
      <c r="I1777" s="62" t="n">
        <v>1043.68</v>
      </c>
      <c r="J1777" s="58" t="inlineStr">
        <is>
          <t>Store</t>
        </is>
      </c>
      <c r="K1777" s="62">
        <f>F1777*(G1777-H1777)</f>
        <v/>
      </c>
      <c r="L1777" s="62">
        <f>K1777-(F1777*I1777)</f>
        <v/>
      </c>
      <c r="M1777" s="64">
        <f>L1777/K1777</f>
        <v/>
      </c>
    </row>
    <row r="1778">
      <c r="A1778" s="58" t="inlineStr">
        <is>
          <t>RT20250215-01777</t>
        </is>
      </c>
      <c r="B1778" s="59" t="inlineStr">
        <is>
          <t>2025-02-15</t>
        </is>
      </c>
      <c r="C1778" s="60" t="inlineStr">
        <is>
          <t>Metro Fragrance Lite-261</t>
        </is>
      </c>
      <c r="D1778" s="58" t="inlineStr">
        <is>
          <t>Beauty</t>
        </is>
      </c>
      <c r="E1778" s="58" t="inlineStr">
        <is>
          <t>Central</t>
        </is>
      </c>
      <c r="F1778" s="61" t="n">
        <v>4</v>
      </c>
      <c r="G1778" s="62" t="n">
        <v>91.87</v>
      </c>
      <c r="H1778" s="63" t="n">
        <v>0.07099999999999999</v>
      </c>
      <c r="I1778" s="62" t="n">
        <v>56.96</v>
      </c>
      <c r="J1778" s="58" t="inlineStr">
        <is>
          <t>Store</t>
        </is>
      </c>
      <c r="K1778" s="62">
        <f>F1778*(G1778-H1778)</f>
        <v/>
      </c>
      <c r="L1778" s="62">
        <f>K1778-(F1778*I1778)</f>
        <v/>
      </c>
      <c r="M1778" s="64">
        <f>L1778/K1778</f>
        <v/>
      </c>
    </row>
    <row r="1779">
      <c r="A1779" s="58" t="inlineStr">
        <is>
          <t>RT20250215-01778</t>
        </is>
      </c>
      <c r="B1779" s="59" t="inlineStr">
        <is>
          <t>2025-02-15</t>
        </is>
      </c>
      <c r="C1779" s="60" t="inlineStr">
        <is>
          <t>Orion Team Sport X-926</t>
        </is>
      </c>
      <c r="D1779" s="58" t="inlineStr">
        <is>
          <t>Sports</t>
        </is>
      </c>
      <c r="E1779" s="58" t="inlineStr">
        <is>
          <t>South</t>
        </is>
      </c>
      <c r="F1779" s="61" t="n">
        <v>2</v>
      </c>
      <c r="G1779" s="62" t="n">
        <v>331.73</v>
      </c>
      <c r="H1779" s="63" t="n">
        <v>0.065</v>
      </c>
      <c r="I1779" s="62" t="n">
        <v>216.22</v>
      </c>
      <c r="J1779" s="58" t="inlineStr">
        <is>
          <t>Store</t>
        </is>
      </c>
      <c r="K1779" s="62">
        <f>F1779*(G1779-H1779)</f>
        <v/>
      </c>
      <c r="L1779" s="62">
        <f>K1779-(F1779*I1779)</f>
        <v/>
      </c>
      <c r="M1779" s="64">
        <f>L1779/K1779</f>
        <v/>
      </c>
    </row>
    <row r="1780">
      <c r="A1780" s="58" t="inlineStr">
        <is>
          <t>RT20250215-01779</t>
        </is>
      </c>
      <c r="B1780" s="59" t="inlineStr">
        <is>
          <t>2025-02-15</t>
        </is>
      </c>
      <c r="C1780" s="60" t="inlineStr">
        <is>
          <t>Metro Accessorie Max-316</t>
        </is>
      </c>
      <c r="D1780" s="58" t="inlineStr">
        <is>
          <t>Apparel</t>
        </is>
      </c>
      <c r="E1780" s="58" t="inlineStr">
        <is>
          <t>Central</t>
        </is>
      </c>
      <c r="F1780" s="61" t="n">
        <v>3</v>
      </c>
      <c r="G1780" s="62" t="n">
        <v>177.89</v>
      </c>
      <c r="H1780" s="63" t="n">
        <v>0.024</v>
      </c>
      <c r="I1780" s="62" t="n">
        <v>93.01000000000001</v>
      </c>
      <c r="J1780" s="58" t="inlineStr">
        <is>
          <t>Store</t>
        </is>
      </c>
      <c r="K1780" s="62">
        <f>F1780*(G1780-H1780)</f>
        <v/>
      </c>
      <c r="L1780" s="62">
        <f>K1780-(F1780*I1780)</f>
        <v/>
      </c>
      <c r="M1780" s="64">
        <f>L1780/K1780</f>
        <v/>
      </c>
    </row>
    <row r="1781">
      <c r="A1781" s="58" t="inlineStr">
        <is>
          <t>RT20250215-01780</t>
        </is>
      </c>
      <c r="B1781" s="59" t="inlineStr">
        <is>
          <t>2025-02-15</t>
        </is>
      </c>
      <c r="C1781" s="60" t="inlineStr">
        <is>
          <t>Vertex Pantry Pro-165</t>
        </is>
      </c>
      <c r="D1781" s="58" t="inlineStr">
        <is>
          <t>Grocery</t>
        </is>
      </c>
      <c r="E1781" s="58" t="inlineStr">
        <is>
          <t>Central</t>
        </is>
      </c>
      <c r="F1781" s="61" t="n">
        <v>5</v>
      </c>
      <c r="G1781" s="62" t="n">
        <v>17.31</v>
      </c>
      <c r="H1781" s="63" t="n">
        <v>0.079</v>
      </c>
      <c r="I1781" s="62" t="n">
        <v>11.86</v>
      </c>
      <c r="J1781" s="58" t="inlineStr">
        <is>
          <t>Store</t>
        </is>
      </c>
      <c r="K1781" s="62">
        <f>F1781*(G1781-H1781)</f>
        <v/>
      </c>
      <c r="L1781" s="62">
        <f>K1781-(F1781*I1781)</f>
        <v/>
      </c>
      <c r="M1781" s="64">
        <f>L1781/K1781</f>
        <v/>
      </c>
    </row>
    <row r="1782">
      <c r="A1782" s="58" t="inlineStr">
        <is>
          <t>RT20250215-01781</t>
        </is>
      </c>
      <c r="B1782" s="59" t="inlineStr">
        <is>
          <t>2025-02-15</t>
        </is>
      </c>
      <c r="C1782" s="60" t="inlineStr">
        <is>
          <t>Orion Kitchen Pro-568</t>
        </is>
      </c>
      <c r="D1782" s="58" t="inlineStr">
        <is>
          <t>Home</t>
        </is>
      </c>
      <c r="E1782" s="58" t="inlineStr">
        <is>
          <t>East</t>
        </is>
      </c>
      <c r="F1782" s="61" t="n">
        <v>2</v>
      </c>
      <c r="G1782" s="62" t="n">
        <v>379.2</v>
      </c>
      <c r="H1782" s="63" t="n">
        <v>0.056</v>
      </c>
      <c r="I1782" s="62" t="n">
        <v>311.97</v>
      </c>
      <c r="J1782" s="58" t="inlineStr">
        <is>
          <t>Online</t>
        </is>
      </c>
      <c r="K1782" s="62">
        <f>F1782*(G1782-H1782)</f>
        <v/>
      </c>
      <c r="L1782" s="62">
        <f>K1782-(F1782*I1782)</f>
        <v/>
      </c>
      <c r="M1782" s="64">
        <f>L1782/K1782</f>
        <v/>
      </c>
    </row>
    <row r="1783">
      <c r="A1783" s="58" t="inlineStr">
        <is>
          <t>RT20250215-01782</t>
        </is>
      </c>
      <c r="B1783" s="59" t="inlineStr">
        <is>
          <t>2025-02-15</t>
        </is>
      </c>
      <c r="C1783" s="60" t="inlineStr">
        <is>
          <t>Nimbus Decor Lite-385</t>
        </is>
      </c>
      <c r="D1783" s="58" t="inlineStr">
        <is>
          <t>Home</t>
        </is>
      </c>
      <c r="E1783" s="58" t="inlineStr">
        <is>
          <t>East</t>
        </is>
      </c>
      <c r="F1783" s="61" t="n">
        <v>1</v>
      </c>
      <c r="G1783" s="62" t="n">
        <v>534.2</v>
      </c>
      <c r="H1783" s="63" t="n">
        <v>0.036</v>
      </c>
      <c r="I1783" s="62" t="n">
        <v>402.79</v>
      </c>
      <c r="J1783" s="58" t="inlineStr">
        <is>
          <t>Store</t>
        </is>
      </c>
      <c r="K1783" s="62">
        <f>F1783*(G1783-H1783)</f>
        <v/>
      </c>
      <c r="L1783" s="62">
        <f>K1783-(F1783*I1783)</f>
        <v/>
      </c>
      <c r="M1783" s="64">
        <f>L1783/K1783</f>
        <v/>
      </c>
    </row>
    <row r="1784">
      <c r="A1784" s="58" t="inlineStr">
        <is>
          <t>RT20250215-01783</t>
        </is>
      </c>
      <c r="B1784" s="59" t="inlineStr">
        <is>
          <t>2025-02-15</t>
        </is>
      </c>
      <c r="C1784" s="60" t="inlineStr">
        <is>
          <t>Orion Kid Max-640</t>
        </is>
      </c>
      <c r="D1784" s="58" t="inlineStr">
        <is>
          <t>Apparel</t>
        </is>
      </c>
      <c r="E1784" s="58" t="inlineStr">
        <is>
          <t>Central</t>
        </is>
      </c>
      <c r="F1784" s="61" t="n">
        <v>2</v>
      </c>
      <c r="G1784" s="62" t="n">
        <v>130.75</v>
      </c>
      <c r="H1784" s="63" t="n">
        <v>0.045</v>
      </c>
      <c r="I1784" s="62" t="n">
        <v>72.44</v>
      </c>
      <c r="J1784" s="58" t="inlineStr">
        <is>
          <t>Store</t>
        </is>
      </c>
      <c r="K1784" s="62">
        <f>F1784*(G1784-H1784)</f>
        <v/>
      </c>
      <c r="L1784" s="62">
        <f>K1784-(F1784*I1784)</f>
        <v/>
      </c>
      <c r="M1784" s="64">
        <f>L1784/K1784</f>
        <v/>
      </c>
    </row>
    <row r="1785">
      <c r="A1785" s="58" t="inlineStr">
        <is>
          <t>RT20250215-01784</t>
        </is>
      </c>
      <c r="B1785" s="59" t="inlineStr">
        <is>
          <t>2025-02-15</t>
        </is>
      </c>
      <c r="C1785" s="60" t="inlineStr">
        <is>
          <t>Vertex Fitnes Pro-830</t>
        </is>
      </c>
      <c r="D1785" s="58" t="inlineStr">
        <is>
          <t>Sports</t>
        </is>
      </c>
      <c r="E1785" s="58" t="inlineStr">
        <is>
          <t>East</t>
        </is>
      </c>
      <c r="F1785" s="61" t="n">
        <v>1</v>
      </c>
      <c r="G1785" s="62" t="n">
        <v>707.4400000000001</v>
      </c>
      <c r="H1785" s="63" t="n">
        <v>0.055</v>
      </c>
      <c r="I1785" s="62" t="n">
        <v>471.79</v>
      </c>
      <c r="J1785" s="58" t="inlineStr">
        <is>
          <t>Online</t>
        </is>
      </c>
      <c r="K1785" s="62">
        <f>F1785*(G1785-H1785)</f>
        <v/>
      </c>
      <c r="L1785" s="62">
        <f>K1785-(F1785*I1785)</f>
        <v/>
      </c>
      <c r="M1785" s="64">
        <f>L1785/K1785</f>
        <v/>
      </c>
    </row>
    <row r="1786">
      <c r="A1786" s="58" t="inlineStr">
        <is>
          <t>RT20250215-01785</t>
        </is>
      </c>
      <c r="B1786" s="59" t="inlineStr">
        <is>
          <t>2025-02-15</t>
        </is>
      </c>
      <c r="C1786" s="60" t="inlineStr">
        <is>
          <t>Vertex Pantry Pro-165</t>
        </is>
      </c>
      <c r="D1786" s="58" t="inlineStr">
        <is>
          <t>Grocery</t>
        </is>
      </c>
      <c r="E1786" s="58" t="inlineStr">
        <is>
          <t>South</t>
        </is>
      </c>
      <c r="F1786" s="61" t="n">
        <v>4</v>
      </c>
      <c r="G1786" s="62" t="n">
        <v>15.95</v>
      </c>
      <c r="H1786" s="63" t="n">
        <v>0.015</v>
      </c>
      <c r="I1786" s="62" t="n">
        <v>11.75</v>
      </c>
      <c r="J1786" s="58" t="inlineStr">
        <is>
          <t>Store</t>
        </is>
      </c>
      <c r="K1786" s="62">
        <f>F1786*(G1786-H1786)</f>
        <v/>
      </c>
      <c r="L1786" s="62">
        <f>K1786-(F1786*I1786)</f>
        <v/>
      </c>
      <c r="M1786" s="64">
        <f>L1786/K1786</f>
        <v/>
      </c>
    </row>
    <row r="1787">
      <c r="A1787" s="58" t="inlineStr">
        <is>
          <t>RT20250215-01786</t>
        </is>
      </c>
      <c r="B1787" s="59" t="inlineStr">
        <is>
          <t>2025-02-15</t>
        </is>
      </c>
      <c r="C1787" s="60" t="inlineStr">
        <is>
          <t>Aurora Makeup Pro-489</t>
        </is>
      </c>
      <c r="D1787" s="58" t="inlineStr">
        <is>
          <t>Beauty</t>
        </is>
      </c>
      <c r="E1787" s="58" t="inlineStr">
        <is>
          <t>South</t>
        </is>
      </c>
      <c r="F1787" s="61" t="n">
        <v>2</v>
      </c>
      <c r="G1787" s="62" t="n">
        <v>102.47</v>
      </c>
      <c r="H1787" s="63" t="n">
        <v>0.108</v>
      </c>
      <c r="I1787" s="62" t="n">
        <v>62.71</v>
      </c>
      <c r="J1787" s="58" t="inlineStr">
        <is>
          <t>Online</t>
        </is>
      </c>
      <c r="K1787" s="62">
        <f>F1787*(G1787-H1787)</f>
        <v/>
      </c>
      <c r="L1787" s="62">
        <f>K1787-(F1787*I1787)</f>
        <v/>
      </c>
      <c r="M1787" s="64">
        <f>L1787/K1787</f>
        <v/>
      </c>
    </row>
    <row r="1788">
      <c r="A1788" s="58" t="inlineStr">
        <is>
          <t>RT20250215-01787</t>
        </is>
      </c>
      <c r="B1788" s="59" t="inlineStr">
        <is>
          <t>2025-02-15</t>
        </is>
      </c>
      <c r="C1788" s="60" t="inlineStr">
        <is>
          <t>Metro Printer X-294</t>
        </is>
      </c>
      <c r="D1788" s="58" t="inlineStr">
        <is>
          <t>Office</t>
        </is>
      </c>
      <c r="E1788" s="58" t="inlineStr">
        <is>
          <t>Central</t>
        </is>
      </c>
      <c r="F1788" s="61" t="n">
        <v>3</v>
      </c>
      <c r="G1788" s="62" t="n">
        <v>592.4</v>
      </c>
      <c r="H1788" s="63" t="n">
        <v>0.105</v>
      </c>
      <c r="I1788" s="62" t="n">
        <v>406.8</v>
      </c>
      <c r="J1788" s="58" t="inlineStr">
        <is>
          <t>Online</t>
        </is>
      </c>
      <c r="K1788" s="62">
        <f>F1788*(G1788-H1788)</f>
        <v/>
      </c>
      <c r="L1788" s="62">
        <f>K1788-(F1788*I1788)</f>
        <v/>
      </c>
      <c r="M1788" s="64">
        <f>L1788/K1788</f>
        <v/>
      </c>
    </row>
    <row r="1789">
      <c r="A1789" s="58" t="inlineStr">
        <is>
          <t>RT20250215-01788</t>
        </is>
      </c>
      <c r="B1789" s="59" t="inlineStr">
        <is>
          <t>2025-02-15</t>
        </is>
      </c>
      <c r="C1789" s="60" t="inlineStr">
        <is>
          <t>Metro Pantry X-710</t>
        </is>
      </c>
      <c r="D1789" s="58" t="inlineStr">
        <is>
          <t>Grocery</t>
        </is>
      </c>
      <c r="E1789" s="58" t="inlineStr">
        <is>
          <t>West</t>
        </is>
      </c>
      <c r="F1789" s="61" t="n">
        <v>3</v>
      </c>
      <c r="G1789" s="62" t="n">
        <v>5.07</v>
      </c>
      <c r="H1789" s="63" t="n">
        <v>0.008999999999999999</v>
      </c>
      <c r="I1789" s="62" t="n">
        <v>4.32</v>
      </c>
      <c r="J1789" s="58" t="inlineStr">
        <is>
          <t>Online</t>
        </is>
      </c>
      <c r="K1789" s="62">
        <f>F1789*(G1789-H1789)</f>
        <v/>
      </c>
      <c r="L1789" s="62">
        <f>K1789-(F1789*I1789)</f>
        <v/>
      </c>
      <c r="M1789" s="64">
        <f>L1789/K1789</f>
        <v/>
      </c>
    </row>
    <row r="1790">
      <c r="A1790" s="58" t="inlineStr">
        <is>
          <t>RT20250215-01789</t>
        </is>
      </c>
      <c r="B1790" s="59" t="inlineStr">
        <is>
          <t>2025-02-15</t>
        </is>
      </c>
      <c r="C1790" s="60" t="inlineStr">
        <is>
          <t>Falcon Furniture Plus-839</t>
        </is>
      </c>
      <c r="D1790" s="58" t="inlineStr">
        <is>
          <t>Office</t>
        </is>
      </c>
      <c r="E1790" s="58" t="inlineStr">
        <is>
          <t>East</t>
        </is>
      </c>
      <c r="F1790" s="61" t="n">
        <v>3</v>
      </c>
      <c r="G1790" s="62" t="n">
        <v>340.35</v>
      </c>
      <c r="H1790" s="63" t="n">
        <v>0.076</v>
      </c>
      <c r="I1790" s="62" t="n">
        <v>223.3</v>
      </c>
      <c r="J1790" s="58" t="inlineStr">
        <is>
          <t>Phone</t>
        </is>
      </c>
      <c r="K1790" s="62">
        <f>F1790*(G1790-H1790)</f>
        <v/>
      </c>
      <c r="L1790" s="62">
        <f>K1790-(F1790*I1790)</f>
        <v/>
      </c>
      <c r="M1790" s="64">
        <f>L1790/K1790</f>
        <v/>
      </c>
    </row>
    <row r="1791">
      <c r="A1791" s="58" t="inlineStr">
        <is>
          <t>RT20250215-01790</t>
        </is>
      </c>
      <c r="B1791" s="59" t="inlineStr">
        <is>
          <t>2025-02-15</t>
        </is>
      </c>
      <c r="C1791" s="60" t="inlineStr">
        <is>
          <t>Solace Kitchen X-919</t>
        </is>
      </c>
      <c r="D1791" s="58" t="inlineStr">
        <is>
          <t>Home</t>
        </is>
      </c>
      <c r="E1791" s="58" t="inlineStr">
        <is>
          <t>South</t>
        </is>
      </c>
      <c r="F1791" s="61" t="n">
        <v>2</v>
      </c>
      <c r="G1791" s="62" t="n">
        <v>363.16</v>
      </c>
      <c r="H1791" s="63" t="n">
        <v>0.08500000000000001</v>
      </c>
      <c r="I1791" s="62" t="n">
        <v>259.65</v>
      </c>
      <c r="J1791" s="58" t="inlineStr">
        <is>
          <t>Store</t>
        </is>
      </c>
      <c r="K1791" s="62">
        <f>F1791*(G1791-H1791)</f>
        <v/>
      </c>
      <c r="L1791" s="62">
        <f>K1791-(F1791*I1791)</f>
        <v/>
      </c>
      <c r="M1791" s="64">
        <f>L1791/K1791</f>
        <v/>
      </c>
    </row>
    <row r="1792">
      <c r="A1792" s="58" t="inlineStr">
        <is>
          <t>RT20250215-01791</t>
        </is>
      </c>
      <c r="B1792" s="59" t="inlineStr">
        <is>
          <t>2025-02-15</t>
        </is>
      </c>
      <c r="C1792" s="60" t="inlineStr">
        <is>
          <t>Aurora Household Plus-146</t>
        </is>
      </c>
      <c r="D1792" s="58" t="inlineStr">
        <is>
          <t>Grocery</t>
        </is>
      </c>
      <c r="E1792" s="58" t="inlineStr">
        <is>
          <t>North</t>
        </is>
      </c>
      <c r="F1792" s="61" t="n">
        <v>1</v>
      </c>
      <c r="G1792" s="62" t="n">
        <v>6.37</v>
      </c>
      <c r="H1792" s="63" t="n">
        <v>0.055</v>
      </c>
      <c r="I1792" s="62" t="n">
        <v>4.42</v>
      </c>
      <c r="J1792" s="58" t="inlineStr">
        <is>
          <t>Online</t>
        </is>
      </c>
      <c r="K1792" s="62">
        <f>F1792*(G1792-H1792)</f>
        <v/>
      </c>
      <c r="L1792" s="62">
        <f>K1792-(F1792*I1792)</f>
        <v/>
      </c>
      <c r="M1792" s="64">
        <f>L1792/K1792</f>
        <v/>
      </c>
    </row>
    <row r="1793">
      <c r="A1793" s="58" t="inlineStr">
        <is>
          <t>RT20250215-01792</t>
        </is>
      </c>
      <c r="B1793" s="59" t="inlineStr">
        <is>
          <t>2025-02-15</t>
        </is>
      </c>
      <c r="C1793" s="60" t="inlineStr">
        <is>
          <t>Nimbus Laptop Max-652</t>
        </is>
      </c>
      <c r="D1793" s="58" t="inlineStr">
        <is>
          <t>Electronics</t>
        </is>
      </c>
      <c r="E1793" s="58" t="inlineStr">
        <is>
          <t>East</t>
        </is>
      </c>
      <c r="F1793" s="61" t="n">
        <v>1</v>
      </c>
      <c r="G1793" s="62" t="n">
        <v>1472.86</v>
      </c>
      <c r="H1793" s="63" t="n">
        <v>0.06</v>
      </c>
      <c r="I1793" s="62" t="n">
        <v>1066.07</v>
      </c>
      <c r="J1793" s="58" t="inlineStr">
        <is>
          <t>Store</t>
        </is>
      </c>
      <c r="K1793" s="62">
        <f>F1793*(G1793-H1793)</f>
        <v/>
      </c>
      <c r="L1793" s="62">
        <f>K1793-(F1793*I1793)</f>
        <v/>
      </c>
      <c r="M1793" s="64">
        <f>L1793/K1793</f>
        <v/>
      </c>
    </row>
    <row r="1794">
      <c r="A1794" s="58" t="inlineStr">
        <is>
          <t>RT20250215-01793</t>
        </is>
      </c>
      <c r="B1794" s="59" t="inlineStr">
        <is>
          <t>2025-02-15</t>
        </is>
      </c>
      <c r="C1794" s="60" t="inlineStr">
        <is>
          <t>Aurora Appliance Max-316</t>
        </is>
      </c>
      <c r="D1794" s="58" t="inlineStr">
        <is>
          <t>Home</t>
        </is>
      </c>
      <c r="E1794" s="58" t="inlineStr">
        <is>
          <t>Central</t>
        </is>
      </c>
      <c r="F1794" s="61" t="n">
        <v>1</v>
      </c>
      <c r="G1794" s="62" t="n">
        <v>293.34</v>
      </c>
      <c r="H1794" s="63" t="n">
        <v>0.036</v>
      </c>
      <c r="I1794" s="62" t="n">
        <v>214.92</v>
      </c>
      <c r="J1794" s="58" t="inlineStr">
        <is>
          <t>Store</t>
        </is>
      </c>
      <c r="K1794" s="62">
        <f>F1794*(G1794-H1794)</f>
        <v/>
      </c>
      <c r="L1794" s="62">
        <f>K1794-(F1794*I1794)</f>
        <v/>
      </c>
      <c r="M1794" s="64">
        <f>L1794/K1794</f>
        <v/>
      </c>
    </row>
    <row r="1795">
      <c r="A1795" s="58" t="inlineStr">
        <is>
          <t>RT20250215-01794</t>
        </is>
      </c>
      <c r="B1795" s="59" t="inlineStr">
        <is>
          <t>2025-02-15</t>
        </is>
      </c>
      <c r="C1795" s="60" t="inlineStr">
        <is>
          <t>Aurora Appliance Lite-109</t>
        </is>
      </c>
      <c r="D1795" s="58" t="inlineStr">
        <is>
          <t>Home</t>
        </is>
      </c>
      <c r="E1795" s="58" t="inlineStr">
        <is>
          <t>East</t>
        </is>
      </c>
      <c r="F1795" s="61" t="n">
        <v>3</v>
      </c>
      <c r="G1795" s="62" t="n">
        <v>314.35</v>
      </c>
      <c r="H1795" s="63" t="n">
        <v>0.052</v>
      </c>
      <c r="I1795" s="62" t="n">
        <v>203.5</v>
      </c>
      <c r="J1795" s="58" t="inlineStr">
        <is>
          <t>Store</t>
        </is>
      </c>
      <c r="K1795" s="62">
        <f>F1795*(G1795-H1795)</f>
        <v/>
      </c>
      <c r="L1795" s="62">
        <f>K1795-(F1795*I1795)</f>
        <v/>
      </c>
      <c r="M1795" s="64">
        <f>L1795/K1795</f>
        <v/>
      </c>
    </row>
    <row r="1796">
      <c r="A1796" s="58" t="inlineStr">
        <is>
          <t>RT20250215-01795</t>
        </is>
      </c>
      <c r="B1796" s="59" t="inlineStr">
        <is>
          <t>2025-02-15</t>
        </is>
      </c>
      <c r="C1796" s="60" t="inlineStr">
        <is>
          <t>Aurora Furniture X-709</t>
        </is>
      </c>
      <c r="D1796" s="58" t="inlineStr">
        <is>
          <t>Office</t>
        </is>
      </c>
      <c r="E1796" s="58" t="inlineStr">
        <is>
          <t>South</t>
        </is>
      </c>
      <c r="F1796" s="61" t="n">
        <v>2</v>
      </c>
      <c r="G1796" s="62" t="n">
        <v>431.3</v>
      </c>
      <c r="H1796" s="63" t="n">
        <v>0.1</v>
      </c>
      <c r="I1796" s="62" t="n">
        <v>299.46</v>
      </c>
      <c r="J1796" s="58" t="inlineStr">
        <is>
          <t>Online</t>
        </is>
      </c>
      <c r="K1796" s="62">
        <f>F1796*(G1796-H1796)</f>
        <v/>
      </c>
      <c r="L1796" s="62">
        <f>K1796-(F1796*I1796)</f>
        <v/>
      </c>
      <c r="M1796" s="64">
        <f>L1796/K1796</f>
        <v/>
      </c>
    </row>
    <row r="1797">
      <c r="A1797" s="58" t="inlineStr">
        <is>
          <t>RT20250215-01796</t>
        </is>
      </c>
      <c r="B1797" s="59" t="inlineStr">
        <is>
          <t>2025-02-15</t>
        </is>
      </c>
      <c r="C1797" s="60" t="inlineStr">
        <is>
          <t>Polar Bedding Lite-243</t>
        </is>
      </c>
      <c r="D1797" s="58" t="inlineStr">
        <is>
          <t>Home</t>
        </is>
      </c>
      <c r="E1797" s="58" t="inlineStr">
        <is>
          <t>North</t>
        </is>
      </c>
      <c r="F1797" s="61" t="n">
        <v>3</v>
      </c>
      <c r="G1797" s="62" t="n">
        <v>449.14</v>
      </c>
      <c r="H1797" s="63" t="n">
        <v>0.08500000000000001</v>
      </c>
      <c r="I1797" s="62" t="n">
        <v>320.8</v>
      </c>
      <c r="J1797" s="58" t="inlineStr">
        <is>
          <t>Online</t>
        </is>
      </c>
      <c r="K1797" s="62">
        <f>F1797*(G1797-H1797)</f>
        <v/>
      </c>
      <c r="L1797" s="62">
        <f>K1797-(F1797*I1797)</f>
        <v/>
      </c>
      <c r="M1797" s="64">
        <f>L1797/K1797</f>
        <v/>
      </c>
    </row>
    <row r="1798">
      <c r="A1798" s="58" t="inlineStr">
        <is>
          <t>RT20250215-01797</t>
        </is>
      </c>
      <c r="B1798" s="59" t="inlineStr">
        <is>
          <t>2025-02-15</t>
        </is>
      </c>
      <c r="C1798" s="60" t="inlineStr">
        <is>
          <t>Falcon Accessorie S-195</t>
        </is>
      </c>
      <c r="D1798" s="58" t="inlineStr">
        <is>
          <t>Apparel</t>
        </is>
      </c>
      <c r="E1798" s="58" t="inlineStr">
        <is>
          <t>East</t>
        </is>
      </c>
      <c r="F1798" s="61" t="n">
        <v>1</v>
      </c>
      <c r="G1798" s="62" t="n">
        <v>86.04000000000001</v>
      </c>
      <c r="H1798" s="63" t="n">
        <v>0.115</v>
      </c>
      <c r="I1798" s="62" t="n">
        <v>42.74</v>
      </c>
      <c r="J1798" s="58" t="inlineStr">
        <is>
          <t>Online</t>
        </is>
      </c>
      <c r="K1798" s="62">
        <f>F1798*(G1798-H1798)</f>
        <v/>
      </c>
      <c r="L1798" s="62">
        <f>K1798-(F1798*I1798)</f>
        <v/>
      </c>
      <c r="M1798" s="64">
        <f>L1798/K1798</f>
        <v/>
      </c>
    </row>
    <row r="1799">
      <c r="A1799" s="58" t="inlineStr">
        <is>
          <t>RT20250215-01798</t>
        </is>
      </c>
      <c r="B1799" s="59" t="inlineStr">
        <is>
          <t>2025-02-15</t>
        </is>
      </c>
      <c r="C1799" s="60" t="inlineStr">
        <is>
          <t>Vertex Decor Pro-618</t>
        </is>
      </c>
      <c r="D1799" s="58" t="inlineStr">
        <is>
          <t>Home</t>
        </is>
      </c>
      <c r="E1799" s="58" t="inlineStr">
        <is>
          <t>Central</t>
        </is>
      </c>
      <c r="F1799" s="61" t="n">
        <v>1</v>
      </c>
      <c r="G1799" s="62" t="n">
        <v>550.26</v>
      </c>
      <c r="H1799" s="63" t="n">
        <v>0.082</v>
      </c>
      <c r="I1799" s="62" t="n">
        <v>379.82</v>
      </c>
      <c r="J1799" s="58" t="inlineStr">
        <is>
          <t>Online</t>
        </is>
      </c>
      <c r="K1799" s="62">
        <f>F1799*(G1799-H1799)</f>
        <v/>
      </c>
      <c r="L1799" s="62">
        <f>K1799-(F1799*I1799)</f>
        <v/>
      </c>
      <c r="M1799" s="64">
        <f>L1799/K1799</f>
        <v/>
      </c>
    </row>
    <row r="1800">
      <c r="A1800" s="58" t="inlineStr">
        <is>
          <t>RT20250215-01799</t>
        </is>
      </c>
      <c r="B1800" s="59" t="inlineStr">
        <is>
          <t>2025-02-15</t>
        </is>
      </c>
      <c r="C1800" s="60" t="inlineStr">
        <is>
          <t>Vertex Skincare Pro-891</t>
        </is>
      </c>
      <c r="D1800" s="58" t="inlineStr">
        <is>
          <t>Beauty</t>
        </is>
      </c>
      <c r="E1800" s="58" t="inlineStr">
        <is>
          <t>North</t>
        </is>
      </c>
      <c r="F1800" s="61" t="n">
        <v>3</v>
      </c>
      <c r="G1800" s="62" t="n">
        <v>131.55</v>
      </c>
      <c r="H1800" s="63" t="n">
        <v>0.06</v>
      </c>
      <c r="I1800" s="62" t="n">
        <v>88.58</v>
      </c>
      <c r="J1800" s="58" t="inlineStr">
        <is>
          <t>Online</t>
        </is>
      </c>
      <c r="K1800" s="62">
        <f>F1800*(G1800-H1800)</f>
        <v/>
      </c>
      <c r="L1800" s="62">
        <f>K1800-(F1800*I1800)</f>
        <v/>
      </c>
      <c r="M1800" s="64">
        <f>L1800/K1800</f>
        <v/>
      </c>
    </row>
    <row r="1801">
      <c r="A1801" s="58" t="inlineStr">
        <is>
          <t>RT20250215-01800</t>
        </is>
      </c>
      <c r="B1801" s="59" t="inlineStr">
        <is>
          <t>2025-02-15</t>
        </is>
      </c>
      <c r="C1801" s="60" t="inlineStr">
        <is>
          <t>Aurora Wearable Lite-704</t>
        </is>
      </c>
      <c r="D1801" s="58" t="inlineStr">
        <is>
          <t>Electronics</t>
        </is>
      </c>
      <c r="E1801" s="58" t="inlineStr">
        <is>
          <t>South</t>
        </is>
      </c>
      <c r="F1801" s="61" t="n">
        <v>2</v>
      </c>
      <c r="G1801" s="62" t="n">
        <v>1869.25</v>
      </c>
      <c r="H1801" s="63" t="n">
        <v>0.08599999999999999</v>
      </c>
      <c r="I1801" s="62" t="n">
        <v>1418.31</v>
      </c>
      <c r="J1801" s="58" t="inlineStr">
        <is>
          <t>Store</t>
        </is>
      </c>
      <c r="K1801" s="62">
        <f>F1801*(G1801-H1801)</f>
        <v/>
      </c>
      <c r="L1801" s="62">
        <f>K1801-(F1801*I1801)</f>
        <v/>
      </c>
      <c r="M1801" s="64">
        <f>L1801/K1801</f>
        <v/>
      </c>
    </row>
    <row r="1802">
      <c r="A1802" s="58" t="inlineStr">
        <is>
          <t>RT20250215-01801</t>
        </is>
      </c>
      <c r="B1802" s="59" t="inlineStr">
        <is>
          <t>2025-02-15</t>
        </is>
      </c>
      <c r="C1802" s="60" t="inlineStr">
        <is>
          <t>Polar Women S-662</t>
        </is>
      </c>
      <c r="D1802" s="58" t="inlineStr">
        <is>
          <t>Apparel</t>
        </is>
      </c>
      <c r="E1802" s="58" t="inlineStr">
        <is>
          <t>East</t>
        </is>
      </c>
      <c r="F1802" s="61" t="n">
        <v>3</v>
      </c>
      <c r="G1802" s="62" t="n">
        <v>187.36</v>
      </c>
      <c r="H1802" s="63" t="n">
        <v>0.029</v>
      </c>
      <c r="I1802" s="62" t="n">
        <v>102.95</v>
      </c>
      <c r="J1802" s="58" t="inlineStr">
        <is>
          <t>Store</t>
        </is>
      </c>
      <c r="K1802" s="62">
        <f>F1802*(G1802-H1802)</f>
        <v/>
      </c>
      <c r="L1802" s="62">
        <f>K1802-(F1802*I1802)</f>
        <v/>
      </c>
      <c r="M1802" s="64">
        <f>L1802/K1802</f>
        <v/>
      </c>
    </row>
    <row r="1803">
      <c r="A1803" s="58" t="inlineStr">
        <is>
          <t>RT20250215-01802</t>
        </is>
      </c>
      <c r="B1803" s="59" t="inlineStr">
        <is>
          <t>2025-02-15</t>
        </is>
      </c>
      <c r="C1803" s="60" t="inlineStr">
        <is>
          <t>Metro Printer X-294</t>
        </is>
      </c>
      <c r="D1803" s="58" t="inlineStr">
        <is>
          <t>Office</t>
        </is>
      </c>
      <c r="E1803" s="58" t="inlineStr">
        <is>
          <t>East</t>
        </is>
      </c>
      <c r="F1803" s="61" t="n">
        <v>2</v>
      </c>
      <c r="G1803" s="62" t="n">
        <v>583.51</v>
      </c>
      <c r="H1803" s="63" t="n">
        <v>0.026</v>
      </c>
      <c r="I1803" s="62" t="n">
        <v>417</v>
      </c>
      <c r="J1803" s="58" t="inlineStr">
        <is>
          <t>Phone</t>
        </is>
      </c>
      <c r="K1803" s="62">
        <f>F1803*(G1803-H1803)</f>
        <v/>
      </c>
      <c r="L1803" s="62">
        <f>K1803-(F1803*I1803)</f>
        <v/>
      </c>
      <c r="M1803" s="64">
        <f>L1803/K1803</f>
        <v/>
      </c>
    </row>
    <row r="1804">
      <c r="A1804" s="58" t="inlineStr">
        <is>
          <t>RT20250215-01803</t>
        </is>
      </c>
      <c r="B1804" s="59" t="inlineStr">
        <is>
          <t>2025-02-15</t>
        </is>
      </c>
      <c r="C1804" s="60" t="inlineStr">
        <is>
          <t>Falcon Bedding S-674</t>
        </is>
      </c>
      <c r="D1804" s="58" t="inlineStr">
        <is>
          <t>Home</t>
        </is>
      </c>
      <c r="E1804" s="58" t="inlineStr">
        <is>
          <t>Central</t>
        </is>
      </c>
      <c r="F1804" s="61" t="n">
        <v>3</v>
      </c>
      <c r="G1804" s="62" t="n">
        <v>612.05</v>
      </c>
      <c r="H1804" s="63" t="n">
        <v>0.047</v>
      </c>
      <c r="I1804" s="62" t="n">
        <v>447.03</v>
      </c>
      <c r="J1804" s="58" t="inlineStr">
        <is>
          <t>Online</t>
        </is>
      </c>
      <c r="K1804" s="62">
        <f>F1804*(G1804-H1804)</f>
        <v/>
      </c>
      <c r="L1804" s="62">
        <f>K1804-(F1804*I1804)</f>
        <v/>
      </c>
      <c r="M1804" s="64">
        <f>L1804/K1804</f>
        <v/>
      </c>
    </row>
    <row r="1805">
      <c r="A1805" s="58" t="inlineStr">
        <is>
          <t>RT20250216-01804</t>
        </is>
      </c>
      <c r="B1805" s="59" t="inlineStr">
        <is>
          <t>2025-02-16</t>
        </is>
      </c>
      <c r="C1805" s="60" t="inlineStr">
        <is>
          <t>Aurora Household Plus-146</t>
        </is>
      </c>
      <c r="D1805" s="58" t="inlineStr">
        <is>
          <t>Grocery</t>
        </is>
      </c>
      <c r="E1805" s="58" t="inlineStr">
        <is>
          <t>Central</t>
        </is>
      </c>
      <c r="F1805" s="61" t="n">
        <v>5</v>
      </c>
      <c r="G1805" s="62" t="n">
        <v>6.31</v>
      </c>
      <c r="H1805" s="63" t="n">
        <v>0.045</v>
      </c>
      <c r="I1805" s="62" t="n">
        <v>4.52</v>
      </c>
      <c r="J1805" s="58" t="inlineStr">
        <is>
          <t>Store</t>
        </is>
      </c>
      <c r="K1805" s="62">
        <f>F1805*(G1805-H1805)</f>
        <v/>
      </c>
      <c r="L1805" s="62">
        <f>K1805-(F1805*I1805)</f>
        <v/>
      </c>
      <c r="M1805" s="64">
        <f>L1805/K1805</f>
        <v/>
      </c>
    </row>
    <row r="1806">
      <c r="A1806" s="58" t="inlineStr">
        <is>
          <t>RT20250216-01805</t>
        </is>
      </c>
      <c r="B1806" s="59" t="inlineStr">
        <is>
          <t>2025-02-16</t>
        </is>
      </c>
      <c r="C1806" s="60" t="inlineStr">
        <is>
          <t>Orion Supplie S-612</t>
        </is>
      </c>
      <c r="D1806" s="58" t="inlineStr">
        <is>
          <t>Office</t>
        </is>
      </c>
      <c r="E1806" s="58" t="inlineStr">
        <is>
          <t>West</t>
        </is>
      </c>
      <c r="F1806" s="61" t="n">
        <v>2</v>
      </c>
      <c r="G1806" s="62" t="n">
        <v>480.69</v>
      </c>
      <c r="H1806" s="63" t="n">
        <v>0.008</v>
      </c>
      <c r="I1806" s="62" t="n">
        <v>344.99</v>
      </c>
      <c r="J1806" s="58" t="inlineStr">
        <is>
          <t>Online</t>
        </is>
      </c>
      <c r="K1806" s="62">
        <f>F1806*(G1806-H1806)</f>
        <v/>
      </c>
      <c r="L1806" s="62">
        <f>K1806-(F1806*I1806)</f>
        <v/>
      </c>
      <c r="M1806" s="64">
        <f>L1806/K1806</f>
        <v/>
      </c>
    </row>
    <row r="1807">
      <c r="A1807" s="58" t="inlineStr">
        <is>
          <t>RT20250216-01806</t>
        </is>
      </c>
      <c r="B1807" s="59" t="inlineStr">
        <is>
          <t>2025-02-16</t>
        </is>
      </c>
      <c r="C1807" s="60" t="inlineStr">
        <is>
          <t>Polar Pantry Lite-392</t>
        </is>
      </c>
      <c r="D1807" s="58" t="inlineStr">
        <is>
          <t>Grocery</t>
        </is>
      </c>
      <c r="E1807" s="58" t="inlineStr">
        <is>
          <t>Central</t>
        </is>
      </c>
      <c r="F1807" s="61" t="n">
        <v>7</v>
      </c>
      <c r="G1807" s="62" t="n">
        <v>6.58</v>
      </c>
      <c r="H1807" s="63" t="n">
        <v>0.051</v>
      </c>
      <c r="I1807" s="62" t="n">
        <v>4.49</v>
      </c>
      <c r="J1807" s="58" t="inlineStr">
        <is>
          <t>Store</t>
        </is>
      </c>
      <c r="K1807" s="62">
        <f>F1807*(G1807-H1807)</f>
        <v/>
      </c>
      <c r="L1807" s="62">
        <f>K1807-(F1807*I1807)</f>
        <v/>
      </c>
      <c r="M1807" s="64">
        <f>L1807/K1807</f>
        <v/>
      </c>
    </row>
    <row r="1808">
      <c r="A1808" s="58" t="inlineStr">
        <is>
          <t>RT20250216-01807</t>
        </is>
      </c>
      <c r="B1808" s="59" t="inlineStr">
        <is>
          <t>2025-02-16</t>
        </is>
      </c>
      <c r="C1808" s="60" t="inlineStr">
        <is>
          <t>Vertex Accessorie Pro-881</t>
        </is>
      </c>
      <c r="D1808" s="58" t="inlineStr">
        <is>
          <t>Apparel</t>
        </is>
      </c>
      <c r="E1808" s="58" t="inlineStr">
        <is>
          <t>East</t>
        </is>
      </c>
      <c r="F1808" s="61" t="n">
        <v>2</v>
      </c>
      <c r="G1808" s="62" t="n">
        <v>99.76000000000001</v>
      </c>
      <c r="H1808" s="63" t="n">
        <v>0.06</v>
      </c>
      <c r="I1808" s="62" t="n">
        <v>62.37</v>
      </c>
      <c r="J1808" s="58" t="inlineStr">
        <is>
          <t>Online</t>
        </is>
      </c>
      <c r="K1808" s="62">
        <f>F1808*(G1808-H1808)</f>
        <v/>
      </c>
      <c r="L1808" s="62">
        <f>K1808-(F1808*I1808)</f>
        <v/>
      </c>
      <c r="M1808" s="64">
        <f>L1808/K1808</f>
        <v/>
      </c>
    </row>
    <row r="1809">
      <c r="A1809" s="58" t="inlineStr">
        <is>
          <t>RT20250216-01808</t>
        </is>
      </c>
      <c r="B1809" s="59" t="inlineStr">
        <is>
          <t>2025-02-16</t>
        </is>
      </c>
      <c r="C1809" s="60" t="inlineStr">
        <is>
          <t>Orion Kid Max-640</t>
        </is>
      </c>
      <c r="D1809" s="58" t="inlineStr">
        <is>
          <t>Apparel</t>
        </is>
      </c>
      <c r="E1809" s="58" t="inlineStr">
        <is>
          <t>South</t>
        </is>
      </c>
      <c r="F1809" s="61" t="n">
        <v>3</v>
      </c>
      <c r="G1809" s="62" t="n">
        <v>121.16</v>
      </c>
      <c r="H1809" s="63" t="n">
        <v>0.036</v>
      </c>
      <c r="I1809" s="62" t="n">
        <v>70.42</v>
      </c>
      <c r="J1809" s="58" t="inlineStr">
        <is>
          <t>Online</t>
        </is>
      </c>
      <c r="K1809" s="62">
        <f>F1809*(G1809-H1809)</f>
        <v/>
      </c>
      <c r="L1809" s="62">
        <f>K1809-(F1809*I1809)</f>
        <v/>
      </c>
      <c r="M1809" s="64">
        <f>L1809/K1809</f>
        <v/>
      </c>
    </row>
    <row r="1810">
      <c r="A1810" s="58" t="inlineStr">
        <is>
          <t>RT20250216-01809</t>
        </is>
      </c>
      <c r="B1810" s="59" t="inlineStr">
        <is>
          <t>2025-02-16</t>
        </is>
      </c>
      <c r="C1810" s="60" t="inlineStr">
        <is>
          <t>Nimbus Decor Lite-385</t>
        </is>
      </c>
      <c r="D1810" s="58" t="inlineStr">
        <is>
          <t>Home</t>
        </is>
      </c>
      <c r="E1810" s="58" t="inlineStr">
        <is>
          <t>West</t>
        </is>
      </c>
      <c r="F1810" s="61" t="n">
        <v>1</v>
      </c>
      <c r="G1810" s="62" t="n">
        <v>696.74</v>
      </c>
      <c r="H1810" s="63" t="n">
        <v>0.045</v>
      </c>
      <c r="I1810" s="62" t="n">
        <v>403.52</v>
      </c>
      <c r="J1810" s="58" t="inlineStr">
        <is>
          <t>Store</t>
        </is>
      </c>
      <c r="K1810" s="62">
        <f>F1810*(G1810-H1810)</f>
        <v/>
      </c>
      <c r="L1810" s="62">
        <f>K1810-(F1810*I1810)</f>
        <v/>
      </c>
      <c r="M1810" s="64">
        <f>L1810/K1810</f>
        <v/>
      </c>
    </row>
    <row r="1811">
      <c r="A1811" s="58" t="inlineStr">
        <is>
          <t>RT20250216-01810</t>
        </is>
      </c>
      <c r="B1811" s="59" t="inlineStr">
        <is>
          <t>2025-02-16</t>
        </is>
      </c>
      <c r="C1811" s="60" t="inlineStr">
        <is>
          <t>Polar Laptop Plus-984</t>
        </is>
      </c>
      <c r="D1811" s="58" t="inlineStr">
        <is>
          <t>Electronics</t>
        </is>
      </c>
      <c r="E1811" s="58" t="inlineStr">
        <is>
          <t>West</t>
        </is>
      </c>
      <c r="F1811" s="61" t="n">
        <v>2</v>
      </c>
      <c r="G1811" s="62" t="n">
        <v>1389.33</v>
      </c>
      <c r="H1811" s="63" t="n">
        <v>0.111</v>
      </c>
      <c r="I1811" s="62" t="n">
        <v>997.0599999999999</v>
      </c>
      <c r="J1811" s="58" t="inlineStr">
        <is>
          <t>Store</t>
        </is>
      </c>
      <c r="K1811" s="62">
        <f>F1811*(G1811-H1811)</f>
        <v/>
      </c>
      <c r="L1811" s="62">
        <f>K1811-(F1811*I1811)</f>
        <v/>
      </c>
      <c r="M1811" s="64">
        <f>L1811/K1811</f>
        <v/>
      </c>
    </row>
    <row r="1812">
      <c r="A1812" s="58" t="inlineStr">
        <is>
          <t>RT20250216-01811</t>
        </is>
      </c>
      <c r="B1812" s="59" t="inlineStr">
        <is>
          <t>2025-02-16</t>
        </is>
      </c>
      <c r="C1812" s="60" t="inlineStr">
        <is>
          <t>Polar Women Max-927</t>
        </is>
      </c>
      <c r="D1812" s="58" t="inlineStr">
        <is>
          <t>Apparel</t>
        </is>
      </c>
      <c r="E1812" s="58" t="inlineStr">
        <is>
          <t>South</t>
        </is>
      </c>
      <c r="F1812" s="61" t="n">
        <v>3</v>
      </c>
      <c r="G1812" s="62" t="n">
        <v>115.11</v>
      </c>
      <c r="H1812" s="63" t="n">
        <v>0.08599999999999999</v>
      </c>
      <c r="I1812" s="62" t="n">
        <v>66.62</v>
      </c>
      <c r="J1812" s="58" t="inlineStr">
        <is>
          <t>Online</t>
        </is>
      </c>
      <c r="K1812" s="62">
        <f>F1812*(G1812-H1812)</f>
        <v/>
      </c>
      <c r="L1812" s="62">
        <f>K1812-(F1812*I1812)</f>
        <v/>
      </c>
      <c r="M1812" s="64">
        <f>L1812/K1812</f>
        <v/>
      </c>
    </row>
    <row r="1813">
      <c r="A1813" s="58" t="inlineStr">
        <is>
          <t>RT20250216-01812</t>
        </is>
      </c>
      <c r="B1813" s="59" t="inlineStr">
        <is>
          <t>2025-02-16</t>
        </is>
      </c>
      <c r="C1813" s="60" t="inlineStr">
        <is>
          <t>Falcon Household Plus-796</t>
        </is>
      </c>
      <c r="D1813" s="58" t="inlineStr">
        <is>
          <t>Grocery</t>
        </is>
      </c>
      <c r="E1813" s="58" t="inlineStr">
        <is>
          <t>South</t>
        </is>
      </c>
      <c r="F1813" s="61" t="n">
        <v>5</v>
      </c>
      <c r="G1813" s="62" t="n">
        <v>24.1</v>
      </c>
      <c r="H1813" s="63" t="n">
        <v>0.08</v>
      </c>
      <c r="I1813" s="62" t="n">
        <v>17.84</v>
      </c>
      <c r="J1813" s="58" t="inlineStr">
        <is>
          <t>Online</t>
        </is>
      </c>
      <c r="K1813" s="62">
        <f>F1813*(G1813-H1813)</f>
        <v/>
      </c>
      <c r="L1813" s="62">
        <f>K1813-(F1813*I1813)</f>
        <v/>
      </c>
      <c r="M1813" s="64">
        <f>L1813/K1813</f>
        <v/>
      </c>
    </row>
    <row r="1814">
      <c r="A1814" s="58" t="inlineStr">
        <is>
          <t>RT20250216-01813</t>
        </is>
      </c>
      <c r="B1814" s="59" t="inlineStr">
        <is>
          <t>2025-02-16</t>
        </is>
      </c>
      <c r="C1814" s="60" t="inlineStr">
        <is>
          <t>Nimbus Cycling Plus-911</t>
        </is>
      </c>
      <c r="D1814" s="58" t="inlineStr">
        <is>
          <t>Sports</t>
        </is>
      </c>
      <c r="E1814" s="58" t="inlineStr">
        <is>
          <t>East</t>
        </is>
      </c>
      <c r="F1814" s="61" t="n">
        <v>1</v>
      </c>
      <c r="G1814" s="62" t="n">
        <v>606.6900000000001</v>
      </c>
      <c r="H1814" s="63" t="n">
        <v>0.073</v>
      </c>
      <c r="I1814" s="62" t="n">
        <v>387.59</v>
      </c>
      <c r="J1814" s="58" t="inlineStr">
        <is>
          <t>Online</t>
        </is>
      </c>
      <c r="K1814" s="62">
        <f>F1814*(G1814-H1814)</f>
        <v/>
      </c>
      <c r="L1814" s="62">
        <f>K1814-(F1814*I1814)</f>
        <v/>
      </c>
      <c r="M1814" s="64">
        <f>L1814/K1814</f>
        <v/>
      </c>
    </row>
    <row r="1815">
      <c r="A1815" s="58" t="inlineStr">
        <is>
          <t>RT20250216-01814</t>
        </is>
      </c>
      <c r="B1815" s="59" t="inlineStr">
        <is>
          <t>2025-02-16</t>
        </is>
      </c>
      <c r="C1815" s="60" t="inlineStr">
        <is>
          <t>Aurora Wearable Lite-162</t>
        </is>
      </c>
      <c r="D1815" s="58" t="inlineStr">
        <is>
          <t>Electronics</t>
        </is>
      </c>
      <c r="E1815" s="58" t="inlineStr">
        <is>
          <t>West</t>
        </is>
      </c>
      <c r="F1815" s="61" t="n">
        <v>1</v>
      </c>
      <c r="G1815" s="62" t="n">
        <v>1459.04</v>
      </c>
      <c r="H1815" s="63" t="n">
        <v>0.092</v>
      </c>
      <c r="I1815" s="62" t="n">
        <v>1156.92</v>
      </c>
      <c r="J1815" s="58" t="inlineStr">
        <is>
          <t>Online</t>
        </is>
      </c>
      <c r="K1815" s="62">
        <f>F1815*(G1815-H1815)</f>
        <v/>
      </c>
      <c r="L1815" s="62">
        <f>K1815-(F1815*I1815)</f>
        <v/>
      </c>
      <c r="M1815" s="64">
        <f>L1815/K1815</f>
        <v/>
      </c>
    </row>
    <row r="1816">
      <c r="A1816" s="58" t="inlineStr">
        <is>
          <t>RT20250216-01815</t>
        </is>
      </c>
      <c r="B1816" s="59" t="inlineStr">
        <is>
          <t>2025-02-16</t>
        </is>
      </c>
      <c r="C1816" s="60" t="inlineStr">
        <is>
          <t>Nimbus Cycling Plus-911</t>
        </is>
      </c>
      <c r="D1816" s="58" t="inlineStr">
        <is>
          <t>Sports</t>
        </is>
      </c>
      <c r="E1816" s="58" t="inlineStr">
        <is>
          <t>East</t>
        </is>
      </c>
      <c r="F1816" s="61" t="n">
        <v>3</v>
      </c>
      <c r="G1816" s="62" t="n">
        <v>650.37</v>
      </c>
      <c r="H1816" s="63" t="n">
        <v>0.02</v>
      </c>
      <c r="I1816" s="62" t="n">
        <v>398.8</v>
      </c>
      <c r="J1816" s="58" t="inlineStr">
        <is>
          <t>Store</t>
        </is>
      </c>
      <c r="K1816" s="62">
        <f>F1816*(G1816-H1816)</f>
        <v/>
      </c>
      <c r="L1816" s="62">
        <f>K1816-(F1816*I1816)</f>
        <v/>
      </c>
      <c r="M1816" s="64">
        <f>L1816/K1816</f>
        <v/>
      </c>
    </row>
    <row r="1817">
      <c r="A1817" s="58" t="inlineStr">
        <is>
          <t>RT20250216-01816</t>
        </is>
      </c>
      <c r="B1817" s="59" t="inlineStr">
        <is>
          <t>2025-02-16</t>
        </is>
      </c>
      <c r="C1817" s="60" t="inlineStr">
        <is>
          <t>Polar Wearable X-119</t>
        </is>
      </c>
      <c r="D1817" s="58" t="inlineStr">
        <is>
          <t>Electronics</t>
        </is>
      </c>
      <c r="E1817" s="58" t="inlineStr">
        <is>
          <t>North</t>
        </is>
      </c>
      <c r="F1817" s="61" t="n">
        <v>1</v>
      </c>
      <c r="G1817" s="62" t="n">
        <v>1683.74</v>
      </c>
      <c r="H1817" s="63" t="n">
        <v>0.077</v>
      </c>
      <c r="I1817" s="62" t="n">
        <v>1345.99</v>
      </c>
      <c r="J1817" s="58" t="inlineStr">
        <is>
          <t>Store</t>
        </is>
      </c>
      <c r="K1817" s="62">
        <f>F1817*(G1817-H1817)</f>
        <v/>
      </c>
      <c r="L1817" s="62">
        <f>K1817-(F1817*I1817)</f>
        <v/>
      </c>
      <c r="M1817" s="64">
        <f>L1817/K1817</f>
        <v/>
      </c>
    </row>
    <row r="1818">
      <c r="A1818" s="58" t="inlineStr">
        <is>
          <t>RT20250216-01817</t>
        </is>
      </c>
      <c r="B1818" s="59" t="inlineStr">
        <is>
          <t>2025-02-16</t>
        </is>
      </c>
      <c r="C1818" s="60" t="inlineStr">
        <is>
          <t>Polar Decor X-935</t>
        </is>
      </c>
      <c r="D1818" s="58" t="inlineStr">
        <is>
          <t>Home</t>
        </is>
      </c>
      <c r="E1818" s="58" t="inlineStr">
        <is>
          <t>West</t>
        </is>
      </c>
      <c r="F1818" s="61" t="n">
        <v>1</v>
      </c>
      <c r="G1818" s="62" t="n">
        <v>275.2</v>
      </c>
      <c r="H1818" s="63" t="n">
        <v>0.059</v>
      </c>
      <c r="I1818" s="62" t="n">
        <v>206.49</v>
      </c>
      <c r="J1818" s="58" t="inlineStr">
        <is>
          <t>Online</t>
        </is>
      </c>
      <c r="K1818" s="62">
        <f>F1818*(G1818-H1818)</f>
        <v/>
      </c>
      <c r="L1818" s="62">
        <f>K1818-(F1818*I1818)</f>
        <v/>
      </c>
      <c r="M1818" s="64">
        <f>L1818/K1818</f>
        <v/>
      </c>
    </row>
    <row r="1819">
      <c r="A1819" s="58" t="inlineStr">
        <is>
          <t>RT20250216-01818</t>
        </is>
      </c>
      <c r="B1819" s="59" t="inlineStr">
        <is>
          <t>2025-02-16</t>
        </is>
      </c>
      <c r="C1819" s="60" t="inlineStr">
        <is>
          <t>Metro Decor Lite-325</t>
        </is>
      </c>
      <c r="D1819" s="58" t="inlineStr">
        <is>
          <t>Home</t>
        </is>
      </c>
      <c r="E1819" s="58" t="inlineStr">
        <is>
          <t>East</t>
        </is>
      </c>
      <c r="F1819" s="61" t="n">
        <v>1</v>
      </c>
      <c r="G1819" s="62" t="n">
        <v>576.97</v>
      </c>
      <c r="H1819" s="63" t="n">
        <v>0.111</v>
      </c>
      <c r="I1819" s="62" t="n">
        <v>380.99</v>
      </c>
      <c r="J1819" s="58" t="inlineStr">
        <is>
          <t>Store</t>
        </is>
      </c>
      <c r="K1819" s="62">
        <f>F1819*(G1819-H1819)</f>
        <v/>
      </c>
      <c r="L1819" s="62">
        <f>K1819-(F1819*I1819)</f>
        <v/>
      </c>
      <c r="M1819" s="64">
        <f>L1819/K1819</f>
        <v/>
      </c>
    </row>
    <row r="1820">
      <c r="A1820" s="58" t="inlineStr">
        <is>
          <t>RT20250216-01819</t>
        </is>
      </c>
      <c r="B1820" s="59" t="inlineStr">
        <is>
          <t>2025-02-16</t>
        </is>
      </c>
      <c r="C1820" s="60" t="inlineStr">
        <is>
          <t>Orion Team Sport X-926</t>
        </is>
      </c>
      <c r="D1820" s="58" t="inlineStr">
        <is>
          <t>Sports</t>
        </is>
      </c>
      <c r="E1820" s="58" t="inlineStr">
        <is>
          <t>West</t>
        </is>
      </c>
      <c r="F1820" s="61" t="n">
        <v>2</v>
      </c>
      <c r="G1820" s="62" t="n">
        <v>366.41</v>
      </c>
      <c r="H1820" s="63" t="n">
        <v>0.101</v>
      </c>
      <c r="I1820" s="62" t="n">
        <v>214.61</v>
      </c>
      <c r="J1820" s="58" t="inlineStr">
        <is>
          <t>Store</t>
        </is>
      </c>
      <c r="K1820" s="62">
        <f>F1820*(G1820-H1820)</f>
        <v/>
      </c>
      <c r="L1820" s="62">
        <f>K1820-(F1820*I1820)</f>
        <v/>
      </c>
      <c r="M1820" s="64">
        <f>L1820/K1820</f>
        <v/>
      </c>
    </row>
    <row r="1821">
      <c r="A1821" s="58" t="inlineStr">
        <is>
          <t>RT20250216-01820</t>
        </is>
      </c>
      <c r="B1821" s="59" t="inlineStr">
        <is>
          <t>2025-02-16</t>
        </is>
      </c>
      <c r="C1821" s="60" t="inlineStr">
        <is>
          <t>Polar Snack Pro-641</t>
        </is>
      </c>
      <c r="D1821" s="58" t="inlineStr">
        <is>
          <t>Grocery</t>
        </is>
      </c>
      <c r="E1821" s="58" t="inlineStr">
        <is>
          <t>Central</t>
        </is>
      </c>
      <c r="F1821" s="61" t="n">
        <v>3</v>
      </c>
      <c r="G1821" s="62" t="n">
        <v>13.15</v>
      </c>
      <c r="H1821" s="63" t="n">
        <v>0.023</v>
      </c>
      <c r="I1821" s="62" t="n">
        <v>9.640000000000001</v>
      </c>
      <c r="J1821" s="58" t="inlineStr">
        <is>
          <t>Online</t>
        </is>
      </c>
      <c r="K1821" s="62">
        <f>F1821*(G1821-H1821)</f>
        <v/>
      </c>
      <c r="L1821" s="62">
        <f>K1821-(F1821*I1821)</f>
        <v/>
      </c>
      <c r="M1821" s="64">
        <f>L1821/K1821</f>
        <v/>
      </c>
    </row>
    <row r="1822">
      <c r="A1822" s="58" t="inlineStr">
        <is>
          <t>RT20250216-01821</t>
        </is>
      </c>
      <c r="B1822" s="59" t="inlineStr">
        <is>
          <t>2025-02-16</t>
        </is>
      </c>
      <c r="C1822" s="60" t="inlineStr">
        <is>
          <t>Falcon Haircare Pro-980</t>
        </is>
      </c>
      <c r="D1822" s="58" t="inlineStr">
        <is>
          <t>Beauty</t>
        </is>
      </c>
      <c r="E1822" s="58" t="inlineStr">
        <is>
          <t>East</t>
        </is>
      </c>
      <c r="F1822" s="61" t="n">
        <v>4</v>
      </c>
      <c r="G1822" s="62" t="n">
        <v>94.37</v>
      </c>
      <c r="H1822" s="63" t="n">
        <v>0.038</v>
      </c>
      <c r="I1822" s="62" t="n">
        <v>58</v>
      </c>
      <c r="J1822" s="58" t="inlineStr">
        <is>
          <t>Online</t>
        </is>
      </c>
      <c r="K1822" s="62">
        <f>F1822*(G1822-H1822)</f>
        <v/>
      </c>
      <c r="L1822" s="62">
        <f>K1822-(F1822*I1822)</f>
        <v/>
      </c>
      <c r="M1822" s="64">
        <f>L1822/K1822</f>
        <v/>
      </c>
    </row>
    <row r="1823">
      <c r="A1823" s="58" t="inlineStr">
        <is>
          <t>RT20250216-01822</t>
        </is>
      </c>
      <c r="B1823" s="59" t="inlineStr">
        <is>
          <t>2025-02-16</t>
        </is>
      </c>
      <c r="C1823" s="60" t="inlineStr">
        <is>
          <t>Falcon Household Plus-796</t>
        </is>
      </c>
      <c r="D1823" s="58" t="inlineStr">
        <is>
          <t>Grocery</t>
        </is>
      </c>
      <c r="E1823" s="58" t="inlineStr">
        <is>
          <t>Central</t>
        </is>
      </c>
      <c r="F1823" s="61" t="n">
        <v>7</v>
      </c>
      <c r="G1823" s="62" t="n">
        <v>21.22</v>
      </c>
      <c r="H1823" s="63" t="n">
        <v>0.08799999999999999</v>
      </c>
      <c r="I1823" s="62" t="n">
        <v>17.74</v>
      </c>
      <c r="J1823" s="58" t="inlineStr">
        <is>
          <t>Online</t>
        </is>
      </c>
      <c r="K1823" s="62">
        <f>F1823*(G1823-H1823)</f>
        <v/>
      </c>
      <c r="L1823" s="62">
        <f>K1823-(F1823*I1823)</f>
        <v/>
      </c>
      <c r="M1823" s="64">
        <f>L1823/K1823</f>
        <v/>
      </c>
    </row>
    <row r="1824">
      <c r="A1824" s="58" t="inlineStr">
        <is>
          <t>RT20250216-01823</t>
        </is>
      </c>
      <c r="B1824" s="59" t="inlineStr">
        <is>
          <t>2025-02-16</t>
        </is>
      </c>
      <c r="C1824" s="60" t="inlineStr">
        <is>
          <t>Aurora Haircare S-975</t>
        </is>
      </c>
      <c r="D1824" s="58" t="inlineStr">
        <is>
          <t>Beauty</t>
        </is>
      </c>
      <c r="E1824" s="58" t="inlineStr">
        <is>
          <t>Central</t>
        </is>
      </c>
      <c r="F1824" s="61" t="n">
        <v>5</v>
      </c>
      <c r="G1824" s="62" t="n">
        <v>97.70999999999999</v>
      </c>
      <c r="H1824" s="63" t="n">
        <v>0.049</v>
      </c>
      <c r="I1824" s="62" t="n">
        <v>58.6</v>
      </c>
      <c r="J1824" s="58" t="inlineStr">
        <is>
          <t>Store</t>
        </is>
      </c>
      <c r="K1824" s="62">
        <f>F1824*(G1824-H1824)</f>
        <v/>
      </c>
      <c r="L1824" s="62">
        <f>K1824-(F1824*I1824)</f>
        <v/>
      </c>
      <c r="M1824" s="64">
        <f>L1824/K1824</f>
        <v/>
      </c>
    </row>
    <row r="1825">
      <c r="A1825" s="58" t="inlineStr">
        <is>
          <t>RT20250216-01824</t>
        </is>
      </c>
      <c r="B1825" s="59" t="inlineStr">
        <is>
          <t>2025-02-16</t>
        </is>
      </c>
      <c r="C1825" s="60" t="inlineStr">
        <is>
          <t>Metro Pantry Max-180</t>
        </is>
      </c>
      <c r="D1825" s="58" t="inlineStr">
        <is>
          <t>Grocery</t>
        </is>
      </c>
      <c r="E1825" s="58" t="inlineStr">
        <is>
          <t>East</t>
        </is>
      </c>
      <c r="F1825" s="61" t="n">
        <v>7</v>
      </c>
      <c r="G1825" s="62" t="n">
        <v>8.960000000000001</v>
      </c>
      <c r="H1825" s="63" t="n">
        <v>0.034</v>
      </c>
      <c r="I1825" s="62" t="n">
        <v>6.61</v>
      </c>
      <c r="J1825" s="58" t="inlineStr">
        <is>
          <t>Online</t>
        </is>
      </c>
      <c r="K1825" s="62">
        <f>F1825*(G1825-H1825)</f>
        <v/>
      </c>
      <c r="L1825" s="62">
        <f>K1825-(F1825*I1825)</f>
        <v/>
      </c>
      <c r="M1825" s="64">
        <f>L1825/K1825</f>
        <v/>
      </c>
    </row>
    <row r="1826">
      <c r="A1826" s="58" t="inlineStr">
        <is>
          <t>RT20250216-01825</t>
        </is>
      </c>
      <c r="B1826" s="59" t="inlineStr">
        <is>
          <t>2025-02-16</t>
        </is>
      </c>
      <c r="C1826" s="60" t="inlineStr">
        <is>
          <t>Vertex Accessorie Pro-881</t>
        </is>
      </c>
      <c r="D1826" s="58" t="inlineStr">
        <is>
          <t>Apparel</t>
        </is>
      </c>
      <c r="E1826" s="58" t="inlineStr">
        <is>
          <t>South</t>
        </is>
      </c>
      <c r="F1826" s="61" t="n">
        <v>4</v>
      </c>
      <c r="G1826" s="62" t="n">
        <v>102.99</v>
      </c>
      <c r="H1826" s="63" t="n">
        <v>0.039</v>
      </c>
      <c r="I1826" s="62" t="n">
        <v>64.45</v>
      </c>
      <c r="J1826" s="58" t="inlineStr">
        <is>
          <t>Online</t>
        </is>
      </c>
      <c r="K1826" s="62">
        <f>F1826*(G1826-H1826)</f>
        <v/>
      </c>
      <c r="L1826" s="62">
        <f>K1826-(F1826*I1826)</f>
        <v/>
      </c>
      <c r="M1826" s="64">
        <f>L1826/K1826</f>
        <v/>
      </c>
    </row>
    <row r="1827">
      <c r="A1827" s="58" t="inlineStr">
        <is>
          <t>RT20250216-01826</t>
        </is>
      </c>
      <c r="B1827" s="59" t="inlineStr">
        <is>
          <t>2025-02-16</t>
        </is>
      </c>
      <c r="C1827" s="60" t="inlineStr">
        <is>
          <t>Metro Fragrance Lite-261</t>
        </is>
      </c>
      <c r="D1827" s="58" t="inlineStr">
        <is>
          <t>Beauty</t>
        </is>
      </c>
      <c r="E1827" s="58" t="inlineStr">
        <is>
          <t>West</t>
        </is>
      </c>
      <c r="F1827" s="61" t="n">
        <v>4</v>
      </c>
      <c r="G1827" s="62" t="n">
        <v>99.09</v>
      </c>
      <c r="H1827" s="63" t="n">
        <v>0.092</v>
      </c>
      <c r="I1827" s="62" t="n">
        <v>55.14</v>
      </c>
      <c r="J1827" s="58" t="inlineStr">
        <is>
          <t>Phone</t>
        </is>
      </c>
      <c r="K1827" s="62">
        <f>F1827*(G1827-H1827)</f>
        <v/>
      </c>
      <c r="L1827" s="62">
        <f>K1827-(F1827*I1827)</f>
        <v/>
      </c>
      <c r="M1827" s="64">
        <f>L1827/K1827</f>
        <v/>
      </c>
    </row>
    <row r="1828">
      <c r="A1828" s="58" t="inlineStr">
        <is>
          <t>RT20250216-01827</t>
        </is>
      </c>
      <c r="B1828" s="59" t="inlineStr">
        <is>
          <t>2025-02-16</t>
        </is>
      </c>
      <c r="C1828" s="60" t="inlineStr">
        <is>
          <t>Metro Decor Lite-325</t>
        </is>
      </c>
      <c r="D1828" s="58" t="inlineStr">
        <is>
          <t>Home</t>
        </is>
      </c>
      <c r="E1828" s="58" t="inlineStr">
        <is>
          <t>Central</t>
        </is>
      </c>
      <c r="F1828" s="61" t="n">
        <v>3</v>
      </c>
      <c r="G1828" s="62" t="n">
        <v>518.5700000000001</v>
      </c>
      <c r="H1828" s="63" t="n">
        <v>0.113</v>
      </c>
      <c r="I1828" s="62" t="n">
        <v>388.37</v>
      </c>
      <c r="J1828" s="58" t="inlineStr">
        <is>
          <t>Store</t>
        </is>
      </c>
      <c r="K1828" s="62">
        <f>F1828*(G1828-H1828)</f>
        <v/>
      </c>
      <c r="L1828" s="62">
        <f>K1828-(F1828*I1828)</f>
        <v/>
      </c>
      <c r="M1828" s="64">
        <f>L1828/K1828</f>
        <v/>
      </c>
    </row>
    <row r="1829">
      <c r="A1829" s="58" t="inlineStr">
        <is>
          <t>RT20250216-01828</t>
        </is>
      </c>
      <c r="B1829" s="59" t="inlineStr">
        <is>
          <t>2025-02-16</t>
        </is>
      </c>
      <c r="C1829" s="60" t="inlineStr">
        <is>
          <t>Falcon Accessorie S-195</t>
        </is>
      </c>
      <c r="D1829" s="58" t="inlineStr">
        <is>
          <t>Apparel</t>
        </is>
      </c>
      <c r="E1829" s="58" t="inlineStr">
        <is>
          <t>North</t>
        </is>
      </c>
      <c r="F1829" s="61" t="n">
        <v>2</v>
      </c>
      <c r="G1829" s="62" t="n">
        <v>77.67</v>
      </c>
      <c r="H1829" s="63" t="n">
        <v>0.073</v>
      </c>
      <c r="I1829" s="62" t="n">
        <v>42.93</v>
      </c>
      <c r="J1829" s="58" t="inlineStr">
        <is>
          <t>Store</t>
        </is>
      </c>
      <c r="K1829" s="62">
        <f>F1829*(G1829-H1829)</f>
        <v/>
      </c>
      <c r="L1829" s="62">
        <f>K1829-(F1829*I1829)</f>
        <v/>
      </c>
      <c r="M1829" s="64">
        <f>L1829/K1829</f>
        <v/>
      </c>
    </row>
    <row r="1830">
      <c r="A1830" s="58" t="inlineStr">
        <is>
          <t>RT20250216-01829</t>
        </is>
      </c>
      <c r="B1830" s="59" t="inlineStr">
        <is>
          <t>2025-02-16</t>
        </is>
      </c>
      <c r="C1830" s="60" t="inlineStr">
        <is>
          <t>Falcon Storage X-734</t>
        </is>
      </c>
      <c r="D1830" s="58" t="inlineStr">
        <is>
          <t>Office</t>
        </is>
      </c>
      <c r="E1830" s="58" t="inlineStr">
        <is>
          <t>South</t>
        </is>
      </c>
      <c r="F1830" s="61" t="n">
        <v>2</v>
      </c>
      <c r="G1830" s="62" t="n">
        <v>370.84</v>
      </c>
      <c r="H1830" s="63" t="n">
        <v>0</v>
      </c>
      <c r="I1830" s="62" t="n">
        <v>288.64</v>
      </c>
      <c r="J1830" s="58" t="inlineStr">
        <is>
          <t>Online</t>
        </is>
      </c>
      <c r="K1830" s="62">
        <f>F1830*(G1830-H1830)</f>
        <v/>
      </c>
      <c r="L1830" s="62">
        <f>K1830-(F1830*I1830)</f>
        <v/>
      </c>
      <c r="M1830" s="64">
        <f>L1830/K1830</f>
        <v/>
      </c>
    </row>
    <row r="1831">
      <c r="A1831" s="58" t="inlineStr">
        <is>
          <t>RT20250216-01830</t>
        </is>
      </c>
      <c r="B1831" s="59" t="inlineStr">
        <is>
          <t>2025-02-16</t>
        </is>
      </c>
      <c r="C1831" s="60" t="inlineStr">
        <is>
          <t>Vertex Men X-995</t>
        </is>
      </c>
      <c r="D1831" s="58" t="inlineStr">
        <is>
          <t>Apparel</t>
        </is>
      </c>
      <c r="E1831" s="58" t="inlineStr">
        <is>
          <t>Central</t>
        </is>
      </c>
      <c r="F1831" s="61" t="n">
        <v>3</v>
      </c>
      <c r="G1831" s="62" t="n">
        <v>102.2</v>
      </c>
      <c r="H1831" s="63" t="n">
        <v>0</v>
      </c>
      <c r="I1831" s="62" t="n">
        <v>59.55</v>
      </c>
      <c r="J1831" s="58" t="inlineStr">
        <is>
          <t>Online</t>
        </is>
      </c>
      <c r="K1831" s="62">
        <f>F1831*(G1831-H1831)</f>
        <v/>
      </c>
      <c r="L1831" s="62">
        <f>K1831-(F1831*I1831)</f>
        <v/>
      </c>
      <c r="M1831" s="64">
        <f>L1831/K1831</f>
        <v/>
      </c>
    </row>
    <row r="1832">
      <c r="A1832" s="58" t="inlineStr">
        <is>
          <t>RT20250216-01831</t>
        </is>
      </c>
      <c r="B1832" s="59" t="inlineStr">
        <is>
          <t>2025-02-16</t>
        </is>
      </c>
      <c r="C1832" s="60" t="inlineStr">
        <is>
          <t>Aurora Appliance Lite-109</t>
        </is>
      </c>
      <c r="D1832" s="58" t="inlineStr">
        <is>
          <t>Home</t>
        </is>
      </c>
      <c r="E1832" s="58" t="inlineStr">
        <is>
          <t>West</t>
        </is>
      </c>
      <c r="F1832" s="61" t="n">
        <v>2</v>
      </c>
      <c r="G1832" s="62" t="n">
        <v>291.98</v>
      </c>
      <c r="H1832" s="63" t="n">
        <v>0.035</v>
      </c>
      <c r="I1832" s="62" t="n">
        <v>207.38</v>
      </c>
      <c r="J1832" s="58" t="inlineStr">
        <is>
          <t>Online</t>
        </is>
      </c>
      <c r="K1832" s="62">
        <f>F1832*(G1832-H1832)</f>
        <v/>
      </c>
      <c r="L1832" s="62">
        <f>K1832-(F1832*I1832)</f>
        <v/>
      </c>
      <c r="M1832" s="64">
        <f>L1832/K1832</f>
        <v/>
      </c>
    </row>
    <row r="1833">
      <c r="A1833" s="58" t="inlineStr">
        <is>
          <t>RT20250217-01832</t>
        </is>
      </c>
      <c r="B1833" s="59" t="inlineStr">
        <is>
          <t>2025-02-17</t>
        </is>
      </c>
      <c r="C1833" s="60" t="inlineStr">
        <is>
          <t>Solace Fitnes S-324</t>
        </is>
      </c>
      <c r="D1833" s="58" t="inlineStr">
        <is>
          <t>Sports</t>
        </is>
      </c>
      <c r="E1833" s="58" t="inlineStr">
        <is>
          <t>East</t>
        </is>
      </c>
      <c r="F1833" s="61" t="n">
        <v>2</v>
      </c>
      <c r="G1833" s="62" t="n">
        <v>801.21</v>
      </c>
      <c r="H1833" s="63" t="n">
        <v>0.05</v>
      </c>
      <c r="I1833" s="62" t="n">
        <v>530.63</v>
      </c>
      <c r="J1833" s="58" t="inlineStr">
        <is>
          <t>Store</t>
        </is>
      </c>
      <c r="K1833" s="62">
        <f>F1833*(G1833-H1833)</f>
        <v/>
      </c>
      <c r="L1833" s="62">
        <f>K1833-(F1833*I1833)</f>
        <v/>
      </c>
      <c r="M1833" s="64">
        <f>L1833/K1833</f>
        <v/>
      </c>
    </row>
    <row r="1834">
      <c r="A1834" s="58" t="inlineStr">
        <is>
          <t>RT20250217-01833</t>
        </is>
      </c>
      <c r="B1834" s="59" t="inlineStr">
        <is>
          <t>2025-02-17</t>
        </is>
      </c>
      <c r="C1834" s="60" t="inlineStr">
        <is>
          <t>Aurora Printer Plus-723</t>
        </is>
      </c>
      <c r="D1834" s="58" t="inlineStr">
        <is>
          <t>Office</t>
        </is>
      </c>
      <c r="E1834" s="58" t="inlineStr">
        <is>
          <t>North</t>
        </is>
      </c>
      <c r="F1834" s="61" t="n">
        <v>2</v>
      </c>
      <c r="G1834" s="62" t="n">
        <v>294.18</v>
      </c>
      <c r="H1834" s="63" t="n">
        <v>0.021</v>
      </c>
      <c r="I1834" s="62" t="n">
        <v>185.88</v>
      </c>
      <c r="J1834" s="58" t="inlineStr">
        <is>
          <t>Store</t>
        </is>
      </c>
      <c r="K1834" s="62">
        <f>F1834*(G1834-H1834)</f>
        <v/>
      </c>
      <c r="L1834" s="62">
        <f>K1834-(F1834*I1834)</f>
        <v/>
      </c>
      <c r="M1834" s="64">
        <f>L1834/K1834</f>
        <v/>
      </c>
    </row>
    <row r="1835">
      <c r="A1835" s="58" t="inlineStr">
        <is>
          <t>RT20250217-01834</t>
        </is>
      </c>
      <c r="B1835" s="59" t="inlineStr">
        <is>
          <t>2025-02-17</t>
        </is>
      </c>
      <c r="C1835" s="60" t="inlineStr">
        <is>
          <t>Orion Kitchen Pro-568</t>
        </is>
      </c>
      <c r="D1835" s="58" t="inlineStr">
        <is>
          <t>Home</t>
        </is>
      </c>
      <c r="E1835" s="58" t="inlineStr">
        <is>
          <t>Central</t>
        </is>
      </c>
      <c r="F1835" s="61" t="n">
        <v>3</v>
      </c>
      <c r="G1835" s="62" t="n">
        <v>473.67</v>
      </c>
      <c r="H1835" s="63" t="n">
        <v>0.004</v>
      </c>
      <c r="I1835" s="62" t="n">
        <v>309.44</v>
      </c>
      <c r="J1835" s="58" t="inlineStr">
        <is>
          <t>Online</t>
        </is>
      </c>
      <c r="K1835" s="62">
        <f>F1835*(G1835-H1835)</f>
        <v/>
      </c>
      <c r="L1835" s="62">
        <f>K1835-(F1835*I1835)</f>
        <v/>
      </c>
      <c r="M1835" s="64">
        <f>L1835/K1835</f>
        <v/>
      </c>
    </row>
    <row r="1836">
      <c r="A1836" s="58" t="inlineStr">
        <is>
          <t>RT20250217-01835</t>
        </is>
      </c>
      <c r="B1836" s="59" t="inlineStr">
        <is>
          <t>2025-02-17</t>
        </is>
      </c>
      <c r="C1836" s="60" t="inlineStr">
        <is>
          <t>Vertex Men X-995</t>
        </is>
      </c>
      <c r="D1836" s="58" t="inlineStr">
        <is>
          <t>Apparel</t>
        </is>
      </c>
      <c r="E1836" s="58" t="inlineStr">
        <is>
          <t>Central</t>
        </is>
      </c>
      <c r="F1836" s="61" t="n">
        <v>4</v>
      </c>
      <c r="G1836" s="62" t="n">
        <v>113.14</v>
      </c>
      <c r="H1836" s="63" t="n">
        <v>0.02</v>
      </c>
      <c r="I1836" s="62" t="n">
        <v>58.8</v>
      </c>
      <c r="J1836" s="58" t="inlineStr">
        <is>
          <t>Store</t>
        </is>
      </c>
      <c r="K1836" s="62">
        <f>F1836*(G1836-H1836)</f>
        <v/>
      </c>
      <c r="L1836" s="62">
        <f>K1836-(F1836*I1836)</f>
        <v/>
      </c>
      <c r="M1836" s="64">
        <f>L1836/K1836</f>
        <v/>
      </c>
    </row>
    <row r="1837">
      <c r="A1837" s="58" t="inlineStr">
        <is>
          <t>RT20250217-01836</t>
        </is>
      </c>
      <c r="B1837" s="59" t="inlineStr">
        <is>
          <t>2025-02-17</t>
        </is>
      </c>
      <c r="C1837" s="60" t="inlineStr">
        <is>
          <t>Metro Outdoor Plus-787</t>
        </is>
      </c>
      <c r="D1837" s="58" t="inlineStr">
        <is>
          <t>Sports</t>
        </is>
      </c>
      <c r="E1837" s="58" t="inlineStr">
        <is>
          <t>Central</t>
        </is>
      </c>
      <c r="F1837" s="61" t="n">
        <v>1</v>
      </c>
      <c r="G1837" s="62" t="n">
        <v>497.4</v>
      </c>
      <c r="H1837" s="63" t="n">
        <v>0.064</v>
      </c>
      <c r="I1837" s="62" t="n">
        <v>348.3</v>
      </c>
      <c r="J1837" s="58" t="inlineStr">
        <is>
          <t>Online</t>
        </is>
      </c>
      <c r="K1837" s="62">
        <f>F1837*(G1837-H1837)</f>
        <v/>
      </c>
      <c r="L1837" s="62">
        <f>K1837-(F1837*I1837)</f>
        <v/>
      </c>
      <c r="M1837" s="64">
        <f>L1837/K1837</f>
        <v/>
      </c>
    </row>
    <row r="1838">
      <c r="A1838" s="58" t="inlineStr">
        <is>
          <t>RT20250217-01837</t>
        </is>
      </c>
      <c r="B1838" s="59" t="inlineStr">
        <is>
          <t>2025-02-17</t>
        </is>
      </c>
      <c r="C1838" s="60" t="inlineStr">
        <is>
          <t>Nimbus Women Plus-352</t>
        </is>
      </c>
      <c r="D1838" s="58" t="inlineStr">
        <is>
          <t>Apparel</t>
        </is>
      </c>
      <c r="E1838" s="58" t="inlineStr">
        <is>
          <t>West</t>
        </is>
      </c>
      <c r="F1838" s="61" t="n">
        <v>2</v>
      </c>
      <c r="G1838" s="62" t="n">
        <v>60.02</v>
      </c>
      <c r="H1838" s="63" t="n">
        <v>0.094</v>
      </c>
      <c r="I1838" s="62" t="n">
        <v>33.18</v>
      </c>
      <c r="J1838" s="58" t="inlineStr">
        <is>
          <t>Online</t>
        </is>
      </c>
      <c r="K1838" s="62">
        <f>F1838*(G1838-H1838)</f>
        <v/>
      </c>
      <c r="L1838" s="62">
        <f>K1838-(F1838*I1838)</f>
        <v/>
      </c>
      <c r="M1838" s="64">
        <f>L1838/K1838</f>
        <v/>
      </c>
    </row>
    <row r="1839">
      <c r="A1839" s="58" t="inlineStr">
        <is>
          <t>RT20250217-01838</t>
        </is>
      </c>
      <c r="B1839" s="59" t="inlineStr">
        <is>
          <t>2025-02-17</t>
        </is>
      </c>
      <c r="C1839" s="60" t="inlineStr">
        <is>
          <t>Falcon Skincare X-334</t>
        </is>
      </c>
      <c r="D1839" s="58" t="inlineStr">
        <is>
          <t>Beauty</t>
        </is>
      </c>
      <c r="E1839" s="58" t="inlineStr">
        <is>
          <t>East</t>
        </is>
      </c>
      <c r="F1839" s="61" t="n">
        <v>5</v>
      </c>
      <c r="G1839" s="62" t="n">
        <v>106.89</v>
      </c>
      <c r="H1839" s="63" t="n">
        <v>0.079</v>
      </c>
      <c r="I1839" s="62" t="n">
        <v>64.38</v>
      </c>
      <c r="J1839" s="58" t="inlineStr">
        <is>
          <t>Online</t>
        </is>
      </c>
      <c r="K1839" s="62">
        <f>F1839*(G1839-H1839)</f>
        <v/>
      </c>
      <c r="L1839" s="62">
        <f>K1839-(F1839*I1839)</f>
        <v/>
      </c>
      <c r="M1839" s="64">
        <f>L1839/K1839</f>
        <v/>
      </c>
    </row>
    <row r="1840">
      <c r="A1840" s="58" t="inlineStr">
        <is>
          <t>RT20250217-01839</t>
        </is>
      </c>
      <c r="B1840" s="59" t="inlineStr">
        <is>
          <t>2025-02-17</t>
        </is>
      </c>
      <c r="C1840" s="60" t="inlineStr">
        <is>
          <t>Aurora Fitnes Lite-194</t>
        </is>
      </c>
      <c r="D1840" s="58" t="inlineStr">
        <is>
          <t>Sports</t>
        </is>
      </c>
      <c r="E1840" s="58" t="inlineStr">
        <is>
          <t>South</t>
        </is>
      </c>
      <c r="F1840" s="61" t="n">
        <v>2</v>
      </c>
      <c r="G1840" s="62" t="n">
        <v>708.13</v>
      </c>
      <c r="H1840" s="63" t="n">
        <v>0.061</v>
      </c>
      <c r="I1840" s="62" t="n">
        <v>476.12</v>
      </c>
      <c r="J1840" s="58" t="inlineStr">
        <is>
          <t>Store</t>
        </is>
      </c>
      <c r="K1840" s="62">
        <f>F1840*(G1840-H1840)</f>
        <v/>
      </c>
      <c r="L1840" s="62">
        <f>K1840-(F1840*I1840)</f>
        <v/>
      </c>
      <c r="M1840" s="64">
        <f>L1840/K1840</f>
        <v/>
      </c>
    </row>
    <row r="1841">
      <c r="A1841" s="58" t="inlineStr">
        <is>
          <t>RT20250217-01840</t>
        </is>
      </c>
      <c r="B1841" s="59" t="inlineStr">
        <is>
          <t>2025-02-17</t>
        </is>
      </c>
      <c r="C1841" s="60" t="inlineStr">
        <is>
          <t>Falcon Cycling Pro-499</t>
        </is>
      </c>
      <c r="D1841" s="58" t="inlineStr">
        <is>
          <t>Sports</t>
        </is>
      </c>
      <c r="E1841" s="58" t="inlineStr">
        <is>
          <t>South</t>
        </is>
      </c>
      <c r="F1841" s="61" t="n">
        <v>2</v>
      </c>
      <c r="G1841" s="62" t="n">
        <v>626.28</v>
      </c>
      <c r="H1841" s="63" t="n">
        <v>0.019</v>
      </c>
      <c r="I1841" s="62" t="n">
        <v>391.75</v>
      </c>
      <c r="J1841" s="58" t="inlineStr">
        <is>
          <t>Store</t>
        </is>
      </c>
      <c r="K1841" s="62">
        <f>F1841*(G1841-H1841)</f>
        <v/>
      </c>
      <c r="L1841" s="62">
        <f>K1841-(F1841*I1841)</f>
        <v/>
      </c>
      <c r="M1841" s="64">
        <f>L1841/K1841</f>
        <v/>
      </c>
    </row>
    <row r="1842">
      <c r="A1842" s="58" t="inlineStr">
        <is>
          <t>RT20250217-01841</t>
        </is>
      </c>
      <c r="B1842" s="59" t="inlineStr">
        <is>
          <t>2025-02-17</t>
        </is>
      </c>
      <c r="C1842" s="60" t="inlineStr">
        <is>
          <t>Falcon Wearable X-334</t>
        </is>
      </c>
      <c r="D1842" s="58" t="inlineStr">
        <is>
          <t>Electronics</t>
        </is>
      </c>
      <c r="E1842" s="58" t="inlineStr">
        <is>
          <t>East</t>
        </is>
      </c>
      <c r="F1842" s="61" t="n">
        <v>1</v>
      </c>
      <c r="G1842" s="62" t="n">
        <v>2001.32</v>
      </c>
      <c r="H1842" s="63" t="n">
        <v>0.038</v>
      </c>
      <c r="I1842" s="62" t="n">
        <v>1526.3</v>
      </c>
      <c r="J1842" s="58" t="inlineStr">
        <is>
          <t>Store</t>
        </is>
      </c>
      <c r="K1842" s="62">
        <f>F1842*(G1842-H1842)</f>
        <v/>
      </c>
      <c r="L1842" s="62">
        <f>K1842-(F1842*I1842)</f>
        <v/>
      </c>
      <c r="M1842" s="64">
        <f>L1842/K1842</f>
        <v/>
      </c>
    </row>
    <row r="1843">
      <c r="A1843" s="58" t="inlineStr">
        <is>
          <t>RT20250217-01842</t>
        </is>
      </c>
      <c r="B1843" s="59" t="inlineStr">
        <is>
          <t>2025-02-17</t>
        </is>
      </c>
      <c r="C1843" s="60" t="inlineStr">
        <is>
          <t>Metro Pantry Max-180</t>
        </is>
      </c>
      <c r="D1843" s="58" t="inlineStr">
        <is>
          <t>Grocery</t>
        </is>
      </c>
      <c r="E1843" s="58" t="inlineStr">
        <is>
          <t>Central</t>
        </is>
      </c>
      <c r="F1843" s="61" t="n">
        <v>1</v>
      </c>
      <c r="G1843" s="62" t="n">
        <v>9.07</v>
      </c>
      <c r="H1843" s="63" t="n">
        <v>0.08400000000000001</v>
      </c>
      <c r="I1843" s="62" t="n">
        <v>6.45</v>
      </c>
      <c r="J1843" s="58" t="inlineStr">
        <is>
          <t>Store</t>
        </is>
      </c>
      <c r="K1843" s="62">
        <f>F1843*(G1843-H1843)</f>
        <v/>
      </c>
      <c r="L1843" s="62">
        <f>K1843-(F1843*I1843)</f>
        <v/>
      </c>
      <c r="M1843" s="64">
        <f>L1843/K1843</f>
        <v/>
      </c>
    </row>
    <row r="1844">
      <c r="A1844" s="58" t="inlineStr">
        <is>
          <t>RT20250217-01843</t>
        </is>
      </c>
      <c r="B1844" s="59" t="inlineStr">
        <is>
          <t>2025-02-17</t>
        </is>
      </c>
      <c r="C1844" s="60" t="inlineStr">
        <is>
          <t>Polar Men Pro-246</t>
        </is>
      </c>
      <c r="D1844" s="58" t="inlineStr">
        <is>
          <t>Apparel</t>
        </is>
      </c>
      <c r="E1844" s="58" t="inlineStr">
        <is>
          <t>Central</t>
        </is>
      </c>
      <c r="F1844" s="61" t="n">
        <v>3</v>
      </c>
      <c r="G1844" s="62" t="n">
        <v>131.02</v>
      </c>
      <c r="H1844" s="63" t="n">
        <v>0.067</v>
      </c>
      <c r="I1844" s="62" t="n">
        <v>76.7</v>
      </c>
      <c r="J1844" s="58" t="inlineStr">
        <is>
          <t>Store</t>
        </is>
      </c>
      <c r="K1844" s="62">
        <f>F1844*(G1844-H1844)</f>
        <v/>
      </c>
      <c r="L1844" s="62">
        <f>K1844-(F1844*I1844)</f>
        <v/>
      </c>
      <c r="M1844" s="64">
        <f>L1844/K1844</f>
        <v/>
      </c>
    </row>
    <row r="1845">
      <c r="A1845" s="58" t="inlineStr">
        <is>
          <t>RT20250217-01844</t>
        </is>
      </c>
      <c r="B1845" s="59" t="inlineStr">
        <is>
          <t>2025-02-17</t>
        </is>
      </c>
      <c r="C1845" s="60" t="inlineStr">
        <is>
          <t>Vertex Supplie Pro-786</t>
        </is>
      </c>
      <c r="D1845" s="58" t="inlineStr">
        <is>
          <t>Office</t>
        </is>
      </c>
      <c r="E1845" s="58" t="inlineStr">
        <is>
          <t>East</t>
        </is>
      </c>
      <c r="F1845" s="61" t="n">
        <v>2</v>
      </c>
      <c r="G1845" s="62" t="n">
        <v>402.65</v>
      </c>
      <c r="H1845" s="63" t="n">
        <v>0.111</v>
      </c>
      <c r="I1845" s="62" t="n">
        <v>293.71</v>
      </c>
      <c r="J1845" s="58" t="inlineStr">
        <is>
          <t>Store</t>
        </is>
      </c>
      <c r="K1845" s="62">
        <f>F1845*(G1845-H1845)</f>
        <v/>
      </c>
      <c r="L1845" s="62">
        <f>K1845-(F1845*I1845)</f>
        <v/>
      </c>
      <c r="M1845" s="64">
        <f>L1845/K1845</f>
        <v/>
      </c>
    </row>
    <row r="1846">
      <c r="A1846" s="58" t="inlineStr">
        <is>
          <t>RT20250217-01845</t>
        </is>
      </c>
      <c r="B1846" s="59" t="inlineStr">
        <is>
          <t>2025-02-17</t>
        </is>
      </c>
      <c r="C1846" s="60" t="inlineStr">
        <is>
          <t>Vertex Smartphone Lite-267</t>
        </is>
      </c>
      <c r="D1846" s="58" t="inlineStr">
        <is>
          <t>Electronics</t>
        </is>
      </c>
      <c r="E1846" s="58" t="inlineStr">
        <is>
          <t>South</t>
        </is>
      </c>
      <c r="F1846" s="61" t="n">
        <v>1</v>
      </c>
      <c r="G1846" s="62" t="n">
        <v>1345.79</v>
      </c>
      <c r="H1846" s="63" t="n">
        <v>0.08599999999999999</v>
      </c>
      <c r="I1846" s="62" t="n">
        <v>988.8</v>
      </c>
      <c r="J1846" s="58" t="inlineStr">
        <is>
          <t>Online</t>
        </is>
      </c>
      <c r="K1846" s="62">
        <f>F1846*(G1846-H1846)</f>
        <v/>
      </c>
      <c r="L1846" s="62">
        <f>K1846-(F1846*I1846)</f>
        <v/>
      </c>
      <c r="M1846" s="64">
        <f>L1846/K1846</f>
        <v/>
      </c>
    </row>
    <row r="1847">
      <c r="A1847" s="58" t="inlineStr">
        <is>
          <t>RT20250217-01846</t>
        </is>
      </c>
      <c r="B1847" s="59" t="inlineStr">
        <is>
          <t>2025-02-17</t>
        </is>
      </c>
      <c r="C1847" s="60" t="inlineStr">
        <is>
          <t>Solace Laptop S-367</t>
        </is>
      </c>
      <c r="D1847" s="58" t="inlineStr">
        <is>
          <t>Electronics</t>
        </is>
      </c>
      <c r="E1847" s="58" t="inlineStr">
        <is>
          <t>East</t>
        </is>
      </c>
      <c r="F1847" s="61" t="n">
        <v>1</v>
      </c>
      <c r="G1847" s="62" t="n">
        <v>2055.55</v>
      </c>
      <c r="H1847" s="63" t="n">
        <v>0.08500000000000001</v>
      </c>
      <c r="I1847" s="62" t="n">
        <v>1586.9</v>
      </c>
      <c r="J1847" s="58" t="inlineStr">
        <is>
          <t>Store</t>
        </is>
      </c>
      <c r="K1847" s="62">
        <f>F1847*(G1847-H1847)</f>
        <v/>
      </c>
      <c r="L1847" s="62">
        <f>K1847-(F1847*I1847)</f>
        <v/>
      </c>
      <c r="M1847" s="64">
        <f>L1847/K1847</f>
        <v/>
      </c>
    </row>
    <row r="1848">
      <c r="A1848" s="58" t="inlineStr">
        <is>
          <t>RT20250217-01847</t>
        </is>
      </c>
      <c r="B1848" s="59" t="inlineStr">
        <is>
          <t>2025-02-17</t>
        </is>
      </c>
      <c r="C1848" s="60" t="inlineStr">
        <is>
          <t>Vertex Printer Max-692</t>
        </is>
      </c>
      <c r="D1848" s="58" t="inlineStr">
        <is>
          <t>Office</t>
        </is>
      </c>
      <c r="E1848" s="58" t="inlineStr">
        <is>
          <t>Central</t>
        </is>
      </c>
      <c r="F1848" s="61" t="n">
        <v>2</v>
      </c>
      <c r="G1848" s="62" t="n">
        <v>144.72</v>
      </c>
      <c r="H1848" s="63" t="n">
        <v>0.08</v>
      </c>
      <c r="I1848" s="62" t="n">
        <v>126.58</v>
      </c>
      <c r="J1848" s="58" t="inlineStr">
        <is>
          <t>Online</t>
        </is>
      </c>
      <c r="K1848" s="62">
        <f>F1848*(G1848-H1848)</f>
        <v/>
      </c>
      <c r="L1848" s="62">
        <f>K1848-(F1848*I1848)</f>
        <v/>
      </c>
      <c r="M1848" s="64">
        <f>L1848/K1848</f>
        <v/>
      </c>
    </row>
    <row r="1849">
      <c r="A1849" s="58" t="inlineStr">
        <is>
          <t>RT20250217-01848</t>
        </is>
      </c>
      <c r="B1849" s="59" t="inlineStr">
        <is>
          <t>2025-02-17</t>
        </is>
      </c>
      <c r="C1849" s="60" t="inlineStr">
        <is>
          <t>Vertex Appliance Max-338</t>
        </is>
      </c>
      <c r="D1849" s="58" t="inlineStr">
        <is>
          <t>Home</t>
        </is>
      </c>
      <c r="E1849" s="58" t="inlineStr">
        <is>
          <t>West</t>
        </is>
      </c>
      <c r="F1849" s="61" t="n">
        <v>1</v>
      </c>
      <c r="G1849" s="62" t="n">
        <v>414.1</v>
      </c>
      <c r="H1849" s="63" t="n">
        <v>0.051</v>
      </c>
      <c r="I1849" s="62" t="n">
        <v>292.42</v>
      </c>
      <c r="J1849" s="58" t="inlineStr">
        <is>
          <t>Store</t>
        </is>
      </c>
      <c r="K1849" s="62">
        <f>F1849*(G1849-H1849)</f>
        <v/>
      </c>
      <c r="L1849" s="62">
        <f>K1849-(F1849*I1849)</f>
        <v/>
      </c>
      <c r="M1849" s="64">
        <f>L1849/K1849</f>
        <v/>
      </c>
    </row>
    <row r="1850">
      <c r="A1850" s="58" t="inlineStr">
        <is>
          <t>RT20250217-01849</t>
        </is>
      </c>
      <c r="B1850" s="59" t="inlineStr">
        <is>
          <t>2025-02-17</t>
        </is>
      </c>
      <c r="C1850" s="60" t="inlineStr">
        <is>
          <t>Aurora Appliance Max-316</t>
        </is>
      </c>
      <c r="D1850" s="58" t="inlineStr">
        <is>
          <t>Home</t>
        </is>
      </c>
      <c r="E1850" s="58" t="inlineStr">
        <is>
          <t>Central</t>
        </is>
      </c>
      <c r="F1850" s="61" t="n">
        <v>3</v>
      </c>
      <c r="G1850" s="62" t="n">
        <v>308.36</v>
      </c>
      <c r="H1850" s="63" t="n">
        <v>0.07199999999999999</v>
      </c>
      <c r="I1850" s="62" t="n">
        <v>220.22</v>
      </c>
      <c r="J1850" s="58" t="inlineStr">
        <is>
          <t>Online</t>
        </is>
      </c>
      <c r="K1850" s="62">
        <f>F1850*(G1850-H1850)</f>
        <v/>
      </c>
      <c r="L1850" s="62">
        <f>K1850-(F1850*I1850)</f>
        <v/>
      </c>
      <c r="M1850" s="64">
        <f>L1850/K1850</f>
        <v/>
      </c>
    </row>
    <row r="1851">
      <c r="A1851" s="58" t="inlineStr">
        <is>
          <t>RT20250217-01850</t>
        </is>
      </c>
      <c r="B1851" s="59" t="inlineStr">
        <is>
          <t>2025-02-17</t>
        </is>
      </c>
      <c r="C1851" s="60" t="inlineStr">
        <is>
          <t>Orion Men X-928</t>
        </is>
      </c>
      <c r="D1851" s="58" t="inlineStr">
        <is>
          <t>Apparel</t>
        </is>
      </c>
      <c r="E1851" s="58" t="inlineStr">
        <is>
          <t>South</t>
        </is>
      </c>
      <c r="F1851" s="61" t="n">
        <v>3</v>
      </c>
      <c r="G1851" s="62" t="n">
        <v>116.02</v>
      </c>
      <c r="H1851" s="63" t="n">
        <v>0.007</v>
      </c>
      <c r="I1851" s="62" t="n">
        <v>64.68000000000001</v>
      </c>
      <c r="J1851" s="58" t="inlineStr">
        <is>
          <t>Online</t>
        </is>
      </c>
      <c r="K1851" s="62">
        <f>F1851*(G1851-H1851)</f>
        <v/>
      </c>
      <c r="L1851" s="62">
        <f>K1851-(F1851*I1851)</f>
        <v/>
      </c>
      <c r="M1851" s="64">
        <f>L1851/K1851</f>
        <v/>
      </c>
    </row>
    <row r="1852">
      <c r="A1852" s="58" t="inlineStr">
        <is>
          <t>RT20250217-01851</t>
        </is>
      </c>
      <c r="B1852" s="59" t="inlineStr">
        <is>
          <t>2025-02-17</t>
        </is>
      </c>
      <c r="C1852" s="60" t="inlineStr">
        <is>
          <t>Aurora Printer Plus-991</t>
        </is>
      </c>
      <c r="D1852" s="58" t="inlineStr">
        <is>
          <t>Office</t>
        </is>
      </c>
      <c r="E1852" s="58" t="inlineStr">
        <is>
          <t>North</t>
        </is>
      </c>
      <c r="F1852" s="61" t="n">
        <v>1</v>
      </c>
      <c r="G1852" s="62" t="n">
        <v>497.71</v>
      </c>
      <c r="H1852" s="63" t="n">
        <v>0.031</v>
      </c>
      <c r="I1852" s="62" t="n">
        <v>382.67</v>
      </c>
      <c r="J1852" s="58" t="inlineStr">
        <is>
          <t>Online</t>
        </is>
      </c>
      <c r="K1852" s="62">
        <f>F1852*(G1852-H1852)</f>
        <v/>
      </c>
      <c r="L1852" s="62">
        <f>K1852-(F1852*I1852)</f>
        <v/>
      </c>
      <c r="M1852" s="64">
        <f>L1852/K1852</f>
        <v/>
      </c>
    </row>
    <row r="1853">
      <c r="A1853" s="58" t="inlineStr">
        <is>
          <t>RT20250217-01852</t>
        </is>
      </c>
      <c r="B1853" s="59" t="inlineStr">
        <is>
          <t>2025-02-17</t>
        </is>
      </c>
      <c r="C1853" s="60" t="inlineStr">
        <is>
          <t>Orion Haircare Plus-887</t>
        </is>
      </c>
      <c r="D1853" s="58" t="inlineStr">
        <is>
          <t>Beauty</t>
        </is>
      </c>
      <c r="E1853" s="58" t="inlineStr">
        <is>
          <t>North</t>
        </is>
      </c>
      <c r="F1853" s="61" t="n">
        <v>3</v>
      </c>
      <c r="G1853" s="62" t="n">
        <v>55.54</v>
      </c>
      <c r="H1853" s="63" t="n">
        <v>0.063</v>
      </c>
      <c r="I1853" s="62" t="n">
        <v>30.55</v>
      </c>
      <c r="J1853" s="58" t="inlineStr">
        <is>
          <t>Store</t>
        </is>
      </c>
      <c r="K1853" s="62">
        <f>F1853*(G1853-H1853)</f>
        <v/>
      </c>
      <c r="L1853" s="62">
        <f>K1853-(F1853*I1853)</f>
        <v/>
      </c>
      <c r="M1853" s="64">
        <f>L1853/K1853</f>
        <v/>
      </c>
    </row>
    <row r="1854">
      <c r="A1854" s="58" t="inlineStr">
        <is>
          <t>RT20250217-01853</t>
        </is>
      </c>
      <c r="B1854" s="59" t="inlineStr">
        <is>
          <t>2025-02-17</t>
        </is>
      </c>
      <c r="C1854" s="60" t="inlineStr">
        <is>
          <t>Vertex Accessorie Pro-881</t>
        </is>
      </c>
      <c r="D1854" s="58" t="inlineStr">
        <is>
          <t>Apparel</t>
        </is>
      </c>
      <c r="E1854" s="58" t="inlineStr">
        <is>
          <t>South</t>
        </is>
      </c>
      <c r="F1854" s="61" t="n">
        <v>1</v>
      </c>
      <c r="G1854" s="62" t="n">
        <v>112.67</v>
      </c>
      <c r="H1854" s="63" t="n">
        <v>0.026</v>
      </c>
      <c r="I1854" s="62" t="n">
        <v>64.20999999999999</v>
      </c>
      <c r="J1854" s="58" t="inlineStr">
        <is>
          <t>Store</t>
        </is>
      </c>
      <c r="K1854" s="62">
        <f>F1854*(G1854-H1854)</f>
        <v/>
      </c>
      <c r="L1854" s="62">
        <f>K1854-(F1854*I1854)</f>
        <v/>
      </c>
      <c r="M1854" s="64">
        <f>L1854/K1854</f>
        <v/>
      </c>
    </row>
    <row r="1855">
      <c r="A1855" s="58" t="inlineStr">
        <is>
          <t>RT20250217-01854</t>
        </is>
      </c>
      <c r="B1855" s="59" t="inlineStr">
        <is>
          <t>2025-02-17</t>
        </is>
      </c>
      <c r="C1855" s="60" t="inlineStr">
        <is>
          <t>Orion Storage Plus-961</t>
        </is>
      </c>
      <c r="D1855" s="58" t="inlineStr">
        <is>
          <t>Office</t>
        </is>
      </c>
      <c r="E1855" s="58" t="inlineStr">
        <is>
          <t>West</t>
        </is>
      </c>
      <c r="F1855" s="61" t="n">
        <v>2</v>
      </c>
      <c r="G1855" s="62" t="n">
        <v>493.74</v>
      </c>
      <c r="H1855" s="63" t="n">
        <v>0.067</v>
      </c>
      <c r="I1855" s="62" t="n">
        <v>354.43</v>
      </c>
      <c r="J1855" s="58" t="inlineStr">
        <is>
          <t>Online</t>
        </is>
      </c>
      <c r="K1855" s="62">
        <f>F1855*(G1855-H1855)</f>
        <v/>
      </c>
      <c r="L1855" s="62">
        <f>K1855-(F1855*I1855)</f>
        <v/>
      </c>
      <c r="M1855" s="64">
        <f>L1855/K1855</f>
        <v/>
      </c>
    </row>
    <row r="1856">
      <c r="A1856" s="58" t="inlineStr">
        <is>
          <t>RT20250217-01855</t>
        </is>
      </c>
      <c r="B1856" s="59" t="inlineStr">
        <is>
          <t>2025-02-17</t>
        </is>
      </c>
      <c r="C1856" s="60" t="inlineStr">
        <is>
          <t>Vertex Accessorie Pro-881</t>
        </is>
      </c>
      <c r="D1856" s="58" t="inlineStr">
        <is>
          <t>Apparel</t>
        </is>
      </c>
      <c r="E1856" s="58" t="inlineStr">
        <is>
          <t>North</t>
        </is>
      </c>
      <c r="F1856" s="61" t="n">
        <v>1</v>
      </c>
      <c r="G1856" s="62" t="n">
        <v>110.34</v>
      </c>
      <c r="H1856" s="63" t="n">
        <v>0.07000000000000001</v>
      </c>
      <c r="I1856" s="62" t="n">
        <v>61.22</v>
      </c>
      <c r="J1856" s="58" t="inlineStr">
        <is>
          <t>Store</t>
        </is>
      </c>
      <c r="K1856" s="62">
        <f>F1856*(G1856-H1856)</f>
        <v/>
      </c>
      <c r="L1856" s="62">
        <f>K1856-(F1856*I1856)</f>
        <v/>
      </c>
      <c r="M1856" s="64">
        <f>L1856/K1856</f>
        <v/>
      </c>
    </row>
    <row r="1857">
      <c r="A1857" s="58" t="inlineStr">
        <is>
          <t>RT20250217-01856</t>
        </is>
      </c>
      <c r="B1857" s="59" t="inlineStr">
        <is>
          <t>2025-02-17</t>
        </is>
      </c>
      <c r="C1857" s="60" t="inlineStr">
        <is>
          <t>Falcon Headphone Pro-713</t>
        </is>
      </c>
      <c r="D1857" s="58" t="inlineStr">
        <is>
          <t>Electronics</t>
        </is>
      </c>
      <c r="E1857" s="58" t="inlineStr">
        <is>
          <t>East</t>
        </is>
      </c>
      <c r="F1857" s="61" t="n">
        <v>1</v>
      </c>
      <c r="G1857" s="62" t="n">
        <v>1552.21</v>
      </c>
      <c r="H1857" s="63" t="n">
        <v>0.125</v>
      </c>
      <c r="I1857" s="62" t="n">
        <v>1170.9</v>
      </c>
      <c r="J1857" s="58" t="inlineStr">
        <is>
          <t>Store</t>
        </is>
      </c>
      <c r="K1857" s="62">
        <f>F1857*(G1857-H1857)</f>
        <v/>
      </c>
      <c r="L1857" s="62">
        <f>K1857-(F1857*I1857)</f>
        <v/>
      </c>
      <c r="M1857" s="64">
        <f>L1857/K1857</f>
        <v/>
      </c>
    </row>
    <row r="1858">
      <c r="A1858" s="58" t="inlineStr">
        <is>
          <t>RT20250217-01857</t>
        </is>
      </c>
      <c r="B1858" s="59" t="inlineStr">
        <is>
          <t>2025-02-17</t>
        </is>
      </c>
      <c r="C1858" s="60" t="inlineStr">
        <is>
          <t>Falcon Headphone Plus-789</t>
        </is>
      </c>
      <c r="D1858" s="58" t="inlineStr">
        <is>
          <t>Electronics</t>
        </is>
      </c>
      <c r="E1858" s="58" t="inlineStr">
        <is>
          <t>Central</t>
        </is>
      </c>
      <c r="F1858" s="61" t="n">
        <v>2</v>
      </c>
      <c r="G1858" s="62" t="n">
        <v>1646.29</v>
      </c>
      <c r="H1858" s="63" t="n">
        <v>0.068</v>
      </c>
      <c r="I1858" s="62" t="n">
        <v>1333.97</v>
      </c>
      <c r="J1858" s="58" t="inlineStr">
        <is>
          <t>Online</t>
        </is>
      </c>
      <c r="K1858" s="62">
        <f>F1858*(G1858-H1858)</f>
        <v/>
      </c>
      <c r="L1858" s="62">
        <f>K1858-(F1858*I1858)</f>
        <v/>
      </c>
      <c r="M1858" s="64">
        <f>L1858/K1858</f>
        <v/>
      </c>
    </row>
    <row r="1859">
      <c r="A1859" s="58" t="inlineStr">
        <is>
          <t>RT20250217-01858</t>
        </is>
      </c>
      <c r="B1859" s="59" t="inlineStr">
        <is>
          <t>2025-02-17</t>
        </is>
      </c>
      <c r="C1859" s="60" t="inlineStr">
        <is>
          <t>Polar Outdoor Lite-318</t>
        </is>
      </c>
      <c r="D1859" s="58" t="inlineStr">
        <is>
          <t>Sports</t>
        </is>
      </c>
      <c r="E1859" s="58" t="inlineStr">
        <is>
          <t>East</t>
        </is>
      </c>
      <c r="F1859" s="61" t="n">
        <v>2</v>
      </c>
      <c r="G1859" s="62" t="n">
        <v>773.23</v>
      </c>
      <c r="H1859" s="63" t="n">
        <v>0.108</v>
      </c>
      <c r="I1859" s="62" t="n">
        <v>462.74</v>
      </c>
      <c r="J1859" s="58" t="inlineStr">
        <is>
          <t>Store</t>
        </is>
      </c>
      <c r="K1859" s="62">
        <f>F1859*(G1859-H1859)</f>
        <v/>
      </c>
      <c r="L1859" s="62">
        <f>K1859-(F1859*I1859)</f>
        <v/>
      </c>
      <c r="M1859" s="64">
        <f>L1859/K1859</f>
        <v/>
      </c>
    </row>
    <row r="1860">
      <c r="A1860" s="58" t="inlineStr">
        <is>
          <t>RT20250217-01859</t>
        </is>
      </c>
      <c r="B1860" s="59" t="inlineStr">
        <is>
          <t>2025-02-17</t>
        </is>
      </c>
      <c r="C1860" s="60" t="inlineStr">
        <is>
          <t>Metro Accessorie Lite-697</t>
        </is>
      </c>
      <c r="D1860" s="58" t="inlineStr">
        <is>
          <t>Apparel</t>
        </is>
      </c>
      <c r="E1860" s="58" t="inlineStr">
        <is>
          <t>East</t>
        </is>
      </c>
      <c r="F1860" s="61" t="n">
        <v>4</v>
      </c>
      <c r="G1860" s="62" t="n">
        <v>131.05</v>
      </c>
      <c r="H1860" s="63" t="n">
        <v>0.08599999999999999</v>
      </c>
      <c r="I1860" s="62" t="n">
        <v>77.23</v>
      </c>
      <c r="J1860" s="58" t="inlineStr">
        <is>
          <t>Online</t>
        </is>
      </c>
      <c r="K1860" s="62">
        <f>F1860*(G1860-H1860)</f>
        <v/>
      </c>
      <c r="L1860" s="62">
        <f>K1860-(F1860*I1860)</f>
        <v/>
      </c>
      <c r="M1860" s="64">
        <f>L1860/K1860</f>
        <v/>
      </c>
    </row>
    <row r="1861">
      <c r="A1861" s="58" t="inlineStr">
        <is>
          <t>RT20250217-01860</t>
        </is>
      </c>
      <c r="B1861" s="59" t="inlineStr">
        <is>
          <t>2025-02-17</t>
        </is>
      </c>
      <c r="C1861" s="60" t="inlineStr">
        <is>
          <t>Aurora Makeup S-626</t>
        </is>
      </c>
      <c r="D1861" s="58" t="inlineStr">
        <is>
          <t>Beauty</t>
        </is>
      </c>
      <c r="E1861" s="58" t="inlineStr">
        <is>
          <t>Central</t>
        </is>
      </c>
      <c r="F1861" s="61" t="n">
        <v>4</v>
      </c>
      <c r="G1861" s="62" t="n">
        <v>109.93</v>
      </c>
      <c r="H1861" s="63" t="n">
        <v>0.051</v>
      </c>
      <c r="I1861" s="62" t="n">
        <v>62.05</v>
      </c>
      <c r="J1861" s="58" t="inlineStr">
        <is>
          <t>Online</t>
        </is>
      </c>
      <c r="K1861" s="62">
        <f>F1861*(G1861-H1861)</f>
        <v/>
      </c>
      <c r="L1861" s="62">
        <f>K1861-(F1861*I1861)</f>
        <v/>
      </c>
      <c r="M1861" s="64">
        <f>L1861/K1861</f>
        <v/>
      </c>
    </row>
    <row r="1862">
      <c r="A1862" s="58" t="inlineStr">
        <is>
          <t>RT20250217-01861</t>
        </is>
      </c>
      <c r="B1862" s="59" t="inlineStr">
        <is>
          <t>2025-02-17</t>
        </is>
      </c>
      <c r="C1862" s="60" t="inlineStr">
        <is>
          <t>Metro Accessorie Lite-697</t>
        </is>
      </c>
      <c r="D1862" s="58" t="inlineStr">
        <is>
          <t>Apparel</t>
        </is>
      </c>
      <c r="E1862" s="58" t="inlineStr">
        <is>
          <t>East</t>
        </is>
      </c>
      <c r="F1862" s="61" t="n">
        <v>1</v>
      </c>
      <c r="G1862" s="62" t="n">
        <v>142.17</v>
      </c>
      <c r="H1862" s="63" t="n">
        <v>0.074</v>
      </c>
      <c r="I1862" s="62" t="n">
        <v>73.87</v>
      </c>
      <c r="J1862" s="58" t="inlineStr">
        <is>
          <t>Store</t>
        </is>
      </c>
      <c r="K1862" s="62">
        <f>F1862*(G1862-H1862)</f>
        <v/>
      </c>
      <c r="L1862" s="62">
        <f>K1862-(F1862*I1862)</f>
        <v/>
      </c>
      <c r="M1862" s="64">
        <f>L1862/K1862</f>
        <v/>
      </c>
    </row>
    <row r="1863">
      <c r="A1863" s="58" t="inlineStr">
        <is>
          <t>RT20250217-01862</t>
        </is>
      </c>
      <c r="B1863" s="59" t="inlineStr">
        <is>
          <t>2025-02-17</t>
        </is>
      </c>
      <c r="C1863" s="60" t="inlineStr">
        <is>
          <t>Nimbus Storage Plus-646</t>
        </is>
      </c>
      <c r="D1863" s="58" t="inlineStr">
        <is>
          <t>Office</t>
        </is>
      </c>
      <c r="E1863" s="58" t="inlineStr">
        <is>
          <t>West</t>
        </is>
      </c>
      <c r="F1863" s="61" t="n">
        <v>2</v>
      </c>
      <c r="G1863" s="62" t="n">
        <v>386.85</v>
      </c>
      <c r="H1863" s="63" t="n">
        <v>0.077</v>
      </c>
      <c r="I1863" s="62" t="n">
        <v>311.4</v>
      </c>
      <c r="J1863" s="58" t="inlineStr">
        <is>
          <t>Online</t>
        </is>
      </c>
      <c r="K1863" s="62">
        <f>F1863*(G1863-H1863)</f>
        <v/>
      </c>
      <c r="L1863" s="62">
        <f>K1863-(F1863*I1863)</f>
        <v/>
      </c>
      <c r="M1863" s="64">
        <f>L1863/K1863</f>
        <v/>
      </c>
    </row>
    <row r="1864">
      <c r="A1864" s="58" t="inlineStr">
        <is>
          <t>RT20250217-01863</t>
        </is>
      </c>
      <c r="B1864" s="59" t="inlineStr">
        <is>
          <t>2025-02-17</t>
        </is>
      </c>
      <c r="C1864" s="60" t="inlineStr">
        <is>
          <t>Polar Fragrance Pro-750</t>
        </is>
      </c>
      <c r="D1864" s="58" t="inlineStr">
        <is>
          <t>Beauty</t>
        </is>
      </c>
      <c r="E1864" s="58" t="inlineStr">
        <is>
          <t>West</t>
        </is>
      </c>
      <c r="F1864" s="61" t="n">
        <v>2</v>
      </c>
      <c r="G1864" s="62" t="n">
        <v>53.66</v>
      </c>
      <c r="H1864" s="63" t="n">
        <v>0.083</v>
      </c>
      <c r="I1864" s="62" t="n">
        <v>37.36</v>
      </c>
      <c r="J1864" s="58" t="inlineStr">
        <is>
          <t>Store</t>
        </is>
      </c>
      <c r="K1864" s="62">
        <f>F1864*(G1864-H1864)</f>
        <v/>
      </c>
      <c r="L1864" s="62">
        <f>K1864-(F1864*I1864)</f>
        <v/>
      </c>
      <c r="M1864" s="64">
        <f>L1864/K1864</f>
        <v/>
      </c>
    </row>
    <row r="1865">
      <c r="A1865" s="58" t="inlineStr">
        <is>
          <t>RT20250217-01864</t>
        </is>
      </c>
      <c r="B1865" s="59" t="inlineStr">
        <is>
          <t>2025-02-17</t>
        </is>
      </c>
      <c r="C1865" s="60" t="inlineStr">
        <is>
          <t>Polar Outdoor X-193</t>
        </is>
      </c>
      <c r="D1865" s="58" t="inlineStr">
        <is>
          <t>Sports</t>
        </is>
      </c>
      <c r="E1865" s="58" t="inlineStr">
        <is>
          <t>East</t>
        </is>
      </c>
      <c r="F1865" s="61" t="n">
        <v>2</v>
      </c>
      <c r="G1865" s="62" t="n">
        <v>692.0700000000001</v>
      </c>
      <c r="H1865" s="63" t="n">
        <v>0.092</v>
      </c>
      <c r="I1865" s="62" t="n">
        <v>445.66</v>
      </c>
      <c r="J1865" s="58" t="inlineStr">
        <is>
          <t>Online</t>
        </is>
      </c>
      <c r="K1865" s="62">
        <f>F1865*(G1865-H1865)</f>
        <v/>
      </c>
      <c r="L1865" s="62">
        <f>K1865-(F1865*I1865)</f>
        <v/>
      </c>
      <c r="M1865" s="64">
        <f>L1865/K1865</f>
        <v/>
      </c>
    </row>
    <row r="1866">
      <c r="A1866" s="58" t="inlineStr">
        <is>
          <t>RT20250217-01865</t>
        </is>
      </c>
      <c r="B1866" s="59" t="inlineStr">
        <is>
          <t>2025-02-17</t>
        </is>
      </c>
      <c r="C1866" s="60" t="inlineStr">
        <is>
          <t>Orion Team Sport X-926</t>
        </is>
      </c>
      <c r="D1866" s="58" t="inlineStr">
        <is>
          <t>Sports</t>
        </is>
      </c>
      <c r="E1866" s="58" t="inlineStr">
        <is>
          <t>Central</t>
        </is>
      </c>
      <c r="F1866" s="61" t="n">
        <v>3</v>
      </c>
      <c r="G1866" s="62" t="n">
        <v>363.05</v>
      </c>
      <c r="H1866" s="63" t="n">
        <v>0.098</v>
      </c>
      <c r="I1866" s="62" t="n">
        <v>208.46</v>
      </c>
      <c r="J1866" s="58" t="inlineStr">
        <is>
          <t>Store</t>
        </is>
      </c>
      <c r="K1866" s="62">
        <f>F1866*(G1866-H1866)</f>
        <v/>
      </c>
      <c r="L1866" s="62">
        <f>K1866-(F1866*I1866)</f>
        <v/>
      </c>
      <c r="M1866" s="64">
        <f>L1866/K1866</f>
        <v/>
      </c>
    </row>
    <row r="1867">
      <c r="A1867" s="58" t="inlineStr">
        <is>
          <t>RT20250217-01866</t>
        </is>
      </c>
      <c r="B1867" s="59" t="inlineStr">
        <is>
          <t>2025-02-17</t>
        </is>
      </c>
      <c r="C1867" s="60" t="inlineStr">
        <is>
          <t>Solace Kitchen X-919</t>
        </is>
      </c>
      <c r="D1867" s="58" t="inlineStr">
        <is>
          <t>Home</t>
        </is>
      </c>
      <c r="E1867" s="58" t="inlineStr">
        <is>
          <t>South</t>
        </is>
      </c>
      <c r="F1867" s="61" t="n">
        <v>1</v>
      </c>
      <c r="G1867" s="62" t="n">
        <v>381.24</v>
      </c>
      <c r="H1867" s="63" t="n">
        <v>0.102</v>
      </c>
      <c r="I1867" s="62" t="n">
        <v>266.64</v>
      </c>
      <c r="J1867" s="58" t="inlineStr">
        <is>
          <t>Online</t>
        </is>
      </c>
      <c r="K1867" s="62">
        <f>F1867*(G1867-H1867)</f>
        <v/>
      </c>
      <c r="L1867" s="62">
        <f>K1867-(F1867*I1867)</f>
        <v/>
      </c>
      <c r="M1867" s="64">
        <f>L1867/K1867</f>
        <v/>
      </c>
    </row>
    <row r="1868">
      <c r="A1868" s="58" t="inlineStr">
        <is>
          <t>RT20250217-01867</t>
        </is>
      </c>
      <c r="B1868" s="59" t="inlineStr">
        <is>
          <t>2025-02-17</t>
        </is>
      </c>
      <c r="C1868" s="60" t="inlineStr">
        <is>
          <t>Aurora Haircare S-975</t>
        </is>
      </c>
      <c r="D1868" s="58" t="inlineStr">
        <is>
          <t>Beauty</t>
        </is>
      </c>
      <c r="E1868" s="58" t="inlineStr">
        <is>
          <t>East</t>
        </is>
      </c>
      <c r="F1868" s="61" t="n">
        <v>3</v>
      </c>
      <c r="G1868" s="62" t="n">
        <v>106.35</v>
      </c>
      <c r="H1868" s="63" t="n">
        <v>0.076</v>
      </c>
      <c r="I1868" s="62" t="n">
        <v>57.8</v>
      </c>
      <c r="J1868" s="58" t="inlineStr">
        <is>
          <t>Online</t>
        </is>
      </c>
      <c r="K1868" s="62">
        <f>F1868*(G1868-H1868)</f>
        <v/>
      </c>
      <c r="L1868" s="62">
        <f>K1868-(F1868*I1868)</f>
        <v/>
      </c>
      <c r="M1868" s="64">
        <f>L1868/K1868</f>
        <v/>
      </c>
    </row>
    <row r="1869">
      <c r="A1869" s="58" t="inlineStr">
        <is>
          <t>RT20250217-01868</t>
        </is>
      </c>
      <c r="B1869" s="59" t="inlineStr">
        <is>
          <t>2025-02-17</t>
        </is>
      </c>
      <c r="C1869" s="60" t="inlineStr">
        <is>
          <t>Orion Supplie S-612</t>
        </is>
      </c>
      <c r="D1869" s="58" t="inlineStr">
        <is>
          <t>Office</t>
        </is>
      </c>
      <c r="E1869" s="58" t="inlineStr">
        <is>
          <t>Central</t>
        </is>
      </c>
      <c r="F1869" s="61" t="n">
        <v>2</v>
      </c>
      <c r="G1869" s="62" t="n">
        <v>440.64</v>
      </c>
      <c r="H1869" s="63" t="n">
        <v>0.044</v>
      </c>
      <c r="I1869" s="62" t="n">
        <v>333.46</v>
      </c>
      <c r="J1869" s="58" t="inlineStr">
        <is>
          <t>Online</t>
        </is>
      </c>
      <c r="K1869" s="62">
        <f>F1869*(G1869-H1869)</f>
        <v/>
      </c>
      <c r="L1869" s="62">
        <f>K1869-(F1869*I1869)</f>
        <v/>
      </c>
      <c r="M1869" s="64">
        <f>L1869/K1869</f>
        <v/>
      </c>
    </row>
    <row r="1870">
      <c r="A1870" s="58" t="inlineStr">
        <is>
          <t>RT20250217-01869</t>
        </is>
      </c>
      <c r="B1870" s="59" t="inlineStr">
        <is>
          <t>2025-02-17</t>
        </is>
      </c>
      <c r="C1870" s="60" t="inlineStr">
        <is>
          <t>Polar Laptop Plus-984</t>
        </is>
      </c>
      <c r="D1870" s="58" t="inlineStr">
        <is>
          <t>Electronics</t>
        </is>
      </c>
      <c r="E1870" s="58" t="inlineStr">
        <is>
          <t>Central</t>
        </is>
      </c>
      <c r="F1870" s="61" t="n">
        <v>1</v>
      </c>
      <c r="G1870" s="62" t="n">
        <v>1130.13</v>
      </c>
      <c r="H1870" s="63" t="n">
        <v>0.095</v>
      </c>
      <c r="I1870" s="62" t="n">
        <v>984.1900000000001</v>
      </c>
      <c r="J1870" s="58" t="inlineStr">
        <is>
          <t>Online</t>
        </is>
      </c>
      <c r="K1870" s="62">
        <f>F1870*(G1870-H1870)</f>
        <v/>
      </c>
      <c r="L1870" s="62">
        <f>K1870-(F1870*I1870)</f>
        <v/>
      </c>
      <c r="M1870" s="64">
        <f>L1870/K1870</f>
        <v/>
      </c>
    </row>
    <row r="1871">
      <c r="A1871" s="58" t="inlineStr">
        <is>
          <t>RT20250217-01870</t>
        </is>
      </c>
      <c r="B1871" s="59" t="inlineStr">
        <is>
          <t>2025-02-17</t>
        </is>
      </c>
      <c r="C1871" s="60" t="inlineStr">
        <is>
          <t>Solace Kitchen X-919</t>
        </is>
      </c>
      <c r="D1871" s="58" t="inlineStr">
        <is>
          <t>Home</t>
        </is>
      </c>
      <c r="E1871" s="58" t="inlineStr">
        <is>
          <t>South</t>
        </is>
      </c>
      <c r="F1871" s="61" t="n">
        <v>2</v>
      </c>
      <c r="G1871" s="62" t="n">
        <v>385.71</v>
      </c>
      <c r="H1871" s="63" t="n">
        <v>0.061</v>
      </c>
      <c r="I1871" s="62" t="n">
        <v>258.79</v>
      </c>
      <c r="J1871" s="58" t="inlineStr">
        <is>
          <t>Store</t>
        </is>
      </c>
      <c r="K1871" s="62">
        <f>F1871*(G1871-H1871)</f>
        <v/>
      </c>
      <c r="L1871" s="62">
        <f>K1871-(F1871*I1871)</f>
        <v/>
      </c>
      <c r="M1871" s="64">
        <f>L1871/K1871</f>
        <v/>
      </c>
    </row>
    <row r="1872">
      <c r="A1872" s="58" t="inlineStr">
        <is>
          <t>RT20250217-01871</t>
        </is>
      </c>
      <c r="B1872" s="59" t="inlineStr">
        <is>
          <t>2025-02-17</t>
        </is>
      </c>
      <c r="C1872" s="60" t="inlineStr">
        <is>
          <t>Falcon Haircare Pro-980</t>
        </is>
      </c>
      <c r="D1872" s="58" t="inlineStr">
        <is>
          <t>Beauty</t>
        </is>
      </c>
      <c r="E1872" s="58" t="inlineStr">
        <is>
          <t>North</t>
        </is>
      </c>
      <c r="F1872" s="61" t="n">
        <v>3</v>
      </c>
      <c r="G1872" s="62" t="n">
        <v>81.56</v>
      </c>
      <c r="H1872" s="63" t="n">
        <v>0.076</v>
      </c>
      <c r="I1872" s="62" t="n">
        <v>58.02</v>
      </c>
      <c r="J1872" s="58" t="inlineStr">
        <is>
          <t>Online</t>
        </is>
      </c>
      <c r="K1872" s="62">
        <f>F1872*(G1872-H1872)</f>
        <v/>
      </c>
      <c r="L1872" s="62">
        <f>K1872-(F1872*I1872)</f>
        <v/>
      </c>
      <c r="M1872" s="64">
        <f>L1872/K1872</f>
        <v/>
      </c>
    </row>
    <row r="1873">
      <c r="A1873" s="58" t="inlineStr">
        <is>
          <t>RT20250218-01872</t>
        </is>
      </c>
      <c r="B1873" s="59" t="inlineStr">
        <is>
          <t>2025-02-18</t>
        </is>
      </c>
      <c r="C1873" s="60" t="inlineStr">
        <is>
          <t>Polar Cycling X-649</t>
        </is>
      </c>
      <c r="D1873" s="58" t="inlineStr">
        <is>
          <t>Sports</t>
        </is>
      </c>
      <c r="E1873" s="58" t="inlineStr">
        <is>
          <t>East</t>
        </is>
      </c>
      <c r="F1873" s="61" t="n">
        <v>3</v>
      </c>
      <c r="G1873" s="62" t="n">
        <v>456.89</v>
      </c>
      <c r="H1873" s="63" t="n">
        <v>0.022</v>
      </c>
      <c r="I1873" s="62" t="n">
        <v>351.66</v>
      </c>
      <c r="J1873" s="58" t="inlineStr">
        <is>
          <t>Online</t>
        </is>
      </c>
      <c r="K1873" s="62">
        <f>F1873*(G1873-H1873)</f>
        <v/>
      </c>
      <c r="L1873" s="62">
        <f>K1873-(F1873*I1873)</f>
        <v/>
      </c>
      <c r="M1873" s="64">
        <f>L1873/K1873</f>
        <v/>
      </c>
    </row>
    <row r="1874">
      <c r="A1874" s="58" t="inlineStr">
        <is>
          <t>RT20250218-01873</t>
        </is>
      </c>
      <c r="B1874" s="59" t="inlineStr">
        <is>
          <t>2025-02-18</t>
        </is>
      </c>
      <c r="C1874" s="60" t="inlineStr">
        <is>
          <t>Aurora Fitnes Lite-194</t>
        </is>
      </c>
      <c r="D1874" s="58" t="inlineStr">
        <is>
          <t>Sports</t>
        </is>
      </c>
      <c r="E1874" s="58" t="inlineStr">
        <is>
          <t>North</t>
        </is>
      </c>
      <c r="F1874" s="61" t="n">
        <v>2</v>
      </c>
      <c r="G1874" s="62" t="n">
        <v>713.41</v>
      </c>
      <c r="H1874" s="63" t="n">
        <v>0.08500000000000001</v>
      </c>
      <c r="I1874" s="62" t="n">
        <v>454.47</v>
      </c>
      <c r="J1874" s="58" t="inlineStr">
        <is>
          <t>Phone</t>
        </is>
      </c>
      <c r="K1874" s="62">
        <f>F1874*(G1874-H1874)</f>
        <v/>
      </c>
      <c r="L1874" s="62">
        <f>K1874-(F1874*I1874)</f>
        <v/>
      </c>
      <c r="M1874" s="64">
        <f>L1874/K1874</f>
        <v/>
      </c>
    </row>
    <row r="1875">
      <c r="A1875" s="58" t="inlineStr">
        <is>
          <t>RT20250218-01874</t>
        </is>
      </c>
      <c r="B1875" s="59" t="inlineStr">
        <is>
          <t>2025-02-18</t>
        </is>
      </c>
      <c r="C1875" s="60" t="inlineStr">
        <is>
          <t>Metro Outdoor Plus-787</t>
        </is>
      </c>
      <c r="D1875" s="58" t="inlineStr">
        <is>
          <t>Sports</t>
        </is>
      </c>
      <c r="E1875" s="58" t="inlineStr">
        <is>
          <t>East</t>
        </is>
      </c>
      <c r="F1875" s="61" t="n">
        <v>1</v>
      </c>
      <c r="G1875" s="62" t="n">
        <v>481.5</v>
      </c>
      <c r="H1875" s="63" t="n">
        <v>0</v>
      </c>
      <c r="I1875" s="62" t="n">
        <v>358.83</v>
      </c>
      <c r="J1875" s="58" t="inlineStr">
        <is>
          <t>Online</t>
        </is>
      </c>
      <c r="K1875" s="62">
        <f>F1875*(G1875-H1875)</f>
        <v/>
      </c>
      <c r="L1875" s="62">
        <f>K1875-(F1875*I1875)</f>
        <v/>
      </c>
      <c r="M1875" s="64">
        <f>L1875/K1875</f>
        <v/>
      </c>
    </row>
    <row r="1876">
      <c r="A1876" s="58" t="inlineStr">
        <is>
          <t>RT20250218-01875</t>
        </is>
      </c>
      <c r="B1876" s="59" t="inlineStr">
        <is>
          <t>2025-02-18</t>
        </is>
      </c>
      <c r="C1876" s="60" t="inlineStr">
        <is>
          <t>Vertex Fitnes Pro-830</t>
        </is>
      </c>
      <c r="D1876" s="58" t="inlineStr">
        <is>
          <t>Sports</t>
        </is>
      </c>
      <c r="E1876" s="58" t="inlineStr">
        <is>
          <t>North</t>
        </is>
      </c>
      <c r="F1876" s="61" t="n">
        <v>3</v>
      </c>
      <c r="G1876" s="62" t="n">
        <v>781.16</v>
      </c>
      <c r="H1876" s="63" t="n">
        <v>0.121</v>
      </c>
      <c r="I1876" s="62" t="n">
        <v>467.54</v>
      </c>
      <c r="J1876" s="58" t="inlineStr">
        <is>
          <t>Store</t>
        </is>
      </c>
      <c r="K1876" s="62">
        <f>F1876*(G1876-H1876)</f>
        <v/>
      </c>
      <c r="L1876" s="62">
        <f>K1876-(F1876*I1876)</f>
        <v/>
      </c>
      <c r="M1876" s="64">
        <f>L1876/K1876</f>
        <v/>
      </c>
    </row>
    <row r="1877">
      <c r="A1877" s="58" t="inlineStr">
        <is>
          <t>RT20250218-01876</t>
        </is>
      </c>
      <c r="B1877" s="59" t="inlineStr">
        <is>
          <t>2025-02-18</t>
        </is>
      </c>
      <c r="C1877" s="60" t="inlineStr">
        <is>
          <t>Vertex Supplie X-513</t>
        </is>
      </c>
      <c r="D1877" s="58" t="inlineStr">
        <is>
          <t>Office</t>
        </is>
      </c>
      <c r="E1877" s="58" t="inlineStr">
        <is>
          <t>Central</t>
        </is>
      </c>
      <c r="F1877" s="61" t="n">
        <v>3</v>
      </c>
      <c r="G1877" s="62" t="n">
        <v>386.32</v>
      </c>
      <c r="H1877" s="63" t="n">
        <v>0.077</v>
      </c>
      <c r="I1877" s="62" t="n">
        <v>277.57</v>
      </c>
      <c r="J1877" s="58" t="inlineStr">
        <is>
          <t>Store</t>
        </is>
      </c>
      <c r="K1877" s="62">
        <f>F1877*(G1877-H1877)</f>
        <v/>
      </c>
      <c r="L1877" s="62">
        <f>K1877-(F1877*I1877)</f>
        <v/>
      </c>
      <c r="M1877" s="64">
        <f>L1877/K1877</f>
        <v/>
      </c>
    </row>
    <row r="1878">
      <c r="A1878" s="58" t="inlineStr">
        <is>
          <t>RT20250218-01877</t>
        </is>
      </c>
      <c r="B1878" s="59" t="inlineStr">
        <is>
          <t>2025-02-18</t>
        </is>
      </c>
      <c r="C1878" s="60" t="inlineStr">
        <is>
          <t>Falcon Team Sport Lite-268</t>
        </is>
      </c>
      <c r="D1878" s="58" t="inlineStr">
        <is>
          <t>Sports</t>
        </is>
      </c>
      <c r="E1878" s="58" t="inlineStr">
        <is>
          <t>East</t>
        </is>
      </c>
      <c r="F1878" s="61" t="n">
        <v>3</v>
      </c>
      <c r="G1878" s="62" t="n">
        <v>706.3200000000001</v>
      </c>
      <c r="H1878" s="63" t="n">
        <v>0.091</v>
      </c>
      <c r="I1878" s="62" t="n">
        <v>444.46</v>
      </c>
      <c r="J1878" s="58" t="inlineStr">
        <is>
          <t>Online</t>
        </is>
      </c>
      <c r="K1878" s="62">
        <f>F1878*(G1878-H1878)</f>
        <v/>
      </c>
      <c r="L1878" s="62">
        <f>K1878-(F1878*I1878)</f>
        <v/>
      </c>
      <c r="M1878" s="64">
        <f>L1878/K1878</f>
        <v/>
      </c>
    </row>
    <row r="1879">
      <c r="A1879" s="58" t="inlineStr">
        <is>
          <t>RT20250218-01878</t>
        </is>
      </c>
      <c r="B1879" s="59" t="inlineStr">
        <is>
          <t>2025-02-18</t>
        </is>
      </c>
      <c r="C1879" s="60" t="inlineStr">
        <is>
          <t>Metro Accessorie Max-316</t>
        </is>
      </c>
      <c r="D1879" s="58" t="inlineStr">
        <is>
          <t>Apparel</t>
        </is>
      </c>
      <c r="E1879" s="58" t="inlineStr">
        <is>
          <t>Central</t>
        </is>
      </c>
      <c r="F1879" s="61" t="n">
        <v>4</v>
      </c>
      <c r="G1879" s="62" t="n">
        <v>175.81</v>
      </c>
      <c r="H1879" s="63" t="n">
        <v>0.102</v>
      </c>
      <c r="I1879" s="62" t="n">
        <v>93.34</v>
      </c>
      <c r="J1879" s="58" t="inlineStr">
        <is>
          <t>Store</t>
        </is>
      </c>
      <c r="K1879" s="62">
        <f>F1879*(G1879-H1879)</f>
        <v/>
      </c>
      <c r="L1879" s="62">
        <f>K1879-(F1879*I1879)</f>
        <v/>
      </c>
      <c r="M1879" s="64">
        <f>L1879/K1879</f>
        <v/>
      </c>
    </row>
    <row r="1880">
      <c r="A1880" s="58" t="inlineStr">
        <is>
          <t>RT20250218-01879</t>
        </is>
      </c>
      <c r="B1880" s="59" t="inlineStr">
        <is>
          <t>2025-02-18</t>
        </is>
      </c>
      <c r="C1880" s="60" t="inlineStr">
        <is>
          <t>Falcon Storage X-734</t>
        </is>
      </c>
      <c r="D1880" s="58" t="inlineStr">
        <is>
          <t>Office</t>
        </is>
      </c>
      <c r="E1880" s="58" t="inlineStr">
        <is>
          <t>South</t>
        </is>
      </c>
      <c r="F1880" s="61" t="n">
        <v>1</v>
      </c>
      <c r="G1880" s="62" t="n">
        <v>391.83</v>
      </c>
      <c r="H1880" s="63" t="n">
        <v>0.07099999999999999</v>
      </c>
      <c r="I1880" s="62" t="n">
        <v>290.81</v>
      </c>
      <c r="J1880" s="58" t="inlineStr">
        <is>
          <t>Online</t>
        </is>
      </c>
      <c r="K1880" s="62">
        <f>F1880*(G1880-H1880)</f>
        <v/>
      </c>
      <c r="L1880" s="62">
        <f>K1880-(F1880*I1880)</f>
        <v/>
      </c>
      <c r="M1880" s="64">
        <f>L1880/K1880</f>
        <v/>
      </c>
    </row>
    <row r="1881">
      <c r="A1881" s="58" t="inlineStr">
        <is>
          <t>RT20250218-01880</t>
        </is>
      </c>
      <c r="B1881" s="59" t="inlineStr">
        <is>
          <t>2025-02-18</t>
        </is>
      </c>
      <c r="C1881" s="60" t="inlineStr">
        <is>
          <t>Polar Haircare Max-614</t>
        </is>
      </c>
      <c r="D1881" s="58" t="inlineStr">
        <is>
          <t>Beauty</t>
        </is>
      </c>
      <c r="E1881" s="58" t="inlineStr">
        <is>
          <t>Central</t>
        </is>
      </c>
      <c r="F1881" s="61" t="n">
        <v>5</v>
      </c>
      <c r="G1881" s="62" t="n">
        <v>99.05</v>
      </c>
      <c r="H1881" s="63" t="n">
        <v>0.1</v>
      </c>
      <c r="I1881" s="62" t="n">
        <v>68.47</v>
      </c>
      <c r="J1881" s="58" t="inlineStr">
        <is>
          <t>Online</t>
        </is>
      </c>
      <c r="K1881" s="62">
        <f>F1881*(G1881-H1881)</f>
        <v/>
      </c>
      <c r="L1881" s="62">
        <f>K1881-(F1881*I1881)</f>
        <v/>
      </c>
      <c r="M1881" s="64">
        <f>L1881/K1881</f>
        <v/>
      </c>
    </row>
    <row r="1882">
      <c r="A1882" s="58" t="inlineStr">
        <is>
          <t>RT20250218-01881</t>
        </is>
      </c>
      <c r="B1882" s="59" t="inlineStr">
        <is>
          <t>2025-02-18</t>
        </is>
      </c>
      <c r="C1882" s="60" t="inlineStr">
        <is>
          <t>Vertex Accessorie Pro-881</t>
        </is>
      </c>
      <c r="D1882" s="58" t="inlineStr">
        <is>
          <t>Apparel</t>
        </is>
      </c>
      <c r="E1882" s="58" t="inlineStr">
        <is>
          <t>East</t>
        </is>
      </c>
      <c r="F1882" s="61" t="n">
        <v>2</v>
      </c>
      <c r="G1882" s="62" t="n">
        <v>95.26000000000001</v>
      </c>
      <c r="H1882" s="63" t="n">
        <v>0.005</v>
      </c>
      <c r="I1882" s="62" t="n">
        <v>63.22</v>
      </c>
      <c r="J1882" s="58" t="inlineStr">
        <is>
          <t>Online</t>
        </is>
      </c>
      <c r="K1882" s="62">
        <f>F1882*(G1882-H1882)</f>
        <v/>
      </c>
      <c r="L1882" s="62">
        <f>K1882-(F1882*I1882)</f>
        <v/>
      </c>
      <c r="M1882" s="64">
        <f>L1882/K1882</f>
        <v/>
      </c>
    </row>
    <row r="1883">
      <c r="A1883" s="58" t="inlineStr">
        <is>
          <t>RT20250218-01882</t>
        </is>
      </c>
      <c r="B1883" s="59" t="inlineStr">
        <is>
          <t>2025-02-18</t>
        </is>
      </c>
      <c r="C1883" s="60" t="inlineStr">
        <is>
          <t>Orion Men X-928</t>
        </is>
      </c>
      <c r="D1883" s="58" t="inlineStr">
        <is>
          <t>Apparel</t>
        </is>
      </c>
      <c r="E1883" s="58" t="inlineStr">
        <is>
          <t>Central</t>
        </is>
      </c>
      <c r="F1883" s="61" t="n">
        <v>3</v>
      </c>
      <c r="G1883" s="62" t="n">
        <v>100.87</v>
      </c>
      <c r="H1883" s="63" t="n">
        <v>0.153</v>
      </c>
      <c r="I1883" s="62" t="n">
        <v>63.08</v>
      </c>
      <c r="J1883" s="58" t="inlineStr">
        <is>
          <t>Store</t>
        </is>
      </c>
      <c r="K1883" s="62">
        <f>F1883*(G1883-H1883)</f>
        <v/>
      </c>
      <c r="L1883" s="62">
        <f>K1883-(F1883*I1883)</f>
        <v/>
      </c>
      <c r="M1883" s="64">
        <f>L1883/K1883</f>
        <v/>
      </c>
    </row>
    <row r="1884">
      <c r="A1884" s="58" t="inlineStr">
        <is>
          <t>RT20250218-01883</t>
        </is>
      </c>
      <c r="B1884" s="59" t="inlineStr">
        <is>
          <t>2025-02-18</t>
        </is>
      </c>
      <c r="C1884" s="60" t="inlineStr">
        <is>
          <t>Vertex Supplie Pro-786</t>
        </is>
      </c>
      <c r="D1884" s="58" t="inlineStr">
        <is>
          <t>Office</t>
        </is>
      </c>
      <c r="E1884" s="58" t="inlineStr">
        <is>
          <t>South</t>
        </is>
      </c>
      <c r="F1884" s="61" t="n">
        <v>2</v>
      </c>
      <c r="G1884" s="62" t="n">
        <v>354.42</v>
      </c>
      <c r="H1884" s="63" t="n">
        <v>0.054</v>
      </c>
      <c r="I1884" s="62" t="n">
        <v>301.25</v>
      </c>
      <c r="J1884" s="58" t="inlineStr">
        <is>
          <t>Online</t>
        </is>
      </c>
      <c r="K1884" s="62">
        <f>F1884*(G1884-H1884)</f>
        <v/>
      </c>
      <c r="L1884" s="62">
        <f>K1884-(F1884*I1884)</f>
        <v/>
      </c>
      <c r="M1884" s="64">
        <f>L1884/K1884</f>
        <v/>
      </c>
    </row>
    <row r="1885">
      <c r="A1885" s="58" t="inlineStr">
        <is>
          <t>RT20250218-01884</t>
        </is>
      </c>
      <c r="B1885" s="59" t="inlineStr">
        <is>
          <t>2025-02-18</t>
        </is>
      </c>
      <c r="C1885" s="60" t="inlineStr">
        <is>
          <t>Orion Supplie S-612</t>
        </is>
      </c>
      <c r="D1885" s="58" t="inlineStr">
        <is>
          <t>Office</t>
        </is>
      </c>
      <c r="E1885" s="58" t="inlineStr">
        <is>
          <t>Central</t>
        </is>
      </c>
      <c r="F1885" s="61" t="n">
        <v>2</v>
      </c>
      <c r="G1885" s="62" t="n">
        <v>480.74</v>
      </c>
      <c r="H1885" s="63" t="n">
        <v>0.076</v>
      </c>
      <c r="I1885" s="62" t="n">
        <v>333.13</v>
      </c>
      <c r="J1885" s="58" t="inlineStr">
        <is>
          <t>Online</t>
        </is>
      </c>
      <c r="K1885" s="62">
        <f>F1885*(G1885-H1885)</f>
        <v/>
      </c>
      <c r="L1885" s="62">
        <f>K1885-(F1885*I1885)</f>
        <v/>
      </c>
      <c r="M1885" s="64">
        <f>L1885/K1885</f>
        <v/>
      </c>
    </row>
    <row r="1886">
      <c r="A1886" s="58" t="inlineStr">
        <is>
          <t>RT20250218-01885</t>
        </is>
      </c>
      <c r="B1886" s="59" t="inlineStr">
        <is>
          <t>2025-02-18</t>
        </is>
      </c>
      <c r="C1886" s="60" t="inlineStr">
        <is>
          <t>Metro Beverage Max-490</t>
        </is>
      </c>
      <c r="D1886" s="58" t="inlineStr">
        <is>
          <t>Grocery</t>
        </is>
      </c>
      <c r="E1886" s="58" t="inlineStr">
        <is>
          <t>South</t>
        </is>
      </c>
      <c r="F1886" s="61" t="n">
        <v>7</v>
      </c>
      <c r="G1886" s="62" t="n">
        <v>10.68</v>
      </c>
      <c r="H1886" s="63" t="n">
        <v>0.079</v>
      </c>
      <c r="I1886" s="62" t="n">
        <v>8.02</v>
      </c>
      <c r="J1886" s="58" t="inlineStr">
        <is>
          <t>Online</t>
        </is>
      </c>
      <c r="K1886" s="62">
        <f>F1886*(G1886-H1886)</f>
        <v/>
      </c>
      <c r="L1886" s="62">
        <f>K1886-(F1886*I1886)</f>
        <v/>
      </c>
      <c r="M1886" s="64">
        <f>L1886/K1886</f>
        <v/>
      </c>
    </row>
    <row r="1887">
      <c r="A1887" s="58" t="inlineStr">
        <is>
          <t>RT20250218-01886</t>
        </is>
      </c>
      <c r="B1887" s="59" t="inlineStr">
        <is>
          <t>2025-02-18</t>
        </is>
      </c>
      <c r="C1887" s="60" t="inlineStr">
        <is>
          <t>Aurora Bedding Plus-187</t>
        </is>
      </c>
      <c r="D1887" s="58" t="inlineStr">
        <is>
          <t>Home</t>
        </is>
      </c>
      <c r="E1887" s="58" t="inlineStr">
        <is>
          <t>North</t>
        </is>
      </c>
      <c r="F1887" s="61" t="n">
        <v>3</v>
      </c>
      <c r="G1887" s="62" t="n">
        <v>304.61</v>
      </c>
      <c r="H1887" s="63" t="n">
        <v>0.043</v>
      </c>
      <c r="I1887" s="62" t="n">
        <v>204.34</v>
      </c>
      <c r="J1887" s="58" t="inlineStr">
        <is>
          <t>Online</t>
        </is>
      </c>
      <c r="K1887" s="62">
        <f>F1887*(G1887-H1887)</f>
        <v/>
      </c>
      <c r="L1887" s="62">
        <f>K1887-(F1887*I1887)</f>
        <v/>
      </c>
      <c r="M1887" s="64">
        <f>L1887/K1887</f>
        <v/>
      </c>
    </row>
    <row r="1888">
      <c r="A1888" s="58" t="inlineStr">
        <is>
          <t>RT20250218-01887</t>
        </is>
      </c>
      <c r="B1888" s="59" t="inlineStr">
        <is>
          <t>2025-02-18</t>
        </is>
      </c>
      <c r="C1888" s="60" t="inlineStr">
        <is>
          <t>Orion Men X-928</t>
        </is>
      </c>
      <c r="D1888" s="58" t="inlineStr">
        <is>
          <t>Apparel</t>
        </is>
      </c>
      <c r="E1888" s="58" t="inlineStr">
        <is>
          <t>West</t>
        </is>
      </c>
      <c r="F1888" s="61" t="n">
        <v>3</v>
      </c>
      <c r="G1888" s="62" t="n">
        <v>116.15</v>
      </c>
      <c r="H1888" s="63" t="n">
        <v>0.06900000000000001</v>
      </c>
      <c r="I1888" s="62" t="n">
        <v>63.12</v>
      </c>
      <c r="J1888" s="58" t="inlineStr">
        <is>
          <t>Online</t>
        </is>
      </c>
      <c r="K1888" s="62">
        <f>F1888*(G1888-H1888)</f>
        <v/>
      </c>
      <c r="L1888" s="62">
        <f>K1888-(F1888*I1888)</f>
        <v/>
      </c>
      <c r="M1888" s="64">
        <f>L1888/K1888</f>
        <v/>
      </c>
    </row>
    <row r="1889">
      <c r="A1889" s="58" t="inlineStr">
        <is>
          <t>RT20250218-01888</t>
        </is>
      </c>
      <c r="B1889" s="59" t="inlineStr">
        <is>
          <t>2025-02-18</t>
        </is>
      </c>
      <c r="C1889" s="60" t="inlineStr">
        <is>
          <t>Polar Laptop Plus-984</t>
        </is>
      </c>
      <c r="D1889" s="58" t="inlineStr">
        <is>
          <t>Electronics</t>
        </is>
      </c>
      <c r="E1889" s="58" t="inlineStr">
        <is>
          <t>South</t>
        </is>
      </c>
      <c r="F1889" s="61" t="n">
        <v>1</v>
      </c>
      <c r="G1889" s="62" t="n">
        <v>1346.64</v>
      </c>
      <c r="H1889" s="63" t="n">
        <v>0.101</v>
      </c>
      <c r="I1889" s="62" t="n">
        <v>982.6900000000001</v>
      </c>
      <c r="J1889" s="58" t="inlineStr">
        <is>
          <t>Store</t>
        </is>
      </c>
      <c r="K1889" s="62">
        <f>F1889*(G1889-H1889)</f>
        <v/>
      </c>
      <c r="L1889" s="62">
        <f>K1889-(F1889*I1889)</f>
        <v/>
      </c>
      <c r="M1889" s="64">
        <f>L1889/K1889</f>
        <v/>
      </c>
    </row>
    <row r="1890">
      <c r="A1890" s="58" t="inlineStr">
        <is>
          <t>RT20250218-01889</t>
        </is>
      </c>
      <c r="B1890" s="59" t="inlineStr">
        <is>
          <t>2025-02-18</t>
        </is>
      </c>
      <c r="C1890" s="60" t="inlineStr">
        <is>
          <t>Aurora Makeup Pro-489</t>
        </is>
      </c>
      <c r="D1890" s="58" t="inlineStr">
        <is>
          <t>Beauty</t>
        </is>
      </c>
      <c r="E1890" s="58" t="inlineStr">
        <is>
          <t>Central</t>
        </is>
      </c>
      <c r="F1890" s="61" t="n">
        <v>1</v>
      </c>
      <c r="G1890" s="62" t="n">
        <v>96.52</v>
      </c>
      <c r="H1890" s="63" t="n">
        <v>0.042</v>
      </c>
      <c r="I1890" s="62" t="n">
        <v>63.55</v>
      </c>
      <c r="J1890" s="58" t="inlineStr">
        <is>
          <t>Online</t>
        </is>
      </c>
      <c r="K1890" s="62">
        <f>F1890*(G1890-H1890)</f>
        <v/>
      </c>
      <c r="L1890" s="62">
        <f>K1890-(F1890*I1890)</f>
        <v/>
      </c>
      <c r="M1890" s="64">
        <f>L1890/K1890</f>
        <v/>
      </c>
    </row>
    <row r="1891">
      <c r="A1891" s="58" t="inlineStr">
        <is>
          <t>RT20250218-01890</t>
        </is>
      </c>
      <c r="B1891" s="59" t="inlineStr">
        <is>
          <t>2025-02-18</t>
        </is>
      </c>
      <c r="C1891" s="60" t="inlineStr">
        <is>
          <t>Solace Laptop S-367</t>
        </is>
      </c>
      <c r="D1891" s="58" t="inlineStr">
        <is>
          <t>Electronics</t>
        </is>
      </c>
      <c r="E1891" s="58" t="inlineStr">
        <is>
          <t>North</t>
        </is>
      </c>
      <c r="F1891" s="61" t="n">
        <v>1</v>
      </c>
      <c r="G1891" s="62" t="n">
        <v>1804.89</v>
      </c>
      <c r="H1891" s="63" t="n">
        <v>0.037</v>
      </c>
      <c r="I1891" s="62" t="n">
        <v>1588.15</v>
      </c>
      <c r="J1891" s="58" t="inlineStr">
        <is>
          <t>Online</t>
        </is>
      </c>
      <c r="K1891" s="62">
        <f>F1891*(G1891-H1891)</f>
        <v/>
      </c>
      <c r="L1891" s="62">
        <f>K1891-(F1891*I1891)</f>
        <v/>
      </c>
      <c r="M1891" s="64">
        <f>L1891/K1891</f>
        <v/>
      </c>
    </row>
    <row r="1892">
      <c r="A1892" s="58" t="inlineStr">
        <is>
          <t>RT20250218-01891</t>
        </is>
      </c>
      <c r="B1892" s="59" t="inlineStr">
        <is>
          <t>2025-02-18</t>
        </is>
      </c>
      <c r="C1892" s="60" t="inlineStr">
        <is>
          <t>Falcon Skincare X-334</t>
        </is>
      </c>
      <c r="D1892" s="58" t="inlineStr">
        <is>
          <t>Beauty</t>
        </is>
      </c>
      <c r="E1892" s="58" t="inlineStr">
        <is>
          <t>Central</t>
        </is>
      </c>
      <c r="F1892" s="61" t="n">
        <v>5</v>
      </c>
      <c r="G1892" s="62" t="n">
        <v>115.12</v>
      </c>
      <c r="H1892" s="63" t="n">
        <v>0.049</v>
      </c>
      <c r="I1892" s="62" t="n">
        <v>65.43000000000001</v>
      </c>
      <c r="J1892" s="58" t="inlineStr">
        <is>
          <t>Store</t>
        </is>
      </c>
      <c r="K1892" s="62">
        <f>F1892*(G1892-H1892)</f>
        <v/>
      </c>
      <c r="L1892" s="62">
        <f>K1892-(F1892*I1892)</f>
        <v/>
      </c>
      <c r="M1892" s="64">
        <f>L1892/K1892</f>
        <v/>
      </c>
    </row>
    <row r="1893">
      <c r="A1893" s="58" t="inlineStr">
        <is>
          <t>RT20250218-01892</t>
        </is>
      </c>
      <c r="B1893" s="59" t="inlineStr">
        <is>
          <t>2025-02-18</t>
        </is>
      </c>
      <c r="C1893" s="60" t="inlineStr">
        <is>
          <t>Nimbus Women Lite-814</t>
        </is>
      </c>
      <c r="D1893" s="58" t="inlineStr">
        <is>
          <t>Apparel</t>
        </is>
      </c>
      <c r="E1893" s="58" t="inlineStr">
        <is>
          <t>Central</t>
        </is>
      </c>
      <c r="F1893" s="61" t="n">
        <v>4</v>
      </c>
      <c r="G1893" s="62" t="n">
        <v>144.52</v>
      </c>
      <c r="H1893" s="63" t="n">
        <v>0.08599999999999999</v>
      </c>
      <c r="I1893" s="62" t="n">
        <v>81.31</v>
      </c>
      <c r="J1893" s="58" t="inlineStr">
        <is>
          <t>Online</t>
        </is>
      </c>
      <c r="K1893" s="62">
        <f>F1893*(G1893-H1893)</f>
        <v/>
      </c>
      <c r="L1893" s="62">
        <f>K1893-(F1893*I1893)</f>
        <v/>
      </c>
      <c r="M1893" s="64">
        <f>L1893/K1893</f>
        <v/>
      </c>
    </row>
    <row r="1894">
      <c r="A1894" s="58" t="inlineStr">
        <is>
          <t>RT20250218-01893</t>
        </is>
      </c>
      <c r="B1894" s="59" t="inlineStr">
        <is>
          <t>2025-02-18</t>
        </is>
      </c>
      <c r="C1894" s="60" t="inlineStr">
        <is>
          <t>Aurora Haircare S-975</t>
        </is>
      </c>
      <c r="D1894" s="58" t="inlineStr">
        <is>
          <t>Beauty</t>
        </is>
      </c>
      <c r="E1894" s="58" t="inlineStr">
        <is>
          <t>Central</t>
        </is>
      </c>
      <c r="F1894" s="61" t="n">
        <v>4</v>
      </c>
      <c r="G1894" s="62" t="n">
        <v>95.7</v>
      </c>
      <c r="H1894" s="63" t="n">
        <v>0.064</v>
      </c>
      <c r="I1894" s="62" t="n">
        <v>59.52</v>
      </c>
      <c r="J1894" s="58" t="inlineStr">
        <is>
          <t>Phone</t>
        </is>
      </c>
      <c r="K1894" s="62">
        <f>F1894*(G1894-H1894)</f>
        <v/>
      </c>
      <c r="L1894" s="62">
        <f>K1894-(F1894*I1894)</f>
        <v/>
      </c>
      <c r="M1894" s="64">
        <f>L1894/K1894</f>
        <v/>
      </c>
    </row>
    <row r="1895">
      <c r="A1895" s="58" t="inlineStr">
        <is>
          <t>RT20250218-01894</t>
        </is>
      </c>
      <c r="B1895" s="59" t="inlineStr">
        <is>
          <t>2025-02-18</t>
        </is>
      </c>
      <c r="C1895" s="60" t="inlineStr">
        <is>
          <t>Orion Kid Max-864</t>
        </is>
      </c>
      <c r="D1895" s="58" t="inlineStr">
        <is>
          <t>Apparel</t>
        </is>
      </c>
      <c r="E1895" s="58" t="inlineStr">
        <is>
          <t>East</t>
        </is>
      </c>
      <c r="F1895" s="61" t="n">
        <v>2</v>
      </c>
      <c r="G1895" s="62" t="n">
        <v>88.39</v>
      </c>
      <c r="H1895" s="63" t="n">
        <v>0.044</v>
      </c>
      <c r="I1895" s="62" t="n">
        <v>44.07</v>
      </c>
      <c r="J1895" s="58" t="inlineStr">
        <is>
          <t>Online</t>
        </is>
      </c>
      <c r="K1895" s="62">
        <f>F1895*(G1895-H1895)</f>
        <v/>
      </c>
      <c r="L1895" s="62">
        <f>K1895-(F1895*I1895)</f>
        <v/>
      </c>
      <c r="M1895" s="64">
        <f>L1895/K1895</f>
        <v/>
      </c>
    </row>
    <row r="1896">
      <c r="A1896" s="58" t="inlineStr">
        <is>
          <t>RT20250218-01895</t>
        </is>
      </c>
      <c r="B1896" s="59" t="inlineStr">
        <is>
          <t>2025-02-18</t>
        </is>
      </c>
      <c r="C1896" s="60" t="inlineStr">
        <is>
          <t>Aurora Furniture X-709</t>
        </is>
      </c>
      <c r="D1896" s="58" t="inlineStr">
        <is>
          <t>Office</t>
        </is>
      </c>
      <c r="E1896" s="58" t="inlineStr">
        <is>
          <t>West</t>
        </is>
      </c>
      <c r="F1896" s="61" t="n">
        <v>1</v>
      </c>
      <c r="G1896" s="62" t="n">
        <v>408.1</v>
      </c>
      <c r="H1896" s="63" t="n">
        <v>0.051</v>
      </c>
      <c r="I1896" s="62" t="n">
        <v>311.25</v>
      </c>
      <c r="J1896" s="58" t="inlineStr">
        <is>
          <t>Store</t>
        </is>
      </c>
      <c r="K1896" s="62">
        <f>F1896*(G1896-H1896)</f>
        <v/>
      </c>
      <c r="L1896" s="62">
        <f>K1896-(F1896*I1896)</f>
        <v/>
      </c>
      <c r="M1896" s="64">
        <f>L1896/K1896</f>
        <v/>
      </c>
    </row>
    <row r="1897">
      <c r="A1897" s="58" t="inlineStr">
        <is>
          <t>RT20250218-01896</t>
        </is>
      </c>
      <c r="B1897" s="59" t="inlineStr">
        <is>
          <t>2025-02-18</t>
        </is>
      </c>
      <c r="C1897" s="60" t="inlineStr">
        <is>
          <t>Orion Haircare Plus-887</t>
        </is>
      </c>
      <c r="D1897" s="58" t="inlineStr">
        <is>
          <t>Beauty</t>
        </is>
      </c>
      <c r="E1897" s="58" t="inlineStr">
        <is>
          <t>West</t>
        </is>
      </c>
      <c r="F1897" s="61" t="n">
        <v>5</v>
      </c>
      <c r="G1897" s="62" t="n">
        <v>39.7</v>
      </c>
      <c r="H1897" s="63" t="n">
        <v>0.041</v>
      </c>
      <c r="I1897" s="62" t="n">
        <v>31.86</v>
      </c>
      <c r="J1897" s="58" t="inlineStr">
        <is>
          <t>Online</t>
        </is>
      </c>
      <c r="K1897" s="62">
        <f>F1897*(G1897-H1897)</f>
        <v/>
      </c>
      <c r="L1897" s="62">
        <f>K1897-(F1897*I1897)</f>
        <v/>
      </c>
      <c r="M1897" s="64">
        <f>L1897/K1897</f>
        <v/>
      </c>
    </row>
    <row r="1898">
      <c r="A1898" s="58" t="inlineStr">
        <is>
          <t>RT20250218-01897</t>
        </is>
      </c>
      <c r="B1898" s="59" t="inlineStr">
        <is>
          <t>2025-02-18</t>
        </is>
      </c>
      <c r="C1898" s="60" t="inlineStr">
        <is>
          <t>Aurora Printer Plus-723</t>
        </is>
      </c>
      <c r="D1898" s="58" t="inlineStr">
        <is>
          <t>Office</t>
        </is>
      </c>
      <c r="E1898" s="58" t="inlineStr">
        <is>
          <t>East</t>
        </is>
      </c>
      <c r="F1898" s="61" t="n">
        <v>2</v>
      </c>
      <c r="G1898" s="62" t="n">
        <v>283.5</v>
      </c>
      <c r="H1898" s="63" t="n">
        <v>0.111</v>
      </c>
      <c r="I1898" s="62" t="n">
        <v>187.56</v>
      </c>
      <c r="J1898" s="58" t="inlineStr">
        <is>
          <t>Store</t>
        </is>
      </c>
      <c r="K1898" s="62">
        <f>F1898*(G1898-H1898)</f>
        <v/>
      </c>
      <c r="L1898" s="62">
        <f>K1898-(F1898*I1898)</f>
        <v/>
      </c>
      <c r="M1898" s="64">
        <f>L1898/K1898</f>
        <v/>
      </c>
    </row>
    <row r="1899">
      <c r="A1899" s="58" t="inlineStr">
        <is>
          <t>RT20250218-01898</t>
        </is>
      </c>
      <c r="B1899" s="59" t="inlineStr">
        <is>
          <t>2025-02-18</t>
        </is>
      </c>
      <c r="C1899" s="60" t="inlineStr">
        <is>
          <t>Polar Snack Pro-641</t>
        </is>
      </c>
      <c r="D1899" s="58" t="inlineStr">
        <is>
          <t>Grocery</t>
        </is>
      </c>
      <c r="E1899" s="58" t="inlineStr">
        <is>
          <t>South</t>
        </is>
      </c>
      <c r="F1899" s="61" t="n">
        <v>2</v>
      </c>
      <c r="G1899" s="62" t="n">
        <v>11.55</v>
      </c>
      <c r="H1899" s="63" t="n">
        <v>0.019</v>
      </c>
      <c r="I1899" s="62" t="n">
        <v>9.31</v>
      </c>
      <c r="J1899" s="58" t="inlineStr">
        <is>
          <t>Online</t>
        </is>
      </c>
      <c r="K1899" s="62">
        <f>F1899*(G1899-H1899)</f>
        <v/>
      </c>
      <c r="L1899" s="62">
        <f>K1899-(F1899*I1899)</f>
        <v/>
      </c>
      <c r="M1899" s="64">
        <f>L1899/K1899</f>
        <v/>
      </c>
    </row>
    <row r="1900">
      <c r="A1900" s="58" t="inlineStr">
        <is>
          <t>RT20250218-01899</t>
        </is>
      </c>
      <c r="B1900" s="59" t="inlineStr">
        <is>
          <t>2025-02-18</t>
        </is>
      </c>
      <c r="C1900" s="60" t="inlineStr">
        <is>
          <t>Falcon Wearable X-334</t>
        </is>
      </c>
      <c r="D1900" s="58" t="inlineStr">
        <is>
          <t>Electronics</t>
        </is>
      </c>
      <c r="E1900" s="58" t="inlineStr">
        <is>
          <t>North</t>
        </is>
      </c>
      <c r="F1900" s="61" t="n">
        <v>1</v>
      </c>
      <c r="G1900" s="62" t="n">
        <v>1653.5</v>
      </c>
      <c r="H1900" s="63" t="n">
        <v>0.06900000000000001</v>
      </c>
      <c r="I1900" s="62" t="n">
        <v>1494.57</v>
      </c>
      <c r="J1900" s="58" t="inlineStr">
        <is>
          <t>Online</t>
        </is>
      </c>
      <c r="K1900" s="62">
        <f>F1900*(G1900-H1900)</f>
        <v/>
      </c>
      <c r="L1900" s="62">
        <f>K1900-(F1900*I1900)</f>
        <v/>
      </c>
      <c r="M1900" s="64">
        <f>L1900/K1900</f>
        <v/>
      </c>
    </row>
    <row r="1901">
      <c r="A1901" s="58" t="inlineStr">
        <is>
          <t>RT20250218-01900</t>
        </is>
      </c>
      <c r="B1901" s="59" t="inlineStr">
        <is>
          <t>2025-02-18</t>
        </is>
      </c>
      <c r="C1901" s="60" t="inlineStr">
        <is>
          <t>Vertex Appliance S-296</t>
        </is>
      </c>
      <c r="D1901" s="58" t="inlineStr">
        <is>
          <t>Home</t>
        </is>
      </c>
      <c r="E1901" s="58" t="inlineStr">
        <is>
          <t>Central</t>
        </is>
      </c>
      <c r="F1901" s="61" t="n">
        <v>3</v>
      </c>
      <c r="G1901" s="62" t="n">
        <v>534.11</v>
      </c>
      <c r="H1901" s="63" t="n">
        <v>0.064</v>
      </c>
      <c r="I1901" s="62" t="n">
        <v>361.03</v>
      </c>
      <c r="J1901" s="58" t="inlineStr">
        <is>
          <t>Online</t>
        </is>
      </c>
      <c r="K1901" s="62">
        <f>F1901*(G1901-H1901)</f>
        <v/>
      </c>
      <c r="L1901" s="62">
        <f>K1901-(F1901*I1901)</f>
        <v/>
      </c>
      <c r="M1901" s="64">
        <f>L1901/K1901</f>
        <v/>
      </c>
    </row>
    <row r="1902">
      <c r="A1902" s="58" t="inlineStr">
        <is>
          <t>RT20250218-01901</t>
        </is>
      </c>
      <c r="B1902" s="59" t="inlineStr">
        <is>
          <t>2025-02-18</t>
        </is>
      </c>
      <c r="C1902" s="60" t="inlineStr">
        <is>
          <t>Metro Beverage Max-490</t>
        </is>
      </c>
      <c r="D1902" s="58" t="inlineStr">
        <is>
          <t>Grocery</t>
        </is>
      </c>
      <c r="E1902" s="58" t="inlineStr">
        <is>
          <t>North</t>
        </is>
      </c>
      <c r="F1902" s="61" t="n">
        <v>4</v>
      </c>
      <c r="G1902" s="62" t="n">
        <v>12.1</v>
      </c>
      <c r="H1902" s="63" t="n">
        <v>0.119</v>
      </c>
      <c r="I1902" s="62" t="n">
        <v>8.24</v>
      </c>
      <c r="J1902" s="58" t="inlineStr">
        <is>
          <t>Online</t>
        </is>
      </c>
      <c r="K1902" s="62">
        <f>F1902*(G1902-H1902)</f>
        <v/>
      </c>
      <c r="L1902" s="62">
        <f>K1902-(F1902*I1902)</f>
        <v/>
      </c>
      <c r="M1902" s="64">
        <f>L1902/K1902</f>
        <v/>
      </c>
    </row>
    <row r="1903">
      <c r="A1903" s="58" t="inlineStr">
        <is>
          <t>RT20250218-01902</t>
        </is>
      </c>
      <c r="B1903" s="59" t="inlineStr">
        <is>
          <t>2025-02-18</t>
        </is>
      </c>
      <c r="C1903" s="60" t="inlineStr">
        <is>
          <t>Vertex Smartphone Lite-267</t>
        </is>
      </c>
      <c r="D1903" s="58" t="inlineStr">
        <is>
          <t>Electronics</t>
        </is>
      </c>
      <c r="E1903" s="58" t="inlineStr">
        <is>
          <t>South</t>
        </is>
      </c>
      <c r="F1903" s="61" t="n">
        <v>1</v>
      </c>
      <c r="G1903" s="62" t="n">
        <v>1281.23</v>
      </c>
      <c r="H1903" s="63" t="n">
        <v>0.019</v>
      </c>
      <c r="I1903" s="62" t="n">
        <v>990.1</v>
      </c>
      <c r="J1903" s="58" t="inlineStr">
        <is>
          <t>Online</t>
        </is>
      </c>
      <c r="K1903" s="62">
        <f>F1903*(G1903-H1903)</f>
        <v/>
      </c>
      <c r="L1903" s="62">
        <f>K1903-(F1903*I1903)</f>
        <v/>
      </c>
      <c r="M1903" s="64">
        <f>L1903/K1903</f>
        <v/>
      </c>
    </row>
    <row r="1904">
      <c r="A1904" s="58" t="inlineStr">
        <is>
          <t>RT20250218-01903</t>
        </is>
      </c>
      <c r="B1904" s="59" t="inlineStr">
        <is>
          <t>2025-02-18</t>
        </is>
      </c>
      <c r="C1904" s="60" t="inlineStr">
        <is>
          <t>Vertex Fitnes Pro-830</t>
        </is>
      </c>
      <c r="D1904" s="58" t="inlineStr">
        <is>
          <t>Sports</t>
        </is>
      </c>
      <c r="E1904" s="58" t="inlineStr">
        <is>
          <t>West</t>
        </is>
      </c>
      <c r="F1904" s="61" t="n">
        <v>2</v>
      </c>
      <c r="G1904" s="62" t="n">
        <v>798.6</v>
      </c>
      <c r="H1904" s="63" t="n">
        <v>0.112</v>
      </c>
      <c r="I1904" s="62" t="n">
        <v>482.17</v>
      </c>
      <c r="J1904" s="58" t="inlineStr">
        <is>
          <t>Online</t>
        </is>
      </c>
      <c r="K1904" s="62">
        <f>F1904*(G1904-H1904)</f>
        <v/>
      </c>
      <c r="L1904" s="62">
        <f>K1904-(F1904*I1904)</f>
        <v/>
      </c>
      <c r="M1904" s="64">
        <f>L1904/K1904</f>
        <v/>
      </c>
    </row>
    <row r="1905">
      <c r="A1905" s="58" t="inlineStr">
        <is>
          <t>RT20250218-01904</t>
        </is>
      </c>
      <c r="B1905" s="59" t="inlineStr">
        <is>
          <t>2025-02-18</t>
        </is>
      </c>
      <c r="C1905" s="60" t="inlineStr">
        <is>
          <t>Aurora Kid Plus-151</t>
        </is>
      </c>
      <c r="D1905" s="58" t="inlineStr">
        <is>
          <t>Apparel</t>
        </is>
      </c>
      <c r="E1905" s="58" t="inlineStr">
        <is>
          <t>East</t>
        </is>
      </c>
      <c r="F1905" s="61" t="n">
        <v>2</v>
      </c>
      <c r="G1905" s="62" t="n">
        <v>113.27</v>
      </c>
      <c r="H1905" s="63" t="n">
        <v>0.011</v>
      </c>
      <c r="I1905" s="62" t="n">
        <v>64.13</v>
      </c>
      <c r="J1905" s="58" t="inlineStr">
        <is>
          <t>Online</t>
        </is>
      </c>
      <c r="K1905" s="62">
        <f>F1905*(G1905-H1905)</f>
        <v/>
      </c>
      <c r="L1905" s="62">
        <f>K1905-(F1905*I1905)</f>
        <v/>
      </c>
      <c r="M1905" s="64">
        <f>L1905/K1905</f>
        <v/>
      </c>
    </row>
    <row r="1906">
      <c r="A1906" s="58" t="inlineStr">
        <is>
          <t>RT20250218-01905</t>
        </is>
      </c>
      <c r="B1906" s="59" t="inlineStr">
        <is>
          <t>2025-02-18</t>
        </is>
      </c>
      <c r="C1906" s="60" t="inlineStr">
        <is>
          <t>Metro Smartphone Max-773</t>
        </is>
      </c>
      <c r="D1906" s="58" t="inlineStr">
        <is>
          <t>Electronics</t>
        </is>
      </c>
      <c r="E1906" s="58" t="inlineStr">
        <is>
          <t>Central</t>
        </is>
      </c>
      <c r="F1906" s="61" t="n">
        <v>2</v>
      </c>
      <c r="G1906" s="62" t="n">
        <v>1244.16</v>
      </c>
      <c r="H1906" s="63" t="n">
        <v>0.026</v>
      </c>
      <c r="I1906" s="62" t="n">
        <v>1123.7</v>
      </c>
      <c r="J1906" s="58" t="inlineStr">
        <is>
          <t>Online</t>
        </is>
      </c>
      <c r="K1906" s="62">
        <f>F1906*(G1906-H1906)</f>
        <v/>
      </c>
      <c r="L1906" s="62">
        <f>K1906-(F1906*I1906)</f>
        <v/>
      </c>
      <c r="M1906" s="64">
        <f>L1906/K1906</f>
        <v/>
      </c>
    </row>
    <row r="1907">
      <c r="A1907" s="58" t="inlineStr">
        <is>
          <t>RT20250218-01906</t>
        </is>
      </c>
      <c r="B1907" s="59" t="inlineStr">
        <is>
          <t>2025-02-18</t>
        </is>
      </c>
      <c r="C1907" s="60" t="inlineStr">
        <is>
          <t>Metro Pantry X-710</t>
        </is>
      </c>
      <c r="D1907" s="58" t="inlineStr">
        <is>
          <t>Grocery</t>
        </is>
      </c>
      <c r="E1907" s="58" t="inlineStr">
        <is>
          <t>West</t>
        </is>
      </c>
      <c r="F1907" s="61" t="n">
        <v>4</v>
      </c>
      <c r="G1907" s="62" t="n">
        <v>5.56</v>
      </c>
      <c r="H1907" s="63" t="n">
        <v>0.109</v>
      </c>
      <c r="I1907" s="62" t="n">
        <v>4.23</v>
      </c>
      <c r="J1907" s="58" t="inlineStr">
        <is>
          <t>Online</t>
        </is>
      </c>
      <c r="K1907" s="62">
        <f>F1907*(G1907-H1907)</f>
        <v/>
      </c>
      <c r="L1907" s="62">
        <f>K1907-(F1907*I1907)</f>
        <v/>
      </c>
      <c r="M1907" s="64">
        <f>L1907/K1907</f>
        <v/>
      </c>
    </row>
    <row r="1908">
      <c r="A1908" s="58" t="inlineStr">
        <is>
          <t>RT20250218-01907</t>
        </is>
      </c>
      <c r="B1908" s="59" t="inlineStr">
        <is>
          <t>2025-02-18</t>
        </is>
      </c>
      <c r="C1908" s="60" t="inlineStr">
        <is>
          <t>Vertex Pantry Pro-165</t>
        </is>
      </c>
      <c r="D1908" s="58" t="inlineStr">
        <is>
          <t>Grocery</t>
        </is>
      </c>
      <c r="E1908" s="58" t="inlineStr">
        <is>
          <t>Central</t>
        </is>
      </c>
      <c r="F1908" s="61" t="n">
        <v>6</v>
      </c>
      <c r="G1908" s="62" t="n">
        <v>16.73</v>
      </c>
      <c r="H1908" s="63" t="n">
        <v>0.098</v>
      </c>
      <c r="I1908" s="62" t="n">
        <v>11.81</v>
      </c>
      <c r="J1908" s="58" t="inlineStr">
        <is>
          <t>Online</t>
        </is>
      </c>
      <c r="K1908" s="62">
        <f>F1908*(G1908-H1908)</f>
        <v/>
      </c>
      <c r="L1908" s="62">
        <f>K1908-(F1908*I1908)</f>
        <v/>
      </c>
      <c r="M1908" s="64">
        <f>L1908/K1908</f>
        <v/>
      </c>
    </row>
    <row r="1909">
      <c r="A1909" s="58" t="inlineStr">
        <is>
          <t>RT20250218-01908</t>
        </is>
      </c>
      <c r="B1909" s="59" t="inlineStr">
        <is>
          <t>2025-02-18</t>
        </is>
      </c>
      <c r="C1909" s="60" t="inlineStr">
        <is>
          <t>Polar Wearable X-119</t>
        </is>
      </c>
      <c r="D1909" s="58" t="inlineStr">
        <is>
          <t>Electronics</t>
        </is>
      </c>
      <c r="E1909" s="58" t="inlineStr">
        <is>
          <t>Central</t>
        </is>
      </c>
      <c r="F1909" s="61" t="n">
        <v>1</v>
      </c>
      <c r="G1909" s="62" t="n">
        <v>1815.17</v>
      </c>
      <c r="H1909" s="63" t="n">
        <v>0.07000000000000001</v>
      </c>
      <c r="I1909" s="62" t="n">
        <v>1351.43</v>
      </c>
      <c r="J1909" s="58" t="inlineStr">
        <is>
          <t>Store</t>
        </is>
      </c>
      <c r="K1909" s="62">
        <f>F1909*(G1909-H1909)</f>
        <v/>
      </c>
      <c r="L1909" s="62">
        <f>K1909-(F1909*I1909)</f>
        <v/>
      </c>
      <c r="M1909" s="64">
        <f>L1909/K1909</f>
        <v/>
      </c>
    </row>
    <row r="1910">
      <c r="A1910" s="58" t="inlineStr">
        <is>
          <t>RT20250218-01909</t>
        </is>
      </c>
      <c r="B1910" s="59" t="inlineStr">
        <is>
          <t>2025-02-18</t>
        </is>
      </c>
      <c r="C1910" s="60" t="inlineStr">
        <is>
          <t>Nimbus Men Plus-231</t>
        </is>
      </c>
      <c r="D1910" s="58" t="inlineStr">
        <is>
          <t>Apparel</t>
        </is>
      </c>
      <c r="E1910" s="58" t="inlineStr">
        <is>
          <t>East</t>
        </is>
      </c>
      <c r="F1910" s="61" t="n">
        <v>1</v>
      </c>
      <c r="G1910" s="62" t="n">
        <v>158.28</v>
      </c>
      <c r="H1910" s="63" t="n">
        <v>0.03</v>
      </c>
      <c r="I1910" s="62" t="n">
        <v>86.37</v>
      </c>
      <c r="J1910" s="58" t="inlineStr">
        <is>
          <t>Online</t>
        </is>
      </c>
      <c r="K1910" s="62">
        <f>F1910*(G1910-H1910)</f>
        <v/>
      </c>
      <c r="L1910" s="62">
        <f>K1910-(F1910*I1910)</f>
        <v/>
      </c>
      <c r="M1910" s="64">
        <f>L1910/K1910</f>
        <v/>
      </c>
    </row>
    <row r="1911">
      <c r="A1911" s="58" t="inlineStr">
        <is>
          <t>RT20250218-01910</t>
        </is>
      </c>
      <c r="B1911" s="59" t="inlineStr">
        <is>
          <t>2025-02-18</t>
        </is>
      </c>
      <c r="C1911" s="60" t="inlineStr">
        <is>
          <t>Nimbus Storage Plus-646</t>
        </is>
      </c>
      <c r="D1911" s="58" t="inlineStr">
        <is>
          <t>Office</t>
        </is>
      </c>
      <c r="E1911" s="58" t="inlineStr">
        <is>
          <t>West</t>
        </is>
      </c>
      <c r="F1911" s="61" t="n">
        <v>2</v>
      </c>
      <c r="G1911" s="62" t="n">
        <v>408.64</v>
      </c>
      <c r="H1911" s="63" t="n">
        <v>0.054</v>
      </c>
      <c r="I1911" s="62" t="n">
        <v>322.56</v>
      </c>
      <c r="J1911" s="58" t="inlineStr">
        <is>
          <t>Online</t>
        </is>
      </c>
      <c r="K1911" s="62">
        <f>F1911*(G1911-H1911)</f>
        <v/>
      </c>
      <c r="L1911" s="62">
        <f>K1911-(F1911*I1911)</f>
        <v/>
      </c>
      <c r="M1911" s="64">
        <f>L1911/K1911</f>
        <v/>
      </c>
    </row>
    <row r="1912">
      <c r="A1912" s="58" t="inlineStr">
        <is>
          <t>RT20250218-01911</t>
        </is>
      </c>
      <c r="B1912" s="59" t="inlineStr">
        <is>
          <t>2025-02-18</t>
        </is>
      </c>
      <c r="C1912" s="60" t="inlineStr">
        <is>
          <t>Vertex Appliance S-296</t>
        </is>
      </c>
      <c r="D1912" s="58" t="inlineStr">
        <is>
          <t>Home</t>
        </is>
      </c>
      <c r="E1912" s="58" t="inlineStr">
        <is>
          <t>East</t>
        </is>
      </c>
      <c r="F1912" s="61" t="n">
        <v>3</v>
      </c>
      <c r="G1912" s="62" t="n">
        <v>500.38</v>
      </c>
      <c r="H1912" s="63" t="n">
        <v>0.06900000000000001</v>
      </c>
      <c r="I1912" s="62" t="n">
        <v>366.53</v>
      </c>
      <c r="J1912" s="58" t="inlineStr">
        <is>
          <t>Online</t>
        </is>
      </c>
      <c r="K1912" s="62">
        <f>F1912*(G1912-H1912)</f>
        <v/>
      </c>
      <c r="L1912" s="62">
        <f>K1912-(F1912*I1912)</f>
        <v/>
      </c>
      <c r="M1912" s="64">
        <f>L1912/K1912</f>
        <v/>
      </c>
    </row>
    <row r="1913">
      <c r="A1913" s="58" t="inlineStr">
        <is>
          <t>RT20250219-01912</t>
        </is>
      </c>
      <c r="B1913" s="59" t="inlineStr">
        <is>
          <t>2025-02-19</t>
        </is>
      </c>
      <c r="C1913" s="60" t="inlineStr">
        <is>
          <t>Nimbus Men Plus-231</t>
        </is>
      </c>
      <c r="D1913" s="58" t="inlineStr">
        <is>
          <t>Apparel</t>
        </is>
      </c>
      <c r="E1913" s="58" t="inlineStr">
        <is>
          <t>Central</t>
        </is>
      </c>
      <c r="F1913" s="61" t="n">
        <v>1</v>
      </c>
      <c r="G1913" s="62" t="n">
        <v>151.06</v>
      </c>
      <c r="H1913" s="63" t="n">
        <v>0.053</v>
      </c>
      <c r="I1913" s="62" t="n">
        <v>87.51000000000001</v>
      </c>
      <c r="J1913" s="58" t="inlineStr">
        <is>
          <t>Store</t>
        </is>
      </c>
      <c r="K1913" s="62">
        <f>F1913*(G1913-H1913)</f>
        <v/>
      </c>
      <c r="L1913" s="62">
        <f>K1913-(F1913*I1913)</f>
        <v/>
      </c>
      <c r="M1913" s="64">
        <f>L1913/K1913</f>
        <v/>
      </c>
    </row>
    <row r="1914">
      <c r="A1914" s="58" t="inlineStr">
        <is>
          <t>RT20250219-01913</t>
        </is>
      </c>
      <c r="B1914" s="59" t="inlineStr">
        <is>
          <t>2025-02-19</t>
        </is>
      </c>
      <c r="C1914" s="60" t="inlineStr">
        <is>
          <t>Aurora Appliance Max-316</t>
        </is>
      </c>
      <c r="D1914" s="58" t="inlineStr">
        <is>
          <t>Home</t>
        </is>
      </c>
      <c r="E1914" s="58" t="inlineStr">
        <is>
          <t>South</t>
        </is>
      </c>
      <c r="F1914" s="61" t="n">
        <v>1</v>
      </c>
      <c r="G1914" s="62" t="n">
        <v>329.8</v>
      </c>
      <c r="H1914" s="63" t="n">
        <v>0.08799999999999999</v>
      </c>
      <c r="I1914" s="62" t="n">
        <v>220.34</v>
      </c>
      <c r="J1914" s="58" t="inlineStr">
        <is>
          <t>Online</t>
        </is>
      </c>
      <c r="K1914" s="62">
        <f>F1914*(G1914-H1914)</f>
        <v/>
      </c>
      <c r="L1914" s="62">
        <f>K1914-(F1914*I1914)</f>
        <v/>
      </c>
      <c r="M1914" s="64">
        <f>L1914/K1914</f>
        <v/>
      </c>
    </row>
    <row r="1915">
      <c r="A1915" s="58" t="inlineStr">
        <is>
          <t>RT20250219-01914</t>
        </is>
      </c>
      <c r="B1915" s="59" t="inlineStr">
        <is>
          <t>2025-02-19</t>
        </is>
      </c>
      <c r="C1915" s="60" t="inlineStr">
        <is>
          <t>Falcon Skincare X-334</t>
        </is>
      </c>
      <c r="D1915" s="58" t="inlineStr">
        <is>
          <t>Beauty</t>
        </is>
      </c>
      <c r="E1915" s="58" t="inlineStr">
        <is>
          <t>East</t>
        </is>
      </c>
      <c r="F1915" s="61" t="n">
        <v>1</v>
      </c>
      <c r="G1915" s="62" t="n">
        <v>105.64</v>
      </c>
      <c r="H1915" s="63" t="n">
        <v>0.07199999999999999</v>
      </c>
      <c r="I1915" s="62" t="n">
        <v>65.45999999999999</v>
      </c>
      <c r="J1915" s="58" t="inlineStr">
        <is>
          <t>Online</t>
        </is>
      </c>
      <c r="K1915" s="62">
        <f>F1915*(G1915-H1915)</f>
        <v/>
      </c>
      <c r="L1915" s="62">
        <f>K1915-(F1915*I1915)</f>
        <v/>
      </c>
      <c r="M1915" s="64">
        <f>L1915/K1915</f>
        <v/>
      </c>
    </row>
    <row r="1916">
      <c r="A1916" s="58" t="inlineStr">
        <is>
          <t>RT20250219-01915</t>
        </is>
      </c>
      <c r="B1916" s="59" t="inlineStr">
        <is>
          <t>2025-02-19</t>
        </is>
      </c>
      <c r="C1916" s="60" t="inlineStr">
        <is>
          <t>Vertex Accessorie Pro-881</t>
        </is>
      </c>
      <c r="D1916" s="58" t="inlineStr">
        <is>
          <t>Apparel</t>
        </is>
      </c>
      <c r="E1916" s="58" t="inlineStr">
        <is>
          <t>North</t>
        </is>
      </c>
      <c r="F1916" s="61" t="n">
        <v>2</v>
      </c>
      <c r="G1916" s="62" t="n">
        <v>110.64</v>
      </c>
      <c r="H1916" s="63" t="n">
        <v>0.066</v>
      </c>
      <c r="I1916" s="62" t="n">
        <v>62.53</v>
      </c>
      <c r="J1916" s="58" t="inlineStr">
        <is>
          <t>Online</t>
        </is>
      </c>
      <c r="K1916" s="62">
        <f>F1916*(G1916-H1916)</f>
        <v/>
      </c>
      <c r="L1916" s="62">
        <f>K1916-(F1916*I1916)</f>
        <v/>
      </c>
      <c r="M1916" s="64">
        <f>L1916/K1916</f>
        <v/>
      </c>
    </row>
    <row r="1917">
      <c r="A1917" s="58" t="inlineStr">
        <is>
          <t>RT20250219-01916</t>
        </is>
      </c>
      <c r="B1917" s="59" t="inlineStr">
        <is>
          <t>2025-02-19</t>
        </is>
      </c>
      <c r="C1917" s="60" t="inlineStr">
        <is>
          <t>Aurora Kid Plus-151</t>
        </is>
      </c>
      <c r="D1917" s="58" t="inlineStr">
        <is>
          <t>Apparel</t>
        </is>
      </c>
      <c r="E1917" s="58" t="inlineStr">
        <is>
          <t>North</t>
        </is>
      </c>
      <c r="F1917" s="61" t="n">
        <v>3</v>
      </c>
      <c r="G1917" s="62" t="n">
        <v>134.11</v>
      </c>
      <c r="H1917" s="63" t="n">
        <v>0.024</v>
      </c>
      <c r="I1917" s="62" t="n">
        <v>64.44</v>
      </c>
      <c r="J1917" s="58" t="inlineStr">
        <is>
          <t>Store</t>
        </is>
      </c>
      <c r="K1917" s="62">
        <f>F1917*(G1917-H1917)</f>
        <v/>
      </c>
      <c r="L1917" s="62">
        <f>K1917-(F1917*I1917)</f>
        <v/>
      </c>
      <c r="M1917" s="64">
        <f>L1917/K1917</f>
        <v/>
      </c>
    </row>
    <row r="1918">
      <c r="A1918" s="58" t="inlineStr">
        <is>
          <t>RT20250219-01917</t>
        </is>
      </c>
      <c r="B1918" s="59" t="inlineStr">
        <is>
          <t>2025-02-19</t>
        </is>
      </c>
      <c r="C1918" s="60" t="inlineStr">
        <is>
          <t>Nimbus Headphone X-854</t>
        </is>
      </c>
      <c r="D1918" s="58" t="inlineStr">
        <is>
          <t>Electronics</t>
        </is>
      </c>
      <c r="E1918" s="58" t="inlineStr">
        <is>
          <t>West</t>
        </is>
      </c>
      <c r="F1918" s="61" t="n">
        <v>1</v>
      </c>
      <c r="G1918" s="62" t="n">
        <v>1577.58</v>
      </c>
      <c r="H1918" s="63" t="n">
        <v>0.036</v>
      </c>
      <c r="I1918" s="62" t="n">
        <v>1243.4</v>
      </c>
      <c r="J1918" s="58" t="inlineStr">
        <is>
          <t>Online</t>
        </is>
      </c>
      <c r="K1918" s="62">
        <f>F1918*(G1918-H1918)</f>
        <v/>
      </c>
      <c r="L1918" s="62">
        <f>K1918-(F1918*I1918)</f>
        <v/>
      </c>
      <c r="M1918" s="64">
        <f>L1918/K1918</f>
        <v/>
      </c>
    </row>
    <row r="1919">
      <c r="A1919" s="58" t="inlineStr">
        <is>
          <t>RT20250219-01918</t>
        </is>
      </c>
      <c r="B1919" s="59" t="inlineStr">
        <is>
          <t>2025-02-19</t>
        </is>
      </c>
      <c r="C1919" s="60" t="inlineStr">
        <is>
          <t>Solace Snack S-691</t>
        </is>
      </c>
      <c r="D1919" s="58" t="inlineStr">
        <is>
          <t>Grocery</t>
        </is>
      </c>
      <c r="E1919" s="58" t="inlineStr">
        <is>
          <t>Central</t>
        </is>
      </c>
      <c r="F1919" s="61" t="n">
        <v>3</v>
      </c>
      <c r="G1919" s="62" t="n">
        <v>10.46</v>
      </c>
      <c r="H1919" s="63" t="n">
        <v>0.065</v>
      </c>
      <c r="I1919" s="62" t="n">
        <v>7.01</v>
      </c>
      <c r="J1919" s="58" t="inlineStr">
        <is>
          <t>Store</t>
        </is>
      </c>
      <c r="K1919" s="62">
        <f>F1919*(G1919-H1919)</f>
        <v/>
      </c>
      <c r="L1919" s="62">
        <f>K1919-(F1919*I1919)</f>
        <v/>
      </c>
      <c r="M1919" s="64">
        <f>L1919/K1919</f>
        <v/>
      </c>
    </row>
    <row r="1920">
      <c r="A1920" s="58" t="inlineStr">
        <is>
          <t>RT20250219-01919</t>
        </is>
      </c>
      <c r="B1920" s="59" t="inlineStr">
        <is>
          <t>2025-02-19</t>
        </is>
      </c>
      <c r="C1920" s="60" t="inlineStr">
        <is>
          <t>Aurora Fitnes Lite-194</t>
        </is>
      </c>
      <c r="D1920" s="58" t="inlineStr">
        <is>
          <t>Sports</t>
        </is>
      </c>
      <c r="E1920" s="58" t="inlineStr">
        <is>
          <t>East</t>
        </is>
      </c>
      <c r="F1920" s="61" t="n">
        <v>3</v>
      </c>
      <c r="G1920" s="62" t="n">
        <v>751.27</v>
      </c>
      <c r="H1920" s="63" t="n">
        <v>0.111</v>
      </c>
      <c r="I1920" s="62" t="n">
        <v>469.49</v>
      </c>
      <c r="J1920" s="58" t="inlineStr">
        <is>
          <t>Online</t>
        </is>
      </c>
      <c r="K1920" s="62">
        <f>F1920*(G1920-H1920)</f>
        <v/>
      </c>
      <c r="L1920" s="62">
        <f>K1920-(F1920*I1920)</f>
        <v/>
      </c>
      <c r="M1920" s="64">
        <f>L1920/K1920</f>
        <v/>
      </c>
    </row>
    <row r="1921">
      <c r="A1921" s="58" t="inlineStr">
        <is>
          <t>RT20250219-01920</t>
        </is>
      </c>
      <c r="B1921" s="59" t="inlineStr">
        <is>
          <t>2025-02-19</t>
        </is>
      </c>
      <c r="C1921" s="60" t="inlineStr">
        <is>
          <t>Solace Bedding Plus-317</t>
        </is>
      </c>
      <c r="D1921" s="58" t="inlineStr">
        <is>
          <t>Home</t>
        </is>
      </c>
      <c r="E1921" s="58" t="inlineStr">
        <is>
          <t>West</t>
        </is>
      </c>
      <c r="F1921" s="61" t="n">
        <v>3</v>
      </c>
      <c r="G1921" s="62" t="n">
        <v>606.73</v>
      </c>
      <c r="H1921" s="63" t="n">
        <v>0.04</v>
      </c>
      <c r="I1921" s="62" t="n">
        <v>381.12</v>
      </c>
      <c r="J1921" s="58" t="inlineStr">
        <is>
          <t>Store</t>
        </is>
      </c>
      <c r="K1921" s="62">
        <f>F1921*(G1921-H1921)</f>
        <v/>
      </c>
      <c r="L1921" s="62">
        <f>K1921-(F1921*I1921)</f>
        <v/>
      </c>
      <c r="M1921" s="64">
        <f>L1921/K1921</f>
        <v/>
      </c>
    </row>
    <row r="1922">
      <c r="A1922" s="58" t="inlineStr">
        <is>
          <t>RT20250219-01921</t>
        </is>
      </c>
      <c r="B1922" s="59" t="inlineStr">
        <is>
          <t>2025-02-19</t>
        </is>
      </c>
      <c r="C1922" s="60" t="inlineStr">
        <is>
          <t>Polar Haircare Max-614</t>
        </is>
      </c>
      <c r="D1922" s="58" t="inlineStr">
        <is>
          <t>Beauty</t>
        </is>
      </c>
      <c r="E1922" s="58" t="inlineStr">
        <is>
          <t>West</t>
        </is>
      </c>
      <c r="F1922" s="61" t="n">
        <v>3</v>
      </c>
      <c r="G1922" s="62" t="n">
        <v>99.17</v>
      </c>
      <c r="H1922" s="63" t="n">
        <v>0.036</v>
      </c>
      <c r="I1922" s="62" t="n">
        <v>67.93000000000001</v>
      </c>
      <c r="J1922" s="58" t="inlineStr">
        <is>
          <t>Online</t>
        </is>
      </c>
      <c r="K1922" s="62">
        <f>F1922*(G1922-H1922)</f>
        <v/>
      </c>
      <c r="L1922" s="62">
        <f>K1922-(F1922*I1922)</f>
        <v/>
      </c>
      <c r="M1922" s="64">
        <f>L1922/K1922</f>
        <v/>
      </c>
    </row>
    <row r="1923">
      <c r="A1923" s="58" t="inlineStr">
        <is>
          <t>RT20250219-01922</t>
        </is>
      </c>
      <c r="B1923" s="59" t="inlineStr">
        <is>
          <t>2025-02-19</t>
        </is>
      </c>
      <c r="C1923" s="60" t="inlineStr">
        <is>
          <t>Nimbus Makeup Max-158</t>
        </is>
      </c>
      <c r="D1923" s="58" t="inlineStr">
        <is>
          <t>Beauty</t>
        </is>
      </c>
      <c r="E1923" s="58" t="inlineStr">
        <is>
          <t>East</t>
        </is>
      </c>
      <c r="F1923" s="61" t="n">
        <v>3</v>
      </c>
      <c r="G1923" s="62" t="n">
        <v>192.8</v>
      </c>
      <c r="H1923" s="63" t="n">
        <v>0.067</v>
      </c>
      <c r="I1923" s="62" t="n">
        <v>96.03</v>
      </c>
      <c r="J1923" s="58" t="inlineStr">
        <is>
          <t>Online</t>
        </is>
      </c>
      <c r="K1923" s="62">
        <f>F1923*(G1923-H1923)</f>
        <v/>
      </c>
      <c r="L1923" s="62">
        <f>K1923-(F1923*I1923)</f>
        <v/>
      </c>
      <c r="M1923" s="64">
        <f>L1923/K1923</f>
        <v/>
      </c>
    </row>
    <row r="1924">
      <c r="A1924" s="58" t="inlineStr">
        <is>
          <t>RT20250219-01923</t>
        </is>
      </c>
      <c r="B1924" s="59" t="inlineStr">
        <is>
          <t>2025-02-19</t>
        </is>
      </c>
      <c r="C1924" s="60" t="inlineStr">
        <is>
          <t>Polar Bedding Lite-243</t>
        </is>
      </c>
      <c r="D1924" s="58" t="inlineStr">
        <is>
          <t>Home</t>
        </is>
      </c>
      <c r="E1924" s="58" t="inlineStr">
        <is>
          <t>East</t>
        </is>
      </c>
      <c r="F1924" s="61" t="n">
        <v>1</v>
      </c>
      <c r="G1924" s="62" t="n">
        <v>452.38</v>
      </c>
      <c r="H1924" s="63" t="n">
        <v>0.082</v>
      </c>
      <c r="I1924" s="62" t="n">
        <v>326.85</v>
      </c>
      <c r="J1924" s="58" t="inlineStr">
        <is>
          <t>Store</t>
        </is>
      </c>
      <c r="K1924" s="62">
        <f>F1924*(G1924-H1924)</f>
        <v/>
      </c>
      <c r="L1924" s="62">
        <f>K1924-(F1924*I1924)</f>
        <v/>
      </c>
      <c r="M1924" s="64">
        <f>L1924/K1924</f>
        <v/>
      </c>
    </row>
    <row r="1925">
      <c r="A1925" s="58" t="inlineStr">
        <is>
          <t>RT20250219-01924</t>
        </is>
      </c>
      <c r="B1925" s="59" t="inlineStr">
        <is>
          <t>2025-02-19</t>
        </is>
      </c>
      <c r="C1925" s="60" t="inlineStr">
        <is>
          <t>Aurora Wearable Lite-162</t>
        </is>
      </c>
      <c r="D1925" s="58" t="inlineStr">
        <is>
          <t>Electronics</t>
        </is>
      </c>
      <c r="E1925" s="58" t="inlineStr">
        <is>
          <t>East</t>
        </is>
      </c>
      <c r="F1925" s="61" t="n">
        <v>1</v>
      </c>
      <c r="G1925" s="62" t="n">
        <v>1588.07</v>
      </c>
      <c r="H1925" s="63" t="n">
        <v>0.029</v>
      </c>
      <c r="I1925" s="62" t="n">
        <v>1193.59</v>
      </c>
      <c r="J1925" s="58" t="inlineStr">
        <is>
          <t>Store</t>
        </is>
      </c>
      <c r="K1925" s="62">
        <f>F1925*(G1925-H1925)</f>
        <v/>
      </c>
      <c r="L1925" s="62">
        <f>K1925-(F1925*I1925)</f>
        <v/>
      </c>
      <c r="M1925" s="64">
        <f>L1925/K1925</f>
        <v/>
      </c>
    </row>
    <row r="1926">
      <c r="A1926" s="58" t="inlineStr">
        <is>
          <t>RT20250219-01925</t>
        </is>
      </c>
      <c r="B1926" s="59" t="inlineStr">
        <is>
          <t>2025-02-19</t>
        </is>
      </c>
      <c r="C1926" s="60" t="inlineStr">
        <is>
          <t>Aurora Printer Plus-723</t>
        </is>
      </c>
      <c r="D1926" s="58" t="inlineStr">
        <is>
          <t>Office</t>
        </is>
      </c>
      <c r="E1926" s="58" t="inlineStr">
        <is>
          <t>South</t>
        </is>
      </c>
      <c r="F1926" s="61" t="n">
        <v>1</v>
      </c>
      <c r="G1926" s="62" t="n">
        <v>255.18</v>
      </c>
      <c r="H1926" s="63" t="n">
        <v>0.059</v>
      </c>
      <c r="I1926" s="62" t="n">
        <v>184.48</v>
      </c>
      <c r="J1926" s="58" t="inlineStr">
        <is>
          <t>Online</t>
        </is>
      </c>
      <c r="K1926" s="62">
        <f>F1926*(G1926-H1926)</f>
        <v/>
      </c>
      <c r="L1926" s="62">
        <f>K1926-(F1926*I1926)</f>
        <v/>
      </c>
      <c r="M1926" s="64">
        <f>L1926/K1926</f>
        <v/>
      </c>
    </row>
    <row r="1927">
      <c r="A1927" s="58" t="inlineStr">
        <is>
          <t>RT20250219-01926</t>
        </is>
      </c>
      <c r="B1927" s="59" t="inlineStr">
        <is>
          <t>2025-02-19</t>
        </is>
      </c>
      <c r="C1927" s="60" t="inlineStr">
        <is>
          <t>Polar Snack Pro-641</t>
        </is>
      </c>
      <c r="D1927" s="58" t="inlineStr">
        <is>
          <t>Grocery</t>
        </is>
      </c>
      <c r="E1927" s="58" t="inlineStr">
        <is>
          <t>North</t>
        </is>
      </c>
      <c r="F1927" s="61" t="n">
        <v>6</v>
      </c>
      <c r="G1927" s="62" t="n">
        <v>12.24</v>
      </c>
      <c r="H1927" s="63" t="n">
        <v>0.044</v>
      </c>
      <c r="I1927" s="62" t="n">
        <v>9.539999999999999</v>
      </c>
      <c r="J1927" s="58" t="inlineStr">
        <is>
          <t>Online</t>
        </is>
      </c>
      <c r="K1927" s="62">
        <f>F1927*(G1927-H1927)</f>
        <v/>
      </c>
      <c r="L1927" s="62">
        <f>K1927-(F1927*I1927)</f>
        <v/>
      </c>
      <c r="M1927" s="64">
        <f>L1927/K1927</f>
        <v/>
      </c>
    </row>
    <row r="1928">
      <c r="A1928" s="58" t="inlineStr">
        <is>
          <t>RT20250219-01927</t>
        </is>
      </c>
      <c r="B1928" s="59" t="inlineStr">
        <is>
          <t>2025-02-19</t>
        </is>
      </c>
      <c r="C1928" s="60" t="inlineStr">
        <is>
          <t>Vertex Supplie X-513</t>
        </is>
      </c>
      <c r="D1928" s="58" t="inlineStr">
        <is>
          <t>Office</t>
        </is>
      </c>
      <c r="E1928" s="58" t="inlineStr">
        <is>
          <t>East</t>
        </is>
      </c>
      <c r="F1928" s="61" t="n">
        <v>1</v>
      </c>
      <c r="G1928" s="62" t="n">
        <v>368.04</v>
      </c>
      <c r="H1928" s="63" t="n">
        <v>0.031</v>
      </c>
      <c r="I1928" s="62" t="n">
        <v>286.32</v>
      </c>
      <c r="J1928" s="58" t="inlineStr">
        <is>
          <t>Online</t>
        </is>
      </c>
      <c r="K1928" s="62">
        <f>F1928*(G1928-H1928)</f>
        <v/>
      </c>
      <c r="L1928" s="62">
        <f>K1928-(F1928*I1928)</f>
        <v/>
      </c>
      <c r="M1928" s="64">
        <f>L1928/K1928</f>
        <v/>
      </c>
    </row>
    <row r="1929">
      <c r="A1929" s="58" t="inlineStr">
        <is>
          <t>RT20250219-01928</t>
        </is>
      </c>
      <c r="B1929" s="59" t="inlineStr">
        <is>
          <t>2025-02-19</t>
        </is>
      </c>
      <c r="C1929" s="60" t="inlineStr">
        <is>
          <t>Aurora Makeup Pro-489</t>
        </is>
      </c>
      <c r="D1929" s="58" t="inlineStr">
        <is>
          <t>Beauty</t>
        </is>
      </c>
      <c r="E1929" s="58" t="inlineStr">
        <is>
          <t>East</t>
        </is>
      </c>
      <c r="F1929" s="61" t="n">
        <v>4</v>
      </c>
      <c r="G1929" s="62" t="n">
        <v>110.57</v>
      </c>
      <c r="H1929" s="63" t="n">
        <v>0.043</v>
      </c>
      <c r="I1929" s="62" t="n">
        <v>62.35</v>
      </c>
      <c r="J1929" s="58" t="inlineStr">
        <is>
          <t>Store</t>
        </is>
      </c>
      <c r="K1929" s="62">
        <f>F1929*(G1929-H1929)</f>
        <v/>
      </c>
      <c r="L1929" s="62">
        <f>K1929-(F1929*I1929)</f>
        <v/>
      </c>
      <c r="M1929" s="64">
        <f>L1929/K1929</f>
        <v/>
      </c>
    </row>
    <row r="1930">
      <c r="A1930" s="58" t="inlineStr">
        <is>
          <t>RT20250219-01929</t>
        </is>
      </c>
      <c r="B1930" s="59" t="inlineStr">
        <is>
          <t>2025-02-19</t>
        </is>
      </c>
      <c r="C1930" s="60" t="inlineStr">
        <is>
          <t>Nimbus Women Plus-352</t>
        </is>
      </c>
      <c r="D1930" s="58" t="inlineStr">
        <is>
          <t>Apparel</t>
        </is>
      </c>
      <c r="E1930" s="58" t="inlineStr">
        <is>
          <t>South</t>
        </is>
      </c>
      <c r="F1930" s="61" t="n">
        <v>3</v>
      </c>
      <c r="G1930" s="62" t="n">
        <v>60.67</v>
      </c>
      <c r="H1930" s="63" t="n">
        <v>0.038</v>
      </c>
      <c r="I1930" s="62" t="n">
        <v>32.88</v>
      </c>
      <c r="J1930" s="58" t="inlineStr">
        <is>
          <t>Online</t>
        </is>
      </c>
      <c r="K1930" s="62">
        <f>F1930*(G1930-H1930)</f>
        <v/>
      </c>
      <c r="L1930" s="62">
        <f>K1930-(F1930*I1930)</f>
        <v/>
      </c>
      <c r="M1930" s="64">
        <f>L1930/K1930</f>
        <v/>
      </c>
    </row>
    <row r="1931">
      <c r="A1931" s="58" t="inlineStr">
        <is>
          <t>RT20250219-01930</t>
        </is>
      </c>
      <c r="B1931" s="59" t="inlineStr">
        <is>
          <t>2025-02-19</t>
        </is>
      </c>
      <c r="C1931" s="60" t="inlineStr">
        <is>
          <t>Nimbus Women Lite-814</t>
        </is>
      </c>
      <c r="D1931" s="58" t="inlineStr">
        <is>
          <t>Apparel</t>
        </is>
      </c>
      <c r="E1931" s="58" t="inlineStr">
        <is>
          <t>North</t>
        </is>
      </c>
      <c r="F1931" s="61" t="n">
        <v>3</v>
      </c>
      <c r="G1931" s="62" t="n">
        <v>151.21</v>
      </c>
      <c r="H1931" s="63" t="n">
        <v>0.04</v>
      </c>
      <c r="I1931" s="62" t="n">
        <v>81.48</v>
      </c>
      <c r="J1931" s="58" t="inlineStr">
        <is>
          <t>Online</t>
        </is>
      </c>
      <c r="K1931" s="62">
        <f>F1931*(G1931-H1931)</f>
        <v/>
      </c>
      <c r="L1931" s="62">
        <f>K1931-(F1931*I1931)</f>
        <v/>
      </c>
      <c r="M1931" s="64">
        <f>L1931/K1931</f>
        <v/>
      </c>
    </row>
    <row r="1932">
      <c r="A1932" s="58" t="inlineStr">
        <is>
          <t>RT20250219-01931</t>
        </is>
      </c>
      <c r="B1932" s="59" t="inlineStr">
        <is>
          <t>2025-02-19</t>
        </is>
      </c>
      <c r="C1932" s="60" t="inlineStr">
        <is>
          <t>Falcon Household Plus-796</t>
        </is>
      </c>
      <c r="D1932" s="58" t="inlineStr">
        <is>
          <t>Grocery</t>
        </is>
      </c>
      <c r="E1932" s="58" t="inlineStr">
        <is>
          <t>East</t>
        </is>
      </c>
      <c r="F1932" s="61" t="n">
        <v>5</v>
      </c>
      <c r="G1932" s="62" t="n">
        <v>23.63</v>
      </c>
      <c r="H1932" s="63" t="n">
        <v>0.067</v>
      </c>
      <c r="I1932" s="62" t="n">
        <v>17.69</v>
      </c>
      <c r="J1932" s="58" t="inlineStr">
        <is>
          <t>Phone</t>
        </is>
      </c>
      <c r="K1932" s="62">
        <f>F1932*(G1932-H1932)</f>
        <v/>
      </c>
      <c r="L1932" s="62">
        <f>K1932-(F1932*I1932)</f>
        <v/>
      </c>
      <c r="M1932" s="64">
        <f>L1932/K1932</f>
        <v/>
      </c>
    </row>
    <row r="1933">
      <c r="A1933" s="58" t="inlineStr">
        <is>
          <t>RT20250219-01932</t>
        </is>
      </c>
      <c r="B1933" s="59" t="inlineStr">
        <is>
          <t>2025-02-19</t>
        </is>
      </c>
      <c r="C1933" s="60" t="inlineStr">
        <is>
          <t>Polar Cycling S-223</t>
        </is>
      </c>
      <c r="D1933" s="58" t="inlineStr">
        <is>
          <t>Sports</t>
        </is>
      </c>
      <c r="E1933" s="58" t="inlineStr">
        <is>
          <t>West</t>
        </is>
      </c>
      <c r="F1933" s="61" t="n">
        <v>1</v>
      </c>
      <c r="G1933" s="62" t="n">
        <v>882.58</v>
      </c>
      <c r="H1933" s="63" t="n">
        <v>0.082</v>
      </c>
      <c r="I1933" s="62" t="n">
        <v>645.28</v>
      </c>
      <c r="J1933" s="58" t="inlineStr">
        <is>
          <t>Online</t>
        </is>
      </c>
      <c r="K1933" s="62">
        <f>F1933*(G1933-H1933)</f>
        <v/>
      </c>
      <c r="L1933" s="62">
        <f>K1933-(F1933*I1933)</f>
        <v/>
      </c>
      <c r="M1933" s="64">
        <f>L1933/K1933</f>
        <v/>
      </c>
    </row>
    <row r="1934">
      <c r="A1934" s="58" t="inlineStr">
        <is>
          <t>RT20250219-01933</t>
        </is>
      </c>
      <c r="B1934" s="59" t="inlineStr">
        <is>
          <t>2025-02-19</t>
        </is>
      </c>
      <c r="C1934" s="60" t="inlineStr">
        <is>
          <t>Orion Storage Plus-961</t>
        </is>
      </c>
      <c r="D1934" s="58" t="inlineStr">
        <is>
          <t>Office</t>
        </is>
      </c>
      <c r="E1934" s="58" t="inlineStr">
        <is>
          <t>South</t>
        </is>
      </c>
      <c r="F1934" s="61" t="n">
        <v>1</v>
      </c>
      <c r="G1934" s="62" t="n">
        <v>519.38</v>
      </c>
      <c r="H1934" s="63" t="n">
        <v>0.064</v>
      </c>
      <c r="I1934" s="62" t="n">
        <v>368.73</v>
      </c>
      <c r="J1934" s="58" t="inlineStr">
        <is>
          <t>Phone</t>
        </is>
      </c>
      <c r="K1934" s="62">
        <f>F1934*(G1934-H1934)</f>
        <v/>
      </c>
      <c r="L1934" s="62">
        <f>K1934-(F1934*I1934)</f>
        <v/>
      </c>
      <c r="M1934" s="64">
        <f>L1934/K1934</f>
        <v/>
      </c>
    </row>
    <row r="1935">
      <c r="A1935" s="58" t="inlineStr">
        <is>
          <t>RT20250219-01934</t>
        </is>
      </c>
      <c r="B1935" s="59" t="inlineStr">
        <is>
          <t>2025-02-19</t>
        </is>
      </c>
      <c r="C1935" s="60" t="inlineStr">
        <is>
          <t>Polar Decor Plus-505</t>
        </is>
      </c>
      <c r="D1935" s="58" t="inlineStr">
        <is>
          <t>Home</t>
        </is>
      </c>
      <c r="E1935" s="58" t="inlineStr">
        <is>
          <t>South</t>
        </is>
      </c>
      <c r="F1935" s="61" t="n">
        <v>2</v>
      </c>
      <c r="G1935" s="62" t="n">
        <v>287.89</v>
      </c>
      <c r="H1935" s="63" t="n">
        <v>0.089</v>
      </c>
      <c r="I1935" s="62" t="n">
        <v>195.47</v>
      </c>
      <c r="J1935" s="58" t="inlineStr">
        <is>
          <t>Online</t>
        </is>
      </c>
      <c r="K1935" s="62">
        <f>F1935*(G1935-H1935)</f>
        <v/>
      </c>
      <c r="L1935" s="62">
        <f>K1935-(F1935*I1935)</f>
        <v/>
      </c>
      <c r="M1935" s="64">
        <f>L1935/K1935</f>
        <v/>
      </c>
    </row>
    <row r="1936">
      <c r="A1936" s="58" t="inlineStr">
        <is>
          <t>RT20250219-01935</t>
        </is>
      </c>
      <c r="B1936" s="59" t="inlineStr">
        <is>
          <t>2025-02-19</t>
        </is>
      </c>
      <c r="C1936" s="60" t="inlineStr">
        <is>
          <t>Vertex Appliance S-159</t>
        </is>
      </c>
      <c r="D1936" s="58" t="inlineStr">
        <is>
          <t>Home</t>
        </is>
      </c>
      <c r="E1936" s="58" t="inlineStr">
        <is>
          <t>West</t>
        </is>
      </c>
      <c r="F1936" s="61" t="n">
        <v>1</v>
      </c>
      <c r="G1936" s="62" t="n">
        <v>476.27</v>
      </c>
      <c r="H1936" s="63" t="n">
        <v>0.108</v>
      </c>
      <c r="I1936" s="62" t="n">
        <v>293.51</v>
      </c>
      <c r="J1936" s="58" t="inlineStr">
        <is>
          <t>Store</t>
        </is>
      </c>
      <c r="K1936" s="62">
        <f>F1936*(G1936-H1936)</f>
        <v/>
      </c>
      <c r="L1936" s="62">
        <f>K1936-(F1936*I1936)</f>
        <v/>
      </c>
      <c r="M1936" s="64">
        <f>L1936/K1936</f>
        <v/>
      </c>
    </row>
    <row r="1937">
      <c r="A1937" s="58" t="inlineStr">
        <is>
          <t>RT20250219-01936</t>
        </is>
      </c>
      <c r="B1937" s="59" t="inlineStr">
        <is>
          <t>2025-02-19</t>
        </is>
      </c>
      <c r="C1937" s="60" t="inlineStr">
        <is>
          <t>Falcon Cycling Pro-499</t>
        </is>
      </c>
      <c r="D1937" s="58" t="inlineStr">
        <is>
          <t>Sports</t>
        </is>
      </c>
      <c r="E1937" s="58" t="inlineStr">
        <is>
          <t>South</t>
        </is>
      </c>
      <c r="F1937" s="61" t="n">
        <v>2</v>
      </c>
      <c r="G1937" s="62" t="n">
        <v>750.1</v>
      </c>
      <c r="H1937" s="63" t="n">
        <v>0.082</v>
      </c>
      <c r="I1937" s="62" t="n">
        <v>402.86</v>
      </c>
      <c r="J1937" s="58" t="inlineStr">
        <is>
          <t>Store</t>
        </is>
      </c>
      <c r="K1937" s="62">
        <f>F1937*(G1937-H1937)</f>
        <v/>
      </c>
      <c r="L1937" s="62">
        <f>K1937-(F1937*I1937)</f>
        <v/>
      </c>
      <c r="M1937" s="64">
        <f>L1937/K1937</f>
        <v/>
      </c>
    </row>
    <row r="1938">
      <c r="A1938" s="58" t="inlineStr">
        <is>
          <t>RT20250219-01937</t>
        </is>
      </c>
      <c r="B1938" s="59" t="inlineStr">
        <is>
          <t>2025-02-19</t>
        </is>
      </c>
      <c r="C1938" s="60" t="inlineStr">
        <is>
          <t>Vertex Skincare Pro-891</t>
        </is>
      </c>
      <c r="D1938" s="58" t="inlineStr">
        <is>
          <t>Beauty</t>
        </is>
      </c>
      <c r="E1938" s="58" t="inlineStr">
        <is>
          <t>East</t>
        </is>
      </c>
      <c r="F1938" s="61" t="n">
        <v>1</v>
      </c>
      <c r="G1938" s="62" t="n">
        <v>141.06</v>
      </c>
      <c r="H1938" s="63" t="n">
        <v>0.061</v>
      </c>
      <c r="I1938" s="62" t="n">
        <v>88</v>
      </c>
      <c r="J1938" s="58" t="inlineStr">
        <is>
          <t>Online</t>
        </is>
      </c>
      <c r="K1938" s="62">
        <f>F1938*(G1938-H1938)</f>
        <v/>
      </c>
      <c r="L1938" s="62">
        <f>K1938-(F1938*I1938)</f>
        <v/>
      </c>
      <c r="M1938" s="64">
        <f>L1938/K1938</f>
        <v/>
      </c>
    </row>
    <row r="1939">
      <c r="A1939" s="58" t="inlineStr">
        <is>
          <t>RT20250219-01938</t>
        </is>
      </c>
      <c r="B1939" s="59" t="inlineStr">
        <is>
          <t>2025-02-19</t>
        </is>
      </c>
      <c r="C1939" s="60" t="inlineStr">
        <is>
          <t>Falcon Household Plus-172</t>
        </is>
      </c>
      <c r="D1939" s="58" t="inlineStr">
        <is>
          <t>Grocery</t>
        </is>
      </c>
      <c r="E1939" s="58" t="inlineStr">
        <is>
          <t>North</t>
        </is>
      </c>
      <c r="F1939" s="61" t="n">
        <v>4</v>
      </c>
      <c r="G1939" s="62" t="n">
        <v>20.2</v>
      </c>
      <c r="H1939" s="63" t="n">
        <v>0.023</v>
      </c>
      <c r="I1939" s="62" t="n">
        <v>16.58</v>
      </c>
      <c r="J1939" s="58" t="inlineStr">
        <is>
          <t>Online</t>
        </is>
      </c>
      <c r="K1939" s="62">
        <f>F1939*(G1939-H1939)</f>
        <v/>
      </c>
      <c r="L1939" s="62">
        <f>K1939-(F1939*I1939)</f>
        <v/>
      </c>
      <c r="M1939" s="64">
        <f>L1939/K1939</f>
        <v/>
      </c>
    </row>
    <row r="1940">
      <c r="A1940" s="58" t="inlineStr">
        <is>
          <t>RT20250219-01939</t>
        </is>
      </c>
      <c r="B1940" s="59" t="inlineStr">
        <is>
          <t>2025-02-19</t>
        </is>
      </c>
      <c r="C1940" s="60" t="inlineStr">
        <is>
          <t>Vertex Appliance S-159</t>
        </is>
      </c>
      <c r="D1940" s="58" t="inlineStr">
        <is>
          <t>Home</t>
        </is>
      </c>
      <c r="E1940" s="58" t="inlineStr">
        <is>
          <t>West</t>
        </is>
      </c>
      <c r="F1940" s="61" t="n">
        <v>2</v>
      </c>
      <c r="G1940" s="62" t="n">
        <v>470.9</v>
      </c>
      <c r="H1940" s="63" t="n">
        <v>0.059</v>
      </c>
      <c r="I1940" s="62" t="n">
        <v>294.71</v>
      </c>
      <c r="J1940" s="58" t="inlineStr">
        <is>
          <t>Store</t>
        </is>
      </c>
      <c r="K1940" s="62">
        <f>F1940*(G1940-H1940)</f>
        <v/>
      </c>
      <c r="L1940" s="62">
        <f>K1940-(F1940*I1940)</f>
        <v/>
      </c>
      <c r="M1940" s="64">
        <f>L1940/K1940</f>
        <v/>
      </c>
    </row>
    <row r="1941">
      <c r="A1941" s="58" t="inlineStr">
        <is>
          <t>RT20250219-01940</t>
        </is>
      </c>
      <c r="B1941" s="59" t="inlineStr">
        <is>
          <t>2025-02-19</t>
        </is>
      </c>
      <c r="C1941" s="60" t="inlineStr">
        <is>
          <t>Metro Accessorie Max-316</t>
        </is>
      </c>
      <c r="D1941" s="58" t="inlineStr">
        <is>
          <t>Apparel</t>
        </is>
      </c>
      <c r="E1941" s="58" t="inlineStr">
        <is>
          <t>East</t>
        </is>
      </c>
      <c r="F1941" s="61" t="n">
        <v>4</v>
      </c>
      <c r="G1941" s="62" t="n">
        <v>176.95</v>
      </c>
      <c r="H1941" s="63" t="n">
        <v>0.032</v>
      </c>
      <c r="I1941" s="62" t="n">
        <v>92.11</v>
      </c>
      <c r="J1941" s="58" t="inlineStr">
        <is>
          <t>Online</t>
        </is>
      </c>
      <c r="K1941" s="62">
        <f>F1941*(G1941-H1941)</f>
        <v/>
      </c>
      <c r="L1941" s="62">
        <f>K1941-(F1941*I1941)</f>
        <v/>
      </c>
      <c r="M1941" s="64">
        <f>L1941/K1941</f>
        <v/>
      </c>
    </row>
    <row r="1942">
      <c r="A1942" s="58" t="inlineStr">
        <is>
          <t>RT20250219-01941</t>
        </is>
      </c>
      <c r="B1942" s="59" t="inlineStr">
        <is>
          <t>2025-02-19</t>
        </is>
      </c>
      <c r="C1942" s="60" t="inlineStr">
        <is>
          <t>Polar Outdoor X-193</t>
        </is>
      </c>
      <c r="D1942" s="58" t="inlineStr">
        <is>
          <t>Sports</t>
        </is>
      </c>
      <c r="E1942" s="58" t="inlineStr">
        <is>
          <t>West</t>
        </is>
      </c>
      <c r="F1942" s="61" t="n">
        <v>1</v>
      </c>
      <c r="G1942" s="62" t="n">
        <v>776.03</v>
      </c>
      <c r="H1942" s="63" t="n">
        <v>0.059</v>
      </c>
      <c r="I1942" s="62" t="n">
        <v>443.05</v>
      </c>
      <c r="J1942" s="58" t="inlineStr">
        <is>
          <t>Store</t>
        </is>
      </c>
      <c r="K1942" s="62">
        <f>F1942*(G1942-H1942)</f>
        <v/>
      </c>
      <c r="L1942" s="62">
        <f>K1942-(F1942*I1942)</f>
        <v/>
      </c>
      <c r="M1942" s="64">
        <f>L1942/K1942</f>
        <v/>
      </c>
    </row>
    <row r="1943">
      <c r="A1943" s="58" t="inlineStr">
        <is>
          <t>RT20250219-01942</t>
        </is>
      </c>
      <c r="B1943" s="59" t="inlineStr">
        <is>
          <t>2025-02-19</t>
        </is>
      </c>
      <c r="C1943" s="60" t="inlineStr">
        <is>
          <t>Metro Pantry X-710</t>
        </is>
      </c>
      <c r="D1943" s="58" t="inlineStr">
        <is>
          <t>Grocery</t>
        </is>
      </c>
      <c r="E1943" s="58" t="inlineStr">
        <is>
          <t>East</t>
        </is>
      </c>
      <c r="F1943" s="61" t="n">
        <v>3</v>
      </c>
      <c r="G1943" s="62" t="n">
        <v>5.82</v>
      </c>
      <c r="H1943" s="63" t="n">
        <v>0.018</v>
      </c>
      <c r="I1943" s="62" t="n">
        <v>4.2</v>
      </c>
      <c r="J1943" s="58" t="inlineStr">
        <is>
          <t>Online</t>
        </is>
      </c>
      <c r="K1943" s="62">
        <f>F1943*(G1943-H1943)</f>
        <v/>
      </c>
      <c r="L1943" s="62">
        <f>K1943-(F1943*I1943)</f>
        <v/>
      </c>
      <c r="M1943" s="64">
        <f>L1943/K1943</f>
        <v/>
      </c>
    </row>
    <row r="1944">
      <c r="A1944" s="58" t="inlineStr">
        <is>
          <t>RT20250219-01943</t>
        </is>
      </c>
      <c r="B1944" s="59" t="inlineStr">
        <is>
          <t>2025-02-19</t>
        </is>
      </c>
      <c r="C1944" s="60" t="inlineStr">
        <is>
          <t>Falcon Kitchen X-130</t>
        </is>
      </c>
      <c r="D1944" s="58" t="inlineStr">
        <is>
          <t>Home</t>
        </is>
      </c>
      <c r="E1944" s="58" t="inlineStr">
        <is>
          <t>South</t>
        </is>
      </c>
      <c r="F1944" s="61" t="n">
        <v>2</v>
      </c>
      <c r="G1944" s="62" t="n">
        <v>409.38</v>
      </c>
      <c r="H1944" s="63" t="n">
        <v>0.058</v>
      </c>
      <c r="I1944" s="62" t="n">
        <v>280.46</v>
      </c>
      <c r="J1944" s="58" t="inlineStr">
        <is>
          <t>Store</t>
        </is>
      </c>
      <c r="K1944" s="62">
        <f>F1944*(G1944-H1944)</f>
        <v/>
      </c>
      <c r="L1944" s="62">
        <f>K1944-(F1944*I1944)</f>
        <v/>
      </c>
      <c r="M1944" s="64">
        <f>L1944/K1944</f>
        <v/>
      </c>
    </row>
    <row r="1945">
      <c r="A1945" s="58" t="inlineStr">
        <is>
          <t>RT20250219-01944</t>
        </is>
      </c>
      <c r="B1945" s="59" t="inlineStr">
        <is>
          <t>2025-02-19</t>
        </is>
      </c>
      <c r="C1945" s="60" t="inlineStr">
        <is>
          <t>Solace Headphone Pro-344</t>
        </is>
      </c>
      <c r="D1945" s="58" t="inlineStr">
        <is>
          <t>Electronics</t>
        </is>
      </c>
      <c r="E1945" s="58" t="inlineStr">
        <is>
          <t>West</t>
        </is>
      </c>
      <c r="F1945" s="61" t="n">
        <v>1</v>
      </c>
      <c r="G1945" s="62" t="n">
        <v>1228.69</v>
      </c>
      <c r="H1945" s="63" t="n">
        <v>0.015</v>
      </c>
      <c r="I1945" s="62" t="n">
        <v>1044.5</v>
      </c>
      <c r="J1945" s="58" t="inlineStr">
        <is>
          <t>Online</t>
        </is>
      </c>
      <c r="K1945" s="62">
        <f>F1945*(G1945-H1945)</f>
        <v/>
      </c>
      <c r="L1945" s="62">
        <f>K1945-(F1945*I1945)</f>
        <v/>
      </c>
      <c r="M1945" s="64">
        <f>L1945/K1945</f>
        <v/>
      </c>
    </row>
    <row r="1946">
      <c r="A1946" s="58" t="inlineStr">
        <is>
          <t>RT20250219-01945</t>
        </is>
      </c>
      <c r="B1946" s="59" t="inlineStr">
        <is>
          <t>2025-02-19</t>
        </is>
      </c>
      <c r="C1946" s="60" t="inlineStr">
        <is>
          <t>Polar Bedding Lite-243</t>
        </is>
      </c>
      <c r="D1946" s="58" t="inlineStr">
        <is>
          <t>Home</t>
        </is>
      </c>
      <c r="E1946" s="58" t="inlineStr">
        <is>
          <t>Central</t>
        </is>
      </c>
      <c r="F1946" s="61" t="n">
        <v>1</v>
      </c>
      <c r="G1946" s="62" t="n">
        <v>447.66</v>
      </c>
      <c r="H1946" s="63" t="n">
        <v>0.031</v>
      </c>
      <c r="I1946" s="62" t="n">
        <v>314.36</v>
      </c>
      <c r="J1946" s="58" t="inlineStr">
        <is>
          <t>Online</t>
        </is>
      </c>
      <c r="K1946" s="62">
        <f>F1946*(G1946-H1946)</f>
        <v/>
      </c>
      <c r="L1946" s="62">
        <f>K1946-(F1946*I1946)</f>
        <v/>
      </c>
      <c r="M1946" s="64">
        <f>L1946/K1946</f>
        <v/>
      </c>
    </row>
    <row r="1947">
      <c r="A1947" s="58" t="inlineStr">
        <is>
          <t>RT20250219-01946</t>
        </is>
      </c>
      <c r="B1947" s="59" t="inlineStr">
        <is>
          <t>2025-02-19</t>
        </is>
      </c>
      <c r="C1947" s="60" t="inlineStr">
        <is>
          <t>Polar Wearable X-119</t>
        </is>
      </c>
      <c r="D1947" s="58" t="inlineStr">
        <is>
          <t>Electronics</t>
        </is>
      </c>
      <c r="E1947" s="58" t="inlineStr">
        <is>
          <t>East</t>
        </is>
      </c>
      <c r="F1947" s="61" t="n">
        <v>1</v>
      </c>
      <c r="G1947" s="62" t="n">
        <v>1936.92</v>
      </c>
      <c r="H1947" s="63" t="n">
        <v>0.083</v>
      </c>
      <c r="I1947" s="62" t="n">
        <v>1339.73</v>
      </c>
      <c r="J1947" s="58" t="inlineStr">
        <is>
          <t>Store</t>
        </is>
      </c>
      <c r="K1947" s="62">
        <f>F1947*(G1947-H1947)</f>
        <v/>
      </c>
      <c r="L1947" s="62">
        <f>K1947-(F1947*I1947)</f>
        <v/>
      </c>
      <c r="M1947" s="64">
        <f>L1947/K1947</f>
        <v/>
      </c>
    </row>
    <row r="1948">
      <c r="A1948" s="58" t="inlineStr">
        <is>
          <t>RT20250219-01947</t>
        </is>
      </c>
      <c r="B1948" s="59" t="inlineStr">
        <is>
          <t>2025-02-19</t>
        </is>
      </c>
      <c r="C1948" s="60" t="inlineStr">
        <is>
          <t>Orion Storage Plus-961</t>
        </is>
      </c>
      <c r="D1948" s="58" t="inlineStr">
        <is>
          <t>Office</t>
        </is>
      </c>
      <c r="E1948" s="58" t="inlineStr">
        <is>
          <t>West</t>
        </is>
      </c>
      <c r="F1948" s="61" t="n">
        <v>1</v>
      </c>
      <c r="G1948" s="62" t="n">
        <v>500.01</v>
      </c>
      <c r="H1948" s="63" t="n">
        <v>0.091</v>
      </c>
      <c r="I1948" s="62" t="n">
        <v>366.58</v>
      </c>
      <c r="J1948" s="58" t="inlineStr">
        <is>
          <t>Online</t>
        </is>
      </c>
      <c r="K1948" s="62">
        <f>F1948*(G1948-H1948)</f>
        <v/>
      </c>
      <c r="L1948" s="62">
        <f>K1948-(F1948*I1948)</f>
        <v/>
      </c>
      <c r="M1948" s="64">
        <f>L1948/K1948</f>
        <v/>
      </c>
    </row>
    <row r="1949">
      <c r="A1949" s="58" t="inlineStr">
        <is>
          <t>RT20250219-01948</t>
        </is>
      </c>
      <c r="B1949" s="59" t="inlineStr">
        <is>
          <t>2025-02-19</t>
        </is>
      </c>
      <c r="C1949" s="60" t="inlineStr">
        <is>
          <t>Falcon Household Plus-796</t>
        </is>
      </c>
      <c r="D1949" s="58" t="inlineStr">
        <is>
          <t>Grocery</t>
        </is>
      </c>
      <c r="E1949" s="58" t="inlineStr">
        <is>
          <t>West</t>
        </is>
      </c>
      <c r="F1949" s="61" t="n">
        <v>3</v>
      </c>
      <c r="G1949" s="62" t="n">
        <v>25.57</v>
      </c>
      <c r="H1949" s="63" t="n">
        <v>0.068</v>
      </c>
      <c r="I1949" s="62" t="n">
        <v>17.59</v>
      </c>
      <c r="J1949" s="58" t="inlineStr">
        <is>
          <t>Store</t>
        </is>
      </c>
      <c r="K1949" s="62">
        <f>F1949*(G1949-H1949)</f>
        <v/>
      </c>
      <c r="L1949" s="62">
        <f>K1949-(F1949*I1949)</f>
        <v/>
      </c>
      <c r="M1949" s="64">
        <f>L1949/K1949</f>
        <v/>
      </c>
    </row>
    <row r="1950">
      <c r="A1950" s="58" t="inlineStr">
        <is>
          <t>RT20250219-01949</t>
        </is>
      </c>
      <c r="B1950" s="59" t="inlineStr">
        <is>
          <t>2025-02-19</t>
        </is>
      </c>
      <c r="C1950" s="60" t="inlineStr">
        <is>
          <t>Aurora Appliance Lite-109</t>
        </is>
      </c>
      <c r="D1950" s="58" t="inlineStr">
        <is>
          <t>Home</t>
        </is>
      </c>
      <c r="E1950" s="58" t="inlineStr">
        <is>
          <t>East</t>
        </is>
      </c>
      <c r="F1950" s="61" t="n">
        <v>3</v>
      </c>
      <c r="G1950" s="62" t="n">
        <v>287.44</v>
      </c>
      <c r="H1950" s="63" t="n">
        <v>0.036</v>
      </c>
      <c r="I1950" s="62" t="n">
        <v>199.49</v>
      </c>
      <c r="J1950" s="58" t="inlineStr">
        <is>
          <t>Online</t>
        </is>
      </c>
      <c r="K1950" s="62">
        <f>F1950*(G1950-H1950)</f>
        <v/>
      </c>
      <c r="L1950" s="62">
        <f>K1950-(F1950*I1950)</f>
        <v/>
      </c>
      <c r="M1950" s="64">
        <f>L1950/K1950</f>
        <v/>
      </c>
    </row>
    <row r="1951">
      <c r="A1951" s="58" t="inlineStr">
        <is>
          <t>RT20250219-01950</t>
        </is>
      </c>
      <c r="B1951" s="59" t="inlineStr">
        <is>
          <t>2025-02-19</t>
        </is>
      </c>
      <c r="C1951" s="60" t="inlineStr">
        <is>
          <t>Aurora Smartphone Plus-125</t>
        </is>
      </c>
      <c r="D1951" s="58" t="inlineStr">
        <is>
          <t>Electronics</t>
        </is>
      </c>
      <c r="E1951" s="58" t="inlineStr">
        <is>
          <t>East</t>
        </is>
      </c>
      <c r="F1951" s="61" t="n">
        <v>2</v>
      </c>
      <c r="G1951" s="62" t="n">
        <v>1547.06</v>
      </c>
      <c r="H1951" s="63" t="n">
        <v>0.06900000000000001</v>
      </c>
      <c r="I1951" s="62" t="n">
        <v>1199.32</v>
      </c>
      <c r="J1951" s="58" t="inlineStr">
        <is>
          <t>Phone</t>
        </is>
      </c>
      <c r="K1951" s="62">
        <f>F1951*(G1951-H1951)</f>
        <v/>
      </c>
      <c r="L1951" s="62">
        <f>K1951-(F1951*I1951)</f>
        <v/>
      </c>
      <c r="M1951" s="64">
        <f>L1951/K1951</f>
        <v/>
      </c>
    </row>
    <row r="1952">
      <c r="A1952" s="58" t="inlineStr">
        <is>
          <t>RT20250219-01951</t>
        </is>
      </c>
      <c r="B1952" s="59" t="inlineStr">
        <is>
          <t>2025-02-19</t>
        </is>
      </c>
      <c r="C1952" s="60" t="inlineStr">
        <is>
          <t>Aurora Skincare Max-798</t>
        </is>
      </c>
      <c r="D1952" s="58" t="inlineStr">
        <is>
          <t>Beauty</t>
        </is>
      </c>
      <c r="E1952" s="58" t="inlineStr">
        <is>
          <t>West</t>
        </is>
      </c>
      <c r="F1952" s="61" t="n">
        <v>2</v>
      </c>
      <c r="G1952" s="62" t="n">
        <v>119.82</v>
      </c>
      <c r="H1952" s="63" t="n">
        <v>0.062</v>
      </c>
      <c r="I1952" s="62" t="n">
        <v>68.68000000000001</v>
      </c>
      <c r="J1952" s="58" t="inlineStr">
        <is>
          <t>Online</t>
        </is>
      </c>
      <c r="K1952" s="62">
        <f>F1952*(G1952-H1952)</f>
        <v/>
      </c>
      <c r="L1952" s="62">
        <f>K1952-(F1952*I1952)</f>
        <v/>
      </c>
      <c r="M1952" s="64">
        <f>L1952/K1952</f>
        <v/>
      </c>
    </row>
    <row r="1953">
      <c r="A1953" s="58" t="inlineStr">
        <is>
          <t>RT20250219-01952</t>
        </is>
      </c>
      <c r="B1953" s="59" t="inlineStr">
        <is>
          <t>2025-02-19</t>
        </is>
      </c>
      <c r="C1953" s="60" t="inlineStr">
        <is>
          <t>Polar Fragrance Pro-750</t>
        </is>
      </c>
      <c r="D1953" s="58" t="inlineStr">
        <is>
          <t>Beauty</t>
        </is>
      </c>
      <c r="E1953" s="58" t="inlineStr">
        <is>
          <t>West</t>
        </is>
      </c>
      <c r="F1953" s="61" t="n">
        <v>4</v>
      </c>
      <c r="G1953" s="62" t="n">
        <v>56.79</v>
      </c>
      <c r="H1953" s="63" t="n">
        <v>0.082</v>
      </c>
      <c r="I1953" s="62" t="n">
        <v>36.65</v>
      </c>
      <c r="J1953" s="58" t="inlineStr">
        <is>
          <t>Online</t>
        </is>
      </c>
      <c r="K1953" s="62">
        <f>F1953*(G1953-H1953)</f>
        <v/>
      </c>
      <c r="L1953" s="62">
        <f>K1953-(F1953*I1953)</f>
        <v/>
      </c>
      <c r="M1953" s="64">
        <f>L1953/K1953</f>
        <v/>
      </c>
    </row>
    <row r="1954">
      <c r="A1954" s="58" t="inlineStr">
        <is>
          <t>RT20250219-01953</t>
        </is>
      </c>
      <c r="B1954" s="59" t="inlineStr">
        <is>
          <t>2025-02-19</t>
        </is>
      </c>
      <c r="C1954" s="60" t="inlineStr">
        <is>
          <t>Nimbus Decor Lite-385</t>
        </is>
      </c>
      <c r="D1954" s="58" t="inlineStr">
        <is>
          <t>Home</t>
        </is>
      </c>
      <c r="E1954" s="58" t="inlineStr">
        <is>
          <t>North</t>
        </is>
      </c>
      <c r="F1954" s="61" t="n">
        <v>3</v>
      </c>
      <c r="G1954" s="62" t="n">
        <v>606.08</v>
      </c>
      <c r="H1954" s="63" t="n">
        <v>0.028</v>
      </c>
      <c r="I1954" s="62" t="n">
        <v>399.5</v>
      </c>
      <c r="J1954" s="58" t="inlineStr">
        <is>
          <t>Online</t>
        </is>
      </c>
      <c r="K1954" s="62">
        <f>F1954*(G1954-H1954)</f>
        <v/>
      </c>
      <c r="L1954" s="62">
        <f>K1954-(F1954*I1954)</f>
        <v/>
      </c>
      <c r="M1954" s="64">
        <f>L1954/K1954</f>
        <v/>
      </c>
    </row>
    <row r="1955">
      <c r="A1955" s="58" t="inlineStr">
        <is>
          <t>RT20250219-01954</t>
        </is>
      </c>
      <c r="B1955" s="59" t="inlineStr">
        <is>
          <t>2025-02-19</t>
        </is>
      </c>
      <c r="C1955" s="60" t="inlineStr">
        <is>
          <t>Polar Supplie Lite-348</t>
        </is>
      </c>
      <c r="D1955" s="58" t="inlineStr">
        <is>
          <t>Office</t>
        </is>
      </c>
      <c r="E1955" s="58" t="inlineStr">
        <is>
          <t>West</t>
        </is>
      </c>
      <c r="F1955" s="61" t="n">
        <v>1</v>
      </c>
      <c r="G1955" s="62" t="n">
        <v>456.54</v>
      </c>
      <c r="H1955" s="63" t="n">
        <v>0.008999999999999999</v>
      </c>
      <c r="I1955" s="62" t="n">
        <v>317.82</v>
      </c>
      <c r="J1955" s="58" t="inlineStr">
        <is>
          <t>Online</t>
        </is>
      </c>
      <c r="K1955" s="62">
        <f>F1955*(G1955-H1955)</f>
        <v/>
      </c>
      <c r="L1955" s="62">
        <f>K1955-(F1955*I1955)</f>
        <v/>
      </c>
      <c r="M1955" s="64">
        <f>L1955/K1955</f>
        <v/>
      </c>
    </row>
    <row r="1956">
      <c r="A1956" s="58" t="inlineStr">
        <is>
          <t>RT20250219-01955</t>
        </is>
      </c>
      <c r="B1956" s="59" t="inlineStr">
        <is>
          <t>2025-02-19</t>
        </is>
      </c>
      <c r="C1956" s="60" t="inlineStr">
        <is>
          <t>Vertex Appliance S-296</t>
        </is>
      </c>
      <c r="D1956" s="58" t="inlineStr">
        <is>
          <t>Home</t>
        </is>
      </c>
      <c r="E1956" s="58" t="inlineStr">
        <is>
          <t>Central</t>
        </is>
      </c>
      <c r="F1956" s="61" t="n">
        <v>3</v>
      </c>
      <c r="G1956" s="62" t="n">
        <v>518.91</v>
      </c>
      <c r="H1956" s="63" t="n">
        <v>0.008999999999999999</v>
      </c>
      <c r="I1956" s="62" t="n">
        <v>355.15</v>
      </c>
      <c r="J1956" s="58" t="inlineStr">
        <is>
          <t>Phone</t>
        </is>
      </c>
      <c r="K1956" s="62">
        <f>F1956*(G1956-H1956)</f>
        <v/>
      </c>
      <c r="L1956" s="62">
        <f>K1956-(F1956*I1956)</f>
        <v/>
      </c>
      <c r="M1956" s="64">
        <f>L1956/K1956</f>
        <v/>
      </c>
    </row>
    <row r="1957">
      <c r="A1957" s="58" t="inlineStr">
        <is>
          <t>RT20250219-01956</t>
        </is>
      </c>
      <c r="B1957" s="59" t="inlineStr">
        <is>
          <t>2025-02-19</t>
        </is>
      </c>
      <c r="C1957" s="60" t="inlineStr">
        <is>
          <t>Falcon Furniture Plus-839</t>
        </is>
      </c>
      <c r="D1957" s="58" t="inlineStr">
        <is>
          <t>Office</t>
        </is>
      </c>
      <c r="E1957" s="58" t="inlineStr">
        <is>
          <t>Central</t>
        </is>
      </c>
      <c r="F1957" s="61" t="n">
        <v>2</v>
      </c>
      <c r="G1957" s="62" t="n">
        <v>310.47</v>
      </c>
      <c r="H1957" s="63" t="n">
        <v>0.103</v>
      </c>
      <c r="I1957" s="62" t="n">
        <v>234.5</v>
      </c>
      <c r="J1957" s="58" t="inlineStr">
        <is>
          <t>Store</t>
        </is>
      </c>
      <c r="K1957" s="62">
        <f>F1957*(G1957-H1957)</f>
        <v/>
      </c>
      <c r="L1957" s="62">
        <f>K1957-(F1957*I1957)</f>
        <v/>
      </c>
      <c r="M1957" s="64">
        <f>L1957/K1957</f>
        <v/>
      </c>
    </row>
    <row r="1958">
      <c r="A1958" s="58" t="inlineStr">
        <is>
          <t>RT20250219-01957</t>
        </is>
      </c>
      <c r="B1958" s="59" t="inlineStr">
        <is>
          <t>2025-02-19</t>
        </is>
      </c>
      <c r="C1958" s="60" t="inlineStr">
        <is>
          <t>Aurora Printer Plus-723</t>
        </is>
      </c>
      <c r="D1958" s="58" t="inlineStr">
        <is>
          <t>Office</t>
        </is>
      </c>
      <c r="E1958" s="58" t="inlineStr">
        <is>
          <t>North</t>
        </is>
      </c>
      <c r="F1958" s="61" t="n">
        <v>2</v>
      </c>
      <c r="G1958" s="62" t="n">
        <v>253.59</v>
      </c>
      <c r="H1958" s="63" t="n">
        <v>0</v>
      </c>
      <c r="I1958" s="62" t="n">
        <v>193.15</v>
      </c>
      <c r="J1958" s="58" t="inlineStr">
        <is>
          <t>Store</t>
        </is>
      </c>
      <c r="K1958" s="62">
        <f>F1958*(G1958-H1958)</f>
        <v/>
      </c>
      <c r="L1958" s="62">
        <f>K1958-(F1958*I1958)</f>
        <v/>
      </c>
      <c r="M1958" s="64">
        <f>L1958/K1958</f>
        <v/>
      </c>
    </row>
    <row r="1959">
      <c r="A1959" s="58" t="inlineStr">
        <is>
          <t>RT20250219-01958</t>
        </is>
      </c>
      <c r="B1959" s="59" t="inlineStr">
        <is>
          <t>2025-02-19</t>
        </is>
      </c>
      <c r="C1959" s="60" t="inlineStr">
        <is>
          <t>Polar Outdoor X-193</t>
        </is>
      </c>
      <c r="D1959" s="58" t="inlineStr">
        <is>
          <t>Sports</t>
        </is>
      </c>
      <c r="E1959" s="58" t="inlineStr">
        <is>
          <t>Central</t>
        </is>
      </c>
      <c r="F1959" s="61" t="n">
        <v>3</v>
      </c>
      <c r="G1959" s="62" t="n">
        <v>728.62</v>
      </c>
      <c r="H1959" s="63" t="n">
        <v>0.007</v>
      </c>
      <c r="I1959" s="62" t="n">
        <v>460.9</v>
      </c>
      <c r="J1959" s="58" t="inlineStr">
        <is>
          <t>Store</t>
        </is>
      </c>
      <c r="K1959" s="62">
        <f>F1959*(G1959-H1959)</f>
        <v/>
      </c>
      <c r="L1959" s="62">
        <f>K1959-(F1959*I1959)</f>
        <v/>
      </c>
      <c r="M1959" s="64">
        <f>L1959/K1959</f>
        <v/>
      </c>
    </row>
    <row r="1960">
      <c r="A1960" s="58" t="inlineStr">
        <is>
          <t>RT20250219-01959</t>
        </is>
      </c>
      <c r="B1960" s="59" t="inlineStr">
        <is>
          <t>2025-02-19</t>
        </is>
      </c>
      <c r="C1960" s="60" t="inlineStr">
        <is>
          <t>Nimbus Women Lite-814</t>
        </is>
      </c>
      <c r="D1960" s="58" t="inlineStr">
        <is>
          <t>Apparel</t>
        </is>
      </c>
      <c r="E1960" s="58" t="inlineStr">
        <is>
          <t>East</t>
        </is>
      </c>
      <c r="F1960" s="61" t="n">
        <v>1</v>
      </c>
      <c r="G1960" s="62" t="n">
        <v>136.7</v>
      </c>
      <c r="H1960" s="63" t="n">
        <v>0.045</v>
      </c>
      <c r="I1960" s="62" t="n">
        <v>82.97</v>
      </c>
      <c r="J1960" s="58" t="inlineStr">
        <is>
          <t>Store</t>
        </is>
      </c>
      <c r="K1960" s="62">
        <f>F1960*(G1960-H1960)</f>
        <v/>
      </c>
      <c r="L1960" s="62">
        <f>K1960-(F1960*I1960)</f>
        <v/>
      </c>
      <c r="M1960" s="64">
        <f>L1960/K1960</f>
        <v/>
      </c>
    </row>
    <row r="1961">
      <c r="A1961" s="58" t="inlineStr">
        <is>
          <t>RT20250219-01960</t>
        </is>
      </c>
      <c r="B1961" s="59" t="inlineStr">
        <is>
          <t>2025-02-19</t>
        </is>
      </c>
      <c r="C1961" s="60" t="inlineStr">
        <is>
          <t>Falcon Furniture Plus-839</t>
        </is>
      </c>
      <c r="D1961" s="58" t="inlineStr">
        <is>
          <t>Office</t>
        </is>
      </c>
      <c r="E1961" s="58" t="inlineStr">
        <is>
          <t>North</t>
        </is>
      </c>
      <c r="F1961" s="61" t="n">
        <v>3</v>
      </c>
      <c r="G1961" s="62" t="n">
        <v>287.31</v>
      </c>
      <c r="H1961" s="63" t="n">
        <v>0.061</v>
      </c>
      <c r="I1961" s="62" t="n">
        <v>225.98</v>
      </c>
      <c r="J1961" s="58" t="inlineStr">
        <is>
          <t>Online</t>
        </is>
      </c>
      <c r="K1961" s="62">
        <f>F1961*(G1961-H1961)</f>
        <v/>
      </c>
      <c r="L1961" s="62">
        <f>K1961-(F1961*I1961)</f>
        <v/>
      </c>
      <c r="M1961" s="64">
        <f>L1961/K1961</f>
        <v/>
      </c>
    </row>
    <row r="1962">
      <c r="A1962" s="58" t="inlineStr">
        <is>
          <t>RT20250220-01961</t>
        </is>
      </c>
      <c r="B1962" s="59" t="inlineStr">
        <is>
          <t>2025-02-20</t>
        </is>
      </c>
      <c r="C1962" s="60" t="inlineStr">
        <is>
          <t>Vertex Smartphone Lite-267</t>
        </is>
      </c>
      <c r="D1962" s="58" t="inlineStr">
        <is>
          <t>Electronics</t>
        </is>
      </c>
      <c r="E1962" s="58" t="inlineStr">
        <is>
          <t>West</t>
        </is>
      </c>
      <c r="F1962" s="61" t="n">
        <v>2</v>
      </c>
      <c r="G1962" s="62" t="n">
        <v>1288.24</v>
      </c>
      <c r="H1962" s="63" t="n">
        <v>0.065</v>
      </c>
      <c r="I1962" s="62" t="n">
        <v>986.8</v>
      </c>
      <c r="J1962" s="58" t="inlineStr">
        <is>
          <t>Phone</t>
        </is>
      </c>
      <c r="K1962" s="62">
        <f>F1962*(G1962-H1962)</f>
        <v/>
      </c>
      <c r="L1962" s="62">
        <f>K1962-(F1962*I1962)</f>
        <v/>
      </c>
      <c r="M1962" s="64">
        <f>L1962/K1962</f>
        <v/>
      </c>
    </row>
    <row r="1963">
      <c r="A1963" s="58" t="inlineStr">
        <is>
          <t>RT20250220-01962</t>
        </is>
      </c>
      <c r="B1963" s="59" t="inlineStr">
        <is>
          <t>2025-02-20</t>
        </is>
      </c>
      <c r="C1963" s="60" t="inlineStr">
        <is>
          <t>Polar Beverage S-258</t>
        </is>
      </c>
      <c r="D1963" s="58" t="inlineStr">
        <is>
          <t>Grocery</t>
        </is>
      </c>
      <c r="E1963" s="58" t="inlineStr">
        <is>
          <t>South</t>
        </is>
      </c>
      <c r="F1963" s="61" t="n">
        <v>6</v>
      </c>
      <c r="G1963" s="62" t="n">
        <v>12.23</v>
      </c>
      <c r="H1963" s="63" t="n">
        <v>0.08400000000000001</v>
      </c>
      <c r="I1963" s="62" t="n">
        <v>9.69</v>
      </c>
      <c r="J1963" s="58" t="inlineStr">
        <is>
          <t>Online</t>
        </is>
      </c>
      <c r="K1963" s="62">
        <f>F1963*(G1963-H1963)</f>
        <v/>
      </c>
      <c r="L1963" s="62">
        <f>K1963-(F1963*I1963)</f>
        <v/>
      </c>
      <c r="M1963" s="64">
        <f>L1963/K1963</f>
        <v/>
      </c>
    </row>
    <row r="1964">
      <c r="A1964" s="58" t="inlineStr">
        <is>
          <t>RT20250220-01963</t>
        </is>
      </c>
      <c r="B1964" s="59" t="inlineStr">
        <is>
          <t>2025-02-20</t>
        </is>
      </c>
      <c r="C1964" s="60" t="inlineStr">
        <is>
          <t>Falcon Wearable X-334</t>
        </is>
      </c>
      <c r="D1964" s="58" t="inlineStr">
        <is>
          <t>Electronics</t>
        </is>
      </c>
      <c r="E1964" s="58" t="inlineStr">
        <is>
          <t>North</t>
        </is>
      </c>
      <c r="F1964" s="61" t="n">
        <v>1</v>
      </c>
      <c r="G1964" s="62" t="n">
        <v>2000.14</v>
      </c>
      <c r="H1964" s="63" t="n">
        <v>0.04</v>
      </c>
      <c r="I1964" s="62" t="n">
        <v>1543.78</v>
      </c>
      <c r="J1964" s="58" t="inlineStr">
        <is>
          <t>Store</t>
        </is>
      </c>
      <c r="K1964" s="62">
        <f>F1964*(G1964-H1964)</f>
        <v/>
      </c>
      <c r="L1964" s="62">
        <f>K1964-(F1964*I1964)</f>
        <v/>
      </c>
      <c r="M1964" s="64">
        <f>L1964/K1964</f>
        <v/>
      </c>
    </row>
    <row r="1965">
      <c r="A1965" s="58" t="inlineStr">
        <is>
          <t>RT20250220-01964</t>
        </is>
      </c>
      <c r="B1965" s="59" t="inlineStr">
        <is>
          <t>2025-02-20</t>
        </is>
      </c>
      <c r="C1965" s="60" t="inlineStr">
        <is>
          <t>Polar Wearable X-119</t>
        </is>
      </c>
      <c r="D1965" s="58" t="inlineStr">
        <is>
          <t>Electronics</t>
        </is>
      </c>
      <c r="E1965" s="58" t="inlineStr">
        <is>
          <t>West</t>
        </is>
      </c>
      <c r="F1965" s="61" t="n">
        <v>1</v>
      </c>
      <c r="G1965" s="62" t="n">
        <v>1748.86</v>
      </c>
      <c r="H1965" s="63" t="n">
        <v>0.101</v>
      </c>
      <c r="I1965" s="62" t="n">
        <v>1295.04</v>
      </c>
      <c r="J1965" s="58" t="inlineStr">
        <is>
          <t>Store</t>
        </is>
      </c>
      <c r="K1965" s="62">
        <f>F1965*(G1965-H1965)</f>
        <v/>
      </c>
      <c r="L1965" s="62">
        <f>K1965-(F1965*I1965)</f>
        <v/>
      </c>
      <c r="M1965" s="64">
        <f>L1965/K1965</f>
        <v/>
      </c>
    </row>
    <row r="1966">
      <c r="A1966" s="58" t="inlineStr">
        <is>
          <t>RT20250220-01965</t>
        </is>
      </c>
      <c r="B1966" s="59" t="inlineStr">
        <is>
          <t>2025-02-20</t>
        </is>
      </c>
      <c r="C1966" s="60" t="inlineStr">
        <is>
          <t>Falcon Storage X-734</t>
        </is>
      </c>
      <c r="D1966" s="58" t="inlineStr">
        <is>
          <t>Office</t>
        </is>
      </c>
      <c r="E1966" s="58" t="inlineStr">
        <is>
          <t>Central</t>
        </is>
      </c>
      <c r="F1966" s="61" t="n">
        <v>1</v>
      </c>
      <c r="G1966" s="62" t="n">
        <v>356.76</v>
      </c>
      <c r="H1966" s="63" t="n">
        <v>0.112</v>
      </c>
      <c r="I1966" s="62" t="n">
        <v>288.53</v>
      </c>
      <c r="J1966" s="58" t="inlineStr">
        <is>
          <t>Online</t>
        </is>
      </c>
      <c r="K1966" s="62">
        <f>F1966*(G1966-H1966)</f>
        <v/>
      </c>
      <c r="L1966" s="62">
        <f>K1966-(F1966*I1966)</f>
        <v/>
      </c>
      <c r="M1966" s="64">
        <f>L1966/K1966</f>
        <v/>
      </c>
    </row>
    <row r="1967">
      <c r="A1967" s="58" t="inlineStr">
        <is>
          <t>RT20250220-01966</t>
        </is>
      </c>
      <c r="B1967" s="59" t="inlineStr">
        <is>
          <t>2025-02-20</t>
        </is>
      </c>
      <c r="C1967" s="60" t="inlineStr">
        <is>
          <t>Orion Supplie S-612</t>
        </is>
      </c>
      <c r="D1967" s="58" t="inlineStr">
        <is>
          <t>Office</t>
        </is>
      </c>
      <c r="E1967" s="58" t="inlineStr">
        <is>
          <t>Central</t>
        </is>
      </c>
      <c r="F1967" s="61" t="n">
        <v>2</v>
      </c>
      <c r="G1967" s="62" t="n">
        <v>487.68</v>
      </c>
      <c r="H1967" s="63" t="n">
        <v>0.105</v>
      </c>
      <c r="I1967" s="62" t="n">
        <v>345.32</v>
      </c>
      <c r="J1967" s="58" t="inlineStr">
        <is>
          <t>Online</t>
        </is>
      </c>
      <c r="K1967" s="62">
        <f>F1967*(G1967-H1967)</f>
        <v/>
      </c>
      <c r="L1967" s="62">
        <f>K1967-(F1967*I1967)</f>
        <v/>
      </c>
      <c r="M1967" s="64">
        <f>L1967/K1967</f>
        <v/>
      </c>
    </row>
    <row r="1968">
      <c r="A1968" s="58" t="inlineStr">
        <is>
          <t>RT20250220-01967</t>
        </is>
      </c>
      <c r="B1968" s="59" t="inlineStr">
        <is>
          <t>2025-02-20</t>
        </is>
      </c>
      <c r="C1968" s="60" t="inlineStr">
        <is>
          <t>Aurora Storage Lite-774</t>
        </is>
      </c>
      <c r="D1968" s="58" t="inlineStr">
        <is>
          <t>Office</t>
        </is>
      </c>
      <c r="E1968" s="58" t="inlineStr">
        <is>
          <t>North</t>
        </is>
      </c>
      <c r="F1968" s="61" t="n">
        <v>1</v>
      </c>
      <c r="G1968" s="62" t="n">
        <v>314.42</v>
      </c>
      <c r="H1968" s="63" t="n">
        <v>0.031</v>
      </c>
      <c r="I1968" s="62" t="n">
        <v>244.06</v>
      </c>
      <c r="J1968" s="58" t="inlineStr">
        <is>
          <t>Online</t>
        </is>
      </c>
      <c r="K1968" s="62">
        <f>F1968*(G1968-H1968)</f>
        <v/>
      </c>
      <c r="L1968" s="62">
        <f>K1968-(F1968*I1968)</f>
        <v/>
      </c>
      <c r="M1968" s="64">
        <f>L1968/K1968</f>
        <v/>
      </c>
    </row>
    <row r="1969">
      <c r="A1969" s="58" t="inlineStr">
        <is>
          <t>RT20250220-01968</t>
        </is>
      </c>
      <c r="B1969" s="59" t="inlineStr">
        <is>
          <t>2025-02-20</t>
        </is>
      </c>
      <c r="C1969" s="60" t="inlineStr">
        <is>
          <t>Polar Decor Plus-505</t>
        </is>
      </c>
      <c r="D1969" s="58" t="inlineStr">
        <is>
          <t>Home</t>
        </is>
      </c>
      <c r="E1969" s="58" t="inlineStr">
        <is>
          <t>Central</t>
        </is>
      </c>
      <c r="F1969" s="61" t="n">
        <v>2</v>
      </c>
      <c r="G1969" s="62" t="n">
        <v>311.45</v>
      </c>
      <c r="H1969" s="63" t="n">
        <v>0.05</v>
      </c>
      <c r="I1969" s="62" t="n">
        <v>195.07</v>
      </c>
      <c r="J1969" s="58" t="inlineStr">
        <is>
          <t>Online</t>
        </is>
      </c>
      <c r="K1969" s="62">
        <f>F1969*(G1969-H1969)</f>
        <v/>
      </c>
      <c r="L1969" s="62">
        <f>K1969-(F1969*I1969)</f>
        <v/>
      </c>
      <c r="M1969" s="64">
        <f>L1969/K1969</f>
        <v/>
      </c>
    </row>
    <row r="1970">
      <c r="A1970" s="58" t="inlineStr">
        <is>
          <t>RT20250220-01969</t>
        </is>
      </c>
      <c r="B1970" s="59" t="inlineStr">
        <is>
          <t>2025-02-20</t>
        </is>
      </c>
      <c r="C1970" s="60" t="inlineStr">
        <is>
          <t>Polar Wearable X-119</t>
        </is>
      </c>
      <c r="D1970" s="58" t="inlineStr">
        <is>
          <t>Electronics</t>
        </is>
      </c>
      <c r="E1970" s="58" t="inlineStr">
        <is>
          <t>West</t>
        </is>
      </c>
      <c r="F1970" s="61" t="n">
        <v>2</v>
      </c>
      <c r="G1970" s="62" t="n">
        <v>1626.08</v>
      </c>
      <c r="H1970" s="63" t="n">
        <v>0.08799999999999999</v>
      </c>
      <c r="I1970" s="62" t="n">
        <v>1317.97</v>
      </c>
      <c r="J1970" s="58" t="inlineStr">
        <is>
          <t>Online</t>
        </is>
      </c>
      <c r="K1970" s="62">
        <f>F1970*(G1970-H1970)</f>
        <v/>
      </c>
      <c r="L1970" s="62">
        <f>K1970-(F1970*I1970)</f>
        <v/>
      </c>
      <c r="M1970" s="64">
        <f>L1970/K1970</f>
        <v/>
      </c>
    </row>
    <row r="1971">
      <c r="A1971" s="58" t="inlineStr">
        <is>
          <t>RT20250220-01970</t>
        </is>
      </c>
      <c r="B1971" s="59" t="inlineStr">
        <is>
          <t>2025-02-20</t>
        </is>
      </c>
      <c r="C1971" s="60" t="inlineStr">
        <is>
          <t>Vertex Headphone Pro-801</t>
        </is>
      </c>
      <c r="D1971" s="58" t="inlineStr">
        <is>
          <t>Electronics</t>
        </is>
      </c>
      <c r="E1971" s="58" t="inlineStr">
        <is>
          <t>Central</t>
        </is>
      </c>
      <c r="F1971" s="61" t="n">
        <v>2</v>
      </c>
      <c r="G1971" s="62" t="n">
        <v>1247.94</v>
      </c>
      <c r="H1971" s="63" t="n">
        <v>0.057</v>
      </c>
      <c r="I1971" s="62" t="n">
        <v>959.12</v>
      </c>
      <c r="J1971" s="58" t="inlineStr">
        <is>
          <t>Store</t>
        </is>
      </c>
      <c r="K1971" s="62">
        <f>F1971*(G1971-H1971)</f>
        <v/>
      </c>
      <c r="L1971" s="62">
        <f>K1971-(F1971*I1971)</f>
        <v/>
      </c>
      <c r="M1971" s="64">
        <f>L1971/K1971</f>
        <v/>
      </c>
    </row>
    <row r="1972">
      <c r="A1972" s="58" t="inlineStr">
        <is>
          <t>RT20250220-01971</t>
        </is>
      </c>
      <c r="B1972" s="59" t="inlineStr">
        <is>
          <t>2025-02-20</t>
        </is>
      </c>
      <c r="C1972" s="60" t="inlineStr">
        <is>
          <t>Orion Men X-928</t>
        </is>
      </c>
      <c r="D1972" s="58" t="inlineStr">
        <is>
          <t>Apparel</t>
        </is>
      </c>
      <c r="E1972" s="58" t="inlineStr">
        <is>
          <t>East</t>
        </is>
      </c>
      <c r="F1972" s="61" t="n">
        <v>2</v>
      </c>
      <c r="G1972" s="62" t="n">
        <v>123.44</v>
      </c>
      <c r="H1972" s="63" t="n">
        <v>0</v>
      </c>
      <c r="I1972" s="62" t="n">
        <v>62.93</v>
      </c>
      <c r="J1972" s="58" t="inlineStr">
        <is>
          <t>Online</t>
        </is>
      </c>
      <c r="K1972" s="62">
        <f>F1972*(G1972-H1972)</f>
        <v/>
      </c>
      <c r="L1972" s="62">
        <f>K1972-(F1972*I1972)</f>
        <v/>
      </c>
      <c r="M1972" s="64">
        <f>L1972/K1972</f>
        <v/>
      </c>
    </row>
    <row r="1973">
      <c r="A1973" s="58" t="inlineStr">
        <is>
          <t>RT20250220-01972</t>
        </is>
      </c>
      <c r="B1973" s="59" t="inlineStr">
        <is>
          <t>2025-02-20</t>
        </is>
      </c>
      <c r="C1973" s="60" t="inlineStr">
        <is>
          <t>Polar Cycling S-223</t>
        </is>
      </c>
      <c r="D1973" s="58" t="inlineStr">
        <is>
          <t>Sports</t>
        </is>
      </c>
      <c r="E1973" s="58" t="inlineStr">
        <is>
          <t>East</t>
        </is>
      </c>
      <c r="F1973" s="61" t="n">
        <v>2</v>
      </c>
      <c r="G1973" s="62" t="n">
        <v>985.33</v>
      </c>
      <c r="H1973" s="63" t="n">
        <v>0.045</v>
      </c>
      <c r="I1973" s="62" t="n">
        <v>625.55</v>
      </c>
      <c r="J1973" s="58" t="inlineStr">
        <is>
          <t>Store</t>
        </is>
      </c>
      <c r="K1973" s="62">
        <f>F1973*(G1973-H1973)</f>
        <v/>
      </c>
      <c r="L1973" s="62">
        <f>K1973-(F1973*I1973)</f>
        <v/>
      </c>
      <c r="M1973" s="64">
        <f>L1973/K1973</f>
        <v/>
      </c>
    </row>
    <row r="1974">
      <c r="A1974" s="58" t="inlineStr">
        <is>
          <t>RT20250220-01973</t>
        </is>
      </c>
      <c r="B1974" s="59" t="inlineStr">
        <is>
          <t>2025-02-20</t>
        </is>
      </c>
      <c r="C1974" s="60" t="inlineStr">
        <is>
          <t>Falcon Kitchen X-130</t>
        </is>
      </c>
      <c r="D1974" s="58" t="inlineStr">
        <is>
          <t>Home</t>
        </is>
      </c>
      <c r="E1974" s="58" t="inlineStr">
        <is>
          <t>South</t>
        </is>
      </c>
      <c r="F1974" s="61" t="n">
        <v>3</v>
      </c>
      <c r="G1974" s="62" t="n">
        <v>388.54</v>
      </c>
      <c r="H1974" s="63" t="n">
        <v>0.049</v>
      </c>
      <c r="I1974" s="62" t="n">
        <v>295.25</v>
      </c>
      <c r="J1974" s="58" t="inlineStr">
        <is>
          <t>Online</t>
        </is>
      </c>
      <c r="K1974" s="62">
        <f>F1974*(G1974-H1974)</f>
        <v/>
      </c>
      <c r="L1974" s="62">
        <f>K1974-(F1974*I1974)</f>
        <v/>
      </c>
      <c r="M1974" s="64">
        <f>L1974/K1974</f>
        <v/>
      </c>
    </row>
    <row r="1975">
      <c r="A1975" s="58" t="inlineStr">
        <is>
          <t>RT20250220-01974</t>
        </is>
      </c>
      <c r="B1975" s="59" t="inlineStr">
        <is>
          <t>2025-02-20</t>
        </is>
      </c>
      <c r="C1975" s="60" t="inlineStr">
        <is>
          <t>Polar Snack Pro-641</t>
        </is>
      </c>
      <c r="D1975" s="58" t="inlineStr">
        <is>
          <t>Grocery</t>
        </is>
      </c>
      <c r="E1975" s="58" t="inlineStr">
        <is>
          <t>Central</t>
        </is>
      </c>
      <c r="F1975" s="61" t="n">
        <v>3</v>
      </c>
      <c r="G1975" s="62" t="n">
        <v>13.67</v>
      </c>
      <c r="H1975" s="63" t="n">
        <v>0.08500000000000001</v>
      </c>
      <c r="I1975" s="62" t="n">
        <v>9.35</v>
      </c>
      <c r="J1975" s="58" t="inlineStr">
        <is>
          <t>Store</t>
        </is>
      </c>
      <c r="K1975" s="62">
        <f>F1975*(G1975-H1975)</f>
        <v/>
      </c>
      <c r="L1975" s="62">
        <f>K1975-(F1975*I1975)</f>
        <v/>
      </c>
      <c r="M1975" s="64">
        <f>L1975/K1975</f>
        <v/>
      </c>
    </row>
    <row r="1976">
      <c r="A1976" s="58" t="inlineStr">
        <is>
          <t>RT20250220-01975</t>
        </is>
      </c>
      <c r="B1976" s="59" t="inlineStr">
        <is>
          <t>2025-02-20</t>
        </is>
      </c>
      <c r="C1976" s="60" t="inlineStr">
        <is>
          <t>Solace Bedding Plus-317</t>
        </is>
      </c>
      <c r="D1976" s="58" t="inlineStr">
        <is>
          <t>Home</t>
        </is>
      </c>
      <c r="E1976" s="58" t="inlineStr">
        <is>
          <t>East</t>
        </is>
      </c>
      <c r="F1976" s="61" t="n">
        <v>2</v>
      </c>
      <c r="G1976" s="62" t="n">
        <v>516.45</v>
      </c>
      <c r="H1976" s="63" t="n">
        <v>0.061</v>
      </c>
      <c r="I1976" s="62" t="n">
        <v>394.48</v>
      </c>
      <c r="J1976" s="58" t="inlineStr">
        <is>
          <t>Store</t>
        </is>
      </c>
      <c r="K1976" s="62">
        <f>F1976*(G1976-H1976)</f>
        <v/>
      </c>
      <c r="L1976" s="62">
        <f>K1976-(F1976*I1976)</f>
        <v/>
      </c>
      <c r="M1976" s="64">
        <f>L1976/K1976</f>
        <v/>
      </c>
    </row>
    <row r="1977">
      <c r="A1977" s="58" t="inlineStr">
        <is>
          <t>RT20250220-01976</t>
        </is>
      </c>
      <c r="B1977" s="59" t="inlineStr">
        <is>
          <t>2025-02-20</t>
        </is>
      </c>
      <c r="C1977" s="60" t="inlineStr">
        <is>
          <t>Vertex Fitnes Pro-830</t>
        </is>
      </c>
      <c r="D1977" s="58" t="inlineStr">
        <is>
          <t>Sports</t>
        </is>
      </c>
      <c r="E1977" s="58" t="inlineStr">
        <is>
          <t>West</t>
        </is>
      </c>
      <c r="F1977" s="61" t="n">
        <v>1</v>
      </c>
      <c r="G1977" s="62" t="n">
        <v>625.33</v>
      </c>
      <c r="H1977" s="63" t="n">
        <v>0.075</v>
      </c>
      <c r="I1977" s="62" t="n">
        <v>480.63</v>
      </c>
      <c r="J1977" s="58" t="inlineStr">
        <is>
          <t>Store</t>
        </is>
      </c>
      <c r="K1977" s="62">
        <f>F1977*(G1977-H1977)</f>
        <v/>
      </c>
      <c r="L1977" s="62">
        <f>K1977-(F1977*I1977)</f>
        <v/>
      </c>
      <c r="M1977" s="64">
        <f>L1977/K1977</f>
        <v/>
      </c>
    </row>
    <row r="1978">
      <c r="A1978" s="58" t="inlineStr">
        <is>
          <t>RT20250220-01977</t>
        </is>
      </c>
      <c r="B1978" s="59" t="inlineStr">
        <is>
          <t>2025-02-20</t>
        </is>
      </c>
      <c r="C1978" s="60" t="inlineStr">
        <is>
          <t>Orion Kid Max-864</t>
        </is>
      </c>
      <c r="D1978" s="58" t="inlineStr">
        <is>
          <t>Apparel</t>
        </is>
      </c>
      <c r="E1978" s="58" t="inlineStr">
        <is>
          <t>West</t>
        </is>
      </c>
      <c r="F1978" s="61" t="n">
        <v>2</v>
      </c>
      <c r="G1978" s="62" t="n">
        <v>76.72</v>
      </c>
      <c r="H1978" s="63" t="n">
        <v>0.077</v>
      </c>
      <c r="I1978" s="62" t="n">
        <v>46.39</v>
      </c>
      <c r="J1978" s="58" t="inlineStr">
        <is>
          <t>Store</t>
        </is>
      </c>
      <c r="K1978" s="62">
        <f>F1978*(G1978-H1978)</f>
        <v/>
      </c>
      <c r="L1978" s="62">
        <f>K1978-(F1978*I1978)</f>
        <v/>
      </c>
      <c r="M1978" s="64">
        <f>L1978/K1978</f>
        <v/>
      </c>
    </row>
    <row r="1979">
      <c r="A1979" s="58" t="inlineStr">
        <is>
          <t>RT20250220-01978</t>
        </is>
      </c>
      <c r="B1979" s="59" t="inlineStr">
        <is>
          <t>2025-02-20</t>
        </is>
      </c>
      <c r="C1979" s="60" t="inlineStr">
        <is>
          <t>Polar Pantry Lite-392</t>
        </is>
      </c>
      <c r="D1979" s="58" t="inlineStr">
        <is>
          <t>Grocery</t>
        </is>
      </c>
      <c r="E1979" s="58" t="inlineStr">
        <is>
          <t>South</t>
        </is>
      </c>
      <c r="F1979" s="61" t="n">
        <v>3</v>
      </c>
      <c r="G1979" s="62" t="n">
        <v>5.96</v>
      </c>
      <c r="H1979" s="63" t="n">
        <v>0.07199999999999999</v>
      </c>
      <c r="I1979" s="62" t="n">
        <v>4.42</v>
      </c>
      <c r="J1979" s="58" t="inlineStr">
        <is>
          <t>Online</t>
        </is>
      </c>
      <c r="K1979" s="62">
        <f>F1979*(G1979-H1979)</f>
        <v/>
      </c>
      <c r="L1979" s="62">
        <f>K1979-(F1979*I1979)</f>
        <v/>
      </c>
      <c r="M1979" s="64">
        <f>L1979/K1979</f>
        <v/>
      </c>
    </row>
    <row r="1980">
      <c r="A1980" s="58" t="inlineStr">
        <is>
          <t>RT20250220-01979</t>
        </is>
      </c>
      <c r="B1980" s="59" t="inlineStr">
        <is>
          <t>2025-02-20</t>
        </is>
      </c>
      <c r="C1980" s="60" t="inlineStr">
        <is>
          <t>Polar Men Pro-246</t>
        </is>
      </c>
      <c r="D1980" s="58" t="inlineStr">
        <is>
          <t>Apparel</t>
        </is>
      </c>
      <c r="E1980" s="58" t="inlineStr">
        <is>
          <t>West</t>
        </is>
      </c>
      <c r="F1980" s="61" t="n">
        <v>2</v>
      </c>
      <c r="G1980" s="62" t="n">
        <v>155.04</v>
      </c>
      <c r="H1980" s="63" t="n">
        <v>0.034</v>
      </c>
      <c r="I1980" s="62" t="n">
        <v>75.86</v>
      </c>
      <c r="J1980" s="58" t="inlineStr">
        <is>
          <t>Store</t>
        </is>
      </c>
      <c r="K1980" s="62">
        <f>F1980*(G1980-H1980)</f>
        <v/>
      </c>
      <c r="L1980" s="62">
        <f>K1980-(F1980*I1980)</f>
        <v/>
      </c>
      <c r="M1980" s="64">
        <f>L1980/K1980</f>
        <v/>
      </c>
    </row>
    <row r="1981">
      <c r="A1981" s="58" t="inlineStr">
        <is>
          <t>RT20250220-01980</t>
        </is>
      </c>
      <c r="B1981" s="59" t="inlineStr">
        <is>
          <t>2025-02-20</t>
        </is>
      </c>
      <c r="C1981" s="60" t="inlineStr">
        <is>
          <t>Polar Beverage S-258</t>
        </is>
      </c>
      <c r="D1981" s="58" t="inlineStr">
        <is>
          <t>Grocery</t>
        </is>
      </c>
      <c r="E1981" s="58" t="inlineStr">
        <is>
          <t>East</t>
        </is>
      </c>
      <c r="F1981" s="61" t="n">
        <v>3</v>
      </c>
      <c r="G1981" s="62" t="n">
        <v>12.8</v>
      </c>
      <c r="H1981" s="63" t="n">
        <v>0.065</v>
      </c>
      <c r="I1981" s="62" t="n">
        <v>9.699999999999999</v>
      </c>
      <c r="J1981" s="58" t="inlineStr">
        <is>
          <t>Online</t>
        </is>
      </c>
      <c r="K1981" s="62">
        <f>F1981*(G1981-H1981)</f>
        <v/>
      </c>
      <c r="L1981" s="62">
        <f>K1981-(F1981*I1981)</f>
        <v/>
      </c>
      <c r="M1981" s="64">
        <f>L1981/K1981</f>
        <v/>
      </c>
    </row>
    <row r="1982">
      <c r="A1982" s="58" t="inlineStr">
        <is>
          <t>RT20250220-01981</t>
        </is>
      </c>
      <c r="B1982" s="59" t="inlineStr">
        <is>
          <t>2025-02-20</t>
        </is>
      </c>
      <c r="C1982" s="60" t="inlineStr">
        <is>
          <t>Polar Supplie Lite-348</t>
        </is>
      </c>
      <c r="D1982" s="58" t="inlineStr">
        <is>
          <t>Office</t>
        </is>
      </c>
      <c r="E1982" s="58" t="inlineStr">
        <is>
          <t>North</t>
        </is>
      </c>
      <c r="F1982" s="61" t="n">
        <v>3</v>
      </c>
      <c r="G1982" s="62" t="n">
        <v>397.7</v>
      </c>
      <c r="H1982" s="63" t="n">
        <v>0.044</v>
      </c>
      <c r="I1982" s="62" t="n">
        <v>320.19</v>
      </c>
      <c r="J1982" s="58" t="inlineStr">
        <is>
          <t>Online</t>
        </is>
      </c>
      <c r="K1982" s="62">
        <f>F1982*(G1982-H1982)</f>
        <v/>
      </c>
      <c r="L1982" s="62">
        <f>K1982-(F1982*I1982)</f>
        <v/>
      </c>
      <c r="M1982" s="64">
        <f>L1982/K1982</f>
        <v/>
      </c>
    </row>
    <row r="1983">
      <c r="A1983" s="58" t="inlineStr">
        <is>
          <t>RT20250220-01982</t>
        </is>
      </c>
      <c r="B1983" s="59" t="inlineStr">
        <is>
          <t>2025-02-20</t>
        </is>
      </c>
      <c r="C1983" s="60" t="inlineStr">
        <is>
          <t>Vertex Smartphone Lite-267</t>
        </is>
      </c>
      <c r="D1983" s="58" t="inlineStr">
        <is>
          <t>Electronics</t>
        </is>
      </c>
      <c r="E1983" s="58" t="inlineStr">
        <is>
          <t>Central</t>
        </is>
      </c>
      <c r="F1983" s="61" t="n">
        <v>2</v>
      </c>
      <c r="G1983" s="62" t="n">
        <v>1327.06</v>
      </c>
      <c r="H1983" s="63" t="n">
        <v>0.033</v>
      </c>
      <c r="I1983" s="62" t="n">
        <v>987.3099999999999</v>
      </c>
      <c r="J1983" s="58" t="inlineStr">
        <is>
          <t>Store</t>
        </is>
      </c>
      <c r="K1983" s="62">
        <f>F1983*(G1983-H1983)</f>
        <v/>
      </c>
      <c r="L1983" s="62">
        <f>K1983-(F1983*I1983)</f>
        <v/>
      </c>
      <c r="M1983" s="64">
        <f>L1983/K1983</f>
        <v/>
      </c>
    </row>
    <row r="1984">
      <c r="A1984" s="58" t="inlineStr">
        <is>
          <t>RT20250220-01983</t>
        </is>
      </c>
      <c r="B1984" s="59" t="inlineStr">
        <is>
          <t>2025-02-20</t>
        </is>
      </c>
      <c r="C1984" s="60" t="inlineStr">
        <is>
          <t>Aurora Fitnes Lite-194</t>
        </is>
      </c>
      <c r="D1984" s="58" t="inlineStr">
        <is>
          <t>Sports</t>
        </is>
      </c>
      <c r="E1984" s="58" t="inlineStr">
        <is>
          <t>South</t>
        </is>
      </c>
      <c r="F1984" s="61" t="n">
        <v>3</v>
      </c>
      <c r="G1984" s="62" t="n">
        <v>654.54</v>
      </c>
      <c r="H1984" s="63" t="n">
        <v>0.065</v>
      </c>
      <c r="I1984" s="62" t="n">
        <v>476.34</v>
      </c>
      <c r="J1984" s="58" t="inlineStr">
        <is>
          <t>Online</t>
        </is>
      </c>
      <c r="K1984" s="62">
        <f>F1984*(G1984-H1984)</f>
        <v/>
      </c>
      <c r="L1984" s="62">
        <f>K1984-(F1984*I1984)</f>
        <v/>
      </c>
      <c r="M1984" s="64">
        <f>L1984/K1984</f>
        <v/>
      </c>
    </row>
    <row r="1985">
      <c r="A1985" s="58" t="inlineStr">
        <is>
          <t>RT20250220-01984</t>
        </is>
      </c>
      <c r="B1985" s="59" t="inlineStr">
        <is>
          <t>2025-02-20</t>
        </is>
      </c>
      <c r="C1985" s="60" t="inlineStr">
        <is>
          <t>Nimbus Decor Lite-385</t>
        </is>
      </c>
      <c r="D1985" s="58" t="inlineStr">
        <is>
          <t>Home</t>
        </is>
      </c>
      <c r="E1985" s="58" t="inlineStr">
        <is>
          <t>East</t>
        </is>
      </c>
      <c r="F1985" s="61" t="n">
        <v>1</v>
      </c>
      <c r="G1985" s="62" t="n">
        <v>591.15</v>
      </c>
      <c r="H1985" s="63" t="n">
        <v>0.09</v>
      </c>
      <c r="I1985" s="62" t="n">
        <v>399.29</v>
      </c>
      <c r="J1985" s="58" t="inlineStr">
        <is>
          <t>Online</t>
        </is>
      </c>
      <c r="K1985" s="62">
        <f>F1985*(G1985-H1985)</f>
        <v/>
      </c>
      <c r="L1985" s="62">
        <f>K1985-(F1985*I1985)</f>
        <v/>
      </c>
      <c r="M1985" s="64">
        <f>L1985/K1985</f>
        <v/>
      </c>
    </row>
    <row r="1986">
      <c r="A1986" s="58" t="inlineStr">
        <is>
          <t>RT20250220-01985</t>
        </is>
      </c>
      <c r="B1986" s="59" t="inlineStr">
        <is>
          <t>2025-02-20</t>
        </is>
      </c>
      <c r="C1986" s="60" t="inlineStr">
        <is>
          <t>Solace Headphone Pro-344</t>
        </is>
      </c>
      <c r="D1986" s="58" t="inlineStr">
        <is>
          <t>Electronics</t>
        </is>
      </c>
      <c r="E1986" s="58" t="inlineStr">
        <is>
          <t>West</t>
        </is>
      </c>
      <c r="F1986" s="61" t="n">
        <v>1</v>
      </c>
      <c r="G1986" s="62" t="n">
        <v>1301.63</v>
      </c>
      <c r="H1986" s="63" t="n">
        <v>0.098</v>
      </c>
      <c r="I1986" s="62" t="n">
        <v>1092.23</v>
      </c>
      <c r="J1986" s="58" t="inlineStr">
        <is>
          <t>Online</t>
        </is>
      </c>
      <c r="K1986" s="62">
        <f>F1986*(G1986-H1986)</f>
        <v/>
      </c>
      <c r="L1986" s="62">
        <f>K1986-(F1986*I1986)</f>
        <v/>
      </c>
      <c r="M1986" s="64">
        <f>L1986/K1986</f>
        <v/>
      </c>
    </row>
    <row r="1987">
      <c r="A1987" s="58" t="inlineStr">
        <is>
          <t>RT20250220-01986</t>
        </is>
      </c>
      <c r="B1987" s="59" t="inlineStr">
        <is>
          <t>2025-02-20</t>
        </is>
      </c>
      <c r="C1987" s="60" t="inlineStr">
        <is>
          <t>Orion Kid Max-640</t>
        </is>
      </c>
      <c r="D1987" s="58" t="inlineStr">
        <is>
          <t>Apparel</t>
        </is>
      </c>
      <c r="E1987" s="58" t="inlineStr">
        <is>
          <t>East</t>
        </is>
      </c>
      <c r="F1987" s="61" t="n">
        <v>1</v>
      </c>
      <c r="G1987" s="62" t="n">
        <v>134.39</v>
      </c>
      <c r="H1987" s="63" t="n">
        <v>0.044</v>
      </c>
      <c r="I1987" s="62" t="n">
        <v>71.56</v>
      </c>
      <c r="J1987" s="58" t="inlineStr">
        <is>
          <t>Store</t>
        </is>
      </c>
      <c r="K1987" s="62">
        <f>F1987*(G1987-H1987)</f>
        <v/>
      </c>
      <c r="L1987" s="62">
        <f>K1987-(F1987*I1987)</f>
        <v/>
      </c>
      <c r="M1987" s="64">
        <f>L1987/K1987</f>
        <v/>
      </c>
    </row>
    <row r="1988">
      <c r="A1988" s="58" t="inlineStr">
        <is>
          <t>RT20250220-01987</t>
        </is>
      </c>
      <c r="B1988" s="59" t="inlineStr">
        <is>
          <t>2025-02-20</t>
        </is>
      </c>
      <c r="C1988" s="60" t="inlineStr">
        <is>
          <t>Nimbus Cycling Plus-911</t>
        </is>
      </c>
      <c r="D1988" s="58" t="inlineStr">
        <is>
          <t>Sports</t>
        </is>
      </c>
      <c r="E1988" s="58" t="inlineStr">
        <is>
          <t>East</t>
        </is>
      </c>
      <c r="F1988" s="61" t="n">
        <v>2</v>
      </c>
      <c r="G1988" s="62" t="n">
        <v>541.92</v>
      </c>
      <c r="H1988" s="63" t="n">
        <v>0.038</v>
      </c>
      <c r="I1988" s="62" t="n">
        <v>403.84</v>
      </c>
      <c r="J1988" s="58" t="inlineStr">
        <is>
          <t>Online</t>
        </is>
      </c>
      <c r="K1988" s="62">
        <f>F1988*(G1988-H1988)</f>
        <v/>
      </c>
      <c r="L1988" s="62">
        <f>K1988-(F1988*I1988)</f>
        <v/>
      </c>
      <c r="M1988" s="64">
        <f>L1988/K1988</f>
        <v/>
      </c>
    </row>
    <row r="1989">
      <c r="A1989" s="58" t="inlineStr">
        <is>
          <t>RT20250220-01988</t>
        </is>
      </c>
      <c r="B1989" s="59" t="inlineStr">
        <is>
          <t>2025-02-20</t>
        </is>
      </c>
      <c r="C1989" s="60" t="inlineStr">
        <is>
          <t>Polar Laptop Plus-984</t>
        </is>
      </c>
      <c r="D1989" s="58" t="inlineStr">
        <is>
          <t>Electronics</t>
        </is>
      </c>
      <c r="E1989" s="58" t="inlineStr">
        <is>
          <t>South</t>
        </is>
      </c>
      <c r="F1989" s="61" t="n">
        <v>2</v>
      </c>
      <c r="G1989" s="62" t="n">
        <v>1225.09</v>
      </c>
      <c r="H1989" s="63" t="n">
        <v>0.078</v>
      </c>
      <c r="I1989" s="62" t="n">
        <v>1016.88</v>
      </c>
      <c r="J1989" s="58" t="inlineStr">
        <is>
          <t>Online</t>
        </is>
      </c>
      <c r="K1989" s="62">
        <f>F1989*(G1989-H1989)</f>
        <v/>
      </c>
      <c r="L1989" s="62">
        <f>K1989-(F1989*I1989)</f>
        <v/>
      </c>
      <c r="M1989" s="64">
        <f>L1989/K1989</f>
        <v/>
      </c>
    </row>
    <row r="1990">
      <c r="A1990" s="58" t="inlineStr">
        <is>
          <t>RT20250220-01989</t>
        </is>
      </c>
      <c r="B1990" s="59" t="inlineStr">
        <is>
          <t>2025-02-20</t>
        </is>
      </c>
      <c r="C1990" s="60" t="inlineStr">
        <is>
          <t>Orion Kid Max-640</t>
        </is>
      </c>
      <c r="D1990" s="58" t="inlineStr">
        <is>
          <t>Apparel</t>
        </is>
      </c>
      <c r="E1990" s="58" t="inlineStr">
        <is>
          <t>Central</t>
        </is>
      </c>
      <c r="F1990" s="61" t="n">
        <v>3</v>
      </c>
      <c r="G1990" s="62" t="n">
        <v>127.32</v>
      </c>
      <c r="H1990" s="63" t="n">
        <v>0.08400000000000001</v>
      </c>
      <c r="I1990" s="62" t="n">
        <v>70.06</v>
      </c>
      <c r="J1990" s="58" t="inlineStr">
        <is>
          <t>Phone</t>
        </is>
      </c>
      <c r="K1990" s="62">
        <f>F1990*(G1990-H1990)</f>
        <v/>
      </c>
      <c r="L1990" s="62">
        <f>K1990-(F1990*I1990)</f>
        <v/>
      </c>
      <c r="M1990" s="64">
        <f>L1990/K1990</f>
        <v/>
      </c>
    </row>
    <row r="1991">
      <c r="A1991" s="58" t="inlineStr">
        <is>
          <t>RT20250220-01990</t>
        </is>
      </c>
      <c r="B1991" s="59" t="inlineStr">
        <is>
          <t>2025-02-20</t>
        </is>
      </c>
      <c r="C1991" s="60" t="inlineStr">
        <is>
          <t>Vertex Men X-995</t>
        </is>
      </c>
      <c r="D1991" s="58" t="inlineStr">
        <is>
          <t>Apparel</t>
        </is>
      </c>
      <c r="E1991" s="58" t="inlineStr">
        <is>
          <t>West</t>
        </is>
      </c>
      <c r="F1991" s="61" t="n">
        <v>1</v>
      </c>
      <c r="G1991" s="62" t="n">
        <v>111.45</v>
      </c>
      <c r="H1991" s="63" t="n">
        <v>0.06</v>
      </c>
      <c r="I1991" s="62" t="n">
        <v>57.27</v>
      </c>
      <c r="J1991" s="58" t="inlineStr">
        <is>
          <t>Online</t>
        </is>
      </c>
      <c r="K1991" s="62">
        <f>F1991*(G1991-H1991)</f>
        <v/>
      </c>
      <c r="L1991" s="62">
        <f>K1991-(F1991*I1991)</f>
        <v/>
      </c>
      <c r="M1991" s="64">
        <f>L1991/K1991</f>
        <v/>
      </c>
    </row>
    <row r="1992">
      <c r="A1992" s="58" t="inlineStr">
        <is>
          <t>RT20250220-01991</t>
        </is>
      </c>
      <c r="B1992" s="59" t="inlineStr">
        <is>
          <t>2025-02-20</t>
        </is>
      </c>
      <c r="C1992" s="60" t="inlineStr">
        <is>
          <t>Solace Smartphone Lite-533</t>
        </is>
      </c>
      <c r="D1992" s="58" t="inlineStr">
        <is>
          <t>Electronics</t>
        </is>
      </c>
      <c r="E1992" s="58" t="inlineStr">
        <is>
          <t>East</t>
        </is>
      </c>
      <c r="F1992" s="61" t="n">
        <v>2</v>
      </c>
      <c r="G1992" s="62" t="n">
        <v>1132.24</v>
      </c>
      <c r="H1992" s="63" t="n">
        <v>0.07000000000000001</v>
      </c>
      <c r="I1992" s="62" t="n">
        <v>934.0700000000001</v>
      </c>
      <c r="J1992" s="58" t="inlineStr">
        <is>
          <t>Store</t>
        </is>
      </c>
      <c r="K1992" s="62">
        <f>F1992*(G1992-H1992)</f>
        <v/>
      </c>
      <c r="L1992" s="62">
        <f>K1992-(F1992*I1992)</f>
        <v/>
      </c>
      <c r="M1992" s="64">
        <f>L1992/K1992</f>
        <v/>
      </c>
    </row>
    <row r="1993">
      <c r="A1993" s="58" t="inlineStr">
        <is>
          <t>RT20250220-01992</t>
        </is>
      </c>
      <c r="B1993" s="59" t="inlineStr">
        <is>
          <t>2025-02-20</t>
        </is>
      </c>
      <c r="C1993" s="60" t="inlineStr">
        <is>
          <t>Aurora Fragrance S-971</t>
        </is>
      </c>
      <c r="D1993" s="58" t="inlineStr">
        <is>
          <t>Beauty</t>
        </is>
      </c>
      <c r="E1993" s="58" t="inlineStr">
        <is>
          <t>Central</t>
        </is>
      </c>
      <c r="F1993" s="61" t="n">
        <v>2</v>
      </c>
      <c r="G1993" s="62" t="n">
        <v>122.52</v>
      </c>
      <c r="H1993" s="63" t="n">
        <v>0.08599999999999999</v>
      </c>
      <c r="I1993" s="62" t="n">
        <v>65.34</v>
      </c>
      <c r="J1993" s="58" t="inlineStr">
        <is>
          <t>Phone</t>
        </is>
      </c>
      <c r="K1993" s="62">
        <f>F1993*(G1993-H1993)</f>
        <v/>
      </c>
      <c r="L1993" s="62">
        <f>K1993-(F1993*I1993)</f>
        <v/>
      </c>
      <c r="M1993" s="64">
        <f>L1993/K1993</f>
        <v/>
      </c>
    </row>
    <row r="1994">
      <c r="A1994" s="58" t="inlineStr">
        <is>
          <t>RT20250220-01993</t>
        </is>
      </c>
      <c r="B1994" s="59" t="inlineStr">
        <is>
          <t>2025-02-20</t>
        </is>
      </c>
      <c r="C1994" s="60" t="inlineStr">
        <is>
          <t>Falcon Headphone Pro-713</t>
        </is>
      </c>
      <c r="D1994" s="58" t="inlineStr">
        <is>
          <t>Electronics</t>
        </is>
      </c>
      <c r="E1994" s="58" t="inlineStr">
        <is>
          <t>North</t>
        </is>
      </c>
      <c r="F1994" s="61" t="n">
        <v>1</v>
      </c>
      <c r="G1994" s="62" t="n">
        <v>1516.12</v>
      </c>
      <c r="H1994" s="63" t="n">
        <v>0.034</v>
      </c>
      <c r="I1994" s="62" t="n">
        <v>1210.98</v>
      </c>
      <c r="J1994" s="58" t="inlineStr">
        <is>
          <t>Online</t>
        </is>
      </c>
      <c r="K1994" s="62">
        <f>F1994*(G1994-H1994)</f>
        <v/>
      </c>
      <c r="L1994" s="62">
        <f>K1994-(F1994*I1994)</f>
        <v/>
      </c>
      <c r="M1994" s="64">
        <f>L1994/K1994</f>
        <v/>
      </c>
    </row>
    <row r="1995">
      <c r="A1995" s="58" t="inlineStr">
        <is>
          <t>RT20250220-01994</t>
        </is>
      </c>
      <c r="B1995" s="59" t="inlineStr">
        <is>
          <t>2025-02-20</t>
        </is>
      </c>
      <c r="C1995" s="60" t="inlineStr">
        <is>
          <t>Aurora Kid Plus-151</t>
        </is>
      </c>
      <c r="D1995" s="58" t="inlineStr">
        <is>
          <t>Apparel</t>
        </is>
      </c>
      <c r="E1995" s="58" t="inlineStr">
        <is>
          <t>East</t>
        </is>
      </c>
      <c r="F1995" s="61" t="n">
        <v>4</v>
      </c>
      <c r="G1995" s="62" t="n">
        <v>110.86</v>
      </c>
      <c r="H1995" s="63" t="n">
        <v>0.014</v>
      </c>
      <c r="I1995" s="62" t="n">
        <v>63.33</v>
      </c>
      <c r="J1995" s="58" t="inlineStr">
        <is>
          <t>Online</t>
        </is>
      </c>
      <c r="K1995" s="62">
        <f>F1995*(G1995-H1995)</f>
        <v/>
      </c>
      <c r="L1995" s="62">
        <f>K1995-(F1995*I1995)</f>
        <v/>
      </c>
      <c r="M1995" s="64">
        <f>L1995/K1995</f>
        <v/>
      </c>
    </row>
    <row r="1996">
      <c r="A1996" s="58" t="inlineStr">
        <is>
          <t>RT20250220-01995</t>
        </is>
      </c>
      <c r="B1996" s="59" t="inlineStr">
        <is>
          <t>2025-02-20</t>
        </is>
      </c>
      <c r="C1996" s="60" t="inlineStr">
        <is>
          <t>Vertex Furniture S-652</t>
        </is>
      </c>
      <c r="D1996" s="58" t="inlineStr">
        <is>
          <t>Office</t>
        </is>
      </c>
      <c r="E1996" s="58" t="inlineStr">
        <is>
          <t>East</t>
        </is>
      </c>
      <c r="F1996" s="61" t="n">
        <v>2</v>
      </c>
      <c r="G1996" s="62" t="n">
        <v>353.66</v>
      </c>
      <c r="H1996" s="63" t="n">
        <v>0.07099999999999999</v>
      </c>
      <c r="I1996" s="62" t="n">
        <v>272.19</v>
      </c>
      <c r="J1996" s="58" t="inlineStr">
        <is>
          <t>Store</t>
        </is>
      </c>
      <c r="K1996" s="62">
        <f>F1996*(G1996-H1996)</f>
        <v/>
      </c>
      <c r="L1996" s="62">
        <f>K1996-(F1996*I1996)</f>
        <v/>
      </c>
      <c r="M1996" s="64">
        <f>L1996/K1996</f>
        <v/>
      </c>
    </row>
    <row r="1997">
      <c r="A1997" s="58" t="inlineStr">
        <is>
          <t>RT20250220-01996</t>
        </is>
      </c>
      <c r="B1997" s="59" t="inlineStr">
        <is>
          <t>2025-02-20</t>
        </is>
      </c>
      <c r="C1997" s="60" t="inlineStr">
        <is>
          <t>Solace Smartphone Lite-533</t>
        </is>
      </c>
      <c r="D1997" s="58" t="inlineStr">
        <is>
          <t>Electronics</t>
        </is>
      </c>
      <c r="E1997" s="58" t="inlineStr">
        <is>
          <t>Central</t>
        </is>
      </c>
      <c r="F1997" s="61" t="n">
        <v>1</v>
      </c>
      <c r="G1997" s="62" t="n">
        <v>1022.96</v>
      </c>
      <c r="H1997" s="63" t="n">
        <v>0.049</v>
      </c>
      <c r="I1997" s="62" t="n">
        <v>935.1900000000001</v>
      </c>
      <c r="J1997" s="58" t="inlineStr">
        <is>
          <t>Online</t>
        </is>
      </c>
      <c r="K1997" s="62">
        <f>F1997*(G1997-H1997)</f>
        <v/>
      </c>
      <c r="L1997" s="62">
        <f>K1997-(F1997*I1997)</f>
        <v/>
      </c>
      <c r="M1997" s="64">
        <f>L1997/K1997</f>
        <v/>
      </c>
    </row>
    <row r="1998">
      <c r="A1998" s="58" t="inlineStr">
        <is>
          <t>RT20250220-01997</t>
        </is>
      </c>
      <c r="B1998" s="59" t="inlineStr">
        <is>
          <t>2025-02-20</t>
        </is>
      </c>
      <c r="C1998" s="60" t="inlineStr">
        <is>
          <t>Metro Accessorie Lite-697</t>
        </is>
      </c>
      <c r="D1998" s="58" t="inlineStr">
        <is>
          <t>Apparel</t>
        </is>
      </c>
      <c r="E1998" s="58" t="inlineStr">
        <is>
          <t>West</t>
        </is>
      </c>
      <c r="F1998" s="61" t="n">
        <v>1</v>
      </c>
      <c r="G1998" s="62" t="n">
        <v>127.14</v>
      </c>
      <c r="H1998" s="63" t="n">
        <v>0.027</v>
      </c>
      <c r="I1998" s="62" t="n">
        <v>74.91</v>
      </c>
      <c r="J1998" s="58" t="inlineStr">
        <is>
          <t>Store</t>
        </is>
      </c>
      <c r="K1998" s="62">
        <f>F1998*(G1998-H1998)</f>
        <v/>
      </c>
      <c r="L1998" s="62">
        <f>K1998-(F1998*I1998)</f>
        <v/>
      </c>
      <c r="M1998" s="64">
        <f>L1998/K1998</f>
        <v/>
      </c>
    </row>
    <row r="1999">
      <c r="A1999" s="58" t="inlineStr">
        <is>
          <t>RT20250220-01998</t>
        </is>
      </c>
      <c r="B1999" s="59" t="inlineStr">
        <is>
          <t>2025-02-20</t>
        </is>
      </c>
      <c r="C1999" s="60" t="inlineStr">
        <is>
          <t>Vertex Furniture S-652</t>
        </is>
      </c>
      <c r="D1999" s="58" t="inlineStr">
        <is>
          <t>Office</t>
        </is>
      </c>
      <c r="E1999" s="58" t="inlineStr">
        <is>
          <t>East</t>
        </is>
      </c>
      <c r="F1999" s="61" t="n">
        <v>2</v>
      </c>
      <c r="G1999" s="62" t="n">
        <v>369.11</v>
      </c>
      <c r="H1999" s="63" t="n">
        <v>0.038</v>
      </c>
      <c r="I1999" s="62" t="n">
        <v>266.88</v>
      </c>
      <c r="J1999" s="58" t="inlineStr">
        <is>
          <t>Online</t>
        </is>
      </c>
      <c r="K1999" s="62">
        <f>F1999*(G1999-H1999)</f>
        <v/>
      </c>
      <c r="L1999" s="62">
        <f>K1999-(F1999*I1999)</f>
        <v/>
      </c>
      <c r="M1999" s="64">
        <f>L1999/K1999</f>
        <v/>
      </c>
    </row>
    <row r="2000">
      <c r="A2000" s="58" t="inlineStr">
        <is>
          <t>RT20250220-01999</t>
        </is>
      </c>
      <c r="B2000" s="59" t="inlineStr">
        <is>
          <t>2025-02-20</t>
        </is>
      </c>
      <c r="C2000" s="60" t="inlineStr">
        <is>
          <t>Vertex Appliance S-159</t>
        </is>
      </c>
      <c r="D2000" s="58" t="inlineStr">
        <is>
          <t>Home</t>
        </is>
      </c>
      <c r="E2000" s="58" t="inlineStr">
        <is>
          <t>East</t>
        </is>
      </c>
      <c r="F2000" s="61" t="n">
        <v>2</v>
      </c>
      <c r="G2000" s="62" t="n">
        <v>397.22</v>
      </c>
      <c r="H2000" s="63" t="n">
        <v>0.043</v>
      </c>
      <c r="I2000" s="62" t="n">
        <v>301.23</v>
      </c>
      <c r="J2000" s="58" t="inlineStr">
        <is>
          <t>Store</t>
        </is>
      </c>
      <c r="K2000" s="62">
        <f>F2000*(G2000-H2000)</f>
        <v/>
      </c>
      <c r="L2000" s="62">
        <f>K2000-(F2000*I2000)</f>
        <v/>
      </c>
      <c r="M2000" s="64">
        <f>L2000/K2000</f>
        <v/>
      </c>
    </row>
    <row r="2001">
      <c r="A2001" s="58" t="inlineStr">
        <is>
          <t>RT20250220-02000</t>
        </is>
      </c>
      <c r="B2001" s="59" t="inlineStr">
        <is>
          <t>2025-02-20</t>
        </is>
      </c>
      <c r="C2001" s="60" t="inlineStr">
        <is>
          <t>Orion Kid Max-864</t>
        </is>
      </c>
      <c r="D2001" s="58" t="inlineStr">
        <is>
          <t>Apparel</t>
        </is>
      </c>
      <c r="E2001" s="58" t="inlineStr">
        <is>
          <t>South</t>
        </is>
      </c>
      <c r="F2001" s="61" t="n">
        <v>4</v>
      </c>
      <c r="G2001" s="62" t="n">
        <v>71.45</v>
      </c>
      <c r="H2001" s="63" t="n">
        <v>0.096</v>
      </c>
      <c r="I2001" s="62" t="n">
        <v>44.45</v>
      </c>
      <c r="J2001" s="58" t="inlineStr">
        <is>
          <t>Online</t>
        </is>
      </c>
      <c r="K2001" s="62">
        <f>F2001*(G2001-H2001)</f>
        <v/>
      </c>
      <c r="L2001" s="62">
        <f>K2001-(F2001*I2001)</f>
        <v/>
      </c>
      <c r="M2001" s="64">
        <f>L2001/K2001</f>
        <v/>
      </c>
    </row>
    <row r="2002">
      <c r="A2002" s="58" t="inlineStr">
        <is>
          <t>RT20250220-02001</t>
        </is>
      </c>
      <c r="B2002" s="59" t="inlineStr">
        <is>
          <t>2025-02-20</t>
        </is>
      </c>
      <c r="C2002" s="60" t="inlineStr">
        <is>
          <t>Solace Makeup Pro-214</t>
        </is>
      </c>
      <c r="D2002" s="58" t="inlineStr">
        <is>
          <t>Beauty</t>
        </is>
      </c>
      <c r="E2002" s="58" t="inlineStr">
        <is>
          <t>East</t>
        </is>
      </c>
      <c r="F2002" s="61" t="n">
        <v>4</v>
      </c>
      <c r="G2002" s="62" t="n">
        <v>114.41</v>
      </c>
      <c r="H2002" s="63" t="n">
        <v>0.08</v>
      </c>
      <c r="I2002" s="62" t="n">
        <v>67.08</v>
      </c>
      <c r="J2002" s="58" t="inlineStr">
        <is>
          <t>Online</t>
        </is>
      </c>
      <c r="K2002" s="62">
        <f>F2002*(G2002-H2002)</f>
        <v/>
      </c>
      <c r="L2002" s="62">
        <f>K2002-(F2002*I2002)</f>
        <v/>
      </c>
      <c r="M2002" s="64">
        <f>L2002/K2002</f>
        <v/>
      </c>
    </row>
    <row r="2003">
      <c r="A2003" s="58" t="inlineStr">
        <is>
          <t>RT20250221-02002</t>
        </is>
      </c>
      <c r="B2003" s="59" t="inlineStr">
        <is>
          <t>2025-02-21</t>
        </is>
      </c>
      <c r="C2003" s="60" t="inlineStr">
        <is>
          <t>Aurora Wearable Lite-162</t>
        </is>
      </c>
      <c r="D2003" s="58" t="inlineStr">
        <is>
          <t>Electronics</t>
        </is>
      </c>
      <c r="E2003" s="58" t="inlineStr">
        <is>
          <t>East</t>
        </is>
      </c>
      <c r="F2003" s="61" t="n">
        <v>1</v>
      </c>
      <c r="G2003" s="62" t="n">
        <v>1590.14</v>
      </c>
      <c r="H2003" s="63" t="n">
        <v>0.065</v>
      </c>
      <c r="I2003" s="62" t="n">
        <v>1170.29</v>
      </c>
      <c r="J2003" s="58" t="inlineStr">
        <is>
          <t>Store</t>
        </is>
      </c>
      <c r="K2003" s="62">
        <f>F2003*(G2003-H2003)</f>
        <v/>
      </c>
      <c r="L2003" s="62">
        <f>K2003-(F2003*I2003)</f>
        <v/>
      </c>
      <c r="M2003" s="64">
        <f>L2003/K2003</f>
        <v/>
      </c>
    </row>
    <row r="2004">
      <c r="A2004" s="58" t="inlineStr">
        <is>
          <t>RT20250221-02003</t>
        </is>
      </c>
      <c r="B2004" s="59" t="inlineStr">
        <is>
          <t>2025-02-21</t>
        </is>
      </c>
      <c r="C2004" s="60" t="inlineStr">
        <is>
          <t>Orion Kid Max-864</t>
        </is>
      </c>
      <c r="D2004" s="58" t="inlineStr">
        <is>
          <t>Apparel</t>
        </is>
      </c>
      <c r="E2004" s="58" t="inlineStr">
        <is>
          <t>East</t>
        </is>
      </c>
      <c r="F2004" s="61" t="n">
        <v>4</v>
      </c>
      <c r="G2004" s="62" t="n">
        <v>78.52</v>
      </c>
      <c r="H2004" s="63" t="n">
        <v>0.057</v>
      </c>
      <c r="I2004" s="62" t="n">
        <v>45.82</v>
      </c>
      <c r="J2004" s="58" t="inlineStr">
        <is>
          <t>Store</t>
        </is>
      </c>
      <c r="K2004" s="62">
        <f>F2004*(G2004-H2004)</f>
        <v/>
      </c>
      <c r="L2004" s="62">
        <f>K2004-(F2004*I2004)</f>
        <v/>
      </c>
      <c r="M2004" s="64">
        <f>L2004/K2004</f>
        <v/>
      </c>
    </row>
    <row r="2005">
      <c r="A2005" s="58" t="inlineStr">
        <is>
          <t>RT20250221-02004</t>
        </is>
      </c>
      <c r="B2005" s="59" t="inlineStr">
        <is>
          <t>2025-02-21</t>
        </is>
      </c>
      <c r="C2005" s="60" t="inlineStr">
        <is>
          <t>Aurora Fitnes Lite-194</t>
        </is>
      </c>
      <c r="D2005" s="58" t="inlineStr">
        <is>
          <t>Sports</t>
        </is>
      </c>
      <c r="E2005" s="58" t="inlineStr">
        <is>
          <t>South</t>
        </is>
      </c>
      <c r="F2005" s="61" t="n">
        <v>1</v>
      </c>
      <c r="G2005" s="62" t="n">
        <v>612.0599999999999</v>
      </c>
      <c r="H2005" s="63" t="n">
        <v>0.028</v>
      </c>
      <c r="I2005" s="62" t="n">
        <v>461.69</v>
      </c>
      <c r="J2005" s="58" t="inlineStr">
        <is>
          <t>Online</t>
        </is>
      </c>
      <c r="K2005" s="62">
        <f>F2005*(G2005-H2005)</f>
        <v/>
      </c>
      <c r="L2005" s="62">
        <f>K2005-(F2005*I2005)</f>
        <v/>
      </c>
      <c r="M2005" s="64">
        <f>L2005/K2005</f>
        <v/>
      </c>
    </row>
    <row r="2006">
      <c r="A2006" s="58" t="inlineStr">
        <is>
          <t>RT20250221-02005</t>
        </is>
      </c>
      <c r="B2006" s="59" t="inlineStr">
        <is>
          <t>2025-02-21</t>
        </is>
      </c>
      <c r="C2006" s="60" t="inlineStr">
        <is>
          <t>Polar Laptop Plus-984</t>
        </is>
      </c>
      <c r="D2006" s="58" t="inlineStr">
        <is>
          <t>Electronics</t>
        </is>
      </c>
      <c r="E2006" s="58" t="inlineStr">
        <is>
          <t>West</t>
        </is>
      </c>
      <c r="F2006" s="61" t="n">
        <v>1</v>
      </c>
      <c r="G2006" s="62" t="n">
        <v>1279.74</v>
      </c>
      <c r="H2006" s="63" t="n">
        <v>0.045</v>
      </c>
      <c r="I2006" s="62" t="n">
        <v>1014.7</v>
      </c>
      <c r="J2006" s="58" t="inlineStr">
        <is>
          <t>Phone</t>
        </is>
      </c>
      <c r="K2006" s="62">
        <f>F2006*(G2006-H2006)</f>
        <v/>
      </c>
      <c r="L2006" s="62">
        <f>K2006-(F2006*I2006)</f>
        <v/>
      </c>
      <c r="M2006" s="64">
        <f>L2006/K2006</f>
        <v/>
      </c>
    </row>
    <row r="2007">
      <c r="A2007" s="58" t="inlineStr">
        <is>
          <t>RT20250221-02006</t>
        </is>
      </c>
      <c r="B2007" s="59" t="inlineStr">
        <is>
          <t>2025-02-21</t>
        </is>
      </c>
      <c r="C2007" s="60" t="inlineStr">
        <is>
          <t>Polar Pantry Lite-392</t>
        </is>
      </c>
      <c r="D2007" s="58" t="inlineStr">
        <is>
          <t>Grocery</t>
        </is>
      </c>
      <c r="E2007" s="58" t="inlineStr">
        <is>
          <t>Central</t>
        </is>
      </c>
      <c r="F2007" s="61" t="n">
        <v>2</v>
      </c>
      <c r="G2007" s="62" t="n">
        <v>6.13</v>
      </c>
      <c r="H2007" s="63" t="n">
        <v>0.038</v>
      </c>
      <c r="I2007" s="62" t="n">
        <v>4.58</v>
      </c>
      <c r="J2007" s="58" t="inlineStr">
        <is>
          <t>Online</t>
        </is>
      </c>
      <c r="K2007" s="62">
        <f>F2007*(G2007-H2007)</f>
        <v/>
      </c>
      <c r="L2007" s="62">
        <f>K2007-(F2007*I2007)</f>
        <v/>
      </c>
      <c r="M2007" s="64">
        <f>L2007/K2007</f>
        <v/>
      </c>
    </row>
    <row r="2008">
      <c r="A2008" s="58" t="inlineStr">
        <is>
          <t>RT20250221-02007</t>
        </is>
      </c>
      <c r="B2008" s="59" t="inlineStr">
        <is>
          <t>2025-02-21</t>
        </is>
      </c>
      <c r="C2008" s="60" t="inlineStr">
        <is>
          <t>Orion Kid Max-640</t>
        </is>
      </c>
      <c r="D2008" s="58" t="inlineStr">
        <is>
          <t>Apparel</t>
        </is>
      </c>
      <c r="E2008" s="58" t="inlineStr">
        <is>
          <t>West</t>
        </is>
      </c>
      <c r="F2008" s="61" t="n">
        <v>1</v>
      </c>
      <c r="G2008" s="62" t="n">
        <v>124.35</v>
      </c>
      <c r="H2008" s="63" t="n">
        <v>0.059</v>
      </c>
      <c r="I2008" s="62" t="n">
        <v>70.87</v>
      </c>
      <c r="J2008" s="58" t="inlineStr">
        <is>
          <t>Phone</t>
        </is>
      </c>
      <c r="K2008" s="62">
        <f>F2008*(G2008-H2008)</f>
        <v/>
      </c>
      <c r="L2008" s="62">
        <f>K2008-(F2008*I2008)</f>
        <v/>
      </c>
      <c r="M2008" s="64">
        <f>L2008/K2008</f>
        <v/>
      </c>
    </row>
    <row r="2009">
      <c r="A2009" s="58" t="inlineStr">
        <is>
          <t>RT20250221-02008</t>
        </is>
      </c>
      <c r="B2009" s="59" t="inlineStr">
        <is>
          <t>2025-02-21</t>
        </is>
      </c>
      <c r="C2009" s="60" t="inlineStr">
        <is>
          <t>Metro Pantry Max-180</t>
        </is>
      </c>
      <c r="D2009" s="58" t="inlineStr">
        <is>
          <t>Grocery</t>
        </is>
      </c>
      <c r="E2009" s="58" t="inlineStr">
        <is>
          <t>Central</t>
        </is>
      </c>
      <c r="F2009" s="61" t="n">
        <v>8</v>
      </c>
      <c r="G2009" s="62" t="n">
        <v>8.27</v>
      </c>
      <c r="H2009" s="63" t="n">
        <v>0.048</v>
      </c>
      <c r="I2009" s="62" t="n">
        <v>6.67</v>
      </c>
      <c r="J2009" s="58" t="inlineStr">
        <is>
          <t>Online</t>
        </is>
      </c>
      <c r="K2009" s="62">
        <f>F2009*(G2009-H2009)</f>
        <v/>
      </c>
      <c r="L2009" s="62">
        <f>K2009-(F2009*I2009)</f>
        <v/>
      </c>
      <c r="M2009" s="64">
        <f>L2009/K2009</f>
        <v/>
      </c>
    </row>
    <row r="2010">
      <c r="A2010" s="58" t="inlineStr">
        <is>
          <t>RT20250221-02009</t>
        </is>
      </c>
      <c r="B2010" s="59" t="inlineStr">
        <is>
          <t>2025-02-21</t>
        </is>
      </c>
      <c r="C2010" s="60" t="inlineStr">
        <is>
          <t>Vertex Skincare Pro-891</t>
        </is>
      </c>
      <c r="D2010" s="58" t="inlineStr">
        <is>
          <t>Beauty</t>
        </is>
      </c>
      <c r="E2010" s="58" t="inlineStr">
        <is>
          <t>Central</t>
        </is>
      </c>
      <c r="F2010" s="61" t="n">
        <v>3</v>
      </c>
      <c r="G2010" s="62" t="n">
        <v>172.24</v>
      </c>
      <c r="H2010" s="63" t="n">
        <v>0.08500000000000001</v>
      </c>
      <c r="I2010" s="62" t="n">
        <v>89.97</v>
      </c>
      <c r="J2010" s="58" t="inlineStr">
        <is>
          <t>Store</t>
        </is>
      </c>
      <c r="K2010" s="62">
        <f>F2010*(G2010-H2010)</f>
        <v/>
      </c>
      <c r="L2010" s="62">
        <f>K2010-(F2010*I2010)</f>
        <v/>
      </c>
      <c r="M2010" s="64">
        <f>L2010/K2010</f>
        <v/>
      </c>
    </row>
    <row r="2011">
      <c r="A2011" s="58" t="inlineStr">
        <is>
          <t>RT20250221-02010</t>
        </is>
      </c>
      <c r="B2011" s="59" t="inlineStr">
        <is>
          <t>2025-02-21</t>
        </is>
      </c>
      <c r="C2011" s="60" t="inlineStr">
        <is>
          <t>Aurora Makeup Pro-489</t>
        </is>
      </c>
      <c r="D2011" s="58" t="inlineStr">
        <is>
          <t>Beauty</t>
        </is>
      </c>
      <c r="E2011" s="58" t="inlineStr">
        <is>
          <t>Central</t>
        </is>
      </c>
      <c r="F2011" s="61" t="n">
        <v>1</v>
      </c>
      <c r="G2011" s="62" t="n">
        <v>102.45</v>
      </c>
      <c r="H2011" s="63" t="n">
        <v>0.04</v>
      </c>
      <c r="I2011" s="62" t="n">
        <v>64.56999999999999</v>
      </c>
      <c r="J2011" s="58" t="inlineStr">
        <is>
          <t>Store</t>
        </is>
      </c>
      <c r="K2011" s="62">
        <f>F2011*(G2011-H2011)</f>
        <v/>
      </c>
      <c r="L2011" s="62">
        <f>K2011-(F2011*I2011)</f>
        <v/>
      </c>
      <c r="M2011" s="64">
        <f>L2011/K2011</f>
        <v/>
      </c>
    </row>
    <row r="2012">
      <c r="A2012" s="58" t="inlineStr">
        <is>
          <t>RT20250221-02011</t>
        </is>
      </c>
      <c r="B2012" s="59" t="inlineStr">
        <is>
          <t>2025-02-21</t>
        </is>
      </c>
      <c r="C2012" s="60" t="inlineStr">
        <is>
          <t>Orion Kitchen Pro-568</t>
        </is>
      </c>
      <c r="D2012" s="58" t="inlineStr">
        <is>
          <t>Home</t>
        </is>
      </c>
      <c r="E2012" s="58" t="inlineStr">
        <is>
          <t>Central</t>
        </is>
      </c>
      <c r="F2012" s="61" t="n">
        <v>2</v>
      </c>
      <c r="G2012" s="62" t="n">
        <v>484.76</v>
      </c>
      <c r="H2012" s="63" t="n">
        <v>0.053</v>
      </c>
      <c r="I2012" s="62" t="n">
        <v>299.07</v>
      </c>
      <c r="J2012" s="58" t="inlineStr">
        <is>
          <t>Store</t>
        </is>
      </c>
      <c r="K2012" s="62">
        <f>F2012*(G2012-H2012)</f>
        <v/>
      </c>
      <c r="L2012" s="62">
        <f>K2012-(F2012*I2012)</f>
        <v/>
      </c>
      <c r="M2012" s="64">
        <f>L2012/K2012</f>
        <v/>
      </c>
    </row>
    <row r="2013">
      <c r="A2013" s="58" t="inlineStr">
        <is>
          <t>RT20250221-02012</t>
        </is>
      </c>
      <c r="B2013" s="59" t="inlineStr">
        <is>
          <t>2025-02-21</t>
        </is>
      </c>
      <c r="C2013" s="60" t="inlineStr">
        <is>
          <t>Orion Kid Max-640</t>
        </is>
      </c>
      <c r="D2013" s="58" t="inlineStr">
        <is>
          <t>Apparel</t>
        </is>
      </c>
      <c r="E2013" s="58" t="inlineStr">
        <is>
          <t>West</t>
        </is>
      </c>
      <c r="F2013" s="61" t="n">
        <v>2</v>
      </c>
      <c r="G2013" s="62" t="n">
        <v>118.02</v>
      </c>
      <c r="H2013" s="63" t="n">
        <v>0.014</v>
      </c>
      <c r="I2013" s="62" t="n">
        <v>68.92</v>
      </c>
      <c r="J2013" s="58" t="inlineStr">
        <is>
          <t>Online</t>
        </is>
      </c>
      <c r="K2013" s="62">
        <f>F2013*(G2013-H2013)</f>
        <v/>
      </c>
      <c r="L2013" s="62">
        <f>K2013-(F2013*I2013)</f>
        <v/>
      </c>
      <c r="M2013" s="64">
        <f>L2013/K2013</f>
        <v/>
      </c>
    </row>
    <row r="2014">
      <c r="A2014" s="58" t="inlineStr">
        <is>
          <t>RT20250221-02013</t>
        </is>
      </c>
      <c r="B2014" s="59" t="inlineStr">
        <is>
          <t>2025-02-21</t>
        </is>
      </c>
      <c r="C2014" s="60" t="inlineStr">
        <is>
          <t>Nimbus Headphone X-854</t>
        </is>
      </c>
      <c r="D2014" s="58" t="inlineStr">
        <is>
          <t>Electronics</t>
        </is>
      </c>
      <c r="E2014" s="58" t="inlineStr">
        <is>
          <t>Central</t>
        </is>
      </c>
      <c r="F2014" s="61" t="n">
        <v>1</v>
      </c>
      <c r="G2014" s="62" t="n">
        <v>1535.84</v>
      </c>
      <c r="H2014" s="63" t="n">
        <v>0.067</v>
      </c>
      <c r="I2014" s="62" t="n">
        <v>1284</v>
      </c>
      <c r="J2014" s="58" t="inlineStr">
        <is>
          <t>Store</t>
        </is>
      </c>
      <c r="K2014" s="62">
        <f>F2014*(G2014-H2014)</f>
        <v/>
      </c>
      <c r="L2014" s="62">
        <f>K2014-(F2014*I2014)</f>
        <v/>
      </c>
      <c r="M2014" s="64">
        <f>L2014/K2014</f>
        <v/>
      </c>
    </row>
    <row r="2015">
      <c r="A2015" s="58" t="inlineStr">
        <is>
          <t>RT20250221-02014</t>
        </is>
      </c>
      <c r="B2015" s="59" t="inlineStr">
        <is>
          <t>2025-02-21</t>
        </is>
      </c>
      <c r="C2015" s="60" t="inlineStr">
        <is>
          <t>Nimbus Cycling Plus-911</t>
        </is>
      </c>
      <c r="D2015" s="58" t="inlineStr">
        <is>
          <t>Sports</t>
        </is>
      </c>
      <c r="E2015" s="58" t="inlineStr">
        <is>
          <t>West</t>
        </is>
      </c>
      <c r="F2015" s="61" t="n">
        <v>3</v>
      </c>
      <c r="G2015" s="62" t="n">
        <v>509.33</v>
      </c>
      <c r="H2015" s="63" t="n">
        <v>0.101</v>
      </c>
      <c r="I2015" s="62" t="n">
        <v>393.48</v>
      </c>
      <c r="J2015" s="58" t="inlineStr">
        <is>
          <t>Online</t>
        </is>
      </c>
      <c r="K2015" s="62">
        <f>F2015*(G2015-H2015)</f>
        <v/>
      </c>
      <c r="L2015" s="62">
        <f>K2015-(F2015*I2015)</f>
        <v/>
      </c>
      <c r="M2015" s="64">
        <f>L2015/K2015</f>
        <v/>
      </c>
    </row>
    <row r="2016">
      <c r="A2016" s="58" t="inlineStr">
        <is>
          <t>RT20250221-02015</t>
        </is>
      </c>
      <c r="B2016" s="59" t="inlineStr">
        <is>
          <t>2025-02-21</t>
        </is>
      </c>
      <c r="C2016" s="60" t="inlineStr">
        <is>
          <t>Metro Outdoor Plus-787</t>
        </is>
      </c>
      <c r="D2016" s="58" t="inlineStr">
        <is>
          <t>Sports</t>
        </is>
      </c>
      <c r="E2016" s="58" t="inlineStr">
        <is>
          <t>East</t>
        </is>
      </c>
      <c r="F2016" s="61" t="n">
        <v>1</v>
      </c>
      <c r="G2016" s="62" t="n">
        <v>562.35</v>
      </c>
      <c r="H2016" s="63" t="n">
        <v>0.1</v>
      </c>
      <c r="I2016" s="62" t="n">
        <v>353.23</v>
      </c>
      <c r="J2016" s="58" t="inlineStr">
        <is>
          <t>Online</t>
        </is>
      </c>
      <c r="K2016" s="62">
        <f>F2016*(G2016-H2016)</f>
        <v/>
      </c>
      <c r="L2016" s="62">
        <f>K2016-(F2016*I2016)</f>
        <v/>
      </c>
      <c r="M2016" s="64">
        <f>L2016/K2016</f>
        <v/>
      </c>
    </row>
    <row r="2017">
      <c r="A2017" s="58" t="inlineStr">
        <is>
          <t>RT20250221-02016</t>
        </is>
      </c>
      <c r="B2017" s="59" t="inlineStr">
        <is>
          <t>2025-02-21</t>
        </is>
      </c>
      <c r="C2017" s="60" t="inlineStr">
        <is>
          <t>Falcon Cycling Pro-499</t>
        </is>
      </c>
      <c r="D2017" s="58" t="inlineStr">
        <is>
          <t>Sports</t>
        </is>
      </c>
      <c r="E2017" s="58" t="inlineStr">
        <is>
          <t>East</t>
        </is>
      </c>
      <c r="F2017" s="61" t="n">
        <v>2</v>
      </c>
      <c r="G2017" s="62" t="n">
        <v>535.47</v>
      </c>
      <c r="H2017" s="63" t="n">
        <v>0.063</v>
      </c>
      <c r="I2017" s="62" t="n">
        <v>403.6</v>
      </c>
      <c r="J2017" s="58" t="inlineStr">
        <is>
          <t>Store</t>
        </is>
      </c>
      <c r="K2017" s="62">
        <f>F2017*(G2017-H2017)</f>
        <v/>
      </c>
      <c r="L2017" s="62">
        <f>K2017-(F2017*I2017)</f>
        <v/>
      </c>
      <c r="M2017" s="64">
        <f>L2017/K2017</f>
        <v/>
      </c>
    </row>
    <row r="2018">
      <c r="A2018" s="58" t="inlineStr">
        <is>
          <t>RT20250221-02017</t>
        </is>
      </c>
      <c r="B2018" s="59" t="inlineStr">
        <is>
          <t>2025-02-21</t>
        </is>
      </c>
      <c r="C2018" s="60" t="inlineStr">
        <is>
          <t>Vertex Furniture S-652</t>
        </is>
      </c>
      <c r="D2018" s="58" t="inlineStr">
        <is>
          <t>Office</t>
        </is>
      </c>
      <c r="E2018" s="58" t="inlineStr">
        <is>
          <t>South</t>
        </is>
      </c>
      <c r="F2018" s="61" t="n">
        <v>1</v>
      </c>
      <c r="G2018" s="62" t="n">
        <v>367.15</v>
      </c>
      <c r="H2018" s="63" t="n">
        <v>0.076</v>
      </c>
      <c r="I2018" s="62" t="n">
        <v>268.16</v>
      </c>
      <c r="J2018" s="58" t="inlineStr">
        <is>
          <t>Online</t>
        </is>
      </c>
      <c r="K2018" s="62">
        <f>F2018*(G2018-H2018)</f>
        <v/>
      </c>
      <c r="L2018" s="62">
        <f>K2018-(F2018*I2018)</f>
        <v/>
      </c>
      <c r="M2018" s="64">
        <f>L2018/K2018</f>
        <v/>
      </c>
    </row>
    <row r="2019">
      <c r="A2019" s="58" t="inlineStr">
        <is>
          <t>RT20250221-02018</t>
        </is>
      </c>
      <c r="B2019" s="59" t="inlineStr">
        <is>
          <t>2025-02-21</t>
        </is>
      </c>
      <c r="C2019" s="60" t="inlineStr">
        <is>
          <t>Polar Snack Pro-641</t>
        </is>
      </c>
      <c r="D2019" s="58" t="inlineStr">
        <is>
          <t>Grocery</t>
        </is>
      </c>
      <c r="E2019" s="58" t="inlineStr">
        <is>
          <t>West</t>
        </is>
      </c>
      <c r="F2019" s="61" t="n">
        <v>3</v>
      </c>
      <c r="G2019" s="62" t="n">
        <v>12.87</v>
      </c>
      <c r="H2019" s="63" t="n">
        <v>0.037</v>
      </c>
      <c r="I2019" s="62" t="n">
        <v>9.6</v>
      </c>
      <c r="J2019" s="58" t="inlineStr">
        <is>
          <t>Online</t>
        </is>
      </c>
      <c r="K2019" s="62">
        <f>F2019*(G2019-H2019)</f>
        <v/>
      </c>
      <c r="L2019" s="62">
        <f>K2019-(F2019*I2019)</f>
        <v/>
      </c>
      <c r="M2019" s="64">
        <f>L2019/K2019</f>
        <v/>
      </c>
    </row>
    <row r="2020">
      <c r="A2020" s="58" t="inlineStr">
        <is>
          <t>RT20250221-02019</t>
        </is>
      </c>
      <c r="B2020" s="59" t="inlineStr">
        <is>
          <t>2025-02-21</t>
        </is>
      </c>
      <c r="C2020" s="60" t="inlineStr">
        <is>
          <t>Falcon Haircare Pro-980</t>
        </is>
      </c>
      <c r="D2020" s="58" t="inlineStr">
        <is>
          <t>Beauty</t>
        </is>
      </c>
      <c r="E2020" s="58" t="inlineStr">
        <is>
          <t>South</t>
        </is>
      </c>
      <c r="F2020" s="61" t="n">
        <v>5</v>
      </c>
      <c r="G2020" s="62" t="n">
        <v>95.17</v>
      </c>
      <c r="H2020" s="63" t="n">
        <v>0.057</v>
      </c>
      <c r="I2020" s="62" t="n">
        <v>56.83</v>
      </c>
      <c r="J2020" s="58" t="inlineStr">
        <is>
          <t>Phone</t>
        </is>
      </c>
      <c r="K2020" s="62">
        <f>F2020*(G2020-H2020)</f>
        <v/>
      </c>
      <c r="L2020" s="62">
        <f>K2020-(F2020*I2020)</f>
        <v/>
      </c>
      <c r="M2020" s="64">
        <f>L2020/K2020</f>
        <v/>
      </c>
    </row>
    <row r="2021">
      <c r="A2021" s="58" t="inlineStr">
        <is>
          <t>RT20250221-02020</t>
        </is>
      </c>
      <c r="B2021" s="59" t="inlineStr">
        <is>
          <t>2025-02-21</t>
        </is>
      </c>
      <c r="C2021" s="60" t="inlineStr">
        <is>
          <t>Solace Makeup Pro-214</t>
        </is>
      </c>
      <c r="D2021" s="58" t="inlineStr">
        <is>
          <t>Beauty</t>
        </is>
      </c>
      <c r="E2021" s="58" t="inlineStr">
        <is>
          <t>West</t>
        </is>
      </c>
      <c r="F2021" s="61" t="n">
        <v>3</v>
      </c>
      <c r="G2021" s="62" t="n">
        <v>98.97</v>
      </c>
      <c r="H2021" s="63" t="n">
        <v>0.047</v>
      </c>
      <c r="I2021" s="62" t="n">
        <v>69.31</v>
      </c>
      <c r="J2021" s="58" t="inlineStr">
        <is>
          <t>Online</t>
        </is>
      </c>
      <c r="K2021" s="62">
        <f>F2021*(G2021-H2021)</f>
        <v/>
      </c>
      <c r="L2021" s="62">
        <f>K2021-(F2021*I2021)</f>
        <v/>
      </c>
      <c r="M2021" s="64">
        <f>L2021/K2021</f>
        <v/>
      </c>
    </row>
    <row r="2022">
      <c r="A2022" s="58" t="inlineStr">
        <is>
          <t>RT20250221-02021</t>
        </is>
      </c>
      <c r="B2022" s="59" t="inlineStr">
        <is>
          <t>2025-02-21</t>
        </is>
      </c>
      <c r="C2022" s="60" t="inlineStr">
        <is>
          <t>Metro Wearable Plus-234</t>
        </is>
      </c>
      <c r="D2022" s="58" t="inlineStr">
        <is>
          <t>Electronics</t>
        </is>
      </c>
      <c r="E2022" s="58" t="inlineStr">
        <is>
          <t>West</t>
        </is>
      </c>
      <c r="F2022" s="61" t="n">
        <v>2</v>
      </c>
      <c r="G2022" s="62" t="n">
        <v>1545.55</v>
      </c>
      <c r="H2022" s="63" t="n">
        <v>0.068</v>
      </c>
      <c r="I2022" s="62" t="n">
        <v>1177.55</v>
      </c>
      <c r="J2022" s="58" t="inlineStr">
        <is>
          <t>Online</t>
        </is>
      </c>
      <c r="K2022" s="62">
        <f>F2022*(G2022-H2022)</f>
        <v/>
      </c>
      <c r="L2022" s="62">
        <f>K2022-(F2022*I2022)</f>
        <v/>
      </c>
      <c r="M2022" s="64">
        <f>L2022/K2022</f>
        <v/>
      </c>
    </row>
    <row r="2023">
      <c r="A2023" s="58" t="inlineStr">
        <is>
          <t>RT20250221-02022</t>
        </is>
      </c>
      <c r="B2023" s="59" t="inlineStr">
        <is>
          <t>2025-02-21</t>
        </is>
      </c>
      <c r="C2023" s="60" t="inlineStr">
        <is>
          <t>Orion Fragrance Lite-785</t>
        </is>
      </c>
      <c r="D2023" s="58" t="inlineStr">
        <is>
          <t>Beauty</t>
        </is>
      </c>
      <c r="E2023" s="58" t="inlineStr">
        <is>
          <t>East</t>
        </is>
      </c>
      <c r="F2023" s="61" t="n">
        <v>4</v>
      </c>
      <c r="G2023" s="62" t="n">
        <v>36.94</v>
      </c>
      <c r="H2023" s="63" t="n">
        <v>0.04</v>
      </c>
      <c r="I2023" s="62" t="n">
        <v>26.84</v>
      </c>
      <c r="J2023" s="58" t="inlineStr">
        <is>
          <t>Online</t>
        </is>
      </c>
      <c r="K2023" s="62">
        <f>F2023*(G2023-H2023)</f>
        <v/>
      </c>
      <c r="L2023" s="62">
        <f>K2023-(F2023*I2023)</f>
        <v/>
      </c>
      <c r="M2023" s="64">
        <f>L2023/K2023</f>
        <v/>
      </c>
    </row>
    <row r="2024">
      <c r="A2024" s="58" t="inlineStr">
        <is>
          <t>RT20250221-02023</t>
        </is>
      </c>
      <c r="B2024" s="59" t="inlineStr">
        <is>
          <t>2025-02-21</t>
        </is>
      </c>
      <c r="C2024" s="60" t="inlineStr">
        <is>
          <t>Orion Beverage Plus-949</t>
        </is>
      </c>
      <c r="D2024" s="58" t="inlineStr">
        <is>
          <t>Grocery</t>
        </is>
      </c>
      <c r="E2024" s="58" t="inlineStr">
        <is>
          <t>West</t>
        </is>
      </c>
      <c r="F2024" s="61" t="n">
        <v>6</v>
      </c>
      <c r="G2024" s="62" t="n">
        <v>17.41</v>
      </c>
      <c r="H2024" s="63" t="n">
        <v>0.079</v>
      </c>
      <c r="I2024" s="62" t="n">
        <v>13.76</v>
      </c>
      <c r="J2024" s="58" t="inlineStr">
        <is>
          <t>Online</t>
        </is>
      </c>
      <c r="K2024" s="62">
        <f>F2024*(G2024-H2024)</f>
        <v/>
      </c>
      <c r="L2024" s="62">
        <f>K2024-(F2024*I2024)</f>
        <v/>
      </c>
      <c r="M2024" s="64">
        <f>L2024/K2024</f>
        <v/>
      </c>
    </row>
    <row r="2025">
      <c r="A2025" s="58" t="inlineStr">
        <is>
          <t>RT20250221-02024</t>
        </is>
      </c>
      <c r="B2025" s="59" t="inlineStr">
        <is>
          <t>2025-02-21</t>
        </is>
      </c>
      <c r="C2025" s="60" t="inlineStr">
        <is>
          <t>Aurora Fitnes Lite-194</t>
        </is>
      </c>
      <c r="D2025" s="58" t="inlineStr">
        <is>
          <t>Sports</t>
        </is>
      </c>
      <c r="E2025" s="58" t="inlineStr">
        <is>
          <t>Central</t>
        </is>
      </c>
      <c r="F2025" s="61" t="n">
        <v>2</v>
      </c>
      <c r="G2025" s="62" t="n">
        <v>615.66</v>
      </c>
      <c r="H2025" s="63" t="n">
        <v>0.06</v>
      </c>
      <c r="I2025" s="62" t="n">
        <v>470.8</v>
      </c>
      <c r="J2025" s="58" t="inlineStr">
        <is>
          <t>Online</t>
        </is>
      </c>
      <c r="K2025" s="62">
        <f>F2025*(G2025-H2025)</f>
        <v/>
      </c>
      <c r="L2025" s="62">
        <f>K2025-(F2025*I2025)</f>
        <v/>
      </c>
      <c r="M2025" s="64">
        <f>L2025/K2025</f>
        <v/>
      </c>
    </row>
    <row r="2026">
      <c r="A2026" s="58" t="inlineStr">
        <is>
          <t>RT20250221-02025</t>
        </is>
      </c>
      <c r="B2026" s="59" t="inlineStr">
        <is>
          <t>2025-02-21</t>
        </is>
      </c>
      <c r="C2026" s="60" t="inlineStr">
        <is>
          <t>Falcon Cycling Pro-499</t>
        </is>
      </c>
      <c r="D2026" s="58" t="inlineStr">
        <is>
          <t>Sports</t>
        </is>
      </c>
      <c r="E2026" s="58" t="inlineStr">
        <is>
          <t>East</t>
        </is>
      </c>
      <c r="F2026" s="61" t="n">
        <v>1</v>
      </c>
      <c r="G2026" s="62" t="n">
        <v>664.25</v>
      </c>
      <c r="H2026" s="63" t="n">
        <v>0.083</v>
      </c>
      <c r="I2026" s="62" t="n">
        <v>404.72</v>
      </c>
      <c r="J2026" s="58" t="inlineStr">
        <is>
          <t>Store</t>
        </is>
      </c>
      <c r="K2026" s="62">
        <f>F2026*(G2026-H2026)</f>
        <v/>
      </c>
      <c r="L2026" s="62">
        <f>K2026-(F2026*I2026)</f>
        <v/>
      </c>
      <c r="M2026" s="64">
        <f>L2026/K2026</f>
        <v/>
      </c>
    </row>
    <row r="2027">
      <c r="A2027" s="58" t="inlineStr">
        <is>
          <t>RT20250221-02026</t>
        </is>
      </c>
      <c r="B2027" s="59" t="inlineStr">
        <is>
          <t>2025-02-21</t>
        </is>
      </c>
      <c r="C2027" s="60" t="inlineStr">
        <is>
          <t>Orion Haircare Plus-887</t>
        </is>
      </c>
      <c r="D2027" s="58" t="inlineStr">
        <is>
          <t>Beauty</t>
        </is>
      </c>
      <c r="E2027" s="58" t="inlineStr">
        <is>
          <t>West</t>
        </is>
      </c>
      <c r="F2027" s="61" t="n">
        <v>5</v>
      </c>
      <c r="G2027" s="62" t="n">
        <v>47.16</v>
      </c>
      <c r="H2027" s="63" t="n">
        <v>0.045</v>
      </c>
      <c r="I2027" s="62" t="n">
        <v>31.26</v>
      </c>
      <c r="J2027" s="58" t="inlineStr">
        <is>
          <t>Online</t>
        </is>
      </c>
      <c r="K2027" s="62">
        <f>F2027*(G2027-H2027)</f>
        <v/>
      </c>
      <c r="L2027" s="62">
        <f>K2027-(F2027*I2027)</f>
        <v/>
      </c>
      <c r="M2027" s="64">
        <f>L2027/K2027</f>
        <v/>
      </c>
    </row>
    <row r="2028">
      <c r="A2028" s="58" t="inlineStr">
        <is>
          <t>RT20250221-02027</t>
        </is>
      </c>
      <c r="B2028" s="59" t="inlineStr">
        <is>
          <t>2025-02-21</t>
        </is>
      </c>
      <c r="C2028" s="60" t="inlineStr">
        <is>
          <t>Falcon Household Pro-865</t>
        </is>
      </c>
      <c r="D2028" s="58" t="inlineStr">
        <is>
          <t>Grocery</t>
        </is>
      </c>
      <c r="E2028" s="58" t="inlineStr">
        <is>
          <t>East</t>
        </is>
      </c>
      <c r="F2028" s="61" t="n">
        <v>1</v>
      </c>
      <c r="G2028" s="62" t="n">
        <v>9.470000000000001</v>
      </c>
      <c r="H2028" s="63" t="n">
        <v>0.066</v>
      </c>
      <c r="I2028" s="62" t="n">
        <v>7.74</v>
      </c>
      <c r="J2028" s="58" t="inlineStr">
        <is>
          <t>Online</t>
        </is>
      </c>
      <c r="K2028" s="62">
        <f>F2028*(G2028-H2028)</f>
        <v/>
      </c>
      <c r="L2028" s="62">
        <f>K2028-(F2028*I2028)</f>
        <v/>
      </c>
      <c r="M2028" s="64">
        <f>L2028/K2028</f>
        <v/>
      </c>
    </row>
    <row r="2029">
      <c r="A2029" s="58" t="inlineStr">
        <is>
          <t>RT20250221-02028</t>
        </is>
      </c>
      <c r="B2029" s="59" t="inlineStr">
        <is>
          <t>2025-02-21</t>
        </is>
      </c>
      <c r="C2029" s="60" t="inlineStr">
        <is>
          <t>Vertex Snack S-702</t>
        </is>
      </c>
      <c r="D2029" s="58" t="inlineStr">
        <is>
          <t>Grocery</t>
        </is>
      </c>
      <c r="E2029" s="58" t="inlineStr">
        <is>
          <t>East</t>
        </is>
      </c>
      <c r="F2029" s="61" t="n">
        <v>3</v>
      </c>
      <c r="G2029" s="62" t="n">
        <v>1.97</v>
      </c>
      <c r="H2029" s="63" t="n">
        <v>0.08599999999999999</v>
      </c>
      <c r="I2029" s="62" t="n">
        <v>1.45</v>
      </c>
      <c r="J2029" s="58" t="inlineStr">
        <is>
          <t>Store</t>
        </is>
      </c>
      <c r="K2029" s="62">
        <f>F2029*(G2029-H2029)</f>
        <v/>
      </c>
      <c r="L2029" s="62">
        <f>K2029-(F2029*I2029)</f>
        <v/>
      </c>
      <c r="M2029" s="64">
        <f>L2029/K2029</f>
        <v/>
      </c>
    </row>
    <row r="2030">
      <c r="A2030" s="58" t="inlineStr">
        <is>
          <t>RT20250221-02029</t>
        </is>
      </c>
      <c r="B2030" s="59" t="inlineStr">
        <is>
          <t>2025-02-21</t>
        </is>
      </c>
      <c r="C2030" s="60" t="inlineStr">
        <is>
          <t>Solace Snack S-691</t>
        </is>
      </c>
      <c r="D2030" s="58" t="inlineStr">
        <is>
          <t>Grocery</t>
        </is>
      </c>
      <c r="E2030" s="58" t="inlineStr">
        <is>
          <t>South</t>
        </is>
      </c>
      <c r="F2030" s="61" t="n">
        <v>2</v>
      </c>
      <c r="G2030" s="62" t="n">
        <v>9.949999999999999</v>
      </c>
      <c r="H2030" s="63" t="n">
        <v>0.113</v>
      </c>
      <c r="I2030" s="62" t="n">
        <v>7.13</v>
      </c>
      <c r="J2030" s="58" t="inlineStr">
        <is>
          <t>Store</t>
        </is>
      </c>
      <c r="K2030" s="62">
        <f>F2030*(G2030-H2030)</f>
        <v/>
      </c>
      <c r="L2030" s="62">
        <f>K2030-(F2030*I2030)</f>
        <v/>
      </c>
      <c r="M2030" s="64">
        <f>L2030/K2030</f>
        <v/>
      </c>
    </row>
    <row r="2031">
      <c r="A2031" s="58" t="inlineStr">
        <is>
          <t>RT20250221-02030</t>
        </is>
      </c>
      <c r="B2031" s="59" t="inlineStr">
        <is>
          <t>2025-02-21</t>
        </is>
      </c>
      <c r="C2031" s="60" t="inlineStr">
        <is>
          <t>Nimbus Headphone X-854</t>
        </is>
      </c>
      <c r="D2031" s="58" t="inlineStr">
        <is>
          <t>Electronics</t>
        </is>
      </c>
      <c r="E2031" s="58" t="inlineStr">
        <is>
          <t>Central</t>
        </is>
      </c>
      <c r="F2031" s="61" t="n">
        <v>2</v>
      </c>
      <c r="G2031" s="62" t="n">
        <v>1531.02</v>
      </c>
      <c r="H2031" s="63" t="n">
        <v>0.104</v>
      </c>
      <c r="I2031" s="62" t="n">
        <v>1258.17</v>
      </c>
      <c r="J2031" s="58" t="inlineStr">
        <is>
          <t>Online</t>
        </is>
      </c>
      <c r="K2031" s="62">
        <f>F2031*(G2031-H2031)</f>
        <v/>
      </c>
      <c r="L2031" s="62">
        <f>K2031-(F2031*I2031)</f>
        <v/>
      </c>
      <c r="M2031" s="64">
        <f>L2031/K2031</f>
        <v/>
      </c>
    </row>
    <row r="2032">
      <c r="A2032" s="58" t="inlineStr">
        <is>
          <t>RT20250221-02031</t>
        </is>
      </c>
      <c r="B2032" s="59" t="inlineStr">
        <is>
          <t>2025-02-21</t>
        </is>
      </c>
      <c r="C2032" s="60" t="inlineStr">
        <is>
          <t>Aurora Kid Plus-151</t>
        </is>
      </c>
      <c r="D2032" s="58" t="inlineStr">
        <is>
          <t>Apparel</t>
        </is>
      </c>
      <c r="E2032" s="58" t="inlineStr">
        <is>
          <t>North</t>
        </is>
      </c>
      <c r="F2032" s="61" t="n">
        <v>1</v>
      </c>
      <c r="G2032" s="62" t="n">
        <v>121.03</v>
      </c>
      <c r="H2032" s="63" t="n">
        <v>0.09</v>
      </c>
      <c r="I2032" s="62" t="n">
        <v>65.03</v>
      </c>
      <c r="J2032" s="58" t="inlineStr">
        <is>
          <t>Store</t>
        </is>
      </c>
      <c r="K2032" s="62">
        <f>F2032*(G2032-H2032)</f>
        <v/>
      </c>
      <c r="L2032" s="62">
        <f>K2032-(F2032*I2032)</f>
        <v/>
      </c>
      <c r="M2032" s="64">
        <f>L2032/K2032</f>
        <v/>
      </c>
    </row>
    <row r="2033">
      <c r="A2033" s="58" t="inlineStr">
        <is>
          <t>RT20250221-02032</t>
        </is>
      </c>
      <c r="B2033" s="59" t="inlineStr">
        <is>
          <t>2025-02-21</t>
        </is>
      </c>
      <c r="C2033" s="60" t="inlineStr">
        <is>
          <t>Falcon Haircare Pro-980</t>
        </is>
      </c>
      <c r="D2033" s="58" t="inlineStr">
        <is>
          <t>Beauty</t>
        </is>
      </c>
      <c r="E2033" s="58" t="inlineStr">
        <is>
          <t>West</t>
        </is>
      </c>
      <c r="F2033" s="61" t="n">
        <v>5</v>
      </c>
      <c r="G2033" s="62" t="n">
        <v>86.42</v>
      </c>
      <c r="H2033" s="63" t="n">
        <v>0.097</v>
      </c>
      <c r="I2033" s="62" t="n">
        <v>55.87</v>
      </c>
      <c r="J2033" s="58" t="inlineStr">
        <is>
          <t>Store</t>
        </is>
      </c>
      <c r="K2033" s="62">
        <f>F2033*(G2033-H2033)</f>
        <v/>
      </c>
      <c r="L2033" s="62">
        <f>K2033-(F2033*I2033)</f>
        <v/>
      </c>
      <c r="M2033" s="64">
        <f>L2033/K2033</f>
        <v/>
      </c>
    </row>
    <row r="2034">
      <c r="A2034" s="58" t="inlineStr">
        <is>
          <t>RT20250221-02033</t>
        </is>
      </c>
      <c r="B2034" s="59" t="inlineStr">
        <is>
          <t>2025-02-21</t>
        </is>
      </c>
      <c r="C2034" s="60" t="inlineStr">
        <is>
          <t>Orion Kid Max-640</t>
        </is>
      </c>
      <c r="D2034" s="58" t="inlineStr">
        <is>
          <t>Apparel</t>
        </is>
      </c>
      <c r="E2034" s="58" t="inlineStr">
        <is>
          <t>East</t>
        </is>
      </c>
      <c r="F2034" s="61" t="n">
        <v>4</v>
      </c>
      <c r="G2034" s="62" t="n">
        <v>128.68</v>
      </c>
      <c r="H2034" s="63" t="n">
        <v>0.065</v>
      </c>
      <c r="I2034" s="62" t="n">
        <v>73.31</v>
      </c>
      <c r="J2034" s="58" t="inlineStr">
        <is>
          <t>Online</t>
        </is>
      </c>
      <c r="K2034" s="62">
        <f>F2034*(G2034-H2034)</f>
        <v/>
      </c>
      <c r="L2034" s="62">
        <f>K2034-(F2034*I2034)</f>
        <v/>
      </c>
      <c r="M2034" s="64">
        <f>L2034/K2034</f>
        <v/>
      </c>
    </row>
    <row r="2035">
      <c r="A2035" s="58" t="inlineStr">
        <is>
          <t>RT20250221-02034</t>
        </is>
      </c>
      <c r="B2035" s="59" t="inlineStr">
        <is>
          <t>2025-02-21</t>
        </is>
      </c>
      <c r="C2035" s="60" t="inlineStr">
        <is>
          <t>Orion Men X-928</t>
        </is>
      </c>
      <c r="D2035" s="58" t="inlineStr">
        <is>
          <t>Apparel</t>
        </is>
      </c>
      <c r="E2035" s="58" t="inlineStr">
        <is>
          <t>Central</t>
        </is>
      </c>
      <c r="F2035" s="61" t="n">
        <v>4</v>
      </c>
      <c r="G2035" s="62" t="n">
        <v>124.23</v>
      </c>
      <c r="H2035" s="63" t="n">
        <v>0.08599999999999999</v>
      </c>
      <c r="I2035" s="62" t="n">
        <v>63.42</v>
      </c>
      <c r="J2035" s="58" t="inlineStr">
        <is>
          <t>Store</t>
        </is>
      </c>
      <c r="K2035" s="62">
        <f>F2035*(G2035-H2035)</f>
        <v/>
      </c>
      <c r="L2035" s="62">
        <f>K2035-(F2035*I2035)</f>
        <v/>
      </c>
      <c r="M2035" s="64">
        <f>L2035/K2035</f>
        <v/>
      </c>
    </row>
    <row r="2036">
      <c r="A2036" s="58" t="inlineStr">
        <is>
          <t>RT20250222-02035</t>
        </is>
      </c>
      <c r="B2036" s="59" t="inlineStr">
        <is>
          <t>2025-02-22</t>
        </is>
      </c>
      <c r="C2036" s="60" t="inlineStr">
        <is>
          <t>Polar Cycling S-223</t>
        </is>
      </c>
      <c r="D2036" s="58" t="inlineStr">
        <is>
          <t>Sports</t>
        </is>
      </c>
      <c r="E2036" s="58" t="inlineStr">
        <is>
          <t>Central</t>
        </is>
      </c>
      <c r="F2036" s="61" t="n">
        <v>2</v>
      </c>
      <c r="G2036" s="62" t="n">
        <v>994.0700000000001</v>
      </c>
      <c r="H2036" s="63" t="n">
        <v>0.043</v>
      </c>
      <c r="I2036" s="62" t="n">
        <v>641.13</v>
      </c>
      <c r="J2036" s="58" t="inlineStr">
        <is>
          <t>Online</t>
        </is>
      </c>
      <c r="K2036" s="62">
        <f>F2036*(G2036-H2036)</f>
        <v/>
      </c>
      <c r="L2036" s="62">
        <f>K2036-(F2036*I2036)</f>
        <v/>
      </c>
      <c r="M2036" s="64">
        <f>L2036/K2036</f>
        <v/>
      </c>
    </row>
    <row r="2037">
      <c r="A2037" s="58" t="inlineStr">
        <is>
          <t>RT20250222-02036</t>
        </is>
      </c>
      <c r="B2037" s="59" t="inlineStr">
        <is>
          <t>2025-02-22</t>
        </is>
      </c>
      <c r="C2037" s="60" t="inlineStr">
        <is>
          <t>Vertex Decor Pro-618</t>
        </is>
      </c>
      <c r="D2037" s="58" t="inlineStr">
        <is>
          <t>Home</t>
        </is>
      </c>
      <c r="E2037" s="58" t="inlineStr">
        <is>
          <t>East</t>
        </is>
      </c>
      <c r="F2037" s="61" t="n">
        <v>3</v>
      </c>
      <c r="G2037" s="62" t="n">
        <v>575.17</v>
      </c>
      <c r="H2037" s="63" t="n">
        <v>0.098</v>
      </c>
      <c r="I2037" s="62" t="n">
        <v>383.17</v>
      </c>
      <c r="J2037" s="58" t="inlineStr">
        <is>
          <t>Online</t>
        </is>
      </c>
      <c r="K2037" s="62">
        <f>F2037*(G2037-H2037)</f>
        <v/>
      </c>
      <c r="L2037" s="62">
        <f>K2037-(F2037*I2037)</f>
        <v/>
      </c>
      <c r="M2037" s="64">
        <f>L2037/K2037</f>
        <v/>
      </c>
    </row>
    <row r="2038">
      <c r="A2038" s="58" t="inlineStr">
        <is>
          <t>RT20250222-02037</t>
        </is>
      </c>
      <c r="B2038" s="59" t="inlineStr">
        <is>
          <t>2025-02-22</t>
        </is>
      </c>
      <c r="C2038" s="60" t="inlineStr">
        <is>
          <t>Orion Kitchen Pro-568</t>
        </is>
      </c>
      <c r="D2038" s="58" t="inlineStr">
        <is>
          <t>Home</t>
        </is>
      </c>
      <c r="E2038" s="58" t="inlineStr">
        <is>
          <t>Central</t>
        </is>
      </c>
      <c r="F2038" s="61" t="n">
        <v>3</v>
      </c>
      <c r="G2038" s="62" t="n">
        <v>535.7</v>
      </c>
      <c r="H2038" s="63" t="n">
        <v>0.058</v>
      </c>
      <c r="I2038" s="62" t="n">
        <v>314.67</v>
      </c>
      <c r="J2038" s="58" t="inlineStr">
        <is>
          <t>Online</t>
        </is>
      </c>
      <c r="K2038" s="62">
        <f>F2038*(G2038-H2038)</f>
        <v/>
      </c>
      <c r="L2038" s="62">
        <f>K2038-(F2038*I2038)</f>
        <v/>
      </c>
      <c r="M2038" s="64">
        <f>L2038/K2038</f>
        <v/>
      </c>
    </row>
    <row r="2039">
      <c r="A2039" s="58" t="inlineStr">
        <is>
          <t>RT20250222-02038</t>
        </is>
      </c>
      <c r="B2039" s="59" t="inlineStr">
        <is>
          <t>2025-02-22</t>
        </is>
      </c>
      <c r="C2039" s="60" t="inlineStr">
        <is>
          <t>Orion Haircare Plus-887</t>
        </is>
      </c>
      <c r="D2039" s="58" t="inlineStr">
        <is>
          <t>Beauty</t>
        </is>
      </c>
      <c r="E2039" s="58" t="inlineStr">
        <is>
          <t>East</t>
        </is>
      </c>
      <c r="F2039" s="61" t="n">
        <v>4</v>
      </c>
      <c r="G2039" s="62" t="n">
        <v>47.76</v>
      </c>
      <c r="H2039" s="63" t="n">
        <v>0.097</v>
      </c>
      <c r="I2039" s="62" t="n">
        <v>31.87</v>
      </c>
      <c r="J2039" s="58" t="inlineStr">
        <is>
          <t>Online</t>
        </is>
      </c>
      <c r="K2039" s="62">
        <f>F2039*(G2039-H2039)</f>
        <v/>
      </c>
      <c r="L2039" s="62">
        <f>K2039-(F2039*I2039)</f>
        <v/>
      </c>
      <c r="M2039" s="64">
        <f>L2039/K2039</f>
        <v/>
      </c>
    </row>
    <row r="2040">
      <c r="A2040" s="58" t="inlineStr">
        <is>
          <t>RT20250222-02039</t>
        </is>
      </c>
      <c r="B2040" s="59" t="inlineStr">
        <is>
          <t>2025-02-22</t>
        </is>
      </c>
      <c r="C2040" s="60" t="inlineStr">
        <is>
          <t>Aurora Smartphone Plus-125</t>
        </is>
      </c>
      <c r="D2040" s="58" t="inlineStr">
        <is>
          <t>Electronics</t>
        </is>
      </c>
      <c r="E2040" s="58" t="inlineStr">
        <is>
          <t>North</t>
        </is>
      </c>
      <c r="F2040" s="61" t="n">
        <v>1</v>
      </c>
      <c r="G2040" s="62" t="n">
        <v>1744.54</v>
      </c>
      <c r="H2040" s="63" t="n">
        <v>0.063</v>
      </c>
      <c r="I2040" s="62" t="n">
        <v>1216.22</v>
      </c>
      <c r="J2040" s="58" t="inlineStr">
        <is>
          <t>Store</t>
        </is>
      </c>
      <c r="K2040" s="62">
        <f>F2040*(G2040-H2040)</f>
        <v/>
      </c>
      <c r="L2040" s="62">
        <f>K2040-(F2040*I2040)</f>
        <v/>
      </c>
      <c r="M2040" s="64">
        <f>L2040/K2040</f>
        <v/>
      </c>
    </row>
    <row r="2041">
      <c r="A2041" s="58" t="inlineStr">
        <is>
          <t>RT20250222-02040</t>
        </is>
      </c>
      <c r="B2041" s="59" t="inlineStr">
        <is>
          <t>2025-02-22</t>
        </is>
      </c>
      <c r="C2041" s="60" t="inlineStr">
        <is>
          <t>Falcon Wearable X-334</t>
        </is>
      </c>
      <c r="D2041" s="58" t="inlineStr">
        <is>
          <t>Electronics</t>
        </is>
      </c>
      <c r="E2041" s="58" t="inlineStr">
        <is>
          <t>East</t>
        </is>
      </c>
      <c r="F2041" s="61" t="n">
        <v>1</v>
      </c>
      <c r="G2041" s="62" t="n">
        <v>1898</v>
      </c>
      <c r="H2041" s="63" t="n">
        <v>0.115</v>
      </c>
      <c r="I2041" s="62" t="n">
        <v>1497.17</v>
      </c>
      <c r="J2041" s="58" t="inlineStr">
        <is>
          <t>Online</t>
        </is>
      </c>
      <c r="K2041" s="62">
        <f>F2041*(G2041-H2041)</f>
        <v/>
      </c>
      <c r="L2041" s="62">
        <f>K2041-(F2041*I2041)</f>
        <v/>
      </c>
      <c r="M2041" s="64">
        <f>L2041/K2041</f>
        <v/>
      </c>
    </row>
    <row r="2042">
      <c r="A2042" s="58" t="inlineStr">
        <is>
          <t>RT20250222-02041</t>
        </is>
      </c>
      <c r="B2042" s="59" t="inlineStr">
        <is>
          <t>2025-02-22</t>
        </is>
      </c>
      <c r="C2042" s="60" t="inlineStr">
        <is>
          <t>Falcon Kitchen X-130</t>
        </is>
      </c>
      <c r="D2042" s="58" t="inlineStr">
        <is>
          <t>Home</t>
        </is>
      </c>
      <c r="E2042" s="58" t="inlineStr">
        <is>
          <t>West</t>
        </is>
      </c>
      <c r="F2042" s="61" t="n">
        <v>3</v>
      </c>
      <c r="G2042" s="62" t="n">
        <v>412.78</v>
      </c>
      <c r="H2042" s="63" t="n">
        <v>0.049</v>
      </c>
      <c r="I2042" s="62" t="n">
        <v>283.87</v>
      </c>
      <c r="J2042" s="58" t="inlineStr">
        <is>
          <t>Online</t>
        </is>
      </c>
      <c r="K2042" s="62">
        <f>F2042*(G2042-H2042)</f>
        <v/>
      </c>
      <c r="L2042" s="62">
        <f>K2042-(F2042*I2042)</f>
        <v/>
      </c>
      <c r="M2042" s="64">
        <f>L2042/K2042</f>
        <v/>
      </c>
    </row>
    <row r="2043">
      <c r="A2043" s="58" t="inlineStr">
        <is>
          <t>RT20250222-02042</t>
        </is>
      </c>
      <c r="B2043" s="59" t="inlineStr">
        <is>
          <t>2025-02-22</t>
        </is>
      </c>
      <c r="C2043" s="60" t="inlineStr">
        <is>
          <t>Polar Fragrance Pro-750</t>
        </is>
      </c>
      <c r="D2043" s="58" t="inlineStr">
        <is>
          <t>Beauty</t>
        </is>
      </c>
      <c r="E2043" s="58" t="inlineStr">
        <is>
          <t>West</t>
        </is>
      </c>
      <c r="F2043" s="61" t="n">
        <v>4</v>
      </c>
      <c r="G2043" s="62" t="n">
        <v>59.5</v>
      </c>
      <c r="H2043" s="63" t="n">
        <v>0.003</v>
      </c>
      <c r="I2043" s="62" t="n">
        <v>37.1</v>
      </c>
      <c r="J2043" s="58" t="inlineStr">
        <is>
          <t>Store</t>
        </is>
      </c>
      <c r="K2043" s="62">
        <f>F2043*(G2043-H2043)</f>
        <v/>
      </c>
      <c r="L2043" s="62">
        <f>K2043-(F2043*I2043)</f>
        <v/>
      </c>
      <c r="M2043" s="64">
        <f>L2043/K2043</f>
        <v/>
      </c>
    </row>
    <row r="2044">
      <c r="A2044" s="58" t="inlineStr">
        <is>
          <t>RT20250222-02043</t>
        </is>
      </c>
      <c r="B2044" s="59" t="inlineStr">
        <is>
          <t>2025-02-22</t>
        </is>
      </c>
      <c r="C2044" s="60" t="inlineStr">
        <is>
          <t>Falcon Team Sport Lite-268</t>
        </is>
      </c>
      <c r="D2044" s="58" t="inlineStr">
        <is>
          <t>Sports</t>
        </is>
      </c>
      <c r="E2044" s="58" t="inlineStr">
        <is>
          <t>South</t>
        </is>
      </c>
      <c r="F2044" s="61" t="n">
        <v>3</v>
      </c>
      <c r="G2044" s="62" t="n">
        <v>629.72</v>
      </c>
      <c r="H2044" s="63" t="n">
        <v>0.077</v>
      </c>
      <c r="I2044" s="62" t="n">
        <v>447.01</v>
      </c>
      <c r="J2044" s="58" t="inlineStr">
        <is>
          <t>Online</t>
        </is>
      </c>
      <c r="K2044" s="62">
        <f>F2044*(G2044-H2044)</f>
        <v/>
      </c>
      <c r="L2044" s="62">
        <f>K2044-(F2044*I2044)</f>
        <v/>
      </c>
      <c r="M2044" s="64">
        <f>L2044/K2044</f>
        <v/>
      </c>
    </row>
    <row r="2045">
      <c r="A2045" s="58" t="inlineStr">
        <is>
          <t>RT20250222-02044</t>
        </is>
      </c>
      <c r="B2045" s="59" t="inlineStr">
        <is>
          <t>2025-02-22</t>
        </is>
      </c>
      <c r="C2045" s="60" t="inlineStr">
        <is>
          <t>Vertex Smartphone Pro-256</t>
        </is>
      </c>
      <c r="D2045" s="58" t="inlineStr">
        <is>
          <t>Electronics</t>
        </is>
      </c>
      <c r="E2045" s="58" t="inlineStr">
        <is>
          <t>North</t>
        </is>
      </c>
      <c r="F2045" s="61" t="n">
        <v>2</v>
      </c>
      <c r="G2045" s="62" t="n">
        <v>1033.22</v>
      </c>
      <c r="H2045" s="63" t="n">
        <v>0.054</v>
      </c>
      <c r="I2045" s="62" t="n">
        <v>941.12</v>
      </c>
      <c r="J2045" s="58" t="inlineStr">
        <is>
          <t>Online</t>
        </is>
      </c>
      <c r="K2045" s="62">
        <f>F2045*(G2045-H2045)</f>
        <v/>
      </c>
      <c r="L2045" s="62">
        <f>K2045-(F2045*I2045)</f>
        <v/>
      </c>
      <c r="M2045" s="64">
        <f>L2045/K2045</f>
        <v/>
      </c>
    </row>
    <row r="2046">
      <c r="A2046" s="58" t="inlineStr">
        <is>
          <t>RT20250222-02045</t>
        </is>
      </c>
      <c r="B2046" s="59" t="inlineStr">
        <is>
          <t>2025-02-22</t>
        </is>
      </c>
      <c r="C2046" s="60" t="inlineStr">
        <is>
          <t>Polar Haircare Max-614</t>
        </is>
      </c>
      <c r="D2046" s="58" t="inlineStr">
        <is>
          <t>Beauty</t>
        </is>
      </c>
      <c r="E2046" s="58" t="inlineStr">
        <is>
          <t>South</t>
        </is>
      </c>
      <c r="F2046" s="61" t="n">
        <v>5</v>
      </c>
      <c r="G2046" s="62" t="n">
        <v>115.42</v>
      </c>
      <c r="H2046" s="63" t="n">
        <v>0.08400000000000001</v>
      </c>
      <c r="I2046" s="62" t="n">
        <v>69.56999999999999</v>
      </c>
      <c r="J2046" s="58" t="inlineStr">
        <is>
          <t>Phone</t>
        </is>
      </c>
      <c r="K2046" s="62">
        <f>F2046*(G2046-H2046)</f>
        <v/>
      </c>
      <c r="L2046" s="62">
        <f>K2046-(F2046*I2046)</f>
        <v/>
      </c>
      <c r="M2046" s="64">
        <f>L2046/K2046</f>
        <v/>
      </c>
    </row>
    <row r="2047">
      <c r="A2047" s="58" t="inlineStr">
        <is>
          <t>RT20250222-02046</t>
        </is>
      </c>
      <c r="B2047" s="59" t="inlineStr">
        <is>
          <t>2025-02-22</t>
        </is>
      </c>
      <c r="C2047" s="60" t="inlineStr">
        <is>
          <t>Aurora Wearable Lite-704</t>
        </is>
      </c>
      <c r="D2047" s="58" t="inlineStr">
        <is>
          <t>Electronics</t>
        </is>
      </c>
      <c r="E2047" s="58" t="inlineStr">
        <is>
          <t>East</t>
        </is>
      </c>
      <c r="F2047" s="61" t="n">
        <v>2</v>
      </c>
      <c r="G2047" s="62" t="n">
        <v>2111.7</v>
      </c>
      <c r="H2047" s="63" t="n">
        <v>0.099</v>
      </c>
      <c r="I2047" s="62" t="n">
        <v>1433.36</v>
      </c>
      <c r="J2047" s="58" t="inlineStr">
        <is>
          <t>Store</t>
        </is>
      </c>
      <c r="K2047" s="62">
        <f>F2047*(G2047-H2047)</f>
        <v/>
      </c>
      <c r="L2047" s="62">
        <f>K2047-(F2047*I2047)</f>
        <v/>
      </c>
      <c r="M2047" s="64">
        <f>L2047/K2047</f>
        <v/>
      </c>
    </row>
    <row r="2048">
      <c r="A2048" s="58" t="inlineStr">
        <is>
          <t>RT20250222-02047</t>
        </is>
      </c>
      <c r="B2048" s="59" t="inlineStr">
        <is>
          <t>2025-02-22</t>
        </is>
      </c>
      <c r="C2048" s="60" t="inlineStr">
        <is>
          <t>Aurora Appliance Lite-109</t>
        </is>
      </c>
      <c r="D2048" s="58" t="inlineStr">
        <is>
          <t>Home</t>
        </is>
      </c>
      <c r="E2048" s="58" t="inlineStr">
        <is>
          <t>East</t>
        </is>
      </c>
      <c r="F2048" s="61" t="n">
        <v>3</v>
      </c>
      <c r="G2048" s="62" t="n">
        <v>264.58</v>
      </c>
      <c r="H2048" s="63" t="n">
        <v>0.104</v>
      </c>
      <c r="I2048" s="62" t="n">
        <v>204.3</v>
      </c>
      <c r="J2048" s="58" t="inlineStr">
        <is>
          <t>Online</t>
        </is>
      </c>
      <c r="K2048" s="62">
        <f>F2048*(G2048-H2048)</f>
        <v/>
      </c>
      <c r="L2048" s="62">
        <f>K2048-(F2048*I2048)</f>
        <v/>
      </c>
      <c r="M2048" s="64">
        <f>L2048/K2048</f>
        <v/>
      </c>
    </row>
    <row r="2049">
      <c r="A2049" s="58" t="inlineStr">
        <is>
          <t>RT20250222-02048</t>
        </is>
      </c>
      <c r="B2049" s="59" t="inlineStr">
        <is>
          <t>2025-02-22</t>
        </is>
      </c>
      <c r="C2049" s="60" t="inlineStr">
        <is>
          <t>Nimbus Cycling Plus-911</t>
        </is>
      </c>
      <c r="D2049" s="58" t="inlineStr">
        <is>
          <t>Sports</t>
        </is>
      </c>
      <c r="E2049" s="58" t="inlineStr">
        <is>
          <t>East</t>
        </is>
      </c>
      <c r="F2049" s="61" t="n">
        <v>1</v>
      </c>
      <c r="G2049" s="62" t="n">
        <v>609.72</v>
      </c>
      <c r="H2049" s="63" t="n">
        <v>0.081</v>
      </c>
      <c r="I2049" s="62" t="n">
        <v>397.52</v>
      </c>
      <c r="J2049" s="58" t="inlineStr">
        <is>
          <t>Store</t>
        </is>
      </c>
      <c r="K2049" s="62">
        <f>F2049*(G2049-H2049)</f>
        <v/>
      </c>
      <c r="L2049" s="62">
        <f>K2049-(F2049*I2049)</f>
        <v/>
      </c>
      <c r="M2049" s="64">
        <f>L2049/K2049</f>
        <v/>
      </c>
    </row>
    <row r="2050">
      <c r="A2050" s="58" t="inlineStr">
        <is>
          <t>RT20250222-02049</t>
        </is>
      </c>
      <c r="B2050" s="59" t="inlineStr">
        <is>
          <t>2025-02-22</t>
        </is>
      </c>
      <c r="C2050" s="60" t="inlineStr">
        <is>
          <t>Orion Snack X-322</t>
        </is>
      </c>
      <c r="D2050" s="58" t="inlineStr">
        <is>
          <t>Grocery</t>
        </is>
      </c>
      <c r="E2050" s="58" t="inlineStr">
        <is>
          <t>North</t>
        </is>
      </c>
      <c r="F2050" s="61" t="n">
        <v>4</v>
      </c>
      <c r="G2050" s="62" t="n">
        <v>15.07</v>
      </c>
      <c r="H2050" s="63" t="n">
        <v>0.051</v>
      </c>
      <c r="I2050" s="62" t="n">
        <v>10</v>
      </c>
      <c r="J2050" s="58" t="inlineStr">
        <is>
          <t>Store</t>
        </is>
      </c>
      <c r="K2050" s="62">
        <f>F2050*(G2050-H2050)</f>
        <v/>
      </c>
      <c r="L2050" s="62">
        <f>K2050-(F2050*I2050)</f>
        <v/>
      </c>
      <c r="M2050" s="64">
        <f>L2050/K2050</f>
        <v/>
      </c>
    </row>
    <row r="2051">
      <c r="A2051" s="58" t="inlineStr">
        <is>
          <t>RT20250222-02050</t>
        </is>
      </c>
      <c r="B2051" s="59" t="inlineStr">
        <is>
          <t>2025-02-22</t>
        </is>
      </c>
      <c r="C2051" s="60" t="inlineStr">
        <is>
          <t>Falcon Wearable X-334</t>
        </is>
      </c>
      <c r="D2051" s="58" t="inlineStr">
        <is>
          <t>Electronics</t>
        </is>
      </c>
      <c r="E2051" s="58" t="inlineStr">
        <is>
          <t>East</t>
        </is>
      </c>
      <c r="F2051" s="61" t="n">
        <v>2</v>
      </c>
      <c r="G2051" s="62" t="n">
        <v>2056.42</v>
      </c>
      <c r="H2051" s="63" t="n">
        <v>0.091</v>
      </c>
      <c r="I2051" s="62" t="n">
        <v>1556.14</v>
      </c>
      <c r="J2051" s="58" t="inlineStr">
        <is>
          <t>Store</t>
        </is>
      </c>
      <c r="K2051" s="62">
        <f>F2051*(G2051-H2051)</f>
        <v/>
      </c>
      <c r="L2051" s="62">
        <f>K2051-(F2051*I2051)</f>
        <v/>
      </c>
      <c r="M2051" s="64">
        <f>L2051/K2051</f>
        <v/>
      </c>
    </row>
    <row r="2052">
      <c r="A2052" s="58" t="inlineStr">
        <is>
          <t>RT20250222-02051</t>
        </is>
      </c>
      <c r="B2052" s="59" t="inlineStr">
        <is>
          <t>2025-02-22</t>
        </is>
      </c>
      <c r="C2052" s="60" t="inlineStr">
        <is>
          <t>Nimbus Men Plus-231</t>
        </is>
      </c>
      <c r="D2052" s="58" t="inlineStr">
        <is>
          <t>Apparel</t>
        </is>
      </c>
      <c r="E2052" s="58" t="inlineStr">
        <is>
          <t>East</t>
        </is>
      </c>
      <c r="F2052" s="61" t="n">
        <v>1</v>
      </c>
      <c r="G2052" s="62" t="n">
        <v>150.13</v>
      </c>
      <c r="H2052" s="63" t="n">
        <v>0.048</v>
      </c>
      <c r="I2052" s="62" t="n">
        <v>88.04000000000001</v>
      </c>
      <c r="J2052" s="58" t="inlineStr">
        <is>
          <t>Store</t>
        </is>
      </c>
      <c r="K2052" s="62">
        <f>F2052*(G2052-H2052)</f>
        <v/>
      </c>
      <c r="L2052" s="62">
        <f>K2052-(F2052*I2052)</f>
        <v/>
      </c>
      <c r="M2052" s="64">
        <f>L2052/K2052</f>
        <v/>
      </c>
    </row>
    <row r="2053">
      <c r="A2053" s="58" t="inlineStr">
        <is>
          <t>RT20250222-02052</t>
        </is>
      </c>
      <c r="B2053" s="59" t="inlineStr">
        <is>
          <t>2025-02-22</t>
        </is>
      </c>
      <c r="C2053" s="60" t="inlineStr">
        <is>
          <t>Solace Laptop S-367</t>
        </is>
      </c>
      <c r="D2053" s="58" t="inlineStr">
        <is>
          <t>Electronics</t>
        </is>
      </c>
      <c r="E2053" s="58" t="inlineStr">
        <is>
          <t>West</t>
        </is>
      </c>
      <c r="F2053" s="61" t="n">
        <v>2</v>
      </c>
      <c r="G2053" s="62" t="n">
        <v>2181.04</v>
      </c>
      <c r="H2053" s="63" t="n">
        <v>0.066</v>
      </c>
      <c r="I2053" s="62" t="n">
        <v>1594.74</v>
      </c>
      <c r="J2053" s="58" t="inlineStr">
        <is>
          <t>Store</t>
        </is>
      </c>
      <c r="K2053" s="62">
        <f>F2053*(G2053-H2053)</f>
        <v/>
      </c>
      <c r="L2053" s="62">
        <f>K2053-(F2053*I2053)</f>
        <v/>
      </c>
      <c r="M2053" s="64">
        <f>L2053/K2053</f>
        <v/>
      </c>
    </row>
    <row r="2054">
      <c r="A2054" s="58" t="inlineStr">
        <is>
          <t>RT20250222-02053</t>
        </is>
      </c>
      <c r="B2054" s="59" t="inlineStr">
        <is>
          <t>2025-02-22</t>
        </is>
      </c>
      <c r="C2054" s="60" t="inlineStr">
        <is>
          <t>Solace Team Sport Max-548</t>
        </is>
      </c>
      <c r="D2054" s="58" t="inlineStr">
        <is>
          <t>Sports</t>
        </is>
      </c>
      <c r="E2054" s="58" t="inlineStr">
        <is>
          <t>East</t>
        </is>
      </c>
      <c r="F2054" s="61" t="n">
        <v>2</v>
      </c>
      <c r="G2054" s="62" t="n">
        <v>715.1</v>
      </c>
      <c r="H2054" s="63" t="n">
        <v>0.058</v>
      </c>
      <c r="I2054" s="62" t="n">
        <v>491.81</v>
      </c>
      <c r="J2054" s="58" t="inlineStr">
        <is>
          <t>Online</t>
        </is>
      </c>
      <c r="K2054" s="62">
        <f>F2054*(G2054-H2054)</f>
        <v/>
      </c>
      <c r="L2054" s="62">
        <f>K2054-(F2054*I2054)</f>
        <v/>
      </c>
      <c r="M2054" s="64">
        <f>L2054/K2054</f>
        <v/>
      </c>
    </row>
    <row r="2055">
      <c r="A2055" s="58" t="inlineStr">
        <is>
          <t>RT20250222-02054</t>
        </is>
      </c>
      <c r="B2055" s="59" t="inlineStr">
        <is>
          <t>2025-02-22</t>
        </is>
      </c>
      <c r="C2055" s="60" t="inlineStr">
        <is>
          <t>Polar Cycling S-223</t>
        </is>
      </c>
      <c r="D2055" s="58" t="inlineStr">
        <is>
          <t>Sports</t>
        </is>
      </c>
      <c r="E2055" s="58" t="inlineStr">
        <is>
          <t>North</t>
        </is>
      </c>
      <c r="F2055" s="61" t="n">
        <v>3</v>
      </c>
      <c r="G2055" s="62" t="n">
        <v>1009.42</v>
      </c>
      <c r="H2055" s="63" t="n">
        <v>0.032</v>
      </c>
      <c r="I2055" s="62" t="n">
        <v>615.8200000000001</v>
      </c>
      <c r="J2055" s="58" t="inlineStr">
        <is>
          <t>Online</t>
        </is>
      </c>
      <c r="K2055" s="62">
        <f>F2055*(G2055-H2055)</f>
        <v/>
      </c>
      <c r="L2055" s="62">
        <f>K2055-(F2055*I2055)</f>
        <v/>
      </c>
      <c r="M2055" s="64">
        <f>L2055/K2055</f>
        <v/>
      </c>
    </row>
    <row r="2056">
      <c r="A2056" s="58" t="inlineStr">
        <is>
          <t>RT20250222-02055</t>
        </is>
      </c>
      <c r="B2056" s="59" t="inlineStr">
        <is>
          <t>2025-02-22</t>
        </is>
      </c>
      <c r="C2056" s="60" t="inlineStr">
        <is>
          <t>Solace Kitchen Pro-510</t>
        </is>
      </c>
      <c r="D2056" s="58" t="inlineStr">
        <is>
          <t>Home</t>
        </is>
      </c>
      <c r="E2056" s="58" t="inlineStr">
        <is>
          <t>South</t>
        </is>
      </c>
      <c r="F2056" s="61" t="n">
        <v>1</v>
      </c>
      <c r="G2056" s="62" t="n">
        <v>430.33</v>
      </c>
      <c r="H2056" s="63" t="n">
        <v>0.08500000000000001</v>
      </c>
      <c r="I2056" s="62" t="n">
        <v>311.51</v>
      </c>
      <c r="J2056" s="58" t="inlineStr">
        <is>
          <t>Online</t>
        </is>
      </c>
      <c r="K2056" s="62">
        <f>F2056*(G2056-H2056)</f>
        <v/>
      </c>
      <c r="L2056" s="62">
        <f>K2056-(F2056*I2056)</f>
        <v/>
      </c>
      <c r="M2056" s="64">
        <f>L2056/K2056</f>
        <v/>
      </c>
    </row>
    <row r="2057">
      <c r="A2057" s="58" t="inlineStr">
        <is>
          <t>RT20250222-02056</t>
        </is>
      </c>
      <c r="B2057" s="59" t="inlineStr">
        <is>
          <t>2025-02-22</t>
        </is>
      </c>
      <c r="C2057" s="60" t="inlineStr">
        <is>
          <t>Orion Snack X-322</t>
        </is>
      </c>
      <c r="D2057" s="58" t="inlineStr">
        <is>
          <t>Grocery</t>
        </is>
      </c>
      <c r="E2057" s="58" t="inlineStr">
        <is>
          <t>Central</t>
        </is>
      </c>
      <c r="F2057" s="61" t="n">
        <v>5</v>
      </c>
      <c r="G2057" s="62" t="n">
        <v>14.68</v>
      </c>
      <c r="H2057" s="63" t="n">
        <v>0.089</v>
      </c>
      <c r="I2057" s="62" t="n">
        <v>10.28</v>
      </c>
      <c r="J2057" s="58" t="inlineStr">
        <is>
          <t>Online</t>
        </is>
      </c>
      <c r="K2057" s="62">
        <f>F2057*(G2057-H2057)</f>
        <v/>
      </c>
      <c r="L2057" s="62">
        <f>K2057-(F2057*I2057)</f>
        <v/>
      </c>
      <c r="M2057" s="64">
        <f>L2057/K2057</f>
        <v/>
      </c>
    </row>
    <row r="2058">
      <c r="A2058" s="58" t="inlineStr">
        <is>
          <t>RT20250222-02057</t>
        </is>
      </c>
      <c r="B2058" s="59" t="inlineStr">
        <is>
          <t>2025-02-22</t>
        </is>
      </c>
      <c r="C2058" s="60" t="inlineStr">
        <is>
          <t>Vertex Smartphone Pro-256</t>
        </is>
      </c>
      <c r="D2058" s="58" t="inlineStr">
        <is>
          <t>Electronics</t>
        </is>
      </c>
      <c r="E2058" s="58" t="inlineStr">
        <is>
          <t>West</t>
        </is>
      </c>
      <c r="F2058" s="61" t="n">
        <v>1</v>
      </c>
      <c r="G2058" s="62" t="n">
        <v>1141.79</v>
      </c>
      <c r="H2058" s="63" t="n">
        <v>0.023</v>
      </c>
      <c r="I2058" s="62" t="n">
        <v>932.6900000000001</v>
      </c>
      <c r="J2058" s="58" t="inlineStr">
        <is>
          <t>Store</t>
        </is>
      </c>
      <c r="K2058" s="62">
        <f>F2058*(G2058-H2058)</f>
        <v/>
      </c>
      <c r="L2058" s="62">
        <f>K2058-(F2058*I2058)</f>
        <v/>
      </c>
      <c r="M2058" s="64">
        <f>L2058/K2058</f>
        <v/>
      </c>
    </row>
    <row r="2059">
      <c r="A2059" s="58" t="inlineStr">
        <is>
          <t>RT20250222-02058</t>
        </is>
      </c>
      <c r="B2059" s="59" t="inlineStr">
        <is>
          <t>2025-02-22</t>
        </is>
      </c>
      <c r="C2059" s="60" t="inlineStr">
        <is>
          <t>Falcon Headphone Plus-789</t>
        </is>
      </c>
      <c r="D2059" s="58" t="inlineStr">
        <is>
          <t>Electronics</t>
        </is>
      </c>
      <c r="E2059" s="58" t="inlineStr">
        <is>
          <t>East</t>
        </is>
      </c>
      <c r="F2059" s="61" t="n">
        <v>1</v>
      </c>
      <c r="G2059" s="62" t="n">
        <v>1755.32</v>
      </c>
      <c r="H2059" s="63" t="n">
        <v>0.102</v>
      </c>
      <c r="I2059" s="62" t="n">
        <v>1299.76</v>
      </c>
      <c r="J2059" s="58" t="inlineStr">
        <is>
          <t>Store</t>
        </is>
      </c>
      <c r="K2059" s="62">
        <f>F2059*(G2059-H2059)</f>
        <v/>
      </c>
      <c r="L2059" s="62">
        <f>K2059-(F2059*I2059)</f>
        <v/>
      </c>
      <c r="M2059" s="64">
        <f>L2059/K2059</f>
        <v/>
      </c>
    </row>
    <row r="2060">
      <c r="A2060" s="58" t="inlineStr">
        <is>
          <t>RT20250222-02059</t>
        </is>
      </c>
      <c r="B2060" s="59" t="inlineStr">
        <is>
          <t>2025-02-22</t>
        </is>
      </c>
      <c r="C2060" s="60" t="inlineStr">
        <is>
          <t>Metro Laptop Plus-376</t>
        </is>
      </c>
      <c r="D2060" s="58" t="inlineStr">
        <is>
          <t>Electronics</t>
        </is>
      </c>
      <c r="E2060" s="58" t="inlineStr">
        <is>
          <t>Central</t>
        </is>
      </c>
      <c r="F2060" s="61" t="n">
        <v>1</v>
      </c>
      <c r="G2060" s="62" t="n">
        <v>1273.34</v>
      </c>
      <c r="H2060" s="63" t="n">
        <v>0.067</v>
      </c>
      <c r="I2060" s="62" t="n">
        <v>1019.54</v>
      </c>
      <c r="J2060" s="58" t="inlineStr">
        <is>
          <t>Online</t>
        </is>
      </c>
      <c r="K2060" s="62">
        <f>F2060*(G2060-H2060)</f>
        <v/>
      </c>
      <c r="L2060" s="62">
        <f>K2060-(F2060*I2060)</f>
        <v/>
      </c>
      <c r="M2060" s="64">
        <f>L2060/K2060</f>
        <v/>
      </c>
    </row>
    <row r="2061">
      <c r="A2061" s="58" t="inlineStr">
        <is>
          <t>RT20250222-02060</t>
        </is>
      </c>
      <c r="B2061" s="59" t="inlineStr">
        <is>
          <t>2025-02-22</t>
        </is>
      </c>
      <c r="C2061" s="60" t="inlineStr">
        <is>
          <t>Falcon Household Plus-796</t>
        </is>
      </c>
      <c r="D2061" s="58" t="inlineStr">
        <is>
          <t>Grocery</t>
        </is>
      </c>
      <c r="E2061" s="58" t="inlineStr">
        <is>
          <t>Central</t>
        </is>
      </c>
      <c r="F2061" s="61" t="n">
        <v>8</v>
      </c>
      <c r="G2061" s="62" t="n">
        <v>25.18</v>
      </c>
      <c r="H2061" s="63" t="n">
        <v>0.034</v>
      </c>
      <c r="I2061" s="62" t="n">
        <v>17.64</v>
      </c>
      <c r="J2061" s="58" t="inlineStr">
        <is>
          <t>Online</t>
        </is>
      </c>
      <c r="K2061" s="62">
        <f>F2061*(G2061-H2061)</f>
        <v/>
      </c>
      <c r="L2061" s="62">
        <f>K2061-(F2061*I2061)</f>
        <v/>
      </c>
      <c r="M2061" s="64">
        <f>L2061/K2061</f>
        <v/>
      </c>
    </row>
    <row r="2062">
      <c r="A2062" s="58" t="inlineStr">
        <is>
          <t>RT20250222-02061</t>
        </is>
      </c>
      <c r="B2062" s="59" t="inlineStr">
        <is>
          <t>2025-02-22</t>
        </is>
      </c>
      <c r="C2062" s="60" t="inlineStr">
        <is>
          <t>Orion Kid Max-864</t>
        </is>
      </c>
      <c r="D2062" s="58" t="inlineStr">
        <is>
          <t>Apparel</t>
        </is>
      </c>
      <c r="E2062" s="58" t="inlineStr">
        <is>
          <t>South</t>
        </is>
      </c>
      <c r="F2062" s="61" t="n">
        <v>3</v>
      </c>
      <c r="G2062" s="62" t="n">
        <v>90.89</v>
      </c>
      <c r="H2062" s="63" t="n">
        <v>0.016</v>
      </c>
      <c r="I2062" s="62" t="n">
        <v>46.44</v>
      </c>
      <c r="J2062" s="58" t="inlineStr">
        <is>
          <t>Store</t>
        </is>
      </c>
      <c r="K2062" s="62">
        <f>F2062*(G2062-H2062)</f>
        <v/>
      </c>
      <c r="L2062" s="62">
        <f>K2062-(F2062*I2062)</f>
        <v/>
      </c>
      <c r="M2062" s="64">
        <f>L2062/K2062</f>
        <v/>
      </c>
    </row>
    <row r="2063">
      <c r="A2063" s="58" t="inlineStr">
        <is>
          <t>RT20250222-02062</t>
        </is>
      </c>
      <c r="B2063" s="59" t="inlineStr">
        <is>
          <t>2025-02-22</t>
        </is>
      </c>
      <c r="C2063" s="60" t="inlineStr">
        <is>
          <t>Orion Storage Plus-961</t>
        </is>
      </c>
      <c r="D2063" s="58" t="inlineStr">
        <is>
          <t>Office</t>
        </is>
      </c>
      <c r="E2063" s="58" t="inlineStr">
        <is>
          <t>East</t>
        </is>
      </c>
      <c r="F2063" s="61" t="n">
        <v>2</v>
      </c>
      <c r="G2063" s="62" t="n">
        <v>512.3</v>
      </c>
      <c r="H2063" s="63" t="n">
        <v>0.079</v>
      </c>
      <c r="I2063" s="62" t="n">
        <v>358.14</v>
      </c>
      <c r="J2063" s="58" t="inlineStr">
        <is>
          <t>Online</t>
        </is>
      </c>
      <c r="K2063" s="62">
        <f>F2063*(G2063-H2063)</f>
        <v/>
      </c>
      <c r="L2063" s="62">
        <f>K2063-(F2063*I2063)</f>
        <v/>
      </c>
      <c r="M2063" s="64">
        <f>L2063/K2063</f>
        <v/>
      </c>
    </row>
    <row r="2064">
      <c r="A2064" s="58" t="inlineStr">
        <is>
          <t>RT20250222-02063</t>
        </is>
      </c>
      <c r="B2064" s="59" t="inlineStr">
        <is>
          <t>2025-02-22</t>
        </is>
      </c>
      <c r="C2064" s="60" t="inlineStr">
        <is>
          <t>Falcon Skincare X-334</t>
        </is>
      </c>
      <c r="D2064" s="58" t="inlineStr">
        <is>
          <t>Beauty</t>
        </is>
      </c>
      <c r="E2064" s="58" t="inlineStr">
        <is>
          <t>Central</t>
        </is>
      </c>
      <c r="F2064" s="61" t="n">
        <v>2</v>
      </c>
      <c r="G2064" s="62" t="n">
        <v>108.05</v>
      </c>
      <c r="H2064" s="63" t="n">
        <v>0.017</v>
      </c>
      <c r="I2064" s="62" t="n">
        <v>62.25</v>
      </c>
      <c r="J2064" s="58" t="inlineStr">
        <is>
          <t>Online</t>
        </is>
      </c>
      <c r="K2064" s="62">
        <f>F2064*(G2064-H2064)</f>
        <v/>
      </c>
      <c r="L2064" s="62">
        <f>K2064-(F2064*I2064)</f>
        <v/>
      </c>
      <c r="M2064" s="64">
        <f>L2064/K2064</f>
        <v/>
      </c>
    </row>
    <row r="2065">
      <c r="A2065" s="58" t="inlineStr">
        <is>
          <t>RT20250222-02064</t>
        </is>
      </c>
      <c r="B2065" s="59" t="inlineStr">
        <is>
          <t>2025-02-22</t>
        </is>
      </c>
      <c r="C2065" s="60" t="inlineStr">
        <is>
          <t>Polar Decor Plus-505</t>
        </is>
      </c>
      <c r="D2065" s="58" t="inlineStr">
        <is>
          <t>Home</t>
        </is>
      </c>
      <c r="E2065" s="58" t="inlineStr">
        <is>
          <t>East</t>
        </is>
      </c>
      <c r="F2065" s="61" t="n">
        <v>1</v>
      </c>
      <c r="G2065" s="62" t="n">
        <v>294.9</v>
      </c>
      <c r="H2065" s="63" t="n">
        <v>0.03</v>
      </c>
      <c r="I2065" s="62" t="n">
        <v>198.6</v>
      </c>
      <c r="J2065" s="58" t="inlineStr">
        <is>
          <t>Online</t>
        </is>
      </c>
      <c r="K2065" s="62">
        <f>F2065*(G2065-H2065)</f>
        <v/>
      </c>
      <c r="L2065" s="62">
        <f>K2065-(F2065*I2065)</f>
        <v/>
      </c>
      <c r="M2065" s="64">
        <f>L2065/K2065</f>
        <v/>
      </c>
    </row>
    <row r="2066">
      <c r="A2066" s="58" t="inlineStr">
        <is>
          <t>RT20250222-02065</t>
        </is>
      </c>
      <c r="B2066" s="59" t="inlineStr">
        <is>
          <t>2025-02-22</t>
        </is>
      </c>
      <c r="C2066" s="60" t="inlineStr">
        <is>
          <t>Vertex Smartphone Pro-256</t>
        </is>
      </c>
      <c r="D2066" s="58" t="inlineStr">
        <is>
          <t>Electronics</t>
        </is>
      </c>
      <c r="E2066" s="58" t="inlineStr">
        <is>
          <t>East</t>
        </is>
      </c>
      <c r="F2066" s="61" t="n">
        <v>2</v>
      </c>
      <c r="G2066" s="62" t="n">
        <v>1174.56</v>
      </c>
      <c r="H2066" s="63" t="n">
        <v>0.093</v>
      </c>
      <c r="I2066" s="62" t="n">
        <v>945.04</v>
      </c>
      <c r="J2066" s="58" t="inlineStr">
        <is>
          <t>Store</t>
        </is>
      </c>
      <c r="K2066" s="62">
        <f>F2066*(G2066-H2066)</f>
        <v/>
      </c>
      <c r="L2066" s="62">
        <f>K2066-(F2066*I2066)</f>
        <v/>
      </c>
      <c r="M2066" s="64">
        <f>L2066/K2066</f>
        <v/>
      </c>
    </row>
    <row r="2067">
      <c r="A2067" s="58" t="inlineStr">
        <is>
          <t>RT20250222-02066</t>
        </is>
      </c>
      <c r="B2067" s="59" t="inlineStr">
        <is>
          <t>2025-02-22</t>
        </is>
      </c>
      <c r="C2067" s="60" t="inlineStr">
        <is>
          <t>Polar Cycling X-649</t>
        </is>
      </c>
      <c r="D2067" s="58" t="inlineStr">
        <is>
          <t>Sports</t>
        </is>
      </c>
      <c r="E2067" s="58" t="inlineStr">
        <is>
          <t>East</t>
        </is>
      </c>
      <c r="F2067" s="61" t="n">
        <v>2</v>
      </c>
      <c r="G2067" s="62" t="n">
        <v>524.6</v>
      </c>
      <c r="H2067" s="63" t="n">
        <v>0.03</v>
      </c>
      <c r="I2067" s="62" t="n">
        <v>352.52</v>
      </c>
      <c r="J2067" s="58" t="inlineStr">
        <is>
          <t>Online</t>
        </is>
      </c>
      <c r="K2067" s="62">
        <f>F2067*(G2067-H2067)</f>
        <v/>
      </c>
      <c r="L2067" s="62">
        <f>K2067-(F2067*I2067)</f>
        <v/>
      </c>
      <c r="M2067" s="64">
        <f>L2067/K2067</f>
        <v/>
      </c>
    </row>
    <row r="2068">
      <c r="A2068" s="58" t="inlineStr">
        <is>
          <t>RT20250222-02067</t>
        </is>
      </c>
      <c r="B2068" s="59" t="inlineStr">
        <is>
          <t>2025-02-22</t>
        </is>
      </c>
      <c r="C2068" s="60" t="inlineStr">
        <is>
          <t>Aurora Haircare S-975</t>
        </is>
      </c>
      <c r="D2068" s="58" t="inlineStr">
        <is>
          <t>Beauty</t>
        </is>
      </c>
      <c r="E2068" s="58" t="inlineStr">
        <is>
          <t>North</t>
        </is>
      </c>
      <c r="F2068" s="61" t="n">
        <v>4</v>
      </c>
      <c r="G2068" s="62" t="n">
        <v>108.17</v>
      </c>
      <c r="H2068" s="63" t="n">
        <v>0.01</v>
      </c>
      <c r="I2068" s="62" t="n">
        <v>56.8</v>
      </c>
      <c r="J2068" s="58" t="inlineStr">
        <is>
          <t>Online</t>
        </is>
      </c>
      <c r="K2068" s="62">
        <f>F2068*(G2068-H2068)</f>
        <v/>
      </c>
      <c r="L2068" s="62">
        <f>K2068-(F2068*I2068)</f>
        <v/>
      </c>
      <c r="M2068" s="64">
        <f>L2068/K2068</f>
        <v/>
      </c>
    </row>
    <row r="2069">
      <c r="A2069" s="58" t="inlineStr">
        <is>
          <t>RT20250222-02068</t>
        </is>
      </c>
      <c r="B2069" s="59" t="inlineStr">
        <is>
          <t>2025-02-22</t>
        </is>
      </c>
      <c r="C2069" s="60" t="inlineStr">
        <is>
          <t>Metro Accessorie Lite-697</t>
        </is>
      </c>
      <c r="D2069" s="58" t="inlineStr">
        <is>
          <t>Apparel</t>
        </is>
      </c>
      <c r="E2069" s="58" t="inlineStr">
        <is>
          <t>Central</t>
        </is>
      </c>
      <c r="F2069" s="61" t="n">
        <v>1</v>
      </c>
      <c r="G2069" s="62" t="n">
        <v>128.61</v>
      </c>
      <c r="H2069" s="63" t="n">
        <v>0.079</v>
      </c>
      <c r="I2069" s="62" t="n">
        <v>78.43000000000001</v>
      </c>
      <c r="J2069" s="58" t="inlineStr">
        <is>
          <t>Online</t>
        </is>
      </c>
      <c r="K2069" s="62">
        <f>F2069*(G2069-H2069)</f>
        <v/>
      </c>
      <c r="L2069" s="62">
        <f>K2069-(F2069*I2069)</f>
        <v/>
      </c>
      <c r="M2069" s="64">
        <f>L2069/K2069</f>
        <v/>
      </c>
    </row>
    <row r="2070">
      <c r="A2070" s="58" t="inlineStr">
        <is>
          <t>RT20250222-02069</t>
        </is>
      </c>
      <c r="B2070" s="59" t="inlineStr">
        <is>
          <t>2025-02-22</t>
        </is>
      </c>
      <c r="C2070" s="60" t="inlineStr">
        <is>
          <t>Nimbus Storage Plus-646</t>
        </is>
      </c>
      <c r="D2070" s="58" t="inlineStr">
        <is>
          <t>Office</t>
        </is>
      </c>
      <c r="E2070" s="58" t="inlineStr">
        <is>
          <t>East</t>
        </is>
      </c>
      <c r="F2070" s="61" t="n">
        <v>2</v>
      </c>
      <c r="G2070" s="62" t="n">
        <v>510.09</v>
      </c>
      <c r="H2070" s="63" t="n">
        <v>0.053</v>
      </c>
      <c r="I2070" s="62" t="n">
        <v>326.07</v>
      </c>
      <c r="J2070" s="58" t="inlineStr">
        <is>
          <t>Online</t>
        </is>
      </c>
      <c r="K2070" s="62">
        <f>F2070*(G2070-H2070)</f>
        <v/>
      </c>
      <c r="L2070" s="62">
        <f>K2070-(F2070*I2070)</f>
        <v/>
      </c>
      <c r="M2070" s="64">
        <f>L2070/K2070</f>
        <v/>
      </c>
    </row>
    <row r="2071">
      <c r="A2071" s="58" t="inlineStr">
        <is>
          <t>RT20250222-02070</t>
        </is>
      </c>
      <c r="B2071" s="59" t="inlineStr">
        <is>
          <t>2025-02-22</t>
        </is>
      </c>
      <c r="C2071" s="60" t="inlineStr">
        <is>
          <t>Falcon Headphone Plus-789</t>
        </is>
      </c>
      <c r="D2071" s="58" t="inlineStr">
        <is>
          <t>Electronics</t>
        </is>
      </c>
      <c r="E2071" s="58" t="inlineStr">
        <is>
          <t>East</t>
        </is>
      </c>
      <c r="F2071" s="61" t="n">
        <v>1</v>
      </c>
      <c r="G2071" s="62" t="n">
        <v>1682.59</v>
      </c>
      <c r="H2071" s="63" t="n">
        <v>0.076</v>
      </c>
      <c r="I2071" s="62" t="n">
        <v>1343.73</v>
      </c>
      <c r="J2071" s="58" t="inlineStr">
        <is>
          <t>Store</t>
        </is>
      </c>
      <c r="K2071" s="62">
        <f>F2071*(G2071-H2071)</f>
        <v/>
      </c>
      <c r="L2071" s="62">
        <f>K2071-(F2071*I2071)</f>
        <v/>
      </c>
      <c r="M2071" s="64">
        <f>L2071/K2071</f>
        <v/>
      </c>
    </row>
    <row r="2072">
      <c r="A2072" s="58" t="inlineStr">
        <is>
          <t>RT20250223-02071</t>
        </is>
      </c>
      <c r="B2072" s="59" t="inlineStr">
        <is>
          <t>2025-02-23</t>
        </is>
      </c>
      <c r="C2072" s="60" t="inlineStr">
        <is>
          <t>Falcon Storage X-734</t>
        </is>
      </c>
      <c r="D2072" s="58" t="inlineStr">
        <is>
          <t>Office</t>
        </is>
      </c>
      <c r="E2072" s="58" t="inlineStr">
        <is>
          <t>South</t>
        </is>
      </c>
      <c r="F2072" s="61" t="n">
        <v>1</v>
      </c>
      <c r="G2072" s="62" t="n">
        <v>377.99</v>
      </c>
      <c r="H2072" s="63" t="n">
        <v>0.078</v>
      </c>
      <c r="I2072" s="62" t="n">
        <v>289.88</v>
      </c>
      <c r="J2072" s="58" t="inlineStr">
        <is>
          <t>Store</t>
        </is>
      </c>
      <c r="K2072" s="62">
        <f>F2072*(G2072-H2072)</f>
        <v/>
      </c>
      <c r="L2072" s="62">
        <f>K2072-(F2072*I2072)</f>
        <v/>
      </c>
      <c r="M2072" s="64">
        <f>L2072/K2072</f>
        <v/>
      </c>
    </row>
    <row r="2073">
      <c r="A2073" s="58" t="inlineStr">
        <is>
          <t>RT20250223-02072</t>
        </is>
      </c>
      <c r="B2073" s="59" t="inlineStr">
        <is>
          <t>2025-02-23</t>
        </is>
      </c>
      <c r="C2073" s="60" t="inlineStr">
        <is>
          <t>Polar Fragrance Pro-750</t>
        </is>
      </c>
      <c r="D2073" s="58" t="inlineStr">
        <is>
          <t>Beauty</t>
        </is>
      </c>
      <c r="E2073" s="58" t="inlineStr">
        <is>
          <t>East</t>
        </is>
      </c>
      <c r="F2073" s="61" t="n">
        <v>4</v>
      </c>
      <c r="G2073" s="62" t="n">
        <v>57.24</v>
      </c>
      <c r="H2073" s="63" t="n">
        <v>0.054</v>
      </c>
      <c r="I2073" s="62" t="n">
        <v>35.93</v>
      </c>
      <c r="J2073" s="58" t="inlineStr">
        <is>
          <t>Store</t>
        </is>
      </c>
      <c r="K2073" s="62">
        <f>F2073*(G2073-H2073)</f>
        <v/>
      </c>
      <c r="L2073" s="62">
        <f>K2073-(F2073*I2073)</f>
        <v/>
      </c>
      <c r="M2073" s="64">
        <f>L2073/K2073</f>
        <v/>
      </c>
    </row>
    <row r="2074">
      <c r="A2074" s="58" t="inlineStr">
        <is>
          <t>RT20250223-02073</t>
        </is>
      </c>
      <c r="B2074" s="59" t="inlineStr">
        <is>
          <t>2025-02-23</t>
        </is>
      </c>
      <c r="C2074" s="60" t="inlineStr">
        <is>
          <t>Orion Haircare Plus-887</t>
        </is>
      </c>
      <c r="D2074" s="58" t="inlineStr">
        <is>
          <t>Beauty</t>
        </is>
      </c>
      <c r="E2074" s="58" t="inlineStr">
        <is>
          <t>North</t>
        </is>
      </c>
      <c r="F2074" s="61" t="n">
        <v>2</v>
      </c>
      <c r="G2074" s="62" t="n">
        <v>54.36</v>
      </c>
      <c r="H2074" s="63" t="n">
        <v>0.064</v>
      </c>
      <c r="I2074" s="62" t="n">
        <v>30.87</v>
      </c>
      <c r="J2074" s="58" t="inlineStr">
        <is>
          <t>Store</t>
        </is>
      </c>
      <c r="K2074" s="62">
        <f>F2074*(G2074-H2074)</f>
        <v/>
      </c>
      <c r="L2074" s="62">
        <f>K2074-(F2074*I2074)</f>
        <v/>
      </c>
      <c r="M2074" s="64">
        <f>L2074/K2074</f>
        <v/>
      </c>
    </row>
    <row r="2075">
      <c r="A2075" s="58" t="inlineStr">
        <is>
          <t>RT20250223-02074</t>
        </is>
      </c>
      <c r="B2075" s="59" t="inlineStr">
        <is>
          <t>2025-02-23</t>
        </is>
      </c>
      <c r="C2075" s="60" t="inlineStr">
        <is>
          <t>Vertex Supplie Pro-786</t>
        </is>
      </c>
      <c r="D2075" s="58" t="inlineStr">
        <is>
          <t>Office</t>
        </is>
      </c>
      <c r="E2075" s="58" t="inlineStr">
        <is>
          <t>East</t>
        </is>
      </c>
      <c r="F2075" s="61" t="n">
        <v>2</v>
      </c>
      <c r="G2075" s="62" t="n">
        <v>393.57</v>
      </c>
      <c r="H2075" s="63" t="n">
        <v>0.029</v>
      </c>
      <c r="I2075" s="62" t="n">
        <v>290.78</v>
      </c>
      <c r="J2075" s="58" t="inlineStr">
        <is>
          <t>Online</t>
        </is>
      </c>
      <c r="K2075" s="62">
        <f>F2075*(G2075-H2075)</f>
        <v/>
      </c>
      <c r="L2075" s="62">
        <f>K2075-(F2075*I2075)</f>
        <v/>
      </c>
      <c r="M2075" s="64">
        <f>L2075/K2075</f>
        <v/>
      </c>
    </row>
    <row r="2076">
      <c r="A2076" s="58" t="inlineStr">
        <is>
          <t>RT20250223-02075</t>
        </is>
      </c>
      <c r="B2076" s="59" t="inlineStr">
        <is>
          <t>2025-02-23</t>
        </is>
      </c>
      <c r="C2076" s="60" t="inlineStr">
        <is>
          <t>Solace Kitchen Pro-999</t>
        </is>
      </c>
      <c r="D2076" s="58" t="inlineStr">
        <is>
          <t>Home</t>
        </is>
      </c>
      <c r="E2076" s="58" t="inlineStr">
        <is>
          <t>South</t>
        </is>
      </c>
      <c r="F2076" s="61" t="n">
        <v>3</v>
      </c>
      <c r="G2076" s="62" t="n">
        <v>367.9</v>
      </c>
      <c r="H2076" s="63" t="n">
        <v>0.082</v>
      </c>
      <c r="I2076" s="62" t="n">
        <v>265.01</v>
      </c>
      <c r="J2076" s="58" t="inlineStr">
        <is>
          <t>Store</t>
        </is>
      </c>
      <c r="K2076" s="62">
        <f>F2076*(G2076-H2076)</f>
        <v/>
      </c>
      <c r="L2076" s="62">
        <f>K2076-(F2076*I2076)</f>
        <v/>
      </c>
      <c r="M2076" s="64">
        <f>L2076/K2076</f>
        <v/>
      </c>
    </row>
    <row r="2077">
      <c r="A2077" s="58" t="inlineStr">
        <is>
          <t>RT20250223-02076</t>
        </is>
      </c>
      <c r="B2077" s="59" t="inlineStr">
        <is>
          <t>2025-02-23</t>
        </is>
      </c>
      <c r="C2077" s="60" t="inlineStr">
        <is>
          <t>Aurora Skincare Max-798</t>
        </is>
      </c>
      <c r="D2077" s="58" t="inlineStr">
        <is>
          <t>Beauty</t>
        </is>
      </c>
      <c r="E2077" s="58" t="inlineStr">
        <is>
          <t>North</t>
        </is>
      </c>
      <c r="F2077" s="61" t="n">
        <v>3</v>
      </c>
      <c r="G2077" s="62" t="n">
        <v>136.7</v>
      </c>
      <c r="H2077" s="63" t="n">
        <v>0.033</v>
      </c>
      <c r="I2077" s="62" t="n">
        <v>68.36</v>
      </c>
      <c r="J2077" s="58" t="inlineStr">
        <is>
          <t>Store</t>
        </is>
      </c>
      <c r="K2077" s="62">
        <f>F2077*(G2077-H2077)</f>
        <v/>
      </c>
      <c r="L2077" s="62">
        <f>K2077-(F2077*I2077)</f>
        <v/>
      </c>
      <c r="M2077" s="64">
        <f>L2077/K2077</f>
        <v/>
      </c>
    </row>
    <row r="2078">
      <c r="A2078" s="58" t="inlineStr">
        <is>
          <t>RT20250223-02077</t>
        </is>
      </c>
      <c r="B2078" s="59" t="inlineStr">
        <is>
          <t>2025-02-23</t>
        </is>
      </c>
      <c r="C2078" s="60" t="inlineStr">
        <is>
          <t>Nimbus Storage Plus-646</t>
        </is>
      </c>
      <c r="D2078" s="58" t="inlineStr">
        <is>
          <t>Office</t>
        </is>
      </c>
      <c r="E2078" s="58" t="inlineStr">
        <is>
          <t>West</t>
        </is>
      </c>
      <c r="F2078" s="61" t="n">
        <v>1</v>
      </c>
      <c r="G2078" s="62" t="n">
        <v>419.29</v>
      </c>
      <c r="H2078" s="63" t="n">
        <v>0.07000000000000001</v>
      </c>
      <c r="I2078" s="62" t="n">
        <v>312.73</v>
      </c>
      <c r="J2078" s="58" t="inlineStr">
        <is>
          <t>Online</t>
        </is>
      </c>
      <c r="K2078" s="62">
        <f>F2078*(G2078-H2078)</f>
        <v/>
      </c>
      <c r="L2078" s="62">
        <f>K2078-(F2078*I2078)</f>
        <v/>
      </c>
      <c r="M2078" s="64">
        <f>L2078/K2078</f>
        <v/>
      </c>
    </row>
    <row r="2079">
      <c r="A2079" s="58" t="inlineStr">
        <is>
          <t>RT20250223-02078</t>
        </is>
      </c>
      <c r="B2079" s="59" t="inlineStr">
        <is>
          <t>2025-02-23</t>
        </is>
      </c>
      <c r="C2079" s="60" t="inlineStr">
        <is>
          <t>Vertex Fitnes Pro-830</t>
        </is>
      </c>
      <c r="D2079" s="58" t="inlineStr">
        <is>
          <t>Sports</t>
        </is>
      </c>
      <c r="E2079" s="58" t="inlineStr">
        <is>
          <t>Central</t>
        </is>
      </c>
      <c r="F2079" s="61" t="n">
        <v>2</v>
      </c>
      <c r="G2079" s="62" t="n">
        <v>644.97</v>
      </c>
      <c r="H2079" s="63" t="n">
        <v>0.053</v>
      </c>
      <c r="I2079" s="62" t="n">
        <v>480.01</v>
      </c>
      <c r="J2079" s="58" t="inlineStr">
        <is>
          <t>Online</t>
        </is>
      </c>
      <c r="K2079" s="62">
        <f>F2079*(G2079-H2079)</f>
        <v/>
      </c>
      <c r="L2079" s="62">
        <f>K2079-(F2079*I2079)</f>
        <v/>
      </c>
      <c r="M2079" s="64">
        <f>L2079/K2079</f>
        <v/>
      </c>
    </row>
    <row r="2080">
      <c r="A2080" s="58" t="inlineStr">
        <is>
          <t>RT20250223-02079</t>
        </is>
      </c>
      <c r="B2080" s="59" t="inlineStr">
        <is>
          <t>2025-02-23</t>
        </is>
      </c>
      <c r="C2080" s="60" t="inlineStr">
        <is>
          <t>Orion Kitchen Pro-568</t>
        </is>
      </c>
      <c r="D2080" s="58" t="inlineStr">
        <is>
          <t>Home</t>
        </is>
      </c>
      <c r="E2080" s="58" t="inlineStr">
        <is>
          <t>East</t>
        </is>
      </c>
      <c r="F2080" s="61" t="n">
        <v>2</v>
      </c>
      <c r="G2080" s="62" t="n">
        <v>464.37</v>
      </c>
      <c r="H2080" s="63" t="n">
        <v>0.074</v>
      </c>
      <c r="I2080" s="62" t="n">
        <v>309.23</v>
      </c>
      <c r="J2080" s="58" t="inlineStr">
        <is>
          <t>Store</t>
        </is>
      </c>
      <c r="K2080" s="62">
        <f>F2080*(G2080-H2080)</f>
        <v/>
      </c>
      <c r="L2080" s="62">
        <f>K2080-(F2080*I2080)</f>
        <v/>
      </c>
      <c r="M2080" s="64">
        <f>L2080/K2080</f>
        <v/>
      </c>
    </row>
    <row r="2081">
      <c r="A2081" s="58" t="inlineStr">
        <is>
          <t>RT20250223-02080</t>
        </is>
      </c>
      <c r="B2081" s="59" t="inlineStr">
        <is>
          <t>2025-02-23</t>
        </is>
      </c>
      <c r="C2081" s="60" t="inlineStr">
        <is>
          <t>Aurora Storage Lite-774</t>
        </is>
      </c>
      <c r="D2081" s="58" t="inlineStr">
        <is>
          <t>Office</t>
        </is>
      </c>
      <c r="E2081" s="58" t="inlineStr">
        <is>
          <t>West</t>
        </is>
      </c>
      <c r="F2081" s="61" t="n">
        <v>3</v>
      </c>
      <c r="G2081" s="62" t="n">
        <v>347.39</v>
      </c>
      <c r="H2081" s="63" t="n">
        <v>0.052</v>
      </c>
      <c r="I2081" s="62" t="n">
        <v>236.55</v>
      </c>
      <c r="J2081" s="58" t="inlineStr">
        <is>
          <t>Online</t>
        </is>
      </c>
      <c r="K2081" s="62">
        <f>F2081*(G2081-H2081)</f>
        <v/>
      </c>
      <c r="L2081" s="62">
        <f>K2081-(F2081*I2081)</f>
        <v/>
      </c>
      <c r="M2081" s="64">
        <f>L2081/K2081</f>
        <v/>
      </c>
    </row>
    <row r="2082">
      <c r="A2082" s="58" t="inlineStr">
        <is>
          <t>RT20250223-02081</t>
        </is>
      </c>
      <c r="B2082" s="59" t="inlineStr">
        <is>
          <t>2025-02-23</t>
        </is>
      </c>
      <c r="C2082" s="60" t="inlineStr">
        <is>
          <t>Falcon Household Plus-796</t>
        </is>
      </c>
      <c r="D2082" s="58" t="inlineStr">
        <is>
          <t>Grocery</t>
        </is>
      </c>
      <c r="E2082" s="58" t="inlineStr">
        <is>
          <t>West</t>
        </is>
      </c>
      <c r="F2082" s="61" t="n">
        <v>3</v>
      </c>
      <c r="G2082" s="62" t="n">
        <v>22.05</v>
      </c>
      <c r="H2082" s="63" t="n">
        <v>0.03</v>
      </c>
      <c r="I2082" s="62" t="n">
        <v>17.87</v>
      </c>
      <c r="J2082" s="58" t="inlineStr">
        <is>
          <t>Store</t>
        </is>
      </c>
      <c r="K2082" s="62">
        <f>F2082*(G2082-H2082)</f>
        <v/>
      </c>
      <c r="L2082" s="62">
        <f>K2082-(F2082*I2082)</f>
        <v/>
      </c>
      <c r="M2082" s="64">
        <f>L2082/K2082</f>
        <v/>
      </c>
    </row>
    <row r="2083">
      <c r="A2083" s="58" t="inlineStr">
        <is>
          <t>RT20250223-02082</t>
        </is>
      </c>
      <c r="B2083" s="59" t="inlineStr">
        <is>
          <t>2025-02-23</t>
        </is>
      </c>
      <c r="C2083" s="60" t="inlineStr">
        <is>
          <t>Metro Beverage Max-490</t>
        </is>
      </c>
      <c r="D2083" s="58" t="inlineStr">
        <is>
          <t>Grocery</t>
        </is>
      </c>
      <c r="E2083" s="58" t="inlineStr">
        <is>
          <t>East</t>
        </is>
      </c>
      <c r="F2083" s="61" t="n">
        <v>7</v>
      </c>
      <c r="G2083" s="62" t="n">
        <v>9.32</v>
      </c>
      <c r="H2083" s="63" t="n">
        <v>0.044</v>
      </c>
      <c r="I2083" s="62" t="n">
        <v>8.17</v>
      </c>
      <c r="J2083" s="58" t="inlineStr">
        <is>
          <t>Online</t>
        </is>
      </c>
      <c r="K2083" s="62">
        <f>F2083*(G2083-H2083)</f>
        <v/>
      </c>
      <c r="L2083" s="62">
        <f>K2083-(F2083*I2083)</f>
        <v/>
      </c>
      <c r="M2083" s="64">
        <f>L2083/K2083</f>
        <v/>
      </c>
    </row>
    <row r="2084">
      <c r="A2084" s="58" t="inlineStr">
        <is>
          <t>RT20250223-02083</t>
        </is>
      </c>
      <c r="B2084" s="59" t="inlineStr">
        <is>
          <t>2025-02-23</t>
        </is>
      </c>
      <c r="C2084" s="60" t="inlineStr">
        <is>
          <t>Vertex Smartphone Lite-267</t>
        </is>
      </c>
      <c r="D2084" s="58" t="inlineStr">
        <is>
          <t>Electronics</t>
        </is>
      </c>
      <c r="E2084" s="58" t="inlineStr">
        <is>
          <t>West</t>
        </is>
      </c>
      <c r="F2084" s="61" t="n">
        <v>2</v>
      </c>
      <c r="G2084" s="62" t="n">
        <v>1157.76</v>
      </c>
      <c r="H2084" s="63" t="n">
        <v>0.045</v>
      </c>
      <c r="I2084" s="62" t="n">
        <v>981.33</v>
      </c>
      <c r="J2084" s="58" t="inlineStr">
        <is>
          <t>Store</t>
        </is>
      </c>
      <c r="K2084" s="62">
        <f>F2084*(G2084-H2084)</f>
        <v/>
      </c>
      <c r="L2084" s="62">
        <f>K2084-(F2084*I2084)</f>
        <v/>
      </c>
      <c r="M2084" s="64">
        <f>L2084/K2084</f>
        <v/>
      </c>
    </row>
    <row r="2085">
      <c r="A2085" s="58" t="inlineStr">
        <is>
          <t>RT20250223-02084</t>
        </is>
      </c>
      <c r="B2085" s="59" t="inlineStr">
        <is>
          <t>2025-02-23</t>
        </is>
      </c>
      <c r="C2085" s="60" t="inlineStr">
        <is>
          <t>Polar Decor Plus-505</t>
        </is>
      </c>
      <c r="D2085" s="58" t="inlineStr">
        <is>
          <t>Home</t>
        </is>
      </c>
      <c r="E2085" s="58" t="inlineStr">
        <is>
          <t>East</t>
        </is>
      </c>
      <c r="F2085" s="61" t="n">
        <v>2</v>
      </c>
      <c r="G2085" s="62" t="n">
        <v>306.91</v>
      </c>
      <c r="H2085" s="63" t="n">
        <v>0.025</v>
      </c>
      <c r="I2085" s="62" t="n">
        <v>199.56</v>
      </c>
      <c r="J2085" s="58" t="inlineStr">
        <is>
          <t>Store</t>
        </is>
      </c>
      <c r="K2085" s="62">
        <f>F2085*(G2085-H2085)</f>
        <v/>
      </c>
      <c r="L2085" s="62">
        <f>K2085-(F2085*I2085)</f>
        <v/>
      </c>
      <c r="M2085" s="64">
        <f>L2085/K2085</f>
        <v/>
      </c>
    </row>
    <row r="2086">
      <c r="A2086" s="58" t="inlineStr">
        <is>
          <t>RT20250223-02085</t>
        </is>
      </c>
      <c r="B2086" s="59" t="inlineStr">
        <is>
          <t>2025-02-23</t>
        </is>
      </c>
      <c r="C2086" s="60" t="inlineStr">
        <is>
          <t>Vertex Headphone Pro-801</t>
        </is>
      </c>
      <c r="D2086" s="58" t="inlineStr">
        <is>
          <t>Electronics</t>
        </is>
      </c>
      <c r="E2086" s="58" t="inlineStr">
        <is>
          <t>South</t>
        </is>
      </c>
      <c r="F2086" s="61" t="n">
        <v>2</v>
      </c>
      <c r="G2086" s="62" t="n">
        <v>1232.2</v>
      </c>
      <c r="H2086" s="63" t="n">
        <v>0.052</v>
      </c>
      <c r="I2086" s="62" t="n">
        <v>961.63</v>
      </c>
      <c r="J2086" s="58" t="inlineStr">
        <is>
          <t>Online</t>
        </is>
      </c>
      <c r="K2086" s="62">
        <f>F2086*(G2086-H2086)</f>
        <v/>
      </c>
      <c r="L2086" s="62">
        <f>K2086-(F2086*I2086)</f>
        <v/>
      </c>
      <c r="M2086" s="64">
        <f>L2086/K2086</f>
        <v/>
      </c>
    </row>
    <row r="2087">
      <c r="A2087" s="58" t="inlineStr">
        <is>
          <t>RT20250223-02086</t>
        </is>
      </c>
      <c r="B2087" s="59" t="inlineStr">
        <is>
          <t>2025-02-23</t>
        </is>
      </c>
      <c r="C2087" s="60" t="inlineStr">
        <is>
          <t>Falcon Household Plus-796</t>
        </is>
      </c>
      <c r="D2087" s="58" t="inlineStr">
        <is>
          <t>Grocery</t>
        </is>
      </c>
      <c r="E2087" s="58" t="inlineStr">
        <is>
          <t>East</t>
        </is>
      </c>
      <c r="F2087" s="61" t="n">
        <v>1</v>
      </c>
      <c r="G2087" s="62" t="n">
        <v>23.63</v>
      </c>
      <c r="H2087" s="63" t="n">
        <v>0.077</v>
      </c>
      <c r="I2087" s="62" t="n">
        <v>17.02</v>
      </c>
      <c r="J2087" s="58" t="inlineStr">
        <is>
          <t>Online</t>
        </is>
      </c>
      <c r="K2087" s="62">
        <f>F2087*(G2087-H2087)</f>
        <v/>
      </c>
      <c r="L2087" s="62">
        <f>K2087-(F2087*I2087)</f>
        <v/>
      </c>
      <c r="M2087" s="64">
        <f>L2087/K2087</f>
        <v/>
      </c>
    </row>
    <row r="2088">
      <c r="A2088" s="58" t="inlineStr">
        <is>
          <t>RT20250223-02087</t>
        </is>
      </c>
      <c r="B2088" s="59" t="inlineStr">
        <is>
          <t>2025-02-23</t>
        </is>
      </c>
      <c r="C2088" s="60" t="inlineStr">
        <is>
          <t>Falcon Headphone Pro-713</t>
        </is>
      </c>
      <c r="D2088" s="58" t="inlineStr">
        <is>
          <t>Electronics</t>
        </is>
      </c>
      <c r="E2088" s="58" t="inlineStr">
        <is>
          <t>West</t>
        </is>
      </c>
      <c r="F2088" s="61" t="n">
        <v>2</v>
      </c>
      <c r="G2088" s="62" t="n">
        <v>1452.12</v>
      </c>
      <c r="H2088" s="63" t="n">
        <v>0.06</v>
      </c>
      <c r="I2088" s="62" t="n">
        <v>1214.3</v>
      </c>
      <c r="J2088" s="58" t="inlineStr">
        <is>
          <t>Online</t>
        </is>
      </c>
      <c r="K2088" s="62">
        <f>F2088*(G2088-H2088)</f>
        <v/>
      </c>
      <c r="L2088" s="62">
        <f>K2088-(F2088*I2088)</f>
        <v/>
      </c>
      <c r="M2088" s="64">
        <f>L2088/K2088</f>
        <v/>
      </c>
    </row>
    <row r="2089">
      <c r="A2089" s="58" t="inlineStr">
        <is>
          <t>RT20250223-02088</t>
        </is>
      </c>
      <c r="B2089" s="59" t="inlineStr">
        <is>
          <t>2025-02-23</t>
        </is>
      </c>
      <c r="C2089" s="60" t="inlineStr">
        <is>
          <t>Nimbus Women Plus-352</t>
        </is>
      </c>
      <c r="D2089" s="58" t="inlineStr">
        <is>
          <t>Apparel</t>
        </is>
      </c>
      <c r="E2089" s="58" t="inlineStr">
        <is>
          <t>West</t>
        </is>
      </c>
      <c r="F2089" s="61" t="n">
        <v>1</v>
      </c>
      <c r="G2089" s="62" t="n">
        <v>56.16</v>
      </c>
      <c r="H2089" s="63" t="n">
        <v>0.046</v>
      </c>
      <c r="I2089" s="62" t="n">
        <v>33.49</v>
      </c>
      <c r="J2089" s="58" t="inlineStr">
        <is>
          <t>Online</t>
        </is>
      </c>
      <c r="K2089" s="62">
        <f>F2089*(G2089-H2089)</f>
        <v/>
      </c>
      <c r="L2089" s="62">
        <f>K2089-(F2089*I2089)</f>
        <v/>
      </c>
      <c r="M2089" s="64">
        <f>L2089/K2089</f>
        <v/>
      </c>
    </row>
    <row r="2090">
      <c r="A2090" s="58" t="inlineStr">
        <is>
          <t>RT20250223-02089</t>
        </is>
      </c>
      <c r="B2090" s="59" t="inlineStr">
        <is>
          <t>2025-02-23</t>
        </is>
      </c>
      <c r="C2090" s="60" t="inlineStr">
        <is>
          <t>Metro Decor Lite-325</t>
        </is>
      </c>
      <c r="D2090" s="58" t="inlineStr">
        <is>
          <t>Home</t>
        </is>
      </c>
      <c r="E2090" s="58" t="inlineStr">
        <is>
          <t>Central</t>
        </is>
      </c>
      <c r="F2090" s="61" t="n">
        <v>3</v>
      </c>
      <c r="G2090" s="62" t="n">
        <v>519.5599999999999</v>
      </c>
      <c r="H2090" s="63" t="n">
        <v>0.074</v>
      </c>
      <c r="I2090" s="62" t="n">
        <v>369.98</v>
      </c>
      <c r="J2090" s="58" t="inlineStr">
        <is>
          <t>Online</t>
        </is>
      </c>
      <c r="K2090" s="62">
        <f>F2090*(G2090-H2090)</f>
        <v/>
      </c>
      <c r="L2090" s="62">
        <f>K2090-(F2090*I2090)</f>
        <v/>
      </c>
      <c r="M2090" s="64">
        <f>L2090/K2090</f>
        <v/>
      </c>
    </row>
    <row r="2091">
      <c r="A2091" s="58" t="inlineStr">
        <is>
          <t>RT20250223-02090</t>
        </is>
      </c>
      <c r="B2091" s="59" t="inlineStr">
        <is>
          <t>2025-02-23</t>
        </is>
      </c>
      <c r="C2091" s="60" t="inlineStr">
        <is>
          <t>Falcon Headphone Plus-789</t>
        </is>
      </c>
      <c r="D2091" s="58" t="inlineStr">
        <is>
          <t>Electronics</t>
        </is>
      </c>
      <c r="E2091" s="58" t="inlineStr">
        <is>
          <t>East</t>
        </is>
      </c>
      <c r="F2091" s="61" t="n">
        <v>2</v>
      </c>
      <c r="G2091" s="62" t="n">
        <v>1807.64</v>
      </c>
      <c r="H2091" s="63" t="n">
        <v>0.095</v>
      </c>
      <c r="I2091" s="62" t="n">
        <v>1348.95</v>
      </c>
      <c r="J2091" s="58" t="inlineStr">
        <is>
          <t>Online</t>
        </is>
      </c>
      <c r="K2091" s="62">
        <f>F2091*(G2091-H2091)</f>
        <v/>
      </c>
      <c r="L2091" s="62">
        <f>K2091-(F2091*I2091)</f>
        <v/>
      </c>
      <c r="M2091" s="64">
        <f>L2091/K2091</f>
        <v/>
      </c>
    </row>
    <row r="2092">
      <c r="A2092" s="58" t="inlineStr">
        <is>
          <t>RT20250223-02091</t>
        </is>
      </c>
      <c r="B2092" s="59" t="inlineStr">
        <is>
          <t>2025-02-23</t>
        </is>
      </c>
      <c r="C2092" s="60" t="inlineStr">
        <is>
          <t>Metro Smartphone Max-773</t>
        </is>
      </c>
      <c r="D2092" s="58" t="inlineStr">
        <is>
          <t>Electronics</t>
        </is>
      </c>
      <c r="E2092" s="58" t="inlineStr">
        <is>
          <t>South</t>
        </is>
      </c>
      <c r="F2092" s="61" t="n">
        <v>1</v>
      </c>
      <c r="G2092" s="62" t="n">
        <v>1342.46</v>
      </c>
      <c r="H2092" s="63" t="n">
        <v>0.099</v>
      </c>
      <c r="I2092" s="62" t="n">
        <v>1100.79</v>
      </c>
      <c r="J2092" s="58" t="inlineStr">
        <is>
          <t>Store</t>
        </is>
      </c>
      <c r="K2092" s="62">
        <f>F2092*(G2092-H2092)</f>
        <v/>
      </c>
      <c r="L2092" s="62">
        <f>K2092-(F2092*I2092)</f>
        <v/>
      </c>
      <c r="M2092" s="64">
        <f>L2092/K2092</f>
        <v/>
      </c>
    </row>
    <row r="2093">
      <c r="A2093" s="58" t="inlineStr">
        <is>
          <t>RT20250223-02092</t>
        </is>
      </c>
      <c r="B2093" s="59" t="inlineStr">
        <is>
          <t>2025-02-23</t>
        </is>
      </c>
      <c r="C2093" s="60" t="inlineStr">
        <is>
          <t>Nimbus Fitnes Lite-516</t>
        </is>
      </c>
      <c r="D2093" s="58" t="inlineStr">
        <is>
          <t>Sports</t>
        </is>
      </c>
      <c r="E2093" s="58" t="inlineStr">
        <is>
          <t>East</t>
        </is>
      </c>
      <c r="F2093" s="61" t="n">
        <v>2</v>
      </c>
      <c r="G2093" s="62" t="n">
        <v>731.22</v>
      </c>
      <c r="H2093" s="63" t="n">
        <v>0.093</v>
      </c>
      <c r="I2093" s="62" t="n">
        <v>457.17</v>
      </c>
      <c r="J2093" s="58" t="inlineStr">
        <is>
          <t>Store</t>
        </is>
      </c>
      <c r="K2093" s="62">
        <f>F2093*(G2093-H2093)</f>
        <v/>
      </c>
      <c r="L2093" s="62">
        <f>K2093-(F2093*I2093)</f>
        <v/>
      </c>
      <c r="M2093" s="64">
        <f>L2093/K2093</f>
        <v/>
      </c>
    </row>
    <row r="2094">
      <c r="A2094" s="58" t="inlineStr">
        <is>
          <t>RT20250223-02093</t>
        </is>
      </c>
      <c r="B2094" s="59" t="inlineStr">
        <is>
          <t>2025-02-23</t>
        </is>
      </c>
      <c r="C2094" s="60" t="inlineStr">
        <is>
          <t>Nimbus Men Plus-231</t>
        </is>
      </c>
      <c r="D2094" s="58" t="inlineStr">
        <is>
          <t>Apparel</t>
        </is>
      </c>
      <c r="E2094" s="58" t="inlineStr">
        <is>
          <t>Central</t>
        </is>
      </c>
      <c r="F2094" s="61" t="n">
        <v>3</v>
      </c>
      <c r="G2094" s="62" t="n">
        <v>165.16</v>
      </c>
      <c r="H2094" s="63" t="n">
        <v>0.016</v>
      </c>
      <c r="I2094" s="62" t="n">
        <v>88.81</v>
      </c>
      <c r="J2094" s="58" t="inlineStr">
        <is>
          <t>Online</t>
        </is>
      </c>
      <c r="K2094" s="62">
        <f>F2094*(G2094-H2094)</f>
        <v/>
      </c>
      <c r="L2094" s="62">
        <f>K2094-(F2094*I2094)</f>
        <v/>
      </c>
      <c r="M2094" s="64">
        <f>L2094/K2094</f>
        <v/>
      </c>
    </row>
    <row r="2095">
      <c r="A2095" s="58" t="inlineStr">
        <is>
          <t>RT20250223-02094</t>
        </is>
      </c>
      <c r="B2095" s="59" t="inlineStr">
        <is>
          <t>2025-02-23</t>
        </is>
      </c>
      <c r="C2095" s="60" t="inlineStr">
        <is>
          <t>Metro Beverage Max-490</t>
        </is>
      </c>
      <c r="D2095" s="58" t="inlineStr">
        <is>
          <t>Grocery</t>
        </is>
      </c>
      <c r="E2095" s="58" t="inlineStr">
        <is>
          <t>West</t>
        </is>
      </c>
      <c r="F2095" s="61" t="n">
        <v>8</v>
      </c>
      <c r="G2095" s="62" t="n">
        <v>10.63</v>
      </c>
      <c r="H2095" s="63" t="n">
        <v>0.058</v>
      </c>
      <c r="I2095" s="62" t="n">
        <v>8.1</v>
      </c>
      <c r="J2095" s="58" t="inlineStr">
        <is>
          <t>Online</t>
        </is>
      </c>
      <c r="K2095" s="62">
        <f>F2095*(G2095-H2095)</f>
        <v/>
      </c>
      <c r="L2095" s="62">
        <f>K2095-(F2095*I2095)</f>
        <v/>
      </c>
      <c r="M2095" s="64">
        <f>L2095/K2095</f>
        <v/>
      </c>
    </row>
    <row r="2096">
      <c r="A2096" s="58" t="inlineStr">
        <is>
          <t>RT20250223-02095</t>
        </is>
      </c>
      <c r="B2096" s="59" t="inlineStr">
        <is>
          <t>2025-02-23</t>
        </is>
      </c>
      <c r="C2096" s="60" t="inlineStr">
        <is>
          <t>Orion Fragrance Lite-785</t>
        </is>
      </c>
      <c r="D2096" s="58" t="inlineStr">
        <is>
          <t>Beauty</t>
        </is>
      </c>
      <c r="E2096" s="58" t="inlineStr">
        <is>
          <t>West</t>
        </is>
      </c>
      <c r="F2096" s="61" t="n">
        <v>5</v>
      </c>
      <c r="G2096" s="62" t="n">
        <v>46.09</v>
      </c>
      <c r="H2096" s="63" t="n">
        <v>0.057</v>
      </c>
      <c r="I2096" s="62" t="n">
        <v>27.1</v>
      </c>
      <c r="J2096" s="58" t="inlineStr">
        <is>
          <t>Online</t>
        </is>
      </c>
      <c r="K2096" s="62">
        <f>F2096*(G2096-H2096)</f>
        <v/>
      </c>
      <c r="L2096" s="62">
        <f>K2096-(F2096*I2096)</f>
        <v/>
      </c>
      <c r="M2096" s="64">
        <f>L2096/K2096</f>
        <v/>
      </c>
    </row>
    <row r="2097">
      <c r="A2097" s="58" t="inlineStr">
        <is>
          <t>RT20250223-02096</t>
        </is>
      </c>
      <c r="B2097" s="59" t="inlineStr">
        <is>
          <t>2025-02-23</t>
        </is>
      </c>
      <c r="C2097" s="60" t="inlineStr">
        <is>
          <t>Polar Fragrance Pro-750</t>
        </is>
      </c>
      <c r="D2097" s="58" t="inlineStr">
        <is>
          <t>Beauty</t>
        </is>
      </c>
      <c r="E2097" s="58" t="inlineStr">
        <is>
          <t>Central</t>
        </is>
      </c>
      <c r="F2097" s="61" t="n">
        <v>4</v>
      </c>
      <c r="G2097" s="62" t="n">
        <v>47.89</v>
      </c>
      <c r="H2097" s="63" t="n">
        <v>0.025</v>
      </c>
      <c r="I2097" s="62" t="n">
        <v>36.26</v>
      </c>
      <c r="J2097" s="58" t="inlineStr">
        <is>
          <t>Online</t>
        </is>
      </c>
      <c r="K2097" s="62">
        <f>F2097*(G2097-H2097)</f>
        <v/>
      </c>
      <c r="L2097" s="62">
        <f>K2097-(F2097*I2097)</f>
        <v/>
      </c>
      <c r="M2097" s="64">
        <f>L2097/K2097</f>
        <v/>
      </c>
    </row>
    <row r="2098">
      <c r="A2098" s="58" t="inlineStr">
        <is>
          <t>RT20250223-02097</t>
        </is>
      </c>
      <c r="B2098" s="59" t="inlineStr">
        <is>
          <t>2025-02-23</t>
        </is>
      </c>
      <c r="C2098" s="60" t="inlineStr">
        <is>
          <t>Aurora Appliance Max-316</t>
        </is>
      </c>
      <c r="D2098" s="58" t="inlineStr">
        <is>
          <t>Home</t>
        </is>
      </c>
      <c r="E2098" s="58" t="inlineStr">
        <is>
          <t>Central</t>
        </is>
      </c>
      <c r="F2098" s="61" t="n">
        <v>3</v>
      </c>
      <c r="G2098" s="62" t="n">
        <v>283.66</v>
      </c>
      <c r="H2098" s="63" t="n">
        <v>0.034</v>
      </c>
      <c r="I2098" s="62" t="n">
        <v>219.86</v>
      </c>
      <c r="J2098" s="58" t="inlineStr">
        <is>
          <t>Online</t>
        </is>
      </c>
      <c r="K2098" s="62">
        <f>F2098*(G2098-H2098)</f>
        <v/>
      </c>
      <c r="L2098" s="62">
        <f>K2098-(F2098*I2098)</f>
        <v/>
      </c>
      <c r="M2098" s="64">
        <f>L2098/K2098</f>
        <v/>
      </c>
    </row>
    <row r="2099">
      <c r="A2099" s="58" t="inlineStr">
        <is>
          <t>RT20250223-02098</t>
        </is>
      </c>
      <c r="B2099" s="59" t="inlineStr">
        <is>
          <t>2025-02-23</t>
        </is>
      </c>
      <c r="C2099" s="60" t="inlineStr">
        <is>
          <t>Falcon Furniture Plus-839</t>
        </is>
      </c>
      <c r="D2099" s="58" t="inlineStr">
        <is>
          <t>Office</t>
        </is>
      </c>
      <c r="E2099" s="58" t="inlineStr">
        <is>
          <t>Central</t>
        </is>
      </c>
      <c r="F2099" s="61" t="n">
        <v>2</v>
      </c>
      <c r="G2099" s="62" t="n">
        <v>302.6</v>
      </c>
      <c r="H2099" s="63" t="n">
        <v>0.047</v>
      </c>
      <c r="I2099" s="62" t="n">
        <v>226.2</v>
      </c>
      <c r="J2099" s="58" t="inlineStr">
        <is>
          <t>Online</t>
        </is>
      </c>
      <c r="K2099" s="62">
        <f>F2099*(G2099-H2099)</f>
        <v/>
      </c>
      <c r="L2099" s="62">
        <f>K2099-(F2099*I2099)</f>
        <v/>
      </c>
      <c r="M2099" s="64">
        <f>L2099/K2099</f>
        <v/>
      </c>
    </row>
    <row r="2100">
      <c r="A2100" s="58" t="inlineStr">
        <is>
          <t>RT20250223-02099</t>
        </is>
      </c>
      <c r="B2100" s="59" t="inlineStr">
        <is>
          <t>2025-02-23</t>
        </is>
      </c>
      <c r="C2100" s="60" t="inlineStr">
        <is>
          <t>Polar Laptop Plus-984</t>
        </is>
      </c>
      <c r="D2100" s="58" t="inlineStr">
        <is>
          <t>Electronics</t>
        </is>
      </c>
      <c r="E2100" s="58" t="inlineStr">
        <is>
          <t>South</t>
        </is>
      </c>
      <c r="F2100" s="61" t="n">
        <v>2</v>
      </c>
      <c r="G2100" s="62" t="n">
        <v>1255.02</v>
      </c>
      <c r="H2100" s="63" t="n">
        <v>0.11</v>
      </c>
      <c r="I2100" s="62" t="n">
        <v>977.0700000000001</v>
      </c>
      <c r="J2100" s="58" t="inlineStr">
        <is>
          <t>Online</t>
        </is>
      </c>
      <c r="K2100" s="62">
        <f>F2100*(G2100-H2100)</f>
        <v/>
      </c>
      <c r="L2100" s="62">
        <f>K2100-(F2100*I2100)</f>
        <v/>
      </c>
      <c r="M2100" s="64">
        <f>L2100/K2100</f>
        <v/>
      </c>
    </row>
    <row r="2101">
      <c r="A2101" s="58" t="inlineStr">
        <is>
          <t>RT20250223-02100</t>
        </is>
      </c>
      <c r="B2101" s="59" t="inlineStr">
        <is>
          <t>2025-02-23</t>
        </is>
      </c>
      <c r="C2101" s="60" t="inlineStr">
        <is>
          <t>Solace Snack S-691</t>
        </is>
      </c>
      <c r="D2101" s="58" t="inlineStr">
        <is>
          <t>Grocery</t>
        </is>
      </c>
      <c r="E2101" s="58" t="inlineStr">
        <is>
          <t>South</t>
        </is>
      </c>
      <c r="F2101" s="61" t="n">
        <v>5</v>
      </c>
      <c r="G2101" s="62" t="n">
        <v>9.85</v>
      </c>
      <c r="H2101" s="63" t="n">
        <v>0.095</v>
      </c>
      <c r="I2101" s="62" t="n">
        <v>7.25</v>
      </c>
      <c r="J2101" s="58" t="inlineStr">
        <is>
          <t>Online</t>
        </is>
      </c>
      <c r="K2101" s="62">
        <f>F2101*(G2101-H2101)</f>
        <v/>
      </c>
      <c r="L2101" s="62">
        <f>K2101-(F2101*I2101)</f>
        <v/>
      </c>
      <c r="M2101" s="64">
        <f>L2101/K2101</f>
        <v/>
      </c>
    </row>
    <row r="2102">
      <c r="A2102" s="58" t="inlineStr">
        <is>
          <t>RT20250223-02101</t>
        </is>
      </c>
      <c r="B2102" s="59" t="inlineStr">
        <is>
          <t>2025-02-23</t>
        </is>
      </c>
      <c r="C2102" s="60" t="inlineStr">
        <is>
          <t>Polar Laptop Plus-984</t>
        </is>
      </c>
      <c r="D2102" s="58" t="inlineStr">
        <is>
          <t>Electronics</t>
        </is>
      </c>
      <c r="E2102" s="58" t="inlineStr">
        <is>
          <t>West</t>
        </is>
      </c>
      <c r="F2102" s="61" t="n">
        <v>1</v>
      </c>
      <c r="G2102" s="62" t="n">
        <v>1175.91</v>
      </c>
      <c r="H2102" s="63" t="n">
        <v>0.04</v>
      </c>
      <c r="I2102" s="62" t="n">
        <v>1000.18</v>
      </c>
      <c r="J2102" s="58" t="inlineStr">
        <is>
          <t>Online</t>
        </is>
      </c>
      <c r="K2102" s="62">
        <f>F2102*(G2102-H2102)</f>
        <v/>
      </c>
      <c r="L2102" s="62">
        <f>K2102-(F2102*I2102)</f>
        <v/>
      </c>
      <c r="M2102" s="64">
        <f>L2102/K2102</f>
        <v/>
      </c>
    </row>
    <row r="2103">
      <c r="A2103" s="58" t="inlineStr">
        <is>
          <t>RT20250223-02102</t>
        </is>
      </c>
      <c r="B2103" s="59" t="inlineStr">
        <is>
          <t>2025-02-23</t>
        </is>
      </c>
      <c r="C2103" s="60" t="inlineStr">
        <is>
          <t>Nimbus Headphone X-854</t>
        </is>
      </c>
      <c r="D2103" s="58" t="inlineStr">
        <is>
          <t>Electronics</t>
        </is>
      </c>
      <c r="E2103" s="58" t="inlineStr">
        <is>
          <t>Central</t>
        </is>
      </c>
      <c r="F2103" s="61" t="n">
        <v>1</v>
      </c>
      <c r="G2103" s="62" t="n">
        <v>1648.47</v>
      </c>
      <c r="H2103" s="63" t="n">
        <v>0.07000000000000001</v>
      </c>
      <c r="I2103" s="62" t="n">
        <v>1251.77</v>
      </c>
      <c r="J2103" s="58" t="inlineStr">
        <is>
          <t>Store</t>
        </is>
      </c>
      <c r="K2103" s="62">
        <f>F2103*(G2103-H2103)</f>
        <v/>
      </c>
      <c r="L2103" s="62">
        <f>K2103-(F2103*I2103)</f>
        <v/>
      </c>
      <c r="M2103" s="64">
        <f>L2103/K2103</f>
        <v/>
      </c>
    </row>
    <row r="2104">
      <c r="A2104" s="58" t="inlineStr">
        <is>
          <t>RT20250223-02103</t>
        </is>
      </c>
      <c r="B2104" s="59" t="inlineStr">
        <is>
          <t>2025-02-23</t>
        </is>
      </c>
      <c r="C2104" s="60" t="inlineStr">
        <is>
          <t>Aurora Makeup S-626</t>
        </is>
      </c>
      <c r="D2104" s="58" t="inlineStr">
        <is>
          <t>Beauty</t>
        </is>
      </c>
      <c r="E2104" s="58" t="inlineStr">
        <is>
          <t>Central</t>
        </is>
      </c>
      <c r="F2104" s="61" t="n">
        <v>1</v>
      </c>
      <c r="G2104" s="62" t="n">
        <v>113.51</v>
      </c>
      <c r="H2104" s="63" t="n">
        <v>0.046</v>
      </c>
      <c r="I2104" s="62" t="n">
        <v>64.98999999999999</v>
      </c>
      <c r="J2104" s="58" t="inlineStr">
        <is>
          <t>Online</t>
        </is>
      </c>
      <c r="K2104" s="62">
        <f>F2104*(G2104-H2104)</f>
        <v/>
      </c>
      <c r="L2104" s="62">
        <f>K2104-(F2104*I2104)</f>
        <v/>
      </c>
      <c r="M2104" s="64">
        <f>L2104/K2104</f>
        <v/>
      </c>
    </row>
    <row r="2105">
      <c r="A2105" s="58" t="inlineStr">
        <is>
          <t>RT20250223-02104</t>
        </is>
      </c>
      <c r="B2105" s="59" t="inlineStr">
        <is>
          <t>2025-02-23</t>
        </is>
      </c>
      <c r="C2105" s="60" t="inlineStr">
        <is>
          <t>Metro Accessorie Lite-697</t>
        </is>
      </c>
      <c r="D2105" s="58" t="inlineStr">
        <is>
          <t>Apparel</t>
        </is>
      </c>
      <c r="E2105" s="58" t="inlineStr">
        <is>
          <t>North</t>
        </is>
      </c>
      <c r="F2105" s="61" t="n">
        <v>3</v>
      </c>
      <c r="G2105" s="62" t="n">
        <v>129.54</v>
      </c>
      <c r="H2105" s="63" t="n">
        <v>0.028</v>
      </c>
      <c r="I2105" s="62" t="n">
        <v>74.31999999999999</v>
      </c>
      <c r="J2105" s="58" t="inlineStr">
        <is>
          <t>Online</t>
        </is>
      </c>
      <c r="K2105" s="62">
        <f>F2105*(G2105-H2105)</f>
        <v/>
      </c>
      <c r="L2105" s="62">
        <f>K2105-(F2105*I2105)</f>
        <v/>
      </c>
      <c r="M2105" s="64">
        <f>L2105/K2105</f>
        <v/>
      </c>
    </row>
    <row r="2106">
      <c r="A2106" s="58" t="inlineStr">
        <is>
          <t>RT20250223-02105</t>
        </is>
      </c>
      <c r="B2106" s="59" t="inlineStr">
        <is>
          <t>2025-02-23</t>
        </is>
      </c>
      <c r="C2106" s="60" t="inlineStr">
        <is>
          <t>Vertex Supplie X-513</t>
        </is>
      </c>
      <c r="D2106" s="58" t="inlineStr">
        <is>
          <t>Office</t>
        </is>
      </c>
      <c r="E2106" s="58" t="inlineStr">
        <is>
          <t>West</t>
        </is>
      </c>
      <c r="F2106" s="61" t="n">
        <v>1</v>
      </c>
      <c r="G2106" s="62" t="n">
        <v>357.72</v>
      </c>
      <c r="H2106" s="63" t="n">
        <v>0.043</v>
      </c>
      <c r="I2106" s="62" t="n">
        <v>282.23</v>
      </c>
      <c r="J2106" s="58" t="inlineStr">
        <is>
          <t>Store</t>
        </is>
      </c>
      <c r="K2106" s="62">
        <f>F2106*(G2106-H2106)</f>
        <v/>
      </c>
      <c r="L2106" s="62">
        <f>K2106-(F2106*I2106)</f>
        <v/>
      </c>
      <c r="M2106" s="64">
        <f>L2106/K2106</f>
        <v/>
      </c>
    </row>
    <row r="2107">
      <c r="A2107" s="58" t="inlineStr">
        <is>
          <t>RT20250223-02106</t>
        </is>
      </c>
      <c r="B2107" s="59" t="inlineStr">
        <is>
          <t>2025-02-23</t>
        </is>
      </c>
      <c r="C2107" s="60" t="inlineStr">
        <is>
          <t>Falcon Cycling Pro-499</t>
        </is>
      </c>
      <c r="D2107" s="58" t="inlineStr">
        <is>
          <t>Sports</t>
        </is>
      </c>
      <c r="E2107" s="58" t="inlineStr">
        <is>
          <t>East</t>
        </is>
      </c>
      <c r="F2107" s="61" t="n">
        <v>1</v>
      </c>
      <c r="G2107" s="62" t="n">
        <v>724.47</v>
      </c>
      <c r="H2107" s="63" t="n">
        <v>0.081</v>
      </c>
      <c r="I2107" s="62" t="n">
        <v>404.08</v>
      </c>
      <c r="J2107" s="58" t="inlineStr">
        <is>
          <t>Store</t>
        </is>
      </c>
      <c r="K2107" s="62">
        <f>F2107*(G2107-H2107)</f>
        <v/>
      </c>
      <c r="L2107" s="62">
        <f>K2107-(F2107*I2107)</f>
        <v/>
      </c>
      <c r="M2107" s="64">
        <f>L2107/K2107</f>
        <v/>
      </c>
    </row>
    <row r="2108">
      <c r="A2108" s="58" t="inlineStr">
        <is>
          <t>RT20250223-02107</t>
        </is>
      </c>
      <c r="B2108" s="59" t="inlineStr">
        <is>
          <t>2025-02-23</t>
        </is>
      </c>
      <c r="C2108" s="60" t="inlineStr">
        <is>
          <t>Aurora Makeup Pro-489</t>
        </is>
      </c>
      <c r="D2108" s="58" t="inlineStr">
        <is>
          <t>Beauty</t>
        </is>
      </c>
      <c r="E2108" s="58" t="inlineStr">
        <is>
          <t>East</t>
        </is>
      </c>
      <c r="F2108" s="61" t="n">
        <v>1</v>
      </c>
      <c r="G2108" s="62" t="n">
        <v>101.24</v>
      </c>
      <c r="H2108" s="63" t="n">
        <v>0.016</v>
      </c>
      <c r="I2108" s="62" t="n">
        <v>64.08</v>
      </c>
      <c r="J2108" s="58" t="inlineStr">
        <is>
          <t>Online</t>
        </is>
      </c>
      <c r="K2108" s="62">
        <f>F2108*(G2108-H2108)</f>
        <v/>
      </c>
      <c r="L2108" s="62">
        <f>K2108-(F2108*I2108)</f>
        <v/>
      </c>
      <c r="M2108" s="64">
        <f>L2108/K2108</f>
        <v/>
      </c>
    </row>
    <row r="2109">
      <c r="A2109" s="58" t="inlineStr">
        <is>
          <t>RT20250223-02108</t>
        </is>
      </c>
      <c r="B2109" s="59" t="inlineStr">
        <is>
          <t>2025-02-23</t>
        </is>
      </c>
      <c r="C2109" s="60" t="inlineStr">
        <is>
          <t>Aurora Makeup Pro-489</t>
        </is>
      </c>
      <c r="D2109" s="58" t="inlineStr">
        <is>
          <t>Beauty</t>
        </is>
      </c>
      <c r="E2109" s="58" t="inlineStr">
        <is>
          <t>South</t>
        </is>
      </c>
      <c r="F2109" s="61" t="n">
        <v>1</v>
      </c>
      <c r="G2109" s="62" t="n">
        <v>109.87</v>
      </c>
      <c r="H2109" s="63" t="n">
        <v>0.103</v>
      </c>
      <c r="I2109" s="62" t="n">
        <v>63.58</v>
      </c>
      <c r="J2109" s="58" t="inlineStr">
        <is>
          <t>Online</t>
        </is>
      </c>
      <c r="K2109" s="62">
        <f>F2109*(G2109-H2109)</f>
        <v/>
      </c>
      <c r="L2109" s="62">
        <f>K2109-(F2109*I2109)</f>
        <v/>
      </c>
      <c r="M2109" s="64">
        <f>L2109/K2109</f>
        <v/>
      </c>
    </row>
    <row r="2110">
      <c r="A2110" s="58" t="inlineStr">
        <is>
          <t>RT20250223-02109</t>
        </is>
      </c>
      <c r="B2110" s="59" t="inlineStr">
        <is>
          <t>2025-02-23</t>
        </is>
      </c>
      <c r="C2110" s="60" t="inlineStr">
        <is>
          <t>Metro Pantry X-710</t>
        </is>
      </c>
      <c r="D2110" s="58" t="inlineStr">
        <is>
          <t>Grocery</t>
        </is>
      </c>
      <c r="E2110" s="58" t="inlineStr">
        <is>
          <t>North</t>
        </is>
      </c>
      <c r="F2110" s="61" t="n">
        <v>3</v>
      </c>
      <c r="G2110" s="62" t="n">
        <v>5.02</v>
      </c>
      <c r="H2110" s="63" t="n">
        <v>0.081</v>
      </c>
      <c r="I2110" s="62" t="n">
        <v>4.16</v>
      </c>
      <c r="J2110" s="58" t="inlineStr">
        <is>
          <t>Online</t>
        </is>
      </c>
      <c r="K2110" s="62">
        <f>F2110*(G2110-H2110)</f>
        <v/>
      </c>
      <c r="L2110" s="62">
        <f>K2110-(F2110*I2110)</f>
        <v/>
      </c>
      <c r="M2110" s="64">
        <f>L2110/K2110</f>
        <v/>
      </c>
    </row>
    <row r="2111">
      <c r="A2111" s="58" t="inlineStr">
        <is>
          <t>RT20250223-02110</t>
        </is>
      </c>
      <c r="B2111" s="59" t="inlineStr">
        <is>
          <t>2025-02-23</t>
        </is>
      </c>
      <c r="C2111" s="60" t="inlineStr">
        <is>
          <t>Metro Outdoor Plus-787</t>
        </is>
      </c>
      <c r="D2111" s="58" t="inlineStr">
        <is>
          <t>Sports</t>
        </is>
      </c>
      <c r="E2111" s="58" t="inlineStr">
        <is>
          <t>Central</t>
        </is>
      </c>
      <c r="F2111" s="61" t="n">
        <v>3</v>
      </c>
      <c r="G2111" s="62" t="n">
        <v>551.63</v>
      </c>
      <c r="H2111" s="63" t="n">
        <v>0.049</v>
      </c>
      <c r="I2111" s="62" t="n">
        <v>361.83</v>
      </c>
      <c r="J2111" s="58" t="inlineStr">
        <is>
          <t>Store</t>
        </is>
      </c>
      <c r="K2111" s="62">
        <f>F2111*(G2111-H2111)</f>
        <v/>
      </c>
      <c r="L2111" s="62">
        <f>K2111-(F2111*I2111)</f>
        <v/>
      </c>
      <c r="M2111" s="64">
        <f>L2111/K2111</f>
        <v/>
      </c>
    </row>
    <row r="2112">
      <c r="A2112" s="58" t="inlineStr">
        <is>
          <t>RT20250223-02111</t>
        </is>
      </c>
      <c r="B2112" s="59" t="inlineStr">
        <is>
          <t>2025-02-23</t>
        </is>
      </c>
      <c r="C2112" s="60" t="inlineStr">
        <is>
          <t>Nimbus Fitnes Lite-516</t>
        </is>
      </c>
      <c r="D2112" s="58" t="inlineStr">
        <is>
          <t>Sports</t>
        </is>
      </c>
      <c r="E2112" s="58" t="inlineStr">
        <is>
          <t>West</t>
        </is>
      </c>
      <c r="F2112" s="61" t="n">
        <v>3</v>
      </c>
      <c r="G2112" s="62" t="n">
        <v>656.21</v>
      </c>
      <c r="H2112" s="63" t="n">
        <v>0.118</v>
      </c>
      <c r="I2112" s="62" t="n">
        <v>479.81</v>
      </c>
      <c r="J2112" s="58" t="inlineStr">
        <is>
          <t>Online</t>
        </is>
      </c>
      <c r="K2112" s="62">
        <f>F2112*(G2112-H2112)</f>
        <v/>
      </c>
      <c r="L2112" s="62">
        <f>K2112-(F2112*I2112)</f>
        <v/>
      </c>
      <c r="M2112" s="64">
        <f>L2112/K2112</f>
        <v/>
      </c>
    </row>
    <row r="2113">
      <c r="A2113" s="58" t="inlineStr">
        <is>
          <t>RT20250223-02112</t>
        </is>
      </c>
      <c r="B2113" s="59" t="inlineStr">
        <is>
          <t>2025-02-23</t>
        </is>
      </c>
      <c r="C2113" s="60" t="inlineStr">
        <is>
          <t>Orion Storage Plus-961</t>
        </is>
      </c>
      <c r="D2113" s="58" t="inlineStr">
        <is>
          <t>Office</t>
        </is>
      </c>
      <c r="E2113" s="58" t="inlineStr">
        <is>
          <t>North</t>
        </is>
      </c>
      <c r="F2113" s="61" t="n">
        <v>1</v>
      </c>
      <c r="G2113" s="62" t="n">
        <v>486.28</v>
      </c>
      <c r="H2113" s="63" t="n">
        <v>0.055</v>
      </c>
      <c r="I2113" s="62" t="n">
        <v>364.45</v>
      </c>
      <c r="J2113" s="58" t="inlineStr">
        <is>
          <t>Store</t>
        </is>
      </c>
      <c r="K2113" s="62">
        <f>F2113*(G2113-H2113)</f>
        <v/>
      </c>
      <c r="L2113" s="62">
        <f>K2113-(F2113*I2113)</f>
        <v/>
      </c>
      <c r="M2113" s="64">
        <f>L2113/K2113</f>
        <v/>
      </c>
    </row>
    <row r="2114">
      <c r="A2114" s="58" t="inlineStr">
        <is>
          <t>RT20250223-02113</t>
        </is>
      </c>
      <c r="B2114" s="59" t="inlineStr">
        <is>
          <t>2025-02-23</t>
        </is>
      </c>
      <c r="C2114" s="60" t="inlineStr">
        <is>
          <t>Vertex Smartphone Pro-256</t>
        </is>
      </c>
      <c r="D2114" s="58" t="inlineStr">
        <is>
          <t>Electronics</t>
        </is>
      </c>
      <c r="E2114" s="58" t="inlineStr">
        <is>
          <t>East</t>
        </is>
      </c>
      <c r="F2114" s="61" t="n">
        <v>2</v>
      </c>
      <c r="G2114" s="62" t="n">
        <v>1200.58</v>
      </c>
      <c r="H2114" s="63" t="n">
        <v>0.089</v>
      </c>
      <c r="I2114" s="62" t="n">
        <v>941.97</v>
      </c>
      <c r="J2114" s="58" t="inlineStr">
        <is>
          <t>Online</t>
        </is>
      </c>
      <c r="K2114" s="62">
        <f>F2114*(G2114-H2114)</f>
        <v/>
      </c>
      <c r="L2114" s="62">
        <f>K2114-(F2114*I2114)</f>
        <v/>
      </c>
      <c r="M2114" s="64">
        <f>L2114/K2114</f>
        <v/>
      </c>
    </row>
    <row r="2115">
      <c r="A2115" s="58" t="inlineStr">
        <is>
          <t>RT20250223-02114</t>
        </is>
      </c>
      <c r="B2115" s="59" t="inlineStr">
        <is>
          <t>2025-02-23</t>
        </is>
      </c>
      <c r="C2115" s="60" t="inlineStr">
        <is>
          <t>Falcon Bedding S-674</t>
        </is>
      </c>
      <c r="D2115" s="58" t="inlineStr">
        <is>
          <t>Home</t>
        </is>
      </c>
      <c r="E2115" s="58" t="inlineStr">
        <is>
          <t>East</t>
        </is>
      </c>
      <c r="F2115" s="61" t="n">
        <v>2</v>
      </c>
      <c r="G2115" s="62" t="n">
        <v>674.3</v>
      </c>
      <c r="H2115" s="63" t="n">
        <v>0.053</v>
      </c>
      <c r="I2115" s="62" t="n">
        <v>442.82</v>
      </c>
      <c r="J2115" s="58" t="inlineStr">
        <is>
          <t>Online</t>
        </is>
      </c>
      <c r="K2115" s="62">
        <f>F2115*(G2115-H2115)</f>
        <v/>
      </c>
      <c r="L2115" s="62">
        <f>K2115-(F2115*I2115)</f>
        <v/>
      </c>
      <c r="M2115" s="64">
        <f>L2115/K2115</f>
        <v/>
      </c>
    </row>
    <row r="2116">
      <c r="A2116" s="58" t="inlineStr">
        <is>
          <t>RT20250223-02115</t>
        </is>
      </c>
      <c r="B2116" s="59" t="inlineStr">
        <is>
          <t>2025-02-23</t>
        </is>
      </c>
      <c r="C2116" s="60" t="inlineStr">
        <is>
          <t>Aurora Fitnes Lite-194</t>
        </is>
      </c>
      <c r="D2116" s="58" t="inlineStr">
        <is>
          <t>Sports</t>
        </is>
      </c>
      <c r="E2116" s="58" t="inlineStr">
        <is>
          <t>South</t>
        </is>
      </c>
      <c r="F2116" s="61" t="n">
        <v>1</v>
      </c>
      <c r="G2116" s="62" t="n">
        <v>707.22</v>
      </c>
      <c r="H2116" s="63" t="n">
        <v>0.096</v>
      </c>
      <c r="I2116" s="62" t="n">
        <v>473.45</v>
      </c>
      <c r="J2116" s="58" t="inlineStr">
        <is>
          <t>Phone</t>
        </is>
      </c>
      <c r="K2116" s="62">
        <f>F2116*(G2116-H2116)</f>
        <v/>
      </c>
      <c r="L2116" s="62">
        <f>K2116-(F2116*I2116)</f>
        <v/>
      </c>
      <c r="M2116" s="64">
        <f>L2116/K2116</f>
        <v/>
      </c>
    </row>
    <row r="2117">
      <c r="A2117" s="58" t="inlineStr">
        <is>
          <t>RT20250223-02116</t>
        </is>
      </c>
      <c r="B2117" s="59" t="inlineStr">
        <is>
          <t>2025-02-23</t>
        </is>
      </c>
      <c r="C2117" s="60" t="inlineStr">
        <is>
          <t>Falcon Furniture Plus-839</t>
        </is>
      </c>
      <c r="D2117" s="58" t="inlineStr">
        <is>
          <t>Office</t>
        </is>
      </c>
      <c r="E2117" s="58" t="inlineStr">
        <is>
          <t>East</t>
        </is>
      </c>
      <c r="F2117" s="61" t="n">
        <v>2</v>
      </c>
      <c r="G2117" s="62" t="n">
        <v>250.74</v>
      </c>
      <c r="H2117" s="63" t="n">
        <v>0.005</v>
      </c>
      <c r="I2117" s="62" t="n">
        <v>227.68</v>
      </c>
      <c r="J2117" s="58" t="inlineStr">
        <is>
          <t>Store</t>
        </is>
      </c>
      <c r="K2117" s="62">
        <f>F2117*(G2117-H2117)</f>
        <v/>
      </c>
      <c r="L2117" s="62">
        <f>K2117-(F2117*I2117)</f>
        <v/>
      </c>
      <c r="M2117" s="64">
        <f>L2117/K2117</f>
        <v/>
      </c>
    </row>
    <row r="2118">
      <c r="A2118" s="58" t="inlineStr">
        <is>
          <t>RT20250223-02117</t>
        </is>
      </c>
      <c r="B2118" s="59" t="inlineStr">
        <is>
          <t>2025-02-23</t>
        </is>
      </c>
      <c r="C2118" s="60" t="inlineStr">
        <is>
          <t>Polar Cycling X-649</t>
        </is>
      </c>
      <c r="D2118" s="58" t="inlineStr">
        <is>
          <t>Sports</t>
        </is>
      </c>
      <c r="E2118" s="58" t="inlineStr">
        <is>
          <t>Central</t>
        </is>
      </c>
      <c r="F2118" s="61" t="n">
        <v>2</v>
      </c>
      <c r="G2118" s="62" t="n">
        <v>549.6900000000001</v>
      </c>
      <c r="H2118" s="63" t="n">
        <v>0.054</v>
      </c>
      <c r="I2118" s="62" t="n">
        <v>354.81</v>
      </c>
      <c r="J2118" s="58" t="inlineStr">
        <is>
          <t>Online</t>
        </is>
      </c>
      <c r="K2118" s="62">
        <f>F2118*(G2118-H2118)</f>
        <v/>
      </c>
      <c r="L2118" s="62">
        <f>K2118-(F2118*I2118)</f>
        <v/>
      </c>
      <c r="M2118" s="64">
        <f>L2118/K2118</f>
        <v/>
      </c>
    </row>
    <row r="2119">
      <c r="A2119" s="58" t="inlineStr">
        <is>
          <t>RT20250223-02118</t>
        </is>
      </c>
      <c r="B2119" s="59" t="inlineStr">
        <is>
          <t>2025-02-23</t>
        </is>
      </c>
      <c r="C2119" s="60" t="inlineStr">
        <is>
          <t>Metro Fragrance Lite-261</t>
        </is>
      </c>
      <c r="D2119" s="58" t="inlineStr">
        <is>
          <t>Beauty</t>
        </is>
      </c>
      <c r="E2119" s="58" t="inlineStr">
        <is>
          <t>Central</t>
        </is>
      </c>
      <c r="F2119" s="61" t="n">
        <v>5</v>
      </c>
      <c r="G2119" s="62" t="n">
        <v>85.69</v>
      </c>
      <c r="H2119" s="63" t="n">
        <v>0.13</v>
      </c>
      <c r="I2119" s="62" t="n">
        <v>55.78</v>
      </c>
      <c r="J2119" s="58" t="inlineStr">
        <is>
          <t>Online</t>
        </is>
      </c>
      <c r="K2119" s="62">
        <f>F2119*(G2119-H2119)</f>
        <v/>
      </c>
      <c r="L2119" s="62">
        <f>K2119-(F2119*I2119)</f>
        <v/>
      </c>
      <c r="M2119" s="64">
        <f>L2119/K2119</f>
        <v/>
      </c>
    </row>
    <row r="2120">
      <c r="A2120" s="58" t="inlineStr">
        <is>
          <t>RT20250223-02119</t>
        </is>
      </c>
      <c r="B2120" s="59" t="inlineStr">
        <is>
          <t>2025-02-23</t>
        </is>
      </c>
      <c r="C2120" s="60" t="inlineStr">
        <is>
          <t>Vertex Decor Pro-618</t>
        </is>
      </c>
      <c r="D2120" s="58" t="inlineStr">
        <is>
          <t>Home</t>
        </is>
      </c>
      <c r="E2120" s="58" t="inlineStr">
        <is>
          <t>Central</t>
        </is>
      </c>
      <c r="F2120" s="61" t="n">
        <v>3</v>
      </c>
      <c r="G2120" s="62" t="n">
        <v>508.59</v>
      </c>
      <c r="H2120" s="63" t="n">
        <v>0.111</v>
      </c>
      <c r="I2120" s="62" t="n">
        <v>378.98</v>
      </c>
      <c r="J2120" s="58" t="inlineStr">
        <is>
          <t>Online</t>
        </is>
      </c>
      <c r="K2120" s="62">
        <f>F2120*(G2120-H2120)</f>
        <v/>
      </c>
      <c r="L2120" s="62">
        <f>K2120-(F2120*I2120)</f>
        <v/>
      </c>
      <c r="M2120" s="64">
        <f>L2120/K2120</f>
        <v/>
      </c>
    </row>
    <row r="2121">
      <c r="A2121" s="58" t="inlineStr">
        <is>
          <t>RT20250223-02120</t>
        </is>
      </c>
      <c r="B2121" s="59" t="inlineStr">
        <is>
          <t>2025-02-23</t>
        </is>
      </c>
      <c r="C2121" s="60" t="inlineStr">
        <is>
          <t>Metro Decor Lite-325</t>
        </is>
      </c>
      <c r="D2121" s="58" t="inlineStr">
        <is>
          <t>Home</t>
        </is>
      </c>
      <c r="E2121" s="58" t="inlineStr">
        <is>
          <t>North</t>
        </is>
      </c>
      <c r="F2121" s="61" t="n">
        <v>2</v>
      </c>
      <c r="G2121" s="62" t="n">
        <v>530.87</v>
      </c>
      <c r="H2121" s="63" t="n">
        <v>0.059</v>
      </c>
      <c r="I2121" s="62" t="n">
        <v>385.25</v>
      </c>
      <c r="J2121" s="58" t="inlineStr">
        <is>
          <t>Online</t>
        </is>
      </c>
      <c r="K2121" s="62">
        <f>F2121*(G2121-H2121)</f>
        <v/>
      </c>
      <c r="L2121" s="62">
        <f>K2121-(F2121*I2121)</f>
        <v/>
      </c>
      <c r="M2121" s="64">
        <f>L2121/K2121</f>
        <v/>
      </c>
    </row>
    <row r="2122">
      <c r="A2122" s="58" t="inlineStr">
        <is>
          <t>RT20250223-02121</t>
        </is>
      </c>
      <c r="B2122" s="59" t="inlineStr">
        <is>
          <t>2025-02-23</t>
        </is>
      </c>
      <c r="C2122" s="60" t="inlineStr">
        <is>
          <t>Falcon Skincare X-334</t>
        </is>
      </c>
      <c r="D2122" s="58" t="inlineStr">
        <is>
          <t>Beauty</t>
        </is>
      </c>
      <c r="E2122" s="58" t="inlineStr">
        <is>
          <t>East</t>
        </is>
      </c>
      <c r="F2122" s="61" t="n">
        <v>3</v>
      </c>
      <c r="G2122" s="62" t="n">
        <v>120.71</v>
      </c>
      <c r="H2122" s="63" t="n">
        <v>0.027</v>
      </c>
      <c r="I2122" s="62" t="n">
        <v>62.81</v>
      </c>
      <c r="J2122" s="58" t="inlineStr">
        <is>
          <t>Store</t>
        </is>
      </c>
      <c r="K2122" s="62">
        <f>F2122*(G2122-H2122)</f>
        <v/>
      </c>
      <c r="L2122" s="62">
        <f>K2122-(F2122*I2122)</f>
        <v/>
      </c>
      <c r="M2122" s="64">
        <f>L2122/K2122</f>
        <v/>
      </c>
    </row>
    <row r="2123">
      <c r="A2123" s="58" t="inlineStr">
        <is>
          <t>RT20250223-02122</t>
        </is>
      </c>
      <c r="B2123" s="59" t="inlineStr">
        <is>
          <t>2025-02-23</t>
        </is>
      </c>
      <c r="C2123" s="60" t="inlineStr">
        <is>
          <t>Solace Headphone Pro-344</t>
        </is>
      </c>
      <c r="D2123" s="58" t="inlineStr">
        <is>
          <t>Electronics</t>
        </is>
      </c>
      <c r="E2123" s="58" t="inlineStr">
        <is>
          <t>West</t>
        </is>
      </c>
      <c r="F2123" s="61" t="n">
        <v>2</v>
      </c>
      <c r="G2123" s="62" t="n">
        <v>1116.39</v>
      </c>
      <c r="H2123" s="63" t="n">
        <v>0.042</v>
      </c>
      <c r="I2123" s="62" t="n">
        <v>1038.35</v>
      </c>
      <c r="J2123" s="58" t="inlineStr">
        <is>
          <t>Online</t>
        </is>
      </c>
      <c r="K2123" s="62">
        <f>F2123*(G2123-H2123)</f>
        <v/>
      </c>
      <c r="L2123" s="62">
        <f>K2123-(F2123*I2123)</f>
        <v/>
      </c>
      <c r="M2123" s="64">
        <f>L2123/K2123</f>
        <v/>
      </c>
    </row>
    <row r="2124">
      <c r="A2124" s="58" t="inlineStr">
        <is>
          <t>RT20250223-02123</t>
        </is>
      </c>
      <c r="B2124" s="59" t="inlineStr">
        <is>
          <t>2025-02-23</t>
        </is>
      </c>
      <c r="C2124" s="60" t="inlineStr">
        <is>
          <t>Falcon Household Pro-865</t>
        </is>
      </c>
      <c r="D2124" s="58" t="inlineStr">
        <is>
          <t>Grocery</t>
        </is>
      </c>
      <c r="E2124" s="58" t="inlineStr">
        <is>
          <t>Central</t>
        </is>
      </c>
      <c r="F2124" s="61" t="n">
        <v>7</v>
      </c>
      <c r="G2124" s="62" t="n">
        <v>11.52</v>
      </c>
      <c r="H2124" s="63" t="n">
        <v>0.059</v>
      </c>
      <c r="I2124" s="62" t="n">
        <v>7.57</v>
      </c>
      <c r="J2124" s="58" t="inlineStr">
        <is>
          <t>Store</t>
        </is>
      </c>
      <c r="K2124" s="62">
        <f>F2124*(G2124-H2124)</f>
        <v/>
      </c>
      <c r="L2124" s="62">
        <f>K2124-(F2124*I2124)</f>
        <v/>
      </c>
      <c r="M2124" s="64">
        <f>L2124/K2124</f>
        <v/>
      </c>
    </row>
    <row r="2125">
      <c r="A2125" s="58" t="inlineStr">
        <is>
          <t>RT20250223-02124</t>
        </is>
      </c>
      <c r="B2125" s="59" t="inlineStr">
        <is>
          <t>2025-02-23</t>
        </is>
      </c>
      <c r="C2125" s="60" t="inlineStr">
        <is>
          <t>Aurora Kid Plus-151</t>
        </is>
      </c>
      <c r="D2125" s="58" t="inlineStr">
        <is>
          <t>Apparel</t>
        </is>
      </c>
      <c r="E2125" s="58" t="inlineStr">
        <is>
          <t>East</t>
        </is>
      </c>
      <c r="F2125" s="61" t="n">
        <v>1</v>
      </c>
      <c r="G2125" s="62" t="n">
        <v>115.34</v>
      </c>
      <c r="H2125" s="63" t="n">
        <v>0.031</v>
      </c>
      <c r="I2125" s="62" t="n">
        <v>65.25</v>
      </c>
      <c r="J2125" s="58" t="inlineStr">
        <is>
          <t>Online</t>
        </is>
      </c>
      <c r="K2125" s="62">
        <f>F2125*(G2125-H2125)</f>
        <v/>
      </c>
      <c r="L2125" s="62">
        <f>K2125-(F2125*I2125)</f>
        <v/>
      </c>
      <c r="M2125" s="64">
        <f>L2125/K2125</f>
        <v/>
      </c>
    </row>
    <row r="2126">
      <c r="A2126" s="58" t="inlineStr">
        <is>
          <t>RT20250223-02125</t>
        </is>
      </c>
      <c r="B2126" s="59" t="inlineStr">
        <is>
          <t>2025-02-23</t>
        </is>
      </c>
      <c r="C2126" s="60" t="inlineStr">
        <is>
          <t>Falcon Cycling Pro-499</t>
        </is>
      </c>
      <c r="D2126" s="58" t="inlineStr">
        <is>
          <t>Sports</t>
        </is>
      </c>
      <c r="E2126" s="58" t="inlineStr">
        <is>
          <t>West</t>
        </is>
      </c>
      <c r="F2126" s="61" t="n">
        <v>2</v>
      </c>
      <c r="G2126" s="62" t="n">
        <v>588.4299999999999</v>
      </c>
      <c r="H2126" s="63" t="n">
        <v>0.07099999999999999</v>
      </c>
      <c r="I2126" s="62" t="n">
        <v>393.3</v>
      </c>
      <c r="J2126" s="58" t="inlineStr">
        <is>
          <t>Online</t>
        </is>
      </c>
      <c r="K2126" s="62">
        <f>F2126*(G2126-H2126)</f>
        <v/>
      </c>
      <c r="L2126" s="62">
        <f>K2126-(F2126*I2126)</f>
        <v/>
      </c>
      <c r="M2126" s="64">
        <f>L2126/K2126</f>
        <v/>
      </c>
    </row>
    <row r="2127">
      <c r="A2127" s="58" t="inlineStr">
        <is>
          <t>RT20250223-02126</t>
        </is>
      </c>
      <c r="B2127" s="59" t="inlineStr">
        <is>
          <t>2025-02-23</t>
        </is>
      </c>
      <c r="C2127" s="60" t="inlineStr">
        <is>
          <t>Falcon Furniture Plus-839</t>
        </is>
      </c>
      <c r="D2127" s="58" t="inlineStr">
        <is>
          <t>Office</t>
        </is>
      </c>
      <c r="E2127" s="58" t="inlineStr">
        <is>
          <t>East</t>
        </is>
      </c>
      <c r="F2127" s="61" t="n">
        <v>1</v>
      </c>
      <c r="G2127" s="62" t="n">
        <v>308.43</v>
      </c>
      <c r="H2127" s="63" t="n">
        <v>0.079</v>
      </c>
      <c r="I2127" s="62" t="n">
        <v>231.6</v>
      </c>
      <c r="J2127" s="58" t="inlineStr">
        <is>
          <t>Phone</t>
        </is>
      </c>
      <c r="K2127" s="62">
        <f>F2127*(G2127-H2127)</f>
        <v/>
      </c>
      <c r="L2127" s="62">
        <f>K2127-(F2127*I2127)</f>
        <v/>
      </c>
      <c r="M2127" s="64">
        <f>L2127/K2127</f>
        <v/>
      </c>
    </row>
    <row r="2128">
      <c r="A2128" s="58" t="inlineStr">
        <is>
          <t>RT20250223-02127</t>
        </is>
      </c>
      <c r="B2128" s="59" t="inlineStr">
        <is>
          <t>2025-02-23</t>
        </is>
      </c>
      <c r="C2128" s="60" t="inlineStr">
        <is>
          <t>Solace Makeup Pro-214</t>
        </is>
      </c>
      <c r="D2128" s="58" t="inlineStr">
        <is>
          <t>Beauty</t>
        </is>
      </c>
      <c r="E2128" s="58" t="inlineStr">
        <is>
          <t>West</t>
        </is>
      </c>
      <c r="F2128" s="61" t="n">
        <v>3</v>
      </c>
      <c r="G2128" s="62" t="n">
        <v>105.06</v>
      </c>
      <c r="H2128" s="63" t="n">
        <v>0.033</v>
      </c>
      <c r="I2128" s="62" t="n">
        <v>68.77</v>
      </c>
      <c r="J2128" s="58" t="inlineStr">
        <is>
          <t>Online</t>
        </is>
      </c>
      <c r="K2128" s="62">
        <f>F2128*(G2128-H2128)</f>
        <v/>
      </c>
      <c r="L2128" s="62">
        <f>K2128-(F2128*I2128)</f>
        <v/>
      </c>
      <c r="M2128" s="64">
        <f>L2128/K2128</f>
        <v/>
      </c>
    </row>
    <row r="2129">
      <c r="A2129" s="58" t="inlineStr">
        <is>
          <t>RT20250224-02128</t>
        </is>
      </c>
      <c r="B2129" s="59" t="inlineStr">
        <is>
          <t>2025-02-24</t>
        </is>
      </c>
      <c r="C2129" s="60" t="inlineStr">
        <is>
          <t>Solace Kid S-384</t>
        </is>
      </c>
      <c r="D2129" s="58" t="inlineStr">
        <is>
          <t>Apparel</t>
        </is>
      </c>
      <c r="E2129" s="58" t="inlineStr">
        <is>
          <t>South</t>
        </is>
      </c>
      <c r="F2129" s="61" t="n">
        <v>4</v>
      </c>
      <c r="G2129" s="62" t="n">
        <v>106.23</v>
      </c>
      <c r="H2129" s="63" t="n">
        <v>0.067</v>
      </c>
      <c r="I2129" s="62" t="n">
        <v>63.66</v>
      </c>
      <c r="J2129" s="58" t="inlineStr">
        <is>
          <t>Online</t>
        </is>
      </c>
      <c r="K2129" s="62">
        <f>F2129*(G2129-H2129)</f>
        <v/>
      </c>
      <c r="L2129" s="62">
        <f>K2129-(F2129*I2129)</f>
        <v/>
      </c>
      <c r="M2129" s="64">
        <f>L2129/K2129</f>
        <v/>
      </c>
    </row>
    <row r="2130">
      <c r="A2130" s="58" t="inlineStr">
        <is>
          <t>RT20250224-02129</t>
        </is>
      </c>
      <c r="B2130" s="59" t="inlineStr">
        <is>
          <t>2025-02-24</t>
        </is>
      </c>
      <c r="C2130" s="60" t="inlineStr">
        <is>
          <t>Polar Cycling S-223</t>
        </is>
      </c>
      <c r="D2130" s="58" t="inlineStr">
        <is>
          <t>Sports</t>
        </is>
      </c>
      <c r="E2130" s="58" t="inlineStr">
        <is>
          <t>West</t>
        </is>
      </c>
      <c r="F2130" s="61" t="n">
        <v>3</v>
      </c>
      <c r="G2130" s="62" t="n">
        <v>976.38</v>
      </c>
      <c r="H2130" s="63" t="n">
        <v>0.08599999999999999</v>
      </c>
      <c r="I2130" s="62" t="n">
        <v>618.3</v>
      </c>
      <c r="J2130" s="58" t="inlineStr">
        <is>
          <t>Store</t>
        </is>
      </c>
      <c r="K2130" s="62">
        <f>F2130*(G2130-H2130)</f>
        <v/>
      </c>
      <c r="L2130" s="62">
        <f>K2130-(F2130*I2130)</f>
        <v/>
      </c>
      <c r="M2130" s="64">
        <f>L2130/K2130</f>
        <v/>
      </c>
    </row>
    <row r="2131">
      <c r="A2131" s="58" t="inlineStr">
        <is>
          <t>RT20250224-02130</t>
        </is>
      </c>
      <c r="B2131" s="59" t="inlineStr">
        <is>
          <t>2025-02-24</t>
        </is>
      </c>
      <c r="C2131" s="60" t="inlineStr">
        <is>
          <t>Nimbus Women Plus-352</t>
        </is>
      </c>
      <c r="D2131" s="58" t="inlineStr">
        <is>
          <t>Apparel</t>
        </is>
      </c>
      <c r="E2131" s="58" t="inlineStr">
        <is>
          <t>West</t>
        </is>
      </c>
      <c r="F2131" s="61" t="n">
        <v>1</v>
      </c>
      <c r="G2131" s="62" t="n">
        <v>60.23</v>
      </c>
      <c r="H2131" s="63" t="n">
        <v>0.073</v>
      </c>
      <c r="I2131" s="62" t="n">
        <v>33.69</v>
      </c>
      <c r="J2131" s="58" t="inlineStr">
        <is>
          <t>Store</t>
        </is>
      </c>
      <c r="K2131" s="62">
        <f>F2131*(G2131-H2131)</f>
        <v/>
      </c>
      <c r="L2131" s="62">
        <f>K2131-(F2131*I2131)</f>
        <v/>
      </c>
      <c r="M2131" s="64">
        <f>L2131/K2131</f>
        <v/>
      </c>
    </row>
    <row r="2132">
      <c r="A2132" s="58" t="inlineStr">
        <is>
          <t>RT20250224-02131</t>
        </is>
      </c>
      <c r="B2132" s="59" t="inlineStr">
        <is>
          <t>2025-02-24</t>
        </is>
      </c>
      <c r="C2132" s="60" t="inlineStr">
        <is>
          <t>Aurora Makeup Pro-489</t>
        </is>
      </c>
      <c r="D2132" s="58" t="inlineStr">
        <is>
          <t>Beauty</t>
        </is>
      </c>
      <c r="E2132" s="58" t="inlineStr">
        <is>
          <t>Central</t>
        </is>
      </c>
      <c r="F2132" s="61" t="n">
        <v>2</v>
      </c>
      <c r="G2132" s="62" t="n">
        <v>92.06999999999999</v>
      </c>
      <c r="H2132" s="63" t="n">
        <v>0.114</v>
      </c>
      <c r="I2132" s="62" t="n">
        <v>62.21</v>
      </c>
      <c r="J2132" s="58" t="inlineStr">
        <is>
          <t>Store</t>
        </is>
      </c>
      <c r="K2132" s="62">
        <f>F2132*(G2132-H2132)</f>
        <v/>
      </c>
      <c r="L2132" s="62">
        <f>K2132-(F2132*I2132)</f>
        <v/>
      </c>
      <c r="M2132" s="64">
        <f>L2132/K2132</f>
        <v/>
      </c>
    </row>
    <row r="2133">
      <c r="A2133" s="58" t="inlineStr">
        <is>
          <t>RT20250224-02132</t>
        </is>
      </c>
      <c r="B2133" s="59" t="inlineStr">
        <is>
          <t>2025-02-24</t>
        </is>
      </c>
      <c r="C2133" s="60" t="inlineStr">
        <is>
          <t>Aurora Furniture X-709</t>
        </is>
      </c>
      <c r="D2133" s="58" t="inlineStr">
        <is>
          <t>Office</t>
        </is>
      </c>
      <c r="E2133" s="58" t="inlineStr">
        <is>
          <t>East</t>
        </is>
      </c>
      <c r="F2133" s="61" t="n">
        <v>1</v>
      </c>
      <c r="G2133" s="62" t="n">
        <v>453.42</v>
      </c>
      <c r="H2133" s="63" t="n">
        <v>0.063</v>
      </c>
      <c r="I2133" s="62" t="n">
        <v>310.13</v>
      </c>
      <c r="J2133" s="58" t="inlineStr">
        <is>
          <t>Store</t>
        </is>
      </c>
      <c r="K2133" s="62">
        <f>F2133*(G2133-H2133)</f>
        <v/>
      </c>
      <c r="L2133" s="62">
        <f>K2133-(F2133*I2133)</f>
        <v/>
      </c>
      <c r="M2133" s="64">
        <f>L2133/K2133</f>
        <v/>
      </c>
    </row>
    <row r="2134">
      <c r="A2134" s="58" t="inlineStr">
        <is>
          <t>RT20250224-02133</t>
        </is>
      </c>
      <c r="B2134" s="59" t="inlineStr">
        <is>
          <t>2025-02-24</t>
        </is>
      </c>
      <c r="C2134" s="60" t="inlineStr">
        <is>
          <t>Aurora Printer Plus-723</t>
        </is>
      </c>
      <c r="D2134" s="58" t="inlineStr">
        <is>
          <t>Office</t>
        </is>
      </c>
      <c r="E2134" s="58" t="inlineStr">
        <is>
          <t>South</t>
        </is>
      </c>
      <c r="F2134" s="61" t="n">
        <v>3</v>
      </c>
      <c r="G2134" s="62" t="n">
        <v>227.76</v>
      </c>
      <c r="H2134" s="63" t="n">
        <v>0.103</v>
      </c>
      <c r="I2134" s="62" t="n">
        <v>187.24</v>
      </c>
      <c r="J2134" s="58" t="inlineStr">
        <is>
          <t>Online</t>
        </is>
      </c>
      <c r="K2134" s="62">
        <f>F2134*(G2134-H2134)</f>
        <v/>
      </c>
      <c r="L2134" s="62">
        <f>K2134-(F2134*I2134)</f>
        <v/>
      </c>
      <c r="M2134" s="64">
        <f>L2134/K2134</f>
        <v/>
      </c>
    </row>
    <row r="2135">
      <c r="A2135" s="58" t="inlineStr">
        <is>
          <t>RT20250224-02134</t>
        </is>
      </c>
      <c r="B2135" s="59" t="inlineStr">
        <is>
          <t>2025-02-24</t>
        </is>
      </c>
      <c r="C2135" s="60" t="inlineStr">
        <is>
          <t>Metro Printer X-294</t>
        </is>
      </c>
      <c r="D2135" s="58" t="inlineStr">
        <is>
          <t>Office</t>
        </is>
      </c>
      <c r="E2135" s="58" t="inlineStr">
        <is>
          <t>South</t>
        </is>
      </c>
      <c r="F2135" s="61" t="n">
        <v>1</v>
      </c>
      <c r="G2135" s="62" t="n">
        <v>561.42</v>
      </c>
      <c r="H2135" s="63" t="n">
        <v>0.089</v>
      </c>
      <c r="I2135" s="62" t="n">
        <v>415.61</v>
      </c>
      <c r="J2135" s="58" t="inlineStr">
        <is>
          <t>Online</t>
        </is>
      </c>
      <c r="K2135" s="62">
        <f>F2135*(G2135-H2135)</f>
        <v/>
      </c>
      <c r="L2135" s="62">
        <f>K2135-(F2135*I2135)</f>
        <v/>
      </c>
      <c r="M2135" s="64">
        <f>L2135/K2135</f>
        <v/>
      </c>
    </row>
    <row r="2136">
      <c r="A2136" s="58" t="inlineStr">
        <is>
          <t>RT20250224-02135</t>
        </is>
      </c>
      <c r="B2136" s="59" t="inlineStr">
        <is>
          <t>2025-02-24</t>
        </is>
      </c>
      <c r="C2136" s="60" t="inlineStr">
        <is>
          <t>Nimbus Cycling Plus-911</t>
        </is>
      </c>
      <c r="D2136" s="58" t="inlineStr">
        <is>
          <t>Sports</t>
        </is>
      </c>
      <c r="E2136" s="58" t="inlineStr">
        <is>
          <t>West</t>
        </is>
      </c>
      <c r="F2136" s="61" t="n">
        <v>2</v>
      </c>
      <c r="G2136" s="62" t="n">
        <v>590.37</v>
      </c>
      <c r="H2136" s="63" t="n">
        <v>0.056</v>
      </c>
      <c r="I2136" s="62" t="n">
        <v>399.7</v>
      </c>
      <c r="J2136" s="58" t="inlineStr">
        <is>
          <t>Store</t>
        </is>
      </c>
      <c r="K2136" s="62">
        <f>F2136*(G2136-H2136)</f>
        <v/>
      </c>
      <c r="L2136" s="62">
        <f>K2136-(F2136*I2136)</f>
        <v/>
      </c>
      <c r="M2136" s="64">
        <f>L2136/K2136</f>
        <v/>
      </c>
    </row>
    <row r="2137">
      <c r="A2137" s="58" t="inlineStr">
        <is>
          <t>RT20250224-02136</t>
        </is>
      </c>
      <c r="B2137" s="59" t="inlineStr">
        <is>
          <t>2025-02-24</t>
        </is>
      </c>
      <c r="C2137" s="60" t="inlineStr">
        <is>
          <t>Vertex Appliance Max-338</t>
        </is>
      </c>
      <c r="D2137" s="58" t="inlineStr">
        <is>
          <t>Home</t>
        </is>
      </c>
      <c r="E2137" s="58" t="inlineStr">
        <is>
          <t>South</t>
        </is>
      </c>
      <c r="F2137" s="61" t="n">
        <v>1</v>
      </c>
      <c r="G2137" s="62" t="n">
        <v>388.74</v>
      </c>
      <c r="H2137" s="63" t="n">
        <v>0.08</v>
      </c>
      <c r="I2137" s="62" t="n">
        <v>296.85</v>
      </c>
      <c r="J2137" s="58" t="inlineStr">
        <is>
          <t>Store</t>
        </is>
      </c>
      <c r="K2137" s="62">
        <f>F2137*(G2137-H2137)</f>
        <v/>
      </c>
      <c r="L2137" s="62">
        <f>K2137-(F2137*I2137)</f>
        <v/>
      </c>
      <c r="M2137" s="64">
        <f>L2137/K2137</f>
        <v/>
      </c>
    </row>
    <row r="2138">
      <c r="A2138" s="58" t="inlineStr">
        <is>
          <t>RT20250224-02137</t>
        </is>
      </c>
      <c r="B2138" s="59" t="inlineStr">
        <is>
          <t>2025-02-24</t>
        </is>
      </c>
      <c r="C2138" s="60" t="inlineStr">
        <is>
          <t>Orion Storage Plus-961</t>
        </is>
      </c>
      <c r="D2138" s="58" t="inlineStr">
        <is>
          <t>Office</t>
        </is>
      </c>
      <c r="E2138" s="58" t="inlineStr">
        <is>
          <t>Central</t>
        </is>
      </c>
      <c r="F2138" s="61" t="n">
        <v>2</v>
      </c>
      <c r="G2138" s="62" t="n">
        <v>512.76</v>
      </c>
      <c r="H2138" s="63" t="n">
        <v>0.092</v>
      </c>
      <c r="I2138" s="62" t="n">
        <v>372.71</v>
      </c>
      <c r="J2138" s="58" t="inlineStr">
        <is>
          <t>Phone</t>
        </is>
      </c>
      <c r="K2138" s="62">
        <f>F2138*(G2138-H2138)</f>
        <v/>
      </c>
      <c r="L2138" s="62">
        <f>K2138-(F2138*I2138)</f>
        <v/>
      </c>
      <c r="M2138" s="64">
        <f>L2138/K2138</f>
        <v/>
      </c>
    </row>
    <row r="2139">
      <c r="A2139" s="58" t="inlineStr">
        <is>
          <t>RT20250224-02138</t>
        </is>
      </c>
      <c r="B2139" s="59" t="inlineStr">
        <is>
          <t>2025-02-24</t>
        </is>
      </c>
      <c r="C2139" s="60" t="inlineStr">
        <is>
          <t>Falcon Cycling Pro-499</t>
        </is>
      </c>
      <c r="D2139" s="58" t="inlineStr">
        <is>
          <t>Sports</t>
        </is>
      </c>
      <c r="E2139" s="58" t="inlineStr">
        <is>
          <t>West</t>
        </is>
      </c>
      <c r="F2139" s="61" t="n">
        <v>1</v>
      </c>
      <c r="G2139" s="62" t="n">
        <v>599.76</v>
      </c>
      <c r="H2139" s="63" t="n">
        <v>0.094</v>
      </c>
      <c r="I2139" s="62" t="n">
        <v>392.98</v>
      </c>
      <c r="J2139" s="58" t="inlineStr">
        <is>
          <t>Online</t>
        </is>
      </c>
      <c r="K2139" s="62">
        <f>F2139*(G2139-H2139)</f>
        <v/>
      </c>
      <c r="L2139" s="62">
        <f>K2139-(F2139*I2139)</f>
        <v/>
      </c>
      <c r="M2139" s="64">
        <f>L2139/K2139</f>
        <v/>
      </c>
    </row>
    <row r="2140">
      <c r="A2140" s="58" t="inlineStr">
        <is>
          <t>RT20250224-02139</t>
        </is>
      </c>
      <c r="B2140" s="59" t="inlineStr">
        <is>
          <t>2025-02-24</t>
        </is>
      </c>
      <c r="C2140" s="60" t="inlineStr">
        <is>
          <t>Metro Outdoor Plus-787</t>
        </is>
      </c>
      <c r="D2140" s="58" t="inlineStr">
        <is>
          <t>Sports</t>
        </is>
      </c>
      <c r="E2140" s="58" t="inlineStr">
        <is>
          <t>East</t>
        </is>
      </c>
      <c r="F2140" s="61" t="n">
        <v>3</v>
      </c>
      <c r="G2140" s="62" t="n">
        <v>589.0700000000001</v>
      </c>
      <c r="H2140" s="63" t="n">
        <v>0.055</v>
      </c>
      <c r="I2140" s="62" t="n">
        <v>344.94</v>
      </c>
      <c r="J2140" s="58" t="inlineStr">
        <is>
          <t>Store</t>
        </is>
      </c>
      <c r="K2140" s="62">
        <f>F2140*(G2140-H2140)</f>
        <v/>
      </c>
      <c r="L2140" s="62">
        <f>K2140-(F2140*I2140)</f>
        <v/>
      </c>
      <c r="M2140" s="64">
        <f>L2140/K2140</f>
        <v/>
      </c>
    </row>
    <row r="2141">
      <c r="A2141" s="58" t="inlineStr">
        <is>
          <t>RT20250224-02140</t>
        </is>
      </c>
      <c r="B2141" s="59" t="inlineStr">
        <is>
          <t>2025-02-24</t>
        </is>
      </c>
      <c r="C2141" s="60" t="inlineStr">
        <is>
          <t>Polar Bedding Lite-243</t>
        </is>
      </c>
      <c r="D2141" s="58" t="inlineStr">
        <is>
          <t>Home</t>
        </is>
      </c>
      <c r="E2141" s="58" t="inlineStr">
        <is>
          <t>East</t>
        </is>
      </c>
      <c r="F2141" s="61" t="n">
        <v>2</v>
      </c>
      <c r="G2141" s="62" t="n">
        <v>461.53</v>
      </c>
      <c r="H2141" s="63" t="n">
        <v>0.082</v>
      </c>
      <c r="I2141" s="62" t="n">
        <v>318.59</v>
      </c>
      <c r="J2141" s="58" t="inlineStr">
        <is>
          <t>Store</t>
        </is>
      </c>
      <c r="K2141" s="62">
        <f>F2141*(G2141-H2141)</f>
        <v/>
      </c>
      <c r="L2141" s="62">
        <f>K2141-(F2141*I2141)</f>
        <v/>
      </c>
      <c r="M2141" s="64">
        <f>L2141/K2141</f>
        <v/>
      </c>
    </row>
    <row r="2142">
      <c r="A2142" s="58" t="inlineStr">
        <is>
          <t>RT20250224-02141</t>
        </is>
      </c>
      <c r="B2142" s="59" t="inlineStr">
        <is>
          <t>2025-02-24</t>
        </is>
      </c>
      <c r="C2142" s="60" t="inlineStr">
        <is>
          <t>Nimbus Storage Plus-646</t>
        </is>
      </c>
      <c r="D2142" s="58" t="inlineStr">
        <is>
          <t>Office</t>
        </is>
      </c>
      <c r="E2142" s="58" t="inlineStr">
        <is>
          <t>Central</t>
        </is>
      </c>
      <c r="F2142" s="61" t="n">
        <v>2</v>
      </c>
      <c r="G2142" s="62" t="n">
        <v>466.64</v>
      </c>
      <c r="H2142" s="63" t="n">
        <v>0.043</v>
      </c>
      <c r="I2142" s="62" t="n">
        <v>315.34</v>
      </c>
      <c r="J2142" s="58" t="inlineStr">
        <is>
          <t>Online</t>
        </is>
      </c>
      <c r="K2142" s="62">
        <f>F2142*(G2142-H2142)</f>
        <v/>
      </c>
      <c r="L2142" s="62">
        <f>K2142-(F2142*I2142)</f>
        <v/>
      </c>
      <c r="M2142" s="64">
        <f>L2142/K2142</f>
        <v/>
      </c>
    </row>
    <row r="2143">
      <c r="A2143" s="58" t="inlineStr">
        <is>
          <t>RT20250224-02142</t>
        </is>
      </c>
      <c r="B2143" s="59" t="inlineStr">
        <is>
          <t>2025-02-24</t>
        </is>
      </c>
      <c r="C2143" s="60" t="inlineStr">
        <is>
          <t>Aurora Appliance Lite-109</t>
        </is>
      </c>
      <c r="D2143" s="58" t="inlineStr">
        <is>
          <t>Home</t>
        </is>
      </c>
      <c r="E2143" s="58" t="inlineStr">
        <is>
          <t>Central</t>
        </is>
      </c>
      <c r="F2143" s="61" t="n">
        <v>2</v>
      </c>
      <c r="G2143" s="62" t="n">
        <v>296.26</v>
      </c>
      <c r="H2143" s="63" t="n">
        <v>0.06</v>
      </c>
      <c r="I2143" s="62" t="n">
        <v>201.02</v>
      </c>
      <c r="J2143" s="58" t="inlineStr">
        <is>
          <t>Online</t>
        </is>
      </c>
      <c r="K2143" s="62">
        <f>F2143*(G2143-H2143)</f>
        <v/>
      </c>
      <c r="L2143" s="62">
        <f>K2143-(F2143*I2143)</f>
        <v/>
      </c>
      <c r="M2143" s="64">
        <f>L2143/K2143</f>
        <v/>
      </c>
    </row>
    <row r="2144">
      <c r="A2144" s="58" t="inlineStr">
        <is>
          <t>RT20250224-02143</t>
        </is>
      </c>
      <c r="B2144" s="59" t="inlineStr">
        <is>
          <t>2025-02-24</t>
        </is>
      </c>
      <c r="C2144" s="60" t="inlineStr">
        <is>
          <t>Nimbus Furniture Pro-479</t>
        </is>
      </c>
      <c r="D2144" s="58" t="inlineStr">
        <is>
          <t>Office</t>
        </is>
      </c>
      <c r="E2144" s="58" t="inlineStr">
        <is>
          <t>South</t>
        </is>
      </c>
      <c r="F2144" s="61" t="n">
        <v>1</v>
      </c>
      <c r="G2144" s="62" t="n">
        <v>332.54</v>
      </c>
      <c r="H2144" s="63" t="n">
        <v>0.046</v>
      </c>
      <c r="I2144" s="62" t="n">
        <v>237.26</v>
      </c>
      <c r="J2144" s="58" t="inlineStr">
        <is>
          <t>Online</t>
        </is>
      </c>
      <c r="K2144" s="62">
        <f>F2144*(G2144-H2144)</f>
        <v/>
      </c>
      <c r="L2144" s="62">
        <f>K2144-(F2144*I2144)</f>
        <v/>
      </c>
      <c r="M2144" s="64">
        <f>L2144/K2144</f>
        <v/>
      </c>
    </row>
    <row r="2145">
      <c r="A2145" s="58" t="inlineStr">
        <is>
          <t>RT20250224-02144</t>
        </is>
      </c>
      <c r="B2145" s="59" t="inlineStr">
        <is>
          <t>2025-02-24</t>
        </is>
      </c>
      <c r="C2145" s="60" t="inlineStr">
        <is>
          <t>Solace Kid S-384</t>
        </is>
      </c>
      <c r="D2145" s="58" t="inlineStr">
        <is>
          <t>Apparel</t>
        </is>
      </c>
      <c r="E2145" s="58" t="inlineStr">
        <is>
          <t>East</t>
        </is>
      </c>
      <c r="F2145" s="61" t="n">
        <v>1</v>
      </c>
      <c r="G2145" s="62" t="n">
        <v>111.43</v>
      </c>
      <c r="H2145" s="63" t="n">
        <v>0.004</v>
      </c>
      <c r="I2145" s="62" t="n">
        <v>61.46</v>
      </c>
      <c r="J2145" s="58" t="inlineStr">
        <is>
          <t>Online</t>
        </is>
      </c>
      <c r="K2145" s="62">
        <f>F2145*(G2145-H2145)</f>
        <v/>
      </c>
      <c r="L2145" s="62">
        <f>K2145-(F2145*I2145)</f>
        <v/>
      </c>
      <c r="M2145" s="64">
        <f>L2145/K2145</f>
        <v/>
      </c>
    </row>
    <row r="2146">
      <c r="A2146" s="58" t="inlineStr">
        <is>
          <t>RT20250224-02145</t>
        </is>
      </c>
      <c r="B2146" s="59" t="inlineStr">
        <is>
          <t>2025-02-24</t>
        </is>
      </c>
      <c r="C2146" s="60" t="inlineStr">
        <is>
          <t>Aurora Bedding Max-175</t>
        </is>
      </c>
      <c r="D2146" s="58" t="inlineStr">
        <is>
          <t>Home</t>
        </is>
      </c>
      <c r="E2146" s="58" t="inlineStr">
        <is>
          <t>East</t>
        </is>
      </c>
      <c r="F2146" s="61" t="n">
        <v>1</v>
      </c>
      <c r="G2146" s="62" t="n">
        <v>637.1900000000001</v>
      </c>
      <c r="H2146" s="63" t="n">
        <v>0.047</v>
      </c>
      <c r="I2146" s="62" t="n">
        <v>404.73</v>
      </c>
      <c r="J2146" s="58" t="inlineStr">
        <is>
          <t>Online</t>
        </is>
      </c>
      <c r="K2146" s="62">
        <f>F2146*(G2146-H2146)</f>
        <v/>
      </c>
      <c r="L2146" s="62">
        <f>K2146-(F2146*I2146)</f>
        <v/>
      </c>
      <c r="M2146" s="64">
        <f>L2146/K2146</f>
        <v/>
      </c>
    </row>
    <row r="2147">
      <c r="A2147" s="58" t="inlineStr">
        <is>
          <t>RT20250224-02146</t>
        </is>
      </c>
      <c r="B2147" s="59" t="inlineStr">
        <is>
          <t>2025-02-24</t>
        </is>
      </c>
      <c r="C2147" s="60" t="inlineStr">
        <is>
          <t>Falcon Accessorie S-195</t>
        </is>
      </c>
      <c r="D2147" s="58" t="inlineStr">
        <is>
          <t>Apparel</t>
        </is>
      </c>
      <c r="E2147" s="58" t="inlineStr">
        <is>
          <t>Central</t>
        </is>
      </c>
      <c r="F2147" s="61" t="n">
        <v>3</v>
      </c>
      <c r="G2147" s="62" t="n">
        <v>74.08</v>
      </c>
      <c r="H2147" s="63" t="n">
        <v>0.054</v>
      </c>
      <c r="I2147" s="62" t="n">
        <v>41.21</v>
      </c>
      <c r="J2147" s="58" t="inlineStr">
        <is>
          <t>Online</t>
        </is>
      </c>
      <c r="K2147" s="62">
        <f>F2147*(G2147-H2147)</f>
        <v/>
      </c>
      <c r="L2147" s="62">
        <f>K2147-(F2147*I2147)</f>
        <v/>
      </c>
      <c r="M2147" s="64">
        <f>L2147/K2147</f>
        <v/>
      </c>
    </row>
    <row r="2148">
      <c r="A2148" s="58" t="inlineStr">
        <is>
          <t>RT20250224-02147</t>
        </is>
      </c>
      <c r="B2148" s="59" t="inlineStr">
        <is>
          <t>2025-02-24</t>
        </is>
      </c>
      <c r="C2148" s="60" t="inlineStr">
        <is>
          <t>Polar Women S-662</t>
        </is>
      </c>
      <c r="D2148" s="58" t="inlineStr">
        <is>
          <t>Apparel</t>
        </is>
      </c>
      <c r="E2148" s="58" t="inlineStr">
        <is>
          <t>North</t>
        </is>
      </c>
      <c r="F2148" s="61" t="n">
        <v>1</v>
      </c>
      <c r="G2148" s="62" t="n">
        <v>176.44</v>
      </c>
      <c r="H2148" s="63" t="n">
        <v>0.074</v>
      </c>
      <c r="I2148" s="62" t="n">
        <v>101.46</v>
      </c>
      <c r="J2148" s="58" t="inlineStr">
        <is>
          <t>Online</t>
        </is>
      </c>
      <c r="K2148" s="62">
        <f>F2148*(G2148-H2148)</f>
        <v/>
      </c>
      <c r="L2148" s="62">
        <f>K2148-(F2148*I2148)</f>
        <v/>
      </c>
      <c r="M2148" s="64">
        <f>L2148/K2148</f>
        <v/>
      </c>
    </row>
    <row r="2149">
      <c r="A2149" s="58" t="inlineStr">
        <is>
          <t>RT20250224-02148</t>
        </is>
      </c>
      <c r="B2149" s="59" t="inlineStr">
        <is>
          <t>2025-02-24</t>
        </is>
      </c>
      <c r="C2149" s="60" t="inlineStr">
        <is>
          <t>Aurora Fitnes Lite-194</t>
        </is>
      </c>
      <c r="D2149" s="58" t="inlineStr">
        <is>
          <t>Sports</t>
        </is>
      </c>
      <c r="E2149" s="58" t="inlineStr">
        <is>
          <t>West</t>
        </is>
      </c>
      <c r="F2149" s="61" t="n">
        <v>2</v>
      </c>
      <c r="G2149" s="62" t="n">
        <v>730.34</v>
      </c>
      <c r="H2149" s="63" t="n">
        <v>0.008999999999999999</v>
      </c>
      <c r="I2149" s="62" t="n">
        <v>452.76</v>
      </c>
      <c r="J2149" s="58" t="inlineStr">
        <is>
          <t>Store</t>
        </is>
      </c>
      <c r="K2149" s="62">
        <f>F2149*(G2149-H2149)</f>
        <v/>
      </c>
      <c r="L2149" s="62">
        <f>K2149-(F2149*I2149)</f>
        <v/>
      </c>
      <c r="M2149" s="64">
        <f>L2149/K2149</f>
        <v/>
      </c>
    </row>
    <row r="2150">
      <c r="A2150" s="58" t="inlineStr">
        <is>
          <t>RT20250224-02149</t>
        </is>
      </c>
      <c r="B2150" s="59" t="inlineStr">
        <is>
          <t>2025-02-24</t>
        </is>
      </c>
      <c r="C2150" s="60" t="inlineStr">
        <is>
          <t>Falcon Household Plus-796</t>
        </is>
      </c>
      <c r="D2150" s="58" t="inlineStr">
        <is>
          <t>Grocery</t>
        </is>
      </c>
      <c r="E2150" s="58" t="inlineStr">
        <is>
          <t>North</t>
        </is>
      </c>
      <c r="F2150" s="61" t="n">
        <v>1</v>
      </c>
      <c r="G2150" s="62" t="n">
        <v>22.89</v>
      </c>
      <c r="H2150" s="63" t="n">
        <v>0.078</v>
      </c>
      <c r="I2150" s="62" t="n">
        <v>17.5</v>
      </c>
      <c r="J2150" s="58" t="inlineStr">
        <is>
          <t>Store</t>
        </is>
      </c>
      <c r="K2150" s="62">
        <f>F2150*(G2150-H2150)</f>
        <v/>
      </c>
      <c r="L2150" s="62">
        <f>K2150-(F2150*I2150)</f>
        <v/>
      </c>
      <c r="M2150" s="64">
        <f>L2150/K2150</f>
        <v/>
      </c>
    </row>
    <row r="2151">
      <c r="A2151" s="58" t="inlineStr">
        <is>
          <t>RT20250224-02150</t>
        </is>
      </c>
      <c r="B2151" s="59" t="inlineStr">
        <is>
          <t>2025-02-24</t>
        </is>
      </c>
      <c r="C2151" s="60" t="inlineStr">
        <is>
          <t>Polar Cycling S-223</t>
        </is>
      </c>
      <c r="D2151" s="58" t="inlineStr">
        <is>
          <t>Sports</t>
        </is>
      </c>
      <c r="E2151" s="58" t="inlineStr">
        <is>
          <t>North</t>
        </is>
      </c>
      <c r="F2151" s="61" t="n">
        <v>1</v>
      </c>
      <c r="G2151" s="62" t="n">
        <v>924.0599999999999</v>
      </c>
      <c r="H2151" s="63" t="n">
        <v>0.033</v>
      </c>
      <c r="I2151" s="62" t="n">
        <v>627.12</v>
      </c>
      <c r="J2151" s="58" t="inlineStr">
        <is>
          <t>Online</t>
        </is>
      </c>
      <c r="K2151" s="62">
        <f>F2151*(G2151-H2151)</f>
        <v/>
      </c>
      <c r="L2151" s="62">
        <f>K2151-(F2151*I2151)</f>
        <v/>
      </c>
      <c r="M2151" s="64">
        <f>L2151/K2151</f>
        <v/>
      </c>
    </row>
    <row r="2152">
      <c r="A2152" s="58" t="inlineStr">
        <is>
          <t>RT20250224-02151</t>
        </is>
      </c>
      <c r="B2152" s="59" t="inlineStr">
        <is>
          <t>2025-02-24</t>
        </is>
      </c>
      <c r="C2152" s="60" t="inlineStr">
        <is>
          <t>Aurora Skincare Max-798</t>
        </is>
      </c>
      <c r="D2152" s="58" t="inlineStr">
        <is>
          <t>Beauty</t>
        </is>
      </c>
      <c r="E2152" s="58" t="inlineStr">
        <is>
          <t>South</t>
        </is>
      </c>
      <c r="F2152" s="61" t="n">
        <v>1</v>
      </c>
      <c r="G2152" s="62" t="n">
        <v>118.98</v>
      </c>
      <c r="H2152" s="63" t="n">
        <v>0.074</v>
      </c>
      <c r="I2152" s="62" t="n">
        <v>69.26000000000001</v>
      </c>
      <c r="J2152" s="58" t="inlineStr">
        <is>
          <t>Store</t>
        </is>
      </c>
      <c r="K2152" s="62">
        <f>F2152*(G2152-H2152)</f>
        <v/>
      </c>
      <c r="L2152" s="62">
        <f>K2152-(F2152*I2152)</f>
        <v/>
      </c>
      <c r="M2152" s="64">
        <f>L2152/K2152</f>
        <v/>
      </c>
    </row>
    <row r="2153">
      <c r="A2153" s="58" t="inlineStr">
        <is>
          <t>RT20250224-02152</t>
        </is>
      </c>
      <c r="B2153" s="59" t="inlineStr">
        <is>
          <t>2025-02-24</t>
        </is>
      </c>
      <c r="C2153" s="60" t="inlineStr">
        <is>
          <t>Polar Wearable X-119</t>
        </is>
      </c>
      <c r="D2153" s="58" t="inlineStr">
        <is>
          <t>Electronics</t>
        </is>
      </c>
      <c r="E2153" s="58" t="inlineStr">
        <is>
          <t>Central</t>
        </is>
      </c>
      <c r="F2153" s="61" t="n">
        <v>2</v>
      </c>
      <c r="G2153" s="62" t="n">
        <v>1520.15</v>
      </c>
      <c r="H2153" s="63" t="n">
        <v>0.019</v>
      </c>
      <c r="I2153" s="62" t="n">
        <v>1360.58</v>
      </c>
      <c r="J2153" s="58" t="inlineStr">
        <is>
          <t>Store</t>
        </is>
      </c>
      <c r="K2153" s="62">
        <f>F2153*(G2153-H2153)</f>
        <v/>
      </c>
      <c r="L2153" s="62">
        <f>K2153-(F2153*I2153)</f>
        <v/>
      </c>
      <c r="M2153" s="64">
        <f>L2153/K2153</f>
        <v/>
      </c>
    </row>
    <row r="2154">
      <c r="A2154" s="58" t="inlineStr">
        <is>
          <t>RT20250224-02153</t>
        </is>
      </c>
      <c r="B2154" s="59" t="inlineStr">
        <is>
          <t>2025-02-24</t>
        </is>
      </c>
      <c r="C2154" s="60" t="inlineStr">
        <is>
          <t>Aurora Fragrance S-971</t>
        </is>
      </c>
      <c r="D2154" s="58" t="inlineStr">
        <is>
          <t>Beauty</t>
        </is>
      </c>
      <c r="E2154" s="58" t="inlineStr">
        <is>
          <t>Central</t>
        </is>
      </c>
      <c r="F2154" s="61" t="n">
        <v>1</v>
      </c>
      <c r="G2154" s="62" t="n">
        <v>96.01000000000001</v>
      </c>
      <c r="H2154" s="63" t="n">
        <v>0.045</v>
      </c>
      <c r="I2154" s="62" t="n">
        <v>65.95999999999999</v>
      </c>
      <c r="J2154" s="58" t="inlineStr">
        <is>
          <t>Online</t>
        </is>
      </c>
      <c r="K2154" s="62">
        <f>F2154*(G2154-H2154)</f>
        <v/>
      </c>
      <c r="L2154" s="62">
        <f>K2154-(F2154*I2154)</f>
        <v/>
      </c>
      <c r="M2154" s="64">
        <f>L2154/K2154</f>
        <v/>
      </c>
    </row>
    <row r="2155">
      <c r="A2155" s="58" t="inlineStr">
        <is>
          <t>RT20250224-02154</t>
        </is>
      </c>
      <c r="B2155" s="59" t="inlineStr">
        <is>
          <t>2025-02-24</t>
        </is>
      </c>
      <c r="C2155" s="60" t="inlineStr">
        <is>
          <t>Metro Laptop Plus-376</t>
        </is>
      </c>
      <c r="D2155" s="58" t="inlineStr">
        <is>
          <t>Electronics</t>
        </is>
      </c>
      <c r="E2155" s="58" t="inlineStr">
        <is>
          <t>North</t>
        </is>
      </c>
      <c r="F2155" s="61" t="n">
        <v>2</v>
      </c>
      <c r="G2155" s="62" t="n">
        <v>1223.31</v>
      </c>
      <c r="H2155" s="63" t="n">
        <v>0.065</v>
      </c>
      <c r="I2155" s="62" t="n">
        <v>1063.58</v>
      </c>
      <c r="J2155" s="58" t="inlineStr">
        <is>
          <t>Store</t>
        </is>
      </c>
      <c r="K2155" s="62">
        <f>F2155*(G2155-H2155)</f>
        <v/>
      </c>
      <c r="L2155" s="62">
        <f>K2155-(F2155*I2155)</f>
        <v/>
      </c>
      <c r="M2155" s="64">
        <f>L2155/K2155</f>
        <v/>
      </c>
    </row>
    <row r="2156">
      <c r="A2156" s="58" t="inlineStr">
        <is>
          <t>RT20250225-02155</t>
        </is>
      </c>
      <c r="B2156" s="59" t="inlineStr">
        <is>
          <t>2025-02-25</t>
        </is>
      </c>
      <c r="C2156" s="60" t="inlineStr">
        <is>
          <t>Polar Decor Plus-505</t>
        </is>
      </c>
      <c r="D2156" s="58" t="inlineStr">
        <is>
          <t>Home</t>
        </is>
      </c>
      <c r="E2156" s="58" t="inlineStr">
        <is>
          <t>South</t>
        </is>
      </c>
      <c r="F2156" s="61" t="n">
        <v>1</v>
      </c>
      <c r="G2156" s="62" t="n">
        <v>276.77</v>
      </c>
      <c r="H2156" s="63" t="n">
        <v>0</v>
      </c>
      <c r="I2156" s="62" t="n">
        <v>194.28</v>
      </c>
      <c r="J2156" s="58" t="inlineStr">
        <is>
          <t>Online</t>
        </is>
      </c>
      <c r="K2156" s="62">
        <f>F2156*(G2156-H2156)</f>
        <v/>
      </c>
      <c r="L2156" s="62">
        <f>K2156-(F2156*I2156)</f>
        <v/>
      </c>
      <c r="M2156" s="64">
        <f>L2156/K2156</f>
        <v/>
      </c>
    </row>
    <row r="2157">
      <c r="A2157" s="58" t="inlineStr">
        <is>
          <t>RT20250225-02156</t>
        </is>
      </c>
      <c r="B2157" s="59" t="inlineStr">
        <is>
          <t>2025-02-25</t>
        </is>
      </c>
      <c r="C2157" s="60" t="inlineStr">
        <is>
          <t>Aurora Outdoor Pro-467</t>
        </is>
      </c>
      <c r="D2157" s="58" t="inlineStr">
        <is>
          <t>Sports</t>
        </is>
      </c>
      <c r="E2157" s="58" t="inlineStr">
        <is>
          <t>South</t>
        </is>
      </c>
      <c r="F2157" s="61" t="n">
        <v>3</v>
      </c>
      <c r="G2157" s="62" t="n">
        <v>336.86</v>
      </c>
      <c r="H2157" s="63" t="n">
        <v>0.047</v>
      </c>
      <c r="I2157" s="62" t="n">
        <v>188.23</v>
      </c>
      <c r="J2157" s="58" t="inlineStr">
        <is>
          <t>Online</t>
        </is>
      </c>
      <c r="K2157" s="62">
        <f>F2157*(G2157-H2157)</f>
        <v/>
      </c>
      <c r="L2157" s="62">
        <f>K2157-(F2157*I2157)</f>
        <v/>
      </c>
      <c r="M2157" s="64">
        <f>L2157/K2157</f>
        <v/>
      </c>
    </row>
    <row r="2158">
      <c r="A2158" s="58" t="inlineStr">
        <is>
          <t>RT20250225-02157</t>
        </is>
      </c>
      <c r="B2158" s="59" t="inlineStr">
        <is>
          <t>2025-02-25</t>
        </is>
      </c>
      <c r="C2158" s="60" t="inlineStr">
        <is>
          <t>Falcon Haircare Pro-980</t>
        </is>
      </c>
      <c r="D2158" s="58" t="inlineStr">
        <is>
          <t>Beauty</t>
        </is>
      </c>
      <c r="E2158" s="58" t="inlineStr">
        <is>
          <t>South</t>
        </is>
      </c>
      <c r="F2158" s="61" t="n">
        <v>1</v>
      </c>
      <c r="G2158" s="62" t="n">
        <v>86.51000000000001</v>
      </c>
      <c r="H2158" s="63" t="n">
        <v>0.057</v>
      </c>
      <c r="I2158" s="62" t="n">
        <v>55.84</v>
      </c>
      <c r="J2158" s="58" t="inlineStr">
        <is>
          <t>Online</t>
        </is>
      </c>
      <c r="K2158" s="62">
        <f>F2158*(G2158-H2158)</f>
        <v/>
      </c>
      <c r="L2158" s="62">
        <f>K2158-(F2158*I2158)</f>
        <v/>
      </c>
      <c r="M2158" s="64">
        <f>L2158/K2158</f>
        <v/>
      </c>
    </row>
    <row r="2159">
      <c r="A2159" s="58" t="inlineStr">
        <is>
          <t>RT20250225-02158</t>
        </is>
      </c>
      <c r="B2159" s="59" t="inlineStr">
        <is>
          <t>2025-02-25</t>
        </is>
      </c>
      <c r="C2159" s="60" t="inlineStr">
        <is>
          <t>Vertex Supplie Pro-786</t>
        </is>
      </c>
      <c r="D2159" s="58" t="inlineStr">
        <is>
          <t>Office</t>
        </is>
      </c>
      <c r="E2159" s="58" t="inlineStr">
        <is>
          <t>North</t>
        </is>
      </c>
      <c r="F2159" s="61" t="n">
        <v>2</v>
      </c>
      <c r="G2159" s="62" t="n">
        <v>437.51</v>
      </c>
      <c r="H2159" s="63" t="n">
        <v>0.039</v>
      </c>
      <c r="I2159" s="62" t="n">
        <v>293.15</v>
      </c>
      <c r="J2159" s="58" t="inlineStr">
        <is>
          <t>Store</t>
        </is>
      </c>
      <c r="K2159" s="62">
        <f>F2159*(G2159-H2159)</f>
        <v/>
      </c>
      <c r="L2159" s="62">
        <f>K2159-(F2159*I2159)</f>
        <v/>
      </c>
      <c r="M2159" s="64">
        <f>L2159/K2159</f>
        <v/>
      </c>
    </row>
    <row r="2160">
      <c r="A2160" s="58" t="inlineStr">
        <is>
          <t>RT20250225-02159</t>
        </is>
      </c>
      <c r="B2160" s="59" t="inlineStr">
        <is>
          <t>2025-02-25</t>
        </is>
      </c>
      <c r="C2160" s="60" t="inlineStr">
        <is>
          <t>Solace Snack S-691</t>
        </is>
      </c>
      <c r="D2160" s="58" t="inlineStr">
        <is>
          <t>Grocery</t>
        </is>
      </c>
      <c r="E2160" s="58" t="inlineStr">
        <is>
          <t>South</t>
        </is>
      </c>
      <c r="F2160" s="61" t="n">
        <v>7</v>
      </c>
      <c r="G2160" s="62" t="n">
        <v>9.52</v>
      </c>
      <c r="H2160" s="63" t="n">
        <v>0.099</v>
      </c>
      <c r="I2160" s="62" t="n">
        <v>7.24</v>
      </c>
      <c r="J2160" s="58" t="inlineStr">
        <is>
          <t>Store</t>
        </is>
      </c>
      <c r="K2160" s="62">
        <f>F2160*(G2160-H2160)</f>
        <v/>
      </c>
      <c r="L2160" s="62">
        <f>K2160-(F2160*I2160)</f>
        <v/>
      </c>
      <c r="M2160" s="64">
        <f>L2160/K2160</f>
        <v/>
      </c>
    </row>
    <row r="2161">
      <c r="A2161" s="58" t="inlineStr">
        <is>
          <t>RT20250225-02160</t>
        </is>
      </c>
      <c r="B2161" s="59" t="inlineStr">
        <is>
          <t>2025-02-25</t>
        </is>
      </c>
      <c r="C2161" s="60" t="inlineStr">
        <is>
          <t>Nimbus Women Lite-814</t>
        </is>
      </c>
      <c r="D2161" s="58" t="inlineStr">
        <is>
          <t>Apparel</t>
        </is>
      </c>
      <c r="E2161" s="58" t="inlineStr">
        <is>
          <t>Central</t>
        </is>
      </c>
      <c r="F2161" s="61" t="n">
        <v>1</v>
      </c>
      <c r="G2161" s="62" t="n">
        <v>137.97</v>
      </c>
      <c r="H2161" s="63" t="n">
        <v>0.023</v>
      </c>
      <c r="I2161" s="62" t="n">
        <v>81.34999999999999</v>
      </c>
      <c r="J2161" s="58" t="inlineStr">
        <is>
          <t>Store</t>
        </is>
      </c>
      <c r="K2161" s="62">
        <f>F2161*(G2161-H2161)</f>
        <v/>
      </c>
      <c r="L2161" s="62">
        <f>K2161-(F2161*I2161)</f>
        <v/>
      </c>
      <c r="M2161" s="64">
        <f>L2161/K2161</f>
        <v/>
      </c>
    </row>
    <row r="2162">
      <c r="A2162" s="58" t="inlineStr">
        <is>
          <t>RT20250225-02161</t>
        </is>
      </c>
      <c r="B2162" s="59" t="inlineStr">
        <is>
          <t>2025-02-25</t>
        </is>
      </c>
      <c r="C2162" s="60" t="inlineStr">
        <is>
          <t>Vertex Skincare Pro-891</t>
        </is>
      </c>
      <c r="D2162" s="58" t="inlineStr">
        <is>
          <t>Beauty</t>
        </is>
      </c>
      <c r="E2162" s="58" t="inlineStr">
        <is>
          <t>East</t>
        </is>
      </c>
      <c r="F2162" s="61" t="n">
        <v>4</v>
      </c>
      <c r="G2162" s="62" t="n">
        <v>142.3</v>
      </c>
      <c r="H2162" s="63" t="n">
        <v>0.074</v>
      </c>
      <c r="I2162" s="62" t="n">
        <v>90.06999999999999</v>
      </c>
      <c r="J2162" s="58" t="inlineStr">
        <is>
          <t>Online</t>
        </is>
      </c>
      <c r="K2162" s="62">
        <f>F2162*(G2162-H2162)</f>
        <v/>
      </c>
      <c r="L2162" s="62">
        <f>K2162-(F2162*I2162)</f>
        <v/>
      </c>
      <c r="M2162" s="64">
        <f>L2162/K2162</f>
        <v/>
      </c>
    </row>
    <row r="2163">
      <c r="A2163" s="58" t="inlineStr">
        <is>
          <t>RT20250225-02162</t>
        </is>
      </c>
      <c r="B2163" s="59" t="inlineStr">
        <is>
          <t>2025-02-25</t>
        </is>
      </c>
      <c r="C2163" s="60" t="inlineStr">
        <is>
          <t>Aurora Fragrance S-971</t>
        </is>
      </c>
      <c r="D2163" s="58" t="inlineStr">
        <is>
          <t>Beauty</t>
        </is>
      </c>
      <c r="E2163" s="58" t="inlineStr">
        <is>
          <t>West</t>
        </is>
      </c>
      <c r="F2163" s="61" t="n">
        <v>3</v>
      </c>
      <c r="G2163" s="62" t="n">
        <v>122.35</v>
      </c>
      <c r="H2163" s="63" t="n">
        <v>0.096</v>
      </c>
      <c r="I2163" s="62" t="n">
        <v>67.23</v>
      </c>
      <c r="J2163" s="58" t="inlineStr">
        <is>
          <t>Store</t>
        </is>
      </c>
      <c r="K2163" s="62">
        <f>F2163*(G2163-H2163)</f>
        <v/>
      </c>
      <c r="L2163" s="62">
        <f>K2163-(F2163*I2163)</f>
        <v/>
      </c>
      <c r="M2163" s="64">
        <f>L2163/K2163</f>
        <v/>
      </c>
    </row>
    <row r="2164">
      <c r="A2164" s="58" t="inlineStr">
        <is>
          <t>RT20250225-02163</t>
        </is>
      </c>
      <c r="B2164" s="59" t="inlineStr">
        <is>
          <t>2025-02-25</t>
        </is>
      </c>
      <c r="C2164" s="60" t="inlineStr">
        <is>
          <t>Aurora Wearable Lite-704</t>
        </is>
      </c>
      <c r="D2164" s="58" t="inlineStr">
        <is>
          <t>Electronics</t>
        </is>
      </c>
      <c r="E2164" s="58" t="inlineStr">
        <is>
          <t>West</t>
        </is>
      </c>
      <c r="F2164" s="61" t="n">
        <v>2</v>
      </c>
      <c r="G2164" s="62" t="n">
        <v>1952.07</v>
      </c>
      <c r="H2164" s="63" t="n">
        <v>0.08799999999999999</v>
      </c>
      <c r="I2164" s="62" t="n">
        <v>1456.95</v>
      </c>
      <c r="J2164" s="58" t="inlineStr">
        <is>
          <t>Store</t>
        </is>
      </c>
      <c r="K2164" s="62">
        <f>F2164*(G2164-H2164)</f>
        <v/>
      </c>
      <c r="L2164" s="62">
        <f>K2164-(F2164*I2164)</f>
        <v/>
      </c>
      <c r="M2164" s="64">
        <f>L2164/K2164</f>
        <v/>
      </c>
    </row>
    <row r="2165">
      <c r="A2165" s="58" t="inlineStr">
        <is>
          <t>RT20250225-02164</t>
        </is>
      </c>
      <c r="B2165" s="59" t="inlineStr">
        <is>
          <t>2025-02-25</t>
        </is>
      </c>
      <c r="C2165" s="60" t="inlineStr">
        <is>
          <t>Aurora Team Sport Plus-256</t>
        </is>
      </c>
      <c r="D2165" s="58" t="inlineStr">
        <is>
          <t>Sports</t>
        </is>
      </c>
      <c r="E2165" s="58" t="inlineStr">
        <is>
          <t>East</t>
        </is>
      </c>
      <c r="F2165" s="61" t="n">
        <v>1</v>
      </c>
      <c r="G2165" s="62" t="n">
        <v>628.22</v>
      </c>
      <c r="H2165" s="63" t="n">
        <v>0.036</v>
      </c>
      <c r="I2165" s="62" t="n">
        <v>417.17</v>
      </c>
      <c r="J2165" s="58" t="inlineStr">
        <is>
          <t>Store</t>
        </is>
      </c>
      <c r="K2165" s="62">
        <f>F2165*(G2165-H2165)</f>
        <v/>
      </c>
      <c r="L2165" s="62">
        <f>K2165-(F2165*I2165)</f>
        <v/>
      </c>
      <c r="M2165" s="64">
        <f>L2165/K2165</f>
        <v/>
      </c>
    </row>
    <row r="2166">
      <c r="A2166" s="58" t="inlineStr">
        <is>
          <t>RT20250225-02165</t>
        </is>
      </c>
      <c r="B2166" s="59" t="inlineStr">
        <is>
          <t>2025-02-25</t>
        </is>
      </c>
      <c r="C2166" s="60" t="inlineStr">
        <is>
          <t>Aurora Bedding Max-175</t>
        </is>
      </c>
      <c r="D2166" s="58" t="inlineStr">
        <is>
          <t>Home</t>
        </is>
      </c>
      <c r="E2166" s="58" t="inlineStr">
        <is>
          <t>South</t>
        </is>
      </c>
      <c r="F2166" s="61" t="n">
        <v>1</v>
      </c>
      <c r="G2166" s="62" t="n">
        <v>672.5599999999999</v>
      </c>
      <c r="H2166" s="63" t="n">
        <v>0.06</v>
      </c>
      <c r="I2166" s="62" t="n">
        <v>413.85</v>
      </c>
      <c r="J2166" s="58" t="inlineStr">
        <is>
          <t>Phone</t>
        </is>
      </c>
      <c r="K2166" s="62">
        <f>F2166*(G2166-H2166)</f>
        <v/>
      </c>
      <c r="L2166" s="62">
        <f>K2166-(F2166*I2166)</f>
        <v/>
      </c>
      <c r="M2166" s="64">
        <f>L2166/K2166</f>
        <v/>
      </c>
    </row>
    <row r="2167">
      <c r="A2167" s="58" t="inlineStr">
        <is>
          <t>RT20250225-02166</t>
        </is>
      </c>
      <c r="B2167" s="59" t="inlineStr">
        <is>
          <t>2025-02-25</t>
        </is>
      </c>
      <c r="C2167" s="60" t="inlineStr">
        <is>
          <t>Aurora Fragrance S-971</t>
        </is>
      </c>
      <c r="D2167" s="58" t="inlineStr">
        <is>
          <t>Beauty</t>
        </is>
      </c>
      <c r="E2167" s="58" t="inlineStr">
        <is>
          <t>North</t>
        </is>
      </c>
      <c r="F2167" s="61" t="n">
        <v>4</v>
      </c>
      <c r="G2167" s="62" t="n">
        <v>105.91</v>
      </c>
      <c r="H2167" s="63" t="n">
        <v>0.08799999999999999</v>
      </c>
      <c r="I2167" s="62" t="n">
        <v>65.75</v>
      </c>
      <c r="J2167" s="58" t="inlineStr">
        <is>
          <t>Store</t>
        </is>
      </c>
      <c r="K2167" s="62">
        <f>F2167*(G2167-H2167)</f>
        <v/>
      </c>
      <c r="L2167" s="62">
        <f>K2167-(F2167*I2167)</f>
        <v/>
      </c>
      <c r="M2167" s="64">
        <f>L2167/K2167</f>
        <v/>
      </c>
    </row>
    <row r="2168">
      <c r="A2168" s="58" t="inlineStr">
        <is>
          <t>RT20250225-02167</t>
        </is>
      </c>
      <c r="B2168" s="59" t="inlineStr">
        <is>
          <t>2025-02-25</t>
        </is>
      </c>
      <c r="C2168" s="60" t="inlineStr">
        <is>
          <t>Falcon Household Pro-865</t>
        </is>
      </c>
      <c r="D2168" s="58" t="inlineStr">
        <is>
          <t>Grocery</t>
        </is>
      </c>
      <c r="E2168" s="58" t="inlineStr">
        <is>
          <t>East</t>
        </is>
      </c>
      <c r="F2168" s="61" t="n">
        <v>8</v>
      </c>
      <c r="G2168" s="62" t="n">
        <v>9.18</v>
      </c>
      <c r="H2168" s="63" t="n">
        <v>0.08599999999999999</v>
      </c>
      <c r="I2168" s="62" t="n">
        <v>7.53</v>
      </c>
      <c r="J2168" s="58" t="inlineStr">
        <is>
          <t>Online</t>
        </is>
      </c>
      <c r="K2168" s="62">
        <f>F2168*(G2168-H2168)</f>
        <v/>
      </c>
      <c r="L2168" s="62">
        <f>K2168-(F2168*I2168)</f>
        <v/>
      </c>
      <c r="M2168" s="64">
        <f>L2168/K2168</f>
        <v/>
      </c>
    </row>
    <row r="2169">
      <c r="A2169" s="58" t="inlineStr">
        <is>
          <t>RT20250225-02168</t>
        </is>
      </c>
      <c r="B2169" s="59" t="inlineStr">
        <is>
          <t>2025-02-25</t>
        </is>
      </c>
      <c r="C2169" s="60" t="inlineStr">
        <is>
          <t>Vertex Smartphone Pro-256</t>
        </is>
      </c>
      <c r="D2169" s="58" t="inlineStr">
        <is>
          <t>Electronics</t>
        </is>
      </c>
      <c r="E2169" s="58" t="inlineStr">
        <is>
          <t>North</t>
        </is>
      </c>
      <c r="F2169" s="61" t="n">
        <v>2</v>
      </c>
      <c r="G2169" s="62" t="n">
        <v>1296.35</v>
      </c>
      <c r="H2169" s="63" t="n">
        <v>0.025</v>
      </c>
      <c r="I2169" s="62" t="n">
        <v>926.36</v>
      </c>
      <c r="J2169" s="58" t="inlineStr">
        <is>
          <t>Online</t>
        </is>
      </c>
      <c r="K2169" s="62">
        <f>F2169*(G2169-H2169)</f>
        <v/>
      </c>
      <c r="L2169" s="62">
        <f>K2169-(F2169*I2169)</f>
        <v/>
      </c>
      <c r="M2169" s="64">
        <f>L2169/K2169</f>
        <v/>
      </c>
    </row>
    <row r="2170">
      <c r="A2170" s="58" t="inlineStr">
        <is>
          <t>RT20250225-02169</t>
        </is>
      </c>
      <c r="B2170" s="59" t="inlineStr">
        <is>
          <t>2025-02-25</t>
        </is>
      </c>
      <c r="C2170" s="60" t="inlineStr">
        <is>
          <t>Polar Supplie Lite-348</t>
        </is>
      </c>
      <c r="D2170" s="58" t="inlineStr">
        <is>
          <t>Office</t>
        </is>
      </c>
      <c r="E2170" s="58" t="inlineStr">
        <is>
          <t>West</t>
        </is>
      </c>
      <c r="F2170" s="61" t="n">
        <v>3</v>
      </c>
      <c r="G2170" s="62" t="n">
        <v>418.58</v>
      </c>
      <c r="H2170" s="63" t="n">
        <v>0.062</v>
      </c>
      <c r="I2170" s="62" t="n">
        <v>321.36</v>
      </c>
      <c r="J2170" s="58" t="inlineStr">
        <is>
          <t>Online</t>
        </is>
      </c>
      <c r="K2170" s="62">
        <f>F2170*(G2170-H2170)</f>
        <v/>
      </c>
      <c r="L2170" s="62">
        <f>K2170-(F2170*I2170)</f>
        <v/>
      </c>
      <c r="M2170" s="64">
        <f>L2170/K2170</f>
        <v/>
      </c>
    </row>
    <row r="2171">
      <c r="A2171" s="58" t="inlineStr">
        <is>
          <t>RT20250225-02170</t>
        </is>
      </c>
      <c r="B2171" s="59" t="inlineStr">
        <is>
          <t>2025-02-25</t>
        </is>
      </c>
      <c r="C2171" s="60" t="inlineStr">
        <is>
          <t>Solace Fitnes S-324</t>
        </is>
      </c>
      <c r="D2171" s="58" t="inlineStr">
        <is>
          <t>Sports</t>
        </is>
      </c>
      <c r="E2171" s="58" t="inlineStr">
        <is>
          <t>North</t>
        </is>
      </c>
      <c r="F2171" s="61" t="n">
        <v>3</v>
      </c>
      <c r="G2171" s="62" t="n">
        <v>817.39</v>
      </c>
      <c r="H2171" s="63" t="n">
        <v>0.063</v>
      </c>
      <c r="I2171" s="62" t="n">
        <v>541.16</v>
      </c>
      <c r="J2171" s="58" t="inlineStr">
        <is>
          <t>Online</t>
        </is>
      </c>
      <c r="K2171" s="62">
        <f>F2171*(G2171-H2171)</f>
        <v/>
      </c>
      <c r="L2171" s="62">
        <f>K2171-(F2171*I2171)</f>
        <v/>
      </c>
      <c r="M2171" s="64">
        <f>L2171/K2171</f>
        <v/>
      </c>
    </row>
    <row r="2172">
      <c r="A2172" s="58" t="inlineStr">
        <is>
          <t>RT20250225-02171</t>
        </is>
      </c>
      <c r="B2172" s="59" t="inlineStr">
        <is>
          <t>2025-02-25</t>
        </is>
      </c>
      <c r="C2172" s="60" t="inlineStr">
        <is>
          <t>Metro Accessorie Max-316</t>
        </is>
      </c>
      <c r="D2172" s="58" t="inlineStr">
        <is>
          <t>Apparel</t>
        </is>
      </c>
      <c r="E2172" s="58" t="inlineStr">
        <is>
          <t>East</t>
        </is>
      </c>
      <c r="F2172" s="61" t="n">
        <v>4</v>
      </c>
      <c r="G2172" s="62" t="n">
        <v>164.58</v>
      </c>
      <c r="H2172" s="63" t="n">
        <v>0.019</v>
      </c>
      <c r="I2172" s="62" t="n">
        <v>93.25</v>
      </c>
      <c r="J2172" s="58" t="inlineStr">
        <is>
          <t>Online</t>
        </is>
      </c>
      <c r="K2172" s="62">
        <f>F2172*(G2172-H2172)</f>
        <v/>
      </c>
      <c r="L2172" s="62">
        <f>K2172-(F2172*I2172)</f>
        <v/>
      </c>
      <c r="M2172" s="64">
        <f>L2172/K2172</f>
        <v/>
      </c>
    </row>
    <row r="2173">
      <c r="A2173" s="58" t="inlineStr">
        <is>
          <t>RT20250225-02172</t>
        </is>
      </c>
      <c r="B2173" s="59" t="inlineStr">
        <is>
          <t>2025-02-25</t>
        </is>
      </c>
      <c r="C2173" s="60" t="inlineStr">
        <is>
          <t>Aurora Makeup Pro-489</t>
        </is>
      </c>
      <c r="D2173" s="58" t="inlineStr">
        <is>
          <t>Beauty</t>
        </is>
      </c>
      <c r="E2173" s="58" t="inlineStr">
        <is>
          <t>West</t>
        </is>
      </c>
      <c r="F2173" s="61" t="n">
        <v>4</v>
      </c>
      <c r="G2173" s="62" t="n">
        <v>96.43000000000001</v>
      </c>
      <c r="H2173" s="63" t="n">
        <v>0.068</v>
      </c>
      <c r="I2173" s="62" t="n">
        <v>63.64</v>
      </c>
      <c r="J2173" s="58" t="inlineStr">
        <is>
          <t>Store</t>
        </is>
      </c>
      <c r="K2173" s="62">
        <f>F2173*(G2173-H2173)</f>
        <v/>
      </c>
      <c r="L2173" s="62">
        <f>K2173-(F2173*I2173)</f>
        <v/>
      </c>
      <c r="M2173" s="64">
        <f>L2173/K2173</f>
        <v/>
      </c>
    </row>
    <row r="2174">
      <c r="A2174" s="58" t="inlineStr">
        <is>
          <t>RT20250225-02173</t>
        </is>
      </c>
      <c r="B2174" s="59" t="inlineStr">
        <is>
          <t>2025-02-25</t>
        </is>
      </c>
      <c r="C2174" s="60" t="inlineStr">
        <is>
          <t>Falcon Cycling Pro-499</t>
        </is>
      </c>
      <c r="D2174" s="58" t="inlineStr">
        <is>
          <t>Sports</t>
        </is>
      </c>
      <c r="E2174" s="58" t="inlineStr">
        <is>
          <t>North</t>
        </is>
      </c>
      <c r="F2174" s="61" t="n">
        <v>2</v>
      </c>
      <c r="G2174" s="62" t="n">
        <v>646.67</v>
      </c>
      <c r="H2174" s="63" t="n">
        <v>0.04</v>
      </c>
      <c r="I2174" s="62" t="n">
        <v>395.47</v>
      </c>
      <c r="J2174" s="58" t="inlineStr">
        <is>
          <t>Online</t>
        </is>
      </c>
      <c r="K2174" s="62">
        <f>F2174*(G2174-H2174)</f>
        <v/>
      </c>
      <c r="L2174" s="62">
        <f>K2174-(F2174*I2174)</f>
        <v/>
      </c>
      <c r="M2174" s="64">
        <f>L2174/K2174</f>
        <v/>
      </c>
    </row>
    <row r="2175">
      <c r="A2175" s="58" t="inlineStr">
        <is>
          <t>RT20250225-02174</t>
        </is>
      </c>
      <c r="B2175" s="59" t="inlineStr">
        <is>
          <t>2025-02-25</t>
        </is>
      </c>
      <c r="C2175" s="60" t="inlineStr">
        <is>
          <t>Metro Wearable Plus-234</t>
        </is>
      </c>
      <c r="D2175" s="58" t="inlineStr">
        <is>
          <t>Electronics</t>
        </is>
      </c>
      <c r="E2175" s="58" t="inlineStr">
        <is>
          <t>East</t>
        </is>
      </c>
      <c r="F2175" s="61" t="n">
        <v>1</v>
      </c>
      <c r="G2175" s="62" t="n">
        <v>1452.67</v>
      </c>
      <c r="H2175" s="63" t="n">
        <v>0.067</v>
      </c>
      <c r="I2175" s="62" t="n">
        <v>1202.87</v>
      </c>
      <c r="J2175" s="58" t="inlineStr">
        <is>
          <t>Online</t>
        </is>
      </c>
      <c r="K2175" s="62">
        <f>F2175*(G2175-H2175)</f>
        <v/>
      </c>
      <c r="L2175" s="62">
        <f>K2175-(F2175*I2175)</f>
        <v/>
      </c>
      <c r="M2175" s="64">
        <f>L2175/K2175</f>
        <v/>
      </c>
    </row>
    <row r="2176">
      <c r="A2176" s="58" t="inlineStr">
        <is>
          <t>RT20250225-02175</t>
        </is>
      </c>
      <c r="B2176" s="59" t="inlineStr">
        <is>
          <t>2025-02-25</t>
        </is>
      </c>
      <c r="C2176" s="60" t="inlineStr">
        <is>
          <t>Nimbus Furniture Pro-479</t>
        </is>
      </c>
      <c r="D2176" s="58" t="inlineStr">
        <is>
          <t>Office</t>
        </is>
      </c>
      <c r="E2176" s="58" t="inlineStr">
        <is>
          <t>Central</t>
        </is>
      </c>
      <c r="F2176" s="61" t="n">
        <v>2</v>
      </c>
      <c r="G2176" s="62" t="n">
        <v>365.03</v>
      </c>
      <c r="H2176" s="63" t="n">
        <v>0.058</v>
      </c>
      <c r="I2176" s="62" t="n">
        <v>241.23</v>
      </c>
      <c r="J2176" s="58" t="inlineStr">
        <is>
          <t>Store</t>
        </is>
      </c>
      <c r="K2176" s="62">
        <f>F2176*(G2176-H2176)</f>
        <v/>
      </c>
      <c r="L2176" s="62">
        <f>K2176-(F2176*I2176)</f>
        <v/>
      </c>
      <c r="M2176" s="64">
        <f>L2176/K2176</f>
        <v/>
      </c>
    </row>
    <row r="2177">
      <c r="A2177" s="58" t="inlineStr">
        <is>
          <t>RT20250225-02176</t>
        </is>
      </c>
      <c r="B2177" s="59" t="inlineStr">
        <is>
          <t>2025-02-25</t>
        </is>
      </c>
      <c r="C2177" s="60" t="inlineStr">
        <is>
          <t>Polar Fragrance Pro-750</t>
        </is>
      </c>
      <c r="D2177" s="58" t="inlineStr">
        <is>
          <t>Beauty</t>
        </is>
      </c>
      <c r="E2177" s="58" t="inlineStr">
        <is>
          <t>South</t>
        </is>
      </c>
      <c r="F2177" s="61" t="n">
        <v>3</v>
      </c>
      <c r="G2177" s="62" t="n">
        <v>46.12</v>
      </c>
      <c r="H2177" s="63" t="n">
        <v>0.062</v>
      </c>
      <c r="I2177" s="62" t="n">
        <v>37.31</v>
      </c>
      <c r="J2177" s="58" t="inlineStr">
        <is>
          <t>Online</t>
        </is>
      </c>
      <c r="K2177" s="62">
        <f>F2177*(G2177-H2177)</f>
        <v/>
      </c>
      <c r="L2177" s="62">
        <f>K2177-(F2177*I2177)</f>
        <v/>
      </c>
      <c r="M2177" s="64">
        <f>L2177/K2177</f>
        <v/>
      </c>
    </row>
    <row r="2178">
      <c r="A2178" s="58" t="inlineStr">
        <is>
          <t>RT20250225-02177</t>
        </is>
      </c>
      <c r="B2178" s="59" t="inlineStr">
        <is>
          <t>2025-02-25</t>
        </is>
      </c>
      <c r="C2178" s="60" t="inlineStr">
        <is>
          <t>Polar Cycling X-649</t>
        </is>
      </c>
      <c r="D2178" s="58" t="inlineStr">
        <is>
          <t>Sports</t>
        </is>
      </c>
      <c r="E2178" s="58" t="inlineStr">
        <is>
          <t>East</t>
        </is>
      </c>
      <c r="F2178" s="61" t="n">
        <v>2</v>
      </c>
      <c r="G2178" s="62" t="n">
        <v>560.22</v>
      </c>
      <c r="H2178" s="63" t="n">
        <v>0.073</v>
      </c>
      <c r="I2178" s="62" t="n">
        <v>351.76</v>
      </c>
      <c r="J2178" s="58" t="inlineStr">
        <is>
          <t>Online</t>
        </is>
      </c>
      <c r="K2178" s="62">
        <f>F2178*(G2178-H2178)</f>
        <v/>
      </c>
      <c r="L2178" s="62">
        <f>K2178-(F2178*I2178)</f>
        <v/>
      </c>
      <c r="M2178" s="64">
        <f>L2178/K2178</f>
        <v/>
      </c>
    </row>
    <row r="2179">
      <c r="A2179" s="58" t="inlineStr">
        <is>
          <t>RT20250226-02178</t>
        </is>
      </c>
      <c r="B2179" s="59" t="inlineStr">
        <is>
          <t>2025-02-26</t>
        </is>
      </c>
      <c r="C2179" s="60" t="inlineStr">
        <is>
          <t>Aurora Printer Plus-723</t>
        </is>
      </c>
      <c r="D2179" s="58" t="inlineStr">
        <is>
          <t>Office</t>
        </is>
      </c>
      <c r="E2179" s="58" t="inlineStr">
        <is>
          <t>Central</t>
        </is>
      </c>
      <c r="F2179" s="61" t="n">
        <v>1</v>
      </c>
      <c r="G2179" s="62" t="n">
        <v>251.91</v>
      </c>
      <c r="H2179" s="63" t="n">
        <v>0.052</v>
      </c>
      <c r="I2179" s="62" t="n">
        <v>182.86</v>
      </c>
      <c r="J2179" s="58" t="inlineStr">
        <is>
          <t>Store</t>
        </is>
      </c>
      <c r="K2179" s="62">
        <f>F2179*(G2179-H2179)</f>
        <v/>
      </c>
      <c r="L2179" s="62">
        <f>K2179-(F2179*I2179)</f>
        <v/>
      </c>
      <c r="M2179" s="64">
        <f>L2179/K2179</f>
        <v/>
      </c>
    </row>
    <row r="2180">
      <c r="A2180" s="58" t="inlineStr">
        <is>
          <t>RT20250226-02179</t>
        </is>
      </c>
      <c r="B2180" s="59" t="inlineStr">
        <is>
          <t>2025-02-26</t>
        </is>
      </c>
      <c r="C2180" s="60" t="inlineStr">
        <is>
          <t>Orion Beverage Plus-949</t>
        </is>
      </c>
      <c r="D2180" s="58" t="inlineStr">
        <is>
          <t>Grocery</t>
        </is>
      </c>
      <c r="E2180" s="58" t="inlineStr">
        <is>
          <t>East</t>
        </is>
      </c>
      <c r="F2180" s="61" t="n">
        <v>4</v>
      </c>
      <c r="G2180" s="62" t="n">
        <v>20.53</v>
      </c>
      <c r="H2180" s="63" t="n">
        <v>0.011</v>
      </c>
      <c r="I2180" s="62" t="n">
        <v>13.65</v>
      </c>
      <c r="J2180" s="58" t="inlineStr">
        <is>
          <t>Online</t>
        </is>
      </c>
      <c r="K2180" s="62">
        <f>F2180*(G2180-H2180)</f>
        <v/>
      </c>
      <c r="L2180" s="62">
        <f>K2180-(F2180*I2180)</f>
        <v/>
      </c>
      <c r="M2180" s="64">
        <f>L2180/K2180</f>
        <v/>
      </c>
    </row>
    <row r="2181">
      <c r="A2181" s="58" t="inlineStr">
        <is>
          <t>RT20250226-02180</t>
        </is>
      </c>
      <c r="B2181" s="59" t="inlineStr">
        <is>
          <t>2025-02-26</t>
        </is>
      </c>
      <c r="C2181" s="60" t="inlineStr">
        <is>
          <t>Solace Fitnes S-324</t>
        </is>
      </c>
      <c r="D2181" s="58" t="inlineStr">
        <is>
          <t>Sports</t>
        </is>
      </c>
      <c r="E2181" s="58" t="inlineStr">
        <is>
          <t>West</t>
        </is>
      </c>
      <c r="F2181" s="61" t="n">
        <v>1</v>
      </c>
      <c r="G2181" s="62" t="n">
        <v>768.1900000000001</v>
      </c>
      <c r="H2181" s="63" t="n">
        <v>0.081</v>
      </c>
      <c r="I2181" s="62" t="n">
        <v>526.6799999999999</v>
      </c>
      <c r="J2181" s="58" t="inlineStr">
        <is>
          <t>Online</t>
        </is>
      </c>
      <c r="K2181" s="62">
        <f>F2181*(G2181-H2181)</f>
        <v/>
      </c>
      <c r="L2181" s="62">
        <f>K2181-(F2181*I2181)</f>
        <v/>
      </c>
      <c r="M2181" s="64">
        <f>L2181/K2181</f>
        <v/>
      </c>
    </row>
    <row r="2182">
      <c r="A2182" s="58" t="inlineStr">
        <is>
          <t>RT20250226-02181</t>
        </is>
      </c>
      <c r="B2182" s="59" t="inlineStr">
        <is>
          <t>2025-02-26</t>
        </is>
      </c>
      <c r="C2182" s="60" t="inlineStr">
        <is>
          <t>Vertex Pantry Pro-165</t>
        </is>
      </c>
      <c r="D2182" s="58" t="inlineStr">
        <is>
          <t>Grocery</t>
        </is>
      </c>
      <c r="E2182" s="58" t="inlineStr">
        <is>
          <t>West</t>
        </is>
      </c>
      <c r="F2182" s="61" t="n">
        <v>8</v>
      </c>
      <c r="G2182" s="62" t="n">
        <v>19.94</v>
      </c>
      <c r="H2182" s="63" t="n">
        <v>0.027</v>
      </c>
      <c r="I2182" s="62" t="n">
        <v>11.82</v>
      </c>
      <c r="J2182" s="58" t="inlineStr">
        <is>
          <t>Store</t>
        </is>
      </c>
      <c r="K2182" s="62">
        <f>F2182*(G2182-H2182)</f>
        <v/>
      </c>
      <c r="L2182" s="62">
        <f>K2182-(F2182*I2182)</f>
        <v/>
      </c>
      <c r="M2182" s="64">
        <f>L2182/K2182</f>
        <v/>
      </c>
    </row>
    <row r="2183">
      <c r="A2183" s="58" t="inlineStr">
        <is>
          <t>RT20250226-02182</t>
        </is>
      </c>
      <c r="B2183" s="59" t="inlineStr">
        <is>
          <t>2025-02-26</t>
        </is>
      </c>
      <c r="C2183" s="60" t="inlineStr">
        <is>
          <t>Solace Team Sport Max-548</t>
        </is>
      </c>
      <c r="D2183" s="58" t="inlineStr">
        <is>
          <t>Sports</t>
        </is>
      </c>
      <c r="E2183" s="58" t="inlineStr">
        <is>
          <t>North</t>
        </is>
      </c>
      <c r="F2183" s="61" t="n">
        <v>3</v>
      </c>
      <c r="G2183" s="62" t="n">
        <v>615.9299999999999</v>
      </c>
      <c r="H2183" s="63" t="n">
        <v>0.138</v>
      </c>
      <c r="I2183" s="62" t="n">
        <v>469.3</v>
      </c>
      <c r="J2183" s="58" t="inlineStr">
        <is>
          <t>Online</t>
        </is>
      </c>
      <c r="K2183" s="62">
        <f>F2183*(G2183-H2183)</f>
        <v/>
      </c>
      <c r="L2183" s="62">
        <f>K2183-(F2183*I2183)</f>
        <v/>
      </c>
      <c r="M2183" s="64">
        <f>L2183/K2183</f>
        <v/>
      </c>
    </row>
    <row r="2184">
      <c r="A2184" s="58" t="inlineStr">
        <is>
          <t>RT20250226-02183</t>
        </is>
      </c>
      <c r="B2184" s="59" t="inlineStr">
        <is>
          <t>2025-02-26</t>
        </is>
      </c>
      <c r="C2184" s="60" t="inlineStr">
        <is>
          <t>Orion Storage Plus-961</t>
        </is>
      </c>
      <c r="D2184" s="58" t="inlineStr">
        <is>
          <t>Office</t>
        </is>
      </c>
      <c r="E2184" s="58" t="inlineStr">
        <is>
          <t>West</t>
        </is>
      </c>
      <c r="F2184" s="61" t="n">
        <v>1</v>
      </c>
      <c r="G2184" s="62" t="n">
        <v>554.35</v>
      </c>
      <c r="H2184" s="63" t="n">
        <v>0.07199999999999999</v>
      </c>
      <c r="I2184" s="62" t="n">
        <v>365.5</v>
      </c>
      <c r="J2184" s="58" t="inlineStr">
        <is>
          <t>Store</t>
        </is>
      </c>
      <c r="K2184" s="62">
        <f>F2184*(G2184-H2184)</f>
        <v/>
      </c>
      <c r="L2184" s="62">
        <f>K2184-(F2184*I2184)</f>
        <v/>
      </c>
      <c r="M2184" s="64">
        <f>L2184/K2184</f>
        <v/>
      </c>
    </row>
    <row r="2185">
      <c r="A2185" s="58" t="inlineStr">
        <is>
          <t>RT20250226-02184</t>
        </is>
      </c>
      <c r="B2185" s="59" t="inlineStr">
        <is>
          <t>2025-02-26</t>
        </is>
      </c>
      <c r="C2185" s="60" t="inlineStr">
        <is>
          <t>Vertex Furniture S-652</t>
        </is>
      </c>
      <c r="D2185" s="58" t="inlineStr">
        <is>
          <t>Office</t>
        </is>
      </c>
      <c r="E2185" s="58" t="inlineStr">
        <is>
          <t>North</t>
        </is>
      </c>
      <c r="F2185" s="61" t="n">
        <v>2</v>
      </c>
      <c r="G2185" s="62" t="n">
        <v>365.08</v>
      </c>
      <c r="H2185" s="63" t="n">
        <v>0.059</v>
      </c>
      <c r="I2185" s="62" t="n">
        <v>269.02</v>
      </c>
      <c r="J2185" s="58" t="inlineStr">
        <is>
          <t>Store</t>
        </is>
      </c>
      <c r="K2185" s="62">
        <f>F2185*(G2185-H2185)</f>
        <v/>
      </c>
      <c r="L2185" s="62">
        <f>K2185-(F2185*I2185)</f>
        <v/>
      </c>
      <c r="M2185" s="64">
        <f>L2185/K2185</f>
        <v/>
      </c>
    </row>
    <row r="2186">
      <c r="A2186" s="58" t="inlineStr">
        <is>
          <t>RT20250226-02185</t>
        </is>
      </c>
      <c r="B2186" s="59" t="inlineStr">
        <is>
          <t>2025-02-26</t>
        </is>
      </c>
      <c r="C2186" s="60" t="inlineStr">
        <is>
          <t>Solace Snack S-691</t>
        </is>
      </c>
      <c r="D2186" s="58" t="inlineStr">
        <is>
          <t>Grocery</t>
        </is>
      </c>
      <c r="E2186" s="58" t="inlineStr">
        <is>
          <t>West</t>
        </is>
      </c>
      <c r="F2186" s="61" t="n">
        <v>1</v>
      </c>
      <c r="G2186" s="62" t="n">
        <v>9.449999999999999</v>
      </c>
      <c r="H2186" s="63" t="n">
        <v>0.091</v>
      </c>
      <c r="I2186" s="62" t="n">
        <v>7.28</v>
      </c>
      <c r="J2186" s="58" t="inlineStr">
        <is>
          <t>Store</t>
        </is>
      </c>
      <c r="K2186" s="62">
        <f>F2186*(G2186-H2186)</f>
        <v/>
      </c>
      <c r="L2186" s="62">
        <f>K2186-(F2186*I2186)</f>
        <v/>
      </c>
      <c r="M2186" s="64">
        <f>L2186/K2186</f>
        <v/>
      </c>
    </row>
    <row r="2187">
      <c r="A2187" s="58" t="inlineStr">
        <is>
          <t>RT20250226-02186</t>
        </is>
      </c>
      <c r="B2187" s="59" t="inlineStr">
        <is>
          <t>2025-02-26</t>
        </is>
      </c>
      <c r="C2187" s="60" t="inlineStr">
        <is>
          <t>Polar Women Max-927</t>
        </is>
      </c>
      <c r="D2187" s="58" t="inlineStr">
        <is>
          <t>Apparel</t>
        </is>
      </c>
      <c r="E2187" s="58" t="inlineStr">
        <is>
          <t>East</t>
        </is>
      </c>
      <c r="F2187" s="61" t="n">
        <v>1</v>
      </c>
      <c r="G2187" s="62" t="n">
        <v>125.68</v>
      </c>
      <c r="H2187" s="63" t="n">
        <v>0.065</v>
      </c>
      <c r="I2187" s="62" t="n">
        <v>66.47</v>
      </c>
      <c r="J2187" s="58" t="inlineStr">
        <is>
          <t>Store</t>
        </is>
      </c>
      <c r="K2187" s="62">
        <f>F2187*(G2187-H2187)</f>
        <v/>
      </c>
      <c r="L2187" s="62">
        <f>K2187-(F2187*I2187)</f>
        <v/>
      </c>
      <c r="M2187" s="64">
        <f>L2187/K2187</f>
        <v/>
      </c>
    </row>
    <row r="2188">
      <c r="A2188" s="58" t="inlineStr">
        <is>
          <t>RT20250226-02187</t>
        </is>
      </c>
      <c r="B2188" s="59" t="inlineStr">
        <is>
          <t>2025-02-26</t>
        </is>
      </c>
      <c r="C2188" s="60" t="inlineStr">
        <is>
          <t>Polar Outdoor X-193</t>
        </is>
      </c>
      <c r="D2188" s="58" t="inlineStr">
        <is>
          <t>Sports</t>
        </is>
      </c>
      <c r="E2188" s="58" t="inlineStr">
        <is>
          <t>East</t>
        </is>
      </c>
      <c r="F2188" s="61" t="n">
        <v>3</v>
      </c>
      <c r="G2188" s="62" t="n">
        <v>732.17</v>
      </c>
      <c r="H2188" s="63" t="n">
        <v>0.06900000000000001</v>
      </c>
      <c r="I2188" s="62" t="n">
        <v>464.61</v>
      </c>
      <c r="J2188" s="58" t="inlineStr">
        <is>
          <t>Store</t>
        </is>
      </c>
      <c r="K2188" s="62">
        <f>F2188*(G2188-H2188)</f>
        <v/>
      </c>
      <c r="L2188" s="62">
        <f>K2188-(F2188*I2188)</f>
        <v/>
      </c>
      <c r="M2188" s="64">
        <f>L2188/K2188</f>
        <v/>
      </c>
    </row>
    <row r="2189">
      <c r="A2189" s="58" t="inlineStr">
        <is>
          <t>RT20250226-02188</t>
        </is>
      </c>
      <c r="B2189" s="59" t="inlineStr">
        <is>
          <t>2025-02-26</t>
        </is>
      </c>
      <c r="C2189" s="60" t="inlineStr">
        <is>
          <t>Polar Outdoor Lite-318</t>
        </is>
      </c>
      <c r="D2189" s="58" t="inlineStr">
        <is>
          <t>Sports</t>
        </is>
      </c>
      <c r="E2189" s="58" t="inlineStr">
        <is>
          <t>East</t>
        </is>
      </c>
      <c r="F2189" s="61" t="n">
        <v>1</v>
      </c>
      <c r="G2189" s="62" t="n">
        <v>671.6900000000001</v>
      </c>
      <c r="H2189" s="63" t="n">
        <v>0.13</v>
      </c>
      <c r="I2189" s="62" t="n">
        <v>458.61</v>
      </c>
      <c r="J2189" s="58" t="inlineStr">
        <is>
          <t>Store</t>
        </is>
      </c>
      <c r="K2189" s="62">
        <f>F2189*(G2189-H2189)</f>
        <v/>
      </c>
      <c r="L2189" s="62">
        <f>K2189-(F2189*I2189)</f>
        <v/>
      </c>
      <c r="M2189" s="64">
        <f>L2189/K2189</f>
        <v/>
      </c>
    </row>
    <row r="2190">
      <c r="A2190" s="58" t="inlineStr">
        <is>
          <t>RT20250226-02189</t>
        </is>
      </c>
      <c r="B2190" s="59" t="inlineStr">
        <is>
          <t>2025-02-26</t>
        </is>
      </c>
      <c r="C2190" s="60" t="inlineStr">
        <is>
          <t>Metro Accessorie Max-316</t>
        </is>
      </c>
      <c r="D2190" s="58" t="inlineStr">
        <is>
          <t>Apparel</t>
        </is>
      </c>
      <c r="E2190" s="58" t="inlineStr">
        <is>
          <t>East</t>
        </is>
      </c>
      <c r="F2190" s="61" t="n">
        <v>3</v>
      </c>
      <c r="G2190" s="62" t="n">
        <v>158.52</v>
      </c>
      <c r="H2190" s="63" t="n">
        <v>0.062</v>
      </c>
      <c r="I2190" s="62" t="n">
        <v>95.37</v>
      </c>
      <c r="J2190" s="58" t="inlineStr">
        <is>
          <t>Store</t>
        </is>
      </c>
      <c r="K2190" s="62">
        <f>F2190*(G2190-H2190)</f>
        <v/>
      </c>
      <c r="L2190" s="62">
        <f>K2190-(F2190*I2190)</f>
        <v/>
      </c>
      <c r="M2190" s="64">
        <f>L2190/K2190</f>
        <v/>
      </c>
    </row>
    <row r="2191">
      <c r="A2191" s="58" t="inlineStr">
        <is>
          <t>RT20250226-02190</t>
        </is>
      </c>
      <c r="B2191" s="59" t="inlineStr">
        <is>
          <t>2025-02-26</t>
        </is>
      </c>
      <c r="C2191" s="60" t="inlineStr">
        <is>
          <t>Vertex Pantry Pro-165</t>
        </is>
      </c>
      <c r="D2191" s="58" t="inlineStr">
        <is>
          <t>Grocery</t>
        </is>
      </c>
      <c r="E2191" s="58" t="inlineStr">
        <is>
          <t>East</t>
        </is>
      </c>
      <c r="F2191" s="61" t="n">
        <v>8</v>
      </c>
      <c r="G2191" s="62" t="n">
        <v>15.34</v>
      </c>
      <c r="H2191" s="63" t="n">
        <v>0.079</v>
      </c>
      <c r="I2191" s="62" t="n">
        <v>11.64</v>
      </c>
      <c r="J2191" s="58" t="inlineStr">
        <is>
          <t>Store</t>
        </is>
      </c>
      <c r="K2191" s="62">
        <f>F2191*(G2191-H2191)</f>
        <v/>
      </c>
      <c r="L2191" s="62">
        <f>K2191-(F2191*I2191)</f>
        <v/>
      </c>
      <c r="M2191" s="64">
        <f>L2191/K2191</f>
        <v/>
      </c>
    </row>
    <row r="2192">
      <c r="A2192" s="58" t="inlineStr">
        <is>
          <t>RT20250226-02191</t>
        </is>
      </c>
      <c r="B2192" s="59" t="inlineStr">
        <is>
          <t>2025-02-26</t>
        </is>
      </c>
      <c r="C2192" s="60" t="inlineStr">
        <is>
          <t>Aurora Bedding Plus-187</t>
        </is>
      </c>
      <c r="D2192" s="58" t="inlineStr">
        <is>
          <t>Home</t>
        </is>
      </c>
      <c r="E2192" s="58" t="inlineStr">
        <is>
          <t>West</t>
        </is>
      </c>
      <c r="F2192" s="61" t="n">
        <v>3</v>
      </c>
      <c r="G2192" s="62" t="n">
        <v>309.81</v>
      </c>
      <c r="H2192" s="63" t="n">
        <v>0.065</v>
      </c>
      <c r="I2192" s="62" t="n">
        <v>211.78</v>
      </c>
      <c r="J2192" s="58" t="inlineStr">
        <is>
          <t>Online</t>
        </is>
      </c>
      <c r="K2192" s="62">
        <f>F2192*(G2192-H2192)</f>
        <v/>
      </c>
      <c r="L2192" s="62">
        <f>K2192-(F2192*I2192)</f>
        <v/>
      </c>
      <c r="M2192" s="64">
        <f>L2192/K2192</f>
        <v/>
      </c>
    </row>
    <row r="2193">
      <c r="A2193" s="58" t="inlineStr">
        <is>
          <t>RT20250226-02192</t>
        </is>
      </c>
      <c r="B2193" s="59" t="inlineStr">
        <is>
          <t>2025-02-26</t>
        </is>
      </c>
      <c r="C2193" s="60" t="inlineStr">
        <is>
          <t>Vertex Pantry Pro-165</t>
        </is>
      </c>
      <c r="D2193" s="58" t="inlineStr">
        <is>
          <t>Grocery</t>
        </is>
      </c>
      <c r="E2193" s="58" t="inlineStr">
        <is>
          <t>North</t>
        </is>
      </c>
      <c r="F2193" s="61" t="n">
        <v>7</v>
      </c>
      <c r="G2193" s="62" t="n">
        <v>14.4</v>
      </c>
      <c r="H2193" s="63" t="n">
        <v>0.057</v>
      </c>
      <c r="I2193" s="62" t="n">
        <v>11.65</v>
      </c>
      <c r="J2193" s="58" t="inlineStr">
        <is>
          <t>Online</t>
        </is>
      </c>
      <c r="K2193" s="62">
        <f>F2193*(G2193-H2193)</f>
        <v/>
      </c>
      <c r="L2193" s="62">
        <f>K2193-(F2193*I2193)</f>
        <v/>
      </c>
      <c r="M2193" s="64">
        <f>L2193/K2193</f>
        <v/>
      </c>
    </row>
    <row r="2194">
      <c r="A2194" s="58" t="inlineStr">
        <is>
          <t>RT20250226-02193</t>
        </is>
      </c>
      <c r="B2194" s="59" t="inlineStr">
        <is>
          <t>2025-02-26</t>
        </is>
      </c>
      <c r="C2194" s="60" t="inlineStr">
        <is>
          <t>Aurora Fragrance S-971</t>
        </is>
      </c>
      <c r="D2194" s="58" t="inlineStr">
        <is>
          <t>Beauty</t>
        </is>
      </c>
      <c r="E2194" s="58" t="inlineStr">
        <is>
          <t>West</t>
        </is>
      </c>
      <c r="F2194" s="61" t="n">
        <v>4</v>
      </c>
      <c r="G2194" s="62" t="n">
        <v>121.51</v>
      </c>
      <c r="H2194" s="63" t="n">
        <v>0.066</v>
      </c>
      <c r="I2194" s="62" t="n">
        <v>65.55</v>
      </c>
      <c r="J2194" s="58" t="inlineStr">
        <is>
          <t>Online</t>
        </is>
      </c>
      <c r="K2194" s="62">
        <f>F2194*(G2194-H2194)</f>
        <v/>
      </c>
      <c r="L2194" s="62">
        <f>K2194-(F2194*I2194)</f>
        <v/>
      </c>
      <c r="M2194" s="64">
        <f>L2194/K2194</f>
        <v/>
      </c>
    </row>
    <row r="2195">
      <c r="A2195" s="58" t="inlineStr">
        <is>
          <t>RT20250226-02194</t>
        </is>
      </c>
      <c r="B2195" s="59" t="inlineStr">
        <is>
          <t>2025-02-26</t>
        </is>
      </c>
      <c r="C2195" s="60" t="inlineStr">
        <is>
          <t>Polar Bedding Lite-243</t>
        </is>
      </c>
      <c r="D2195" s="58" t="inlineStr">
        <is>
          <t>Home</t>
        </is>
      </c>
      <c r="E2195" s="58" t="inlineStr">
        <is>
          <t>North</t>
        </is>
      </c>
      <c r="F2195" s="61" t="n">
        <v>1</v>
      </c>
      <c r="G2195" s="62" t="n">
        <v>465.38</v>
      </c>
      <c r="H2195" s="63" t="n">
        <v>0.093</v>
      </c>
      <c r="I2195" s="62" t="n">
        <v>320.43</v>
      </c>
      <c r="J2195" s="58" t="inlineStr">
        <is>
          <t>Online</t>
        </is>
      </c>
      <c r="K2195" s="62">
        <f>F2195*(G2195-H2195)</f>
        <v/>
      </c>
      <c r="L2195" s="62">
        <f>K2195-(F2195*I2195)</f>
        <v/>
      </c>
      <c r="M2195" s="64">
        <f>L2195/K2195</f>
        <v/>
      </c>
    </row>
    <row r="2196">
      <c r="A2196" s="58" t="inlineStr">
        <is>
          <t>RT20250226-02195</t>
        </is>
      </c>
      <c r="B2196" s="59" t="inlineStr">
        <is>
          <t>2025-02-26</t>
        </is>
      </c>
      <c r="C2196" s="60" t="inlineStr">
        <is>
          <t>Vertex Smartphone Lite-267</t>
        </is>
      </c>
      <c r="D2196" s="58" t="inlineStr">
        <is>
          <t>Electronics</t>
        </is>
      </c>
      <c r="E2196" s="58" t="inlineStr">
        <is>
          <t>Central</t>
        </is>
      </c>
      <c r="F2196" s="61" t="n">
        <v>2</v>
      </c>
      <c r="G2196" s="62" t="n">
        <v>1295.46</v>
      </c>
      <c r="H2196" s="63" t="n">
        <v>0.042</v>
      </c>
      <c r="I2196" s="62" t="n">
        <v>999.86</v>
      </c>
      <c r="J2196" s="58" t="inlineStr">
        <is>
          <t>Store</t>
        </is>
      </c>
      <c r="K2196" s="62">
        <f>F2196*(G2196-H2196)</f>
        <v/>
      </c>
      <c r="L2196" s="62">
        <f>K2196-(F2196*I2196)</f>
        <v/>
      </c>
      <c r="M2196" s="64">
        <f>L2196/K2196</f>
        <v/>
      </c>
    </row>
    <row r="2197">
      <c r="A2197" s="58" t="inlineStr">
        <is>
          <t>RT20250226-02196</t>
        </is>
      </c>
      <c r="B2197" s="59" t="inlineStr">
        <is>
          <t>2025-02-26</t>
        </is>
      </c>
      <c r="C2197" s="60" t="inlineStr">
        <is>
          <t>Orion Beverage Plus-949</t>
        </is>
      </c>
      <c r="D2197" s="58" t="inlineStr">
        <is>
          <t>Grocery</t>
        </is>
      </c>
      <c r="E2197" s="58" t="inlineStr">
        <is>
          <t>Central</t>
        </is>
      </c>
      <c r="F2197" s="61" t="n">
        <v>1</v>
      </c>
      <c r="G2197" s="62" t="n">
        <v>20.09</v>
      </c>
      <c r="H2197" s="63" t="n">
        <v>0.097</v>
      </c>
      <c r="I2197" s="62" t="n">
        <v>13.32</v>
      </c>
      <c r="J2197" s="58" t="inlineStr">
        <is>
          <t>Store</t>
        </is>
      </c>
      <c r="K2197" s="62">
        <f>F2197*(G2197-H2197)</f>
        <v/>
      </c>
      <c r="L2197" s="62">
        <f>K2197-(F2197*I2197)</f>
        <v/>
      </c>
      <c r="M2197" s="64">
        <f>L2197/K2197</f>
        <v/>
      </c>
    </row>
    <row r="2198">
      <c r="A2198" s="58" t="inlineStr">
        <is>
          <t>RT20250226-02197</t>
        </is>
      </c>
      <c r="B2198" s="59" t="inlineStr">
        <is>
          <t>2025-02-26</t>
        </is>
      </c>
      <c r="C2198" s="60" t="inlineStr">
        <is>
          <t>Falcon Storage X-734</t>
        </is>
      </c>
      <c r="D2198" s="58" t="inlineStr">
        <is>
          <t>Office</t>
        </is>
      </c>
      <c r="E2198" s="58" t="inlineStr">
        <is>
          <t>South</t>
        </is>
      </c>
      <c r="F2198" s="61" t="n">
        <v>1</v>
      </c>
      <c r="G2198" s="62" t="n">
        <v>416.7</v>
      </c>
      <c r="H2198" s="63" t="n">
        <v>0.06900000000000001</v>
      </c>
      <c r="I2198" s="62" t="n">
        <v>284.62</v>
      </c>
      <c r="J2198" s="58" t="inlineStr">
        <is>
          <t>Store</t>
        </is>
      </c>
      <c r="K2198" s="62">
        <f>F2198*(G2198-H2198)</f>
        <v/>
      </c>
      <c r="L2198" s="62">
        <f>K2198-(F2198*I2198)</f>
        <v/>
      </c>
      <c r="M2198" s="64">
        <f>L2198/K2198</f>
        <v/>
      </c>
    </row>
    <row r="2199">
      <c r="A2199" s="58" t="inlineStr">
        <is>
          <t>RT20250226-02198</t>
        </is>
      </c>
      <c r="B2199" s="59" t="inlineStr">
        <is>
          <t>2025-02-26</t>
        </is>
      </c>
      <c r="C2199" s="60" t="inlineStr">
        <is>
          <t>Aurora Bedding Plus-187</t>
        </is>
      </c>
      <c r="D2199" s="58" t="inlineStr">
        <is>
          <t>Home</t>
        </is>
      </c>
      <c r="E2199" s="58" t="inlineStr">
        <is>
          <t>Central</t>
        </is>
      </c>
      <c r="F2199" s="61" t="n">
        <v>1</v>
      </c>
      <c r="G2199" s="62" t="n">
        <v>306.2</v>
      </c>
      <c r="H2199" s="63" t="n">
        <v>0.048</v>
      </c>
      <c r="I2199" s="62" t="n">
        <v>213.85</v>
      </c>
      <c r="J2199" s="58" t="inlineStr">
        <is>
          <t>Online</t>
        </is>
      </c>
      <c r="K2199" s="62">
        <f>F2199*(G2199-H2199)</f>
        <v/>
      </c>
      <c r="L2199" s="62">
        <f>K2199-(F2199*I2199)</f>
        <v/>
      </c>
      <c r="M2199" s="64">
        <f>L2199/K2199</f>
        <v/>
      </c>
    </row>
    <row r="2200">
      <c r="A2200" s="58" t="inlineStr">
        <is>
          <t>RT20250226-02199</t>
        </is>
      </c>
      <c r="B2200" s="59" t="inlineStr">
        <is>
          <t>2025-02-26</t>
        </is>
      </c>
      <c r="C2200" s="60" t="inlineStr">
        <is>
          <t>Vertex Supplie X-513</t>
        </is>
      </c>
      <c r="D2200" s="58" t="inlineStr">
        <is>
          <t>Office</t>
        </is>
      </c>
      <c r="E2200" s="58" t="inlineStr">
        <is>
          <t>South</t>
        </is>
      </c>
      <c r="F2200" s="61" t="n">
        <v>3</v>
      </c>
      <c r="G2200" s="62" t="n">
        <v>405.58</v>
      </c>
      <c r="H2200" s="63" t="n">
        <v>0.114</v>
      </c>
      <c r="I2200" s="62" t="n">
        <v>275.19</v>
      </c>
      <c r="J2200" s="58" t="inlineStr">
        <is>
          <t>Online</t>
        </is>
      </c>
      <c r="K2200" s="62">
        <f>F2200*(G2200-H2200)</f>
        <v/>
      </c>
      <c r="L2200" s="62">
        <f>K2200-(F2200*I2200)</f>
        <v/>
      </c>
      <c r="M2200" s="64">
        <f>L2200/K2200</f>
        <v/>
      </c>
    </row>
    <row r="2201">
      <c r="A2201" s="58" t="inlineStr">
        <is>
          <t>RT20250226-02200</t>
        </is>
      </c>
      <c r="B2201" s="59" t="inlineStr">
        <is>
          <t>2025-02-26</t>
        </is>
      </c>
      <c r="C2201" s="60" t="inlineStr">
        <is>
          <t>Falcon Household Plus-172</t>
        </is>
      </c>
      <c r="D2201" s="58" t="inlineStr">
        <is>
          <t>Grocery</t>
        </is>
      </c>
      <c r="E2201" s="58" t="inlineStr">
        <is>
          <t>East</t>
        </is>
      </c>
      <c r="F2201" s="61" t="n">
        <v>7</v>
      </c>
      <c r="G2201" s="62" t="n">
        <v>23.97</v>
      </c>
      <c r="H2201" s="63" t="n">
        <v>0.055</v>
      </c>
      <c r="I2201" s="62" t="n">
        <v>16.6</v>
      </c>
      <c r="J2201" s="58" t="inlineStr">
        <is>
          <t>Online</t>
        </is>
      </c>
      <c r="K2201" s="62">
        <f>F2201*(G2201-H2201)</f>
        <v/>
      </c>
      <c r="L2201" s="62">
        <f>K2201-(F2201*I2201)</f>
        <v/>
      </c>
      <c r="M2201" s="64">
        <f>L2201/K2201</f>
        <v/>
      </c>
    </row>
    <row r="2202">
      <c r="A2202" s="58" t="inlineStr">
        <is>
          <t>RT20250226-02201</t>
        </is>
      </c>
      <c r="B2202" s="59" t="inlineStr">
        <is>
          <t>2025-02-26</t>
        </is>
      </c>
      <c r="C2202" s="60" t="inlineStr">
        <is>
          <t>Orion Men X-928</t>
        </is>
      </c>
      <c r="D2202" s="58" t="inlineStr">
        <is>
          <t>Apparel</t>
        </is>
      </c>
      <c r="E2202" s="58" t="inlineStr">
        <is>
          <t>East</t>
        </is>
      </c>
      <c r="F2202" s="61" t="n">
        <v>4</v>
      </c>
      <c r="G2202" s="62" t="n">
        <v>112.43</v>
      </c>
      <c r="H2202" s="63" t="n">
        <v>0.054</v>
      </c>
      <c r="I2202" s="62" t="n">
        <v>60.85</v>
      </c>
      <c r="J2202" s="58" t="inlineStr">
        <is>
          <t>Store</t>
        </is>
      </c>
      <c r="K2202" s="62">
        <f>F2202*(G2202-H2202)</f>
        <v/>
      </c>
      <c r="L2202" s="62">
        <f>K2202-(F2202*I2202)</f>
        <v/>
      </c>
      <c r="M2202" s="64">
        <f>L2202/K2202</f>
        <v/>
      </c>
    </row>
    <row r="2203">
      <c r="A2203" s="58" t="inlineStr">
        <is>
          <t>RT20250226-02202</t>
        </is>
      </c>
      <c r="B2203" s="59" t="inlineStr">
        <is>
          <t>2025-02-26</t>
        </is>
      </c>
      <c r="C2203" s="60" t="inlineStr">
        <is>
          <t>Polar Cycling X-649</t>
        </is>
      </c>
      <c r="D2203" s="58" t="inlineStr">
        <is>
          <t>Sports</t>
        </is>
      </c>
      <c r="E2203" s="58" t="inlineStr">
        <is>
          <t>East</t>
        </is>
      </c>
      <c r="F2203" s="61" t="n">
        <v>2</v>
      </c>
      <c r="G2203" s="62" t="n">
        <v>581.64</v>
      </c>
      <c r="H2203" s="63" t="n">
        <v>0.044</v>
      </c>
      <c r="I2203" s="62" t="n">
        <v>368.9</v>
      </c>
      <c r="J2203" s="58" t="inlineStr">
        <is>
          <t>Online</t>
        </is>
      </c>
      <c r="K2203" s="62">
        <f>F2203*(G2203-H2203)</f>
        <v/>
      </c>
      <c r="L2203" s="62">
        <f>K2203-(F2203*I2203)</f>
        <v/>
      </c>
      <c r="M2203" s="64">
        <f>L2203/K2203</f>
        <v/>
      </c>
    </row>
    <row r="2204">
      <c r="A2204" s="58" t="inlineStr">
        <is>
          <t>RT20250226-02203</t>
        </is>
      </c>
      <c r="B2204" s="59" t="inlineStr">
        <is>
          <t>2025-02-26</t>
        </is>
      </c>
      <c r="C2204" s="60" t="inlineStr">
        <is>
          <t>Falcon Cycling Pro-499</t>
        </is>
      </c>
      <c r="D2204" s="58" t="inlineStr">
        <is>
          <t>Sports</t>
        </is>
      </c>
      <c r="E2204" s="58" t="inlineStr">
        <is>
          <t>South</t>
        </is>
      </c>
      <c r="F2204" s="61" t="n">
        <v>1</v>
      </c>
      <c r="G2204" s="62" t="n">
        <v>511.42</v>
      </c>
      <c r="H2204" s="63" t="n">
        <v>0.049</v>
      </c>
      <c r="I2204" s="62" t="n">
        <v>400.06</v>
      </c>
      <c r="J2204" s="58" t="inlineStr">
        <is>
          <t>Online</t>
        </is>
      </c>
      <c r="K2204" s="62">
        <f>F2204*(G2204-H2204)</f>
        <v/>
      </c>
      <c r="L2204" s="62">
        <f>K2204-(F2204*I2204)</f>
        <v/>
      </c>
      <c r="M2204" s="64">
        <f>L2204/K2204</f>
        <v/>
      </c>
    </row>
    <row r="2205">
      <c r="A2205" s="58" t="inlineStr">
        <is>
          <t>RT20250226-02204</t>
        </is>
      </c>
      <c r="B2205" s="59" t="inlineStr">
        <is>
          <t>2025-02-26</t>
        </is>
      </c>
      <c r="C2205" s="60" t="inlineStr">
        <is>
          <t>Aurora Fragrance S-971</t>
        </is>
      </c>
      <c r="D2205" s="58" t="inlineStr">
        <is>
          <t>Beauty</t>
        </is>
      </c>
      <c r="E2205" s="58" t="inlineStr">
        <is>
          <t>Central</t>
        </is>
      </c>
      <c r="F2205" s="61" t="n">
        <v>4</v>
      </c>
      <c r="G2205" s="62" t="n">
        <v>96.47</v>
      </c>
      <c r="H2205" s="63" t="n">
        <v>0.047</v>
      </c>
      <c r="I2205" s="62" t="n">
        <v>63.63</v>
      </c>
      <c r="J2205" s="58" t="inlineStr">
        <is>
          <t>Store</t>
        </is>
      </c>
      <c r="K2205" s="62">
        <f>F2205*(G2205-H2205)</f>
        <v/>
      </c>
      <c r="L2205" s="62">
        <f>K2205-(F2205*I2205)</f>
        <v/>
      </c>
      <c r="M2205" s="64">
        <f>L2205/K2205</f>
        <v/>
      </c>
    </row>
    <row r="2206">
      <c r="A2206" s="58" t="inlineStr">
        <is>
          <t>RT20250226-02205</t>
        </is>
      </c>
      <c r="B2206" s="59" t="inlineStr">
        <is>
          <t>2025-02-26</t>
        </is>
      </c>
      <c r="C2206" s="60" t="inlineStr">
        <is>
          <t>Orion Laptop S-350</t>
        </is>
      </c>
      <c r="D2206" s="58" t="inlineStr">
        <is>
          <t>Electronics</t>
        </is>
      </c>
      <c r="E2206" s="58" t="inlineStr">
        <is>
          <t>South</t>
        </is>
      </c>
      <c r="F2206" s="61" t="n">
        <v>1</v>
      </c>
      <c r="G2206" s="62" t="n">
        <v>1242.65</v>
      </c>
      <c r="H2206" s="63" t="n">
        <v>0.052</v>
      </c>
      <c r="I2206" s="62" t="n">
        <v>1097.63</v>
      </c>
      <c r="J2206" s="58" t="inlineStr">
        <is>
          <t>Online</t>
        </is>
      </c>
      <c r="K2206" s="62">
        <f>F2206*(G2206-H2206)</f>
        <v/>
      </c>
      <c r="L2206" s="62">
        <f>K2206-(F2206*I2206)</f>
        <v/>
      </c>
      <c r="M2206" s="64">
        <f>L2206/K2206</f>
        <v/>
      </c>
    </row>
    <row r="2207">
      <c r="A2207" s="58" t="inlineStr">
        <is>
          <t>RT20250226-02206</t>
        </is>
      </c>
      <c r="B2207" s="59" t="inlineStr">
        <is>
          <t>2025-02-26</t>
        </is>
      </c>
      <c r="C2207" s="60" t="inlineStr">
        <is>
          <t>Orion Kitchen Pro-568</t>
        </is>
      </c>
      <c r="D2207" s="58" t="inlineStr">
        <is>
          <t>Home</t>
        </is>
      </c>
      <c r="E2207" s="58" t="inlineStr">
        <is>
          <t>East</t>
        </is>
      </c>
      <c r="F2207" s="61" t="n">
        <v>2</v>
      </c>
      <c r="G2207" s="62" t="n">
        <v>505.26</v>
      </c>
      <c r="H2207" s="63" t="n">
        <v>0.073</v>
      </c>
      <c r="I2207" s="62" t="n">
        <v>306.93</v>
      </c>
      <c r="J2207" s="58" t="inlineStr">
        <is>
          <t>Online</t>
        </is>
      </c>
      <c r="K2207" s="62">
        <f>F2207*(G2207-H2207)</f>
        <v/>
      </c>
      <c r="L2207" s="62">
        <f>K2207-(F2207*I2207)</f>
        <v/>
      </c>
      <c r="M2207" s="64">
        <f>L2207/K2207</f>
        <v/>
      </c>
    </row>
    <row r="2208">
      <c r="A2208" s="58" t="inlineStr">
        <is>
          <t>RT20250226-02207</t>
        </is>
      </c>
      <c r="B2208" s="59" t="inlineStr">
        <is>
          <t>2025-02-26</t>
        </is>
      </c>
      <c r="C2208" s="60" t="inlineStr">
        <is>
          <t>Metro Accessorie Max-316</t>
        </is>
      </c>
      <c r="D2208" s="58" t="inlineStr">
        <is>
          <t>Apparel</t>
        </is>
      </c>
      <c r="E2208" s="58" t="inlineStr">
        <is>
          <t>South</t>
        </is>
      </c>
      <c r="F2208" s="61" t="n">
        <v>3</v>
      </c>
      <c r="G2208" s="62" t="n">
        <v>158.29</v>
      </c>
      <c r="H2208" s="63" t="n">
        <v>0.112</v>
      </c>
      <c r="I2208" s="62" t="n">
        <v>92.5</v>
      </c>
      <c r="J2208" s="58" t="inlineStr">
        <is>
          <t>Online</t>
        </is>
      </c>
      <c r="K2208" s="62">
        <f>F2208*(G2208-H2208)</f>
        <v/>
      </c>
      <c r="L2208" s="62">
        <f>K2208-(F2208*I2208)</f>
        <v/>
      </c>
      <c r="M2208" s="64">
        <f>L2208/K2208</f>
        <v/>
      </c>
    </row>
    <row r="2209">
      <c r="A2209" s="58" t="inlineStr">
        <is>
          <t>RT20250226-02208</t>
        </is>
      </c>
      <c r="B2209" s="59" t="inlineStr">
        <is>
          <t>2025-02-26</t>
        </is>
      </c>
      <c r="C2209" s="60" t="inlineStr">
        <is>
          <t>Aurora Fitnes Lite-194</t>
        </is>
      </c>
      <c r="D2209" s="58" t="inlineStr">
        <is>
          <t>Sports</t>
        </is>
      </c>
      <c r="E2209" s="58" t="inlineStr">
        <is>
          <t>South</t>
        </is>
      </c>
      <c r="F2209" s="61" t="n">
        <v>3</v>
      </c>
      <c r="G2209" s="62" t="n">
        <v>746.83</v>
      </c>
      <c r="H2209" s="63" t="n">
        <v>0.029</v>
      </c>
      <c r="I2209" s="62" t="n">
        <v>459.31</v>
      </c>
      <c r="J2209" s="58" t="inlineStr">
        <is>
          <t>Online</t>
        </is>
      </c>
      <c r="K2209" s="62">
        <f>F2209*(G2209-H2209)</f>
        <v/>
      </c>
      <c r="L2209" s="62">
        <f>K2209-(F2209*I2209)</f>
        <v/>
      </c>
      <c r="M2209" s="64">
        <f>L2209/K2209</f>
        <v/>
      </c>
    </row>
    <row r="2210">
      <c r="A2210" s="58" t="inlineStr">
        <is>
          <t>RT20250226-02209</t>
        </is>
      </c>
      <c r="B2210" s="59" t="inlineStr">
        <is>
          <t>2025-02-26</t>
        </is>
      </c>
      <c r="C2210" s="60" t="inlineStr">
        <is>
          <t>Nimbus Laptop Max-652</t>
        </is>
      </c>
      <c r="D2210" s="58" t="inlineStr">
        <is>
          <t>Electronics</t>
        </is>
      </c>
      <c r="E2210" s="58" t="inlineStr">
        <is>
          <t>North</t>
        </is>
      </c>
      <c r="F2210" s="61" t="n">
        <v>2</v>
      </c>
      <c r="G2210" s="62" t="n">
        <v>1310.35</v>
      </c>
      <c r="H2210" s="63" t="n">
        <v>0.018</v>
      </c>
      <c r="I2210" s="62" t="n">
        <v>1016.53</v>
      </c>
      <c r="J2210" s="58" t="inlineStr">
        <is>
          <t>Store</t>
        </is>
      </c>
      <c r="K2210" s="62">
        <f>F2210*(G2210-H2210)</f>
        <v/>
      </c>
      <c r="L2210" s="62">
        <f>K2210-(F2210*I2210)</f>
        <v/>
      </c>
      <c r="M2210" s="64">
        <f>L2210/K2210</f>
        <v/>
      </c>
    </row>
    <row r="2211">
      <c r="A2211" s="58" t="inlineStr">
        <is>
          <t>RT20250226-02210</t>
        </is>
      </c>
      <c r="B2211" s="59" t="inlineStr">
        <is>
          <t>2025-02-26</t>
        </is>
      </c>
      <c r="C2211" s="60" t="inlineStr">
        <is>
          <t>Nimbus Men Plus-231</t>
        </is>
      </c>
      <c r="D2211" s="58" t="inlineStr">
        <is>
          <t>Apparel</t>
        </is>
      </c>
      <c r="E2211" s="58" t="inlineStr">
        <is>
          <t>West</t>
        </is>
      </c>
      <c r="F2211" s="61" t="n">
        <v>1</v>
      </c>
      <c r="G2211" s="62" t="n">
        <v>164.87</v>
      </c>
      <c r="H2211" s="63" t="n">
        <v>0.076</v>
      </c>
      <c r="I2211" s="62" t="n">
        <v>89.14</v>
      </c>
      <c r="J2211" s="58" t="inlineStr">
        <is>
          <t>Store</t>
        </is>
      </c>
      <c r="K2211" s="62">
        <f>F2211*(G2211-H2211)</f>
        <v/>
      </c>
      <c r="L2211" s="62">
        <f>K2211-(F2211*I2211)</f>
        <v/>
      </c>
      <c r="M2211" s="64">
        <f>L2211/K2211</f>
        <v/>
      </c>
    </row>
    <row r="2212">
      <c r="A2212" s="58" t="inlineStr">
        <is>
          <t>RT20250226-02211</t>
        </is>
      </c>
      <c r="B2212" s="59" t="inlineStr">
        <is>
          <t>2025-02-26</t>
        </is>
      </c>
      <c r="C2212" s="60" t="inlineStr">
        <is>
          <t>Aurora Kid Plus-151</t>
        </is>
      </c>
      <c r="D2212" s="58" t="inlineStr">
        <is>
          <t>Apparel</t>
        </is>
      </c>
      <c r="E2212" s="58" t="inlineStr">
        <is>
          <t>East</t>
        </is>
      </c>
      <c r="F2212" s="61" t="n">
        <v>2</v>
      </c>
      <c r="G2212" s="62" t="n">
        <v>110.77</v>
      </c>
      <c r="H2212" s="63" t="n">
        <v>0.082</v>
      </c>
      <c r="I2212" s="62" t="n">
        <v>65.45</v>
      </c>
      <c r="J2212" s="58" t="inlineStr">
        <is>
          <t>Online</t>
        </is>
      </c>
      <c r="K2212" s="62">
        <f>F2212*(G2212-H2212)</f>
        <v/>
      </c>
      <c r="L2212" s="62">
        <f>K2212-(F2212*I2212)</f>
        <v/>
      </c>
      <c r="M2212" s="64">
        <f>L2212/K2212</f>
        <v/>
      </c>
    </row>
    <row r="2213">
      <c r="A2213" s="58" t="inlineStr">
        <is>
          <t>RT20250226-02212</t>
        </is>
      </c>
      <c r="B2213" s="59" t="inlineStr">
        <is>
          <t>2025-02-26</t>
        </is>
      </c>
      <c r="C2213" s="60" t="inlineStr">
        <is>
          <t>Orion Men X-928</t>
        </is>
      </c>
      <c r="D2213" s="58" t="inlineStr">
        <is>
          <t>Apparel</t>
        </is>
      </c>
      <c r="E2213" s="58" t="inlineStr">
        <is>
          <t>South</t>
        </is>
      </c>
      <c r="F2213" s="61" t="n">
        <v>1</v>
      </c>
      <c r="G2213" s="62" t="n">
        <v>116.82</v>
      </c>
      <c r="H2213" s="63" t="n">
        <v>0.099</v>
      </c>
      <c r="I2213" s="62" t="n">
        <v>63.24</v>
      </c>
      <c r="J2213" s="58" t="inlineStr">
        <is>
          <t>Store</t>
        </is>
      </c>
      <c r="K2213" s="62">
        <f>F2213*(G2213-H2213)</f>
        <v/>
      </c>
      <c r="L2213" s="62">
        <f>K2213-(F2213*I2213)</f>
        <v/>
      </c>
      <c r="M2213" s="64">
        <f>L2213/K2213</f>
        <v/>
      </c>
    </row>
    <row r="2214">
      <c r="A2214" s="58" t="inlineStr">
        <is>
          <t>RT20250226-02213</t>
        </is>
      </c>
      <c r="B2214" s="59" t="inlineStr">
        <is>
          <t>2025-02-26</t>
        </is>
      </c>
      <c r="C2214" s="60" t="inlineStr">
        <is>
          <t>Nimbus Storage Plus-646</t>
        </is>
      </c>
      <c r="D2214" s="58" t="inlineStr">
        <is>
          <t>Office</t>
        </is>
      </c>
      <c r="E2214" s="58" t="inlineStr">
        <is>
          <t>North</t>
        </is>
      </c>
      <c r="F2214" s="61" t="n">
        <v>2</v>
      </c>
      <c r="G2214" s="62" t="n">
        <v>450.49</v>
      </c>
      <c r="H2214" s="63" t="n">
        <v>0.046</v>
      </c>
      <c r="I2214" s="62" t="n">
        <v>320.93</v>
      </c>
      <c r="J2214" s="58" t="inlineStr">
        <is>
          <t>Online</t>
        </is>
      </c>
      <c r="K2214" s="62">
        <f>F2214*(G2214-H2214)</f>
        <v/>
      </c>
      <c r="L2214" s="62">
        <f>K2214-(F2214*I2214)</f>
        <v/>
      </c>
      <c r="M2214" s="64">
        <f>L2214/K2214</f>
        <v/>
      </c>
    </row>
    <row r="2215">
      <c r="A2215" s="58" t="inlineStr">
        <is>
          <t>RT20250226-02214</t>
        </is>
      </c>
      <c r="B2215" s="59" t="inlineStr">
        <is>
          <t>2025-02-26</t>
        </is>
      </c>
      <c r="C2215" s="60" t="inlineStr">
        <is>
          <t>Metro Decor Lite-325</t>
        </is>
      </c>
      <c r="D2215" s="58" t="inlineStr">
        <is>
          <t>Home</t>
        </is>
      </c>
      <c r="E2215" s="58" t="inlineStr">
        <is>
          <t>South</t>
        </is>
      </c>
      <c r="F2215" s="61" t="n">
        <v>3</v>
      </c>
      <c r="G2215" s="62" t="n">
        <v>504.88</v>
      </c>
      <c r="H2215" s="63" t="n">
        <v>0.012</v>
      </c>
      <c r="I2215" s="62" t="n">
        <v>374.39</v>
      </c>
      <c r="J2215" s="58" t="inlineStr">
        <is>
          <t>Online</t>
        </is>
      </c>
      <c r="K2215" s="62">
        <f>F2215*(G2215-H2215)</f>
        <v/>
      </c>
      <c r="L2215" s="62">
        <f>K2215-(F2215*I2215)</f>
        <v/>
      </c>
      <c r="M2215" s="64">
        <f>L2215/K2215</f>
        <v/>
      </c>
    </row>
    <row r="2216">
      <c r="A2216" s="58" t="inlineStr">
        <is>
          <t>RT20250226-02215</t>
        </is>
      </c>
      <c r="B2216" s="59" t="inlineStr">
        <is>
          <t>2025-02-26</t>
        </is>
      </c>
      <c r="C2216" s="60" t="inlineStr">
        <is>
          <t>Aurora Appliance Lite-109</t>
        </is>
      </c>
      <c r="D2216" s="58" t="inlineStr">
        <is>
          <t>Home</t>
        </is>
      </c>
      <c r="E2216" s="58" t="inlineStr">
        <is>
          <t>West</t>
        </is>
      </c>
      <c r="F2216" s="61" t="n">
        <v>2</v>
      </c>
      <c r="G2216" s="62" t="n">
        <v>288.44</v>
      </c>
      <c r="H2216" s="63" t="n">
        <v>0.116</v>
      </c>
      <c r="I2216" s="62" t="n">
        <v>205.14</v>
      </c>
      <c r="J2216" s="58" t="inlineStr">
        <is>
          <t>Store</t>
        </is>
      </c>
      <c r="K2216" s="62">
        <f>F2216*(G2216-H2216)</f>
        <v/>
      </c>
      <c r="L2216" s="62">
        <f>K2216-(F2216*I2216)</f>
        <v/>
      </c>
      <c r="M2216" s="64">
        <f>L2216/K2216</f>
        <v/>
      </c>
    </row>
    <row r="2217">
      <c r="A2217" s="58" t="inlineStr">
        <is>
          <t>RT20250226-02216</t>
        </is>
      </c>
      <c r="B2217" s="59" t="inlineStr">
        <is>
          <t>2025-02-26</t>
        </is>
      </c>
      <c r="C2217" s="60" t="inlineStr">
        <is>
          <t>Polar Cycling X-649</t>
        </is>
      </c>
      <c r="D2217" s="58" t="inlineStr">
        <is>
          <t>Sports</t>
        </is>
      </c>
      <c r="E2217" s="58" t="inlineStr">
        <is>
          <t>East</t>
        </is>
      </c>
      <c r="F2217" s="61" t="n">
        <v>1</v>
      </c>
      <c r="G2217" s="62" t="n">
        <v>607.9400000000001</v>
      </c>
      <c r="H2217" s="63" t="n">
        <v>0.08599999999999999</v>
      </c>
      <c r="I2217" s="62" t="n">
        <v>357.89</v>
      </c>
      <c r="J2217" s="58" t="inlineStr">
        <is>
          <t>Store</t>
        </is>
      </c>
      <c r="K2217" s="62">
        <f>F2217*(G2217-H2217)</f>
        <v/>
      </c>
      <c r="L2217" s="62">
        <f>K2217-(F2217*I2217)</f>
        <v/>
      </c>
      <c r="M2217" s="64">
        <f>L2217/K2217</f>
        <v/>
      </c>
    </row>
    <row r="2218">
      <c r="A2218" s="58" t="inlineStr">
        <is>
          <t>RT20250226-02217</t>
        </is>
      </c>
      <c r="B2218" s="59" t="inlineStr">
        <is>
          <t>2025-02-26</t>
        </is>
      </c>
      <c r="C2218" s="60" t="inlineStr">
        <is>
          <t>Orion Supplie S-612</t>
        </is>
      </c>
      <c r="D2218" s="58" t="inlineStr">
        <is>
          <t>Office</t>
        </is>
      </c>
      <c r="E2218" s="58" t="inlineStr">
        <is>
          <t>West</t>
        </is>
      </c>
      <c r="F2218" s="61" t="n">
        <v>3</v>
      </c>
      <c r="G2218" s="62" t="n">
        <v>480.55</v>
      </c>
      <c r="H2218" s="63" t="n">
        <v>0.089</v>
      </c>
      <c r="I2218" s="62" t="n">
        <v>343.45</v>
      </c>
      <c r="J2218" s="58" t="inlineStr">
        <is>
          <t>Online</t>
        </is>
      </c>
      <c r="K2218" s="62">
        <f>F2218*(G2218-H2218)</f>
        <v/>
      </c>
      <c r="L2218" s="62">
        <f>K2218-(F2218*I2218)</f>
        <v/>
      </c>
      <c r="M2218" s="64">
        <f>L2218/K2218</f>
        <v/>
      </c>
    </row>
    <row r="2219">
      <c r="A2219" s="58" t="inlineStr">
        <is>
          <t>RT20250226-02218</t>
        </is>
      </c>
      <c r="B2219" s="59" t="inlineStr">
        <is>
          <t>2025-02-26</t>
        </is>
      </c>
      <c r="C2219" s="60" t="inlineStr">
        <is>
          <t>Orion Haircare Plus-887</t>
        </is>
      </c>
      <c r="D2219" s="58" t="inlineStr">
        <is>
          <t>Beauty</t>
        </is>
      </c>
      <c r="E2219" s="58" t="inlineStr">
        <is>
          <t>South</t>
        </is>
      </c>
      <c r="F2219" s="61" t="n">
        <v>5</v>
      </c>
      <c r="G2219" s="62" t="n">
        <v>53.98</v>
      </c>
      <c r="H2219" s="63" t="n">
        <v>0.008999999999999999</v>
      </c>
      <c r="I2219" s="62" t="n">
        <v>30.87</v>
      </c>
      <c r="J2219" s="58" t="inlineStr">
        <is>
          <t>Phone</t>
        </is>
      </c>
      <c r="K2219" s="62">
        <f>F2219*(G2219-H2219)</f>
        <v/>
      </c>
      <c r="L2219" s="62">
        <f>K2219-(F2219*I2219)</f>
        <v/>
      </c>
      <c r="M2219" s="64">
        <f>L2219/K2219</f>
        <v/>
      </c>
    </row>
    <row r="2220">
      <c r="A2220" s="58" t="inlineStr">
        <is>
          <t>RT20250226-02219</t>
        </is>
      </c>
      <c r="B2220" s="59" t="inlineStr">
        <is>
          <t>2025-02-26</t>
        </is>
      </c>
      <c r="C2220" s="60" t="inlineStr">
        <is>
          <t>Polar Laptop Plus-984</t>
        </is>
      </c>
      <c r="D2220" s="58" t="inlineStr">
        <is>
          <t>Electronics</t>
        </is>
      </c>
      <c r="E2220" s="58" t="inlineStr">
        <is>
          <t>East</t>
        </is>
      </c>
      <c r="F2220" s="61" t="n">
        <v>2</v>
      </c>
      <c r="G2220" s="62" t="n">
        <v>1243.65</v>
      </c>
      <c r="H2220" s="63" t="n">
        <v>0.051</v>
      </c>
      <c r="I2220" s="62" t="n">
        <v>999.33</v>
      </c>
      <c r="J2220" s="58" t="inlineStr">
        <is>
          <t>Online</t>
        </is>
      </c>
      <c r="K2220" s="62">
        <f>F2220*(G2220-H2220)</f>
        <v/>
      </c>
      <c r="L2220" s="62">
        <f>K2220-(F2220*I2220)</f>
        <v/>
      </c>
      <c r="M2220" s="64">
        <f>L2220/K2220</f>
        <v/>
      </c>
    </row>
    <row r="2221">
      <c r="A2221" s="58" t="inlineStr">
        <is>
          <t>RT20250226-02220</t>
        </is>
      </c>
      <c r="B2221" s="59" t="inlineStr">
        <is>
          <t>2025-02-26</t>
        </is>
      </c>
      <c r="C2221" s="60" t="inlineStr">
        <is>
          <t>Falcon Headphone Pro-713</t>
        </is>
      </c>
      <c r="D2221" s="58" t="inlineStr">
        <is>
          <t>Electronics</t>
        </is>
      </c>
      <c r="E2221" s="58" t="inlineStr">
        <is>
          <t>East</t>
        </is>
      </c>
      <c r="F2221" s="61" t="n">
        <v>1</v>
      </c>
      <c r="G2221" s="62" t="n">
        <v>1694.65</v>
      </c>
      <c r="H2221" s="63" t="n">
        <v>0.012</v>
      </c>
      <c r="I2221" s="62" t="n">
        <v>1195.37</v>
      </c>
      <c r="J2221" s="58" t="inlineStr">
        <is>
          <t>Online</t>
        </is>
      </c>
      <c r="K2221" s="62">
        <f>F2221*(G2221-H2221)</f>
        <v/>
      </c>
      <c r="L2221" s="62">
        <f>K2221-(F2221*I2221)</f>
        <v/>
      </c>
      <c r="M2221" s="64">
        <f>L2221/K2221</f>
        <v/>
      </c>
    </row>
    <row r="2222">
      <c r="A2222" s="58" t="inlineStr">
        <is>
          <t>RT20250226-02221</t>
        </is>
      </c>
      <c r="B2222" s="59" t="inlineStr">
        <is>
          <t>2025-02-26</t>
        </is>
      </c>
      <c r="C2222" s="60" t="inlineStr">
        <is>
          <t>Falcon Bedding S-674</t>
        </is>
      </c>
      <c r="D2222" s="58" t="inlineStr">
        <is>
          <t>Home</t>
        </is>
      </c>
      <c r="E2222" s="58" t="inlineStr">
        <is>
          <t>South</t>
        </is>
      </c>
      <c r="F2222" s="61" t="n">
        <v>1</v>
      </c>
      <c r="G2222" s="62" t="n">
        <v>613.45</v>
      </c>
      <c r="H2222" s="63" t="n">
        <v>0.024</v>
      </c>
      <c r="I2222" s="62" t="n">
        <v>451.52</v>
      </c>
      <c r="J2222" s="58" t="inlineStr">
        <is>
          <t>Phone</t>
        </is>
      </c>
      <c r="K2222" s="62">
        <f>F2222*(G2222-H2222)</f>
        <v/>
      </c>
      <c r="L2222" s="62">
        <f>K2222-(F2222*I2222)</f>
        <v/>
      </c>
      <c r="M2222" s="64">
        <f>L2222/K2222</f>
        <v/>
      </c>
    </row>
    <row r="2223">
      <c r="A2223" s="58" t="inlineStr">
        <is>
          <t>RT20250226-02222</t>
        </is>
      </c>
      <c r="B2223" s="59" t="inlineStr">
        <is>
          <t>2025-02-26</t>
        </is>
      </c>
      <c r="C2223" s="60" t="inlineStr">
        <is>
          <t>Polar Fragrance Pro-750</t>
        </is>
      </c>
      <c r="D2223" s="58" t="inlineStr">
        <is>
          <t>Beauty</t>
        </is>
      </c>
      <c r="E2223" s="58" t="inlineStr">
        <is>
          <t>South</t>
        </is>
      </c>
      <c r="F2223" s="61" t="n">
        <v>2</v>
      </c>
      <c r="G2223" s="62" t="n">
        <v>62.75</v>
      </c>
      <c r="H2223" s="63" t="n">
        <v>0.083</v>
      </c>
      <c r="I2223" s="62" t="n">
        <v>36.41</v>
      </c>
      <c r="J2223" s="58" t="inlineStr">
        <is>
          <t>Phone</t>
        </is>
      </c>
      <c r="K2223" s="62">
        <f>F2223*(G2223-H2223)</f>
        <v/>
      </c>
      <c r="L2223" s="62">
        <f>K2223-(F2223*I2223)</f>
        <v/>
      </c>
      <c r="M2223" s="64">
        <f>L2223/K2223</f>
        <v/>
      </c>
    </row>
    <row r="2224">
      <c r="A2224" s="58" t="inlineStr">
        <is>
          <t>RT20250227-02223</t>
        </is>
      </c>
      <c r="B2224" s="59" t="inlineStr">
        <is>
          <t>2025-02-27</t>
        </is>
      </c>
      <c r="C2224" s="60" t="inlineStr">
        <is>
          <t>Metro Pantry Max-180</t>
        </is>
      </c>
      <c r="D2224" s="58" t="inlineStr">
        <is>
          <t>Grocery</t>
        </is>
      </c>
      <c r="E2224" s="58" t="inlineStr">
        <is>
          <t>South</t>
        </is>
      </c>
      <c r="F2224" s="61" t="n">
        <v>5</v>
      </c>
      <c r="G2224" s="62" t="n">
        <v>10.3</v>
      </c>
      <c r="H2224" s="63" t="n">
        <v>0.063</v>
      </c>
      <c r="I2224" s="62" t="n">
        <v>6.66</v>
      </c>
      <c r="J2224" s="58" t="inlineStr">
        <is>
          <t>Store</t>
        </is>
      </c>
      <c r="K2224" s="62">
        <f>F2224*(G2224-H2224)</f>
        <v/>
      </c>
      <c r="L2224" s="62">
        <f>K2224-(F2224*I2224)</f>
        <v/>
      </c>
      <c r="M2224" s="64">
        <f>L2224/K2224</f>
        <v/>
      </c>
    </row>
    <row r="2225">
      <c r="A2225" s="58" t="inlineStr">
        <is>
          <t>RT20250227-02224</t>
        </is>
      </c>
      <c r="B2225" s="59" t="inlineStr">
        <is>
          <t>2025-02-27</t>
        </is>
      </c>
      <c r="C2225" s="60" t="inlineStr">
        <is>
          <t>Solace Team Sport Max-548</t>
        </is>
      </c>
      <c r="D2225" s="58" t="inlineStr">
        <is>
          <t>Sports</t>
        </is>
      </c>
      <c r="E2225" s="58" t="inlineStr">
        <is>
          <t>East</t>
        </is>
      </c>
      <c r="F2225" s="61" t="n">
        <v>2</v>
      </c>
      <c r="G2225" s="62" t="n">
        <v>753.62</v>
      </c>
      <c r="H2225" s="63" t="n">
        <v>0.029</v>
      </c>
      <c r="I2225" s="62" t="n">
        <v>491.21</v>
      </c>
      <c r="J2225" s="58" t="inlineStr">
        <is>
          <t>Online</t>
        </is>
      </c>
      <c r="K2225" s="62">
        <f>F2225*(G2225-H2225)</f>
        <v/>
      </c>
      <c r="L2225" s="62">
        <f>K2225-(F2225*I2225)</f>
        <v/>
      </c>
      <c r="M2225" s="64">
        <f>L2225/K2225</f>
        <v/>
      </c>
    </row>
    <row r="2226">
      <c r="A2226" s="58" t="inlineStr">
        <is>
          <t>RT20250227-02225</t>
        </is>
      </c>
      <c r="B2226" s="59" t="inlineStr">
        <is>
          <t>2025-02-27</t>
        </is>
      </c>
      <c r="C2226" s="60" t="inlineStr">
        <is>
          <t>Falcon Storage X-734</t>
        </is>
      </c>
      <c r="D2226" s="58" t="inlineStr">
        <is>
          <t>Office</t>
        </is>
      </c>
      <c r="E2226" s="58" t="inlineStr">
        <is>
          <t>South</t>
        </is>
      </c>
      <c r="F2226" s="61" t="n">
        <v>1</v>
      </c>
      <c r="G2226" s="62" t="n">
        <v>388.97</v>
      </c>
      <c r="H2226" s="63" t="n">
        <v>0.041</v>
      </c>
      <c r="I2226" s="62" t="n">
        <v>288.26</v>
      </c>
      <c r="J2226" s="58" t="inlineStr">
        <is>
          <t>Store</t>
        </is>
      </c>
      <c r="K2226" s="62">
        <f>F2226*(G2226-H2226)</f>
        <v/>
      </c>
      <c r="L2226" s="62">
        <f>K2226-(F2226*I2226)</f>
        <v/>
      </c>
      <c r="M2226" s="64">
        <f>L2226/K2226</f>
        <v/>
      </c>
    </row>
    <row r="2227">
      <c r="A2227" s="58" t="inlineStr">
        <is>
          <t>RT20250227-02226</t>
        </is>
      </c>
      <c r="B2227" s="59" t="inlineStr">
        <is>
          <t>2025-02-27</t>
        </is>
      </c>
      <c r="C2227" s="60" t="inlineStr">
        <is>
          <t>Aurora Team Sport Plus-256</t>
        </is>
      </c>
      <c r="D2227" s="58" t="inlineStr">
        <is>
          <t>Sports</t>
        </is>
      </c>
      <c r="E2227" s="58" t="inlineStr">
        <is>
          <t>Central</t>
        </is>
      </c>
      <c r="F2227" s="61" t="n">
        <v>3</v>
      </c>
      <c r="G2227" s="62" t="n">
        <v>700.16</v>
      </c>
      <c r="H2227" s="63" t="n">
        <v>0.044</v>
      </c>
      <c r="I2227" s="62" t="n">
        <v>417.21</v>
      </c>
      <c r="J2227" s="58" t="inlineStr">
        <is>
          <t>Online</t>
        </is>
      </c>
      <c r="K2227" s="62">
        <f>F2227*(G2227-H2227)</f>
        <v/>
      </c>
      <c r="L2227" s="62">
        <f>K2227-(F2227*I2227)</f>
        <v/>
      </c>
      <c r="M2227" s="64">
        <f>L2227/K2227</f>
        <v/>
      </c>
    </row>
    <row r="2228">
      <c r="A2228" s="58" t="inlineStr">
        <is>
          <t>RT20250227-02227</t>
        </is>
      </c>
      <c r="B2228" s="59" t="inlineStr">
        <is>
          <t>2025-02-27</t>
        </is>
      </c>
      <c r="C2228" s="60" t="inlineStr">
        <is>
          <t>Metro Accessorie Lite-697</t>
        </is>
      </c>
      <c r="D2228" s="58" t="inlineStr">
        <is>
          <t>Apparel</t>
        </is>
      </c>
      <c r="E2228" s="58" t="inlineStr">
        <is>
          <t>East</t>
        </is>
      </c>
      <c r="F2228" s="61" t="n">
        <v>3</v>
      </c>
      <c r="G2228" s="62" t="n">
        <v>131.48</v>
      </c>
      <c r="H2228" s="63" t="n">
        <v>0.061</v>
      </c>
      <c r="I2228" s="62" t="n">
        <v>77.01000000000001</v>
      </c>
      <c r="J2228" s="58" t="inlineStr">
        <is>
          <t>Online</t>
        </is>
      </c>
      <c r="K2228" s="62">
        <f>F2228*(G2228-H2228)</f>
        <v/>
      </c>
      <c r="L2228" s="62">
        <f>K2228-(F2228*I2228)</f>
        <v/>
      </c>
      <c r="M2228" s="64">
        <f>L2228/K2228</f>
        <v/>
      </c>
    </row>
    <row r="2229">
      <c r="A2229" s="58" t="inlineStr">
        <is>
          <t>RT20250227-02228</t>
        </is>
      </c>
      <c r="B2229" s="59" t="inlineStr">
        <is>
          <t>2025-02-27</t>
        </is>
      </c>
      <c r="C2229" s="60" t="inlineStr">
        <is>
          <t>Falcon Household Pro-865</t>
        </is>
      </c>
      <c r="D2229" s="58" t="inlineStr">
        <is>
          <t>Grocery</t>
        </is>
      </c>
      <c r="E2229" s="58" t="inlineStr">
        <is>
          <t>South</t>
        </is>
      </c>
      <c r="F2229" s="61" t="n">
        <v>6</v>
      </c>
      <c r="G2229" s="62" t="n">
        <v>9.67</v>
      </c>
      <c r="H2229" s="63" t="n">
        <v>0.044</v>
      </c>
      <c r="I2229" s="62" t="n">
        <v>7.58</v>
      </c>
      <c r="J2229" s="58" t="inlineStr">
        <is>
          <t>Store</t>
        </is>
      </c>
      <c r="K2229" s="62">
        <f>F2229*(G2229-H2229)</f>
        <v/>
      </c>
      <c r="L2229" s="62">
        <f>K2229-(F2229*I2229)</f>
        <v/>
      </c>
      <c r="M2229" s="64">
        <f>L2229/K2229</f>
        <v/>
      </c>
    </row>
    <row r="2230">
      <c r="A2230" s="58" t="inlineStr">
        <is>
          <t>RT20250227-02229</t>
        </is>
      </c>
      <c r="B2230" s="59" t="inlineStr">
        <is>
          <t>2025-02-27</t>
        </is>
      </c>
      <c r="C2230" s="60" t="inlineStr">
        <is>
          <t>Aurora Wearable Lite-162</t>
        </is>
      </c>
      <c r="D2230" s="58" t="inlineStr">
        <is>
          <t>Electronics</t>
        </is>
      </c>
      <c r="E2230" s="58" t="inlineStr">
        <is>
          <t>West</t>
        </is>
      </c>
      <c r="F2230" s="61" t="n">
        <v>2</v>
      </c>
      <c r="G2230" s="62" t="n">
        <v>1452.06</v>
      </c>
      <c r="H2230" s="63" t="n">
        <v>0.047</v>
      </c>
      <c r="I2230" s="62" t="n">
        <v>1164.9</v>
      </c>
      <c r="J2230" s="58" t="inlineStr">
        <is>
          <t>Online</t>
        </is>
      </c>
      <c r="K2230" s="62">
        <f>F2230*(G2230-H2230)</f>
        <v/>
      </c>
      <c r="L2230" s="62">
        <f>K2230-(F2230*I2230)</f>
        <v/>
      </c>
      <c r="M2230" s="64">
        <f>L2230/K2230</f>
        <v/>
      </c>
    </row>
    <row r="2231">
      <c r="A2231" s="58" t="inlineStr">
        <is>
          <t>RT20250227-02230</t>
        </is>
      </c>
      <c r="B2231" s="59" t="inlineStr">
        <is>
          <t>2025-02-27</t>
        </is>
      </c>
      <c r="C2231" s="60" t="inlineStr">
        <is>
          <t>Orion Kitchen Pro-568</t>
        </is>
      </c>
      <c r="D2231" s="58" t="inlineStr">
        <is>
          <t>Home</t>
        </is>
      </c>
      <c r="E2231" s="58" t="inlineStr">
        <is>
          <t>East</t>
        </is>
      </c>
      <c r="F2231" s="61" t="n">
        <v>1</v>
      </c>
      <c r="G2231" s="62" t="n">
        <v>423.21</v>
      </c>
      <c r="H2231" s="63" t="n">
        <v>0.07199999999999999</v>
      </c>
      <c r="I2231" s="62" t="n">
        <v>313.22</v>
      </c>
      <c r="J2231" s="58" t="inlineStr">
        <is>
          <t>Online</t>
        </is>
      </c>
      <c r="K2231" s="62">
        <f>F2231*(G2231-H2231)</f>
        <v/>
      </c>
      <c r="L2231" s="62">
        <f>K2231-(F2231*I2231)</f>
        <v/>
      </c>
      <c r="M2231" s="64">
        <f>L2231/K2231</f>
        <v/>
      </c>
    </row>
    <row r="2232">
      <c r="A2232" s="58" t="inlineStr">
        <is>
          <t>RT20250227-02231</t>
        </is>
      </c>
      <c r="B2232" s="59" t="inlineStr">
        <is>
          <t>2025-02-27</t>
        </is>
      </c>
      <c r="C2232" s="60" t="inlineStr">
        <is>
          <t>Polar Decor Plus-505</t>
        </is>
      </c>
      <c r="D2232" s="58" t="inlineStr">
        <is>
          <t>Home</t>
        </is>
      </c>
      <c r="E2232" s="58" t="inlineStr">
        <is>
          <t>Central</t>
        </is>
      </c>
      <c r="F2232" s="61" t="n">
        <v>2</v>
      </c>
      <c r="G2232" s="62" t="n">
        <v>295.27</v>
      </c>
      <c r="H2232" s="63" t="n">
        <v>0.042</v>
      </c>
      <c r="I2232" s="62" t="n">
        <v>195.39</v>
      </c>
      <c r="J2232" s="58" t="inlineStr">
        <is>
          <t>Store</t>
        </is>
      </c>
      <c r="K2232" s="62">
        <f>F2232*(G2232-H2232)</f>
        <v/>
      </c>
      <c r="L2232" s="62">
        <f>K2232-(F2232*I2232)</f>
        <v/>
      </c>
      <c r="M2232" s="64">
        <f>L2232/K2232</f>
        <v/>
      </c>
    </row>
    <row r="2233">
      <c r="A2233" s="58" t="inlineStr">
        <is>
          <t>RT20250227-02232</t>
        </is>
      </c>
      <c r="B2233" s="59" t="inlineStr">
        <is>
          <t>2025-02-27</t>
        </is>
      </c>
      <c r="C2233" s="60" t="inlineStr">
        <is>
          <t>Vertex Supplie X-513</t>
        </is>
      </c>
      <c r="D2233" s="58" t="inlineStr">
        <is>
          <t>Office</t>
        </is>
      </c>
      <c r="E2233" s="58" t="inlineStr">
        <is>
          <t>South</t>
        </is>
      </c>
      <c r="F2233" s="61" t="n">
        <v>2</v>
      </c>
      <c r="G2233" s="62" t="n">
        <v>372.46</v>
      </c>
      <c r="H2233" s="63" t="n">
        <v>0.068</v>
      </c>
      <c r="I2233" s="62" t="n">
        <v>276.62</v>
      </c>
      <c r="J2233" s="58" t="inlineStr">
        <is>
          <t>Online</t>
        </is>
      </c>
      <c r="K2233" s="62">
        <f>F2233*(G2233-H2233)</f>
        <v/>
      </c>
      <c r="L2233" s="62">
        <f>K2233-(F2233*I2233)</f>
        <v/>
      </c>
      <c r="M2233" s="64">
        <f>L2233/K2233</f>
        <v/>
      </c>
    </row>
    <row r="2234">
      <c r="A2234" s="58" t="inlineStr">
        <is>
          <t>RT20250227-02233</t>
        </is>
      </c>
      <c r="B2234" s="59" t="inlineStr">
        <is>
          <t>2025-02-27</t>
        </is>
      </c>
      <c r="C2234" s="60" t="inlineStr">
        <is>
          <t>Orion Snack X-322</t>
        </is>
      </c>
      <c r="D2234" s="58" t="inlineStr">
        <is>
          <t>Grocery</t>
        </is>
      </c>
      <c r="E2234" s="58" t="inlineStr">
        <is>
          <t>North</t>
        </is>
      </c>
      <c r="F2234" s="61" t="n">
        <v>3</v>
      </c>
      <c r="G2234" s="62" t="n">
        <v>12.85</v>
      </c>
      <c r="H2234" s="63" t="n">
        <v>0.07199999999999999</v>
      </c>
      <c r="I2234" s="62" t="n">
        <v>9.91</v>
      </c>
      <c r="J2234" s="58" t="inlineStr">
        <is>
          <t>Online</t>
        </is>
      </c>
      <c r="K2234" s="62">
        <f>F2234*(G2234-H2234)</f>
        <v/>
      </c>
      <c r="L2234" s="62">
        <f>K2234-(F2234*I2234)</f>
        <v/>
      </c>
      <c r="M2234" s="64">
        <f>L2234/K2234</f>
        <v/>
      </c>
    </row>
    <row r="2235">
      <c r="A2235" s="58" t="inlineStr">
        <is>
          <t>RT20250227-02234</t>
        </is>
      </c>
      <c r="B2235" s="59" t="inlineStr">
        <is>
          <t>2025-02-27</t>
        </is>
      </c>
      <c r="C2235" s="60" t="inlineStr">
        <is>
          <t>Orion Storage Plus-961</t>
        </is>
      </c>
      <c r="D2235" s="58" t="inlineStr">
        <is>
          <t>Office</t>
        </is>
      </c>
      <c r="E2235" s="58" t="inlineStr">
        <is>
          <t>East</t>
        </is>
      </c>
      <c r="F2235" s="61" t="n">
        <v>2</v>
      </c>
      <c r="G2235" s="62" t="n">
        <v>533.97</v>
      </c>
      <c r="H2235" s="63" t="n">
        <v>0.056</v>
      </c>
      <c r="I2235" s="62" t="n">
        <v>362.56</v>
      </c>
      <c r="J2235" s="58" t="inlineStr">
        <is>
          <t>Phone</t>
        </is>
      </c>
      <c r="K2235" s="62">
        <f>F2235*(G2235-H2235)</f>
        <v/>
      </c>
      <c r="L2235" s="62">
        <f>K2235-(F2235*I2235)</f>
        <v/>
      </c>
      <c r="M2235" s="64">
        <f>L2235/K2235</f>
        <v/>
      </c>
    </row>
    <row r="2236">
      <c r="A2236" s="58" t="inlineStr">
        <is>
          <t>RT20250227-02235</t>
        </is>
      </c>
      <c r="B2236" s="59" t="inlineStr">
        <is>
          <t>2025-02-27</t>
        </is>
      </c>
      <c r="C2236" s="60" t="inlineStr">
        <is>
          <t>Aurora Makeup S-626</t>
        </is>
      </c>
      <c r="D2236" s="58" t="inlineStr">
        <is>
          <t>Beauty</t>
        </is>
      </c>
      <c r="E2236" s="58" t="inlineStr">
        <is>
          <t>South</t>
        </is>
      </c>
      <c r="F2236" s="61" t="n">
        <v>2</v>
      </c>
      <c r="G2236" s="62" t="n">
        <v>94.51000000000001</v>
      </c>
      <c r="H2236" s="63" t="n">
        <v>0.082</v>
      </c>
      <c r="I2236" s="62" t="n">
        <v>63.81</v>
      </c>
      <c r="J2236" s="58" t="inlineStr">
        <is>
          <t>Online</t>
        </is>
      </c>
      <c r="K2236" s="62">
        <f>F2236*(G2236-H2236)</f>
        <v/>
      </c>
      <c r="L2236" s="62">
        <f>K2236-(F2236*I2236)</f>
        <v/>
      </c>
      <c r="M2236" s="64">
        <f>L2236/K2236</f>
        <v/>
      </c>
    </row>
    <row r="2237">
      <c r="A2237" s="58" t="inlineStr">
        <is>
          <t>RT20250227-02236</t>
        </is>
      </c>
      <c r="B2237" s="59" t="inlineStr">
        <is>
          <t>2025-02-27</t>
        </is>
      </c>
      <c r="C2237" s="60" t="inlineStr">
        <is>
          <t>Falcon Beverage Max-702</t>
        </is>
      </c>
      <c r="D2237" s="58" t="inlineStr">
        <is>
          <t>Grocery</t>
        </is>
      </c>
      <c r="E2237" s="58" t="inlineStr">
        <is>
          <t>South</t>
        </is>
      </c>
      <c r="F2237" s="61" t="n">
        <v>2</v>
      </c>
      <c r="G2237" s="62" t="n">
        <v>26.03</v>
      </c>
      <c r="H2237" s="63" t="n">
        <v>0.108</v>
      </c>
      <c r="I2237" s="62" t="n">
        <v>20.21</v>
      </c>
      <c r="J2237" s="58" t="inlineStr">
        <is>
          <t>Store</t>
        </is>
      </c>
      <c r="K2237" s="62">
        <f>F2237*(G2237-H2237)</f>
        <v/>
      </c>
      <c r="L2237" s="62">
        <f>K2237-(F2237*I2237)</f>
        <v/>
      </c>
      <c r="M2237" s="64">
        <f>L2237/K2237</f>
        <v/>
      </c>
    </row>
    <row r="2238">
      <c r="A2238" s="58" t="inlineStr">
        <is>
          <t>RT20250227-02237</t>
        </is>
      </c>
      <c r="B2238" s="59" t="inlineStr">
        <is>
          <t>2025-02-27</t>
        </is>
      </c>
      <c r="C2238" s="60" t="inlineStr">
        <is>
          <t>Metro Accessorie Lite-697</t>
        </is>
      </c>
      <c r="D2238" s="58" t="inlineStr">
        <is>
          <t>Apparel</t>
        </is>
      </c>
      <c r="E2238" s="58" t="inlineStr">
        <is>
          <t>West</t>
        </is>
      </c>
      <c r="F2238" s="61" t="n">
        <v>1</v>
      </c>
      <c r="G2238" s="62" t="n">
        <v>137.73</v>
      </c>
      <c r="H2238" s="63" t="n">
        <v>0.027</v>
      </c>
      <c r="I2238" s="62" t="n">
        <v>76.95</v>
      </c>
      <c r="J2238" s="58" t="inlineStr">
        <is>
          <t>Online</t>
        </is>
      </c>
      <c r="K2238" s="62">
        <f>F2238*(G2238-H2238)</f>
        <v/>
      </c>
      <c r="L2238" s="62">
        <f>K2238-(F2238*I2238)</f>
        <v/>
      </c>
      <c r="M2238" s="64">
        <f>L2238/K2238</f>
        <v/>
      </c>
    </row>
    <row r="2239">
      <c r="A2239" s="58" t="inlineStr">
        <is>
          <t>RT20250227-02238</t>
        </is>
      </c>
      <c r="B2239" s="59" t="inlineStr">
        <is>
          <t>2025-02-27</t>
        </is>
      </c>
      <c r="C2239" s="60" t="inlineStr">
        <is>
          <t>Falcon Kitchen X-130</t>
        </is>
      </c>
      <c r="D2239" s="58" t="inlineStr">
        <is>
          <t>Home</t>
        </is>
      </c>
      <c r="E2239" s="58" t="inlineStr">
        <is>
          <t>South</t>
        </is>
      </c>
      <c r="F2239" s="61" t="n">
        <v>2</v>
      </c>
      <c r="G2239" s="62" t="n">
        <v>433.8</v>
      </c>
      <c r="H2239" s="63" t="n">
        <v>0.102</v>
      </c>
      <c r="I2239" s="62" t="n">
        <v>290.86</v>
      </c>
      <c r="J2239" s="58" t="inlineStr">
        <is>
          <t>Online</t>
        </is>
      </c>
      <c r="K2239" s="62">
        <f>F2239*(G2239-H2239)</f>
        <v/>
      </c>
      <c r="L2239" s="62">
        <f>K2239-(F2239*I2239)</f>
        <v/>
      </c>
      <c r="M2239" s="64">
        <f>L2239/K2239</f>
        <v/>
      </c>
    </row>
    <row r="2240">
      <c r="A2240" s="58" t="inlineStr">
        <is>
          <t>RT20250227-02239</t>
        </is>
      </c>
      <c r="B2240" s="59" t="inlineStr">
        <is>
          <t>2025-02-27</t>
        </is>
      </c>
      <c r="C2240" s="60" t="inlineStr">
        <is>
          <t>Solace Makeup Pro-214</t>
        </is>
      </c>
      <c r="D2240" s="58" t="inlineStr">
        <is>
          <t>Beauty</t>
        </is>
      </c>
      <c r="E2240" s="58" t="inlineStr">
        <is>
          <t>West</t>
        </is>
      </c>
      <c r="F2240" s="61" t="n">
        <v>5</v>
      </c>
      <c r="G2240" s="62" t="n">
        <v>113.07</v>
      </c>
      <c r="H2240" s="63" t="n">
        <v>0.106</v>
      </c>
      <c r="I2240" s="62" t="n">
        <v>69.2</v>
      </c>
      <c r="J2240" s="58" t="inlineStr">
        <is>
          <t>Store</t>
        </is>
      </c>
      <c r="K2240" s="62">
        <f>F2240*(G2240-H2240)</f>
        <v/>
      </c>
      <c r="L2240" s="62">
        <f>K2240-(F2240*I2240)</f>
        <v/>
      </c>
      <c r="M2240" s="64">
        <f>L2240/K2240</f>
        <v/>
      </c>
    </row>
    <row r="2241">
      <c r="A2241" s="58" t="inlineStr">
        <is>
          <t>RT20250227-02240</t>
        </is>
      </c>
      <c r="B2241" s="59" t="inlineStr">
        <is>
          <t>2025-02-27</t>
        </is>
      </c>
      <c r="C2241" s="60" t="inlineStr">
        <is>
          <t>Polar Men Pro-246</t>
        </is>
      </c>
      <c r="D2241" s="58" t="inlineStr">
        <is>
          <t>Apparel</t>
        </is>
      </c>
      <c r="E2241" s="58" t="inlineStr">
        <is>
          <t>North</t>
        </is>
      </c>
      <c r="F2241" s="61" t="n">
        <v>1</v>
      </c>
      <c r="G2241" s="62" t="n">
        <v>143.82</v>
      </c>
      <c r="H2241" s="63" t="n">
        <v>0.043</v>
      </c>
      <c r="I2241" s="62" t="n">
        <v>77.93000000000001</v>
      </c>
      <c r="J2241" s="58" t="inlineStr">
        <is>
          <t>Store</t>
        </is>
      </c>
      <c r="K2241" s="62">
        <f>F2241*(G2241-H2241)</f>
        <v/>
      </c>
      <c r="L2241" s="62">
        <f>K2241-(F2241*I2241)</f>
        <v/>
      </c>
      <c r="M2241" s="64">
        <f>L2241/K2241</f>
        <v/>
      </c>
    </row>
    <row r="2242">
      <c r="A2242" s="58" t="inlineStr">
        <is>
          <t>RT20250227-02241</t>
        </is>
      </c>
      <c r="B2242" s="59" t="inlineStr">
        <is>
          <t>2025-02-27</t>
        </is>
      </c>
      <c r="C2242" s="60" t="inlineStr">
        <is>
          <t>Metro Decor Lite-325</t>
        </is>
      </c>
      <c r="D2242" s="58" t="inlineStr">
        <is>
          <t>Home</t>
        </is>
      </c>
      <c r="E2242" s="58" t="inlineStr">
        <is>
          <t>South</t>
        </is>
      </c>
      <c r="F2242" s="61" t="n">
        <v>1</v>
      </c>
      <c r="G2242" s="62" t="n">
        <v>531.6799999999999</v>
      </c>
      <c r="H2242" s="63" t="n">
        <v>0.07199999999999999</v>
      </c>
      <c r="I2242" s="62" t="n">
        <v>378.83</v>
      </c>
      <c r="J2242" s="58" t="inlineStr">
        <is>
          <t>Online</t>
        </is>
      </c>
      <c r="K2242" s="62">
        <f>F2242*(G2242-H2242)</f>
        <v/>
      </c>
      <c r="L2242" s="62">
        <f>K2242-(F2242*I2242)</f>
        <v/>
      </c>
      <c r="M2242" s="64">
        <f>L2242/K2242</f>
        <v/>
      </c>
    </row>
    <row r="2243">
      <c r="A2243" s="58" t="inlineStr">
        <is>
          <t>RT20250227-02242</t>
        </is>
      </c>
      <c r="B2243" s="59" t="inlineStr">
        <is>
          <t>2025-02-27</t>
        </is>
      </c>
      <c r="C2243" s="60" t="inlineStr">
        <is>
          <t>Polar Laptop Plus-984</t>
        </is>
      </c>
      <c r="D2243" s="58" t="inlineStr">
        <is>
          <t>Electronics</t>
        </is>
      </c>
      <c r="E2243" s="58" t="inlineStr">
        <is>
          <t>West</t>
        </is>
      </c>
      <c r="F2243" s="61" t="n">
        <v>2</v>
      </c>
      <c r="G2243" s="62" t="n">
        <v>1354.83</v>
      </c>
      <c r="H2243" s="63" t="n">
        <v>0.123</v>
      </c>
      <c r="I2243" s="62" t="n">
        <v>989.48</v>
      </c>
      <c r="J2243" s="58" t="inlineStr">
        <is>
          <t>Online</t>
        </is>
      </c>
      <c r="K2243" s="62">
        <f>F2243*(G2243-H2243)</f>
        <v/>
      </c>
      <c r="L2243" s="62">
        <f>K2243-(F2243*I2243)</f>
        <v/>
      </c>
      <c r="M2243" s="64">
        <f>L2243/K2243</f>
        <v/>
      </c>
    </row>
    <row r="2244">
      <c r="A2244" s="58" t="inlineStr">
        <is>
          <t>RT20250227-02243</t>
        </is>
      </c>
      <c r="B2244" s="59" t="inlineStr">
        <is>
          <t>2025-02-27</t>
        </is>
      </c>
      <c r="C2244" s="60" t="inlineStr">
        <is>
          <t>Nimbus Men Plus-231</t>
        </is>
      </c>
      <c r="D2244" s="58" t="inlineStr">
        <is>
          <t>Apparel</t>
        </is>
      </c>
      <c r="E2244" s="58" t="inlineStr">
        <is>
          <t>South</t>
        </is>
      </c>
      <c r="F2244" s="61" t="n">
        <v>1</v>
      </c>
      <c r="G2244" s="62" t="n">
        <v>149.38</v>
      </c>
      <c r="H2244" s="63" t="n">
        <v>0.075</v>
      </c>
      <c r="I2244" s="62" t="n">
        <v>87.03</v>
      </c>
      <c r="J2244" s="58" t="inlineStr">
        <is>
          <t>Store</t>
        </is>
      </c>
      <c r="K2244" s="62">
        <f>F2244*(G2244-H2244)</f>
        <v/>
      </c>
      <c r="L2244" s="62">
        <f>K2244-(F2244*I2244)</f>
        <v/>
      </c>
      <c r="M2244" s="64">
        <f>L2244/K2244</f>
        <v/>
      </c>
    </row>
    <row r="2245">
      <c r="A2245" s="58" t="inlineStr">
        <is>
          <t>RT20250227-02244</t>
        </is>
      </c>
      <c r="B2245" s="59" t="inlineStr">
        <is>
          <t>2025-02-27</t>
        </is>
      </c>
      <c r="C2245" s="60" t="inlineStr">
        <is>
          <t>Falcon Furniture Plus-839</t>
        </is>
      </c>
      <c r="D2245" s="58" t="inlineStr">
        <is>
          <t>Office</t>
        </is>
      </c>
      <c r="E2245" s="58" t="inlineStr">
        <is>
          <t>South</t>
        </is>
      </c>
      <c r="F2245" s="61" t="n">
        <v>1</v>
      </c>
      <c r="G2245" s="62" t="n">
        <v>312.7</v>
      </c>
      <c r="H2245" s="63" t="n">
        <v>0.061</v>
      </c>
      <c r="I2245" s="62" t="n">
        <v>229.36</v>
      </c>
      <c r="J2245" s="58" t="inlineStr">
        <is>
          <t>Online</t>
        </is>
      </c>
      <c r="K2245" s="62">
        <f>F2245*(G2245-H2245)</f>
        <v/>
      </c>
      <c r="L2245" s="62">
        <f>K2245-(F2245*I2245)</f>
        <v/>
      </c>
      <c r="M2245" s="64">
        <f>L2245/K2245</f>
        <v/>
      </c>
    </row>
    <row r="2246">
      <c r="A2246" s="58" t="inlineStr">
        <is>
          <t>RT20250227-02245</t>
        </is>
      </c>
      <c r="B2246" s="59" t="inlineStr">
        <is>
          <t>2025-02-27</t>
        </is>
      </c>
      <c r="C2246" s="60" t="inlineStr">
        <is>
          <t>Falcon Household Pro-865</t>
        </is>
      </c>
      <c r="D2246" s="58" t="inlineStr">
        <is>
          <t>Grocery</t>
        </is>
      </c>
      <c r="E2246" s="58" t="inlineStr">
        <is>
          <t>North</t>
        </is>
      </c>
      <c r="F2246" s="61" t="n">
        <v>8</v>
      </c>
      <c r="G2246" s="62" t="n">
        <v>10.73</v>
      </c>
      <c r="H2246" s="63" t="n">
        <v>0.041</v>
      </c>
      <c r="I2246" s="62" t="n">
        <v>7.67</v>
      </c>
      <c r="J2246" s="58" t="inlineStr">
        <is>
          <t>Online</t>
        </is>
      </c>
      <c r="K2246" s="62">
        <f>F2246*(G2246-H2246)</f>
        <v/>
      </c>
      <c r="L2246" s="62">
        <f>K2246-(F2246*I2246)</f>
        <v/>
      </c>
      <c r="M2246" s="64">
        <f>L2246/K2246</f>
        <v/>
      </c>
    </row>
    <row r="2247">
      <c r="A2247" s="58" t="inlineStr">
        <is>
          <t>RT20250227-02246</t>
        </is>
      </c>
      <c r="B2247" s="59" t="inlineStr">
        <is>
          <t>2025-02-27</t>
        </is>
      </c>
      <c r="C2247" s="60" t="inlineStr">
        <is>
          <t>Nimbus Men Plus-231</t>
        </is>
      </c>
      <c r="D2247" s="58" t="inlineStr">
        <is>
          <t>Apparel</t>
        </is>
      </c>
      <c r="E2247" s="58" t="inlineStr">
        <is>
          <t>East</t>
        </is>
      </c>
      <c r="F2247" s="61" t="n">
        <v>1</v>
      </c>
      <c r="G2247" s="62" t="n">
        <v>158.5</v>
      </c>
      <c r="H2247" s="63" t="n">
        <v>0</v>
      </c>
      <c r="I2247" s="62" t="n">
        <v>88</v>
      </c>
      <c r="J2247" s="58" t="inlineStr">
        <is>
          <t>Store</t>
        </is>
      </c>
      <c r="K2247" s="62">
        <f>F2247*(G2247-H2247)</f>
        <v/>
      </c>
      <c r="L2247" s="62">
        <f>K2247-(F2247*I2247)</f>
        <v/>
      </c>
      <c r="M2247" s="64">
        <f>L2247/K2247</f>
        <v/>
      </c>
    </row>
    <row r="2248">
      <c r="A2248" s="58" t="inlineStr">
        <is>
          <t>RT20250227-02247</t>
        </is>
      </c>
      <c r="B2248" s="59" t="inlineStr">
        <is>
          <t>2025-02-27</t>
        </is>
      </c>
      <c r="C2248" s="60" t="inlineStr">
        <is>
          <t>Falcon Storage X-734</t>
        </is>
      </c>
      <c r="D2248" s="58" t="inlineStr">
        <is>
          <t>Office</t>
        </is>
      </c>
      <c r="E2248" s="58" t="inlineStr">
        <is>
          <t>Central</t>
        </is>
      </c>
      <c r="F2248" s="61" t="n">
        <v>2</v>
      </c>
      <c r="G2248" s="62" t="n">
        <v>381.8</v>
      </c>
      <c r="H2248" s="63" t="n">
        <v>0.076</v>
      </c>
      <c r="I2248" s="62" t="n">
        <v>280.5</v>
      </c>
      <c r="J2248" s="58" t="inlineStr">
        <is>
          <t>Online</t>
        </is>
      </c>
      <c r="K2248" s="62">
        <f>F2248*(G2248-H2248)</f>
        <v/>
      </c>
      <c r="L2248" s="62">
        <f>K2248-(F2248*I2248)</f>
        <v/>
      </c>
      <c r="M2248" s="64">
        <f>L2248/K2248</f>
        <v/>
      </c>
    </row>
    <row r="2249">
      <c r="A2249" s="58" t="inlineStr">
        <is>
          <t>RT20250227-02248</t>
        </is>
      </c>
      <c r="B2249" s="59" t="inlineStr">
        <is>
          <t>2025-02-27</t>
        </is>
      </c>
      <c r="C2249" s="60" t="inlineStr">
        <is>
          <t>Solace Kitchen Pro-999</t>
        </is>
      </c>
      <c r="D2249" s="58" t="inlineStr">
        <is>
          <t>Home</t>
        </is>
      </c>
      <c r="E2249" s="58" t="inlineStr">
        <is>
          <t>Central</t>
        </is>
      </c>
      <c r="F2249" s="61" t="n">
        <v>1</v>
      </c>
      <c r="G2249" s="62" t="n">
        <v>375.33</v>
      </c>
      <c r="H2249" s="63" t="n">
        <v>0</v>
      </c>
      <c r="I2249" s="62" t="n">
        <v>269.33</v>
      </c>
      <c r="J2249" s="58" t="inlineStr">
        <is>
          <t>Online</t>
        </is>
      </c>
      <c r="K2249" s="62">
        <f>F2249*(G2249-H2249)</f>
        <v/>
      </c>
      <c r="L2249" s="62">
        <f>K2249-(F2249*I2249)</f>
        <v/>
      </c>
      <c r="M2249" s="64">
        <f>L2249/K2249</f>
        <v/>
      </c>
    </row>
    <row r="2250">
      <c r="A2250" s="58" t="inlineStr">
        <is>
          <t>RT20250227-02249</t>
        </is>
      </c>
      <c r="B2250" s="59" t="inlineStr">
        <is>
          <t>2025-02-27</t>
        </is>
      </c>
      <c r="C2250" s="60" t="inlineStr">
        <is>
          <t>Vertex Smartphone Lite-267</t>
        </is>
      </c>
      <c r="D2250" s="58" t="inlineStr">
        <is>
          <t>Electronics</t>
        </is>
      </c>
      <c r="E2250" s="58" t="inlineStr">
        <is>
          <t>East</t>
        </is>
      </c>
      <c r="F2250" s="61" t="n">
        <v>1</v>
      </c>
      <c r="G2250" s="62" t="n">
        <v>1181.33</v>
      </c>
      <c r="H2250" s="63" t="n">
        <v>0.018</v>
      </c>
      <c r="I2250" s="62" t="n">
        <v>966.55</v>
      </c>
      <c r="J2250" s="58" t="inlineStr">
        <is>
          <t>Store</t>
        </is>
      </c>
      <c r="K2250" s="62">
        <f>F2250*(G2250-H2250)</f>
        <v/>
      </c>
      <c r="L2250" s="62">
        <f>K2250-(F2250*I2250)</f>
        <v/>
      </c>
      <c r="M2250" s="64">
        <f>L2250/K2250</f>
        <v/>
      </c>
    </row>
    <row r="2251">
      <c r="A2251" s="58" t="inlineStr">
        <is>
          <t>RT20250227-02250</t>
        </is>
      </c>
      <c r="B2251" s="59" t="inlineStr">
        <is>
          <t>2025-02-27</t>
        </is>
      </c>
      <c r="C2251" s="60" t="inlineStr">
        <is>
          <t>Metro Beverage Max-490</t>
        </is>
      </c>
      <c r="D2251" s="58" t="inlineStr">
        <is>
          <t>Grocery</t>
        </is>
      </c>
      <c r="E2251" s="58" t="inlineStr">
        <is>
          <t>West</t>
        </is>
      </c>
      <c r="F2251" s="61" t="n">
        <v>1</v>
      </c>
      <c r="G2251" s="62" t="n">
        <v>12.14</v>
      </c>
      <c r="H2251" s="63" t="n">
        <v>0.041</v>
      </c>
      <c r="I2251" s="62" t="n">
        <v>8.23</v>
      </c>
      <c r="J2251" s="58" t="inlineStr">
        <is>
          <t>Store</t>
        </is>
      </c>
      <c r="K2251" s="62">
        <f>F2251*(G2251-H2251)</f>
        <v/>
      </c>
      <c r="L2251" s="62">
        <f>K2251-(F2251*I2251)</f>
        <v/>
      </c>
      <c r="M2251" s="64">
        <f>L2251/K2251</f>
        <v/>
      </c>
    </row>
    <row r="2252">
      <c r="A2252" s="58" t="inlineStr">
        <is>
          <t>RT20250227-02251</t>
        </is>
      </c>
      <c r="B2252" s="59" t="inlineStr">
        <is>
          <t>2025-02-27</t>
        </is>
      </c>
      <c r="C2252" s="60" t="inlineStr">
        <is>
          <t>Vertex Fitnes Pro-830</t>
        </is>
      </c>
      <c r="D2252" s="58" t="inlineStr">
        <is>
          <t>Sports</t>
        </is>
      </c>
      <c r="E2252" s="58" t="inlineStr">
        <is>
          <t>West</t>
        </is>
      </c>
      <c r="F2252" s="61" t="n">
        <v>3</v>
      </c>
      <c r="G2252" s="62" t="n">
        <v>659</v>
      </c>
      <c r="H2252" s="63" t="n">
        <v>0.078</v>
      </c>
      <c r="I2252" s="62" t="n">
        <v>474.61</v>
      </c>
      <c r="J2252" s="58" t="inlineStr">
        <is>
          <t>Online</t>
        </is>
      </c>
      <c r="K2252" s="62">
        <f>F2252*(G2252-H2252)</f>
        <v/>
      </c>
      <c r="L2252" s="62">
        <f>K2252-(F2252*I2252)</f>
        <v/>
      </c>
      <c r="M2252" s="64">
        <f>L2252/K2252</f>
        <v/>
      </c>
    </row>
    <row r="2253">
      <c r="A2253" s="58" t="inlineStr">
        <is>
          <t>RT20250227-02252</t>
        </is>
      </c>
      <c r="B2253" s="59" t="inlineStr">
        <is>
          <t>2025-02-27</t>
        </is>
      </c>
      <c r="C2253" s="60" t="inlineStr">
        <is>
          <t>Orion Supplie S-612</t>
        </is>
      </c>
      <c r="D2253" s="58" t="inlineStr">
        <is>
          <t>Office</t>
        </is>
      </c>
      <c r="E2253" s="58" t="inlineStr">
        <is>
          <t>Central</t>
        </is>
      </c>
      <c r="F2253" s="61" t="n">
        <v>3</v>
      </c>
      <c r="G2253" s="62" t="n">
        <v>448.14</v>
      </c>
      <c r="H2253" s="63" t="n">
        <v>0.113</v>
      </c>
      <c r="I2253" s="62" t="n">
        <v>336.66</v>
      </c>
      <c r="J2253" s="58" t="inlineStr">
        <is>
          <t>Store</t>
        </is>
      </c>
      <c r="K2253" s="62">
        <f>F2253*(G2253-H2253)</f>
        <v/>
      </c>
      <c r="L2253" s="62">
        <f>K2253-(F2253*I2253)</f>
        <v/>
      </c>
      <c r="M2253" s="64">
        <f>L2253/K2253</f>
        <v/>
      </c>
    </row>
    <row r="2254">
      <c r="A2254" s="58" t="inlineStr">
        <is>
          <t>RT20250227-02253</t>
        </is>
      </c>
      <c r="B2254" s="59" t="inlineStr">
        <is>
          <t>2025-02-27</t>
        </is>
      </c>
      <c r="C2254" s="60" t="inlineStr">
        <is>
          <t>Solace Kid S-384</t>
        </is>
      </c>
      <c r="D2254" s="58" t="inlineStr">
        <is>
          <t>Apparel</t>
        </is>
      </c>
      <c r="E2254" s="58" t="inlineStr">
        <is>
          <t>West</t>
        </is>
      </c>
      <c r="F2254" s="61" t="n">
        <v>2</v>
      </c>
      <c r="G2254" s="62" t="n">
        <v>128.02</v>
      </c>
      <c r="H2254" s="63" t="n">
        <v>0.091</v>
      </c>
      <c r="I2254" s="62" t="n">
        <v>64.86</v>
      </c>
      <c r="J2254" s="58" t="inlineStr">
        <is>
          <t>Store</t>
        </is>
      </c>
      <c r="K2254" s="62">
        <f>F2254*(G2254-H2254)</f>
        <v/>
      </c>
      <c r="L2254" s="62">
        <f>K2254-(F2254*I2254)</f>
        <v/>
      </c>
      <c r="M2254" s="64">
        <f>L2254/K2254</f>
        <v/>
      </c>
    </row>
    <row r="2255">
      <c r="A2255" s="58" t="inlineStr">
        <is>
          <t>RT20250227-02254</t>
        </is>
      </c>
      <c r="B2255" s="59" t="inlineStr">
        <is>
          <t>2025-02-27</t>
        </is>
      </c>
      <c r="C2255" s="60" t="inlineStr">
        <is>
          <t>Solace Headphone Pro-344</t>
        </is>
      </c>
      <c r="D2255" s="58" t="inlineStr">
        <is>
          <t>Electronics</t>
        </is>
      </c>
      <c r="E2255" s="58" t="inlineStr">
        <is>
          <t>West</t>
        </is>
      </c>
      <c r="F2255" s="61" t="n">
        <v>2</v>
      </c>
      <c r="G2255" s="62" t="n">
        <v>1375.54</v>
      </c>
      <c r="H2255" s="63" t="n">
        <v>0.004</v>
      </c>
      <c r="I2255" s="62" t="n">
        <v>1051.6</v>
      </c>
      <c r="J2255" s="58" t="inlineStr">
        <is>
          <t>Online</t>
        </is>
      </c>
      <c r="K2255" s="62">
        <f>F2255*(G2255-H2255)</f>
        <v/>
      </c>
      <c r="L2255" s="62">
        <f>K2255-(F2255*I2255)</f>
        <v/>
      </c>
      <c r="M2255" s="64">
        <f>L2255/K2255</f>
        <v/>
      </c>
    </row>
    <row r="2256">
      <c r="A2256" s="58" t="inlineStr">
        <is>
          <t>RT20250227-02255</t>
        </is>
      </c>
      <c r="B2256" s="59" t="inlineStr">
        <is>
          <t>2025-02-27</t>
        </is>
      </c>
      <c r="C2256" s="60" t="inlineStr">
        <is>
          <t>Solace Kid S-384</t>
        </is>
      </c>
      <c r="D2256" s="58" t="inlineStr">
        <is>
          <t>Apparel</t>
        </is>
      </c>
      <c r="E2256" s="58" t="inlineStr">
        <is>
          <t>East</t>
        </is>
      </c>
      <c r="F2256" s="61" t="n">
        <v>2</v>
      </c>
      <c r="G2256" s="62" t="n">
        <v>99.84999999999999</v>
      </c>
      <c r="H2256" s="63" t="n">
        <v>0.037</v>
      </c>
      <c r="I2256" s="62" t="n">
        <v>64</v>
      </c>
      <c r="J2256" s="58" t="inlineStr">
        <is>
          <t>Online</t>
        </is>
      </c>
      <c r="K2256" s="62">
        <f>F2256*(G2256-H2256)</f>
        <v/>
      </c>
      <c r="L2256" s="62">
        <f>K2256-(F2256*I2256)</f>
        <v/>
      </c>
      <c r="M2256" s="64">
        <f>L2256/K2256</f>
        <v/>
      </c>
    </row>
    <row r="2257">
      <c r="A2257" s="58" t="inlineStr">
        <is>
          <t>RT20250227-02256</t>
        </is>
      </c>
      <c r="B2257" s="59" t="inlineStr">
        <is>
          <t>2025-02-27</t>
        </is>
      </c>
      <c r="C2257" s="60" t="inlineStr">
        <is>
          <t>Aurora Printer Plus-991</t>
        </is>
      </c>
      <c r="D2257" s="58" t="inlineStr">
        <is>
          <t>Office</t>
        </is>
      </c>
      <c r="E2257" s="58" t="inlineStr">
        <is>
          <t>North</t>
        </is>
      </c>
      <c r="F2257" s="61" t="n">
        <v>3</v>
      </c>
      <c r="G2257" s="62" t="n">
        <v>476.75</v>
      </c>
      <c r="H2257" s="63" t="n">
        <v>0.07199999999999999</v>
      </c>
      <c r="I2257" s="62" t="n">
        <v>367.94</v>
      </c>
      <c r="J2257" s="58" t="inlineStr">
        <is>
          <t>Online</t>
        </is>
      </c>
      <c r="K2257" s="62">
        <f>F2257*(G2257-H2257)</f>
        <v/>
      </c>
      <c r="L2257" s="62">
        <f>K2257-(F2257*I2257)</f>
        <v/>
      </c>
      <c r="M2257" s="64">
        <f>L2257/K2257</f>
        <v/>
      </c>
    </row>
    <row r="2258">
      <c r="A2258" s="58" t="inlineStr">
        <is>
          <t>RT20250227-02257</t>
        </is>
      </c>
      <c r="B2258" s="59" t="inlineStr">
        <is>
          <t>2025-02-27</t>
        </is>
      </c>
      <c r="C2258" s="60" t="inlineStr">
        <is>
          <t>Polar Decor X-935</t>
        </is>
      </c>
      <c r="D2258" s="58" t="inlineStr">
        <is>
          <t>Home</t>
        </is>
      </c>
      <c r="E2258" s="58" t="inlineStr">
        <is>
          <t>East</t>
        </is>
      </c>
      <c r="F2258" s="61" t="n">
        <v>2</v>
      </c>
      <c r="G2258" s="62" t="n">
        <v>276.23</v>
      </c>
      <c r="H2258" s="63" t="n">
        <v>0.06</v>
      </c>
      <c r="I2258" s="62" t="n">
        <v>196.12</v>
      </c>
      <c r="J2258" s="58" t="inlineStr">
        <is>
          <t>Online</t>
        </is>
      </c>
      <c r="K2258" s="62">
        <f>F2258*(G2258-H2258)</f>
        <v/>
      </c>
      <c r="L2258" s="62">
        <f>K2258-(F2258*I2258)</f>
        <v/>
      </c>
      <c r="M2258" s="64">
        <f>L2258/K2258</f>
        <v/>
      </c>
    </row>
    <row r="2259">
      <c r="A2259" s="58" t="inlineStr">
        <is>
          <t>RT20250227-02258</t>
        </is>
      </c>
      <c r="B2259" s="59" t="inlineStr">
        <is>
          <t>2025-02-27</t>
        </is>
      </c>
      <c r="C2259" s="60" t="inlineStr">
        <is>
          <t>Orion Men X-928</t>
        </is>
      </c>
      <c r="D2259" s="58" t="inlineStr">
        <is>
          <t>Apparel</t>
        </is>
      </c>
      <c r="E2259" s="58" t="inlineStr">
        <is>
          <t>North</t>
        </is>
      </c>
      <c r="F2259" s="61" t="n">
        <v>4</v>
      </c>
      <c r="G2259" s="62" t="n">
        <v>114.01</v>
      </c>
      <c r="H2259" s="63" t="n">
        <v>0.125</v>
      </c>
      <c r="I2259" s="62" t="n">
        <v>63.48</v>
      </c>
      <c r="J2259" s="58" t="inlineStr">
        <is>
          <t>Phone</t>
        </is>
      </c>
      <c r="K2259" s="62">
        <f>F2259*(G2259-H2259)</f>
        <v/>
      </c>
      <c r="L2259" s="62">
        <f>K2259-(F2259*I2259)</f>
        <v/>
      </c>
      <c r="M2259" s="64">
        <f>L2259/K2259</f>
        <v/>
      </c>
    </row>
    <row r="2260">
      <c r="A2260" s="58" t="inlineStr">
        <is>
          <t>RT20250227-02259</t>
        </is>
      </c>
      <c r="B2260" s="59" t="inlineStr">
        <is>
          <t>2025-02-27</t>
        </is>
      </c>
      <c r="C2260" s="60" t="inlineStr">
        <is>
          <t>Metro Pantry X-710</t>
        </is>
      </c>
      <c r="D2260" s="58" t="inlineStr">
        <is>
          <t>Grocery</t>
        </is>
      </c>
      <c r="E2260" s="58" t="inlineStr">
        <is>
          <t>North</t>
        </is>
      </c>
      <c r="F2260" s="61" t="n">
        <v>1</v>
      </c>
      <c r="G2260" s="62" t="n">
        <v>5.59</v>
      </c>
      <c r="H2260" s="63" t="n">
        <v>0.076</v>
      </c>
      <c r="I2260" s="62" t="n">
        <v>4.14</v>
      </c>
      <c r="J2260" s="58" t="inlineStr">
        <is>
          <t>Online</t>
        </is>
      </c>
      <c r="K2260" s="62">
        <f>F2260*(G2260-H2260)</f>
        <v/>
      </c>
      <c r="L2260" s="62">
        <f>K2260-(F2260*I2260)</f>
        <v/>
      </c>
      <c r="M2260" s="64">
        <f>L2260/K2260</f>
        <v/>
      </c>
    </row>
    <row r="2261">
      <c r="A2261" s="58" t="inlineStr">
        <is>
          <t>RT20250227-02260</t>
        </is>
      </c>
      <c r="B2261" s="59" t="inlineStr">
        <is>
          <t>2025-02-27</t>
        </is>
      </c>
      <c r="C2261" s="60" t="inlineStr">
        <is>
          <t>Orion Men X-928</t>
        </is>
      </c>
      <c r="D2261" s="58" t="inlineStr">
        <is>
          <t>Apparel</t>
        </is>
      </c>
      <c r="E2261" s="58" t="inlineStr">
        <is>
          <t>South</t>
        </is>
      </c>
      <c r="F2261" s="61" t="n">
        <v>3</v>
      </c>
      <c r="G2261" s="62" t="n">
        <v>97.64</v>
      </c>
      <c r="H2261" s="63" t="n">
        <v>0.099</v>
      </c>
      <c r="I2261" s="62" t="n">
        <v>61.56</v>
      </c>
      <c r="J2261" s="58" t="inlineStr">
        <is>
          <t>Phone</t>
        </is>
      </c>
      <c r="K2261" s="62">
        <f>F2261*(G2261-H2261)</f>
        <v/>
      </c>
      <c r="L2261" s="62">
        <f>K2261-(F2261*I2261)</f>
        <v/>
      </c>
      <c r="M2261" s="64">
        <f>L2261/K2261</f>
        <v/>
      </c>
    </row>
    <row r="2262">
      <c r="A2262" s="58" t="inlineStr">
        <is>
          <t>RT20250227-02261</t>
        </is>
      </c>
      <c r="B2262" s="59" t="inlineStr">
        <is>
          <t>2025-02-27</t>
        </is>
      </c>
      <c r="C2262" s="60" t="inlineStr">
        <is>
          <t>Polar Cycling S-223</t>
        </is>
      </c>
      <c r="D2262" s="58" t="inlineStr">
        <is>
          <t>Sports</t>
        </is>
      </c>
      <c r="E2262" s="58" t="inlineStr">
        <is>
          <t>South</t>
        </is>
      </c>
      <c r="F2262" s="61" t="n">
        <v>2</v>
      </c>
      <c r="G2262" s="62" t="n">
        <v>1020.4</v>
      </c>
      <c r="H2262" s="63" t="n">
        <v>0.047</v>
      </c>
      <c r="I2262" s="62" t="n">
        <v>628.27</v>
      </c>
      <c r="J2262" s="58" t="inlineStr">
        <is>
          <t>Online</t>
        </is>
      </c>
      <c r="K2262" s="62">
        <f>F2262*(G2262-H2262)</f>
        <v/>
      </c>
      <c r="L2262" s="62">
        <f>K2262-(F2262*I2262)</f>
        <v/>
      </c>
      <c r="M2262" s="64">
        <f>L2262/K2262</f>
        <v/>
      </c>
    </row>
    <row r="2263">
      <c r="A2263" s="58" t="inlineStr">
        <is>
          <t>RT20250227-02262</t>
        </is>
      </c>
      <c r="B2263" s="59" t="inlineStr">
        <is>
          <t>2025-02-27</t>
        </is>
      </c>
      <c r="C2263" s="60" t="inlineStr">
        <is>
          <t>Vertex Fitnes Pro-830</t>
        </is>
      </c>
      <c r="D2263" s="58" t="inlineStr">
        <is>
          <t>Sports</t>
        </is>
      </c>
      <c r="E2263" s="58" t="inlineStr">
        <is>
          <t>West</t>
        </is>
      </c>
      <c r="F2263" s="61" t="n">
        <v>2</v>
      </c>
      <c r="G2263" s="62" t="n">
        <v>771.86</v>
      </c>
      <c r="H2263" s="63" t="n">
        <v>0.096</v>
      </c>
      <c r="I2263" s="62" t="n">
        <v>465.66</v>
      </c>
      <c r="J2263" s="58" t="inlineStr">
        <is>
          <t>Online</t>
        </is>
      </c>
      <c r="K2263" s="62">
        <f>F2263*(G2263-H2263)</f>
        <v/>
      </c>
      <c r="L2263" s="62">
        <f>K2263-(F2263*I2263)</f>
        <v/>
      </c>
      <c r="M2263" s="64">
        <f>L2263/K2263</f>
        <v/>
      </c>
    </row>
    <row r="2264">
      <c r="A2264" s="58" t="inlineStr">
        <is>
          <t>RT20250227-02263</t>
        </is>
      </c>
      <c r="B2264" s="59" t="inlineStr">
        <is>
          <t>2025-02-27</t>
        </is>
      </c>
      <c r="C2264" s="60" t="inlineStr">
        <is>
          <t>Vertex Headphone Pro-801</t>
        </is>
      </c>
      <c r="D2264" s="58" t="inlineStr">
        <is>
          <t>Electronics</t>
        </is>
      </c>
      <c r="E2264" s="58" t="inlineStr">
        <is>
          <t>East</t>
        </is>
      </c>
      <c r="F2264" s="61" t="n">
        <v>2</v>
      </c>
      <c r="G2264" s="62" t="n">
        <v>1326.08</v>
      </c>
      <c r="H2264" s="63" t="n">
        <v>0.059</v>
      </c>
      <c r="I2264" s="62" t="n">
        <v>994.55</v>
      </c>
      <c r="J2264" s="58" t="inlineStr">
        <is>
          <t>Online</t>
        </is>
      </c>
      <c r="K2264" s="62">
        <f>F2264*(G2264-H2264)</f>
        <v/>
      </c>
      <c r="L2264" s="62">
        <f>K2264-(F2264*I2264)</f>
        <v/>
      </c>
      <c r="M2264" s="64">
        <f>L2264/K2264</f>
        <v/>
      </c>
    </row>
    <row r="2265">
      <c r="A2265" s="58" t="inlineStr">
        <is>
          <t>RT20250227-02264</t>
        </is>
      </c>
      <c r="B2265" s="59" t="inlineStr">
        <is>
          <t>2025-02-27</t>
        </is>
      </c>
      <c r="C2265" s="60" t="inlineStr">
        <is>
          <t>Falcon Kitchen X-130</t>
        </is>
      </c>
      <c r="D2265" s="58" t="inlineStr">
        <is>
          <t>Home</t>
        </is>
      </c>
      <c r="E2265" s="58" t="inlineStr">
        <is>
          <t>East</t>
        </is>
      </c>
      <c r="F2265" s="61" t="n">
        <v>1</v>
      </c>
      <c r="G2265" s="62" t="n">
        <v>485.31</v>
      </c>
      <c r="H2265" s="63" t="n">
        <v>0.074</v>
      </c>
      <c r="I2265" s="62" t="n">
        <v>294.76</v>
      </c>
      <c r="J2265" s="58" t="inlineStr">
        <is>
          <t>Store</t>
        </is>
      </c>
      <c r="K2265" s="62">
        <f>F2265*(G2265-H2265)</f>
        <v/>
      </c>
      <c r="L2265" s="62">
        <f>K2265-(F2265*I2265)</f>
        <v/>
      </c>
      <c r="M2265" s="64">
        <f>L2265/K2265</f>
        <v/>
      </c>
    </row>
    <row r="2266">
      <c r="A2266" s="58" t="inlineStr">
        <is>
          <t>RT20250227-02265</t>
        </is>
      </c>
      <c r="B2266" s="59" t="inlineStr">
        <is>
          <t>2025-02-27</t>
        </is>
      </c>
      <c r="C2266" s="60" t="inlineStr">
        <is>
          <t>Aurora Makeup S-626</t>
        </is>
      </c>
      <c r="D2266" s="58" t="inlineStr">
        <is>
          <t>Beauty</t>
        </is>
      </c>
      <c r="E2266" s="58" t="inlineStr">
        <is>
          <t>West</t>
        </is>
      </c>
      <c r="F2266" s="61" t="n">
        <v>3</v>
      </c>
      <c r="G2266" s="62" t="n">
        <v>106.59</v>
      </c>
      <c r="H2266" s="63" t="n">
        <v>0.064</v>
      </c>
      <c r="I2266" s="62" t="n">
        <v>64.52</v>
      </c>
      <c r="J2266" s="58" t="inlineStr">
        <is>
          <t>Online</t>
        </is>
      </c>
      <c r="K2266" s="62">
        <f>F2266*(G2266-H2266)</f>
        <v/>
      </c>
      <c r="L2266" s="62">
        <f>K2266-(F2266*I2266)</f>
        <v/>
      </c>
      <c r="M2266" s="64">
        <f>L2266/K2266</f>
        <v/>
      </c>
    </row>
    <row r="2267">
      <c r="A2267" s="58" t="inlineStr">
        <is>
          <t>RT20250227-02266</t>
        </is>
      </c>
      <c r="B2267" s="59" t="inlineStr">
        <is>
          <t>2025-02-27</t>
        </is>
      </c>
      <c r="C2267" s="60" t="inlineStr">
        <is>
          <t>Solace Kitchen X-919</t>
        </is>
      </c>
      <c r="D2267" s="58" t="inlineStr">
        <is>
          <t>Home</t>
        </is>
      </c>
      <c r="E2267" s="58" t="inlineStr">
        <is>
          <t>Central</t>
        </is>
      </c>
      <c r="F2267" s="61" t="n">
        <v>1</v>
      </c>
      <c r="G2267" s="62" t="n">
        <v>427.46</v>
      </c>
      <c r="H2267" s="63" t="n">
        <v>0.052</v>
      </c>
      <c r="I2267" s="62" t="n">
        <v>266.49</v>
      </c>
      <c r="J2267" s="58" t="inlineStr">
        <is>
          <t>Store</t>
        </is>
      </c>
      <c r="K2267" s="62">
        <f>F2267*(G2267-H2267)</f>
        <v/>
      </c>
      <c r="L2267" s="62">
        <f>K2267-(F2267*I2267)</f>
        <v/>
      </c>
      <c r="M2267" s="64">
        <f>L2267/K2267</f>
        <v/>
      </c>
    </row>
    <row r="2268">
      <c r="A2268" s="58" t="inlineStr">
        <is>
          <t>RT20250227-02267</t>
        </is>
      </c>
      <c r="B2268" s="59" t="inlineStr">
        <is>
          <t>2025-02-27</t>
        </is>
      </c>
      <c r="C2268" s="60" t="inlineStr">
        <is>
          <t>Orion Beverage Plus-949</t>
        </is>
      </c>
      <c r="D2268" s="58" t="inlineStr">
        <is>
          <t>Grocery</t>
        </is>
      </c>
      <c r="E2268" s="58" t="inlineStr">
        <is>
          <t>Central</t>
        </is>
      </c>
      <c r="F2268" s="61" t="n">
        <v>5</v>
      </c>
      <c r="G2268" s="62" t="n">
        <v>19.22</v>
      </c>
      <c r="H2268" s="63" t="n">
        <v>0.07199999999999999</v>
      </c>
      <c r="I2268" s="62" t="n">
        <v>13.58</v>
      </c>
      <c r="J2268" s="58" t="inlineStr">
        <is>
          <t>Online</t>
        </is>
      </c>
      <c r="K2268" s="62">
        <f>F2268*(G2268-H2268)</f>
        <v/>
      </c>
      <c r="L2268" s="62">
        <f>K2268-(F2268*I2268)</f>
        <v/>
      </c>
      <c r="M2268" s="64">
        <f>L2268/K2268</f>
        <v/>
      </c>
    </row>
    <row r="2269">
      <c r="A2269" s="58" t="inlineStr">
        <is>
          <t>RT20250227-02268</t>
        </is>
      </c>
      <c r="B2269" s="59" t="inlineStr">
        <is>
          <t>2025-02-27</t>
        </is>
      </c>
      <c r="C2269" s="60" t="inlineStr">
        <is>
          <t>Orion Beverage Plus-949</t>
        </is>
      </c>
      <c r="D2269" s="58" t="inlineStr">
        <is>
          <t>Grocery</t>
        </is>
      </c>
      <c r="E2269" s="58" t="inlineStr">
        <is>
          <t>South</t>
        </is>
      </c>
      <c r="F2269" s="61" t="n">
        <v>8</v>
      </c>
      <c r="G2269" s="62" t="n">
        <v>19.79</v>
      </c>
      <c r="H2269" s="63" t="n">
        <v>0.08599999999999999</v>
      </c>
      <c r="I2269" s="62" t="n">
        <v>13.74</v>
      </c>
      <c r="J2269" s="58" t="inlineStr">
        <is>
          <t>Store</t>
        </is>
      </c>
      <c r="K2269" s="62">
        <f>F2269*(G2269-H2269)</f>
        <v/>
      </c>
      <c r="L2269" s="62">
        <f>K2269-(F2269*I2269)</f>
        <v/>
      </c>
      <c r="M2269" s="64">
        <f>L2269/K2269</f>
        <v/>
      </c>
    </row>
    <row r="2270">
      <c r="A2270" s="58" t="inlineStr">
        <is>
          <t>RT20250227-02269</t>
        </is>
      </c>
      <c r="B2270" s="59" t="inlineStr">
        <is>
          <t>2025-02-27</t>
        </is>
      </c>
      <c r="C2270" s="60" t="inlineStr">
        <is>
          <t>Aurora Furniture X-709</t>
        </is>
      </c>
      <c r="D2270" s="58" t="inlineStr">
        <is>
          <t>Office</t>
        </is>
      </c>
      <c r="E2270" s="58" t="inlineStr">
        <is>
          <t>Central</t>
        </is>
      </c>
      <c r="F2270" s="61" t="n">
        <v>3</v>
      </c>
      <c r="G2270" s="62" t="n">
        <v>402.83</v>
      </c>
      <c r="H2270" s="63" t="n">
        <v>0.054</v>
      </c>
      <c r="I2270" s="62" t="n">
        <v>309.15</v>
      </c>
      <c r="J2270" s="58" t="inlineStr">
        <is>
          <t>Online</t>
        </is>
      </c>
      <c r="K2270" s="62">
        <f>F2270*(G2270-H2270)</f>
        <v/>
      </c>
      <c r="L2270" s="62">
        <f>K2270-(F2270*I2270)</f>
        <v/>
      </c>
      <c r="M2270" s="64">
        <f>L2270/K2270</f>
        <v/>
      </c>
    </row>
    <row r="2271">
      <c r="A2271" s="58" t="inlineStr">
        <is>
          <t>RT20250227-02270</t>
        </is>
      </c>
      <c r="B2271" s="59" t="inlineStr">
        <is>
          <t>2025-02-27</t>
        </is>
      </c>
      <c r="C2271" s="60" t="inlineStr">
        <is>
          <t>Orion Fragrance Lite-785</t>
        </is>
      </c>
      <c r="D2271" s="58" t="inlineStr">
        <is>
          <t>Beauty</t>
        </is>
      </c>
      <c r="E2271" s="58" t="inlineStr">
        <is>
          <t>South</t>
        </is>
      </c>
      <c r="F2271" s="61" t="n">
        <v>4</v>
      </c>
      <c r="G2271" s="62" t="n">
        <v>49.26</v>
      </c>
      <c r="H2271" s="63" t="n">
        <v>0.064</v>
      </c>
      <c r="I2271" s="62" t="n">
        <v>27.72</v>
      </c>
      <c r="J2271" s="58" t="inlineStr">
        <is>
          <t>Online</t>
        </is>
      </c>
      <c r="K2271" s="62">
        <f>F2271*(G2271-H2271)</f>
        <v/>
      </c>
      <c r="L2271" s="62">
        <f>K2271-(F2271*I2271)</f>
        <v/>
      </c>
      <c r="M2271" s="64">
        <f>L2271/K2271</f>
        <v/>
      </c>
    </row>
    <row r="2272">
      <c r="A2272" s="58" t="inlineStr">
        <is>
          <t>RT20250227-02271</t>
        </is>
      </c>
      <c r="B2272" s="59" t="inlineStr">
        <is>
          <t>2025-02-27</t>
        </is>
      </c>
      <c r="C2272" s="60" t="inlineStr">
        <is>
          <t>Metro Accessorie Max-316</t>
        </is>
      </c>
      <c r="D2272" s="58" t="inlineStr">
        <is>
          <t>Apparel</t>
        </is>
      </c>
      <c r="E2272" s="58" t="inlineStr">
        <is>
          <t>South</t>
        </is>
      </c>
      <c r="F2272" s="61" t="n">
        <v>1</v>
      </c>
      <c r="G2272" s="62" t="n">
        <v>156.78</v>
      </c>
      <c r="H2272" s="63" t="n">
        <v>0.091</v>
      </c>
      <c r="I2272" s="62" t="n">
        <v>91.73</v>
      </c>
      <c r="J2272" s="58" t="inlineStr">
        <is>
          <t>Online</t>
        </is>
      </c>
      <c r="K2272" s="62">
        <f>F2272*(G2272-H2272)</f>
        <v/>
      </c>
      <c r="L2272" s="62">
        <f>K2272-(F2272*I2272)</f>
        <v/>
      </c>
      <c r="M2272" s="64">
        <f>L2272/K2272</f>
        <v/>
      </c>
    </row>
    <row r="2273">
      <c r="A2273" s="58" t="inlineStr">
        <is>
          <t>RT20250227-02272</t>
        </is>
      </c>
      <c r="B2273" s="59" t="inlineStr">
        <is>
          <t>2025-02-27</t>
        </is>
      </c>
      <c r="C2273" s="60" t="inlineStr">
        <is>
          <t>Solace Kitchen Pro-510</t>
        </is>
      </c>
      <c r="D2273" s="58" t="inlineStr">
        <is>
          <t>Home</t>
        </is>
      </c>
      <c r="E2273" s="58" t="inlineStr">
        <is>
          <t>West</t>
        </is>
      </c>
      <c r="F2273" s="61" t="n">
        <v>1</v>
      </c>
      <c r="G2273" s="62" t="n">
        <v>450.57</v>
      </c>
      <c r="H2273" s="63" t="n">
        <v>0.037</v>
      </c>
      <c r="I2273" s="62" t="n">
        <v>308.25</v>
      </c>
      <c r="J2273" s="58" t="inlineStr">
        <is>
          <t>Store</t>
        </is>
      </c>
      <c r="K2273" s="62">
        <f>F2273*(G2273-H2273)</f>
        <v/>
      </c>
      <c r="L2273" s="62">
        <f>K2273-(F2273*I2273)</f>
        <v/>
      </c>
      <c r="M2273" s="64">
        <f>L2273/K2273</f>
        <v/>
      </c>
    </row>
    <row r="2274">
      <c r="A2274" s="58" t="inlineStr">
        <is>
          <t>RT20250227-02273</t>
        </is>
      </c>
      <c r="B2274" s="59" t="inlineStr">
        <is>
          <t>2025-02-27</t>
        </is>
      </c>
      <c r="C2274" s="60" t="inlineStr">
        <is>
          <t>Solace Fitnes S-324</t>
        </is>
      </c>
      <c r="D2274" s="58" t="inlineStr">
        <is>
          <t>Sports</t>
        </is>
      </c>
      <c r="E2274" s="58" t="inlineStr">
        <is>
          <t>Central</t>
        </is>
      </c>
      <c r="F2274" s="61" t="n">
        <v>2</v>
      </c>
      <c r="G2274" s="62" t="n">
        <v>817.5599999999999</v>
      </c>
      <c r="H2274" s="63" t="n">
        <v>0.094</v>
      </c>
      <c r="I2274" s="62" t="n">
        <v>524.01</v>
      </c>
      <c r="J2274" s="58" t="inlineStr">
        <is>
          <t>Online</t>
        </is>
      </c>
      <c r="K2274" s="62">
        <f>F2274*(G2274-H2274)</f>
        <v/>
      </c>
      <c r="L2274" s="62">
        <f>K2274-(F2274*I2274)</f>
        <v/>
      </c>
      <c r="M2274" s="64">
        <f>L2274/K2274</f>
        <v/>
      </c>
    </row>
    <row r="2275">
      <c r="A2275" s="58" t="inlineStr">
        <is>
          <t>RT20250227-02274</t>
        </is>
      </c>
      <c r="B2275" s="59" t="inlineStr">
        <is>
          <t>2025-02-27</t>
        </is>
      </c>
      <c r="C2275" s="60" t="inlineStr">
        <is>
          <t>Falcon Kitchen X-130</t>
        </is>
      </c>
      <c r="D2275" s="58" t="inlineStr">
        <is>
          <t>Home</t>
        </is>
      </c>
      <c r="E2275" s="58" t="inlineStr">
        <is>
          <t>Central</t>
        </is>
      </c>
      <c r="F2275" s="61" t="n">
        <v>1</v>
      </c>
      <c r="G2275" s="62" t="n">
        <v>341.34</v>
      </c>
      <c r="H2275" s="63" t="n">
        <v>0.037</v>
      </c>
      <c r="I2275" s="62" t="n">
        <v>282.75</v>
      </c>
      <c r="J2275" s="58" t="inlineStr">
        <is>
          <t>Online</t>
        </is>
      </c>
      <c r="K2275" s="62">
        <f>F2275*(G2275-H2275)</f>
        <v/>
      </c>
      <c r="L2275" s="62">
        <f>K2275-(F2275*I2275)</f>
        <v/>
      </c>
      <c r="M2275" s="64">
        <f>L2275/K2275</f>
        <v/>
      </c>
    </row>
    <row r="2276">
      <c r="A2276" s="58" t="inlineStr">
        <is>
          <t>RT20250228-02275</t>
        </is>
      </c>
      <c r="B2276" s="59" t="inlineStr">
        <is>
          <t>2025-02-28</t>
        </is>
      </c>
      <c r="C2276" s="60" t="inlineStr">
        <is>
          <t>Polar Supplie Lite-348</t>
        </is>
      </c>
      <c r="D2276" s="58" t="inlineStr">
        <is>
          <t>Office</t>
        </is>
      </c>
      <c r="E2276" s="58" t="inlineStr">
        <is>
          <t>West</t>
        </is>
      </c>
      <c r="F2276" s="61" t="n">
        <v>3</v>
      </c>
      <c r="G2276" s="62" t="n">
        <v>453.57</v>
      </c>
      <c r="H2276" s="63" t="n">
        <v>0.134</v>
      </c>
      <c r="I2276" s="62" t="n">
        <v>319.62</v>
      </c>
      <c r="J2276" s="58" t="inlineStr">
        <is>
          <t>Online</t>
        </is>
      </c>
      <c r="K2276" s="62">
        <f>F2276*(G2276-H2276)</f>
        <v/>
      </c>
      <c r="L2276" s="62">
        <f>K2276-(F2276*I2276)</f>
        <v/>
      </c>
      <c r="M2276" s="64">
        <f>L2276/K2276</f>
        <v/>
      </c>
    </row>
    <row r="2277">
      <c r="A2277" s="58" t="inlineStr">
        <is>
          <t>RT20250228-02276</t>
        </is>
      </c>
      <c r="B2277" s="59" t="inlineStr">
        <is>
          <t>2025-02-28</t>
        </is>
      </c>
      <c r="C2277" s="60" t="inlineStr">
        <is>
          <t>Polar Cycling X-649</t>
        </is>
      </c>
      <c r="D2277" s="58" t="inlineStr">
        <is>
          <t>Sports</t>
        </is>
      </c>
      <c r="E2277" s="58" t="inlineStr">
        <is>
          <t>South</t>
        </is>
      </c>
      <c r="F2277" s="61" t="n">
        <v>2</v>
      </c>
      <c r="G2277" s="62" t="n">
        <v>533.54</v>
      </c>
      <c r="H2277" s="63" t="n">
        <v>0.008999999999999999</v>
      </c>
      <c r="I2277" s="62" t="n">
        <v>372.56</v>
      </c>
      <c r="J2277" s="58" t="inlineStr">
        <is>
          <t>Online</t>
        </is>
      </c>
      <c r="K2277" s="62">
        <f>F2277*(G2277-H2277)</f>
        <v/>
      </c>
      <c r="L2277" s="62">
        <f>K2277-(F2277*I2277)</f>
        <v/>
      </c>
      <c r="M2277" s="64">
        <f>L2277/K2277</f>
        <v/>
      </c>
    </row>
    <row r="2278">
      <c r="A2278" s="58" t="inlineStr">
        <is>
          <t>RT20250228-02277</t>
        </is>
      </c>
      <c r="B2278" s="59" t="inlineStr">
        <is>
          <t>2025-02-28</t>
        </is>
      </c>
      <c r="C2278" s="60" t="inlineStr">
        <is>
          <t>Falcon Skincare X-334</t>
        </is>
      </c>
      <c r="D2278" s="58" t="inlineStr">
        <is>
          <t>Beauty</t>
        </is>
      </c>
      <c r="E2278" s="58" t="inlineStr">
        <is>
          <t>West</t>
        </is>
      </c>
      <c r="F2278" s="61" t="n">
        <v>4</v>
      </c>
      <c r="G2278" s="62" t="n">
        <v>113.31</v>
      </c>
      <c r="H2278" s="63" t="n">
        <v>0.076</v>
      </c>
      <c r="I2278" s="62" t="n">
        <v>64.09999999999999</v>
      </c>
      <c r="J2278" s="58" t="inlineStr">
        <is>
          <t>Store</t>
        </is>
      </c>
      <c r="K2278" s="62">
        <f>F2278*(G2278-H2278)</f>
        <v/>
      </c>
      <c r="L2278" s="62">
        <f>K2278-(F2278*I2278)</f>
        <v/>
      </c>
      <c r="M2278" s="64">
        <f>L2278/K2278</f>
        <v/>
      </c>
    </row>
    <row r="2279">
      <c r="A2279" s="58" t="inlineStr">
        <is>
          <t>RT20250228-02278</t>
        </is>
      </c>
      <c r="B2279" s="59" t="inlineStr">
        <is>
          <t>2025-02-28</t>
        </is>
      </c>
      <c r="C2279" s="60" t="inlineStr">
        <is>
          <t>Polar Beverage S-258</t>
        </is>
      </c>
      <c r="D2279" s="58" t="inlineStr">
        <is>
          <t>Grocery</t>
        </is>
      </c>
      <c r="E2279" s="58" t="inlineStr">
        <is>
          <t>East</t>
        </is>
      </c>
      <c r="F2279" s="61" t="n">
        <v>3</v>
      </c>
      <c r="G2279" s="62" t="n">
        <v>12.44</v>
      </c>
      <c r="H2279" s="63" t="n">
        <v>0.023</v>
      </c>
      <c r="I2279" s="62" t="n">
        <v>9.57</v>
      </c>
      <c r="J2279" s="58" t="inlineStr">
        <is>
          <t>Online</t>
        </is>
      </c>
      <c r="K2279" s="62">
        <f>F2279*(G2279-H2279)</f>
        <v/>
      </c>
      <c r="L2279" s="62">
        <f>K2279-(F2279*I2279)</f>
        <v/>
      </c>
      <c r="M2279" s="64">
        <f>L2279/K2279</f>
        <v/>
      </c>
    </row>
    <row r="2280">
      <c r="A2280" s="58" t="inlineStr">
        <is>
          <t>RT20250228-02279</t>
        </is>
      </c>
      <c r="B2280" s="59" t="inlineStr">
        <is>
          <t>2025-02-28</t>
        </is>
      </c>
      <c r="C2280" s="60" t="inlineStr">
        <is>
          <t>Falcon Wearable X-334</t>
        </is>
      </c>
      <c r="D2280" s="58" t="inlineStr">
        <is>
          <t>Electronics</t>
        </is>
      </c>
      <c r="E2280" s="58" t="inlineStr">
        <is>
          <t>East</t>
        </is>
      </c>
      <c r="F2280" s="61" t="n">
        <v>1</v>
      </c>
      <c r="G2280" s="62" t="n">
        <v>1921.24</v>
      </c>
      <c r="H2280" s="63" t="n">
        <v>0.061</v>
      </c>
      <c r="I2280" s="62" t="n">
        <v>1513.39</v>
      </c>
      <c r="J2280" s="58" t="inlineStr">
        <is>
          <t>Store</t>
        </is>
      </c>
      <c r="K2280" s="62">
        <f>F2280*(G2280-H2280)</f>
        <v/>
      </c>
      <c r="L2280" s="62">
        <f>K2280-(F2280*I2280)</f>
        <v/>
      </c>
      <c r="M2280" s="64">
        <f>L2280/K2280</f>
        <v/>
      </c>
    </row>
    <row r="2281">
      <c r="A2281" s="58" t="inlineStr">
        <is>
          <t>RT20250228-02280</t>
        </is>
      </c>
      <c r="B2281" s="59" t="inlineStr">
        <is>
          <t>2025-02-28</t>
        </is>
      </c>
      <c r="C2281" s="60" t="inlineStr">
        <is>
          <t>Vertex Snack S-702</t>
        </is>
      </c>
      <c r="D2281" s="58" t="inlineStr">
        <is>
          <t>Grocery</t>
        </is>
      </c>
      <c r="E2281" s="58" t="inlineStr">
        <is>
          <t>West</t>
        </is>
      </c>
      <c r="F2281" s="61" t="n">
        <v>7</v>
      </c>
      <c r="G2281" s="62" t="n">
        <v>2.01</v>
      </c>
      <c r="H2281" s="63" t="n">
        <v>0.026</v>
      </c>
      <c r="I2281" s="62" t="n">
        <v>1.47</v>
      </c>
      <c r="J2281" s="58" t="inlineStr">
        <is>
          <t>Store</t>
        </is>
      </c>
      <c r="K2281" s="62">
        <f>F2281*(G2281-H2281)</f>
        <v/>
      </c>
      <c r="L2281" s="62">
        <f>K2281-(F2281*I2281)</f>
        <v/>
      </c>
      <c r="M2281" s="64">
        <f>L2281/K2281</f>
        <v/>
      </c>
    </row>
    <row r="2282">
      <c r="A2282" s="58" t="inlineStr">
        <is>
          <t>RT20250228-02281</t>
        </is>
      </c>
      <c r="B2282" s="59" t="inlineStr">
        <is>
          <t>2025-02-28</t>
        </is>
      </c>
      <c r="C2282" s="60" t="inlineStr">
        <is>
          <t>Orion Haircare Plus-887</t>
        </is>
      </c>
      <c r="D2282" s="58" t="inlineStr">
        <is>
          <t>Beauty</t>
        </is>
      </c>
      <c r="E2282" s="58" t="inlineStr">
        <is>
          <t>East</t>
        </is>
      </c>
      <c r="F2282" s="61" t="n">
        <v>3</v>
      </c>
      <c r="G2282" s="62" t="n">
        <v>47.19</v>
      </c>
      <c r="H2282" s="63" t="n">
        <v>0.038</v>
      </c>
      <c r="I2282" s="62" t="n">
        <v>31.78</v>
      </c>
      <c r="J2282" s="58" t="inlineStr">
        <is>
          <t>Store</t>
        </is>
      </c>
      <c r="K2282" s="62">
        <f>F2282*(G2282-H2282)</f>
        <v/>
      </c>
      <c r="L2282" s="62">
        <f>K2282-(F2282*I2282)</f>
        <v/>
      </c>
      <c r="M2282" s="64">
        <f>L2282/K2282</f>
        <v/>
      </c>
    </row>
    <row r="2283">
      <c r="A2283" s="58" t="inlineStr">
        <is>
          <t>RT20250228-02282</t>
        </is>
      </c>
      <c r="B2283" s="59" t="inlineStr">
        <is>
          <t>2025-02-28</t>
        </is>
      </c>
      <c r="C2283" s="60" t="inlineStr">
        <is>
          <t>Vertex Snack S-702</t>
        </is>
      </c>
      <c r="D2283" s="58" t="inlineStr">
        <is>
          <t>Grocery</t>
        </is>
      </c>
      <c r="E2283" s="58" t="inlineStr">
        <is>
          <t>South</t>
        </is>
      </c>
      <c r="F2283" s="61" t="n">
        <v>3</v>
      </c>
      <c r="G2283" s="62" t="n">
        <v>2.14</v>
      </c>
      <c r="H2283" s="63" t="n">
        <v>0.052</v>
      </c>
      <c r="I2283" s="62" t="n">
        <v>1.46</v>
      </c>
      <c r="J2283" s="58" t="inlineStr">
        <is>
          <t>Store</t>
        </is>
      </c>
      <c r="K2283" s="62">
        <f>F2283*(G2283-H2283)</f>
        <v/>
      </c>
      <c r="L2283" s="62">
        <f>K2283-(F2283*I2283)</f>
        <v/>
      </c>
      <c r="M2283" s="64">
        <f>L2283/K2283</f>
        <v/>
      </c>
    </row>
    <row r="2284">
      <c r="A2284" s="58" t="inlineStr">
        <is>
          <t>RT20250228-02283</t>
        </is>
      </c>
      <c r="B2284" s="59" t="inlineStr">
        <is>
          <t>2025-02-28</t>
        </is>
      </c>
      <c r="C2284" s="60" t="inlineStr">
        <is>
          <t>Vertex Supplie X-513</t>
        </is>
      </c>
      <c r="D2284" s="58" t="inlineStr">
        <is>
          <t>Office</t>
        </is>
      </c>
      <c r="E2284" s="58" t="inlineStr">
        <is>
          <t>East</t>
        </is>
      </c>
      <c r="F2284" s="61" t="n">
        <v>2</v>
      </c>
      <c r="G2284" s="62" t="n">
        <v>414.24</v>
      </c>
      <c r="H2284" s="63" t="n">
        <v>0.047</v>
      </c>
      <c r="I2284" s="62" t="n">
        <v>278.75</v>
      </c>
      <c r="J2284" s="58" t="inlineStr">
        <is>
          <t>Online</t>
        </is>
      </c>
      <c r="K2284" s="62">
        <f>F2284*(G2284-H2284)</f>
        <v/>
      </c>
      <c r="L2284" s="62">
        <f>K2284-(F2284*I2284)</f>
        <v/>
      </c>
      <c r="M2284" s="64">
        <f>L2284/K2284</f>
        <v/>
      </c>
    </row>
    <row r="2285">
      <c r="A2285" s="58" t="inlineStr">
        <is>
          <t>RT20250228-02284</t>
        </is>
      </c>
      <c r="B2285" s="59" t="inlineStr">
        <is>
          <t>2025-02-28</t>
        </is>
      </c>
      <c r="C2285" s="60" t="inlineStr">
        <is>
          <t>Aurora Household Plus-146</t>
        </is>
      </c>
      <c r="D2285" s="58" t="inlineStr">
        <is>
          <t>Grocery</t>
        </is>
      </c>
      <c r="E2285" s="58" t="inlineStr">
        <is>
          <t>West</t>
        </is>
      </c>
      <c r="F2285" s="61" t="n">
        <v>2</v>
      </c>
      <c r="G2285" s="62" t="n">
        <v>6.38</v>
      </c>
      <c r="H2285" s="63" t="n">
        <v>0.08400000000000001</v>
      </c>
      <c r="I2285" s="62" t="n">
        <v>4.63</v>
      </c>
      <c r="J2285" s="58" t="inlineStr">
        <is>
          <t>Online</t>
        </is>
      </c>
      <c r="K2285" s="62">
        <f>F2285*(G2285-H2285)</f>
        <v/>
      </c>
      <c r="L2285" s="62">
        <f>K2285-(F2285*I2285)</f>
        <v/>
      </c>
      <c r="M2285" s="64">
        <f>L2285/K2285</f>
        <v/>
      </c>
    </row>
    <row r="2286">
      <c r="A2286" s="58" t="inlineStr">
        <is>
          <t>RT20250228-02285</t>
        </is>
      </c>
      <c r="B2286" s="59" t="inlineStr">
        <is>
          <t>2025-02-28</t>
        </is>
      </c>
      <c r="C2286" s="60" t="inlineStr">
        <is>
          <t>Nimbus Laptop Max-652</t>
        </is>
      </c>
      <c r="D2286" s="58" t="inlineStr">
        <is>
          <t>Electronics</t>
        </is>
      </c>
      <c r="E2286" s="58" t="inlineStr">
        <is>
          <t>Central</t>
        </is>
      </c>
      <c r="F2286" s="61" t="n">
        <v>2</v>
      </c>
      <c r="G2286" s="62" t="n">
        <v>1332.96</v>
      </c>
      <c r="H2286" s="63" t="n">
        <v>0.115</v>
      </c>
      <c r="I2286" s="62" t="n">
        <v>1056.78</v>
      </c>
      <c r="J2286" s="58" t="inlineStr">
        <is>
          <t>Store</t>
        </is>
      </c>
      <c r="K2286" s="62">
        <f>F2286*(G2286-H2286)</f>
        <v/>
      </c>
      <c r="L2286" s="62">
        <f>K2286-(F2286*I2286)</f>
        <v/>
      </c>
      <c r="M2286" s="64">
        <f>L2286/K2286</f>
        <v/>
      </c>
    </row>
    <row r="2287">
      <c r="A2287" s="58" t="inlineStr">
        <is>
          <t>RT20250228-02286</t>
        </is>
      </c>
      <c r="B2287" s="59" t="inlineStr">
        <is>
          <t>2025-02-28</t>
        </is>
      </c>
      <c r="C2287" s="60" t="inlineStr">
        <is>
          <t>Aurora Bedding Max-175</t>
        </is>
      </c>
      <c r="D2287" s="58" t="inlineStr">
        <is>
          <t>Home</t>
        </is>
      </c>
      <c r="E2287" s="58" t="inlineStr">
        <is>
          <t>East</t>
        </is>
      </c>
      <c r="F2287" s="61" t="n">
        <v>1</v>
      </c>
      <c r="G2287" s="62" t="n">
        <v>633.61</v>
      </c>
      <c r="H2287" s="63" t="n">
        <v>0.096</v>
      </c>
      <c r="I2287" s="62" t="n">
        <v>414.39</v>
      </c>
      <c r="J2287" s="58" t="inlineStr">
        <is>
          <t>Online</t>
        </is>
      </c>
      <c r="K2287" s="62">
        <f>F2287*(G2287-H2287)</f>
        <v/>
      </c>
      <c r="L2287" s="62">
        <f>K2287-(F2287*I2287)</f>
        <v/>
      </c>
      <c r="M2287" s="64">
        <f>L2287/K2287</f>
        <v/>
      </c>
    </row>
    <row r="2288">
      <c r="A2288" s="58" t="inlineStr">
        <is>
          <t>RT20250228-02287</t>
        </is>
      </c>
      <c r="B2288" s="59" t="inlineStr">
        <is>
          <t>2025-02-28</t>
        </is>
      </c>
      <c r="C2288" s="60" t="inlineStr">
        <is>
          <t>Vertex Supplie X-513</t>
        </is>
      </c>
      <c r="D2288" s="58" t="inlineStr">
        <is>
          <t>Office</t>
        </is>
      </c>
      <c r="E2288" s="58" t="inlineStr">
        <is>
          <t>East</t>
        </is>
      </c>
      <c r="F2288" s="61" t="n">
        <v>3</v>
      </c>
      <c r="G2288" s="62" t="n">
        <v>424.07</v>
      </c>
      <c r="H2288" s="63" t="n">
        <v>0.051</v>
      </c>
      <c r="I2288" s="62" t="n">
        <v>278.03</v>
      </c>
      <c r="J2288" s="58" t="inlineStr">
        <is>
          <t>Store</t>
        </is>
      </c>
      <c r="K2288" s="62">
        <f>F2288*(G2288-H2288)</f>
        <v/>
      </c>
      <c r="L2288" s="62">
        <f>K2288-(F2288*I2288)</f>
        <v/>
      </c>
      <c r="M2288" s="64">
        <f>L2288/K2288</f>
        <v/>
      </c>
    </row>
    <row r="2289">
      <c r="A2289" s="58" t="inlineStr">
        <is>
          <t>RT20250228-02288</t>
        </is>
      </c>
      <c r="B2289" s="59" t="inlineStr">
        <is>
          <t>2025-02-28</t>
        </is>
      </c>
      <c r="C2289" s="60" t="inlineStr">
        <is>
          <t>Metro Outdoor Plus-787</t>
        </is>
      </c>
      <c r="D2289" s="58" t="inlineStr">
        <is>
          <t>Sports</t>
        </is>
      </c>
      <c r="E2289" s="58" t="inlineStr">
        <is>
          <t>South</t>
        </is>
      </c>
      <c r="F2289" s="61" t="n">
        <v>2</v>
      </c>
      <c r="G2289" s="62" t="n">
        <v>606.25</v>
      </c>
      <c r="H2289" s="63" t="n">
        <v>0.089</v>
      </c>
      <c r="I2289" s="62" t="n">
        <v>354.66</v>
      </c>
      <c r="J2289" s="58" t="inlineStr">
        <is>
          <t>Store</t>
        </is>
      </c>
      <c r="K2289" s="62">
        <f>F2289*(G2289-H2289)</f>
        <v/>
      </c>
      <c r="L2289" s="62">
        <f>K2289-(F2289*I2289)</f>
        <v/>
      </c>
      <c r="M2289" s="64">
        <f>L2289/K2289</f>
        <v/>
      </c>
    </row>
    <row r="2290">
      <c r="A2290" s="58" t="inlineStr">
        <is>
          <t>RT20250228-02289</t>
        </is>
      </c>
      <c r="B2290" s="59" t="inlineStr">
        <is>
          <t>2025-02-28</t>
        </is>
      </c>
      <c r="C2290" s="60" t="inlineStr">
        <is>
          <t>Polar Women Max-927</t>
        </is>
      </c>
      <c r="D2290" s="58" t="inlineStr">
        <is>
          <t>Apparel</t>
        </is>
      </c>
      <c r="E2290" s="58" t="inlineStr">
        <is>
          <t>North</t>
        </is>
      </c>
      <c r="F2290" s="61" t="n">
        <v>3</v>
      </c>
      <c r="G2290" s="62" t="n">
        <v>116.79</v>
      </c>
      <c r="H2290" s="63" t="n">
        <v>0.094</v>
      </c>
      <c r="I2290" s="62" t="n">
        <v>65.09</v>
      </c>
      <c r="J2290" s="58" t="inlineStr">
        <is>
          <t>Online</t>
        </is>
      </c>
      <c r="K2290" s="62">
        <f>F2290*(G2290-H2290)</f>
        <v/>
      </c>
      <c r="L2290" s="62">
        <f>K2290-(F2290*I2290)</f>
        <v/>
      </c>
      <c r="M2290" s="64">
        <f>L2290/K2290</f>
        <v/>
      </c>
    </row>
    <row r="2291">
      <c r="A2291" s="58" t="inlineStr">
        <is>
          <t>RT20250228-02290</t>
        </is>
      </c>
      <c r="B2291" s="59" t="inlineStr">
        <is>
          <t>2025-02-28</t>
        </is>
      </c>
      <c r="C2291" s="60" t="inlineStr">
        <is>
          <t>Orion Men X-928</t>
        </is>
      </c>
      <c r="D2291" s="58" t="inlineStr">
        <is>
          <t>Apparel</t>
        </is>
      </c>
      <c r="E2291" s="58" t="inlineStr">
        <is>
          <t>East</t>
        </is>
      </c>
      <c r="F2291" s="61" t="n">
        <v>3</v>
      </c>
      <c r="G2291" s="62" t="n">
        <v>119.85</v>
      </c>
      <c r="H2291" s="63" t="n">
        <v>0.093</v>
      </c>
      <c r="I2291" s="62" t="n">
        <v>63.41</v>
      </c>
      <c r="J2291" s="58" t="inlineStr">
        <is>
          <t>Online</t>
        </is>
      </c>
      <c r="K2291" s="62">
        <f>F2291*(G2291-H2291)</f>
        <v/>
      </c>
      <c r="L2291" s="62">
        <f>K2291-(F2291*I2291)</f>
        <v/>
      </c>
      <c r="M2291" s="64">
        <f>L2291/K2291</f>
        <v/>
      </c>
    </row>
    <row r="2292">
      <c r="A2292" s="58" t="inlineStr">
        <is>
          <t>RT20250228-02291</t>
        </is>
      </c>
      <c r="B2292" s="59" t="inlineStr">
        <is>
          <t>2025-02-28</t>
        </is>
      </c>
      <c r="C2292" s="60" t="inlineStr">
        <is>
          <t>Vertex Printer Max-692</t>
        </is>
      </c>
      <c r="D2292" s="58" t="inlineStr">
        <is>
          <t>Office</t>
        </is>
      </c>
      <c r="E2292" s="58" t="inlineStr">
        <is>
          <t>West</t>
        </is>
      </c>
      <c r="F2292" s="61" t="n">
        <v>3</v>
      </c>
      <c r="G2292" s="62" t="n">
        <v>169.29</v>
      </c>
      <c r="H2292" s="63" t="n">
        <v>0.028</v>
      </c>
      <c r="I2292" s="62" t="n">
        <v>122.72</v>
      </c>
      <c r="J2292" s="58" t="inlineStr">
        <is>
          <t>Online</t>
        </is>
      </c>
      <c r="K2292" s="62">
        <f>F2292*(G2292-H2292)</f>
        <v/>
      </c>
      <c r="L2292" s="62">
        <f>K2292-(F2292*I2292)</f>
        <v/>
      </c>
      <c r="M2292" s="64">
        <f>L2292/K2292</f>
        <v/>
      </c>
    </row>
    <row r="2293">
      <c r="A2293" s="58" t="inlineStr">
        <is>
          <t>RT20250228-02292</t>
        </is>
      </c>
      <c r="B2293" s="59" t="inlineStr">
        <is>
          <t>2025-02-28</t>
        </is>
      </c>
      <c r="C2293" s="60" t="inlineStr">
        <is>
          <t>Metro Printer X-294</t>
        </is>
      </c>
      <c r="D2293" s="58" t="inlineStr">
        <is>
          <t>Office</t>
        </is>
      </c>
      <c r="E2293" s="58" t="inlineStr">
        <is>
          <t>West</t>
        </is>
      </c>
      <c r="F2293" s="61" t="n">
        <v>1</v>
      </c>
      <c r="G2293" s="62" t="n">
        <v>624.5599999999999</v>
      </c>
      <c r="H2293" s="63" t="n">
        <v>0.068</v>
      </c>
      <c r="I2293" s="62" t="n">
        <v>414.68</v>
      </c>
      <c r="J2293" s="58" t="inlineStr">
        <is>
          <t>Store</t>
        </is>
      </c>
      <c r="K2293" s="62">
        <f>F2293*(G2293-H2293)</f>
        <v/>
      </c>
      <c r="L2293" s="62">
        <f>K2293-(F2293*I2293)</f>
        <v/>
      </c>
      <c r="M2293" s="64">
        <f>L2293/K2293</f>
        <v/>
      </c>
    </row>
    <row r="2294">
      <c r="A2294" s="58" t="inlineStr">
        <is>
          <t>RT20250228-02293</t>
        </is>
      </c>
      <c r="B2294" s="59" t="inlineStr">
        <is>
          <t>2025-02-28</t>
        </is>
      </c>
      <c r="C2294" s="60" t="inlineStr">
        <is>
          <t>Vertex Headphone Pro-801</t>
        </is>
      </c>
      <c r="D2294" s="58" t="inlineStr">
        <is>
          <t>Electronics</t>
        </is>
      </c>
      <c r="E2294" s="58" t="inlineStr">
        <is>
          <t>Central</t>
        </is>
      </c>
      <c r="F2294" s="61" t="n">
        <v>1</v>
      </c>
      <c r="G2294" s="62" t="n">
        <v>1170.55</v>
      </c>
      <c r="H2294" s="63" t="n">
        <v>0.064</v>
      </c>
      <c r="I2294" s="62" t="n">
        <v>955.9299999999999</v>
      </c>
      <c r="J2294" s="58" t="inlineStr">
        <is>
          <t>Phone</t>
        </is>
      </c>
      <c r="K2294" s="62">
        <f>F2294*(G2294-H2294)</f>
        <v/>
      </c>
      <c r="L2294" s="62">
        <f>K2294-(F2294*I2294)</f>
        <v/>
      </c>
      <c r="M2294" s="64">
        <f>L2294/K2294</f>
        <v/>
      </c>
    </row>
    <row r="2295">
      <c r="A2295" s="58" t="inlineStr">
        <is>
          <t>RT20250228-02294</t>
        </is>
      </c>
      <c r="B2295" s="59" t="inlineStr">
        <is>
          <t>2025-02-28</t>
        </is>
      </c>
      <c r="C2295" s="60" t="inlineStr">
        <is>
          <t>Nimbus Headphone X-854</t>
        </is>
      </c>
      <c r="D2295" s="58" t="inlineStr">
        <is>
          <t>Electronics</t>
        </is>
      </c>
      <c r="E2295" s="58" t="inlineStr">
        <is>
          <t>West</t>
        </is>
      </c>
      <c r="F2295" s="61" t="n">
        <v>2</v>
      </c>
      <c r="G2295" s="62" t="n">
        <v>1630.39</v>
      </c>
      <c r="H2295" s="63" t="n">
        <v>0.066</v>
      </c>
      <c r="I2295" s="62" t="n">
        <v>1244.12</v>
      </c>
      <c r="J2295" s="58" t="inlineStr">
        <is>
          <t>Online</t>
        </is>
      </c>
      <c r="K2295" s="62">
        <f>F2295*(G2295-H2295)</f>
        <v/>
      </c>
      <c r="L2295" s="62">
        <f>K2295-(F2295*I2295)</f>
        <v/>
      </c>
      <c r="M2295" s="64">
        <f>L2295/K2295</f>
        <v/>
      </c>
    </row>
    <row r="2296">
      <c r="A2296" s="58" t="inlineStr">
        <is>
          <t>RT20250228-02295</t>
        </is>
      </c>
      <c r="B2296" s="59" t="inlineStr">
        <is>
          <t>2025-02-28</t>
        </is>
      </c>
      <c r="C2296" s="60" t="inlineStr">
        <is>
          <t>Orion Haircare Plus-887</t>
        </is>
      </c>
      <c r="D2296" s="58" t="inlineStr">
        <is>
          <t>Beauty</t>
        </is>
      </c>
      <c r="E2296" s="58" t="inlineStr">
        <is>
          <t>North</t>
        </is>
      </c>
      <c r="F2296" s="61" t="n">
        <v>1</v>
      </c>
      <c r="G2296" s="62" t="n">
        <v>43.82</v>
      </c>
      <c r="H2296" s="63" t="n">
        <v>0.077</v>
      </c>
      <c r="I2296" s="62" t="n">
        <v>30.07</v>
      </c>
      <c r="J2296" s="58" t="inlineStr">
        <is>
          <t>Store</t>
        </is>
      </c>
      <c r="K2296" s="62">
        <f>F2296*(G2296-H2296)</f>
        <v/>
      </c>
      <c r="L2296" s="62">
        <f>K2296-(F2296*I2296)</f>
        <v/>
      </c>
      <c r="M2296" s="64">
        <f>L2296/K2296</f>
        <v/>
      </c>
    </row>
    <row r="2297">
      <c r="A2297" s="58" t="inlineStr">
        <is>
          <t>RT20250228-02296</t>
        </is>
      </c>
      <c r="B2297" s="59" t="inlineStr">
        <is>
          <t>2025-02-28</t>
        </is>
      </c>
      <c r="C2297" s="60" t="inlineStr">
        <is>
          <t>Metro Wearable Plus-234</t>
        </is>
      </c>
      <c r="D2297" s="58" t="inlineStr">
        <is>
          <t>Electronics</t>
        </is>
      </c>
      <c r="E2297" s="58" t="inlineStr">
        <is>
          <t>Central</t>
        </is>
      </c>
      <c r="F2297" s="61" t="n">
        <v>1</v>
      </c>
      <c r="G2297" s="62" t="n">
        <v>1501.84</v>
      </c>
      <c r="H2297" s="63" t="n">
        <v>0.055</v>
      </c>
      <c r="I2297" s="62" t="n">
        <v>1150.32</v>
      </c>
      <c r="J2297" s="58" t="inlineStr">
        <is>
          <t>Store</t>
        </is>
      </c>
      <c r="K2297" s="62">
        <f>F2297*(G2297-H2297)</f>
        <v/>
      </c>
      <c r="L2297" s="62">
        <f>K2297-(F2297*I2297)</f>
        <v/>
      </c>
      <c r="M2297" s="64">
        <f>L2297/K2297</f>
        <v/>
      </c>
    </row>
    <row r="2298">
      <c r="A2298" s="58" t="inlineStr">
        <is>
          <t>RT20250228-02297</t>
        </is>
      </c>
      <c r="B2298" s="59" t="inlineStr">
        <is>
          <t>2025-02-28</t>
        </is>
      </c>
      <c r="C2298" s="60" t="inlineStr">
        <is>
          <t>Orion Haircare Plus-887</t>
        </is>
      </c>
      <c r="D2298" s="58" t="inlineStr">
        <is>
          <t>Beauty</t>
        </is>
      </c>
      <c r="E2298" s="58" t="inlineStr">
        <is>
          <t>East</t>
        </is>
      </c>
      <c r="F2298" s="61" t="n">
        <v>4</v>
      </c>
      <c r="G2298" s="62" t="n">
        <v>54.11</v>
      </c>
      <c r="H2298" s="63" t="n">
        <v>0.059</v>
      </c>
      <c r="I2298" s="62" t="n">
        <v>31.01</v>
      </c>
      <c r="J2298" s="58" t="inlineStr">
        <is>
          <t>Store</t>
        </is>
      </c>
      <c r="K2298" s="62">
        <f>F2298*(G2298-H2298)</f>
        <v/>
      </c>
      <c r="L2298" s="62">
        <f>K2298-(F2298*I2298)</f>
        <v/>
      </c>
      <c r="M2298" s="64">
        <f>L2298/K2298</f>
        <v/>
      </c>
    </row>
    <row r="2299">
      <c r="A2299" s="58" t="inlineStr">
        <is>
          <t>RT20250228-02298</t>
        </is>
      </c>
      <c r="B2299" s="59" t="inlineStr">
        <is>
          <t>2025-02-28</t>
        </is>
      </c>
      <c r="C2299" s="60" t="inlineStr">
        <is>
          <t>Orion Laptop S-350</t>
        </is>
      </c>
      <c r="D2299" s="58" t="inlineStr">
        <is>
          <t>Electronics</t>
        </is>
      </c>
      <c r="E2299" s="58" t="inlineStr">
        <is>
          <t>East</t>
        </is>
      </c>
      <c r="F2299" s="61" t="n">
        <v>2</v>
      </c>
      <c r="G2299" s="62" t="n">
        <v>1498.54</v>
      </c>
      <c r="H2299" s="63" t="n">
        <v>0.057</v>
      </c>
      <c r="I2299" s="62" t="n">
        <v>1060.56</v>
      </c>
      <c r="J2299" s="58" t="inlineStr">
        <is>
          <t>Store</t>
        </is>
      </c>
      <c r="K2299" s="62">
        <f>F2299*(G2299-H2299)</f>
        <v/>
      </c>
      <c r="L2299" s="62">
        <f>K2299-(F2299*I2299)</f>
        <v/>
      </c>
      <c r="M2299" s="64">
        <f>L2299/K2299</f>
        <v/>
      </c>
    </row>
    <row r="2300">
      <c r="A2300" s="58" t="inlineStr">
        <is>
          <t>RT20250228-02299</t>
        </is>
      </c>
      <c r="B2300" s="59" t="inlineStr">
        <is>
          <t>2025-02-28</t>
        </is>
      </c>
      <c r="C2300" s="60" t="inlineStr">
        <is>
          <t>Solace Snack S-691</t>
        </is>
      </c>
      <c r="D2300" s="58" t="inlineStr">
        <is>
          <t>Grocery</t>
        </is>
      </c>
      <c r="E2300" s="58" t="inlineStr">
        <is>
          <t>West</t>
        </is>
      </c>
      <c r="F2300" s="61" t="n">
        <v>4</v>
      </c>
      <c r="G2300" s="62" t="n">
        <v>8.699999999999999</v>
      </c>
      <c r="H2300" s="63" t="n">
        <v>0.108</v>
      </c>
      <c r="I2300" s="62" t="n">
        <v>7.06</v>
      </c>
      <c r="J2300" s="58" t="inlineStr">
        <is>
          <t>Online</t>
        </is>
      </c>
      <c r="K2300" s="62">
        <f>F2300*(G2300-H2300)</f>
        <v/>
      </c>
      <c r="L2300" s="62">
        <f>K2300-(F2300*I2300)</f>
        <v/>
      </c>
      <c r="M2300" s="64">
        <f>L2300/K2300</f>
        <v/>
      </c>
    </row>
    <row r="2301">
      <c r="A2301" s="58" t="inlineStr">
        <is>
          <t>RT20250228-02300</t>
        </is>
      </c>
      <c r="B2301" s="59" t="inlineStr">
        <is>
          <t>2025-02-28</t>
        </is>
      </c>
      <c r="C2301" s="60" t="inlineStr">
        <is>
          <t>Nimbus Decor Lite-385</t>
        </is>
      </c>
      <c r="D2301" s="58" t="inlineStr">
        <is>
          <t>Home</t>
        </is>
      </c>
      <c r="E2301" s="58" t="inlineStr">
        <is>
          <t>North</t>
        </is>
      </c>
      <c r="F2301" s="61" t="n">
        <v>2</v>
      </c>
      <c r="G2301" s="62" t="n">
        <v>548.65</v>
      </c>
      <c r="H2301" s="63" t="n">
        <v>0.017</v>
      </c>
      <c r="I2301" s="62" t="n">
        <v>387.46</v>
      </c>
      <c r="J2301" s="58" t="inlineStr">
        <is>
          <t>Online</t>
        </is>
      </c>
      <c r="K2301" s="62">
        <f>F2301*(G2301-H2301)</f>
        <v/>
      </c>
      <c r="L2301" s="62">
        <f>K2301-(F2301*I2301)</f>
        <v/>
      </c>
      <c r="M2301" s="64">
        <f>L2301/K2301</f>
        <v/>
      </c>
    </row>
    <row r="2302">
      <c r="A2302" s="58" t="inlineStr">
        <is>
          <t>RT20250228-02301</t>
        </is>
      </c>
      <c r="B2302" s="59" t="inlineStr">
        <is>
          <t>2025-02-28</t>
        </is>
      </c>
      <c r="C2302" s="60" t="inlineStr">
        <is>
          <t>Polar Bedding Lite-243</t>
        </is>
      </c>
      <c r="D2302" s="58" t="inlineStr">
        <is>
          <t>Home</t>
        </is>
      </c>
      <c r="E2302" s="58" t="inlineStr">
        <is>
          <t>Central</t>
        </is>
      </c>
      <c r="F2302" s="61" t="n">
        <v>2</v>
      </c>
      <c r="G2302" s="62" t="n">
        <v>479.98</v>
      </c>
      <c r="H2302" s="63" t="n">
        <v>0.112</v>
      </c>
      <c r="I2302" s="62" t="n">
        <v>310.58</v>
      </c>
      <c r="J2302" s="58" t="inlineStr">
        <is>
          <t>Online</t>
        </is>
      </c>
      <c r="K2302" s="62">
        <f>F2302*(G2302-H2302)</f>
        <v/>
      </c>
      <c r="L2302" s="62">
        <f>K2302-(F2302*I2302)</f>
        <v/>
      </c>
      <c r="M2302" s="64">
        <f>L2302/K2302</f>
        <v/>
      </c>
    </row>
    <row r="2303">
      <c r="A2303" s="58" t="inlineStr">
        <is>
          <t>RT20250228-02302</t>
        </is>
      </c>
      <c r="B2303" s="59" t="inlineStr">
        <is>
          <t>2025-02-28</t>
        </is>
      </c>
      <c r="C2303" s="60" t="inlineStr">
        <is>
          <t>Vertex Decor Pro-618</t>
        </is>
      </c>
      <c r="D2303" s="58" t="inlineStr">
        <is>
          <t>Home</t>
        </is>
      </c>
      <c r="E2303" s="58" t="inlineStr">
        <is>
          <t>East</t>
        </is>
      </c>
      <c r="F2303" s="61" t="n">
        <v>1</v>
      </c>
      <c r="G2303" s="62" t="n">
        <v>570.24</v>
      </c>
      <c r="H2303" s="63" t="n">
        <v>0.102</v>
      </c>
      <c r="I2303" s="62" t="n">
        <v>387.98</v>
      </c>
      <c r="J2303" s="58" t="inlineStr">
        <is>
          <t>Online</t>
        </is>
      </c>
      <c r="K2303" s="62">
        <f>F2303*(G2303-H2303)</f>
        <v/>
      </c>
      <c r="L2303" s="62">
        <f>K2303-(F2303*I2303)</f>
        <v/>
      </c>
      <c r="M2303" s="64">
        <f>L2303/K2303</f>
        <v/>
      </c>
    </row>
    <row r="2304">
      <c r="A2304" s="58" t="inlineStr">
        <is>
          <t>RT20250228-02303</t>
        </is>
      </c>
      <c r="B2304" s="59" t="inlineStr">
        <is>
          <t>2025-02-28</t>
        </is>
      </c>
      <c r="C2304" s="60" t="inlineStr">
        <is>
          <t>Nimbus Men Plus-231</t>
        </is>
      </c>
      <c r="D2304" s="58" t="inlineStr">
        <is>
          <t>Apparel</t>
        </is>
      </c>
      <c r="E2304" s="58" t="inlineStr">
        <is>
          <t>Central</t>
        </is>
      </c>
      <c r="F2304" s="61" t="n">
        <v>2</v>
      </c>
      <c r="G2304" s="62" t="n">
        <v>145.4</v>
      </c>
      <c r="H2304" s="63" t="n">
        <v>0.025</v>
      </c>
      <c r="I2304" s="62" t="n">
        <v>91.64</v>
      </c>
      <c r="J2304" s="58" t="inlineStr">
        <is>
          <t>Online</t>
        </is>
      </c>
      <c r="K2304" s="62">
        <f>F2304*(G2304-H2304)</f>
        <v/>
      </c>
      <c r="L2304" s="62">
        <f>K2304-(F2304*I2304)</f>
        <v/>
      </c>
      <c r="M2304" s="64">
        <f>L2304/K2304</f>
        <v/>
      </c>
    </row>
    <row r="2305">
      <c r="A2305" s="58" t="inlineStr">
        <is>
          <t>RT20250228-02304</t>
        </is>
      </c>
      <c r="B2305" s="59" t="inlineStr">
        <is>
          <t>2025-02-28</t>
        </is>
      </c>
      <c r="C2305" s="60" t="inlineStr">
        <is>
          <t>Vertex Men X-995</t>
        </is>
      </c>
      <c r="D2305" s="58" t="inlineStr">
        <is>
          <t>Apparel</t>
        </is>
      </c>
      <c r="E2305" s="58" t="inlineStr">
        <is>
          <t>West</t>
        </is>
      </c>
      <c r="F2305" s="61" t="n">
        <v>4</v>
      </c>
      <c r="G2305" s="62" t="n">
        <v>103.42</v>
      </c>
      <c r="H2305" s="63" t="n">
        <v>0.093</v>
      </c>
      <c r="I2305" s="62" t="n">
        <v>56.06</v>
      </c>
      <c r="J2305" s="58" t="inlineStr">
        <is>
          <t>Store</t>
        </is>
      </c>
      <c r="K2305" s="62">
        <f>F2305*(G2305-H2305)</f>
        <v/>
      </c>
      <c r="L2305" s="62">
        <f>K2305-(F2305*I2305)</f>
        <v/>
      </c>
      <c r="M2305" s="64">
        <f>L2305/K2305</f>
        <v/>
      </c>
    </row>
    <row r="2306">
      <c r="A2306" s="58" t="inlineStr">
        <is>
          <t>RT20250301-02305</t>
        </is>
      </c>
      <c r="B2306" s="59" t="inlineStr">
        <is>
          <t>2025-03-01</t>
        </is>
      </c>
      <c r="C2306" s="60" t="inlineStr">
        <is>
          <t>Falcon Beverage Max-702</t>
        </is>
      </c>
      <c r="D2306" s="58" t="inlineStr">
        <is>
          <t>Grocery</t>
        </is>
      </c>
      <c r="E2306" s="58" t="inlineStr">
        <is>
          <t>East</t>
        </is>
      </c>
      <c r="F2306" s="61" t="n">
        <v>6</v>
      </c>
      <c r="G2306" s="62" t="n">
        <v>28.9</v>
      </c>
      <c r="H2306" s="63" t="n">
        <v>0.104</v>
      </c>
      <c r="I2306" s="62" t="n">
        <v>20.44</v>
      </c>
      <c r="J2306" s="58" t="inlineStr">
        <is>
          <t>Store</t>
        </is>
      </c>
      <c r="K2306" s="62">
        <f>F2306*(G2306-H2306)</f>
        <v/>
      </c>
      <c r="L2306" s="62">
        <f>K2306-(F2306*I2306)</f>
        <v/>
      </c>
      <c r="M2306" s="64">
        <f>L2306/K2306</f>
        <v/>
      </c>
    </row>
    <row r="2307">
      <c r="A2307" s="58" t="inlineStr">
        <is>
          <t>RT20250301-02306</t>
        </is>
      </c>
      <c r="B2307" s="59" t="inlineStr">
        <is>
          <t>2025-03-01</t>
        </is>
      </c>
      <c r="C2307" s="60" t="inlineStr">
        <is>
          <t>Polar Fragrance Pro-750</t>
        </is>
      </c>
      <c r="D2307" s="58" t="inlineStr">
        <is>
          <t>Beauty</t>
        </is>
      </c>
      <c r="E2307" s="58" t="inlineStr">
        <is>
          <t>East</t>
        </is>
      </c>
      <c r="F2307" s="61" t="n">
        <v>1</v>
      </c>
      <c r="G2307" s="62" t="n">
        <v>60.44</v>
      </c>
      <c r="H2307" s="63" t="n">
        <v>0.106</v>
      </c>
      <c r="I2307" s="62" t="n">
        <v>36.05</v>
      </c>
      <c r="J2307" s="58" t="inlineStr">
        <is>
          <t>Store</t>
        </is>
      </c>
      <c r="K2307" s="62">
        <f>F2307*(G2307-H2307)</f>
        <v/>
      </c>
      <c r="L2307" s="62">
        <f>K2307-(F2307*I2307)</f>
        <v/>
      </c>
      <c r="M2307" s="64">
        <f>L2307/K2307</f>
        <v/>
      </c>
    </row>
    <row r="2308">
      <c r="A2308" s="58" t="inlineStr">
        <is>
          <t>RT20250301-02307</t>
        </is>
      </c>
      <c r="B2308" s="59" t="inlineStr">
        <is>
          <t>2025-03-01</t>
        </is>
      </c>
      <c r="C2308" s="60" t="inlineStr">
        <is>
          <t>Aurora Haircare S-975</t>
        </is>
      </c>
      <c r="D2308" s="58" t="inlineStr">
        <is>
          <t>Beauty</t>
        </is>
      </c>
      <c r="E2308" s="58" t="inlineStr">
        <is>
          <t>West</t>
        </is>
      </c>
      <c r="F2308" s="61" t="n">
        <v>5</v>
      </c>
      <c r="G2308" s="62" t="n">
        <v>85.59</v>
      </c>
      <c r="H2308" s="63" t="n">
        <v>0.119</v>
      </c>
      <c r="I2308" s="62" t="n">
        <v>59.81</v>
      </c>
      <c r="J2308" s="58" t="inlineStr">
        <is>
          <t>Online</t>
        </is>
      </c>
      <c r="K2308" s="62">
        <f>F2308*(G2308-H2308)</f>
        <v/>
      </c>
      <c r="L2308" s="62">
        <f>K2308-(F2308*I2308)</f>
        <v/>
      </c>
      <c r="M2308" s="64">
        <f>L2308/K2308</f>
        <v/>
      </c>
    </row>
    <row r="2309">
      <c r="A2309" s="58" t="inlineStr">
        <is>
          <t>RT20250301-02308</t>
        </is>
      </c>
      <c r="B2309" s="59" t="inlineStr">
        <is>
          <t>2025-03-01</t>
        </is>
      </c>
      <c r="C2309" s="60" t="inlineStr">
        <is>
          <t>Aurora Bedding Max-175</t>
        </is>
      </c>
      <c r="D2309" s="58" t="inlineStr">
        <is>
          <t>Home</t>
        </is>
      </c>
      <c r="E2309" s="58" t="inlineStr">
        <is>
          <t>East</t>
        </is>
      </c>
      <c r="F2309" s="61" t="n">
        <v>2</v>
      </c>
      <c r="G2309" s="62" t="n">
        <v>631.7</v>
      </c>
      <c r="H2309" s="63" t="n">
        <v>0.055</v>
      </c>
      <c r="I2309" s="62" t="n">
        <v>416.6</v>
      </c>
      <c r="J2309" s="58" t="inlineStr">
        <is>
          <t>Store</t>
        </is>
      </c>
      <c r="K2309" s="62">
        <f>F2309*(G2309-H2309)</f>
        <v/>
      </c>
      <c r="L2309" s="62">
        <f>K2309-(F2309*I2309)</f>
        <v/>
      </c>
      <c r="M2309" s="64">
        <f>L2309/K2309</f>
        <v/>
      </c>
    </row>
    <row r="2310">
      <c r="A2310" s="58" t="inlineStr">
        <is>
          <t>RT20250301-02309</t>
        </is>
      </c>
      <c r="B2310" s="59" t="inlineStr">
        <is>
          <t>2025-03-01</t>
        </is>
      </c>
      <c r="C2310" s="60" t="inlineStr">
        <is>
          <t>Nimbus Cycling Plus-911</t>
        </is>
      </c>
      <c r="D2310" s="58" t="inlineStr">
        <is>
          <t>Sports</t>
        </is>
      </c>
      <c r="E2310" s="58" t="inlineStr">
        <is>
          <t>East</t>
        </is>
      </c>
      <c r="F2310" s="61" t="n">
        <v>3</v>
      </c>
      <c r="G2310" s="62" t="n">
        <v>584.39</v>
      </c>
      <c r="H2310" s="63" t="n">
        <v>0.116</v>
      </c>
      <c r="I2310" s="62" t="n">
        <v>388.28</v>
      </c>
      <c r="J2310" s="58" t="inlineStr">
        <is>
          <t>Online</t>
        </is>
      </c>
      <c r="K2310" s="62">
        <f>F2310*(G2310-H2310)</f>
        <v/>
      </c>
      <c r="L2310" s="62">
        <f>K2310-(F2310*I2310)</f>
        <v/>
      </c>
      <c r="M2310" s="64">
        <f>L2310/K2310</f>
        <v/>
      </c>
    </row>
    <row r="2311">
      <c r="A2311" s="58" t="inlineStr">
        <is>
          <t>RT20250301-02310</t>
        </is>
      </c>
      <c r="B2311" s="59" t="inlineStr">
        <is>
          <t>2025-03-01</t>
        </is>
      </c>
      <c r="C2311" s="60" t="inlineStr">
        <is>
          <t>Aurora Appliance Max-316</t>
        </is>
      </c>
      <c r="D2311" s="58" t="inlineStr">
        <is>
          <t>Home</t>
        </is>
      </c>
      <c r="E2311" s="58" t="inlineStr">
        <is>
          <t>Central</t>
        </is>
      </c>
      <c r="F2311" s="61" t="n">
        <v>3</v>
      </c>
      <c r="G2311" s="62" t="n">
        <v>294.17</v>
      </c>
      <c r="H2311" s="63" t="n">
        <v>0.08799999999999999</v>
      </c>
      <c r="I2311" s="62" t="n">
        <v>210.03</v>
      </c>
      <c r="J2311" s="58" t="inlineStr">
        <is>
          <t>Online</t>
        </is>
      </c>
      <c r="K2311" s="62">
        <f>F2311*(G2311-H2311)</f>
        <v/>
      </c>
      <c r="L2311" s="62">
        <f>K2311-(F2311*I2311)</f>
        <v/>
      </c>
      <c r="M2311" s="64">
        <f>L2311/K2311</f>
        <v/>
      </c>
    </row>
    <row r="2312">
      <c r="A2312" s="58" t="inlineStr">
        <is>
          <t>RT20250301-02311</t>
        </is>
      </c>
      <c r="B2312" s="59" t="inlineStr">
        <is>
          <t>2025-03-01</t>
        </is>
      </c>
      <c r="C2312" s="60" t="inlineStr">
        <is>
          <t>Aurora Fragrance S-971</t>
        </is>
      </c>
      <c r="D2312" s="58" t="inlineStr">
        <is>
          <t>Beauty</t>
        </is>
      </c>
      <c r="E2312" s="58" t="inlineStr">
        <is>
          <t>South</t>
        </is>
      </c>
      <c r="F2312" s="61" t="n">
        <v>3</v>
      </c>
      <c r="G2312" s="62" t="n">
        <v>96.92</v>
      </c>
      <c r="H2312" s="63" t="n">
        <v>0.054</v>
      </c>
      <c r="I2312" s="62" t="n">
        <v>64.81</v>
      </c>
      <c r="J2312" s="58" t="inlineStr">
        <is>
          <t>Online</t>
        </is>
      </c>
      <c r="K2312" s="62">
        <f>F2312*(G2312-H2312)</f>
        <v/>
      </c>
      <c r="L2312" s="62">
        <f>K2312-(F2312*I2312)</f>
        <v/>
      </c>
      <c r="M2312" s="64">
        <f>L2312/K2312</f>
        <v/>
      </c>
    </row>
    <row r="2313">
      <c r="A2313" s="58" t="inlineStr">
        <is>
          <t>RT20250301-02312</t>
        </is>
      </c>
      <c r="B2313" s="59" t="inlineStr">
        <is>
          <t>2025-03-01</t>
        </is>
      </c>
      <c r="C2313" s="60" t="inlineStr">
        <is>
          <t>Falcon Headphone Plus-789</t>
        </is>
      </c>
      <c r="D2313" s="58" t="inlineStr">
        <is>
          <t>Electronics</t>
        </is>
      </c>
      <c r="E2313" s="58" t="inlineStr">
        <is>
          <t>East</t>
        </is>
      </c>
      <c r="F2313" s="61" t="n">
        <v>2</v>
      </c>
      <c r="G2313" s="62" t="n">
        <v>1816.24</v>
      </c>
      <c r="H2313" s="63" t="n">
        <v>0.094</v>
      </c>
      <c r="I2313" s="62" t="n">
        <v>1311.53</v>
      </c>
      <c r="J2313" s="58" t="inlineStr">
        <is>
          <t>Store</t>
        </is>
      </c>
      <c r="K2313" s="62">
        <f>F2313*(G2313-H2313)</f>
        <v/>
      </c>
      <c r="L2313" s="62">
        <f>K2313-(F2313*I2313)</f>
        <v/>
      </c>
      <c r="M2313" s="64">
        <f>L2313/K2313</f>
        <v/>
      </c>
    </row>
    <row r="2314">
      <c r="A2314" s="58" t="inlineStr">
        <is>
          <t>RT20250301-02313</t>
        </is>
      </c>
      <c r="B2314" s="59" t="inlineStr">
        <is>
          <t>2025-03-01</t>
        </is>
      </c>
      <c r="C2314" s="60" t="inlineStr">
        <is>
          <t>Nimbus Storage Plus-646</t>
        </is>
      </c>
      <c r="D2314" s="58" t="inlineStr">
        <is>
          <t>Office</t>
        </is>
      </c>
      <c r="E2314" s="58" t="inlineStr">
        <is>
          <t>East</t>
        </is>
      </c>
      <c r="F2314" s="61" t="n">
        <v>3</v>
      </c>
      <c r="G2314" s="62" t="n">
        <v>468.89</v>
      </c>
      <c r="H2314" s="63" t="n">
        <v>0.104</v>
      </c>
      <c r="I2314" s="62" t="n">
        <v>311.93</v>
      </c>
      <c r="J2314" s="58" t="inlineStr">
        <is>
          <t>Store</t>
        </is>
      </c>
      <c r="K2314" s="62">
        <f>F2314*(G2314-H2314)</f>
        <v/>
      </c>
      <c r="L2314" s="62">
        <f>K2314-(F2314*I2314)</f>
        <v/>
      </c>
      <c r="M2314" s="64">
        <f>L2314/K2314</f>
        <v/>
      </c>
    </row>
    <row r="2315">
      <c r="A2315" s="58" t="inlineStr">
        <is>
          <t>RT20250301-02314</t>
        </is>
      </c>
      <c r="B2315" s="59" t="inlineStr">
        <is>
          <t>2025-03-01</t>
        </is>
      </c>
      <c r="C2315" s="60" t="inlineStr">
        <is>
          <t>Aurora Outdoor Pro-467</t>
        </is>
      </c>
      <c r="D2315" s="58" t="inlineStr">
        <is>
          <t>Sports</t>
        </is>
      </c>
      <c r="E2315" s="58" t="inlineStr">
        <is>
          <t>Central</t>
        </is>
      </c>
      <c r="F2315" s="61" t="n">
        <v>2</v>
      </c>
      <c r="G2315" s="62" t="n">
        <v>298.01</v>
      </c>
      <c r="H2315" s="63" t="n">
        <v>0.056</v>
      </c>
      <c r="I2315" s="62" t="n">
        <v>185.12</v>
      </c>
      <c r="J2315" s="58" t="inlineStr">
        <is>
          <t>Store</t>
        </is>
      </c>
      <c r="K2315" s="62">
        <f>F2315*(G2315-H2315)</f>
        <v/>
      </c>
      <c r="L2315" s="62">
        <f>K2315-(F2315*I2315)</f>
        <v/>
      </c>
      <c r="M2315" s="64">
        <f>L2315/K2315</f>
        <v/>
      </c>
    </row>
    <row r="2316">
      <c r="A2316" s="58" t="inlineStr">
        <is>
          <t>RT20250301-02315</t>
        </is>
      </c>
      <c r="B2316" s="59" t="inlineStr">
        <is>
          <t>2025-03-01</t>
        </is>
      </c>
      <c r="C2316" s="60" t="inlineStr">
        <is>
          <t>Vertex Supplie X-513</t>
        </is>
      </c>
      <c r="D2316" s="58" t="inlineStr">
        <is>
          <t>Office</t>
        </is>
      </c>
      <c r="E2316" s="58" t="inlineStr">
        <is>
          <t>West</t>
        </is>
      </c>
      <c r="F2316" s="61" t="n">
        <v>1</v>
      </c>
      <c r="G2316" s="62" t="n">
        <v>418.03</v>
      </c>
      <c r="H2316" s="63" t="n">
        <v>0.089</v>
      </c>
      <c r="I2316" s="62" t="n">
        <v>274.93</v>
      </c>
      <c r="J2316" s="58" t="inlineStr">
        <is>
          <t>Store</t>
        </is>
      </c>
      <c r="K2316" s="62">
        <f>F2316*(G2316-H2316)</f>
        <v/>
      </c>
      <c r="L2316" s="62">
        <f>K2316-(F2316*I2316)</f>
        <v/>
      </c>
      <c r="M2316" s="64">
        <f>L2316/K2316</f>
        <v/>
      </c>
    </row>
    <row r="2317">
      <c r="A2317" s="58" t="inlineStr">
        <is>
          <t>RT20250301-02316</t>
        </is>
      </c>
      <c r="B2317" s="59" t="inlineStr">
        <is>
          <t>2025-03-01</t>
        </is>
      </c>
      <c r="C2317" s="60" t="inlineStr">
        <is>
          <t>Vertex Smartphone Pro-256</t>
        </is>
      </c>
      <c r="D2317" s="58" t="inlineStr">
        <is>
          <t>Electronics</t>
        </is>
      </c>
      <c r="E2317" s="58" t="inlineStr">
        <is>
          <t>East</t>
        </is>
      </c>
      <c r="F2317" s="61" t="n">
        <v>1</v>
      </c>
      <c r="G2317" s="62" t="n">
        <v>1116.56</v>
      </c>
      <c r="H2317" s="63" t="n">
        <v>0.109</v>
      </c>
      <c r="I2317" s="62" t="n">
        <v>907.75</v>
      </c>
      <c r="J2317" s="58" t="inlineStr">
        <is>
          <t>Online</t>
        </is>
      </c>
      <c r="K2317" s="62">
        <f>F2317*(G2317-H2317)</f>
        <v/>
      </c>
      <c r="L2317" s="62">
        <f>K2317-(F2317*I2317)</f>
        <v/>
      </c>
      <c r="M2317" s="64">
        <f>L2317/K2317</f>
        <v/>
      </c>
    </row>
    <row r="2318">
      <c r="A2318" s="58" t="inlineStr">
        <is>
          <t>RT20250301-02317</t>
        </is>
      </c>
      <c r="B2318" s="59" t="inlineStr">
        <is>
          <t>2025-03-01</t>
        </is>
      </c>
      <c r="C2318" s="60" t="inlineStr">
        <is>
          <t>Nimbus Headphone X-854</t>
        </is>
      </c>
      <c r="D2318" s="58" t="inlineStr">
        <is>
          <t>Electronics</t>
        </is>
      </c>
      <c r="E2318" s="58" t="inlineStr">
        <is>
          <t>East</t>
        </is>
      </c>
      <c r="F2318" s="61" t="n">
        <v>2</v>
      </c>
      <c r="G2318" s="62" t="n">
        <v>1751.17</v>
      </c>
      <c r="H2318" s="63" t="n">
        <v>0.061</v>
      </c>
      <c r="I2318" s="62" t="n">
        <v>1246.32</v>
      </c>
      <c r="J2318" s="58" t="inlineStr">
        <is>
          <t>Store</t>
        </is>
      </c>
      <c r="K2318" s="62">
        <f>F2318*(G2318-H2318)</f>
        <v/>
      </c>
      <c r="L2318" s="62">
        <f>K2318-(F2318*I2318)</f>
        <v/>
      </c>
      <c r="M2318" s="64">
        <f>L2318/K2318</f>
        <v/>
      </c>
    </row>
    <row r="2319">
      <c r="A2319" s="58" t="inlineStr">
        <is>
          <t>RT20250301-02318</t>
        </is>
      </c>
      <c r="B2319" s="59" t="inlineStr">
        <is>
          <t>2025-03-01</t>
        </is>
      </c>
      <c r="C2319" s="60" t="inlineStr">
        <is>
          <t>Nimbus Women Lite-814</t>
        </is>
      </c>
      <c r="D2319" s="58" t="inlineStr">
        <is>
          <t>Apparel</t>
        </is>
      </c>
      <c r="E2319" s="58" t="inlineStr">
        <is>
          <t>Central</t>
        </is>
      </c>
      <c r="F2319" s="61" t="n">
        <v>1</v>
      </c>
      <c r="G2319" s="62" t="n">
        <v>150.83</v>
      </c>
      <c r="H2319" s="63" t="n">
        <v>0.08599999999999999</v>
      </c>
      <c r="I2319" s="62" t="n">
        <v>82.76000000000001</v>
      </c>
      <c r="J2319" s="58" t="inlineStr">
        <is>
          <t>Store</t>
        </is>
      </c>
      <c r="K2319" s="62">
        <f>F2319*(G2319-H2319)</f>
        <v/>
      </c>
      <c r="L2319" s="62">
        <f>K2319-(F2319*I2319)</f>
        <v/>
      </c>
      <c r="M2319" s="64">
        <f>L2319/K2319</f>
        <v/>
      </c>
    </row>
    <row r="2320">
      <c r="A2320" s="58" t="inlineStr">
        <is>
          <t>RT20250301-02319</t>
        </is>
      </c>
      <c r="B2320" s="59" t="inlineStr">
        <is>
          <t>2025-03-01</t>
        </is>
      </c>
      <c r="C2320" s="60" t="inlineStr">
        <is>
          <t>Aurora Fitnes Lite-194</t>
        </is>
      </c>
      <c r="D2320" s="58" t="inlineStr">
        <is>
          <t>Sports</t>
        </is>
      </c>
      <c r="E2320" s="58" t="inlineStr">
        <is>
          <t>Central</t>
        </is>
      </c>
      <c r="F2320" s="61" t="n">
        <v>1</v>
      </c>
      <c r="G2320" s="62" t="n">
        <v>797.89</v>
      </c>
      <c r="H2320" s="63" t="n">
        <v>0.106</v>
      </c>
      <c r="I2320" s="62" t="n">
        <v>466.08</v>
      </c>
      <c r="J2320" s="58" t="inlineStr">
        <is>
          <t>Store</t>
        </is>
      </c>
      <c r="K2320" s="62">
        <f>F2320*(G2320-H2320)</f>
        <v/>
      </c>
      <c r="L2320" s="62">
        <f>K2320-(F2320*I2320)</f>
        <v/>
      </c>
      <c r="M2320" s="64">
        <f>L2320/K2320</f>
        <v/>
      </c>
    </row>
    <row r="2321">
      <c r="A2321" s="58" t="inlineStr">
        <is>
          <t>RT20250301-02320</t>
        </is>
      </c>
      <c r="B2321" s="59" t="inlineStr">
        <is>
          <t>2025-03-01</t>
        </is>
      </c>
      <c r="C2321" s="60" t="inlineStr">
        <is>
          <t>Falcon Cycling Pro-499</t>
        </is>
      </c>
      <c r="D2321" s="58" t="inlineStr">
        <is>
          <t>Sports</t>
        </is>
      </c>
      <c r="E2321" s="58" t="inlineStr">
        <is>
          <t>East</t>
        </is>
      </c>
      <c r="F2321" s="61" t="n">
        <v>1</v>
      </c>
      <c r="G2321" s="62" t="n">
        <v>576.85</v>
      </c>
      <c r="H2321" s="63" t="n">
        <v>0.064</v>
      </c>
      <c r="I2321" s="62" t="n">
        <v>400.52</v>
      </c>
      <c r="J2321" s="58" t="inlineStr">
        <is>
          <t>Online</t>
        </is>
      </c>
      <c r="K2321" s="62">
        <f>F2321*(G2321-H2321)</f>
        <v/>
      </c>
      <c r="L2321" s="62">
        <f>K2321-(F2321*I2321)</f>
        <v/>
      </c>
      <c r="M2321" s="64">
        <f>L2321/K2321</f>
        <v/>
      </c>
    </row>
    <row r="2322">
      <c r="A2322" s="58" t="inlineStr">
        <is>
          <t>RT20250301-02321</t>
        </is>
      </c>
      <c r="B2322" s="59" t="inlineStr">
        <is>
          <t>2025-03-01</t>
        </is>
      </c>
      <c r="C2322" s="60" t="inlineStr">
        <is>
          <t>Vertex Skincare Pro-891</t>
        </is>
      </c>
      <c r="D2322" s="58" t="inlineStr">
        <is>
          <t>Beauty</t>
        </is>
      </c>
      <c r="E2322" s="58" t="inlineStr">
        <is>
          <t>Central</t>
        </is>
      </c>
      <c r="F2322" s="61" t="n">
        <v>3</v>
      </c>
      <c r="G2322" s="62" t="n">
        <v>155.4</v>
      </c>
      <c r="H2322" s="63" t="n">
        <v>0.115</v>
      </c>
      <c r="I2322" s="62" t="n">
        <v>88.81999999999999</v>
      </c>
      <c r="J2322" s="58" t="inlineStr">
        <is>
          <t>Store</t>
        </is>
      </c>
      <c r="K2322" s="62">
        <f>F2322*(G2322-H2322)</f>
        <v/>
      </c>
      <c r="L2322" s="62">
        <f>K2322-(F2322*I2322)</f>
        <v/>
      </c>
      <c r="M2322" s="64">
        <f>L2322/K2322</f>
        <v/>
      </c>
    </row>
    <row r="2323">
      <c r="A2323" s="58" t="inlineStr">
        <is>
          <t>RT20250301-02322</t>
        </is>
      </c>
      <c r="B2323" s="59" t="inlineStr">
        <is>
          <t>2025-03-01</t>
        </is>
      </c>
      <c r="C2323" s="60" t="inlineStr">
        <is>
          <t>Nimbus Laptop Max-652</t>
        </is>
      </c>
      <c r="D2323" s="58" t="inlineStr">
        <is>
          <t>Electronics</t>
        </is>
      </c>
      <c r="E2323" s="58" t="inlineStr">
        <is>
          <t>East</t>
        </is>
      </c>
      <c r="F2323" s="61" t="n">
        <v>2</v>
      </c>
      <c r="G2323" s="62" t="n">
        <v>1346.05</v>
      </c>
      <c r="H2323" s="63" t="n">
        <v>0.116</v>
      </c>
      <c r="I2323" s="62" t="n">
        <v>1051.78</v>
      </c>
      <c r="J2323" s="58" t="inlineStr">
        <is>
          <t>Online</t>
        </is>
      </c>
      <c r="K2323" s="62">
        <f>F2323*(G2323-H2323)</f>
        <v/>
      </c>
      <c r="L2323" s="62">
        <f>K2323-(F2323*I2323)</f>
        <v/>
      </c>
      <c r="M2323" s="64">
        <f>L2323/K2323</f>
        <v/>
      </c>
    </row>
    <row r="2324">
      <c r="A2324" s="58" t="inlineStr">
        <is>
          <t>RT20250301-02323</t>
        </is>
      </c>
      <c r="B2324" s="59" t="inlineStr">
        <is>
          <t>2025-03-01</t>
        </is>
      </c>
      <c r="C2324" s="60" t="inlineStr">
        <is>
          <t>Nimbus Headphone X-854</t>
        </is>
      </c>
      <c r="D2324" s="58" t="inlineStr">
        <is>
          <t>Electronics</t>
        </is>
      </c>
      <c r="E2324" s="58" t="inlineStr">
        <is>
          <t>West</t>
        </is>
      </c>
      <c r="F2324" s="61" t="n">
        <v>2</v>
      </c>
      <c r="G2324" s="62" t="n">
        <v>1651.23</v>
      </c>
      <c r="H2324" s="63" t="n">
        <v>0.156</v>
      </c>
      <c r="I2324" s="62" t="n">
        <v>1277.18</v>
      </c>
      <c r="J2324" s="58" t="inlineStr">
        <is>
          <t>Online</t>
        </is>
      </c>
      <c r="K2324" s="62">
        <f>F2324*(G2324-H2324)</f>
        <v/>
      </c>
      <c r="L2324" s="62">
        <f>K2324-(F2324*I2324)</f>
        <v/>
      </c>
      <c r="M2324" s="64">
        <f>L2324/K2324</f>
        <v/>
      </c>
    </row>
    <row r="2325">
      <c r="A2325" s="58" t="inlineStr">
        <is>
          <t>RT20250301-02324</t>
        </is>
      </c>
      <c r="B2325" s="59" t="inlineStr">
        <is>
          <t>2025-03-01</t>
        </is>
      </c>
      <c r="C2325" s="60" t="inlineStr">
        <is>
          <t>Orion Laptop S-350</t>
        </is>
      </c>
      <c r="D2325" s="58" t="inlineStr">
        <is>
          <t>Electronics</t>
        </is>
      </c>
      <c r="E2325" s="58" t="inlineStr">
        <is>
          <t>East</t>
        </is>
      </c>
      <c r="F2325" s="61" t="n">
        <v>2</v>
      </c>
      <c r="G2325" s="62" t="n">
        <v>1384.45</v>
      </c>
      <c r="H2325" s="63" t="n">
        <v>0.119</v>
      </c>
      <c r="I2325" s="62" t="n">
        <v>1051.99</v>
      </c>
      <c r="J2325" s="58" t="inlineStr">
        <is>
          <t>Online</t>
        </is>
      </c>
      <c r="K2325" s="62">
        <f>F2325*(G2325-H2325)</f>
        <v/>
      </c>
      <c r="L2325" s="62">
        <f>K2325-(F2325*I2325)</f>
        <v/>
      </c>
      <c r="M2325" s="64">
        <f>L2325/K2325</f>
        <v/>
      </c>
    </row>
    <row r="2326">
      <c r="A2326" s="58" t="inlineStr">
        <is>
          <t>RT20250301-02325</t>
        </is>
      </c>
      <c r="B2326" s="59" t="inlineStr">
        <is>
          <t>2025-03-01</t>
        </is>
      </c>
      <c r="C2326" s="60" t="inlineStr">
        <is>
          <t>Metro Outdoor Plus-787</t>
        </is>
      </c>
      <c r="D2326" s="58" t="inlineStr">
        <is>
          <t>Sports</t>
        </is>
      </c>
      <c r="E2326" s="58" t="inlineStr">
        <is>
          <t>Central</t>
        </is>
      </c>
      <c r="F2326" s="61" t="n">
        <v>3</v>
      </c>
      <c r="G2326" s="62" t="n">
        <v>513.95</v>
      </c>
      <c r="H2326" s="63" t="n">
        <v>0.091</v>
      </c>
      <c r="I2326" s="62" t="n">
        <v>360.47</v>
      </c>
      <c r="J2326" s="58" t="inlineStr">
        <is>
          <t>Online</t>
        </is>
      </c>
      <c r="K2326" s="62">
        <f>F2326*(G2326-H2326)</f>
        <v/>
      </c>
      <c r="L2326" s="62">
        <f>K2326-(F2326*I2326)</f>
        <v/>
      </c>
      <c r="M2326" s="64">
        <f>L2326/K2326</f>
        <v/>
      </c>
    </row>
    <row r="2327">
      <c r="A2327" s="58" t="inlineStr">
        <is>
          <t>RT20250301-02326</t>
        </is>
      </c>
      <c r="B2327" s="59" t="inlineStr">
        <is>
          <t>2025-03-01</t>
        </is>
      </c>
      <c r="C2327" s="60" t="inlineStr">
        <is>
          <t>Aurora Printer Plus-991</t>
        </is>
      </c>
      <c r="D2327" s="58" t="inlineStr">
        <is>
          <t>Office</t>
        </is>
      </c>
      <c r="E2327" s="58" t="inlineStr">
        <is>
          <t>East</t>
        </is>
      </c>
      <c r="F2327" s="61" t="n">
        <v>1</v>
      </c>
      <c r="G2327" s="62" t="n">
        <v>457.6</v>
      </c>
      <c r="H2327" s="63" t="n">
        <v>0.08699999999999999</v>
      </c>
      <c r="I2327" s="62" t="n">
        <v>364.99</v>
      </c>
      <c r="J2327" s="58" t="inlineStr">
        <is>
          <t>Store</t>
        </is>
      </c>
      <c r="K2327" s="62">
        <f>F2327*(G2327-H2327)</f>
        <v/>
      </c>
      <c r="L2327" s="62">
        <f>K2327-(F2327*I2327)</f>
        <v/>
      </c>
      <c r="M2327" s="64">
        <f>L2327/K2327</f>
        <v/>
      </c>
    </row>
    <row r="2328">
      <c r="A2328" s="58" t="inlineStr">
        <is>
          <t>RT20250301-02327</t>
        </is>
      </c>
      <c r="B2328" s="59" t="inlineStr">
        <is>
          <t>2025-03-01</t>
        </is>
      </c>
      <c r="C2328" s="60" t="inlineStr">
        <is>
          <t>Falcon Bedding S-674</t>
        </is>
      </c>
      <c r="D2328" s="58" t="inlineStr">
        <is>
          <t>Home</t>
        </is>
      </c>
      <c r="E2328" s="58" t="inlineStr">
        <is>
          <t>East</t>
        </is>
      </c>
      <c r="F2328" s="61" t="n">
        <v>1</v>
      </c>
      <c r="G2328" s="62" t="n">
        <v>655.24</v>
      </c>
      <c r="H2328" s="63" t="n">
        <v>0.092</v>
      </c>
      <c r="I2328" s="62" t="n">
        <v>456.13</v>
      </c>
      <c r="J2328" s="58" t="inlineStr">
        <is>
          <t>Online</t>
        </is>
      </c>
      <c r="K2328" s="62">
        <f>F2328*(G2328-H2328)</f>
        <v/>
      </c>
      <c r="L2328" s="62">
        <f>K2328-(F2328*I2328)</f>
        <v/>
      </c>
      <c r="M2328" s="64">
        <f>L2328/K2328</f>
        <v/>
      </c>
    </row>
    <row r="2329">
      <c r="A2329" s="58" t="inlineStr">
        <is>
          <t>RT20250301-02328</t>
        </is>
      </c>
      <c r="B2329" s="59" t="inlineStr">
        <is>
          <t>2025-03-01</t>
        </is>
      </c>
      <c r="C2329" s="60" t="inlineStr">
        <is>
          <t>Solace Laptop S-367</t>
        </is>
      </c>
      <c r="D2329" s="58" t="inlineStr">
        <is>
          <t>Electronics</t>
        </is>
      </c>
      <c r="E2329" s="58" t="inlineStr">
        <is>
          <t>Central</t>
        </is>
      </c>
      <c r="F2329" s="61" t="n">
        <v>1</v>
      </c>
      <c r="G2329" s="62" t="n">
        <v>1967.04</v>
      </c>
      <c r="H2329" s="63" t="n">
        <v>0.127</v>
      </c>
      <c r="I2329" s="62" t="n">
        <v>1523.79</v>
      </c>
      <c r="J2329" s="58" t="inlineStr">
        <is>
          <t>Store</t>
        </is>
      </c>
      <c r="K2329" s="62">
        <f>F2329*(G2329-H2329)</f>
        <v/>
      </c>
      <c r="L2329" s="62">
        <f>K2329-(F2329*I2329)</f>
        <v/>
      </c>
      <c r="M2329" s="64">
        <f>L2329/K2329</f>
        <v/>
      </c>
    </row>
    <row r="2330">
      <c r="A2330" s="58" t="inlineStr">
        <is>
          <t>RT20250301-02329</t>
        </is>
      </c>
      <c r="B2330" s="59" t="inlineStr">
        <is>
          <t>2025-03-01</t>
        </is>
      </c>
      <c r="C2330" s="60" t="inlineStr">
        <is>
          <t>Vertex Smartphone Lite-267</t>
        </is>
      </c>
      <c r="D2330" s="58" t="inlineStr">
        <is>
          <t>Electronics</t>
        </is>
      </c>
      <c r="E2330" s="58" t="inlineStr">
        <is>
          <t>Central</t>
        </is>
      </c>
      <c r="F2330" s="61" t="n">
        <v>2</v>
      </c>
      <c r="G2330" s="62" t="n">
        <v>1334.94</v>
      </c>
      <c r="H2330" s="63" t="n">
        <v>0.136</v>
      </c>
      <c r="I2330" s="62" t="n">
        <v>987.41</v>
      </c>
      <c r="J2330" s="58" t="inlineStr">
        <is>
          <t>Online</t>
        </is>
      </c>
      <c r="K2330" s="62">
        <f>F2330*(G2330-H2330)</f>
        <v/>
      </c>
      <c r="L2330" s="62">
        <f>K2330-(F2330*I2330)</f>
        <v/>
      </c>
      <c r="M2330" s="64">
        <f>L2330/K2330</f>
        <v/>
      </c>
    </row>
    <row r="2331">
      <c r="A2331" s="58" t="inlineStr">
        <is>
          <t>RT20250301-02330</t>
        </is>
      </c>
      <c r="B2331" s="59" t="inlineStr">
        <is>
          <t>2025-03-01</t>
        </is>
      </c>
      <c r="C2331" s="60" t="inlineStr">
        <is>
          <t>Orion Team Sport X-926</t>
        </is>
      </c>
      <c r="D2331" s="58" t="inlineStr">
        <is>
          <t>Sports</t>
        </is>
      </c>
      <c r="E2331" s="58" t="inlineStr">
        <is>
          <t>North</t>
        </is>
      </c>
      <c r="F2331" s="61" t="n">
        <v>2</v>
      </c>
      <c r="G2331" s="62" t="n">
        <v>342.57</v>
      </c>
      <c r="H2331" s="63" t="n">
        <v>0.119</v>
      </c>
      <c r="I2331" s="62" t="n">
        <v>216.58</v>
      </c>
      <c r="J2331" s="58" t="inlineStr">
        <is>
          <t>Store</t>
        </is>
      </c>
      <c r="K2331" s="62">
        <f>F2331*(G2331-H2331)</f>
        <v/>
      </c>
      <c r="L2331" s="62">
        <f>K2331-(F2331*I2331)</f>
        <v/>
      </c>
      <c r="M2331" s="64">
        <f>L2331/K2331</f>
        <v/>
      </c>
    </row>
    <row r="2332">
      <c r="A2332" s="58" t="inlineStr">
        <is>
          <t>RT20250301-02331</t>
        </is>
      </c>
      <c r="B2332" s="59" t="inlineStr">
        <is>
          <t>2025-03-01</t>
        </is>
      </c>
      <c r="C2332" s="60" t="inlineStr">
        <is>
          <t>Polar Laptop Plus-984</t>
        </is>
      </c>
      <c r="D2332" s="58" t="inlineStr">
        <is>
          <t>Electronics</t>
        </is>
      </c>
      <c r="E2332" s="58" t="inlineStr">
        <is>
          <t>South</t>
        </is>
      </c>
      <c r="F2332" s="61" t="n">
        <v>2</v>
      </c>
      <c r="G2332" s="62" t="n">
        <v>1175.34</v>
      </c>
      <c r="H2332" s="63" t="n">
        <v>0.099</v>
      </c>
      <c r="I2332" s="62" t="n">
        <v>979.66</v>
      </c>
      <c r="J2332" s="58" t="inlineStr">
        <is>
          <t>Online</t>
        </is>
      </c>
      <c r="K2332" s="62">
        <f>F2332*(G2332-H2332)</f>
        <v/>
      </c>
      <c r="L2332" s="62">
        <f>K2332-(F2332*I2332)</f>
        <v/>
      </c>
      <c r="M2332" s="64">
        <f>L2332/K2332</f>
        <v/>
      </c>
    </row>
    <row r="2333">
      <c r="A2333" s="58" t="inlineStr">
        <is>
          <t>RT20250301-02332</t>
        </is>
      </c>
      <c r="B2333" s="59" t="inlineStr">
        <is>
          <t>2025-03-01</t>
        </is>
      </c>
      <c r="C2333" s="60" t="inlineStr">
        <is>
          <t>Aurora Wearable Lite-162</t>
        </is>
      </c>
      <c r="D2333" s="58" t="inlineStr">
        <is>
          <t>Electronics</t>
        </is>
      </c>
      <c r="E2333" s="58" t="inlineStr">
        <is>
          <t>Central</t>
        </is>
      </c>
      <c r="F2333" s="61" t="n">
        <v>1</v>
      </c>
      <c r="G2333" s="62" t="n">
        <v>1563.36</v>
      </c>
      <c r="H2333" s="63" t="n">
        <v>0.11</v>
      </c>
      <c r="I2333" s="62" t="n">
        <v>1157.05</v>
      </c>
      <c r="J2333" s="58" t="inlineStr">
        <is>
          <t>Store</t>
        </is>
      </c>
      <c r="K2333" s="62">
        <f>F2333*(G2333-H2333)</f>
        <v/>
      </c>
      <c r="L2333" s="62">
        <f>K2333-(F2333*I2333)</f>
        <v/>
      </c>
      <c r="M2333" s="64">
        <f>L2333/K2333</f>
        <v/>
      </c>
    </row>
    <row r="2334">
      <c r="A2334" s="58" t="inlineStr">
        <is>
          <t>RT20250301-02333</t>
        </is>
      </c>
      <c r="B2334" s="59" t="inlineStr">
        <is>
          <t>2025-03-01</t>
        </is>
      </c>
      <c r="C2334" s="60" t="inlineStr">
        <is>
          <t>Metro Wearable Plus-234</t>
        </is>
      </c>
      <c r="D2334" s="58" t="inlineStr">
        <is>
          <t>Electronics</t>
        </is>
      </c>
      <c r="E2334" s="58" t="inlineStr">
        <is>
          <t>South</t>
        </is>
      </c>
      <c r="F2334" s="61" t="n">
        <v>1</v>
      </c>
      <c r="G2334" s="62" t="n">
        <v>1512.72</v>
      </c>
      <c r="H2334" s="63" t="n">
        <v>0.102</v>
      </c>
      <c r="I2334" s="62" t="n">
        <v>1169.1</v>
      </c>
      <c r="J2334" s="58" t="inlineStr">
        <is>
          <t>Online</t>
        </is>
      </c>
      <c r="K2334" s="62">
        <f>F2334*(G2334-H2334)</f>
        <v/>
      </c>
      <c r="L2334" s="62">
        <f>K2334-(F2334*I2334)</f>
        <v/>
      </c>
      <c r="M2334" s="64">
        <f>L2334/K2334</f>
        <v/>
      </c>
    </row>
    <row r="2335">
      <c r="A2335" s="58" t="inlineStr">
        <is>
          <t>RT20250301-02334</t>
        </is>
      </c>
      <c r="B2335" s="59" t="inlineStr">
        <is>
          <t>2025-03-01</t>
        </is>
      </c>
      <c r="C2335" s="60" t="inlineStr">
        <is>
          <t>Vertex Printer Max-692</t>
        </is>
      </c>
      <c r="D2335" s="58" t="inlineStr">
        <is>
          <t>Office</t>
        </is>
      </c>
      <c r="E2335" s="58" t="inlineStr">
        <is>
          <t>Central</t>
        </is>
      </c>
      <c r="F2335" s="61" t="n">
        <v>2</v>
      </c>
      <c r="G2335" s="62" t="n">
        <v>175.88</v>
      </c>
      <c r="H2335" s="63" t="n">
        <v>0.108</v>
      </c>
      <c r="I2335" s="62" t="n">
        <v>121.11</v>
      </c>
      <c r="J2335" s="58" t="inlineStr">
        <is>
          <t>Online</t>
        </is>
      </c>
      <c r="K2335" s="62">
        <f>F2335*(G2335-H2335)</f>
        <v/>
      </c>
      <c r="L2335" s="62">
        <f>K2335-(F2335*I2335)</f>
        <v/>
      </c>
      <c r="M2335" s="64">
        <f>L2335/K2335</f>
        <v/>
      </c>
    </row>
    <row r="2336">
      <c r="A2336" s="58" t="inlineStr">
        <is>
          <t>RT20250301-02335</t>
        </is>
      </c>
      <c r="B2336" s="59" t="inlineStr">
        <is>
          <t>2025-03-01</t>
        </is>
      </c>
      <c r="C2336" s="60" t="inlineStr">
        <is>
          <t>Aurora Appliance Lite-109</t>
        </is>
      </c>
      <c r="D2336" s="58" t="inlineStr">
        <is>
          <t>Home</t>
        </is>
      </c>
      <c r="E2336" s="58" t="inlineStr">
        <is>
          <t>Central</t>
        </is>
      </c>
      <c r="F2336" s="61" t="n">
        <v>2</v>
      </c>
      <c r="G2336" s="62" t="n">
        <v>308.58</v>
      </c>
      <c r="H2336" s="63" t="n">
        <v>0.081</v>
      </c>
      <c r="I2336" s="62" t="n">
        <v>206.61</v>
      </c>
      <c r="J2336" s="58" t="inlineStr">
        <is>
          <t>Phone</t>
        </is>
      </c>
      <c r="K2336" s="62">
        <f>F2336*(G2336-H2336)</f>
        <v/>
      </c>
      <c r="L2336" s="62">
        <f>K2336-(F2336*I2336)</f>
        <v/>
      </c>
      <c r="M2336" s="64">
        <f>L2336/K2336</f>
        <v/>
      </c>
    </row>
    <row r="2337">
      <c r="A2337" s="58" t="inlineStr">
        <is>
          <t>RT20250301-02336</t>
        </is>
      </c>
      <c r="B2337" s="59" t="inlineStr">
        <is>
          <t>2025-03-01</t>
        </is>
      </c>
      <c r="C2337" s="60" t="inlineStr">
        <is>
          <t>Vertex Pantry Pro-165</t>
        </is>
      </c>
      <c r="D2337" s="58" t="inlineStr">
        <is>
          <t>Grocery</t>
        </is>
      </c>
      <c r="E2337" s="58" t="inlineStr">
        <is>
          <t>West</t>
        </is>
      </c>
      <c r="F2337" s="61" t="n">
        <v>2</v>
      </c>
      <c r="G2337" s="62" t="n">
        <v>14.33</v>
      </c>
      <c r="H2337" s="63" t="n">
        <v>0.11</v>
      </c>
      <c r="I2337" s="62" t="n">
        <v>11.91</v>
      </c>
      <c r="J2337" s="58" t="inlineStr">
        <is>
          <t>Online</t>
        </is>
      </c>
      <c r="K2337" s="62">
        <f>F2337*(G2337-H2337)</f>
        <v/>
      </c>
      <c r="L2337" s="62">
        <f>K2337-(F2337*I2337)</f>
        <v/>
      </c>
      <c r="M2337" s="64">
        <f>L2337/K2337</f>
        <v/>
      </c>
    </row>
    <row r="2338">
      <c r="A2338" s="58" t="inlineStr">
        <is>
          <t>RT20250301-02337</t>
        </is>
      </c>
      <c r="B2338" s="59" t="inlineStr">
        <is>
          <t>2025-03-01</t>
        </is>
      </c>
      <c r="C2338" s="60" t="inlineStr">
        <is>
          <t>Polar Men Pro-246</t>
        </is>
      </c>
      <c r="D2338" s="58" t="inlineStr">
        <is>
          <t>Apparel</t>
        </is>
      </c>
      <c r="E2338" s="58" t="inlineStr">
        <is>
          <t>Central</t>
        </is>
      </c>
      <c r="F2338" s="61" t="n">
        <v>4</v>
      </c>
      <c r="G2338" s="62" t="n">
        <v>130.13</v>
      </c>
      <c r="H2338" s="63" t="n">
        <v>0.082</v>
      </c>
      <c r="I2338" s="62" t="n">
        <v>74.62</v>
      </c>
      <c r="J2338" s="58" t="inlineStr">
        <is>
          <t>Online</t>
        </is>
      </c>
      <c r="K2338" s="62">
        <f>F2338*(G2338-H2338)</f>
        <v/>
      </c>
      <c r="L2338" s="62">
        <f>K2338-(F2338*I2338)</f>
        <v/>
      </c>
      <c r="M2338" s="64">
        <f>L2338/K2338</f>
        <v/>
      </c>
    </row>
    <row r="2339">
      <c r="A2339" s="58" t="inlineStr">
        <is>
          <t>RT20250301-02338</t>
        </is>
      </c>
      <c r="B2339" s="59" t="inlineStr">
        <is>
          <t>2025-03-01</t>
        </is>
      </c>
      <c r="C2339" s="60" t="inlineStr">
        <is>
          <t>Vertex Snack S-702</t>
        </is>
      </c>
      <c r="D2339" s="58" t="inlineStr">
        <is>
          <t>Grocery</t>
        </is>
      </c>
      <c r="E2339" s="58" t="inlineStr">
        <is>
          <t>Central</t>
        </is>
      </c>
      <c r="F2339" s="61" t="n">
        <v>5</v>
      </c>
      <c r="G2339" s="62" t="n">
        <v>2.06</v>
      </c>
      <c r="H2339" s="63" t="n">
        <v>0.099</v>
      </c>
      <c r="I2339" s="62" t="n">
        <v>1.5</v>
      </c>
      <c r="J2339" s="58" t="inlineStr">
        <is>
          <t>Online</t>
        </is>
      </c>
      <c r="K2339" s="62">
        <f>F2339*(G2339-H2339)</f>
        <v/>
      </c>
      <c r="L2339" s="62">
        <f>K2339-(F2339*I2339)</f>
        <v/>
      </c>
      <c r="M2339" s="64">
        <f>L2339/K2339</f>
        <v/>
      </c>
    </row>
    <row r="2340">
      <c r="A2340" s="58" t="inlineStr">
        <is>
          <t>RT20250301-02339</t>
        </is>
      </c>
      <c r="B2340" s="59" t="inlineStr">
        <is>
          <t>2025-03-01</t>
        </is>
      </c>
      <c r="C2340" s="60" t="inlineStr">
        <is>
          <t>Falcon Skincare X-334</t>
        </is>
      </c>
      <c r="D2340" s="58" t="inlineStr">
        <is>
          <t>Beauty</t>
        </is>
      </c>
      <c r="E2340" s="58" t="inlineStr">
        <is>
          <t>East</t>
        </is>
      </c>
      <c r="F2340" s="61" t="n">
        <v>5</v>
      </c>
      <c r="G2340" s="62" t="n">
        <v>117.01</v>
      </c>
      <c r="H2340" s="63" t="n">
        <v>0.118</v>
      </c>
      <c r="I2340" s="62" t="n">
        <v>62.08</v>
      </c>
      <c r="J2340" s="58" t="inlineStr">
        <is>
          <t>Store</t>
        </is>
      </c>
      <c r="K2340" s="62">
        <f>F2340*(G2340-H2340)</f>
        <v/>
      </c>
      <c r="L2340" s="62">
        <f>K2340-(F2340*I2340)</f>
        <v/>
      </c>
      <c r="M2340" s="64">
        <f>L2340/K2340</f>
        <v/>
      </c>
    </row>
    <row r="2341">
      <c r="A2341" s="58" t="inlineStr">
        <is>
          <t>RT20250301-02340</t>
        </is>
      </c>
      <c r="B2341" s="59" t="inlineStr">
        <is>
          <t>2025-03-01</t>
        </is>
      </c>
      <c r="C2341" s="60" t="inlineStr">
        <is>
          <t>Vertex Headphone Pro-801</t>
        </is>
      </c>
      <c r="D2341" s="58" t="inlineStr">
        <is>
          <t>Electronics</t>
        </is>
      </c>
      <c r="E2341" s="58" t="inlineStr">
        <is>
          <t>North</t>
        </is>
      </c>
      <c r="F2341" s="61" t="n">
        <v>2</v>
      </c>
      <c r="G2341" s="62" t="n">
        <v>1200.39</v>
      </c>
      <c r="H2341" s="63" t="n">
        <v>0.122</v>
      </c>
      <c r="I2341" s="62" t="n">
        <v>998.53</v>
      </c>
      <c r="J2341" s="58" t="inlineStr">
        <is>
          <t>Phone</t>
        </is>
      </c>
      <c r="K2341" s="62">
        <f>F2341*(G2341-H2341)</f>
        <v/>
      </c>
      <c r="L2341" s="62">
        <f>K2341-(F2341*I2341)</f>
        <v/>
      </c>
      <c r="M2341" s="64">
        <f>L2341/K2341</f>
        <v/>
      </c>
    </row>
    <row r="2342">
      <c r="A2342" s="58" t="inlineStr">
        <is>
          <t>RT20250301-02341</t>
        </is>
      </c>
      <c r="B2342" s="59" t="inlineStr">
        <is>
          <t>2025-03-01</t>
        </is>
      </c>
      <c r="C2342" s="60" t="inlineStr">
        <is>
          <t>Polar Cycling X-649</t>
        </is>
      </c>
      <c r="D2342" s="58" t="inlineStr">
        <is>
          <t>Sports</t>
        </is>
      </c>
      <c r="E2342" s="58" t="inlineStr">
        <is>
          <t>East</t>
        </is>
      </c>
      <c r="F2342" s="61" t="n">
        <v>2</v>
      </c>
      <c r="G2342" s="62" t="n">
        <v>554.4400000000001</v>
      </c>
      <c r="H2342" s="63" t="n">
        <v>0.078</v>
      </c>
      <c r="I2342" s="62" t="n">
        <v>358.61</v>
      </c>
      <c r="J2342" s="58" t="inlineStr">
        <is>
          <t>Online</t>
        </is>
      </c>
      <c r="K2342" s="62">
        <f>F2342*(G2342-H2342)</f>
        <v/>
      </c>
      <c r="L2342" s="62">
        <f>K2342-(F2342*I2342)</f>
        <v/>
      </c>
      <c r="M2342" s="64">
        <f>L2342/K2342</f>
        <v/>
      </c>
    </row>
    <row r="2343">
      <c r="A2343" s="58" t="inlineStr">
        <is>
          <t>RT20250301-02342</t>
        </is>
      </c>
      <c r="B2343" s="59" t="inlineStr">
        <is>
          <t>2025-03-01</t>
        </is>
      </c>
      <c r="C2343" s="60" t="inlineStr">
        <is>
          <t>Falcon Furniture Plus-839</t>
        </is>
      </c>
      <c r="D2343" s="58" t="inlineStr">
        <is>
          <t>Office</t>
        </is>
      </c>
      <c r="E2343" s="58" t="inlineStr">
        <is>
          <t>Central</t>
        </is>
      </c>
      <c r="F2343" s="61" t="n">
        <v>3</v>
      </c>
      <c r="G2343" s="62" t="n">
        <v>308.78</v>
      </c>
      <c r="H2343" s="63" t="n">
        <v>0.096</v>
      </c>
      <c r="I2343" s="62" t="n">
        <v>233.93</v>
      </c>
      <c r="J2343" s="58" t="inlineStr">
        <is>
          <t>Online</t>
        </is>
      </c>
      <c r="K2343" s="62">
        <f>F2343*(G2343-H2343)</f>
        <v/>
      </c>
      <c r="L2343" s="62">
        <f>K2343-(F2343*I2343)</f>
        <v/>
      </c>
      <c r="M2343" s="64">
        <f>L2343/K2343</f>
        <v/>
      </c>
    </row>
    <row r="2344">
      <c r="A2344" s="58" t="inlineStr">
        <is>
          <t>RT20250301-02343</t>
        </is>
      </c>
      <c r="B2344" s="59" t="inlineStr">
        <is>
          <t>2025-03-01</t>
        </is>
      </c>
      <c r="C2344" s="60" t="inlineStr">
        <is>
          <t>Orion Haircare Plus-887</t>
        </is>
      </c>
      <c r="D2344" s="58" t="inlineStr">
        <is>
          <t>Beauty</t>
        </is>
      </c>
      <c r="E2344" s="58" t="inlineStr">
        <is>
          <t>South</t>
        </is>
      </c>
      <c r="F2344" s="61" t="n">
        <v>3</v>
      </c>
      <c r="G2344" s="62" t="n">
        <v>51.18</v>
      </c>
      <c r="H2344" s="63" t="n">
        <v>0.08</v>
      </c>
      <c r="I2344" s="62" t="n">
        <v>30.39</v>
      </c>
      <c r="J2344" s="58" t="inlineStr">
        <is>
          <t>Store</t>
        </is>
      </c>
      <c r="K2344" s="62">
        <f>F2344*(G2344-H2344)</f>
        <v/>
      </c>
      <c r="L2344" s="62">
        <f>K2344-(F2344*I2344)</f>
        <v/>
      </c>
      <c r="M2344" s="64">
        <f>L2344/K2344</f>
        <v/>
      </c>
    </row>
    <row r="2345">
      <c r="A2345" s="58" t="inlineStr">
        <is>
          <t>RT20250301-02344</t>
        </is>
      </c>
      <c r="B2345" s="59" t="inlineStr">
        <is>
          <t>2025-03-01</t>
        </is>
      </c>
      <c r="C2345" s="60" t="inlineStr">
        <is>
          <t>Vertex Appliance Max-338</t>
        </is>
      </c>
      <c r="D2345" s="58" t="inlineStr">
        <is>
          <t>Home</t>
        </is>
      </c>
      <c r="E2345" s="58" t="inlineStr">
        <is>
          <t>South</t>
        </is>
      </c>
      <c r="F2345" s="61" t="n">
        <v>3</v>
      </c>
      <c r="G2345" s="62" t="n">
        <v>466.71</v>
      </c>
      <c r="H2345" s="63" t="n">
        <v>0.081</v>
      </c>
      <c r="I2345" s="62" t="n">
        <v>281.04</v>
      </c>
      <c r="J2345" s="58" t="inlineStr">
        <is>
          <t>Online</t>
        </is>
      </c>
      <c r="K2345" s="62">
        <f>F2345*(G2345-H2345)</f>
        <v/>
      </c>
      <c r="L2345" s="62">
        <f>K2345-(F2345*I2345)</f>
        <v/>
      </c>
      <c r="M2345" s="64">
        <f>L2345/K2345</f>
        <v/>
      </c>
    </row>
    <row r="2346">
      <c r="A2346" s="58" t="inlineStr">
        <is>
          <t>RT20250301-02345</t>
        </is>
      </c>
      <c r="B2346" s="59" t="inlineStr">
        <is>
          <t>2025-03-01</t>
        </is>
      </c>
      <c r="C2346" s="60" t="inlineStr">
        <is>
          <t>Vertex Smartphone Lite-267</t>
        </is>
      </c>
      <c r="D2346" s="58" t="inlineStr">
        <is>
          <t>Electronics</t>
        </is>
      </c>
      <c r="E2346" s="58" t="inlineStr">
        <is>
          <t>West</t>
        </is>
      </c>
      <c r="F2346" s="61" t="n">
        <v>1</v>
      </c>
      <c r="G2346" s="62" t="n">
        <v>1396.83</v>
      </c>
      <c r="H2346" s="63" t="n">
        <v>0.092</v>
      </c>
      <c r="I2346" s="62" t="n">
        <v>969.53</v>
      </c>
      <c r="J2346" s="58" t="inlineStr">
        <is>
          <t>Store</t>
        </is>
      </c>
      <c r="K2346" s="62">
        <f>F2346*(G2346-H2346)</f>
        <v/>
      </c>
      <c r="L2346" s="62">
        <f>K2346-(F2346*I2346)</f>
        <v/>
      </c>
      <c r="M2346" s="64">
        <f>L2346/K2346</f>
        <v/>
      </c>
    </row>
    <row r="2347">
      <c r="A2347" s="58" t="inlineStr">
        <is>
          <t>RT20250301-02346</t>
        </is>
      </c>
      <c r="B2347" s="59" t="inlineStr">
        <is>
          <t>2025-03-01</t>
        </is>
      </c>
      <c r="C2347" s="60" t="inlineStr">
        <is>
          <t>Orion Snack X-322</t>
        </is>
      </c>
      <c r="D2347" s="58" t="inlineStr">
        <is>
          <t>Grocery</t>
        </is>
      </c>
      <c r="E2347" s="58" t="inlineStr">
        <is>
          <t>Central</t>
        </is>
      </c>
      <c r="F2347" s="61" t="n">
        <v>5</v>
      </c>
      <c r="G2347" s="62" t="n">
        <v>12.3</v>
      </c>
      <c r="H2347" s="63" t="n">
        <v>0.114</v>
      </c>
      <c r="I2347" s="62" t="n">
        <v>10.12</v>
      </c>
      <c r="J2347" s="58" t="inlineStr">
        <is>
          <t>Online</t>
        </is>
      </c>
      <c r="K2347" s="62">
        <f>F2347*(G2347-H2347)</f>
        <v/>
      </c>
      <c r="L2347" s="62">
        <f>K2347-(F2347*I2347)</f>
        <v/>
      </c>
      <c r="M2347" s="64">
        <f>L2347/K2347</f>
        <v/>
      </c>
    </row>
    <row r="2348">
      <c r="A2348" s="58" t="inlineStr">
        <is>
          <t>RT20250301-02347</t>
        </is>
      </c>
      <c r="B2348" s="59" t="inlineStr">
        <is>
          <t>2025-03-01</t>
        </is>
      </c>
      <c r="C2348" s="60" t="inlineStr">
        <is>
          <t>Aurora Kid Plus-151</t>
        </is>
      </c>
      <c r="D2348" s="58" t="inlineStr">
        <is>
          <t>Apparel</t>
        </is>
      </c>
      <c r="E2348" s="58" t="inlineStr">
        <is>
          <t>East</t>
        </is>
      </c>
      <c r="F2348" s="61" t="n">
        <v>4</v>
      </c>
      <c r="G2348" s="62" t="n">
        <v>111.74</v>
      </c>
      <c r="H2348" s="63" t="n">
        <v>0.132</v>
      </c>
      <c r="I2348" s="62" t="n">
        <v>65.34999999999999</v>
      </c>
      <c r="J2348" s="58" t="inlineStr">
        <is>
          <t>Online</t>
        </is>
      </c>
      <c r="K2348" s="62">
        <f>F2348*(G2348-H2348)</f>
        <v/>
      </c>
      <c r="L2348" s="62">
        <f>K2348-(F2348*I2348)</f>
        <v/>
      </c>
      <c r="M2348" s="64">
        <f>L2348/K2348</f>
        <v/>
      </c>
    </row>
    <row r="2349">
      <c r="A2349" s="58" t="inlineStr">
        <is>
          <t>RT20250301-02348</t>
        </is>
      </c>
      <c r="B2349" s="59" t="inlineStr">
        <is>
          <t>2025-03-01</t>
        </is>
      </c>
      <c r="C2349" s="60" t="inlineStr">
        <is>
          <t>Orion Kid Max-640</t>
        </is>
      </c>
      <c r="D2349" s="58" t="inlineStr">
        <is>
          <t>Apparel</t>
        </is>
      </c>
      <c r="E2349" s="58" t="inlineStr">
        <is>
          <t>North</t>
        </is>
      </c>
      <c r="F2349" s="61" t="n">
        <v>2</v>
      </c>
      <c r="G2349" s="62" t="n">
        <v>123.2</v>
      </c>
      <c r="H2349" s="63" t="n">
        <v>0.103</v>
      </c>
      <c r="I2349" s="62" t="n">
        <v>71.16</v>
      </c>
      <c r="J2349" s="58" t="inlineStr">
        <is>
          <t>Online</t>
        </is>
      </c>
      <c r="K2349" s="62">
        <f>F2349*(G2349-H2349)</f>
        <v/>
      </c>
      <c r="L2349" s="62">
        <f>K2349-(F2349*I2349)</f>
        <v/>
      </c>
      <c r="M2349" s="64">
        <f>L2349/K2349</f>
        <v/>
      </c>
    </row>
    <row r="2350">
      <c r="A2350" s="58" t="inlineStr">
        <is>
          <t>RT20250301-02349</t>
        </is>
      </c>
      <c r="B2350" s="59" t="inlineStr">
        <is>
          <t>2025-03-01</t>
        </is>
      </c>
      <c r="C2350" s="60" t="inlineStr">
        <is>
          <t>Polar Bedding Lite-243</t>
        </is>
      </c>
      <c r="D2350" s="58" t="inlineStr">
        <is>
          <t>Home</t>
        </is>
      </c>
      <c r="E2350" s="58" t="inlineStr">
        <is>
          <t>Central</t>
        </is>
      </c>
      <c r="F2350" s="61" t="n">
        <v>1</v>
      </c>
      <c r="G2350" s="62" t="n">
        <v>454.31</v>
      </c>
      <c r="H2350" s="63" t="n">
        <v>0.146</v>
      </c>
      <c r="I2350" s="62" t="n">
        <v>321.31</v>
      </c>
      <c r="J2350" s="58" t="inlineStr">
        <is>
          <t>Online</t>
        </is>
      </c>
      <c r="K2350" s="62">
        <f>F2350*(G2350-H2350)</f>
        <v/>
      </c>
      <c r="L2350" s="62">
        <f>K2350-(F2350*I2350)</f>
        <v/>
      </c>
      <c r="M2350" s="64">
        <f>L2350/K2350</f>
        <v/>
      </c>
    </row>
    <row r="2351">
      <c r="A2351" s="58" t="inlineStr">
        <is>
          <t>RT20250301-02350</t>
        </is>
      </c>
      <c r="B2351" s="59" t="inlineStr">
        <is>
          <t>2025-03-01</t>
        </is>
      </c>
      <c r="C2351" s="60" t="inlineStr">
        <is>
          <t>Vertex Appliance S-159</t>
        </is>
      </c>
      <c r="D2351" s="58" t="inlineStr">
        <is>
          <t>Home</t>
        </is>
      </c>
      <c r="E2351" s="58" t="inlineStr">
        <is>
          <t>East</t>
        </is>
      </c>
      <c r="F2351" s="61" t="n">
        <v>2</v>
      </c>
      <c r="G2351" s="62" t="n">
        <v>444.71</v>
      </c>
      <c r="H2351" s="63" t="n">
        <v>0.135</v>
      </c>
      <c r="I2351" s="62" t="n">
        <v>289.19</v>
      </c>
      <c r="J2351" s="58" t="inlineStr">
        <is>
          <t>Store</t>
        </is>
      </c>
      <c r="K2351" s="62">
        <f>F2351*(G2351-H2351)</f>
        <v/>
      </c>
      <c r="L2351" s="62">
        <f>K2351-(F2351*I2351)</f>
        <v/>
      </c>
      <c r="M2351" s="64">
        <f>L2351/K2351</f>
        <v/>
      </c>
    </row>
    <row r="2352">
      <c r="A2352" s="58" t="inlineStr">
        <is>
          <t>RT20250301-02351</t>
        </is>
      </c>
      <c r="B2352" s="59" t="inlineStr">
        <is>
          <t>2025-03-01</t>
        </is>
      </c>
      <c r="C2352" s="60" t="inlineStr">
        <is>
          <t>Orion Kitchen Pro-568</t>
        </is>
      </c>
      <c r="D2352" s="58" t="inlineStr">
        <is>
          <t>Home</t>
        </is>
      </c>
      <c r="E2352" s="58" t="inlineStr">
        <is>
          <t>West</t>
        </is>
      </c>
      <c r="F2352" s="61" t="n">
        <v>1</v>
      </c>
      <c r="G2352" s="62" t="n">
        <v>450.79</v>
      </c>
      <c r="H2352" s="63" t="n">
        <v>0.12</v>
      </c>
      <c r="I2352" s="62" t="n">
        <v>298.44</v>
      </c>
      <c r="J2352" s="58" t="inlineStr">
        <is>
          <t>Store</t>
        </is>
      </c>
      <c r="K2352" s="62">
        <f>F2352*(G2352-H2352)</f>
        <v/>
      </c>
      <c r="L2352" s="62">
        <f>K2352-(F2352*I2352)</f>
        <v/>
      </c>
      <c r="M2352" s="64">
        <f>L2352/K2352</f>
        <v/>
      </c>
    </row>
    <row r="2353">
      <c r="A2353" s="58" t="inlineStr">
        <is>
          <t>RT20250301-02352</t>
        </is>
      </c>
      <c r="B2353" s="59" t="inlineStr">
        <is>
          <t>2025-03-01</t>
        </is>
      </c>
      <c r="C2353" s="60" t="inlineStr">
        <is>
          <t>Aurora Smartphone Plus-125</t>
        </is>
      </c>
      <c r="D2353" s="58" t="inlineStr">
        <is>
          <t>Electronics</t>
        </is>
      </c>
      <c r="E2353" s="58" t="inlineStr">
        <is>
          <t>Central</t>
        </is>
      </c>
      <c r="F2353" s="61" t="n">
        <v>1</v>
      </c>
      <c r="G2353" s="62" t="n">
        <v>1625.38</v>
      </c>
      <c r="H2353" s="63" t="n">
        <v>0.092</v>
      </c>
      <c r="I2353" s="62" t="n">
        <v>1235.64</v>
      </c>
      <c r="J2353" s="58" t="inlineStr">
        <is>
          <t>Online</t>
        </is>
      </c>
      <c r="K2353" s="62">
        <f>F2353*(G2353-H2353)</f>
        <v/>
      </c>
      <c r="L2353" s="62">
        <f>K2353-(F2353*I2353)</f>
        <v/>
      </c>
      <c r="M2353" s="64">
        <f>L2353/K2353</f>
        <v/>
      </c>
    </row>
    <row r="2354">
      <c r="A2354" s="58" t="inlineStr">
        <is>
          <t>RT20250301-02353</t>
        </is>
      </c>
      <c r="B2354" s="59" t="inlineStr">
        <is>
          <t>2025-03-01</t>
        </is>
      </c>
      <c r="C2354" s="60" t="inlineStr">
        <is>
          <t>Solace Headphone Pro-344</t>
        </is>
      </c>
      <c r="D2354" s="58" t="inlineStr">
        <is>
          <t>Electronics</t>
        </is>
      </c>
      <c r="E2354" s="58" t="inlineStr">
        <is>
          <t>East</t>
        </is>
      </c>
      <c r="F2354" s="61" t="n">
        <v>2</v>
      </c>
      <c r="G2354" s="62" t="n">
        <v>1424.37</v>
      </c>
      <c r="H2354" s="63" t="n">
        <v>0.054</v>
      </c>
      <c r="I2354" s="62" t="n">
        <v>1070.1</v>
      </c>
      <c r="J2354" s="58" t="inlineStr">
        <is>
          <t>Online</t>
        </is>
      </c>
      <c r="K2354" s="62">
        <f>F2354*(G2354-H2354)</f>
        <v/>
      </c>
      <c r="L2354" s="62">
        <f>K2354-(F2354*I2354)</f>
        <v/>
      </c>
      <c r="M2354" s="64">
        <f>L2354/K2354</f>
        <v/>
      </c>
    </row>
    <row r="2355">
      <c r="A2355" s="58" t="inlineStr">
        <is>
          <t>RT20250301-02354</t>
        </is>
      </c>
      <c r="B2355" s="59" t="inlineStr">
        <is>
          <t>2025-03-01</t>
        </is>
      </c>
      <c r="C2355" s="60" t="inlineStr">
        <is>
          <t>Aurora Makeup S-626</t>
        </is>
      </c>
      <c r="D2355" s="58" t="inlineStr">
        <is>
          <t>Beauty</t>
        </is>
      </c>
      <c r="E2355" s="58" t="inlineStr">
        <is>
          <t>West</t>
        </is>
      </c>
      <c r="F2355" s="61" t="n">
        <v>4</v>
      </c>
      <c r="G2355" s="62" t="n">
        <v>109.03</v>
      </c>
      <c r="H2355" s="63" t="n">
        <v>0.121</v>
      </c>
      <c r="I2355" s="62" t="n">
        <v>65.09</v>
      </c>
      <c r="J2355" s="58" t="inlineStr">
        <is>
          <t>Store</t>
        </is>
      </c>
      <c r="K2355" s="62">
        <f>F2355*(G2355-H2355)</f>
        <v/>
      </c>
      <c r="L2355" s="62">
        <f>K2355-(F2355*I2355)</f>
        <v/>
      </c>
      <c r="M2355" s="64">
        <f>L2355/K2355</f>
        <v/>
      </c>
    </row>
    <row r="2356">
      <c r="A2356" s="58" t="inlineStr">
        <is>
          <t>RT20250301-02355</t>
        </is>
      </c>
      <c r="B2356" s="59" t="inlineStr">
        <is>
          <t>2025-03-01</t>
        </is>
      </c>
      <c r="C2356" s="60" t="inlineStr">
        <is>
          <t>Orion Supplie S-612</t>
        </is>
      </c>
      <c r="D2356" s="58" t="inlineStr">
        <is>
          <t>Office</t>
        </is>
      </c>
      <c r="E2356" s="58" t="inlineStr">
        <is>
          <t>South</t>
        </is>
      </c>
      <c r="F2356" s="61" t="n">
        <v>2</v>
      </c>
      <c r="G2356" s="62" t="n">
        <v>537.49</v>
      </c>
      <c r="H2356" s="63" t="n">
        <v>0.106</v>
      </c>
      <c r="I2356" s="62" t="n">
        <v>332.15</v>
      </c>
      <c r="J2356" s="58" t="inlineStr">
        <is>
          <t>Store</t>
        </is>
      </c>
      <c r="K2356" s="62">
        <f>F2356*(G2356-H2356)</f>
        <v/>
      </c>
      <c r="L2356" s="62">
        <f>K2356-(F2356*I2356)</f>
        <v/>
      </c>
      <c r="M2356" s="64">
        <f>L2356/K2356</f>
        <v/>
      </c>
    </row>
    <row r="2357">
      <c r="A2357" s="58" t="inlineStr">
        <is>
          <t>RT20250301-02356</t>
        </is>
      </c>
      <c r="B2357" s="59" t="inlineStr">
        <is>
          <t>2025-03-01</t>
        </is>
      </c>
      <c r="C2357" s="60" t="inlineStr">
        <is>
          <t>Solace Team Sport Max-548</t>
        </is>
      </c>
      <c r="D2357" s="58" t="inlineStr">
        <is>
          <t>Sports</t>
        </is>
      </c>
      <c r="E2357" s="58" t="inlineStr">
        <is>
          <t>Central</t>
        </is>
      </c>
      <c r="F2357" s="61" t="n">
        <v>3</v>
      </c>
      <c r="G2357" s="62" t="n">
        <v>690.51</v>
      </c>
      <c r="H2357" s="63" t="n">
        <v>0.077</v>
      </c>
      <c r="I2357" s="62" t="n">
        <v>485.9</v>
      </c>
      <c r="J2357" s="58" t="inlineStr">
        <is>
          <t>Online</t>
        </is>
      </c>
      <c r="K2357" s="62">
        <f>F2357*(G2357-H2357)</f>
        <v/>
      </c>
      <c r="L2357" s="62">
        <f>K2357-(F2357*I2357)</f>
        <v/>
      </c>
      <c r="M2357" s="64">
        <f>L2357/K2357</f>
        <v/>
      </c>
    </row>
    <row r="2358">
      <c r="A2358" s="58" t="inlineStr">
        <is>
          <t>RT20250301-02357</t>
        </is>
      </c>
      <c r="B2358" s="59" t="inlineStr">
        <is>
          <t>2025-03-01</t>
        </is>
      </c>
      <c r="C2358" s="60" t="inlineStr">
        <is>
          <t>Aurora Makeup S-626</t>
        </is>
      </c>
      <c r="D2358" s="58" t="inlineStr">
        <is>
          <t>Beauty</t>
        </is>
      </c>
      <c r="E2358" s="58" t="inlineStr">
        <is>
          <t>Central</t>
        </is>
      </c>
      <c r="F2358" s="61" t="n">
        <v>4</v>
      </c>
      <c r="G2358" s="62" t="n">
        <v>110.9</v>
      </c>
      <c r="H2358" s="63" t="n">
        <v>0.121</v>
      </c>
      <c r="I2358" s="62" t="n">
        <v>64.84</v>
      </c>
      <c r="J2358" s="58" t="inlineStr">
        <is>
          <t>Store</t>
        </is>
      </c>
      <c r="K2358" s="62">
        <f>F2358*(G2358-H2358)</f>
        <v/>
      </c>
      <c r="L2358" s="62">
        <f>K2358-(F2358*I2358)</f>
        <v/>
      </c>
      <c r="M2358" s="64">
        <f>L2358/K2358</f>
        <v/>
      </c>
    </row>
    <row r="2359">
      <c r="A2359" s="58" t="inlineStr">
        <is>
          <t>RT20250301-02358</t>
        </is>
      </c>
      <c r="B2359" s="59" t="inlineStr">
        <is>
          <t>2025-03-01</t>
        </is>
      </c>
      <c r="C2359" s="60" t="inlineStr">
        <is>
          <t>Solace Makeup Pro-214</t>
        </is>
      </c>
      <c r="D2359" s="58" t="inlineStr">
        <is>
          <t>Beauty</t>
        </is>
      </c>
      <c r="E2359" s="58" t="inlineStr">
        <is>
          <t>Central</t>
        </is>
      </c>
      <c r="F2359" s="61" t="n">
        <v>4</v>
      </c>
      <c r="G2359" s="62" t="n">
        <v>111.38</v>
      </c>
      <c r="H2359" s="63" t="n">
        <v>0.125</v>
      </c>
      <c r="I2359" s="62" t="n">
        <v>69.20999999999999</v>
      </c>
      <c r="J2359" s="58" t="inlineStr">
        <is>
          <t>Online</t>
        </is>
      </c>
      <c r="K2359" s="62">
        <f>F2359*(G2359-H2359)</f>
        <v/>
      </c>
      <c r="L2359" s="62">
        <f>K2359-(F2359*I2359)</f>
        <v/>
      </c>
      <c r="M2359" s="64">
        <f>L2359/K2359</f>
        <v/>
      </c>
    </row>
    <row r="2360">
      <c r="A2360" s="58" t="inlineStr">
        <is>
          <t>RT20250301-02359</t>
        </is>
      </c>
      <c r="B2360" s="59" t="inlineStr">
        <is>
          <t>2025-03-01</t>
        </is>
      </c>
      <c r="C2360" s="60" t="inlineStr">
        <is>
          <t>Nimbus Laptop Max-652</t>
        </is>
      </c>
      <c r="D2360" s="58" t="inlineStr">
        <is>
          <t>Electronics</t>
        </is>
      </c>
      <c r="E2360" s="58" t="inlineStr">
        <is>
          <t>North</t>
        </is>
      </c>
      <c r="F2360" s="61" t="n">
        <v>1</v>
      </c>
      <c r="G2360" s="62" t="n">
        <v>1259.99</v>
      </c>
      <c r="H2360" s="63" t="n">
        <v>0.104</v>
      </c>
      <c r="I2360" s="62" t="n">
        <v>1034.47</v>
      </c>
      <c r="J2360" s="58" t="inlineStr">
        <is>
          <t>Online</t>
        </is>
      </c>
      <c r="K2360" s="62">
        <f>F2360*(G2360-H2360)</f>
        <v/>
      </c>
      <c r="L2360" s="62">
        <f>K2360-(F2360*I2360)</f>
        <v/>
      </c>
      <c r="M2360" s="64">
        <f>L2360/K2360</f>
        <v/>
      </c>
    </row>
    <row r="2361">
      <c r="A2361" s="58" t="inlineStr">
        <is>
          <t>RT20250302-02360</t>
        </is>
      </c>
      <c r="B2361" s="59" t="inlineStr">
        <is>
          <t>2025-03-02</t>
        </is>
      </c>
      <c r="C2361" s="60" t="inlineStr">
        <is>
          <t>Polar Women S-662</t>
        </is>
      </c>
      <c r="D2361" s="58" t="inlineStr">
        <is>
          <t>Apparel</t>
        </is>
      </c>
      <c r="E2361" s="58" t="inlineStr">
        <is>
          <t>South</t>
        </is>
      </c>
      <c r="F2361" s="61" t="n">
        <v>4</v>
      </c>
      <c r="G2361" s="62" t="n">
        <v>172.17</v>
      </c>
      <c r="H2361" s="63" t="n">
        <v>0.116</v>
      </c>
      <c r="I2361" s="62" t="n">
        <v>101.33</v>
      </c>
      <c r="J2361" s="58" t="inlineStr">
        <is>
          <t>Online</t>
        </is>
      </c>
      <c r="K2361" s="62">
        <f>F2361*(G2361-H2361)</f>
        <v/>
      </c>
      <c r="L2361" s="62">
        <f>K2361-(F2361*I2361)</f>
        <v/>
      </c>
      <c r="M2361" s="64">
        <f>L2361/K2361</f>
        <v/>
      </c>
    </row>
    <row r="2362">
      <c r="A2362" s="58" t="inlineStr">
        <is>
          <t>RT20250302-02361</t>
        </is>
      </c>
      <c r="B2362" s="59" t="inlineStr">
        <is>
          <t>2025-03-02</t>
        </is>
      </c>
      <c r="C2362" s="60" t="inlineStr">
        <is>
          <t>Falcon Skincare Max-151</t>
        </is>
      </c>
      <c r="D2362" s="58" t="inlineStr">
        <is>
          <t>Beauty</t>
        </is>
      </c>
      <c r="E2362" s="58" t="inlineStr">
        <is>
          <t>North</t>
        </is>
      </c>
      <c r="F2362" s="61" t="n">
        <v>1</v>
      </c>
      <c r="G2362" s="62" t="n">
        <v>92.59</v>
      </c>
      <c r="H2362" s="63" t="n">
        <v>0.111</v>
      </c>
      <c r="I2362" s="62" t="n">
        <v>60.47</v>
      </c>
      <c r="J2362" s="58" t="inlineStr">
        <is>
          <t>Online</t>
        </is>
      </c>
      <c r="K2362" s="62">
        <f>F2362*(G2362-H2362)</f>
        <v/>
      </c>
      <c r="L2362" s="62">
        <f>K2362-(F2362*I2362)</f>
        <v/>
      </c>
      <c r="M2362" s="64">
        <f>L2362/K2362</f>
        <v/>
      </c>
    </row>
    <row r="2363">
      <c r="A2363" s="58" t="inlineStr">
        <is>
          <t>RT20250302-02362</t>
        </is>
      </c>
      <c r="B2363" s="59" t="inlineStr">
        <is>
          <t>2025-03-02</t>
        </is>
      </c>
      <c r="C2363" s="60" t="inlineStr">
        <is>
          <t>Aurora Wearable Lite-704</t>
        </is>
      </c>
      <c r="D2363" s="58" t="inlineStr">
        <is>
          <t>Electronics</t>
        </is>
      </c>
      <c r="E2363" s="58" t="inlineStr">
        <is>
          <t>Central</t>
        </is>
      </c>
      <c r="F2363" s="61" t="n">
        <v>2</v>
      </c>
      <c r="G2363" s="62" t="n">
        <v>1713.99</v>
      </c>
      <c r="H2363" s="63" t="n">
        <v>0.107</v>
      </c>
      <c r="I2363" s="62" t="n">
        <v>1480.66</v>
      </c>
      <c r="J2363" s="58" t="inlineStr">
        <is>
          <t>Online</t>
        </is>
      </c>
      <c r="K2363" s="62">
        <f>F2363*(G2363-H2363)</f>
        <v/>
      </c>
      <c r="L2363" s="62">
        <f>K2363-(F2363*I2363)</f>
        <v/>
      </c>
      <c r="M2363" s="64">
        <f>L2363/K2363</f>
        <v/>
      </c>
    </row>
    <row r="2364">
      <c r="A2364" s="58" t="inlineStr">
        <is>
          <t>RT20250302-02363</t>
        </is>
      </c>
      <c r="B2364" s="59" t="inlineStr">
        <is>
          <t>2025-03-02</t>
        </is>
      </c>
      <c r="C2364" s="60" t="inlineStr">
        <is>
          <t>Polar Decor X-935</t>
        </is>
      </c>
      <c r="D2364" s="58" t="inlineStr">
        <is>
          <t>Home</t>
        </is>
      </c>
      <c r="E2364" s="58" t="inlineStr">
        <is>
          <t>Central</t>
        </is>
      </c>
      <c r="F2364" s="61" t="n">
        <v>2</v>
      </c>
      <c r="G2364" s="62" t="n">
        <v>273.58</v>
      </c>
      <c r="H2364" s="63" t="n">
        <v>0.113</v>
      </c>
      <c r="I2364" s="62" t="n">
        <v>206.63</v>
      </c>
      <c r="J2364" s="58" t="inlineStr">
        <is>
          <t>Store</t>
        </is>
      </c>
      <c r="K2364" s="62">
        <f>F2364*(G2364-H2364)</f>
        <v/>
      </c>
      <c r="L2364" s="62">
        <f>K2364-(F2364*I2364)</f>
        <v/>
      </c>
      <c r="M2364" s="64">
        <f>L2364/K2364</f>
        <v/>
      </c>
    </row>
    <row r="2365">
      <c r="A2365" s="58" t="inlineStr">
        <is>
          <t>RT20250302-02364</t>
        </is>
      </c>
      <c r="B2365" s="59" t="inlineStr">
        <is>
          <t>2025-03-02</t>
        </is>
      </c>
      <c r="C2365" s="60" t="inlineStr">
        <is>
          <t>Falcon Wearable X-334</t>
        </is>
      </c>
      <c r="D2365" s="58" t="inlineStr">
        <is>
          <t>Electronics</t>
        </is>
      </c>
      <c r="E2365" s="58" t="inlineStr">
        <is>
          <t>South</t>
        </is>
      </c>
      <c r="F2365" s="61" t="n">
        <v>2</v>
      </c>
      <c r="G2365" s="62" t="n">
        <v>1814.54</v>
      </c>
      <c r="H2365" s="63" t="n">
        <v>0.006</v>
      </c>
      <c r="I2365" s="62" t="n">
        <v>1490.7</v>
      </c>
      <c r="J2365" s="58" t="inlineStr">
        <is>
          <t>Online</t>
        </is>
      </c>
      <c r="K2365" s="62">
        <f>F2365*(G2365-H2365)</f>
        <v/>
      </c>
      <c r="L2365" s="62">
        <f>K2365-(F2365*I2365)</f>
        <v/>
      </c>
      <c r="M2365" s="64">
        <f>L2365/K2365</f>
        <v/>
      </c>
    </row>
    <row r="2366">
      <c r="A2366" s="58" t="inlineStr">
        <is>
          <t>RT20250302-02365</t>
        </is>
      </c>
      <c r="B2366" s="59" t="inlineStr">
        <is>
          <t>2025-03-02</t>
        </is>
      </c>
      <c r="C2366" s="60" t="inlineStr">
        <is>
          <t>Falcon Household Pro-865</t>
        </is>
      </c>
      <c r="D2366" s="58" t="inlineStr">
        <is>
          <t>Grocery</t>
        </is>
      </c>
      <c r="E2366" s="58" t="inlineStr">
        <is>
          <t>South</t>
        </is>
      </c>
      <c r="F2366" s="61" t="n">
        <v>1</v>
      </c>
      <c r="G2366" s="62" t="n">
        <v>10.81</v>
      </c>
      <c r="H2366" s="63" t="n">
        <v>0.115</v>
      </c>
      <c r="I2366" s="62" t="n">
        <v>7.74</v>
      </c>
      <c r="J2366" s="58" t="inlineStr">
        <is>
          <t>Online</t>
        </is>
      </c>
      <c r="K2366" s="62">
        <f>F2366*(G2366-H2366)</f>
        <v/>
      </c>
      <c r="L2366" s="62">
        <f>K2366-(F2366*I2366)</f>
        <v/>
      </c>
      <c r="M2366" s="64">
        <f>L2366/K2366</f>
        <v/>
      </c>
    </row>
    <row r="2367">
      <c r="A2367" s="58" t="inlineStr">
        <is>
          <t>RT20250302-02366</t>
        </is>
      </c>
      <c r="B2367" s="59" t="inlineStr">
        <is>
          <t>2025-03-02</t>
        </is>
      </c>
      <c r="C2367" s="60" t="inlineStr">
        <is>
          <t>Falcon Furniture Plus-839</t>
        </is>
      </c>
      <c r="D2367" s="58" t="inlineStr">
        <is>
          <t>Office</t>
        </is>
      </c>
      <c r="E2367" s="58" t="inlineStr">
        <is>
          <t>East</t>
        </is>
      </c>
      <c r="F2367" s="61" t="n">
        <v>3</v>
      </c>
      <c r="G2367" s="62" t="n">
        <v>355.03</v>
      </c>
      <c r="H2367" s="63" t="n">
        <v>0.104</v>
      </c>
      <c r="I2367" s="62" t="n">
        <v>227.16</v>
      </c>
      <c r="J2367" s="58" t="inlineStr">
        <is>
          <t>Phone</t>
        </is>
      </c>
      <c r="K2367" s="62">
        <f>F2367*(G2367-H2367)</f>
        <v/>
      </c>
      <c r="L2367" s="62">
        <f>K2367-(F2367*I2367)</f>
        <v/>
      </c>
      <c r="M2367" s="64">
        <f>L2367/K2367</f>
        <v/>
      </c>
    </row>
    <row r="2368">
      <c r="A2368" s="58" t="inlineStr">
        <is>
          <t>RT20250302-02367</t>
        </is>
      </c>
      <c r="B2368" s="59" t="inlineStr">
        <is>
          <t>2025-03-02</t>
        </is>
      </c>
      <c r="C2368" s="60" t="inlineStr">
        <is>
          <t>Solace Kitchen Pro-999</t>
        </is>
      </c>
      <c r="D2368" s="58" t="inlineStr">
        <is>
          <t>Home</t>
        </is>
      </c>
      <c r="E2368" s="58" t="inlineStr">
        <is>
          <t>Central</t>
        </is>
      </c>
      <c r="F2368" s="61" t="n">
        <v>1</v>
      </c>
      <c r="G2368" s="62" t="n">
        <v>415.26</v>
      </c>
      <c r="H2368" s="63" t="n">
        <v>0.07000000000000001</v>
      </c>
      <c r="I2368" s="62" t="n">
        <v>262.22</v>
      </c>
      <c r="J2368" s="58" t="inlineStr">
        <is>
          <t>Store</t>
        </is>
      </c>
      <c r="K2368" s="62">
        <f>F2368*(G2368-H2368)</f>
        <v/>
      </c>
      <c r="L2368" s="62">
        <f>K2368-(F2368*I2368)</f>
        <v/>
      </c>
      <c r="M2368" s="64">
        <f>L2368/K2368</f>
        <v/>
      </c>
    </row>
    <row r="2369">
      <c r="A2369" s="58" t="inlineStr">
        <is>
          <t>RT20250302-02368</t>
        </is>
      </c>
      <c r="B2369" s="59" t="inlineStr">
        <is>
          <t>2025-03-02</t>
        </is>
      </c>
      <c r="C2369" s="60" t="inlineStr">
        <is>
          <t>Falcon Haircare Pro-980</t>
        </is>
      </c>
      <c r="D2369" s="58" t="inlineStr">
        <is>
          <t>Beauty</t>
        </is>
      </c>
      <c r="E2369" s="58" t="inlineStr">
        <is>
          <t>Central</t>
        </is>
      </c>
      <c r="F2369" s="61" t="n">
        <v>3</v>
      </c>
      <c r="G2369" s="62" t="n">
        <v>93.93000000000001</v>
      </c>
      <c r="H2369" s="63" t="n">
        <v>0.126</v>
      </c>
      <c r="I2369" s="62" t="n">
        <v>55.33</v>
      </c>
      <c r="J2369" s="58" t="inlineStr">
        <is>
          <t>Online</t>
        </is>
      </c>
      <c r="K2369" s="62">
        <f>F2369*(G2369-H2369)</f>
        <v/>
      </c>
      <c r="L2369" s="62">
        <f>K2369-(F2369*I2369)</f>
        <v/>
      </c>
      <c r="M2369" s="64">
        <f>L2369/K2369</f>
        <v/>
      </c>
    </row>
    <row r="2370">
      <c r="A2370" s="58" t="inlineStr">
        <is>
          <t>RT20250302-02369</t>
        </is>
      </c>
      <c r="B2370" s="59" t="inlineStr">
        <is>
          <t>2025-03-02</t>
        </is>
      </c>
      <c r="C2370" s="60" t="inlineStr">
        <is>
          <t>Nimbus Fitnes Lite-516</t>
        </is>
      </c>
      <c r="D2370" s="58" t="inlineStr">
        <is>
          <t>Sports</t>
        </is>
      </c>
      <c r="E2370" s="58" t="inlineStr">
        <is>
          <t>Central</t>
        </is>
      </c>
      <c r="F2370" s="61" t="n">
        <v>1</v>
      </c>
      <c r="G2370" s="62" t="n">
        <v>673.05</v>
      </c>
      <c r="H2370" s="63" t="n">
        <v>0.003</v>
      </c>
      <c r="I2370" s="62" t="n">
        <v>481.04</v>
      </c>
      <c r="J2370" s="58" t="inlineStr">
        <is>
          <t>Store</t>
        </is>
      </c>
      <c r="K2370" s="62">
        <f>F2370*(G2370-H2370)</f>
        <v/>
      </c>
      <c r="L2370" s="62">
        <f>K2370-(F2370*I2370)</f>
        <v/>
      </c>
      <c r="M2370" s="64">
        <f>L2370/K2370</f>
        <v/>
      </c>
    </row>
    <row r="2371">
      <c r="A2371" s="58" t="inlineStr">
        <is>
          <t>RT20250302-02370</t>
        </is>
      </c>
      <c r="B2371" s="59" t="inlineStr">
        <is>
          <t>2025-03-02</t>
        </is>
      </c>
      <c r="C2371" s="60" t="inlineStr">
        <is>
          <t>Orion Beverage Plus-949</t>
        </is>
      </c>
      <c r="D2371" s="58" t="inlineStr">
        <is>
          <t>Grocery</t>
        </is>
      </c>
      <c r="E2371" s="58" t="inlineStr">
        <is>
          <t>North</t>
        </is>
      </c>
      <c r="F2371" s="61" t="n">
        <v>7</v>
      </c>
      <c r="G2371" s="62" t="n">
        <v>19.01</v>
      </c>
      <c r="H2371" s="63" t="n">
        <v>0.11</v>
      </c>
      <c r="I2371" s="62" t="n">
        <v>13.3</v>
      </c>
      <c r="J2371" s="58" t="inlineStr">
        <is>
          <t>Store</t>
        </is>
      </c>
      <c r="K2371" s="62">
        <f>F2371*(G2371-H2371)</f>
        <v/>
      </c>
      <c r="L2371" s="62">
        <f>K2371-(F2371*I2371)</f>
        <v/>
      </c>
      <c r="M2371" s="64">
        <f>L2371/K2371</f>
        <v/>
      </c>
    </row>
    <row r="2372">
      <c r="A2372" s="58" t="inlineStr">
        <is>
          <t>RT20250302-02371</t>
        </is>
      </c>
      <c r="B2372" s="59" t="inlineStr">
        <is>
          <t>2025-03-02</t>
        </is>
      </c>
      <c r="C2372" s="60" t="inlineStr">
        <is>
          <t>Falcon Household Plus-172</t>
        </is>
      </c>
      <c r="D2372" s="58" t="inlineStr">
        <is>
          <t>Grocery</t>
        </is>
      </c>
      <c r="E2372" s="58" t="inlineStr">
        <is>
          <t>West</t>
        </is>
      </c>
      <c r="F2372" s="61" t="n">
        <v>6</v>
      </c>
      <c r="G2372" s="62" t="n">
        <v>21.74</v>
      </c>
      <c r="H2372" s="63" t="n">
        <v>0.126</v>
      </c>
      <c r="I2372" s="62" t="n">
        <v>16.2</v>
      </c>
      <c r="J2372" s="58" t="inlineStr">
        <is>
          <t>Online</t>
        </is>
      </c>
      <c r="K2372" s="62">
        <f>F2372*(G2372-H2372)</f>
        <v/>
      </c>
      <c r="L2372" s="62">
        <f>K2372-(F2372*I2372)</f>
        <v/>
      </c>
      <c r="M2372" s="64">
        <f>L2372/K2372</f>
        <v/>
      </c>
    </row>
    <row r="2373">
      <c r="A2373" s="58" t="inlineStr">
        <is>
          <t>RT20250302-02372</t>
        </is>
      </c>
      <c r="B2373" s="59" t="inlineStr">
        <is>
          <t>2025-03-02</t>
        </is>
      </c>
      <c r="C2373" s="60" t="inlineStr">
        <is>
          <t>Aurora Printer Plus-723</t>
        </is>
      </c>
      <c r="D2373" s="58" t="inlineStr">
        <is>
          <t>Office</t>
        </is>
      </c>
      <c r="E2373" s="58" t="inlineStr">
        <is>
          <t>West</t>
        </is>
      </c>
      <c r="F2373" s="61" t="n">
        <v>3</v>
      </c>
      <c r="G2373" s="62" t="n">
        <v>271.49</v>
      </c>
      <c r="H2373" s="63" t="n">
        <v>0.136</v>
      </c>
      <c r="I2373" s="62" t="n">
        <v>187.07</v>
      </c>
      <c r="J2373" s="58" t="inlineStr">
        <is>
          <t>Online</t>
        </is>
      </c>
      <c r="K2373" s="62">
        <f>F2373*(G2373-H2373)</f>
        <v/>
      </c>
      <c r="L2373" s="62">
        <f>K2373-(F2373*I2373)</f>
        <v/>
      </c>
      <c r="M2373" s="64">
        <f>L2373/K2373</f>
        <v/>
      </c>
    </row>
    <row r="2374">
      <c r="A2374" s="58" t="inlineStr">
        <is>
          <t>RT20250302-02373</t>
        </is>
      </c>
      <c r="B2374" s="59" t="inlineStr">
        <is>
          <t>2025-03-02</t>
        </is>
      </c>
      <c r="C2374" s="60" t="inlineStr">
        <is>
          <t>Polar Men Pro-246</t>
        </is>
      </c>
      <c r="D2374" s="58" t="inlineStr">
        <is>
          <t>Apparel</t>
        </is>
      </c>
      <c r="E2374" s="58" t="inlineStr">
        <is>
          <t>East</t>
        </is>
      </c>
      <c r="F2374" s="61" t="n">
        <v>1</v>
      </c>
      <c r="G2374" s="62" t="n">
        <v>131.74</v>
      </c>
      <c r="H2374" s="63" t="n">
        <v>0.151</v>
      </c>
      <c r="I2374" s="62" t="n">
        <v>79.08</v>
      </c>
      <c r="J2374" s="58" t="inlineStr">
        <is>
          <t>Online</t>
        </is>
      </c>
      <c r="K2374" s="62">
        <f>F2374*(G2374-H2374)</f>
        <v/>
      </c>
      <c r="L2374" s="62">
        <f>K2374-(F2374*I2374)</f>
        <v/>
      </c>
      <c r="M2374" s="64">
        <f>L2374/K2374</f>
        <v/>
      </c>
    </row>
    <row r="2375">
      <c r="A2375" s="58" t="inlineStr">
        <is>
          <t>RT20250302-02374</t>
        </is>
      </c>
      <c r="B2375" s="59" t="inlineStr">
        <is>
          <t>2025-03-02</t>
        </is>
      </c>
      <c r="C2375" s="60" t="inlineStr">
        <is>
          <t>Falcon Headphone Plus-789</t>
        </is>
      </c>
      <c r="D2375" s="58" t="inlineStr">
        <is>
          <t>Electronics</t>
        </is>
      </c>
      <c r="E2375" s="58" t="inlineStr">
        <is>
          <t>South</t>
        </is>
      </c>
      <c r="F2375" s="61" t="n">
        <v>1</v>
      </c>
      <c r="G2375" s="62" t="n">
        <v>1526.89</v>
      </c>
      <c r="H2375" s="63" t="n">
        <v>0.095</v>
      </c>
      <c r="I2375" s="62" t="n">
        <v>1324.97</v>
      </c>
      <c r="J2375" s="58" t="inlineStr">
        <is>
          <t>Online</t>
        </is>
      </c>
      <c r="K2375" s="62">
        <f>F2375*(G2375-H2375)</f>
        <v/>
      </c>
      <c r="L2375" s="62">
        <f>K2375-(F2375*I2375)</f>
        <v/>
      </c>
      <c r="M2375" s="64">
        <f>L2375/K2375</f>
        <v/>
      </c>
    </row>
    <row r="2376">
      <c r="A2376" s="58" t="inlineStr">
        <is>
          <t>RT20250302-02375</t>
        </is>
      </c>
      <c r="B2376" s="59" t="inlineStr">
        <is>
          <t>2025-03-02</t>
        </is>
      </c>
      <c r="C2376" s="60" t="inlineStr">
        <is>
          <t>Aurora Wearable Lite-704</t>
        </is>
      </c>
      <c r="D2376" s="58" t="inlineStr">
        <is>
          <t>Electronics</t>
        </is>
      </c>
      <c r="E2376" s="58" t="inlineStr">
        <is>
          <t>West</t>
        </is>
      </c>
      <c r="F2376" s="61" t="n">
        <v>1</v>
      </c>
      <c r="G2376" s="62" t="n">
        <v>1816.56</v>
      </c>
      <c r="H2376" s="63" t="n">
        <v>0.118</v>
      </c>
      <c r="I2376" s="62" t="n">
        <v>1419.52</v>
      </c>
      <c r="J2376" s="58" t="inlineStr">
        <is>
          <t>Online</t>
        </is>
      </c>
      <c r="K2376" s="62">
        <f>F2376*(G2376-H2376)</f>
        <v/>
      </c>
      <c r="L2376" s="62">
        <f>K2376-(F2376*I2376)</f>
        <v/>
      </c>
      <c r="M2376" s="64">
        <f>L2376/K2376</f>
        <v/>
      </c>
    </row>
    <row r="2377">
      <c r="A2377" s="58" t="inlineStr">
        <is>
          <t>RT20250302-02376</t>
        </is>
      </c>
      <c r="B2377" s="59" t="inlineStr">
        <is>
          <t>2025-03-02</t>
        </is>
      </c>
      <c r="C2377" s="60" t="inlineStr">
        <is>
          <t>Nimbus Women Plus-352</t>
        </is>
      </c>
      <c r="D2377" s="58" t="inlineStr">
        <is>
          <t>Apparel</t>
        </is>
      </c>
      <c r="E2377" s="58" t="inlineStr">
        <is>
          <t>North</t>
        </is>
      </c>
      <c r="F2377" s="61" t="n">
        <v>1</v>
      </c>
      <c r="G2377" s="62" t="n">
        <v>56.6</v>
      </c>
      <c r="H2377" s="63" t="n">
        <v>0.052</v>
      </c>
      <c r="I2377" s="62" t="n">
        <v>33.58</v>
      </c>
      <c r="J2377" s="58" t="inlineStr">
        <is>
          <t>Store</t>
        </is>
      </c>
      <c r="K2377" s="62">
        <f>F2377*(G2377-H2377)</f>
        <v/>
      </c>
      <c r="L2377" s="62">
        <f>K2377-(F2377*I2377)</f>
        <v/>
      </c>
      <c r="M2377" s="64">
        <f>L2377/K2377</f>
        <v/>
      </c>
    </row>
    <row r="2378">
      <c r="A2378" s="58" t="inlineStr">
        <is>
          <t>RT20250302-02377</t>
        </is>
      </c>
      <c r="B2378" s="59" t="inlineStr">
        <is>
          <t>2025-03-02</t>
        </is>
      </c>
      <c r="C2378" s="60" t="inlineStr">
        <is>
          <t>Metro Decor Lite-325</t>
        </is>
      </c>
      <c r="D2378" s="58" t="inlineStr">
        <is>
          <t>Home</t>
        </is>
      </c>
      <c r="E2378" s="58" t="inlineStr">
        <is>
          <t>South</t>
        </is>
      </c>
      <c r="F2378" s="61" t="n">
        <v>2</v>
      </c>
      <c r="G2378" s="62" t="n">
        <v>561.22</v>
      </c>
      <c r="H2378" s="63" t="n">
        <v>0.079</v>
      </c>
      <c r="I2378" s="62" t="n">
        <v>380.64</v>
      </c>
      <c r="J2378" s="58" t="inlineStr">
        <is>
          <t>Online</t>
        </is>
      </c>
      <c r="K2378" s="62">
        <f>F2378*(G2378-H2378)</f>
        <v/>
      </c>
      <c r="L2378" s="62">
        <f>K2378-(F2378*I2378)</f>
        <v/>
      </c>
      <c r="M2378" s="64">
        <f>L2378/K2378</f>
        <v/>
      </c>
    </row>
    <row r="2379">
      <c r="A2379" s="58" t="inlineStr">
        <is>
          <t>RT20250302-02378</t>
        </is>
      </c>
      <c r="B2379" s="59" t="inlineStr">
        <is>
          <t>2025-03-02</t>
        </is>
      </c>
      <c r="C2379" s="60" t="inlineStr">
        <is>
          <t>Nimbus Decor Lite-385</t>
        </is>
      </c>
      <c r="D2379" s="58" t="inlineStr">
        <is>
          <t>Home</t>
        </is>
      </c>
      <c r="E2379" s="58" t="inlineStr">
        <is>
          <t>East</t>
        </is>
      </c>
      <c r="F2379" s="61" t="n">
        <v>1</v>
      </c>
      <c r="G2379" s="62" t="n">
        <v>577.76</v>
      </c>
      <c r="H2379" s="63" t="n">
        <v>0.106</v>
      </c>
      <c r="I2379" s="62" t="n">
        <v>392.52</v>
      </c>
      <c r="J2379" s="58" t="inlineStr">
        <is>
          <t>Online</t>
        </is>
      </c>
      <c r="K2379" s="62">
        <f>F2379*(G2379-H2379)</f>
        <v/>
      </c>
      <c r="L2379" s="62">
        <f>K2379-(F2379*I2379)</f>
        <v/>
      </c>
      <c r="M2379" s="64">
        <f>L2379/K2379</f>
        <v/>
      </c>
    </row>
    <row r="2380">
      <c r="A2380" s="58" t="inlineStr">
        <is>
          <t>RT20250302-02379</t>
        </is>
      </c>
      <c r="B2380" s="59" t="inlineStr">
        <is>
          <t>2025-03-02</t>
        </is>
      </c>
      <c r="C2380" s="60" t="inlineStr">
        <is>
          <t>Polar Supplie Lite-348</t>
        </is>
      </c>
      <c r="D2380" s="58" t="inlineStr">
        <is>
          <t>Office</t>
        </is>
      </c>
      <c r="E2380" s="58" t="inlineStr">
        <is>
          <t>Central</t>
        </is>
      </c>
      <c r="F2380" s="61" t="n">
        <v>2</v>
      </c>
      <c r="G2380" s="62" t="n">
        <v>430.75</v>
      </c>
      <c r="H2380" s="63" t="n">
        <v>0.146</v>
      </c>
      <c r="I2380" s="62" t="n">
        <v>313.75</v>
      </c>
      <c r="J2380" s="58" t="inlineStr">
        <is>
          <t>Online</t>
        </is>
      </c>
      <c r="K2380" s="62">
        <f>F2380*(G2380-H2380)</f>
        <v/>
      </c>
      <c r="L2380" s="62">
        <f>K2380-(F2380*I2380)</f>
        <v/>
      </c>
      <c r="M2380" s="64">
        <f>L2380/K2380</f>
        <v/>
      </c>
    </row>
    <row r="2381">
      <c r="A2381" s="58" t="inlineStr">
        <is>
          <t>RT20250302-02380</t>
        </is>
      </c>
      <c r="B2381" s="59" t="inlineStr">
        <is>
          <t>2025-03-02</t>
        </is>
      </c>
      <c r="C2381" s="60" t="inlineStr">
        <is>
          <t>Metro Printer X-294</t>
        </is>
      </c>
      <c r="D2381" s="58" t="inlineStr">
        <is>
          <t>Office</t>
        </is>
      </c>
      <c r="E2381" s="58" t="inlineStr">
        <is>
          <t>South</t>
        </is>
      </c>
      <c r="F2381" s="61" t="n">
        <v>2</v>
      </c>
      <c r="G2381" s="62" t="n">
        <v>571.58</v>
      </c>
      <c r="H2381" s="63" t="n">
        <v>0.095</v>
      </c>
      <c r="I2381" s="62" t="n">
        <v>420.93</v>
      </c>
      <c r="J2381" s="58" t="inlineStr">
        <is>
          <t>Store</t>
        </is>
      </c>
      <c r="K2381" s="62">
        <f>F2381*(G2381-H2381)</f>
        <v/>
      </c>
      <c r="L2381" s="62">
        <f>K2381-(F2381*I2381)</f>
        <v/>
      </c>
      <c r="M2381" s="64">
        <f>L2381/K2381</f>
        <v/>
      </c>
    </row>
    <row r="2382">
      <c r="A2382" s="58" t="inlineStr">
        <is>
          <t>RT20250302-02381</t>
        </is>
      </c>
      <c r="B2382" s="59" t="inlineStr">
        <is>
          <t>2025-03-02</t>
        </is>
      </c>
      <c r="C2382" s="60" t="inlineStr">
        <is>
          <t>Falcon Cycling Pro-499</t>
        </is>
      </c>
      <c r="D2382" s="58" t="inlineStr">
        <is>
          <t>Sports</t>
        </is>
      </c>
      <c r="E2382" s="58" t="inlineStr">
        <is>
          <t>Central</t>
        </is>
      </c>
      <c r="F2382" s="61" t="n">
        <v>2</v>
      </c>
      <c r="G2382" s="62" t="n">
        <v>546.4</v>
      </c>
      <c r="H2382" s="63" t="n">
        <v>0.099</v>
      </c>
      <c r="I2382" s="62" t="n">
        <v>415.77</v>
      </c>
      <c r="J2382" s="58" t="inlineStr">
        <is>
          <t>Store</t>
        </is>
      </c>
      <c r="K2382" s="62">
        <f>F2382*(G2382-H2382)</f>
        <v/>
      </c>
      <c r="L2382" s="62">
        <f>K2382-(F2382*I2382)</f>
        <v/>
      </c>
      <c r="M2382" s="64">
        <f>L2382/K2382</f>
        <v/>
      </c>
    </row>
    <row r="2383">
      <c r="A2383" s="58" t="inlineStr">
        <is>
          <t>RT20250302-02382</t>
        </is>
      </c>
      <c r="B2383" s="59" t="inlineStr">
        <is>
          <t>2025-03-02</t>
        </is>
      </c>
      <c r="C2383" s="60" t="inlineStr">
        <is>
          <t>Falcon Household Plus-172</t>
        </is>
      </c>
      <c r="D2383" s="58" t="inlineStr">
        <is>
          <t>Grocery</t>
        </is>
      </c>
      <c r="E2383" s="58" t="inlineStr">
        <is>
          <t>East</t>
        </is>
      </c>
      <c r="F2383" s="61" t="n">
        <v>2</v>
      </c>
      <c r="G2383" s="62" t="n">
        <v>22.48</v>
      </c>
      <c r="H2383" s="63" t="n">
        <v>0.135</v>
      </c>
      <c r="I2383" s="62" t="n">
        <v>15.95</v>
      </c>
      <c r="J2383" s="58" t="inlineStr">
        <is>
          <t>Store</t>
        </is>
      </c>
      <c r="K2383" s="62">
        <f>F2383*(G2383-H2383)</f>
        <v/>
      </c>
      <c r="L2383" s="62">
        <f>K2383-(F2383*I2383)</f>
        <v/>
      </c>
      <c r="M2383" s="64">
        <f>L2383/K2383</f>
        <v/>
      </c>
    </row>
    <row r="2384">
      <c r="A2384" s="58" t="inlineStr">
        <is>
          <t>RT20250302-02383</t>
        </is>
      </c>
      <c r="B2384" s="59" t="inlineStr">
        <is>
          <t>2025-03-02</t>
        </is>
      </c>
      <c r="C2384" s="60" t="inlineStr">
        <is>
          <t>Metro Wearable Plus-234</t>
        </is>
      </c>
      <c r="D2384" s="58" t="inlineStr">
        <is>
          <t>Electronics</t>
        </is>
      </c>
      <c r="E2384" s="58" t="inlineStr">
        <is>
          <t>South</t>
        </is>
      </c>
      <c r="F2384" s="61" t="n">
        <v>1</v>
      </c>
      <c r="G2384" s="62" t="n">
        <v>1707.93</v>
      </c>
      <c r="H2384" s="63" t="n">
        <v>0.123</v>
      </c>
      <c r="I2384" s="62" t="n">
        <v>1188.38</v>
      </c>
      <c r="J2384" s="58" t="inlineStr">
        <is>
          <t>Store</t>
        </is>
      </c>
      <c r="K2384" s="62">
        <f>F2384*(G2384-H2384)</f>
        <v/>
      </c>
      <c r="L2384" s="62">
        <f>K2384-(F2384*I2384)</f>
        <v/>
      </c>
      <c r="M2384" s="64">
        <f>L2384/K2384</f>
        <v/>
      </c>
    </row>
    <row r="2385">
      <c r="A2385" s="58" t="inlineStr">
        <is>
          <t>RT20250302-02384</t>
        </is>
      </c>
      <c r="B2385" s="59" t="inlineStr">
        <is>
          <t>2025-03-02</t>
        </is>
      </c>
      <c r="C2385" s="60" t="inlineStr">
        <is>
          <t>Aurora Furniture X-709</t>
        </is>
      </c>
      <c r="D2385" s="58" t="inlineStr">
        <is>
          <t>Office</t>
        </is>
      </c>
      <c r="E2385" s="58" t="inlineStr">
        <is>
          <t>Central</t>
        </is>
      </c>
      <c r="F2385" s="61" t="n">
        <v>1</v>
      </c>
      <c r="G2385" s="62" t="n">
        <v>456.53</v>
      </c>
      <c r="H2385" s="63" t="n">
        <v>0.098</v>
      </c>
      <c r="I2385" s="62" t="n">
        <v>301.4</v>
      </c>
      <c r="J2385" s="58" t="inlineStr">
        <is>
          <t>Online</t>
        </is>
      </c>
      <c r="K2385" s="62">
        <f>F2385*(G2385-H2385)</f>
        <v/>
      </c>
      <c r="L2385" s="62">
        <f>K2385-(F2385*I2385)</f>
        <v/>
      </c>
      <c r="M2385" s="64">
        <f>L2385/K2385</f>
        <v/>
      </c>
    </row>
    <row r="2386">
      <c r="A2386" s="58" t="inlineStr">
        <is>
          <t>RT20250302-02385</t>
        </is>
      </c>
      <c r="B2386" s="59" t="inlineStr">
        <is>
          <t>2025-03-02</t>
        </is>
      </c>
      <c r="C2386" s="60" t="inlineStr">
        <is>
          <t>Aurora Printer Plus-723</t>
        </is>
      </c>
      <c r="D2386" s="58" t="inlineStr">
        <is>
          <t>Office</t>
        </is>
      </c>
      <c r="E2386" s="58" t="inlineStr">
        <is>
          <t>North</t>
        </is>
      </c>
      <c r="F2386" s="61" t="n">
        <v>3</v>
      </c>
      <c r="G2386" s="62" t="n">
        <v>267.65</v>
      </c>
      <c r="H2386" s="63" t="n">
        <v>0.062</v>
      </c>
      <c r="I2386" s="62" t="n">
        <v>187.23</v>
      </c>
      <c r="J2386" s="58" t="inlineStr">
        <is>
          <t>Online</t>
        </is>
      </c>
      <c r="K2386" s="62">
        <f>F2386*(G2386-H2386)</f>
        <v/>
      </c>
      <c r="L2386" s="62">
        <f>K2386-(F2386*I2386)</f>
        <v/>
      </c>
      <c r="M2386" s="64">
        <f>L2386/K2386</f>
        <v/>
      </c>
    </row>
    <row r="2387">
      <c r="A2387" s="58" t="inlineStr">
        <is>
          <t>RT20250302-02386</t>
        </is>
      </c>
      <c r="B2387" s="59" t="inlineStr">
        <is>
          <t>2025-03-02</t>
        </is>
      </c>
      <c r="C2387" s="60" t="inlineStr">
        <is>
          <t>Falcon Bedding S-674</t>
        </is>
      </c>
      <c r="D2387" s="58" t="inlineStr">
        <is>
          <t>Home</t>
        </is>
      </c>
      <c r="E2387" s="58" t="inlineStr">
        <is>
          <t>North</t>
        </is>
      </c>
      <c r="F2387" s="61" t="n">
        <v>1</v>
      </c>
      <c r="G2387" s="62" t="n">
        <v>669.73</v>
      </c>
      <c r="H2387" s="63" t="n">
        <v>0.07199999999999999</v>
      </c>
      <c r="I2387" s="62" t="n">
        <v>454.83</v>
      </c>
      <c r="J2387" s="58" t="inlineStr">
        <is>
          <t>Online</t>
        </is>
      </c>
      <c r="K2387" s="62">
        <f>F2387*(G2387-H2387)</f>
        <v/>
      </c>
      <c r="L2387" s="62">
        <f>K2387-(F2387*I2387)</f>
        <v/>
      </c>
      <c r="M2387" s="64">
        <f>L2387/K2387</f>
        <v/>
      </c>
    </row>
    <row r="2388">
      <c r="A2388" s="58" t="inlineStr">
        <is>
          <t>RT20250302-02387</t>
        </is>
      </c>
      <c r="B2388" s="59" t="inlineStr">
        <is>
          <t>2025-03-02</t>
        </is>
      </c>
      <c r="C2388" s="60" t="inlineStr">
        <is>
          <t>Polar Fragrance Pro-750</t>
        </is>
      </c>
      <c r="D2388" s="58" t="inlineStr">
        <is>
          <t>Beauty</t>
        </is>
      </c>
      <c r="E2388" s="58" t="inlineStr">
        <is>
          <t>East</t>
        </is>
      </c>
      <c r="F2388" s="61" t="n">
        <v>1</v>
      </c>
      <c r="G2388" s="62" t="n">
        <v>60.68</v>
      </c>
      <c r="H2388" s="63" t="n">
        <v>0.082</v>
      </c>
      <c r="I2388" s="62" t="n">
        <v>36.49</v>
      </c>
      <c r="J2388" s="58" t="inlineStr">
        <is>
          <t>Store</t>
        </is>
      </c>
      <c r="K2388" s="62">
        <f>F2388*(G2388-H2388)</f>
        <v/>
      </c>
      <c r="L2388" s="62">
        <f>K2388-(F2388*I2388)</f>
        <v/>
      </c>
      <c r="M2388" s="64">
        <f>L2388/K2388</f>
        <v/>
      </c>
    </row>
    <row r="2389">
      <c r="A2389" s="58" t="inlineStr">
        <is>
          <t>RT20250302-02388</t>
        </is>
      </c>
      <c r="B2389" s="59" t="inlineStr">
        <is>
          <t>2025-03-02</t>
        </is>
      </c>
      <c r="C2389" s="60" t="inlineStr">
        <is>
          <t>Vertex Pantry Pro-165</t>
        </is>
      </c>
      <c r="D2389" s="58" t="inlineStr">
        <is>
          <t>Grocery</t>
        </is>
      </c>
      <c r="E2389" s="58" t="inlineStr">
        <is>
          <t>Central</t>
        </is>
      </c>
      <c r="F2389" s="61" t="n">
        <v>3</v>
      </c>
      <c r="G2389" s="62" t="n">
        <v>16.46</v>
      </c>
      <c r="H2389" s="63" t="n">
        <v>0.052</v>
      </c>
      <c r="I2389" s="62" t="n">
        <v>11.88</v>
      </c>
      <c r="J2389" s="58" t="inlineStr">
        <is>
          <t>Store</t>
        </is>
      </c>
      <c r="K2389" s="62">
        <f>F2389*(G2389-H2389)</f>
        <v/>
      </c>
      <c r="L2389" s="62">
        <f>K2389-(F2389*I2389)</f>
        <v/>
      </c>
      <c r="M2389" s="64">
        <f>L2389/K2389</f>
        <v/>
      </c>
    </row>
    <row r="2390">
      <c r="A2390" s="58" t="inlineStr">
        <is>
          <t>RT20250302-02389</t>
        </is>
      </c>
      <c r="B2390" s="59" t="inlineStr">
        <is>
          <t>2025-03-02</t>
        </is>
      </c>
      <c r="C2390" s="60" t="inlineStr">
        <is>
          <t>Solace Smartphone Lite-533</t>
        </is>
      </c>
      <c r="D2390" s="58" t="inlineStr">
        <is>
          <t>Electronics</t>
        </is>
      </c>
      <c r="E2390" s="58" t="inlineStr">
        <is>
          <t>East</t>
        </is>
      </c>
      <c r="F2390" s="61" t="n">
        <v>2</v>
      </c>
      <c r="G2390" s="62" t="n">
        <v>1226.92</v>
      </c>
      <c r="H2390" s="63" t="n">
        <v>0.089</v>
      </c>
      <c r="I2390" s="62" t="n">
        <v>919.04</v>
      </c>
      <c r="J2390" s="58" t="inlineStr">
        <is>
          <t>Online</t>
        </is>
      </c>
      <c r="K2390" s="62">
        <f>F2390*(G2390-H2390)</f>
        <v/>
      </c>
      <c r="L2390" s="62">
        <f>K2390-(F2390*I2390)</f>
        <v/>
      </c>
      <c r="M2390" s="64">
        <f>L2390/K2390</f>
        <v/>
      </c>
    </row>
    <row r="2391">
      <c r="A2391" s="58" t="inlineStr">
        <is>
          <t>RT20250302-02390</t>
        </is>
      </c>
      <c r="B2391" s="59" t="inlineStr">
        <is>
          <t>2025-03-02</t>
        </is>
      </c>
      <c r="C2391" s="60" t="inlineStr">
        <is>
          <t>Vertex Smartphone Lite-267</t>
        </is>
      </c>
      <c r="D2391" s="58" t="inlineStr">
        <is>
          <t>Electronics</t>
        </is>
      </c>
      <c r="E2391" s="58" t="inlineStr">
        <is>
          <t>East</t>
        </is>
      </c>
      <c r="F2391" s="61" t="n">
        <v>1</v>
      </c>
      <c r="G2391" s="62" t="n">
        <v>1082.36</v>
      </c>
      <c r="H2391" s="63" t="n">
        <v>0.148</v>
      </c>
      <c r="I2391" s="62" t="n">
        <v>895.3099999999999</v>
      </c>
      <c r="J2391" s="58" t="inlineStr">
        <is>
          <t>Online</t>
        </is>
      </c>
      <c r="K2391" s="62">
        <f>F2391*(G2391-H2391)</f>
        <v/>
      </c>
      <c r="L2391" s="62">
        <f>K2391-(F2391*I2391)</f>
        <v/>
      </c>
      <c r="M2391" s="64">
        <f>L2391/K2391</f>
        <v/>
      </c>
    </row>
    <row r="2392">
      <c r="A2392" s="58" t="inlineStr">
        <is>
          <t>RT20250302-02391</t>
        </is>
      </c>
      <c r="B2392" s="59" t="inlineStr">
        <is>
          <t>2025-03-02</t>
        </is>
      </c>
      <c r="C2392" s="60" t="inlineStr">
        <is>
          <t>Vertex Smartphone Lite-267</t>
        </is>
      </c>
      <c r="D2392" s="58" t="inlineStr">
        <is>
          <t>Electronics</t>
        </is>
      </c>
      <c r="E2392" s="58" t="inlineStr">
        <is>
          <t>Central</t>
        </is>
      </c>
      <c r="F2392" s="61" t="n">
        <v>1</v>
      </c>
      <c r="G2392" s="62" t="n">
        <v>1372.58</v>
      </c>
      <c r="H2392" s="63" t="n">
        <v>0.042</v>
      </c>
      <c r="I2392" s="62" t="n">
        <v>959.61</v>
      </c>
      <c r="J2392" s="58" t="inlineStr">
        <is>
          <t>Online</t>
        </is>
      </c>
      <c r="K2392" s="62">
        <f>F2392*(G2392-H2392)</f>
        <v/>
      </c>
      <c r="L2392" s="62">
        <f>K2392-(F2392*I2392)</f>
        <v/>
      </c>
      <c r="M2392" s="64">
        <f>L2392/K2392</f>
        <v/>
      </c>
    </row>
    <row r="2393">
      <c r="A2393" s="58" t="inlineStr">
        <is>
          <t>RT20250302-02392</t>
        </is>
      </c>
      <c r="B2393" s="59" t="inlineStr">
        <is>
          <t>2025-03-02</t>
        </is>
      </c>
      <c r="C2393" s="60" t="inlineStr">
        <is>
          <t>Aurora Furniture X-709</t>
        </is>
      </c>
      <c r="D2393" s="58" t="inlineStr">
        <is>
          <t>Office</t>
        </is>
      </c>
      <c r="E2393" s="58" t="inlineStr">
        <is>
          <t>Central</t>
        </is>
      </c>
      <c r="F2393" s="61" t="n">
        <v>2</v>
      </c>
      <c r="G2393" s="62" t="n">
        <v>406.3</v>
      </c>
      <c r="H2393" s="63" t="n">
        <v>0.103</v>
      </c>
      <c r="I2393" s="62" t="n">
        <v>300.5</v>
      </c>
      <c r="J2393" s="58" t="inlineStr">
        <is>
          <t>Online</t>
        </is>
      </c>
      <c r="K2393" s="62">
        <f>F2393*(G2393-H2393)</f>
        <v/>
      </c>
      <c r="L2393" s="62">
        <f>K2393-(F2393*I2393)</f>
        <v/>
      </c>
      <c r="M2393" s="64">
        <f>L2393/K2393</f>
        <v/>
      </c>
    </row>
    <row r="2394">
      <c r="A2394" s="58" t="inlineStr">
        <is>
          <t>RT20250302-02393</t>
        </is>
      </c>
      <c r="B2394" s="59" t="inlineStr">
        <is>
          <t>2025-03-02</t>
        </is>
      </c>
      <c r="C2394" s="60" t="inlineStr">
        <is>
          <t>Aurora Bedding Plus-187</t>
        </is>
      </c>
      <c r="D2394" s="58" t="inlineStr">
        <is>
          <t>Home</t>
        </is>
      </c>
      <c r="E2394" s="58" t="inlineStr">
        <is>
          <t>South</t>
        </is>
      </c>
      <c r="F2394" s="61" t="n">
        <v>2</v>
      </c>
      <c r="G2394" s="62" t="n">
        <v>310.03</v>
      </c>
      <c r="H2394" s="63" t="n">
        <v>0.121</v>
      </c>
      <c r="I2394" s="62" t="n">
        <v>214.59</v>
      </c>
      <c r="J2394" s="58" t="inlineStr">
        <is>
          <t>Online</t>
        </is>
      </c>
      <c r="K2394" s="62">
        <f>F2394*(G2394-H2394)</f>
        <v/>
      </c>
      <c r="L2394" s="62">
        <f>K2394-(F2394*I2394)</f>
        <v/>
      </c>
      <c r="M2394" s="64">
        <f>L2394/K2394</f>
        <v/>
      </c>
    </row>
    <row r="2395">
      <c r="A2395" s="58" t="inlineStr">
        <is>
          <t>RT20250302-02394</t>
        </is>
      </c>
      <c r="B2395" s="59" t="inlineStr">
        <is>
          <t>2025-03-02</t>
        </is>
      </c>
      <c r="C2395" s="60" t="inlineStr">
        <is>
          <t>Polar Laptop Plus-984</t>
        </is>
      </c>
      <c r="D2395" s="58" t="inlineStr">
        <is>
          <t>Electronics</t>
        </is>
      </c>
      <c r="E2395" s="58" t="inlineStr">
        <is>
          <t>East</t>
        </is>
      </c>
      <c r="F2395" s="61" t="n">
        <v>1</v>
      </c>
      <c r="G2395" s="62" t="n">
        <v>1227.01</v>
      </c>
      <c r="H2395" s="63" t="n">
        <v>0.125</v>
      </c>
      <c r="I2395" s="62" t="n">
        <v>986.72</v>
      </c>
      <c r="J2395" s="58" t="inlineStr">
        <is>
          <t>Online</t>
        </is>
      </c>
      <c r="K2395" s="62">
        <f>F2395*(G2395-H2395)</f>
        <v/>
      </c>
      <c r="L2395" s="62">
        <f>K2395-(F2395*I2395)</f>
        <v/>
      </c>
      <c r="M2395" s="64">
        <f>L2395/K2395</f>
        <v/>
      </c>
    </row>
    <row r="2396">
      <c r="A2396" s="58" t="inlineStr">
        <is>
          <t>RT20250302-02395</t>
        </is>
      </c>
      <c r="B2396" s="59" t="inlineStr">
        <is>
          <t>2025-03-02</t>
        </is>
      </c>
      <c r="C2396" s="60" t="inlineStr">
        <is>
          <t>Solace Team Sport Max-548</t>
        </is>
      </c>
      <c r="D2396" s="58" t="inlineStr">
        <is>
          <t>Sports</t>
        </is>
      </c>
      <c r="E2396" s="58" t="inlineStr">
        <is>
          <t>West</t>
        </is>
      </c>
      <c r="F2396" s="61" t="n">
        <v>1</v>
      </c>
      <c r="G2396" s="62" t="n">
        <v>817.27</v>
      </c>
      <c r="H2396" s="63" t="n">
        <v>0.082</v>
      </c>
      <c r="I2396" s="62" t="n">
        <v>470.07</v>
      </c>
      <c r="J2396" s="58" t="inlineStr">
        <is>
          <t>Online</t>
        </is>
      </c>
      <c r="K2396" s="62">
        <f>F2396*(G2396-H2396)</f>
        <v/>
      </c>
      <c r="L2396" s="62">
        <f>K2396-(F2396*I2396)</f>
        <v/>
      </c>
      <c r="M2396" s="64">
        <f>L2396/K2396</f>
        <v/>
      </c>
    </row>
    <row r="2397">
      <c r="A2397" s="58" t="inlineStr">
        <is>
          <t>RT20250302-02396</t>
        </is>
      </c>
      <c r="B2397" s="59" t="inlineStr">
        <is>
          <t>2025-03-02</t>
        </is>
      </c>
      <c r="C2397" s="60" t="inlineStr">
        <is>
          <t>Falcon Beverage Max-702</t>
        </is>
      </c>
      <c r="D2397" s="58" t="inlineStr">
        <is>
          <t>Grocery</t>
        </is>
      </c>
      <c r="E2397" s="58" t="inlineStr">
        <is>
          <t>East</t>
        </is>
      </c>
      <c r="F2397" s="61" t="n">
        <v>8</v>
      </c>
      <c r="G2397" s="62" t="n">
        <v>29.27</v>
      </c>
      <c r="H2397" s="63" t="n">
        <v>0.105</v>
      </c>
      <c r="I2397" s="62" t="n">
        <v>20.15</v>
      </c>
      <c r="J2397" s="58" t="inlineStr">
        <is>
          <t>Online</t>
        </is>
      </c>
      <c r="K2397" s="62">
        <f>F2397*(G2397-H2397)</f>
        <v/>
      </c>
      <c r="L2397" s="62">
        <f>K2397-(F2397*I2397)</f>
        <v/>
      </c>
      <c r="M2397" s="64">
        <f>L2397/K2397</f>
        <v/>
      </c>
    </row>
    <row r="2398">
      <c r="A2398" s="58" t="inlineStr">
        <is>
          <t>RT20250302-02397</t>
        </is>
      </c>
      <c r="B2398" s="59" t="inlineStr">
        <is>
          <t>2025-03-02</t>
        </is>
      </c>
      <c r="C2398" s="60" t="inlineStr">
        <is>
          <t>Aurora Outdoor Pro-467</t>
        </is>
      </c>
      <c r="D2398" s="58" t="inlineStr">
        <is>
          <t>Sports</t>
        </is>
      </c>
      <c r="E2398" s="58" t="inlineStr">
        <is>
          <t>East</t>
        </is>
      </c>
      <c r="F2398" s="61" t="n">
        <v>2</v>
      </c>
      <c r="G2398" s="62" t="n">
        <v>246.68</v>
      </c>
      <c r="H2398" s="63" t="n">
        <v>0.176</v>
      </c>
      <c r="I2398" s="62" t="n">
        <v>194.53</v>
      </c>
      <c r="J2398" s="58" t="inlineStr">
        <is>
          <t>Online</t>
        </is>
      </c>
      <c r="K2398" s="62">
        <f>F2398*(G2398-H2398)</f>
        <v/>
      </c>
      <c r="L2398" s="62">
        <f>K2398-(F2398*I2398)</f>
        <v/>
      </c>
      <c r="M2398" s="64">
        <f>L2398/K2398</f>
        <v/>
      </c>
    </row>
    <row r="2399">
      <c r="A2399" s="58" t="inlineStr">
        <is>
          <t>RT20250302-02398</t>
        </is>
      </c>
      <c r="B2399" s="59" t="inlineStr">
        <is>
          <t>2025-03-02</t>
        </is>
      </c>
      <c r="C2399" s="60" t="inlineStr">
        <is>
          <t>Orion Kid Max-864</t>
        </is>
      </c>
      <c r="D2399" s="58" t="inlineStr">
        <is>
          <t>Apparel</t>
        </is>
      </c>
      <c r="E2399" s="58" t="inlineStr">
        <is>
          <t>Central</t>
        </is>
      </c>
      <c r="F2399" s="61" t="n">
        <v>4</v>
      </c>
      <c r="G2399" s="62" t="n">
        <v>72.44</v>
      </c>
      <c r="H2399" s="63" t="n">
        <v>0.07099999999999999</v>
      </c>
      <c r="I2399" s="62" t="n">
        <v>46.18</v>
      </c>
      <c r="J2399" s="58" t="inlineStr">
        <is>
          <t>Online</t>
        </is>
      </c>
      <c r="K2399" s="62">
        <f>F2399*(G2399-H2399)</f>
        <v/>
      </c>
      <c r="L2399" s="62">
        <f>K2399-(F2399*I2399)</f>
        <v/>
      </c>
      <c r="M2399" s="64">
        <f>L2399/K2399</f>
        <v/>
      </c>
    </row>
    <row r="2400">
      <c r="A2400" s="58" t="inlineStr">
        <is>
          <t>RT20250302-02399</t>
        </is>
      </c>
      <c r="B2400" s="59" t="inlineStr">
        <is>
          <t>2025-03-02</t>
        </is>
      </c>
      <c r="C2400" s="60" t="inlineStr">
        <is>
          <t>Aurora Kid Plus-151</t>
        </is>
      </c>
      <c r="D2400" s="58" t="inlineStr">
        <is>
          <t>Apparel</t>
        </is>
      </c>
      <c r="E2400" s="58" t="inlineStr">
        <is>
          <t>East</t>
        </is>
      </c>
      <c r="F2400" s="61" t="n">
        <v>1</v>
      </c>
      <c r="G2400" s="62" t="n">
        <v>99.72</v>
      </c>
      <c r="H2400" s="63" t="n">
        <v>0.066</v>
      </c>
      <c r="I2400" s="62" t="n">
        <v>63.67</v>
      </c>
      <c r="J2400" s="58" t="inlineStr">
        <is>
          <t>Online</t>
        </is>
      </c>
      <c r="K2400" s="62">
        <f>F2400*(G2400-H2400)</f>
        <v/>
      </c>
      <c r="L2400" s="62">
        <f>K2400-(F2400*I2400)</f>
        <v/>
      </c>
      <c r="M2400" s="64">
        <f>L2400/K2400</f>
        <v/>
      </c>
    </row>
    <row r="2401">
      <c r="A2401" s="58" t="inlineStr">
        <is>
          <t>RT20250302-02400</t>
        </is>
      </c>
      <c r="B2401" s="59" t="inlineStr">
        <is>
          <t>2025-03-02</t>
        </is>
      </c>
      <c r="C2401" s="60" t="inlineStr">
        <is>
          <t>Vertex Appliance Max-338</t>
        </is>
      </c>
      <c r="D2401" s="58" t="inlineStr">
        <is>
          <t>Home</t>
        </is>
      </c>
      <c r="E2401" s="58" t="inlineStr">
        <is>
          <t>West</t>
        </is>
      </c>
      <c r="F2401" s="61" t="n">
        <v>3</v>
      </c>
      <c r="G2401" s="62" t="n">
        <v>441.8</v>
      </c>
      <c r="H2401" s="63" t="n">
        <v>0.073</v>
      </c>
      <c r="I2401" s="62" t="n">
        <v>286.69</v>
      </c>
      <c r="J2401" s="58" t="inlineStr">
        <is>
          <t>Online</t>
        </is>
      </c>
      <c r="K2401" s="62">
        <f>F2401*(G2401-H2401)</f>
        <v/>
      </c>
      <c r="L2401" s="62">
        <f>K2401-(F2401*I2401)</f>
        <v/>
      </c>
      <c r="M2401" s="64">
        <f>L2401/K2401</f>
        <v/>
      </c>
    </row>
    <row r="2402">
      <c r="A2402" s="58" t="inlineStr">
        <is>
          <t>RT20250302-02401</t>
        </is>
      </c>
      <c r="B2402" s="59" t="inlineStr">
        <is>
          <t>2025-03-02</t>
        </is>
      </c>
      <c r="C2402" s="60" t="inlineStr">
        <is>
          <t>Solace Team Sport Max-548</t>
        </is>
      </c>
      <c r="D2402" s="58" t="inlineStr">
        <is>
          <t>Sports</t>
        </is>
      </c>
      <c r="E2402" s="58" t="inlineStr">
        <is>
          <t>North</t>
        </is>
      </c>
      <c r="F2402" s="61" t="n">
        <v>2</v>
      </c>
      <c r="G2402" s="62" t="n">
        <v>741.23</v>
      </c>
      <c r="H2402" s="63" t="n">
        <v>0.07099999999999999</v>
      </c>
      <c r="I2402" s="62" t="n">
        <v>481.94</v>
      </c>
      <c r="J2402" s="58" t="inlineStr">
        <is>
          <t>Online</t>
        </is>
      </c>
      <c r="K2402" s="62">
        <f>F2402*(G2402-H2402)</f>
        <v/>
      </c>
      <c r="L2402" s="62">
        <f>K2402-(F2402*I2402)</f>
        <v/>
      </c>
      <c r="M2402" s="64">
        <f>L2402/K2402</f>
        <v/>
      </c>
    </row>
    <row r="2403">
      <c r="A2403" s="58" t="inlineStr">
        <is>
          <t>RT20250302-02402</t>
        </is>
      </c>
      <c r="B2403" s="59" t="inlineStr">
        <is>
          <t>2025-03-02</t>
        </is>
      </c>
      <c r="C2403" s="60" t="inlineStr">
        <is>
          <t>Orion Team Sport X-926</t>
        </is>
      </c>
      <c r="D2403" s="58" t="inlineStr">
        <is>
          <t>Sports</t>
        </is>
      </c>
      <c r="E2403" s="58" t="inlineStr">
        <is>
          <t>East</t>
        </is>
      </c>
      <c r="F2403" s="61" t="n">
        <v>2</v>
      </c>
      <c r="G2403" s="62" t="n">
        <v>322.58</v>
      </c>
      <c r="H2403" s="63" t="n">
        <v>0.102</v>
      </c>
      <c r="I2403" s="62" t="n">
        <v>209.3</v>
      </c>
      <c r="J2403" s="58" t="inlineStr">
        <is>
          <t>Online</t>
        </is>
      </c>
      <c r="K2403" s="62">
        <f>F2403*(G2403-H2403)</f>
        <v/>
      </c>
      <c r="L2403" s="62">
        <f>K2403-(F2403*I2403)</f>
        <v/>
      </c>
      <c r="M2403" s="64">
        <f>L2403/K2403</f>
        <v/>
      </c>
    </row>
    <row r="2404">
      <c r="A2404" s="58" t="inlineStr">
        <is>
          <t>RT20250302-02403</t>
        </is>
      </c>
      <c r="B2404" s="59" t="inlineStr">
        <is>
          <t>2025-03-02</t>
        </is>
      </c>
      <c r="C2404" s="60" t="inlineStr">
        <is>
          <t>Polar Outdoor Lite-318</t>
        </is>
      </c>
      <c r="D2404" s="58" t="inlineStr">
        <is>
          <t>Sports</t>
        </is>
      </c>
      <c r="E2404" s="58" t="inlineStr">
        <is>
          <t>Central</t>
        </is>
      </c>
      <c r="F2404" s="61" t="n">
        <v>3</v>
      </c>
      <c r="G2404" s="62" t="n">
        <v>655.1799999999999</v>
      </c>
      <c r="H2404" s="63" t="n">
        <v>0.143</v>
      </c>
      <c r="I2404" s="62" t="n">
        <v>467.3</v>
      </c>
      <c r="J2404" s="58" t="inlineStr">
        <is>
          <t>Online</t>
        </is>
      </c>
      <c r="K2404" s="62">
        <f>F2404*(G2404-H2404)</f>
        <v/>
      </c>
      <c r="L2404" s="62">
        <f>K2404-(F2404*I2404)</f>
        <v/>
      </c>
      <c r="M2404" s="64">
        <f>L2404/K2404</f>
        <v/>
      </c>
    </row>
    <row r="2405">
      <c r="A2405" s="58" t="inlineStr">
        <is>
          <t>RT20250302-02404</t>
        </is>
      </c>
      <c r="B2405" s="59" t="inlineStr">
        <is>
          <t>2025-03-02</t>
        </is>
      </c>
      <c r="C2405" s="60" t="inlineStr">
        <is>
          <t>Falcon Furniture Plus-839</t>
        </is>
      </c>
      <c r="D2405" s="58" t="inlineStr">
        <is>
          <t>Office</t>
        </is>
      </c>
      <c r="E2405" s="58" t="inlineStr">
        <is>
          <t>West</t>
        </is>
      </c>
      <c r="F2405" s="61" t="n">
        <v>1</v>
      </c>
      <c r="G2405" s="62" t="n">
        <v>302.77</v>
      </c>
      <c r="H2405" s="63" t="n">
        <v>0.08</v>
      </c>
      <c r="I2405" s="62" t="n">
        <v>224.49</v>
      </c>
      <c r="J2405" s="58" t="inlineStr">
        <is>
          <t>Online</t>
        </is>
      </c>
      <c r="K2405" s="62">
        <f>F2405*(G2405-H2405)</f>
        <v/>
      </c>
      <c r="L2405" s="62">
        <f>K2405-(F2405*I2405)</f>
        <v/>
      </c>
      <c r="M2405" s="64">
        <f>L2405/K2405</f>
        <v/>
      </c>
    </row>
    <row r="2406">
      <c r="A2406" s="58" t="inlineStr">
        <is>
          <t>RT20250303-02405</t>
        </is>
      </c>
      <c r="B2406" s="59" t="inlineStr">
        <is>
          <t>2025-03-03</t>
        </is>
      </c>
      <c r="C2406" s="60" t="inlineStr">
        <is>
          <t>Nimbus Women Lite-814</t>
        </is>
      </c>
      <c r="D2406" s="58" t="inlineStr">
        <is>
          <t>Apparel</t>
        </is>
      </c>
      <c r="E2406" s="58" t="inlineStr">
        <is>
          <t>Central</t>
        </is>
      </c>
      <c r="F2406" s="61" t="n">
        <v>1</v>
      </c>
      <c r="G2406" s="62" t="n">
        <v>138.79</v>
      </c>
      <c r="H2406" s="63" t="n">
        <v>0.102</v>
      </c>
      <c r="I2406" s="62" t="n">
        <v>83.78</v>
      </c>
      <c r="J2406" s="58" t="inlineStr">
        <is>
          <t>Online</t>
        </is>
      </c>
      <c r="K2406" s="62">
        <f>F2406*(G2406-H2406)</f>
        <v/>
      </c>
      <c r="L2406" s="62">
        <f>K2406-(F2406*I2406)</f>
        <v/>
      </c>
      <c r="M2406" s="64">
        <f>L2406/K2406</f>
        <v/>
      </c>
    </row>
    <row r="2407">
      <c r="A2407" s="58" t="inlineStr">
        <is>
          <t>RT20250303-02406</t>
        </is>
      </c>
      <c r="B2407" s="59" t="inlineStr">
        <is>
          <t>2025-03-03</t>
        </is>
      </c>
      <c r="C2407" s="60" t="inlineStr">
        <is>
          <t>Falcon Haircare Pro-980</t>
        </is>
      </c>
      <c r="D2407" s="58" t="inlineStr">
        <is>
          <t>Beauty</t>
        </is>
      </c>
      <c r="E2407" s="58" t="inlineStr">
        <is>
          <t>East</t>
        </is>
      </c>
      <c r="F2407" s="61" t="n">
        <v>5</v>
      </c>
      <c r="G2407" s="62" t="n">
        <v>95.98999999999999</v>
      </c>
      <c r="H2407" s="63" t="n">
        <v>0.09</v>
      </c>
      <c r="I2407" s="62" t="n">
        <v>56.26</v>
      </c>
      <c r="J2407" s="58" t="inlineStr">
        <is>
          <t>Online</t>
        </is>
      </c>
      <c r="K2407" s="62">
        <f>F2407*(G2407-H2407)</f>
        <v/>
      </c>
      <c r="L2407" s="62">
        <f>K2407-(F2407*I2407)</f>
        <v/>
      </c>
      <c r="M2407" s="64">
        <f>L2407/K2407</f>
        <v/>
      </c>
    </row>
    <row r="2408">
      <c r="A2408" s="58" t="inlineStr">
        <is>
          <t>RT20250303-02407</t>
        </is>
      </c>
      <c r="B2408" s="59" t="inlineStr">
        <is>
          <t>2025-03-03</t>
        </is>
      </c>
      <c r="C2408" s="60" t="inlineStr">
        <is>
          <t>Polar Decor Plus-505</t>
        </is>
      </c>
      <c r="D2408" s="58" t="inlineStr">
        <is>
          <t>Home</t>
        </is>
      </c>
      <c r="E2408" s="58" t="inlineStr">
        <is>
          <t>East</t>
        </is>
      </c>
      <c r="F2408" s="61" t="n">
        <v>3</v>
      </c>
      <c r="G2408" s="62" t="n">
        <v>323.89</v>
      </c>
      <c r="H2408" s="63" t="n">
        <v>0.105</v>
      </c>
      <c r="I2408" s="62" t="n">
        <v>194.79</v>
      </c>
      <c r="J2408" s="58" t="inlineStr">
        <is>
          <t>Store</t>
        </is>
      </c>
      <c r="K2408" s="62">
        <f>F2408*(G2408-H2408)</f>
        <v/>
      </c>
      <c r="L2408" s="62">
        <f>K2408-(F2408*I2408)</f>
        <v/>
      </c>
      <c r="M2408" s="64">
        <f>L2408/K2408</f>
        <v/>
      </c>
    </row>
    <row r="2409">
      <c r="A2409" s="58" t="inlineStr">
        <is>
          <t>RT20250303-02408</t>
        </is>
      </c>
      <c r="B2409" s="59" t="inlineStr">
        <is>
          <t>2025-03-03</t>
        </is>
      </c>
      <c r="C2409" s="60" t="inlineStr">
        <is>
          <t>Solace Kitchen Pro-510</t>
        </is>
      </c>
      <c r="D2409" s="58" t="inlineStr">
        <is>
          <t>Home</t>
        </is>
      </c>
      <c r="E2409" s="58" t="inlineStr">
        <is>
          <t>Central</t>
        </is>
      </c>
      <c r="F2409" s="61" t="n">
        <v>2</v>
      </c>
      <c r="G2409" s="62" t="n">
        <v>422.67</v>
      </c>
      <c r="H2409" s="63" t="n">
        <v>0.063</v>
      </c>
      <c r="I2409" s="62" t="n">
        <v>316.83</v>
      </c>
      <c r="J2409" s="58" t="inlineStr">
        <is>
          <t>Store</t>
        </is>
      </c>
      <c r="K2409" s="62">
        <f>F2409*(G2409-H2409)</f>
        <v/>
      </c>
      <c r="L2409" s="62">
        <f>K2409-(F2409*I2409)</f>
        <v/>
      </c>
      <c r="M2409" s="64">
        <f>L2409/K2409</f>
        <v/>
      </c>
    </row>
    <row r="2410">
      <c r="A2410" s="58" t="inlineStr">
        <is>
          <t>RT20250303-02409</t>
        </is>
      </c>
      <c r="B2410" s="59" t="inlineStr">
        <is>
          <t>2025-03-03</t>
        </is>
      </c>
      <c r="C2410" s="60" t="inlineStr">
        <is>
          <t>Orion Laptop S-350</t>
        </is>
      </c>
      <c r="D2410" s="58" t="inlineStr">
        <is>
          <t>Electronics</t>
        </is>
      </c>
      <c r="E2410" s="58" t="inlineStr">
        <is>
          <t>Central</t>
        </is>
      </c>
      <c r="F2410" s="61" t="n">
        <v>2</v>
      </c>
      <c r="G2410" s="62" t="n">
        <v>1377.82</v>
      </c>
      <c r="H2410" s="63" t="n">
        <v>0.131</v>
      </c>
      <c r="I2410" s="62" t="n">
        <v>1065.6</v>
      </c>
      <c r="J2410" s="58" t="inlineStr">
        <is>
          <t>Store</t>
        </is>
      </c>
      <c r="K2410" s="62">
        <f>F2410*(G2410-H2410)</f>
        <v/>
      </c>
      <c r="L2410" s="62">
        <f>K2410-(F2410*I2410)</f>
        <v/>
      </c>
      <c r="M2410" s="64">
        <f>L2410/K2410</f>
        <v/>
      </c>
    </row>
    <row r="2411">
      <c r="A2411" s="58" t="inlineStr">
        <is>
          <t>RT20250303-02410</t>
        </is>
      </c>
      <c r="B2411" s="59" t="inlineStr">
        <is>
          <t>2025-03-03</t>
        </is>
      </c>
      <c r="C2411" s="60" t="inlineStr">
        <is>
          <t>Orion Kid Max-640</t>
        </is>
      </c>
      <c r="D2411" s="58" t="inlineStr">
        <is>
          <t>Apparel</t>
        </is>
      </c>
      <c r="E2411" s="58" t="inlineStr">
        <is>
          <t>West</t>
        </is>
      </c>
      <c r="F2411" s="61" t="n">
        <v>3</v>
      </c>
      <c r="G2411" s="62" t="n">
        <v>133.87</v>
      </c>
      <c r="H2411" s="63" t="n">
        <v>0.117</v>
      </c>
      <c r="I2411" s="62" t="n">
        <v>68.59</v>
      </c>
      <c r="J2411" s="58" t="inlineStr">
        <is>
          <t>Store</t>
        </is>
      </c>
      <c r="K2411" s="62">
        <f>F2411*(G2411-H2411)</f>
        <v/>
      </c>
      <c r="L2411" s="62">
        <f>K2411-(F2411*I2411)</f>
        <v/>
      </c>
      <c r="M2411" s="64">
        <f>L2411/K2411</f>
        <v/>
      </c>
    </row>
    <row r="2412">
      <c r="A2412" s="58" t="inlineStr">
        <is>
          <t>RT20250303-02411</t>
        </is>
      </c>
      <c r="B2412" s="59" t="inlineStr">
        <is>
          <t>2025-03-03</t>
        </is>
      </c>
      <c r="C2412" s="60" t="inlineStr">
        <is>
          <t>Falcon Cycling Pro-499</t>
        </is>
      </c>
      <c r="D2412" s="58" t="inlineStr">
        <is>
          <t>Sports</t>
        </is>
      </c>
      <c r="E2412" s="58" t="inlineStr">
        <is>
          <t>North</t>
        </is>
      </c>
      <c r="F2412" s="61" t="n">
        <v>3</v>
      </c>
      <c r="G2412" s="62" t="n">
        <v>629.16</v>
      </c>
      <c r="H2412" s="63" t="n">
        <v>0.078</v>
      </c>
      <c r="I2412" s="62" t="n">
        <v>397.52</v>
      </c>
      <c r="J2412" s="58" t="inlineStr">
        <is>
          <t>Store</t>
        </is>
      </c>
      <c r="K2412" s="62">
        <f>F2412*(G2412-H2412)</f>
        <v/>
      </c>
      <c r="L2412" s="62">
        <f>K2412-(F2412*I2412)</f>
        <v/>
      </c>
      <c r="M2412" s="64">
        <f>L2412/K2412</f>
        <v/>
      </c>
    </row>
    <row r="2413">
      <c r="A2413" s="58" t="inlineStr">
        <is>
          <t>RT20250303-02412</t>
        </is>
      </c>
      <c r="B2413" s="59" t="inlineStr">
        <is>
          <t>2025-03-03</t>
        </is>
      </c>
      <c r="C2413" s="60" t="inlineStr">
        <is>
          <t>Falcon Household Pro-865</t>
        </is>
      </c>
      <c r="D2413" s="58" t="inlineStr">
        <is>
          <t>Grocery</t>
        </is>
      </c>
      <c r="E2413" s="58" t="inlineStr">
        <is>
          <t>Central</t>
        </is>
      </c>
      <c r="F2413" s="61" t="n">
        <v>3</v>
      </c>
      <c r="G2413" s="62" t="n">
        <v>10.69</v>
      </c>
      <c r="H2413" s="63" t="n">
        <v>0.136</v>
      </c>
      <c r="I2413" s="62" t="n">
        <v>7.65</v>
      </c>
      <c r="J2413" s="58" t="inlineStr">
        <is>
          <t>Phone</t>
        </is>
      </c>
      <c r="K2413" s="62">
        <f>F2413*(G2413-H2413)</f>
        <v/>
      </c>
      <c r="L2413" s="62">
        <f>K2413-(F2413*I2413)</f>
        <v/>
      </c>
      <c r="M2413" s="64">
        <f>L2413/K2413</f>
        <v/>
      </c>
    </row>
    <row r="2414">
      <c r="A2414" s="58" t="inlineStr">
        <is>
          <t>RT20250303-02413</t>
        </is>
      </c>
      <c r="B2414" s="59" t="inlineStr">
        <is>
          <t>2025-03-03</t>
        </is>
      </c>
      <c r="C2414" s="60" t="inlineStr">
        <is>
          <t>Nimbus Cycling Plus-911</t>
        </is>
      </c>
      <c r="D2414" s="58" t="inlineStr">
        <is>
          <t>Sports</t>
        </is>
      </c>
      <c r="E2414" s="58" t="inlineStr">
        <is>
          <t>North</t>
        </is>
      </c>
      <c r="F2414" s="61" t="n">
        <v>2</v>
      </c>
      <c r="G2414" s="62" t="n">
        <v>575.46</v>
      </c>
      <c r="H2414" s="63" t="n">
        <v>0.07099999999999999</v>
      </c>
      <c r="I2414" s="62" t="n">
        <v>386.93</v>
      </c>
      <c r="J2414" s="58" t="inlineStr">
        <is>
          <t>Online</t>
        </is>
      </c>
      <c r="K2414" s="62">
        <f>F2414*(G2414-H2414)</f>
        <v/>
      </c>
      <c r="L2414" s="62">
        <f>K2414-(F2414*I2414)</f>
        <v/>
      </c>
      <c r="M2414" s="64">
        <f>L2414/K2414</f>
        <v/>
      </c>
    </row>
    <row r="2415">
      <c r="A2415" s="58" t="inlineStr">
        <is>
          <t>RT20250303-02414</t>
        </is>
      </c>
      <c r="B2415" s="59" t="inlineStr">
        <is>
          <t>2025-03-03</t>
        </is>
      </c>
      <c r="C2415" s="60" t="inlineStr">
        <is>
          <t>Aurora Wearable Lite-704</t>
        </is>
      </c>
      <c r="D2415" s="58" t="inlineStr">
        <is>
          <t>Electronics</t>
        </is>
      </c>
      <c r="E2415" s="58" t="inlineStr">
        <is>
          <t>East</t>
        </is>
      </c>
      <c r="F2415" s="61" t="n">
        <v>2</v>
      </c>
      <c r="G2415" s="62" t="n">
        <v>2234.69</v>
      </c>
      <c r="H2415" s="63" t="n">
        <v>0.105</v>
      </c>
      <c r="I2415" s="62" t="n">
        <v>1436.57</v>
      </c>
      <c r="J2415" s="58" t="inlineStr">
        <is>
          <t>Store</t>
        </is>
      </c>
      <c r="K2415" s="62">
        <f>F2415*(G2415-H2415)</f>
        <v/>
      </c>
      <c r="L2415" s="62">
        <f>K2415-(F2415*I2415)</f>
        <v/>
      </c>
      <c r="M2415" s="64">
        <f>L2415/K2415</f>
        <v/>
      </c>
    </row>
    <row r="2416">
      <c r="A2416" s="58" t="inlineStr">
        <is>
          <t>RT20250303-02415</t>
        </is>
      </c>
      <c r="B2416" s="59" t="inlineStr">
        <is>
          <t>2025-03-03</t>
        </is>
      </c>
      <c r="C2416" s="60" t="inlineStr">
        <is>
          <t>Vertex Supplie Pro-786</t>
        </is>
      </c>
      <c r="D2416" s="58" t="inlineStr">
        <is>
          <t>Office</t>
        </is>
      </c>
      <c r="E2416" s="58" t="inlineStr">
        <is>
          <t>South</t>
        </is>
      </c>
      <c r="F2416" s="61" t="n">
        <v>1</v>
      </c>
      <c r="G2416" s="62" t="n">
        <v>412.33</v>
      </c>
      <c r="H2416" s="63" t="n">
        <v>0.093</v>
      </c>
      <c r="I2416" s="62" t="n">
        <v>295.11</v>
      </c>
      <c r="J2416" s="58" t="inlineStr">
        <is>
          <t>Online</t>
        </is>
      </c>
      <c r="K2416" s="62">
        <f>F2416*(G2416-H2416)</f>
        <v/>
      </c>
      <c r="L2416" s="62">
        <f>K2416-(F2416*I2416)</f>
        <v/>
      </c>
      <c r="M2416" s="64">
        <f>L2416/K2416</f>
        <v/>
      </c>
    </row>
    <row r="2417">
      <c r="A2417" s="58" t="inlineStr">
        <is>
          <t>RT20250303-02416</t>
        </is>
      </c>
      <c r="B2417" s="59" t="inlineStr">
        <is>
          <t>2025-03-03</t>
        </is>
      </c>
      <c r="C2417" s="60" t="inlineStr">
        <is>
          <t>Aurora Smartphone Plus-125</t>
        </is>
      </c>
      <c r="D2417" s="58" t="inlineStr">
        <is>
          <t>Electronics</t>
        </is>
      </c>
      <c r="E2417" s="58" t="inlineStr">
        <is>
          <t>West</t>
        </is>
      </c>
      <c r="F2417" s="61" t="n">
        <v>2</v>
      </c>
      <c r="G2417" s="62" t="n">
        <v>1633.45</v>
      </c>
      <c r="H2417" s="63" t="n">
        <v>0.018</v>
      </c>
      <c r="I2417" s="62" t="n">
        <v>1193.64</v>
      </c>
      <c r="J2417" s="58" t="inlineStr">
        <is>
          <t>Store</t>
        </is>
      </c>
      <c r="K2417" s="62">
        <f>F2417*(G2417-H2417)</f>
        <v/>
      </c>
      <c r="L2417" s="62">
        <f>K2417-(F2417*I2417)</f>
        <v/>
      </c>
      <c r="M2417" s="64">
        <f>L2417/K2417</f>
        <v/>
      </c>
    </row>
    <row r="2418">
      <c r="A2418" s="58" t="inlineStr">
        <is>
          <t>RT20250303-02417</t>
        </is>
      </c>
      <c r="B2418" s="59" t="inlineStr">
        <is>
          <t>2025-03-03</t>
        </is>
      </c>
      <c r="C2418" s="60" t="inlineStr">
        <is>
          <t>Vertex Appliance Max-338</t>
        </is>
      </c>
      <c r="D2418" s="58" t="inlineStr">
        <is>
          <t>Home</t>
        </is>
      </c>
      <c r="E2418" s="58" t="inlineStr">
        <is>
          <t>North</t>
        </is>
      </c>
      <c r="F2418" s="61" t="n">
        <v>2</v>
      </c>
      <c r="G2418" s="62" t="n">
        <v>440.62</v>
      </c>
      <c r="H2418" s="63" t="n">
        <v>0.118</v>
      </c>
      <c r="I2418" s="62" t="n">
        <v>285.52</v>
      </c>
      <c r="J2418" s="58" t="inlineStr">
        <is>
          <t>Online</t>
        </is>
      </c>
      <c r="K2418" s="62">
        <f>F2418*(G2418-H2418)</f>
        <v/>
      </c>
      <c r="L2418" s="62">
        <f>K2418-(F2418*I2418)</f>
        <v/>
      </c>
      <c r="M2418" s="64">
        <f>L2418/K2418</f>
        <v/>
      </c>
    </row>
    <row r="2419">
      <c r="A2419" s="58" t="inlineStr">
        <is>
          <t>RT20250303-02418</t>
        </is>
      </c>
      <c r="B2419" s="59" t="inlineStr">
        <is>
          <t>2025-03-03</t>
        </is>
      </c>
      <c r="C2419" s="60" t="inlineStr">
        <is>
          <t>Aurora Printer Plus-991</t>
        </is>
      </c>
      <c r="D2419" s="58" t="inlineStr">
        <is>
          <t>Office</t>
        </is>
      </c>
      <c r="E2419" s="58" t="inlineStr">
        <is>
          <t>East</t>
        </is>
      </c>
      <c r="F2419" s="61" t="n">
        <v>1</v>
      </c>
      <c r="G2419" s="62" t="n">
        <v>554.5599999999999</v>
      </c>
      <c r="H2419" s="63" t="n">
        <v>0.106</v>
      </c>
      <c r="I2419" s="62" t="n">
        <v>365.85</v>
      </c>
      <c r="J2419" s="58" t="inlineStr">
        <is>
          <t>Online</t>
        </is>
      </c>
      <c r="K2419" s="62">
        <f>F2419*(G2419-H2419)</f>
        <v/>
      </c>
      <c r="L2419" s="62">
        <f>K2419-(F2419*I2419)</f>
        <v/>
      </c>
      <c r="M2419" s="64">
        <f>L2419/K2419</f>
        <v/>
      </c>
    </row>
    <row r="2420">
      <c r="A2420" s="58" t="inlineStr">
        <is>
          <t>RT20250303-02419</t>
        </is>
      </c>
      <c r="B2420" s="59" t="inlineStr">
        <is>
          <t>2025-03-03</t>
        </is>
      </c>
      <c r="C2420" s="60" t="inlineStr">
        <is>
          <t>Polar Cycling S-223</t>
        </is>
      </c>
      <c r="D2420" s="58" t="inlineStr">
        <is>
          <t>Sports</t>
        </is>
      </c>
      <c r="E2420" s="58" t="inlineStr">
        <is>
          <t>South</t>
        </is>
      </c>
      <c r="F2420" s="61" t="n">
        <v>3</v>
      </c>
      <c r="G2420" s="62" t="n">
        <v>889.91</v>
      </c>
      <c r="H2420" s="63" t="n">
        <v>0.063</v>
      </c>
      <c r="I2420" s="62" t="n">
        <v>643.51</v>
      </c>
      <c r="J2420" s="58" t="inlineStr">
        <is>
          <t>Store</t>
        </is>
      </c>
      <c r="K2420" s="62">
        <f>F2420*(G2420-H2420)</f>
        <v/>
      </c>
      <c r="L2420" s="62">
        <f>K2420-(F2420*I2420)</f>
        <v/>
      </c>
      <c r="M2420" s="64">
        <f>L2420/K2420</f>
        <v/>
      </c>
    </row>
    <row r="2421">
      <c r="A2421" s="58" t="inlineStr">
        <is>
          <t>RT20250303-02420</t>
        </is>
      </c>
      <c r="B2421" s="59" t="inlineStr">
        <is>
          <t>2025-03-03</t>
        </is>
      </c>
      <c r="C2421" s="60" t="inlineStr">
        <is>
          <t>Aurora Kid Plus-151</t>
        </is>
      </c>
      <c r="D2421" s="58" t="inlineStr">
        <is>
          <t>Apparel</t>
        </is>
      </c>
      <c r="E2421" s="58" t="inlineStr">
        <is>
          <t>South</t>
        </is>
      </c>
      <c r="F2421" s="61" t="n">
        <v>2</v>
      </c>
      <c r="G2421" s="62" t="n">
        <v>120.9</v>
      </c>
      <c r="H2421" s="63" t="n">
        <v>0.048</v>
      </c>
      <c r="I2421" s="62" t="n">
        <v>65.77</v>
      </c>
      <c r="J2421" s="58" t="inlineStr">
        <is>
          <t>Online</t>
        </is>
      </c>
      <c r="K2421" s="62">
        <f>F2421*(G2421-H2421)</f>
        <v/>
      </c>
      <c r="L2421" s="62">
        <f>K2421-(F2421*I2421)</f>
        <v/>
      </c>
      <c r="M2421" s="64">
        <f>L2421/K2421</f>
        <v/>
      </c>
    </row>
    <row r="2422">
      <c r="A2422" s="58" t="inlineStr">
        <is>
          <t>RT20250303-02421</t>
        </is>
      </c>
      <c r="B2422" s="59" t="inlineStr">
        <is>
          <t>2025-03-03</t>
        </is>
      </c>
      <c r="C2422" s="60" t="inlineStr">
        <is>
          <t>Polar Snack Pro-641</t>
        </is>
      </c>
      <c r="D2422" s="58" t="inlineStr">
        <is>
          <t>Grocery</t>
        </is>
      </c>
      <c r="E2422" s="58" t="inlineStr">
        <is>
          <t>Central</t>
        </is>
      </c>
      <c r="F2422" s="61" t="n">
        <v>5</v>
      </c>
      <c r="G2422" s="62" t="n">
        <v>13.19</v>
      </c>
      <c r="H2422" s="63" t="n">
        <v>0.142</v>
      </c>
      <c r="I2422" s="62" t="n">
        <v>9.390000000000001</v>
      </c>
      <c r="J2422" s="58" t="inlineStr">
        <is>
          <t>Store</t>
        </is>
      </c>
      <c r="K2422" s="62">
        <f>F2422*(G2422-H2422)</f>
        <v/>
      </c>
      <c r="L2422" s="62">
        <f>K2422-(F2422*I2422)</f>
        <v/>
      </c>
      <c r="M2422" s="64">
        <f>L2422/K2422</f>
        <v/>
      </c>
    </row>
    <row r="2423">
      <c r="A2423" s="58" t="inlineStr">
        <is>
          <t>RT20250304-02422</t>
        </is>
      </c>
      <c r="B2423" s="59" t="inlineStr">
        <is>
          <t>2025-03-04</t>
        </is>
      </c>
      <c r="C2423" s="60" t="inlineStr">
        <is>
          <t>Metro Laptop Plus-376</t>
        </is>
      </c>
      <c r="D2423" s="58" t="inlineStr">
        <is>
          <t>Electronics</t>
        </is>
      </c>
      <c r="E2423" s="58" t="inlineStr">
        <is>
          <t>South</t>
        </is>
      </c>
      <c r="F2423" s="61" t="n">
        <v>1</v>
      </c>
      <c r="G2423" s="62" t="n">
        <v>1302.29</v>
      </c>
      <c r="H2423" s="63" t="n">
        <v>0.047</v>
      </c>
      <c r="I2423" s="62" t="n">
        <v>1044.65</v>
      </c>
      <c r="J2423" s="58" t="inlineStr">
        <is>
          <t>Online</t>
        </is>
      </c>
      <c r="K2423" s="62">
        <f>F2423*(G2423-H2423)</f>
        <v/>
      </c>
      <c r="L2423" s="62">
        <f>K2423-(F2423*I2423)</f>
        <v/>
      </c>
      <c r="M2423" s="64">
        <f>L2423/K2423</f>
        <v/>
      </c>
    </row>
    <row r="2424">
      <c r="A2424" s="58" t="inlineStr">
        <is>
          <t>RT20250304-02423</t>
        </is>
      </c>
      <c r="B2424" s="59" t="inlineStr">
        <is>
          <t>2025-03-04</t>
        </is>
      </c>
      <c r="C2424" s="60" t="inlineStr">
        <is>
          <t>Nimbus Laptop Max-652</t>
        </is>
      </c>
      <c r="D2424" s="58" t="inlineStr">
        <is>
          <t>Electronics</t>
        </is>
      </c>
      <c r="E2424" s="58" t="inlineStr">
        <is>
          <t>East</t>
        </is>
      </c>
      <c r="F2424" s="61" t="n">
        <v>2</v>
      </c>
      <c r="G2424" s="62" t="n">
        <v>1368.03</v>
      </c>
      <c r="H2424" s="63" t="n">
        <v>0.099</v>
      </c>
      <c r="I2424" s="62" t="n">
        <v>1027.68</v>
      </c>
      <c r="J2424" s="58" t="inlineStr">
        <is>
          <t>Online</t>
        </is>
      </c>
      <c r="K2424" s="62">
        <f>F2424*(G2424-H2424)</f>
        <v/>
      </c>
      <c r="L2424" s="62">
        <f>K2424-(F2424*I2424)</f>
        <v/>
      </c>
      <c r="M2424" s="64">
        <f>L2424/K2424</f>
        <v/>
      </c>
    </row>
    <row r="2425">
      <c r="A2425" s="58" t="inlineStr">
        <is>
          <t>RT20250304-02424</t>
        </is>
      </c>
      <c r="B2425" s="59" t="inlineStr">
        <is>
          <t>2025-03-04</t>
        </is>
      </c>
      <c r="C2425" s="60" t="inlineStr">
        <is>
          <t>Solace Laptop S-367</t>
        </is>
      </c>
      <c r="D2425" s="58" t="inlineStr">
        <is>
          <t>Electronics</t>
        </is>
      </c>
      <c r="E2425" s="58" t="inlineStr">
        <is>
          <t>West</t>
        </is>
      </c>
      <c r="F2425" s="61" t="n">
        <v>1</v>
      </c>
      <c r="G2425" s="62" t="n">
        <v>1942.69</v>
      </c>
      <c r="H2425" s="63" t="n">
        <v>0.077</v>
      </c>
      <c r="I2425" s="62" t="n">
        <v>1530.19</v>
      </c>
      <c r="J2425" s="58" t="inlineStr">
        <is>
          <t>Online</t>
        </is>
      </c>
      <c r="K2425" s="62">
        <f>F2425*(G2425-H2425)</f>
        <v/>
      </c>
      <c r="L2425" s="62">
        <f>K2425-(F2425*I2425)</f>
        <v/>
      </c>
      <c r="M2425" s="64">
        <f>L2425/K2425</f>
        <v/>
      </c>
    </row>
    <row r="2426">
      <c r="A2426" s="58" t="inlineStr">
        <is>
          <t>RT20250304-02425</t>
        </is>
      </c>
      <c r="B2426" s="59" t="inlineStr">
        <is>
          <t>2025-03-04</t>
        </is>
      </c>
      <c r="C2426" s="60" t="inlineStr">
        <is>
          <t>Polar Bedding Lite-243</t>
        </is>
      </c>
      <c r="D2426" s="58" t="inlineStr">
        <is>
          <t>Home</t>
        </is>
      </c>
      <c r="E2426" s="58" t="inlineStr">
        <is>
          <t>East</t>
        </is>
      </c>
      <c r="F2426" s="61" t="n">
        <v>1</v>
      </c>
      <c r="G2426" s="62" t="n">
        <v>438.95</v>
      </c>
      <c r="H2426" s="63" t="n">
        <v>0.098</v>
      </c>
      <c r="I2426" s="62" t="n">
        <v>318.91</v>
      </c>
      <c r="J2426" s="58" t="inlineStr">
        <is>
          <t>Store</t>
        </is>
      </c>
      <c r="K2426" s="62">
        <f>F2426*(G2426-H2426)</f>
        <v/>
      </c>
      <c r="L2426" s="62">
        <f>K2426-(F2426*I2426)</f>
        <v/>
      </c>
      <c r="M2426" s="64">
        <f>L2426/K2426</f>
        <v/>
      </c>
    </row>
    <row r="2427">
      <c r="A2427" s="58" t="inlineStr">
        <is>
          <t>RT20250304-02426</t>
        </is>
      </c>
      <c r="B2427" s="59" t="inlineStr">
        <is>
          <t>2025-03-04</t>
        </is>
      </c>
      <c r="C2427" s="60" t="inlineStr">
        <is>
          <t>Vertex Fitnes Pro-830</t>
        </is>
      </c>
      <c r="D2427" s="58" t="inlineStr">
        <is>
          <t>Sports</t>
        </is>
      </c>
      <c r="E2427" s="58" t="inlineStr">
        <is>
          <t>Central</t>
        </is>
      </c>
      <c r="F2427" s="61" t="n">
        <v>3</v>
      </c>
      <c r="G2427" s="62" t="n">
        <v>721.61</v>
      </c>
      <c r="H2427" s="63" t="n">
        <v>0.067</v>
      </c>
      <c r="I2427" s="62" t="n">
        <v>487.87</v>
      </c>
      <c r="J2427" s="58" t="inlineStr">
        <is>
          <t>Online</t>
        </is>
      </c>
      <c r="K2427" s="62">
        <f>F2427*(G2427-H2427)</f>
        <v/>
      </c>
      <c r="L2427" s="62">
        <f>K2427-(F2427*I2427)</f>
        <v/>
      </c>
      <c r="M2427" s="64">
        <f>L2427/K2427</f>
        <v/>
      </c>
    </row>
    <row r="2428">
      <c r="A2428" s="58" t="inlineStr">
        <is>
          <t>RT20250304-02427</t>
        </is>
      </c>
      <c r="B2428" s="59" t="inlineStr">
        <is>
          <t>2025-03-04</t>
        </is>
      </c>
      <c r="C2428" s="60" t="inlineStr">
        <is>
          <t>Aurora Printer Plus-991</t>
        </is>
      </c>
      <c r="D2428" s="58" t="inlineStr">
        <is>
          <t>Office</t>
        </is>
      </c>
      <c r="E2428" s="58" t="inlineStr">
        <is>
          <t>East</t>
        </is>
      </c>
      <c r="F2428" s="61" t="n">
        <v>1</v>
      </c>
      <c r="G2428" s="62" t="n">
        <v>536.92</v>
      </c>
      <c r="H2428" s="63" t="n">
        <v>0.133</v>
      </c>
      <c r="I2428" s="62" t="n">
        <v>363.16</v>
      </c>
      <c r="J2428" s="58" t="inlineStr">
        <is>
          <t>Store</t>
        </is>
      </c>
      <c r="K2428" s="62">
        <f>F2428*(G2428-H2428)</f>
        <v/>
      </c>
      <c r="L2428" s="62">
        <f>K2428-(F2428*I2428)</f>
        <v/>
      </c>
      <c r="M2428" s="64">
        <f>L2428/K2428</f>
        <v/>
      </c>
    </row>
    <row r="2429">
      <c r="A2429" s="58" t="inlineStr">
        <is>
          <t>RT20250304-02428</t>
        </is>
      </c>
      <c r="B2429" s="59" t="inlineStr">
        <is>
          <t>2025-03-04</t>
        </is>
      </c>
      <c r="C2429" s="60" t="inlineStr">
        <is>
          <t>Aurora Appliance Max-316</t>
        </is>
      </c>
      <c r="D2429" s="58" t="inlineStr">
        <is>
          <t>Home</t>
        </is>
      </c>
      <c r="E2429" s="58" t="inlineStr">
        <is>
          <t>North</t>
        </is>
      </c>
      <c r="F2429" s="61" t="n">
        <v>3</v>
      </c>
      <c r="G2429" s="62" t="n">
        <v>300.16</v>
      </c>
      <c r="H2429" s="63" t="n">
        <v>0.138</v>
      </c>
      <c r="I2429" s="62" t="n">
        <v>215.91</v>
      </c>
      <c r="J2429" s="58" t="inlineStr">
        <is>
          <t>Online</t>
        </is>
      </c>
      <c r="K2429" s="62">
        <f>F2429*(G2429-H2429)</f>
        <v/>
      </c>
      <c r="L2429" s="62">
        <f>K2429-(F2429*I2429)</f>
        <v/>
      </c>
      <c r="M2429" s="64">
        <f>L2429/K2429</f>
        <v/>
      </c>
    </row>
    <row r="2430">
      <c r="A2430" s="58" t="inlineStr">
        <is>
          <t>RT20250304-02429</t>
        </is>
      </c>
      <c r="B2430" s="59" t="inlineStr">
        <is>
          <t>2025-03-04</t>
        </is>
      </c>
      <c r="C2430" s="60" t="inlineStr">
        <is>
          <t>Polar Laptop Plus-984</t>
        </is>
      </c>
      <c r="D2430" s="58" t="inlineStr">
        <is>
          <t>Electronics</t>
        </is>
      </c>
      <c r="E2430" s="58" t="inlineStr">
        <is>
          <t>Central</t>
        </is>
      </c>
      <c r="F2430" s="61" t="n">
        <v>1</v>
      </c>
      <c r="G2430" s="62" t="n">
        <v>1256.32</v>
      </c>
      <c r="H2430" s="63" t="n">
        <v>0.097</v>
      </c>
      <c r="I2430" s="62" t="n">
        <v>976.58</v>
      </c>
      <c r="J2430" s="58" t="inlineStr">
        <is>
          <t>Store</t>
        </is>
      </c>
      <c r="K2430" s="62">
        <f>F2430*(G2430-H2430)</f>
        <v/>
      </c>
      <c r="L2430" s="62">
        <f>K2430-(F2430*I2430)</f>
        <v/>
      </c>
      <c r="M2430" s="64">
        <f>L2430/K2430</f>
        <v/>
      </c>
    </row>
    <row r="2431">
      <c r="A2431" s="58" t="inlineStr">
        <is>
          <t>RT20250304-02430</t>
        </is>
      </c>
      <c r="B2431" s="59" t="inlineStr">
        <is>
          <t>2025-03-04</t>
        </is>
      </c>
      <c r="C2431" s="60" t="inlineStr">
        <is>
          <t>Falcon Wearable X-334</t>
        </is>
      </c>
      <c r="D2431" s="58" t="inlineStr">
        <is>
          <t>Electronics</t>
        </is>
      </c>
      <c r="E2431" s="58" t="inlineStr">
        <is>
          <t>Central</t>
        </is>
      </c>
      <c r="F2431" s="61" t="n">
        <v>2</v>
      </c>
      <c r="G2431" s="62" t="n">
        <v>1864.13</v>
      </c>
      <c r="H2431" s="63" t="n">
        <v>0.095</v>
      </c>
      <c r="I2431" s="62" t="n">
        <v>1493.34</v>
      </c>
      <c r="J2431" s="58" t="inlineStr">
        <is>
          <t>Online</t>
        </is>
      </c>
      <c r="K2431" s="62">
        <f>F2431*(G2431-H2431)</f>
        <v/>
      </c>
      <c r="L2431" s="62">
        <f>K2431-(F2431*I2431)</f>
        <v/>
      </c>
      <c r="M2431" s="64">
        <f>L2431/K2431</f>
        <v/>
      </c>
    </row>
    <row r="2432">
      <c r="A2432" s="58" t="inlineStr">
        <is>
          <t>RT20250304-02431</t>
        </is>
      </c>
      <c r="B2432" s="59" t="inlineStr">
        <is>
          <t>2025-03-04</t>
        </is>
      </c>
      <c r="C2432" s="60" t="inlineStr">
        <is>
          <t>Vertex Headphone Pro-801</t>
        </is>
      </c>
      <c r="D2432" s="58" t="inlineStr">
        <is>
          <t>Electronics</t>
        </is>
      </c>
      <c r="E2432" s="58" t="inlineStr">
        <is>
          <t>West</t>
        </is>
      </c>
      <c r="F2432" s="61" t="n">
        <v>1</v>
      </c>
      <c r="G2432" s="62" t="n">
        <v>1268.92</v>
      </c>
      <c r="H2432" s="63" t="n">
        <v>0.049</v>
      </c>
      <c r="I2432" s="62" t="n">
        <v>996.51</v>
      </c>
      <c r="J2432" s="58" t="inlineStr">
        <is>
          <t>Store</t>
        </is>
      </c>
      <c r="K2432" s="62">
        <f>F2432*(G2432-H2432)</f>
        <v/>
      </c>
      <c r="L2432" s="62">
        <f>K2432-(F2432*I2432)</f>
        <v/>
      </c>
      <c r="M2432" s="64">
        <f>L2432/K2432</f>
        <v/>
      </c>
    </row>
    <row r="2433">
      <c r="A2433" s="58" t="inlineStr">
        <is>
          <t>RT20250304-02432</t>
        </is>
      </c>
      <c r="B2433" s="59" t="inlineStr">
        <is>
          <t>2025-03-04</t>
        </is>
      </c>
      <c r="C2433" s="60" t="inlineStr">
        <is>
          <t>Aurora Kid Plus-151</t>
        </is>
      </c>
      <c r="D2433" s="58" t="inlineStr">
        <is>
          <t>Apparel</t>
        </is>
      </c>
      <c r="E2433" s="58" t="inlineStr">
        <is>
          <t>Central</t>
        </is>
      </c>
      <c r="F2433" s="61" t="n">
        <v>2</v>
      </c>
      <c r="G2433" s="62" t="n">
        <v>119.18</v>
      </c>
      <c r="H2433" s="63" t="n">
        <v>0.097</v>
      </c>
      <c r="I2433" s="62" t="n">
        <v>65.05</v>
      </c>
      <c r="J2433" s="58" t="inlineStr">
        <is>
          <t>Phone</t>
        </is>
      </c>
      <c r="K2433" s="62">
        <f>F2433*(G2433-H2433)</f>
        <v/>
      </c>
      <c r="L2433" s="62">
        <f>K2433-(F2433*I2433)</f>
        <v/>
      </c>
      <c r="M2433" s="64">
        <f>L2433/K2433</f>
        <v/>
      </c>
    </row>
    <row r="2434">
      <c r="A2434" s="58" t="inlineStr">
        <is>
          <t>RT20250304-02433</t>
        </is>
      </c>
      <c r="B2434" s="59" t="inlineStr">
        <is>
          <t>2025-03-04</t>
        </is>
      </c>
      <c r="C2434" s="60" t="inlineStr">
        <is>
          <t>Polar Cycling X-649</t>
        </is>
      </c>
      <c r="D2434" s="58" t="inlineStr">
        <is>
          <t>Sports</t>
        </is>
      </c>
      <c r="E2434" s="58" t="inlineStr">
        <is>
          <t>West</t>
        </is>
      </c>
      <c r="F2434" s="61" t="n">
        <v>2</v>
      </c>
      <c r="G2434" s="62" t="n">
        <v>599.58</v>
      </c>
      <c r="H2434" s="63" t="n">
        <v>0.08799999999999999</v>
      </c>
      <c r="I2434" s="62" t="n">
        <v>369.93</v>
      </c>
      <c r="J2434" s="58" t="inlineStr">
        <is>
          <t>Online</t>
        </is>
      </c>
      <c r="K2434" s="62">
        <f>F2434*(G2434-H2434)</f>
        <v/>
      </c>
      <c r="L2434" s="62">
        <f>K2434-(F2434*I2434)</f>
        <v/>
      </c>
      <c r="M2434" s="64">
        <f>L2434/K2434</f>
        <v/>
      </c>
    </row>
    <row r="2435">
      <c r="A2435" s="58" t="inlineStr">
        <is>
          <t>RT20250304-02434</t>
        </is>
      </c>
      <c r="B2435" s="59" t="inlineStr">
        <is>
          <t>2025-03-04</t>
        </is>
      </c>
      <c r="C2435" s="60" t="inlineStr">
        <is>
          <t>Metro Outdoor Plus-787</t>
        </is>
      </c>
      <c r="D2435" s="58" t="inlineStr">
        <is>
          <t>Sports</t>
        </is>
      </c>
      <c r="E2435" s="58" t="inlineStr">
        <is>
          <t>North</t>
        </is>
      </c>
      <c r="F2435" s="61" t="n">
        <v>1</v>
      </c>
      <c r="G2435" s="62" t="n">
        <v>535.73</v>
      </c>
      <c r="H2435" s="63" t="n">
        <v>0.131</v>
      </c>
      <c r="I2435" s="62" t="n">
        <v>344.46</v>
      </c>
      <c r="J2435" s="58" t="inlineStr">
        <is>
          <t>Store</t>
        </is>
      </c>
      <c r="K2435" s="62">
        <f>F2435*(G2435-H2435)</f>
        <v/>
      </c>
      <c r="L2435" s="62">
        <f>K2435-(F2435*I2435)</f>
        <v/>
      </c>
      <c r="M2435" s="64">
        <f>L2435/K2435</f>
        <v/>
      </c>
    </row>
    <row r="2436">
      <c r="A2436" s="58" t="inlineStr">
        <is>
          <t>RT20250304-02435</t>
        </is>
      </c>
      <c r="B2436" s="59" t="inlineStr">
        <is>
          <t>2025-03-04</t>
        </is>
      </c>
      <c r="C2436" s="60" t="inlineStr">
        <is>
          <t>Aurora Smartphone Plus-125</t>
        </is>
      </c>
      <c r="D2436" s="58" t="inlineStr">
        <is>
          <t>Electronics</t>
        </is>
      </c>
      <c r="E2436" s="58" t="inlineStr">
        <is>
          <t>North</t>
        </is>
      </c>
      <c r="F2436" s="61" t="n">
        <v>2</v>
      </c>
      <c r="G2436" s="62" t="n">
        <v>1617.35</v>
      </c>
      <c r="H2436" s="63" t="n">
        <v>0.101</v>
      </c>
      <c r="I2436" s="62" t="n">
        <v>1197.37</v>
      </c>
      <c r="J2436" s="58" t="inlineStr">
        <is>
          <t>Online</t>
        </is>
      </c>
      <c r="K2436" s="62">
        <f>F2436*(G2436-H2436)</f>
        <v/>
      </c>
      <c r="L2436" s="62">
        <f>K2436-(F2436*I2436)</f>
        <v/>
      </c>
      <c r="M2436" s="64">
        <f>L2436/K2436</f>
        <v/>
      </c>
    </row>
    <row r="2437">
      <c r="A2437" s="58" t="inlineStr">
        <is>
          <t>RT20250304-02436</t>
        </is>
      </c>
      <c r="B2437" s="59" t="inlineStr">
        <is>
          <t>2025-03-04</t>
        </is>
      </c>
      <c r="C2437" s="60" t="inlineStr">
        <is>
          <t>Vertex Supplie X-513</t>
        </is>
      </c>
      <c r="D2437" s="58" t="inlineStr">
        <is>
          <t>Office</t>
        </is>
      </c>
      <c r="E2437" s="58" t="inlineStr">
        <is>
          <t>North</t>
        </is>
      </c>
      <c r="F2437" s="61" t="n">
        <v>2</v>
      </c>
      <c r="G2437" s="62" t="n">
        <v>421.71</v>
      </c>
      <c r="H2437" s="63" t="n">
        <v>0.092</v>
      </c>
      <c r="I2437" s="62" t="n">
        <v>280.65</v>
      </c>
      <c r="J2437" s="58" t="inlineStr">
        <is>
          <t>Online</t>
        </is>
      </c>
      <c r="K2437" s="62">
        <f>F2437*(G2437-H2437)</f>
        <v/>
      </c>
      <c r="L2437" s="62">
        <f>K2437-(F2437*I2437)</f>
        <v/>
      </c>
      <c r="M2437" s="64">
        <f>L2437/K2437</f>
        <v/>
      </c>
    </row>
    <row r="2438">
      <c r="A2438" s="58" t="inlineStr">
        <is>
          <t>RT20250304-02437</t>
        </is>
      </c>
      <c r="B2438" s="59" t="inlineStr">
        <is>
          <t>2025-03-04</t>
        </is>
      </c>
      <c r="C2438" s="60" t="inlineStr">
        <is>
          <t>Solace Laptop S-367</t>
        </is>
      </c>
      <c r="D2438" s="58" t="inlineStr">
        <is>
          <t>Electronics</t>
        </is>
      </c>
      <c r="E2438" s="58" t="inlineStr">
        <is>
          <t>East</t>
        </is>
      </c>
      <c r="F2438" s="61" t="n">
        <v>1</v>
      </c>
      <c r="G2438" s="62" t="n">
        <v>1934.05</v>
      </c>
      <c r="H2438" s="63" t="n">
        <v>0.08</v>
      </c>
      <c r="I2438" s="62" t="n">
        <v>1559.14</v>
      </c>
      <c r="J2438" s="58" t="inlineStr">
        <is>
          <t>Store</t>
        </is>
      </c>
      <c r="K2438" s="62">
        <f>F2438*(G2438-H2438)</f>
        <v/>
      </c>
      <c r="L2438" s="62">
        <f>K2438-(F2438*I2438)</f>
        <v/>
      </c>
      <c r="M2438" s="64">
        <f>L2438/K2438</f>
        <v/>
      </c>
    </row>
    <row r="2439">
      <c r="A2439" s="58" t="inlineStr">
        <is>
          <t>RT20250304-02438</t>
        </is>
      </c>
      <c r="B2439" s="59" t="inlineStr">
        <is>
          <t>2025-03-04</t>
        </is>
      </c>
      <c r="C2439" s="60" t="inlineStr">
        <is>
          <t>Orion Fragrance Lite-785</t>
        </is>
      </c>
      <c r="D2439" s="58" t="inlineStr">
        <is>
          <t>Beauty</t>
        </is>
      </c>
      <c r="E2439" s="58" t="inlineStr">
        <is>
          <t>East</t>
        </is>
      </c>
      <c r="F2439" s="61" t="n">
        <v>2</v>
      </c>
      <c r="G2439" s="62" t="n">
        <v>40.73</v>
      </c>
      <c r="H2439" s="63" t="n">
        <v>0.08799999999999999</v>
      </c>
      <c r="I2439" s="62" t="n">
        <v>27.72</v>
      </c>
      <c r="J2439" s="58" t="inlineStr">
        <is>
          <t>Store</t>
        </is>
      </c>
      <c r="K2439" s="62">
        <f>F2439*(G2439-H2439)</f>
        <v/>
      </c>
      <c r="L2439" s="62">
        <f>K2439-(F2439*I2439)</f>
        <v/>
      </c>
      <c r="M2439" s="64">
        <f>L2439/K2439</f>
        <v/>
      </c>
    </row>
    <row r="2440">
      <c r="A2440" s="58" t="inlineStr">
        <is>
          <t>RT20250304-02439</t>
        </is>
      </c>
      <c r="B2440" s="59" t="inlineStr">
        <is>
          <t>2025-03-04</t>
        </is>
      </c>
      <c r="C2440" s="60" t="inlineStr">
        <is>
          <t>Vertex Furniture S-652</t>
        </is>
      </c>
      <c r="D2440" s="58" t="inlineStr">
        <is>
          <t>Office</t>
        </is>
      </c>
      <c r="E2440" s="58" t="inlineStr">
        <is>
          <t>Central</t>
        </is>
      </c>
      <c r="F2440" s="61" t="n">
        <v>2</v>
      </c>
      <c r="G2440" s="62" t="n">
        <v>408.03</v>
      </c>
      <c r="H2440" s="63" t="n">
        <v>0.14</v>
      </c>
      <c r="I2440" s="62" t="n">
        <v>268.64</v>
      </c>
      <c r="J2440" s="58" t="inlineStr">
        <is>
          <t>Online</t>
        </is>
      </c>
      <c r="K2440" s="62">
        <f>F2440*(G2440-H2440)</f>
        <v/>
      </c>
      <c r="L2440" s="62">
        <f>K2440-(F2440*I2440)</f>
        <v/>
      </c>
      <c r="M2440" s="64">
        <f>L2440/K2440</f>
        <v/>
      </c>
    </row>
    <row r="2441">
      <c r="A2441" s="58" t="inlineStr">
        <is>
          <t>RT20250304-02440</t>
        </is>
      </c>
      <c r="B2441" s="59" t="inlineStr">
        <is>
          <t>2025-03-04</t>
        </is>
      </c>
      <c r="C2441" s="60" t="inlineStr">
        <is>
          <t>Vertex Headphone Pro-801</t>
        </is>
      </c>
      <c r="D2441" s="58" t="inlineStr">
        <is>
          <t>Electronics</t>
        </is>
      </c>
      <c r="E2441" s="58" t="inlineStr">
        <is>
          <t>Central</t>
        </is>
      </c>
      <c r="F2441" s="61" t="n">
        <v>1</v>
      </c>
      <c r="G2441" s="62" t="n">
        <v>1208.28</v>
      </c>
      <c r="H2441" s="63" t="n">
        <v>0.133</v>
      </c>
      <c r="I2441" s="62" t="n">
        <v>952.22</v>
      </c>
      <c r="J2441" s="58" t="inlineStr">
        <is>
          <t>Online</t>
        </is>
      </c>
      <c r="K2441" s="62">
        <f>F2441*(G2441-H2441)</f>
        <v/>
      </c>
      <c r="L2441" s="62">
        <f>K2441-(F2441*I2441)</f>
        <v/>
      </c>
      <c r="M2441" s="64">
        <f>L2441/K2441</f>
        <v/>
      </c>
    </row>
    <row r="2442">
      <c r="A2442" s="58" t="inlineStr">
        <is>
          <t>RT20250304-02441</t>
        </is>
      </c>
      <c r="B2442" s="59" t="inlineStr">
        <is>
          <t>2025-03-04</t>
        </is>
      </c>
      <c r="C2442" s="60" t="inlineStr">
        <is>
          <t>Nimbus Headphone X-854</t>
        </is>
      </c>
      <c r="D2442" s="58" t="inlineStr">
        <is>
          <t>Electronics</t>
        </is>
      </c>
      <c r="E2442" s="58" t="inlineStr">
        <is>
          <t>Central</t>
        </is>
      </c>
      <c r="F2442" s="61" t="n">
        <v>1</v>
      </c>
      <c r="G2442" s="62" t="n">
        <v>1519.3</v>
      </c>
      <c r="H2442" s="63" t="n">
        <v>0.056</v>
      </c>
      <c r="I2442" s="62" t="n">
        <v>1276.53</v>
      </c>
      <c r="J2442" s="58" t="inlineStr">
        <is>
          <t>Store</t>
        </is>
      </c>
      <c r="K2442" s="62">
        <f>F2442*(G2442-H2442)</f>
        <v/>
      </c>
      <c r="L2442" s="62">
        <f>K2442-(F2442*I2442)</f>
        <v/>
      </c>
      <c r="M2442" s="64">
        <f>L2442/K2442</f>
        <v/>
      </c>
    </row>
    <row r="2443">
      <c r="A2443" s="58" t="inlineStr">
        <is>
          <t>RT20250304-02442</t>
        </is>
      </c>
      <c r="B2443" s="59" t="inlineStr">
        <is>
          <t>2025-03-04</t>
        </is>
      </c>
      <c r="C2443" s="60" t="inlineStr">
        <is>
          <t>Falcon Headphone Pro-713</t>
        </is>
      </c>
      <c r="D2443" s="58" t="inlineStr">
        <is>
          <t>Electronics</t>
        </is>
      </c>
      <c r="E2443" s="58" t="inlineStr">
        <is>
          <t>East</t>
        </is>
      </c>
      <c r="F2443" s="61" t="n">
        <v>1</v>
      </c>
      <c r="G2443" s="62" t="n">
        <v>1343.83</v>
      </c>
      <c r="H2443" s="63" t="n">
        <v>0.044</v>
      </c>
      <c r="I2443" s="62" t="n">
        <v>1209.84</v>
      </c>
      <c r="J2443" s="58" t="inlineStr">
        <is>
          <t>Phone</t>
        </is>
      </c>
      <c r="K2443" s="62">
        <f>F2443*(G2443-H2443)</f>
        <v/>
      </c>
      <c r="L2443" s="62">
        <f>K2443-(F2443*I2443)</f>
        <v/>
      </c>
      <c r="M2443" s="64">
        <f>L2443/K2443</f>
        <v/>
      </c>
    </row>
    <row r="2444">
      <c r="A2444" s="58" t="inlineStr">
        <is>
          <t>RT20250304-02443</t>
        </is>
      </c>
      <c r="B2444" s="59" t="inlineStr">
        <is>
          <t>2025-03-04</t>
        </is>
      </c>
      <c r="C2444" s="60" t="inlineStr">
        <is>
          <t>Aurora Appliance Max-316</t>
        </is>
      </c>
      <c r="D2444" s="58" t="inlineStr">
        <is>
          <t>Home</t>
        </is>
      </c>
      <c r="E2444" s="58" t="inlineStr">
        <is>
          <t>East</t>
        </is>
      </c>
      <c r="F2444" s="61" t="n">
        <v>2</v>
      </c>
      <c r="G2444" s="62" t="n">
        <v>332.28</v>
      </c>
      <c r="H2444" s="63" t="n">
        <v>0.119</v>
      </c>
      <c r="I2444" s="62" t="n">
        <v>216.79</v>
      </c>
      <c r="J2444" s="58" t="inlineStr">
        <is>
          <t>Online</t>
        </is>
      </c>
      <c r="K2444" s="62">
        <f>F2444*(G2444-H2444)</f>
        <v/>
      </c>
      <c r="L2444" s="62">
        <f>K2444-(F2444*I2444)</f>
        <v/>
      </c>
      <c r="M2444" s="64">
        <f>L2444/K2444</f>
        <v/>
      </c>
    </row>
    <row r="2445">
      <c r="A2445" s="58" t="inlineStr">
        <is>
          <t>RT20250304-02444</t>
        </is>
      </c>
      <c r="B2445" s="59" t="inlineStr">
        <is>
          <t>2025-03-04</t>
        </is>
      </c>
      <c r="C2445" s="60" t="inlineStr">
        <is>
          <t>Nimbus Furniture Pro-479</t>
        </is>
      </c>
      <c r="D2445" s="58" t="inlineStr">
        <is>
          <t>Office</t>
        </is>
      </c>
      <c r="E2445" s="58" t="inlineStr">
        <is>
          <t>North</t>
        </is>
      </c>
      <c r="F2445" s="61" t="n">
        <v>2</v>
      </c>
      <c r="G2445" s="62" t="n">
        <v>325.83</v>
      </c>
      <c r="H2445" s="63" t="n">
        <v>0.102</v>
      </c>
      <c r="I2445" s="62" t="n">
        <v>241.69</v>
      </c>
      <c r="J2445" s="58" t="inlineStr">
        <is>
          <t>Store</t>
        </is>
      </c>
      <c r="K2445" s="62">
        <f>F2445*(G2445-H2445)</f>
        <v/>
      </c>
      <c r="L2445" s="62">
        <f>K2445-(F2445*I2445)</f>
        <v/>
      </c>
      <c r="M2445" s="64">
        <f>L2445/K2445</f>
        <v/>
      </c>
    </row>
    <row r="2446">
      <c r="A2446" s="58" t="inlineStr">
        <is>
          <t>RT20250304-02445</t>
        </is>
      </c>
      <c r="B2446" s="59" t="inlineStr">
        <is>
          <t>2025-03-04</t>
        </is>
      </c>
      <c r="C2446" s="60" t="inlineStr">
        <is>
          <t>Aurora Fragrance S-971</t>
        </is>
      </c>
      <c r="D2446" s="58" t="inlineStr">
        <is>
          <t>Beauty</t>
        </is>
      </c>
      <c r="E2446" s="58" t="inlineStr">
        <is>
          <t>West</t>
        </is>
      </c>
      <c r="F2446" s="61" t="n">
        <v>2</v>
      </c>
      <c r="G2446" s="62" t="n">
        <v>103.94</v>
      </c>
      <c r="H2446" s="63" t="n">
        <v>0.116</v>
      </c>
      <c r="I2446" s="62" t="n">
        <v>64.15000000000001</v>
      </c>
      <c r="J2446" s="58" t="inlineStr">
        <is>
          <t>Online</t>
        </is>
      </c>
      <c r="K2446" s="62">
        <f>F2446*(G2446-H2446)</f>
        <v/>
      </c>
      <c r="L2446" s="62">
        <f>K2446-(F2446*I2446)</f>
        <v/>
      </c>
      <c r="M2446" s="64">
        <f>L2446/K2446</f>
        <v/>
      </c>
    </row>
    <row r="2447">
      <c r="A2447" s="58" t="inlineStr">
        <is>
          <t>RT20250304-02446</t>
        </is>
      </c>
      <c r="B2447" s="59" t="inlineStr">
        <is>
          <t>2025-03-04</t>
        </is>
      </c>
      <c r="C2447" s="60" t="inlineStr">
        <is>
          <t>Vertex Supplie Pro-786</t>
        </is>
      </c>
      <c r="D2447" s="58" t="inlineStr">
        <is>
          <t>Office</t>
        </is>
      </c>
      <c r="E2447" s="58" t="inlineStr">
        <is>
          <t>Central</t>
        </is>
      </c>
      <c r="F2447" s="61" t="n">
        <v>1</v>
      </c>
      <c r="G2447" s="62" t="n">
        <v>358.33</v>
      </c>
      <c r="H2447" s="63" t="n">
        <v>0.098</v>
      </c>
      <c r="I2447" s="62" t="n">
        <v>286.99</v>
      </c>
      <c r="J2447" s="58" t="inlineStr">
        <is>
          <t>Online</t>
        </is>
      </c>
      <c r="K2447" s="62">
        <f>F2447*(G2447-H2447)</f>
        <v/>
      </c>
      <c r="L2447" s="62">
        <f>K2447-(F2447*I2447)</f>
        <v/>
      </c>
      <c r="M2447" s="64">
        <f>L2447/K2447</f>
        <v/>
      </c>
    </row>
    <row r="2448">
      <c r="A2448" s="58" t="inlineStr">
        <is>
          <t>RT20250304-02447</t>
        </is>
      </c>
      <c r="B2448" s="59" t="inlineStr">
        <is>
          <t>2025-03-04</t>
        </is>
      </c>
      <c r="C2448" s="60" t="inlineStr">
        <is>
          <t>Solace Smartphone Lite-533</t>
        </is>
      </c>
      <c r="D2448" s="58" t="inlineStr">
        <is>
          <t>Electronics</t>
        </is>
      </c>
      <c r="E2448" s="58" t="inlineStr">
        <is>
          <t>North</t>
        </is>
      </c>
      <c r="F2448" s="61" t="n">
        <v>2</v>
      </c>
      <c r="G2448" s="62" t="n">
        <v>1208.02</v>
      </c>
      <c r="H2448" s="63" t="n">
        <v>0.11</v>
      </c>
      <c r="I2448" s="62" t="n">
        <v>925.61</v>
      </c>
      <c r="J2448" s="58" t="inlineStr">
        <is>
          <t>Store</t>
        </is>
      </c>
      <c r="K2448" s="62">
        <f>F2448*(G2448-H2448)</f>
        <v/>
      </c>
      <c r="L2448" s="62">
        <f>K2448-(F2448*I2448)</f>
        <v/>
      </c>
      <c r="M2448" s="64">
        <f>L2448/K2448</f>
        <v/>
      </c>
    </row>
    <row r="2449">
      <c r="A2449" s="58" t="inlineStr">
        <is>
          <t>RT20250304-02448</t>
        </is>
      </c>
      <c r="B2449" s="59" t="inlineStr">
        <is>
          <t>2025-03-04</t>
        </is>
      </c>
      <c r="C2449" s="60" t="inlineStr">
        <is>
          <t>Falcon Headphone Plus-789</t>
        </is>
      </c>
      <c r="D2449" s="58" t="inlineStr">
        <is>
          <t>Electronics</t>
        </is>
      </c>
      <c r="E2449" s="58" t="inlineStr">
        <is>
          <t>South</t>
        </is>
      </c>
      <c r="F2449" s="61" t="n">
        <v>1</v>
      </c>
      <c r="G2449" s="62" t="n">
        <v>1717.71</v>
      </c>
      <c r="H2449" s="63" t="n">
        <v>0.067</v>
      </c>
      <c r="I2449" s="62" t="n">
        <v>1309.21</v>
      </c>
      <c r="J2449" s="58" t="inlineStr">
        <is>
          <t>Store</t>
        </is>
      </c>
      <c r="K2449" s="62">
        <f>F2449*(G2449-H2449)</f>
        <v/>
      </c>
      <c r="L2449" s="62">
        <f>K2449-(F2449*I2449)</f>
        <v/>
      </c>
      <c r="M2449" s="64">
        <f>L2449/K2449</f>
        <v/>
      </c>
    </row>
    <row r="2450">
      <c r="A2450" s="58" t="inlineStr">
        <is>
          <t>RT20250304-02449</t>
        </is>
      </c>
      <c r="B2450" s="59" t="inlineStr">
        <is>
          <t>2025-03-04</t>
        </is>
      </c>
      <c r="C2450" s="60" t="inlineStr">
        <is>
          <t>Orion Storage Plus-961</t>
        </is>
      </c>
      <c r="D2450" s="58" t="inlineStr">
        <is>
          <t>Office</t>
        </is>
      </c>
      <c r="E2450" s="58" t="inlineStr">
        <is>
          <t>East</t>
        </is>
      </c>
      <c r="F2450" s="61" t="n">
        <v>3</v>
      </c>
      <c r="G2450" s="62" t="n">
        <v>447.18</v>
      </c>
      <c r="H2450" s="63" t="n">
        <v>0.077</v>
      </c>
      <c r="I2450" s="62" t="n">
        <v>374.11</v>
      </c>
      <c r="J2450" s="58" t="inlineStr">
        <is>
          <t>Online</t>
        </is>
      </c>
      <c r="K2450" s="62">
        <f>F2450*(G2450-H2450)</f>
        <v/>
      </c>
      <c r="L2450" s="62">
        <f>K2450-(F2450*I2450)</f>
        <v/>
      </c>
      <c r="M2450" s="64">
        <f>L2450/K2450</f>
        <v/>
      </c>
    </row>
    <row r="2451">
      <c r="A2451" s="58" t="inlineStr">
        <is>
          <t>RT20250304-02450</t>
        </is>
      </c>
      <c r="B2451" s="59" t="inlineStr">
        <is>
          <t>2025-03-04</t>
        </is>
      </c>
      <c r="C2451" s="60" t="inlineStr">
        <is>
          <t>Nimbus Storage Plus-646</t>
        </is>
      </c>
      <c r="D2451" s="58" t="inlineStr">
        <is>
          <t>Office</t>
        </is>
      </c>
      <c r="E2451" s="58" t="inlineStr">
        <is>
          <t>East</t>
        </is>
      </c>
      <c r="F2451" s="61" t="n">
        <v>2</v>
      </c>
      <c r="G2451" s="62" t="n">
        <v>418.19</v>
      </c>
      <c r="H2451" s="63" t="n">
        <v>0.039</v>
      </c>
      <c r="I2451" s="62" t="n">
        <v>321.33</v>
      </c>
      <c r="J2451" s="58" t="inlineStr">
        <is>
          <t>Online</t>
        </is>
      </c>
      <c r="K2451" s="62">
        <f>F2451*(G2451-H2451)</f>
        <v/>
      </c>
      <c r="L2451" s="62">
        <f>K2451-(F2451*I2451)</f>
        <v/>
      </c>
      <c r="M2451" s="64">
        <f>L2451/K2451</f>
        <v/>
      </c>
    </row>
    <row r="2452">
      <c r="A2452" s="58" t="inlineStr">
        <is>
          <t>RT20250304-02451</t>
        </is>
      </c>
      <c r="B2452" s="59" t="inlineStr">
        <is>
          <t>2025-03-04</t>
        </is>
      </c>
      <c r="C2452" s="60" t="inlineStr">
        <is>
          <t>Aurora Printer Plus-991</t>
        </is>
      </c>
      <c r="D2452" s="58" t="inlineStr">
        <is>
          <t>Office</t>
        </is>
      </c>
      <c r="E2452" s="58" t="inlineStr">
        <is>
          <t>West</t>
        </is>
      </c>
      <c r="F2452" s="61" t="n">
        <v>2</v>
      </c>
      <c r="G2452" s="62" t="n">
        <v>574.86</v>
      </c>
      <c r="H2452" s="63" t="n">
        <v>0.068</v>
      </c>
      <c r="I2452" s="62" t="n">
        <v>376.56</v>
      </c>
      <c r="J2452" s="58" t="inlineStr">
        <is>
          <t>Store</t>
        </is>
      </c>
      <c r="K2452" s="62">
        <f>F2452*(G2452-H2452)</f>
        <v/>
      </c>
      <c r="L2452" s="62">
        <f>K2452-(F2452*I2452)</f>
        <v/>
      </c>
      <c r="M2452" s="64">
        <f>L2452/K2452</f>
        <v/>
      </c>
    </row>
    <row r="2453">
      <c r="A2453" s="58" t="inlineStr">
        <is>
          <t>RT20250305-02452</t>
        </is>
      </c>
      <c r="B2453" s="59" t="inlineStr">
        <is>
          <t>2025-03-05</t>
        </is>
      </c>
      <c r="C2453" s="60" t="inlineStr">
        <is>
          <t>Vertex Supplie Pro-786</t>
        </is>
      </c>
      <c r="D2453" s="58" t="inlineStr">
        <is>
          <t>Office</t>
        </is>
      </c>
      <c r="E2453" s="58" t="inlineStr">
        <is>
          <t>South</t>
        </is>
      </c>
      <c r="F2453" s="61" t="n">
        <v>2</v>
      </c>
      <c r="G2453" s="62" t="n">
        <v>406.32</v>
      </c>
      <c r="H2453" s="63" t="n">
        <v>0.134</v>
      </c>
      <c r="I2453" s="62" t="n">
        <v>293.6</v>
      </c>
      <c r="J2453" s="58" t="inlineStr">
        <is>
          <t>Online</t>
        </is>
      </c>
      <c r="K2453" s="62">
        <f>F2453*(G2453-H2453)</f>
        <v/>
      </c>
      <c r="L2453" s="62">
        <f>K2453-(F2453*I2453)</f>
        <v/>
      </c>
      <c r="M2453" s="64">
        <f>L2453/K2453</f>
        <v/>
      </c>
    </row>
    <row r="2454">
      <c r="A2454" s="58" t="inlineStr">
        <is>
          <t>RT20250305-02453</t>
        </is>
      </c>
      <c r="B2454" s="59" t="inlineStr">
        <is>
          <t>2025-03-05</t>
        </is>
      </c>
      <c r="C2454" s="60" t="inlineStr">
        <is>
          <t>Orion Beverage Plus-949</t>
        </is>
      </c>
      <c r="D2454" s="58" t="inlineStr">
        <is>
          <t>Grocery</t>
        </is>
      </c>
      <c r="E2454" s="58" t="inlineStr">
        <is>
          <t>North</t>
        </is>
      </c>
      <c r="F2454" s="61" t="n">
        <v>5</v>
      </c>
      <c r="G2454" s="62" t="n">
        <v>17.04</v>
      </c>
      <c r="H2454" s="63" t="n">
        <v>0.089</v>
      </c>
      <c r="I2454" s="62" t="n">
        <v>13.38</v>
      </c>
      <c r="J2454" s="58" t="inlineStr">
        <is>
          <t>Store</t>
        </is>
      </c>
      <c r="K2454" s="62">
        <f>F2454*(G2454-H2454)</f>
        <v/>
      </c>
      <c r="L2454" s="62">
        <f>K2454-(F2454*I2454)</f>
        <v/>
      </c>
      <c r="M2454" s="64">
        <f>L2454/K2454</f>
        <v/>
      </c>
    </row>
    <row r="2455">
      <c r="A2455" s="58" t="inlineStr">
        <is>
          <t>RT20250305-02454</t>
        </is>
      </c>
      <c r="B2455" s="59" t="inlineStr">
        <is>
          <t>2025-03-05</t>
        </is>
      </c>
      <c r="C2455" s="60" t="inlineStr">
        <is>
          <t>Polar Haircare Max-614</t>
        </is>
      </c>
      <c r="D2455" s="58" t="inlineStr">
        <is>
          <t>Beauty</t>
        </is>
      </c>
      <c r="E2455" s="58" t="inlineStr">
        <is>
          <t>South</t>
        </is>
      </c>
      <c r="F2455" s="61" t="n">
        <v>1</v>
      </c>
      <c r="G2455" s="62" t="n">
        <v>118.5</v>
      </c>
      <c r="H2455" s="63" t="n">
        <v>0.083</v>
      </c>
      <c r="I2455" s="62" t="n">
        <v>70.72</v>
      </c>
      <c r="J2455" s="58" t="inlineStr">
        <is>
          <t>Store</t>
        </is>
      </c>
      <c r="K2455" s="62">
        <f>F2455*(G2455-H2455)</f>
        <v/>
      </c>
      <c r="L2455" s="62">
        <f>K2455-(F2455*I2455)</f>
        <v/>
      </c>
      <c r="M2455" s="64">
        <f>L2455/K2455</f>
        <v/>
      </c>
    </row>
    <row r="2456">
      <c r="A2456" s="58" t="inlineStr">
        <is>
          <t>RT20250305-02455</t>
        </is>
      </c>
      <c r="B2456" s="59" t="inlineStr">
        <is>
          <t>2025-03-05</t>
        </is>
      </c>
      <c r="C2456" s="60" t="inlineStr">
        <is>
          <t>Falcon Furniture Plus-839</t>
        </is>
      </c>
      <c r="D2456" s="58" t="inlineStr">
        <is>
          <t>Office</t>
        </is>
      </c>
      <c r="E2456" s="58" t="inlineStr">
        <is>
          <t>North</t>
        </is>
      </c>
      <c r="F2456" s="61" t="n">
        <v>1</v>
      </c>
      <c r="G2456" s="62" t="n">
        <v>268.1</v>
      </c>
      <c r="H2456" s="63" t="n">
        <v>0.061</v>
      </c>
      <c r="I2456" s="62" t="n">
        <v>225.5</v>
      </c>
      <c r="J2456" s="58" t="inlineStr">
        <is>
          <t>Store</t>
        </is>
      </c>
      <c r="K2456" s="62">
        <f>F2456*(G2456-H2456)</f>
        <v/>
      </c>
      <c r="L2456" s="62">
        <f>K2456-(F2456*I2456)</f>
        <v/>
      </c>
      <c r="M2456" s="64">
        <f>L2456/K2456</f>
        <v/>
      </c>
    </row>
    <row r="2457">
      <c r="A2457" s="58" t="inlineStr">
        <is>
          <t>RT20250305-02456</t>
        </is>
      </c>
      <c r="B2457" s="59" t="inlineStr">
        <is>
          <t>2025-03-05</t>
        </is>
      </c>
      <c r="C2457" s="60" t="inlineStr">
        <is>
          <t>Polar Supplie Lite-348</t>
        </is>
      </c>
      <c r="D2457" s="58" t="inlineStr">
        <is>
          <t>Office</t>
        </is>
      </c>
      <c r="E2457" s="58" t="inlineStr">
        <is>
          <t>South</t>
        </is>
      </c>
      <c r="F2457" s="61" t="n">
        <v>1</v>
      </c>
      <c r="G2457" s="62" t="n">
        <v>501.45</v>
      </c>
      <c r="H2457" s="63" t="n">
        <v>0.093</v>
      </c>
      <c r="I2457" s="62" t="n">
        <v>313.99</v>
      </c>
      <c r="J2457" s="58" t="inlineStr">
        <is>
          <t>Store</t>
        </is>
      </c>
      <c r="K2457" s="62">
        <f>F2457*(G2457-H2457)</f>
        <v/>
      </c>
      <c r="L2457" s="62">
        <f>K2457-(F2457*I2457)</f>
        <v/>
      </c>
      <c r="M2457" s="64">
        <f>L2457/K2457</f>
        <v/>
      </c>
    </row>
    <row r="2458">
      <c r="A2458" s="58" t="inlineStr">
        <is>
          <t>RT20250305-02457</t>
        </is>
      </c>
      <c r="B2458" s="59" t="inlineStr">
        <is>
          <t>2025-03-05</t>
        </is>
      </c>
      <c r="C2458" s="60" t="inlineStr">
        <is>
          <t>Nimbus Women Plus-352</t>
        </is>
      </c>
      <c r="D2458" s="58" t="inlineStr">
        <is>
          <t>Apparel</t>
        </is>
      </c>
      <c r="E2458" s="58" t="inlineStr">
        <is>
          <t>Central</t>
        </is>
      </c>
      <c r="F2458" s="61" t="n">
        <v>3</v>
      </c>
      <c r="G2458" s="62" t="n">
        <v>63.58</v>
      </c>
      <c r="H2458" s="63" t="n">
        <v>0.08699999999999999</v>
      </c>
      <c r="I2458" s="62" t="n">
        <v>32.54</v>
      </c>
      <c r="J2458" s="58" t="inlineStr">
        <is>
          <t>Online</t>
        </is>
      </c>
      <c r="K2458" s="62">
        <f>F2458*(G2458-H2458)</f>
        <v/>
      </c>
      <c r="L2458" s="62">
        <f>K2458-(F2458*I2458)</f>
        <v/>
      </c>
      <c r="M2458" s="64">
        <f>L2458/K2458</f>
        <v/>
      </c>
    </row>
    <row r="2459">
      <c r="A2459" s="58" t="inlineStr">
        <is>
          <t>RT20250305-02458</t>
        </is>
      </c>
      <c r="B2459" s="59" t="inlineStr">
        <is>
          <t>2025-03-05</t>
        </is>
      </c>
      <c r="C2459" s="60" t="inlineStr">
        <is>
          <t>Vertex Pantry Pro-165</t>
        </is>
      </c>
      <c r="D2459" s="58" t="inlineStr">
        <is>
          <t>Grocery</t>
        </is>
      </c>
      <c r="E2459" s="58" t="inlineStr">
        <is>
          <t>South</t>
        </is>
      </c>
      <c r="F2459" s="61" t="n">
        <v>1</v>
      </c>
      <c r="G2459" s="62" t="n">
        <v>15.74</v>
      </c>
      <c r="H2459" s="63" t="n">
        <v>0.125</v>
      </c>
      <c r="I2459" s="62" t="n">
        <v>11.99</v>
      </c>
      <c r="J2459" s="58" t="inlineStr">
        <is>
          <t>Store</t>
        </is>
      </c>
      <c r="K2459" s="62">
        <f>F2459*(G2459-H2459)</f>
        <v/>
      </c>
      <c r="L2459" s="62">
        <f>K2459-(F2459*I2459)</f>
        <v/>
      </c>
      <c r="M2459" s="64">
        <f>L2459/K2459</f>
        <v/>
      </c>
    </row>
    <row r="2460">
      <c r="A2460" s="58" t="inlineStr">
        <is>
          <t>RT20250305-02459</t>
        </is>
      </c>
      <c r="B2460" s="59" t="inlineStr">
        <is>
          <t>2025-03-05</t>
        </is>
      </c>
      <c r="C2460" s="60" t="inlineStr">
        <is>
          <t>Polar Women S-662</t>
        </is>
      </c>
      <c r="D2460" s="58" t="inlineStr">
        <is>
          <t>Apparel</t>
        </is>
      </c>
      <c r="E2460" s="58" t="inlineStr">
        <is>
          <t>East</t>
        </is>
      </c>
      <c r="F2460" s="61" t="n">
        <v>1</v>
      </c>
      <c r="G2460" s="62" t="n">
        <v>171.42</v>
      </c>
      <c r="H2460" s="63" t="n">
        <v>0.101</v>
      </c>
      <c r="I2460" s="62" t="n">
        <v>97.33</v>
      </c>
      <c r="J2460" s="58" t="inlineStr">
        <is>
          <t>Store</t>
        </is>
      </c>
      <c r="K2460" s="62">
        <f>F2460*(G2460-H2460)</f>
        <v/>
      </c>
      <c r="L2460" s="62">
        <f>K2460-(F2460*I2460)</f>
        <v/>
      </c>
      <c r="M2460" s="64">
        <f>L2460/K2460</f>
        <v/>
      </c>
    </row>
    <row r="2461">
      <c r="A2461" s="58" t="inlineStr">
        <is>
          <t>RT20250305-02460</t>
        </is>
      </c>
      <c r="B2461" s="59" t="inlineStr">
        <is>
          <t>2025-03-05</t>
        </is>
      </c>
      <c r="C2461" s="60" t="inlineStr">
        <is>
          <t>Aurora Team Sport Plus-256</t>
        </is>
      </c>
      <c r="D2461" s="58" t="inlineStr">
        <is>
          <t>Sports</t>
        </is>
      </c>
      <c r="E2461" s="58" t="inlineStr">
        <is>
          <t>South</t>
        </is>
      </c>
      <c r="F2461" s="61" t="n">
        <v>3</v>
      </c>
      <c r="G2461" s="62" t="n">
        <v>587.58</v>
      </c>
      <c r="H2461" s="63" t="n">
        <v>0.162</v>
      </c>
      <c r="I2461" s="62" t="n">
        <v>414.8</v>
      </c>
      <c r="J2461" s="58" t="inlineStr">
        <is>
          <t>Online</t>
        </is>
      </c>
      <c r="K2461" s="62">
        <f>F2461*(G2461-H2461)</f>
        <v/>
      </c>
      <c r="L2461" s="62">
        <f>K2461-(F2461*I2461)</f>
        <v/>
      </c>
      <c r="M2461" s="64">
        <f>L2461/K2461</f>
        <v/>
      </c>
    </row>
    <row r="2462">
      <c r="A2462" s="58" t="inlineStr">
        <is>
          <t>RT20250305-02461</t>
        </is>
      </c>
      <c r="B2462" s="59" t="inlineStr">
        <is>
          <t>2025-03-05</t>
        </is>
      </c>
      <c r="C2462" s="60" t="inlineStr">
        <is>
          <t>Orion Beverage Plus-949</t>
        </is>
      </c>
      <c r="D2462" s="58" t="inlineStr">
        <is>
          <t>Grocery</t>
        </is>
      </c>
      <c r="E2462" s="58" t="inlineStr">
        <is>
          <t>Central</t>
        </is>
      </c>
      <c r="F2462" s="61" t="n">
        <v>4</v>
      </c>
      <c r="G2462" s="62" t="n">
        <v>20.34</v>
      </c>
      <c r="H2462" s="63" t="n">
        <v>0.102</v>
      </c>
      <c r="I2462" s="62" t="n">
        <v>13.22</v>
      </c>
      <c r="J2462" s="58" t="inlineStr">
        <is>
          <t>Phone</t>
        </is>
      </c>
      <c r="K2462" s="62">
        <f>F2462*(G2462-H2462)</f>
        <v/>
      </c>
      <c r="L2462" s="62">
        <f>K2462-(F2462*I2462)</f>
        <v/>
      </c>
      <c r="M2462" s="64">
        <f>L2462/K2462</f>
        <v/>
      </c>
    </row>
    <row r="2463">
      <c r="A2463" s="58" t="inlineStr">
        <is>
          <t>RT20250305-02462</t>
        </is>
      </c>
      <c r="B2463" s="59" t="inlineStr">
        <is>
          <t>2025-03-05</t>
        </is>
      </c>
      <c r="C2463" s="60" t="inlineStr">
        <is>
          <t>Aurora Appliance Max-316</t>
        </is>
      </c>
      <c r="D2463" s="58" t="inlineStr">
        <is>
          <t>Home</t>
        </is>
      </c>
      <c r="E2463" s="58" t="inlineStr">
        <is>
          <t>East</t>
        </is>
      </c>
      <c r="F2463" s="61" t="n">
        <v>3</v>
      </c>
      <c r="G2463" s="62" t="n">
        <v>311.34</v>
      </c>
      <c r="H2463" s="63" t="n">
        <v>0.068</v>
      </c>
      <c r="I2463" s="62" t="n">
        <v>209.54</v>
      </c>
      <c r="J2463" s="58" t="inlineStr">
        <is>
          <t>Online</t>
        </is>
      </c>
      <c r="K2463" s="62">
        <f>F2463*(G2463-H2463)</f>
        <v/>
      </c>
      <c r="L2463" s="62">
        <f>K2463-(F2463*I2463)</f>
        <v/>
      </c>
      <c r="M2463" s="64">
        <f>L2463/K2463</f>
        <v/>
      </c>
    </row>
    <row r="2464">
      <c r="A2464" s="58" t="inlineStr">
        <is>
          <t>RT20250305-02463</t>
        </is>
      </c>
      <c r="B2464" s="59" t="inlineStr">
        <is>
          <t>2025-03-05</t>
        </is>
      </c>
      <c r="C2464" s="60" t="inlineStr">
        <is>
          <t>Aurora Fragrance S-971</t>
        </is>
      </c>
      <c r="D2464" s="58" t="inlineStr">
        <is>
          <t>Beauty</t>
        </is>
      </c>
      <c r="E2464" s="58" t="inlineStr">
        <is>
          <t>East</t>
        </is>
      </c>
      <c r="F2464" s="61" t="n">
        <v>5</v>
      </c>
      <c r="G2464" s="62" t="n">
        <v>117.87</v>
      </c>
      <c r="H2464" s="63" t="n">
        <v>0.115</v>
      </c>
      <c r="I2464" s="62" t="n">
        <v>64.34</v>
      </c>
      <c r="J2464" s="58" t="inlineStr">
        <is>
          <t>Online</t>
        </is>
      </c>
      <c r="K2464" s="62">
        <f>F2464*(G2464-H2464)</f>
        <v/>
      </c>
      <c r="L2464" s="62">
        <f>K2464-(F2464*I2464)</f>
        <v/>
      </c>
      <c r="M2464" s="64">
        <f>L2464/K2464</f>
        <v/>
      </c>
    </row>
    <row r="2465">
      <c r="A2465" s="58" t="inlineStr">
        <is>
          <t>RT20250305-02464</t>
        </is>
      </c>
      <c r="B2465" s="59" t="inlineStr">
        <is>
          <t>2025-03-05</t>
        </is>
      </c>
      <c r="C2465" s="60" t="inlineStr">
        <is>
          <t>Vertex Smartphone Pro-256</t>
        </is>
      </c>
      <c r="D2465" s="58" t="inlineStr">
        <is>
          <t>Electronics</t>
        </is>
      </c>
      <c r="E2465" s="58" t="inlineStr">
        <is>
          <t>Central</t>
        </is>
      </c>
      <c r="F2465" s="61" t="n">
        <v>1</v>
      </c>
      <c r="G2465" s="62" t="n">
        <v>1067.95</v>
      </c>
      <c r="H2465" s="63" t="n">
        <v>0.156</v>
      </c>
      <c r="I2465" s="62" t="n">
        <v>875.1</v>
      </c>
      <c r="J2465" s="58" t="inlineStr">
        <is>
          <t>Store</t>
        </is>
      </c>
      <c r="K2465" s="62">
        <f>F2465*(G2465-H2465)</f>
        <v/>
      </c>
      <c r="L2465" s="62">
        <f>K2465-(F2465*I2465)</f>
        <v/>
      </c>
      <c r="M2465" s="64">
        <f>L2465/K2465</f>
        <v/>
      </c>
    </row>
    <row r="2466">
      <c r="A2466" s="58" t="inlineStr">
        <is>
          <t>RT20250305-02465</t>
        </is>
      </c>
      <c r="B2466" s="59" t="inlineStr">
        <is>
          <t>2025-03-05</t>
        </is>
      </c>
      <c r="C2466" s="60" t="inlineStr">
        <is>
          <t>Aurora Furniture X-709</t>
        </is>
      </c>
      <c r="D2466" s="58" t="inlineStr">
        <is>
          <t>Office</t>
        </is>
      </c>
      <c r="E2466" s="58" t="inlineStr">
        <is>
          <t>North</t>
        </is>
      </c>
      <c r="F2466" s="61" t="n">
        <v>1</v>
      </c>
      <c r="G2466" s="62" t="n">
        <v>420.22</v>
      </c>
      <c r="H2466" s="63" t="n">
        <v>0.06</v>
      </c>
      <c r="I2466" s="62" t="n">
        <v>300.76</v>
      </c>
      <c r="J2466" s="58" t="inlineStr">
        <is>
          <t>Online</t>
        </is>
      </c>
      <c r="K2466" s="62">
        <f>F2466*(G2466-H2466)</f>
        <v/>
      </c>
      <c r="L2466" s="62">
        <f>K2466-(F2466*I2466)</f>
        <v/>
      </c>
      <c r="M2466" s="64">
        <f>L2466/K2466</f>
        <v/>
      </c>
    </row>
    <row r="2467">
      <c r="A2467" s="58" t="inlineStr">
        <is>
          <t>RT20250305-02466</t>
        </is>
      </c>
      <c r="B2467" s="59" t="inlineStr">
        <is>
          <t>2025-03-05</t>
        </is>
      </c>
      <c r="C2467" s="60" t="inlineStr">
        <is>
          <t>Vertex Printer Max-692</t>
        </is>
      </c>
      <c r="D2467" s="58" t="inlineStr">
        <is>
          <t>Office</t>
        </is>
      </c>
      <c r="E2467" s="58" t="inlineStr">
        <is>
          <t>West</t>
        </is>
      </c>
      <c r="F2467" s="61" t="n">
        <v>3</v>
      </c>
      <c r="G2467" s="62" t="n">
        <v>156.59</v>
      </c>
      <c r="H2467" s="63" t="n">
        <v>0.098</v>
      </c>
      <c r="I2467" s="62" t="n">
        <v>123.89</v>
      </c>
      <c r="J2467" s="58" t="inlineStr">
        <is>
          <t>Online</t>
        </is>
      </c>
      <c r="K2467" s="62">
        <f>F2467*(G2467-H2467)</f>
        <v/>
      </c>
      <c r="L2467" s="62">
        <f>K2467-(F2467*I2467)</f>
        <v/>
      </c>
      <c r="M2467" s="64">
        <f>L2467/K2467</f>
        <v/>
      </c>
    </row>
    <row r="2468">
      <c r="A2468" s="58" t="inlineStr">
        <is>
          <t>RT20250305-02467</t>
        </is>
      </c>
      <c r="B2468" s="59" t="inlineStr">
        <is>
          <t>2025-03-05</t>
        </is>
      </c>
      <c r="C2468" s="60" t="inlineStr">
        <is>
          <t>Vertex Furniture S-652</t>
        </is>
      </c>
      <c r="D2468" s="58" t="inlineStr">
        <is>
          <t>Office</t>
        </is>
      </c>
      <c r="E2468" s="58" t="inlineStr">
        <is>
          <t>East</t>
        </is>
      </c>
      <c r="F2468" s="61" t="n">
        <v>2</v>
      </c>
      <c r="G2468" s="62" t="n">
        <v>392.56</v>
      </c>
      <c r="H2468" s="63" t="n">
        <v>0.063</v>
      </c>
      <c r="I2468" s="62" t="n">
        <v>260.9</v>
      </c>
      <c r="J2468" s="58" t="inlineStr">
        <is>
          <t>Online</t>
        </is>
      </c>
      <c r="K2468" s="62">
        <f>F2468*(G2468-H2468)</f>
        <v/>
      </c>
      <c r="L2468" s="62">
        <f>K2468-(F2468*I2468)</f>
        <v/>
      </c>
      <c r="M2468" s="64">
        <f>L2468/K2468</f>
        <v/>
      </c>
    </row>
    <row r="2469">
      <c r="A2469" s="58" t="inlineStr">
        <is>
          <t>RT20250305-02468</t>
        </is>
      </c>
      <c r="B2469" s="59" t="inlineStr">
        <is>
          <t>2025-03-05</t>
        </is>
      </c>
      <c r="C2469" s="60" t="inlineStr">
        <is>
          <t>Nimbus Women Plus-352</t>
        </is>
      </c>
      <c r="D2469" s="58" t="inlineStr">
        <is>
          <t>Apparel</t>
        </is>
      </c>
      <c r="E2469" s="58" t="inlineStr">
        <is>
          <t>Central</t>
        </is>
      </c>
      <c r="F2469" s="61" t="n">
        <v>3</v>
      </c>
      <c r="G2469" s="62" t="n">
        <v>54.57</v>
      </c>
      <c r="H2469" s="63" t="n">
        <v>0.103</v>
      </c>
      <c r="I2469" s="62" t="n">
        <v>32.23</v>
      </c>
      <c r="J2469" s="58" t="inlineStr">
        <is>
          <t>Store</t>
        </is>
      </c>
      <c r="K2469" s="62">
        <f>F2469*(G2469-H2469)</f>
        <v/>
      </c>
      <c r="L2469" s="62">
        <f>K2469-(F2469*I2469)</f>
        <v/>
      </c>
      <c r="M2469" s="64">
        <f>L2469/K2469</f>
        <v/>
      </c>
    </row>
    <row r="2470">
      <c r="A2470" s="58" t="inlineStr">
        <is>
          <t>RT20250305-02469</t>
        </is>
      </c>
      <c r="B2470" s="59" t="inlineStr">
        <is>
          <t>2025-03-05</t>
        </is>
      </c>
      <c r="C2470" s="60" t="inlineStr">
        <is>
          <t>Solace Bedding Plus-317</t>
        </is>
      </c>
      <c r="D2470" s="58" t="inlineStr">
        <is>
          <t>Home</t>
        </is>
      </c>
      <c r="E2470" s="58" t="inlineStr">
        <is>
          <t>West</t>
        </is>
      </c>
      <c r="F2470" s="61" t="n">
        <v>2</v>
      </c>
      <c r="G2470" s="62" t="n">
        <v>535.89</v>
      </c>
      <c r="H2470" s="63" t="n">
        <v>0.08799999999999999</v>
      </c>
      <c r="I2470" s="62" t="n">
        <v>390.02</v>
      </c>
      <c r="J2470" s="58" t="inlineStr">
        <is>
          <t>Online</t>
        </is>
      </c>
      <c r="K2470" s="62">
        <f>F2470*(G2470-H2470)</f>
        <v/>
      </c>
      <c r="L2470" s="62">
        <f>K2470-(F2470*I2470)</f>
        <v/>
      </c>
      <c r="M2470" s="64">
        <f>L2470/K2470</f>
        <v/>
      </c>
    </row>
    <row r="2471">
      <c r="A2471" s="58" t="inlineStr">
        <is>
          <t>RT20250305-02470</t>
        </is>
      </c>
      <c r="B2471" s="59" t="inlineStr">
        <is>
          <t>2025-03-05</t>
        </is>
      </c>
      <c r="C2471" s="60" t="inlineStr">
        <is>
          <t>Polar Women S-662</t>
        </is>
      </c>
      <c r="D2471" s="58" t="inlineStr">
        <is>
          <t>Apparel</t>
        </is>
      </c>
      <c r="E2471" s="58" t="inlineStr">
        <is>
          <t>West</t>
        </is>
      </c>
      <c r="F2471" s="61" t="n">
        <v>1</v>
      </c>
      <c r="G2471" s="62" t="n">
        <v>163.38</v>
      </c>
      <c r="H2471" s="63" t="n">
        <v>0.111</v>
      </c>
      <c r="I2471" s="62" t="n">
        <v>97.75</v>
      </c>
      <c r="J2471" s="58" t="inlineStr">
        <is>
          <t>Store</t>
        </is>
      </c>
      <c r="K2471" s="62">
        <f>F2471*(G2471-H2471)</f>
        <v/>
      </c>
      <c r="L2471" s="62">
        <f>K2471-(F2471*I2471)</f>
        <v/>
      </c>
      <c r="M2471" s="64">
        <f>L2471/K2471</f>
        <v/>
      </c>
    </row>
    <row r="2472">
      <c r="A2472" s="58" t="inlineStr">
        <is>
          <t>RT20250305-02471</t>
        </is>
      </c>
      <c r="B2472" s="59" t="inlineStr">
        <is>
          <t>2025-03-05</t>
        </is>
      </c>
      <c r="C2472" s="60" t="inlineStr">
        <is>
          <t>Falcon Cycling Pro-499</t>
        </is>
      </c>
      <c r="D2472" s="58" t="inlineStr">
        <is>
          <t>Sports</t>
        </is>
      </c>
      <c r="E2472" s="58" t="inlineStr">
        <is>
          <t>East</t>
        </is>
      </c>
      <c r="F2472" s="61" t="n">
        <v>1</v>
      </c>
      <c r="G2472" s="62" t="n">
        <v>609.23</v>
      </c>
      <c r="H2472" s="63" t="n">
        <v>0.118</v>
      </c>
      <c r="I2472" s="62" t="n">
        <v>405.36</v>
      </c>
      <c r="J2472" s="58" t="inlineStr">
        <is>
          <t>Online</t>
        </is>
      </c>
      <c r="K2472" s="62">
        <f>F2472*(G2472-H2472)</f>
        <v/>
      </c>
      <c r="L2472" s="62">
        <f>K2472-(F2472*I2472)</f>
        <v/>
      </c>
      <c r="M2472" s="64">
        <f>L2472/K2472</f>
        <v/>
      </c>
    </row>
    <row r="2473">
      <c r="A2473" s="58" t="inlineStr">
        <is>
          <t>RT20250305-02472</t>
        </is>
      </c>
      <c r="B2473" s="59" t="inlineStr">
        <is>
          <t>2025-03-05</t>
        </is>
      </c>
      <c r="C2473" s="60" t="inlineStr">
        <is>
          <t>Falcon Headphone Plus-789</t>
        </is>
      </c>
      <c r="D2473" s="58" t="inlineStr">
        <is>
          <t>Electronics</t>
        </is>
      </c>
      <c r="E2473" s="58" t="inlineStr">
        <is>
          <t>Central</t>
        </is>
      </c>
      <c r="F2473" s="61" t="n">
        <v>1</v>
      </c>
      <c r="G2473" s="62" t="n">
        <v>1585.08</v>
      </c>
      <c r="H2473" s="63" t="n">
        <v>0.126</v>
      </c>
      <c r="I2473" s="62" t="n">
        <v>1326.39</v>
      </c>
      <c r="J2473" s="58" t="inlineStr">
        <is>
          <t>Online</t>
        </is>
      </c>
      <c r="K2473" s="62">
        <f>F2473*(G2473-H2473)</f>
        <v/>
      </c>
      <c r="L2473" s="62">
        <f>K2473-(F2473*I2473)</f>
        <v/>
      </c>
      <c r="M2473" s="64">
        <f>L2473/K2473</f>
        <v/>
      </c>
    </row>
    <row r="2474">
      <c r="A2474" s="58" t="inlineStr">
        <is>
          <t>RT20250305-02473</t>
        </is>
      </c>
      <c r="B2474" s="59" t="inlineStr">
        <is>
          <t>2025-03-05</t>
        </is>
      </c>
      <c r="C2474" s="60" t="inlineStr">
        <is>
          <t>Solace Team Sport Max-548</t>
        </is>
      </c>
      <c r="D2474" s="58" t="inlineStr">
        <is>
          <t>Sports</t>
        </is>
      </c>
      <c r="E2474" s="58" t="inlineStr">
        <is>
          <t>South</t>
        </is>
      </c>
      <c r="F2474" s="61" t="n">
        <v>2</v>
      </c>
      <c r="G2474" s="62" t="n">
        <v>811.9</v>
      </c>
      <c r="H2474" s="63" t="n">
        <v>0.094</v>
      </c>
      <c r="I2474" s="62" t="n">
        <v>471.66</v>
      </c>
      <c r="J2474" s="58" t="inlineStr">
        <is>
          <t>Store</t>
        </is>
      </c>
      <c r="K2474" s="62">
        <f>F2474*(G2474-H2474)</f>
        <v/>
      </c>
      <c r="L2474" s="62">
        <f>K2474-(F2474*I2474)</f>
        <v/>
      </c>
      <c r="M2474" s="64">
        <f>L2474/K2474</f>
        <v/>
      </c>
    </row>
    <row r="2475">
      <c r="A2475" s="58" t="inlineStr">
        <is>
          <t>RT20250305-02474</t>
        </is>
      </c>
      <c r="B2475" s="59" t="inlineStr">
        <is>
          <t>2025-03-05</t>
        </is>
      </c>
      <c r="C2475" s="60" t="inlineStr">
        <is>
          <t>Vertex Supplie X-513</t>
        </is>
      </c>
      <c r="D2475" s="58" t="inlineStr">
        <is>
          <t>Office</t>
        </is>
      </c>
      <c r="E2475" s="58" t="inlineStr">
        <is>
          <t>South</t>
        </is>
      </c>
      <c r="F2475" s="61" t="n">
        <v>2</v>
      </c>
      <c r="G2475" s="62" t="n">
        <v>359.55</v>
      </c>
      <c r="H2475" s="63" t="n">
        <v>0.102</v>
      </c>
      <c r="I2475" s="62" t="n">
        <v>277.73</v>
      </c>
      <c r="J2475" s="58" t="inlineStr">
        <is>
          <t>Online</t>
        </is>
      </c>
      <c r="K2475" s="62">
        <f>F2475*(G2475-H2475)</f>
        <v/>
      </c>
      <c r="L2475" s="62">
        <f>K2475-(F2475*I2475)</f>
        <v/>
      </c>
      <c r="M2475" s="64">
        <f>L2475/K2475</f>
        <v/>
      </c>
    </row>
    <row r="2476">
      <c r="A2476" s="58" t="inlineStr">
        <is>
          <t>RT20250305-02475</t>
        </is>
      </c>
      <c r="B2476" s="59" t="inlineStr">
        <is>
          <t>2025-03-05</t>
        </is>
      </c>
      <c r="C2476" s="60" t="inlineStr">
        <is>
          <t>Nimbus Men Plus-231</t>
        </is>
      </c>
      <c r="D2476" s="58" t="inlineStr">
        <is>
          <t>Apparel</t>
        </is>
      </c>
      <c r="E2476" s="58" t="inlineStr">
        <is>
          <t>East</t>
        </is>
      </c>
      <c r="F2476" s="61" t="n">
        <v>2</v>
      </c>
      <c r="G2476" s="62" t="n">
        <v>161.76</v>
      </c>
      <c r="H2476" s="63" t="n">
        <v>0.095</v>
      </c>
      <c r="I2476" s="62" t="n">
        <v>86.17</v>
      </c>
      <c r="J2476" s="58" t="inlineStr">
        <is>
          <t>Store</t>
        </is>
      </c>
      <c r="K2476" s="62">
        <f>F2476*(G2476-H2476)</f>
        <v/>
      </c>
      <c r="L2476" s="62">
        <f>K2476-(F2476*I2476)</f>
        <v/>
      </c>
      <c r="M2476" s="64">
        <f>L2476/K2476</f>
        <v/>
      </c>
    </row>
    <row r="2477">
      <c r="A2477" s="58" t="inlineStr">
        <is>
          <t>RT20250305-02476</t>
        </is>
      </c>
      <c r="B2477" s="59" t="inlineStr">
        <is>
          <t>2025-03-05</t>
        </is>
      </c>
      <c r="C2477" s="60" t="inlineStr">
        <is>
          <t>Aurora Makeup S-626</t>
        </is>
      </c>
      <c r="D2477" s="58" t="inlineStr">
        <is>
          <t>Beauty</t>
        </is>
      </c>
      <c r="E2477" s="58" t="inlineStr">
        <is>
          <t>South</t>
        </is>
      </c>
      <c r="F2477" s="61" t="n">
        <v>1</v>
      </c>
      <c r="G2477" s="62" t="n">
        <v>111.23</v>
      </c>
      <c r="H2477" s="63" t="n">
        <v>0.09</v>
      </c>
      <c r="I2477" s="62" t="n">
        <v>62.25</v>
      </c>
      <c r="J2477" s="58" t="inlineStr">
        <is>
          <t>Store</t>
        </is>
      </c>
      <c r="K2477" s="62">
        <f>F2477*(G2477-H2477)</f>
        <v/>
      </c>
      <c r="L2477" s="62">
        <f>K2477-(F2477*I2477)</f>
        <v/>
      </c>
      <c r="M2477" s="64">
        <f>L2477/K2477</f>
        <v/>
      </c>
    </row>
    <row r="2478">
      <c r="A2478" s="58" t="inlineStr">
        <is>
          <t>RT20250305-02477</t>
        </is>
      </c>
      <c r="B2478" s="59" t="inlineStr">
        <is>
          <t>2025-03-05</t>
        </is>
      </c>
      <c r="C2478" s="60" t="inlineStr">
        <is>
          <t>Metro Fragrance Lite-261</t>
        </is>
      </c>
      <c r="D2478" s="58" t="inlineStr">
        <is>
          <t>Beauty</t>
        </is>
      </c>
      <c r="E2478" s="58" t="inlineStr">
        <is>
          <t>Central</t>
        </is>
      </c>
      <c r="F2478" s="61" t="n">
        <v>2</v>
      </c>
      <c r="G2478" s="62" t="n">
        <v>93.16</v>
      </c>
      <c r="H2478" s="63" t="n">
        <v>0.06900000000000001</v>
      </c>
      <c r="I2478" s="62" t="n">
        <v>55.9</v>
      </c>
      <c r="J2478" s="58" t="inlineStr">
        <is>
          <t>Store</t>
        </is>
      </c>
      <c r="K2478" s="62">
        <f>F2478*(G2478-H2478)</f>
        <v/>
      </c>
      <c r="L2478" s="62">
        <f>K2478-(F2478*I2478)</f>
        <v/>
      </c>
      <c r="M2478" s="64">
        <f>L2478/K2478</f>
        <v/>
      </c>
    </row>
    <row r="2479">
      <c r="A2479" s="58" t="inlineStr">
        <is>
          <t>RT20250305-02478</t>
        </is>
      </c>
      <c r="B2479" s="59" t="inlineStr">
        <is>
          <t>2025-03-05</t>
        </is>
      </c>
      <c r="C2479" s="60" t="inlineStr">
        <is>
          <t>Metro Outdoor Plus-787</t>
        </is>
      </c>
      <c r="D2479" s="58" t="inlineStr">
        <is>
          <t>Sports</t>
        </is>
      </c>
      <c r="E2479" s="58" t="inlineStr">
        <is>
          <t>Central</t>
        </is>
      </c>
      <c r="F2479" s="61" t="n">
        <v>2</v>
      </c>
      <c r="G2479" s="62" t="n">
        <v>533.11</v>
      </c>
      <c r="H2479" s="63" t="n">
        <v>0.106</v>
      </c>
      <c r="I2479" s="62" t="n">
        <v>361.95</v>
      </c>
      <c r="J2479" s="58" t="inlineStr">
        <is>
          <t>Online</t>
        </is>
      </c>
      <c r="K2479" s="62">
        <f>F2479*(G2479-H2479)</f>
        <v/>
      </c>
      <c r="L2479" s="62">
        <f>K2479-(F2479*I2479)</f>
        <v/>
      </c>
      <c r="M2479" s="64">
        <f>L2479/K2479</f>
        <v/>
      </c>
    </row>
    <row r="2480">
      <c r="A2480" s="58" t="inlineStr">
        <is>
          <t>RT20250305-02479</t>
        </is>
      </c>
      <c r="B2480" s="59" t="inlineStr">
        <is>
          <t>2025-03-05</t>
        </is>
      </c>
      <c r="C2480" s="60" t="inlineStr">
        <is>
          <t>Falcon Wearable X-334</t>
        </is>
      </c>
      <c r="D2480" s="58" t="inlineStr">
        <is>
          <t>Electronics</t>
        </is>
      </c>
      <c r="E2480" s="58" t="inlineStr">
        <is>
          <t>West</t>
        </is>
      </c>
      <c r="F2480" s="61" t="n">
        <v>1</v>
      </c>
      <c r="G2480" s="62" t="n">
        <v>2019.94</v>
      </c>
      <c r="H2480" s="63" t="n">
        <v>0.101</v>
      </c>
      <c r="I2480" s="62" t="n">
        <v>1518.06</v>
      </c>
      <c r="J2480" s="58" t="inlineStr">
        <is>
          <t>Store</t>
        </is>
      </c>
      <c r="K2480" s="62">
        <f>F2480*(G2480-H2480)</f>
        <v/>
      </c>
      <c r="L2480" s="62">
        <f>K2480-(F2480*I2480)</f>
        <v/>
      </c>
      <c r="M2480" s="64">
        <f>L2480/K2480</f>
        <v/>
      </c>
    </row>
    <row r="2481">
      <c r="A2481" s="58" t="inlineStr">
        <is>
          <t>RT20250305-02480</t>
        </is>
      </c>
      <c r="B2481" s="59" t="inlineStr">
        <is>
          <t>2025-03-05</t>
        </is>
      </c>
      <c r="C2481" s="60" t="inlineStr">
        <is>
          <t>Aurora Wearable Lite-162</t>
        </is>
      </c>
      <c r="D2481" s="58" t="inlineStr">
        <is>
          <t>Electronics</t>
        </is>
      </c>
      <c r="E2481" s="58" t="inlineStr">
        <is>
          <t>West</t>
        </is>
      </c>
      <c r="F2481" s="61" t="n">
        <v>1</v>
      </c>
      <c r="G2481" s="62" t="n">
        <v>1587.17</v>
      </c>
      <c r="H2481" s="63" t="n">
        <v>0.132</v>
      </c>
      <c r="I2481" s="62" t="n">
        <v>1170.66</v>
      </c>
      <c r="J2481" s="58" t="inlineStr">
        <is>
          <t>Online</t>
        </is>
      </c>
      <c r="K2481" s="62">
        <f>F2481*(G2481-H2481)</f>
        <v/>
      </c>
      <c r="L2481" s="62">
        <f>K2481-(F2481*I2481)</f>
        <v/>
      </c>
      <c r="M2481" s="64">
        <f>L2481/K2481</f>
        <v/>
      </c>
    </row>
    <row r="2482">
      <c r="A2482" s="58" t="inlineStr">
        <is>
          <t>RT20250305-02481</t>
        </is>
      </c>
      <c r="B2482" s="59" t="inlineStr">
        <is>
          <t>2025-03-05</t>
        </is>
      </c>
      <c r="C2482" s="60" t="inlineStr">
        <is>
          <t>Polar Cycling X-649</t>
        </is>
      </c>
      <c r="D2482" s="58" t="inlineStr">
        <is>
          <t>Sports</t>
        </is>
      </c>
      <c r="E2482" s="58" t="inlineStr">
        <is>
          <t>West</t>
        </is>
      </c>
      <c r="F2482" s="61" t="n">
        <v>3</v>
      </c>
      <c r="G2482" s="62" t="n">
        <v>443.16</v>
      </c>
      <c r="H2482" s="63" t="n">
        <v>0.041</v>
      </c>
      <c r="I2482" s="62" t="n">
        <v>372.39</v>
      </c>
      <c r="J2482" s="58" t="inlineStr">
        <is>
          <t>Online</t>
        </is>
      </c>
      <c r="K2482" s="62">
        <f>F2482*(G2482-H2482)</f>
        <v/>
      </c>
      <c r="L2482" s="62">
        <f>K2482-(F2482*I2482)</f>
        <v/>
      </c>
      <c r="M2482" s="64">
        <f>L2482/K2482</f>
        <v/>
      </c>
    </row>
    <row r="2483">
      <c r="A2483" s="58" t="inlineStr">
        <is>
          <t>RT20250305-02482</t>
        </is>
      </c>
      <c r="B2483" s="59" t="inlineStr">
        <is>
          <t>2025-03-05</t>
        </is>
      </c>
      <c r="C2483" s="60" t="inlineStr">
        <is>
          <t>Aurora Makeup Pro-489</t>
        </is>
      </c>
      <c r="D2483" s="58" t="inlineStr">
        <is>
          <t>Beauty</t>
        </is>
      </c>
      <c r="E2483" s="58" t="inlineStr">
        <is>
          <t>West</t>
        </is>
      </c>
      <c r="F2483" s="61" t="n">
        <v>4</v>
      </c>
      <c r="G2483" s="62" t="n">
        <v>101.1</v>
      </c>
      <c r="H2483" s="63" t="n">
        <v>0.08699999999999999</v>
      </c>
      <c r="I2483" s="62" t="n">
        <v>65</v>
      </c>
      <c r="J2483" s="58" t="inlineStr">
        <is>
          <t>Store</t>
        </is>
      </c>
      <c r="K2483" s="62">
        <f>F2483*(G2483-H2483)</f>
        <v/>
      </c>
      <c r="L2483" s="62">
        <f>K2483-(F2483*I2483)</f>
        <v/>
      </c>
      <c r="M2483" s="64">
        <f>L2483/K2483</f>
        <v/>
      </c>
    </row>
    <row r="2484">
      <c r="A2484" s="58" t="inlineStr">
        <is>
          <t>RT20250305-02483</t>
        </is>
      </c>
      <c r="B2484" s="59" t="inlineStr">
        <is>
          <t>2025-03-05</t>
        </is>
      </c>
      <c r="C2484" s="60" t="inlineStr">
        <is>
          <t>Solace Fitnes S-324</t>
        </is>
      </c>
      <c r="D2484" s="58" t="inlineStr">
        <is>
          <t>Sports</t>
        </is>
      </c>
      <c r="E2484" s="58" t="inlineStr">
        <is>
          <t>North</t>
        </is>
      </c>
      <c r="F2484" s="61" t="n">
        <v>1</v>
      </c>
      <c r="G2484" s="62" t="n">
        <v>725.41</v>
      </c>
      <c r="H2484" s="63" t="n">
        <v>0.098</v>
      </c>
      <c r="I2484" s="62" t="n">
        <v>516.3099999999999</v>
      </c>
      <c r="J2484" s="58" t="inlineStr">
        <is>
          <t>Online</t>
        </is>
      </c>
      <c r="K2484" s="62">
        <f>F2484*(G2484-H2484)</f>
        <v/>
      </c>
      <c r="L2484" s="62">
        <f>K2484-(F2484*I2484)</f>
        <v/>
      </c>
      <c r="M2484" s="64">
        <f>L2484/K2484</f>
        <v/>
      </c>
    </row>
    <row r="2485">
      <c r="A2485" s="58" t="inlineStr">
        <is>
          <t>RT20250305-02484</t>
        </is>
      </c>
      <c r="B2485" s="59" t="inlineStr">
        <is>
          <t>2025-03-05</t>
        </is>
      </c>
      <c r="C2485" s="60" t="inlineStr">
        <is>
          <t>Solace Kitchen Pro-510</t>
        </is>
      </c>
      <c r="D2485" s="58" t="inlineStr">
        <is>
          <t>Home</t>
        </is>
      </c>
      <c r="E2485" s="58" t="inlineStr">
        <is>
          <t>South</t>
        </is>
      </c>
      <c r="F2485" s="61" t="n">
        <v>1</v>
      </c>
      <c r="G2485" s="62" t="n">
        <v>460.55</v>
      </c>
      <c r="H2485" s="63" t="n">
        <v>0.117</v>
      </c>
      <c r="I2485" s="62" t="n">
        <v>305.89</v>
      </c>
      <c r="J2485" s="58" t="inlineStr">
        <is>
          <t>Store</t>
        </is>
      </c>
      <c r="K2485" s="62">
        <f>F2485*(G2485-H2485)</f>
        <v/>
      </c>
      <c r="L2485" s="62">
        <f>K2485-(F2485*I2485)</f>
        <v/>
      </c>
      <c r="M2485" s="64">
        <f>L2485/K2485</f>
        <v/>
      </c>
    </row>
    <row r="2486">
      <c r="A2486" s="58" t="inlineStr">
        <is>
          <t>RT20250305-02485</t>
        </is>
      </c>
      <c r="B2486" s="59" t="inlineStr">
        <is>
          <t>2025-03-05</t>
        </is>
      </c>
      <c r="C2486" s="60" t="inlineStr">
        <is>
          <t>Polar Bedding Lite-243</t>
        </is>
      </c>
      <c r="D2486" s="58" t="inlineStr">
        <is>
          <t>Home</t>
        </is>
      </c>
      <c r="E2486" s="58" t="inlineStr">
        <is>
          <t>East</t>
        </is>
      </c>
      <c r="F2486" s="61" t="n">
        <v>1</v>
      </c>
      <c r="G2486" s="62" t="n">
        <v>434.59</v>
      </c>
      <c r="H2486" s="63" t="n">
        <v>0.04</v>
      </c>
      <c r="I2486" s="62" t="n">
        <v>326.69</v>
      </c>
      <c r="J2486" s="58" t="inlineStr">
        <is>
          <t>Online</t>
        </is>
      </c>
      <c r="K2486" s="62">
        <f>F2486*(G2486-H2486)</f>
        <v/>
      </c>
      <c r="L2486" s="62">
        <f>K2486-(F2486*I2486)</f>
        <v/>
      </c>
      <c r="M2486" s="64">
        <f>L2486/K2486</f>
        <v/>
      </c>
    </row>
    <row r="2487">
      <c r="A2487" s="58" t="inlineStr">
        <is>
          <t>RT20250305-02486</t>
        </is>
      </c>
      <c r="B2487" s="59" t="inlineStr">
        <is>
          <t>2025-03-05</t>
        </is>
      </c>
      <c r="C2487" s="60" t="inlineStr">
        <is>
          <t>Orion Men X-928</t>
        </is>
      </c>
      <c r="D2487" s="58" t="inlineStr">
        <is>
          <t>Apparel</t>
        </is>
      </c>
      <c r="E2487" s="58" t="inlineStr">
        <is>
          <t>West</t>
        </is>
      </c>
      <c r="F2487" s="61" t="n">
        <v>1</v>
      </c>
      <c r="G2487" s="62" t="n">
        <v>107.96</v>
      </c>
      <c r="H2487" s="63" t="n">
        <v>0.052</v>
      </c>
      <c r="I2487" s="62" t="n">
        <v>62.86</v>
      </c>
      <c r="J2487" s="58" t="inlineStr">
        <is>
          <t>Online</t>
        </is>
      </c>
      <c r="K2487" s="62">
        <f>F2487*(G2487-H2487)</f>
        <v/>
      </c>
      <c r="L2487" s="62">
        <f>K2487-(F2487*I2487)</f>
        <v/>
      </c>
      <c r="M2487" s="64">
        <f>L2487/K2487</f>
        <v/>
      </c>
    </row>
    <row r="2488">
      <c r="A2488" s="58" t="inlineStr">
        <is>
          <t>RT20250305-02487</t>
        </is>
      </c>
      <c r="B2488" s="59" t="inlineStr">
        <is>
          <t>2025-03-05</t>
        </is>
      </c>
      <c r="C2488" s="60" t="inlineStr">
        <is>
          <t>Nimbus Makeup Max-158</t>
        </is>
      </c>
      <c r="D2488" s="58" t="inlineStr">
        <is>
          <t>Beauty</t>
        </is>
      </c>
      <c r="E2488" s="58" t="inlineStr">
        <is>
          <t>Central</t>
        </is>
      </c>
      <c r="F2488" s="61" t="n">
        <v>4</v>
      </c>
      <c r="G2488" s="62" t="n">
        <v>164.65</v>
      </c>
      <c r="H2488" s="63" t="n">
        <v>0.128</v>
      </c>
      <c r="I2488" s="62" t="n">
        <v>94.68000000000001</v>
      </c>
      <c r="J2488" s="58" t="inlineStr">
        <is>
          <t>Phone</t>
        </is>
      </c>
      <c r="K2488" s="62">
        <f>F2488*(G2488-H2488)</f>
        <v/>
      </c>
      <c r="L2488" s="62">
        <f>K2488-(F2488*I2488)</f>
        <v/>
      </c>
      <c r="M2488" s="64">
        <f>L2488/K2488</f>
        <v/>
      </c>
    </row>
    <row r="2489">
      <c r="A2489" s="58" t="inlineStr">
        <is>
          <t>RT20250305-02488</t>
        </is>
      </c>
      <c r="B2489" s="59" t="inlineStr">
        <is>
          <t>2025-03-05</t>
        </is>
      </c>
      <c r="C2489" s="60" t="inlineStr">
        <is>
          <t>Polar Pantry Lite-392</t>
        </is>
      </c>
      <c r="D2489" s="58" t="inlineStr">
        <is>
          <t>Grocery</t>
        </is>
      </c>
      <c r="E2489" s="58" t="inlineStr">
        <is>
          <t>East</t>
        </is>
      </c>
      <c r="F2489" s="61" t="n">
        <v>5</v>
      </c>
      <c r="G2489" s="62" t="n">
        <v>6.16</v>
      </c>
      <c r="H2489" s="63" t="n">
        <v>0.075</v>
      </c>
      <c r="I2489" s="62" t="n">
        <v>4.42</v>
      </c>
      <c r="J2489" s="58" t="inlineStr">
        <is>
          <t>Store</t>
        </is>
      </c>
      <c r="K2489" s="62">
        <f>F2489*(G2489-H2489)</f>
        <v/>
      </c>
      <c r="L2489" s="62">
        <f>K2489-(F2489*I2489)</f>
        <v/>
      </c>
      <c r="M2489" s="64">
        <f>L2489/K2489</f>
        <v/>
      </c>
    </row>
    <row r="2490">
      <c r="A2490" s="58" t="inlineStr">
        <is>
          <t>RT20250305-02489</t>
        </is>
      </c>
      <c r="B2490" s="59" t="inlineStr">
        <is>
          <t>2025-03-05</t>
        </is>
      </c>
      <c r="C2490" s="60" t="inlineStr">
        <is>
          <t>Solace Snack S-691</t>
        </is>
      </c>
      <c r="D2490" s="58" t="inlineStr">
        <is>
          <t>Grocery</t>
        </is>
      </c>
      <c r="E2490" s="58" t="inlineStr">
        <is>
          <t>Central</t>
        </is>
      </c>
      <c r="F2490" s="61" t="n">
        <v>4</v>
      </c>
      <c r="G2490" s="62" t="n">
        <v>9.289999999999999</v>
      </c>
      <c r="H2490" s="63" t="n">
        <v>0.123</v>
      </c>
      <c r="I2490" s="62" t="n">
        <v>7.33</v>
      </c>
      <c r="J2490" s="58" t="inlineStr">
        <is>
          <t>Store</t>
        </is>
      </c>
      <c r="K2490" s="62">
        <f>F2490*(G2490-H2490)</f>
        <v/>
      </c>
      <c r="L2490" s="62">
        <f>K2490-(F2490*I2490)</f>
        <v/>
      </c>
      <c r="M2490" s="64">
        <f>L2490/K2490</f>
        <v/>
      </c>
    </row>
    <row r="2491">
      <c r="A2491" s="58" t="inlineStr">
        <is>
          <t>RT20250305-02490</t>
        </is>
      </c>
      <c r="B2491" s="59" t="inlineStr">
        <is>
          <t>2025-03-05</t>
        </is>
      </c>
      <c r="C2491" s="60" t="inlineStr">
        <is>
          <t>Metro Beverage Max-490</t>
        </is>
      </c>
      <c r="D2491" s="58" t="inlineStr">
        <is>
          <t>Grocery</t>
        </is>
      </c>
      <c r="E2491" s="58" t="inlineStr">
        <is>
          <t>North</t>
        </is>
      </c>
      <c r="F2491" s="61" t="n">
        <v>4</v>
      </c>
      <c r="G2491" s="62" t="n">
        <v>11.15</v>
      </c>
      <c r="H2491" s="63" t="n">
        <v>0.121</v>
      </c>
      <c r="I2491" s="62" t="n">
        <v>7.99</v>
      </c>
      <c r="J2491" s="58" t="inlineStr">
        <is>
          <t>Online</t>
        </is>
      </c>
      <c r="K2491" s="62">
        <f>F2491*(G2491-H2491)</f>
        <v/>
      </c>
      <c r="L2491" s="62">
        <f>K2491-(F2491*I2491)</f>
        <v/>
      </c>
      <c r="M2491" s="64">
        <f>L2491/K2491</f>
        <v/>
      </c>
    </row>
    <row r="2492">
      <c r="A2492" s="58" t="inlineStr">
        <is>
          <t>RT20250305-02491</t>
        </is>
      </c>
      <c r="B2492" s="59" t="inlineStr">
        <is>
          <t>2025-03-05</t>
        </is>
      </c>
      <c r="C2492" s="60" t="inlineStr">
        <is>
          <t>Vertex Appliance S-159</t>
        </is>
      </c>
      <c r="D2492" s="58" t="inlineStr">
        <is>
          <t>Home</t>
        </is>
      </c>
      <c r="E2492" s="58" t="inlineStr">
        <is>
          <t>Central</t>
        </is>
      </c>
      <c r="F2492" s="61" t="n">
        <v>2</v>
      </c>
      <c r="G2492" s="62" t="n">
        <v>424.84</v>
      </c>
      <c r="H2492" s="63" t="n">
        <v>0.082</v>
      </c>
      <c r="I2492" s="62" t="n">
        <v>297.37</v>
      </c>
      <c r="J2492" s="58" t="inlineStr">
        <is>
          <t>Online</t>
        </is>
      </c>
      <c r="K2492" s="62">
        <f>F2492*(G2492-H2492)</f>
        <v/>
      </c>
      <c r="L2492" s="62">
        <f>K2492-(F2492*I2492)</f>
        <v/>
      </c>
      <c r="M2492" s="64">
        <f>L2492/K2492</f>
        <v/>
      </c>
    </row>
    <row r="2493">
      <c r="A2493" s="58" t="inlineStr">
        <is>
          <t>RT20250305-02492</t>
        </is>
      </c>
      <c r="B2493" s="59" t="inlineStr">
        <is>
          <t>2025-03-05</t>
        </is>
      </c>
      <c r="C2493" s="60" t="inlineStr">
        <is>
          <t>Solace Kitchen Pro-999</t>
        </is>
      </c>
      <c r="D2493" s="58" t="inlineStr">
        <is>
          <t>Home</t>
        </is>
      </c>
      <c r="E2493" s="58" t="inlineStr">
        <is>
          <t>Central</t>
        </is>
      </c>
      <c r="F2493" s="61" t="n">
        <v>2</v>
      </c>
      <c r="G2493" s="62" t="n">
        <v>375.53</v>
      </c>
      <c r="H2493" s="63" t="n">
        <v>0.094</v>
      </c>
      <c r="I2493" s="62" t="n">
        <v>258.88</v>
      </c>
      <c r="J2493" s="58" t="inlineStr">
        <is>
          <t>Online</t>
        </is>
      </c>
      <c r="K2493" s="62">
        <f>F2493*(G2493-H2493)</f>
        <v/>
      </c>
      <c r="L2493" s="62">
        <f>K2493-(F2493*I2493)</f>
        <v/>
      </c>
      <c r="M2493" s="64">
        <f>L2493/K2493</f>
        <v/>
      </c>
    </row>
    <row r="2494">
      <c r="A2494" s="58" t="inlineStr">
        <is>
          <t>RT20250305-02493</t>
        </is>
      </c>
      <c r="B2494" s="59" t="inlineStr">
        <is>
          <t>2025-03-05</t>
        </is>
      </c>
      <c r="C2494" s="60" t="inlineStr">
        <is>
          <t>Polar Women Max-927</t>
        </is>
      </c>
      <c r="D2494" s="58" t="inlineStr">
        <is>
          <t>Apparel</t>
        </is>
      </c>
      <c r="E2494" s="58" t="inlineStr">
        <is>
          <t>Central</t>
        </is>
      </c>
      <c r="F2494" s="61" t="n">
        <v>1</v>
      </c>
      <c r="G2494" s="62" t="n">
        <v>119.31</v>
      </c>
      <c r="H2494" s="63" t="n">
        <v>0.08799999999999999</v>
      </c>
      <c r="I2494" s="62" t="n">
        <v>66.86</v>
      </c>
      <c r="J2494" s="58" t="inlineStr">
        <is>
          <t>Store</t>
        </is>
      </c>
      <c r="K2494" s="62">
        <f>F2494*(G2494-H2494)</f>
        <v/>
      </c>
      <c r="L2494" s="62">
        <f>K2494-(F2494*I2494)</f>
        <v/>
      </c>
      <c r="M2494" s="64">
        <f>L2494/K2494</f>
        <v/>
      </c>
    </row>
    <row r="2495">
      <c r="A2495" s="58" t="inlineStr">
        <is>
          <t>RT20250305-02494</t>
        </is>
      </c>
      <c r="B2495" s="59" t="inlineStr">
        <is>
          <t>2025-03-05</t>
        </is>
      </c>
      <c r="C2495" s="60" t="inlineStr">
        <is>
          <t>Solace Bedding Plus-317</t>
        </is>
      </c>
      <c r="D2495" s="58" t="inlineStr">
        <is>
          <t>Home</t>
        </is>
      </c>
      <c r="E2495" s="58" t="inlineStr">
        <is>
          <t>Central</t>
        </is>
      </c>
      <c r="F2495" s="61" t="n">
        <v>1</v>
      </c>
      <c r="G2495" s="62" t="n">
        <v>545.3200000000001</v>
      </c>
      <c r="H2495" s="63" t="n">
        <v>0.104</v>
      </c>
      <c r="I2495" s="62" t="n">
        <v>391.78</v>
      </c>
      <c r="J2495" s="58" t="inlineStr">
        <is>
          <t>Store</t>
        </is>
      </c>
      <c r="K2495" s="62">
        <f>F2495*(G2495-H2495)</f>
        <v/>
      </c>
      <c r="L2495" s="62">
        <f>K2495-(F2495*I2495)</f>
        <v/>
      </c>
      <c r="M2495" s="64">
        <f>L2495/K2495</f>
        <v/>
      </c>
    </row>
    <row r="2496">
      <c r="A2496" s="58" t="inlineStr">
        <is>
          <t>RT20250305-02495</t>
        </is>
      </c>
      <c r="B2496" s="59" t="inlineStr">
        <is>
          <t>2025-03-05</t>
        </is>
      </c>
      <c r="C2496" s="60" t="inlineStr">
        <is>
          <t>Polar Bedding Lite-243</t>
        </is>
      </c>
      <c r="D2496" s="58" t="inlineStr">
        <is>
          <t>Home</t>
        </is>
      </c>
      <c r="E2496" s="58" t="inlineStr">
        <is>
          <t>Central</t>
        </is>
      </c>
      <c r="F2496" s="61" t="n">
        <v>1</v>
      </c>
      <c r="G2496" s="62" t="n">
        <v>465.02</v>
      </c>
      <c r="H2496" s="63" t="n">
        <v>0.141</v>
      </c>
      <c r="I2496" s="62" t="n">
        <v>326.14</v>
      </c>
      <c r="J2496" s="58" t="inlineStr">
        <is>
          <t>Store</t>
        </is>
      </c>
      <c r="K2496" s="62">
        <f>F2496*(G2496-H2496)</f>
        <v/>
      </c>
      <c r="L2496" s="62">
        <f>K2496-(F2496*I2496)</f>
        <v/>
      </c>
      <c r="M2496" s="64">
        <f>L2496/K2496</f>
        <v/>
      </c>
    </row>
    <row r="2497">
      <c r="A2497" s="58" t="inlineStr">
        <is>
          <t>RT20250305-02496</t>
        </is>
      </c>
      <c r="B2497" s="59" t="inlineStr">
        <is>
          <t>2025-03-05</t>
        </is>
      </c>
      <c r="C2497" s="60" t="inlineStr">
        <is>
          <t>Vertex Supplie X-513</t>
        </is>
      </c>
      <c r="D2497" s="58" t="inlineStr">
        <is>
          <t>Office</t>
        </is>
      </c>
      <c r="E2497" s="58" t="inlineStr">
        <is>
          <t>Central</t>
        </is>
      </c>
      <c r="F2497" s="61" t="n">
        <v>2</v>
      </c>
      <c r="G2497" s="62" t="n">
        <v>416.37</v>
      </c>
      <c r="H2497" s="63" t="n">
        <v>0.08799999999999999</v>
      </c>
      <c r="I2497" s="62" t="n">
        <v>272.45</v>
      </c>
      <c r="J2497" s="58" t="inlineStr">
        <is>
          <t>Store</t>
        </is>
      </c>
      <c r="K2497" s="62">
        <f>F2497*(G2497-H2497)</f>
        <v/>
      </c>
      <c r="L2497" s="62">
        <f>K2497-(F2497*I2497)</f>
        <v/>
      </c>
      <c r="M2497" s="64">
        <f>L2497/K2497</f>
        <v/>
      </c>
    </row>
    <row r="2498">
      <c r="A2498" s="58" t="inlineStr">
        <is>
          <t>RT20250305-02497</t>
        </is>
      </c>
      <c r="B2498" s="59" t="inlineStr">
        <is>
          <t>2025-03-05</t>
        </is>
      </c>
      <c r="C2498" s="60" t="inlineStr">
        <is>
          <t>Orion Snack X-322</t>
        </is>
      </c>
      <c r="D2498" s="58" t="inlineStr">
        <is>
          <t>Grocery</t>
        </is>
      </c>
      <c r="E2498" s="58" t="inlineStr">
        <is>
          <t>Central</t>
        </is>
      </c>
      <c r="F2498" s="61" t="n">
        <v>1</v>
      </c>
      <c r="G2498" s="62" t="n">
        <v>12.23</v>
      </c>
      <c r="H2498" s="63" t="n">
        <v>0.073</v>
      </c>
      <c r="I2498" s="62" t="n">
        <v>10.1</v>
      </c>
      <c r="J2498" s="58" t="inlineStr">
        <is>
          <t>Online</t>
        </is>
      </c>
      <c r="K2498" s="62">
        <f>F2498*(G2498-H2498)</f>
        <v/>
      </c>
      <c r="L2498" s="62">
        <f>K2498-(F2498*I2498)</f>
        <v/>
      </c>
      <c r="M2498" s="64">
        <f>L2498/K2498</f>
        <v/>
      </c>
    </row>
    <row r="2499">
      <c r="A2499" s="58" t="inlineStr">
        <is>
          <t>RT20250305-02498</t>
        </is>
      </c>
      <c r="B2499" s="59" t="inlineStr">
        <is>
          <t>2025-03-05</t>
        </is>
      </c>
      <c r="C2499" s="60" t="inlineStr">
        <is>
          <t>Orion Kitchen Pro-568</t>
        </is>
      </c>
      <c r="D2499" s="58" t="inlineStr">
        <is>
          <t>Home</t>
        </is>
      </c>
      <c r="E2499" s="58" t="inlineStr">
        <is>
          <t>West</t>
        </is>
      </c>
      <c r="F2499" s="61" t="n">
        <v>2</v>
      </c>
      <c r="G2499" s="62" t="n">
        <v>463.3</v>
      </c>
      <c r="H2499" s="63" t="n">
        <v>0.093</v>
      </c>
      <c r="I2499" s="62" t="n">
        <v>300.61</v>
      </c>
      <c r="J2499" s="58" t="inlineStr">
        <is>
          <t>Store</t>
        </is>
      </c>
      <c r="K2499" s="62">
        <f>F2499*(G2499-H2499)</f>
        <v/>
      </c>
      <c r="L2499" s="62">
        <f>K2499-(F2499*I2499)</f>
        <v/>
      </c>
      <c r="M2499" s="64">
        <f>L2499/K2499</f>
        <v/>
      </c>
    </row>
    <row r="2500">
      <c r="A2500" s="58" t="inlineStr">
        <is>
          <t>RT20250305-02499</t>
        </is>
      </c>
      <c r="B2500" s="59" t="inlineStr">
        <is>
          <t>2025-03-05</t>
        </is>
      </c>
      <c r="C2500" s="60" t="inlineStr">
        <is>
          <t>Metro Accessorie Max-316</t>
        </is>
      </c>
      <c r="D2500" s="58" t="inlineStr">
        <is>
          <t>Apparel</t>
        </is>
      </c>
      <c r="E2500" s="58" t="inlineStr">
        <is>
          <t>Central</t>
        </is>
      </c>
      <c r="F2500" s="61" t="n">
        <v>2</v>
      </c>
      <c r="G2500" s="62" t="n">
        <v>165.2</v>
      </c>
      <c r="H2500" s="63" t="n">
        <v>0.103</v>
      </c>
      <c r="I2500" s="62" t="n">
        <v>92.40000000000001</v>
      </c>
      <c r="J2500" s="58" t="inlineStr">
        <is>
          <t>Online</t>
        </is>
      </c>
      <c r="K2500" s="62">
        <f>F2500*(G2500-H2500)</f>
        <v/>
      </c>
      <c r="L2500" s="62">
        <f>K2500-(F2500*I2500)</f>
        <v/>
      </c>
      <c r="M2500" s="64">
        <f>L2500/K2500</f>
        <v/>
      </c>
    </row>
    <row r="2501">
      <c r="A2501" s="58" t="inlineStr">
        <is>
          <t>RT20250305-02500</t>
        </is>
      </c>
      <c r="B2501" s="59" t="inlineStr">
        <is>
          <t>2025-03-05</t>
        </is>
      </c>
      <c r="C2501" s="60" t="inlineStr">
        <is>
          <t>Polar Women S-662</t>
        </is>
      </c>
      <c r="D2501" s="58" t="inlineStr">
        <is>
          <t>Apparel</t>
        </is>
      </c>
      <c r="E2501" s="58" t="inlineStr">
        <is>
          <t>West</t>
        </is>
      </c>
      <c r="F2501" s="61" t="n">
        <v>4</v>
      </c>
      <c r="G2501" s="62" t="n">
        <v>167.43</v>
      </c>
      <c r="H2501" s="63" t="n">
        <v>0.082</v>
      </c>
      <c r="I2501" s="62" t="n">
        <v>99.23999999999999</v>
      </c>
      <c r="J2501" s="58" t="inlineStr">
        <is>
          <t>Phone</t>
        </is>
      </c>
      <c r="K2501" s="62">
        <f>F2501*(G2501-H2501)</f>
        <v/>
      </c>
      <c r="L2501" s="62">
        <f>K2501-(F2501*I2501)</f>
        <v/>
      </c>
      <c r="M2501" s="64">
        <f>L2501/K2501</f>
        <v/>
      </c>
    </row>
    <row r="2502">
      <c r="A2502" s="58" t="inlineStr">
        <is>
          <t>RT20250305-02501</t>
        </is>
      </c>
      <c r="B2502" s="59" t="inlineStr">
        <is>
          <t>2025-03-05</t>
        </is>
      </c>
      <c r="C2502" s="60" t="inlineStr">
        <is>
          <t>Aurora Wearable Lite-162</t>
        </is>
      </c>
      <c r="D2502" s="58" t="inlineStr">
        <is>
          <t>Electronics</t>
        </is>
      </c>
      <c r="E2502" s="58" t="inlineStr">
        <is>
          <t>West</t>
        </is>
      </c>
      <c r="F2502" s="61" t="n">
        <v>2</v>
      </c>
      <c r="G2502" s="62" t="n">
        <v>1578.98</v>
      </c>
      <c r="H2502" s="63" t="n">
        <v>0.075</v>
      </c>
      <c r="I2502" s="62" t="n">
        <v>1208.38</v>
      </c>
      <c r="J2502" s="58" t="inlineStr">
        <is>
          <t>Online</t>
        </is>
      </c>
      <c r="K2502" s="62">
        <f>F2502*(G2502-H2502)</f>
        <v/>
      </c>
      <c r="L2502" s="62">
        <f>K2502-(F2502*I2502)</f>
        <v/>
      </c>
      <c r="M2502" s="64">
        <f>L2502/K2502</f>
        <v/>
      </c>
    </row>
    <row r="2503">
      <c r="A2503" s="58" t="inlineStr">
        <is>
          <t>RT20250305-02502</t>
        </is>
      </c>
      <c r="B2503" s="59" t="inlineStr">
        <is>
          <t>2025-03-05</t>
        </is>
      </c>
      <c r="C2503" s="60" t="inlineStr">
        <is>
          <t>Polar Women S-662</t>
        </is>
      </c>
      <c r="D2503" s="58" t="inlineStr">
        <is>
          <t>Apparel</t>
        </is>
      </c>
      <c r="E2503" s="58" t="inlineStr">
        <is>
          <t>Central</t>
        </is>
      </c>
      <c r="F2503" s="61" t="n">
        <v>3</v>
      </c>
      <c r="G2503" s="62" t="n">
        <v>200.58</v>
      </c>
      <c r="H2503" s="63" t="n">
        <v>0.057</v>
      </c>
      <c r="I2503" s="62" t="n">
        <v>102.01</v>
      </c>
      <c r="J2503" s="58" t="inlineStr">
        <is>
          <t>Store</t>
        </is>
      </c>
      <c r="K2503" s="62">
        <f>F2503*(G2503-H2503)</f>
        <v/>
      </c>
      <c r="L2503" s="62">
        <f>K2503-(F2503*I2503)</f>
        <v/>
      </c>
      <c r="M2503" s="64">
        <f>L2503/K2503</f>
        <v/>
      </c>
    </row>
    <row r="2504">
      <c r="A2504" s="58" t="inlineStr">
        <is>
          <t>RT20250305-02503</t>
        </is>
      </c>
      <c r="B2504" s="59" t="inlineStr">
        <is>
          <t>2025-03-05</t>
        </is>
      </c>
      <c r="C2504" s="60" t="inlineStr">
        <is>
          <t>Aurora Fragrance S-971</t>
        </is>
      </c>
      <c r="D2504" s="58" t="inlineStr">
        <is>
          <t>Beauty</t>
        </is>
      </c>
      <c r="E2504" s="58" t="inlineStr">
        <is>
          <t>West</t>
        </is>
      </c>
      <c r="F2504" s="61" t="n">
        <v>2</v>
      </c>
      <c r="G2504" s="62" t="n">
        <v>115.42</v>
      </c>
      <c r="H2504" s="63" t="n">
        <v>0.097</v>
      </c>
      <c r="I2504" s="62" t="n">
        <v>65.45999999999999</v>
      </c>
      <c r="J2504" s="58" t="inlineStr">
        <is>
          <t>Store</t>
        </is>
      </c>
      <c r="K2504" s="62">
        <f>F2504*(G2504-H2504)</f>
        <v/>
      </c>
      <c r="L2504" s="62">
        <f>K2504-(F2504*I2504)</f>
        <v/>
      </c>
      <c r="M2504" s="64">
        <f>L2504/K2504</f>
        <v/>
      </c>
    </row>
    <row r="2505">
      <c r="A2505" s="58" t="inlineStr">
        <is>
          <t>RT20250305-02504</t>
        </is>
      </c>
      <c r="B2505" s="59" t="inlineStr">
        <is>
          <t>2025-03-05</t>
        </is>
      </c>
      <c r="C2505" s="60" t="inlineStr">
        <is>
          <t>Vertex Pantry Pro-165</t>
        </is>
      </c>
      <c r="D2505" s="58" t="inlineStr">
        <is>
          <t>Grocery</t>
        </is>
      </c>
      <c r="E2505" s="58" t="inlineStr">
        <is>
          <t>East</t>
        </is>
      </c>
      <c r="F2505" s="61" t="n">
        <v>4</v>
      </c>
      <c r="G2505" s="62" t="n">
        <v>15.09</v>
      </c>
      <c r="H2505" s="63" t="n">
        <v>0.102</v>
      </c>
      <c r="I2505" s="62" t="n">
        <v>11.8</v>
      </c>
      <c r="J2505" s="58" t="inlineStr">
        <is>
          <t>Store</t>
        </is>
      </c>
      <c r="K2505" s="62">
        <f>F2505*(G2505-H2505)</f>
        <v/>
      </c>
      <c r="L2505" s="62">
        <f>K2505-(F2505*I2505)</f>
        <v/>
      </c>
      <c r="M2505" s="64">
        <f>L2505/K2505</f>
        <v/>
      </c>
    </row>
    <row r="2506">
      <c r="A2506" s="58" t="inlineStr">
        <is>
          <t>RT20250305-02505</t>
        </is>
      </c>
      <c r="B2506" s="59" t="inlineStr">
        <is>
          <t>2025-03-05</t>
        </is>
      </c>
      <c r="C2506" s="60" t="inlineStr">
        <is>
          <t>Nimbus Storage Plus-646</t>
        </is>
      </c>
      <c r="D2506" s="58" t="inlineStr">
        <is>
          <t>Office</t>
        </is>
      </c>
      <c r="E2506" s="58" t="inlineStr">
        <is>
          <t>Central</t>
        </is>
      </c>
      <c r="F2506" s="61" t="n">
        <v>3</v>
      </c>
      <c r="G2506" s="62" t="n">
        <v>430.66</v>
      </c>
      <c r="H2506" s="63" t="n">
        <v>0.083</v>
      </c>
      <c r="I2506" s="62" t="n">
        <v>312.28</v>
      </c>
      <c r="J2506" s="58" t="inlineStr">
        <is>
          <t>Store</t>
        </is>
      </c>
      <c r="K2506" s="62">
        <f>F2506*(G2506-H2506)</f>
        <v/>
      </c>
      <c r="L2506" s="62">
        <f>K2506-(F2506*I2506)</f>
        <v/>
      </c>
      <c r="M2506" s="64">
        <f>L2506/K2506</f>
        <v/>
      </c>
    </row>
    <row r="2507">
      <c r="A2507" s="58" t="inlineStr">
        <is>
          <t>RT20250306-02506</t>
        </is>
      </c>
      <c r="B2507" s="59" t="inlineStr">
        <is>
          <t>2025-03-06</t>
        </is>
      </c>
      <c r="C2507" s="60" t="inlineStr">
        <is>
          <t>Nimbus Furniture Pro-479</t>
        </is>
      </c>
      <c r="D2507" s="58" t="inlineStr">
        <is>
          <t>Office</t>
        </is>
      </c>
      <c r="E2507" s="58" t="inlineStr">
        <is>
          <t>West</t>
        </is>
      </c>
      <c r="F2507" s="61" t="n">
        <v>2</v>
      </c>
      <c r="G2507" s="62" t="n">
        <v>339.97</v>
      </c>
      <c r="H2507" s="63" t="n">
        <v>0.11</v>
      </c>
      <c r="I2507" s="62" t="n">
        <v>236.42</v>
      </c>
      <c r="J2507" s="58" t="inlineStr">
        <is>
          <t>Store</t>
        </is>
      </c>
      <c r="K2507" s="62">
        <f>F2507*(G2507-H2507)</f>
        <v/>
      </c>
      <c r="L2507" s="62">
        <f>K2507-(F2507*I2507)</f>
        <v/>
      </c>
      <c r="M2507" s="64">
        <f>L2507/K2507</f>
        <v/>
      </c>
    </row>
    <row r="2508">
      <c r="A2508" s="58" t="inlineStr">
        <is>
          <t>RT20250306-02507</t>
        </is>
      </c>
      <c r="B2508" s="59" t="inlineStr">
        <is>
          <t>2025-03-06</t>
        </is>
      </c>
      <c r="C2508" s="60" t="inlineStr">
        <is>
          <t>Vertex Appliance S-296</t>
        </is>
      </c>
      <c r="D2508" s="58" t="inlineStr">
        <is>
          <t>Home</t>
        </is>
      </c>
      <c r="E2508" s="58" t="inlineStr">
        <is>
          <t>East</t>
        </is>
      </c>
      <c r="F2508" s="61" t="n">
        <v>3</v>
      </c>
      <c r="G2508" s="62" t="n">
        <v>538.87</v>
      </c>
      <c r="H2508" s="63" t="n">
        <v>0.102</v>
      </c>
      <c r="I2508" s="62" t="n">
        <v>350.07</v>
      </c>
      <c r="J2508" s="58" t="inlineStr">
        <is>
          <t>Online</t>
        </is>
      </c>
      <c r="K2508" s="62">
        <f>F2508*(G2508-H2508)</f>
        <v/>
      </c>
      <c r="L2508" s="62">
        <f>K2508-(F2508*I2508)</f>
        <v/>
      </c>
      <c r="M2508" s="64">
        <f>L2508/K2508</f>
        <v/>
      </c>
    </row>
    <row r="2509">
      <c r="A2509" s="58" t="inlineStr">
        <is>
          <t>RT20250306-02508</t>
        </is>
      </c>
      <c r="B2509" s="59" t="inlineStr">
        <is>
          <t>2025-03-06</t>
        </is>
      </c>
      <c r="C2509" s="60" t="inlineStr">
        <is>
          <t>Falcon Skincare X-334</t>
        </is>
      </c>
      <c r="D2509" s="58" t="inlineStr">
        <is>
          <t>Beauty</t>
        </is>
      </c>
      <c r="E2509" s="58" t="inlineStr">
        <is>
          <t>East</t>
        </is>
      </c>
      <c r="F2509" s="61" t="n">
        <v>3</v>
      </c>
      <c r="G2509" s="62" t="n">
        <v>109.14</v>
      </c>
      <c r="H2509" s="63" t="n">
        <v>0.113</v>
      </c>
      <c r="I2509" s="62" t="n">
        <v>64.75</v>
      </c>
      <c r="J2509" s="58" t="inlineStr">
        <is>
          <t>Online</t>
        </is>
      </c>
      <c r="K2509" s="62">
        <f>F2509*(G2509-H2509)</f>
        <v/>
      </c>
      <c r="L2509" s="62">
        <f>K2509-(F2509*I2509)</f>
        <v/>
      </c>
      <c r="M2509" s="64">
        <f>L2509/K2509</f>
        <v/>
      </c>
    </row>
    <row r="2510">
      <c r="A2510" s="58" t="inlineStr">
        <is>
          <t>RT20250306-02509</t>
        </is>
      </c>
      <c r="B2510" s="59" t="inlineStr">
        <is>
          <t>2025-03-06</t>
        </is>
      </c>
      <c r="C2510" s="60" t="inlineStr">
        <is>
          <t>Orion Men X-928</t>
        </is>
      </c>
      <c r="D2510" s="58" t="inlineStr">
        <is>
          <t>Apparel</t>
        </is>
      </c>
      <c r="E2510" s="58" t="inlineStr">
        <is>
          <t>North</t>
        </is>
      </c>
      <c r="F2510" s="61" t="n">
        <v>4</v>
      </c>
      <c r="G2510" s="62" t="n">
        <v>107.33</v>
      </c>
      <c r="H2510" s="63" t="n">
        <v>0.112</v>
      </c>
      <c r="I2510" s="62" t="n">
        <v>60.91</v>
      </c>
      <c r="J2510" s="58" t="inlineStr">
        <is>
          <t>Online</t>
        </is>
      </c>
      <c r="K2510" s="62">
        <f>F2510*(G2510-H2510)</f>
        <v/>
      </c>
      <c r="L2510" s="62">
        <f>K2510-(F2510*I2510)</f>
        <v/>
      </c>
      <c r="M2510" s="64">
        <f>L2510/K2510</f>
        <v/>
      </c>
    </row>
    <row r="2511">
      <c r="A2511" s="58" t="inlineStr">
        <is>
          <t>RT20250306-02510</t>
        </is>
      </c>
      <c r="B2511" s="59" t="inlineStr">
        <is>
          <t>2025-03-06</t>
        </is>
      </c>
      <c r="C2511" s="60" t="inlineStr">
        <is>
          <t>Nimbus Women Plus-352</t>
        </is>
      </c>
      <c r="D2511" s="58" t="inlineStr">
        <is>
          <t>Apparel</t>
        </is>
      </c>
      <c r="E2511" s="58" t="inlineStr">
        <is>
          <t>Central</t>
        </is>
      </c>
      <c r="F2511" s="61" t="n">
        <v>4</v>
      </c>
      <c r="G2511" s="62" t="n">
        <v>56.32</v>
      </c>
      <c r="H2511" s="63" t="n">
        <v>0.131</v>
      </c>
      <c r="I2511" s="62" t="n">
        <v>32.02</v>
      </c>
      <c r="J2511" s="58" t="inlineStr">
        <is>
          <t>Online</t>
        </is>
      </c>
      <c r="K2511" s="62">
        <f>F2511*(G2511-H2511)</f>
        <v/>
      </c>
      <c r="L2511" s="62">
        <f>K2511-(F2511*I2511)</f>
        <v/>
      </c>
      <c r="M2511" s="64">
        <f>L2511/K2511</f>
        <v/>
      </c>
    </row>
    <row r="2512">
      <c r="A2512" s="58" t="inlineStr">
        <is>
          <t>RT20250306-02511</t>
        </is>
      </c>
      <c r="B2512" s="59" t="inlineStr">
        <is>
          <t>2025-03-06</t>
        </is>
      </c>
      <c r="C2512" s="60" t="inlineStr">
        <is>
          <t>Aurora Fragrance S-971</t>
        </is>
      </c>
      <c r="D2512" s="58" t="inlineStr">
        <is>
          <t>Beauty</t>
        </is>
      </c>
      <c r="E2512" s="58" t="inlineStr">
        <is>
          <t>East</t>
        </is>
      </c>
      <c r="F2512" s="61" t="n">
        <v>3</v>
      </c>
      <c r="G2512" s="62" t="n">
        <v>118.15</v>
      </c>
      <c r="H2512" s="63" t="n">
        <v>0.163</v>
      </c>
      <c r="I2512" s="62" t="n">
        <v>67.34999999999999</v>
      </c>
      <c r="J2512" s="58" t="inlineStr">
        <is>
          <t>Store</t>
        </is>
      </c>
      <c r="K2512" s="62">
        <f>F2512*(G2512-H2512)</f>
        <v/>
      </c>
      <c r="L2512" s="62">
        <f>K2512-(F2512*I2512)</f>
        <v/>
      </c>
      <c r="M2512" s="64">
        <f>L2512/K2512</f>
        <v/>
      </c>
    </row>
    <row r="2513">
      <c r="A2513" s="58" t="inlineStr">
        <is>
          <t>RT20250306-02512</t>
        </is>
      </c>
      <c r="B2513" s="59" t="inlineStr">
        <is>
          <t>2025-03-06</t>
        </is>
      </c>
      <c r="C2513" s="60" t="inlineStr">
        <is>
          <t>Aurora Kid Plus-151</t>
        </is>
      </c>
      <c r="D2513" s="58" t="inlineStr">
        <is>
          <t>Apparel</t>
        </is>
      </c>
      <c r="E2513" s="58" t="inlineStr">
        <is>
          <t>Central</t>
        </is>
      </c>
      <c r="F2513" s="61" t="n">
        <v>3</v>
      </c>
      <c r="G2513" s="62" t="n">
        <v>118.19</v>
      </c>
      <c r="H2513" s="63" t="n">
        <v>0.068</v>
      </c>
      <c r="I2513" s="62" t="n">
        <v>62.23</v>
      </c>
      <c r="J2513" s="58" t="inlineStr">
        <is>
          <t>Store</t>
        </is>
      </c>
      <c r="K2513" s="62">
        <f>F2513*(G2513-H2513)</f>
        <v/>
      </c>
      <c r="L2513" s="62">
        <f>K2513-(F2513*I2513)</f>
        <v/>
      </c>
      <c r="M2513" s="64">
        <f>L2513/K2513</f>
        <v/>
      </c>
    </row>
    <row r="2514">
      <c r="A2514" s="58" t="inlineStr">
        <is>
          <t>RT20250306-02513</t>
        </is>
      </c>
      <c r="B2514" s="59" t="inlineStr">
        <is>
          <t>2025-03-06</t>
        </is>
      </c>
      <c r="C2514" s="60" t="inlineStr">
        <is>
          <t>Aurora Wearable Lite-162</t>
        </is>
      </c>
      <c r="D2514" s="58" t="inlineStr">
        <is>
          <t>Electronics</t>
        </is>
      </c>
      <c r="E2514" s="58" t="inlineStr">
        <is>
          <t>North</t>
        </is>
      </c>
      <c r="F2514" s="61" t="n">
        <v>1</v>
      </c>
      <c r="G2514" s="62" t="n">
        <v>1637.51</v>
      </c>
      <c r="H2514" s="63" t="n">
        <v>0.098</v>
      </c>
      <c r="I2514" s="62" t="n">
        <v>1166.41</v>
      </c>
      <c r="J2514" s="58" t="inlineStr">
        <is>
          <t>Store</t>
        </is>
      </c>
      <c r="K2514" s="62">
        <f>F2514*(G2514-H2514)</f>
        <v/>
      </c>
      <c r="L2514" s="62">
        <f>K2514-(F2514*I2514)</f>
        <v/>
      </c>
      <c r="M2514" s="64">
        <f>L2514/K2514</f>
        <v/>
      </c>
    </row>
    <row r="2515">
      <c r="A2515" s="58" t="inlineStr">
        <is>
          <t>RT20250306-02514</t>
        </is>
      </c>
      <c r="B2515" s="59" t="inlineStr">
        <is>
          <t>2025-03-06</t>
        </is>
      </c>
      <c r="C2515" s="60" t="inlineStr">
        <is>
          <t>Metro Laptop Plus-376</t>
        </is>
      </c>
      <c r="D2515" s="58" t="inlineStr">
        <is>
          <t>Electronics</t>
        </is>
      </c>
      <c r="E2515" s="58" t="inlineStr">
        <is>
          <t>West</t>
        </is>
      </c>
      <c r="F2515" s="61" t="n">
        <v>2</v>
      </c>
      <c r="G2515" s="62" t="n">
        <v>1298.18</v>
      </c>
      <c r="H2515" s="63" t="n">
        <v>0.082</v>
      </c>
      <c r="I2515" s="62" t="n">
        <v>1036.78</v>
      </c>
      <c r="J2515" s="58" t="inlineStr">
        <is>
          <t>Online</t>
        </is>
      </c>
      <c r="K2515" s="62">
        <f>F2515*(G2515-H2515)</f>
        <v/>
      </c>
      <c r="L2515" s="62">
        <f>K2515-(F2515*I2515)</f>
        <v/>
      </c>
      <c r="M2515" s="64">
        <f>L2515/K2515</f>
        <v/>
      </c>
    </row>
    <row r="2516">
      <c r="A2516" s="58" t="inlineStr">
        <is>
          <t>RT20250306-02515</t>
        </is>
      </c>
      <c r="B2516" s="59" t="inlineStr">
        <is>
          <t>2025-03-06</t>
        </is>
      </c>
      <c r="C2516" s="60" t="inlineStr">
        <is>
          <t>Orion Kid Max-864</t>
        </is>
      </c>
      <c r="D2516" s="58" t="inlineStr">
        <is>
          <t>Apparel</t>
        </is>
      </c>
      <c r="E2516" s="58" t="inlineStr">
        <is>
          <t>North</t>
        </is>
      </c>
      <c r="F2516" s="61" t="n">
        <v>4</v>
      </c>
      <c r="G2516" s="62" t="n">
        <v>76.29000000000001</v>
      </c>
      <c r="H2516" s="63" t="n">
        <v>0.144</v>
      </c>
      <c r="I2516" s="62" t="n">
        <v>43.86</v>
      </c>
      <c r="J2516" s="58" t="inlineStr">
        <is>
          <t>Online</t>
        </is>
      </c>
      <c r="K2516" s="62">
        <f>F2516*(G2516-H2516)</f>
        <v/>
      </c>
      <c r="L2516" s="62">
        <f>K2516-(F2516*I2516)</f>
        <v/>
      </c>
      <c r="M2516" s="64">
        <f>L2516/K2516</f>
        <v/>
      </c>
    </row>
    <row r="2517">
      <c r="A2517" s="58" t="inlineStr">
        <is>
          <t>RT20250306-02516</t>
        </is>
      </c>
      <c r="B2517" s="59" t="inlineStr">
        <is>
          <t>2025-03-06</t>
        </is>
      </c>
      <c r="C2517" s="60" t="inlineStr">
        <is>
          <t>Nimbus Headphone X-854</t>
        </is>
      </c>
      <c r="D2517" s="58" t="inlineStr">
        <is>
          <t>Electronics</t>
        </is>
      </c>
      <c r="E2517" s="58" t="inlineStr">
        <is>
          <t>East</t>
        </is>
      </c>
      <c r="F2517" s="61" t="n">
        <v>1</v>
      </c>
      <c r="G2517" s="62" t="n">
        <v>1657</v>
      </c>
      <c r="H2517" s="63" t="n">
        <v>0.089</v>
      </c>
      <c r="I2517" s="62" t="n">
        <v>1246.36</v>
      </c>
      <c r="J2517" s="58" t="inlineStr">
        <is>
          <t>Online</t>
        </is>
      </c>
      <c r="K2517" s="62">
        <f>F2517*(G2517-H2517)</f>
        <v/>
      </c>
      <c r="L2517" s="62">
        <f>K2517-(F2517*I2517)</f>
        <v/>
      </c>
      <c r="M2517" s="64">
        <f>L2517/K2517</f>
        <v/>
      </c>
    </row>
    <row r="2518">
      <c r="A2518" s="58" t="inlineStr">
        <is>
          <t>RT20250306-02517</t>
        </is>
      </c>
      <c r="B2518" s="59" t="inlineStr">
        <is>
          <t>2025-03-06</t>
        </is>
      </c>
      <c r="C2518" s="60" t="inlineStr">
        <is>
          <t>Orion Kid Max-640</t>
        </is>
      </c>
      <c r="D2518" s="58" t="inlineStr">
        <is>
          <t>Apparel</t>
        </is>
      </c>
      <c r="E2518" s="58" t="inlineStr">
        <is>
          <t>East</t>
        </is>
      </c>
      <c r="F2518" s="61" t="n">
        <v>3</v>
      </c>
      <c r="G2518" s="62" t="n">
        <v>125.4</v>
      </c>
      <c r="H2518" s="63" t="n">
        <v>0.109</v>
      </c>
      <c r="I2518" s="62" t="n">
        <v>70.73999999999999</v>
      </c>
      <c r="J2518" s="58" t="inlineStr">
        <is>
          <t>Phone</t>
        </is>
      </c>
      <c r="K2518" s="62">
        <f>F2518*(G2518-H2518)</f>
        <v/>
      </c>
      <c r="L2518" s="62">
        <f>K2518-(F2518*I2518)</f>
        <v/>
      </c>
      <c r="M2518" s="64">
        <f>L2518/K2518</f>
        <v/>
      </c>
    </row>
    <row r="2519">
      <c r="A2519" s="58" t="inlineStr">
        <is>
          <t>RT20250306-02518</t>
        </is>
      </c>
      <c r="B2519" s="59" t="inlineStr">
        <is>
          <t>2025-03-06</t>
        </is>
      </c>
      <c r="C2519" s="60" t="inlineStr">
        <is>
          <t>Metro Beverage Max-490</t>
        </is>
      </c>
      <c r="D2519" s="58" t="inlineStr">
        <is>
          <t>Grocery</t>
        </is>
      </c>
      <c r="E2519" s="58" t="inlineStr">
        <is>
          <t>South</t>
        </is>
      </c>
      <c r="F2519" s="61" t="n">
        <v>3</v>
      </c>
      <c r="G2519" s="62" t="n">
        <v>11.64</v>
      </c>
      <c r="H2519" s="63" t="n">
        <v>0.058</v>
      </c>
      <c r="I2519" s="62" t="n">
        <v>8.380000000000001</v>
      </c>
      <c r="J2519" s="58" t="inlineStr">
        <is>
          <t>Store</t>
        </is>
      </c>
      <c r="K2519" s="62">
        <f>F2519*(G2519-H2519)</f>
        <v/>
      </c>
      <c r="L2519" s="62">
        <f>K2519-(F2519*I2519)</f>
        <v/>
      </c>
      <c r="M2519" s="64">
        <f>L2519/K2519</f>
        <v/>
      </c>
    </row>
    <row r="2520">
      <c r="A2520" s="58" t="inlineStr">
        <is>
          <t>RT20250306-02519</t>
        </is>
      </c>
      <c r="B2520" s="59" t="inlineStr">
        <is>
          <t>2025-03-06</t>
        </is>
      </c>
      <c r="C2520" s="60" t="inlineStr">
        <is>
          <t>Aurora Haircare S-975</t>
        </is>
      </c>
      <c r="D2520" s="58" t="inlineStr">
        <is>
          <t>Beauty</t>
        </is>
      </c>
      <c r="E2520" s="58" t="inlineStr">
        <is>
          <t>South</t>
        </is>
      </c>
      <c r="F2520" s="61" t="n">
        <v>2</v>
      </c>
      <c r="G2520" s="62" t="n">
        <v>94.09</v>
      </c>
      <c r="H2520" s="63" t="n">
        <v>0.081</v>
      </c>
      <c r="I2520" s="62" t="n">
        <v>59.64</v>
      </c>
      <c r="J2520" s="58" t="inlineStr">
        <is>
          <t>Store</t>
        </is>
      </c>
      <c r="K2520" s="62">
        <f>F2520*(G2520-H2520)</f>
        <v/>
      </c>
      <c r="L2520" s="62">
        <f>K2520-(F2520*I2520)</f>
        <v/>
      </c>
      <c r="M2520" s="64">
        <f>L2520/K2520</f>
        <v/>
      </c>
    </row>
    <row r="2521">
      <c r="A2521" s="58" t="inlineStr">
        <is>
          <t>RT20250306-02520</t>
        </is>
      </c>
      <c r="B2521" s="59" t="inlineStr">
        <is>
          <t>2025-03-06</t>
        </is>
      </c>
      <c r="C2521" s="60" t="inlineStr">
        <is>
          <t>Solace Headphone Pro-344</t>
        </is>
      </c>
      <c r="D2521" s="58" t="inlineStr">
        <is>
          <t>Electronics</t>
        </is>
      </c>
      <c r="E2521" s="58" t="inlineStr">
        <is>
          <t>North</t>
        </is>
      </c>
      <c r="F2521" s="61" t="n">
        <v>1</v>
      </c>
      <c r="G2521" s="62" t="n">
        <v>1280.22</v>
      </c>
      <c r="H2521" s="63" t="n">
        <v>0.101</v>
      </c>
      <c r="I2521" s="62" t="n">
        <v>1072.12</v>
      </c>
      <c r="J2521" s="58" t="inlineStr">
        <is>
          <t>Online</t>
        </is>
      </c>
      <c r="K2521" s="62">
        <f>F2521*(G2521-H2521)</f>
        <v/>
      </c>
      <c r="L2521" s="62">
        <f>K2521-(F2521*I2521)</f>
        <v/>
      </c>
      <c r="M2521" s="64">
        <f>L2521/K2521</f>
        <v/>
      </c>
    </row>
    <row r="2522">
      <c r="A2522" s="58" t="inlineStr">
        <is>
          <t>RT20250306-02521</t>
        </is>
      </c>
      <c r="B2522" s="59" t="inlineStr">
        <is>
          <t>2025-03-06</t>
        </is>
      </c>
      <c r="C2522" s="60" t="inlineStr">
        <is>
          <t>Vertex Decor Pro-618</t>
        </is>
      </c>
      <c r="D2522" s="58" t="inlineStr">
        <is>
          <t>Home</t>
        </is>
      </c>
      <c r="E2522" s="58" t="inlineStr">
        <is>
          <t>West</t>
        </is>
      </c>
      <c r="F2522" s="61" t="n">
        <v>2</v>
      </c>
      <c r="G2522" s="62" t="n">
        <v>564.53</v>
      </c>
      <c r="H2522" s="63" t="n">
        <v>0.107</v>
      </c>
      <c r="I2522" s="62" t="n">
        <v>387.36</v>
      </c>
      <c r="J2522" s="58" t="inlineStr">
        <is>
          <t>Store</t>
        </is>
      </c>
      <c r="K2522" s="62">
        <f>F2522*(G2522-H2522)</f>
        <v/>
      </c>
      <c r="L2522" s="62">
        <f>K2522-(F2522*I2522)</f>
        <v/>
      </c>
      <c r="M2522" s="64">
        <f>L2522/K2522</f>
        <v/>
      </c>
    </row>
    <row r="2523">
      <c r="A2523" s="58" t="inlineStr">
        <is>
          <t>RT20250306-02522</t>
        </is>
      </c>
      <c r="B2523" s="59" t="inlineStr">
        <is>
          <t>2025-03-06</t>
        </is>
      </c>
      <c r="C2523" s="60" t="inlineStr">
        <is>
          <t>Polar Laptop Plus-984</t>
        </is>
      </c>
      <c r="D2523" s="58" t="inlineStr">
        <is>
          <t>Electronics</t>
        </is>
      </c>
      <c r="E2523" s="58" t="inlineStr">
        <is>
          <t>North</t>
        </is>
      </c>
      <c r="F2523" s="61" t="n">
        <v>1</v>
      </c>
      <c r="G2523" s="62" t="n">
        <v>1259.28</v>
      </c>
      <c r="H2523" s="63" t="n">
        <v>0.096</v>
      </c>
      <c r="I2523" s="62" t="n">
        <v>975.72</v>
      </c>
      <c r="J2523" s="58" t="inlineStr">
        <is>
          <t>Online</t>
        </is>
      </c>
      <c r="K2523" s="62">
        <f>F2523*(G2523-H2523)</f>
        <v/>
      </c>
      <c r="L2523" s="62">
        <f>K2523-(F2523*I2523)</f>
        <v/>
      </c>
      <c r="M2523" s="64">
        <f>L2523/K2523</f>
        <v/>
      </c>
    </row>
    <row r="2524">
      <c r="A2524" s="58" t="inlineStr">
        <is>
          <t>RT20250306-02523</t>
        </is>
      </c>
      <c r="B2524" s="59" t="inlineStr">
        <is>
          <t>2025-03-06</t>
        </is>
      </c>
      <c r="C2524" s="60" t="inlineStr">
        <is>
          <t>Metro Wearable Plus-234</t>
        </is>
      </c>
      <c r="D2524" s="58" t="inlineStr">
        <is>
          <t>Electronics</t>
        </is>
      </c>
      <c r="E2524" s="58" t="inlineStr">
        <is>
          <t>Central</t>
        </is>
      </c>
      <c r="F2524" s="61" t="n">
        <v>2</v>
      </c>
      <c r="G2524" s="62" t="n">
        <v>1367.4</v>
      </c>
      <c r="H2524" s="63" t="n">
        <v>0.079</v>
      </c>
      <c r="I2524" s="62" t="n">
        <v>1167.35</v>
      </c>
      <c r="J2524" s="58" t="inlineStr">
        <is>
          <t>Store</t>
        </is>
      </c>
      <c r="K2524" s="62">
        <f>F2524*(G2524-H2524)</f>
        <v/>
      </c>
      <c r="L2524" s="62">
        <f>K2524-(F2524*I2524)</f>
        <v/>
      </c>
      <c r="M2524" s="64">
        <f>L2524/K2524</f>
        <v/>
      </c>
    </row>
    <row r="2525">
      <c r="A2525" s="58" t="inlineStr">
        <is>
          <t>RT20250306-02524</t>
        </is>
      </c>
      <c r="B2525" s="59" t="inlineStr">
        <is>
          <t>2025-03-06</t>
        </is>
      </c>
      <c r="C2525" s="60" t="inlineStr">
        <is>
          <t>Orion Supplie S-612</t>
        </is>
      </c>
      <c r="D2525" s="58" t="inlineStr">
        <is>
          <t>Office</t>
        </is>
      </c>
      <c r="E2525" s="58" t="inlineStr">
        <is>
          <t>East</t>
        </is>
      </c>
      <c r="F2525" s="61" t="n">
        <v>2</v>
      </c>
      <c r="G2525" s="62" t="n">
        <v>529.86</v>
      </c>
      <c r="H2525" s="63" t="n">
        <v>0.14</v>
      </c>
      <c r="I2525" s="62" t="n">
        <v>340.06</v>
      </c>
      <c r="J2525" s="58" t="inlineStr">
        <is>
          <t>Online</t>
        </is>
      </c>
      <c r="K2525" s="62">
        <f>F2525*(G2525-H2525)</f>
        <v/>
      </c>
      <c r="L2525" s="62">
        <f>K2525-(F2525*I2525)</f>
        <v/>
      </c>
      <c r="M2525" s="64">
        <f>L2525/K2525</f>
        <v/>
      </c>
    </row>
    <row r="2526">
      <c r="A2526" s="58" t="inlineStr">
        <is>
          <t>RT20250306-02525</t>
        </is>
      </c>
      <c r="B2526" s="59" t="inlineStr">
        <is>
          <t>2025-03-06</t>
        </is>
      </c>
      <c r="C2526" s="60" t="inlineStr">
        <is>
          <t>Polar Fragrance Pro-750</t>
        </is>
      </c>
      <c r="D2526" s="58" t="inlineStr">
        <is>
          <t>Beauty</t>
        </is>
      </c>
      <c r="E2526" s="58" t="inlineStr">
        <is>
          <t>North</t>
        </is>
      </c>
      <c r="F2526" s="61" t="n">
        <v>2</v>
      </c>
      <c r="G2526" s="62" t="n">
        <v>68.41</v>
      </c>
      <c r="H2526" s="63" t="n">
        <v>0.097</v>
      </c>
      <c r="I2526" s="62" t="n">
        <v>37.53</v>
      </c>
      <c r="J2526" s="58" t="inlineStr">
        <is>
          <t>Online</t>
        </is>
      </c>
      <c r="K2526" s="62">
        <f>F2526*(G2526-H2526)</f>
        <v/>
      </c>
      <c r="L2526" s="62">
        <f>K2526-(F2526*I2526)</f>
        <v/>
      </c>
      <c r="M2526" s="64">
        <f>L2526/K2526</f>
        <v/>
      </c>
    </row>
    <row r="2527">
      <c r="A2527" s="58" t="inlineStr">
        <is>
          <t>RT20250306-02526</t>
        </is>
      </c>
      <c r="B2527" s="59" t="inlineStr">
        <is>
          <t>2025-03-06</t>
        </is>
      </c>
      <c r="C2527" s="60" t="inlineStr">
        <is>
          <t>Metro Pantry X-710</t>
        </is>
      </c>
      <c r="D2527" s="58" t="inlineStr">
        <is>
          <t>Grocery</t>
        </is>
      </c>
      <c r="E2527" s="58" t="inlineStr">
        <is>
          <t>West</t>
        </is>
      </c>
      <c r="F2527" s="61" t="n">
        <v>1</v>
      </c>
      <c r="G2527" s="62" t="n">
        <v>5.27</v>
      </c>
      <c r="H2527" s="63" t="n">
        <v>0.138</v>
      </c>
      <c r="I2527" s="62" t="n">
        <v>4.24</v>
      </c>
      <c r="J2527" s="58" t="inlineStr">
        <is>
          <t>Online</t>
        </is>
      </c>
      <c r="K2527" s="62">
        <f>F2527*(G2527-H2527)</f>
        <v/>
      </c>
      <c r="L2527" s="62">
        <f>K2527-(F2527*I2527)</f>
        <v/>
      </c>
      <c r="M2527" s="64">
        <f>L2527/K2527</f>
        <v/>
      </c>
    </row>
    <row r="2528">
      <c r="A2528" s="58" t="inlineStr">
        <is>
          <t>RT20250306-02527</t>
        </is>
      </c>
      <c r="B2528" s="59" t="inlineStr">
        <is>
          <t>2025-03-06</t>
        </is>
      </c>
      <c r="C2528" s="60" t="inlineStr">
        <is>
          <t>Solace Bedding Plus-317</t>
        </is>
      </c>
      <c r="D2528" s="58" t="inlineStr">
        <is>
          <t>Home</t>
        </is>
      </c>
      <c r="E2528" s="58" t="inlineStr">
        <is>
          <t>West</t>
        </is>
      </c>
      <c r="F2528" s="61" t="n">
        <v>2</v>
      </c>
      <c r="G2528" s="62" t="n">
        <v>595.25</v>
      </c>
      <c r="H2528" s="63" t="n">
        <v>0.08799999999999999</v>
      </c>
      <c r="I2528" s="62" t="n">
        <v>387.78</v>
      </c>
      <c r="J2528" s="58" t="inlineStr">
        <is>
          <t>Phone</t>
        </is>
      </c>
      <c r="K2528" s="62">
        <f>F2528*(G2528-H2528)</f>
        <v/>
      </c>
      <c r="L2528" s="62">
        <f>K2528-(F2528*I2528)</f>
        <v/>
      </c>
      <c r="M2528" s="64">
        <f>L2528/K2528</f>
        <v/>
      </c>
    </row>
    <row r="2529">
      <c r="A2529" s="58" t="inlineStr">
        <is>
          <t>RT20250306-02528</t>
        </is>
      </c>
      <c r="B2529" s="59" t="inlineStr">
        <is>
          <t>2025-03-06</t>
        </is>
      </c>
      <c r="C2529" s="60" t="inlineStr">
        <is>
          <t>Metro Pantry Max-180</t>
        </is>
      </c>
      <c r="D2529" s="58" t="inlineStr">
        <is>
          <t>Grocery</t>
        </is>
      </c>
      <c r="E2529" s="58" t="inlineStr">
        <is>
          <t>South</t>
        </is>
      </c>
      <c r="F2529" s="61" t="n">
        <v>4</v>
      </c>
      <c r="G2529" s="62" t="n">
        <v>9.34</v>
      </c>
      <c r="H2529" s="63" t="n">
        <v>0.096</v>
      </c>
      <c r="I2529" s="62" t="n">
        <v>6.77</v>
      </c>
      <c r="J2529" s="58" t="inlineStr">
        <is>
          <t>Online</t>
        </is>
      </c>
      <c r="K2529" s="62">
        <f>F2529*(G2529-H2529)</f>
        <v/>
      </c>
      <c r="L2529" s="62">
        <f>K2529-(F2529*I2529)</f>
        <v/>
      </c>
      <c r="M2529" s="64">
        <f>L2529/K2529</f>
        <v/>
      </c>
    </row>
    <row r="2530">
      <c r="A2530" s="58" t="inlineStr">
        <is>
          <t>RT20250306-02529</t>
        </is>
      </c>
      <c r="B2530" s="59" t="inlineStr">
        <is>
          <t>2025-03-06</t>
        </is>
      </c>
      <c r="C2530" s="60" t="inlineStr">
        <is>
          <t>Orion Beverage Plus-949</t>
        </is>
      </c>
      <c r="D2530" s="58" t="inlineStr">
        <is>
          <t>Grocery</t>
        </is>
      </c>
      <c r="E2530" s="58" t="inlineStr">
        <is>
          <t>Central</t>
        </is>
      </c>
      <c r="F2530" s="61" t="n">
        <v>1</v>
      </c>
      <c r="G2530" s="62" t="n">
        <v>17.4</v>
      </c>
      <c r="H2530" s="63" t="n">
        <v>0.095</v>
      </c>
      <c r="I2530" s="62" t="n">
        <v>13.42</v>
      </c>
      <c r="J2530" s="58" t="inlineStr">
        <is>
          <t>Online</t>
        </is>
      </c>
      <c r="K2530" s="62">
        <f>F2530*(G2530-H2530)</f>
        <v/>
      </c>
      <c r="L2530" s="62">
        <f>K2530-(F2530*I2530)</f>
        <v/>
      </c>
      <c r="M2530" s="64">
        <f>L2530/K2530</f>
        <v/>
      </c>
    </row>
    <row r="2531">
      <c r="A2531" s="58" t="inlineStr">
        <is>
          <t>RT20250306-02530</t>
        </is>
      </c>
      <c r="B2531" s="59" t="inlineStr">
        <is>
          <t>2025-03-06</t>
        </is>
      </c>
      <c r="C2531" s="60" t="inlineStr">
        <is>
          <t>Aurora Appliance Max-316</t>
        </is>
      </c>
      <c r="D2531" s="58" t="inlineStr">
        <is>
          <t>Home</t>
        </is>
      </c>
      <c r="E2531" s="58" t="inlineStr">
        <is>
          <t>East</t>
        </is>
      </c>
      <c r="F2531" s="61" t="n">
        <v>2</v>
      </c>
      <c r="G2531" s="62" t="n">
        <v>287.2</v>
      </c>
      <c r="H2531" s="63" t="n">
        <v>0.081</v>
      </c>
      <c r="I2531" s="62" t="n">
        <v>218</v>
      </c>
      <c r="J2531" s="58" t="inlineStr">
        <is>
          <t>Online</t>
        </is>
      </c>
      <c r="K2531" s="62">
        <f>F2531*(G2531-H2531)</f>
        <v/>
      </c>
      <c r="L2531" s="62">
        <f>K2531-(F2531*I2531)</f>
        <v/>
      </c>
      <c r="M2531" s="64">
        <f>L2531/K2531</f>
        <v/>
      </c>
    </row>
    <row r="2532">
      <c r="A2532" s="58" t="inlineStr">
        <is>
          <t>RT20250306-02531</t>
        </is>
      </c>
      <c r="B2532" s="59" t="inlineStr">
        <is>
          <t>2025-03-06</t>
        </is>
      </c>
      <c r="C2532" s="60" t="inlineStr">
        <is>
          <t>Aurora Storage Lite-774</t>
        </is>
      </c>
      <c r="D2532" s="58" t="inlineStr">
        <is>
          <t>Office</t>
        </is>
      </c>
      <c r="E2532" s="58" t="inlineStr">
        <is>
          <t>West</t>
        </is>
      </c>
      <c r="F2532" s="61" t="n">
        <v>2</v>
      </c>
      <c r="G2532" s="62" t="n">
        <v>292.4</v>
      </c>
      <c r="H2532" s="63" t="n">
        <v>0.07099999999999999</v>
      </c>
      <c r="I2532" s="62" t="n">
        <v>237.24</v>
      </c>
      <c r="J2532" s="58" t="inlineStr">
        <is>
          <t>Online</t>
        </is>
      </c>
      <c r="K2532" s="62">
        <f>F2532*(G2532-H2532)</f>
        <v/>
      </c>
      <c r="L2532" s="62">
        <f>K2532-(F2532*I2532)</f>
        <v/>
      </c>
      <c r="M2532" s="64">
        <f>L2532/K2532</f>
        <v/>
      </c>
    </row>
    <row r="2533">
      <c r="A2533" s="58" t="inlineStr">
        <is>
          <t>RT20250306-02532</t>
        </is>
      </c>
      <c r="B2533" s="59" t="inlineStr">
        <is>
          <t>2025-03-06</t>
        </is>
      </c>
      <c r="C2533" s="60" t="inlineStr">
        <is>
          <t>Orion Haircare Plus-887</t>
        </is>
      </c>
      <c r="D2533" s="58" t="inlineStr">
        <is>
          <t>Beauty</t>
        </is>
      </c>
      <c r="E2533" s="58" t="inlineStr">
        <is>
          <t>North</t>
        </is>
      </c>
      <c r="F2533" s="61" t="n">
        <v>5</v>
      </c>
      <c r="G2533" s="62" t="n">
        <v>52.94</v>
      </c>
      <c r="H2533" s="63" t="n">
        <v>0.137</v>
      </c>
      <c r="I2533" s="62" t="n">
        <v>31.08</v>
      </c>
      <c r="J2533" s="58" t="inlineStr">
        <is>
          <t>Online</t>
        </is>
      </c>
      <c r="K2533" s="62">
        <f>F2533*(G2533-H2533)</f>
        <v/>
      </c>
      <c r="L2533" s="62">
        <f>K2533-(F2533*I2533)</f>
        <v/>
      </c>
      <c r="M2533" s="64">
        <f>L2533/K2533</f>
        <v/>
      </c>
    </row>
    <row r="2534">
      <c r="A2534" s="58" t="inlineStr">
        <is>
          <t>RT20250306-02533</t>
        </is>
      </c>
      <c r="B2534" s="59" t="inlineStr">
        <is>
          <t>2025-03-06</t>
        </is>
      </c>
      <c r="C2534" s="60" t="inlineStr">
        <is>
          <t>Metro Beverage Max-490</t>
        </is>
      </c>
      <c r="D2534" s="58" t="inlineStr">
        <is>
          <t>Grocery</t>
        </is>
      </c>
      <c r="E2534" s="58" t="inlineStr">
        <is>
          <t>West</t>
        </is>
      </c>
      <c r="F2534" s="61" t="n">
        <v>3</v>
      </c>
      <c r="G2534" s="62" t="n">
        <v>10.23</v>
      </c>
      <c r="H2534" s="63" t="n">
        <v>0.089</v>
      </c>
      <c r="I2534" s="62" t="n">
        <v>8.02</v>
      </c>
      <c r="J2534" s="58" t="inlineStr">
        <is>
          <t>Online</t>
        </is>
      </c>
      <c r="K2534" s="62">
        <f>F2534*(G2534-H2534)</f>
        <v/>
      </c>
      <c r="L2534" s="62">
        <f>K2534-(F2534*I2534)</f>
        <v/>
      </c>
      <c r="M2534" s="64">
        <f>L2534/K2534</f>
        <v/>
      </c>
    </row>
    <row r="2535">
      <c r="A2535" s="58" t="inlineStr">
        <is>
          <t>RT20250306-02534</t>
        </is>
      </c>
      <c r="B2535" s="59" t="inlineStr">
        <is>
          <t>2025-03-06</t>
        </is>
      </c>
      <c r="C2535" s="60" t="inlineStr">
        <is>
          <t>Nimbus Fitnes Lite-516</t>
        </is>
      </c>
      <c r="D2535" s="58" t="inlineStr">
        <is>
          <t>Sports</t>
        </is>
      </c>
      <c r="E2535" s="58" t="inlineStr">
        <is>
          <t>South</t>
        </is>
      </c>
      <c r="F2535" s="61" t="n">
        <v>3</v>
      </c>
      <c r="G2535" s="62" t="n">
        <v>734.71</v>
      </c>
      <c r="H2535" s="63" t="n">
        <v>0.107</v>
      </c>
      <c r="I2535" s="62" t="n">
        <v>479.07</v>
      </c>
      <c r="J2535" s="58" t="inlineStr">
        <is>
          <t>Online</t>
        </is>
      </c>
      <c r="K2535" s="62">
        <f>F2535*(G2535-H2535)</f>
        <v/>
      </c>
      <c r="L2535" s="62">
        <f>K2535-(F2535*I2535)</f>
        <v/>
      </c>
      <c r="M2535" s="64">
        <f>L2535/K2535</f>
        <v/>
      </c>
    </row>
    <row r="2536">
      <c r="A2536" s="58" t="inlineStr">
        <is>
          <t>RT20250306-02535</t>
        </is>
      </c>
      <c r="B2536" s="59" t="inlineStr">
        <is>
          <t>2025-03-06</t>
        </is>
      </c>
      <c r="C2536" s="60" t="inlineStr">
        <is>
          <t>Nimbus Makeup Max-158</t>
        </is>
      </c>
      <c r="D2536" s="58" t="inlineStr">
        <is>
          <t>Beauty</t>
        </is>
      </c>
      <c r="E2536" s="58" t="inlineStr">
        <is>
          <t>Central</t>
        </is>
      </c>
      <c r="F2536" s="61" t="n">
        <v>5</v>
      </c>
      <c r="G2536" s="62" t="n">
        <v>130.87</v>
      </c>
      <c r="H2536" s="63" t="n">
        <v>0.059</v>
      </c>
      <c r="I2536" s="62" t="n">
        <v>93.84999999999999</v>
      </c>
      <c r="J2536" s="58" t="inlineStr">
        <is>
          <t>Online</t>
        </is>
      </c>
      <c r="K2536" s="62">
        <f>F2536*(G2536-H2536)</f>
        <v/>
      </c>
      <c r="L2536" s="62">
        <f>K2536-(F2536*I2536)</f>
        <v/>
      </c>
      <c r="M2536" s="64">
        <f>L2536/K2536</f>
        <v/>
      </c>
    </row>
    <row r="2537">
      <c r="A2537" s="58" t="inlineStr">
        <is>
          <t>RT20250306-02536</t>
        </is>
      </c>
      <c r="B2537" s="59" t="inlineStr">
        <is>
          <t>2025-03-06</t>
        </is>
      </c>
      <c r="C2537" s="60" t="inlineStr">
        <is>
          <t>Aurora Haircare S-975</t>
        </is>
      </c>
      <c r="D2537" s="58" t="inlineStr">
        <is>
          <t>Beauty</t>
        </is>
      </c>
      <c r="E2537" s="58" t="inlineStr">
        <is>
          <t>South</t>
        </is>
      </c>
      <c r="F2537" s="61" t="n">
        <v>4</v>
      </c>
      <c r="G2537" s="62" t="n">
        <v>99.79000000000001</v>
      </c>
      <c r="H2537" s="63" t="n">
        <v>0.067</v>
      </c>
      <c r="I2537" s="62" t="n">
        <v>56.77</v>
      </c>
      <c r="J2537" s="58" t="inlineStr">
        <is>
          <t>Store</t>
        </is>
      </c>
      <c r="K2537" s="62">
        <f>F2537*(G2537-H2537)</f>
        <v/>
      </c>
      <c r="L2537" s="62">
        <f>K2537-(F2537*I2537)</f>
        <v/>
      </c>
      <c r="M2537" s="64">
        <f>L2537/K2537</f>
        <v/>
      </c>
    </row>
    <row r="2538">
      <c r="A2538" s="58" t="inlineStr">
        <is>
          <t>RT20250306-02537</t>
        </is>
      </c>
      <c r="B2538" s="59" t="inlineStr">
        <is>
          <t>2025-03-06</t>
        </is>
      </c>
      <c r="C2538" s="60" t="inlineStr">
        <is>
          <t>Nimbus Women Plus-352</t>
        </is>
      </c>
      <c r="D2538" s="58" t="inlineStr">
        <is>
          <t>Apparel</t>
        </is>
      </c>
      <c r="E2538" s="58" t="inlineStr">
        <is>
          <t>Central</t>
        </is>
      </c>
      <c r="F2538" s="61" t="n">
        <v>3</v>
      </c>
      <c r="G2538" s="62" t="n">
        <v>54.25</v>
      </c>
      <c r="H2538" s="63" t="n">
        <v>0.114</v>
      </c>
      <c r="I2538" s="62" t="n">
        <v>33.67</v>
      </c>
      <c r="J2538" s="58" t="inlineStr">
        <is>
          <t>Online</t>
        </is>
      </c>
      <c r="K2538" s="62">
        <f>F2538*(G2538-H2538)</f>
        <v/>
      </c>
      <c r="L2538" s="62">
        <f>K2538-(F2538*I2538)</f>
        <v/>
      </c>
      <c r="M2538" s="64">
        <f>L2538/K2538</f>
        <v/>
      </c>
    </row>
    <row r="2539">
      <c r="A2539" s="58" t="inlineStr">
        <is>
          <t>RT20250306-02538</t>
        </is>
      </c>
      <c r="B2539" s="59" t="inlineStr">
        <is>
          <t>2025-03-06</t>
        </is>
      </c>
      <c r="C2539" s="60" t="inlineStr">
        <is>
          <t>Polar Haircare Max-614</t>
        </is>
      </c>
      <c r="D2539" s="58" t="inlineStr">
        <is>
          <t>Beauty</t>
        </is>
      </c>
      <c r="E2539" s="58" t="inlineStr">
        <is>
          <t>East</t>
        </is>
      </c>
      <c r="F2539" s="61" t="n">
        <v>2</v>
      </c>
      <c r="G2539" s="62" t="n">
        <v>125.78</v>
      </c>
      <c r="H2539" s="63" t="n">
        <v>0.145</v>
      </c>
      <c r="I2539" s="62" t="n">
        <v>70.72</v>
      </c>
      <c r="J2539" s="58" t="inlineStr">
        <is>
          <t>Store</t>
        </is>
      </c>
      <c r="K2539" s="62">
        <f>F2539*(G2539-H2539)</f>
        <v/>
      </c>
      <c r="L2539" s="62">
        <f>K2539-(F2539*I2539)</f>
        <v/>
      </c>
      <c r="M2539" s="64">
        <f>L2539/K2539</f>
        <v/>
      </c>
    </row>
    <row r="2540">
      <c r="A2540" s="58" t="inlineStr">
        <is>
          <t>RT20250306-02539</t>
        </is>
      </c>
      <c r="B2540" s="59" t="inlineStr">
        <is>
          <t>2025-03-06</t>
        </is>
      </c>
      <c r="C2540" s="60" t="inlineStr">
        <is>
          <t>Nimbus Headphone X-854</t>
        </is>
      </c>
      <c r="D2540" s="58" t="inlineStr">
        <is>
          <t>Electronics</t>
        </is>
      </c>
      <c r="E2540" s="58" t="inlineStr">
        <is>
          <t>East</t>
        </is>
      </c>
      <c r="F2540" s="61" t="n">
        <v>1</v>
      </c>
      <c r="G2540" s="62" t="n">
        <v>1612.16</v>
      </c>
      <c r="H2540" s="63" t="n">
        <v>0.122</v>
      </c>
      <c r="I2540" s="62" t="n">
        <v>1243.19</v>
      </c>
      <c r="J2540" s="58" t="inlineStr">
        <is>
          <t>Store</t>
        </is>
      </c>
      <c r="K2540" s="62">
        <f>F2540*(G2540-H2540)</f>
        <v/>
      </c>
      <c r="L2540" s="62">
        <f>K2540-(F2540*I2540)</f>
        <v/>
      </c>
      <c r="M2540" s="64">
        <f>L2540/K2540</f>
        <v/>
      </c>
    </row>
    <row r="2541">
      <c r="A2541" s="58" t="inlineStr">
        <is>
          <t>RT20250306-02540</t>
        </is>
      </c>
      <c r="B2541" s="59" t="inlineStr">
        <is>
          <t>2025-03-06</t>
        </is>
      </c>
      <c r="C2541" s="60" t="inlineStr">
        <is>
          <t>Falcon Household Pro-865</t>
        </is>
      </c>
      <c r="D2541" s="58" t="inlineStr">
        <is>
          <t>Grocery</t>
        </is>
      </c>
      <c r="E2541" s="58" t="inlineStr">
        <is>
          <t>West</t>
        </is>
      </c>
      <c r="F2541" s="61" t="n">
        <v>5</v>
      </c>
      <c r="G2541" s="62" t="n">
        <v>11.27</v>
      </c>
      <c r="H2541" s="63" t="n">
        <v>0.082</v>
      </c>
      <c r="I2541" s="62" t="n">
        <v>7.8</v>
      </c>
      <c r="J2541" s="58" t="inlineStr">
        <is>
          <t>Store</t>
        </is>
      </c>
      <c r="K2541" s="62">
        <f>F2541*(G2541-H2541)</f>
        <v/>
      </c>
      <c r="L2541" s="62">
        <f>K2541-(F2541*I2541)</f>
        <v/>
      </c>
      <c r="M2541" s="64">
        <f>L2541/K2541</f>
        <v/>
      </c>
    </row>
    <row r="2542">
      <c r="A2542" s="58" t="inlineStr">
        <is>
          <t>RT20250306-02541</t>
        </is>
      </c>
      <c r="B2542" s="59" t="inlineStr">
        <is>
          <t>2025-03-06</t>
        </is>
      </c>
      <c r="C2542" s="60" t="inlineStr">
        <is>
          <t>Polar Women S-662</t>
        </is>
      </c>
      <c r="D2542" s="58" t="inlineStr">
        <is>
          <t>Apparel</t>
        </is>
      </c>
      <c r="E2542" s="58" t="inlineStr">
        <is>
          <t>East</t>
        </is>
      </c>
      <c r="F2542" s="61" t="n">
        <v>3</v>
      </c>
      <c r="G2542" s="62" t="n">
        <v>189.16</v>
      </c>
      <c r="H2542" s="63" t="n">
        <v>0.116</v>
      </c>
      <c r="I2542" s="62" t="n">
        <v>98.98</v>
      </c>
      <c r="J2542" s="58" t="inlineStr">
        <is>
          <t>Store</t>
        </is>
      </c>
      <c r="K2542" s="62">
        <f>F2542*(G2542-H2542)</f>
        <v/>
      </c>
      <c r="L2542" s="62">
        <f>K2542-(F2542*I2542)</f>
        <v/>
      </c>
      <c r="M2542" s="64">
        <f>L2542/K2542</f>
        <v/>
      </c>
    </row>
    <row r="2543">
      <c r="A2543" s="58" t="inlineStr">
        <is>
          <t>RT20250306-02542</t>
        </is>
      </c>
      <c r="B2543" s="59" t="inlineStr">
        <is>
          <t>2025-03-06</t>
        </is>
      </c>
      <c r="C2543" s="60" t="inlineStr">
        <is>
          <t>Solace Laptop S-367</t>
        </is>
      </c>
      <c r="D2543" s="58" t="inlineStr">
        <is>
          <t>Electronics</t>
        </is>
      </c>
      <c r="E2543" s="58" t="inlineStr">
        <is>
          <t>North</t>
        </is>
      </c>
      <c r="F2543" s="61" t="n">
        <v>1</v>
      </c>
      <c r="G2543" s="62" t="n">
        <v>2022.57</v>
      </c>
      <c r="H2543" s="63" t="n">
        <v>0.114</v>
      </c>
      <c r="I2543" s="62" t="n">
        <v>1569.06</v>
      </c>
      <c r="J2543" s="58" t="inlineStr">
        <is>
          <t>Online</t>
        </is>
      </c>
      <c r="K2543" s="62">
        <f>F2543*(G2543-H2543)</f>
        <v/>
      </c>
      <c r="L2543" s="62">
        <f>K2543-(F2543*I2543)</f>
        <v/>
      </c>
      <c r="M2543" s="64">
        <f>L2543/K2543</f>
        <v/>
      </c>
    </row>
    <row r="2544">
      <c r="A2544" s="58" t="inlineStr">
        <is>
          <t>RT20250306-02543</t>
        </is>
      </c>
      <c r="B2544" s="59" t="inlineStr">
        <is>
          <t>2025-03-06</t>
        </is>
      </c>
      <c r="C2544" s="60" t="inlineStr">
        <is>
          <t>Aurora Appliance Lite-109</t>
        </is>
      </c>
      <c r="D2544" s="58" t="inlineStr">
        <is>
          <t>Home</t>
        </is>
      </c>
      <c r="E2544" s="58" t="inlineStr">
        <is>
          <t>Central</t>
        </is>
      </c>
      <c r="F2544" s="61" t="n">
        <v>1</v>
      </c>
      <c r="G2544" s="62" t="n">
        <v>329.04</v>
      </c>
      <c r="H2544" s="63" t="n">
        <v>0.049</v>
      </c>
      <c r="I2544" s="62" t="n">
        <v>208.75</v>
      </c>
      <c r="J2544" s="58" t="inlineStr">
        <is>
          <t>Phone</t>
        </is>
      </c>
      <c r="K2544" s="62">
        <f>F2544*(G2544-H2544)</f>
        <v/>
      </c>
      <c r="L2544" s="62">
        <f>K2544-(F2544*I2544)</f>
        <v/>
      </c>
      <c r="M2544" s="64">
        <f>L2544/K2544</f>
        <v/>
      </c>
    </row>
    <row r="2545">
      <c r="A2545" s="58" t="inlineStr">
        <is>
          <t>RT20250306-02544</t>
        </is>
      </c>
      <c r="B2545" s="59" t="inlineStr">
        <is>
          <t>2025-03-06</t>
        </is>
      </c>
      <c r="C2545" s="60" t="inlineStr">
        <is>
          <t>Orion Snack X-322</t>
        </is>
      </c>
      <c r="D2545" s="58" t="inlineStr">
        <is>
          <t>Grocery</t>
        </is>
      </c>
      <c r="E2545" s="58" t="inlineStr">
        <is>
          <t>West</t>
        </is>
      </c>
      <c r="F2545" s="61" t="n">
        <v>8</v>
      </c>
      <c r="G2545" s="62" t="n">
        <v>13.01</v>
      </c>
      <c r="H2545" s="63" t="n">
        <v>0.135</v>
      </c>
      <c r="I2545" s="62" t="n">
        <v>9.94</v>
      </c>
      <c r="J2545" s="58" t="inlineStr">
        <is>
          <t>Online</t>
        </is>
      </c>
      <c r="K2545" s="62">
        <f>F2545*(G2545-H2545)</f>
        <v/>
      </c>
      <c r="L2545" s="62">
        <f>K2545-(F2545*I2545)</f>
        <v/>
      </c>
      <c r="M2545" s="64">
        <f>L2545/K2545</f>
        <v/>
      </c>
    </row>
    <row r="2546">
      <c r="A2546" s="58" t="inlineStr">
        <is>
          <t>RT20250306-02545</t>
        </is>
      </c>
      <c r="B2546" s="59" t="inlineStr">
        <is>
          <t>2025-03-06</t>
        </is>
      </c>
      <c r="C2546" s="60" t="inlineStr">
        <is>
          <t>Falcon Headphone Pro-713</t>
        </is>
      </c>
      <c r="D2546" s="58" t="inlineStr">
        <is>
          <t>Electronics</t>
        </is>
      </c>
      <c r="E2546" s="58" t="inlineStr">
        <is>
          <t>East</t>
        </is>
      </c>
      <c r="F2546" s="61" t="n">
        <v>1</v>
      </c>
      <c r="G2546" s="62" t="n">
        <v>1321.34</v>
      </c>
      <c r="H2546" s="63" t="n">
        <v>0.043</v>
      </c>
      <c r="I2546" s="62" t="n">
        <v>1183.54</v>
      </c>
      <c r="J2546" s="58" t="inlineStr">
        <is>
          <t>Online</t>
        </is>
      </c>
      <c r="K2546" s="62">
        <f>F2546*(G2546-H2546)</f>
        <v/>
      </c>
      <c r="L2546" s="62">
        <f>K2546-(F2546*I2546)</f>
        <v/>
      </c>
      <c r="M2546" s="64">
        <f>L2546/K2546</f>
        <v/>
      </c>
    </row>
    <row r="2547">
      <c r="A2547" s="58" t="inlineStr">
        <is>
          <t>RT20250306-02546</t>
        </is>
      </c>
      <c r="B2547" s="59" t="inlineStr">
        <is>
          <t>2025-03-06</t>
        </is>
      </c>
      <c r="C2547" s="60" t="inlineStr">
        <is>
          <t>Aurora Smartphone Plus-125</t>
        </is>
      </c>
      <c r="D2547" s="58" t="inlineStr">
        <is>
          <t>Electronics</t>
        </is>
      </c>
      <c r="E2547" s="58" t="inlineStr">
        <is>
          <t>West</t>
        </is>
      </c>
      <c r="F2547" s="61" t="n">
        <v>2</v>
      </c>
      <c r="G2547" s="62" t="n">
        <v>1389.87</v>
      </c>
      <c r="H2547" s="63" t="n">
        <v>0.135</v>
      </c>
      <c r="I2547" s="62" t="n">
        <v>1167.22</v>
      </c>
      <c r="J2547" s="58" t="inlineStr">
        <is>
          <t>Online</t>
        </is>
      </c>
      <c r="K2547" s="62">
        <f>F2547*(G2547-H2547)</f>
        <v/>
      </c>
      <c r="L2547" s="62">
        <f>K2547-(F2547*I2547)</f>
        <v/>
      </c>
      <c r="M2547" s="64">
        <f>L2547/K2547</f>
        <v/>
      </c>
    </row>
    <row r="2548">
      <c r="A2548" s="58" t="inlineStr">
        <is>
          <t>RT20250306-02547</t>
        </is>
      </c>
      <c r="B2548" s="59" t="inlineStr">
        <is>
          <t>2025-03-06</t>
        </is>
      </c>
      <c r="C2548" s="60" t="inlineStr">
        <is>
          <t>Falcon Furniture Plus-839</t>
        </is>
      </c>
      <c r="D2548" s="58" t="inlineStr">
        <is>
          <t>Office</t>
        </is>
      </c>
      <c r="E2548" s="58" t="inlineStr">
        <is>
          <t>Central</t>
        </is>
      </c>
      <c r="F2548" s="61" t="n">
        <v>2</v>
      </c>
      <c r="G2548" s="62" t="n">
        <v>319.05</v>
      </c>
      <c r="H2548" s="63" t="n">
        <v>0.138</v>
      </c>
      <c r="I2548" s="62" t="n">
        <v>222.73</v>
      </c>
      <c r="J2548" s="58" t="inlineStr">
        <is>
          <t>Online</t>
        </is>
      </c>
      <c r="K2548" s="62">
        <f>F2548*(G2548-H2548)</f>
        <v/>
      </c>
      <c r="L2548" s="62">
        <f>K2548-(F2548*I2548)</f>
        <v/>
      </c>
      <c r="M2548" s="64">
        <f>L2548/K2548</f>
        <v/>
      </c>
    </row>
    <row r="2549">
      <c r="A2549" s="58" t="inlineStr">
        <is>
          <t>RT20250306-02548</t>
        </is>
      </c>
      <c r="B2549" s="59" t="inlineStr">
        <is>
          <t>2025-03-06</t>
        </is>
      </c>
      <c r="C2549" s="60" t="inlineStr">
        <is>
          <t>Falcon Headphone Plus-789</t>
        </is>
      </c>
      <c r="D2549" s="58" t="inlineStr">
        <is>
          <t>Electronics</t>
        </is>
      </c>
      <c r="E2549" s="58" t="inlineStr">
        <is>
          <t>North</t>
        </is>
      </c>
      <c r="F2549" s="61" t="n">
        <v>1</v>
      </c>
      <c r="G2549" s="62" t="n">
        <v>1623.85</v>
      </c>
      <c r="H2549" s="63" t="n">
        <v>0.124</v>
      </c>
      <c r="I2549" s="62" t="n">
        <v>1283.91</v>
      </c>
      <c r="J2549" s="58" t="inlineStr">
        <is>
          <t>Online</t>
        </is>
      </c>
      <c r="K2549" s="62">
        <f>F2549*(G2549-H2549)</f>
        <v/>
      </c>
      <c r="L2549" s="62">
        <f>K2549-(F2549*I2549)</f>
        <v/>
      </c>
      <c r="M2549" s="64">
        <f>L2549/K2549</f>
        <v/>
      </c>
    </row>
    <row r="2550">
      <c r="A2550" s="58" t="inlineStr">
        <is>
          <t>RT20250306-02549</t>
        </is>
      </c>
      <c r="B2550" s="59" t="inlineStr">
        <is>
          <t>2025-03-06</t>
        </is>
      </c>
      <c r="C2550" s="60" t="inlineStr">
        <is>
          <t>Metro Accessorie Lite-697</t>
        </is>
      </c>
      <c r="D2550" s="58" t="inlineStr">
        <is>
          <t>Apparel</t>
        </is>
      </c>
      <c r="E2550" s="58" t="inlineStr">
        <is>
          <t>East</t>
        </is>
      </c>
      <c r="F2550" s="61" t="n">
        <v>1</v>
      </c>
      <c r="G2550" s="62" t="n">
        <v>138.44</v>
      </c>
      <c r="H2550" s="63" t="n">
        <v>0.115</v>
      </c>
      <c r="I2550" s="62" t="n">
        <v>73.62</v>
      </c>
      <c r="J2550" s="58" t="inlineStr">
        <is>
          <t>Store</t>
        </is>
      </c>
      <c r="K2550" s="62">
        <f>F2550*(G2550-H2550)</f>
        <v/>
      </c>
      <c r="L2550" s="62">
        <f>K2550-(F2550*I2550)</f>
        <v/>
      </c>
      <c r="M2550" s="64">
        <f>L2550/K2550</f>
        <v/>
      </c>
    </row>
    <row r="2551">
      <c r="A2551" s="58" t="inlineStr">
        <is>
          <t>RT20250307-02550</t>
        </is>
      </c>
      <c r="B2551" s="59" t="inlineStr">
        <is>
          <t>2025-03-07</t>
        </is>
      </c>
      <c r="C2551" s="60" t="inlineStr">
        <is>
          <t>Vertex Furniture S-652</t>
        </is>
      </c>
      <c r="D2551" s="58" t="inlineStr">
        <is>
          <t>Office</t>
        </is>
      </c>
      <c r="E2551" s="58" t="inlineStr">
        <is>
          <t>Central</t>
        </is>
      </c>
      <c r="F2551" s="61" t="n">
        <v>3</v>
      </c>
      <c r="G2551" s="62" t="n">
        <v>389.28</v>
      </c>
      <c r="H2551" s="63" t="n">
        <v>0.11</v>
      </c>
      <c r="I2551" s="62" t="n">
        <v>263.56</v>
      </c>
      <c r="J2551" s="58" t="inlineStr">
        <is>
          <t>Store</t>
        </is>
      </c>
      <c r="K2551" s="62">
        <f>F2551*(G2551-H2551)</f>
        <v/>
      </c>
      <c r="L2551" s="62">
        <f>K2551-(F2551*I2551)</f>
        <v/>
      </c>
      <c r="M2551" s="64">
        <f>L2551/K2551</f>
        <v/>
      </c>
    </row>
    <row r="2552">
      <c r="A2552" s="58" t="inlineStr">
        <is>
          <t>RT20250307-02551</t>
        </is>
      </c>
      <c r="B2552" s="59" t="inlineStr">
        <is>
          <t>2025-03-07</t>
        </is>
      </c>
      <c r="C2552" s="60" t="inlineStr">
        <is>
          <t>Falcon Bedding S-674</t>
        </is>
      </c>
      <c r="D2552" s="58" t="inlineStr">
        <is>
          <t>Home</t>
        </is>
      </c>
      <c r="E2552" s="58" t="inlineStr">
        <is>
          <t>South</t>
        </is>
      </c>
      <c r="F2552" s="61" t="n">
        <v>2</v>
      </c>
      <c r="G2552" s="62" t="n">
        <v>698.15</v>
      </c>
      <c r="H2552" s="63" t="n">
        <v>0.17</v>
      </c>
      <c r="I2552" s="62" t="n">
        <v>442.98</v>
      </c>
      <c r="J2552" s="58" t="inlineStr">
        <is>
          <t>Store</t>
        </is>
      </c>
      <c r="K2552" s="62">
        <f>F2552*(G2552-H2552)</f>
        <v/>
      </c>
      <c r="L2552" s="62">
        <f>K2552-(F2552*I2552)</f>
        <v/>
      </c>
      <c r="M2552" s="64">
        <f>L2552/K2552</f>
        <v/>
      </c>
    </row>
    <row r="2553">
      <c r="A2553" s="58" t="inlineStr">
        <is>
          <t>RT20250307-02552</t>
        </is>
      </c>
      <c r="B2553" s="59" t="inlineStr">
        <is>
          <t>2025-03-07</t>
        </is>
      </c>
      <c r="C2553" s="60" t="inlineStr">
        <is>
          <t>Nimbus Women Lite-814</t>
        </is>
      </c>
      <c r="D2553" s="58" t="inlineStr">
        <is>
          <t>Apparel</t>
        </is>
      </c>
      <c r="E2553" s="58" t="inlineStr">
        <is>
          <t>North</t>
        </is>
      </c>
      <c r="F2553" s="61" t="n">
        <v>1</v>
      </c>
      <c r="G2553" s="62" t="n">
        <v>151.16</v>
      </c>
      <c r="H2553" s="63" t="n">
        <v>0.158</v>
      </c>
      <c r="I2553" s="62" t="n">
        <v>84.18000000000001</v>
      </c>
      <c r="J2553" s="58" t="inlineStr">
        <is>
          <t>Online</t>
        </is>
      </c>
      <c r="K2553" s="62">
        <f>F2553*(G2553-H2553)</f>
        <v/>
      </c>
      <c r="L2553" s="62">
        <f>K2553-(F2553*I2553)</f>
        <v/>
      </c>
      <c r="M2553" s="64">
        <f>L2553/K2553</f>
        <v/>
      </c>
    </row>
    <row r="2554">
      <c r="A2554" s="58" t="inlineStr">
        <is>
          <t>RT20250307-02553</t>
        </is>
      </c>
      <c r="B2554" s="59" t="inlineStr">
        <is>
          <t>2025-03-07</t>
        </is>
      </c>
      <c r="C2554" s="60" t="inlineStr">
        <is>
          <t>Aurora Makeup S-626</t>
        </is>
      </c>
      <c r="D2554" s="58" t="inlineStr">
        <is>
          <t>Beauty</t>
        </is>
      </c>
      <c r="E2554" s="58" t="inlineStr">
        <is>
          <t>South</t>
        </is>
      </c>
      <c r="F2554" s="61" t="n">
        <v>1</v>
      </c>
      <c r="G2554" s="62" t="n">
        <v>95.72</v>
      </c>
      <c r="H2554" s="63" t="n">
        <v>0.098</v>
      </c>
      <c r="I2554" s="62" t="n">
        <v>64.53</v>
      </c>
      <c r="J2554" s="58" t="inlineStr">
        <is>
          <t>Online</t>
        </is>
      </c>
      <c r="K2554" s="62">
        <f>F2554*(G2554-H2554)</f>
        <v/>
      </c>
      <c r="L2554" s="62">
        <f>K2554-(F2554*I2554)</f>
        <v/>
      </c>
      <c r="M2554" s="64">
        <f>L2554/K2554</f>
        <v/>
      </c>
    </row>
    <row r="2555">
      <c r="A2555" s="58" t="inlineStr">
        <is>
          <t>RT20250307-02554</t>
        </is>
      </c>
      <c r="B2555" s="59" t="inlineStr">
        <is>
          <t>2025-03-07</t>
        </is>
      </c>
      <c r="C2555" s="60" t="inlineStr">
        <is>
          <t>Metro Pantry Max-180</t>
        </is>
      </c>
      <c r="D2555" s="58" t="inlineStr">
        <is>
          <t>Grocery</t>
        </is>
      </c>
      <c r="E2555" s="58" t="inlineStr">
        <is>
          <t>Central</t>
        </is>
      </c>
      <c r="F2555" s="61" t="n">
        <v>7</v>
      </c>
      <c r="G2555" s="62" t="n">
        <v>7.8</v>
      </c>
      <c r="H2555" s="63" t="n">
        <v>0.034</v>
      </c>
      <c r="I2555" s="62" t="n">
        <v>6.72</v>
      </c>
      <c r="J2555" s="58" t="inlineStr">
        <is>
          <t>Store</t>
        </is>
      </c>
      <c r="K2555" s="62">
        <f>F2555*(G2555-H2555)</f>
        <v/>
      </c>
      <c r="L2555" s="62">
        <f>K2555-(F2555*I2555)</f>
        <v/>
      </c>
      <c r="M2555" s="64">
        <f>L2555/K2555</f>
        <v/>
      </c>
    </row>
    <row r="2556">
      <c r="A2556" s="58" t="inlineStr">
        <is>
          <t>RT20250307-02555</t>
        </is>
      </c>
      <c r="B2556" s="59" t="inlineStr">
        <is>
          <t>2025-03-07</t>
        </is>
      </c>
      <c r="C2556" s="60" t="inlineStr">
        <is>
          <t>Solace Kitchen X-919</t>
        </is>
      </c>
      <c r="D2556" s="58" t="inlineStr">
        <is>
          <t>Home</t>
        </is>
      </c>
      <c r="E2556" s="58" t="inlineStr">
        <is>
          <t>Central</t>
        </is>
      </c>
      <c r="F2556" s="61" t="n">
        <v>2</v>
      </c>
      <c r="G2556" s="62" t="n">
        <v>355.62</v>
      </c>
      <c r="H2556" s="63" t="n">
        <v>0.08</v>
      </c>
      <c r="I2556" s="62" t="n">
        <v>266.81</v>
      </c>
      <c r="J2556" s="58" t="inlineStr">
        <is>
          <t>Phone</t>
        </is>
      </c>
      <c r="K2556" s="62">
        <f>F2556*(G2556-H2556)</f>
        <v/>
      </c>
      <c r="L2556" s="62">
        <f>K2556-(F2556*I2556)</f>
        <v/>
      </c>
      <c r="M2556" s="64">
        <f>L2556/K2556</f>
        <v/>
      </c>
    </row>
    <row r="2557">
      <c r="A2557" s="58" t="inlineStr">
        <is>
          <t>RT20250307-02556</t>
        </is>
      </c>
      <c r="B2557" s="59" t="inlineStr">
        <is>
          <t>2025-03-07</t>
        </is>
      </c>
      <c r="C2557" s="60" t="inlineStr">
        <is>
          <t>Orion Kitchen Pro-568</t>
        </is>
      </c>
      <c r="D2557" s="58" t="inlineStr">
        <is>
          <t>Home</t>
        </is>
      </c>
      <c r="E2557" s="58" t="inlineStr">
        <is>
          <t>South</t>
        </is>
      </c>
      <c r="F2557" s="61" t="n">
        <v>2</v>
      </c>
      <c r="G2557" s="62" t="n">
        <v>510.57</v>
      </c>
      <c r="H2557" s="63" t="n">
        <v>0.143</v>
      </c>
      <c r="I2557" s="62" t="n">
        <v>306.06</v>
      </c>
      <c r="J2557" s="58" t="inlineStr">
        <is>
          <t>Store</t>
        </is>
      </c>
      <c r="K2557" s="62">
        <f>F2557*(G2557-H2557)</f>
        <v/>
      </c>
      <c r="L2557" s="62">
        <f>K2557-(F2557*I2557)</f>
        <v/>
      </c>
      <c r="M2557" s="64">
        <f>L2557/K2557</f>
        <v/>
      </c>
    </row>
    <row r="2558">
      <c r="A2558" s="58" t="inlineStr">
        <is>
          <t>RT20250307-02557</t>
        </is>
      </c>
      <c r="B2558" s="59" t="inlineStr">
        <is>
          <t>2025-03-07</t>
        </is>
      </c>
      <c r="C2558" s="60" t="inlineStr">
        <is>
          <t>Polar Women S-662</t>
        </is>
      </c>
      <c r="D2558" s="58" t="inlineStr">
        <is>
          <t>Apparel</t>
        </is>
      </c>
      <c r="E2558" s="58" t="inlineStr">
        <is>
          <t>East</t>
        </is>
      </c>
      <c r="F2558" s="61" t="n">
        <v>4</v>
      </c>
      <c r="G2558" s="62" t="n">
        <v>177.75</v>
      </c>
      <c r="H2558" s="63" t="n">
        <v>0.08</v>
      </c>
      <c r="I2558" s="62" t="n">
        <v>102.19</v>
      </c>
      <c r="J2558" s="58" t="inlineStr">
        <is>
          <t>Online</t>
        </is>
      </c>
      <c r="K2558" s="62">
        <f>F2558*(G2558-H2558)</f>
        <v/>
      </c>
      <c r="L2558" s="62">
        <f>K2558-(F2558*I2558)</f>
        <v/>
      </c>
      <c r="M2558" s="64">
        <f>L2558/K2558</f>
        <v/>
      </c>
    </row>
    <row r="2559">
      <c r="A2559" s="58" t="inlineStr">
        <is>
          <t>RT20250307-02558</t>
        </is>
      </c>
      <c r="B2559" s="59" t="inlineStr">
        <is>
          <t>2025-03-07</t>
        </is>
      </c>
      <c r="C2559" s="60" t="inlineStr">
        <is>
          <t>Vertex Smartphone Lite-267</t>
        </is>
      </c>
      <c r="D2559" s="58" t="inlineStr">
        <is>
          <t>Electronics</t>
        </is>
      </c>
      <c r="E2559" s="58" t="inlineStr">
        <is>
          <t>South</t>
        </is>
      </c>
      <c r="F2559" s="61" t="n">
        <v>1</v>
      </c>
      <c r="G2559" s="62" t="n">
        <v>1200.9</v>
      </c>
      <c r="H2559" s="63" t="n">
        <v>0.101</v>
      </c>
      <c r="I2559" s="62" t="n">
        <v>969.1799999999999</v>
      </c>
      <c r="J2559" s="58" t="inlineStr">
        <is>
          <t>Store</t>
        </is>
      </c>
      <c r="K2559" s="62">
        <f>F2559*(G2559-H2559)</f>
        <v/>
      </c>
      <c r="L2559" s="62">
        <f>K2559-(F2559*I2559)</f>
        <v/>
      </c>
      <c r="M2559" s="64">
        <f>L2559/K2559</f>
        <v/>
      </c>
    </row>
    <row r="2560">
      <c r="A2560" s="58" t="inlineStr">
        <is>
          <t>RT20250307-02559</t>
        </is>
      </c>
      <c r="B2560" s="59" t="inlineStr">
        <is>
          <t>2025-03-07</t>
        </is>
      </c>
      <c r="C2560" s="60" t="inlineStr">
        <is>
          <t>Solace Headphone Pro-344</t>
        </is>
      </c>
      <c r="D2560" s="58" t="inlineStr">
        <is>
          <t>Electronics</t>
        </is>
      </c>
      <c r="E2560" s="58" t="inlineStr">
        <is>
          <t>South</t>
        </is>
      </c>
      <c r="F2560" s="61" t="n">
        <v>2</v>
      </c>
      <c r="G2560" s="62" t="n">
        <v>1402.7</v>
      </c>
      <c r="H2560" s="63" t="n">
        <v>0.136</v>
      </c>
      <c r="I2560" s="62" t="n">
        <v>1082.45</v>
      </c>
      <c r="J2560" s="58" t="inlineStr">
        <is>
          <t>Online</t>
        </is>
      </c>
      <c r="K2560" s="62">
        <f>F2560*(G2560-H2560)</f>
        <v/>
      </c>
      <c r="L2560" s="62">
        <f>K2560-(F2560*I2560)</f>
        <v/>
      </c>
      <c r="M2560" s="64">
        <f>L2560/K2560</f>
        <v/>
      </c>
    </row>
    <row r="2561">
      <c r="A2561" s="58" t="inlineStr">
        <is>
          <t>RT20250307-02560</t>
        </is>
      </c>
      <c r="B2561" s="59" t="inlineStr">
        <is>
          <t>2025-03-07</t>
        </is>
      </c>
      <c r="C2561" s="60" t="inlineStr">
        <is>
          <t>Vertex Skincare Pro-891</t>
        </is>
      </c>
      <c r="D2561" s="58" t="inlineStr">
        <is>
          <t>Beauty</t>
        </is>
      </c>
      <c r="E2561" s="58" t="inlineStr">
        <is>
          <t>West</t>
        </is>
      </c>
      <c r="F2561" s="61" t="n">
        <v>5</v>
      </c>
      <c r="G2561" s="62" t="n">
        <v>154.97</v>
      </c>
      <c r="H2561" s="63" t="n">
        <v>0.045</v>
      </c>
      <c r="I2561" s="62" t="n">
        <v>85.59</v>
      </c>
      <c r="J2561" s="58" t="inlineStr">
        <is>
          <t>Store</t>
        </is>
      </c>
      <c r="K2561" s="62">
        <f>F2561*(G2561-H2561)</f>
        <v/>
      </c>
      <c r="L2561" s="62">
        <f>K2561-(F2561*I2561)</f>
        <v/>
      </c>
      <c r="M2561" s="64">
        <f>L2561/K2561</f>
        <v/>
      </c>
    </row>
    <row r="2562">
      <c r="A2562" s="58" t="inlineStr">
        <is>
          <t>RT20250307-02561</t>
        </is>
      </c>
      <c r="B2562" s="59" t="inlineStr">
        <is>
          <t>2025-03-07</t>
        </is>
      </c>
      <c r="C2562" s="60" t="inlineStr">
        <is>
          <t>Aurora Printer Plus-991</t>
        </is>
      </c>
      <c r="D2562" s="58" t="inlineStr">
        <is>
          <t>Office</t>
        </is>
      </c>
      <c r="E2562" s="58" t="inlineStr">
        <is>
          <t>North</t>
        </is>
      </c>
      <c r="F2562" s="61" t="n">
        <v>1</v>
      </c>
      <c r="G2562" s="62" t="n">
        <v>512.39</v>
      </c>
      <c r="H2562" s="63" t="n">
        <v>0.108</v>
      </c>
      <c r="I2562" s="62" t="n">
        <v>367.07</v>
      </c>
      <c r="J2562" s="58" t="inlineStr">
        <is>
          <t>Online</t>
        </is>
      </c>
      <c r="K2562" s="62">
        <f>F2562*(G2562-H2562)</f>
        <v/>
      </c>
      <c r="L2562" s="62">
        <f>K2562-(F2562*I2562)</f>
        <v/>
      </c>
      <c r="M2562" s="64">
        <f>L2562/K2562</f>
        <v/>
      </c>
    </row>
    <row r="2563">
      <c r="A2563" s="58" t="inlineStr">
        <is>
          <t>RT20250307-02562</t>
        </is>
      </c>
      <c r="B2563" s="59" t="inlineStr">
        <is>
          <t>2025-03-07</t>
        </is>
      </c>
      <c r="C2563" s="60" t="inlineStr">
        <is>
          <t>Aurora Bedding Max-175</t>
        </is>
      </c>
      <c r="D2563" s="58" t="inlineStr">
        <is>
          <t>Home</t>
        </is>
      </c>
      <c r="E2563" s="58" t="inlineStr">
        <is>
          <t>East</t>
        </is>
      </c>
      <c r="F2563" s="61" t="n">
        <v>1</v>
      </c>
      <c r="G2563" s="62" t="n">
        <v>578.11</v>
      </c>
      <c r="H2563" s="63" t="n">
        <v>0.097</v>
      </c>
      <c r="I2563" s="62" t="n">
        <v>416.46</v>
      </c>
      <c r="J2563" s="58" t="inlineStr">
        <is>
          <t>Online</t>
        </is>
      </c>
      <c r="K2563" s="62">
        <f>F2563*(G2563-H2563)</f>
        <v/>
      </c>
      <c r="L2563" s="62">
        <f>K2563-(F2563*I2563)</f>
        <v/>
      </c>
      <c r="M2563" s="64">
        <f>L2563/K2563</f>
        <v/>
      </c>
    </row>
    <row r="2564">
      <c r="A2564" s="58" t="inlineStr">
        <is>
          <t>RT20250307-02563</t>
        </is>
      </c>
      <c r="B2564" s="59" t="inlineStr">
        <is>
          <t>2025-03-07</t>
        </is>
      </c>
      <c r="C2564" s="60" t="inlineStr">
        <is>
          <t>Polar Women S-662</t>
        </is>
      </c>
      <c r="D2564" s="58" t="inlineStr">
        <is>
          <t>Apparel</t>
        </is>
      </c>
      <c r="E2564" s="58" t="inlineStr">
        <is>
          <t>North</t>
        </is>
      </c>
      <c r="F2564" s="61" t="n">
        <v>1</v>
      </c>
      <c r="G2564" s="62" t="n">
        <v>161.78</v>
      </c>
      <c r="H2564" s="63" t="n">
        <v>0.137</v>
      </c>
      <c r="I2564" s="62" t="n">
        <v>100.36</v>
      </c>
      <c r="J2564" s="58" t="inlineStr">
        <is>
          <t>Online</t>
        </is>
      </c>
      <c r="K2564" s="62">
        <f>F2564*(G2564-H2564)</f>
        <v/>
      </c>
      <c r="L2564" s="62">
        <f>K2564-(F2564*I2564)</f>
        <v/>
      </c>
      <c r="M2564" s="64">
        <f>L2564/K2564</f>
        <v/>
      </c>
    </row>
    <row r="2565">
      <c r="A2565" s="58" t="inlineStr">
        <is>
          <t>RT20250307-02564</t>
        </is>
      </c>
      <c r="B2565" s="59" t="inlineStr">
        <is>
          <t>2025-03-07</t>
        </is>
      </c>
      <c r="C2565" s="60" t="inlineStr">
        <is>
          <t>Solace Kitchen Pro-510</t>
        </is>
      </c>
      <c r="D2565" s="58" t="inlineStr">
        <is>
          <t>Home</t>
        </is>
      </c>
      <c r="E2565" s="58" t="inlineStr">
        <is>
          <t>West</t>
        </is>
      </c>
      <c r="F2565" s="61" t="n">
        <v>3</v>
      </c>
      <c r="G2565" s="62" t="n">
        <v>497.05</v>
      </c>
      <c r="H2565" s="63" t="n">
        <v>0.129</v>
      </c>
      <c r="I2565" s="62" t="n">
        <v>310.53</v>
      </c>
      <c r="J2565" s="58" t="inlineStr">
        <is>
          <t>Online</t>
        </is>
      </c>
      <c r="K2565" s="62">
        <f>F2565*(G2565-H2565)</f>
        <v/>
      </c>
      <c r="L2565" s="62">
        <f>K2565-(F2565*I2565)</f>
        <v/>
      </c>
      <c r="M2565" s="64">
        <f>L2565/K2565</f>
        <v/>
      </c>
    </row>
    <row r="2566">
      <c r="A2566" s="58" t="inlineStr">
        <is>
          <t>RT20250307-02565</t>
        </is>
      </c>
      <c r="B2566" s="59" t="inlineStr">
        <is>
          <t>2025-03-07</t>
        </is>
      </c>
      <c r="C2566" s="60" t="inlineStr">
        <is>
          <t>Solace Makeup Pro-214</t>
        </is>
      </c>
      <c r="D2566" s="58" t="inlineStr">
        <is>
          <t>Beauty</t>
        </is>
      </c>
      <c r="E2566" s="58" t="inlineStr">
        <is>
          <t>South</t>
        </is>
      </c>
      <c r="F2566" s="61" t="n">
        <v>2</v>
      </c>
      <c r="G2566" s="62" t="n">
        <v>96.19</v>
      </c>
      <c r="H2566" s="63" t="n">
        <v>0.08</v>
      </c>
      <c r="I2566" s="62" t="n">
        <v>66.79000000000001</v>
      </c>
      <c r="J2566" s="58" t="inlineStr">
        <is>
          <t>Online</t>
        </is>
      </c>
      <c r="K2566" s="62">
        <f>F2566*(G2566-H2566)</f>
        <v/>
      </c>
      <c r="L2566" s="62">
        <f>K2566-(F2566*I2566)</f>
        <v/>
      </c>
      <c r="M2566" s="64">
        <f>L2566/K2566</f>
        <v/>
      </c>
    </row>
    <row r="2567">
      <c r="A2567" s="58" t="inlineStr">
        <is>
          <t>RT20250307-02566</t>
        </is>
      </c>
      <c r="B2567" s="59" t="inlineStr">
        <is>
          <t>2025-03-07</t>
        </is>
      </c>
      <c r="C2567" s="60" t="inlineStr">
        <is>
          <t>Falcon Beverage Max-702</t>
        </is>
      </c>
      <c r="D2567" s="58" t="inlineStr">
        <is>
          <t>Grocery</t>
        </is>
      </c>
      <c r="E2567" s="58" t="inlineStr">
        <is>
          <t>West</t>
        </is>
      </c>
      <c r="F2567" s="61" t="n">
        <v>6</v>
      </c>
      <c r="G2567" s="62" t="n">
        <v>25.7</v>
      </c>
      <c r="H2567" s="63" t="n">
        <v>0.093</v>
      </c>
      <c r="I2567" s="62" t="n">
        <v>20.61</v>
      </c>
      <c r="J2567" s="58" t="inlineStr">
        <is>
          <t>Online</t>
        </is>
      </c>
      <c r="K2567" s="62">
        <f>F2567*(G2567-H2567)</f>
        <v/>
      </c>
      <c r="L2567" s="62">
        <f>K2567-(F2567*I2567)</f>
        <v/>
      </c>
      <c r="M2567" s="64">
        <f>L2567/K2567</f>
        <v/>
      </c>
    </row>
    <row r="2568">
      <c r="A2568" s="58" t="inlineStr">
        <is>
          <t>RT20250307-02567</t>
        </is>
      </c>
      <c r="B2568" s="59" t="inlineStr">
        <is>
          <t>2025-03-07</t>
        </is>
      </c>
      <c r="C2568" s="60" t="inlineStr">
        <is>
          <t>Nimbus Makeup Max-158</t>
        </is>
      </c>
      <c r="D2568" s="58" t="inlineStr">
        <is>
          <t>Beauty</t>
        </is>
      </c>
      <c r="E2568" s="58" t="inlineStr">
        <is>
          <t>South</t>
        </is>
      </c>
      <c r="F2568" s="61" t="n">
        <v>2</v>
      </c>
      <c r="G2568" s="62" t="n">
        <v>161.82</v>
      </c>
      <c r="H2568" s="63" t="n">
        <v>0.099</v>
      </c>
      <c r="I2568" s="62" t="n">
        <v>95.89</v>
      </c>
      <c r="J2568" s="58" t="inlineStr">
        <is>
          <t>Store</t>
        </is>
      </c>
      <c r="K2568" s="62">
        <f>F2568*(G2568-H2568)</f>
        <v/>
      </c>
      <c r="L2568" s="62">
        <f>K2568-(F2568*I2568)</f>
        <v/>
      </c>
      <c r="M2568" s="64">
        <f>L2568/K2568</f>
        <v/>
      </c>
    </row>
    <row r="2569">
      <c r="A2569" s="58" t="inlineStr">
        <is>
          <t>RT20250307-02568</t>
        </is>
      </c>
      <c r="B2569" s="59" t="inlineStr">
        <is>
          <t>2025-03-07</t>
        </is>
      </c>
      <c r="C2569" s="60" t="inlineStr">
        <is>
          <t>Orion Kid Max-640</t>
        </is>
      </c>
      <c r="D2569" s="58" t="inlineStr">
        <is>
          <t>Apparel</t>
        </is>
      </c>
      <c r="E2569" s="58" t="inlineStr">
        <is>
          <t>East</t>
        </is>
      </c>
      <c r="F2569" s="61" t="n">
        <v>4</v>
      </c>
      <c r="G2569" s="62" t="n">
        <v>123.68</v>
      </c>
      <c r="H2569" s="63" t="n">
        <v>0.13</v>
      </c>
      <c r="I2569" s="62" t="n">
        <v>70.29000000000001</v>
      </c>
      <c r="J2569" s="58" t="inlineStr">
        <is>
          <t>Online</t>
        </is>
      </c>
      <c r="K2569" s="62">
        <f>F2569*(G2569-H2569)</f>
        <v/>
      </c>
      <c r="L2569" s="62">
        <f>K2569-(F2569*I2569)</f>
        <v/>
      </c>
      <c r="M2569" s="64">
        <f>L2569/K2569</f>
        <v/>
      </c>
    </row>
    <row r="2570">
      <c r="A2570" s="58" t="inlineStr">
        <is>
          <t>RT20250307-02569</t>
        </is>
      </c>
      <c r="B2570" s="59" t="inlineStr">
        <is>
          <t>2025-03-07</t>
        </is>
      </c>
      <c r="C2570" s="60" t="inlineStr">
        <is>
          <t>Solace Snack S-691</t>
        </is>
      </c>
      <c r="D2570" s="58" t="inlineStr">
        <is>
          <t>Grocery</t>
        </is>
      </c>
      <c r="E2570" s="58" t="inlineStr">
        <is>
          <t>East</t>
        </is>
      </c>
      <c r="F2570" s="61" t="n">
        <v>4</v>
      </c>
      <c r="G2570" s="62" t="n">
        <v>10.28</v>
      </c>
      <c r="H2570" s="63" t="n">
        <v>0.096</v>
      </c>
      <c r="I2570" s="62" t="n">
        <v>7.14</v>
      </c>
      <c r="J2570" s="58" t="inlineStr">
        <is>
          <t>Store</t>
        </is>
      </c>
      <c r="K2570" s="62">
        <f>F2570*(G2570-H2570)</f>
        <v/>
      </c>
      <c r="L2570" s="62">
        <f>K2570-(F2570*I2570)</f>
        <v/>
      </c>
      <c r="M2570" s="64">
        <f>L2570/K2570</f>
        <v/>
      </c>
    </row>
    <row r="2571">
      <c r="A2571" s="58" t="inlineStr">
        <is>
          <t>RT20250307-02570</t>
        </is>
      </c>
      <c r="B2571" s="59" t="inlineStr">
        <is>
          <t>2025-03-07</t>
        </is>
      </c>
      <c r="C2571" s="60" t="inlineStr">
        <is>
          <t>Orion Team Sport X-926</t>
        </is>
      </c>
      <c r="D2571" s="58" t="inlineStr">
        <is>
          <t>Sports</t>
        </is>
      </c>
      <c r="E2571" s="58" t="inlineStr">
        <is>
          <t>East</t>
        </is>
      </c>
      <c r="F2571" s="61" t="n">
        <v>3</v>
      </c>
      <c r="G2571" s="62" t="n">
        <v>348.26</v>
      </c>
      <c r="H2571" s="63" t="n">
        <v>0.107</v>
      </c>
      <c r="I2571" s="62" t="n">
        <v>217.29</v>
      </c>
      <c r="J2571" s="58" t="inlineStr">
        <is>
          <t>Store</t>
        </is>
      </c>
      <c r="K2571" s="62">
        <f>F2571*(G2571-H2571)</f>
        <v/>
      </c>
      <c r="L2571" s="62">
        <f>K2571-(F2571*I2571)</f>
        <v/>
      </c>
      <c r="M2571" s="64">
        <f>L2571/K2571</f>
        <v/>
      </c>
    </row>
    <row r="2572">
      <c r="A2572" s="58" t="inlineStr">
        <is>
          <t>RT20250307-02571</t>
        </is>
      </c>
      <c r="B2572" s="59" t="inlineStr">
        <is>
          <t>2025-03-07</t>
        </is>
      </c>
      <c r="C2572" s="60" t="inlineStr">
        <is>
          <t>Aurora Storage Lite-774</t>
        </is>
      </c>
      <c r="D2572" s="58" t="inlineStr">
        <is>
          <t>Office</t>
        </is>
      </c>
      <c r="E2572" s="58" t="inlineStr">
        <is>
          <t>South</t>
        </is>
      </c>
      <c r="F2572" s="61" t="n">
        <v>1</v>
      </c>
      <c r="G2572" s="62" t="n">
        <v>390.17</v>
      </c>
      <c r="H2572" s="63" t="n">
        <v>0.075</v>
      </c>
      <c r="I2572" s="62" t="n">
        <v>248.16</v>
      </c>
      <c r="J2572" s="58" t="inlineStr">
        <is>
          <t>Store</t>
        </is>
      </c>
      <c r="K2572" s="62">
        <f>F2572*(G2572-H2572)</f>
        <v/>
      </c>
      <c r="L2572" s="62">
        <f>K2572-(F2572*I2572)</f>
        <v/>
      </c>
      <c r="M2572" s="64">
        <f>L2572/K2572</f>
        <v/>
      </c>
    </row>
    <row r="2573">
      <c r="A2573" s="58" t="inlineStr">
        <is>
          <t>RT20250307-02572</t>
        </is>
      </c>
      <c r="B2573" s="59" t="inlineStr">
        <is>
          <t>2025-03-07</t>
        </is>
      </c>
      <c r="C2573" s="60" t="inlineStr">
        <is>
          <t>Aurora Haircare S-975</t>
        </is>
      </c>
      <c r="D2573" s="58" t="inlineStr">
        <is>
          <t>Beauty</t>
        </is>
      </c>
      <c r="E2573" s="58" t="inlineStr">
        <is>
          <t>East</t>
        </is>
      </c>
      <c r="F2573" s="61" t="n">
        <v>2</v>
      </c>
      <c r="G2573" s="62" t="n">
        <v>89.02</v>
      </c>
      <c r="H2573" s="63" t="n">
        <v>0.033</v>
      </c>
      <c r="I2573" s="62" t="n">
        <v>60.07</v>
      </c>
      <c r="J2573" s="58" t="inlineStr">
        <is>
          <t>Online</t>
        </is>
      </c>
      <c r="K2573" s="62">
        <f>F2573*(G2573-H2573)</f>
        <v/>
      </c>
      <c r="L2573" s="62">
        <f>K2573-(F2573*I2573)</f>
        <v/>
      </c>
      <c r="M2573" s="64">
        <f>L2573/K2573</f>
        <v/>
      </c>
    </row>
    <row r="2574">
      <c r="A2574" s="58" t="inlineStr">
        <is>
          <t>RT20250307-02573</t>
        </is>
      </c>
      <c r="B2574" s="59" t="inlineStr">
        <is>
          <t>2025-03-07</t>
        </is>
      </c>
      <c r="C2574" s="60" t="inlineStr">
        <is>
          <t>Aurora Makeup Pro-489</t>
        </is>
      </c>
      <c r="D2574" s="58" t="inlineStr">
        <is>
          <t>Beauty</t>
        </is>
      </c>
      <c r="E2574" s="58" t="inlineStr">
        <is>
          <t>Central</t>
        </is>
      </c>
      <c r="F2574" s="61" t="n">
        <v>5</v>
      </c>
      <c r="G2574" s="62" t="n">
        <v>108.39</v>
      </c>
      <c r="H2574" s="63" t="n">
        <v>0.097</v>
      </c>
      <c r="I2574" s="62" t="n">
        <v>61.78</v>
      </c>
      <c r="J2574" s="58" t="inlineStr">
        <is>
          <t>Online</t>
        </is>
      </c>
      <c r="K2574" s="62">
        <f>F2574*(G2574-H2574)</f>
        <v/>
      </c>
      <c r="L2574" s="62">
        <f>K2574-(F2574*I2574)</f>
        <v/>
      </c>
      <c r="M2574" s="64">
        <f>L2574/K2574</f>
        <v/>
      </c>
    </row>
    <row r="2575">
      <c r="A2575" s="58" t="inlineStr">
        <is>
          <t>RT20250307-02574</t>
        </is>
      </c>
      <c r="B2575" s="59" t="inlineStr">
        <is>
          <t>2025-03-07</t>
        </is>
      </c>
      <c r="C2575" s="60" t="inlineStr">
        <is>
          <t>Metro Decor Lite-325</t>
        </is>
      </c>
      <c r="D2575" s="58" t="inlineStr">
        <is>
          <t>Home</t>
        </is>
      </c>
      <c r="E2575" s="58" t="inlineStr">
        <is>
          <t>West</t>
        </is>
      </c>
      <c r="F2575" s="61" t="n">
        <v>3</v>
      </c>
      <c r="G2575" s="62" t="n">
        <v>545.8099999999999</v>
      </c>
      <c r="H2575" s="63" t="n">
        <v>0.106</v>
      </c>
      <c r="I2575" s="62" t="n">
        <v>384.25</v>
      </c>
      <c r="J2575" s="58" t="inlineStr">
        <is>
          <t>Store</t>
        </is>
      </c>
      <c r="K2575" s="62">
        <f>F2575*(G2575-H2575)</f>
        <v/>
      </c>
      <c r="L2575" s="62">
        <f>K2575-(F2575*I2575)</f>
        <v/>
      </c>
      <c r="M2575" s="64">
        <f>L2575/K2575</f>
        <v/>
      </c>
    </row>
    <row r="2576">
      <c r="A2576" s="58" t="inlineStr">
        <is>
          <t>RT20250307-02575</t>
        </is>
      </c>
      <c r="B2576" s="59" t="inlineStr">
        <is>
          <t>2025-03-07</t>
        </is>
      </c>
      <c r="C2576" s="60" t="inlineStr">
        <is>
          <t>Solace Snack S-691</t>
        </is>
      </c>
      <c r="D2576" s="58" t="inlineStr">
        <is>
          <t>Grocery</t>
        </is>
      </c>
      <c r="E2576" s="58" t="inlineStr">
        <is>
          <t>East</t>
        </is>
      </c>
      <c r="F2576" s="61" t="n">
        <v>8</v>
      </c>
      <c r="G2576" s="62" t="n">
        <v>10.58</v>
      </c>
      <c r="H2576" s="63" t="n">
        <v>0.139</v>
      </c>
      <c r="I2576" s="62" t="n">
        <v>7.35</v>
      </c>
      <c r="J2576" s="58" t="inlineStr">
        <is>
          <t>Store</t>
        </is>
      </c>
      <c r="K2576" s="62">
        <f>F2576*(G2576-H2576)</f>
        <v/>
      </c>
      <c r="L2576" s="62">
        <f>K2576-(F2576*I2576)</f>
        <v/>
      </c>
      <c r="M2576" s="64">
        <f>L2576/K2576</f>
        <v/>
      </c>
    </row>
    <row r="2577">
      <c r="A2577" s="58" t="inlineStr">
        <is>
          <t>RT20250307-02576</t>
        </is>
      </c>
      <c r="B2577" s="59" t="inlineStr">
        <is>
          <t>2025-03-07</t>
        </is>
      </c>
      <c r="C2577" s="60" t="inlineStr">
        <is>
          <t>Nimbus Fitnes Lite-516</t>
        </is>
      </c>
      <c r="D2577" s="58" t="inlineStr">
        <is>
          <t>Sports</t>
        </is>
      </c>
      <c r="E2577" s="58" t="inlineStr">
        <is>
          <t>South</t>
        </is>
      </c>
      <c r="F2577" s="61" t="n">
        <v>3</v>
      </c>
      <c r="G2577" s="62" t="n">
        <v>690.79</v>
      </c>
      <c r="H2577" s="63" t="n">
        <v>0.091</v>
      </c>
      <c r="I2577" s="62" t="n">
        <v>480.16</v>
      </c>
      <c r="J2577" s="58" t="inlineStr">
        <is>
          <t>Store</t>
        </is>
      </c>
      <c r="K2577" s="62">
        <f>F2577*(G2577-H2577)</f>
        <v/>
      </c>
      <c r="L2577" s="62">
        <f>K2577-(F2577*I2577)</f>
        <v/>
      </c>
      <c r="M2577" s="64">
        <f>L2577/K2577</f>
        <v/>
      </c>
    </row>
    <row r="2578">
      <c r="A2578" s="58" t="inlineStr">
        <is>
          <t>RT20250307-02577</t>
        </is>
      </c>
      <c r="B2578" s="59" t="inlineStr">
        <is>
          <t>2025-03-07</t>
        </is>
      </c>
      <c r="C2578" s="60" t="inlineStr">
        <is>
          <t>Orion Snack X-322</t>
        </is>
      </c>
      <c r="D2578" s="58" t="inlineStr">
        <is>
          <t>Grocery</t>
        </is>
      </c>
      <c r="E2578" s="58" t="inlineStr">
        <is>
          <t>East</t>
        </is>
      </c>
      <c r="F2578" s="61" t="n">
        <v>2</v>
      </c>
      <c r="G2578" s="62" t="n">
        <v>13.51</v>
      </c>
      <c r="H2578" s="63" t="n">
        <v>0.112</v>
      </c>
      <c r="I2578" s="62" t="n">
        <v>10.04</v>
      </c>
      <c r="J2578" s="58" t="inlineStr">
        <is>
          <t>Store</t>
        </is>
      </c>
      <c r="K2578" s="62">
        <f>F2578*(G2578-H2578)</f>
        <v/>
      </c>
      <c r="L2578" s="62">
        <f>K2578-(F2578*I2578)</f>
        <v/>
      </c>
      <c r="M2578" s="64">
        <f>L2578/K2578</f>
        <v/>
      </c>
    </row>
    <row r="2579">
      <c r="A2579" s="58" t="inlineStr">
        <is>
          <t>RT20250307-02578</t>
        </is>
      </c>
      <c r="B2579" s="59" t="inlineStr">
        <is>
          <t>2025-03-07</t>
        </is>
      </c>
      <c r="C2579" s="60" t="inlineStr">
        <is>
          <t>Vertex Fitnes Pro-830</t>
        </is>
      </c>
      <c r="D2579" s="58" t="inlineStr">
        <is>
          <t>Sports</t>
        </is>
      </c>
      <c r="E2579" s="58" t="inlineStr">
        <is>
          <t>South</t>
        </is>
      </c>
      <c r="F2579" s="61" t="n">
        <v>3</v>
      </c>
      <c r="G2579" s="62" t="n">
        <v>805.76</v>
      </c>
      <c r="H2579" s="63" t="n">
        <v>0.063</v>
      </c>
      <c r="I2579" s="62" t="n">
        <v>480.55</v>
      </c>
      <c r="J2579" s="58" t="inlineStr">
        <is>
          <t>Store</t>
        </is>
      </c>
      <c r="K2579" s="62">
        <f>F2579*(G2579-H2579)</f>
        <v/>
      </c>
      <c r="L2579" s="62">
        <f>K2579-(F2579*I2579)</f>
        <v/>
      </c>
      <c r="M2579" s="64">
        <f>L2579/K2579</f>
        <v/>
      </c>
    </row>
    <row r="2580">
      <c r="A2580" s="58" t="inlineStr">
        <is>
          <t>RT20250307-02579</t>
        </is>
      </c>
      <c r="B2580" s="59" t="inlineStr">
        <is>
          <t>2025-03-07</t>
        </is>
      </c>
      <c r="C2580" s="60" t="inlineStr">
        <is>
          <t>Vertex Decor Pro-618</t>
        </is>
      </c>
      <c r="D2580" s="58" t="inlineStr">
        <is>
          <t>Home</t>
        </is>
      </c>
      <c r="E2580" s="58" t="inlineStr">
        <is>
          <t>Central</t>
        </is>
      </c>
      <c r="F2580" s="61" t="n">
        <v>1</v>
      </c>
      <c r="G2580" s="62" t="n">
        <v>582.9299999999999</v>
      </c>
      <c r="H2580" s="63" t="n">
        <v>0.08500000000000001</v>
      </c>
      <c r="I2580" s="62" t="n">
        <v>387.45</v>
      </c>
      <c r="J2580" s="58" t="inlineStr">
        <is>
          <t>Store</t>
        </is>
      </c>
      <c r="K2580" s="62">
        <f>F2580*(G2580-H2580)</f>
        <v/>
      </c>
      <c r="L2580" s="62">
        <f>K2580-(F2580*I2580)</f>
        <v/>
      </c>
      <c r="M2580" s="64">
        <f>L2580/K2580</f>
        <v/>
      </c>
    </row>
    <row r="2581">
      <c r="A2581" s="58" t="inlineStr">
        <is>
          <t>RT20250307-02580</t>
        </is>
      </c>
      <c r="B2581" s="59" t="inlineStr">
        <is>
          <t>2025-03-07</t>
        </is>
      </c>
      <c r="C2581" s="60" t="inlineStr">
        <is>
          <t>Vertex Pantry Pro-165</t>
        </is>
      </c>
      <c r="D2581" s="58" t="inlineStr">
        <is>
          <t>Grocery</t>
        </is>
      </c>
      <c r="E2581" s="58" t="inlineStr">
        <is>
          <t>West</t>
        </is>
      </c>
      <c r="F2581" s="61" t="n">
        <v>2</v>
      </c>
      <c r="G2581" s="62" t="n">
        <v>16.56</v>
      </c>
      <c r="H2581" s="63" t="n">
        <v>0.112</v>
      </c>
      <c r="I2581" s="62" t="n">
        <v>11.89</v>
      </c>
      <c r="J2581" s="58" t="inlineStr">
        <is>
          <t>Online</t>
        </is>
      </c>
      <c r="K2581" s="62">
        <f>F2581*(G2581-H2581)</f>
        <v/>
      </c>
      <c r="L2581" s="62">
        <f>K2581-(F2581*I2581)</f>
        <v/>
      </c>
      <c r="M2581" s="64">
        <f>L2581/K2581</f>
        <v/>
      </c>
    </row>
    <row r="2582">
      <c r="A2582" s="58" t="inlineStr">
        <is>
          <t>RT20250307-02581</t>
        </is>
      </c>
      <c r="B2582" s="59" t="inlineStr">
        <is>
          <t>2025-03-07</t>
        </is>
      </c>
      <c r="C2582" s="60" t="inlineStr">
        <is>
          <t>Polar Outdoor X-193</t>
        </is>
      </c>
      <c r="D2582" s="58" t="inlineStr">
        <is>
          <t>Sports</t>
        </is>
      </c>
      <c r="E2582" s="58" t="inlineStr">
        <is>
          <t>South</t>
        </is>
      </c>
      <c r="F2582" s="61" t="n">
        <v>2</v>
      </c>
      <c r="G2582" s="62" t="n">
        <v>633.28</v>
      </c>
      <c r="H2582" s="63" t="n">
        <v>0.106</v>
      </c>
      <c r="I2582" s="62" t="n">
        <v>446.82</v>
      </c>
      <c r="J2582" s="58" t="inlineStr">
        <is>
          <t>Store</t>
        </is>
      </c>
      <c r="K2582" s="62">
        <f>F2582*(G2582-H2582)</f>
        <v/>
      </c>
      <c r="L2582" s="62">
        <f>K2582-(F2582*I2582)</f>
        <v/>
      </c>
      <c r="M2582" s="64">
        <f>L2582/K2582</f>
        <v/>
      </c>
    </row>
    <row r="2583">
      <c r="A2583" s="58" t="inlineStr">
        <is>
          <t>RT20250307-02582</t>
        </is>
      </c>
      <c r="B2583" s="59" t="inlineStr">
        <is>
          <t>2025-03-07</t>
        </is>
      </c>
      <c r="C2583" s="60" t="inlineStr">
        <is>
          <t>Falcon Wearable X-334</t>
        </is>
      </c>
      <c r="D2583" s="58" t="inlineStr">
        <is>
          <t>Electronics</t>
        </is>
      </c>
      <c r="E2583" s="58" t="inlineStr">
        <is>
          <t>North</t>
        </is>
      </c>
      <c r="F2583" s="61" t="n">
        <v>2</v>
      </c>
      <c r="G2583" s="62" t="n">
        <v>1901.17</v>
      </c>
      <c r="H2583" s="63" t="n">
        <v>0.065</v>
      </c>
      <c r="I2583" s="62" t="n">
        <v>1504.53</v>
      </c>
      <c r="J2583" s="58" t="inlineStr">
        <is>
          <t>Online</t>
        </is>
      </c>
      <c r="K2583" s="62">
        <f>F2583*(G2583-H2583)</f>
        <v/>
      </c>
      <c r="L2583" s="62">
        <f>K2583-(F2583*I2583)</f>
        <v/>
      </c>
      <c r="M2583" s="64">
        <f>L2583/K2583</f>
        <v/>
      </c>
    </row>
    <row r="2584">
      <c r="A2584" s="58" t="inlineStr">
        <is>
          <t>RT20250307-02583</t>
        </is>
      </c>
      <c r="B2584" s="59" t="inlineStr">
        <is>
          <t>2025-03-07</t>
        </is>
      </c>
      <c r="C2584" s="60" t="inlineStr">
        <is>
          <t>Falcon Skincare Max-151</t>
        </is>
      </c>
      <c r="D2584" s="58" t="inlineStr">
        <is>
          <t>Beauty</t>
        </is>
      </c>
      <c r="E2584" s="58" t="inlineStr">
        <is>
          <t>East</t>
        </is>
      </c>
      <c r="F2584" s="61" t="n">
        <v>4</v>
      </c>
      <c r="G2584" s="62" t="n">
        <v>94.98</v>
      </c>
      <c r="H2584" s="63" t="n">
        <v>0.104</v>
      </c>
      <c r="I2584" s="62" t="n">
        <v>58.94</v>
      </c>
      <c r="J2584" s="58" t="inlineStr">
        <is>
          <t>Phone</t>
        </is>
      </c>
      <c r="K2584" s="62">
        <f>F2584*(G2584-H2584)</f>
        <v/>
      </c>
      <c r="L2584" s="62">
        <f>K2584-(F2584*I2584)</f>
        <v/>
      </c>
      <c r="M2584" s="64">
        <f>L2584/K2584</f>
        <v/>
      </c>
    </row>
    <row r="2585">
      <c r="A2585" s="58" t="inlineStr">
        <is>
          <t>RT20250307-02584</t>
        </is>
      </c>
      <c r="B2585" s="59" t="inlineStr">
        <is>
          <t>2025-03-07</t>
        </is>
      </c>
      <c r="C2585" s="60" t="inlineStr">
        <is>
          <t>Orion Team Sport X-926</t>
        </is>
      </c>
      <c r="D2585" s="58" t="inlineStr">
        <is>
          <t>Sports</t>
        </is>
      </c>
      <c r="E2585" s="58" t="inlineStr">
        <is>
          <t>North</t>
        </is>
      </c>
      <c r="F2585" s="61" t="n">
        <v>2</v>
      </c>
      <c r="G2585" s="62" t="n">
        <v>307.88</v>
      </c>
      <c r="H2585" s="63" t="n">
        <v>0.131</v>
      </c>
      <c r="I2585" s="62" t="n">
        <v>217.19</v>
      </c>
      <c r="J2585" s="58" t="inlineStr">
        <is>
          <t>Online</t>
        </is>
      </c>
      <c r="K2585" s="62">
        <f>F2585*(G2585-H2585)</f>
        <v/>
      </c>
      <c r="L2585" s="62">
        <f>K2585-(F2585*I2585)</f>
        <v/>
      </c>
      <c r="M2585" s="64">
        <f>L2585/K2585</f>
        <v/>
      </c>
    </row>
    <row r="2586">
      <c r="A2586" s="58" t="inlineStr">
        <is>
          <t>RT20250307-02585</t>
        </is>
      </c>
      <c r="B2586" s="59" t="inlineStr">
        <is>
          <t>2025-03-07</t>
        </is>
      </c>
      <c r="C2586" s="60" t="inlineStr">
        <is>
          <t>Falcon Household Pro-865</t>
        </is>
      </c>
      <c r="D2586" s="58" t="inlineStr">
        <is>
          <t>Grocery</t>
        </is>
      </c>
      <c r="E2586" s="58" t="inlineStr">
        <is>
          <t>Central</t>
        </is>
      </c>
      <c r="F2586" s="61" t="n">
        <v>3</v>
      </c>
      <c r="G2586" s="62" t="n">
        <v>10.56</v>
      </c>
      <c r="H2586" s="63" t="n">
        <v>0.083</v>
      </c>
      <c r="I2586" s="62" t="n">
        <v>7.78</v>
      </c>
      <c r="J2586" s="58" t="inlineStr">
        <is>
          <t>Store</t>
        </is>
      </c>
      <c r="K2586" s="62">
        <f>F2586*(G2586-H2586)</f>
        <v/>
      </c>
      <c r="L2586" s="62">
        <f>K2586-(F2586*I2586)</f>
        <v/>
      </c>
      <c r="M2586" s="64">
        <f>L2586/K2586</f>
        <v/>
      </c>
    </row>
    <row r="2587">
      <c r="A2587" s="58" t="inlineStr">
        <is>
          <t>RT20250307-02586</t>
        </is>
      </c>
      <c r="B2587" s="59" t="inlineStr">
        <is>
          <t>2025-03-07</t>
        </is>
      </c>
      <c r="C2587" s="60" t="inlineStr">
        <is>
          <t>Metro Smartphone Max-773</t>
        </is>
      </c>
      <c r="D2587" s="58" t="inlineStr">
        <is>
          <t>Electronics</t>
        </is>
      </c>
      <c r="E2587" s="58" t="inlineStr">
        <is>
          <t>West</t>
        </is>
      </c>
      <c r="F2587" s="61" t="n">
        <v>2</v>
      </c>
      <c r="G2587" s="62" t="n">
        <v>1489.14</v>
      </c>
      <c r="H2587" s="63" t="n">
        <v>0.11</v>
      </c>
      <c r="I2587" s="62" t="n">
        <v>1148.6</v>
      </c>
      <c r="J2587" s="58" t="inlineStr">
        <is>
          <t>Store</t>
        </is>
      </c>
      <c r="K2587" s="62">
        <f>F2587*(G2587-H2587)</f>
        <v/>
      </c>
      <c r="L2587" s="62">
        <f>K2587-(F2587*I2587)</f>
        <v/>
      </c>
      <c r="M2587" s="64">
        <f>L2587/K2587</f>
        <v/>
      </c>
    </row>
    <row r="2588">
      <c r="A2588" s="58" t="inlineStr">
        <is>
          <t>RT20250307-02587</t>
        </is>
      </c>
      <c r="B2588" s="59" t="inlineStr">
        <is>
          <t>2025-03-07</t>
        </is>
      </c>
      <c r="C2588" s="60" t="inlineStr">
        <is>
          <t>Solace Bedding Plus-317</t>
        </is>
      </c>
      <c r="D2588" s="58" t="inlineStr">
        <is>
          <t>Home</t>
        </is>
      </c>
      <c r="E2588" s="58" t="inlineStr">
        <is>
          <t>West</t>
        </is>
      </c>
      <c r="F2588" s="61" t="n">
        <v>2</v>
      </c>
      <c r="G2588" s="62" t="n">
        <v>613.14</v>
      </c>
      <c r="H2588" s="63" t="n">
        <v>0.102</v>
      </c>
      <c r="I2588" s="62" t="n">
        <v>388.39</v>
      </c>
      <c r="J2588" s="58" t="inlineStr">
        <is>
          <t>Store</t>
        </is>
      </c>
      <c r="K2588" s="62">
        <f>F2588*(G2588-H2588)</f>
        <v/>
      </c>
      <c r="L2588" s="62">
        <f>K2588-(F2588*I2588)</f>
        <v/>
      </c>
      <c r="M2588" s="64">
        <f>L2588/K2588</f>
        <v/>
      </c>
    </row>
    <row r="2589">
      <c r="A2589" s="58" t="inlineStr">
        <is>
          <t>RT20250307-02588</t>
        </is>
      </c>
      <c r="B2589" s="59" t="inlineStr">
        <is>
          <t>2025-03-07</t>
        </is>
      </c>
      <c r="C2589" s="60" t="inlineStr">
        <is>
          <t>Polar Haircare Max-614</t>
        </is>
      </c>
      <c r="D2589" s="58" t="inlineStr">
        <is>
          <t>Beauty</t>
        </is>
      </c>
      <c r="E2589" s="58" t="inlineStr">
        <is>
          <t>South</t>
        </is>
      </c>
      <c r="F2589" s="61" t="n">
        <v>1</v>
      </c>
      <c r="G2589" s="62" t="n">
        <v>80.25</v>
      </c>
      <c r="H2589" s="63" t="n">
        <v>0.109</v>
      </c>
      <c r="I2589" s="62" t="n">
        <v>69.42</v>
      </c>
      <c r="J2589" s="58" t="inlineStr">
        <is>
          <t>Online</t>
        </is>
      </c>
      <c r="K2589" s="62">
        <f>F2589*(G2589-H2589)</f>
        <v/>
      </c>
      <c r="L2589" s="62">
        <f>K2589-(F2589*I2589)</f>
        <v/>
      </c>
      <c r="M2589" s="64">
        <f>L2589/K2589</f>
        <v/>
      </c>
    </row>
    <row r="2590">
      <c r="A2590" s="58" t="inlineStr">
        <is>
          <t>RT20250307-02589</t>
        </is>
      </c>
      <c r="B2590" s="59" t="inlineStr">
        <is>
          <t>2025-03-07</t>
        </is>
      </c>
      <c r="C2590" s="60" t="inlineStr">
        <is>
          <t>Aurora Skincare Max-798</t>
        </is>
      </c>
      <c r="D2590" s="58" t="inlineStr">
        <is>
          <t>Beauty</t>
        </is>
      </c>
      <c r="E2590" s="58" t="inlineStr">
        <is>
          <t>Central</t>
        </is>
      </c>
      <c r="F2590" s="61" t="n">
        <v>4</v>
      </c>
      <c r="G2590" s="62" t="n">
        <v>110.75</v>
      </c>
      <c r="H2590" s="63" t="n">
        <v>0.148</v>
      </c>
      <c r="I2590" s="62" t="n">
        <v>66.27</v>
      </c>
      <c r="J2590" s="58" t="inlineStr">
        <is>
          <t>Phone</t>
        </is>
      </c>
      <c r="K2590" s="62">
        <f>F2590*(G2590-H2590)</f>
        <v/>
      </c>
      <c r="L2590" s="62">
        <f>K2590-(F2590*I2590)</f>
        <v/>
      </c>
      <c r="M2590" s="64">
        <f>L2590/K2590</f>
        <v/>
      </c>
    </row>
    <row r="2591">
      <c r="A2591" s="58" t="inlineStr">
        <is>
          <t>RT20250308-02590</t>
        </is>
      </c>
      <c r="B2591" s="59" t="inlineStr">
        <is>
          <t>2025-03-08</t>
        </is>
      </c>
      <c r="C2591" s="60" t="inlineStr">
        <is>
          <t>Aurora Team Sport Plus-256</t>
        </is>
      </c>
      <c r="D2591" s="58" t="inlineStr">
        <is>
          <t>Sports</t>
        </is>
      </c>
      <c r="E2591" s="58" t="inlineStr">
        <is>
          <t>North</t>
        </is>
      </c>
      <c r="F2591" s="61" t="n">
        <v>1</v>
      </c>
      <c r="G2591" s="62" t="n">
        <v>571.73</v>
      </c>
      <c r="H2591" s="63" t="n">
        <v>0.125</v>
      </c>
      <c r="I2591" s="62" t="n">
        <v>410.61</v>
      </c>
      <c r="J2591" s="58" t="inlineStr">
        <is>
          <t>Online</t>
        </is>
      </c>
      <c r="K2591" s="62">
        <f>F2591*(G2591-H2591)</f>
        <v/>
      </c>
      <c r="L2591" s="62">
        <f>K2591-(F2591*I2591)</f>
        <v/>
      </c>
      <c r="M2591" s="64">
        <f>L2591/K2591</f>
        <v/>
      </c>
    </row>
    <row r="2592">
      <c r="A2592" s="58" t="inlineStr">
        <is>
          <t>RT20250308-02591</t>
        </is>
      </c>
      <c r="B2592" s="59" t="inlineStr">
        <is>
          <t>2025-03-08</t>
        </is>
      </c>
      <c r="C2592" s="60" t="inlineStr">
        <is>
          <t>Solace Kitchen Pro-999</t>
        </is>
      </c>
      <c r="D2592" s="58" t="inlineStr">
        <is>
          <t>Home</t>
        </is>
      </c>
      <c r="E2592" s="58" t="inlineStr">
        <is>
          <t>East</t>
        </is>
      </c>
      <c r="F2592" s="61" t="n">
        <v>3</v>
      </c>
      <c r="G2592" s="62" t="n">
        <v>394.02</v>
      </c>
      <c r="H2592" s="63" t="n">
        <v>0.108</v>
      </c>
      <c r="I2592" s="62" t="n">
        <v>265.87</v>
      </c>
      <c r="J2592" s="58" t="inlineStr">
        <is>
          <t>Online</t>
        </is>
      </c>
      <c r="K2592" s="62">
        <f>F2592*(G2592-H2592)</f>
        <v/>
      </c>
      <c r="L2592" s="62">
        <f>K2592-(F2592*I2592)</f>
        <v/>
      </c>
      <c r="M2592" s="64">
        <f>L2592/K2592</f>
        <v/>
      </c>
    </row>
    <row r="2593">
      <c r="A2593" s="58" t="inlineStr">
        <is>
          <t>RT20250308-02592</t>
        </is>
      </c>
      <c r="B2593" s="59" t="inlineStr">
        <is>
          <t>2025-03-08</t>
        </is>
      </c>
      <c r="C2593" s="60" t="inlineStr">
        <is>
          <t>Aurora Bedding Max-175</t>
        </is>
      </c>
      <c r="D2593" s="58" t="inlineStr">
        <is>
          <t>Home</t>
        </is>
      </c>
      <c r="E2593" s="58" t="inlineStr">
        <is>
          <t>South</t>
        </is>
      </c>
      <c r="F2593" s="61" t="n">
        <v>1</v>
      </c>
      <c r="G2593" s="62" t="n">
        <v>548.24</v>
      </c>
      <c r="H2593" s="63" t="n">
        <v>0.112</v>
      </c>
      <c r="I2593" s="62" t="n">
        <v>420.67</v>
      </c>
      <c r="J2593" s="58" t="inlineStr">
        <is>
          <t>Store</t>
        </is>
      </c>
      <c r="K2593" s="62">
        <f>F2593*(G2593-H2593)</f>
        <v/>
      </c>
      <c r="L2593" s="62">
        <f>K2593-(F2593*I2593)</f>
        <v/>
      </c>
      <c r="M2593" s="64">
        <f>L2593/K2593</f>
        <v/>
      </c>
    </row>
    <row r="2594">
      <c r="A2594" s="58" t="inlineStr">
        <is>
          <t>RT20250308-02593</t>
        </is>
      </c>
      <c r="B2594" s="59" t="inlineStr">
        <is>
          <t>2025-03-08</t>
        </is>
      </c>
      <c r="C2594" s="60" t="inlineStr">
        <is>
          <t>Solace Snack S-691</t>
        </is>
      </c>
      <c r="D2594" s="58" t="inlineStr">
        <is>
          <t>Grocery</t>
        </is>
      </c>
      <c r="E2594" s="58" t="inlineStr">
        <is>
          <t>West</t>
        </is>
      </c>
      <c r="F2594" s="61" t="n">
        <v>3</v>
      </c>
      <c r="G2594" s="62" t="n">
        <v>8.23</v>
      </c>
      <c r="H2594" s="63" t="n">
        <v>0.153</v>
      </c>
      <c r="I2594" s="62" t="n">
        <v>6.77</v>
      </c>
      <c r="J2594" s="58" t="inlineStr">
        <is>
          <t>Online</t>
        </is>
      </c>
      <c r="K2594" s="62">
        <f>F2594*(G2594-H2594)</f>
        <v/>
      </c>
      <c r="L2594" s="62">
        <f>K2594-(F2594*I2594)</f>
        <v/>
      </c>
      <c r="M2594" s="64">
        <f>L2594/K2594</f>
        <v/>
      </c>
    </row>
    <row r="2595">
      <c r="A2595" s="58" t="inlineStr">
        <is>
          <t>RT20250308-02594</t>
        </is>
      </c>
      <c r="B2595" s="59" t="inlineStr">
        <is>
          <t>2025-03-08</t>
        </is>
      </c>
      <c r="C2595" s="60" t="inlineStr">
        <is>
          <t>Metro Fragrance Lite-261</t>
        </is>
      </c>
      <c r="D2595" s="58" t="inlineStr">
        <is>
          <t>Beauty</t>
        </is>
      </c>
      <c r="E2595" s="58" t="inlineStr">
        <is>
          <t>East</t>
        </is>
      </c>
      <c r="F2595" s="61" t="n">
        <v>4</v>
      </c>
      <c r="G2595" s="62" t="n">
        <v>97.23999999999999</v>
      </c>
      <c r="H2595" s="63" t="n">
        <v>0.05</v>
      </c>
      <c r="I2595" s="62" t="n">
        <v>55.77</v>
      </c>
      <c r="J2595" s="58" t="inlineStr">
        <is>
          <t>Store</t>
        </is>
      </c>
      <c r="K2595" s="62">
        <f>F2595*(G2595-H2595)</f>
        <v/>
      </c>
      <c r="L2595" s="62">
        <f>K2595-(F2595*I2595)</f>
        <v/>
      </c>
      <c r="M2595" s="64">
        <f>L2595/K2595</f>
        <v/>
      </c>
    </row>
    <row r="2596">
      <c r="A2596" s="58" t="inlineStr">
        <is>
          <t>RT20250308-02595</t>
        </is>
      </c>
      <c r="B2596" s="59" t="inlineStr">
        <is>
          <t>2025-03-08</t>
        </is>
      </c>
      <c r="C2596" s="60" t="inlineStr">
        <is>
          <t>Falcon Household Plus-172</t>
        </is>
      </c>
      <c r="D2596" s="58" t="inlineStr">
        <is>
          <t>Grocery</t>
        </is>
      </c>
      <c r="E2596" s="58" t="inlineStr">
        <is>
          <t>West</t>
        </is>
      </c>
      <c r="F2596" s="61" t="n">
        <v>2</v>
      </c>
      <c r="G2596" s="62" t="n">
        <v>23.05</v>
      </c>
      <c r="H2596" s="63" t="n">
        <v>0.114</v>
      </c>
      <c r="I2596" s="62" t="n">
        <v>16.03</v>
      </c>
      <c r="J2596" s="58" t="inlineStr">
        <is>
          <t>Store</t>
        </is>
      </c>
      <c r="K2596" s="62">
        <f>F2596*(G2596-H2596)</f>
        <v/>
      </c>
      <c r="L2596" s="62">
        <f>K2596-(F2596*I2596)</f>
        <v/>
      </c>
      <c r="M2596" s="64">
        <f>L2596/K2596</f>
        <v/>
      </c>
    </row>
    <row r="2597">
      <c r="A2597" s="58" t="inlineStr">
        <is>
          <t>RT20250308-02596</t>
        </is>
      </c>
      <c r="B2597" s="59" t="inlineStr">
        <is>
          <t>2025-03-08</t>
        </is>
      </c>
      <c r="C2597" s="60" t="inlineStr">
        <is>
          <t>Solace Kitchen Pro-999</t>
        </is>
      </c>
      <c r="D2597" s="58" t="inlineStr">
        <is>
          <t>Home</t>
        </is>
      </c>
      <c r="E2597" s="58" t="inlineStr">
        <is>
          <t>West</t>
        </is>
      </c>
      <c r="F2597" s="61" t="n">
        <v>1</v>
      </c>
      <c r="G2597" s="62" t="n">
        <v>404.34</v>
      </c>
      <c r="H2597" s="63" t="n">
        <v>0.111</v>
      </c>
      <c r="I2597" s="62" t="n">
        <v>263.79</v>
      </c>
      <c r="J2597" s="58" t="inlineStr">
        <is>
          <t>Online</t>
        </is>
      </c>
      <c r="K2597" s="62">
        <f>F2597*(G2597-H2597)</f>
        <v/>
      </c>
      <c r="L2597" s="62">
        <f>K2597-(F2597*I2597)</f>
        <v/>
      </c>
      <c r="M2597" s="64">
        <f>L2597/K2597</f>
        <v/>
      </c>
    </row>
    <row r="2598">
      <c r="A2598" s="58" t="inlineStr">
        <is>
          <t>RT20250308-02597</t>
        </is>
      </c>
      <c r="B2598" s="59" t="inlineStr">
        <is>
          <t>2025-03-08</t>
        </is>
      </c>
      <c r="C2598" s="60" t="inlineStr">
        <is>
          <t>Polar Decor X-935</t>
        </is>
      </c>
      <c r="D2598" s="58" t="inlineStr">
        <is>
          <t>Home</t>
        </is>
      </c>
      <c r="E2598" s="58" t="inlineStr">
        <is>
          <t>East</t>
        </is>
      </c>
      <c r="F2598" s="61" t="n">
        <v>3</v>
      </c>
      <c r="G2598" s="62" t="n">
        <v>293.94</v>
      </c>
      <c r="H2598" s="63" t="n">
        <v>0.05</v>
      </c>
      <c r="I2598" s="62" t="n">
        <v>200.84</v>
      </c>
      <c r="J2598" s="58" t="inlineStr">
        <is>
          <t>Online</t>
        </is>
      </c>
      <c r="K2598" s="62">
        <f>F2598*(G2598-H2598)</f>
        <v/>
      </c>
      <c r="L2598" s="62">
        <f>K2598-(F2598*I2598)</f>
        <v/>
      </c>
      <c r="M2598" s="64">
        <f>L2598/K2598</f>
        <v/>
      </c>
    </row>
    <row r="2599">
      <c r="A2599" s="58" t="inlineStr">
        <is>
          <t>RT20250308-02598</t>
        </is>
      </c>
      <c r="B2599" s="59" t="inlineStr">
        <is>
          <t>2025-03-08</t>
        </is>
      </c>
      <c r="C2599" s="60" t="inlineStr">
        <is>
          <t>Falcon Headphone Plus-789</t>
        </is>
      </c>
      <c r="D2599" s="58" t="inlineStr">
        <is>
          <t>Electronics</t>
        </is>
      </c>
      <c r="E2599" s="58" t="inlineStr">
        <is>
          <t>South</t>
        </is>
      </c>
      <c r="F2599" s="61" t="n">
        <v>2</v>
      </c>
      <c r="G2599" s="62" t="n">
        <v>1891.44</v>
      </c>
      <c r="H2599" s="63" t="n">
        <v>0.112</v>
      </c>
      <c r="I2599" s="62" t="n">
        <v>1336.58</v>
      </c>
      <c r="J2599" s="58" t="inlineStr">
        <is>
          <t>Online</t>
        </is>
      </c>
      <c r="K2599" s="62">
        <f>F2599*(G2599-H2599)</f>
        <v/>
      </c>
      <c r="L2599" s="62">
        <f>K2599-(F2599*I2599)</f>
        <v/>
      </c>
      <c r="M2599" s="64">
        <f>L2599/K2599</f>
        <v/>
      </c>
    </row>
    <row r="2600">
      <c r="A2600" s="58" t="inlineStr">
        <is>
          <t>RT20250308-02599</t>
        </is>
      </c>
      <c r="B2600" s="59" t="inlineStr">
        <is>
          <t>2025-03-08</t>
        </is>
      </c>
      <c r="C2600" s="60" t="inlineStr">
        <is>
          <t>Vertex Skincare Pro-891</t>
        </is>
      </c>
      <c r="D2600" s="58" t="inlineStr">
        <is>
          <t>Beauty</t>
        </is>
      </c>
      <c r="E2600" s="58" t="inlineStr">
        <is>
          <t>West</t>
        </is>
      </c>
      <c r="F2600" s="61" t="n">
        <v>4</v>
      </c>
      <c r="G2600" s="62" t="n">
        <v>156.86</v>
      </c>
      <c r="H2600" s="63" t="n">
        <v>0.092</v>
      </c>
      <c r="I2600" s="62" t="n">
        <v>89.29000000000001</v>
      </c>
      <c r="J2600" s="58" t="inlineStr">
        <is>
          <t>Store</t>
        </is>
      </c>
      <c r="K2600" s="62">
        <f>F2600*(G2600-H2600)</f>
        <v/>
      </c>
      <c r="L2600" s="62">
        <f>K2600-(F2600*I2600)</f>
        <v/>
      </c>
      <c r="M2600" s="64">
        <f>L2600/K2600</f>
        <v/>
      </c>
    </row>
    <row r="2601">
      <c r="A2601" s="58" t="inlineStr">
        <is>
          <t>RT20250308-02600</t>
        </is>
      </c>
      <c r="B2601" s="59" t="inlineStr">
        <is>
          <t>2025-03-08</t>
        </is>
      </c>
      <c r="C2601" s="60" t="inlineStr">
        <is>
          <t>Polar Snack Pro-641</t>
        </is>
      </c>
      <c r="D2601" s="58" t="inlineStr">
        <is>
          <t>Grocery</t>
        </is>
      </c>
      <c r="E2601" s="58" t="inlineStr">
        <is>
          <t>Central</t>
        </is>
      </c>
      <c r="F2601" s="61" t="n">
        <v>7</v>
      </c>
      <c r="G2601" s="62" t="n">
        <v>12.55</v>
      </c>
      <c r="H2601" s="63" t="n">
        <v>0.106</v>
      </c>
      <c r="I2601" s="62" t="n">
        <v>9.609999999999999</v>
      </c>
      <c r="J2601" s="58" t="inlineStr">
        <is>
          <t>Online</t>
        </is>
      </c>
      <c r="K2601" s="62">
        <f>F2601*(G2601-H2601)</f>
        <v/>
      </c>
      <c r="L2601" s="62">
        <f>K2601-(F2601*I2601)</f>
        <v/>
      </c>
      <c r="M2601" s="64">
        <f>L2601/K2601</f>
        <v/>
      </c>
    </row>
    <row r="2602">
      <c r="A2602" s="58" t="inlineStr">
        <is>
          <t>RT20250308-02601</t>
        </is>
      </c>
      <c r="B2602" s="59" t="inlineStr">
        <is>
          <t>2025-03-08</t>
        </is>
      </c>
      <c r="C2602" s="60" t="inlineStr">
        <is>
          <t>Polar Pantry Lite-392</t>
        </is>
      </c>
      <c r="D2602" s="58" t="inlineStr">
        <is>
          <t>Grocery</t>
        </is>
      </c>
      <c r="E2602" s="58" t="inlineStr">
        <is>
          <t>South</t>
        </is>
      </c>
      <c r="F2602" s="61" t="n">
        <v>2</v>
      </c>
      <c r="G2602" s="62" t="n">
        <v>6.22</v>
      </c>
      <c r="H2602" s="63" t="n">
        <v>0.101</v>
      </c>
      <c r="I2602" s="62" t="n">
        <v>4.61</v>
      </c>
      <c r="J2602" s="58" t="inlineStr">
        <is>
          <t>Store</t>
        </is>
      </c>
      <c r="K2602" s="62">
        <f>F2602*(G2602-H2602)</f>
        <v/>
      </c>
      <c r="L2602" s="62">
        <f>K2602-(F2602*I2602)</f>
        <v/>
      </c>
      <c r="M2602" s="64">
        <f>L2602/K2602</f>
        <v/>
      </c>
    </row>
    <row r="2603">
      <c r="A2603" s="58" t="inlineStr">
        <is>
          <t>RT20250308-02602</t>
        </is>
      </c>
      <c r="B2603" s="59" t="inlineStr">
        <is>
          <t>2025-03-08</t>
        </is>
      </c>
      <c r="C2603" s="60" t="inlineStr">
        <is>
          <t>Vertex Headphone Pro-801</t>
        </is>
      </c>
      <c r="D2603" s="58" t="inlineStr">
        <is>
          <t>Electronics</t>
        </is>
      </c>
      <c r="E2603" s="58" t="inlineStr">
        <is>
          <t>South</t>
        </is>
      </c>
      <c r="F2603" s="61" t="n">
        <v>2</v>
      </c>
      <c r="G2603" s="62" t="n">
        <v>1129.09</v>
      </c>
      <c r="H2603" s="63" t="n">
        <v>0.108</v>
      </c>
      <c r="I2603" s="62" t="n">
        <v>958.46</v>
      </c>
      <c r="J2603" s="58" t="inlineStr">
        <is>
          <t>Online</t>
        </is>
      </c>
      <c r="K2603" s="62">
        <f>F2603*(G2603-H2603)</f>
        <v/>
      </c>
      <c r="L2603" s="62">
        <f>K2603-(F2603*I2603)</f>
        <v/>
      </c>
      <c r="M2603" s="64">
        <f>L2603/K2603</f>
        <v/>
      </c>
    </row>
    <row r="2604">
      <c r="A2604" s="58" t="inlineStr">
        <is>
          <t>RT20250308-02603</t>
        </is>
      </c>
      <c r="B2604" s="59" t="inlineStr">
        <is>
          <t>2025-03-08</t>
        </is>
      </c>
      <c r="C2604" s="60" t="inlineStr">
        <is>
          <t>Polar Pantry Lite-392</t>
        </is>
      </c>
      <c r="D2604" s="58" t="inlineStr">
        <is>
          <t>Grocery</t>
        </is>
      </c>
      <c r="E2604" s="58" t="inlineStr">
        <is>
          <t>West</t>
        </is>
      </c>
      <c r="F2604" s="61" t="n">
        <v>7</v>
      </c>
      <c r="G2604" s="62" t="n">
        <v>5.5</v>
      </c>
      <c r="H2604" s="63" t="n">
        <v>0.066</v>
      </c>
      <c r="I2604" s="62" t="n">
        <v>4.46</v>
      </c>
      <c r="J2604" s="58" t="inlineStr">
        <is>
          <t>Online</t>
        </is>
      </c>
      <c r="K2604" s="62">
        <f>F2604*(G2604-H2604)</f>
        <v/>
      </c>
      <c r="L2604" s="62">
        <f>K2604-(F2604*I2604)</f>
        <v/>
      </c>
      <c r="M2604" s="64">
        <f>L2604/K2604</f>
        <v/>
      </c>
    </row>
    <row r="2605">
      <c r="A2605" s="58" t="inlineStr">
        <is>
          <t>RT20250308-02604</t>
        </is>
      </c>
      <c r="B2605" s="59" t="inlineStr">
        <is>
          <t>2025-03-08</t>
        </is>
      </c>
      <c r="C2605" s="60" t="inlineStr">
        <is>
          <t>Nimbus Women Plus-352</t>
        </is>
      </c>
      <c r="D2605" s="58" t="inlineStr">
        <is>
          <t>Apparel</t>
        </is>
      </c>
      <c r="E2605" s="58" t="inlineStr">
        <is>
          <t>North</t>
        </is>
      </c>
      <c r="F2605" s="61" t="n">
        <v>2</v>
      </c>
      <c r="G2605" s="62" t="n">
        <v>47.62</v>
      </c>
      <c r="H2605" s="63" t="n">
        <v>0.142</v>
      </c>
      <c r="I2605" s="62" t="n">
        <v>32.59</v>
      </c>
      <c r="J2605" s="58" t="inlineStr">
        <is>
          <t>Online</t>
        </is>
      </c>
      <c r="K2605" s="62">
        <f>F2605*(G2605-H2605)</f>
        <v/>
      </c>
      <c r="L2605" s="62">
        <f>K2605-(F2605*I2605)</f>
        <v/>
      </c>
      <c r="M2605" s="64">
        <f>L2605/K2605</f>
        <v/>
      </c>
    </row>
    <row r="2606">
      <c r="A2606" s="58" t="inlineStr">
        <is>
          <t>RT20250308-02605</t>
        </is>
      </c>
      <c r="B2606" s="59" t="inlineStr">
        <is>
          <t>2025-03-08</t>
        </is>
      </c>
      <c r="C2606" s="60" t="inlineStr">
        <is>
          <t>Polar Decor Plus-505</t>
        </is>
      </c>
      <c r="D2606" s="58" t="inlineStr">
        <is>
          <t>Home</t>
        </is>
      </c>
      <c r="E2606" s="58" t="inlineStr">
        <is>
          <t>East</t>
        </is>
      </c>
      <c r="F2606" s="61" t="n">
        <v>2</v>
      </c>
      <c r="G2606" s="62" t="n">
        <v>305.58</v>
      </c>
      <c r="H2606" s="63" t="n">
        <v>0.107</v>
      </c>
      <c r="I2606" s="62" t="n">
        <v>194.94</v>
      </c>
      <c r="J2606" s="58" t="inlineStr">
        <is>
          <t>Store</t>
        </is>
      </c>
      <c r="K2606" s="62">
        <f>F2606*(G2606-H2606)</f>
        <v/>
      </c>
      <c r="L2606" s="62">
        <f>K2606-(F2606*I2606)</f>
        <v/>
      </c>
      <c r="M2606" s="64">
        <f>L2606/K2606</f>
        <v/>
      </c>
    </row>
    <row r="2607">
      <c r="A2607" s="58" t="inlineStr">
        <is>
          <t>RT20250308-02606</t>
        </is>
      </c>
      <c r="B2607" s="59" t="inlineStr">
        <is>
          <t>2025-03-08</t>
        </is>
      </c>
      <c r="C2607" s="60" t="inlineStr">
        <is>
          <t>Vertex Men X-995</t>
        </is>
      </c>
      <c r="D2607" s="58" t="inlineStr">
        <is>
          <t>Apparel</t>
        </is>
      </c>
      <c r="E2607" s="58" t="inlineStr">
        <is>
          <t>Central</t>
        </is>
      </c>
      <c r="F2607" s="61" t="n">
        <v>3</v>
      </c>
      <c r="G2607" s="62" t="n">
        <v>101.82</v>
      </c>
      <c r="H2607" s="63" t="n">
        <v>0.136</v>
      </c>
      <c r="I2607" s="62" t="n">
        <v>58.37</v>
      </c>
      <c r="J2607" s="58" t="inlineStr">
        <is>
          <t>Phone</t>
        </is>
      </c>
      <c r="K2607" s="62">
        <f>F2607*(G2607-H2607)</f>
        <v/>
      </c>
      <c r="L2607" s="62">
        <f>K2607-(F2607*I2607)</f>
        <v/>
      </c>
      <c r="M2607" s="64">
        <f>L2607/K2607</f>
        <v/>
      </c>
    </row>
    <row r="2608">
      <c r="A2608" s="58" t="inlineStr">
        <is>
          <t>RT20250308-02607</t>
        </is>
      </c>
      <c r="B2608" s="59" t="inlineStr">
        <is>
          <t>2025-03-08</t>
        </is>
      </c>
      <c r="C2608" s="60" t="inlineStr">
        <is>
          <t>Vertex Supplie Pro-786</t>
        </is>
      </c>
      <c r="D2608" s="58" t="inlineStr">
        <is>
          <t>Office</t>
        </is>
      </c>
      <c r="E2608" s="58" t="inlineStr">
        <is>
          <t>South</t>
        </is>
      </c>
      <c r="F2608" s="61" t="n">
        <v>2</v>
      </c>
      <c r="G2608" s="62" t="n">
        <v>424.79</v>
      </c>
      <c r="H2608" s="63" t="n">
        <v>0.06</v>
      </c>
      <c r="I2608" s="62" t="n">
        <v>290.54</v>
      </c>
      <c r="J2608" s="58" t="inlineStr">
        <is>
          <t>Online</t>
        </is>
      </c>
      <c r="K2608" s="62">
        <f>F2608*(G2608-H2608)</f>
        <v/>
      </c>
      <c r="L2608" s="62">
        <f>K2608-(F2608*I2608)</f>
        <v/>
      </c>
      <c r="M2608" s="64">
        <f>L2608/K2608</f>
        <v/>
      </c>
    </row>
    <row r="2609">
      <c r="A2609" s="58" t="inlineStr">
        <is>
          <t>RT20250308-02608</t>
        </is>
      </c>
      <c r="B2609" s="59" t="inlineStr">
        <is>
          <t>2025-03-08</t>
        </is>
      </c>
      <c r="C2609" s="60" t="inlineStr">
        <is>
          <t>Falcon Headphone Plus-789</t>
        </is>
      </c>
      <c r="D2609" s="58" t="inlineStr">
        <is>
          <t>Electronics</t>
        </is>
      </c>
      <c r="E2609" s="58" t="inlineStr">
        <is>
          <t>North</t>
        </is>
      </c>
      <c r="F2609" s="61" t="n">
        <v>1</v>
      </c>
      <c r="G2609" s="62" t="n">
        <v>1516.07</v>
      </c>
      <c r="H2609" s="63" t="n">
        <v>0.081</v>
      </c>
      <c r="I2609" s="62" t="n">
        <v>1291.35</v>
      </c>
      <c r="J2609" s="58" t="inlineStr">
        <is>
          <t>Online</t>
        </is>
      </c>
      <c r="K2609" s="62">
        <f>F2609*(G2609-H2609)</f>
        <v/>
      </c>
      <c r="L2609" s="62">
        <f>K2609-(F2609*I2609)</f>
        <v/>
      </c>
      <c r="M2609" s="64">
        <f>L2609/K2609</f>
        <v/>
      </c>
    </row>
    <row r="2610">
      <c r="A2610" s="58" t="inlineStr">
        <is>
          <t>RT20250308-02609</t>
        </is>
      </c>
      <c r="B2610" s="59" t="inlineStr">
        <is>
          <t>2025-03-08</t>
        </is>
      </c>
      <c r="C2610" s="60" t="inlineStr">
        <is>
          <t>Solace Fitnes S-324</t>
        </is>
      </c>
      <c r="D2610" s="58" t="inlineStr">
        <is>
          <t>Sports</t>
        </is>
      </c>
      <c r="E2610" s="58" t="inlineStr">
        <is>
          <t>East</t>
        </is>
      </c>
      <c r="F2610" s="61" t="n">
        <v>3</v>
      </c>
      <c r="G2610" s="62" t="n">
        <v>781.52</v>
      </c>
      <c r="H2610" s="63" t="n">
        <v>0.033</v>
      </c>
      <c r="I2610" s="62" t="n">
        <v>529.7</v>
      </c>
      <c r="J2610" s="58" t="inlineStr">
        <is>
          <t>Store</t>
        </is>
      </c>
      <c r="K2610" s="62">
        <f>F2610*(G2610-H2610)</f>
        <v/>
      </c>
      <c r="L2610" s="62">
        <f>K2610-(F2610*I2610)</f>
        <v/>
      </c>
      <c r="M2610" s="64">
        <f>L2610/K2610</f>
        <v/>
      </c>
    </row>
    <row r="2611">
      <c r="A2611" s="58" t="inlineStr">
        <is>
          <t>RT20250308-02610</t>
        </is>
      </c>
      <c r="B2611" s="59" t="inlineStr">
        <is>
          <t>2025-03-08</t>
        </is>
      </c>
      <c r="C2611" s="60" t="inlineStr">
        <is>
          <t>Orion Supplie S-612</t>
        </is>
      </c>
      <c r="D2611" s="58" t="inlineStr">
        <is>
          <t>Office</t>
        </is>
      </c>
      <c r="E2611" s="58" t="inlineStr">
        <is>
          <t>West</t>
        </is>
      </c>
      <c r="F2611" s="61" t="n">
        <v>3</v>
      </c>
      <c r="G2611" s="62" t="n">
        <v>499.91</v>
      </c>
      <c r="H2611" s="63" t="n">
        <v>0.08599999999999999</v>
      </c>
      <c r="I2611" s="62" t="n">
        <v>339.35</v>
      </c>
      <c r="J2611" s="58" t="inlineStr">
        <is>
          <t>Online</t>
        </is>
      </c>
      <c r="K2611" s="62">
        <f>F2611*(G2611-H2611)</f>
        <v/>
      </c>
      <c r="L2611" s="62">
        <f>K2611-(F2611*I2611)</f>
        <v/>
      </c>
      <c r="M2611" s="64">
        <f>L2611/K2611</f>
        <v/>
      </c>
    </row>
    <row r="2612">
      <c r="A2612" s="58" t="inlineStr">
        <is>
          <t>RT20250308-02611</t>
        </is>
      </c>
      <c r="B2612" s="59" t="inlineStr">
        <is>
          <t>2025-03-08</t>
        </is>
      </c>
      <c r="C2612" s="60" t="inlineStr">
        <is>
          <t>Orion Laptop S-350</t>
        </is>
      </c>
      <c r="D2612" s="58" t="inlineStr">
        <is>
          <t>Electronics</t>
        </is>
      </c>
      <c r="E2612" s="58" t="inlineStr">
        <is>
          <t>South</t>
        </is>
      </c>
      <c r="F2612" s="61" t="n">
        <v>2</v>
      </c>
      <c r="G2612" s="62" t="n">
        <v>1533.51</v>
      </c>
      <c r="H2612" s="63" t="n">
        <v>0.08699999999999999</v>
      </c>
      <c r="I2612" s="62" t="n">
        <v>1074.99</v>
      </c>
      <c r="J2612" s="58" t="inlineStr">
        <is>
          <t>Store</t>
        </is>
      </c>
      <c r="K2612" s="62">
        <f>F2612*(G2612-H2612)</f>
        <v/>
      </c>
      <c r="L2612" s="62">
        <f>K2612-(F2612*I2612)</f>
        <v/>
      </c>
      <c r="M2612" s="64">
        <f>L2612/K2612</f>
        <v/>
      </c>
    </row>
    <row r="2613">
      <c r="A2613" s="58" t="inlineStr">
        <is>
          <t>RT20250308-02612</t>
        </is>
      </c>
      <c r="B2613" s="59" t="inlineStr">
        <is>
          <t>2025-03-08</t>
        </is>
      </c>
      <c r="C2613" s="60" t="inlineStr">
        <is>
          <t>Polar Women S-662</t>
        </is>
      </c>
      <c r="D2613" s="58" t="inlineStr">
        <is>
          <t>Apparel</t>
        </is>
      </c>
      <c r="E2613" s="58" t="inlineStr">
        <is>
          <t>East</t>
        </is>
      </c>
      <c r="F2613" s="61" t="n">
        <v>3</v>
      </c>
      <c r="G2613" s="62" t="n">
        <v>180.89</v>
      </c>
      <c r="H2613" s="63" t="n">
        <v>0.108</v>
      </c>
      <c r="I2613" s="62" t="n">
        <v>100.84</v>
      </c>
      <c r="J2613" s="58" t="inlineStr">
        <is>
          <t>Store</t>
        </is>
      </c>
      <c r="K2613" s="62">
        <f>F2613*(G2613-H2613)</f>
        <v/>
      </c>
      <c r="L2613" s="62">
        <f>K2613-(F2613*I2613)</f>
        <v/>
      </c>
      <c r="M2613" s="64">
        <f>L2613/K2613</f>
        <v/>
      </c>
    </row>
    <row r="2614">
      <c r="A2614" s="58" t="inlineStr">
        <is>
          <t>RT20250308-02613</t>
        </is>
      </c>
      <c r="B2614" s="59" t="inlineStr">
        <is>
          <t>2025-03-08</t>
        </is>
      </c>
      <c r="C2614" s="60" t="inlineStr">
        <is>
          <t>Orion Storage Plus-961</t>
        </is>
      </c>
      <c r="D2614" s="58" t="inlineStr">
        <is>
          <t>Office</t>
        </is>
      </c>
      <c r="E2614" s="58" t="inlineStr">
        <is>
          <t>East</t>
        </is>
      </c>
      <c r="F2614" s="61" t="n">
        <v>2</v>
      </c>
      <c r="G2614" s="62" t="n">
        <v>564.92</v>
      </c>
      <c r="H2614" s="63" t="n">
        <v>0.074</v>
      </c>
      <c r="I2614" s="62" t="n">
        <v>372.91</v>
      </c>
      <c r="J2614" s="58" t="inlineStr">
        <is>
          <t>Store</t>
        </is>
      </c>
      <c r="K2614" s="62">
        <f>F2614*(G2614-H2614)</f>
        <v/>
      </c>
      <c r="L2614" s="62">
        <f>K2614-(F2614*I2614)</f>
        <v/>
      </c>
      <c r="M2614" s="64">
        <f>L2614/K2614</f>
        <v/>
      </c>
    </row>
    <row r="2615">
      <c r="A2615" s="58" t="inlineStr">
        <is>
          <t>RT20250308-02614</t>
        </is>
      </c>
      <c r="B2615" s="59" t="inlineStr">
        <is>
          <t>2025-03-08</t>
        </is>
      </c>
      <c r="C2615" s="60" t="inlineStr">
        <is>
          <t>Orion Haircare Plus-887</t>
        </is>
      </c>
      <c r="D2615" s="58" t="inlineStr">
        <is>
          <t>Beauty</t>
        </is>
      </c>
      <c r="E2615" s="58" t="inlineStr">
        <is>
          <t>South</t>
        </is>
      </c>
      <c r="F2615" s="61" t="n">
        <v>1</v>
      </c>
      <c r="G2615" s="62" t="n">
        <v>50.35</v>
      </c>
      <c r="H2615" s="63" t="n">
        <v>0.117</v>
      </c>
      <c r="I2615" s="62" t="n">
        <v>30.39</v>
      </c>
      <c r="J2615" s="58" t="inlineStr">
        <is>
          <t>Store</t>
        </is>
      </c>
      <c r="K2615" s="62">
        <f>F2615*(G2615-H2615)</f>
        <v/>
      </c>
      <c r="L2615" s="62">
        <f>K2615-(F2615*I2615)</f>
        <v/>
      </c>
      <c r="M2615" s="64">
        <f>L2615/K2615</f>
        <v/>
      </c>
    </row>
    <row r="2616">
      <c r="A2616" s="58" t="inlineStr">
        <is>
          <t>RT20250308-02615</t>
        </is>
      </c>
      <c r="B2616" s="59" t="inlineStr">
        <is>
          <t>2025-03-08</t>
        </is>
      </c>
      <c r="C2616" s="60" t="inlineStr">
        <is>
          <t>Aurora Fragrance S-971</t>
        </is>
      </c>
      <c r="D2616" s="58" t="inlineStr">
        <is>
          <t>Beauty</t>
        </is>
      </c>
      <c r="E2616" s="58" t="inlineStr">
        <is>
          <t>East</t>
        </is>
      </c>
      <c r="F2616" s="61" t="n">
        <v>3</v>
      </c>
      <c r="G2616" s="62" t="n">
        <v>124.62</v>
      </c>
      <c r="H2616" s="63" t="n">
        <v>0.116</v>
      </c>
      <c r="I2616" s="62" t="n">
        <v>65.84999999999999</v>
      </c>
      <c r="J2616" s="58" t="inlineStr">
        <is>
          <t>Store</t>
        </is>
      </c>
      <c r="K2616" s="62">
        <f>F2616*(G2616-H2616)</f>
        <v/>
      </c>
      <c r="L2616" s="62">
        <f>K2616-(F2616*I2616)</f>
        <v/>
      </c>
      <c r="M2616" s="64">
        <f>L2616/K2616</f>
        <v/>
      </c>
    </row>
    <row r="2617">
      <c r="A2617" s="58" t="inlineStr">
        <is>
          <t>RT20250308-02616</t>
        </is>
      </c>
      <c r="B2617" s="59" t="inlineStr">
        <is>
          <t>2025-03-08</t>
        </is>
      </c>
      <c r="C2617" s="60" t="inlineStr">
        <is>
          <t>Aurora Printer Plus-991</t>
        </is>
      </c>
      <c r="D2617" s="58" t="inlineStr">
        <is>
          <t>Office</t>
        </is>
      </c>
      <c r="E2617" s="58" t="inlineStr">
        <is>
          <t>South</t>
        </is>
      </c>
      <c r="F2617" s="61" t="n">
        <v>2</v>
      </c>
      <c r="G2617" s="62" t="n">
        <v>474.87</v>
      </c>
      <c r="H2617" s="63" t="n">
        <v>0.11</v>
      </c>
      <c r="I2617" s="62" t="n">
        <v>378.87</v>
      </c>
      <c r="J2617" s="58" t="inlineStr">
        <is>
          <t>Online</t>
        </is>
      </c>
      <c r="K2617" s="62">
        <f>F2617*(G2617-H2617)</f>
        <v/>
      </c>
      <c r="L2617" s="62">
        <f>K2617-(F2617*I2617)</f>
        <v/>
      </c>
      <c r="M2617" s="64">
        <f>L2617/K2617</f>
        <v/>
      </c>
    </row>
    <row r="2618">
      <c r="A2618" s="58" t="inlineStr">
        <is>
          <t>RT20250308-02617</t>
        </is>
      </c>
      <c r="B2618" s="59" t="inlineStr">
        <is>
          <t>2025-03-08</t>
        </is>
      </c>
      <c r="C2618" s="60" t="inlineStr">
        <is>
          <t>Solace Makeup Pro-214</t>
        </is>
      </c>
      <c r="D2618" s="58" t="inlineStr">
        <is>
          <t>Beauty</t>
        </is>
      </c>
      <c r="E2618" s="58" t="inlineStr">
        <is>
          <t>North</t>
        </is>
      </c>
      <c r="F2618" s="61" t="n">
        <v>2</v>
      </c>
      <c r="G2618" s="62" t="n">
        <v>110.11</v>
      </c>
      <c r="H2618" s="63" t="n">
        <v>0.102</v>
      </c>
      <c r="I2618" s="62" t="n">
        <v>66.67</v>
      </c>
      <c r="J2618" s="58" t="inlineStr">
        <is>
          <t>Online</t>
        </is>
      </c>
      <c r="K2618" s="62">
        <f>F2618*(G2618-H2618)</f>
        <v/>
      </c>
      <c r="L2618" s="62">
        <f>K2618-(F2618*I2618)</f>
        <v/>
      </c>
      <c r="M2618" s="64">
        <f>L2618/K2618</f>
        <v/>
      </c>
    </row>
    <row r="2619">
      <c r="A2619" s="58" t="inlineStr">
        <is>
          <t>RT20250308-02618</t>
        </is>
      </c>
      <c r="B2619" s="59" t="inlineStr">
        <is>
          <t>2025-03-08</t>
        </is>
      </c>
      <c r="C2619" s="60" t="inlineStr">
        <is>
          <t>Falcon Haircare Pro-980</t>
        </is>
      </c>
      <c r="D2619" s="58" t="inlineStr">
        <is>
          <t>Beauty</t>
        </is>
      </c>
      <c r="E2619" s="58" t="inlineStr">
        <is>
          <t>Central</t>
        </is>
      </c>
      <c r="F2619" s="61" t="n">
        <v>5</v>
      </c>
      <c r="G2619" s="62" t="n">
        <v>87.15000000000001</v>
      </c>
      <c r="H2619" s="63" t="n">
        <v>0.125</v>
      </c>
      <c r="I2619" s="62" t="n">
        <v>57.5</v>
      </c>
      <c r="J2619" s="58" t="inlineStr">
        <is>
          <t>Store</t>
        </is>
      </c>
      <c r="K2619" s="62">
        <f>F2619*(G2619-H2619)</f>
        <v/>
      </c>
      <c r="L2619" s="62">
        <f>K2619-(F2619*I2619)</f>
        <v/>
      </c>
      <c r="M2619" s="64">
        <f>L2619/K2619</f>
        <v/>
      </c>
    </row>
    <row r="2620">
      <c r="A2620" s="58" t="inlineStr">
        <is>
          <t>RT20250308-02619</t>
        </is>
      </c>
      <c r="B2620" s="59" t="inlineStr">
        <is>
          <t>2025-03-08</t>
        </is>
      </c>
      <c r="C2620" s="60" t="inlineStr">
        <is>
          <t>Falcon Haircare Pro-980</t>
        </is>
      </c>
      <c r="D2620" s="58" t="inlineStr">
        <is>
          <t>Beauty</t>
        </is>
      </c>
      <c r="E2620" s="58" t="inlineStr">
        <is>
          <t>East</t>
        </is>
      </c>
      <c r="F2620" s="61" t="n">
        <v>3</v>
      </c>
      <c r="G2620" s="62" t="n">
        <v>93.28</v>
      </c>
      <c r="H2620" s="63" t="n">
        <v>0.091</v>
      </c>
      <c r="I2620" s="62" t="n">
        <v>55.36</v>
      </c>
      <c r="J2620" s="58" t="inlineStr">
        <is>
          <t>Online</t>
        </is>
      </c>
      <c r="K2620" s="62">
        <f>F2620*(G2620-H2620)</f>
        <v/>
      </c>
      <c r="L2620" s="62">
        <f>K2620-(F2620*I2620)</f>
        <v/>
      </c>
      <c r="M2620" s="64">
        <f>L2620/K2620</f>
        <v/>
      </c>
    </row>
    <row r="2621">
      <c r="A2621" s="58" t="inlineStr">
        <is>
          <t>RT20250308-02620</t>
        </is>
      </c>
      <c r="B2621" s="59" t="inlineStr">
        <is>
          <t>2025-03-08</t>
        </is>
      </c>
      <c r="C2621" s="60" t="inlineStr">
        <is>
          <t>Nimbus Cycling Plus-911</t>
        </is>
      </c>
      <c r="D2621" s="58" t="inlineStr">
        <is>
          <t>Sports</t>
        </is>
      </c>
      <c r="E2621" s="58" t="inlineStr">
        <is>
          <t>West</t>
        </is>
      </c>
      <c r="F2621" s="61" t="n">
        <v>3</v>
      </c>
      <c r="G2621" s="62" t="n">
        <v>632.84</v>
      </c>
      <c r="H2621" s="63" t="n">
        <v>0.078</v>
      </c>
      <c r="I2621" s="62" t="n">
        <v>384.45</v>
      </c>
      <c r="J2621" s="58" t="inlineStr">
        <is>
          <t>Store</t>
        </is>
      </c>
      <c r="K2621" s="62">
        <f>F2621*(G2621-H2621)</f>
        <v/>
      </c>
      <c r="L2621" s="62">
        <f>K2621-(F2621*I2621)</f>
        <v/>
      </c>
      <c r="M2621" s="64">
        <f>L2621/K2621</f>
        <v/>
      </c>
    </row>
    <row r="2622">
      <c r="A2622" s="58" t="inlineStr">
        <is>
          <t>RT20250308-02621</t>
        </is>
      </c>
      <c r="B2622" s="59" t="inlineStr">
        <is>
          <t>2025-03-08</t>
        </is>
      </c>
      <c r="C2622" s="60" t="inlineStr">
        <is>
          <t>Metro Pantry X-710</t>
        </is>
      </c>
      <c r="D2622" s="58" t="inlineStr">
        <is>
          <t>Grocery</t>
        </is>
      </c>
      <c r="E2622" s="58" t="inlineStr">
        <is>
          <t>North</t>
        </is>
      </c>
      <c r="F2622" s="61" t="n">
        <v>2</v>
      </c>
      <c r="G2622" s="62" t="n">
        <v>5.11</v>
      </c>
      <c r="H2622" s="63" t="n">
        <v>0.04</v>
      </c>
      <c r="I2622" s="62" t="n">
        <v>4.23</v>
      </c>
      <c r="J2622" s="58" t="inlineStr">
        <is>
          <t>Online</t>
        </is>
      </c>
      <c r="K2622" s="62">
        <f>F2622*(G2622-H2622)</f>
        <v/>
      </c>
      <c r="L2622" s="62">
        <f>K2622-(F2622*I2622)</f>
        <v/>
      </c>
      <c r="M2622" s="64">
        <f>L2622/K2622</f>
        <v/>
      </c>
    </row>
    <row r="2623">
      <c r="A2623" s="58" t="inlineStr">
        <is>
          <t>RT20250308-02622</t>
        </is>
      </c>
      <c r="B2623" s="59" t="inlineStr">
        <is>
          <t>2025-03-08</t>
        </is>
      </c>
      <c r="C2623" s="60" t="inlineStr">
        <is>
          <t>Metro Pantry X-710</t>
        </is>
      </c>
      <c r="D2623" s="58" t="inlineStr">
        <is>
          <t>Grocery</t>
        </is>
      </c>
      <c r="E2623" s="58" t="inlineStr">
        <is>
          <t>East</t>
        </is>
      </c>
      <c r="F2623" s="61" t="n">
        <v>5</v>
      </c>
      <c r="G2623" s="62" t="n">
        <v>6.33</v>
      </c>
      <c r="H2623" s="63" t="n">
        <v>0.135</v>
      </c>
      <c r="I2623" s="62" t="n">
        <v>4.31</v>
      </c>
      <c r="J2623" s="58" t="inlineStr">
        <is>
          <t>Store</t>
        </is>
      </c>
      <c r="K2623" s="62">
        <f>F2623*(G2623-H2623)</f>
        <v/>
      </c>
      <c r="L2623" s="62">
        <f>K2623-(F2623*I2623)</f>
        <v/>
      </c>
      <c r="M2623" s="64">
        <f>L2623/K2623</f>
        <v/>
      </c>
    </row>
    <row r="2624">
      <c r="A2624" s="58" t="inlineStr">
        <is>
          <t>RT20250308-02623</t>
        </is>
      </c>
      <c r="B2624" s="59" t="inlineStr">
        <is>
          <t>2025-03-08</t>
        </is>
      </c>
      <c r="C2624" s="60" t="inlineStr">
        <is>
          <t>Metro Pantry X-710</t>
        </is>
      </c>
      <c r="D2624" s="58" t="inlineStr">
        <is>
          <t>Grocery</t>
        </is>
      </c>
      <c r="E2624" s="58" t="inlineStr">
        <is>
          <t>Central</t>
        </is>
      </c>
      <c r="F2624" s="61" t="n">
        <v>7</v>
      </c>
      <c r="G2624" s="62" t="n">
        <v>5.62</v>
      </c>
      <c r="H2624" s="63" t="n">
        <v>0.133</v>
      </c>
      <c r="I2624" s="62" t="n">
        <v>4.17</v>
      </c>
      <c r="J2624" s="58" t="inlineStr">
        <is>
          <t>Online</t>
        </is>
      </c>
      <c r="K2624" s="62">
        <f>F2624*(G2624-H2624)</f>
        <v/>
      </c>
      <c r="L2624" s="62">
        <f>K2624-(F2624*I2624)</f>
        <v/>
      </c>
      <c r="M2624" s="64">
        <f>L2624/K2624</f>
        <v/>
      </c>
    </row>
    <row r="2625">
      <c r="A2625" s="58" t="inlineStr">
        <is>
          <t>RT20250308-02624</t>
        </is>
      </c>
      <c r="B2625" s="59" t="inlineStr">
        <is>
          <t>2025-03-08</t>
        </is>
      </c>
      <c r="C2625" s="60" t="inlineStr">
        <is>
          <t>Vertex Appliance Max-338</t>
        </is>
      </c>
      <c r="D2625" s="58" t="inlineStr">
        <is>
          <t>Home</t>
        </is>
      </c>
      <c r="E2625" s="58" t="inlineStr">
        <is>
          <t>South</t>
        </is>
      </c>
      <c r="F2625" s="61" t="n">
        <v>2</v>
      </c>
      <c r="G2625" s="62" t="n">
        <v>462.01</v>
      </c>
      <c r="H2625" s="63" t="n">
        <v>0.14</v>
      </c>
      <c r="I2625" s="62" t="n">
        <v>291.84</v>
      </c>
      <c r="J2625" s="58" t="inlineStr">
        <is>
          <t>Online</t>
        </is>
      </c>
      <c r="K2625" s="62">
        <f>F2625*(G2625-H2625)</f>
        <v/>
      </c>
      <c r="L2625" s="62">
        <f>K2625-(F2625*I2625)</f>
        <v/>
      </c>
      <c r="M2625" s="64">
        <f>L2625/K2625</f>
        <v/>
      </c>
    </row>
    <row r="2626">
      <c r="A2626" s="58" t="inlineStr">
        <is>
          <t>RT20250308-02625</t>
        </is>
      </c>
      <c r="B2626" s="59" t="inlineStr">
        <is>
          <t>2025-03-08</t>
        </is>
      </c>
      <c r="C2626" s="60" t="inlineStr">
        <is>
          <t>Aurora Fitnes Lite-194</t>
        </is>
      </c>
      <c r="D2626" s="58" t="inlineStr">
        <is>
          <t>Sports</t>
        </is>
      </c>
      <c r="E2626" s="58" t="inlineStr">
        <is>
          <t>East</t>
        </is>
      </c>
      <c r="F2626" s="61" t="n">
        <v>3</v>
      </c>
      <c r="G2626" s="62" t="n">
        <v>671.02</v>
      </c>
      <c r="H2626" s="63" t="n">
        <v>0.099</v>
      </c>
      <c r="I2626" s="62" t="n">
        <v>474.66</v>
      </c>
      <c r="J2626" s="58" t="inlineStr">
        <is>
          <t>Online</t>
        </is>
      </c>
      <c r="K2626" s="62">
        <f>F2626*(G2626-H2626)</f>
        <v/>
      </c>
      <c r="L2626" s="62">
        <f>K2626-(F2626*I2626)</f>
        <v/>
      </c>
      <c r="M2626" s="64">
        <f>L2626/K2626</f>
        <v/>
      </c>
    </row>
    <row r="2627">
      <c r="A2627" s="58" t="inlineStr">
        <is>
          <t>RT20250308-02626</t>
        </is>
      </c>
      <c r="B2627" s="59" t="inlineStr">
        <is>
          <t>2025-03-08</t>
        </is>
      </c>
      <c r="C2627" s="60" t="inlineStr">
        <is>
          <t>Solace Headphone Pro-344</t>
        </is>
      </c>
      <c r="D2627" s="58" t="inlineStr">
        <is>
          <t>Electronics</t>
        </is>
      </c>
      <c r="E2627" s="58" t="inlineStr">
        <is>
          <t>East</t>
        </is>
      </c>
      <c r="F2627" s="61" t="n">
        <v>1</v>
      </c>
      <c r="G2627" s="62" t="n">
        <v>1449.27</v>
      </c>
      <c r="H2627" s="63" t="n">
        <v>0.133</v>
      </c>
      <c r="I2627" s="62" t="n">
        <v>1065.03</v>
      </c>
      <c r="J2627" s="58" t="inlineStr">
        <is>
          <t>Online</t>
        </is>
      </c>
      <c r="K2627" s="62">
        <f>F2627*(G2627-H2627)</f>
        <v/>
      </c>
      <c r="L2627" s="62">
        <f>K2627-(F2627*I2627)</f>
        <v/>
      </c>
      <c r="M2627" s="64">
        <f>L2627/K2627</f>
        <v/>
      </c>
    </row>
    <row r="2628">
      <c r="A2628" s="58" t="inlineStr">
        <is>
          <t>RT20250308-02627</t>
        </is>
      </c>
      <c r="B2628" s="59" t="inlineStr">
        <is>
          <t>2025-03-08</t>
        </is>
      </c>
      <c r="C2628" s="60" t="inlineStr">
        <is>
          <t>Solace Kid S-384</t>
        </is>
      </c>
      <c r="D2628" s="58" t="inlineStr">
        <is>
          <t>Apparel</t>
        </is>
      </c>
      <c r="E2628" s="58" t="inlineStr">
        <is>
          <t>North</t>
        </is>
      </c>
      <c r="F2628" s="61" t="n">
        <v>1</v>
      </c>
      <c r="G2628" s="62" t="n">
        <v>122.5</v>
      </c>
      <c r="H2628" s="63" t="n">
        <v>0.126</v>
      </c>
      <c r="I2628" s="62" t="n">
        <v>62.51</v>
      </c>
      <c r="J2628" s="58" t="inlineStr">
        <is>
          <t>Online</t>
        </is>
      </c>
      <c r="K2628" s="62">
        <f>F2628*(G2628-H2628)</f>
        <v/>
      </c>
      <c r="L2628" s="62">
        <f>K2628-(F2628*I2628)</f>
        <v/>
      </c>
      <c r="M2628" s="64">
        <f>L2628/K2628</f>
        <v/>
      </c>
    </row>
    <row r="2629">
      <c r="A2629" s="58" t="inlineStr">
        <is>
          <t>RT20250308-02628</t>
        </is>
      </c>
      <c r="B2629" s="59" t="inlineStr">
        <is>
          <t>2025-03-08</t>
        </is>
      </c>
      <c r="C2629" s="60" t="inlineStr">
        <is>
          <t>Aurora Appliance Max-316</t>
        </is>
      </c>
      <c r="D2629" s="58" t="inlineStr">
        <is>
          <t>Home</t>
        </is>
      </c>
      <c r="E2629" s="58" t="inlineStr">
        <is>
          <t>West</t>
        </is>
      </c>
      <c r="F2629" s="61" t="n">
        <v>2</v>
      </c>
      <c r="G2629" s="62" t="n">
        <v>315.32</v>
      </c>
      <c r="H2629" s="63" t="n">
        <v>0.124</v>
      </c>
      <c r="I2629" s="62" t="n">
        <v>208.98</v>
      </c>
      <c r="J2629" s="58" t="inlineStr">
        <is>
          <t>Online</t>
        </is>
      </c>
      <c r="K2629" s="62">
        <f>F2629*(G2629-H2629)</f>
        <v/>
      </c>
      <c r="L2629" s="62">
        <f>K2629-(F2629*I2629)</f>
        <v/>
      </c>
      <c r="M2629" s="64">
        <f>L2629/K2629</f>
        <v/>
      </c>
    </row>
    <row r="2630">
      <c r="A2630" s="58" t="inlineStr">
        <is>
          <t>RT20250308-02629</t>
        </is>
      </c>
      <c r="B2630" s="59" t="inlineStr">
        <is>
          <t>2025-03-08</t>
        </is>
      </c>
      <c r="C2630" s="60" t="inlineStr">
        <is>
          <t>Nimbus Storage Plus-646</t>
        </is>
      </c>
      <c r="D2630" s="58" t="inlineStr">
        <is>
          <t>Office</t>
        </is>
      </c>
      <c r="E2630" s="58" t="inlineStr">
        <is>
          <t>East</t>
        </is>
      </c>
      <c r="F2630" s="61" t="n">
        <v>2</v>
      </c>
      <c r="G2630" s="62" t="n">
        <v>420.18</v>
      </c>
      <c r="H2630" s="63" t="n">
        <v>0.122</v>
      </c>
      <c r="I2630" s="62" t="n">
        <v>325.06</v>
      </c>
      <c r="J2630" s="58" t="inlineStr">
        <is>
          <t>Store</t>
        </is>
      </c>
      <c r="K2630" s="62">
        <f>F2630*(G2630-H2630)</f>
        <v/>
      </c>
      <c r="L2630" s="62">
        <f>K2630-(F2630*I2630)</f>
        <v/>
      </c>
      <c r="M2630" s="64">
        <f>L2630/K2630</f>
        <v/>
      </c>
    </row>
    <row r="2631">
      <c r="A2631" s="58" t="inlineStr">
        <is>
          <t>RT20250308-02630</t>
        </is>
      </c>
      <c r="B2631" s="59" t="inlineStr">
        <is>
          <t>2025-03-08</t>
        </is>
      </c>
      <c r="C2631" s="60" t="inlineStr">
        <is>
          <t>Orion Team Sport X-926</t>
        </is>
      </c>
      <c r="D2631" s="58" t="inlineStr">
        <is>
          <t>Sports</t>
        </is>
      </c>
      <c r="E2631" s="58" t="inlineStr">
        <is>
          <t>East</t>
        </is>
      </c>
      <c r="F2631" s="61" t="n">
        <v>2</v>
      </c>
      <c r="G2631" s="62" t="n">
        <v>351.71</v>
      </c>
      <c r="H2631" s="63" t="n">
        <v>0.098</v>
      </c>
      <c r="I2631" s="62" t="n">
        <v>219.27</v>
      </c>
      <c r="J2631" s="58" t="inlineStr">
        <is>
          <t>Store</t>
        </is>
      </c>
      <c r="K2631" s="62">
        <f>F2631*(G2631-H2631)</f>
        <v/>
      </c>
      <c r="L2631" s="62">
        <f>K2631-(F2631*I2631)</f>
        <v/>
      </c>
      <c r="M2631" s="64">
        <f>L2631/K2631</f>
        <v/>
      </c>
    </row>
    <row r="2632">
      <c r="A2632" s="58" t="inlineStr">
        <is>
          <t>RT20250308-02631</t>
        </is>
      </c>
      <c r="B2632" s="59" t="inlineStr">
        <is>
          <t>2025-03-08</t>
        </is>
      </c>
      <c r="C2632" s="60" t="inlineStr">
        <is>
          <t>Aurora Kid Plus-151</t>
        </is>
      </c>
      <c r="D2632" s="58" t="inlineStr">
        <is>
          <t>Apparel</t>
        </is>
      </c>
      <c r="E2632" s="58" t="inlineStr">
        <is>
          <t>Central</t>
        </is>
      </c>
      <c r="F2632" s="61" t="n">
        <v>1</v>
      </c>
      <c r="G2632" s="62" t="n">
        <v>112.96</v>
      </c>
      <c r="H2632" s="63" t="n">
        <v>0.092</v>
      </c>
      <c r="I2632" s="62" t="n">
        <v>64.14</v>
      </c>
      <c r="J2632" s="58" t="inlineStr">
        <is>
          <t>Online</t>
        </is>
      </c>
      <c r="K2632" s="62">
        <f>F2632*(G2632-H2632)</f>
        <v/>
      </c>
      <c r="L2632" s="62">
        <f>K2632-(F2632*I2632)</f>
        <v/>
      </c>
      <c r="M2632" s="64">
        <f>L2632/K2632</f>
        <v/>
      </c>
    </row>
    <row r="2633">
      <c r="A2633" s="58" t="inlineStr">
        <is>
          <t>RT20250308-02632</t>
        </is>
      </c>
      <c r="B2633" s="59" t="inlineStr">
        <is>
          <t>2025-03-08</t>
        </is>
      </c>
      <c r="C2633" s="60" t="inlineStr">
        <is>
          <t>Solace Snack S-691</t>
        </is>
      </c>
      <c r="D2633" s="58" t="inlineStr">
        <is>
          <t>Grocery</t>
        </is>
      </c>
      <c r="E2633" s="58" t="inlineStr">
        <is>
          <t>East</t>
        </is>
      </c>
      <c r="F2633" s="61" t="n">
        <v>2</v>
      </c>
      <c r="G2633" s="62" t="n">
        <v>9.83</v>
      </c>
      <c r="H2633" s="63" t="n">
        <v>0.105</v>
      </c>
      <c r="I2633" s="62" t="n">
        <v>7.05</v>
      </c>
      <c r="J2633" s="58" t="inlineStr">
        <is>
          <t>Store</t>
        </is>
      </c>
      <c r="K2633" s="62">
        <f>F2633*(G2633-H2633)</f>
        <v/>
      </c>
      <c r="L2633" s="62">
        <f>K2633-(F2633*I2633)</f>
        <v/>
      </c>
      <c r="M2633" s="64">
        <f>L2633/K2633</f>
        <v/>
      </c>
    </row>
    <row r="2634">
      <c r="A2634" s="58" t="inlineStr">
        <is>
          <t>RT20250308-02633</t>
        </is>
      </c>
      <c r="B2634" s="59" t="inlineStr">
        <is>
          <t>2025-03-08</t>
        </is>
      </c>
      <c r="C2634" s="60" t="inlineStr">
        <is>
          <t>Nimbus Headphone X-854</t>
        </is>
      </c>
      <c r="D2634" s="58" t="inlineStr">
        <is>
          <t>Electronics</t>
        </is>
      </c>
      <c r="E2634" s="58" t="inlineStr">
        <is>
          <t>East</t>
        </is>
      </c>
      <c r="F2634" s="61" t="n">
        <v>1</v>
      </c>
      <c r="G2634" s="62" t="n">
        <v>1607.23</v>
      </c>
      <c r="H2634" s="63" t="n">
        <v>0.075</v>
      </c>
      <c r="I2634" s="62" t="n">
        <v>1238.37</v>
      </c>
      <c r="J2634" s="58" t="inlineStr">
        <is>
          <t>Online</t>
        </is>
      </c>
      <c r="K2634" s="62">
        <f>F2634*(G2634-H2634)</f>
        <v/>
      </c>
      <c r="L2634" s="62">
        <f>K2634-(F2634*I2634)</f>
        <v/>
      </c>
      <c r="M2634" s="64">
        <f>L2634/K2634</f>
        <v/>
      </c>
    </row>
    <row r="2635">
      <c r="A2635" s="58" t="inlineStr">
        <is>
          <t>RT20250308-02634</t>
        </is>
      </c>
      <c r="B2635" s="59" t="inlineStr">
        <is>
          <t>2025-03-08</t>
        </is>
      </c>
      <c r="C2635" s="60" t="inlineStr">
        <is>
          <t>Polar Fragrance Pro-750</t>
        </is>
      </c>
      <c r="D2635" s="58" t="inlineStr">
        <is>
          <t>Beauty</t>
        </is>
      </c>
      <c r="E2635" s="58" t="inlineStr">
        <is>
          <t>South</t>
        </is>
      </c>
      <c r="F2635" s="61" t="n">
        <v>5</v>
      </c>
      <c r="G2635" s="62" t="n">
        <v>58.89</v>
      </c>
      <c r="H2635" s="63" t="n">
        <v>0.119</v>
      </c>
      <c r="I2635" s="62" t="n">
        <v>36.59</v>
      </c>
      <c r="J2635" s="58" t="inlineStr">
        <is>
          <t>Store</t>
        </is>
      </c>
      <c r="K2635" s="62">
        <f>F2635*(G2635-H2635)</f>
        <v/>
      </c>
      <c r="L2635" s="62">
        <f>K2635-(F2635*I2635)</f>
        <v/>
      </c>
      <c r="M2635" s="64">
        <f>L2635/K2635</f>
        <v/>
      </c>
    </row>
    <row r="2636">
      <c r="A2636" s="58" t="inlineStr">
        <is>
          <t>RT20250308-02635</t>
        </is>
      </c>
      <c r="B2636" s="59" t="inlineStr">
        <is>
          <t>2025-03-08</t>
        </is>
      </c>
      <c r="C2636" s="60" t="inlineStr">
        <is>
          <t>Aurora Bedding Plus-187</t>
        </is>
      </c>
      <c r="D2636" s="58" t="inlineStr">
        <is>
          <t>Home</t>
        </is>
      </c>
      <c r="E2636" s="58" t="inlineStr">
        <is>
          <t>Central</t>
        </is>
      </c>
      <c r="F2636" s="61" t="n">
        <v>2</v>
      </c>
      <c r="G2636" s="62" t="n">
        <v>309.84</v>
      </c>
      <c r="H2636" s="63" t="n">
        <v>0.097</v>
      </c>
      <c r="I2636" s="62" t="n">
        <v>212.42</v>
      </c>
      <c r="J2636" s="58" t="inlineStr">
        <is>
          <t>Online</t>
        </is>
      </c>
      <c r="K2636" s="62">
        <f>F2636*(G2636-H2636)</f>
        <v/>
      </c>
      <c r="L2636" s="62">
        <f>K2636-(F2636*I2636)</f>
        <v/>
      </c>
      <c r="M2636" s="64">
        <f>L2636/K2636</f>
        <v/>
      </c>
    </row>
    <row r="2637">
      <c r="A2637" s="58" t="inlineStr">
        <is>
          <t>RT20250308-02636</t>
        </is>
      </c>
      <c r="B2637" s="59" t="inlineStr">
        <is>
          <t>2025-03-08</t>
        </is>
      </c>
      <c r="C2637" s="60" t="inlineStr">
        <is>
          <t>Polar Beverage S-258</t>
        </is>
      </c>
      <c r="D2637" s="58" t="inlineStr">
        <is>
          <t>Grocery</t>
        </is>
      </c>
      <c r="E2637" s="58" t="inlineStr">
        <is>
          <t>Central</t>
        </is>
      </c>
      <c r="F2637" s="61" t="n">
        <v>8</v>
      </c>
      <c r="G2637" s="62" t="n">
        <v>15.55</v>
      </c>
      <c r="H2637" s="63" t="n">
        <v>0.12</v>
      </c>
      <c r="I2637" s="62" t="n">
        <v>9.640000000000001</v>
      </c>
      <c r="J2637" s="58" t="inlineStr">
        <is>
          <t>Store</t>
        </is>
      </c>
      <c r="K2637" s="62">
        <f>F2637*(G2637-H2637)</f>
        <v/>
      </c>
      <c r="L2637" s="62">
        <f>K2637-(F2637*I2637)</f>
        <v/>
      </c>
      <c r="M2637" s="64">
        <f>L2637/K2637</f>
        <v/>
      </c>
    </row>
    <row r="2638">
      <c r="A2638" s="58" t="inlineStr">
        <is>
          <t>RT20250308-02637</t>
        </is>
      </c>
      <c r="B2638" s="59" t="inlineStr">
        <is>
          <t>2025-03-08</t>
        </is>
      </c>
      <c r="C2638" s="60" t="inlineStr">
        <is>
          <t>Solace Headphone Pro-344</t>
        </is>
      </c>
      <c r="D2638" s="58" t="inlineStr">
        <is>
          <t>Electronics</t>
        </is>
      </c>
      <c r="E2638" s="58" t="inlineStr">
        <is>
          <t>West</t>
        </is>
      </c>
      <c r="F2638" s="61" t="n">
        <v>2</v>
      </c>
      <c r="G2638" s="62" t="n">
        <v>1398.31</v>
      </c>
      <c r="H2638" s="63" t="n">
        <v>0.043</v>
      </c>
      <c r="I2638" s="62" t="n">
        <v>1087.16</v>
      </c>
      <c r="J2638" s="58" t="inlineStr">
        <is>
          <t>Online</t>
        </is>
      </c>
      <c r="K2638" s="62">
        <f>F2638*(G2638-H2638)</f>
        <v/>
      </c>
      <c r="L2638" s="62">
        <f>K2638-(F2638*I2638)</f>
        <v/>
      </c>
      <c r="M2638" s="64">
        <f>L2638/K2638</f>
        <v/>
      </c>
    </row>
    <row r="2639">
      <c r="A2639" s="58" t="inlineStr">
        <is>
          <t>RT20250308-02638</t>
        </is>
      </c>
      <c r="B2639" s="59" t="inlineStr">
        <is>
          <t>2025-03-08</t>
        </is>
      </c>
      <c r="C2639" s="60" t="inlineStr">
        <is>
          <t>Orion Men X-928</t>
        </is>
      </c>
      <c r="D2639" s="58" t="inlineStr">
        <is>
          <t>Apparel</t>
        </is>
      </c>
      <c r="E2639" s="58" t="inlineStr">
        <is>
          <t>East</t>
        </is>
      </c>
      <c r="F2639" s="61" t="n">
        <v>4</v>
      </c>
      <c r="G2639" s="62" t="n">
        <v>119.66</v>
      </c>
      <c r="H2639" s="63" t="n">
        <v>0.172</v>
      </c>
      <c r="I2639" s="62" t="n">
        <v>60.82</v>
      </c>
      <c r="J2639" s="58" t="inlineStr">
        <is>
          <t>Online</t>
        </is>
      </c>
      <c r="K2639" s="62">
        <f>F2639*(G2639-H2639)</f>
        <v/>
      </c>
      <c r="L2639" s="62">
        <f>K2639-(F2639*I2639)</f>
        <v/>
      </c>
      <c r="M2639" s="64">
        <f>L2639/K2639</f>
        <v/>
      </c>
    </row>
    <row r="2640">
      <c r="A2640" s="58" t="inlineStr">
        <is>
          <t>RT20250308-02639</t>
        </is>
      </c>
      <c r="B2640" s="59" t="inlineStr">
        <is>
          <t>2025-03-08</t>
        </is>
      </c>
      <c r="C2640" s="60" t="inlineStr">
        <is>
          <t>Aurora Haircare S-975</t>
        </is>
      </c>
      <c r="D2640" s="58" t="inlineStr">
        <is>
          <t>Beauty</t>
        </is>
      </c>
      <c r="E2640" s="58" t="inlineStr">
        <is>
          <t>West</t>
        </is>
      </c>
      <c r="F2640" s="61" t="n">
        <v>4</v>
      </c>
      <c r="G2640" s="62" t="n">
        <v>98.44</v>
      </c>
      <c r="H2640" s="63" t="n">
        <v>0.091</v>
      </c>
      <c r="I2640" s="62" t="n">
        <v>59.74</v>
      </c>
      <c r="J2640" s="58" t="inlineStr">
        <is>
          <t>Online</t>
        </is>
      </c>
      <c r="K2640" s="62">
        <f>F2640*(G2640-H2640)</f>
        <v/>
      </c>
      <c r="L2640" s="62">
        <f>K2640-(F2640*I2640)</f>
        <v/>
      </c>
      <c r="M2640" s="64">
        <f>L2640/K2640</f>
        <v/>
      </c>
    </row>
    <row r="2641">
      <c r="A2641" s="58" t="inlineStr">
        <is>
          <t>RT20250308-02640</t>
        </is>
      </c>
      <c r="B2641" s="59" t="inlineStr">
        <is>
          <t>2025-03-08</t>
        </is>
      </c>
      <c r="C2641" s="60" t="inlineStr">
        <is>
          <t>Polar Laptop Plus-984</t>
        </is>
      </c>
      <c r="D2641" s="58" t="inlineStr">
        <is>
          <t>Electronics</t>
        </is>
      </c>
      <c r="E2641" s="58" t="inlineStr">
        <is>
          <t>East</t>
        </is>
      </c>
      <c r="F2641" s="61" t="n">
        <v>1</v>
      </c>
      <c r="G2641" s="62" t="n">
        <v>1275.53</v>
      </c>
      <c r="H2641" s="63" t="n">
        <v>0.139</v>
      </c>
      <c r="I2641" s="62" t="n">
        <v>993.3099999999999</v>
      </c>
      <c r="J2641" s="58" t="inlineStr">
        <is>
          <t>Store</t>
        </is>
      </c>
      <c r="K2641" s="62">
        <f>F2641*(G2641-H2641)</f>
        <v/>
      </c>
      <c r="L2641" s="62">
        <f>K2641-(F2641*I2641)</f>
        <v/>
      </c>
      <c r="M2641" s="64">
        <f>L2641/K2641</f>
        <v/>
      </c>
    </row>
    <row r="2642">
      <c r="A2642" s="58" t="inlineStr">
        <is>
          <t>RT20250308-02641</t>
        </is>
      </c>
      <c r="B2642" s="59" t="inlineStr">
        <is>
          <t>2025-03-08</t>
        </is>
      </c>
      <c r="C2642" s="60" t="inlineStr">
        <is>
          <t>Polar Fragrance Pro-750</t>
        </is>
      </c>
      <c r="D2642" s="58" t="inlineStr">
        <is>
          <t>Beauty</t>
        </is>
      </c>
      <c r="E2642" s="58" t="inlineStr">
        <is>
          <t>Central</t>
        </is>
      </c>
      <c r="F2642" s="61" t="n">
        <v>1</v>
      </c>
      <c r="G2642" s="62" t="n">
        <v>62.12</v>
      </c>
      <c r="H2642" s="63" t="n">
        <v>0.126</v>
      </c>
      <c r="I2642" s="62" t="n">
        <v>36.77</v>
      </c>
      <c r="J2642" s="58" t="inlineStr">
        <is>
          <t>Store</t>
        </is>
      </c>
      <c r="K2642" s="62">
        <f>F2642*(G2642-H2642)</f>
        <v/>
      </c>
      <c r="L2642" s="62">
        <f>K2642-(F2642*I2642)</f>
        <v/>
      </c>
      <c r="M2642" s="64">
        <f>L2642/K2642</f>
        <v/>
      </c>
    </row>
    <row r="2643">
      <c r="A2643" s="58" t="inlineStr">
        <is>
          <t>RT20250308-02642</t>
        </is>
      </c>
      <c r="B2643" s="59" t="inlineStr">
        <is>
          <t>2025-03-08</t>
        </is>
      </c>
      <c r="C2643" s="60" t="inlineStr">
        <is>
          <t>Orion Storage Plus-961</t>
        </is>
      </c>
      <c r="D2643" s="58" t="inlineStr">
        <is>
          <t>Office</t>
        </is>
      </c>
      <c r="E2643" s="58" t="inlineStr">
        <is>
          <t>Central</t>
        </is>
      </c>
      <c r="F2643" s="61" t="n">
        <v>3</v>
      </c>
      <c r="G2643" s="62" t="n">
        <v>550.97</v>
      </c>
      <c r="H2643" s="63" t="n">
        <v>0.074</v>
      </c>
      <c r="I2643" s="62" t="n">
        <v>373.61</v>
      </c>
      <c r="J2643" s="58" t="inlineStr">
        <is>
          <t>Online</t>
        </is>
      </c>
      <c r="K2643" s="62">
        <f>F2643*(G2643-H2643)</f>
        <v/>
      </c>
      <c r="L2643" s="62">
        <f>K2643-(F2643*I2643)</f>
        <v/>
      </c>
      <c r="M2643" s="64">
        <f>L2643/K2643</f>
        <v/>
      </c>
    </row>
    <row r="2644">
      <c r="A2644" s="58" t="inlineStr">
        <is>
          <t>RT20250308-02643</t>
        </is>
      </c>
      <c r="B2644" s="59" t="inlineStr">
        <is>
          <t>2025-03-08</t>
        </is>
      </c>
      <c r="C2644" s="60" t="inlineStr">
        <is>
          <t>Aurora Haircare S-975</t>
        </is>
      </c>
      <c r="D2644" s="58" t="inlineStr">
        <is>
          <t>Beauty</t>
        </is>
      </c>
      <c r="E2644" s="58" t="inlineStr">
        <is>
          <t>South</t>
        </is>
      </c>
      <c r="F2644" s="61" t="n">
        <v>1</v>
      </c>
      <c r="G2644" s="62" t="n">
        <v>92.37</v>
      </c>
      <c r="H2644" s="63" t="n">
        <v>0.078</v>
      </c>
      <c r="I2644" s="62" t="n">
        <v>59.03</v>
      </c>
      <c r="J2644" s="58" t="inlineStr">
        <is>
          <t>Online</t>
        </is>
      </c>
      <c r="K2644" s="62">
        <f>F2644*(G2644-H2644)</f>
        <v/>
      </c>
      <c r="L2644" s="62">
        <f>K2644-(F2644*I2644)</f>
        <v/>
      </c>
      <c r="M2644" s="64">
        <f>L2644/K2644</f>
        <v/>
      </c>
    </row>
    <row r="2645">
      <c r="A2645" s="58" t="inlineStr">
        <is>
          <t>RT20250308-02644</t>
        </is>
      </c>
      <c r="B2645" s="59" t="inlineStr">
        <is>
          <t>2025-03-08</t>
        </is>
      </c>
      <c r="C2645" s="60" t="inlineStr">
        <is>
          <t>Polar Haircare Max-614</t>
        </is>
      </c>
      <c r="D2645" s="58" t="inlineStr">
        <is>
          <t>Beauty</t>
        </is>
      </c>
      <c r="E2645" s="58" t="inlineStr">
        <is>
          <t>West</t>
        </is>
      </c>
      <c r="F2645" s="61" t="n">
        <v>3</v>
      </c>
      <c r="G2645" s="62" t="n">
        <v>112.87</v>
      </c>
      <c r="H2645" s="63" t="n">
        <v>0.049</v>
      </c>
      <c r="I2645" s="62" t="n">
        <v>71.23</v>
      </c>
      <c r="J2645" s="58" t="inlineStr">
        <is>
          <t>Online</t>
        </is>
      </c>
      <c r="K2645" s="62">
        <f>F2645*(G2645-H2645)</f>
        <v/>
      </c>
      <c r="L2645" s="62">
        <f>K2645-(F2645*I2645)</f>
        <v/>
      </c>
      <c r="M2645" s="64">
        <f>L2645/K2645</f>
        <v/>
      </c>
    </row>
    <row r="2646">
      <c r="A2646" s="58" t="inlineStr">
        <is>
          <t>RT20250308-02645</t>
        </is>
      </c>
      <c r="B2646" s="59" t="inlineStr">
        <is>
          <t>2025-03-08</t>
        </is>
      </c>
      <c r="C2646" s="60" t="inlineStr">
        <is>
          <t>Polar Men Pro-246</t>
        </is>
      </c>
      <c r="D2646" s="58" t="inlineStr">
        <is>
          <t>Apparel</t>
        </is>
      </c>
      <c r="E2646" s="58" t="inlineStr">
        <is>
          <t>East</t>
        </is>
      </c>
      <c r="F2646" s="61" t="n">
        <v>2</v>
      </c>
      <c r="G2646" s="62" t="n">
        <v>142.48</v>
      </c>
      <c r="H2646" s="63" t="n">
        <v>0.11</v>
      </c>
      <c r="I2646" s="62" t="n">
        <v>77.63</v>
      </c>
      <c r="J2646" s="58" t="inlineStr">
        <is>
          <t>Phone</t>
        </is>
      </c>
      <c r="K2646" s="62">
        <f>F2646*(G2646-H2646)</f>
        <v/>
      </c>
      <c r="L2646" s="62">
        <f>K2646-(F2646*I2646)</f>
        <v/>
      </c>
      <c r="M2646" s="64">
        <f>L2646/K2646</f>
        <v/>
      </c>
    </row>
    <row r="2647">
      <c r="A2647" s="58" t="inlineStr">
        <is>
          <t>RT20250308-02646</t>
        </is>
      </c>
      <c r="B2647" s="59" t="inlineStr">
        <is>
          <t>2025-03-08</t>
        </is>
      </c>
      <c r="C2647" s="60" t="inlineStr">
        <is>
          <t>Vertex Skincare Pro-891</t>
        </is>
      </c>
      <c r="D2647" s="58" t="inlineStr">
        <is>
          <t>Beauty</t>
        </is>
      </c>
      <c r="E2647" s="58" t="inlineStr">
        <is>
          <t>South</t>
        </is>
      </c>
      <c r="F2647" s="61" t="n">
        <v>1</v>
      </c>
      <c r="G2647" s="62" t="n">
        <v>144.26</v>
      </c>
      <c r="H2647" s="63" t="n">
        <v>0.111</v>
      </c>
      <c r="I2647" s="62" t="n">
        <v>89.55</v>
      </c>
      <c r="J2647" s="58" t="inlineStr">
        <is>
          <t>Store</t>
        </is>
      </c>
      <c r="K2647" s="62">
        <f>F2647*(G2647-H2647)</f>
        <v/>
      </c>
      <c r="L2647" s="62">
        <f>K2647-(F2647*I2647)</f>
        <v/>
      </c>
      <c r="M2647" s="64">
        <f>L2647/K2647</f>
        <v/>
      </c>
    </row>
    <row r="2648">
      <c r="A2648" s="58" t="inlineStr">
        <is>
          <t>RT20250308-02647</t>
        </is>
      </c>
      <c r="B2648" s="59" t="inlineStr">
        <is>
          <t>2025-03-08</t>
        </is>
      </c>
      <c r="C2648" s="60" t="inlineStr">
        <is>
          <t>Falcon Accessorie S-195</t>
        </is>
      </c>
      <c r="D2648" s="58" t="inlineStr">
        <is>
          <t>Apparel</t>
        </is>
      </c>
      <c r="E2648" s="58" t="inlineStr">
        <is>
          <t>South</t>
        </is>
      </c>
      <c r="F2648" s="61" t="n">
        <v>1</v>
      </c>
      <c r="G2648" s="62" t="n">
        <v>77.36</v>
      </c>
      <c r="H2648" s="63" t="n">
        <v>0.083</v>
      </c>
      <c r="I2648" s="62" t="n">
        <v>43.51</v>
      </c>
      <c r="J2648" s="58" t="inlineStr">
        <is>
          <t>Phone</t>
        </is>
      </c>
      <c r="K2648" s="62">
        <f>F2648*(G2648-H2648)</f>
        <v/>
      </c>
      <c r="L2648" s="62">
        <f>K2648-(F2648*I2648)</f>
        <v/>
      </c>
      <c r="M2648" s="64">
        <f>L2648/K2648</f>
        <v/>
      </c>
    </row>
    <row r="2649">
      <c r="A2649" s="58" t="inlineStr">
        <is>
          <t>RT20250308-02648</t>
        </is>
      </c>
      <c r="B2649" s="59" t="inlineStr">
        <is>
          <t>2025-03-08</t>
        </is>
      </c>
      <c r="C2649" s="60" t="inlineStr">
        <is>
          <t>Polar Decor X-935</t>
        </is>
      </c>
      <c r="D2649" s="58" t="inlineStr">
        <is>
          <t>Home</t>
        </is>
      </c>
      <c r="E2649" s="58" t="inlineStr">
        <is>
          <t>Central</t>
        </is>
      </c>
      <c r="F2649" s="61" t="n">
        <v>2</v>
      </c>
      <c r="G2649" s="62" t="n">
        <v>295.66</v>
      </c>
      <c r="H2649" s="63" t="n">
        <v>0.064</v>
      </c>
      <c r="I2649" s="62" t="n">
        <v>204.06</v>
      </c>
      <c r="J2649" s="58" t="inlineStr">
        <is>
          <t>Online</t>
        </is>
      </c>
      <c r="K2649" s="62">
        <f>F2649*(G2649-H2649)</f>
        <v/>
      </c>
      <c r="L2649" s="62">
        <f>K2649-(F2649*I2649)</f>
        <v/>
      </c>
      <c r="M2649" s="64">
        <f>L2649/K2649</f>
        <v/>
      </c>
    </row>
    <row r="2650">
      <c r="A2650" s="58" t="inlineStr">
        <is>
          <t>RT20250308-02649</t>
        </is>
      </c>
      <c r="B2650" s="59" t="inlineStr">
        <is>
          <t>2025-03-08</t>
        </is>
      </c>
      <c r="C2650" s="60" t="inlineStr">
        <is>
          <t>Solace Kitchen Pro-510</t>
        </is>
      </c>
      <c r="D2650" s="58" t="inlineStr">
        <is>
          <t>Home</t>
        </is>
      </c>
      <c r="E2650" s="58" t="inlineStr">
        <is>
          <t>Central</t>
        </is>
      </c>
      <c r="F2650" s="61" t="n">
        <v>3</v>
      </c>
      <c r="G2650" s="62" t="n">
        <v>432.15</v>
      </c>
      <c r="H2650" s="63" t="n">
        <v>0.106</v>
      </c>
      <c r="I2650" s="62" t="n">
        <v>300.82</v>
      </c>
      <c r="J2650" s="58" t="inlineStr">
        <is>
          <t>Online</t>
        </is>
      </c>
      <c r="K2650" s="62">
        <f>F2650*(G2650-H2650)</f>
        <v/>
      </c>
      <c r="L2650" s="62">
        <f>K2650-(F2650*I2650)</f>
        <v/>
      </c>
      <c r="M2650" s="64">
        <f>L2650/K2650</f>
        <v/>
      </c>
    </row>
    <row r="2651">
      <c r="A2651" s="58" t="inlineStr">
        <is>
          <t>RT20250308-02650</t>
        </is>
      </c>
      <c r="B2651" s="59" t="inlineStr">
        <is>
          <t>2025-03-08</t>
        </is>
      </c>
      <c r="C2651" s="60" t="inlineStr">
        <is>
          <t>Aurora Kid Plus-151</t>
        </is>
      </c>
      <c r="D2651" s="58" t="inlineStr">
        <is>
          <t>Apparel</t>
        </is>
      </c>
      <c r="E2651" s="58" t="inlineStr">
        <is>
          <t>East</t>
        </is>
      </c>
      <c r="F2651" s="61" t="n">
        <v>2</v>
      </c>
      <c r="G2651" s="62" t="n">
        <v>114.1</v>
      </c>
      <c r="H2651" s="63" t="n">
        <v>0.083</v>
      </c>
      <c r="I2651" s="62" t="n">
        <v>63.33</v>
      </c>
      <c r="J2651" s="58" t="inlineStr">
        <is>
          <t>Online</t>
        </is>
      </c>
      <c r="K2651" s="62">
        <f>F2651*(G2651-H2651)</f>
        <v/>
      </c>
      <c r="L2651" s="62">
        <f>K2651-(F2651*I2651)</f>
        <v/>
      </c>
      <c r="M2651" s="64">
        <f>L2651/K2651</f>
        <v/>
      </c>
    </row>
    <row r="2652">
      <c r="A2652" s="58" t="inlineStr">
        <is>
          <t>RT20250308-02651</t>
        </is>
      </c>
      <c r="B2652" s="59" t="inlineStr">
        <is>
          <t>2025-03-08</t>
        </is>
      </c>
      <c r="C2652" s="60" t="inlineStr">
        <is>
          <t>Orion Kid Max-864</t>
        </is>
      </c>
      <c r="D2652" s="58" t="inlineStr">
        <is>
          <t>Apparel</t>
        </is>
      </c>
      <c r="E2652" s="58" t="inlineStr">
        <is>
          <t>East</t>
        </is>
      </c>
      <c r="F2652" s="61" t="n">
        <v>4</v>
      </c>
      <c r="G2652" s="62" t="n">
        <v>74.53</v>
      </c>
      <c r="H2652" s="63" t="n">
        <v>0.14</v>
      </c>
      <c r="I2652" s="62" t="n">
        <v>44.06</v>
      </c>
      <c r="J2652" s="58" t="inlineStr">
        <is>
          <t>Store</t>
        </is>
      </c>
      <c r="K2652" s="62">
        <f>F2652*(G2652-H2652)</f>
        <v/>
      </c>
      <c r="L2652" s="62">
        <f>K2652-(F2652*I2652)</f>
        <v/>
      </c>
      <c r="M2652" s="64">
        <f>L2652/K2652</f>
        <v/>
      </c>
    </row>
    <row r="2653">
      <c r="A2653" s="58" t="inlineStr">
        <is>
          <t>RT20250308-02652</t>
        </is>
      </c>
      <c r="B2653" s="59" t="inlineStr">
        <is>
          <t>2025-03-08</t>
        </is>
      </c>
      <c r="C2653" s="60" t="inlineStr">
        <is>
          <t>Metro Outdoor Plus-787</t>
        </is>
      </c>
      <c r="D2653" s="58" t="inlineStr">
        <is>
          <t>Sports</t>
        </is>
      </c>
      <c r="E2653" s="58" t="inlineStr">
        <is>
          <t>South</t>
        </is>
      </c>
      <c r="F2653" s="61" t="n">
        <v>1</v>
      </c>
      <c r="G2653" s="62" t="n">
        <v>431.55</v>
      </c>
      <c r="H2653" s="63" t="n">
        <v>0.097</v>
      </c>
      <c r="I2653" s="62" t="n">
        <v>351.96</v>
      </c>
      <c r="J2653" s="58" t="inlineStr">
        <is>
          <t>Online</t>
        </is>
      </c>
      <c r="K2653" s="62">
        <f>F2653*(G2653-H2653)</f>
        <v/>
      </c>
      <c r="L2653" s="62">
        <f>K2653-(F2653*I2653)</f>
        <v/>
      </c>
      <c r="M2653" s="64">
        <f>L2653/K2653</f>
        <v/>
      </c>
    </row>
    <row r="2654">
      <c r="A2654" s="58" t="inlineStr">
        <is>
          <t>RT20250308-02653</t>
        </is>
      </c>
      <c r="B2654" s="59" t="inlineStr">
        <is>
          <t>2025-03-08</t>
        </is>
      </c>
      <c r="C2654" s="60" t="inlineStr">
        <is>
          <t>Vertex Headphone Pro-801</t>
        </is>
      </c>
      <c r="D2654" s="58" t="inlineStr">
        <is>
          <t>Electronics</t>
        </is>
      </c>
      <c r="E2654" s="58" t="inlineStr">
        <is>
          <t>East</t>
        </is>
      </c>
      <c r="F2654" s="61" t="n">
        <v>1</v>
      </c>
      <c r="G2654" s="62" t="n">
        <v>1284.04</v>
      </c>
      <c r="H2654" s="63" t="n">
        <v>0.136</v>
      </c>
      <c r="I2654" s="62" t="n">
        <v>980.77</v>
      </c>
      <c r="J2654" s="58" t="inlineStr">
        <is>
          <t>Store</t>
        </is>
      </c>
      <c r="K2654" s="62">
        <f>F2654*(G2654-H2654)</f>
        <v/>
      </c>
      <c r="L2654" s="62">
        <f>K2654-(F2654*I2654)</f>
        <v/>
      </c>
      <c r="M2654" s="64">
        <f>L2654/K2654</f>
        <v/>
      </c>
    </row>
    <row r="2655">
      <c r="A2655" s="58" t="inlineStr">
        <is>
          <t>RT20250308-02654</t>
        </is>
      </c>
      <c r="B2655" s="59" t="inlineStr">
        <is>
          <t>2025-03-08</t>
        </is>
      </c>
      <c r="C2655" s="60" t="inlineStr">
        <is>
          <t>Aurora Wearable Lite-704</t>
        </is>
      </c>
      <c r="D2655" s="58" t="inlineStr">
        <is>
          <t>Electronics</t>
        </is>
      </c>
      <c r="E2655" s="58" t="inlineStr">
        <is>
          <t>East</t>
        </is>
      </c>
      <c r="F2655" s="61" t="n">
        <v>2</v>
      </c>
      <c r="G2655" s="62" t="n">
        <v>2096.25</v>
      </c>
      <c r="H2655" s="63" t="n">
        <v>0.138</v>
      </c>
      <c r="I2655" s="62" t="n">
        <v>1478.09</v>
      </c>
      <c r="J2655" s="58" t="inlineStr">
        <is>
          <t>Online</t>
        </is>
      </c>
      <c r="K2655" s="62">
        <f>F2655*(G2655-H2655)</f>
        <v/>
      </c>
      <c r="L2655" s="62">
        <f>K2655-(F2655*I2655)</f>
        <v/>
      </c>
      <c r="M2655" s="64">
        <f>L2655/K2655</f>
        <v/>
      </c>
    </row>
    <row r="2656">
      <c r="A2656" s="58" t="inlineStr">
        <is>
          <t>RT20250308-02655</t>
        </is>
      </c>
      <c r="B2656" s="59" t="inlineStr">
        <is>
          <t>2025-03-08</t>
        </is>
      </c>
      <c r="C2656" s="60" t="inlineStr">
        <is>
          <t>Polar Cycling S-223</t>
        </is>
      </c>
      <c r="D2656" s="58" t="inlineStr">
        <is>
          <t>Sports</t>
        </is>
      </c>
      <c r="E2656" s="58" t="inlineStr">
        <is>
          <t>East</t>
        </is>
      </c>
      <c r="F2656" s="61" t="n">
        <v>1</v>
      </c>
      <c r="G2656" s="62" t="n">
        <v>994.98</v>
      </c>
      <c r="H2656" s="63" t="n">
        <v>0.08500000000000001</v>
      </c>
      <c r="I2656" s="62" t="n">
        <v>643.3099999999999</v>
      </c>
      <c r="J2656" s="58" t="inlineStr">
        <is>
          <t>Online</t>
        </is>
      </c>
      <c r="K2656" s="62">
        <f>F2656*(G2656-H2656)</f>
        <v/>
      </c>
      <c r="L2656" s="62">
        <f>K2656-(F2656*I2656)</f>
        <v/>
      </c>
      <c r="M2656" s="64">
        <f>L2656/K2656</f>
        <v/>
      </c>
    </row>
    <row r="2657">
      <c r="A2657" s="58" t="inlineStr">
        <is>
          <t>RT20250309-02656</t>
        </is>
      </c>
      <c r="B2657" s="59" t="inlineStr">
        <is>
          <t>2025-03-09</t>
        </is>
      </c>
      <c r="C2657" s="60" t="inlineStr">
        <is>
          <t>Orion Team Sport X-926</t>
        </is>
      </c>
      <c r="D2657" s="58" t="inlineStr">
        <is>
          <t>Sports</t>
        </is>
      </c>
      <c r="E2657" s="58" t="inlineStr">
        <is>
          <t>South</t>
        </is>
      </c>
      <c r="F2657" s="61" t="n">
        <v>3</v>
      </c>
      <c r="G2657" s="62" t="n">
        <v>311.22</v>
      </c>
      <c r="H2657" s="63" t="n">
        <v>0.115</v>
      </c>
      <c r="I2657" s="62" t="n">
        <v>215.99</v>
      </c>
      <c r="J2657" s="58" t="inlineStr">
        <is>
          <t>Online</t>
        </is>
      </c>
      <c r="K2657" s="62">
        <f>F2657*(G2657-H2657)</f>
        <v/>
      </c>
      <c r="L2657" s="62">
        <f>K2657-(F2657*I2657)</f>
        <v/>
      </c>
      <c r="M2657" s="64">
        <f>L2657/K2657</f>
        <v/>
      </c>
    </row>
    <row r="2658">
      <c r="A2658" s="58" t="inlineStr">
        <is>
          <t>RT20250309-02657</t>
        </is>
      </c>
      <c r="B2658" s="59" t="inlineStr">
        <is>
          <t>2025-03-09</t>
        </is>
      </c>
      <c r="C2658" s="60" t="inlineStr">
        <is>
          <t>Aurora Haircare S-975</t>
        </is>
      </c>
      <c r="D2658" s="58" t="inlineStr">
        <is>
          <t>Beauty</t>
        </is>
      </c>
      <c r="E2658" s="58" t="inlineStr">
        <is>
          <t>East</t>
        </is>
      </c>
      <c r="F2658" s="61" t="n">
        <v>3</v>
      </c>
      <c r="G2658" s="62" t="n">
        <v>97.02</v>
      </c>
      <c r="H2658" s="63" t="n">
        <v>0.07199999999999999</v>
      </c>
      <c r="I2658" s="62" t="n">
        <v>58.49</v>
      </c>
      <c r="J2658" s="58" t="inlineStr">
        <is>
          <t>Online</t>
        </is>
      </c>
      <c r="K2658" s="62">
        <f>F2658*(G2658-H2658)</f>
        <v/>
      </c>
      <c r="L2658" s="62">
        <f>K2658-(F2658*I2658)</f>
        <v/>
      </c>
      <c r="M2658" s="64">
        <f>L2658/K2658</f>
        <v/>
      </c>
    </row>
    <row r="2659">
      <c r="A2659" s="58" t="inlineStr">
        <is>
          <t>RT20250309-02658</t>
        </is>
      </c>
      <c r="B2659" s="59" t="inlineStr">
        <is>
          <t>2025-03-09</t>
        </is>
      </c>
      <c r="C2659" s="60" t="inlineStr">
        <is>
          <t>Solace Headphone Pro-344</t>
        </is>
      </c>
      <c r="D2659" s="58" t="inlineStr">
        <is>
          <t>Electronics</t>
        </is>
      </c>
      <c r="E2659" s="58" t="inlineStr">
        <is>
          <t>Central</t>
        </is>
      </c>
      <c r="F2659" s="61" t="n">
        <v>2</v>
      </c>
      <c r="G2659" s="62" t="n">
        <v>1350.86</v>
      </c>
      <c r="H2659" s="63" t="n">
        <v>0.152</v>
      </c>
      <c r="I2659" s="62" t="n">
        <v>1049.55</v>
      </c>
      <c r="J2659" s="58" t="inlineStr">
        <is>
          <t>Online</t>
        </is>
      </c>
      <c r="K2659" s="62">
        <f>F2659*(G2659-H2659)</f>
        <v/>
      </c>
      <c r="L2659" s="62">
        <f>K2659-(F2659*I2659)</f>
        <v/>
      </c>
      <c r="M2659" s="64">
        <f>L2659/K2659</f>
        <v/>
      </c>
    </row>
    <row r="2660">
      <c r="A2660" s="58" t="inlineStr">
        <is>
          <t>RT20250309-02659</t>
        </is>
      </c>
      <c r="B2660" s="59" t="inlineStr">
        <is>
          <t>2025-03-09</t>
        </is>
      </c>
      <c r="C2660" s="60" t="inlineStr">
        <is>
          <t>Aurora Appliance Max-316</t>
        </is>
      </c>
      <c r="D2660" s="58" t="inlineStr">
        <is>
          <t>Home</t>
        </is>
      </c>
      <c r="E2660" s="58" t="inlineStr">
        <is>
          <t>East</t>
        </is>
      </c>
      <c r="F2660" s="61" t="n">
        <v>1</v>
      </c>
      <c r="G2660" s="62" t="n">
        <v>295.31</v>
      </c>
      <c r="H2660" s="63" t="n">
        <v>0.08799999999999999</v>
      </c>
      <c r="I2660" s="62" t="n">
        <v>215.43</v>
      </c>
      <c r="J2660" s="58" t="inlineStr">
        <is>
          <t>Online</t>
        </is>
      </c>
      <c r="K2660" s="62">
        <f>F2660*(G2660-H2660)</f>
        <v/>
      </c>
      <c r="L2660" s="62">
        <f>K2660-(F2660*I2660)</f>
        <v/>
      </c>
      <c r="M2660" s="64">
        <f>L2660/K2660</f>
        <v/>
      </c>
    </row>
    <row r="2661">
      <c r="A2661" s="58" t="inlineStr">
        <is>
          <t>RT20250309-02660</t>
        </is>
      </c>
      <c r="B2661" s="59" t="inlineStr">
        <is>
          <t>2025-03-09</t>
        </is>
      </c>
      <c r="C2661" s="60" t="inlineStr">
        <is>
          <t>Nimbus Decor Lite-385</t>
        </is>
      </c>
      <c r="D2661" s="58" t="inlineStr">
        <is>
          <t>Home</t>
        </is>
      </c>
      <c r="E2661" s="58" t="inlineStr">
        <is>
          <t>East</t>
        </is>
      </c>
      <c r="F2661" s="61" t="n">
        <v>3</v>
      </c>
      <c r="G2661" s="62" t="n">
        <v>551.2</v>
      </c>
      <c r="H2661" s="63" t="n">
        <v>0.109</v>
      </c>
      <c r="I2661" s="62" t="n">
        <v>391.49</v>
      </c>
      <c r="J2661" s="58" t="inlineStr">
        <is>
          <t>Online</t>
        </is>
      </c>
      <c r="K2661" s="62">
        <f>F2661*(G2661-H2661)</f>
        <v/>
      </c>
      <c r="L2661" s="62">
        <f>K2661-(F2661*I2661)</f>
        <v/>
      </c>
      <c r="M2661" s="64">
        <f>L2661/K2661</f>
        <v/>
      </c>
    </row>
    <row r="2662">
      <c r="A2662" s="58" t="inlineStr">
        <is>
          <t>RT20250309-02661</t>
        </is>
      </c>
      <c r="B2662" s="59" t="inlineStr">
        <is>
          <t>2025-03-09</t>
        </is>
      </c>
      <c r="C2662" s="60" t="inlineStr">
        <is>
          <t>Solace Kitchen Pro-510</t>
        </is>
      </c>
      <c r="D2662" s="58" t="inlineStr">
        <is>
          <t>Home</t>
        </is>
      </c>
      <c r="E2662" s="58" t="inlineStr">
        <is>
          <t>West</t>
        </is>
      </c>
      <c r="F2662" s="61" t="n">
        <v>2</v>
      </c>
      <c r="G2662" s="62" t="n">
        <v>481.69</v>
      </c>
      <c r="H2662" s="63" t="n">
        <v>0.082</v>
      </c>
      <c r="I2662" s="62" t="n">
        <v>304.11</v>
      </c>
      <c r="J2662" s="58" t="inlineStr">
        <is>
          <t>Store</t>
        </is>
      </c>
      <c r="K2662" s="62">
        <f>F2662*(G2662-H2662)</f>
        <v/>
      </c>
      <c r="L2662" s="62">
        <f>K2662-(F2662*I2662)</f>
        <v/>
      </c>
      <c r="M2662" s="64">
        <f>L2662/K2662</f>
        <v/>
      </c>
    </row>
    <row r="2663">
      <c r="A2663" s="58" t="inlineStr">
        <is>
          <t>RT20250309-02662</t>
        </is>
      </c>
      <c r="B2663" s="59" t="inlineStr">
        <is>
          <t>2025-03-09</t>
        </is>
      </c>
      <c r="C2663" s="60" t="inlineStr">
        <is>
          <t>Nimbus Headphone X-854</t>
        </is>
      </c>
      <c r="D2663" s="58" t="inlineStr">
        <is>
          <t>Electronics</t>
        </is>
      </c>
      <c r="E2663" s="58" t="inlineStr">
        <is>
          <t>West</t>
        </is>
      </c>
      <c r="F2663" s="61" t="n">
        <v>2</v>
      </c>
      <c r="G2663" s="62" t="n">
        <v>1656.49</v>
      </c>
      <c r="H2663" s="63" t="n">
        <v>0.08400000000000001</v>
      </c>
      <c r="I2663" s="62" t="n">
        <v>1261.44</v>
      </c>
      <c r="J2663" s="58" t="inlineStr">
        <is>
          <t>Store</t>
        </is>
      </c>
      <c r="K2663" s="62">
        <f>F2663*(G2663-H2663)</f>
        <v/>
      </c>
      <c r="L2663" s="62">
        <f>K2663-(F2663*I2663)</f>
        <v/>
      </c>
      <c r="M2663" s="64">
        <f>L2663/K2663</f>
        <v/>
      </c>
    </row>
    <row r="2664">
      <c r="A2664" s="58" t="inlineStr">
        <is>
          <t>RT20250309-02663</t>
        </is>
      </c>
      <c r="B2664" s="59" t="inlineStr">
        <is>
          <t>2025-03-09</t>
        </is>
      </c>
      <c r="C2664" s="60" t="inlineStr">
        <is>
          <t>Polar Snack Pro-641</t>
        </is>
      </c>
      <c r="D2664" s="58" t="inlineStr">
        <is>
          <t>Grocery</t>
        </is>
      </c>
      <c r="E2664" s="58" t="inlineStr">
        <is>
          <t>South</t>
        </is>
      </c>
      <c r="F2664" s="61" t="n">
        <v>6</v>
      </c>
      <c r="G2664" s="62" t="n">
        <v>11.79</v>
      </c>
      <c r="H2664" s="63" t="n">
        <v>0.159</v>
      </c>
      <c r="I2664" s="62" t="n">
        <v>9.630000000000001</v>
      </c>
      <c r="J2664" s="58" t="inlineStr">
        <is>
          <t>Online</t>
        </is>
      </c>
      <c r="K2664" s="62">
        <f>F2664*(G2664-H2664)</f>
        <v/>
      </c>
      <c r="L2664" s="62">
        <f>K2664-(F2664*I2664)</f>
        <v/>
      </c>
      <c r="M2664" s="64">
        <f>L2664/K2664</f>
        <v/>
      </c>
    </row>
    <row r="2665">
      <c r="A2665" s="58" t="inlineStr">
        <is>
          <t>RT20250309-02664</t>
        </is>
      </c>
      <c r="B2665" s="59" t="inlineStr">
        <is>
          <t>2025-03-09</t>
        </is>
      </c>
      <c r="C2665" s="60" t="inlineStr">
        <is>
          <t>Aurora Appliance Lite-109</t>
        </is>
      </c>
      <c r="D2665" s="58" t="inlineStr">
        <is>
          <t>Home</t>
        </is>
      </c>
      <c r="E2665" s="58" t="inlineStr">
        <is>
          <t>East</t>
        </is>
      </c>
      <c r="F2665" s="61" t="n">
        <v>1</v>
      </c>
      <c r="G2665" s="62" t="n">
        <v>276.19</v>
      </c>
      <c r="H2665" s="63" t="n">
        <v>0.102</v>
      </c>
      <c r="I2665" s="62" t="n">
        <v>199.96</v>
      </c>
      <c r="J2665" s="58" t="inlineStr">
        <is>
          <t>Online</t>
        </is>
      </c>
      <c r="K2665" s="62">
        <f>F2665*(G2665-H2665)</f>
        <v/>
      </c>
      <c r="L2665" s="62">
        <f>K2665-(F2665*I2665)</f>
        <v/>
      </c>
      <c r="M2665" s="64">
        <f>L2665/K2665</f>
        <v/>
      </c>
    </row>
    <row r="2666">
      <c r="A2666" s="58" t="inlineStr">
        <is>
          <t>RT20250309-02665</t>
        </is>
      </c>
      <c r="B2666" s="59" t="inlineStr">
        <is>
          <t>2025-03-09</t>
        </is>
      </c>
      <c r="C2666" s="60" t="inlineStr">
        <is>
          <t>Solace Kitchen Pro-999</t>
        </is>
      </c>
      <c r="D2666" s="58" t="inlineStr">
        <is>
          <t>Home</t>
        </is>
      </c>
      <c r="E2666" s="58" t="inlineStr">
        <is>
          <t>East</t>
        </is>
      </c>
      <c r="F2666" s="61" t="n">
        <v>1</v>
      </c>
      <c r="G2666" s="62" t="n">
        <v>384.14</v>
      </c>
      <c r="H2666" s="63" t="n">
        <v>0.08500000000000001</v>
      </c>
      <c r="I2666" s="62" t="n">
        <v>262.72</v>
      </c>
      <c r="J2666" s="58" t="inlineStr">
        <is>
          <t>Online</t>
        </is>
      </c>
      <c r="K2666" s="62">
        <f>F2666*(G2666-H2666)</f>
        <v/>
      </c>
      <c r="L2666" s="62">
        <f>K2666-(F2666*I2666)</f>
        <v/>
      </c>
      <c r="M2666" s="64">
        <f>L2666/K2666</f>
        <v/>
      </c>
    </row>
    <row r="2667">
      <c r="A2667" s="58" t="inlineStr">
        <is>
          <t>RT20250309-02666</t>
        </is>
      </c>
      <c r="B2667" s="59" t="inlineStr">
        <is>
          <t>2025-03-09</t>
        </is>
      </c>
      <c r="C2667" s="60" t="inlineStr">
        <is>
          <t>Vertex Appliance S-296</t>
        </is>
      </c>
      <c r="D2667" s="58" t="inlineStr">
        <is>
          <t>Home</t>
        </is>
      </c>
      <c r="E2667" s="58" t="inlineStr">
        <is>
          <t>East</t>
        </is>
      </c>
      <c r="F2667" s="61" t="n">
        <v>2</v>
      </c>
      <c r="G2667" s="62" t="n">
        <v>509.17</v>
      </c>
      <c r="H2667" s="63" t="n">
        <v>0.067</v>
      </c>
      <c r="I2667" s="62" t="n">
        <v>362.08</v>
      </c>
      <c r="J2667" s="58" t="inlineStr">
        <is>
          <t>Store</t>
        </is>
      </c>
      <c r="K2667" s="62">
        <f>F2667*(G2667-H2667)</f>
        <v/>
      </c>
      <c r="L2667" s="62">
        <f>K2667-(F2667*I2667)</f>
        <v/>
      </c>
      <c r="M2667" s="64">
        <f>L2667/K2667</f>
        <v/>
      </c>
    </row>
    <row r="2668">
      <c r="A2668" s="58" t="inlineStr">
        <is>
          <t>RT20250309-02667</t>
        </is>
      </c>
      <c r="B2668" s="59" t="inlineStr">
        <is>
          <t>2025-03-09</t>
        </is>
      </c>
      <c r="C2668" s="60" t="inlineStr">
        <is>
          <t>Polar Fragrance Pro-750</t>
        </is>
      </c>
      <c r="D2668" s="58" t="inlineStr">
        <is>
          <t>Beauty</t>
        </is>
      </c>
      <c r="E2668" s="58" t="inlineStr">
        <is>
          <t>East</t>
        </is>
      </c>
      <c r="F2668" s="61" t="n">
        <v>3</v>
      </c>
      <c r="G2668" s="62" t="n">
        <v>69.59</v>
      </c>
      <c r="H2668" s="63" t="n">
        <v>0.118</v>
      </c>
      <c r="I2668" s="62" t="n">
        <v>35.81</v>
      </c>
      <c r="J2668" s="58" t="inlineStr">
        <is>
          <t>Store</t>
        </is>
      </c>
      <c r="K2668" s="62">
        <f>F2668*(G2668-H2668)</f>
        <v/>
      </c>
      <c r="L2668" s="62">
        <f>K2668-(F2668*I2668)</f>
        <v/>
      </c>
      <c r="M2668" s="64">
        <f>L2668/K2668</f>
        <v/>
      </c>
    </row>
    <row r="2669">
      <c r="A2669" s="58" t="inlineStr">
        <is>
          <t>RT20250309-02668</t>
        </is>
      </c>
      <c r="B2669" s="59" t="inlineStr">
        <is>
          <t>2025-03-09</t>
        </is>
      </c>
      <c r="C2669" s="60" t="inlineStr">
        <is>
          <t>Polar Women S-662</t>
        </is>
      </c>
      <c r="D2669" s="58" t="inlineStr">
        <is>
          <t>Apparel</t>
        </is>
      </c>
      <c r="E2669" s="58" t="inlineStr">
        <is>
          <t>East</t>
        </is>
      </c>
      <c r="F2669" s="61" t="n">
        <v>4</v>
      </c>
      <c r="G2669" s="62" t="n">
        <v>194.44</v>
      </c>
      <c r="H2669" s="63" t="n">
        <v>0.115</v>
      </c>
      <c r="I2669" s="62" t="n">
        <v>96.37</v>
      </c>
      <c r="J2669" s="58" t="inlineStr">
        <is>
          <t>Online</t>
        </is>
      </c>
      <c r="K2669" s="62">
        <f>F2669*(G2669-H2669)</f>
        <v/>
      </c>
      <c r="L2669" s="62">
        <f>K2669-(F2669*I2669)</f>
        <v/>
      </c>
      <c r="M2669" s="64">
        <f>L2669/K2669</f>
        <v/>
      </c>
    </row>
    <row r="2670">
      <c r="A2670" s="58" t="inlineStr">
        <is>
          <t>RT20250309-02669</t>
        </is>
      </c>
      <c r="B2670" s="59" t="inlineStr">
        <is>
          <t>2025-03-09</t>
        </is>
      </c>
      <c r="C2670" s="60" t="inlineStr">
        <is>
          <t>Vertex Fitnes Pro-830</t>
        </is>
      </c>
      <c r="D2670" s="58" t="inlineStr">
        <is>
          <t>Sports</t>
        </is>
      </c>
      <c r="E2670" s="58" t="inlineStr">
        <is>
          <t>East</t>
        </is>
      </c>
      <c r="F2670" s="61" t="n">
        <v>3</v>
      </c>
      <c r="G2670" s="62" t="n">
        <v>818.73</v>
      </c>
      <c r="H2670" s="63" t="n">
        <v>0.111</v>
      </c>
      <c r="I2670" s="62" t="n">
        <v>483.45</v>
      </c>
      <c r="J2670" s="58" t="inlineStr">
        <is>
          <t>Store</t>
        </is>
      </c>
      <c r="K2670" s="62">
        <f>F2670*(G2670-H2670)</f>
        <v/>
      </c>
      <c r="L2670" s="62">
        <f>K2670-(F2670*I2670)</f>
        <v/>
      </c>
      <c r="M2670" s="64">
        <f>L2670/K2670</f>
        <v/>
      </c>
    </row>
    <row r="2671">
      <c r="A2671" s="58" t="inlineStr">
        <is>
          <t>RT20250309-02670</t>
        </is>
      </c>
      <c r="B2671" s="59" t="inlineStr">
        <is>
          <t>2025-03-09</t>
        </is>
      </c>
      <c r="C2671" s="60" t="inlineStr">
        <is>
          <t>Vertex Supplie X-513</t>
        </is>
      </c>
      <c r="D2671" s="58" t="inlineStr">
        <is>
          <t>Office</t>
        </is>
      </c>
      <c r="E2671" s="58" t="inlineStr">
        <is>
          <t>East</t>
        </is>
      </c>
      <c r="F2671" s="61" t="n">
        <v>2</v>
      </c>
      <c r="G2671" s="62" t="n">
        <v>360.11</v>
      </c>
      <c r="H2671" s="63" t="n">
        <v>0.101</v>
      </c>
      <c r="I2671" s="62" t="n">
        <v>281.93</v>
      </c>
      <c r="J2671" s="58" t="inlineStr">
        <is>
          <t>Online</t>
        </is>
      </c>
      <c r="K2671" s="62">
        <f>F2671*(G2671-H2671)</f>
        <v/>
      </c>
      <c r="L2671" s="62">
        <f>K2671-(F2671*I2671)</f>
        <v/>
      </c>
      <c r="M2671" s="64">
        <f>L2671/K2671</f>
        <v/>
      </c>
    </row>
    <row r="2672">
      <c r="A2672" s="58" t="inlineStr">
        <is>
          <t>RT20250309-02671</t>
        </is>
      </c>
      <c r="B2672" s="59" t="inlineStr">
        <is>
          <t>2025-03-09</t>
        </is>
      </c>
      <c r="C2672" s="60" t="inlineStr">
        <is>
          <t>Metro Accessorie Max-316</t>
        </is>
      </c>
      <c r="D2672" s="58" t="inlineStr">
        <is>
          <t>Apparel</t>
        </is>
      </c>
      <c r="E2672" s="58" t="inlineStr">
        <is>
          <t>West</t>
        </is>
      </c>
      <c r="F2672" s="61" t="n">
        <v>1</v>
      </c>
      <c r="G2672" s="62" t="n">
        <v>162.53</v>
      </c>
      <c r="H2672" s="63" t="n">
        <v>0.098</v>
      </c>
      <c r="I2672" s="62" t="n">
        <v>90.3</v>
      </c>
      <c r="J2672" s="58" t="inlineStr">
        <is>
          <t>Online</t>
        </is>
      </c>
      <c r="K2672" s="62">
        <f>F2672*(G2672-H2672)</f>
        <v/>
      </c>
      <c r="L2672" s="62">
        <f>K2672-(F2672*I2672)</f>
        <v/>
      </c>
      <c r="M2672" s="64">
        <f>L2672/K2672</f>
        <v/>
      </c>
    </row>
    <row r="2673">
      <c r="A2673" s="58" t="inlineStr">
        <is>
          <t>RT20250309-02672</t>
        </is>
      </c>
      <c r="B2673" s="59" t="inlineStr">
        <is>
          <t>2025-03-09</t>
        </is>
      </c>
      <c r="C2673" s="60" t="inlineStr">
        <is>
          <t>Solace Bedding Plus-317</t>
        </is>
      </c>
      <c r="D2673" s="58" t="inlineStr">
        <is>
          <t>Home</t>
        </is>
      </c>
      <c r="E2673" s="58" t="inlineStr">
        <is>
          <t>West</t>
        </is>
      </c>
      <c r="F2673" s="61" t="n">
        <v>3</v>
      </c>
      <c r="G2673" s="62" t="n">
        <v>587.85</v>
      </c>
      <c r="H2673" s="63" t="n">
        <v>0.12</v>
      </c>
      <c r="I2673" s="62" t="n">
        <v>380.3</v>
      </c>
      <c r="J2673" s="58" t="inlineStr">
        <is>
          <t>Online</t>
        </is>
      </c>
      <c r="K2673" s="62">
        <f>F2673*(G2673-H2673)</f>
        <v/>
      </c>
      <c r="L2673" s="62">
        <f>K2673-(F2673*I2673)</f>
        <v/>
      </c>
      <c r="M2673" s="64">
        <f>L2673/K2673</f>
        <v/>
      </c>
    </row>
    <row r="2674">
      <c r="A2674" s="58" t="inlineStr">
        <is>
          <t>RT20250309-02673</t>
        </is>
      </c>
      <c r="B2674" s="59" t="inlineStr">
        <is>
          <t>2025-03-09</t>
        </is>
      </c>
      <c r="C2674" s="60" t="inlineStr">
        <is>
          <t>Aurora Outdoor Pro-467</t>
        </is>
      </c>
      <c r="D2674" s="58" t="inlineStr">
        <is>
          <t>Sports</t>
        </is>
      </c>
      <c r="E2674" s="58" t="inlineStr">
        <is>
          <t>West</t>
        </is>
      </c>
      <c r="F2674" s="61" t="n">
        <v>2</v>
      </c>
      <c r="G2674" s="62" t="n">
        <v>286.26</v>
      </c>
      <c r="H2674" s="63" t="n">
        <v>0.162</v>
      </c>
      <c r="I2674" s="62" t="n">
        <v>191.99</v>
      </c>
      <c r="J2674" s="58" t="inlineStr">
        <is>
          <t>Online</t>
        </is>
      </c>
      <c r="K2674" s="62">
        <f>F2674*(G2674-H2674)</f>
        <v/>
      </c>
      <c r="L2674" s="62">
        <f>K2674-(F2674*I2674)</f>
        <v/>
      </c>
      <c r="M2674" s="64">
        <f>L2674/K2674</f>
        <v/>
      </c>
    </row>
    <row r="2675">
      <c r="A2675" s="58" t="inlineStr">
        <is>
          <t>RT20250309-02674</t>
        </is>
      </c>
      <c r="B2675" s="59" t="inlineStr">
        <is>
          <t>2025-03-09</t>
        </is>
      </c>
      <c r="C2675" s="60" t="inlineStr">
        <is>
          <t>Polar Decor Plus-505</t>
        </is>
      </c>
      <c r="D2675" s="58" t="inlineStr">
        <is>
          <t>Home</t>
        </is>
      </c>
      <c r="E2675" s="58" t="inlineStr">
        <is>
          <t>Central</t>
        </is>
      </c>
      <c r="F2675" s="61" t="n">
        <v>3</v>
      </c>
      <c r="G2675" s="62" t="n">
        <v>295.26</v>
      </c>
      <c r="H2675" s="63" t="n">
        <v>0.045</v>
      </c>
      <c r="I2675" s="62" t="n">
        <v>200.07</v>
      </c>
      <c r="J2675" s="58" t="inlineStr">
        <is>
          <t>Online</t>
        </is>
      </c>
      <c r="K2675" s="62">
        <f>F2675*(G2675-H2675)</f>
        <v/>
      </c>
      <c r="L2675" s="62">
        <f>K2675-(F2675*I2675)</f>
        <v/>
      </c>
      <c r="M2675" s="64">
        <f>L2675/K2675</f>
        <v/>
      </c>
    </row>
    <row r="2676">
      <c r="A2676" s="58" t="inlineStr">
        <is>
          <t>RT20250309-02675</t>
        </is>
      </c>
      <c r="B2676" s="59" t="inlineStr">
        <is>
          <t>2025-03-09</t>
        </is>
      </c>
      <c r="C2676" s="60" t="inlineStr">
        <is>
          <t>Metro Fragrance Lite-261</t>
        </is>
      </c>
      <c r="D2676" s="58" t="inlineStr">
        <is>
          <t>Beauty</t>
        </is>
      </c>
      <c r="E2676" s="58" t="inlineStr">
        <is>
          <t>East</t>
        </is>
      </c>
      <c r="F2676" s="61" t="n">
        <v>3</v>
      </c>
      <c r="G2676" s="62" t="n">
        <v>92.78</v>
      </c>
      <c r="H2676" s="63" t="n">
        <v>0.105</v>
      </c>
      <c r="I2676" s="62" t="n">
        <v>56.11</v>
      </c>
      <c r="J2676" s="58" t="inlineStr">
        <is>
          <t>Online</t>
        </is>
      </c>
      <c r="K2676" s="62">
        <f>F2676*(G2676-H2676)</f>
        <v/>
      </c>
      <c r="L2676" s="62">
        <f>K2676-(F2676*I2676)</f>
        <v/>
      </c>
      <c r="M2676" s="64">
        <f>L2676/K2676</f>
        <v/>
      </c>
    </row>
    <row r="2677">
      <c r="A2677" s="58" t="inlineStr">
        <is>
          <t>RT20250309-02676</t>
        </is>
      </c>
      <c r="B2677" s="59" t="inlineStr">
        <is>
          <t>2025-03-09</t>
        </is>
      </c>
      <c r="C2677" s="60" t="inlineStr">
        <is>
          <t>Polar Outdoor Lite-318</t>
        </is>
      </c>
      <c r="D2677" s="58" t="inlineStr">
        <is>
          <t>Sports</t>
        </is>
      </c>
      <c r="E2677" s="58" t="inlineStr">
        <is>
          <t>West</t>
        </is>
      </c>
      <c r="F2677" s="61" t="n">
        <v>3</v>
      </c>
      <c r="G2677" s="62" t="n">
        <v>759.55</v>
      </c>
      <c r="H2677" s="63" t="n">
        <v>0.145</v>
      </c>
      <c r="I2677" s="62" t="n">
        <v>475.9</v>
      </c>
      <c r="J2677" s="58" t="inlineStr">
        <is>
          <t>Store</t>
        </is>
      </c>
      <c r="K2677" s="62">
        <f>F2677*(G2677-H2677)</f>
        <v/>
      </c>
      <c r="L2677" s="62">
        <f>K2677-(F2677*I2677)</f>
        <v/>
      </c>
      <c r="M2677" s="64">
        <f>L2677/K2677</f>
        <v/>
      </c>
    </row>
    <row r="2678">
      <c r="A2678" s="58" t="inlineStr">
        <is>
          <t>RT20250309-02677</t>
        </is>
      </c>
      <c r="B2678" s="59" t="inlineStr">
        <is>
          <t>2025-03-09</t>
        </is>
      </c>
      <c r="C2678" s="60" t="inlineStr">
        <is>
          <t>Nimbus Women Plus-352</t>
        </is>
      </c>
      <c r="D2678" s="58" t="inlineStr">
        <is>
          <t>Apparel</t>
        </is>
      </c>
      <c r="E2678" s="58" t="inlineStr">
        <is>
          <t>East</t>
        </is>
      </c>
      <c r="F2678" s="61" t="n">
        <v>2</v>
      </c>
      <c r="G2678" s="62" t="n">
        <v>47.22</v>
      </c>
      <c r="H2678" s="63" t="n">
        <v>0.07099999999999999</v>
      </c>
      <c r="I2678" s="62" t="n">
        <v>33.48</v>
      </c>
      <c r="J2678" s="58" t="inlineStr">
        <is>
          <t>Online</t>
        </is>
      </c>
      <c r="K2678" s="62">
        <f>F2678*(G2678-H2678)</f>
        <v/>
      </c>
      <c r="L2678" s="62">
        <f>K2678-(F2678*I2678)</f>
        <v/>
      </c>
      <c r="M2678" s="64">
        <f>L2678/K2678</f>
        <v/>
      </c>
    </row>
    <row r="2679">
      <c r="A2679" s="58" t="inlineStr">
        <is>
          <t>RT20250309-02678</t>
        </is>
      </c>
      <c r="B2679" s="59" t="inlineStr">
        <is>
          <t>2025-03-09</t>
        </is>
      </c>
      <c r="C2679" s="60" t="inlineStr">
        <is>
          <t>Vertex Fitnes Pro-830</t>
        </is>
      </c>
      <c r="D2679" s="58" t="inlineStr">
        <is>
          <t>Sports</t>
        </is>
      </c>
      <c r="E2679" s="58" t="inlineStr">
        <is>
          <t>East</t>
        </is>
      </c>
      <c r="F2679" s="61" t="n">
        <v>2</v>
      </c>
      <c r="G2679" s="62" t="n">
        <v>735.4</v>
      </c>
      <c r="H2679" s="63" t="n">
        <v>0.148</v>
      </c>
      <c r="I2679" s="62" t="n">
        <v>474.36</v>
      </c>
      <c r="J2679" s="58" t="inlineStr">
        <is>
          <t>Store</t>
        </is>
      </c>
      <c r="K2679" s="62">
        <f>F2679*(G2679-H2679)</f>
        <v/>
      </c>
      <c r="L2679" s="62">
        <f>K2679-(F2679*I2679)</f>
        <v/>
      </c>
      <c r="M2679" s="64">
        <f>L2679/K2679</f>
        <v/>
      </c>
    </row>
    <row r="2680">
      <c r="A2680" s="58" t="inlineStr">
        <is>
          <t>RT20250309-02679</t>
        </is>
      </c>
      <c r="B2680" s="59" t="inlineStr">
        <is>
          <t>2025-03-09</t>
        </is>
      </c>
      <c r="C2680" s="60" t="inlineStr">
        <is>
          <t>Polar Snack Pro-641</t>
        </is>
      </c>
      <c r="D2680" s="58" t="inlineStr">
        <is>
          <t>Grocery</t>
        </is>
      </c>
      <c r="E2680" s="58" t="inlineStr">
        <is>
          <t>South</t>
        </is>
      </c>
      <c r="F2680" s="61" t="n">
        <v>5</v>
      </c>
      <c r="G2680" s="62" t="n">
        <v>12.75</v>
      </c>
      <c r="H2680" s="63" t="n">
        <v>0.083</v>
      </c>
      <c r="I2680" s="62" t="n">
        <v>9.49</v>
      </c>
      <c r="J2680" s="58" t="inlineStr">
        <is>
          <t>Store</t>
        </is>
      </c>
      <c r="K2680" s="62">
        <f>F2680*(G2680-H2680)</f>
        <v/>
      </c>
      <c r="L2680" s="62">
        <f>K2680-(F2680*I2680)</f>
        <v/>
      </c>
      <c r="M2680" s="64">
        <f>L2680/K2680</f>
        <v/>
      </c>
    </row>
    <row r="2681">
      <c r="A2681" s="58" t="inlineStr">
        <is>
          <t>RT20250309-02680</t>
        </is>
      </c>
      <c r="B2681" s="59" t="inlineStr">
        <is>
          <t>2025-03-09</t>
        </is>
      </c>
      <c r="C2681" s="60" t="inlineStr">
        <is>
          <t>Orion Team Sport X-926</t>
        </is>
      </c>
      <c r="D2681" s="58" t="inlineStr">
        <is>
          <t>Sports</t>
        </is>
      </c>
      <c r="E2681" s="58" t="inlineStr">
        <is>
          <t>Central</t>
        </is>
      </c>
      <c r="F2681" s="61" t="n">
        <v>1</v>
      </c>
      <c r="G2681" s="62" t="n">
        <v>270.48</v>
      </c>
      <c r="H2681" s="63" t="n">
        <v>0.08</v>
      </c>
      <c r="I2681" s="62" t="n">
        <v>217.05</v>
      </c>
      <c r="J2681" s="58" t="inlineStr">
        <is>
          <t>Online</t>
        </is>
      </c>
      <c r="K2681" s="62">
        <f>F2681*(G2681-H2681)</f>
        <v/>
      </c>
      <c r="L2681" s="62">
        <f>K2681-(F2681*I2681)</f>
        <v/>
      </c>
      <c r="M2681" s="64">
        <f>L2681/K2681</f>
        <v/>
      </c>
    </row>
    <row r="2682">
      <c r="A2682" s="58" t="inlineStr">
        <is>
          <t>RT20250309-02681</t>
        </is>
      </c>
      <c r="B2682" s="59" t="inlineStr">
        <is>
          <t>2025-03-09</t>
        </is>
      </c>
      <c r="C2682" s="60" t="inlineStr">
        <is>
          <t>Aurora Skincare Max-798</t>
        </is>
      </c>
      <c r="D2682" s="58" t="inlineStr">
        <is>
          <t>Beauty</t>
        </is>
      </c>
      <c r="E2682" s="58" t="inlineStr">
        <is>
          <t>East</t>
        </is>
      </c>
      <c r="F2682" s="61" t="n">
        <v>5</v>
      </c>
      <c r="G2682" s="62" t="n">
        <v>108.04</v>
      </c>
      <c r="H2682" s="63" t="n">
        <v>0.176</v>
      </c>
      <c r="I2682" s="62" t="n">
        <v>69.69</v>
      </c>
      <c r="J2682" s="58" t="inlineStr">
        <is>
          <t>Online</t>
        </is>
      </c>
      <c r="K2682" s="62">
        <f>F2682*(G2682-H2682)</f>
        <v/>
      </c>
      <c r="L2682" s="62">
        <f>K2682-(F2682*I2682)</f>
        <v/>
      </c>
      <c r="M2682" s="64">
        <f>L2682/K2682</f>
        <v/>
      </c>
    </row>
    <row r="2683">
      <c r="A2683" s="58" t="inlineStr">
        <is>
          <t>RT20250309-02682</t>
        </is>
      </c>
      <c r="B2683" s="59" t="inlineStr">
        <is>
          <t>2025-03-09</t>
        </is>
      </c>
      <c r="C2683" s="60" t="inlineStr">
        <is>
          <t>Aurora Appliance Lite-109</t>
        </is>
      </c>
      <c r="D2683" s="58" t="inlineStr">
        <is>
          <t>Home</t>
        </is>
      </c>
      <c r="E2683" s="58" t="inlineStr">
        <is>
          <t>Central</t>
        </is>
      </c>
      <c r="F2683" s="61" t="n">
        <v>1</v>
      </c>
      <c r="G2683" s="62" t="n">
        <v>289.89</v>
      </c>
      <c r="H2683" s="63" t="n">
        <v>0.056</v>
      </c>
      <c r="I2683" s="62" t="n">
        <v>205.51</v>
      </c>
      <c r="J2683" s="58" t="inlineStr">
        <is>
          <t>Store</t>
        </is>
      </c>
      <c r="K2683" s="62">
        <f>F2683*(G2683-H2683)</f>
        <v/>
      </c>
      <c r="L2683" s="62">
        <f>K2683-(F2683*I2683)</f>
        <v/>
      </c>
      <c r="M2683" s="64">
        <f>L2683/K2683</f>
        <v/>
      </c>
    </row>
    <row r="2684">
      <c r="A2684" s="58" t="inlineStr">
        <is>
          <t>RT20250309-02683</t>
        </is>
      </c>
      <c r="B2684" s="59" t="inlineStr">
        <is>
          <t>2025-03-09</t>
        </is>
      </c>
      <c r="C2684" s="60" t="inlineStr">
        <is>
          <t>Nimbus Laptop Max-652</t>
        </is>
      </c>
      <c r="D2684" s="58" t="inlineStr">
        <is>
          <t>Electronics</t>
        </is>
      </c>
      <c r="E2684" s="58" t="inlineStr">
        <is>
          <t>East</t>
        </is>
      </c>
      <c r="F2684" s="61" t="n">
        <v>1</v>
      </c>
      <c r="G2684" s="62" t="n">
        <v>1214.68</v>
      </c>
      <c r="H2684" s="63" t="n">
        <v>0.023</v>
      </c>
      <c r="I2684" s="62" t="n">
        <v>1027.45</v>
      </c>
      <c r="J2684" s="58" t="inlineStr">
        <is>
          <t>Online</t>
        </is>
      </c>
      <c r="K2684" s="62">
        <f>F2684*(G2684-H2684)</f>
        <v/>
      </c>
      <c r="L2684" s="62">
        <f>K2684-(F2684*I2684)</f>
        <v/>
      </c>
      <c r="M2684" s="64">
        <f>L2684/K2684</f>
        <v/>
      </c>
    </row>
    <row r="2685">
      <c r="A2685" s="58" t="inlineStr">
        <is>
          <t>RT20250309-02684</t>
        </is>
      </c>
      <c r="B2685" s="59" t="inlineStr">
        <is>
          <t>2025-03-09</t>
        </is>
      </c>
      <c r="C2685" s="60" t="inlineStr">
        <is>
          <t>Nimbus Laptop Max-652</t>
        </is>
      </c>
      <c r="D2685" s="58" t="inlineStr">
        <is>
          <t>Electronics</t>
        </is>
      </c>
      <c r="E2685" s="58" t="inlineStr">
        <is>
          <t>West</t>
        </is>
      </c>
      <c r="F2685" s="61" t="n">
        <v>2</v>
      </c>
      <c r="G2685" s="62" t="n">
        <v>1336.07</v>
      </c>
      <c r="H2685" s="63" t="n">
        <v>0.066</v>
      </c>
      <c r="I2685" s="62" t="n">
        <v>1019.34</v>
      </c>
      <c r="J2685" s="58" t="inlineStr">
        <is>
          <t>Online</t>
        </is>
      </c>
      <c r="K2685" s="62">
        <f>F2685*(G2685-H2685)</f>
        <v/>
      </c>
      <c r="L2685" s="62">
        <f>K2685-(F2685*I2685)</f>
        <v/>
      </c>
      <c r="M2685" s="64">
        <f>L2685/K2685</f>
        <v/>
      </c>
    </row>
    <row r="2686">
      <c r="A2686" s="58" t="inlineStr">
        <is>
          <t>RT20250309-02685</t>
        </is>
      </c>
      <c r="B2686" s="59" t="inlineStr">
        <is>
          <t>2025-03-09</t>
        </is>
      </c>
      <c r="C2686" s="60" t="inlineStr">
        <is>
          <t>Orion Supplie S-612</t>
        </is>
      </c>
      <c r="D2686" s="58" t="inlineStr">
        <is>
          <t>Office</t>
        </is>
      </c>
      <c r="E2686" s="58" t="inlineStr">
        <is>
          <t>West</t>
        </is>
      </c>
      <c r="F2686" s="61" t="n">
        <v>3</v>
      </c>
      <c r="G2686" s="62" t="n">
        <v>431.55</v>
      </c>
      <c r="H2686" s="63" t="n">
        <v>0.122</v>
      </c>
      <c r="I2686" s="62" t="n">
        <v>335.39</v>
      </c>
      <c r="J2686" s="58" t="inlineStr">
        <is>
          <t>Store</t>
        </is>
      </c>
      <c r="K2686" s="62">
        <f>F2686*(G2686-H2686)</f>
        <v/>
      </c>
      <c r="L2686" s="62">
        <f>K2686-(F2686*I2686)</f>
        <v/>
      </c>
      <c r="M2686" s="64">
        <f>L2686/K2686</f>
        <v/>
      </c>
    </row>
    <row r="2687">
      <c r="A2687" s="58" t="inlineStr">
        <is>
          <t>RT20250309-02686</t>
        </is>
      </c>
      <c r="B2687" s="59" t="inlineStr">
        <is>
          <t>2025-03-09</t>
        </is>
      </c>
      <c r="C2687" s="60" t="inlineStr">
        <is>
          <t>Vertex Headphone Pro-801</t>
        </is>
      </c>
      <c r="D2687" s="58" t="inlineStr">
        <is>
          <t>Electronics</t>
        </is>
      </c>
      <c r="E2687" s="58" t="inlineStr">
        <is>
          <t>East</t>
        </is>
      </c>
      <c r="F2687" s="61" t="n">
        <v>2</v>
      </c>
      <c r="G2687" s="62" t="n">
        <v>1235.63</v>
      </c>
      <c r="H2687" s="63" t="n">
        <v>0.095</v>
      </c>
      <c r="I2687" s="62" t="n">
        <v>951.71</v>
      </c>
      <c r="J2687" s="58" t="inlineStr">
        <is>
          <t>Online</t>
        </is>
      </c>
      <c r="K2687" s="62">
        <f>F2687*(G2687-H2687)</f>
        <v/>
      </c>
      <c r="L2687" s="62">
        <f>K2687-(F2687*I2687)</f>
        <v/>
      </c>
      <c r="M2687" s="64">
        <f>L2687/K2687</f>
        <v/>
      </c>
    </row>
    <row r="2688">
      <c r="A2688" s="58" t="inlineStr">
        <is>
          <t>RT20250309-02687</t>
        </is>
      </c>
      <c r="B2688" s="59" t="inlineStr">
        <is>
          <t>2025-03-09</t>
        </is>
      </c>
      <c r="C2688" s="60" t="inlineStr">
        <is>
          <t>Aurora Skincare Max-798</t>
        </is>
      </c>
      <c r="D2688" s="58" t="inlineStr">
        <is>
          <t>Beauty</t>
        </is>
      </c>
      <c r="E2688" s="58" t="inlineStr">
        <is>
          <t>East</t>
        </is>
      </c>
      <c r="F2688" s="61" t="n">
        <v>3</v>
      </c>
      <c r="G2688" s="62" t="n">
        <v>128.26</v>
      </c>
      <c r="H2688" s="63" t="n">
        <v>0.06</v>
      </c>
      <c r="I2688" s="62" t="n">
        <v>69.59999999999999</v>
      </c>
      <c r="J2688" s="58" t="inlineStr">
        <is>
          <t>Store</t>
        </is>
      </c>
      <c r="K2688" s="62">
        <f>F2688*(G2688-H2688)</f>
        <v/>
      </c>
      <c r="L2688" s="62">
        <f>K2688-(F2688*I2688)</f>
        <v/>
      </c>
      <c r="M2688" s="64">
        <f>L2688/K2688</f>
        <v/>
      </c>
    </row>
    <row r="2689">
      <c r="A2689" s="58" t="inlineStr">
        <is>
          <t>RT20250309-02688</t>
        </is>
      </c>
      <c r="B2689" s="59" t="inlineStr">
        <is>
          <t>2025-03-09</t>
        </is>
      </c>
      <c r="C2689" s="60" t="inlineStr">
        <is>
          <t>Vertex Supplie X-513</t>
        </is>
      </c>
      <c r="D2689" s="58" t="inlineStr">
        <is>
          <t>Office</t>
        </is>
      </c>
      <c r="E2689" s="58" t="inlineStr">
        <is>
          <t>South</t>
        </is>
      </c>
      <c r="F2689" s="61" t="n">
        <v>1</v>
      </c>
      <c r="G2689" s="62" t="n">
        <v>411.51</v>
      </c>
      <c r="H2689" s="63" t="n">
        <v>0.08599999999999999</v>
      </c>
      <c r="I2689" s="62" t="n">
        <v>277.54</v>
      </c>
      <c r="J2689" s="58" t="inlineStr">
        <is>
          <t>Store</t>
        </is>
      </c>
      <c r="K2689" s="62">
        <f>F2689*(G2689-H2689)</f>
        <v/>
      </c>
      <c r="L2689" s="62">
        <f>K2689-(F2689*I2689)</f>
        <v/>
      </c>
      <c r="M2689" s="64">
        <f>L2689/K2689</f>
        <v/>
      </c>
    </row>
    <row r="2690">
      <c r="A2690" s="58" t="inlineStr">
        <is>
          <t>RT20250309-02689</t>
        </is>
      </c>
      <c r="B2690" s="59" t="inlineStr">
        <is>
          <t>2025-03-09</t>
        </is>
      </c>
      <c r="C2690" s="60" t="inlineStr">
        <is>
          <t>Nimbus Laptop Max-652</t>
        </is>
      </c>
      <c r="D2690" s="58" t="inlineStr">
        <is>
          <t>Electronics</t>
        </is>
      </c>
      <c r="E2690" s="58" t="inlineStr">
        <is>
          <t>South</t>
        </is>
      </c>
      <c r="F2690" s="61" t="n">
        <v>1</v>
      </c>
      <c r="G2690" s="62" t="n">
        <v>1199.97</v>
      </c>
      <c r="H2690" s="63" t="n">
        <v>0.157</v>
      </c>
      <c r="I2690" s="62" t="n">
        <v>982.11</v>
      </c>
      <c r="J2690" s="58" t="inlineStr">
        <is>
          <t>Online</t>
        </is>
      </c>
      <c r="K2690" s="62">
        <f>F2690*(G2690-H2690)</f>
        <v/>
      </c>
      <c r="L2690" s="62">
        <f>K2690-(F2690*I2690)</f>
        <v/>
      </c>
      <c r="M2690" s="64">
        <f>L2690/K2690</f>
        <v/>
      </c>
    </row>
    <row r="2691">
      <c r="A2691" s="58" t="inlineStr">
        <is>
          <t>RT20250309-02690</t>
        </is>
      </c>
      <c r="B2691" s="59" t="inlineStr">
        <is>
          <t>2025-03-09</t>
        </is>
      </c>
      <c r="C2691" s="60" t="inlineStr">
        <is>
          <t>Nimbus Storage Plus-646</t>
        </is>
      </c>
      <c r="D2691" s="58" t="inlineStr">
        <is>
          <t>Office</t>
        </is>
      </c>
      <c r="E2691" s="58" t="inlineStr">
        <is>
          <t>East</t>
        </is>
      </c>
      <c r="F2691" s="61" t="n">
        <v>3</v>
      </c>
      <c r="G2691" s="62" t="n">
        <v>455.92</v>
      </c>
      <c r="H2691" s="63" t="n">
        <v>0.102</v>
      </c>
      <c r="I2691" s="62" t="n">
        <v>317.94</v>
      </c>
      <c r="J2691" s="58" t="inlineStr">
        <is>
          <t>Phone</t>
        </is>
      </c>
      <c r="K2691" s="62">
        <f>F2691*(G2691-H2691)</f>
        <v/>
      </c>
      <c r="L2691" s="62">
        <f>K2691-(F2691*I2691)</f>
        <v/>
      </c>
      <c r="M2691" s="64">
        <f>L2691/K2691</f>
        <v/>
      </c>
    </row>
    <row r="2692">
      <c r="A2692" s="58" t="inlineStr">
        <is>
          <t>RT20250309-02691</t>
        </is>
      </c>
      <c r="B2692" s="59" t="inlineStr">
        <is>
          <t>2025-03-09</t>
        </is>
      </c>
      <c r="C2692" s="60" t="inlineStr">
        <is>
          <t>Falcon Beverage Max-702</t>
        </is>
      </c>
      <c r="D2692" s="58" t="inlineStr">
        <is>
          <t>Grocery</t>
        </is>
      </c>
      <c r="E2692" s="58" t="inlineStr">
        <is>
          <t>North</t>
        </is>
      </c>
      <c r="F2692" s="61" t="n">
        <v>1</v>
      </c>
      <c r="G2692" s="62" t="n">
        <v>23.89</v>
      </c>
      <c r="H2692" s="63" t="n">
        <v>0.168</v>
      </c>
      <c r="I2692" s="62" t="n">
        <v>19.3</v>
      </c>
      <c r="J2692" s="58" t="inlineStr">
        <is>
          <t>Online</t>
        </is>
      </c>
      <c r="K2692" s="62">
        <f>F2692*(G2692-H2692)</f>
        <v/>
      </c>
      <c r="L2692" s="62">
        <f>K2692-(F2692*I2692)</f>
        <v/>
      </c>
      <c r="M2692" s="64">
        <f>L2692/K2692</f>
        <v/>
      </c>
    </row>
    <row r="2693">
      <c r="A2693" s="58" t="inlineStr">
        <is>
          <t>RT20250310-02692</t>
        </is>
      </c>
      <c r="B2693" s="59" t="inlineStr">
        <is>
          <t>2025-03-10</t>
        </is>
      </c>
      <c r="C2693" s="60" t="inlineStr">
        <is>
          <t>Aurora Smartphone Plus-125</t>
        </is>
      </c>
      <c r="D2693" s="58" t="inlineStr">
        <is>
          <t>Electronics</t>
        </is>
      </c>
      <c r="E2693" s="58" t="inlineStr">
        <is>
          <t>West</t>
        </is>
      </c>
      <c r="F2693" s="61" t="n">
        <v>1</v>
      </c>
      <c r="G2693" s="62" t="n">
        <v>1554.27</v>
      </c>
      <c r="H2693" s="63" t="n">
        <v>0.054</v>
      </c>
      <c r="I2693" s="62" t="n">
        <v>1227.11</v>
      </c>
      <c r="J2693" s="58" t="inlineStr">
        <is>
          <t>Store</t>
        </is>
      </c>
      <c r="K2693" s="62">
        <f>F2693*(G2693-H2693)</f>
        <v/>
      </c>
      <c r="L2693" s="62">
        <f>K2693-(F2693*I2693)</f>
        <v/>
      </c>
      <c r="M2693" s="64">
        <f>L2693/K2693</f>
        <v/>
      </c>
    </row>
    <row r="2694">
      <c r="A2694" s="58" t="inlineStr">
        <is>
          <t>RT20250310-02693</t>
        </is>
      </c>
      <c r="B2694" s="59" t="inlineStr">
        <is>
          <t>2025-03-10</t>
        </is>
      </c>
      <c r="C2694" s="60" t="inlineStr">
        <is>
          <t>Nimbus Decor Lite-385</t>
        </is>
      </c>
      <c r="D2694" s="58" t="inlineStr">
        <is>
          <t>Home</t>
        </is>
      </c>
      <c r="E2694" s="58" t="inlineStr">
        <is>
          <t>Central</t>
        </is>
      </c>
      <c r="F2694" s="61" t="n">
        <v>1</v>
      </c>
      <c r="G2694" s="62" t="n">
        <v>576.51</v>
      </c>
      <c r="H2694" s="63" t="n">
        <v>0.038</v>
      </c>
      <c r="I2694" s="62" t="n">
        <v>404.21</v>
      </c>
      <c r="J2694" s="58" t="inlineStr">
        <is>
          <t>Online</t>
        </is>
      </c>
      <c r="K2694" s="62">
        <f>F2694*(G2694-H2694)</f>
        <v/>
      </c>
      <c r="L2694" s="62">
        <f>K2694-(F2694*I2694)</f>
        <v/>
      </c>
      <c r="M2694" s="64">
        <f>L2694/K2694</f>
        <v/>
      </c>
    </row>
    <row r="2695">
      <c r="A2695" s="58" t="inlineStr">
        <is>
          <t>RT20250310-02694</t>
        </is>
      </c>
      <c r="B2695" s="59" t="inlineStr">
        <is>
          <t>2025-03-10</t>
        </is>
      </c>
      <c r="C2695" s="60" t="inlineStr">
        <is>
          <t>Orion Team Sport X-926</t>
        </is>
      </c>
      <c r="D2695" s="58" t="inlineStr">
        <is>
          <t>Sports</t>
        </is>
      </c>
      <c r="E2695" s="58" t="inlineStr">
        <is>
          <t>West</t>
        </is>
      </c>
      <c r="F2695" s="61" t="n">
        <v>3</v>
      </c>
      <c r="G2695" s="62" t="n">
        <v>326.06</v>
      </c>
      <c r="H2695" s="63" t="n">
        <v>0.083</v>
      </c>
      <c r="I2695" s="62" t="n">
        <v>218.03</v>
      </c>
      <c r="J2695" s="58" t="inlineStr">
        <is>
          <t>Online</t>
        </is>
      </c>
      <c r="K2695" s="62">
        <f>F2695*(G2695-H2695)</f>
        <v/>
      </c>
      <c r="L2695" s="62">
        <f>K2695-(F2695*I2695)</f>
        <v/>
      </c>
      <c r="M2695" s="64">
        <f>L2695/K2695</f>
        <v/>
      </c>
    </row>
    <row r="2696">
      <c r="A2696" s="58" t="inlineStr">
        <is>
          <t>RT20250310-02695</t>
        </is>
      </c>
      <c r="B2696" s="59" t="inlineStr">
        <is>
          <t>2025-03-10</t>
        </is>
      </c>
      <c r="C2696" s="60" t="inlineStr">
        <is>
          <t>Aurora Haircare S-975</t>
        </is>
      </c>
      <c r="D2696" s="58" t="inlineStr">
        <is>
          <t>Beauty</t>
        </is>
      </c>
      <c r="E2696" s="58" t="inlineStr">
        <is>
          <t>North</t>
        </is>
      </c>
      <c r="F2696" s="61" t="n">
        <v>5</v>
      </c>
      <c r="G2696" s="62" t="n">
        <v>112.42</v>
      </c>
      <c r="H2696" s="63" t="n">
        <v>0.101</v>
      </c>
      <c r="I2696" s="62" t="n">
        <v>58.59</v>
      </c>
      <c r="J2696" s="58" t="inlineStr">
        <is>
          <t>Store</t>
        </is>
      </c>
      <c r="K2696" s="62">
        <f>F2696*(G2696-H2696)</f>
        <v/>
      </c>
      <c r="L2696" s="62">
        <f>K2696-(F2696*I2696)</f>
        <v/>
      </c>
      <c r="M2696" s="64">
        <f>L2696/K2696</f>
        <v/>
      </c>
    </row>
    <row r="2697">
      <c r="A2697" s="58" t="inlineStr">
        <is>
          <t>RT20250310-02696</t>
        </is>
      </c>
      <c r="B2697" s="59" t="inlineStr">
        <is>
          <t>2025-03-10</t>
        </is>
      </c>
      <c r="C2697" s="60" t="inlineStr">
        <is>
          <t>Metro Accessorie Lite-697</t>
        </is>
      </c>
      <c r="D2697" s="58" t="inlineStr">
        <is>
          <t>Apparel</t>
        </is>
      </c>
      <c r="E2697" s="58" t="inlineStr">
        <is>
          <t>West</t>
        </is>
      </c>
      <c r="F2697" s="61" t="n">
        <v>4</v>
      </c>
      <c r="G2697" s="62" t="n">
        <v>138.84</v>
      </c>
      <c r="H2697" s="63" t="n">
        <v>0.08</v>
      </c>
      <c r="I2697" s="62" t="n">
        <v>77.95999999999999</v>
      </c>
      <c r="J2697" s="58" t="inlineStr">
        <is>
          <t>Online</t>
        </is>
      </c>
      <c r="K2697" s="62">
        <f>F2697*(G2697-H2697)</f>
        <v/>
      </c>
      <c r="L2697" s="62">
        <f>K2697-(F2697*I2697)</f>
        <v/>
      </c>
      <c r="M2697" s="64">
        <f>L2697/K2697</f>
        <v/>
      </c>
    </row>
    <row r="2698">
      <c r="A2698" s="58" t="inlineStr">
        <is>
          <t>RT20250310-02697</t>
        </is>
      </c>
      <c r="B2698" s="59" t="inlineStr">
        <is>
          <t>2025-03-10</t>
        </is>
      </c>
      <c r="C2698" s="60" t="inlineStr">
        <is>
          <t>Nimbus Headphone X-854</t>
        </is>
      </c>
      <c r="D2698" s="58" t="inlineStr">
        <is>
          <t>Electronics</t>
        </is>
      </c>
      <c r="E2698" s="58" t="inlineStr">
        <is>
          <t>West</t>
        </is>
      </c>
      <c r="F2698" s="61" t="n">
        <v>1</v>
      </c>
      <c r="G2698" s="62" t="n">
        <v>1707.23</v>
      </c>
      <c r="H2698" s="63" t="n">
        <v>0.137</v>
      </c>
      <c r="I2698" s="62" t="n">
        <v>1230.84</v>
      </c>
      <c r="J2698" s="58" t="inlineStr">
        <is>
          <t>Online</t>
        </is>
      </c>
      <c r="K2698" s="62">
        <f>F2698*(G2698-H2698)</f>
        <v/>
      </c>
      <c r="L2698" s="62">
        <f>K2698-(F2698*I2698)</f>
        <v/>
      </c>
      <c r="M2698" s="64">
        <f>L2698/K2698</f>
        <v/>
      </c>
    </row>
    <row r="2699">
      <c r="A2699" s="58" t="inlineStr">
        <is>
          <t>RT20250310-02698</t>
        </is>
      </c>
      <c r="B2699" s="59" t="inlineStr">
        <is>
          <t>2025-03-10</t>
        </is>
      </c>
      <c r="C2699" s="60" t="inlineStr">
        <is>
          <t>Nimbus Fitnes Lite-516</t>
        </is>
      </c>
      <c r="D2699" s="58" t="inlineStr">
        <is>
          <t>Sports</t>
        </is>
      </c>
      <c r="E2699" s="58" t="inlineStr">
        <is>
          <t>South</t>
        </is>
      </c>
      <c r="F2699" s="61" t="n">
        <v>1</v>
      </c>
      <c r="G2699" s="62" t="n">
        <v>747.98</v>
      </c>
      <c r="H2699" s="63" t="n">
        <v>0.16</v>
      </c>
      <c r="I2699" s="62" t="n">
        <v>466.51</v>
      </c>
      <c r="J2699" s="58" t="inlineStr">
        <is>
          <t>Online</t>
        </is>
      </c>
      <c r="K2699" s="62">
        <f>F2699*(G2699-H2699)</f>
        <v/>
      </c>
      <c r="L2699" s="62">
        <f>K2699-(F2699*I2699)</f>
        <v/>
      </c>
      <c r="M2699" s="64">
        <f>L2699/K2699</f>
        <v/>
      </c>
    </row>
    <row r="2700">
      <c r="A2700" s="58" t="inlineStr">
        <is>
          <t>RT20250310-02699</t>
        </is>
      </c>
      <c r="B2700" s="59" t="inlineStr">
        <is>
          <t>2025-03-10</t>
        </is>
      </c>
      <c r="C2700" s="60" t="inlineStr">
        <is>
          <t>Orion Team Sport X-926</t>
        </is>
      </c>
      <c r="D2700" s="58" t="inlineStr">
        <is>
          <t>Sports</t>
        </is>
      </c>
      <c r="E2700" s="58" t="inlineStr">
        <is>
          <t>Central</t>
        </is>
      </c>
      <c r="F2700" s="61" t="n">
        <v>2</v>
      </c>
      <c r="G2700" s="62" t="n">
        <v>294.31</v>
      </c>
      <c r="H2700" s="63" t="n">
        <v>0.12</v>
      </c>
      <c r="I2700" s="62" t="n">
        <v>210.41</v>
      </c>
      <c r="J2700" s="58" t="inlineStr">
        <is>
          <t>Online</t>
        </is>
      </c>
      <c r="K2700" s="62">
        <f>F2700*(G2700-H2700)</f>
        <v/>
      </c>
      <c r="L2700" s="62">
        <f>K2700-(F2700*I2700)</f>
        <v/>
      </c>
      <c r="M2700" s="64">
        <f>L2700/K2700</f>
        <v/>
      </c>
    </row>
    <row r="2701">
      <c r="A2701" s="58" t="inlineStr">
        <is>
          <t>RT20250310-02700</t>
        </is>
      </c>
      <c r="B2701" s="59" t="inlineStr">
        <is>
          <t>2025-03-10</t>
        </is>
      </c>
      <c r="C2701" s="60" t="inlineStr">
        <is>
          <t>Solace Kitchen X-919</t>
        </is>
      </c>
      <c r="D2701" s="58" t="inlineStr">
        <is>
          <t>Home</t>
        </is>
      </c>
      <c r="E2701" s="58" t="inlineStr">
        <is>
          <t>West</t>
        </is>
      </c>
      <c r="F2701" s="61" t="n">
        <v>3</v>
      </c>
      <c r="G2701" s="62" t="n">
        <v>372.39</v>
      </c>
      <c r="H2701" s="63" t="n">
        <v>0.07000000000000001</v>
      </c>
      <c r="I2701" s="62" t="n">
        <v>268.22</v>
      </c>
      <c r="J2701" s="58" t="inlineStr">
        <is>
          <t>Store</t>
        </is>
      </c>
      <c r="K2701" s="62">
        <f>F2701*(G2701-H2701)</f>
        <v/>
      </c>
      <c r="L2701" s="62">
        <f>K2701-(F2701*I2701)</f>
        <v/>
      </c>
      <c r="M2701" s="64">
        <f>L2701/K2701</f>
        <v/>
      </c>
    </row>
    <row r="2702">
      <c r="A2702" s="58" t="inlineStr">
        <is>
          <t>RT20250310-02701</t>
        </is>
      </c>
      <c r="B2702" s="59" t="inlineStr">
        <is>
          <t>2025-03-10</t>
        </is>
      </c>
      <c r="C2702" s="60" t="inlineStr">
        <is>
          <t>Falcon Beverage Max-702</t>
        </is>
      </c>
      <c r="D2702" s="58" t="inlineStr">
        <is>
          <t>Grocery</t>
        </is>
      </c>
      <c r="E2702" s="58" t="inlineStr">
        <is>
          <t>Central</t>
        </is>
      </c>
      <c r="F2702" s="61" t="n">
        <v>1</v>
      </c>
      <c r="G2702" s="62" t="n">
        <v>27.34</v>
      </c>
      <c r="H2702" s="63" t="n">
        <v>0.107</v>
      </c>
      <c r="I2702" s="62" t="n">
        <v>19.77</v>
      </c>
      <c r="J2702" s="58" t="inlineStr">
        <is>
          <t>Phone</t>
        </is>
      </c>
      <c r="K2702" s="62">
        <f>F2702*(G2702-H2702)</f>
        <v/>
      </c>
      <c r="L2702" s="62">
        <f>K2702-(F2702*I2702)</f>
        <v/>
      </c>
      <c r="M2702" s="64">
        <f>L2702/K2702</f>
        <v/>
      </c>
    </row>
    <row r="2703">
      <c r="A2703" s="58" t="inlineStr">
        <is>
          <t>RT20250310-02702</t>
        </is>
      </c>
      <c r="B2703" s="59" t="inlineStr">
        <is>
          <t>2025-03-10</t>
        </is>
      </c>
      <c r="C2703" s="60" t="inlineStr">
        <is>
          <t>Nimbus Makeup Max-158</t>
        </is>
      </c>
      <c r="D2703" s="58" t="inlineStr">
        <is>
          <t>Beauty</t>
        </is>
      </c>
      <c r="E2703" s="58" t="inlineStr">
        <is>
          <t>West</t>
        </is>
      </c>
      <c r="F2703" s="61" t="n">
        <v>1</v>
      </c>
      <c r="G2703" s="62" t="n">
        <v>152.65</v>
      </c>
      <c r="H2703" s="63" t="n">
        <v>0.062</v>
      </c>
      <c r="I2703" s="62" t="n">
        <v>92.7</v>
      </c>
      <c r="J2703" s="58" t="inlineStr">
        <is>
          <t>Online</t>
        </is>
      </c>
      <c r="K2703" s="62">
        <f>F2703*(G2703-H2703)</f>
        <v/>
      </c>
      <c r="L2703" s="62">
        <f>K2703-(F2703*I2703)</f>
        <v/>
      </c>
      <c r="M2703" s="64">
        <f>L2703/K2703</f>
        <v/>
      </c>
    </row>
    <row r="2704">
      <c r="A2704" s="58" t="inlineStr">
        <is>
          <t>RT20250310-02703</t>
        </is>
      </c>
      <c r="B2704" s="59" t="inlineStr">
        <is>
          <t>2025-03-10</t>
        </is>
      </c>
      <c r="C2704" s="60" t="inlineStr">
        <is>
          <t>Nimbus Decor Lite-385</t>
        </is>
      </c>
      <c r="D2704" s="58" t="inlineStr">
        <is>
          <t>Home</t>
        </is>
      </c>
      <c r="E2704" s="58" t="inlineStr">
        <is>
          <t>North</t>
        </is>
      </c>
      <c r="F2704" s="61" t="n">
        <v>3</v>
      </c>
      <c r="G2704" s="62" t="n">
        <v>575.45</v>
      </c>
      <c r="H2704" s="63" t="n">
        <v>0.1</v>
      </c>
      <c r="I2704" s="62" t="n">
        <v>388.64</v>
      </c>
      <c r="J2704" s="58" t="inlineStr">
        <is>
          <t>Online</t>
        </is>
      </c>
      <c r="K2704" s="62">
        <f>F2704*(G2704-H2704)</f>
        <v/>
      </c>
      <c r="L2704" s="62">
        <f>K2704-(F2704*I2704)</f>
        <v/>
      </c>
      <c r="M2704" s="64">
        <f>L2704/K2704</f>
        <v/>
      </c>
    </row>
    <row r="2705">
      <c r="A2705" s="58" t="inlineStr">
        <is>
          <t>RT20250310-02704</t>
        </is>
      </c>
      <c r="B2705" s="59" t="inlineStr">
        <is>
          <t>2025-03-10</t>
        </is>
      </c>
      <c r="C2705" s="60" t="inlineStr">
        <is>
          <t>Aurora Makeup S-626</t>
        </is>
      </c>
      <c r="D2705" s="58" t="inlineStr">
        <is>
          <t>Beauty</t>
        </is>
      </c>
      <c r="E2705" s="58" t="inlineStr">
        <is>
          <t>South</t>
        </is>
      </c>
      <c r="F2705" s="61" t="n">
        <v>4</v>
      </c>
      <c r="G2705" s="62" t="n">
        <v>99.58</v>
      </c>
      <c r="H2705" s="63" t="n">
        <v>0.144</v>
      </c>
      <c r="I2705" s="62" t="n">
        <v>62.54</v>
      </c>
      <c r="J2705" s="58" t="inlineStr">
        <is>
          <t>Store</t>
        </is>
      </c>
      <c r="K2705" s="62">
        <f>F2705*(G2705-H2705)</f>
        <v/>
      </c>
      <c r="L2705" s="62">
        <f>K2705-(F2705*I2705)</f>
        <v/>
      </c>
      <c r="M2705" s="64">
        <f>L2705/K2705</f>
        <v/>
      </c>
    </row>
    <row r="2706">
      <c r="A2706" s="58" t="inlineStr">
        <is>
          <t>RT20250310-02705</t>
        </is>
      </c>
      <c r="B2706" s="59" t="inlineStr">
        <is>
          <t>2025-03-10</t>
        </is>
      </c>
      <c r="C2706" s="60" t="inlineStr">
        <is>
          <t>Polar Decor X-935</t>
        </is>
      </c>
      <c r="D2706" s="58" t="inlineStr">
        <is>
          <t>Home</t>
        </is>
      </c>
      <c r="E2706" s="58" t="inlineStr">
        <is>
          <t>North</t>
        </is>
      </c>
      <c r="F2706" s="61" t="n">
        <v>2</v>
      </c>
      <c r="G2706" s="62" t="n">
        <v>329.43</v>
      </c>
      <c r="H2706" s="63" t="n">
        <v>0.123</v>
      </c>
      <c r="I2706" s="62" t="n">
        <v>203.97</v>
      </c>
      <c r="J2706" s="58" t="inlineStr">
        <is>
          <t>Online</t>
        </is>
      </c>
      <c r="K2706" s="62">
        <f>F2706*(G2706-H2706)</f>
        <v/>
      </c>
      <c r="L2706" s="62">
        <f>K2706-(F2706*I2706)</f>
        <v/>
      </c>
      <c r="M2706" s="64">
        <f>L2706/K2706</f>
        <v/>
      </c>
    </row>
    <row r="2707">
      <c r="A2707" s="58" t="inlineStr">
        <is>
          <t>RT20250310-02706</t>
        </is>
      </c>
      <c r="B2707" s="59" t="inlineStr">
        <is>
          <t>2025-03-10</t>
        </is>
      </c>
      <c r="C2707" s="60" t="inlineStr">
        <is>
          <t>Falcon Storage X-734</t>
        </is>
      </c>
      <c r="D2707" s="58" t="inlineStr">
        <is>
          <t>Office</t>
        </is>
      </c>
      <c r="E2707" s="58" t="inlineStr">
        <is>
          <t>Central</t>
        </is>
      </c>
      <c r="F2707" s="61" t="n">
        <v>2</v>
      </c>
      <c r="G2707" s="62" t="n">
        <v>340.24</v>
      </c>
      <c r="H2707" s="63" t="n">
        <v>0.077</v>
      </c>
      <c r="I2707" s="62" t="n">
        <v>277.77</v>
      </c>
      <c r="J2707" s="58" t="inlineStr">
        <is>
          <t>Online</t>
        </is>
      </c>
      <c r="K2707" s="62">
        <f>F2707*(G2707-H2707)</f>
        <v/>
      </c>
      <c r="L2707" s="62">
        <f>K2707-(F2707*I2707)</f>
        <v/>
      </c>
      <c r="M2707" s="64">
        <f>L2707/K2707</f>
        <v/>
      </c>
    </row>
    <row r="2708">
      <c r="A2708" s="58" t="inlineStr">
        <is>
          <t>RT20250310-02707</t>
        </is>
      </c>
      <c r="B2708" s="59" t="inlineStr">
        <is>
          <t>2025-03-10</t>
        </is>
      </c>
      <c r="C2708" s="60" t="inlineStr">
        <is>
          <t>Aurora Kid Plus-151</t>
        </is>
      </c>
      <c r="D2708" s="58" t="inlineStr">
        <is>
          <t>Apparel</t>
        </is>
      </c>
      <c r="E2708" s="58" t="inlineStr">
        <is>
          <t>Central</t>
        </is>
      </c>
      <c r="F2708" s="61" t="n">
        <v>3</v>
      </c>
      <c r="G2708" s="62" t="n">
        <v>118.97</v>
      </c>
      <c r="H2708" s="63" t="n">
        <v>0.121</v>
      </c>
      <c r="I2708" s="62" t="n">
        <v>63.5</v>
      </c>
      <c r="J2708" s="58" t="inlineStr">
        <is>
          <t>Online</t>
        </is>
      </c>
      <c r="K2708" s="62">
        <f>F2708*(G2708-H2708)</f>
        <v/>
      </c>
      <c r="L2708" s="62">
        <f>K2708-(F2708*I2708)</f>
        <v/>
      </c>
      <c r="M2708" s="64">
        <f>L2708/K2708</f>
        <v/>
      </c>
    </row>
    <row r="2709">
      <c r="A2709" s="58" t="inlineStr">
        <is>
          <t>RT20250311-02708</t>
        </is>
      </c>
      <c r="B2709" s="59" t="inlineStr">
        <is>
          <t>2025-03-11</t>
        </is>
      </c>
      <c r="C2709" s="60" t="inlineStr">
        <is>
          <t>Metro Pantry X-710</t>
        </is>
      </c>
      <c r="D2709" s="58" t="inlineStr">
        <is>
          <t>Grocery</t>
        </is>
      </c>
      <c r="E2709" s="58" t="inlineStr">
        <is>
          <t>North</t>
        </is>
      </c>
      <c r="F2709" s="61" t="n">
        <v>6</v>
      </c>
      <c r="G2709" s="62" t="n">
        <v>5.97</v>
      </c>
      <c r="H2709" s="63" t="n">
        <v>0.107</v>
      </c>
      <c r="I2709" s="62" t="n">
        <v>4.26</v>
      </c>
      <c r="J2709" s="58" t="inlineStr">
        <is>
          <t>Store</t>
        </is>
      </c>
      <c r="K2709" s="62">
        <f>F2709*(G2709-H2709)</f>
        <v/>
      </c>
      <c r="L2709" s="62">
        <f>K2709-(F2709*I2709)</f>
        <v/>
      </c>
      <c r="M2709" s="64">
        <f>L2709/K2709</f>
        <v/>
      </c>
    </row>
    <row r="2710">
      <c r="A2710" s="58" t="inlineStr">
        <is>
          <t>RT20250311-02709</t>
        </is>
      </c>
      <c r="B2710" s="59" t="inlineStr">
        <is>
          <t>2025-03-11</t>
        </is>
      </c>
      <c r="C2710" s="60" t="inlineStr">
        <is>
          <t>Nimbus Cycling Plus-911</t>
        </is>
      </c>
      <c r="D2710" s="58" t="inlineStr">
        <is>
          <t>Sports</t>
        </is>
      </c>
      <c r="E2710" s="58" t="inlineStr">
        <is>
          <t>Central</t>
        </is>
      </c>
      <c r="F2710" s="61" t="n">
        <v>2</v>
      </c>
      <c r="G2710" s="62" t="n">
        <v>648.58</v>
      </c>
      <c r="H2710" s="63" t="n">
        <v>0.018</v>
      </c>
      <c r="I2710" s="62" t="n">
        <v>392.18</v>
      </c>
      <c r="J2710" s="58" t="inlineStr">
        <is>
          <t>Store</t>
        </is>
      </c>
      <c r="K2710" s="62">
        <f>F2710*(G2710-H2710)</f>
        <v/>
      </c>
      <c r="L2710" s="62">
        <f>K2710-(F2710*I2710)</f>
        <v/>
      </c>
      <c r="M2710" s="64">
        <f>L2710/K2710</f>
        <v/>
      </c>
    </row>
    <row r="2711">
      <c r="A2711" s="58" t="inlineStr">
        <is>
          <t>RT20250311-02710</t>
        </is>
      </c>
      <c r="B2711" s="59" t="inlineStr">
        <is>
          <t>2025-03-11</t>
        </is>
      </c>
      <c r="C2711" s="60" t="inlineStr">
        <is>
          <t>Polar Fragrance Pro-750</t>
        </is>
      </c>
      <c r="D2711" s="58" t="inlineStr">
        <is>
          <t>Beauty</t>
        </is>
      </c>
      <c r="E2711" s="58" t="inlineStr">
        <is>
          <t>East</t>
        </is>
      </c>
      <c r="F2711" s="61" t="n">
        <v>1</v>
      </c>
      <c r="G2711" s="62" t="n">
        <v>67.33</v>
      </c>
      <c r="H2711" s="63" t="n">
        <v>0.094</v>
      </c>
      <c r="I2711" s="62" t="n">
        <v>36.85</v>
      </c>
      <c r="J2711" s="58" t="inlineStr">
        <is>
          <t>Store</t>
        </is>
      </c>
      <c r="K2711" s="62">
        <f>F2711*(G2711-H2711)</f>
        <v/>
      </c>
      <c r="L2711" s="62">
        <f>K2711-(F2711*I2711)</f>
        <v/>
      </c>
      <c r="M2711" s="64">
        <f>L2711/K2711</f>
        <v/>
      </c>
    </row>
    <row r="2712">
      <c r="A2712" s="58" t="inlineStr">
        <is>
          <t>RT20250311-02711</t>
        </is>
      </c>
      <c r="B2712" s="59" t="inlineStr">
        <is>
          <t>2025-03-11</t>
        </is>
      </c>
      <c r="C2712" s="60" t="inlineStr">
        <is>
          <t>Orion Haircare Plus-887</t>
        </is>
      </c>
      <c r="D2712" s="58" t="inlineStr">
        <is>
          <t>Beauty</t>
        </is>
      </c>
      <c r="E2712" s="58" t="inlineStr">
        <is>
          <t>Central</t>
        </is>
      </c>
      <c r="F2712" s="61" t="n">
        <v>3</v>
      </c>
      <c r="G2712" s="62" t="n">
        <v>54.21</v>
      </c>
      <c r="H2712" s="63" t="n">
        <v>0.128</v>
      </c>
      <c r="I2712" s="62" t="n">
        <v>30.81</v>
      </c>
      <c r="J2712" s="58" t="inlineStr">
        <is>
          <t>Online</t>
        </is>
      </c>
      <c r="K2712" s="62">
        <f>F2712*(G2712-H2712)</f>
        <v/>
      </c>
      <c r="L2712" s="62">
        <f>K2712-(F2712*I2712)</f>
        <v/>
      </c>
      <c r="M2712" s="64">
        <f>L2712/K2712</f>
        <v/>
      </c>
    </row>
    <row r="2713">
      <c r="A2713" s="58" t="inlineStr">
        <is>
          <t>RT20250311-02712</t>
        </is>
      </c>
      <c r="B2713" s="59" t="inlineStr">
        <is>
          <t>2025-03-11</t>
        </is>
      </c>
      <c r="C2713" s="60" t="inlineStr">
        <is>
          <t>Orion Supplie S-612</t>
        </is>
      </c>
      <c r="D2713" s="58" t="inlineStr">
        <is>
          <t>Office</t>
        </is>
      </c>
      <c r="E2713" s="58" t="inlineStr">
        <is>
          <t>South</t>
        </is>
      </c>
      <c r="F2713" s="61" t="n">
        <v>2</v>
      </c>
      <c r="G2713" s="62" t="n">
        <v>496.21</v>
      </c>
      <c r="H2713" s="63" t="n">
        <v>0.102</v>
      </c>
      <c r="I2713" s="62" t="n">
        <v>333.24</v>
      </c>
      <c r="J2713" s="58" t="inlineStr">
        <is>
          <t>Online</t>
        </is>
      </c>
      <c r="K2713" s="62">
        <f>F2713*(G2713-H2713)</f>
        <v/>
      </c>
      <c r="L2713" s="62">
        <f>K2713-(F2713*I2713)</f>
        <v/>
      </c>
      <c r="M2713" s="64">
        <f>L2713/K2713</f>
        <v/>
      </c>
    </row>
    <row r="2714">
      <c r="A2714" s="58" t="inlineStr">
        <is>
          <t>RT20250311-02713</t>
        </is>
      </c>
      <c r="B2714" s="59" t="inlineStr">
        <is>
          <t>2025-03-11</t>
        </is>
      </c>
      <c r="C2714" s="60" t="inlineStr">
        <is>
          <t>Falcon Household Plus-172</t>
        </is>
      </c>
      <c r="D2714" s="58" t="inlineStr">
        <is>
          <t>Grocery</t>
        </is>
      </c>
      <c r="E2714" s="58" t="inlineStr">
        <is>
          <t>South</t>
        </is>
      </c>
      <c r="F2714" s="61" t="n">
        <v>1</v>
      </c>
      <c r="G2714" s="62" t="n">
        <v>19.87</v>
      </c>
      <c r="H2714" s="63" t="n">
        <v>0.119</v>
      </c>
      <c r="I2714" s="62" t="n">
        <v>16.54</v>
      </c>
      <c r="J2714" s="58" t="inlineStr">
        <is>
          <t>Online</t>
        </is>
      </c>
      <c r="K2714" s="62">
        <f>F2714*(G2714-H2714)</f>
        <v/>
      </c>
      <c r="L2714" s="62">
        <f>K2714-(F2714*I2714)</f>
        <v/>
      </c>
      <c r="M2714" s="64">
        <f>L2714/K2714</f>
        <v/>
      </c>
    </row>
    <row r="2715">
      <c r="A2715" s="58" t="inlineStr">
        <is>
          <t>RT20250311-02714</t>
        </is>
      </c>
      <c r="B2715" s="59" t="inlineStr">
        <is>
          <t>2025-03-11</t>
        </is>
      </c>
      <c r="C2715" s="60" t="inlineStr">
        <is>
          <t>Solace Makeup Pro-214</t>
        </is>
      </c>
      <c r="D2715" s="58" t="inlineStr">
        <is>
          <t>Beauty</t>
        </is>
      </c>
      <c r="E2715" s="58" t="inlineStr">
        <is>
          <t>East</t>
        </is>
      </c>
      <c r="F2715" s="61" t="n">
        <v>5</v>
      </c>
      <c r="G2715" s="62" t="n">
        <v>114.42</v>
      </c>
      <c r="H2715" s="63" t="n">
        <v>0.152</v>
      </c>
      <c r="I2715" s="62" t="n">
        <v>69.36</v>
      </c>
      <c r="J2715" s="58" t="inlineStr">
        <is>
          <t>Online</t>
        </is>
      </c>
      <c r="K2715" s="62">
        <f>F2715*(G2715-H2715)</f>
        <v/>
      </c>
      <c r="L2715" s="62">
        <f>K2715-(F2715*I2715)</f>
        <v/>
      </c>
      <c r="M2715" s="64">
        <f>L2715/K2715</f>
        <v/>
      </c>
    </row>
    <row r="2716">
      <c r="A2716" s="58" t="inlineStr">
        <is>
          <t>RT20250311-02715</t>
        </is>
      </c>
      <c r="B2716" s="59" t="inlineStr">
        <is>
          <t>2025-03-11</t>
        </is>
      </c>
      <c r="C2716" s="60" t="inlineStr">
        <is>
          <t>Falcon Skincare X-334</t>
        </is>
      </c>
      <c r="D2716" s="58" t="inlineStr">
        <is>
          <t>Beauty</t>
        </is>
      </c>
      <c r="E2716" s="58" t="inlineStr">
        <is>
          <t>West</t>
        </is>
      </c>
      <c r="F2716" s="61" t="n">
        <v>4</v>
      </c>
      <c r="G2716" s="62" t="n">
        <v>98.39</v>
      </c>
      <c r="H2716" s="63" t="n">
        <v>0.044</v>
      </c>
      <c r="I2716" s="62" t="n">
        <v>65.34999999999999</v>
      </c>
      <c r="J2716" s="58" t="inlineStr">
        <is>
          <t>Online</t>
        </is>
      </c>
      <c r="K2716" s="62">
        <f>F2716*(G2716-H2716)</f>
        <v/>
      </c>
      <c r="L2716" s="62">
        <f>K2716-(F2716*I2716)</f>
        <v/>
      </c>
      <c r="M2716" s="64">
        <f>L2716/K2716</f>
        <v/>
      </c>
    </row>
    <row r="2717">
      <c r="A2717" s="58" t="inlineStr">
        <is>
          <t>RT20250311-02716</t>
        </is>
      </c>
      <c r="B2717" s="59" t="inlineStr">
        <is>
          <t>2025-03-11</t>
        </is>
      </c>
      <c r="C2717" s="60" t="inlineStr">
        <is>
          <t>Aurora Makeup S-626</t>
        </is>
      </c>
      <c r="D2717" s="58" t="inlineStr">
        <is>
          <t>Beauty</t>
        </is>
      </c>
      <c r="E2717" s="58" t="inlineStr">
        <is>
          <t>West</t>
        </is>
      </c>
      <c r="F2717" s="61" t="n">
        <v>1</v>
      </c>
      <c r="G2717" s="62" t="n">
        <v>104.54</v>
      </c>
      <c r="H2717" s="63" t="n">
        <v>0.123</v>
      </c>
      <c r="I2717" s="62" t="n">
        <v>61.76</v>
      </c>
      <c r="J2717" s="58" t="inlineStr">
        <is>
          <t>Store</t>
        </is>
      </c>
      <c r="K2717" s="62">
        <f>F2717*(G2717-H2717)</f>
        <v/>
      </c>
      <c r="L2717" s="62">
        <f>K2717-(F2717*I2717)</f>
        <v/>
      </c>
      <c r="M2717" s="64">
        <f>L2717/K2717</f>
        <v/>
      </c>
    </row>
    <row r="2718">
      <c r="A2718" s="58" t="inlineStr">
        <is>
          <t>RT20250311-02717</t>
        </is>
      </c>
      <c r="B2718" s="59" t="inlineStr">
        <is>
          <t>2025-03-11</t>
        </is>
      </c>
      <c r="C2718" s="60" t="inlineStr">
        <is>
          <t>Falcon Storage X-734</t>
        </is>
      </c>
      <c r="D2718" s="58" t="inlineStr">
        <is>
          <t>Office</t>
        </is>
      </c>
      <c r="E2718" s="58" t="inlineStr">
        <is>
          <t>North</t>
        </is>
      </c>
      <c r="F2718" s="61" t="n">
        <v>1</v>
      </c>
      <c r="G2718" s="62" t="n">
        <v>395.06</v>
      </c>
      <c r="H2718" s="63" t="n">
        <v>0.055</v>
      </c>
      <c r="I2718" s="62" t="n">
        <v>279.5</v>
      </c>
      <c r="J2718" s="58" t="inlineStr">
        <is>
          <t>Store</t>
        </is>
      </c>
      <c r="K2718" s="62">
        <f>F2718*(G2718-H2718)</f>
        <v/>
      </c>
      <c r="L2718" s="62">
        <f>K2718-(F2718*I2718)</f>
        <v/>
      </c>
      <c r="M2718" s="64">
        <f>L2718/K2718</f>
        <v/>
      </c>
    </row>
    <row r="2719">
      <c r="A2719" s="58" t="inlineStr">
        <is>
          <t>RT20250311-02718</t>
        </is>
      </c>
      <c r="B2719" s="59" t="inlineStr">
        <is>
          <t>2025-03-11</t>
        </is>
      </c>
      <c r="C2719" s="60" t="inlineStr">
        <is>
          <t>Orion Snack X-322</t>
        </is>
      </c>
      <c r="D2719" s="58" t="inlineStr">
        <is>
          <t>Grocery</t>
        </is>
      </c>
      <c r="E2719" s="58" t="inlineStr">
        <is>
          <t>North</t>
        </is>
      </c>
      <c r="F2719" s="61" t="n">
        <v>7</v>
      </c>
      <c r="G2719" s="62" t="n">
        <v>14.74</v>
      </c>
      <c r="H2719" s="63" t="n">
        <v>0.125</v>
      </c>
      <c r="I2719" s="62" t="n">
        <v>10.31</v>
      </c>
      <c r="J2719" s="58" t="inlineStr">
        <is>
          <t>Online</t>
        </is>
      </c>
      <c r="K2719" s="62">
        <f>F2719*(G2719-H2719)</f>
        <v/>
      </c>
      <c r="L2719" s="62">
        <f>K2719-(F2719*I2719)</f>
        <v/>
      </c>
      <c r="M2719" s="64">
        <f>L2719/K2719</f>
        <v/>
      </c>
    </row>
    <row r="2720">
      <c r="A2720" s="58" t="inlineStr">
        <is>
          <t>RT20250311-02719</t>
        </is>
      </c>
      <c r="B2720" s="59" t="inlineStr">
        <is>
          <t>2025-03-11</t>
        </is>
      </c>
      <c r="C2720" s="60" t="inlineStr">
        <is>
          <t>Vertex Skincare Pro-891</t>
        </is>
      </c>
      <c r="D2720" s="58" t="inlineStr">
        <is>
          <t>Beauty</t>
        </is>
      </c>
      <c r="E2720" s="58" t="inlineStr">
        <is>
          <t>West</t>
        </is>
      </c>
      <c r="F2720" s="61" t="n">
        <v>1</v>
      </c>
      <c r="G2720" s="62" t="n">
        <v>140.75</v>
      </c>
      <c r="H2720" s="63" t="n">
        <v>0.094</v>
      </c>
      <c r="I2720" s="62" t="n">
        <v>85.8</v>
      </c>
      <c r="J2720" s="58" t="inlineStr">
        <is>
          <t>Online</t>
        </is>
      </c>
      <c r="K2720" s="62">
        <f>F2720*(G2720-H2720)</f>
        <v/>
      </c>
      <c r="L2720" s="62">
        <f>K2720-(F2720*I2720)</f>
        <v/>
      </c>
      <c r="M2720" s="64">
        <f>L2720/K2720</f>
        <v/>
      </c>
    </row>
    <row r="2721">
      <c r="A2721" s="58" t="inlineStr">
        <is>
          <t>RT20250311-02720</t>
        </is>
      </c>
      <c r="B2721" s="59" t="inlineStr">
        <is>
          <t>2025-03-11</t>
        </is>
      </c>
      <c r="C2721" s="60" t="inlineStr">
        <is>
          <t>Metro Printer X-294</t>
        </is>
      </c>
      <c r="D2721" s="58" t="inlineStr">
        <is>
          <t>Office</t>
        </is>
      </c>
      <c r="E2721" s="58" t="inlineStr">
        <is>
          <t>Central</t>
        </is>
      </c>
      <c r="F2721" s="61" t="n">
        <v>3</v>
      </c>
      <c r="G2721" s="62" t="n">
        <v>617.33</v>
      </c>
      <c r="H2721" s="63" t="n">
        <v>0.092</v>
      </c>
      <c r="I2721" s="62" t="n">
        <v>400.11</v>
      </c>
      <c r="J2721" s="58" t="inlineStr">
        <is>
          <t>Store</t>
        </is>
      </c>
      <c r="K2721" s="62">
        <f>F2721*(G2721-H2721)</f>
        <v/>
      </c>
      <c r="L2721" s="62">
        <f>K2721-(F2721*I2721)</f>
        <v/>
      </c>
      <c r="M2721" s="64">
        <f>L2721/K2721</f>
        <v/>
      </c>
    </row>
    <row r="2722">
      <c r="A2722" s="58" t="inlineStr">
        <is>
          <t>RT20250311-02721</t>
        </is>
      </c>
      <c r="B2722" s="59" t="inlineStr">
        <is>
          <t>2025-03-11</t>
        </is>
      </c>
      <c r="C2722" s="60" t="inlineStr">
        <is>
          <t>Vertex Smartphone Pro-256</t>
        </is>
      </c>
      <c r="D2722" s="58" t="inlineStr">
        <is>
          <t>Electronics</t>
        </is>
      </c>
      <c r="E2722" s="58" t="inlineStr">
        <is>
          <t>North</t>
        </is>
      </c>
      <c r="F2722" s="61" t="n">
        <v>1</v>
      </c>
      <c r="G2722" s="62" t="n">
        <v>1168.91</v>
      </c>
      <c r="H2722" s="63" t="n">
        <v>0.099</v>
      </c>
      <c r="I2722" s="62" t="n">
        <v>902.11</v>
      </c>
      <c r="J2722" s="58" t="inlineStr">
        <is>
          <t>Store</t>
        </is>
      </c>
      <c r="K2722" s="62">
        <f>F2722*(G2722-H2722)</f>
        <v/>
      </c>
      <c r="L2722" s="62">
        <f>K2722-(F2722*I2722)</f>
        <v/>
      </c>
      <c r="M2722" s="64">
        <f>L2722/K2722</f>
        <v/>
      </c>
    </row>
    <row r="2723">
      <c r="A2723" s="58" t="inlineStr">
        <is>
          <t>RT20250311-02722</t>
        </is>
      </c>
      <c r="B2723" s="59" t="inlineStr">
        <is>
          <t>2025-03-11</t>
        </is>
      </c>
      <c r="C2723" s="60" t="inlineStr">
        <is>
          <t>Polar Bedding Lite-243</t>
        </is>
      </c>
      <c r="D2723" s="58" t="inlineStr">
        <is>
          <t>Home</t>
        </is>
      </c>
      <c r="E2723" s="58" t="inlineStr">
        <is>
          <t>North</t>
        </is>
      </c>
      <c r="F2723" s="61" t="n">
        <v>2</v>
      </c>
      <c r="G2723" s="62" t="n">
        <v>497.17</v>
      </c>
      <c r="H2723" s="63" t="n">
        <v>0.095</v>
      </c>
      <c r="I2723" s="62" t="n">
        <v>314.91</v>
      </c>
      <c r="J2723" s="58" t="inlineStr">
        <is>
          <t>Store</t>
        </is>
      </c>
      <c r="K2723" s="62">
        <f>F2723*(G2723-H2723)</f>
        <v/>
      </c>
      <c r="L2723" s="62">
        <f>K2723-(F2723*I2723)</f>
        <v/>
      </c>
      <c r="M2723" s="64">
        <f>L2723/K2723</f>
        <v/>
      </c>
    </row>
    <row r="2724">
      <c r="A2724" s="58" t="inlineStr">
        <is>
          <t>RT20250311-02723</t>
        </is>
      </c>
      <c r="B2724" s="59" t="inlineStr">
        <is>
          <t>2025-03-11</t>
        </is>
      </c>
      <c r="C2724" s="60" t="inlineStr">
        <is>
          <t>Aurora Wearable Lite-704</t>
        </is>
      </c>
      <c r="D2724" s="58" t="inlineStr">
        <is>
          <t>Electronics</t>
        </is>
      </c>
      <c r="E2724" s="58" t="inlineStr">
        <is>
          <t>North</t>
        </is>
      </c>
      <c r="F2724" s="61" t="n">
        <v>2</v>
      </c>
      <c r="G2724" s="62" t="n">
        <v>1768.81</v>
      </c>
      <c r="H2724" s="63" t="n">
        <v>0.096</v>
      </c>
      <c r="I2724" s="62" t="n">
        <v>1416.75</v>
      </c>
      <c r="J2724" s="58" t="inlineStr">
        <is>
          <t>Online</t>
        </is>
      </c>
      <c r="K2724" s="62">
        <f>F2724*(G2724-H2724)</f>
        <v/>
      </c>
      <c r="L2724" s="62">
        <f>K2724-(F2724*I2724)</f>
        <v/>
      </c>
      <c r="M2724" s="64">
        <f>L2724/K2724</f>
        <v/>
      </c>
    </row>
    <row r="2725">
      <c r="A2725" s="58" t="inlineStr">
        <is>
          <t>RT20250311-02724</t>
        </is>
      </c>
      <c r="B2725" s="59" t="inlineStr">
        <is>
          <t>2025-03-11</t>
        </is>
      </c>
      <c r="C2725" s="60" t="inlineStr">
        <is>
          <t>Solace Laptop S-367</t>
        </is>
      </c>
      <c r="D2725" s="58" t="inlineStr">
        <is>
          <t>Electronics</t>
        </is>
      </c>
      <c r="E2725" s="58" t="inlineStr">
        <is>
          <t>South</t>
        </is>
      </c>
      <c r="F2725" s="61" t="n">
        <v>1</v>
      </c>
      <c r="G2725" s="62" t="n">
        <v>1938.28</v>
      </c>
      <c r="H2725" s="63" t="n">
        <v>0.115</v>
      </c>
      <c r="I2725" s="62" t="n">
        <v>1598.39</v>
      </c>
      <c r="J2725" s="58" t="inlineStr">
        <is>
          <t>Online</t>
        </is>
      </c>
      <c r="K2725" s="62">
        <f>F2725*(G2725-H2725)</f>
        <v/>
      </c>
      <c r="L2725" s="62">
        <f>K2725-(F2725*I2725)</f>
        <v/>
      </c>
      <c r="M2725" s="64">
        <f>L2725/K2725</f>
        <v/>
      </c>
    </row>
    <row r="2726">
      <c r="A2726" s="58" t="inlineStr">
        <is>
          <t>RT20250311-02725</t>
        </is>
      </c>
      <c r="B2726" s="59" t="inlineStr">
        <is>
          <t>2025-03-11</t>
        </is>
      </c>
      <c r="C2726" s="60" t="inlineStr">
        <is>
          <t>Nimbus Laptop Max-652</t>
        </is>
      </c>
      <c r="D2726" s="58" t="inlineStr">
        <is>
          <t>Electronics</t>
        </is>
      </c>
      <c r="E2726" s="58" t="inlineStr">
        <is>
          <t>West</t>
        </is>
      </c>
      <c r="F2726" s="61" t="n">
        <v>2</v>
      </c>
      <c r="G2726" s="62" t="n">
        <v>1273</v>
      </c>
      <c r="H2726" s="63" t="n">
        <v>0.08799999999999999</v>
      </c>
      <c r="I2726" s="62" t="n">
        <v>1036.98</v>
      </c>
      <c r="J2726" s="58" t="inlineStr">
        <is>
          <t>Online</t>
        </is>
      </c>
      <c r="K2726" s="62">
        <f>F2726*(G2726-H2726)</f>
        <v/>
      </c>
      <c r="L2726" s="62">
        <f>K2726-(F2726*I2726)</f>
        <v/>
      </c>
      <c r="M2726" s="64">
        <f>L2726/K2726</f>
        <v/>
      </c>
    </row>
    <row r="2727">
      <c r="A2727" s="58" t="inlineStr">
        <is>
          <t>RT20250311-02726</t>
        </is>
      </c>
      <c r="B2727" s="59" t="inlineStr">
        <is>
          <t>2025-03-11</t>
        </is>
      </c>
      <c r="C2727" s="60" t="inlineStr">
        <is>
          <t>Falcon Furniture Plus-839</t>
        </is>
      </c>
      <c r="D2727" s="58" t="inlineStr">
        <is>
          <t>Office</t>
        </is>
      </c>
      <c r="E2727" s="58" t="inlineStr">
        <is>
          <t>West</t>
        </is>
      </c>
      <c r="F2727" s="61" t="n">
        <v>3</v>
      </c>
      <c r="G2727" s="62" t="n">
        <v>297.84</v>
      </c>
      <c r="H2727" s="63" t="n">
        <v>0.117</v>
      </c>
      <c r="I2727" s="62" t="n">
        <v>222.28</v>
      </c>
      <c r="J2727" s="58" t="inlineStr">
        <is>
          <t>Online</t>
        </is>
      </c>
      <c r="K2727" s="62">
        <f>F2727*(G2727-H2727)</f>
        <v/>
      </c>
      <c r="L2727" s="62">
        <f>K2727-(F2727*I2727)</f>
        <v/>
      </c>
      <c r="M2727" s="64">
        <f>L2727/K2727</f>
        <v/>
      </c>
    </row>
    <row r="2728">
      <c r="A2728" s="58" t="inlineStr">
        <is>
          <t>RT20250311-02727</t>
        </is>
      </c>
      <c r="B2728" s="59" t="inlineStr">
        <is>
          <t>2025-03-11</t>
        </is>
      </c>
      <c r="C2728" s="60" t="inlineStr">
        <is>
          <t>Vertex Supplie X-513</t>
        </is>
      </c>
      <c r="D2728" s="58" t="inlineStr">
        <is>
          <t>Office</t>
        </is>
      </c>
      <c r="E2728" s="58" t="inlineStr">
        <is>
          <t>Central</t>
        </is>
      </c>
      <c r="F2728" s="61" t="n">
        <v>3</v>
      </c>
      <c r="G2728" s="62" t="n">
        <v>411.78</v>
      </c>
      <c r="H2728" s="63" t="n">
        <v>0.053</v>
      </c>
      <c r="I2728" s="62" t="n">
        <v>274.22</v>
      </c>
      <c r="J2728" s="58" t="inlineStr">
        <is>
          <t>Store</t>
        </is>
      </c>
      <c r="K2728" s="62">
        <f>F2728*(G2728-H2728)</f>
        <v/>
      </c>
      <c r="L2728" s="62">
        <f>K2728-(F2728*I2728)</f>
        <v/>
      </c>
      <c r="M2728" s="64">
        <f>L2728/K2728</f>
        <v/>
      </c>
    </row>
    <row r="2729">
      <c r="A2729" s="58" t="inlineStr">
        <is>
          <t>RT20250311-02728</t>
        </is>
      </c>
      <c r="B2729" s="59" t="inlineStr">
        <is>
          <t>2025-03-11</t>
        </is>
      </c>
      <c r="C2729" s="60" t="inlineStr">
        <is>
          <t>Orion Beverage Plus-949</t>
        </is>
      </c>
      <c r="D2729" s="58" t="inlineStr">
        <is>
          <t>Grocery</t>
        </is>
      </c>
      <c r="E2729" s="58" t="inlineStr">
        <is>
          <t>West</t>
        </is>
      </c>
      <c r="F2729" s="61" t="n">
        <v>3</v>
      </c>
      <c r="G2729" s="62" t="n">
        <v>20.55</v>
      </c>
      <c r="H2729" s="63" t="n">
        <v>0.128</v>
      </c>
      <c r="I2729" s="62" t="n">
        <v>13.75</v>
      </c>
      <c r="J2729" s="58" t="inlineStr">
        <is>
          <t>Online</t>
        </is>
      </c>
      <c r="K2729" s="62">
        <f>F2729*(G2729-H2729)</f>
        <v/>
      </c>
      <c r="L2729" s="62">
        <f>K2729-(F2729*I2729)</f>
        <v/>
      </c>
      <c r="M2729" s="64">
        <f>L2729/K2729</f>
        <v/>
      </c>
    </row>
    <row r="2730">
      <c r="A2730" s="58" t="inlineStr">
        <is>
          <t>RT20250311-02729</t>
        </is>
      </c>
      <c r="B2730" s="59" t="inlineStr">
        <is>
          <t>2025-03-11</t>
        </is>
      </c>
      <c r="C2730" s="60" t="inlineStr">
        <is>
          <t>Nimbus Cycling Plus-911</t>
        </is>
      </c>
      <c r="D2730" s="58" t="inlineStr">
        <is>
          <t>Sports</t>
        </is>
      </c>
      <c r="E2730" s="58" t="inlineStr">
        <is>
          <t>South</t>
        </is>
      </c>
      <c r="F2730" s="61" t="n">
        <v>2</v>
      </c>
      <c r="G2730" s="62" t="n">
        <v>588.09</v>
      </c>
      <c r="H2730" s="63" t="n">
        <v>0.08400000000000001</v>
      </c>
      <c r="I2730" s="62" t="n">
        <v>401.22</v>
      </c>
      <c r="J2730" s="58" t="inlineStr">
        <is>
          <t>Store</t>
        </is>
      </c>
      <c r="K2730" s="62">
        <f>F2730*(G2730-H2730)</f>
        <v/>
      </c>
      <c r="L2730" s="62">
        <f>K2730-(F2730*I2730)</f>
        <v/>
      </c>
      <c r="M2730" s="64">
        <f>L2730/K2730</f>
        <v/>
      </c>
    </row>
    <row r="2731">
      <c r="A2731" s="58" t="inlineStr">
        <is>
          <t>RT20250311-02730</t>
        </is>
      </c>
      <c r="B2731" s="59" t="inlineStr">
        <is>
          <t>2025-03-11</t>
        </is>
      </c>
      <c r="C2731" s="60" t="inlineStr">
        <is>
          <t>Falcon Beverage Max-702</t>
        </is>
      </c>
      <c r="D2731" s="58" t="inlineStr">
        <is>
          <t>Grocery</t>
        </is>
      </c>
      <c r="E2731" s="58" t="inlineStr">
        <is>
          <t>West</t>
        </is>
      </c>
      <c r="F2731" s="61" t="n">
        <v>5</v>
      </c>
      <c r="G2731" s="62" t="n">
        <v>24.59</v>
      </c>
      <c r="H2731" s="63" t="n">
        <v>0.044</v>
      </c>
      <c r="I2731" s="62" t="n">
        <v>20.51</v>
      </c>
      <c r="J2731" s="58" t="inlineStr">
        <is>
          <t>Online</t>
        </is>
      </c>
      <c r="K2731" s="62">
        <f>F2731*(G2731-H2731)</f>
        <v/>
      </c>
      <c r="L2731" s="62">
        <f>K2731-(F2731*I2731)</f>
        <v/>
      </c>
      <c r="M2731" s="64">
        <f>L2731/K2731</f>
        <v/>
      </c>
    </row>
    <row r="2732">
      <c r="A2732" s="58" t="inlineStr">
        <is>
          <t>RT20250311-02731</t>
        </is>
      </c>
      <c r="B2732" s="59" t="inlineStr">
        <is>
          <t>2025-03-11</t>
        </is>
      </c>
      <c r="C2732" s="60" t="inlineStr">
        <is>
          <t>Aurora Kid Plus-151</t>
        </is>
      </c>
      <c r="D2732" s="58" t="inlineStr">
        <is>
          <t>Apparel</t>
        </is>
      </c>
      <c r="E2732" s="58" t="inlineStr">
        <is>
          <t>Central</t>
        </is>
      </c>
      <c r="F2732" s="61" t="n">
        <v>3</v>
      </c>
      <c r="G2732" s="62" t="n">
        <v>120.61</v>
      </c>
      <c r="H2732" s="63" t="n">
        <v>0.16</v>
      </c>
      <c r="I2732" s="62" t="n">
        <v>64.59</v>
      </c>
      <c r="J2732" s="58" t="inlineStr">
        <is>
          <t>Store</t>
        </is>
      </c>
      <c r="K2732" s="62">
        <f>F2732*(G2732-H2732)</f>
        <v/>
      </c>
      <c r="L2732" s="62">
        <f>K2732-(F2732*I2732)</f>
        <v/>
      </c>
      <c r="M2732" s="64">
        <f>L2732/K2732</f>
        <v/>
      </c>
    </row>
    <row r="2733">
      <c r="A2733" s="58" t="inlineStr">
        <is>
          <t>RT20250311-02732</t>
        </is>
      </c>
      <c r="B2733" s="59" t="inlineStr">
        <is>
          <t>2025-03-11</t>
        </is>
      </c>
      <c r="C2733" s="60" t="inlineStr">
        <is>
          <t>Aurora Bedding Plus-187</t>
        </is>
      </c>
      <c r="D2733" s="58" t="inlineStr">
        <is>
          <t>Home</t>
        </is>
      </c>
      <c r="E2733" s="58" t="inlineStr">
        <is>
          <t>South</t>
        </is>
      </c>
      <c r="F2733" s="61" t="n">
        <v>1</v>
      </c>
      <c r="G2733" s="62" t="n">
        <v>356.26</v>
      </c>
      <c r="H2733" s="63" t="n">
        <v>0.163</v>
      </c>
      <c r="I2733" s="62" t="n">
        <v>203.78</v>
      </c>
      <c r="J2733" s="58" t="inlineStr">
        <is>
          <t>Store</t>
        </is>
      </c>
      <c r="K2733" s="62">
        <f>F2733*(G2733-H2733)</f>
        <v/>
      </c>
      <c r="L2733" s="62">
        <f>K2733-(F2733*I2733)</f>
        <v/>
      </c>
      <c r="M2733" s="64">
        <f>L2733/K2733</f>
        <v/>
      </c>
    </row>
    <row r="2734">
      <c r="A2734" s="58" t="inlineStr">
        <is>
          <t>RT20250311-02733</t>
        </is>
      </c>
      <c r="B2734" s="59" t="inlineStr">
        <is>
          <t>2025-03-11</t>
        </is>
      </c>
      <c r="C2734" s="60" t="inlineStr">
        <is>
          <t>Metro Laptop Plus-376</t>
        </is>
      </c>
      <c r="D2734" s="58" t="inlineStr">
        <is>
          <t>Electronics</t>
        </is>
      </c>
      <c r="E2734" s="58" t="inlineStr">
        <is>
          <t>East</t>
        </is>
      </c>
      <c r="F2734" s="61" t="n">
        <v>2</v>
      </c>
      <c r="G2734" s="62" t="n">
        <v>1401.2</v>
      </c>
      <c r="H2734" s="63" t="n">
        <v>0.089</v>
      </c>
      <c r="I2734" s="62" t="n">
        <v>1063.15</v>
      </c>
      <c r="J2734" s="58" t="inlineStr">
        <is>
          <t>Store</t>
        </is>
      </c>
      <c r="K2734" s="62">
        <f>F2734*(G2734-H2734)</f>
        <v/>
      </c>
      <c r="L2734" s="62">
        <f>K2734-(F2734*I2734)</f>
        <v/>
      </c>
      <c r="M2734" s="64">
        <f>L2734/K2734</f>
        <v/>
      </c>
    </row>
    <row r="2735">
      <c r="A2735" s="58" t="inlineStr">
        <is>
          <t>RT20250311-02734</t>
        </is>
      </c>
      <c r="B2735" s="59" t="inlineStr">
        <is>
          <t>2025-03-11</t>
        </is>
      </c>
      <c r="C2735" s="60" t="inlineStr">
        <is>
          <t>Metro Beverage Max-490</t>
        </is>
      </c>
      <c r="D2735" s="58" t="inlineStr">
        <is>
          <t>Grocery</t>
        </is>
      </c>
      <c r="E2735" s="58" t="inlineStr">
        <is>
          <t>East</t>
        </is>
      </c>
      <c r="F2735" s="61" t="n">
        <v>5</v>
      </c>
      <c r="G2735" s="62" t="n">
        <v>10.69</v>
      </c>
      <c r="H2735" s="63" t="n">
        <v>0.121</v>
      </c>
      <c r="I2735" s="62" t="n">
        <v>7.94</v>
      </c>
      <c r="J2735" s="58" t="inlineStr">
        <is>
          <t>Online</t>
        </is>
      </c>
      <c r="K2735" s="62">
        <f>F2735*(G2735-H2735)</f>
        <v/>
      </c>
      <c r="L2735" s="62">
        <f>K2735-(F2735*I2735)</f>
        <v/>
      </c>
      <c r="M2735" s="64">
        <f>L2735/K2735</f>
        <v/>
      </c>
    </row>
    <row r="2736">
      <c r="A2736" s="58" t="inlineStr">
        <is>
          <t>RT20250311-02735</t>
        </is>
      </c>
      <c r="B2736" s="59" t="inlineStr">
        <is>
          <t>2025-03-11</t>
        </is>
      </c>
      <c r="C2736" s="60" t="inlineStr">
        <is>
          <t>Orion Supplie S-612</t>
        </is>
      </c>
      <c r="D2736" s="58" t="inlineStr">
        <is>
          <t>Office</t>
        </is>
      </c>
      <c r="E2736" s="58" t="inlineStr">
        <is>
          <t>East</t>
        </is>
      </c>
      <c r="F2736" s="61" t="n">
        <v>2</v>
      </c>
      <c r="G2736" s="62" t="n">
        <v>482.89</v>
      </c>
      <c r="H2736" s="63" t="n">
        <v>0.08400000000000001</v>
      </c>
      <c r="I2736" s="62" t="n">
        <v>341.43</v>
      </c>
      <c r="J2736" s="58" t="inlineStr">
        <is>
          <t>Phone</t>
        </is>
      </c>
      <c r="K2736" s="62">
        <f>F2736*(G2736-H2736)</f>
        <v/>
      </c>
      <c r="L2736" s="62">
        <f>K2736-(F2736*I2736)</f>
        <v/>
      </c>
      <c r="M2736" s="64">
        <f>L2736/K2736</f>
        <v/>
      </c>
    </row>
    <row r="2737">
      <c r="A2737" s="58" t="inlineStr">
        <is>
          <t>RT20250311-02736</t>
        </is>
      </c>
      <c r="B2737" s="59" t="inlineStr">
        <is>
          <t>2025-03-11</t>
        </is>
      </c>
      <c r="C2737" s="60" t="inlineStr">
        <is>
          <t>Orion Kid Max-864</t>
        </is>
      </c>
      <c r="D2737" s="58" t="inlineStr">
        <is>
          <t>Apparel</t>
        </is>
      </c>
      <c r="E2737" s="58" t="inlineStr">
        <is>
          <t>East</t>
        </is>
      </c>
      <c r="F2737" s="61" t="n">
        <v>3</v>
      </c>
      <c r="G2737" s="62" t="n">
        <v>76.34</v>
      </c>
      <c r="H2737" s="63" t="n">
        <v>0.124</v>
      </c>
      <c r="I2737" s="62" t="n">
        <v>44.5</v>
      </c>
      <c r="J2737" s="58" t="inlineStr">
        <is>
          <t>Online</t>
        </is>
      </c>
      <c r="K2737" s="62">
        <f>F2737*(G2737-H2737)</f>
        <v/>
      </c>
      <c r="L2737" s="62">
        <f>K2737-(F2737*I2737)</f>
        <v/>
      </c>
      <c r="M2737" s="64">
        <f>L2737/K2737</f>
        <v/>
      </c>
    </row>
    <row r="2738">
      <c r="A2738" s="58" t="inlineStr">
        <is>
          <t>RT20250311-02737</t>
        </is>
      </c>
      <c r="B2738" s="59" t="inlineStr">
        <is>
          <t>2025-03-11</t>
        </is>
      </c>
      <c r="C2738" s="60" t="inlineStr">
        <is>
          <t>Aurora Bedding Plus-187</t>
        </is>
      </c>
      <c r="D2738" s="58" t="inlineStr">
        <is>
          <t>Home</t>
        </is>
      </c>
      <c r="E2738" s="58" t="inlineStr">
        <is>
          <t>East</t>
        </is>
      </c>
      <c r="F2738" s="61" t="n">
        <v>1</v>
      </c>
      <c r="G2738" s="62" t="n">
        <v>328.52</v>
      </c>
      <c r="H2738" s="63" t="n">
        <v>0.05</v>
      </c>
      <c r="I2738" s="62" t="n">
        <v>208.29</v>
      </c>
      <c r="J2738" s="58" t="inlineStr">
        <is>
          <t>Online</t>
        </is>
      </c>
      <c r="K2738" s="62">
        <f>F2738*(G2738-H2738)</f>
        <v/>
      </c>
      <c r="L2738" s="62">
        <f>K2738-(F2738*I2738)</f>
        <v/>
      </c>
      <c r="M2738" s="64">
        <f>L2738/K2738</f>
        <v/>
      </c>
    </row>
    <row r="2739">
      <c r="A2739" s="58" t="inlineStr">
        <is>
          <t>RT20250311-02738</t>
        </is>
      </c>
      <c r="B2739" s="59" t="inlineStr">
        <is>
          <t>2025-03-11</t>
        </is>
      </c>
      <c r="C2739" s="60" t="inlineStr">
        <is>
          <t>Aurora Team Sport Plus-256</t>
        </is>
      </c>
      <c r="D2739" s="58" t="inlineStr">
        <is>
          <t>Sports</t>
        </is>
      </c>
      <c r="E2739" s="58" t="inlineStr">
        <is>
          <t>East</t>
        </is>
      </c>
      <c r="F2739" s="61" t="n">
        <v>3</v>
      </c>
      <c r="G2739" s="62" t="n">
        <v>633.23</v>
      </c>
      <c r="H2739" s="63" t="n">
        <v>0.118</v>
      </c>
      <c r="I2739" s="62" t="n">
        <v>421.37</v>
      </c>
      <c r="J2739" s="58" t="inlineStr">
        <is>
          <t>Online</t>
        </is>
      </c>
      <c r="K2739" s="62">
        <f>F2739*(G2739-H2739)</f>
        <v/>
      </c>
      <c r="L2739" s="62">
        <f>K2739-(F2739*I2739)</f>
        <v/>
      </c>
      <c r="M2739" s="64">
        <f>L2739/K2739</f>
        <v/>
      </c>
    </row>
    <row r="2740">
      <c r="A2740" s="58" t="inlineStr">
        <is>
          <t>RT20250311-02739</t>
        </is>
      </c>
      <c r="B2740" s="59" t="inlineStr">
        <is>
          <t>2025-03-11</t>
        </is>
      </c>
      <c r="C2740" s="60" t="inlineStr">
        <is>
          <t>Metro Smartphone Max-773</t>
        </is>
      </c>
      <c r="D2740" s="58" t="inlineStr">
        <is>
          <t>Electronics</t>
        </is>
      </c>
      <c r="E2740" s="58" t="inlineStr">
        <is>
          <t>South</t>
        </is>
      </c>
      <c r="F2740" s="61" t="n">
        <v>2</v>
      </c>
      <c r="G2740" s="62" t="n">
        <v>1504.28</v>
      </c>
      <c r="H2740" s="63" t="n">
        <v>0.067</v>
      </c>
      <c r="I2740" s="62" t="n">
        <v>1137.68</v>
      </c>
      <c r="J2740" s="58" t="inlineStr">
        <is>
          <t>Online</t>
        </is>
      </c>
      <c r="K2740" s="62">
        <f>F2740*(G2740-H2740)</f>
        <v/>
      </c>
      <c r="L2740" s="62">
        <f>K2740-(F2740*I2740)</f>
        <v/>
      </c>
      <c r="M2740" s="64">
        <f>L2740/K2740</f>
        <v/>
      </c>
    </row>
    <row r="2741">
      <c r="A2741" s="58" t="inlineStr">
        <is>
          <t>RT20250311-02740</t>
        </is>
      </c>
      <c r="B2741" s="59" t="inlineStr">
        <is>
          <t>2025-03-11</t>
        </is>
      </c>
      <c r="C2741" s="60" t="inlineStr">
        <is>
          <t>Falcon Bedding S-674</t>
        </is>
      </c>
      <c r="D2741" s="58" t="inlineStr">
        <is>
          <t>Home</t>
        </is>
      </c>
      <c r="E2741" s="58" t="inlineStr">
        <is>
          <t>West</t>
        </is>
      </c>
      <c r="F2741" s="61" t="n">
        <v>2</v>
      </c>
      <c r="G2741" s="62" t="n">
        <v>676.02</v>
      </c>
      <c r="H2741" s="63" t="n">
        <v>0.061</v>
      </c>
      <c r="I2741" s="62" t="n">
        <v>447.24</v>
      </c>
      <c r="J2741" s="58" t="inlineStr">
        <is>
          <t>Store</t>
        </is>
      </c>
      <c r="K2741" s="62">
        <f>F2741*(G2741-H2741)</f>
        <v/>
      </c>
      <c r="L2741" s="62">
        <f>K2741-(F2741*I2741)</f>
        <v/>
      </c>
      <c r="M2741" s="64">
        <f>L2741/K2741</f>
        <v/>
      </c>
    </row>
    <row r="2742">
      <c r="A2742" s="58" t="inlineStr">
        <is>
          <t>RT20250311-02741</t>
        </is>
      </c>
      <c r="B2742" s="59" t="inlineStr">
        <is>
          <t>2025-03-11</t>
        </is>
      </c>
      <c r="C2742" s="60" t="inlineStr">
        <is>
          <t>Falcon Household Plus-796</t>
        </is>
      </c>
      <c r="D2742" s="58" t="inlineStr">
        <is>
          <t>Grocery</t>
        </is>
      </c>
      <c r="E2742" s="58" t="inlineStr">
        <is>
          <t>South</t>
        </is>
      </c>
      <c r="F2742" s="61" t="n">
        <v>5</v>
      </c>
      <c r="G2742" s="62" t="n">
        <v>21</v>
      </c>
      <c r="H2742" s="63" t="n">
        <v>0.08799999999999999</v>
      </c>
      <c r="I2742" s="62" t="n">
        <v>17.56</v>
      </c>
      <c r="J2742" s="58" t="inlineStr">
        <is>
          <t>Online</t>
        </is>
      </c>
      <c r="K2742" s="62">
        <f>F2742*(G2742-H2742)</f>
        <v/>
      </c>
      <c r="L2742" s="62">
        <f>K2742-(F2742*I2742)</f>
        <v/>
      </c>
      <c r="M2742" s="64">
        <f>L2742/K2742</f>
        <v/>
      </c>
    </row>
    <row r="2743">
      <c r="A2743" s="58" t="inlineStr">
        <is>
          <t>RT20250312-02742</t>
        </is>
      </c>
      <c r="B2743" s="59" t="inlineStr">
        <is>
          <t>2025-03-12</t>
        </is>
      </c>
      <c r="C2743" s="60" t="inlineStr">
        <is>
          <t>Metro Accessorie Max-316</t>
        </is>
      </c>
      <c r="D2743" s="58" t="inlineStr">
        <is>
          <t>Apparel</t>
        </is>
      </c>
      <c r="E2743" s="58" t="inlineStr">
        <is>
          <t>North</t>
        </is>
      </c>
      <c r="F2743" s="61" t="n">
        <v>2</v>
      </c>
      <c r="G2743" s="62" t="n">
        <v>138.69</v>
      </c>
      <c r="H2743" s="63" t="n">
        <v>0.07099999999999999</v>
      </c>
      <c r="I2743" s="62" t="n">
        <v>90.66</v>
      </c>
      <c r="J2743" s="58" t="inlineStr">
        <is>
          <t>Online</t>
        </is>
      </c>
      <c r="K2743" s="62">
        <f>F2743*(G2743-H2743)</f>
        <v/>
      </c>
      <c r="L2743" s="62">
        <f>K2743-(F2743*I2743)</f>
        <v/>
      </c>
      <c r="M2743" s="64">
        <f>L2743/K2743</f>
        <v/>
      </c>
    </row>
    <row r="2744">
      <c r="A2744" s="58" t="inlineStr">
        <is>
          <t>RT20250312-02743</t>
        </is>
      </c>
      <c r="B2744" s="59" t="inlineStr">
        <is>
          <t>2025-03-12</t>
        </is>
      </c>
      <c r="C2744" s="60" t="inlineStr">
        <is>
          <t>Falcon Wearable X-334</t>
        </is>
      </c>
      <c r="D2744" s="58" t="inlineStr">
        <is>
          <t>Electronics</t>
        </is>
      </c>
      <c r="E2744" s="58" t="inlineStr">
        <is>
          <t>East</t>
        </is>
      </c>
      <c r="F2744" s="61" t="n">
        <v>1</v>
      </c>
      <c r="G2744" s="62" t="n">
        <v>1830.15</v>
      </c>
      <c r="H2744" s="63" t="n">
        <v>0.061</v>
      </c>
      <c r="I2744" s="62" t="n">
        <v>1494.03</v>
      </c>
      <c r="J2744" s="58" t="inlineStr">
        <is>
          <t>Online</t>
        </is>
      </c>
      <c r="K2744" s="62">
        <f>F2744*(G2744-H2744)</f>
        <v/>
      </c>
      <c r="L2744" s="62">
        <f>K2744-(F2744*I2744)</f>
        <v/>
      </c>
      <c r="M2744" s="64">
        <f>L2744/K2744</f>
        <v/>
      </c>
    </row>
    <row r="2745">
      <c r="A2745" s="58" t="inlineStr">
        <is>
          <t>RT20250312-02744</t>
        </is>
      </c>
      <c r="B2745" s="59" t="inlineStr">
        <is>
          <t>2025-03-12</t>
        </is>
      </c>
      <c r="C2745" s="60" t="inlineStr">
        <is>
          <t>Solace Team Sport Max-548</t>
        </is>
      </c>
      <c r="D2745" s="58" t="inlineStr">
        <is>
          <t>Sports</t>
        </is>
      </c>
      <c r="E2745" s="58" t="inlineStr">
        <is>
          <t>North</t>
        </is>
      </c>
      <c r="F2745" s="61" t="n">
        <v>1</v>
      </c>
      <c r="G2745" s="62" t="n">
        <v>820.92</v>
      </c>
      <c r="H2745" s="63" t="n">
        <v>0.08500000000000001</v>
      </c>
      <c r="I2745" s="62" t="n">
        <v>478.81</v>
      </c>
      <c r="J2745" s="58" t="inlineStr">
        <is>
          <t>Store</t>
        </is>
      </c>
      <c r="K2745" s="62">
        <f>F2745*(G2745-H2745)</f>
        <v/>
      </c>
      <c r="L2745" s="62">
        <f>K2745-(F2745*I2745)</f>
        <v/>
      </c>
      <c r="M2745" s="64">
        <f>L2745/K2745</f>
        <v/>
      </c>
    </row>
    <row r="2746">
      <c r="A2746" s="58" t="inlineStr">
        <is>
          <t>RT20250312-02745</t>
        </is>
      </c>
      <c r="B2746" s="59" t="inlineStr">
        <is>
          <t>2025-03-12</t>
        </is>
      </c>
      <c r="C2746" s="60" t="inlineStr">
        <is>
          <t>Nimbus Headphone X-854</t>
        </is>
      </c>
      <c r="D2746" s="58" t="inlineStr">
        <is>
          <t>Electronics</t>
        </is>
      </c>
      <c r="E2746" s="58" t="inlineStr">
        <is>
          <t>Central</t>
        </is>
      </c>
      <c r="F2746" s="61" t="n">
        <v>2</v>
      </c>
      <c r="G2746" s="62" t="n">
        <v>1509.63</v>
      </c>
      <c r="H2746" s="63" t="n">
        <v>0.159</v>
      </c>
      <c r="I2746" s="62" t="n">
        <v>1232.62</v>
      </c>
      <c r="J2746" s="58" t="inlineStr">
        <is>
          <t>Online</t>
        </is>
      </c>
      <c r="K2746" s="62">
        <f>F2746*(G2746-H2746)</f>
        <v/>
      </c>
      <c r="L2746" s="62">
        <f>K2746-(F2746*I2746)</f>
        <v/>
      </c>
      <c r="M2746" s="64">
        <f>L2746/K2746</f>
        <v/>
      </c>
    </row>
    <row r="2747">
      <c r="A2747" s="58" t="inlineStr">
        <is>
          <t>RT20250312-02746</t>
        </is>
      </c>
      <c r="B2747" s="59" t="inlineStr">
        <is>
          <t>2025-03-12</t>
        </is>
      </c>
      <c r="C2747" s="60" t="inlineStr">
        <is>
          <t>Vertex Pantry Pro-165</t>
        </is>
      </c>
      <c r="D2747" s="58" t="inlineStr">
        <is>
          <t>Grocery</t>
        </is>
      </c>
      <c r="E2747" s="58" t="inlineStr">
        <is>
          <t>Central</t>
        </is>
      </c>
      <c r="F2747" s="61" t="n">
        <v>6</v>
      </c>
      <c r="G2747" s="62" t="n">
        <v>14.46</v>
      </c>
      <c r="H2747" s="63" t="n">
        <v>0.117</v>
      </c>
      <c r="I2747" s="62" t="n">
        <v>11.92</v>
      </c>
      <c r="J2747" s="58" t="inlineStr">
        <is>
          <t>Store</t>
        </is>
      </c>
      <c r="K2747" s="62">
        <f>F2747*(G2747-H2747)</f>
        <v/>
      </c>
      <c r="L2747" s="62">
        <f>K2747-(F2747*I2747)</f>
        <v/>
      </c>
      <c r="M2747" s="64">
        <f>L2747/K2747</f>
        <v/>
      </c>
    </row>
    <row r="2748">
      <c r="A2748" s="58" t="inlineStr">
        <is>
          <t>RT20250312-02747</t>
        </is>
      </c>
      <c r="B2748" s="59" t="inlineStr">
        <is>
          <t>2025-03-12</t>
        </is>
      </c>
      <c r="C2748" s="60" t="inlineStr">
        <is>
          <t>Aurora Bedding Plus-187</t>
        </is>
      </c>
      <c r="D2748" s="58" t="inlineStr">
        <is>
          <t>Home</t>
        </is>
      </c>
      <c r="E2748" s="58" t="inlineStr">
        <is>
          <t>North</t>
        </is>
      </c>
      <c r="F2748" s="61" t="n">
        <v>3</v>
      </c>
      <c r="G2748" s="62" t="n">
        <v>303.27</v>
      </c>
      <c r="H2748" s="63" t="n">
        <v>0.07199999999999999</v>
      </c>
      <c r="I2748" s="62" t="n">
        <v>215.53</v>
      </c>
      <c r="J2748" s="58" t="inlineStr">
        <is>
          <t>Online</t>
        </is>
      </c>
      <c r="K2748" s="62">
        <f>F2748*(G2748-H2748)</f>
        <v/>
      </c>
      <c r="L2748" s="62">
        <f>K2748-(F2748*I2748)</f>
        <v/>
      </c>
      <c r="M2748" s="64">
        <f>L2748/K2748</f>
        <v/>
      </c>
    </row>
    <row r="2749">
      <c r="A2749" s="58" t="inlineStr">
        <is>
          <t>RT20250312-02748</t>
        </is>
      </c>
      <c r="B2749" s="59" t="inlineStr">
        <is>
          <t>2025-03-12</t>
        </is>
      </c>
      <c r="C2749" s="60" t="inlineStr">
        <is>
          <t>Orion Beverage Plus-949</t>
        </is>
      </c>
      <c r="D2749" s="58" t="inlineStr">
        <is>
          <t>Grocery</t>
        </is>
      </c>
      <c r="E2749" s="58" t="inlineStr">
        <is>
          <t>Central</t>
        </is>
      </c>
      <c r="F2749" s="61" t="n">
        <v>7</v>
      </c>
      <c r="G2749" s="62" t="n">
        <v>18.11</v>
      </c>
      <c r="H2749" s="63" t="n">
        <v>0.153</v>
      </c>
      <c r="I2749" s="62" t="n">
        <v>13.77</v>
      </c>
      <c r="J2749" s="58" t="inlineStr">
        <is>
          <t>Online</t>
        </is>
      </c>
      <c r="K2749" s="62">
        <f>F2749*(G2749-H2749)</f>
        <v/>
      </c>
      <c r="L2749" s="62">
        <f>K2749-(F2749*I2749)</f>
        <v/>
      </c>
      <c r="M2749" s="64">
        <f>L2749/K2749</f>
        <v/>
      </c>
    </row>
    <row r="2750">
      <c r="A2750" s="58" t="inlineStr">
        <is>
          <t>RT20250312-02749</t>
        </is>
      </c>
      <c r="B2750" s="59" t="inlineStr">
        <is>
          <t>2025-03-12</t>
        </is>
      </c>
      <c r="C2750" s="60" t="inlineStr">
        <is>
          <t>Polar Decor X-935</t>
        </is>
      </c>
      <c r="D2750" s="58" t="inlineStr">
        <is>
          <t>Home</t>
        </is>
      </c>
      <c r="E2750" s="58" t="inlineStr">
        <is>
          <t>Central</t>
        </is>
      </c>
      <c r="F2750" s="61" t="n">
        <v>2</v>
      </c>
      <c r="G2750" s="62" t="n">
        <v>302.04</v>
      </c>
      <c r="H2750" s="63" t="n">
        <v>0.08799999999999999</v>
      </c>
      <c r="I2750" s="62" t="n">
        <v>204.32</v>
      </c>
      <c r="J2750" s="58" t="inlineStr">
        <is>
          <t>Online</t>
        </is>
      </c>
      <c r="K2750" s="62">
        <f>F2750*(G2750-H2750)</f>
        <v/>
      </c>
      <c r="L2750" s="62">
        <f>K2750-(F2750*I2750)</f>
        <v/>
      </c>
      <c r="M2750" s="64">
        <f>L2750/K2750</f>
        <v/>
      </c>
    </row>
    <row r="2751">
      <c r="A2751" s="58" t="inlineStr">
        <is>
          <t>RT20250312-02750</t>
        </is>
      </c>
      <c r="B2751" s="59" t="inlineStr">
        <is>
          <t>2025-03-12</t>
        </is>
      </c>
      <c r="C2751" s="60" t="inlineStr">
        <is>
          <t>Nimbus Fitnes Lite-516</t>
        </is>
      </c>
      <c r="D2751" s="58" t="inlineStr">
        <is>
          <t>Sports</t>
        </is>
      </c>
      <c r="E2751" s="58" t="inlineStr">
        <is>
          <t>Central</t>
        </is>
      </c>
      <c r="F2751" s="61" t="n">
        <v>2</v>
      </c>
      <c r="G2751" s="62" t="n">
        <v>731.54</v>
      </c>
      <c r="H2751" s="63" t="n">
        <v>0.066</v>
      </c>
      <c r="I2751" s="62" t="n">
        <v>462.45</v>
      </c>
      <c r="J2751" s="58" t="inlineStr">
        <is>
          <t>Store</t>
        </is>
      </c>
      <c r="K2751" s="62">
        <f>F2751*(G2751-H2751)</f>
        <v/>
      </c>
      <c r="L2751" s="62">
        <f>K2751-(F2751*I2751)</f>
        <v/>
      </c>
      <c r="M2751" s="64">
        <f>L2751/K2751</f>
        <v/>
      </c>
    </row>
    <row r="2752">
      <c r="A2752" s="58" t="inlineStr">
        <is>
          <t>RT20250312-02751</t>
        </is>
      </c>
      <c r="B2752" s="59" t="inlineStr">
        <is>
          <t>2025-03-12</t>
        </is>
      </c>
      <c r="C2752" s="60" t="inlineStr">
        <is>
          <t>Nimbus Makeup Max-158</t>
        </is>
      </c>
      <c r="D2752" s="58" t="inlineStr">
        <is>
          <t>Beauty</t>
        </is>
      </c>
      <c r="E2752" s="58" t="inlineStr">
        <is>
          <t>West</t>
        </is>
      </c>
      <c r="F2752" s="61" t="n">
        <v>5</v>
      </c>
      <c r="G2752" s="62" t="n">
        <v>174.94</v>
      </c>
      <c r="H2752" s="63" t="n">
        <v>0.047</v>
      </c>
      <c r="I2752" s="62" t="n">
        <v>96.7</v>
      </c>
      <c r="J2752" s="58" t="inlineStr">
        <is>
          <t>Store</t>
        </is>
      </c>
      <c r="K2752" s="62">
        <f>F2752*(G2752-H2752)</f>
        <v/>
      </c>
      <c r="L2752" s="62">
        <f>K2752-(F2752*I2752)</f>
        <v/>
      </c>
      <c r="M2752" s="64">
        <f>L2752/K2752</f>
        <v/>
      </c>
    </row>
    <row r="2753">
      <c r="A2753" s="58" t="inlineStr">
        <is>
          <t>RT20250312-02752</t>
        </is>
      </c>
      <c r="B2753" s="59" t="inlineStr">
        <is>
          <t>2025-03-12</t>
        </is>
      </c>
      <c r="C2753" s="60" t="inlineStr">
        <is>
          <t>Falcon Storage X-734</t>
        </is>
      </c>
      <c r="D2753" s="58" t="inlineStr">
        <is>
          <t>Office</t>
        </is>
      </c>
      <c r="E2753" s="58" t="inlineStr">
        <is>
          <t>East</t>
        </is>
      </c>
      <c r="F2753" s="61" t="n">
        <v>2</v>
      </c>
      <c r="G2753" s="62" t="n">
        <v>320.98</v>
      </c>
      <c r="H2753" s="63" t="n">
        <v>0.111</v>
      </c>
      <c r="I2753" s="62" t="n">
        <v>277.04</v>
      </c>
      <c r="J2753" s="58" t="inlineStr">
        <is>
          <t>Online</t>
        </is>
      </c>
      <c r="K2753" s="62">
        <f>F2753*(G2753-H2753)</f>
        <v/>
      </c>
      <c r="L2753" s="62">
        <f>K2753-(F2753*I2753)</f>
        <v/>
      </c>
      <c r="M2753" s="64">
        <f>L2753/K2753</f>
        <v/>
      </c>
    </row>
    <row r="2754">
      <c r="A2754" s="58" t="inlineStr">
        <is>
          <t>RT20250312-02753</t>
        </is>
      </c>
      <c r="B2754" s="59" t="inlineStr">
        <is>
          <t>2025-03-12</t>
        </is>
      </c>
      <c r="C2754" s="60" t="inlineStr">
        <is>
          <t>Falcon Headphone Plus-789</t>
        </is>
      </c>
      <c r="D2754" s="58" t="inlineStr">
        <is>
          <t>Electronics</t>
        </is>
      </c>
      <c r="E2754" s="58" t="inlineStr">
        <is>
          <t>West</t>
        </is>
      </c>
      <c r="F2754" s="61" t="n">
        <v>2</v>
      </c>
      <c r="G2754" s="62" t="n">
        <v>1941.71</v>
      </c>
      <c r="H2754" s="63" t="n">
        <v>0.076</v>
      </c>
      <c r="I2754" s="62" t="n">
        <v>1346.26</v>
      </c>
      <c r="J2754" s="58" t="inlineStr">
        <is>
          <t>Store</t>
        </is>
      </c>
      <c r="K2754" s="62">
        <f>F2754*(G2754-H2754)</f>
        <v/>
      </c>
      <c r="L2754" s="62">
        <f>K2754-(F2754*I2754)</f>
        <v/>
      </c>
      <c r="M2754" s="64">
        <f>L2754/K2754</f>
        <v/>
      </c>
    </row>
    <row r="2755">
      <c r="A2755" s="58" t="inlineStr">
        <is>
          <t>RT20250312-02754</t>
        </is>
      </c>
      <c r="B2755" s="59" t="inlineStr">
        <is>
          <t>2025-03-12</t>
        </is>
      </c>
      <c r="C2755" s="60" t="inlineStr">
        <is>
          <t>Polar Pantry Lite-392</t>
        </is>
      </c>
      <c r="D2755" s="58" t="inlineStr">
        <is>
          <t>Grocery</t>
        </is>
      </c>
      <c r="E2755" s="58" t="inlineStr">
        <is>
          <t>East</t>
        </is>
      </c>
      <c r="F2755" s="61" t="n">
        <v>1</v>
      </c>
      <c r="G2755" s="62" t="n">
        <v>6.37</v>
      </c>
      <c r="H2755" s="63" t="n">
        <v>0.063</v>
      </c>
      <c r="I2755" s="62" t="n">
        <v>4.64</v>
      </c>
      <c r="J2755" s="58" t="inlineStr">
        <is>
          <t>Online</t>
        </is>
      </c>
      <c r="K2755" s="62">
        <f>F2755*(G2755-H2755)</f>
        <v/>
      </c>
      <c r="L2755" s="62">
        <f>K2755-(F2755*I2755)</f>
        <v/>
      </c>
      <c r="M2755" s="64">
        <f>L2755/K2755</f>
        <v/>
      </c>
    </row>
    <row r="2756">
      <c r="A2756" s="58" t="inlineStr">
        <is>
          <t>RT20250312-02755</t>
        </is>
      </c>
      <c r="B2756" s="59" t="inlineStr">
        <is>
          <t>2025-03-12</t>
        </is>
      </c>
      <c r="C2756" s="60" t="inlineStr">
        <is>
          <t>Polar Haircare Max-614</t>
        </is>
      </c>
      <c r="D2756" s="58" t="inlineStr">
        <is>
          <t>Beauty</t>
        </is>
      </c>
      <c r="E2756" s="58" t="inlineStr">
        <is>
          <t>South</t>
        </is>
      </c>
      <c r="F2756" s="61" t="n">
        <v>4</v>
      </c>
      <c r="G2756" s="62" t="n">
        <v>110.31</v>
      </c>
      <c r="H2756" s="63" t="n">
        <v>0.141</v>
      </c>
      <c r="I2756" s="62" t="n">
        <v>70.31</v>
      </c>
      <c r="J2756" s="58" t="inlineStr">
        <is>
          <t>Store</t>
        </is>
      </c>
      <c r="K2756" s="62">
        <f>F2756*(G2756-H2756)</f>
        <v/>
      </c>
      <c r="L2756" s="62">
        <f>K2756-(F2756*I2756)</f>
        <v/>
      </c>
      <c r="M2756" s="64">
        <f>L2756/K2756</f>
        <v/>
      </c>
    </row>
    <row r="2757">
      <c r="A2757" s="58" t="inlineStr">
        <is>
          <t>RT20250312-02756</t>
        </is>
      </c>
      <c r="B2757" s="59" t="inlineStr">
        <is>
          <t>2025-03-12</t>
        </is>
      </c>
      <c r="C2757" s="60" t="inlineStr">
        <is>
          <t>Falcon Household Pro-865</t>
        </is>
      </c>
      <c r="D2757" s="58" t="inlineStr">
        <is>
          <t>Grocery</t>
        </is>
      </c>
      <c r="E2757" s="58" t="inlineStr">
        <is>
          <t>East</t>
        </is>
      </c>
      <c r="F2757" s="61" t="n">
        <v>7</v>
      </c>
      <c r="G2757" s="62" t="n">
        <v>10.93</v>
      </c>
      <c r="H2757" s="63" t="n">
        <v>0.106</v>
      </c>
      <c r="I2757" s="62" t="n">
        <v>7.6</v>
      </c>
      <c r="J2757" s="58" t="inlineStr">
        <is>
          <t>Online</t>
        </is>
      </c>
      <c r="K2757" s="62">
        <f>F2757*(G2757-H2757)</f>
        <v/>
      </c>
      <c r="L2757" s="62">
        <f>K2757-(F2757*I2757)</f>
        <v/>
      </c>
      <c r="M2757" s="64">
        <f>L2757/K2757</f>
        <v/>
      </c>
    </row>
    <row r="2758">
      <c r="A2758" s="58" t="inlineStr">
        <is>
          <t>RT20250312-02757</t>
        </is>
      </c>
      <c r="B2758" s="59" t="inlineStr">
        <is>
          <t>2025-03-12</t>
        </is>
      </c>
      <c r="C2758" s="60" t="inlineStr">
        <is>
          <t>Vertex Printer Max-692</t>
        </is>
      </c>
      <c r="D2758" s="58" t="inlineStr">
        <is>
          <t>Office</t>
        </is>
      </c>
      <c r="E2758" s="58" t="inlineStr">
        <is>
          <t>East</t>
        </is>
      </c>
      <c r="F2758" s="61" t="n">
        <v>2</v>
      </c>
      <c r="G2758" s="62" t="n">
        <v>152.71</v>
      </c>
      <c r="H2758" s="63" t="n">
        <v>0.143</v>
      </c>
      <c r="I2758" s="62" t="n">
        <v>122.05</v>
      </c>
      <c r="J2758" s="58" t="inlineStr">
        <is>
          <t>Online</t>
        </is>
      </c>
      <c r="K2758" s="62">
        <f>F2758*(G2758-H2758)</f>
        <v/>
      </c>
      <c r="L2758" s="62">
        <f>K2758-(F2758*I2758)</f>
        <v/>
      </c>
      <c r="M2758" s="64">
        <f>L2758/K2758</f>
        <v/>
      </c>
    </row>
    <row r="2759">
      <c r="A2759" s="58" t="inlineStr">
        <is>
          <t>RT20250312-02758</t>
        </is>
      </c>
      <c r="B2759" s="59" t="inlineStr">
        <is>
          <t>2025-03-12</t>
        </is>
      </c>
      <c r="C2759" s="60" t="inlineStr">
        <is>
          <t>Aurora Fitnes Lite-194</t>
        </is>
      </c>
      <c r="D2759" s="58" t="inlineStr">
        <is>
          <t>Sports</t>
        </is>
      </c>
      <c r="E2759" s="58" t="inlineStr">
        <is>
          <t>North</t>
        </is>
      </c>
      <c r="F2759" s="61" t="n">
        <v>3</v>
      </c>
      <c r="G2759" s="62" t="n">
        <v>817.6799999999999</v>
      </c>
      <c r="H2759" s="63" t="n">
        <v>0.126</v>
      </c>
      <c r="I2759" s="62" t="n">
        <v>470.32</v>
      </c>
      <c r="J2759" s="58" t="inlineStr">
        <is>
          <t>Store</t>
        </is>
      </c>
      <c r="K2759" s="62">
        <f>F2759*(G2759-H2759)</f>
        <v/>
      </c>
      <c r="L2759" s="62">
        <f>K2759-(F2759*I2759)</f>
        <v/>
      </c>
      <c r="M2759" s="64">
        <f>L2759/K2759</f>
        <v/>
      </c>
    </row>
    <row r="2760">
      <c r="A2760" s="58" t="inlineStr">
        <is>
          <t>RT20250312-02759</t>
        </is>
      </c>
      <c r="B2760" s="59" t="inlineStr">
        <is>
          <t>2025-03-12</t>
        </is>
      </c>
      <c r="C2760" s="60" t="inlineStr">
        <is>
          <t>Orion Supplie S-612</t>
        </is>
      </c>
      <c r="D2760" s="58" t="inlineStr">
        <is>
          <t>Office</t>
        </is>
      </c>
      <c r="E2760" s="58" t="inlineStr">
        <is>
          <t>North</t>
        </is>
      </c>
      <c r="F2760" s="61" t="n">
        <v>1</v>
      </c>
      <c r="G2760" s="62" t="n">
        <v>487.97</v>
      </c>
      <c r="H2760" s="63" t="n">
        <v>0.126</v>
      </c>
      <c r="I2760" s="62" t="n">
        <v>328.39</v>
      </c>
      <c r="J2760" s="58" t="inlineStr">
        <is>
          <t>Online</t>
        </is>
      </c>
      <c r="K2760" s="62">
        <f>F2760*(G2760-H2760)</f>
        <v/>
      </c>
      <c r="L2760" s="62">
        <f>K2760-(F2760*I2760)</f>
        <v/>
      </c>
      <c r="M2760" s="64">
        <f>L2760/K2760</f>
        <v/>
      </c>
    </row>
    <row r="2761">
      <c r="A2761" s="58" t="inlineStr">
        <is>
          <t>RT20250312-02760</t>
        </is>
      </c>
      <c r="B2761" s="59" t="inlineStr">
        <is>
          <t>2025-03-12</t>
        </is>
      </c>
      <c r="C2761" s="60" t="inlineStr">
        <is>
          <t>Falcon Haircare Pro-980</t>
        </is>
      </c>
      <c r="D2761" s="58" t="inlineStr">
        <is>
          <t>Beauty</t>
        </is>
      </c>
      <c r="E2761" s="58" t="inlineStr">
        <is>
          <t>East</t>
        </is>
      </c>
      <c r="F2761" s="61" t="n">
        <v>1</v>
      </c>
      <c r="G2761" s="62" t="n">
        <v>107.9</v>
      </c>
      <c r="H2761" s="63" t="n">
        <v>0.098</v>
      </c>
      <c r="I2761" s="62" t="n">
        <v>56.9</v>
      </c>
      <c r="J2761" s="58" t="inlineStr">
        <is>
          <t>Phone</t>
        </is>
      </c>
      <c r="K2761" s="62">
        <f>F2761*(G2761-H2761)</f>
        <v/>
      </c>
      <c r="L2761" s="62">
        <f>K2761-(F2761*I2761)</f>
        <v/>
      </c>
      <c r="M2761" s="64">
        <f>L2761/K2761</f>
        <v/>
      </c>
    </row>
    <row r="2762">
      <c r="A2762" s="58" t="inlineStr">
        <is>
          <t>RT20250312-02761</t>
        </is>
      </c>
      <c r="B2762" s="59" t="inlineStr">
        <is>
          <t>2025-03-12</t>
        </is>
      </c>
      <c r="C2762" s="60" t="inlineStr">
        <is>
          <t>Vertex Men X-995</t>
        </is>
      </c>
      <c r="D2762" s="58" t="inlineStr">
        <is>
          <t>Apparel</t>
        </is>
      </c>
      <c r="E2762" s="58" t="inlineStr">
        <is>
          <t>Central</t>
        </is>
      </c>
      <c r="F2762" s="61" t="n">
        <v>2</v>
      </c>
      <c r="G2762" s="62" t="n">
        <v>101.08</v>
      </c>
      <c r="H2762" s="63" t="n">
        <v>0.08699999999999999</v>
      </c>
      <c r="I2762" s="62" t="n">
        <v>59.86</v>
      </c>
      <c r="J2762" s="58" t="inlineStr">
        <is>
          <t>Online</t>
        </is>
      </c>
      <c r="K2762" s="62">
        <f>F2762*(G2762-H2762)</f>
        <v/>
      </c>
      <c r="L2762" s="62">
        <f>K2762-(F2762*I2762)</f>
        <v/>
      </c>
      <c r="M2762" s="64">
        <f>L2762/K2762</f>
        <v/>
      </c>
    </row>
    <row r="2763">
      <c r="A2763" s="58" t="inlineStr">
        <is>
          <t>RT20250312-02762</t>
        </is>
      </c>
      <c r="B2763" s="59" t="inlineStr">
        <is>
          <t>2025-03-12</t>
        </is>
      </c>
      <c r="C2763" s="60" t="inlineStr">
        <is>
          <t>Nimbus Cycling Plus-911</t>
        </is>
      </c>
      <c r="D2763" s="58" t="inlineStr">
        <is>
          <t>Sports</t>
        </is>
      </c>
      <c r="E2763" s="58" t="inlineStr">
        <is>
          <t>West</t>
        </is>
      </c>
      <c r="F2763" s="61" t="n">
        <v>1</v>
      </c>
      <c r="G2763" s="62" t="n">
        <v>630.85</v>
      </c>
      <c r="H2763" s="63" t="n">
        <v>0.135</v>
      </c>
      <c r="I2763" s="62" t="n">
        <v>383.46</v>
      </c>
      <c r="J2763" s="58" t="inlineStr">
        <is>
          <t>Online</t>
        </is>
      </c>
      <c r="K2763" s="62">
        <f>F2763*(G2763-H2763)</f>
        <v/>
      </c>
      <c r="L2763" s="62">
        <f>K2763-(F2763*I2763)</f>
        <v/>
      </c>
      <c r="M2763" s="64">
        <f>L2763/K2763</f>
        <v/>
      </c>
    </row>
    <row r="2764">
      <c r="A2764" s="58" t="inlineStr">
        <is>
          <t>RT20250312-02763</t>
        </is>
      </c>
      <c r="B2764" s="59" t="inlineStr">
        <is>
          <t>2025-03-12</t>
        </is>
      </c>
      <c r="C2764" s="60" t="inlineStr">
        <is>
          <t>Polar Outdoor Lite-318</t>
        </is>
      </c>
      <c r="D2764" s="58" t="inlineStr">
        <is>
          <t>Sports</t>
        </is>
      </c>
      <c r="E2764" s="58" t="inlineStr">
        <is>
          <t>North</t>
        </is>
      </c>
      <c r="F2764" s="61" t="n">
        <v>1</v>
      </c>
      <c r="G2764" s="62" t="n">
        <v>731.01</v>
      </c>
      <c r="H2764" s="63" t="n">
        <v>0.068</v>
      </c>
      <c r="I2764" s="62" t="n">
        <v>480.81</v>
      </c>
      <c r="J2764" s="58" t="inlineStr">
        <is>
          <t>Store</t>
        </is>
      </c>
      <c r="K2764" s="62">
        <f>F2764*(G2764-H2764)</f>
        <v/>
      </c>
      <c r="L2764" s="62">
        <f>K2764-(F2764*I2764)</f>
        <v/>
      </c>
      <c r="M2764" s="64">
        <f>L2764/K2764</f>
        <v/>
      </c>
    </row>
    <row r="2765">
      <c r="A2765" s="58" t="inlineStr">
        <is>
          <t>RT20250312-02764</t>
        </is>
      </c>
      <c r="B2765" s="59" t="inlineStr">
        <is>
          <t>2025-03-12</t>
        </is>
      </c>
      <c r="C2765" s="60" t="inlineStr">
        <is>
          <t>Metro Smartphone Max-773</t>
        </is>
      </c>
      <c r="D2765" s="58" t="inlineStr">
        <is>
          <t>Electronics</t>
        </is>
      </c>
      <c r="E2765" s="58" t="inlineStr">
        <is>
          <t>South</t>
        </is>
      </c>
      <c r="F2765" s="61" t="n">
        <v>2</v>
      </c>
      <c r="G2765" s="62" t="n">
        <v>1358.34</v>
      </c>
      <c r="H2765" s="63" t="n">
        <v>0.138</v>
      </c>
      <c r="I2765" s="62" t="n">
        <v>1123.21</v>
      </c>
      <c r="J2765" s="58" t="inlineStr">
        <is>
          <t>Online</t>
        </is>
      </c>
      <c r="K2765" s="62">
        <f>F2765*(G2765-H2765)</f>
        <v/>
      </c>
      <c r="L2765" s="62">
        <f>K2765-(F2765*I2765)</f>
        <v/>
      </c>
      <c r="M2765" s="64">
        <f>L2765/K2765</f>
        <v/>
      </c>
    </row>
    <row r="2766">
      <c r="A2766" s="58" t="inlineStr">
        <is>
          <t>RT20250312-02765</t>
        </is>
      </c>
      <c r="B2766" s="59" t="inlineStr">
        <is>
          <t>2025-03-12</t>
        </is>
      </c>
      <c r="C2766" s="60" t="inlineStr">
        <is>
          <t>Orion Snack X-322</t>
        </is>
      </c>
      <c r="D2766" s="58" t="inlineStr">
        <is>
          <t>Grocery</t>
        </is>
      </c>
      <c r="E2766" s="58" t="inlineStr">
        <is>
          <t>West</t>
        </is>
      </c>
      <c r="F2766" s="61" t="n">
        <v>3</v>
      </c>
      <c r="G2766" s="62" t="n">
        <v>14.02</v>
      </c>
      <c r="H2766" s="63" t="n">
        <v>0.132</v>
      </c>
      <c r="I2766" s="62" t="n">
        <v>10.32</v>
      </c>
      <c r="J2766" s="58" t="inlineStr">
        <is>
          <t>Phone</t>
        </is>
      </c>
      <c r="K2766" s="62">
        <f>F2766*(G2766-H2766)</f>
        <v/>
      </c>
      <c r="L2766" s="62">
        <f>K2766-(F2766*I2766)</f>
        <v/>
      </c>
      <c r="M2766" s="64">
        <f>L2766/K2766</f>
        <v/>
      </c>
    </row>
    <row r="2767">
      <c r="A2767" s="58" t="inlineStr">
        <is>
          <t>RT20250312-02766</t>
        </is>
      </c>
      <c r="B2767" s="59" t="inlineStr">
        <is>
          <t>2025-03-12</t>
        </is>
      </c>
      <c r="C2767" s="60" t="inlineStr">
        <is>
          <t>Aurora Fitnes Lite-194</t>
        </is>
      </c>
      <c r="D2767" s="58" t="inlineStr">
        <is>
          <t>Sports</t>
        </is>
      </c>
      <c r="E2767" s="58" t="inlineStr">
        <is>
          <t>Central</t>
        </is>
      </c>
      <c r="F2767" s="61" t="n">
        <v>2</v>
      </c>
      <c r="G2767" s="62" t="n">
        <v>709.11</v>
      </c>
      <c r="H2767" s="63" t="n">
        <v>0.116</v>
      </c>
      <c r="I2767" s="62" t="n">
        <v>460.67</v>
      </c>
      <c r="J2767" s="58" t="inlineStr">
        <is>
          <t>Online</t>
        </is>
      </c>
      <c r="K2767" s="62">
        <f>F2767*(G2767-H2767)</f>
        <v/>
      </c>
      <c r="L2767" s="62">
        <f>K2767-(F2767*I2767)</f>
        <v/>
      </c>
      <c r="M2767" s="64">
        <f>L2767/K2767</f>
        <v/>
      </c>
    </row>
    <row r="2768">
      <c r="A2768" s="58" t="inlineStr">
        <is>
          <t>RT20250312-02767</t>
        </is>
      </c>
      <c r="B2768" s="59" t="inlineStr">
        <is>
          <t>2025-03-12</t>
        </is>
      </c>
      <c r="C2768" s="60" t="inlineStr">
        <is>
          <t>Nimbus Women Lite-814</t>
        </is>
      </c>
      <c r="D2768" s="58" t="inlineStr">
        <is>
          <t>Apparel</t>
        </is>
      </c>
      <c r="E2768" s="58" t="inlineStr">
        <is>
          <t>East</t>
        </is>
      </c>
      <c r="F2768" s="61" t="n">
        <v>2</v>
      </c>
      <c r="G2768" s="62" t="n">
        <v>147.03</v>
      </c>
      <c r="H2768" s="63" t="n">
        <v>0.056</v>
      </c>
      <c r="I2768" s="62" t="n">
        <v>84.95999999999999</v>
      </c>
      <c r="J2768" s="58" t="inlineStr">
        <is>
          <t>Store</t>
        </is>
      </c>
      <c r="K2768" s="62">
        <f>F2768*(G2768-H2768)</f>
        <v/>
      </c>
      <c r="L2768" s="62">
        <f>K2768-(F2768*I2768)</f>
        <v/>
      </c>
      <c r="M2768" s="64">
        <f>L2768/K2768</f>
        <v/>
      </c>
    </row>
    <row r="2769">
      <c r="A2769" s="58" t="inlineStr">
        <is>
          <t>RT20250312-02768</t>
        </is>
      </c>
      <c r="B2769" s="59" t="inlineStr">
        <is>
          <t>2025-03-12</t>
        </is>
      </c>
      <c r="C2769" s="60" t="inlineStr">
        <is>
          <t>Vertex Appliance Max-338</t>
        </is>
      </c>
      <c r="D2769" s="58" t="inlineStr">
        <is>
          <t>Home</t>
        </is>
      </c>
      <c r="E2769" s="58" t="inlineStr">
        <is>
          <t>North</t>
        </is>
      </c>
      <c r="F2769" s="61" t="n">
        <v>2</v>
      </c>
      <c r="G2769" s="62" t="n">
        <v>426.54</v>
      </c>
      <c r="H2769" s="63" t="n">
        <v>0.123</v>
      </c>
      <c r="I2769" s="62" t="n">
        <v>292.99</v>
      </c>
      <c r="J2769" s="58" t="inlineStr">
        <is>
          <t>Phone</t>
        </is>
      </c>
      <c r="K2769" s="62">
        <f>F2769*(G2769-H2769)</f>
        <v/>
      </c>
      <c r="L2769" s="62">
        <f>K2769-(F2769*I2769)</f>
        <v/>
      </c>
      <c r="M2769" s="64">
        <f>L2769/K2769</f>
        <v/>
      </c>
    </row>
    <row r="2770">
      <c r="A2770" s="58" t="inlineStr">
        <is>
          <t>RT20250312-02769</t>
        </is>
      </c>
      <c r="B2770" s="59" t="inlineStr">
        <is>
          <t>2025-03-12</t>
        </is>
      </c>
      <c r="C2770" s="60" t="inlineStr">
        <is>
          <t>Nimbus Women Lite-814</t>
        </is>
      </c>
      <c r="D2770" s="58" t="inlineStr">
        <is>
          <t>Apparel</t>
        </is>
      </c>
      <c r="E2770" s="58" t="inlineStr">
        <is>
          <t>South</t>
        </is>
      </c>
      <c r="F2770" s="61" t="n">
        <v>2</v>
      </c>
      <c r="G2770" s="62" t="n">
        <v>156.4</v>
      </c>
      <c r="H2770" s="63" t="n">
        <v>0.055</v>
      </c>
      <c r="I2770" s="62" t="n">
        <v>82.76000000000001</v>
      </c>
      <c r="J2770" s="58" t="inlineStr">
        <is>
          <t>Online</t>
        </is>
      </c>
      <c r="K2770" s="62">
        <f>F2770*(G2770-H2770)</f>
        <v/>
      </c>
      <c r="L2770" s="62">
        <f>K2770-(F2770*I2770)</f>
        <v/>
      </c>
      <c r="M2770" s="64">
        <f>L2770/K2770</f>
        <v/>
      </c>
    </row>
    <row r="2771">
      <c r="A2771" s="58" t="inlineStr">
        <is>
          <t>RT20250312-02770</t>
        </is>
      </c>
      <c r="B2771" s="59" t="inlineStr">
        <is>
          <t>2025-03-12</t>
        </is>
      </c>
      <c r="C2771" s="60" t="inlineStr">
        <is>
          <t>Polar Outdoor X-193</t>
        </is>
      </c>
      <c r="D2771" s="58" t="inlineStr">
        <is>
          <t>Sports</t>
        </is>
      </c>
      <c r="E2771" s="58" t="inlineStr">
        <is>
          <t>South</t>
        </is>
      </c>
      <c r="F2771" s="61" t="n">
        <v>2</v>
      </c>
      <c r="G2771" s="62" t="n">
        <v>639.95</v>
      </c>
      <c r="H2771" s="63" t="n">
        <v>0.137</v>
      </c>
      <c r="I2771" s="62" t="n">
        <v>468.53</v>
      </c>
      <c r="J2771" s="58" t="inlineStr">
        <is>
          <t>Online</t>
        </is>
      </c>
      <c r="K2771" s="62">
        <f>F2771*(G2771-H2771)</f>
        <v/>
      </c>
      <c r="L2771" s="62">
        <f>K2771-(F2771*I2771)</f>
        <v/>
      </c>
      <c r="M2771" s="64">
        <f>L2771/K2771</f>
        <v/>
      </c>
    </row>
    <row r="2772">
      <c r="A2772" s="58" t="inlineStr">
        <is>
          <t>RT20250312-02771</t>
        </is>
      </c>
      <c r="B2772" s="59" t="inlineStr">
        <is>
          <t>2025-03-12</t>
        </is>
      </c>
      <c r="C2772" s="60" t="inlineStr">
        <is>
          <t>Polar Outdoor X-193</t>
        </is>
      </c>
      <c r="D2772" s="58" t="inlineStr">
        <is>
          <t>Sports</t>
        </is>
      </c>
      <c r="E2772" s="58" t="inlineStr">
        <is>
          <t>Central</t>
        </is>
      </c>
      <c r="F2772" s="61" t="n">
        <v>2</v>
      </c>
      <c r="G2772" s="62" t="n">
        <v>691.41</v>
      </c>
      <c r="H2772" s="63" t="n">
        <v>0.132</v>
      </c>
      <c r="I2772" s="62" t="n">
        <v>450.6</v>
      </c>
      <c r="J2772" s="58" t="inlineStr">
        <is>
          <t>Store</t>
        </is>
      </c>
      <c r="K2772" s="62">
        <f>F2772*(G2772-H2772)</f>
        <v/>
      </c>
      <c r="L2772" s="62">
        <f>K2772-(F2772*I2772)</f>
        <v/>
      </c>
      <c r="M2772" s="64">
        <f>L2772/K2772</f>
        <v/>
      </c>
    </row>
    <row r="2773">
      <c r="A2773" s="58" t="inlineStr">
        <is>
          <t>RT20250312-02772</t>
        </is>
      </c>
      <c r="B2773" s="59" t="inlineStr">
        <is>
          <t>2025-03-12</t>
        </is>
      </c>
      <c r="C2773" s="60" t="inlineStr">
        <is>
          <t>Orion Supplie S-612</t>
        </is>
      </c>
      <c r="D2773" s="58" t="inlineStr">
        <is>
          <t>Office</t>
        </is>
      </c>
      <c r="E2773" s="58" t="inlineStr">
        <is>
          <t>West</t>
        </is>
      </c>
      <c r="F2773" s="61" t="n">
        <v>1</v>
      </c>
      <c r="G2773" s="62" t="n">
        <v>515.73</v>
      </c>
      <c r="H2773" s="63" t="n">
        <v>0.109</v>
      </c>
      <c r="I2773" s="62" t="n">
        <v>337.45</v>
      </c>
      <c r="J2773" s="58" t="inlineStr">
        <is>
          <t>Store</t>
        </is>
      </c>
      <c r="K2773" s="62">
        <f>F2773*(G2773-H2773)</f>
        <v/>
      </c>
      <c r="L2773" s="62">
        <f>K2773-(F2773*I2773)</f>
        <v/>
      </c>
      <c r="M2773" s="64">
        <f>L2773/K2773</f>
        <v/>
      </c>
    </row>
    <row r="2774">
      <c r="A2774" s="58" t="inlineStr">
        <is>
          <t>RT20250313-02773</t>
        </is>
      </c>
      <c r="B2774" s="59" t="inlineStr">
        <is>
          <t>2025-03-13</t>
        </is>
      </c>
      <c r="C2774" s="60" t="inlineStr">
        <is>
          <t>Metro Wearable Plus-234</t>
        </is>
      </c>
      <c r="D2774" s="58" t="inlineStr">
        <is>
          <t>Electronics</t>
        </is>
      </c>
      <c r="E2774" s="58" t="inlineStr">
        <is>
          <t>North</t>
        </is>
      </c>
      <c r="F2774" s="61" t="n">
        <v>2</v>
      </c>
      <c r="G2774" s="62" t="n">
        <v>1319.55</v>
      </c>
      <c r="H2774" s="63" t="n">
        <v>0.079</v>
      </c>
      <c r="I2774" s="62" t="n">
        <v>1179.91</v>
      </c>
      <c r="J2774" s="58" t="inlineStr">
        <is>
          <t>Phone</t>
        </is>
      </c>
      <c r="K2774" s="62">
        <f>F2774*(G2774-H2774)</f>
        <v/>
      </c>
      <c r="L2774" s="62">
        <f>K2774-(F2774*I2774)</f>
        <v/>
      </c>
      <c r="M2774" s="64">
        <f>L2774/K2774</f>
        <v/>
      </c>
    </row>
    <row r="2775">
      <c r="A2775" s="58" t="inlineStr">
        <is>
          <t>RT20250313-02774</t>
        </is>
      </c>
      <c r="B2775" s="59" t="inlineStr">
        <is>
          <t>2025-03-13</t>
        </is>
      </c>
      <c r="C2775" s="60" t="inlineStr">
        <is>
          <t>Nimbus Women Plus-352</t>
        </is>
      </c>
      <c r="D2775" s="58" t="inlineStr">
        <is>
          <t>Apparel</t>
        </is>
      </c>
      <c r="E2775" s="58" t="inlineStr">
        <is>
          <t>Central</t>
        </is>
      </c>
      <c r="F2775" s="61" t="n">
        <v>2</v>
      </c>
      <c r="G2775" s="62" t="n">
        <v>57.8</v>
      </c>
      <c r="H2775" s="63" t="n">
        <v>0.092</v>
      </c>
      <c r="I2775" s="62" t="n">
        <v>33.09</v>
      </c>
      <c r="J2775" s="58" t="inlineStr">
        <is>
          <t>Store</t>
        </is>
      </c>
      <c r="K2775" s="62">
        <f>F2775*(G2775-H2775)</f>
        <v/>
      </c>
      <c r="L2775" s="62">
        <f>K2775-(F2775*I2775)</f>
        <v/>
      </c>
      <c r="M2775" s="64">
        <f>L2775/K2775</f>
        <v/>
      </c>
    </row>
    <row r="2776">
      <c r="A2776" s="58" t="inlineStr">
        <is>
          <t>RT20250313-02775</t>
        </is>
      </c>
      <c r="B2776" s="59" t="inlineStr">
        <is>
          <t>2025-03-13</t>
        </is>
      </c>
      <c r="C2776" s="60" t="inlineStr">
        <is>
          <t>Orion Storage Plus-961</t>
        </is>
      </c>
      <c r="D2776" s="58" t="inlineStr">
        <is>
          <t>Office</t>
        </is>
      </c>
      <c r="E2776" s="58" t="inlineStr">
        <is>
          <t>North</t>
        </is>
      </c>
      <c r="F2776" s="61" t="n">
        <v>3</v>
      </c>
      <c r="G2776" s="62" t="n">
        <v>544.27</v>
      </c>
      <c r="H2776" s="63" t="n">
        <v>0.078</v>
      </c>
      <c r="I2776" s="62" t="n">
        <v>367.75</v>
      </c>
      <c r="J2776" s="58" t="inlineStr">
        <is>
          <t>Store</t>
        </is>
      </c>
      <c r="K2776" s="62">
        <f>F2776*(G2776-H2776)</f>
        <v/>
      </c>
      <c r="L2776" s="62">
        <f>K2776-(F2776*I2776)</f>
        <v/>
      </c>
      <c r="M2776" s="64">
        <f>L2776/K2776</f>
        <v/>
      </c>
    </row>
    <row r="2777">
      <c r="A2777" s="58" t="inlineStr">
        <is>
          <t>RT20250313-02776</t>
        </is>
      </c>
      <c r="B2777" s="59" t="inlineStr">
        <is>
          <t>2025-03-13</t>
        </is>
      </c>
      <c r="C2777" s="60" t="inlineStr">
        <is>
          <t>Polar Cycling S-223</t>
        </is>
      </c>
      <c r="D2777" s="58" t="inlineStr">
        <is>
          <t>Sports</t>
        </is>
      </c>
      <c r="E2777" s="58" t="inlineStr">
        <is>
          <t>West</t>
        </is>
      </c>
      <c r="F2777" s="61" t="n">
        <v>2</v>
      </c>
      <c r="G2777" s="62" t="n">
        <v>975.21</v>
      </c>
      <c r="H2777" s="63" t="n">
        <v>0.149</v>
      </c>
      <c r="I2777" s="62" t="n">
        <v>611.64</v>
      </c>
      <c r="J2777" s="58" t="inlineStr">
        <is>
          <t>Online</t>
        </is>
      </c>
      <c r="K2777" s="62">
        <f>F2777*(G2777-H2777)</f>
        <v/>
      </c>
      <c r="L2777" s="62">
        <f>K2777-(F2777*I2777)</f>
        <v/>
      </c>
      <c r="M2777" s="64">
        <f>L2777/K2777</f>
        <v/>
      </c>
    </row>
    <row r="2778">
      <c r="A2778" s="58" t="inlineStr">
        <is>
          <t>RT20250313-02777</t>
        </is>
      </c>
      <c r="B2778" s="59" t="inlineStr">
        <is>
          <t>2025-03-13</t>
        </is>
      </c>
      <c r="C2778" s="60" t="inlineStr">
        <is>
          <t>Metro Printer X-294</t>
        </is>
      </c>
      <c r="D2778" s="58" t="inlineStr">
        <is>
          <t>Office</t>
        </is>
      </c>
      <c r="E2778" s="58" t="inlineStr">
        <is>
          <t>West</t>
        </is>
      </c>
      <c r="F2778" s="61" t="n">
        <v>3</v>
      </c>
      <c r="G2778" s="62" t="n">
        <v>559.28</v>
      </c>
      <c r="H2778" s="63" t="n">
        <v>0.106</v>
      </c>
      <c r="I2778" s="62" t="n">
        <v>414.4</v>
      </c>
      <c r="J2778" s="58" t="inlineStr">
        <is>
          <t>Online</t>
        </is>
      </c>
      <c r="K2778" s="62">
        <f>F2778*(G2778-H2778)</f>
        <v/>
      </c>
      <c r="L2778" s="62">
        <f>K2778-(F2778*I2778)</f>
        <v/>
      </c>
      <c r="M2778" s="64">
        <f>L2778/K2778</f>
        <v/>
      </c>
    </row>
    <row r="2779">
      <c r="A2779" s="58" t="inlineStr">
        <is>
          <t>RT20250313-02778</t>
        </is>
      </c>
      <c r="B2779" s="59" t="inlineStr">
        <is>
          <t>2025-03-13</t>
        </is>
      </c>
      <c r="C2779" s="60" t="inlineStr">
        <is>
          <t>Vertex Pantry Pro-165</t>
        </is>
      </c>
      <c r="D2779" s="58" t="inlineStr">
        <is>
          <t>Grocery</t>
        </is>
      </c>
      <c r="E2779" s="58" t="inlineStr">
        <is>
          <t>Central</t>
        </is>
      </c>
      <c r="F2779" s="61" t="n">
        <v>7</v>
      </c>
      <c r="G2779" s="62" t="n">
        <v>17.27</v>
      </c>
      <c r="H2779" s="63" t="n">
        <v>0.122</v>
      </c>
      <c r="I2779" s="62" t="n">
        <v>11.84</v>
      </c>
      <c r="J2779" s="58" t="inlineStr">
        <is>
          <t>Online</t>
        </is>
      </c>
      <c r="K2779" s="62">
        <f>F2779*(G2779-H2779)</f>
        <v/>
      </c>
      <c r="L2779" s="62">
        <f>K2779-(F2779*I2779)</f>
        <v/>
      </c>
      <c r="M2779" s="64">
        <f>L2779/K2779</f>
        <v/>
      </c>
    </row>
    <row r="2780">
      <c r="A2780" s="58" t="inlineStr">
        <is>
          <t>RT20250313-02779</t>
        </is>
      </c>
      <c r="B2780" s="59" t="inlineStr">
        <is>
          <t>2025-03-13</t>
        </is>
      </c>
      <c r="C2780" s="60" t="inlineStr">
        <is>
          <t>Falcon Beverage Max-702</t>
        </is>
      </c>
      <c r="D2780" s="58" t="inlineStr">
        <is>
          <t>Grocery</t>
        </is>
      </c>
      <c r="E2780" s="58" t="inlineStr">
        <is>
          <t>East</t>
        </is>
      </c>
      <c r="F2780" s="61" t="n">
        <v>2</v>
      </c>
      <c r="G2780" s="62" t="n">
        <v>26.31</v>
      </c>
      <c r="H2780" s="63" t="n">
        <v>0.152</v>
      </c>
      <c r="I2780" s="62" t="n">
        <v>19.69</v>
      </c>
      <c r="J2780" s="58" t="inlineStr">
        <is>
          <t>Store</t>
        </is>
      </c>
      <c r="K2780" s="62">
        <f>F2780*(G2780-H2780)</f>
        <v/>
      </c>
      <c r="L2780" s="62">
        <f>K2780-(F2780*I2780)</f>
        <v/>
      </c>
      <c r="M2780" s="64">
        <f>L2780/K2780</f>
        <v/>
      </c>
    </row>
    <row r="2781">
      <c r="A2781" s="58" t="inlineStr">
        <is>
          <t>RT20250313-02780</t>
        </is>
      </c>
      <c r="B2781" s="59" t="inlineStr">
        <is>
          <t>2025-03-13</t>
        </is>
      </c>
      <c r="C2781" s="60" t="inlineStr">
        <is>
          <t>Orion Kitchen Pro-568</t>
        </is>
      </c>
      <c r="D2781" s="58" t="inlineStr">
        <is>
          <t>Home</t>
        </is>
      </c>
      <c r="E2781" s="58" t="inlineStr">
        <is>
          <t>East</t>
        </is>
      </c>
      <c r="F2781" s="61" t="n">
        <v>1</v>
      </c>
      <c r="G2781" s="62" t="n">
        <v>413.72</v>
      </c>
      <c r="H2781" s="63" t="n">
        <v>0.037</v>
      </c>
      <c r="I2781" s="62" t="n">
        <v>301.37</v>
      </c>
      <c r="J2781" s="58" t="inlineStr">
        <is>
          <t>Online</t>
        </is>
      </c>
      <c r="K2781" s="62">
        <f>F2781*(G2781-H2781)</f>
        <v/>
      </c>
      <c r="L2781" s="62">
        <f>K2781-(F2781*I2781)</f>
        <v/>
      </c>
      <c r="M2781" s="64">
        <f>L2781/K2781</f>
        <v/>
      </c>
    </row>
    <row r="2782">
      <c r="A2782" s="58" t="inlineStr">
        <is>
          <t>RT20250313-02781</t>
        </is>
      </c>
      <c r="B2782" s="59" t="inlineStr">
        <is>
          <t>2025-03-13</t>
        </is>
      </c>
      <c r="C2782" s="60" t="inlineStr">
        <is>
          <t>Aurora Furniture X-709</t>
        </is>
      </c>
      <c r="D2782" s="58" t="inlineStr">
        <is>
          <t>Office</t>
        </is>
      </c>
      <c r="E2782" s="58" t="inlineStr">
        <is>
          <t>West</t>
        </is>
      </c>
      <c r="F2782" s="61" t="n">
        <v>2</v>
      </c>
      <c r="G2782" s="62" t="n">
        <v>489.29</v>
      </c>
      <c r="H2782" s="63" t="n">
        <v>0.112</v>
      </c>
      <c r="I2782" s="62" t="n">
        <v>308.15</v>
      </c>
      <c r="J2782" s="58" t="inlineStr">
        <is>
          <t>Store</t>
        </is>
      </c>
      <c r="K2782" s="62">
        <f>F2782*(G2782-H2782)</f>
        <v/>
      </c>
      <c r="L2782" s="62">
        <f>K2782-(F2782*I2782)</f>
        <v/>
      </c>
      <c r="M2782" s="64">
        <f>L2782/K2782</f>
        <v/>
      </c>
    </row>
    <row r="2783">
      <c r="A2783" s="58" t="inlineStr">
        <is>
          <t>RT20250313-02782</t>
        </is>
      </c>
      <c r="B2783" s="59" t="inlineStr">
        <is>
          <t>2025-03-13</t>
        </is>
      </c>
      <c r="C2783" s="60" t="inlineStr">
        <is>
          <t>Solace Makeup Pro-214</t>
        </is>
      </c>
      <c r="D2783" s="58" t="inlineStr">
        <is>
          <t>Beauty</t>
        </is>
      </c>
      <c r="E2783" s="58" t="inlineStr">
        <is>
          <t>East</t>
        </is>
      </c>
      <c r="F2783" s="61" t="n">
        <v>3</v>
      </c>
      <c r="G2783" s="62" t="n">
        <v>100.72</v>
      </c>
      <c r="H2783" s="63" t="n">
        <v>0.079</v>
      </c>
      <c r="I2783" s="62" t="n">
        <v>65.87</v>
      </c>
      <c r="J2783" s="58" t="inlineStr">
        <is>
          <t>Online</t>
        </is>
      </c>
      <c r="K2783" s="62">
        <f>F2783*(G2783-H2783)</f>
        <v/>
      </c>
      <c r="L2783" s="62">
        <f>K2783-(F2783*I2783)</f>
        <v/>
      </c>
      <c r="M2783" s="64">
        <f>L2783/K2783</f>
        <v/>
      </c>
    </row>
    <row r="2784">
      <c r="A2784" s="58" t="inlineStr">
        <is>
          <t>RT20250313-02783</t>
        </is>
      </c>
      <c r="B2784" s="59" t="inlineStr">
        <is>
          <t>2025-03-13</t>
        </is>
      </c>
      <c r="C2784" s="60" t="inlineStr">
        <is>
          <t>Aurora Bedding Max-175</t>
        </is>
      </c>
      <c r="D2784" s="58" t="inlineStr">
        <is>
          <t>Home</t>
        </is>
      </c>
      <c r="E2784" s="58" t="inlineStr">
        <is>
          <t>North</t>
        </is>
      </c>
      <c r="F2784" s="61" t="n">
        <v>2</v>
      </c>
      <c r="G2784" s="62" t="n">
        <v>621.29</v>
      </c>
      <c r="H2784" s="63" t="n">
        <v>0.073</v>
      </c>
      <c r="I2784" s="62" t="n">
        <v>420.1</v>
      </c>
      <c r="J2784" s="58" t="inlineStr">
        <is>
          <t>Store</t>
        </is>
      </c>
      <c r="K2784" s="62">
        <f>F2784*(G2784-H2784)</f>
        <v/>
      </c>
      <c r="L2784" s="62">
        <f>K2784-(F2784*I2784)</f>
        <v/>
      </c>
      <c r="M2784" s="64">
        <f>L2784/K2784</f>
        <v/>
      </c>
    </row>
    <row r="2785">
      <c r="A2785" s="58" t="inlineStr">
        <is>
          <t>RT20250313-02784</t>
        </is>
      </c>
      <c r="B2785" s="59" t="inlineStr">
        <is>
          <t>2025-03-13</t>
        </is>
      </c>
      <c r="C2785" s="60" t="inlineStr">
        <is>
          <t>Polar Laptop Plus-984</t>
        </is>
      </c>
      <c r="D2785" s="58" t="inlineStr">
        <is>
          <t>Electronics</t>
        </is>
      </c>
      <c r="E2785" s="58" t="inlineStr">
        <is>
          <t>East</t>
        </is>
      </c>
      <c r="F2785" s="61" t="n">
        <v>1</v>
      </c>
      <c r="G2785" s="62" t="n">
        <v>1287.14</v>
      </c>
      <c r="H2785" s="63" t="n">
        <v>0.133</v>
      </c>
      <c r="I2785" s="62" t="n">
        <v>990.38</v>
      </c>
      <c r="J2785" s="58" t="inlineStr">
        <is>
          <t>Online</t>
        </is>
      </c>
      <c r="K2785" s="62">
        <f>F2785*(G2785-H2785)</f>
        <v/>
      </c>
      <c r="L2785" s="62">
        <f>K2785-(F2785*I2785)</f>
        <v/>
      </c>
      <c r="M2785" s="64">
        <f>L2785/K2785</f>
        <v/>
      </c>
    </row>
    <row r="2786">
      <c r="A2786" s="58" t="inlineStr">
        <is>
          <t>RT20250313-02785</t>
        </is>
      </c>
      <c r="B2786" s="59" t="inlineStr">
        <is>
          <t>2025-03-13</t>
        </is>
      </c>
      <c r="C2786" s="60" t="inlineStr">
        <is>
          <t>Aurora Wearable Lite-704</t>
        </is>
      </c>
      <c r="D2786" s="58" t="inlineStr">
        <is>
          <t>Electronics</t>
        </is>
      </c>
      <c r="E2786" s="58" t="inlineStr">
        <is>
          <t>South</t>
        </is>
      </c>
      <c r="F2786" s="61" t="n">
        <v>2</v>
      </c>
      <c r="G2786" s="62" t="n">
        <v>1646.26</v>
      </c>
      <c r="H2786" s="63" t="n">
        <v>0.104</v>
      </c>
      <c r="I2786" s="62" t="n">
        <v>1432.09</v>
      </c>
      <c r="J2786" s="58" t="inlineStr">
        <is>
          <t>Store</t>
        </is>
      </c>
      <c r="K2786" s="62">
        <f>F2786*(G2786-H2786)</f>
        <v/>
      </c>
      <c r="L2786" s="62">
        <f>K2786-(F2786*I2786)</f>
        <v/>
      </c>
      <c r="M2786" s="64">
        <f>L2786/K2786</f>
        <v/>
      </c>
    </row>
    <row r="2787">
      <c r="A2787" s="58" t="inlineStr">
        <is>
          <t>RT20250313-02786</t>
        </is>
      </c>
      <c r="B2787" s="59" t="inlineStr">
        <is>
          <t>2025-03-13</t>
        </is>
      </c>
      <c r="C2787" s="60" t="inlineStr">
        <is>
          <t>Falcon Storage X-734</t>
        </is>
      </c>
      <c r="D2787" s="58" t="inlineStr">
        <is>
          <t>Office</t>
        </is>
      </c>
      <c r="E2787" s="58" t="inlineStr">
        <is>
          <t>South</t>
        </is>
      </c>
      <c r="F2787" s="61" t="n">
        <v>1</v>
      </c>
      <c r="G2787" s="62" t="n">
        <v>402.87</v>
      </c>
      <c r="H2787" s="63" t="n">
        <v>0.168</v>
      </c>
      <c r="I2787" s="62" t="n">
        <v>289.51</v>
      </c>
      <c r="J2787" s="58" t="inlineStr">
        <is>
          <t>Phone</t>
        </is>
      </c>
      <c r="K2787" s="62">
        <f>F2787*(G2787-H2787)</f>
        <v/>
      </c>
      <c r="L2787" s="62">
        <f>K2787-(F2787*I2787)</f>
        <v/>
      </c>
      <c r="M2787" s="64">
        <f>L2787/K2787</f>
        <v/>
      </c>
    </row>
    <row r="2788">
      <c r="A2788" s="58" t="inlineStr">
        <is>
          <t>RT20250313-02787</t>
        </is>
      </c>
      <c r="B2788" s="59" t="inlineStr">
        <is>
          <t>2025-03-13</t>
        </is>
      </c>
      <c r="C2788" s="60" t="inlineStr">
        <is>
          <t>Orion Laptop S-350</t>
        </is>
      </c>
      <c r="D2788" s="58" t="inlineStr">
        <is>
          <t>Electronics</t>
        </is>
      </c>
      <c r="E2788" s="58" t="inlineStr">
        <is>
          <t>West</t>
        </is>
      </c>
      <c r="F2788" s="61" t="n">
        <v>1</v>
      </c>
      <c r="G2788" s="62" t="n">
        <v>1452.84</v>
      </c>
      <c r="H2788" s="63" t="n">
        <v>0.098</v>
      </c>
      <c r="I2788" s="62" t="n">
        <v>1075.21</v>
      </c>
      <c r="J2788" s="58" t="inlineStr">
        <is>
          <t>Online</t>
        </is>
      </c>
      <c r="K2788" s="62">
        <f>F2788*(G2788-H2788)</f>
        <v/>
      </c>
      <c r="L2788" s="62">
        <f>K2788-(F2788*I2788)</f>
        <v/>
      </c>
      <c r="M2788" s="64">
        <f>L2788/K2788</f>
        <v/>
      </c>
    </row>
    <row r="2789">
      <c r="A2789" s="58" t="inlineStr">
        <is>
          <t>RT20250313-02788</t>
        </is>
      </c>
      <c r="B2789" s="59" t="inlineStr">
        <is>
          <t>2025-03-13</t>
        </is>
      </c>
      <c r="C2789" s="60" t="inlineStr">
        <is>
          <t>Polar Outdoor X-193</t>
        </is>
      </c>
      <c r="D2789" s="58" t="inlineStr">
        <is>
          <t>Sports</t>
        </is>
      </c>
      <c r="E2789" s="58" t="inlineStr">
        <is>
          <t>Central</t>
        </is>
      </c>
      <c r="F2789" s="61" t="n">
        <v>1</v>
      </c>
      <c r="G2789" s="62" t="n">
        <v>701.49</v>
      </c>
      <c r="H2789" s="63" t="n">
        <v>0.106</v>
      </c>
      <c r="I2789" s="62" t="n">
        <v>459.61</v>
      </c>
      <c r="J2789" s="58" t="inlineStr">
        <is>
          <t>Online</t>
        </is>
      </c>
      <c r="K2789" s="62">
        <f>F2789*(G2789-H2789)</f>
        <v/>
      </c>
      <c r="L2789" s="62">
        <f>K2789-(F2789*I2789)</f>
        <v/>
      </c>
      <c r="M2789" s="64">
        <f>L2789/K2789</f>
        <v/>
      </c>
    </row>
    <row r="2790">
      <c r="A2790" s="58" t="inlineStr">
        <is>
          <t>RT20250313-02789</t>
        </is>
      </c>
      <c r="B2790" s="59" t="inlineStr">
        <is>
          <t>2025-03-13</t>
        </is>
      </c>
      <c r="C2790" s="60" t="inlineStr">
        <is>
          <t>Polar Outdoor X-193</t>
        </is>
      </c>
      <c r="D2790" s="58" t="inlineStr">
        <is>
          <t>Sports</t>
        </is>
      </c>
      <c r="E2790" s="58" t="inlineStr">
        <is>
          <t>East</t>
        </is>
      </c>
      <c r="F2790" s="61" t="n">
        <v>3</v>
      </c>
      <c r="G2790" s="62" t="n">
        <v>629.5599999999999</v>
      </c>
      <c r="H2790" s="63" t="n">
        <v>0.113</v>
      </c>
      <c r="I2790" s="62" t="n">
        <v>451.22</v>
      </c>
      <c r="J2790" s="58" t="inlineStr">
        <is>
          <t>Store</t>
        </is>
      </c>
      <c r="K2790" s="62">
        <f>F2790*(G2790-H2790)</f>
        <v/>
      </c>
      <c r="L2790" s="62">
        <f>K2790-(F2790*I2790)</f>
        <v/>
      </c>
      <c r="M2790" s="64">
        <f>L2790/K2790</f>
        <v/>
      </c>
    </row>
    <row r="2791">
      <c r="A2791" s="58" t="inlineStr">
        <is>
          <t>RT20250313-02790</t>
        </is>
      </c>
      <c r="B2791" s="59" t="inlineStr">
        <is>
          <t>2025-03-13</t>
        </is>
      </c>
      <c r="C2791" s="60" t="inlineStr">
        <is>
          <t>Falcon Household Pro-865</t>
        </is>
      </c>
      <c r="D2791" s="58" t="inlineStr">
        <is>
          <t>Grocery</t>
        </is>
      </c>
      <c r="E2791" s="58" t="inlineStr">
        <is>
          <t>West</t>
        </is>
      </c>
      <c r="F2791" s="61" t="n">
        <v>6</v>
      </c>
      <c r="G2791" s="62" t="n">
        <v>12.07</v>
      </c>
      <c r="H2791" s="63" t="n">
        <v>0.08699999999999999</v>
      </c>
      <c r="I2791" s="62" t="n">
        <v>7.66</v>
      </c>
      <c r="J2791" s="58" t="inlineStr">
        <is>
          <t>Store</t>
        </is>
      </c>
      <c r="K2791" s="62">
        <f>F2791*(G2791-H2791)</f>
        <v/>
      </c>
      <c r="L2791" s="62">
        <f>K2791-(F2791*I2791)</f>
        <v/>
      </c>
      <c r="M2791" s="64">
        <f>L2791/K2791</f>
        <v/>
      </c>
    </row>
    <row r="2792">
      <c r="A2792" s="58" t="inlineStr">
        <is>
          <t>RT20250313-02791</t>
        </is>
      </c>
      <c r="B2792" s="59" t="inlineStr">
        <is>
          <t>2025-03-13</t>
        </is>
      </c>
      <c r="C2792" s="60" t="inlineStr">
        <is>
          <t>Polar Haircare Max-614</t>
        </is>
      </c>
      <c r="D2792" s="58" t="inlineStr">
        <is>
          <t>Beauty</t>
        </is>
      </c>
      <c r="E2792" s="58" t="inlineStr">
        <is>
          <t>West</t>
        </is>
      </c>
      <c r="F2792" s="61" t="n">
        <v>1</v>
      </c>
      <c r="G2792" s="62" t="n">
        <v>109.66</v>
      </c>
      <c r="H2792" s="63" t="n">
        <v>0.115</v>
      </c>
      <c r="I2792" s="62" t="n">
        <v>70.54000000000001</v>
      </c>
      <c r="J2792" s="58" t="inlineStr">
        <is>
          <t>Online</t>
        </is>
      </c>
      <c r="K2792" s="62">
        <f>F2792*(G2792-H2792)</f>
        <v/>
      </c>
      <c r="L2792" s="62">
        <f>K2792-(F2792*I2792)</f>
        <v/>
      </c>
      <c r="M2792" s="64">
        <f>L2792/K2792</f>
        <v/>
      </c>
    </row>
    <row r="2793">
      <c r="A2793" s="58" t="inlineStr">
        <is>
          <t>RT20250313-02792</t>
        </is>
      </c>
      <c r="B2793" s="59" t="inlineStr">
        <is>
          <t>2025-03-13</t>
        </is>
      </c>
      <c r="C2793" s="60" t="inlineStr">
        <is>
          <t>Vertex Pantry Pro-165</t>
        </is>
      </c>
      <c r="D2793" s="58" t="inlineStr">
        <is>
          <t>Grocery</t>
        </is>
      </c>
      <c r="E2793" s="58" t="inlineStr">
        <is>
          <t>East</t>
        </is>
      </c>
      <c r="F2793" s="61" t="n">
        <v>6</v>
      </c>
      <c r="G2793" s="62" t="n">
        <v>13.55</v>
      </c>
      <c r="H2793" s="63" t="n">
        <v>0.114</v>
      </c>
      <c r="I2793" s="62" t="n">
        <v>11.65</v>
      </c>
      <c r="J2793" s="58" t="inlineStr">
        <is>
          <t>Online</t>
        </is>
      </c>
      <c r="K2793" s="62">
        <f>F2793*(G2793-H2793)</f>
        <v/>
      </c>
      <c r="L2793" s="62">
        <f>K2793-(F2793*I2793)</f>
        <v/>
      </c>
      <c r="M2793" s="64">
        <f>L2793/K2793</f>
        <v/>
      </c>
    </row>
    <row r="2794">
      <c r="A2794" s="58" t="inlineStr">
        <is>
          <t>RT20250313-02793</t>
        </is>
      </c>
      <c r="B2794" s="59" t="inlineStr">
        <is>
          <t>2025-03-13</t>
        </is>
      </c>
      <c r="C2794" s="60" t="inlineStr">
        <is>
          <t>Falcon Cycling Pro-499</t>
        </is>
      </c>
      <c r="D2794" s="58" t="inlineStr">
        <is>
          <t>Sports</t>
        </is>
      </c>
      <c r="E2794" s="58" t="inlineStr">
        <is>
          <t>West</t>
        </is>
      </c>
      <c r="F2794" s="61" t="n">
        <v>2</v>
      </c>
      <c r="G2794" s="62" t="n">
        <v>573.0700000000001</v>
      </c>
      <c r="H2794" s="63" t="n">
        <v>0.159</v>
      </c>
      <c r="I2794" s="62" t="n">
        <v>393.18</v>
      </c>
      <c r="J2794" s="58" t="inlineStr">
        <is>
          <t>Online</t>
        </is>
      </c>
      <c r="K2794" s="62">
        <f>F2794*(G2794-H2794)</f>
        <v/>
      </c>
      <c r="L2794" s="62">
        <f>K2794-(F2794*I2794)</f>
        <v/>
      </c>
      <c r="M2794" s="64">
        <f>L2794/K2794</f>
        <v/>
      </c>
    </row>
    <row r="2795">
      <c r="A2795" s="58" t="inlineStr">
        <is>
          <t>RT20250313-02794</t>
        </is>
      </c>
      <c r="B2795" s="59" t="inlineStr">
        <is>
          <t>2025-03-13</t>
        </is>
      </c>
      <c r="C2795" s="60" t="inlineStr">
        <is>
          <t>Falcon Furniture Plus-839</t>
        </is>
      </c>
      <c r="D2795" s="58" t="inlineStr">
        <is>
          <t>Office</t>
        </is>
      </c>
      <c r="E2795" s="58" t="inlineStr">
        <is>
          <t>Central</t>
        </is>
      </c>
      <c r="F2795" s="61" t="n">
        <v>1</v>
      </c>
      <c r="G2795" s="62" t="n">
        <v>306.24</v>
      </c>
      <c r="H2795" s="63" t="n">
        <v>0.121</v>
      </c>
      <c r="I2795" s="62" t="n">
        <v>231.3</v>
      </c>
      <c r="J2795" s="58" t="inlineStr">
        <is>
          <t>Online</t>
        </is>
      </c>
      <c r="K2795" s="62">
        <f>F2795*(G2795-H2795)</f>
        <v/>
      </c>
      <c r="L2795" s="62">
        <f>K2795-(F2795*I2795)</f>
        <v/>
      </c>
      <c r="M2795" s="64">
        <f>L2795/K2795</f>
        <v/>
      </c>
    </row>
    <row r="2796">
      <c r="A2796" s="58" t="inlineStr">
        <is>
          <t>RT20250313-02795</t>
        </is>
      </c>
      <c r="B2796" s="59" t="inlineStr">
        <is>
          <t>2025-03-13</t>
        </is>
      </c>
      <c r="C2796" s="60" t="inlineStr">
        <is>
          <t>Polar Pantry Lite-392</t>
        </is>
      </c>
      <c r="D2796" s="58" t="inlineStr">
        <is>
          <t>Grocery</t>
        </is>
      </c>
      <c r="E2796" s="58" t="inlineStr">
        <is>
          <t>South</t>
        </is>
      </c>
      <c r="F2796" s="61" t="n">
        <v>5</v>
      </c>
      <c r="G2796" s="62" t="n">
        <v>5.69</v>
      </c>
      <c r="H2796" s="63" t="n">
        <v>0.056</v>
      </c>
      <c r="I2796" s="62" t="n">
        <v>4.57</v>
      </c>
      <c r="J2796" s="58" t="inlineStr">
        <is>
          <t>Store</t>
        </is>
      </c>
      <c r="K2796" s="62">
        <f>F2796*(G2796-H2796)</f>
        <v/>
      </c>
      <c r="L2796" s="62">
        <f>K2796-(F2796*I2796)</f>
        <v/>
      </c>
      <c r="M2796" s="64">
        <f>L2796/K2796</f>
        <v/>
      </c>
    </row>
    <row r="2797">
      <c r="A2797" s="58" t="inlineStr">
        <is>
          <t>RT20250313-02796</t>
        </is>
      </c>
      <c r="B2797" s="59" t="inlineStr">
        <is>
          <t>2025-03-13</t>
        </is>
      </c>
      <c r="C2797" s="60" t="inlineStr">
        <is>
          <t>Falcon Skincare X-334</t>
        </is>
      </c>
      <c r="D2797" s="58" t="inlineStr">
        <is>
          <t>Beauty</t>
        </is>
      </c>
      <c r="E2797" s="58" t="inlineStr">
        <is>
          <t>West</t>
        </is>
      </c>
      <c r="F2797" s="61" t="n">
        <v>5</v>
      </c>
      <c r="G2797" s="62" t="n">
        <v>111.41</v>
      </c>
      <c r="H2797" s="63" t="n">
        <v>0.153</v>
      </c>
      <c r="I2797" s="62" t="n">
        <v>63.61</v>
      </c>
      <c r="J2797" s="58" t="inlineStr">
        <is>
          <t>Online</t>
        </is>
      </c>
      <c r="K2797" s="62">
        <f>F2797*(G2797-H2797)</f>
        <v/>
      </c>
      <c r="L2797" s="62">
        <f>K2797-(F2797*I2797)</f>
        <v/>
      </c>
      <c r="M2797" s="64">
        <f>L2797/K2797</f>
        <v/>
      </c>
    </row>
    <row r="2798">
      <c r="A2798" s="58" t="inlineStr">
        <is>
          <t>RT20250313-02797</t>
        </is>
      </c>
      <c r="B2798" s="59" t="inlineStr">
        <is>
          <t>2025-03-13</t>
        </is>
      </c>
      <c r="C2798" s="60" t="inlineStr">
        <is>
          <t>Orion Laptop S-350</t>
        </is>
      </c>
      <c r="D2798" s="58" t="inlineStr">
        <is>
          <t>Electronics</t>
        </is>
      </c>
      <c r="E2798" s="58" t="inlineStr">
        <is>
          <t>East</t>
        </is>
      </c>
      <c r="F2798" s="61" t="n">
        <v>1</v>
      </c>
      <c r="G2798" s="62" t="n">
        <v>1519.83</v>
      </c>
      <c r="H2798" s="63" t="n">
        <v>0.105</v>
      </c>
      <c r="I2798" s="62" t="n">
        <v>1093.67</v>
      </c>
      <c r="J2798" s="58" t="inlineStr">
        <is>
          <t>Store</t>
        </is>
      </c>
      <c r="K2798" s="62">
        <f>F2798*(G2798-H2798)</f>
        <v/>
      </c>
      <c r="L2798" s="62">
        <f>K2798-(F2798*I2798)</f>
        <v/>
      </c>
      <c r="M2798" s="64">
        <f>L2798/K2798</f>
        <v/>
      </c>
    </row>
    <row r="2799">
      <c r="A2799" s="58" t="inlineStr">
        <is>
          <t>RT20250313-02798</t>
        </is>
      </c>
      <c r="B2799" s="59" t="inlineStr">
        <is>
          <t>2025-03-13</t>
        </is>
      </c>
      <c r="C2799" s="60" t="inlineStr">
        <is>
          <t>Falcon Skincare Max-151</t>
        </is>
      </c>
      <c r="D2799" s="58" t="inlineStr">
        <is>
          <t>Beauty</t>
        </is>
      </c>
      <c r="E2799" s="58" t="inlineStr">
        <is>
          <t>South</t>
        </is>
      </c>
      <c r="F2799" s="61" t="n">
        <v>1</v>
      </c>
      <c r="G2799" s="62" t="n">
        <v>102.4</v>
      </c>
      <c r="H2799" s="63" t="n">
        <v>0.08599999999999999</v>
      </c>
      <c r="I2799" s="62" t="n">
        <v>57.64</v>
      </c>
      <c r="J2799" s="58" t="inlineStr">
        <is>
          <t>Store</t>
        </is>
      </c>
      <c r="K2799" s="62">
        <f>F2799*(G2799-H2799)</f>
        <v/>
      </c>
      <c r="L2799" s="62">
        <f>K2799-(F2799*I2799)</f>
        <v/>
      </c>
      <c r="M2799" s="64">
        <f>L2799/K2799</f>
        <v/>
      </c>
    </row>
    <row r="2800">
      <c r="A2800" s="58" t="inlineStr">
        <is>
          <t>RT20250314-02799</t>
        </is>
      </c>
      <c r="B2800" s="59" t="inlineStr">
        <is>
          <t>2025-03-14</t>
        </is>
      </c>
      <c r="C2800" s="60" t="inlineStr">
        <is>
          <t>Polar Decor X-935</t>
        </is>
      </c>
      <c r="D2800" s="58" t="inlineStr">
        <is>
          <t>Home</t>
        </is>
      </c>
      <c r="E2800" s="58" t="inlineStr">
        <is>
          <t>South</t>
        </is>
      </c>
      <c r="F2800" s="61" t="n">
        <v>2</v>
      </c>
      <c r="G2800" s="62" t="n">
        <v>259.52</v>
      </c>
      <c r="H2800" s="63" t="n">
        <v>0.1</v>
      </c>
      <c r="I2800" s="62" t="n">
        <v>203.16</v>
      </c>
      <c r="J2800" s="58" t="inlineStr">
        <is>
          <t>Store</t>
        </is>
      </c>
      <c r="K2800" s="62">
        <f>F2800*(G2800-H2800)</f>
        <v/>
      </c>
      <c r="L2800" s="62">
        <f>K2800-(F2800*I2800)</f>
        <v/>
      </c>
      <c r="M2800" s="64">
        <f>L2800/K2800</f>
        <v/>
      </c>
    </row>
    <row r="2801">
      <c r="A2801" s="58" t="inlineStr">
        <is>
          <t>RT20250314-02800</t>
        </is>
      </c>
      <c r="B2801" s="59" t="inlineStr">
        <is>
          <t>2025-03-14</t>
        </is>
      </c>
      <c r="C2801" s="60" t="inlineStr">
        <is>
          <t>Aurora Fitnes Lite-194</t>
        </is>
      </c>
      <c r="D2801" s="58" t="inlineStr">
        <is>
          <t>Sports</t>
        </is>
      </c>
      <c r="E2801" s="58" t="inlineStr">
        <is>
          <t>East</t>
        </is>
      </c>
      <c r="F2801" s="61" t="n">
        <v>2</v>
      </c>
      <c r="G2801" s="62" t="n">
        <v>648.5599999999999</v>
      </c>
      <c r="H2801" s="63" t="n">
        <v>0.067</v>
      </c>
      <c r="I2801" s="62" t="n">
        <v>476.65</v>
      </c>
      <c r="J2801" s="58" t="inlineStr">
        <is>
          <t>Online</t>
        </is>
      </c>
      <c r="K2801" s="62">
        <f>F2801*(G2801-H2801)</f>
        <v/>
      </c>
      <c r="L2801" s="62">
        <f>K2801-(F2801*I2801)</f>
        <v/>
      </c>
      <c r="M2801" s="64">
        <f>L2801/K2801</f>
        <v/>
      </c>
    </row>
    <row r="2802">
      <c r="A2802" s="58" t="inlineStr">
        <is>
          <t>RT20250314-02801</t>
        </is>
      </c>
      <c r="B2802" s="59" t="inlineStr">
        <is>
          <t>2025-03-14</t>
        </is>
      </c>
      <c r="C2802" s="60" t="inlineStr">
        <is>
          <t>Falcon Headphone Plus-789</t>
        </is>
      </c>
      <c r="D2802" s="58" t="inlineStr">
        <is>
          <t>Electronics</t>
        </is>
      </c>
      <c r="E2802" s="58" t="inlineStr">
        <is>
          <t>South</t>
        </is>
      </c>
      <c r="F2802" s="61" t="n">
        <v>1</v>
      </c>
      <c r="G2802" s="62" t="n">
        <v>1704.04</v>
      </c>
      <c r="H2802" s="63" t="n">
        <v>0.112</v>
      </c>
      <c r="I2802" s="62" t="n">
        <v>1345.6</v>
      </c>
      <c r="J2802" s="58" t="inlineStr">
        <is>
          <t>Online</t>
        </is>
      </c>
      <c r="K2802" s="62">
        <f>F2802*(G2802-H2802)</f>
        <v/>
      </c>
      <c r="L2802" s="62">
        <f>K2802-(F2802*I2802)</f>
        <v/>
      </c>
      <c r="M2802" s="64">
        <f>L2802/K2802</f>
        <v/>
      </c>
    </row>
    <row r="2803">
      <c r="A2803" s="58" t="inlineStr">
        <is>
          <t>RT20250314-02802</t>
        </is>
      </c>
      <c r="B2803" s="59" t="inlineStr">
        <is>
          <t>2025-03-14</t>
        </is>
      </c>
      <c r="C2803" s="60" t="inlineStr">
        <is>
          <t>Solace Snack S-691</t>
        </is>
      </c>
      <c r="D2803" s="58" t="inlineStr">
        <is>
          <t>Grocery</t>
        </is>
      </c>
      <c r="E2803" s="58" t="inlineStr">
        <is>
          <t>West</t>
        </is>
      </c>
      <c r="F2803" s="61" t="n">
        <v>1</v>
      </c>
      <c r="G2803" s="62" t="n">
        <v>9.710000000000001</v>
      </c>
      <c r="H2803" s="63" t="n">
        <v>0.067</v>
      </c>
      <c r="I2803" s="62" t="n">
        <v>7.35</v>
      </c>
      <c r="J2803" s="58" t="inlineStr">
        <is>
          <t>Store</t>
        </is>
      </c>
      <c r="K2803" s="62">
        <f>F2803*(G2803-H2803)</f>
        <v/>
      </c>
      <c r="L2803" s="62">
        <f>K2803-(F2803*I2803)</f>
        <v/>
      </c>
      <c r="M2803" s="64">
        <f>L2803/K2803</f>
        <v/>
      </c>
    </row>
    <row r="2804">
      <c r="A2804" s="58" t="inlineStr">
        <is>
          <t>RT20250314-02803</t>
        </is>
      </c>
      <c r="B2804" s="59" t="inlineStr">
        <is>
          <t>2025-03-14</t>
        </is>
      </c>
      <c r="C2804" s="60" t="inlineStr">
        <is>
          <t>Nimbus Women Lite-814</t>
        </is>
      </c>
      <c r="D2804" s="58" t="inlineStr">
        <is>
          <t>Apparel</t>
        </is>
      </c>
      <c r="E2804" s="58" t="inlineStr">
        <is>
          <t>Central</t>
        </is>
      </c>
      <c r="F2804" s="61" t="n">
        <v>4</v>
      </c>
      <c r="G2804" s="62" t="n">
        <v>174.69</v>
      </c>
      <c r="H2804" s="63" t="n">
        <v>0.08500000000000001</v>
      </c>
      <c r="I2804" s="62" t="n">
        <v>84.56</v>
      </c>
      <c r="J2804" s="58" t="inlineStr">
        <is>
          <t>Online</t>
        </is>
      </c>
      <c r="K2804" s="62">
        <f>F2804*(G2804-H2804)</f>
        <v/>
      </c>
      <c r="L2804" s="62">
        <f>K2804-(F2804*I2804)</f>
        <v/>
      </c>
      <c r="M2804" s="64">
        <f>L2804/K2804</f>
        <v/>
      </c>
    </row>
    <row r="2805">
      <c r="A2805" s="58" t="inlineStr">
        <is>
          <t>RT20250314-02804</t>
        </is>
      </c>
      <c r="B2805" s="59" t="inlineStr">
        <is>
          <t>2025-03-14</t>
        </is>
      </c>
      <c r="C2805" s="60" t="inlineStr">
        <is>
          <t>Polar Outdoor Lite-318</t>
        </is>
      </c>
      <c r="D2805" s="58" t="inlineStr">
        <is>
          <t>Sports</t>
        </is>
      </c>
      <c r="E2805" s="58" t="inlineStr">
        <is>
          <t>East</t>
        </is>
      </c>
      <c r="F2805" s="61" t="n">
        <v>3</v>
      </c>
      <c r="G2805" s="62" t="n">
        <v>611.63</v>
      </c>
      <c r="H2805" s="63" t="n">
        <v>0.111</v>
      </c>
      <c r="I2805" s="62" t="n">
        <v>470.92</v>
      </c>
      <c r="J2805" s="58" t="inlineStr">
        <is>
          <t>Store</t>
        </is>
      </c>
      <c r="K2805" s="62">
        <f>F2805*(G2805-H2805)</f>
        <v/>
      </c>
      <c r="L2805" s="62">
        <f>K2805-(F2805*I2805)</f>
        <v/>
      </c>
      <c r="M2805" s="64">
        <f>L2805/K2805</f>
        <v/>
      </c>
    </row>
    <row r="2806">
      <c r="A2806" s="58" t="inlineStr">
        <is>
          <t>RT20250314-02805</t>
        </is>
      </c>
      <c r="B2806" s="59" t="inlineStr">
        <is>
          <t>2025-03-14</t>
        </is>
      </c>
      <c r="C2806" s="60" t="inlineStr">
        <is>
          <t>Solace Smartphone Lite-533</t>
        </is>
      </c>
      <c r="D2806" s="58" t="inlineStr">
        <is>
          <t>Electronics</t>
        </is>
      </c>
      <c r="E2806" s="58" t="inlineStr">
        <is>
          <t>East</t>
        </is>
      </c>
      <c r="F2806" s="61" t="n">
        <v>2</v>
      </c>
      <c r="G2806" s="62" t="n">
        <v>1186.32</v>
      </c>
      <c r="H2806" s="63" t="n">
        <v>0.076</v>
      </c>
      <c r="I2806" s="62" t="n">
        <v>906.4299999999999</v>
      </c>
      <c r="J2806" s="58" t="inlineStr">
        <is>
          <t>Online</t>
        </is>
      </c>
      <c r="K2806" s="62">
        <f>F2806*(G2806-H2806)</f>
        <v/>
      </c>
      <c r="L2806" s="62">
        <f>K2806-(F2806*I2806)</f>
        <v/>
      </c>
      <c r="M2806" s="64">
        <f>L2806/K2806</f>
        <v/>
      </c>
    </row>
    <row r="2807">
      <c r="A2807" s="58" t="inlineStr">
        <is>
          <t>RT20250314-02806</t>
        </is>
      </c>
      <c r="B2807" s="59" t="inlineStr">
        <is>
          <t>2025-03-14</t>
        </is>
      </c>
      <c r="C2807" s="60" t="inlineStr">
        <is>
          <t>Vertex Appliance S-296</t>
        </is>
      </c>
      <c r="D2807" s="58" t="inlineStr">
        <is>
          <t>Home</t>
        </is>
      </c>
      <c r="E2807" s="58" t="inlineStr">
        <is>
          <t>West</t>
        </is>
      </c>
      <c r="F2807" s="61" t="n">
        <v>1</v>
      </c>
      <c r="G2807" s="62" t="n">
        <v>531.42</v>
      </c>
      <c r="H2807" s="63" t="n">
        <v>0.117</v>
      </c>
      <c r="I2807" s="62" t="n">
        <v>352.2</v>
      </c>
      <c r="J2807" s="58" t="inlineStr">
        <is>
          <t>Store</t>
        </is>
      </c>
      <c r="K2807" s="62">
        <f>F2807*(G2807-H2807)</f>
        <v/>
      </c>
      <c r="L2807" s="62">
        <f>K2807-(F2807*I2807)</f>
        <v/>
      </c>
      <c r="M2807" s="64">
        <f>L2807/K2807</f>
        <v/>
      </c>
    </row>
    <row r="2808">
      <c r="A2808" s="58" t="inlineStr">
        <is>
          <t>RT20250314-02807</t>
        </is>
      </c>
      <c r="B2808" s="59" t="inlineStr">
        <is>
          <t>2025-03-14</t>
        </is>
      </c>
      <c r="C2808" s="60" t="inlineStr">
        <is>
          <t>Polar Bedding Lite-243</t>
        </is>
      </c>
      <c r="D2808" s="58" t="inlineStr">
        <is>
          <t>Home</t>
        </is>
      </c>
      <c r="E2808" s="58" t="inlineStr">
        <is>
          <t>South</t>
        </is>
      </c>
      <c r="F2808" s="61" t="n">
        <v>2</v>
      </c>
      <c r="G2808" s="62" t="n">
        <v>443.73</v>
      </c>
      <c r="H2808" s="63" t="n">
        <v>0.083</v>
      </c>
      <c r="I2808" s="62" t="n">
        <v>313.38</v>
      </c>
      <c r="J2808" s="58" t="inlineStr">
        <is>
          <t>Online</t>
        </is>
      </c>
      <c r="K2808" s="62">
        <f>F2808*(G2808-H2808)</f>
        <v/>
      </c>
      <c r="L2808" s="62">
        <f>K2808-(F2808*I2808)</f>
        <v/>
      </c>
      <c r="M2808" s="64">
        <f>L2808/K2808</f>
        <v/>
      </c>
    </row>
    <row r="2809">
      <c r="A2809" s="58" t="inlineStr">
        <is>
          <t>RT20250314-02808</t>
        </is>
      </c>
      <c r="B2809" s="59" t="inlineStr">
        <is>
          <t>2025-03-14</t>
        </is>
      </c>
      <c r="C2809" s="60" t="inlineStr">
        <is>
          <t>Orion Team Sport X-926</t>
        </is>
      </c>
      <c r="D2809" s="58" t="inlineStr">
        <is>
          <t>Sports</t>
        </is>
      </c>
      <c r="E2809" s="58" t="inlineStr">
        <is>
          <t>South</t>
        </is>
      </c>
      <c r="F2809" s="61" t="n">
        <v>2</v>
      </c>
      <c r="G2809" s="62" t="n">
        <v>343.92</v>
      </c>
      <c r="H2809" s="63" t="n">
        <v>0.078</v>
      </c>
      <c r="I2809" s="62" t="n">
        <v>208.7</v>
      </c>
      <c r="J2809" s="58" t="inlineStr">
        <is>
          <t>Online</t>
        </is>
      </c>
      <c r="K2809" s="62">
        <f>F2809*(G2809-H2809)</f>
        <v/>
      </c>
      <c r="L2809" s="62">
        <f>K2809-(F2809*I2809)</f>
        <v/>
      </c>
      <c r="M2809" s="64">
        <f>L2809/K2809</f>
        <v/>
      </c>
    </row>
    <row r="2810">
      <c r="A2810" s="58" t="inlineStr">
        <is>
          <t>RT20250314-02809</t>
        </is>
      </c>
      <c r="B2810" s="59" t="inlineStr">
        <is>
          <t>2025-03-14</t>
        </is>
      </c>
      <c r="C2810" s="60" t="inlineStr">
        <is>
          <t>Falcon Skincare X-334</t>
        </is>
      </c>
      <c r="D2810" s="58" t="inlineStr">
        <is>
          <t>Beauty</t>
        </is>
      </c>
      <c r="E2810" s="58" t="inlineStr">
        <is>
          <t>West</t>
        </is>
      </c>
      <c r="F2810" s="61" t="n">
        <v>5</v>
      </c>
      <c r="G2810" s="62" t="n">
        <v>104.31</v>
      </c>
      <c r="H2810" s="63" t="n">
        <v>0.06</v>
      </c>
      <c r="I2810" s="62" t="n">
        <v>64.23</v>
      </c>
      <c r="J2810" s="58" t="inlineStr">
        <is>
          <t>Store</t>
        </is>
      </c>
      <c r="K2810" s="62">
        <f>F2810*(G2810-H2810)</f>
        <v/>
      </c>
      <c r="L2810" s="62">
        <f>K2810-(F2810*I2810)</f>
        <v/>
      </c>
      <c r="M2810" s="64">
        <f>L2810/K2810</f>
        <v/>
      </c>
    </row>
    <row r="2811">
      <c r="A2811" s="58" t="inlineStr">
        <is>
          <t>RT20250314-02810</t>
        </is>
      </c>
      <c r="B2811" s="59" t="inlineStr">
        <is>
          <t>2025-03-14</t>
        </is>
      </c>
      <c r="C2811" s="60" t="inlineStr">
        <is>
          <t>Metro Accessorie Lite-697</t>
        </is>
      </c>
      <c r="D2811" s="58" t="inlineStr">
        <is>
          <t>Apparel</t>
        </is>
      </c>
      <c r="E2811" s="58" t="inlineStr">
        <is>
          <t>West</t>
        </is>
      </c>
      <c r="F2811" s="61" t="n">
        <v>2</v>
      </c>
      <c r="G2811" s="62" t="n">
        <v>135.41</v>
      </c>
      <c r="H2811" s="63" t="n">
        <v>0.13</v>
      </c>
      <c r="I2811" s="62" t="n">
        <v>76.79000000000001</v>
      </c>
      <c r="J2811" s="58" t="inlineStr">
        <is>
          <t>Store</t>
        </is>
      </c>
      <c r="K2811" s="62">
        <f>F2811*(G2811-H2811)</f>
        <v/>
      </c>
      <c r="L2811" s="62">
        <f>K2811-(F2811*I2811)</f>
        <v/>
      </c>
      <c r="M2811" s="64">
        <f>L2811/K2811</f>
        <v/>
      </c>
    </row>
    <row r="2812">
      <c r="A2812" s="58" t="inlineStr">
        <is>
          <t>RT20250314-02811</t>
        </is>
      </c>
      <c r="B2812" s="59" t="inlineStr">
        <is>
          <t>2025-03-14</t>
        </is>
      </c>
      <c r="C2812" s="60" t="inlineStr">
        <is>
          <t>Polar Supplie Lite-348</t>
        </is>
      </c>
      <c r="D2812" s="58" t="inlineStr">
        <is>
          <t>Office</t>
        </is>
      </c>
      <c r="E2812" s="58" t="inlineStr">
        <is>
          <t>West</t>
        </is>
      </c>
      <c r="F2812" s="61" t="n">
        <v>2</v>
      </c>
      <c r="G2812" s="62" t="n">
        <v>429.85</v>
      </c>
      <c r="H2812" s="63" t="n">
        <v>0.08400000000000001</v>
      </c>
      <c r="I2812" s="62" t="n">
        <v>324.36</v>
      </c>
      <c r="J2812" s="58" t="inlineStr">
        <is>
          <t>Store</t>
        </is>
      </c>
      <c r="K2812" s="62">
        <f>F2812*(G2812-H2812)</f>
        <v/>
      </c>
      <c r="L2812" s="62">
        <f>K2812-(F2812*I2812)</f>
        <v/>
      </c>
      <c r="M2812" s="64">
        <f>L2812/K2812</f>
        <v/>
      </c>
    </row>
    <row r="2813">
      <c r="A2813" s="58" t="inlineStr">
        <is>
          <t>RT20250314-02812</t>
        </is>
      </c>
      <c r="B2813" s="59" t="inlineStr">
        <is>
          <t>2025-03-14</t>
        </is>
      </c>
      <c r="C2813" s="60" t="inlineStr">
        <is>
          <t>Metro Decor Lite-325</t>
        </is>
      </c>
      <c r="D2813" s="58" t="inlineStr">
        <is>
          <t>Home</t>
        </is>
      </c>
      <c r="E2813" s="58" t="inlineStr">
        <is>
          <t>East</t>
        </is>
      </c>
      <c r="F2813" s="61" t="n">
        <v>3</v>
      </c>
      <c r="G2813" s="62" t="n">
        <v>520.29</v>
      </c>
      <c r="H2813" s="63" t="n">
        <v>0.138</v>
      </c>
      <c r="I2813" s="62" t="n">
        <v>371.78</v>
      </c>
      <c r="J2813" s="58" t="inlineStr">
        <is>
          <t>Store</t>
        </is>
      </c>
      <c r="K2813" s="62">
        <f>F2813*(G2813-H2813)</f>
        <v/>
      </c>
      <c r="L2813" s="62">
        <f>K2813-(F2813*I2813)</f>
        <v/>
      </c>
      <c r="M2813" s="64">
        <f>L2813/K2813</f>
        <v/>
      </c>
    </row>
    <row r="2814">
      <c r="A2814" s="58" t="inlineStr">
        <is>
          <t>RT20250314-02813</t>
        </is>
      </c>
      <c r="B2814" s="59" t="inlineStr">
        <is>
          <t>2025-03-14</t>
        </is>
      </c>
      <c r="C2814" s="60" t="inlineStr">
        <is>
          <t>Falcon Furniture Plus-839</t>
        </is>
      </c>
      <c r="D2814" s="58" t="inlineStr">
        <is>
          <t>Office</t>
        </is>
      </c>
      <c r="E2814" s="58" t="inlineStr">
        <is>
          <t>East</t>
        </is>
      </c>
      <c r="F2814" s="61" t="n">
        <v>3</v>
      </c>
      <c r="G2814" s="62" t="n">
        <v>272.44</v>
      </c>
      <c r="H2814" s="63" t="n">
        <v>0.127</v>
      </c>
      <c r="I2814" s="62" t="n">
        <v>230.91</v>
      </c>
      <c r="J2814" s="58" t="inlineStr">
        <is>
          <t>Online</t>
        </is>
      </c>
      <c r="K2814" s="62">
        <f>F2814*(G2814-H2814)</f>
        <v/>
      </c>
      <c r="L2814" s="62">
        <f>K2814-(F2814*I2814)</f>
        <v/>
      </c>
      <c r="M2814" s="64">
        <f>L2814/K2814</f>
        <v/>
      </c>
    </row>
    <row r="2815">
      <c r="A2815" s="58" t="inlineStr">
        <is>
          <t>RT20250314-02814</t>
        </is>
      </c>
      <c r="B2815" s="59" t="inlineStr">
        <is>
          <t>2025-03-14</t>
        </is>
      </c>
      <c r="C2815" s="60" t="inlineStr">
        <is>
          <t>Aurora Makeup S-626</t>
        </is>
      </c>
      <c r="D2815" s="58" t="inlineStr">
        <is>
          <t>Beauty</t>
        </is>
      </c>
      <c r="E2815" s="58" t="inlineStr">
        <is>
          <t>Central</t>
        </is>
      </c>
      <c r="F2815" s="61" t="n">
        <v>2</v>
      </c>
      <c r="G2815" s="62" t="n">
        <v>108.36</v>
      </c>
      <c r="H2815" s="63" t="n">
        <v>0.08500000000000001</v>
      </c>
      <c r="I2815" s="62" t="n">
        <v>62.79</v>
      </c>
      <c r="J2815" s="58" t="inlineStr">
        <is>
          <t>Store</t>
        </is>
      </c>
      <c r="K2815" s="62">
        <f>F2815*(G2815-H2815)</f>
        <v/>
      </c>
      <c r="L2815" s="62">
        <f>K2815-(F2815*I2815)</f>
        <v/>
      </c>
      <c r="M2815" s="64">
        <f>L2815/K2815</f>
        <v/>
      </c>
    </row>
    <row r="2816">
      <c r="A2816" s="58" t="inlineStr">
        <is>
          <t>RT20250314-02815</t>
        </is>
      </c>
      <c r="B2816" s="59" t="inlineStr">
        <is>
          <t>2025-03-14</t>
        </is>
      </c>
      <c r="C2816" s="60" t="inlineStr">
        <is>
          <t>Vertex Printer Max-692</t>
        </is>
      </c>
      <c r="D2816" s="58" t="inlineStr">
        <is>
          <t>Office</t>
        </is>
      </c>
      <c r="E2816" s="58" t="inlineStr">
        <is>
          <t>East</t>
        </is>
      </c>
      <c r="F2816" s="61" t="n">
        <v>1</v>
      </c>
      <c r="G2816" s="62" t="n">
        <v>163.47</v>
      </c>
      <c r="H2816" s="63" t="n">
        <v>0.092</v>
      </c>
      <c r="I2816" s="62" t="n">
        <v>126.27</v>
      </c>
      <c r="J2816" s="58" t="inlineStr">
        <is>
          <t>Store</t>
        </is>
      </c>
      <c r="K2816" s="62">
        <f>F2816*(G2816-H2816)</f>
        <v/>
      </c>
      <c r="L2816" s="62">
        <f>K2816-(F2816*I2816)</f>
        <v/>
      </c>
      <c r="M2816" s="64">
        <f>L2816/K2816</f>
        <v/>
      </c>
    </row>
    <row r="2817">
      <c r="A2817" s="58" t="inlineStr">
        <is>
          <t>RT20250314-02816</t>
        </is>
      </c>
      <c r="B2817" s="59" t="inlineStr">
        <is>
          <t>2025-03-14</t>
        </is>
      </c>
      <c r="C2817" s="60" t="inlineStr">
        <is>
          <t>Aurora Appliance Max-316</t>
        </is>
      </c>
      <c r="D2817" s="58" t="inlineStr">
        <is>
          <t>Home</t>
        </is>
      </c>
      <c r="E2817" s="58" t="inlineStr">
        <is>
          <t>West</t>
        </is>
      </c>
      <c r="F2817" s="61" t="n">
        <v>2</v>
      </c>
      <c r="G2817" s="62" t="n">
        <v>277.17</v>
      </c>
      <c r="H2817" s="63" t="n">
        <v>0.054</v>
      </c>
      <c r="I2817" s="62" t="n">
        <v>214</v>
      </c>
      <c r="J2817" s="58" t="inlineStr">
        <is>
          <t>Online</t>
        </is>
      </c>
      <c r="K2817" s="62">
        <f>F2817*(G2817-H2817)</f>
        <v/>
      </c>
      <c r="L2817" s="62">
        <f>K2817-(F2817*I2817)</f>
        <v/>
      </c>
      <c r="M2817" s="64">
        <f>L2817/K2817</f>
        <v/>
      </c>
    </row>
    <row r="2818">
      <c r="A2818" s="58" t="inlineStr">
        <is>
          <t>RT20250314-02817</t>
        </is>
      </c>
      <c r="B2818" s="59" t="inlineStr">
        <is>
          <t>2025-03-14</t>
        </is>
      </c>
      <c r="C2818" s="60" t="inlineStr">
        <is>
          <t>Orion Kitchen Pro-568</t>
        </is>
      </c>
      <c r="D2818" s="58" t="inlineStr">
        <is>
          <t>Home</t>
        </is>
      </c>
      <c r="E2818" s="58" t="inlineStr">
        <is>
          <t>South</t>
        </is>
      </c>
      <c r="F2818" s="61" t="n">
        <v>1</v>
      </c>
      <c r="G2818" s="62" t="n">
        <v>412.44</v>
      </c>
      <c r="H2818" s="63" t="n">
        <v>0.106</v>
      </c>
      <c r="I2818" s="62" t="n">
        <v>312.15</v>
      </c>
      <c r="J2818" s="58" t="inlineStr">
        <is>
          <t>Store</t>
        </is>
      </c>
      <c r="K2818" s="62">
        <f>F2818*(G2818-H2818)</f>
        <v/>
      </c>
      <c r="L2818" s="62">
        <f>K2818-(F2818*I2818)</f>
        <v/>
      </c>
      <c r="M2818" s="64">
        <f>L2818/K2818</f>
        <v/>
      </c>
    </row>
    <row r="2819">
      <c r="A2819" s="58" t="inlineStr">
        <is>
          <t>RT20250314-02818</t>
        </is>
      </c>
      <c r="B2819" s="59" t="inlineStr">
        <is>
          <t>2025-03-14</t>
        </is>
      </c>
      <c r="C2819" s="60" t="inlineStr">
        <is>
          <t>Vertex Supplie X-513</t>
        </is>
      </c>
      <c r="D2819" s="58" t="inlineStr">
        <is>
          <t>Office</t>
        </is>
      </c>
      <c r="E2819" s="58" t="inlineStr">
        <is>
          <t>East</t>
        </is>
      </c>
      <c r="F2819" s="61" t="n">
        <v>3</v>
      </c>
      <c r="G2819" s="62" t="n">
        <v>428.87</v>
      </c>
      <c r="H2819" s="63" t="n">
        <v>0.104</v>
      </c>
      <c r="I2819" s="62" t="n">
        <v>271.39</v>
      </c>
      <c r="J2819" s="58" t="inlineStr">
        <is>
          <t>Store</t>
        </is>
      </c>
      <c r="K2819" s="62">
        <f>F2819*(G2819-H2819)</f>
        <v/>
      </c>
      <c r="L2819" s="62">
        <f>K2819-(F2819*I2819)</f>
        <v/>
      </c>
      <c r="M2819" s="64">
        <f>L2819/K2819</f>
        <v/>
      </c>
    </row>
    <row r="2820">
      <c r="A2820" s="58" t="inlineStr">
        <is>
          <t>RT20250314-02819</t>
        </is>
      </c>
      <c r="B2820" s="59" t="inlineStr">
        <is>
          <t>2025-03-14</t>
        </is>
      </c>
      <c r="C2820" s="60" t="inlineStr">
        <is>
          <t>Aurora Bedding Plus-187</t>
        </is>
      </c>
      <c r="D2820" s="58" t="inlineStr">
        <is>
          <t>Home</t>
        </is>
      </c>
      <c r="E2820" s="58" t="inlineStr">
        <is>
          <t>West</t>
        </is>
      </c>
      <c r="F2820" s="61" t="n">
        <v>2</v>
      </c>
      <c r="G2820" s="62" t="n">
        <v>307.46</v>
      </c>
      <c r="H2820" s="63" t="n">
        <v>0.1</v>
      </c>
      <c r="I2820" s="62" t="n">
        <v>204.16</v>
      </c>
      <c r="J2820" s="58" t="inlineStr">
        <is>
          <t>Phone</t>
        </is>
      </c>
      <c r="K2820" s="62">
        <f>F2820*(G2820-H2820)</f>
        <v/>
      </c>
      <c r="L2820" s="62">
        <f>K2820-(F2820*I2820)</f>
        <v/>
      </c>
      <c r="M2820" s="64">
        <f>L2820/K2820</f>
        <v/>
      </c>
    </row>
    <row r="2821">
      <c r="A2821" s="58" t="inlineStr">
        <is>
          <t>RT20250314-02820</t>
        </is>
      </c>
      <c r="B2821" s="59" t="inlineStr">
        <is>
          <t>2025-03-14</t>
        </is>
      </c>
      <c r="C2821" s="60" t="inlineStr">
        <is>
          <t>Vertex Supplie X-513</t>
        </is>
      </c>
      <c r="D2821" s="58" t="inlineStr">
        <is>
          <t>Office</t>
        </is>
      </c>
      <c r="E2821" s="58" t="inlineStr">
        <is>
          <t>Central</t>
        </is>
      </c>
      <c r="F2821" s="61" t="n">
        <v>1</v>
      </c>
      <c r="G2821" s="62" t="n">
        <v>340.63</v>
      </c>
      <c r="H2821" s="63" t="n">
        <v>0.138</v>
      </c>
      <c r="I2821" s="62" t="n">
        <v>273.28</v>
      </c>
      <c r="J2821" s="58" t="inlineStr">
        <is>
          <t>Online</t>
        </is>
      </c>
      <c r="K2821" s="62">
        <f>F2821*(G2821-H2821)</f>
        <v/>
      </c>
      <c r="L2821" s="62">
        <f>K2821-(F2821*I2821)</f>
        <v/>
      </c>
      <c r="M2821" s="64">
        <f>L2821/K2821</f>
        <v/>
      </c>
    </row>
    <row r="2822">
      <c r="A2822" s="58" t="inlineStr">
        <is>
          <t>RT20250314-02821</t>
        </is>
      </c>
      <c r="B2822" s="59" t="inlineStr">
        <is>
          <t>2025-03-14</t>
        </is>
      </c>
      <c r="C2822" s="60" t="inlineStr">
        <is>
          <t>Aurora Wearable Lite-704</t>
        </is>
      </c>
      <c r="D2822" s="58" t="inlineStr">
        <is>
          <t>Electronics</t>
        </is>
      </c>
      <c r="E2822" s="58" t="inlineStr">
        <is>
          <t>West</t>
        </is>
      </c>
      <c r="F2822" s="61" t="n">
        <v>1</v>
      </c>
      <c r="G2822" s="62" t="n">
        <v>1966.25</v>
      </c>
      <c r="H2822" s="63" t="n">
        <v>0.141</v>
      </c>
      <c r="I2822" s="62" t="n">
        <v>1428.62</v>
      </c>
      <c r="J2822" s="58" t="inlineStr">
        <is>
          <t>Online</t>
        </is>
      </c>
      <c r="K2822" s="62">
        <f>F2822*(G2822-H2822)</f>
        <v/>
      </c>
      <c r="L2822" s="62">
        <f>K2822-(F2822*I2822)</f>
        <v/>
      </c>
      <c r="M2822" s="64">
        <f>L2822/K2822</f>
        <v/>
      </c>
    </row>
    <row r="2823">
      <c r="A2823" s="58" t="inlineStr">
        <is>
          <t>RT20250314-02822</t>
        </is>
      </c>
      <c r="B2823" s="59" t="inlineStr">
        <is>
          <t>2025-03-14</t>
        </is>
      </c>
      <c r="C2823" s="60" t="inlineStr">
        <is>
          <t>Orion Team Sport X-926</t>
        </is>
      </c>
      <c r="D2823" s="58" t="inlineStr">
        <is>
          <t>Sports</t>
        </is>
      </c>
      <c r="E2823" s="58" t="inlineStr">
        <is>
          <t>East</t>
        </is>
      </c>
      <c r="F2823" s="61" t="n">
        <v>3</v>
      </c>
      <c r="G2823" s="62" t="n">
        <v>320.94</v>
      </c>
      <c r="H2823" s="63" t="n">
        <v>0.12</v>
      </c>
      <c r="I2823" s="62" t="n">
        <v>218.72</v>
      </c>
      <c r="J2823" s="58" t="inlineStr">
        <is>
          <t>Store</t>
        </is>
      </c>
      <c r="K2823" s="62">
        <f>F2823*(G2823-H2823)</f>
        <v/>
      </c>
      <c r="L2823" s="62">
        <f>K2823-(F2823*I2823)</f>
        <v/>
      </c>
      <c r="M2823" s="64">
        <f>L2823/K2823</f>
        <v/>
      </c>
    </row>
    <row r="2824">
      <c r="A2824" s="58" t="inlineStr">
        <is>
          <t>RT20250314-02823</t>
        </is>
      </c>
      <c r="B2824" s="59" t="inlineStr">
        <is>
          <t>2025-03-14</t>
        </is>
      </c>
      <c r="C2824" s="60" t="inlineStr">
        <is>
          <t>Metro Accessorie Max-316</t>
        </is>
      </c>
      <c r="D2824" s="58" t="inlineStr">
        <is>
          <t>Apparel</t>
        </is>
      </c>
      <c r="E2824" s="58" t="inlineStr">
        <is>
          <t>South</t>
        </is>
      </c>
      <c r="F2824" s="61" t="n">
        <v>4</v>
      </c>
      <c r="G2824" s="62" t="n">
        <v>154.81</v>
      </c>
      <c r="H2824" s="63" t="n">
        <v>0.142</v>
      </c>
      <c r="I2824" s="62" t="n">
        <v>93.58</v>
      </c>
      <c r="J2824" s="58" t="inlineStr">
        <is>
          <t>Store</t>
        </is>
      </c>
      <c r="K2824" s="62">
        <f>F2824*(G2824-H2824)</f>
        <v/>
      </c>
      <c r="L2824" s="62">
        <f>K2824-(F2824*I2824)</f>
        <v/>
      </c>
      <c r="M2824" s="64">
        <f>L2824/K2824</f>
        <v/>
      </c>
    </row>
    <row r="2825">
      <c r="A2825" s="58" t="inlineStr">
        <is>
          <t>RT20250314-02824</t>
        </is>
      </c>
      <c r="B2825" s="59" t="inlineStr">
        <is>
          <t>2025-03-14</t>
        </is>
      </c>
      <c r="C2825" s="60" t="inlineStr">
        <is>
          <t>Nimbus Cycling Plus-911</t>
        </is>
      </c>
      <c r="D2825" s="58" t="inlineStr">
        <is>
          <t>Sports</t>
        </is>
      </c>
      <c r="E2825" s="58" t="inlineStr">
        <is>
          <t>West</t>
        </is>
      </c>
      <c r="F2825" s="61" t="n">
        <v>2</v>
      </c>
      <c r="G2825" s="62" t="n">
        <v>621.27</v>
      </c>
      <c r="H2825" s="63" t="n">
        <v>0.12</v>
      </c>
      <c r="I2825" s="62" t="n">
        <v>389.41</v>
      </c>
      <c r="J2825" s="58" t="inlineStr">
        <is>
          <t>Store</t>
        </is>
      </c>
      <c r="K2825" s="62">
        <f>F2825*(G2825-H2825)</f>
        <v/>
      </c>
      <c r="L2825" s="62">
        <f>K2825-(F2825*I2825)</f>
        <v/>
      </c>
      <c r="M2825" s="64">
        <f>L2825/K2825</f>
        <v/>
      </c>
    </row>
    <row r="2826">
      <c r="A2826" s="58" t="inlineStr">
        <is>
          <t>RT20250314-02825</t>
        </is>
      </c>
      <c r="B2826" s="59" t="inlineStr">
        <is>
          <t>2025-03-14</t>
        </is>
      </c>
      <c r="C2826" s="60" t="inlineStr">
        <is>
          <t>Vertex Skincare Pro-891</t>
        </is>
      </c>
      <c r="D2826" s="58" t="inlineStr">
        <is>
          <t>Beauty</t>
        </is>
      </c>
      <c r="E2826" s="58" t="inlineStr">
        <is>
          <t>East</t>
        </is>
      </c>
      <c r="F2826" s="61" t="n">
        <v>1</v>
      </c>
      <c r="G2826" s="62" t="n">
        <v>141.68</v>
      </c>
      <c r="H2826" s="63" t="n">
        <v>0.052</v>
      </c>
      <c r="I2826" s="62" t="n">
        <v>85.76000000000001</v>
      </c>
      <c r="J2826" s="58" t="inlineStr">
        <is>
          <t>Online</t>
        </is>
      </c>
      <c r="K2826" s="62">
        <f>F2826*(G2826-H2826)</f>
        <v/>
      </c>
      <c r="L2826" s="62">
        <f>K2826-(F2826*I2826)</f>
        <v/>
      </c>
      <c r="M2826" s="64">
        <f>L2826/K2826</f>
        <v/>
      </c>
    </row>
    <row r="2827">
      <c r="A2827" s="58" t="inlineStr">
        <is>
          <t>RT20250314-02826</t>
        </is>
      </c>
      <c r="B2827" s="59" t="inlineStr">
        <is>
          <t>2025-03-14</t>
        </is>
      </c>
      <c r="C2827" s="60" t="inlineStr">
        <is>
          <t>Vertex Supplie Pro-786</t>
        </is>
      </c>
      <c r="D2827" s="58" t="inlineStr">
        <is>
          <t>Office</t>
        </is>
      </c>
      <c r="E2827" s="58" t="inlineStr">
        <is>
          <t>Central</t>
        </is>
      </c>
      <c r="F2827" s="61" t="n">
        <v>3</v>
      </c>
      <c r="G2827" s="62" t="n">
        <v>477.5</v>
      </c>
      <c r="H2827" s="63" t="n">
        <v>0.105</v>
      </c>
      <c r="I2827" s="62" t="n">
        <v>291.46</v>
      </c>
      <c r="J2827" s="58" t="inlineStr">
        <is>
          <t>Online</t>
        </is>
      </c>
      <c r="K2827" s="62">
        <f>F2827*(G2827-H2827)</f>
        <v/>
      </c>
      <c r="L2827" s="62">
        <f>K2827-(F2827*I2827)</f>
        <v/>
      </c>
      <c r="M2827" s="64">
        <f>L2827/K2827</f>
        <v/>
      </c>
    </row>
    <row r="2828">
      <c r="A2828" s="58" t="inlineStr">
        <is>
          <t>RT20250314-02827</t>
        </is>
      </c>
      <c r="B2828" s="59" t="inlineStr">
        <is>
          <t>2025-03-14</t>
        </is>
      </c>
      <c r="C2828" s="60" t="inlineStr">
        <is>
          <t>Solace Headphone Pro-344</t>
        </is>
      </c>
      <c r="D2828" s="58" t="inlineStr">
        <is>
          <t>Electronics</t>
        </is>
      </c>
      <c r="E2828" s="58" t="inlineStr">
        <is>
          <t>West</t>
        </is>
      </c>
      <c r="F2828" s="61" t="n">
        <v>2</v>
      </c>
      <c r="G2828" s="62" t="n">
        <v>1435.98</v>
      </c>
      <c r="H2828" s="63" t="n">
        <v>0.06900000000000001</v>
      </c>
      <c r="I2828" s="62" t="n">
        <v>1041.06</v>
      </c>
      <c r="J2828" s="58" t="inlineStr">
        <is>
          <t>Store</t>
        </is>
      </c>
      <c r="K2828" s="62">
        <f>F2828*(G2828-H2828)</f>
        <v/>
      </c>
      <c r="L2828" s="62">
        <f>K2828-(F2828*I2828)</f>
        <v/>
      </c>
      <c r="M2828" s="64">
        <f>L2828/K2828</f>
        <v/>
      </c>
    </row>
    <row r="2829">
      <c r="A2829" s="58" t="inlineStr">
        <is>
          <t>RT20250314-02828</t>
        </is>
      </c>
      <c r="B2829" s="59" t="inlineStr">
        <is>
          <t>2025-03-14</t>
        </is>
      </c>
      <c r="C2829" s="60" t="inlineStr">
        <is>
          <t>Orion Kitchen Pro-568</t>
        </is>
      </c>
      <c r="D2829" s="58" t="inlineStr">
        <is>
          <t>Home</t>
        </is>
      </c>
      <c r="E2829" s="58" t="inlineStr">
        <is>
          <t>West</t>
        </is>
      </c>
      <c r="F2829" s="61" t="n">
        <v>3</v>
      </c>
      <c r="G2829" s="62" t="n">
        <v>434.95</v>
      </c>
      <c r="H2829" s="63" t="n">
        <v>0.109</v>
      </c>
      <c r="I2829" s="62" t="n">
        <v>308.57</v>
      </c>
      <c r="J2829" s="58" t="inlineStr">
        <is>
          <t>Online</t>
        </is>
      </c>
      <c r="K2829" s="62">
        <f>F2829*(G2829-H2829)</f>
        <v/>
      </c>
      <c r="L2829" s="62">
        <f>K2829-(F2829*I2829)</f>
        <v/>
      </c>
      <c r="M2829" s="64">
        <f>L2829/K2829</f>
        <v/>
      </c>
    </row>
    <row r="2830">
      <c r="A2830" s="58" t="inlineStr">
        <is>
          <t>RT20250314-02829</t>
        </is>
      </c>
      <c r="B2830" s="59" t="inlineStr">
        <is>
          <t>2025-03-14</t>
        </is>
      </c>
      <c r="C2830" s="60" t="inlineStr">
        <is>
          <t>Vertex Skincare Pro-891</t>
        </is>
      </c>
      <c r="D2830" s="58" t="inlineStr">
        <is>
          <t>Beauty</t>
        </is>
      </c>
      <c r="E2830" s="58" t="inlineStr">
        <is>
          <t>West</t>
        </is>
      </c>
      <c r="F2830" s="61" t="n">
        <v>2</v>
      </c>
      <c r="G2830" s="62" t="n">
        <v>144.92</v>
      </c>
      <c r="H2830" s="63" t="n">
        <v>0.123</v>
      </c>
      <c r="I2830" s="62" t="n">
        <v>86.98</v>
      </c>
      <c r="J2830" s="58" t="inlineStr">
        <is>
          <t>Store</t>
        </is>
      </c>
      <c r="K2830" s="62">
        <f>F2830*(G2830-H2830)</f>
        <v/>
      </c>
      <c r="L2830" s="62">
        <f>K2830-(F2830*I2830)</f>
        <v/>
      </c>
      <c r="M2830" s="64">
        <f>L2830/K2830</f>
        <v/>
      </c>
    </row>
    <row r="2831">
      <c r="A2831" s="58" t="inlineStr">
        <is>
          <t>RT20250314-02830</t>
        </is>
      </c>
      <c r="B2831" s="59" t="inlineStr">
        <is>
          <t>2025-03-14</t>
        </is>
      </c>
      <c r="C2831" s="60" t="inlineStr">
        <is>
          <t>Falcon Household Plus-796</t>
        </is>
      </c>
      <c r="D2831" s="58" t="inlineStr">
        <is>
          <t>Grocery</t>
        </is>
      </c>
      <c r="E2831" s="58" t="inlineStr">
        <is>
          <t>South</t>
        </is>
      </c>
      <c r="F2831" s="61" t="n">
        <v>7</v>
      </c>
      <c r="G2831" s="62" t="n">
        <v>23.61</v>
      </c>
      <c r="H2831" s="63" t="n">
        <v>0.076</v>
      </c>
      <c r="I2831" s="62" t="n">
        <v>17.23</v>
      </c>
      <c r="J2831" s="58" t="inlineStr">
        <is>
          <t>Online</t>
        </is>
      </c>
      <c r="K2831" s="62">
        <f>F2831*(G2831-H2831)</f>
        <v/>
      </c>
      <c r="L2831" s="62">
        <f>K2831-(F2831*I2831)</f>
        <v/>
      </c>
      <c r="M2831" s="64">
        <f>L2831/K2831</f>
        <v/>
      </c>
    </row>
    <row r="2832">
      <c r="A2832" s="58" t="inlineStr">
        <is>
          <t>RT20250314-02831</t>
        </is>
      </c>
      <c r="B2832" s="59" t="inlineStr">
        <is>
          <t>2025-03-14</t>
        </is>
      </c>
      <c r="C2832" s="60" t="inlineStr">
        <is>
          <t>Nimbus Fitnes Lite-516</t>
        </is>
      </c>
      <c r="D2832" s="58" t="inlineStr">
        <is>
          <t>Sports</t>
        </is>
      </c>
      <c r="E2832" s="58" t="inlineStr">
        <is>
          <t>West</t>
        </is>
      </c>
      <c r="F2832" s="61" t="n">
        <v>3</v>
      </c>
      <c r="G2832" s="62" t="n">
        <v>712.8099999999999</v>
      </c>
      <c r="H2832" s="63" t="n">
        <v>0.109</v>
      </c>
      <c r="I2832" s="62" t="n">
        <v>467.86</v>
      </c>
      <c r="J2832" s="58" t="inlineStr">
        <is>
          <t>Store</t>
        </is>
      </c>
      <c r="K2832" s="62">
        <f>F2832*(G2832-H2832)</f>
        <v/>
      </c>
      <c r="L2832" s="62">
        <f>K2832-(F2832*I2832)</f>
        <v/>
      </c>
      <c r="M2832" s="64">
        <f>L2832/K2832</f>
        <v/>
      </c>
    </row>
    <row r="2833">
      <c r="A2833" s="58" t="inlineStr">
        <is>
          <t>RT20250314-02832</t>
        </is>
      </c>
      <c r="B2833" s="59" t="inlineStr">
        <is>
          <t>2025-03-14</t>
        </is>
      </c>
      <c r="C2833" s="60" t="inlineStr">
        <is>
          <t>Nimbus Storage Plus-646</t>
        </is>
      </c>
      <c r="D2833" s="58" t="inlineStr">
        <is>
          <t>Office</t>
        </is>
      </c>
      <c r="E2833" s="58" t="inlineStr">
        <is>
          <t>East</t>
        </is>
      </c>
      <c r="F2833" s="61" t="n">
        <v>2</v>
      </c>
      <c r="G2833" s="62" t="n">
        <v>404.94</v>
      </c>
      <c r="H2833" s="63" t="n">
        <v>0.095</v>
      </c>
      <c r="I2833" s="62" t="n">
        <v>315.39</v>
      </c>
      <c r="J2833" s="58" t="inlineStr">
        <is>
          <t>Online</t>
        </is>
      </c>
      <c r="K2833" s="62">
        <f>F2833*(G2833-H2833)</f>
        <v/>
      </c>
      <c r="L2833" s="62">
        <f>K2833-(F2833*I2833)</f>
        <v/>
      </c>
      <c r="M2833" s="64">
        <f>L2833/K2833</f>
        <v/>
      </c>
    </row>
    <row r="2834">
      <c r="A2834" s="58" t="inlineStr">
        <is>
          <t>RT20250314-02833</t>
        </is>
      </c>
      <c r="B2834" s="59" t="inlineStr">
        <is>
          <t>2025-03-14</t>
        </is>
      </c>
      <c r="C2834" s="60" t="inlineStr">
        <is>
          <t>Vertex Supplie Pro-786</t>
        </is>
      </c>
      <c r="D2834" s="58" t="inlineStr">
        <is>
          <t>Office</t>
        </is>
      </c>
      <c r="E2834" s="58" t="inlineStr">
        <is>
          <t>Central</t>
        </is>
      </c>
      <c r="F2834" s="61" t="n">
        <v>3</v>
      </c>
      <c r="G2834" s="62" t="n">
        <v>407.4</v>
      </c>
      <c r="H2834" s="63" t="n">
        <v>0.077</v>
      </c>
      <c r="I2834" s="62" t="n">
        <v>287.49</v>
      </c>
      <c r="J2834" s="58" t="inlineStr">
        <is>
          <t>Store</t>
        </is>
      </c>
      <c r="K2834" s="62">
        <f>F2834*(G2834-H2834)</f>
        <v/>
      </c>
      <c r="L2834" s="62">
        <f>K2834-(F2834*I2834)</f>
        <v/>
      </c>
      <c r="M2834" s="64">
        <f>L2834/K2834</f>
        <v/>
      </c>
    </row>
    <row r="2835">
      <c r="A2835" s="58" t="inlineStr">
        <is>
          <t>RT20250314-02834</t>
        </is>
      </c>
      <c r="B2835" s="59" t="inlineStr">
        <is>
          <t>2025-03-14</t>
        </is>
      </c>
      <c r="C2835" s="60" t="inlineStr">
        <is>
          <t>Aurora Fragrance S-971</t>
        </is>
      </c>
      <c r="D2835" s="58" t="inlineStr">
        <is>
          <t>Beauty</t>
        </is>
      </c>
      <c r="E2835" s="58" t="inlineStr">
        <is>
          <t>Central</t>
        </is>
      </c>
      <c r="F2835" s="61" t="n">
        <v>2</v>
      </c>
      <c r="G2835" s="62" t="n">
        <v>98.75</v>
      </c>
      <c r="H2835" s="63" t="n">
        <v>0.123</v>
      </c>
      <c r="I2835" s="62" t="n">
        <v>66.23999999999999</v>
      </c>
      <c r="J2835" s="58" t="inlineStr">
        <is>
          <t>Online</t>
        </is>
      </c>
      <c r="K2835" s="62">
        <f>F2835*(G2835-H2835)</f>
        <v/>
      </c>
      <c r="L2835" s="62">
        <f>K2835-(F2835*I2835)</f>
        <v/>
      </c>
      <c r="M2835" s="64">
        <f>L2835/K2835</f>
        <v/>
      </c>
    </row>
    <row r="2836">
      <c r="A2836" s="58" t="inlineStr">
        <is>
          <t>RT20250314-02835</t>
        </is>
      </c>
      <c r="B2836" s="59" t="inlineStr">
        <is>
          <t>2025-03-14</t>
        </is>
      </c>
      <c r="C2836" s="60" t="inlineStr">
        <is>
          <t>Polar Cycling X-649</t>
        </is>
      </c>
      <c r="D2836" s="58" t="inlineStr">
        <is>
          <t>Sports</t>
        </is>
      </c>
      <c r="E2836" s="58" t="inlineStr">
        <is>
          <t>West</t>
        </is>
      </c>
      <c r="F2836" s="61" t="n">
        <v>3</v>
      </c>
      <c r="G2836" s="62" t="n">
        <v>595.34</v>
      </c>
      <c r="H2836" s="63" t="n">
        <v>0.131</v>
      </c>
      <c r="I2836" s="62" t="n">
        <v>370.93</v>
      </c>
      <c r="J2836" s="58" t="inlineStr">
        <is>
          <t>Online</t>
        </is>
      </c>
      <c r="K2836" s="62">
        <f>F2836*(G2836-H2836)</f>
        <v/>
      </c>
      <c r="L2836" s="62">
        <f>K2836-(F2836*I2836)</f>
        <v/>
      </c>
      <c r="M2836" s="64">
        <f>L2836/K2836</f>
        <v/>
      </c>
    </row>
    <row r="2837">
      <c r="A2837" s="58" t="inlineStr">
        <is>
          <t>RT20250314-02836</t>
        </is>
      </c>
      <c r="B2837" s="59" t="inlineStr">
        <is>
          <t>2025-03-14</t>
        </is>
      </c>
      <c r="C2837" s="60" t="inlineStr">
        <is>
          <t>Orion Laptop S-350</t>
        </is>
      </c>
      <c r="D2837" s="58" t="inlineStr">
        <is>
          <t>Electronics</t>
        </is>
      </c>
      <c r="E2837" s="58" t="inlineStr">
        <is>
          <t>South</t>
        </is>
      </c>
      <c r="F2837" s="61" t="n">
        <v>2</v>
      </c>
      <c r="G2837" s="62" t="n">
        <v>1578.67</v>
      </c>
      <c r="H2837" s="63" t="n">
        <v>0.151</v>
      </c>
      <c r="I2837" s="62" t="n">
        <v>1057.54</v>
      </c>
      <c r="J2837" s="58" t="inlineStr">
        <is>
          <t>Store</t>
        </is>
      </c>
      <c r="K2837" s="62">
        <f>F2837*(G2837-H2837)</f>
        <v/>
      </c>
      <c r="L2837" s="62">
        <f>K2837-(F2837*I2837)</f>
        <v/>
      </c>
      <c r="M2837" s="64">
        <f>L2837/K2837</f>
        <v/>
      </c>
    </row>
    <row r="2838">
      <c r="A2838" s="58" t="inlineStr">
        <is>
          <t>RT20250314-02837</t>
        </is>
      </c>
      <c r="B2838" s="59" t="inlineStr">
        <is>
          <t>2025-03-14</t>
        </is>
      </c>
      <c r="C2838" s="60" t="inlineStr">
        <is>
          <t>Vertex Supplie X-513</t>
        </is>
      </c>
      <c r="D2838" s="58" t="inlineStr">
        <is>
          <t>Office</t>
        </is>
      </c>
      <c r="E2838" s="58" t="inlineStr">
        <is>
          <t>East</t>
        </is>
      </c>
      <c r="F2838" s="61" t="n">
        <v>2</v>
      </c>
      <c r="G2838" s="62" t="n">
        <v>367.62</v>
      </c>
      <c r="H2838" s="63" t="n">
        <v>0.065</v>
      </c>
      <c r="I2838" s="62" t="n">
        <v>272.74</v>
      </c>
      <c r="J2838" s="58" t="inlineStr">
        <is>
          <t>Store</t>
        </is>
      </c>
      <c r="K2838" s="62">
        <f>F2838*(G2838-H2838)</f>
        <v/>
      </c>
      <c r="L2838" s="62">
        <f>K2838-(F2838*I2838)</f>
        <v/>
      </c>
      <c r="M2838" s="64">
        <f>L2838/K2838</f>
        <v/>
      </c>
    </row>
    <row r="2839">
      <c r="A2839" s="58" t="inlineStr">
        <is>
          <t>RT20250314-02838</t>
        </is>
      </c>
      <c r="B2839" s="59" t="inlineStr">
        <is>
          <t>2025-03-14</t>
        </is>
      </c>
      <c r="C2839" s="60" t="inlineStr">
        <is>
          <t>Falcon Storage X-734</t>
        </is>
      </c>
      <c r="D2839" s="58" t="inlineStr">
        <is>
          <t>Office</t>
        </is>
      </c>
      <c r="E2839" s="58" t="inlineStr">
        <is>
          <t>West</t>
        </is>
      </c>
      <c r="F2839" s="61" t="n">
        <v>3</v>
      </c>
      <c r="G2839" s="62" t="n">
        <v>342.71</v>
      </c>
      <c r="H2839" s="63" t="n">
        <v>0.109</v>
      </c>
      <c r="I2839" s="62" t="n">
        <v>281.49</v>
      </c>
      <c r="J2839" s="58" t="inlineStr">
        <is>
          <t>Online</t>
        </is>
      </c>
      <c r="K2839" s="62">
        <f>F2839*(G2839-H2839)</f>
        <v/>
      </c>
      <c r="L2839" s="62">
        <f>K2839-(F2839*I2839)</f>
        <v/>
      </c>
      <c r="M2839" s="64">
        <f>L2839/K2839</f>
        <v/>
      </c>
    </row>
    <row r="2840">
      <c r="A2840" s="58" t="inlineStr">
        <is>
          <t>RT20250314-02839</t>
        </is>
      </c>
      <c r="B2840" s="59" t="inlineStr">
        <is>
          <t>2025-03-14</t>
        </is>
      </c>
      <c r="C2840" s="60" t="inlineStr">
        <is>
          <t>Vertex Men X-995</t>
        </is>
      </c>
      <c r="D2840" s="58" t="inlineStr">
        <is>
          <t>Apparel</t>
        </is>
      </c>
      <c r="E2840" s="58" t="inlineStr">
        <is>
          <t>West</t>
        </is>
      </c>
      <c r="F2840" s="61" t="n">
        <v>3</v>
      </c>
      <c r="G2840" s="62" t="n">
        <v>96.75</v>
      </c>
      <c r="H2840" s="63" t="n">
        <v>0.105</v>
      </c>
      <c r="I2840" s="62" t="n">
        <v>57.8</v>
      </c>
      <c r="J2840" s="58" t="inlineStr">
        <is>
          <t>Online</t>
        </is>
      </c>
      <c r="K2840" s="62">
        <f>F2840*(G2840-H2840)</f>
        <v/>
      </c>
      <c r="L2840" s="62">
        <f>K2840-(F2840*I2840)</f>
        <v/>
      </c>
      <c r="M2840" s="64">
        <f>L2840/K2840</f>
        <v/>
      </c>
    </row>
    <row r="2841">
      <c r="A2841" s="58" t="inlineStr">
        <is>
          <t>RT20250314-02840</t>
        </is>
      </c>
      <c r="B2841" s="59" t="inlineStr">
        <is>
          <t>2025-03-14</t>
        </is>
      </c>
      <c r="C2841" s="60" t="inlineStr">
        <is>
          <t>Metro Decor Lite-325</t>
        </is>
      </c>
      <c r="D2841" s="58" t="inlineStr">
        <is>
          <t>Home</t>
        </is>
      </c>
      <c r="E2841" s="58" t="inlineStr">
        <is>
          <t>East</t>
        </is>
      </c>
      <c r="F2841" s="61" t="n">
        <v>1</v>
      </c>
      <c r="G2841" s="62" t="n">
        <v>526.13</v>
      </c>
      <c r="H2841" s="63" t="n">
        <v>0.115</v>
      </c>
      <c r="I2841" s="62" t="n">
        <v>377.4</v>
      </c>
      <c r="J2841" s="58" t="inlineStr">
        <is>
          <t>Online</t>
        </is>
      </c>
      <c r="K2841" s="62">
        <f>F2841*(G2841-H2841)</f>
        <v/>
      </c>
      <c r="L2841" s="62">
        <f>K2841-(F2841*I2841)</f>
        <v/>
      </c>
      <c r="M2841" s="64">
        <f>L2841/K2841</f>
        <v/>
      </c>
    </row>
    <row r="2842">
      <c r="A2842" s="58" t="inlineStr">
        <is>
          <t>RT20250314-02841</t>
        </is>
      </c>
      <c r="B2842" s="59" t="inlineStr">
        <is>
          <t>2025-03-14</t>
        </is>
      </c>
      <c r="C2842" s="60" t="inlineStr">
        <is>
          <t>Polar Women S-662</t>
        </is>
      </c>
      <c r="D2842" s="58" t="inlineStr">
        <is>
          <t>Apparel</t>
        </is>
      </c>
      <c r="E2842" s="58" t="inlineStr">
        <is>
          <t>North</t>
        </is>
      </c>
      <c r="F2842" s="61" t="n">
        <v>3</v>
      </c>
      <c r="G2842" s="62" t="n">
        <v>178.32</v>
      </c>
      <c r="H2842" s="63" t="n">
        <v>0.146</v>
      </c>
      <c r="I2842" s="62" t="n">
        <v>96.81999999999999</v>
      </c>
      <c r="J2842" s="58" t="inlineStr">
        <is>
          <t>Online</t>
        </is>
      </c>
      <c r="K2842" s="62">
        <f>F2842*(G2842-H2842)</f>
        <v/>
      </c>
      <c r="L2842" s="62">
        <f>K2842-(F2842*I2842)</f>
        <v/>
      </c>
      <c r="M2842" s="64">
        <f>L2842/K2842</f>
        <v/>
      </c>
    </row>
    <row r="2843">
      <c r="A2843" s="58" t="inlineStr">
        <is>
          <t>RT20250314-02842</t>
        </is>
      </c>
      <c r="B2843" s="59" t="inlineStr">
        <is>
          <t>2025-03-14</t>
        </is>
      </c>
      <c r="C2843" s="60" t="inlineStr">
        <is>
          <t>Falcon Headphone Pro-713</t>
        </is>
      </c>
      <c r="D2843" s="58" t="inlineStr">
        <is>
          <t>Electronics</t>
        </is>
      </c>
      <c r="E2843" s="58" t="inlineStr">
        <is>
          <t>South</t>
        </is>
      </c>
      <c r="F2843" s="61" t="n">
        <v>2</v>
      </c>
      <c r="G2843" s="62" t="n">
        <v>1269.03</v>
      </c>
      <c r="H2843" s="63" t="n">
        <v>0.099</v>
      </c>
      <c r="I2843" s="62" t="n">
        <v>1110.09</v>
      </c>
      <c r="J2843" s="58" t="inlineStr">
        <is>
          <t>Online</t>
        </is>
      </c>
      <c r="K2843" s="62">
        <f>F2843*(G2843-H2843)</f>
        <v/>
      </c>
      <c r="L2843" s="62">
        <f>K2843-(F2843*I2843)</f>
        <v/>
      </c>
      <c r="M2843" s="64">
        <f>L2843/K2843</f>
        <v/>
      </c>
    </row>
    <row r="2844">
      <c r="A2844" s="58" t="inlineStr">
        <is>
          <t>RT20250314-02843</t>
        </is>
      </c>
      <c r="B2844" s="59" t="inlineStr">
        <is>
          <t>2025-03-14</t>
        </is>
      </c>
      <c r="C2844" s="60" t="inlineStr">
        <is>
          <t>Aurora Storage Lite-774</t>
        </is>
      </c>
      <c r="D2844" s="58" t="inlineStr">
        <is>
          <t>Office</t>
        </is>
      </c>
      <c r="E2844" s="58" t="inlineStr">
        <is>
          <t>East</t>
        </is>
      </c>
      <c r="F2844" s="61" t="n">
        <v>1</v>
      </c>
      <c r="G2844" s="62" t="n">
        <v>306.94</v>
      </c>
      <c r="H2844" s="63" t="n">
        <v>0.059</v>
      </c>
      <c r="I2844" s="62" t="n">
        <v>246.84</v>
      </c>
      <c r="J2844" s="58" t="inlineStr">
        <is>
          <t>Online</t>
        </is>
      </c>
      <c r="K2844" s="62">
        <f>F2844*(G2844-H2844)</f>
        <v/>
      </c>
      <c r="L2844" s="62">
        <f>K2844-(F2844*I2844)</f>
        <v/>
      </c>
      <c r="M2844" s="64">
        <f>L2844/K2844</f>
        <v/>
      </c>
    </row>
    <row r="2845">
      <c r="A2845" s="58" t="inlineStr">
        <is>
          <t>RT20250314-02844</t>
        </is>
      </c>
      <c r="B2845" s="59" t="inlineStr">
        <is>
          <t>2025-03-14</t>
        </is>
      </c>
      <c r="C2845" s="60" t="inlineStr">
        <is>
          <t>Aurora Skincare Max-798</t>
        </is>
      </c>
      <c r="D2845" s="58" t="inlineStr">
        <is>
          <t>Beauty</t>
        </is>
      </c>
      <c r="E2845" s="58" t="inlineStr">
        <is>
          <t>South</t>
        </is>
      </c>
      <c r="F2845" s="61" t="n">
        <v>3</v>
      </c>
      <c r="G2845" s="62" t="n">
        <v>108.81</v>
      </c>
      <c r="H2845" s="63" t="n">
        <v>0.108</v>
      </c>
      <c r="I2845" s="62" t="n">
        <v>66.65000000000001</v>
      </c>
      <c r="J2845" s="58" t="inlineStr">
        <is>
          <t>Store</t>
        </is>
      </c>
      <c r="K2845" s="62">
        <f>F2845*(G2845-H2845)</f>
        <v/>
      </c>
      <c r="L2845" s="62">
        <f>K2845-(F2845*I2845)</f>
        <v/>
      </c>
      <c r="M2845" s="64">
        <f>L2845/K2845</f>
        <v/>
      </c>
    </row>
    <row r="2846">
      <c r="A2846" s="58" t="inlineStr">
        <is>
          <t>RT20250314-02845</t>
        </is>
      </c>
      <c r="B2846" s="59" t="inlineStr">
        <is>
          <t>2025-03-14</t>
        </is>
      </c>
      <c r="C2846" s="60" t="inlineStr">
        <is>
          <t>Falcon Bedding S-674</t>
        </is>
      </c>
      <c r="D2846" s="58" t="inlineStr">
        <is>
          <t>Home</t>
        </is>
      </c>
      <c r="E2846" s="58" t="inlineStr">
        <is>
          <t>Central</t>
        </is>
      </c>
      <c r="F2846" s="61" t="n">
        <v>2</v>
      </c>
      <c r="G2846" s="62" t="n">
        <v>729.73</v>
      </c>
      <c r="H2846" s="63" t="n">
        <v>0.083</v>
      </c>
      <c r="I2846" s="62" t="n">
        <v>442.16</v>
      </c>
      <c r="J2846" s="58" t="inlineStr">
        <is>
          <t>Store</t>
        </is>
      </c>
      <c r="K2846" s="62">
        <f>F2846*(G2846-H2846)</f>
        <v/>
      </c>
      <c r="L2846" s="62">
        <f>K2846-(F2846*I2846)</f>
        <v/>
      </c>
      <c r="M2846" s="64">
        <f>L2846/K2846</f>
        <v/>
      </c>
    </row>
    <row r="2847">
      <c r="A2847" s="58" t="inlineStr">
        <is>
          <t>RT20250314-02846</t>
        </is>
      </c>
      <c r="B2847" s="59" t="inlineStr">
        <is>
          <t>2025-03-14</t>
        </is>
      </c>
      <c r="C2847" s="60" t="inlineStr">
        <is>
          <t>Polar Snack Pro-641</t>
        </is>
      </c>
      <c r="D2847" s="58" t="inlineStr">
        <is>
          <t>Grocery</t>
        </is>
      </c>
      <c r="E2847" s="58" t="inlineStr">
        <is>
          <t>South</t>
        </is>
      </c>
      <c r="F2847" s="61" t="n">
        <v>8</v>
      </c>
      <c r="G2847" s="62" t="n">
        <v>13.1</v>
      </c>
      <c r="H2847" s="63" t="n">
        <v>0.096</v>
      </c>
      <c r="I2847" s="62" t="n">
        <v>9.69</v>
      </c>
      <c r="J2847" s="58" t="inlineStr">
        <is>
          <t>Store</t>
        </is>
      </c>
      <c r="K2847" s="62">
        <f>F2847*(G2847-H2847)</f>
        <v/>
      </c>
      <c r="L2847" s="62">
        <f>K2847-(F2847*I2847)</f>
        <v/>
      </c>
      <c r="M2847" s="64">
        <f>L2847/K2847</f>
        <v/>
      </c>
    </row>
    <row r="2848">
      <c r="A2848" s="58" t="inlineStr">
        <is>
          <t>RT20250315-02847</t>
        </is>
      </c>
      <c r="B2848" s="59" t="inlineStr">
        <is>
          <t>2025-03-15</t>
        </is>
      </c>
      <c r="C2848" s="60" t="inlineStr">
        <is>
          <t>Falcon Household Plus-796</t>
        </is>
      </c>
      <c r="D2848" s="58" t="inlineStr">
        <is>
          <t>Grocery</t>
        </is>
      </c>
      <c r="E2848" s="58" t="inlineStr">
        <is>
          <t>North</t>
        </is>
      </c>
      <c r="F2848" s="61" t="n">
        <v>7</v>
      </c>
      <c r="G2848" s="62" t="n">
        <v>25.56</v>
      </c>
      <c r="H2848" s="63" t="n">
        <v>0.113</v>
      </c>
      <c r="I2848" s="62" t="n">
        <v>17.19</v>
      </c>
      <c r="J2848" s="58" t="inlineStr">
        <is>
          <t>Store</t>
        </is>
      </c>
      <c r="K2848" s="62">
        <f>F2848*(G2848-H2848)</f>
        <v/>
      </c>
      <c r="L2848" s="62">
        <f>K2848-(F2848*I2848)</f>
        <v/>
      </c>
      <c r="M2848" s="64">
        <f>L2848/K2848</f>
        <v/>
      </c>
    </row>
    <row r="2849">
      <c r="A2849" s="58" t="inlineStr">
        <is>
          <t>RT20250315-02848</t>
        </is>
      </c>
      <c r="B2849" s="59" t="inlineStr">
        <is>
          <t>2025-03-15</t>
        </is>
      </c>
      <c r="C2849" s="60" t="inlineStr">
        <is>
          <t>Falcon Beverage Max-702</t>
        </is>
      </c>
      <c r="D2849" s="58" t="inlineStr">
        <is>
          <t>Grocery</t>
        </is>
      </c>
      <c r="E2849" s="58" t="inlineStr">
        <is>
          <t>West</t>
        </is>
      </c>
      <c r="F2849" s="61" t="n">
        <v>3</v>
      </c>
      <c r="G2849" s="62" t="n">
        <v>30.63</v>
      </c>
      <c r="H2849" s="63" t="n">
        <v>0.128</v>
      </c>
      <c r="I2849" s="62" t="n">
        <v>20.06</v>
      </c>
      <c r="J2849" s="58" t="inlineStr">
        <is>
          <t>Store</t>
        </is>
      </c>
      <c r="K2849" s="62">
        <f>F2849*(G2849-H2849)</f>
        <v/>
      </c>
      <c r="L2849" s="62">
        <f>K2849-(F2849*I2849)</f>
        <v/>
      </c>
      <c r="M2849" s="64">
        <f>L2849/K2849</f>
        <v/>
      </c>
    </row>
    <row r="2850">
      <c r="A2850" s="58" t="inlineStr">
        <is>
          <t>RT20250315-02849</t>
        </is>
      </c>
      <c r="B2850" s="59" t="inlineStr">
        <is>
          <t>2025-03-15</t>
        </is>
      </c>
      <c r="C2850" s="60" t="inlineStr">
        <is>
          <t>Aurora Makeup S-626</t>
        </is>
      </c>
      <c r="D2850" s="58" t="inlineStr">
        <is>
          <t>Beauty</t>
        </is>
      </c>
      <c r="E2850" s="58" t="inlineStr">
        <is>
          <t>East</t>
        </is>
      </c>
      <c r="F2850" s="61" t="n">
        <v>3</v>
      </c>
      <c r="G2850" s="62" t="n">
        <v>93.94</v>
      </c>
      <c r="H2850" s="63" t="n">
        <v>0.08699999999999999</v>
      </c>
      <c r="I2850" s="62" t="n">
        <v>64.45</v>
      </c>
      <c r="J2850" s="58" t="inlineStr">
        <is>
          <t>Online</t>
        </is>
      </c>
      <c r="K2850" s="62">
        <f>F2850*(G2850-H2850)</f>
        <v/>
      </c>
      <c r="L2850" s="62">
        <f>K2850-(F2850*I2850)</f>
        <v/>
      </c>
      <c r="M2850" s="64">
        <f>L2850/K2850</f>
        <v/>
      </c>
    </row>
    <row r="2851">
      <c r="A2851" s="58" t="inlineStr">
        <is>
          <t>RT20250315-02850</t>
        </is>
      </c>
      <c r="B2851" s="59" t="inlineStr">
        <is>
          <t>2025-03-15</t>
        </is>
      </c>
      <c r="C2851" s="60" t="inlineStr">
        <is>
          <t>Aurora Fragrance S-971</t>
        </is>
      </c>
      <c r="D2851" s="58" t="inlineStr">
        <is>
          <t>Beauty</t>
        </is>
      </c>
      <c r="E2851" s="58" t="inlineStr">
        <is>
          <t>East</t>
        </is>
      </c>
      <c r="F2851" s="61" t="n">
        <v>3</v>
      </c>
      <c r="G2851" s="62" t="n">
        <v>119.89</v>
      </c>
      <c r="H2851" s="63" t="n">
        <v>0.106</v>
      </c>
      <c r="I2851" s="62" t="n">
        <v>65.54000000000001</v>
      </c>
      <c r="J2851" s="58" t="inlineStr">
        <is>
          <t>Online</t>
        </is>
      </c>
      <c r="K2851" s="62">
        <f>F2851*(G2851-H2851)</f>
        <v/>
      </c>
      <c r="L2851" s="62">
        <f>K2851-(F2851*I2851)</f>
        <v/>
      </c>
      <c r="M2851" s="64">
        <f>L2851/K2851</f>
        <v/>
      </c>
    </row>
    <row r="2852">
      <c r="A2852" s="58" t="inlineStr">
        <is>
          <t>RT20250315-02851</t>
        </is>
      </c>
      <c r="B2852" s="59" t="inlineStr">
        <is>
          <t>2025-03-15</t>
        </is>
      </c>
      <c r="C2852" s="60" t="inlineStr">
        <is>
          <t>Falcon Accessorie S-195</t>
        </is>
      </c>
      <c r="D2852" s="58" t="inlineStr">
        <is>
          <t>Apparel</t>
        </is>
      </c>
      <c r="E2852" s="58" t="inlineStr">
        <is>
          <t>Central</t>
        </is>
      </c>
      <c r="F2852" s="61" t="n">
        <v>1</v>
      </c>
      <c r="G2852" s="62" t="n">
        <v>76.87</v>
      </c>
      <c r="H2852" s="63" t="n">
        <v>0.102</v>
      </c>
      <c r="I2852" s="62" t="n">
        <v>43.16</v>
      </c>
      <c r="J2852" s="58" t="inlineStr">
        <is>
          <t>Online</t>
        </is>
      </c>
      <c r="K2852" s="62">
        <f>F2852*(G2852-H2852)</f>
        <v/>
      </c>
      <c r="L2852" s="62">
        <f>K2852-(F2852*I2852)</f>
        <v/>
      </c>
      <c r="M2852" s="64">
        <f>L2852/K2852</f>
        <v/>
      </c>
    </row>
    <row r="2853">
      <c r="A2853" s="58" t="inlineStr">
        <is>
          <t>RT20250315-02852</t>
        </is>
      </c>
      <c r="B2853" s="59" t="inlineStr">
        <is>
          <t>2025-03-15</t>
        </is>
      </c>
      <c r="C2853" s="60" t="inlineStr">
        <is>
          <t>Vertex Smartphone Lite-267</t>
        </is>
      </c>
      <c r="D2853" s="58" t="inlineStr">
        <is>
          <t>Electronics</t>
        </is>
      </c>
      <c r="E2853" s="58" t="inlineStr">
        <is>
          <t>West</t>
        </is>
      </c>
      <c r="F2853" s="61" t="n">
        <v>2</v>
      </c>
      <c r="G2853" s="62" t="n">
        <v>1197.67</v>
      </c>
      <c r="H2853" s="63" t="n">
        <v>0.124</v>
      </c>
      <c r="I2853" s="62" t="n">
        <v>969.5700000000001</v>
      </c>
      <c r="J2853" s="58" t="inlineStr">
        <is>
          <t>Phone</t>
        </is>
      </c>
      <c r="K2853" s="62">
        <f>F2853*(G2853-H2853)</f>
        <v/>
      </c>
      <c r="L2853" s="62">
        <f>K2853-(F2853*I2853)</f>
        <v/>
      </c>
      <c r="M2853" s="64">
        <f>L2853/K2853</f>
        <v/>
      </c>
    </row>
    <row r="2854">
      <c r="A2854" s="58" t="inlineStr">
        <is>
          <t>RT20250315-02853</t>
        </is>
      </c>
      <c r="B2854" s="59" t="inlineStr">
        <is>
          <t>2025-03-15</t>
        </is>
      </c>
      <c r="C2854" s="60" t="inlineStr">
        <is>
          <t>Falcon Haircare Pro-980</t>
        </is>
      </c>
      <c r="D2854" s="58" t="inlineStr">
        <is>
          <t>Beauty</t>
        </is>
      </c>
      <c r="E2854" s="58" t="inlineStr">
        <is>
          <t>Central</t>
        </is>
      </c>
      <c r="F2854" s="61" t="n">
        <v>2</v>
      </c>
      <c r="G2854" s="62" t="n">
        <v>101.14</v>
      </c>
      <c r="H2854" s="63" t="n">
        <v>0.098</v>
      </c>
      <c r="I2854" s="62" t="n">
        <v>57.12</v>
      </c>
      <c r="J2854" s="58" t="inlineStr">
        <is>
          <t>Phone</t>
        </is>
      </c>
      <c r="K2854" s="62">
        <f>F2854*(G2854-H2854)</f>
        <v/>
      </c>
      <c r="L2854" s="62">
        <f>K2854-(F2854*I2854)</f>
        <v/>
      </c>
      <c r="M2854" s="64">
        <f>L2854/K2854</f>
        <v/>
      </c>
    </row>
    <row r="2855">
      <c r="A2855" s="58" t="inlineStr">
        <is>
          <t>RT20250315-02854</t>
        </is>
      </c>
      <c r="B2855" s="59" t="inlineStr">
        <is>
          <t>2025-03-15</t>
        </is>
      </c>
      <c r="C2855" s="60" t="inlineStr">
        <is>
          <t>Aurora Makeup Pro-489</t>
        </is>
      </c>
      <c r="D2855" s="58" t="inlineStr">
        <is>
          <t>Beauty</t>
        </is>
      </c>
      <c r="E2855" s="58" t="inlineStr">
        <is>
          <t>East</t>
        </is>
      </c>
      <c r="F2855" s="61" t="n">
        <v>1</v>
      </c>
      <c r="G2855" s="62" t="n">
        <v>100.01</v>
      </c>
      <c r="H2855" s="63" t="n">
        <v>0.08500000000000001</v>
      </c>
      <c r="I2855" s="62" t="n">
        <v>61.46</v>
      </c>
      <c r="J2855" s="58" t="inlineStr">
        <is>
          <t>Online</t>
        </is>
      </c>
      <c r="K2855" s="62">
        <f>F2855*(G2855-H2855)</f>
        <v/>
      </c>
      <c r="L2855" s="62">
        <f>K2855-(F2855*I2855)</f>
        <v/>
      </c>
      <c r="M2855" s="64">
        <f>L2855/K2855</f>
        <v/>
      </c>
    </row>
    <row r="2856">
      <c r="A2856" s="58" t="inlineStr">
        <is>
          <t>RT20250315-02855</t>
        </is>
      </c>
      <c r="B2856" s="59" t="inlineStr">
        <is>
          <t>2025-03-15</t>
        </is>
      </c>
      <c r="C2856" s="60" t="inlineStr">
        <is>
          <t>Metro Beverage Max-490</t>
        </is>
      </c>
      <c r="D2856" s="58" t="inlineStr">
        <is>
          <t>Grocery</t>
        </is>
      </c>
      <c r="E2856" s="58" t="inlineStr">
        <is>
          <t>North</t>
        </is>
      </c>
      <c r="F2856" s="61" t="n">
        <v>2</v>
      </c>
      <c r="G2856" s="62" t="n">
        <v>11.47</v>
      </c>
      <c r="H2856" s="63" t="n">
        <v>0.092</v>
      </c>
      <c r="I2856" s="62" t="n">
        <v>8.18</v>
      </c>
      <c r="J2856" s="58" t="inlineStr">
        <is>
          <t>Online</t>
        </is>
      </c>
      <c r="K2856" s="62">
        <f>F2856*(G2856-H2856)</f>
        <v/>
      </c>
      <c r="L2856" s="62">
        <f>K2856-(F2856*I2856)</f>
        <v/>
      </c>
      <c r="M2856" s="64">
        <f>L2856/K2856</f>
        <v/>
      </c>
    </row>
    <row r="2857">
      <c r="A2857" s="58" t="inlineStr">
        <is>
          <t>RT20250315-02856</t>
        </is>
      </c>
      <c r="B2857" s="59" t="inlineStr">
        <is>
          <t>2025-03-15</t>
        </is>
      </c>
      <c r="C2857" s="60" t="inlineStr">
        <is>
          <t>Vertex Supplie Pro-786</t>
        </is>
      </c>
      <c r="D2857" s="58" t="inlineStr">
        <is>
          <t>Office</t>
        </is>
      </c>
      <c r="E2857" s="58" t="inlineStr">
        <is>
          <t>East</t>
        </is>
      </c>
      <c r="F2857" s="61" t="n">
        <v>2</v>
      </c>
      <c r="G2857" s="62" t="n">
        <v>424.78</v>
      </c>
      <c r="H2857" s="63" t="n">
        <v>0.137</v>
      </c>
      <c r="I2857" s="62" t="n">
        <v>289.99</v>
      </c>
      <c r="J2857" s="58" t="inlineStr">
        <is>
          <t>Store</t>
        </is>
      </c>
      <c r="K2857" s="62">
        <f>F2857*(G2857-H2857)</f>
        <v/>
      </c>
      <c r="L2857" s="62">
        <f>K2857-(F2857*I2857)</f>
        <v/>
      </c>
      <c r="M2857" s="64">
        <f>L2857/K2857</f>
        <v/>
      </c>
    </row>
    <row r="2858">
      <c r="A2858" s="58" t="inlineStr">
        <is>
          <t>RT20250315-02857</t>
        </is>
      </c>
      <c r="B2858" s="59" t="inlineStr">
        <is>
          <t>2025-03-15</t>
        </is>
      </c>
      <c r="C2858" s="60" t="inlineStr">
        <is>
          <t>Aurora Makeup Pro-489</t>
        </is>
      </c>
      <c r="D2858" s="58" t="inlineStr">
        <is>
          <t>Beauty</t>
        </is>
      </c>
      <c r="E2858" s="58" t="inlineStr">
        <is>
          <t>Central</t>
        </is>
      </c>
      <c r="F2858" s="61" t="n">
        <v>2</v>
      </c>
      <c r="G2858" s="62" t="n">
        <v>104</v>
      </c>
      <c r="H2858" s="63" t="n">
        <v>0.101</v>
      </c>
      <c r="I2858" s="62" t="n">
        <v>64.29000000000001</v>
      </c>
      <c r="J2858" s="58" t="inlineStr">
        <is>
          <t>Online</t>
        </is>
      </c>
      <c r="K2858" s="62">
        <f>F2858*(G2858-H2858)</f>
        <v/>
      </c>
      <c r="L2858" s="62">
        <f>K2858-(F2858*I2858)</f>
        <v/>
      </c>
      <c r="M2858" s="64">
        <f>L2858/K2858</f>
        <v/>
      </c>
    </row>
    <row r="2859">
      <c r="A2859" s="58" t="inlineStr">
        <is>
          <t>RT20250315-02858</t>
        </is>
      </c>
      <c r="B2859" s="59" t="inlineStr">
        <is>
          <t>2025-03-15</t>
        </is>
      </c>
      <c r="C2859" s="60" t="inlineStr">
        <is>
          <t>Vertex Supplie Pro-786</t>
        </is>
      </c>
      <c r="D2859" s="58" t="inlineStr">
        <is>
          <t>Office</t>
        </is>
      </c>
      <c r="E2859" s="58" t="inlineStr">
        <is>
          <t>East</t>
        </is>
      </c>
      <c r="F2859" s="61" t="n">
        <v>3</v>
      </c>
      <c r="G2859" s="62" t="n">
        <v>402.64</v>
      </c>
      <c r="H2859" s="63" t="n">
        <v>0.1</v>
      </c>
      <c r="I2859" s="62" t="n">
        <v>290.43</v>
      </c>
      <c r="J2859" s="58" t="inlineStr">
        <is>
          <t>Phone</t>
        </is>
      </c>
      <c r="K2859" s="62">
        <f>F2859*(G2859-H2859)</f>
        <v/>
      </c>
      <c r="L2859" s="62">
        <f>K2859-(F2859*I2859)</f>
        <v/>
      </c>
      <c r="M2859" s="64">
        <f>L2859/K2859</f>
        <v/>
      </c>
    </row>
    <row r="2860">
      <c r="A2860" s="58" t="inlineStr">
        <is>
          <t>RT20250315-02859</t>
        </is>
      </c>
      <c r="B2860" s="59" t="inlineStr">
        <is>
          <t>2025-03-15</t>
        </is>
      </c>
      <c r="C2860" s="60" t="inlineStr">
        <is>
          <t>Vertex Supplie X-513</t>
        </is>
      </c>
      <c r="D2860" s="58" t="inlineStr">
        <is>
          <t>Office</t>
        </is>
      </c>
      <c r="E2860" s="58" t="inlineStr">
        <is>
          <t>West</t>
        </is>
      </c>
      <c r="F2860" s="61" t="n">
        <v>2</v>
      </c>
      <c r="G2860" s="62" t="n">
        <v>381.37</v>
      </c>
      <c r="H2860" s="63" t="n">
        <v>0.107</v>
      </c>
      <c r="I2860" s="62" t="n">
        <v>272.1</v>
      </c>
      <c r="J2860" s="58" t="inlineStr">
        <is>
          <t>Store</t>
        </is>
      </c>
      <c r="K2860" s="62">
        <f>F2860*(G2860-H2860)</f>
        <v/>
      </c>
      <c r="L2860" s="62">
        <f>K2860-(F2860*I2860)</f>
        <v/>
      </c>
      <c r="M2860" s="64">
        <f>L2860/K2860</f>
        <v/>
      </c>
    </row>
    <row r="2861">
      <c r="A2861" s="58" t="inlineStr">
        <is>
          <t>RT20250315-02860</t>
        </is>
      </c>
      <c r="B2861" s="59" t="inlineStr">
        <is>
          <t>2025-03-15</t>
        </is>
      </c>
      <c r="C2861" s="60" t="inlineStr">
        <is>
          <t>Aurora Skincare Max-798</t>
        </is>
      </c>
      <c r="D2861" s="58" t="inlineStr">
        <is>
          <t>Beauty</t>
        </is>
      </c>
      <c r="E2861" s="58" t="inlineStr">
        <is>
          <t>East</t>
        </is>
      </c>
      <c r="F2861" s="61" t="n">
        <v>5</v>
      </c>
      <c r="G2861" s="62" t="n">
        <v>106.16</v>
      </c>
      <c r="H2861" s="63" t="n">
        <v>0.09</v>
      </c>
      <c r="I2861" s="62" t="n">
        <v>66.31999999999999</v>
      </c>
      <c r="J2861" s="58" t="inlineStr">
        <is>
          <t>Online</t>
        </is>
      </c>
      <c r="K2861" s="62">
        <f>F2861*(G2861-H2861)</f>
        <v/>
      </c>
      <c r="L2861" s="62">
        <f>K2861-(F2861*I2861)</f>
        <v/>
      </c>
      <c r="M2861" s="64">
        <f>L2861/K2861</f>
        <v/>
      </c>
    </row>
    <row r="2862">
      <c r="A2862" s="58" t="inlineStr">
        <is>
          <t>RT20250315-02861</t>
        </is>
      </c>
      <c r="B2862" s="59" t="inlineStr">
        <is>
          <t>2025-03-15</t>
        </is>
      </c>
      <c r="C2862" s="60" t="inlineStr">
        <is>
          <t>Vertex Fitnes Pro-830</t>
        </is>
      </c>
      <c r="D2862" s="58" t="inlineStr">
        <is>
          <t>Sports</t>
        </is>
      </c>
      <c r="E2862" s="58" t="inlineStr">
        <is>
          <t>West</t>
        </is>
      </c>
      <c r="F2862" s="61" t="n">
        <v>1</v>
      </c>
      <c r="G2862" s="62" t="n">
        <v>807.91</v>
      </c>
      <c r="H2862" s="63" t="n">
        <v>0.051</v>
      </c>
      <c r="I2862" s="62" t="n">
        <v>472.11</v>
      </c>
      <c r="J2862" s="58" t="inlineStr">
        <is>
          <t>Online</t>
        </is>
      </c>
      <c r="K2862" s="62">
        <f>F2862*(G2862-H2862)</f>
        <v/>
      </c>
      <c r="L2862" s="62">
        <f>K2862-(F2862*I2862)</f>
        <v/>
      </c>
      <c r="M2862" s="64">
        <f>L2862/K2862</f>
        <v/>
      </c>
    </row>
    <row r="2863">
      <c r="A2863" s="58" t="inlineStr">
        <is>
          <t>RT20250315-02862</t>
        </is>
      </c>
      <c r="B2863" s="59" t="inlineStr">
        <is>
          <t>2025-03-15</t>
        </is>
      </c>
      <c r="C2863" s="60" t="inlineStr">
        <is>
          <t>Orion Laptop S-350</t>
        </is>
      </c>
      <c r="D2863" s="58" t="inlineStr">
        <is>
          <t>Electronics</t>
        </is>
      </c>
      <c r="E2863" s="58" t="inlineStr">
        <is>
          <t>East</t>
        </is>
      </c>
      <c r="F2863" s="61" t="n">
        <v>1</v>
      </c>
      <c r="G2863" s="62" t="n">
        <v>1426.59</v>
      </c>
      <c r="H2863" s="63" t="n">
        <v>0.1</v>
      </c>
      <c r="I2863" s="62" t="n">
        <v>1106.48</v>
      </c>
      <c r="J2863" s="58" t="inlineStr">
        <is>
          <t>Online</t>
        </is>
      </c>
      <c r="K2863" s="62">
        <f>F2863*(G2863-H2863)</f>
        <v/>
      </c>
      <c r="L2863" s="62">
        <f>K2863-(F2863*I2863)</f>
        <v/>
      </c>
      <c r="M2863" s="64">
        <f>L2863/K2863</f>
        <v/>
      </c>
    </row>
    <row r="2864">
      <c r="A2864" s="58" t="inlineStr">
        <is>
          <t>RT20250315-02863</t>
        </is>
      </c>
      <c r="B2864" s="59" t="inlineStr">
        <is>
          <t>2025-03-15</t>
        </is>
      </c>
      <c r="C2864" s="60" t="inlineStr">
        <is>
          <t>Polar Snack Pro-641</t>
        </is>
      </c>
      <c r="D2864" s="58" t="inlineStr">
        <is>
          <t>Grocery</t>
        </is>
      </c>
      <c r="E2864" s="58" t="inlineStr">
        <is>
          <t>Central</t>
        </is>
      </c>
      <c r="F2864" s="61" t="n">
        <v>4</v>
      </c>
      <c r="G2864" s="62" t="n">
        <v>12.1</v>
      </c>
      <c r="H2864" s="63" t="n">
        <v>0.066</v>
      </c>
      <c r="I2864" s="62" t="n">
        <v>9.65</v>
      </c>
      <c r="J2864" s="58" t="inlineStr">
        <is>
          <t>Store</t>
        </is>
      </c>
      <c r="K2864" s="62">
        <f>F2864*(G2864-H2864)</f>
        <v/>
      </c>
      <c r="L2864" s="62">
        <f>K2864-(F2864*I2864)</f>
        <v/>
      </c>
      <c r="M2864" s="64">
        <f>L2864/K2864</f>
        <v/>
      </c>
    </row>
    <row r="2865">
      <c r="A2865" s="58" t="inlineStr">
        <is>
          <t>RT20250315-02864</t>
        </is>
      </c>
      <c r="B2865" s="59" t="inlineStr">
        <is>
          <t>2025-03-15</t>
        </is>
      </c>
      <c r="C2865" s="60" t="inlineStr">
        <is>
          <t>Polar Decor X-935</t>
        </is>
      </c>
      <c r="D2865" s="58" t="inlineStr">
        <is>
          <t>Home</t>
        </is>
      </c>
      <c r="E2865" s="58" t="inlineStr">
        <is>
          <t>West</t>
        </is>
      </c>
      <c r="F2865" s="61" t="n">
        <v>3</v>
      </c>
      <c r="G2865" s="62" t="n">
        <v>288.37</v>
      </c>
      <c r="H2865" s="63" t="n">
        <v>0.131</v>
      </c>
      <c r="I2865" s="62" t="n">
        <v>206.43</v>
      </c>
      <c r="J2865" s="58" t="inlineStr">
        <is>
          <t>Store</t>
        </is>
      </c>
      <c r="K2865" s="62">
        <f>F2865*(G2865-H2865)</f>
        <v/>
      </c>
      <c r="L2865" s="62">
        <f>K2865-(F2865*I2865)</f>
        <v/>
      </c>
      <c r="M2865" s="64">
        <f>L2865/K2865</f>
        <v/>
      </c>
    </row>
    <row r="2866">
      <c r="A2866" s="58" t="inlineStr">
        <is>
          <t>RT20250315-02865</t>
        </is>
      </c>
      <c r="B2866" s="59" t="inlineStr">
        <is>
          <t>2025-03-15</t>
        </is>
      </c>
      <c r="C2866" s="60" t="inlineStr">
        <is>
          <t>Nimbus Laptop Max-652</t>
        </is>
      </c>
      <c r="D2866" s="58" t="inlineStr">
        <is>
          <t>Electronics</t>
        </is>
      </c>
      <c r="E2866" s="58" t="inlineStr">
        <is>
          <t>East</t>
        </is>
      </c>
      <c r="F2866" s="61" t="n">
        <v>1</v>
      </c>
      <c r="G2866" s="62" t="n">
        <v>1231.76</v>
      </c>
      <c r="H2866" s="63" t="n">
        <v>0.122</v>
      </c>
      <c r="I2866" s="62" t="n">
        <v>1049.99</v>
      </c>
      <c r="J2866" s="58" t="inlineStr">
        <is>
          <t>Online</t>
        </is>
      </c>
      <c r="K2866" s="62">
        <f>F2866*(G2866-H2866)</f>
        <v/>
      </c>
      <c r="L2866" s="62">
        <f>K2866-(F2866*I2866)</f>
        <v/>
      </c>
      <c r="M2866" s="64">
        <f>L2866/K2866</f>
        <v/>
      </c>
    </row>
    <row r="2867">
      <c r="A2867" s="58" t="inlineStr">
        <is>
          <t>RT20250315-02866</t>
        </is>
      </c>
      <c r="B2867" s="59" t="inlineStr">
        <is>
          <t>2025-03-15</t>
        </is>
      </c>
      <c r="C2867" s="60" t="inlineStr">
        <is>
          <t>Falcon Cycling Pro-499</t>
        </is>
      </c>
      <c r="D2867" s="58" t="inlineStr">
        <is>
          <t>Sports</t>
        </is>
      </c>
      <c r="E2867" s="58" t="inlineStr">
        <is>
          <t>East</t>
        </is>
      </c>
      <c r="F2867" s="61" t="n">
        <v>1</v>
      </c>
      <c r="G2867" s="62" t="n">
        <v>577.41</v>
      </c>
      <c r="H2867" s="63" t="n">
        <v>0.115</v>
      </c>
      <c r="I2867" s="62" t="n">
        <v>410.85</v>
      </c>
      <c r="J2867" s="58" t="inlineStr">
        <is>
          <t>Online</t>
        </is>
      </c>
      <c r="K2867" s="62">
        <f>F2867*(G2867-H2867)</f>
        <v/>
      </c>
      <c r="L2867" s="62">
        <f>K2867-(F2867*I2867)</f>
        <v/>
      </c>
      <c r="M2867" s="64">
        <f>L2867/K2867</f>
        <v/>
      </c>
    </row>
    <row r="2868">
      <c r="A2868" s="58" t="inlineStr">
        <is>
          <t>RT20250315-02867</t>
        </is>
      </c>
      <c r="B2868" s="59" t="inlineStr">
        <is>
          <t>2025-03-15</t>
        </is>
      </c>
      <c r="C2868" s="60" t="inlineStr">
        <is>
          <t>Aurora Wearable Lite-162</t>
        </is>
      </c>
      <c r="D2868" s="58" t="inlineStr">
        <is>
          <t>Electronics</t>
        </is>
      </c>
      <c r="E2868" s="58" t="inlineStr">
        <is>
          <t>East</t>
        </is>
      </c>
      <c r="F2868" s="61" t="n">
        <v>1</v>
      </c>
      <c r="G2868" s="62" t="n">
        <v>1574</v>
      </c>
      <c r="H2868" s="63" t="n">
        <v>0.097</v>
      </c>
      <c r="I2868" s="62" t="n">
        <v>1166.24</v>
      </c>
      <c r="J2868" s="58" t="inlineStr">
        <is>
          <t>Store</t>
        </is>
      </c>
      <c r="K2868" s="62">
        <f>F2868*(G2868-H2868)</f>
        <v/>
      </c>
      <c r="L2868" s="62">
        <f>K2868-(F2868*I2868)</f>
        <v/>
      </c>
      <c r="M2868" s="64">
        <f>L2868/K2868</f>
        <v/>
      </c>
    </row>
    <row r="2869">
      <c r="A2869" s="58" t="inlineStr">
        <is>
          <t>RT20250315-02868</t>
        </is>
      </c>
      <c r="B2869" s="59" t="inlineStr">
        <is>
          <t>2025-03-15</t>
        </is>
      </c>
      <c r="C2869" s="60" t="inlineStr">
        <is>
          <t>Vertex Supplie X-513</t>
        </is>
      </c>
      <c r="D2869" s="58" t="inlineStr">
        <is>
          <t>Office</t>
        </is>
      </c>
      <c r="E2869" s="58" t="inlineStr">
        <is>
          <t>Central</t>
        </is>
      </c>
      <c r="F2869" s="61" t="n">
        <v>2</v>
      </c>
      <c r="G2869" s="62" t="n">
        <v>375.42</v>
      </c>
      <c r="H2869" s="63" t="n">
        <v>0.11</v>
      </c>
      <c r="I2869" s="62" t="n">
        <v>273.29</v>
      </c>
      <c r="J2869" s="58" t="inlineStr">
        <is>
          <t>Online</t>
        </is>
      </c>
      <c r="K2869" s="62">
        <f>F2869*(G2869-H2869)</f>
        <v/>
      </c>
      <c r="L2869" s="62">
        <f>K2869-(F2869*I2869)</f>
        <v/>
      </c>
      <c r="M2869" s="64">
        <f>L2869/K2869</f>
        <v/>
      </c>
    </row>
    <row r="2870">
      <c r="A2870" s="58" t="inlineStr">
        <is>
          <t>RT20250315-02869</t>
        </is>
      </c>
      <c r="B2870" s="59" t="inlineStr">
        <is>
          <t>2025-03-15</t>
        </is>
      </c>
      <c r="C2870" s="60" t="inlineStr">
        <is>
          <t>Aurora Appliance Max-316</t>
        </is>
      </c>
      <c r="D2870" s="58" t="inlineStr">
        <is>
          <t>Home</t>
        </is>
      </c>
      <c r="E2870" s="58" t="inlineStr">
        <is>
          <t>Central</t>
        </is>
      </c>
      <c r="F2870" s="61" t="n">
        <v>3</v>
      </c>
      <c r="G2870" s="62" t="n">
        <v>313.62</v>
      </c>
      <c r="H2870" s="63" t="n">
        <v>0.081</v>
      </c>
      <c r="I2870" s="62" t="n">
        <v>212.11</v>
      </c>
      <c r="J2870" s="58" t="inlineStr">
        <is>
          <t>Online</t>
        </is>
      </c>
      <c r="K2870" s="62">
        <f>F2870*(G2870-H2870)</f>
        <v/>
      </c>
      <c r="L2870" s="62">
        <f>K2870-(F2870*I2870)</f>
        <v/>
      </c>
      <c r="M2870" s="64">
        <f>L2870/K2870</f>
        <v/>
      </c>
    </row>
    <row r="2871">
      <c r="A2871" s="58" t="inlineStr">
        <is>
          <t>RT20250315-02870</t>
        </is>
      </c>
      <c r="B2871" s="59" t="inlineStr">
        <is>
          <t>2025-03-15</t>
        </is>
      </c>
      <c r="C2871" s="60" t="inlineStr">
        <is>
          <t>Falcon Accessorie S-195</t>
        </is>
      </c>
      <c r="D2871" s="58" t="inlineStr">
        <is>
          <t>Apparel</t>
        </is>
      </c>
      <c r="E2871" s="58" t="inlineStr">
        <is>
          <t>East</t>
        </is>
      </c>
      <c r="F2871" s="61" t="n">
        <v>3</v>
      </c>
      <c r="G2871" s="62" t="n">
        <v>84.04000000000001</v>
      </c>
      <c r="H2871" s="63" t="n">
        <v>0.127</v>
      </c>
      <c r="I2871" s="62" t="n">
        <v>43.61</v>
      </c>
      <c r="J2871" s="58" t="inlineStr">
        <is>
          <t>Store</t>
        </is>
      </c>
      <c r="K2871" s="62">
        <f>F2871*(G2871-H2871)</f>
        <v/>
      </c>
      <c r="L2871" s="62">
        <f>K2871-(F2871*I2871)</f>
        <v/>
      </c>
      <c r="M2871" s="64">
        <f>L2871/K2871</f>
        <v/>
      </c>
    </row>
    <row r="2872">
      <c r="A2872" s="58" t="inlineStr">
        <is>
          <t>RT20250315-02871</t>
        </is>
      </c>
      <c r="B2872" s="59" t="inlineStr">
        <is>
          <t>2025-03-15</t>
        </is>
      </c>
      <c r="C2872" s="60" t="inlineStr">
        <is>
          <t>Polar Supplie Lite-348</t>
        </is>
      </c>
      <c r="D2872" s="58" t="inlineStr">
        <is>
          <t>Office</t>
        </is>
      </c>
      <c r="E2872" s="58" t="inlineStr">
        <is>
          <t>East</t>
        </is>
      </c>
      <c r="F2872" s="61" t="n">
        <v>2</v>
      </c>
      <c r="G2872" s="62" t="n">
        <v>424.08</v>
      </c>
      <c r="H2872" s="63" t="n">
        <v>0.075</v>
      </c>
      <c r="I2872" s="62" t="n">
        <v>320.34</v>
      </c>
      <c r="J2872" s="58" t="inlineStr">
        <is>
          <t>Store</t>
        </is>
      </c>
      <c r="K2872" s="62">
        <f>F2872*(G2872-H2872)</f>
        <v/>
      </c>
      <c r="L2872" s="62">
        <f>K2872-(F2872*I2872)</f>
        <v/>
      </c>
      <c r="M2872" s="64">
        <f>L2872/K2872</f>
        <v/>
      </c>
    </row>
    <row r="2873">
      <c r="A2873" s="58" t="inlineStr">
        <is>
          <t>RT20250315-02872</t>
        </is>
      </c>
      <c r="B2873" s="59" t="inlineStr">
        <is>
          <t>2025-03-15</t>
        </is>
      </c>
      <c r="C2873" s="60" t="inlineStr">
        <is>
          <t>Solace Laptop S-367</t>
        </is>
      </c>
      <c r="D2873" s="58" t="inlineStr">
        <is>
          <t>Electronics</t>
        </is>
      </c>
      <c r="E2873" s="58" t="inlineStr">
        <is>
          <t>West</t>
        </is>
      </c>
      <c r="F2873" s="61" t="n">
        <v>2</v>
      </c>
      <c r="G2873" s="62" t="n">
        <v>1784.77</v>
      </c>
      <c r="H2873" s="63" t="n">
        <v>0.124</v>
      </c>
      <c r="I2873" s="62" t="n">
        <v>1517.92</v>
      </c>
      <c r="J2873" s="58" t="inlineStr">
        <is>
          <t>Store</t>
        </is>
      </c>
      <c r="K2873" s="62">
        <f>F2873*(G2873-H2873)</f>
        <v/>
      </c>
      <c r="L2873" s="62">
        <f>K2873-(F2873*I2873)</f>
        <v/>
      </c>
      <c r="M2873" s="64">
        <f>L2873/K2873</f>
        <v/>
      </c>
    </row>
    <row r="2874">
      <c r="A2874" s="58" t="inlineStr">
        <is>
          <t>RT20250315-02873</t>
        </is>
      </c>
      <c r="B2874" s="59" t="inlineStr">
        <is>
          <t>2025-03-15</t>
        </is>
      </c>
      <c r="C2874" s="60" t="inlineStr">
        <is>
          <t>Polar Cycling X-649</t>
        </is>
      </c>
      <c r="D2874" s="58" t="inlineStr">
        <is>
          <t>Sports</t>
        </is>
      </c>
      <c r="E2874" s="58" t="inlineStr">
        <is>
          <t>North</t>
        </is>
      </c>
      <c r="F2874" s="61" t="n">
        <v>2</v>
      </c>
      <c r="G2874" s="62" t="n">
        <v>547.55</v>
      </c>
      <c r="H2874" s="63" t="n">
        <v>0.099</v>
      </c>
      <c r="I2874" s="62" t="n">
        <v>362.54</v>
      </c>
      <c r="J2874" s="58" t="inlineStr">
        <is>
          <t>Store</t>
        </is>
      </c>
      <c r="K2874" s="62">
        <f>F2874*(G2874-H2874)</f>
        <v/>
      </c>
      <c r="L2874" s="62">
        <f>K2874-(F2874*I2874)</f>
        <v/>
      </c>
      <c r="M2874" s="64">
        <f>L2874/K2874</f>
        <v/>
      </c>
    </row>
    <row r="2875">
      <c r="A2875" s="58" t="inlineStr">
        <is>
          <t>RT20250315-02874</t>
        </is>
      </c>
      <c r="B2875" s="59" t="inlineStr">
        <is>
          <t>2025-03-15</t>
        </is>
      </c>
      <c r="C2875" s="60" t="inlineStr">
        <is>
          <t>Falcon Skincare Max-151</t>
        </is>
      </c>
      <c r="D2875" s="58" t="inlineStr">
        <is>
          <t>Beauty</t>
        </is>
      </c>
      <c r="E2875" s="58" t="inlineStr">
        <is>
          <t>Central</t>
        </is>
      </c>
      <c r="F2875" s="61" t="n">
        <v>2</v>
      </c>
      <c r="G2875" s="62" t="n">
        <v>89.43000000000001</v>
      </c>
      <c r="H2875" s="63" t="n">
        <v>0.099</v>
      </c>
      <c r="I2875" s="62" t="n">
        <v>59</v>
      </c>
      <c r="J2875" s="58" t="inlineStr">
        <is>
          <t>Online</t>
        </is>
      </c>
      <c r="K2875" s="62">
        <f>F2875*(G2875-H2875)</f>
        <v/>
      </c>
      <c r="L2875" s="62">
        <f>K2875-(F2875*I2875)</f>
        <v/>
      </c>
      <c r="M2875" s="64">
        <f>L2875/K2875</f>
        <v/>
      </c>
    </row>
    <row r="2876">
      <c r="A2876" s="58" t="inlineStr">
        <is>
          <t>RT20250315-02875</t>
        </is>
      </c>
      <c r="B2876" s="59" t="inlineStr">
        <is>
          <t>2025-03-15</t>
        </is>
      </c>
      <c r="C2876" s="60" t="inlineStr">
        <is>
          <t>Vertex Fitnes Pro-830</t>
        </is>
      </c>
      <c r="D2876" s="58" t="inlineStr">
        <is>
          <t>Sports</t>
        </is>
      </c>
      <c r="E2876" s="58" t="inlineStr">
        <is>
          <t>North</t>
        </is>
      </c>
      <c r="F2876" s="61" t="n">
        <v>3</v>
      </c>
      <c r="G2876" s="62" t="n">
        <v>774.36</v>
      </c>
      <c r="H2876" s="63" t="n">
        <v>0.03</v>
      </c>
      <c r="I2876" s="62" t="n">
        <v>468.14</v>
      </c>
      <c r="J2876" s="58" t="inlineStr">
        <is>
          <t>Store</t>
        </is>
      </c>
      <c r="K2876" s="62">
        <f>F2876*(G2876-H2876)</f>
        <v/>
      </c>
      <c r="L2876" s="62">
        <f>K2876-(F2876*I2876)</f>
        <v/>
      </c>
      <c r="M2876" s="64">
        <f>L2876/K2876</f>
        <v/>
      </c>
    </row>
    <row r="2877">
      <c r="A2877" s="58" t="inlineStr">
        <is>
          <t>RT20250315-02876</t>
        </is>
      </c>
      <c r="B2877" s="59" t="inlineStr">
        <is>
          <t>2025-03-15</t>
        </is>
      </c>
      <c r="C2877" s="60" t="inlineStr">
        <is>
          <t>Nimbus Headphone X-854</t>
        </is>
      </c>
      <c r="D2877" s="58" t="inlineStr">
        <is>
          <t>Electronics</t>
        </is>
      </c>
      <c r="E2877" s="58" t="inlineStr">
        <is>
          <t>Central</t>
        </is>
      </c>
      <c r="F2877" s="61" t="n">
        <v>2</v>
      </c>
      <c r="G2877" s="62" t="n">
        <v>1551.59</v>
      </c>
      <c r="H2877" s="63" t="n">
        <v>0.074</v>
      </c>
      <c r="I2877" s="62" t="n">
        <v>1265.86</v>
      </c>
      <c r="J2877" s="58" t="inlineStr">
        <is>
          <t>Store</t>
        </is>
      </c>
      <c r="K2877" s="62">
        <f>F2877*(G2877-H2877)</f>
        <v/>
      </c>
      <c r="L2877" s="62">
        <f>K2877-(F2877*I2877)</f>
        <v/>
      </c>
      <c r="M2877" s="64">
        <f>L2877/K2877</f>
        <v/>
      </c>
    </row>
    <row r="2878">
      <c r="A2878" s="58" t="inlineStr">
        <is>
          <t>RT20250315-02877</t>
        </is>
      </c>
      <c r="B2878" s="59" t="inlineStr">
        <is>
          <t>2025-03-15</t>
        </is>
      </c>
      <c r="C2878" s="60" t="inlineStr">
        <is>
          <t>Polar Cycling S-223</t>
        </is>
      </c>
      <c r="D2878" s="58" t="inlineStr">
        <is>
          <t>Sports</t>
        </is>
      </c>
      <c r="E2878" s="58" t="inlineStr">
        <is>
          <t>South</t>
        </is>
      </c>
      <c r="F2878" s="61" t="n">
        <v>3</v>
      </c>
      <c r="G2878" s="62" t="n">
        <v>887.49</v>
      </c>
      <c r="H2878" s="63" t="n">
        <v>0.076</v>
      </c>
      <c r="I2878" s="62" t="n">
        <v>636.87</v>
      </c>
      <c r="J2878" s="58" t="inlineStr">
        <is>
          <t>Online</t>
        </is>
      </c>
      <c r="K2878" s="62">
        <f>F2878*(G2878-H2878)</f>
        <v/>
      </c>
      <c r="L2878" s="62">
        <f>K2878-(F2878*I2878)</f>
        <v/>
      </c>
      <c r="M2878" s="64">
        <f>L2878/K2878</f>
        <v/>
      </c>
    </row>
    <row r="2879">
      <c r="A2879" s="58" t="inlineStr">
        <is>
          <t>RT20250315-02878</t>
        </is>
      </c>
      <c r="B2879" s="59" t="inlineStr">
        <is>
          <t>2025-03-15</t>
        </is>
      </c>
      <c r="C2879" s="60" t="inlineStr">
        <is>
          <t>Metro Beverage Max-490</t>
        </is>
      </c>
      <c r="D2879" s="58" t="inlineStr">
        <is>
          <t>Grocery</t>
        </is>
      </c>
      <c r="E2879" s="58" t="inlineStr">
        <is>
          <t>North</t>
        </is>
      </c>
      <c r="F2879" s="61" t="n">
        <v>8</v>
      </c>
      <c r="G2879" s="62" t="n">
        <v>11.79</v>
      </c>
      <c r="H2879" s="63" t="n">
        <v>0.091</v>
      </c>
      <c r="I2879" s="62" t="n">
        <v>8.039999999999999</v>
      </c>
      <c r="J2879" s="58" t="inlineStr">
        <is>
          <t>Online</t>
        </is>
      </c>
      <c r="K2879" s="62">
        <f>F2879*(G2879-H2879)</f>
        <v/>
      </c>
      <c r="L2879" s="62">
        <f>K2879-(F2879*I2879)</f>
        <v/>
      </c>
      <c r="M2879" s="64">
        <f>L2879/K2879</f>
        <v/>
      </c>
    </row>
    <row r="2880">
      <c r="A2880" s="58" t="inlineStr">
        <is>
          <t>RT20250315-02879</t>
        </is>
      </c>
      <c r="B2880" s="59" t="inlineStr">
        <is>
          <t>2025-03-15</t>
        </is>
      </c>
      <c r="C2880" s="60" t="inlineStr">
        <is>
          <t>Aurora Printer Plus-723</t>
        </is>
      </c>
      <c r="D2880" s="58" t="inlineStr">
        <is>
          <t>Office</t>
        </is>
      </c>
      <c r="E2880" s="58" t="inlineStr">
        <is>
          <t>North</t>
        </is>
      </c>
      <c r="F2880" s="61" t="n">
        <v>1</v>
      </c>
      <c r="G2880" s="62" t="n">
        <v>247.13</v>
      </c>
      <c r="H2880" s="63" t="n">
        <v>0.114</v>
      </c>
      <c r="I2880" s="62" t="n">
        <v>190.61</v>
      </c>
      <c r="J2880" s="58" t="inlineStr">
        <is>
          <t>Store</t>
        </is>
      </c>
      <c r="K2880" s="62">
        <f>F2880*(G2880-H2880)</f>
        <v/>
      </c>
      <c r="L2880" s="62">
        <f>K2880-(F2880*I2880)</f>
        <v/>
      </c>
      <c r="M2880" s="64">
        <f>L2880/K2880</f>
        <v/>
      </c>
    </row>
    <row r="2881">
      <c r="A2881" s="58" t="inlineStr">
        <is>
          <t>RT20250315-02880</t>
        </is>
      </c>
      <c r="B2881" s="59" t="inlineStr">
        <is>
          <t>2025-03-15</t>
        </is>
      </c>
      <c r="C2881" s="60" t="inlineStr">
        <is>
          <t>Aurora Appliance Lite-109</t>
        </is>
      </c>
      <c r="D2881" s="58" t="inlineStr">
        <is>
          <t>Home</t>
        </is>
      </c>
      <c r="E2881" s="58" t="inlineStr">
        <is>
          <t>South</t>
        </is>
      </c>
      <c r="F2881" s="61" t="n">
        <v>2</v>
      </c>
      <c r="G2881" s="62" t="n">
        <v>307.34</v>
      </c>
      <c r="H2881" s="63" t="n">
        <v>0.11</v>
      </c>
      <c r="I2881" s="62" t="n">
        <v>199.8</v>
      </c>
      <c r="J2881" s="58" t="inlineStr">
        <is>
          <t>Store</t>
        </is>
      </c>
      <c r="K2881" s="62">
        <f>F2881*(G2881-H2881)</f>
        <v/>
      </c>
      <c r="L2881" s="62">
        <f>K2881-(F2881*I2881)</f>
        <v/>
      </c>
      <c r="M2881" s="64">
        <f>L2881/K2881</f>
        <v/>
      </c>
    </row>
    <row r="2882">
      <c r="A2882" s="58" t="inlineStr">
        <is>
          <t>RT20250315-02881</t>
        </is>
      </c>
      <c r="B2882" s="59" t="inlineStr">
        <is>
          <t>2025-03-15</t>
        </is>
      </c>
      <c r="C2882" s="60" t="inlineStr">
        <is>
          <t>Falcon Storage X-734</t>
        </is>
      </c>
      <c r="D2882" s="58" t="inlineStr">
        <is>
          <t>Office</t>
        </is>
      </c>
      <c r="E2882" s="58" t="inlineStr">
        <is>
          <t>West</t>
        </is>
      </c>
      <c r="F2882" s="61" t="n">
        <v>2</v>
      </c>
      <c r="G2882" s="62" t="n">
        <v>409.49</v>
      </c>
      <c r="H2882" s="63" t="n">
        <v>0.08599999999999999</v>
      </c>
      <c r="I2882" s="62" t="n">
        <v>284.95</v>
      </c>
      <c r="J2882" s="58" t="inlineStr">
        <is>
          <t>Store</t>
        </is>
      </c>
      <c r="K2882" s="62">
        <f>F2882*(G2882-H2882)</f>
        <v/>
      </c>
      <c r="L2882" s="62">
        <f>K2882-(F2882*I2882)</f>
        <v/>
      </c>
      <c r="M2882" s="64">
        <f>L2882/K2882</f>
        <v/>
      </c>
    </row>
    <row r="2883">
      <c r="A2883" s="58" t="inlineStr">
        <is>
          <t>RT20250315-02882</t>
        </is>
      </c>
      <c r="B2883" s="59" t="inlineStr">
        <is>
          <t>2025-03-15</t>
        </is>
      </c>
      <c r="C2883" s="60" t="inlineStr">
        <is>
          <t>Vertex Headphone Pro-801</t>
        </is>
      </c>
      <c r="D2883" s="58" t="inlineStr">
        <is>
          <t>Electronics</t>
        </is>
      </c>
      <c r="E2883" s="58" t="inlineStr">
        <is>
          <t>East</t>
        </is>
      </c>
      <c r="F2883" s="61" t="n">
        <v>2</v>
      </c>
      <c r="G2883" s="62" t="n">
        <v>1221.72</v>
      </c>
      <c r="H2883" s="63" t="n">
        <v>0.047</v>
      </c>
      <c r="I2883" s="62" t="n">
        <v>973.38</v>
      </c>
      <c r="J2883" s="58" t="inlineStr">
        <is>
          <t>Store</t>
        </is>
      </c>
      <c r="K2883" s="62">
        <f>F2883*(G2883-H2883)</f>
        <v/>
      </c>
      <c r="L2883" s="62">
        <f>K2883-(F2883*I2883)</f>
        <v/>
      </c>
      <c r="M2883" s="64">
        <f>L2883/K2883</f>
        <v/>
      </c>
    </row>
    <row r="2884">
      <c r="A2884" s="58" t="inlineStr">
        <is>
          <t>RT20250315-02883</t>
        </is>
      </c>
      <c r="B2884" s="59" t="inlineStr">
        <is>
          <t>2025-03-15</t>
        </is>
      </c>
      <c r="C2884" s="60" t="inlineStr">
        <is>
          <t>Polar Cycling S-223</t>
        </is>
      </c>
      <c r="D2884" s="58" t="inlineStr">
        <is>
          <t>Sports</t>
        </is>
      </c>
      <c r="E2884" s="58" t="inlineStr">
        <is>
          <t>East</t>
        </is>
      </c>
      <c r="F2884" s="61" t="n">
        <v>3</v>
      </c>
      <c r="G2884" s="62" t="n">
        <v>810.6900000000001</v>
      </c>
      <c r="H2884" s="63" t="n">
        <v>0.066</v>
      </c>
      <c r="I2884" s="62" t="n">
        <v>615.8</v>
      </c>
      <c r="J2884" s="58" t="inlineStr">
        <is>
          <t>Store</t>
        </is>
      </c>
      <c r="K2884" s="62">
        <f>F2884*(G2884-H2884)</f>
        <v/>
      </c>
      <c r="L2884" s="62">
        <f>K2884-(F2884*I2884)</f>
        <v/>
      </c>
      <c r="M2884" s="64">
        <f>L2884/K2884</f>
        <v/>
      </c>
    </row>
    <row r="2885">
      <c r="A2885" s="58" t="inlineStr">
        <is>
          <t>RT20250315-02884</t>
        </is>
      </c>
      <c r="B2885" s="59" t="inlineStr">
        <is>
          <t>2025-03-15</t>
        </is>
      </c>
      <c r="C2885" s="60" t="inlineStr">
        <is>
          <t>Vertex Headphone Pro-801</t>
        </is>
      </c>
      <c r="D2885" s="58" t="inlineStr">
        <is>
          <t>Electronics</t>
        </is>
      </c>
      <c r="E2885" s="58" t="inlineStr">
        <is>
          <t>South</t>
        </is>
      </c>
      <c r="F2885" s="61" t="n">
        <v>2</v>
      </c>
      <c r="G2885" s="62" t="n">
        <v>1209.3</v>
      </c>
      <c r="H2885" s="63" t="n">
        <v>0.104</v>
      </c>
      <c r="I2885" s="62" t="n">
        <v>990.63</v>
      </c>
      <c r="J2885" s="58" t="inlineStr">
        <is>
          <t>Online</t>
        </is>
      </c>
      <c r="K2885" s="62">
        <f>F2885*(G2885-H2885)</f>
        <v/>
      </c>
      <c r="L2885" s="62">
        <f>K2885-(F2885*I2885)</f>
        <v/>
      </c>
      <c r="M2885" s="64">
        <f>L2885/K2885</f>
        <v/>
      </c>
    </row>
    <row r="2886">
      <c r="A2886" s="58" t="inlineStr">
        <is>
          <t>RT20250315-02885</t>
        </is>
      </c>
      <c r="B2886" s="59" t="inlineStr">
        <is>
          <t>2025-03-15</t>
        </is>
      </c>
      <c r="C2886" s="60" t="inlineStr">
        <is>
          <t>Orion Beverage Plus-949</t>
        </is>
      </c>
      <c r="D2886" s="58" t="inlineStr">
        <is>
          <t>Grocery</t>
        </is>
      </c>
      <c r="E2886" s="58" t="inlineStr">
        <is>
          <t>Central</t>
        </is>
      </c>
      <c r="F2886" s="61" t="n">
        <v>7</v>
      </c>
      <c r="G2886" s="62" t="n">
        <v>17.5</v>
      </c>
      <c r="H2886" s="63" t="n">
        <v>0.133</v>
      </c>
      <c r="I2886" s="62" t="n">
        <v>13.46</v>
      </c>
      <c r="J2886" s="58" t="inlineStr">
        <is>
          <t>Online</t>
        </is>
      </c>
      <c r="K2886" s="62">
        <f>F2886*(G2886-H2886)</f>
        <v/>
      </c>
      <c r="L2886" s="62">
        <f>K2886-(F2886*I2886)</f>
        <v/>
      </c>
      <c r="M2886" s="64">
        <f>L2886/K2886</f>
        <v/>
      </c>
    </row>
    <row r="2887">
      <c r="A2887" s="58" t="inlineStr">
        <is>
          <t>RT20250315-02886</t>
        </is>
      </c>
      <c r="B2887" s="59" t="inlineStr">
        <is>
          <t>2025-03-15</t>
        </is>
      </c>
      <c r="C2887" s="60" t="inlineStr">
        <is>
          <t>Polar Cycling X-649</t>
        </is>
      </c>
      <c r="D2887" s="58" t="inlineStr">
        <is>
          <t>Sports</t>
        </is>
      </c>
      <c r="E2887" s="58" t="inlineStr">
        <is>
          <t>North</t>
        </is>
      </c>
      <c r="F2887" s="61" t="n">
        <v>1</v>
      </c>
      <c r="G2887" s="62" t="n">
        <v>482.56</v>
      </c>
      <c r="H2887" s="63" t="n">
        <v>0.117</v>
      </c>
      <c r="I2887" s="62" t="n">
        <v>362.35</v>
      </c>
      <c r="J2887" s="58" t="inlineStr">
        <is>
          <t>Online</t>
        </is>
      </c>
      <c r="K2887" s="62">
        <f>F2887*(G2887-H2887)</f>
        <v/>
      </c>
      <c r="L2887" s="62">
        <f>K2887-(F2887*I2887)</f>
        <v/>
      </c>
      <c r="M2887" s="64">
        <f>L2887/K2887</f>
        <v/>
      </c>
    </row>
    <row r="2888">
      <c r="A2888" s="58" t="inlineStr">
        <is>
          <t>RT20250315-02887</t>
        </is>
      </c>
      <c r="B2888" s="59" t="inlineStr">
        <is>
          <t>2025-03-15</t>
        </is>
      </c>
      <c r="C2888" s="60" t="inlineStr">
        <is>
          <t>Vertex Supplie X-513</t>
        </is>
      </c>
      <c r="D2888" s="58" t="inlineStr">
        <is>
          <t>Office</t>
        </is>
      </c>
      <c r="E2888" s="58" t="inlineStr">
        <is>
          <t>West</t>
        </is>
      </c>
      <c r="F2888" s="61" t="n">
        <v>3</v>
      </c>
      <c r="G2888" s="62" t="n">
        <v>384.29</v>
      </c>
      <c r="H2888" s="63" t="n">
        <v>0.08400000000000001</v>
      </c>
      <c r="I2888" s="62" t="n">
        <v>280.72</v>
      </c>
      <c r="J2888" s="58" t="inlineStr">
        <is>
          <t>Online</t>
        </is>
      </c>
      <c r="K2888" s="62">
        <f>F2888*(G2888-H2888)</f>
        <v/>
      </c>
      <c r="L2888" s="62">
        <f>K2888-(F2888*I2888)</f>
        <v/>
      </c>
      <c r="M2888" s="64">
        <f>L2888/K2888</f>
        <v/>
      </c>
    </row>
    <row r="2889">
      <c r="A2889" s="58" t="inlineStr">
        <is>
          <t>RT20250315-02888</t>
        </is>
      </c>
      <c r="B2889" s="59" t="inlineStr">
        <is>
          <t>2025-03-15</t>
        </is>
      </c>
      <c r="C2889" s="60" t="inlineStr">
        <is>
          <t>Solace Kitchen Pro-510</t>
        </is>
      </c>
      <c r="D2889" s="58" t="inlineStr">
        <is>
          <t>Home</t>
        </is>
      </c>
      <c r="E2889" s="58" t="inlineStr">
        <is>
          <t>West</t>
        </is>
      </c>
      <c r="F2889" s="61" t="n">
        <v>3</v>
      </c>
      <c r="G2889" s="62" t="n">
        <v>496.24</v>
      </c>
      <c r="H2889" s="63" t="n">
        <v>0.059</v>
      </c>
      <c r="I2889" s="62" t="n">
        <v>300.11</v>
      </c>
      <c r="J2889" s="58" t="inlineStr">
        <is>
          <t>Online</t>
        </is>
      </c>
      <c r="K2889" s="62">
        <f>F2889*(G2889-H2889)</f>
        <v/>
      </c>
      <c r="L2889" s="62">
        <f>K2889-(F2889*I2889)</f>
        <v/>
      </c>
      <c r="M2889" s="64">
        <f>L2889/K2889</f>
        <v/>
      </c>
    </row>
    <row r="2890">
      <c r="A2890" s="58" t="inlineStr">
        <is>
          <t>RT20250315-02889</t>
        </is>
      </c>
      <c r="B2890" s="59" t="inlineStr">
        <is>
          <t>2025-03-15</t>
        </is>
      </c>
      <c r="C2890" s="60" t="inlineStr">
        <is>
          <t>Solace Kitchen X-919</t>
        </is>
      </c>
      <c r="D2890" s="58" t="inlineStr">
        <is>
          <t>Home</t>
        </is>
      </c>
      <c r="E2890" s="58" t="inlineStr">
        <is>
          <t>West</t>
        </is>
      </c>
      <c r="F2890" s="61" t="n">
        <v>3</v>
      </c>
      <c r="G2890" s="62" t="n">
        <v>385.25</v>
      </c>
      <c r="H2890" s="63" t="n">
        <v>0.098</v>
      </c>
      <c r="I2890" s="62" t="n">
        <v>258.31</v>
      </c>
      <c r="J2890" s="58" t="inlineStr">
        <is>
          <t>Store</t>
        </is>
      </c>
      <c r="K2890" s="62">
        <f>F2890*(G2890-H2890)</f>
        <v/>
      </c>
      <c r="L2890" s="62">
        <f>K2890-(F2890*I2890)</f>
        <v/>
      </c>
      <c r="M2890" s="64">
        <f>L2890/K2890</f>
        <v/>
      </c>
    </row>
    <row r="2891">
      <c r="A2891" s="58" t="inlineStr">
        <is>
          <t>RT20250315-02890</t>
        </is>
      </c>
      <c r="B2891" s="59" t="inlineStr">
        <is>
          <t>2025-03-15</t>
        </is>
      </c>
      <c r="C2891" s="60" t="inlineStr">
        <is>
          <t>Vertex Fitnes Pro-830</t>
        </is>
      </c>
      <c r="D2891" s="58" t="inlineStr">
        <is>
          <t>Sports</t>
        </is>
      </c>
      <c r="E2891" s="58" t="inlineStr">
        <is>
          <t>East</t>
        </is>
      </c>
      <c r="F2891" s="61" t="n">
        <v>2</v>
      </c>
      <c r="G2891" s="62" t="n">
        <v>681.08</v>
      </c>
      <c r="H2891" s="63" t="n">
        <v>0.118</v>
      </c>
      <c r="I2891" s="62" t="n">
        <v>482.16</v>
      </c>
      <c r="J2891" s="58" t="inlineStr">
        <is>
          <t>Online</t>
        </is>
      </c>
      <c r="K2891" s="62">
        <f>F2891*(G2891-H2891)</f>
        <v/>
      </c>
      <c r="L2891" s="62">
        <f>K2891-(F2891*I2891)</f>
        <v/>
      </c>
      <c r="M2891" s="64">
        <f>L2891/K2891</f>
        <v/>
      </c>
    </row>
    <row r="2892">
      <c r="A2892" s="58" t="inlineStr">
        <is>
          <t>RT20250315-02891</t>
        </is>
      </c>
      <c r="B2892" s="59" t="inlineStr">
        <is>
          <t>2025-03-15</t>
        </is>
      </c>
      <c r="C2892" s="60" t="inlineStr">
        <is>
          <t>Aurora Printer Plus-991</t>
        </is>
      </c>
      <c r="D2892" s="58" t="inlineStr">
        <is>
          <t>Office</t>
        </is>
      </c>
      <c r="E2892" s="58" t="inlineStr">
        <is>
          <t>West</t>
        </is>
      </c>
      <c r="F2892" s="61" t="n">
        <v>3</v>
      </c>
      <c r="G2892" s="62" t="n">
        <v>498.23</v>
      </c>
      <c r="H2892" s="63" t="n">
        <v>0.08500000000000001</v>
      </c>
      <c r="I2892" s="62" t="n">
        <v>377.16</v>
      </c>
      <c r="J2892" s="58" t="inlineStr">
        <is>
          <t>Online</t>
        </is>
      </c>
      <c r="K2892" s="62">
        <f>F2892*(G2892-H2892)</f>
        <v/>
      </c>
      <c r="L2892" s="62">
        <f>K2892-(F2892*I2892)</f>
        <v/>
      </c>
      <c r="M2892" s="64">
        <f>L2892/K2892</f>
        <v/>
      </c>
    </row>
    <row r="2893">
      <c r="A2893" s="58" t="inlineStr">
        <is>
          <t>RT20250316-02892</t>
        </is>
      </c>
      <c r="B2893" s="59" t="inlineStr">
        <is>
          <t>2025-03-16</t>
        </is>
      </c>
      <c r="C2893" s="60" t="inlineStr">
        <is>
          <t>Solace Snack S-691</t>
        </is>
      </c>
      <c r="D2893" s="58" t="inlineStr">
        <is>
          <t>Grocery</t>
        </is>
      </c>
      <c r="E2893" s="58" t="inlineStr">
        <is>
          <t>Central</t>
        </is>
      </c>
      <c r="F2893" s="61" t="n">
        <v>3</v>
      </c>
      <c r="G2893" s="62" t="n">
        <v>11.58</v>
      </c>
      <c r="H2893" s="63" t="n">
        <v>0.109</v>
      </c>
      <c r="I2893" s="62" t="n">
        <v>7.05</v>
      </c>
      <c r="J2893" s="58" t="inlineStr">
        <is>
          <t>Store</t>
        </is>
      </c>
      <c r="K2893" s="62">
        <f>F2893*(G2893-H2893)</f>
        <v/>
      </c>
      <c r="L2893" s="62">
        <f>K2893-(F2893*I2893)</f>
        <v/>
      </c>
      <c r="M2893" s="64">
        <f>L2893/K2893</f>
        <v/>
      </c>
    </row>
    <row r="2894">
      <c r="A2894" s="58" t="inlineStr">
        <is>
          <t>RT20250316-02893</t>
        </is>
      </c>
      <c r="B2894" s="59" t="inlineStr">
        <is>
          <t>2025-03-16</t>
        </is>
      </c>
      <c r="C2894" s="60" t="inlineStr">
        <is>
          <t>Aurora Bedding Max-175</t>
        </is>
      </c>
      <c r="D2894" s="58" t="inlineStr">
        <is>
          <t>Home</t>
        </is>
      </c>
      <c r="E2894" s="58" t="inlineStr">
        <is>
          <t>East</t>
        </is>
      </c>
      <c r="F2894" s="61" t="n">
        <v>1</v>
      </c>
      <c r="G2894" s="62" t="n">
        <v>603.15</v>
      </c>
      <c r="H2894" s="63" t="n">
        <v>0.09</v>
      </c>
      <c r="I2894" s="62" t="n">
        <v>403.32</v>
      </c>
      <c r="J2894" s="58" t="inlineStr">
        <is>
          <t>Online</t>
        </is>
      </c>
      <c r="K2894" s="62">
        <f>F2894*(G2894-H2894)</f>
        <v/>
      </c>
      <c r="L2894" s="62">
        <f>K2894-(F2894*I2894)</f>
        <v/>
      </c>
      <c r="M2894" s="64">
        <f>L2894/K2894</f>
        <v/>
      </c>
    </row>
    <row r="2895">
      <c r="A2895" s="58" t="inlineStr">
        <is>
          <t>RT20250316-02894</t>
        </is>
      </c>
      <c r="B2895" s="59" t="inlineStr">
        <is>
          <t>2025-03-16</t>
        </is>
      </c>
      <c r="C2895" s="60" t="inlineStr">
        <is>
          <t>Falcon Headphone Pro-713</t>
        </is>
      </c>
      <c r="D2895" s="58" t="inlineStr">
        <is>
          <t>Electronics</t>
        </is>
      </c>
      <c r="E2895" s="58" t="inlineStr">
        <is>
          <t>South</t>
        </is>
      </c>
      <c r="F2895" s="61" t="n">
        <v>1</v>
      </c>
      <c r="G2895" s="62" t="n">
        <v>1488.06</v>
      </c>
      <c r="H2895" s="63" t="n">
        <v>0.079</v>
      </c>
      <c r="I2895" s="62" t="n">
        <v>1175.66</v>
      </c>
      <c r="J2895" s="58" t="inlineStr">
        <is>
          <t>Online</t>
        </is>
      </c>
      <c r="K2895" s="62">
        <f>F2895*(G2895-H2895)</f>
        <v/>
      </c>
      <c r="L2895" s="62">
        <f>K2895-(F2895*I2895)</f>
        <v/>
      </c>
      <c r="M2895" s="64">
        <f>L2895/K2895</f>
        <v/>
      </c>
    </row>
    <row r="2896">
      <c r="A2896" s="58" t="inlineStr">
        <is>
          <t>RT20250316-02895</t>
        </is>
      </c>
      <c r="B2896" s="59" t="inlineStr">
        <is>
          <t>2025-03-16</t>
        </is>
      </c>
      <c r="C2896" s="60" t="inlineStr">
        <is>
          <t>Nimbus Women Plus-352</t>
        </is>
      </c>
      <c r="D2896" s="58" t="inlineStr">
        <is>
          <t>Apparel</t>
        </is>
      </c>
      <c r="E2896" s="58" t="inlineStr">
        <is>
          <t>South</t>
        </is>
      </c>
      <c r="F2896" s="61" t="n">
        <v>3</v>
      </c>
      <c r="G2896" s="62" t="n">
        <v>63.82</v>
      </c>
      <c r="H2896" s="63" t="n">
        <v>0.08</v>
      </c>
      <c r="I2896" s="62" t="n">
        <v>32.69</v>
      </c>
      <c r="J2896" s="58" t="inlineStr">
        <is>
          <t>Store</t>
        </is>
      </c>
      <c r="K2896" s="62">
        <f>F2896*(G2896-H2896)</f>
        <v/>
      </c>
      <c r="L2896" s="62">
        <f>K2896-(F2896*I2896)</f>
        <v/>
      </c>
      <c r="M2896" s="64">
        <f>L2896/K2896</f>
        <v/>
      </c>
    </row>
    <row r="2897">
      <c r="A2897" s="58" t="inlineStr">
        <is>
          <t>RT20250316-02896</t>
        </is>
      </c>
      <c r="B2897" s="59" t="inlineStr">
        <is>
          <t>2025-03-16</t>
        </is>
      </c>
      <c r="C2897" s="60" t="inlineStr">
        <is>
          <t>Nimbus Laptop Max-652</t>
        </is>
      </c>
      <c r="D2897" s="58" t="inlineStr">
        <is>
          <t>Electronics</t>
        </is>
      </c>
      <c r="E2897" s="58" t="inlineStr">
        <is>
          <t>North</t>
        </is>
      </c>
      <c r="F2897" s="61" t="n">
        <v>1</v>
      </c>
      <c r="G2897" s="62" t="n">
        <v>1346.49</v>
      </c>
      <c r="H2897" s="63" t="n">
        <v>0.11</v>
      </c>
      <c r="I2897" s="62" t="n">
        <v>1041.25</v>
      </c>
      <c r="J2897" s="58" t="inlineStr">
        <is>
          <t>Store</t>
        </is>
      </c>
      <c r="K2897" s="62">
        <f>F2897*(G2897-H2897)</f>
        <v/>
      </c>
      <c r="L2897" s="62">
        <f>K2897-(F2897*I2897)</f>
        <v/>
      </c>
      <c r="M2897" s="64">
        <f>L2897/K2897</f>
        <v/>
      </c>
    </row>
    <row r="2898">
      <c r="A2898" s="58" t="inlineStr">
        <is>
          <t>RT20250316-02897</t>
        </is>
      </c>
      <c r="B2898" s="59" t="inlineStr">
        <is>
          <t>2025-03-16</t>
        </is>
      </c>
      <c r="C2898" s="60" t="inlineStr">
        <is>
          <t>Nimbus Cycling Plus-911</t>
        </is>
      </c>
      <c r="D2898" s="58" t="inlineStr">
        <is>
          <t>Sports</t>
        </is>
      </c>
      <c r="E2898" s="58" t="inlineStr">
        <is>
          <t>West</t>
        </is>
      </c>
      <c r="F2898" s="61" t="n">
        <v>2</v>
      </c>
      <c r="G2898" s="62" t="n">
        <v>592.63</v>
      </c>
      <c r="H2898" s="63" t="n">
        <v>0.078</v>
      </c>
      <c r="I2898" s="62" t="n">
        <v>401.25</v>
      </c>
      <c r="J2898" s="58" t="inlineStr">
        <is>
          <t>Online</t>
        </is>
      </c>
      <c r="K2898" s="62">
        <f>F2898*(G2898-H2898)</f>
        <v/>
      </c>
      <c r="L2898" s="62">
        <f>K2898-(F2898*I2898)</f>
        <v/>
      </c>
      <c r="M2898" s="64">
        <f>L2898/K2898</f>
        <v/>
      </c>
    </row>
    <row r="2899">
      <c r="A2899" s="58" t="inlineStr">
        <is>
          <t>RT20250316-02898</t>
        </is>
      </c>
      <c r="B2899" s="59" t="inlineStr">
        <is>
          <t>2025-03-16</t>
        </is>
      </c>
      <c r="C2899" s="60" t="inlineStr">
        <is>
          <t>Orion Supplie S-612</t>
        </is>
      </c>
      <c r="D2899" s="58" t="inlineStr">
        <is>
          <t>Office</t>
        </is>
      </c>
      <c r="E2899" s="58" t="inlineStr">
        <is>
          <t>Central</t>
        </is>
      </c>
      <c r="F2899" s="61" t="n">
        <v>1</v>
      </c>
      <c r="G2899" s="62" t="n">
        <v>494.04</v>
      </c>
      <c r="H2899" s="63" t="n">
        <v>0.133</v>
      </c>
      <c r="I2899" s="62" t="n">
        <v>330.69</v>
      </c>
      <c r="J2899" s="58" t="inlineStr">
        <is>
          <t>Store</t>
        </is>
      </c>
      <c r="K2899" s="62">
        <f>F2899*(G2899-H2899)</f>
        <v/>
      </c>
      <c r="L2899" s="62">
        <f>K2899-(F2899*I2899)</f>
        <v/>
      </c>
      <c r="M2899" s="64">
        <f>L2899/K2899</f>
        <v/>
      </c>
    </row>
    <row r="2900">
      <c r="A2900" s="58" t="inlineStr">
        <is>
          <t>RT20250316-02899</t>
        </is>
      </c>
      <c r="B2900" s="59" t="inlineStr">
        <is>
          <t>2025-03-16</t>
        </is>
      </c>
      <c r="C2900" s="60" t="inlineStr">
        <is>
          <t>Polar Bedding Lite-243</t>
        </is>
      </c>
      <c r="D2900" s="58" t="inlineStr">
        <is>
          <t>Home</t>
        </is>
      </c>
      <c r="E2900" s="58" t="inlineStr">
        <is>
          <t>West</t>
        </is>
      </c>
      <c r="F2900" s="61" t="n">
        <v>1</v>
      </c>
      <c r="G2900" s="62" t="n">
        <v>483.84</v>
      </c>
      <c r="H2900" s="63" t="n">
        <v>0.103</v>
      </c>
      <c r="I2900" s="62" t="n">
        <v>314.84</v>
      </c>
      <c r="J2900" s="58" t="inlineStr">
        <is>
          <t>Online</t>
        </is>
      </c>
      <c r="K2900" s="62">
        <f>F2900*(G2900-H2900)</f>
        <v/>
      </c>
      <c r="L2900" s="62">
        <f>K2900-(F2900*I2900)</f>
        <v/>
      </c>
      <c r="M2900" s="64">
        <f>L2900/K2900</f>
        <v/>
      </c>
    </row>
    <row r="2901">
      <c r="A2901" s="58" t="inlineStr">
        <is>
          <t>RT20250316-02900</t>
        </is>
      </c>
      <c r="B2901" s="59" t="inlineStr">
        <is>
          <t>2025-03-16</t>
        </is>
      </c>
      <c r="C2901" s="60" t="inlineStr">
        <is>
          <t>Falcon Headphone Plus-789</t>
        </is>
      </c>
      <c r="D2901" s="58" t="inlineStr">
        <is>
          <t>Electronics</t>
        </is>
      </c>
      <c r="E2901" s="58" t="inlineStr">
        <is>
          <t>Central</t>
        </is>
      </c>
      <c r="F2901" s="61" t="n">
        <v>1</v>
      </c>
      <c r="G2901" s="62" t="n">
        <v>1740.9</v>
      </c>
      <c r="H2901" s="63" t="n">
        <v>0.089</v>
      </c>
      <c r="I2901" s="62" t="n">
        <v>1294.42</v>
      </c>
      <c r="J2901" s="58" t="inlineStr">
        <is>
          <t>Online</t>
        </is>
      </c>
      <c r="K2901" s="62">
        <f>F2901*(G2901-H2901)</f>
        <v/>
      </c>
      <c r="L2901" s="62">
        <f>K2901-(F2901*I2901)</f>
        <v/>
      </c>
      <c r="M2901" s="64">
        <f>L2901/K2901</f>
        <v/>
      </c>
    </row>
    <row r="2902">
      <c r="A2902" s="58" t="inlineStr">
        <is>
          <t>RT20250316-02901</t>
        </is>
      </c>
      <c r="B2902" s="59" t="inlineStr">
        <is>
          <t>2025-03-16</t>
        </is>
      </c>
      <c r="C2902" s="60" t="inlineStr">
        <is>
          <t>Vertex Fitnes Pro-830</t>
        </is>
      </c>
      <c r="D2902" s="58" t="inlineStr">
        <is>
          <t>Sports</t>
        </is>
      </c>
      <c r="E2902" s="58" t="inlineStr">
        <is>
          <t>West</t>
        </is>
      </c>
      <c r="F2902" s="61" t="n">
        <v>1</v>
      </c>
      <c r="G2902" s="62" t="n">
        <v>713.4299999999999</v>
      </c>
      <c r="H2902" s="63" t="n">
        <v>0.08699999999999999</v>
      </c>
      <c r="I2902" s="62" t="n">
        <v>478.94</v>
      </c>
      <c r="J2902" s="58" t="inlineStr">
        <is>
          <t>Store</t>
        </is>
      </c>
      <c r="K2902" s="62">
        <f>F2902*(G2902-H2902)</f>
        <v/>
      </c>
      <c r="L2902" s="62">
        <f>K2902-(F2902*I2902)</f>
        <v/>
      </c>
      <c r="M2902" s="64">
        <f>L2902/K2902</f>
        <v/>
      </c>
    </row>
    <row r="2903">
      <c r="A2903" s="58" t="inlineStr">
        <is>
          <t>RT20250316-02902</t>
        </is>
      </c>
      <c r="B2903" s="59" t="inlineStr">
        <is>
          <t>2025-03-16</t>
        </is>
      </c>
      <c r="C2903" s="60" t="inlineStr">
        <is>
          <t>Nimbus Furniture Pro-479</t>
        </is>
      </c>
      <c r="D2903" s="58" t="inlineStr">
        <is>
          <t>Office</t>
        </is>
      </c>
      <c r="E2903" s="58" t="inlineStr">
        <is>
          <t>South</t>
        </is>
      </c>
      <c r="F2903" s="61" t="n">
        <v>3</v>
      </c>
      <c r="G2903" s="62" t="n">
        <v>386.88</v>
      </c>
      <c r="H2903" s="63" t="n">
        <v>0.08799999999999999</v>
      </c>
      <c r="I2903" s="62" t="n">
        <v>234.68</v>
      </c>
      <c r="J2903" s="58" t="inlineStr">
        <is>
          <t>Store</t>
        </is>
      </c>
      <c r="K2903" s="62">
        <f>F2903*(G2903-H2903)</f>
        <v/>
      </c>
      <c r="L2903" s="62">
        <f>K2903-(F2903*I2903)</f>
        <v/>
      </c>
      <c r="M2903" s="64">
        <f>L2903/K2903</f>
        <v/>
      </c>
    </row>
    <row r="2904">
      <c r="A2904" s="58" t="inlineStr">
        <is>
          <t>RT20250316-02903</t>
        </is>
      </c>
      <c r="B2904" s="59" t="inlineStr">
        <is>
          <t>2025-03-16</t>
        </is>
      </c>
      <c r="C2904" s="60" t="inlineStr">
        <is>
          <t>Orion Supplie S-612</t>
        </is>
      </c>
      <c r="D2904" s="58" t="inlineStr">
        <is>
          <t>Office</t>
        </is>
      </c>
      <c r="E2904" s="58" t="inlineStr">
        <is>
          <t>South</t>
        </is>
      </c>
      <c r="F2904" s="61" t="n">
        <v>1</v>
      </c>
      <c r="G2904" s="62" t="n">
        <v>483.21</v>
      </c>
      <c r="H2904" s="63" t="n">
        <v>0.128</v>
      </c>
      <c r="I2904" s="62" t="n">
        <v>337.65</v>
      </c>
      <c r="J2904" s="58" t="inlineStr">
        <is>
          <t>Online</t>
        </is>
      </c>
      <c r="K2904" s="62">
        <f>F2904*(G2904-H2904)</f>
        <v/>
      </c>
      <c r="L2904" s="62">
        <f>K2904-(F2904*I2904)</f>
        <v/>
      </c>
      <c r="M2904" s="64">
        <f>L2904/K2904</f>
        <v/>
      </c>
    </row>
    <row r="2905">
      <c r="A2905" s="58" t="inlineStr">
        <is>
          <t>RT20250316-02904</t>
        </is>
      </c>
      <c r="B2905" s="59" t="inlineStr">
        <is>
          <t>2025-03-16</t>
        </is>
      </c>
      <c r="C2905" s="60" t="inlineStr">
        <is>
          <t>Vertex Fitnes Pro-830</t>
        </is>
      </c>
      <c r="D2905" s="58" t="inlineStr">
        <is>
          <t>Sports</t>
        </is>
      </c>
      <c r="E2905" s="58" t="inlineStr">
        <is>
          <t>West</t>
        </is>
      </c>
      <c r="F2905" s="61" t="n">
        <v>2</v>
      </c>
      <c r="G2905" s="62" t="n">
        <v>722.04</v>
      </c>
      <c r="H2905" s="63" t="n">
        <v>0.119</v>
      </c>
      <c r="I2905" s="62" t="n">
        <v>467.23</v>
      </c>
      <c r="J2905" s="58" t="inlineStr">
        <is>
          <t>Online</t>
        </is>
      </c>
      <c r="K2905" s="62">
        <f>F2905*(G2905-H2905)</f>
        <v/>
      </c>
      <c r="L2905" s="62">
        <f>K2905-(F2905*I2905)</f>
        <v/>
      </c>
      <c r="M2905" s="64">
        <f>L2905/K2905</f>
        <v/>
      </c>
    </row>
    <row r="2906">
      <c r="A2906" s="58" t="inlineStr">
        <is>
          <t>RT20250316-02905</t>
        </is>
      </c>
      <c r="B2906" s="59" t="inlineStr">
        <is>
          <t>2025-03-16</t>
        </is>
      </c>
      <c r="C2906" s="60" t="inlineStr">
        <is>
          <t>Falcon Storage X-734</t>
        </is>
      </c>
      <c r="D2906" s="58" t="inlineStr">
        <is>
          <t>Office</t>
        </is>
      </c>
      <c r="E2906" s="58" t="inlineStr">
        <is>
          <t>East</t>
        </is>
      </c>
      <c r="F2906" s="61" t="n">
        <v>3</v>
      </c>
      <c r="G2906" s="62" t="n">
        <v>429.29</v>
      </c>
      <c r="H2906" s="63" t="n">
        <v>0.082</v>
      </c>
      <c r="I2906" s="62" t="n">
        <v>282.25</v>
      </c>
      <c r="J2906" s="58" t="inlineStr">
        <is>
          <t>Store</t>
        </is>
      </c>
      <c r="K2906" s="62">
        <f>F2906*(G2906-H2906)</f>
        <v/>
      </c>
      <c r="L2906" s="62">
        <f>K2906-(F2906*I2906)</f>
        <v/>
      </c>
      <c r="M2906" s="64">
        <f>L2906/K2906</f>
        <v/>
      </c>
    </row>
    <row r="2907">
      <c r="A2907" s="58" t="inlineStr">
        <is>
          <t>RT20250316-02906</t>
        </is>
      </c>
      <c r="B2907" s="59" t="inlineStr">
        <is>
          <t>2025-03-16</t>
        </is>
      </c>
      <c r="C2907" s="60" t="inlineStr">
        <is>
          <t>Falcon Accessorie S-195</t>
        </is>
      </c>
      <c r="D2907" s="58" t="inlineStr">
        <is>
          <t>Apparel</t>
        </is>
      </c>
      <c r="E2907" s="58" t="inlineStr">
        <is>
          <t>West</t>
        </is>
      </c>
      <c r="F2907" s="61" t="n">
        <v>1</v>
      </c>
      <c r="G2907" s="62" t="n">
        <v>72.53</v>
      </c>
      <c r="H2907" s="63" t="n">
        <v>0.11</v>
      </c>
      <c r="I2907" s="62" t="n">
        <v>43.17</v>
      </c>
      <c r="J2907" s="58" t="inlineStr">
        <is>
          <t>Online</t>
        </is>
      </c>
      <c r="K2907" s="62">
        <f>F2907*(G2907-H2907)</f>
        <v/>
      </c>
      <c r="L2907" s="62">
        <f>K2907-(F2907*I2907)</f>
        <v/>
      </c>
      <c r="M2907" s="64">
        <f>L2907/K2907</f>
        <v/>
      </c>
    </row>
    <row r="2908">
      <c r="A2908" s="58" t="inlineStr">
        <is>
          <t>RT20250316-02907</t>
        </is>
      </c>
      <c r="B2908" s="59" t="inlineStr">
        <is>
          <t>2025-03-16</t>
        </is>
      </c>
      <c r="C2908" s="60" t="inlineStr">
        <is>
          <t>Polar Cycling X-649</t>
        </is>
      </c>
      <c r="D2908" s="58" t="inlineStr">
        <is>
          <t>Sports</t>
        </is>
      </c>
      <c r="E2908" s="58" t="inlineStr">
        <is>
          <t>West</t>
        </is>
      </c>
      <c r="F2908" s="61" t="n">
        <v>1</v>
      </c>
      <c r="G2908" s="62" t="n">
        <v>583.02</v>
      </c>
      <c r="H2908" s="63" t="n">
        <v>0.065</v>
      </c>
      <c r="I2908" s="62" t="n">
        <v>358.21</v>
      </c>
      <c r="J2908" s="58" t="inlineStr">
        <is>
          <t>Online</t>
        </is>
      </c>
      <c r="K2908" s="62">
        <f>F2908*(G2908-H2908)</f>
        <v/>
      </c>
      <c r="L2908" s="62">
        <f>K2908-(F2908*I2908)</f>
        <v/>
      </c>
      <c r="M2908" s="64">
        <f>L2908/K2908</f>
        <v/>
      </c>
    </row>
    <row r="2909">
      <c r="A2909" s="58" t="inlineStr">
        <is>
          <t>RT20250316-02908</t>
        </is>
      </c>
      <c r="B2909" s="59" t="inlineStr">
        <is>
          <t>2025-03-16</t>
        </is>
      </c>
      <c r="C2909" s="60" t="inlineStr">
        <is>
          <t>Solace Kitchen X-919</t>
        </is>
      </c>
      <c r="D2909" s="58" t="inlineStr">
        <is>
          <t>Home</t>
        </is>
      </c>
      <c r="E2909" s="58" t="inlineStr">
        <is>
          <t>North</t>
        </is>
      </c>
      <c r="F2909" s="61" t="n">
        <v>1</v>
      </c>
      <c r="G2909" s="62" t="n">
        <v>404.39</v>
      </c>
      <c r="H2909" s="63" t="n">
        <v>0.08500000000000001</v>
      </c>
      <c r="I2909" s="62" t="n">
        <v>266.27</v>
      </c>
      <c r="J2909" s="58" t="inlineStr">
        <is>
          <t>Store</t>
        </is>
      </c>
      <c r="K2909" s="62">
        <f>F2909*(G2909-H2909)</f>
        <v/>
      </c>
      <c r="L2909" s="62">
        <f>K2909-(F2909*I2909)</f>
        <v/>
      </c>
      <c r="M2909" s="64">
        <f>L2909/K2909</f>
        <v/>
      </c>
    </row>
    <row r="2910">
      <c r="A2910" s="58" t="inlineStr">
        <is>
          <t>RT20250316-02909</t>
        </is>
      </c>
      <c r="B2910" s="59" t="inlineStr">
        <is>
          <t>2025-03-16</t>
        </is>
      </c>
      <c r="C2910" s="60" t="inlineStr">
        <is>
          <t>Vertex Fitnes Pro-830</t>
        </is>
      </c>
      <c r="D2910" s="58" t="inlineStr">
        <is>
          <t>Sports</t>
        </is>
      </c>
      <c r="E2910" s="58" t="inlineStr">
        <is>
          <t>Central</t>
        </is>
      </c>
      <c r="F2910" s="61" t="n">
        <v>2</v>
      </c>
      <c r="G2910" s="62" t="n">
        <v>727.66</v>
      </c>
      <c r="H2910" s="63" t="n">
        <v>0.133</v>
      </c>
      <c r="I2910" s="62" t="n">
        <v>468</v>
      </c>
      <c r="J2910" s="58" t="inlineStr">
        <is>
          <t>Store</t>
        </is>
      </c>
      <c r="K2910" s="62">
        <f>F2910*(G2910-H2910)</f>
        <v/>
      </c>
      <c r="L2910" s="62">
        <f>K2910-(F2910*I2910)</f>
        <v/>
      </c>
      <c r="M2910" s="64">
        <f>L2910/K2910</f>
        <v/>
      </c>
    </row>
    <row r="2911">
      <c r="A2911" s="58" t="inlineStr">
        <is>
          <t>RT20250316-02910</t>
        </is>
      </c>
      <c r="B2911" s="59" t="inlineStr">
        <is>
          <t>2025-03-16</t>
        </is>
      </c>
      <c r="C2911" s="60" t="inlineStr">
        <is>
          <t>Nimbus Makeup Max-158</t>
        </is>
      </c>
      <c r="D2911" s="58" t="inlineStr">
        <is>
          <t>Beauty</t>
        </is>
      </c>
      <c r="E2911" s="58" t="inlineStr">
        <is>
          <t>North</t>
        </is>
      </c>
      <c r="F2911" s="61" t="n">
        <v>3</v>
      </c>
      <c r="G2911" s="62" t="n">
        <v>131.26</v>
      </c>
      <c r="H2911" s="63" t="n">
        <v>0.08799999999999999</v>
      </c>
      <c r="I2911" s="62" t="n">
        <v>93.08</v>
      </c>
      <c r="J2911" s="58" t="inlineStr">
        <is>
          <t>Phone</t>
        </is>
      </c>
      <c r="K2911" s="62">
        <f>F2911*(G2911-H2911)</f>
        <v/>
      </c>
      <c r="L2911" s="62">
        <f>K2911-(F2911*I2911)</f>
        <v/>
      </c>
      <c r="M2911" s="64">
        <f>L2911/K2911</f>
        <v/>
      </c>
    </row>
    <row r="2912">
      <c r="A2912" s="58" t="inlineStr">
        <is>
          <t>RT20250316-02911</t>
        </is>
      </c>
      <c r="B2912" s="59" t="inlineStr">
        <is>
          <t>2025-03-16</t>
        </is>
      </c>
      <c r="C2912" s="60" t="inlineStr">
        <is>
          <t>Solace Snack S-691</t>
        </is>
      </c>
      <c r="D2912" s="58" t="inlineStr">
        <is>
          <t>Grocery</t>
        </is>
      </c>
      <c r="E2912" s="58" t="inlineStr">
        <is>
          <t>West</t>
        </is>
      </c>
      <c r="F2912" s="61" t="n">
        <v>5</v>
      </c>
      <c r="G2912" s="62" t="n">
        <v>10.03</v>
      </c>
      <c r="H2912" s="63" t="n">
        <v>0.065</v>
      </c>
      <c r="I2912" s="62" t="n">
        <v>7.18</v>
      </c>
      <c r="J2912" s="58" t="inlineStr">
        <is>
          <t>Store</t>
        </is>
      </c>
      <c r="K2912" s="62">
        <f>F2912*(G2912-H2912)</f>
        <v/>
      </c>
      <c r="L2912" s="62">
        <f>K2912-(F2912*I2912)</f>
        <v/>
      </c>
      <c r="M2912" s="64">
        <f>L2912/K2912</f>
        <v/>
      </c>
    </row>
    <row r="2913">
      <c r="A2913" s="58" t="inlineStr">
        <is>
          <t>RT20250316-02912</t>
        </is>
      </c>
      <c r="B2913" s="59" t="inlineStr">
        <is>
          <t>2025-03-16</t>
        </is>
      </c>
      <c r="C2913" s="60" t="inlineStr">
        <is>
          <t>Vertex Snack S-702</t>
        </is>
      </c>
      <c r="D2913" s="58" t="inlineStr">
        <is>
          <t>Grocery</t>
        </is>
      </c>
      <c r="E2913" s="58" t="inlineStr">
        <is>
          <t>South</t>
        </is>
      </c>
      <c r="F2913" s="61" t="n">
        <v>1</v>
      </c>
      <c r="G2913" s="62" t="n">
        <v>1.82</v>
      </c>
      <c r="H2913" s="63" t="n">
        <v>0.059</v>
      </c>
      <c r="I2913" s="62" t="n">
        <v>1.5</v>
      </c>
      <c r="J2913" s="58" t="inlineStr">
        <is>
          <t>Phone</t>
        </is>
      </c>
      <c r="K2913" s="62">
        <f>F2913*(G2913-H2913)</f>
        <v/>
      </c>
      <c r="L2913" s="62">
        <f>K2913-(F2913*I2913)</f>
        <v/>
      </c>
      <c r="M2913" s="64">
        <f>L2913/K2913</f>
        <v/>
      </c>
    </row>
    <row r="2914">
      <c r="A2914" s="58" t="inlineStr">
        <is>
          <t>RT20250316-02913</t>
        </is>
      </c>
      <c r="B2914" s="59" t="inlineStr">
        <is>
          <t>2025-03-16</t>
        </is>
      </c>
      <c r="C2914" s="60" t="inlineStr">
        <is>
          <t>Orion Team Sport X-926</t>
        </is>
      </c>
      <c r="D2914" s="58" t="inlineStr">
        <is>
          <t>Sports</t>
        </is>
      </c>
      <c r="E2914" s="58" t="inlineStr">
        <is>
          <t>Central</t>
        </is>
      </c>
      <c r="F2914" s="61" t="n">
        <v>3</v>
      </c>
      <c r="G2914" s="62" t="n">
        <v>366.86</v>
      </c>
      <c r="H2914" s="63" t="n">
        <v>0.134</v>
      </c>
      <c r="I2914" s="62" t="n">
        <v>220.5</v>
      </c>
      <c r="J2914" s="58" t="inlineStr">
        <is>
          <t>Online</t>
        </is>
      </c>
      <c r="K2914" s="62">
        <f>F2914*(G2914-H2914)</f>
        <v/>
      </c>
      <c r="L2914" s="62">
        <f>K2914-(F2914*I2914)</f>
        <v/>
      </c>
      <c r="M2914" s="64">
        <f>L2914/K2914</f>
        <v/>
      </c>
    </row>
    <row r="2915">
      <c r="A2915" s="58" t="inlineStr">
        <is>
          <t>RT20250316-02914</t>
        </is>
      </c>
      <c r="B2915" s="59" t="inlineStr">
        <is>
          <t>2025-03-16</t>
        </is>
      </c>
      <c r="C2915" s="60" t="inlineStr">
        <is>
          <t>Solace Bedding Plus-317</t>
        </is>
      </c>
      <c r="D2915" s="58" t="inlineStr">
        <is>
          <t>Home</t>
        </is>
      </c>
      <c r="E2915" s="58" t="inlineStr">
        <is>
          <t>West</t>
        </is>
      </c>
      <c r="F2915" s="61" t="n">
        <v>3</v>
      </c>
      <c r="G2915" s="62" t="n">
        <v>598.62</v>
      </c>
      <c r="H2915" s="63" t="n">
        <v>0.137</v>
      </c>
      <c r="I2915" s="62" t="n">
        <v>378.29</v>
      </c>
      <c r="J2915" s="58" t="inlineStr">
        <is>
          <t>Online</t>
        </is>
      </c>
      <c r="K2915" s="62">
        <f>F2915*(G2915-H2915)</f>
        <v/>
      </c>
      <c r="L2915" s="62">
        <f>K2915-(F2915*I2915)</f>
        <v/>
      </c>
      <c r="M2915" s="64">
        <f>L2915/K2915</f>
        <v/>
      </c>
    </row>
    <row r="2916">
      <c r="A2916" s="58" t="inlineStr">
        <is>
          <t>RT20250316-02915</t>
        </is>
      </c>
      <c r="B2916" s="59" t="inlineStr">
        <is>
          <t>2025-03-16</t>
        </is>
      </c>
      <c r="C2916" s="60" t="inlineStr">
        <is>
          <t>Solace Headphone Pro-344</t>
        </is>
      </c>
      <c r="D2916" s="58" t="inlineStr">
        <is>
          <t>Electronics</t>
        </is>
      </c>
      <c r="E2916" s="58" t="inlineStr">
        <is>
          <t>West</t>
        </is>
      </c>
      <c r="F2916" s="61" t="n">
        <v>2</v>
      </c>
      <c r="G2916" s="62" t="n">
        <v>1262.89</v>
      </c>
      <c r="H2916" s="63" t="n">
        <v>0.147</v>
      </c>
      <c r="I2916" s="62" t="n">
        <v>1045.87</v>
      </c>
      <c r="J2916" s="58" t="inlineStr">
        <is>
          <t>Online</t>
        </is>
      </c>
      <c r="K2916" s="62">
        <f>F2916*(G2916-H2916)</f>
        <v/>
      </c>
      <c r="L2916" s="62">
        <f>K2916-(F2916*I2916)</f>
        <v/>
      </c>
      <c r="M2916" s="64">
        <f>L2916/K2916</f>
        <v/>
      </c>
    </row>
    <row r="2917">
      <c r="A2917" s="58" t="inlineStr">
        <is>
          <t>RT20250316-02916</t>
        </is>
      </c>
      <c r="B2917" s="59" t="inlineStr">
        <is>
          <t>2025-03-16</t>
        </is>
      </c>
      <c r="C2917" s="60" t="inlineStr">
        <is>
          <t>Falcon Haircare Pro-980</t>
        </is>
      </c>
      <c r="D2917" s="58" t="inlineStr">
        <is>
          <t>Beauty</t>
        </is>
      </c>
      <c r="E2917" s="58" t="inlineStr">
        <is>
          <t>South</t>
        </is>
      </c>
      <c r="F2917" s="61" t="n">
        <v>2</v>
      </c>
      <c r="G2917" s="62" t="n">
        <v>81.48</v>
      </c>
      <c r="H2917" s="63" t="n">
        <v>0.074</v>
      </c>
      <c r="I2917" s="62" t="n">
        <v>55.66</v>
      </c>
      <c r="J2917" s="58" t="inlineStr">
        <is>
          <t>Online</t>
        </is>
      </c>
      <c r="K2917" s="62">
        <f>F2917*(G2917-H2917)</f>
        <v/>
      </c>
      <c r="L2917" s="62">
        <f>K2917-(F2917*I2917)</f>
        <v/>
      </c>
      <c r="M2917" s="64">
        <f>L2917/K2917</f>
        <v/>
      </c>
    </row>
    <row r="2918">
      <c r="A2918" s="58" t="inlineStr">
        <is>
          <t>RT20250316-02917</t>
        </is>
      </c>
      <c r="B2918" s="59" t="inlineStr">
        <is>
          <t>2025-03-16</t>
        </is>
      </c>
      <c r="C2918" s="60" t="inlineStr">
        <is>
          <t>Vertex Headphone Pro-801</t>
        </is>
      </c>
      <c r="D2918" s="58" t="inlineStr">
        <is>
          <t>Electronics</t>
        </is>
      </c>
      <c r="E2918" s="58" t="inlineStr">
        <is>
          <t>North</t>
        </is>
      </c>
      <c r="F2918" s="61" t="n">
        <v>2</v>
      </c>
      <c r="G2918" s="62" t="n">
        <v>1255.01</v>
      </c>
      <c r="H2918" s="63" t="n">
        <v>0.133</v>
      </c>
      <c r="I2918" s="62" t="n">
        <v>957.7</v>
      </c>
      <c r="J2918" s="58" t="inlineStr">
        <is>
          <t>Store</t>
        </is>
      </c>
      <c r="K2918" s="62">
        <f>F2918*(G2918-H2918)</f>
        <v/>
      </c>
      <c r="L2918" s="62">
        <f>K2918-(F2918*I2918)</f>
        <v/>
      </c>
      <c r="M2918" s="64">
        <f>L2918/K2918</f>
        <v/>
      </c>
    </row>
    <row r="2919">
      <c r="A2919" s="58" t="inlineStr">
        <is>
          <t>RT20250316-02918</t>
        </is>
      </c>
      <c r="B2919" s="59" t="inlineStr">
        <is>
          <t>2025-03-16</t>
        </is>
      </c>
      <c r="C2919" s="60" t="inlineStr">
        <is>
          <t>Metro Decor Lite-325</t>
        </is>
      </c>
      <c r="D2919" s="58" t="inlineStr">
        <is>
          <t>Home</t>
        </is>
      </c>
      <c r="E2919" s="58" t="inlineStr">
        <is>
          <t>West</t>
        </is>
      </c>
      <c r="F2919" s="61" t="n">
        <v>2</v>
      </c>
      <c r="G2919" s="62" t="n">
        <v>591.52</v>
      </c>
      <c r="H2919" s="63" t="n">
        <v>0.126</v>
      </c>
      <c r="I2919" s="62" t="n">
        <v>389.64</v>
      </c>
      <c r="J2919" s="58" t="inlineStr">
        <is>
          <t>Online</t>
        </is>
      </c>
      <c r="K2919" s="62">
        <f>F2919*(G2919-H2919)</f>
        <v/>
      </c>
      <c r="L2919" s="62">
        <f>K2919-(F2919*I2919)</f>
        <v/>
      </c>
      <c r="M2919" s="64">
        <f>L2919/K2919</f>
        <v/>
      </c>
    </row>
    <row r="2920">
      <c r="A2920" s="58" t="inlineStr">
        <is>
          <t>RT20250316-02919</t>
        </is>
      </c>
      <c r="B2920" s="59" t="inlineStr">
        <is>
          <t>2025-03-16</t>
        </is>
      </c>
      <c r="C2920" s="60" t="inlineStr">
        <is>
          <t>Nimbus Women Plus-352</t>
        </is>
      </c>
      <c r="D2920" s="58" t="inlineStr">
        <is>
          <t>Apparel</t>
        </is>
      </c>
      <c r="E2920" s="58" t="inlineStr">
        <is>
          <t>East</t>
        </is>
      </c>
      <c r="F2920" s="61" t="n">
        <v>3</v>
      </c>
      <c r="G2920" s="62" t="n">
        <v>67.17</v>
      </c>
      <c r="H2920" s="63" t="n">
        <v>0.091</v>
      </c>
      <c r="I2920" s="62" t="n">
        <v>33.07</v>
      </c>
      <c r="J2920" s="58" t="inlineStr">
        <is>
          <t>Store</t>
        </is>
      </c>
      <c r="K2920" s="62">
        <f>F2920*(G2920-H2920)</f>
        <v/>
      </c>
      <c r="L2920" s="62">
        <f>K2920-(F2920*I2920)</f>
        <v/>
      </c>
      <c r="M2920" s="64">
        <f>L2920/K2920</f>
        <v/>
      </c>
    </row>
    <row r="2921">
      <c r="A2921" s="58" t="inlineStr">
        <is>
          <t>RT20250316-02920</t>
        </is>
      </c>
      <c r="B2921" s="59" t="inlineStr">
        <is>
          <t>2025-03-16</t>
        </is>
      </c>
      <c r="C2921" s="60" t="inlineStr">
        <is>
          <t>Metro Accessorie Max-316</t>
        </is>
      </c>
      <c r="D2921" s="58" t="inlineStr">
        <is>
          <t>Apparel</t>
        </is>
      </c>
      <c r="E2921" s="58" t="inlineStr">
        <is>
          <t>West</t>
        </is>
      </c>
      <c r="F2921" s="61" t="n">
        <v>1</v>
      </c>
      <c r="G2921" s="62" t="n">
        <v>160</v>
      </c>
      <c r="H2921" s="63" t="n">
        <v>0.057</v>
      </c>
      <c r="I2921" s="62" t="n">
        <v>93.88</v>
      </c>
      <c r="J2921" s="58" t="inlineStr">
        <is>
          <t>Online</t>
        </is>
      </c>
      <c r="K2921" s="62">
        <f>F2921*(G2921-H2921)</f>
        <v/>
      </c>
      <c r="L2921" s="62">
        <f>K2921-(F2921*I2921)</f>
        <v/>
      </c>
      <c r="M2921" s="64">
        <f>L2921/K2921</f>
        <v/>
      </c>
    </row>
    <row r="2922">
      <c r="A2922" s="58" t="inlineStr">
        <is>
          <t>RT20250316-02921</t>
        </is>
      </c>
      <c r="B2922" s="59" t="inlineStr">
        <is>
          <t>2025-03-16</t>
        </is>
      </c>
      <c r="C2922" s="60" t="inlineStr">
        <is>
          <t>Polar Decor X-935</t>
        </is>
      </c>
      <c r="D2922" s="58" t="inlineStr">
        <is>
          <t>Home</t>
        </is>
      </c>
      <c r="E2922" s="58" t="inlineStr">
        <is>
          <t>Central</t>
        </is>
      </c>
      <c r="F2922" s="61" t="n">
        <v>2</v>
      </c>
      <c r="G2922" s="62" t="n">
        <v>307.76</v>
      </c>
      <c r="H2922" s="63" t="n">
        <v>0.047</v>
      </c>
      <c r="I2922" s="62" t="n">
        <v>200.34</v>
      </c>
      <c r="J2922" s="58" t="inlineStr">
        <is>
          <t>Store</t>
        </is>
      </c>
      <c r="K2922" s="62">
        <f>F2922*(G2922-H2922)</f>
        <v/>
      </c>
      <c r="L2922" s="62">
        <f>K2922-(F2922*I2922)</f>
        <v/>
      </c>
      <c r="M2922" s="64">
        <f>L2922/K2922</f>
        <v/>
      </c>
    </row>
    <row r="2923">
      <c r="A2923" s="58" t="inlineStr">
        <is>
          <t>RT20250316-02922</t>
        </is>
      </c>
      <c r="B2923" s="59" t="inlineStr">
        <is>
          <t>2025-03-16</t>
        </is>
      </c>
      <c r="C2923" s="60" t="inlineStr">
        <is>
          <t>Metro Accessorie Lite-697</t>
        </is>
      </c>
      <c r="D2923" s="58" t="inlineStr">
        <is>
          <t>Apparel</t>
        </is>
      </c>
      <c r="E2923" s="58" t="inlineStr">
        <is>
          <t>Central</t>
        </is>
      </c>
      <c r="F2923" s="61" t="n">
        <v>2</v>
      </c>
      <c r="G2923" s="62" t="n">
        <v>133.57</v>
      </c>
      <c r="H2923" s="63" t="n">
        <v>0.104</v>
      </c>
      <c r="I2923" s="62" t="n">
        <v>75.15000000000001</v>
      </c>
      <c r="J2923" s="58" t="inlineStr">
        <is>
          <t>Online</t>
        </is>
      </c>
      <c r="K2923" s="62">
        <f>F2923*(G2923-H2923)</f>
        <v/>
      </c>
      <c r="L2923" s="62">
        <f>K2923-(F2923*I2923)</f>
        <v/>
      </c>
      <c r="M2923" s="64">
        <f>L2923/K2923</f>
        <v/>
      </c>
    </row>
    <row r="2924">
      <c r="A2924" s="58" t="inlineStr">
        <is>
          <t>RT20250316-02923</t>
        </is>
      </c>
      <c r="B2924" s="59" t="inlineStr">
        <is>
          <t>2025-03-16</t>
        </is>
      </c>
      <c r="C2924" s="60" t="inlineStr">
        <is>
          <t>Solace Fitnes S-324</t>
        </is>
      </c>
      <c r="D2924" s="58" t="inlineStr">
        <is>
          <t>Sports</t>
        </is>
      </c>
      <c r="E2924" s="58" t="inlineStr">
        <is>
          <t>West</t>
        </is>
      </c>
      <c r="F2924" s="61" t="n">
        <v>2</v>
      </c>
      <c r="G2924" s="62" t="n">
        <v>795.41</v>
      </c>
      <c r="H2924" s="63" t="n">
        <v>0.105</v>
      </c>
      <c r="I2924" s="62" t="n">
        <v>525.05</v>
      </c>
      <c r="J2924" s="58" t="inlineStr">
        <is>
          <t>Online</t>
        </is>
      </c>
      <c r="K2924" s="62">
        <f>F2924*(G2924-H2924)</f>
        <v/>
      </c>
      <c r="L2924" s="62">
        <f>K2924-(F2924*I2924)</f>
        <v/>
      </c>
      <c r="M2924" s="64">
        <f>L2924/K2924</f>
        <v/>
      </c>
    </row>
    <row r="2925">
      <c r="A2925" s="58" t="inlineStr">
        <is>
          <t>RT20250316-02924</t>
        </is>
      </c>
      <c r="B2925" s="59" t="inlineStr">
        <is>
          <t>2025-03-16</t>
        </is>
      </c>
      <c r="C2925" s="60" t="inlineStr">
        <is>
          <t>Vertex Headphone Pro-801</t>
        </is>
      </c>
      <c r="D2925" s="58" t="inlineStr">
        <is>
          <t>Electronics</t>
        </is>
      </c>
      <c r="E2925" s="58" t="inlineStr">
        <is>
          <t>West</t>
        </is>
      </c>
      <c r="F2925" s="61" t="n">
        <v>2</v>
      </c>
      <c r="G2925" s="62" t="n">
        <v>1144.74</v>
      </c>
      <c r="H2925" s="63" t="n">
        <v>0.155</v>
      </c>
      <c r="I2925" s="62" t="n">
        <v>939.13</v>
      </c>
      <c r="J2925" s="58" t="inlineStr">
        <is>
          <t>Online</t>
        </is>
      </c>
      <c r="K2925" s="62">
        <f>F2925*(G2925-H2925)</f>
        <v/>
      </c>
      <c r="L2925" s="62">
        <f>K2925-(F2925*I2925)</f>
        <v/>
      </c>
      <c r="M2925" s="64">
        <f>L2925/K2925</f>
        <v/>
      </c>
    </row>
    <row r="2926">
      <c r="A2926" s="58" t="inlineStr">
        <is>
          <t>RT20250316-02925</t>
        </is>
      </c>
      <c r="B2926" s="59" t="inlineStr">
        <is>
          <t>2025-03-16</t>
        </is>
      </c>
      <c r="C2926" s="60" t="inlineStr">
        <is>
          <t>Falcon Kitchen X-130</t>
        </is>
      </c>
      <c r="D2926" s="58" t="inlineStr">
        <is>
          <t>Home</t>
        </is>
      </c>
      <c r="E2926" s="58" t="inlineStr">
        <is>
          <t>Central</t>
        </is>
      </c>
      <c r="F2926" s="61" t="n">
        <v>1</v>
      </c>
      <c r="G2926" s="62" t="n">
        <v>399.44</v>
      </c>
      <c r="H2926" s="63" t="n">
        <v>0.13</v>
      </c>
      <c r="I2926" s="62" t="n">
        <v>288.66</v>
      </c>
      <c r="J2926" s="58" t="inlineStr">
        <is>
          <t>Online</t>
        </is>
      </c>
      <c r="K2926" s="62">
        <f>F2926*(G2926-H2926)</f>
        <v/>
      </c>
      <c r="L2926" s="62">
        <f>K2926-(F2926*I2926)</f>
        <v/>
      </c>
      <c r="M2926" s="64">
        <f>L2926/K2926</f>
        <v/>
      </c>
    </row>
    <row r="2927">
      <c r="A2927" s="58" t="inlineStr">
        <is>
          <t>RT20250316-02926</t>
        </is>
      </c>
      <c r="B2927" s="59" t="inlineStr">
        <is>
          <t>2025-03-16</t>
        </is>
      </c>
      <c r="C2927" s="60" t="inlineStr">
        <is>
          <t>Polar Haircare Max-614</t>
        </is>
      </c>
      <c r="D2927" s="58" t="inlineStr">
        <is>
          <t>Beauty</t>
        </is>
      </c>
      <c r="E2927" s="58" t="inlineStr">
        <is>
          <t>North</t>
        </is>
      </c>
      <c r="F2927" s="61" t="n">
        <v>1</v>
      </c>
      <c r="G2927" s="62" t="n">
        <v>129.98</v>
      </c>
      <c r="H2927" s="63" t="n">
        <v>0.169</v>
      </c>
      <c r="I2927" s="62" t="n">
        <v>69.44</v>
      </c>
      <c r="J2927" s="58" t="inlineStr">
        <is>
          <t>Online</t>
        </is>
      </c>
      <c r="K2927" s="62">
        <f>F2927*(G2927-H2927)</f>
        <v/>
      </c>
      <c r="L2927" s="62">
        <f>K2927-(F2927*I2927)</f>
        <v/>
      </c>
      <c r="M2927" s="64">
        <f>L2927/K2927</f>
        <v/>
      </c>
    </row>
    <row r="2928">
      <c r="A2928" s="58" t="inlineStr">
        <is>
          <t>RT20250316-02927</t>
        </is>
      </c>
      <c r="B2928" s="59" t="inlineStr">
        <is>
          <t>2025-03-16</t>
        </is>
      </c>
      <c r="C2928" s="60" t="inlineStr">
        <is>
          <t>Vertex Fitnes Pro-830</t>
        </is>
      </c>
      <c r="D2928" s="58" t="inlineStr">
        <is>
          <t>Sports</t>
        </is>
      </c>
      <c r="E2928" s="58" t="inlineStr">
        <is>
          <t>East</t>
        </is>
      </c>
      <c r="F2928" s="61" t="n">
        <v>1</v>
      </c>
      <c r="G2928" s="62" t="n">
        <v>700.5</v>
      </c>
      <c r="H2928" s="63" t="n">
        <v>0.076</v>
      </c>
      <c r="I2928" s="62" t="n">
        <v>476.86</v>
      </c>
      <c r="J2928" s="58" t="inlineStr">
        <is>
          <t>Store</t>
        </is>
      </c>
      <c r="K2928" s="62">
        <f>F2928*(G2928-H2928)</f>
        <v/>
      </c>
      <c r="L2928" s="62">
        <f>K2928-(F2928*I2928)</f>
        <v/>
      </c>
      <c r="M2928" s="64">
        <f>L2928/K2928</f>
        <v/>
      </c>
    </row>
    <row r="2929">
      <c r="A2929" s="58" t="inlineStr">
        <is>
          <t>RT20250316-02928</t>
        </is>
      </c>
      <c r="B2929" s="59" t="inlineStr">
        <is>
          <t>2025-03-16</t>
        </is>
      </c>
      <c r="C2929" s="60" t="inlineStr">
        <is>
          <t>Vertex Fitnes Pro-830</t>
        </is>
      </c>
      <c r="D2929" s="58" t="inlineStr">
        <is>
          <t>Sports</t>
        </is>
      </c>
      <c r="E2929" s="58" t="inlineStr">
        <is>
          <t>South</t>
        </is>
      </c>
      <c r="F2929" s="61" t="n">
        <v>3</v>
      </c>
      <c r="G2929" s="62" t="n">
        <v>651.51</v>
      </c>
      <c r="H2929" s="63" t="n">
        <v>0.036</v>
      </c>
      <c r="I2929" s="62" t="n">
        <v>478.08</v>
      </c>
      <c r="J2929" s="58" t="inlineStr">
        <is>
          <t>Store</t>
        </is>
      </c>
      <c r="K2929" s="62">
        <f>F2929*(G2929-H2929)</f>
        <v/>
      </c>
      <c r="L2929" s="62">
        <f>K2929-(F2929*I2929)</f>
        <v/>
      </c>
      <c r="M2929" s="64">
        <f>L2929/K2929</f>
        <v/>
      </c>
    </row>
    <row r="2930">
      <c r="A2930" s="58" t="inlineStr">
        <is>
          <t>RT20250316-02929</t>
        </is>
      </c>
      <c r="B2930" s="59" t="inlineStr">
        <is>
          <t>2025-03-16</t>
        </is>
      </c>
      <c r="C2930" s="60" t="inlineStr">
        <is>
          <t>Orion Supplie S-612</t>
        </is>
      </c>
      <c r="D2930" s="58" t="inlineStr">
        <is>
          <t>Office</t>
        </is>
      </c>
      <c r="E2930" s="58" t="inlineStr">
        <is>
          <t>East</t>
        </is>
      </c>
      <c r="F2930" s="61" t="n">
        <v>3</v>
      </c>
      <c r="G2930" s="62" t="n">
        <v>412.32</v>
      </c>
      <c r="H2930" s="63" t="n">
        <v>0.143</v>
      </c>
      <c r="I2930" s="62" t="n">
        <v>333.73</v>
      </c>
      <c r="J2930" s="58" t="inlineStr">
        <is>
          <t>Online</t>
        </is>
      </c>
      <c r="K2930" s="62">
        <f>F2930*(G2930-H2930)</f>
        <v/>
      </c>
      <c r="L2930" s="62">
        <f>K2930-(F2930*I2930)</f>
        <v/>
      </c>
      <c r="M2930" s="64">
        <f>L2930/K2930</f>
        <v/>
      </c>
    </row>
    <row r="2931">
      <c r="A2931" s="58" t="inlineStr">
        <is>
          <t>RT20250316-02930</t>
        </is>
      </c>
      <c r="B2931" s="59" t="inlineStr">
        <is>
          <t>2025-03-16</t>
        </is>
      </c>
      <c r="C2931" s="60" t="inlineStr">
        <is>
          <t>Polar Men Pro-246</t>
        </is>
      </c>
      <c r="D2931" s="58" t="inlineStr">
        <is>
          <t>Apparel</t>
        </is>
      </c>
      <c r="E2931" s="58" t="inlineStr">
        <is>
          <t>South</t>
        </is>
      </c>
      <c r="F2931" s="61" t="n">
        <v>4</v>
      </c>
      <c r="G2931" s="62" t="n">
        <v>144.48</v>
      </c>
      <c r="H2931" s="63" t="n">
        <v>0.127</v>
      </c>
      <c r="I2931" s="62" t="n">
        <v>77.95999999999999</v>
      </c>
      <c r="J2931" s="58" t="inlineStr">
        <is>
          <t>Online</t>
        </is>
      </c>
      <c r="K2931" s="62">
        <f>F2931*(G2931-H2931)</f>
        <v/>
      </c>
      <c r="L2931" s="62">
        <f>K2931-(F2931*I2931)</f>
        <v/>
      </c>
      <c r="M2931" s="64">
        <f>L2931/K2931</f>
        <v/>
      </c>
    </row>
    <row r="2932">
      <c r="A2932" s="58" t="inlineStr">
        <is>
          <t>RT20250316-02931</t>
        </is>
      </c>
      <c r="B2932" s="59" t="inlineStr">
        <is>
          <t>2025-03-16</t>
        </is>
      </c>
      <c r="C2932" s="60" t="inlineStr">
        <is>
          <t>Falcon Kitchen X-130</t>
        </is>
      </c>
      <c r="D2932" s="58" t="inlineStr">
        <is>
          <t>Home</t>
        </is>
      </c>
      <c r="E2932" s="58" t="inlineStr">
        <is>
          <t>East</t>
        </is>
      </c>
      <c r="F2932" s="61" t="n">
        <v>2</v>
      </c>
      <c r="G2932" s="62" t="n">
        <v>467.27</v>
      </c>
      <c r="H2932" s="63" t="n">
        <v>0.14</v>
      </c>
      <c r="I2932" s="62" t="n">
        <v>290.15</v>
      </c>
      <c r="J2932" s="58" t="inlineStr">
        <is>
          <t>Online</t>
        </is>
      </c>
      <c r="K2932" s="62">
        <f>F2932*(G2932-H2932)</f>
        <v/>
      </c>
      <c r="L2932" s="62">
        <f>K2932-(F2932*I2932)</f>
        <v/>
      </c>
      <c r="M2932" s="64">
        <f>L2932/K2932</f>
        <v/>
      </c>
    </row>
    <row r="2933">
      <c r="A2933" s="58" t="inlineStr">
        <is>
          <t>RT20250316-02932</t>
        </is>
      </c>
      <c r="B2933" s="59" t="inlineStr">
        <is>
          <t>2025-03-16</t>
        </is>
      </c>
      <c r="C2933" s="60" t="inlineStr">
        <is>
          <t>Orion Haircare Plus-887</t>
        </is>
      </c>
      <c r="D2933" s="58" t="inlineStr">
        <is>
          <t>Beauty</t>
        </is>
      </c>
      <c r="E2933" s="58" t="inlineStr">
        <is>
          <t>Central</t>
        </is>
      </c>
      <c r="F2933" s="61" t="n">
        <v>2</v>
      </c>
      <c r="G2933" s="62" t="n">
        <v>51.6</v>
      </c>
      <c r="H2933" s="63" t="n">
        <v>0.1</v>
      </c>
      <c r="I2933" s="62" t="n">
        <v>30.98</v>
      </c>
      <c r="J2933" s="58" t="inlineStr">
        <is>
          <t>Store</t>
        </is>
      </c>
      <c r="K2933" s="62">
        <f>F2933*(G2933-H2933)</f>
        <v/>
      </c>
      <c r="L2933" s="62">
        <f>K2933-(F2933*I2933)</f>
        <v/>
      </c>
      <c r="M2933" s="64">
        <f>L2933/K2933</f>
        <v/>
      </c>
    </row>
    <row r="2934">
      <c r="A2934" s="58" t="inlineStr">
        <is>
          <t>RT20250316-02933</t>
        </is>
      </c>
      <c r="B2934" s="59" t="inlineStr">
        <is>
          <t>2025-03-16</t>
        </is>
      </c>
      <c r="C2934" s="60" t="inlineStr">
        <is>
          <t>Metro Accessorie Lite-697</t>
        </is>
      </c>
      <c r="D2934" s="58" t="inlineStr">
        <is>
          <t>Apparel</t>
        </is>
      </c>
      <c r="E2934" s="58" t="inlineStr">
        <is>
          <t>South</t>
        </is>
      </c>
      <c r="F2934" s="61" t="n">
        <v>1</v>
      </c>
      <c r="G2934" s="62" t="n">
        <v>138.41</v>
      </c>
      <c r="H2934" s="63" t="n">
        <v>0.131</v>
      </c>
      <c r="I2934" s="62" t="n">
        <v>77.79000000000001</v>
      </c>
      <c r="J2934" s="58" t="inlineStr">
        <is>
          <t>Online</t>
        </is>
      </c>
      <c r="K2934" s="62">
        <f>F2934*(G2934-H2934)</f>
        <v/>
      </c>
      <c r="L2934" s="62">
        <f>K2934-(F2934*I2934)</f>
        <v/>
      </c>
      <c r="M2934" s="64">
        <f>L2934/K2934</f>
        <v/>
      </c>
    </row>
    <row r="2935">
      <c r="A2935" s="58" t="inlineStr">
        <is>
          <t>RT20250316-02934</t>
        </is>
      </c>
      <c r="B2935" s="59" t="inlineStr">
        <is>
          <t>2025-03-16</t>
        </is>
      </c>
      <c r="C2935" s="60" t="inlineStr">
        <is>
          <t>Metro Accessorie Lite-697</t>
        </is>
      </c>
      <c r="D2935" s="58" t="inlineStr">
        <is>
          <t>Apparel</t>
        </is>
      </c>
      <c r="E2935" s="58" t="inlineStr">
        <is>
          <t>West</t>
        </is>
      </c>
      <c r="F2935" s="61" t="n">
        <v>1</v>
      </c>
      <c r="G2935" s="62" t="n">
        <v>127.52</v>
      </c>
      <c r="H2935" s="63" t="n">
        <v>0.08500000000000001</v>
      </c>
      <c r="I2935" s="62" t="n">
        <v>73.86</v>
      </c>
      <c r="J2935" s="58" t="inlineStr">
        <is>
          <t>Online</t>
        </is>
      </c>
      <c r="K2935" s="62">
        <f>F2935*(G2935-H2935)</f>
        <v/>
      </c>
      <c r="L2935" s="62">
        <f>K2935-(F2935*I2935)</f>
        <v/>
      </c>
      <c r="M2935" s="64">
        <f>L2935/K2935</f>
        <v/>
      </c>
    </row>
    <row r="2936">
      <c r="A2936" s="58" t="inlineStr">
        <is>
          <t>RT20250316-02935</t>
        </is>
      </c>
      <c r="B2936" s="59" t="inlineStr">
        <is>
          <t>2025-03-16</t>
        </is>
      </c>
      <c r="C2936" s="60" t="inlineStr">
        <is>
          <t>Orion Haircare Plus-887</t>
        </is>
      </c>
      <c r="D2936" s="58" t="inlineStr">
        <is>
          <t>Beauty</t>
        </is>
      </c>
      <c r="E2936" s="58" t="inlineStr">
        <is>
          <t>West</t>
        </is>
      </c>
      <c r="F2936" s="61" t="n">
        <v>1</v>
      </c>
      <c r="G2936" s="62" t="n">
        <v>47.96</v>
      </c>
      <c r="H2936" s="63" t="n">
        <v>0.137</v>
      </c>
      <c r="I2936" s="62" t="n">
        <v>31.7</v>
      </c>
      <c r="J2936" s="58" t="inlineStr">
        <is>
          <t>Store</t>
        </is>
      </c>
      <c r="K2936" s="62">
        <f>F2936*(G2936-H2936)</f>
        <v/>
      </c>
      <c r="L2936" s="62">
        <f>K2936-(F2936*I2936)</f>
        <v/>
      </c>
      <c r="M2936" s="64">
        <f>L2936/K2936</f>
        <v/>
      </c>
    </row>
    <row r="2937">
      <c r="A2937" s="58" t="inlineStr">
        <is>
          <t>RT20250316-02936</t>
        </is>
      </c>
      <c r="B2937" s="59" t="inlineStr">
        <is>
          <t>2025-03-16</t>
        </is>
      </c>
      <c r="C2937" s="60" t="inlineStr">
        <is>
          <t>Metro Printer X-294</t>
        </is>
      </c>
      <c r="D2937" s="58" t="inlineStr">
        <is>
          <t>Office</t>
        </is>
      </c>
      <c r="E2937" s="58" t="inlineStr">
        <is>
          <t>Central</t>
        </is>
      </c>
      <c r="F2937" s="61" t="n">
        <v>2</v>
      </c>
      <c r="G2937" s="62" t="n">
        <v>636.8099999999999</v>
      </c>
      <c r="H2937" s="63" t="n">
        <v>0.061</v>
      </c>
      <c r="I2937" s="62" t="n">
        <v>403.44</v>
      </c>
      <c r="J2937" s="58" t="inlineStr">
        <is>
          <t>Online</t>
        </is>
      </c>
      <c r="K2937" s="62">
        <f>F2937*(G2937-H2937)</f>
        <v/>
      </c>
      <c r="L2937" s="62">
        <f>K2937-(F2937*I2937)</f>
        <v/>
      </c>
      <c r="M2937" s="64">
        <f>L2937/K2937</f>
        <v/>
      </c>
    </row>
    <row r="2938">
      <c r="A2938" s="58" t="inlineStr">
        <is>
          <t>RT20250316-02937</t>
        </is>
      </c>
      <c r="B2938" s="59" t="inlineStr">
        <is>
          <t>2025-03-16</t>
        </is>
      </c>
      <c r="C2938" s="60" t="inlineStr">
        <is>
          <t>Polar Snack Pro-641</t>
        </is>
      </c>
      <c r="D2938" s="58" t="inlineStr">
        <is>
          <t>Grocery</t>
        </is>
      </c>
      <c r="E2938" s="58" t="inlineStr">
        <is>
          <t>Central</t>
        </is>
      </c>
      <c r="F2938" s="61" t="n">
        <v>3</v>
      </c>
      <c r="G2938" s="62" t="n">
        <v>12.83</v>
      </c>
      <c r="H2938" s="63" t="n">
        <v>0.082</v>
      </c>
      <c r="I2938" s="62" t="n">
        <v>9.529999999999999</v>
      </c>
      <c r="J2938" s="58" t="inlineStr">
        <is>
          <t>Online</t>
        </is>
      </c>
      <c r="K2938" s="62">
        <f>F2938*(G2938-H2938)</f>
        <v/>
      </c>
      <c r="L2938" s="62">
        <f>K2938-(F2938*I2938)</f>
        <v/>
      </c>
      <c r="M2938" s="64">
        <f>L2938/K2938</f>
        <v/>
      </c>
    </row>
    <row r="2939">
      <c r="A2939" s="58" t="inlineStr">
        <is>
          <t>RT20250316-02938</t>
        </is>
      </c>
      <c r="B2939" s="59" t="inlineStr">
        <is>
          <t>2025-03-16</t>
        </is>
      </c>
      <c r="C2939" s="60" t="inlineStr">
        <is>
          <t>Vertex Smartphone Lite-267</t>
        </is>
      </c>
      <c r="D2939" s="58" t="inlineStr">
        <is>
          <t>Electronics</t>
        </is>
      </c>
      <c r="E2939" s="58" t="inlineStr">
        <is>
          <t>West</t>
        </is>
      </c>
      <c r="F2939" s="61" t="n">
        <v>1</v>
      </c>
      <c r="G2939" s="62" t="n">
        <v>1227.01</v>
      </c>
      <c r="H2939" s="63" t="n">
        <v>0.118</v>
      </c>
      <c r="I2939" s="62" t="n">
        <v>980.45</v>
      </c>
      <c r="J2939" s="58" t="inlineStr">
        <is>
          <t>Store</t>
        </is>
      </c>
      <c r="K2939" s="62">
        <f>F2939*(G2939-H2939)</f>
        <v/>
      </c>
      <c r="L2939" s="62">
        <f>K2939-(F2939*I2939)</f>
        <v/>
      </c>
      <c r="M2939" s="64">
        <f>L2939/K2939</f>
        <v/>
      </c>
    </row>
    <row r="2940">
      <c r="A2940" s="58" t="inlineStr">
        <is>
          <t>RT20250316-02939</t>
        </is>
      </c>
      <c r="B2940" s="59" t="inlineStr">
        <is>
          <t>2025-03-16</t>
        </is>
      </c>
      <c r="C2940" s="60" t="inlineStr">
        <is>
          <t>Orion Haircare Plus-887</t>
        </is>
      </c>
      <c r="D2940" s="58" t="inlineStr">
        <is>
          <t>Beauty</t>
        </is>
      </c>
      <c r="E2940" s="58" t="inlineStr">
        <is>
          <t>East</t>
        </is>
      </c>
      <c r="F2940" s="61" t="n">
        <v>4</v>
      </c>
      <c r="G2940" s="62" t="n">
        <v>49.87</v>
      </c>
      <c r="H2940" s="63" t="n">
        <v>0.185</v>
      </c>
      <c r="I2940" s="62" t="n">
        <v>30.52</v>
      </c>
      <c r="J2940" s="58" t="inlineStr">
        <is>
          <t>Online</t>
        </is>
      </c>
      <c r="K2940" s="62">
        <f>F2940*(G2940-H2940)</f>
        <v/>
      </c>
      <c r="L2940" s="62">
        <f>K2940-(F2940*I2940)</f>
        <v/>
      </c>
      <c r="M2940" s="64">
        <f>L2940/K2940</f>
        <v/>
      </c>
    </row>
    <row r="2941">
      <c r="A2941" s="58" t="inlineStr">
        <is>
          <t>RT20250316-02940</t>
        </is>
      </c>
      <c r="B2941" s="59" t="inlineStr">
        <is>
          <t>2025-03-16</t>
        </is>
      </c>
      <c r="C2941" s="60" t="inlineStr">
        <is>
          <t>Metro Decor Lite-325</t>
        </is>
      </c>
      <c r="D2941" s="58" t="inlineStr">
        <is>
          <t>Home</t>
        </is>
      </c>
      <c r="E2941" s="58" t="inlineStr">
        <is>
          <t>East</t>
        </is>
      </c>
      <c r="F2941" s="61" t="n">
        <v>1</v>
      </c>
      <c r="G2941" s="62" t="n">
        <v>498.79</v>
      </c>
      <c r="H2941" s="63" t="n">
        <v>0.04</v>
      </c>
      <c r="I2941" s="62" t="n">
        <v>382.08</v>
      </c>
      <c r="J2941" s="58" t="inlineStr">
        <is>
          <t>Store</t>
        </is>
      </c>
      <c r="K2941" s="62">
        <f>F2941*(G2941-H2941)</f>
        <v/>
      </c>
      <c r="L2941" s="62">
        <f>K2941-(F2941*I2941)</f>
        <v/>
      </c>
      <c r="M2941" s="64">
        <f>L2941/K2941</f>
        <v/>
      </c>
    </row>
    <row r="2942">
      <c r="A2942" s="58" t="inlineStr">
        <is>
          <t>RT20250316-02941</t>
        </is>
      </c>
      <c r="B2942" s="59" t="inlineStr">
        <is>
          <t>2025-03-16</t>
        </is>
      </c>
      <c r="C2942" s="60" t="inlineStr">
        <is>
          <t>Orion Laptop S-350</t>
        </is>
      </c>
      <c r="D2942" s="58" t="inlineStr">
        <is>
          <t>Electronics</t>
        </is>
      </c>
      <c r="E2942" s="58" t="inlineStr">
        <is>
          <t>West</t>
        </is>
      </c>
      <c r="F2942" s="61" t="n">
        <v>2</v>
      </c>
      <c r="G2942" s="62" t="n">
        <v>1276.93</v>
      </c>
      <c r="H2942" s="63" t="n">
        <v>0.08699999999999999</v>
      </c>
      <c r="I2942" s="62" t="n">
        <v>1066.43</v>
      </c>
      <c r="J2942" s="58" t="inlineStr">
        <is>
          <t>Store</t>
        </is>
      </c>
      <c r="K2942" s="62">
        <f>F2942*(G2942-H2942)</f>
        <v/>
      </c>
      <c r="L2942" s="62">
        <f>K2942-(F2942*I2942)</f>
        <v/>
      </c>
      <c r="M2942" s="64">
        <f>L2942/K2942</f>
        <v/>
      </c>
    </row>
    <row r="2943">
      <c r="A2943" s="58" t="inlineStr">
        <is>
          <t>RT20250316-02942</t>
        </is>
      </c>
      <c r="B2943" s="59" t="inlineStr">
        <is>
          <t>2025-03-16</t>
        </is>
      </c>
      <c r="C2943" s="60" t="inlineStr">
        <is>
          <t>Falcon Headphone Plus-789</t>
        </is>
      </c>
      <c r="D2943" s="58" t="inlineStr">
        <is>
          <t>Electronics</t>
        </is>
      </c>
      <c r="E2943" s="58" t="inlineStr">
        <is>
          <t>North</t>
        </is>
      </c>
      <c r="F2943" s="61" t="n">
        <v>1</v>
      </c>
      <c r="G2943" s="62" t="n">
        <v>1538.95</v>
      </c>
      <c r="H2943" s="63" t="n">
        <v>0.128</v>
      </c>
      <c r="I2943" s="62" t="n">
        <v>1302.88</v>
      </c>
      <c r="J2943" s="58" t="inlineStr">
        <is>
          <t>Online</t>
        </is>
      </c>
      <c r="K2943" s="62">
        <f>F2943*(G2943-H2943)</f>
        <v/>
      </c>
      <c r="L2943" s="62">
        <f>K2943-(F2943*I2943)</f>
        <v/>
      </c>
      <c r="M2943" s="64">
        <f>L2943/K2943</f>
        <v/>
      </c>
    </row>
    <row r="2944">
      <c r="A2944" s="58" t="inlineStr">
        <is>
          <t>RT20250316-02943</t>
        </is>
      </c>
      <c r="B2944" s="59" t="inlineStr">
        <is>
          <t>2025-03-16</t>
        </is>
      </c>
      <c r="C2944" s="60" t="inlineStr">
        <is>
          <t>Vertex Skincare Pro-891</t>
        </is>
      </c>
      <c r="D2944" s="58" t="inlineStr">
        <is>
          <t>Beauty</t>
        </is>
      </c>
      <c r="E2944" s="58" t="inlineStr">
        <is>
          <t>East</t>
        </is>
      </c>
      <c r="F2944" s="61" t="n">
        <v>4</v>
      </c>
      <c r="G2944" s="62" t="n">
        <v>133.7</v>
      </c>
      <c r="H2944" s="63" t="n">
        <v>0.02</v>
      </c>
      <c r="I2944" s="62" t="n">
        <v>90.52</v>
      </c>
      <c r="J2944" s="58" t="inlineStr">
        <is>
          <t>Store</t>
        </is>
      </c>
      <c r="K2944" s="62">
        <f>F2944*(G2944-H2944)</f>
        <v/>
      </c>
      <c r="L2944" s="62">
        <f>K2944-(F2944*I2944)</f>
        <v/>
      </c>
      <c r="M2944" s="64">
        <f>L2944/K2944</f>
        <v/>
      </c>
    </row>
    <row r="2945">
      <c r="A2945" s="58" t="inlineStr">
        <is>
          <t>RT20250316-02944</t>
        </is>
      </c>
      <c r="B2945" s="59" t="inlineStr">
        <is>
          <t>2025-03-16</t>
        </is>
      </c>
      <c r="C2945" s="60" t="inlineStr">
        <is>
          <t>Nimbus Women Plus-352</t>
        </is>
      </c>
      <c r="D2945" s="58" t="inlineStr">
        <is>
          <t>Apparel</t>
        </is>
      </c>
      <c r="E2945" s="58" t="inlineStr">
        <is>
          <t>East</t>
        </is>
      </c>
      <c r="F2945" s="61" t="n">
        <v>1</v>
      </c>
      <c r="G2945" s="62" t="n">
        <v>55.32</v>
      </c>
      <c r="H2945" s="63" t="n">
        <v>0.098</v>
      </c>
      <c r="I2945" s="62" t="n">
        <v>33.49</v>
      </c>
      <c r="J2945" s="58" t="inlineStr">
        <is>
          <t>Online</t>
        </is>
      </c>
      <c r="K2945" s="62">
        <f>F2945*(G2945-H2945)</f>
        <v/>
      </c>
      <c r="L2945" s="62">
        <f>K2945-(F2945*I2945)</f>
        <v/>
      </c>
      <c r="M2945" s="64">
        <f>L2945/K2945</f>
        <v/>
      </c>
    </row>
    <row r="2946">
      <c r="A2946" s="58" t="inlineStr">
        <is>
          <t>RT20250316-02945</t>
        </is>
      </c>
      <c r="B2946" s="59" t="inlineStr">
        <is>
          <t>2025-03-16</t>
        </is>
      </c>
      <c r="C2946" s="60" t="inlineStr">
        <is>
          <t>Solace Kitchen Pro-510</t>
        </is>
      </c>
      <c r="D2946" s="58" t="inlineStr">
        <is>
          <t>Home</t>
        </is>
      </c>
      <c r="E2946" s="58" t="inlineStr">
        <is>
          <t>North</t>
        </is>
      </c>
      <c r="F2946" s="61" t="n">
        <v>3</v>
      </c>
      <c r="G2946" s="62" t="n">
        <v>438.14</v>
      </c>
      <c r="H2946" s="63" t="n">
        <v>0.096</v>
      </c>
      <c r="I2946" s="62" t="n">
        <v>308.23</v>
      </c>
      <c r="J2946" s="58" t="inlineStr">
        <is>
          <t>Store</t>
        </is>
      </c>
      <c r="K2946" s="62">
        <f>F2946*(G2946-H2946)</f>
        <v/>
      </c>
      <c r="L2946" s="62">
        <f>K2946-(F2946*I2946)</f>
        <v/>
      </c>
      <c r="M2946" s="64">
        <f>L2946/K2946</f>
        <v/>
      </c>
    </row>
    <row r="2947">
      <c r="A2947" s="58" t="inlineStr">
        <is>
          <t>RT20250316-02946</t>
        </is>
      </c>
      <c r="B2947" s="59" t="inlineStr">
        <is>
          <t>2025-03-16</t>
        </is>
      </c>
      <c r="C2947" s="60" t="inlineStr">
        <is>
          <t>Falcon Cycling Pro-499</t>
        </is>
      </c>
      <c r="D2947" s="58" t="inlineStr">
        <is>
          <t>Sports</t>
        </is>
      </c>
      <c r="E2947" s="58" t="inlineStr">
        <is>
          <t>North</t>
        </is>
      </c>
      <c r="F2947" s="61" t="n">
        <v>3</v>
      </c>
      <c r="G2947" s="62" t="n">
        <v>578.91</v>
      </c>
      <c r="H2947" s="63" t="n">
        <v>0.056</v>
      </c>
      <c r="I2947" s="62" t="n">
        <v>403.95</v>
      </c>
      <c r="J2947" s="58" t="inlineStr">
        <is>
          <t>Store</t>
        </is>
      </c>
      <c r="K2947" s="62">
        <f>F2947*(G2947-H2947)</f>
        <v/>
      </c>
      <c r="L2947" s="62">
        <f>K2947-(F2947*I2947)</f>
        <v/>
      </c>
      <c r="M2947" s="64">
        <f>L2947/K2947</f>
        <v/>
      </c>
    </row>
    <row r="2948">
      <c r="A2948" s="58" t="inlineStr">
        <is>
          <t>RT20250316-02947</t>
        </is>
      </c>
      <c r="B2948" s="59" t="inlineStr">
        <is>
          <t>2025-03-16</t>
        </is>
      </c>
      <c r="C2948" s="60" t="inlineStr">
        <is>
          <t>Aurora Haircare S-975</t>
        </is>
      </c>
      <c r="D2948" s="58" t="inlineStr">
        <is>
          <t>Beauty</t>
        </is>
      </c>
      <c r="E2948" s="58" t="inlineStr">
        <is>
          <t>West</t>
        </is>
      </c>
      <c r="F2948" s="61" t="n">
        <v>1</v>
      </c>
      <c r="G2948" s="62" t="n">
        <v>92.09</v>
      </c>
      <c r="H2948" s="63" t="n">
        <v>0.045</v>
      </c>
      <c r="I2948" s="62" t="n">
        <v>59.17</v>
      </c>
      <c r="J2948" s="58" t="inlineStr">
        <is>
          <t>Online</t>
        </is>
      </c>
      <c r="K2948" s="62">
        <f>F2948*(G2948-H2948)</f>
        <v/>
      </c>
      <c r="L2948" s="62">
        <f>K2948-(F2948*I2948)</f>
        <v/>
      </c>
      <c r="M2948" s="64">
        <f>L2948/K2948</f>
        <v/>
      </c>
    </row>
    <row r="2949">
      <c r="A2949" s="58" t="inlineStr">
        <is>
          <t>RT20250316-02948</t>
        </is>
      </c>
      <c r="B2949" s="59" t="inlineStr">
        <is>
          <t>2025-03-16</t>
        </is>
      </c>
      <c r="C2949" s="60" t="inlineStr">
        <is>
          <t>Polar Outdoor Lite-318</t>
        </is>
      </c>
      <c r="D2949" s="58" t="inlineStr">
        <is>
          <t>Sports</t>
        </is>
      </c>
      <c r="E2949" s="58" t="inlineStr">
        <is>
          <t>South</t>
        </is>
      </c>
      <c r="F2949" s="61" t="n">
        <v>2</v>
      </c>
      <c r="G2949" s="62" t="n">
        <v>702.04</v>
      </c>
      <c r="H2949" s="63" t="n">
        <v>0.091</v>
      </c>
      <c r="I2949" s="62" t="n">
        <v>476.66</v>
      </c>
      <c r="J2949" s="58" t="inlineStr">
        <is>
          <t>Online</t>
        </is>
      </c>
      <c r="K2949" s="62">
        <f>F2949*(G2949-H2949)</f>
        <v/>
      </c>
      <c r="L2949" s="62">
        <f>K2949-(F2949*I2949)</f>
        <v/>
      </c>
      <c r="M2949" s="64">
        <f>L2949/K2949</f>
        <v/>
      </c>
    </row>
    <row r="2950">
      <c r="A2950" s="58" t="inlineStr">
        <is>
          <t>RT20250316-02949</t>
        </is>
      </c>
      <c r="B2950" s="59" t="inlineStr">
        <is>
          <t>2025-03-16</t>
        </is>
      </c>
      <c r="C2950" s="60" t="inlineStr">
        <is>
          <t>Nimbus Women Plus-352</t>
        </is>
      </c>
      <c r="D2950" s="58" t="inlineStr">
        <is>
          <t>Apparel</t>
        </is>
      </c>
      <c r="E2950" s="58" t="inlineStr">
        <is>
          <t>East</t>
        </is>
      </c>
      <c r="F2950" s="61" t="n">
        <v>2</v>
      </c>
      <c r="G2950" s="62" t="n">
        <v>53.69</v>
      </c>
      <c r="H2950" s="63" t="n">
        <v>0.113</v>
      </c>
      <c r="I2950" s="62" t="n">
        <v>33.38</v>
      </c>
      <c r="J2950" s="58" t="inlineStr">
        <is>
          <t>Online</t>
        </is>
      </c>
      <c r="K2950" s="62">
        <f>F2950*(G2950-H2950)</f>
        <v/>
      </c>
      <c r="L2950" s="62">
        <f>K2950-(F2950*I2950)</f>
        <v/>
      </c>
      <c r="M2950" s="64">
        <f>L2950/K2950</f>
        <v/>
      </c>
    </row>
    <row r="2951">
      <c r="A2951" s="58" t="inlineStr">
        <is>
          <t>RT20250316-02950</t>
        </is>
      </c>
      <c r="B2951" s="59" t="inlineStr">
        <is>
          <t>2025-03-16</t>
        </is>
      </c>
      <c r="C2951" s="60" t="inlineStr">
        <is>
          <t>Solace Fitnes S-324</t>
        </is>
      </c>
      <c r="D2951" s="58" t="inlineStr">
        <is>
          <t>Sports</t>
        </is>
      </c>
      <c r="E2951" s="58" t="inlineStr">
        <is>
          <t>East</t>
        </is>
      </c>
      <c r="F2951" s="61" t="n">
        <v>3</v>
      </c>
      <c r="G2951" s="62" t="n">
        <v>876.02</v>
      </c>
      <c r="H2951" s="63" t="n">
        <v>0.176</v>
      </c>
      <c r="I2951" s="62" t="n">
        <v>541.5599999999999</v>
      </c>
      <c r="J2951" s="58" t="inlineStr">
        <is>
          <t>Online</t>
        </is>
      </c>
      <c r="K2951" s="62">
        <f>F2951*(G2951-H2951)</f>
        <v/>
      </c>
      <c r="L2951" s="62">
        <f>K2951-(F2951*I2951)</f>
        <v/>
      </c>
      <c r="M2951" s="64">
        <f>L2951/K2951</f>
        <v/>
      </c>
    </row>
    <row r="2952">
      <c r="A2952" s="58" t="inlineStr">
        <is>
          <t>RT20250316-02951</t>
        </is>
      </c>
      <c r="B2952" s="59" t="inlineStr">
        <is>
          <t>2025-03-16</t>
        </is>
      </c>
      <c r="C2952" s="60" t="inlineStr">
        <is>
          <t>Orion Team Sport X-926</t>
        </is>
      </c>
      <c r="D2952" s="58" t="inlineStr">
        <is>
          <t>Sports</t>
        </is>
      </c>
      <c r="E2952" s="58" t="inlineStr">
        <is>
          <t>East</t>
        </is>
      </c>
      <c r="F2952" s="61" t="n">
        <v>2</v>
      </c>
      <c r="G2952" s="62" t="n">
        <v>344.53</v>
      </c>
      <c r="H2952" s="63" t="n">
        <v>0.124</v>
      </c>
      <c r="I2952" s="62" t="n">
        <v>220.72</v>
      </c>
      <c r="J2952" s="58" t="inlineStr">
        <is>
          <t>Store</t>
        </is>
      </c>
      <c r="K2952" s="62">
        <f>F2952*(G2952-H2952)</f>
        <v/>
      </c>
      <c r="L2952" s="62">
        <f>K2952-(F2952*I2952)</f>
        <v/>
      </c>
      <c r="M2952" s="64">
        <f>L2952/K2952</f>
        <v/>
      </c>
    </row>
    <row r="2953">
      <c r="A2953" s="58" t="inlineStr">
        <is>
          <t>RT20250316-02952</t>
        </is>
      </c>
      <c r="B2953" s="59" t="inlineStr">
        <is>
          <t>2025-03-16</t>
        </is>
      </c>
      <c r="C2953" s="60" t="inlineStr">
        <is>
          <t>Solace Makeup Pro-214</t>
        </is>
      </c>
      <c r="D2953" s="58" t="inlineStr">
        <is>
          <t>Beauty</t>
        </is>
      </c>
      <c r="E2953" s="58" t="inlineStr">
        <is>
          <t>South</t>
        </is>
      </c>
      <c r="F2953" s="61" t="n">
        <v>2</v>
      </c>
      <c r="G2953" s="62" t="n">
        <v>108.7</v>
      </c>
      <c r="H2953" s="63" t="n">
        <v>0.116</v>
      </c>
      <c r="I2953" s="62" t="n">
        <v>66.48999999999999</v>
      </c>
      <c r="J2953" s="58" t="inlineStr">
        <is>
          <t>Online</t>
        </is>
      </c>
      <c r="K2953" s="62">
        <f>F2953*(G2953-H2953)</f>
        <v/>
      </c>
      <c r="L2953" s="62">
        <f>K2953-(F2953*I2953)</f>
        <v/>
      </c>
      <c r="M2953" s="64">
        <f>L2953/K2953</f>
        <v/>
      </c>
    </row>
    <row r="2954">
      <c r="A2954" s="58" t="inlineStr">
        <is>
          <t>RT20250316-02953</t>
        </is>
      </c>
      <c r="B2954" s="59" t="inlineStr">
        <is>
          <t>2025-03-16</t>
        </is>
      </c>
      <c r="C2954" s="60" t="inlineStr">
        <is>
          <t>Metro Printer X-294</t>
        </is>
      </c>
      <c r="D2954" s="58" t="inlineStr">
        <is>
          <t>Office</t>
        </is>
      </c>
      <c r="E2954" s="58" t="inlineStr">
        <is>
          <t>East</t>
        </is>
      </c>
      <c r="F2954" s="61" t="n">
        <v>3</v>
      </c>
      <c r="G2954" s="62" t="n">
        <v>539.48</v>
      </c>
      <c r="H2954" s="63" t="n">
        <v>0.131</v>
      </c>
      <c r="I2954" s="62" t="n">
        <v>421.6</v>
      </c>
      <c r="J2954" s="58" t="inlineStr">
        <is>
          <t>Online</t>
        </is>
      </c>
      <c r="K2954" s="62">
        <f>F2954*(G2954-H2954)</f>
        <v/>
      </c>
      <c r="L2954" s="62">
        <f>K2954-(F2954*I2954)</f>
        <v/>
      </c>
      <c r="M2954" s="64">
        <f>L2954/K2954</f>
        <v/>
      </c>
    </row>
    <row r="2955">
      <c r="A2955" s="58" t="inlineStr">
        <is>
          <t>RT20250316-02954</t>
        </is>
      </c>
      <c r="B2955" s="59" t="inlineStr">
        <is>
          <t>2025-03-16</t>
        </is>
      </c>
      <c r="C2955" s="60" t="inlineStr">
        <is>
          <t>Aurora Bedding Plus-187</t>
        </is>
      </c>
      <c r="D2955" s="58" t="inlineStr">
        <is>
          <t>Home</t>
        </is>
      </c>
      <c r="E2955" s="58" t="inlineStr">
        <is>
          <t>East</t>
        </is>
      </c>
      <c r="F2955" s="61" t="n">
        <v>1</v>
      </c>
      <c r="G2955" s="62" t="n">
        <v>321</v>
      </c>
      <c r="H2955" s="63" t="n">
        <v>0.089</v>
      </c>
      <c r="I2955" s="62" t="n">
        <v>209.69</v>
      </c>
      <c r="J2955" s="58" t="inlineStr">
        <is>
          <t>Store</t>
        </is>
      </c>
      <c r="K2955" s="62">
        <f>F2955*(G2955-H2955)</f>
        <v/>
      </c>
      <c r="L2955" s="62">
        <f>K2955-(F2955*I2955)</f>
        <v/>
      </c>
      <c r="M2955" s="64">
        <f>L2955/K2955</f>
        <v/>
      </c>
    </row>
    <row r="2956">
      <c r="A2956" s="58" t="inlineStr">
        <is>
          <t>RT20250316-02955</t>
        </is>
      </c>
      <c r="B2956" s="59" t="inlineStr">
        <is>
          <t>2025-03-16</t>
        </is>
      </c>
      <c r="C2956" s="60" t="inlineStr">
        <is>
          <t>Solace Makeup Pro-214</t>
        </is>
      </c>
      <c r="D2956" s="58" t="inlineStr">
        <is>
          <t>Beauty</t>
        </is>
      </c>
      <c r="E2956" s="58" t="inlineStr">
        <is>
          <t>West</t>
        </is>
      </c>
      <c r="F2956" s="61" t="n">
        <v>1</v>
      </c>
      <c r="G2956" s="62" t="n">
        <v>110.6</v>
      </c>
      <c r="H2956" s="63" t="n">
        <v>0.123</v>
      </c>
      <c r="I2956" s="62" t="n">
        <v>69.44</v>
      </c>
      <c r="J2956" s="58" t="inlineStr">
        <is>
          <t>Online</t>
        </is>
      </c>
      <c r="K2956" s="62">
        <f>F2956*(G2956-H2956)</f>
        <v/>
      </c>
      <c r="L2956" s="62">
        <f>K2956-(F2956*I2956)</f>
        <v/>
      </c>
      <c r="M2956" s="64">
        <f>L2956/K2956</f>
        <v/>
      </c>
    </row>
    <row r="2957">
      <c r="A2957" s="58" t="inlineStr">
        <is>
          <t>RT20250316-02956</t>
        </is>
      </c>
      <c r="B2957" s="59" t="inlineStr">
        <is>
          <t>2025-03-16</t>
        </is>
      </c>
      <c r="C2957" s="60" t="inlineStr">
        <is>
          <t>Vertex Fitnes Pro-830</t>
        </is>
      </c>
      <c r="D2957" s="58" t="inlineStr">
        <is>
          <t>Sports</t>
        </is>
      </c>
      <c r="E2957" s="58" t="inlineStr">
        <is>
          <t>West</t>
        </is>
      </c>
      <c r="F2957" s="61" t="n">
        <v>3</v>
      </c>
      <c r="G2957" s="62" t="n">
        <v>692.26</v>
      </c>
      <c r="H2957" s="63" t="n">
        <v>0.08599999999999999</v>
      </c>
      <c r="I2957" s="62" t="n">
        <v>478.99</v>
      </c>
      <c r="J2957" s="58" t="inlineStr">
        <is>
          <t>Online</t>
        </is>
      </c>
      <c r="K2957" s="62">
        <f>F2957*(G2957-H2957)</f>
        <v/>
      </c>
      <c r="L2957" s="62">
        <f>K2957-(F2957*I2957)</f>
        <v/>
      </c>
      <c r="M2957" s="64">
        <f>L2957/K2957</f>
        <v/>
      </c>
    </row>
    <row r="2958">
      <c r="A2958" s="58" t="inlineStr">
        <is>
          <t>RT20250316-02957</t>
        </is>
      </c>
      <c r="B2958" s="59" t="inlineStr">
        <is>
          <t>2025-03-16</t>
        </is>
      </c>
      <c r="C2958" s="60" t="inlineStr">
        <is>
          <t>Falcon Furniture Plus-839</t>
        </is>
      </c>
      <c r="D2958" s="58" t="inlineStr">
        <is>
          <t>Office</t>
        </is>
      </c>
      <c r="E2958" s="58" t="inlineStr">
        <is>
          <t>West</t>
        </is>
      </c>
      <c r="F2958" s="61" t="n">
        <v>3</v>
      </c>
      <c r="G2958" s="62" t="n">
        <v>306.66</v>
      </c>
      <c r="H2958" s="63" t="n">
        <v>0.08799999999999999</v>
      </c>
      <c r="I2958" s="62" t="n">
        <v>230.56</v>
      </c>
      <c r="J2958" s="58" t="inlineStr">
        <is>
          <t>Online</t>
        </is>
      </c>
      <c r="K2958" s="62">
        <f>F2958*(G2958-H2958)</f>
        <v/>
      </c>
      <c r="L2958" s="62">
        <f>K2958-(F2958*I2958)</f>
        <v/>
      </c>
      <c r="M2958" s="64">
        <f>L2958/K2958</f>
        <v/>
      </c>
    </row>
    <row r="2959">
      <c r="A2959" s="58" t="inlineStr">
        <is>
          <t>RT20250316-02958</t>
        </is>
      </c>
      <c r="B2959" s="59" t="inlineStr">
        <is>
          <t>2025-03-16</t>
        </is>
      </c>
      <c r="C2959" s="60" t="inlineStr">
        <is>
          <t>Polar Beverage S-258</t>
        </is>
      </c>
      <c r="D2959" s="58" t="inlineStr">
        <is>
          <t>Grocery</t>
        </is>
      </c>
      <c r="E2959" s="58" t="inlineStr">
        <is>
          <t>West</t>
        </is>
      </c>
      <c r="F2959" s="61" t="n">
        <v>1</v>
      </c>
      <c r="G2959" s="62" t="n">
        <v>13.17</v>
      </c>
      <c r="H2959" s="63" t="n">
        <v>0.124</v>
      </c>
      <c r="I2959" s="62" t="n">
        <v>9.75</v>
      </c>
      <c r="J2959" s="58" t="inlineStr">
        <is>
          <t>Store</t>
        </is>
      </c>
      <c r="K2959" s="62">
        <f>F2959*(G2959-H2959)</f>
        <v/>
      </c>
      <c r="L2959" s="62">
        <f>K2959-(F2959*I2959)</f>
        <v/>
      </c>
      <c r="M2959" s="64">
        <f>L2959/K2959</f>
        <v/>
      </c>
    </row>
    <row r="2960">
      <c r="A2960" s="58" t="inlineStr">
        <is>
          <t>RT20250316-02959</t>
        </is>
      </c>
      <c r="B2960" s="59" t="inlineStr">
        <is>
          <t>2025-03-16</t>
        </is>
      </c>
      <c r="C2960" s="60" t="inlineStr">
        <is>
          <t>Solace Bedding Plus-317</t>
        </is>
      </c>
      <c r="D2960" s="58" t="inlineStr">
        <is>
          <t>Home</t>
        </is>
      </c>
      <c r="E2960" s="58" t="inlineStr">
        <is>
          <t>West</t>
        </is>
      </c>
      <c r="F2960" s="61" t="n">
        <v>3</v>
      </c>
      <c r="G2960" s="62" t="n">
        <v>476.43</v>
      </c>
      <c r="H2960" s="63" t="n">
        <v>0.005</v>
      </c>
      <c r="I2960" s="62" t="n">
        <v>379.45</v>
      </c>
      <c r="J2960" s="58" t="inlineStr">
        <is>
          <t>Online</t>
        </is>
      </c>
      <c r="K2960" s="62">
        <f>F2960*(G2960-H2960)</f>
        <v/>
      </c>
      <c r="L2960" s="62">
        <f>K2960-(F2960*I2960)</f>
        <v/>
      </c>
      <c r="M2960" s="64">
        <f>L2960/K2960</f>
        <v/>
      </c>
    </row>
    <row r="2961">
      <c r="A2961" s="58" t="inlineStr">
        <is>
          <t>RT20250316-02960</t>
        </is>
      </c>
      <c r="B2961" s="59" t="inlineStr">
        <is>
          <t>2025-03-16</t>
        </is>
      </c>
      <c r="C2961" s="60" t="inlineStr">
        <is>
          <t>Aurora Team Sport Plus-256</t>
        </is>
      </c>
      <c r="D2961" s="58" t="inlineStr">
        <is>
          <t>Sports</t>
        </is>
      </c>
      <c r="E2961" s="58" t="inlineStr">
        <is>
          <t>West</t>
        </is>
      </c>
      <c r="F2961" s="61" t="n">
        <v>3</v>
      </c>
      <c r="G2961" s="62" t="n">
        <v>633.3200000000001</v>
      </c>
      <c r="H2961" s="63" t="n">
        <v>0.137</v>
      </c>
      <c r="I2961" s="62" t="n">
        <v>425.68</v>
      </c>
      <c r="J2961" s="58" t="inlineStr">
        <is>
          <t>Store</t>
        </is>
      </c>
      <c r="K2961" s="62">
        <f>F2961*(G2961-H2961)</f>
        <v/>
      </c>
      <c r="L2961" s="62">
        <f>K2961-(F2961*I2961)</f>
        <v/>
      </c>
      <c r="M2961" s="64">
        <f>L2961/K2961</f>
        <v/>
      </c>
    </row>
    <row r="2962">
      <c r="A2962" s="58" t="inlineStr">
        <is>
          <t>RT20250316-02961</t>
        </is>
      </c>
      <c r="B2962" s="59" t="inlineStr">
        <is>
          <t>2025-03-16</t>
        </is>
      </c>
      <c r="C2962" s="60" t="inlineStr">
        <is>
          <t>Metro Pantry X-710</t>
        </is>
      </c>
      <c r="D2962" s="58" t="inlineStr">
        <is>
          <t>Grocery</t>
        </is>
      </c>
      <c r="E2962" s="58" t="inlineStr">
        <is>
          <t>East</t>
        </is>
      </c>
      <c r="F2962" s="61" t="n">
        <v>5</v>
      </c>
      <c r="G2962" s="62" t="n">
        <v>6.18</v>
      </c>
      <c r="H2962" s="63" t="n">
        <v>0.08500000000000001</v>
      </c>
      <c r="I2962" s="62" t="n">
        <v>4.19</v>
      </c>
      <c r="J2962" s="58" t="inlineStr">
        <is>
          <t>Online</t>
        </is>
      </c>
      <c r="K2962" s="62">
        <f>F2962*(G2962-H2962)</f>
        <v/>
      </c>
      <c r="L2962" s="62">
        <f>K2962-(F2962*I2962)</f>
        <v/>
      </c>
      <c r="M2962" s="64">
        <f>L2962/K2962</f>
        <v/>
      </c>
    </row>
    <row r="2963">
      <c r="A2963" s="58" t="inlineStr">
        <is>
          <t>RT20250316-02962</t>
        </is>
      </c>
      <c r="B2963" s="59" t="inlineStr">
        <is>
          <t>2025-03-16</t>
        </is>
      </c>
      <c r="C2963" s="60" t="inlineStr">
        <is>
          <t>Aurora Haircare S-975</t>
        </is>
      </c>
      <c r="D2963" s="58" t="inlineStr">
        <is>
          <t>Beauty</t>
        </is>
      </c>
      <c r="E2963" s="58" t="inlineStr">
        <is>
          <t>North</t>
        </is>
      </c>
      <c r="F2963" s="61" t="n">
        <v>2</v>
      </c>
      <c r="G2963" s="62" t="n">
        <v>94.64</v>
      </c>
      <c r="H2963" s="63" t="n">
        <v>0.061</v>
      </c>
      <c r="I2963" s="62" t="n">
        <v>59.1</v>
      </c>
      <c r="J2963" s="58" t="inlineStr">
        <is>
          <t>Store</t>
        </is>
      </c>
      <c r="K2963" s="62">
        <f>F2963*(G2963-H2963)</f>
        <v/>
      </c>
      <c r="L2963" s="62">
        <f>K2963-(F2963*I2963)</f>
        <v/>
      </c>
      <c r="M2963" s="64">
        <f>L2963/K2963</f>
        <v/>
      </c>
    </row>
    <row r="2964">
      <c r="A2964" s="58" t="inlineStr">
        <is>
          <t>RT20250316-02963</t>
        </is>
      </c>
      <c r="B2964" s="59" t="inlineStr">
        <is>
          <t>2025-03-16</t>
        </is>
      </c>
      <c r="C2964" s="60" t="inlineStr">
        <is>
          <t>Solace Makeup Pro-214</t>
        </is>
      </c>
      <c r="D2964" s="58" t="inlineStr">
        <is>
          <t>Beauty</t>
        </is>
      </c>
      <c r="E2964" s="58" t="inlineStr">
        <is>
          <t>East</t>
        </is>
      </c>
      <c r="F2964" s="61" t="n">
        <v>5</v>
      </c>
      <c r="G2964" s="62" t="n">
        <v>103.19</v>
      </c>
      <c r="H2964" s="63" t="n">
        <v>0.066</v>
      </c>
      <c r="I2964" s="62" t="n">
        <v>67.68000000000001</v>
      </c>
      <c r="J2964" s="58" t="inlineStr">
        <is>
          <t>Online</t>
        </is>
      </c>
      <c r="K2964" s="62">
        <f>F2964*(G2964-H2964)</f>
        <v/>
      </c>
      <c r="L2964" s="62">
        <f>K2964-(F2964*I2964)</f>
        <v/>
      </c>
      <c r="M2964" s="64">
        <f>L2964/K2964</f>
        <v/>
      </c>
    </row>
    <row r="2965">
      <c r="A2965" s="58" t="inlineStr">
        <is>
          <t>RT20250316-02964</t>
        </is>
      </c>
      <c r="B2965" s="59" t="inlineStr">
        <is>
          <t>2025-03-16</t>
        </is>
      </c>
      <c r="C2965" s="60" t="inlineStr">
        <is>
          <t>Aurora Household Plus-146</t>
        </is>
      </c>
      <c r="D2965" s="58" t="inlineStr">
        <is>
          <t>Grocery</t>
        </is>
      </c>
      <c r="E2965" s="58" t="inlineStr">
        <is>
          <t>South</t>
        </is>
      </c>
      <c r="F2965" s="61" t="n">
        <v>1</v>
      </c>
      <c r="G2965" s="62" t="n">
        <v>6.05</v>
      </c>
      <c r="H2965" s="63" t="n">
        <v>0.105</v>
      </c>
      <c r="I2965" s="62" t="n">
        <v>4.57</v>
      </c>
      <c r="J2965" s="58" t="inlineStr">
        <is>
          <t>Online</t>
        </is>
      </c>
      <c r="K2965" s="62">
        <f>F2965*(G2965-H2965)</f>
        <v/>
      </c>
      <c r="L2965" s="62">
        <f>K2965-(F2965*I2965)</f>
        <v/>
      </c>
      <c r="M2965" s="64">
        <f>L2965/K2965</f>
        <v/>
      </c>
    </row>
    <row r="2966">
      <c r="A2966" s="58" t="inlineStr">
        <is>
          <t>RT20250316-02965</t>
        </is>
      </c>
      <c r="B2966" s="59" t="inlineStr">
        <is>
          <t>2025-03-16</t>
        </is>
      </c>
      <c r="C2966" s="60" t="inlineStr">
        <is>
          <t>Metro Smartphone Max-773</t>
        </is>
      </c>
      <c r="D2966" s="58" t="inlineStr">
        <is>
          <t>Electronics</t>
        </is>
      </c>
      <c r="E2966" s="58" t="inlineStr">
        <is>
          <t>Central</t>
        </is>
      </c>
      <c r="F2966" s="61" t="n">
        <v>1</v>
      </c>
      <c r="G2966" s="62" t="n">
        <v>1568.52</v>
      </c>
      <c r="H2966" s="63" t="n">
        <v>0.178</v>
      </c>
      <c r="I2966" s="62" t="n">
        <v>1121.2</v>
      </c>
      <c r="J2966" s="58" t="inlineStr">
        <is>
          <t>Phone</t>
        </is>
      </c>
      <c r="K2966" s="62">
        <f>F2966*(G2966-H2966)</f>
        <v/>
      </c>
      <c r="L2966" s="62">
        <f>K2966-(F2966*I2966)</f>
        <v/>
      </c>
      <c r="M2966" s="64">
        <f>L2966/K2966</f>
        <v/>
      </c>
    </row>
    <row r="2967">
      <c r="A2967" s="58" t="inlineStr">
        <is>
          <t>RT20250316-02966</t>
        </is>
      </c>
      <c r="B2967" s="59" t="inlineStr">
        <is>
          <t>2025-03-16</t>
        </is>
      </c>
      <c r="C2967" s="60" t="inlineStr">
        <is>
          <t>Orion Kid Max-640</t>
        </is>
      </c>
      <c r="D2967" s="58" t="inlineStr">
        <is>
          <t>Apparel</t>
        </is>
      </c>
      <c r="E2967" s="58" t="inlineStr">
        <is>
          <t>East</t>
        </is>
      </c>
      <c r="F2967" s="61" t="n">
        <v>2</v>
      </c>
      <c r="G2967" s="62" t="n">
        <v>148.13</v>
      </c>
      <c r="H2967" s="63" t="n">
        <v>0.07199999999999999</v>
      </c>
      <c r="I2967" s="62" t="n">
        <v>68.79000000000001</v>
      </c>
      <c r="J2967" s="58" t="inlineStr">
        <is>
          <t>Store</t>
        </is>
      </c>
      <c r="K2967" s="62">
        <f>F2967*(G2967-H2967)</f>
        <v/>
      </c>
      <c r="L2967" s="62">
        <f>K2967-(F2967*I2967)</f>
        <v/>
      </c>
      <c r="M2967" s="64">
        <f>L2967/K2967</f>
        <v/>
      </c>
    </row>
    <row r="2968">
      <c r="A2968" s="58" t="inlineStr">
        <is>
          <t>RT20250316-02967</t>
        </is>
      </c>
      <c r="B2968" s="59" t="inlineStr">
        <is>
          <t>2025-03-16</t>
        </is>
      </c>
      <c r="C2968" s="60" t="inlineStr">
        <is>
          <t>Vertex Printer Max-692</t>
        </is>
      </c>
      <c r="D2968" s="58" t="inlineStr">
        <is>
          <t>Office</t>
        </is>
      </c>
      <c r="E2968" s="58" t="inlineStr">
        <is>
          <t>East</t>
        </is>
      </c>
      <c r="F2968" s="61" t="n">
        <v>1</v>
      </c>
      <c r="G2968" s="62" t="n">
        <v>177.96</v>
      </c>
      <c r="H2968" s="63" t="n">
        <v>0.102</v>
      </c>
      <c r="I2968" s="62" t="n">
        <v>125.42</v>
      </c>
      <c r="J2968" s="58" t="inlineStr">
        <is>
          <t>Online</t>
        </is>
      </c>
      <c r="K2968" s="62">
        <f>F2968*(G2968-H2968)</f>
        <v/>
      </c>
      <c r="L2968" s="62">
        <f>K2968-(F2968*I2968)</f>
        <v/>
      </c>
      <c r="M2968" s="64">
        <f>L2968/K2968</f>
        <v/>
      </c>
    </row>
    <row r="2969">
      <c r="A2969" s="58" t="inlineStr">
        <is>
          <t>RT20250317-02968</t>
        </is>
      </c>
      <c r="B2969" s="59" t="inlineStr">
        <is>
          <t>2025-03-17</t>
        </is>
      </c>
      <c r="C2969" s="60" t="inlineStr">
        <is>
          <t>Falcon Bedding S-674</t>
        </is>
      </c>
      <c r="D2969" s="58" t="inlineStr">
        <is>
          <t>Home</t>
        </is>
      </c>
      <c r="E2969" s="58" t="inlineStr">
        <is>
          <t>Central</t>
        </is>
      </c>
      <c r="F2969" s="61" t="n">
        <v>3</v>
      </c>
      <c r="G2969" s="62" t="n">
        <v>662.38</v>
      </c>
      <c r="H2969" s="63" t="n">
        <v>0.093</v>
      </c>
      <c r="I2969" s="62" t="n">
        <v>454.19</v>
      </c>
      <c r="J2969" s="58" t="inlineStr">
        <is>
          <t>Store</t>
        </is>
      </c>
      <c r="K2969" s="62">
        <f>F2969*(G2969-H2969)</f>
        <v/>
      </c>
      <c r="L2969" s="62">
        <f>K2969-(F2969*I2969)</f>
        <v/>
      </c>
      <c r="M2969" s="64">
        <f>L2969/K2969</f>
        <v/>
      </c>
    </row>
    <row r="2970">
      <c r="A2970" s="58" t="inlineStr">
        <is>
          <t>RT20250317-02969</t>
        </is>
      </c>
      <c r="B2970" s="59" t="inlineStr">
        <is>
          <t>2025-03-17</t>
        </is>
      </c>
      <c r="C2970" s="60" t="inlineStr">
        <is>
          <t>Falcon Skincare X-334</t>
        </is>
      </c>
      <c r="D2970" s="58" t="inlineStr">
        <is>
          <t>Beauty</t>
        </is>
      </c>
      <c r="E2970" s="58" t="inlineStr">
        <is>
          <t>Central</t>
        </is>
      </c>
      <c r="F2970" s="61" t="n">
        <v>3</v>
      </c>
      <c r="G2970" s="62" t="n">
        <v>105.97</v>
      </c>
      <c r="H2970" s="63" t="n">
        <v>0.061</v>
      </c>
      <c r="I2970" s="62" t="n">
        <v>64.08</v>
      </c>
      <c r="J2970" s="58" t="inlineStr">
        <is>
          <t>Phone</t>
        </is>
      </c>
      <c r="K2970" s="62">
        <f>F2970*(G2970-H2970)</f>
        <v/>
      </c>
      <c r="L2970" s="62">
        <f>K2970-(F2970*I2970)</f>
        <v/>
      </c>
      <c r="M2970" s="64">
        <f>L2970/K2970</f>
        <v/>
      </c>
    </row>
    <row r="2971">
      <c r="A2971" s="58" t="inlineStr">
        <is>
          <t>RT20250317-02970</t>
        </is>
      </c>
      <c r="B2971" s="59" t="inlineStr">
        <is>
          <t>2025-03-17</t>
        </is>
      </c>
      <c r="C2971" s="60" t="inlineStr">
        <is>
          <t>Falcon Team Sport Lite-268</t>
        </is>
      </c>
      <c r="D2971" s="58" t="inlineStr">
        <is>
          <t>Sports</t>
        </is>
      </c>
      <c r="E2971" s="58" t="inlineStr">
        <is>
          <t>North</t>
        </is>
      </c>
      <c r="F2971" s="61" t="n">
        <v>3</v>
      </c>
      <c r="G2971" s="62" t="n">
        <v>725.41</v>
      </c>
      <c r="H2971" s="63" t="n">
        <v>0.026</v>
      </c>
      <c r="I2971" s="62" t="n">
        <v>422.28</v>
      </c>
      <c r="J2971" s="58" t="inlineStr">
        <is>
          <t>Store</t>
        </is>
      </c>
      <c r="K2971" s="62">
        <f>F2971*(G2971-H2971)</f>
        <v/>
      </c>
      <c r="L2971" s="62">
        <f>K2971-(F2971*I2971)</f>
        <v/>
      </c>
      <c r="M2971" s="64">
        <f>L2971/K2971</f>
        <v/>
      </c>
    </row>
    <row r="2972">
      <c r="A2972" s="58" t="inlineStr">
        <is>
          <t>RT20250317-02971</t>
        </is>
      </c>
      <c r="B2972" s="59" t="inlineStr">
        <is>
          <t>2025-03-17</t>
        </is>
      </c>
      <c r="C2972" s="60" t="inlineStr">
        <is>
          <t>Vertex Printer Max-692</t>
        </is>
      </c>
      <c r="D2972" s="58" t="inlineStr">
        <is>
          <t>Office</t>
        </is>
      </c>
      <c r="E2972" s="58" t="inlineStr">
        <is>
          <t>Central</t>
        </is>
      </c>
      <c r="F2972" s="61" t="n">
        <v>2</v>
      </c>
      <c r="G2972" s="62" t="n">
        <v>168.4</v>
      </c>
      <c r="H2972" s="63" t="n">
        <v>0.076</v>
      </c>
      <c r="I2972" s="62" t="n">
        <v>120.89</v>
      </c>
      <c r="J2972" s="58" t="inlineStr">
        <is>
          <t>Online</t>
        </is>
      </c>
      <c r="K2972" s="62">
        <f>F2972*(G2972-H2972)</f>
        <v/>
      </c>
      <c r="L2972" s="62">
        <f>K2972-(F2972*I2972)</f>
        <v/>
      </c>
      <c r="M2972" s="64">
        <f>L2972/K2972</f>
        <v/>
      </c>
    </row>
    <row r="2973">
      <c r="A2973" s="58" t="inlineStr">
        <is>
          <t>RT20250317-02972</t>
        </is>
      </c>
      <c r="B2973" s="59" t="inlineStr">
        <is>
          <t>2025-03-17</t>
        </is>
      </c>
      <c r="C2973" s="60" t="inlineStr">
        <is>
          <t>Solace Kid S-384</t>
        </is>
      </c>
      <c r="D2973" s="58" t="inlineStr">
        <is>
          <t>Apparel</t>
        </is>
      </c>
      <c r="E2973" s="58" t="inlineStr">
        <is>
          <t>Central</t>
        </is>
      </c>
      <c r="F2973" s="61" t="n">
        <v>2</v>
      </c>
      <c r="G2973" s="62" t="n">
        <v>114.29</v>
      </c>
      <c r="H2973" s="63" t="n">
        <v>0.123</v>
      </c>
      <c r="I2973" s="62" t="n">
        <v>64.2</v>
      </c>
      <c r="J2973" s="58" t="inlineStr">
        <is>
          <t>Online</t>
        </is>
      </c>
      <c r="K2973" s="62">
        <f>F2973*(G2973-H2973)</f>
        <v/>
      </c>
      <c r="L2973" s="62">
        <f>K2973-(F2973*I2973)</f>
        <v/>
      </c>
      <c r="M2973" s="64">
        <f>L2973/K2973</f>
        <v/>
      </c>
    </row>
    <row r="2974">
      <c r="A2974" s="58" t="inlineStr">
        <is>
          <t>RT20250317-02973</t>
        </is>
      </c>
      <c r="B2974" s="59" t="inlineStr">
        <is>
          <t>2025-03-17</t>
        </is>
      </c>
      <c r="C2974" s="60" t="inlineStr">
        <is>
          <t>Nimbus Makeup Max-158</t>
        </is>
      </c>
      <c r="D2974" s="58" t="inlineStr">
        <is>
          <t>Beauty</t>
        </is>
      </c>
      <c r="E2974" s="58" t="inlineStr">
        <is>
          <t>West</t>
        </is>
      </c>
      <c r="F2974" s="61" t="n">
        <v>3</v>
      </c>
      <c r="G2974" s="62" t="n">
        <v>146.41</v>
      </c>
      <c r="H2974" s="63" t="n">
        <v>0.037</v>
      </c>
      <c r="I2974" s="62" t="n">
        <v>98.67</v>
      </c>
      <c r="J2974" s="58" t="inlineStr">
        <is>
          <t>Online</t>
        </is>
      </c>
      <c r="K2974" s="62">
        <f>F2974*(G2974-H2974)</f>
        <v/>
      </c>
      <c r="L2974" s="62">
        <f>K2974-(F2974*I2974)</f>
        <v/>
      </c>
      <c r="M2974" s="64">
        <f>L2974/K2974</f>
        <v/>
      </c>
    </row>
    <row r="2975">
      <c r="A2975" s="58" t="inlineStr">
        <is>
          <t>RT20250317-02974</t>
        </is>
      </c>
      <c r="B2975" s="59" t="inlineStr">
        <is>
          <t>2025-03-17</t>
        </is>
      </c>
      <c r="C2975" s="60" t="inlineStr">
        <is>
          <t>Aurora Haircare S-975</t>
        </is>
      </c>
      <c r="D2975" s="58" t="inlineStr">
        <is>
          <t>Beauty</t>
        </is>
      </c>
      <c r="E2975" s="58" t="inlineStr">
        <is>
          <t>East</t>
        </is>
      </c>
      <c r="F2975" s="61" t="n">
        <v>5</v>
      </c>
      <c r="G2975" s="62" t="n">
        <v>94.27</v>
      </c>
      <c r="H2975" s="63" t="n">
        <v>0.068</v>
      </c>
      <c r="I2975" s="62" t="n">
        <v>59.38</v>
      </c>
      <c r="J2975" s="58" t="inlineStr">
        <is>
          <t>Store</t>
        </is>
      </c>
      <c r="K2975" s="62">
        <f>F2975*(G2975-H2975)</f>
        <v/>
      </c>
      <c r="L2975" s="62">
        <f>K2975-(F2975*I2975)</f>
        <v/>
      </c>
      <c r="M2975" s="64">
        <f>L2975/K2975</f>
        <v/>
      </c>
    </row>
    <row r="2976">
      <c r="A2976" s="58" t="inlineStr">
        <is>
          <t>RT20250317-02975</t>
        </is>
      </c>
      <c r="B2976" s="59" t="inlineStr">
        <is>
          <t>2025-03-17</t>
        </is>
      </c>
      <c r="C2976" s="60" t="inlineStr">
        <is>
          <t>Aurora Bedding Max-175</t>
        </is>
      </c>
      <c r="D2976" s="58" t="inlineStr">
        <is>
          <t>Home</t>
        </is>
      </c>
      <c r="E2976" s="58" t="inlineStr">
        <is>
          <t>Central</t>
        </is>
      </c>
      <c r="F2976" s="61" t="n">
        <v>2</v>
      </c>
      <c r="G2976" s="62" t="n">
        <v>593.36</v>
      </c>
      <c r="H2976" s="63" t="n">
        <v>0.059</v>
      </c>
      <c r="I2976" s="62" t="n">
        <v>405.89</v>
      </c>
      <c r="J2976" s="58" t="inlineStr">
        <is>
          <t>Online</t>
        </is>
      </c>
      <c r="K2976" s="62">
        <f>F2976*(G2976-H2976)</f>
        <v/>
      </c>
      <c r="L2976" s="62">
        <f>K2976-(F2976*I2976)</f>
        <v/>
      </c>
      <c r="M2976" s="64">
        <f>L2976/K2976</f>
        <v/>
      </c>
    </row>
    <row r="2977">
      <c r="A2977" s="58" t="inlineStr">
        <is>
          <t>RT20250317-02976</t>
        </is>
      </c>
      <c r="B2977" s="59" t="inlineStr">
        <is>
          <t>2025-03-17</t>
        </is>
      </c>
      <c r="C2977" s="60" t="inlineStr">
        <is>
          <t>Solace Fitnes S-324</t>
        </is>
      </c>
      <c r="D2977" s="58" t="inlineStr">
        <is>
          <t>Sports</t>
        </is>
      </c>
      <c r="E2977" s="58" t="inlineStr">
        <is>
          <t>Central</t>
        </is>
      </c>
      <c r="F2977" s="61" t="n">
        <v>1</v>
      </c>
      <c r="G2977" s="62" t="n">
        <v>798.96</v>
      </c>
      <c r="H2977" s="63" t="n">
        <v>0.124</v>
      </c>
      <c r="I2977" s="62" t="n">
        <v>521.4400000000001</v>
      </c>
      <c r="J2977" s="58" t="inlineStr">
        <is>
          <t>Online</t>
        </is>
      </c>
      <c r="K2977" s="62">
        <f>F2977*(G2977-H2977)</f>
        <v/>
      </c>
      <c r="L2977" s="62">
        <f>K2977-(F2977*I2977)</f>
        <v/>
      </c>
      <c r="M2977" s="64">
        <f>L2977/K2977</f>
        <v/>
      </c>
    </row>
    <row r="2978">
      <c r="A2978" s="58" t="inlineStr">
        <is>
          <t>RT20250317-02977</t>
        </is>
      </c>
      <c r="B2978" s="59" t="inlineStr">
        <is>
          <t>2025-03-17</t>
        </is>
      </c>
      <c r="C2978" s="60" t="inlineStr">
        <is>
          <t>Metro Pantry X-710</t>
        </is>
      </c>
      <c r="D2978" s="58" t="inlineStr">
        <is>
          <t>Grocery</t>
        </is>
      </c>
      <c r="E2978" s="58" t="inlineStr">
        <is>
          <t>West</t>
        </is>
      </c>
      <c r="F2978" s="61" t="n">
        <v>8</v>
      </c>
      <c r="G2978" s="62" t="n">
        <v>6.31</v>
      </c>
      <c r="H2978" s="63" t="n">
        <v>0.08500000000000001</v>
      </c>
      <c r="I2978" s="62" t="n">
        <v>4.3</v>
      </c>
      <c r="J2978" s="58" t="inlineStr">
        <is>
          <t>Online</t>
        </is>
      </c>
      <c r="K2978" s="62">
        <f>F2978*(G2978-H2978)</f>
        <v/>
      </c>
      <c r="L2978" s="62">
        <f>K2978-(F2978*I2978)</f>
        <v/>
      </c>
      <c r="M2978" s="64">
        <f>L2978/K2978</f>
        <v/>
      </c>
    </row>
    <row r="2979">
      <c r="A2979" s="58" t="inlineStr">
        <is>
          <t>RT20250317-02978</t>
        </is>
      </c>
      <c r="B2979" s="59" t="inlineStr">
        <is>
          <t>2025-03-17</t>
        </is>
      </c>
      <c r="C2979" s="60" t="inlineStr">
        <is>
          <t>Vertex Furniture S-652</t>
        </is>
      </c>
      <c r="D2979" s="58" t="inlineStr">
        <is>
          <t>Office</t>
        </is>
      </c>
      <c r="E2979" s="58" t="inlineStr">
        <is>
          <t>Central</t>
        </is>
      </c>
      <c r="F2979" s="61" t="n">
        <v>1</v>
      </c>
      <c r="G2979" s="62" t="n">
        <v>364.45</v>
      </c>
      <c r="H2979" s="63" t="n">
        <v>0.124</v>
      </c>
      <c r="I2979" s="62" t="n">
        <v>262.82</v>
      </c>
      <c r="J2979" s="58" t="inlineStr">
        <is>
          <t>Store</t>
        </is>
      </c>
      <c r="K2979" s="62">
        <f>F2979*(G2979-H2979)</f>
        <v/>
      </c>
      <c r="L2979" s="62">
        <f>K2979-(F2979*I2979)</f>
        <v/>
      </c>
      <c r="M2979" s="64">
        <f>L2979/K2979</f>
        <v/>
      </c>
    </row>
    <row r="2980">
      <c r="A2980" s="58" t="inlineStr">
        <is>
          <t>RT20250317-02979</t>
        </is>
      </c>
      <c r="B2980" s="59" t="inlineStr">
        <is>
          <t>2025-03-17</t>
        </is>
      </c>
      <c r="C2980" s="60" t="inlineStr">
        <is>
          <t>Orion Supplie S-612</t>
        </is>
      </c>
      <c r="D2980" s="58" t="inlineStr">
        <is>
          <t>Office</t>
        </is>
      </c>
      <c r="E2980" s="58" t="inlineStr">
        <is>
          <t>Central</t>
        </is>
      </c>
      <c r="F2980" s="61" t="n">
        <v>3</v>
      </c>
      <c r="G2980" s="62" t="n">
        <v>507.89</v>
      </c>
      <c r="H2980" s="63" t="n">
        <v>0.123</v>
      </c>
      <c r="I2980" s="62" t="n">
        <v>331.19</v>
      </c>
      <c r="J2980" s="58" t="inlineStr">
        <is>
          <t>Store</t>
        </is>
      </c>
      <c r="K2980" s="62">
        <f>F2980*(G2980-H2980)</f>
        <v/>
      </c>
      <c r="L2980" s="62">
        <f>K2980-(F2980*I2980)</f>
        <v/>
      </c>
      <c r="M2980" s="64">
        <f>L2980/K2980</f>
        <v/>
      </c>
    </row>
    <row r="2981">
      <c r="A2981" s="58" t="inlineStr">
        <is>
          <t>RT20250317-02980</t>
        </is>
      </c>
      <c r="B2981" s="59" t="inlineStr">
        <is>
          <t>2025-03-17</t>
        </is>
      </c>
      <c r="C2981" s="60" t="inlineStr">
        <is>
          <t>Vertex Fitnes Pro-830</t>
        </is>
      </c>
      <c r="D2981" s="58" t="inlineStr">
        <is>
          <t>Sports</t>
        </is>
      </c>
      <c r="E2981" s="58" t="inlineStr">
        <is>
          <t>Central</t>
        </is>
      </c>
      <c r="F2981" s="61" t="n">
        <v>3</v>
      </c>
      <c r="G2981" s="62" t="n">
        <v>808.22</v>
      </c>
      <c r="H2981" s="63" t="n">
        <v>0.1</v>
      </c>
      <c r="I2981" s="62" t="n">
        <v>489.61</v>
      </c>
      <c r="J2981" s="58" t="inlineStr">
        <is>
          <t>Online</t>
        </is>
      </c>
      <c r="K2981" s="62">
        <f>F2981*(G2981-H2981)</f>
        <v/>
      </c>
      <c r="L2981" s="62">
        <f>K2981-(F2981*I2981)</f>
        <v/>
      </c>
      <c r="M2981" s="64">
        <f>L2981/K2981</f>
        <v/>
      </c>
    </row>
    <row r="2982">
      <c r="A2982" s="58" t="inlineStr">
        <is>
          <t>RT20250317-02981</t>
        </is>
      </c>
      <c r="B2982" s="59" t="inlineStr">
        <is>
          <t>2025-03-17</t>
        </is>
      </c>
      <c r="C2982" s="60" t="inlineStr">
        <is>
          <t>Aurora Appliance Lite-109</t>
        </is>
      </c>
      <c r="D2982" s="58" t="inlineStr">
        <is>
          <t>Home</t>
        </is>
      </c>
      <c r="E2982" s="58" t="inlineStr">
        <is>
          <t>East</t>
        </is>
      </c>
      <c r="F2982" s="61" t="n">
        <v>1</v>
      </c>
      <c r="G2982" s="62" t="n">
        <v>338.85</v>
      </c>
      <c r="H2982" s="63" t="n">
        <v>0.09</v>
      </c>
      <c r="I2982" s="62" t="n">
        <v>208.26</v>
      </c>
      <c r="J2982" s="58" t="inlineStr">
        <is>
          <t>Online</t>
        </is>
      </c>
      <c r="K2982" s="62">
        <f>F2982*(G2982-H2982)</f>
        <v/>
      </c>
      <c r="L2982" s="62">
        <f>K2982-(F2982*I2982)</f>
        <v/>
      </c>
      <c r="M2982" s="64">
        <f>L2982/K2982</f>
        <v/>
      </c>
    </row>
    <row r="2983">
      <c r="A2983" s="58" t="inlineStr">
        <is>
          <t>RT20250317-02982</t>
        </is>
      </c>
      <c r="B2983" s="59" t="inlineStr">
        <is>
          <t>2025-03-17</t>
        </is>
      </c>
      <c r="C2983" s="60" t="inlineStr">
        <is>
          <t>Polar Cycling S-223</t>
        </is>
      </c>
      <c r="D2983" s="58" t="inlineStr">
        <is>
          <t>Sports</t>
        </is>
      </c>
      <c r="E2983" s="58" t="inlineStr">
        <is>
          <t>Central</t>
        </is>
      </c>
      <c r="F2983" s="61" t="n">
        <v>2</v>
      </c>
      <c r="G2983" s="62" t="n">
        <v>929.26</v>
      </c>
      <c r="H2983" s="63" t="n">
        <v>0.078</v>
      </c>
      <c r="I2983" s="62" t="n">
        <v>639.5599999999999</v>
      </c>
      <c r="J2983" s="58" t="inlineStr">
        <is>
          <t>Store</t>
        </is>
      </c>
      <c r="K2983" s="62">
        <f>F2983*(G2983-H2983)</f>
        <v/>
      </c>
      <c r="L2983" s="62">
        <f>K2983-(F2983*I2983)</f>
        <v/>
      </c>
      <c r="M2983" s="64">
        <f>L2983/K2983</f>
        <v/>
      </c>
    </row>
    <row r="2984">
      <c r="A2984" s="58" t="inlineStr">
        <is>
          <t>RT20250317-02983</t>
        </is>
      </c>
      <c r="B2984" s="59" t="inlineStr">
        <is>
          <t>2025-03-17</t>
        </is>
      </c>
      <c r="C2984" s="60" t="inlineStr">
        <is>
          <t>Polar Pantry Lite-392</t>
        </is>
      </c>
      <c r="D2984" s="58" t="inlineStr">
        <is>
          <t>Grocery</t>
        </is>
      </c>
      <c r="E2984" s="58" t="inlineStr">
        <is>
          <t>South</t>
        </is>
      </c>
      <c r="F2984" s="61" t="n">
        <v>1</v>
      </c>
      <c r="G2984" s="62" t="n">
        <v>5.66</v>
      </c>
      <c r="H2984" s="63" t="n">
        <v>0.158</v>
      </c>
      <c r="I2984" s="62" t="n">
        <v>4.46</v>
      </c>
      <c r="J2984" s="58" t="inlineStr">
        <is>
          <t>Online</t>
        </is>
      </c>
      <c r="K2984" s="62">
        <f>F2984*(G2984-H2984)</f>
        <v/>
      </c>
      <c r="L2984" s="62">
        <f>K2984-(F2984*I2984)</f>
        <v/>
      </c>
      <c r="M2984" s="64">
        <f>L2984/K2984</f>
        <v/>
      </c>
    </row>
    <row r="2985">
      <c r="A2985" s="58" t="inlineStr">
        <is>
          <t>RT20250318-02984</t>
        </is>
      </c>
      <c r="B2985" s="59" t="inlineStr">
        <is>
          <t>2025-03-18</t>
        </is>
      </c>
      <c r="C2985" s="60" t="inlineStr">
        <is>
          <t>Falcon Cycling Pro-499</t>
        </is>
      </c>
      <c r="D2985" s="58" t="inlineStr">
        <is>
          <t>Sports</t>
        </is>
      </c>
      <c r="E2985" s="58" t="inlineStr">
        <is>
          <t>North</t>
        </is>
      </c>
      <c r="F2985" s="61" t="n">
        <v>2</v>
      </c>
      <c r="G2985" s="62" t="n">
        <v>640.49</v>
      </c>
      <c r="H2985" s="63" t="n">
        <v>0.097</v>
      </c>
      <c r="I2985" s="62" t="n">
        <v>396.22</v>
      </c>
      <c r="J2985" s="58" t="inlineStr">
        <is>
          <t>Store</t>
        </is>
      </c>
      <c r="K2985" s="62">
        <f>F2985*(G2985-H2985)</f>
        <v/>
      </c>
      <c r="L2985" s="62">
        <f>K2985-(F2985*I2985)</f>
        <v/>
      </c>
      <c r="M2985" s="64">
        <f>L2985/K2985</f>
        <v/>
      </c>
    </row>
    <row r="2986">
      <c r="A2986" s="58" t="inlineStr">
        <is>
          <t>RT20250318-02985</t>
        </is>
      </c>
      <c r="B2986" s="59" t="inlineStr">
        <is>
          <t>2025-03-18</t>
        </is>
      </c>
      <c r="C2986" s="60" t="inlineStr">
        <is>
          <t>Falcon Furniture Plus-839</t>
        </is>
      </c>
      <c r="D2986" s="58" t="inlineStr">
        <is>
          <t>Office</t>
        </is>
      </c>
      <c r="E2986" s="58" t="inlineStr">
        <is>
          <t>South</t>
        </is>
      </c>
      <c r="F2986" s="61" t="n">
        <v>2</v>
      </c>
      <c r="G2986" s="62" t="n">
        <v>318.8</v>
      </c>
      <c r="H2986" s="63" t="n">
        <v>0.131</v>
      </c>
      <c r="I2986" s="62" t="n">
        <v>223.5</v>
      </c>
      <c r="J2986" s="58" t="inlineStr">
        <is>
          <t>Store</t>
        </is>
      </c>
      <c r="K2986" s="62">
        <f>F2986*(G2986-H2986)</f>
        <v/>
      </c>
      <c r="L2986" s="62">
        <f>K2986-(F2986*I2986)</f>
        <v/>
      </c>
      <c r="M2986" s="64">
        <f>L2986/K2986</f>
        <v/>
      </c>
    </row>
    <row r="2987">
      <c r="A2987" s="58" t="inlineStr">
        <is>
          <t>RT20250318-02986</t>
        </is>
      </c>
      <c r="B2987" s="59" t="inlineStr">
        <is>
          <t>2025-03-18</t>
        </is>
      </c>
      <c r="C2987" s="60" t="inlineStr">
        <is>
          <t>Metro Pantry Max-180</t>
        </is>
      </c>
      <c r="D2987" s="58" t="inlineStr">
        <is>
          <t>Grocery</t>
        </is>
      </c>
      <c r="E2987" s="58" t="inlineStr">
        <is>
          <t>North</t>
        </is>
      </c>
      <c r="F2987" s="61" t="n">
        <v>8</v>
      </c>
      <c r="G2987" s="62" t="n">
        <v>8.529999999999999</v>
      </c>
      <c r="H2987" s="63" t="n">
        <v>0.08599999999999999</v>
      </c>
      <c r="I2987" s="62" t="n">
        <v>6.6</v>
      </c>
      <c r="J2987" s="58" t="inlineStr">
        <is>
          <t>Online</t>
        </is>
      </c>
      <c r="K2987" s="62">
        <f>F2987*(G2987-H2987)</f>
        <v/>
      </c>
      <c r="L2987" s="62">
        <f>K2987-(F2987*I2987)</f>
        <v/>
      </c>
      <c r="M2987" s="64">
        <f>L2987/K2987</f>
        <v/>
      </c>
    </row>
    <row r="2988">
      <c r="A2988" s="58" t="inlineStr">
        <is>
          <t>RT20250318-02987</t>
        </is>
      </c>
      <c r="B2988" s="59" t="inlineStr">
        <is>
          <t>2025-03-18</t>
        </is>
      </c>
      <c r="C2988" s="60" t="inlineStr">
        <is>
          <t>Polar Bedding Lite-243</t>
        </is>
      </c>
      <c r="D2988" s="58" t="inlineStr">
        <is>
          <t>Home</t>
        </is>
      </c>
      <c r="E2988" s="58" t="inlineStr">
        <is>
          <t>East</t>
        </is>
      </c>
      <c r="F2988" s="61" t="n">
        <v>2</v>
      </c>
      <c r="G2988" s="62" t="n">
        <v>488.51</v>
      </c>
      <c r="H2988" s="63" t="n">
        <v>0.076</v>
      </c>
      <c r="I2988" s="62" t="n">
        <v>309.88</v>
      </c>
      <c r="J2988" s="58" t="inlineStr">
        <is>
          <t>Online</t>
        </is>
      </c>
      <c r="K2988" s="62">
        <f>F2988*(G2988-H2988)</f>
        <v/>
      </c>
      <c r="L2988" s="62">
        <f>K2988-(F2988*I2988)</f>
        <v/>
      </c>
      <c r="M2988" s="64">
        <f>L2988/K2988</f>
        <v/>
      </c>
    </row>
    <row r="2989">
      <c r="A2989" s="58" t="inlineStr">
        <is>
          <t>RT20250318-02988</t>
        </is>
      </c>
      <c r="B2989" s="59" t="inlineStr">
        <is>
          <t>2025-03-18</t>
        </is>
      </c>
      <c r="C2989" s="60" t="inlineStr">
        <is>
          <t>Aurora Printer Plus-991</t>
        </is>
      </c>
      <c r="D2989" s="58" t="inlineStr">
        <is>
          <t>Office</t>
        </is>
      </c>
      <c r="E2989" s="58" t="inlineStr">
        <is>
          <t>East</t>
        </is>
      </c>
      <c r="F2989" s="61" t="n">
        <v>2</v>
      </c>
      <c r="G2989" s="62" t="n">
        <v>496.42</v>
      </c>
      <c r="H2989" s="63" t="n">
        <v>0.041</v>
      </c>
      <c r="I2989" s="62" t="n">
        <v>379.26</v>
      </c>
      <c r="J2989" s="58" t="inlineStr">
        <is>
          <t>Store</t>
        </is>
      </c>
      <c r="K2989" s="62">
        <f>F2989*(G2989-H2989)</f>
        <v/>
      </c>
      <c r="L2989" s="62">
        <f>K2989-(F2989*I2989)</f>
        <v/>
      </c>
      <c r="M2989" s="64">
        <f>L2989/K2989</f>
        <v/>
      </c>
    </row>
    <row r="2990">
      <c r="A2990" s="58" t="inlineStr">
        <is>
          <t>RT20250318-02989</t>
        </is>
      </c>
      <c r="B2990" s="59" t="inlineStr">
        <is>
          <t>2025-03-18</t>
        </is>
      </c>
      <c r="C2990" s="60" t="inlineStr">
        <is>
          <t>Falcon Household Plus-796</t>
        </is>
      </c>
      <c r="D2990" s="58" t="inlineStr">
        <is>
          <t>Grocery</t>
        </is>
      </c>
      <c r="E2990" s="58" t="inlineStr">
        <is>
          <t>North</t>
        </is>
      </c>
      <c r="F2990" s="61" t="n">
        <v>3</v>
      </c>
      <c r="G2990" s="62" t="n">
        <v>23.24</v>
      </c>
      <c r="H2990" s="63" t="n">
        <v>0.061</v>
      </c>
      <c r="I2990" s="62" t="n">
        <v>17.56</v>
      </c>
      <c r="J2990" s="58" t="inlineStr">
        <is>
          <t>Store</t>
        </is>
      </c>
      <c r="K2990" s="62">
        <f>F2990*(G2990-H2990)</f>
        <v/>
      </c>
      <c r="L2990" s="62">
        <f>K2990-(F2990*I2990)</f>
        <v/>
      </c>
      <c r="M2990" s="64">
        <f>L2990/K2990</f>
        <v/>
      </c>
    </row>
    <row r="2991">
      <c r="A2991" s="58" t="inlineStr">
        <is>
          <t>RT20250318-02990</t>
        </is>
      </c>
      <c r="B2991" s="59" t="inlineStr">
        <is>
          <t>2025-03-18</t>
        </is>
      </c>
      <c r="C2991" s="60" t="inlineStr">
        <is>
          <t>Aurora Makeup S-626</t>
        </is>
      </c>
      <c r="D2991" s="58" t="inlineStr">
        <is>
          <t>Beauty</t>
        </is>
      </c>
      <c r="E2991" s="58" t="inlineStr">
        <is>
          <t>West</t>
        </is>
      </c>
      <c r="F2991" s="61" t="n">
        <v>2</v>
      </c>
      <c r="G2991" s="62" t="n">
        <v>104.47</v>
      </c>
      <c r="H2991" s="63" t="n">
        <v>0.048</v>
      </c>
      <c r="I2991" s="62" t="n">
        <v>64.47</v>
      </c>
      <c r="J2991" s="58" t="inlineStr">
        <is>
          <t>Store</t>
        </is>
      </c>
      <c r="K2991" s="62">
        <f>F2991*(G2991-H2991)</f>
        <v/>
      </c>
      <c r="L2991" s="62">
        <f>K2991-(F2991*I2991)</f>
        <v/>
      </c>
      <c r="M2991" s="64">
        <f>L2991/K2991</f>
        <v/>
      </c>
    </row>
    <row r="2992">
      <c r="A2992" s="58" t="inlineStr">
        <is>
          <t>RT20250318-02991</t>
        </is>
      </c>
      <c r="B2992" s="59" t="inlineStr">
        <is>
          <t>2025-03-18</t>
        </is>
      </c>
      <c r="C2992" s="60" t="inlineStr">
        <is>
          <t>Metro Accessorie Lite-697</t>
        </is>
      </c>
      <c r="D2992" s="58" t="inlineStr">
        <is>
          <t>Apparel</t>
        </is>
      </c>
      <c r="E2992" s="58" t="inlineStr">
        <is>
          <t>South</t>
        </is>
      </c>
      <c r="F2992" s="61" t="n">
        <v>4</v>
      </c>
      <c r="G2992" s="62" t="n">
        <v>135.69</v>
      </c>
      <c r="H2992" s="63" t="n">
        <v>0.109</v>
      </c>
      <c r="I2992" s="62" t="n">
        <v>77.14</v>
      </c>
      <c r="J2992" s="58" t="inlineStr">
        <is>
          <t>Store</t>
        </is>
      </c>
      <c r="K2992" s="62">
        <f>F2992*(G2992-H2992)</f>
        <v/>
      </c>
      <c r="L2992" s="62">
        <f>K2992-(F2992*I2992)</f>
        <v/>
      </c>
      <c r="M2992" s="64">
        <f>L2992/K2992</f>
        <v/>
      </c>
    </row>
    <row r="2993">
      <c r="A2993" s="58" t="inlineStr">
        <is>
          <t>RT20250318-02992</t>
        </is>
      </c>
      <c r="B2993" s="59" t="inlineStr">
        <is>
          <t>2025-03-18</t>
        </is>
      </c>
      <c r="C2993" s="60" t="inlineStr">
        <is>
          <t>Solace Smartphone Lite-533</t>
        </is>
      </c>
      <c r="D2993" s="58" t="inlineStr">
        <is>
          <t>Electronics</t>
        </is>
      </c>
      <c r="E2993" s="58" t="inlineStr">
        <is>
          <t>South</t>
        </is>
      </c>
      <c r="F2993" s="61" t="n">
        <v>1</v>
      </c>
      <c r="G2993" s="62" t="n">
        <v>1162.62</v>
      </c>
      <c r="H2993" s="63" t="n">
        <v>0.119</v>
      </c>
      <c r="I2993" s="62" t="n">
        <v>911.34</v>
      </c>
      <c r="J2993" s="58" t="inlineStr">
        <is>
          <t>Online</t>
        </is>
      </c>
      <c r="K2993" s="62">
        <f>F2993*(G2993-H2993)</f>
        <v/>
      </c>
      <c r="L2993" s="62">
        <f>K2993-(F2993*I2993)</f>
        <v/>
      </c>
      <c r="M2993" s="64">
        <f>L2993/K2993</f>
        <v/>
      </c>
    </row>
    <row r="2994">
      <c r="A2994" s="58" t="inlineStr">
        <is>
          <t>RT20250318-02993</t>
        </is>
      </c>
      <c r="B2994" s="59" t="inlineStr">
        <is>
          <t>2025-03-18</t>
        </is>
      </c>
      <c r="C2994" s="60" t="inlineStr">
        <is>
          <t>Orion Supplie S-612</t>
        </is>
      </c>
      <c r="D2994" s="58" t="inlineStr">
        <is>
          <t>Office</t>
        </is>
      </c>
      <c r="E2994" s="58" t="inlineStr">
        <is>
          <t>West</t>
        </is>
      </c>
      <c r="F2994" s="61" t="n">
        <v>3</v>
      </c>
      <c r="G2994" s="62" t="n">
        <v>502.75</v>
      </c>
      <c r="H2994" s="63" t="n">
        <v>0.108</v>
      </c>
      <c r="I2994" s="62" t="n">
        <v>332.02</v>
      </c>
      <c r="J2994" s="58" t="inlineStr">
        <is>
          <t>Online</t>
        </is>
      </c>
      <c r="K2994" s="62">
        <f>F2994*(G2994-H2994)</f>
        <v/>
      </c>
      <c r="L2994" s="62">
        <f>K2994-(F2994*I2994)</f>
        <v/>
      </c>
      <c r="M2994" s="64">
        <f>L2994/K2994</f>
        <v/>
      </c>
    </row>
    <row r="2995">
      <c r="A2995" s="58" t="inlineStr">
        <is>
          <t>RT20250318-02994</t>
        </is>
      </c>
      <c r="B2995" s="59" t="inlineStr">
        <is>
          <t>2025-03-18</t>
        </is>
      </c>
      <c r="C2995" s="60" t="inlineStr">
        <is>
          <t>Falcon Furniture Plus-839</t>
        </is>
      </c>
      <c r="D2995" s="58" t="inlineStr">
        <is>
          <t>Office</t>
        </is>
      </c>
      <c r="E2995" s="58" t="inlineStr">
        <is>
          <t>Central</t>
        </is>
      </c>
      <c r="F2995" s="61" t="n">
        <v>3</v>
      </c>
      <c r="G2995" s="62" t="n">
        <v>314.48</v>
      </c>
      <c r="H2995" s="63" t="n">
        <v>0.08400000000000001</v>
      </c>
      <c r="I2995" s="62" t="n">
        <v>233.38</v>
      </c>
      <c r="J2995" s="58" t="inlineStr">
        <is>
          <t>Online</t>
        </is>
      </c>
      <c r="K2995" s="62">
        <f>F2995*(G2995-H2995)</f>
        <v/>
      </c>
      <c r="L2995" s="62">
        <f>K2995-(F2995*I2995)</f>
        <v/>
      </c>
      <c r="M2995" s="64">
        <f>L2995/K2995</f>
        <v/>
      </c>
    </row>
    <row r="2996">
      <c r="A2996" s="58" t="inlineStr">
        <is>
          <t>RT20250318-02995</t>
        </is>
      </c>
      <c r="B2996" s="59" t="inlineStr">
        <is>
          <t>2025-03-18</t>
        </is>
      </c>
      <c r="C2996" s="60" t="inlineStr">
        <is>
          <t>Solace Makeup Pro-214</t>
        </is>
      </c>
      <c r="D2996" s="58" t="inlineStr">
        <is>
          <t>Beauty</t>
        </is>
      </c>
      <c r="E2996" s="58" t="inlineStr">
        <is>
          <t>East</t>
        </is>
      </c>
      <c r="F2996" s="61" t="n">
        <v>3</v>
      </c>
      <c r="G2996" s="62" t="n">
        <v>117.15</v>
      </c>
      <c r="H2996" s="63" t="n">
        <v>0.08500000000000001</v>
      </c>
      <c r="I2996" s="62" t="n">
        <v>69.37</v>
      </c>
      <c r="J2996" s="58" t="inlineStr">
        <is>
          <t>Online</t>
        </is>
      </c>
      <c r="K2996" s="62">
        <f>F2996*(G2996-H2996)</f>
        <v/>
      </c>
      <c r="L2996" s="62">
        <f>K2996-(F2996*I2996)</f>
        <v/>
      </c>
      <c r="M2996" s="64">
        <f>L2996/K2996</f>
        <v/>
      </c>
    </row>
    <row r="2997">
      <c r="A2997" s="58" t="inlineStr">
        <is>
          <t>RT20250318-02996</t>
        </is>
      </c>
      <c r="B2997" s="59" t="inlineStr">
        <is>
          <t>2025-03-18</t>
        </is>
      </c>
      <c r="C2997" s="60" t="inlineStr">
        <is>
          <t>Solace Snack S-691</t>
        </is>
      </c>
      <c r="D2997" s="58" t="inlineStr">
        <is>
          <t>Grocery</t>
        </is>
      </c>
      <c r="E2997" s="58" t="inlineStr">
        <is>
          <t>East</t>
        </is>
      </c>
      <c r="F2997" s="61" t="n">
        <v>7</v>
      </c>
      <c r="G2997" s="62" t="n">
        <v>7.83</v>
      </c>
      <c r="H2997" s="63" t="n">
        <v>0.057</v>
      </c>
      <c r="I2997" s="62" t="n">
        <v>7.16</v>
      </c>
      <c r="J2997" s="58" t="inlineStr">
        <is>
          <t>Store</t>
        </is>
      </c>
      <c r="K2997" s="62">
        <f>F2997*(G2997-H2997)</f>
        <v/>
      </c>
      <c r="L2997" s="62">
        <f>K2997-(F2997*I2997)</f>
        <v/>
      </c>
      <c r="M2997" s="64">
        <f>L2997/K2997</f>
        <v/>
      </c>
    </row>
    <row r="2998">
      <c r="A2998" s="58" t="inlineStr">
        <is>
          <t>RT20250318-02997</t>
        </is>
      </c>
      <c r="B2998" s="59" t="inlineStr">
        <is>
          <t>2025-03-18</t>
        </is>
      </c>
      <c r="C2998" s="60" t="inlineStr">
        <is>
          <t>Falcon Household Plus-796</t>
        </is>
      </c>
      <c r="D2998" s="58" t="inlineStr">
        <is>
          <t>Grocery</t>
        </is>
      </c>
      <c r="E2998" s="58" t="inlineStr">
        <is>
          <t>West</t>
        </is>
      </c>
      <c r="F2998" s="61" t="n">
        <v>1</v>
      </c>
      <c r="G2998" s="62" t="n">
        <v>23.49</v>
      </c>
      <c r="H2998" s="63" t="n">
        <v>0.13</v>
      </c>
      <c r="I2998" s="62" t="n">
        <v>17.17</v>
      </c>
      <c r="J2998" s="58" t="inlineStr">
        <is>
          <t>Online</t>
        </is>
      </c>
      <c r="K2998" s="62">
        <f>F2998*(G2998-H2998)</f>
        <v/>
      </c>
      <c r="L2998" s="62">
        <f>K2998-(F2998*I2998)</f>
        <v/>
      </c>
      <c r="M2998" s="64">
        <f>L2998/K2998</f>
        <v/>
      </c>
    </row>
    <row r="2999">
      <c r="A2999" s="58" t="inlineStr">
        <is>
          <t>RT20250318-02998</t>
        </is>
      </c>
      <c r="B2999" s="59" t="inlineStr">
        <is>
          <t>2025-03-18</t>
        </is>
      </c>
      <c r="C2999" s="60" t="inlineStr">
        <is>
          <t>Aurora Storage Lite-774</t>
        </is>
      </c>
      <c r="D2999" s="58" t="inlineStr">
        <is>
          <t>Office</t>
        </is>
      </c>
      <c r="E2999" s="58" t="inlineStr">
        <is>
          <t>South</t>
        </is>
      </c>
      <c r="F2999" s="61" t="n">
        <v>3</v>
      </c>
      <c r="G2999" s="62" t="n">
        <v>311.95</v>
      </c>
      <c r="H2999" s="63" t="n">
        <v>0.106</v>
      </c>
      <c r="I2999" s="62" t="n">
        <v>245.1</v>
      </c>
      <c r="J2999" s="58" t="inlineStr">
        <is>
          <t>Online</t>
        </is>
      </c>
      <c r="K2999" s="62">
        <f>F2999*(G2999-H2999)</f>
        <v/>
      </c>
      <c r="L2999" s="62">
        <f>K2999-(F2999*I2999)</f>
        <v/>
      </c>
      <c r="M2999" s="64">
        <f>L2999/K2999</f>
        <v/>
      </c>
    </row>
    <row r="3000">
      <c r="A3000" s="58" t="inlineStr">
        <is>
          <t>RT20250318-02999</t>
        </is>
      </c>
      <c r="B3000" s="59" t="inlineStr">
        <is>
          <t>2025-03-18</t>
        </is>
      </c>
      <c r="C3000" s="60" t="inlineStr">
        <is>
          <t>Solace Kitchen Pro-999</t>
        </is>
      </c>
      <c r="D3000" s="58" t="inlineStr">
        <is>
          <t>Home</t>
        </is>
      </c>
      <c r="E3000" s="58" t="inlineStr">
        <is>
          <t>South</t>
        </is>
      </c>
      <c r="F3000" s="61" t="n">
        <v>1</v>
      </c>
      <c r="G3000" s="62" t="n">
        <v>385.1</v>
      </c>
      <c r="H3000" s="63" t="n">
        <v>0.079</v>
      </c>
      <c r="I3000" s="62" t="n">
        <v>261.86</v>
      </c>
      <c r="J3000" s="58" t="inlineStr">
        <is>
          <t>Online</t>
        </is>
      </c>
      <c r="K3000" s="62">
        <f>F3000*(G3000-H3000)</f>
        <v/>
      </c>
      <c r="L3000" s="62">
        <f>K3000-(F3000*I3000)</f>
        <v/>
      </c>
      <c r="M3000" s="64">
        <f>L3000/K3000</f>
        <v/>
      </c>
    </row>
    <row r="3001">
      <c r="A3001" s="58" t="inlineStr">
        <is>
          <t>RT20250318-03000</t>
        </is>
      </c>
      <c r="B3001" s="59" t="inlineStr">
        <is>
          <t>2025-03-18</t>
        </is>
      </c>
      <c r="C3001" s="60" t="inlineStr">
        <is>
          <t>Vertex Snack S-702</t>
        </is>
      </c>
      <c r="D3001" s="58" t="inlineStr">
        <is>
          <t>Grocery</t>
        </is>
      </c>
      <c r="E3001" s="58" t="inlineStr">
        <is>
          <t>East</t>
        </is>
      </c>
      <c r="F3001" s="61" t="n">
        <v>5</v>
      </c>
      <c r="G3001" s="62" t="n">
        <v>1.94</v>
      </c>
      <c r="H3001" s="63" t="n">
        <v>0.07000000000000001</v>
      </c>
      <c r="I3001" s="62" t="n">
        <v>1.51</v>
      </c>
      <c r="J3001" s="58" t="inlineStr">
        <is>
          <t>Online</t>
        </is>
      </c>
      <c r="K3001" s="62">
        <f>F3001*(G3001-H3001)</f>
        <v/>
      </c>
      <c r="L3001" s="62">
        <f>K3001-(F3001*I3001)</f>
        <v/>
      </c>
      <c r="M3001" s="64">
        <f>L3001/K3001</f>
        <v/>
      </c>
    </row>
    <row r="3002">
      <c r="A3002" s="58" t="inlineStr">
        <is>
          <t>RT20250318-03001</t>
        </is>
      </c>
      <c r="B3002" s="59" t="inlineStr">
        <is>
          <t>2025-03-18</t>
        </is>
      </c>
      <c r="C3002" s="60" t="inlineStr">
        <is>
          <t>Vertex Supplie X-513</t>
        </is>
      </c>
      <c r="D3002" s="58" t="inlineStr">
        <is>
          <t>Office</t>
        </is>
      </c>
      <c r="E3002" s="58" t="inlineStr">
        <is>
          <t>North</t>
        </is>
      </c>
      <c r="F3002" s="61" t="n">
        <v>3</v>
      </c>
      <c r="G3002" s="62" t="n">
        <v>380.29</v>
      </c>
      <c r="H3002" s="63" t="n">
        <v>0.142</v>
      </c>
      <c r="I3002" s="62" t="n">
        <v>277.38</v>
      </c>
      <c r="J3002" s="58" t="inlineStr">
        <is>
          <t>Online</t>
        </is>
      </c>
      <c r="K3002" s="62">
        <f>F3002*(G3002-H3002)</f>
        <v/>
      </c>
      <c r="L3002" s="62">
        <f>K3002-(F3002*I3002)</f>
        <v/>
      </c>
      <c r="M3002" s="64">
        <f>L3002/K3002</f>
        <v/>
      </c>
    </row>
    <row r="3003">
      <c r="A3003" s="58" t="inlineStr">
        <is>
          <t>RT20250318-03002</t>
        </is>
      </c>
      <c r="B3003" s="59" t="inlineStr">
        <is>
          <t>2025-03-18</t>
        </is>
      </c>
      <c r="C3003" s="60" t="inlineStr">
        <is>
          <t>Aurora Makeup Pro-489</t>
        </is>
      </c>
      <c r="D3003" s="58" t="inlineStr">
        <is>
          <t>Beauty</t>
        </is>
      </c>
      <c r="E3003" s="58" t="inlineStr">
        <is>
          <t>Central</t>
        </is>
      </c>
      <c r="F3003" s="61" t="n">
        <v>5</v>
      </c>
      <c r="G3003" s="62" t="n">
        <v>107.88</v>
      </c>
      <c r="H3003" s="63" t="n">
        <v>0.147</v>
      </c>
      <c r="I3003" s="62" t="n">
        <v>62.45</v>
      </c>
      <c r="J3003" s="58" t="inlineStr">
        <is>
          <t>Store</t>
        </is>
      </c>
      <c r="K3003" s="62">
        <f>F3003*(G3003-H3003)</f>
        <v/>
      </c>
      <c r="L3003" s="62">
        <f>K3003-(F3003*I3003)</f>
        <v/>
      </c>
      <c r="M3003" s="64">
        <f>L3003/K3003</f>
        <v/>
      </c>
    </row>
    <row r="3004">
      <c r="A3004" s="58" t="inlineStr">
        <is>
          <t>RT20250318-03003</t>
        </is>
      </c>
      <c r="B3004" s="59" t="inlineStr">
        <is>
          <t>2025-03-18</t>
        </is>
      </c>
      <c r="C3004" s="60" t="inlineStr">
        <is>
          <t>Vertex Appliance S-296</t>
        </is>
      </c>
      <c r="D3004" s="58" t="inlineStr">
        <is>
          <t>Home</t>
        </is>
      </c>
      <c r="E3004" s="58" t="inlineStr">
        <is>
          <t>East</t>
        </is>
      </c>
      <c r="F3004" s="61" t="n">
        <v>1</v>
      </c>
      <c r="G3004" s="62" t="n">
        <v>584.49</v>
      </c>
      <c r="H3004" s="63" t="n">
        <v>0.102</v>
      </c>
      <c r="I3004" s="62" t="n">
        <v>352.57</v>
      </c>
      <c r="J3004" s="58" t="inlineStr">
        <is>
          <t>Store</t>
        </is>
      </c>
      <c r="K3004" s="62">
        <f>F3004*(G3004-H3004)</f>
        <v/>
      </c>
      <c r="L3004" s="62">
        <f>K3004-(F3004*I3004)</f>
        <v/>
      </c>
      <c r="M3004" s="64">
        <f>L3004/K3004</f>
        <v/>
      </c>
    </row>
    <row r="3005">
      <c r="A3005" s="58" t="inlineStr">
        <is>
          <t>RT20250318-03004</t>
        </is>
      </c>
      <c r="B3005" s="59" t="inlineStr">
        <is>
          <t>2025-03-18</t>
        </is>
      </c>
      <c r="C3005" s="60" t="inlineStr">
        <is>
          <t>Metro Beverage Max-490</t>
        </is>
      </c>
      <c r="D3005" s="58" t="inlineStr">
        <is>
          <t>Grocery</t>
        </is>
      </c>
      <c r="E3005" s="58" t="inlineStr">
        <is>
          <t>North</t>
        </is>
      </c>
      <c r="F3005" s="61" t="n">
        <v>2</v>
      </c>
      <c r="G3005" s="62" t="n">
        <v>11.29</v>
      </c>
      <c r="H3005" s="63" t="n">
        <v>0.14</v>
      </c>
      <c r="I3005" s="62" t="n">
        <v>8.07</v>
      </c>
      <c r="J3005" s="58" t="inlineStr">
        <is>
          <t>Online</t>
        </is>
      </c>
      <c r="K3005" s="62">
        <f>F3005*(G3005-H3005)</f>
        <v/>
      </c>
      <c r="L3005" s="62">
        <f>K3005-(F3005*I3005)</f>
        <v/>
      </c>
      <c r="M3005" s="64">
        <f>L3005/K3005</f>
        <v/>
      </c>
    </row>
    <row r="3006">
      <c r="A3006" s="58" t="inlineStr">
        <is>
          <t>RT20250318-03005</t>
        </is>
      </c>
      <c r="B3006" s="59" t="inlineStr">
        <is>
          <t>2025-03-18</t>
        </is>
      </c>
      <c r="C3006" s="60" t="inlineStr">
        <is>
          <t>Solace Makeup Pro-214</t>
        </is>
      </c>
      <c r="D3006" s="58" t="inlineStr">
        <is>
          <t>Beauty</t>
        </is>
      </c>
      <c r="E3006" s="58" t="inlineStr">
        <is>
          <t>South</t>
        </is>
      </c>
      <c r="F3006" s="61" t="n">
        <v>4</v>
      </c>
      <c r="G3006" s="62" t="n">
        <v>104.6</v>
      </c>
      <c r="H3006" s="63" t="n">
        <v>0.099</v>
      </c>
      <c r="I3006" s="62" t="n">
        <v>68.69</v>
      </c>
      <c r="J3006" s="58" t="inlineStr">
        <is>
          <t>Online</t>
        </is>
      </c>
      <c r="K3006" s="62">
        <f>F3006*(G3006-H3006)</f>
        <v/>
      </c>
      <c r="L3006" s="62">
        <f>K3006-(F3006*I3006)</f>
        <v/>
      </c>
      <c r="M3006" s="64">
        <f>L3006/K3006</f>
        <v/>
      </c>
    </row>
    <row r="3007">
      <c r="A3007" s="58" t="inlineStr">
        <is>
          <t>RT20250318-03006</t>
        </is>
      </c>
      <c r="B3007" s="59" t="inlineStr">
        <is>
          <t>2025-03-18</t>
        </is>
      </c>
      <c r="C3007" s="60" t="inlineStr">
        <is>
          <t>Orion Kid Max-864</t>
        </is>
      </c>
      <c r="D3007" s="58" t="inlineStr">
        <is>
          <t>Apparel</t>
        </is>
      </c>
      <c r="E3007" s="58" t="inlineStr">
        <is>
          <t>West</t>
        </is>
      </c>
      <c r="F3007" s="61" t="n">
        <v>4</v>
      </c>
      <c r="G3007" s="62" t="n">
        <v>71.86</v>
      </c>
      <c r="H3007" s="63" t="n">
        <v>0.137</v>
      </c>
      <c r="I3007" s="62" t="n">
        <v>46.95</v>
      </c>
      <c r="J3007" s="58" t="inlineStr">
        <is>
          <t>Online</t>
        </is>
      </c>
      <c r="K3007" s="62">
        <f>F3007*(G3007-H3007)</f>
        <v/>
      </c>
      <c r="L3007" s="62">
        <f>K3007-(F3007*I3007)</f>
        <v/>
      </c>
      <c r="M3007" s="64">
        <f>L3007/K3007</f>
        <v/>
      </c>
    </row>
    <row r="3008">
      <c r="A3008" s="58" t="inlineStr">
        <is>
          <t>RT20250318-03007</t>
        </is>
      </c>
      <c r="B3008" s="59" t="inlineStr">
        <is>
          <t>2025-03-18</t>
        </is>
      </c>
      <c r="C3008" s="60" t="inlineStr">
        <is>
          <t>Nimbus Makeup Max-158</t>
        </is>
      </c>
      <c r="D3008" s="58" t="inlineStr">
        <is>
          <t>Beauty</t>
        </is>
      </c>
      <c r="E3008" s="58" t="inlineStr">
        <is>
          <t>South</t>
        </is>
      </c>
      <c r="F3008" s="61" t="n">
        <v>3</v>
      </c>
      <c r="G3008" s="62" t="n">
        <v>143.92</v>
      </c>
      <c r="H3008" s="63" t="n">
        <v>0.159</v>
      </c>
      <c r="I3008" s="62" t="n">
        <v>96.70999999999999</v>
      </c>
      <c r="J3008" s="58" t="inlineStr">
        <is>
          <t>Store</t>
        </is>
      </c>
      <c r="K3008" s="62">
        <f>F3008*(G3008-H3008)</f>
        <v/>
      </c>
      <c r="L3008" s="62">
        <f>K3008-(F3008*I3008)</f>
        <v/>
      </c>
      <c r="M3008" s="64">
        <f>L3008/K3008</f>
        <v/>
      </c>
    </row>
    <row r="3009">
      <c r="A3009" s="58" t="inlineStr">
        <is>
          <t>RT20250318-03008</t>
        </is>
      </c>
      <c r="B3009" s="59" t="inlineStr">
        <is>
          <t>2025-03-18</t>
        </is>
      </c>
      <c r="C3009" s="60" t="inlineStr">
        <is>
          <t>Solace Laptop S-367</t>
        </is>
      </c>
      <c r="D3009" s="58" t="inlineStr">
        <is>
          <t>Electronics</t>
        </is>
      </c>
      <c r="E3009" s="58" t="inlineStr">
        <is>
          <t>Central</t>
        </is>
      </c>
      <c r="F3009" s="61" t="n">
        <v>1</v>
      </c>
      <c r="G3009" s="62" t="n">
        <v>1936.2</v>
      </c>
      <c r="H3009" s="63" t="n">
        <v>0.067</v>
      </c>
      <c r="I3009" s="62" t="n">
        <v>1532.74</v>
      </c>
      <c r="J3009" s="58" t="inlineStr">
        <is>
          <t>Store</t>
        </is>
      </c>
      <c r="K3009" s="62">
        <f>F3009*(G3009-H3009)</f>
        <v/>
      </c>
      <c r="L3009" s="62">
        <f>K3009-(F3009*I3009)</f>
        <v/>
      </c>
      <c r="M3009" s="64">
        <f>L3009/K3009</f>
        <v/>
      </c>
    </row>
    <row r="3010">
      <c r="A3010" s="58" t="inlineStr">
        <is>
          <t>RT20250318-03009</t>
        </is>
      </c>
      <c r="B3010" s="59" t="inlineStr">
        <is>
          <t>2025-03-18</t>
        </is>
      </c>
      <c r="C3010" s="60" t="inlineStr">
        <is>
          <t>Orion Supplie S-612</t>
        </is>
      </c>
      <c r="D3010" s="58" t="inlineStr">
        <is>
          <t>Office</t>
        </is>
      </c>
      <c r="E3010" s="58" t="inlineStr">
        <is>
          <t>West</t>
        </is>
      </c>
      <c r="F3010" s="61" t="n">
        <v>1</v>
      </c>
      <c r="G3010" s="62" t="n">
        <v>476.48</v>
      </c>
      <c r="H3010" s="63" t="n">
        <v>0.1</v>
      </c>
      <c r="I3010" s="62" t="n">
        <v>334.51</v>
      </c>
      <c r="J3010" s="58" t="inlineStr">
        <is>
          <t>Store</t>
        </is>
      </c>
      <c r="K3010" s="62">
        <f>F3010*(G3010-H3010)</f>
        <v/>
      </c>
      <c r="L3010" s="62">
        <f>K3010-(F3010*I3010)</f>
        <v/>
      </c>
      <c r="M3010" s="64">
        <f>L3010/K3010</f>
        <v/>
      </c>
    </row>
    <row r="3011">
      <c r="A3011" s="58" t="inlineStr">
        <is>
          <t>RT20250318-03010</t>
        </is>
      </c>
      <c r="B3011" s="59" t="inlineStr">
        <is>
          <t>2025-03-18</t>
        </is>
      </c>
      <c r="C3011" s="60" t="inlineStr">
        <is>
          <t>Aurora Printer Plus-723</t>
        </is>
      </c>
      <c r="D3011" s="58" t="inlineStr">
        <is>
          <t>Office</t>
        </is>
      </c>
      <c r="E3011" s="58" t="inlineStr">
        <is>
          <t>South</t>
        </is>
      </c>
      <c r="F3011" s="61" t="n">
        <v>3</v>
      </c>
      <c r="G3011" s="62" t="n">
        <v>238.02</v>
      </c>
      <c r="H3011" s="63" t="n">
        <v>0.103</v>
      </c>
      <c r="I3011" s="62" t="n">
        <v>189.04</v>
      </c>
      <c r="J3011" s="58" t="inlineStr">
        <is>
          <t>Online</t>
        </is>
      </c>
      <c r="K3011" s="62">
        <f>F3011*(G3011-H3011)</f>
        <v/>
      </c>
      <c r="L3011" s="62">
        <f>K3011-(F3011*I3011)</f>
        <v/>
      </c>
      <c r="M3011" s="64">
        <f>L3011/K3011</f>
        <v/>
      </c>
    </row>
    <row r="3012">
      <c r="A3012" s="58" t="inlineStr">
        <is>
          <t>RT20250319-03011</t>
        </is>
      </c>
      <c r="B3012" s="59" t="inlineStr">
        <is>
          <t>2025-03-19</t>
        </is>
      </c>
      <c r="C3012" s="60" t="inlineStr">
        <is>
          <t>Falcon Kitchen X-130</t>
        </is>
      </c>
      <c r="D3012" s="58" t="inlineStr">
        <is>
          <t>Home</t>
        </is>
      </c>
      <c r="E3012" s="58" t="inlineStr">
        <is>
          <t>Central</t>
        </is>
      </c>
      <c r="F3012" s="61" t="n">
        <v>1</v>
      </c>
      <c r="G3012" s="62" t="n">
        <v>403.42</v>
      </c>
      <c r="H3012" s="63" t="n">
        <v>0.104</v>
      </c>
      <c r="I3012" s="62" t="n">
        <v>280.07</v>
      </c>
      <c r="J3012" s="58" t="inlineStr">
        <is>
          <t>Online</t>
        </is>
      </c>
      <c r="K3012" s="62">
        <f>F3012*(G3012-H3012)</f>
        <v/>
      </c>
      <c r="L3012" s="62">
        <f>K3012-(F3012*I3012)</f>
        <v/>
      </c>
      <c r="M3012" s="64">
        <f>L3012/K3012</f>
        <v/>
      </c>
    </row>
    <row r="3013">
      <c r="A3013" s="58" t="inlineStr">
        <is>
          <t>RT20250319-03012</t>
        </is>
      </c>
      <c r="B3013" s="59" t="inlineStr">
        <is>
          <t>2025-03-19</t>
        </is>
      </c>
      <c r="C3013" s="60" t="inlineStr">
        <is>
          <t>Polar Cycling S-223</t>
        </is>
      </c>
      <c r="D3013" s="58" t="inlineStr">
        <is>
          <t>Sports</t>
        </is>
      </c>
      <c r="E3013" s="58" t="inlineStr">
        <is>
          <t>Central</t>
        </is>
      </c>
      <c r="F3013" s="61" t="n">
        <v>2</v>
      </c>
      <c r="G3013" s="62" t="n">
        <v>996.55</v>
      </c>
      <c r="H3013" s="63" t="n">
        <v>0.13</v>
      </c>
      <c r="I3013" s="62" t="n">
        <v>613.03</v>
      </c>
      <c r="J3013" s="58" t="inlineStr">
        <is>
          <t>Store</t>
        </is>
      </c>
      <c r="K3013" s="62">
        <f>F3013*(G3013-H3013)</f>
        <v/>
      </c>
      <c r="L3013" s="62">
        <f>K3013-(F3013*I3013)</f>
        <v/>
      </c>
      <c r="M3013" s="64">
        <f>L3013/K3013</f>
        <v/>
      </c>
    </row>
    <row r="3014">
      <c r="A3014" s="58" t="inlineStr">
        <is>
          <t>RT20250319-03013</t>
        </is>
      </c>
      <c r="B3014" s="59" t="inlineStr">
        <is>
          <t>2025-03-19</t>
        </is>
      </c>
      <c r="C3014" s="60" t="inlineStr">
        <is>
          <t>Aurora Haircare S-975</t>
        </is>
      </c>
      <c r="D3014" s="58" t="inlineStr">
        <is>
          <t>Beauty</t>
        </is>
      </c>
      <c r="E3014" s="58" t="inlineStr">
        <is>
          <t>North</t>
        </is>
      </c>
      <c r="F3014" s="61" t="n">
        <v>1</v>
      </c>
      <c r="G3014" s="62" t="n">
        <v>91.11</v>
      </c>
      <c r="H3014" s="63" t="n">
        <v>0.104</v>
      </c>
      <c r="I3014" s="62" t="n">
        <v>58.04</v>
      </c>
      <c r="J3014" s="58" t="inlineStr">
        <is>
          <t>Online</t>
        </is>
      </c>
      <c r="K3014" s="62">
        <f>F3014*(G3014-H3014)</f>
        <v/>
      </c>
      <c r="L3014" s="62">
        <f>K3014-(F3014*I3014)</f>
        <v/>
      </c>
      <c r="M3014" s="64">
        <f>L3014/K3014</f>
        <v/>
      </c>
    </row>
    <row r="3015">
      <c r="A3015" s="58" t="inlineStr">
        <is>
          <t>RT20250319-03014</t>
        </is>
      </c>
      <c r="B3015" s="59" t="inlineStr">
        <is>
          <t>2025-03-19</t>
        </is>
      </c>
      <c r="C3015" s="60" t="inlineStr">
        <is>
          <t>Polar Wearable X-119</t>
        </is>
      </c>
      <c r="D3015" s="58" t="inlineStr">
        <is>
          <t>Electronics</t>
        </is>
      </c>
      <c r="E3015" s="58" t="inlineStr">
        <is>
          <t>West</t>
        </is>
      </c>
      <c r="F3015" s="61" t="n">
        <v>2</v>
      </c>
      <c r="G3015" s="62" t="n">
        <v>1610.37</v>
      </c>
      <c r="H3015" s="63" t="n">
        <v>0.107</v>
      </c>
      <c r="I3015" s="62" t="n">
        <v>1308.28</v>
      </c>
      <c r="J3015" s="58" t="inlineStr">
        <is>
          <t>Online</t>
        </is>
      </c>
      <c r="K3015" s="62">
        <f>F3015*(G3015-H3015)</f>
        <v/>
      </c>
      <c r="L3015" s="62">
        <f>K3015-(F3015*I3015)</f>
        <v/>
      </c>
      <c r="M3015" s="64">
        <f>L3015/K3015</f>
        <v/>
      </c>
    </row>
    <row r="3016">
      <c r="A3016" s="58" t="inlineStr">
        <is>
          <t>RT20250319-03015</t>
        </is>
      </c>
      <c r="B3016" s="59" t="inlineStr">
        <is>
          <t>2025-03-19</t>
        </is>
      </c>
      <c r="C3016" s="60" t="inlineStr">
        <is>
          <t>Polar Men Pro-246</t>
        </is>
      </c>
      <c r="D3016" s="58" t="inlineStr">
        <is>
          <t>Apparel</t>
        </is>
      </c>
      <c r="E3016" s="58" t="inlineStr">
        <is>
          <t>Central</t>
        </is>
      </c>
      <c r="F3016" s="61" t="n">
        <v>3</v>
      </c>
      <c r="G3016" s="62" t="n">
        <v>148.57</v>
      </c>
      <c r="H3016" s="63" t="n">
        <v>0.094</v>
      </c>
      <c r="I3016" s="62" t="n">
        <v>76.12</v>
      </c>
      <c r="J3016" s="58" t="inlineStr">
        <is>
          <t>Store</t>
        </is>
      </c>
      <c r="K3016" s="62">
        <f>F3016*(G3016-H3016)</f>
        <v/>
      </c>
      <c r="L3016" s="62">
        <f>K3016-(F3016*I3016)</f>
        <v/>
      </c>
      <c r="M3016" s="64">
        <f>L3016/K3016</f>
        <v/>
      </c>
    </row>
    <row r="3017">
      <c r="A3017" s="58" t="inlineStr">
        <is>
          <t>RT20250319-03016</t>
        </is>
      </c>
      <c r="B3017" s="59" t="inlineStr">
        <is>
          <t>2025-03-19</t>
        </is>
      </c>
      <c r="C3017" s="60" t="inlineStr">
        <is>
          <t>Falcon Accessorie S-195</t>
        </is>
      </c>
      <c r="D3017" s="58" t="inlineStr">
        <is>
          <t>Apparel</t>
        </is>
      </c>
      <c r="E3017" s="58" t="inlineStr">
        <is>
          <t>West</t>
        </is>
      </c>
      <c r="F3017" s="61" t="n">
        <v>2</v>
      </c>
      <c r="G3017" s="62" t="n">
        <v>78.53</v>
      </c>
      <c r="H3017" s="63" t="n">
        <v>0.09</v>
      </c>
      <c r="I3017" s="62" t="n">
        <v>41.25</v>
      </c>
      <c r="J3017" s="58" t="inlineStr">
        <is>
          <t>Store</t>
        </is>
      </c>
      <c r="K3017" s="62">
        <f>F3017*(G3017-H3017)</f>
        <v/>
      </c>
      <c r="L3017" s="62">
        <f>K3017-(F3017*I3017)</f>
        <v/>
      </c>
      <c r="M3017" s="64">
        <f>L3017/K3017</f>
        <v/>
      </c>
    </row>
    <row r="3018">
      <c r="A3018" s="58" t="inlineStr">
        <is>
          <t>RT20250319-03017</t>
        </is>
      </c>
      <c r="B3018" s="59" t="inlineStr">
        <is>
          <t>2025-03-19</t>
        </is>
      </c>
      <c r="C3018" s="60" t="inlineStr">
        <is>
          <t>Solace Fitnes S-324</t>
        </is>
      </c>
      <c r="D3018" s="58" t="inlineStr">
        <is>
          <t>Sports</t>
        </is>
      </c>
      <c r="E3018" s="58" t="inlineStr">
        <is>
          <t>North</t>
        </is>
      </c>
      <c r="F3018" s="61" t="n">
        <v>1</v>
      </c>
      <c r="G3018" s="62" t="n">
        <v>783.59</v>
      </c>
      <c r="H3018" s="63" t="n">
        <v>0.109</v>
      </c>
      <c r="I3018" s="62" t="n">
        <v>535.8200000000001</v>
      </c>
      <c r="J3018" s="58" t="inlineStr">
        <is>
          <t>Store</t>
        </is>
      </c>
      <c r="K3018" s="62">
        <f>F3018*(G3018-H3018)</f>
        <v/>
      </c>
      <c r="L3018" s="62">
        <f>K3018-(F3018*I3018)</f>
        <v/>
      </c>
      <c r="M3018" s="64">
        <f>L3018/K3018</f>
        <v/>
      </c>
    </row>
    <row r="3019">
      <c r="A3019" s="58" t="inlineStr">
        <is>
          <t>RT20250319-03018</t>
        </is>
      </c>
      <c r="B3019" s="59" t="inlineStr">
        <is>
          <t>2025-03-19</t>
        </is>
      </c>
      <c r="C3019" s="60" t="inlineStr">
        <is>
          <t>Solace Smartphone Lite-533</t>
        </is>
      </c>
      <c r="D3019" s="58" t="inlineStr">
        <is>
          <t>Electronics</t>
        </is>
      </c>
      <c r="E3019" s="58" t="inlineStr">
        <is>
          <t>North</t>
        </is>
      </c>
      <c r="F3019" s="61" t="n">
        <v>2</v>
      </c>
      <c r="G3019" s="62" t="n">
        <v>1109.93</v>
      </c>
      <c r="H3019" s="63" t="n">
        <v>0.08</v>
      </c>
      <c r="I3019" s="62" t="n">
        <v>940.48</v>
      </c>
      <c r="J3019" s="58" t="inlineStr">
        <is>
          <t>Store</t>
        </is>
      </c>
      <c r="K3019" s="62">
        <f>F3019*(G3019-H3019)</f>
        <v/>
      </c>
      <c r="L3019" s="62">
        <f>K3019-(F3019*I3019)</f>
        <v/>
      </c>
      <c r="M3019" s="64">
        <f>L3019/K3019</f>
        <v/>
      </c>
    </row>
    <row r="3020">
      <c r="A3020" s="58" t="inlineStr">
        <is>
          <t>RT20250319-03019</t>
        </is>
      </c>
      <c r="B3020" s="59" t="inlineStr">
        <is>
          <t>2025-03-19</t>
        </is>
      </c>
      <c r="C3020" s="60" t="inlineStr">
        <is>
          <t>Polar Bedding Lite-243</t>
        </is>
      </c>
      <c r="D3020" s="58" t="inlineStr">
        <is>
          <t>Home</t>
        </is>
      </c>
      <c r="E3020" s="58" t="inlineStr">
        <is>
          <t>East</t>
        </is>
      </c>
      <c r="F3020" s="61" t="n">
        <v>1</v>
      </c>
      <c r="G3020" s="62" t="n">
        <v>496.83</v>
      </c>
      <c r="H3020" s="63" t="n">
        <v>0.065</v>
      </c>
      <c r="I3020" s="62" t="n">
        <v>310.13</v>
      </c>
      <c r="J3020" s="58" t="inlineStr">
        <is>
          <t>Online</t>
        </is>
      </c>
      <c r="K3020" s="62">
        <f>F3020*(G3020-H3020)</f>
        <v/>
      </c>
      <c r="L3020" s="62">
        <f>K3020-(F3020*I3020)</f>
        <v/>
      </c>
      <c r="M3020" s="64">
        <f>L3020/K3020</f>
        <v/>
      </c>
    </row>
    <row r="3021">
      <c r="A3021" s="58" t="inlineStr">
        <is>
          <t>RT20250319-03020</t>
        </is>
      </c>
      <c r="B3021" s="59" t="inlineStr">
        <is>
          <t>2025-03-19</t>
        </is>
      </c>
      <c r="C3021" s="60" t="inlineStr">
        <is>
          <t>Falcon Cycling Pro-499</t>
        </is>
      </c>
      <c r="D3021" s="58" t="inlineStr">
        <is>
          <t>Sports</t>
        </is>
      </c>
      <c r="E3021" s="58" t="inlineStr">
        <is>
          <t>East</t>
        </is>
      </c>
      <c r="F3021" s="61" t="n">
        <v>3</v>
      </c>
      <c r="G3021" s="62" t="n">
        <v>595.98</v>
      </c>
      <c r="H3021" s="63" t="n">
        <v>0.095</v>
      </c>
      <c r="I3021" s="62" t="n">
        <v>399.16</v>
      </c>
      <c r="J3021" s="58" t="inlineStr">
        <is>
          <t>Online</t>
        </is>
      </c>
      <c r="K3021" s="62">
        <f>F3021*(G3021-H3021)</f>
        <v/>
      </c>
      <c r="L3021" s="62">
        <f>K3021-(F3021*I3021)</f>
        <v/>
      </c>
      <c r="M3021" s="64">
        <f>L3021/K3021</f>
        <v/>
      </c>
    </row>
    <row r="3022">
      <c r="A3022" s="58" t="inlineStr">
        <is>
          <t>RT20250319-03021</t>
        </is>
      </c>
      <c r="B3022" s="59" t="inlineStr">
        <is>
          <t>2025-03-19</t>
        </is>
      </c>
      <c r="C3022" s="60" t="inlineStr">
        <is>
          <t>Nimbus Men Plus-231</t>
        </is>
      </c>
      <c r="D3022" s="58" t="inlineStr">
        <is>
          <t>Apparel</t>
        </is>
      </c>
      <c r="E3022" s="58" t="inlineStr">
        <is>
          <t>West</t>
        </is>
      </c>
      <c r="F3022" s="61" t="n">
        <v>2</v>
      </c>
      <c r="G3022" s="62" t="n">
        <v>157.58</v>
      </c>
      <c r="H3022" s="63" t="n">
        <v>0.111</v>
      </c>
      <c r="I3022" s="62" t="n">
        <v>91.39</v>
      </c>
      <c r="J3022" s="58" t="inlineStr">
        <is>
          <t>Store</t>
        </is>
      </c>
      <c r="K3022" s="62">
        <f>F3022*(G3022-H3022)</f>
        <v/>
      </c>
      <c r="L3022" s="62">
        <f>K3022-(F3022*I3022)</f>
        <v/>
      </c>
      <c r="M3022" s="64">
        <f>L3022/K3022</f>
        <v/>
      </c>
    </row>
    <row r="3023">
      <c r="A3023" s="58" t="inlineStr">
        <is>
          <t>RT20250319-03022</t>
        </is>
      </c>
      <c r="B3023" s="59" t="inlineStr">
        <is>
          <t>2025-03-19</t>
        </is>
      </c>
      <c r="C3023" s="60" t="inlineStr">
        <is>
          <t>Metro Fragrance Lite-261</t>
        </is>
      </c>
      <c r="D3023" s="58" t="inlineStr">
        <is>
          <t>Beauty</t>
        </is>
      </c>
      <c r="E3023" s="58" t="inlineStr">
        <is>
          <t>East</t>
        </is>
      </c>
      <c r="F3023" s="61" t="n">
        <v>2</v>
      </c>
      <c r="G3023" s="62" t="n">
        <v>86.56999999999999</v>
      </c>
      <c r="H3023" s="63" t="n">
        <v>0.115</v>
      </c>
      <c r="I3023" s="62" t="n">
        <v>56.64</v>
      </c>
      <c r="J3023" s="58" t="inlineStr">
        <is>
          <t>Online</t>
        </is>
      </c>
      <c r="K3023" s="62">
        <f>F3023*(G3023-H3023)</f>
        <v/>
      </c>
      <c r="L3023" s="62">
        <f>K3023-(F3023*I3023)</f>
        <v/>
      </c>
      <c r="M3023" s="64">
        <f>L3023/K3023</f>
        <v/>
      </c>
    </row>
    <row r="3024">
      <c r="A3024" s="58" t="inlineStr">
        <is>
          <t>RT20250319-03023</t>
        </is>
      </c>
      <c r="B3024" s="59" t="inlineStr">
        <is>
          <t>2025-03-19</t>
        </is>
      </c>
      <c r="C3024" s="60" t="inlineStr">
        <is>
          <t>Metro Accessorie Lite-697</t>
        </is>
      </c>
      <c r="D3024" s="58" t="inlineStr">
        <is>
          <t>Apparel</t>
        </is>
      </c>
      <c r="E3024" s="58" t="inlineStr">
        <is>
          <t>Central</t>
        </is>
      </c>
      <c r="F3024" s="61" t="n">
        <v>1</v>
      </c>
      <c r="G3024" s="62" t="n">
        <v>124.53</v>
      </c>
      <c r="H3024" s="63" t="n">
        <v>0.133</v>
      </c>
      <c r="I3024" s="62" t="n">
        <v>76.89</v>
      </c>
      <c r="J3024" s="58" t="inlineStr">
        <is>
          <t>Online</t>
        </is>
      </c>
      <c r="K3024" s="62">
        <f>F3024*(G3024-H3024)</f>
        <v/>
      </c>
      <c r="L3024" s="62">
        <f>K3024-(F3024*I3024)</f>
        <v/>
      </c>
      <c r="M3024" s="64">
        <f>L3024/K3024</f>
        <v/>
      </c>
    </row>
    <row r="3025">
      <c r="A3025" s="58" t="inlineStr">
        <is>
          <t>RT20250319-03024</t>
        </is>
      </c>
      <c r="B3025" s="59" t="inlineStr">
        <is>
          <t>2025-03-19</t>
        </is>
      </c>
      <c r="C3025" s="60" t="inlineStr">
        <is>
          <t>Falcon Skincare Max-151</t>
        </is>
      </c>
      <c r="D3025" s="58" t="inlineStr">
        <is>
          <t>Beauty</t>
        </is>
      </c>
      <c r="E3025" s="58" t="inlineStr">
        <is>
          <t>Central</t>
        </is>
      </c>
      <c r="F3025" s="61" t="n">
        <v>5</v>
      </c>
      <c r="G3025" s="62" t="n">
        <v>99.13</v>
      </c>
      <c r="H3025" s="63" t="n">
        <v>0.019</v>
      </c>
      <c r="I3025" s="62" t="n">
        <v>59.04</v>
      </c>
      <c r="J3025" s="58" t="inlineStr">
        <is>
          <t>Online</t>
        </is>
      </c>
      <c r="K3025" s="62">
        <f>F3025*(G3025-H3025)</f>
        <v/>
      </c>
      <c r="L3025" s="62">
        <f>K3025-(F3025*I3025)</f>
        <v/>
      </c>
      <c r="M3025" s="64">
        <f>L3025/K3025</f>
        <v/>
      </c>
    </row>
    <row r="3026">
      <c r="A3026" s="58" t="inlineStr">
        <is>
          <t>RT20250319-03025</t>
        </is>
      </c>
      <c r="B3026" s="59" t="inlineStr">
        <is>
          <t>2025-03-19</t>
        </is>
      </c>
      <c r="C3026" s="60" t="inlineStr">
        <is>
          <t>Nimbus Decor Lite-385</t>
        </is>
      </c>
      <c r="D3026" s="58" t="inlineStr">
        <is>
          <t>Home</t>
        </is>
      </c>
      <c r="E3026" s="58" t="inlineStr">
        <is>
          <t>East</t>
        </is>
      </c>
      <c r="F3026" s="61" t="n">
        <v>2</v>
      </c>
      <c r="G3026" s="62" t="n">
        <v>616.05</v>
      </c>
      <c r="H3026" s="63" t="n">
        <v>0.129</v>
      </c>
      <c r="I3026" s="62" t="n">
        <v>398.77</v>
      </c>
      <c r="J3026" s="58" t="inlineStr">
        <is>
          <t>Online</t>
        </is>
      </c>
      <c r="K3026" s="62">
        <f>F3026*(G3026-H3026)</f>
        <v/>
      </c>
      <c r="L3026" s="62">
        <f>K3026-(F3026*I3026)</f>
        <v/>
      </c>
      <c r="M3026" s="64">
        <f>L3026/K3026</f>
        <v/>
      </c>
    </row>
    <row r="3027">
      <c r="A3027" s="58" t="inlineStr">
        <is>
          <t>RT20250319-03026</t>
        </is>
      </c>
      <c r="B3027" s="59" t="inlineStr">
        <is>
          <t>2025-03-19</t>
        </is>
      </c>
      <c r="C3027" s="60" t="inlineStr">
        <is>
          <t>Metro Pantry Max-180</t>
        </is>
      </c>
      <c r="D3027" s="58" t="inlineStr">
        <is>
          <t>Grocery</t>
        </is>
      </c>
      <c r="E3027" s="58" t="inlineStr">
        <is>
          <t>North</t>
        </is>
      </c>
      <c r="F3027" s="61" t="n">
        <v>8</v>
      </c>
      <c r="G3027" s="62" t="n">
        <v>9.56</v>
      </c>
      <c r="H3027" s="63" t="n">
        <v>0.119</v>
      </c>
      <c r="I3027" s="62" t="n">
        <v>6.58</v>
      </c>
      <c r="J3027" s="58" t="inlineStr">
        <is>
          <t>Online</t>
        </is>
      </c>
      <c r="K3027" s="62">
        <f>F3027*(G3027-H3027)</f>
        <v/>
      </c>
      <c r="L3027" s="62">
        <f>K3027-(F3027*I3027)</f>
        <v/>
      </c>
      <c r="M3027" s="64">
        <f>L3027/K3027</f>
        <v/>
      </c>
    </row>
    <row r="3028">
      <c r="A3028" s="58" t="inlineStr">
        <is>
          <t>RT20250319-03027</t>
        </is>
      </c>
      <c r="B3028" s="59" t="inlineStr">
        <is>
          <t>2025-03-19</t>
        </is>
      </c>
      <c r="C3028" s="60" t="inlineStr">
        <is>
          <t>Nimbus Men Plus-231</t>
        </is>
      </c>
      <c r="D3028" s="58" t="inlineStr">
        <is>
          <t>Apparel</t>
        </is>
      </c>
      <c r="E3028" s="58" t="inlineStr">
        <is>
          <t>West</t>
        </is>
      </c>
      <c r="F3028" s="61" t="n">
        <v>2</v>
      </c>
      <c r="G3028" s="62" t="n">
        <v>162.4</v>
      </c>
      <c r="H3028" s="63" t="n">
        <v>0.063</v>
      </c>
      <c r="I3028" s="62" t="n">
        <v>89.67</v>
      </c>
      <c r="J3028" s="58" t="inlineStr">
        <is>
          <t>Online</t>
        </is>
      </c>
      <c r="K3028" s="62">
        <f>F3028*(G3028-H3028)</f>
        <v/>
      </c>
      <c r="L3028" s="62">
        <f>K3028-(F3028*I3028)</f>
        <v/>
      </c>
      <c r="M3028" s="64">
        <f>L3028/K3028</f>
        <v/>
      </c>
    </row>
    <row r="3029">
      <c r="A3029" s="58" t="inlineStr">
        <is>
          <t>RT20250319-03028</t>
        </is>
      </c>
      <c r="B3029" s="59" t="inlineStr">
        <is>
          <t>2025-03-19</t>
        </is>
      </c>
      <c r="C3029" s="60" t="inlineStr">
        <is>
          <t>Metro Pantry X-710</t>
        </is>
      </c>
      <c r="D3029" s="58" t="inlineStr">
        <is>
          <t>Grocery</t>
        </is>
      </c>
      <c r="E3029" s="58" t="inlineStr">
        <is>
          <t>West</t>
        </is>
      </c>
      <c r="F3029" s="61" t="n">
        <v>5</v>
      </c>
      <c r="G3029" s="62" t="n">
        <v>5.28</v>
      </c>
      <c r="H3029" s="63" t="n">
        <v>0.127</v>
      </c>
      <c r="I3029" s="62" t="n">
        <v>4.21</v>
      </c>
      <c r="J3029" s="58" t="inlineStr">
        <is>
          <t>Store</t>
        </is>
      </c>
      <c r="K3029" s="62">
        <f>F3029*(G3029-H3029)</f>
        <v/>
      </c>
      <c r="L3029" s="62">
        <f>K3029-(F3029*I3029)</f>
        <v/>
      </c>
      <c r="M3029" s="64">
        <f>L3029/K3029</f>
        <v/>
      </c>
    </row>
    <row r="3030">
      <c r="A3030" s="58" t="inlineStr">
        <is>
          <t>RT20250319-03029</t>
        </is>
      </c>
      <c r="B3030" s="59" t="inlineStr">
        <is>
          <t>2025-03-19</t>
        </is>
      </c>
      <c r="C3030" s="60" t="inlineStr">
        <is>
          <t>Vertex Appliance Max-338</t>
        </is>
      </c>
      <c r="D3030" s="58" t="inlineStr">
        <is>
          <t>Home</t>
        </is>
      </c>
      <c r="E3030" s="58" t="inlineStr">
        <is>
          <t>South</t>
        </is>
      </c>
      <c r="F3030" s="61" t="n">
        <v>2</v>
      </c>
      <c r="G3030" s="62" t="n">
        <v>426.83</v>
      </c>
      <c r="H3030" s="63" t="n">
        <v>0.035</v>
      </c>
      <c r="I3030" s="62" t="n">
        <v>286.87</v>
      </c>
      <c r="J3030" s="58" t="inlineStr">
        <is>
          <t>Online</t>
        </is>
      </c>
      <c r="K3030" s="62">
        <f>F3030*(G3030-H3030)</f>
        <v/>
      </c>
      <c r="L3030" s="62">
        <f>K3030-(F3030*I3030)</f>
        <v/>
      </c>
      <c r="M3030" s="64">
        <f>L3030/K3030</f>
        <v/>
      </c>
    </row>
    <row r="3031">
      <c r="A3031" s="58" t="inlineStr">
        <is>
          <t>RT20250319-03030</t>
        </is>
      </c>
      <c r="B3031" s="59" t="inlineStr">
        <is>
          <t>2025-03-19</t>
        </is>
      </c>
      <c r="C3031" s="60" t="inlineStr">
        <is>
          <t>Metro Outdoor Plus-787</t>
        </is>
      </c>
      <c r="D3031" s="58" t="inlineStr">
        <is>
          <t>Sports</t>
        </is>
      </c>
      <c r="E3031" s="58" t="inlineStr">
        <is>
          <t>North</t>
        </is>
      </c>
      <c r="F3031" s="61" t="n">
        <v>3</v>
      </c>
      <c r="G3031" s="62" t="n">
        <v>515.74</v>
      </c>
      <c r="H3031" s="63" t="n">
        <v>0.089</v>
      </c>
      <c r="I3031" s="62" t="n">
        <v>346.06</v>
      </c>
      <c r="J3031" s="58" t="inlineStr">
        <is>
          <t>Store</t>
        </is>
      </c>
      <c r="K3031" s="62">
        <f>F3031*(G3031-H3031)</f>
        <v/>
      </c>
      <c r="L3031" s="62">
        <f>K3031-(F3031*I3031)</f>
        <v/>
      </c>
      <c r="M3031" s="64">
        <f>L3031/K3031</f>
        <v/>
      </c>
    </row>
    <row r="3032">
      <c r="A3032" s="58" t="inlineStr">
        <is>
          <t>RT20250319-03031</t>
        </is>
      </c>
      <c r="B3032" s="59" t="inlineStr">
        <is>
          <t>2025-03-19</t>
        </is>
      </c>
      <c r="C3032" s="60" t="inlineStr">
        <is>
          <t>Aurora Bedding Plus-187</t>
        </is>
      </c>
      <c r="D3032" s="58" t="inlineStr">
        <is>
          <t>Home</t>
        </is>
      </c>
      <c r="E3032" s="58" t="inlineStr">
        <is>
          <t>East</t>
        </is>
      </c>
      <c r="F3032" s="61" t="n">
        <v>2</v>
      </c>
      <c r="G3032" s="62" t="n">
        <v>278.98</v>
      </c>
      <c r="H3032" s="63" t="n">
        <v>0.161</v>
      </c>
      <c r="I3032" s="62" t="n">
        <v>209.01</v>
      </c>
      <c r="J3032" s="58" t="inlineStr">
        <is>
          <t>Store</t>
        </is>
      </c>
      <c r="K3032" s="62">
        <f>F3032*(G3032-H3032)</f>
        <v/>
      </c>
      <c r="L3032" s="62">
        <f>K3032-(F3032*I3032)</f>
        <v/>
      </c>
      <c r="M3032" s="64">
        <f>L3032/K3032</f>
        <v/>
      </c>
    </row>
    <row r="3033">
      <c r="A3033" s="58" t="inlineStr">
        <is>
          <t>RT20250319-03032</t>
        </is>
      </c>
      <c r="B3033" s="59" t="inlineStr">
        <is>
          <t>2025-03-19</t>
        </is>
      </c>
      <c r="C3033" s="60" t="inlineStr">
        <is>
          <t>Falcon Headphone Plus-789</t>
        </is>
      </c>
      <c r="D3033" s="58" t="inlineStr">
        <is>
          <t>Electronics</t>
        </is>
      </c>
      <c r="E3033" s="58" t="inlineStr">
        <is>
          <t>Central</t>
        </is>
      </c>
      <c r="F3033" s="61" t="n">
        <v>2</v>
      </c>
      <c r="G3033" s="62" t="n">
        <v>1538.54</v>
      </c>
      <c r="H3033" s="63" t="n">
        <v>0.031</v>
      </c>
      <c r="I3033" s="62" t="n">
        <v>1292.06</v>
      </c>
      <c r="J3033" s="58" t="inlineStr">
        <is>
          <t>Online</t>
        </is>
      </c>
      <c r="K3033" s="62">
        <f>F3033*(G3033-H3033)</f>
        <v/>
      </c>
      <c r="L3033" s="62">
        <f>K3033-(F3033*I3033)</f>
        <v/>
      </c>
      <c r="M3033" s="64">
        <f>L3033/K3033</f>
        <v/>
      </c>
    </row>
    <row r="3034">
      <c r="A3034" s="58" t="inlineStr">
        <is>
          <t>RT20250319-03033</t>
        </is>
      </c>
      <c r="B3034" s="59" t="inlineStr">
        <is>
          <t>2025-03-19</t>
        </is>
      </c>
      <c r="C3034" s="60" t="inlineStr">
        <is>
          <t>Aurora Kid Plus-151</t>
        </is>
      </c>
      <c r="D3034" s="58" t="inlineStr">
        <is>
          <t>Apparel</t>
        </is>
      </c>
      <c r="E3034" s="58" t="inlineStr">
        <is>
          <t>West</t>
        </is>
      </c>
      <c r="F3034" s="61" t="n">
        <v>3</v>
      </c>
      <c r="G3034" s="62" t="n">
        <v>103.76</v>
      </c>
      <c r="H3034" s="63" t="n">
        <v>0.133</v>
      </c>
      <c r="I3034" s="62" t="n">
        <v>65.77</v>
      </c>
      <c r="J3034" s="58" t="inlineStr">
        <is>
          <t>Store</t>
        </is>
      </c>
      <c r="K3034" s="62">
        <f>F3034*(G3034-H3034)</f>
        <v/>
      </c>
      <c r="L3034" s="62">
        <f>K3034-(F3034*I3034)</f>
        <v/>
      </c>
      <c r="M3034" s="64">
        <f>L3034/K3034</f>
        <v/>
      </c>
    </row>
    <row r="3035">
      <c r="A3035" s="58" t="inlineStr">
        <is>
          <t>RT20250319-03034</t>
        </is>
      </c>
      <c r="B3035" s="59" t="inlineStr">
        <is>
          <t>2025-03-19</t>
        </is>
      </c>
      <c r="C3035" s="60" t="inlineStr">
        <is>
          <t>Polar Supplie Lite-348</t>
        </is>
      </c>
      <c r="D3035" s="58" t="inlineStr">
        <is>
          <t>Office</t>
        </is>
      </c>
      <c r="E3035" s="58" t="inlineStr">
        <is>
          <t>North</t>
        </is>
      </c>
      <c r="F3035" s="61" t="n">
        <v>3</v>
      </c>
      <c r="G3035" s="62" t="n">
        <v>461.56</v>
      </c>
      <c r="H3035" s="63" t="n">
        <v>0.111</v>
      </c>
      <c r="I3035" s="62" t="n">
        <v>317.19</v>
      </c>
      <c r="J3035" s="58" t="inlineStr">
        <is>
          <t>Store</t>
        </is>
      </c>
      <c r="K3035" s="62">
        <f>F3035*(G3035-H3035)</f>
        <v/>
      </c>
      <c r="L3035" s="62">
        <f>K3035-(F3035*I3035)</f>
        <v/>
      </c>
      <c r="M3035" s="64">
        <f>L3035/K3035</f>
        <v/>
      </c>
    </row>
    <row r="3036">
      <c r="A3036" s="58" t="inlineStr">
        <is>
          <t>RT20250319-03035</t>
        </is>
      </c>
      <c r="B3036" s="59" t="inlineStr">
        <is>
          <t>2025-03-19</t>
        </is>
      </c>
      <c r="C3036" s="60" t="inlineStr">
        <is>
          <t>Vertex Supplie X-513</t>
        </is>
      </c>
      <c r="D3036" s="58" t="inlineStr">
        <is>
          <t>Office</t>
        </is>
      </c>
      <c r="E3036" s="58" t="inlineStr">
        <is>
          <t>Central</t>
        </is>
      </c>
      <c r="F3036" s="61" t="n">
        <v>1</v>
      </c>
      <c r="G3036" s="62" t="n">
        <v>373.82</v>
      </c>
      <c r="H3036" s="63" t="n">
        <v>0.128</v>
      </c>
      <c r="I3036" s="62" t="n">
        <v>281.71</v>
      </c>
      <c r="J3036" s="58" t="inlineStr">
        <is>
          <t>Online</t>
        </is>
      </c>
      <c r="K3036" s="62">
        <f>F3036*(G3036-H3036)</f>
        <v/>
      </c>
      <c r="L3036" s="62">
        <f>K3036-(F3036*I3036)</f>
        <v/>
      </c>
      <c r="M3036" s="64">
        <f>L3036/K3036</f>
        <v/>
      </c>
    </row>
    <row r="3037">
      <c r="A3037" s="58" t="inlineStr">
        <is>
          <t>RT20250319-03036</t>
        </is>
      </c>
      <c r="B3037" s="59" t="inlineStr">
        <is>
          <t>2025-03-19</t>
        </is>
      </c>
      <c r="C3037" s="60" t="inlineStr">
        <is>
          <t>Metro Decor Lite-325</t>
        </is>
      </c>
      <c r="D3037" s="58" t="inlineStr">
        <is>
          <t>Home</t>
        </is>
      </c>
      <c r="E3037" s="58" t="inlineStr">
        <is>
          <t>East</t>
        </is>
      </c>
      <c r="F3037" s="61" t="n">
        <v>3</v>
      </c>
      <c r="G3037" s="62" t="n">
        <v>501.79</v>
      </c>
      <c r="H3037" s="63" t="n">
        <v>0.102</v>
      </c>
      <c r="I3037" s="62" t="n">
        <v>385.43</v>
      </c>
      <c r="J3037" s="58" t="inlineStr">
        <is>
          <t>Online</t>
        </is>
      </c>
      <c r="K3037" s="62">
        <f>F3037*(G3037-H3037)</f>
        <v/>
      </c>
      <c r="L3037" s="62">
        <f>K3037-(F3037*I3037)</f>
        <v/>
      </c>
      <c r="M3037" s="64">
        <f>L3037/K3037</f>
        <v/>
      </c>
    </row>
    <row r="3038">
      <c r="A3038" s="58" t="inlineStr">
        <is>
          <t>RT20250319-03037</t>
        </is>
      </c>
      <c r="B3038" s="59" t="inlineStr">
        <is>
          <t>2025-03-19</t>
        </is>
      </c>
      <c r="C3038" s="60" t="inlineStr">
        <is>
          <t>Falcon Skincare X-334</t>
        </is>
      </c>
      <c r="D3038" s="58" t="inlineStr">
        <is>
          <t>Beauty</t>
        </is>
      </c>
      <c r="E3038" s="58" t="inlineStr">
        <is>
          <t>East</t>
        </is>
      </c>
      <c r="F3038" s="61" t="n">
        <v>3</v>
      </c>
      <c r="G3038" s="62" t="n">
        <v>113.52</v>
      </c>
      <c r="H3038" s="63" t="n">
        <v>0.093</v>
      </c>
      <c r="I3038" s="62" t="n">
        <v>65.29000000000001</v>
      </c>
      <c r="J3038" s="58" t="inlineStr">
        <is>
          <t>Phone</t>
        </is>
      </c>
      <c r="K3038" s="62">
        <f>F3038*(G3038-H3038)</f>
        <v/>
      </c>
      <c r="L3038" s="62">
        <f>K3038-(F3038*I3038)</f>
        <v/>
      </c>
      <c r="M3038" s="64">
        <f>L3038/K3038</f>
        <v/>
      </c>
    </row>
    <row r="3039">
      <c r="A3039" s="58" t="inlineStr">
        <is>
          <t>RT20250319-03038</t>
        </is>
      </c>
      <c r="B3039" s="59" t="inlineStr">
        <is>
          <t>2025-03-19</t>
        </is>
      </c>
      <c r="C3039" s="60" t="inlineStr">
        <is>
          <t>Vertex Smartphone Pro-256</t>
        </is>
      </c>
      <c r="D3039" s="58" t="inlineStr">
        <is>
          <t>Electronics</t>
        </is>
      </c>
      <c r="E3039" s="58" t="inlineStr">
        <is>
          <t>South</t>
        </is>
      </c>
      <c r="F3039" s="61" t="n">
        <v>2</v>
      </c>
      <c r="G3039" s="62" t="n">
        <v>1262.15</v>
      </c>
      <c r="H3039" s="63" t="n">
        <v>0.104</v>
      </c>
      <c r="I3039" s="62" t="n">
        <v>903.65</v>
      </c>
      <c r="J3039" s="58" t="inlineStr">
        <is>
          <t>Store</t>
        </is>
      </c>
      <c r="K3039" s="62">
        <f>F3039*(G3039-H3039)</f>
        <v/>
      </c>
      <c r="L3039" s="62">
        <f>K3039-(F3039*I3039)</f>
        <v/>
      </c>
      <c r="M3039" s="64">
        <f>L3039/K3039</f>
        <v/>
      </c>
    </row>
    <row r="3040">
      <c r="A3040" s="58" t="inlineStr">
        <is>
          <t>RT20250319-03039</t>
        </is>
      </c>
      <c r="B3040" s="59" t="inlineStr">
        <is>
          <t>2025-03-19</t>
        </is>
      </c>
      <c r="C3040" s="60" t="inlineStr">
        <is>
          <t>Solace Kid S-384</t>
        </is>
      </c>
      <c r="D3040" s="58" t="inlineStr">
        <is>
          <t>Apparel</t>
        </is>
      </c>
      <c r="E3040" s="58" t="inlineStr">
        <is>
          <t>West</t>
        </is>
      </c>
      <c r="F3040" s="61" t="n">
        <v>3</v>
      </c>
      <c r="G3040" s="62" t="n">
        <v>105.6</v>
      </c>
      <c r="H3040" s="63" t="n">
        <v>0.119</v>
      </c>
      <c r="I3040" s="62" t="n">
        <v>64.62</v>
      </c>
      <c r="J3040" s="58" t="inlineStr">
        <is>
          <t>Store</t>
        </is>
      </c>
      <c r="K3040" s="62">
        <f>F3040*(G3040-H3040)</f>
        <v/>
      </c>
      <c r="L3040" s="62">
        <f>K3040-(F3040*I3040)</f>
        <v/>
      </c>
      <c r="M3040" s="64">
        <f>L3040/K3040</f>
        <v/>
      </c>
    </row>
    <row r="3041">
      <c r="A3041" s="58" t="inlineStr">
        <is>
          <t>RT20250319-03040</t>
        </is>
      </c>
      <c r="B3041" s="59" t="inlineStr">
        <is>
          <t>2025-03-19</t>
        </is>
      </c>
      <c r="C3041" s="60" t="inlineStr">
        <is>
          <t>Nimbus Men Plus-231</t>
        </is>
      </c>
      <c r="D3041" s="58" t="inlineStr">
        <is>
          <t>Apparel</t>
        </is>
      </c>
      <c r="E3041" s="58" t="inlineStr">
        <is>
          <t>North</t>
        </is>
      </c>
      <c r="F3041" s="61" t="n">
        <v>1</v>
      </c>
      <c r="G3041" s="62" t="n">
        <v>163.68</v>
      </c>
      <c r="H3041" s="63" t="n">
        <v>0.08699999999999999</v>
      </c>
      <c r="I3041" s="62" t="n">
        <v>91.68000000000001</v>
      </c>
      <c r="J3041" s="58" t="inlineStr">
        <is>
          <t>Online</t>
        </is>
      </c>
      <c r="K3041" s="62">
        <f>F3041*(G3041-H3041)</f>
        <v/>
      </c>
      <c r="L3041" s="62">
        <f>K3041-(F3041*I3041)</f>
        <v/>
      </c>
      <c r="M3041" s="64">
        <f>L3041/K3041</f>
        <v/>
      </c>
    </row>
    <row r="3042">
      <c r="A3042" s="58" t="inlineStr">
        <is>
          <t>RT20250319-03041</t>
        </is>
      </c>
      <c r="B3042" s="59" t="inlineStr">
        <is>
          <t>2025-03-19</t>
        </is>
      </c>
      <c r="C3042" s="60" t="inlineStr">
        <is>
          <t>Metro Pantry Max-180</t>
        </is>
      </c>
      <c r="D3042" s="58" t="inlineStr">
        <is>
          <t>Grocery</t>
        </is>
      </c>
      <c r="E3042" s="58" t="inlineStr">
        <is>
          <t>South</t>
        </is>
      </c>
      <c r="F3042" s="61" t="n">
        <v>3</v>
      </c>
      <c r="G3042" s="62" t="n">
        <v>9.02</v>
      </c>
      <c r="H3042" s="63" t="n">
        <v>0.019</v>
      </c>
      <c r="I3042" s="62" t="n">
        <v>6.74</v>
      </c>
      <c r="J3042" s="58" t="inlineStr">
        <is>
          <t>Online</t>
        </is>
      </c>
      <c r="K3042" s="62">
        <f>F3042*(G3042-H3042)</f>
        <v/>
      </c>
      <c r="L3042" s="62">
        <f>K3042-(F3042*I3042)</f>
        <v/>
      </c>
      <c r="M3042" s="64">
        <f>L3042/K3042</f>
        <v/>
      </c>
    </row>
    <row r="3043">
      <c r="A3043" s="58" t="inlineStr">
        <is>
          <t>RT20250319-03042</t>
        </is>
      </c>
      <c r="B3043" s="59" t="inlineStr">
        <is>
          <t>2025-03-19</t>
        </is>
      </c>
      <c r="C3043" s="60" t="inlineStr">
        <is>
          <t>Metro Laptop Plus-376</t>
        </is>
      </c>
      <c r="D3043" s="58" t="inlineStr">
        <is>
          <t>Electronics</t>
        </is>
      </c>
      <c r="E3043" s="58" t="inlineStr">
        <is>
          <t>West</t>
        </is>
      </c>
      <c r="F3043" s="61" t="n">
        <v>1</v>
      </c>
      <c r="G3043" s="62" t="n">
        <v>1380.27</v>
      </c>
      <c r="H3043" s="63" t="n">
        <v>0.178</v>
      </c>
      <c r="I3043" s="62" t="n">
        <v>1070.72</v>
      </c>
      <c r="J3043" s="58" t="inlineStr">
        <is>
          <t>Online</t>
        </is>
      </c>
      <c r="K3043" s="62">
        <f>F3043*(G3043-H3043)</f>
        <v/>
      </c>
      <c r="L3043" s="62">
        <f>K3043-(F3043*I3043)</f>
        <v/>
      </c>
      <c r="M3043" s="64">
        <f>L3043/K3043</f>
        <v/>
      </c>
    </row>
    <row r="3044">
      <c r="A3044" s="58" t="inlineStr">
        <is>
          <t>RT20250319-03043</t>
        </is>
      </c>
      <c r="B3044" s="59" t="inlineStr">
        <is>
          <t>2025-03-19</t>
        </is>
      </c>
      <c r="C3044" s="60" t="inlineStr">
        <is>
          <t>Vertex Snack S-702</t>
        </is>
      </c>
      <c r="D3044" s="58" t="inlineStr">
        <is>
          <t>Grocery</t>
        </is>
      </c>
      <c r="E3044" s="58" t="inlineStr">
        <is>
          <t>North</t>
        </is>
      </c>
      <c r="F3044" s="61" t="n">
        <v>2</v>
      </c>
      <c r="G3044" s="62" t="n">
        <v>1.98</v>
      </c>
      <c r="H3044" s="63" t="n">
        <v>0.117</v>
      </c>
      <c r="I3044" s="62" t="n">
        <v>1.49</v>
      </c>
      <c r="J3044" s="58" t="inlineStr">
        <is>
          <t>Store</t>
        </is>
      </c>
      <c r="K3044" s="62">
        <f>F3044*(G3044-H3044)</f>
        <v/>
      </c>
      <c r="L3044" s="62">
        <f>K3044-(F3044*I3044)</f>
        <v/>
      </c>
      <c r="M3044" s="64">
        <f>L3044/K3044</f>
        <v/>
      </c>
    </row>
    <row r="3045">
      <c r="A3045" s="58" t="inlineStr">
        <is>
          <t>RT20250319-03044</t>
        </is>
      </c>
      <c r="B3045" s="59" t="inlineStr">
        <is>
          <t>2025-03-19</t>
        </is>
      </c>
      <c r="C3045" s="60" t="inlineStr">
        <is>
          <t>Vertex Printer Max-692</t>
        </is>
      </c>
      <c r="D3045" s="58" t="inlineStr">
        <is>
          <t>Office</t>
        </is>
      </c>
      <c r="E3045" s="58" t="inlineStr">
        <is>
          <t>North</t>
        </is>
      </c>
      <c r="F3045" s="61" t="n">
        <v>3</v>
      </c>
      <c r="G3045" s="62" t="n">
        <v>166.31</v>
      </c>
      <c r="H3045" s="63" t="n">
        <v>0.119</v>
      </c>
      <c r="I3045" s="62" t="n">
        <v>122.56</v>
      </c>
      <c r="J3045" s="58" t="inlineStr">
        <is>
          <t>Online</t>
        </is>
      </c>
      <c r="K3045" s="62">
        <f>F3045*(G3045-H3045)</f>
        <v/>
      </c>
      <c r="L3045" s="62">
        <f>K3045-(F3045*I3045)</f>
        <v/>
      </c>
      <c r="M3045" s="64">
        <f>L3045/K3045</f>
        <v/>
      </c>
    </row>
    <row r="3046">
      <c r="A3046" s="58" t="inlineStr">
        <is>
          <t>RT20250319-03045</t>
        </is>
      </c>
      <c r="B3046" s="59" t="inlineStr">
        <is>
          <t>2025-03-19</t>
        </is>
      </c>
      <c r="C3046" s="60" t="inlineStr">
        <is>
          <t>Vertex Smartphone Lite-267</t>
        </is>
      </c>
      <c r="D3046" s="58" t="inlineStr">
        <is>
          <t>Electronics</t>
        </is>
      </c>
      <c r="E3046" s="58" t="inlineStr">
        <is>
          <t>East</t>
        </is>
      </c>
      <c r="F3046" s="61" t="n">
        <v>1</v>
      </c>
      <c r="G3046" s="62" t="n">
        <v>1259.74</v>
      </c>
      <c r="H3046" s="63" t="n">
        <v>0.067</v>
      </c>
      <c r="I3046" s="62" t="n">
        <v>983.74</v>
      </c>
      <c r="J3046" s="58" t="inlineStr">
        <is>
          <t>Store</t>
        </is>
      </c>
      <c r="K3046" s="62">
        <f>F3046*(G3046-H3046)</f>
        <v/>
      </c>
      <c r="L3046" s="62">
        <f>K3046-(F3046*I3046)</f>
        <v/>
      </c>
      <c r="M3046" s="64">
        <f>L3046/K3046</f>
        <v/>
      </c>
    </row>
    <row r="3047">
      <c r="A3047" s="58" t="inlineStr">
        <is>
          <t>RT20250319-03046</t>
        </is>
      </c>
      <c r="B3047" s="59" t="inlineStr">
        <is>
          <t>2025-03-19</t>
        </is>
      </c>
      <c r="C3047" s="60" t="inlineStr">
        <is>
          <t>Polar Cycling S-223</t>
        </is>
      </c>
      <c r="D3047" s="58" t="inlineStr">
        <is>
          <t>Sports</t>
        </is>
      </c>
      <c r="E3047" s="58" t="inlineStr">
        <is>
          <t>West</t>
        </is>
      </c>
      <c r="F3047" s="61" t="n">
        <v>2</v>
      </c>
      <c r="G3047" s="62" t="n">
        <v>884.3099999999999</v>
      </c>
      <c r="H3047" s="63" t="n">
        <v>0.133</v>
      </c>
      <c r="I3047" s="62" t="n">
        <v>640.87</v>
      </c>
      <c r="J3047" s="58" t="inlineStr">
        <is>
          <t>Store</t>
        </is>
      </c>
      <c r="K3047" s="62">
        <f>F3047*(G3047-H3047)</f>
        <v/>
      </c>
      <c r="L3047" s="62">
        <f>K3047-(F3047*I3047)</f>
        <v/>
      </c>
      <c r="M3047" s="64">
        <f>L3047/K3047</f>
        <v/>
      </c>
    </row>
    <row r="3048">
      <c r="A3048" s="58" t="inlineStr">
        <is>
          <t>RT20250319-03047</t>
        </is>
      </c>
      <c r="B3048" s="59" t="inlineStr">
        <is>
          <t>2025-03-19</t>
        </is>
      </c>
      <c r="C3048" s="60" t="inlineStr">
        <is>
          <t>Aurora Makeup S-626</t>
        </is>
      </c>
      <c r="D3048" s="58" t="inlineStr">
        <is>
          <t>Beauty</t>
        </is>
      </c>
      <c r="E3048" s="58" t="inlineStr">
        <is>
          <t>South</t>
        </is>
      </c>
      <c r="F3048" s="61" t="n">
        <v>5</v>
      </c>
      <c r="G3048" s="62" t="n">
        <v>103.6</v>
      </c>
      <c r="H3048" s="63" t="n">
        <v>0.04</v>
      </c>
      <c r="I3048" s="62" t="n">
        <v>64.91</v>
      </c>
      <c r="J3048" s="58" t="inlineStr">
        <is>
          <t>Online</t>
        </is>
      </c>
      <c r="K3048" s="62">
        <f>F3048*(G3048-H3048)</f>
        <v/>
      </c>
      <c r="L3048" s="62">
        <f>K3048-(F3048*I3048)</f>
        <v/>
      </c>
      <c r="M3048" s="64">
        <f>L3048/K3048</f>
        <v/>
      </c>
    </row>
    <row r="3049">
      <c r="A3049" s="58" t="inlineStr">
        <is>
          <t>RT20250319-03048</t>
        </is>
      </c>
      <c r="B3049" s="59" t="inlineStr">
        <is>
          <t>2025-03-19</t>
        </is>
      </c>
      <c r="C3049" s="60" t="inlineStr">
        <is>
          <t>Aurora Makeup Pro-489</t>
        </is>
      </c>
      <c r="D3049" s="58" t="inlineStr">
        <is>
          <t>Beauty</t>
        </is>
      </c>
      <c r="E3049" s="58" t="inlineStr">
        <is>
          <t>West</t>
        </is>
      </c>
      <c r="F3049" s="61" t="n">
        <v>2</v>
      </c>
      <c r="G3049" s="62" t="n">
        <v>98.08</v>
      </c>
      <c r="H3049" s="63" t="n">
        <v>0.076</v>
      </c>
      <c r="I3049" s="62" t="n">
        <v>62.37</v>
      </c>
      <c r="J3049" s="58" t="inlineStr">
        <is>
          <t>Store</t>
        </is>
      </c>
      <c r="K3049" s="62">
        <f>F3049*(G3049-H3049)</f>
        <v/>
      </c>
      <c r="L3049" s="62">
        <f>K3049-(F3049*I3049)</f>
        <v/>
      </c>
      <c r="M3049" s="64">
        <f>L3049/K3049</f>
        <v/>
      </c>
    </row>
    <row r="3050">
      <c r="A3050" s="58" t="inlineStr">
        <is>
          <t>RT20250319-03049</t>
        </is>
      </c>
      <c r="B3050" s="59" t="inlineStr">
        <is>
          <t>2025-03-19</t>
        </is>
      </c>
      <c r="C3050" s="60" t="inlineStr">
        <is>
          <t>Orion Kitchen Pro-568</t>
        </is>
      </c>
      <c r="D3050" s="58" t="inlineStr">
        <is>
          <t>Home</t>
        </is>
      </c>
      <c r="E3050" s="58" t="inlineStr">
        <is>
          <t>East</t>
        </is>
      </c>
      <c r="F3050" s="61" t="n">
        <v>2</v>
      </c>
      <c r="G3050" s="62" t="n">
        <v>417.95</v>
      </c>
      <c r="H3050" s="63" t="n">
        <v>0.058</v>
      </c>
      <c r="I3050" s="62" t="n">
        <v>299.7</v>
      </c>
      <c r="J3050" s="58" t="inlineStr">
        <is>
          <t>Online</t>
        </is>
      </c>
      <c r="K3050" s="62">
        <f>F3050*(G3050-H3050)</f>
        <v/>
      </c>
      <c r="L3050" s="62">
        <f>K3050-(F3050*I3050)</f>
        <v/>
      </c>
      <c r="M3050" s="64">
        <f>L3050/K3050</f>
        <v/>
      </c>
    </row>
    <row r="3051">
      <c r="A3051" s="58" t="inlineStr">
        <is>
          <t>RT20250319-03050</t>
        </is>
      </c>
      <c r="B3051" s="59" t="inlineStr">
        <is>
          <t>2025-03-19</t>
        </is>
      </c>
      <c r="C3051" s="60" t="inlineStr">
        <is>
          <t>Aurora Appliance Lite-109</t>
        </is>
      </c>
      <c r="D3051" s="58" t="inlineStr">
        <is>
          <t>Home</t>
        </is>
      </c>
      <c r="E3051" s="58" t="inlineStr">
        <is>
          <t>East</t>
        </is>
      </c>
      <c r="F3051" s="61" t="n">
        <v>1</v>
      </c>
      <c r="G3051" s="62" t="n">
        <v>299.79</v>
      </c>
      <c r="H3051" s="63" t="n">
        <v>0.127</v>
      </c>
      <c r="I3051" s="62" t="n">
        <v>200.14</v>
      </c>
      <c r="J3051" s="58" t="inlineStr">
        <is>
          <t>Online</t>
        </is>
      </c>
      <c r="K3051" s="62">
        <f>F3051*(G3051-H3051)</f>
        <v/>
      </c>
      <c r="L3051" s="62">
        <f>K3051-(F3051*I3051)</f>
        <v/>
      </c>
      <c r="M3051" s="64">
        <f>L3051/K3051</f>
        <v/>
      </c>
    </row>
    <row r="3052">
      <c r="A3052" s="58" t="inlineStr">
        <is>
          <t>RT20250319-03051</t>
        </is>
      </c>
      <c r="B3052" s="59" t="inlineStr">
        <is>
          <t>2025-03-19</t>
        </is>
      </c>
      <c r="C3052" s="60" t="inlineStr">
        <is>
          <t>Vertex Headphone Pro-801</t>
        </is>
      </c>
      <c r="D3052" s="58" t="inlineStr">
        <is>
          <t>Electronics</t>
        </is>
      </c>
      <c r="E3052" s="58" t="inlineStr">
        <is>
          <t>West</t>
        </is>
      </c>
      <c r="F3052" s="61" t="n">
        <v>1</v>
      </c>
      <c r="G3052" s="62" t="n">
        <v>1294.26</v>
      </c>
      <c r="H3052" s="63" t="n">
        <v>0.055</v>
      </c>
      <c r="I3052" s="62" t="n">
        <v>981.22</v>
      </c>
      <c r="J3052" s="58" t="inlineStr">
        <is>
          <t>Store</t>
        </is>
      </c>
      <c r="K3052" s="62">
        <f>F3052*(G3052-H3052)</f>
        <v/>
      </c>
      <c r="L3052" s="62">
        <f>K3052-(F3052*I3052)</f>
        <v/>
      </c>
      <c r="M3052" s="64">
        <f>L3052/K3052</f>
        <v/>
      </c>
    </row>
    <row r="3053">
      <c r="A3053" s="58" t="inlineStr">
        <is>
          <t>RT20250319-03052</t>
        </is>
      </c>
      <c r="B3053" s="59" t="inlineStr">
        <is>
          <t>2025-03-19</t>
        </is>
      </c>
      <c r="C3053" s="60" t="inlineStr">
        <is>
          <t>Aurora Bedding Max-175</t>
        </is>
      </c>
      <c r="D3053" s="58" t="inlineStr">
        <is>
          <t>Home</t>
        </is>
      </c>
      <c r="E3053" s="58" t="inlineStr">
        <is>
          <t>Central</t>
        </is>
      </c>
      <c r="F3053" s="61" t="n">
        <v>1</v>
      </c>
      <c r="G3053" s="62" t="n">
        <v>616.22</v>
      </c>
      <c r="H3053" s="63" t="n">
        <v>0.128</v>
      </c>
      <c r="I3053" s="62" t="n">
        <v>408.65</v>
      </c>
      <c r="J3053" s="58" t="inlineStr">
        <is>
          <t>Online</t>
        </is>
      </c>
      <c r="K3053" s="62">
        <f>F3053*(G3053-H3053)</f>
        <v/>
      </c>
      <c r="L3053" s="62">
        <f>K3053-(F3053*I3053)</f>
        <v/>
      </c>
      <c r="M3053" s="64">
        <f>L3053/K3053</f>
        <v/>
      </c>
    </row>
    <row r="3054">
      <c r="A3054" s="58" t="inlineStr">
        <is>
          <t>RT20250319-03053</t>
        </is>
      </c>
      <c r="B3054" s="59" t="inlineStr">
        <is>
          <t>2025-03-19</t>
        </is>
      </c>
      <c r="C3054" s="60" t="inlineStr">
        <is>
          <t>Aurora Fragrance S-971</t>
        </is>
      </c>
      <c r="D3054" s="58" t="inlineStr">
        <is>
          <t>Beauty</t>
        </is>
      </c>
      <c r="E3054" s="58" t="inlineStr">
        <is>
          <t>Central</t>
        </is>
      </c>
      <c r="F3054" s="61" t="n">
        <v>4</v>
      </c>
      <c r="G3054" s="62" t="n">
        <v>112.45</v>
      </c>
      <c r="H3054" s="63" t="n">
        <v>0.115</v>
      </c>
      <c r="I3054" s="62" t="n">
        <v>66.05</v>
      </c>
      <c r="J3054" s="58" t="inlineStr">
        <is>
          <t>Store</t>
        </is>
      </c>
      <c r="K3054" s="62">
        <f>F3054*(G3054-H3054)</f>
        <v/>
      </c>
      <c r="L3054" s="62">
        <f>K3054-(F3054*I3054)</f>
        <v/>
      </c>
      <c r="M3054" s="64">
        <f>L3054/K3054</f>
        <v/>
      </c>
    </row>
    <row r="3055">
      <c r="A3055" s="58" t="inlineStr">
        <is>
          <t>RT20250319-03054</t>
        </is>
      </c>
      <c r="B3055" s="59" t="inlineStr">
        <is>
          <t>2025-03-19</t>
        </is>
      </c>
      <c r="C3055" s="60" t="inlineStr">
        <is>
          <t>Aurora Furniture X-709</t>
        </is>
      </c>
      <c r="D3055" s="58" t="inlineStr">
        <is>
          <t>Office</t>
        </is>
      </c>
      <c r="E3055" s="58" t="inlineStr">
        <is>
          <t>Central</t>
        </is>
      </c>
      <c r="F3055" s="61" t="n">
        <v>3</v>
      </c>
      <c r="G3055" s="62" t="n">
        <v>427.6</v>
      </c>
      <c r="H3055" s="63" t="n">
        <v>0.067</v>
      </c>
      <c r="I3055" s="62" t="n">
        <v>313.32</v>
      </c>
      <c r="J3055" s="58" t="inlineStr">
        <is>
          <t>Online</t>
        </is>
      </c>
      <c r="K3055" s="62">
        <f>F3055*(G3055-H3055)</f>
        <v/>
      </c>
      <c r="L3055" s="62">
        <f>K3055-(F3055*I3055)</f>
        <v/>
      </c>
      <c r="M3055" s="64">
        <f>L3055/K3055</f>
        <v/>
      </c>
    </row>
    <row r="3056">
      <c r="A3056" s="58" t="inlineStr">
        <is>
          <t>RT20250319-03055</t>
        </is>
      </c>
      <c r="B3056" s="59" t="inlineStr">
        <is>
          <t>2025-03-19</t>
        </is>
      </c>
      <c r="C3056" s="60" t="inlineStr">
        <is>
          <t>Orion Fragrance Lite-785</t>
        </is>
      </c>
      <c r="D3056" s="58" t="inlineStr">
        <is>
          <t>Beauty</t>
        </is>
      </c>
      <c r="E3056" s="58" t="inlineStr">
        <is>
          <t>West</t>
        </is>
      </c>
      <c r="F3056" s="61" t="n">
        <v>4</v>
      </c>
      <c r="G3056" s="62" t="n">
        <v>41.38</v>
      </c>
      <c r="H3056" s="63" t="n">
        <v>0.148</v>
      </c>
      <c r="I3056" s="62" t="n">
        <v>26.94</v>
      </c>
      <c r="J3056" s="58" t="inlineStr">
        <is>
          <t>Store</t>
        </is>
      </c>
      <c r="K3056" s="62">
        <f>F3056*(G3056-H3056)</f>
        <v/>
      </c>
      <c r="L3056" s="62">
        <f>K3056-(F3056*I3056)</f>
        <v/>
      </c>
      <c r="M3056" s="64">
        <f>L3056/K3056</f>
        <v/>
      </c>
    </row>
    <row r="3057">
      <c r="A3057" s="58" t="inlineStr">
        <is>
          <t>RT20250319-03056</t>
        </is>
      </c>
      <c r="B3057" s="59" t="inlineStr">
        <is>
          <t>2025-03-19</t>
        </is>
      </c>
      <c r="C3057" s="60" t="inlineStr">
        <is>
          <t>Nimbus Storage Plus-646</t>
        </is>
      </c>
      <c r="D3057" s="58" t="inlineStr">
        <is>
          <t>Office</t>
        </is>
      </c>
      <c r="E3057" s="58" t="inlineStr">
        <is>
          <t>East</t>
        </is>
      </c>
      <c r="F3057" s="61" t="n">
        <v>1</v>
      </c>
      <c r="G3057" s="62" t="n">
        <v>421.06</v>
      </c>
      <c r="H3057" s="63" t="n">
        <v>0.114</v>
      </c>
      <c r="I3057" s="62" t="n">
        <v>325.47</v>
      </c>
      <c r="J3057" s="58" t="inlineStr">
        <is>
          <t>Online</t>
        </is>
      </c>
      <c r="K3057" s="62">
        <f>F3057*(G3057-H3057)</f>
        <v/>
      </c>
      <c r="L3057" s="62">
        <f>K3057-(F3057*I3057)</f>
        <v/>
      </c>
      <c r="M3057" s="64">
        <f>L3057/K3057</f>
        <v/>
      </c>
    </row>
    <row r="3058">
      <c r="A3058" s="58" t="inlineStr">
        <is>
          <t>RT20250319-03057</t>
        </is>
      </c>
      <c r="B3058" s="59" t="inlineStr">
        <is>
          <t>2025-03-19</t>
        </is>
      </c>
      <c r="C3058" s="60" t="inlineStr">
        <is>
          <t>Nimbus Laptop Max-652</t>
        </is>
      </c>
      <c r="D3058" s="58" t="inlineStr">
        <is>
          <t>Electronics</t>
        </is>
      </c>
      <c r="E3058" s="58" t="inlineStr">
        <is>
          <t>West</t>
        </is>
      </c>
      <c r="F3058" s="61" t="n">
        <v>1</v>
      </c>
      <c r="G3058" s="62" t="n">
        <v>1312.93</v>
      </c>
      <c r="H3058" s="63" t="n">
        <v>0.143</v>
      </c>
      <c r="I3058" s="62" t="n">
        <v>1020.6</v>
      </c>
      <c r="J3058" s="58" t="inlineStr">
        <is>
          <t>Store</t>
        </is>
      </c>
      <c r="K3058" s="62">
        <f>F3058*(G3058-H3058)</f>
        <v/>
      </c>
      <c r="L3058" s="62">
        <f>K3058-(F3058*I3058)</f>
        <v/>
      </c>
      <c r="M3058" s="64">
        <f>L3058/K3058</f>
        <v/>
      </c>
    </row>
    <row r="3059">
      <c r="A3059" s="58" t="inlineStr">
        <is>
          <t>RT20250320-03058</t>
        </is>
      </c>
      <c r="B3059" s="59" t="inlineStr">
        <is>
          <t>2025-03-20</t>
        </is>
      </c>
      <c r="C3059" s="60" t="inlineStr">
        <is>
          <t>Aurora Smartphone Plus-125</t>
        </is>
      </c>
      <c r="D3059" s="58" t="inlineStr">
        <is>
          <t>Electronics</t>
        </is>
      </c>
      <c r="E3059" s="58" t="inlineStr">
        <is>
          <t>Central</t>
        </is>
      </c>
      <c r="F3059" s="61" t="n">
        <v>1</v>
      </c>
      <c r="G3059" s="62" t="n">
        <v>1584.09</v>
      </c>
      <c r="H3059" s="63" t="n">
        <v>0.106</v>
      </c>
      <c r="I3059" s="62" t="n">
        <v>1242.31</v>
      </c>
      <c r="J3059" s="58" t="inlineStr">
        <is>
          <t>Phone</t>
        </is>
      </c>
      <c r="K3059" s="62">
        <f>F3059*(G3059-H3059)</f>
        <v/>
      </c>
      <c r="L3059" s="62">
        <f>K3059-(F3059*I3059)</f>
        <v/>
      </c>
      <c r="M3059" s="64">
        <f>L3059/K3059</f>
        <v/>
      </c>
    </row>
    <row r="3060">
      <c r="A3060" s="58" t="inlineStr">
        <is>
          <t>RT20250320-03059</t>
        </is>
      </c>
      <c r="B3060" s="59" t="inlineStr">
        <is>
          <t>2025-03-20</t>
        </is>
      </c>
      <c r="C3060" s="60" t="inlineStr">
        <is>
          <t>Aurora Team Sport Plus-256</t>
        </is>
      </c>
      <c r="D3060" s="58" t="inlineStr">
        <is>
          <t>Sports</t>
        </is>
      </c>
      <c r="E3060" s="58" t="inlineStr">
        <is>
          <t>South</t>
        </is>
      </c>
      <c r="F3060" s="61" t="n">
        <v>2</v>
      </c>
      <c r="G3060" s="62" t="n">
        <v>635.16</v>
      </c>
      <c r="H3060" s="63" t="n">
        <v>0.133</v>
      </c>
      <c r="I3060" s="62" t="n">
        <v>426.77</v>
      </c>
      <c r="J3060" s="58" t="inlineStr">
        <is>
          <t>Store</t>
        </is>
      </c>
      <c r="K3060" s="62">
        <f>F3060*(G3060-H3060)</f>
        <v/>
      </c>
      <c r="L3060" s="62">
        <f>K3060-(F3060*I3060)</f>
        <v/>
      </c>
      <c r="M3060" s="64">
        <f>L3060/K3060</f>
        <v/>
      </c>
    </row>
    <row r="3061">
      <c r="A3061" s="58" t="inlineStr">
        <is>
          <t>RT20250320-03060</t>
        </is>
      </c>
      <c r="B3061" s="59" t="inlineStr">
        <is>
          <t>2025-03-20</t>
        </is>
      </c>
      <c r="C3061" s="60" t="inlineStr">
        <is>
          <t>Solace Team Sport Max-548</t>
        </is>
      </c>
      <c r="D3061" s="58" t="inlineStr">
        <is>
          <t>Sports</t>
        </is>
      </c>
      <c r="E3061" s="58" t="inlineStr">
        <is>
          <t>South</t>
        </is>
      </c>
      <c r="F3061" s="61" t="n">
        <v>3</v>
      </c>
      <c r="G3061" s="62" t="n">
        <v>719.36</v>
      </c>
      <c r="H3061" s="63" t="n">
        <v>0.115</v>
      </c>
      <c r="I3061" s="62" t="n">
        <v>486.26</v>
      </c>
      <c r="J3061" s="58" t="inlineStr">
        <is>
          <t>Store</t>
        </is>
      </c>
      <c r="K3061" s="62">
        <f>F3061*(G3061-H3061)</f>
        <v/>
      </c>
      <c r="L3061" s="62">
        <f>K3061-(F3061*I3061)</f>
        <v/>
      </c>
      <c r="M3061" s="64">
        <f>L3061/K3061</f>
        <v/>
      </c>
    </row>
    <row r="3062">
      <c r="A3062" s="58" t="inlineStr">
        <is>
          <t>RT20250320-03061</t>
        </is>
      </c>
      <c r="B3062" s="59" t="inlineStr">
        <is>
          <t>2025-03-20</t>
        </is>
      </c>
      <c r="C3062" s="60" t="inlineStr">
        <is>
          <t>Falcon Cycling Pro-499</t>
        </is>
      </c>
      <c r="D3062" s="58" t="inlineStr">
        <is>
          <t>Sports</t>
        </is>
      </c>
      <c r="E3062" s="58" t="inlineStr">
        <is>
          <t>North</t>
        </is>
      </c>
      <c r="F3062" s="61" t="n">
        <v>3</v>
      </c>
      <c r="G3062" s="62" t="n">
        <v>650.49</v>
      </c>
      <c r="H3062" s="63" t="n">
        <v>0.108</v>
      </c>
      <c r="I3062" s="62" t="n">
        <v>401.74</v>
      </c>
      <c r="J3062" s="58" t="inlineStr">
        <is>
          <t>Online</t>
        </is>
      </c>
      <c r="K3062" s="62">
        <f>F3062*(G3062-H3062)</f>
        <v/>
      </c>
      <c r="L3062" s="62">
        <f>K3062-(F3062*I3062)</f>
        <v/>
      </c>
      <c r="M3062" s="64">
        <f>L3062/K3062</f>
        <v/>
      </c>
    </row>
    <row r="3063">
      <c r="A3063" s="58" t="inlineStr">
        <is>
          <t>RT20250320-03062</t>
        </is>
      </c>
      <c r="B3063" s="59" t="inlineStr">
        <is>
          <t>2025-03-20</t>
        </is>
      </c>
      <c r="C3063" s="60" t="inlineStr">
        <is>
          <t>Vertex Pantry Pro-165</t>
        </is>
      </c>
      <c r="D3063" s="58" t="inlineStr">
        <is>
          <t>Grocery</t>
        </is>
      </c>
      <c r="E3063" s="58" t="inlineStr">
        <is>
          <t>West</t>
        </is>
      </c>
      <c r="F3063" s="61" t="n">
        <v>6</v>
      </c>
      <c r="G3063" s="62" t="n">
        <v>14.8</v>
      </c>
      <c r="H3063" s="63" t="n">
        <v>0.14</v>
      </c>
      <c r="I3063" s="62" t="n">
        <v>11.8</v>
      </c>
      <c r="J3063" s="58" t="inlineStr">
        <is>
          <t>Store</t>
        </is>
      </c>
      <c r="K3063" s="62">
        <f>F3063*(G3063-H3063)</f>
        <v/>
      </c>
      <c r="L3063" s="62">
        <f>K3063-(F3063*I3063)</f>
        <v/>
      </c>
      <c r="M3063" s="64">
        <f>L3063/K3063</f>
        <v/>
      </c>
    </row>
    <row r="3064">
      <c r="A3064" s="58" t="inlineStr">
        <is>
          <t>RT20250320-03063</t>
        </is>
      </c>
      <c r="B3064" s="59" t="inlineStr">
        <is>
          <t>2025-03-20</t>
        </is>
      </c>
      <c r="C3064" s="60" t="inlineStr">
        <is>
          <t>Aurora Household Plus-146</t>
        </is>
      </c>
      <c r="D3064" s="58" t="inlineStr">
        <is>
          <t>Grocery</t>
        </is>
      </c>
      <c r="E3064" s="58" t="inlineStr">
        <is>
          <t>East</t>
        </is>
      </c>
      <c r="F3064" s="61" t="n">
        <v>1</v>
      </c>
      <c r="G3064" s="62" t="n">
        <v>5.76</v>
      </c>
      <c r="H3064" s="63" t="n">
        <v>0.138</v>
      </c>
      <c r="I3064" s="62" t="n">
        <v>4.43</v>
      </c>
      <c r="J3064" s="58" t="inlineStr">
        <is>
          <t>Store</t>
        </is>
      </c>
      <c r="K3064" s="62">
        <f>F3064*(G3064-H3064)</f>
        <v/>
      </c>
      <c r="L3064" s="62">
        <f>K3064-(F3064*I3064)</f>
        <v/>
      </c>
      <c r="M3064" s="64">
        <f>L3064/K3064</f>
        <v/>
      </c>
    </row>
    <row r="3065">
      <c r="A3065" s="58" t="inlineStr">
        <is>
          <t>RT20250320-03064</t>
        </is>
      </c>
      <c r="B3065" s="59" t="inlineStr">
        <is>
          <t>2025-03-20</t>
        </is>
      </c>
      <c r="C3065" s="60" t="inlineStr">
        <is>
          <t>Nimbus Makeup Max-158</t>
        </is>
      </c>
      <c r="D3065" s="58" t="inlineStr">
        <is>
          <t>Beauty</t>
        </is>
      </c>
      <c r="E3065" s="58" t="inlineStr">
        <is>
          <t>South</t>
        </is>
      </c>
      <c r="F3065" s="61" t="n">
        <v>5</v>
      </c>
      <c r="G3065" s="62" t="n">
        <v>155.52</v>
      </c>
      <c r="H3065" s="63" t="n">
        <v>0.105</v>
      </c>
      <c r="I3065" s="62" t="n">
        <v>94.92</v>
      </c>
      <c r="J3065" s="58" t="inlineStr">
        <is>
          <t>Store</t>
        </is>
      </c>
      <c r="K3065" s="62">
        <f>F3065*(G3065-H3065)</f>
        <v/>
      </c>
      <c r="L3065" s="62">
        <f>K3065-(F3065*I3065)</f>
        <v/>
      </c>
      <c r="M3065" s="64">
        <f>L3065/K3065</f>
        <v/>
      </c>
    </row>
    <row r="3066">
      <c r="A3066" s="58" t="inlineStr">
        <is>
          <t>RT20250320-03065</t>
        </is>
      </c>
      <c r="B3066" s="59" t="inlineStr">
        <is>
          <t>2025-03-20</t>
        </is>
      </c>
      <c r="C3066" s="60" t="inlineStr">
        <is>
          <t>Aurora Wearable Lite-162</t>
        </is>
      </c>
      <c r="D3066" s="58" t="inlineStr">
        <is>
          <t>Electronics</t>
        </is>
      </c>
      <c r="E3066" s="58" t="inlineStr">
        <is>
          <t>East</t>
        </is>
      </c>
      <c r="F3066" s="61" t="n">
        <v>2</v>
      </c>
      <c r="G3066" s="62" t="n">
        <v>1646.05</v>
      </c>
      <c r="H3066" s="63" t="n">
        <v>0.078</v>
      </c>
      <c r="I3066" s="62" t="n">
        <v>1156.05</v>
      </c>
      <c r="J3066" s="58" t="inlineStr">
        <is>
          <t>Online</t>
        </is>
      </c>
      <c r="K3066" s="62">
        <f>F3066*(G3066-H3066)</f>
        <v/>
      </c>
      <c r="L3066" s="62">
        <f>K3066-(F3066*I3066)</f>
        <v/>
      </c>
      <c r="M3066" s="64">
        <f>L3066/K3066</f>
        <v/>
      </c>
    </row>
    <row r="3067">
      <c r="A3067" s="58" t="inlineStr">
        <is>
          <t>RT20250320-03066</t>
        </is>
      </c>
      <c r="B3067" s="59" t="inlineStr">
        <is>
          <t>2025-03-20</t>
        </is>
      </c>
      <c r="C3067" s="60" t="inlineStr">
        <is>
          <t>Aurora Wearable Lite-162</t>
        </is>
      </c>
      <c r="D3067" s="58" t="inlineStr">
        <is>
          <t>Electronics</t>
        </is>
      </c>
      <c r="E3067" s="58" t="inlineStr">
        <is>
          <t>East</t>
        </is>
      </c>
      <c r="F3067" s="61" t="n">
        <v>1</v>
      </c>
      <c r="G3067" s="62" t="n">
        <v>1537.18</v>
      </c>
      <c r="H3067" s="63" t="n">
        <v>0.107</v>
      </c>
      <c r="I3067" s="62" t="n">
        <v>1193.17</v>
      </c>
      <c r="J3067" s="58" t="inlineStr">
        <is>
          <t>Store</t>
        </is>
      </c>
      <c r="K3067" s="62">
        <f>F3067*(G3067-H3067)</f>
        <v/>
      </c>
      <c r="L3067" s="62">
        <f>K3067-(F3067*I3067)</f>
        <v/>
      </c>
      <c r="M3067" s="64">
        <f>L3067/K3067</f>
        <v/>
      </c>
    </row>
    <row r="3068">
      <c r="A3068" s="58" t="inlineStr">
        <is>
          <t>RT20250320-03067</t>
        </is>
      </c>
      <c r="B3068" s="59" t="inlineStr">
        <is>
          <t>2025-03-20</t>
        </is>
      </c>
      <c r="C3068" s="60" t="inlineStr">
        <is>
          <t>Polar Outdoor Lite-318</t>
        </is>
      </c>
      <c r="D3068" s="58" t="inlineStr">
        <is>
          <t>Sports</t>
        </is>
      </c>
      <c r="E3068" s="58" t="inlineStr">
        <is>
          <t>South</t>
        </is>
      </c>
      <c r="F3068" s="61" t="n">
        <v>1</v>
      </c>
      <c r="G3068" s="62" t="n">
        <v>719</v>
      </c>
      <c r="H3068" s="63" t="n">
        <v>0.12</v>
      </c>
      <c r="I3068" s="62" t="n">
        <v>454.62</v>
      </c>
      <c r="J3068" s="58" t="inlineStr">
        <is>
          <t>Store</t>
        </is>
      </c>
      <c r="K3068" s="62">
        <f>F3068*(G3068-H3068)</f>
        <v/>
      </c>
      <c r="L3068" s="62">
        <f>K3068-(F3068*I3068)</f>
        <v/>
      </c>
      <c r="M3068" s="64">
        <f>L3068/K3068</f>
        <v/>
      </c>
    </row>
    <row r="3069">
      <c r="A3069" s="58" t="inlineStr">
        <is>
          <t>RT20250320-03068</t>
        </is>
      </c>
      <c r="B3069" s="59" t="inlineStr">
        <is>
          <t>2025-03-20</t>
        </is>
      </c>
      <c r="C3069" s="60" t="inlineStr">
        <is>
          <t>Polar Women Max-927</t>
        </is>
      </c>
      <c r="D3069" s="58" t="inlineStr">
        <is>
          <t>Apparel</t>
        </is>
      </c>
      <c r="E3069" s="58" t="inlineStr">
        <is>
          <t>East</t>
        </is>
      </c>
      <c r="F3069" s="61" t="n">
        <v>2</v>
      </c>
      <c r="G3069" s="62" t="n">
        <v>139.72</v>
      </c>
      <c r="H3069" s="63" t="n">
        <v>0.114</v>
      </c>
      <c r="I3069" s="62" t="n">
        <v>65.44</v>
      </c>
      <c r="J3069" s="58" t="inlineStr">
        <is>
          <t>Phone</t>
        </is>
      </c>
      <c r="K3069" s="62">
        <f>F3069*(G3069-H3069)</f>
        <v/>
      </c>
      <c r="L3069" s="62">
        <f>K3069-(F3069*I3069)</f>
        <v/>
      </c>
      <c r="M3069" s="64">
        <f>L3069/K3069</f>
        <v/>
      </c>
    </row>
    <row r="3070">
      <c r="A3070" s="58" t="inlineStr">
        <is>
          <t>RT20250320-03069</t>
        </is>
      </c>
      <c r="B3070" s="59" t="inlineStr">
        <is>
          <t>2025-03-20</t>
        </is>
      </c>
      <c r="C3070" s="60" t="inlineStr">
        <is>
          <t>Vertex Supplie X-513</t>
        </is>
      </c>
      <c r="D3070" s="58" t="inlineStr">
        <is>
          <t>Office</t>
        </is>
      </c>
      <c r="E3070" s="58" t="inlineStr">
        <is>
          <t>South</t>
        </is>
      </c>
      <c r="F3070" s="61" t="n">
        <v>1</v>
      </c>
      <c r="G3070" s="62" t="n">
        <v>375.75</v>
      </c>
      <c r="H3070" s="63" t="n">
        <v>0.09</v>
      </c>
      <c r="I3070" s="62" t="n">
        <v>272.97</v>
      </c>
      <c r="J3070" s="58" t="inlineStr">
        <is>
          <t>Store</t>
        </is>
      </c>
      <c r="K3070" s="62">
        <f>F3070*(G3070-H3070)</f>
        <v/>
      </c>
      <c r="L3070" s="62">
        <f>K3070-(F3070*I3070)</f>
        <v/>
      </c>
      <c r="M3070" s="64">
        <f>L3070/K3070</f>
        <v/>
      </c>
    </row>
    <row r="3071">
      <c r="A3071" s="58" t="inlineStr">
        <is>
          <t>RT20250320-03070</t>
        </is>
      </c>
      <c r="B3071" s="59" t="inlineStr">
        <is>
          <t>2025-03-20</t>
        </is>
      </c>
      <c r="C3071" s="60" t="inlineStr">
        <is>
          <t>Aurora Furniture X-709</t>
        </is>
      </c>
      <c r="D3071" s="58" t="inlineStr">
        <is>
          <t>Office</t>
        </is>
      </c>
      <c r="E3071" s="58" t="inlineStr">
        <is>
          <t>Central</t>
        </is>
      </c>
      <c r="F3071" s="61" t="n">
        <v>1</v>
      </c>
      <c r="G3071" s="62" t="n">
        <v>468.67</v>
      </c>
      <c r="H3071" s="63" t="n">
        <v>0.097</v>
      </c>
      <c r="I3071" s="62" t="n">
        <v>301.05</v>
      </c>
      <c r="J3071" s="58" t="inlineStr">
        <is>
          <t>Store</t>
        </is>
      </c>
      <c r="K3071" s="62">
        <f>F3071*(G3071-H3071)</f>
        <v/>
      </c>
      <c r="L3071" s="62">
        <f>K3071-(F3071*I3071)</f>
        <v/>
      </c>
      <c r="M3071" s="64">
        <f>L3071/K3071</f>
        <v/>
      </c>
    </row>
    <row r="3072">
      <c r="A3072" s="58" t="inlineStr">
        <is>
          <t>RT20250320-03071</t>
        </is>
      </c>
      <c r="B3072" s="59" t="inlineStr">
        <is>
          <t>2025-03-20</t>
        </is>
      </c>
      <c r="C3072" s="60" t="inlineStr">
        <is>
          <t>Vertex Printer Max-692</t>
        </is>
      </c>
      <c r="D3072" s="58" t="inlineStr">
        <is>
          <t>Office</t>
        </is>
      </c>
      <c r="E3072" s="58" t="inlineStr">
        <is>
          <t>South</t>
        </is>
      </c>
      <c r="F3072" s="61" t="n">
        <v>1</v>
      </c>
      <c r="G3072" s="62" t="n">
        <v>172.21</v>
      </c>
      <c r="H3072" s="63" t="n">
        <v>0.109</v>
      </c>
      <c r="I3072" s="62" t="n">
        <v>123.79</v>
      </c>
      <c r="J3072" s="58" t="inlineStr">
        <is>
          <t>Online</t>
        </is>
      </c>
      <c r="K3072" s="62">
        <f>F3072*(G3072-H3072)</f>
        <v/>
      </c>
      <c r="L3072" s="62">
        <f>K3072-(F3072*I3072)</f>
        <v/>
      </c>
      <c r="M3072" s="64">
        <f>L3072/K3072</f>
        <v/>
      </c>
    </row>
    <row r="3073">
      <c r="A3073" s="58" t="inlineStr">
        <is>
          <t>RT20250320-03072</t>
        </is>
      </c>
      <c r="B3073" s="59" t="inlineStr">
        <is>
          <t>2025-03-20</t>
        </is>
      </c>
      <c r="C3073" s="60" t="inlineStr">
        <is>
          <t>Orion Storage Plus-961</t>
        </is>
      </c>
      <c r="D3073" s="58" t="inlineStr">
        <is>
          <t>Office</t>
        </is>
      </c>
      <c r="E3073" s="58" t="inlineStr">
        <is>
          <t>North</t>
        </is>
      </c>
      <c r="F3073" s="61" t="n">
        <v>1</v>
      </c>
      <c r="G3073" s="62" t="n">
        <v>543.26</v>
      </c>
      <c r="H3073" s="63" t="n">
        <v>0.08799999999999999</v>
      </c>
      <c r="I3073" s="62" t="n">
        <v>371.16</v>
      </c>
      <c r="J3073" s="58" t="inlineStr">
        <is>
          <t>Online</t>
        </is>
      </c>
      <c r="K3073" s="62">
        <f>F3073*(G3073-H3073)</f>
        <v/>
      </c>
      <c r="L3073" s="62">
        <f>K3073-(F3073*I3073)</f>
        <v/>
      </c>
      <c r="M3073" s="64">
        <f>L3073/K3073</f>
        <v/>
      </c>
    </row>
    <row r="3074">
      <c r="A3074" s="58" t="inlineStr">
        <is>
          <t>RT20250320-03073</t>
        </is>
      </c>
      <c r="B3074" s="59" t="inlineStr">
        <is>
          <t>2025-03-20</t>
        </is>
      </c>
      <c r="C3074" s="60" t="inlineStr">
        <is>
          <t>Solace Kitchen Pro-999</t>
        </is>
      </c>
      <c r="D3074" s="58" t="inlineStr">
        <is>
          <t>Home</t>
        </is>
      </c>
      <c r="E3074" s="58" t="inlineStr">
        <is>
          <t>West</t>
        </is>
      </c>
      <c r="F3074" s="61" t="n">
        <v>2</v>
      </c>
      <c r="G3074" s="62" t="n">
        <v>403.81</v>
      </c>
      <c r="H3074" s="63" t="n">
        <v>0.129</v>
      </c>
      <c r="I3074" s="62" t="n">
        <v>273.95</v>
      </c>
      <c r="J3074" s="58" t="inlineStr">
        <is>
          <t>Online</t>
        </is>
      </c>
      <c r="K3074" s="62">
        <f>F3074*(G3074-H3074)</f>
        <v/>
      </c>
      <c r="L3074" s="62">
        <f>K3074-(F3074*I3074)</f>
        <v/>
      </c>
      <c r="M3074" s="64">
        <f>L3074/K3074</f>
        <v/>
      </c>
    </row>
    <row r="3075">
      <c r="A3075" s="58" t="inlineStr">
        <is>
          <t>RT20250320-03074</t>
        </is>
      </c>
      <c r="B3075" s="59" t="inlineStr">
        <is>
          <t>2025-03-20</t>
        </is>
      </c>
      <c r="C3075" s="60" t="inlineStr">
        <is>
          <t>Metro Fragrance Lite-261</t>
        </is>
      </c>
      <c r="D3075" s="58" t="inlineStr">
        <is>
          <t>Beauty</t>
        </is>
      </c>
      <c r="E3075" s="58" t="inlineStr">
        <is>
          <t>East</t>
        </is>
      </c>
      <c r="F3075" s="61" t="n">
        <v>5</v>
      </c>
      <c r="G3075" s="62" t="n">
        <v>90.12</v>
      </c>
      <c r="H3075" s="63" t="n">
        <v>0.1</v>
      </c>
      <c r="I3075" s="62" t="n">
        <v>55.19</v>
      </c>
      <c r="J3075" s="58" t="inlineStr">
        <is>
          <t>Online</t>
        </is>
      </c>
      <c r="K3075" s="62">
        <f>F3075*(G3075-H3075)</f>
        <v/>
      </c>
      <c r="L3075" s="62">
        <f>K3075-(F3075*I3075)</f>
        <v/>
      </c>
      <c r="M3075" s="64">
        <f>L3075/K3075</f>
        <v/>
      </c>
    </row>
    <row r="3076">
      <c r="A3076" s="58" t="inlineStr">
        <is>
          <t>RT20250320-03075</t>
        </is>
      </c>
      <c r="B3076" s="59" t="inlineStr">
        <is>
          <t>2025-03-20</t>
        </is>
      </c>
      <c r="C3076" s="60" t="inlineStr">
        <is>
          <t>Aurora Kid Plus-151</t>
        </is>
      </c>
      <c r="D3076" s="58" t="inlineStr">
        <is>
          <t>Apparel</t>
        </is>
      </c>
      <c r="E3076" s="58" t="inlineStr">
        <is>
          <t>West</t>
        </is>
      </c>
      <c r="F3076" s="61" t="n">
        <v>1</v>
      </c>
      <c r="G3076" s="62" t="n">
        <v>119.45</v>
      </c>
      <c r="H3076" s="63" t="n">
        <v>0.054</v>
      </c>
      <c r="I3076" s="62" t="n">
        <v>64.16</v>
      </c>
      <c r="J3076" s="58" t="inlineStr">
        <is>
          <t>Phone</t>
        </is>
      </c>
      <c r="K3076" s="62">
        <f>F3076*(G3076-H3076)</f>
        <v/>
      </c>
      <c r="L3076" s="62">
        <f>K3076-(F3076*I3076)</f>
        <v/>
      </c>
      <c r="M3076" s="64">
        <f>L3076/K3076</f>
        <v/>
      </c>
    </row>
    <row r="3077">
      <c r="A3077" s="58" t="inlineStr">
        <is>
          <t>RT20250320-03076</t>
        </is>
      </c>
      <c r="B3077" s="59" t="inlineStr">
        <is>
          <t>2025-03-20</t>
        </is>
      </c>
      <c r="C3077" s="60" t="inlineStr">
        <is>
          <t>Vertex Pantry Pro-165</t>
        </is>
      </c>
      <c r="D3077" s="58" t="inlineStr">
        <is>
          <t>Grocery</t>
        </is>
      </c>
      <c r="E3077" s="58" t="inlineStr">
        <is>
          <t>East</t>
        </is>
      </c>
      <c r="F3077" s="61" t="n">
        <v>2</v>
      </c>
      <c r="G3077" s="62" t="n">
        <v>16.07</v>
      </c>
      <c r="H3077" s="63" t="n">
        <v>0.151</v>
      </c>
      <c r="I3077" s="62" t="n">
        <v>11.43</v>
      </c>
      <c r="J3077" s="58" t="inlineStr">
        <is>
          <t>Store</t>
        </is>
      </c>
      <c r="K3077" s="62">
        <f>F3077*(G3077-H3077)</f>
        <v/>
      </c>
      <c r="L3077" s="62">
        <f>K3077-(F3077*I3077)</f>
        <v/>
      </c>
      <c r="M3077" s="64">
        <f>L3077/K3077</f>
        <v/>
      </c>
    </row>
    <row r="3078">
      <c r="A3078" s="58" t="inlineStr">
        <is>
          <t>RT20250320-03077</t>
        </is>
      </c>
      <c r="B3078" s="59" t="inlineStr">
        <is>
          <t>2025-03-20</t>
        </is>
      </c>
      <c r="C3078" s="60" t="inlineStr">
        <is>
          <t>Nimbus Storage Plus-646</t>
        </is>
      </c>
      <c r="D3078" s="58" t="inlineStr">
        <is>
          <t>Office</t>
        </is>
      </c>
      <c r="E3078" s="58" t="inlineStr">
        <is>
          <t>West</t>
        </is>
      </c>
      <c r="F3078" s="61" t="n">
        <v>2</v>
      </c>
      <c r="G3078" s="62" t="n">
        <v>428.92</v>
      </c>
      <c r="H3078" s="63" t="n">
        <v>0.1</v>
      </c>
      <c r="I3078" s="62" t="n">
        <v>310.78</v>
      </c>
      <c r="J3078" s="58" t="inlineStr">
        <is>
          <t>Store</t>
        </is>
      </c>
      <c r="K3078" s="62">
        <f>F3078*(G3078-H3078)</f>
        <v/>
      </c>
      <c r="L3078" s="62">
        <f>K3078-(F3078*I3078)</f>
        <v/>
      </c>
      <c r="M3078" s="64">
        <f>L3078/K3078</f>
        <v/>
      </c>
    </row>
    <row r="3079">
      <c r="A3079" s="58" t="inlineStr">
        <is>
          <t>RT20250320-03078</t>
        </is>
      </c>
      <c r="B3079" s="59" t="inlineStr">
        <is>
          <t>2025-03-20</t>
        </is>
      </c>
      <c r="C3079" s="60" t="inlineStr">
        <is>
          <t>Polar Supplie Lite-348</t>
        </is>
      </c>
      <c r="D3079" s="58" t="inlineStr">
        <is>
          <t>Office</t>
        </is>
      </c>
      <c r="E3079" s="58" t="inlineStr">
        <is>
          <t>West</t>
        </is>
      </c>
      <c r="F3079" s="61" t="n">
        <v>3</v>
      </c>
      <c r="G3079" s="62" t="n">
        <v>442.04</v>
      </c>
      <c r="H3079" s="63" t="n">
        <v>0.056</v>
      </c>
      <c r="I3079" s="62" t="n">
        <v>310.73</v>
      </c>
      <c r="J3079" s="58" t="inlineStr">
        <is>
          <t>Store</t>
        </is>
      </c>
      <c r="K3079" s="62">
        <f>F3079*(G3079-H3079)</f>
        <v/>
      </c>
      <c r="L3079" s="62">
        <f>K3079-(F3079*I3079)</f>
        <v/>
      </c>
      <c r="M3079" s="64">
        <f>L3079/K3079</f>
        <v/>
      </c>
    </row>
    <row r="3080">
      <c r="A3080" s="58" t="inlineStr">
        <is>
          <t>RT20250320-03079</t>
        </is>
      </c>
      <c r="B3080" s="59" t="inlineStr">
        <is>
          <t>2025-03-20</t>
        </is>
      </c>
      <c r="C3080" s="60" t="inlineStr">
        <is>
          <t>Polar Laptop Plus-984</t>
        </is>
      </c>
      <c r="D3080" s="58" t="inlineStr">
        <is>
          <t>Electronics</t>
        </is>
      </c>
      <c r="E3080" s="58" t="inlineStr">
        <is>
          <t>East</t>
        </is>
      </c>
      <c r="F3080" s="61" t="n">
        <v>1</v>
      </c>
      <c r="G3080" s="62" t="n">
        <v>1492.33</v>
      </c>
      <c r="H3080" s="63" t="n">
        <v>0.074</v>
      </c>
      <c r="I3080" s="62" t="n">
        <v>975.4299999999999</v>
      </c>
      <c r="J3080" s="58" t="inlineStr">
        <is>
          <t>Store</t>
        </is>
      </c>
      <c r="K3080" s="62">
        <f>F3080*(G3080-H3080)</f>
        <v/>
      </c>
      <c r="L3080" s="62">
        <f>K3080-(F3080*I3080)</f>
        <v/>
      </c>
      <c r="M3080" s="64">
        <f>L3080/K3080</f>
        <v/>
      </c>
    </row>
    <row r="3081">
      <c r="A3081" s="58" t="inlineStr">
        <is>
          <t>RT20250320-03080</t>
        </is>
      </c>
      <c r="B3081" s="59" t="inlineStr">
        <is>
          <t>2025-03-20</t>
        </is>
      </c>
      <c r="C3081" s="60" t="inlineStr">
        <is>
          <t>Falcon Headphone Pro-713</t>
        </is>
      </c>
      <c r="D3081" s="58" t="inlineStr">
        <is>
          <t>Electronics</t>
        </is>
      </c>
      <c r="E3081" s="58" t="inlineStr">
        <is>
          <t>East</t>
        </is>
      </c>
      <c r="F3081" s="61" t="n">
        <v>1</v>
      </c>
      <c r="G3081" s="62" t="n">
        <v>1557.24</v>
      </c>
      <c r="H3081" s="63" t="n">
        <v>0.141</v>
      </c>
      <c r="I3081" s="62" t="n">
        <v>1173.79</v>
      </c>
      <c r="J3081" s="58" t="inlineStr">
        <is>
          <t>Store</t>
        </is>
      </c>
      <c r="K3081" s="62">
        <f>F3081*(G3081-H3081)</f>
        <v/>
      </c>
      <c r="L3081" s="62">
        <f>K3081-(F3081*I3081)</f>
        <v/>
      </c>
      <c r="M3081" s="64">
        <f>L3081/K3081</f>
        <v/>
      </c>
    </row>
    <row r="3082">
      <c r="A3082" s="58" t="inlineStr">
        <is>
          <t>RT20250320-03081</t>
        </is>
      </c>
      <c r="B3082" s="59" t="inlineStr">
        <is>
          <t>2025-03-20</t>
        </is>
      </c>
      <c r="C3082" s="60" t="inlineStr">
        <is>
          <t>Aurora Team Sport Plus-256</t>
        </is>
      </c>
      <c r="D3082" s="58" t="inlineStr">
        <is>
          <t>Sports</t>
        </is>
      </c>
      <c r="E3082" s="58" t="inlineStr">
        <is>
          <t>North</t>
        </is>
      </c>
      <c r="F3082" s="61" t="n">
        <v>3</v>
      </c>
      <c r="G3082" s="62" t="n">
        <v>558.3099999999999</v>
      </c>
      <c r="H3082" s="63" t="n">
        <v>0.08500000000000001</v>
      </c>
      <c r="I3082" s="62" t="n">
        <v>426.88</v>
      </c>
      <c r="J3082" s="58" t="inlineStr">
        <is>
          <t>Online</t>
        </is>
      </c>
      <c r="K3082" s="62">
        <f>F3082*(G3082-H3082)</f>
        <v/>
      </c>
      <c r="L3082" s="62">
        <f>K3082-(F3082*I3082)</f>
        <v/>
      </c>
      <c r="M3082" s="64">
        <f>L3082/K3082</f>
        <v/>
      </c>
    </row>
    <row r="3083">
      <c r="A3083" s="58" t="inlineStr">
        <is>
          <t>RT20250320-03082</t>
        </is>
      </c>
      <c r="B3083" s="59" t="inlineStr">
        <is>
          <t>2025-03-20</t>
        </is>
      </c>
      <c r="C3083" s="60" t="inlineStr">
        <is>
          <t>Aurora Makeup Pro-489</t>
        </is>
      </c>
      <c r="D3083" s="58" t="inlineStr">
        <is>
          <t>Beauty</t>
        </is>
      </c>
      <c r="E3083" s="58" t="inlineStr">
        <is>
          <t>West</t>
        </is>
      </c>
      <c r="F3083" s="61" t="n">
        <v>2</v>
      </c>
      <c r="G3083" s="62" t="n">
        <v>107.82</v>
      </c>
      <c r="H3083" s="63" t="n">
        <v>0.047</v>
      </c>
      <c r="I3083" s="62" t="n">
        <v>62.06</v>
      </c>
      <c r="J3083" s="58" t="inlineStr">
        <is>
          <t>Online</t>
        </is>
      </c>
      <c r="K3083" s="62">
        <f>F3083*(G3083-H3083)</f>
        <v/>
      </c>
      <c r="L3083" s="62">
        <f>K3083-(F3083*I3083)</f>
        <v/>
      </c>
      <c r="M3083" s="64">
        <f>L3083/K3083</f>
        <v/>
      </c>
    </row>
    <row r="3084">
      <c r="A3084" s="58" t="inlineStr">
        <is>
          <t>RT20250320-03083</t>
        </is>
      </c>
      <c r="B3084" s="59" t="inlineStr">
        <is>
          <t>2025-03-20</t>
        </is>
      </c>
      <c r="C3084" s="60" t="inlineStr">
        <is>
          <t>Metro Pantry X-710</t>
        </is>
      </c>
      <c r="D3084" s="58" t="inlineStr">
        <is>
          <t>Grocery</t>
        </is>
      </c>
      <c r="E3084" s="58" t="inlineStr">
        <is>
          <t>South</t>
        </is>
      </c>
      <c r="F3084" s="61" t="n">
        <v>6</v>
      </c>
      <c r="G3084" s="62" t="n">
        <v>5.99</v>
      </c>
      <c r="H3084" s="63" t="n">
        <v>0.11</v>
      </c>
      <c r="I3084" s="62" t="n">
        <v>4.26</v>
      </c>
      <c r="J3084" s="58" t="inlineStr">
        <is>
          <t>Store</t>
        </is>
      </c>
      <c r="K3084" s="62">
        <f>F3084*(G3084-H3084)</f>
        <v/>
      </c>
      <c r="L3084" s="62">
        <f>K3084-(F3084*I3084)</f>
        <v/>
      </c>
      <c r="M3084" s="64">
        <f>L3084/K3084</f>
        <v/>
      </c>
    </row>
    <row r="3085">
      <c r="A3085" s="58" t="inlineStr">
        <is>
          <t>RT20250320-03084</t>
        </is>
      </c>
      <c r="B3085" s="59" t="inlineStr">
        <is>
          <t>2025-03-20</t>
        </is>
      </c>
      <c r="C3085" s="60" t="inlineStr">
        <is>
          <t>Falcon Household Pro-865</t>
        </is>
      </c>
      <c r="D3085" s="58" t="inlineStr">
        <is>
          <t>Grocery</t>
        </is>
      </c>
      <c r="E3085" s="58" t="inlineStr">
        <is>
          <t>South</t>
        </is>
      </c>
      <c r="F3085" s="61" t="n">
        <v>5</v>
      </c>
      <c r="G3085" s="62" t="n">
        <v>7.49</v>
      </c>
      <c r="H3085" s="63" t="n">
        <v>0.044</v>
      </c>
      <c r="I3085" s="62" t="n">
        <v>6.95</v>
      </c>
      <c r="J3085" s="58" t="inlineStr">
        <is>
          <t>Online</t>
        </is>
      </c>
      <c r="K3085" s="62">
        <f>F3085*(G3085-H3085)</f>
        <v/>
      </c>
      <c r="L3085" s="62">
        <f>K3085-(F3085*I3085)</f>
        <v/>
      </c>
      <c r="M3085" s="64">
        <f>L3085/K3085</f>
        <v/>
      </c>
    </row>
    <row r="3086">
      <c r="A3086" s="58" t="inlineStr">
        <is>
          <t>RT20250320-03085</t>
        </is>
      </c>
      <c r="B3086" s="59" t="inlineStr">
        <is>
          <t>2025-03-20</t>
        </is>
      </c>
      <c r="C3086" s="60" t="inlineStr">
        <is>
          <t>Solace Headphone Pro-344</t>
        </is>
      </c>
      <c r="D3086" s="58" t="inlineStr">
        <is>
          <t>Electronics</t>
        </is>
      </c>
      <c r="E3086" s="58" t="inlineStr">
        <is>
          <t>Central</t>
        </is>
      </c>
      <c r="F3086" s="61" t="n">
        <v>2</v>
      </c>
      <c r="G3086" s="62" t="n">
        <v>1149.92</v>
      </c>
      <c r="H3086" s="63" t="n">
        <v>0.038</v>
      </c>
      <c r="I3086" s="62" t="n">
        <v>1074</v>
      </c>
      <c r="J3086" s="58" t="inlineStr">
        <is>
          <t>Online</t>
        </is>
      </c>
      <c r="K3086" s="62">
        <f>F3086*(G3086-H3086)</f>
        <v/>
      </c>
      <c r="L3086" s="62">
        <f>K3086-(F3086*I3086)</f>
        <v/>
      </c>
      <c r="M3086" s="64">
        <f>L3086/K3086</f>
        <v/>
      </c>
    </row>
    <row r="3087">
      <c r="A3087" s="58" t="inlineStr">
        <is>
          <t>RT20250320-03086</t>
        </is>
      </c>
      <c r="B3087" s="59" t="inlineStr">
        <is>
          <t>2025-03-20</t>
        </is>
      </c>
      <c r="C3087" s="60" t="inlineStr">
        <is>
          <t>Polar Cycling X-649</t>
        </is>
      </c>
      <c r="D3087" s="58" t="inlineStr">
        <is>
          <t>Sports</t>
        </is>
      </c>
      <c r="E3087" s="58" t="inlineStr">
        <is>
          <t>West</t>
        </is>
      </c>
      <c r="F3087" s="61" t="n">
        <v>1</v>
      </c>
      <c r="G3087" s="62" t="n">
        <v>548.4400000000001</v>
      </c>
      <c r="H3087" s="63" t="n">
        <v>0.078</v>
      </c>
      <c r="I3087" s="62" t="n">
        <v>370.22</v>
      </c>
      <c r="J3087" s="58" t="inlineStr">
        <is>
          <t>Online</t>
        </is>
      </c>
      <c r="K3087" s="62">
        <f>F3087*(G3087-H3087)</f>
        <v/>
      </c>
      <c r="L3087" s="62">
        <f>K3087-(F3087*I3087)</f>
        <v/>
      </c>
      <c r="M3087" s="64">
        <f>L3087/K3087</f>
        <v/>
      </c>
    </row>
    <row r="3088">
      <c r="A3088" s="58" t="inlineStr">
        <is>
          <t>RT20250320-03087</t>
        </is>
      </c>
      <c r="B3088" s="59" t="inlineStr">
        <is>
          <t>2025-03-20</t>
        </is>
      </c>
      <c r="C3088" s="60" t="inlineStr">
        <is>
          <t>Orion Storage Plus-961</t>
        </is>
      </c>
      <c r="D3088" s="58" t="inlineStr">
        <is>
          <t>Office</t>
        </is>
      </c>
      <c r="E3088" s="58" t="inlineStr">
        <is>
          <t>West</t>
        </is>
      </c>
      <c r="F3088" s="61" t="n">
        <v>2</v>
      </c>
      <c r="G3088" s="62" t="n">
        <v>448.12</v>
      </c>
      <c r="H3088" s="63" t="n">
        <v>0.09</v>
      </c>
      <c r="I3088" s="62" t="n">
        <v>355.32</v>
      </c>
      <c r="J3088" s="58" t="inlineStr">
        <is>
          <t>Online</t>
        </is>
      </c>
      <c r="K3088" s="62">
        <f>F3088*(G3088-H3088)</f>
        <v/>
      </c>
      <c r="L3088" s="62">
        <f>K3088-(F3088*I3088)</f>
        <v/>
      </c>
      <c r="M3088" s="64">
        <f>L3088/K3088</f>
        <v/>
      </c>
    </row>
    <row r="3089">
      <c r="A3089" s="58" t="inlineStr">
        <is>
          <t>RT20250320-03088</t>
        </is>
      </c>
      <c r="B3089" s="59" t="inlineStr">
        <is>
          <t>2025-03-20</t>
        </is>
      </c>
      <c r="C3089" s="60" t="inlineStr">
        <is>
          <t>Polar Outdoor Lite-318</t>
        </is>
      </c>
      <c r="D3089" s="58" t="inlineStr">
        <is>
          <t>Sports</t>
        </is>
      </c>
      <c r="E3089" s="58" t="inlineStr">
        <is>
          <t>Central</t>
        </is>
      </c>
      <c r="F3089" s="61" t="n">
        <v>2</v>
      </c>
      <c r="G3089" s="62" t="n">
        <v>752.79</v>
      </c>
      <c r="H3089" s="63" t="n">
        <v>0.064</v>
      </c>
      <c r="I3089" s="62" t="n">
        <v>469.34</v>
      </c>
      <c r="J3089" s="58" t="inlineStr">
        <is>
          <t>Store</t>
        </is>
      </c>
      <c r="K3089" s="62">
        <f>F3089*(G3089-H3089)</f>
        <v/>
      </c>
      <c r="L3089" s="62">
        <f>K3089-(F3089*I3089)</f>
        <v/>
      </c>
      <c r="M3089" s="64">
        <f>L3089/K3089</f>
        <v/>
      </c>
    </row>
    <row r="3090">
      <c r="A3090" s="58" t="inlineStr">
        <is>
          <t>RT20250320-03089</t>
        </is>
      </c>
      <c r="B3090" s="59" t="inlineStr">
        <is>
          <t>2025-03-20</t>
        </is>
      </c>
      <c r="C3090" s="60" t="inlineStr">
        <is>
          <t>Aurora Household Plus-146</t>
        </is>
      </c>
      <c r="D3090" s="58" t="inlineStr">
        <is>
          <t>Grocery</t>
        </is>
      </c>
      <c r="E3090" s="58" t="inlineStr">
        <is>
          <t>West</t>
        </is>
      </c>
      <c r="F3090" s="61" t="n">
        <v>6</v>
      </c>
      <c r="G3090" s="62" t="n">
        <v>6.64</v>
      </c>
      <c r="H3090" s="63" t="n">
        <v>0.123</v>
      </c>
      <c r="I3090" s="62" t="n">
        <v>4.49</v>
      </c>
      <c r="J3090" s="58" t="inlineStr">
        <is>
          <t>Store</t>
        </is>
      </c>
      <c r="K3090" s="62">
        <f>F3090*(G3090-H3090)</f>
        <v/>
      </c>
      <c r="L3090" s="62">
        <f>K3090-(F3090*I3090)</f>
        <v/>
      </c>
      <c r="M3090" s="64">
        <f>L3090/K3090</f>
        <v/>
      </c>
    </row>
    <row r="3091">
      <c r="A3091" s="58" t="inlineStr">
        <is>
          <t>RT20250320-03090</t>
        </is>
      </c>
      <c r="B3091" s="59" t="inlineStr">
        <is>
          <t>2025-03-20</t>
        </is>
      </c>
      <c r="C3091" s="60" t="inlineStr">
        <is>
          <t>Polar Women S-662</t>
        </is>
      </c>
      <c r="D3091" s="58" t="inlineStr">
        <is>
          <t>Apparel</t>
        </is>
      </c>
      <c r="E3091" s="58" t="inlineStr">
        <is>
          <t>West</t>
        </is>
      </c>
      <c r="F3091" s="61" t="n">
        <v>4</v>
      </c>
      <c r="G3091" s="62" t="n">
        <v>174.55</v>
      </c>
      <c r="H3091" s="63" t="n">
        <v>0.11</v>
      </c>
      <c r="I3091" s="62" t="n">
        <v>98.53</v>
      </c>
      <c r="J3091" s="58" t="inlineStr">
        <is>
          <t>Online</t>
        </is>
      </c>
      <c r="K3091" s="62">
        <f>F3091*(G3091-H3091)</f>
        <v/>
      </c>
      <c r="L3091" s="62">
        <f>K3091-(F3091*I3091)</f>
        <v/>
      </c>
      <c r="M3091" s="64">
        <f>L3091/K3091</f>
        <v/>
      </c>
    </row>
    <row r="3092">
      <c r="A3092" s="58" t="inlineStr">
        <is>
          <t>RT20250320-03091</t>
        </is>
      </c>
      <c r="B3092" s="59" t="inlineStr">
        <is>
          <t>2025-03-20</t>
        </is>
      </c>
      <c r="C3092" s="60" t="inlineStr">
        <is>
          <t>Falcon Bedding S-674</t>
        </is>
      </c>
      <c r="D3092" s="58" t="inlineStr">
        <is>
          <t>Home</t>
        </is>
      </c>
      <c r="E3092" s="58" t="inlineStr">
        <is>
          <t>East</t>
        </is>
      </c>
      <c r="F3092" s="61" t="n">
        <v>1</v>
      </c>
      <c r="G3092" s="62" t="n">
        <v>687.92</v>
      </c>
      <c r="H3092" s="63" t="n">
        <v>0.118</v>
      </c>
      <c r="I3092" s="62" t="n">
        <v>456.22</v>
      </c>
      <c r="J3092" s="58" t="inlineStr">
        <is>
          <t>Online</t>
        </is>
      </c>
      <c r="K3092" s="62">
        <f>F3092*(G3092-H3092)</f>
        <v/>
      </c>
      <c r="L3092" s="62">
        <f>K3092-(F3092*I3092)</f>
        <v/>
      </c>
      <c r="M3092" s="64">
        <f>L3092/K3092</f>
        <v/>
      </c>
    </row>
    <row r="3093">
      <c r="A3093" s="58" t="inlineStr">
        <is>
          <t>RT20250320-03092</t>
        </is>
      </c>
      <c r="B3093" s="59" t="inlineStr">
        <is>
          <t>2025-03-20</t>
        </is>
      </c>
      <c r="C3093" s="60" t="inlineStr">
        <is>
          <t>Polar Pantry Lite-392</t>
        </is>
      </c>
      <c r="D3093" s="58" t="inlineStr">
        <is>
          <t>Grocery</t>
        </is>
      </c>
      <c r="E3093" s="58" t="inlineStr">
        <is>
          <t>Central</t>
        </is>
      </c>
      <c r="F3093" s="61" t="n">
        <v>3</v>
      </c>
      <c r="G3093" s="62" t="n">
        <v>6.51</v>
      </c>
      <c r="H3093" s="63" t="n">
        <v>0.05</v>
      </c>
      <c r="I3093" s="62" t="n">
        <v>4.45</v>
      </c>
      <c r="J3093" s="58" t="inlineStr">
        <is>
          <t>Store</t>
        </is>
      </c>
      <c r="K3093" s="62">
        <f>F3093*(G3093-H3093)</f>
        <v/>
      </c>
      <c r="L3093" s="62">
        <f>K3093-(F3093*I3093)</f>
        <v/>
      </c>
      <c r="M3093" s="64">
        <f>L3093/K3093</f>
        <v/>
      </c>
    </row>
    <row r="3094">
      <c r="A3094" s="58" t="inlineStr">
        <is>
          <t>RT20250320-03093</t>
        </is>
      </c>
      <c r="B3094" s="59" t="inlineStr">
        <is>
          <t>2025-03-20</t>
        </is>
      </c>
      <c r="C3094" s="60" t="inlineStr">
        <is>
          <t>Solace Headphone Pro-344</t>
        </is>
      </c>
      <c r="D3094" s="58" t="inlineStr">
        <is>
          <t>Electronics</t>
        </is>
      </c>
      <c r="E3094" s="58" t="inlineStr">
        <is>
          <t>North</t>
        </is>
      </c>
      <c r="F3094" s="61" t="n">
        <v>2</v>
      </c>
      <c r="G3094" s="62" t="n">
        <v>1543.32</v>
      </c>
      <c r="H3094" s="63" t="n">
        <v>0.077</v>
      </c>
      <c r="I3094" s="62" t="n">
        <v>1068.46</v>
      </c>
      <c r="J3094" s="58" t="inlineStr">
        <is>
          <t>Store</t>
        </is>
      </c>
      <c r="K3094" s="62">
        <f>F3094*(G3094-H3094)</f>
        <v/>
      </c>
      <c r="L3094" s="62">
        <f>K3094-(F3094*I3094)</f>
        <v/>
      </c>
      <c r="M3094" s="64">
        <f>L3094/K3094</f>
        <v/>
      </c>
    </row>
    <row r="3095">
      <c r="A3095" s="58" t="inlineStr">
        <is>
          <t>RT20250320-03094</t>
        </is>
      </c>
      <c r="B3095" s="59" t="inlineStr">
        <is>
          <t>2025-03-20</t>
        </is>
      </c>
      <c r="C3095" s="60" t="inlineStr">
        <is>
          <t>Orion Supplie S-612</t>
        </is>
      </c>
      <c r="D3095" s="58" t="inlineStr">
        <is>
          <t>Office</t>
        </is>
      </c>
      <c r="E3095" s="58" t="inlineStr">
        <is>
          <t>North</t>
        </is>
      </c>
      <c r="F3095" s="61" t="n">
        <v>1</v>
      </c>
      <c r="G3095" s="62" t="n">
        <v>486.04</v>
      </c>
      <c r="H3095" s="63" t="n">
        <v>0.16</v>
      </c>
      <c r="I3095" s="62" t="n">
        <v>335.47</v>
      </c>
      <c r="J3095" s="58" t="inlineStr">
        <is>
          <t>Online</t>
        </is>
      </c>
      <c r="K3095" s="62">
        <f>F3095*(G3095-H3095)</f>
        <v/>
      </c>
      <c r="L3095" s="62">
        <f>K3095-(F3095*I3095)</f>
        <v/>
      </c>
      <c r="M3095" s="64">
        <f>L3095/K3095</f>
        <v/>
      </c>
    </row>
    <row r="3096">
      <c r="A3096" s="58" t="inlineStr">
        <is>
          <t>RT20250320-03095</t>
        </is>
      </c>
      <c r="B3096" s="59" t="inlineStr">
        <is>
          <t>2025-03-20</t>
        </is>
      </c>
      <c r="C3096" s="60" t="inlineStr">
        <is>
          <t>Aurora Kid Plus-151</t>
        </is>
      </c>
      <c r="D3096" s="58" t="inlineStr">
        <is>
          <t>Apparel</t>
        </is>
      </c>
      <c r="E3096" s="58" t="inlineStr">
        <is>
          <t>East</t>
        </is>
      </c>
      <c r="F3096" s="61" t="n">
        <v>1</v>
      </c>
      <c r="G3096" s="62" t="n">
        <v>112.94</v>
      </c>
      <c r="H3096" s="63" t="n">
        <v>0.118</v>
      </c>
      <c r="I3096" s="62" t="n">
        <v>66.06</v>
      </c>
      <c r="J3096" s="58" t="inlineStr">
        <is>
          <t>Online</t>
        </is>
      </c>
      <c r="K3096" s="62">
        <f>F3096*(G3096-H3096)</f>
        <v/>
      </c>
      <c r="L3096" s="62">
        <f>K3096-(F3096*I3096)</f>
        <v/>
      </c>
      <c r="M3096" s="64">
        <f>L3096/K3096</f>
        <v/>
      </c>
    </row>
    <row r="3097">
      <c r="A3097" s="58" t="inlineStr">
        <is>
          <t>RT20250321-03096</t>
        </is>
      </c>
      <c r="B3097" s="59" t="inlineStr">
        <is>
          <t>2025-03-21</t>
        </is>
      </c>
      <c r="C3097" s="60" t="inlineStr">
        <is>
          <t>Vertex Men X-995</t>
        </is>
      </c>
      <c r="D3097" s="58" t="inlineStr">
        <is>
          <t>Apparel</t>
        </is>
      </c>
      <c r="E3097" s="58" t="inlineStr">
        <is>
          <t>East</t>
        </is>
      </c>
      <c r="F3097" s="61" t="n">
        <v>2</v>
      </c>
      <c r="G3097" s="62" t="n">
        <v>99.66</v>
      </c>
      <c r="H3097" s="63" t="n">
        <v>0.152</v>
      </c>
      <c r="I3097" s="62" t="n">
        <v>59.65</v>
      </c>
      <c r="J3097" s="58" t="inlineStr">
        <is>
          <t>Store</t>
        </is>
      </c>
      <c r="K3097" s="62">
        <f>F3097*(G3097-H3097)</f>
        <v/>
      </c>
      <c r="L3097" s="62">
        <f>K3097-(F3097*I3097)</f>
        <v/>
      </c>
      <c r="M3097" s="64">
        <f>L3097/K3097</f>
        <v/>
      </c>
    </row>
    <row r="3098">
      <c r="A3098" s="58" t="inlineStr">
        <is>
          <t>RT20250321-03097</t>
        </is>
      </c>
      <c r="B3098" s="59" t="inlineStr">
        <is>
          <t>2025-03-21</t>
        </is>
      </c>
      <c r="C3098" s="60" t="inlineStr">
        <is>
          <t>Polar Wearable X-119</t>
        </is>
      </c>
      <c r="D3098" s="58" t="inlineStr">
        <is>
          <t>Electronics</t>
        </is>
      </c>
      <c r="E3098" s="58" t="inlineStr">
        <is>
          <t>South</t>
        </is>
      </c>
      <c r="F3098" s="61" t="n">
        <v>1</v>
      </c>
      <c r="G3098" s="62" t="n">
        <v>1695.2</v>
      </c>
      <c r="H3098" s="63" t="n">
        <v>0.061</v>
      </c>
      <c r="I3098" s="62" t="n">
        <v>1336.97</v>
      </c>
      <c r="J3098" s="58" t="inlineStr">
        <is>
          <t>Store</t>
        </is>
      </c>
      <c r="K3098" s="62">
        <f>F3098*(G3098-H3098)</f>
        <v/>
      </c>
      <c r="L3098" s="62">
        <f>K3098-(F3098*I3098)</f>
        <v/>
      </c>
      <c r="M3098" s="64">
        <f>L3098/K3098</f>
        <v/>
      </c>
    </row>
    <row r="3099">
      <c r="A3099" s="58" t="inlineStr">
        <is>
          <t>RT20250321-03098</t>
        </is>
      </c>
      <c r="B3099" s="59" t="inlineStr">
        <is>
          <t>2025-03-21</t>
        </is>
      </c>
      <c r="C3099" s="60" t="inlineStr">
        <is>
          <t>Orion Kid Max-864</t>
        </is>
      </c>
      <c r="D3099" s="58" t="inlineStr">
        <is>
          <t>Apparel</t>
        </is>
      </c>
      <c r="E3099" s="58" t="inlineStr">
        <is>
          <t>South</t>
        </is>
      </c>
      <c r="F3099" s="61" t="n">
        <v>1</v>
      </c>
      <c r="G3099" s="62" t="n">
        <v>85.76000000000001</v>
      </c>
      <c r="H3099" s="63" t="n">
        <v>0.08500000000000001</v>
      </c>
      <c r="I3099" s="62" t="n">
        <v>45.75</v>
      </c>
      <c r="J3099" s="58" t="inlineStr">
        <is>
          <t>Store</t>
        </is>
      </c>
      <c r="K3099" s="62">
        <f>F3099*(G3099-H3099)</f>
        <v/>
      </c>
      <c r="L3099" s="62">
        <f>K3099-(F3099*I3099)</f>
        <v/>
      </c>
      <c r="M3099" s="64">
        <f>L3099/K3099</f>
        <v/>
      </c>
    </row>
    <row r="3100">
      <c r="A3100" s="58" t="inlineStr">
        <is>
          <t>RT20250321-03099</t>
        </is>
      </c>
      <c r="B3100" s="59" t="inlineStr">
        <is>
          <t>2025-03-21</t>
        </is>
      </c>
      <c r="C3100" s="60" t="inlineStr">
        <is>
          <t>Falcon Beverage Max-702</t>
        </is>
      </c>
      <c r="D3100" s="58" t="inlineStr">
        <is>
          <t>Grocery</t>
        </is>
      </c>
      <c r="E3100" s="58" t="inlineStr">
        <is>
          <t>North</t>
        </is>
      </c>
      <c r="F3100" s="61" t="n">
        <v>6</v>
      </c>
      <c r="G3100" s="62" t="n">
        <v>27.79</v>
      </c>
      <c r="H3100" s="63" t="n">
        <v>0.146</v>
      </c>
      <c r="I3100" s="62" t="n">
        <v>20.25</v>
      </c>
      <c r="J3100" s="58" t="inlineStr">
        <is>
          <t>Online</t>
        </is>
      </c>
      <c r="K3100" s="62">
        <f>F3100*(G3100-H3100)</f>
        <v/>
      </c>
      <c r="L3100" s="62">
        <f>K3100-(F3100*I3100)</f>
        <v/>
      </c>
      <c r="M3100" s="64">
        <f>L3100/K3100</f>
        <v/>
      </c>
    </row>
    <row r="3101">
      <c r="A3101" s="58" t="inlineStr">
        <is>
          <t>RT20250321-03100</t>
        </is>
      </c>
      <c r="B3101" s="59" t="inlineStr">
        <is>
          <t>2025-03-21</t>
        </is>
      </c>
      <c r="C3101" s="60" t="inlineStr">
        <is>
          <t>Orion Kitchen Pro-568</t>
        </is>
      </c>
      <c r="D3101" s="58" t="inlineStr">
        <is>
          <t>Home</t>
        </is>
      </c>
      <c r="E3101" s="58" t="inlineStr">
        <is>
          <t>East</t>
        </is>
      </c>
      <c r="F3101" s="61" t="n">
        <v>1</v>
      </c>
      <c r="G3101" s="62" t="n">
        <v>459.59</v>
      </c>
      <c r="H3101" s="63" t="n">
        <v>0.121</v>
      </c>
      <c r="I3101" s="62" t="n">
        <v>314.07</v>
      </c>
      <c r="J3101" s="58" t="inlineStr">
        <is>
          <t>Store</t>
        </is>
      </c>
      <c r="K3101" s="62">
        <f>F3101*(G3101-H3101)</f>
        <v/>
      </c>
      <c r="L3101" s="62">
        <f>K3101-(F3101*I3101)</f>
        <v/>
      </c>
      <c r="M3101" s="64">
        <f>L3101/K3101</f>
        <v/>
      </c>
    </row>
    <row r="3102">
      <c r="A3102" s="58" t="inlineStr">
        <is>
          <t>RT20250321-03101</t>
        </is>
      </c>
      <c r="B3102" s="59" t="inlineStr">
        <is>
          <t>2025-03-21</t>
        </is>
      </c>
      <c r="C3102" s="60" t="inlineStr">
        <is>
          <t>Solace Team Sport Max-548</t>
        </is>
      </c>
      <c r="D3102" s="58" t="inlineStr">
        <is>
          <t>Sports</t>
        </is>
      </c>
      <c r="E3102" s="58" t="inlineStr">
        <is>
          <t>West</t>
        </is>
      </c>
      <c r="F3102" s="61" t="n">
        <v>3</v>
      </c>
      <c r="G3102" s="62" t="n">
        <v>678.6799999999999</v>
      </c>
      <c r="H3102" s="63" t="n">
        <v>0.073</v>
      </c>
      <c r="I3102" s="62" t="n">
        <v>477.68</v>
      </c>
      <c r="J3102" s="58" t="inlineStr">
        <is>
          <t>Online</t>
        </is>
      </c>
      <c r="K3102" s="62">
        <f>F3102*(G3102-H3102)</f>
        <v/>
      </c>
      <c r="L3102" s="62">
        <f>K3102-(F3102*I3102)</f>
        <v/>
      </c>
      <c r="M3102" s="64">
        <f>L3102/K3102</f>
        <v/>
      </c>
    </row>
    <row r="3103">
      <c r="A3103" s="58" t="inlineStr">
        <is>
          <t>RT20250321-03102</t>
        </is>
      </c>
      <c r="B3103" s="59" t="inlineStr">
        <is>
          <t>2025-03-21</t>
        </is>
      </c>
      <c r="C3103" s="60" t="inlineStr">
        <is>
          <t>Orion Storage Plus-961</t>
        </is>
      </c>
      <c r="D3103" s="58" t="inlineStr">
        <is>
          <t>Office</t>
        </is>
      </c>
      <c r="E3103" s="58" t="inlineStr">
        <is>
          <t>West</t>
        </is>
      </c>
      <c r="F3103" s="61" t="n">
        <v>1</v>
      </c>
      <c r="G3103" s="62" t="n">
        <v>481.85</v>
      </c>
      <c r="H3103" s="63" t="n">
        <v>0.051</v>
      </c>
      <c r="I3103" s="62" t="n">
        <v>362.4</v>
      </c>
      <c r="J3103" s="58" t="inlineStr">
        <is>
          <t>Phone</t>
        </is>
      </c>
      <c r="K3103" s="62">
        <f>F3103*(G3103-H3103)</f>
        <v/>
      </c>
      <c r="L3103" s="62">
        <f>K3103-(F3103*I3103)</f>
        <v/>
      </c>
      <c r="M3103" s="64">
        <f>L3103/K3103</f>
        <v/>
      </c>
    </row>
    <row r="3104">
      <c r="A3104" s="58" t="inlineStr">
        <is>
          <t>RT20250321-03103</t>
        </is>
      </c>
      <c r="B3104" s="59" t="inlineStr">
        <is>
          <t>2025-03-21</t>
        </is>
      </c>
      <c r="C3104" s="60" t="inlineStr">
        <is>
          <t>Polar Fragrance Pro-750</t>
        </is>
      </c>
      <c r="D3104" s="58" t="inlineStr">
        <is>
          <t>Beauty</t>
        </is>
      </c>
      <c r="E3104" s="58" t="inlineStr">
        <is>
          <t>Central</t>
        </is>
      </c>
      <c r="F3104" s="61" t="n">
        <v>4</v>
      </c>
      <c r="G3104" s="62" t="n">
        <v>61.29</v>
      </c>
      <c r="H3104" s="63" t="n">
        <v>0.097</v>
      </c>
      <c r="I3104" s="62" t="n">
        <v>37.95</v>
      </c>
      <c r="J3104" s="58" t="inlineStr">
        <is>
          <t>Store</t>
        </is>
      </c>
      <c r="K3104" s="62">
        <f>F3104*(G3104-H3104)</f>
        <v/>
      </c>
      <c r="L3104" s="62">
        <f>K3104-(F3104*I3104)</f>
        <v/>
      </c>
      <c r="M3104" s="64">
        <f>L3104/K3104</f>
        <v/>
      </c>
    </row>
    <row r="3105">
      <c r="A3105" s="58" t="inlineStr">
        <is>
          <t>RT20250321-03104</t>
        </is>
      </c>
      <c r="B3105" s="59" t="inlineStr">
        <is>
          <t>2025-03-21</t>
        </is>
      </c>
      <c r="C3105" s="60" t="inlineStr">
        <is>
          <t>Aurora Team Sport Plus-256</t>
        </is>
      </c>
      <c r="D3105" s="58" t="inlineStr">
        <is>
          <t>Sports</t>
        </is>
      </c>
      <c r="E3105" s="58" t="inlineStr">
        <is>
          <t>East</t>
        </is>
      </c>
      <c r="F3105" s="61" t="n">
        <v>3</v>
      </c>
      <c r="G3105" s="62" t="n">
        <v>660.83</v>
      </c>
      <c r="H3105" s="63" t="n">
        <v>0.118</v>
      </c>
      <c r="I3105" s="62" t="n">
        <v>420.13</v>
      </c>
      <c r="J3105" s="58" t="inlineStr">
        <is>
          <t>Online</t>
        </is>
      </c>
      <c r="K3105" s="62">
        <f>F3105*(G3105-H3105)</f>
        <v/>
      </c>
      <c r="L3105" s="62">
        <f>K3105-(F3105*I3105)</f>
        <v/>
      </c>
      <c r="M3105" s="64">
        <f>L3105/K3105</f>
        <v/>
      </c>
    </row>
    <row r="3106">
      <c r="A3106" s="58" t="inlineStr">
        <is>
          <t>RT20250321-03105</t>
        </is>
      </c>
      <c r="B3106" s="59" t="inlineStr">
        <is>
          <t>2025-03-21</t>
        </is>
      </c>
      <c r="C3106" s="60" t="inlineStr">
        <is>
          <t>Metro Accessorie Max-316</t>
        </is>
      </c>
      <c r="D3106" s="58" t="inlineStr">
        <is>
          <t>Apparel</t>
        </is>
      </c>
      <c r="E3106" s="58" t="inlineStr">
        <is>
          <t>South</t>
        </is>
      </c>
      <c r="F3106" s="61" t="n">
        <v>2</v>
      </c>
      <c r="G3106" s="62" t="n">
        <v>171.9</v>
      </c>
      <c r="H3106" s="63" t="n">
        <v>0.05</v>
      </c>
      <c r="I3106" s="62" t="n">
        <v>90.89</v>
      </c>
      <c r="J3106" s="58" t="inlineStr">
        <is>
          <t>Store</t>
        </is>
      </c>
      <c r="K3106" s="62">
        <f>F3106*(G3106-H3106)</f>
        <v/>
      </c>
      <c r="L3106" s="62">
        <f>K3106-(F3106*I3106)</f>
        <v/>
      </c>
      <c r="M3106" s="64">
        <f>L3106/K3106</f>
        <v/>
      </c>
    </row>
    <row r="3107">
      <c r="A3107" s="58" t="inlineStr">
        <is>
          <t>RT20250321-03106</t>
        </is>
      </c>
      <c r="B3107" s="59" t="inlineStr">
        <is>
          <t>2025-03-21</t>
        </is>
      </c>
      <c r="C3107" s="60" t="inlineStr">
        <is>
          <t>Vertex Smartphone Lite-267</t>
        </is>
      </c>
      <c r="D3107" s="58" t="inlineStr">
        <is>
          <t>Electronics</t>
        </is>
      </c>
      <c r="E3107" s="58" t="inlineStr">
        <is>
          <t>East</t>
        </is>
      </c>
      <c r="F3107" s="61" t="n">
        <v>1</v>
      </c>
      <c r="G3107" s="62" t="n">
        <v>1143.97</v>
      </c>
      <c r="H3107" s="63" t="n">
        <v>0.092</v>
      </c>
      <c r="I3107" s="62" t="n">
        <v>960.98</v>
      </c>
      <c r="J3107" s="58" t="inlineStr">
        <is>
          <t>Online</t>
        </is>
      </c>
      <c r="K3107" s="62">
        <f>F3107*(G3107-H3107)</f>
        <v/>
      </c>
      <c r="L3107" s="62">
        <f>K3107-(F3107*I3107)</f>
        <v/>
      </c>
      <c r="M3107" s="64">
        <f>L3107/K3107</f>
        <v/>
      </c>
    </row>
    <row r="3108">
      <c r="A3108" s="58" t="inlineStr">
        <is>
          <t>RT20250321-03107</t>
        </is>
      </c>
      <c r="B3108" s="59" t="inlineStr">
        <is>
          <t>2025-03-21</t>
        </is>
      </c>
      <c r="C3108" s="60" t="inlineStr">
        <is>
          <t>Polar Decor X-935</t>
        </is>
      </c>
      <c r="D3108" s="58" t="inlineStr">
        <is>
          <t>Home</t>
        </is>
      </c>
      <c r="E3108" s="58" t="inlineStr">
        <is>
          <t>Central</t>
        </is>
      </c>
      <c r="F3108" s="61" t="n">
        <v>1</v>
      </c>
      <c r="G3108" s="62" t="n">
        <v>332.97</v>
      </c>
      <c r="H3108" s="63" t="n">
        <v>0.103</v>
      </c>
      <c r="I3108" s="62" t="n">
        <v>200.46</v>
      </c>
      <c r="J3108" s="58" t="inlineStr">
        <is>
          <t>Online</t>
        </is>
      </c>
      <c r="K3108" s="62">
        <f>F3108*(G3108-H3108)</f>
        <v/>
      </c>
      <c r="L3108" s="62">
        <f>K3108-(F3108*I3108)</f>
        <v/>
      </c>
      <c r="M3108" s="64">
        <f>L3108/K3108</f>
        <v/>
      </c>
    </row>
    <row r="3109">
      <c r="A3109" s="58" t="inlineStr">
        <is>
          <t>RT20250321-03108</t>
        </is>
      </c>
      <c r="B3109" s="59" t="inlineStr">
        <is>
          <t>2025-03-21</t>
        </is>
      </c>
      <c r="C3109" s="60" t="inlineStr">
        <is>
          <t>Vertex Decor Pro-618</t>
        </is>
      </c>
      <c r="D3109" s="58" t="inlineStr">
        <is>
          <t>Home</t>
        </is>
      </c>
      <c r="E3109" s="58" t="inlineStr">
        <is>
          <t>East</t>
        </is>
      </c>
      <c r="F3109" s="61" t="n">
        <v>1</v>
      </c>
      <c r="G3109" s="62" t="n">
        <v>531.95</v>
      </c>
      <c r="H3109" s="63" t="n">
        <v>0.101</v>
      </c>
      <c r="I3109" s="62" t="n">
        <v>383.31</v>
      </c>
      <c r="J3109" s="58" t="inlineStr">
        <is>
          <t>Online</t>
        </is>
      </c>
      <c r="K3109" s="62">
        <f>F3109*(G3109-H3109)</f>
        <v/>
      </c>
      <c r="L3109" s="62">
        <f>K3109-(F3109*I3109)</f>
        <v/>
      </c>
      <c r="M3109" s="64">
        <f>L3109/K3109</f>
        <v/>
      </c>
    </row>
    <row r="3110">
      <c r="A3110" s="58" t="inlineStr">
        <is>
          <t>RT20250321-03109</t>
        </is>
      </c>
      <c r="B3110" s="59" t="inlineStr">
        <is>
          <t>2025-03-21</t>
        </is>
      </c>
      <c r="C3110" s="60" t="inlineStr">
        <is>
          <t>Polar Women Max-927</t>
        </is>
      </c>
      <c r="D3110" s="58" t="inlineStr">
        <is>
          <t>Apparel</t>
        </is>
      </c>
      <c r="E3110" s="58" t="inlineStr">
        <is>
          <t>East</t>
        </is>
      </c>
      <c r="F3110" s="61" t="n">
        <v>2</v>
      </c>
      <c r="G3110" s="62" t="n">
        <v>121.45</v>
      </c>
      <c r="H3110" s="63" t="n">
        <v>0.051</v>
      </c>
      <c r="I3110" s="62" t="n">
        <v>65.25</v>
      </c>
      <c r="J3110" s="58" t="inlineStr">
        <is>
          <t>Store</t>
        </is>
      </c>
      <c r="K3110" s="62">
        <f>F3110*(G3110-H3110)</f>
        <v/>
      </c>
      <c r="L3110" s="62">
        <f>K3110-(F3110*I3110)</f>
        <v/>
      </c>
      <c r="M3110" s="64">
        <f>L3110/K3110</f>
        <v/>
      </c>
    </row>
    <row r="3111">
      <c r="A3111" s="58" t="inlineStr">
        <is>
          <t>RT20250321-03110</t>
        </is>
      </c>
      <c r="B3111" s="59" t="inlineStr">
        <is>
          <t>2025-03-21</t>
        </is>
      </c>
      <c r="C3111" s="60" t="inlineStr">
        <is>
          <t>Nimbus Laptop Max-652</t>
        </is>
      </c>
      <c r="D3111" s="58" t="inlineStr">
        <is>
          <t>Electronics</t>
        </is>
      </c>
      <c r="E3111" s="58" t="inlineStr">
        <is>
          <t>South</t>
        </is>
      </c>
      <c r="F3111" s="61" t="n">
        <v>2</v>
      </c>
      <c r="G3111" s="62" t="n">
        <v>1424.25</v>
      </c>
      <c r="H3111" s="63" t="n">
        <v>0.095</v>
      </c>
      <c r="I3111" s="62" t="n">
        <v>1032.37</v>
      </c>
      <c r="J3111" s="58" t="inlineStr">
        <is>
          <t>Store</t>
        </is>
      </c>
      <c r="K3111" s="62">
        <f>F3111*(G3111-H3111)</f>
        <v/>
      </c>
      <c r="L3111" s="62">
        <f>K3111-(F3111*I3111)</f>
        <v/>
      </c>
      <c r="M3111" s="64">
        <f>L3111/K3111</f>
        <v/>
      </c>
    </row>
    <row r="3112">
      <c r="A3112" s="58" t="inlineStr">
        <is>
          <t>RT20250321-03111</t>
        </is>
      </c>
      <c r="B3112" s="59" t="inlineStr">
        <is>
          <t>2025-03-21</t>
        </is>
      </c>
      <c r="C3112" s="60" t="inlineStr">
        <is>
          <t>Orion Beverage Plus-949</t>
        </is>
      </c>
      <c r="D3112" s="58" t="inlineStr">
        <is>
          <t>Grocery</t>
        </is>
      </c>
      <c r="E3112" s="58" t="inlineStr">
        <is>
          <t>South</t>
        </is>
      </c>
      <c r="F3112" s="61" t="n">
        <v>6</v>
      </c>
      <c r="G3112" s="62" t="n">
        <v>18.6</v>
      </c>
      <c r="H3112" s="63" t="n">
        <v>0.127</v>
      </c>
      <c r="I3112" s="62" t="n">
        <v>13.66</v>
      </c>
      <c r="J3112" s="58" t="inlineStr">
        <is>
          <t>Online</t>
        </is>
      </c>
      <c r="K3112" s="62">
        <f>F3112*(G3112-H3112)</f>
        <v/>
      </c>
      <c r="L3112" s="62">
        <f>K3112-(F3112*I3112)</f>
        <v/>
      </c>
      <c r="M3112" s="64">
        <f>L3112/K3112</f>
        <v/>
      </c>
    </row>
    <row r="3113">
      <c r="A3113" s="58" t="inlineStr">
        <is>
          <t>RT20250321-03112</t>
        </is>
      </c>
      <c r="B3113" s="59" t="inlineStr">
        <is>
          <t>2025-03-21</t>
        </is>
      </c>
      <c r="C3113" s="60" t="inlineStr">
        <is>
          <t>Aurora Wearable Lite-704</t>
        </is>
      </c>
      <c r="D3113" s="58" t="inlineStr">
        <is>
          <t>Electronics</t>
        </is>
      </c>
      <c r="E3113" s="58" t="inlineStr">
        <is>
          <t>South</t>
        </is>
      </c>
      <c r="F3113" s="61" t="n">
        <v>1</v>
      </c>
      <c r="G3113" s="62" t="n">
        <v>2200.52</v>
      </c>
      <c r="H3113" s="63" t="n">
        <v>0.106</v>
      </c>
      <c r="I3113" s="62" t="n">
        <v>1458.12</v>
      </c>
      <c r="J3113" s="58" t="inlineStr">
        <is>
          <t>Store</t>
        </is>
      </c>
      <c r="K3113" s="62">
        <f>F3113*(G3113-H3113)</f>
        <v/>
      </c>
      <c r="L3113" s="62">
        <f>K3113-(F3113*I3113)</f>
        <v/>
      </c>
      <c r="M3113" s="64">
        <f>L3113/K3113</f>
        <v/>
      </c>
    </row>
    <row r="3114">
      <c r="A3114" s="58" t="inlineStr">
        <is>
          <t>RT20250321-03113</t>
        </is>
      </c>
      <c r="B3114" s="59" t="inlineStr">
        <is>
          <t>2025-03-21</t>
        </is>
      </c>
      <c r="C3114" s="60" t="inlineStr">
        <is>
          <t>Aurora Fragrance S-971</t>
        </is>
      </c>
      <c r="D3114" s="58" t="inlineStr">
        <is>
          <t>Beauty</t>
        </is>
      </c>
      <c r="E3114" s="58" t="inlineStr">
        <is>
          <t>North</t>
        </is>
      </c>
      <c r="F3114" s="61" t="n">
        <v>4</v>
      </c>
      <c r="G3114" s="62" t="n">
        <v>104.38</v>
      </c>
      <c r="H3114" s="63" t="n">
        <v>0.08400000000000001</v>
      </c>
      <c r="I3114" s="62" t="n">
        <v>64.58</v>
      </c>
      <c r="J3114" s="58" t="inlineStr">
        <is>
          <t>Online</t>
        </is>
      </c>
      <c r="K3114" s="62">
        <f>F3114*(G3114-H3114)</f>
        <v/>
      </c>
      <c r="L3114" s="62">
        <f>K3114-(F3114*I3114)</f>
        <v/>
      </c>
      <c r="M3114" s="64">
        <f>L3114/K3114</f>
        <v/>
      </c>
    </row>
    <row r="3115">
      <c r="A3115" s="58" t="inlineStr">
        <is>
          <t>RT20250321-03114</t>
        </is>
      </c>
      <c r="B3115" s="59" t="inlineStr">
        <is>
          <t>2025-03-21</t>
        </is>
      </c>
      <c r="C3115" s="60" t="inlineStr">
        <is>
          <t>Solace Smartphone Lite-533</t>
        </is>
      </c>
      <c r="D3115" s="58" t="inlineStr">
        <is>
          <t>Electronics</t>
        </is>
      </c>
      <c r="E3115" s="58" t="inlineStr">
        <is>
          <t>West</t>
        </is>
      </c>
      <c r="F3115" s="61" t="n">
        <v>2</v>
      </c>
      <c r="G3115" s="62" t="n">
        <v>1263.79</v>
      </c>
      <c r="H3115" s="63" t="n">
        <v>0.11</v>
      </c>
      <c r="I3115" s="62" t="n">
        <v>912.33</v>
      </c>
      <c r="J3115" s="58" t="inlineStr">
        <is>
          <t>Store</t>
        </is>
      </c>
      <c r="K3115" s="62">
        <f>F3115*(G3115-H3115)</f>
        <v/>
      </c>
      <c r="L3115" s="62">
        <f>K3115-(F3115*I3115)</f>
        <v/>
      </c>
      <c r="M3115" s="64">
        <f>L3115/K3115</f>
        <v/>
      </c>
    </row>
    <row r="3116">
      <c r="A3116" s="58" t="inlineStr">
        <is>
          <t>RT20250321-03115</t>
        </is>
      </c>
      <c r="B3116" s="59" t="inlineStr">
        <is>
          <t>2025-03-21</t>
        </is>
      </c>
      <c r="C3116" s="60" t="inlineStr">
        <is>
          <t>Falcon Household Plus-172</t>
        </is>
      </c>
      <c r="D3116" s="58" t="inlineStr">
        <is>
          <t>Grocery</t>
        </is>
      </c>
      <c r="E3116" s="58" t="inlineStr">
        <is>
          <t>West</t>
        </is>
      </c>
      <c r="F3116" s="61" t="n">
        <v>6</v>
      </c>
      <c r="G3116" s="62" t="n">
        <v>22.45</v>
      </c>
      <c r="H3116" s="63" t="n">
        <v>0.052</v>
      </c>
      <c r="I3116" s="62" t="n">
        <v>16.28</v>
      </c>
      <c r="J3116" s="58" t="inlineStr">
        <is>
          <t>Phone</t>
        </is>
      </c>
      <c r="K3116" s="62">
        <f>F3116*(G3116-H3116)</f>
        <v/>
      </c>
      <c r="L3116" s="62">
        <f>K3116-(F3116*I3116)</f>
        <v/>
      </c>
      <c r="M3116" s="64">
        <f>L3116/K3116</f>
        <v/>
      </c>
    </row>
    <row r="3117">
      <c r="A3117" s="58" t="inlineStr">
        <is>
          <t>RT20250321-03116</t>
        </is>
      </c>
      <c r="B3117" s="59" t="inlineStr">
        <is>
          <t>2025-03-21</t>
        </is>
      </c>
      <c r="C3117" s="60" t="inlineStr">
        <is>
          <t>Metro Printer X-294</t>
        </is>
      </c>
      <c r="D3117" s="58" t="inlineStr">
        <is>
          <t>Office</t>
        </is>
      </c>
      <c r="E3117" s="58" t="inlineStr">
        <is>
          <t>North</t>
        </is>
      </c>
      <c r="F3117" s="61" t="n">
        <v>1</v>
      </c>
      <c r="G3117" s="62" t="n">
        <v>566.77</v>
      </c>
      <c r="H3117" s="63" t="n">
        <v>0.063</v>
      </c>
      <c r="I3117" s="62" t="n">
        <v>402.01</v>
      </c>
      <c r="J3117" s="58" t="inlineStr">
        <is>
          <t>Online</t>
        </is>
      </c>
      <c r="K3117" s="62">
        <f>F3117*(G3117-H3117)</f>
        <v/>
      </c>
      <c r="L3117" s="62">
        <f>K3117-(F3117*I3117)</f>
        <v/>
      </c>
      <c r="M3117" s="64">
        <f>L3117/K3117</f>
        <v/>
      </c>
    </row>
    <row r="3118">
      <c r="A3118" s="58" t="inlineStr">
        <is>
          <t>RT20250321-03117</t>
        </is>
      </c>
      <c r="B3118" s="59" t="inlineStr">
        <is>
          <t>2025-03-21</t>
        </is>
      </c>
      <c r="C3118" s="60" t="inlineStr">
        <is>
          <t>Solace Kitchen Pro-510</t>
        </is>
      </c>
      <c r="D3118" s="58" t="inlineStr">
        <is>
          <t>Home</t>
        </is>
      </c>
      <c r="E3118" s="58" t="inlineStr">
        <is>
          <t>South</t>
        </is>
      </c>
      <c r="F3118" s="61" t="n">
        <v>3</v>
      </c>
      <c r="G3118" s="62" t="n">
        <v>447.56</v>
      </c>
      <c r="H3118" s="63" t="n">
        <v>0.12</v>
      </c>
      <c r="I3118" s="62" t="n">
        <v>301.47</v>
      </c>
      <c r="J3118" s="58" t="inlineStr">
        <is>
          <t>Store</t>
        </is>
      </c>
      <c r="K3118" s="62">
        <f>F3118*(G3118-H3118)</f>
        <v/>
      </c>
      <c r="L3118" s="62">
        <f>K3118-(F3118*I3118)</f>
        <v/>
      </c>
      <c r="M3118" s="64">
        <f>L3118/K3118</f>
        <v/>
      </c>
    </row>
    <row r="3119">
      <c r="A3119" s="58" t="inlineStr">
        <is>
          <t>RT20250321-03118</t>
        </is>
      </c>
      <c r="B3119" s="59" t="inlineStr">
        <is>
          <t>2025-03-21</t>
        </is>
      </c>
      <c r="C3119" s="60" t="inlineStr">
        <is>
          <t>Metro Pantry Max-180</t>
        </is>
      </c>
      <c r="D3119" s="58" t="inlineStr">
        <is>
          <t>Grocery</t>
        </is>
      </c>
      <c r="E3119" s="58" t="inlineStr">
        <is>
          <t>North</t>
        </is>
      </c>
      <c r="F3119" s="61" t="n">
        <v>5</v>
      </c>
      <c r="G3119" s="62" t="n">
        <v>8.24</v>
      </c>
      <c r="H3119" s="63" t="n">
        <v>0.138</v>
      </c>
      <c r="I3119" s="62" t="n">
        <v>6.49</v>
      </c>
      <c r="J3119" s="58" t="inlineStr">
        <is>
          <t>Online</t>
        </is>
      </c>
      <c r="K3119" s="62">
        <f>F3119*(G3119-H3119)</f>
        <v/>
      </c>
      <c r="L3119" s="62">
        <f>K3119-(F3119*I3119)</f>
        <v/>
      </c>
      <c r="M3119" s="64">
        <f>L3119/K3119</f>
        <v/>
      </c>
    </row>
    <row r="3120">
      <c r="A3120" s="58" t="inlineStr">
        <is>
          <t>RT20250322-03119</t>
        </is>
      </c>
      <c r="B3120" s="59" t="inlineStr">
        <is>
          <t>2025-03-22</t>
        </is>
      </c>
      <c r="C3120" s="60" t="inlineStr">
        <is>
          <t>Aurora Fitnes Lite-194</t>
        </is>
      </c>
      <c r="D3120" s="58" t="inlineStr">
        <is>
          <t>Sports</t>
        </is>
      </c>
      <c r="E3120" s="58" t="inlineStr">
        <is>
          <t>East</t>
        </is>
      </c>
      <c r="F3120" s="61" t="n">
        <v>2</v>
      </c>
      <c r="G3120" s="62" t="n">
        <v>708.55</v>
      </c>
      <c r="H3120" s="63" t="n">
        <v>0.08699999999999999</v>
      </c>
      <c r="I3120" s="62" t="n">
        <v>465.64</v>
      </c>
      <c r="J3120" s="58" t="inlineStr">
        <is>
          <t>Online</t>
        </is>
      </c>
      <c r="K3120" s="62">
        <f>F3120*(G3120-H3120)</f>
        <v/>
      </c>
      <c r="L3120" s="62">
        <f>K3120-(F3120*I3120)</f>
        <v/>
      </c>
      <c r="M3120" s="64">
        <f>L3120/K3120</f>
        <v/>
      </c>
    </row>
    <row r="3121">
      <c r="A3121" s="58" t="inlineStr">
        <is>
          <t>RT20250322-03120</t>
        </is>
      </c>
      <c r="B3121" s="59" t="inlineStr">
        <is>
          <t>2025-03-22</t>
        </is>
      </c>
      <c r="C3121" s="60" t="inlineStr">
        <is>
          <t>Orion Supplie S-612</t>
        </is>
      </c>
      <c r="D3121" s="58" t="inlineStr">
        <is>
          <t>Office</t>
        </is>
      </c>
      <c r="E3121" s="58" t="inlineStr">
        <is>
          <t>East</t>
        </is>
      </c>
      <c r="F3121" s="61" t="n">
        <v>3</v>
      </c>
      <c r="G3121" s="62" t="n">
        <v>435.71</v>
      </c>
      <c r="H3121" s="63" t="n">
        <v>0.19</v>
      </c>
      <c r="I3121" s="62" t="n">
        <v>330.65</v>
      </c>
      <c r="J3121" s="58" t="inlineStr">
        <is>
          <t>Online</t>
        </is>
      </c>
      <c r="K3121" s="62">
        <f>F3121*(G3121-H3121)</f>
        <v/>
      </c>
      <c r="L3121" s="62">
        <f>K3121-(F3121*I3121)</f>
        <v/>
      </c>
      <c r="M3121" s="64">
        <f>L3121/K3121</f>
        <v/>
      </c>
    </row>
    <row r="3122">
      <c r="A3122" s="58" t="inlineStr">
        <is>
          <t>RT20250322-03121</t>
        </is>
      </c>
      <c r="B3122" s="59" t="inlineStr">
        <is>
          <t>2025-03-22</t>
        </is>
      </c>
      <c r="C3122" s="60" t="inlineStr">
        <is>
          <t>Vertex Pantry Pro-165</t>
        </is>
      </c>
      <c r="D3122" s="58" t="inlineStr">
        <is>
          <t>Grocery</t>
        </is>
      </c>
      <c r="E3122" s="58" t="inlineStr">
        <is>
          <t>East</t>
        </is>
      </c>
      <c r="F3122" s="61" t="n">
        <v>8</v>
      </c>
      <c r="G3122" s="62" t="n">
        <v>16.95</v>
      </c>
      <c r="H3122" s="63" t="n">
        <v>0.121</v>
      </c>
      <c r="I3122" s="62" t="n">
        <v>11.69</v>
      </c>
      <c r="J3122" s="58" t="inlineStr">
        <is>
          <t>Store</t>
        </is>
      </c>
      <c r="K3122" s="62">
        <f>F3122*(G3122-H3122)</f>
        <v/>
      </c>
      <c r="L3122" s="62">
        <f>K3122-(F3122*I3122)</f>
        <v/>
      </c>
      <c r="M3122" s="64">
        <f>L3122/K3122</f>
        <v/>
      </c>
    </row>
    <row r="3123">
      <c r="A3123" s="58" t="inlineStr">
        <is>
          <t>RT20250322-03122</t>
        </is>
      </c>
      <c r="B3123" s="59" t="inlineStr">
        <is>
          <t>2025-03-22</t>
        </is>
      </c>
      <c r="C3123" s="60" t="inlineStr">
        <is>
          <t>Solace Kitchen X-919</t>
        </is>
      </c>
      <c r="D3123" s="58" t="inlineStr">
        <is>
          <t>Home</t>
        </is>
      </c>
      <c r="E3123" s="58" t="inlineStr">
        <is>
          <t>West</t>
        </is>
      </c>
      <c r="F3123" s="61" t="n">
        <v>1</v>
      </c>
      <c r="G3123" s="62" t="n">
        <v>368.36</v>
      </c>
      <c r="H3123" s="63" t="n">
        <v>0.182</v>
      </c>
      <c r="I3123" s="62" t="n">
        <v>266.46</v>
      </c>
      <c r="J3123" s="58" t="inlineStr">
        <is>
          <t>Online</t>
        </is>
      </c>
      <c r="K3123" s="62">
        <f>F3123*(G3123-H3123)</f>
        <v/>
      </c>
      <c r="L3123" s="62">
        <f>K3123-(F3123*I3123)</f>
        <v/>
      </c>
      <c r="M3123" s="64">
        <f>L3123/K3123</f>
        <v/>
      </c>
    </row>
    <row r="3124">
      <c r="A3124" s="58" t="inlineStr">
        <is>
          <t>RT20250322-03123</t>
        </is>
      </c>
      <c r="B3124" s="59" t="inlineStr">
        <is>
          <t>2025-03-22</t>
        </is>
      </c>
      <c r="C3124" s="60" t="inlineStr">
        <is>
          <t>Aurora Smartphone Plus-125</t>
        </is>
      </c>
      <c r="D3124" s="58" t="inlineStr">
        <is>
          <t>Electronics</t>
        </is>
      </c>
      <c r="E3124" s="58" t="inlineStr">
        <is>
          <t>South</t>
        </is>
      </c>
      <c r="F3124" s="61" t="n">
        <v>2</v>
      </c>
      <c r="G3124" s="62" t="n">
        <v>1463.47</v>
      </c>
      <c r="H3124" s="63" t="n">
        <v>0.067</v>
      </c>
      <c r="I3124" s="62" t="n">
        <v>1198.81</v>
      </c>
      <c r="J3124" s="58" t="inlineStr">
        <is>
          <t>Store</t>
        </is>
      </c>
      <c r="K3124" s="62">
        <f>F3124*(G3124-H3124)</f>
        <v/>
      </c>
      <c r="L3124" s="62">
        <f>K3124-(F3124*I3124)</f>
        <v/>
      </c>
      <c r="M3124" s="64">
        <f>L3124/K3124</f>
        <v/>
      </c>
    </row>
    <row r="3125">
      <c r="A3125" s="58" t="inlineStr">
        <is>
          <t>RT20250322-03124</t>
        </is>
      </c>
      <c r="B3125" s="59" t="inlineStr">
        <is>
          <t>2025-03-22</t>
        </is>
      </c>
      <c r="C3125" s="60" t="inlineStr">
        <is>
          <t>Polar Cycling X-649</t>
        </is>
      </c>
      <c r="D3125" s="58" t="inlineStr">
        <is>
          <t>Sports</t>
        </is>
      </c>
      <c r="E3125" s="58" t="inlineStr">
        <is>
          <t>West</t>
        </is>
      </c>
      <c r="F3125" s="61" t="n">
        <v>1</v>
      </c>
      <c r="G3125" s="62" t="n">
        <v>525.1900000000001</v>
      </c>
      <c r="H3125" s="63" t="n">
        <v>0.097</v>
      </c>
      <c r="I3125" s="62" t="n">
        <v>356.81</v>
      </c>
      <c r="J3125" s="58" t="inlineStr">
        <is>
          <t>Online</t>
        </is>
      </c>
      <c r="K3125" s="62">
        <f>F3125*(G3125-H3125)</f>
        <v/>
      </c>
      <c r="L3125" s="62">
        <f>K3125-(F3125*I3125)</f>
        <v/>
      </c>
      <c r="M3125" s="64">
        <f>L3125/K3125</f>
        <v/>
      </c>
    </row>
    <row r="3126">
      <c r="A3126" s="58" t="inlineStr">
        <is>
          <t>RT20250322-03125</t>
        </is>
      </c>
      <c r="B3126" s="59" t="inlineStr">
        <is>
          <t>2025-03-22</t>
        </is>
      </c>
      <c r="C3126" s="60" t="inlineStr">
        <is>
          <t>Falcon Wearable X-334</t>
        </is>
      </c>
      <c r="D3126" s="58" t="inlineStr">
        <is>
          <t>Electronics</t>
        </is>
      </c>
      <c r="E3126" s="58" t="inlineStr">
        <is>
          <t>North</t>
        </is>
      </c>
      <c r="F3126" s="61" t="n">
        <v>1</v>
      </c>
      <c r="G3126" s="62" t="n">
        <v>2026.89</v>
      </c>
      <c r="H3126" s="63" t="n">
        <v>0.125</v>
      </c>
      <c r="I3126" s="62" t="n">
        <v>1490.2</v>
      </c>
      <c r="J3126" s="58" t="inlineStr">
        <is>
          <t>Online</t>
        </is>
      </c>
      <c r="K3126" s="62">
        <f>F3126*(G3126-H3126)</f>
        <v/>
      </c>
      <c r="L3126" s="62">
        <f>K3126-(F3126*I3126)</f>
        <v/>
      </c>
      <c r="M3126" s="64">
        <f>L3126/K3126</f>
        <v/>
      </c>
    </row>
    <row r="3127">
      <c r="A3127" s="58" t="inlineStr">
        <is>
          <t>RT20250322-03126</t>
        </is>
      </c>
      <c r="B3127" s="59" t="inlineStr">
        <is>
          <t>2025-03-22</t>
        </is>
      </c>
      <c r="C3127" s="60" t="inlineStr">
        <is>
          <t>Aurora Skincare Max-798</t>
        </is>
      </c>
      <c r="D3127" s="58" t="inlineStr">
        <is>
          <t>Beauty</t>
        </is>
      </c>
      <c r="E3127" s="58" t="inlineStr">
        <is>
          <t>West</t>
        </is>
      </c>
      <c r="F3127" s="61" t="n">
        <v>1</v>
      </c>
      <c r="G3127" s="62" t="n">
        <v>100.52</v>
      </c>
      <c r="H3127" s="63" t="n">
        <v>0.096</v>
      </c>
      <c r="I3127" s="62" t="n">
        <v>70.42</v>
      </c>
      <c r="J3127" s="58" t="inlineStr">
        <is>
          <t>Online</t>
        </is>
      </c>
      <c r="K3127" s="62">
        <f>F3127*(G3127-H3127)</f>
        <v/>
      </c>
      <c r="L3127" s="62">
        <f>K3127-(F3127*I3127)</f>
        <v/>
      </c>
      <c r="M3127" s="64">
        <f>L3127/K3127</f>
        <v/>
      </c>
    </row>
    <row r="3128">
      <c r="A3128" s="58" t="inlineStr">
        <is>
          <t>RT20250322-03127</t>
        </is>
      </c>
      <c r="B3128" s="59" t="inlineStr">
        <is>
          <t>2025-03-22</t>
        </is>
      </c>
      <c r="C3128" s="60" t="inlineStr">
        <is>
          <t>Polar Fragrance Pro-750</t>
        </is>
      </c>
      <c r="D3128" s="58" t="inlineStr">
        <is>
          <t>Beauty</t>
        </is>
      </c>
      <c r="E3128" s="58" t="inlineStr">
        <is>
          <t>West</t>
        </is>
      </c>
      <c r="F3128" s="61" t="n">
        <v>3</v>
      </c>
      <c r="G3128" s="62" t="n">
        <v>61.42</v>
      </c>
      <c r="H3128" s="63" t="n">
        <v>0.113</v>
      </c>
      <c r="I3128" s="62" t="n">
        <v>35.95</v>
      </c>
      <c r="J3128" s="58" t="inlineStr">
        <is>
          <t>Store</t>
        </is>
      </c>
      <c r="K3128" s="62">
        <f>F3128*(G3128-H3128)</f>
        <v/>
      </c>
      <c r="L3128" s="62">
        <f>K3128-(F3128*I3128)</f>
        <v/>
      </c>
      <c r="M3128" s="64">
        <f>L3128/K3128</f>
        <v/>
      </c>
    </row>
    <row r="3129">
      <c r="A3129" s="58" t="inlineStr">
        <is>
          <t>RT20250322-03128</t>
        </is>
      </c>
      <c r="B3129" s="59" t="inlineStr">
        <is>
          <t>2025-03-22</t>
        </is>
      </c>
      <c r="C3129" s="60" t="inlineStr">
        <is>
          <t>Vertex Supplie X-513</t>
        </is>
      </c>
      <c r="D3129" s="58" t="inlineStr">
        <is>
          <t>Office</t>
        </is>
      </c>
      <c r="E3129" s="58" t="inlineStr">
        <is>
          <t>North</t>
        </is>
      </c>
      <c r="F3129" s="61" t="n">
        <v>3</v>
      </c>
      <c r="G3129" s="62" t="n">
        <v>430.58</v>
      </c>
      <c r="H3129" s="63" t="n">
        <v>0.066</v>
      </c>
      <c r="I3129" s="62" t="n">
        <v>272.44</v>
      </c>
      <c r="J3129" s="58" t="inlineStr">
        <is>
          <t>Store</t>
        </is>
      </c>
      <c r="K3129" s="62">
        <f>F3129*(G3129-H3129)</f>
        <v/>
      </c>
      <c r="L3129" s="62">
        <f>K3129-(F3129*I3129)</f>
        <v/>
      </c>
      <c r="M3129" s="64">
        <f>L3129/K3129</f>
        <v/>
      </c>
    </row>
    <row r="3130">
      <c r="A3130" s="58" t="inlineStr">
        <is>
          <t>RT20250322-03129</t>
        </is>
      </c>
      <c r="B3130" s="59" t="inlineStr">
        <is>
          <t>2025-03-22</t>
        </is>
      </c>
      <c r="C3130" s="60" t="inlineStr">
        <is>
          <t>Polar Supplie Lite-348</t>
        </is>
      </c>
      <c r="D3130" s="58" t="inlineStr">
        <is>
          <t>Office</t>
        </is>
      </c>
      <c r="E3130" s="58" t="inlineStr">
        <is>
          <t>Central</t>
        </is>
      </c>
      <c r="F3130" s="61" t="n">
        <v>2</v>
      </c>
      <c r="G3130" s="62" t="n">
        <v>439.13</v>
      </c>
      <c r="H3130" s="63" t="n">
        <v>0.043</v>
      </c>
      <c r="I3130" s="62" t="n">
        <v>319.68</v>
      </c>
      <c r="J3130" s="58" t="inlineStr">
        <is>
          <t>Store</t>
        </is>
      </c>
      <c r="K3130" s="62">
        <f>F3130*(G3130-H3130)</f>
        <v/>
      </c>
      <c r="L3130" s="62">
        <f>K3130-(F3130*I3130)</f>
        <v/>
      </c>
      <c r="M3130" s="64">
        <f>L3130/K3130</f>
        <v/>
      </c>
    </row>
    <row r="3131">
      <c r="A3131" s="58" t="inlineStr">
        <is>
          <t>RT20250322-03130</t>
        </is>
      </c>
      <c r="B3131" s="59" t="inlineStr">
        <is>
          <t>2025-03-22</t>
        </is>
      </c>
      <c r="C3131" s="60" t="inlineStr">
        <is>
          <t>Metro Accessorie Max-316</t>
        </is>
      </c>
      <c r="D3131" s="58" t="inlineStr">
        <is>
          <t>Apparel</t>
        </is>
      </c>
      <c r="E3131" s="58" t="inlineStr">
        <is>
          <t>East</t>
        </is>
      </c>
      <c r="F3131" s="61" t="n">
        <v>4</v>
      </c>
      <c r="G3131" s="62" t="n">
        <v>171.89</v>
      </c>
      <c r="H3131" s="63" t="n">
        <v>0.105</v>
      </c>
      <c r="I3131" s="62" t="n">
        <v>93.09</v>
      </c>
      <c r="J3131" s="58" t="inlineStr">
        <is>
          <t>Phone</t>
        </is>
      </c>
      <c r="K3131" s="62">
        <f>F3131*(G3131-H3131)</f>
        <v/>
      </c>
      <c r="L3131" s="62">
        <f>K3131-(F3131*I3131)</f>
        <v/>
      </c>
      <c r="M3131" s="64">
        <f>L3131/K3131</f>
        <v/>
      </c>
    </row>
    <row r="3132">
      <c r="A3132" s="58" t="inlineStr">
        <is>
          <t>RT20250322-03131</t>
        </is>
      </c>
      <c r="B3132" s="59" t="inlineStr">
        <is>
          <t>2025-03-22</t>
        </is>
      </c>
      <c r="C3132" s="60" t="inlineStr">
        <is>
          <t>Solace Kid S-384</t>
        </is>
      </c>
      <c r="D3132" s="58" t="inlineStr">
        <is>
          <t>Apparel</t>
        </is>
      </c>
      <c r="E3132" s="58" t="inlineStr">
        <is>
          <t>East</t>
        </is>
      </c>
      <c r="F3132" s="61" t="n">
        <v>3</v>
      </c>
      <c r="G3132" s="62" t="n">
        <v>113.76</v>
      </c>
      <c r="H3132" s="63" t="n">
        <v>0.128</v>
      </c>
      <c r="I3132" s="62" t="n">
        <v>61.09</v>
      </c>
      <c r="J3132" s="58" t="inlineStr">
        <is>
          <t>Store</t>
        </is>
      </c>
      <c r="K3132" s="62">
        <f>F3132*(G3132-H3132)</f>
        <v/>
      </c>
      <c r="L3132" s="62">
        <f>K3132-(F3132*I3132)</f>
        <v/>
      </c>
      <c r="M3132" s="64">
        <f>L3132/K3132</f>
        <v/>
      </c>
    </row>
    <row r="3133">
      <c r="A3133" s="58" t="inlineStr">
        <is>
          <t>RT20250322-03132</t>
        </is>
      </c>
      <c r="B3133" s="59" t="inlineStr">
        <is>
          <t>2025-03-22</t>
        </is>
      </c>
      <c r="C3133" s="60" t="inlineStr">
        <is>
          <t>Polar Beverage S-258</t>
        </is>
      </c>
      <c r="D3133" s="58" t="inlineStr">
        <is>
          <t>Grocery</t>
        </is>
      </c>
      <c r="E3133" s="58" t="inlineStr">
        <is>
          <t>East</t>
        </is>
      </c>
      <c r="F3133" s="61" t="n">
        <v>8</v>
      </c>
      <c r="G3133" s="62" t="n">
        <v>14.44</v>
      </c>
      <c r="H3133" s="63" t="n">
        <v>0.132</v>
      </c>
      <c r="I3133" s="62" t="n">
        <v>9.970000000000001</v>
      </c>
      <c r="J3133" s="58" t="inlineStr">
        <is>
          <t>Store</t>
        </is>
      </c>
      <c r="K3133" s="62">
        <f>F3133*(G3133-H3133)</f>
        <v/>
      </c>
      <c r="L3133" s="62">
        <f>K3133-(F3133*I3133)</f>
        <v/>
      </c>
      <c r="M3133" s="64">
        <f>L3133/K3133</f>
        <v/>
      </c>
    </row>
    <row r="3134">
      <c r="A3134" s="58" t="inlineStr">
        <is>
          <t>RT20250322-03133</t>
        </is>
      </c>
      <c r="B3134" s="59" t="inlineStr">
        <is>
          <t>2025-03-22</t>
        </is>
      </c>
      <c r="C3134" s="60" t="inlineStr">
        <is>
          <t>Nimbus Headphone X-854</t>
        </is>
      </c>
      <c r="D3134" s="58" t="inlineStr">
        <is>
          <t>Electronics</t>
        </is>
      </c>
      <c r="E3134" s="58" t="inlineStr">
        <is>
          <t>East</t>
        </is>
      </c>
      <c r="F3134" s="61" t="n">
        <v>2</v>
      </c>
      <c r="G3134" s="62" t="n">
        <v>1453.46</v>
      </c>
      <c r="H3134" s="63" t="n">
        <v>0.08699999999999999</v>
      </c>
      <c r="I3134" s="62" t="n">
        <v>1257.46</v>
      </c>
      <c r="J3134" s="58" t="inlineStr">
        <is>
          <t>Online</t>
        </is>
      </c>
      <c r="K3134" s="62">
        <f>F3134*(G3134-H3134)</f>
        <v/>
      </c>
      <c r="L3134" s="62">
        <f>K3134-(F3134*I3134)</f>
        <v/>
      </c>
      <c r="M3134" s="64">
        <f>L3134/K3134</f>
        <v/>
      </c>
    </row>
    <row r="3135">
      <c r="A3135" s="58" t="inlineStr">
        <is>
          <t>RT20250322-03134</t>
        </is>
      </c>
      <c r="B3135" s="59" t="inlineStr">
        <is>
          <t>2025-03-22</t>
        </is>
      </c>
      <c r="C3135" s="60" t="inlineStr">
        <is>
          <t>Falcon Bedding S-674</t>
        </is>
      </c>
      <c r="D3135" s="58" t="inlineStr">
        <is>
          <t>Home</t>
        </is>
      </c>
      <c r="E3135" s="58" t="inlineStr">
        <is>
          <t>East</t>
        </is>
      </c>
      <c r="F3135" s="61" t="n">
        <v>3</v>
      </c>
      <c r="G3135" s="62" t="n">
        <v>660.98</v>
      </c>
      <c r="H3135" s="63" t="n">
        <v>0.133</v>
      </c>
      <c r="I3135" s="62" t="n">
        <v>445.27</v>
      </c>
      <c r="J3135" s="58" t="inlineStr">
        <is>
          <t>Online</t>
        </is>
      </c>
      <c r="K3135" s="62">
        <f>F3135*(G3135-H3135)</f>
        <v/>
      </c>
      <c r="L3135" s="62">
        <f>K3135-(F3135*I3135)</f>
        <v/>
      </c>
      <c r="M3135" s="64">
        <f>L3135/K3135</f>
        <v/>
      </c>
    </row>
    <row r="3136">
      <c r="A3136" s="58" t="inlineStr">
        <is>
          <t>RT20250322-03135</t>
        </is>
      </c>
      <c r="B3136" s="59" t="inlineStr">
        <is>
          <t>2025-03-22</t>
        </is>
      </c>
      <c r="C3136" s="60" t="inlineStr">
        <is>
          <t>Vertex Skincare Pro-891</t>
        </is>
      </c>
      <c r="D3136" s="58" t="inlineStr">
        <is>
          <t>Beauty</t>
        </is>
      </c>
      <c r="E3136" s="58" t="inlineStr">
        <is>
          <t>West</t>
        </is>
      </c>
      <c r="F3136" s="61" t="n">
        <v>3</v>
      </c>
      <c r="G3136" s="62" t="n">
        <v>145.97</v>
      </c>
      <c r="H3136" s="63" t="n">
        <v>0.098</v>
      </c>
      <c r="I3136" s="62" t="n">
        <v>86.83</v>
      </c>
      <c r="J3136" s="58" t="inlineStr">
        <is>
          <t>Phone</t>
        </is>
      </c>
      <c r="K3136" s="62">
        <f>F3136*(G3136-H3136)</f>
        <v/>
      </c>
      <c r="L3136" s="62">
        <f>K3136-(F3136*I3136)</f>
        <v/>
      </c>
      <c r="M3136" s="64">
        <f>L3136/K3136</f>
        <v/>
      </c>
    </row>
    <row r="3137">
      <c r="A3137" s="58" t="inlineStr">
        <is>
          <t>RT20250322-03136</t>
        </is>
      </c>
      <c r="B3137" s="59" t="inlineStr">
        <is>
          <t>2025-03-22</t>
        </is>
      </c>
      <c r="C3137" s="60" t="inlineStr">
        <is>
          <t>Nimbus Makeup Max-158</t>
        </is>
      </c>
      <c r="D3137" s="58" t="inlineStr">
        <is>
          <t>Beauty</t>
        </is>
      </c>
      <c r="E3137" s="58" t="inlineStr">
        <is>
          <t>East</t>
        </is>
      </c>
      <c r="F3137" s="61" t="n">
        <v>3</v>
      </c>
      <c r="G3137" s="62" t="n">
        <v>164.6</v>
      </c>
      <c r="H3137" s="63" t="n">
        <v>0.133</v>
      </c>
      <c r="I3137" s="62" t="n">
        <v>97.63</v>
      </c>
      <c r="J3137" s="58" t="inlineStr">
        <is>
          <t>Online</t>
        </is>
      </c>
      <c r="K3137" s="62">
        <f>F3137*(G3137-H3137)</f>
        <v/>
      </c>
      <c r="L3137" s="62">
        <f>K3137-(F3137*I3137)</f>
        <v/>
      </c>
      <c r="M3137" s="64">
        <f>L3137/K3137</f>
        <v/>
      </c>
    </row>
    <row r="3138">
      <c r="A3138" s="58" t="inlineStr">
        <is>
          <t>RT20250322-03137</t>
        </is>
      </c>
      <c r="B3138" s="59" t="inlineStr">
        <is>
          <t>2025-03-22</t>
        </is>
      </c>
      <c r="C3138" s="60" t="inlineStr">
        <is>
          <t>Aurora Wearable Lite-162</t>
        </is>
      </c>
      <c r="D3138" s="58" t="inlineStr">
        <is>
          <t>Electronics</t>
        </is>
      </c>
      <c r="E3138" s="58" t="inlineStr">
        <is>
          <t>South</t>
        </is>
      </c>
      <c r="F3138" s="61" t="n">
        <v>2</v>
      </c>
      <c r="G3138" s="62" t="n">
        <v>1290.83</v>
      </c>
      <c r="H3138" s="63" t="n">
        <v>0.125</v>
      </c>
      <c r="I3138" s="62" t="n">
        <v>1096.58</v>
      </c>
      <c r="J3138" s="58" t="inlineStr">
        <is>
          <t>Online</t>
        </is>
      </c>
      <c r="K3138" s="62">
        <f>F3138*(G3138-H3138)</f>
        <v/>
      </c>
      <c r="L3138" s="62">
        <f>K3138-(F3138*I3138)</f>
        <v/>
      </c>
      <c r="M3138" s="64">
        <f>L3138/K3138</f>
        <v/>
      </c>
    </row>
    <row r="3139">
      <c r="A3139" s="58" t="inlineStr">
        <is>
          <t>RT20250322-03138</t>
        </is>
      </c>
      <c r="B3139" s="59" t="inlineStr">
        <is>
          <t>2025-03-22</t>
        </is>
      </c>
      <c r="C3139" s="60" t="inlineStr">
        <is>
          <t>Solace Kitchen Pro-510</t>
        </is>
      </c>
      <c r="D3139" s="58" t="inlineStr">
        <is>
          <t>Home</t>
        </is>
      </c>
      <c r="E3139" s="58" t="inlineStr">
        <is>
          <t>West</t>
        </is>
      </c>
      <c r="F3139" s="61" t="n">
        <v>1</v>
      </c>
      <c r="G3139" s="62" t="n">
        <v>478.17</v>
      </c>
      <c r="H3139" s="63" t="n">
        <v>0.102</v>
      </c>
      <c r="I3139" s="62" t="n">
        <v>316.19</v>
      </c>
      <c r="J3139" s="58" t="inlineStr">
        <is>
          <t>Online</t>
        </is>
      </c>
      <c r="K3139" s="62">
        <f>F3139*(G3139-H3139)</f>
        <v/>
      </c>
      <c r="L3139" s="62">
        <f>K3139-(F3139*I3139)</f>
        <v/>
      </c>
      <c r="M3139" s="64">
        <f>L3139/K3139</f>
        <v/>
      </c>
    </row>
    <row r="3140">
      <c r="A3140" s="58" t="inlineStr">
        <is>
          <t>RT20250322-03139</t>
        </is>
      </c>
      <c r="B3140" s="59" t="inlineStr">
        <is>
          <t>2025-03-22</t>
        </is>
      </c>
      <c r="C3140" s="60" t="inlineStr">
        <is>
          <t>Nimbus Cycling Plus-911</t>
        </is>
      </c>
      <c r="D3140" s="58" t="inlineStr">
        <is>
          <t>Sports</t>
        </is>
      </c>
      <c r="E3140" s="58" t="inlineStr">
        <is>
          <t>West</t>
        </is>
      </c>
      <c r="F3140" s="61" t="n">
        <v>2</v>
      </c>
      <c r="G3140" s="62" t="n">
        <v>512.12</v>
      </c>
      <c r="H3140" s="63" t="n">
        <v>0.101</v>
      </c>
      <c r="I3140" s="62" t="n">
        <v>406.29</v>
      </c>
      <c r="J3140" s="58" t="inlineStr">
        <is>
          <t>Store</t>
        </is>
      </c>
      <c r="K3140" s="62">
        <f>F3140*(G3140-H3140)</f>
        <v/>
      </c>
      <c r="L3140" s="62">
        <f>K3140-(F3140*I3140)</f>
        <v/>
      </c>
      <c r="M3140" s="64">
        <f>L3140/K3140</f>
        <v/>
      </c>
    </row>
    <row r="3141">
      <c r="A3141" s="58" t="inlineStr">
        <is>
          <t>RT20250322-03140</t>
        </is>
      </c>
      <c r="B3141" s="59" t="inlineStr">
        <is>
          <t>2025-03-22</t>
        </is>
      </c>
      <c r="C3141" s="60" t="inlineStr">
        <is>
          <t>Aurora Wearable Lite-162</t>
        </is>
      </c>
      <c r="D3141" s="58" t="inlineStr">
        <is>
          <t>Electronics</t>
        </is>
      </c>
      <c r="E3141" s="58" t="inlineStr">
        <is>
          <t>West</t>
        </is>
      </c>
      <c r="F3141" s="61" t="n">
        <v>2</v>
      </c>
      <c r="G3141" s="62" t="n">
        <v>1628.9</v>
      </c>
      <c r="H3141" s="63" t="n">
        <v>0.095</v>
      </c>
      <c r="I3141" s="62" t="n">
        <v>1173.47</v>
      </c>
      <c r="J3141" s="58" t="inlineStr">
        <is>
          <t>Store</t>
        </is>
      </c>
      <c r="K3141" s="62">
        <f>F3141*(G3141-H3141)</f>
        <v/>
      </c>
      <c r="L3141" s="62">
        <f>K3141-(F3141*I3141)</f>
        <v/>
      </c>
      <c r="M3141" s="64">
        <f>L3141/K3141</f>
        <v/>
      </c>
    </row>
    <row r="3142">
      <c r="A3142" s="58" t="inlineStr">
        <is>
          <t>RT20250322-03141</t>
        </is>
      </c>
      <c r="B3142" s="59" t="inlineStr">
        <is>
          <t>2025-03-22</t>
        </is>
      </c>
      <c r="C3142" s="60" t="inlineStr">
        <is>
          <t>Metro Decor Lite-325</t>
        </is>
      </c>
      <c r="D3142" s="58" t="inlineStr">
        <is>
          <t>Home</t>
        </is>
      </c>
      <c r="E3142" s="58" t="inlineStr">
        <is>
          <t>East</t>
        </is>
      </c>
      <c r="F3142" s="61" t="n">
        <v>2</v>
      </c>
      <c r="G3142" s="62" t="n">
        <v>540.87</v>
      </c>
      <c r="H3142" s="63" t="n">
        <v>0.08799999999999999</v>
      </c>
      <c r="I3142" s="62" t="n">
        <v>372.32</v>
      </c>
      <c r="J3142" s="58" t="inlineStr">
        <is>
          <t>Store</t>
        </is>
      </c>
      <c r="K3142" s="62">
        <f>F3142*(G3142-H3142)</f>
        <v/>
      </c>
      <c r="L3142" s="62">
        <f>K3142-(F3142*I3142)</f>
        <v/>
      </c>
      <c r="M3142" s="64">
        <f>L3142/K3142</f>
        <v/>
      </c>
    </row>
    <row r="3143">
      <c r="A3143" s="58" t="inlineStr">
        <is>
          <t>RT20250322-03142</t>
        </is>
      </c>
      <c r="B3143" s="59" t="inlineStr">
        <is>
          <t>2025-03-22</t>
        </is>
      </c>
      <c r="C3143" s="60" t="inlineStr">
        <is>
          <t>Metro Outdoor Plus-787</t>
        </is>
      </c>
      <c r="D3143" s="58" t="inlineStr">
        <is>
          <t>Sports</t>
        </is>
      </c>
      <c r="E3143" s="58" t="inlineStr">
        <is>
          <t>West</t>
        </is>
      </c>
      <c r="F3143" s="61" t="n">
        <v>3</v>
      </c>
      <c r="G3143" s="62" t="n">
        <v>512.88</v>
      </c>
      <c r="H3143" s="63" t="n">
        <v>0.049</v>
      </c>
      <c r="I3143" s="62" t="n">
        <v>357.45</v>
      </c>
      <c r="J3143" s="58" t="inlineStr">
        <is>
          <t>Online</t>
        </is>
      </c>
      <c r="K3143" s="62">
        <f>F3143*(G3143-H3143)</f>
        <v/>
      </c>
      <c r="L3143" s="62">
        <f>K3143-(F3143*I3143)</f>
        <v/>
      </c>
      <c r="M3143" s="64">
        <f>L3143/K3143</f>
        <v/>
      </c>
    </row>
    <row r="3144">
      <c r="A3144" s="58" t="inlineStr">
        <is>
          <t>RT20250322-03143</t>
        </is>
      </c>
      <c r="B3144" s="59" t="inlineStr">
        <is>
          <t>2025-03-22</t>
        </is>
      </c>
      <c r="C3144" s="60" t="inlineStr">
        <is>
          <t>Solace Bedding Plus-317</t>
        </is>
      </c>
      <c r="D3144" s="58" t="inlineStr">
        <is>
          <t>Home</t>
        </is>
      </c>
      <c r="E3144" s="58" t="inlineStr">
        <is>
          <t>Central</t>
        </is>
      </c>
      <c r="F3144" s="61" t="n">
        <v>2</v>
      </c>
      <c r="G3144" s="62" t="n">
        <v>594.66</v>
      </c>
      <c r="H3144" s="63" t="n">
        <v>0.032</v>
      </c>
      <c r="I3144" s="62" t="n">
        <v>382.06</v>
      </c>
      <c r="J3144" s="58" t="inlineStr">
        <is>
          <t>Online</t>
        </is>
      </c>
      <c r="K3144" s="62">
        <f>F3144*(G3144-H3144)</f>
        <v/>
      </c>
      <c r="L3144" s="62">
        <f>K3144-(F3144*I3144)</f>
        <v/>
      </c>
      <c r="M3144" s="64">
        <f>L3144/K3144</f>
        <v/>
      </c>
    </row>
    <row r="3145">
      <c r="A3145" s="58" t="inlineStr">
        <is>
          <t>RT20250322-03144</t>
        </is>
      </c>
      <c r="B3145" s="59" t="inlineStr">
        <is>
          <t>2025-03-22</t>
        </is>
      </c>
      <c r="C3145" s="60" t="inlineStr">
        <is>
          <t>Orion Team Sport X-926</t>
        </is>
      </c>
      <c r="D3145" s="58" t="inlineStr">
        <is>
          <t>Sports</t>
        </is>
      </c>
      <c r="E3145" s="58" t="inlineStr">
        <is>
          <t>South</t>
        </is>
      </c>
      <c r="F3145" s="61" t="n">
        <v>3</v>
      </c>
      <c r="G3145" s="62" t="n">
        <v>305.81</v>
      </c>
      <c r="H3145" s="63" t="n">
        <v>0.116</v>
      </c>
      <c r="I3145" s="62" t="n">
        <v>212.15</v>
      </c>
      <c r="J3145" s="58" t="inlineStr">
        <is>
          <t>Phone</t>
        </is>
      </c>
      <c r="K3145" s="62">
        <f>F3145*(G3145-H3145)</f>
        <v/>
      </c>
      <c r="L3145" s="62">
        <f>K3145-(F3145*I3145)</f>
        <v/>
      </c>
      <c r="M3145" s="64">
        <f>L3145/K3145</f>
        <v/>
      </c>
    </row>
    <row r="3146">
      <c r="A3146" s="58" t="inlineStr">
        <is>
          <t>RT20250322-03145</t>
        </is>
      </c>
      <c r="B3146" s="59" t="inlineStr">
        <is>
          <t>2025-03-22</t>
        </is>
      </c>
      <c r="C3146" s="60" t="inlineStr">
        <is>
          <t>Polar Laptop Plus-984</t>
        </is>
      </c>
      <c r="D3146" s="58" t="inlineStr">
        <is>
          <t>Electronics</t>
        </is>
      </c>
      <c r="E3146" s="58" t="inlineStr">
        <is>
          <t>South</t>
        </is>
      </c>
      <c r="F3146" s="61" t="n">
        <v>1</v>
      </c>
      <c r="G3146" s="62" t="n">
        <v>1142.29</v>
      </c>
      <c r="H3146" s="63" t="n">
        <v>0.112</v>
      </c>
      <c r="I3146" s="62" t="n">
        <v>984.8099999999999</v>
      </c>
      <c r="J3146" s="58" t="inlineStr">
        <is>
          <t>Store</t>
        </is>
      </c>
      <c r="K3146" s="62">
        <f>F3146*(G3146-H3146)</f>
        <v/>
      </c>
      <c r="L3146" s="62">
        <f>K3146-(F3146*I3146)</f>
        <v/>
      </c>
      <c r="M3146" s="64">
        <f>L3146/K3146</f>
        <v/>
      </c>
    </row>
    <row r="3147">
      <c r="A3147" s="58" t="inlineStr">
        <is>
          <t>RT20250322-03146</t>
        </is>
      </c>
      <c r="B3147" s="59" t="inlineStr">
        <is>
          <t>2025-03-22</t>
        </is>
      </c>
      <c r="C3147" s="60" t="inlineStr">
        <is>
          <t>Vertex Smartphone Lite-267</t>
        </is>
      </c>
      <c r="D3147" s="58" t="inlineStr">
        <is>
          <t>Electronics</t>
        </is>
      </c>
      <c r="E3147" s="58" t="inlineStr">
        <is>
          <t>East</t>
        </is>
      </c>
      <c r="F3147" s="61" t="n">
        <v>2</v>
      </c>
      <c r="G3147" s="62" t="n">
        <v>1237.58</v>
      </c>
      <c r="H3147" s="63" t="n">
        <v>0.098</v>
      </c>
      <c r="I3147" s="62" t="n">
        <v>972.11</v>
      </c>
      <c r="J3147" s="58" t="inlineStr">
        <is>
          <t>Store</t>
        </is>
      </c>
      <c r="K3147" s="62">
        <f>F3147*(G3147-H3147)</f>
        <v/>
      </c>
      <c r="L3147" s="62">
        <f>K3147-(F3147*I3147)</f>
        <v/>
      </c>
      <c r="M3147" s="64">
        <f>L3147/K3147</f>
        <v/>
      </c>
    </row>
    <row r="3148">
      <c r="A3148" s="58" t="inlineStr">
        <is>
          <t>RT20250322-03147</t>
        </is>
      </c>
      <c r="B3148" s="59" t="inlineStr">
        <is>
          <t>2025-03-22</t>
        </is>
      </c>
      <c r="C3148" s="60" t="inlineStr">
        <is>
          <t>Solace Kid S-384</t>
        </is>
      </c>
      <c r="D3148" s="58" t="inlineStr">
        <is>
          <t>Apparel</t>
        </is>
      </c>
      <c r="E3148" s="58" t="inlineStr">
        <is>
          <t>North</t>
        </is>
      </c>
      <c r="F3148" s="61" t="n">
        <v>2</v>
      </c>
      <c r="G3148" s="62" t="n">
        <v>101.58</v>
      </c>
      <c r="H3148" s="63" t="n">
        <v>0.099</v>
      </c>
      <c r="I3148" s="62" t="n">
        <v>63.04</v>
      </c>
      <c r="J3148" s="58" t="inlineStr">
        <is>
          <t>Online</t>
        </is>
      </c>
      <c r="K3148" s="62">
        <f>F3148*(G3148-H3148)</f>
        <v/>
      </c>
      <c r="L3148" s="62">
        <f>K3148-(F3148*I3148)</f>
        <v/>
      </c>
      <c r="M3148" s="64">
        <f>L3148/K3148</f>
        <v/>
      </c>
    </row>
    <row r="3149">
      <c r="A3149" s="58" t="inlineStr">
        <is>
          <t>RT20250322-03148</t>
        </is>
      </c>
      <c r="B3149" s="59" t="inlineStr">
        <is>
          <t>2025-03-22</t>
        </is>
      </c>
      <c r="C3149" s="60" t="inlineStr">
        <is>
          <t>Polar Outdoor Lite-318</t>
        </is>
      </c>
      <c r="D3149" s="58" t="inlineStr">
        <is>
          <t>Sports</t>
        </is>
      </c>
      <c r="E3149" s="58" t="inlineStr">
        <is>
          <t>North</t>
        </is>
      </c>
      <c r="F3149" s="61" t="n">
        <v>2</v>
      </c>
      <c r="G3149" s="62" t="n">
        <v>683.22</v>
      </c>
      <c r="H3149" s="63" t="n">
        <v>0.096</v>
      </c>
      <c r="I3149" s="62" t="n">
        <v>456.5</v>
      </c>
      <c r="J3149" s="58" t="inlineStr">
        <is>
          <t>Store</t>
        </is>
      </c>
      <c r="K3149" s="62">
        <f>F3149*(G3149-H3149)</f>
        <v/>
      </c>
      <c r="L3149" s="62">
        <f>K3149-(F3149*I3149)</f>
        <v/>
      </c>
      <c r="M3149" s="64">
        <f>L3149/K3149</f>
        <v/>
      </c>
    </row>
    <row r="3150">
      <c r="A3150" s="58" t="inlineStr">
        <is>
          <t>RT20250322-03149</t>
        </is>
      </c>
      <c r="B3150" s="59" t="inlineStr">
        <is>
          <t>2025-03-22</t>
        </is>
      </c>
      <c r="C3150" s="60" t="inlineStr">
        <is>
          <t>Falcon Beverage Max-702</t>
        </is>
      </c>
      <c r="D3150" s="58" t="inlineStr">
        <is>
          <t>Grocery</t>
        </is>
      </c>
      <c r="E3150" s="58" t="inlineStr">
        <is>
          <t>Central</t>
        </is>
      </c>
      <c r="F3150" s="61" t="n">
        <v>5</v>
      </c>
      <c r="G3150" s="62" t="n">
        <v>29.13</v>
      </c>
      <c r="H3150" s="63" t="n">
        <v>0.07099999999999999</v>
      </c>
      <c r="I3150" s="62" t="n">
        <v>20.18</v>
      </c>
      <c r="J3150" s="58" t="inlineStr">
        <is>
          <t>Store</t>
        </is>
      </c>
      <c r="K3150" s="62">
        <f>F3150*(G3150-H3150)</f>
        <v/>
      </c>
      <c r="L3150" s="62">
        <f>K3150-(F3150*I3150)</f>
        <v/>
      </c>
      <c r="M3150" s="64">
        <f>L3150/K3150</f>
        <v/>
      </c>
    </row>
    <row r="3151">
      <c r="A3151" s="58" t="inlineStr">
        <is>
          <t>RT20250322-03150</t>
        </is>
      </c>
      <c r="B3151" s="59" t="inlineStr">
        <is>
          <t>2025-03-22</t>
        </is>
      </c>
      <c r="C3151" s="60" t="inlineStr">
        <is>
          <t>Vertex Snack S-702</t>
        </is>
      </c>
      <c r="D3151" s="58" t="inlineStr">
        <is>
          <t>Grocery</t>
        </is>
      </c>
      <c r="E3151" s="58" t="inlineStr">
        <is>
          <t>East</t>
        </is>
      </c>
      <c r="F3151" s="61" t="n">
        <v>4</v>
      </c>
      <c r="G3151" s="62" t="n">
        <v>1.89</v>
      </c>
      <c r="H3151" s="63" t="n">
        <v>0.04</v>
      </c>
      <c r="I3151" s="62" t="n">
        <v>1.5</v>
      </c>
      <c r="J3151" s="58" t="inlineStr">
        <is>
          <t>Online</t>
        </is>
      </c>
      <c r="K3151" s="62">
        <f>F3151*(G3151-H3151)</f>
        <v/>
      </c>
      <c r="L3151" s="62">
        <f>K3151-(F3151*I3151)</f>
        <v/>
      </c>
      <c r="M3151" s="64">
        <f>L3151/K3151</f>
        <v/>
      </c>
    </row>
    <row r="3152">
      <c r="A3152" s="58" t="inlineStr">
        <is>
          <t>RT20250322-03151</t>
        </is>
      </c>
      <c r="B3152" s="59" t="inlineStr">
        <is>
          <t>2025-03-22</t>
        </is>
      </c>
      <c r="C3152" s="60" t="inlineStr">
        <is>
          <t>Metro Fragrance Lite-261</t>
        </is>
      </c>
      <c r="D3152" s="58" t="inlineStr">
        <is>
          <t>Beauty</t>
        </is>
      </c>
      <c r="E3152" s="58" t="inlineStr">
        <is>
          <t>East</t>
        </is>
      </c>
      <c r="F3152" s="61" t="n">
        <v>2</v>
      </c>
      <c r="G3152" s="62" t="n">
        <v>87.48999999999999</v>
      </c>
      <c r="H3152" s="63" t="n">
        <v>0.13</v>
      </c>
      <c r="I3152" s="62" t="n">
        <v>55.39</v>
      </c>
      <c r="J3152" s="58" t="inlineStr">
        <is>
          <t>Store</t>
        </is>
      </c>
      <c r="K3152" s="62">
        <f>F3152*(G3152-H3152)</f>
        <v/>
      </c>
      <c r="L3152" s="62">
        <f>K3152-(F3152*I3152)</f>
        <v/>
      </c>
      <c r="M3152" s="64">
        <f>L3152/K3152</f>
        <v/>
      </c>
    </row>
    <row r="3153">
      <c r="A3153" s="58" t="inlineStr">
        <is>
          <t>RT20250322-03152</t>
        </is>
      </c>
      <c r="B3153" s="59" t="inlineStr">
        <is>
          <t>2025-03-22</t>
        </is>
      </c>
      <c r="C3153" s="60" t="inlineStr">
        <is>
          <t>Metro Beverage Max-490</t>
        </is>
      </c>
      <c r="D3153" s="58" t="inlineStr">
        <is>
          <t>Grocery</t>
        </is>
      </c>
      <c r="E3153" s="58" t="inlineStr">
        <is>
          <t>West</t>
        </is>
      </c>
      <c r="F3153" s="61" t="n">
        <v>6</v>
      </c>
      <c r="G3153" s="62" t="n">
        <v>11.48</v>
      </c>
      <c r="H3153" s="63" t="n">
        <v>0.097</v>
      </c>
      <c r="I3153" s="62" t="n">
        <v>8.1</v>
      </c>
      <c r="J3153" s="58" t="inlineStr">
        <is>
          <t>Online</t>
        </is>
      </c>
      <c r="K3153" s="62">
        <f>F3153*(G3153-H3153)</f>
        <v/>
      </c>
      <c r="L3153" s="62">
        <f>K3153-(F3153*I3153)</f>
        <v/>
      </c>
      <c r="M3153" s="64">
        <f>L3153/K3153</f>
        <v/>
      </c>
    </row>
    <row r="3154">
      <c r="A3154" s="58" t="inlineStr">
        <is>
          <t>RT20250322-03153</t>
        </is>
      </c>
      <c r="B3154" s="59" t="inlineStr">
        <is>
          <t>2025-03-22</t>
        </is>
      </c>
      <c r="C3154" s="60" t="inlineStr">
        <is>
          <t>Orion Supplie S-612</t>
        </is>
      </c>
      <c r="D3154" s="58" t="inlineStr">
        <is>
          <t>Office</t>
        </is>
      </c>
      <c r="E3154" s="58" t="inlineStr">
        <is>
          <t>East</t>
        </is>
      </c>
      <c r="F3154" s="61" t="n">
        <v>1</v>
      </c>
      <c r="G3154" s="62" t="n">
        <v>475.98</v>
      </c>
      <c r="H3154" s="63" t="n">
        <v>0.05</v>
      </c>
      <c r="I3154" s="62" t="n">
        <v>328.9</v>
      </c>
      <c r="J3154" s="58" t="inlineStr">
        <is>
          <t>Online</t>
        </is>
      </c>
      <c r="K3154" s="62">
        <f>F3154*(G3154-H3154)</f>
        <v/>
      </c>
      <c r="L3154" s="62">
        <f>K3154-(F3154*I3154)</f>
        <v/>
      </c>
      <c r="M3154" s="64">
        <f>L3154/K3154</f>
        <v/>
      </c>
    </row>
    <row r="3155">
      <c r="A3155" s="58" t="inlineStr">
        <is>
          <t>RT20250322-03154</t>
        </is>
      </c>
      <c r="B3155" s="59" t="inlineStr">
        <is>
          <t>2025-03-22</t>
        </is>
      </c>
      <c r="C3155" s="60" t="inlineStr">
        <is>
          <t>Orion Laptop S-350</t>
        </is>
      </c>
      <c r="D3155" s="58" t="inlineStr">
        <is>
          <t>Electronics</t>
        </is>
      </c>
      <c r="E3155" s="58" t="inlineStr">
        <is>
          <t>West</t>
        </is>
      </c>
      <c r="F3155" s="61" t="n">
        <v>2</v>
      </c>
      <c r="G3155" s="62" t="n">
        <v>1326.19</v>
      </c>
      <c r="H3155" s="63" t="n">
        <v>0.068</v>
      </c>
      <c r="I3155" s="62" t="n">
        <v>1104.6</v>
      </c>
      <c r="J3155" s="58" t="inlineStr">
        <is>
          <t>Store</t>
        </is>
      </c>
      <c r="K3155" s="62">
        <f>F3155*(G3155-H3155)</f>
        <v/>
      </c>
      <c r="L3155" s="62">
        <f>K3155-(F3155*I3155)</f>
        <v/>
      </c>
      <c r="M3155" s="64">
        <f>L3155/K3155</f>
        <v/>
      </c>
    </row>
    <row r="3156">
      <c r="A3156" s="58" t="inlineStr">
        <is>
          <t>RT20250322-03155</t>
        </is>
      </c>
      <c r="B3156" s="59" t="inlineStr">
        <is>
          <t>2025-03-22</t>
        </is>
      </c>
      <c r="C3156" s="60" t="inlineStr">
        <is>
          <t>Orion Beverage Plus-949</t>
        </is>
      </c>
      <c r="D3156" s="58" t="inlineStr">
        <is>
          <t>Grocery</t>
        </is>
      </c>
      <c r="E3156" s="58" t="inlineStr">
        <is>
          <t>South</t>
        </is>
      </c>
      <c r="F3156" s="61" t="n">
        <v>2</v>
      </c>
      <c r="G3156" s="62" t="n">
        <v>18.89</v>
      </c>
      <c r="H3156" s="63" t="n">
        <v>0.11</v>
      </c>
      <c r="I3156" s="62" t="n">
        <v>13.3</v>
      </c>
      <c r="J3156" s="58" t="inlineStr">
        <is>
          <t>Online</t>
        </is>
      </c>
      <c r="K3156" s="62">
        <f>F3156*(G3156-H3156)</f>
        <v/>
      </c>
      <c r="L3156" s="62">
        <f>K3156-(F3156*I3156)</f>
        <v/>
      </c>
      <c r="M3156" s="64">
        <f>L3156/K3156</f>
        <v/>
      </c>
    </row>
    <row r="3157">
      <c r="A3157" s="58" t="inlineStr">
        <is>
          <t>RT20250322-03156</t>
        </is>
      </c>
      <c r="B3157" s="59" t="inlineStr">
        <is>
          <t>2025-03-22</t>
        </is>
      </c>
      <c r="C3157" s="60" t="inlineStr">
        <is>
          <t>Metro Smartphone Max-773</t>
        </is>
      </c>
      <c r="D3157" s="58" t="inlineStr">
        <is>
          <t>Electronics</t>
        </is>
      </c>
      <c r="E3157" s="58" t="inlineStr">
        <is>
          <t>West</t>
        </is>
      </c>
      <c r="F3157" s="61" t="n">
        <v>1</v>
      </c>
      <c r="G3157" s="62" t="n">
        <v>1403.92</v>
      </c>
      <c r="H3157" s="63" t="n">
        <v>0.101</v>
      </c>
      <c r="I3157" s="62" t="n">
        <v>1113.07</v>
      </c>
      <c r="J3157" s="58" t="inlineStr">
        <is>
          <t>Store</t>
        </is>
      </c>
      <c r="K3157" s="62">
        <f>F3157*(G3157-H3157)</f>
        <v/>
      </c>
      <c r="L3157" s="62">
        <f>K3157-(F3157*I3157)</f>
        <v/>
      </c>
      <c r="M3157" s="64">
        <f>L3157/K3157</f>
        <v/>
      </c>
    </row>
    <row r="3158">
      <c r="A3158" s="58" t="inlineStr">
        <is>
          <t>RT20250322-03157</t>
        </is>
      </c>
      <c r="B3158" s="59" t="inlineStr">
        <is>
          <t>2025-03-22</t>
        </is>
      </c>
      <c r="C3158" s="60" t="inlineStr">
        <is>
          <t>Aurora Smartphone Plus-125</t>
        </is>
      </c>
      <c r="D3158" s="58" t="inlineStr">
        <is>
          <t>Electronics</t>
        </is>
      </c>
      <c r="E3158" s="58" t="inlineStr">
        <is>
          <t>North</t>
        </is>
      </c>
      <c r="F3158" s="61" t="n">
        <v>1</v>
      </c>
      <c r="G3158" s="62" t="n">
        <v>1435.09</v>
      </c>
      <c r="H3158" s="63" t="n">
        <v>0.055</v>
      </c>
      <c r="I3158" s="62" t="n">
        <v>1231.95</v>
      </c>
      <c r="J3158" s="58" t="inlineStr">
        <is>
          <t>Store</t>
        </is>
      </c>
      <c r="K3158" s="62">
        <f>F3158*(G3158-H3158)</f>
        <v/>
      </c>
      <c r="L3158" s="62">
        <f>K3158-(F3158*I3158)</f>
        <v/>
      </c>
      <c r="M3158" s="64">
        <f>L3158/K3158</f>
        <v/>
      </c>
    </row>
    <row r="3159">
      <c r="A3159" s="58" t="inlineStr">
        <is>
          <t>RT20250322-03158</t>
        </is>
      </c>
      <c r="B3159" s="59" t="inlineStr">
        <is>
          <t>2025-03-22</t>
        </is>
      </c>
      <c r="C3159" s="60" t="inlineStr">
        <is>
          <t>Vertex Headphone Pro-801</t>
        </is>
      </c>
      <c r="D3159" s="58" t="inlineStr">
        <is>
          <t>Electronics</t>
        </is>
      </c>
      <c r="E3159" s="58" t="inlineStr">
        <is>
          <t>South</t>
        </is>
      </c>
      <c r="F3159" s="61" t="n">
        <v>2</v>
      </c>
      <c r="G3159" s="62" t="n">
        <v>1328.49</v>
      </c>
      <c r="H3159" s="63" t="n">
        <v>0.024</v>
      </c>
      <c r="I3159" s="62" t="n">
        <v>975.11</v>
      </c>
      <c r="J3159" s="58" t="inlineStr">
        <is>
          <t>Store</t>
        </is>
      </c>
      <c r="K3159" s="62">
        <f>F3159*(G3159-H3159)</f>
        <v/>
      </c>
      <c r="L3159" s="62">
        <f>K3159-(F3159*I3159)</f>
        <v/>
      </c>
      <c r="M3159" s="64">
        <f>L3159/K3159</f>
        <v/>
      </c>
    </row>
    <row r="3160">
      <c r="A3160" s="58" t="inlineStr">
        <is>
          <t>RT20250322-03159</t>
        </is>
      </c>
      <c r="B3160" s="59" t="inlineStr">
        <is>
          <t>2025-03-22</t>
        </is>
      </c>
      <c r="C3160" s="60" t="inlineStr">
        <is>
          <t>Orion Beverage Plus-949</t>
        </is>
      </c>
      <c r="D3160" s="58" t="inlineStr">
        <is>
          <t>Grocery</t>
        </is>
      </c>
      <c r="E3160" s="58" t="inlineStr">
        <is>
          <t>West</t>
        </is>
      </c>
      <c r="F3160" s="61" t="n">
        <v>3</v>
      </c>
      <c r="G3160" s="62" t="n">
        <v>19.83</v>
      </c>
      <c r="H3160" s="63" t="n">
        <v>0.111</v>
      </c>
      <c r="I3160" s="62" t="n">
        <v>13.35</v>
      </c>
      <c r="J3160" s="58" t="inlineStr">
        <is>
          <t>Online</t>
        </is>
      </c>
      <c r="K3160" s="62">
        <f>F3160*(G3160-H3160)</f>
        <v/>
      </c>
      <c r="L3160" s="62">
        <f>K3160-(F3160*I3160)</f>
        <v/>
      </c>
      <c r="M3160" s="64">
        <f>L3160/K3160</f>
        <v/>
      </c>
    </row>
    <row r="3161">
      <c r="A3161" s="58" t="inlineStr">
        <is>
          <t>RT20250322-03160</t>
        </is>
      </c>
      <c r="B3161" s="59" t="inlineStr">
        <is>
          <t>2025-03-22</t>
        </is>
      </c>
      <c r="C3161" s="60" t="inlineStr">
        <is>
          <t>Aurora Kid Plus-151</t>
        </is>
      </c>
      <c r="D3161" s="58" t="inlineStr">
        <is>
          <t>Apparel</t>
        </is>
      </c>
      <c r="E3161" s="58" t="inlineStr">
        <is>
          <t>West</t>
        </is>
      </c>
      <c r="F3161" s="61" t="n">
        <v>4</v>
      </c>
      <c r="G3161" s="62" t="n">
        <v>102.02</v>
      </c>
      <c r="H3161" s="63" t="n">
        <v>0.142</v>
      </c>
      <c r="I3161" s="62" t="n">
        <v>62.93</v>
      </c>
      <c r="J3161" s="58" t="inlineStr">
        <is>
          <t>Online</t>
        </is>
      </c>
      <c r="K3161" s="62">
        <f>F3161*(G3161-H3161)</f>
        <v/>
      </c>
      <c r="L3161" s="62">
        <f>K3161-(F3161*I3161)</f>
        <v/>
      </c>
      <c r="M3161" s="64">
        <f>L3161/K3161</f>
        <v/>
      </c>
    </row>
    <row r="3162">
      <c r="A3162" s="58" t="inlineStr">
        <is>
          <t>RT20250322-03161</t>
        </is>
      </c>
      <c r="B3162" s="59" t="inlineStr">
        <is>
          <t>2025-03-22</t>
        </is>
      </c>
      <c r="C3162" s="60" t="inlineStr">
        <is>
          <t>Aurora Bedding Max-175</t>
        </is>
      </c>
      <c r="D3162" s="58" t="inlineStr">
        <is>
          <t>Home</t>
        </is>
      </c>
      <c r="E3162" s="58" t="inlineStr">
        <is>
          <t>West</t>
        </is>
      </c>
      <c r="F3162" s="61" t="n">
        <v>2</v>
      </c>
      <c r="G3162" s="62" t="n">
        <v>591.98</v>
      </c>
      <c r="H3162" s="63" t="n">
        <v>0.064</v>
      </c>
      <c r="I3162" s="62" t="n">
        <v>412.56</v>
      </c>
      <c r="J3162" s="58" t="inlineStr">
        <is>
          <t>Online</t>
        </is>
      </c>
      <c r="K3162" s="62">
        <f>F3162*(G3162-H3162)</f>
        <v/>
      </c>
      <c r="L3162" s="62">
        <f>K3162-(F3162*I3162)</f>
        <v/>
      </c>
      <c r="M3162" s="64">
        <f>L3162/K3162</f>
        <v/>
      </c>
    </row>
    <row r="3163">
      <c r="A3163" s="58" t="inlineStr">
        <is>
          <t>RT20250322-03162</t>
        </is>
      </c>
      <c r="B3163" s="59" t="inlineStr">
        <is>
          <t>2025-03-22</t>
        </is>
      </c>
      <c r="C3163" s="60" t="inlineStr">
        <is>
          <t>Polar Decor Plus-505</t>
        </is>
      </c>
      <c r="D3163" s="58" t="inlineStr">
        <is>
          <t>Home</t>
        </is>
      </c>
      <c r="E3163" s="58" t="inlineStr">
        <is>
          <t>East</t>
        </is>
      </c>
      <c r="F3163" s="61" t="n">
        <v>1</v>
      </c>
      <c r="G3163" s="62" t="n">
        <v>278.62</v>
      </c>
      <c r="H3163" s="63" t="n">
        <v>0.116</v>
      </c>
      <c r="I3163" s="62" t="n">
        <v>199.13</v>
      </c>
      <c r="J3163" s="58" t="inlineStr">
        <is>
          <t>Store</t>
        </is>
      </c>
      <c r="K3163" s="62">
        <f>F3163*(G3163-H3163)</f>
        <v/>
      </c>
      <c r="L3163" s="62">
        <f>K3163-(F3163*I3163)</f>
        <v/>
      </c>
      <c r="M3163" s="64">
        <f>L3163/K3163</f>
        <v/>
      </c>
    </row>
    <row r="3164">
      <c r="A3164" s="58" t="inlineStr">
        <is>
          <t>RT20250322-03163</t>
        </is>
      </c>
      <c r="B3164" s="59" t="inlineStr">
        <is>
          <t>2025-03-22</t>
        </is>
      </c>
      <c r="C3164" s="60" t="inlineStr">
        <is>
          <t>Falcon Skincare Max-151</t>
        </is>
      </c>
      <c r="D3164" s="58" t="inlineStr">
        <is>
          <t>Beauty</t>
        </is>
      </c>
      <c r="E3164" s="58" t="inlineStr">
        <is>
          <t>East</t>
        </is>
      </c>
      <c r="F3164" s="61" t="n">
        <v>1</v>
      </c>
      <c r="G3164" s="62" t="n">
        <v>91.17</v>
      </c>
      <c r="H3164" s="63" t="n">
        <v>0.076</v>
      </c>
      <c r="I3164" s="62" t="n">
        <v>59.32</v>
      </c>
      <c r="J3164" s="58" t="inlineStr">
        <is>
          <t>Online</t>
        </is>
      </c>
      <c r="K3164" s="62">
        <f>F3164*(G3164-H3164)</f>
        <v/>
      </c>
      <c r="L3164" s="62">
        <f>K3164-(F3164*I3164)</f>
        <v/>
      </c>
      <c r="M3164" s="64">
        <f>L3164/K3164</f>
        <v/>
      </c>
    </row>
    <row r="3165">
      <c r="A3165" s="58" t="inlineStr">
        <is>
          <t>RT20250322-03164</t>
        </is>
      </c>
      <c r="B3165" s="59" t="inlineStr">
        <is>
          <t>2025-03-22</t>
        </is>
      </c>
      <c r="C3165" s="60" t="inlineStr">
        <is>
          <t>Orion Snack X-322</t>
        </is>
      </c>
      <c r="D3165" s="58" t="inlineStr">
        <is>
          <t>Grocery</t>
        </is>
      </c>
      <c r="E3165" s="58" t="inlineStr">
        <is>
          <t>West</t>
        </is>
      </c>
      <c r="F3165" s="61" t="n">
        <v>1</v>
      </c>
      <c r="G3165" s="62" t="n">
        <v>15.13</v>
      </c>
      <c r="H3165" s="63" t="n">
        <v>0.111</v>
      </c>
      <c r="I3165" s="62" t="n">
        <v>10.36</v>
      </c>
      <c r="J3165" s="58" t="inlineStr">
        <is>
          <t>Online</t>
        </is>
      </c>
      <c r="K3165" s="62">
        <f>F3165*(G3165-H3165)</f>
        <v/>
      </c>
      <c r="L3165" s="62">
        <f>K3165-(F3165*I3165)</f>
        <v/>
      </c>
      <c r="M3165" s="64">
        <f>L3165/K3165</f>
        <v/>
      </c>
    </row>
    <row r="3166">
      <c r="A3166" s="58" t="inlineStr">
        <is>
          <t>RT20250322-03165</t>
        </is>
      </c>
      <c r="B3166" s="59" t="inlineStr">
        <is>
          <t>2025-03-22</t>
        </is>
      </c>
      <c r="C3166" s="60" t="inlineStr">
        <is>
          <t>Metro Laptop Plus-376</t>
        </is>
      </c>
      <c r="D3166" s="58" t="inlineStr">
        <is>
          <t>Electronics</t>
        </is>
      </c>
      <c r="E3166" s="58" t="inlineStr">
        <is>
          <t>Central</t>
        </is>
      </c>
      <c r="F3166" s="61" t="n">
        <v>1</v>
      </c>
      <c r="G3166" s="62" t="n">
        <v>1316.07</v>
      </c>
      <c r="H3166" s="63" t="n">
        <v>0.076</v>
      </c>
      <c r="I3166" s="62" t="n">
        <v>1050.91</v>
      </c>
      <c r="J3166" s="58" t="inlineStr">
        <is>
          <t>Online</t>
        </is>
      </c>
      <c r="K3166" s="62">
        <f>F3166*(G3166-H3166)</f>
        <v/>
      </c>
      <c r="L3166" s="62">
        <f>K3166-(F3166*I3166)</f>
        <v/>
      </c>
      <c r="M3166" s="64">
        <f>L3166/K3166</f>
        <v/>
      </c>
    </row>
    <row r="3167">
      <c r="A3167" s="58" t="inlineStr">
        <is>
          <t>RT20250322-03166</t>
        </is>
      </c>
      <c r="B3167" s="59" t="inlineStr">
        <is>
          <t>2025-03-22</t>
        </is>
      </c>
      <c r="C3167" s="60" t="inlineStr">
        <is>
          <t>Metro Laptop Plus-376</t>
        </is>
      </c>
      <c r="D3167" s="58" t="inlineStr">
        <is>
          <t>Electronics</t>
        </is>
      </c>
      <c r="E3167" s="58" t="inlineStr">
        <is>
          <t>Central</t>
        </is>
      </c>
      <c r="F3167" s="61" t="n">
        <v>2</v>
      </c>
      <c r="G3167" s="62" t="n">
        <v>1275.44</v>
      </c>
      <c r="H3167" s="63" t="n">
        <v>0.164</v>
      </c>
      <c r="I3167" s="62" t="n">
        <v>1035.21</v>
      </c>
      <c r="J3167" s="58" t="inlineStr">
        <is>
          <t>Phone</t>
        </is>
      </c>
      <c r="K3167" s="62">
        <f>F3167*(G3167-H3167)</f>
        <v/>
      </c>
      <c r="L3167" s="62">
        <f>K3167-(F3167*I3167)</f>
        <v/>
      </c>
      <c r="M3167" s="64">
        <f>L3167/K3167</f>
        <v/>
      </c>
    </row>
    <row r="3168">
      <c r="A3168" s="58" t="inlineStr">
        <is>
          <t>RT20250322-03167</t>
        </is>
      </c>
      <c r="B3168" s="59" t="inlineStr">
        <is>
          <t>2025-03-22</t>
        </is>
      </c>
      <c r="C3168" s="60" t="inlineStr">
        <is>
          <t>Orion Snack X-322</t>
        </is>
      </c>
      <c r="D3168" s="58" t="inlineStr">
        <is>
          <t>Grocery</t>
        </is>
      </c>
      <c r="E3168" s="58" t="inlineStr">
        <is>
          <t>Central</t>
        </is>
      </c>
      <c r="F3168" s="61" t="n">
        <v>3</v>
      </c>
      <c r="G3168" s="62" t="n">
        <v>14.59</v>
      </c>
      <c r="H3168" s="63" t="n">
        <v>0.098</v>
      </c>
      <c r="I3168" s="62" t="n">
        <v>10.18</v>
      </c>
      <c r="J3168" s="58" t="inlineStr">
        <is>
          <t>Store</t>
        </is>
      </c>
      <c r="K3168" s="62">
        <f>F3168*(G3168-H3168)</f>
        <v/>
      </c>
      <c r="L3168" s="62">
        <f>K3168-(F3168*I3168)</f>
        <v/>
      </c>
      <c r="M3168" s="64">
        <f>L3168/K3168</f>
        <v/>
      </c>
    </row>
    <row r="3169">
      <c r="A3169" s="58" t="inlineStr">
        <is>
          <t>RT20250322-03168</t>
        </is>
      </c>
      <c r="B3169" s="59" t="inlineStr">
        <is>
          <t>2025-03-22</t>
        </is>
      </c>
      <c r="C3169" s="60" t="inlineStr">
        <is>
          <t>Vertex Pantry Pro-165</t>
        </is>
      </c>
      <c r="D3169" s="58" t="inlineStr">
        <is>
          <t>Grocery</t>
        </is>
      </c>
      <c r="E3169" s="58" t="inlineStr">
        <is>
          <t>North</t>
        </is>
      </c>
      <c r="F3169" s="61" t="n">
        <v>7</v>
      </c>
      <c r="G3169" s="62" t="n">
        <v>14.62</v>
      </c>
      <c r="H3169" s="63" t="n">
        <v>0.08400000000000001</v>
      </c>
      <c r="I3169" s="62" t="n">
        <v>11.99</v>
      </c>
      <c r="J3169" s="58" t="inlineStr">
        <is>
          <t>Store</t>
        </is>
      </c>
      <c r="K3169" s="62">
        <f>F3169*(G3169-H3169)</f>
        <v/>
      </c>
      <c r="L3169" s="62">
        <f>K3169-(F3169*I3169)</f>
        <v/>
      </c>
      <c r="M3169" s="64">
        <f>L3169/K3169</f>
        <v/>
      </c>
    </row>
    <row r="3170">
      <c r="A3170" s="58" t="inlineStr">
        <is>
          <t>RT20250322-03169</t>
        </is>
      </c>
      <c r="B3170" s="59" t="inlineStr">
        <is>
          <t>2025-03-22</t>
        </is>
      </c>
      <c r="C3170" s="60" t="inlineStr">
        <is>
          <t>Vertex Men X-995</t>
        </is>
      </c>
      <c r="D3170" s="58" t="inlineStr">
        <is>
          <t>Apparel</t>
        </is>
      </c>
      <c r="E3170" s="58" t="inlineStr">
        <is>
          <t>Central</t>
        </is>
      </c>
      <c r="F3170" s="61" t="n">
        <v>3</v>
      </c>
      <c r="G3170" s="62" t="n">
        <v>108.53</v>
      </c>
      <c r="H3170" s="63" t="n">
        <v>0.134</v>
      </c>
      <c r="I3170" s="62" t="n">
        <v>59.92</v>
      </c>
      <c r="J3170" s="58" t="inlineStr">
        <is>
          <t>Store</t>
        </is>
      </c>
      <c r="K3170" s="62">
        <f>F3170*(G3170-H3170)</f>
        <v/>
      </c>
      <c r="L3170" s="62">
        <f>K3170-(F3170*I3170)</f>
        <v/>
      </c>
      <c r="M3170" s="64">
        <f>L3170/K3170</f>
        <v/>
      </c>
    </row>
    <row r="3171">
      <c r="A3171" s="58" t="inlineStr">
        <is>
          <t>RT20250322-03170</t>
        </is>
      </c>
      <c r="B3171" s="59" t="inlineStr">
        <is>
          <t>2025-03-22</t>
        </is>
      </c>
      <c r="C3171" s="60" t="inlineStr">
        <is>
          <t>Falcon Furniture Plus-839</t>
        </is>
      </c>
      <c r="D3171" s="58" t="inlineStr">
        <is>
          <t>Office</t>
        </is>
      </c>
      <c r="E3171" s="58" t="inlineStr">
        <is>
          <t>East</t>
        </is>
      </c>
      <c r="F3171" s="61" t="n">
        <v>2</v>
      </c>
      <c r="G3171" s="62" t="n">
        <v>317.5</v>
      </c>
      <c r="H3171" s="63" t="n">
        <v>0.134</v>
      </c>
      <c r="I3171" s="62" t="n">
        <v>233.35</v>
      </c>
      <c r="J3171" s="58" t="inlineStr">
        <is>
          <t>Online</t>
        </is>
      </c>
      <c r="K3171" s="62">
        <f>F3171*(G3171-H3171)</f>
        <v/>
      </c>
      <c r="L3171" s="62">
        <f>K3171-(F3171*I3171)</f>
        <v/>
      </c>
      <c r="M3171" s="64">
        <f>L3171/K3171</f>
        <v/>
      </c>
    </row>
    <row r="3172">
      <c r="A3172" s="58" t="inlineStr">
        <is>
          <t>RT20250322-03171</t>
        </is>
      </c>
      <c r="B3172" s="59" t="inlineStr">
        <is>
          <t>2025-03-22</t>
        </is>
      </c>
      <c r="C3172" s="60" t="inlineStr">
        <is>
          <t>Polar Decor Plus-505</t>
        </is>
      </c>
      <c r="D3172" s="58" t="inlineStr">
        <is>
          <t>Home</t>
        </is>
      </c>
      <c r="E3172" s="58" t="inlineStr">
        <is>
          <t>East</t>
        </is>
      </c>
      <c r="F3172" s="61" t="n">
        <v>2</v>
      </c>
      <c r="G3172" s="62" t="n">
        <v>301.46</v>
      </c>
      <c r="H3172" s="63" t="n">
        <v>0.131</v>
      </c>
      <c r="I3172" s="62" t="n">
        <v>194.14</v>
      </c>
      <c r="J3172" s="58" t="inlineStr">
        <is>
          <t>Store</t>
        </is>
      </c>
      <c r="K3172" s="62">
        <f>F3172*(G3172-H3172)</f>
        <v/>
      </c>
      <c r="L3172" s="62">
        <f>K3172-(F3172*I3172)</f>
        <v/>
      </c>
      <c r="M3172" s="64">
        <f>L3172/K3172</f>
        <v/>
      </c>
    </row>
    <row r="3173">
      <c r="A3173" s="58" t="inlineStr">
        <is>
          <t>RT20250322-03172</t>
        </is>
      </c>
      <c r="B3173" s="59" t="inlineStr">
        <is>
          <t>2025-03-22</t>
        </is>
      </c>
      <c r="C3173" s="60" t="inlineStr">
        <is>
          <t>Aurora Makeup S-626</t>
        </is>
      </c>
      <c r="D3173" s="58" t="inlineStr">
        <is>
          <t>Beauty</t>
        </is>
      </c>
      <c r="E3173" s="58" t="inlineStr">
        <is>
          <t>West</t>
        </is>
      </c>
      <c r="F3173" s="61" t="n">
        <v>1</v>
      </c>
      <c r="G3173" s="62" t="n">
        <v>103.79</v>
      </c>
      <c r="H3173" s="63" t="n">
        <v>0.131</v>
      </c>
      <c r="I3173" s="62" t="n">
        <v>62.2</v>
      </c>
      <c r="J3173" s="58" t="inlineStr">
        <is>
          <t>Phone</t>
        </is>
      </c>
      <c r="K3173" s="62">
        <f>F3173*(G3173-H3173)</f>
        <v/>
      </c>
      <c r="L3173" s="62">
        <f>K3173-(F3173*I3173)</f>
        <v/>
      </c>
      <c r="M3173" s="64">
        <f>L3173/K3173</f>
        <v/>
      </c>
    </row>
    <row r="3174">
      <c r="A3174" s="58" t="inlineStr">
        <is>
          <t>RT20250322-03173</t>
        </is>
      </c>
      <c r="B3174" s="59" t="inlineStr">
        <is>
          <t>2025-03-22</t>
        </is>
      </c>
      <c r="C3174" s="60" t="inlineStr">
        <is>
          <t>Solace Bedding Plus-317</t>
        </is>
      </c>
      <c r="D3174" s="58" t="inlineStr">
        <is>
          <t>Home</t>
        </is>
      </c>
      <c r="E3174" s="58" t="inlineStr">
        <is>
          <t>Central</t>
        </is>
      </c>
      <c r="F3174" s="61" t="n">
        <v>3</v>
      </c>
      <c r="G3174" s="62" t="n">
        <v>534.99</v>
      </c>
      <c r="H3174" s="63" t="n">
        <v>0.122</v>
      </c>
      <c r="I3174" s="62" t="n">
        <v>384.98</v>
      </c>
      <c r="J3174" s="58" t="inlineStr">
        <is>
          <t>Online</t>
        </is>
      </c>
      <c r="K3174" s="62">
        <f>F3174*(G3174-H3174)</f>
        <v/>
      </c>
      <c r="L3174" s="62">
        <f>K3174-(F3174*I3174)</f>
        <v/>
      </c>
      <c r="M3174" s="64">
        <f>L3174/K3174</f>
        <v/>
      </c>
    </row>
    <row r="3175">
      <c r="A3175" s="58" t="inlineStr">
        <is>
          <t>RT20250322-03174</t>
        </is>
      </c>
      <c r="B3175" s="59" t="inlineStr">
        <is>
          <t>2025-03-22</t>
        </is>
      </c>
      <c r="C3175" s="60" t="inlineStr">
        <is>
          <t>Aurora Storage Lite-774</t>
        </is>
      </c>
      <c r="D3175" s="58" t="inlineStr">
        <is>
          <t>Office</t>
        </is>
      </c>
      <c r="E3175" s="58" t="inlineStr">
        <is>
          <t>East</t>
        </is>
      </c>
      <c r="F3175" s="61" t="n">
        <v>2</v>
      </c>
      <c r="G3175" s="62" t="n">
        <v>338.4</v>
      </c>
      <c r="H3175" s="63" t="n">
        <v>0.094</v>
      </c>
      <c r="I3175" s="62" t="n">
        <v>237.72</v>
      </c>
      <c r="J3175" s="58" t="inlineStr">
        <is>
          <t>Online</t>
        </is>
      </c>
      <c r="K3175" s="62">
        <f>F3175*(G3175-H3175)</f>
        <v/>
      </c>
      <c r="L3175" s="62">
        <f>K3175-(F3175*I3175)</f>
        <v/>
      </c>
      <c r="M3175" s="64">
        <f>L3175/K3175</f>
        <v/>
      </c>
    </row>
    <row r="3176">
      <c r="A3176" s="58" t="inlineStr">
        <is>
          <t>RT20250322-03175</t>
        </is>
      </c>
      <c r="B3176" s="59" t="inlineStr">
        <is>
          <t>2025-03-22</t>
        </is>
      </c>
      <c r="C3176" s="60" t="inlineStr">
        <is>
          <t>Solace Kitchen Pro-510</t>
        </is>
      </c>
      <c r="D3176" s="58" t="inlineStr">
        <is>
          <t>Home</t>
        </is>
      </c>
      <c r="E3176" s="58" t="inlineStr">
        <is>
          <t>Central</t>
        </is>
      </c>
      <c r="F3176" s="61" t="n">
        <v>3</v>
      </c>
      <c r="G3176" s="62" t="n">
        <v>473.76</v>
      </c>
      <c r="H3176" s="63" t="n">
        <v>0.082</v>
      </c>
      <c r="I3176" s="62" t="n">
        <v>316.4</v>
      </c>
      <c r="J3176" s="58" t="inlineStr">
        <is>
          <t>Online</t>
        </is>
      </c>
      <c r="K3176" s="62">
        <f>F3176*(G3176-H3176)</f>
        <v/>
      </c>
      <c r="L3176" s="62">
        <f>K3176-(F3176*I3176)</f>
        <v/>
      </c>
      <c r="M3176" s="64">
        <f>L3176/K3176</f>
        <v/>
      </c>
    </row>
    <row r="3177">
      <c r="A3177" s="58" t="inlineStr">
        <is>
          <t>RT20250322-03176</t>
        </is>
      </c>
      <c r="B3177" s="59" t="inlineStr">
        <is>
          <t>2025-03-22</t>
        </is>
      </c>
      <c r="C3177" s="60" t="inlineStr">
        <is>
          <t>Vertex Appliance S-296</t>
        </is>
      </c>
      <c r="D3177" s="58" t="inlineStr">
        <is>
          <t>Home</t>
        </is>
      </c>
      <c r="E3177" s="58" t="inlineStr">
        <is>
          <t>South</t>
        </is>
      </c>
      <c r="F3177" s="61" t="n">
        <v>1</v>
      </c>
      <c r="G3177" s="62" t="n">
        <v>574.7</v>
      </c>
      <c r="H3177" s="63" t="n">
        <v>0.07000000000000001</v>
      </c>
      <c r="I3177" s="62" t="n">
        <v>359.81</v>
      </c>
      <c r="J3177" s="58" t="inlineStr">
        <is>
          <t>Online</t>
        </is>
      </c>
      <c r="K3177" s="62">
        <f>F3177*(G3177-H3177)</f>
        <v/>
      </c>
      <c r="L3177" s="62">
        <f>K3177-(F3177*I3177)</f>
        <v/>
      </c>
      <c r="M3177" s="64">
        <f>L3177/K3177</f>
        <v/>
      </c>
    </row>
    <row r="3178">
      <c r="A3178" s="58" t="inlineStr">
        <is>
          <t>RT20250322-03177</t>
        </is>
      </c>
      <c r="B3178" s="59" t="inlineStr">
        <is>
          <t>2025-03-22</t>
        </is>
      </c>
      <c r="C3178" s="60" t="inlineStr">
        <is>
          <t>Falcon Furniture Plus-839</t>
        </is>
      </c>
      <c r="D3178" s="58" t="inlineStr">
        <is>
          <t>Office</t>
        </is>
      </c>
      <c r="E3178" s="58" t="inlineStr">
        <is>
          <t>Central</t>
        </is>
      </c>
      <c r="F3178" s="61" t="n">
        <v>3</v>
      </c>
      <c r="G3178" s="62" t="n">
        <v>306.05</v>
      </c>
      <c r="H3178" s="63" t="n">
        <v>0.129</v>
      </c>
      <c r="I3178" s="62" t="n">
        <v>222.18</v>
      </c>
      <c r="J3178" s="58" t="inlineStr">
        <is>
          <t>Online</t>
        </is>
      </c>
      <c r="K3178" s="62">
        <f>F3178*(G3178-H3178)</f>
        <v/>
      </c>
      <c r="L3178" s="62">
        <f>K3178-(F3178*I3178)</f>
        <v/>
      </c>
      <c r="M3178" s="64">
        <f>L3178/K3178</f>
        <v/>
      </c>
    </row>
    <row r="3179">
      <c r="A3179" s="58" t="inlineStr">
        <is>
          <t>RT20250322-03178</t>
        </is>
      </c>
      <c r="B3179" s="59" t="inlineStr">
        <is>
          <t>2025-03-22</t>
        </is>
      </c>
      <c r="C3179" s="60" t="inlineStr">
        <is>
          <t>Polar Outdoor Lite-318</t>
        </is>
      </c>
      <c r="D3179" s="58" t="inlineStr">
        <is>
          <t>Sports</t>
        </is>
      </c>
      <c r="E3179" s="58" t="inlineStr">
        <is>
          <t>West</t>
        </is>
      </c>
      <c r="F3179" s="61" t="n">
        <v>3</v>
      </c>
      <c r="G3179" s="62" t="n">
        <v>643.33</v>
      </c>
      <c r="H3179" s="63" t="n">
        <v>0.117</v>
      </c>
      <c r="I3179" s="62" t="n">
        <v>464.95</v>
      </c>
      <c r="J3179" s="58" t="inlineStr">
        <is>
          <t>Store</t>
        </is>
      </c>
      <c r="K3179" s="62">
        <f>F3179*(G3179-H3179)</f>
        <v/>
      </c>
      <c r="L3179" s="62">
        <f>K3179-(F3179*I3179)</f>
        <v/>
      </c>
      <c r="M3179" s="64">
        <f>L3179/K3179</f>
        <v/>
      </c>
    </row>
    <row r="3180">
      <c r="A3180" s="58" t="inlineStr">
        <is>
          <t>RT20250322-03179</t>
        </is>
      </c>
      <c r="B3180" s="59" t="inlineStr">
        <is>
          <t>2025-03-22</t>
        </is>
      </c>
      <c r="C3180" s="60" t="inlineStr">
        <is>
          <t>Falcon Cycling Pro-499</t>
        </is>
      </c>
      <c r="D3180" s="58" t="inlineStr">
        <is>
          <t>Sports</t>
        </is>
      </c>
      <c r="E3180" s="58" t="inlineStr">
        <is>
          <t>North</t>
        </is>
      </c>
      <c r="F3180" s="61" t="n">
        <v>3</v>
      </c>
      <c r="G3180" s="62" t="n">
        <v>591.85</v>
      </c>
      <c r="H3180" s="63" t="n">
        <v>0.165</v>
      </c>
      <c r="I3180" s="62" t="n">
        <v>395.52</v>
      </c>
      <c r="J3180" s="58" t="inlineStr">
        <is>
          <t>Online</t>
        </is>
      </c>
      <c r="K3180" s="62">
        <f>F3180*(G3180-H3180)</f>
        <v/>
      </c>
      <c r="L3180" s="62">
        <f>K3180-(F3180*I3180)</f>
        <v/>
      </c>
      <c r="M3180" s="64">
        <f>L3180/K3180</f>
        <v/>
      </c>
    </row>
    <row r="3181">
      <c r="A3181" s="58" t="inlineStr">
        <is>
          <t>RT20250322-03180</t>
        </is>
      </c>
      <c r="B3181" s="59" t="inlineStr">
        <is>
          <t>2025-03-22</t>
        </is>
      </c>
      <c r="C3181" s="60" t="inlineStr">
        <is>
          <t>Orion Fragrance Lite-785</t>
        </is>
      </c>
      <c r="D3181" s="58" t="inlineStr">
        <is>
          <t>Beauty</t>
        </is>
      </c>
      <c r="E3181" s="58" t="inlineStr">
        <is>
          <t>Central</t>
        </is>
      </c>
      <c r="F3181" s="61" t="n">
        <v>1</v>
      </c>
      <c r="G3181" s="62" t="n">
        <v>45</v>
      </c>
      <c r="H3181" s="63" t="n">
        <v>0.073</v>
      </c>
      <c r="I3181" s="62" t="n">
        <v>26.73</v>
      </c>
      <c r="J3181" s="58" t="inlineStr">
        <is>
          <t>Store</t>
        </is>
      </c>
      <c r="K3181" s="62">
        <f>F3181*(G3181-H3181)</f>
        <v/>
      </c>
      <c r="L3181" s="62">
        <f>K3181-(F3181*I3181)</f>
        <v/>
      </c>
      <c r="M3181" s="64">
        <f>L3181/K3181</f>
        <v/>
      </c>
    </row>
    <row r="3182">
      <c r="A3182" s="58" t="inlineStr">
        <is>
          <t>RT20250322-03181</t>
        </is>
      </c>
      <c r="B3182" s="59" t="inlineStr">
        <is>
          <t>2025-03-22</t>
        </is>
      </c>
      <c r="C3182" s="60" t="inlineStr">
        <is>
          <t>Nimbus Storage Plus-646</t>
        </is>
      </c>
      <c r="D3182" s="58" t="inlineStr">
        <is>
          <t>Office</t>
        </is>
      </c>
      <c r="E3182" s="58" t="inlineStr">
        <is>
          <t>East</t>
        </is>
      </c>
      <c r="F3182" s="61" t="n">
        <v>2</v>
      </c>
      <c r="G3182" s="62" t="n">
        <v>437.78</v>
      </c>
      <c r="H3182" s="63" t="n">
        <v>0.052</v>
      </c>
      <c r="I3182" s="62" t="n">
        <v>312.68</v>
      </c>
      <c r="J3182" s="58" t="inlineStr">
        <is>
          <t>Store</t>
        </is>
      </c>
      <c r="K3182" s="62">
        <f>F3182*(G3182-H3182)</f>
        <v/>
      </c>
      <c r="L3182" s="62">
        <f>K3182-(F3182*I3182)</f>
        <v/>
      </c>
      <c r="M3182" s="64">
        <f>L3182/K3182</f>
        <v/>
      </c>
    </row>
    <row r="3183">
      <c r="A3183" s="58" t="inlineStr">
        <is>
          <t>RT20250323-03182</t>
        </is>
      </c>
      <c r="B3183" s="59" t="inlineStr">
        <is>
          <t>2025-03-23</t>
        </is>
      </c>
      <c r="C3183" s="60" t="inlineStr">
        <is>
          <t>Polar Fragrance Pro-750</t>
        </is>
      </c>
      <c r="D3183" s="58" t="inlineStr">
        <is>
          <t>Beauty</t>
        </is>
      </c>
      <c r="E3183" s="58" t="inlineStr">
        <is>
          <t>North</t>
        </is>
      </c>
      <c r="F3183" s="61" t="n">
        <v>1</v>
      </c>
      <c r="G3183" s="62" t="n">
        <v>69.09999999999999</v>
      </c>
      <c r="H3183" s="63" t="n">
        <v>0.068</v>
      </c>
      <c r="I3183" s="62" t="n">
        <v>37.28</v>
      </c>
      <c r="J3183" s="58" t="inlineStr">
        <is>
          <t>Store</t>
        </is>
      </c>
      <c r="K3183" s="62">
        <f>F3183*(G3183-H3183)</f>
        <v/>
      </c>
      <c r="L3183" s="62">
        <f>K3183-(F3183*I3183)</f>
        <v/>
      </c>
      <c r="M3183" s="64">
        <f>L3183/K3183</f>
        <v/>
      </c>
    </row>
    <row r="3184">
      <c r="A3184" s="58" t="inlineStr">
        <is>
          <t>RT20250323-03183</t>
        </is>
      </c>
      <c r="B3184" s="59" t="inlineStr">
        <is>
          <t>2025-03-23</t>
        </is>
      </c>
      <c r="C3184" s="60" t="inlineStr">
        <is>
          <t>Nimbus Women Lite-814</t>
        </is>
      </c>
      <c r="D3184" s="58" t="inlineStr">
        <is>
          <t>Apparel</t>
        </is>
      </c>
      <c r="E3184" s="58" t="inlineStr">
        <is>
          <t>East</t>
        </is>
      </c>
      <c r="F3184" s="61" t="n">
        <v>1</v>
      </c>
      <c r="G3184" s="62" t="n">
        <v>144.54</v>
      </c>
      <c r="H3184" s="63" t="n">
        <v>0.124</v>
      </c>
      <c r="I3184" s="62" t="n">
        <v>82.95999999999999</v>
      </c>
      <c r="J3184" s="58" t="inlineStr">
        <is>
          <t>Online</t>
        </is>
      </c>
      <c r="K3184" s="62">
        <f>F3184*(G3184-H3184)</f>
        <v/>
      </c>
      <c r="L3184" s="62">
        <f>K3184-(F3184*I3184)</f>
        <v/>
      </c>
      <c r="M3184" s="64">
        <f>L3184/K3184</f>
        <v/>
      </c>
    </row>
    <row r="3185">
      <c r="A3185" s="58" t="inlineStr">
        <is>
          <t>RT20250323-03184</t>
        </is>
      </c>
      <c r="B3185" s="59" t="inlineStr">
        <is>
          <t>2025-03-23</t>
        </is>
      </c>
      <c r="C3185" s="60" t="inlineStr">
        <is>
          <t>Solace Kitchen Pro-999</t>
        </is>
      </c>
      <c r="D3185" s="58" t="inlineStr">
        <is>
          <t>Home</t>
        </is>
      </c>
      <c r="E3185" s="58" t="inlineStr">
        <is>
          <t>North</t>
        </is>
      </c>
      <c r="F3185" s="61" t="n">
        <v>2</v>
      </c>
      <c r="G3185" s="62" t="n">
        <v>401.88</v>
      </c>
      <c r="H3185" s="63" t="n">
        <v>0.11</v>
      </c>
      <c r="I3185" s="62" t="n">
        <v>263</v>
      </c>
      <c r="J3185" s="58" t="inlineStr">
        <is>
          <t>Online</t>
        </is>
      </c>
      <c r="K3185" s="62">
        <f>F3185*(G3185-H3185)</f>
        <v/>
      </c>
      <c r="L3185" s="62">
        <f>K3185-(F3185*I3185)</f>
        <v/>
      </c>
      <c r="M3185" s="64">
        <f>L3185/K3185</f>
        <v/>
      </c>
    </row>
    <row r="3186">
      <c r="A3186" s="58" t="inlineStr">
        <is>
          <t>RT20250323-03185</t>
        </is>
      </c>
      <c r="B3186" s="59" t="inlineStr">
        <is>
          <t>2025-03-23</t>
        </is>
      </c>
      <c r="C3186" s="60" t="inlineStr">
        <is>
          <t>Vertex Pantry Pro-165</t>
        </is>
      </c>
      <c r="D3186" s="58" t="inlineStr">
        <is>
          <t>Grocery</t>
        </is>
      </c>
      <c r="E3186" s="58" t="inlineStr">
        <is>
          <t>North</t>
        </is>
      </c>
      <c r="F3186" s="61" t="n">
        <v>8</v>
      </c>
      <c r="G3186" s="62" t="n">
        <v>17.3</v>
      </c>
      <c r="H3186" s="63" t="n">
        <v>0.08599999999999999</v>
      </c>
      <c r="I3186" s="62" t="n">
        <v>11.6</v>
      </c>
      <c r="J3186" s="58" t="inlineStr">
        <is>
          <t>Store</t>
        </is>
      </c>
      <c r="K3186" s="62">
        <f>F3186*(G3186-H3186)</f>
        <v/>
      </c>
      <c r="L3186" s="62">
        <f>K3186-(F3186*I3186)</f>
        <v/>
      </c>
      <c r="M3186" s="64">
        <f>L3186/K3186</f>
        <v/>
      </c>
    </row>
    <row r="3187">
      <c r="A3187" s="58" t="inlineStr">
        <is>
          <t>RT20250323-03186</t>
        </is>
      </c>
      <c r="B3187" s="59" t="inlineStr">
        <is>
          <t>2025-03-23</t>
        </is>
      </c>
      <c r="C3187" s="60" t="inlineStr">
        <is>
          <t>Solace Makeup Pro-214</t>
        </is>
      </c>
      <c r="D3187" s="58" t="inlineStr">
        <is>
          <t>Beauty</t>
        </is>
      </c>
      <c r="E3187" s="58" t="inlineStr">
        <is>
          <t>West</t>
        </is>
      </c>
      <c r="F3187" s="61" t="n">
        <v>2</v>
      </c>
      <c r="G3187" s="62" t="n">
        <v>122.1</v>
      </c>
      <c r="H3187" s="63" t="n">
        <v>0.08</v>
      </c>
      <c r="I3187" s="62" t="n">
        <v>66.19</v>
      </c>
      <c r="J3187" s="58" t="inlineStr">
        <is>
          <t>Store</t>
        </is>
      </c>
      <c r="K3187" s="62">
        <f>F3187*(G3187-H3187)</f>
        <v/>
      </c>
      <c r="L3187" s="62">
        <f>K3187-(F3187*I3187)</f>
        <v/>
      </c>
      <c r="M3187" s="64">
        <f>L3187/K3187</f>
        <v/>
      </c>
    </row>
    <row r="3188">
      <c r="A3188" s="58" t="inlineStr">
        <is>
          <t>RT20250323-03187</t>
        </is>
      </c>
      <c r="B3188" s="59" t="inlineStr">
        <is>
          <t>2025-03-23</t>
        </is>
      </c>
      <c r="C3188" s="60" t="inlineStr">
        <is>
          <t>Metro Beverage Max-490</t>
        </is>
      </c>
      <c r="D3188" s="58" t="inlineStr">
        <is>
          <t>Grocery</t>
        </is>
      </c>
      <c r="E3188" s="58" t="inlineStr">
        <is>
          <t>West</t>
        </is>
      </c>
      <c r="F3188" s="61" t="n">
        <v>5</v>
      </c>
      <c r="G3188" s="62" t="n">
        <v>10.19</v>
      </c>
      <c r="H3188" s="63" t="n">
        <v>0.148</v>
      </c>
      <c r="I3188" s="62" t="n">
        <v>7.95</v>
      </c>
      <c r="J3188" s="58" t="inlineStr">
        <is>
          <t>Store</t>
        </is>
      </c>
      <c r="K3188" s="62">
        <f>F3188*(G3188-H3188)</f>
        <v/>
      </c>
      <c r="L3188" s="62">
        <f>K3188-(F3188*I3188)</f>
        <v/>
      </c>
      <c r="M3188" s="64">
        <f>L3188/K3188</f>
        <v/>
      </c>
    </row>
    <row r="3189">
      <c r="A3189" s="58" t="inlineStr">
        <is>
          <t>RT20250323-03188</t>
        </is>
      </c>
      <c r="B3189" s="59" t="inlineStr">
        <is>
          <t>2025-03-23</t>
        </is>
      </c>
      <c r="C3189" s="60" t="inlineStr">
        <is>
          <t>Polar Cycling X-649</t>
        </is>
      </c>
      <c r="D3189" s="58" t="inlineStr">
        <is>
          <t>Sports</t>
        </is>
      </c>
      <c r="E3189" s="58" t="inlineStr">
        <is>
          <t>North</t>
        </is>
      </c>
      <c r="F3189" s="61" t="n">
        <v>1</v>
      </c>
      <c r="G3189" s="62" t="n">
        <v>544.26</v>
      </c>
      <c r="H3189" s="63" t="n">
        <v>0.064</v>
      </c>
      <c r="I3189" s="62" t="n">
        <v>365.47</v>
      </c>
      <c r="J3189" s="58" t="inlineStr">
        <is>
          <t>Online</t>
        </is>
      </c>
      <c r="K3189" s="62">
        <f>F3189*(G3189-H3189)</f>
        <v/>
      </c>
      <c r="L3189" s="62">
        <f>K3189-(F3189*I3189)</f>
        <v/>
      </c>
      <c r="M3189" s="64">
        <f>L3189/K3189</f>
        <v/>
      </c>
    </row>
    <row r="3190">
      <c r="A3190" s="58" t="inlineStr">
        <is>
          <t>RT20250323-03189</t>
        </is>
      </c>
      <c r="B3190" s="59" t="inlineStr">
        <is>
          <t>2025-03-23</t>
        </is>
      </c>
      <c r="C3190" s="60" t="inlineStr">
        <is>
          <t>Nimbus Laptop Max-652</t>
        </is>
      </c>
      <c r="D3190" s="58" t="inlineStr">
        <is>
          <t>Electronics</t>
        </is>
      </c>
      <c r="E3190" s="58" t="inlineStr">
        <is>
          <t>East</t>
        </is>
      </c>
      <c r="F3190" s="61" t="n">
        <v>2</v>
      </c>
      <c r="G3190" s="62" t="n">
        <v>1232.02</v>
      </c>
      <c r="H3190" s="63" t="n">
        <v>0.063</v>
      </c>
      <c r="I3190" s="62" t="n">
        <v>1038.21</v>
      </c>
      <c r="J3190" s="58" t="inlineStr">
        <is>
          <t>Phone</t>
        </is>
      </c>
      <c r="K3190" s="62">
        <f>F3190*(G3190-H3190)</f>
        <v/>
      </c>
      <c r="L3190" s="62">
        <f>K3190-(F3190*I3190)</f>
        <v/>
      </c>
      <c r="M3190" s="64">
        <f>L3190/K3190</f>
        <v/>
      </c>
    </row>
    <row r="3191">
      <c r="A3191" s="58" t="inlineStr">
        <is>
          <t>RT20250323-03190</t>
        </is>
      </c>
      <c r="B3191" s="59" t="inlineStr">
        <is>
          <t>2025-03-23</t>
        </is>
      </c>
      <c r="C3191" s="60" t="inlineStr">
        <is>
          <t>Solace Bedding Plus-317</t>
        </is>
      </c>
      <c r="D3191" s="58" t="inlineStr">
        <is>
          <t>Home</t>
        </is>
      </c>
      <c r="E3191" s="58" t="inlineStr">
        <is>
          <t>East</t>
        </is>
      </c>
      <c r="F3191" s="61" t="n">
        <v>3</v>
      </c>
      <c r="G3191" s="62" t="n">
        <v>506.39</v>
      </c>
      <c r="H3191" s="63" t="n">
        <v>0.109</v>
      </c>
      <c r="I3191" s="62" t="n">
        <v>388.93</v>
      </c>
      <c r="J3191" s="58" t="inlineStr">
        <is>
          <t>Store</t>
        </is>
      </c>
      <c r="K3191" s="62">
        <f>F3191*(G3191-H3191)</f>
        <v/>
      </c>
      <c r="L3191" s="62">
        <f>K3191-(F3191*I3191)</f>
        <v/>
      </c>
      <c r="M3191" s="64">
        <f>L3191/K3191</f>
        <v/>
      </c>
    </row>
    <row r="3192">
      <c r="A3192" s="58" t="inlineStr">
        <is>
          <t>RT20250323-03191</t>
        </is>
      </c>
      <c r="B3192" s="59" t="inlineStr">
        <is>
          <t>2025-03-23</t>
        </is>
      </c>
      <c r="C3192" s="60" t="inlineStr">
        <is>
          <t>Metro Accessorie Max-316</t>
        </is>
      </c>
      <c r="D3192" s="58" t="inlineStr">
        <is>
          <t>Apparel</t>
        </is>
      </c>
      <c r="E3192" s="58" t="inlineStr">
        <is>
          <t>West</t>
        </is>
      </c>
      <c r="F3192" s="61" t="n">
        <v>3</v>
      </c>
      <c r="G3192" s="62" t="n">
        <v>160.85</v>
      </c>
      <c r="H3192" s="63" t="n">
        <v>0.09</v>
      </c>
      <c r="I3192" s="62" t="n">
        <v>93.08</v>
      </c>
      <c r="J3192" s="58" t="inlineStr">
        <is>
          <t>Online</t>
        </is>
      </c>
      <c r="K3192" s="62">
        <f>F3192*(G3192-H3192)</f>
        <v/>
      </c>
      <c r="L3192" s="62">
        <f>K3192-(F3192*I3192)</f>
        <v/>
      </c>
      <c r="M3192" s="64">
        <f>L3192/K3192</f>
        <v/>
      </c>
    </row>
    <row r="3193">
      <c r="A3193" s="58" t="inlineStr">
        <is>
          <t>RT20250323-03192</t>
        </is>
      </c>
      <c r="B3193" s="59" t="inlineStr">
        <is>
          <t>2025-03-23</t>
        </is>
      </c>
      <c r="C3193" s="60" t="inlineStr">
        <is>
          <t>Nimbus Storage Plus-646</t>
        </is>
      </c>
      <c r="D3193" s="58" t="inlineStr">
        <is>
          <t>Office</t>
        </is>
      </c>
      <c r="E3193" s="58" t="inlineStr">
        <is>
          <t>West</t>
        </is>
      </c>
      <c r="F3193" s="61" t="n">
        <v>3</v>
      </c>
      <c r="G3193" s="62" t="n">
        <v>402.58</v>
      </c>
      <c r="H3193" s="63" t="n">
        <v>0.144</v>
      </c>
      <c r="I3193" s="62" t="n">
        <v>322.32</v>
      </c>
      <c r="J3193" s="58" t="inlineStr">
        <is>
          <t>Online</t>
        </is>
      </c>
      <c r="K3193" s="62">
        <f>F3193*(G3193-H3193)</f>
        <v/>
      </c>
      <c r="L3193" s="62">
        <f>K3193-(F3193*I3193)</f>
        <v/>
      </c>
      <c r="M3193" s="64">
        <f>L3193/K3193</f>
        <v/>
      </c>
    </row>
    <row r="3194">
      <c r="A3194" s="58" t="inlineStr">
        <is>
          <t>RT20250323-03193</t>
        </is>
      </c>
      <c r="B3194" s="59" t="inlineStr">
        <is>
          <t>2025-03-23</t>
        </is>
      </c>
      <c r="C3194" s="60" t="inlineStr">
        <is>
          <t>Metro Printer X-294</t>
        </is>
      </c>
      <c r="D3194" s="58" t="inlineStr">
        <is>
          <t>Office</t>
        </is>
      </c>
      <c r="E3194" s="58" t="inlineStr">
        <is>
          <t>Central</t>
        </is>
      </c>
      <c r="F3194" s="61" t="n">
        <v>2</v>
      </c>
      <c r="G3194" s="62" t="n">
        <v>484.7</v>
      </c>
      <c r="H3194" s="63" t="n">
        <v>0.118</v>
      </c>
      <c r="I3194" s="62" t="n">
        <v>415.05</v>
      </c>
      <c r="J3194" s="58" t="inlineStr">
        <is>
          <t>Online</t>
        </is>
      </c>
      <c r="K3194" s="62">
        <f>F3194*(G3194-H3194)</f>
        <v/>
      </c>
      <c r="L3194" s="62">
        <f>K3194-(F3194*I3194)</f>
        <v/>
      </c>
      <c r="M3194" s="64">
        <f>L3194/K3194</f>
        <v/>
      </c>
    </row>
    <row r="3195">
      <c r="A3195" s="58" t="inlineStr">
        <is>
          <t>RT20250323-03194</t>
        </is>
      </c>
      <c r="B3195" s="59" t="inlineStr">
        <is>
          <t>2025-03-23</t>
        </is>
      </c>
      <c r="C3195" s="60" t="inlineStr">
        <is>
          <t>Aurora Bedding Plus-187</t>
        </is>
      </c>
      <c r="D3195" s="58" t="inlineStr">
        <is>
          <t>Home</t>
        </is>
      </c>
      <c r="E3195" s="58" t="inlineStr">
        <is>
          <t>West</t>
        </is>
      </c>
      <c r="F3195" s="61" t="n">
        <v>2</v>
      </c>
      <c r="G3195" s="62" t="n">
        <v>289.92</v>
      </c>
      <c r="H3195" s="63" t="n">
        <v>0.115</v>
      </c>
      <c r="I3195" s="62" t="n">
        <v>204.55</v>
      </c>
      <c r="J3195" s="58" t="inlineStr">
        <is>
          <t>Store</t>
        </is>
      </c>
      <c r="K3195" s="62">
        <f>F3195*(G3195-H3195)</f>
        <v/>
      </c>
      <c r="L3195" s="62">
        <f>K3195-(F3195*I3195)</f>
        <v/>
      </c>
      <c r="M3195" s="64">
        <f>L3195/K3195</f>
        <v/>
      </c>
    </row>
    <row r="3196">
      <c r="A3196" s="58" t="inlineStr">
        <is>
          <t>RT20250323-03195</t>
        </is>
      </c>
      <c r="B3196" s="59" t="inlineStr">
        <is>
          <t>2025-03-23</t>
        </is>
      </c>
      <c r="C3196" s="60" t="inlineStr">
        <is>
          <t>Vertex Appliance Max-338</t>
        </is>
      </c>
      <c r="D3196" s="58" t="inlineStr">
        <is>
          <t>Home</t>
        </is>
      </c>
      <c r="E3196" s="58" t="inlineStr">
        <is>
          <t>North</t>
        </is>
      </c>
      <c r="F3196" s="61" t="n">
        <v>2</v>
      </c>
      <c r="G3196" s="62" t="n">
        <v>466.28</v>
      </c>
      <c r="H3196" s="63" t="n">
        <v>0.078</v>
      </c>
      <c r="I3196" s="62" t="n">
        <v>296.77</v>
      </c>
      <c r="J3196" s="58" t="inlineStr">
        <is>
          <t>Store</t>
        </is>
      </c>
      <c r="K3196" s="62">
        <f>F3196*(G3196-H3196)</f>
        <v/>
      </c>
      <c r="L3196" s="62">
        <f>K3196-(F3196*I3196)</f>
        <v/>
      </c>
      <c r="M3196" s="64">
        <f>L3196/K3196</f>
        <v/>
      </c>
    </row>
    <row r="3197">
      <c r="A3197" s="58" t="inlineStr">
        <is>
          <t>RT20250323-03196</t>
        </is>
      </c>
      <c r="B3197" s="59" t="inlineStr">
        <is>
          <t>2025-03-23</t>
        </is>
      </c>
      <c r="C3197" s="60" t="inlineStr">
        <is>
          <t>Aurora Wearable Lite-162</t>
        </is>
      </c>
      <c r="D3197" s="58" t="inlineStr">
        <is>
          <t>Electronics</t>
        </is>
      </c>
      <c r="E3197" s="58" t="inlineStr">
        <is>
          <t>West</t>
        </is>
      </c>
      <c r="F3197" s="61" t="n">
        <v>1</v>
      </c>
      <c r="G3197" s="62" t="n">
        <v>1403.36</v>
      </c>
      <c r="H3197" s="63" t="n">
        <v>0.063</v>
      </c>
      <c r="I3197" s="62" t="n">
        <v>1193.68</v>
      </c>
      <c r="J3197" s="58" t="inlineStr">
        <is>
          <t>Store</t>
        </is>
      </c>
      <c r="K3197" s="62">
        <f>F3197*(G3197-H3197)</f>
        <v/>
      </c>
      <c r="L3197" s="62">
        <f>K3197-(F3197*I3197)</f>
        <v/>
      </c>
      <c r="M3197" s="64">
        <f>L3197/K3197</f>
        <v/>
      </c>
    </row>
    <row r="3198">
      <c r="A3198" s="58" t="inlineStr">
        <is>
          <t>RT20250323-03197</t>
        </is>
      </c>
      <c r="B3198" s="59" t="inlineStr">
        <is>
          <t>2025-03-23</t>
        </is>
      </c>
      <c r="C3198" s="60" t="inlineStr">
        <is>
          <t>Solace Bedding Plus-317</t>
        </is>
      </c>
      <c r="D3198" s="58" t="inlineStr">
        <is>
          <t>Home</t>
        </is>
      </c>
      <c r="E3198" s="58" t="inlineStr">
        <is>
          <t>Central</t>
        </is>
      </c>
      <c r="F3198" s="61" t="n">
        <v>3</v>
      </c>
      <c r="G3198" s="62" t="n">
        <v>574.0700000000001</v>
      </c>
      <c r="H3198" s="63" t="n">
        <v>0.098</v>
      </c>
      <c r="I3198" s="62" t="n">
        <v>373.12</v>
      </c>
      <c r="J3198" s="58" t="inlineStr">
        <is>
          <t>Store</t>
        </is>
      </c>
      <c r="K3198" s="62">
        <f>F3198*(G3198-H3198)</f>
        <v/>
      </c>
      <c r="L3198" s="62">
        <f>K3198-(F3198*I3198)</f>
        <v/>
      </c>
      <c r="M3198" s="64">
        <f>L3198/K3198</f>
        <v/>
      </c>
    </row>
    <row r="3199">
      <c r="A3199" s="58" t="inlineStr">
        <is>
          <t>RT20250323-03198</t>
        </is>
      </c>
      <c r="B3199" s="59" t="inlineStr">
        <is>
          <t>2025-03-23</t>
        </is>
      </c>
      <c r="C3199" s="60" t="inlineStr">
        <is>
          <t>Polar Snack Pro-641</t>
        </is>
      </c>
      <c r="D3199" s="58" t="inlineStr">
        <is>
          <t>Grocery</t>
        </is>
      </c>
      <c r="E3199" s="58" t="inlineStr">
        <is>
          <t>South</t>
        </is>
      </c>
      <c r="F3199" s="61" t="n">
        <v>7</v>
      </c>
      <c r="G3199" s="62" t="n">
        <v>12.37</v>
      </c>
      <c r="H3199" s="63" t="n">
        <v>0.164</v>
      </c>
      <c r="I3199" s="62" t="n">
        <v>9.73</v>
      </c>
      <c r="J3199" s="58" t="inlineStr">
        <is>
          <t>Store</t>
        </is>
      </c>
      <c r="K3199" s="62">
        <f>F3199*(G3199-H3199)</f>
        <v/>
      </c>
      <c r="L3199" s="62">
        <f>K3199-(F3199*I3199)</f>
        <v/>
      </c>
      <c r="M3199" s="64">
        <f>L3199/K3199</f>
        <v/>
      </c>
    </row>
    <row r="3200">
      <c r="A3200" s="58" t="inlineStr">
        <is>
          <t>RT20250323-03199</t>
        </is>
      </c>
      <c r="B3200" s="59" t="inlineStr">
        <is>
          <t>2025-03-23</t>
        </is>
      </c>
      <c r="C3200" s="60" t="inlineStr">
        <is>
          <t>Aurora Appliance Lite-109</t>
        </is>
      </c>
      <c r="D3200" s="58" t="inlineStr">
        <is>
          <t>Home</t>
        </is>
      </c>
      <c r="E3200" s="58" t="inlineStr">
        <is>
          <t>North</t>
        </is>
      </c>
      <c r="F3200" s="61" t="n">
        <v>1</v>
      </c>
      <c r="G3200" s="62" t="n">
        <v>302.46</v>
      </c>
      <c r="H3200" s="63" t="n">
        <v>0.074</v>
      </c>
      <c r="I3200" s="62" t="n">
        <v>198.26</v>
      </c>
      <c r="J3200" s="58" t="inlineStr">
        <is>
          <t>Online</t>
        </is>
      </c>
      <c r="K3200" s="62">
        <f>F3200*(G3200-H3200)</f>
        <v/>
      </c>
      <c r="L3200" s="62">
        <f>K3200-(F3200*I3200)</f>
        <v/>
      </c>
      <c r="M3200" s="64">
        <f>L3200/K3200</f>
        <v/>
      </c>
    </row>
    <row r="3201">
      <c r="A3201" s="58" t="inlineStr">
        <is>
          <t>RT20250323-03200</t>
        </is>
      </c>
      <c r="B3201" s="59" t="inlineStr">
        <is>
          <t>2025-03-23</t>
        </is>
      </c>
      <c r="C3201" s="60" t="inlineStr">
        <is>
          <t>Nimbus Women Plus-352</t>
        </is>
      </c>
      <c r="D3201" s="58" t="inlineStr">
        <is>
          <t>Apparel</t>
        </is>
      </c>
      <c r="E3201" s="58" t="inlineStr">
        <is>
          <t>East</t>
        </is>
      </c>
      <c r="F3201" s="61" t="n">
        <v>1</v>
      </c>
      <c r="G3201" s="62" t="n">
        <v>59.54</v>
      </c>
      <c r="H3201" s="63" t="n">
        <v>0.062</v>
      </c>
      <c r="I3201" s="62" t="n">
        <v>32.7</v>
      </c>
      <c r="J3201" s="58" t="inlineStr">
        <is>
          <t>Online</t>
        </is>
      </c>
      <c r="K3201" s="62">
        <f>F3201*(G3201-H3201)</f>
        <v/>
      </c>
      <c r="L3201" s="62">
        <f>K3201-(F3201*I3201)</f>
        <v/>
      </c>
      <c r="M3201" s="64">
        <f>L3201/K3201</f>
        <v/>
      </c>
    </row>
    <row r="3202">
      <c r="A3202" s="58" t="inlineStr">
        <is>
          <t>RT20250323-03201</t>
        </is>
      </c>
      <c r="B3202" s="59" t="inlineStr">
        <is>
          <t>2025-03-23</t>
        </is>
      </c>
      <c r="C3202" s="60" t="inlineStr">
        <is>
          <t>Aurora Makeup S-626</t>
        </is>
      </c>
      <c r="D3202" s="58" t="inlineStr">
        <is>
          <t>Beauty</t>
        </is>
      </c>
      <c r="E3202" s="58" t="inlineStr">
        <is>
          <t>North</t>
        </is>
      </c>
      <c r="F3202" s="61" t="n">
        <v>4</v>
      </c>
      <c r="G3202" s="62" t="n">
        <v>121.66</v>
      </c>
      <c r="H3202" s="63" t="n">
        <v>0.092</v>
      </c>
      <c r="I3202" s="62" t="n">
        <v>63.55</v>
      </c>
      <c r="J3202" s="58" t="inlineStr">
        <is>
          <t>Store</t>
        </is>
      </c>
      <c r="K3202" s="62">
        <f>F3202*(G3202-H3202)</f>
        <v/>
      </c>
      <c r="L3202" s="62">
        <f>K3202-(F3202*I3202)</f>
        <v/>
      </c>
      <c r="M3202" s="64">
        <f>L3202/K3202</f>
        <v/>
      </c>
    </row>
    <row r="3203">
      <c r="A3203" s="58" t="inlineStr">
        <is>
          <t>RT20250323-03202</t>
        </is>
      </c>
      <c r="B3203" s="59" t="inlineStr">
        <is>
          <t>2025-03-23</t>
        </is>
      </c>
      <c r="C3203" s="60" t="inlineStr">
        <is>
          <t>Aurora Smartphone Plus-125</t>
        </is>
      </c>
      <c r="D3203" s="58" t="inlineStr">
        <is>
          <t>Electronics</t>
        </is>
      </c>
      <c r="E3203" s="58" t="inlineStr">
        <is>
          <t>East</t>
        </is>
      </c>
      <c r="F3203" s="61" t="n">
        <v>2</v>
      </c>
      <c r="G3203" s="62" t="n">
        <v>1474.76</v>
      </c>
      <c r="H3203" s="63" t="n">
        <v>0.123</v>
      </c>
      <c r="I3203" s="62" t="n">
        <v>1207.38</v>
      </c>
      <c r="J3203" s="58" t="inlineStr">
        <is>
          <t>Online</t>
        </is>
      </c>
      <c r="K3203" s="62">
        <f>F3203*(G3203-H3203)</f>
        <v/>
      </c>
      <c r="L3203" s="62">
        <f>K3203-(F3203*I3203)</f>
        <v/>
      </c>
      <c r="M3203" s="64">
        <f>L3203/K3203</f>
        <v/>
      </c>
    </row>
    <row r="3204">
      <c r="A3204" s="58" t="inlineStr">
        <is>
          <t>RT20250323-03203</t>
        </is>
      </c>
      <c r="B3204" s="59" t="inlineStr">
        <is>
          <t>2025-03-23</t>
        </is>
      </c>
      <c r="C3204" s="60" t="inlineStr">
        <is>
          <t>Vertex Fitnes Pro-830</t>
        </is>
      </c>
      <c r="D3204" s="58" t="inlineStr">
        <is>
          <t>Sports</t>
        </is>
      </c>
      <c r="E3204" s="58" t="inlineStr">
        <is>
          <t>West</t>
        </is>
      </c>
      <c r="F3204" s="61" t="n">
        <v>2</v>
      </c>
      <c r="G3204" s="62" t="n">
        <v>686.78</v>
      </c>
      <c r="H3204" s="63" t="n">
        <v>0.112</v>
      </c>
      <c r="I3204" s="62" t="n">
        <v>480.36</v>
      </c>
      <c r="J3204" s="58" t="inlineStr">
        <is>
          <t>Online</t>
        </is>
      </c>
      <c r="K3204" s="62">
        <f>F3204*(G3204-H3204)</f>
        <v/>
      </c>
      <c r="L3204" s="62">
        <f>K3204-(F3204*I3204)</f>
        <v/>
      </c>
      <c r="M3204" s="64">
        <f>L3204/K3204</f>
        <v/>
      </c>
    </row>
    <row r="3205">
      <c r="A3205" s="58" t="inlineStr">
        <is>
          <t>RT20250323-03204</t>
        </is>
      </c>
      <c r="B3205" s="59" t="inlineStr">
        <is>
          <t>2025-03-23</t>
        </is>
      </c>
      <c r="C3205" s="60" t="inlineStr">
        <is>
          <t>Falcon Household Pro-865</t>
        </is>
      </c>
      <c r="D3205" s="58" t="inlineStr">
        <is>
          <t>Grocery</t>
        </is>
      </c>
      <c r="E3205" s="58" t="inlineStr">
        <is>
          <t>East</t>
        </is>
      </c>
      <c r="F3205" s="61" t="n">
        <v>8</v>
      </c>
      <c r="G3205" s="62" t="n">
        <v>11.22</v>
      </c>
      <c r="H3205" s="63" t="n">
        <v>0.08500000000000001</v>
      </c>
      <c r="I3205" s="62" t="n">
        <v>7.67</v>
      </c>
      <c r="J3205" s="58" t="inlineStr">
        <is>
          <t>Store</t>
        </is>
      </c>
      <c r="K3205" s="62">
        <f>F3205*(G3205-H3205)</f>
        <v/>
      </c>
      <c r="L3205" s="62">
        <f>K3205-(F3205*I3205)</f>
        <v/>
      </c>
      <c r="M3205" s="64">
        <f>L3205/K3205</f>
        <v/>
      </c>
    </row>
    <row r="3206">
      <c r="A3206" s="58" t="inlineStr">
        <is>
          <t>RT20250323-03205</t>
        </is>
      </c>
      <c r="B3206" s="59" t="inlineStr">
        <is>
          <t>2025-03-23</t>
        </is>
      </c>
      <c r="C3206" s="60" t="inlineStr">
        <is>
          <t>Nimbus Fitnes Lite-516</t>
        </is>
      </c>
      <c r="D3206" s="58" t="inlineStr">
        <is>
          <t>Sports</t>
        </is>
      </c>
      <c r="E3206" s="58" t="inlineStr">
        <is>
          <t>South</t>
        </is>
      </c>
      <c r="F3206" s="61" t="n">
        <v>2</v>
      </c>
      <c r="G3206" s="62" t="n">
        <v>737.12</v>
      </c>
      <c r="H3206" s="63" t="n">
        <v>0.096</v>
      </c>
      <c r="I3206" s="62" t="n">
        <v>479.32</v>
      </c>
      <c r="J3206" s="58" t="inlineStr">
        <is>
          <t>Online</t>
        </is>
      </c>
      <c r="K3206" s="62">
        <f>F3206*(G3206-H3206)</f>
        <v/>
      </c>
      <c r="L3206" s="62">
        <f>K3206-(F3206*I3206)</f>
        <v/>
      </c>
      <c r="M3206" s="64">
        <f>L3206/K3206</f>
        <v/>
      </c>
    </row>
    <row r="3207">
      <c r="A3207" s="58" t="inlineStr">
        <is>
          <t>RT20250323-03206</t>
        </is>
      </c>
      <c r="B3207" s="59" t="inlineStr">
        <is>
          <t>2025-03-23</t>
        </is>
      </c>
      <c r="C3207" s="60" t="inlineStr">
        <is>
          <t>Vertex Snack S-702</t>
        </is>
      </c>
      <c r="D3207" s="58" t="inlineStr">
        <is>
          <t>Grocery</t>
        </is>
      </c>
      <c r="E3207" s="58" t="inlineStr">
        <is>
          <t>East</t>
        </is>
      </c>
      <c r="F3207" s="61" t="n">
        <v>1</v>
      </c>
      <c r="G3207" s="62" t="n">
        <v>2.1</v>
      </c>
      <c r="H3207" s="63" t="n">
        <v>0.107</v>
      </c>
      <c r="I3207" s="62" t="n">
        <v>1.46</v>
      </c>
      <c r="J3207" s="58" t="inlineStr">
        <is>
          <t>Store</t>
        </is>
      </c>
      <c r="K3207" s="62">
        <f>F3207*(G3207-H3207)</f>
        <v/>
      </c>
      <c r="L3207" s="62">
        <f>K3207-(F3207*I3207)</f>
        <v/>
      </c>
      <c r="M3207" s="64">
        <f>L3207/K3207</f>
        <v/>
      </c>
    </row>
    <row r="3208">
      <c r="A3208" s="58" t="inlineStr">
        <is>
          <t>RT20250323-03207</t>
        </is>
      </c>
      <c r="B3208" s="59" t="inlineStr">
        <is>
          <t>2025-03-23</t>
        </is>
      </c>
      <c r="C3208" s="60" t="inlineStr">
        <is>
          <t>Orion Men X-928</t>
        </is>
      </c>
      <c r="D3208" s="58" t="inlineStr">
        <is>
          <t>Apparel</t>
        </is>
      </c>
      <c r="E3208" s="58" t="inlineStr">
        <is>
          <t>East</t>
        </is>
      </c>
      <c r="F3208" s="61" t="n">
        <v>3</v>
      </c>
      <c r="G3208" s="62" t="n">
        <v>121.22</v>
      </c>
      <c r="H3208" s="63" t="n">
        <v>0.058</v>
      </c>
      <c r="I3208" s="62" t="n">
        <v>62.68</v>
      </c>
      <c r="J3208" s="58" t="inlineStr">
        <is>
          <t>Online</t>
        </is>
      </c>
      <c r="K3208" s="62">
        <f>F3208*(G3208-H3208)</f>
        <v/>
      </c>
      <c r="L3208" s="62">
        <f>K3208-(F3208*I3208)</f>
        <v/>
      </c>
      <c r="M3208" s="64">
        <f>L3208/K3208</f>
        <v/>
      </c>
    </row>
    <row r="3209">
      <c r="A3209" s="58" t="inlineStr">
        <is>
          <t>RT20250323-03208</t>
        </is>
      </c>
      <c r="B3209" s="59" t="inlineStr">
        <is>
          <t>2025-03-23</t>
        </is>
      </c>
      <c r="C3209" s="60" t="inlineStr">
        <is>
          <t>Vertex Smartphone Lite-267</t>
        </is>
      </c>
      <c r="D3209" s="58" t="inlineStr">
        <is>
          <t>Electronics</t>
        </is>
      </c>
      <c r="E3209" s="58" t="inlineStr">
        <is>
          <t>East</t>
        </is>
      </c>
      <c r="F3209" s="61" t="n">
        <v>1</v>
      </c>
      <c r="G3209" s="62" t="n">
        <v>1289.84</v>
      </c>
      <c r="H3209" s="63" t="n">
        <v>0.066</v>
      </c>
      <c r="I3209" s="62" t="n">
        <v>985.72</v>
      </c>
      <c r="J3209" s="58" t="inlineStr">
        <is>
          <t>Store</t>
        </is>
      </c>
      <c r="K3209" s="62">
        <f>F3209*(G3209-H3209)</f>
        <v/>
      </c>
      <c r="L3209" s="62">
        <f>K3209-(F3209*I3209)</f>
        <v/>
      </c>
      <c r="M3209" s="64">
        <f>L3209/K3209</f>
        <v/>
      </c>
    </row>
    <row r="3210">
      <c r="A3210" s="58" t="inlineStr">
        <is>
          <t>RT20250323-03209</t>
        </is>
      </c>
      <c r="B3210" s="59" t="inlineStr">
        <is>
          <t>2025-03-23</t>
        </is>
      </c>
      <c r="C3210" s="60" t="inlineStr">
        <is>
          <t>Aurora Printer Plus-723</t>
        </is>
      </c>
      <c r="D3210" s="58" t="inlineStr">
        <is>
          <t>Office</t>
        </is>
      </c>
      <c r="E3210" s="58" t="inlineStr">
        <is>
          <t>North</t>
        </is>
      </c>
      <c r="F3210" s="61" t="n">
        <v>2</v>
      </c>
      <c r="G3210" s="62" t="n">
        <v>284.38</v>
      </c>
      <c r="H3210" s="63" t="n">
        <v>0.08599999999999999</v>
      </c>
      <c r="I3210" s="62" t="n">
        <v>188.22</v>
      </c>
      <c r="J3210" s="58" t="inlineStr">
        <is>
          <t>Online</t>
        </is>
      </c>
      <c r="K3210" s="62">
        <f>F3210*(G3210-H3210)</f>
        <v/>
      </c>
      <c r="L3210" s="62">
        <f>K3210-(F3210*I3210)</f>
        <v/>
      </c>
      <c r="M3210" s="64">
        <f>L3210/K3210</f>
        <v/>
      </c>
    </row>
    <row r="3211">
      <c r="A3211" s="58" t="inlineStr">
        <is>
          <t>RT20250323-03210</t>
        </is>
      </c>
      <c r="B3211" s="59" t="inlineStr">
        <is>
          <t>2025-03-23</t>
        </is>
      </c>
      <c r="C3211" s="60" t="inlineStr">
        <is>
          <t>Aurora Printer Plus-723</t>
        </is>
      </c>
      <c r="D3211" s="58" t="inlineStr">
        <is>
          <t>Office</t>
        </is>
      </c>
      <c r="E3211" s="58" t="inlineStr">
        <is>
          <t>West</t>
        </is>
      </c>
      <c r="F3211" s="61" t="n">
        <v>3</v>
      </c>
      <c r="G3211" s="62" t="n">
        <v>259.57</v>
      </c>
      <c r="H3211" s="63" t="n">
        <v>0.06900000000000001</v>
      </c>
      <c r="I3211" s="62" t="n">
        <v>184.97</v>
      </c>
      <c r="J3211" s="58" t="inlineStr">
        <is>
          <t>Online</t>
        </is>
      </c>
      <c r="K3211" s="62">
        <f>F3211*(G3211-H3211)</f>
        <v/>
      </c>
      <c r="L3211" s="62">
        <f>K3211-(F3211*I3211)</f>
        <v/>
      </c>
      <c r="M3211" s="64">
        <f>L3211/K3211</f>
        <v/>
      </c>
    </row>
    <row r="3212">
      <c r="A3212" s="58" t="inlineStr">
        <is>
          <t>RT20250323-03211</t>
        </is>
      </c>
      <c r="B3212" s="59" t="inlineStr">
        <is>
          <t>2025-03-23</t>
        </is>
      </c>
      <c r="C3212" s="60" t="inlineStr">
        <is>
          <t>Orion Snack X-322</t>
        </is>
      </c>
      <c r="D3212" s="58" t="inlineStr">
        <is>
          <t>Grocery</t>
        </is>
      </c>
      <c r="E3212" s="58" t="inlineStr">
        <is>
          <t>West</t>
        </is>
      </c>
      <c r="F3212" s="61" t="n">
        <v>7</v>
      </c>
      <c r="G3212" s="62" t="n">
        <v>13.07</v>
      </c>
      <c r="H3212" s="63" t="n">
        <v>0.055</v>
      </c>
      <c r="I3212" s="62" t="n">
        <v>9.93</v>
      </c>
      <c r="J3212" s="58" t="inlineStr">
        <is>
          <t>Online</t>
        </is>
      </c>
      <c r="K3212" s="62">
        <f>F3212*(G3212-H3212)</f>
        <v/>
      </c>
      <c r="L3212" s="62">
        <f>K3212-(F3212*I3212)</f>
        <v/>
      </c>
      <c r="M3212" s="64">
        <f>L3212/K3212</f>
        <v/>
      </c>
    </row>
    <row r="3213">
      <c r="A3213" s="58" t="inlineStr">
        <is>
          <t>RT20250323-03212</t>
        </is>
      </c>
      <c r="B3213" s="59" t="inlineStr">
        <is>
          <t>2025-03-23</t>
        </is>
      </c>
      <c r="C3213" s="60" t="inlineStr">
        <is>
          <t>Solace Kid S-384</t>
        </is>
      </c>
      <c r="D3213" s="58" t="inlineStr">
        <is>
          <t>Apparel</t>
        </is>
      </c>
      <c r="E3213" s="58" t="inlineStr">
        <is>
          <t>West</t>
        </is>
      </c>
      <c r="F3213" s="61" t="n">
        <v>4</v>
      </c>
      <c r="G3213" s="62" t="n">
        <v>97.59999999999999</v>
      </c>
      <c r="H3213" s="63" t="n">
        <v>0.114</v>
      </c>
      <c r="I3213" s="62" t="n">
        <v>64.59</v>
      </c>
      <c r="J3213" s="58" t="inlineStr">
        <is>
          <t>Store</t>
        </is>
      </c>
      <c r="K3213" s="62">
        <f>F3213*(G3213-H3213)</f>
        <v/>
      </c>
      <c r="L3213" s="62">
        <f>K3213-(F3213*I3213)</f>
        <v/>
      </c>
      <c r="M3213" s="64">
        <f>L3213/K3213</f>
        <v/>
      </c>
    </row>
    <row r="3214">
      <c r="A3214" s="58" t="inlineStr">
        <is>
          <t>RT20250323-03213</t>
        </is>
      </c>
      <c r="B3214" s="59" t="inlineStr">
        <is>
          <t>2025-03-23</t>
        </is>
      </c>
      <c r="C3214" s="60" t="inlineStr">
        <is>
          <t>Falcon Beverage Max-702</t>
        </is>
      </c>
      <c r="D3214" s="58" t="inlineStr">
        <is>
          <t>Grocery</t>
        </is>
      </c>
      <c r="E3214" s="58" t="inlineStr">
        <is>
          <t>West</t>
        </is>
      </c>
      <c r="F3214" s="61" t="n">
        <v>5</v>
      </c>
      <c r="G3214" s="62" t="n">
        <v>25.88</v>
      </c>
      <c r="H3214" s="63" t="n">
        <v>0.101</v>
      </c>
      <c r="I3214" s="62" t="n">
        <v>20.51</v>
      </c>
      <c r="J3214" s="58" t="inlineStr">
        <is>
          <t>Online</t>
        </is>
      </c>
      <c r="K3214" s="62">
        <f>F3214*(G3214-H3214)</f>
        <v/>
      </c>
      <c r="L3214" s="62">
        <f>K3214-(F3214*I3214)</f>
        <v/>
      </c>
      <c r="M3214" s="64">
        <f>L3214/K3214</f>
        <v/>
      </c>
    </row>
    <row r="3215">
      <c r="A3215" s="58" t="inlineStr">
        <is>
          <t>RT20250323-03214</t>
        </is>
      </c>
      <c r="B3215" s="59" t="inlineStr">
        <is>
          <t>2025-03-23</t>
        </is>
      </c>
      <c r="C3215" s="60" t="inlineStr">
        <is>
          <t>Nimbus Headphone X-854</t>
        </is>
      </c>
      <c r="D3215" s="58" t="inlineStr">
        <is>
          <t>Electronics</t>
        </is>
      </c>
      <c r="E3215" s="58" t="inlineStr">
        <is>
          <t>East</t>
        </is>
      </c>
      <c r="F3215" s="61" t="n">
        <v>1</v>
      </c>
      <c r="G3215" s="62" t="n">
        <v>1629.22</v>
      </c>
      <c r="H3215" s="63" t="n">
        <v>0.08500000000000001</v>
      </c>
      <c r="I3215" s="62" t="n">
        <v>1279.23</v>
      </c>
      <c r="J3215" s="58" t="inlineStr">
        <is>
          <t>Store</t>
        </is>
      </c>
      <c r="K3215" s="62">
        <f>F3215*(G3215-H3215)</f>
        <v/>
      </c>
      <c r="L3215" s="62">
        <f>K3215-(F3215*I3215)</f>
        <v/>
      </c>
      <c r="M3215" s="64">
        <f>L3215/K3215</f>
        <v/>
      </c>
    </row>
    <row r="3216">
      <c r="A3216" s="58" t="inlineStr">
        <is>
          <t>RT20250323-03215</t>
        </is>
      </c>
      <c r="B3216" s="59" t="inlineStr">
        <is>
          <t>2025-03-23</t>
        </is>
      </c>
      <c r="C3216" s="60" t="inlineStr">
        <is>
          <t>Falcon Storage X-734</t>
        </is>
      </c>
      <c r="D3216" s="58" t="inlineStr">
        <is>
          <t>Office</t>
        </is>
      </c>
      <c r="E3216" s="58" t="inlineStr">
        <is>
          <t>West</t>
        </is>
      </c>
      <c r="F3216" s="61" t="n">
        <v>2</v>
      </c>
      <c r="G3216" s="62" t="n">
        <v>405.85</v>
      </c>
      <c r="H3216" s="63" t="n">
        <v>0.137</v>
      </c>
      <c r="I3216" s="62" t="n">
        <v>284.05</v>
      </c>
      <c r="J3216" s="58" t="inlineStr">
        <is>
          <t>Online</t>
        </is>
      </c>
      <c r="K3216" s="62">
        <f>F3216*(G3216-H3216)</f>
        <v/>
      </c>
      <c r="L3216" s="62">
        <f>K3216-(F3216*I3216)</f>
        <v/>
      </c>
      <c r="M3216" s="64">
        <f>L3216/K3216</f>
        <v/>
      </c>
    </row>
    <row r="3217">
      <c r="A3217" s="58" t="inlineStr">
        <is>
          <t>RT20250323-03216</t>
        </is>
      </c>
      <c r="B3217" s="59" t="inlineStr">
        <is>
          <t>2025-03-23</t>
        </is>
      </c>
      <c r="C3217" s="60" t="inlineStr">
        <is>
          <t>Orion Kid Max-864</t>
        </is>
      </c>
      <c r="D3217" s="58" t="inlineStr">
        <is>
          <t>Apparel</t>
        </is>
      </c>
      <c r="E3217" s="58" t="inlineStr">
        <is>
          <t>West</t>
        </is>
      </c>
      <c r="F3217" s="61" t="n">
        <v>4</v>
      </c>
      <c r="G3217" s="62" t="n">
        <v>76.59</v>
      </c>
      <c r="H3217" s="63" t="n">
        <v>0.112</v>
      </c>
      <c r="I3217" s="62" t="n">
        <v>46.84</v>
      </c>
      <c r="J3217" s="58" t="inlineStr">
        <is>
          <t>Store</t>
        </is>
      </c>
      <c r="K3217" s="62">
        <f>F3217*(G3217-H3217)</f>
        <v/>
      </c>
      <c r="L3217" s="62">
        <f>K3217-(F3217*I3217)</f>
        <v/>
      </c>
      <c r="M3217" s="64">
        <f>L3217/K3217</f>
        <v/>
      </c>
    </row>
    <row r="3218">
      <c r="A3218" s="58" t="inlineStr">
        <is>
          <t>RT20250323-03217</t>
        </is>
      </c>
      <c r="B3218" s="59" t="inlineStr">
        <is>
          <t>2025-03-23</t>
        </is>
      </c>
      <c r="C3218" s="60" t="inlineStr">
        <is>
          <t>Aurora Wearable Lite-704</t>
        </is>
      </c>
      <c r="D3218" s="58" t="inlineStr">
        <is>
          <t>Electronics</t>
        </is>
      </c>
      <c r="E3218" s="58" t="inlineStr">
        <is>
          <t>North</t>
        </is>
      </c>
      <c r="F3218" s="61" t="n">
        <v>2</v>
      </c>
      <c r="G3218" s="62" t="n">
        <v>1869.46</v>
      </c>
      <c r="H3218" s="63" t="n">
        <v>0.126</v>
      </c>
      <c r="I3218" s="62" t="n">
        <v>1486.25</v>
      </c>
      <c r="J3218" s="58" t="inlineStr">
        <is>
          <t>Phone</t>
        </is>
      </c>
      <c r="K3218" s="62">
        <f>F3218*(G3218-H3218)</f>
        <v/>
      </c>
      <c r="L3218" s="62">
        <f>K3218-(F3218*I3218)</f>
        <v/>
      </c>
      <c r="M3218" s="64">
        <f>L3218/K3218</f>
        <v/>
      </c>
    </row>
    <row r="3219">
      <c r="A3219" s="58" t="inlineStr">
        <is>
          <t>RT20250323-03218</t>
        </is>
      </c>
      <c r="B3219" s="59" t="inlineStr">
        <is>
          <t>2025-03-23</t>
        </is>
      </c>
      <c r="C3219" s="60" t="inlineStr">
        <is>
          <t>Polar Beverage S-258</t>
        </is>
      </c>
      <c r="D3219" s="58" t="inlineStr">
        <is>
          <t>Grocery</t>
        </is>
      </c>
      <c r="E3219" s="58" t="inlineStr">
        <is>
          <t>East</t>
        </is>
      </c>
      <c r="F3219" s="61" t="n">
        <v>7</v>
      </c>
      <c r="G3219" s="62" t="n">
        <v>11.39</v>
      </c>
      <c r="H3219" s="63" t="n">
        <v>0.061</v>
      </c>
      <c r="I3219" s="62" t="n">
        <v>9.69</v>
      </c>
      <c r="J3219" s="58" t="inlineStr">
        <is>
          <t>Online</t>
        </is>
      </c>
      <c r="K3219" s="62">
        <f>F3219*(G3219-H3219)</f>
        <v/>
      </c>
      <c r="L3219" s="62">
        <f>K3219-(F3219*I3219)</f>
        <v/>
      </c>
      <c r="M3219" s="64">
        <f>L3219/K3219</f>
        <v/>
      </c>
    </row>
    <row r="3220">
      <c r="A3220" s="58" t="inlineStr">
        <is>
          <t>RT20250323-03219</t>
        </is>
      </c>
      <c r="B3220" s="59" t="inlineStr">
        <is>
          <t>2025-03-23</t>
        </is>
      </c>
      <c r="C3220" s="60" t="inlineStr">
        <is>
          <t>Solace Makeup Pro-214</t>
        </is>
      </c>
      <c r="D3220" s="58" t="inlineStr">
        <is>
          <t>Beauty</t>
        </is>
      </c>
      <c r="E3220" s="58" t="inlineStr">
        <is>
          <t>Central</t>
        </is>
      </c>
      <c r="F3220" s="61" t="n">
        <v>1</v>
      </c>
      <c r="G3220" s="62" t="n">
        <v>128.5</v>
      </c>
      <c r="H3220" s="63" t="n">
        <v>0.091</v>
      </c>
      <c r="I3220" s="62" t="n">
        <v>67.61</v>
      </c>
      <c r="J3220" s="58" t="inlineStr">
        <is>
          <t>Store</t>
        </is>
      </c>
      <c r="K3220" s="62">
        <f>F3220*(G3220-H3220)</f>
        <v/>
      </c>
      <c r="L3220" s="62">
        <f>K3220-(F3220*I3220)</f>
        <v/>
      </c>
      <c r="M3220" s="64">
        <f>L3220/K3220</f>
        <v/>
      </c>
    </row>
    <row r="3221">
      <c r="A3221" s="58" t="inlineStr">
        <is>
          <t>RT20250323-03220</t>
        </is>
      </c>
      <c r="B3221" s="59" t="inlineStr">
        <is>
          <t>2025-03-23</t>
        </is>
      </c>
      <c r="C3221" s="60" t="inlineStr">
        <is>
          <t>Nimbus Women Plus-352</t>
        </is>
      </c>
      <c r="D3221" s="58" t="inlineStr">
        <is>
          <t>Apparel</t>
        </is>
      </c>
      <c r="E3221" s="58" t="inlineStr">
        <is>
          <t>South</t>
        </is>
      </c>
      <c r="F3221" s="61" t="n">
        <v>4</v>
      </c>
      <c r="G3221" s="62" t="n">
        <v>60.63</v>
      </c>
      <c r="H3221" s="63" t="n">
        <v>0.097</v>
      </c>
      <c r="I3221" s="62" t="n">
        <v>31.68</v>
      </c>
      <c r="J3221" s="58" t="inlineStr">
        <is>
          <t>Store</t>
        </is>
      </c>
      <c r="K3221" s="62">
        <f>F3221*(G3221-H3221)</f>
        <v/>
      </c>
      <c r="L3221" s="62">
        <f>K3221-(F3221*I3221)</f>
        <v/>
      </c>
      <c r="M3221" s="64">
        <f>L3221/K3221</f>
        <v/>
      </c>
    </row>
    <row r="3222">
      <c r="A3222" s="58" t="inlineStr">
        <is>
          <t>RT20250323-03221</t>
        </is>
      </c>
      <c r="B3222" s="59" t="inlineStr">
        <is>
          <t>2025-03-23</t>
        </is>
      </c>
      <c r="C3222" s="60" t="inlineStr">
        <is>
          <t>Aurora Storage Lite-774</t>
        </is>
      </c>
      <c r="D3222" s="58" t="inlineStr">
        <is>
          <t>Office</t>
        </is>
      </c>
      <c r="E3222" s="58" t="inlineStr">
        <is>
          <t>South</t>
        </is>
      </c>
      <c r="F3222" s="61" t="n">
        <v>2</v>
      </c>
      <c r="G3222" s="62" t="n">
        <v>399.18</v>
      </c>
      <c r="H3222" s="63" t="n">
        <v>0.092</v>
      </c>
      <c r="I3222" s="62" t="n">
        <v>246.13</v>
      </c>
      <c r="J3222" s="58" t="inlineStr">
        <is>
          <t>Online</t>
        </is>
      </c>
      <c r="K3222" s="62">
        <f>F3222*(G3222-H3222)</f>
        <v/>
      </c>
      <c r="L3222" s="62">
        <f>K3222-(F3222*I3222)</f>
        <v/>
      </c>
      <c r="M3222" s="64">
        <f>L3222/K3222</f>
        <v/>
      </c>
    </row>
    <row r="3223">
      <c r="A3223" s="58" t="inlineStr">
        <is>
          <t>RT20250323-03222</t>
        </is>
      </c>
      <c r="B3223" s="59" t="inlineStr">
        <is>
          <t>2025-03-23</t>
        </is>
      </c>
      <c r="C3223" s="60" t="inlineStr">
        <is>
          <t>Orion Kid Max-864</t>
        </is>
      </c>
      <c r="D3223" s="58" t="inlineStr">
        <is>
          <t>Apparel</t>
        </is>
      </c>
      <c r="E3223" s="58" t="inlineStr">
        <is>
          <t>East</t>
        </is>
      </c>
      <c r="F3223" s="61" t="n">
        <v>3</v>
      </c>
      <c r="G3223" s="62" t="n">
        <v>75.75</v>
      </c>
      <c r="H3223" s="63" t="n">
        <v>0.083</v>
      </c>
      <c r="I3223" s="62" t="n">
        <v>46.35</v>
      </c>
      <c r="J3223" s="58" t="inlineStr">
        <is>
          <t>Online</t>
        </is>
      </c>
      <c r="K3223" s="62">
        <f>F3223*(G3223-H3223)</f>
        <v/>
      </c>
      <c r="L3223" s="62">
        <f>K3223-(F3223*I3223)</f>
        <v/>
      </c>
      <c r="M3223" s="64">
        <f>L3223/K3223</f>
        <v/>
      </c>
    </row>
    <row r="3224">
      <c r="A3224" s="58" t="inlineStr">
        <is>
          <t>RT20250323-03223</t>
        </is>
      </c>
      <c r="B3224" s="59" t="inlineStr">
        <is>
          <t>2025-03-23</t>
        </is>
      </c>
      <c r="C3224" s="60" t="inlineStr">
        <is>
          <t>Aurora Wearable Lite-704</t>
        </is>
      </c>
      <c r="D3224" s="58" t="inlineStr">
        <is>
          <t>Electronics</t>
        </is>
      </c>
      <c r="E3224" s="58" t="inlineStr">
        <is>
          <t>Central</t>
        </is>
      </c>
      <c r="F3224" s="61" t="n">
        <v>2</v>
      </c>
      <c r="G3224" s="62" t="n">
        <v>1877.72</v>
      </c>
      <c r="H3224" s="63" t="n">
        <v>0.08699999999999999</v>
      </c>
      <c r="I3224" s="62" t="n">
        <v>1461.83</v>
      </c>
      <c r="J3224" s="58" t="inlineStr">
        <is>
          <t>Online</t>
        </is>
      </c>
      <c r="K3224" s="62">
        <f>F3224*(G3224-H3224)</f>
        <v/>
      </c>
      <c r="L3224" s="62">
        <f>K3224-(F3224*I3224)</f>
        <v/>
      </c>
      <c r="M3224" s="64">
        <f>L3224/K3224</f>
        <v/>
      </c>
    </row>
    <row r="3225">
      <c r="A3225" s="58" t="inlineStr">
        <is>
          <t>RT20250323-03224</t>
        </is>
      </c>
      <c r="B3225" s="59" t="inlineStr">
        <is>
          <t>2025-03-23</t>
        </is>
      </c>
      <c r="C3225" s="60" t="inlineStr">
        <is>
          <t>Aurora Makeup Pro-489</t>
        </is>
      </c>
      <c r="D3225" s="58" t="inlineStr">
        <is>
          <t>Beauty</t>
        </is>
      </c>
      <c r="E3225" s="58" t="inlineStr">
        <is>
          <t>East</t>
        </is>
      </c>
      <c r="F3225" s="61" t="n">
        <v>1</v>
      </c>
      <c r="G3225" s="62" t="n">
        <v>109.35</v>
      </c>
      <c r="H3225" s="63" t="n">
        <v>0.132</v>
      </c>
      <c r="I3225" s="62" t="n">
        <v>61.77</v>
      </c>
      <c r="J3225" s="58" t="inlineStr">
        <is>
          <t>Store</t>
        </is>
      </c>
      <c r="K3225" s="62">
        <f>F3225*(G3225-H3225)</f>
        <v/>
      </c>
      <c r="L3225" s="62">
        <f>K3225-(F3225*I3225)</f>
        <v/>
      </c>
      <c r="M3225" s="64">
        <f>L3225/K3225</f>
        <v/>
      </c>
    </row>
    <row r="3226">
      <c r="A3226" s="58" t="inlineStr">
        <is>
          <t>RT20250323-03225</t>
        </is>
      </c>
      <c r="B3226" s="59" t="inlineStr">
        <is>
          <t>2025-03-23</t>
        </is>
      </c>
      <c r="C3226" s="60" t="inlineStr">
        <is>
          <t>Solace Laptop S-367</t>
        </is>
      </c>
      <c r="D3226" s="58" t="inlineStr">
        <is>
          <t>Electronics</t>
        </is>
      </c>
      <c r="E3226" s="58" t="inlineStr">
        <is>
          <t>South</t>
        </is>
      </c>
      <c r="F3226" s="61" t="n">
        <v>1</v>
      </c>
      <c r="G3226" s="62" t="n">
        <v>2058.05</v>
      </c>
      <c r="H3226" s="63" t="n">
        <v>0.115</v>
      </c>
      <c r="I3226" s="62" t="n">
        <v>1594.82</v>
      </c>
      <c r="J3226" s="58" t="inlineStr">
        <is>
          <t>Online</t>
        </is>
      </c>
      <c r="K3226" s="62">
        <f>F3226*(G3226-H3226)</f>
        <v/>
      </c>
      <c r="L3226" s="62">
        <f>K3226-(F3226*I3226)</f>
        <v/>
      </c>
      <c r="M3226" s="64">
        <f>L3226/K3226</f>
        <v/>
      </c>
    </row>
    <row r="3227">
      <c r="A3227" s="58" t="inlineStr">
        <is>
          <t>RT20250323-03226</t>
        </is>
      </c>
      <c r="B3227" s="59" t="inlineStr">
        <is>
          <t>2025-03-23</t>
        </is>
      </c>
      <c r="C3227" s="60" t="inlineStr">
        <is>
          <t>Nimbus Women Lite-814</t>
        </is>
      </c>
      <c r="D3227" s="58" t="inlineStr">
        <is>
          <t>Apparel</t>
        </is>
      </c>
      <c r="E3227" s="58" t="inlineStr">
        <is>
          <t>Central</t>
        </is>
      </c>
      <c r="F3227" s="61" t="n">
        <v>2</v>
      </c>
      <c r="G3227" s="62" t="n">
        <v>144.65</v>
      </c>
      <c r="H3227" s="63" t="n">
        <v>0.105</v>
      </c>
      <c r="I3227" s="62" t="n">
        <v>83.13</v>
      </c>
      <c r="J3227" s="58" t="inlineStr">
        <is>
          <t>Store</t>
        </is>
      </c>
      <c r="K3227" s="62">
        <f>F3227*(G3227-H3227)</f>
        <v/>
      </c>
      <c r="L3227" s="62">
        <f>K3227-(F3227*I3227)</f>
        <v/>
      </c>
      <c r="M3227" s="64">
        <f>L3227/K3227</f>
        <v/>
      </c>
    </row>
    <row r="3228">
      <c r="A3228" s="58" t="inlineStr">
        <is>
          <t>RT20250323-03227</t>
        </is>
      </c>
      <c r="B3228" s="59" t="inlineStr">
        <is>
          <t>2025-03-23</t>
        </is>
      </c>
      <c r="C3228" s="60" t="inlineStr">
        <is>
          <t>Polar Outdoor Lite-318</t>
        </is>
      </c>
      <c r="D3228" s="58" t="inlineStr">
        <is>
          <t>Sports</t>
        </is>
      </c>
      <c r="E3228" s="58" t="inlineStr">
        <is>
          <t>West</t>
        </is>
      </c>
      <c r="F3228" s="61" t="n">
        <v>3</v>
      </c>
      <c r="G3228" s="62" t="n">
        <v>709.52</v>
      </c>
      <c r="H3228" s="63" t="n">
        <v>0.15</v>
      </c>
      <c r="I3228" s="62" t="n">
        <v>453.97</v>
      </c>
      <c r="J3228" s="58" t="inlineStr">
        <is>
          <t>Online</t>
        </is>
      </c>
      <c r="K3228" s="62">
        <f>F3228*(G3228-H3228)</f>
        <v/>
      </c>
      <c r="L3228" s="62">
        <f>K3228-(F3228*I3228)</f>
        <v/>
      </c>
      <c r="M3228" s="64">
        <f>L3228/K3228</f>
        <v/>
      </c>
    </row>
    <row r="3229">
      <c r="A3229" s="58" t="inlineStr">
        <is>
          <t>RT20250323-03228</t>
        </is>
      </c>
      <c r="B3229" s="59" t="inlineStr">
        <is>
          <t>2025-03-23</t>
        </is>
      </c>
      <c r="C3229" s="60" t="inlineStr">
        <is>
          <t>Solace Fitnes S-324</t>
        </is>
      </c>
      <c r="D3229" s="58" t="inlineStr">
        <is>
          <t>Sports</t>
        </is>
      </c>
      <c r="E3229" s="58" t="inlineStr">
        <is>
          <t>East</t>
        </is>
      </c>
      <c r="F3229" s="61" t="n">
        <v>2</v>
      </c>
      <c r="G3229" s="62" t="n">
        <v>803.37</v>
      </c>
      <c r="H3229" s="63" t="n">
        <v>0.077</v>
      </c>
      <c r="I3229" s="62" t="n">
        <v>540.46</v>
      </c>
      <c r="J3229" s="58" t="inlineStr">
        <is>
          <t>Store</t>
        </is>
      </c>
      <c r="K3229" s="62">
        <f>F3229*(G3229-H3229)</f>
        <v/>
      </c>
      <c r="L3229" s="62">
        <f>K3229-(F3229*I3229)</f>
        <v/>
      </c>
      <c r="M3229" s="64">
        <f>L3229/K3229</f>
        <v/>
      </c>
    </row>
    <row r="3230">
      <c r="A3230" s="58" t="inlineStr">
        <is>
          <t>RT20250323-03229</t>
        </is>
      </c>
      <c r="B3230" s="59" t="inlineStr">
        <is>
          <t>2025-03-23</t>
        </is>
      </c>
      <c r="C3230" s="60" t="inlineStr">
        <is>
          <t>Orion Supplie S-612</t>
        </is>
      </c>
      <c r="D3230" s="58" t="inlineStr">
        <is>
          <t>Office</t>
        </is>
      </c>
      <c r="E3230" s="58" t="inlineStr">
        <is>
          <t>West</t>
        </is>
      </c>
      <c r="F3230" s="61" t="n">
        <v>2</v>
      </c>
      <c r="G3230" s="62" t="n">
        <v>480.38</v>
      </c>
      <c r="H3230" s="63" t="n">
        <v>0.04</v>
      </c>
      <c r="I3230" s="62" t="n">
        <v>329.18</v>
      </c>
      <c r="J3230" s="58" t="inlineStr">
        <is>
          <t>Online</t>
        </is>
      </c>
      <c r="K3230" s="62">
        <f>F3230*(G3230-H3230)</f>
        <v/>
      </c>
      <c r="L3230" s="62">
        <f>K3230-(F3230*I3230)</f>
        <v/>
      </c>
      <c r="M3230" s="64">
        <f>L3230/K3230</f>
        <v/>
      </c>
    </row>
    <row r="3231">
      <c r="A3231" s="58" t="inlineStr">
        <is>
          <t>RT20250323-03230</t>
        </is>
      </c>
      <c r="B3231" s="59" t="inlineStr">
        <is>
          <t>2025-03-23</t>
        </is>
      </c>
      <c r="C3231" s="60" t="inlineStr">
        <is>
          <t>Nimbus Headphone X-854</t>
        </is>
      </c>
      <c r="D3231" s="58" t="inlineStr">
        <is>
          <t>Electronics</t>
        </is>
      </c>
      <c r="E3231" s="58" t="inlineStr">
        <is>
          <t>Central</t>
        </is>
      </c>
      <c r="F3231" s="61" t="n">
        <v>1</v>
      </c>
      <c r="G3231" s="62" t="n">
        <v>1534.96</v>
      </c>
      <c r="H3231" s="63" t="n">
        <v>0.141</v>
      </c>
      <c r="I3231" s="62" t="n">
        <v>1239.23</v>
      </c>
      <c r="J3231" s="58" t="inlineStr">
        <is>
          <t>Store</t>
        </is>
      </c>
      <c r="K3231" s="62">
        <f>F3231*(G3231-H3231)</f>
        <v/>
      </c>
      <c r="L3231" s="62">
        <f>K3231-(F3231*I3231)</f>
        <v/>
      </c>
      <c r="M3231" s="64">
        <f>L3231/K3231</f>
        <v/>
      </c>
    </row>
    <row r="3232">
      <c r="A3232" s="58" t="inlineStr">
        <is>
          <t>RT20250323-03231</t>
        </is>
      </c>
      <c r="B3232" s="59" t="inlineStr">
        <is>
          <t>2025-03-23</t>
        </is>
      </c>
      <c r="C3232" s="60" t="inlineStr">
        <is>
          <t>Vertex Appliance S-159</t>
        </is>
      </c>
      <c r="D3232" s="58" t="inlineStr">
        <is>
          <t>Home</t>
        </is>
      </c>
      <c r="E3232" s="58" t="inlineStr">
        <is>
          <t>Central</t>
        </is>
      </c>
      <c r="F3232" s="61" t="n">
        <v>3</v>
      </c>
      <c r="G3232" s="62" t="n">
        <v>397.91</v>
      </c>
      <c r="H3232" s="63" t="n">
        <v>0.095</v>
      </c>
      <c r="I3232" s="62" t="n">
        <v>296.33</v>
      </c>
      <c r="J3232" s="58" t="inlineStr">
        <is>
          <t>Store</t>
        </is>
      </c>
      <c r="K3232" s="62">
        <f>F3232*(G3232-H3232)</f>
        <v/>
      </c>
      <c r="L3232" s="62">
        <f>K3232-(F3232*I3232)</f>
        <v/>
      </c>
      <c r="M3232" s="64">
        <f>L3232/K3232</f>
        <v/>
      </c>
    </row>
    <row r="3233">
      <c r="A3233" s="58" t="inlineStr">
        <is>
          <t>RT20250323-03232</t>
        </is>
      </c>
      <c r="B3233" s="59" t="inlineStr">
        <is>
          <t>2025-03-23</t>
        </is>
      </c>
      <c r="C3233" s="60" t="inlineStr">
        <is>
          <t>Metro Pantry X-710</t>
        </is>
      </c>
      <c r="D3233" s="58" t="inlineStr">
        <is>
          <t>Grocery</t>
        </is>
      </c>
      <c r="E3233" s="58" t="inlineStr">
        <is>
          <t>South</t>
        </is>
      </c>
      <c r="F3233" s="61" t="n">
        <v>5</v>
      </c>
      <c r="G3233" s="62" t="n">
        <v>6.17</v>
      </c>
      <c r="H3233" s="63" t="n">
        <v>0.095</v>
      </c>
      <c r="I3233" s="62" t="n">
        <v>4.26</v>
      </c>
      <c r="J3233" s="58" t="inlineStr">
        <is>
          <t>Store</t>
        </is>
      </c>
      <c r="K3233" s="62">
        <f>F3233*(G3233-H3233)</f>
        <v/>
      </c>
      <c r="L3233" s="62">
        <f>K3233-(F3233*I3233)</f>
        <v/>
      </c>
      <c r="M3233" s="64">
        <f>L3233/K3233</f>
        <v/>
      </c>
    </row>
    <row r="3234">
      <c r="A3234" s="58" t="inlineStr">
        <is>
          <t>RT20250323-03233</t>
        </is>
      </c>
      <c r="B3234" s="59" t="inlineStr">
        <is>
          <t>2025-03-23</t>
        </is>
      </c>
      <c r="C3234" s="60" t="inlineStr">
        <is>
          <t>Orion Supplie S-612</t>
        </is>
      </c>
      <c r="D3234" s="58" t="inlineStr">
        <is>
          <t>Office</t>
        </is>
      </c>
      <c r="E3234" s="58" t="inlineStr">
        <is>
          <t>West</t>
        </is>
      </c>
      <c r="F3234" s="61" t="n">
        <v>3</v>
      </c>
      <c r="G3234" s="62" t="n">
        <v>515.58</v>
      </c>
      <c r="H3234" s="63" t="n">
        <v>0.107</v>
      </c>
      <c r="I3234" s="62" t="n">
        <v>339.71</v>
      </c>
      <c r="J3234" s="58" t="inlineStr">
        <is>
          <t>Store</t>
        </is>
      </c>
      <c r="K3234" s="62">
        <f>F3234*(G3234-H3234)</f>
        <v/>
      </c>
      <c r="L3234" s="62">
        <f>K3234-(F3234*I3234)</f>
        <v/>
      </c>
      <c r="M3234" s="64">
        <f>L3234/K3234</f>
        <v/>
      </c>
    </row>
    <row r="3235">
      <c r="A3235" s="58" t="inlineStr">
        <is>
          <t>RT20250323-03234</t>
        </is>
      </c>
      <c r="B3235" s="59" t="inlineStr">
        <is>
          <t>2025-03-23</t>
        </is>
      </c>
      <c r="C3235" s="60" t="inlineStr">
        <is>
          <t>Falcon Household Pro-865</t>
        </is>
      </c>
      <c r="D3235" s="58" t="inlineStr">
        <is>
          <t>Grocery</t>
        </is>
      </c>
      <c r="E3235" s="58" t="inlineStr">
        <is>
          <t>North</t>
        </is>
      </c>
      <c r="F3235" s="61" t="n">
        <v>2</v>
      </c>
      <c r="G3235" s="62" t="n">
        <v>10.47</v>
      </c>
      <c r="H3235" s="63" t="n">
        <v>0.055</v>
      </c>
      <c r="I3235" s="62" t="n">
        <v>7.61</v>
      </c>
      <c r="J3235" s="58" t="inlineStr">
        <is>
          <t>Online</t>
        </is>
      </c>
      <c r="K3235" s="62">
        <f>F3235*(G3235-H3235)</f>
        <v/>
      </c>
      <c r="L3235" s="62">
        <f>K3235-(F3235*I3235)</f>
        <v/>
      </c>
      <c r="M3235" s="64">
        <f>L3235/K3235</f>
        <v/>
      </c>
    </row>
    <row r="3236">
      <c r="A3236" s="58" t="inlineStr">
        <is>
          <t>RT20250323-03235</t>
        </is>
      </c>
      <c r="B3236" s="59" t="inlineStr">
        <is>
          <t>2025-03-23</t>
        </is>
      </c>
      <c r="C3236" s="60" t="inlineStr">
        <is>
          <t>Aurora Appliance Lite-109</t>
        </is>
      </c>
      <c r="D3236" s="58" t="inlineStr">
        <is>
          <t>Home</t>
        </is>
      </c>
      <c r="E3236" s="58" t="inlineStr">
        <is>
          <t>West</t>
        </is>
      </c>
      <c r="F3236" s="61" t="n">
        <v>1</v>
      </c>
      <c r="G3236" s="62" t="n">
        <v>331.01</v>
      </c>
      <c r="H3236" s="63" t="n">
        <v>0.059</v>
      </c>
      <c r="I3236" s="62" t="n">
        <v>209.59</v>
      </c>
      <c r="J3236" s="58" t="inlineStr">
        <is>
          <t>Phone</t>
        </is>
      </c>
      <c r="K3236" s="62">
        <f>F3236*(G3236-H3236)</f>
        <v/>
      </c>
      <c r="L3236" s="62">
        <f>K3236-(F3236*I3236)</f>
        <v/>
      </c>
      <c r="M3236" s="64">
        <f>L3236/K3236</f>
        <v/>
      </c>
    </row>
    <row r="3237">
      <c r="A3237" s="58" t="inlineStr">
        <is>
          <t>RT20250323-03236</t>
        </is>
      </c>
      <c r="B3237" s="59" t="inlineStr">
        <is>
          <t>2025-03-23</t>
        </is>
      </c>
      <c r="C3237" s="60" t="inlineStr">
        <is>
          <t>Metro Smartphone Max-773</t>
        </is>
      </c>
      <c r="D3237" s="58" t="inlineStr">
        <is>
          <t>Electronics</t>
        </is>
      </c>
      <c r="E3237" s="58" t="inlineStr">
        <is>
          <t>Central</t>
        </is>
      </c>
      <c r="F3237" s="61" t="n">
        <v>2</v>
      </c>
      <c r="G3237" s="62" t="n">
        <v>1227.03</v>
      </c>
      <c r="H3237" s="63" t="n">
        <v>0.107</v>
      </c>
      <c r="I3237" s="62" t="n">
        <v>1063.82</v>
      </c>
      <c r="J3237" s="58" t="inlineStr">
        <is>
          <t>Online</t>
        </is>
      </c>
      <c r="K3237" s="62">
        <f>F3237*(G3237-H3237)</f>
        <v/>
      </c>
      <c r="L3237" s="62">
        <f>K3237-(F3237*I3237)</f>
        <v/>
      </c>
      <c r="M3237" s="64">
        <f>L3237/K3237</f>
        <v/>
      </c>
    </row>
    <row r="3238">
      <c r="A3238" s="58" t="inlineStr">
        <is>
          <t>RT20250323-03237</t>
        </is>
      </c>
      <c r="B3238" s="59" t="inlineStr">
        <is>
          <t>2025-03-23</t>
        </is>
      </c>
      <c r="C3238" s="60" t="inlineStr">
        <is>
          <t>Orion Haircare Plus-887</t>
        </is>
      </c>
      <c r="D3238" s="58" t="inlineStr">
        <is>
          <t>Beauty</t>
        </is>
      </c>
      <c r="E3238" s="58" t="inlineStr">
        <is>
          <t>West</t>
        </is>
      </c>
      <c r="F3238" s="61" t="n">
        <v>3</v>
      </c>
      <c r="G3238" s="62" t="n">
        <v>54.77</v>
      </c>
      <c r="H3238" s="63" t="n">
        <v>0.08799999999999999</v>
      </c>
      <c r="I3238" s="62" t="n">
        <v>30.86</v>
      </c>
      <c r="J3238" s="58" t="inlineStr">
        <is>
          <t>Phone</t>
        </is>
      </c>
      <c r="K3238" s="62">
        <f>F3238*(G3238-H3238)</f>
        <v/>
      </c>
      <c r="L3238" s="62">
        <f>K3238-(F3238*I3238)</f>
        <v/>
      </c>
      <c r="M3238" s="64">
        <f>L3238/K3238</f>
        <v/>
      </c>
    </row>
    <row r="3239">
      <c r="A3239" s="58" t="inlineStr">
        <is>
          <t>RT20250323-03238</t>
        </is>
      </c>
      <c r="B3239" s="59" t="inlineStr">
        <is>
          <t>2025-03-23</t>
        </is>
      </c>
      <c r="C3239" s="60" t="inlineStr">
        <is>
          <t>Falcon Cycling Pro-499</t>
        </is>
      </c>
      <c r="D3239" s="58" t="inlineStr">
        <is>
          <t>Sports</t>
        </is>
      </c>
      <c r="E3239" s="58" t="inlineStr">
        <is>
          <t>East</t>
        </is>
      </c>
      <c r="F3239" s="61" t="n">
        <v>1</v>
      </c>
      <c r="G3239" s="62" t="n">
        <v>627.38</v>
      </c>
      <c r="H3239" s="63" t="n">
        <v>0.128</v>
      </c>
      <c r="I3239" s="62" t="n">
        <v>403.13</v>
      </c>
      <c r="J3239" s="58" t="inlineStr">
        <is>
          <t>Online</t>
        </is>
      </c>
      <c r="K3239" s="62">
        <f>F3239*(G3239-H3239)</f>
        <v/>
      </c>
      <c r="L3239" s="62">
        <f>K3239-(F3239*I3239)</f>
        <v/>
      </c>
      <c r="M3239" s="64">
        <f>L3239/K3239</f>
        <v/>
      </c>
    </row>
    <row r="3240">
      <c r="A3240" s="58" t="inlineStr">
        <is>
          <t>RT20250324-03239</t>
        </is>
      </c>
      <c r="B3240" s="59" t="inlineStr">
        <is>
          <t>2025-03-24</t>
        </is>
      </c>
      <c r="C3240" s="60" t="inlineStr">
        <is>
          <t>Aurora Fragrance S-971</t>
        </is>
      </c>
      <c r="D3240" s="58" t="inlineStr">
        <is>
          <t>Beauty</t>
        </is>
      </c>
      <c r="E3240" s="58" t="inlineStr">
        <is>
          <t>East</t>
        </is>
      </c>
      <c r="F3240" s="61" t="n">
        <v>1</v>
      </c>
      <c r="G3240" s="62" t="n">
        <v>105.17</v>
      </c>
      <c r="H3240" s="63" t="n">
        <v>0.057</v>
      </c>
      <c r="I3240" s="62" t="n">
        <v>66.56999999999999</v>
      </c>
      <c r="J3240" s="58" t="inlineStr">
        <is>
          <t>Online</t>
        </is>
      </c>
      <c r="K3240" s="62">
        <f>F3240*(G3240-H3240)</f>
        <v/>
      </c>
      <c r="L3240" s="62">
        <f>K3240-(F3240*I3240)</f>
        <v/>
      </c>
      <c r="M3240" s="64">
        <f>L3240/K3240</f>
        <v/>
      </c>
    </row>
    <row r="3241">
      <c r="A3241" s="58" t="inlineStr">
        <is>
          <t>RT20250324-03240</t>
        </is>
      </c>
      <c r="B3241" s="59" t="inlineStr">
        <is>
          <t>2025-03-24</t>
        </is>
      </c>
      <c r="C3241" s="60" t="inlineStr">
        <is>
          <t>Falcon Storage X-734</t>
        </is>
      </c>
      <c r="D3241" s="58" t="inlineStr">
        <is>
          <t>Office</t>
        </is>
      </c>
      <c r="E3241" s="58" t="inlineStr">
        <is>
          <t>East</t>
        </is>
      </c>
      <c r="F3241" s="61" t="n">
        <v>1</v>
      </c>
      <c r="G3241" s="62" t="n">
        <v>384.97</v>
      </c>
      <c r="H3241" s="63" t="n">
        <v>0.114</v>
      </c>
      <c r="I3241" s="62" t="n">
        <v>281.64</v>
      </c>
      <c r="J3241" s="58" t="inlineStr">
        <is>
          <t>Online</t>
        </is>
      </c>
      <c r="K3241" s="62">
        <f>F3241*(G3241-H3241)</f>
        <v/>
      </c>
      <c r="L3241" s="62">
        <f>K3241-(F3241*I3241)</f>
        <v/>
      </c>
      <c r="M3241" s="64">
        <f>L3241/K3241</f>
        <v/>
      </c>
    </row>
    <row r="3242">
      <c r="A3242" s="58" t="inlineStr">
        <is>
          <t>RT20250324-03241</t>
        </is>
      </c>
      <c r="B3242" s="59" t="inlineStr">
        <is>
          <t>2025-03-24</t>
        </is>
      </c>
      <c r="C3242" s="60" t="inlineStr">
        <is>
          <t>Metro Beverage Max-490</t>
        </is>
      </c>
      <c r="D3242" s="58" t="inlineStr">
        <is>
          <t>Grocery</t>
        </is>
      </c>
      <c r="E3242" s="58" t="inlineStr">
        <is>
          <t>West</t>
        </is>
      </c>
      <c r="F3242" s="61" t="n">
        <v>8</v>
      </c>
      <c r="G3242" s="62" t="n">
        <v>12.87</v>
      </c>
      <c r="H3242" s="63" t="n">
        <v>0.094</v>
      </c>
      <c r="I3242" s="62" t="n">
        <v>8.050000000000001</v>
      </c>
      <c r="J3242" s="58" t="inlineStr">
        <is>
          <t>Store</t>
        </is>
      </c>
      <c r="K3242" s="62">
        <f>F3242*(G3242-H3242)</f>
        <v/>
      </c>
      <c r="L3242" s="62">
        <f>K3242-(F3242*I3242)</f>
        <v/>
      </c>
      <c r="M3242" s="64">
        <f>L3242/K3242</f>
        <v/>
      </c>
    </row>
    <row r="3243">
      <c r="A3243" s="58" t="inlineStr">
        <is>
          <t>RT20250324-03242</t>
        </is>
      </c>
      <c r="B3243" s="59" t="inlineStr">
        <is>
          <t>2025-03-24</t>
        </is>
      </c>
      <c r="C3243" s="60" t="inlineStr">
        <is>
          <t>Solace Bedding Plus-317</t>
        </is>
      </c>
      <c r="D3243" s="58" t="inlineStr">
        <is>
          <t>Home</t>
        </is>
      </c>
      <c r="E3243" s="58" t="inlineStr">
        <is>
          <t>South</t>
        </is>
      </c>
      <c r="F3243" s="61" t="n">
        <v>1</v>
      </c>
      <c r="G3243" s="62" t="n">
        <v>550.0599999999999</v>
      </c>
      <c r="H3243" s="63" t="n">
        <v>0.135</v>
      </c>
      <c r="I3243" s="62" t="n">
        <v>389.95</v>
      </c>
      <c r="J3243" s="58" t="inlineStr">
        <is>
          <t>Online</t>
        </is>
      </c>
      <c r="K3243" s="62">
        <f>F3243*(G3243-H3243)</f>
        <v/>
      </c>
      <c r="L3243" s="62">
        <f>K3243-(F3243*I3243)</f>
        <v/>
      </c>
      <c r="M3243" s="64">
        <f>L3243/K3243</f>
        <v/>
      </c>
    </row>
    <row r="3244">
      <c r="A3244" s="58" t="inlineStr">
        <is>
          <t>RT20250324-03243</t>
        </is>
      </c>
      <c r="B3244" s="59" t="inlineStr">
        <is>
          <t>2025-03-24</t>
        </is>
      </c>
      <c r="C3244" s="60" t="inlineStr">
        <is>
          <t>Polar Women S-662</t>
        </is>
      </c>
      <c r="D3244" s="58" t="inlineStr">
        <is>
          <t>Apparel</t>
        </is>
      </c>
      <c r="E3244" s="58" t="inlineStr">
        <is>
          <t>East</t>
        </is>
      </c>
      <c r="F3244" s="61" t="n">
        <v>4</v>
      </c>
      <c r="G3244" s="62" t="n">
        <v>191.38</v>
      </c>
      <c r="H3244" s="63" t="n">
        <v>0.099</v>
      </c>
      <c r="I3244" s="62" t="n">
        <v>100.95</v>
      </c>
      <c r="J3244" s="58" t="inlineStr">
        <is>
          <t>Online</t>
        </is>
      </c>
      <c r="K3244" s="62">
        <f>F3244*(G3244-H3244)</f>
        <v/>
      </c>
      <c r="L3244" s="62">
        <f>K3244-(F3244*I3244)</f>
        <v/>
      </c>
      <c r="M3244" s="64">
        <f>L3244/K3244</f>
        <v/>
      </c>
    </row>
    <row r="3245">
      <c r="A3245" s="58" t="inlineStr">
        <is>
          <t>RT20250324-03244</t>
        </is>
      </c>
      <c r="B3245" s="59" t="inlineStr">
        <is>
          <t>2025-03-24</t>
        </is>
      </c>
      <c r="C3245" s="60" t="inlineStr">
        <is>
          <t>Solace Snack S-691</t>
        </is>
      </c>
      <c r="D3245" s="58" t="inlineStr">
        <is>
          <t>Grocery</t>
        </is>
      </c>
      <c r="E3245" s="58" t="inlineStr">
        <is>
          <t>South</t>
        </is>
      </c>
      <c r="F3245" s="61" t="n">
        <v>7</v>
      </c>
      <c r="G3245" s="62" t="n">
        <v>10.45</v>
      </c>
      <c r="H3245" s="63" t="n">
        <v>0.095</v>
      </c>
      <c r="I3245" s="62" t="n">
        <v>7.06</v>
      </c>
      <c r="J3245" s="58" t="inlineStr">
        <is>
          <t>Online</t>
        </is>
      </c>
      <c r="K3245" s="62">
        <f>F3245*(G3245-H3245)</f>
        <v/>
      </c>
      <c r="L3245" s="62">
        <f>K3245-(F3245*I3245)</f>
        <v/>
      </c>
      <c r="M3245" s="64">
        <f>L3245/K3245</f>
        <v/>
      </c>
    </row>
    <row r="3246">
      <c r="A3246" s="58" t="inlineStr">
        <is>
          <t>RT20250324-03245</t>
        </is>
      </c>
      <c r="B3246" s="59" t="inlineStr">
        <is>
          <t>2025-03-24</t>
        </is>
      </c>
      <c r="C3246" s="60" t="inlineStr">
        <is>
          <t>Vertex Men X-995</t>
        </is>
      </c>
      <c r="D3246" s="58" t="inlineStr">
        <is>
          <t>Apparel</t>
        </is>
      </c>
      <c r="E3246" s="58" t="inlineStr">
        <is>
          <t>East</t>
        </is>
      </c>
      <c r="F3246" s="61" t="n">
        <v>1</v>
      </c>
      <c r="G3246" s="62" t="n">
        <v>101.98</v>
      </c>
      <c r="H3246" s="63" t="n">
        <v>0.102</v>
      </c>
      <c r="I3246" s="62" t="n">
        <v>59.25</v>
      </c>
      <c r="J3246" s="58" t="inlineStr">
        <is>
          <t>Store</t>
        </is>
      </c>
      <c r="K3246" s="62">
        <f>F3246*(G3246-H3246)</f>
        <v/>
      </c>
      <c r="L3246" s="62">
        <f>K3246-(F3246*I3246)</f>
        <v/>
      </c>
      <c r="M3246" s="64">
        <f>L3246/K3246</f>
        <v/>
      </c>
    </row>
    <row r="3247">
      <c r="A3247" s="58" t="inlineStr">
        <is>
          <t>RT20250324-03246</t>
        </is>
      </c>
      <c r="B3247" s="59" t="inlineStr">
        <is>
          <t>2025-03-24</t>
        </is>
      </c>
      <c r="C3247" s="60" t="inlineStr">
        <is>
          <t>Orion Kitchen Pro-568</t>
        </is>
      </c>
      <c r="D3247" s="58" t="inlineStr">
        <is>
          <t>Home</t>
        </is>
      </c>
      <c r="E3247" s="58" t="inlineStr">
        <is>
          <t>East</t>
        </is>
      </c>
      <c r="F3247" s="61" t="n">
        <v>3</v>
      </c>
      <c r="G3247" s="62" t="n">
        <v>488.19</v>
      </c>
      <c r="H3247" s="63" t="n">
        <v>0.079</v>
      </c>
      <c r="I3247" s="62" t="n">
        <v>311.41</v>
      </c>
      <c r="J3247" s="58" t="inlineStr">
        <is>
          <t>Store</t>
        </is>
      </c>
      <c r="K3247" s="62">
        <f>F3247*(G3247-H3247)</f>
        <v/>
      </c>
      <c r="L3247" s="62">
        <f>K3247-(F3247*I3247)</f>
        <v/>
      </c>
      <c r="M3247" s="64">
        <f>L3247/K3247</f>
        <v/>
      </c>
    </row>
    <row r="3248">
      <c r="A3248" s="58" t="inlineStr">
        <is>
          <t>RT20250324-03247</t>
        </is>
      </c>
      <c r="B3248" s="59" t="inlineStr">
        <is>
          <t>2025-03-24</t>
        </is>
      </c>
      <c r="C3248" s="60" t="inlineStr">
        <is>
          <t>Aurora Wearable Lite-704</t>
        </is>
      </c>
      <c r="D3248" s="58" t="inlineStr">
        <is>
          <t>Electronics</t>
        </is>
      </c>
      <c r="E3248" s="58" t="inlineStr">
        <is>
          <t>Central</t>
        </is>
      </c>
      <c r="F3248" s="61" t="n">
        <v>1</v>
      </c>
      <c r="G3248" s="62" t="n">
        <v>1787.4</v>
      </c>
      <c r="H3248" s="63" t="n">
        <v>0.073</v>
      </c>
      <c r="I3248" s="62" t="n">
        <v>1455.56</v>
      </c>
      <c r="J3248" s="58" t="inlineStr">
        <is>
          <t>Store</t>
        </is>
      </c>
      <c r="K3248" s="62">
        <f>F3248*(G3248-H3248)</f>
        <v/>
      </c>
      <c r="L3248" s="62">
        <f>K3248-(F3248*I3248)</f>
        <v/>
      </c>
      <c r="M3248" s="64">
        <f>L3248/K3248</f>
        <v/>
      </c>
    </row>
    <row r="3249">
      <c r="A3249" s="58" t="inlineStr">
        <is>
          <t>RT20250324-03248</t>
        </is>
      </c>
      <c r="B3249" s="59" t="inlineStr">
        <is>
          <t>2025-03-24</t>
        </is>
      </c>
      <c r="C3249" s="60" t="inlineStr">
        <is>
          <t>Falcon Wearable X-334</t>
        </is>
      </c>
      <c r="D3249" s="58" t="inlineStr">
        <is>
          <t>Electronics</t>
        </is>
      </c>
      <c r="E3249" s="58" t="inlineStr">
        <is>
          <t>West</t>
        </is>
      </c>
      <c r="F3249" s="61" t="n">
        <v>1</v>
      </c>
      <c r="G3249" s="62" t="n">
        <v>1854.49</v>
      </c>
      <c r="H3249" s="63" t="n">
        <v>0.13</v>
      </c>
      <c r="I3249" s="62" t="n">
        <v>1549.84</v>
      </c>
      <c r="J3249" s="58" t="inlineStr">
        <is>
          <t>Online</t>
        </is>
      </c>
      <c r="K3249" s="62">
        <f>F3249*(G3249-H3249)</f>
        <v/>
      </c>
      <c r="L3249" s="62">
        <f>K3249-(F3249*I3249)</f>
        <v/>
      </c>
      <c r="M3249" s="64">
        <f>L3249/K3249</f>
        <v/>
      </c>
    </row>
    <row r="3250">
      <c r="A3250" s="58" t="inlineStr">
        <is>
          <t>RT20250324-03249</t>
        </is>
      </c>
      <c r="B3250" s="59" t="inlineStr">
        <is>
          <t>2025-03-24</t>
        </is>
      </c>
      <c r="C3250" s="60" t="inlineStr">
        <is>
          <t>Aurora Appliance Max-316</t>
        </is>
      </c>
      <c r="D3250" s="58" t="inlineStr">
        <is>
          <t>Home</t>
        </is>
      </c>
      <c r="E3250" s="58" t="inlineStr">
        <is>
          <t>East</t>
        </is>
      </c>
      <c r="F3250" s="61" t="n">
        <v>1</v>
      </c>
      <c r="G3250" s="62" t="n">
        <v>325.2</v>
      </c>
      <c r="H3250" s="63" t="n">
        <v>0.099</v>
      </c>
      <c r="I3250" s="62" t="n">
        <v>219.71</v>
      </c>
      <c r="J3250" s="58" t="inlineStr">
        <is>
          <t>Store</t>
        </is>
      </c>
      <c r="K3250" s="62">
        <f>F3250*(G3250-H3250)</f>
        <v/>
      </c>
      <c r="L3250" s="62">
        <f>K3250-(F3250*I3250)</f>
        <v/>
      </c>
      <c r="M3250" s="64">
        <f>L3250/K3250</f>
        <v/>
      </c>
    </row>
    <row r="3251">
      <c r="A3251" s="58" t="inlineStr">
        <is>
          <t>RT20250324-03250</t>
        </is>
      </c>
      <c r="B3251" s="59" t="inlineStr">
        <is>
          <t>2025-03-24</t>
        </is>
      </c>
      <c r="C3251" s="60" t="inlineStr">
        <is>
          <t>Polar Bedding Lite-243</t>
        </is>
      </c>
      <c r="D3251" s="58" t="inlineStr">
        <is>
          <t>Home</t>
        </is>
      </c>
      <c r="E3251" s="58" t="inlineStr">
        <is>
          <t>West</t>
        </is>
      </c>
      <c r="F3251" s="61" t="n">
        <v>2</v>
      </c>
      <c r="G3251" s="62" t="n">
        <v>442.22</v>
      </c>
      <c r="H3251" s="63" t="n">
        <v>0.096</v>
      </c>
      <c r="I3251" s="62" t="n">
        <v>324.03</v>
      </c>
      <c r="J3251" s="58" t="inlineStr">
        <is>
          <t>Phone</t>
        </is>
      </c>
      <c r="K3251" s="62">
        <f>F3251*(G3251-H3251)</f>
        <v/>
      </c>
      <c r="L3251" s="62">
        <f>K3251-(F3251*I3251)</f>
        <v/>
      </c>
      <c r="M3251" s="64">
        <f>L3251/K3251</f>
        <v/>
      </c>
    </row>
    <row r="3252">
      <c r="A3252" s="58" t="inlineStr">
        <is>
          <t>RT20250324-03251</t>
        </is>
      </c>
      <c r="B3252" s="59" t="inlineStr">
        <is>
          <t>2025-03-24</t>
        </is>
      </c>
      <c r="C3252" s="60" t="inlineStr">
        <is>
          <t>Solace Kitchen X-919</t>
        </is>
      </c>
      <c r="D3252" s="58" t="inlineStr">
        <is>
          <t>Home</t>
        </is>
      </c>
      <c r="E3252" s="58" t="inlineStr">
        <is>
          <t>North</t>
        </is>
      </c>
      <c r="F3252" s="61" t="n">
        <v>1</v>
      </c>
      <c r="G3252" s="62" t="n">
        <v>409.07</v>
      </c>
      <c r="H3252" s="63" t="n">
        <v>0.09</v>
      </c>
      <c r="I3252" s="62" t="n">
        <v>266.31</v>
      </c>
      <c r="J3252" s="58" t="inlineStr">
        <is>
          <t>Store</t>
        </is>
      </c>
      <c r="K3252" s="62">
        <f>F3252*(G3252-H3252)</f>
        <v/>
      </c>
      <c r="L3252" s="62">
        <f>K3252-(F3252*I3252)</f>
        <v/>
      </c>
      <c r="M3252" s="64">
        <f>L3252/K3252</f>
        <v/>
      </c>
    </row>
    <row r="3253">
      <c r="A3253" s="58" t="inlineStr">
        <is>
          <t>RT20250324-03252</t>
        </is>
      </c>
      <c r="B3253" s="59" t="inlineStr">
        <is>
          <t>2025-03-24</t>
        </is>
      </c>
      <c r="C3253" s="60" t="inlineStr">
        <is>
          <t>Orion Storage Plus-961</t>
        </is>
      </c>
      <c r="D3253" s="58" t="inlineStr">
        <is>
          <t>Office</t>
        </is>
      </c>
      <c r="E3253" s="58" t="inlineStr">
        <is>
          <t>North</t>
        </is>
      </c>
      <c r="F3253" s="61" t="n">
        <v>1</v>
      </c>
      <c r="G3253" s="62" t="n">
        <v>480.67</v>
      </c>
      <c r="H3253" s="63" t="n">
        <v>0.101</v>
      </c>
      <c r="I3253" s="62" t="n">
        <v>373.09</v>
      </c>
      <c r="J3253" s="58" t="inlineStr">
        <is>
          <t>Online</t>
        </is>
      </c>
      <c r="K3253" s="62">
        <f>F3253*(G3253-H3253)</f>
        <v/>
      </c>
      <c r="L3253" s="62">
        <f>K3253-(F3253*I3253)</f>
        <v/>
      </c>
      <c r="M3253" s="64">
        <f>L3253/K3253</f>
        <v/>
      </c>
    </row>
    <row r="3254">
      <c r="A3254" s="58" t="inlineStr">
        <is>
          <t>RT20250324-03253</t>
        </is>
      </c>
      <c r="B3254" s="59" t="inlineStr">
        <is>
          <t>2025-03-24</t>
        </is>
      </c>
      <c r="C3254" s="60" t="inlineStr">
        <is>
          <t>Aurora Outdoor Pro-467</t>
        </is>
      </c>
      <c r="D3254" s="58" t="inlineStr">
        <is>
          <t>Sports</t>
        </is>
      </c>
      <c r="E3254" s="58" t="inlineStr">
        <is>
          <t>South</t>
        </is>
      </c>
      <c r="F3254" s="61" t="n">
        <v>1</v>
      </c>
      <c r="G3254" s="62" t="n">
        <v>292.75</v>
      </c>
      <c r="H3254" s="63" t="n">
        <v>0.06900000000000001</v>
      </c>
      <c r="I3254" s="62" t="n">
        <v>192.76</v>
      </c>
      <c r="J3254" s="58" t="inlineStr">
        <is>
          <t>Store</t>
        </is>
      </c>
      <c r="K3254" s="62">
        <f>F3254*(G3254-H3254)</f>
        <v/>
      </c>
      <c r="L3254" s="62">
        <f>K3254-(F3254*I3254)</f>
        <v/>
      </c>
      <c r="M3254" s="64">
        <f>L3254/K3254</f>
        <v/>
      </c>
    </row>
    <row r="3255">
      <c r="A3255" s="58" t="inlineStr">
        <is>
          <t>RT20250324-03254</t>
        </is>
      </c>
      <c r="B3255" s="59" t="inlineStr">
        <is>
          <t>2025-03-24</t>
        </is>
      </c>
      <c r="C3255" s="60" t="inlineStr">
        <is>
          <t>Orion Laptop S-350</t>
        </is>
      </c>
      <c r="D3255" s="58" t="inlineStr">
        <is>
          <t>Electronics</t>
        </is>
      </c>
      <c r="E3255" s="58" t="inlineStr">
        <is>
          <t>South</t>
        </is>
      </c>
      <c r="F3255" s="61" t="n">
        <v>2</v>
      </c>
      <c r="G3255" s="62" t="n">
        <v>1390.99</v>
      </c>
      <c r="H3255" s="63" t="n">
        <v>0.08500000000000001</v>
      </c>
      <c r="I3255" s="62" t="n">
        <v>1062.06</v>
      </c>
      <c r="J3255" s="58" t="inlineStr">
        <is>
          <t>Store</t>
        </is>
      </c>
      <c r="K3255" s="62">
        <f>F3255*(G3255-H3255)</f>
        <v/>
      </c>
      <c r="L3255" s="62">
        <f>K3255-(F3255*I3255)</f>
        <v/>
      </c>
      <c r="M3255" s="64">
        <f>L3255/K3255</f>
        <v/>
      </c>
    </row>
    <row r="3256">
      <c r="A3256" s="58" t="inlineStr">
        <is>
          <t>RT20250324-03255</t>
        </is>
      </c>
      <c r="B3256" s="59" t="inlineStr">
        <is>
          <t>2025-03-24</t>
        </is>
      </c>
      <c r="C3256" s="60" t="inlineStr">
        <is>
          <t>Solace Snack S-691</t>
        </is>
      </c>
      <c r="D3256" s="58" t="inlineStr">
        <is>
          <t>Grocery</t>
        </is>
      </c>
      <c r="E3256" s="58" t="inlineStr">
        <is>
          <t>East</t>
        </is>
      </c>
      <c r="F3256" s="61" t="n">
        <v>2</v>
      </c>
      <c r="G3256" s="62" t="n">
        <v>10.91</v>
      </c>
      <c r="H3256" s="63" t="n">
        <v>0.155</v>
      </c>
      <c r="I3256" s="62" t="n">
        <v>7.32</v>
      </c>
      <c r="J3256" s="58" t="inlineStr">
        <is>
          <t>Online</t>
        </is>
      </c>
      <c r="K3256" s="62">
        <f>F3256*(G3256-H3256)</f>
        <v/>
      </c>
      <c r="L3256" s="62">
        <f>K3256-(F3256*I3256)</f>
        <v/>
      </c>
      <c r="M3256" s="64">
        <f>L3256/K3256</f>
        <v/>
      </c>
    </row>
    <row r="3257">
      <c r="A3257" s="58" t="inlineStr">
        <is>
          <t>RT20250324-03256</t>
        </is>
      </c>
      <c r="B3257" s="59" t="inlineStr">
        <is>
          <t>2025-03-24</t>
        </is>
      </c>
      <c r="C3257" s="60" t="inlineStr">
        <is>
          <t>Metro Pantry X-710</t>
        </is>
      </c>
      <c r="D3257" s="58" t="inlineStr">
        <is>
          <t>Grocery</t>
        </is>
      </c>
      <c r="E3257" s="58" t="inlineStr">
        <is>
          <t>South</t>
        </is>
      </c>
      <c r="F3257" s="61" t="n">
        <v>1</v>
      </c>
      <c r="G3257" s="62" t="n">
        <v>5.92</v>
      </c>
      <c r="H3257" s="63" t="n">
        <v>0.109</v>
      </c>
      <c r="I3257" s="62" t="n">
        <v>4.15</v>
      </c>
      <c r="J3257" s="58" t="inlineStr">
        <is>
          <t>Store</t>
        </is>
      </c>
      <c r="K3257" s="62">
        <f>F3257*(G3257-H3257)</f>
        <v/>
      </c>
      <c r="L3257" s="62">
        <f>K3257-(F3257*I3257)</f>
        <v/>
      </c>
      <c r="M3257" s="64">
        <f>L3257/K3257</f>
        <v/>
      </c>
    </row>
    <row r="3258">
      <c r="A3258" s="58" t="inlineStr">
        <is>
          <t>RT20250324-03257</t>
        </is>
      </c>
      <c r="B3258" s="59" t="inlineStr">
        <is>
          <t>2025-03-24</t>
        </is>
      </c>
      <c r="C3258" s="60" t="inlineStr">
        <is>
          <t>Vertex Smartphone Pro-256</t>
        </is>
      </c>
      <c r="D3258" s="58" t="inlineStr">
        <is>
          <t>Electronics</t>
        </is>
      </c>
      <c r="E3258" s="58" t="inlineStr">
        <is>
          <t>South</t>
        </is>
      </c>
      <c r="F3258" s="61" t="n">
        <v>2</v>
      </c>
      <c r="G3258" s="62" t="n">
        <v>1203.71</v>
      </c>
      <c r="H3258" s="63" t="n">
        <v>0.101</v>
      </c>
      <c r="I3258" s="62" t="n">
        <v>923.54</v>
      </c>
      <c r="J3258" s="58" t="inlineStr">
        <is>
          <t>Store</t>
        </is>
      </c>
      <c r="K3258" s="62">
        <f>F3258*(G3258-H3258)</f>
        <v/>
      </c>
      <c r="L3258" s="62">
        <f>K3258-(F3258*I3258)</f>
        <v/>
      </c>
      <c r="M3258" s="64">
        <f>L3258/K3258</f>
        <v/>
      </c>
    </row>
    <row r="3259">
      <c r="A3259" s="58" t="inlineStr">
        <is>
          <t>RT20250324-03258</t>
        </is>
      </c>
      <c r="B3259" s="59" t="inlineStr">
        <is>
          <t>2025-03-24</t>
        </is>
      </c>
      <c r="C3259" s="60" t="inlineStr">
        <is>
          <t>Solace Team Sport Max-548</t>
        </is>
      </c>
      <c r="D3259" s="58" t="inlineStr">
        <is>
          <t>Sports</t>
        </is>
      </c>
      <c r="E3259" s="58" t="inlineStr">
        <is>
          <t>South</t>
        </is>
      </c>
      <c r="F3259" s="61" t="n">
        <v>2</v>
      </c>
      <c r="G3259" s="62" t="n">
        <v>760.5700000000001</v>
      </c>
      <c r="H3259" s="63" t="n">
        <v>0.133</v>
      </c>
      <c r="I3259" s="62" t="n">
        <v>486.14</v>
      </c>
      <c r="J3259" s="58" t="inlineStr">
        <is>
          <t>Store</t>
        </is>
      </c>
      <c r="K3259" s="62">
        <f>F3259*(G3259-H3259)</f>
        <v/>
      </c>
      <c r="L3259" s="62">
        <f>K3259-(F3259*I3259)</f>
        <v/>
      </c>
      <c r="M3259" s="64">
        <f>L3259/K3259</f>
        <v/>
      </c>
    </row>
    <row r="3260">
      <c r="A3260" s="58" t="inlineStr">
        <is>
          <t>RT20250324-03259</t>
        </is>
      </c>
      <c r="B3260" s="59" t="inlineStr">
        <is>
          <t>2025-03-24</t>
        </is>
      </c>
      <c r="C3260" s="60" t="inlineStr">
        <is>
          <t>Nimbus Women Lite-814</t>
        </is>
      </c>
      <c r="D3260" s="58" t="inlineStr">
        <is>
          <t>Apparel</t>
        </is>
      </c>
      <c r="E3260" s="58" t="inlineStr">
        <is>
          <t>Central</t>
        </is>
      </c>
      <c r="F3260" s="61" t="n">
        <v>2</v>
      </c>
      <c r="G3260" s="62" t="n">
        <v>125.56</v>
      </c>
      <c r="H3260" s="63" t="n">
        <v>0.137</v>
      </c>
      <c r="I3260" s="62" t="n">
        <v>83.31999999999999</v>
      </c>
      <c r="J3260" s="58" t="inlineStr">
        <is>
          <t>Store</t>
        </is>
      </c>
      <c r="K3260" s="62">
        <f>F3260*(G3260-H3260)</f>
        <v/>
      </c>
      <c r="L3260" s="62">
        <f>K3260-(F3260*I3260)</f>
        <v/>
      </c>
      <c r="M3260" s="64">
        <f>L3260/K3260</f>
        <v/>
      </c>
    </row>
    <row r="3261">
      <c r="A3261" s="58" t="inlineStr">
        <is>
          <t>RT20250324-03260</t>
        </is>
      </c>
      <c r="B3261" s="59" t="inlineStr">
        <is>
          <t>2025-03-24</t>
        </is>
      </c>
      <c r="C3261" s="60" t="inlineStr">
        <is>
          <t>Aurora Fitnes Lite-194</t>
        </is>
      </c>
      <c r="D3261" s="58" t="inlineStr">
        <is>
          <t>Sports</t>
        </is>
      </c>
      <c r="E3261" s="58" t="inlineStr">
        <is>
          <t>East</t>
        </is>
      </c>
      <c r="F3261" s="61" t="n">
        <v>3</v>
      </c>
      <c r="G3261" s="62" t="n">
        <v>715.9400000000001</v>
      </c>
      <c r="H3261" s="63" t="n">
        <v>0.134</v>
      </c>
      <c r="I3261" s="62" t="n">
        <v>464.42</v>
      </c>
      <c r="J3261" s="58" t="inlineStr">
        <is>
          <t>Store</t>
        </is>
      </c>
      <c r="K3261" s="62">
        <f>F3261*(G3261-H3261)</f>
        <v/>
      </c>
      <c r="L3261" s="62">
        <f>K3261-(F3261*I3261)</f>
        <v/>
      </c>
      <c r="M3261" s="64">
        <f>L3261/K3261</f>
        <v/>
      </c>
    </row>
    <row r="3262">
      <c r="A3262" s="58" t="inlineStr">
        <is>
          <t>RT20250324-03261</t>
        </is>
      </c>
      <c r="B3262" s="59" t="inlineStr">
        <is>
          <t>2025-03-24</t>
        </is>
      </c>
      <c r="C3262" s="60" t="inlineStr">
        <is>
          <t>Metro Pantry X-710</t>
        </is>
      </c>
      <c r="D3262" s="58" t="inlineStr">
        <is>
          <t>Grocery</t>
        </is>
      </c>
      <c r="E3262" s="58" t="inlineStr">
        <is>
          <t>Central</t>
        </is>
      </c>
      <c r="F3262" s="61" t="n">
        <v>4</v>
      </c>
      <c r="G3262" s="62" t="n">
        <v>4.97</v>
      </c>
      <c r="H3262" s="63" t="n">
        <v>0.058</v>
      </c>
      <c r="I3262" s="62" t="n">
        <v>4.12</v>
      </c>
      <c r="J3262" s="58" t="inlineStr">
        <is>
          <t>Online</t>
        </is>
      </c>
      <c r="K3262" s="62">
        <f>F3262*(G3262-H3262)</f>
        <v/>
      </c>
      <c r="L3262" s="62">
        <f>K3262-(F3262*I3262)</f>
        <v/>
      </c>
      <c r="M3262" s="64">
        <f>L3262/K3262</f>
        <v/>
      </c>
    </row>
    <row r="3263">
      <c r="A3263" s="58" t="inlineStr">
        <is>
          <t>RT20250324-03262</t>
        </is>
      </c>
      <c r="B3263" s="59" t="inlineStr">
        <is>
          <t>2025-03-24</t>
        </is>
      </c>
      <c r="C3263" s="60" t="inlineStr">
        <is>
          <t>Falcon Cycling Pro-499</t>
        </is>
      </c>
      <c r="D3263" s="58" t="inlineStr">
        <is>
          <t>Sports</t>
        </is>
      </c>
      <c r="E3263" s="58" t="inlineStr">
        <is>
          <t>East</t>
        </is>
      </c>
      <c r="F3263" s="61" t="n">
        <v>2</v>
      </c>
      <c r="G3263" s="62" t="n">
        <v>597.02</v>
      </c>
      <c r="H3263" s="63" t="n">
        <v>0.09</v>
      </c>
      <c r="I3263" s="62" t="n">
        <v>394.03</v>
      </c>
      <c r="J3263" s="58" t="inlineStr">
        <is>
          <t>Online</t>
        </is>
      </c>
      <c r="K3263" s="62">
        <f>F3263*(G3263-H3263)</f>
        <v/>
      </c>
      <c r="L3263" s="62">
        <f>K3263-(F3263*I3263)</f>
        <v/>
      </c>
      <c r="M3263" s="64">
        <f>L3263/K3263</f>
        <v/>
      </c>
    </row>
    <row r="3264">
      <c r="A3264" s="58" t="inlineStr">
        <is>
          <t>RT20250325-03263</t>
        </is>
      </c>
      <c r="B3264" s="59" t="inlineStr">
        <is>
          <t>2025-03-25</t>
        </is>
      </c>
      <c r="C3264" s="60" t="inlineStr">
        <is>
          <t>Nimbus Storage Plus-646</t>
        </is>
      </c>
      <c r="D3264" s="58" t="inlineStr">
        <is>
          <t>Office</t>
        </is>
      </c>
      <c r="E3264" s="58" t="inlineStr">
        <is>
          <t>North</t>
        </is>
      </c>
      <c r="F3264" s="61" t="n">
        <v>1</v>
      </c>
      <c r="G3264" s="62" t="n">
        <v>443.72</v>
      </c>
      <c r="H3264" s="63" t="n">
        <v>0.06</v>
      </c>
      <c r="I3264" s="62" t="n">
        <v>316.47</v>
      </c>
      <c r="J3264" s="58" t="inlineStr">
        <is>
          <t>Store</t>
        </is>
      </c>
      <c r="K3264" s="62">
        <f>F3264*(G3264-H3264)</f>
        <v/>
      </c>
      <c r="L3264" s="62">
        <f>K3264-(F3264*I3264)</f>
        <v/>
      </c>
      <c r="M3264" s="64">
        <f>L3264/K3264</f>
        <v/>
      </c>
    </row>
    <row r="3265">
      <c r="A3265" s="58" t="inlineStr">
        <is>
          <t>RT20250325-03264</t>
        </is>
      </c>
      <c r="B3265" s="59" t="inlineStr">
        <is>
          <t>2025-03-25</t>
        </is>
      </c>
      <c r="C3265" s="60" t="inlineStr">
        <is>
          <t>Solace Headphone Pro-344</t>
        </is>
      </c>
      <c r="D3265" s="58" t="inlineStr">
        <is>
          <t>Electronics</t>
        </is>
      </c>
      <c r="E3265" s="58" t="inlineStr">
        <is>
          <t>North</t>
        </is>
      </c>
      <c r="F3265" s="61" t="n">
        <v>1</v>
      </c>
      <c r="G3265" s="62" t="n">
        <v>1499.17</v>
      </c>
      <c r="H3265" s="63" t="n">
        <v>0.136</v>
      </c>
      <c r="I3265" s="62" t="n">
        <v>1079.21</v>
      </c>
      <c r="J3265" s="58" t="inlineStr">
        <is>
          <t>Online</t>
        </is>
      </c>
      <c r="K3265" s="62">
        <f>F3265*(G3265-H3265)</f>
        <v/>
      </c>
      <c r="L3265" s="62">
        <f>K3265-(F3265*I3265)</f>
        <v/>
      </c>
      <c r="M3265" s="64">
        <f>L3265/K3265</f>
        <v/>
      </c>
    </row>
    <row r="3266">
      <c r="A3266" s="58" t="inlineStr">
        <is>
          <t>RT20250325-03265</t>
        </is>
      </c>
      <c r="B3266" s="59" t="inlineStr">
        <is>
          <t>2025-03-25</t>
        </is>
      </c>
      <c r="C3266" s="60" t="inlineStr">
        <is>
          <t>Nimbus Furniture Pro-479</t>
        </is>
      </c>
      <c r="D3266" s="58" t="inlineStr">
        <is>
          <t>Office</t>
        </is>
      </c>
      <c r="E3266" s="58" t="inlineStr">
        <is>
          <t>South</t>
        </is>
      </c>
      <c r="F3266" s="61" t="n">
        <v>3</v>
      </c>
      <c r="G3266" s="62" t="n">
        <v>320.41</v>
      </c>
      <c r="H3266" s="63" t="n">
        <v>0.114</v>
      </c>
      <c r="I3266" s="62" t="n">
        <v>243.41</v>
      </c>
      <c r="J3266" s="58" t="inlineStr">
        <is>
          <t>Online</t>
        </is>
      </c>
      <c r="K3266" s="62">
        <f>F3266*(G3266-H3266)</f>
        <v/>
      </c>
      <c r="L3266" s="62">
        <f>K3266-(F3266*I3266)</f>
        <v/>
      </c>
      <c r="M3266" s="64">
        <f>L3266/K3266</f>
        <v/>
      </c>
    </row>
    <row r="3267">
      <c r="A3267" s="58" t="inlineStr">
        <is>
          <t>RT20250325-03266</t>
        </is>
      </c>
      <c r="B3267" s="59" t="inlineStr">
        <is>
          <t>2025-03-25</t>
        </is>
      </c>
      <c r="C3267" s="60" t="inlineStr">
        <is>
          <t>Vertex Pantry Pro-165</t>
        </is>
      </c>
      <c r="D3267" s="58" t="inlineStr">
        <is>
          <t>Grocery</t>
        </is>
      </c>
      <c r="E3267" s="58" t="inlineStr">
        <is>
          <t>West</t>
        </is>
      </c>
      <c r="F3267" s="61" t="n">
        <v>5</v>
      </c>
      <c r="G3267" s="62" t="n">
        <v>15.84</v>
      </c>
      <c r="H3267" s="63" t="n">
        <v>0.033</v>
      </c>
      <c r="I3267" s="62" t="n">
        <v>11.86</v>
      </c>
      <c r="J3267" s="58" t="inlineStr">
        <is>
          <t>Store</t>
        </is>
      </c>
      <c r="K3267" s="62">
        <f>F3267*(G3267-H3267)</f>
        <v/>
      </c>
      <c r="L3267" s="62">
        <f>K3267-(F3267*I3267)</f>
        <v/>
      </c>
      <c r="M3267" s="64">
        <f>L3267/K3267</f>
        <v/>
      </c>
    </row>
    <row r="3268">
      <c r="A3268" s="58" t="inlineStr">
        <is>
          <t>RT20250325-03267</t>
        </is>
      </c>
      <c r="B3268" s="59" t="inlineStr">
        <is>
          <t>2025-03-25</t>
        </is>
      </c>
      <c r="C3268" s="60" t="inlineStr">
        <is>
          <t>Aurora Haircare S-975</t>
        </is>
      </c>
      <c r="D3268" s="58" t="inlineStr">
        <is>
          <t>Beauty</t>
        </is>
      </c>
      <c r="E3268" s="58" t="inlineStr">
        <is>
          <t>East</t>
        </is>
      </c>
      <c r="F3268" s="61" t="n">
        <v>2</v>
      </c>
      <c r="G3268" s="62" t="n">
        <v>100.54</v>
      </c>
      <c r="H3268" s="63" t="n">
        <v>0.096</v>
      </c>
      <c r="I3268" s="62" t="n">
        <v>58.15</v>
      </c>
      <c r="J3268" s="58" t="inlineStr">
        <is>
          <t>Online</t>
        </is>
      </c>
      <c r="K3268" s="62">
        <f>F3268*(G3268-H3268)</f>
        <v/>
      </c>
      <c r="L3268" s="62">
        <f>K3268-(F3268*I3268)</f>
        <v/>
      </c>
      <c r="M3268" s="64">
        <f>L3268/K3268</f>
        <v/>
      </c>
    </row>
    <row r="3269">
      <c r="A3269" s="58" t="inlineStr">
        <is>
          <t>RT20250325-03268</t>
        </is>
      </c>
      <c r="B3269" s="59" t="inlineStr">
        <is>
          <t>2025-03-25</t>
        </is>
      </c>
      <c r="C3269" s="60" t="inlineStr">
        <is>
          <t>Orion Fragrance Lite-785</t>
        </is>
      </c>
      <c r="D3269" s="58" t="inlineStr">
        <is>
          <t>Beauty</t>
        </is>
      </c>
      <c r="E3269" s="58" t="inlineStr">
        <is>
          <t>South</t>
        </is>
      </c>
      <c r="F3269" s="61" t="n">
        <v>2</v>
      </c>
      <c r="G3269" s="62" t="n">
        <v>42.91</v>
      </c>
      <c r="H3269" s="63" t="n">
        <v>0.167</v>
      </c>
      <c r="I3269" s="62" t="n">
        <v>26.17</v>
      </c>
      <c r="J3269" s="58" t="inlineStr">
        <is>
          <t>Store</t>
        </is>
      </c>
      <c r="K3269" s="62">
        <f>F3269*(G3269-H3269)</f>
        <v/>
      </c>
      <c r="L3269" s="62">
        <f>K3269-(F3269*I3269)</f>
        <v/>
      </c>
      <c r="M3269" s="64">
        <f>L3269/K3269</f>
        <v/>
      </c>
    </row>
    <row r="3270">
      <c r="A3270" s="58" t="inlineStr">
        <is>
          <t>RT20250325-03269</t>
        </is>
      </c>
      <c r="B3270" s="59" t="inlineStr">
        <is>
          <t>2025-03-25</t>
        </is>
      </c>
      <c r="C3270" s="60" t="inlineStr">
        <is>
          <t>Metro Wearable Plus-234</t>
        </is>
      </c>
      <c r="D3270" s="58" t="inlineStr">
        <is>
          <t>Electronics</t>
        </is>
      </c>
      <c r="E3270" s="58" t="inlineStr">
        <is>
          <t>East</t>
        </is>
      </c>
      <c r="F3270" s="61" t="n">
        <v>1</v>
      </c>
      <c r="G3270" s="62" t="n">
        <v>1719.97</v>
      </c>
      <c r="H3270" s="63" t="n">
        <v>0.067</v>
      </c>
      <c r="I3270" s="62" t="n">
        <v>1176.05</v>
      </c>
      <c r="J3270" s="58" t="inlineStr">
        <is>
          <t>Store</t>
        </is>
      </c>
      <c r="K3270" s="62">
        <f>F3270*(G3270-H3270)</f>
        <v/>
      </c>
      <c r="L3270" s="62">
        <f>K3270-(F3270*I3270)</f>
        <v/>
      </c>
      <c r="M3270" s="64">
        <f>L3270/K3270</f>
        <v/>
      </c>
    </row>
    <row r="3271">
      <c r="A3271" s="58" t="inlineStr">
        <is>
          <t>RT20250325-03270</t>
        </is>
      </c>
      <c r="B3271" s="59" t="inlineStr">
        <is>
          <t>2025-03-25</t>
        </is>
      </c>
      <c r="C3271" s="60" t="inlineStr">
        <is>
          <t>Polar Pantry Lite-392</t>
        </is>
      </c>
      <c r="D3271" s="58" t="inlineStr">
        <is>
          <t>Grocery</t>
        </is>
      </c>
      <c r="E3271" s="58" t="inlineStr">
        <is>
          <t>West</t>
        </is>
      </c>
      <c r="F3271" s="61" t="n">
        <v>8</v>
      </c>
      <c r="G3271" s="62" t="n">
        <v>6.29</v>
      </c>
      <c r="H3271" s="63" t="n">
        <v>0.08799999999999999</v>
      </c>
      <c r="I3271" s="62" t="n">
        <v>4.65</v>
      </c>
      <c r="J3271" s="58" t="inlineStr">
        <is>
          <t>Online</t>
        </is>
      </c>
      <c r="K3271" s="62">
        <f>F3271*(G3271-H3271)</f>
        <v/>
      </c>
      <c r="L3271" s="62">
        <f>K3271-(F3271*I3271)</f>
        <v/>
      </c>
      <c r="M3271" s="64">
        <f>L3271/K3271</f>
        <v/>
      </c>
    </row>
    <row r="3272">
      <c r="A3272" s="58" t="inlineStr">
        <is>
          <t>RT20250325-03271</t>
        </is>
      </c>
      <c r="B3272" s="59" t="inlineStr">
        <is>
          <t>2025-03-25</t>
        </is>
      </c>
      <c r="C3272" s="60" t="inlineStr">
        <is>
          <t>Orion Fragrance Lite-785</t>
        </is>
      </c>
      <c r="D3272" s="58" t="inlineStr">
        <is>
          <t>Beauty</t>
        </is>
      </c>
      <c r="E3272" s="58" t="inlineStr">
        <is>
          <t>East</t>
        </is>
      </c>
      <c r="F3272" s="61" t="n">
        <v>3</v>
      </c>
      <c r="G3272" s="62" t="n">
        <v>39.7</v>
      </c>
      <c r="H3272" s="63" t="n">
        <v>0.109</v>
      </c>
      <c r="I3272" s="62" t="n">
        <v>26.08</v>
      </c>
      <c r="J3272" s="58" t="inlineStr">
        <is>
          <t>Online</t>
        </is>
      </c>
      <c r="K3272" s="62">
        <f>F3272*(G3272-H3272)</f>
        <v/>
      </c>
      <c r="L3272" s="62">
        <f>K3272-(F3272*I3272)</f>
        <v/>
      </c>
      <c r="M3272" s="64">
        <f>L3272/K3272</f>
        <v/>
      </c>
    </row>
    <row r="3273">
      <c r="A3273" s="58" t="inlineStr">
        <is>
          <t>RT20250325-03272</t>
        </is>
      </c>
      <c r="B3273" s="59" t="inlineStr">
        <is>
          <t>2025-03-25</t>
        </is>
      </c>
      <c r="C3273" s="60" t="inlineStr">
        <is>
          <t>Orion Kid Max-864</t>
        </is>
      </c>
      <c r="D3273" s="58" t="inlineStr">
        <is>
          <t>Apparel</t>
        </is>
      </c>
      <c r="E3273" s="58" t="inlineStr">
        <is>
          <t>North</t>
        </is>
      </c>
      <c r="F3273" s="61" t="n">
        <v>4</v>
      </c>
      <c r="G3273" s="62" t="n">
        <v>73.13</v>
      </c>
      <c r="H3273" s="63" t="n">
        <v>0.11</v>
      </c>
      <c r="I3273" s="62" t="n">
        <v>46.15</v>
      </c>
      <c r="J3273" s="58" t="inlineStr">
        <is>
          <t>Online</t>
        </is>
      </c>
      <c r="K3273" s="62">
        <f>F3273*(G3273-H3273)</f>
        <v/>
      </c>
      <c r="L3273" s="62">
        <f>K3273-(F3273*I3273)</f>
        <v/>
      </c>
      <c r="M3273" s="64">
        <f>L3273/K3273</f>
        <v/>
      </c>
    </row>
    <row r="3274">
      <c r="A3274" s="58" t="inlineStr">
        <is>
          <t>RT20250325-03273</t>
        </is>
      </c>
      <c r="B3274" s="59" t="inlineStr">
        <is>
          <t>2025-03-25</t>
        </is>
      </c>
      <c r="C3274" s="60" t="inlineStr">
        <is>
          <t>Orion Storage Plus-961</t>
        </is>
      </c>
      <c r="D3274" s="58" t="inlineStr">
        <is>
          <t>Office</t>
        </is>
      </c>
      <c r="E3274" s="58" t="inlineStr">
        <is>
          <t>Central</t>
        </is>
      </c>
      <c r="F3274" s="61" t="n">
        <v>3</v>
      </c>
      <c r="G3274" s="62" t="n">
        <v>555.1</v>
      </c>
      <c r="H3274" s="63" t="n">
        <v>0.108</v>
      </c>
      <c r="I3274" s="62" t="n">
        <v>368.91</v>
      </c>
      <c r="J3274" s="58" t="inlineStr">
        <is>
          <t>Online</t>
        </is>
      </c>
      <c r="K3274" s="62">
        <f>F3274*(G3274-H3274)</f>
        <v/>
      </c>
      <c r="L3274" s="62">
        <f>K3274-(F3274*I3274)</f>
        <v/>
      </c>
      <c r="M3274" s="64">
        <f>L3274/K3274</f>
        <v/>
      </c>
    </row>
    <row r="3275">
      <c r="A3275" s="58" t="inlineStr">
        <is>
          <t>RT20250325-03274</t>
        </is>
      </c>
      <c r="B3275" s="59" t="inlineStr">
        <is>
          <t>2025-03-25</t>
        </is>
      </c>
      <c r="C3275" s="60" t="inlineStr">
        <is>
          <t>Aurora Wearable Lite-162</t>
        </is>
      </c>
      <c r="D3275" s="58" t="inlineStr">
        <is>
          <t>Electronics</t>
        </is>
      </c>
      <c r="E3275" s="58" t="inlineStr">
        <is>
          <t>North</t>
        </is>
      </c>
      <c r="F3275" s="61" t="n">
        <v>2</v>
      </c>
      <c r="G3275" s="62" t="n">
        <v>1559.84</v>
      </c>
      <c r="H3275" s="63" t="n">
        <v>0.051</v>
      </c>
      <c r="I3275" s="62" t="n">
        <v>1177.41</v>
      </c>
      <c r="J3275" s="58" t="inlineStr">
        <is>
          <t>Online</t>
        </is>
      </c>
      <c r="K3275" s="62">
        <f>F3275*(G3275-H3275)</f>
        <v/>
      </c>
      <c r="L3275" s="62">
        <f>K3275-(F3275*I3275)</f>
        <v/>
      </c>
      <c r="M3275" s="64">
        <f>L3275/K3275</f>
        <v/>
      </c>
    </row>
    <row r="3276">
      <c r="A3276" s="58" t="inlineStr">
        <is>
          <t>RT20250325-03275</t>
        </is>
      </c>
      <c r="B3276" s="59" t="inlineStr">
        <is>
          <t>2025-03-25</t>
        </is>
      </c>
      <c r="C3276" s="60" t="inlineStr">
        <is>
          <t>Orion Beverage Plus-949</t>
        </is>
      </c>
      <c r="D3276" s="58" t="inlineStr">
        <is>
          <t>Grocery</t>
        </is>
      </c>
      <c r="E3276" s="58" t="inlineStr">
        <is>
          <t>North</t>
        </is>
      </c>
      <c r="F3276" s="61" t="n">
        <v>3</v>
      </c>
      <c r="G3276" s="62" t="n">
        <v>17.6</v>
      </c>
      <c r="H3276" s="63" t="n">
        <v>0.101</v>
      </c>
      <c r="I3276" s="62" t="n">
        <v>13.56</v>
      </c>
      <c r="J3276" s="58" t="inlineStr">
        <is>
          <t>Online</t>
        </is>
      </c>
      <c r="K3276" s="62">
        <f>F3276*(G3276-H3276)</f>
        <v/>
      </c>
      <c r="L3276" s="62">
        <f>K3276-(F3276*I3276)</f>
        <v/>
      </c>
      <c r="M3276" s="64">
        <f>L3276/K3276</f>
        <v/>
      </c>
    </row>
    <row r="3277">
      <c r="A3277" s="58" t="inlineStr">
        <is>
          <t>RT20250325-03276</t>
        </is>
      </c>
      <c r="B3277" s="59" t="inlineStr">
        <is>
          <t>2025-03-25</t>
        </is>
      </c>
      <c r="C3277" s="60" t="inlineStr">
        <is>
          <t>Solace Headphone Pro-344</t>
        </is>
      </c>
      <c r="D3277" s="58" t="inlineStr">
        <is>
          <t>Electronics</t>
        </is>
      </c>
      <c r="E3277" s="58" t="inlineStr">
        <is>
          <t>West</t>
        </is>
      </c>
      <c r="F3277" s="61" t="n">
        <v>2</v>
      </c>
      <c r="G3277" s="62" t="n">
        <v>1462.89</v>
      </c>
      <c r="H3277" s="63" t="n">
        <v>0.098</v>
      </c>
      <c r="I3277" s="62" t="n">
        <v>1088.2</v>
      </c>
      <c r="J3277" s="58" t="inlineStr">
        <is>
          <t>Store</t>
        </is>
      </c>
      <c r="K3277" s="62">
        <f>F3277*(G3277-H3277)</f>
        <v/>
      </c>
      <c r="L3277" s="62">
        <f>K3277-(F3277*I3277)</f>
        <v/>
      </c>
      <c r="M3277" s="64">
        <f>L3277/K3277</f>
        <v/>
      </c>
    </row>
    <row r="3278">
      <c r="A3278" s="58" t="inlineStr">
        <is>
          <t>RT20250325-03277</t>
        </is>
      </c>
      <c r="B3278" s="59" t="inlineStr">
        <is>
          <t>2025-03-25</t>
        </is>
      </c>
      <c r="C3278" s="60" t="inlineStr">
        <is>
          <t>Vertex Appliance Max-338</t>
        </is>
      </c>
      <c r="D3278" s="58" t="inlineStr">
        <is>
          <t>Home</t>
        </is>
      </c>
      <c r="E3278" s="58" t="inlineStr">
        <is>
          <t>South</t>
        </is>
      </c>
      <c r="F3278" s="61" t="n">
        <v>3</v>
      </c>
      <c r="G3278" s="62" t="n">
        <v>425.73</v>
      </c>
      <c r="H3278" s="63" t="n">
        <v>0.07099999999999999</v>
      </c>
      <c r="I3278" s="62" t="n">
        <v>281.12</v>
      </c>
      <c r="J3278" s="58" t="inlineStr">
        <is>
          <t>Phone</t>
        </is>
      </c>
      <c r="K3278" s="62">
        <f>F3278*(G3278-H3278)</f>
        <v/>
      </c>
      <c r="L3278" s="62">
        <f>K3278-(F3278*I3278)</f>
        <v/>
      </c>
      <c r="M3278" s="64">
        <f>L3278/K3278</f>
        <v/>
      </c>
    </row>
    <row r="3279">
      <c r="A3279" s="58" t="inlineStr">
        <is>
          <t>RT20250325-03278</t>
        </is>
      </c>
      <c r="B3279" s="59" t="inlineStr">
        <is>
          <t>2025-03-25</t>
        </is>
      </c>
      <c r="C3279" s="60" t="inlineStr">
        <is>
          <t>Metro Fragrance Lite-261</t>
        </is>
      </c>
      <c r="D3279" s="58" t="inlineStr">
        <is>
          <t>Beauty</t>
        </is>
      </c>
      <c r="E3279" s="58" t="inlineStr">
        <is>
          <t>Central</t>
        </is>
      </c>
      <c r="F3279" s="61" t="n">
        <v>1</v>
      </c>
      <c r="G3279" s="62" t="n">
        <v>94.95</v>
      </c>
      <c r="H3279" s="63" t="n">
        <v>0.176</v>
      </c>
      <c r="I3279" s="62" t="n">
        <v>57.07</v>
      </c>
      <c r="J3279" s="58" t="inlineStr">
        <is>
          <t>Store</t>
        </is>
      </c>
      <c r="K3279" s="62">
        <f>F3279*(G3279-H3279)</f>
        <v/>
      </c>
      <c r="L3279" s="62">
        <f>K3279-(F3279*I3279)</f>
        <v/>
      </c>
      <c r="M3279" s="64">
        <f>L3279/K3279</f>
        <v/>
      </c>
    </row>
    <row r="3280">
      <c r="A3280" s="58" t="inlineStr">
        <is>
          <t>RT20250325-03279</t>
        </is>
      </c>
      <c r="B3280" s="59" t="inlineStr">
        <is>
          <t>2025-03-25</t>
        </is>
      </c>
      <c r="C3280" s="60" t="inlineStr">
        <is>
          <t>Metro Pantry Max-180</t>
        </is>
      </c>
      <c r="D3280" s="58" t="inlineStr">
        <is>
          <t>Grocery</t>
        </is>
      </c>
      <c r="E3280" s="58" t="inlineStr">
        <is>
          <t>South</t>
        </is>
      </c>
      <c r="F3280" s="61" t="n">
        <v>2</v>
      </c>
      <c r="G3280" s="62" t="n">
        <v>9.5</v>
      </c>
      <c r="H3280" s="63" t="n">
        <v>0.131</v>
      </c>
      <c r="I3280" s="62" t="n">
        <v>6.73</v>
      </c>
      <c r="J3280" s="58" t="inlineStr">
        <is>
          <t>Online</t>
        </is>
      </c>
      <c r="K3280" s="62">
        <f>F3280*(G3280-H3280)</f>
        <v/>
      </c>
      <c r="L3280" s="62">
        <f>K3280-(F3280*I3280)</f>
        <v/>
      </c>
      <c r="M3280" s="64">
        <f>L3280/K3280</f>
        <v/>
      </c>
    </row>
    <row r="3281">
      <c r="A3281" s="58" t="inlineStr">
        <is>
          <t>RT20250325-03280</t>
        </is>
      </c>
      <c r="B3281" s="59" t="inlineStr">
        <is>
          <t>2025-03-25</t>
        </is>
      </c>
      <c r="C3281" s="60" t="inlineStr">
        <is>
          <t>Vertex Smartphone Pro-256</t>
        </is>
      </c>
      <c r="D3281" s="58" t="inlineStr">
        <is>
          <t>Electronics</t>
        </is>
      </c>
      <c r="E3281" s="58" t="inlineStr">
        <is>
          <t>North</t>
        </is>
      </c>
      <c r="F3281" s="61" t="n">
        <v>2</v>
      </c>
      <c r="G3281" s="62" t="n">
        <v>1352.5</v>
      </c>
      <c r="H3281" s="63" t="n">
        <v>0.095</v>
      </c>
      <c r="I3281" s="62" t="n">
        <v>926.47</v>
      </c>
      <c r="J3281" s="58" t="inlineStr">
        <is>
          <t>Store</t>
        </is>
      </c>
      <c r="K3281" s="62">
        <f>F3281*(G3281-H3281)</f>
        <v/>
      </c>
      <c r="L3281" s="62">
        <f>K3281-(F3281*I3281)</f>
        <v/>
      </c>
      <c r="M3281" s="64">
        <f>L3281/K3281</f>
        <v/>
      </c>
    </row>
    <row r="3282">
      <c r="A3282" s="58" t="inlineStr">
        <is>
          <t>RT20250325-03281</t>
        </is>
      </c>
      <c r="B3282" s="59" t="inlineStr">
        <is>
          <t>2025-03-25</t>
        </is>
      </c>
      <c r="C3282" s="60" t="inlineStr">
        <is>
          <t>Falcon Household Pro-865</t>
        </is>
      </c>
      <c r="D3282" s="58" t="inlineStr">
        <is>
          <t>Grocery</t>
        </is>
      </c>
      <c r="E3282" s="58" t="inlineStr">
        <is>
          <t>Central</t>
        </is>
      </c>
      <c r="F3282" s="61" t="n">
        <v>4</v>
      </c>
      <c r="G3282" s="62" t="n">
        <v>10.78</v>
      </c>
      <c r="H3282" s="63" t="n">
        <v>0.121</v>
      </c>
      <c r="I3282" s="62" t="n">
        <v>7.55</v>
      </c>
      <c r="J3282" s="58" t="inlineStr">
        <is>
          <t>Online</t>
        </is>
      </c>
      <c r="K3282" s="62">
        <f>F3282*(G3282-H3282)</f>
        <v/>
      </c>
      <c r="L3282" s="62">
        <f>K3282-(F3282*I3282)</f>
        <v/>
      </c>
      <c r="M3282" s="64">
        <f>L3282/K3282</f>
        <v/>
      </c>
    </row>
    <row r="3283">
      <c r="A3283" s="58" t="inlineStr">
        <is>
          <t>RT20250325-03282</t>
        </is>
      </c>
      <c r="B3283" s="59" t="inlineStr">
        <is>
          <t>2025-03-25</t>
        </is>
      </c>
      <c r="C3283" s="60" t="inlineStr">
        <is>
          <t>Polar Bedding Lite-243</t>
        </is>
      </c>
      <c r="D3283" s="58" t="inlineStr">
        <is>
          <t>Home</t>
        </is>
      </c>
      <c r="E3283" s="58" t="inlineStr">
        <is>
          <t>West</t>
        </is>
      </c>
      <c r="F3283" s="61" t="n">
        <v>2</v>
      </c>
      <c r="G3283" s="62" t="n">
        <v>384.52</v>
      </c>
      <c r="H3283" s="63" t="n">
        <v>0.103</v>
      </c>
      <c r="I3283" s="62" t="n">
        <v>323.08</v>
      </c>
      <c r="J3283" s="58" t="inlineStr">
        <is>
          <t>Online</t>
        </is>
      </c>
      <c r="K3283" s="62">
        <f>F3283*(G3283-H3283)</f>
        <v/>
      </c>
      <c r="L3283" s="62">
        <f>K3283-(F3283*I3283)</f>
        <v/>
      </c>
      <c r="M3283" s="64">
        <f>L3283/K3283</f>
        <v/>
      </c>
    </row>
    <row r="3284">
      <c r="A3284" s="58" t="inlineStr">
        <is>
          <t>RT20250325-03283</t>
        </is>
      </c>
      <c r="B3284" s="59" t="inlineStr">
        <is>
          <t>2025-03-25</t>
        </is>
      </c>
      <c r="C3284" s="60" t="inlineStr">
        <is>
          <t>Orion Haircare Plus-887</t>
        </is>
      </c>
      <c r="D3284" s="58" t="inlineStr">
        <is>
          <t>Beauty</t>
        </is>
      </c>
      <c r="E3284" s="58" t="inlineStr">
        <is>
          <t>North</t>
        </is>
      </c>
      <c r="F3284" s="61" t="n">
        <v>2</v>
      </c>
      <c r="G3284" s="62" t="n">
        <v>42.89</v>
      </c>
      <c r="H3284" s="63" t="n">
        <v>0.057</v>
      </c>
      <c r="I3284" s="62" t="n">
        <v>30.5</v>
      </c>
      <c r="J3284" s="58" t="inlineStr">
        <is>
          <t>Online</t>
        </is>
      </c>
      <c r="K3284" s="62">
        <f>F3284*(G3284-H3284)</f>
        <v/>
      </c>
      <c r="L3284" s="62">
        <f>K3284-(F3284*I3284)</f>
        <v/>
      </c>
      <c r="M3284" s="64">
        <f>L3284/K3284</f>
        <v/>
      </c>
    </row>
    <row r="3285">
      <c r="A3285" s="58" t="inlineStr">
        <is>
          <t>RT20250325-03284</t>
        </is>
      </c>
      <c r="B3285" s="59" t="inlineStr">
        <is>
          <t>2025-03-25</t>
        </is>
      </c>
      <c r="C3285" s="60" t="inlineStr">
        <is>
          <t>Falcon Cycling Pro-499</t>
        </is>
      </c>
      <c r="D3285" s="58" t="inlineStr">
        <is>
          <t>Sports</t>
        </is>
      </c>
      <c r="E3285" s="58" t="inlineStr">
        <is>
          <t>West</t>
        </is>
      </c>
      <c r="F3285" s="61" t="n">
        <v>3</v>
      </c>
      <c r="G3285" s="62" t="n">
        <v>584.6</v>
      </c>
      <c r="H3285" s="63" t="n">
        <v>0.162</v>
      </c>
      <c r="I3285" s="62" t="n">
        <v>396.97</v>
      </c>
      <c r="J3285" s="58" t="inlineStr">
        <is>
          <t>Online</t>
        </is>
      </c>
      <c r="K3285" s="62">
        <f>F3285*(G3285-H3285)</f>
        <v/>
      </c>
      <c r="L3285" s="62">
        <f>K3285-(F3285*I3285)</f>
        <v/>
      </c>
      <c r="M3285" s="64">
        <f>L3285/K3285</f>
        <v/>
      </c>
    </row>
    <row r="3286">
      <c r="A3286" s="58" t="inlineStr">
        <is>
          <t>RT20250326-03285</t>
        </is>
      </c>
      <c r="B3286" s="59" t="inlineStr">
        <is>
          <t>2025-03-26</t>
        </is>
      </c>
      <c r="C3286" s="60" t="inlineStr">
        <is>
          <t>Nimbus Laptop Max-652</t>
        </is>
      </c>
      <c r="D3286" s="58" t="inlineStr">
        <is>
          <t>Electronics</t>
        </is>
      </c>
      <c r="E3286" s="58" t="inlineStr">
        <is>
          <t>East</t>
        </is>
      </c>
      <c r="F3286" s="61" t="n">
        <v>1</v>
      </c>
      <c r="G3286" s="62" t="n">
        <v>1376.79</v>
      </c>
      <c r="H3286" s="63" t="n">
        <v>0.098</v>
      </c>
      <c r="I3286" s="62" t="n">
        <v>1023.09</v>
      </c>
      <c r="J3286" s="58" t="inlineStr">
        <is>
          <t>Store</t>
        </is>
      </c>
      <c r="K3286" s="62">
        <f>F3286*(G3286-H3286)</f>
        <v/>
      </c>
      <c r="L3286" s="62">
        <f>K3286-(F3286*I3286)</f>
        <v/>
      </c>
      <c r="M3286" s="64">
        <f>L3286/K3286</f>
        <v/>
      </c>
    </row>
    <row r="3287">
      <c r="A3287" s="58" t="inlineStr">
        <is>
          <t>RT20250326-03286</t>
        </is>
      </c>
      <c r="B3287" s="59" t="inlineStr">
        <is>
          <t>2025-03-26</t>
        </is>
      </c>
      <c r="C3287" s="60" t="inlineStr">
        <is>
          <t>Metro Decor Lite-325</t>
        </is>
      </c>
      <c r="D3287" s="58" t="inlineStr">
        <is>
          <t>Home</t>
        </is>
      </c>
      <c r="E3287" s="58" t="inlineStr">
        <is>
          <t>South</t>
        </is>
      </c>
      <c r="F3287" s="61" t="n">
        <v>3</v>
      </c>
      <c r="G3287" s="62" t="n">
        <v>541.97</v>
      </c>
      <c r="H3287" s="63" t="n">
        <v>0.13</v>
      </c>
      <c r="I3287" s="62" t="n">
        <v>374.84</v>
      </c>
      <c r="J3287" s="58" t="inlineStr">
        <is>
          <t>Phone</t>
        </is>
      </c>
      <c r="K3287" s="62">
        <f>F3287*(G3287-H3287)</f>
        <v/>
      </c>
      <c r="L3287" s="62">
        <f>K3287-(F3287*I3287)</f>
        <v/>
      </c>
      <c r="M3287" s="64">
        <f>L3287/K3287</f>
        <v/>
      </c>
    </row>
    <row r="3288">
      <c r="A3288" s="58" t="inlineStr">
        <is>
          <t>RT20250326-03287</t>
        </is>
      </c>
      <c r="B3288" s="59" t="inlineStr">
        <is>
          <t>2025-03-26</t>
        </is>
      </c>
      <c r="C3288" s="60" t="inlineStr">
        <is>
          <t>Metro Pantry Max-180</t>
        </is>
      </c>
      <c r="D3288" s="58" t="inlineStr">
        <is>
          <t>Grocery</t>
        </is>
      </c>
      <c r="E3288" s="58" t="inlineStr">
        <is>
          <t>North</t>
        </is>
      </c>
      <c r="F3288" s="61" t="n">
        <v>6</v>
      </c>
      <c r="G3288" s="62" t="n">
        <v>9.07</v>
      </c>
      <c r="H3288" s="63" t="n">
        <v>0.11</v>
      </c>
      <c r="I3288" s="62" t="n">
        <v>6.56</v>
      </c>
      <c r="J3288" s="58" t="inlineStr">
        <is>
          <t>Store</t>
        </is>
      </c>
      <c r="K3288" s="62">
        <f>F3288*(G3288-H3288)</f>
        <v/>
      </c>
      <c r="L3288" s="62">
        <f>K3288-(F3288*I3288)</f>
        <v/>
      </c>
      <c r="M3288" s="64">
        <f>L3288/K3288</f>
        <v/>
      </c>
    </row>
    <row r="3289">
      <c r="A3289" s="58" t="inlineStr">
        <is>
          <t>RT20250326-03288</t>
        </is>
      </c>
      <c r="B3289" s="59" t="inlineStr">
        <is>
          <t>2025-03-26</t>
        </is>
      </c>
      <c r="C3289" s="60" t="inlineStr">
        <is>
          <t>Metro Outdoor Plus-787</t>
        </is>
      </c>
      <c r="D3289" s="58" t="inlineStr">
        <is>
          <t>Sports</t>
        </is>
      </c>
      <c r="E3289" s="58" t="inlineStr">
        <is>
          <t>South</t>
        </is>
      </c>
      <c r="F3289" s="61" t="n">
        <v>3</v>
      </c>
      <c r="G3289" s="62" t="n">
        <v>550.9299999999999</v>
      </c>
      <c r="H3289" s="63" t="n">
        <v>0.16</v>
      </c>
      <c r="I3289" s="62" t="n">
        <v>346.4</v>
      </c>
      <c r="J3289" s="58" t="inlineStr">
        <is>
          <t>Online</t>
        </is>
      </c>
      <c r="K3289" s="62">
        <f>F3289*(G3289-H3289)</f>
        <v/>
      </c>
      <c r="L3289" s="62">
        <f>K3289-(F3289*I3289)</f>
        <v/>
      </c>
      <c r="M3289" s="64">
        <f>L3289/K3289</f>
        <v/>
      </c>
    </row>
    <row r="3290">
      <c r="A3290" s="58" t="inlineStr">
        <is>
          <t>RT20250326-03289</t>
        </is>
      </c>
      <c r="B3290" s="59" t="inlineStr">
        <is>
          <t>2025-03-26</t>
        </is>
      </c>
      <c r="C3290" s="60" t="inlineStr">
        <is>
          <t>Aurora Household Plus-146</t>
        </is>
      </c>
      <c r="D3290" s="58" t="inlineStr">
        <is>
          <t>Grocery</t>
        </is>
      </c>
      <c r="E3290" s="58" t="inlineStr">
        <is>
          <t>South</t>
        </is>
      </c>
      <c r="F3290" s="61" t="n">
        <v>6</v>
      </c>
      <c r="G3290" s="62" t="n">
        <v>5.98</v>
      </c>
      <c r="H3290" s="63" t="n">
        <v>0.077</v>
      </c>
      <c r="I3290" s="62" t="n">
        <v>4.61</v>
      </c>
      <c r="J3290" s="58" t="inlineStr">
        <is>
          <t>Store</t>
        </is>
      </c>
      <c r="K3290" s="62">
        <f>F3290*(G3290-H3290)</f>
        <v/>
      </c>
      <c r="L3290" s="62">
        <f>K3290-(F3290*I3290)</f>
        <v/>
      </c>
      <c r="M3290" s="64">
        <f>L3290/K3290</f>
        <v/>
      </c>
    </row>
    <row r="3291">
      <c r="A3291" s="58" t="inlineStr">
        <is>
          <t>RT20250326-03290</t>
        </is>
      </c>
      <c r="B3291" s="59" t="inlineStr">
        <is>
          <t>2025-03-26</t>
        </is>
      </c>
      <c r="C3291" s="60" t="inlineStr">
        <is>
          <t>Metro Laptop Plus-376</t>
        </is>
      </c>
      <c r="D3291" s="58" t="inlineStr">
        <is>
          <t>Electronics</t>
        </is>
      </c>
      <c r="E3291" s="58" t="inlineStr">
        <is>
          <t>South</t>
        </is>
      </c>
      <c r="F3291" s="61" t="n">
        <v>2</v>
      </c>
      <c r="G3291" s="62" t="n">
        <v>1342.5</v>
      </c>
      <c r="H3291" s="63" t="n">
        <v>0.078</v>
      </c>
      <c r="I3291" s="62" t="n">
        <v>1058.72</v>
      </c>
      <c r="J3291" s="58" t="inlineStr">
        <is>
          <t>Store</t>
        </is>
      </c>
      <c r="K3291" s="62">
        <f>F3291*(G3291-H3291)</f>
        <v/>
      </c>
      <c r="L3291" s="62">
        <f>K3291-(F3291*I3291)</f>
        <v/>
      </c>
      <c r="M3291" s="64">
        <f>L3291/K3291</f>
        <v/>
      </c>
    </row>
    <row r="3292">
      <c r="A3292" s="58" t="inlineStr">
        <is>
          <t>RT20250326-03291</t>
        </is>
      </c>
      <c r="B3292" s="59" t="inlineStr">
        <is>
          <t>2025-03-26</t>
        </is>
      </c>
      <c r="C3292" s="60" t="inlineStr">
        <is>
          <t>Solace Team Sport Max-548</t>
        </is>
      </c>
      <c r="D3292" s="58" t="inlineStr">
        <is>
          <t>Sports</t>
        </is>
      </c>
      <c r="E3292" s="58" t="inlineStr">
        <is>
          <t>West</t>
        </is>
      </c>
      <c r="F3292" s="61" t="n">
        <v>2</v>
      </c>
      <c r="G3292" s="62" t="n">
        <v>697.49</v>
      </c>
      <c r="H3292" s="63" t="n">
        <v>0.101</v>
      </c>
      <c r="I3292" s="62" t="n">
        <v>490.81</v>
      </c>
      <c r="J3292" s="58" t="inlineStr">
        <is>
          <t>Online</t>
        </is>
      </c>
      <c r="K3292" s="62">
        <f>F3292*(G3292-H3292)</f>
        <v/>
      </c>
      <c r="L3292" s="62">
        <f>K3292-(F3292*I3292)</f>
        <v/>
      </c>
      <c r="M3292" s="64">
        <f>L3292/K3292</f>
        <v/>
      </c>
    </row>
    <row r="3293">
      <c r="A3293" s="58" t="inlineStr">
        <is>
          <t>RT20250326-03292</t>
        </is>
      </c>
      <c r="B3293" s="59" t="inlineStr">
        <is>
          <t>2025-03-26</t>
        </is>
      </c>
      <c r="C3293" s="60" t="inlineStr">
        <is>
          <t>Polar Outdoor Lite-318</t>
        </is>
      </c>
      <c r="D3293" s="58" t="inlineStr">
        <is>
          <t>Sports</t>
        </is>
      </c>
      <c r="E3293" s="58" t="inlineStr">
        <is>
          <t>South</t>
        </is>
      </c>
      <c r="F3293" s="61" t="n">
        <v>2</v>
      </c>
      <c r="G3293" s="62" t="n">
        <v>755.92</v>
      </c>
      <c r="H3293" s="63" t="n">
        <v>0.08</v>
      </c>
      <c r="I3293" s="62" t="n">
        <v>460.54</v>
      </c>
      <c r="J3293" s="58" t="inlineStr">
        <is>
          <t>Store</t>
        </is>
      </c>
      <c r="K3293" s="62">
        <f>F3293*(G3293-H3293)</f>
        <v/>
      </c>
      <c r="L3293" s="62">
        <f>K3293-(F3293*I3293)</f>
        <v/>
      </c>
      <c r="M3293" s="64">
        <f>L3293/K3293</f>
        <v/>
      </c>
    </row>
    <row r="3294">
      <c r="A3294" s="58" t="inlineStr">
        <is>
          <t>RT20250326-03293</t>
        </is>
      </c>
      <c r="B3294" s="59" t="inlineStr">
        <is>
          <t>2025-03-26</t>
        </is>
      </c>
      <c r="C3294" s="60" t="inlineStr">
        <is>
          <t>Orion Men X-928</t>
        </is>
      </c>
      <c r="D3294" s="58" t="inlineStr">
        <is>
          <t>Apparel</t>
        </is>
      </c>
      <c r="E3294" s="58" t="inlineStr">
        <is>
          <t>Central</t>
        </is>
      </c>
      <c r="F3294" s="61" t="n">
        <v>3</v>
      </c>
      <c r="G3294" s="62" t="n">
        <v>121.53</v>
      </c>
      <c r="H3294" s="63" t="n">
        <v>0.081</v>
      </c>
      <c r="I3294" s="62" t="n">
        <v>63.87</v>
      </c>
      <c r="J3294" s="58" t="inlineStr">
        <is>
          <t>Online</t>
        </is>
      </c>
      <c r="K3294" s="62">
        <f>F3294*(G3294-H3294)</f>
        <v/>
      </c>
      <c r="L3294" s="62">
        <f>K3294-(F3294*I3294)</f>
        <v/>
      </c>
      <c r="M3294" s="64">
        <f>L3294/K3294</f>
        <v/>
      </c>
    </row>
    <row r="3295">
      <c r="A3295" s="58" t="inlineStr">
        <is>
          <t>RT20250326-03294</t>
        </is>
      </c>
      <c r="B3295" s="59" t="inlineStr">
        <is>
          <t>2025-03-26</t>
        </is>
      </c>
      <c r="C3295" s="60" t="inlineStr">
        <is>
          <t>Falcon Headphone Plus-789</t>
        </is>
      </c>
      <c r="D3295" s="58" t="inlineStr">
        <is>
          <t>Electronics</t>
        </is>
      </c>
      <c r="E3295" s="58" t="inlineStr">
        <is>
          <t>West</t>
        </is>
      </c>
      <c r="F3295" s="61" t="n">
        <v>2</v>
      </c>
      <c r="G3295" s="62" t="n">
        <v>1853.81</v>
      </c>
      <c r="H3295" s="63" t="n">
        <v>0.047</v>
      </c>
      <c r="I3295" s="62" t="n">
        <v>1286.23</v>
      </c>
      <c r="J3295" s="58" t="inlineStr">
        <is>
          <t>Store</t>
        </is>
      </c>
      <c r="K3295" s="62">
        <f>F3295*(G3295-H3295)</f>
        <v/>
      </c>
      <c r="L3295" s="62">
        <f>K3295-(F3295*I3295)</f>
        <v/>
      </c>
      <c r="M3295" s="64">
        <f>L3295/K3295</f>
        <v/>
      </c>
    </row>
    <row r="3296">
      <c r="A3296" s="58" t="inlineStr">
        <is>
          <t>RT20250326-03295</t>
        </is>
      </c>
      <c r="B3296" s="59" t="inlineStr">
        <is>
          <t>2025-03-26</t>
        </is>
      </c>
      <c r="C3296" s="60" t="inlineStr">
        <is>
          <t>Falcon Accessorie S-195</t>
        </is>
      </c>
      <c r="D3296" s="58" t="inlineStr">
        <is>
          <t>Apparel</t>
        </is>
      </c>
      <c r="E3296" s="58" t="inlineStr">
        <is>
          <t>South</t>
        </is>
      </c>
      <c r="F3296" s="61" t="n">
        <v>1</v>
      </c>
      <c r="G3296" s="62" t="n">
        <v>79.97</v>
      </c>
      <c r="H3296" s="63" t="n">
        <v>0.083</v>
      </c>
      <c r="I3296" s="62" t="n">
        <v>41.57</v>
      </c>
      <c r="J3296" s="58" t="inlineStr">
        <is>
          <t>Store</t>
        </is>
      </c>
      <c r="K3296" s="62">
        <f>F3296*(G3296-H3296)</f>
        <v/>
      </c>
      <c r="L3296" s="62">
        <f>K3296-(F3296*I3296)</f>
        <v/>
      </c>
      <c r="M3296" s="64">
        <f>L3296/K3296</f>
        <v/>
      </c>
    </row>
    <row r="3297">
      <c r="A3297" s="58" t="inlineStr">
        <is>
          <t>RT20250326-03296</t>
        </is>
      </c>
      <c r="B3297" s="59" t="inlineStr">
        <is>
          <t>2025-03-26</t>
        </is>
      </c>
      <c r="C3297" s="60" t="inlineStr">
        <is>
          <t>Solace Headphone Pro-344</t>
        </is>
      </c>
      <c r="D3297" s="58" t="inlineStr">
        <is>
          <t>Electronics</t>
        </is>
      </c>
      <c r="E3297" s="58" t="inlineStr">
        <is>
          <t>Central</t>
        </is>
      </c>
      <c r="F3297" s="61" t="n">
        <v>1</v>
      </c>
      <c r="G3297" s="62" t="n">
        <v>1223.78</v>
      </c>
      <c r="H3297" s="63" t="n">
        <v>0.099</v>
      </c>
      <c r="I3297" s="62" t="n">
        <v>1070.51</v>
      </c>
      <c r="J3297" s="58" t="inlineStr">
        <is>
          <t>Online</t>
        </is>
      </c>
      <c r="K3297" s="62">
        <f>F3297*(G3297-H3297)</f>
        <v/>
      </c>
      <c r="L3297" s="62">
        <f>K3297-(F3297*I3297)</f>
        <v/>
      </c>
      <c r="M3297" s="64">
        <f>L3297/K3297</f>
        <v/>
      </c>
    </row>
    <row r="3298">
      <c r="A3298" s="58" t="inlineStr">
        <is>
          <t>RT20250326-03297</t>
        </is>
      </c>
      <c r="B3298" s="59" t="inlineStr">
        <is>
          <t>2025-03-26</t>
        </is>
      </c>
      <c r="C3298" s="60" t="inlineStr">
        <is>
          <t>Aurora Haircare S-975</t>
        </is>
      </c>
      <c r="D3298" s="58" t="inlineStr">
        <is>
          <t>Beauty</t>
        </is>
      </c>
      <c r="E3298" s="58" t="inlineStr">
        <is>
          <t>West</t>
        </is>
      </c>
      <c r="F3298" s="61" t="n">
        <v>3</v>
      </c>
      <c r="G3298" s="62" t="n">
        <v>90.27</v>
      </c>
      <c r="H3298" s="63" t="n">
        <v>0.07099999999999999</v>
      </c>
      <c r="I3298" s="62" t="n">
        <v>59.58</v>
      </c>
      <c r="J3298" s="58" t="inlineStr">
        <is>
          <t>Store</t>
        </is>
      </c>
      <c r="K3298" s="62">
        <f>F3298*(G3298-H3298)</f>
        <v/>
      </c>
      <c r="L3298" s="62">
        <f>K3298-(F3298*I3298)</f>
        <v/>
      </c>
      <c r="M3298" s="64">
        <f>L3298/K3298</f>
        <v/>
      </c>
    </row>
    <row r="3299">
      <c r="A3299" s="58" t="inlineStr">
        <is>
          <t>RT20250326-03298</t>
        </is>
      </c>
      <c r="B3299" s="59" t="inlineStr">
        <is>
          <t>2025-03-26</t>
        </is>
      </c>
      <c r="C3299" s="60" t="inlineStr">
        <is>
          <t>Aurora Bedding Plus-187</t>
        </is>
      </c>
      <c r="D3299" s="58" t="inlineStr">
        <is>
          <t>Home</t>
        </is>
      </c>
      <c r="E3299" s="58" t="inlineStr">
        <is>
          <t>Central</t>
        </is>
      </c>
      <c r="F3299" s="61" t="n">
        <v>1</v>
      </c>
      <c r="G3299" s="62" t="n">
        <v>310.97</v>
      </c>
      <c r="H3299" s="63" t="n">
        <v>0.123</v>
      </c>
      <c r="I3299" s="62" t="n">
        <v>206.78</v>
      </c>
      <c r="J3299" s="58" t="inlineStr">
        <is>
          <t>Store</t>
        </is>
      </c>
      <c r="K3299" s="62">
        <f>F3299*(G3299-H3299)</f>
        <v/>
      </c>
      <c r="L3299" s="62">
        <f>K3299-(F3299*I3299)</f>
        <v/>
      </c>
      <c r="M3299" s="64">
        <f>L3299/K3299</f>
        <v/>
      </c>
    </row>
    <row r="3300">
      <c r="A3300" s="58" t="inlineStr">
        <is>
          <t>RT20250326-03299</t>
        </is>
      </c>
      <c r="B3300" s="59" t="inlineStr">
        <is>
          <t>2025-03-26</t>
        </is>
      </c>
      <c r="C3300" s="60" t="inlineStr">
        <is>
          <t>Metro Pantry X-710</t>
        </is>
      </c>
      <c r="D3300" s="58" t="inlineStr">
        <is>
          <t>Grocery</t>
        </is>
      </c>
      <c r="E3300" s="58" t="inlineStr">
        <is>
          <t>South</t>
        </is>
      </c>
      <c r="F3300" s="61" t="n">
        <v>7</v>
      </c>
      <c r="G3300" s="62" t="n">
        <v>4.88</v>
      </c>
      <c r="H3300" s="63" t="n">
        <v>0.121</v>
      </c>
      <c r="I3300" s="62" t="n">
        <v>4.15</v>
      </c>
      <c r="J3300" s="58" t="inlineStr">
        <is>
          <t>Online</t>
        </is>
      </c>
      <c r="K3300" s="62">
        <f>F3300*(G3300-H3300)</f>
        <v/>
      </c>
      <c r="L3300" s="62">
        <f>K3300-(F3300*I3300)</f>
        <v/>
      </c>
      <c r="M3300" s="64">
        <f>L3300/K3300</f>
        <v/>
      </c>
    </row>
    <row r="3301">
      <c r="A3301" s="58" t="inlineStr">
        <is>
          <t>RT20250326-03300</t>
        </is>
      </c>
      <c r="B3301" s="59" t="inlineStr">
        <is>
          <t>2025-03-26</t>
        </is>
      </c>
      <c r="C3301" s="60" t="inlineStr">
        <is>
          <t>Aurora Bedding Plus-187</t>
        </is>
      </c>
      <c r="D3301" s="58" t="inlineStr">
        <is>
          <t>Home</t>
        </is>
      </c>
      <c r="E3301" s="58" t="inlineStr">
        <is>
          <t>Central</t>
        </is>
      </c>
      <c r="F3301" s="61" t="n">
        <v>2</v>
      </c>
      <c r="G3301" s="62" t="n">
        <v>308.43</v>
      </c>
      <c r="H3301" s="63" t="n">
        <v>0.123</v>
      </c>
      <c r="I3301" s="62" t="n">
        <v>212.39</v>
      </c>
      <c r="J3301" s="58" t="inlineStr">
        <is>
          <t>Online</t>
        </is>
      </c>
      <c r="K3301" s="62">
        <f>F3301*(G3301-H3301)</f>
        <v/>
      </c>
      <c r="L3301" s="62">
        <f>K3301-(F3301*I3301)</f>
        <v/>
      </c>
      <c r="M3301" s="64">
        <f>L3301/K3301</f>
        <v/>
      </c>
    </row>
    <row r="3302">
      <c r="A3302" s="58" t="inlineStr">
        <is>
          <t>RT20250326-03301</t>
        </is>
      </c>
      <c r="B3302" s="59" t="inlineStr">
        <is>
          <t>2025-03-26</t>
        </is>
      </c>
      <c r="C3302" s="60" t="inlineStr">
        <is>
          <t>Falcon Storage X-734</t>
        </is>
      </c>
      <c r="D3302" s="58" t="inlineStr">
        <is>
          <t>Office</t>
        </is>
      </c>
      <c r="E3302" s="58" t="inlineStr">
        <is>
          <t>North</t>
        </is>
      </c>
      <c r="F3302" s="61" t="n">
        <v>2</v>
      </c>
      <c r="G3302" s="62" t="n">
        <v>400.75</v>
      </c>
      <c r="H3302" s="63" t="n">
        <v>0.142</v>
      </c>
      <c r="I3302" s="62" t="n">
        <v>277.41</v>
      </c>
      <c r="J3302" s="58" t="inlineStr">
        <is>
          <t>Store</t>
        </is>
      </c>
      <c r="K3302" s="62">
        <f>F3302*(G3302-H3302)</f>
        <v/>
      </c>
      <c r="L3302" s="62">
        <f>K3302-(F3302*I3302)</f>
        <v/>
      </c>
      <c r="M3302" s="64">
        <f>L3302/K3302</f>
        <v/>
      </c>
    </row>
    <row r="3303">
      <c r="A3303" s="58" t="inlineStr">
        <is>
          <t>RT20250326-03302</t>
        </is>
      </c>
      <c r="B3303" s="59" t="inlineStr">
        <is>
          <t>2025-03-26</t>
        </is>
      </c>
      <c r="C3303" s="60" t="inlineStr">
        <is>
          <t>Falcon Headphone Plus-789</t>
        </is>
      </c>
      <c r="D3303" s="58" t="inlineStr">
        <is>
          <t>Electronics</t>
        </is>
      </c>
      <c r="E3303" s="58" t="inlineStr">
        <is>
          <t>Central</t>
        </is>
      </c>
      <c r="F3303" s="61" t="n">
        <v>1</v>
      </c>
      <c r="G3303" s="62" t="n">
        <v>1502.32</v>
      </c>
      <c r="H3303" s="63" t="n">
        <v>0.115</v>
      </c>
      <c r="I3303" s="62" t="n">
        <v>1290.82</v>
      </c>
      <c r="J3303" s="58" t="inlineStr">
        <is>
          <t>Online</t>
        </is>
      </c>
      <c r="K3303" s="62">
        <f>F3303*(G3303-H3303)</f>
        <v/>
      </c>
      <c r="L3303" s="62">
        <f>K3303-(F3303*I3303)</f>
        <v/>
      </c>
      <c r="M3303" s="64">
        <f>L3303/K3303</f>
        <v/>
      </c>
    </row>
    <row r="3304">
      <c r="A3304" s="58" t="inlineStr">
        <is>
          <t>RT20250326-03303</t>
        </is>
      </c>
      <c r="B3304" s="59" t="inlineStr">
        <is>
          <t>2025-03-26</t>
        </is>
      </c>
      <c r="C3304" s="60" t="inlineStr">
        <is>
          <t>Vertex Fitnes Pro-830</t>
        </is>
      </c>
      <c r="D3304" s="58" t="inlineStr">
        <is>
          <t>Sports</t>
        </is>
      </c>
      <c r="E3304" s="58" t="inlineStr">
        <is>
          <t>East</t>
        </is>
      </c>
      <c r="F3304" s="61" t="n">
        <v>3</v>
      </c>
      <c r="G3304" s="62" t="n">
        <v>737.16</v>
      </c>
      <c r="H3304" s="63" t="n">
        <v>0.08699999999999999</v>
      </c>
      <c r="I3304" s="62" t="n">
        <v>469.04</v>
      </c>
      <c r="J3304" s="58" t="inlineStr">
        <is>
          <t>Online</t>
        </is>
      </c>
      <c r="K3304" s="62">
        <f>F3304*(G3304-H3304)</f>
        <v/>
      </c>
      <c r="L3304" s="62">
        <f>K3304-(F3304*I3304)</f>
        <v/>
      </c>
      <c r="M3304" s="64">
        <f>L3304/K3304</f>
        <v/>
      </c>
    </row>
    <row r="3305">
      <c r="A3305" s="58" t="inlineStr">
        <is>
          <t>RT20250326-03304</t>
        </is>
      </c>
      <c r="B3305" s="59" t="inlineStr">
        <is>
          <t>2025-03-26</t>
        </is>
      </c>
      <c r="C3305" s="60" t="inlineStr">
        <is>
          <t>Metro Wearable Plus-234</t>
        </is>
      </c>
      <c r="D3305" s="58" t="inlineStr">
        <is>
          <t>Electronics</t>
        </is>
      </c>
      <c r="E3305" s="58" t="inlineStr">
        <is>
          <t>West</t>
        </is>
      </c>
      <c r="F3305" s="61" t="n">
        <v>1</v>
      </c>
      <c r="G3305" s="62" t="n">
        <v>1436.59</v>
      </c>
      <c r="H3305" s="63" t="n">
        <v>0.124</v>
      </c>
      <c r="I3305" s="62" t="n">
        <v>1154.02</v>
      </c>
      <c r="J3305" s="58" t="inlineStr">
        <is>
          <t>Online</t>
        </is>
      </c>
      <c r="K3305" s="62">
        <f>F3305*(G3305-H3305)</f>
        <v/>
      </c>
      <c r="L3305" s="62">
        <f>K3305-(F3305*I3305)</f>
        <v/>
      </c>
      <c r="M3305" s="64">
        <f>L3305/K3305</f>
        <v/>
      </c>
    </row>
    <row r="3306">
      <c r="A3306" s="58" t="inlineStr">
        <is>
          <t>RT20250326-03305</t>
        </is>
      </c>
      <c r="B3306" s="59" t="inlineStr">
        <is>
          <t>2025-03-26</t>
        </is>
      </c>
      <c r="C3306" s="60" t="inlineStr">
        <is>
          <t>Vertex Headphone Pro-801</t>
        </is>
      </c>
      <c r="D3306" s="58" t="inlineStr">
        <is>
          <t>Electronics</t>
        </is>
      </c>
      <c r="E3306" s="58" t="inlineStr">
        <is>
          <t>Central</t>
        </is>
      </c>
      <c r="F3306" s="61" t="n">
        <v>1</v>
      </c>
      <c r="G3306" s="62" t="n">
        <v>1129.74</v>
      </c>
      <c r="H3306" s="63" t="n">
        <v>0.093</v>
      </c>
      <c r="I3306" s="62" t="n">
        <v>962.16</v>
      </c>
      <c r="J3306" s="58" t="inlineStr">
        <is>
          <t>Online</t>
        </is>
      </c>
      <c r="K3306" s="62">
        <f>F3306*(G3306-H3306)</f>
        <v/>
      </c>
      <c r="L3306" s="62">
        <f>K3306-(F3306*I3306)</f>
        <v/>
      </c>
      <c r="M3306" s="64">
        <f>L3306/K3306</f>
        <v/>
      </c>
    </row>
    <row r="3307">
      <c r="A3307" s="58" t="inlineStr">
        <is>
          <t>RT20250326-03306</t>
        </is>
      </c>
      <c r="B3307" s="59" t="inlineStr">
        <is>
          <t>2025-03-26</t>
        </is>
      </c>
      <c r="C3307" s="60" t="inlineStr">
        <is>
          <t>Solace Makeup Pro-214</t>
        </is>
      </c>
      <c r="D3307" s="58" t="inlineStr">
        <is>
          <t>Beauty</t>
        </is>
      </c>
      <c r="E3307" s="58" t="inlineStr">
        <is>
          <t>South</t>
        </is>
      </c>
      <c r="F3307" s="61" t="n">
        <v>4</v>
      </c>
      <c r="G3307" s="62" t="n">
        <v>92.34999999999999</v>
      </c>
      <c r="H3307" s="63" t="n">
        <v>0.094</v>
      </c>
      <c r="I3307" s="62" t="n">
        <v>67.51000000000001</v>
      </c>
      <c r="J3307" s="58" t="inlineStr">
        <is>
          <t>Online</t>
        </is>
      </c>
      <c r="K3307" s="62">
        <f>F3307*(G3307-H3307)</f>
        <v/>
      </c>
      <c r="L3307" s="62">
        <f>K3307-(F3307*I3307)</f>
        <v/>
      </c>
      <c r="M3307" s="64">
        <f>L3307/K3307</f>
        <v/>
      </c>
    </row>
    <row r="3308">
      <c r="A3308" s="58" t="inlineStr">
        <is>
          <t>RT20250326-03307</t>
        </is>
      </c>
      <c r="B3308" s="59" t="inlineStr">
        <is>
          <t>2025-03-26</t>
        </is>
      </c>
      <c r="C3308" s="60" t="inlineStr">
        <is>
          <t>Aurora Bedding Max-175</t>
        </is>
      </c>
      <c r="D3308" s="58" t="inlineStr">
        <is>
          <t>Home</t>
        </is>
      </c>
      <c r="E3308" s="58" t="inlineStr">
        <is>
          <t>East</t>
        </is>
      </c>
      <c r="F3308" s="61" t="n">
        <v>1</v>
      </c>
      <c r="G3308" s="62" t="n">
        <v>556.54</v>
      </c>
      <c r="H3308" s="63" t="n">
        <v>0.148</v>
      </c>
      <c r="I3308" s="62" t="n">
        <v>406.49</v>
      </c>
      <c r="J3308" s="58" t="inlineStr">
        <is>
          <t>Store</t>
        </is>
      </c>
      <c r="K3308" s="62">
        <f>F3308*(G3308-H3308)</f>
        <v/>
      </c>
      <c r="L3308" s="62">
        <f>K3308-(F3308*I3308)</f>
        <v/>
      </c>
      <c r="M3308" s="64">
        <f>L3308/K3308</f>
        <v/>
      </c>
    </row>
    <row r="3309">
      <c r="A3309" s="58" t="inlineStr">
        <is>
          <t>RT20250326-03308</t>
        </is>
      </c>
      <c r="B3309" s="59" t="inlineStr">
        <is>
          <t>2025-03-26</t>
        </is>
      </c>
      <c r="C3309" s="60" t="inlineStr">
        <is>
          <t>Aurora Skincare Max-798</t>
        </is>
      </c>
      <c r="D3309" s="58" t="inlineStr">
        <is>
          <t>Beauty</t>
        </is>
      </c>
      <c r="E3309" s="58" t="inlineStr">
        <is>
          <t>West</t>
        </is>
      </c>
      <c r="F3309" s="61" t="n">
        <v>4</v>
      </c>
      <c r="G3309" s="62" t="n">
        <v>114.78</v>
      </c>
      <c r="H3309" s="63" t="n">
        <v>0.062</v>
      </c>
      <c r="I3309" s="62" t="n">
        <v>67.59</v>
      </c>
      <c r="J3309" s="58" t="inlineStr">
        <is>
          <t>Online</t>
        </is>
      </c>
      <c r="K3309" s="62">
        <f>F3309*(G3309-H3309)</f>
        <v/>
      </c>
      <c r="L3309" s="62">
        <f>K3309-(F3309*I3309)</f>
        <v/>
      </c>
      <c r="M3309" s="64">
        <f>L3309/K3309</f>
        <v/>
      </c>
    </row>
    <row r="3310">
      <c r="A3310" s="58" t="inlineStr">
        <is>
          <t>RT20250326-03309</t>
        </is>
      </c>
      <c r="B3310" s="59" t="inlineStr">
        <is>
          <t>2025-03-26</t>
        </is>
      </c>
      <c r="C3310" s="60" t="inlineStr">
        <is>
          <t>Orion Snack X-322</t>
        </is>
      </c>
      <c r="D3310" s="58" t="inlineStr">
        <is>
          <t>Grocery</t>
        </is>
      </c>
      <c r="E3310" s="58" t="inlineStr">
        <is>
          <t>Central</t>
        </is>
      </c>
      <c r="F3310" s="61" t="n">
        <v>1</v>
      </c>
      <c r="G3310" s="62" t="n">
        <v>13.74</v>
      </c>
      <c r="H3310" s="63" t="n">
        <v>0.094</v>
      </c>
      <c r="I3310" s="62" t="n">
        <v>10.24</v>
      </c>
      <c r="J3310" s="58" t="inlineStr">
        <is>
          <t>Store</t>
        </is>
      </c>
      <c r="K3310" s="62">
        <f>F3310*(G3310-H3310)</f>
        <v/>
      </c>
      <c r="L3310" s="62">
        <f>K3310-(F3310*I3310)</f>
        <v/>
      </c>
      <c r="M3310" s="64">
        <f>L3310/K3310</f>
        <v/>
      </c>
    </row>
    <row r="3311">
      <c r="A3311" s="58" t="inlineStr">
        <is>
          <t>RT20250326-03310</t>
        </is>
      </c>
      <c r="B3311" s="59" t="inlineStr">
        <is>
          <t>2025-03-26</t>
        </is>
      </c>
      <c r="C3311" s="60" t="inlineStr">
        <is>
          <t>Polar Men Pro-246</t>
        </is>
      </c>
      <c r="D3311" s="58" t="inlineStr">
        <is>
          <t>Apparel</t>
        </is>
      </c>
      <c r="E3311" s="58" t="inlineStr">
        <is>
          <t>South</t>
        </is>
      </c>
      <c r="F3311" s="61" t="n">
        <v>1</v>
      </c>
      <c r="G3311" s="62" t="n">
        <v>136.5</v>
      </c>
      <c r="H3311" s="63" t="n">
        <v>0.08699999999999999</v>
      </c>
      <c r="I3311" s="62" t="n">
        <v>76.48</v>
      </c>
      <c r="J3311" s="58" t="inlineStr">
        <is>
          <t>Online</t>
        </is>
      </c>
      <c r="K3311" s="62">
        <f>F3311*(G3311-H3311)</f>
        <v/>
      </c>
      <c r="L3311" s="62">
        <f>K3311-(F3311*I3311)</f>
        <v/>
      </c>
      <c r="M3311" s="64">
        <f>L3311/K3311</f>
        <v/>
      </c>
    </row>
    <row r="3312">
      <c r="A3312" s="58" t="inlineStr">
        <is>
          <t>RT20250326-03311</t>
        </is>
      </c>
      <c r="B3312" s="59" t="inlineStr">
        <is>
          <t>2025-03-26</t>
        </is>
      </c>
      <c r="C3312" s="60" t="inlineStr">
        <is>
          <t>Falcon Beverage Max-702</t>
        </is>
      </c>
      <c r="D3312" s="58" t="inlineStr">
        <is>
          <t>Grocery</t>
        </is>
      </c>
      <c r="E3312" s="58" t="inlineStr">
        <is>
          <t>Central</t>
        </is>
      </c>
      <c r="F3312" s="61" t="n">
        <v>3</v>
      </c>
      <c r="G3312" s="62" t="n">
        <v>26.52</v>
      </c>
      <c r="H3312" s="63" t="n">
        <v>0.101</v>
      </c>
      <c r="I3312" s="62" t="n">
        <v>20.34</v>
      </c>
      <c r="J3312" s="58" t="inlineStr">
        <is>
          <t>Online</t>
        </is>
      </c>
      <c r="K3312" s="62">
        <f>F3312*(G3312-H3312)</f>
        <v/>
      </c>
      <c r="L3312" s="62">
        <f>K3312-(F3312*I3312)</f>
        <v/>
      </c>
      <c r="M3312" s="64">
        <f>L3312/K3312</f>
        <v/>
      </c>
    </row>
    <row r="3313">
      <c r="A3313" s="58" t="inlineStr">
        <is>
          <t>RT20250326-03312</t>
        </is>
      </c>
      <c r="B3313" s="59" t="inlineStr">
        <is>
          <t>2025-03-26</t>
        </is>
      </c>
      <c r="C3313" s="60" t="inlineStr">
        <is>
          <t>Aurora Storage Lite-774</t>
        </is>
      </c>
      <c r="D3313" s="58" t="inlineStr">
        <is>
          <t>Office</t>
        </is>
      </c>
      <c r="E3313" s="58" t="inlineStr">
        <is>
          <t>North</t>
        </is>
      </c>
      <c r="F3313" s="61" t="n">
        <v>2</v>
      </c>
      <c r="G3313" s="62" t="n">
        <v>349.13</v>
      </c>
      <c r="H3313" s="63" t="n">
        <v>0.1</v>
      </c>
      <c r="I3313" s="62" t="n">
        <v>247.79</v>
      </c>
      <c r="J3313" s="58" t="inlineStr">
        <is>
          <t>Phone</t>
        </is>
      </c>
      <c r="K3313" s="62">
        <f>F3313*(G3313-H3313)</f>
        <v/>
      </c>
      <c r="L3313" s="62">
        <f>K3313-(F3313*I3313)</f>
        <v/>
      </c>
      <c r="M3313" s="64">
        <f>L3313/K3313</f>
        <v/>
      </c>
    </row>
    <row r="3314">
      <c r="A3314" s="58" t="inlineStr">
        <is>
          <t>RT20250326-03313</t>
        </is>
      </c>
      <c r="B3314" s="59" t="inlineStr">
        <is>
          <t>2025-03-26</t>
        </is>
      </c>
      <c r="C3314" s="60" t="inlineStr">
        <is>
          <t>Falcon Accessorie S-195</t>
        </is>
      </c>
      <c r="D3314" s="58" t="inlineStr">
        <is>
          <t>Apparel</t>
        </is>
      </c>
      <c r="E3314" s="58" t="inlineStr">
        <is>
          <t>West</t>
        </is>
      </c>
      <c r="F3314" s="61" t="n">
        <v>2</v>
      </c>
      <c r="G3314" s="62" t="n">
        <v>80.31</v>
      </c>
      <c r="H3314" s="63" t="n">
        <v>0.063</v>
      </c>
      <c r="I3314" s="62" t="n">
        <v>41.73</v>
      </c>
      <c r="J3314" s="58" t="inlineStr">
        <is>
          <t>Store</t>
        </is>
      </c>
      <c r="K3314" s="62">
        <f>F3314*(G3314-H3314)</f>
        <v/>
      </c>
      <c r="L3314" s="62">
        <f>K3314-(F3314*I3314)</f>
        <v/>
      </c>
      <c r="M3314" s="64">
        <f>L3314/K3314</f>
        <v/>
      </c>
    </row>
    <row r="3315">
      <c r="A3315" s="58" t="inlineStr">
        <is>
          <t>RT20250326-03314</t>
        </is>
      </c>
      <c r="B3315" s="59" t="inlineStr">
        <is>
          <t>2025-03-26</t>
        </is>
      </c>
      <c r="C3315" s="60" t="inlineStr">
        <is>
          <t>Vertex Accessorie Pro-881</t>
        </is>
      </c>
      <c r="D3315" s="58" t="inlineStr">
        <is>
          <t>Apparel</t>
        </is>
      </c>
      <c r="E3315" s="58" t="inlineStr">
        <is>
          <t>East</t>
        </is>
      </c>
      <c r="F3315" s="61" t="n">
        <v>4</v>
      </c>
      <c r="G3315" s="62" t="n">
        <v>108.79</v>
      </c>
      <c r="H3315" s="63" t="n">
        <v>0.153</v>
      </c>
      <c r="I3315" s="62" t="n">
        <v>63.51</v>
      </c>
      <c r="J3315" s="58" t="inlineStr">
        <is>
          <t>Online</t>
        </is>
      </c>
      <c r="K3315" s="62">
        <f>F3315*(G3315-H3315)</f>
        <v/>
      </c>
      <c r="L3315" s="62">
        <f>K3315-(F3315*I3315)</f>
        <v/>
      </c>
      <c r="M3315" s="64">
        <f>L3315/K3315</f>
        <v/>
      </c>
    </row>
    <row r="3316">
      <c r="A3316" s="58" t="inlineStr">
        <is>
          <t>RT20250327-03315</t>
        </is>
      </c>
      <c r="B3316" s="59" t="inlineStr">
        <is>
          <t>2025-03-27</t>
        </is>
      </c>
      <c r="C3316" s="60" t="inlineStr">
        <is>
          <t>Metro Pantry X-710</t>
        </is>
      </c>
      <c r="D3316" s="58" t="inlineStr">
        <is>
          <t>Grocery</t>
        </is>
      </c>
      <c r="E3316" s="58" t="inlineStr">
        <is>
          <t>Central</t>
        </is>
      </c>
      <c r="F3316" s="61" t="n">
        <v>5</v>
      </c>
      <c r="G3316" s="62" t="n">
        <v>5.87</v>
      </c>
      <c r="H3316" s="63" t="n">
        <v>0.108</v>
      </c>
      <c r="I3316" s="62" t="n">
        <v>4.23</v>
      </c>
      <c r="J3316" s="58" t="inlineStr">
        <is>
          <t>Store</t>
        </is>
      </c>
      <c r="K3316" s="62">
        <f>F3316*(G3316-H3316)</f>
        <v/>
      </c>
      <c r="L3316" s="62">
        <f>K3316-(F3316*I3316)</f>
        <v/>
      </c>
      <c r="M3316" s="64">
        <f>L3316/K3316</f>
        <v/>
      </c>
    </row>
    <row r="3317">
      <c r="A3317" s="58" t="inlineStr">
        <is>
          <t>RT20250327-03316</t>
        </is>
      </c>
      <c r="B3317" s="59" t="inlineStr">
        <is>
          <t>2025-03-27</t>
        </is>
      </c>
      <c r="C3317" s="60" t="inlineStr">
        <is>
          <t>Nimbus Men Plus-231</t>
        </is>
      </c>
      <c r="D3317" s="58" t="inlineStr">
        <is>
          <t>Apparel</t>
        </is>
      </c>
      <c r="E3317" s="58" t="inlineStr">
        <is>
          <t>Central</t>
        </is>
      </c>
      <c r="F3317" s="61" t="n">
        <v>3</v>
      </c>
      <c r="G3317" s="62" t="n">
        <v>144.83</v>
      </c>
      <c r="H3317" s="63" t="n">
        <v>0.061</v>
      </c>
      <c r="I3317" s="62" t="n">
        <v>88.66</v>
      </c>
      <c r="J3317" s="58" t="inlineStr">
        <is>
          <t>Online</t>
        </is>
      </c>
      <c r="K3317" s="62">
        <f>F3317*(G3317-H3317)</f>
        <v/>
      </c>
      <c r="L3317" s="62">
        <f>K3317-(F3317*I3317)</f>
        <v/>
      </c>
      <c r="M3317" s="64">
        <f>L3317/K3317</f>
        <v/>
      </c>
    </row>
    <row r="3318">
      <c r="A3318" s="58" t="inlineStr">
        <is>
          <t>RT20250327-03317</t>
        </is>
      </c>
      <c r="B3318" s="59" t="inlineStr">
        <is>
          <t>2025-03-27</t>
        </is>
      </c>
      <c r="C3318" s="60" t="inlineStr">
        <is>
          <t>Polar Outdoor Lite-318</t>
        </is>
      </c>
      <c r="D3318" s="58" t="inlineStr">
        <is>
          <t>Sports</t>
        </is>
      </c>
      <c r="E3318" s="58" t="inlineStr">
        <is>
          <t>Central</t>
        </is>
      </c>
      <c r="F3318" s="61" t="n">
        <v>3</v>
      </c>
      <c r="G3318" s="62" t="n">
        <v>688.84</v>
      </c>
      <c r="H3318" s="63" t="n">
        <v>0.097</v>
      </c>
      <c r="I3318" s="62" t="n">
        <v>471.25</v>
      </c>
      <c r="J3318" s="58" t="inlineStr">
        <is>
          <t>Online</t>
        </is>
      </c>
      <c r="K3318" s="62">
        <f>F3318*(G3318-H3318)</f>
        <v/>
      </c>
      <c r="L3318" s="62">
        <f>K3318-(F3318*I3318)</f>
        <v/>
      </c>
      <c r="M3318" s="64">
        <f>L3318/K3318</f>
        <v/>
      </c>
    </row>
    <row r="3319">
      <c r="A3319" s="58" t="inlineStr">
        <is>
          <t>RT20250327-03318</t>
        </is>
      </c>
      <c r="B3319" s="59" t="inlineStr">
        <is>
          <t>2025-03-27</t>
        </is>
      </c>
      <c r="C3319" s="60" t="inlineStr">
        <is>
          <t>Metro Printer X-294</t>
        </is>
      </c>
      <c r="D3319" s="58" t="inlineStr">
        <is>
          <t>Office</t>
        </is>
      </c>
      <c r="E3319" s="58" t="inlineStr">
        <is>
          <t>West</t>
        </is>
      </c>
      <c r="F3319" s="61" t="n">
        <v>2</v>
      </c>
      <c r="G3319" s="62" t="n">
        <v>574.16</v>
      </c>
      <c r="H3319" s="63" t="n">
        <v>0.177</v>
      </c>
      <c r="I3319" s="62" t="n">
        <v>404.87</v>
      </c>
      <c r="J3319" s="58" t="inlineStr">
        <is>
          <t>Store</t>
        </is>
      </c>
      <c r="K3319" s="62">
        <f>F3319*(G3319-H3319)</f>
        <v/>
      </c>
      <c r="L3319" s="62">
        <f>K3319-(F3319*I3319)</f>
        <v/>
      </c>
      <c r="M3319" s="64">
        <f>L3319/K3319</f>
        <v/>
      </c>
    </row>
    <row r="3320">
      <c r="A3320" s="58" t="inlineStr">
        <is>
          <t>RT20250327-03319</t>
        </is>
      </c>
      <c r="B3320" s="59" t="inlineStr">
        <is>
          <t>2025-03-27</t>
        </is>
      </c>
      <c r="C3320" s="60" t="inlineStr">
        <is>
          <t>Falcon Furniture Plus-839</t>
        </is>
      </c>
      <c r="D3320" s="58" t="inlineStr">
        <is>
          <t>Office</t>
        </is>
      </c>
      <c r="E3320" s="58" t="inlineStr">
        <is>
          <t>North</t>
        </is>
      </c>
      <c r="F3320" s="61" t="n">
        <v>2</v>
      </c>
      <c r="G3320" s="62" t="n">
        <v>343.63</v>
      </c>
      <c r="H3320" s="63" t="n">
        <v>0.11</v>
      </c>
      <c r="I3320" s="62" t="n">
        <v>234.08</v>
      </c>
      <c r="J3320" s="58" t="inlineStr">
        <is>
          <t>Store</t>
        </is>
      </c>
      <c r="K3320" s="62">
        <f>F3320*(G3320-H3320)</f>
        <v/>
      </c>
      <c r="L3320" s="62">
        <f>K3320-(F3320*I3320)</f>
        <v/>
      </c>
      <c r="M3320" s="64">
        <f>L3320/K3320</f>
        <v/>
      </c>
    </row>
    <row r="3321">
      <c r="A3321" s="58" t="inlineStr">
        <is>
          <t>RT20250327-03320</t>
        </is>
      </c>
      <c r="B3321" s="59" t="inlineStr">
        <is>
          <t>2025-03-27</t>
        </is>
      </c>
      <c r="C3321" s="60" t="inlineStr">
        <is>
          <t>Vertex Pantry Pro-165</t>
        </is>
      </c>
      <c r="D3321" s="58" t="inlineStr">
        <is>
          <t>Grocery</t>
        </is>
      </c>
      <c r="E3321" s="58" t="inlineStr">
        <is>
          <t>North</t>
        </is>
      </c>
      <c r="F3321" s="61" t="n">
        <v>3</v>
      </c>
      <c r="G3321" s="62" t="n">
        <v>14.29</v>
      </c>
      <c r="H3321" s="63" t="n">
        <v>0.078</v>
      </c>
      <c r="I3321" s="62" t="n">
        <v>11.88</v>
      </c>
      <c r="J3321" s="58" t="inlineStr">
        <is>
          <t>Online</t>
        </is>
      </c>
      <c r="K3321" s="62">
        <f>F3321*(G3321-H3321)</f>
        <v/>
      </c>
      <c r="L3321" s="62">
        <f>K3321-(F3321*I3321)</f>
        <v/>
      </c>
      <c r="M3321" s="64">
        <f>L3321/K3321</f>
        <v/>
      </c>
    </row>
    <row r="3322">
      <c r="A3322" s="58" t="inlineStr">
        <is>
          <t>RT20250327-03321</t>
        </is>
      </c>
      <c r="B3322" s="59" t="inlineStr">
        <is>
          <t>2025-03-27</t>
        </is>
      </c>
      <c r="C3322" s="60" t="inlineStr">
        <is>
          <t>Orion Beverage Plus-949</t>
        </is>
      </c>
      <c r="D3322" s="58" t="inlineStr">
        <is>
          <t>Grocery</t>
        </is>
      </c>
      <c r="E3322" s="58" t="inlineStr">
        <is>
          <t>East</t>
        </is>
      </c>
      <c r="F3322" s="61" t="n">
        <v>4</v>
      </c>
      <c r="G3322" s="62" t="n">
        <v>17.54</v>
      </c>
      <c r="H3322" s="63" t="n">
        <v>0.092</v>
      </c>
      <c r="I3322" s="62" t="n">
        <v>13.24</v>
      </c>
      <c r="J3322" s="58" t="inlineStr">
        <is>
          <t>Online</t>
        </is>
      </c>
      <c r="K3322" s="62">
        <f>F3322*(G3322-H3322)</f>
        <v/>
      </c>
      <c r="L3322" s="62">
        <f>K3322-(F3322*I3322)</f>
        <v/>
      </c>
      <c r="M3322" s="64">
        <f>L3322/K3322</f>
        <v/>
      </c>
    </row>
    <row r="3323">
      <c r="A3323" s="58" t="inlineStr">
        <is>
          <t>RT20250327-03322</t>
        </is>
      </c>
      <c r="B3323" s="59" t="inlineStr">
        <is>
          <t>2025-03-27</t>
        </is>
      </c>
      <c r="C3323" s="60" t="inlineStr">
        <is>
          <t>Polar Supplie Lite-348</t>
        </is>
      </c>
      <c r="D3323" s="58" t="inlineStr">
        <is>
          <t>Office</t>
        </is>
      </c>
      <c r="E3323" s="58" t="inlineStr">
        <is>
          <t>Central</t>
        </is>
      </c>
      <c r="F3323" s="61" t="n">
        <v>3</v>
      </c>
      <c r="G3323" s="62" t="n">
        <v>433.17</v>
      </c>
      <c r="H3323" s="63" t="n">
        <v>0.077</v>
      </c>
      <c r="I3323" s="62" t="n">
        <v>307.92</v>
      </c>
      <c r="J3323" s="58" t="inlineStr">
        <is>
          <t>Store</t>
        </is>
      </c>
      <c r="K3323" s="62">
        <f>F3323*(G3323-H3323)</f>
        <v/>
      </c>
      <c r="L3323" s="62">
        <f>K3323-(F3323*I3323)</f>
        <v/>
      </c>
      <c r="M3323" s="64">
        <f>L3323/K3323</f>
        <v/>
      </c>
    </row>
    <row r="3324">
      <c r="A3324" s="58" t="inlineStr">
        <is>
          <t>RT20250327-03323</t>
        </is>
      </c>
      <c r="B3324" s="59" t="inlineStr">
        <is>
          <t>2025-03-27</t>
        </is>
      </c>
      <c r="C3324" s="60" t="inlineStr">
        <is>
          <t>Aurora Storage Lite-774</t>
        </is>
      </c>
      <c r="D3324" s="58" t="inlineStr">
        <is>
          <t>Office</t>
        </is>
      </c>
      <c r="E3324" s="58" t="inlineStr">
        <is>
          <t>West</t>
        </is>
      </c>
      <c r="F3324" s="61" t="n">
        <v>1</v>
      </c>
      <c r="G3324" s="62" t="n">
        <v>328.02</v>
      </c>
      <c r="H3324" s="63" t="n">
        <v>0.105</v>
      </c>
      <c r="I3324" s="62" t="n">
        <v>237.01</v>
      </c>
      <c r="J3324" s="58" t="inlineStr">
        <is>
          <t>Online</t>
        </is>
      </c>
      <c r="K3324" s="62">
        <f>F3324*(G3324-H3324)</f>
        <v/>
      </c>
      <c r="L3324" s="62">
        <f>K3324-(F3324*I3324)</f>
        <v/>
      </c>
      <c r="M3324" s="64">
        <f>L3324/K3324</f>
        <v/>
      </c>
    </row>
    <row r="3325">
      <c r="A3325" s="58" t="inlineStr">
        <is>
          <t>RT20250327-03324</t>
        </is>
      </c>
      <c r="B3325" s="59" t="inlineStr">
        <is>
          <t>2025-03-27</t>
        </is>
      </c>
      <c r="C3325" s="60" t="inlineStr">
        <is>
          <t>Nimbus Headphone X-854</t>
        </is>
      </c>
      <c r="D3325" s="58" t="inlineStr">
        <is>
          <t>Electronics</t>
        </is>
      </c>
      <c r="E3325" s="58" t="inlineStr">
        <is>
          <t>North</t>
        </is>
      </c>
      <c r="F3325" s="61" t="n">
        <v>2</v>
      </c>
      <c r="G3325" s="62" t="n">
        <v>1698.97</v>
      </c>
      <c r="H3325" s="63" t="n">
        <v>0.052</v>
      </c>
      <c r="I3325" s="62" t="n">
        <v>1234.69</v>
      </c>
      <c r="J3325" s="58" t="inlineStr">
        <is>
          <t>Store</t>
        </is>
      </c>
      <c r="K3325" s="62">
        <f>F3325*(G3325-H3325)</f>
        <v/>
      </c>
      <c r="L3325" s="62">
        <f>K3325-(F3325*I3325)</f>
        <v/>
      </c>
      <c r="M3325" s="64">
        <f>L3325/K3325</f>
        <v/>
      </c>
    </row>
    <row r="3326">
      <c r="A3326" s="58" t="inlineStr">
        <is>
          <t>RT20250327-03325</t>
        </is>
      </c>
      <c r="B3326" s="59" t="inlineStr">
        <is>
          <t>2025-03-27</t>
        </is>
      </c>
      <c r="C3326" s="60" t="inlineStr">
        <is>
          <t>Nimbus Men Plus-231</t>
        </is>
      </c>
      <c r="D3326" s="58" t="inlineStr">
        <is>
          <t>Apparel</t>
        </is>
      </c>
      <c r="E3326" s="58" t="inlineStr">
        <is>
          <t>East</t>
        </is>
      </c>
      <c r="F3326" s="61" t="n">
        <v>2</v>
      </c>
      <c r="G3326" s="62" t="n">
        <v>150.27</v>
      </c>
      <c r="H3326" s="63" t="n">
        <v>0.055</v>
      </c>
      <c r="I3326" s="62" t="n">
        <v>91.69</v>
      </c>
      <c r="J3326" s="58" t="inlineStr">
        <is>
          <t>Online</t>
        </is>
      </c>
      <c r="K3326" s="62">
        <f>F3326*(G3326-H3326)</f>
        <v/>
      </c>
      <c r="L3326" s="62">
        <f>K3326-(F3326*I3326)</f>
        <v/>
      </c>
      <c r="M3326" s="64">
        <f>L3326/K3326</f>
        <v/>
      </c>
    </row>
    <row r="3327">
      <c r="A3327" s="58" t="inlineStr">
        <is>
          <t>RT20250327-03326</t>
        </is>
      </c>
      <c r="B3327" s="59" t="inlineStr">
        <is>
          <t>2025-03-27</t>
        </is>
      </c>
      <c r="C3327" s="60" t="inlineStr">
        <is>
          <t>Polar Pantry Lite-392</t>
        </is>
      </c>
      <c r="D3327" s="58" t="inlineStr">
        <is>
          <t>Grocery</t>
        </is>
      </c>
      <c r="E3327" s="58" t="inlineStr">
        <is>
          <t>South</t>
        </is>
      </c>
      <c r="F3327" s="61" t="n">
        <v>5</v>
      </c>
      <c r="G3327" s="62" t="n">
        <v>6</v>
      </c>
      <c r="H3327" s="63" t="n">
        <v>0.1</v>
      </c>
      <c r="I3327" s="62" t="n">
        <v>4.57</v>
      </c>
      <c r="J3327" s="58" t="inlineStr">
        <is>
          <t>Online</t>
        </is>
      </c>
      <c r="K3327" s="62">
        <f>F3327*(G3327-H3327)</f>
        <v/>
      </c>
      <c r="L3327" s="62">
        <f>K3327-(F3327*I3327)</f>
        <v/>
      </c>
      <c r="M3327" s="64">
        <f>L3327/K3327</f>
        <v/>
      </c>
    </row>
    <row r="3328">
      <c r="A3328" s="58" t="inlineStr">
        <is>
          <t>RT20250327-03327</t>
        </is>
      </c>
      <c r="B3328" s="59" t="inlineStr">
        <is>
          <t>2025-03-27</t>
        </is>
      </c>
      <c r="C3328" s="60" t="inlineStr">
        <is>
          <t>Polar Bedding Lite-243</t>
        </is>
      </c>
      <c r="D3328" s="58" t="inlineStr">
        <is>
          <t>Home</t>
        </is>
      </c>
      <c r="E3328" s="58" t="inlineStr">
        <is>
          <t>West</t>
        </is>
      </c>
      <c r="F3328" s="61" t="n">
        <v>1</v>
      </c>
      <c r="G3328" s="62" t="n">
        <v>456.18</v>
      </c>
      <c r="H3328" s="63" t="n">
        <v>0.093</v>
      </c>
      <c r="I3328" s="62" t="n">
        <v>311.25</v>
      </c>
      <c r="J3328" s="58" t="inlineStr">
        <is>
          <t>Online</t>
        </is>
      </c>
      <c r="K3328" s="62">
        <f>F3328*(G3328-H3328)</f>
        <v/>
      </c>
      <c r="L3328" s="62">
        <f>K3328-(F3328*I3328)</f>
        <v/>
      </c>
      <c r="M3328" s="64">
        <f>L3328/K3328</f>
        <v/>
      </c>
    </row>
    <row r="3329">
      <c r="A3329" s="58" t="inlineStr">
        <is>
          <t>RT20250327-03328</t>
        </is>
      </c>
      <c r="B3329" s="59" t="inlineStr">
        <is>
          <t>2025-03-27</t>
        </is>
      </c>
      <c r="C3329" s="60" t="inlineStr">
        <is>
          <t>Orion Kid Max-640</t>
        </is>
      </c>
      <c r="D3329" s="58" t="inlineStr">
        <is>
          <t>Apparel</t>
        </is>
      </c>
      <c r="E3329" s="58" t="inlineStr">
        <is>
          <t>Central</t>
        </is>
      </c>
      <c r="F3329" s="61" t="n">
        <v>1</v>
      </c>
      <c r="G3329" s="62" t="n">
        <v>125.25</v>
      </c>
      <c r="H3329" s="63" t="n">
        <v>0.097</v>
      </c>
      <c r="I3329" s="62" t="n">
        <v>71.44</v>
      </c>
      <c r="J3329" s="58" t="inlineStr">
        <is>
          <t>Store</t>
        </is>
      </c>
      <c r="K3329" s="62">
        <f>F3329*(G3329-H3329)</f>
        <v/>
      </c>
      <c r="L3329" s="62">
        <f>K3329-(F3329*I3329)</f>
        <v/>
      </c>
      <c r="M3329" s="64">
        <f>L3329/K3329</f>
        <v/>
      </c>
    </row>
    <row r="3330">
      <c r="A3330" s="58" t="inlineStr">
        <is>
          <t>RT20250327-03329</t>
        </is>
      </c>
      <c r="B3330" s="59" t="inlineStr">
        <is>
          <t>2025-03-27</t>
        </is>
      </c>
      <c r="C3330" s="60" t="inlineStr">
        <is>
          <t>Aurora Storage Lite-774</t>
        </is>
      </c>
      <c r="D3330" s="58" t="inlineStr">
        <is>
          <t>Office</t>
        </is>
      </c>
      <c r="E3330" s="58" t="inlineStr">
        <is>
          <t>Central</t>
        </is>
      </c>
      <c r="F3330" s="61" t="n">
        <v>1</v>
      </c>
      <c r="G3330" s="62" t="n">
        <v>346.17</v>
      </c>
      <c r="H3330" s="63" t="n">
        <v>0.09</v>
      </c>
      <c r="I3330" s="62" t="n">
        <v>242.46</v>
      </c>
      <c r="J3330" s="58" t="inlineStr">
        <is>
          <t>Online</t>
        </is>
      </c>
      <c r="K3330" s="62">
        <f>F3330*(G3330-H3330)</f>
        <v/>
      </c>
      <c r="L3330" s="62">
        <f>K3330-(F3330*I3330)</f>
        <v/>
      </c>
      <c r="M3330" s="64">
        <f>L3330/K3330</f>
        <v/>
      </c>
    </row>
    <row r="3331">
      <c r="A3331" s="58" t="inlineStr">
        <is>
          <t>RT20250327-03330</t>
        </is>
      </c>
      <c r="B3331" s="59" t="inlineStr">
        <is>
          <t>2025-03-27</t>
        </is>
      </c>
      <c r="C3331" s="60" t="inlineStr">
        <is>
          <t>Polar Cycling X-649</t>
        </is>
      </c>
      <c r="D3331" s="58" t="inlineStr">
        <is>
          <t>Sports</t>
        </is>
      </c>
      <c r="E3331" s="58" t="inlineStr">
        <is>
          <t>East</t>
        </is>
      </c>
      <c r="F3331" s="61" t="n">
        <v>1</v>
      </c>
      <c r="G3331" s="62" t="n">
        <v>496.62</v>
      </c>
      <c r="H3331" s="63" t="n">
        <v>0.108</v>
      </c>
      <c r="I3331" s="62" t="n">
        <v>367.42</v>
      </c>
      <c r="J3331" s="58" t="inlineStr">
        <is>
          <t>Online</t>
        </is>
      </c>
      <c r="K3331" s="62">
        <f>F3331*(G3331-H3331)</f>
        <v/>
      </c>
      <c r="L3331" s="62">
        <f>K3331-(F3331*I3331)</f>
        <v/>
      </c>
      <c r="M3331" s="64">
        <f>L3331/K3331</f>
        <v/>
      </c>
    </row>
    <row r="3332">
      <c r="A3332" s="58" t="inlineStr">
        <is>
          <t>RT20250327-03331</t>
        </is>
      </c>
      <c r="B3332" s="59" t="inlineStr">
        <is>
          <t>2025-03-27</t>
        </is>
      </c>
      <c r="C3332" s="60" t="inlineStr">
        <is>
          <t>Nimbus Women Plus-352</t>
        </is>
      </c>
      <c r="D3332" s="58" t="inlineStr">
        <is>
          <t>Apparel</t>
        </is>
      </c>
      <c r="E3332" s="58" t="inlineStr">
        <is>
          <t>West</t>
        </is>
      </c>
      <c r="F3332" s="61" t="n">
        <v>2</v>
      </c>
      <c r="G3332" s="62" t="n">
        <v>60.39</v>
      </c>
      <c r="H3332" s="63" t="n">
        <v>0.067</v>
      </c>
      <c r="I3332" s="62" t="n">
        <v>32.75</v>
      </c>
      <c r="J3332" s="58" t="inlineStr">
        <is>
          <t>Online</t>
        </is>
      </c>
      <c r="K3332" s="62">
        <f>F3332*(G3332-H3332)</f>
        <v/>
      </c>
      <c r="L3332" s="62">
        <f>K3332-(F3332*I3332)</f>
        <v/>
      </c>
      <c r="M3332" s="64">
        <f>L3332/K3332</f>
        <v/>
      </c>
    </row>
    <row r="3333">
      <c r="A3333" s="58" t="inlineStr">
        <is>
          <t>RT20250327-03332</t>
        </is>
      </c>
      <c r="B3333" s="59" t="inlineStr">
        <is>
          <t>2025-03-27</t>
        </is>
      </c>
      <c r="C3333" s="60" t="inlineStr">
        <is>
          <t>Vertex Supplie X-513</t>
        </is>
      </c>
      <c r="D3333" s="58" t="inlineStr">
        <is>
          <t>Office</t>
        </is>
      </c>
      <c r="E3333" s="58" t="inlineStr">
        <is>
          <t>South</t>
        </is>
      </c>
      <c r="F3333" s="61" t="n">
        <v>1</v>
      </c>
      <c r="G3333" s="62" t="n">
        <v>350.97</v>
      </c>
      <c r="H3333" s="63" t="n">
        <v>0.066</v>
      </c>
      <c r="I3333" s="62" t="n">
        <v>284.61</v>
      </c>
      <c r="J3333" s="58" t="inlineStr">
        <is>
          <t>Online</t>
        </is>
      </c>
      <c r="K3333" s="62">
        <f>F3333*(G3333-H3333)</f>
        <v/>
      </c>
      <c r="L3333" s="62">
        <f>K3333-(F3333*I3333)</f>
        <v/>
      </c>
      <c r="M3333" s="64">
        <f>L3333/K3333</f>
        <v/>
      </c>
    </row>
    <row r="3334">
      <c r="A3334" s="58" t="inlineStr">
        <is>
          <t>RT20250327-03333</t>
        </is>
      </c>
      <c r="B3334" s="59" t="inlineStr">
        <is>
          <t>2025-03-27</t>
        </is>
      </c>
      <c r="C3334" s="60" t="inlineStr">
        <is>
          <t>Polar Supplie Lite-348</t>
        </is>
      </c>
      <c r="D3334" s="58" t="inlineStr">
        <is>
          <t>Office</t>
        </is>
      </c>
      <c r="E3334" s="58" t="inlineStr">
        <is>
          <t>South</t>
        </is>
      </c>
      <c r="F3334" s="61" t="n">
        <v>2</v>
      </c>
      <c r="G3334" s="62" t="n">
        <v>450.41</v>
      </c>
      <c r="H3334" s="63" t="n">
        <v>0.148</v>
      </c>
      <c r="I3334" s="62" t="n">
        <v>314.94</v>
      </c>
      <c r="J3334" s="58" t="inlineStr">
        <is>
          <t>Store</t>
        </is>
      </c>
      <c r="K3334" s="62">
        <f>F3334*(G3334-H3334)</f>
        <v/>
      </c>
      <c r="L3334" s="62">
        <f>K3334-(F3334*I3334)</f>
        <v/>
      </c>
      <c r="M3334" s="64">
        <f>L3334/K3334</f>
        <v/>
      </c>
    </row>
    <row r="3335">
      <c r="A3335" s="58" t="inlineStr">
        <is>
          <t>RT20250327-03334</t>
        </is>
      </c>
      <c r="B3335" s="59" t="inlineStr">
        <is>
          <t>2025-03-27</t>
        </is>
      </c>
      <c r="C3335" s="60" t="inlineStr">
        <is>
          <t>Nimbus Decor Lite-385</t>
        </is>
      </c>
      <c r="D3335" s="58" t="inlineStr">
        <is>
          <t>Home</t>
        </is>
      </c>
      <c r="E3335" s="58" t="inlineStr">
        <is>
          <t>East</t>
        </is>
      </c>
      <c r="F3335" s="61" t="n">
        <v>1</v>
      </c>
      <c r="G3335" s="62" t="n">
        <v>630.77</v>
      </c>
      <c r="H3335" s="63" t="n">
        <v>0.108</v>
      </c>
      <c r="I3335" s="62" t="n">
        <v>395.65</v>
      </c>
      <c r="J3335" s="58" t="inlineStr">
        <is>
          <t>Online</t>
        </is>
      </c>
      <c r="K3335" s="62">
        <f>F3335*(G3335-H3335)</f>
        <v/>
      </c>
      <c r="L3335" s="62">
        <f>K3335-(F3335*I3335)</f>
        <v/>
      </c>
      <c r="M3335" s="64">
        <f>L3335/K3335</f>
        <v/>
      </c>
    </row>
    <row r="3336">
      <c r="A3336" s="58" t="inlineStr">
        <is>
          <t>RT20250327-03335</t>
        </is>
      </c>
      <c r="B3336" s="59" t="inlineStr">
        <is>
          <t>2025-03-27</t>
        </is>
      </c>
      <c r="C3336" s="60" t="inlineStr">
        <is>
          <t>Polar Women Max-927</t>
        </is>
      </c>
      <c r="D3336" s="58" t="inlineStr">
        <is>
          <t>Apparel</t>
        </is>
      </c>
      <c r="E3336" s="58" t="inlineStr">
        <is>
          <t>North</t>
        </is>
      </c>
      <c r="F3336" s="61" t="n">
        <v>1</v>
      </c>
      <c r="G3336" s="62" t="n">
        <v>105.31</v>
      </c>
      <c r="H3336" s="63" t="n">
        <v>0.142</v>
      </c>
      <c r="I3336" s="62" t="n">
        <v>65.42</v>
      </c>
      <c r="J3336" s="58" t="inlineStr">
        <is>
          <t>Online</t>
        </is>
      </c>
      <c r="K3336" s="62">
        <f>F3336*(G3336-H3336)</f>
        <v/>
      </c>
      <c r="L3336" s="62">
        <f>K3336-(F3336*I3336)</f>
        <v/>
      </c>
      <c r="M3336" s="64">
        <f>L3336/K3336</f>
        <v/>
      </c>
    </row>
    <row r="3337">
      <c r="A3337" s="58" t="inlineStr">
        <is>
          <t>RT20250327-03336</t>
        </is>
      </c>
      <c r="B3337" s="59" t="inlineStr">
        <is>
          <t>2025-03-27</t>
        </is>
      </c>
      <c r="C3337" s="60" t="inlineStr">
        <is>
          <t>Orion Laptop S-350</t>
        </is>
      </c>
      <c r="D3337" s="58" t="inlineStr">
        <is>
          <t>Electronics</t>
        </is>
      </c>
      <c r="E3337" s="58" t="inlineStr">
        <is>
          <t>North</t>
        </is>
      </c>
      <c r="F3337" s="61" t="n">
        <v>1</v>
      </c>
      <c r="G3337" s="62" t="n">
        <v>1273.34</v>
      </c>
      <c r="H3337" s="63" t="n">
        <v>0.116</v>
      </c>
      <c r="I3337" s="62" t="n">
        <v>1074.22</v>
      </c>
      <c r="J3337" s="58" t="inlineStr">
        <is>
          <t>Store</t>
        </is>
      </c>
      <c r="K3337" s="62">
        <f>F3337*(G3337-H3337)</f>
        <v/>
      </c>
      <c r="L3337" s="62">
        <f>K3337-(F3337*I3337)</f>
        <v/>
      </c>
      <c r="M3337" s="64">
        <f>L3337/K3337</f>
        <v/>
      </c>
    </row>
    <row r="3338">
      <c r="A3338" s="58" t="inlineStr">
        <is>
          <t>RT20250327-03337</t>
        </is>
      </c>
      <c r="B3338" s="59" t="inlineStr">
        <is>
          <t>2025-03-27</t>
        </is>
      </c>
      <c r="C3338" s="60" t="inlineStr">
        <is>
          <t>Vertex Supplie Pro-786</t>
        </is>
      </c>
      <c r="D3338" s="58" t="inlineStr">
        <is>
          <t>Office</t>
        </is>
      </c>
      <c r="E3338" s="58" t="inlineStr">
        <is>
          <t>East</t>
        </is>
      </c>
      <c r="F3338" s="61" t="n">
        <v>2</v>
      </c>
      <c r="G3338" s="62" t="n">
        <v>462.3</v>
      </c>
      <c r="H3338" s="63" t="n">
        <v>0.103</v>
      </c>
      <c r="I3338" s="62" t="n">
        <v>288.89</v>
      </c>
      <c r="J3338" s="58" t="inlineStr">
        <is>
          <t>Online</t>
        </is>
      </c>
      <c r="K3338" s="62">
        <f>F3338*(G3338-H3338)</f>
        <v/>
      </c>
      <c r="L3338" s="62">
        <f>K3338-(F3338*I3338)</f>
        <v/>
      </c>
      <c r="M3338" s="64">
        <f>L3338/K3338</f>
        <v/>
      </c>
    </row>
    <row r="3339">
      <c r="A3339" s="58" t="inlineStr">
        <is>
          <t>RT20250327-03338</t>
        </is>
      </c>
      <c r="B3339" s="59" t="inlineStr">
        <is>
          <t>2025-03-27</t>
        </is>
      </c>
      <c r="C3339" s="60" t="inlineStr">
        <is>
          <t>Vertex Appliance Max-338</t>
        </is>
      </c>
      <c r="D3339" s="58" t="inlineStr">
        <is>
          <t>Home</t>
        </is>
      </c>
      <c r="E3339" s="58" t="inlineStr">
        <is>
          <t>West</t>
        </is>
      </c>
      <c r="F3339" s="61" t="n">
        <v>1</v>
      </c>
      <c r="G3339" s="62" t="n">
        <v>421.72</v>
      </c>
      <c r="H3339" s="63" t="n">
        <v>0.112</v>
      </c>
      <c r="I3339" s="62" t="n">
        <v>294.34</v>
      </c>
      <c r="J3339" s="58" t="inlineStr">
        <is>
          <t>Store</t>
        </is>
      </c>
      <c r="K3339" s="62">
        <f>F3339*(G3339-H3339)</f>
        <v/>
      </c>
      <c r="L3339" s="62">
        <f>K3339-(F3339*I3339)</f>
        <v/>
      </c>
      <c r="M3339" s="64">
        <f>L3339/K3339</f>
        <v/>
      </c>
    </row>
    <row r="3340">
      <c r="A3340" s="58" t="inlineStr">
        <is>
          <t>RT20250327-03339</t>
        </is>
      </c>
      <c r="B3340" s="59" t="inlineStr">
        <is>
          <t>2025-03-27</t>
        </is>
      </c>
      <c r="C3340" s="60" t="inlineStr">
        <is>
          <t>Nimbus Women Plus-352</t>
        </is>
      </c>
      <c r="D3340" s="58" t="inlineStr">
        <is>
          <t>Apparel</t>
        </is>
      </c>
      <c r="E3340" s="58" t="inlineStr">
        <is>
          <t>South</t>
        </is>
      </c>
      <c r="F3340" s="61" t="n">
        <v>1</v>
      </c>
      <c r="G3340" s="62" t="n">
        <v>58.87</v>
      </c>
      <c r="H3340" s="63" t="n">
        <v>0.166</v>
      </c>
      <c r="I3340" s="62" t="n">
        <v>33.13</v>
      </c>
      <c r="J3340" s="58" t="inlineStr">
        <is>
          <t>Online</t>
        </is>
      </c>
      <c r="K3340" s="62">
        <f>F3340*(G3340-H3340)</f>
        <v/>
      </c>
      <c r="L3340" s="62">
        <f>K3340-(F3340*I3340)</f>
        <v/>
      </c>
      <c r="M3340" s="64">
        <f>L3340/K3340</f>
        <v/>
      </c>
    </row>
    <row r="3341">
      <c r="A3341" s="58" t="inlineStr">
        <is>
          <t>RT20250327-03340</t>
        </is>
      </c>
      <c r="B3341" s="59" t="inlineStr">
        <is>
          <t>2025-03-27</t>
        </is>
      </c>
      <c r="C3341" s="60" t="inlineStr">
        <is>
          <t>Aurora Bedding Plus-187</t>
        </is>
      </c>
      <c r="D3341" s="58" t="inlineStr">
        <is>
          <t>Home</t>
        </is>
      </c>
      <c r="E3341" s="58" t="inlineStr">
        <is>
          <t>South</t>
        </is>
      </c>
      <c r="F3341" s="61" t="n">
        <v>3</v>
      </c>
      <c r="G3341" s="62" t="n">
        <v>339</v>
      </c>
      <c r="H3341" s="63" t="n">
        <v>0.075</v>
      </c>
      <c r="I3341" s="62" t="n">
        <v>209.25</v>
      </c>
      <c r="J3341" s="58" t="inlineStr">
        <is>
          <t>Store</t>
        </is>
      </c>
      <c r="K3341" s="62">
        <f>F3341*(G3341-H3341)</f>
        <v/>
      </c>
      <c r="L3341" s="62">
        <f>K3341-(F3341*I3341)</f>
        <v/>
      </c>
      <c r="M3341" s="64">
        <f>L3341/K3341</f>
        <v/>
      </c>
    </row>
    <row r="3342">
      <c r="A3342" s="58" t="inlineStr">
        <is>
          <t>RT20250327-03341</t>
        </is>
      </c>
      <c r="B3342" s="59" t="inlineStr">
        <is>
          <t>2025-03-27</t>
        </is>
      </c>
      <c r="C3342" s="60" t="inlineStr">
        <is>
          <t>Nimbus Headphone X-854</t>
        </is>
      </c>
      <c r="D3342" s="58" t="inlineStr">
        <is>
          <t>Electronics</t>
        </is>
      </c>
      <c r="E3342" s="58" t="inlineStr">
        <is>
          <t>West</t>
        </is>
      </c>
      <c r="F3342" s="61" t="n">
        <v>1</v>
      </c>
      <c r="G3342" s="62" t="n">
        <v>1625.14</v>
      </c>
      <c r="H3342" s="63" t="n">
        <v>0.097</v>
      </c>
      <c r="I3342" s="62" t="n">
        <v>1250.82</v>
      </c>
      <c r="J3342" s="58" t="inlineStr">
        <is>
          <t>Online</t>
        </is>
      </c>
      <c r="K3342" s="62">
        <f>F3342*(G3342-H3342)</f>
        <v/>
      </c>
      <c r="L3342" s="62">
        <f>K3342-(F3342*I3342)</f>
        <v/>
      </c>
      <c r="M3342" s="64">
        <f>L3342/K3342</f>
        <v/>
      </c>
    </row>
    <row r="3343">
      <c r="A3343" s="58" t="inlineStr">
        <is>
          <t>RT20250327-03342</t>
        </is>
      </c>
      <c r="B3343" s="59" t="inlineStr">
        <is>
          <t>2025-03-27</t>
        </is>
      </c>
      <c r="C3343" s="60" t="inlineStr">
        <is>
          <t>Polar Outdoor X-193</t>
        </is>
      </c>
      <c r="D3343" s="58" t="inlineStr">
        <is>
          <t>Sports</t>
        </is>
      </c>
      <c r="E3343" s="58" t="inlineStr">
        <is>
          <t>Central</t>
        </is>
      </c>
      <c r="F3343" s="61" t="n">
        <v>2</v>
      </c>
      <c r="G3343" s="62" t="n">
        <v>677.16</v>
      </c>
      <c r="H3343" s="63" t="n">
        <v>0.096</v>
      </c>
      <c r="I3343" s="62" t="n">
        <v>449.41</v>
      </c>
      <c r="J3343" s="58" t="inlineStr">
        <is>
          <t>Online</t>
        </is>
      </c>
      <c r="K3343" s="62">
        <f>F3343*(G3343-H3343)</f>
        <v/>
      </c>
      <c r="L3343" s="62">
        <f>K3343-(F3343*I3343)</f>
        <v/>
      </c>
      <c r="M3343" s="64">
        <f>L3343/K3343</f>
        <v/>
      </c>
    </row>
    <row r="3344">
      <c r="A3344" s="58" t="inlineStr">
        <is>
          <t>RT20250327-03343</t>
        </is>
      </c>
      <c r="B3344" s="59" t="inlineStr">
        <is>
          <t>2025-03-27</t>
        </is>
      </c>
      <c r="C3344" s="60" t="inlineStr">
        <is>
          <t>Polar Pantry Lite-392</t>
        </is>
      </c>
      <c r="D3344" s="58" t="inlineStr">
        <is>
          <t>Grocery</t>
        </is>
      </c>
      <c r="E3344" s="58" t="inlineStr">
        <is>
          <t>East</t>
        </is>
      </c>
      <c r="F3344" s="61" t="n">
        <v>7</v>
      </c>
      <c r="G3344" s="62" t="n">
        <v>5.93</v>
      </c>
      <c r="H3344" s="63" t="n">
        <v>0.054</v>
      </c>
      <c r="I3344" s="62" t="n">
        <v>4.64</v>
      </c>
      <c r="J3344" s="58" t="inlineStr">
        <is>
          <t>Online</t>
        </is>
      </c>
      <c r="K3344" s="62">
        <f>F3344*(G3344-H3344)</f>
        <v/>
      </c>
      <c r="L3344" s="62">
        <f>K3344-(F3344*I3344)</f>
        <v/>
      </c>
      <c r="M3344" s="64">
        <f>L3344/K3344</f>
        <v/>
      </c>
    </row>
    <row r="3345">
      <c r="A3345" s="58" t="inlineStr">
        <is>
          <t>RT20250327-03344</t>
        </is>
      </c>
      <c r="B3345" s="59" t="inlineStr">
        <is>
          <t>2025-03-27</t>
        </is>
      </c>
      <c r="C3345" s="60" t="inlineStr">
        <is>
          <t>Aurora Haircare S-975</t>
        </is>
      </c>
      <c r="D3345" s="58" t="inlineStr">
        <is>
          <t>Beauty</t>
        </is>
      </c>
      <c r="E3345" s="58" t="inlineStr">
        <is>
          <t>South</t>
        </is>
      </c>
      <c r="F3345" s="61" t="n">
        <v>2</v>
      </c>
      <c r="G3345" s="62" t="n">
        <v>90.36</v>
      </c>
      <c r="H3345" s="63" t="n">
        <v>0.096</v>
      </c>
      <c r="I3345" s="62" t="n">
        <v>58.84</v>
      </c>
      <c r="J3345" s="58" t="inlineStr">
        <is>
          <t>Online</t>
        </is>
      </c>
      <c r="K3345" s="62">
        <f>F3345*(G3345-H3345)</f>
        <v/>
      </c>
      <c r="L3345" s="62">
        <f>K3345-(F3345*I3345)</f>
        <v/>
      </c>
      <c r="M3345" s="64">
        <f>L3345/K3345</f>
        <v/>
      </c>
    </row>
    <row r="3346">
      <c r="A3346" s="58" t="inlineStr">
        <is>
          <t>RT20250327-03345</t>
        </is>
      </c>
      <c r="B3346" s="59" t="inlineStr">
        <is>
          <t>2025-03-27</t>
        </is>
      </c>
      <c r="C3346" s="60" t="inlineStr">
        <is>
          <t>Nimbus Laptop Max-652</t>
        </is>
      </c>
      <c r="D3346" s="58" t="inlineStr">
        <is>
          <t>Electronics</t>
        </is>
      </c>
      <c r="E3346" s="58" t="inlineStr">
        <is>
          <t>West</t>
        </is>
      </c>
      <c r="F3346" s="61" t="n">
        <v>1</v>
      </c>
      <c r="G3346" s="62" t="n">
        <v>1387.89</v>
      </c>
      <c r="H3346" s="63" t="n">
        <v>0.101</v>
      </c>
      <c r="I3346" s="62" t="n">
        <v>1024.9</v>
      </c>
      <c r="J3346" s="58" t="inlineStr">
        <is>
          <t>Store</t>
        </is>
      </c>
      <c r="K3346" s="62">
        <f>F3346*(G3346-H3346)</f>
        <v/>
      </c>
      <c r="L3346" s="62">
        <f>K3346-(F3346*I3346)</f>
        <v/>
      </c>
      <c r="M3346" s="64">
        <f>L3346/K3346</f>
        <v/>
      </c>
    </row>
    <row r="3347">
      <c r="A3347" s="58" t="inlineStr">
        <is>
          <t>RT20250327-03346</t>
        </is>
      </c>
      <c r="B3347" s="59" t="inlineStr">
        <is>
          <t>2025-03-27</t>
        </is>
      </c>
      <c r="C3347" s="60" t="inlineStr">
        <is>
          <t>Metro Pantry X-710</t>
        </is>
      </c>
      <c r="D3347" s="58" t="inlineStr">
        <is>
          <t>Grocery</t>
        </is>
      </c>
      <c r="E3347" s="58" t="inlineStr">
        <is>
          <t>East</t>
        </is>
      </c>
      <c r="F3347" s="61" t="n">
        <v>5</v>
      </c>
      <c r="G3347" s="62" t="n">
        <v>5.79</v>
      </c>
      <c r="H3347" s="63" t="n">
        <v>0.115</v>
      </c>
      <c r="I3347" s="62" t="n">
        <v>4.16</v>
      </c>
      <c r="J3347" s="58" t="inlineStr">
        <is>
          <t>Store</t>
        </is>
      </c>
      <c r="K3347" s="62">
        <f>F3347*(G3347-H3347)</f>
        <v/>
      </c>
      <c r="L3347" s="62">
        <f>K3347-(F3347*I3347)</f>
        <v/>
      </c>
      <c r="M3347" s="64">
        <f>L3347/K3347</f>
        <v/>
      </c>
    </row>
    <row r="3348">
      <c r="A3348" s="58" t="inlineStr">
        <is>
          <t>RT20250327-03347</t>
        </is>
      </c>
      <c r="B3348" s="59" t="inlineStr">
        <is>
          <t>2025-03-27</t>
        </is>
      </c>
      <c r="C3348" s="60" t="inlineStr">
        <is>
          <t>Nimbus Laptop Max-652</t>
        </is>
      </c>
      <c r="D3348" s="58" t="inlineStr">
        <is>
          <t>Electronics</t>
        </is>
      </c>
      <c r="E3348" s="58" t="inlineStr">
        <is>
          <t>East</t>
        </is>
      </c>
      <c r="F3348" s="61" t="n">
        <v>2</v>
      </c>
      <c r="G3348" s="62" t="n">
        <v>1485.51</v>
      </c>
      <c r="H3348" s="63" t="n">
        <v>0.092</v>
      </c>
      <c r="I3348" s="62" t="n">
        <v>1040.2</v>
      </c>
      <c r="J3348" s="58" t="inlineStr">
        <is>
          <t>Store</t>
        </is>
      </c>
      <c r="K3348" s="62">
        <f>F3348*(G3348-H3348)</f>
        <v/>
      </c>
      <c r="L3348" s="62">
        <f>K3348-(F3348*I3348)</f>
        <v/>
      </c>
      <c r="M3348" s="64">
        <f>L3348/K3348</f>
        <v/>
      </c>
    </row>
    <row r="3349">
      <c r="A3349" s="58" t="inlineStr">
        <is>
          <t>RT20250327-03348</t>
        </is>
      </c>
      <c r="B3349" s="59" t="inlineStr">
        <is>
          <t>2025-03-27</t>
        </is>
      </c>
      <c r="C3349" s="60" t="inlineStr">
        <is>
          <t>Aurora Appliance Lite-109</t>
        </is>
      </c>
      <c r="D3349" s="58" t="inlineStr">
        <is>
          <t>Home</t>
        </is>
      </c>
      <c r="E3349" s="58" t="inlineStr">
        <is>
          <t>South</t>
        </is>
      </c>
      <c r="F3349" s="61" t="n">
        <v>3</v>
      </c>
      <c r="G3349" s="62" t="n">
        <v>276.11</v>
      </c>
      <c r="H3349" s="63" t="n">
        <v>0.125</v>
      </c>
      <c r="I3349" s="62" t="n">
        <v>199.5</v>
      </c>
      <c r="J3349" s="58" t="inlineStr">
        <is>
          <t>Online</t>
        </is>
      </c>
      <c r="K3349" s="62">
        <f>F3349*(G3349-H3349)</f>
        <v/>
      </c>
      <c r="L3349" s="62">
        <f>K3349-(F3349*I3349)</f>
        <v/>
      </c>
      <c r="M3349" s="64">
        <f>L3349/K3349</f>
        <v/>
      </c>
    </row>
    <row r="3350">
      <c r="A3350" s="58" t="inlineStr">
        <is>
          <t>RT20250327-03349</t>
        </is>
      </c>
      <c r="B3350" s="59" t="inlineStr">
        <is>
          <t>2025-03-27</t>
        </is>
      </c>
      <c r="C3350" s="60" t="inlineStr">
        <is>
          <t>Orion Supplie S-612</t>
        </is>
      </c>
      <c r="D3350" s="58" t="inlineStr">
        <is>
          <t>Office</t>
        </is>
      </c>
      <c r="E3350" s="58" t="inlineStr">
        <is>
          <t>North</t>
        </is>
      </c>
      <c r="F3350" s="61" t="n">
        <v>2</v>
      </c>
      <c r="G3350" s="62" t="n">
        <v>479.09</v>
      </c>
      <c r="H3350" s="63" t="n">
        <v>0.09</v>
      </c>
      <c r="I3350" s="62" t="n">
        <v>338.7</v>
      </c>
      <c r="J3350" s="58" t="inlineStr">
        <is>
          <t>Online</t>
        </is>
      </c>
      <c r="K3350" s="62">
        <f>F3350*(G3350-H3350)</f>
        <v/>
      </c>
      <c r="L3350" s="62">
        <f>K3350-(F3350*I3350)</f>
        <v/>
      </c>
      <c r="M3350" s="64">
        <f>L3350/K3350</f>
        <v/>
      </c>
    </row>
    <row r="3351">
      <c r="A3351" s="58" t="inlineStr">
        <is>
          <t>RT20250327-03350</t>
        </is>
      </c>
      <c r="B3351" s="59" t="inlineStr">
        <is>
          <t>2025-03-27</t>
        </is>
      </c>
      <c r="C3351" s="60" t="inlineStr">
        <is>
          <t>Nimbus Decor Lite-385</t>
        </is>
      </c>
      <c r="D3351" s="58" t="inlineStr">
        <is>
          <t>Home</t>
        </is>
      </c>
      <c r="E3351" s="58" t="inlineStr">
        <is>
          <t>East</t>
        </is>
      </c>
      <c r="F3351" s="61" t="n">
        <v>1</v>
      </c>
      <c r="G3351" s="62" t="n">
        <v>509.13</v>
      </c>
      <c r="H3351" s="63" t="n">
        <v>0.07199999999999999</v>
      </c>
      <c r="I3351" s="62" t="n">
        <v>408.35</v>
      </c>
      <c r="J3351" s="58" t="inlineStr">
        <is>
          <t>Online</t>
        </is>
      </c>
      <c r="K3351" s="62">
        <f>F3351*(G3351-H3351)</f>
        <v/>
      </c>
      <c r="L3351" s="62">
        <f>K3351-(F3351*I3351)</f>
        <v/>
      </c>
      <c r="M3351" s="64">
        <f>L3351/K3351</f>
        <v/>
      </c>
    </row>
    <row r="3352">
      <c r="A3352" s="58" t="inlineStr">
        <is>
          <t>RT20250327-03351</t>
        </is>
      </c>
      <c r="B3352" s="59" t="inlineStr">
        <is>
          <t>2025-03-27</t>
        </is>
      </c>
      <c r="C3352" s="60" t="inlineStr">
        <is>
          <t>Solace Makeup Pro-214</t>
        </is>
      </c>
      <c r="D3352" s="58" t="inlineStr">
        <is>
          <t>Beauty</t>
        </is>
      </c>
      <c r="E3352" s="58" t="inlineStr">
        <is>
          <t>South</t>
        </is>
      </c>
      <c r="F3352" s="61" t="n">
        <v>1</v>
      </c>
      <c r="G3352" s="62" t="n">
        <v>99.95999999999999</v>
      </c>
      <c r="H3352" s="63" t="n">
        <v>0.106</v>
      </c>
      <c r="I3352" s="62" t="n">
        <v>66.92</v>
      </c>
      <c r="J3352" s="58" t="inlineStr">
        <is>
          <t>Online</t>
        </is>
      </c>
      <c r="K3352" s="62">
        <f>F3352*(G3352-H3352)</f>
        <v/>
      </c>
      <c r="L3352" s="62">
        <f>K3352-(F3352*I3352)</f>
        <v/>
      </c>
      <c r="M3352" s="64">
        <f>L3352/K3352</f>
        <v/>
      </c>
    </row>
    <row r="3353">
      <c r="A3353" s="58" t="inlineStr">
        <is>
          <t>RT20250327-03352</t>
        </is>
      </c>
      <c r="B3353" s="59" t="inlineStr">
        <is>
          <t>2025-03-27</t>
        </is>
      </c>
      <c r="C3353" s="60" t="inlineStr">
        <is>
          <t>Orion Snack X-322</t>
        </is>
      </c>
      <c r="D3353" s="58" t="inlineStr">
        <is>
          <t>Grocery</t>
        </is>
      </c>
      <c r="E3353" s="58" t="inlineStr">
        <is>
          <t>Central</t>
        </is>
      </c>
      <c r="F3353" s="61" t="n">
        <v>8</v>
      </c>
      <c r="G3353" s="62" t="n">
        <v>14.79</v>
      </c>
      <c r="H3353" s="63" t="n">
        <v>0.068</v>
      </c>
      <c r="I3353" s="62" t="n">
        <v>10.26</v>
      </c>
      <c r="J3353" s="58" t="inlineStr">
        <is>
          <t>Store</t>
        </is>
      </c>
      <c r="K3353" s="62">
        <f>F3353*(G3353-H3353)</f>
        <v/>
      </c>
      <c r="L3353" s="62">
        <f>K3353-(F3353*I3353)</f>
        <v/>
      </c>
      <c r="M3353" s="64">
        <f>L3353/K3353</f>
        <v/>
      </c>
    </row>
    <row r="3354">
      <c r="A3354" s="58" t="inlineStr">
        <is>
          <t>RT20250327-03353</t>
        </is>
      </c>
      <c r="B3354" s="59" t="inlineStr">
        <is>
          <t>2025-03-27</t>
        </is>
      </c>
      <c r="C3354" s="60" t="inlineStr">
        <is>
          <t>Aurora Printer Plus-991</t>
        </is>
      </c>
      <c r="D3354" s="58" t="inlineStr">
        <is>
          <t>Office</t>
        </is>
      </c>
      <c r="E3354" s="58" t="inlineStr">
        <is>
          <t>South</t>
        </is>
      </c>
      <c r="F3354" s="61" t="n">
        <v>2</v>
      </c>
      <c r="G3354" s="62" t="n">
        <v>541.1900000000001</v>
      </c>
      <c r="H3354" s="63" t="n">
        <v>0.148</v>
      </c>
      <c r="I3354" s="62" t="n">
        <v>369.98</v>
      </c>
      <c r="J3354" s="58" t="inlineStr">
        <is>
          <t>Store</t>
        </is>
      </c>
      <c r="K3354" s="62">
        <f>F3354*(G3354-H3354)</f>
        <v/>
      </c>
      <c r="L3354" s="62">
        <f>K3354-(F3354*I3354)</f>
        <v/>
      </c>
      <c r="M3354" s="64">
        <f>L3354/K3354</f>
        <v/>
      </c>
    </row>
    <row r="3355">
      <c r="A3355" s="58" t="inlineStr">
        <is>
          <t>RT20250327-03354</t>
        </is>
      </c>
      <c r="B3355" s="59" t="inlineStr">
        <is>
          <t>2025-03-27</t>
        </is>
      </c>
      <c r="C3355" s="60" t="inlineStr">
        <is>
          <t>Aurora Smartphone Plus-125</t>
        </is>
      </c>
      <c r="D3355" s="58" t="inlineStr">
        <is>
          <t>Electronics</t>
        </is>
      </c>
      <c r="E3355" s="58" t="inlineStr">
        <is>
          <t>West</t>
        </is>
      </c>
      <c r="F3355" s="61" t="n">
        <v>2</v>
      </c>
      <c r="G3355" s="62" t="n">
        <v>1649.25</v>
      </c>
      <c r="H3355" s="63" t="n">
        <v>0.118</v>
      </c>
      <c r="I3355" s="62" t="n">
        <v>1230.66</v>
      </c>
      <c r="J3355" s="58" t="inlineStr">
        <is>
          <t>Store</t>
        </is>
      </c>
      <c r="K3355" s="62">
        <f>F3355*(G3355-H3355)</f>
        <v/>
      </c>
      <c r="L3355" s="62">
        <f>K3355-(F3355*I3355)</f>
        <v/>
      </c>
      <c r="M3355" s="64">
        <f>L3355/K3355</f>
        <v/>
      </c>
    </row>
    <row r="3356">
      <c r="A3356" s="58" t="inlineStr">
        <is>
          <t>RT20250327-03355</t>
        </is>
      </c>
      <c r="B3356" s="59" t="inlineStr">
        <is>
          <t>2025-03-27</t>
        </is>
      </c>
      <c r="C3356" s="60" t="inlineStr">
        <is>
          <t>Nimbus Furniture Pro-479</t>
        </is>
      </c>
      <c r="D3356" s="58" t="inlineStr">
        <is>
          <t>Office</t>
        </is>
      </c>
      <c r="E3356" s="58" t="inlineStr">
        <is>
          <t>Central</t>
        </is>
      </c>
      <c r="F3356" s="61" t="n">
        <v>3</v>
      </c>
      <c r="G3356" s="62" t="n">
        <v>334.46</v>
      </c>
      <c r="H3356" s="63" t="n">
        <v>0.098</v>
      </c>
      <c r="I3356" s="62" t="n">
        <v>241.24</v>
      </c>
      <c r="J3356" s="58" t="inlineStr">
        <is>
          <t>Store</t>
        </is>
      </c>
      <c r="K3356" s="62">
        <f>F3356*(G3356-H3356)</f>
        <v/>
      </c>
      <c r="L3356" s="62">
        <f>K3356-(F3356*I3356)</f>
        <v/>
      </c>
      <c r="M3356" s="64">
        <f>L3356/K3356</f>
        <v/>
      </c>
    </row>
    <row r="3357">
      <c r="A3357" s="58" t="inlineStr">
        <is>
          <t>RT20250328-03356</t>
        </is>
      </c>
      <c r="B3357" s="59" t="inlineStr">
        <is>
          <t>2025-03-28</t>
        </is>
      </c>
      <c r="C3357" s="60" t="inlineStr">
        <is>
          <t>Vertex Smartphone Pro-256</t>
        </is>
      </c>
      <c r="D3357" s="58" t="inlineStr">
        <is>
          <t>Electronics</t>
        </is>
      </c>
      <c r="E3357" s="58" t="inlineStr">
        <is>
          <t>West</t>
        </is>
      </c>
      <c r="F3357" s="61" t="n">
        <v>2</v>
      </c>
      <c r="G3357" s="62" t="n">
        <v>1152.23</v>
      </c>
      <c r="H3357" s="63" t="n">
        <v>0.115</v>
      </c>
      <c r="I3357" s="62" t="n">
        <v>899.46</v>
      </c>
      <c r="J3357" s="58" t="inlineStr">
        <is>
          <t>Online</t>
        </is>
      </c>
      <c r="K3357" s="62">
        <f>F3357*(G3357-H3357)</f>
        <v/>
      </c>
      <c r="L3357" s="62">
        <f>K3357-(F3357*I3357)</f>
        <v/>
      </c>
      <c r="M3357" s="64">
        <f>L3357/K3357</f>
        <v/>
      </c>
    </row>
    <row r="3358">
      <c r="A3358" s="58" t="inlineStr">
        <is>
          <t>RT20250328-03357</t>
        </is>
      </c>
      <c r="B3358" s="59" t="inlineStr">
        <is>
          <t>2025-03-28</t>
        </is>
      </c>
      <c r="C3358" s="60" t="inlineStr">
        <is>
          <t>Orion Laptop S-350</t>
        </is>
      </c>
      <c r="D3358" s="58" t="inlineStr">
        <is>
          <t>Electronics</t>
        </is>
      </c>
      <c r="E3358" s="58" t="inlineStr">
        <is>
          <t>West</t>
        </is>
      </c>
      <c r="F3358" s="61" t="n">
        <v>1</v>
      </c>
      <c r="G3358" s="62" t="n">
        <v>1253.77</v>
      </c>
      <c r="H3358" s="63" t="n">
        <v>0.097</v>
      </c>
      <c r="I3358" s="62" t="n">
        <v>1091.89</v>
      </c>
      <c r="J3358" s="58" t="inlineStr">
        <is>
          <t>Store</t>
        </is>
      </c>
      <c r="K3358" s="62">
        <f>F3358*(G3358-H3358)</f>
        <v/>
      </c>
      <c r="L3358" s="62">
        <f>K3358-(F3358*I3358)</f>
        <v/>
      </c>
      <c r="M3358" s="64">
        <f>L3358/K3358</f>
        <v/>
      </c>
    </row>
    <row r="3359">
      <c r="A3359" s="58" t="inlineStr">
        <is>
          <t>RT20250328-03358</t>
        </is>
      </c>
      <c r="B3359" s="59" t="inlineStr">
        <is>
          <t>2025-03-28</t>
        </is>
      </c>
      <c r="C3359" s="60" t="inlineStr">
        <is>
          <t>Nimbus Women Plus-352</t>
        </is>
      </c>
      <c r="D3359" s="58" t="inlineStr">
        <is>
          <t>Apparel</t>
        </is>
      </c>
      <c r="E3359" s="58" t="inlineStr">
        <is>
          <t>West</t>
        </is>
      </c>
      <c r="F3359" s="61" t="n">
        <v>1</v>
      </c>
      <c r="G3359" s="62" t="n">
        <v>60.16</v>
      </c>
      <c r="H3359" s="63" t="n">
        <v>0.052</v>
      </c>
      <c r="I3359" s="62" t="n">
        <v>33.33</v>
      </c>
      <c r="J3359" s="58" t="inlineStr">
        <is>
          <t>Store</t>
        </is>
      </c>
      <c r="K3359" s="62">
        <f>F3359*(G3359-H3359)</f>
        <v/>
      </c>
      <c r="L3359" s="62">
        <f>K3359-(F3359*I3359)</f>
        <v/>
      </c>
      <c r="M3359" s="64">
        <f>L3359/K3359</f>
        <v/>
      </c>
    </row>
    <row r="3360">
      <c r="A3360" s="58" t="inlineStr">
        <is>
          <t>RT20250328-03359</t>
        </is>
      </c>
      <c r="B3360" s="59" t="inlineStr">
        <is>
          <t>2025-03-28</t>
        </is>
      </c>
      <c r="C3360" s="60" t="inlineStr">
        <is>
          <t>Solace Kitchen Pro-510</t>
        </is>
      </c>
      <c r="D3360" s="58" t="inlineStr">
        <is>
          <t>Home</t>
        </is>
      </c>
      <c r="E3360" s="58" t="inlineStr">
        <is>
          <t>Central</t>
        </is>
      </c>
      <c r="F3360" s="61" t="n">
        <v>1</v>
      </c>
      <c r="G3360" s="62" t="n">
        <v>455.95</v>
      </c>
      <c r="H3360" s="63" t="n">
        <v>0.119</v>
      </c>
      <c r="I3360" s="62" t="n">
        <v>307.21</v>
      </c>
      <c r="J3360" s="58" t="inlineStr">
        <is>
          <t>Online</t>
        </is>
      </c>
      <c r="K3360" s="62">
        <f>F3360*(G3360-H3360)</f>
        <v/>
      </c>
      <c r="L3360" s="62">
        <f>K3360-(F3360*I3360)</f>
        <v/>
      </c>
      <c r="M3360" s="64">
        <f>L3360/K3360</f>
        <v/>
      </c>
    </row>
    <row r="3361">
      <c r="A3361" s="58" t="inlineStr">
        <is>
          <t>RT20250328-03360</t>
        </is>
      </c>
      <c r="B3361" s="59" t="inlineStr">
        <is>
          <t>2025-03-28</t>
        </is>
      </c>
      <c r="C3361" s="60" t="inlineStr">
        <is>
          <t>Vertex Men X-995</t>
        </is>
      </c>
      <c r="D3361" s="58" t="inlineStr">
        <is>
          <t>Apparel</t>
        </is>
      </c>
      <c r="E3361" s="58" t="inlineStr">
        <is>
          <t>East</t>
        </is>
      </c>
      <c r="F3361" s="61" t="n">
        <v>2</v>
      </c>
      <c r="G3361" s="62" t="n">
        <v>105.24</v>
      </c>
      <c r="H3361" s="63" t="n">
        <v>0.114</v>
      </c>
      <c r="I3361" s="62" t="n">
        <v>59</v>
      </c>
      <c r="J3361" s="58" t="inlineStr">
        <is>
          <t>Online</t>
        </is>
      </c>
      <c r="K3361" s="62">
        <f>F3361*(G3361-H3361)</f>
        <v/>
      </c>
      <c r="L3361" s="62">
        <f>K3361-(F3361*I3361)</f>
        <v/>
      </c>
      <c r="M3361" s="64">
        <f>L3361/K3361</f>
        <v/>
      </c>
    </row>
    <row r="3362">
      <c r="A3362" s="58" t="inlineStr">
        <is>
          <t>RT20250328-03361</t>
        </is>
      </c>
      <c r="B3362" s="59" t="inlineStr">
        <is>
          <t>2025-03-28</t>
        </is>
      </c>
      <c r="C3362" s="60" t="inlineStr">
        <is>
          <t>Vertex Headphone Pro-801</t>
        </is>
      </c>
      <c r="D3362" s="58" t="inlineStr">
        <is>
          <t>Electronics</t>
        </is>
      </c>
      <c r="E3362" s="58" t="inlineStr">
        <is>
          <t>Central</t>
        </is>
      </c>
      <c r="F3362" s="61" t="n">
        <v>2</v>
      </c>
      <c r="G3362" s="62" t="n">
        <v>1275.86</v>
      </c>
      <c r="H3362" s="63" t="n">
        <v>0.073</v>
      </c>
      <c r="I3362" s="62" t="n">
        <v>955.79</v>
      </c>
      <c r="J3362" s="58" t="inlineStr">
        <is>
          <t>Phone</t>
        </is>
      </c>
      <c r="K3362" s="62">
        <f>F3362*(G3362-H3362)</f>
        <v/>
      </c>
      <c r="L3362" s="62">
        <f>K3362-(F3362*I3362)</f>
        <v/>
      </c>
      <c r="M3362" s="64">
        <f>L3362/K3362</f>
        <v/>
      </c>
    </row>
    <row r="3363">
      <c r="A3363" s="58" t="inlineStr">
        <is>
          <t>RT20250328-03362</t>
        </is>
      </c>
      <c r="B3363" s="59" t="inlineStr">
        <is>
          <t>2025-03-28</t>
        </is>
      </c>
      <c r="C3363" s="60" t="inlineStr">
        <is>
          <t>Metro Printer X-294</t>
        </is>
      </c>
      <c r="D3363" s="58" t="inlineStr">
        <is>
          <t>Office</t>
        </is>
      </c>
      <c r="E3363" s="58" t="inlineStr">
        <is>
          <t>South</t>
        </is>
      </c>
      <c r="F3363" s="61" t="n">
        <v>1</v>
      </c>
      <c r="G3363" s="62" t="n">
        <v>653.79</v>
      </c>
      <c r="H3363" s="63" t="n">
        <v>0.026</v>
      </c>
      <c r="I3363" s="62" t="n">
        <v>411.04</v>
      </c>
      <c r="J3363" s="58" t="inlineStr">
        <is>
          <t>Store</t>
        </is>
      </c>
      <c r="K3363" s="62">
        <f>F3363*(G3363-H3363)</f>
        <v/>
      </c>
      <c r="L3363" s="62">
        <f>K3363-(F3363*I3363)</f>
        <v/>
      </c>
      <c r="M3363" s="64">
        <f>L3363/K3363</f>
        <v/>
      </c>
    </row>
    <row r="3364">
      <c r="A3364" s="58" t="inlineStr">
        <is>
          <t>RT20250328-03363</t>
        </is>
      </c>
      <c r="B3364" s="59" t="inlineStr">
        <is>
          <t>2025-03-28</t>
        </is>
      </c>
      <c r="C3364" s="60" t="inlineStr">
        <is>
          <t>Polar Cycling X-649</t>
        </is>
      </c>
      <c r="D3364" s="58" t="inlineStr">
        <is>
          <t>Sports</t>
        </is>
      </c>
      <c r="E3364" s="58" t="inlineStr">
        <is>
          <t>Central</t>
        </is>
      </c>
      <c r="F3364" s="61" t="n">
        <v>3</v>
      </c>
      <c r="G3364" s="62" t="n">
        <v>554.29</v>
      </c>
      <c r="H3364" s="63" t="n">
        <v>0.08799999999999999</v>
      </c>
      <c r="I3364" s="62" t="n">
        <v>361.22</v>
      </c>
      <c r="J3364" s="58" t="inlineStr">
        <is>
          <t>Store</t>
        </is>
      </c>
      <c r="K3364" s="62">
        <f>F3364*(G3364-H3364)</f>
        <v/>
      </c>
      <c r="L3364" s="62">
        <f>K3364-(F3364*I3364)</f>
        <v/>
      </c>
      <c r="M3364" s="64">
        <f>L3364/K3364</f>
        <v/>
      </c>
    </row>
    <row r="3365">
      <c r="A3365" s="58" t="inlineStr">
        <is>
          <t>RT20250328-03364</t>
        </is>
      </c>
      <c r="B3365" s="59" t="inlineStr">
        <is>
          <t>2025-03-28</t>
        </is>
      </c>
      <c r="C3365" s="60" t="inlineStr">
        <is>
          <t>Metro Smartphone Max-773</t>
        </is>
      </c>
      <c r="D3365" s="58" t="inlineStr">
        <is>
          <t>Electronics</t>
        </is>
      </c>
      <c r="E3365" s="58" t="inlineStr">
        <is>
          <t>North</t>
        </is>
      </c>
      <c r="F3365" s="61" t="n">
        <v>1</v>
      </c>
      <c r="G3365" s="62" t="n">
        <v>1482.21</v>
      </c>
      <c r="H3365" s="63" t="n">
        <v>0.079</v>
      </c>
      <c r="I3365" s="62" t="n">
        <v>1125.09</v>
      </c>
      <c r="J3365" s="58" t="inlineStr">
        <is>
          <t>Store</t>
        </is>
      </c>
      <c r="K3365" s="62">
        <f>F3365*(G3365-H3365)</f>
        <v/>
      </c>
      <c r="L3365" s="62">
        <f>K3365-(F3365*I3365)</f>
        <v/>
      </c>
      <c r="M3365" s="64">
        <f>L3365/K3365</f>
        <v/>
      </c>
    </row>
    <row r="3366">
      <c r="A3366" s="58" t="inlineStr">
        <is>
          <t>RT20250328-03365</t>
        </is>
      </c>
      <c r="B3366" s="59" t="inlineStr">
        <is>
          <t>2025-03-28</t>
        </is>
      </c>
      <c r="C3366" s="60" t="inlineStr">
        <is>
          <t>Falcon Wearable X-334</t>
        </is>
      </c>
      <c r="D3366" s="58" t="inlineStr">
        <is>
          <t>Electronics</t>
        </is>
      </c>
      <c r="E3366" s="58" t="inlineStr">
        <is>
          <t>North</t>
        </is>
      </c>
      <c r="F3366" s="61" t="n">
        <v>2</v>
      </c>
      <c r="G3366" s="62" t="n">
        <v>2147.42</v>
      </c>
      <c r="H3366" s="63" t="n">
        <v>0.058</v>
      </c>
      <c r="I3366" s="62" t="n">
        <v>1538.72</v>
      </c>
      <c r="J3366" s="58" t="inlineStr">
        <is>
          <t>Store</t>
        </is>
      </c>
      <c r="K3366" s="62">
        <f>F3366*(G3366-H3366)</f>
        <v/>
      </c>
      <c r="L3366" s="62">
        <f>K3366-(F3366*I3366)</f>
        <v/>
      </c>
      <c r="M3366" s="64">
        <f>L3366/K3366</f>
        <v/>
      </c>
    </row>
    <row r="3367">
      <c r="A3367" s="58" t="inlineStr">
        <is>
          <t>RT20250328-03366</t>
        </is>
      </c>
      <c r="B3367" s="59" t="inlineStr">
        <is>
          <t>2025-03-28</t>
        </is>
      </c>
      <c r="C3367" s="60" t="inlineStr">
        <is>
          <t>Orion Storage Plus-961</t>
        </is>
      </c>
      <c r="D3367" s="58" t="inlineStr">
        <is>
          <t>Office</t>
        </is>
      </c>
      <c r="E3367" s="58" t="inlineStr">
        <is>
          <t>Central</t>
        </is>
      </c>
      <c r="F3367" s="61" t="n">
        <v>1</v>
      </c>
      <c r="G3367" s="62" t="n">
        <v>483.85</v>
      </c>
      <c r="H3367" s="63" t="n">
        <v>0.031</v>
      </c>
      <c r="I3367" s="62" t="n">
        <v>355.37</v>
      </c>
      <c r="J3367" s="58" t="inlineStr">
        <is>
          <t>Online</t>
        </is>
      </c>
      <c r="K3367" s="62">
        <f>F3367*(G3367-H3367)</f>
        <v/>
      </c>
      <c r="L3367" s="62">
        <f>K3367-(F3367*I3367)</f>
        <v/>
      </c>
      <c r="M3367" s="64">
        <f>L3367/K3367</f>
        <v/>
      </c>
    </row>
    <row r="3368">
      <c r="A3368" s="58" t="inlineStr">
        <is>
          <t>RT20250328-03367</t>
        </is>
      </c>
      <c r="B3368" s="59" t="inlineStr">
        <is>
          <t>2025-03-28</t>
        </is>
      </c>
      <c r="C3368" s="60" t="inlineStr">
        <is>
          <t>Vertex Furniture S-652</t>
        </is>
      </c>
      <c r="D3368" s="58" t="inlineStr">
        <is>
          <t>Office</t>
        </is>
      </c>
      <c r="E3368" s="58" t="inlineStr">
        <is>
          <t>Central</t>
        </is>
      </c>
      <c r="F3368" s="61" t="n">
        <v>3</v>
      </c>
      <c r="G3368" s="62" t="n">
        <v>353.19</v>
      </c>
      <c r="H3368" s="63" t="n">
        <v>0.103</v>
      </c>
      <c r="I3368" s="62" t="n">
        <v>262.18</v>
      </c>
      <c r="J3368" s="58" t="inlineStr">
        <is>
          <t>Online</t>
        </is>
      </c>
      <c r="K3368" s="62">
        <f>F3368*(G3368-H3368)</f>
        <v/>
      </c>
      <c r="L3368" s="62">
        <f>K3368-(F3368*I3368)</f>
        <v/>
      </c>
      <c r="M3368" s="64">
        <f>L3368/K3368</f>
        <v/>
      </c>
    </row>
    <row r="3369">
      <c r="A3369" s="58" t="inlineStr">
        <is>
          <t>RT20250328-03368</t>
        </is>
      </c>
      <c r="B3369" s="59" t="inlineStr">
        <is>
          <t>2025-03-28</t>
        </is>
      </c>
      <c r="C3369" s="60" t="inlineStr">
        <is>
          <t>Aurora Kid Plus-151</t>
        </is>
      </c>
      <c r="D3369" s="58" t="inlineStr">
        <is>
          <t>Apparel</t>
        </is>
      </c>
      <c r="E3369" s="58" t="inlineStr">
        <is>
          <t>Central</t>
        </is>
      </c>
      <c r="F3369" s="61" t="n">
        <v>2</v>
      </c>
      <c r="G3369" s="62" t="n">
        <v>116.81</v>
      </c>
      <c r="H3369" s="63" t="n">
        <v>0.095</v>
      </c>
      <c r="I3369" s="62" t="n">
        <v>63.39</v>
      </c>
      <c r="J3369" s="58" t="inlineStr">
        <is>
          <t>Store</t>
        </is>
      </c>
      <c r="K3369" s="62">
        <f>F3369*(G3369-H3369)</f>
        <v/>
      </c>
      <c r="L3369" s="62">
        <f>K3369-(F3369*I3369)</f>
        <v/>
      </c>
      <c r="M3369" s="64">
        <f>L3369/K3369</f>
        <v/>
      </c>
    </row>
    <row r="3370">
      <c r="A3370" s="58" t="inlineStr">
        <is>
          <t>RT20250328-03369</t>
        </is>
      </c>
      <c r="B3370" s="59" t="inlineStr">
        <is>
          <t>2025-03-28</t>
        </is>
      </c>
      <c r="C3370" s="60" t="inlineStr">
        <is>
          <t>Falcon Household Pro-865</t>
        </is>
      </c>
      <c r="D3370" s="58" t="inlineStr">
        <is>
          <t>Grocery</t>
        </is>
      </c>
      <c r="E3370" s="58" t="inlineStr">
        <is>
          <t>East</t>
        </is>
      </c>
      <c r="F3370" s="61" t="n">
        <v>4</v>
      </c>
      <c r="G3370" s="62" t="n">
        <v>10.83</v>
      </c>
      <c r="H3370" s="63" t="n">
        <v>0.153</v>
      </c>
      <c r="I3370" s="62" t="n">
        <v>7.85</v>
      </c>
      <c r="J3370" s="58" t="inlineStr">
        <is>
          <t>Store</t>
        </is>
      </c>
      <c r="K3370" s="62">
        <f>F3370*(G3370-H3370)</f>
        <v/>
      </c>
      <c r="L3370" s="62">
        <f>K3370-(F3370*I3370)</f>
        <v/>
      </c>
      <c r="M3370" s="64">
        <f>L3370/K3370</f>
        <v/>
      </c>
    </row>
    <row r="3371">
      <c r="A3371" s="58" t="inlineStr">
        <is>
          <t>RT20250328-03370</t>
        </is>
      </c>
      <c r="B3371" s="59" t="inlineStr">
        <is>
          <t>2025-03-28</t>
        </is>
      </c>
      <c r="C3371" s="60" t="inlineStr">
        <is>
          <t>Aurora Bedding Max-175</t>
        </is>
      </c>
      <c r="D3371" s="58" t="inlineStr">
        <is>
          <t>Home</t>
        </is>
      </c>
      <c r="E3371" s="58" t="inlineStr">
        <is>
          <t>East</t>
        </is>
      </c>
      <c r="F3371" s="61" t="n">
        <v>2</v>
      </c>
      <c r="G3371" s="62" t="n">
        <v>608.2</v>
      </c>
      <c r="H3371" s="63" t="n">
        <v>0.061</v>
      </c>
      <c r="I3371" s="62" t="n">
        <v>401.62</v>
      </c>
      <c r="J3371" s="58" t="inlineStr">
        <is>
          <t>Online</t>
        </is>
      </c>
      <c r="K3371" s="62">
        <f>F3371*(G3371-H3371)</f>
        <v/>
      </c>
      <c r="L3371" s="62">
        <f>K3371-(F3371*I3371)</f>
        <v/>
      </c>
      <c r="M3371" s="64">
        <f>L3371/K3371</f>
        <v/>
      </c>
    </row>
    <row r="3372">
      <c r="A3372" s="58" t="inlineStr">
        <is>
          <t>RT20250328-03371</t>
        </is>
      </c>
      <c r="B3372" s="59" t="inlineStr">
        <is>
          <t>2025-03-28</t>
        </is>
      </c>
      <c r="C3372" s="60" t="inlineStr">
        <is>
          <t>Nimbus Laptop Max-652</t>
        </is>
      </c>
      <c r="D3372" s="58" t="inlineStr">
        <is>
          <t>Electronics</t>
        </is>
      </c>
      <c r="E3372" s="58" t="inlineStr">
        <is>
          <t>South</t>
        </is>
      </c>
      <c r="F3372" s="61" t="n">
        <v>2</v>
      </c>
      <c r="G3372" s="62" t="n">
        <v>1396.28</v>
      </c>
      <c r="H3372" s="63" t="n">
        <v>0.11</v>
      </c>
      <c r="I3372" s="62" t="n">
        <v>1050.82</v>
      </c>
      <c r="J3372" s="58" t="inlineStr">
        <is>
          <t>Online</t>
        </is>
      </c>
      <c r="K3372" s="62">
        <f>F3372*(G3372-H3372)</f>
        <v/>
      </c>
      <c r="L3372" s="62">
        <f>K3372-(F3372*I3372)</f>
        <v/>
      </c>
      <c r="M3372" s="64">
        <f>L3372/K3372</f>
        <v/>
      </c>
    </row>
    <row r="3373">
      <c r="A3373" s="58" t="inlineStr">
        <is>
          <t>RT20250328-03372</t>
        </is>
      </c>
      <c r="B3373" s="59" t="inlineStr">
        <is>
          <t>2025-03-28</t>
        </is>
      </c>
      <c r="C3373" s="60" t="inlineStr">
        <is>
          <t>Falcon Beverage Max-702</t>
        </is>
      </c>
      <c r="D3373" s="58" t="inlineStr">
        <is>
          <t>Grocery</t>
        </is>
      </c>
      <c r="E3373" s="58" t="inlineStr">
        <is>
          <t>South</t>
        </is>
      </c>
      <c r="F3373" s="61" t="n">
        <v>8</v>
      </c>
      <c r="G3373" s="62" t="n">
        <v>25.26</v>
      </c>
      <c r="H3373" s="63" t="n">
        <v>0.115</v>
      </c>
      <c r="I3373" s="62" t="n">
        <v>20.17</v>
      </c>
      <c r="J3373" s="58" t="inlineStr">
        <is>
          <t>Online</t>
        </is>
      </c>
      <c r="K3373" s="62">
        <f>F3373*(G3373-H3373)</f>
        <v/>
      </c>
      <c r="L3373" s="62">
        <f>K3373-(F3373*I3373)</f>
        <v/>
      </c>
      <c r="M3373" s="64">
        <f>L3373/K3373</f>
        <v/>
      </c>
    </row>
    <row r="3374">
      <c r="A3374" s="58" t="inlineStr">
        <is>
          <t>RT20250328-03373</t>
        </is>
      </c>
      <c r="B3374" s="59" t="inlineStr">
        <is>
          <t>2025-03-28</t>
        </is>
      </c>
      <c r="C3374" s="60" t="inlineStr">
        <is>
          <t>Vertex Skincare Pro-891</t>
        </is>
      </c>
      <c r="D3374" s="58" t="inlineStr">
        <is>
          <t>Beauty</t>
        </is>
      </c>
      <c r="E3374" s="58" t="inlineStr">
        <is>
          <t>East</t>
        </is>
      </c>
      <c r="F3374" s="61" t="n">
        <v>3</v>
      </c>
      <c r="G3374" s="62" t="n">
        <v>146.73</v>
      </c>
      <c r="H3374" s="63" t="n">
        <v>0.099</v>
      </c>
      <c r="I3374" s="62" t="n">
        <v>90.53</v>
      </c>
      <c r="J3374" s="58" t="inlineStr">
        <is>
          <t>Store</t>
        </is>
      </c>
      <c r="K3374" s="62">
        <f>F3374*(G3374-H3374)</f>
        <v/>
      </c>
      <c r="L3374" s="62">
        <f>K3374-(F3374*I3374)</f>
        <v/>
      </c>
      <c r="M3374" s="64">
        <f>L3374/K3374</f>
        <v/>
      </c>
    </row>
    <row r="3375">
      <c r="A3375" s="58" t="inlineStr">
        <is>
          <t>RT20250328-03374</t>
        </is>
      </c>
      <c r="B3375" s="59" t="inlineStr">
        <is>
          <t>2025-03-28</t>
        </is>
      </c>
      <c r="C3375" s="60" t="inlineStr">
        <is>
          <t>Polar Decor X-935</t>
        </is>
      </c>
      <c r="D3375" s="58" t="inlineStr">
        <is>
          <t>Home</t>
        </is>
      </c>
      <c r="E3375" s="58" t="inlineStr">
        <is>
          <t>East</t>
        </is>
      </c>
      <c r="F3375" s="61" t="n">
        <v>2</v>
      </c>
      <c r="G3375" s="62" t="n">
        <v>313.42</v>
      </c>
      <c r="H3375" s="63" t="n">
        <v>0.07000000000000001</v>
      </c>
      <c r="I3375" s="62" t="n">
        <v>196.92</v>
      </c>
      <c r="J3375" s="58" t="inlineStr">
        <is>
          <t>Store</t>
        </is>
      </c>
      <c r="K3375" s="62">
        <f>F3375*(G3375-H3375)</f>
        <v/>
      </c>
      <c r="L3375" s="62">
        <f>K3375-(F3375*I3375)</f>
        <v/>
      </c>
      <c r="M3375" s="64">
        <f>L3375/K3375</f>
        <v/>
      </c>
    </row>
    <row r="3376">
      <c r="A3376" s="58" t="inlineStr">
        <is>
          <t>RT20250328-03375</t>
        </is>
      </c>
      <c r="B3376" s="59" t="inlineStr">
        <is>
          <t>2025-03-28</t>
        </is>
      </c>
      <c r="C3376" s="60" t="inlineStr">
        <is>
          <t>Falcon Skincare Max-151</t>
        </is>
      </c>
      <c r="D3376" s="58" t="inlineStr">
        <is>
          <t>Beauty</t>
        </is>
      </c>
      <c r="E3376" s="58" t="inlineStr">
        <is>
          <t>South</t>
        </is>
      </c>
      <c r="F3376" s="61" t="n">
        <v>2</v>
      </c>
      <c r="G3376" s="62" t="n">
        <v>104.63</v>
      </c>
      <c r="H3376" s="63" t="n">
        <v>0.159</v>
      </c>
      <c r="I3376" s="62" t="n">
        <v>60.15</v>
      </c>
      <c r="J3376" s="58" t="inlineStr">
        <is>
          <t>Online</t>
        </is>
      </c>
      <c r="K3376" s="62">
        <f>F3376*(G3376-H3376)</f>
        <v/>
      </c>
      <c r="L3376" s="62">
        <f>K3376-(F3376*I3376)</f>
        <v/>
      </c>
      <c r="M3376" s="64">
        <f>L3376/K3376</f>
        <v/>
      </c>
    </row>
    <row r="3377">
      <c r="A3377" s="58" t="inlineStr">
        <is>
          <t>RT20250328-03376</t>
        </is>
      </c>
      <c r="B3377" s="59" t="inlineStr">
        <is>
          <t>2025-03-28</t>
        </is>
      </c>
      <c r="C3377" s="60" t="inlineStr">
        <is>
          <t>Aurora Wearable Lite-704</t>
        </is>
      </c>
      <c r="D3377" s="58" t="inlineStr">
        <is>
          <t>Electronics</t>
        </is>
      </c>
      <c r="E3377" s="58" t="inlineStr">
        <is>
          <t>North</t>
        </is>
      </c>
      <c r="F3377" s="61" t="n">
        <v>1</v>
      </c>
      <c r="G3377" s="62" t="n">
        <v>2126.16</v>
      </c>
      <c r="H3377" s="63" t="n">
        <v>0.046</v>
      </c>
      <c r="I3377" s="62" t="n">
        <v>1484.3</v>
      </c>
      <c r="J3377" s="58" t="inlineStr">
        <is>
          <t>Store</t>
        </is>
      </c>
      <c r="K3377" s="62">
        <f>F3377*(G3377-H3377)</f>
        <v/>
      </c>
      <c r="L3377" s="62">
        <f>K3377-(F3377*I3377)</f>
        <v/>
      </c>
      <c r="M3377" s="64">
        <f>L3377/K3377</f>
        <v/>
      </c>
    </row>
    <row r="3378">
      <c r="A3378" s="58" t="inlineStr">
        <is>
          <t>RT20250328-03377</t>
        </is>
      </c>
      <c r="B3378" s="59" t="inlineStr">
        <is>
          <t>2025-03-28</t>
        </is>
      </c>
      <c r="C3378" s="60" t="inlineStr">
        <is>
          <t>Falcon Headphone Plus-789</t>
        </is>
      </c>
      <c r="D3378" s="58" t="inlineStr">
        <is>
          <t>Electronics</t>
        </is>
      </c>
      <c r="E3378" s="58" t="inlineStr">
        <is>
          <t>West</t>
        </is>
      </c>
      <c r="F3378" s="61" t="n">
        <v>2</v>
      </c>
      <c r="G3378" s="62" t="n">
        <v>1588.16</v>
      </c>
      <c r="H3378" s="63" t="n">
        <v>0.106</v>
      </c>
      <c r="I3378" s="62" t="n">
        <v>1308.72</v>
      </c>
      <c r="J3378" s="58" t="inlineStr">
        <is>
          <t>Online</t>
        </is>
      </c>
      <c r="K3378" s="62">
        <f>F3378*(G3378-H3378)</f>
        <v/>
      </c>
      <c r="L3378" s="62">
        <f>K3378-(F3378*I3378)</f>
        <v/>
      </c>
      <c r="M3378" s="64">
        <f>L3378/K3378</f>
        <v/>
      </c>
    </row>
    <row r="3379">
      <c r="A3379" s="58" t="inlineStr">
        <is>
          <t>RT20250328-03378</t>
        </is>
      </c>
      <c r="B3379" s="59" t="inlineStr">
        <is>
          <t>2025-03-28</t>
        </is>
      </c>
      <c r="C3379" s="60" t="inlineStr">
        <is>
          <t>Falcon Accessorie S-195</t>
        </is>
      </c>
      <c r="D3379" s="58" t="inlineStr">
        <is>
          <t>Apparel</t>
        </is>
      </c>
      <c r="E3379" s="58" t="inlineStr">
        <is>
          <t>South</t>
        </is>
      </c>
      <c r="F3379" s="61" t="n">
        <v>4</v>
      </c>
      <c r="G3379" s="62" t="n">
        <v>67.34999999999999</v>
      </c>
      <c r="H3379" s="63" t="n">
        <v>0.061</v>
      </c>
      <c r="I3379" s="62" t="n">
        <v>41.71</v>
      </c>
      <c r="J3379" s="58" t="inlineStr">
        <is>
          <t>Online</t>
        </is>
      </c>
      <c r="K3379" s="62">
        <f>F3379*(G3379-H3379)</f>
        <v/>
      </c>
      <c r="L3379" s="62">
        <f>K3379-(F3379*I3379)</f>
        <v/>
      </c>
      <c r="M3379" s="64">
        <f>L3379/K3379</f>
        <v/>
      </c>
    </row>
    <row r="3380">
      <c r="A3380" s="58" t="inlineStr">
        <is>
          <t>RT20250328-03379</t>
        </is>
      </c>
      <c r="B3380" s="59" t="inlineStr">
        <is>
          <t>2025-03-28</t>
        </is>
      </c>
      <c r="C3380" s="60" t="inlineStr">
        <is>
          <t>Polar Women S-662</t>
        </is>
      </c>
      <c r="D3380" s="58" t="inlineStr">
        <is>
          <t>Apparel</t>
        </is>
      </c>
      <c r="E3380" s="58" t="inlineStr">
        <is>
          <t>West</t>
        </is>
      </c>
      <c r="F3380" s="61" t="n">
        <v>1</v>
      </c>
      <c r="G3380" s="62" t="n">
        <v>151.09</v>
      </c>
      <c r="H3380" s="63" t="n">
        <v>0.099</v>
      </c>
      <c r="I3380" s="62" t="n">
        <v>98.52</v>
      </c>
      <c r="J3380" s="58" t="inlineStr">
        <is>
          <t>Online</t>
        </is>
      </c>
      <c r="K3380" s="62">
        <f>F3380*(G3380-H3380)</f>
        <v/>
      </c>
      <c r="L3380" s="62">
        <f>K3380-(F3380*I3380)</f>
        <v/>
      </c>
      <c r="M3380" s="64">
        <f>L3380/K3380</f>
        <v/>
      </c>
    </row>
    <row r="3381">
      <c r="A3381" s="58" t="inlineStr">
        <is>
          <t>RT20250328-03380</t>
        </is>
      </c>
      <c r="B3381" s="59" t="inlineStr">
        <is>
          <t>2025-03-28</t>
        </is>
      </c>
      <c r="C3381" s="60" t="inlineStr">
        <is>
          <t>Vertex Skincare Pro-891</t>
        </is>
      </c>
      <c r="D3381" s="58" t="inlineStr">
        <is>
          <t>Beauty</t>
        </is>
      </c>
      <c r="E3381" s="58" t="inlineStr">
        <is>
          <t>South</t>
        </is>
      </c>
      <c r="F3381" s="61" t="n">
        <v>5</v>
      </c>
      <c r="G3381" s="62" t="n">
        <v>144.39</v>
      </c>
      <c r="H3381" s="63" t="n">
        <v>0.074</v>
      </c>
      <c r="I3381" s="62" t="n">
        <v>86.36</v>
      </c>
      <c r="J3381" s="58" t="inlineStr">
        <is>
          <t>Online</t>
        </is>
      </c>
      <c r="K3381" s="62">
        <f>F3381*(G3381-H3381)</f>
        <v/>
      </c>
      <c r="L3381" s="62">
        <f>K3381-(F3381*I3381)</f>
        <v/>
      </c>
      <c r="M3381" s="64">
        <f>L3381/K3381</f>
        <v/>
      </c>
    </row>
    <row r="3382">
      <c r="A3382" s="58" t="inlineStr">
        <is>
          <t>RT20250328-03381</t>
        </is>
      </c>
      <c r="B3382" s="59" t="inlineStr">
        <is>
          <t>2025-03-28</t>
        </is>
      </c>
      <c r="C3382" s="60" t="inlineStr">
        <is>
          <t>Nimbus Decor Lite-385</t>
        </is>
      </c>
      <c r="D3382" s="58" t="inlineStr">
        <is>
          <t>Home</t>
        </is>
      </c>
      <c r="E3382" s="58" t="inlineStr">
        <is>
          <t>East</t>
        </is>
      </c>
      <c r="F3382" s="61" t="n">
        <v>2</v>
      </c>
      <c r="G3382" s="62" t="n">
        <v>543.62</v>
      </c>
      <c r="H3382" s="63" t="n">
        <v>0.122</v>
      </c>
      <c r="I3382" s="62" t="n">
        <v>386</v>
      </c>
      <c r="J3382" s="58" t="inlineStr">
        <is>
          <t>Online</t>
        </is>
      </c>
      <c r="K3382" s="62">
        <f>F3382*(G3382-H3382)</f>
        <v/>
      </c>
      <c r="L3382" s="62">
        <f>K3382-(F3382*I3382)</f>
        <v/>
      </c>
      <c r="M3382" s="64">
        <f>L3382/K3382</f>
        <v/>
      </c>
    </row>
    <row r="3383">
      <c r="A3383" s="58" t="inlineStr">
        <is>
          <t>RT20250328-03382</t>
        </is>
      </c>
      <c r="B3383" s="59" t="inlineStr">
        <is>
          <t>2025-03-28</t>
        </is>
      </c>
      <c r="C3383" s="60" t="inlineStr">
        <is>
          <t>Metro Pantry Max-180</t>
        </is>
      </c>
      <c r="D3383" s="58" t="inlineStr">
        <is>
          <t>Grocery</t>
        </is>
      </c>
      <c r="E3383" s="58" t="inlineStr">
        <is>
          <t>East</t>
        </is>
      </c>
      <c r="F3383" s="61" t="n">
        <v>1</v>
      </c>
      <c r="G3383" s="62" t="n">
        <v>9.050000000000001</v>
      </c>
      <c r="H3383" s="63" t="n">
        <v>0.095</v>
      </c>
      <c r="I3383" s="62" t="n">
        <v>6.8</v>
      </c>
      <c r="J3383" s="58" t="inlineStr">
        <is>
          <t>Online</t>
        </is>
      </c>
      <c r="K3383" s="62">
        <f>F3383*(G3383-H3383)</f>
        <v/>
      </c>
      <c r="L3383" s="62">
        <f>K3383-(F3383*I3383)</f>
        <v/>
      </c>
      <c r="M3383" s="64">
        <f>L3383/K3383</f>
        <v/>
      </c>
    </row>
    <row r="3384">
      <c r="A3384" s="58" t="inlineStr">
        <is>
          <t>RT20250328-03383</t>
        </is>
      </c>
      <c r="B3384" s="59" t="inlineStr">
        <is>
          <t>2025-03-28</t>
        </is>
      </c>
      <c r="C3384" s="60" t="inlineStr">
        <is>
          <t>Aurora Appliance Lite-109</t>
        </is>
      </c>
      <c r="D3384" s="58" t="inlineStr">
        <is>
          <t>Home</t>
        </is>
      </c>
      <c r="E3384" s="58" t="inlineStr">
        <is>
          <t>East</t>
        </is>
      </c>
      <c r="F3384" s="61" t="n">
        <v>2</v>
      </c>
      <c r="G3384" s="62" t="n">
        <v>266.28</v>
      </c>
      <c r="H3384" s="63" t="n">
        <v>0.11</v>
      </c>
      <c r="I3384" s="62" t="n">
        <v>206.79</v>
      </c>
      <c r="J3384" s="58" t="inlineStr">
        <is>
          <t>Online</t>
        </is>
      </c>
      <c r="K3384" s="62">
        <f>F3384*(G3384-H3384)</f>
        <v/>
      </c>
      <c r="L3384" s="62">
        <f>K3384-(F3384*I3384)</f>
        <v/>
      </c>
      <c r="M3384" s="64">
        <f>L3384/K3384</f>
        <v/>
      </c>
    </row>
    <row r="3385">
      <c r="A3385" s="58" t="inlineStr">
        <is>
          <t>RT20250328-03384</t>
        </is>
      </c>
      <c r="B3385" s="59" t="inlineStr">
        <is>
          <t>2025-03-28</t>
        </is>
      </c>
      <c r="C3385" s="60" t="inlineStr">
        <is>
          <t>Polar Outdoor Lite-318</t>
        </is>
      </c>
      <c r="D3385" s="58" t="inlineStr">
        <is>
          <t>Sports</t>
        </is>
      </c>
      <c r="E3385" s="58" t="inlineStr">
        <is>
          <t>East</t>
        </is>
      </c>
      <c r="F3385" s="61" t="n">
        <v>2</v>
      </c>
      <c r="G3385" s="62" t="n">
        <v>728.67</v>
      </c>
      <c r="H3385" s="63" t="n">
        <v>0.135</v>
      </c>
      <c r="I3385" s="62" t="n">
        <v>465.12</v>
      </c>
      <c r="J3385" s="58" t="inlineStr">
        <is>
          <t>Online</t>
        </is>
      </c>
      <c r="K3385" s="62">
        <f>F3385*(G3385-H3385)</f>
        <v/>
      </c>
      <c r="L3385" s="62">
        <f>K3385-(F3385*I3385)</f>
        <v/>
      </c>
      <c r="M3385" s="64">
        <f>L3385/K3385</f>
        <v/>
      </c>
    </row>
    <row r="3386">
      <c r="A3386" s="58" t="inlineStr">
        <is>
          <t>RT20250328-03385</t>
        </is>
      </c>
      <c r="B3386" s="59" t="inlineStr">
        <is>
          <t>2025-03-28</t>
        </is>
      </c>
      <c r="C3386" s="60" t="inlineStr">
        <is>
          <t>Orion Men X-928</t>
        </is>
      </c>
      <c r="D3386" s="58" t="inlineStr">
        <is>
          <t>Apparel</t>
        </is>
      </c>
      <c r="E3386" s="58" t="inlineStr">
        <is>
          <t>West</t>
        </is>
      </c>
      <c r="F3386" s="61" t="n">
        <v>2</v>
      </c>
      <c r="G3386" s="62" t="n">
        <v>120.54</v>
      </c>
      <c r="H3386" s="63" t="n">
        <v>0.106</v>
      </c>
      <c r="I3386" s="62" t="n">
        <v>60.56</v>
      </c>
      <c r="J3386" s="58" t="inlineStr">
        <is>
          <t>Online</t>
        </is>
      </c>
      <c r="K3386" s="62">
        <f>F3386*(G3386-H3386)</f>
        <v/>
      </c>
      <c r="L3386" s="62">
        <f>K3386-(F3386*I3386)</f>
        <v/>
      </c>
      <c r="M3386" s="64">
        <f>L3386/K3386</f>
        <v/>
      </c>
    </row>
    <row r="3387">
      <c r="A3387" s="58" t="inlineStr">
        <is>
          <t>RT20250328-03386</t>
        </is>
      </c>
      <c r="B3387" s="59" t="inlineStr">
        <is>
          <t>2025-03-28</t>
        </is>
      </c>
      <c r="C3387" s="60" t="inlineStr">
        <is>
          <t>Solace Headphone Pro-344</t>
        </is>
      </c>
      <c r="D3387" s="58" t="inlineStr">
        <is>
          <t>Electronics</t>
        </is>
      </c>
      <c r="E3387" s="58" t="inlineStr">
        <is>
          <t>Central</t>
        </is>
      </c>
      <c r="F3387" s="61" t="n">
        <v>1</v>
      </c>
      <c r="G3387" s="62" t="n">
        <v>1399.54</v>
      </c>
      <c r="H3387" s="63" t="n">
        <v>0.093</v>
      </c>
      <c r="I3387" s="62" t="n">
        <v>1059.52</v>
      </c>
      <c r="J3387" s="58" t="inlineStr">
        <is>
          <t>Online</t>
        </is>
      </c>
      <c r="K3387" s="62">
        <f>F3387*(G3387-H3387)</f>
        <v/>
      </c>
      <c r="L3387" s="62">
        <f>K3387-(F3387*I3387)</f>
        <v/>
      </c>
      <c r="M3387" s="64">
        <f>L3387/K3387</f>
        <v/>
      </c>
    </row>
    <row r="3388">
      <c r="A3388" s="58" t="inlineStr">
        <is>
          <t>RT20250328-03387</t>
        </is>
      </c>
      <c r="B3388" s="59" t="inlineStr">
        <is>
          <t>2025-03-28</t>
        </is>
      </c>
      <c r="C3388" s="60" t="inlineStr">
        <is>
          <t>Falcon Headphone Pro-713</t>
        </is>
      </c>
      <c r="D3388" s="58" t="inlineStr">
        <is>
          <t>Electronics</t>
        </is>
      </c>
      <c r="E3388" s="58" t="inlineStr">
        <is>
          <t>East</t>
        </is>
      </c>
      <c r="F3388" s="61" t="n">
        <v>1</v>
      </c>
      <c r="G3388" s="62" t="n">
        <v>1500.28</v>
      </c>
      <c r="H3388" s="63" t="n">
        <v>0.121</v>
      </c>
      <c r="I3388" s="62" t="n">
        <v>1200.98</v>
      </c>
      <c r="J3388" s="58" t="inlineStr">
        <is>
          <t>Online</t>
        </is>
      </c>
      <c r="K3388" s="62">
        <f>F3388*(G3388-H3388)</f>
        <v/>
      </c>
      <c r="L3388" s="62">
        <f>K3388-(F3388*I3388)</f>
        <v/>
      </c>
      <c r="M3388" s="64">
        <f>L3388/K3388</f>
        <v/>
      </c>
    </row>
    <row r="3389">
      <c r="A3389" s="58" t="inlineStr">
        <is>
          <t>RT20250328-03388</t>
        </is>
      </c>
      <c r="B3389" s="59" t="inlineStr">
        <is>
          <t>2025-03-28</t>
        </is>
      </c>
      <c r="C3389" s="60" t="inlineStr">
        <is>
          <t>Aurora Appliance Lite-109</t>
        </is>
      </c>
      <c r="D3389" s="58" t="inlineStr">
        <is>
          <t>Home</t>
        </is>
      </c>
      <c r="E3389" s="58" t="inlineStr">
        <is>
          <t>West</t>
        </is>
      </c>
      <c r="F3389" s="61" t="n">
        <v>1</v>
      </c>
      <c r="G3389" s="62" t="n">
        <v>309.19</v>
      </c>
      <c r="H3389" s="63" t="n">
        <v>0.112</v>
      </c>
      <c r="I3389" s="62" t="n">
        <v>206.84</v>
      </c>
      <c r="J3389" s="58" t="inlineStr">
        <is>
          <t>Online</t>
        </is>
      </c>
      <c r="K3389" s="62">
        <f>F3389*(G3389-H3389)</f>
        <v/>
      </c>
      <c r="L3389" s="62">
        <f>K3389-(F3389*I3389)</f>
        <v/>
      </c>
      <c r="M3389" s="64">
        <f>L3389/K3389</f>
        <v/>
      </c>
    </row>
    <row r="3390">
      <c r="A3390" s="58" t="inlineStr">
        <is>
          <t>RT20250328-03389</t>
        </is>
      </c>
      <c r="B3390" s="59" t="inlineStr">
        <is>
          <t>2025-03-28</t>
        </is>
      </c>
      <c r="C3390" s="60" t="inlineStr">
        <is>
          <t>Solace Bedding Plus-317</t>
        </is>
      </c>
      <c r="D3390" s="58" t="inlineStr">
        <is>
          <t>Home</t>
        </is>
      </c>
      <c r="E3390" s="58" t="inlineStr">
        <is>
          <t>West</t>
        </is>
      </c>
      <c r="F3390" s="61" t="n">
        <v>2</v>
      </c>
      <c r="G3390" s="62" t="n">
        <v>507.47</v>
      </c>
      <c r="H3390" s="63" t="n">
        <v>0.106</v>
      </c>
      <c r="I3390" s="62" t="n">
        <v>393.16</v>
      </c>
      <c r="J3390" s="58" t="inlineStr">
        <is>
          <t>Online</t>
        </is>
      </c>
      <c r="K3390" s="62">
        <f>F3390*(G3390-H3390)</f>
        <v/>
      </c>
      <c r="L3390" s="62">
        <f>K3390-(F3390*I3390)</f>
        <v/>
      </c>
      <c r="M3390" s="64">
        <f>L3390/K3390</f>
        <v/>
      </c>
    </row>
    <row r="3391">
      <c r="A3391" s="58" t="inlineStr">
        <is>
          <t>RT20250328-03390</t>
        </is>
      </c>
      <c r="B3391" s="59" t="inlineStr">
        <is>
          <t>2025-03-28</t>
        </is>
      </c>
      <c r="C3391" s="60" t="inlineStr">
        <is>
          <t>Polar Cycling S-223</t>
        </is>
      </c>
      <c r="D3391" s="58" t="inlineStr">
        <is>
          <t>Sports</t>
        </is>
      </c>
      <c r="E3391" s="58" t="inlineStr">
        <is>
          <t>West</t>
        </is>
      </c>
      <c r="F3391" s="61" t="n">
        <v>3</v>
      </c>
      <c r="G3391" s="62" t="n">
        <v>967.91</v>
      </c>
      <c r="H3391" s="63" t="n">
        <v>0.045</v>
      </c>
      <c r="I3391" s="62" t="n">
        <v>623.58</v>
      </c>
      <c r="J3391" s="58" t="inlineStr">
        <is>
          <t>Store</t>
        </is>
      </c>
      <c r="K3391" s="62">
        <f>F3391*(G3391-H3391)</f>
        <v/>
      </c>
      <c r="L3391" s="62">
        <f>K3391-(F3391*I3391)</f>
        <v/>
      </c>
      <c r="M3391" s="64">
        <f>L3391/K3391</f>
        <v/>
      </c>
    </row>
    <row r="3392">
      <c r="A3392" s="58" t="inlineStr">
        <is>
          <t>RT20250328-03391</t>
        </is>
      </c>
      <c r="B3392" s="59" t="inlineStr">
        <is>
          <t>2025-03-28</t>
        </is>
      </c>
      <c r="C3392" s="60" t="inlineStr">
        <is>
          <t>Aurora Wearable Lite-704</t>
        </is>
      </c>
      <c r="D3392" s="58" t="inlineStr">
        <is>
          <t>Electronics</t>
        </is>
      </c>
      <c r="E3392" s="58" t="inlineStr">
        <is>
          <t>East</t>
        </is>
      </c>
      <c r="F3392" s="61" t="n">
        <v>2</v>
      </c>
      <c r="G3392" s="62" t="n">
        <v>1725.96</v>
      </c>
      <c r="H3392" s="63" t="n">
        <v>0.111</v>
      </c>
      <c r="I3392" s="62" t="n">
        <v>1462.52</v>
      </c>
      <c r="J3392" s="58" t="inlineStr">
        <is>
          <t>Online</t>
        </is>
      </c>
      <c r="K3392" s="62">
        <f>F3392*(G3392-H3392)</f>
        <v/>
      </c>
      <c r="L3392" s="62">
        <f>K3392-(F3392*I3392)</f>
        <v/>
      </c>
      <c r="M3392" s="64">
        <f>L3392/K3392</f>
        <v/>
      </c>
    </row>
    <row r="3393">
      <c r="A3393" s="58" t="inlineStr">
        <is>
          <t>RT20250328-03392</t>
        </is>
      </c>
      <c r="B3393" s="59" t="inlineStr">
        <is>
          <t>2025-03-28</t>
        </is>
      </c>
      <c r="C3393" s="60" t="inlineStr">
        <is>
          <t>Vertex Furniture S-652</t>
        </is>
      </c>
      <c r="D3393" s="58" t="inlineStr">
        <is>
          <t>Office</t>
        </is>
      </c>
      <c r="E3393" s="58" t="inlineStr">
        <is>
          <t>North</t>
        </is>
      </c>
      <c r="F3393" s="61" t="n">
        <v>1</v>
      </c>
      <c r="G3393" s="62" t="n">
        <v>391.58</v>
      </c>
      <c r="H3393" s="63" t="n">
        <v>0.081</v>
      </c>
      <c r="I3393" s="62" t="n">
        <v>260.15</v>
      </c>
      <c r="J3393" s="58" t="inlineStr">
        <is>
          <t>Store</t>
        </is>
      </c>
      <c r="K3393" s="62">
        <f>F3393*(G3393-H3393)</f>
        <v/>
      </c>
      <c r="L3393" s="62">
        <f>K3393-(F3393*I3393)</f>
        <v/>
      </c>
      <c r="M3393" s="64">
        <f>L3393/K3393</f>
        <v/>
      </c>
    </row>
    <row r="3394">
      <c r="A3394" s="58" t="inlineStr">
        <is>
          <t>RT20250328-03393</t>
        </is>
      </c>
      <c r="B3394" s="59" t="inlineStr">
        <is>
          <t>2025-03-28</t>
        </is>
      </c>
      <c r="C3394" s="60" t="inlineStr">
        <is>
          <t>Polar Outdoor Lite-318</t>
        </is>
      </c>
      <c r="D3394" s="58" t="inlineStr">
        <is>
          <t>Sports</t>
        </is>
      </c>
      <c r="E3394" s="58" t="inlineStr">
        <is>
          <t>West</t>
        </is>
      </c>
      <c r="F3394" s="61" t="n">
        <v>2</v>
      </c>
      <c r="G3394" s="62" t="n">
        <v>722.5700000000001</v>
      </c>
      <c r="H3394" s="63" t="n">
        <v>0.09</v>
      </c>
      <c r="I3394" s="62" t="n">
        <v>479.87</v>
      </c>
      <c r="J3394" s="58" t="inlineStr">
        <is>
          <t>Store</t>
        </is>
      </c>
      <c r="K3394" s="62">
        <f>F3394*(G3394-H3394)</f>
        <v/>
      </c>
      <c r="L3394" s="62">
        <f>K3394-(F3394*I3394)</f>
        <v/>
      </c>
      <c r="M3394" s="64">
        <f>L3394/K3394</f>
        <v/>
      </c>
    </row>
    <row r="3395">
      <c r="A3395" s="58" t="inlineStr">
        <is>
          <t>RT20250328-03394</t>
        </is>
      </c>
      <c r="B3395" s="59" t="inlineStr">
        <is>
          <t>2025-03-28</t>
        </is>
      </c>
      <c r="C3395" s="60" t="inlineStr">
        <is>
          <t>Metro Smartphone Max-773</t>
        </is>
      </c>
      <c r="D3395" s="58" t="inlineStr">
        <is>
          <t>Electronics</t>
        </is>
      </c>
      <c r="E3395" s="58" t="inlineStr">
        <is>
          <t>West</t>
        </is>
      </c>
      <c r="F3395" s="61" t="n">
        <v>2</v>
      </c>
      <c r="G3395" s="62" t="n">
        <v>1442.86</v>
      </c>
      <c r="H3395" s="63" t="n">
        <v>0.129</v>
      </c>
      <c r="I3395" s="62" t="n">
        <v>1120.3</v>
      </c>
      <c r="J3395" s="58" t="inlineStr">
        <is>
          <t>Online</t>
        </is>
      </c>
      <c r="K3395" s="62">
        <f>F3395*(G3395-H3395)</f>
        <v/>
      </c>
      <c r="L3395" s="62">
        <f>K3395-(F3395*I3395)</f>
        <v/>
      </c>
      <c r="M3395" s="64">
        <f>L3395/K3395</f>
        <v/>
      </c>
    </row>
    <row r="3396">
      <c r="A3396" s="58" t="inlineStr">
        <is>
          <t>RT20250328-03395</t>
        </is>
      </c>
      <c r="B3396" s="59" t="inlineStr">
        <is>
          <t>2025-03-28</t>
        </is>
      </c>
      <c r="C3396" s="60" t="inlineStr">
        <is>
          <t>Vertex Headphone Pro-801</t>
        </is>
      </c>
      <c r="D3396" s="58" t="inlineStr">
        <is>
          <t>Electronics</t>
        </is>
      </c>
      <c r="E3396" s="58" t="inlineStr">
        <is>
          <t>East</t>
        </is>
      </c>
      <c r="F3396" s="61" t="n">
        <v>2</v>
      </c>
      <c r="G3396" s="62" t="n">
        <v>1137.3</v>
      </c>
      <c r="H3396" s="63" t="n">
        <v>0.098</v>
      </c>
      <c r="I3396" s="62" t="n">
        <v>963.05</v>
      </c>
      <c r="J3396" s="58" t="inlineStr">
        <is>
          <t>Online</t>
        </is>
      </c>
      <c r="K3396" s="62">
        <f>F3396*(G3396-H3396)</f>
        <v/>
      </c>
      <c r="L3396" s="62">
        <f>K3396-(F3396*I3396)</f>
        <v/>
      </c>
      <c r="M3396" s="64">
        <f>L3396/K3396</f>
        <v/>
      </c>
    </row>
    <row r="3397">
      <c r="A3397" s="58" t="inlineStr">
        <is>
          <t>RT20250328-03396</t>
        </is>
      </c>
      <c r="B3397" s="59" t="inlineStr">
        <is>
          <t>2025-03-28</t>
        </is>
      </c>
      <c r="C3397" s="60" t="inlineStr">
        <is>
          <t>Falcon Beverage Max-702</t>
        </is>
      </c>
      <c r="D3397" s="58" t="inlineStr">
        <is>
          <t>Grocery</t>
        </is>
      </c>
      <c r="E3397" s="58" t="inlineStr">
        <is>
          <t>West</t>
        </is>
      </c>
      <c r="F3397" s="61" t="n">
        <v>2</v>
      </c>
      <c r="G3397" s="62" t="n">
        <v>28</v>
      </c>
      <c r="H3397" s="63" t="n">
        <v>0.052</v>
      </c>
      <c r="I3397" s="62" t="n">
        <v>20.4</v>
      </c>
      <c r="J3397" s="58" t="inlineStr">
        <is>
          <t>Online</t>
        </is>
      </c>
      <c r="K3397" s="62">
        <f>F3397*(G3397-H3397)</f>
        <v/>
      </c>
      <c r="L3397" s="62">
        <f>K3397-(F3397*I3397)</f>
        <v/>
      </c>
      <c r="M3397" s="64">
        <f>L3397/K3397</f>
        <v/>
      </c>
    </row>
    <row r="3398">
      <c r="A3398" s="58" t="inlineStr">
        <is>
          <t>RT20250328-03397</t>
        </is>
      </c>
      <c r="B3398" s="59" t="inlineStr">
        <is>
          <t>2025-03-28</t>
        </is>
      </c>
      <c r="C3398" s="60" t="inlineStr">
        <is>
          <t>Falcon Household Pro-865</t>
        </is>
      </c>
      <c r="D3398" s="58" t="inlineStr">
        <is>
          <t>Grocery</t>
        </is>
      </c>
      <c r="E3398" s="58" t="inlineStr">
        <is>
          <t>West</t>
        </is>
      </c>
      <c r="F3398" s="61" t="n">
        <v>6</v>
      </c>
      <c r="G3398" s="62" t="n">
        <v>10.85</v>
      </c>
      <c r="H3398" s="63" t="n">
        <v>0.038</v>
      </c>
      <c r="I3398" s="62" t="n">
        <v>7.65</v>
      </c>
      <c r="J3398" s="58" t="inlineStr">
        <is>
          <t>Online</t>
        </is>
      </c>
      <c r="K3398" s="62">
        <f>F3398*(G3398-H3398)</f>
        <v/>
      </c>
      <c r="L3398" s="62">
        <f>K3398-(F3398*I3398)</f>
        <v/>
      </c>
      <c r="M3398" s="64">
        <f>L3398/K3398</f>
        <v/>
      </c>
    </row>
    <row r="3399">
      <c r="A3399" s="58" t="inlineStr">
        <is>
          <t>RT20250329-03398</t>
        </is>
      </c>
      <c r="B3399" s="59" t="inlineStr">
        <is>
          <t>2025-03-29</t>
        </is>
      </c>
      <c r="C3399" s="60" t="inlineStr">
        <is>
          <t>Metro Pantry X-710</t>
        </is>
      </c>
      <c r="D3399" s="58" t="inlineStr">
        <is>
          <t>Grocery</t>
        </is>
      </c>
      <c r="E3399" s="58" t="inlineStr">
        <is>
          <t>East</t>
        </is>
      </c>
      <c r="F3399" s="61" t="n">
        <v>7</v>
      </c>
      <c r="G3399" s="62" t="n">
        <v>5.08</v>
      </c>
      <c r="H3399" s="63" t="n">
        <v>0.144</v>
      </c>
      <c r="I3399" s="62" t="n">
        <v>4.22</v>
      </c>
      <c r="J3399" s="58" t="inlineStr">
        <is>
          <t>Phone</t>
        </is>
      </c>
      <c r="K3399" s="62">
        <f>F3399*(G3399-H3399)</f>
        <v/>
      </c>
      <c r="L3399" s="62">
        <f>K3399-(F3399*I3399)</f>
        <v/>
      </c>
      <c r="M3399" s="64">
        <f>L3399/K3399</f>
        <v/>
      </c>
    </row>
    <row r="3400">
      <c r="A3400" s="58" t="inlineStr">
        <is>
          <t>RT20250329-03399</t>
        </is>
      </c>
      <c r="B3400" s="59" t="inlineStr">
        <is>
          <t>2025-03-29</t>
        </is>
      </c>
      <c r="C3400" s="60" t="inlineStr">
        <is>
          <t>Vertex Furniture S-652</t>
        </is>
      </c>
      <c r="D3400" s="58" t="inlineStr">
        <is>
          <t>Office</t>
        </is>
      </c>
      <c r="E3400" s="58" t="inlineStr">
        <is>
          <t>Central</t>
        </is>
      </c>
      <c r="F3400" s="61" t="n">
        <v>1</v>
      </c>
      <c r="G3400" s="62" t="n">
        <v>405.2</v>
      </c>
      <c r="H3400" s="63" t="n">
        <v>0.07000000000000001</v>
      </c>
      <c r="I3400" s="62" t="n">
        <v>274.15</v>
      </c>
      <c r="J3400" s="58" t="inlineStr">
        <is>
          <t>Online</t>
        </is>
      </c>
      <c r="K3400" s="62">
        <f>F3400*(G3400-H3400)</f>
        <v/>
      </c>
      <c r="L3400" s="62">
        <f>K3400-(F3400*I3400)</f>
        <v/>
      </c>
      <c r="M3400" s="64">
        <f>L3400/K3400</f>
        <v/>
      </c>
    </row>
    <row r="3401">
      <c r="A3401" s="58" t="inlineStr">
        <is>
          <t>RT20250329-03400</t>
        </is>
      </c>
      <c r="B3401" s="59" t="inlineStr">
        <is>
          <t>2025-03-29</t>
        </is>
      </c>
      <c r="C3401" s="60" t="inlineStr">
        <is>
          <t>Polar Pantry Lite-392</t>
        </is>
      </c>
      <c r="D3401" s="58" t="inlineStr">
        <is>
          <t>Grocery</t>
        </is>
      </c>
      <c r="E3401" s="58" t="inlineStr">
        <is>
          <t>Central</t>
        </is>
      </c>
      <c r="F3401" s="61" t="n">
        <v>8</v>
      </c>
      <c r="G3401" s="62" t="n">
        <v>6.73</v>
      </c>
      <c r="H3401" s="63" t="n">
        <v>0.075</v>
      </c>
      <c r="I3401" s="62" t="n">
        <v>4.57</v>
      </c>
      <c r="J3401" s="58" t="inlineStr">
        <is>
          <t>Store</t>
        </is>
      </c>
      <c r="K3401" s="62">
        <f>F3401*(G3401-H3401)</f>
        <v/>
      </c>
      <c r="L3401" s="62">
        <f>K3401-(F3401*I3401)</f>
        <v/>
      </c>
      <c r="M3401" s="64">
        <f>L3401/K3401</f>
        <v/>
      </c>
    </row>
    <row r="3402">
      <c r="A3402" s="58" t="inlineStr">
        <is>
          <t>RT20250329-03401</t>
        </is>
      </c>
      <c r="B3402" s="59" t="inlineStr">
        <is>
          <t>2025-03-29</t>
        </is>
      </c>
      <c r="C3402" s="60" t="inlineStr">
        <is>
          <t>Aurora Makeup Pro-489</t>
        </is>
      </c>
      <c r="D3402" s="58" t="inlineStr">
        <is>
          <t>Beauty</t>
        </is>
      </c>
      <c r="E3402" s="58" t="inlineStr">
        <is>
          <t>West</t>
        </is>
      </c>
      <c r="F3402" s="61" t="n">
        <v>4</v>
      </c>
      <c r="G3402" s="62" t="n">
        <v>109.73</v>
      </c>
      <c r="H3402" s="63" t="n">
        <v>0.15</v>
      </c>
      <c r="I3402" s="62" t="n">
        <v>63.78</v>
      </c>
      <c r="J3402" s="58" t="inlineStr">
        <is>
          <t>Online</t>
        </is>
      </c>
      <c r="K3402" s="62">
        <f>F3402*(G3402-H3402)</f>
        <v/>
      </c>
      <c r="L3402" s="62">
        <f>K3402-(F3402*I3402)</f>
        <v/>
      </c>
      <c r="M3402" s="64">
        <f>L3402/K3402</f>
        <v/>
      </c>
    </row>
    <row r="3403">
      <c r="A3403" s="58" t="inlineStr">
        <is>
          <t>RT20250329-03402</t>
        </is>
      </c>
      <c r="B3403" s="59" t="inlineStr">
        <is>
          <t>2025-03-29</t>
        </is>
      </c>
      <c r="C3403" s="60" t="inlineStr">
        <is>
          <t>Solace Bedding Plus-317</t>
        </is>
      </c>
      <c r="D3403" s="58" t="inlineStr">
        <is>
          <t>Home</t>
        </is>
      </c>
      <c r="E3403" s="58" t="inlineStr">
        <is>
          <t>East</t>
        </is>
      </c>
      <c r="F3403" s="61" t="n">
        <v>2</v>
      </c>
      <c r="G3403" s="62" t="n">
        <v>548.53</v>
      </c>
      <c r="H3403" s="63" t="n">
        <v>0.103</v>
      </c>
      <c r="I3403" s="62" t="n">
        <v>375.67</v>
      </c>
      <c r="J3403" s="58" t="inlineStr">
        <is>
          <t>Store</t>
        </is>
      </c>
      <c r="K3403" s="62">
        <f>F3403*(G3403-H3403)</f>
        <v/>
      </c>
      <c r="L3403" s="62">
        <f>K3403-(F3403*I3403)</f>
        <v/>
      </c>
      <c r="M3403" s="64">
        <f>L3403/K3403</f>
        <v/>
      </c>
    </row>
    <row r="3404">
      <c r="A3404" s="58" t="inlineStr">
        <is>
          <t>RT20250329-03403</t>
        </is>
      </c>
      <c r="B3404" s="59" t="inlineStr">
        <is>
          <t>2025-03-29</t>
        </is>
      </c>
      <c r="C3404" s="60" t="inlineStr">
        <is>
          <t>Vertex Appliance Max-338</t>
        </is>
      </c>
      <c r="D3404" s="58" t="inlineStr">
        <is>
          <t>Home</t>
        </is>
      </c>
      <c r="E3404" s="58" t="inlineStr">
        <is>
          <t>East</t>
        </is>
      </c>
      <c r="F3404" s="61" t="n">
        <v>2</v>
      </c>
      <c r="G3404" s="62" t="n">
        <v>436.74</v>
      </c>
      <c r="H3404" s="63" t="n">
        <v>0.105</v>
      </c>
      <c r="I3404" s="62" t="n">
        <v>286.37</v>
      </c>
      <c r="J3404" s="58" t="inlineStr">
        <is>
          <t>Phone</t>
        </is>
      </c>
      <c r="K3404" s="62">
        <f>F3404*(G3404-H3404)</f>
        <v/>
      </c>
      <c r="L3404" s="62">
        <f>K3404-(F3404*I3404)</f>
        <v/>
      </c>
      <c r="M3404" s="64">
        <f>L3404/K3404</f>
        <v/>
      </c>
    </row>
    <row r="3405">
      <c r="A3405" s="58" t="inlineStr">
        <is>
          <t>RT20250329-03404</t>
        </is>
      </c>
      <c r="B3405" s="59" t="inlineStr">
        <is>
          <t>2025-03-29</t>
        </is>
      </c>
      <c r="C3405" s="60" t="inlineStr">
        <is>
          <t>Polar Beverage S-258</t>
        </is>
      </c>
      <c r="D3405" s="58" t="inlineStr">
        <is>
          <t>Grocery</t>
        </is>
      </c>
      <c r="E3405" s="58" t="inlineStr">
        <is>
          <t>West</t>
        </is>
      </c>
      <c r="F3405" s="61" t="n">
        <v>6</v>
      </c>
      <c r="G3405" s="62" t="n">
        <v>12.82</v>
      </c>
      <c r="H3405" s="63" t="n">
        <v>0.083</v>
      </c>
      <c r="I3405" s="62" t="n">
        <v>9.699999999999999</v>
      </c>
      <c r="J3405" s="58" t="inlineStr">
        <is>
          <t>Phone</t>
        </is>
      </c>
      <c r="K3405" s="62">
        <f>F3405*(G3405-H3405)</f>
        <v/>
      </c>
      <c r="L3405" s="62">
        <f>K3405-(F3405*I3405)</f>
        <v/>
      </c>
      <c r="M3405" s="64">
        <f>L3405/K3405</f>
        <v/>
      </c>
    </row>
    <row r="3406">
      <c r="A3406" s="58" t="inlineStr">
        <is>
          <t>RT20250329-03405</t>
        </is>
      </c>
      <c r="B3406" s="59" t="inlineStr">
        <is>
          <t>2025-03-29</t>
        </is>
      </c>
      <c r="C3406" s="60" t="inlineStr">
        <is>
          <t>Aurora Wearable Lite-162</t>
        </is>
      </c>
      <c r="D3406" s="58" t="inlineStr">
        <is>
          <t>Electronics</t>
        </is>
      </c>
      <c r="E3406" s="58" t="inlineStr">
        <is>
          <t>North</t>
        </is>
      </c>
      <c r="F3406" s="61" t="n">
        <v>2</v>
      </c>
      <c r="G3406" s="62" t="n">
        <v>1338.12</v>
      </c>
      <c r="H3406" s="63" t="n">
        <v>0.127</v>
      </c>
      <c r="I3406" s="62" t="n">
        <v>1134.16</v>
      </c>
      <c r="J3406" s="58" t="inlineStr">
        <is>
          <t>Online</t>
        </is>
      </c>
      <c r="K3406" s="62">
        <f>F3406*(G3406-H3406)</f>
        <v/>
      </c>
      <c r="L3406" s="62">
        <f>K3406-(F3406*I3406)</f>
        <v/>
      </c>
      <c r="M3406" s="64">
        <f>L3406/K3406</f>
        <v/>
      </c>
    </row>
    <row r="3407">
      <c r="A3407" s="58" t="inlineStr">
        <is>
          <t>RT20250329-03406</t>
        </is>
      </c>
      <c r="B3407" s="59" t="inlineStr">
        <is>
          <t>2025-03-29</t>
        </is>
      </c>
      <c r="C3407" s="60" t="inlineStr">
        <is>
          <t>Solace Smartphone Lite-533</t>
        </is>
      </c>
      <c r="D3407" s="58" t="inlineStr">
        <is>
          <t>Electronics</t>
        </is>
      </c>
      <c r="E3407" s="58" t="inlineStr">
        <is>
          <t>West</t>
        </is>
      </c>
      <c r="F3407" s="61" t="n">
        <v>1</v>
      </c>
      <c r="G3407" s="62" t="n">
        <v>1103.83</v>
      </c>
      <c r="H3407" s="63" t="n">
        <v>0.096</v>
      </c>
      <c r="I3407" s="62" t="n">
        <v>921.33</v>
      </c>
      <c r="J3407" s="58" t="inlineStr">
        <is>
          <t>Store</t>
        </is>
      </c>
      <c r="K3407" s="62">
        <f>F3407*(G3407-H3407)</f>
        <v/>
      </c>
      <c r="L3407" s="62">
        <f>K3407-(F3407*I3407)</f>
        <v/>
      </c>
      <c r="M3407" s="64">
        <f>L3407/K3407</f>
        <v/>
      </c>
    </row>
    <row r="3408">
      <c r="A3408" s="58" t="inlineStr">
        <is>
          <t>RT20250329-03407</t>
        </is>
      </c>
      <c r="B3408" s="59" t="inlineStr">
        <is>
          <t>2025-03-29</t>
        </is>
      </c>
      <c r="C3408" s="60" t="inlineStr">
        <is>
          <t>Aurora Skincare Max-798</t>
        </is>
      </c>
      <c r="D3408" s="58" t="inlineStr">
        <is>
          <t>Beauty</t>
        </is>
      </c>
      <c r="E3408" s="58" t="inlineStr">
        <is>
          <t>West</t>
        </is>
      </c>
      <c r="F3408" s="61" t="n">
        <v>2</v>
      </c>
      <c r="G3408" s="62" t="n">
        <v>106.71</v>
      </c>
      <c r="H3408" s="63" t="n">
        <v>0.103</v>
      </c>
      <c r="I3408" s="62" t="n">
        <v>70.48</v>
      </c>
      <c r="J3408" s="58" t="inlineStr">
        <is>
          <t>Online</t>
        </is>
      </c>
      <c r="K3408" s="62">
        <f>F3408*(G3408-H3408)</f>
        <v/>
      </c>
      <c r="L3408" s="62">
        <f>K3408-(F3408*I3408)</f>
        <v/>
      </c>
      <c r="M3408" s="64">
        <f>L3408/K3408</f>
        <v/>
      </c>
    </row>
    <row r="3409">
      <c r="A3409" s="58" t="inlineStr">
        <is>
          <t>RT20250329-03408</t>
        </is>
      </c>
      <c r="B3409" s="59" t="inlineStr">
        <is>
          <t>2025-03-29</t>
        </is>
      </c>
      <c r="C3409" s="60" t="inlineStr">
        <is>
          <t>Vertex Decor Pro-618</t>
        </is>
      </c>
      <c r="D3409" s="58" t="inlineStr">
        <is>
          <t>Home</t>
        </is>
      </c>
      <c r="E3409" s="58" t="inlineStr">
        <is>
          <t>West</t>
        </is>
      </c>
      <c r="F3409" s="61" t="n">
        <v>2</v>
      </c>
      <c r="G3409" s="62" t="n">
        <v>587.2</v>
      </c>
      <c r="H3409" s="63" t="n">
        <v>0.08500000000000001</v>
      </c>
      <c r="I3409" s="62" t="n">
        <v>370.11</v>
      </c>
      <c r="J3409" s="58" t="inlineStr">
        <is>
          <t>Store</t>
        </is>
      </c>
      <c r="K3409" s="62">
        <f>F3409*(G3409-H3409)</f>
        <v/>
      </c>
      <c r="L3409" s="62">
        <f>K3409-(F3409*I3409)</f>
        <v/>
      </c>
      <c r="M3409" s="64">
        <f>L3409/K3409</f>
        <v/>
      </c>
    </row>
    <row r="3410">
      <c r="A3410" s="58" t="inlineStr">
        <is>
          <t>RT20250329-03409</t>
        </is>
      </c>
      <c r="B3410" s="59" t="inlineStr">
        <is>
          <t>2025-03-29</t>
        </is>
      </c>
      <c r="C3410" s="60" t="inlineStr">
        <is>
          <t>Aurora Furniture X-709</t>
        </is>
      </c>
      <c r="D3410" s="58" t="inlineStr">
        <is>
          <t>Office</t>
        </is>
      </c>
      <c r="E3410" s="58" t="inlineStr">
        <is>
          <t>West</t>
        </is>
      </c>
      <c r="F3410" s="61" t="n">
        <v>1</v>
      </c>
      <c r="G3410" s="62" t="n">
        <v>429.42</v>
      </c>
      <c r="H3410" s="63" t="n">
        <v>0.08799999999999999</v>
      </c>
      <c r="I3410" s="62" t="n">
        <v>304.37</v>
      </c>
      <c r="J3410" s="58" t="inlineStr">
        <is>
          <t>Phone</t>
        </is>
      </c>
      <c r="K3410" s="62">
        <f>F3410*(G3410-H3410)</f>
        <v/>
      </c>
      <c r="L3410" s="62">
        <f>K3410-(F3410*I3410)</f>
        <v/>
      </c>
      <c r="M3410" s="64">
        <f>L3410/K3410</f>
        <v/>
      </c>
    </row>
    <row r="3411">
      <c r="A3411" s="58" t="inlineStr">
        <is>
          <t>RT20250329-03410</t>
        </is>
      </c>
      <c r="B3411" s="59" t="inlineStr">
        <is>
          <t>2025-03-29</t>
        </is>
      </c>
      <c r="C3411" s="60" t="inlineStr">
        <is>
          <t>Orion Men X-928</t>
        </is>
      </c>
      <c r="D3411" s="58" t="inlineStr">
        <is>
          <t>Apparel</t>
        </is>
      </c>
      <c r="E3411" s="58" t="inlineStr">
        <is>
          <t>East</t>
        </is>
      </c>
      <c r="F3411" s="61" t="n">
        <v>2</v>
      </c>
      <c r="G3411" s="62" t="n">
        <v>123.25</v>
      </c>
      <c r="H3411" s="63" t="n">
        <v>0.068</v>
      </c>
      <c r="I3411" s="62" t="n">
        <v>63.28</v>
      </c>
      <c r="J3411" s="58" t="inlineStr">
        <is>
          <t>Store</t>
        </is>
      </c>
      <c r="K3411" s="62">
        <f>F3411*(G3411-H3411)</f>
        <v/>
      </c>
      <c r="L3411" s="62">
        <f>K3411-(F3411*I3411)</f>
        <v/>
      </c>
      <c r="M3411" s="64">
        <f>L3411/K3411</f>
        <v/>
      </c>
    </row>
    <row r="3412">
      <c r="A3412" s="58" t="inlineStr">
        <is>
          <t>RT20250329-03411</t>
        </is>
      </c>
      <c r="B3412" s="59" t="inlineStr">
        <is>
          <t>2025-03-29</t>
        </is>
      </c>
      <c r="C3412" s="60" t="inlineStr">
        <is>
          <t>Orion Kid Max-864</t>
        </is>
      </c>
      <c r="D3412" s="58" t="inlineStr">
        <is>
          <t>Apparel</t>
        </is>
      </c>
      <c r="E3412" s="58" t="inlineStr">
        <is>
          <t>West</t>
        </is>
      </c>
      <c r="F3412" s="61" t="n">
        <v>3</v>
      </c>
      <c r="G3412" s="62" t="n">
        <v>80.77</v>
      </c>
      <c r="H3412" s="63" t="n">
        <v>0.092</v>
      </c>
      <c r="I3412" s="62" t="n">
        <v>44.87</v>
      </c>
      <c r="J3412" s="58" t="inlineStr">
        <is>
          <t>Store</t>
        </is>
      </c>
      <c r="K3412" s="62">
        <f>F3412*(G3412-H3412)</f>
        <v/>
      </c>
      <c r="L3412" s="62">
        <f>K3412-(F3412*I3412)</f>
        <v/>
      </c>
      <c r="M3412" s="64">
        <f>L3412/K3412</f>
        <v/>
      </c>
    </row>
    <row r="3413">
      <c r="A3413" s="58" t="inlineStr">
        <is>
          <t>RT20250329-03412</t>
        </is>
      </c>
      <c r="B3413" s="59" t="inlineStr">
        <is>
          <t>2025-03-29</t>
        </is>
      </c>
      <c r="C3413" s="60" t="inlineStr">
        <is>
          <t>Nimbus Laptop Max-652</t>
        </is>
      </c>
      <c r="D3413" s="58" t="inlineStr">
        <is>
          <t>Electronics</t>
        </is>
      </c>
      <c r="E3413" s="58" t="inlineStr">
        <is>
          <t>South</t>
        </is>
      </c>
      <c r="F3413" s="61" t="n">
        <v>1</v>
      </c>
      <c r="G3413" s="62" t="n">
        <v>1344.66</v>
      </c>
      <c r="H3413" s="63" t="n">
        <v>0.11</v>
      </c>
      <c r="I3413" s="62" t="n">
        <v>1022.02</v>
      </c>
      <c r="J3413" s="58" t="inlineStr">
        <is>
          <t>Online</t>
        </is>
      </c>
      <c r="K3413" s="62">
        <f>F3413*(G3413-H3413)</f>
        <v/>
      </c>
      <c r="L3413" s="62">
        <f>K3413-(F3413*I3413)</f>
        <v/>
      </c>
      <c r="M3413" s="64">
        <f>L3413/K3413</f>
        <v/>
      </c>
    </row>
    <row r="3414">
      <c r="A3414" s="58" t="inlineStr">
        <is>
          <t>RT20250329-03413</t>
        </is>
      </c>
      <c r="B3414" s="59" t="inlineStr">
        <is>
          <t>2025-03-29</t>
        </is>
      </c>
      <c r="C3414" s="60" t="inlineStr">
        <is>
          <t>Metro Printer X-294</t>
        </is>
      </c>
      <c r="D3414" s="58" t="inlineStr">
        <is>
          <t>Office</t>
        </is>
      </c>
      <c r="E3414" s="58" t="inlineStr">
        <is>
          <t>West</t>
        </is>
      </c>
      <c r="F3414" s="61" t="n">
        <v>1</v>
      </c>
      <c r="G3414" s="62" t="n">
        <v>678.25</v>
      </c>
      <c r="H3414" s="63" t="n">
        <v>0.102</v>
      </c>
      <c r="I3414" s="62" t="n">
        <v>414.51</v>
      </c>
      <c r="J3414" s="58" t="inlineStr">
        <is>
          <t>Store</t>
        </is>
      </c>
      <c r="K3414" s="62">
        <f>F3414*(G3414-H3414)</f>
        <v/>
      </c>
      <c r="L3414" s="62">
        <f>K3414-(F3414*I3414)</f>
        <v/>
      </c>
      <c r="M3414" s="64">
        <f>L3414/K3414</f>
        <v/>
      </c>
    </row>
    <row r="3415">
      <c r="A3415" s="58" t="inlineStr">
        <is>
          <t>RT20250329-03414</t>
        </is>
      </c>
      <c r="B3415" s="59" t="inlineStr">
        <is>
          <t>2025-03-29</t>
        </is>
      </c>
      <c r="C3415" s="60" t="inlineStr">
        <is>
          <t>Vertex Supplie Pro-786</t>
        </is>
      </c>
      <c r="D3415" s="58" t="inlineStr">
        <is>
          <t>Office</t>
        </is>
      </c>
      <c r="E3415" s="58" t="inlineStr">
        <is>
          <t>Central</t>
        </is>
      </c>
      <c r="F3415" s="61" t="n">
        <v>3</v>
      </c>
      <c r="G3415" s="62" t="n">
        <v>397.55</v>
      </c>
      <c r="H3415" s="63" t="n">
        <v>0.1</v>
      </c>
      <c r="I3415" s="62" t="n">
        <v>287.31</v>
      </c>
      <c r="J3415" s="58" t="inlineStr">
        <is>
          <t>Online</t>
        </is>
      </c>
      <c r="K3415" s="62">
        <f>F3415*(G3415-H3415)</f>
        <v/>
      </c>
      <c r="L3415" s="62">
        <f>K3415-(F3415*I3415)</f>
        <v/>
      </c>
      <c r="M3415" s="64">
        <f>L3415/K3415</f>
        <v/>
      </c>
    </row>
    <row r="3416">
      <c r="A3416" s="58" t="inlineStr">
        <is>
          <t>RT20250329-03415</t>
        </is>
      </c>
      <c r="B3416" s="59" t="inlineStr">
        <is>
          <t>2025-03-29</t>
        </is>
      </c>
      <c r="C3416" s="60" t="inlineStr">
        <is>
          <t>Vertex Supplie Pro-786</t>
        </is>
      </c>
      <c r="D3416" s="58" t="inlineStr">
        <is>
          <t>Office</t>
        </is>
      </c>
      <c r="E3416" s="58" t="inlineStr">
        <is>
          <t>East</t>
        </is>
      </c>
      <c r="F3416" s="61" t="n">
        <v>1</v>
      </c>
      <c r="G3416" s="62" t="n">
        <v>405.74</v>
      </c>
      <c r="H3416" s="63" t="n">
        <v>0.073</v>
      </c>
      <c r="I3416" s="62" t="n">
        <v>286.78</v>
      </c>
      <c r="J3416" s="58" t="inlineStr">
        <is>
          <t>Store</t>
        </is>
      </c>
      <c r="K3416" s="62">
        <f>F3416*(G3416-H3416)</f>
        <v/>
      </c>
      <c r="L3416" s="62">
        <f>K3416-(F3416*I3416)</f>
        <v/>
      </c>
      <c r="M3416" s="64">
        <f>L3416/K3416</f>
        <v/>
      </c>
    </row>
    <row r="3417">
      <c r="A3417" s="58" t="inlineStr">
        <is>
          <t>RT20250329-03416</t>
        </is>
      </c>
      <c r="B3417" s="59" t="inlineStr">
        <is>
          <t>2025-03-29</t>
        </is>
      </c>
      <c r="C3417" s="60" t="inlineStr">
        <is>
          <t>Vertex Men X-995</t>
        </is>
      </c>
      <c r="D3417" s="58" t="inlineStr">
        <is>
          <t>Apparel</t>
        </is>
      </c>
      <c r="E3417" s="58" t="inlineStr">
        <is>
          <t>Central</t>
        </is>
      </c>
      <c r="F3417" s="61" t="n">
        <v>3</v>
      </c>
      <c r="G3417" s="62" t="n">
        <v>99.67</v>
      </c>
      <c r="H3417" s="63" t="n">
        <v>0.144</v>
      </c>
      <c r="I3417" s="62" t="n">
        <v>56.58</v>
      </c>
      <c r="J3417" s="58" t="inlineStr">
        <is>
          <t>Online</t>
        </is>
      </c>
      <c r="K3417" s="62">
        <f>F3417*(G3417-H3417)</f>
        <v/>
      </c>
      <c r="L3417" s="62">
        <f>K3417-(F3417*I3417)</f>
        <v/>
      </c>
      <c r="M3417" s="64">
        <f>L3417/K3417</f>
        <v/>
      </c>
    </row>
    <row r="3418">
      <c r="A3418" s="58" t="inlineStr">
        <is>
          <t>RT20250329-03417</t>
        </is>
      </c>
      <c r="B3418" s="59" t="inlineStr">
        <is>
          <t>2025-03-29</t>
        </is>
      </c>
      <c r="C3418" s="60" t="inlineStr">
        <is>
          <t>Vertex Skincare Pro-891</t>
        </is>
      </c>
      <c r="D3418" s="58" t="inlineStr">
        <is>
          <t>Beauty</t>
        </is>
      </c>
      <c r="E3418" s="58" t="inlineStr">
        <is>
          <t>West</t>
        </is>
      </c>
      <c r="F3418" s="61" t="n">
        <v>1</v>
      </c>
      <c r="G3418" s="62" t="n">
        <v>146.76</v>
      </c>
      <c r="H3418" s="63" t="n">
        <v>0.066</v>
      </c>
      <c r="I3418" s="62" t="n">
        <v>86.81</v>
      </c>
      <c r="J3418" s="58" t="inlineStr">
        <is>
          <t>Online</t>
        </is>
      </c>
      <c r="K3418" s="62">
        <f>F3418*(G3418-H3418)</f>
        <v/>
      </c>
      <c r="L3418" s="62">
        <f>K3418-(F3418*I3418)</f>
        <v/>
      </c>
      <c r="M3418" s="64">
        <f>L3418/K3418</f>
        <v/>
      </c>
    </row>
    <row r="3419">
      <c r="A3419" s="58" t="inlineStr">
        <is>
          <t>RT20250329-03418</t>
        </is>
      </c>
      <c r="B3419" s="59" t="inlineStr">
        <is>
          <t>2025-03-29</t>
        </is>
      </c>
      <c r="C3419" s="60" t="inlineStr">
        <is>
          <t>Aurora Fragrance S-971</t>
        </is>
      </c>
      <c r="D3419" s="58" t="inlineStr">
        <is>
          <t>Beauty</t>
        </is>
      </c>
      <c r="E3419" s="58" t="inlineStr">
        <is>
          <t>East</t>
        </is>
      </c>
      <c r="F3419" s="61" t="n">
        <v>5</v>
      </c>
      <c r="G3419" s="62" t="n">
        <v>106.67</v>
      </c>
      <c r="H3419" s="63" t="n">
        <v>0.102</v>
      </c>
      <c r="I3419" s="62" t="n">
        <v>65.98</v>
      </c>
      <c r="J3419" s="58" t="inlineStr">
        <is>
          <t>Online</t>
        </is>
      </c>
      <c r="K3419" s="62">
        <f>F3419*(G3419-H3419)</f>
        <v/>
      </c>
      <c r="L3419" s="62">
        <f>K3419-(F3419*I3419)</f>
        <v/>
      </c>
      <c r="M3419" s="64">
        <f>L3419/K3419</f>
        <v/>
      </c>
    </row>
    <row r="3420">
      <c r="A3420" s="58" t="inlineStr">
        <is>
          <t>RT20250329-03419</t>
        </is>
      </c>
      <c r="B3420" s="59" t="inlineStr">
        <is>
          <t>2025-03-29</t>
        </is>
      </c>
      <c r="C3420" s="60" t="inlineStr">
        <is>
          <t>Polar Cycling X-649</t>
        </is>
      </c>
      <c r="D3420" s="58" t="inlineStr">
        <is>
          <t>Sports</t>
        </is>
      </c>
      <c r="E3420" s="58" t="inlineStr">
        <is>
          <t>East</t>
        </is>
      </c>
      <c r="F3420" s="61" t="n">
        <v>1</v>
      </c>
      <c r="G3420" s="62" t="n">
        <v>496.29</v>
      </c>
      <c r="H3420" s="63" t="n">
        <v>0.08699999999999999</v>
      </c>
      <c r="I3420" s="62" t="n">
        <v>372.86</v>
      </c>
      <c r="J3420" s="58" t="inlineStr">
        <is>
          <t>Online</t>
        </is>
      </c>
      <c r="K3420" s="62">
        <f>F3420*(G3420-H3420)</f>
        <v/>
      </c>
      <c r="L3420" s="62">
        <f>K3420-(F3420*I3420)</f>
        <v/>
      </c>
      <c r="M3420" s="64">
        <f>L3420/K3420</f>
        <v/>
      </c>
    </row>
    <row r="3421">
      <c r="A3421" s="58" t="inlineStr">
        <is>
          <t>RT20250329-03420</t>
        </is>
      </c>
      <c r="B3421" s="59" t="inlineStr">
        <is>
          <t>2025-03-29</t>
        </is>
      </c>
      <c r="C3421" s="60" t="inlineStr">
        <is>
          <t>Aurora Makeup S-626</t>
        </is>
      </c>
      <c r="D3421" s="58" t="inlineStr">
        <is>
          <t>Beauty</t>
        </is>
      </c>
      <c r="E3421" s="58" t="inlineStr">
        <is>
          <t>Central</t>
        </is>
      </c>
      <c r="F3421" s="61" t="n">
        <v>4</v>
      </c>
      <c r="G3421" s="62" t="n">
        <v>117.73</v>
      </c>
      <c r="H3421" s="63" t="n">
        <v>0.093</v>
      </c>
      <c r="I3421" s="62" t="n">
        <v>65.2</v>
      </c>
      <c r="J3421" s="58" t="inlineStr">
        <is>
          <t>Phone</t>
        </is>
      </c>
      <c r="K3421" s="62">
        <f>F3421*(G3421-H3421)</f>
        <v/>
      </c>
      <c r="L3421" s="62">
        <f>K3421-(F3421*I3421)</f>
        <v/>
      </c>
      <c r="M3421" s="64">
        <f>L3421/K3421</f>
        <v/>
      </c>
    </row>
    <row r="3422">
      <c r="A3422" s="58" t="inlineStr">
        <is>
          <t>RT20250329-03421</t>
        </is>
      </c>
      <c r="B3422" s="59" t="inlineStr">
        <is>
          <t>2025-03-29</t>
        </is>
      </c>
      <c r="C3422" s="60" t="inlineStr">
        <is>
          <t>Falcon Beverage Max-702</t>
        </is>
      </c>
      <c r="D3422" s="58" t="inlineStr">
        <is>
          <t>Grocery</t>
        </is>
      </c>
      <c r="E3422" s="58" t="inlineStr">
        <is>
          <t>West</t>
        </is>
      </c>
      <c r="F3422" s="61" t="n">
        <v>7</v>
      </c>
      <c r="G3422" s="62" t="n">
        <v>31.06</v>
      </c>
      <c r="H3422" s="63" t="n">
        <v>0.073</v>
      </c>
      <c r="I3422" s="62" t="n">
        <v>20.07</v>
      </c>
      <c r="J3422" s="58" t="inlineStr">
        <is>
          <t>Store</t>
        </is>
      </c>
      <c r="K3422" s="62">
        <f>F3422*(G3422-H3422)</f>
        <v/>
      </c>
      <c r="L3422" s="62">
        <f>K3422-(F3422*I3422)</f>
        <v/>
      </c>
      <c r="M3422" s="64">
        <f>L3422/K3422</f>
        <v/>
      </c>
    </row>
    <row r="3423">
      <c r="A3423" s="58" t="inlineStr">
        <is>
          <t>RT20250329-03422</t>
        </is>
      </c>
      <c r="B3423" s="59" t="inlineStr">
        <is>
          <t>2025-03-29</t>
        </is>
      </c>
      <c r="C3423" s="60" t="inlineStr">
        <is>
          <t>Solace Bedding Plus-317</t>
        </is>
      </c>
      <c r="D3423" s="58" t="inlineStr">
        <is>
          <t>Home</t>
        </is>
      </c>
      <c r="E3423" s="58" t="inlineStr">
        <is>
          <t>West</t>
        </is>
      </c>
      <c r="F3423" s="61" t="n">
        <v>1</v>
      </c>
      <c r="G3423" s="62" t="n">
        <v>482.21</v>
      </c>
      <c r="H3423" s="63" t="n">
        <v>0.081</v>
      </c>
      <c r="I3423" s="62" t="n">
        <v>374.76</v>
      </c>
      <c r="J3423" s="58" t="inlineStr">
        <is>
          <t>Online</t>
        </is>
      </c>
      <c r="K3423" s="62">
        <f>F3423*(G3423-H3423)</f>
        <v/>
      </c>
      <c r="L3423" s="62">
        <f>K3423-(F3423*I3423)</f>
        <v/>
      </c>
      <c r="M3423" s="64">
        <f>L3423/K3423</f>
        <v/>
      </c>
    </row>
    <row r="3424">
      <c r="A3424" s="58" t="inlineStr">
        <is>
          <t>RT20250329-03423</t>
        </is>
      </c>
      <c r="B3424" s="59" t="inlineStr">
        <is>
          <t>2025-03-29</t>
        </is>
      </c>
      <c r="C3424" s="60" t="inlineStr">
        <is>
          <t>Polar Outdoor X-193</t>
        </is>
      </c>
      <c r="D3424" s="58" t="inlineStr">
        <is>
          <t>Sports</t>
        </is>
      </c>
      <c r="E3424" s="58" t="inlineStr">
        <is>
          <t>North</t>
        </is>
      </c>
      <c r="F3424" s="61" t="n">
        <v>3</v>
      </c>
      <c r="G3424" s="62" t="n">
        <v>653.17</v>
      </c>
      <c r="H3424" s="63" t="n">
        <v>0.092</v>
      </c>
      <c r="I3424" s="62" t="n">
        <v>447.31</v>
      </c>
      <c r="J3424" s="58" t="inlineStr">
        <is>
          <t>Online</t>
        </is>
      </c>
      <c r="K3424" s="62">
        <f>F3424*(G3424-H3424)</f>
        <v/>
      </c>
      <c r="L3424" s="62">
        <f>K3424-(F3424*I3424)</f>
        <v/>
      </c>
      <c r="M3424" s="64">
        <f>L3424/K3424</f>
        <v/>
      </c>
    </row>
    <row r="3425">
      <c r="A3425" s="58" t="inlineStr">
        <is>
          <t>RT20250329-03424</t>
        </is>
      </c>
      <c r="B3425" s="59" t="inlineStr">
        <is>
          <t>2025-03-29</t>
        </is>
      </c>
      <c r="C3425" s="60" t="inlineStr">
        <is>
          <t>Polar Wearable X-119</t>
        </is>
      </c>
      <c r="D3425" s="58" t="inlineStr">
        <is>
          <t>Electronics</t>
        </is>
      </c>
      <c r="E3425" s="58" t="inlineStr">
        <is>
          <t>East</t>
        </is>
      </c>
      <c r="F3425" s="61" t="n">
        <v>1</v>
      </c>
      <c r="G3425" s="62" t="n">
        <v>1710.06</v>
      </c>
      <c r="H3425" s="63" t="n">
        <v>0.091</v>
      </c>
      <c r="I3425" s="62" t="n">
        <v>1312.06</v>
      </c>
      <c r="J3425" s="58" t="inlineStr">
        <is>
          <t>Phone</t>
        </is>
      </c>
      <c r="K3425" s="62">
        <f>F3425*(G3425-H3425)</f>
        <v/>
      </c>
      <c r="L3425" s="62">
        <f>K3425-(F3425*I3425)</f>
        <v/>
      </c>
      <c r="M3425" s="64">
        <f>L3425/K3425</f>
        <v/>
      </c>
    </row>
    <row r="3426">
      <c r="A3426" s="58" t="inlineStr">
        <is>
          <t>RT20250329-03425</t>
        </is>
      </c>
      <c r="B3426" s="59" t="inlineStr">
        <is>
          <t>2025-03-29</t>
        </is>
      </c>
      <c r="C3426" s="60" t="inlineStr">
        <is>
          <t>Aurora Team Sport Plus-256</t>
        </is>
      </c>
      <c r="D3426" s="58" t="inlineStr">
        <is>
          <t>Sports</t>
        </is>
      </c>
      <c r="E3426" s="58" t="inlineStr">
        <is>
          <t>West</t>
        </is>
      </c>
      <c r="F3426" s="61" t="n">
        <v>2</v>
      </c>
      <c r="G3426" s="62" t="n">
        <v>663.77</v>
      </c>
      <c r="H3426" s="63" t="n">
        <v>0.091</v>
      </c>
      <c r="I3426" s="62" t="n">
        <v>421.62</v>
      </c>
      <c r="J3426" s="58" t="inlineStr">
        <is>
          <t>Online</t>
        </is>
      </c>
      <c r="K3426" s="62">
        <f>F3426*(G3426-H3426)</f>
        <v/>
      </c>
      <c r="L3426" s="62">
        <f>K3426-(F3426*I3426)</f>
        <v/>
      </c>
      <c r="M3426" s="64">
        <f>L3426/K3426</f>
        <v/>
      </c>
    </row>
    <row r="3427">
      <c r="A3427" s="58" t="inlineStr">
        <is>
          <t>RT20250329-03426</t>
        </is>
      </c>
      <c r="B3427" s="59" t="inlineStr">
        <is>
          <t>2025-03-29</t>
        </is>
      </c>
      <c r="C3427" s="60" t="inlineStr">
        <is>
          <t>Solace Bedding Plus-317</t>
        </is>
      </c>
      <c r="D3427" s="58" t="inlineStr">
        <is>
          <t>Home</t>
        </is>
      </c>
      <c r="E3427" s="58" t="inlineStr">
        <is>
          <t>Central</t>
        </is>
      </c>
      <c r="F3427" s="61" t="n">
        <v>1</v>
      </c>
      <c r="G3427" s="62" t="n">
        <v>612.1799999999999</v>
      </c>
      <c r="H3427" s="63" t="n">
        <v>0.115</v>
      </c>
      <c r="I3427" s="62" t="n">
        <v>386.12</v>
      </c>
      <c r="J3427" s="58" t="inlineStr">
        <is>
          <t>Online</t>
        </is>
      </c>
      <c r="K3427" s="62">
        <f>F3427*(G3427-H3427)</f>
        <v/>
      </c>
      <c r="L3427" s="62">
        <f>K3427-(F3427*I3427)</f>
        <v/>
      </c>
      <c r="M3427" s="64">
        <f>L3427/K3427</f>
        <v/>
      </c>
    </row>
    <row r="3428">
      <c r="A3428" s="58" t="inlineStr">
        <is>
          <t>RT20250329-03427</t>
        </is>
      </c>
      <c r="B3428" s="59" t="inlineStr">
        <is>
          <t>2025-03-29</t>
        </is>
      </c>
      <c r="C3428" s="60" t="inlineStr">
        <is>
          <t>Vertex Appliance S-159</t>
        </is>
      </c>
      <c r="D3428" s="58" t="inlineStr">
        <is>
          <t>Home</t>
        </is>
      </c>
      <c r="E3428" s="58" t="inlineStr">
        <is>
          <t>Central</t>
        </is>
      </c>
      <c r="F3428" s="61" t="n">
        <v>1</v>
      </c>
      <c r="G3428" s="62" t="n">
        <v>437.48</v>
      </c>
      <c r="H3428" s="63" t="n">
        <v>0.064</v>
      </c>
      <c r="I3428" s="62" t="n">
        <v>292.44</v>
      </c>
      <c r="J3428" s="58" t="inlineStr">
        <is>
          <t>Store</t>
        </is>
      </c>
      <c r="K3428" s="62">
        <f>F3428*(G3428-H3428)</f>
        <v/>
      </c>
      <c r="L3428" s="62">
        <f>K3428-(F3428*I3428)</f>
        <v/>
      </c>
      <c r="M3428" s="64">
        <f>L3428/K3428</f>
        <v/>
      </c>
    </row>
    <row r="3429">
      <c r="A3429" s="58" t="inlineStr">
        <is>
          <t>RT20250329-03428</t>
        </is>
      </c>
      <c r="B3429" s="59" t="inlineStr">
        <is>
          <t>2025-03-29</t>
        </is>
      </c>
      <c r="C3429" s="60" t="inlineStr">
        <is>
          <t>Aurora Fitnes Lite-194</t>
        </is>
      </c>
      <c r="D3429" s="58" t="inlineStr">
        <is>
          <t>Sports</t>
        </is>
      </c>
      <c r="E3429" s="58" t="inlineStr">
        <is>
          <t>East</t>
        </is>
      </c>
      <c r="F3429" s="61" t="n">
        <v>3</v>
      </c>
      <c r="G3429" s="62" t="n">
        <v>697.67</v>
      </c>
      <c r="H3429" s="63" t="n">
        <v>0.079</v>
      </c>
      <c r="I3429" s="62" t="n">
        <v>463.63</v>
      </c>
      <c r="J3429" s="58" t="inlineStr">
        <is>
          <t>Online</t>
        </is>
      </c>
      <c r="K3429" s="62">
        <f>F3429*(G3429-H3429)</f>
        <v/>
      </c>
      <c r="L3429" s="62">
        <f>K3429-(F3429*I3429)</f>
        <v/>
      </c>
      <c r="M3429" s="64">
        <f>L3429/K3429</f>
        <v/>
      </c>
    </row>
    <row r="3430">
      <c r="A3430" s="58" t="inlineStr">
        <is>
          <t>RT20250329-03429</t>
        </is>
      </c>
      <c r="B3430" s="59" t="inlineStr">
        <is>
          <t>2025-03-29</t>
        </is>
      </c>
      <c r="C3430" s="60" t="inlineStr">
        <is>
          <t>Falcon Headphone Pro-713</t>
        </is>
      </c>
      <c r="D3430" s="58" t="inlineStr">
        <is>
          <t>Electronics</t>
        </is>
      </c>
      <c r="E3430" s="58" t="inlineStr">
        <is>
          <t>South</t>
        </is>
      </c>
      <c r="F3430" s="61" t="n">
        <v>2</v>
      </c>
      <c r="G3430" s="62" t="n">
        <v>1519.16</v>
      </c>
      <c r="H3430" s="63" t="n">
        <v>0.111</v>
      </c>
      <c r="I3430" s="62" t="n">
        <v>1212.24</v>
      </c>
      <c r="J3430" s="58" t="inlineStr">
        <is>
          <t>Store</t>
        </is>
      </c>
      <c r="K3430" s="62">
        <f>F3430*(G3430-H3430)</f>
        <v/>
      </c>
      <c r="L3430" s="62">
        <f>K3430-(F3430*I3430)</f>
        <v/>
      </c>
      <c r="M3430" s="64">
        <f>L3430/K3430</f>
        <v/>
      </c>
    </row>
    <row r="3431">
      <c r="A3431" s="58" t="inlineStr">
        <is>
          <t>RT20250330-03430</t>
        </is>
      </c>
      <c r="B3431" s="59" t="inlineStr">
        <is>
          <t>2025-03-30</t>
        </is>
      </c>
      <c r="C3431" s="60" t="inlineStr">
        <is>
          <t>Polar Bedding Lite-243</t>
        </is>
      </c>
      <c r="D3431" s="58" t="inlineStr">
        <is>
          <t>Home</t>
        </is>
      </c>
      <c r="E3431" s="58" t="inlineStr">
        <is>
          <t>South</t>
        </is>
      </c>
      <c r="F3431" s="61" t="n">
        <v>2</v>
      </c>
      <c r="G3431" s="62" t="n">
        <v>520.5700000000001</v>
      </c>
      <c r="H3431" s="63" t="n">
        <v>0.075</v>
      </c>
      <c r="I3431" s="62" t="n">
        <v>316.34</v>
      </c>
      <c r="J3431" s="58" t="inlineStr">
        <is>
          <t>Store</t>
        </is>
      </c>
      <c r="K3431" s="62">
        <f>F3431*(G3431-H3431)</f>
        <v/>
      </c>
      <c r="L3431" s="62">
        <f>K3431-(F3431*I3431)</f>
        <v/>
      </c>
      <c r="M3431" s="64">
        <f>L3431/K3431</f>
        <v/>
      </c>
    </row>
    <row r="3432">
      <c r="A3432" s="58" t="inlineStr">
        <is>
          <t>RT20250330-03431</t>
        </is>
      </c>
      <c r="B3432" s="59" t="inlineStr">
        <is>
          <t>2025-03-30</t>
        </is>
      </c>
      <c r="C3432" s="60" t="inlineStr">
        <is>
          <t>Solace Kitchen Pro-510</t>
        </is>
      </c>
      <c r="D3432" s="58" t="inlineStr">
        <is>
          <t>Home</t>
        </is>
      </c>
      <c r="E3432" s="58" t="inlineStr">
        <is>
          <t>North</t>
        </is>
      </c>
      <c r="F3432" s="61" t="n">
        <v>1</v>
      </c>
      <c r="G3432" s="62" t="n">
        <v>410.17</v>
      </c>
      <c r="H3432" s="63" t="n">
        <v>0.08400000000000001</v>
      </c>
      <c r="I3432" s="62" t="n">
        <v>309.26</v>
      </c>
      <c r="J3432" s="58" t="inlineStr">
        <is>
          <t>Online</t>
        </is>
      </c>
      <c r="K3432" s="62">
        <f>F3432*(G3432-H3432)</f>
        <v/>
      </c>
      <c r="L3432" s="62">
        <f>K3432-(F3432*I3432)</f>
        <v/>
      </c>
      <c r="M3432" s="64">
        <f>L3432/K3432</f>
        <v/>
      </c>
    </row>
    <row r="3433">
      <c r="A3433" s="58" t="inlineStr">
        <is>
          <t>RT20250330-03432</t>
        </is>
      </c>
      <c r="B3433" s="59" t="inlineStr">
        <is>
          <t>2025-03-30</t>
        </is>
      </c>
      <c r="C3433" s="60" t="inlineStr">
        <is>
          <t>Vertex Skincare Pro-891</t>
        </is>
      </c>
      <c r="D3433" s="58" t="inlineStr">
        <is>
          <t>Beauty</t>
        </is>
      </c>
      <c r="E3433" s="58" t="inlineStr">
        <is>
          <t>North</t>
        </is>
      </c>
      <c r="F3433" s="61" t="n">
        <v>4</v>
      </c>
      <c r="G3433" s="62" t="n">
        <v>121.44</v>
      </c>
      <c r="H3433" s="63" t="n">
        <v>0.047</v>
      </c>
      <c r="I3433" s="62" t="n">
        <v>87.06999999999999</v>
      </c>
      <c r="J3433" s="58" t="inlineStr">
        <is>
          <t>Store</t>
        </is>
      </c>
      <c r="K3433" s="62">
        <f>F3433*(G3433-H3433)</f>
        <v/>
      </c>
      <c r="L3433" s="62">
        <f>K3433-(F3433*I3433)</f>
        <v/>
      </c>
      <c r="M3433" s="64">
        <f>L3433/K3433</f>
        <v/>
      </c>
    </row>
    <row r="3434">
      <c r="A3434" s="58" t="inlineStr">
        <is>
          <t>RT20250330-03433</t>
        </is>
      </c>
      <c r="B3434" s="59" t="inlineStr">
        <is>
          <t>2025-03-30</t>
        </is>
      </c>
      <c r="C3434" s="60" t="inlineStr">
        <is>
          <t>Aurora Haircare S-975</t>
        </is>
      </c>
      <c r="D3434" s="58" t="inlineStr">
        <is>
          <t>Beauty</t>
        </is>
      </c>
      <c r="E3434" s="58" t="inlineStr">
        <is>
          <t>East</t>
        </is>
      </c>
      <c r="F3434" s="61" t="n">
        <v>5</v>
      </c>
      <c r="G3434" s="62" t="n">
        <v>84.34999999999999</v>
      </c>
      <c r="H3434" s="63" t="n">
        <v>0.062</v>
      </c>
      <c r="I3434" s="62" t="n">
        <v>56.81</v>
      </c>
      <c r="J3434" s="58" t="inlineStr">
        <is>
          <t>Online</t>
        </is>
      </c>
      <c r="K3434" s="62">
        <f>F3434*(G3434-H3434)</f>
        <v/>
      </c>
      <c r="L3434" s="62">
        <f>K3434-(F3434*I3434)</f>
        <v/>
      </c>
      <c r="M3434" s="64">
        <f>L3434/K3434</f>
        <v/>
      </c>
    </row>
    <row r="3435">
      <c r="A3435" s="58" t="inlineStr">
        <is>
          <t>RT20250330-03434</t>
        </is>
      </c>
      <c r="B3435" s="59" t="inlineStr">
        <is>
          <t>2025-03-30</t>
        </is>
      </c>
      <c r="C3435" s="60" t="inlineStr">
        <is>
          <t>Solace Headphone Pro-344</t>
        </is>
      </c>
      <c r="D3435" s="58" t="inlineStr">
        <is>
          <t>Electronics</t>
        </is>
      </c>
      <c r="E3435" s="58" t="inlineStr">
        <is>
          <t>South</t>
        </is>
      </c>
      <c r="F3435" s="61" t="n">
        <v>2</v>
      </c>
      <c r="G3435" s="62" t="n">
        <v>1295.38</v>
      </c>
      <c r="H3435" s="63" t="n">
        <v>0.059</v>
      </c>
      <c r="I3435" s="62" t="n">
        <v>1061.78</v>
      </c>
      <c r="J3435" s="58" t="inlineStr">
        <is>
          <t>Store</t>
        </is>
      </c>
      <c r="K3435" s="62">
        <f>F3435*(G3435-H3435)</f>
        <v/>
      </c>
      <c r="L3435" s="62">
        <f>K3435-(F3435*I3435)</f>
        <v/>
      </c>
      <c r="M3435" s="64">
        <f>L3435/K3435</f>
        <v/>
      </c>
    </row>
    <row r="3436">
      <c r="A3436" s="58" t="inlineStr">
        <is>
          <t>RT20250330-03435</t>
        </is>
      </c>
      <c r="B3436" s="59" t="inlineStr">
        <is>
          <t>2025-03-30</t>
        </is>
      </c>
      <c r="C3436" s="60" t="inlineStr">
        <is>
          <t>Nimbus Furniture Pro-479</t>
        </is>
      </c>
      <c r="D3436" s="58" t="inlineStr">
        <is>
          <t>Office</t>
        </is>
      </c>
      <c r="E3436" s="58" t="inlineStr">
        <is>
          <t>Central</t>
        </is>
      </c>
      <c r="F3436" s="61" t="n">
        <v>3</v>
      </c>
      <c r="G3436" s="62" t="n">
        <v>311.87</v>
      </c>
      <c r="H3436" s="63" t="n">
        <v>0.139</v>
      </c>
      <c r="I3436" s="62" t="n">
        <v>235.63</v>
      </c>
      <c r="J3436" s="58" t="inlineStr">
        <is>
          <t>Online</t>
        </is>
      </c>
      <c r="K3436" s="62">
        <f>F3436*(G3436-H3436)</f>
        <v/>
      </c>
      <c r="L3436" s="62">
        <f>K3436-(F3436*I3436)</f>
        <v/>
      </c>
      <c r="M3436" s="64">
        <f>L3436/K3436</f>
        <v/>
      </c>
    </row>
    <row r="3437">
      <c r="A3437" s="58" t="inlineStr">
        <is>
          <t>RT20250330-03436</t>
        </is>
      </c>
      <c r="B3437" s="59" t="inlineStr">
        <is>
          <t>2025-03-30</t>
        </is>
      </c>
      <c r="C3437" s="60" t="inlineStr">
        <is>
          <t>Nimbus Fitnes Lite-516</t>
        </is>
      </c>
      <c r="D3437" s="58" t="inlineStr">
        <is>
          <t>Sports</t>
        </is>
      </c>
      <c r="E3437" s="58" t="inlineStr">
        <is>
          <t>North</t>
        </is>
      </c>
      <c r="F3437" s="61" t="n">
        <v>2</v>
      </c>
      <c r="G3437" s="62" t="n">
        <v>776.3</v>
      </c>
      <c r="H3437" s="63" t="n">
        <v>0.113</v>
      </c>
      <c r="I3437" s="62" t="n">
        <v>468.08</v>
      </c>
      <c r="J3437" s="58" t="inlineStr">
        <is>
          <t>Store</t>
        </is>
      </c>
      <c r="K3437" s="62">
        <f>F3437*(G3437-H3437)</f>
        <v/>
      </c>
      <c r="L3437" s="62">
        <f>K3437-(F3437*I3437)</f>
        <v/>
      </c>
      <c r="M3437" s="64">
        <f>L3437/K3437</f>
        <v/>
      </c>
    </row>
    <row r="3438">
      <c r="A3438" s="58" t="inlineStr">
        <is>
          <t>RT20250330-03437</t>
        </is>
      </c>
      <c r="B3438" s="59" t="inlineStr">
        <is>
          <t>2025-03-30</t>
        </is>
      </c>
      <c r="C3438" s="60" t="inlineStr">
        <is>
          <t>Falcon Wearable X-334</t>
        </is>
      </c>
      <c r="D3438" s="58" t="inlineStr">
        <is>
          <t>Electronics</t>
        </is>
      </c>
      <c r="E3438" s="58" t="inlineStr">
        <is>
          <t>West</t>
        </is>
      </c>
      <c r="F3438" s="61" t="n">
        <v>1</v>
      </c>
      <c r="G3438" s="62" t="n">
        <v>1905.2</v>
      </c>
      <c r="H3438" s="63" t="n">
        <v>0.021</v>
      </c>
      <c r="I3438" s="62" t="n">
        <v>1559.06</v>
      </c>
      <c r="J3438" s="58" t="inlineStr">
        <is>
          <t>Online</t>
        </is>
      </c>
      <c r="K3438" s="62">
        <f>F3438*(G3438-H3438)</f>
        <v/>
      </c>
      <c r="L3438" s="62">
        <f>K3438-(F3438*I3438)</f>
        <v/>
      </c>
      <c r="M3438" s="64">
        <f>L3438/K3438</f>
        <v/>
      </c>
    </row>
    <row r="3439">
      <c r="A3439" s="58" t="inlineStr">
        <is>
          <t>RT20250330-03438</t>
        </is>
      </c>
      <c r="B3439" s="59" t="inlineStr">
        <is>
          <t>2025-03-30</t>
        </is>
      </c>
      <c r="C3439" s="60" t="inlineStr">
        <is>
          <t>Falcon Cycling Pro-499</t>
        </is>
      </c>
      <c r="D3439" s="58" t="inlineStr">
        <is>
          <t>Sports</t>
        </is>
      </c>
      <c r="E3439" s="58" t="inlineStr">
        <is>
          <t>North</t>
        </is>
      </c>
      <c r="F3439" s="61" t="n">
        <v>1</v>
      </c>
      <c r="G3439" s="62" t="n">
        <v>623.28</v>
      </c>
      <c r="H3439" s="63" t="n">
        <v>0.136</v>
      </c>
      <c r="I3439" s="62" t="n">
        <v>406.09</v>
      </c>
      <c r="J3439" s="58" t="inlineStr">
        <is>
          <t>Store</t>
        </is>
      </c>
      <c r="K3439" s="62">
        <f>F3439*(G3439-H3439)</f>
        <v/>
      </c>
      <c r="L3439" s="62">
        <f>K3439-(F3439*I3439)</f>
        <v/>
      </c>
      <c r="M3439" s="64">
        <f>L3439/K3439</f>
        <v/>
      </c>
    </row>
    <row r="3440">
      <c r="A3440" s="58" t="inlineStr">
        <is>
          <t>RT20250330-03439</t>
        </is>
      </c>
      <c r="B3440" s="59" t="inlineStr">
        <is>
          <t>2025-03-30</t>
        </is>
      </c>
      <c r="C3440" s="60" t="inlineStr">
        <is>
          <t>Falcon Kitchen X-130</t>
        </is>
      </c>
      <c r="D3440" s="58" t="inlineStr">
        <is>
          <t>Home</t>
        </is>
      </c>
      <c r="E3440" s="58" t="inlineStr">
        <is>
          <t>East</t>
        </is>
      </c>
      <c r="F3440" s="61" t="n">
        <v>3</v>
      </c>
      <c r="G3440" s="62" t="n">
        <v>419.69</v>
      </c>
      <c r="H3440" s="63" t="n">
        <v>0.095</v>
      </c>
      <c r="I3440" s="62" t="n">
        <v>287.01</v>
      </c>
      <c r="J3440" s="58" t="inlineStr">
        <is>
          <t>Online</t>
        </is>
      </c>
      <c r="K3440" s="62">
        <f>F3440*(G3440-H3440)</f>
        <v/>
      </c>
      <c r="L3440" s="62">
        <f>K3440-(F3440*I3440)</f>
        <v/>
      </c>
      <c r="M3440" s="64">
        <f>L3440/K3440</f>
        <v/>
      </c>
    </row>
    <row r="3441">
      <c r="A3441" s="58" t="inlineStr">
        <is>
          <t>RT20250330-03440</t>
        </is>
      </c>
      <c r="B3441" s="59" t="inlineStr">
        <is>
          <t>2025-03-30</t>
        </is>
      </c>
      <c r="C3441" s="60" t="inlineStr">
        <is>
          <t>Aurora Furniture X-709</t>
        </is>
      </c>
      <c r="D3441" s="58" t="inlineStr">
        <is>
          <t>Office</t>
        </is>
      </c>
      <c r="E3441" s="58" t="inlineStr">
        <is>
          <t>South</t>
        </is>
      </c>
      <c r="F3441" s="61" t="n">
        <v>3</v>
      </c>
      <c r="G3441" s="62" t="n">
        <v>461.37</v>
      </c>
      <c r="H3441" s="63" t="n">
        <v>0.103</v>
      </c>
      <c r="I3441" s="62" t="n">
        <v>299.83</v>
      </c>
      <c r="J3441" s="58" t="inlineStr">
        <is>
          <t>Online</t>
        </is>
      </c>
      <c r="K3441" s="62">
        <f>F3441*(G3441-H3441)</f>
        <v/>
      </c>
      <c r="L3441" s="62">
        <f>K3441-(F3441*I3441)</f>
        <v/>
      </c>
      <c r="M3441" s="64">
        <f>L3441/K3441</f>
        <v/>
      </c>
    </row>
    <row r="3442">
      <c r="A3442" s="58" t="inlineStr">
        <is>
          <t>RT20250330-03441</t>
        </is>
      </c>
      <c r="B3442" s="59" t="inlineStr">
        <is>
          <t>2025-03-30</t>
        </is>
      </c>
      <c r="C3442" s="60" t="inlineStr">
        <is>
          <t>Polar Men Pro-246</t>
        </is>
      </c>
      <c r="D3442" s="58" t="inlineStr">
        <is>
          <t>Apparel</t>
        </is>
      </c>
      <c r="E3442" s="58" t="inlineStr">
        <is>
          <t>East</t>
        </is>
      </c>
      <c r="F3442" s="61" t="n">
        <v>4</v>
      </c>
      <c r="G3442" s="62" t="n">
        <v>135.7</v>
      </c>
      <c r="H3442" s="63" t="n">
        <v>0.1</v>
      </c>
      <c r="I3442" s="62" t="n">
        <v>74.41</v>
      </c>
      <c r="J3442" s="58" t="inlineStr">
        <is>
          <t>Online</t>
        </is>
      </c>
      <c r="K3442" s="62">
        <f>F3442*(G3442-H3442)</f>
        <v/>
      </c>
      <c r="L3442" s="62">
        <f>K3442-(F3442*I3442)</f>
        <v/>
      </c>
      <c r="M3442" s="64">
        <f>L3442/K3442</f>
        <v/>
      </c>
    </row>
    <row r="3443">
      <c r="A3443" s="58" t="inlineStr">
        <is>
          <t>RT20250330-03442</t>
        </is>
      </c>
      <c r="B3443" s="59" t="inlineStr">
        <is>
          <t>2025-03-30</t>
        </is>
      </c>
      <c r="C3443" s="60" t="inlineStr">
        <is>
          <t>Falcon Furniture Plus-839</t>
        </is>
      </c>
      <c r="D3443" s="58" t="inlineStr">
        <is>
          <t>Office</t>
        </is>
      </c>
      <c r="E3443" s="58" t="inlineStr">
        <is>
          <t>West</t>
        </is>
      </c>
      <c r="F3443" s="61" t="n">
        <v>1</v>
      </c>
      <c r="G3443" s="62" t="n">
        <v>310.21</v>
      </c>
      <c r="H3443" s="63" t="n">
        <v>0.097</v>
      </c>
      <c r="I3443" s="62" t="n">
        <v>232.5</v>
      </c>
      <c r="J3443" s="58" t="inlineStr">
        <is>
          <t>Store</t>
        </is>
      </c>
      <c r="K3443" s="62">
        <f>F3443*(G3443-H3443)</f>
        <v/>
      </c>
      <c r="L3443" s="62">
        <f>K3443-(F3443*I3443)</f>
        <v/>
      </c>
      <c r="M3443" s="64">
        <f>L3443/K3443</f>
        <v/>
      </c>
    </row>
    <row r="3444">
      <c r="A3444" s="58" t="inlineStr">
        <is>
          <t>RT20250330-03443</t>
        </is>
      </c>
      <c r="B3444" s="59" t="inlineStr">
        <is>
          <t>2025-03-30</t>
        </is>
      </c>
      <c r="C3444" s="60" t="inlineStr">
        <is>
          <t>Solace Snack S-691</t>
        </is>
      </c>
      <c r="D3444" s="58" t="inlineStr">
        <is>
          <t>Grocery</t>
        </is>
      </c>
      <c r="E3444" s="58" t="inlineStr">
        <is>
          <t>West</t>
        </is>
      </c>
      <c r="F3444" s="61" t="n">
        <v>8</v>
      </c>
      <c r="G3444" s="62" t="n">
        <v>9</v>
      </c>
      <c r="H3444" s="63" t="n">
        <v>0.08699999999999999</v>
      </c>
      <c r="I3444" s="62" t="n">
        <v>7.14</v>
      </c>
      <c r="J3444" s="58" t="inlineStr">
        <is>
          <t>Online</t>
        </is>
      </c>
      <c r="K3444" s="62">
        <f>F3444*(G3444-H3444)</f>
        <v/>
      </c>
      <c r="L3444" s="62">
        <f>K3444-(F3444*I3444)</f>
        <v/>
      </c>
      <c r="M3444" s="64">
        <f>L3444/K3444</f>
        <v/>
      </c>
    </row>
    <row r="3445">
      <c r="A3445" s="58" t="inlineStr">
        <is>
          <t>RT20250330-03444</t>
        </is>
      </c>
      <c r="B3445" s="59" t="inlineStr">
        <is>
          <t>2025-03-30</t>
        </is>
      </c>
      <c r="C3445" s="60" t="inlineStr">
        <is>
          <t>Polar Decor X-935</t>
        </is>
      </c>
      <c r="D3445" s="58" t="inlineStr">
        <is>
          <t>Home</t>
        </is>
      </c>
      <c r="E3445" s="58" t="inlineStr">
        <is>
          <t>Central</t>
        </is>
      </c>
      <c r="F3445" s="61" t="n">
        <v>1</v>
      </c>
      <c r="G3445" s="62" t="n">
        <v>314.6</v>
      </c>
      <c r="H3445" s="63" t="n">
        <v>0.134</v>
      </c>
      <c r="I3445" s="62" t="n">
        <v>204.52</v>
      </c>
      <c r="J3445" s="58" t="inlineStr">
        <is>
          <t>Online</t>
        </is>
      </c>
      <c r="K3445" s="62">
        <f>F3445*(G3445-H3445)</f>
        <v/>
      </c>
      <c r="L3445" s="62">
        <f>K3445-(F3445*I3445)</f>
        <v/>
      </c>
      <c r="M3445" s="64">
        <f>L3445/K3445</f>
        <v/>
      </c>
    </row>
    <row r="3446">
      <c r="A3446" s="58" t="inlineStr">
        <is>
          <t>RT20250330-03445</t>
        </is>
      </c>
      <c r="B3446" s="59" t="inlineStr">
        <is>
          <t>2025-03-30</t>
        </is>
      </c>
      <c r="C3446" s="60" t="inlineStr">
        <is>
          <t>Orion Kid Max-640</t>
        </is>
      </c>
      <c r="D3446" s="58" t="inlineStr">
        <is>
          <t>Apparel</t>
        </is>
      </c>
      <c r="E3446" s="58" t="inlineStr">
        <is>
          <t>North</t>
        </is>
      </c>
      <c r="F3446" s="61" t="n">
        <v>3</v>
      </c>
      <c r="G3446" s="62" t="n">
        <v>130.88</v>
      </c>
      <c r="H3446" s="63" t="n">
        <v>0.116</v>
      </c>
      <c r="I3446" s="62" t="n">
        <v>72.18000000000001</v>
      </c>
      <c r="J3446" s="58" t="inlineStr">
        <is>
          <t>Online</t>
        </is>
      </c>
      <c r="K3446" s="62">
        <f>F3446*(G3446-H3446)</f>
        <v/>
      </c>
      <c r="L3446" s="62">
        <f>K3446-(F3446*I3446)</f>
        <v/>
      </c>
      <c r="M3446" s="64">
        <f>L3446/K3446</f>
        <v/>
      </c>
    </row>
    <row r="3447">
      <c r="A3447" s="58" t="inlineStr">
        <is>
          <t>RT20250330-03446</t>
        </is>
      </c>
      <c r="B3447" s="59" t="inlineStr">
        <is>
          <t>2025-03-30</t>
        </is>
      </c>
      <c r="C3447" s="60" t="inlineStr">
        <is>
          <t>Solace Kid S-384</t>
        </is>
      </c>
      <c r="D3447" s="58" t="inlineStr">
        <is>
          <t>Apparel</t>
        </is>
      </c>
      <c r="E3447" s="58" t="inlineStr">
        <is>
          <t>West</t>
        </is>
      </c>
      <c r="F3447" s="61" t="n">
        <v>4</v>
      </c>
      <c r="G3447" s="62" t="n">
        <v>103.17</v>
      </c>
      <c r="H3447" s="63" t="n">
        <v>0.062</v>
      </c>
      <c r="I3447" s="62" t="n">
        <v>61.87</v>
      </c>
      <c r="J3447" s="58" t="inlineStr">
        <is>
          <t>Online</t>
        </is>
      </c>
      <c r="K3447" s="62">
        <f>F3447*(G3447-H3447)</f>
        <v/>
      </c>
      <c r="L3447" s="62">
        <f>K3447-(F3447*I3447)</f>
        <v/>
      </c>
      <c r="M3447" s="64">
        <f>L3447/K3447</f>
        <v/>
      </c>
    </row>
    <row r="3448">
      <c r="A3448" s="58" t="inlineStr">
        <is>
          <t>RT20250330-03447</t>
        </is>
      </c>
      <c r="B3448" s="59" t="inlineStr">
        <is>
          <t>2025-03-30</t>
        </is>
      </c>
      <c r="C3448" s="60" t="inlineStr">
        <is>
          <t>Metro Beverage Max-490</t>
        </is>
      </c>
      <c r="D3448" s="58" t="inlineStr">
        <is>
          <t>Grocery</t>
        </is>
      </c>
      <c r="E3448" s="58" t="inlineStr">
        <is>
          <t>West</t>
        </is>
      </c>
      <c r="F3448" s="61" t="n">
        <v>4</v>
      </c>
      <c r="G3448" s="62" t="n">
        <v>11.2</v>
      </c>
      <c r="H3448" s="63" t="n">
        <v>0.077</v>
      </c>
      <c r="I3448" s="62" t="n">
        <v>8.039999999999999</v>
      </c>
      <c r="J3448" s="58" t="inlineStr">
        <is>
          <t>Store</t>
        </is>
      </c>
      <c r="K3448" s="62">
        <f>F3448*(G3448-H3448)</f>
        <v/>
      </c>
      <c r="L3448" s="62">
        <f>K3448-(F3448*I3448)</f>
        <v/>
      </c>
      <c r="M3448" s="64">
        <f>L3448/K3448</f>
        <v/>
      </c>
    </row>
    <row r="3449">
      <c r="A3449" s="58" t="inlineStr">
        <is>
          <t>RT20250330-03448</t>
        </is>
      </c>
      <c r="B3449" s="59" t="inlineStr">
        <is>
          <t>2025-03-30</t>
        </is>
      </c>
      <c r="C3449" s="60" t="inlineStr">
        <is>
          <t>Vertex Appliance Max-338</t>
        </is>
      </c>
      <c r="D3449" s="58" t="inlineStr">
        <is>
          <t>Home</t>
        </is>
      </c>
      <c r="E3449" s="58" t="inlineStr">
        <is>
          <t>North</t>
        </is>
      </c>
      <c r="F3449" s="61" t="n">
        <v>2</v>
      </c>
      <c r="G3449" s="62" t="n">
        <v>410.46</v>
      </c>
      <c r="H3449" s="63" t="n">
        <v>0.128</v>
      </c>
      <c r="I3449" s="62" t="n">
        <v>288.82</v>
      </c>
      <c r="J3449" s="58" t="inlineStr">
        <is>
          <t>Online</t>
        </is>
      </c>
      <c r="K3449" s="62">
        <f>F3449*(G3449-H3449)</f>
        <v/>
      </c>
      <c r="L3449" s="62">
        <f>K3449-(F3449*I3449)</f>
        <v/>
      </c>
      <c r="M3449" s="64">
        <f>L3449/K3449</f>
        <v/>
      </c>
    </row>
    <row r="3450">
      <c r="A3450" s="58" t="inlineStr">
        <is>
          <t>RT20250330-03449</t>
        </is>
      </c>
      <c r="B3450" s="59" t="inlineStr">
        <is>
          <t>2025-03-30</t>
        </is>
      </c>
      <c r="C3450" s="60" t="inlineStr">
        <is>
          <t>Vertex Appliance Max-338</t>
        </is>
      </c>
      <c r="D3450" s="58" t="inlineStr">
        <is>
          <t>Home</t>
        </is>
      </c>
      <c r="E3450" s="58" t="inlineStr">
        <is>
          <t>East</t>
        </is>
      </c>
      <c r="F3450" s="61" t="n">
        <v>2</v>
      </c>
      <c r="G3450" s="62" t="n">
        <v>438.35</v>
      </c>
      <c r="H3450" s="63" t="n">
        <v>0.14</v>
      </c>
      <c r="I3450" s="62" t="n">
        <v>291.94</v>
      </c>
      <c r="J3450" s="58" t="inlineStr">
        <is>
          <t>Store</t>
        </is>
      </c>
      <c r="K3450" s="62">
        <f>F3450*(G3450-H3450)</f>
        <v/>
      </c>
      <c r="L3450" s="62">
        <f>K3450-(F3450*I3450)</f>
        <v/>
      </c>
      <c r="M3450" s="64">
        <f>L3450/K3450</f>
        <v/>
      </c>
    </row>
    <row r="3451">
      <c r="A3451" s="58" t="inlineStr">
        <is>
          <t>RT20250330-03450</t>
        </is>
      </c>
      <c r="B3451" s="59" t="inlineStr">
        <is>
          <t>2025-03-30</t>
        </is>
      </c>
      <c r="C3451" s="60" t="inlineStr">
        <is>
          <t>Aurora Household Plus-146</t>
        </is>
      </c>
      <c r="D3451" s="58" t="inlineStr">
        <is>
          <t>Grocery</t>
        </is>
      </c>
      <c r="E3451" s="58" t="inlineStr">
        <is>
          <t>West</t>
        </is>
      </c>
      <c r="F3451" s="61" t="n">
        <v>2</v>
      </c>
      <c r="G3451" s="62" t="n">
        <v>5.89</v>
      </c>
      <c r="H3451" s="63" t="n">
        <v>0.142</v>
      </c>
      <c r="I3451" s="62" t="n">
        <v>4.63</v>
      </c>
      <c r="J3451" s="58" t="inlineStr">
        <is>
          <t>Store</t>
        </is>
      </c>
      <c r="K3451" s="62">
        <f>F3451*(G3451-H3451)</f>
        <v/>
      </c>
      <c r="L3451" s="62">
        <f>K3451-(F3451*I3451)</f>
        <v/>
      </c>
      <c r="M3451" s="64">
        <f>L3451/K3451</f>
        <v/>
      </c>
    </row>
    <row r="3452">
      <c r="A3452" s="58" t="inlineStr">
        <is>
          <t>RT20250330-03451</t>
        </is>
      </c>
      <c r="B3452" s="59" t="inlineStr">
        <is>
          <t>2025-03-30</t>
        </is>
      </c>
      <c r="C3452" s="60" t="inlineStr">
        <is>
          <t>Falcon Headphone Pro-713</t>
        </is>
      </c>
      <c r="D3452" s="58" t="inlineStr">
        <is>
          <t>Electronics</t>
        </is>
      </c>
      <c r="E3452" s="58" t="inlineStr">
        <is>
          <t>Central</t>
        </is>
      </c>
      <c r="F3452" s="61" t="n">
        <v>2</v>
      </c>
      <c r="G3452" s="62" t="n">
        <v>1411.91</v>
      </c>
      <c r="H3452" s="63" t="n">
        <v>0.115</v>
      </c>
      <c r="I3452" s="62" t="n">
        <v>1195.85</v>
      </c>
      <c r="J3452" s="58" t="inlineStr">
        <is>
          <t>Online</t>
        </is>
      </c>
      <c r="K3452" s="62">
        <f>F3452*(G3452-H3452)</f>
        <v/>
      </c>
      <c r="L3452" s="62">
        <f>K3452-(F3452*I3452)</f>
        <v/>
      </c>
      <c r="M3452" s="64">
        <f>L3452/K3452</f>
        <v/>
      </c>
    </row>
    <row r="3453">
      <c r="A3453" s="58" t="inlineStr">
        <is>
          <t>RT20250330-03452</t>
        </is>
      </c>
      <c r="B3453" s="59" t="inlineStr">
        <is>
          <t>2025-03-30</t>
        </is>
      </c>
      <c r="C3453" s="60" t="inlineStr">
        <is>
          <t>Nimbus Furniture Pro-479</t>
        </is>
      </c>
      <c r="D3453" s="58" t="inlineStr">
        <is>
          <t>Office</t>
        </is>
      </c>
      <c r="E3453" s="58" t="inlineStr">
        <is>
          <t>Central</t>
        </is>
      </c>
      <c r="F3453" s="61" t="n">
        <v>1</v>
      </c>
      <c r="G3453" s="62" t="n">
        <v>347.01</v>
      </c>
      <c r="H3453" s="63" t="n">
        <v>0.104</v>
      </c>
      <c r="I3453" s="62" t="n">
        <v>237.05</v>
      </c>
      <c r="J3453" s="58" t="inlineStr">
        <is>
          <t>Store</t>
        </is>
      </c>
      <c r="K3453" s="62">
        <f>F3453*(G3453-H3453)</f>
        <v/>
      </c>
      <c r="L3453" s="62">
        <f>K3453-(F3453*I3453)</f>
        <v/>
      </c>
      <c r="M3453" s="64">
        <f>L3453/K3453</f>
        <v/>
      </c>
    </row>
    <row r="3454">
      <c r="A3454" s="58" t="inlineStr">
        <is>
          <t>RT20250330-03453</t>
        </is>
      </c>
      <c r="B3454" s="59" t="inlineStr">
        <is>
          <t>2025-03-30</t>
        </is>
      </c>
      <c r="C3454" s="60" t="inlineStr">
        <is>
          <t>Polar Cycling S-223</t>
        </is>
      </c>
      <c r="D3454" s="58" t="inlineStr">
        <is>
          <t>Sports</t>
        </is>
      </c>
      <c r="E3454" s="58" t="inlineStr">
        <is>
          <t>Central</t>
        </is>
      </c>
      <c r="F3454" s="61" t="n">
        <v>2</v>
      </c>
      <c r="G3454" s="62" t="n">
        <v>999.22</v>
      </c>
      <c r="H3454" s="63" t="n">
        <v>0.031</v>
      </c>
      <c r="I3454" s="62" t="n">
        <v>630.24</v>
      </c>
      <c r="J3454" s="58" t="inlineStr">
        <is>
          <t>Store</t>
        </is>
      </c>
      <c r="K3454" s="62">
        <f>F3454*(G3454-H3454)</f>
        <v/>
      </c>
      <c r="L3454" s="62">
        <f>K3454-(F3454*I3454)</f>
        <v/>
      </c>
      <c r="M3454" s="64">
        <f>L3454/K3454</f>
        <v/>
      </c>
    </row>
    <row r="3455">
      <c r="A3455" s="58" t="inlineStr">
        <is>
          <t>RT20250330-03454</t>
        </is>
      </c>
      <c r="B3455" s="59" t="inlineStr">
        <is>
          <t>2025-03-30</t>
        </is>
      </c>
      <c r="C3455" s="60" t="inlineStr">
        <is>
          <t>Polar Beverage S-258</t>
        </is>
      </c>
      <c r="D3455" s="58" t="inlineStr">
        <is>
          <t>Grocery</t>
        </is>
      </c>
      <c r="E3455" s="58" t="inlineStr">
        <is>
          <t>Central</t>
        </is>
      </c>
      <c r="F3455" s="61" t="n">
        <v>4</v>
      </c>
      <c r="G3455" s="62" t="n">
        <v>12.75</v>
      </c>
      <c r="H3455" s="63" t="n">
        <v>0.078</v>
      </c>
      <c r="I3455" s="62" t="n">
        <v>9.5</v>
      </c>
      <c r="J3455" s="58" t="inlineStr">
        <is>
          <t>Online</t>
        </is>
      </c>
      <c r="K3455" s="62">
        <f>F3455*(G3455-H3455)</f>
        <v/>
      </c>
      <c r="L3455" s="62">
        <f>K3455-(F3455*I3455)</f>
        <v/>
      </c>
      <c r="M3455" s="64">
        <f>L3455/K3455</f>
        <v/>
      </c>
    </row>
    <row r="3456">
      <c r="A3456" s="58" t="inlineStr">
        <is>
          <t>RT20250330-03455</t>
        </is>
      </c>
      <c r="B3456" s="59" t="inlineStr">
        <is>
          <t>2025-03-30</t>
        </is>
      </c>
      <c r="C3456" s="60" t="inlineStr">
        <is>
          <t>Aurora Kid Plus-151</t>
        </is>
      </c>
      <c r="D3456" s="58" t="inlineStr">
        <is>
          <t>Apparel</t>
        </is>
      </c>
      <c r="E3456" s="58" t="inlineStr">
        <is>
          <t>East</t>
        </is>
      </c>
      <c r="F3456" s="61" t="n">
        <v>4</v>
      </c>
      <c r="G3456" s="62" t="n">
        <v>112.06</v>
      </c>
      <c r="H3456" s="63" t="n">
        <v>0.104</v>
      </c>
      <c r="I3456" s="62" t="n">
        <v>66.31</v>
      </c>
      <c r="J3456" s="58" t="inlineStr">
        <is>
          <t>Online</t>
        </is>
      </c>
      <c r="K3456" s="62">
        <f>F3456*(G3456-H3456)</f>
        <v/>
      </c>
      <c r="L3456" s="62">
        <f>K3456-(F3456*I3456)</f>
        <v/>
      </c>
      <c r="M3456" s="64">
        <f>L3456/K3456</f>
        <v/>
      </c>
    </row>
    <row r="3457">
      <c r="A3457" s="58" t="inlineStr">
        <is>
          <t>RT20250330-03456</t>
        </is>
      </c>
      <c r="B3457" s="59" t="inlineStr">
        <is>
          <t>2025-03-30</t>
        </is>
      </c>
      <c r="C3457" s="60" t="inlineStr">
        <is>
          <t>Nimbus Cycling Plus-911</t>
        </is>
      </c>
      <c r="D3457" s="58" t="inlineStr">
        <is>
          <t>Sports</t>
        </is>
      </c>
      <c r="E3457" s="58" t="inlineStr">
        <is>
          <t>East</t>
        </is>
      </c>
      <c r="F3457" s="61" t="n">
        <v>1</v>
      </c>
      <c r="G3457" s="62" t="n">
        <v>642.9400000000001</v>
      </c>
      <c r="H3457" s="63" t="n">
        <v>0.058</v>
      </c>
      <c r="I3457" s="62" t="n">
        <v>396.04</v>
      </c>
      <c r="J3457" s="58" t="inlineStr">
        <is>
          <t>Store</t>
        </is>
      </c>
      <c r="K3457" s="62">
        <f>F3457*(G3457-H3457)</f>
        <v/>
      </c>
      <c r="L3457" s="62">
        <f>K3457-(F3457*I3457)</f>
        <v/>
      </c>
      <c r="M3457" s="64">
        <f>L3457/K3457</f>
        <v/>
      </c>
    </row>
    <row r="3458">
      <c r="A3458" s="58" t="inlineStr">
        <is>
          <t>RT20250330-03457</t>
        </is>
      </c>
      <c r="B3458" s="59" t="inlineStr">
        <is>
          <t>2025-03-30</t>
        </is>
      </c>
      <c r="C3458" s="60" t="inlineStr">
        <is>
          <t>Falcon Team Sport Lite-268</t>
        </is>
      </c>
      <c r="D3458" s="58" t="inlineStr">
        <is>
          <t>Sports</t>
        </is>
      </c>
      <c r="E3458" s="58" t="inlineStr">
        <is>
          <t>East</t>
        </is>
      </c>
      <c r="F3458" s="61" t="n">
        <v>3</v>
      </c>
      <c r="G3458" s="62" t="n">
        <v>661.9400000000001</v>
      </c>
      <c r="H3458" s="63" t="n">
        <v>0.066</v>
      </c>
      <c r="I3458" s="62" t="n">
        <v>423.09</v>
      </c>
      <c r="J3458" s="58" t="inlineStr">
        <is>
          <t>Online</t>
        </is>
      </c>
      <c r="K3458" s="62">
        <f>F3458*(G3458-H3458)</f>
        <v/>
      </c>
      <c r="L3458" s="62">
        <f>K3458-(F3458*I3458)</f>
        <v/>
      </c>
      <c r="M3458" s="64">
        <f>L3458/K3458</f>
        <v/>
      </c>
    </row>
    <row r="3459">
      <c r="A3459" s="58" t="inlineStr">
        <is>
          <t>RT20250331-03458</t>
        </is>
      </c>
      <c r="B3459" s="59" t="inlineStr">
        <is>
          <t>2025-03-31</t>
        </is>
      </c>
      <c r="C3459" s="60" t="inlineStr">
        <is>
          <t>Polar Laptop Plus-984</t>
        </is>
      </c>
      <c r="D3459" s="58" t="inlineStr">
        <is>
          <t>Electronics</t>
        </is>
      </c>
      <c r="E3459" s="58" t="inlineStr">
        <is>
          <t>East</t>
        </is>
      </c>
      <c r="F3459" s="61" t="n">
        <v>1</v>
      </c>
      <c r="G3459" s="62" t="n">
        <v>1351.9</v>
      </c>
      <c r="H3459" s="63" t="n">
        <v>0.114</v>
      </c>
      <c r="I3459" s="62" t="n">
        <v>994.91</v>
      </c>
      <c r="J3459" s="58" t="inlineStr">
        <is>
          <t>Store</t>
        </is>
      </c>
      <c r="K3459" s="62">
        <f>F3459*(G3459-H3459)</f>
        <v/>
      </c>
      <c r="L3459" s="62">
        <f>K3459-(F3459*I3459)</f>
        <v/>
      </c>
      <c r="M3459" s="64">
        <f>L3459/K3459</f>
        <v/>
      </c>
    </row>
    <row r="3460">
      <c r="A3460" s="58" t="inlineStr">
        <is>
          <t>RT20250331-03459</t>
        </is>
      </c>
      <c r="B3460" s="59" t="inlineStr">
        <is>
          <t>2025-03-31</t>
        </is>
      </c>
      <c r="C3460" s="60" t="inlineStr">
        <is>
          <t>Vertex Accessorie Pro-881</t>
        </is>
      </c>
      <c r="D3460" s="58" t="inlineStr">
        <is>
          <t>Apparel</t>
        </is>
      </c>
      <c r="E3460" s="58" t="inlineStr">
        <is>
          <t>South</t>
        </is>
      </c>
      <c r="F3460" s="61" t="n">
        <v>3</v>
      </c>
      <c r="G3460" s="62" t="n">
        <v>107.16</v>
      </c>
      <c r="H3460" s="63" t="n">
        <v>0.161</v>
      </c>
      <c r="I3460" s="62" t="n">
        <v>62.04</v>
      </c>
      <c r="J3460" s="58" t="inlineStr">
        <is>
          <t>Store</t>
        </is>
      </c>
      <c r="K3460" s="62">
        <f>F3460*(G3460-H3460)</f>
        <v/>
      </c>
      <c r="L3460" s="62">
        <f>K3460-(F3460*I3460)</f>
        <v/>
      </c>
      <c r="M3460" s="64">
        <f>L3460/K3460</f>
        <v/>
      </c>
    </row>
    <row r="3461">
      <c r="A3461" s="58" t="inlineStr">
        <is>
          <t>RT20250331-03460</t>
        </is>
      </c>
      <c r="B3461" s="59" t="inlineStr">
        <is>
          <t>2025-03-31</t>
        </is>
      </c>
      <c r="C3461" s="60" t="inlineStr">
        <is>
          <t>Solace Headphone Pro-344</t>
        </is>
      </c>
      <c r="D3461" s="58" t="inlineStr">
        <is>
          <t>Electronics</t>
        </is>
      </c>
      <c r="E3461" s="58" t="inlineStr">
        <is>
          <t>Central</t>
        </is>
      </c>
      <c r="F3461" s="61" t="n">
        <v>2</v>
      </c>
      <c r="G3461" s="62" t="n">
        <v>1201.29</v>
      </c>
      <c r="H3461" s="63" t="n">
        <v>0.131</v>
      </c>
      <c r="I3461" s="62" t="n">
        <v>1013.52</v>
      </c>
      <c r="J3461" s="58" t="inlineStr">
        <is>
          <t>Online</t>
        </is>
      </c>
      <c r="K3461" s="62">
        <f>F3461*(G3461-H3461)</f>
        <v/>
      </c>
      <c r="L3461" s="62">
        <f>K3461-(F3461*I3461)</f>
        <v/>
      </c>
      <c r="M3461" s="64">
        <f>L3461/K3461</f>
        <v/>
      </c>
    </row>
    <row r="3462">
      <c r="A3462" s="58" t="inlineStr">
        <is>
          <t>RT20250331-03461</t>
        </is>
      </c>
      <c r="B3462" s="59" t="inlineStr">
        <is>
          <t>2025-03-31</t>
        </is>
      </c>
      <c r="C3462" s="60" t="inlineStr">
        <is>
          <t>Vertex Furniture S-652</t>
        </is>
      </c>
      <c r="D3462" s="58" t="inlineStr">
        <is>
          <t>Office</t>
        </is>
      </c>
      <c r="E3462" s="58" t="inlineStr">
        <is>
          <t>Central</t>
        </is>
      </c>
      <c r="F3462" s="61" t="n">
        <v>3</v>
      </c>
      <c r="G3462" s="62" t="n">
        <v>399.59</v>
      </c>
      <c r="H3462" s="63" t="n">
        <v>0.143</v>
      </c>
      <c r="I3462" s="62" t="n">
        <v>268.61</v>
      </c>
      <c r="J3462" s="58" t="inlineStr">
        <is>
          <t>Online</t>
        </is>
      </c>
      <c r="K3462" s="62">
        <f>F3462*(G3462-H3462)</f>
        <v/>
      </c>
      <c r="L3462" s="62">
        <f>K3462-(F3462*I3462)</f>
        <v/>
      </c>
      <c r="M3462" s="64">
        <f>L3462/K3462</f>
        <v/>
      </c>
    </row>
    <row r="3463">
      <c r="A3463" s="58" t="inlineStr">
        <is>
          <t>RT20250331-03462</t>
        </is>
      </c>
      <c r="B3463" s="59" t="inlineStr">
        <is>
          <t>2025-03-31</t>
        </is>
      </c>
      <c r="C3463" s="60" t="inlineStr">
        <is>
          <t>Metro Printer X-294</t>
        </is>
      </c>
      <c r="D3463" s="58" t="inlineStr">
        <is>
          <t>Office</t>
        </is>
      </c>
      <c r="E3463" s="58" t="inlineStr">
        <is>
          <t>South</t>
        </is>
      </c>
      <c r="F3463" s="61" t="n">
        <v>3</v>
      </c>
      <c r="G3463" s="62" t="n">
        <v>653.25</v>
      </c>
      <c r="H3463" s="63" t="n">
        <v>0.091</v>
      </c>
      <c r="I3463" s="62" t="n">
        <v>409.33</v>
      </c>
      <c r="J3463" s="58" t="inlineStr">
        <is>
          <t>Store</t>
        </is>
      </c>
      <c r="K3463" s="62">
        <f>F3463*(G3463-H3463)</f>
        <v/>
      </c>
      <c r="L3463" s="62">
        <f>K3463-(F3463*I3463)</f>
        <v/>
      </c>
      <c r="M3463" s="64">
        <f>L3463/K3463</f>
        <v/>
      </c>
    </row>
    <row r="3464">
      <c r="A3464" s="58" t="inlineStr">
        <is>
          <t>RT20250331-03463</t>
        </is>
      </c>
      <c r="B3464" s="59" t="inlineStr">
        <is>
          <t>2025-03-31</t>
        </is>
      </c>
      <c r="C3464" s="60" t="inlineStr">
        <is>
          <t>Metro Laptop Plus-376</t>
        </is>
      </c>
      <c r="D3464" s="58" t="inlineStr">
        <is>
          <t>Electronics</t>
        </is>
      </c>
      <c r="E3464" s="58" t="inlineStr">
        <is>
          <t>South</t>
        </is>
      </c>
      <c r="F3464" s="61" t="n">
        <v>2</v>
      </c>
      <c r="G3464" s="62" t="n">
        <v>1335.77</v>
      </c>
      <c r="H3464" s="63" t="n">
        <v>0.1</v>
      </c>
      <c r="I3464" s="62" t="n">
        <v>1068.27</v>
      </c>
      <c r="J3464" s="58" t="inlineStr">
        <is>
          <t>Online</t>
        </is>
      </c>
      <c r="K3464" s="62">
        <f>F3464*(G3464-H3464)</f>
        <v/>
      </c>
      <c r="L3464" s="62">
        <f>K3464-(F3464*I3464)</f>
        <v/>
      </c>
      <c r="M3464" s="64">
        <f>L3464/K3464</f>
        <v/>
      </c>
    </row>
    <row r="3465">
      <c r="A3465" s="58" t="inlineStr">
        <is>
          <t>RT20250331-03464</t>
        </is>
      </c>
      <c r="B3465" s="59" t="inlineStr">
        <is>
          <t>2025-03-31</t>
        </is>
      </c>
      <c r="C3465" s="60" t="inlineStr">
        <is>
          <t>Falcon Kitchen X-130</t>
        </is>
      </c>
      <c r="D3465" s="58" t="inlineStr">
        <is>
          <t>Home</t>
        </is>
      </c>
      <c r="E3465" s="58" t="inlineStr">
        <is>
          <t>South</t>
        </is>
      </c>
      <c r="F3465" s="61" t="n">
        <v>2</v>
      </c>
      <c r="G3465" s="62" t="n">
        <v>384.14</v>
      </c>
      <c r="H3465" s="63" t="n">
        <v>0.089</v>
      </c>
      <c r="I3465" s="62" t="n">
        <v>280.69</v>
      </c>
      <c r="J3465" s="58" t="inlineStr">
        <is>
          <t>Online</t>
        </is>
      </c>
      <c r="K3465" s="62">
        <f>F3465*(G3465-H3465)</f>
        <v/>
      </c>
      <c r="L3465" s="62">
        <f>K3465-(F3465*I3465)</f>
        <v/>
      </c>
      <c r="M3465" s="64">
        <f>L3465/K3465</f>
        <v/>
      </c>
    </row>
    <row r="3466">
      <c r="A3466" s="58" t="inlineStr">
        <is>
          <t>RT20250331-03465</t>
        </is>
      </c>
      <c r="B3466" s="59" t="inlineStr">
        <is>
          <t>2025-03-31</t>
        </is>
      </c>
      <c r="C3466" s="60" t="inlineStr">
        <is>
          <t>Falcon Kitchen X-130</t>
        </is>
      </c>
      <c r="D3466" s="58" t="inlineStr">
        <is>
          <t>Home</t>
        </is>
      </c>
      <c r="E3466" s="58" t="inlineStr">
        <is>
          <t>South</t>
        </is>
      </c>
      <c r="F3466" s="61" t="n">
        <v>3</v>
      </c>
      <c r="G3466" s="62" t="n">
        <v>451.24</v>
      </c>
      <c r="H3466" s="63" t="n">
        <v>0.058</v>
      </c>
      <c r="I3466" s="62" t="n">
        <v>287.99</v>
      </c>
      <c r="J3466" s="58" t="inlineStr">
        <is>
          <t>Online</t>
        </is>
      </c>
      <c r="K3466" s="62">
        <f>F3466*(G3466-H3466)</f>
        <v/>
      </c>
      <c r="L3466" s="62">
        <f>K3466-(F3466*I3466)</f>
        <v/>
      </c>
      <c r="M3466" s="64">
        <f>L3466/K3466</f>
        <v/>
      </c>
    </row>
    <row r="3467">
      <c r="A3467" s="58" t="inlineStr">
        <is>
          <t>RT20250331-03466</t>
        </is>
      </c>
      <c r="B3467" s="59" t="inlineStr">
        <is>
          <t>2025-03-31</t>
        </is>
      </c>
      <c r="C3467" s="60" t="inlineStr">
        <is>
          <t>Aurora Haircare S-975</t>
        </is>
      </c>
      <c r="D3467" s="58" t="inlineStr">
        <is>
          <t>Beauty</t>
        </is>
      </c>
      <c r="E3467" s="58" t="inlineStr">
        <is>
          <t>Central</t>
        </is>
      </c>
      <c r="F3467" s="61" t="n">
        <v>2</v>
      </c>
      <c r="G3467" s="62" t="n">
        <v>93.95999999999999</v>
      </c>
      <c r="H3467" s="63" t="n">
        <v>0.15</v>
      </c>
      <c r="I3467" s="62" t="n">
        <v>56.67</v>
      </c>
      <c r="J3467" s="58" t="inlineStr">
        <is>
          <t>Online</t>
        </is>
      </c>
      <c r="K3467" s="62">
        <f>F3467*(G3467-H3467)</f>
        <v/>
      </c>
      <c r="L3467" s="62">
        <f>K3467-(F3467*I3467)</f>
        <v/>
      </c>
      <c r="M3467" s="64">
        <f>L3467/K3467</f>
        <v/>
      </c>
    </row>
    <row r="3468">
      <c r="A3468" s="58" t="inlineStr">
        <is>
          <t>RT20250331-03467</t>
        </is>
      </c>
      <c r="B3468" s="59" t="inlineStr">
        <is>
          <t>2025-03-31</t>
        </is>
      </c>
      <c r="C3468" s="60" t="inlineStr">
        <is>
          <t>Metro Beverage Max-490</t>
        </is>
      </c>
      <c r="D3468" s="58" t="inlineStr">
        <is>
          <t>Grocery</t>
        </is>
      </c>
      <c r="E3468" s="58" t="inlineStr">
        <is>
          <t>West</t>
        </is>
      </c>
      <c r="F3468" s="61" t="n">
        <v>2</v>
      </c>
      <c r="G3468" s="62" t="n">
        <v>13.1</v>
      </c>
      <c r="H3468" s="63" t="n">
        <v>0.116</v>
      </c>
      <c r="I3468" s="62" t="n">
        <v>7.94</v>
      </c>
      <c r="J3468" s="58" t="inlineStr">
        <is>
          <t>Store</t>
        </is>
      </c>
      <c r="K3468" s="62">
        <f>F3468*(G3468-H3468)</f>
        <v/>
      </c>
      <c r="L3468" s="62">
        <f>K3468-(F3468*I3468)</f>
        <v/>
      </c>
      <c r="M3468" s="64">
        <f>L3468/K3468</f>
        <v/>
      </c>
    </row>
    <row r="3469">
      <c r="A3469" s="58" t="inlineStr">
        <is>
          <t>RT20250331-03468</t>
        </is>
      </c>
      <c r="B3469" s="59" t="inlineStr">
        <is>
          <t>2025-03-31</t>
        </is>
      </c>
      <c r="C3469" s="60" t="inlineStr">
        <is>
          <t>Orion Laptop S-350</t>
        </is>
      </c>
      <c r="D3469" s="58" t="inlineStr">
        <is>
          <t>Electronics</t>
        </is>
      </c>
      <c r="E3469" s="58" t="inlineStr">
        <is>
          <t>South</t>
        </is>
      </c>
      <c r="F3469" s="61" t="n">
        <v>1</v>
      </c>
      <c r="G3469" s="62" t="n">
        <v>1259.4</v>
      </c>
      <c r="H3469" s="63" t="n">
        <v>0.08400000000000001</v>
      </c>
      <c r="I3469" s="62" t="n">
        <v>1056.98</v>
      </c>
      <c r="J3469" s="58" t="inlineStr">
        <is>
          <t>Online</t>
        </is>
      </c>
      <c r="K3469" s="62">
        <f>F3469*(G3469-H3469)</f>
        <v/>
      </c>
      <c r="L3469" s="62">
        <f>K3469-(F3469*I3469)</f>
        <v/>
      </c>
      <c r="M3469" s="64">
        <f>L3469/K3469</f>
        <v/>
      </c>
    </row>
    <row r="3470">
      <c r="A3470" s="58" t="inlineStr">
        <is>
          <t>RT20250331-03469</t>
        </is>
      </c>
      <c r="B3470" s="59" t="inlineStr">
        <is>
          <t>2025-03-31</t>
        </is>
      </c>
      <c r="C3470" s="60" t="inlineStr">
        <is>
          <t>Vertex Appliance Max-338</t>
        </is>
      </c>
      <c r="D3470" s="58" t="inlineStr">
        <is>
          <t>Home</t>
        </is>
      </c>
      <c r="E3470" s="58" t="inlineStr">
        <is>
          <t>East</t>
        </is>
      </c>
      <c r="F3470" s="61" t="n">
        <v>1</v>
      </c>
      <c r="G3470" s="62" t="n">
        <v>436.61</v>
      </c>
      <c r="H3470" s="63" t="n">
        <v>0.114</v>
      </c>
      <c r="I3470" s="62" t="n">
        <v>296.23</v>
      </c>
      <c r="J3470" s="58" t="inlineStr">
        <is>
          <t>Online</t>
        </is>
      </c>
      <c r="K3470" s="62">
        <f>F3470*(G3470-H3470)</f>
        <v/>
      </c>
      <c r="L3470" s="62">
        <f>K3470-(F3470*I3470)</f>
        <v/>
      </c>
      <c r="M3470" s="64">
        <f>L3470/K3470</f>
        <v/>
      </c>
    </row>
    <row r="3471">
      <c r="A3471" s="58" t="inlineStr">
        <is>
          <t>RT20250331-03470</t>
        </is>
      </c>
      <c r="B3471" s="59" t="inlineStr">
        <is>
          <t>2025-03-31</t>
        </is>
      </c>
      <c r="C3471" s="60" t="inlineStr">
        <is>
          <t>Falcon Storage X-734</t>
        </is>
      </c>
      <c r="D3471" s="58" t="inlineStr">
        <is>
          <t>Office</t>
        </is>
      </c>
      <c r="E3471" s="58" t="inlineStr">
        <is>
          <t>West</t>
        </is>
      </c>
      <c r="F3471" s="61" t="n">
        <v>2</v>
      </c>
      <c r="G3471" s="62" t="n">
        <v>405.22</v>
      </c>
      <c r="H3471" s="63" t="n">
        <v>0.059</v>
      </c>
      <c r="I3471" s="62" t="n">
        <v>289.61</v>
      </c>
      <c r="J3471" s="58" t="inlineStr">
        <is>
          <t>Online</t>
        </is>
      </c>
      <c r="K3471" s="62">
        <f>F3471*(G3471-H3471)</f>
        <v/>
      </c>
      <c r="L3471" s="62">
        <f>K3471-(F3471*I3471)</f>
        <v/>
      </c>
      <c r="M3471" s="64">
        <f>L3471/K3471</f>
        <v/>
      </c>
    </row>
    <row r="3472">
      <c r="A3472" s="58" t="inlineStr">
        <is>
          <t>RT20250331-03471</t>
        </is>
      </c>
      <c r="B3472" s="59" t="inlineStr">
        <is>
          <t>2025-03-31</t>
        </is>
      </c>
      <c r="C3472" s="60" t="inlineStr">
        <is>
          <t>Falcon Haircare Pro-980</t>
        </is>
      </c>
      <c r="D3472" s="58" t="inlineStr">
        <is>
          <t>Beauty</t>
        </is>
      </c>
      <c r="E3472" s="58" t="inlineStr">
        <is>
          <t>East</t>
        </is>
      </c>
      <c r="F3472" s="61" t="n">
        <v>4</v>
      </c>
      <c r="G3472" s="62" t="n">
        <v>98.86</v>
      </c>
      <c r="H3472" s="63" t="n">
        <v>0.094</v>
      </c>
      <c r="I3472" s="62" t="n">
        <v>56.45</v>
      </c>
      <c r="J3472" s="58" t="inlineStr">
        <is>
          <t>Online</t>
        </is>
      </c>
      <c r="K3472" s="62">
        <f>F3472*(G3472-H3472)</f>
        <v/>
      </c>
      <c r="L3472" s="62">
        <f>K3472-(F3472*I3472)</f>
        <v/>
      </c>
      <c r="M3472" s="64">
        <f>L3472/K3472</f>
        <v/>
      </c>
    </row>
    <row r="3473">
      <c r="A3473" s="58" t="inlineStr">
        <is>
          <t>RT20250331-03472</t>
        </is>
      </c>
      <c r="B3473" s="59" t="inlineStr">
        <is>
          <t>2025-03-31</t>
        </is>
      </c>
      <c r="C3473" s="60" t="inlineStr">
        <is>
          <t>Falcon Furniture Plus-839</t>
        </is>
      </c>
      <c r="D3473" s="58" t="inlineStr">
        <is>
          <t>Office</t>
        </is>
      </c>
      <c r="E3473" s="58" t="inlineStr">
        <is>
          <t>Central</t>
        </is>
      </c>
      <c r="F3473" s="61" t="n">
        <v>3</v>
      </c>
      <c r="G3473" s="62" t="n">
        <v>321.87</v>
      </c>
      <c r="H3473" s="63" t="n">
        <v>0.164</v>
      </c>
      <c r="I3473" s="62" t="n">
        <v>226.79</v>
      </c>
      <c r="J3473" s="58" t="inlineStr">
        <is>
          <t>Online</t>
        </is>
      </c>
      <c r="K3473" s="62">
        <f>F3473*(G3473-H3473)</f>
        <v/>
      </c>
      <c r="L3473" s="62">
        <f>K3473-(F3473*I3473)</f>
        <v/>
      </c>
      <c r="M3473" s="64">
        <f>L3473/K3473</f>
        <v/>
      </c>
    </row>
    <row r="3474">
      <c r="A3474" s="58" t="inlineStr">
        <is>
          <t>RT20250331-03473</t>
        </is>
      </c>
      <c r="B3474" s="59" t="inlineStr">
        <is>
          <t>2025-03-31</t>
        </is>
      </c>
      <c r="C3474" s="60" t="inlineStr">
        <is>
          <t>Orion Storage Plus-961</t>
        </is>
      </c>
      <c r="D3474" s="58" t="inlineStr">
        <is>
          <t>Office</t>
        </is>
      </c>
      <c r="E3474" s="58" t="inlineStr">
        <is>
          <t>North</t>
        </is>
      </c>
      <c r="F3474" s="61" t="n">
        <v>3</v>
      </c>
      <c r="G3474" s="62" t="n">
        <v>508.42</v>
      </c>
      <c r="H3474" s="63" t="n">
        <v>0.096</v>
      </c>
      <c r="I3474" s="62" t="n">
        <v>373.51</v>
      </c>
      <c r="J3474" s="58" t="inlineStr">
        <is>
          <t>Phone</t>
        </is>
      </c>
      <c r="K3474" s="62">
        <f>F3474*(G3474-H3474)</f>
        <v/>
      </c>
      <c r="L3474" s="62">
        <f>K3474-(F3474*I3474)</f>
        <v/>
      </c>
      <c r="M3474" s="64">
        <f>L3474/K3474</f>
        <v/>
      </c>
    </row>
    <row r="3475">
      <c r="A3475" s="58" t="inlineStr">
        <is>
          <t>RT20250331-03474</t>
        </is>
      </c>
      <c r="B3475" s="59" t="inlineStr">
        <is>
          <t>2025-03-31</t>
        </is>
      </c>
      <c r="C3475" s="60" t="inlineStr">
        <is>
          <t>Metro Outdoor Plus-787</t>
        </is>
      </c>
      <c r="D3475" s="58" t="inlineStr">
        <is>
          <t>Sports</t>
        </is>
      </c>
      <c r="E3475" s="58" t="inlineStr">
        <is>
          <t>West</t>
        </is>
      </c>
      <c r="F3475" s="61" t="n">
        <v>2</v>
      </c>
      <c r="G3475" s="62" t="n">
        <v>602.92</v>
      </c>
      <c r="H3475" s="63" t="n">
        <v>0.133</v>
      </c>
      <c r="I3475" s="62" t="n">
        <v>340.99</v>
      </c>
      <c r="J3475" s="58" t="inlineStr">
        <is>
          <t>Online</t>
        </is>
      </c>
      <c r="K3475" s="62">
        <f>F3475*(G3475-H3475)</f>
        <v/>
      </c>
      <c r="L3475" s="62">
        <f>K3475-(F3475*I3475)</f>
        <v/>
      </c>
      <c r="M3475" s="64">
        <f>L3475/K3475</f>
        <v/>
      </c>
    </row>
    <row r="3476">
      <c r="A3476" s="58" t="inlineStr">
        <is>
          <t>RT20250331-03475</t>
        </is>
      </c>
      <c r="B3476" s="59" t="inlineStr">
        <is>
          <t>2025-03-31</t>
        </is>
      </c>
      <c r="C3476" s="60" t="inlineStr">
        <is>
          <t>Vertex Snack S-702</t>
        </is>
      </c>
      <c r="D3476" s="58" t="inlineStr">
        <is>
          <t>Grocery</t>
        </is>
      </c>
      <c r="E3476" s="58" t="inlineStr">
        <is>
          <t>East</t>
        </is>
      </c>
      <c r="F3476" s="61" t="n">
        <v>2</v>
      </c>
      <c r="G3476" s="62" t="n">
        <v>1.66</v>
      </c>
      <c r="H3476" s="63" t="n">
        <v>0.11</v>
      </c>
      <c r="I3476" s="62" t="n">
        <v>1.44</v>
      </c>
      <c r="J3476" s="58" t="inlineStr">
        <is>
          <t>Online</t>
        </is>
      </c>
      <c r="K3476" s="62">
        <f>F3476*(G3476-H3476)</f>
        <v/>
      </c>
      <c r="L3476" s="62">
        <f>K3476-(F3476*I3476)</f>
        <v/>
      </c>
      <c r="M3476" s="64">
        <f>L3476/K3476</f>
        <v/>
      </c>
    </row>
    <row r="3477">
      <c r="A3477" s="58" t="inlineStr">
        <is>
          <t>RT20250331-03476</t>
        </is>
      </c>
      <c r="B3477" s="59" t="inlineStr">
        <is>
          <t>2025-03-31</t>
        </is>
      </c>
      <c r="C3477" s="60" t="inlineStr">
        <is>
          <t>Vertex Smartphone Pro-256</t>
        </is>
      </c>
      <c r="D3477" s="58" t="inlineStr">
        <is>
          <t>Electronics</t>
        </is>
      </c>
      <c r="E3477" s="58" t="inlineStr">
        <is>
          <t>West</t>
        </is>
      </c>
      <c r="F3477" s="61" t="n">
        <v>2</v>
      </c>
      <c r="G3477" s="62" t="n">
        <v>1212.68</v>
      </c>
      <c r="H3477" s="63" t="n">
        <v>0.082</v>
      </c>
      <c r="I3477" s="62" t="n">
        <v>929.1799999999999</v>
      </c>
      <c r="J3477" s="58" t="inlineStr">
        <is>
          <t>Store</t>
        </is>
      </c>
      <c r="K3477" s="62">
        <f>F3477*(G3477-H3477)</f>
        <v/>
      </c>
      <c r="L3477" s="62">
        <f>K3477-(F3477*I3477)</f>
        <v/>
      </c>
      <c r="M3477" s="64">
        <f>L3477/K3477</f>
        <v/>
      </c>
    </row>
    <row r="3478">
      <c r="A3478" s="58" t="inlineStr">
        <is>
          <t>RT20250331-03477</t>
        </is>
      </c>
      <c r="B3478" s="59" t="inlineStr">
        <is>
          <t>2025-03-31</t>
        </is>
      </c>
      <c r="C3478" s="60" t="inlineStr">
        <is>
          <t>Metro Pantry X-710</t>
        </is>
      </c>
      <c r="D3478" s="58" t="inlineStr">
        <is>
          <t>Grocery</t>
        </is>
      </c>
      <c r="E3478" s="58" t="inlineStr">
        <is>
          <t>East</t>
        </is>
      </c>
      <c r="F3478" s="61" t="n">
        <v>4</v>
      </c>
      <c r="G3478" s="62" t="n">
        <v>5.43</v>
      </c>
      <c r="H3478" s="63" t="n">
        <v>0.096</v>
      </c>
      <c r="I3478" s="62" t="n">
        <v>4.1</v>
      </c>
      <c r="J3478" s="58" t="inlineStr">
        <is>
          <t>Online</t>
        </is>
      </c>
      <c r="K3478" s="62">
        <f>F3478*(G3478-H3478)</f>
        <v/>
      </c>
      <c r="L3478" s="62">
        <f>K3478-(F3478*I3478)</f>
        <v/>
      </c>
      <c r="M3478" s="64">
        <f>L3478/K3478</f>
        <v/>
      </c>
    </row>
    <row r="3479">
      <c r="A3479" s="58" t="inlineStr">
        <is>
          <t>RT20250331-03478</t>
        </is>
      </c>
      <c r="B3479" s="59" t="inlineStr">
        <is>
          <t>2025-03-31</t>
        </is>
      </c>
      <c r="C3479" s="60" t="inlineStr">
        <is>
          <t>Vertex Headphone Pro-801</t>
        </is>
      </c>
      <c r="D3479" s="58" t="inlineStr">
        <is>
          <t>Electronics</t>
        </is>
      </c>
      <c r="E3479" s="58" t="inlineStr">
        <is>
          <t>North</t>
        </is>
      </c>
      <c r="F3479" s="61" t="n">
        <v>1</v>
      </c>
      <c r="G3479" s="62" t="n">
        <v>1247.36</v>
      </c>
      <c r="H3479" s="63" t="n">
        <v>0.138</v>
      </c>
      <c r="I3479" s="62" t="n">
        <v>954.61</v>
      </c>
      <c r="J3479" s="58" t="inlineStr">
        <is>
          <t>Store</t>
        </is>
      </c>
      <c r="K3479" s="62">
        <f>F3479*(G3479-H3479)</f>
        <v/>
      </c>
      <c r="L3479" s="62">
        <f>K3479-(F3479*I3479)</f>
        <v/>
      </c>
      <c r="M3479" s="64">
        <f>L3479/K3479</f>
        <v/>
      </c>
    </row>
    <row r="3480">
      <c r="A3480" s="58" t="inlineStr">
        <is>
          <t>RT20250331-03479</t>
        </is>
      </c>
      <c r="B3480" s="59" t="inlineStr">
        <is>
          <t>2025-03-31</t>
        </is>
      </c>
      <c r="C3480" s="60" t="inlineStr">
        <is>
          <t>Metro Accessorie Lite-697</t>
        </is>
      </c>
      <c r="D3480" s="58" t="inlineStr">
        <is>
          <t>Apparel</t>
        </is>
      </c>
      <c r="E3480" s="58" t="inlineStr">
        <is>
          <t>Central</t>
        </is>
      </c>
      <c r="F3480" s="61" t="n">
        <v>2</v>
      </c>
      <c r="G3480" s="62" t="n">
        <v>130.47</v>
      </c>
      <c r="H3480" s="63" t="n">
        <v>0.182</v>
      </c>
      <c r="I3480" s="62" t="n">
        <v>74.94</v>
      </c>
      <c r="J3480" s="58" t="inlineStr">
        <is>
          <t>Online</t>
        </is>
      </c>
      <c r="K3480" s="62">
        <f>F3480*(G3480-H3480)</f>
        <v/>
      </c>
      <c r="L3480" s="62">
        <f>K3480-(F3480*I3480)</f>
        <v/>
      </c>
      <c r="M3480" s="64">
        <f>L3480/K3480</f>
        <v/>
      </c>
    </row>
    <row r="3481">
      <c r="A3481" s="58" t="inlineStr">
        <is>
          <t>RT20250331-03480</t>
        </is>
      </c>
      <c r="B3481" s="59" t="inlineStr">
        <is>
          <t>2025-03-31</t>
        </is>
      </c>
      <c r="C3481" s="60" t="inlineStr">
        <is>
          <t>Falcon Cycling Pro-499</t>
        </is>
      </c>
      <c r="D3481" s="58" t="inlineStr">
        <is>
          <t>Sports</t>
        </is>
      </c>
      <c r="E3481" s="58" t="inlineStr">
        <is>
          <t>East</t>
        </is>
      </c>
      <c r="F3481" s="61" t="n">
        <v>3</v>
      </c>
      <c r="G3481" s="62" t="n">
        <v>534.6799999999999</v>
      </c>
      <c r="H3481" s="63" t="n">
        <v>0.092</v>
      </c>
      <c r="I3481" s="62" t="n">
        <v>407.2</v>
      </c>
      <c r="J3481" s="58" t="inlineStr">
        <is>
          <t>Online</t>
        </is>
      </c>
      <c r="K3481" s="62">
        <f>F3481*(G3481-H3481)</f>
        <v/>
      </c>
      <c r="L3481" s="62">
        <f>K3481-(F3481*I3481)</f>
        <v/>
      </c>
      <c r="M3481" s="64">
        <f>L3481/K3481</f>
        <v/>
      </c>
    </row>
    <row r="3482">
      <c r="A3482" s="58" t="inlineStr">
        <is>
          <t>RT20250331-03481</t>
        </is>
      </c>
      <c r="B3482" s="59" t="inlineStr">
        <is>
          <t>2025-03-31</t>
        </is>
      </c>
      <c r="C3482" s="60" t="inlineStr">
        <is>
          <t>Nimbus Women Lite-814</t>
        </is>
      </c>
      <c r="D3482" s="58" t="inlineStr">
        <is>
          <t>Apparel</t>
        </is>
      </c>
      <c r="E3482" s="58" t="inlineStr">
        <is>
          <t>East</t>
        </is>
      </c>
      <c r="F3482" s="61" t="n">
        <v>3</v>
      </c>
      <c r="G3482" s="62" t="n">
        <v>144.49</v>
      </c>
      <c r="H3482" s="63" t="n">
        <v>0.117</v>
      </c>
      <c r="I3482" s="62" t="n">
        <v>81.45999999999999</v>
      </c>
      <c r="J3482" s="58" t="inlineStr">
        <is>
          <t>Online</t>
        </is>
      </c>
      <c r="K3482" s="62">
        <f>F3482*(G3482-H3482)</f>
        <v/>
      </c>
      <c r="L3482" s="62">
        <f>K3482-(F3482*I3482)</f>
        <v/>
      </c>
      <c r="M3482" s="64">
        <f>L3482/K3482</f>
        <v/>
      </c>
    </row>
    <row r="3483">
      <c r="A3483" s="58" t="inlineStr">
        <is>
          <t>RT20250331-03482</t>
        </is>
      </c>
      <c r="B3483" s="59" t="inlineStr">
        <is>
          <t>2025-03-31</t>
        </is>
      </c>
      <c r="C3483" s="60" t="inlineStr">
        <is>
          <t>Nimbus Men Plus-231</t>
        </is>
      </c>
      <c r="D3483" s="58" t="inlineStr">
        <is>
          <t>Apparel</t>
        </is>
      </c>
      <c r="E3483" s="58" t="inlineStr">
        <is>
          <t>East</t>
        </is>
      </c>
      <c r="F3483" s="61" t="n">
        <v>2</v>
      </c>
      <c r="G3483" s="62" t="n">
        <v>158.74</v>
      </c>
      <c r="H3483" s="63" t="n">
        <v>0.109</v>
      </c>
      <c r="I3483" s="62" t="n">
        <v>87.26000000000001</v>
      </c>
      <c r="J3483" s="58" t="inlineStr">
        <is>
          <t>Online</t>
        </is>
      </c>
      <c r="K3483" s="62">
        <f>F3483*(G3483-H3483)</f>
        <v/>
      </c>
      <c r="L3483" s="62">
        <f>K3483-(F3483*I3483)</f>
        <v/>
      </c>
      <c r="M3483" s="64">
        <f>L3483/K3483</f>
        <v/>
      </c>
    </row>
    <row r="3484">
      <c r="A3484" s="58" t="inlineStr">
        <is>
          <t>RT20250331-03483</t>
        </is>
      </c>
      <c r="B3484" s="59" t="inlineStr">
        <is>
          <t>2025-03-31</t>
        </is>
      </c>
      <c r="C3484" s="60" t="inlineStr">
        <is>
          <t>Polar Decor X-935</t>
        </is>
      </c>
      <c r="D3484" s="58" t="inlineStr">
        <is>
          <t>Home</t>
        </is>
      </c>
      <c r="E3484" s="58" t="inlineStr">
        <is>
          <t>North</t>
        </is>
      </c>
      <c r="F3484" s="61" t="n">
        <v>3</v>
      </c>
      <c r="G3484" s="62" t="n">
        <v>297.44</v>
      </c>
      <c r="H3484" s="63" t="n">
        <v>0.062</v>
      </c>
      <c r="I3484" s="62" t="n">
        <v>200.09</v>
      </c>
      <c r="J3484" s="58" t="inlineStr">
        <is>
          <t>Phone</t>
        </is>
      </c>
      <c r="K3484" s="62">
        <f>F3484*(G3484-H3484)</f>
        <v/>
      </c>
      <c r="L3484" s="62">
        <f>K3484-(F3484*I3484)</f>
        <v/>
      </c>
      <c r="M3484" s="64">
        <f>L3484/K3484</f>
        <v/>
      </c>
    </row>
    <row r="3485">
      <c r="A3485" s="58" t="inlineStr">
        <is>
          <t>RT20250331-03484</t>
        </is>
      </c>
      <c r="B3485" s="59" t="inlineStr">
        <is>
          <t>2025-03-31</t>
        </is>
      </c>
      <c r="C3485" s="60" t="inlineStr">
        <is>
          <t>Falcon Headphone Pro-713</t>
        </is>
      </c>
      <c r="D3485" s="58" t="inlineStr">
        <is>
          <t>Electronics</t>
        </is>
      </c>
      <c r="E3485" s="58" t="inlineStr">
        <is>
          <t>North</t>
        </is>
      </c>
      <c r="F3485" s="61" t="n">
        <v>1</v>
      </c>
      <c r="G3485" s="62" t="n">
        <v>1510.57</v>
      </c>
      <c r="H3485" s="63" t="n">
        <v>0.114</v>
      </c>
      <c r="I3485" s="62" t="n">
        <v>1204.05</v>
      </c>
      <c r="J3485" s="58" t="inlineStr">
        <is>
          <t>Store</t>
        </is>
      </c>
      <c r="K3485" s="62">
        <f>F3485*(G3485-H3485)</f>
        <v/>
      </c>
      <c r="L3485" s="62">
        <f>K3485-(F3485*I3485)</f>
        <v/>
      </c>
      <c r="M3485" s="64">
        <f>L3485/K3485</f>
        <v/>
      </c>
    </row>
    <row r="3486">
      <c r="A3486" s="58" t="inlineStr">
        <is>
          <t>RT20250331-03485</t>
        </is>
      </c>
      <c r="B3486" s="59" t="inlineStr">
        <is>
          <t>2025-03-31</t>
        </is>
      </c>
      <c r="C3486" s="60" t="inlineStr">
        <is>
          <t>Polar Cycling X-649</t>
        </is>
      </c>
      <c r="D3486" s="58" t="inlineStr">
        <is>
          <t>Sports</t>
        </is>
      </c>
      <c r="E3486" s="58" t="inlineStr">
        <is>
          <t>North</t>
        </is>
      </c>
      <c r="F3486" s="61" t="n">
        <v>1</v>
      </c>
      <c r="G3486" s="62" t="n">
        <v>583.1</v>
      </c>
      <c r="H3486" s="63" t="n">
        <v>0.096</v>
      </c>
      <c r="I3486" s="62" t="n">
        <v>353.99</v>
      </c>
      <c r="J3486" s="58" t="inlineStr">
        <is>
          <t>Store</t>
        </is>
      </c>
      <c r="K3486" s="62">
        <f>F3486*(G3486-H3486)</f>
        <v/>
      </c>
      <c r="L3486" s="62">
        <f>K3486-(F3486*I3486)</f>
        <v/>
      </c>
      <c r="M3486" s="64">
        <f>L3486/K3486</f>
        <v/>
      </c>
    </row>
    <row r="3487">
      <c r="A3487" s="58" t="inlineStr">
        <is>
          <t>RT20250331-03486</t>
        </is>
      </c>
      <c r="B3487" s="59" t="inlineStr">
        <is>
          <t>2025-03-31</t>
        </is>
      </c>
      <c r="C3487" s="60" t="inlineStr">
        <is>
          <t>Polar Haircare Max-614</t>
        </is>
      </c>
      <c r="D3487" s="58" t="inlineStr">
        <is>
          <t>Beauty</t>
        </is>
      </c>
      <c r="E3487" s="58" t="inlineStr">
        <is>
          <t>Central</t>
        </is>
      </c>
      <c r="F3487" s="61" t="n">
        <v>2</v>
      </c>
      <c r="G3487" s="62" t="n">
        <v>107.63</v>
      </c>
      <c r="H3487" s="63" t="n">
        <v>0.157</v>
      </c>
      <c r="I3487" s="62" t="n">
        <v>69.31</v>
      </c>
      <c r="J3487" s="58" t="inlineStr">
        <is>
          <t>Online</t>
        </is>
      </c>
      <c r="K3487" s="62">
        <f>F3487*(G3487-H3487)</f>
        <v/>
      </c>
      <c r="L3487" s="62">
        <f>K3487-(F3487*I3487)</f>
        <v/>
      </c>
      <c r="M3487" s="64">
        <f>L3487/K3487</f>
        <v/>
      </c>
    </row>
    <row r="3488">
      <c r="A3488" s="58" t="inlineStr">
        <is>
          <t>RT20250331-03487</t>
        </is>
      </c>
      <c r="B3488" s="59" t="inlineStr">
        <is>
          <t>2025-03-31</t>
        </is>
      </c>
      <c r="C3488" s="60" t="inlineStr">
        <is>
          <t>Aurora Bedding Plus-187</t>
        </is>
      </c>
      <c r="D3488" s="58" t="inlineStr">
        <is>
          <t>Home</t>
        </is>
      </c>
      <c r="E3488" s="58" t="inlineStr">
        <is>
          <t>East</t>
        </is>
      </c>
      <c r="F3488" s="61" t="n">
        <v>3</v>
      </c>
      <c r="G3488" s="62" t="n">
        <v>315.58</v>
      </c>
      <c r="H3488" s="63" t="n">
        <v>0.115</v>
      </c>
      <c r="I3488" s="62" t="n">
        <v>208.17</v>
      </c>
      <c r="J3488" s="58" t="inlineStr">
        <is>
          <t>Online</t>
        </is>
      </c>
      <c r="K3488" s="62">
        <f>F3488*(G3488-H3488)</f>
        <v/>
      </c>
      <c r="L3488" s="62">
        <f>K3488-(F3488*I3488)</f>
        <v/>
      </c>
      <c r="M3488" s="64">
        <f>L3488/K3488</f>
        <v/>
      </c>
    </row>
    <row r="3489">
      <c r="A3489" s="58" t="inlineStr">
        <is>
          <t>RT20250331-03488</t>
        </is>
      </c>
      <c r="B3489" s="59" t="inlineStr">
        <is>
          <t>2025-03-31</t>
        </is>
      </c>
      <c r="C3489" s="60" t="inlineStr">
        <is>
          <t>Orion Storage Plus-961</t>
        </is>
      </c>
      <c r="D3489" s="58" t="inlineStr">
        <is>
          <t>Office</t>
        </is>
      </c>
      <c r="E3489" s="58" t="inlineStr">
        <is>
          <t>West</t>
        </is>
      </c>
      <c r="F3489" s="61" t="n">
        <v>3</v>
      </c>
      <c r="G3489" s="62" t="n">
        <v>607.3</v>
      </c>
      <c r="H3489" s="63" t="n">
        <v>0.113</v>
      </c>
      <c r="I3489" s="62" t="n">
        <v>366.34</v>
      </c>
      <c r="J3489" s="58" t="inlineStr">
        <is>
          <t>Store</t>
        </is>
      </c>
      <c r="K3489" s="62">
        <f>F3489*(G3489-H3489)</f>
        <v/>
      </c>
      <c r="L3489" s="62">
        <f>K3489-(F3489*I3489)</f>
        <v/>
      </c>
      <c r="M3489" s="64">
        <f>L3489/K3489</f>
        <v/>
      </c>
    </row>
    <row r="3490">
      <c r="A3490" s="58" t="inlineStr">
        <is>
          <t>RT20250331-03489</t>
        </is>
      </c>
      <c r="B3490" s="59" t="inlineStr">
        <is>
          <t>2025-03-31</t>
        </is>
      </c>
      <c r="C3490" s="60" t="inlineStr">
        <is>
          <t>Nimbus Women Lite-814</t>
        </is>
      </c>
      <c r="D3490" s="58" t="inlineStr">
        <is>
          <t>Apparel</t>
        </is>
      </c>
      <c r="E3490" s="58" t="inlineStr">
        <is>
          <t>East</t>
        </is>
      </c>
      <c r="F3490" s="61" t="n">
        <v>3</v>
      </c>
      <c r="G3490" s="62" t="n">
        <v>166.09</v>
      </c>
      <c r="H3490" s="63" t="n">
        <v>0.09</v>
      </c>
      <c r="I3490" s="62" t="n">
        <v>82.45999999999999</v>
      </c>
      <c r="J3490" s="58" t="inlineStr">
        <is>
          <t>Online</t>
        </is>
      </c>
      <c r="K3490" s="62">
        <f>F3490*(G3490-H3490)</f>
        <v/>
      </c>
      <c r="L3490" s="62">
        <f>K3490-(F3490*I3490)</f>
        <v/>
      </c>
      <c r="M3490" s="64">
        <f>L3490/K3490</f>
        <v/>
      </c>
    </row>
    <row r="3491">
      <c r="A3491" s="58" t="inlineStr">
        <is>
          <t>RT20250331-03490</t>
        </is>
      </c>
      <c r="B3491" s="59" t="inlineStr">
        <is>
          <t>2025-03-31</t>
        </is>
      </c>
      <c r="C3491" s="60" t="inlineStr">
        <is>
          <t>Polar Supplie Lite-348</t>
        </is>
      </c>
      <c r="D3491" s="58" t="inlineStr">
        <is>
          <t>Office</t>
        </is>
      </c>
      <c r="E3491" s="58" t="inlineStr">
        <is>
          <t>South</t>
        </is>
      </c>
      <c r="F3491" s="61" t="n">
        <v>2</v>
      </c>
      <c r="G3491" s="62" t="n">
        <v>437.71</v>
      </c>
      <c r="H3491" s="63" t="n">
        <v>0.145</v>
      </c>
      <c r="I3491" s="62" t="n">
        <v>310.05</v>
      </c>
      <c r="J3491" s="58" t="inlineStr">
        <is>
          <t>Online</t>
        </is>
      </c>
      <c r="K3491" s="62">
        <f>F3491*(G3491-H3491)</f>
        <v/>
      </c>
      <c r="L3491" s="62">
        <f>K3491-(F3491*I3491)</f>
        <v/>
      </c>
      <c r="M3491" s="64">
        <f>L3491/K3491</f>
        <v/>
      </c>
    </row>
    <row r="3492">
      <c r="A3492" s="58" t="inlineStr">
        <is>
          <t>RT20250331-03491</t>
        </is>
      </c>
      <c r="B3492" s="59" t="inlineStr">
        <is>
          <t>2025-03-31</t>
        </is>
      </c>
      <c r="C3492" s="60" t="inlineStr">
        <is>
          <t>Aurora Makeup Pro-489</t>
        </is>
      </c>
      <c r="D3492" s="58" t="inlineStr">
        <is>
          <t>Beauty</t>
        </is>
      </c>
      <c r="E3492" s="58" t="inlineStr">
        <is>
          <t>West</t>
        </is>
      </c>
      <c r="F3492" s="61" t="n">
        <v>2</v>
      </c>
      <c r="G3492" s="62" t="n">
        <v>104.99</v>
      </c>
      <c r="H3492" s="63" t="n">
        <v>0.099</v>
      </c>
      <c r="I3492" s="62" t="n">
        <v>63.86</v>
      </c>
      <c r="J3492" s="58" t="inlineStr">
        <is>
          <t>Store</t>
        </is>
      </c>
      <c r="K3492" s="62">
        <f>F3492*(G3492-H3492)</f>
        <v/>
      </c>
      <c r="L3492" s="62">
        <f>K3492-(F3492*I3492)</f>
        <v/>
      </c>
      <c r="M3492" s="64">
        <f>L3492/K3492</f>
        <v/>
      </c>
    </row>
    <row r="3493">
      <c r="A3493" s="58" t="inlineStr">
        <is>
          <t>RT20250331-03492</t>
        </is>
      </c>
      <c r="B3493" s="59" t="inlineStr">
        <is>
          <t>2025-03-31</t>
        </is>
      </c>
      <c r="C3493" s="60" t="inlineStr">
        <is>
          <t>Solace Kitchen Pro-510</t>
        </is>
      </c>
      <c r="D3493" s="58" t="inlineStr">
        <is>
          <t>Home</t>
        </is>
      </c>
      <c r="E3493" s="58" t="inlineStr">
        <is>
          <t>East</t>
        </is>
      </c>
      <c r="F3493" s="61" t="n">
        <v>3</v>
      </c>
      <c r="G3493" s="62" t="n">
        <v>456.67</v>
      </c>
      <c r="H3493" s="63" t="n">
        <v>0.077</v>
      </c>
      <c r="I3493" s="62" t="n">
        <v>308.2</v>
      </c>
      <c r="J3493" s="58" t="inlineStr">
        <is>
          <t>Store</t>
        </is>
      </c>
      <c r="K3493" s="62">
        <f>F3493*(G3493-H3493)</f>
        <v/>
      </c>
      <c r="L3493" s="62">
        <f>K3493-(F3493*I3493)</f>
        <v/>
      </c>
      <c r="M3493" s="64">
        <f>L3493/K3493</f>
        <v/>
      </c>
    </row>
    <row r="3494">
      <c r="A3494" s="58" t="inlineStr">
        <is>
          <t>RT20250331-03493</t>
        </is>
      </c>
      <c r="B3494" s="59" t="inlineStr">
        <is>
          <t>2025-03-31</t>
        </is>
      </c>
      <c r="C3494" s="60" t="inlineStr">
        <is>
          <t>Nimbus Makeup Max-158</t>
        </is>
      </c>
      <c r="D3494" s="58" t="inlineStr">
        <is>
          <t>Beauty</t>
        </is>
      </c>
      <c r="E3494" s="58" t="inlineStr">
        <is>
          <t>Central</t>
        </is>
      </c>
      <c r="F3494" s="61" t="n">
        <v>4</v>
      </c>
      <c r="G3494" s="62" t="n">
        <v>145.06</v>
      </c>
      <c r="H3494" s="63" t="n">
        <v>0.142</v>
      </c>
      <c r="I3494" s="62" t="n">
        <v>94.73999999999999</v>
      </c>
      <c r="J3494" s="58" t="inlineStr">
        <is>
          <t>Online</t>
        </is>
      </c>
      <c r="K3494" s="62">
        <f>F3494*(G3494-H3494)</f>
        <v/>
      </c>
      <c r="L3494" s="62">
        <f>K3494-(F3494*I3494)</f>
        <v/>
      </c>
      <c r="M3494" s="64">
        <f>L3494/K3494</f>
        <v/>
      </c>
    </row>
    <row r="3495">
      <c r="A3495" s="58" t="inlineStr">
        <is>
          <t>RT20250331-03494</t>
        </is>
      </c>
      <c r="B3495" s="59" t="inlineStr">
        <is>
          <t>2025-03-31</t>
        </is>
      </c>
      <c r="C3495" s="60" t="inlineStr">
        <is>
          <t>Solace Laptop S-367</t>
        </is>
      </c>
      <c r="D3495" s="58" t="inlineStr">
        <is>
          <t>Electronics</t>
        </is>
      </c>
      <c r="E3495" s="58" t="inlineStr">
        <is>
          <t>West</t>
        </is>
      </c>
      <c r="F3495" s="61" t="n">
        <v>2</v>
      </c>
      <c r="G3495" s="62" t="n">
        <v>1911.32</v>
      </c>
      <c r="H3495" s="63" t="n">
        <v>0.08599999999999999</v>
      </c>
      <c r="I3495" s="62" t="n">
        <v>1571.92</v>
      </c>
      <c r="J3495" s="58" t="inlineStr">
        <is>
          <t>Online</t>
        </is>
      </c>
      <c r="K3495" s="62">
        <f>F3495*(G3495-H3495)</f>
        <v/>
      </c>
      <c r="L3495" s="62">
        <f>K3495-(F3495*I3495)</f>
        <v/>
      </c>
      <c r="M3495" s="64">
        <f>L3495/K3495</f>
        <v/>
      </c>
    </row>
    <row r="3496">
      <c r="A3496" s="58" t="inlineStr">
        <is>
          <t>RT20250331-03495</t>
        </is>
      </c>
      <c r="B3496" s="59" t="inlineStr">
        <is>
          <t>2025-03-31</t>
        </is>
      </c>
      <c r="C3496" s="60" t="inlineStr">
        <is>
          <t>Polar Bedding Lite-243</t>
        </is>
      </c>
      <c r="D3496" s="58" t="inlineStr">
        <is>
          <t>Home</t>
        </is>
      </c>
      <c r="E3496" s="58" t="inlineStr">
        <is>
          <t>North</t>
        </is>
      </c>
      <c r="F3496" s="61" t="n">
        <v>2</v>
      </c>
      <c r="G3496" s="62" t="n">
        <v>446.38</v>
      </c>
      <c r="H3496" s="63" t="n">
        <v>0.12</v>
      </c>
      <c r="I3496" s="62" t="n">
        <v>322.45</v>
      </c>
      <c r="J3496" s="58" t="inlineStr">
        <is>
          <t>Online</t>
        </is>
      </c>
      <c r="K3496" s="62">
        <f>F3496*(G3496-H3496)</f>
        <v/>
      </c>
      <c r="L3496" s="62">
        <f>K3496-(F3496*I3496)</f>
        <v/>
      </c>
      <c r="M3496" s="64">
        <f>L3496/K3496</f>
        <v/>
      </c>
    </row>
    <row r="3497">
      <c r="A3497" s="58" t="inlineStr">
        <is>
          <t>RT20250331-03496</t>
        </is>
      </c>
      <c r="B3497" s="59" t="inlineStr">
        <is>
          <t>2025-03-31</t>
        </is>
      </c>
      <c r="C3497" s="60" t="inlineStr">
        <is>
          <t>Nimbus Furniture Pro-479</t>
        </is>
      </c>
      <c r="D3497" s="58" t="inlineStr">
        <is>
          <t>Office</t>
        </is>
      </c>
      <c r="E3497" s="58" t="inlineStr">
        <is>
          <t>Central</t>
        </is>
      </c>
      <c r="F3497" s="61" t="n">
        <v>1</v>
      </c>
      <c r="G3497" s="62" t="n">
        <v>309.33</v>
      </c>
      <c r="H3497" s="63" t="n">
        <v>0.102</v>
      </c>
      <c r="I3497" s="62" t="n">
        <v>237.92</v>
      </c>
      <c r="J3497" s="58" t="inlineStr">
        <is>
          <t>Store</t>
        </is>
      </c>
      <c r="K3497" s="62">
        <f>F3497*(G3497-H3497)</f>
        <v/>
      </c>
      <c r="L3497" s="62">
        <f>K3497-(F3497*I3497)</f>
        <v/>
      </c>
      <c r="M3497" s="64">
        <f>L3497/K3497</f>
        <v/>
      </c>
    </row>
    <row r="3498">
      <c r="A3498" s="58" t="inlineStr">
        <is>
          <t>RT20250331-03497</t>
        </is>
      </c>
      <c r="B3498" s="59" t="inlineStr">
        <is>
          <t>2025-03-31</t>
        </is>
      </c>
      <c r="C3498" s="60" t="inlineStr">
        <is>
          <t>Polar Haircare Max-614</t>
        </is>
      </c>
      <c r="D3498" s="58" t="inlineStr">
        <is>
          <t>Beauty</t>
        </is>
      </c>
      <c r="E3498" s="58" t="inlineStr">
        <is>
          <t>East</t>
        </is>
      </c>
      <c r="F3498" s="61" t="n">
        <v>4</v>
      </c>
      <c r="G3498" s="62" t="n">
        <v>112.05</v>
      </c>
      <c r="H3498" s="63" t="n">
        <v>0.18</v>
      </c>
      <c r="I3498" s="62" t="n">
        <v>70.78</v>
      </c>
      <c r="J3498" s="58" t="inlineStr">
        <is>
          <t>Online</t>
        </is>
      </c>
      <c r="K3498" s="62">
        <f>F3498*(G3498-H3498)</f>
        <v/>
      </c>
      <c r="L3498" s="62">
        <f>K3498-(F3498*I3498)</f>
        <v/>
      </c>
      <c r="M3498" s="64">
        <f>L3498/K3498</f>
        <v/>
      </c>
    </row>
    <row r="3499">
      <c r="A3499" s="58" t="inlineStr">
        <is>
          <t>RT20250331-03498</t>
        </is>
      </c>
      <c r="B3499" s="59" t="inlineStr">
        <is>
          <t>2025-03-31</t>
        </is>
      </c>
      <c r="C3499" s="60" t="inlineStr">
        <is>
          <t>Orion Team Sport X-926</t>
        </is>
      </c>
      <c r="D3499" s="58" t="inlineStr">
        <is>
          <t>Sports</t>
        </is>
      </c>
      <c r="E3499" s="58" t="inlineStr">
        <is>
          <t>North</t>
        </is>
      </c>
      <c r="F3499" s="61" t="n">
        <v>3</v>
      </c>
      <c r="G3499" s="62" t="n">
        <v>350.75</v>
      </c>
      <c r="H3499" s="63" t="n">
        <v>0.1</v>
      </c>
      <c r="I3499" s="62" t="n">
        <v>208.44</v>
      </c>
      <c r="J3499" s="58" t="inlineStr">
        <is>
          <t>Store</t>
        </is>
      </c>
      <c r="K3499" s="62">
        <f>F3499*(G3499-H3499)</f>
        <v/>
      </c>
      <c r="L3499" s="62">
        <f>K3499-(F3499*I3499)</f>
        <v/>
      </c>
      <c r="M3499" s="64">
        <f>L3499/K3499</f>
        <v/>
      </c>
    </row>
    <row r="3500">
      <c r="A3500" s="58" t="inlineStr">
        <is>
          <t>RT20250331-03499</t>
        </is>
      </c>
      <c r="B3500" s="59" t="inlineStr">
        <is>
          <t>2025-03-31</t>
        </is>
      </c>
      <c r="C3500" s="60" t="inlineStr">
        <is>
          <t>Polar Supplie Lite-348</t>
        </is>
      </c>
      <c r="D3500" s="58" t="inlineStr">
        <is>
          <t>Office</t>
        </is>
      </c>
      <c r="E3500" s="58" t="inlineStr">
        <is>
          <t>Central</t>
        </is>
      </c>
      <c r="F3500" s="61" t="n">
        <v>3</v>
      </c>
      <c r="G3500" s="62" t="n">
        <v>408.72</v>
      </c>
      <c r="H3500" s="63" t="n">
        <v>0.077</v>
      </c>
      <c r="I3500" s="62" t="n">
        <v>319.21</v>
      </c>
      <c r="J3500" s="58" t="inlineStr">
        <is>
          <t>Online</t>
        </is>
      </c>
      <c r="K3500" s="62">
        <f>F3500*(G3500-H3500)</f>
        <v/>
      </c>
      <c r="L3500" s="62">
        <f>K3500-(F3500*I3500)</f>
        <v/>
      </c>
      <c r="M3500" s="64">
        <f>L3500/K3500</f>
        <v/>
      </c>
    </row>
    <row r="3501">
      <c r="A3501" s="58" t="inlineStr">
        <is>
          <t>RT20250331-03500</t>
        </is>
      </c>
      <c r="B3501" s="59" t="inlineStr">
        <is>
          <t>2025-03-31</t>
        </is>
      </c>
      <c r="C3501" s="60" t="inlineStr">
        <is>
          <t>Orion Fragrance Lite-785</t>
        </is>
      </c>
      <c r="D3501" s="58" t="inlineStr">
        <is>
          <t>Beauty</t>
        </is>
      </c>
      <c r="E3501" s="58" t="inlineStr">
        <is>
          <t>South</t>
        </is>
      </c>
      <c r="F3501" s="61" t="n">
        <v>3</v>
      </c>
      <c r="G3501" s="62" t="n">
        <v>41.94</v>
      </c>
      <c r="H3501" s="63" t="n">
        <v>0.056</v>
      </c>
      <c r="I3501" s="62" t="n">
        <v>26.72</v>
      </c>
      <c r="J3501" s="58" t="inlineStr">
        <is>
          <t>Store</t>
        </is>
      </c>
      <c r="K3501" s="62">
        <f>F3501*(G3501-H3501)</f>
        <v/>
      </c>
      <c r="L3501" s="62">
        <f>K3501-(F3501*I3501)</f>
        <v/>
      </c>
      <c r="M3501" s="64">
        <f>L3501/K3501</f>
        <v/>
      </c>
    </row>
    <row r="3502">
      <c r="A3502" s="58" t="inlineStr">
        <is>
          <t>RT20250331-03501</t>
        </is>
      </c>
      <c r="B3502" s="59" t="inlineStr">
        <is>
          <t>2025-03-31</t>
        </is>
      </c>
      <c r="C3502" s="60" t="inlineStr">
        <is>
          <t>Polar Wearable X-119</t>
        </is>
      </c>
      <c r="D3502" s="58" t="inlineStr">
        <is>
          <t>Electronics</t>
        </is>
      </c>
      <c r="E3502" s="58" t="inlineStr">
        <is>
          <t>West</t>
        </is>
      </c>
      <c r="F3502" s="61" t="n">
        <v>1</v>
      </c>
      <c r="G3502" s="62" t="n">
        <v>1729.72</v>
      </c>
      <c r="H3502" s="63" t="n">
        <v>0.08400000000000001</v>
      </c>
      <c r="I3502" s="62" t="n">
        <v>1330.68</v>
      </c>
      <c r="J3502" s="58" t="inlineStr">
        <is>
          <t>Online</t>
        </is>
      </c>
      <c r="K3502" s="62">
        <f>F3502*(G3502-H3502)</f>
        <v/>
      </c>
      <c r="L3502" s="62">
        <f>K3502-(F3502*I3502)</f>
        <v/>
      </c>
      <c r="M3502" s="64">
        <f>L3502/K3502</f>
        <v/>
      </c>
    </row>
    <row r="3503">
      <c r="A3503" s="58" t="inlineStr">
        <is>
          <t>RT20250331-03502</t>
        </is>
      </c>
      <c r="B3503" s="59" t="inlineStr">
        <is>
          <t>2025-03-31</t>
        </is>
      </c>
      <c r="C3503" s="60" t="inlineStr">
        <is>
          <t>Polar Outdoor Lite-318</t>
        </is>
      </c>
      <c r="D3503" s="58" t="inlineStr">
        <is>
          <t>Sports</t>
        </is>
      </c>
      <c r="E3503" s="58" t="inlineStr">
        <is>
          <t>East</t>
        </is>
      </c>
      <c r="F3503" s="61" t="n">
        <v>2</v>
      </c>
      <c r="G3503" s="62" t="n">
        <v>766.79</v>
      </c>
      <c r="H3503" s="63" t="n">
        <v>0.07199999999999999</v>
      </c>
      <c r="I3503" s="62" t="n">
        <v>455.47</v>
      </c>
      <c r="J3503" s="58" t="inlineStr">
        <is>
          <t>Online</t>
        </is>
      </c>
      <c r="K3503" s="62">
        <f>F3503*(G3503-H3503)</f>
        <v/>
      </c>
      <c r="L3503" s="62">
        <f>K3503-(F3503*I3503)</f>
        <v/>
      </c>
      <c r="M3503" s="64">
        <f>L3503/K3503</f>
        <v/>
      </c>
    </row>
    <row r="3504">
      <c r="A3504" s="58" t="inlineStr">
        <is>
          <t>RT20250331-03503</t>
        </is>
      </c>
      <c r="B3504" s="59" t="inlineStr">
        <is>
          <t>2025-03-31</t>
        </is>
      </c>
      <c r="C3504" s="60" t="inlineStr">
        <is>
          <t>Aurora Furniture X-709</t>
        </is>
      </c>
      <c r="D3504" s="58" t="inlineStr">
        <is>
          <t>Office</t>
        </is>
      </c>
      <c r="E3504" s="58" t="inlineStr">
        <is>
          <t>Central</t>
        </is>
      </c>
      <c r="F3504" s="61" t="n">
        <v>3</v>
      </c>
      <c r="G3504" s="62" t="n">
        <v>377.44</v>
      </c>
      <c r="H3504" s="63" t="n">
        <v>0.093</v>
      </c>
      <c r="I3504" s="62" t="n">
        <v>312.67</v>
      </c>
      <c r="J3504" s="58" t="inlineStr">
        <is>
          <t>Online</t>
        </is>
      </c>
      <c r="K3504" s="62">
        <f>F3504*(G3504-H3504)</f>
        <v/>
      </c>
      <c r="L3504" s="62">
        <f>K3504-(F3504*I3504)</f>
        <v/>
      </c>
      <c r="M3504" s="64">
        <f>L3504/K3504</f>
        <v/>
      </c>
    </row>
    <row r="3505">
      <c r="A3505" s="58" t="inlineStr">
        <is>
          <t>RT20250331-03504</t>
        </is>
      </c>
      <c r="B3505" s="59" t="inlineStr">
        <is>
          <t>2025-03-31</t>
        </is>
      </c>
      <c r="C3505" s="60" t="inlineStr">
        <is>
          <t>Aurora Fitnes Lite-194</t>
        </is>
      </c>
      <c r="D3505" s="58" t="inlineStr">
        <is>
          <t>Sports</t>
        </is>
      </c>
      <c r="E3505" s="58" t="inlineStr">
        <is>
          <t>North</t>
        </is>
      </c>
      <c r="F3505" s="61" t="n">
        <v>2</v>
      </c>
      <c r="G3505" s="62" t="n">
        <v>696.52</v>
      </c>
      <c r="H3505" s="63" t="n">
        <v>0.138</v>
      </c>
      <c r="I3505" s="62" t="n">
        <v>463.9</v>
      </c>
      <c r="J3505" s="58" t="inlineStr">
        <is>
          <t>Online</t>
        </is>
      </c>
      <c r="K3505" s="62">
        <f>F3505*(G3505-H3505)</f>
        <v/>
      </c>
      <c r="L3505" s="62">
        <f>K3505-(F3505*I3505)</f>
        <v/>
      </c>
      <c r="M3505" s="64">
        <f>L3505/K3505</f>
        <v/>
      </c>
    </row>
    <row r="3506">
      <c r="A3506" s="58" t="inlineStr">
        <is>
          <t>RT20250331-03505</t>
        </is>
      </c>
      <c r="B3506" s="59" t="inlineStr">
        <is>
          <t>2025-03-31</t>
        </is>
      </c>
      <c r="C3506" s="60" t="inlineStr">
        <is>
          <t>Nimbus Makeup Max-158</t>
        </is>
      </c>
      <c r="D3506" s="58" t="inlineStr">
        <is>
          <t>Beauty</t>
        </is>
      </c>
      <c r="E3506" s="58" t="inlineStr">
        <is>
          <t>Central</t>
        </is>
      </c>
      <c r="F3506" s="61" t="n">
        <v>5</v>
      </c>
      <c r="G3506" s="62" t="n">
        <v>161.46</v>
      </c>
      <c r="H3506" s="63" t="n">
        <v>0.055</v>
      </c>
      <c r="I3506" s="62" t="n">
        <v>93.55</v>
      </c>
      <c r="J3506" s="58" t="inlineStr">
        <is>
          <t>Store</t>
        </is>
      </c>
      <c r="K3506" s="62">
        <f>F3506*(G3506-H3506)</f>
        <v/>
      </c>
      <c r="L3506" s="62">
        <f>K3506-(F3506*I3506)</f>
        <v/>
      </c>
      <c r="M3506" s="64">
        <f>L3506/K3506</f>
        <v/>
      </c>
    </row>
    <row r="3507">
      <c r="A3507" s="58" t="inlineStr">
        <is>
          <t>RT20250331-03506</t>
        </is>
      </c>
      <c r="B3507" s="59" t="inlineStr">
        <is>
          <t>2025-03-31</t>
        </is>
      </c>
      <c r="C3507" s="60" t="inlineStr">
        <is>
          <t>Vertex Accessorie Pro-881</t>
        </is>
      </c>
      <c r="D3507" s="58" t="inlineStr">
        <is>
          <t>Apparel</t>
        </is>
      </c>
      <c r="E3507" s="58" t="inlineStr">
        <is>
          <t>East</t>
        </is>
      </c>
      <c r="F3507" s="61" t="n">
        <v>1</v>
      </c>
      <c r="G3507" s="62" t="n">
        <v>105.61</v>
      </c>
      <c r="H3507" s="63" t="n">
        <v>0.116</v>
      </c>
      <c r="I3507" s="62" t="n">
        <v>61.47</v>
      </c>
      <c r="J3507" s="58" t="inlineStr">
        <is>
          <t>Online</t>
        </is>
      </c>
      <c r="K3507" s="62">
        <f>F3507*(G3507-H3507)</f>
        <v/>
      </c>
      <c r="L3507" s="62">
        <f>K3507-(F3507*I3507)</f>
        <v/>
      </c>
      <c r="M3507" s="64">
        <f>L3507/K3507</f>
        <v/>
      </c>
    </row>
    <row r="3508">
      <c r="A3508" s="58" t="inlineStr">
        <is>
          <t>RT20250331-03507</t>
        </is>
      </c>
      <c r="B3508" s="59" t="inlineStr">
        <is>
          <t>2025-03-31</t>
        </is>
      </c>
      <c r="C3508" s="60" t="inlineStr">
        <is>
          <t>Nimbus Makeup Max-158</t>
        </is>
      </c>
      <c r="D3508" s="58" t="inlineStr">
        <is>
          <t>Beauty</t>
        </is>
      </c>
      <c r="E3508" s="58" t="inlineStr">
        <is>
          <t>North</t>
        </is>
      </c>
      <c r="F3508" s="61" t="n">
        <v>3</v>
      </c>
      <c r="G3508" s="62" t="n">
        <v>152.43</v>
      </c>
      <c r="H3508" s="63" t="n">
        <v>0.058</v>
      </c>
      <c r="I3508" s="62" t="n">
        <v>94.56</v>
      </c>
      <c r="J3508" s="58" t="inlineStr">
        <is>
          <t>Online</t>
        </is>
      </c>
      <c r="K3508" s="62">
        <f>F3508*(G3508-H3508)</f>
        <v/>
      </c>
      <c r="L3508" s="62">
        <f>K3508-(F3508*I3508)</f>
        <v/>
      </c>
      <c r="M3508" s="64">
        <f>L3508/K3508</f>
        <v/>
      </c>
    </row>
    <row r="3509">
      <c r="A3509" s="58" t="inlineStr">
        <is>
          <t>RT20250331-03508</t>
        </is>
      </c>
      <c r="B3509" s="59" t="inlineStr">
        <is>
          <t>2025-03-31</t>
        </is>
      </c>
      <c r="C3509" s="60" t="inlineStr">
        <is>
          <t>Aurora Makeup Pro-489</t>
        </is>
      </c>
      <c r="D3509" s="58" t="inlineStr">
        <is>
          <t>Beauty</t>
        </is>
      </c>
      <c r="E3509" s="58" t="inlineStr">
        <is>
          <t>East</t>
        </is>
      </c>
      <c r="F3509" s="61" t="n">
        <v>5</v>
      </c>
      <c r="G3509" s="62" t="n">
        <v>104.8</v>
      </c>
      <c r="H3509" s="63" t="n">
        <v>0.153</v>
      </c>
      <c r="I3509" s="62" t="n">
        <v>62.39</v>
      </c>
      <c r="J3509" s="58" t="inlineStr">
        <is>
          <t>Store</t>
        </is>
      </c>
      <c r="K3509" s="62">
        <f>F3509*(G3509-H3509)</f>
        <v/>
      </c>
      <c r="L3509" s="62">
        <f>K3509-(F3509*I3509)</f>
        <v/>
      </c>
      <c r="M3509" s="64">
        <f>L3509/K3509</f>
        <v/>
      </c>
    </row>
    <row r="3510">
      <c r="A3510" s="58" t="inlineStr">
        <is>
          <t>RT20250331-03509</t>
        </is>
      </c>
      <c r="B3510" s="59" t="inlineStr">
        <is>
          <t>2025-03-31</t>
        </is>
      </c>
      <c r="C3510" s="60" t="inlineStr">
        <is>
          <t>Orion Storage Plus-961</t>
        </is>
      </c>
      <c r="D3510" s="58" t="inlineStr">
        <is>
          <t>Office</t>
        </is>
      </c>
      <c r="E3510" s="58" t="inlineStr">
        <is>
          <t>East</t>
        </is>
      </c>
      <c r="F3510" s="61" t="n">
        <v>2</v>
      </c>
      <c r="G3510" s="62" t="n">
        <v>431.56</v>
      </c>
      <c r="H3510" s="63" t="n">
        <v>0.075</v>
      </c>
      <c r="I3510" s="62" t="n">
        <v>358.95</v>
      </c>
      <c r="J3510" s="58" t="inlineStr">
        <is>
          <t>Online</t>
        </is>
      </c>
      <c r="K3510" s="62">
        <f>F3510*(G3510-H3510)</f>
        <v/>
      </c>
      <c r="L3510" s="62">
        <f>K3510-(F3510*I3510)</f>
        <v/>
      </c>
      <c r="M3510" s="64">
        <f>L3510/K3510</f>
        <v/>
      </c>
    </row>
    <row r="3511">
      <c r="A3511" s="58" t="inlineStr">
        <is>
          <t>RT20250331-03510</t>
        </is>
      </c>
      <c r="B3511" s="59" t="inlineStr">
        <is>
          <t>2025-03-31</t>
        </is>
      </c>
      <c r="C3511" s="60" t="inlineStr">
        <is>
          <t>Polar Supplie Lite-348</t>
        </is>
      </c>
      <c r="D3511" s="58" t="inlineStr">
        <is>
          <t>Office</t>
        </is>
      </c>
      <c r="E3511" s="58" t="inlineStr">
        <is>
          <t>West</t>
        </is>
      </c>
      <c r="F3511" s="61" t="n">
        <v>1</v>
      </c>
      <c r="G3511" s="62" t="n">
        <v>473.47</v>
      </c>
      <c r="H3511" s="63" t="n">
        <v>0.076</v>
      </c>
      <c r="I3511" s="62" t="n">
        <v>314.47</v>
      </c>
      <c r="J3511" s="58" t="inlineStr">
        <is>
          <t>Phone</t>
        </is>
      </c>
      <c r="K3511" s="62">
        <f>F3511*(G3511-H3511)</f>
        <v/>
      </c>
      <c r="L3511" s="62">
        <f>K3511-(F3511*I3511)</f>
        <v/>
      </c>
      <c r="M3511" s="64">
        <f>L3511/K3511</f>
        <v/>
      </c>
    </row>
    <row r="3512">
      <c r="A3512" s="58" t="inlineStr">
        <is>
          <t>RT20250331-03511</t>
        </is>
      </c>
      <c r="B3512" s="59" t="inlineStr">
        <is>
          <t>2025-03-31</t>
        </is>
      </c>
      <c r="C3512" s="60" t="inlineStr">
        <is>
          <t>Polar Outdoor Lite-318</t>
        </is>
      </c>
      <c r="D3512" s="58" t="inlineStr">
        <is>
          <t>Sports</t>
        </is>
      </c>
      <c r="E3512" s="58" t="inlineStr">
        <is>
          <t>North</t>
        </is>
      </c>
      <c r="F3512" s="61" t="n">
        <v>3</v>
      </c>
      <c r="G3512" s="62" t="n">
        <v>707.55</v>
      </c>
      <c r="H3512" s="63" t="n">
        <v>0.123</v>
      </c>
      <c r="I3512" s="62" t="n">
        <v>460.43</v>
      </c>
      <c r="J3512" s="58" t="inlineStr">
        <is>
          <t>Online</t>
        </is>
      </c>
      <c r="K3512" s="62">
        <f>F3512*(G3512-H3512)</f>
        <v/>
      </c>
      <c r="L3512" s="62">
        <f>K3512-(F3512*I3512)</f>
        <v/>
      </c>
      <c r="M3512" s="64">
        <f>L3512/K3512</f>
        <v/>
      </c>
    </row>
    <row r="3513">
      <c r="A3513" s="58" t="inlineStr">
        <is>
          <t>RT20250331-03512</t>
        </is>
      </c>
      <c r="B3513" s="59" t="inlineStr">
        <is>
          <t>2025-03-31</t>
        </is>
      </c>
      <c r="C3513" s="60" t="inlineStr">
        <is>
          <t>Aurora Appliance Max-316</t>
        </is>
      </c>
      <c r="D3513" s="58" t="inlineStr">
        <is>
          <t>Home</t>
        </is>
      </c>
      <c r="E3513" s="58" t="inlineStr">
        <is>
          <t>South</t>
        </is>
      </c>
      <c r="F3513" s="61" t="n">
        <v>3</v>
      </c>
      <c r="G3513" s="62" t="n">
        <v>355.44</v>
      </c>
      <c r="H3513" s="63" t="n">
        <v>0.063</v>
      </c>
      <c r="I3513" s="62" t="n">
        <v>208.9</v>
      </c>
      <c r="J3513" s="58" t="inlineStr">
        <is>
          <t>Store</t>
        </is>
      </c>
      <c r="K3513" s="62">
        <f>F3513*(G3513-H3513)</f>
        <v/>
      </c>
      <c r="L3513" s="62">
        <f>K3513-(F3513*I3513)</f>
        <v/>
      </c>
      <c r="M3513" s="64">
        <f>L3513/K3513</f>
        <v/>
      </c>
    </row>
    <row r="3514">
      <c r="A3514" s="58" t="inlineStr">
        <is>
          <t>RT20250331-03513</t>
        </is>
      </c>
      <c r="B3514" s="59" t="inlineStr">
        <is>
          <t>2025-03-31</t>
        </is>
      </c>
      <c r="C3514" s="60" t="inlineStr">
        <is>
          <t>Metro Fragrance Lite-261</t>
        </is>
      </c>
      <c r="D3514" s="58" t="inlineStr">
        <is>
          <t>Beauty</t>
        </is>
      </c>
      <c r="E3514" s="58" t="inlineStr">
        <is>
          <t>East</t>
        </is>
      </c>
      <c r="F3514" s="61" t="n">
        <v>4</v>
      </c>
      <c r="G3514" s="62" t="n">
        <v>78.29000000000001</v>
      </c>
      <c r="H3514" s="63" t="n">
        <v>0.063</v>
      </c>
      <c r="I3514" s="62" t="n">
        <v>54.64</v>
      </c>
      <c r="J3514" s="58" t="inlineStr">
        <is>
          <t>Online</t>
        </is>
      </c>
      <c r="K3514" s="62">
        <f>F3514*(G3514-H3514)</f>
        <v/>
      </c>
      <c r="L3514" s="62">
        <f>K3514-(F3514*I3514)</f>
        <v/>
      </c>
      <c r="M3514" s="64">
        <f>L3514/K3514</f>
        <v/>
      </c>
    </row>
    <row r="3515">
      <c r="A3515" s="58" t="inlineStr">
        <is>
          <t>RT20250401-03514</t>
        </is>
      </c>
      <c r="B3515" s="59" t="inlineStr">
        <is>
          <t>2025-04-01</t>
        </is>
      </c>
      <c r="C3515" s="60" t="inlineStr">
        <is>
          <t>Vertex Supplie X-513</t>
        </is>
      </c>
      <c r="D3515" s="58" t="inlineStr">
        <is>
          <t>Office</t>
        </is>
      </c>
      <c r="E3515" s="58" t="inlineStr">
        <is>
          <t>West</t>
        </is>
      </c>
      <c r="F3515" s="61" t="n">
        <v>2</v>
      </c>
      <c r="G3515" s="62" t="n">
        <v>354.92</v>
      </c>
      <c r="H3515" s="63" t="n">
        <v>0.026</v>
      </c>
      <c r="I3515" s="62" t="n">
        <v>278.36</v>
      </c>
      <c r="J3515" s="58" t="inlineStr">
        <is>
          <t>Online</t>
        </is>
      </c>
      <c r="K3515" s="62">
        <f>F3515*(G3515-H3515)</f>
        <v/>
      </c>
      <c r="L3515" s="62">
        <f>K3515-(F3515*I3515)</f>
        <v/>
      </c>
      <c r="M3515" s="64">
        <f>L3515/K3515</f>
        <v/>
      </c>
    </row>
    <row r="3516">
      <c r="A3516" s="58" t="inlineStr">
        <is>
          <t>RT20250401-03515</t>
        </is>
      </c>
      <c r="B3516" s="59" t="inlineStr">
        <is>
          <t>2025-04-01</t>
        </is>
      </c>
      <c r="C3516" s="60" t="inlineStr">
        <is>
          <t>Vertex Furniture S-652</t>
        </is>
      </c>
      <c r="D3516" s="58" t="inlineStr">
        <is>
          <t>Office</t>
        </is>
      </c>
      <c r="E3516" s="58" t="inlineStr">
        <is>
          <t>Central</t>
        </is>
      </c>
      <c r="F3516" s="61" t="n">
        <v>3</v>
      </c>
      <c r="G3516" s="62" t="n">
        <v>392.34</v>
      </c>
      <c r="H3516" s="63" t="n">
        <v>0.045</v>
      </c>
      <c r="I3516" s="62" t="n">
        <v>267.61</v>
      </c>
      <c r="J3516" s="58" t="inlineStr">
        <is>
          <t>Store</t>
        </is>
      </c>
      <c r="K3516" s="62">
        <f>F3516*(G3516-H3516)</f>
        <v/>
      </c>
      <c r="L3516" s="62">
        <f>K3516-(F3516*I3516)</f>
        <v/>
      </c>
      <c r="M3516" s="64">
        <f>L3516/K3516</f>
        <v/>
      </c>
    </row>
    <row r="3517">
      <c r="A3517" s="58" t="inlineStr">
        <is>
          <t>RT20250401-03516</t>
        </is>
      </c>
      <c r="B3517" s="59" t="inlineStr">
        <is>
          <t>2025-04-01</t>
        </is>
      </c>
      <c r="C3517" s="60" t="inlineStr">
        <is>
          <t>Nimbus Laptop Max-652</t>
        </is>
      </c>
      <c r="D3517" s="58" t="inlineStr">
        <is>
          <t>Electronics</t>
        </is>
      </c>
      <c r="E3517" s="58" t="inlineStr">
        <is>
          <t>East</t>
        </is>
      </c>
      <c r="F3517" s="61" t="n">
        <v>2</v>
      </c>
      <c r="G3517" s="62" t="n">
        <v>1327.9</v>
      </c>
      <c r="H3517" s="63" t="n">
        <v>0.013</v>
      </c>
      <c r="I3517" s="62" t="n">
        <v>1051.83</v>
      </c>
      <c r="J3517" s="58" t="inlineStr">
        <is>
          <t>Online</t>
        </is>
      </c>
      <c r="K3517" s="62">
        <f>F3517*(G3517-H3517)</f>
        <v/>
      </c>
      <c r="L3517" s="62">
        <f>K3517-(F3517*I3517)</f>
        <v/>
      </c>
      <c r="M3517" s="64">
        <f>L3517/K3517</f>
        <v/>
      </c>
    </row>
    <row r="3518">
      <c r="A3518" s="58" t="inlineStr">
        <is>
          <t>RT20250401-03517</t>
        </is>
      </c>
      <c r="B3518" s="59" t="inlineStr">
        <is>
          <t>2025-04-01</t>
        </is>
      </c>
      <c r="C3518" s="60" t="inlineStr">
        <is>
          <t>Aurora Printer Plus-991</t>
        </is>
      </c>
      <c r="D3518" s="58" t="inlineStr">
        <is>
          <t>Office</t>
        </is>
      </c>
      <c r="E3518" s="58" t="inlineStr">
        <is>
          <t>South</t>
        </is>
      </c>
      <c r="F3518" s="61" t="n">
        <v>2</v>
      </c>
      <c r="G3518" s="62" t="n">
        <v>561.28</v>
      </c>
      <c r="H3518" s="63" t="n">
        <v>0.063</v>
      </c>
      <c r="I3518" s="62" t="n">
        <v>368.4</v>
      </c>
      <c r="J3518" s="58" t="inlineStr">
        <is>
          <t>Store</t>
        </is>
      </c>
      <c r="K3518" s="62">
        <f>F3518*(G3518-H3518)</f>
        <v/>
      </c>
      <c r="L3518" s="62">
        <f>K3518-(F3518*I3518)</f>
        <v/>
      </c>
      <c r="M3518" s="64">
        <f>L3518/K3518</f>
        <v/>
      </c>
    </row>
    <row r="3519">
      <c r="A3519" s="58" t="inlineStr">
        <is>
          <t>RT20250401-03518</t>
        </is>
      </c>
      <c r="B3519" s="59" t="inlineStr">
        <is>
          <t>2025-04-01</t>
        </is>
      </c>
      <c r="C3519" s="60" t="inlineStr">
        <is>
          <t>Vertex Furniture S-652</t>
        </is>
      </c>
      <c r="D3519" s="58" t="inlineStr">
        <is>
          <t>Office</t>
        </is>
      </c>
      <c r="E3519" s="58" t="inlineStr">
        <is>
          <t>West</t>
        </is>
      </c>
      <c r="F3519" s="61" t="n">
        <v>2</v>
      </c>
      <c r="G3519" s="62" t="n">
        <v>392.46</v>
      </c>
      <c r="H3519" s="63" t="n">
        <v>0.078</v>
      </c>
      <c r="I3519" s="62" t="n">
        <v>263.49</v>
      </c>
      <c r="J3519" s="58" t="inlineStr">
        <is>
          <t>Online</t>
        </is>
      </c>
      <c r="K3519" s="62">
        <f>F3519*(G3519-H3519)</f>
        <v/>
      </c>
      <c r="L3519" s="62">
        <f>K3519-(F3519*I3519)</f>
        <v/>
      </c>
      <c r="M3519" s="64">
        <f>L3519/K3519</f>
        <v/>
      </c>
    </row>
    <row r="3520">
      <c r="A3520" s="58" t="inlineStr">
        <is>
          <t>RT20250401-03519</t>
        </is>
      </c>
      <c r="B3520" s="59" t="inlineStr">
        <is>
          <t>2025-04-01</t>
        </is>
      </c>
      <c r="C3520" s="60" t="inlineStr">
        <is>
          <t>Solace Laptop S-367</t>
        </is>
      </c>
      <c r="D3520" s="58" t="inlineStr">
        <is>
          <t>Electronics</t>
        </is>
      </c>
      <c r="E3520" s="58" t="inlineStr">
        <is>
          <t>East</t>
        </is>
      </c>
      <c r="F3520" s="61" t="n">
        <v>2</v>
      </c>
      <c r="G3520" s="62" t="n">
        <v>2027.38</v>
      </c>
      <c r="H3520" s="63" t="n">
        <v>0.095</v>
      </c>
      <c r="I3520" s="62" t="n">
        <v>1526.77</v>
      </c>
      <c r="J3520" s="58" t="inlineStr">
        <is>
          <t>Store</t>
        </is>
      </c>
      <c r="K3520" s="62">
        <f>F3520*(G3520-H3520)</f>
        <v/>
      </c>
      <c r="L3520" s="62">
        <f>K3520-(F3520*I3520)</f>
        <v/>
      </c>
      <c r="M3520" s="64">
        <f>L3520/K3520</f>
        <v/>
      </c>
    </row>
    <row r="3521">
      <c r="A3521" s="58" t="inlineStr">
        <is>
          <t>RT20250401-03520</t>
        </is>
      </c>
      <c r="B3521" s="59" t="inlineStr">
        <is>
          <t>2025-04-01</t>
        </is>
      </c>
      <c r="C3521" s="60" t="inlineStr">
        <is>
          <t>Polar Pantry Lite-392</t>
        </is>
      </c>
      <c r="D3521" s="58" t="inlineStr">
        <is>
          <t>Grocery</t>
        </is>
      </c>
      <c r="E3521" s="58" t="inlineStr">
        <is>
          <t>North</t>
        </is>
      </c>
      <c r="F3521" s="61" t="n">
        <v>4</v>
      </c>
      <c r="G3521" s="62" t="n">
        <v>6.48</v>
      </c>
      <c r="H3521" s="63" t="n">
        <v>0.054</v>
      </c>
      <c r="I3521" s="62" t="n">
        <v>4.57</v>
      </c>
      <c r="J3521" s="58" t="inlineStr">
        <is>
          <t>Online</t>
        </is>
      </c>
      <c r="K3521" s="62">
        <f>F3521*(G3521-H3521)</f>
        <v/>
      </c>
      <c r="L3521" s="62">
        <f>K3521-(F3521*I3521)</f>
        <v/>
      </c>
      <c r="M3521" s="64">
        <f>L3521/K3521</f>
        <v/>
      </c>
    </row>
    <row r="3522">
      <c r="A3522" s="58" t="inlineStr">
        <is>
          <t>RT20250401-03521</t>
        </is>
      </c>
      <c r="B3522" s="59" t="inlineStr">
        <is>
          <t>2025-04-01</t>
        </is>
      </c>
      <c r="C3522" s="60" t="inlineStr">
        <is>
          <t>Falcon Storage X-734</t>
        </is>
      </c>
      <c r="D3522" s="58" t="inlineStr">
        <is>
          <t>Office</t>
        </is>
      </c>
      <c r="E3522" s="58" t="inlineStr">
        <is>
          <t>Central</t>
        </is>
      </c>
      <c r="F3522" s="61" t="n">
        <v>3</v>
      </c>
      <c r="G3522" s="62" t="n">
        <v>407.76</v>
      </c>
      <c r="H3522" s="63" t="n">
        <v>0.044</v>
      </c>
      <c r="I3522" s="62" t="n">
        <v>282.74</v>
      </c>
      <c r="J3522" s="58" t="inlineStr">
        <is>
          <t>Store</t>
        </is>
      </c>
      <c r="K3522" s="62">
        <f>F3522*(G3522-H3522)</f>
        <v/>
      </c>
      <c r="L3522" s="62">
        <f>K3522-(F3522*I3522)</f>
        <v/>
      </c>
      <c r="M3522" s="64">
        <f>L3522/K3522</f>
        <v/>
      </c>
    </row>
    <row r="3523">
      <c r="A3523" s="58" t="inlineStr">
        <is>
          <t>RT20250401-03522</t>
        </is>
      </c>
      <c r="B3523" s="59" t="inlineStr">
        <is>
          <t>2025-04-01</t>
        </is>
      </c>
      <c r="C3523" s="60" t="inlineStr">
        <is>
          <t>Aurora Wearable Lite-162</t>
        </is>
      </c>
      <c r="D3523" s="58" t="inlineStr">
        <is>
          <t>Electronics</t>
        </is>
      </c>
      <c r="E3523" s="58" t="inlineStr">
        <is>
          <t>South</t>
        </is>
      </c>
      <c r="F3523" s="61" t="n">
        <v>2</v>
      </c>
      <c r="G3523" s="62" t="n">
        <v>1607.5</v>
      </c>
      <c r="H3523" s="63" t="n">
        <v>0.057</v>
      </c>
      <c r="I3523" s="62" t="n">
        <v>1209.4</v>
      </c>
      <c r="J3523" s="58" t="inlineStr">
        <is>
          <t>Store</t>
        </is>
      </c>
      <c r="K3523" s="62">
        <f>F3523*(G3523-H3523)</f>
        <v/>
      </c>
      <c r="L3523" s="62">
        <f>K3523-(F3523*I3523)</f>
        <v/>
      </c>
      <c r="M3523" s="64">
        <f>L3523/K3523</f>
        <v/>
      </c>
    </row>
    <row r="3524">
      <c r="A3524" s="58" t="inlineStr">
        <is>
          <t>RT20250401-03523</t>
        </is>
      </c>
      <c r="B3524" s="59" t="inlineStr">
        <is>
          <t>2025-04-01</t>
        </is>
      </c>
      <c r="C3524" s="60" t="inlineStr">
        <is>
          <t>Nimbus Storage Plus-646</t>
        </is>
      </c>
      <c r="D3524" s="58" t="inlineStr">
        <is>
          <t>Office</t>
        </is>
      </c>
      <c r="E3524" s="58" t="inlineStr">
        <is>
          <t>West</t>
        </is>
      </c>
      <c r="F3524" s="61" t="n">
        <v>2</v>
      </c>
      <c r="G3524" s="62" t="n">
        <v>474.49</v>
      </c>
      <c r="H3524" s="63" t="n">
        <v>0.064</v>
      </c>
      <c r="I3524" s="62" t="n">
        <v>315.56</v>
      </c>
      <c r="J3524" s="58" t="inlineStr">
        <is>
          <t>Store</t>
        </is>
      </c>
      <c r="K3524" s="62">
        <f>F3524*(G3524-H3524)</f>
        <v/>
      </c>
      <c r="L3524" s="62">
        <f>K3524-(F3524*I3524)</f>
        <v/>
      </c>
      <c r="M3524" s="64">
        <f>L3524/K3524</f>
        <v/>
      </c>
    </row>
    <row r="3525">
      <c r="A3525" s="58" t="inlineStr">
        <is>
          <t>RT20250401-03524</t>
        </is>
      </c>
      <c r="B3525" s="59" t="inlineStr">
        <is>
          <t>2025-04-01</t>
        </is>
      </c>
      <c r="C3525" s="60" t="inlineStr">
        <is>
          <t>Falcon Cycling Pro-499</t>
        </is>
      </c>
      <c r="D3525" s="58" t="inlineStr">
        <is>
          <t>Sports</t>
        </is>
      </c>
      <c r="E3525" s="58" t="inlineStr">
        <is>
          <t>South</t>
        </is>
      </c>
      <c r="F3525" s="61" t="n">
        <v>2</v>
      </c>
      <c r="G3525" s="62" t="n">
        <v>583.12</v>
      </c>
      <c r="H3525" s="63" t="n">
        <v>0.074</v>
      </c>
      <c r="I3525" s="62" t="n">
        <v>410.8</v>
      </c>
      <c r="J3525" s="58" t="inlineStr">
        <is>
          <t>Store</t>
        </is>
      </c>
      <c r="K3525" s="62">
        <f>F3525*(G3525-H3525)</f>
        <v/>
      </c>
      <c r="L3525" s="62">
        <f>K3525-(F3525*I3525)</f>
        <v/>
      </c>
      <c r="M3525" s="64">
        <f>L3525/K3525</f>
        <v/>
      </c>
    </row>
    <row r="3526">
      <c r="A3526" s="58" t="inlineStr">
        <is>
          <t>RT20250401-03525</t>
        </is>
      </c>
      <c r="B3526" s="59" t="inlineStr">
        <is>
          <t>2025-04-01</t>
        </is>
      </c>
      <c r="C3526" s="60" t="inlineStr">
        <is>
          <t>Falcon Team Sport Lite-268</t>
        </is>
      </c>
      <c r="D3526" s="58" t="inlineStr">
        <is>
          <t>Sports</t>
        </is>
      </c>
      <c r="E3526" s="58" t="inlineStr">
        <is>
          <t>West</t>
        </is>
      </c>
      <c r="F3526" s="61" t="n">
        <v>3</v>
      </c>
      <c r="G3526" s="62" t="n">
        <v>660.38</v>
      </c>
      <c r="H3526" s="63" t="n">
        <v>0.093</v>
      </c>
      <c r="I3526" s="62" t="n">
        <v>446.78</v>
      </c>
      <c r="J3526" s="58" t="inlineStr">
        <is>
          <t>Online</t>
        </is>
      </c>
      <c r="K3526" s="62">
        <f>F3526*(G3526-H3526)</f>
        <v/>
      </c>
      <c r="L3526" s="62">
        <f>K3526-(F3526*I3526)</f>
        <v/>
      </c>
      <c r="M3526" s="64">
        <f>L3526/K3526</f>
        <v/>
      </c>
    </row>
    <row r="3527">
      <c r="A3527" s="58" t="inlineStr">
        <is>
          <t>RT20250401-03526</t>
        </is>
      </c>
      <c r="B3527" s="59" t="inlineStr">
        <is>
          <t>2025-04-01</t>
        </is>
      </c>
      <c r="C3527" s="60" t="inlineStr">
        <is>
          <t>Falcon Household Plus-796</t>
        </is>
      </c>
      <c r="D3527" s="58" t="inlineStr">
        <is>
          <t>Grocery</t>
        </is>
      </c>
      <c r="E3527" s="58" t="inlineStr">
        <is>
          <t>West</t>
        </is>
      </c>
      <c r="F3527" s="61" t="n">
        <v>5</v>
      </c>
      <c r="G3527" s="62" t="n">
        <v>22.59</v>
      </c>
      <c r="H3527" s="63" t="n">
        <v>0.054</v>
      </c>
      <c r="I3527" s="62" t="n">
        <v>17.82</v>
      </c>
      <c r="J3527" s="58" t="inlineStr">
        <is>
          <t>Store</t>
        </is>
      </c>
      <c r="K3527" s="62">
        <f>F3527*(G3527-H3527)</f>
        <v/>
      </c>
      <c r="L3527" s="62">
        <f>K3527-(F3527*I3527)</f>
        <v/>
      </c>
      <c r="M3527" s="64">
        <f>L3527/K3527</f>
        <v/>
      </c>
    </row>
    <row r="3528">
      <c r="A3528" s="58" t="inlineStr">
        <is>
          <t>RT20250401-03527</t>
        </is>
      </c>
      <c r="B3528" s="59" t="inlineStr">
        <is>
          <t>2025-04-01</t>
        </is>
      </c>
      <c r="C3528" s="60" t="inlineStr">
        <is>
          <t>Aurora Fitnes Lite-194</t>
        </is>
      </c>
      <c r="D3528" s="58" t="inlineStr">
        <is>
          <t>Sports</t>
        </is>
      </c>
      <c r="E3528" s="58" t="inlineStr">
        <is>
          <t>East</t>
        </is>
      </c>
      <c r="F3528" s="61" t="n">
        <v>2</v>
      </c>
      <c r="G3528" s="62" t="n">
        <v>657.72</v>
      </c>
      <c r="H3528" s="63" t="n">
        <v>0.022</v>
      </c>
      <c r="I3528" s="62" t="n">
        <v>467.87</v>
      </c>
      <c r="J3528" s="58" t="inlineStr">
        <is>
          <t>Online</t>
        </is>
      </c>
      <c r="K3528" s="62">
        <f>F3528*(G3528-H3528)</f>
        <v/>
      </c>
      <c r="L3528" s="62">
        <f>K3528-(F3528*I3528)</f>
        <v/>
      </c>
      <c r="M3528" s="64">
        <f>L3528/K3528</f>
        <v/>
      </c>
    </row>
    <row r="3529">
      <c r="A3529" s="58" t="inlineStr">
        <is>
          <t>RT20250401-03528</t>
        </is>
      </c>
      <c r="B3529" s="59" t="inlineStr">
        <is>
          <t>2025-04-01</t>
        </is>
      </c>
      <c r="C3529" s="60" t="inlineStr">
        <is>
          <t>Falcon Team Sport Lite-268</t>
        </is>
      </c>
      <c r="D3529" s="58" t="inlineStr">
        <is>
          <t>Sports</t>
        </is>
      </c>
      <c r="E3529" s="58" t="inlineStr">
        <is>
          <t>East</t>
        </is>
      </c>
      <c r="F3529" s="61" t="n">
        <v>1</v>
      </c>
      <c r="G3529" s="62" t="n">
        <v>699.46</v>
      </c>
      <c r="H3529" s="63" t="n">
        <v>0.061</v>
      </c>
      <c r="I3529" s="62" t="n">
        <v>421.27</v>
      </c>
      <c r="J3529" s="58" t="inlineStr">
        <is>
          <t>Online</t>
        </is>
      </c>
      <c r="K3529" s="62">
        <f>F3529*(G3529-H3529)</f>
        <v/>
      </c>
      <c r="L3529" s="62">
        <f>K3529-(F3529*I3529)</f>
        <v/>
      </c>
      <c r="M3529" s="64">
        <f>L3529/K3529</f>
        <v/>
      </c>
    </row>
    <row r="3530">
      <c r="A3530" s="58" t="inlineStr">
        <is>
          <t>RT20250401-03529</t>
        </is>
      </c>
      <c r="B3530" s="59" t="inlineStr">
        <is>
          <t>2025-04-01</t>
        </is>
      </c>
      <c r="C3530" s="60" t="inlineStr">
        <is>
          <t>Solace Headphone Pro-344</t>
        </is>
      </c>
      <c r="D3530" s="58" t="inlineStr">
        <is>
          <t>Electronics</t>
        </is>
      </c>
      <c r="E3530" s="58" t="inlineStr">
        <is>
          <t>East</t>
        </is>
      </c>
      <c r="F3530" s="61" t="n">
        <v>1</v>
      </c>
      <c r="G3530" s="62" t="n">
        <v>1401.23</v>
      </c>
      <c r="H3530" s="63" t="n">
        <v>0.031</v>
      </c>
      <c r="I3530" s="62" t="n">
        <v>1088.54</v>
      </c>
      <c r="J3530" s="58" t="inlineStr">
        <is>
          <t>Store</t>
        </is>
      </c>
      <c r="K3530" s="62">
        <f>F3530*(G3530-H3530)</f>
        <v/>
      </c>
      <c r="L3530" s="62">
        <f>K3530-(F3530*I3530)</f>
        <v/>
      </c>
      <c r="M3530" s="64">
        <f>L3530/K3530</f>
        <v/>
      </c>
    </row>
    <row r="3531">
      <c r="A3531" s="58" t="inlineStr">
        <is>
          <t>RT20250401-03530</t>
        </is>
      </c>
      <c r="B3531" s="59" t="inlineStr">
        <is>
          <t>2025-04-01</t>
        </is>
      </c>
      <c r="C3531" s="60" t="inlineStr">
        <is>
          <t>Solace Kitchen X-919</t>
        </is>
      </c>
      <c r="D3531" s="58" t="inlineStr">
        <is>
          <t>Home</t>
        </is>
      </c>
      <c r="E3531" s="58" t="inlineStr">
        <is>
          <t>East</t>
        </is>
      </c>
      <c r="F3531" s="61" t="n">
        <v>2</v>
      </c>
      <c r="G3531" s="62" t="n">
        <v>428.17</v>
      </c>
      <c r="H3531" s="63" t="n">
        <v>0.08699999999999999</v>
      </c>
      <c r="I3531" s="62" t="n">
        <v>261.66</v>
      </c>
      <c r="J3531" s="58" t="inlineStr">
        <is>
          <t>Store</t>
        </is>
      </c>
      <c r="K3531" s="62">
        <f>F3531*(G3531-H3531)</f>
        <v/>
      </c>
      <c r="L3531" s="62">
        <f>K3531-(F3531*I3531)</f>
        <v/>
      </c>
      <c r="M3531" s="64">
        <f>L3531/K3531</f>
        <v/>
      </c>
    </row>
    <row r="3532">
      <c r="A3532" s="58" t="inlineStr">
        <is>
          <t>RT20250401-03531</t>
        </is>
      </c>
      <c r="B3532" s="59" t="inlineStr">
        <is>
          <t>2025-04-01</t>
        </is>
      </c>
      <c r="C3532" s="60" t="inlineStr">
        <is>
          <t>Nimbus Laptop Max-652</t>
        </is>
      </c>
      <c r="D3532" s="58" t="inlineStr">
        <is>
          <t>Electronics</t>
        </is>
      </c>
      <c r="E3532" s="58" t="inlineStr">
        <is>
          <t>South</t>
        </is>
      </c>
      <c r="F3532" s="61" t="n">
        <v>1</v>
      </c>
      <c r="G3532" s="62" t="n">
        <v>1283.82</v>
      </c>
      <c r="H3532" s="63" t="n">
        <v>0.062</v>
      </c>
      <c r="I3532" s="62" t="n">
        <v>1063.42</v>
      </c>
      <c r="J3532" s="58" t="inlineStr">
        <is>
          <t>Online</t>
        </is>
      </c>
      <c r="K3532" s="62">
        <f>F3532*(G3532-H3532)</f>
        <v/>
      </c>
      <c r="L3532" s="62">
        <f>K3532-(F3532*I3532)</f>
        <v/>
      </c>
      <c r="M3532" s="64">
        <f>L3532/K3532</f>
        <v/>
      </c>
    </row>
    <row r="3533">
      <c r="A3533" s="58" t="inlineStr">
        <is>
          <t>RT20250401-03532</t>
        </is>
      </c>
      <c r="B3533" s="59" t="inlineStr">
        <is>
          <t>2025-04-01</t>
        </is>
      </c>
      <c r="C3533" s="60" t="inlineStr">
        <is>
          <t>Orion Snack X-322</t>
        </is>
      </c>
      <c r="D3533" s="58" t="inlineStr">
        <is>
          <t>Grocery</t>
        </is>
      </c>
      <c r="E3533" s="58" t="inlineStr">
        <is>
          <t>North</t>
        </is>
      </c>
      <c r="F3533" s="61" t="n">
        <v>8</v>
      </c>
      <c r="G3533" s="62" t="n">
        <v>12.85</v>
      </c>
      <c r="H3533" s="63" t="n">
        <v>0.1</v>
      </c>
      <c r="I3533" s="62" t="n">
        <v>10.09</v>
      </c>
      <c r="J3533" s="58" t="inlineStr">
        <is>
          <t>Online</t>
        </is>
      </c>
      <c r="K3533" s="62">
        <f>F3533*(G3533-H3533)</f>
        <v/>
      </c>
      <c r="L3533" s="62">
        <f>K3533-(F3533*I3533)</f>
        <v/>
      </c>
      <c r="M3533" s="64">
        <f>L3533/K3533</f>
        <v/>
      </c>
    </row>
    <row r="3534">
      <c r="A3534" s="58" t="inlineStr">
        <is>
          <t>RT20250401-03533</t>
        </is>
      </c>
      <c r="B3534" s="59" t="inlineStr">
        <is>
          <t>2025-04-01</t>
        </is>
      </c>
      <c r="C3534" s="60" t="inlineStr">
        <is>
          <t>Solace Makeup Pro-214</t>
        </is>
      </c>
      <c r="D3534" s="58" t="inlineStr">
        <is>
          <t>Beauty</t>
        </is>
      </c>
      <c r="E3534" s="58" t="inlineStr">
        <is>
          <t>East</t>
        </is>
      </c>
      <c r="F3534" s="61" t="n">
        <v>4</v>
      </c>
      <c r="G3534" s="62" t="n">
        <v>114.8</v>
      </c>
      <c r="H3534" s="63" t="n">
        <v>0.048</v>
      </c>
      <c r="I3534" s="62" t="n">
        <v>68.47</v>
      </c>
      <c r="J3534" s="58" t="inlineStr">
        <is>
          <t>Phone</t>
        </is>
      </c>
      <c r="K3534" s="62">
        <f>F3534*(G3534-H3534)</f>
        <v/>
      </c>
      <c r="L3534" s="62">
        <f>K3534-(F3534*I3534)</f>
        <v/>
      </c>
      <c r="M3534" s="64">
        <f>L3534/K3534</f>
        <v/>
      </c>
    </row>
    <row r="3535">
      <c r="A3535" s="58" t="inlineStr">
        <is>
          <t>RT20250401-03534</t>
        </is>
      </c>
      <c r="B3535" s="59" t="inlineStr">
        <is>
          <t>2025-04-01</t>
        </is>
      </c>
      <c r="C3535" s="60" t="inlineStr">
        <is>
          <t>Nimbus Fitnes Lite-516</t>
        </is>
      </c>
      <c r="D3535" s="58" t="inlineStr">
        <is>
          <t>Sports</t>
        </is>
      </c>
      <c r="E3535" s="58" t="inlineStr">
        <is>
          <t>West</t>
        </is>
      </c>
      <c r="F3535" s="61" t="n">
        <v>3</v>
      </c>
      <c r="G3535" s="62" t="n">
        <v>718.29</v>
      </c>
      <c r="H3535" s="63" t="n">
        <v>0.073</v>
      </c>
      <c r="I3535" s="62" t="n">
        <v>463.93</v>
      </c>
      <c r="J3535" s="58" t="inlineStr">
        <is>
          <t>Online</t>
        </is>
      </c>
      <c r="K3535" s="62">
        <f>F3535*(G3535-H3535)</f>
        <v/>
      </c>
      <c r="L3535" s="62">
        <f>K3535-(F3535*I3535)</f>
        <v/>
      </c>
      <c r="M3535" s="64">
        <f>L3535/K3535</f>
        <v/>
      </c>
    </row>
    <row r="3536">
      <c r="A3536" s="58" t="inlineStr">
        <is>
          <t>RT20250401-03535</t>
        </is>
      </c>
      <c r="B3536" s="59" t="inlineStr">
        <is>
          <t>2025-04-01</t>
        </is>
      </c>
      <c r="C3536" s="60" t="inlineStr">
        <is>
          <t>Falcon Storage X-734</t>
        </is>
      </c>
      <c r="D3536" s="58" t="inlineStr">
        <is>
          <t>Office</t>
        </is>
      </c>
      <c r="E3536" s="58" t="inlineStr">
        <is>
          <t>East</t>
        </is>
      </c>
      <c r="F3536" s="61" t="n">
        <v>1</v>
      </c>
      <c r="G3536" s="62" t="n">
        <v>432.65</v>
      </c>
      <c r="H3536" s="63" t="n">
        <v>0.08799999999999999</v>
      </c>
      <c r="I3536" s="62" t="n">
        <v>277.24</v>
      </c>
      <c r="J3536" s="58" t="inlineStr">
        <is>
          <t>Online</t>
        </is>
      </c>
      <c r="K3536" s="62">
        <f>F3536*(G3536-H3536)</f>
        <v/>
      </c>
      <c r="L3536" s="62">
        <f>K3536-(F3536*I3536)</f>
        <v/>
      </c>
      <c r="M3536" s="64">
        <f>L3536/K3536</f>
        <v/>
      </c>
    </row>
    <row r="3537">
      <c r="A3537" s="58" t="inlineStr">
        <is>
          <t>RT20250401-03536</t>
        </is>
      </c>
      <c r="B3537" s="59" t="inlineStr">
        <is>
          <t>2025-04-01</t>
        </is>
      </c>
      <c r="C3537" s="60" t="inlineStr">
        <is>
          <t>Solace Team Sport Max-548</t>
        </is>
      </c>
      <c r="D3537" s="58" t="inlineStr">
        <is>
          <t>Sports</t>
        </is>
      </c>
      <c r="E3537" s="58" t="inlineStr">
        <is>
          <t>West</t>
        </is>
      </c>
      <c r="F3537" s="61" t="n">
        <v>2</v>
      </c>
      <c r="G3537" s="62" t="n">
        <v>646.24</v>
      </c>
      <c r="H3537" s="63" t="n">
        <v>0.075</v>
      </c>
      <c r="I3537" s="62" t="n">
        <v>493.86</v>
      </c>
      <c r="J3537" s="58" t="inlineStr">
        <is>
          <t>Online</t>
        </is>
      </c>
      <c r="K3537" s="62">
        <f>F3537*(G3537-H3537)</f>
        <v/>
      </c>
      <c r="L3537" s="62">
        <f>K3537-(F3537*I3537)</f>
        <v/>
      </c>
      <c r="M3537" s="64">
        <f>L3537/K3537</f>
        <v/>
      </c>
    </row>
    <row r="3538">
      <c r="A3538" s="58" t="inlineStr">
        <is>
          <t>RT20250401-03537</t>
        </is>
      </c>
      <c r="B3538" s="59" t="inlineStr">
        <is>
          <t>2025-04-01</t>
        </is>
      </c>
      <c r="C3538" s="60" t="inlineStr">
        <is>
          <t>Aurora Haircare S-975</t>
        </is>
      </c>
      <c r="D3538" s="58" t="inlineStr">
        <is>
          <t>Beauty</t>
        </is>
      </c>
      <c r="E3538" s="58" t="inlineStr">
        <is>
          <t>Central</t>
        </is>
      </c>
      <c r="F3538" s="61" t="n">
        <v>1</v>
      </c>
      <c r="G3538" s="62" t="n">
        <v>113.27</v>
      </c>
      <c r="H3538" s="63" t="n">
        <v>0.09</v>
      </c>
      <c r="I3538" s="62" t="n">
        <v>59.86</v>
      </c>
      <c r="J3538" s="58" t="inlineStr">
        <is>
          <t>Store</t>
        </is>
      </c>
      <c r="K3538" s="62">
        <f>F3538*(G3538-H3538)</f>
        <v/>
      </c>
      <c r="L3538" s="62">
        <f>K3538-(F3538*I3538)</f>
        <v/>
      </c>
      <c r="M3538" s="64">
        <f>L3538/K3538</f>
        <v/>
      </c>
    </row>
    <row r="3539">
      <c r="A3539" s="58" t="inlineStr">
        <is>
          <t>RT20250401-03538</t>
        </is>
      </c>
      <c r="B3539" s="59" t="inlineStr">
        <is>
          <t>2025-04-01</t>
        </is>
      </c>
      <c r="C3539" s="60" t="inlineStr">
        <is>
          <t>Aurora Skincare Max-798</t>
        </is>
      </c>
      <c r="D3539" s="58" t="inlineStr">
        <is>
          <t>Beauty</t>
        </is>
      </c>
      <c r="E3539" s="58" t="inlineStr">
        <is>
          <t>East</t>
        </is>
      </c>
      <c r="F3539" s="61" t="n">
        <v>5</v>
      </c>
      <c r="G3539" s="62" t="n">
        <v>119.68</v>
      </c>
      <c r="H3539" s="63" t="n">
        <v>0.047</v>
      </c>
      <c r="I3539" s="62" t="n">
        <v>69.86</v>
      </c>
      <c r="J3539" s="58" t="inlineStr">
        <is>
          <t>Online</t>
        </is>
      </c>
      <c r="K3539" s="62">
        <f>F3539*(G3539-H3539)</f>
        <v/>
      </c>
      <c r="L3539" s="62">
        <f>K3539-(F3539*I3539)</f>
        <v/>
      </c>
      <c r="M3539" s="64">
        <f>L3539/K3539</f>
        <v/>
      </c>
    </row>
    <row r="3540">
      <c r="A3540" s="58" t="inlineStr">
        <is>
          <t>RT20250401-03539</t>
        </is>
      </c>
      <c r="B3540" s="59" t="inlineStr">
        <is>
          <t>2025-04-01</t>
        </is>
      </c>
      <c r="C3540" s="60" t="inlineStr">
        <is>
          <t>Polar Snack Pro-641</t>
        </is>
      </c>
      <c r="D3540" s="58" t="inlineStr">
        <is>
          <t>Grocery</t>
        </is>
      </c>
      <c r="E3540" s="58" t="inlineStr">
        <is>
          <t>East</t>
        </is>
      </c>
      <c r="F3540" s="61" t="n">
        <v>5</v>
      </c>
      <c r="G3540" s="62" t="n">
        <v>13.23</v>
      </c>
      <c r="H3540" s="63" t="n">
        <v>0.101</v>
      </c>
      <c r="I3540" s="62" t="n">
        <v>9.27</v>
      </c>
      <c r="J3540" s="58" t="inlineStr">
        <is>
          <t>Online</t>
        </is>
      </c>
      <c r="K3540" s="62">
        <f>F3540*(G3540-H3540)</f>
        <v/>
      </c>
      <c r="L3540" s="62">
        <f>K3540-(F3540*I3540)</f>
        <v/>
      </c>
      <c r="M3540" s="64">
        <f>L3540/K3540</f>
        <v/>
      </c>
    </row>
    <row r="3541">
      <c r="A3541" s="58" t="inlineStr">
        <is>
          <t>RT20250401-03540</t>
        </is>
      </c>
      <c r="B3541" s="59" t="inlineStr">
        <is>
          <t>2025-04-01</t>
        </is>
      </c>
      <c r="C3541" s="60" t="inlineStr">
        <is>
          <t>Solace Kitchen Pro-999</t>
        </is>
      </c>
      <c r="D3541" s="58" t="inlineStr">
        <is>
          <t>Home</t>
        </is>
      </c>
      <c r="E3541" s="58" t="inlineStr">
        <is>
          <t>South</t>
        </is>
      </c>
      <c r="F3541" s="61" t="n">
        <v>3</v>
      </c>
      <c r="G3541" s="62" t="n">
        <v>369.8</v>
      </c>
      <c r="H3541" s="63" t="n">
        <v>0.074</v>
      </c>
      <c r="I3541" s="62" t="n">
        <v>271.1</v>
      </c>
      <c r="J3541" s="58" t="inlineStr">
        <is>
          <t>Store</t>
        </is>
      </c>
      <c r="K3541" s="62">
        <f>F3541*(G3541-H3541)</f>
        <v/>
      </c>
      <c r="L3541" s="62">
        <f>K3541-(F3541*I3541)</f>
        <v/>
      </c>
      <c r="M3541" s="64">
        <f>L3541/K3541</f>
        <v/>
      </c>
    </row>
    <row r="3542">
      <c r="A3542" s="58" t="inlineStr">
        <is>
          <t>RT20250401-03541</t>
        </is>
      </c>
      <c r="B3542" s="59" t="inlineStr">
        <is>
          <t>2025-04-01</t>
        </is>
      </c>
      <c r="C3542" s="60" t="inlineStr">
        <is>
          <t>Falcon Accessorie S-195</t>
        </is>
      </c>
      <c r="D3542" s="58" t="inlineStr">
        <is>
          <t>Apparel</t>
        </is>
      </c>
      <c r="E3542" s="58" t="inlineStr">
        <is>
          <t>West</t>
        </is>
      </c>
      <c r="F3542" s="61" t="n">
        <v>2</v>
      </c>
      <c r="G3542" s="62" t="n">
        <v>75.69</v>
      </c>
      <c r="H3542" s="63" t="n">
        <v>0</v>
      </c>
      <c r="I3542" s="62" t="n">
        <v>43.25</v>
      </c>
      <c r="J3542" s="58" t="inlineStr">
        <is>
          <t>Online</t>
        </is>
      </c>
      <c r="K3542" s="62">
        <f>F3542*(G3542-H3542)</f>
        <v/>
      </c>
      <c r="L3542" s="62">
        <f>K3542-(F3542*I3542)</f>
        <v/>
      </c>
      <c r="M3542" s="64">
        <f>L3542/K3542</f>
        <v/>
      </c>
    </row>
    <row r="3543">
      <c r="A3543" s="58" t="inlineStr">
        <is>
          <t>RT20250401-03542</t>
        </is>
      </c>
      <c r="B3543" s="59" t="inlineStr">
        <is>
          <t>2025-04-01</t>
        </is>
      </c>
      <c r="C3543" s="60" t="inlineStr">
        <is>
          <t>Polar Cycling X-649</t>
        </is>
      </c>
      <c r="D3543" s="58" t="inlineStr">
        <is>
          <t>Sports</t>
        </is>
      </c>
      <c r="E3543" s="58" t="inlineStr">
        <is>
          <t>East</t>
        </is>
      </c>
      <c r="F3543" s="61" t="n">
        <v>3</v>
      </c>
      <c r="G3543" s="62" t="n">
        <v>510.74</v>
      </c>
      <c r="H3543" s="63" t="n">
        <v>0.075</v>
      </c>
      <c r="I3543" s="62" t="n">
        <v>369.54</v>
      </c>
      <c r="J3543" s="58" t="inlineStr">
        <is>
          <t>Online</t>
        </is>
      </c>
      <c r="K3543" s="62">
        <f>F3543*(G3543-H3543)</f>
        <v/>
      </c>
      <c r="L3543" s="62">
        <f>K3543-(F3543*I3543)</f>
        <v/>
      </c>
      <c r="M3543" s="64">
        <f>L3543/K3543</f>
        <v/>
      </c>
    </row>
    <row r="3544">
      <c r="A3544" s="58" t="inlineStr">
        <is>
          <t>RT20250402-03543</t>
        </is>
      </c>
      <c r="B3544" s="59" t="inlineStr">
        <is>
          <t>2025-04-02</t>
        </is>
      </c>
      <c r="C3544" s="60" t="inlineStr">
        <is>
          <t>Aurora Bedding Max-175</t>
        </is>
      </c>
      <c r="D3544" s="58" t="inlineStr">
        <is>
          <t>Home</t>
        </is>
      </c>
      <c r="E3544" s="58" t="inlineStr">
        <is>
          <t>South</t>
        </is>
      </c>
      <c r="F3544" s="61" t="n">
        <v>2</v>
      </c>
      <c r="G3544" s="62" t="n">
        <v>572.5</v>
      </c>
      <c r="H3544" s="63" t="n">
        <v>0.109</v>
      </c>
      <c r="I3544" s="62" t="n">
        <v>402.81</v>
      </c>
      <c r="J3544" s="58" t="inlineStr">
        <is>
          <t>Online</t>
        </is>
      </c>
      <c r="K3544" s="62">
        <f>F3544*(G3544-H3544)</f>
        <v/>
      </c>
      <c r="L3544" s="62">
        <f>K3544-(F3544*I3544)</f>
        <v/>
      </c>
      <c r="M3544" s="64">
        <f>L3544/K3544</f>
        <v/>
      </c>
    </row>
    <row r="3545">
      <c r="A3545" s="58" t="inlineStr">
        <is>
          <t>RT20250402-03544</t>
        </is>
      </c>
      <c r="B3545" s="59" t="inlineStr">
        <is>
          <t>2025-04-02</t>
        </is>
      </c>
      <c r="C3545" s="60" t="inlineStr">
        <is>
          <t>Vertex Supplie Pro-786</t>
        </is>
      </c>
      <c r="D3545" s="58" t="inlineStr">
        <is>
          <t>Office</t>
        </is>
      </c>
      <c r="E3545" s="58" t="inlineStr">
        <is>
          <t>Central</t>
        </is>
      </c>
      <c r="F3545" s="61" t="n">
        <v>3</v>
      </c>
      <c r="G3545" s="62" t="n">
        <v>388.42</v>
      </c>
      <c r="H3545" s="63" t="n">
        <v>0.045</v>
      </c>
      <c r="I3545" s="62" t="n">
        <v>297.42</v>
      </c>
      <c r="J3545" s="58" t="inlineStr">
        <is>
          <t>Online</t>
        </is>
      </c>
      <c r="K3545" s="62">
        <f>F3545*(G3545-H3545)</f>
        <v/>
      </c>
      <c r="L3545" s="62">
        <f>K3545-(F3545*I3545)</f>
        <v/>
      </c>
      <c r="M3545" s="64">
        <f>L3545/K3545</f>
        <v/>
      </c>
    </row>
    <row r="3546">
      <c r="A3546" s="58" t="inlineStr">
        <is>
          <t>RT20250402-03545</t>
        </is>
      </c>
      <c r="B3546" s="59" t="inlineStr">
        <is>
          <t>2025-04-02</t>
        </is>
      </c>
      <c r="C3546" s="60" t="inlineStr">
        <is>
          <t>Falcon Team Sport Lite-268</t>
        </is>
      </c>
      <c r="D3546" s="58" t="inlineStr">
        <is>
          <t>Sports</t>
        </is>
      </c>
      <c r="E3546" s="58" t="inlineStr">
        <is>
          <t>North</t>
        </is>
      </c>
      <c r="F3546" s="61" t="n">
        <v>1</v>
      </c>
      <c r="G3546" s="62" t="n">
        <v>690.02</v>
      </c>
      <c r="H3546" s="63" t="n">
        <v>0.034</v>
      </c>
      <c r="I3546" s="62" t="n">
        <v>434.86</v>
      </c>
      <c r="J3546" s="58" t="inlineStr">
        <is>
          <t>Online</t>
        </is>
      </c>
      <c r="K3546" s="62">
        <f>F3546*(G3546-H3546)</f>
        <v/>
      </c>
      <c r="L3546" s="62">
        <f>K3546-(F3546*I3546)</f>
        <v/>
      </c>
      <c r="M3546" s="64">
        <f>L3546/K3546</f>
        <v/>
      </c>
    </row>
    <row r="3547">
      <c r="A3547" s="58" t="inlineStr">
        <is>
          <t>RT20250402-03546</t>
        </is>
      </c>
      <c r="B3547" s="59" t="inlineStr">
        <is>
          <t>2025-04-02</t>
        </is>
      </c>
      <c r="C3547" s="60" t="inlineStr">
        <is>
          <t>Aurora Wearable Lite-162</t>
        </is>
      </c>
      <c r="D3547" s="58" t="inlineStr">
        <is>
          <t>Electronics</t>
        </is>
      </c>
      <c r="E3547" s="58" t="inlineStr">
        <is>
          <t>South</t>
        </is>
      </c>
      <c r="F3547" s="61" t="n">
        <v>2</v>
      </c>
      <c r="G3547" s="62" t="n">
        <v>1362.63</v>
      </c>
      <c r="H3547" s="63" t="n">
        <v>0.045</v>
      </c>
      <c r="I3547" s="62" t="n">
        <v>1186.98</v>
      </c>
      <c r="J3547" s="58" t="inlineStr">
        <is>
          <t>Online</t>
        </is>
      </c>
      <c r="K3547" s="62">
        <f>F3547*(G3547-H3547)</f>
        <v/>
      </c>
      <c r="L3547" s="62">
        <f>K3547-(F3547*I3547)</f>
        <v/>
      </c>
      <c r="M3547" s="64">
        <f>L3547/K3547</f>
        <v/>
      </c>
    </row>
    <row r="3548">
      <c r="A3548" s="58" t="inlineStr">
        <is>
          <t>RT20250402-03547</t>
        </is>
      </c>
      <c r="B3548" s="59" t="inlineStr">
        <is>
          <t>2025-04-02</t>
        </is>
      </c>
      <c r="C3548" s="60" t="inlineStr">
        <is>
          <t>Aurora Appliance Max-316</t>
        </is>
      </c>
      <c r="D3548" s="58" t="inlineStr">
        <is>
          <t>Home</t>
        </is>
      </c>
      <c r="E3548" s="58" t="inlineStr">
        <is>
          <t>East</t>
        </is>
      </c>
      <c r="F3548" s="61" t="n">
        <v>3</v>
      </c>
      <c r="G3548" s="62" t="n">
        <v>335.02</v>
      </c>
      <c r="H3548" s="63" t="n">
        <v>0.058</v>
      </c>
      <c r="I3548" s="62" t="n">
        <v>218.64</v>
      </c>
      <c r="J3548" s="58" t="inlineStr">
        <is>
          <t>Store</t>
        </is>
      </c>
      <c r="K3548" s="62">
        <f>F3548*(G3548-H3548)</f>
        <v/>
      </c>
      <c r="L3548" s="62">
        <f>K3548-(F3548*I3548)</f>
        <v/>
      </c>
      <c r="M3548" s="64">
        <f>L3548/K3548</f>
        <v/>
      </c>
    </row>
    <row r="3549">
      <c r="A3549" s="58" t="inlineStr">
        <is>
          <t>RT20250402-03548</t>
        </is>
      </c>
      <c r="B3549" s="59" t="inlineStr">
        <is>
          <t>2025-04-02</t>
        </is>
      </c>
      <c r="C3549" s="60" t="inlineStr">
        <is>
          <t>Nimbus Men Plus-231</t>
        </is>
      </c>
      <c r="D3549" s="58" t="inlineStr">
        <is>
          <t>Apparel</t>
        </is>
      </c>
      <c r="E3549" s="58" t="inlineStr">
        <is>
          <t>Central</t>
        </is>
      </c>
      <c r="F3549" s="61" t="n">
        <v>3</v>
      </c>
      <c r="G3549" s="62" t="n">
        <v>172.7</v>
      </c>
      <c r="H3549" s="63" t="n">
        <v>0.073</v>
      </c>
      <c r="I3549" s="62" t="n">
        <v>87.98</v>
      </c>
      <c r="J3549" s="58" t="inlineStr">
        <is>
          <t>Phone</t>
        </is>
      </c>
      <c r="K3549" s="62">
        <f>F3549*(G3549-H3549)</f>
        <v/>
      </c>
      <c r="L3549" s="62">
        <f>K3549-(F3549*I3549)</f>
        <v/>
      </c>
      <c r="M3549" s="64">
        <f>L3549/K3549</f>
        <v/>
      </c>
    </row>
    <row r="3550">
      <c r="A3550" s="58" t="inlineStr">
        <is>
          <t>RT20250402-03549</t>
        </is>
      </c>
      <c r="B3550" s="59" t="inlineStr">
        <is>
          <t>2025-04-02</t>
        </is>
      </c>
      <c r="C3550" s="60" t="inlineStr">
        <is>
          <t>Solace Kitchen Pro-999</t>
        </is>
      </c>
      <c r="D3550" s="58" t="inlineStr">
        <is>
          <t>Home</t>
        </is>
      </c>
      <c r="E3550" s="58" t="inlineStr">
        <is>
          <t>South</t>
        </is>
      </c>
      <c r="F3550" s="61" t="n">
        <v>1</v>
      </c>
      <c r="G3550" s="62" t="n">
        <v>430.11</v>
      </c>
      <c r="H3550" s="63" t="n">
        <v>0.077</v>
      </c>
      <c r="I3550" s="62" t="n">
        <v>260.47</v>
      </c>
      <c r="J3550" s="58" t="inlineStr">
        <is>
          <t>Phone</t>
        </is>
      </c>
      <c r="K3550" s="62">
        <f>F3550*(G3550-H3550)</f>
        <v/>
      </c>
      <c r="L3550" s="62">
        <f>K3550-(F3550*I3550)</f>
        <v/>
      </c>
      <c r="M3550" s="64">
        <f>L3550/K3550</f>
        <v/>
      </c>
    </row>
    <row r="3551">
      <c r="A3551" s="58" t="inlineStr">
        <is>
          <t>RT20250402-03550</t>
        </is>
      </c>
      <c r="B3551" s="59" t="inlineStr">
        <is>
          <t>2025-04-02</t>
        </is>
      </c>
      <c r="C3551" s="60" t="inlineStr">
        <is>
          <t>Orion Haircare Plus-887</t>
        </is>
      </c>
      <c r="D3551" s="58" t="inlineStr">
        <is>
          <t>Beauty</t>
        </is>
      </c>
      <c r="E3551" s="58" t="inlineStr">
        <is>
          <t>South</t>
        </is>
      </c>
      <c r="F3551" s="61" t="n">
        <v>4</v>
      </c>
      <c r="G3551" s="62" t="n">
        <v>51.63</v>
      </c>
      <c r="H3551" s="63" t="n">
        <v>0.07199999999999999</v>
      </c>
      <c r="I3551" s="62" t="n">
        <v>31.61</v>
      </c>
      <c r="J3551" s="58" t="inlineStr">
        <is>
          <t>Store</t>
        </is>
      </c>
      <c r="K3551" s="62">
        <f>F3551*(G3551-H3551)</f>
        <v/>
      </c>
      <c r="L3551" s="62">
        <f>K3551-(F3551*I3551)</f>
        <v/>
      </c>
      <c r="M3551" s="64">
        <f>L3551/K3551</f>
        <v/>
      </c>
    </row>
    <row r="3552">
      <c r="A3552" s="58" t="inlineStr">
        <is>
          <t>RT20250402-03551</t>
        </is>
      </c>
      <c r="B3552" s="59" t="inlineStr">
        <is>
          <t>2025-04-02</t>
        </is>
      </c>
      <c r="C3552" s="60" t="inlineStr">
        <is>
          <t>Orion Kid Max-864</t>
        </is>
      </c>
      <c r="D3552" s="58" t="inlineStr">
        <is>
          <t>Apparel</t>
        </is>
      </c>
      <c r="E3552" s="58" t="inlineStr">
        <is>
          <t>East</t>
        </is>
      </c>
      <c r="F3552" s="61" t="n">
        <v>2</v>
      </c>
      <c r="G3552" s="62" t="n">
        <v>87.41</v>
      </c>
      <c r="H3552" s="63" t="n">
        <v>0.077</v>
      </c>
      <c r="I3552" s="62" t="n">
        <v>44.69</v>
      </c>
      <c r="J3552" s="58" t="inlineStr">
        <is>
          <t>Online</t>
        </is>
      </c>
      <c r="K3552" s="62">
        <f>F3552*(G3552-H3552)</f>
        <v/>
      </c>
      <c r="L3552" s="62">
        <f>K3552-(F3552*I3552)</f>
        <v/>
      </c>
      <c r="M3552" s="64">
        <f>L3552/K3552</f>
        <v/>
      </c>
    </row>
    <row r="3553">
      <c r="A3553" s="58" t="inlineStr">
        <is>
          <t>RT20250402-03552</t>
        </is>
      </c>
      <c r="B3553" s="59" t="inlineStr">
        <is>
          <t>2025-04-02</t>
        </is>
      </c>
      <c r="C3553" s="60" t="inlineStr">
        <is>
          <t>Aurora Furniture X-709</t>
        </is>
      </c>
      <c r="D3553" s="58" t="inlineStr">
        <is>
          <t>Office</t>
        </is>
      </c>
      <c r="E3553" s="58" t="inlineStr">
        <is>
          <t>South</t>
        </is>
      </c>
      <c r="F3553" s="61" t="n">
        <v>2</v>
      </c>
      <c r="G3553" s="62" t="n">
        <v>457.25</v>
      </c>
      <c r="H3553" s="63" t="n">
        <v>0.08799999999999999</v>
      </c>
      <c r="I3553" s="62" t="n">
        <v>306.61</v>
      </c>
      <c r="J3553" s="58" t="inlineStr">
        <is>
          <t>Store</t>
        </is>
      </c>
      <c r="K3553" s="62">
        <f>F3553*(G3553-H3553)</f>
        <v/>
      </c>
      <c r="L3553" s="62">
        <f>K3553-(F3553*I3553)</f>
        <v/>
      </c>
      <c r="M3553" s="64">
        <f>L3553/K3553</f>
        <v/>
      </c>
    </row>
    <row r="3554">
      <c r="A3554" s="58" t="inlineStr">
        <is>
          <t>RT20250402-03553</t>
        </is>
      </c>
      <c r="B3554" s="59" t="inlineStr">
        <is>
          <t>2025-04-02</t>
        </is>
      </c>
      <c r="C3554" s="60" t="inlineStr">
        <is>
          <t>Aurora Haircare S-975</t>
        </is>
      </c>
      <c r="D3554" s="58" t="inlineStr">
        <is>
          <t>Beauty</t>
        </is>
      </c>
      <c r="E3554" s="58" t="inlineStr">
        <is>
          <t>East</t>
        </is>
      </c>
      <c r="F3554" s="61" t="n">
        <v>4</v>
      </c>
      <c r="G3554" s="62" t="n">
        <v>92.3</v>
      </c>
      <c r="H3554" s="63" t="n">
        <v>0.11</v>
      </c>
      <c r="I3554" s="62" t="n">
        <v>59</v>
      </c>
      <c r="J3554" s="58" t="inlineStr">
        <is>
          <t>Online</t>
        </is>
      </c>
      <c r="K3554" s="62">
        <f>F3554*(G3554-H3554)</f>
        <v/>
      </c>
      <c r="L3554" s="62">
        <f>K3554-(F3554*I3554)</f>
        <v/>
      </c>
      <c r="M3554" s="64">
        <f>L3554/K3554</f>
        <v/>
      </c>
    </row>
    <row r="3555">
      <c r="A3555" s="58" t="inlineStr">
        <is>
          <t>RT20250402-03554</t>
        </is>
      </c>
      <c r="B3555" s="59" t="inlineStr">
        <is>
          <t>2025-04-02</t>
        </is>
      </c>
      <c r="C3555" s="60" t="inlineStr">
        <is>
          <t>Metro Outdoor Plus-787</t>
        </is>
      </c>
      <c r="D3555" s="58" t="inlineStr">
        <is>
          <t>Sports</t>
        </is>
      </c>
      <c r="E3555" s="58" t="inlineStr">
        <is>
          <t>West</t>
        </is>
      </c>
      <c r="F3555" s="61" t="n">
        <v>2</v>
      </c>
      <c r="G3555" s="62" t="n">
        <v>496.77</v>
      </c>
      <c r="H3555" s="63" t="n">
        <v>0.082</v>
      </c>
      <c r="I3555" s="62" t="n">
        <v>343.01</v>
      </c>
      <c r="J3555" s="58" t="inlineStr">
        <is>
          <t>Store</t>
        </is>
      </c>
      <c r="K3555" s="62">
        <f>F3555*(G3555-H3555)</f>
        <v/>
      </c>
      <c r="L3555" s="62">
        <f>K3555-(F3555*I3555)</f>
        <v/>
      </c>
      <c r="M3555" s="64">
        <f>L3555/K3555</f>
        <v/>
      </c>
    </row>
    <row r="3556">
      <c r="A3556" s="58" t="inlineStr">
        <is>
          <t>RT20250402-03555</t>
        </is>
      </c>
      <c r="B3556" s="59" t="inlineStr">
        <is>
          <t>2025-04-02</t>
        </is>
      </c>
      <c r="C3556" s="60" t="inlineStr">
        <is>
          <t>Solace Makeup Pro-214</t>
        </is>
      </c>
      <c r="D3556" s="58" t="inlineStr">
        <is>
          <t>Beauty</t>
        </is>
      </c>
      <c r="E3556" s="58" t="inlineStr">
        <is>
          <t>South</t>
        </is>
      </c>
      <c r="F3556" s="61" t="n">
        <v>3</v>
      </c>
      <c r="G3556" s="62" t="n">
        <v>118.05</v>
      </c>
      <c r="H3556" s="63" t="n">
        <v>0.078</v>
      </c>
      <c r="I3556" s="62" t="n">
        <v>68.62</v>
      </c>
      <c r="J3556" s="58" t="inlineStr">
        <is>
          <t>Online</t>
        </is>
      </c>
      <c r="K3556" s="62">
        <f>F3556*(G3556-H3556)</f>
        <v/>
      </c>
      <c r="L3556" s="62">
        <f>K3556-(F3556*I3556)</f>
        <v/>
      </c>
      <c r="M3556" s="64">
        <f>L3556/K3556</f>
        <v/>
      </c>
    </row>
    <row r="3557">
      <c r="A3557" s="58" t="inlineStr">
        <is>
          <t>RT20250402-03556</t>
        </is>
      </c>
      <c r="B3557" s="59" t="inlineStr">
        <is>
          <t>2025-04-02</t>
        </is>
      </c>
      <c r="C3557" s="60" t="inlineStr">
        <is>
          <t>Nimbus Laptop Max-652</t>
        </is>
      </c>
      <c r="D3557" s="58" t="inlineStr">
        <is>
          <t>Electronics</t>
        </is>
      </c>
      <c r="E3557" s="58" t="inlineStr">
        <is>
          <t>East</t>
        </is>
      </c>
      <c r="F3557" s="61" t="n">
        <v>2</v>
      </c>
      <c r="G3557" s="62" t="n">
        <v>1317.68</v>
      </c>
      <c r="H3557" s="63" t="n">
        <v>0.08400000000000001</v>
      </c>
      <c r="I3557" s="62" t="n">
        <v>1066.76</v>
      </c>
      <c r="J3557" s="58" t="inlineStr">
        <is>
          <t>Store</t>
        </is>
      </c>
      <c r="K3557" s="62">
        <f>F3557*(G3557-H3557)</f>
        <v/>
      </c>
      <c r="L3557" s="62">
        <f>K3557-(F3557*I3557)</f>
        <v/>
      </c>
      <c r="M3557" s="64">
        <f>L3557/K3557</f>
        <v/>
      </c>
    </row>
    <row r="3558">
      <c r="A3558" s="58" t="inlineStr">
        <is>
          <t>RT20250402-03557</t>
        </is>
      </c>
      <c r="B3558" s="59" t="inlineStr">
        <is>
          <t>2025-04-02</t>
        </is>
      </c>
      <c r="C3558" s="60" t="inlineStr">
        <is>
          <t>Vertex Supplie Pro-786</t>
        </is>
      </c>
      <c r="D3558" s="58" t="inlineStr">
        <is>
          <t>Office</t>
        </is>
      </c>
      <c r="E3558" s="58" t="inlineStr">
        <is>
          <t>East</t>
        </is>
      </c>
      <c r="F3558" s="61" t="n">
        <v>2</v>
      </c>
      <c r="G3558" s="62" t="n">
        <v>423.86</v>
      </c>
      <c r="H3558" s="63" t="n">
        <v>0.05</v>
      </c>
      <c r="I3558" s="62" t="n">
        <v>287.04</v>
      </c>
      <c r="J3558" s="58" t="inlineStr">
        <is>
          <t>Online</t>
        </is>
      </c>
      <c r="K3558" s="62">
        <f>F3558*(G3558-H3558)</f>
        <v/>
      </c>
      <c r="L3558" s="62">
        <f>K3558-(F3558*I3558)</f>
        <v/>
      </c>
      <c r="M3558" s="64">
        <f>L3558/K3558</f>
        <v/>
      </c>
    </row>
    <row r="3559">
      <c r="A3559" s="58" t="inlineStr">
        <is>
          <t>RT20250402-03558</t>
        </is>
      </c>
      <c r="B3559" s="59" t="inlineStr">
        <is>
          <t>2025-04-02</t>
        </is>
      </c>
      <c r="C3559" s="60" t="inlineStr">
        <is>
          <t>Solace Team Sport Max-548</t>
        </is>
      </c>
      <c r="D3559" s="58" t="inlineStr">
        <is>
          <t>Sports</t>
        </is>
      </c>
      <c r="E3559" s="58" t="inlineStr">
        <is>
          <t>North</t>
        </is>
      </c>
      <c r="F3559" s="61" t="n">
        <v>1</v>
      </c>
      <c r="G3559" s="62" t="n">
        <v>841.36</v>
      </c>
      <c r="H3559" s="63" t="n">
        <v>0.015</v>
      </c>
      <c r="I3559" s="62" t="n">
        <v>491.39</v>
      </c>
      <c r="J3559" s="58" t="inlineStr">
        <is>
          <t>Online</t>
        </is>
      </c>
      <c r="K3559" s="62">
        <f>F3559*(G3559-H3559)</f>
        <v/>
      </c>
      <c r="L3559" s="62">
        <f>K3559-(F3559*I3559)</f>
        <v/>
      </c>
      <c r="M3559" s="64">
        <f>L3559/K3559</f>
        <v/>
      </c>
    </row>
    <row r="3560">
      <c r="A3560" s="58" t="inlineStr">
        <is>
          <t>RT20250402-03559</t>
        </is>
      </c>
      <c r="B3560" s="59" t="inlineStr">
        <is>
          <t>2025-04-02</t>
        </is>
      </c>
      <c r="C3560" s="60" t="inlineStr">
        <is>
          <t>Nimbus Storage Plus-646</t>
        </is>
      </c>
      <c r="D3560" s="58" t="inlineStr">
        <is>
          <t>Office</t>
        </is>
      </c>
      <c r="E3560" s="58" t="inlineStr">
        <is>
          <t>East</t>
        </is>
      </c>
      <c r="F3560" s="61" t="n">
        <v>2</v>
      </c>
      <c r="G3560" s="62" t="n">
        <v>495.38</v>
      </c>
      <c r="H3560" s="63" t="n">
        <v>0.09</v>
      </c>
      <c r="I3560" s="62" t="n">
        <v>323.68</v>
      </c>
      <c r="J3560" s="58" t="inlineStr">
        <is>
          <t>Store</t>
        </is>
      </c>
      <c r="K3560" s="62">
        <f>F3560*(G3560-H3560)</f>
        <v/>
      </c>
      <c r="L3560" s="62">
        <f>K3560-(F3560*I3560)</f>
        <v/>
      </c>
      <c r="M3560" s="64">
        <f>L3560/K3560</f>
        <v/>
      </c>
    </row>
    <row r="3561">
      <c r="A3561" s="58" t="inlineStr">
        <is>
          <t>RT20250402-03560</t>
        </is>
      </c>
      <c r="B3561" s="59" t="inlineStr">
        <is>
          <t>2025-04-02</t>
        </is>
      </c>
      <c r="C3561" s="60" t="inlineStr">
        <is>
          <t>Aurora Printer Plus-991</t>
        </is>
      </c>
      <c r="D3561" s="58" t="inlineStr">
        <is>
          <t>Office</t>
        </is>
      </c>
      <c r="E3561" s="58" t="inlineStr">
        <is>
          <t>South</t>
        </is>
      </c>
      <c r="F3561" s="61" t="n">
        <v>3</v>
      </c>
      <c r="G3561" s="62" t="n">
        <v>561.6</v>
      </c>
      <c r="H3561" s="63" t="n">
        <v>0.07000000000000001</v>
      </c>
      <c r="I3561" s="62" t="n">
        <v>373.66</v>
      </c>
      <c r="J3561" s="58" t="inlineStr">
        <is>
          <t>Store</t>
        </is>
      </c>
      <c r="K3561" s="62">
        <f>F3561*(G3561-H3561)</f>
        <v/>
      </c>
      <c r="L3561" s="62">
        <f>K3561-(F3561*I3561)</f>
        <v/>
      </c>
      <c r="M3561" s="64">
        <f>L3561/K3561</f>
        <v/>
      </c>
    </row>
    <row r="3562">
      <c r="A3562" s="58" t="inlineStr">
        <is>
          <t>RT20250402-03561</t>
        </is>
      </c>
      <c r="B3562" s="59" t="inlineStr">
        <is>
          <t>2025-04-02</t>
        </is>
      </c>
      <c r="C3562" s="60" t="inlineStr">
        <is>
          <t>Orion Kid Max-864</t>
        </is>
      </c>
      <c r="D3562" s="58" t="inlineStr">
        <is>
          <t>Apparel</t>
        </is>
      </c>
      <c r="E3562" s="58" t="inlineStr">
        <is>
          <t>South</t>
        </is>
      </c>
      <c r="F3562" s="61" t="n">
        <v>4</v>
      </c>
      <c r="G3562" s="62" t="n">
        <v>81.78</v>
      </c>
      <c r="H3562" s="63" t="n">
        <v>0.092</v>
      </c>
      <c r="I3562" s="62" t="n">
        <v>45.85</v>
      </c>
      <c r="J3562" s="58" t="inlineStr">
        <is>
          <t>Store</t>
        </is>
      </c>
      <c r="K3562" s="62">
        <f>F3562*(G3562-H3562)</f>
        <v/>
      </c>
      <c r="L3562" s="62">
        <f>K3562-(F3562*I3562)</f>
        <v/>
      </c>
      <c r="M3562" s="64">
        <f>L3562/K3562</f>
        <v/>
      </c>
    </row>
    <row r="3563">
      <c r="A3563" s="58" t="inlineStr">
        <is>
          <t>RT20250402-03562</t>
        </is>
      </c>
      <c r="B3563" s="59" t="inlineStr">
        <is>
          <t>2025-04-02</t>
        </is>
      </c>
      <c r="C3563" s="60" t="inlineStr">
        <is>
          <t>Solace Fitnes S-324</t>
        </is>
      </c>
      <c r="D3563" s="58" t="inlineStr">
        <is>
          <t>Sports</t>
        </is>
      </c>
      <c r="E3563" s="58" t="inlineStr">
        <is>
          <t>East</t>
        </is>
      </c>
      <c r="F3563" s="61" t="n">
        <v>2</v>
      </c>
      <c r="G3563" s="62" t="n">
        <v>803.8200000000001</v>
      </c>
      <c r="H3563" s="63" t="n">
        <v>0.066</v>
      </c>
      <c r="I3563" s="62" t="n">
        <v>518</v>
      </c>
      <c r="J3563" s="58" t="inlineStr">
        <is>
          <t>Online</t>
        </is>
      </c>
      <c r="K3563" s="62">
        <f>F3563*(G3563-H3563)</f>
        <v/>
      </c>
      <c r="L3563" s="62">
        <f>K3563-(F3563*I3563)</f>
        <v/>
      </c>
      <c r="M3563" s="64">
        <f>L3563/K3563</f>
        <v/>
      </c>
    </row>
    <row r="3564">
      <c r="A3564" s="58" t="inlineStr">
        <is>
          <t>RT20250402-03563</t>
        </is>
      </c>
      <c r="B3564" s="59" t="inlineStr">
        <is>
          <t>2025-04-02</t>
        </is>
      </c>
      <c r="C3564" s="60" t="inlineStr">
        <is>
          <t>Solace Kitchen Pro-510</t>
        </is>
      </c>
      <c r="D3564" s="58" t="inlineStr">
        <is>
          <t>Home</t>
        </is>
      </c>
      <c r="E3564" s="58" t="inlineStr">
        <is>
          <t>West</t>
        </is>
      </c>
      <c r="F3564" s="61" t="n">
        <v>3</v>
      </c>
      <c r="G3564" s="62" t="n">
        <v>451.66</v>
      </c>
      <c r="H3564" s="63" t="n">
        <v>0.041</v>
      </c>
      <c r="I3564" s="62" t="n">
        <v>300.01</v>
      </c>
      <c r="J3564" s="58" t="inlineStr">
        <is>
          <t>Store</t>
        </is>
      </c>
      <c r="K3564" s="62">
        <f>F3564*(G3564-H3564)</f>
        <v/>
      </c>
      <c r="L3564" s="62">
        <f>K3564-(F3564*I3564)</f>
        <v/>
      </c>
      <c r="M3564" s="64">
        <f>L3564/K3564</f>
        <v/>
      </c>
    </row>
    <row r="3565">
      <c r="A3565" s="58" t="inlineStr">
        <is>
          <t>RT20250402-03564</t>
        </is>
      </c>
      <c r="B3565" s="59" t="inlineStr">
        <is>
          <t>2025-04-02</t>
        </is>
      </c>
      <c r="C3565" s="60" t="inlineStr">
        <is>
          <t>Polar Cycling X-649</t>
        </is>
      </c>
      <c r="D3565" s="58" t="inlineStr">
        <is>
          <t>Sports</t>
        </is>
      </c>
      <c r="E3565" s="58" t="inlineStr">
        <is>
          <t>East</t>
        </is>
      </c>
      <c r="F3565" s="61" t="n">
        <v>2</v>
      </c>
      <c r="G3565" s="62" t="n">
        <v>548.24</v>
      </c>
      <c r="H3565" s="63" t="n">
        <v>0.044</v>
      </c>
      <c r="I3565" s="62" t="n">
        <v>357.01</v>
      </c>
      <c r="J3565" s="58" t="inlineStr">
        <is>
          <t>Online</t>
        </is>
      </c>
      <c r="K3565" s="62">
        <f>F3565*(G3565-H3565)</f>
        <v/>
      </c>
      <c r="L3565" s="62">
        <f>K3565-(F3565*I3565)</f>
        <v/>
      </c>
      <c r="M3565" s="64">
        <f>L3565/K3565</f>
        <v/>
      </c>
    </row>
    <row r="3566">
      <c r="A3566" s="58" t="inlineStr">
        <is>
          <t>RT20250402-03565</t>
        </is>
      </c>
      <c r="B3566" s="59" t="inlineStr">
        <is>
          <t>2025-04-02</t>
        </is>
      </c>
      <c r="C3566" s="60" t="inlineStr">
        <is>
          <t>Polar Laptop Plus-984</t>
        </is>
      </c>
      <c r="D3566" s="58" t="inlineStr">
        <is>
          <t>Electronics</t>
        </is>
      </c>
      <c r="E3566" s="58" t="inlineStr">
        <is>
          <t>North</t>
        </is>
      </c>
      <c r="F3566" s="61" t="n">
        <v>2</v>
      </c>
      <c r="G3566" s="62" t="n">
        <v>1278.36</v>
      </c>
      <c r="H3566" s="63" t="n">
        <v>0.004</v>
      </c>
      <c r="I3566" s="62" t="n">
        <v>1021.68</v>
      </c>
      <c r="J3566" s="58" t="inlineStr">
        <is>
          <t>Store</t>
        </is>
      </c>
      <c r="K3566" s="62">
        <f>F3566*(G3566-H3566)</f>
        <v/>
      </c>
      <c r="L3566" s="62">
        <f>K3566-(F3566*I3566)</f>
        <v/>
      </c>
      <c r="M3566" s="64">
        <f>L3566/K3566</f>
        <v/>
      </c>
    </row>
    <row r="3567">
      <c r="A3567" s="58" t="inlineStr">
        <is>
          <t>RT20250402-03566</t>
        </is>
      </c>
      <c r="B3567" s="59" t="inlineStr">
        <is>
          <t>2025-04-02</t>
        </is>
      </c>
      <c r="C3567" s="60" t="inlineStr">
        <is>
          <t>Orion Supplie S-612</t>
        </is>
      </c>
      <c r="D3567" s="58" t="inlineStr">
        <is>
          <t>Office</t>
        </is>
      </c>
      <c r="E3567" s="58" t="inlineStr">
        <is>
          <t>Central</t>
        </is>
      </c>
      <c r="F3567" s="61" t="n">
        <v>1</v>
      </c>
      <c r="G3567" s="62" t="n">
        <v>493.52</v>
      </c>
      <c r="H3567" s="63" t="n">
        <v>0.047</v>
      </c>
      <c r="I3567" s="62" t="n">
        <v>331.4</v>
      </c>
      <c r="J3567" s="58" t="inlineStr">
        <is>
          <t>Online</t>
        </is>
      </c>
      <c r="K3567" s="62">
        <f>F3567*(G3567-H3567)</f>
        <v/>
      </c>
      <c r="L3567" s="62">
        <f>K3567-(F3567*I3567)</f>
        <v/>
      </c>
      <c r="M3567" s="64">
        <f>L3567/K3567</f>
        <v/>
      </c>
    </row>
    <row r="3568">
      <c r="A3568" s="58" t="inlineStr">
        <is>
          <t>RT20250402-03567</t>
        </is>
      </c>
      <c r="B3568" s="59" t="inlineStr">
        <is>
          <t>2025-04-02</t>
        </is>
      </c>
      <c r="C3568" s="60" t="inlineStr">
        <is>
          <t>Vertex Fitnes Pro-830</t>
        </is>
      </c>
      <c r="D3568" s="58" t="inlineStr">
        <is>
          <t>Sports</t>
        </is>
      </c>
      <c r="E3568" s="58" t="inlineStr">
        <is>
          <t>West</t>
        </is>
      </c>
      <c r="F3568" s="61" t="n">
        <v>3</v>
      </c>
      <c r="G3568" s="62" t="n">
        <v>721.76</v>
      </c>
      <c r="H3568" s="63" t="n">
        <v>0</v>
      </c>
      <c r="I3568" s="62" t="n">
        <v>481.19</v>
      </c>
      <c r="J3568" s="58" t="inlineStr">
        <is>
          <t>Online</t>
        </is>
      </c>
      <c r="K3568" s="62">
        <f>F3568*(G3568-H3568)</f>
        <v/>
      </c>
      <c r="L3568" s="62">
        <f>K3568-(F3568*I3568)</f>
        <v/>
      </c>
      <c r="M3568" s="64">
        <f>L3568/K3568</f>
        <v/>
      </c>
    </row>
    <row r="3569">
      <c r="A3569" s="58" t="inlineStr">
        <is>
          <t>RT20250402-03568</t>
        </is>
      </c>
      <c r="B3569" s="59" t="inlineStr">
        <is>
          <t>2025-04-02</t>
        </is>
      </c>
      <c r="C3569" s="60" t="inlineStr">
        <is>
          <t>Nimbus Furniture Pro-479</t>
        </is>
      </c>
      <c r="D3569" s="58" t="inlineStr">
        <is>
          <t>Office</t>
        </is>
      </c>
      <c r="E3569" s="58" t="inlineStr">
        <is>
          <t>West</t>
        </is>
      </c>
      <c r="F3569" s="61" t="n">
        <v>3</v>
      </c>
      <c r="G3569" s="62" t="n">
        <v>350.04</v>
      </c>
      <c r="H3569" s="63" t="n">
        <v>0.013</v>
      </c>
      <c r="I3569" s="62" t="n">
        <v>236.45</v>
      </c>
      <c r="J3569" s="58" t="inlineStr">
        <is>
          <t>Store</t>
        </is>
      </c>
      <c r="K3569" s="62">
        <f>F3569*(G3569-H3569)</f>
        <v/>
      </c>
      <c r="L3569" s="62">
        <f>K3569-(F3569*I3569)</f>
        <v/>
      </c>
      <c r="M3569" s="64">
        <f>L3569/K3569</f>
        <v/>
      </c>
    </row>
    <row r="3570">
      <c r="A3570" s="58" t="inlineStr">
        <is>
          <t>RT20250402-03569</t>
        </is>
      </c>
      <c r="B3570" s="59" t="inlineStr">
        <is>
          <t>2025-04-02</t>
        </is>
      </c>
      <c r="C3570" s="60" t="inlineStr">
        <is>
          <t>Vertex Men X-995</t>
        </is>
      </c>
      <c r="D3570" s="58" t="inlineStr">
        <is>
          <t>Apparel</t>
        </is>
      </c>
      <c r="E3570" s="58" t="inlineStr">
        <is>
          <t>North</t>
        </is>
      </c>
      <c r="F3570" s="61" t="n">
        <v>2</v>
      </c>
      <c r="G3570" s="62" t="n">
        <v>92.29000000000001</v>
      </c>
      <c r="H3570" s="63" t="n">
        <v>0.106</v>
      </c>
      <c r="I3570" s="62" t="n">
        <v>59.4</v>
      </c>
      <c r="J3570" s="58" t="inlineStr">
        <is>
          <t>Online</t>
        </is>
      </c>
      <c r="K3570" s="62">
        <f>F3570*(G3570-H3570)</f>
        <v/>
      </c>
      <c r="L3570" s="62">
        <f>K3570-(F3570*I3570)</f>
        <v/>
      </c>
      <c r="M3570" s="64">
        <f>L3570/K3570</f>
        <v/>
      </c>
    </row>
    <row r="3571">
      <c r="A3571" s="58" t="inlineStr">
        <is>
          <t>RT20250402-03570</t>
        </is>
      </c>
      <c r="B3571" s="59" t="inlineStr">
        <is>
          <t>2025-04-02</t>
        </is>
      </c>
      <c r="C3571" s="60" t="inlineStr">
        <is>
          <t>Polar Snack Pro-641</t>
        </is>
      </c>
      <c r="D3571" s="58" t="inlineStr">
        <is>
          <t>Grocery</t>
        </is>
      </c>
      <c r="E3571" s="58" t="inlineStr">
        <is>
          <t>East</t>
        </is>
      </c>
      <c r="F3571" s="61" t="n">
        <v>5</v>
      </c>
      <c r="G3571" s="62" t="n">
        <v>13.18</v>
      </c>
      <c r="H3571" s="63" t="n">
        <v>0.03</v>
      </c>
      <c r="I3571" s="62" t="n">
        <v>9.67</v>
      </c>
      <c r="J3571" s="58" t="inlineStr">
        <is>
          <t>Online</t>
        </is>
      </c>
      <c r="K3571" s="62">
        <f>F3571*(G3571-H3571)</f>
        <v/>
      </c>
      <c r="L3571" s="62">
        <f>K3571-(F3571*I3571)</f>
        <v/>
      </c>
      <c r="M3571" s="64">
        <f>L3571/K3571</f>
        <v/>
      </c>
    </row>
    <row r="3572">
      <c r="A3572" s="58" t="inlineStr">
        <is>
          <t>RT20250402-03571</t>
        </is>
      </c>
      <c r="B3572" s="59" t="inlineStr">
        <is>
          <t>2025-04-02</t>
        </is>
      </c>
      <c r="C3572" s="60" t="inlineStr">
        <is>
          <t>Aurora Smartphone Plus-125</t>
        </is>
      </c>
      <c r="D3572" s="58" t="inlineStr">
        <is>
          <t>Electronics</t>
        </is>
      </c>
      <c r="E3572" s="58" t="inlineStr">
        <is>
          <t>South</t>
        </is>
      </c>
      <c r="F3572" s="61" t="n">
        <v>2</v>
      </c>
      <c r="G3572" s="62" t="n">
        <v>1504.61</v>
      </c>
      <c r="H3572" s="63" t="n">
        <v>0.031</v>
      </c>
      <c r="I3572" s="62" t="n">
        <v>1212.3</v>
      </c>
      <c r="J3572" s="58" t="inlineStr">
        <is>
          <t>Store</t>
        </is>
      </c>
      <c r="K3572" s="62">
        <f>F3572*(G3572-H3572)</f>
        <v/>
      </c>
      <c r="L3572" s="62">
        <f>K3572-(F3572*I3572)</f>
        <v/>
      </c>
      <c r="M3572" s="64">
        <f>L3572/K3572</f>
        <v/>
      </c>
    </row>
    <row r="3573">
      <c r="A3573" s="58" t="inlineStr">
        <is>
          <t>RT20250402-03572</t>
        </is>
      </c>
      <c r="B3573" s="59" t="inlineStr">
        <is>
          <t>2025-04-02</t>
        </is>
      </c>
      <c r="C3573" s="60" t="inlineStr">
        <is>
          <t>Metro Decor Lite-325</t>
        </is>
      </c>
      <c r="D3573" s="58" t="inlineStr">
        <is>
          <t>Home</t>
        </is>
      </c>
      <c r="E3573" s="58" t="inlineStr">
        <is>
          <t>East</t>
        </is>
      </c>
      <c r="F3573" s="61" t="n">
        <v>2</v>
      </c>
      <c r="G3573" s="62" t="n">
        <v>512.9299999999999</v>
      </c>
      <c r="H3573" s="63" t="n">
        <v>0.061</v>
      </c>
      <c r="I3573" s="62" t="n">
        <v>379.86</v>
      </c>
      <c r="J3573" s="58" t="inlineStr">
        <is>
          <t>Online</t>
        </is>
      </c>
      <c r="K3573" s="62">
        <f>F3573*(G3573-H3573)</f>
        <v/>
      </c>
      <c r="L3573" s="62">
        <f>K3573-(F3573*I3573)</f>
        <v/>
      </c>
      <c r="M3573" s="64">
        <f>L3573/K3573</f>
        <v/>
      </c>
    </row>
    <row r="3574">
      <c r="A3574" s="58" t="inlineStr">
        <is>
          <t>RT20250402-03573</t>
        </is>
      </c>
      <c r="B3574" s="59" t="inlineStr">
        <is>
          <t>2025-04-02</t>
        </is>
      </c>
      <c r="C3574" s="60" t="inlineStr">
        <is>
          <t>Solace Kitchen X-919</t>
        </is>
      </c>
      <c r="D3574" s="58" t="inlineStr">
        <is>
          <t>Home</t>
        </is>
      </c>
      <c r="E3574" s="58" t="inlineStr">
        <is>
          <t>East</t>
        </is>
      </c>
      <c r="F3574" s="61" t="n">
        <v>2</v>
      </c>
      <c r="G3574" s="62" t="n">
        <v>382.19</v>
      </c>
      <c r="H3574" s="63" t="n">
        <v>0.066</v>
      </c>
      <c r="I3574" s="62" t="n">
        <v>266.06</v>
      </c>
      <c r="J3574" s="58" t="inlineStr">
        <is>
          <t>Store</t>
        </is>
      </c>
      <c r="K3574" s="62">
        <f>F3574*(G3574-H3574)</f>
        <v/>
      </c>
      <c r="L3574" s="62">
        <f>K3574-(F3574*I3574)</f>
        <v/>
      </c>
      <c r="M3574" s="64">
        <f>L3574/K3574</f>
        <v/>
      </c>
    </row>
    <row r="3575">
      <c r="A3575" s="58" t="inlineStr">
        <is>
          <t>RT20250402-03574</t>
        </is>
      </c>
      <c r="B3575" s="59" t="inlineStr">
        <is>
          <t>2025-04-02</t>
        </is>
      </c>
      <c r="C3575" s="60" t="inlineStr">
        <is>
          <t>Metro Smartphone Max-773</t>
        </is>
      </c>
      <c r="D3575" s="58" t="inlineStr">
        <is>
          <t>Electronics</t>
        </is>
      </c>
      <c r="E3575" s="58" t="inlineStr">
        <is>
          <t>West</t>
        </is>
      </c>
      <c r="F3575" s="61" t="n">
        <v>2</v>
      </c>
      <c r="G3575" s="62" t="n">
        <v>1437.82</v>
      </c>
      <c r="H3575" s="63" t="n">
        <v>0.1</v>
      </c>
      <c r="I3575" s="62" t="n">
        <v>1120.82</v>
      </c>
      <c r="J3575" s="58" t="inlineStr">
        <is>
          <t>Online</t>
        </is>
      </c>
      <c r="K3575" s="62">
        <f>F3575*(G3575-H3575)</f>
        <v/>
      </c>
      <c r="L3575" s="62">
        <f>K3575-(F3575*I3575)</f>
        <v/>
      </c>
      <c r="M3575" s="64">
        <f>L3575/K3575</f>
        <v/>
      </c>
    </row>
    <row r="3576">
      <c r="A3576" s="58" t="inlineStr">
        <is>
          <t>RT20250402-03575</t>
        </is>
      </c>
      <c r="B3576" s="59" t="inlineStr">
        <is>
          <t>2025-04-02</t>
        </is>
      </c>
      <c r="C3576" s="60" t="inlineStr">
        <is>
          <t>Solace Kitchen Pro-999</t>
        </is>
      </c>
      <c r="D3576" s="58" t="inlineStr">
        <is>
          <t>Home</t>
        </is>
      </c>
      <c r="E3576" s="58" t="inlineStr">
        <is>
          <t>South</t>
        </is>
      </c>
      <c r="F3576" s="61" t="n">
        <v>2</v>
      </c>
      <c r="G3576" s="62" t="n">
        <v>410.03</v>
      </c>
      <c r="H3576" s="63" t="n">
        <v>0.07099999999999999</v>
      </c>
      <c r="I3576" s="62" t="n">
        <v>262.84</v>
      </c>
      <c r="J3576" s="58" t="inlineStr">
        <is>
          <t>Store</t>
        </is>
      </c>
      <c r="K3576" s="62">
        <f>F3576*(G3576-H3576)</f>
        <v/>
      </c>
      <c r="L3576" s="62">
        <f>K3576-(F3576*I3576)</f>
        <v/>
      </c>
      <c r="M3576" s="64">
        <f>L3576/K3576</f>
        <v/>
      </c>
    </row>
    <row r="3577">
      <c r="A3577" s="58" t="inlineStr">
        <is>
          <t>RT20250402-03576</t>
        </is>
      </c>
      <c r="B3577" s="59" t="inlineStr">
        <is>
          <t>2025-04-02</t>
        </is>
      </c>
      <c r="C3577" s="60" t="inlineStr">
        <is>
          <t>Falcon Household Plus-172</t>
        </is>
      </c>
      <c r="D3577" s="58" t="inlineStr">
        <is>
          <t>Grocery</t>
        </is>
      </c>
      <c r="E3577" s="58" t="inlineStr">
        <is>
          <t>South</t>
        </is>
      </c>
      <c r="F3577" s="61" t="n">
        <v>5</v>
      </c>
      <c r="G3577" s="62" t="n">
        <v>21.7</v>
      </c>
      <c r="H3577" s="63" t="n">
        <v>0.099</v>
      </c>
      <c r="I3577" s="62" t="n">
        <v>16.37</v>
      </c>
      <c r="J3577" s="58" t="inlineStr">
        <is>
          <t>Online</t>
        </is>
      </c>
      <c r="K3577" s="62">
        <f>F3577*(G3577-H3577)</f>
        <v/>
      </c>
      <c r="L3577" s="62">
        <f>K3577-(F3577*I3577)</f>
        <v/>
      </c>
      <c r="M3577" s="64">
        <f>L3577/K3577</f>
        <v/>
      </c>
    </row>
    <row r="3578">
      <c r="A3578" s="58" t="inlineStr">
        <is>
          <t>RT20250402-03577</t>
        </is>
      </c>
      <c r="B3578" s="59" t="inlineStr">
        <is>
          <t>2025-04-02</t>
        </is>
      </c>
      <c r="C3578" s="60" t="inlineStr">
        <is>
          <t>Nimbus Men Plus-231</t>
        </is>
      </c>
      <c r="D3578" s="58" t="inlineStr">
        <is>
          <t>Apparel</t>
        </is>
      </c>
      <c r="E3578" s="58" t="inlineStr">
        <is>
          <t>Central</t>
        </is>
      </c>
      <c r="F3578" s="61" t="n">
        <v>4</v>
      </c>
      <c r="G3578" s="62" t="n">
        <v>171.01</v>
      </c>
      <c r="H3578" s="63" t="n">
        <v>0.082</v>
      </c>
      <c r="I3578" s="62" t="n">
        <v>87.5</v>
      </c>
      <c r="J3578" s="58" t="inlineStr">
        <is>
          <t>Online</t>
        </is>
      </c>
      <c r="K3578" s="62">
        <f>F3578*(G3578-H3578)</f>
        <v/>
      </c>
      <c r="L3578" s="62">
        <f>K3578-(F3578*I3578)</f>
        <v/>
      </c>
      <c r="M3578" s="64">
        <f>L3578/K3578</f>
        <v/>
      </c>
    </row>
    <row r="3579">
      <c r="A3579" s="58" t="inlineStr">
        <is>
          <t>RT20250402-03578</t>
        </is>
      </c>
      <c r="B3579" s="59" t="inlineStr">
        <is>
          <t>2025-04-02</t>
        </is>
      </c>
      <c r="C3579" s="60" t="inlineStr">
        <is>
          <t>Polar Decor X-935</t>
        </is>
      </c>
      <c r="D3579" s="58" t="inlineStr">
        <is>
          <t>Home</t>
        </is>
      </c>
      <c r="E3579" s="58" t="inlineStr">
        <is>
          <t>East</t>
        </is>
      </c>
      <c r="F3579" s="61" t="n">
        <v>1</v>
      </c>
      <c r="G3579" s="62" t="n">
        <v>290.81</v>
      </c>
      <c r="H3579" s="63" t="n">
        <v>0.049</v>
      </c>
      <c r="I3579" s="62" t="n">
        <v>197.7</v>
      </c>
      <c r="J3579" s="58" t="inlineStr">
        <is>
          <t>Online</t>
        </is>
      </c>
      <c r="K3579" s="62">
        <f>F3579*(G3579-H3579)</f>
        <v/>
      </c>
      <c r="L3579" s="62">
        <f>K3579-(F3579*I3579)</f>
        <v/>
      </c>
      <c r="M3579" s="64">
        <f>L3579/K3579</f>
        <v/>
      </c>
    </row>
    <row r="3580">
      <c r="A3580" s="58" t="inlineStr">
        <is>
          <t>RT20250402-03579</t>
        </is>
      </c>
      <c r="B3580" s="59" t="inlineStr">
        <is>
          <t>2025-04-02</t>
        </is>
      </c>
      <c r="C3580" s="60" t="inlineStr">
        <is>
          <t>Nimbus Headphone X-854</t>
        </is>
      </c>
      <c r="D3580" s="58" t="inlineStr">
        <is>
          <t>Electronics</t>
        </is>
      </c>
      <c r="E3580" s="58" t="inlineStr">
        <is>
          <t>West</t>
        </is>
      </c>
      <c r="F3580" s="61" t="n">
        <v>1</v>
      </c>
      <c r="G3580" s="62" t="n">
        <v>1657.46</v>
      </c>
      <c r="H3580" s="63" t="n">
        <v>0.062</v>
      </c>
      <c r="I3580" s="62" t="n">
        <v>1268.27</v>
      </c>
      <c r="J3580" s="58" t="inlineStr">
        <is>
          <t>Store</t>
        </is>
      </c>
      <c r="K3580" s="62">
        <f>F3580*(G3580-H3580)</f>
        <v/>
      </c>
      <c r="L3580" s="62">
        <f>K3580-(F3580*I3580)</f>
        <v/>
      </c>
      <c r="M3580" s="64">
        <f>L3580/K3580</f>
        <v/>
      </c>
    </row>
    <row r="3581">
      <c r="A3581" s="58" t="inlineStr">
        <is>
          <t>RT20250402-03580</t>
        </is>
      </c>
      <c r="B3581" s="59" t="inlineStr">
        <is>
          <t>2025-04-02</t>
        </is>
      </c>
      <c r="C3581" s="60" t="inlineStr">
        <is>
          <t>Polar Supplie Lite-348</t>
        </is>
      </c>
      <c r="D3581" s="58" t="inlineStr">
        <is>
          <t>Office</t>
        </is>
      </c>
      <c r="E3581" s="58" t="inlineStr">
        <is>
          <t>West</t>
        </is>
      </c>
      <c r="F3581" s="61" t="n">
        <v>1</v>
      </c>
      <c r="G3581" s="62" t="n">
        <v>454.72</v>
      </c>
      <c r="H3581" s="63" t="n">
        <v>0.062</v>
      </c>
      <c r="I3581" s="62" t="n">
        <v>320.39</v>
      </c>
      <c r="J3581" s="58" t="inlineStr">
        <is>
          <t>Store</t>
        </is>
      </c>
      <c r="K3581" s="62">
        <f>F3581*(G3581-H3581)</f>
        <v/>
      </c>
      <c r="L3581" s="62">
        <f>K3581-(F3581*I3581)</f>
        <v/>
      </c>
      <c r="M3581" s="64">
        <f>L3581/K3581</f>
        <v/>
      </c>
    </row>
    <row r="3582">
      <c r="A3582" s="58" t="inlineStr">
        <is>
          <t>RT20250402-03581</t>
        </is>
      </c>
      <c r="B3582" s="59" t="inlineStr">
        <is>
          <t>2025-04-02</t>
        </is>
      </c>
      <c r="C3582" s="60" t="inlineStr">
        <is>
          <t>Polar Outdoor X-193</t>
        </is>
      </c>
      <c r="D3582" s="58" t="inlineStr">
        <is>
          <t>Sports</t>
        </is>
      </c>
      <c r="E3582" s="58" t="inlineStr">
        <is>
          <t>West</t>
        </is>
      </c>
      <c r="F3582" s="61" t="n">
        <v>1</v>
      </c>
      <c r="G3582" s="62" t="n">
        <v>694.6900000000001</v>
      </c>
      <c r="H3582" s="63" t="n">
        <v>0.09</v>
      </c>
      <c r="I3582" s="62" t="n">
        <v>459.48</v>
      </c>
      <c r="J3582" s="58" t="inlineStr">
        <is>
          <t>Online</t>
        </is>
      </c>
      <c r="K3582" s="62">
        <f>F3582*(G3582-H3582)</f>
        <v/>
      </c>
      <c r="L3582" s="62">
        <f>K3582-(F3582*I3582)</f>
        <v/>
      </c>
      <c r="M3582" s="64">
        <f>L3582/K3582</f>
        <v/>
      </c>
    </row>
    <row r="3583">
      <c r="A3583" s="58" t="inlineStr">
        <is>
          <t>RT20250402-03582</t>
        </is>
      </c>
      <c r="B3583" s="59" t="inlineStr">
        <is>
          <t>2025-04-02</t>
        </is>
      </c>
      <c r="C3583" s="60" t="inlineStr">
        <is>
          <t>Metro Fragrance Lite-261</t>
        </is>
      </c>
      <c r="D3583" s="58" t="inlineStr">
        <is>
          <t>Beauty</t>
        </is>
      </c>
      <c r="E3583" s="58" t="inlineStr">
        <is>
          <t>West</t>
        </is>
      </c>
      <c r="F3583" s="61" t="n">
        <v>4</v>
      </c>
      <c r="G3583" s="62" t="n">
        <v>89.11</v>
      </c>
      <c r="H3583" s="63" t="n">
        <v>0.058</v>
      </c>
      <c r="I3583" s="62" t="n">
        <v>57.07</v>
      </c>
      <c r="J3583" s="58" t="inlineStr">
        <is>
          <t>Store</t>
        </is>
      </c>
      <c r="K3583" s="62">
        <f>F3583*(G3583-H3583)</f>
        <v/>
      </c>
      <c r="L3583" s="62">
        <f>K3583-(F3583*I3583)</f>
        <v/>
      </c>
      <c r="M3583" s="64">
        <f>L3583/K3583</f>
        <v/>
      </c>
    </row>
    <row r="3584">
      <c r="A3584" s="58" t="inlineStr">
        <is>
          <t>RT20250402-03583</t>
        </is>
      </c>
      <c r="B3584" s="59" t="inlineStr">
        <is>
          <t>2025-04-02</t>
        </is>
      </c>
      <c r="C3584" s="60" t="inlineStr">
        <is>
          <t>Polar Outdoor Lite-318</t>
        </is>
      </c>
      <c r="D3584" s="58" t="inlineStr">
        <is>
          <t>Sports</t>
        </is>
      </c>
      <c r="E3584" s="58" t="inlineStr">
        <is>
          <t>West</t>
        </is>
      </c>
      <c r="F3584" s="61" t="n">
        <v>2</v>
      </c>
      <c r="G3584" s="62" t="n">
        <v>581.35</v>
      </c>
      <c r="H3584" s="63" t="n">
        <v>0.057</v>
      </c>
      <c r="I3584" s="62" t="n">
        <v>465.24</v>
      </c>
      <c r="J3584" s="58" t="inlineStr">
        <is>
          <t>Online</t>
        </is>
      </c>
      <c r="K3584" s="62">
        <f>F3584*(G3584-H3584)</f>
        <v/>
      </c>
      <c r="L3584" s="62">
        <f>K3584-(F3584*I3584)</f>
        <v/>
      </c>
      <c r="M3584" s="64">
        <f>L3584/K3584</f>
        <v/>
      </c>
    </row>
    <row r="3585">
      <c r="A3585" s="58" t="inlineStr">
        <is>
          <t>RT20250402-03584</t>
        </is>
      </c>
      <c r="B3585" s="59" t="inlineStr">
        <is>
          <t>2025-04-02</t>
        </is>
      </c>
      <c r="C3585" s="60" t="inlineStr">
        <is>
          <t>Solace Snack S-691</t>
        </is>
      </c>
      <c r="D3585" s="58" t="inlineStr">
        <is>
          <t>Grocery</t>
        </is>
      </c>
      <c r="E3585" s="58" t="inlineStr">
        <is>
          <t>East</t>
        </is>
      </c>
      <c r="F3585" s="61" t="n">
        <v>4</v>
      </c>
      <c r="G3585" s="62" t="n">
        <v>9.06</v>
      </c>
      <c r="H3585" s="63" t="n">
        <v>0.046</v>
      </c>
      <c r="I3585" s="62" t="n">
        <v>7.26</v>
      </c>
      <c r="J3585" s="58" t="inlineStr">
        <is>
          <t>Online</t>
        </is>
      </c>
      <c r="K3585" s="62">
        <f>F3585*(G3585-H3585)</f>
        <v/>
      </c>
      <c r="L3585" s="62">
        <f>K3585-(F3585*I3585)</f>
        <v/>
      </c>
      <c r="M3585" s="64">
        <f>L3585/K3585</f>
        <v/>
      </c>
    </row>
    <row r="3586">
      <c r="A3586" s="58" t="inlineStr">
        <is>
          <t>RT20250402-03585</t>
        </is>
      </c>
      <c r="B3586" s="59" t="inlineStr">
        <is>
          <t>2025-04-02</t>
        </is>
      </c>
      <c r="C3586" s="60" t="inlineStr">
        <is>
          <t>Aurora Kid Plus-151</t>
        </is>
      </c>
      <c r="D3586" s="58" t="inlineStr">
        <is>
          <t>Apparel</t>
        </is>
      </c>
      <c r="E3586" s="58" t="inlineStr">
        <is>
          <t>Central</t>
        </is>
      </c>
      <c r="F3586" s="61" t="n">
        <v>3</v>
      </c>
      <c r="G3586" s="62" t="n">
        <v>115.29</v>
      </c>
      <c r="H3586" s="63" t="n">
        <v>0.045</v>
      </c>
      <c r="I3586" s="62" t="n">
        <v>65.61</v>
      </c>
      <c r="J3586" s="58" t="inlineStr">
        <is>
          <t>Online</t>
        </is>
      </c>
      <c r="K3586" s="62">
        <f>F3586*(G3586-H3586)</f>
        <v/>
      </c>
      <c r="L3586" s="62">
        <f>K3586-(F3586*I3586)</f>
        <v/>
      </c>
      <c r="M3586" s="64">
        <f>L3586/K3586</f>
        <v/>
      </c>
    </row>
    <row r="3587">
      <c r="A3587" s="58" t="inlineStr">
        <is>
          <t>RT20250402-03586</t>
        </is>
      </c>
      <c r="B3587" s="59" t="inlineStr">
        <is>
          <t>2025-04-02</t>
        </is>
      </c>
      <c r="C3587" s="60" t="inlineStr">
        <is>
          <t>Metro Fragrance Lite-261</t>
        </is>
      </c>
      <c r="D3587" s="58" t="inlineStr">
        <is>
          <t>Beauty</t>
        </is>
      </c>
      <c r="E3587" s="58" t="inlineStr">
        <is>
          <t>East</t>
        </is>
      </c>
      <c r="F3587" s="61" t="n">
        <v>1</v>
      </c>
      <c r="G3587" s="62" t="n">
        <v>95.58</v>
      </c>
      <c r="H3587" s="63" t="n">
        <v>0.044</v>
      </c>
      <c r="I3587" s="62" t="n">
        <v>54.64</v>
      </c>
      <c r="J3587" s="58" t="inlineStr">
        <is>
          <t>Store</t>
        </is>
      </c>
      <c r="K3587" s="62">
        <f>F3587*(G3587-H3587)</f>
        <v/>
      </c>
      <c r="L3587" s="62">
        <f>K3587-(F3587*I3587)</f>
        <v/>
      </c>
      <c r="M3587" s="64">
        <f>L3587/K3587</f>
        <v/>
      </c>
    </row>
    <row r="3588">
      <c r="A3588" s="58" t="inlineStr">
        <is>
          <t>RT20250402-03587</t>
        </is>
      </c>
      <c r="B3588" s="59" t="inlineStr">
        <is>
          <t>2025-04-02</t>
        </is>
      </c>
      <c r="C3588" s="60" t="inlineStr">
        <is>
          <t>Falcon Bedding S-674</t>
        </is>
      </c>
      <c r="D3588" s="58" t="inlineStr">
        <is>
          <t>Home</t>
        </is>
      </c>
      <c r="E3588" s="58" t="inlineStr">
        <is>
          <t>Central</t>
        </is>
      </c>
      <c r="F3588" s="61" t="n">
        <v>3</v>
      </c>
      <c r="G3588" s="62" t="n">
        <v>711.96</v>
      </c>
      <c r="H3588" s="63" t="n">
        <v>0.003</v>
      </c>
      <c r="I3588" s="62" t="n">
        <v>443.23</v>
      </c>
      <c r="J3588" s="58" t="inlineStr">
        <is>
          <t>Store</t>
        </is>
      </c>
      <c r="K3588" s="62">
        <f>F3588*(G3588-H3588)</f>
        <v/>
      </c>
      <c r="L3588" s="62">
        <f>K3588-(F3588*I3588)</f>
        <v/>
      </c>
      <c r="M3588" s="64">
        <f>L3588/K3588</f>
        <v/>
      </c>
    </row>
    <row r="3589">
      <c r="A3589" s="58" t="inlineStr">
        <is>
          <t>RT20250402-03588</t>
        </is>
      </c>
      <c r="B3589" s="59" t="inlineStr">
        <is>
          <t>2025-04-02</t>
        </is>
      </c>
      <c r="C3589" s="60" t="inlineStr">
        <is>
          <t>Vertex Fitnes Pro-830</t>
        </is>
      </c>
      <c r="D3589" s="58" t="inlineStr">
        <is>
          <t>Sports</t>
        </is>
      </c>
      <c r="E3589" s="58" t="inlineStr">
        <is>
          <t>North</t>
        </is>
      </c>
      <c r="F3589" s="61" t="n">
        <v>2</v>
      </c>
      <c r="G3589" s="62" t="n">
        <v>670.97</v>
      </c>
      <c r="H3589" s="63" t="n">
        <v>0.079</v>
      </c>
      <c r="I3589" s="62" t="n">
        <v>465.4</v>
      </c>
      <c r="J3589" s="58" t="inlineStr">
        <is>
          <t>Store</t>
        </is>
      </c>
      <c r="K3589" s="62">
        <f>F3589*(G3589-H3589)</f>
        <v/>
      </c>
      <c r="L3589" s="62">
        <f>K3589-(F3589*I3589)</f>
        <v/>
      </c>
      <c r="M3589" s="64">
        <f>L3589/K3589</f>
        <v/>
      </c>
    </row>
    <row r="3590">
      <c r="A3590" s="58" t="inlineStr">
        <is>
          <t>RT20250403-03589</t>
        </is>
      </c>
      <c r="B3590" s="59" t="inlineStr">
        <is>
          <t>2025-04-03</t>
        </is>
      </c>
      <c r="C3590" s="60" t="inlineStr">
        <is>
          <t>Falcon Skincare Max-151</t>
        </is>
      </c>
      <c r="D3590" s="58" t="inlineStr">
        <is>
          <t>Beauty</t>
        </is>
      </c>
      <c r="E3590" s="58" t="inlineStr">
        <is>
          <t>West</t>
        </is>
      </c>
      <c r="F3590" s="61" t="n">
        <v>2</v>
      </c>
      <c r="G3590" s="62" t="n">
        <v>99.43000000000001</v>
      </c>
      <c r="H3590" s="63" t="n">
        <v>0.079</v>
      </c>
      <c r="I3590" s="62" t="n">
        <v>58.58</v>
      </c>
      <c r="J3590" s="58" t="inlineStr">
        <is>
          <t>Online</t>
        </is>
      </c>
      <c r="K3590" s="62">
        <f>F3590*(G3590-H3590)</f>
        <v/>
      </c>
      <c r="L3590" s="62">
        <f>K3590-(F3590*I3590)</f>
        <v/>
      </c>
      <c r="M3590" s="64">
        <f>L3590/K3590</f>
        <v/>
      </c>
    </row>
    <row r="3591">
      <c r="A3591" s="58" t="inlineStr">
        <is>
          <t>RT20250403-03590</t>
        </is>
      </c>
      <c r="B3591" s="59" t="inlineStr">
        <is>
          <t>2025-04-03</t>
        </is>
      </c>
      <c r="C3591" s="60" t="inlineStr">
        <is>
          <t>Solace Bedding Plus-317</t>
        </is>
      </c>
      <c r="D3591" s="58" t="inlineStr">
        <is>
          <t>Home</t>
        </is>
      </c>
      <c r="E3591" s="58" t="inlineStr">
        <is>
          <t>West</t>
        </is>
      </c>
      <c r="F3591" s="61" t="n">
        <v>2</v>
      </c>
      <c r="G3591" s="62" t="n">
        <v>610.65</v>
      </c>
      <c r="H3591" s="63" t="n">
        <v>0.111</v>
      </c>
      <c r="I3591" s="62" t="n">
        <v>376.27</v>
      </c>
      <c r="J3591" s="58" t="inlineStr">
        <is>
          <t>Store</t>
        </is>
      </c>
      <c r="K3591" s="62">
        <f>F3591*(G3591-H3591)</f>
        <v/>
      </c>
      <c r="L3591" s="62">
        <f>K3591-(F3591*I3591)</f>
        <v/>
      </c>
      <c r="M3591" s="64">
        <f>L3591/K3591</f>
        <v/>
      </c>
    </row>
    <row r="3592">
      <c r="A3592" s="58" t="inlineStr">
        <is>
          <t>RT20250403-03591</t>
        </is>
      </c>
      <c r="B3592" s="59" t="inlineStr">
        <is>
          <t>2025-04-03</t>
        </is>
      </c>
      <c r="C3592" s="60" t="inlineStr">
        <is>
          <t>Orion Fragrance Lite-785</t>
        </is>
      </c>
      <c r="D3592" s="58" t="inlineStr">
        <is>
          <t>Beauty</t>
        </is>
      </c>
      <c r="E3592" s="58" t="inlineStr">
        <is>
          <t>East</t>
        </is>
      </c>
      <c r="F3592" s="61" t="n">
        <v>3</v>
      </c>
      <c r="G3592" s="62" t="n">
        <v>48.78</v>
      </c>
      <c r="H3592" s="63" t="n">
        <v>0.033</v>
      </c>
      <c r="I3592" s="62" t="n">
        <v>27.16</v>
      </c>
      <c r="J3592" s="58" t="inlineStr">
        <is>
          <t>Store</t>
        </is>
      </c>
      <c r="K3592" s="62">
        <f>F3592*(G3592-H3592)</f>
        <v/>
      </c>
      <c r="L3592" s="62">
        <f>K3592-(F3592*I3592)</f>
        <v/>
      </c>
      <c r="M3592" s="64">
        <f>L3592/K3592</f>
        <v/>
      </c>
    </row>
    <row r="3593">
      <c r="A3593" s="58" t="inlineStr">
        <is>
          <t>RT20250403-03592</t>
        </is>
      </c>
      <c r="B3593" s="59" t="inlineStr">
        <is>
          <t>2025-04-03</t>
        </is>
      </c>
      <c r="C3593" s="60" t="inlineStr">
        <is>
          <t>Polar Beverage S-258</t>
        </is>
      </c>
      <c r="D3593" s="58" t="inlineStr">
        <is>
          <t>Grocery</t>
        </is>
      </c>
      <c r="E3593" s="58" t="inlineStr">
        <is>
          <t>North</t>
        </is>
      </c>
      <c r="F3593" s="61" t="n">
        <v>6</v>
      </c>
      <c r="G3593" s="62" t="n">
        <v>14.11</v>
      </c>
      <c r="H3593" s="63" t="n">
        <v>0</v>
      </c>
      <c r="I3593" s="62" t="n">
        <v>9.460000000000001</v>
      </c>
      <c r="J3593" s="58" t="inlineStr">
        <is>
          <t>Store</t>
        </is>
      </c>
      <c r="K3593" s="62">
        <f>F3593*(G3593-H3593)</f>
        <v/>
      </c>
      <c r="L3593" s="62">
        <f>K3593-(F3593*I3593)</f>
        <v/>
      </c>
      <c r="M3593" s="64">
        <f>L3593/K3593</f>
        <v/>
      </c>
    </row>
    <row r="3594">
      <c r="A3594" s="58" t="inlineStr">
        <is>
          <t>RT20250403-03593</t>
        </is>
      </c>
      <c r="B3594" s="59" t="inlineStr">
        <is>
          <t>2025-04-03</t>
        </is>
      </c>
      <c r="C3594" s="60" t="inlineStr">
        <is>
          <t>Orion Laptop S-350</t>
        </is>
      </c>
      <c r="D3594" s="58" t="inlineStr">
        <is>
          <t>Electronics</t>
        </is>
      </c>
      <c r="E3594" s="58" t="inlineStr">
        <is>
          <t>East</t>
        </is>
      </c>
      <c r="F3594" s="61" t="n">
        <v>2</v>
      </c>
      <c r="G3594" s="62" t="n">
        <v>1449.71</v>
      </c>
      <c r="H3594" s="63" t="n">
        <v>0.041</v>
      </c>
      <c r="I3594" s="62" t="n">
        <v>1060.54</v>
      </c>
      <c r="J3594" s="58" t="inlineStr">
        <is>
          <t>Store</t>
        </is>
      </c>
      <c r="K3594" s="62">
        <f>F3594*(G3594-H3594)</f>
        <v/>
      </c>
      <c r="L3594" s="62">
        <f>K3594-(F3594*I3594)</f>
        <v/>
      </c>
      <c r="M3594" s="64">
        <f>L3594/K3594</f>
        <v/>
      </c>
    </row>
    <row r="3595">
      <c r="A3595" s="58" t="inlineStr">
        <is>
          <t>RT20250403-03594</t>
        </is>
      </c>
      <c r="B3595" s="59" t="inlineStr">
        <is>
          <t>2025-04-03</t>
        </is>
      </c>
      <c r="C3595" s="60" t="inlineStr">
        <is>
          <t>Aurora Makeup S-626</t>
        </is>
      </c>
      <c r="D3595" s="58" t="inlineStr">
        <is>
          <t>Beauty</t>
        </is>
      </c>
      <c r="E3595" s="58" t="inlineStr">
        <is>
          <t>East</t>
        </is>
      </c>
      <c r="F3595" s="61" t="n">
        <v>4</v>
      </c>
      <c r="G3595" s="62" t="n">
        <v>114.9</v>
      </c>
      <c r="H3595" s="63" t="n">
        <v>0.027</v>
      </c>
      <c r="I3595" s="62" t="n">
        <v>63.65</v>
      </c>
      <c r="J3595" s="58" t="inlineStr">
        <is>
          <t>Store</t>
        </is>
      </c>
      <c r="K3595" s="62">
        <f>F3595*(G3595-H3595)</f>
        <v/>
      </c>
      <c r="L3595" s="62">
        <f>K3595-(F3595*I3595)</f>
        <v/>
      </c>
      <c r="M3595" s="64">
        <f>L3595/K3595</f>
        <v/>
      </c>
    </row>
    <row r="3596">
      <c r="A3596" s="58" t="inlineStr">
        <is>
          <t>RT20250403-03595</t>
        </is>
      </c>
      <c r="B3596" s="59" t="inlineStr">
        <is>
          <t>2025-04-03</t>
        </is>
      </c>
      <c r="C3596" s="60" t="inlineStr">
        <is>
          <t>Aurora Storage Lite-774</t>
        </is>
      </c>
      <c r="D3596" s="58" t="inlineStr">
        <is>
          <t>Office</t>
        </is>
      </c>
      <c r="E3596" s="58" t="inlineStr">
        <is>
          <t>North</t>
        </is>
      </c>
      <c r="F3596" s="61" t="n">
        <v>2</v>
      </c>
      <c r="G3596" s="62" t="n">
        <v>358.2</v>
      </c>
      <c r="H3596" s="63" t="n">
        <v>0.08400000000000001</v>
      </c>
      <c r="I3596" s="62" t="n">
        <v>236.17</v>
      </c>
      <c r="J3596" s="58" t="inlineStr">
        <is>
          <t>Online</t>
        </is>
      </c>
      <c r="K3596" s="62">
        <f>F3596*(G3596-H3596)</f>
        <v/>
      </c>
      <c r="L3596" s="62">
        <f>K3596-(F3596*I3596)</f>
        <v/>
      </c>
      <c r="M3596" s="64">
        <f>L3596/K3596</f>
        <v/>
      </c>
    </row>
    <row r="3597">
      <c r="A3597" s="58" t="inlineStr">
        <is>
          <t>RT20250403-03596</t>
        </is>
      </c>
      <c r="B3597" s="59" t="inlineStr">
        <is>
          <t>2025-04-03</t>
        </is>
      </c>
      <c r="C3597" s="60" t="inlineStr">
        <is>
          <t>Falcon Beverage Max-702</t>
        </is>
      </c>
      <c r="D3597" s="58" t="inlineStr">
        <is>
          <t>Grocery</t>
        </is>
      </c>
      <c r="E3597" s="58" t="inlineStr">
        <is>
          <t>East</t>
        </is>
      </c>
      <c r="F3597" s="61" t="n">
        <v>7</v>
      </c>
      <c r="G3597" s="62" t="n">
        <v>27.99</v>
      </c>
      <c r="H3597" s="63" t="n">
        <v>0.044</v>
      </c>
      <c r="I3597" s="62" t="n">
        <v>20.15</v>
      </c>
      <c r="J3597" s="58" t="inlineStr">
        <is>
          <t>Store</t>
        </is>
      </c>
      <c r="K3597" s="62">
        <f>F3597*(G3597-H3597)</f>
        <v/>
      </c>
      <c r="L3597" s="62">
        <f>K3597-(F3597*I3597)</f>
        <v/>
      </c>
      <c r="M3597" s="64">
        <f>L3597/K3597</f>
        <v/>
      </c>
    </row>
    <row r="3598">
      <c r="A3598" s="58" t="inlineStr">
        <is>
          <t>RT20250403-03597</t>
        </is>
      </c>
      <c r="B3598" s="59" t="inlineStr">
        <is>
          <t>2025-04-03</t>
        </is>
      </c>
      <c r="C3598" s="60" t="inlineStr">
        <is>
          <t>Nimbus Fitnes Lite-516</t>
        </is>
      </c>
      <c r="D3598" s="58" t="inlineStr">
        <is>
          <t>Sports</t>
        </is>
      </c>
      <c r="E3598" s="58" t="inlineStr">
        <is>
          <t>West</t>
        </is>
      </c>
      <c r="F3598" s="61" t="n">
        <v>3</v>
      </c>
      <c r="G3598" s="62" t="n">
        <v>737.8</v>
      </c>
      <c r="H3598" s="63" t="n">
        <v>0.007</v>
      </c>
      <c r="I3598" s="62" t="n">
        <v>463.78</v>
      </c>
      <c r="J3598" s="58" t="inlineStr">
        <is>
          <t>Online</t>
        </is>
      </c>
      <c r="K3598" s="62">
        <f>F3598*(G3598-H3598)</f>
        <v/>
      </c>
      <c r="L3598" s="62">
        <f>K3598-(F3598*I3598)</f>
        <v/>
      </c>
      <c r="M3598" s="64">
        <f>L3598/K3598</f>
        <v/>
      </c>
    </row>
    <row r="3599">
      <c r="A3599" s="58" t="inlineStr">
        <is>
          <t>RT20250403-03598</t>
        </is>
      </c>
      <c r="B3599" s="59" t="inlineStr">
        <is>
          <t>2025-04-03</t>
        </is>
      </c>
      <c r="C3599" s="60" t="inlineStr">
        <is>
          <t>Polar Beverage S-258</t>
        </is>
      </c>
      <c r="D3599" s="58" t="inlineStr">
        <is>
          <t>Grocery</t>
        </is>
      </c>
      <c r="E3599" s="58" t="inlineStr">
        <is>
          <t>South</t>
        </is>
      </c>
      <c r="F3599" s="61" t="n">
        <v>2</v>
      </c>
      <c r="G3599" s="62" t="n">
        <v>12.61</v>
      </c>
      <c r="H3599" s="63" t="n">
        <v>0.078</v>
      </c>
      <c r="I3599" s="62" t="n">
        <v>9.859999999999999</v>
      </c>
      <c r="J3599" s="58" t="inlineStr">
        <is>
          <t>Phone</t>
        </is>
      </c>
      <c r="K3599" s="62">
        <f>F3599*(G3599-H3599)</f>
        <v/>
      </c>
      <c r="L3599" s="62">
        <f>K3599-(F3599*I3599)</f>
        <v/>
      </c>
      <c r="M3599" s="64">
        <f>L3599/K3599</f>
        <v/>
      </c>
    </row>
    <row r="3600">
      <c r="A3600" s="58" t="inlineStr">
        <is>
          <t>RT20250403-03599</t>
        </is>
      </c>
      <c r="B3600" s="59" t="inlineStr">
        <is>
          <t>2025-04-03</t>
        </is>
      </c>
      <c r="C3600" s="60" t="inlineStr">
        <is>
          <t>Orion Team Sport X-926</t>
        </is>
      </c>
      <c r="D3600" s="58" t="inlineStr">
        <is>
          <t>Sports</t>
        </is>
      </c>
      <c r="E3600" s="58" t="inlineStr">
        <is>
          <t>South</t>
        </is>
      </c>
      <c r="F3600" s="61" t="n">
        <v>2</v>
      </c>
      <c r="G3600" s="62" t="n">
        <v>308.17</v>
      </c>
      <c r="H3600" s="63" t="n">
        <v>0.054</v>
      </c>
      <c r="I3600" s="62" t="n">
        <v>218.3</v>
      </c>
      <c r="J3600" s="58" t="inlineStr">
        <is>
          <t>Store</t>
        </is>
      </c>
      <c r="K3600" s="62">
        <f>F3600*(G3600-H3600)</f>
        <v/>
      </c>
      <c r="L3600" s="62">
        <f>K3600-(F3600*I3600)</f>
        <v/>
      </c>
      <c r="M3600" s="64">
        <f>L3600/K3600</f>
        <v/>
      </c>
    </row>
    <row r="3601">
      <c r="A3601" s="58" t="inlineStr">
        <is>
          <t>RT20250403-03600</t>
        </is>
      </c>
      <c r="B3601" s="59" t="inlineStr">
        <is>
          <t>2025-04-03</t>
        </is>
      </c>
      <c r="C3601" s="60" t="inlineStr">
        <is>
          <t>Orion Haircare Plus-887</t>
        </is>
      </c>
      <c r="D3601" s="58" t="inlineStr">
        <is>
          <t>Beauty</t>
        </is>
      </c>
      <c r="E3601" s="58" t="inlineStr">
        <is>
          <t>East</t>
        </is>
      </c>
      <c r="F3601" s="61" t="n">
        <v>1</v>
      </c>
      <c r="G3601" s="62" t="n">
        <v>53.18</v>
      </c>
      <c r="H3601" s="63" t="n">
        <v>0.051</v>
      </c>
      <c r="I3601" s="62" t="n">
        <v>31.8</v>
      </c>
      <c r="J3601" s="58" t="inlineStr">
        <is>
          <t>Store</t>
        </is>
      </c>
      <c r="K3601" s="62">
        <f>F3601*(G3601-H3601)</f>
        <v/>
      </c>
      <c r="L3601" s="62">
        <f>K3601-(F3601*I3601)</f>
        <v/>
      </c>
      <c r="M3601" s="64">
        <f>L3601/K3601</f>
        <v/>
      </c>
    </row>
    <row r="3602">
      <c r="A3602" s="58" t="inlineStr">
        <is>
          <t>RT20250403-03601</t>
        </is>
      </c>
      <c r="B3602" s="59" t="inlineStr">
        <is>
          <t>2025-04-03</t>
        </is>
      </c>
      <c r="C3602" s="60" t="inlineStr">
        <is>
          <t>Metro Smartphone Max-773</t>
        </is>
      </c>
      <c r="D3602" s="58" t="inlineStr">
        <is>
          <t>Electronics</t>
        </is>
      </c>
      <c r="E3602" s="58" t="inlineStr">
        <is>
          <t>South</t>
        </is>
      </c>
      <c r="F3602" s="61" t="n">
        <v>1</v>
      </c>
      <c r="G3602" s="62" t="n">
        <v>1248.45</v>
      </c>
      <c r="H3602" s="63" t="n">
        <v>0.029</v>
      </c>
      <c r="I3602" s="62" t="n">
        <v>1145.5</v>
      </c>
      <c r="J3602" s="58" t="inlineStr">
        <is>
          <t>Phone</t>
        </is>
      </c>
      <c r="K3602" s="62">
        <f>F3602*(G3602-H3602)</f>
        <v/>
      </c>
      <c r="L3602" s="62">
        <f>K3602-(F3602*I3602)</f>
        <v/>
      </c>
      <c r="M3602" s="64">
        <f>L3602/K3602</f>
        <v/>
      </c>
    </row>
    <row r="3603">
      <c r="A3603" s="58" t="inlineStr">
        <is>
          <t>RT20250403-03602</t>
        </is>
      </c>
      <c r="B3603" s="59" t="inlineStr">
        <is>
          <t>2025-04-03</t>
        </is>
      </c>
      <c r="C3603" s="60" t="inlineStr">
        <is>
          <t>Polar Cycling X-649</t>
        </is>
      </c>
      <c r="D3603" s="58" t="inlineStr">
        <is>
          <t>Sports</t>
        </is>
      </c>
      <c r="E3603" s="58" t="inlineStr">
        <is>
          <t>South</t>
        </is>
      </c>
      <c r="F3603" s="61" t="n">
        <v>2</v>
      </c>
      <c r="G3603" s="62" t="n">
        <v>497.47</v>
      </c>
      <c r="H3603" s="63" t="n">
        <v>0.045</v>
      </c>
      <c r="I3603" s="62" t="n">
        <v>361.1</v>
      </c>
      <c r="J3603" s="58" t="inlineStr">
        <is>
          <t>Online</t>
        </is>
      </c>
      <c r="K3603" s="62">
        <f>F3603*(G3603-H3603)</f>
        <v/>
      </c>
      <c r="L3603" s="62">
        <f>K3603-(F3603*I3603)</f>
        <v/>
      </c>
      <c r="M3603" s="64">
        <f>L3603/K3603</f>
        <v/>
      </c>
    </row>
    <row r="3604">
      <c r="A3604" s="58" t="inlineStr">
        <is>
          <t>RT20250403-03603</t>
        </is>
      </c>
      <c r="B3604" s="59" t="inlineStr">
        <is>
          <t>2025-04-03</t>
        </is>
      </c>
      <c r="C3604" s="60" t="inlineStr">
        <is>
          <t>Falcon Household Plus-172</t>
        </is>
      </c>
      <c r="D3604" s="58" t="inlineStr">
        <is>
          <t>Grocery</t>
        </is>
      </c>
      <c r="E3604" s="58" t="inlineStr">
        <is>
          <t>North</t>
        </is>
      </c>
      <c r="F3604" s="61" t="n">
        <v>3</v>
      </c>
      <c r="G3604" s="62" t="n">
        <v>20.77</v>
      </c>
      <c r="H3604" s="63" t="n">
        <v>0.056</v>
      </c>
      <c r="I3604" s="62" t="n">
        <v>16.1</v>
      </c>
      <c r="J3604" s="58" t="inlineStr">
        <is>
          <t>Online</t>
        </is>
      </c>
      <c r="K3604" s="62">
        <f>F3604*(G3604-H3604)</f>
        <v/>
      </c>
      <c r="L3604" s="62">
        <f>K3604-(F3604*I3604)</f>
        <v/>
      </c>
      <c r="M3604" s="64">
        <f>L3604/K3604</f>
        <v/>
      </c>
    </row>
    <row r="3605">
      <c r="A3605" s="58" t="inlineStr">
        <is>
          <t>RT20250403-03604</t>
        </is>
      </c>
      <c r="B3605" s="59" t="inlineStr">
        <is>
          <t>2025-04-03</t>
        </is>
      </c>
      <c r="C3605" s="60" t="inlineStr">
        <is>
          <t>Aurora Smartphone Plus-125</t>
        </is>
      </c>
      <c r="D3605" s="58" t="inlineStr">
        <is>
          <t>Electronics</t>
        </is>
      </c>
      <c r="E3605" s="58" t="inlineStr">
        <is>
          <t>East</t>
        </is>
      </c>
      <c r="F3605" s="61" t="n">
        <v>2</v>
      </c>
      <c r="G3605" s="62" t="n">
        <v>1646.6</v>
      </c>
      <c r="H3605" s="63" t="n">
        <v>0.029</v>
      </c>
      <c r="I3605" s="62" t="n">
        <v>1229.2</v>
      </c>
      <c r="J3605" s="58" t="inlineStr">
        <is>
          <t>Store</t>
        </is>
      </c>
      <c r="K3605" s="62">
        <f>F3605*(G3605-H3605)</f>
        <v/>
      </c>
      <c r="L3605" s="62">
        <f>K3605-(F3605*I3605)</f>
        <v/>
      </c>
      <c r="M3605" s="64">
        <f>L3605/K3605</f>
        <v/>
      </c>
    </row>
    <row r="3606">
      <c r="A3606" s="58" t="inlineStr">
        <is>
          <t>RT20250403-03605</t>
        </is>
      </c>
      <c r="B3606" s="59" t="inlineStr">
        <is>
          <t>2025-04-03</t>
        </is>
      </c>
      <c r="C3606" s="60" t="inlineStr">
        <is>
          <t>Vertex Furniture S-652</t>
        </is>
      </c>
      <c r="D3606" s="58" t="inlineStr">
        <is>
          <t>Office</t>
        </is>
      </c>
      <c r="E3606" s="58" t="inlineStr">
        <is>
          <t>Central</t>
        </is>
      </c>
      <c r="F3606" s="61" t="n">
        <v>3</v>
      </c>
      <c r="G3606" s="62" t="n">
        <v>364.72</v>
      </c>
      <c r="H3606" s="63" t="n">
        <v>0.067</v>
      </c>
      <c r="I3606" s="62" t="n">
        <v>268.62</v>
      </c>
      <c r="J3606" s="58" t="inlineStr">
        <is>
          <t>Online</t>
        </is>
      </c>
      <c r="K3606" s="62">
        <f>F3606*(G3606-H3606)</f>
        <v/>
      </c>
      <c r="L3606" s="62">
        <f>K3606-(F3606*I3606)</f>
        <v/>
      </c>
      <c r="M3606" s="64">
        <f>L3606/K3606</f>
        <v/>
      </c>
    </row>
    <row r="3607">
      <c r="A3607" s="58" t="inlineStr">
        <is>
          <t>RT20250403-03606</t>
        </is>
      </c>
      <c r="B3607" s="59" t="inlineStr">
        <is>
          <t>2025-04-03</t>
        </is>
      </c>
      <c r="C3607" s="60" t="inlineStr">
        <is>
          <t>Vertex Supplie Pro-786</t>
        </is>
      </c>
      <c r="D3607" s="58" t="inlineStr">
        <is>
          <t>Office</t>
        </is>
      </c>
      <c r="E3607" s="58" t="inlineStr">
        <is>
          <t>North</t>
        </is>
      </c>
      <c r="F3607" s="61" t="n">
        <v>3</v>
      </c>
      <c r="G3607" s="62" t="n">
        <v>392.2</v>
      </c>
      <c r="H3607" s="63" t="n">
        <v>0.06900000000000001</v>
      </c>
      <c r="I3607" s="62" t="n">
        <v>297.21</v>
      </c>
      <c r="J3607" s="58" t="inlineStr">
        <is>
          <t>Online</t>
        </is>
      </c>
      <c r="K3607" s="62">
        <f>F3607*(G3607-H3607)</f>
        <v/>
      </c>
      <c r="L3607" s="62">
        <f>K3607-(F3607*I3607)</f>
        <v/>
      </c>
      <c r="M3607" s="64">
        <f>L3607/K3607</f>
        <v/>
      </c>
    </row>
    <row r="3608">
      <c r="A3608" s="58" t="inlineStr">
        <is>
          <t>RT20250403-03607</t>
        </is>
      </c>
      <c r="B3608" s="59" t="inlineStr">
        <is>
          <t>2025-04-03</t>
        </is>
      </c>
      <c r="C3608" s="60" t="inlineStr">
        <is>
          <t>Nimbus Storage Plus-646</t>
        </is>
      </c>
      <c r="D3608" s="58" t="inlineStr">
        <is>
          <t>Office</t>
        </is>
      </c>
      <c r="E3608" s="58" t="inlineStr">
        <is>
          <t>East</t>
        </is>
      </c>
      <c r="F3608" s="61" t="n">
        <v>1</v>
      </c>
      <c r="G3608" s="62" t="n">
        <v>487</v>
      </c>
      <c r="H3608" s="63" t="n">
        <v>0.073</v>
      </c>
      <c r="I3608" s="62" t="n">
        <v>323.08</v>
      </c>
      <c r="J3608" s="58" t="inlineStr">
        <is>
          <t>Store</t>
        </is>
      </c>
      <c r="K3608" s="62">
        <f>F3608*(G3608-H3608)</f>
        <v/>
      </c>
      <c r="L3608" s="62">
        <f>K3608-(F3608*I3608)</f>
        <v/>
      </c>
      <c r="M3608" s="64">
        <f>L3608/K3608</f>
        <v/>
      </c>
    </row>
    <row r="3609">
      <c r="A3609" s="58" t="inlineStr">
        <is>
          <t>RT20250403-03608</t>
        </is>
      </c>
      <c r="B3609" s="59" t="inlineStr">
        <is>
          <t>2025-04-03</t>
        </is>
      </c>
      <c r="C3609" s="60" t="inlineStr">
        <is>
          <t>Polar Pantry Lite-392</t>
        </is>
      </c>
      <c r="D3609" s="58" t="inlineStr">
        <is>
          <t>Grocery</t>
        </is>
      </c>
      <c r="E3609" s="58" t="inlineStr">
        <is>
          <t>West</t>
        </is>
      </c>
      <c r="F3609" s="61" t="n">
        <v>3</v>
      </c>
      <c r="G3609" s="62" t="n">
        <v>6.01</v>
      </c>
      <c r="H3609" s="63" t="n">
        <v>0.08500000000000001</v>
      </c>
      <c r="I3609" s="62" t="n">
        <v>4.55</v>
      </c>
      <c r="J3609" s="58" t="inlineStr">
        <is>
          <t>Phone</t>
        </is>
      </c>
      <c r="K3609" s="62">
        <f>F3609*(G3609-H3609)</f>
        <v/>
      </c>
      <c r="L3609" s="62">
        <f>K3609-(F3609*I3609)</f>
        <v/>
      </c>
      <c r="M3609" s="64">
        <f>L3609/K3609</f>
        <v/>
      </c>
    </row>
    <row r="3610">
      <c r="A3610" s="58" t="inlineStr">
        <is>
          <t>RT20250403-03609</t>
        </is>
      </c>
      <c r="B3610" s="59" t="inlineStr">
        <is>
          <t>2025-04-03</t>
        </is>
      </c>
      <c r="C3610" s="60" t="inlineStr">
        <is>
          <t>Metro Accessorie Lite-697</t>
        </is>
      </c>
      <c r="D3610" s="58" t="inlineStr">
        <is>
          <t>Apparel</t>
        </is>
      </c>
      <c r="E3610" s="58" t="inlineStr">
        <is>
          <t>West</t>
        </is>
      </c>
      <c r="F3610" s="61" t="n">
        <v>4</v>
      </c>
      <c r="G3610" s="62" t="n">
        <v>135.39</v>
      </c>
      <c r="H3610" s="63" t="n">
        <v>0.073</v>
      </c>
      <c r="I3610" s="62" t="n">
        <v>78.43000000000001</v>
      </c>
      <c r="J3610" s="58" t="inlineStr">
        <is>
          <t>Online</t>
        </is>
      </c>
      <c r="K3610" s="62">
        <f>F3610*(G3610-H3610)</f>
        <v/>
      </c>
      <c r="L3610" s="62">
        <f>K3610-(F3610*I3610)</f>
        <v/>
      </c>
      <c r="M3610" s="64">
        <f>L3610/K3610</f>
        <v/>
      </c>
    </row>
    <row r="3611">
      <c r="A3611" s="58" t="inlineStr">
        <is>
          <t>RT20250403-03610</t>
        </is>
      </c>
      <c r="B3611" s="59" t="inlineStr">
        <is>
          <t>2025-04-03</t>
        </is>
      </c>
      <c r="C3611" s="60" t="inlineStr">
        <is>
          <t>Polar Cycling X-649</t>
        </is>
      </c>
      <c r="D3611" s="58" t="inlineStr">
        <is>
          <t>Sports</t>
        </is>
      </c>
      <c r="E3611" s="58" t="inlineStr">
        <is>
          <t>South</t>
        </is>
      </c>
      <c r="F3611" s="61" t="n">
        <v>3</v>
      </c>
      <c r="G3611" s="62" t="n">
        <v>567.8200000000001</v>
      </c>
      <c r="H3611" s="63" t="n">
        <v>0.073</v>
      </c>
      <c r="I3611" s="62" t="n">
        <v>361.57</v>
      </c>
      <c r="J3611" s="58" t="inlineStr">
        <is>
          <t>Online</t>
        </is>
      </c>
      <c r="K3611" s="62">
        <f>F3611*(G3611-H3611)</f>
        <v/>
      </c>
      <c r="L3611" s="62">
        <f>K3611-(F3611*I3611)</f>
        <v/>
      </c>
      <c r="M3611" s="64">
        <f>L3611/K3611</f>
        <v/>
      </c>
    </row>
    <row r="3612">
      <c r="A3612" s="58" t="inlineStr">
        <is>
          <t>RT20250403-03611</t>
        </is>
      </c>
      <c r="B3612" s="59" t="inlineStr">
        <is>
          <t>2025-04-03</t>
        </is>
      </c>
      <c r="C3612" s="60" t="inlineStr">
        <is>
          <t>Polar Women Max-927</t>
        </is>
      </c>
      <c r="D3612" s="58" t="inlineStr">
        <is>
          <t>Apparel</t>
        </is>
      </c>
      <c r="E3612" s="58" t="inlineStr">
        <is>
          <t>East</t>
        </is>
      </c>
      <c r="F3612" s="61" t="n">
        <v>1</v>
      </c>
      <c r="G3612" s="62" t="n">
        <v>133.47</v>
      </c>
      <c r="H3612" s="63" t="n">
        <v>0.048</v>
      </c>
      <c r="I3612" s="62" t="n">
        <v>66.09999999999999</v>
      </c>
      <c r="J3612" s="58" t="inlineStr">
        <is>
          <t>Store</t>
        </is>
      </c>
      <c r="K3612" s="62">
        <f>F3612*(G3612-H3612)</f>
        <v/>
      </c>
      <c r="L3612" s="62">
        <f>K3612-(F3612*I3612)</f>
        <v/>
      </c>
      <c r="M3612" s="64">
        <f>L3612/K3612</f>
        <v/>
      </c>
    </row>
    <row r="3613">
      <c r="A3613" s="58" t="inlineStr">
        <is>
          <t>RT20250403-03612</t>
        </is>
      </c>
      <c r="B3613" s="59" t="inlineStr">
        <is>
          <t>2025-04-03</t>
        </is>
      </c>
      <c r="C3613" s="60" t="inlineStr">
        <is>
          <t>Falcon Team Sport Lite-268</t>
        </is>
      </c>
      <c r="D3613" s="58" t="inlineStr">
        <is>
          <t>Sports</t>
        </is>
      </c>
      <c r="E3613" s="58" t="inlineStr">
        <is>
          <t>West</t>
        </is>
      </c>
      <c r="F3613" s="61" t="n">
        <v>2</v>
      </c>
      <c r="G3613" s="62" t="n">
        <v>649.14</v>
      </c>
      <c r="H3613" s="63" t="n">
        <v>0.08599999999999999</v>
      </c>
      <c r="I3613" s="62" t="n">
        <v>434.49</v>
      </c>
      <c r="J3613" s="58" t="inlineStr">
        <is>
          <t>Store</t>
        </is>
      </c>
      <c r="K3613" s="62">
        <f>F3613*(G3613-H3613)</f>
        <v/>
      </c>
      <c r="L3613" s="62">
        <f>K3613-(F3613*I3613)</f>
        <v/>
      </c>
      <c r="M3613" s="64">
        <f>L3613/K3613</f>
        <v/>
      </c>
    </row>
    <row r="3614">
      <c r="A3614" s="58" t="inlineStr">
        <is>
          <t>RT20250403-03613</t>
        </is>
      </c>
      <c r="B3614" s="59" t="inlineStr">
        <is>
          <t>2025-04-03</t>
        </is>
      </c>
      <c r="C3614" s="60" t="inlineStr">
        <is>
          <t>Solace Kitchen X-919</t>
        </is>
      </c>
      <c r="D3614" s="58" t="inlineStr">
        <is>
          <t>Home</t>
        </is>
      </c>
      <c r="E3614" s="58" t="inlineStr">
        <is>
          <t>West</t>
        </is>
      </c>
      <c r="F3614" s="61" t="n">
        <v>2</v>
      </c>
      <c r="G3614" s="62" t="n">
        <v>364.31</v>
      </c>
      <c r="H3614" s="63" t="n">
        <v>0.052</v>
      </c>
      <c r="I3614" s="62" t="n">
        <v>268.03</v>
      </c>
      <c r="J3614" s="58" t="inlineStr">
        <is>
          <t>Store</t>
        </is>
      </c>
      <c r="K3614" s="62">
        <f>F3614*(G3614-H3614)</f>
        <v/>
      </c>
      <c r="L3614" s="62">
        <f>K3614-(F3614*I3614)</f>
        <v/>
      </c>
      <c r="M3614" s="64">
        <f>L3614/K3614</f>
        <v/>
      </c>
    </row>
    <row r="3615">
      <c r="A3615" s="58" t="inlineStr">
        <is>
          <t>RT20250403-03614</t>
        </is>
      </c>
      <c r="B3615" s="59" t="inlineStr">
        <is>
          <t>2025-04-03</t>
        </is>
      </c>
      <c r="C3615" s="60" t="inlineStr">
        <is>
          <t>Polar Decor X-935</t>
        </is>
      </c>
      <c r="D3615" s="58" t="inlineStr">
        <is>
          <t>Home</t>
        </is>
      </c>
      <c r="E3615" s="58" t="inlineStr">
        <is>
          <t>West</t>
        </is>
      </c>
      <c r="F3615" s="61" t="n">
        <v>3</v>
      </c>
      <c r="G3615" s="62" t="n">
        <v>258.54</v>
      </c>
      <c r="H3615" s="63" t="n">
        <v>0.112</v>
      </c>
      <c r="I3615" s="62" t="n">
        <v>205.09</v>
      </c>
      <c r="J3615" s="58" t="inlineStr">
        <is>
          <t>Online</t>
        </is>
      </c>
      <c r="K3615" s="62">
        <f>F3615*(G3615-H3615)</f>
        <v/>
      </c>
      <c r="L3615" s="62">
        <f>K3615-(F3615*I3615)</f>
        <v/>
      </c>
      <c r="M3615" s="64">
        <f>L3615/K3615</f>
        <v/>
      </c>
    </row>
    <row r="3616">
      <c r="A3616" s="58" t="inlineStr">
        <is>
          <t>RT20250403-03615</t>
        </is>
      </c>
      <c r="B3616" s="59" t="inlineStr">
        <is>
          <t>2025-04-03</t>
        </is>
      </c>
      <c r="C3616" s="60" t="inlineStr">
        <is>
          <t>Solace Fitnes S-324</t>
        </is>
      </c>
      <c r="D3616" s="58" t="inlineStr">
        <is>
          <t>Sports</t>
        </is>
      </c>
      <c r="E3616" s="58" t="inlineStr">
        <is>
          <t>West</t>
        </is>
      </c>
      <c r="F3616" s="61" t="n">
        <v>2</v>
      </c>
      <c r="G3616" s="62" t="n">
        <v>818.11</v>
      </c>
      <c r="H3616" s="63" t="n">
        <v>0.078</v>
      </c>
      <c r="I3616" s="62" t="n">
        <v>519.17</v>
      </c>
      <c r="J3616" s="58" t="inlineStr">
        <is>
          <t>Store</t>
        </is>
      </c>
      <c r="K3616" s="62">
        <f>F3616*(G3616-H3616)</f>
        <v/>
      </c>
      <c r="L3616" s="62">
        <f>K3616-(F3616*I3616)</f>
        <v/>
      </c>
      <c r="M3616" s="64">
        <f>L3616/K3616</f>
        <v/>
      </c>
    </row>
    <row r="3617">
      <c r="A3617" s="58" t="inlineStr">
        <is>
          <t>RT20250403-03616</t>
        </is>
      </c>
      <c r="B3617" s="59" t="inlineStr">
        <is>
          <t>2025-04-03</t>
        </is>
      </c>
      <c r="C3617" s="60" t="inlineStr">
        <is>
          <t>Aurora Wearable Lite-704</t>
        </is>
      </c>
      <c r="D3617" s="58" t="inlineStr">
        <is>
          <t>Electronics</t>
        </is>
      </c>
      <c r="E3617" s="58" t="inlineStr">
        <is>
          <t>North</t>
        </is>
      </c>
      <c r="F3617" s="61" t="n">
        <v>2</v>
      </c>
      <c r="G3617" s="62" t="n">
        <v>1995.11</v>
      </c>
      <c r="H3617" s="63" t="n">
        <v>0.041</v>
      </c>
      <c r="I3617" s="62" t="n">
        <v>1422.38</v>
      </c>
      <c r="J3617" s="58" t="inlineStr">
        <is>
          <t>Store</t>
        </is>
      </c>
      <c r="K3617" s="62">
        <f>F3617*(G3617-H3617)</f>
        <v/>
      </c>
      <c r="L3617" s="62">
        <f>K3617-(F3617*I3617)</f>
        <v/>
      </c>
      <c r="M3617" s="64">
        <f>L3617/K3617</f>
        <v/>
      </c>
    </row>
    <row r="3618">
      <c r="A3618" s="58" t="inlineStr">
        <is>
          <t>RT20250403-03617</t>
        </is>
      </c>
      <c r="B3618" s="59" t="inlineStr">
        <is>
          <t>2025-04-03</t>
        </is>
      </c>
      <c r="C3618" s="60" t="inlineStr">
        <is>
          <t>Polar Snack Pro-641</t>
        </is>
      </c>
      <c r="D3618" s="58" t="inlineStr">
        <is>
          <t>Grocery</t>
        </is>
      </c>
      <c r="E3618" s="58" t="inlineStr">
        <is>
          <t>West</t>
        </is>
      </c>
      <c r="F3618" s="61" t="n">
        <v>3</v>
      </c>
      <c r="G3618" s="62" t="n">
        <v>14.37</v>
      </c>
      <c r="H3618" s="63" t="n">
        <v>0.073</v>
      </c>
      <c r="I3618" s="62" t="n">
        <v>9.6</v>
      </c>
      <c r="J3618" s="58" t="inlineStr">
        <is>
          <t>Store</t>
        </is>
      </c>
      <c r="K3618" s="62">
        <f>F3618*(G3618-H3618)</f>
        <v/>
      </c>
      <c r="L3618" s="62">
        <f>K3618-(F3618*I3618)</f>
        <v/>
      </c>
      <c r="M3618" s="64">
        <f>L3618/K3618</f>
        <v/>
      </c>
    </row>
    <row r="3619">
      <c r="A3619" s="58" t="inlineStr">
        <is>
          <t>RT20250403-03618</t>
        </is>
      </c>
      <c r="B3619" s="59" t="inlineStr">
        <is>
          <t>2025-04-03</t>
        </is>
      </c>
      <c r="C3619" s="60" t="inlineStr">
        <is>
          <t>Vertex Decor Pro-618</t>
        </is>
      </c>
      <c r="D3619" s="58" t="inlineStr">
        <is>
          <t>Home</t>
        </is>
      </c>
      <c r="E3619" s="58" t="inlineStr">
        <is>
          <t>Central</t>
        </is>
      </c>
      <c r="F3619" s="61" t="n">
        <v>3</v>
      </c>
      <c r="G3619" s="62" t="n">
        <v>474.86</v>
      </c>
      <c r="H3619" s="63" t="n">
        <v>0.06900000000000001</v>
      </c>
      <c r="I3619" s="62" t="n">
        <v>380.61</v>
      </c>
      <c r="J3619" s="58" t="inlineStr">
        <is>
          <t>Online</t>
        </is>
      </c>
      <c r="K3619" s="62">
        <f>F3619*(G3619-H3619)</f>
        <v/>
      </c>
      <c r="L3619" s="62">
        <f>K3619-(F3619*I3619)</f>
        <v/>
      </c>
      <c r="M3619" s="64">
        <f>L3619/K3619</f>
        <v/>
      </c>
    </row>
    <row r="3620">
      <c r="A3620" s="58" t="inlineStr">
        <is>
          <t>RT20250403-03619</t>
        </is>
      </c>
      <c r="B3620" s="59" t="inlineStr">
        <is>
          <t>2025-04-03</t>
        </is>
      </c>
      <c r="C3620" s="60" t="inlineStr">
        <is>
          <t>Metro Beverage Max-490</t>
        </is>
      </c>
      <c r="D3620" s="58" t="inlineStr">
        <is>
          <t>Grocery</t>
        </is>
      </c>
      <c r="E3620" s="58" t="inlineStr">
        <is>
          <t>East</t>
        </is>
      </c>
      <c r="F3620" s="61" t="n">
        <v>8</v>
      </c>
      <c r="G3620" s="62" t="n">
        <v>12.02</v>
      </c>
      <c r="H3620" s="63" t="n">
        <v>0.11</v>
      </c>
      <c r="I3620" s="62" t="n">
        <v>8.33</v>
      </c>
      <c r="J3620" s="58" t="inlineStr">
        <is>
          <t>Phone</t>
        </is>
      </c>
      <c r="K3620" s="62">
        <f>F3620*(G3620-H3620)</f>
        <v/>
      </c>
      <c r="L3620" s="62">
        <f>K3620-(F3620*I3620)</f>
        <v/>
      </c>
      <c r="M3620" s="64">
        <f>L3620/K3620</f>
        <v/>
      </c>
    </row>
    <row r="3621">
      <c r="A3621" s="58" t="inlineStr">
        <is>
          <t>RT20250403-03620</t>
        </is>
      </c>
      <c r="B3621" s="59" t="inlineStr">
        <is>
          <t>2025-04-03</t>
        </is>
      </c>
      <c r="C3621" s="60" t="inlineStr">
        <is>
          <t>Polar Outdoor X-193</t>
        </is>
      </c>
      <c r="D3621" s="58" t="inlineStr">
        <is>
          <t>Sports</t>
        </is>
      </c>
      <c r="E3621" s="58" t="inlineStr">
        <is>
          <t>South</t>
        </is>
      </c>
      <c r="F3621" s="61" t="n">
        <v>1</v>
      </c>
      <c r="G3621" s="62" t="n">
        <v>708.99</v>
      </c>
      <c r="H3621" s="63" t="n">
        <v>0.015</v>
      </c>
      <c r="I3621" s="62" t="n">
        <v>458.39</v>
      </c>
      <c r="J3621" s="58" t="inlineStr">
        <is>
          <t>Store</t>
        </is>
      </c>
      <c r="K3621" s="62">
        <f>F3621*(G3621-H3621)</f>
        <v/>
      </c>
      <c r="L3621" s="62">
        <f>K3621-(F3621*I3621)</f>
        <v/>
      </c>
      <c r="M3621" s="64">
        <f>L3621/K3621</f>
        <v/>
      </c>
    </row>
    <row r="3622">
      <c r="A3622" s="58" t="inlineStr">
        <is>
          <t>RT20250403-03621</t>
        </is>
      </c>
      <c r="B3622" s="59" t="inlineStr">
        <is>
          <t>2025-04-03</t>
        </is>
      </c>
      <c r="C3622" s="60" t="inlineStr">
        <is>
          <t>Aurora Printer Plus-991</t>
        </is>
      </c>
      <c r="D3622" s="58" t="inlineStr">
        <is>
          <t>Office</t>
        </is>
      </c>
      <c r="E3622" s="58" t="inlineStr">
        <is>
          <t>North</t>
        </is>
      </c>
      <c r="F3622" s="61" t="n">
        <v>2</v>
      </c>
      <c r="G3622" s="62" t="n">
        <v>487.36</v>
      </c>
      <c r="H3622" s="63" t="n">
        <v>0</v>
      </c>
      <c r="I3622" s="62" t="n">
        <v>374</v>
      </c>
      <c r="J3622" s="58" t="inlineStr">
        <is>
          <t>Store</t>
        </is>
      </c>
      <c r="K3622" s="62">
        <f>F3622*(G3622-H3622)</f>
        <v/>
      </c>
      <c r="L3622" s="62">
        <f>K3622-(F3622*I3622)</f>
        <v/>
      </c>
      <c r="M3622" s="64">
        <f>L3622/K3622</f>
        <v/>
      </c>
    </row>
    <row r="3623">
      <c r="A3623" s="58" t="inlineStr">
        <is>
          <t>RT20250403-03622</t>
        </is>
      </c>
      <c r="B3623" s="59" t="inlineStr">
        <is>
          <t>2025-04-03</t>
        </is>
      </c>
      <c r="C3623" s="60" t="inlineStr">
        <is>
          <t>Falcon Bedding S-674</t>
        </is>
      </c>
      <c r="D3623" s="58" t="inlineStr">
        <is>
          <t>Home</t>
        </is>
      </c>
      <c r="E3623" s="58" t="inlineStr">
        <is>
          <t>Central</t>
        </is>
      </c>
      <c r="F3623" s="61" t="n">
        <v>2</v>
      </c>
      <c r="G3623" s="62" t="n">
        <v>605.05</v>
      </c>
      <c r="H3623" s="63" t="n">
        <v>0.08599999999999999</v>
      </c>
      <c r="I3623" s="62" t="n">
        <v>459.55</v>
      </c>
      <c r="J3623" s="58" t="inlineStr">
        <is>
          <t>Online</t>
        </is>
      </c>
      <c r="K3623" s="62">
        <f>F3623*(G3623-H3623)</f>
        <v/>
      </c>
      <c r="L3623" s="62">
        <f>K3623-(F3623*I3623)</f>
        <v/>
      </c>
      <c r="M3623" s="64">
        <f>L3623/K3623</f>
        <v/>
      </c>
    </row>
    <row r="3624">
      <c r="A3624" s="58" t="inlineStr">
        <is>
          <t>RT20250403-03623</t>
        </is>
      </c>
      <c r="B3624" s="59" t="inlineStr">
        <is>
          <t>2025-04-03</t>
        </is>
      </c>
      <c r="C3624" s="60" t="inlineStr">
        <is>
          <t>Orion Beverage Plus-949</t>
        </is>
      </c>
      <c r="D3624" s="58" t="inlineStr">
        <is>
          <t>Grocery</t>
        </is>
      </c>
      <c r="E3624" s="58" t="inlineStr">
        <is>
          <t>West</t>
        </is>
      </c>
      <c r="F3624" s="61" t="n">
        <v>8</v>
      </c>
      <c r="G3624" s="62" t="n">
        <v>16.55</v>
      </c>
      <c r="H3624" s="63" t="n">
        <v>0.068</v>
      </c>
      <c r="I3624" s="62" t="n">
        <v>13.73</v>
      </c>
      <c r="J3624" s="58" t="inlineStr">
        <is>
          <t>Phone</t>
        </is>
      </c>
      <c r="K3624" s="62">
        <f>F3624*(G3624-H3624)</f>
        <v/>
      </c>
      <c r="L3624" s="62">
        <f>K3624-(F3624*I3624)</f>
        <v/>
      </c>
      <c r="M3624" s="64">
        <f>L3624/K3624</f>
        <v/>
      </c>
    </row>
    <row r="3625">
      <c r="A3625" s="58" t="inlineStr">
        <is>
          <t>RT20250403-03624</t>
        </is>
      </c>
      <c r="B3625" s="59" t="inlineStr">
        <is>
          <t>2025-04-03</t>
        </is>
      </c>
      <c r="C3625" s="60" t="inlineStr">
        <is>
          <t>Aurora Makeup Pro-489</t>
        </is>
      </c>
      <c r="D3625" s="58" t="inlineStr">
        <is>
          <t>Beauty</t>
        </is>
      </c>
      <c r="E3625" s="58" t="inlineStr">
        <is>
          <t>East</t>
        </is>
      </c>
      <c r="F3625" s="61" t="n">
        <v>2</v>
      </c>
      <c r="G3625" s="62" t="n">
        <v>91.86</v>
      </c>
      <c r="H3625" s="63" t="n">
        <v>0.103</v>
      </c>
      <c r="I3625" s="62" t="n">
        <v>63.7</v>
      </c>
      <c r="J3625" s="58" t="inlineStr">
        <is>
          <t>Online</t>
        </is>
      </c>
      <c r="K3625" s="62">
        <f>F3625*(G3625-H3625)</f>
        <v/>
      </c>
      <c r="L3625" s="62">
        <f>K3625-(F3625*I3625)</f>
        <v/>
      </c>
      <c r="M3625" s="64">
        <f>L3625/K3625</f>
        <v/>
      </c>
    </row>
    <row r="3626">
      <c r="A3626" s="58" t="inlineStr">
        <is>
          <t>RT20250403-03625</t>
        </is>
      </c>
      <c r="B3626" s="59" t="inlineStr">
        <is>
          <t>2025-04-03</t>
        </is>
      </c>
      <c r="C3626" s="60" t="inlineStr">
        <is>
          <t>Vertex Furniture S-652</t>
        </is>
      </c>
      <c r="D3626" s="58" t="inlineStr">
        <is>
          <t>Office</t>
        </is>
      </c>
      <c r="E3626" s="58" t="inlineStr">
        <is>
          <t>West</t>
        </is>
      </c>
      <c r="F3626" s="61" t="n">
        <v>3</v>
      </c>
      <c r="G3626" s="62" t="n">
        <v>383.57</v>
      </c>
      <c r="H3626" s="63" t="n">
        <v>0.08</v>
      </c>
      <c r="I3626" s="62" t="n">
        <v>269.92</v>
      </c>
      <c r="J3626" s="58" t="inlineStr">
        <is>
          <t>Online</t>
        </is>
      </c>
      <c r="K3626" s="62">
        <f>F3626*(G3626-H3626)</f>
        <v/>
      </c>
      <c r="L3626" s="62">
        <f>K3626-(F3626*I3626)</f>
        <v/>
      </c>
      <c r="M3626" s="64">
        <f>L3626/K3626</f>
        <v/>
      </c>
    </row>
    <row r="3627">
      <c r="A3627" s="58" t="inlineStr">
        <is>
          <t>RT20250403-03626</t>
        </is>
      </c>
      <c r="B3627" s="59" t="inlineStr">
        <is>
          <t>2025-04-03</t>
        </is>
      </c>
      <c r="C3627" s="60" t="inlineStr">
        <is>
          <t>Nimbus Makeup Max-158</t>
        </is>
      </c>
      <c r="D3627" s="58" t="inlineStr">
        <is>
          <t>Beauty</t>
        </is>
      </c>
      <c r="E3627" s="58" t="inlineStr">
        <is>
          <t>South</t>
        </is>
      </c>
      <c r="F3627" s="61" t="n">
        <v>3</v>
      </c>
      <c r="G3627" s="62" t="n">
        <v>177.05</v>
      </c>
      <c r="H3627" s="63" t="n">
        <v>0.04</v>
      </c>
      <c r="I3627" s="62" t="n">
        <v>93.26000000000001</v>
      </c>
      <c r="J3627" s="58" t="inlineStr">
        <is>
          <t>Store</t>
        </is>
      </c>
      <c r="K3627" s="62">
        <f>F3627*(G3627-H3627)</f>
        <v/>
      </c>
      <c r="L3627" s="62">
        <f>K3627-(F3627*I3627)</f>
        <v/>
      </c>
      <c r="M3627" s="64">
        <f>L3627/K3627</f>
        <v/>
      </c>
    </row>
    <row r="3628">
      <c r="A3628" s="58" t="inlineStr">
        <is>
          <t>RT20250403-03627</t>
        </is>
      </c>
      <c r="B3628" s="59" t="inlineStr">
        <is>
          <t>2025-04-03</t>
        </is>
      </c>
      <c r="C3628" s="60" t="inlineStr">
        <is>
          <t>Metro Outdoor Plus-787</t>
        </is>
      </c>
      <c r="D3628" s="58" t="inlineStr">
        <is>
          <t>Sports</t>
        </is>
      </c>
      <c r="E3628" s="58" t="inlineStr">
        <is>
          <t>West</t>
        </is>
      </c>
      <c r="F3628" s="61" t="n">
        <v>1</v>
      </c>
      <c r="G3628" s="62" t="n">
        <v>567.9400000000001</v>
      </c>
      <c r="H3628" s="63" t="n">
        <v>0.101</v>
      </c>
      <c r="I3628" s="62" t="n">
        <v>351.49</v>
      </c>
      <c r="J3628" s="58" t="inlineStr">
        <is>
          <t>Online</t>
        </is>
      </c>
      <c r="K3628" s="62">
        <f>F3628*(G3628-H3628)</f>
        <v/>
      </c>
      <c r="L3628" s="62">
        <f>K3628-(F3628*I3628)</f>
        <v/>
      </c>
      <c r="M3628" s="64">
        <f>L3628/K3628</f>
        <v/>
      </c>
    </row>
    <row r="3629">
      <c r="A3629" s="58" t="inlineStr">
        <is>
          <t>RT20250403-03628</t>
        </is>
      </c>
      <c r="B3629" s="59" t="inlineStr">
        <is>
          <t>2025-04-03</t>
        </is>
      </c>
      <c r="C3629" s="60" t="inlineStr">
        <is>
          <t>Polar Wearable X-119</t>
        </is>
      </c>
      <c r="D3629" s="58" t="inlineStr">
        <is>
          <t>Electronics</t>
        </is>
      </c>
      <c r="E3629" s="58" t="inlineStr">
        <is>
          <t>Central</t>
        </is>
      </c>
      <c r="F3629" s="61" t="n">
        <v>1</v>
      </c>
      <c r="G3629" s="62" t="n">
        <v>1726.64</v>
      </c>
      <c r="H3629" s="63" t="n">
        <v>0.06</v>
      </c>
      <c r="I3629" s="62" t="n">
        <v>1321.69</v>
      </c>
      <c r="J3629" s="58" t="inlineStr">
        <is>
          <t>Online</t>
        </is>
      </c>
      <c r="K3629" s="62">
        <f>F3629*(G3629-H3629)</f>
        <v/>
      </c>
      <c r="L3629" s="62">
        <f>K3629-(F3629*I3629)</f>
        <v/>
      </c>
      <c r="M3629" s="64">
        <f>L3629/K3629</f>
        <v/>
      </c>
    </row>
    <row r="3630">
      <c r="A3630" s="58" t="inlineStr">
        <is>
          <t>RT20250403-03629</t>
        </is>
      </c>
      <c r="B3630" s="59" t="inlineStr">
        <is>
          <t>2025-04-03</t>
        </is>
      </c>
      <c r="C3630" s="60" t="inlineStr">
        <is>
          <t>Solace Headphone Pro-344</t>
        </is>
      </c>
      <c r="D3630" s="58" t="inlineStr">
        <is>
          <t>Electronics</t>
        </is>
      </c>
      <c r="E3630" s="58" t="inlineStr">
        <is>
          <t>South</t>
        </is>
      </c>
      <c r="F3630" s="61" t="n">
        <v>2</v>
      </c>
      <c r="G3630" s="62" t="n">
        <v>1565.89</v>
      </c>
      <c r="H3630" s="63" t="n">
        <v>0.01</v>
      </c>
      <c r="I3630" s="62" t="n">
        <v>1093.89</v>
      </c>
      <c r="J3630" s="58" t="inlineStr">
        <is>
          <t>Store</t>
        </is>
      </c>
      <c r="K3630" s="62">
        <f>F3630*(G3630-H3630)</f>
        <v/>
      </c>
      <c r="L3630" s="62">
        <f>K3630-(F3630*I3630)</f>
        <v/>
      </c>
      <c r="M3630" s="64">
        <f>L3630/K3630</f>
        <v/>
      </c>
    </row>
    <row r="3631">
      <c r="A3631" s="58" t="inlineStr">
        <is>
          <t>RT20250403-03630</t>
        </is>
      </c>
      <c r="B3631" s="59" t="inlineStr">
        <is>
          <t>2025-04-03</t>
        </is>
      </c>
      <c r="C3631" s="60" t="inlineStr">
        <is>
          <t>Nimbus Makeup Max-158</t>
        </is>
      </c>
      <c r="D3631" s="58" t="inlineStr">
        <is>
          <t>Beauty</t>
        </is>
      </c>
      <c r="E3631" s="58" t="inlineStr">
        <is>
          <t>East</t>
        </is>
      </c>
      <c r="F3631" s="61" t="n">
        <v>5</v>
      </c>
      <c r="G3631" s="62" t="n">
        <v>138.12</v>
      </c>
      <c r="H3631" s="63" t="n">
        <v>0.06</v>
      </c>
      <c r="I3631" s="62" t="n">
        <v>93.79000000000001</v>
      </c>
      <c r="J3631" s="58" t="inlineStr">
        <is>
          <t>Online</t>
        </is>
      </c>
      <c r="K3631" s="62">
        <f>F3631*(G3631-H3631)</f>
        <v/>
      </c>
      <c r="L3631" s="62">
        <f>K3631-(F3631*I3631)</f>
        <v/>
      </c>
      <c r="M3631" s="64">
        <f>L3631/K3631</f>
        <v/>
      </c>
    </row>
    <row r="3632">
      <c r="A3632" s="58" t="inlineStr">
        <is>
          <t>RT20250404-03631</t>
        </is>
      </c>
      <c r="B3632" s="59" t="inlineStr">
        <is>
          <t>2025-04-04</t>
        </is>
      </c>
      <c r="C3632" s="60" t="inlineStr">
        <is>
          <t>Vertex Appliance Max-338</t>
        </is>
      </c>
      <c r="D3632" s="58" t="inlineStr">
        <is>
          <t>Home</t>
        </is>
      </c>
      <c r="E3632" s="58" t="inlineStr">
        <is>
          <t>West</t>
        </is>
      </c>
      <c r="F3632" s="61" t="n">
        <v>1</v>
      </c>
      <c r="G3632" s="62" t="n">
        <v>441.56</v>
      </c>
      <c r="H3632" s="63" t="n">
        <v>0.039</v>
      </c>
      <c r="I3632" s="62" t="n">
        <v>292.47</v>
      </c>
      <c r="J3632" s="58" t="inlineStr">
        <is>
          <t>Online</t>
        </is>
      </c>
      <c r="K3632" s="62">
        <f>F3632*(G3632-H3632)</f>
        <v/>
      </c>
      <c r="L3632" s="62">
        <f>K3632-(F3632*I3632)</f>
        <v/>
      </c>
      <c r="M3632" s="64">
        <f>L3632/K3632</f>
        <v/>
      </c>
    </row>
    <row r="3633">
      <c r="A3633" s="58" t="inlineStr">
        <is>
          <t>RT20250404-03632</t>
        </is>
      </c>
      <c r="B3633" s="59" t="inlineStr">
        <is>
          <t>2025-04-04</t>
        </is>
      </c>
      <c r="C3633" s="60" t="inlineStr">
        <is>
          <t>Nimbus Women Lite-814</t>
        </is>
      </c>
      <c r="D3633" s="58" t="inlineStr">
        <is>
          <t>Apparel</t>
        </is>
      </c>
      <c r="E3633" s="58" t="inlineStr">
        <is>
          <t>West</t>
        </is>
      </c>
      <c r="F3633" s="61" t="n">
        <v>4</v>
      </c>
      <c r="G3633" s="62" t="n">
        <v>133.68</v>
      </c>
      <c r="H3633" s="63" t="n">
        <v>0.07099999999999999</v>
      </c>
      <c r="I3633" s="62" t="n">
        <v>80.77</v>
      </c>
      <c r="J3633" s="58" t="inlineStr">
        <is>
          <t>Online</t>
        </is>
      </c>
      <c r="K3633" s="62">
        <f>F3633*(G3633-H3633)</f>
        <v/>
      </c>
      <c r="L3633" s="62">
        <f>K3633-(F3633*I3633)</f>
        <v/>
      </c>
      <c r="M3633" s="64">
        <f>L3633/K3633</f>
        <v/>
      </c>
    </row>
    <row r="3634">
      <c r="A3634" s="58" t="inlineStr">
        <is>
          <t>RT20250404-03633</t>
        </is>
      </c>
      <c r="B3634" s="59" t="inlineStr">
        <is>
          <t>2025-04-04</t>
        </is>
      </c>
      <c r="C3634" s="60" t="inlineStr">
        <is>
          <t>Aurora Fragrance S-971</t>
        </is>
      </c>
      <c r="D3634" s="58" t="inlineStr">
        <is>
          <t>Beauty</t>
        </is>
      </c>
      <c r="E3634" s="58" t="inlineStr">
        <is>
          <t>West</t>
        </is>
      </c>
      <c r="F3634" s="61" t="n">
        <v>5</v>
      </c>
      <c r="G3634" s="62" t="n">
        <v>98.83</v>
      </c>
      <c r="H3634" s="63" t="n">
        <v>0.041</v>
      </c>
      <c r="I3634" s="62" t="n">
        <v>67.40000000000001</v>
      </c>
      <c r="J3634" s="58" t="inlineStr">
        <is>
          <t>Online</t>
        </is>
      </c>
      <c r="K3634" s="62">
        <f>F3634*(G3634-H3634)</f>
        <v/>
      </c>
      <c r="L3634" s="62">
        <f>K3634-(F3634*I3634)</f>
        <v/>
      </c>
      <c r="M3634" s="64">
        <f>L3634/K3634</f>
        <v/>
      </c>
    </row>
    <row r="3635">
      <c r="A3635" s="58" t="inlineStr">
        <is>
          <t>RT20250404-03634</t>
        </is>
      </c>
      <c r="B3635" s="59" t="inlineStr">
        <is>
          <t>2025-04-04</t>
        </is>
      </c>
      <c r="C3635" s="60" t="inlineStr">
        <is>
          <t>Vertex Skincare Pro-891</t>
        </is>
      </c>
      <c r="D3635" s="58" t="inlineStr">
        <is>
          <t>Beauty</t>
        </is>
      </c>
      <c r="E3635" s="58" t="inlineStr">
        <is>
          <t>East</t>
        </is>
      </c>
      <c r="F3635" s="61" t="n">
        <v>3</v>
      </c>
      <c r="G3635" s="62" t="n">
        <v>131.58</v>
      </c>
      <c r="H3635" s="63" t="n">
        <v>0.081</v>
      </c>
      <c r="I3635" s="62" t="n">
        <v>87.15000000000001</v>
      </c>
      <c r="J3635" s="58" t="inlineStr">
        <is>
          <t>Online</t>
        </is>
      </c>
      <c r="K3635" s="62">
        <f>F3635*(G3635-H3635)</f>
        <v/>
      </c>
      <c r="L3635" s="62">
        <f>K3635-(F3635*I3635)</f>
        <v/>
      </c>
      <c r="M3635" s="64">
        <f>L3635/K3635</f>
        <v/>
      </c>
    </row>
    <row r="3636">
      <c r="A3636" s="58" t="inlineStr">
        <is>
          <t>RT20250404-03635</t>
        </is>
      </c>
      <c r="B3636" s="59" t="inlineStr">
        <is>
          <t>2025-04-04</t>
        </is>
      </c>
      <c r="C3636" s="60" t="inlineStr">
        <is>
          <t>Vertex Fitnes Pro-830</t>
        </is>
      </c>
      <c r="D3636" s="58" t="inlineStr">
        <is>
          <t>Sports</t>
        </is>
      </c>
      <c r="E3636" s="58" t="inlineStr">
        <is>
          <t>South</t>
        </is>
      </c>
      <c r="F3636" s="61" t="n">
        <v>2</v>
      </c>
      <c r="G3636" s="62" t="n">
        <v>664.79</v>
      </c>
      <c r="H3636" s="63" t="n">
        <v>0</v>
      </c>
      <c r="I3636" s="62" t="n">
        <v>477.61</v>
      </c>
      <c r="J3636" s="58" t="inlineStr">
        <is>
          <t>Online</t>
        </is>
      </c>
      <c r="K3636" s="62">
        <f>F3636*(G3636-H3636)</f>
        <v/>
      </c>
      <c r="L3636" s="62">
        <f>K3636-(F3636*I3636)</f>
        <v/>
      </c>
      <c r="M3636" s="64">
        <f>L3636/K3636</f>
        <v/>
      </c>
    </row>
    <row r="3637">
      <c r="A3637" s="58" t="inlineStr">
        <is>
          <t>RT20250404-03636</t>
        </is>
      </c>
      <c r="B3637" s="59" t="inlineStr">
        <is>
          <t>2025-04-04</t>
        </is>
      </c>
      <c r="C3637" s="60" t="inlineStr">
        <is>
          <t>Aurora Appliance Lite-109</t>
        </is>
      </c>
      <c r="D3637" s="58" t="inlineStr">
        <is>
          <t>Home</t>
        </is>
      </c>
      <c r="E3637" s="58" t="inlineStr">
        <is>
          <t>South</t>
        </is>
      </c>
      <c r="F3637" s="61" t="n">
        <v>3</v>
      </c>
      <c r="G3637" s="62" t="n">
        <v>271.01</v>
      </c>
      <c r="H3637" s="63" t="n">
        <v>0.075</v>
      </c>
      <c r="I3637" s="62" t="n">
        <v>203.52</v>
      </c>
      <c r="J3637" s="58" t="inlineStr">
        <is>
          <t>Online</t>
        </is>
      </c>
      <c r="K3637" s="62">
        <f>F3637*(G3637-H3637)</f>
        <v/>
      </c>
      <c r="L3637" s="62">
        <f>K3637-(F3637*I3637)</f>
        <v/>
      </c>
      <c r="M3637" s="64">
        <f>L3637/K3637</f>
        <v/>
      </c>
    </row>
    <row r="3638">
      <c r="A3638" s="58" t="inlineStr">
        <is>
          <t>RT20250404-03637</t>
        </is>
      </c>
      <c r="B3638" s="59" t="inlineStr">
        <is>
          <t>2025-04-04</t>
        </is>
      </c>
      <c r="C3638" s="60" t="inlineStr">
        <is>
          <t>Metro Fragrance Lite-261</t>
        </is>
      </c>
      <c r="D3638" s="58" t="inlineStr">
        <is>
          <t>Beauty</t>
        </is>
      </c>
      <c r="E3638" s="58" t="inlineStr">
        <is>
          <t>West</t>
        </is>
      </c>
      <c r="F3638" s="61" t="n">
        <v>3</v>
      </c>
      <c r="G3638" s="62" t="n">
        <v>88.25</v>
      </c>
      <c r="H3638" s="63" t="n">
        <v>0.015</v>
      </c>
      <c r="I3638" s="62" t="n">
        <v>56.18</v>
      </c>
      <c r="J3638" s="58" t="inlineStr">
        <is>
          <t>Store</t>
        </is>
      </c>
      <c r="K3638" s="62">
        <f>F3638*(G3638-H3638)</f>
        <v/>
      </c>
      <c r="L3638" s="62">
        <f>K3638-(F3638*I3638)</f>
        <v/>
      </c>
      <c r="M3638" s="64">
        <f>L3638/K3638</f>
        <v/>
      </c>
    </row>
    <row r="3639">
      <c r="A3639" s="58" t="inlineStr">
        <is>
          <t>RT20250404-03638</t>
        </is>
      </c>
      <c r="B3639" s="59" t="inlineStr">
        <is>
          <t>2025-04-04</t>
        </is>
      </c>
      <c r="C3639" s="60" t="inlineStr">
        <is>
          <t>Falcon Household Plus-796</t>
        </is>
      </c>
      <c r="D3639" s="58" t="inlineStr">
        <is>
          <t>Grocery</t>
        </is>
      </c>
      <c r="E3639" s="58" t="inlineStr">
        <is>
          <t>West</t>
        </is>
      </c>
      <c r="F3639" s="61" t="n">
        <v>8</v>
      </c>
      <c r="G3639" s="62" t="n">
        <v>23.86</v>
      </c>
      <c r="H3639" s="63" t="n">
        <v>0.111</v>
      </c>
      <c r="I3639" s="62" t="n">
        <v>17.6</v>
      </c>
      <c r="J3639" s="58" t="inlineStr">
        <is>
          <t>Store</t>
        </is>
      </c>
      <c r="K3639" s="62">
        <f>F3639*(G3639-H3639)</f>
        <v/>
      </c>
      <c r="L3639" s="62">
        <f>K3639-(F3639*I3639)</f>
        <v/>
      </c>
      <c r="M3639" s="64">
        <f>L3639/K3639</f>
        <v/>
      </c>
    </row>
    <row r="3640">
      <c r="A3640" s="58" t="inlineStr">
        <is>
          <t>RT20250404-03639</t>
        </is>
      </c>
      <c r="B3640" s="59" t="inlineStr">
        <is>
          <t>2025-04-04</t>
        </is>
      </c>
      <c r="C3640" s="60" t="inlineStr">
        <is>
          <t>Vertex Furniture S-652</t>
        </is>
      </c>
      <c r="D3640" s="58" t="inlineStr">
        <is>
          <t>Office</t>
        </is>
      </c>
      <c r="E3640" s="58" t="inlineStr">
        <is>
          <t>East</t>
        </is>
      </c>
      <c r="F3640" s="61" t="n">
        <v>3</v>
      </c>
      <c r="G3640" s="62" t="n">
        <v>359.6</v>
      </c>
      <c r="H3640" s="63" t="n">
        <v>0.08500000000000001</v>
      </c>
      <c r="I3640" s="62" t="n">
        <v>268.82</v>
      </c>
      <c r="J3640" s="58" t="inlineStr">
        <is>
          <t>Store</t>
        </is>
      </c>
      <c r="K3640" s="62">
        <f>F3640*(G3640-H3640)</f>
        <v/>
      </c>
      <c r="L3640" s="62">
        <f>K3640-(F3640*I3640)</f>
        <v/>
      </c>
      <c r="M3640" s="64">
        <f>L3640/K3640</f>
        <v/>
      </c>
    </row>
    <row r="3641">
      <c r="A3641" s="58" t="inlineStr">
        <is>
          <t>RT20250404-03640</t>
        </is>
      </c>
      <c r="B3641" s="59" t="inlineStr">
        <is>
          <t>2025-04-04</t>
        </is>
      </c>
      <c r="C3641" s="60" t="inlineStr">
        <is>
          <t>Falcon Headphone Pro-713</t>
        </is>
      </c>
      <c r="D3641" s="58" t="inlineStr">
        <is>
          <t>Electronics</t>
        </is>
      </c>
      <c r="E3641" s="58" t="inlineStr">
        <is>
          <t>West</t>
        </is>
      </c>
      <c r="F3641" s="61" t="n">
        <v>2</v>
      </c>
      <c r="G3641" s="62" t="n">
        <v>1400.69</v>
      </c>
      <c r="H3641" s="63" t="n">
        <v>0.097</v>
      </c>
      <c r="I3641" s="62" t="n">
        <v>1207.56</v>
      </c>
      <c r="J3641" s="58" t="inlineStr">
        <is>
          <t>Store</t>
        </is>
      </c>
      <c r="K3641" s="62">
        <f>F3641*(G3641-H3641)</f>
        <v/>
      </c>
      <c r="L3641" s="62">
        <f>K3641-(F3641*I3641)</f>
        <v/>
      </c>
      <c r="M3641" s="64">
        <f>L3641/K3641</f>
        <v/>
      </c>
    </row>
    <row r="3642">
      <c r="A3642" s="58" t="inlineStr">
        <is>
          <t>RT20250404-03641</t>
        </is>
      </c>
      <c r="B3642" s="59" t="inlineStr">
        <is>
          <t>2025-04-04</t>
        </is>
      </c>
      <c r="C3642" s="60" t="inlineStr">
        <is>
          <t>Solace Kitchen Pro-999</t>
        </is>
      </c>
      <c r="D3642" s="58" t="inlineStr">
        <is>
          <t>Home</t>
        </is>
      </c>
      <c r="E3642" s="58" t="inlineStr">
        <is>
          <t>Central</t>
        </is>
      </c>
      <c r="F3642" s="61" t="n">
        <v>2</v>
      </c>
      <c r="G3642" s="62" t="n">
        <v>359.76</v>
      </c>
      <c r="H3642" s="63" t="n">
        <v>0.048</v>
      </c>
      <c r="I3642" s="62" t="n">
        <v>270.03</v>
      </c>
      <c r="J3642" s="58" t="inlineStr">
        <is>
          <t>Online</t>
        </is>
      </c>
      <c r="K3642" s="62">
        <f>F3642*(G3642-H3642)</f>
        <v/>
      </c>
      <c r="L3642" s="62">
        <f>K3642-(F3642*I3642)</f>
        <v/>
      </c>
      <c r="M3642" s="64">
        <f>L3642/K3642</f>
        <v/>
      </c>
    </row>
    <row r="3643">
      <c r="A3643" s="58" t="inlineStr">
        <is>
          <t>RT20250404-03642</t>
        </is>
      </c>
      <c r="B3643" s="59" t="inlineStr">
        <is>
          <t>2025-04-04</t>
        </is>
      </c>
      <c r="C3643" s="60" t="inlineStr">
        <is>
          <t>Vertex Decor Pro-618</t>
        </is>
      </c>
      <c r="D3643" s="58" t="inlineStr">
        <is>
          <t>Home</t>
        </is>
      </c>
      <c r="E3643" s="58" t="inlineStr">
        <is>
          <t>Central</t>
        </is>
      </c>
      <c r="F3643" s="61" t="n">
        <v>2</v>
      </c>
      <c r="G3643" s="62" t="n">
        <v>502.69</v>
      </c>
      <c r="H3643" s="63" t="n">
        <v>0.06900000000000001</v>
      </c>
      <c r="I3643" s="62" t="n">
        <v>372.06</v>
      </c>
      <c r="J3643" s="58" t="inlineStr">
        <is>
          <t>Online</t>
        </is>
      </c>
      <c r="K3643" s="62">
        <f>F3643*(G3643-H3643)</f>
        <v/>
      </c>
      <c r="L3643" s="62">
        <f>K3643-(F3643*I3643)</f>
        <v/>
      </c>
      <c r="M3643" s="64">
        <f>L3643/K3643</f>
        <v/>
      </c>
    </row>
    <row r="3644">
      <c r="A3644" s="58" t="inlineStr">
        <is>
          <t>RT20250404-03643</t>
        </is>
      </c>
      <c r="B3644" s="59" t="inlineStr">
        <is>
          <t>2025-04-04</t>
        </is>
      </c>
      <c r="C3644" s="60" t="inlineStr">
        <is>
          <t>Solace Bedding Plus-317</t>
        </is>
      </c>
      <c r="D3644" s="58" t="inlineStr">
        <is>
          <t>Home</t>
        </is>
      </c>
      <c r="E3644" s="58" t="inlineStr">
        <is>
          <t>East</t>
        </is>
      </c>
      <c r="F3644" s="61" t="n">
        <v>2</v>
      </c>
      <c r="G3644" s="62" t="n">
        <v>600.1900000000001</v>
      </c>
      <c r="H3644" s="63" t="n">
        <v>0.035</v>
      </c>
      <c r="I3644" s="62" t="n">
        <v>387.93</v>
      </c>
      <c r="J3644" s="58" t="inlineStr">
        <is>
          <t>Store</t>
        </is>
      </c>
      <c r="K3644" s="62">
        <f>F3644*(G3644-H3644)</f>
        <v/>
      </c>
      <c r="L3644" s="62">
        <f>K3644-(F3644*I3644)</f>
        <v/>
      </c>
      <c r="M3644" s="64">
        <f>L3644/K3644</f>
        <v/>
      </c>
    </row>
    <row r="3645">
      <c r="A3645" s="58" t="inlineStr">
        <is>
          <t>RT20250404-03644</t>
        </is>
      </c>
      <c r="B3645" s="59" t="inlineStr">
        <is>
          <t>2025-04-04</t>
        </is>
      </c>
      <c r="C3645" s="60" t="inlineStr">
        <is>
          <t>Aurora Printer Plus-723</t>
        </is>
      </c>
      <c r="D3645" s="58" t="inlineStr">
        <is>
          <t>Office</t>
        </is>
      </c>
      <c r="E3645" s="58" t="inlineStr">
        <is>
          <t>West</t>
        </is>
      </c>
      <c r="F3645" s="61" t="n">
        <v>2</v>
      </c>
      <c r="G3645" s="62" t="n">
        <v>259.51</v>
      </c>
      <c r="H3645" s="63" t="n">
        <v>0.043</v>
      </c>
      <c r="I3645" s="62" t="n">
        <v>191.82</v>
      </c>
      <c r="J3645" s="58" t="inlineStr">
        <is>
          <t>Online</t>
        </is>
      </c>
      <c r="K3645" s="62">
        <f>F3645*(G3645-H3645)</f>
        <v/>
      </c>
      <c r="L3645" s="62">
        <f>K3645-(F3645*I3645)</f>
        <v/>
      </c>
      <c r="M3645" s="64">
        <f>L3645/K3645</f>
        <v/>
      </c>
    </row>
    <row r="3646">
      <c r="A3646" s="58" t="inlineStr">
        <is>
          <t>RT20250404-03645</t>
        </is>
      </c>
      <c r="B3646" s="59" t="inlineStr">
        <is>
          <t>2025-04-04</t>
        </is>
      </c>
      <c r="C3646" s="60" t="inlineStr">
        <is>
          <t>Falcon Storage X-734</t>
        </is>
      </c>
      <c r="D3646" s="58" t="inlineStr">
        <is>
          <t>Office</t>
        </is>
      </c>
      <c r="E3646" s="58" t="inlineStr">
        <is>
          <t>South</t>
        </is>
      </c>
      <c r="F3646" s="61" t="n">
        <v>2</v>
      </c>
      <c r="G3646" s="62" t="n">
        <v>385.43</v>
      </c>
      <c r="H3646" s="63" t="n">
        <v>0.027</v>
      </c>
      <c r="I3646" s="62" t="n">
        <v>289.39</v>
      </c>
      <c r="J3646" s="58" t="inlineStr">
        <is>
          <t>Online</t>
        </is>
      </c>
      <c r="K3646" s="62">
        <f>F3646*(G3646-H3646)</f>
        <v/>
      </c>
      <c r="L3646" s="62">
        <f>K3646-(F3646*I3646)</f>
        <v/>
      </c>
      <c r="M3646" s="64">
        <f>L3646/K3646</f>
        <v/>
      </c>
    </row>
    <row r="3647">
      <c r="A3647" s="58" t="inlineStr">
        <is>
          <t>RT20250404-03646</t>
        </is>
      </c>
      <c r="B3647" s="59" t="inlineStr">
        <is>
          <t>2025-04-04</t>
        </is>
      </c>
      <c r="C3647" s="60" t="inlineStr">
        <is>
          <t>Aurora Household Plus-146</t>
        </is>
      </c>
      <c r="D3647" s="58" t="inlineStr">
        <is>
          <t>Grocery</t>
        </is>
      </c>
      <c r="E3647" s="58" t="inlineStr">
        <is>
          <t>South</t>
        </is>
      </c>
      <c r="F3647" s="61" t="n">
        <v>6</v>
      </c>
      <c r="G3647" s="62" t="n">
        <v>6.4</v>
      </c>
      <c r="H3647" s="63" t="n">
        <v>0.062</v>
      </c>
      <c r="I3647" s="62" t="n">
        <v>4.56</v>
      </c>
      <c r="J3647" s="58" t="inlineStr">
        <is>
          <t>Store</t>
        </is>
      </c>
      <c r="K3647" s="62">
        <f>F3647*(G3647-H3647)</f>
        <v/>
      </c>
      <c r="L3647" s="62">
        <f>K3647-(F3647*I3647)</f>
        <v/>
      </c>
      <c r="M3647" s="64">
        <f>L3647/K3647</f>
        <v/>
      </c>
    </row>
    <row r="3648">
      <c r="A3648" s="58" t="inlineStr">
        <is>
          <t>RT20250404-03647</t>
        </is>
      </c>
      <c r="B3648" s="59" t="inlineStr">
        <is>
          <t>2025-04-04</t>
        </is>
      </c>
      <c r="C3648" s="60" t="inlineStr">
        <is>
          <t>Polar Outdoor Lite-318</t>
        </is>
      </c>
      <c r="D3648" s="58" t="inlineStr">
        <is>
          <t>Sports</t>
        </is>
      </c>
      <c r="E3648" s="58" t="inlineStr">
        <is>
          <t>East</t>
        </is>
      </c>
      <c r="F3648" s="61" t="n">
        <v>3</v>
      </c>
      <c r="G3648" s="62" t="n">
        <v>727.71</v>
      </c>
      <c r="H3648" s="63" t="n">
        <v>0.094</v>
      </c>
      <c r="I3648" s="62" t="n">
        <v>472.69</v>
      </c>
      <c r="J3648" s="58" t="inlineStr">
        <is>
          <t>Online</t>
        </is>
      </c>
      <c r="K3648" s="62">
        <f>F3648*(G3648-H3648)</f>
        <v/>
      </c>
      <c r="L3648" s="62">
        <f>K3648-(F3648*I3648)</f>
        <v/>
      </c>
      <c r="M3648" s="64">
        <f>L3648/K3648</f>
        <v/>
      </c>
    </row>
    <row r="3649">
      <c r="A3649" s="58" t="inlineStr">
        <is>
          <t>RT20250404-03648</t>
        </is>
      </c>
      <c r="B3649" s="59" t="inlineStr">
        <is>
          <t>2025-04-04</t>
        </is>
      </c>
      <c r="C3649" s="60" t="inlineStr">
        <is>
          <t>Nimbus Headphone X-854</t>
        </is>
      </c>
      <c r="D3649" s="58" t="inlineStr">
        <is>
          <t>Electronics</t>
        </is>
      </c>
      <c r="E3649" s="58" t="inlineStr">
        <is>
          <t>Central</t>
        </is>
      </c>
      <c r="F3649" s="61" t="n">
        <v>1</v>
      </c>
      <c r="G3649" s="62" t="n">
        <v>1569.19</v>
      </c>
      <c r="H3649" s="63" t="n">
        <v>0.03</v>
      </c>
      <c r="I3649" s="62" t="n">
        <v>1271.93</v>
      </c>
      <c r="J3649" s="58" t="inlineStr">
        <is>
          <t>Online</t>
        </is>
      </c>
      <c r="K3649" s="62">
        <f>F3649*(G3649-H3649)</f>
        <v/>
      </c>
      <c r="L3649" s="62">
        <f>K3649-(F3649*I3649)</f>
        <v/>
      </c>
      <c r="M3649" s="64">
        <f>L3649/K3649</f>
        <v/>
      </c>
    </row>
    <row r="3650">
      <c r="A3650" s="58" t="inlineStr">
        <is>
          <t>RT20250404-03649</t>
        </is>
      </c>
      <c r="B3650" s="59" t="inlineStr">
        <is>
          <t>2025-04-04</t>
        </is>
      </c>
      <c r="C3650" s="60" t="inlineStr">
        <is>
          <t>Falcon Kitchen X-130</t>
        </is>
      </c>
      <c r="D3650" s="58" t="inlineStr">
        <is>
          <t>Home</t>
        </is>
      </c>
      <c r="E3650" s="58" t="inlineStr">
        <is>
          <t>West</t>
        </is>
      </c>
      <c r="F3650" s="61" t="n">
        <v>3</v>
      </c>
      <c r="G3650" s="62" t="n">
        <v>401.68</v>
      </c>
      <c r="H3650" s="63" t="n">
        <v>0.042</v>
      </c>
      <c r="I3650" s="62" t="n">
        <v>295.75</v>
      </c>
      <c r="J3650" s="58" t="inlineStr">
        <is>
          <t>Online</t>
        </is>
      </c>
      <c r="K3650" s="62">
        <f>F3650*(G3650-H3650)</f>
        <v/>
      </c>
      <c r="L3650" s="62">
        <f>K3650-(F3650*I3650)</f>
        <v/>
      </c>
      <c r="M3650" s="64">
        <f>L3650/K3650</f>
        <v/>
      </c>
    </row>
    <row r="3651">
      <c r="A3651" s="58" t="inlineStr">
        <is>
          <t>RT20250404-03650</t>
        </is>
      </c>
      <c r="B3651" s="59" t="inlineStr">
        <is>
          <t>2025-04-04</t>
        </is>
      </c>
      <c r="C3651" s="60" t="inlineStr">
        <is>
          <t>Polar Beverage S-258</t>
        </is>
      </c>
      <c r="D3651" s="58" t="inlineStr">
        <is>
          <t>Grocery</t>
        </is>
      </c>
      <c r="E3651" s="58" t="inlineStr">
        <is>
          <t>East</t>
        </is>
      </c>
      <c r="F3651" s="61" t="n">
        <v>3</v>
      </c>
      <c r="G3651" s="62" t="n">
        <v>11.21</v>
      </c>
      <c r="H3651" s="63" t="n">
        <v>0.081</v>
      </c>
      <c r="I3651" s="62" t="n">
        <v>9.699999999999999</v>
      </c>
      <c r="J3651" s="58" t="inlineStr">
        <is>
          <t>Store</t>
        </is>
      </c>
      <c r="K3651" s="62">
        <f>F3651*(G3651-H3651)</f>
        <v/>
      </c>
      <c r="L3651" s="62">
        <f>K3651-(F3651*I3651)</f>
        <v/>
      </c>
      <c r="M3651" s="64">
        <f>L3651/K3651</f>
        <v/>
      </c>
    </row>
    <row r="3652">
      <c r="A3652" s="58" t="inlineStr">
        <is>
          <t>RT20250404-03651</t>
        </is>
      </c>
      <c r="B3652" s="59" t="inlineStr">
        <is>
          <t>2025-04-04</t>
        </is>
      </c>
      <c r="C3652" s="60" t="inlineStr">
        <is>
          <t>Metro Beverage Max-490</t>
        </is>
      </c>
      <c r="D3652" s="58" t="inlineStr">
        <is>
          <t>Grocery</t>
        </is>
      </c>
      <c r="E3652" s="58" t="inlineStr">
        <is>
          <t>South</t>
        </is>
      </c>
      <c r="F3652" s="61" t="n">
        <v>4</v>
      </c>
      <c r="G3652" s="62" t="n">
        <v>10.65</v>
      </c>
      <c r="H3652" s="63" t="n">
        <v>0.058</v>
      </c>
      <c r="I3652" s="62" t="n">
        <v>8.32</v>
      </c>
      <c r="J3652" s="58" t="inlineStr">
        <is>
          <t>Online</t>
        </is>
      </c>
      <c r="K3652" s="62">
        <f>F3652*(G3652-H3652)</f>
        <v/>
      </c>
      <c r="L3652" s="62">
        <f>K3652-(F3652*I3652)</f>
        <v/>
      </c>
      <c r="M3652" s="64">
        <f>L3652/K3652</f>
        <v/>
      </c>
    </row>
    <row r="3653">
      <c r="A3653" s="58" t="inlineStr">
        <is>
          <t>RT20250404-03652</t>
        </is>
      </c>
      <c r="B3653" s="59" t="inlineStr">
        <is>
          <t>2025-04-04</t>
        </is>
      </c>
      <c r="C3653" s="60" t="inlineStr">
        <is>
          <t>Orion Men X-928</t>
        </is>
      </c>
      <c r="D3653" s="58" t="inlineStr">
        <is>
          <t>Apparel</t>
        </is>
      </c>
      <c r="E3653" s="58" t="inlineStr">
        <is>
          <t>South</t>
        </is>
      </c>
      <c r="F3653" s="61" t="n">
        <v>1</v>
      </c>
      <c r="G3653" s="62" t="n">
        <v>111.04</v>
      </c>
      <c r="H3653" s="63" t="n">
        <v>0.063</v>
      </c>
      <c r="I3653" s="62" t="n">
        <v>64.65000000000001</v>
      </c>
      <c r="J3653" s="58" t="inlineStr">
        <is>
          <t>Store</t>
        </is>
      </c>
      <c r="K3653" s="62">
        <f>F3653*(G3653-H3653)</f>
        <v/>
      </c>
      <c r="L3653" s="62">
        <f>K3653-(F3653*I3653)</f>
        <v/>
      </c>
      <c r="M3653" s="64">
        <f>L3653/K3653</f>
        <v/>
      </c>
    </row>
    <row r="3654">
      <c r="A3654" s="58" t="inlineStr">
        <is>
          <t>RT20250404-03653</t>
        </is>
      </c>
      <c r="B3654" s="59" t="inlineStr">
        <is>
          <t>2025-04-04</t>
        </is>
      </c>
      <c r="C3654" s="60" t="inlineStr">
        <is>
          <t>Aurora Household Plus-146</t>
        </is>
      </c>
      <c r="D3654" s="58" t="inlineStr">
        <is>
          <t>Grocery</t>
        </is>
      </c>
      <c r="E3654" s="58" t="inlineStr">
        <is>
          <t>West</t>
        </is>
      </c>
      <c r="F3654" s="61" t="n">
        <v>6</v>
      </c>
      <c r="G3654" s="62" t="n">
        <v>6.99</v>
      </c>
      <c r="H3654" s="63" t="n">
        <v>0.015</v>
      </c>
      <c r="I3654" s="62" t="n">
        <v>4.56</v>
      </c>
      <c r="J3654" s="58" t="inlineStr">
        <is>
          <t>Store</t>
        </is>
      </c>
      <c r="K3654" s="62">
        <f>F3654*(G3654-H3654)</f>
        <v/>
      </c>
      <c r="L3654" s="62">
        <f>K3654-(F3654*I3654)</f>
        <v/>
      </c>
      <c r="M3654" s="64">
        <f>L3654/K3654</f>
        <v/>
      </c>
    </row>
    <row r="3655">
      <c r="A3655" s="58" t="inlineStr">
        <is>
          <t>RT20250404-03654</t>
        </is>
      </c>
      <c r="B3655" s="59" t="inlineStr">
        <is>
          <t>2025-04-04</t>
        </is>
      </c>
      <c r="C3655" s="60" t="inlineStr">
        <is>
          <t>Polar Fragrance Pro-750</t>
        </is>
      </c>
      <c r="D3655" s="58" t="inlineStr">
        <is>
          <t>Beauty</t>
        </is>
      </c>
      <c r="E3655" s="58" t="inlineStr">
        <is>
          <t>South</t>
        </is>
      </c>
      <c r="F3655" s="61" t="n">
        <v>1</v>
      </c>
      <c r="G3655" s="62" t="n">
        <v>62.02</v>
      </c>
      <c r="H3655" s="63" t="n">
        <v>0.06900000000000001</v>
      </c>
      <c r="I3655" s="62" t="n">
        <v>37.78</v>
      </c>
      <c r="J3655" s="58" t="inlineStr">
        <is>
          <t>Online</t>
        </is>
      </c>
      <c r="K3655" s="62">
        <f>F3655*(G3655-H3655)</f>
        <v/>
      </c>
      <c r="L3655" s="62">
        <f>K3655-(F3655*I3655)</f>
        <v/>
      </c>
      <c r="M3655" s="64">
        <f>L3655/K3655</f>
        <v/>
      </c>
    </row>
    <row r="3656">
      <c r="A3656" s="58" t="inlineStr">
        <is>
          <t>RT20250404-03655</t>
        </is>
      </c>
      <c r="B3656" s="59" t="inlineStr">
        <is>
          <t>2025-04-04</t>
        </is>
      </c>
      <c r="C3656" s="60" t="inlineStr">
        <is>
          <t>Vertex Decor Pro-618</t>
        </is>
      </c>
      <c r="D3656" s="58" t="inlineStr">
        <is>
          <t>Home</t>
        </is>
      </c>
      <c r="E3656" s="58" t="inlineStr">
        <is>
          <t>East</t>
        </is>
      </c>
      <c r="F3656" s="61" t="n">
        <v>2</v>
      </c>
      <c r="G3656" s="62" t="n">
        <v>593.65</v>
      </c>
      <c r="H3656" s="63" t="n">
        <v>0.091</v>
      </c>
      <c r="I3656" s="62" t="n">
        <v>378.85</v>
      </c>
      <c r="J3656" s="58" t="inlineStr">
        <is>
          <t>Store</t>
        </is>
      </c>
      <c r="K3656" s="62">
        <f>F3656*(G3656-H3656)</f>
        <v/>
      </c>
      <c r="L3656" s="62">
        <f>K3656-(F3656*I3656)</f>
        <v/>
      </c>
      <c r="M3656" s="64">
        <f>L3656/K3656</f>
        <v/>
      </c>
    </row>
    <row r="3657">
      <c r="A3657" s="58" t="inlineStr">
        <is>
          <t>RT20250404-03656</t>
        </is>
      </c>
      <c r="B3657" s="59" t="inlineStr">
        <is>
          <t>2025-04-04</t>
        </is>
      </c>
      <c r="C3657" s="60" t="inlineStr">
        <is>
          <t>Orion Kid Max-864</t>
        </is>
      </c>
      <c r="D3657" s="58" t="inlineStr">
        <is>
          <t>Apparel</t>
        </is>
      </c>
      <c r="E3657" s="58" t="inlineStr">
        <is>
          <t>West</t>
        </is>
      </c>
      <c r="F3657" s="61" t="n">
        <v>1</v>
      </c>
      <c r="G3657" s="62" t="n">
        <v>65.40000000000001</v>
      </c>
      <c r="H3657" s="63" t="n">
        <v>0.08599999999999999</v>
      </c>
      <c r="I3657" s="62" t="n">
        <v>44.5</v>
      </c>
      <c r="J3657" s="58" t="inlineStr">
        <is>
          <t>Online</t>
        </is>
      </c>
      <c r="K3657" s="62">
        <f>F3657*(G3657-H3657)</f>
        <v/>
      </c>
      <c r="L3657" s="62">
        <f>K3657-(F3657*I3657)</f>
        <v/>
      </c>
      <c r="M3657" s="64">
        <f>L3657/K3657</f>
        <v/>
      </c>
    </row>
    <row r="3658">
      <c r="A3658" s="58" t="inlineStr">
        <is>
          <t>RT20250404-03657</t>
        </is>
      </c>
      <c r="B3658" s="59" t="inlineStr">
        <is>
          <t>2025-04-04</t>
        </is>
      </c>
      <c r="C3658" s="60" t="inlineStr">
        <is>
          <t>Polar Cycling S-223</t>
        </is>
      </c>
      <c r="D3658" s="58" t="inlineStr">
        <is>
          <t>Sports</t>
        </is>
      </c>
      <c r="E3658" s="58" t="inlineStr">
        <is>
          <t>Central</t>
        </is>
      </c>
      <c r="F3658" s="61" t="n">
        <v>2</v>
      </c>
      <c r="G3658" s="62" t="n">
        <v>974.24</v>
      </c>
      <c r="H3658" s="63" t="n">
        <v>0.127</v>
      </c>
      <c r="I3658" s="62" t="n">
        <v>634.49</v>
      </c>
      <c r="J3658" s="58" t="inlineStr">
        <is>
          <t>Store</t>
        </is>
      </c>
      <c r="K3658" s="62">
        <f>F3658*(G3658-H3658)</f>
        <v/>
      </c>
      <c r="L3658" s="62">
        <f>K3658-(F3658*I3658)</f>
        <v/>
      </c>
      <c r="M3658" s="64">
        <f>L3658/K3658</f>
        <v/>
      </c>
    </row>
    <row r="3659">
      <c r="A3659" s="58" t="inlineStr">
        <is>
          <t>RT20250404-03658</t>
        </is>
      </c>
      <c r="B3659" s="59" t="inlineStr">
        <is>
          <t>2025-04-04</t>
        </is>
      </c>
      <c r="C3659" s="60" t="inlineStr">
        <is>
          <t>Vertex Pantry Pro-165</t>
        </is>
      </c>
      <c r="D3659" s="58" t="inlineStr">
        <is>
          <t>Grocery</t>
        </is>
      </c>
      <c r="E3659" s="58" t="inlineStr">
        <is>
          <t>East</t>
        </is>
      </c>
      <c r="F3659" s="61" t="n">
        <v>4</v>
      </c>
      <c r="G3659" s="62" t="n">
        <v>16.63</v>
      </c>
      <c r="H3659" s="63" t="n">
        <v>0.039</v>
      </c>
      <c r="I3659" s="62" t="n">
        <v>11.81</v>
      </c>
      <c r="J3659" s="58" t="inlineStr">
        <is>
          <t>Store</t>
        </is>
      </c>
      <c r="K3659" s="62">
        <f>F3659*(G3659-H3659)</f>
        <v/>
      </c>
      <c r="L3659" s="62">
        <f>K3659-(F3659*I3659)</f>
        <v/>
      </c>
      <c r="M3659" s="64">
        <f>L3659/K3659</f>
        <v/>
      </c>
    </row>
    <row r="3660">
      <c r="A3660" s="58" t="inlineStr">
        <is>
          <t>RT20250404-03659</t>
        </is>
      </c>
      <c r="B3660" s="59" t="inlineStr">
        <is>
          <t>2025-04-04</t>
        </is>
      </c>
      <c r="C3660" s="60" t="inlineStr">
        <is>
          <t>Solace Smartphone Lite-533</t>
        </is>
      </c>
      <c r="D3660" s="58" t="inlineStr">
        <is>
          <t>Electronics</t>
        </is>
      </c>
      <c r="E3660" s="58" t="inlineStr">
        <is>
          <t>East</t>
        </is>
      </c>
      <c r="F3660" s="61" t="n">
        <v>2</v>
      </c>
      <c r="G3660" s="62" t="n">
        <v>1199.88</v>
      </c>
      <c r="H3660" s="63" t="n">
        <v>0.056</v>
      </c>
      <c r="I3660" s="62" t="n">
        <v>937.24</v>
      </c>
      <c r="J3660" s="58" t="inlineStr">
        <is>
          <t>Store</t>
        </is>
      </c>
      <c r="K3660" s="62">
        <f>F3660*(G3660-H3660)</f>
        <v/>
      </c>
      <c r="L3660" s="62">
        <f>K3660-(F3660*I3660)</f>
        <v/>
      </c>
      <c r="M3660" s="64">
        <f>L3660/K3660</f>
        <v/>
      </c>
    </row>
    <row r="3661">
      <c r="A3661" s="58" t="inlineStr">
        <is>
          <t>RT20250404-03660</t>
        </is>
      </c>
      <c r="B3661" s="59" t="inlineStr">
        <is>
          <t>2025-04-04</t>
        </is>
      </c>
      <c r="C3661" s="60" t="inlineStr">
        <is>
          <t>Orion Fragrance Lite-785</t>
        </is>
      </c>
      <c r="D3661" s="58" t="inlineStr">
        <is>
          <t>Beauty</t>
        </is>
      </c>
      <c r="E3661" s="58" t="inlineStr">
        <is>
          <t>East</t>
        </is>
      </c>
      <c r="F3661" s="61" t="n">
        <v>5</v>
      </c>
      <c r="G3661" s="62" t="n">
        <v>41.58</v>
      </c>
      <c r="H3661" s="63" t="n">
        <v>0.062</v>
      </c>
      <c r="I3661" s="62" t="n">
        <v>27.46</v>
      </c>
      <c r="J3661" s="58" t="inlineStr">
        <is>
          <t>Store</t>
        </is>
      </c>
      <c r="K3661" s="62">
        <f>F3661*(G3661-H3661)</f>
        <v/>
      </c>
      <c r="L3661" s="62">
        <f>K3661-(F3661*I3661)</f>
        <v/>
      </c>
      <c r="M3661" s="64">
        <f>L3661/K3661</f>
        <v/>
      </c>
    </row>
    <row r="3662">
      <c r="A3662" s="58" t="inlineStr">
        <is>
          <t>RT20250404-03661</t>
        </is>
      </c>
      <c r="B3662" s="59" t="inlineStr">
        <is>
          <t>2025-04-04</t>
        </is>
      </c>
      <c r="C3662" s="60" t="inlineStr">
        <is>
          <t>Polar Women S-662</t>
        </is>
      </c>
      <c r="D3662" s="58" t="inlineStr">
        <is>
          <t>Apparel</t>
        </is>
      </c>
      <c r="E3662" s="58" t="inlineStr">
        <is>
          <t>Central</t>
        </is>
      </c>
      <c r="F3662" s="61" t="n">
        <v>1</v>
      </c>
      <c r="G3662" s="62" t="n">
        <v>159.83</v>
      </c>
      <c r="H3662" s="63" t="n">
        <v>0.08799999999999999</v>
      </c>
      <c r="I3662" s="62" t="n">
        <v>97.81999999999999</v>
      </c>
      <c r="J3662" s="58" t="inlineStr">
        <is>
          <t>Store</t>
        </is>
      </c>
      <c r="K3662" s="62">
        <f>F3662*(G3662-H3662)</f>
        <v/>
      </c>
      <c r="L3662" s="62">
        <f>K3662-(F3662*I3662)</f>
        <v/>
      </c>
      <c r="M3662" s="64">
        <f>L3662/K3662</f>
        <v/>
      </c>
    </row>
    <row r="3663">
      <c r="A3663" s="58" t="inlineStr">
        <is>
          <t>RT20250404-03662</t>
        </is>
      </c>
      <c r="B3663" s="59" t="inlineStr">
        <is>
          <t>2025-04-04</t>
        </is>
      </c>
      <c r="C3663" s="60" t="inlineStr">
        <is>
          <t>Nimbus Headphone X-854</t>
        </is>
      </c>
      <c r="D3663" s="58" t="inlineStr">
        <is>
          <t>Electronics</t>
        </is>
      </c>
      <c r="E3663" s="58" t="inlineStr">
        <is>
          <t>East</t>
        </is>
      </c>
      <c r="F3663" s="61" t="n">
        <v>1</v>
      </c>
      <c r="G3663" s="62" t="n">
        <v>1642.03</v>
      </c>
      <c r="H3663" s="63" t="n">
        <v>0.092</v>
      </c>
      <c r="I3663" s="62" t="n">
        <v>1266.3</v>
      </c>
      <c r="J3663" s="58" t="inlineStr">
        <is>
          <t>Store</t>
        </is>
      </c>
      <c r="K3663" s="62">
        <f>F3663*(G3663-H3663)</f>
        <v/>
      </c>
      <c r="L3663" s="62">
        <f>K3663-(F3663*I3663)</f>
        <v/>
      </c>
      <c r="M3663" s="64">
        <f>L3663/K3663</f>
        <v/>
      </c>
    </row>
    <row r="3664">
      <c r="A3664" s="58" t="inlineStr">
        <is>
          <t>RT20250404-03663</t>
        </is>
      </c>
      <c r="B3664" s="59" t="inlineStr">
        <is>
          <t>2025-04-04</t>
        </is>
      </c>
      <c r="C3664" s="60" t="inlineStr">
        <is>
          <t>Vertex Pantry Pro-165</t>
        </is>
      </c>
      <c r="D3664" s="58" t="inlineStr">
        <is>
          <t>Grocery</t>
        </is>
      </c>
      <c r="E3664" s="58" t="inlineStr">
        <is>
          <t>South</t>
        </is>
      </c>
      <c r="F3664" s="61" t="n">
        <v>3</v>
      </c>
      <c r="G3664" s="62" t="n">
        <v>15.12</v>
      </c>
      <c r="H3664" s="63" t="n">
        <v>0.003</v>
      </c>
      <c r="I3664" s="62" t="n">
        <v>11.53</v>
      </c>
      <c r="J3664" s="58" t="inlineStr">
        <is>
          <t>Store</t>
        </is>
      </c>
      <c r="K3664" s="62">
        <f>F3664*(G3664-H3664)</f>
        <v/>
      </c>
      <c r="L3664" s="62">
        <f>K3664-(F3664*I3664)</f>
        <v/>
      </c>
      <c r="M3664" s="64">
        <f>L3664/K3664</f>
        <v/>
      </c>
    </row>
    <row r="3665">
      <c r="A3665" s="58" t="inlineStr">
        <is>
          <t>RT20250404-03664</t>
        </is>
      </c>
      <c r="B3665" s="59" t="inlineStr">
        <is>
          <t>2025-04-04</t>
        </is>
      </c>
      <c r="C3665" s="60" t="inlineStr">
        <is>
          <t>Vertex Smartphone Pro-256</t>
        </is>
      </c>
      <c r="D3665" s="58" t="inlineStr">
        <is>
          <t>Electronics</t>
        </is>
      </c>
      <c r="E3665" s="58" t="inlineStr">
        <is>
          <t>West</t>
        </is>
      </c>
      <c r="F3665" s="61" t="n">
        <v>2</v>
      </c>
      <c r="G3665" s="62" t="n">
        <v>1142.78</v>
      </c>
      <c r="H3665" s="63" t="n">
        <v>0.054</v>
      </c>
      <c r="I3665" s="62" t="n">
        <v>938.47</v>
      </c>
      <c r="J3665" s="58" t="inlineStr">
        <is>
          <t>Store</t>
        </is>
      </c>
      <c r="K3665" s="62">
        <f>F3665*(G3665-H3665)</f>
        <v/>
      </c>
      <c r="L3665" s="62">
        <f>K3665-(F3665*I3665)</f>
        <v/>
      </c>
      <c r="M3665" s="64">
        <f>L3665/K3665</f>
        <v/>
      </c>
    </row>
    <row r="3666">
      <c r="A3666" s="58" t="inlineStr">
        <is>
          <t>RT20250404-03665</t>
        </is>
      </c>
      <c r="B3666" s="59" t="inlineStr">
        <is>
          <t>2025-04-04</t>
        </is>
      </c>
      <c r="C3666" s="60" t="inlineStr">
        <is>
          <t>Polar Wearable X-119</t>
        </is>
      </c>
      <c r="D3666" s="58" t="inlineStr">
        <is>
          <t>Electronics</t>
        </is>
      </c>
      <c r="E3666" s="58" t="inlineStr">
        <is>
          <t>East</t>
        </is>
      </c>
      <c r="F3666" s="61" t="n">
        <v>2</v>
      </c>
      <c r="G3666" s="62" t="n">
        <v>1712.87</v>
      </c>
      <c r="H3666" s="63" t="n">
        <v>0.098</v>
      </c>
      <c r="I3666" s="62" t="n">
        <v>1319.89</v>
      </c>
      <c r="J3666" s="58" t="inlineStr">
        <is>
          <t>Online</t>
        </is>
      </c>
      <c r="K3666" s="62">
        <f>F3666*(G3666-H3666)</f>
        <v/>
      </c>
      <c r="L3666" s="62">
        <f>K3666-(F3666*I3666)</f>
        <v/>
      </c>
      <c r="M3666" s="64">
        <f>L3666/K3666</f>
        <v/>
      </c>
    </row>
    <row r="3667">
      <c r="A3667" s="58" t="inlineStr">
        <is>
          <t>RT20250404-03666</t>
        </is>
      </c>
      <c r="B3667" s="59" t="inlineStr">
        <is>
          <t>2025-04-04</t>
        </is>
      </c>
      <c r="C3667" s="60" t="inlineStr">
        <is>
          <t>Nimbus Headphone X-854</t>
        </is>
      </c>
      <c r="D3667" s="58" t="inlineStr">
        <is>
          <t>Electronics</t>
        </is>
      </c>
      <c r="E3667" s="58" t="inlineStr">
        <is>
          <t>North</t>
        </is>
      </c>
      <c r="F3667" s="61" t="n">
        <v>2</v>
      </c>
      <c r="G3667" s="62" t="n">
        <v>1590.84</v>
      </c>
      <c r="H3667" s="63" t="n">
        <v>0.063</v>
      </c>
      <c r="I3667" s="62" t="n">
        <v>1232.92</v>
      </c>
      <c r="J3667" s="58" t="inlineStr">
        <is>
          <t>Online</t>
        </is>
      </c>
      <c r="K3667" s="62">
        <f>F3667*(G3667-H3667)</f>
        <v/>
      </c>
      <c r="L3667" s="62">
        <f>K3667-(F3667*I3667)</f>
        <v/>
      </c>
      <c r="M3667" s="64">
        <f>L3667/K3667</f>
        <v/>
      </c>
    </row>
    <row r="3668">
      <c r="A3668" s="58" t="inlineStr">
        <is>
          <t>RT20250404-03667</t>
        </is>
      </c>
      <c r="B3668" s="59" t="inlineStr">
        <is>
          <t>2025-04-04</t>
        </is>
      </c>
      <c r="C3668" s="60" t="inlineStr">
        <is>
          <t>Falcon Accessorie S-195</t>
        </is>
      </c>
      <c r="D3668" s="58" t="inlineStr">
        <is>
          <t>Apparel</t>
        </is>
      </c>
      <c r="E3668" s="58" t="inlineStr">
        <is>
          <t>North</t>
        </is>
      </c>
      <c r="F3668" s="61" t="n">
        <v>2</v>
      </c>
      <c r="G3668" s="62" t="n">
        <v>76.73</v>
      </c>
      <c r="H3668" s="63" t="n">
        <v>0.023</v>
      </c>
      <c r="I3668" s="62" t="n">
        <v>42.48</v>
      </c>
      <c r="J3668" s="58" t="inlineStr">
        <is>
          <t>Online</t>
        </is>
      </c>
      <c r="K3668" s="62">
        <f>F3668*(G3668-H3668)</f>
        <v/>
      </c>
      <c r="L3668" s="62">
        <f>K3668-(F3668*I3668)</f>
        <v/>
      </c>
      <c r="M3668" s="64">
        <f>L3668/K3668</f>
        <v/>
      </c>
    </row>
    <row r="3669">
      <c r="A3669" s="58" t="inlineStr">
        <is>
          <t>RT20250404-03668</t>
        </is>
      </c>
      <c r="B3669" s="59" t="inlineStr">
        <is>
          <t>2025-04-04</t>
        </is>
      </c>
      <c r="C3669" s="60" t="inlineStr">
        <is>
          <t>Orion Team Sport X-926</t>
        </is>
      </c>
      <c r="D3669" s="58" t="inlineStr">
        <is>
          <t>Sports</t>
        </is>
      </c>
      <c r="E3669" s="58" t="inlineStr">
        <is>
          <t>East</t>
        </is>
      </c>
      <c r="F3669" s="61" t="n">
        <v>1</v>
      </c>
      <c r="G3669" s="62" t="n">
        <v>287.07</v>
      </c>
      <c r="H3669" s="63" t="n">
        <v>0.083</v>
      </c>
      <c r="I3669" s="62" t="n">
        <v>217.22</v>
      </c>
      <c r="J3669" s="58" t="inlineStr">
        <is>
          <t>Online</t>
        </is>
      </c>
      <c r="K3669" s="62">
        <f>F3669*(G3669-H3669)</f>
        <v/>
      </c>
      <c r="L3669" s="62">
        <f>K3669-(F3669*I3669)</f>
        <v/>
      </c>
      <c r="M3669" s="64">
        <f>L3669/K3669</f>
        <v/>
      </c>
    </row>
    <row r="3670">
      <c r="A3670" s="58" t="inlineStr">
        <is>
          <t>RT20250405-03669</t>
        </is>
      </c>
      <c r="B3670" s="59" t="inlineStr">
        <is>
          <t>2025-04-05</t>
        </is>
      </c>
      <c r="C3670" s="60" t="inlineStr">
        <is>
          <t>Nimbus Makeup Max-158</t>
        </is>
      </c>
      <c r="D3670" s="58" t="inlineStr">
        <is>
          <t>Beauty</t>
        </is>
      </c>
      <c r="E3670" s="58" t="inlineStr">
        <is>
          <t>East</t>
        </is>
      </c>
      <c r="F3670" s="61" t="n">
        <v>5</v>
      </c>
      <c r="G3670" s="62" t="n">
        <v>178.74</v>
      </c>
      <c r="H3670" s="63" t="n">
        <v>0.107</v>
      </c>
      <c r="I3670" s="62" t="n">
        <v>98.54000000000001</v>
      </c>
      <c r="J3670" s="58" t="inlineStr">
        <is>
          <t>Store</t>
        </is>
      </c>
      <c r="K3670" s="62">
        <f>F3670*(G3670-H3670)</f>
        <v/>
      </c>
      <c r="L3670" s="62">
        <f>K3670-(F3670*I3670)</f>
        <v/>
      </c>
      <c r="M3670" s="64">
        <f>L3670/K3670</f>
        <v/>
      </c>
    </row>
    <row r="3671">
      <c r="A3671" s="58" t="inlineStr">
        <is>
          <t>RT20250405-03670</t>
        </is>
      </c>
      <c r="B3671" s="59" t="inlineStr">
        <is>
          <t>2025-04-05</t>
        </is>
      </c>
      <c r="C3671" s="60" t="inlineStr">
        <is>
          <t>Aurora Storage Lite-774</t>
        </is>
      </c>
      <c r="D3671" s="58" t="inlineStr">
        <is>
          <t>Office</t>
        </is>
      </c>
      <c r="E3671" s="58" t="inlineStr">
        <is>
          <t>North</t>
        </is>
      </c>
      <c r="F3671" s="61" t="n">
        <v>2</v>
      </c>
      <c r="G3671" s="62" t="n">
        <v>313.49</v>
      </c>
      <c r="H3671" s="63" t="n">
        <v>0.09</v>
      </c>
      <c r="I3671" s="62" t="n">
        <v>245.81</v>
      </c>
      <c r="J3671" s="58" t="inlineStr">
        <is>
          <t>Online</t>
        </is>
      </c>
      <c r="K3671" s="62">
        <f>F3671*(G3671-H3671)</f>
        <v/>
      </c>
      <c r="L3671" s="62">
        <f>K3671-(F3671*I3671)</f>
        <v/>
      </c>
      <c r="M3671" s="64">
        <f>L3671/K3671</f>
        <v/>
      </c>
    </row>
    <row r="3672">
      <c r="A3672" s="58" t="inlineStr">
        <is>
          <t>RT20250405-03671</t>
        </is>
      </c>
      <c r="B3672" s="59" t="inlineStr">
        <is>
          <t>2025-04-05</t>
        </is>
      </c>
      <c r="C3672" s="60" t="inlineStr">
        <is>
          <t>Solace Kid S-384</t>
        </is>
      </c>
      <c r="D3672" s="58" t="inlineStr">
        <is>
          <t>Apparel</t>
        </is>
      </c>
      <c r="E3672" s="58" t="inlineStr">
        <is>
          <t>North</t>
        </is>
      </c>
      <c r="F3672" s="61" t="n">
        <v>2</v>
      </c>
      <c r="G3672" s="62" t="n">
        <v>119.76</v>
      </c>
      <c r="H3672" s="63" t="n">
        <v>0.08</v>
      </c>
      <c r="I3672" s="62" t="n">
        <v>64.09</v>
      </c>
      <c r="J3672" s="58" t="inlineStr">
        <is>
          <t>Store</t>
        </is>
      </c>
      <c r="K3672" s="62">
        <f>F3672*(G3672-H3672)</f>
        <v/>
      </c>
      <c r="L3672" s="62">
        <f>K3672-(F3672*I3672)</f>
        <v/>
      </c>
      <c r="M3672" s="64">
        <f>L3672/K3672</f>
        <v/>
      </c>
    </row>
    <row r="3673">
      <c r="A3673" s="58" t="inlineStr">
        <is>
          <t>RT20250405-03672</t>
        </is>
      </c>
      <c r="B3673" s="59" t="inlineStr">
        <is>
          <t>2025-04-05</t>
        </is>
      </c>
      <c r="C3673" s="60" t="inlineStr">
        <is>
          <t>Vertex Furniture S-652</t>
        </is>
      </c>
      <c r="D3673" s="58" t="inlineStr">
        <is>
          <t>Office</t>
        </is>
      </c>
      <c r="E3673" s="58" t="inlineStr">
        <is>
          <t>West</t>
        </is>
      </c>
      <c r="F3673" s="61" t="n">
        <v>1</v>
      </c>
      <c r="G3673" s="62" t="n">
        <v>392.75</v>
      </c>
      <c r="H3673" s="63" t="n">
        <v>0.026</v>
      </c>
      <c r="I3673" s="62" t="n">
        <v>266.95</v>
      </c>
      <c r="J3673" s="58" t="inlineStr">
        <is>
          <t>Online</t>
        </is>
      </c>
      <c r="K3673" s="62">
        <f>F3673*(G3673-H3673)</f>
        <v/>
      </c>
      <c r="L3673" s="62">
        <f>K3673-(F3673*I3673)</f>
        <v/>
      </c>
      <c r="M3673" s="64">
        <f>L3673/K3673</f>
        <v/>
      </c>
    </row>
    <row r="3674">
      <c r="A3674" s="58" t="inlineStr">
        <is>
          <t>RT20250405-03673</t>
        </is>
      </c>
      <c r="B3674" s="59" t="inlineStr">
        <is>
          <t>2025-04-05</t>
        </is>
      </c>
      <c r="C3674" s="60" t="inlineStr">
        <is>
          <t>Aurora Makeup S-626</t>
        </is>
      </c>
      <c r="D3674" s="58" t="inlineStr">
        <is>
          <t>Beauty</t>
        </is>
      </c>
      <c r="E3674" s="58" t="inlineStr">
        <is>
          <t>East</t>
        </is>
      </c>
      <c r="F3674" s="61" t="n">
        <v>1</v>
      </c>
      <c r="G3674" s="62" t="n">
        <v>119.49</v>
      </c>
      <c r="H3674" s="63" t="n">
        <v>0.058</v>
      </c>
      <c r="I3674" s="62" t="n">
        <v>64.91</v>
      </c>
      <c r="J3674" s="58" t="inlineStr">
        <is>
          <t>Store</t>
        </is>
      </c>
      <c r="K3674" s="62">
        <f>F3674*(G3674-H3674)</f>
        <v/>
      </c>
      <c r="L3674" s="62">
        <f>K3674-(F3674*I3674)</f>
        <v/>
      </c>
      <c r="M3674" s="64">
        <f>L3674/K3674</f>
        <v/>
      </c>
    </row>
    <row r="3675">
      <c r="A3675" s="58" t="inlineStr">
        <is>
          <t>RT20250405-03674</t>
        </is>
      </c>
      <c r="B3675" s="59" t="inlineStr">
        <is>
          <t>2025-04-05</t>
        </is>
      </c>
      <c r="C3675" s="60" t="inlineStr">
        <is>
          <t>Polar Wearable X-119</t>
        </is>
      </c>
      <c r="D3675" s="58" t="inlineStr">
        <is>
          <t>Electronics</t>
        </is>
      </c>
      <c r="E3675" s="58" t="inlineStr">
        <is>
          <t>West</t>
        </is>
      </c>
      <c r="F3675" s="61" t="n">
        <v>1</v>
      </c>
      <c r="G3675" s="62" t="n">
        <v>1756.82</v>
      </c>
      <c r="H3675" s="63" t="n">
        <v>0.067</v>
      </c>
      <c r="I3675" s="62" t="n">
        <v>1357.11</v>
      </c>
      <c r="J3675" s="58" t="inlineStr">
        <is>
          <t>Store</t>
        </is>
      </c>
      <c r="K3675" s="62">
        <f>F3675*(G3675-H3675)</f>
        <v/>
      </c>
      <c r="L3675" s="62">
        <f>K3675-(F3675*I3675)</f>
        <v/>
      </c>
      <c r="M3675" s="64">
        <f>L3675/K3675</f>
        <v/>
      </c>
    </row>
    <row r="3676">
      <c r="A3676" s="58" t="inlineStr">
        <is>
          <t>RT20250405-03675</t>
        </is>
      </c>
      <c r="B3676" s="59" t="inlineStr">
        <is>
          <t>2025-04-05</t>
        </is>
      </c>
      <c r="C3676" s="60" t="inlineStr">
        <is>
          <t>Nimbus Women Plus-352</t>
        </is>
      </c>
      <c r="D3676" s="58" t="inlineStr">
        <is>
          <t>Apparel</t>
        </is>
      </c>
      <c r="E3676" s="58" t="inlineStr">
        <is>
          <t>West</t>
        </is>
      </c>
      <c r="F3676" s="61" t="n">
        <v>2</v>
      </c>
      <c r="G3676" s="62" t="n">
        <v>53.06</v>
      </c>
      <c r="H3676" s="63" t="n">
        <v>0.041</v>
      </c>
      <c r="I3676" s="62" t="n">
        <v>33.42</v>
      </c>
      <c r="J3676" s="58" t="inlineStr">
        <is>
          <t>Online</t>
        </is>
      </c>
      <c r="K3676" s="62">
        <f>F3676*(G3676-H3676)</f>
        <v/>
      </c>
      <c r="L3676" s="62">
        <f>K3676-(F3676*I3676)</f>
        <v/>
      </c>
      <c r="M3676" s="64">
        <f>L3676/K3676</f>
        <v/>
      </c>
    </row>
    <row r="3677">
      <c r="A3677" s="58" t="inlineStr">
        <is>
          <t>RT20250405-03676</t>
        </is>
      </c>
      <c r="B3677" s="59" t="inlineStr">
        <is>
          <t>2025-04-05</t>
        </is>
      </c>
      <c r="C3677" s="60" t="inlineStr">
        <is>
          <t>Polar Bedding Lite-243</t>
        </is>
      </c>
      <c r="D3677" s="58" t="inlineStr">
        <is>
          <t>Home</t>
        </is>
      </c>
      <c r="E3677" s="58" t="inlineStr">
        <is>
          <t>Central</t>
        </is>
      </c>
      <c r="F3677" s="61" t="n">
        <v>1</v>
      </c>
      <c r="G3677" s="62" t="n">
        <v>465.01</v>
      </c>
      <c r="H3677" s="63" t="n">
        <v>0.104</v>
      </c>
      <c r="I3677" s="62" t="n">
        <v>317.98</v>
      </c>
      <c r="J3677" s="58" t="inlineStr">
        <is>
          <t>Online</t>
        </is>
      </c>
      <c r="K3677" s="62">
        <f>F3677*(G3677-H3677)</f>
        <v/>
      </c>
      <c r="L3677" s="62">
        <f>K3677-(F3677*I3677)</f>
        <v/>
      </c>
      <c r="M3677" s="64">
        <f>L3677/K3677</f>
        <v/>
      </c>
    </row>
    <row r="3678">
      <c r="A3678" s="58" t="inlineStr">
        <is>
          <t>RT20250405-03677</t>
        </is>
      </c>
      <c r="B3678" s="59" t="inlineStr">
        <is>
          <t>2025-04-05</t>
        </is>
      </c>
      <c r="C3678" s="60" t="inlineStr">
        <is>
          <t>Polar Women S-662</t>
        </is>
      </c>
      <c r="D3678" s="58" t="inlineStr">
        <is>
          <t>Apparel</t>
        </is>
      </c>
      <c r="E3678" s="58" t="inlineStr">
        <is>
          <t>South</t>
        </is>
      </c>
      <c r="F3678" s="61" t="n">
        <v>3</v>
      </c>
      <c r="G3678" s="62" t="n">
        <v>160.76</v>
      </c>
      <c r="H3678" s="63" t="n">
        <v>0.051</v>
      </c>
      <c r="I3678" s="62" t="n">
        <v>97.66</v>
      </c>
      <c r="J3678" s="58" t="inlineStr">
        <is>
          <t>Online</t>
        </is>
      </c>
      <c r="K3678" s="62">
        <f>F3678*(G3678-H3678)</f>
        <v/>
      </c>
      <c r="L3678" s="62">
        <f>K3678-(F3678*I3678)</f>
        <v/>
      </c>
      <c r="M3678" s="64">
        <f>L3678/K3678</f>
        <v/>
      </c>
    </row>
    <row r="3679">
      <c r="A3679" s="58" t="inlineStr">
        <is>
          <t>RT20250405-03678</t>
        </is>
      </c>
      <c r="B3679" s="59" t="inlineStr">
        <is>
          <t>2025-04-05</t>
        </is>
      </c>
      <c r="C3679" s="60" t="inlineStr">
        <is>
          <t>Vertex Skincare Pro-891</t>
        </is>
      </c>
      <c r="D3679" s="58" t="inlineStr">
        <is>
          <t>Beauty</t>
        </is>
      </c>
      <c r="E3679" s="58" t="inlineStr">
        <is>
          <t>South</t>
        </is>
      </c>
      <c r="F3679" s="61" t="n">
        <v>2</v>
      </c>
      <c r="G3679" s="62" t="n">
        <v>147.25</v>
      </c>
      <c r="H3679" s="63" t="n">
        <v>0.065</v>
      </c>
      <c r="I3679" s="62" t="n">
        <v>88.08</v>
      </c>
      <c r="J3679" s="58" t="inlineStr">
        <is>
          <t>Store</t>
        </is>
      </c>
      <c r="K3679" s="62">
        <f>F3679*(G3679-H3679)</f>
        <v/>
      </c>
      <c r="L3679" s="62">
        <f>K3679-(F3679*I3679)</f>
        <v/>
      </c>
      <c r="M3679" s="64">
        <f>L3679/K3679</f>
        <v/>
      </c>
    </row>
    <row r="3680">
      <c r="A3680" s="58" t="inlineStr">
        <is>
          <t>RT20250405-03679</t>
        </is>
      </c>
      <c r="B3680" s="59" t="inlineStr">
        <is>
          <t>2025-04-05</t>
        </is>
      </c>
      <c r="C3680" s="60" t="inlineStr">
        <is>
          <t>Orion Fragrance Lite-785</t>
        </is>
      </c>
      <c r="D3680" s="58" t="inlineStr">
        <is>
          <t>Beauty</t>
        </is>
      </c>
      <c r="E3680" s="58" t="inlineStr">
        <is>
          <t>East</t>
        </is>
      </c>
      <c r="F3680" s="61" t="n">
        <v>1</v>
      </c>
      <c r="G3680" s="62" t="n">
        <v>47.2</v>
      </c>
      <c r="H3680" s="63" t="n">
        <v>0.025</v>
      </c>
      <c r="I3680" s="62" t="n">
        <v>26.27</v>
      </c>
      <c r="J3680" s="58" t="inlineStr">
        <is>
          <t>Online</t>
        </is>
      </c>
      <c r="K3680" s="62">
        <f>F3680*(G3680-H3680)</f>
        <v/>
      </c>
      <c r="L3680" s="62">
        <f>K3680-(F3680*I3680)</f>
        <v/>
      </c>
      <c r="M3680" s="64">
        <f>L3680/K3680</f>
        <v/>
      </c>
    </row>
    <row r="3681">
      <c r="A3681" s="58" t="inlineStr">
        <is>
          <t>RT20250405-03680</t>
        </is>
      </c>
      <c r="B3681" s="59" t="inlineStr">
        <is>
          <t>2025-04-05</t>
        </is>
      </c>
      <c r="C3681" s="60" t="inlineStr">
        <is>
          <t>Polar Wearable X-119</t>
        </is>
      </c>
      <c r="D3681" s="58" t="inlineStr">
        <is>
          <t>Electronics</t>
        </is>
      </c>
      <c r="E3681" s="58" t="inlineStr">
        <is>
          <t>East</t>
        </is>
      </c>
      <c r="F3681" s="61" t="n">
        <v>1</v>
      </c>
      <c r="G3681" s="62" t="n">
        <v>1687.29</v>
      </c>
      <c r="H3681" s="63" t="n">
        <v>0.078</v>
      </c>
      <c r="I3681" s="62" t="n">
        <v>1301.5</v>
      </c>
      <c r="J3681" s="58" t="inlineStr">
        <is>
          <t>Online</t>
        </is>
      </c>
      <c r="K3681" s="62">
        <f>F3681*(G3681-H3681)</f>
        <v/>
      </c>
      <c r="L3681" s="62">
        <f>K3681-(F3681*I3681)</f>
        <v/>
      </c>
      <c r="M3681" s="64">
        <f>L3681/K3681</f>
        <v/>
      </c>
    </row>
    <row r="3682">
      <c r="A3682" s="58" t="inlineStr">
        <is>
          <t>RT20250405-03681</t>
        </is>
      </c>
      <c r="B3682" s="59" t="inlineStr">
        <is>
          <t>2025-04-05</t>
        </is>
      </c>
      <c r="C3682" s="60" t="inlineStr">
        <is>
          <t>Polar Fragrance Pro-750</t>
        </is>
      </c>
      <c r="D3682" s="58" t="inlineStr">
        <is>
          <t>Beauty</t>
        </is>
      </c>
      <c r="E3682" s="58" t="inlineStr">
        <is>
          <t>Central</t>
        </is>
      </c>
      <c r="F3682" s="61" t="n">
        <v>4</v>
      </c>
      <c r="G3682" s="62" t="n">
        <v>63.58</v>
      </c>
      <c r="H3682" s="63" t="n">
        <v>0.064</v>
      </c>
      <c r="I3682" s="62" t="n">
        <v>37.84</v>
      </c>
      <c r="J3682" s="58" t="inlineStr">
        <is>
          <t>Online</t>
        </is>
      </c>
      <c r="K3682" s="62">
        <f>F3682*(G3682-H3682)</f>
        <v/>
      </c>
      <c r="L3682" s="62">
        <f>K3682-(F3682*I3682)</f>
        <v/>
      </c>
      <c r="M3682" s="64">
        <f>L3682/K3682</f>
        <v/>
      </c>
    </row>
    <row r="3683">
      <c r="A3683" s="58" t="inlineStr">
        <is>
          <t>RT20250405-03682</t>
        </is>
      </c>
      <c r="B3683" s="59" t="inlineStr">
        <is>
          <t>2025-04-05</t>
        </is>
      </c>
      <c r="C3683" s="60" t="inlineStr">
        <is>
          <t>Falcon Beverage Max-702</t>
        </is>
      </c>
      <c r="D3683" s="58" t="inlineStr">
        <is>
          <t>Grocery</t>
        </is>
      </c>
      <c r="E3683" s="58" t="inlineStr">
        <is>
          <t>East</t>
        </is>
      </c>
      <c r="F3683" s="61" t="n">
        <v>4</v>
      </c>
      <c r="G3683" s="62" t="n">
        <v>26.61</v>
      </c>
      <c r="H3683" s="63" t="n">
        <v>0.033</v>
      </c>
      <c r="I3683" s="62" t="n">
        <v>19.83</v>
      </c>
      <c r="J3683" s="58" t="inlineStr">
        <is>
          <t>Store</t>
        </is>
      </c>
      <c r="K3683" s="62">
        <f>F3683*(G3683-H3683)</f>
        <v/>
      </c>
      <c r="L3683" s="62">
        <f>K3683-(F3683*I3683)</f>
        <v/>
      </c>
      <c r="M3683" s="64">
        <f>L3683/K3683</f>
        <v/>
      </c>
    </row>
    <row r="3684">
      <c r="A3684" s="58" t="inlineStr">
        <is>
          <t>RT20250405-03683</t>
        </is>
      </c>
      <c r="B3684" s="59" t="inlineStr">
        <is>
          <t>2025-04-05</t>
        </is>
      </c>
      <c r="C3684" s="60" t="inlineStr">
        <is>
          <t>Aurora Smartphone Plus-125</t>
        </is>
      </c>
      <c r="D3684" s="58" t="inlineStr">
        <is>
          <t>Electronics</t>
        </is>
      </c>
      <c r="E3684" s="58" t="inlineStr">
        <is>
          <t>Central</t>
        </is>
      </c>
      <c r="F3684" s="61" t="n">
        <v>2</v>
      </c>
      <c r="G3684" s="62" t="n">
        <v>1521.95</v>
      </c>
      <c r="H3684" s="63" t="n">
        <v>0.015</v>
      </c>
      <c r="I3684" s="62" t="n">
        <v>1200.02</v>
      </c>
      <c r="J3684" s="58" t="inlineStr">
        <is>
          <t>Online</t>
        </is>
      </c>
      <c r="K3684" s="62">
        <f>F3684*(G3684-H3684)</f>
        <v/>
      </c>
      <c r="L3684" s="62">
        <f>K3684-(F3684*I3684)</f>
        <v/>
      </c>
      <c r="M3684" s="64">
        <f>L3684/K3684</f>
        <v/>
      </c>
    </row>
    <row r="3685">
      <c r="A3685" s="58" t="inlineStr">
        <is>
          <t>RT20250405-03684</t>
        </is>
      </c>
      <c r="B3685" s="59" t="inlineStr">
        <is>
          <t>2025-04-05</t>
        </is>
      </c>
      <c r="C3685" s="60" t="inlineStr">
        <is>
          <t>Polar Cycling X-649</t>
        </is>
      </c>
      <c r="D3685" s="58" t="inlineStr">
        <is>
          <t>Sports</t>
        </is>
      </c>
      <c r="E3685" s="58" t="inlineStr">
        <is>
          <t>West</t>
        </is>
      </c>
      <c r="F3685" s="61" t="n">
        <v>1</v>
      </c>
      <c r="G3685" s="62" t="n">
        <v>552.87</v>
      </c>
      <c r="H3685" s="63" t="n">
        <v>0.082</v>
      </c>
      <c r="I3685" s="62" t="n">
        <v>354.07</v>
      </c>
      <c r="J3685" s="58" t="inlineStr">
        <is>
          <t>Online</t>
        </is>
      </c>
      <c r="K3685" s="62">
        <f>F3685*(G3685-H3685)</f>
        <v/>
      </c>
      <c r="L3685" s="62">
        <f>K3685-(F3685*I3685)</f>
        <v/>
      </c>
      <c r="M3685" s="64">
        <f>L3685/K3685</f>
        <v/>
      </c>
    </row>
    <row r="3686">
      <c r="A3686" s="58" t="inlineStr">
        <is>
          <t>RT20250405-03685</t>
        </is>
      </c>
      <c r="B3686" s="59" t="inlineStr">
        <is>
          <t>2025-04-05</t>
        </is>
      </c>
      <c r="C3686" s="60" t="inlineStr">
        <is>
          <t>Solace Team Sport Max-548</t>
        </is>
      </c>
      <c r="D3686" s="58" t="inlineStr">
        <is>
          <t>Sports</t>
        </is>
      </c>
      <c r="E3686" s="58" t="inlineStr">
        <is>
          <t>East</t>
        </is>
      </c>
      <c r="F3686" s="61" t="n">
        <v>3</v>
      </c>
      <c r="G3686" s="62" t="n">
        <v>814.9299999999999</v>
      </c>
      <c r="H3686" s="63" t="n">
        <v>0.101</v>
      </c>
      <c r="I3686" s="62" t="n">
        <v>486.21</v>
      </c>
      <c r="J3686" s="58" t="inlineStr">
        <is>
          <t>Store</t>
        </is>
      </c>
      <c r="K3686" s="62">
        <f>F3686*(G3686-H3686)</f>
        <v/>
      </c>
      <c r="L3686" s="62">
        <f>K3686-(F3686*I3686)</f>
        <v/>
      </c>
      <c r="M3686" s="64">
        <f>L3686/K3686</f>
        <v/>
      </c>
    </row>
    <row r="3687">
      <c r="A3687" s="58" t="inlineStr">
        <is>
          <t>RT20250405-03686</t>
        </is>
      </c>
      <c r="B3687" s="59" t="inlineStr">
        <is>
          <t>2025-04-05</t>
        </is>
      </c>
      <c r="C3687" s="60" t="inlineStr">
        <is>
          <t>Falcon Skincare Max-151</t>
        </is>
      </c>
      <c r="D3687" s="58" t="inlineStr">
        <is>
          <t>Beauty</t>
        </is>
      </c>
      <c r="E3687" s="58" t="inlineStr">
        <is>
          <t>East</t>
        </is>
      </c>
      <c r="F3687" s="61" t="n">
        <v>4</v>
      </c>
      <c r="G3687" s="62" t="n">
        <v>90.09999999999999</v>
      </c>
      <c r="H3687" s="63" t="n">
        <v>0.043</v>
      </c>
      <c r="I3687" s="62" t="n">
        <v>58.26</v>
      </c>
      <c r="J3687" s="58" t="inlineStr">
        <is>
          <t>Store</t>
        </is>
      </c>
      <c r="K3687" s="62">
        <f>F3687*(G3687-H3687)</f>
        <v/>
      </c>
      <c r="L3687" s="62">
        <f>K3687-(F3687*I3687)</f>
        <v/>
      </c>
      <c r="M3687" s="64">
        <f>L3687/K3687</f>
        <v/>
      </c>
    </row>
    <row r="3688">
      <c r="A3688" s="58" t="inlineStr">
        <is>
          <t>RT20250405-03687</t>
        </is>
      </c>
      <c r="B3688" s="59" t="inlineStr">
        <is>
          <t>2025-04-05</t>
        </is>
      </c>
      <c r="C3688" s="60" t="inlineStr">
        <is>
          <t>Aurora Wearable Lite-704</t>
        </is>
      </c>
      <c r="D3688" s="58" t="inlineStr">
        <is>
          <t>Electronics</t>
        </is>
      </c>
      <c r="E3688" s="58" t="inlineStr">
        <is>
          <t>South</t>
        </is>
      </c>
      <c r="F3688" s="61" t="n">
        <v>2</v>
      </c>
      <c r="G3688" s="62" t="n">
        <v>1838.66</v>
      </c>
      <c r="H3688" s="63" t="n">
        <v>0.057</v>
      </c>
      <c r="I3688" s="62" t="n">
        <v>1426.87</v>
      </c>
      <c r="J3688" s="58" t="inlineStr">
        <is>
          <t>Store</t>
        </is>
      </c>
      <c r="K3688" s="62">
        <f>F3688*(G3688-H3688)</f>
        <v/>
      </c>
      <c r="L3688" s="62">
        <f>K3688-(F3688*I3688)</f>
        <v/>
      </c>
      <c r="M3688" s="64">
        <f>L3688/K3688</f>
        <v/>
      </c>
    </row>
    <row r="3689">
      <c r="A3689" s="58" t="inlineStr">
        <is>
          <t>RT20250405-03688</t>
        </is>
      </c>
      <c r="B3689" s="59" t="inlineStr">
        <is>
          <t>2025-04-05</t>
        </is>
      </c>
      <c r="C3689" s="60" t="inlineStr">
        <is>
          <t>Polar Beverage S-258</t>
        </is>
      </c>
      <c r="D3689" s="58" t="inlineStr">
        <is>
          <t>Grocery</t>
        </is>
      </c>
      <c r="E3689" s="58" t="inlineStr">
        <is>
          <t>Central</t>
        </is>
      </c>
      <c r="F3689" s="61" t="n">
        <v>2</v>
      </c>
      <c r="G3689" s="62" t="n">
        <v>13.32</v>
      </c>
      <c r="H3689" s="63" t="n">
        <v>0.095</v>
      </c>
      <c r="I3689" s="62" t="n">
        <v>9.91</v>
      </c>
      <c r="J3689" s="58" t="inlineStr">
        <is>
          <t>Store</t>
        </is>
      </c>
      <c r="K3689" s="62">
        <f>F3689*(G3689-H3689)</f>
        <v/>
      </c>
      <c r="L3689" s="62">
        <f>K3689-(F3689*I3689)</f>
        <v/>
      </c>
      <c r="M3689" s="64">
        <f>L3689/K3689</f>
        <v/>
      </c>
    </row>
    <row r="3690">
      <c r="A3690" s="58" t="inlineStr">
        <is>
          <t>RT20250405-03689</t>
        </is>
      </c>
      <c r="B3690" s="59" t="inlineStr">
        <is>
          <t>2025-04-05</t>
        </is>
      </c>
      <c r="C3690" s="60" t="inlineStr">
        <is>
          <t>Orion Beverage Plus-949</t>
        </is>
      </c>
      <c r="D3690" s="58" t="inlineStr">
        <is>
          <t>Grocery</t>
        </is>
      </c>
      <c r="E3690" s="58" t="inlineStr">
        <is>
          <t>South</t>
        </is>
      </c>
      <c r="F3690" s="61" t="n">
        <v>2</v>
      </c>
      <c r="G3690" s="62" t="n">
        <v>16.31</v>
      </c>
      <c r="H3690" s="63" t="n">
        <v>0.058</v>
      </c>
      <c r="I3690" s="62" t="n">
        <v>13.87</v>
      </c>
      <c r="J3690" s="58" t="inlineStr">
        <is>
          <t>Online</t>
        </is>
      </c>
      <c r="K3690" s="62">
        <f>F3690*(G3690-H3690)</f>
        <v/>
      </c>
      <c r="L3690" s="62">
        <f>K3690-(F3690*I3690)</f>
        <v/>
      </c>
      <c r="M3690" s="64">
        <f>L3690/K3690</f>
        <v/>
      </c>
    </row>
    <row r="3691">
      <c r="A3691" s="58" t="inlineStr">
        <is>
          <t>RT20250405-03690</t>
        </is>
      </c>
      <c r="B3691" s="59" t="inlineStr">
        <is>
          <t>2025-04-05</t>
        </is>
      </c>
      <c r="C3691" s="60" t="inlineStr">
        <is>
          <t>Falcon Headphone Plus-789</t>
        </is>
      </c>
      <c r="D3691" s="58" t="inlineStr">
        <is>
          <t>Electronics</t>
        </is>
      </c>
      <c r="E3691" s="58" t="inlineStr">
        <is>
          <t>West</t>
        </is>
      </c>
      <c r="F3691" s="61" t="n">
        <v>1</v>
      </c>
      <c r="G3691" s="62" t="n">
        <v>1626.2</v>
      </c>
      <c r="H3691" s="63" t="n">
        <v>0.015</v>
      </c>
      <c r="I3691" s="62" t="n">
        <v>1346.25</v>
      </c>
      <c r="J3691" s="58" t="inlineStr">
        <is>
          <t>Online</t>
        </is>
      </c>
      <c r="K3691" s="62">
        <f>F3691*(G3691-H3691)</f>
        <v/>
      </c>
      <c r="L3691" s="62">
        <f>K3691-(F3691*I3691)</f>
        <v/>
      </c>
      <c r="M3691" s="64">
        <f>L3691/K3691</f>
        <v/>
      </c>
    </row>
    <row r="3692">
      <c r="A3692" s="58" t="inlineStr">
        <is>
          <t>RT20250405-03691</t>
        </is>
      </c>
      <c r="B3692" s="59" t="inlineStr">
        <is>
          <t>2025-04-05</t>
        </is>
      </c>
      <c r="C3692" s="60" t="inlineStr">
        <is>
          <t>Falcon Household Pro-865</t>
        </is>
      </c>
      <c r="D3692" s="58" t="inlineStr">
        <is>
          <t>Grocery</t>
        </is>
      </c>
      <c r="E3692" s="58" t="inlineStr">
        <is>
          <t>East</t>
        </is>
      </c>
      <c r="F3692" s="61" t="n">
        <v>3</v>
      </c>
      <c r="G3692" s="62" t="n">
        <v>9.119999999999999</v>
      </c>
      <c r="H3692" s="63" t="n">
        <v>0.04</v>
      </c>
      <c r="I3692" s="62" t="n">
        <v>7.64</v>
      </c>
      <c r="J3692" s="58" t="inlineStr">
        <is>
          <t>Store</t>
        </is>
      </c>
      <c r="K3692" s="62">
        <f>F3692*(G3692-H3692)</f>
        <v/>
      </c>
      <c r="L3692" s="62">
        <f>K3692-(F3692*I3692)</f>
        <v/>
      </c>
      <c r="M3692" s="64">
        <f>L3692/K3692</f>
        <v/>
      </c>
    </row>
    <row r="3693">
      <c r="A3693" s="58" t="inlineStr">
        <is>
          <t>RT20250405-03692</t>
        </is>
      </c>
      <c r="B3693" s="59" t="inlineStr">
        <is>
          <t>2025-04-05</t>
        </is>
      </c>
      <c r="C3693" s="60" t="inlineStr">
        <is>
          <t>Orion Kid Max-640</t>
        </is>
      </c>
      <c r="D3693" s="58" t="inlineStr">
        <is>
          <t>Apparel</t>
        </is>
      </c>
      <c r="E3693" s="58" t="inlineStr">
        <is>
          <t>North</t>
        </is>
      </c>
      <c r="F3693" s="61" t="n">
        <v>1</v>
      </c>
      <c r="G3693" s="62" t="n">
        <v>140.64</v>
      </c>
      <c r="H3693" s="63" t="n">
        <v>0.109</v>
      </c>
      <c r="I3693" s="62" t="n">
        <v>68.51000000000001</v>
      </c>
      <c r="J3693" s="58" t="inlineStr">
        <is>
          <t>Store</t>
        </is>
      </c>
      <c r="K3693" s="62">
        <f>F3693*(G3693-H3693)</f>
        <v/>
      </c>
      <c r="L3693" s="62">
        <f>K3693-(F3693*I3693)</f>
        <v/>
      </c>
      <c r="M3693" s="64">
        <f>L3693/K3693</f>
        <v/>
      </c>
    </row>
    <row r="3694">
      <c r="A3694" s="58" t="inlineStr">
        <is>
          <t>RT20250405-03693</t>
        </is>
      </c>
      <c r="B3694" s="59" t="inlineStr">
        <is>
          <t>2025-04-05</t>
        </is>
      </c>
      <c r="C3694" s="60" t="inlineStr">
        <is>
          <t>Falcon Household Plus-796</t>
        </is>
      </c>
      <c r="D3694" s="58" t="inlineStr">
        <is>
          <t>Grocery</t>
        </is>
      </c>
      <c r="E3694" s="58" t="inlineStr">
        <is>
          <t>West</t>
        </is>
      </c>
      <c r="F3694" s="61" t="n">
        <v>2</v>
      </c>
      <c r="G3694" s="62" t="n">
        <v>19.86</v>
      </c>
      <c r="H3694" s="63" t="n">
        <v>0.063</v>
      </c>
      <c r="I3694" s="62" t="n">
        <v>17</v>
      </c>
      <c r="J3694" s="58" t="inlineStr">
        <is>
          <t>Online</t>
        </is>
      </c>
      <c r="K3694" s="62">
        <f>F3694*(G3694-H3694)</f>
        <v/>
      </c>
      <c r="L3694" s="62">
        <f>K3694-(F3694*I3694)</f>
        <v/>
      </c>
      <c r="M3694" s="64">
        <f>L3694/K3694</f>
        <v/>
      </c>
    </row>
    <row r="3695">
      <c r="A3695" s="58" t="inlineStr">
        <is>
          <t>RT20250405-03694</t>
        </is>
      </c>
      <c r="B3695" s="59" t="inlineStr">
        <is>
          <t>2025-04-05</t>
        </is>
      </c>
      <c r="C3695" s="60" t="inlineStr">
        <is>
          <t>Vertex Men X-995</t>
        </is>
      </c>
      <c r="D3695" s="58" t="inlineStr">
        <is>
          <t>Apparel</t>
        </is>
      </c>
      <c r="E3695" s="58" t="inlineStr">
        <is>
          <t>East</t>
        </is>
      </c>
      <c r="F3695" s="61" t="n">
        <v>2</v>
      </c>
      <c r="G3695" s="62" t="n">
        <v>98.75</v>
      </c>
      <c r="H3695" s="63" t="n">
        <v>0</v>
      </c>
      <c r="I3695" s="62" t="n">
        <v>57.49</v>
      </c>
      <c r="J3695" s="58" t="inlineStr">
        <is>
          <t>Online</t>
        </is>
      </c>
      <c r="K3695" s="62">
        <f>F3695*(G3695-H3695)</f>
        <v/>
      </c>
      <c r="L3695" s="62">
        <f>K3695-(F3695*I3695)</f>
        <v/>
      </c>
      <c r="M3695" s="64">
        <f>L3695/K3695</f>
        <v/>
      </c>
    </row>
    <row r="3696">
      <c r="A3696" s="58" t="inlineStr">
        <is>
          <t>RT20250405-03695</t>
        </is>
      </c>
      <c r="B3696" s="59" t="inlineStr">
        <is>
          <t>2025-04-05</t>
        </is>
      </c>
      <c r="C3696" s="60" t="inlineStr">
        <is>
          <t>Polar Women Max-927</t>
        </is>
      </c>
      <c r="D3696" s="58" t="inlineStr">
        <is>
          <t>Apparel</t>
        </is>
      </c>
      <c r="E3696" s="58" t="inlineStr">
        <is>
          <t>South</t>
        </is>
      </c>
      <c r="F3696" s="61" t="n">
        <v>3</v>
      </c>
      <c r="G3696" s="62" t="n">
        <v>103</v>
      </c>
      <c r="H3696" s="63" t="n">
        <v>0.08699999999999999</v>
      </c>
      <c r="I3696" s="62" t="n">
        <v>64.48</v>
      </c>
      <c r="J3696" s="58" t="inlineStr">
        <is>
          <t>Online</t>
        </is>
      </c>
      <c r="K3696" s="62">
        <f>F3696*(G3696-H3696)</f>
        <v/>
      </c>
      <c r="L3696" s="62">
        <f>K3696-(F3696*I3696)</f>
        <v/>
      </c>
      <c r="M3696" s="64">
        <f>L3696/K3696</f>
        <v/>
      </c>
    </row>
    <row r="3697">
      <c r="A3697" s="58" t="inlineStr">
        <is>
          <t>RT20250405-03696</t>
        </is>
      </c>
      <c r="B3697" s="59" t="inlineStr">
        <is>
          <t>2025-04-05</t>
        </is>
      </c>
      <c r="C3697" s="60" t="inlineStr">
        <is>
          <t>Metro Outdoor Plus-787</t>
        </is>
      </c>
      <c r="D3697" s="58" t="inlineStr">
        <is>
          <t>Sports</t>
        </is>
      </c>
      <c r="E3697" s="58" t="inlineStr">
        <is>
          <t>East</t>
        </is>
      </c>
      <c r="F3697" s="61" t="n">
        <v>1</v>
      </c>
      <c r="G3697" s="62" t="n">
        <v>555.47</v>
      </c>
      <c r="H3697" s="63" t="n">
        <v>0.124</v>
      </c>
      <c r="I3697" s="62" t="n">
        <v>352.56</v>
      </c>
      <c r="J3697" s="58" t="inlineStr">
        <is>
          <t>Store</t>
        </is>
      </c>
      <c r="K3697" s="62">
        <f>F3697*(G3697-H3697)</f>
        <v/>
      </c>
      <c r="L3697" s="62">
        <f>K3697-(F3697*I3697)</f>
        <v/>
      </c>
      <c r="M3697" s="64">
        <f>L3697/K3697</f>
        <v/>
      </c>
    </row>
    <row r="3698">
      <c r="A3698" s="58" t="inlineStr">
        <is>
          <t>RT20250406-03697</t>
        </is>
      </c>
      <c r="B3698" s="59" t="inlineStr">
        <is>
          <t>2025-04-06</t>
        </is>
      </c>
      <c r="C3698" s="60" t="inlineStr">
        <is>
          <t>Orion Beverage Plus-949</t>
        </is>
      </c>
      <c r="D3698" s="58" t="inlineStr">
        <is>
          <t>Grocery</t>
        </is>
      </c>
      <c r="E3698" s="58" t="inlineStr">
        <is>
          <t>North</t>
        </is>
      </c>
      <c r="F3698" s="61" t="n">
        <v>3</v>
      </c>
      <c r="G3698" s="62" t="n">
        <v>20.38</v>
      </c>
      <c r="H3698" s="63" t="n">
        <v>0.059</v>
      </c>
      <c r="I3698" s="62" t="n">
        <v>13.72</v>
      </c>
      <c r="J3698" s="58" t="inlineStr">
        <is>
          <t>Store</t>
        </is>
      </c>
      <c r="K3698" s="62">
        <f>F3698*(G3698-H3698)</f>
        <v/>
      </c>
      <c r="L3698" s="62">
        <f>K3698-(F3698*I3698)</f>
        <v/>
      </c>
      <c r="M3698" s="64">
        <f>L3698/K3698</f>
        <v/>
      </c>
    </row>
    <row r="3699">
      <c r="A3699" s="58" t="inlineStr">
        <is>
          <t>RT20250406-03698</t>
        </is>
      </c>
      <c r="B3699" s="59" t="inlineStr">
        <is>
          <t>2025-04-06</t>
        </is>
      </c>
      <c r="C3699" s="60" t="inlineStr">
        <is>
          <t>Polar Bedding Lite-243</t>
        </is>
      </c>
      <c r="D3699" s="58" t="inlineStr">
        <is>
          <t>Home</t>
        </is>
      </c>
      <c r="E3699" s="58" t="inlineStr">
        <is>
          <t>East</t>
        </is>
      </c>
      <c r="F3699" s="61" t="n">
        <v>3</v>
      </c>
      <c r="G3699" s="62" t="n">
        <v>434.35</v>
      </c>
      <c r="H3699" s="63" t="n">
        <v>0.051</v>
      </c>
      <c r="I3699" s="62" t="n">
        <v>309.94</v>
      </c>
      <c r="J3699" s="58" t="inlineStr">
        <is>
          <t>Online</t>
        </is>
      </c>
      <c r="K3699" s="62">
        <f>F3699*(G3699-H3699)</f>
        <v/>
      </c>
      <c r="L3699" s="62">
        <f>K3699-(F3699*I3699)</f>
        <v/>
      </c>
      <c r="M3699" s="64">
        <f>L3699/K3699</f>
        <v/>
      </c>
    </row>
    <row r="3700">
      <c r="A3700" s="58" t="inlineStr">
        <is>
          <t>RT20250406-03699</t>
        </is>
      </c>
      <c r="B3700" s="59" t="inlineStr">
        <is>
          <t>2025-04-06</t>
        </is>
      </c>
      <c r="C3700" s="60" t="inlineStr">
        <is>
          <t>Nimbus Cycling Plus-911</t>
        </is>
      </c>
      <c r="D3700" s="58" t="inlineStr">
        <is>
          <t>Sports</t>
        </is>
      </c>
      <c r="E3700" s="58" t="inlineStr">
        <is>
          <t>West</t>
        </is>
      </c>
      <c r="F3700" s="61" t="n">
        <v>1</v>
      </c>
      <c r="G3700" s="62" t="n">
        <v>595.74</v>
      </c>
      <c r="H3700" s="63" t="n">
        <v>0.048</v>
      </c>
      <c r="I3700" s="62" t="n">
        <v>399</v>
      </c>
      <c r="J3700" s="58" t="inlineStr">
        <is>
          <t>Online</t>
        </is>
      </c>
      <c r="K3700" s="62">
        <f>F3700*(G3700-H3700)</f>
        <v/>
      </c>
      <c r="L3700" s="62">
        <f>K3700-(F3700*I3700)</f>
        <v/>
      </c>
      <c r="M3700" s="64">
        <f>L3700/K3700</f>
        <v/>
      </c>
    </row>
    <row r="3701">
      <c r="A3701" s="58" t="inlineStr">
        <is>
          <t>RT20250406-03700</t>
        </is>
      </c>
      <c r="B3701" s="59" t="inlineStr">
        <is>
          <t>2025-04-06</t>
        </is>
      </c>
      <c r="C3701" s="60" t="inlineStr">
        <is>
          <t>Falcon Bedding S-674</t>
        </is>
      </c>
      <c r="D3701" s="58" t="inlineStr">
        <is>
          <t>Home</t>
        </is>
      </c>
      <c r="E3701" s="58" t="inlineStr">
        <is>
          <t>West</t>
        </is>
      </c>
      <c r="F3701" s="61" t="n">
        <v>3</v>
      </c>
      <c r="G3701" s="62" t="n">
        <v>630.59</v>
      </c>
      <c r="H3701" s="63" t="n">
        <v>0.036</v>
      </c>
      <c r="I3701" s="62" t="n">
        <v>450.81</v>
      </c>
      <c r="J3701" s="58" t="inlineStr">
        <is>
          <t>Store</t>
        </is>
      </c>
      <c r="K3701" s="62">
        <f>F3701*(G3701-H3701)</f>
        <v/>
      </c>
      <c r="L3701" s="62">
        <f>K3701-(F3701*I3701)</f>
        <v/>
      </c>
      <c r="M3701" s="64">
        <f>L3701/K3701</f>
        <v/>
      </c>
    </row>
    <row r="3702">
      <c r="A3702" s="58" t="inlineStr">
        <is>
          <t>RT20250406-03701</t>
        </is>
      </c>
      <c r="B3702" s="59" t="inlineStr">
        <is>
          <t>2025-04-06</t>
        </is>
      </c>
      <c r="C3702" s="60" t="inlineStr">
        <is>
          <t>Orion Beverage Plus-949</t>
        </is>
      </c>
      <c r="D3702" s="58" t="inlineStr">
        <is>
          <t>Grocery</t>
        </is>
      </c>
      <c r="E3702" s="58" t="inlineStr">
        <is>
          <t>East</t>
        </is>
      </c>
      <c r="F3702" s="61" t="n">
        <v>1</v>
      </c>
      <c r="G3702" s="62" t="n">
        <v>18.74</v>
      </c>
      <c r="H3702" s="63" t="n">
        <v>0.033</v>
      </c>
      <c r="I3702" s="62" t="n">
        <v>13.88</v>
      </c>
      <c r="J3702" s="58" t="inlineStr">
        <is>
          <t>Online</t>
        </is>
      </c>
      <c r="K3702" s="62">
        <f>F3702*(G3702-H3702)</f>
        <v/>
      </c>
      <c r="L3702" s="62">
        <f>K3702-(F3702*I3702)</f>
        <v/>
      </c>
      <c r="M3702" s="64">
        <f>L3702/K3702</f>
        <v/>
      </c>
    </row>
    <row r="3703">
      <c r="A3703" s="58" t="inlineStr">
        <is>
          <t>RT20250406-03702</t>
        </is>
      </c>
      <c r="B3703" s="59" t="inlineStr">
        <is>
          <t>2025-04-06</t>
        </is>
      </c>
      <c r="C3703" s="60" t="inlineStr">
        <is>
          <t>Nimbus Women Plus-352</t>
        </is>
      </c>
      <c r="D3703" s="58" t="inlineStr">
        <is>
          <t>Apparel</t>
        </is>
      </c>
      <c r="E3703" s="58" t="inlineStr">
        <is>
          <t>Central</t>
        </is>
      </c>
      <c r="F3703" s="61" t="n">
        <v>4</v>
      </c>
      <c r="G3703" s="62" t="n">
        <v>47.53</v>
      </c>
      <c r="H3703" s="63" t="n">
        <v>0.044</v>
      </c>
      <c r="I3703" s="62" t="n">
        <v>31.63</v>
      </c>
      <c r="J3703" s="58" t="inlineStr">
        <is>
          <t>Store</t>
        </is>
      </c>
      <c r="K3703" s="62">
        <f>F3703*(G3703-H3703)</f>
        <v/>
      </c>
      <c r="L3703" s="62">
        <f>K3703-(F3703*I3703)</f>
        <v/>
      </c>
      <c r="M3703" s="64">
        <f>L3703/K3703</f>
        <v/>
      </c>
    </row>
    <row r="3704">
      <c r="A3704" s="58" t="inlineStr">
        <is>
          <t>RT20250406-03703</t>
        </is>
      </c>
      <c r="B3704" s="59" t="inlineStr">
        <is>
          <t>2025-04-06</t>
        </is>
      </c>
      <c r="C3704" s="60" t="inlineStr">
        <is>
          <t>Nimbus Men Plus-231</t>
        </is>
      </c>
      <c r="D3704" s="58" t="inlineStr">
        <is>
          <t>Apparel</t>
        </is>
      </c>
      <c r="E3704" s="58" t="inlineStr">
        <is>
          <t>East</t>
        </is>
      </c>
      <c r="F3704" s="61" t="n">
        <v>2</v>
      </c>
      <c r="G3704" s="62" t="n">
        <v>145.49</v>
      </c>
      <c r="H3704" s="63" t="n">
        <v>0.07000000000000001</v>
      </c>
      <c r="I3704" s="62" t="n">
        <v>88.58</v>
      </c>
      <c r="J3704" s="58" t="inlineStr">
        <is>
          <t>Online</t>
        </is>
      </c>
      <c r="K3704" s="62">
        <f>F3704*(G3704-H3704)</f>
        <v/>
      </c>
      <c r="L3704" s="62">
        <f>K3704-(F3704*I3704)</f>
        <v/>
      </c>
      <c r="M3704" s="64">
        <f>L3704/K3704</f>
        <v/>
      </c>
    </row>
    <row r="3705">
      <c r="A3705" s="58" t="inlineStr">
        <is>
          <t>RT20250406-03704</t>
        </is>
      </c>
      <c r="B3705" s="59" t="inlineStr">
        <is>
          <t>2025-04-06</t>
        </is>
      </c>
      <c r="C3705" s="60" t="inlineStr">
        <is>
          <t>Vertex Smartphone Pro-256</t>
        </is>
      </c>
      <c r="D3705" s="58" t="inlineStr">
        <is>
          <t>Electronics</t>
        </is>
      </c>
      <c r="E3705" s="58" t="inlineStr">
        <is>
          <t>West</t>
        </is>
      </c>
      <c r="F3705" s="61" t="n">
        <v>1</v>
      </c>
      <c r="G3705" s="62" t="n">
        <v>1383.92</v>
      </c>
      <c r="H3705" s="63" t="n">
        <v>0.077</v>
      </c>
      <c r="I3705" s="62" t="n">
        <v>944.16</v>
      </c>
      <c r="J3705" s="58" t="inlineStr">
        <is>
          <t>Online</t>
        </is>
      </c>
      <c r="K3705" s="62">
        <f>F3705*(G3705-H3705)</f>
        <v/>
      </c>
      <c r="L3705" s="62">
        <f>K3705-(F3705*I3705)</f>
        <v/>
      </c>
      <c r="M3705" s="64">
        <f>L3705/K3705</f>
        <v/>
      </c>
    </row>
    <row r="3706">
      <c r="A3706" s="58" t="inlineStr">
        <is>
          <t>RT20250406-03705</t>
        </is>
      </c>
      <c r="B3706" s="59" t="inlineStr">
        <is>
          <t>2025-04-06</t>
        </is>
      </c>
      <c r="C3706" s="60" t="inlineStr">
        <is>
          <t>Metro Pantry X-710</t>
        </is>
      </c>
      <c r="D3706" s="58" t="inlineStr">
        <is>
          <t>Grocery</t>
        </is>
      </c>
      <c r="E3706" s="58" t="inlineStr">
        <is>
          <t>West</t>
        </is>
      </c>
      <c r="F3706" s="61" t="n">
        <v>1</v>
      </c>
      <c r="G3706" s="62" t="n">
        <v>5.32</v>
      </c>
      <c r="H3706" s="63" t="n">
        <v>0.07000000000000001</v>
      </c>
      <c r="I3706" s="62" t="n">
        <v>4.19</v>
      </c>
      <c r="J3706" s="58" t="inlineStr">
        <is>
          <t>Online</t>
        </is>
      </c>
      <c r="K3706" s="62">
        <f>F3706*(G3706-H3706)</f>
        <v/>
      </c>
      <c r="L3706" s="62">
        <f>K3706-(F3706*I3706)</f>
        <v/>
      </c>
      <c r="M3706" s="64">
        <f>L3706/K3706</f>
        <v/>
      </c>
    </row>
    <row r="3707">
      <c r="A3707" s="58" t="inlineStr">
        <is>
          <t>RT20250406-03706</t>
        </is>
      </c>
      <c r="B3707" s="59" t="inlineStr">
        <is>
          <t>2025-04-06</t>
        </is>
      </c>
      <c r="C3707" s="60" t="inlineStr">
        <is>
          <t>Nimbus Decor Lite-385</t>
        </is>
      </c>
      <c r="D3707" s="58" t="inlineStr">
        <is>
          <t>Home</t>
        </is>
      </c>
      <c r="E3707" s="58" t="inlineStr">
        <is>
          <t>West</t>
        </is>
      </c>
      <c r="F3707" s="61" t="n">
        <v>1</v>
      </c>
      <c r="G3707" s="62" t="n">
        <v>549.16</v>
      </c>
      <c r="H3707" s="63" t="n">
        <v>0.068</v>
      </c>
      <c r="I3707" s="62" t="n">
        <v>394.42</v>
      </c>
      <c r="J3707" s="58" t="inlineStr">
        <is>
          <t>Online</t>
        </is>
      </c>
      <c r="K3707" s="62">
        <f>F3707*(G3707-H3707)</f>
        <v/>
      </c>
      <c r="L3707" s="62">
        <f>K3707-(F3707*I3707)</f>
        <v/>
      </c>
      <c r="M3707" s="64">
        <f>L3707/K3707</f>
        <v/>
      </c>
    </row>
    <row r="3708">
      <c r="A3708" s="58" t="inlineStr">
        <is>
          <t>RT20250406-03707</t>
        </is>
      </c>
      <c r="B3708" s="59" t="inlineStr">
        <is>
          <t>2025-04-06</t>
        </is>
      </c>
      <c r="C3708" s="60" t="inlineStr">
        <is>
          <t>Vertex Smartphone Lite-267</t>
        </is>
      </c>
      <c r="D3708" s="58" t="inlineStr">
        <is>
          <t>Electronics</t>
        </is>
      </c>
      <c r="E3708" s="58" t="inlineStr">
        <is>
          <t>East</t>
        </is>
      </c>
      <c r="F3708" s="61" t="n">
        <v>1</v>
      </c>
      <c r="G3708" s="62" t="n">
        <v>1410.94</v>
      </c>
      <c r="H3708" s="63" t="n">
        <v>0.061</v>
      </c>
      <c r="I3708" s="62" t="n">
        <v>964.73</v>
      </c>
      <c r="J3708" s="58" t="inlineStr">
        <is>
          <t>Store</t>
        </is>
      </c>
      <c r="K3708" s="62">
        <f>F3708*(G3708-H3708)</f>
        <v/>
      </c>
      <c r="L3708" s="62">
        <f>K3708-(F3708*I3708)</f>
        <v/>
      </c>
      <c r="M3708" s="64">
        <f>L3708/K3708</f>
        <v/>
      </c>
    </row>
    <row r="3709">
      <c r="A3709" s="58" t="inlineStr">
        <is>
          <t>RT20250406-03708</t>
        </is>
      </c>
      <c r="B3709" s="59" t="inlineStr">
        <is>
          <t>2025-04-06</t>
        </is>
      </c>
      <c r="C3709" s="60" t="inlineStr">
        <is>
          <t>Falcon Wearable X-334</t>
        </is>
      </c>
      <c r="D3709" s="58" t="inlineStr">
        <is>
          <t>Electronics</t>
        </is>
      </c>
      <c r="E3709" s="58" t="inlineStr">
        <is>
          <t>Central</t>
        </is>
      </c>
      <c r="F3709" s="61" t="n">
        <v>1</v>
      </c>
      <c r="G3709" s="62" t="n">
        <v>1974.5</v>
      </c>
      <c r="H3709" s="63" t="n">
        <v>0.062</v>
      </c>
      <c r="I3709" s="62" t="n">
        <v>1552.9</v>
      </c>
      <c r="J3709" s="58" t="inlineStr">
        <is>
          <t>Online</t>
        </is>
      </c>
      <c r="K3709" s="62">
        <f>F3709*(G3709-H3709)</f>
        <v/>
      </c>
      <c r="L3709" s="62">
        <f>K3709-(F3709*I3709)</f>
        <v/>
      </c>
      <c r="M3709" s="64">
        <f>L3709/K3709</f>
        <v/>
      </c>
    </row>
    <row r="3710">
      <c r="A3710" s="58" t="inlineStr">
        <is>
          <t>RT20250406-03709</t>
        </is>
      </c>
      <c r="B3710" s="59" t="inlineStr">
        <is>
          <t>2025-04-06</t>
        </is>
      </c>
      <c r="C3710" s="60" t="inlineStr">
        <is>
          <t>Orion Snack X-322</t>
        </is>
      </c>
      <c r="D3710" s="58" t="inlineStr">
        <is>
          <t>Grocery</t>
        </is>
      </c>
      <c r="E3710" s="58" t="inlineStr">
        <is>
          <t>East</t>
        </is>
      </c>
      <c r="F3710" s="61" t="n">
        <v>1</v>
      </c>
      <c r="G3710" s="62" t="n">
        <v>14.36</v>
      </c>
      <c r="H3710" s="63" t="n">
        <v>0.082</v>
      </c>
      <c r="I3710" s="62" t="n">
        <v>10.24</v>
      </c>
      <c r="J3710" s="58" t="inlineStr">
        <is>
          <t>Online</t>
        </is>
      </c>
      <c r="K3710" s="62">
        <f>F3710*(G3710-H3710)</f>
        <v/>
      </c>
      <c r="L3710" s="62">
        <f>K3710-(F3710*I3710)</f>
        <v/>
      </c>
      <c r="M3710" s="64">
        <f>L3710/K3710</f>
        <v/>
      </c>
    </row>
    <row r="3711">
      <c r="A3711" s="58" t="inlineStr">
        <is>
          <t>RT20250406-03710</t>
        </is>
      </c>
      <c r="B3711" s="59" t="inlineStr">
        <is>
          <t>2025-04-06</t>
        </is>
      </c>
      <c r="C3711" s="60" t="inlineStr">
        <is>
          <t>Solace Kitchen X-919</t>
        </is>
      </c>
      <c r="D3711" s="58" t="inlineStr">
        <is>
          <t>Home</t>
        </is>
      </c>
      <c r="E3711" s="58" t="inlineStr">
        <is>
          <t>West</t>
        </is>
      </c>
      <c r="F3711" s="61" t="n">
        <v>2</v>
      </c>
      <c r="G3711" s="62" t="n">
        <v>385.86</v>
      </c>
      <c r="H3711" s="63" t="n">
        <v>0.082</v>
      </c>
      <c r="I3711" s="62" t="n">
        <v>268.54</v>
      </c>
      <c r="J3711" s="58" t="inlineStr">
        <is>
          <t>Store</t>
        </is>
      </c>
      <c r="K3711" s="62">
        <f>F3711*(G3711-H3711)</f>
        <v/>
      </c>
      <c r="L3711" s="62">
        <f>K3711-(F3711*I3711)</f>
        <v/>
      </c>
      <c r="M3711" s="64">
        <f>L3711/K3711</f>
        <v/>
      </c>
    </row>
    <row r="3712">
      <c r="A3712" s="58" t="inlineStr">
        <is>
          <t>RT20250406-03711</t>
        </is>
      </c>
      <c r="B3712" s="59" t="inlineStr">
        <is>
          <t>2025-04-06</t>
        </is>
      </c>
      <c r="C3712" s="60" t="inlineStr">
        <is>
          <t>Vertex Supplie Pro-786</t>
        </is>
      </c>
      <c r="D3712" s="58" t="inlineStr">
        <is>
          <t>Office</t>
        </is>
      </c>
      <c r="E3712" s="58" t="inlineStr">
        <is>
          <t>South</t>
        </is>
      </c>
      <c r="F3712" s="61" t="n">
        <v>3</v>
      </c>
      <c r="G3712" s="62" t="n">
        <v>410.82</v>
      </c>
      <c r="H3712" s="63" t="n">
        <v>0.07199999999999999</v>
      </c>
      <c r="I3712" s="62" t="n">
        <v>295.39</v>
      </c>
      <c r="J3712" s="58" t="inlineStr">
        <is>
          <t>Online</t>
        </is>
      </c>
      <c r="K3712" s="62">
        <f>F3712*(G3712-H3712)</f>
        <v/>
      </c>
      <c r="L3712" s="62">
        <f>K3712-(F3712*I3712)</f>
        <v/>
      </c>
      <c r="M3712" s="64">
        <f>L3712/K3712</f>
        <v/>
      </c>
    </row>
    <row r="3713">
      <c r="A3713" s="58" t="inlineStr">
        <is>
          <t>RT20250406-03712</t>
        </is>
      </c>
      <c r="B3713" s="59" t="inlineStr">
        <is>
          <t>2025-04-06</t>
        </is>
      </c>
      <c r="C3713" s="60" t="inlineStr">
        <is>
          <t>Falcon Household Pro-865</t>
        </is>
      </c>
      <c r="D3713" s="58" t="inlineStr">
        <is>
          <t>Grocery</t>
        </is>
      </c>
      <c r="E3713" s="58" t="inlineStr">
        <is>
          <t>Central</t>
        </is>
      </c>
      <c r="F3713" s="61" t="n">
        <v>4</v>
      </c>
      <c r="G3713" s="62" t="n">
        <v>9.65</v>
      </c>
      <c r="H3713" s="63" t="n">
        <v>0.062</v>
      </c>
      <c r="I3713" s="62" t="n">
        <v>7.77</v>
      </c>
      <c r="J3713" s="58" t="inlineStr">
        <is>
          <t>Phone</t>
        </is>
      </c>
      <c r="K3713" s="62">
        <f>F3713*(G3713-H3713)</f>
        <v/>
      </c>
      <c r="L3713" s="62">
        <f>K3713-(F3713*I3713)</f>
        <v/>
      </c>
      <c r="M3713" s="64">
        <f>L3713/K3713</f>
        <v/>
      </c>
    </row>
    <row r="3714">
      <c r="A3714" s="58" t="inlineStr">
        <is>
          <t>RT20250406-03713</t>
        </is>
      </c>
      <c r="B3714" s="59" t="inlineStr">
        <is>
          <t>2025-04-06</t>
        </is>
      </c>
      <c r="C3714" s="60" t="inlineStr">
        <is>
          <t>Orion Kitchen Pro-568</t>
        </is>
      </c>
      <c r="D3714" s="58" t="inlineStr">
        <is>
          <t>Home</t>
        </is>
      </c>
      <c r="E3714" s="58" t="inlineStr">
        <is>
          <t>South</t>
        </is>
      </c>
      <c r="F3714" s="61" t="n">
        <v>3</v>
      </c>
      <c r="G3714" s="62" t="n">
        <v>411.98</v>
      </c>
      <c r="H3714" s="63" t="n">
        <v>0.047</v>
      </c>
      <c r="I3714" s="62" t="n">
        <v>305.11</v>
      </c>
      <c r="J3714" s="58" t="inlineStr">
        <is>
          <t>Online</t>
        </is>
      </c>
      <c r="K3714" s="62">
        <f>F3714*(G3714-H3714)</f>
        <v/>
      </c>
      <c r="L3714" s="62">
        <f>K3714-(F3714*I3714)</f>
        <v/>
      </c>
      <c r="M3714" s="64">
        <f>L3714/K3714</f>
        <v/>
      </c>
    </row>
    <row r="3715">
      <c r="A3715" s="58" t="inlineStr">
        <is>
          <t>RT20250406-03714</t>
        </is>
      </c>
      <c r="B3715" s="59" t="inlineStr">
        <is>
          <t>2025-04-06</t>
        </is>
      </c>
      <c r="C3715" s="60" t="inlineStr">
        <is>
          <t>Solace Smartphone Lite-533</t>
        </is>
      </c>
      <c r="D3715" s="58" t="inlineStr">
        <is>
          <t>Electronics</t>
        </is>
      </c>
      <c r="E3715" s="58" t="inlineStr">
        <is>
          <t>South</t>
        </is>
      </c>
      <c r="F3715" s="61" t="n">
        <v>1</v>
      </c>
      <c r="G3715" s="62" t="n">
        <v>1168.78</v>
      </c>
      <c r="H3715" s="63" t="n">
        <v>0.044</v>
      </c>
      <c r="I3715" s="62" t="n">
        <v>905.01</v>
      </c>
      <c r="J3715" s="58" t="inlineStr">
        <is>
          <t>Store</t>
        </is>
      </c>
      <c r="K3715" s="62">
        <f>F3715*(G3715-H3715)</f>
        <v/>
      </c>
      <c r="L3715" s="62">
        <f>K3715-(F3715*I3715)</f>
        <v/>
      </c>
      <c r="M3715" s="64">
        <f>L3715/K3715</f>
        <v/>
      </c>
    </row>
    <row r="3716">
      <c r="A3716" s="58" t="inlineStr">
        <is>
          <t>RT20250406-03715</t>
        </is>
      </c>
      <c r="B3716" s="59" t="inlineStr">
        <is>
          <t>2025-04-06</t>
        </is>
      </c>
      <c r="C3716" s="60" t="inlineStr">
        <is>
          <t>Orion Team Sport X-926</t>
        </is>
      </c>
      <c r="D3716" s="58" t="inlineStr">
        <is>
          <t>Sports</t>
        </is>
      </c>
      <c r="E3716" s="58" t="inlineStr">
        <is>
          <t>South</t>
        </is>
      </c>
      <c r="F3716" s="61" t="n">
        <v>1</v>
      </c>
      <c r="G3716" s="62" t="n">
        <v>328.8</v>
      </c>
      <c r="H3716" s="63" t="n">
        <v>0.097</v>
      </c>
      <c r="I3716" s="62" t="n">
        <v>215.2</v>
      </c>
      <c r="J3716" s="58" t="inlineStr">
        <is>
          <t>Store</t>
        </is>
      </c>
      <c r="K3716" s="62">
        <f>F3716*(G3716-H3716)</f>
        <v/>
      </c>
      <c r="L3716" s="62">
        <f>K3716-(F3716*I3716)</f>
        <v/>
      </c>
      <c r="M3716" s="64">
        <f>L3716/K3716</f>
        <v/>
      </c>
    </row>
    <row r="3717">
      <c r="A3717" s="58" t="inlineStr">
        <is>
          <t>RT20250406-03716</t>
        </is>
      </c>
      <c r="B3717" s="59" t="inlineStr">
        <is>
          <t>2025-04-06</t>
        </is>
      </c>
      <c r="C3717" s="60" t="inlineStr">
        <is>
          <t>Polar Decor Plus-505</t>
        </is>
      </c>
      <c r="D3717" s="58" t="inlineStr">
        <is>
          <t>Home</t>
        </is>
      </c>
      <c r="E3717" s="58" t="inlineStr">
        <is>
          <t>Central</t>
        </is>
      </c>
      <c r="F3717" s="61" t="n">
        <v>3</v>
      </c>
      <c r="G3717" s="62" t="n">
        <v>304.44</v>
      </c>
      <c r="H3717" s="63" t="n">
        <v>0.06900000000000001</v>
      </c>
      <c r="I3717" s="62" t="n">
        <v>202.09</v>
      </c>
      <c r="J3717" s="58" t="inlineStr">
        <is>
          <t>Phone</t>
        </is>
      </c>
      <c r="K3717" s="62">
        <f>F3717*(G3717-H3717)</f>
        <v/>
      </c>
      <c r="L3717" s="62">
        <f>K3717-(F3717*I3717)</f>
        <v/>
      </c>
      <c r="M3717" s="64">
        <f>L3717/K3717</f>
        <v/>
      </c>
    </row>
    <row r="3718">
      <c r="A3718" s="58" t="inlineStr">
        <is>
          <t>RT20250406-03717</t>
        </is>
      </c>
      <c r="B3718" s="59" t="inlineStr">
        <is>
          <t>2025-04-06</t>
        </is>
      </c>
      <c r="C3718" s="60" t="inlineStr">
        <is>
          <t>Polar Women S-662</t>
        </is>
      </c>
      <c r="D3718" s="58" t="inlineStr">
        <is>
          <t>Apparel</t>
        </is>
      </c>
      <c r="E3718" s="58" t="inlineStr">
        <is>
          <t>Central</t>
        </is>
      </c>
      <c r="F3718" s="61" t="n">
        <v>4</v>
      </c>
      <c r="G3718" s="62" t="n">
        <v>178.38</v>
      </c>
      <c r="H3718" s="63" t="n">
        <v>0.048</v>
      </c>
      <c r="I3718" s="62" t="n">
        <v>100.04</v>
      </c>
      <c r="J3718" s="58" t="inlineStr">
        <is>
          <t>Online</t>
        </is>
      </c>
      <c r="K3718" s="62">
        <f>F3718*(G3718-H3718)</f>
        <v/>
      </c>
      <c r="L3718" s="62">
        <f>K3718-(F3718*I3718)</f>
        <v/>
      </c>
      <c r="M3718" s="64">
        <f>L3718/K3718</f>
        <v/>
      </c>
    </row>
    <row r="3719">
      <c r="A3719" s="58" t="inlineStr">
        <is>
          <t>RT20250406-03718</t>
        </is>
      </c>
      <c r="B3719" s="59" t="inlineStr">
        <is>
          <t>2025-04-06</t>
        </is>
      </c>
      <c r="C3719" s="60" t="inlineStr">
        <is>
          <t>Polar Men Pro-246</t>
        </is>
      </c>
      <c r="D3719" s="58" t="inlineStr">
        <is>
          <t>Apparel</t>
        </is>
      </c>
      <c r="E3719" s="58" t="inlineStr">
        <is>
          <t>Central</t>
        </is>
      </c>
      <c r="F3719" s="61" t="n">
        <v>3</v>
      </c>
      <c r="G3719" s="62" t="n">
        <v>141.06</v>
      </c>
      <c r="H3719" s="63" t="n">
        <v>0</v>
      </c>
      <c r="I3719" s="62" t="n">
        <v>74.53</v>
      </c>
      <c r="J3719" s="58" t="inlineStr">
        <is>
          <t>Store</t>
        </is>
      </c>
      <c r="K3719" s="62">
        <f>F3719*(G3719-H3719)</f>
        <v/>
      </c>
      <c r="L3719" s="62">
        <f>K3719-(F3719*I3719)</f>
        <v/>
      </c>
      <c r="M3719" s="64">
        <f>L3719/K3719</f>
        <v/>
      </c>
    </row>
    <row r="3720">
      <c r="A3720" s="58" t="inlineStr">
        <is>
          <t>RT20250406-03719</t>
        </is>
      </c>
      <c r="B3720" s="59" t="inlineStr">
        <is>
          <t>2025-04-06</t>
        </is>
      </c>
      <c r="C3720" s="60" t="inlineStr">
        <is>
          <t>Solace Kitchen Pro-510</t>
        </is>
      </c>
      <c r="D3720" s="58" t="inlineStr">
        <is>
          <t>Home</t>
        </is>
      </c>
      <c r="E3720" s="58" t="inlineStr">
        <is>
          <t>West</t>
        </is>
      </c>
      <c r="F3720" s="61" t="n">
        <v>1</v>
      </c>
      <c r="G3720" s="62" t="n">
        <v>451.43</v>
      </c>
      <c r="H3720" s="63" t="n">
        <v>0.05</v>
      </c>
      <c r="I3720" s="62" t="n">
        <v>310.11</v>
      </c>
      <c r="J3720" s="58" t="inlineStr">
        <is>
          <t>Store</t>
        </is>
      </c>
      <c r="K3720" s="62">
        <f>F3720*(G3720-H3720)</f>
        <v/>
      </c>
      <c r="L3720" s="62">
        <f>K3720-(F3720*I3720)</f>
        <v/>
      </c>
      <c r="M3720" s="64">
        <f>L3720/K3720</f>
        <v/>
      </c>
    </row>
    <row r="3721">
      <c r="A3721" s="58" t="inlineStr">
        <is>
          <t>RT20250406-03720</t>
        </is>
      </c>
      <c r="B3721" s="59" t="inlineStr">
        <is>
          <t>2025-04-06</t>
        </is>
      </c>
      <c r="C3721" s="60" t="inlineStr">
        <is>
          <t>Solace Kitchen Pro-510</t>
        </is>
      </c>
      <c r="D3721" s="58" t="inlineStr">
        <is>
          <t>Home</t>
        </is>
      </c>
      <c r="E3721" s="58" t="inlineStr">
        <is>
          <t>West</t>
        </is>
      </c>
      <c r="F3721" s="61" t="n">
        <v>3</v>
      </c>
      <c r="G3721" s="62" t="n">
        <v>426.9</v>
      </c>
      <c r="H3721" s="63" t="n">
        <v>0.103</v>
      </c>
      <c r="I3721" s="62" t="n">
        <v>311.36</v>
      </c>
      <c r="J3721" s="58" t="inlineStr">
        <is>
          <t>Online</t>
        </is>
      </c>
      <c r="K3721" s="62">
        <f>F3721*(G3721-H3721)</f>
        <v/>
      </c>
      <c r="L3721" s="62">
        <f>K3721-(F3721*I3721)</f>
        <v/>
      </c>
      <c r="M3721" s="64">
        <f>L3721/K3721</f>
        <v/>
      </c>
    </row>
    <row r="3722">
      <c r="A3722" s="58" t="inlineStr">
        <is>
          <t>RT20250406-03721</t>
        </is>
      </c>
      <c r="B3722" s="59" t="inlineStr">
        <is>
          <t>2025-04-06</t>
        </is>
      </c>
      <c r="C3722" s="60" t="inlineStr">
        <is>
          <t>Orion Supplie S-612</t>
        </is>
      </c>
      <c r="D3722" s="58" t="inlineStr">
        <is>
          <t>Office</t>
        </is>
      </c>
      <c r="E3722" s="58" t="inlineStr">
        <is>
          <t>Central</t>
        </is>
      </c>
      <c r="F3722" s="61" t="n">
        <v>2</v>
      </c>
      <c r="G3722" s="62" t="n">
        <v>443.02</v>
      </c>
      <c r="H3722" s="63" t="n">
        <v>0.028</v>
      </c>
      <c r="I3722" s="62" t="n">
        <v>338.84</v>
      </c>
      <c r="J3722" s="58" t="inlineStr">
        <is>
          <t>Store</t>
        </is>
      </c>
      <c r="K3722" s="62">
        <f>F3722*(G3722-H3722)</f>
        <v/>
      </c>
      <c r="L3722" s="62">
        <f>K3722-(F3722*I3722)</f>
        <v/>
      </c>
      <c r="M3722" s="64">
        <f>L3722/K3722</f>
        <v/>
      </c>
    </row>
    <row r="3723">
      <c r="A3723" s="58" t="inlineStr">
        <is>
          <t>RT20250406-03722</t>
        </is>
      </c>
      <c r="B3723" s="59" t="inlineStr">
        <is>
          <t>2025-04-06</t>
        </is>
      </c>
      <c r="C3723" s="60" t="inlineStr">
        <is>
          <t>Nimbus Storage Plus-646</t>
        </is>
      </c>
      <c r="D3723" s="58" t="inlineStr">
        <is>
          <t>Office</t>
        </is>
      </c>
      <c r="E3723" s="58" t="inlineStr">
        <is>
          <t>West</t>
        </is>
      </c>
      <c r="F3723" s="61" t="n">
        <v>2</v>
      </c>
      <c r="G3723" s="62" t="n">
        <v>484.55</v>
      </c>
      <c r="H3723" s="63" t="n">
        <v>0.074</v>
      </c>
      <c r="I3723" s="62" t="n">
        <v>319.79</v>
      </c>
      <c r="J3723" s="58" t="inlineStr">
        <is>
          <t>Store</t>
        </is>
      </c>
      <c r="K3723" s="62">
        <f>F3723*(G3723-H3723)</f>
        <v/>
      </c>
      <c r="L3723" s="62">
        <f>K3723-(F3723*I3723)</f>
        <v/>
      </c>
      <c r="M3723" s="64">
        <f>L3723/K3723</f>
        <v/>
      </c>
    </row>
    <row r="3724">
      <c r="A3724" s="58" t="inlineStr">
        <is>
          <t>RT20250406-03723</t>
        </is>
      </c>
      <c r="B3724" s="59" t="inlineStr">
        <is>
          <t>2025-04-06</t>
        </is>
      </c>
      <c r="C3724" s="60" t="inlineStr">
        <is>
          <t>Nimbus Decor Lite-385</t>
        </is>
      </c>
      <c r="D3724" s="58" t="inlineStr">
        <is>
          <t>Home</t>
        </is>
      </c>
      <c r="E3724" s="58" t="inlineStr">
        <is>
          <t>East</t>
        </is>
      </c>
      <c r="F3724" s="61" t="n">
        <v>2</v>
      </c>
      <c r="G3724" s="62" t="n">
        <v>583.02</v>
      </c>
      <c r="H3724" s="63" t="n">
        <v>0.033</v>
      </c>
      <c r="I3724" s="62" t="n">
        <v>391.8</v>
      </c>
      <c r="J3724" s="58" t="inlineStr">
        <is>
          <t>Store</t>
        </is>
      </c>
      <c r="K3724" s="62">
        <f>F3724*(G3724-H3724)</f>
        <v/>
      </c>
      <c r="L3724" s="62">
        <f>K3724-(F3724*I3724)</f>
        <v/>
      </c>
      <c r="M3724" s="64">
        <f>L3724/K3724</f>
        <v/>
      </c>
    </row>
    <row r="3725">
      <c r="A3725" s="58" t="inlineStr">
        <is>
          <t>RT20250406-03724</t>
        </is>
      </c>
      <c r="B3725" s="59" t="inlineStr">
        <is>
          <t>2025-04-06</t>
        </is>
      </c>
      <c r="C3725" s="60" t="inlineStr">
        <is>
          <t>Polar Wearable X-119</t>
        </is>
      </c>
      <c r="D3725" s="58" t="inlineStr">
        <is>
          <t>Electronics</t>
        </is>
      </c>
      <c r="E3725" s="58" t="inlineStr">
        <is>
          <t>South</t>
        </is>
      </c>
      <c r="F3725" s="61" t="n">
        <v>1</v>
      </c>
      <c r="G3725" s="62" t="n">
        <v>1451.82</v>
      </c>
      <c r="H3725" s="63" t="n">
        <v>0.109</v>
      </c>
      <c r="I3725" s="62" t="n">
        <v>1255.9</v>
      </c>
      <c r="J3725" s="58" t="inlineStr">
        <is>
          <t>Online</t>
        </is>
      </c>
      <c r="K3725" s="62">
        <f>F3725*(G3725-H3725)</f>
        <v/>
      </c>
      <c r="L3725" s="62">
        <f>K3725-(F3725*I3725)</f>
        <v/>
      </c>
      <c r="M3725" s="64">
        <f>L3725/K3725</f>
        <v/>
      </c>
    </row>
    <row r="3726">
      <c r="A3726" s="58" t="inlineStr">
        <is>
          <t>RT20250406-03725</t>
        </is>
      </c>
      <c r="B3726" s="59" t="inlineStr">
        <is>
          <t>2025-04-06</t>
        </is>
      </c>
      <c r="C3726" s="60" t="inlineStr">
        <is>
          <t>Metro Pantry Max-180</t>
        </is>
      </c>
      <c r="D3726" s="58" t="inlineStr">
        <is>
          <t>Grocery</t>
        </is>
      </c>
      <c r="E3726" s="58" t="inlineStr">
        <is>
          <t>Central</t>
        </is>
      </c>
      <c r="F3726" s="61" t="n">
        <v>3</v>
      </c>
      <c r="G3726" s="62" t="n">
        <v>9.6</v>
      </c>
      <c r="H3726" s="63" t="n">
        <v>0.105</v>
      </c>
      <c r="I3726" s="62" t="n">
        <v>6.77</v>
      </c>
      <c r="J3726" s="58" t="inlineStr">
        <is>
          <t>Store</t>
        </is>
      </c>
      <c r="K3726" s="62">
        <f>F3726*(G3726-H3726)</f>
        <v/>
      </c>
      <c r="L3726" s="62">
        <f>K3726-(F3726*I3726)</f>
        <v/>
      </c>
      <c r="M3726" s="64">
        <f>L3726/K3726</f>
        <v/>
      </c>
    </row>
    <row r="3727">
      <c r="A3727" s="58" t="inlineStr">
        <is>
          <t>RT20250406-03726</t>
        </is>
      </c>
      <c r="B3727" s="59" t="inlineStr">
        <is>
          <t>2025-04-06</t>
        </is>
      </c>
      <c r="C3727" s="60" t="inlineStr">
        <is>
          <t>Orion Fragrance Lite-785</t>
        </is>
      </c>
      <c r="D3727" s="58" t="inlineStr">
        <is>
          <t>Beauty</t>
        </is>
      </c>
      <c r="E3727" s="58" t="inlineStr">
        <is>
          <t>West</t>
        </is>
      </c>
      <c r="F3727" s="61" t="n">
        <v>4</v>
      </c>
      <c r="G3727" s="62" t="n">
        <v>48.5</v>
      </c>
      <c r="H3727" s="63" t="n">
        <v>0.075</v>
      </c>
      <c r="I3727" s="62" t="n">
        <v>27.2</v>
      </c>
      <c r="J3727" s="58" t="inlineStr">
        <is>
          <t>Store</t>
        </is>
      </c>
      <c r="K3727" s="62">
        <f>F3727*(G3727-H3727)</f>
        <v/>
      </c>
      <c r="L3727" s="62">
        <f>K3727-(F3727*I3727)</f>
        <v/>
      </c>
      <c r="M3727" s="64">
        <f>L3727/K3727</f>
        <v/>
      </c>
    </row>
    <row r="3728">
      <c r="A3728" s="58" t="inlineStr">
        <is>
          <t>RT20250406-03727</t>
        </is>
      </c>
      <c r="B3728" s="59" t="inlineStr">
        <is>
          <t>2025-04-06</t>
        </is>
      </c>
      <c r="C3728" s="60" t="inlineStr">
        <is>
          <t>Nimbus Women Lite-814</t>
        </is>
      </c>
      <c r="D3728" s="58" t="inlineStr">
        <is>
          <t>Apparel</t>
        </is>
      </c>
      <c r="E3728" s="58" t="inlineStr">
        <is>
          <t>North</t>
        </is>
      </c>
      <c r="F3728" s="61" t="n">
        <v>4</v>
      </c>
      <c r="G3728" s="62" t="n">
        <v>146.08</v>
      </c>
      <c r="H3728" s="63" t="n">
        <v>0.033</v>
      </c>
      <c r="I3728" s="62" t="n">
        <v>86.03</v>
      </c>
      <c r="J3728" s="58" t="inlineStr">
        <is>
          <t>Store</t>
        </is>
      </c>
      <c r="K3728" s="62">
        <f>F3728*(G3728-H3728)</f>
        <v/>
      </c>
      <c r="L3728" s="62">
        <f>K3728-(F3728*I3728)</f>
        <v/>
      </c>
      <c r="M3728" s="64">
        <f>L3728/K3728</f>
        <v/>
      </c>
    </row>
    <row r="3729">
      <c r="A3729" s="58" t="inlineStr">
        <is>
          <t>RT20250406-03728</t>
        </is>
      </c>
      <c r="B3729" s="59" t="inlineStr">
        <is>
          <t>2025-04-06</t>
        </is>
      </c>
      <c r="C3729" s="60" t="inlineStr">
        <is>
          <t>Metro Laptop Plus-376</t>
        </is>
      </c>
      <c r="D3729" s="58" t="inlineStr">
        <is>
          <t>Electronics</t>
        </is>
      </c>
      <c r="E3729" s="58" t="inlineStr">
        <is>
          <t>East</t>
        </is>
      </c>
      <c r="F3729" s="61" t="n">
        <v>1</v>
      </c>
      <c r="G3729" s="62" t="n">
        <v>1426.99</v>
      </c>
      <c r="H3729" s="63" t="n">
        <v>0.048</v>
      </c>
      <c r="I3729" s="62" t="n">
        <v>1033.25</v>
      </c>
      <c r="J3729" s="58" t="inlineStr">
        <is>
          <t>Online</t>
        </is>
      </c>
      <c r="K3729" s="62">
        <f>F3729*(G3729-H3729)</f>
        <v/>
      </c>
      <c r="L3729" s="62">
        <f>K3729-(F3729*I3729)</f>
        <v/>
      </c>
      <c r="M3729" s="64">
        <f>L3729/K3729</f>
        <v/>
      </c>
    </row>
    <row r="3730">
      <c r="A3730" s="58" t="inlineStr">
        <is>
          <t>RT20250406-03729</t>
        </is>
      </c>
      <c r="B3730" s="59" t="inlineStr">
        <is>
          <t>2025-04-06</t>
        </is>
      </c>
      <c r="C3730" s="60" t="inlineStr">
        <is>
          <t>Orion Men X-928</t>
        </is>
      </c>
      <c r="D3730" s="58" t="inlineStr">
        <is>
          <t>Apparel</t>
        </is>
      </c>
      <c r="E3730" s="58" t="inlineStr">
        <is>
          <t>West</t>
        </is>
      </c>
      <c r="F3730" s="61" t="n">
        <v>1</v>
      </c>
      <c r="G3730" s="62" t="n">
        <v>103.09</v>
      </c>
      <c r="H3730" s="63" t="n">
        <v>0.042</v>
      </c>
      <c r="I3730" s="62" t="n">
        <v>60.66</v>
      </c>
      <c r="J3730" s="58" t="inlineStr">
        <is>
          <t>Online</t>
        </is>
      </c>
      <c r="K3730" s="62">
        <f>F3730*(G3730-H3730)</f>
        <v/>
      </c>
      <c r="L3730" s="62">
        <f>K3730-(F3730*I3730)</f>
        <v/>
      </c>
      <c r="M3730" s="64">
        <f>L3730/K3730</f>
        <v/>
      </c>
    </row>
    <row r="3731">
      <c r="A3731" s="58" t="inlineStr">
        <is>
          <t>RT20250406-03730</t>
        </is>
      </c>
      <c r="B3731" s="59" t="inlineStr">
        <is>
          <t>2025-04-06</t>
        </is>
      </c>
      <c r="C3731" s="60" t="inlineStr">
        <is>
          <t>Aurora Printer Plus-991</t>
        </is>
      </c>
      <c r="D3731" s="58" t="inlineStr">
        <is>
          <t>Office</t>
        </is>
      </c>
      <c r="E3731" s="58" t="inlineStr">
        <is>
          <t>East</t>
        </is>
      </c>
      <c r="F3731" s="61" t="n">
        <v>3</v>
      </c>
      <c r="G3731" s="62" t="n">
        <v>533.17</v>
      </c>
      <c r="H3731" s="63" t="n">
        <v>0.013</v>
      </c>
      <c r="I3731" s="62" t="n">
        <v>375.97</v>
      </c>
      <c r="J3731" s="58" t="inlineStr">
        <is>
          <t>Online</t>
        </is>
      </c>
      <c r="K3731" s="62">
        <f>F3731*(G3731-H3731)</f>
        <v/>
      </c>
      <c r="L3731" s="62">
        <f>K3731-(F3731*I3731)</f>
        <v/>
      </c>
      <c r="M3731" s="64">
        <f>L3731/K3731</f>
        <v/>
      </c>
    </row>
    <row r="3732">
      <c r="A3732" s="58" t="inlineStr">
        <is>
          <t>RT20250406-03731</t>
        </is>
      </c>
      <c r="B3732" s="59" t="inlineStr">
        <is>
          <t>2025-04-06</t>
        </is>
      </c>
      <c r="C3732" s="60" t="inlineStr">
        <is>
          <t>Nimbus Furniture Pro-479</t>
        </is>
      </c>
      <c r="D3732" s="58" t="inlineStr">
        <is>
          <t>Office</t>
        </is>
      </c>
      <c r="E3732" s="58" t="inlineStr">
        <is>
          <t>South</t>
        </is>
      </c>
      <c r="F3732" s="61" t="n">
        <v>3</v>
      </c>
      <c r="G3732" s="62" t="n">
        <v>300.18</v>
      </c>
      <c r="H3732" s="63" t="n">
        <v>0.113</v>
      </c>
      <c r="I3732" s="62" t="n">
        <v>245.89</v>
      </c>
      <c r="J3732" s="58" t="inlineStr">
        <is>
          <t>Store</t>
        </is>
      </c>
      <c r="K3732" s="62">
        <f>F3732*(G3732-H3732)</f>
        <v/>
      </c>
      <c r="L3732" s="62">
        <f>K3732-(F3732*I3732)</f>
        <v/>
      </c>
      <c r="M3732" s="64">
        <f>L3732/K3732</f>
        <v/>
      </c>
    </row>
    <row r="3733">
      <c r="A3733" s="58" t="inlineStr">
        <is>
          <t>RT20250406-03732</t>
        </is>
      </c>
      <c r="B3733" s="59" t="inlineStr">
        <is>
          <t>2025-04-06</t>
        </is>
      </c>
      <c r="C3733" s="60" t="inlineStr">
        <is>
          <t>Falcon Furniture Plus-839</t>
        </is>
      </c>
      <c r="D3733" s="58" t="inlineStr">
        <is>
          <t>Office</t>
        </is>
      </c>
      <c r="E3733" s="58" t="inlineStr">
        <is>
          <t>South</t>
        </is>
      </c>
      <c r="F3733" s="61" t="n">
        <v>2</v>
      </c>
      <c r="G3733" s="62" t="n">
        <v>343.8</v>
      </c>
      <c r="H3733" s="63" t="n">
        <v>0.074</v>
      </c>
      <c r="I3733" s="62" t="n">
        <v>232.37</v>
      </c>
      <c r="J3733" s="58" t="inlineStr">
        <is>
          <t>Store</t>
        </is>
      </c>
      <c r="K3733" s="62">
        <f>F3733*(G3733-H3733)</f>
        <v/>
      </c>
      <c r="L3733" s="62">
        <f>K3733-(F3733*I3733)</f>
        <v/>
      </c>
      <c r="M3733" s="64">
        <f>L3733/K3733</f>
        <v/>
      </c>
    </row>
    <row r="3734">
      <c r="A3734" s="58" t="inlineStr">
        <is>
          <t>RT20250406-03733</t>
        </is>
      </c>
      <c r="B3734" s="59" t="inlineStr">
        <is>
          <t>2025-04-06</t>
        </is>
      </c>
      <c r="C3734" s="60" t="inlineStr">
        <is>
          <t>Solace Kitchen Pro-510</t>
        </is>
      </c>
      <c r="D3734" s="58" t="inlineStr">
        <is>
          <t>Home</t>
        </is>
      </c>
      <c r="E3734" s="58" t="inlineStr">
        <is>
          <t>West</t>
        </is>
      </c>
      <c r="F3734" s="61" t="n">
        <v>1</v>
      </c>
      <c r="G3734" s="62" t="n">
        <v>482.15</v>
      </c>
      <c r="H3734" s="63" t="n">
        <v>0.059</v>
      </c>
      <c r="I3734" s="62" t="n">
        <v>314</v>
      </c>
      <c r="J3734" s="58" t="inlineStr">
        <is>
          <t>Online</t>
        </is>
      </c>
      <c r="K3734" s="62">
        <f>F3734*(G3734-H3734)</f>
        <v/>
      </c>
      <c r="L3734" s="62">
        <f>K3734-(F3734*I3734)</f>
        <v/>
      </c>
      <c r="M3734" s="64">
        <f>L3734/K3734</f>
        <v/>
      </c>
    </row>
    <row r="3735">
      <c r="A3735" s="58" t="inlineStr">
        <is>
          <t>RT20250407-03734</t>
        </is>
      </c>
      <c r="B3735" s="59" t="inlineStr">
        <is>
          <t>2025-04-07</t>
        </is>
      </c>
      <c r="C3735" s="60" t="inlineStr">
        <is>
          <t>Aurora Furniture X-709</t>
        </is>
      </c>
      <c r="D3735" s="58" t="inlineStr">
        <is>
          <t>Office</t>
        </is>
      </c>
      <c r="E3735" s="58" t="inlineStr">
        <is>
          <t>North</t>
        </is>
      </c>
      <c r="F3735" s="61" t="n">
        <v>1</v>
      </c>
      <c r="G3735" s="62" t="n">
        <v>412.63</v>
      </c>
      <c r="H3735" s="63" t="n">
        <v>0.055</v>
      </c>
      <c r="I3735" s="62" t="n">
        <v>306.28</v>
      </c>
      <c r="J3735" s="58" t="inlineStr">
        <is>
          <t>Online</t>
        </is>
      </c>
      <c r="K3735" s="62">
        <f>F3735*(G3735-H3735)</f>
        <v/>
      </c>
      <c r="L3735" s="62">
        <f>K3735-(F3735*I3735)</f>
        <v/>
      </c>
      <c r="M3735" s="64">
        <f>L3735/K3735</f>
        <v/>
      </c>
    </row>
    <row r="3736">
      <c r="A3736" s="58" t="inlineStr">
        <is>
          <t>RT20250407-03735</t>
        </is>
      </c>
      <c r="B3736" s="59" t="inlineStr">
        <is>
          <t>2025-04-07</t>
        </is>
      </c>
      <c r="C3736" s="60" t="inlineStr">
        <is>
          <t>Polar Bedding Lite-243</t>
        </is>
      </c>
      <c r="D3736" s="58" t="inlineStr">
        <is>
          <t>Home</t>
        </is>
      </c>
      <c r="E3736" s="58" t="inlineStr">
        <is>
          <t>South</t>
        </is>
      </c>
      <c r="F3736" s="61" t="n">
        <v>2</v>
      </c>
      <c r="G3736" s="62" t="n">
        <v>487.97</v>
      </c>
      <c r="H3736" s="63" t="n">
        <v>0.033</v>
      </c>
      <c r="I3736" s="62" t="n">
        <v>318.69</v>
      </c>
      <c r="J3736" s="58" t="inlineStr">
        <is>
          <t>Store</t>
        </is>
      </c>
      <c r="K3736" s="62">
        <f>F3736*(G3736-H3736)</f>
        <v/>
      </c>
      <c r="L3736" s="62">
        <f>K3736-(F3736*I3736)</f>
        <v/>
      </c>
      <c r="M3736" s="64">
        <f>L3736/K3736</f>
        <v/>
      </c>
    </row>
    <row r="3737">
      <c r="A3737" s="58" t="inlineStr">
        <is>
          <t>RT20250407-03736</t>
        </is>
      </c>
      <c r="B3737" s="59" t="inlineStr">
        <is>
          <t>2025-04-07</t>
        </is>
      </c>
      <c r="C3737" s="60" t="inlineStr">
        <is>
          <t>Vertex Furniture S-652</t>
        </is>
      </c>
      <c r="D3737" s="58" t="inlineStr">
        <is>
          <t>Office</t>
        </is>
      </c>
      <c r="E3737" s="58" t="inlineStr">
        <is>
          <t>West</t>
        </is>
      </c>
      <c r="F3737" s="61" t="n">
        <v>2</v>
      </c>
      <c r="G3737" s="62" t="n">
        <v>376.54</v>
      </c>
      <c r="H3737" s="63" t="n">
        <v>0.08</v>
      </c>
      <c r="I3737" s="62" t="n">
        <v>270.09</v>
      </c>
      <c r="J3737" s="58" t="inlineStr">
        <is>
          <t>Online</t>
        </is>
      </c>
      <c r="K3737" s="62">
        <f>F3737*(G3737-H3737)</f>
        <v/>
      </c>
      <c r="L3737" s="62">
        <f>K3737-(F3737*I3737)</f>
        <v/>
      </c>
      <c r="M3737" s="64">
        <f>L3737/K3737</f>
        <v/>
      </c>
    </row>
    <row r="3738">
      <c r="A3738" s="58" t="inlineStr">
        <is>
          <t>RT20250407-03737</t>
        </is>
      </c>
      <c r="B3738" s="59" t="inlineStr">
        <is>
          <t>2025-04-07</t>
        </is>
      </c>
      <c r="C3738" s="60" t="inlineStr">
        <is>
          <t>Vertex Appliance S-159</t>
        </is>
      </c>
      <c r="D3738" s="58" t="inlineStr">
        <is>
          <t>Home</t>
        </is>
      </c>
      <c r="E3738" s="58" t="inlineStr">
        <is>
          <t>South</t>
        </is>
      </c>
      <c r="F3738" s="61" t="n">
        <v>2</v>
      </c>
      <c r="G3738" s="62" t="n">
        <v>393.72</v>
      </c>
      <c r="H3738" s="63" t="n">
        <v>0.057</v>
      </c>
      <c r="I3738" s="62" t="n">
        <v>291.1</v>
      </c>
      <c r="J3738" s="58" t="inlineStr">
        <is>
          <t>Online</t>
        </is>
      </c>
      <c r="K3738" s="62">
        <f>F3738*(G3738-H3738)</f>
        <v/>
      </c>
      <c r="L3738" s="62">
        <f>K3738-(F3738*I3738)</f>
        <v/>
      </c>
      <c r="M3738" s="64">
        <f>L3738/K3738</f>
        <v/>
      </c>
    </row>
    <row r="3739">
      <c r="A3739" s="58" t="inlineStr">
        <is>
          <t>RT20250407-03738</t>
        </is>
      </c>
      <c r="B3739" s="59" t="inlineStr">
        <is>
          <t>2025-04-07</t>
        </is>
      </c>
      <c r="C3739" s="60" t="inlineStr">
        <is>
          <t>Falcon Wearable X-334</t>
        </is>
      </c>
      <c r="D3739" s="58" t="inlineStr">
        <is>
          <t>Electronics</t>
        </is>
      </c>
      <c r="E3739" s="58" t="inlineStr">
        <is>
          <t>East</t>
        </is>
      </c>
      <c r="F3739" s="61" t="n">
        <v>1</v>
      </c>
      <c r="G3739" s="62" t="n">
        <v>1888.55</v>
      </c>
      <c r="H3739" s="63" t="n">
        <v>0.128</v>
      </c>
      <c r="I3739" s="62" t="n">
        <v>1498.75</v>
      </c>
      <c r="J3739" s="58" t="inlineStr">
        <is>
          <t>Online</t>
        </is>
      </c>
      <c r="K3739" s="62">
        <f>F3739*(G3739-H3739)</f>
        <v/>
      </c>
      <c r="L3739" s="62">
        <f>K3739-(F3739*I3739)</f>
        <v/>
      </c>
      <c r="M3739" s="64">
        <f>L3739/K3739</f>
        <v/>
      </c>
    </row>
    <row r="3740">
      <c r="A3740" s="58" t="inlineStr">
        <is>
          <t>RT20250407-03739</t>
        </is>
      </c>
      <c r="B3740" s="59" t="inlineStr">
        <is>
          <t>2025-04-07</t>
        </is>
      </c>
      <c r="C3740" s="60" t="inlineStr">
        <is>
          <t>Polar Women Max-927</t>
        </is>
      </c>
      <c r="D3740" s="58" t="inlineStr">
        <is>
          <t>Apparel</t>
        </is>
      </c>
      <c r="E3740" s="58" t="inlineStr">
        <is>
          <t>South</t>
        </is>
      </c>
      <c r="F3740" s="61" t="n">
        <v>1</v>
      </c>
      <c r="G3740" s="62" t="n">
        <v>115.4</v>
      </c>
      <c r="H3740" s="63" t="n">
        <v>0.043</v>
      </c>
      <c r="I3740" s="62" t="n">
        <v>64.8</v>
      </c>
      <c r="J3740" s="58" t="inlineStr">
        <is>
          <t>Store</t>
        </is>
      </c>
      <c r="K3740" s="62">
        <f>F3740*(G3740-H3740)</f>
        <v/>
      </c>
      <c r="L3740" s="62">
        <f>K3740-(F3740*I3740)</f>
        <v/>
      </c>
      <c r="M3740" s="64">
        <f>L3740/K3740</f>
        <v/>
      </c>
    </row>
    <row r="3741">
      <c r="A3741" s="58" t="inlineStr">
        <is>
          <t>RT20250407-03740</t>
        </is>
      </c>
      <c r="B3741" s="59" t="inlineStr">
        <is>
          <t>2025-04-07</t>
        </is>
      </c>
      <c r="C3741" s="60" t="inlineStr">
        <is>
          <t>Orion Beverage Plus-949</t>
        </is>
      </c>
      <c r="D3741" s="58" t="inlineStr">
        <is>
          <t>Grocery</t>
        </is>
      </c>
      <c r="E3741" s="58" t="inlineStr">
        <is>
          <t>East</t>
        </is>
      </c>
      <c r="F3741" s="61" t="n">
        <v>7</v>
      </c>
      <c r="G3741" s="62" t="n">
        <v>19.54</v>
      </c>
      <c r="H3741" s="63" t="n">
        <v>0.07000000000000001</v>
      </c>
      <c r="I3741" s="62" t="n">
        <v>13.76</v>
      </c>
      <c r="J3741" s="58" t="inlineStr">
        <is>
          <t>Store</t>
        </is>
      </c>
      <c r="K3741" s="62">
        <f>F3741*(G3741-H3741)</f>
        <v/>
      </c>
      <c r="L3741" s="62">
        <f>K3741-(F3741*I3741)</f>
        <v/>
      </c>
      <c r="M3741" s="64">
        <f>L3741/K3741</f>
        <v/>
      </c>
    </row>
    <row r="3742">
      <c r="A3742" s="58" t="inlineStr">
        <is>
          <t>RT20250407-03741</t>
        </is>
      </c>
      <c r="B3742" s="59" t="inlineStr">
        <is>
          <t>2025-04-07</t>
        </is>
      </c>
      <c r="C3742" s="60" t="inlineStr">
        <is>
          <t>Vertex Furniture S-652</t>
        </is>
      </c>
      <c r="D3742" s="58" t="inlineStr">
        <is>
          <t>Office</t>
        </is>
      </c>
      <c r="E3742" s="58" t="inlineStr">
        <is>
          <t>North</t>
        </is>
      </c>
      <c r="F3742" s="61" t="n">
        <v>3</v>
      </c>
      <c r="G3742" s="62" t="n">
        <v>367.04</v>
      </c>
      <c r="H3742" s="63" t="n">
        <v>0.101</v>
      </c>
      <c r="I3742" s="62" t="n">
        <v>270.85</v>
      </c>
      <c r="J3742" s="58" t="inlineStr">
        <is>
          <t>Store</t>
        </is>
      </c>
      <c r="K3742" s="62">
        <f>F3742*(G3742-H3742)</f>
        <v/>
      </c>
      <c r="L3742" s="62">
        <f>K3742-(F3742*I3742)</f>
        <v/>
      </c>
      <c r="M3742" s="64">
        <f>L3742/K3742</f>
        <v/>
      </c>
    </row>
    <row r="3743">
      <c r="A3743" s="58" t="inlineStr">
        <is>
          <t>RT20250407-03742</t>
        </is>
      </c>
      <c r="B3743" s="59" t="inlineStr">
        <is>
          <t>2025-04-07</t>
        </is>
      </c>
      <c r="C3743" s="60" t="inlineStr">
        <is>
          <t>Polar Bedding Lite-243</t>
        </is>
      </c>
      <c r="D3743" s="58" t="inlineStr">
        <is>
          <t>Home</t>
        </is>
      </c>
      <c r="E3743" s="58" t="inlineStr">
        <is>
          <t>West</t>
        </is>
      </c>
      <c r="F3743" s="61" t="n">
        <v>1</v>
      </c>
      <c r="G3743" s="62" t="n">
        <v>417.45</v>
      </c>
      <c r="H3743" s="63" t="n">
        <v>0</v>
      </c>
      <c r="I3743" s="62" t="n">
        <v>323.51</v>
      </c>
      <c r="J3743" s="58" t="inlineStr">
        <is>
          <t>Online</t>
        </is>
      </c>
      <c r="K3743" s="62">
        <f>F3743*(G3743-H3743)</f>
        <v/>
      </c>
      <c r="L3743" s="62">
        <f>K3743-(F3743*I3743)</f>
        <v/>
      </c>
      <c r="M3743" s="64">
        <f>L3743/K3743</f>
        <v/>
      </c>
    </row>
    <row r="3744">
      <c r="A3744" s="58" t="inlineStr">
        <is>
          <t>RT20250407-03743</t>
        </is>
      </c>
      <c r="B3744" s="59" t="inlineStr">
        <is>
          <t>2025-04-07</t>
        </is>
      </c>
      <c r="C3744" s="60" t="inlineStr">
        <is>
          <t>Aurora Bedding Max-175</t>
        </is>
      </c>
      <c r="D3744" s="58" t="inlineStr">
        <is>
          <t>Home</t>
        </is>
      </c>
      <c r="E3744" s="58" t="inlineStr">
        <is>
          <t>West</t>
        </is>
      </c>
      <c r="F3744" s="61" t="n">
        <v>1</v>
      </c>
      <c r="G3744" s="62" t="n">
        <v>552.4</v>
      </c>
      <c r="H3744" s="63" t="n">
        <v>0.102</v>
      </c>
      <c r="I3744" s="62" t="n">
        <v>407.9</v>
      </c>
      <c r="J3744" s="58" t="inlineStr">
        <is>
          <t>Online</t>
        </is>
      </c>
      <c r="K3744" s="62">
        <f>F3744*(G3744-H3744)</f>
        <v/>
      </c>
      <c r="L3744" s="62">
        <f>K3744-(F3744*I3744)</f>
        <v/>
      </c>
      <c r="M3744" s="64">
        <f>L3744/K3744</f>
        <v/>
      </c>
    </row>
    <row r="3745">
      <c r="A3745" s="58" t="inlineStr">
        <is>
          <t>RT20250407-03744</t>
        </is>
      </c>
      <c r="B3745" s="59" t="inlineStr">
        <is>
          <t>2025-04-07</t>
        </is>
      </c>
      <c r="C3745" s="60" t="inlineStr">
        <is>
          <t>Polar Supplie Lite-348</t>
        </is>
      </c>
      <c r="D3745" s="58" t="inlineStr">
        <is>
          <t>Office</t>
        </is>
      </c>
      <c r="E3745" s="58" t="inlineStr">
        <is>
          <t>South</t>
        </is>
      </c>
      <c r="F3745" s="61" t="n">
        <v>1</v>
      </c>
      <c r="G3745" s="62" t="n">
        <v>424.92</v>
      </c>
      <c r="H3745" s="63" t="n">
        <v>0.054</v>
      </c>
      <c r="I3745" s="62" t="n">
        <v>318.21</v>
      </c>
      <c r="J3745" s="58" t="inlineStr">
        <is>
          <t>Online</t>
        </is>
      </c>
      <c r="K3745" s="62">
        <f>F3745*(G3745-H3745)</f>
        <v/>
      </c>
      <c r="L3745" s="62">
        <f>K3745-(F3745*I3745)</f>
        <v/>
      </c>
      <c r="M3745" s="64">
        <f>L3745/K3745</f>
        <v/>
      </c>
    </row>
    <row r="3746">
      <c r="A3746" s="58" t="inlineStr">
        <is>
          <t>RT20250407-03745</t>
        </is>
      </c>
      <c r="B3746" s="59" t="inlineStr">
        <is>
          <t>2025-04-07</t>
        </is>
      </c>
      <c r="C3746" s="60" t="inlineStr">
        <is>
          <t>Aurora Wearable Lite-162</t>
        </is>
      </c>
      <c r="D3746" s="58" t="inlineStr">
        <is>
          <t>Electronics</t>
        </is>
      </c>
      <c r="E3746" s="58" t="inlineStr">
        <is>
          <t>East</t>
        </is>
      </c>
      <c r="F3746" s="61" t="n">
        <v>1</v>
      </c>
      <c r="G3746" s="62" t="n">
        <v>1371.79</v>
      </c>
      <c r="H3746" s="63" t="n">
        <v>0.074</v>
      </c>
      <c r="I3746" s="62" t="n">
        <v>1153.91</v>
      </c>
      <c r="J3746" s="58" t="inlineStr">
        <is>
          <t>Store</t>
        </is>
      </c>
      <c r="K3746" s="62">
        <f>F3746*(G3746-H3746)</f>
        <v/>
      </c>
      <c r="L3746" s="62">
        <f>K3746-(F3746*I3746)</f>
        <v/>
      </c>
      <c r="M3746" s="64">
        <f>L3746/K3746</f>
        <v/>
      </c>
    </row>
    <row r="3747">
      <c r="A3747" s="58" t="inlineStr">
        <is>
          <t>RT20250407-03746</t>
        </is>
      </c>
      <c r="B3747" s="59" t="inlineStr">
        <is>
          <t>2025-04-07</t>
        </is>
      </c>
      <c r="C3747" s="60" t="inlineStr">
        <is>
          <t>Polar Laptop Plus-984</t>
        </is>
      </c>
      <c r="D3747" s="58" t="inlineStr">
        <is>
          <t>Electronics</t>
        </is>
      </c>
      <c r="E3747" s="58" t="inlineStr">
        <is>
          <t>East</t>
        </is>
      </c>
      <c r="F3747" s="61" t="n">
        <v>1</v>
      </c>
      <c r="G3747" s="62" t="n">
        <v>1312.84</v>
      </c>
      <c r="H3747" s="63" t="n">
        <v>0.034</v>
      </c>
      <c r="I3747" s="62" t="n">
        <v>971.83</v>
      </c>
      <c r="J3747" s="58" t="inlineStr">
        <is>
          <t>Online</t>
        </is>
      </c>
      <c r="K3747" s="62">
        <f>F3747*(G3747-H3747)</f>
        <v/>
      </c>
      <c r="L3747" s="62">
        <f>K3747-(F3747*I3747)</f>
        <v/>
      </c>
      <c r="M3747" s="64">
        <f>L3747/K3747</f>
        <v/>
      </c>
    </row>
    <row r="3748">
      <c r="A3748" s="58" t="inlineStr">
        <is>
          <t>RT20250407-03747</t>
        </is>
      </c>
      <c r="B3748" s="59" t="inlineStr">
        <is>
          <t>2025-04-07</t>
        </is>
      </c>
      <c r="C3748" s="60" t="inlineStr">
        <is>
          <t>Vertex Supplie X-513</t>
        </is>
      </c>
      <c r="D3748" s="58" t="inlineStr">
        <is>
          <t>Office</t>
        </is>
      </c>
      <c r="E3748" s="58" t="inlineStr">
        <is>
          <t>East</t>
        </is>
      </c>
      <c r="F3748" s="61" t="n">
        <v>2</v>
      </c>
      <c r="G3748" s="62" t="n">
        <v>398.82</v>
      </c>
      <c r="H3748" s="63" t="n">
        <v>0.037</v>
      </c>
      <c r="I3748" s="62" t="n">
        <v>278.37</v>
      </c>
      <c r="J3748" s="58" t="inlineStr">
        <is>
          <t>Store</t>
        </is>
      </c>
      <c r="K3748" s="62">
        <f>F3748*(G3748-H3748)</f>
        <v/>
      </c>
      <c r="L3748" s="62">
        <f>K3748-(F3748*I3748)</f>
        <v/>
      </c>
      <c r="M3748" s="64">
        <f>L3748/K3748</f>
        <v/>
      </c>
    </row>
    <row r="3749">
      <c r="A3749" s="58" t="inlineStr">
        <is>
          <t>RT20250407-03748</t>
        </is>
      </c>
      <c r="B3749" s="59" t="inlineStr">
        <is>
          <t>2025-04-07</t>
        </is>
      </c>
      <c r="C3749" s="60" t="inlineStr">
        <is>
          <t>Polar Snack Pro-641</t>
        </is>
      </c>
      <c r="D3749" s="58" t="inlineStr">
        <is>
          <t>Grocery</t>
        </is>
      </c>
      <c r="E3749" s="58" t="inlineStr">
        <is>
          <t>South</t>
        </is>
      </c>
      <c r="F3749" s="61" t="n">
        <v>7</v>
      </c>
      <c r="G3749" s="62" t="n">
        <v>14.58</v>
      </c>
      <c r="H3749" s="63" t="n">
        <v>0.044</v>
      </c>
      <c r="I3749" s="62" t="n">
        <v>9.69</v>
      </c>
      <c r="J3749" s="58" t="inlineStr">
        <is>
          <t>Store</t>
        </is>
      </c>
      <c r="K3749" s="62">
        <f>F3749*(G3749-H3749)</f>
        <v/>
      </c>
      <c r="L3749" s="62">
        <f>K3749-(F3749*I3749)</f>
        <v/>
      </c>
      <c r="M3749" s="64">
        <f>L3749/K3749</f>
        <v/>
      </c>
    </row>
    <row r="3750">
      <c r="A3750" s="58" t="inlineStr">
        <is>
          <t>RT20250407-03749</t>
        </is>
      </c>
      <c r="B3750" s="59" t="inlineStr">
        <is>
          <t>2025-04-07</t>
        </is>
      </c>
      <c r="C3750" s="60" t="inlineStr">
        <is>
          <t>Metro Printer X-294</t>
        </is>
      </c>
      <c r="D3750" s="58" t="inlineStr">
        <is>
          <t>Office</t>
        </is>
      </c>
      <c r="E3750" s="58" t="inlineStr">
        <is>
          <t>East</t>
        </is>
      </c>
      <c r="F3750" s="61" t="n">
        <v>3</v>
      </c>
      <c r="G3750" s="62" t="n">
        <v>532.73</v>
      </c>
      <c r="H3750" s="63" t="n">
        <v>0.064</v>
      </c>
      <c r="I3750" s="62" t="n">
        <v>412.56</v>
      </c>
      <c r="J3750" s="58" t="inlineStr">
        <is>
          <t>Online</t>
        </is>
      </c>
      <c r="K3750" s="62">
        <f>F3750*(G3750-H3750)</f>
        <v/>
      </c>
      <c r="L3750" s="62">
        <f>K3750-(F3750*I3750)</f>
        <v/>
      </c>
      <c r="M3750" s="64">
        <f>L3750/K3750</f>
        <v/>
      </c>
    </row>
    <row r="3751">
      <c r="A3751" s="58" t="inlineStr">
        <is>
          <t>RT20250407-03750</t>
        </is>
      </c>
      <c r="B3751" s="59" t="inlineStr">
        <is>
          <t>2025-04-07</t>
        </is>
      </c>
      <c r="C3751" s="60" t="inlineStr">
        <is>
          <t>Falcon Bedding S-674</t>
        </is>
      </c>
      <c r="D3751" s="58" t="inlineStr">
        <is>
          <t>Home</t>
        </is>
      </c>
      <c r="E3751" s="58" t="inlineStr">
        <is>
          <t>North</t>
        </is>
      </c>
      <c r="F3751" s="61" t="n">
        <v>1</v>
      </c>
      <c r="G3751" s="62" t="n">
        <v>563.8</v>
      </c>
      <c r="H3751" s="63" t="n">
        <v>0.031</v>
      </c>
      <c r="I3751" s="62" t="n">
        <v>465.72</v>
      </c>
      <c r="J3751" s="58" t="inlineStr">
        <is>
          <t>Online</t>
        </is>
      </c>
      <c r="K3751" s="62">
        <f>F3751*(G3751-H3751)</f>
        <v/>
      </c>
      <c r="L3751" s="62">
        <f>K3751-(F3751*I3751)</f>
        <v/>
      </c>
      <c r="M3751" s="64">
        <f>L3751/K3751</f>
        <v/>
      </c>
    </row>
    <row r="3752">
      <c r="A3752" s="58" t="inlineStr">
        <is>
          <t>RT20250407-03751</t>
        </is>
      </c>
      <c r="B3752" s="59" t="inlineStr">
        <is>
          <t>2025-04-07</t>
        </is>
      </c>
      <c r="C3752" s="60" t="inlineStr">
        <is>
          <t>Polar Bedding Lite-243</t>
        </is>
      </c>
      <c r="D3752" s="58" t="inlineStr">
        <is>
          <t>Home</t>
        </is>
      </c>
      <c r="E3752" s="58" t="inlineStr">
        <is>
          <t>North</t>
        </is>
      </c>
      <c r="F3752" s="61" t="n">
        <v>3</v>
      </c>
      <c r="G3752" s="62" t="n">
        <v>457.21</v>
      </c>
      <c r="H3752" s="63" t="n">
        <v>0.054</v>
      </c>
      <c r="I3752" s="62" t="n">
        <v>327.5</v>
      </c>
      <c r="J3752" s="58" t="inlineStr">
        <is>
          <t>Online</t>
        </is>
      </c>
      <c r="K3752" s="62">
        <f>F3752*(G3752-H3752)</f>
        <v/>
      </c>
      <c r="L3752" s="62">
        <f>K3752-(F3752*I3752)</f>
        <v/>
      </c>
      <c r="M3752" s="64">
        <f>L3752/K3752</f>
        <v/>
      </c>
    </row>
    <row r="3753">
      <c r="A3753" s="58" t="inlineStr">
        <is>
          <t>RT20250407-03752</t>
        </is>
      </c>
      <c r="B3753" s="59" t="inlineStr">
        <is>
          <t>2025-04-07</t>
        </is>
      </c>
      <c r="C3753" s="60" t="inlineStr">
        <is>
          <t>Solace Bedding Plus-317</t>
        </is>
      </c>
      <c r="D3753" s="58" t="inlineStr">
        <is>
          <t>Home</t>
        </is>
      </c>
      <c r="E3753" s="58" t="inlineStr">
        <is>
          <t>East</t>
        </is>
      </c>
      <c r="F3753" s="61" t="n">
        <v>1</v>
      </c>
      <c r="G3753" s="62" t="n">
        <v>499.59</v>
      </c>
      <c r="H3753" s="63" t="n">
        <v>0.081</v>
      </c>
      <c r="I3753" s="62" t="n">
        <v>377.61</v>
      </c>
      <c r="J3753" s="58" t="inlineStr">
        <is>
          <t>Online</t>
        </is>
      </c>
      <c r="K3753" s="62">
        <f>F3753*(G3753-H3753)</f>
        <v/>
      </c>
      <c r="L3753" s="62">
        <f>K3753-(F3753*I3753)</f>
        <v/>
      </c>
      <c r="M3753" s="64">
        <f>L3753/K3753</f>
        <v/>
      </c>
    </row>
    <row r="3754">
      <c r="A3754" s="58" t="inlineStr">
        <is>
          <t>RT20250407-03753</t>
        </is>
      </c>
      <c r="B3754" s="59" t="inlineStr">
        <is>
          <t>2025-04-07</t>
        </is>
      </c>
      <c r="C3754" s="60" t="inlineStr">
        <is>
          <t>Metro Smartphone Max-773</t>
        </is>
      </c>
      <c r="D3754" s="58" t="inlineStr">
        <is>
          <t>Electronics</t>
        </is>
      </c>
      <c r="E3754" s="58" t="inlineStr">
        <is>
          <t>West</t>
        </is>
      </c>
      <c r="F3754" s="61" t="n">
        <v>2</v>
      </c>
      <c r="G3754" s="62" t="n">
        <v>1487.11</v>
      </c>
      <c r="H3754" s="63" t="n">
        <v>0.064</v>
      </c>
      <c r="I3754" s="62" t="n">
        <v>1133.96</v>
      </c>
      <c r="J3754" s="58" t="inlineStr">
        <is>
          <t>Online</t>
        </is>
      </c>
      <c r="K3754" s="62">
        <f>F3754*(G3754-H3754)</f>
        <v/>
      </c>
      <c r="L3754" s="62">
        <f>K3754-(F3754*I3754)</f>
        <v/>
      </c>
      <c r="M3754" s="64">
        <f>L3754/K3754</f>
        <v/>
      </c>
    </row>
    <row r="3755">
      <c r="A3755" s="58" t="inlineStr">
        <is>
          <t>RT20250407-03754</t>
        </is>
      </c>
      <c r="B3755" s="59" t="inlineStr">
        <is>
          <t>2025-04-07</t>
        </is>
      </c>
      <c r="C3755" s="60" t="inlineStr">
        <is>
          <t>Nimbus Decor Lite-385</t>
        </is>
      </c>
      <c r="D3755" s="58" t="inlineStr">
        <is>
          <t>Home</t>
        </is>
      </c>
      <c r="E3755" s="58" t="inlineStr">
        <is>
          <t>Central</t>
        </is>
      </c>
      <c r="F3755" s="61" t="n">
        <v>3</v>
      </c>
      <c r="G3755" s="62" t="n">
        <v>516.9299999999999</v>
      </c>
      <c r="H3755" s="63" t="n">
        <v>0.081</v>
      </c>
      <c r="I3755" s="62" t="n">
        <v>400.79</v>
      </c>
      <c r="J3755" s="58" t="inlineStr">
        <is>
          <t>Online</t>
        </is>
      </c>
      <c r="K3755" s="62">
        <f>F3755*(G3755-H3755)</f>
        <v/>
      </c>
      <c r="L3755" s="62">
        <f>K3755-(F3755*I3755)</f>
        <v/>
      </c>
      <c r="M3755" s="64">
        <f>L3755/K3755</f>
        <v/>
      </c>
    </row>
    <row r="3756">
      <c r="A3756" s="58" t="inlineStr">
        <is>
          <t>RT20250407-03755</t>
        </is>
      </c>
      <c r="B3756" s="59" t="inlineStr">
        <is>
          <t>2025-04-07</t>
        </is>
      </c>
      <c r="C3756" s="60" t="inlineStr">
        <is>
          <t>Falcon Headphone Pro-713</t>
        </is>
      </c>
      <c r="D3756" s="58" t="inlineStr">
        <is>
          <t>Electronics</t>
        </is>
      </c>
      <c r="E3756" s="58" t="inlineStr">
        <is>
          <t>North</t>
        </is>
      </c>
      <c r="F3756" s="61" t="n">
        <v>2</v>
      </c>
      <c r="G3756" s="62" t="n">
        <v>1565.03</v>
      </c>
      <c r="H3756" s="63" t="n">
        <v>0.065</v>
      </c>
      <c r="I3756" s="62" t="n">
        <v>1205.71</v>
      </c>
      <c r="J3756" s="58" t="inlineStr">
        <is>
          <t>Online</t>
        </is>
      </c>
      <c r="K3756" s="62">
        <f>F3756*(G3756-H3756)</f>
        <v/>
      </c>
      <c r="L3756" s="62">
        <f>K3756-(F3756*I3756)</f>
        <v/>
      </c>
      <c r="M3756" s="64">
        <f>L3756/K3756</f>
        <v/>
      </c>
    </row>
    <row r="3757">
      <c r="A3757" s="58" t="inlineStr">
        <is>
          <t>RT20250407-03756</t>
        </is>
      </c>
      <c r="B3757" s="59" t="inlineStr">
        <is>
          <t>2025-04-07</t>
        </is>
      </c>
      <c r="C3757" s="60" t="inlineStr">
        <is>
          <t>Polar Outdoor Lite-318</t>
        </is>
      </c>
      <c r="D3757" s="58" t="inlineStr">
        <is>
          <t>Sports</t>
        </is>
      </c>
      <c r="E3757" s="58" t="inlineStr">
        <is>
          <t>South</t>
        </is>
      </c>
      <c r="F3757" s="61" t="n">
        <v>3</v>
      </c>
      <c r="G3757" s="62" t="n">
        <v>721.05</v>
      </c>
      <c r="H3757" s="63" t="n">
        <v>0</v>
      </c>
      <c r="I3757" s="62" t="n">
        <v>479.34</v>
      </c>
      <c r="J3757" s="58" t="inlineStr">
        <is>
          <t>Online</t>
        </is>
      </c>
      <c r="K3757" s="62">
        <f>F3757*(G3757-H3757)</f>
        <v/>
      </c>
      <c r="L3757" s="62">
        <f>K3757-(F3757*I3757)</f>
        <v/>
      </c>
      <c r="M3757" s="64">
        <f>L3757/K3757</f>
        <v/>
      </c>
    </row>
    <row r="3758">
      <c r="A3758" s="58" t="inlineStr">
        <is>
          <t>RT20250407-03757</t>
        </is>
      </c>
      <c r="B3758" s="59" t="inlineStr">
        <is>
          <t>2025-04-07</t>
        </is>
      </c>
      <c r="C3758" s="60" t="inlineStr">
        <is>
          <t>Metro Pantry X-710</t>
        </is>
      </c>
      <c r="D3758" s="58" t="inlineStr">
        <is>
          <t>Grocery</t>
        </is>
      </c>
      <c r="E3758" s="58" t="inlineStr">
        <is>
          <t>East</t>
        </is>
      </c>
      <c r="F3758" s="61" t="n">
        <v>6</v>
      </c>
      <c r="G3758" s="62" t="n">
        <v>5.7</v>
      </c>
      <c r="H3758" s="63" t="n">
        <v>0.029</v>
      </c>
      <c r="I3758" s="62" t="n">
        <v>4.11</v>
      </c>
      <c r="J3758" s="58" t="inlineStr">
        <is>
          <t>Online</t>
        </is>
      </c>
      <c r="K3758" s="62">
        <f>F3758*(G3758-H3758)</f>
        <v/>
      </c>
      <c r="L3758" s="62">
        <f>K3758-(F3758*I3758)</f>
        <v/>
      </c>
      <c r="M3758" s="64">
        <f>L3758/K3758</f>
        <v/>
      </c>
    </row>
    <row r="3759">
      <c r="A3759" s="58" t="inlineStr">
        <is>
          <t>RT20250407-03758</t>
        </is>
      </c>
      <c r="B3759" s="59" t="inlineStr">
        <is>
          <t>2025-04-07</t>
        </is>
      </c>
      <c r="C3759" s="60" t="inlineStr">
        <is>
          <t>Vertex Skincare Pro-891</t>
        </is>
      </c>
      <c r="D3759" s="58" t="inlineStr">
        <is>
          <t>Beauty</t>
        </is>
      </c>
      <c r="E3759" s="58" t="inlineStr">
        <is>
          <t>Central</t>
        </is>
      </c>
      <c r="F3759" s="61" t="n">
        <v>1</v>
      </c>
      <c r="G3759" s="62" t="n">
        <v>130.78</v>
      </c>
      <c r="H3759" s="63" t="n">
        <v>0.022</v>
      </c>
      <c r="I3759" s="62" t="n">
        <v>91.02</v>
      </c>
      <c r="J3759" s="58" t="inlineStr">
        <is>
          <t>Store</t>
        </is>
      </c>
      <c r="K3759" s="62">
        <f>F3759*(G3759-H3759)</f>
        <v/>
      </c>
      <c r="L3759" s="62">
        <f>K3759-(F3759*I3759)</f>
        <v/>
      </c>
      <c r="M3759" s="64">
        <f>L3759/K3759</f>
        <v/>
      </c>
    </row>
    <row r="3760">
      <c r="A3760" s="58" t="inlineStr">
        <is>
          <t>RT20250407-03759</t>
        </is>
      </c>
      <c r="B3760" s="59" t="inlineStr">
        <is>
          <t>2025-04-07</t>
        </is>
      </c>
      <c r="C3760" s="60" t="inlineStr">
        <is>
          <t>Aurora Furniture X-709</t>
        </is>
      </c>
      <c r="D3760" s="58" t="inlineStr">
        <is>
          <t>Office</t>
        </is>
      </c>
      <c r="E3760" s="58" t="inlineStr">
        <is>
          <t>North</t>
        </is>
      </c>
      <c r="F3760" s="61" t="n">
        <v>3</v>
      </c>
      <c r="G3760" s="62" t="n">
        <v>437.04</v>
      </c>
      <c r="H3760" s="63" t="n">
        <v>0.04</v>
      </c>
      <c r="I3760" s="62" t="n">
        <v>306.9</v>
      </c>
      <c r="J3760" s="58" t="inlineStr">
        <is>
          <t>Store</t>
        </is>
      </c>
      <c r="K3760" s="62">
        <f>F3760*(G3760-H3760)</f>
        <v/>
      </c>
      <c r="L3760" s="62">
        <f>K3760-(F3760*I3760)</f>
        <v/>
      </c>
      <c r="M3760" s="64">
        <f>L3760/K3760</f>
        <v/>
      </c>
    </row>
    <row r="3761">
      <c r="A3761" s="58" t="inlineStr">
        <is>
          <t>RT20250407-03760</t>
        </is>
      </c>
      <c r="B3761" s="59" t="inlineStr">
        <is>
          <t>2025-04-07</t>
        </is>
      </c>
      <c r="C3761" s="60" t="inlineStr">
        <is>
          <t>Falcon Accessorie S-195</t>
        </is>
      </c>
      <c r="D3761" s="58" t="inlineStr">
        <is>
          <t>Apparel</t>
        </is>
      </c>
      <c r="E3761" s="58" t="inlineStr">
        <is>
          <t>North</t>
        </is>
      </c>
      <c r="F3761" s="61" t="n">
        <v>3</v>
      </c>
      <c r="G3761" s="62" t="n">
        <v>84.15000000000001</v>
      </c>
      <c r="H3761" s="63" t="n">
        <v>0.07199999999999999</v>
      </c>
      <c r="I3761" s="62" t="n">
        <v>43.45</v>
      </c>
      <c r="J3761" s="58" t="inlineStr">
        <is>
          <t>Online</t>
        </is>
      </c>
      <c r="K3761" s="62">
        <f>F3761*(G3761-H3761)</f>
        <v/>
      </c>
      <c r="L3761" s="62">
        <f>K3761-(F3761*I3761)</f>
        <v/>
      </c>
      <c r="M3761" s="64">
        <f>L3761/K3761</f>
        <v/>
      </c>
    </row>
    <row r="3762">
      <c r="A3762" s="58" t="inlineStr">
        <is>
          <t>RT20250407-03761</t>
        </is>
      </c>
      <c r="B3762" s="59" t="inlineStr">
        <is>
          <t>2025-04-07</t>
        </is>
      </c>
      <c r="C3762" s="60" t="inlineStr">
        <is>
          <t>Falcon Skincare Max-151</t>
        </is>
      </c>
      <c r="D3762" s="58" t="inlineStr">
        <is>
          <t>Beauty</t>
        </is>
      </c>
      <c r="E3762" s="58" t="inlineStr">
        <is>
          <t>West</t>
        </is>
      </c>
      <c r="F3762" s="61" t="n">
        <v>1</v>
      </c>
      <c r="G3762" s="62" t="n">
        <v>102.87</v>
      </c>
      <c r="H3762" s="63" t="n">
        <v>0.092</v>
      </c>
      <c r="I3762" s="62" t="n">
        <v>58.37</v>
      </c>
      <c r="J3762" s="58" t="inlineStr">
        <is>
          <t>Store</t>
        </is>
      </c>
      <c r="K3762" s="62">
        <f>F3762*(G3762-H3762)</f>
        <v/>
      </c>
      <c r="L3762" s="62">
        <f>K3762-(F3762*I3762)</f>
        <v/>
      </c>
      <c r="M3762" s="64">
        <f>L3762/K3762</f>
        <v/>
      </c>
    </row>
    <row r="3763">
      <c r="A3763" s="58" t="inlineStr">
        <is>
          <t>RT20250408-03762</t>
        </is>
      </c>
      <c r="B3763" s="59" t="inlineStr">
        <is>
          <t>2025-04-08</t>
        </is>
      </c>
      <c r="C3763" s="60" t="inlineStr">
        <is>
          <t>Polar Haircare Max-614</t>
        </is>
      </c>
      <c r="D3763" s="58" t="inlineStr">
        <is>
          <t>Beauty</t>
        </is>
      </c>
      <c r="E3763" s="58" t="inlineStr">
        <is>
          <t>South</t>
        </is>
      </c>
      <c r="F3763" s="61" t="n">
        <v>5</v>
      </c>
      <c r="G3763" s="62" t="n">
        <v>107.73</v>
      </c>
      <c r="H3763" s="63" t="n">
        <v>0.066</v>
      </c>
      <c r="I3763" s="62" t="n">
        <v>67.84</v>
      </c>
      <c r="J3763" s="58" t="inlineStr">
        <is>
          <t>Store</t>
        </is>
      </c>
      <c r="K3763" s="62">
        <f>F3763*(G3763-H3763)</f>
        <v/>
      </c>
      <c r="L3763" s="62">
        <f>K3763-(F3763*I3763)</f>
        <v/>
      </c>
      <c r="M3763" s="64">
        <f>L3763/K3763</f>
        <v/>
      </c>
    </row>
    <row r="3764">
      <c r="A3764" s="58" t="inlineStr">
        <is>
          <t>RT20250408-03763</t>
        </is>
      </c>
      <c r="B3764" s="59" t="inlineStr">
        <is>
          <t>2025-04-08</t>
        </is>
      </c>
      <c r="C3764" s="60" t="inlineStr">
        <is>
          <t>Aurora Smartphone Plus-125</t>
        </is>
      </c>
      <c r="D3764" s="58" t="inlineStr">
        <is>
          <t>Electronics</t>
        </is>
      </c>
      <c r="E3764" s="58" t="inlineStr">
        <is>
          <t>East</t>
        </is>
      </c>
      <c r="F3764" s="61" t="n">
        <v>2</v>
      </c>
      <c r="G3764" s="62" t="n">
        <v>1547.95</v>
      </c>
      <c r="H3764" s="63" t="n">
        <v>0.123</v>
      </c>
      <c r="I3764" s="62" t="n">
        <v>1192.42</v>
      </c>
      <c r="J3764" s="58" t="inlineStr">
        <is>
          <t>Store</t>
        </is>
      </c>
      <c r="K3764" s="62">
        <f>F3764*(G3764-H3764)</f>
        <v/>
      </c>
      <c r="L3764" s="62">
        <f>K3764-(F3764*I3764)</f>
        <v/>
      </c>
      <c r="M3764" s="64">
        <f>L3764/K3764</f>
        <v/>
      </c>
    </row>
    <row r="3765">
      <c r="A3765" s="58" t="inlineStr">
        <is>
          <t>RT20250408-03764</t>
        </is>
      </c>
      <c r="B3765" s="59" t="inlineStr">
        <is>
          <t>2025-04-08</t>
        </is>
      </c>
      <c r="C3765" s="60" t="inlineStr">
        <is>
          <t>Vertex Fitnes Pro-830</t>
        </is>
      </c>
      <c r="D3765" s="58" t="inlineStr">
        <is>
          <t>Sports</t>
        </is>
      </c>
      <c r="E3765" s="58" t="inlineStr">
        <is>
          <t>East</t>
        </is>
      </c>
      <c r="F3765" s="61" t="n">
        <v>3</v>
      </c>
      <c r="G3765" s="62" t="n">
        <v>646.25</v>
      </c>
      <c r="H3765" s="63" t="n">
        <v>0.104</v>
      </c>
      <c r="I3765" s="62" t="n">
        <v>476.16</v>
      </c>
      <c r="J3765" s="58" t="inlineStr">
        <is>
          <t>Online</t>
        </is>
      </c>
      <c r="K3765" s="62">
        <f>F3765*(G3765-H3765)</f>
        <v/>
      </c>
      <c r="L3765" s="62">
        <f>K3765-(F3765*I3765)</f>
        <v/>
      </c>
      <c r="M3765" s="64">
        <f>L3765/K3765</f>
        <v/>
      </c>
    </row>
    <row r="3766">
      <c r="A3766" s="58" t="inlineStr">
        <is>
          <t>RT20250408-03765</t>
        </is>
      </c>
      <c r="B3766" s="59" t="inlineStr">
        <is>
          <t>2025-04-08</t>
        </is>
      </c>
      <c r="C3766" s="60" t="inlineStr">
        <is>
          <t>Nimbus Women Plus-352</t>
        </is>
      </c>
      <c r="D3766" s="58" t="inlineStr">
        <is>
          <t>Apparel</t>
        </is>
      </c>
      <c r="E3766" s="58" t="inlineStr">
        <is>
          <t>West</t>
        </is>
      </c>
      <c r="F3766" s="61" t="n">
        <v>4</v>
      </c>
      <c r="G3766" s="62" t="n">
        <v>50.78</v>
      </c>
      <c r="H3766" s="63" t="n">
        <v>0.034</v>
      </c>
      <c r="I3766" s="62" t="n">
        <v>32.95</v>
      </c>
      <c r="J3766" s="58" t="inlineStr">
        <is>
          <t>Online</t>
        </is>
      </c>
      <c r="K3766" s="62">
        <f>F3766*(G3766-H3766)</f>
        <v/>
      </c>
      <c r="L3766" s="62">
        <f>K3766-(F3766*I3766)</f>
        <v/>
      </c>
      <c r="M3766" s="64">
        <f>L3766/K3766</f>
        <v/>
      </c>
    </row>
    <row r="3767">
      <c r="A3767" s="58" t="inlineStr">
        <is>
          <t>RT20250408-03766</t>
        </is>
      </c>
      <c r="B3767" s="59" t="inlineStr">
        <is>
          <t>2025-04-08</t>
        </is>
      </c>
      <c r="C3767" s="60" t="inlineStr">
        <is>
          <t>Metro Pantry Max-180</t>
        </is>
      </c>
      <c r="D3767" s="58" t="inlineStr">
        <is>
          <t>Grocery</t>
        </is>
      </c>
      <c r="E3767" s="58" t="inlineStr">
        <is>
          <t>Central</t>
        </is>
      </c>
      <c r="F3767" s="61" t="n">
        <v>5</v>
      </c>
      <c r="G3767" s="62" t="n">
        <v>7.77</v>
      </c>
      <c r="H3767" s="63" t="n">
        <v>0.045</v>
      </c>
      <c r="I3767" s="62" t="n">
        <v>6.54</v>
      </c>
      <c r="J3767" s="58" t="inlineStr">
        <is>
          <t>Online</t>
        </is>
      </c>
      <c r="K3767" s="62">
        <f>F3767*(G3767-H3767)</f>
        <v/>
      </c>
      <c r="L3767" s="62">
        <f>K3767-(F3767*I3767)</f>
        <v/>
      </c>
      <c r="M3767" s="64">
        <f>L3767/K3767</f>
        <v/>
      </c>
    </row>
    <row r="3768">
      <c r="A3768" s="58" t="inlineStr">
        <is>
          <t>RT20250408-03767</t>
        </is>
      </c>
      <c r="B3768" s="59" t="inlineStr">
        <is>
          <t>2025-04-08</t>
        </is>
      </c>
      <c r="C3768" s="60" t="inlineStr">
        <is>
          <t>Nimbus Fitnes Lite-516</t>
        </is>
      </c>
      <c r="D3768" s="58" t="inlineStr">
        <is>
          <t>Sports</t>
        </is>
      </c>
      <c r="E3768" s="58" t="inlineStr">
        <is>
          <t>East</t>
        </is>
      </c>
      <c r="F3768" s="61" t="n">
        <v>2</v>
      </c>
      <c r="G3768" s="62" t="n">
        <v>744.15</v>
      </c>
      <c r="H3768" s="63" t="n">
        <v>0.117</v>
      </c>
      <c r="I3768" s="62" t="n">
        <v>465.44</v>
      </c>
      <c r="J3768" s="58" t="inlineStr">
        <is>
          <t>Online</t>
        </is>
      </c>
      <c r="K3768" s="62">
        <f>F3768*(G3768-H3768)</f>
        <v/>
      </c>
      <c r="L3768" s="62">
        <f>K3768-(F3768*I3768)</f>
        <v/>
      </c>
      <c r="M3768" s="64">
        <f>L3768/K3768</f>
        <v/>
      </c>
    </row>
    <row r="3769">
      <c r="A3769" s="58" t="inlineStr">
        <is>
          <t>RT20250408-03768</t>
        </is>
      </c>
      <c r="B3769" s="59" t="inlineStr">
        <is>
          <t>2025-04-08</t>
        </is>
      </c>
      <c r="C3769" s="60" t="inlineStr">
        <is>
          <t>Solace Smartphone Lite-533</t>
        </is>
      </c>
      <c r="D3769" s="58" t="inlineStr">
        <is>
          <t>Electronics</t>
        </is>
      </c>
      <c r="E3769" s="58" t="inlineStr">
        <is>
          <t>East</t>
        </is>
      </c>
      <c r="F3769" s="61" t="n">
        <v>1</v>
      </c>
      <c r="G3769" s="62" t="n">
        <v>1093.1</v>
      </c>
      <c r="H3769" s="63" t="n">
        <v>0.039</v>
      </c>
      <c r="I3769" s="62" t="n">
        <v>949.76</v>
      </c>
      <c r="J3769" s="58" t="inlineStr">
        <is>
          <t>Online</t>
        </is>
      </c>
      <c r="K3769" s="62">
        <f>F3769*(G3769-H3769)</f>
        <v/>
      </c>
      <c r="L3769" s="62">
        <f>K3769-(F3769*I3769)</f>
        <v/>
      </c>
      <c r="M3769" s="64">
        <f>L3769/K3769</f>
        <v/>
      </c>
    </row>
    <row r="3770">
      <c r="A3770" s="58" t="inlineStr">
        <is>
          <t>RT20250408-03769</t>
        </is>
      </c>
      <c r="B3770" s="59" t="inlineStr">
        <is>
          <t>2025-04-08</t>
        </is>
      </c>
      <c r="C3770" s="60" t="inlineStr">
        <is>
          <t>Polar Decor X-935</t>
        </is>
      </c>
      <c r="D3770" s="58" t="inlineStr">
        <is>
          <t>Home</t>
        </is>
      </c>
      <c r="E3770" s="58" t="inlineStr">
        <is>
          <t>East</t>
        </is>
      </c>
      <c r="F3770" s="61" t="n">
        <v>2</v>
      </c>
      <c r="G3770" s="62" t="n">
        <v>286.83</v>
      </c>
      <c r="H3770" s="63" t="n">
        <v>0.051</v>
      </c>
      <c r="I3770" s="62" t="n">
        <v>196.14</v>
      </c>
      <c r="J3770" s="58" t="inlineStr">
        <is>
          <t>Online</t>
        </is>
      </c>
      <c r="K3770" s="62">
        <f>F3770*(G3770-H3770)</f>
        <v/>
      </c>
      <c r="L3770" s="62">
        <f>K3770-(F3770*I3770)</f>
        <v/>
      </c>
      <c r="M3770" s="64">
        <f>L3770/K3770</f>
        <v/>
      </c>
    </row>
    <row r="3771">
      <c r="A3771" s="58" t="inlineStr">
        <is>
          <t>RT20250408-03770</t>
        </is>
      </c>
      <c r="B3771" s="59" t="inlineStr">
        <is>
          <t>2025-04-08</t>
        </is>
      </c>
      <c r="C3771" s="60" t="inlineStr">
        <is>
          <t>Nimbus Decor Lite-385</t>
        </is>
      </c>
      <c r="D3771" s="58" t="inlineStr">
        <is>
          <t>Home</t>
        </is>
      </c>
      <c r="E3771" s="58" t="inlineStr">
        <is>
          <t>North</t>
        </is>
      </c>
      <c r="F3771" s="61" t="n">
        <v>1</v>
      </c>
      <c r="G3771" s="62" t="n">
        <v>591.37</v>
      </c>
      <c r="H3771" s="63" t="n">
        <v>0.036</v>
      </c>
      <c r="I3771" s="62" t="n">
        <v>400.49</v>
      </c>
      <c r="J3771" s="58" t="inlineStr">
        <is>
          <t>Online</t>
        </is>
      </c>
      <c r="K3771" s="62">
        <f>F3771*(G3771-H3771)</f>
        <v/>
      </c>
      <c r="L3771" s="62">
        <f>K3771-(F3771*I3771)</f>
        <v/>
      </c>
      <c r="M3771" s="64">
        <f>L3771/K3771</f>
        <v/>
      </c>
    </row>
    <row r="3772">
      <c r="A3772" s="58" t="inlineStr">
        <is>
          <t>RT20250408-03771</t>
        </is>
      </c>
      <c r="B3772" s="59" t="inlineStr">
        <is>
          <t>2025-04-08</t>
        </is>
      </c>
      <c r="C3772" s="60" t="inlineStr">
        <is>
          <t>Orion Fragrance Lite-785</t>
        </is>
      </c>
      <c r="D3772" s="58" t="inlineStr">
        <is>
          <t>Beauty</t>
        </is>
      </c>
      <c r="E3772" s="58" t="inlineStr">
        <is>
          <t>South</t>
        </is>
      </c>
      <c r="F3772" s="61" t="n">
        <v>1</v>
      </c>
      <c r="G3772" s="62" t="n">
        <v>43.83</v>
      </c>
      <c r="H3772" s="63" t="n">
        <v>0.021</v>
      </c>
      <c r="I3772" s="62" t="n">
        <v>26.41</v>
      </c>
      <c r="J3772" s="58" t="inlineStr">
        <is>
          <t>Phone</t>
        </is>
      </c>
      <c r="K3772" s="62">
        <f>F3772*(G3772-H3772)</f>
        <v/>
      </c>
      <c r="L3772" s="62">
        <f>K3772-(F3772*I3772)</f>
        <v/>
      </c>
      <c r="M3772" s="64">
        <f>L3772/K3772</f>
        <v/>
      </c>
    </row>
    <row r="3773">
      <c r="A3773" s="58" t="inlineStr">
        <is>
          <t>RT20250408-03772</t>
        </is>
      </c>
      <c r="B3773" s="59" t="inlineStr">
        <is>
          <t>2025-04-08</t>
        </is>
      </c>
      <c r="C3773" s="60" t="inlineStr">
        <is>
          <t>Aurora Wearable Lite-162</t>
        </is>
      </c>
      <c r="D3773" s="58" t="inlineStr">
        <is>
          <t>Electronics</t>
        </is>
      </c>
      <c r="E3773" s="58" t="inlineStr">
        <is>
          <t>South</t>
        </is>
      </c>
      <c r="F3773" s="61" t="n">
        <v>2</v>
      </c>
      <c r="G3773" s="62" t="n">
        <v>1536.12</v>
      </c>
      <c r="H3773" s="63" t="n">
        <v>0.038</v>
      </c>
      <c r="I3773" s="62" t="n">
        <v>1202.81</v>
      </c>
      <c r="J3773" s="58" t="inlineStr">
        <is>
          <t>Online</t>
        </is>
      </c>
      <c r="K3773" s="62">
        <f>F3773*(G3773-H3773)</f>
        <v/>
      </c>
      <c r="L3773" s="62">
        <f>K3773-(F3773*I3773)</f>
        <v/>
      </c>
      <c r="M3773" s="64">
        <f>L3773/K3773</f>
        <v/>
      </c>
    </row>
    <row r="3774">
      <c r="A3774" s="58" t="inlineStr">
        <is>
          <t>RT20250408-03773</t>
        </is>
      </c>
      <c r="B3774" s="59" t="inlineStr">
        <is>
          <t>2025-04-08</t>
        </is>
      </c>
      <c r="C3774" s="60" t="inlineStr">
        <is>
          <t>Aurora Kid Plus-151</t>
        </is>
      </c>
      <c r="D3774" s="58" t="inlineStr">
        <is>
          <t>Apparel</t>
        </is>
      </c>
      <c r="E3774" s="58" t="inlineStr">
        <is>
          <t>West</t>
        </is>
      </c>
      <c r="F3774" s="61" t="n">
        <v>3</v>
      </c>
      <c r="G3774" s="62" t="n">
        <v>94.95999999999999</v>
      </c>
      <c r="H3774" s="63" t="n">
        <v>0.023</v>
      </c>
      <c r="I3774" s="62" t="n">
        <v>62.72</v>
      </c>
      <c r="J3774" s="58" t="inlineStr">
        <is>
          <t>Store</t>
        </is>
      </c>
      <c r="K3774" s="62">
        <f>F3774*(G3774-H3774)</f>
        <v/>
      </c>
      <c r="L3774" s="62">
        <f>K3774-(F3774*I3774)</f>
        <v/>
      </c>
      <c r="M3774" s="64">
        <f>L3774/K3774</f>
        <v/>
      </c>
    </row>
    <row r="3775">
      <c r="A3775" s="58" t="inlineStr">
        <is>
          <t>RT20250408-03774</t>
        </is>
      </c>
      <c r="B3775" s="59" t="inlineStr">
        <is>
          <t>2025-04-08</t>
        </is>
      </c>
      <c r="C3775" s="60" t="inlineStr">
        <is>
          <t>Aurora Fragrance S-971</t>
        </is>
      </c>
      <c r="D3775" s="58" t="inlineStr">
        <is>
          <t>Beauty</t>
        </is>
      </c>
      <c r="E3775" s="58" t="inlineStr">
        <is>
          <t>Central</t>
        </is>
      </c>
      <c r="F3775" s="61" t="n">
        <v>1</v>
      </c>
      <c r="G3775" s="62" t="n">
        <v>117.81</v>
      </c>
      <c r="H3775" s="63" t="n">
        <v>0.07000000000000001</v>
      </c>
      <c r="I3775" s="62" t="n">
        <v>64.8</v>
      </c>
      <c r="J3775" s="58" t="inlineStr">
        <is>
          <t>Online</t>
        </is>
      </c>
      <c r="K3775" s="62">
        <f>F3775*(G3775-H3775)</f>
        <v/>
      </c>
      <c r="L3775" s="62">
        <f>K3775-(F3775*I3775)</f>
        <v/>
      </c>
      <c r="M3775" s="64">
        <f>L3775/K3775</f>
        <v/>
      </c>
    </row>
    <row r="3776">
      <c r="A3776" s="58" t="inlineStr">
        <is>
          <t>RT20250408-03775</t>
        </is>
      </c>
      <c r="B3776" s="59" t="inlineStr">
        <is>
          <t>2025-04-08</t>
        </is>
      </c>
      <c r="C3776" s="60" t="inlineStr">
        <is>
          <t>Nimbus Furniture Pro-479</t>
        </is>
      </c>
      <c r="D3776" s="58" t="inlineStr">
        <is>
          <t>Office</t>
        </is>
      </c>
      <c r="E3776" s="58" t="inlineStr">
        <is>
          <t>East</t>
        </is>
      </c>
      <c r="F3776" s="61" t="n">
        <v>1</v>
      </c>
      <c r="G3776" s="62" t="n">
        <v>366.03</v>
      </c>
      <c r="H3776" s="63" t="n">
        <v>0.093</v>
      </c>
      <c r="I3776" s="62" t="n">
        <v>235.05</v>
      </c>
      <c r="J3776" s="58" t="inlineStr">
        <is>
          <t>Store</t>
        </is>
      </c>
      <c r="K3776" s="62">
        <f>F3776*(G3776-H3776)</f>
        <v/>
      </c>
      <c r="L3776" s="62">
        <f>K3776-(F3776*I3776)</f>
        <v/>
      </c>
      <c r="M3776" s="64">
        <f>L3776/K3776</f>
        <v/>
      </c>
    </row>
    <row r="3777">
      <c r="A3777" s="58" t="inlineStr">
        <is>
          <t>RT20250408-03776</t>
        </is>
      </c>
      <c r="B3777" s="59" t="inlineStr">
        <is>
          <t>2025-04-08</t>
        </is>
      </c>
      <c r="C3777" s="60" t="inlineStr">
        <is>
          <t>Aurora Wearable Lite-162</t>
        </is>
      </c>
      <c r="D3777" s="58" t="inlineStr">
        <is>
          <t>Electronics</t>
        </is>
      </c>
      <c r="E3777" s="58" t="inlineStr">
        <is>
          <t>West</t>
        </is>
      </c>
      <c r="F3777" s="61" t="n">
        <v>2</v>
      </c>
      <c r="G3777" s="62" t="n">
        <v>1473.82</v>
      </c>
      <c r="H3777" s="63" t="n">
        <v>0</v>
      </c>
      <c r="I3777" s="62" t="n">
        <v>1170.63</v>
      </c>
      <c r="J3777" s="58" t="inlineStr">
        <is>
          <t>Store</t>
        </is>
      </c>
      <c r="K3777" s="62">
        <f>F3777*(G3777-H3777)</f>
        <v/>
      </c>
      <c r="L3777" s="62">
        <f>K3777-(F3777*I3777)</f>
        <v/>
      </c>
      <c r="M3777" s="64">
        <f>L3777/K3777</f>
        <v/>
      </c>
    </row>
    <row r="3778">
      <c r="A3778" s="58" t="inlineStr">
        <is>
          <t>RT20250408-03777</t>
        </is>
      </c>
      <c r="B3778" s="59" t="inlineStr">
        <is>
          <t>2025-04-08</t>
        </is>
      </c>
      <c r="C3778" s="60" t="inlineStr">
        <is>
          <t>Aurora Makeup Pro-489</t>
        </is>
      </c>
      <c r="D3778" s="58" t="inlineStr">
        <is>
          <t>Beauty</t>
        </is>
      </c>
      <c r="E3778" s="58" t="inlineStr">
        <is>
          <t>East</t>
        </is>
      </c>
      <c r="F3778" s="61" t="n">
        <v>1</v>
      </c>
      <c r="G3778" s="62" t="n">
        <v>95.52</v>
      </c>
      <c r="H3778" s="63" t="n">
        <v>0.022</v>
      </c>
      <c r="I3778" s="62" t="n">
        <v>61.63</v>
      </c>
      <c r="J3778" s="58" t="inlineStr">
        <is>
          <t>Online</t>
        </is>
      </c>
      <c r="K3778" s="62">
        <f>F3778*(G3778-H3778)</f>
        <v/>
      </c>
      <c r="L3778" s="62">
        <f>K3778-(F3778*I3778)</f>
        <v/>
      </c>
      <c r="M3778" s="64">
        <f>L3778/K3778</f>
        <v/>
      </c>
    </row>
    <row r="3779">
      <c r="A3779" s="58" t="inlineStr">
        <is>
          <t>RT20250408-03778</t>
        </is>
      </c>
      <c r="B3779" s="59" t="inlineStr">
        <is>
          <t>2025-04-08</t>
        </is>
      </c>
      <c r="C3779" s="60" t="inlineStr">
        <is>
          <t>Falcon Beverage Max-702</t>
        </is>
      </c>
      <c r="D3779" s="58" t="inlineStr">
        <is>
          <t>Grocery</t>
        </is>
      </c>
      <c r="E3779" s="58" t="inlineStr">
        <is>
          <t>East</t>
        </is>
      </c>
      <c r="F3779" s="61" t="n">
        <v>7</v>
      </c>
      <c r="G3779" s="62" t="n">
        <v>28.66</v>
      </c>
      <c r="H3779" s="63" t="n">
        <v>0.029</v>
      </c>
      <c r="I3779" s="62" t="n">
        <v>19.54</v>
      </c>
      <c r="J3779" s="58" t="inlineStr">
        <is>
          <t>Store</t>
        </is>
      </c>
      <c r="K3779" s="62">
        <f>F3779*(G3779-H3779)</f>
        <v/>
      </c>
      <c r="L3779" s="62">
        <f>K3779-(F3779*I3779)</f>
        <v/>
      </c>
      <c r="M3779" s="64">
        <f>L3779/K3779</f>
        <v/>
      </c>
    </row>
    <row r="3780">
      <c r="A3780" s="58" t="inlineStr">
        <is>
          <t>RT20250408-03779</t>
        </is>
      </c>
      <c r="B3780" s="59" t="inlineStr">
        <is>
          <t>2025-04-08</t>
        </is>
      </c>
      <c r="C3780" s="60" t="inlineStr">
        <is>
          <t>Orion Kid Max-640</t>
        </is>
      </c>
      <c r="D3780" s="58" t="inlineStr">
        <is>
          <t>Apparel</t>
        </is>
      </c>
      <c r="E3780" s="58" t="inlineStr">
        <is>
          <t>North</t>
        </is>
      </c>
      <c r="F3780" s="61" t="n">
        <v>1</v>
      </c>
      <c r="G3780" s="62" t="n">
        <v>116.84</v>
      </c>
      <c r="H3780" s="63" t="n">
        <v>0.08</v>
      </c>
      <c r="I3780" s="62" t="n">
        <v>68.89</v>
      </c>
      <c r="J3780" s="58" t="inlineStr">
        <is>
          <t>Online</t>
        </is>
      </c>
      <c r="K3780" s="62">
        <f>F3780*(G3780-H3780)</f>
        <v/>
      </c>
      <c r="L3780" s="62">
        <f>K3780-(F3780*I3780)</f>
        <v/>
      </c>
      <c r="M3780" s="64">
        <f>L3780/K3780</f>
        <v/>
      </c>
    </row>
    <row r="3781">
      <c r="A3781" s="58" t="inlineStr">
        <is>
          <t>RT20250408-03780</t>
        </is>
      </c>
      <c r="B3781" s="59" t="inlineStr">
        <is>
          <t>2025-04-08</t>
        </is>
      </c>
      <c r="C3781" s="60" t="inlineStr">
        <is>
          <t>Falcon Bedding S-674</t>
        </is>
      </c>
      <c r="D3781" s="58" t="inlineStr">
        <is>
          <t>Home</t>
        </is>
      </c>
      <c r="E3781" s="58" t="inlineStr">
        <is>
          <t>West</t>
        </is>
      </c>
      <c r="F3781" s="61" t="n">
        <v>1</v>
      </c>
      <c r="G3781" s="62" t="n">
        <v>706.88</v>
      </c>
      <c r="H3781" s="63" t="n">
        <v>0.051</v>
      </c>
      <c r="I3781" s="62" t="n">
        <v>457.81</v>
      </c>
      <c r="J3781" s="58" t="inlineStr">
        <is>
          <t>Store</t>
        </is>
      </c>
      <c r="K3781" s="62">
        <f>F3781*(G3781-H3781)</f>
        <v/>
      </c>
      <c r="L3781" s="62">
        <f>K3781-(F3781*I3781)</f>
        <v/>
      </c>
      <c r="M3781" s="64">
        <f>L3781/K3781</f>
        <v/>
      </c>
    </row>
    <row r="3782">
      <c r="A3782" s="58" t="inlineStr">
        <is>
          <t>RT20250408-03781</t>
        </is>
      </c>
      <c r="B3782" s="59" t="inlineStr">
        <is>
          <t>2025-04-08</t>
        </is>
      </c>
      <c r="C3782" s="60" t="inlineStr">
        <is>
          <t>Aurora Wearable Lite-162</t>
        </is>
      </c>
      <c r="D3782" s="58" t="inlineStr">
        <is>
          <t>Electronics</t>
        </is>
      </c>
      <c r="E3782" s="58" t="inlineStr">
        <is>
          <t>Central</t>
        </is>
      </c>
      <c r="F3782" s="61" t="n">
        <v>2</v>
      </c>
      <c r="G3782" s="62" t="n">
        <v>1459.61</v>
      </c>
      <c r="H3782" s="63" t="n">
        <v>0.032</v>
      </c>
      <c r="I3782" s="62" t="n">
        <v>1154.76</v>
      </c>
      <c r="J3782" s="58" t="inlineStr">
        <is>
          <t>Store</t>
        </is>
      </c>
      <c r="K3782" s="62">
        <f>F3782*(G3782-H3782)</f>
        <v/>
      </c>
      <c r="L3782" s="62">
        <f>K3782-(F3782*I3782)</f>
        <v/>
      </c>
      <c r="M3782" s="64">
        <f>L3782/K3782</f>
        <v/>
      </c>
    </row>
    <row r="3783">
      <c r="A3783" s="58" t="inlineStr">
        <is>
          <t>RT20250408-03782</t>
        </is>
      </c>
      <c r="B3783" s="59" t="inlineStr">
        <is>
          <t>2025-04-08</t>
        </is>
      </c>
      <c r="C3783" s="60" t="inlineStr">
        <is>
          <t>Aurora Printer Plus-991</t>
        </is>
      </c>
      <c r="D3783" s="58" t="inlineStr">
        <is>
          <t>Office</t>
        </is>
      </c>
      <c r="E3783" s="58" t="inlineStr">
        <is>
          <t>South</t>
        </is>
      </c>
      <c r="F3783" s="61" t="n">
        <v>3</v>
      </c>
      <c r="G3783" s="62" t="n">
        <v>600.84</v>
      </c>
      <c r="H3783" s="63" t="n">
        <v>0.08400000000000001</v>
      </c>
      <c r="I3783" s="62" t="n">
        <v>369.98</v>
      </c>
      <c r="J3783" s="58" t="inlineStr">
        <is>
          <t>Store</t>
        </is>
      </c>
      <c r="K3783" s="62">
        <f>F3783*(G3783-H3783)</f>
        <v/>
      </c>
      <c r="L3783" s="62">
        <f>K3783-(F3783*I3783)</f>
        <v/>
      </c>
      <c r="M3783" s="64">
        <f>L3783/K3783</f>
        <v/>
      </c>
    </row>
    <row r="3784">
      <c r="A3784" s="58" t="inlineStr">
        <is>
          <t>RT20250408-03783</t>
        </is>
      </c>
      <c r="B3784" s="59" t="inlineStr">
        <is>
          <t>2025-04-08</t>
        </is>
      </c>
      <c r="C3784" s="60" t="inlineStr">
        <is>
          <t>Polar Decor Plus-505</t>
        </is>
      </c>
      <c r="D3784" s="58" t="inlineStr">
        <is>
          <t>Home</t>
        </is>
      </c>
      <c r="E3784" s="58" t="inlineStr">
        <is>
          <t>East</t>
        </is>
      </c>
      <c r="F3784" s="61" t="n">
        <v>1</v>
      </c>
      <c r="G3784" s="62" t="n">
        <v>320.97</v>
      </c>
      <c r="H3784" s="63" t="n">
        <v>0.011</v>
      </c>
      <c r="I3784" s="62" t="n">
        <v>204.73</v>
      </c>
      <c r="J3784" s="58" t="inlineStr">
        <is>
          <t>Online</t>
        </is>
      </c>
      <c r="K3784" s="62">
        <f>F3784*(G3784-H3784)</f>
        <v/>
      </c>
      <c r="L3784" s="62">
        <f>K3784-(F3784*I3784)</f>
        <v/>
      </c>
      <c r="M3784" s="64">
        <f>L3784/K3784</f>
        <v/>
      </c>
    </row>
    <row r="3785">
      <c r="A3785" s="58" t="inlineStr">
        <is>
          <t>RT20250408-03784</t>
        </is>
      </c>
      <c r="B3785" s="59" t="inlineStr">
        <is>
          <t>2025-04-08</t>
        </is>
      </c>
      <c r="C3785" s="60" t="inlineStr">
        <is>
          <t>Orion Snack X-322</t>
        </is>
      </c>
      <c r="D3785" s="58" t="inlineStr">
        <is>
          <t>Grocery</t>
        </is>
      </c>
      <c r="E3785" s="58" t="inlineStr">
        <is>
          <t>North</t>
        </is>
      </c>
      <c r="F3785" s="61" t="n">
        <v>4</v>
      </c>
      <c r="G3785" s="62" t="n">
        <v>16.79</v>
      </c>
      <c r="H3785" s="63" t="n">
        <v>0.047</v>
      </c>
      <c r="I3785" s="62" t="n">
        <v>10.29</v>
      </c>
      <c r="J3785" s="58" t="inlineStr">
        <is>
          <t>Store</t>
        </is>
      </c>
      <c r="K3785" s="62">
        <f>F3785*(G3785-H3785)</f>
        <v/>
      </c>
      <c r="L3785" s="62">
        <f>K3785-(F3785*I3785)</f>
        <v/>
      </c>
      <c r="M3785" s="64">
        <f>L3785/K3785</f>
        <v/>
      </c>
    </row>
    <row r="3786">
      <c r="A3786" s="58" t="inlineStr">
        <is>
          <t>RT20250408-03785</t>
        </is>
      </c>
      <c r="B3786" s="59" t="inlineStr">
        <is>
          <t>2025-04-08</t>
        </is>
      </c>
      <c r="C3786" s="60" t="inlineStr">
        <is>
          <t>Aurora Wearable Lite-162</t>
        </is>
      </c>
      <c r="D3786" s="58" t="inlineStr">
        <is>
          <t>Electronics</t>
        </is>
      </c>
      <c r="E3786" s="58" t="inlineStr">
        <is>
          <t>Central</t>
        </is>
      </c>
      <c r="F3786" s="61" t="n">
        <v>2</v>
      </c>
      <c r="G3786" s="62" t="n">
        <v>1591.2</v>
      </c>
      <c r="H3786" s="63" t="n">
        <v>0.056</v>
      </c>
      <c r="I3786" s="62" t="n">
        <v>1153.82</v>
      </c>
      <c r="J3786" s="58" t="inlineStr">
        <is>
          <t>Store</t>
        </is>
      </c>
      <c r="K3786" s="62">
        <f>F3786*(G3786-H3786)</f>
        <v/>
      </c>
      <c r="L3786" s="62">
        <f>K3786-(F3786*I3786)</f>
        <v/>
      </c>
      <c r="M3786" s="64">
        <f>L3786/K3786</f>
        <v/>
      </c>
    </row>
    <row r="3787">
      <c r="A3787" s="58" t="inlineStr">
        <is>
          <t>RT20250408-03786</t>
        </is>
      </c>
      <c r="B3787" s="59" t="inlineStr">
        <is>
          <t>2025-04-08</t>
        </is>
      </c>
      <c r="C3787" s="60" t="inlineStr">
        <is>
          <t>Falcon Household Pro-865</t>
        </is>
      </c>
      <c r="D3787" s="58" t="inlineStr">
        <is>
          <t>Grocery</t>
        </is>
      </c>
      <c r="E3787" s="58" t="inlineStr">
        <is>
          <t>Central</t>
        </is>
      </c>
      <c r="F3787" s="61" t="n">
        <v>3</v>
      </c>
      <c r="G3787" s="62" t="n">
        <v>10.48</v>
      </c>
      <c r="H3787" s="63" t="n">
        <v>0.049</v>
      </c>
      <c r="I3787" s="62" t="n">
        <v>7.59</v>
      </c>
      <c r="J3787" s="58" t="inlineStr">
        <is>
          <t>Online</t>
        </is>
      </c>
      <c r="K3787" s="62">
        <f>F3787*(G3787-H3787)</f>
        <v/>
      </c>
      <c r="L3787" s="62">
        <f>K3787-(F3787*I3787)</f>
        <v/>
      </c>
      <c r="M3787" s="64">
        <f>L3787/K3787</f>
        <v/>
      </c>
    </row>
    <row r="3788">
      <c r="A3788" s="58" t="inlineStr">
        <is>
          <t>RT20250408-03787</t>
        </is>
      </c>
      <c r="B3788" s="59" t="inlineStr">
        <is>
          <t>2025-04-08</t>
        </is>
      </c>
      <c r="C3788" s="60" t="inlineStr">
        <is>
          <t>Aurora Printer Plus-991</t>
        </is>
      </c>
      <c r="D3788" s="58" t="inlineStr">
        <is>
          <t>Office</t>
        </is>
      </c>
      <c r="E3788" s="58" t="inlineStr">
        <is>
          <t>West</t>
        </is>
      </c>
      <c r="F3788" s="61" t="n">
        <v>3</v>
      </c>
      <c r="G3788" s="62" t="n">
        <v>545.5700000000001</v>
      </c>
      <c r="H3788" s="63" t="n">
        <v>0.017</v>
      </c>
      <c r="I3788" s="62" t="n">
        <v>368.73</v>
      </c>
      <c r="J3788" s="58" t="inlineStr">
        <is>
          <t>Store</t>
        </is>
      </c>
      <c r="K3788" s="62">
        <f>F3788*(G3788-H3788)</f>
        <v/>
      </c>
      <c r="L3788" s="62">
        <f>K3788-(F3788*I3788)</f>
        <v/>
      </c>
      <c r="M3788" s="64">
        <f>L3788/K3788</f>
        <v/>
      </c>
    </row>
    <row r="3789">
      <c r="A3789" s="58" t="inlineStr">
        <is>
          <t>RT20250408-03788</t>
        </is>
      </c>
      <c r="B3789" s="59" t="inlineStr">
        <is>
          <t>2025-04-08</t>
        </is>
      </c>
      <c r="C3789" s="60" t="inlineStr">
        <is>
          <t>Vertex Fitnes Pro-830</t>
        </is>
      </c>
      <c r="D3789" s="58" t="inlineStr">
        <is>
          <t>Sports</t>
        </is>
      </c>
      <c r="E3789" s="58" t="inlineStr">
        <is>
          <t>East</t>
        </is>
      </c>
      <c r="F3789" s="61" t="n">
        <v>3</v>
      </c>
      <c r="G3789" s="62" t="n">
        <v>704.05</v>
      </c>
      <c r="H3789" s="63" t="n">
        <v>0.042</v>
      </c>
      <c r="I3789" s="62" t="n">
        <v>487.73</v>
      </c>
      <c r="J3789" s="58" t="inlineStr">
        <is>
          <t>Store</t>
        </is>
      </c>
      <c r="K3789" s="62">
        <f>F3789*(G3789-H3789)</f>
        <v/>
      </c>
      <c r="L3789" s="62">
        <f>K3789-(F3789*I3789)</f>
        <v/>
      </c>
      <c r="M3789" s="64">
        <f>L3789/K3789</f>
        <v/>
      </c>
    </row>
    <row r="3790">
      <c r="A3790" s="58" t="inlineStr">
        <is>
          <t>RT20250408-03789</t>
        </is>
      </c>
      <c r="B3790" s="59" t="inlineStr">
        <is>
          <t>2025-04-08</t>
        </is>
      </c>
      <c r="C3790" s="60" t="inlineStr">
        <is>
          <t>Vertex Decor Pro-618</t>
        </is>
      </c>
      <c r="D3790" s="58" t="inlineStr">
        <is>
          <t>Home</t>
        </is>
      </c>
      <c r="E3790" s="58" t="inlineStr">
        <is>
          <t>South</t>
        </is>
      </c>
      <c r="F3790" s="61" t="n">
        <v>1</v>
      </c>
      <c r="G3790" s="62" t="n">
        <v>598.72</v>
      </c>
      <c r="H3790" s="63" t="n">
        <v>0.08</v>
      </c>
      <c r="I3790" s="62" t="n">
        <v>380.95</v>
      </c>
      <c r="J3790" s="58" t="inlineStr">
        <is>
          <t>Store</t>
        </is>
      </c>
      <c r="K3790" s="62">
        <f>F3790*(G3790-H3790)</f>
        <v/>
      </c>
      <c r="L3790" s="62">
        <f>K3790-(F3790*I3790)</f>
        <v/>
      </c>
      <c r="M3790" s="64">
        <f>L3790/K3790</f>
        <v/>
      </c>
    </row>
    <row r="3791">
      <c r="A3791" s="58" t="inlineStr">
        <is>
          <t>RT20250408-03790</t>
        </is>
      </c>
      <c r="B3791" s="59" t="inlineStr">
        <is>
          <t>2025-04-08</t>
        </is>
      </c>
      <c r="C3791" s="60" t="inlineStr">
        <is>
          <t>Falcon Cycling Pro-499</t>
        </is>
      </c>
      <c r="D3791" s="58" t="inlineStr">
        <is>
          <t>Sports</t>
        </is>
      </c>
      <c r="E3791" s="58" t="inlineStr">
        <is>
          <t>East</t>
        </is>
      </c>
      <c r="F3791" s="61" t="n">
        <v>1</v>
      </c>
      <c r="G3791" s="62" t="n">
        <v>694.14</v>
      </c>
      <c r="H3791" s="63" t="n">
        <v>0.041</v>
      </c>
      <c r="I3791" s="62" t="n">
        <v>393.99</v>
      </c>
      <c r="J3791" s="58" t="inlineStr">
        <is>
          <t>Store</t>
        </is>
      </c>
      <c r="K3791" s="62">
        <f>F3791*(G3791-H3791)</f>
        <v/>
      </c>
      <c r="L3791" s="62">
        <f>K3791-(F3791*I3791)</f>
        <v/>
      </c>
      <c r="M3791" s="64">
        <f>L3791/K3791</f>
        <v/>
      </c>
    </row>
    <row r="3792">
      <c r="A3792" s="58" t="inlineStr">
        <is>
          <t>RT20250408-03791</t>
        </is>
      </c>
      <c r="B3792" s="59" t="inlineStr">
        <is>
          <t>2025-04-08</t>
        </is>
      </c>
      <c r="C3792" s="60" t="inlineStr">
        <is>
          <t>Metro Accessorie Lite-697</t>
        </is>
      </c>
      <c r="D3792" s="58" t="inlineStr">
        <is>
          <t>Apparel</t>
        </is>
      </c>
      <c r="E3792" s="58" t="inlineStr">
        <is>
          <t>Central</t>
        </is>
      </c>
      <c r="F3792" s="61" t="n">
        <v>2</v>
      </c>
      <c r="G3792" s="62" t="n">
        <v>142.13</v>
      </c>
      <c r="H3792" s="63" t="n">
        <v>0.054</v>
      </c>
      <c r="I3792" s="62" t="n">
        <v>73.78</v>
      </c>
      <c r="J3792" s="58" t="inlineStr">
        <is>
          <t>Store</t>
        </is>
      </c>
      <c r="K3792" s="62">
        <f>F3792*(G3792-H3792)</f>
        <v/>
      </c>
      <c r="L3792" s="62">
        <f>K3792-(F3792*I3792)</f>
        <v/>
      </c>
      <c r="M3792" s="64">
        <f>L3792/K3792</f>
        <v/>
      </c>
    </row>
    <row r="3793">
      <c r="A3793" s="58" t="inlineStr">
        <is>
          <t>RT20250409-03792</t>
        </is>
      </c>
      <c r="B3793" s="59" t="inlineStr">
        <is>
          <t>2025-04-09</t>
        </is>
      </c>
      <c r="C3793" s="60" t="inlineStr">
        <is>
          <t>Orion Kitchen Pro-568</t>
        </is>
      </c>
      <c r="D3793" s="58" t="inlineStr">
        <is>
          <t>Home</t>
        </is>
      </c>
      <c r="E3793" s="58" t="inlineStr">
        <is>
          <t>Central</t>
        </is>
      </c>
      <c r="F3793" s="61" t="n">
        <v>3</v>
      </c>
      <c r="G3793" s="62" t="n">
        <v>450.61</v>
      </c>
      <c r="H3793" s="63" t="n">
        <v>0.078</v>
      </c>
      <c r="I3793" s="62" t="n">
        <v>300.73</v>
      </c>
      <c r="J3793" s="58" t="inlineStr">
        <is>
          <t>Store</t>
        </is>
      </c>
      <c r="K3793" s="62">
        <f>F3793*(G3793-H3793)</f>
        <v/>
      </c>
      <c r="L3793" s="62">
        <f>K3793-(F3793*I3793)</f>
        <v/>
      </c>
      <c r="M3793" s="64">
        <f>L3793/K3793</f>
        <v/>
      </c>
    </row>
    <row r="3794">
      <c r="A3794" s="58" t="inlineStr">
        <is>
          <t>RT20250409-03793</t>
        </is>
      </c>
      <c r="B3794" s="59" t="inlineStr">
        <is>
          <t>2025-04-09</t>
        </is>
      </c>
      <c r="C3794" s="60" t="inlineStr">
        <is>
          <t>Orion Kid Max-640</t>
        </is>
      </c>
      <c r="D3794" s="58" t="inlineStr">
        <is>
          <t>Apparel</t>
        </is>
      </c>
      <c r="E3794" s="58" t="inlineStr">
        <is>
          <t>Central</t>
        </is>
      </c>
      <c r="F3794" s="61" t="n">
        <v>4</v>
      </c>
      <c r="G3794" s="62" t="n">
        <v>126.2</v>
      </c>
      <c r="H3794" s="63" t="n">
        <v>0.018</v>
      </c>
      <c r="I3794" s="62" t="n">
        <v>71.43000000000001</v>
      </c>
      <c r="J3794" s="58" t="inlineStr">
        <is>
          <t>Online</t>
        </is>
      </c>
      <c r="K3794" s="62">
        <f>F3794*(G3794-H3794)</f>
        <v/>
      </c>
      <c r="L3794" s="62">
        <f>K3794-(F3794*I3794)</f>
        <v/>
      </c>
      <c r="M3794" s="64">
        <f>L3794/K3794</f>
        <v/>
      </c>
    </row>
    <row r="3795">
      <c r="A3795" s="58" t="inlineStr">
        <is>
          <t>RT20250409-03794</t>
        </is>
      </c>
      <c r="B3795" s="59" t="inlineStr">
        <is>
          <t>2025-04-09</t>
        </is>
      </c>
      <c r="C3795" s="60" t="inlineStr">
        <is>
          <t>Polar Decor X-935</t>
        </is>
      </c>
      <c r="D3795" s="58" t="inlineStr">
        <is>
          <t>Home</t>
        </is>
      </c>
      <c r="E3795" s="58" t="inlineStr">
        <is>
          <t>West</t>
        </is>
      </c>
      <c r="F3795" s="61" t="n">
        <v>1</v>
      </c>
      <c r="G3795" s="62" t="n">
        <v>289.89</v>
      </c>
      <c r="H3795" s="63" t="n">
        <v>0.062</v>
      </c>
      <c r="I3795" s="62" t="n">
        <v>205.92</v>
      </c>
      <c r="J3795" s="58" t="inlineStr">
        <is>
          <t>Store</t>
        </is>
      </c>
      <c r="K3795" s="62">
        <f>F3795*(G3795-H3795)</f>
        <v/>
      </c>
      <c r="L3795" s="62">
        <f>K3795-(F3795*I3795)</f>
        <v/>
      </c>
      <c r="M3795" s="64">
        <f>L3795/K3795</f>
        <v/>
      </c>
    </row>
    <row r="3796">
      <c r="A3796" s="58" t="inlineStr">
        <is>
          <t>RT20250409-03795</t>
        </is>
      </c>
      <c r="B3796" s="59" t="inlineStr">
        <is>
          <t>2025-04-09</t>
        </is>
      </c>
      <c r="C3796" s="60" t="inlineStr">
        <is>
          <t>Aurora Fitnes Lite-194</t>
        </is>
      </c>
      <c r="D3796" s="58" t="inlineStr">
        <is>
          <t>Sports</t>
        </is>
      </c>
      <c r="E3796" s="58" t="inlineStr">
        <is>
          <t>East</t>
        </is>
      </c>
      <c r="F3796" s="61" t="n">
        <v>3</v>
      </c>
      <c r="G3796" s="62" t="n">
        <v>710.71</v>
      </c>
      <c r="H3796" s="63" t="n">
        <v>0.059</v>
      </c>
      <c r="I3796" s="62" t="n">
        <v>464.78</v>
      </c>
      <c r="J3796" s="58" t="inlineStr">
        <is>
          <t>Online</t>
        </is>
      </c>
      <c r="K3796" s="62">
        <f>F3796*(G3796-H3796)</f>
        <v/>
      </c>
      <c r="L3796" s="62">
        <f>K3796-(F3796*I3796)</f>
        <v/>
      </c>
      <c r="M3796" s="64">
        <f>L3796/K3796</f>
        <v/>
      </c>
    </row>
    <row r="3797">
      <c r="A3797" s="58" t="inlineStr">
        <is>
          <t>RT20250409-03796</t>
        </is>
      </c>
      <c r="B3797" s="59" t="inlineStr">
        <is>
          <t>2025-04-09</t>
        </is>
      </c>
      <c r="C3797" s="60" t="inlineStr">
        <is>
          <t>Polar Fragrance Pro-750</t>
        </is>
      </c>
      <c r="D3797" s="58" t="inlineStr">
        <is>
          <t>Beauty</t>
        </is>
      </c>
      <c r="E3797" s="58" t="inlineStr">
        <is>
          <t>South</t>
        </is>
      </c>
      <c r="F3797" s="61" t="n">
        <v>1</v>
      </c>
      <c r="G3797" s="62" t="n">
        <v>63.04</v>
      </c>
      <c r="H3797" s="63" t="n">
        <v>0.058</v>
      </c>
      <c r="I3797" s="62" t="n">
        <v>37.65</v>
      </c>
      <c r="J3797" s="58" t="inlineStr">
        <is>
          <t>Store</t>
        </is>
      </c>
      <c r="K3797" s="62">
        <f>F3797*(G3797-H3797)</f>
        <v/>
      </c>
      <c r="L3797" s="62">
        <f>K3797-(F3797*I3797)</f>
        <v/>
      </c>
      <c r="M3797" s="64">
        <f>L3797/K3797</f>
        <v/>
      </c>
    </row>
    <row r="3798">
      <c r="A3798" s="58" t="inlineStr">
        <is>
          <t>RT20250409-03797</t>
        </is>
      </c>
      <c r="B3798" s="59" t="inlineStr">
        <is>
          <t>2025-04-09</t>
        </is>
      </c>
      <c r="C3798" s="60" t="inlineStr">
        <is>
          <t>Orion Haircare Plus-887</t>
        </is>
      </c>
      <c r="D3798" s="58" t="inlineStr">
        <is>
          <t>Beauty</t>
        </is>
      </c>
      <c r="E3798" s="58" t="inlineStr">
        <is>
          <t>West</t>
        </is>
      </c>
      <c r="F3798" s="61" t="n">
        <v>4</v>
      </c>
      <c r="G3798" s="62" t="n">
        <v>42.64</v>
      </c>
      <c r="H3798" s="63" t="n">
        <v>0.056</v>
      </c>
      <c r="I3798" s="62" t="n">
        <v>30.68</v>
      </c>
      <c r="J3798" s="58" t="inlineStr">
        <is>
          <t>Online</t>
        </is>
      </c>
      <c r="K3798" s="62">
        <f>F3798*(G3798-H3798)</f>
        <v/>
      </c>
      <c r="L3798" s="62">
        <f>K3798-(F3798*I3798)</f>
        <v/>
      </c>
      <c r="M3798" s="64">
        <f>L3798/K3798</f>
        <v/>
      </c>
    </row>
    <row r="3799">
      <c r="A3799" s="58" t="inlineStr">
        <is>
          <t>RT20250409-03798</t>
        </is>
      </c>
      <c r="B3799" s="59" t="inlineStr">
        <is>
          <t>2025-04-09</t>
        </is>
      </c>
      <c r="C3799" s="60" t="inlineStr">
        <is>
          <t>Orion Beverage Plus-949</t>
        </is>
      </c>
      <c r="D3799" s="58" t="inlineStr">
        <is>
          <t>Grocery</t>
        </is>
      </c>
      <c r="E3799" s="58" t="inlineStr">
        <is>
          <t>West</t>
        </is>
      </c>
      <c r="F3799" s="61" t="n">
        <v>4</v>
      </c>
      <c r="G3799" s="62" t="n">
        <v>18.11</v>
      </c>
      <c r="H3799" s="63" t="n">
        <v>0.037</v>
      </c>
      <c r="I3799" s="62" t="n">
        <v>13.81</v>
      </c>
      <c r="J3799" s="58" t="inlineStr">
        <is>
          <t>Store</t>
        </is>
      </c>
      <c r="K3799" s="62">
        <f>F3799*(G3799-H3799)</f>
        <v/>
      </c>
      <c r="L3799" s="62">
        <f>K3799-(F3799*I3799)</f>
        <v/>
      </c>
      <c r="M3799" s="64">
        <f>L3799/K3799</f>
        <v/>
      </c>
    </row>
    <row r="3800">
      <c r="A3800" s="58" t="inlineStr">
        <is>
          <t>RT20250409-03799</t>
        </is>
      </c>
      <c r="B3800" s="59" t="inlineStr">
        <is>
          <t>2025-04-09</t>
        </is>
      </c>
      <c r="C3800" s="60" t="inlineStr">
        <is>
          <t>Vertex Smartphone Lite-267</t>
        </is>
      </c>
      <c r="D3800" s="58" t="inlineStr">
        <is>
          <t>Electronics</t>
        </is>
      </c>
      <c r="E3800" s="58" t="inlineStr">
        <is>
          <t>North</t>
        </is>
      </c>
      <c r="F3800" s="61" t="n">
        <v>1</v>
      </c>
      <c r="G3800" s="62" t="n">
        <v>1073.38</v>
      </c>
      <c r="H3800" s="63" t="n">
        <v>0.011</v>
      </c>
      <c r="I3800" s="62" t="n">
        <v>995.25</v>
      </c>
      <c r="J3800" s="58" t="inlineStr">
        <is>
          <t>Online</t>
        </is>
      </c>
      <c r="K3800" s="62">
        <f>F3800*(G3800-H3800)</f>
        <v/>
      </c>
      <c r="L3800" s="62">
        <f>K3800-(F3800*I3800)</f>
        <v/>
      </c>
      <c r="M3800" s="64">
        <f>L3800/K3800</f>
        <v/>
      </c>
    </row>
    <row r="3801">
      <c r="A3801" s="58" t="inlineStr">
        <is>
          <t>RT20250409-03800</t>
        </is>
      </c>
      <c r="B3801" s="59" t="inlineStr">
        <is>
          <t>2025-04-09</t>
        </is>
      </c>
      <c r="C3801" s="60" t="inlineStr">
        <is>
          <t>Vertex Appliance Max-338</t>
        </is>
      </c>
      <c r="D3801" s="58" t="inlineStr">
        <is>
          <t>Home</t>
        </is>
      </c>
      <c r="E3801" s="58" t="inlineStr">
        <is>
          <t>Central</t>
        </is>
      </c>
      <c r="F3801" s="61" t="n">
        <v>3</v>
      </c>
      <c r="G3801" s="62" t="n">
        <v>436.68</v>
      </c>
      <c r="H3801" s="63" t="n">
        <v>0.067</v>
      </c>
      <c r="I3801" s="62" t="n">
        <v>283.2</v>
      </c>
      <c r="J3801" s="58" t="inlineStr">
        <is>
          <t>Store</t>
        </is>
      </c>
      <c r="K3801" s="62">
        <f>F3801*(G3801-H3801)</f>
        <v/>
      </c>
      <c r="L3801" s="62">
        <f>K3801-(F3801*I3801)</f>
        <v/>
      </c>
      <c r="M3801" s="64">
        <f>L3801/K3801</f>
        <v/>
      </c>
    </row>
    <row r="3802">
      <c r="A3802" s="58" t="inlineStr">
        <is>
          <t>RT20250409-03801</t>
        </is>
      </c>
      <c r="B3802" s="59" t="inlineStr">
        <is>
          <t>2025-04-09</t>
        </is>
      </c>
      <c r="C3802" s="60" t="inlineStr">
        <is>
          <t>Polar Women Max-927</t>
        </is>
      </c>
      <c r="D3802" s="58" t="inlineStr">
        <is>
          <t>Apparel</t>
        </is>
      </c>
      <c r="E3802" s="58" t="inlineStr">
        <is>
          <t>West</t>
        </is>
      </c>
      <c r="F3802" s="61" t="n">
        <v>4</v>
      </c>
      <c r="G3802" s="62" t="n">
        <v>118.33</v>
      </c>
      <c r="H3802" s="63" t="n">
        <v>0.012</v>
      </c>
      <c r="I3802" s="62" t="n">
        <v>67.12</v>
      </c>
      <c r="J3802" s="58" t="inlineStr">
        <is>
          <t>Online</t>
        </is>
      </c>
      <c r="K3802" s="62">
        <f>F3802*(G3802-H3802)</f>
        <v/>
      </c>
      <c r="L3802" s="62">
        <f>K3802-(F3802*I3802)</f>
        <v/>
      </c>
      <c r="M3802" s="64">
        <f>L3802/K3802</f>
        <v/>
      </c>
    </row>
    <row r="3803">
      <c r="A3803" s="58" t="inlineStr">
        <is>
          <t>RT20250409-03802</t>
        </is>
      </c>
      <c r="B3803" s="59" t="inlineStr">
        <is>
          <t>2025-04-09</t>
        </is>
      </c>
      <c r="C3803" s="60" t="inlineStr">
        <is>
          <t>Nimbus Furniture Pro-479</t>
        </is>
      </c>
      <c r="D3803" s="58" t="inlineStr">
        <is>
          <t>Office</t>
        </is>
      </c>
      <c r="E3803" s="58" t="inlineStr">
        <is>
          <t>North</t>
        </is>
      </c>
      <c r="F3803" s="61" t="n">
        <v>3</v>
      </c>
      <c r="G3803" s="62" t="n">
        <v>374.43</v>
      </c>
      <c r="H3803" s="63" t="n">
        <v>0.06</v>
      </c>
      <c r="I3803" s="62" t="n">
        <v>236.37</v>
      </c>
      <c r="J3803" s="58" t="inlineStr">
        <is>
          <t>Store</t>
        </is>
      </c>
      <c r="K3803" s="62">
        <f>F3803*(G3803-H3803)</f>
        <v/>
      </c>
      <c r="L3803" s="62">
        <f>K3803-(F3803*I3803)</f>
        <v/>
      </c>
      <c r="M3803" s="64">
        <f>L3803/K3803</f>
        <v/>
      </c>
    </row>
    <row r="3804">
      <c r="A3804" s="58" t="inlineStr">
        <is>
          <t>RT20250409-03803</t>
        </is>
      </c>
      <c r="B3804" s="59" t="inlineStr">
        <is>
          <t>2025-04-09</t>
        </is>
      </c>
      <c r="C3804" s="60" t="inlineStr">
        <is>
          <t>Falcon Household Pro-865</t>
        </is>
      </c>
      <c r="D3804" s="58" t="inlineStr">
        <is>
          <t>Grocery</t>
        </is>
      </c>
      <c r="E3804" s="58" t="inlineStr">
        <is>
          <t>West</t>
        </is>
      </c>
      <c r="F3804" s="61" t="n">
        <v>1</v>
      </c>
      <c r="G3804" s="62" t="n">
        <v>10.36</v>
      </c>
      <c r="H3804" s="63" t="n">
        <v>0.002</v>
      </c>
      <c r="I3804" s="62" t="n">
        <v>7.72</v>
      </c>
      <c r="J3804" s="58" t="inlineStr">
        <is>
          <t>Online</t>
        </is>
      </c>
      <c r="K3804" s="62">
        <f>F3804*(G3804-H3804)</f>
        <v/>
      </c>
      <c r="L3804" s="62">
        <f>K3804-(F3804*I3804)</f>
        <v/>
      </c>
      <c r="M3804" s="64">
        <f>L3804/K3804</f>
        <v/>
      </c>
    </row>
    <row r="3805">
      <c r="A3805" s="58" t="inlineStr">
        <is>
          <t>RT20250410-03804</t>
        </is>
      </c>
      <c r="B3805" s="59" t="inlineStr">
        <is>
          <t>2025-04-10</t>
        </is>
      </c>
      <c r="C3805" s="60" t="inlineStr">
        <is>
          <t>Solace Smartphone Lite-533</t>
        </is>
      </c>
      <c r="D3805" s="58" t="inlineStr">
        <is>
          <t>Electronics</t>
        </is>
      </c>
      <c r="E3805" s="58" t="inlineStr">
        <is>
          <t>North</t>
        </is>
      </c>
      <c r="F3805" s="61" t="n">
        <v>2</v>
      </c>
      <c r="G3805" s="62" t="n">
        <v>1211.67</v>
      </c>
      <c r="H3805" s="63" t="n">
        <v>0.07099999999999999</v>
      </c>
      <c r="I3805" s="62" t="n">
        <v>910.09</v>
      </c>
      <c r="J3805" s="58" t="inlineStr">
        <is>
          <t>Online</t>
        </is>
      </c>
      <c r="K3805" s="62">
        <f>F3805*(G3805-H3805)</f>
        <v/>
      </c>
      <c r="L3805" s="62">
        <f>K3805-(F3805*I3805)</f>
        <v/>
      </c>
      <c r="M3805" s="64">
        <f>L3805/K3805</f>
        <v/>
      </c>
    </row>
    <row r="3806">
      <c r="A3806" s="58" t="inlineStr">
        <is>
          <t>RT20250410-03805</t>
        </is>
      </c>
      <c r="B3806" s="59" t="inlineStr">
        <is>
          <t>2025-04-10</t>
        </is>
      </c>
      <c r="C3806" s="60" t="inlineStr">
        <is>
          <t>Falcon Household Pro-865</t>
        </is>
      </c>
      <c r="D3806" s="58" t="inlineStr">
        <is>
          <t>Grocery</t>
        </is>
      </c>
      <c r="E3806" s="58" t="inlineStr">
        <is>
          <t>East</t>
        </is>
      </c>
      <c r="F3806" s="61" t="n">
        <v>6</v>
      </c>
      <c r="G3806" s="62" t="n">
        <v>10.43</v>
      </c>
      <c r="H3806" s="63" t="n">
        <v>0.082</v>
      </c>
      <c r="I3806" s="62" t="n">
        <v>7.81</v>
      </c>
      <c r="J3806" s="58" t="inlineStr">
        <is>
          <t>Store</t>
        </is>
      </c>
      <c r="K3806" s="62">
        <f>F3806*(G3806-H3806)</f>
        <v/>
      </c>
      <c r="L3806" s="62">
        <f>K3806-(F3806*I3806)</f>
        <v/>
      </c>
      <c r="M3806" s="64">
        <f>L3806/K3806</f>
        <v/>
      </c>
    </row>
    <row r="3807">
      <c r="A3807" s="58" t="inlineStr">
        <is>
          <t>RT20250410-03806</t>
        </is>
      </c>
      <c r="B3807" s="59" t="inlineStr">
        <is>
          <t>2025-04-10</t>
        </is>
      </c>
      <c r="C3807" s="60" t="inlineStr">
        <is>
          <t>Metro Accessorie Max-316</t>
        </is>
      </c>
      <c r="D3807" s="58" t="inlineStr">
        <is>
          <t>Apparel</t>
        </is>
      </c>
      <c r="E3807" s="58" t="inlineStr">
        <is>
          <t>Central</t>
        </is>
      </c>
      <c r="F3807" s="61" t="n">
        <v>1</v>
      </c>
      <c r="G3807" s="62" t="n">
        <v>165.11</v>
      </c>
      <c r="H3807" s="63" t="n">
        <v>0.056</v>
      </c>
      <c r="I3807" s="62" t="n">
        <v>93.31</v>
      </c>
      <c r="J3807" s="58" t="inlineStr">
        <is>
          <t>Store</t>
        </is>
      </c>
      <c r="K3807" s="62">
        <f>F3807*(G3807-H3807)</f>
        <v/>
      </c>
      <c r="L3807" s="62">
        <f>K3807-(F3807*I3807)</f>
        <v/>
      </c>
      <c r="M3807" s="64">
        <f>L3807/K3807</f>
        <v/>
      </c>
    </row>
    <row r="3808">
      <c r="A3808" s="58" t="inlineStr">
        <is>
          <t>RT20250410-03807</t>
        </is>
      </c>
      <c r="B3808" s="59" t="inlineStr">
        <is>
          <t>2025-04-10</t>
        </is>
      </c>
      <c r="C3808" s="60" t="inlineStr">
        <is>
          <t>Orion Storage Plus-961</t>
        </is>
      </c>
      <c r="D3808" s="58" t="inlineStr">
        <is>
          <t>Office</t>
        </is>
      </c>
      <c r="E3808" s="58" t="inlineStr">
        <is>
          <t>North</t>
        </is>
      </c>
      <c r="F3808" s="61" t="n">
        <v>2</v>
      </c>
      <c r="G3808" s="62" t="n">
        <v>534.09</v>
      </c>
      <c r="H3808" s="63" t="n">
        <v>0.057</v>
      </c>
      <c r="I3808" s="62" t="n">
        <v>368.17</v>
      </c>
      <c r="J3808" s="58" t="inlineStr">
        <is>
          <t>Online</t>
        </is>
      </c>
      <c r="K3808" s="62">
        <f>F3808*(G3808-H3808)</f>
        <v/>
      </c>
      <c r="L3808" s="62">
        <f>K3808-(F3808*I3808)</f>
        <v/>
      </c>
      <c r="M3808" s="64">
        <f>L3808/K3808</f>
        <v/>
      </c>
    </row>
    <row r="3809">
      <c r="A3809" s="58" t="inlineStr">
        <is>
          <t>RT20250410-03808</t>
        </is>
      </c>
      <c r="B3809" s="59" t="inlineStr">
        <is>
          <t>2025-04-10</t>
        </is>
      </c>
      <c r="C3809" s="60" t="inlineStr">
        <is>
          <t>Polar Beverage S-258</t>
        </is>
      </c>
      <c r="D3809" s="58" t="inlineStr">
        <is>
          <t>Grocery</t>
        </is>
      </c>
      <c r="E3809" s="58" t="inlineStr">
        <is>
          <t>West</t>
        </is>
      </c>
      <c r="F3809" s="61" t="n">
        <v>7</v>
      </c>
      <c r="G3809" s="62" t="n">
        <v>12.78</v>
      </c>
      <c r="H3809" s="63" t="n">
        <v>0.111</v>
      </c>
      <c r="I3809" s="62" t="n">
        <v>9.58</v>
      </c>
      <c r="J3809" s="58" t="inlineStr">
        <is>
          <t>Store</t>
        </is>
      </c>
      <c r="K3809" s="62">
        <f>F3809*(G3809-H3809)</f>
        <v/>
      </c>
      <c r="L3809" s="62">
        <f>K3809-(F3809*I3809)</f>
        <v/>
      </c>
      <c r="M3809" s="64">
        <f>L3809/K3809</f>
        <v/>
      </c>
    </row>
    <row r="3810">
      <c r="A3810" s="58" t="inlineStr">
        <is>
          <t>RT20250410-03809</t>
        </is>
      </c>
      <c r="B3810" s="59" t="inlineStr">
        <is>
          <t>2025-04-10</t>
        </is>
      </c>
      <c r="C3810" s="60" t="inlineStr">
        <is>
          <t>Metro Pantry X-710</t>
        </is>
      </c>
      <c r="D3810" s="58" t="inlineStr">
        <is>
          <t>Grocery</t>
        </is>
      </c>
      <c r="E3810" s="58" t="inlineStr">
        <is>
          <t>East</t>
        </is>
      </c>
      <c r="F3810" s="61" t="n">
        <v>6</v>
      </c>
      <c r="G3810" s="62" t="n">
        <v>5.6</v>
      </c>
      <c r="H3810" s="63" t="n">
        <v>0.053</v>
      </c>
      <c r="I3810" s="62" t="n">
        <v>4.17</v>
      </c>
      <c r="J3810" s="58" t="inlineStr">
        <is>
          <t>Online</t>
        </is>
      </c>
      <c r="K3810" s="62">
        <f>F3810*(G3810-H3810)</f>
        <v/>
      </c>
      <c r="L3810" s="62">
        <f>K3810-(F3810*I3810)</f>
        <v/>
      </c>
      <c r="M3810" s="64">
        <f>L3810/K3810</f>
        <v/>
      </c>
    </row>
    <row r="3811">
      <c r="A3811" s="58" t="inlineStr">
        <is>
          <t>RT20250410-03810</t>
        </is>
      </c>
      <c r="B3811" s="59" t="inlineStr">
        <is>
          <t>2025-04-10</t>
        </is>
      </c>
      <c r="C3811" s="60" t="inlineStr">
        <is>
          <t>Orion Kid Max-864</t>
        </is>
      </c>
      <c r="D3811" s="58" t="inlineStr">
        <is>
          <t>Apparel</t>
        </is>
      </c>
      <c r="E3811" s="58" t="inlineStr">
        <is>
          <t>South</t>
        </is>
      </c>
      <c r="F3811" s="61" t="n">
        <v>4</v>
      </c>
      <c r="G3811" s="62" t="n">
        <v>79.02</v>
      </c>
      <c r="H3811" s="63" t="n">
        <v>0.07099999999999999</v>
      </c>
      <c r="I3811" s="62" t="n">
        <v>45.17</v>
      </c>
      <c r="J3811" s="58" t="inlineStr">
        <is>
          <t>Online</t>
        </is>
      </c>
      <c r="K3811" s="62">
        <f>F3811*(G3811-H3811)</f>
        <v/>
      </c>
      <c r="L3811" s="62">
        <f>K3811-(F3811*I3811)</f>
        <v/>
      </c>
      <c r="M3811" s="64">
        <f>L3811/K3811</f>
        <v/>
      </c>
    </row>
    <row r="3812">
      <c r="A3812" s="58" t="inlineStr">
        <is>
          <t>RT20250410-03811</t>
        </is>
      </c>
      <c r="B3812" s="59" t="inlineStr">
        <is>
          <t>2025-04-10</t>
        </is>
      </c>
      <c r="C3812" s="60" t="inlineStr">
        <is>
          <t>Metro Fragrance Lite-261</t>
        </is>
      </c>
      <c r="D3812" s="58" t="inlineStr">
        <is>
          <t>Beauty</t>
        </is>
      </c>
      <c r="E3812" s="58" t="inlineStr">
        <is>
          <t>North</t>
        </is>
      </c>
      <c r="F3812" s="61" t="n">
        <v>1</v>
      </c>
      <c r="G3812" s="62" t="n">
        <v>87.52</v>
      </c>
      <c r="H3812" s="63" t="n">
        <v>0.073</v>
      </c>
      <c r="I3812" s="62" t="n">
        <v>55.83</v>
      </c>
      <c r="J3812" s="58" t="inlineStr">
        <is>
          <t>Online</t>
        </is>
      </c>
      <c r="K3812" s="62">
        <f>F3812*(G3812-H3812)</f>
        <v/>
      </c>
      <c r="L3812" s="62">
        <f>K3812-(F3812*I3812)</f>
        <v/>
      </c>
      <c r="M3812" s="64">
        <f>L3812/K3812</f>
        <v/>
      </c>
    </row>
    <row r="3813">
      <c r="A3813" s="58" t="inlineStr">
        <is>
          <t>RT20250410-03812</t>
        </is>
      </c>
      <c r="B3813" s="59" t="inlineStr">
        <is>
          <t>2025-04-10</t>
        </is>
      </c>
      <c r="C3813" s="60" t="inlineStr">
        <is>
          <t>Metro Beverage Max-490</t>
        </is>
      </c>
      <c r="D3813" s="58" t="inlineStr">
        <is>
          <t>Grocery</t>
        </is>
      </c>
      <c r="E3813" s="58" t="inlineStr">
        <is>
          <t>East</t>
        </is>
      </c>
      <c r="F3813" s="61" t="n">
        <v>3</v>
      </c>
      <c r="G3813" s="62" t="n">
        <v>11.42</v>
      </c>
      <c r="H3813" s="63" t="n">
        <v>0.049</v>
      </c>
      <c r="I3813" s="62" t="n">
        <v>8.34</v>
      </c>
      <c r="J3813" s="58" t="inlineStr">
        <is>
          <t>Online</t>
        </is>
      </c>
      <c r="K3813" s="62">
        <f>F3813*(G3813-H3813)</f>
        <v/>
      </c>
      <c r="L3813" s="62">
        <f>K3813-(F3813*I3813)</f>
        <v/>
      </c>
      <c r="M3813" s="64">
        <f>L3813/K3813</f>
        <v/>
      </c>
    </row>
    <row r="3814">
      <c r="A3814" s="58" t="inlineStr">
        <is>
          <t>RT20250410-03813</t>
        </is>
      </c>
      <c r="B3814" s="59" t="inlineStr">
        <is>
          <t>2025-04-10</t>
        </is>
      </c>
      <c r="C3814" s="60" t="inlineStr">
        <is>
          <t>Polar Snack Pro-641</t>
        </is>
      </c>
      <c r="D3814" s="58" t="inlineStr">
        <is>
          <t>Grocery</t>
        </is>
      </c>
      <c r="E3814" s="58" t="inlineStr">
        <is>
          <t>North</t>
        </is>
      </c>
      <c r="F3814" s="61" t="n">
        <v>1</v>
      </c>
      <c r="G3814" s="62" t="n">
        <v>12.61</v>
      </c>
      <c r="H3814" s="63" t="n">
        <v>0.063</v>
      </c>
      <c r="I3814" s="62" t="n">
        <v>9.5</v>
      </c>
      <c r="J3814" s="58" t="inlineStr">
        <is>
          <t>Online</t>
        </is>
      </c>
      <c r="K3814" s="62">
        <f>F3814*(G3814-H3814)</f>
        <v/>
      </c>
      <c r="L3814" s="62">
        <f>K3814-(F3814*I3814)</f>
        <v/>
      </c>
      <c r="M3814" s="64">
        <f>L3814/K3814</f>
        <v/>
      </c>
    </row>
    <row r="3815">
      <c r="A3815" s="58" t="inlineStr">
        <is>
          <t>RT20250410-03814</t>
        </is>
      </c>
      <c r="B3815" s="59" t="inlineStr">
        <is>
          <t>2025-04-10</t>
        </is>
      </c>
      <c r="C3815" s="60" t="inlineStr">
        <is>
          <t>Vertex Men X-995</t>
        </is>
      </c>
      <c r="D3815" s="58" t="inlineStr">
        <is>
          <t>Apparel</t>
        </is>
      </c>
      <c r="E3815" s="58" t="inlineStr">
        <is>
          <t>South</t>
        </is>
      </c>
      <c r="F3815" s="61" t="n">
        <v>3</v>
      </c>
      <c r="G3815" s="62" t="n">
        <v>88.68000000000001</v>
      </c>
      <c r="H3815" s="63" t="n">
        <v>0.118</v>
      </c>
      <c r="I3815" s="62" t="n">
        <v>59.63</v>
      </c>
      <c r="J3815" s="58" t="inlineStr">
        <is>
          <t>Online</t>
        </is>
      </c>
      <c r="K3815" s="62">
        <f>F3815*(G3815-H3815)</f>
        <v/>
      </c>
      <c r="L3815" s="62">
        <f>K3815-(F3815*I3815)</f>
        <v/>
      </c>
      <c r="M3815" s="64">
        <f>L3815/K3815</f>
        <v/>
      </c>
    </row>
    <row r="3816">
      <c r="A3816" s="58" t="inlineStr">
        <is>
          <t>RT20250410-03815</t>
        </is>
      </c>
      <c r="B3816" s="59" t="inlineStr">
        <is>
          <t>2025-04-10</t>
        </is>
      </c>
      <c r="C3816" s="60" t="inlineStr">
        <is>
          <t>Polar Wearable X-119</t>
        </is>
      </c>
      <c r="D3816" s="58" t="inlineStr">
        <is>
          <t>Electronics</t>
        </is>
      </c>
      <c r="E3816" s="58" t="inlineStr">
        <is>
          <t>Central</t>
        </is>
      </c>
      <c r="F3816" s="61" t="n">
        <v>1</v>
      </c>
      <c r="G3816" s="62" t="n">
        <v>1799.25</v>
      </c>
      <c r="H3816" s="63" t="n">
        <v>0.038</v>
      </c>
      <c r="I3816" s="62" t="n">
        <v>1296.81</v>
      </c>
      <c r="J3816" s="58" t="inlineStr">
        <is>
          <t>Store</t>
        </is>
      </c>
      <c r="K3816" s="62">
        <f>F3816*(G3816-H3816)</f>
        <v/>
      </c>
      <c r="L3816" s="62">
        <f>K3816-(F3816*I3816)</f>
        <v/>
      </c>
      <c r="M3816" s="64">
        <f>L3816/K3816</f>
        <v/>
      </c>
    </row>
    <row r="3817">
      <c r="A3817" s="58" t="inlineStr">
        <is>
          <t>RT20250410-03816</t>
        </is>
      </c>
      <c r="B3817" s="59" t="inlineStr">
        <is>
          <t>2025-04-10</t>
        </is>
      </c>
      <c r="C3817" s="60" t="inlineStr">
        <is>
          <t>Solace Kid S-384</t>
        </is>
      </c>
      <c r="D3817" s="58" t="inlineStr">
        <is>
          <t>Apparel</t>
        </is>
      </c>
      <c r="E3817" s="58" t="inlineStr">
        <is>
          <t>South</t>
        </is>
      </c>
      <c r="F3817" s="61" t="n">
        <v>2</v>
      </c>
      <c r="G3817" s="62" t="n">
        <v>102.08</v>
      </c>
      <c r="H3817" s="63" t="n">
        <v>0.118</v>
      </c>
      <c r="I3817" s="62" t="n">
        <v>64.52</v>
      </c>
      <c r="J3817" s="58" t="inlineStr">
        <is>
          <t>Online</t>
        </is>
      </c>
      <c r="K3817" s="62">
        <f>F3817*(G3817-H3817)</f>
        <v/>
      </c>
      <c r="L3817" s="62">
        <f>K3817-(F3817*I3817)</f>
        <v/>
      </c>
      <c r="M3817" s="64">
        <f>L3817/K3817</f>
        <v/>
      </c>
    </row>
    <row r="3818">
      <c r="A3818" s="58" t="inlineStr">
        <is>
          <t>RT20250410-03817</t>
        </is>
      </c>
      <c r="B3818" s="59" t="inlineStr">
        <is>
          <t>2025-04-10</t>
        </is>
      </c>
      <c r="C3818" s="60" t="inlineStr">
        <is>
          <t>Orion Supplie S-612</t>
        </is>
      </c>
      <c r="D3818" s="58" t="inlineStr">
        <is>
          <t>Office</t>
        </is>
      </c>
      <c r="E3818" s="58" t="inlineStr">
        <is>
          <t>West</t>
        </is>
      </c>
      <c r="F3818" s="61" t="n">
        <v>3</v>
      </c>
      <c r="G3818" s="62" t="n">
        <v>533.3200000000001</v>
      </c>
      <c r="H3818" s="63" t="n">
        <v>0.044</v>
      </c>
      <c r="I3818" s="62" t="n">
        <v>339.9</v>
      </c>
      <c r="J3818" s="58" t="inlineStr">
        <is>
          <t>Online</t>
        </is>
      </c>
      <c r="K3818" s="62">
        <f>F3818*(G3818-H3818)</f>
        <v/>
      </c>
      <c r="L3818" s="62">
        <f>K3818-(F3818*I3818)</f>
        <v/>
      </c>
      <c r="M3818" s="64">
        <f>L3818/K3818</f>
        <v/>
      </c>
    </row>
    <row r="3819">
      <c r="A3819" s="58" t="inlineStr">
        <is>
          <t>RT20250410-03818</t>
        </is>
      </c>
      <c r="B3819" s="59" t="inlineStr">
        <is>
          <t>2025-04-10</t>
        </is>
      </c>
      <c r="C3819" s="60" t="inlineStr">
        <is>
          <t>Solace Fitnes S-324</t>
        </is>
      </c>
      <c r="D3819" s="58" t="inlineStr">
        <is>
          <t>Sports</t>
        </is>
      </c>
      <c r="E3819" s="58" t="inlineStr">
        <is>
          <t>East</t>
        </is>
      </c>
      <c r="F3819" s="61" t="n">
        <v>3</v>
      </c>
      <c r="G3819" s="62" t="n">
        <v>756.58</v>
      </c>
      <c r="H3819" s="63" t="n">
        <v>0.093</v>
      </c>
      <c r="I3819" s="62" t="n">
        <v>537.26</v>
      </c>
      <c r="J3819" s="58" t="inlineStr">
        <is>
          <t>Online</t>
        </is>
      </c>
      <c r="K3819" s="62">
        <f>F3819*(G3819-H3819)</f>
        <v/>
      </c>
      <c r="L3819" s="62">
        <f>K3819-(F3819*I3819)</f>
        <v/>
      </c>
      <c r="M3819" s="64">
        <f>L3819/K3819</f>
        <v/>
      </c>
    </row>
    <row r="3820">
      <c r="A3820" s="58" t="inlineStr">
        <is>
          <t>RT20250410-03819</t>
        </is>
      </c>
      <c r="B3820" s="59" t="inlineStr">
        <is>
          <t>2025-04-10</t>
        </is>
      </c>
      <c r="C3820" s="60" t="inlineStr">
        <is>
          <t>Vertex Furniture S-652</t>
        </is>
      </c>
      <c r="D3820" s="58" t="inlineStr">
        <is>
          <t>Office</t>
        </is>
      </c>
      <c r="E3820" s="58" t="inlineStr">
        <is>
          <t>Central</t>
        </is>
      </c>
      <c r="F3820" s="61" t="n">
        <v>1</v>
      </c>
      <c r="G3820" s="62" t="n">
        <v>371</v>
      </c>
      <c r="H3820" s="63" t="n">
        <v>0.015</v>
      </c>
      <c r="I3820" s="62" t="n">
        <v>264.32</v>
      </c>
      <c r="J3820" s="58" t="inlineStr">
        <is>
          <t>Online</t>
        </is>
      </c>
      <c r="K3820" s="62">
        <f>F3820*(G3820-H3820)</f>
        <v/>
      </c>
      <c r="L3820" s="62">
        <f>K3820-(F3820*I3820)</f>
        <v/>
      </c>
      <c r="M3820" s="64">
        <f>L3820/K3820</f>
        <v/>
      </c>
    </row>
    <row r="3821">
      <c r="A3821" s="58" t="inlineStr">
        <is>
          <t>RT20250410-03820</t>
        </is>
      </c>
      <c r="B3821" s="59" t="inlineStr">
        <is>
          <t>2025-04-10</t>
        </is>
      </c>
      <c r="C3821" s="60" t="inlineStr">
        <is>
          <t>Polar Supplie Lite-348</t>
        </is>
      </c>
      <c r="D3821" s="58" t="inlineStr">
        <is>
          <t>Office</t>
        </is>
      </c>
      <c r="E3821" s="58" t="inlineStr">
        <is>
          <t>Central</t>
        </is>
      </c>
      <c r="F3821" s="61" t="n">
        <v>2</v>
      </c>
      <c r="G3821" s="62" t="n">
        <v>416.97</v>
      </c>
      <c r="H3821" s="63" t="n">
        <v>0.045</v>
      </c>
      <c r="I3821" s="62" t="n">
        <v>324.16</v>
      </c>
      <c r="J3821" s="58" t="inlineStr">
        <is>
          <t>Online</t>
        </is>
      </c>
      <c r="K3821" s="62">
        <f>F3821*(G3821-H3821)</f>
        <v/>
      </c>
      <c r="L3821" s="62">
        <f>K3821-(F3821*I3821)</f>
        <v/>
      </c>
      <c r="M3821" s="64">
        <f>L3821/K3821</f>
        <v/>
      </c>
    </row>
    <row r="3822">
      <c r="A3822" s="58" t="inlineStr">
        <is>
          <t>RT20250410-03821</t>
        </is>
      </c>
      <c r="B3822" s="59" t="inlineStr">
        <is>
          <t>2025-04-10</t>
        </is>
      </c>
      <c r="C3822" s="60" t="inlineStr">
        <is>
          <t>Metro Outdoor Plus-787</t>
        </is>
      </c>
      <c r="D3822" s="58" t="inlineStr">
        <is>
          <t>Sports</t>
        </is>
      </c>
      <c r="E3822" s="58" t="inlineStr">
        <is>
          <t>East</t>
        </is>
      </c>
      <c r="F3822" s="61" t="n">
        <v>2</v>
      </c>
      <c r="G3822" s="62" t="n">
        <v>552.6799999999999</v>
      </c>
      <c r="H3822" s="63" t="n">
        <v>0.027</v>
      </c>
      <c r="I3822" s="62" t="n">
        <v>354.09</v>
      </c>
      <c r="J3822" s="58" t="inlineStr">
        <is>
          <t>Store</t>
        </is>
      </c>
      <c r="K3822" s="62">
        <f>F3822*(G3822-H3822)</f>
        <v/>
      </c>
      <c r="L3822" s="62">
        <f>K3822-(F3822*I3822)</f>
        <v/>
      </c>
      <c r="M3822" s="64">
        <f>L3822/K3822</f>
        <v/>
      </c>
    </row>
    <row r="3823">
      <c r="A3823" s="58" t="inlineStr">
        <is>
          <t>RT20250410-03822</t>
        </is>
      </c>
      <c r="B3823" s="59" t="inlineStr">
        <is>
          <t>2025-04-10</t>
        </is>
      </c>
      <c r="C3823" s="60" t="inlineStr">
        <is>
          <t>Aurora Fragrance S-971</t>
        </is>
      </c>
      <c r="D3823" s="58" t="inlineStr">
        <is>
          <t>Beauty</t>
        </is>
      </c>
      <c r="E3823" s="58" t="inlineStr">
        <is>
          <t>East</t>
        </is>
      </c>
      <c r="F3823" s="61" t="n">
        <v>5</v>
      </c>
      <c r="G3823" s="62" t="n">
        <v>99.34</v>
      </c>
      <c r="H3823" s="63" t="n">
        <v>0.046</v>
      </c>
      <c r="I3823" s="62" t="n">
        <v>64.55</v>
      </c>
      <c r="J3823" s="58" t="inlineStr">
        <is>
          <t>Store</t>
        </is>
      </c>
      <c r="K3823" s="62">
        <f>F3823*(G3823-H3823)</f>
        <v/>
      </c>
      <c r="L3823" s="62">
        <f>K3823-(F3823*I3823)</f>
        <v/>
      </c>
      <c r="M3823" s="64">
        <f>L3823/K3823</f>
        <v/>
      </c>
    </row>
    <row r="3824">
      <c r="A3824" s="58" t="inlineStr">
        <is>
          <t>RT20250410-03823</t>
        </is>
      </c>
      <c r="B3824" s="59" t="inlineStr">
        <is>
          <t>2025-04-10</t>
        </is>
      </c>
      <c r="C3824" s="60" t="inlineStr">
        <is>
          <t>Vertex Smartphone Lite-267</t>
        </is>
      </c>
      <c r="D3824" s="58" t="inlineStr">
        <is>
          <t>Electronics</t>
        </is>
      </c>
      <c r="E3824" s="58" t="inlineStr">
        <is>
          <t>South</t>
        </is>
      </c>
      <c r="F3824" s="61" t="n">
        <v>1</v>
      </c>
      <c r="G3824" s="62" t="n">
        <v>1189.72</v>
      </c>
      <c r="H3824" s="63" t="n">
        <v>0.032</v>
      </c>
      <c r="I3824" s="62" t="n">
        <v>988.8</v>
      </c>
      <c r="J3824" s="58" t="inlineStr">
        <is>
          <t>Online</t>
        </is>
      </c>
      <c r="K3824" s="62">
        <f>F3824*(G3824-H3824)</f>
        <v/>
      </c>
      <c r="L3824" s="62">
        <f>K3824-(F3824*I3824)</f>
        <v/>
      </c>
      <c r="M3824" s="64">
        <f>L3824/K3824</f>
        <v/>
      </c>
    </row>
    <row r="3825">
      <c r="A3825" s="58" t="inlineStr">
        <is>
          <t>RT20250410-03824</t>
        </is>
      </c>
      <c r="B3825" s="59" t="inlineStr">
        <is>
          <t>2025-04-10</t>
        </is>
      </c>
      <c r="C3825" s="60" t="inlineStr">
        <is>
          <t>Falcon Household Plus-796</t>
        </is>
      </c>
      <c r="D3825" s="58" t="inlineStr">
        <is>
          <t>Grocery</t>
        </is>
      </c>
      <c r="E3825" s="58" t="inlineStr">
        <is>
          <t>Central</t>
        </is>
      </c>
      <c r="F3825" s="61" t="n">
        <v>6</v>
      </c>
      <c r="G3825" s="62" t="n">
        <v>21.26</v>
      </c>
      <c r="H3825" s="63" t="n">
        <v>0.08699999999999999</v>
      </c>
      <c r="I3825" s="62" t="n">
        <v>17.84</v>
      </c>
      <c r="J3825" s="58" t="inlineStr">
        <is>
          <t>Online</t>
        </is>
      </c>
      <c r="K3825" s="62">
        <f>F3825*(G3825-H3825)</f>
        <v/>
      </c>
      <c r="L3825" s="62">
        <f>K3825-(F3825*I3825)</f>
        <v/>
      </c>
      <c r="M3825" s="64">
        <f>L3825/K3825</f>
        <v/>
      </c>
    </row>
    <row r="3826">
      <c r="A3826" s="58" t="inlineStr">
        <is>
          <t>RT20250410-03825</t>
        </is>
      </c>
      <c r="B3826" s="59" t="inlineStr">
        <is>
          <t>2025-04-10</t>
        </is>
      </c>
      <c r="C3826" s="60" t="inlineStr">
        <is>
          <t>Aurora Wearable Lite-704</t>
        </is>
      </c>
      <c r="D3826" s="58" t="inlineStr">
        <is>
          <t>Electronics</t>
        </is>
      </c>
      <c r="E3826" s="58" t="inlineStr">
        <is>
          <t>Central</t>
        </is>
      </c>
      <c r="F3826" s="61" t="n">
        <v>1</v>
      </c>
      <c r="G3826" s="62" t="n">
        <v>1838.14</v>
      </c>
      <c r="H3826" s="63" t="n">
        <v>0.08500000000000001</v>
      </c>
      <c r="I3826" s="62" t="n">
        <v>1415.25</v>
      </c>
      <c r="J3826" s="58" t="inlineStr">
        <is>
          <t>Phone</t>
        </is>
      </c>
      <c r="K3826" s="62">
        <f>F3826*(G3826-H3826)</f>
        <v/>
      </c>
      <c r="L3826" s="62">
        <f>K3826-(F3826*I3826)</f>
        <v/>
      </c>
      <c r="M3826" s="64">
        <f>L3826/K3826</f>
        <v/>
      </c>
    </row>
    <row r="3827">
      <c r="A3827" s="58" t="inlineStr">
        <is>
          <t>RT20250410-03826</t>
        </is>
      </c>
      <c r="B3827" s="59" t="inlineStr">
        <is>
          <t>2025-04-10</t>
        </is>
      </c>
      <c r="C3827" s="60" t="inlineStr">
        <is>
          <t>Vertex Men X-995</t>
        </is>
      </c>
      <c r="D3827" s="58" t="inlineStr">
        <is>
          <t>Apparel</t>
        </is>
      </c>
      <c r="E3827" s="58" t="inlineStr">
        <is>
          <t>North</t>
        </is>
      </c>
      <c r="F3827" s="61" t="n">
        <v>1</v>
      </c>
      <c r="G3827" s="62" t="n">
        <v>109.89</v>
      </c>
      <c r="H3827" s="63" t="n">
        <v>0.041</v>
      </c>
      <c r="I3827" s="62" t="n">
        <v>56.32</v>
      </c>
      <c r="J3827" s="58" t="inlineStr">
        <is>
          <t>Store</t>
        </is>
      </c>
      <c r="K3827" s="62">
        <f>F3827*(G3827-H3827)</f>
        <v/>
      </c>
      <c r="L3827" s="62">
        <f>K3827-(F3827*I3827)</f>
        <v/>
      </c>
      <c r="M3827" s="64">
        <f>L3827/K3827</f>
        <v/>
      </c>
    </row>
    <row r="3828">
      <c r="A3828" s="58" t="inlineStr">
        <is>
          <t>RT20250410-03827</t>
        </is>
      </c>
      <c r="B3828" s="59" t="inlineStr">
        <is>
          <t>2025-04-10</t>
        </is>
      </c>
      <c r="C3828" s="60" t="inlineStr">
        <is>
          <t>Orion Haircare Plus-887</t>
        </is>
      </c>
      <c r="D3828" s="58" t="inlineStr">
        <is>
          <t>Beauty</t>
        </is>
      </c>
      <c r="E3828" s="58" t="inlineStr">
        <is>
          <t>West</t>
        </is>
      </c>
      <c r="F3828" s="61" t="n">
        <v>2</v>
      </c>
      <c r="G3828" s="62" t="n">
        <v>50.17</v>
      </c>
      <c r="H3828" s="63" t="n">
        <v>0.033</v>
      </c>
      <c r="I3828" s="62" t="n">
        <v>31.7</v>
      </c>
      <c r="J3828" s="58" t="inlineStr">
        <is>
          <t>Online</t>
        </is>
      </c>
      <c r="K3828" s="62">
        <f>F3828*(G3828-H3828)</f>
        <v/>
      </c>
      <c r="L3828" s="62">
        <f>K3828-(F3828*I3828)</f>
        <v/>
      </c>
      <c r="M3828" s="64">
        <f>L3828/K3828</f>
        <v/>
      </c>
    </row>
    <row r="3829">
      <c r="A3829" s="58" t="inlineStr">
        <is>
          <t>RT20250411-03828</t>
        </is>
      </c>
      <c r="B3829" s="59" t="inlineStr">
        <is>
          <t>2025-04-11</t>
        </is>
      </c>
      <c r="C3829" s="60" t="inlineStr">
        <is>
          <t>Metro Accessorie Max-316</t>
        </is>
      </c>
      <c r="D3829" s="58" t="inlineStr">
        <is>
          <t>Apparel</t>
        </is>
      </c>
      <c r="E3829" s="58" t="inlineStr">
        <is>
          <t>West</t>
        </is>
      </c>
      <c r="F3829" s="61" t="n">
        <v>3</v>
      </c>
      <c r="G3829" s="62" t="n">
        <v>162.81</v>
      </c>
      <c r="H3829" s="63" t="n">
        <v>0.047</v>
      </c>
      <c r="I3829" s="62" t="n">
        <v>90.29000000000001</v>
      </c>
      <c r="J3829" s="58" t="inlineStr">
        <is>
          <t>Store</t>
        </is>
      </c>
      <c r="K3829" s="62">
        <f>F3829*(G3829-H3829)</f>
        <v/>
      </c>
      <c r="L3829" s="62">
        <f>K3829-(F3829*I3829)</f>
        <v/>
      </c>
      <c r="M3829" s="64">
        <f>L3829/K3829</f>
        <v/>
      </c>
    </row>
    <row r="3830">
      <c r="A3830" s="58" t="inlineStr">
        <is>
          <t>RT20250411-03829</t>
        </is>
      </c>
      <c r="B3830" s="59" t="inlineStr">
        <is>
          <t>2025-04-11</t>
        </is>
      </c>
      <c r="C3830" s="60" t="inlineStr">
        <is>
          <t>Solace Laptop S-367</t>
        </is>
      </c>
      <c r="D3830" s="58" t="inlineStr">
        <is>
          <t>Electronics</t>
        </is>
      </c>
      <c r="E3830" s="58" t="inlineStr">
        <is>
          <t>South</t>
        </is>
      </c>
      <c r="F3830" s="61" t="n">
        <v>2</v>
      </c>
      <c r="G3830" s="62" t="n">
        <v>2319.25</v>
      </c>
      <c r="H3830" s="63" t="n">
        <v>0.047</v>
      </c>
      <c r="I3830" s="62" t="n">
        <v>1537.96</v>
      </c>
      <c r="J3830" s="58" t="inlineStr">
        <is>
          <t>Store</t>
        </is>
      </c>
      <c r="K3830" s="62">
        <f>F3830*(G3830-H3830)</f>
        <v/>
      </c>
      <c r="L3830" s="62">
        <f>K3830-(F3830*I3830)</f>
        <v/>
      </c>
      <c r="M3830" s="64">
        <f>L3830/K3830</f>
        <v/>
      </c>
    </row>
    <row r="3831">
      <c r="A3831" s="58" t="inlineStr">
        <is>
          <t>RT20250411-03830</t>
        </is>
      </c>
      <c r="B3831" s="59" t="inlineStr">
        <is>
          <t>2025-04-11</t>
        </is>
      </c>
      <c r="C3831" s="60" t="inlineStr">
        <is>
          <t>Vertex Fitnes Pro-830</t>
        </is>
      </c>
      <c r="D3831" s="58" t="inlineStr">
        <is>
          <t>Sports</t>
        </is>
      </c>
      <c r="E3831" s="58" t="inlineStr">
        <is>
          <t>South</t>
        </is>
      </c>
      <c r="F3831" s="61" t="n">
        <v>2</v>
      </c>
      <c r="G3831" s="62" t="n">
        <v>700.0700000000001</v>
      </c>
      <c r="H3831" s="63" t="n">
        <v>0.01</v>
      </c>
      <c r="I3831" s="62" t="n">
        <v>491.79</v>
      </c>
      <c r="J3831" s="58" t="inlineStr">
        <is>
          <t>Store</t>
        </is>
      </c>
      <c r="K3831" s="62">
        <f>F3831*(G3831-H3831)</f>
        <v/>
      </c>
      <c r="L3831" s="62">
        <f>K3831-(F3831*I3831)</f>
        <v/>
      </c>
      <c r="M3831" s="64">
        <f>L3831/K3831</f>
        <v/>
      </c>
    </row>
    <row r="3832">
      <c r="A3832" s="58" t="inlineStr">
        <is>
          <t>RT20250411-03831</t>
        </is>
      </c>
      <c r="B3832" s="59" t="inlineStr">
        <is>
          <t>2025-04-11</t>
        </is>
      </c>
      <c r="C3832" s="60" t="inlineStr">
        <is>
          <t>Vertex Men X-995</t>
        </is>
      </c>
      <c r="D3832" s="58" t="inlineStr">
        <is>
          <t>Apparel</t>
        </is>
      </c>
      <c r="E3832" s="58" t="inlineStr">
        <is>
          <t>West</t>
        </is>
      </c>
      <c r="F3832" s="61" t="n">
        <v>1</v>
      </c>
      <c r="G3832" s="62" t="n">
        <v>96.12</v>
      </c>
      <c r="H3832" s="63" t="n">
        <v>0.103</v>
      </c>
      <c r="I3832" s="62" t="n">
        <v>57.43</v>
      </c>
      <c r="J3832" s="58" t="inlineStr">
        <is>
          <t>Online</t>
        </is>
      </c>
      <c r="K3832" s="62">
        <f>F3832*(G3832-H3832)</f>
        <v/>
      </c>
      <c r="L3832" s="62">
        <f>K3832-(F3832*I3832)</f>
        <v/>
      </c>
      <c r="M3832" s="64">
        <f>L3832/K3832</f>
        <v/>
      </c>
    </row>
    <row r="3833">
      <c r="A3833" s="58" t="inlineStr">
        <is>
          <t>RT20250411-03832</t>
        </is>
      </c>
      <c r="B3833" s="59" t="inlineStr">
        <is>
          <t>2025-04-11</t>
        </is>
      </c>
      <c r="C3833" s="60" t="inlineStr">
        <is>
          <t>Aurora Household Plus-146</t>
        </is>
      </c>
      <c r="D3833" s="58" t="inlineStr">
        <is>
          <t>Grocery</t>
        </is>
      </c>
      <c r="E3833" s="58" t="inlineStr">
        <is>
          <t>West</t>
        </is>
      </c>
      <c r="F3833" s="61" t="n">
        <v>2</v>
      </c>
      <c r="G3833" s="62" t="n">
        <v>6.12</v>
      </c>
      <c r="H3833" s="63" t="n">
        <v>0.067</v>
      </c>
      <c r="I3833" s="62" t="n">
        <v>4.63</v>
      </c>
      <c r="J3833" s="58" t="inlineStr">
        <is>
          <t>Online</t>
        </is>
      </c>
      <c r="K3833" s="62">
        <f>F3833*(G3833-H3833)</f>
        <v/>
      </c>
      <c r="L3833" s="62">
        <f>K3833-(F3833*I3833)</f>
        <v/>
      </c>
      <c r="M3833" s="64">
        <f>L3833/K3833</f>
        <v/>
      </c>
    </row>
    <row r="3834">
      <c r="A3834" s="58" t="inlineStr">
        <is>
          <t>RT20250411-03833</t>
        </is>
      </c>
      <c r="B3834" s="59" t="inlineStr">
        <is>
          <t>2025-04-11</t>
        </is>
      </c>
      <c r="C3834" s="60" t="inlineStr">
        <is>
          <t>Metro Outdoor Plus-787</t>
        </is>
      </c>
      <c r="D3834" s="58" t="inlineStr">
        <is>
          <t>Sports</t>
        </is>
      </c>
      <c r="E3834" s="58" t="inlineStr">
        <is>
          <t>East</t>
        </is>
      </c>
      <c r="F3834" s="61" t="n">
        <v>1</v>
      </c>
      <c r="G3834" s="62" t="n">
        <v>495.68</v>
      </c>
      <c r="H3834" s="63" t="n">
        <v>0.039</v>
      </c>
      <c r="I3834" s="62" t="n">
        <v>360.97</v>
      </c>
      <c r="J3834" s="58" t="inlineStr">
        <is>
          <t>Online</t>
        </is>
      </c>
      <c r="K3834" s="62">
        <f>F3834*(G3834-H3834)</f>
        <v/>
      </c>
      <c r="L3834" s="62">
        <f>K3834-(F3834*I3834)</f>
        <v/>
      </c>
      <c r="M3834" s="64">
        <f>L3834/K3834</f>
        <v/>
      </c>
    </row>
    <row r="3835">
      <c r="A3835" s="58" t="inlineStr">
        <is>
          <t>RT20250411-03834</t>
        </is>
      </c>
      <c r="B3835" s="59" t="inlineStr">
        <is>
          <t>2025-04-11</t>
        </is>
      </c>
      <c r="C3835" s="60" t="inlineStr">
        <is>
          <t>Falcon Team Sport Lite-268</t>
        </is>
      </c>
      <c r="D3835" s="58" t="inlineStr">
        <is>
          <t>Sports</t>
        </is>
      </c>
      <c r="E3835" s="58" t="inlineStr">
        <is>
          <t>Central</t>
        </is>
      </c>
      <c r="F3835" s="61" t="n">
        <v>1</v>
      </c>
      <c r="G3835" s="62" t="n">
        <v>702.86</v>
      </c>
      <c r="H3835" s="63" t="n">
        <v>0.028</v>
      </c>
      <c r="I3835" s="62" t="n">
        <v>427.96</v>
      </c>
      <c r="J3835" s="58" t="inlineStr">
        <is>
          <t>Store</t>
        </is>
      </c>
      <c r="K3835" s="62">
        <f>F3835*(G3835-H3835)</f>
        <v/>
      </c>
      <c r="L3835" s="62">
        <f>K3835-(F3835*I3835)</f>
        <v/>
      </c>
      <c r="M3835" s="64">
        <f>L3835/K3835</f>
        <v/>
      </c>
    </row>
    <row r="3836">
      <c r="A3836" s="58" t="inlineStr">
        <is>
          <t>RT20250411-03835</t>
        </is>
      </c>
      <c r="B3836" s="59" t="inlineStr">
        <is>
          <t>2025-04-11</t>
        </is>
      </c>
      <c r="C3836" s="60" t="inlineStr">
        <is>
          <t>Nimbus Women Lite-814</t>
        </is>
      </c>
      <c r="D3836" s="58" t="inlineStr">
        <is>
          <t>Apparel</t>
        </is>
      </c>
      <c r="E3836" s="58" t="inlineStr">
        <is>
          <t>South</t>
        </is>
      </c>
      <c r="F3836" s="61" t="n">
        <v>2</v>
      </c>
      <c r="G3836" s="62" t="n">
        <v>153.91</v>
      </c>
      <c r="H3836" s="63" t="n">
        <v>0.061</v>
      </c>
      <c r="I3836" s="62" t="n">
        <v>85.81</v>
      </c>
      <c r="J3836" s="58" t="inlineStr">
        <is>
          <t>Online</t>
        </is>
      </c>
      <c r="K3836" s="62">
        <f>F3836*(G3836-H3836)</f>
        <v/>
      </c>
      <c r="L3836" s="62">
        <f>K3836-(F3836*I3836)</f>
        <v/>
      </c>
      <c r="M3836" s="64">
        <f>L3836/K3836</f>
        <v/>
      </c>
    </row>
    <row r="3837">
      <c r="A3837" s="58" t="inlineStr">
        <is>
          <t>RT20250411-03836</t>
        </is>
      </c>
      <c r="B3837" s="59" t="inlineStr">
        <is>
          <t>2025-04-11</t>
        </is>
      </c>
      <c r="C3837" s="60" t="inlineStr">
        <is>
          <t>Polar Women S-662</t>
        </is>
      </c>
      <c r="D3837" s="58" t="inlineStr">
        <is>
          <t>Apparel</t>
        </is>
      </c>
      <c r="E3837" s="58" t="inlineStr">
        <is>
          <t>Central</t>
        </is>
      </c>
      <c r="F3837" s="61" t="n">
        <v>2</v>
      </c>
      <c r="G3837" s="62" t="n">
        <v>167.3</v>
      </c>
      <c r="H3837" s="63" t="n">
        <v>0.054</v>
      </c>
      <c r="I3837" s="62" t="n">
        <v>97.3</v>
      </c>
      <c r="J3837" s="58" t="inlineStr">
        <is>
          <t>Store</t>
        </is>
      </c>
      <c r="K3837" s="62">
        <f>F3837*(G3837-H3837)</f>
        <v/>
      </c>
      <c r="L3837" s="62">
        <f>K3837-(F3837*I3837)</f>
        <v/>
      </c>
      <c r="M3837" s="64">
        <f>L3837/K3837</f>
        <v/>
      </c>
    </row>
    <row r="3838">
      <c r="A3838" s="58" t="inlineStr">
        <is>
          <t>RT20250411-03837</t>
        </is>
      </c>
      <c r="B3838" s="59" t="inlineStr">
        <is>
          <t>2025-04-11</t>
        </is>
      </c>
      <c r="C3838" s="60" t="inlineStr">
        <is>
          <t>Metro Pantry X-710</t>
        </is>
      </c>
      <c r="D3838" s="58" t="inlineStr">
        <is>
          <t>Grocery</t>
        </is>
      </c>
      <c r="E3838" s="58" t="inlineStr">
        <is>
          <t>East</t>
        </is>
      </c>
      <c r="F3838" s="61" t="n">
        <v>6</v>
      </c>
      <c r="G3838" s="62" t="n">
        <v>5.47</v>
      </c>
      <c r="H3838" s="63" t="n">
        <v>0.028</v>
      </c>
      <c r="I3838" s="62" t="n">
        <v>4.24</v>
      </c>
      <c r="J3838" s="58" t="inlineStr">
        <is>
          <t>Store</t>
        </is>
      </c>
      <c r="K3838" s="62">
        <f>F3838*(G3838-H3838)</f>
        <v/>
      </c>
      <c r="L3838" s="62">
        <f>K3838-(F3838*I3838)</f>
        <v/>
      </c>
      <c r="M3838" s="64">
        <f>L3838/K3838</f>
        <v/>
      </c>
    </row>
    <row r="3839">
      <c r="A3839" s="58" t="inlineStr">
        <is>
          <t>RT20250411-03838</t>
        </is>
      </c>
      <c r="B3839" s="59" t="inlineStr">
        <is>
          <t>2025-04-11</t>
        </is>
      </c>
      <c r="C3839" s="60" t="inlineStr">
        <is>
          <t>Metro Accessorie Lite-697</t>
        </is>
      </c>
      <c r="D3839" s="58" t="inlineStr">
        <is>
          <t>Apparel</t>
        </is>
      </c>
      <c r="E3839" s="58" t="inlineStr">
        <is>
          <t>North</t>
        </is>
      </c>
      <c r="F3839" s="61" t="n">
        <v>1</v>
      </c>
      <c r="G3839" s="62" t="n">
        <v>134.87</v>
      </c>
      <c r="H3839" s="63" t="n">
        <v>0.08500000000000001</v>
      </c>
      <c r="I3839" s="62" t="n">
        <v>74.51000000000001</v>
      </c>
      <c r="J3839" s="58" t="inlineStr">
        <is>
          <t>Online</t>
        </is>
      </c>
      <c r="K3839" s="62">
        <f>F3839*(G3839-H3839)</f>
        <v/>
      </c>
      <c r="L3839" s="62">
        <f>K3839-(F3839*I3839)</f>
        <v/>
      </c>
      <c r="M3839" s="64">
        <f>L3839/K3839</f>
        <v/>
      </c>
    </row>
    <row r="3840">
      <c r="A3840" s="58" t="inlineStr">
        <is>
          <t>RT20250411-03839</t>
        </is>
      </c>
      <c r="B3840" s="59" t="inlineStr">
        <is>
          <t>2025-04-11</t>
        </is>
      </c>
      <c r="C3840" s="60" t="inlineStr">
        <is>
          <t>Metro Fragrance Lite-261</t>
        </is>
      </c>
      <c r="D3840" s="58" t="inlineStr">
        <is>
          <t>Beauty</t>
        </is>
      </c>
      <c r="E3840" s="58" t="inlineStr">
        <is>
          <t>Central</t>
        </is>
      </c>
      <c r="F3840" s="61" t="n">
        <v>3</v>
      </c>
      <c r="G3840" s="62" t="n">
        <v>105.95</v>
      </c>
      <c r="H3840" s="63" t="n">
        <v>0.022</v>
      </c>
      <c r="I3840" s="62" t="n">
        <v>56.89</v>
      </c>
      <c r="J3840" s="58" t="inlineStr">
        <is>
          <t>Store</t>
        </is>
      </c>
      <c r="K3840" s="62">
        <f>F3840*(G3840-H3840)</f>
        <v/>
      </c>
      <c r="L3840" s="62">
        <f>K3840-(F3840*I3840)</f>
        <v/>
      </c>
      <c r="M3840" s="64">
        <f>L3840/K3840</f>
        <v/>
      </c>
    </row>
    <row r="3841">
      <c r="A3841" s="58" t="inlineStr">
        <is>
          <t>RT20250411-03840</t>
        </is>
      </c>
      <c r="B3841" s="59" t="inlineStr">
        <is>
          <t>2025-04-11</t>
        </is>
      </c>
      <c r="C3841" s="60" t="inlineStr">
        <is>
          <t>Polar Women S-662</t>
        </is>
      </c>
      <c r="D3841" s="58" t="inlineStr">
        <is>
          <t>Apparel</t>
        </is>
      </c>
      <c r="E3841" s="58" t="inlineStr">
        <is>
          <t>West</t>
        </is>
      </c>
      <c r="F3841" s="61" t="n">
        <v>2</v>
      </c>
      <c r="G3841" s="62" t="n">
        <v>165.32</v>
      </c>
      <c r="H3841" s="63" t="n">
        <v>0.061</v>
      </c>
      <c r="I3841" s="62" t="n">
        <v>97.88</v>
      </c>
      <c r="J3841" s="58" t="inlineStr">
        <is>
          <t>Online</t>
        </is>
      </c>
      <c r="K3841" s="62">
        <f>F3841*(G3841-H3841)</f>
        <v/>
      </c>
      <c r="L3841" s="62">
        <f>K3841-(F3841*I3841)</f>
        <v/>
      </c>
      <c r="M3841" s="64">
        <f>L3841/K3841</f>
        <v/>
      </c>
    </row>
    <row r="3842">
      <c r="A3842" s="58" t="inlineStr">
        <is>
          <t>RT20250411-03841</t>
        </is>
      </c>
      <c r="B3842" s="59" t="inlineStr">
        <is>
          <t>2025-04-11</t>
        </is>
      </c>
      <c r="C3842" s="60" t="inlineStr">
        <is>
          <t>Polar Outdoor Lite-318</t>
        </is>
      </c>
      <c r="D3842" s="58" t="inlineStr">
        <is>
          <t>Sports</t>
        </is>
      </c>
      <c r="E3842" s="58" t="inlineStr">
        <is>
          <t>East</t>
        </is>
      </c>
      <c r="F3842" s="61" t="n">
        <v>3</v>
      </c>
      <c r="G3842" s="62" t="n">
        <v>764.03</v>
      </c>
      <c r="H3842" s="63" t="n">
        <v>0.002</v>
      </c>
      <c r="I3842" s="62" t="n">
        <v>477.86</v>
      </c>
      <c r="J3842" s="58" t="inlineStr">
        <is>
          <t>Phone</t>
        </is>
      </c>
      <c r="K3842" s="62">
        <f>F3842*(G3842-H3842)</f>
        <v/>
      </c>
      <c r="L3842" s="62">
        <f>K3842-(F3842*I3842)</f>
        <v/>
      </c>
      <c r="M3842" s="64">
        <f>L3842/K3842</f>
        <v/>
      </c>
    </row>
    <row r="3843">
      <c r="A3843" s="58" t="inlineStr">
        <is>
          <t>RT20250411-03842</t>
        </is>
      </c>
      <c r="B3843" s="59" t="inlineStr">
        <is>
          <t>2025-04-11</t>
        </is>
      </c>
      <c r="C3843" s="60" t="inlineStr">
        <is>
          <t>Nimbus Decor Lite-385</t>
        </is>
      </c>
      <c r="D3843" s="58" t="inlineStr">
        <is>
          <t>Home</t>
        </is>
      </c>
      <c r="E3843" s="58" t="inlineStr">
        <is>
          <t>South</t>
        </is>
      </c>
      <c r="F3843" s="61" t="n">
        <v>1</v>
      </c>
      <c r="G3843" s="62" t="n">
        <v>572.8</v>
      </c>
      <c r="H3843" s="63" t="n">
        <v>0.034</v>
      </c>
      <c r="I3843" s="62" t="n">
        <v>403.52</v>
      </c>
      <c r="J3843" s="58" t="inlineStr">
        <is>
          <t>Store</t>
        </is>
      </c>
      <c r="K3843" s="62">
        <f>F3843*(G3843-H3843)</f>
        <v/>
      </c>
      <c r="L3843" s="62">
        <f>K3843-(F3843*I3843)</f>
        <v/>
      </c>
      <c r="M3843" s="64">
        <f>L3843/K3843</f>
        <v/>
      </c>
    </row>
    <row r="3844">
      <c r="A3844" s="58" t="inlineStr">
        <is>
          <t>RT20250411-03843</t>
        </is>
      </c>
      <c r="B3844" s="59" t="inlineStr">
        <is>
          <t>2025-04-11</t>
        </is>
      </c>
      <c r="C3844" s="60" t="inlineStr">
        <is>
          <t>Polar Pantry Lite-392</t>
        </is>
      </c>
      <c r="D3844" s="58" t="inlineStr">
        <is>
          <t>Grocery</t>
        </is>
      </c>
      <c r="E3844" s="58" t="inlineStr">
        <is>
          <t>East</t>
        </is>
      </c>
      <c r="F3844" s="61" t="n">
        <v>6</v>
      </c>
      <c r="G3844" s="62" t="n">
        <v>6.21</v>
      </c>
      <c r="H3844" s="63" t="n">
        <v>0.039</v>
      </c>
      <c r="I3844" s="62" t="n">
        <v>4.59</v>
      </c>
      <c r="J3844" s="58" t="inlineStr">
        <is>
          <t>Online</t>
        </is>
      </c>
      <c r="K3844" s="62">
        <f>F3844*(G3844-H3844)</f>
        <v/>
      </c>
      <c r="L3844" s="62">
        <f>K3844-(F3844*I3844)</f>
        <v/>
      </c>
      <c r="M3844" s="64">
        <f>L3844/K3844</f>
        <v/>
      </c>
    </row>
    <row r="3845">
      <c r="A3845" s="58" t="inlineStr">
        <is>
          <t>RT20250411-03844</t>
        </is>
      </c>
      <c r="B3845" s="59" t="inlineStr">
        <is>
          <t>2025-04-11</t>
        </is>
      </c>
      <c r="C3845" s="60" t="inlineStr">
        <is>
          <t>Falcon Headphone Pro-713</t>
        </is>
      </c>
      <c r="D3845" s="58" t="inlineStr">
        <is>
          <t>Electronics</t>
        </is>
      </c>
      <c r="E3845" s="58" t="inlineStr">
        <is>
          <t>East</t>
        </is>
      </c>
      <c r="F3845" s="61" t="n">
        <v>1</v>
      </c>
      <c r="G3845" s="62" t="n">
        <v>1629.19</v>
      </c>
      <c r="H3845" s="63" t="n">
        <v>0.025</v>
      </c>
      <c r="I3845" s="62" t="n">
        <v>1208.39</v>
      </c>
      <c r="J3845" s="58" t="inlineStr">
        <is>
          <t>Store</t>
        </is>
      </c>
      <c r="K3845" s="62">
        <f>F3845*(G3845-H3845)</f>
        <v/>
      </c>
      <c r="L3845" s="62">
        <f>K3845-(F3845*I3845)</f>
        <v/>
      </c>
      <c r="M3845" s="64">
        <f>L3845/K3845</f>
        <v/>
      </c>
    </row>
    <row r="3846">
      <c r="A3846" s="58" t="inlineStr">
        <is>
          <t>RT20250411-03845</t>
        </is>
      </c>
      <c r="B3846" s="59" t="inlineStr">
        <is>
          <t>2025-04-11</t>
        </is>
      </c>
      <c r="C3846" s="60" t="inlineStr">
        <is>
          <t>Vertex Smartphone Pro-256</t>
        </is>
      </c>
      <c r="D3846" s="58" t="inlineStr">
        <is>
          <t>Electronics</t>
        </is>
      </c>
      <c r="E3846" s="58" t="inlineStr">
        <is>
          <t>West</t>
        </is>
      </c>
      <c r="F3846" s="61" t="n">
        <v>1</v>
      </c>
      <c r="G3846" s="62" t="n">
        <v>1186.79</v>
      </c>
      <c r="H3846" s="63" t="n">
        <v>0.08400000000000001</v>
      </c>
      <c r="I3846" s="62" t="n">
        <v>909.88</v>
      </c>
      <c r="J3846" s="58" t="inlineStr">
        <is>
          <t>Online</t>
        </is>
      </c>
      <c r="K3846" s="62">
        <f>F3846*(G3846-H3846)</f>
        <v/>
      </c>
      <c r="L3846" s="62">
        <f>K3846-(F3846*I3846)</f>
        <v/>
      </c>
      <c r="M3846" s="64">
        <f>L3846/K3846</f>
        <v/>
      </c>
    </row>
    <row r="3847">
      <c r="A3847" s="58" t="inlineStr">
        <is>
          <t>RT20250411-03846</t>
        </is>
      </c>
      <c r="B3847" s="59" t="inlineStr">
        <is>
          <t>2025-04-11</t>
        </is>
      </c>
      <c r="C3847" s="60" t="inlineStr">
        <is>
          <t>Metro Pantry Max-180</t>
        </is>
      </c>
      <c r="D3847" s="58" t="inlineStr">
        <is>
          <t>Grocery</t>
        </is>
      </c>
      <c r="E3847" s="58" t="inlineStr">
        <is>
          <t>Central</t>
        </is>
      </c>
      <c r="F3847" s="61" t="n">
        <v>3</v>
      </c>
      <c r="G3847" s="62" t="n">
        <v>7.46</v>
      </c>
      <c r="H3847" s="63" t="n">
        <v>0.06900000000000001</v>
      </c>
      <c r="I3847" s="62" t="n">
        <v>6.56</v>
      </c>
      <c r="J3847" s="58" t="inlineStr">
        <is>
          <t>Online</t>
        </is>
      </c>
      <c r="K3847" s="62">
        <f>F3847*(G3847-H3847)</f>
        <v/>
      </c>
      <c r="L3847" s="62">
        <f>K3847-(F3847*I3847)</f>
        <v/>
      </c>
      <c r="M3847" s="64">
        <f>L3847/K3847</f>
        <v/>
      </c>
    </row>
    <row r="3848">
      <c r="A3848" s="58" t="inlineStr">
        <is>
          <t>RT20250411-03847</t>
        </is>
      </c>
      <c r="B3848" s="59" t="inlineStr">
        <is>
          <t>2025-04-11</t>
        </is>
      </c>
      <c r="C3848" s="60" t="inlineStr">
        <is>
          <t>Orion Fragrance Lite-785</t>
        </is>
      </c>
      <c r="D3848" s="58" t="inlineStr">
        <is>
          <t>Beauty</t>
        </is>
      </c>
      <c r="E3848" s="58" t="inlineStr">
        <is>
          <t>Central</t>
        </is>
      </c>
      <c r="F3848" s="61" t="n">
        <v>1</v>
      </c>
      <c r="G3848" s="62" t="n">
        <v>41.83</v>
      </c>
      <c r="H3848" s="63" t="n">
        <v>0.061</v>
      </c>
      <c r="I3848" s="62" t="n">
        <v>26.31</v>
      </c>
      <c r="J3848" s="58" t="inlineStr">
        <is>
          <t>Online</t>
        </is>
      </c>
      <c r="K3848" s="62">
        <f>F3848*(G3848-H3848)</f>
        <v/>
      </c>
      <c r="L3848" s="62">
        <f>K3848-(F3848*I3848)</f>
        <v/>
      </c>
      <c r="M3848" s="64">
        <f>L3848/K3848</f>
        <v/>
      </c>
    </row>
    <row r="3849">
      <c r="A3849" s="58" t="inlineStr">
        <is>
          <t>RT20250411-03848</t>
        </is>
      </c>
      <c r="B3849" s="59" t="inlineStr">
        <is>
          <t>2025-04-11</t>
        </is>
      </c>
      <c r="C3849" s="60" t="inlineStr">
        <is>
          <t>Falcon Haircare Pro-980</t>
        </is>
      </c>
      <c r="D3849" s="58" t="inlineStr">
        <is>
          <t>Beauty</t>
        </is>
      </c>
      <c r="E3849" s="58" t="inlineStr">
        <is>
          <t>West</t>
        </is>
      </c>
      <c r="F3849" s="61" t="n">
        <v>5</v>
      </c>
      <c r="G3849" s="62" t="n">
        <v>105.49</v>
      </c>
      <c r="H3849" s="63" t="n">
        <v>0.033</v>
      </c>
      <c r="I3849" s="62" t="n">
        <v>55.46</v>
      </c>
      <c r="J3849" s="58" t="inlineStr">
        <is>
          <t>Store</t>
        </is>
      </c>
      <c r="K3849" s="62">
        <f>F3849*(G3849-H3849)</f>
        <v/>
      </c>
      <c r="L3849" s="62">
        <f>K3849-(F3849*I3849)</f>
        <v/>
      </c>
      <c r="M3849" s="64">
        <f>L3849/K3849</f>
        <v/>
      </c>
    </row>
    <row r="3850">
      <c r="A3850" s="58" t="inlineStr">
        <is>
          <t>RT20250411-03849</t>
        </is>
      </c>
      <c r="B3850" s="59" t="inlineStr">
        <is>
          <t>2025-04-11</t>
        </is>
      </c>
      <c r="C3850" s="60" t="inlineStr">
        <is>
          <t>Metro Pantry X-710</t>
        </is>
      </c>
      <c r="D3850" s="58" t="inlineStr">
        <is>
          <t>Grocery</t>
        </is>
      </c>
      <c r="E3850" s="58" t="inlineStr">
        <is>
          <t>South</t>
        </is>
      </c>
      <c r="F3850" s="61" t="n">
        <v>7</v>
      </c>
      <c r="G3850" s="62" t="n">
        <v>5.37</v>
      </c>
      <c r="H3850" s="63" t="n">
        <v>0.03</v>
      </c>
      <c r="I3850" s="62" t="n">
        <v>4.2</v>
      </c>
      <c r="J3850" s="58" t="inlineStr">
        <is>
          <t>Phone</t>
        </is>
      </c>
      <c r="K3850" s="62">
        <f>F3850*(G3850-H3850)</f>
        <v/>
      </c>
      <c r="L3850" s="62">
        <f>K3850-(F3850*I3850)</f>
        <v/>
      </c>
      <c r="M3850" s="64">
        <f>L3850/K3850</f>
        <v/>
      </c>
    </row>
    <row r="3851">
      <c r="A3851" s="58" t="inlineStr">
        <is>
          <t>RT20250411-03850</t>
        </is>
      </c>
      <c r="B3851" s="59" t="inlineStr">
        <is>
          <t>2025-04-11</t>
        </is>
      </c>
      <c r="C3851" s="60" t="inlineStr">
        <is>
          <t>Falcon Skincare X-334</t>
        </is>
      </c>
      <c r="D3851" s="58" t="inlineStr">
        <is>
          <t>Beauty</t>
        </is>
      </c>
      <c r="E3851" s="58" t="inlineStr">
        <is>
          <t>South</t>
        </is>
      </c>
      <c r="F3851" s="61" t="n">
        <v>1</v>
      </c>
      <c r="G3851" s="62" t="n">
        <v>109.24</v>
      </c>
      <c r="H3851" s="63" t="n">
        <v>0.036</v>
      </c>
      <c r="I3851" s="62" t="n">
        <v>64.5</v>
      </c>
      <c r="J3851" s="58" t="inlineStr">
        <is>
          <t>Store</t>
        </is>
      </c>
      <c r="K3851" s="62">
        <f>F3851*(G3851-H3851)</f>
        <v/>
      </c>
      <c r="L3851" s="62">
        <f>K3851-(F3851*I3851)</f>
        <v/>
      </c>
      <c r="M3851" s="64">
        <f>L3851/K3851</f>
        <v/>
      </c>
    </row>
    <row r="3852">
      <c r="A3852" s="58" t="inlineStr">
        <is>
          <t>RT20250411-03851</t>
        </is>
      </c>
      <c r="B3852" s="59" t="inlineStr">
        <is>
          <t>2025-04-11</t>
        </is>
      </c>
      <c r="C3852" s="60" t="inlineStr">
        <is>
          <t>Aurora Fitnes Lite-194</t>
        </is>
      </c>
      <c r="D3852" s="58" t="inlineStr">
        <is>
          <t>Sports</t>
        </is>
      </c>
      <c r="E3852" s="58" t="inlineStr">
        <is>
          <t>North</t>
        </is>
      </c>
      <c r="F3852" s="61" t="n">
        <v>1</v>
      </c>
      <c r="G3852" s="62" t="n">
        <v>675.62</v>
      </c>
      <c r="H3852" s="63" t="n">
        <v>0.055</v>
      </c>
      <c r="I3852" s="62" t="n">
        <v>469.05</v>
      </c>
      <c r="J3852" s="58" t="inlineStr">
        <is>
          <t>Online</t>
        </is>
      </c>
      <c r="K3852" s="62">
        <f>F3852*(G3852-H3852)</f>
        <v/>
      </c>
      <c r="L3852" s="62">
        <f>K3852-(F3852*I3852)</f>
        <v/>
      </c>
      <c r="M3852" s="64">
        <f>L3852/K3852</f>
        <v/>
      </c>
    </row>
    <row r="3853">
      <c r="A3853" s="58" t="inlineStr">
        <is>
          <t>RT20250411-03852</t>
        </is>
      </c>
      <c r="B3853" s="59" t="inlineStr">
        <is>
          <t>2025-04-11</t>
        </is>
      </c>
      <c r="C3853" s="60" t="inlineStr">
        <is>
          <t>Vertex Smartphone Pro-256</t>
        </is>
      </c>
      <c r="D3853" s="58" t="inlineStr">
        <is>
          <t>Electronics</t>
        </is>
      </c>
      <c r="E3853" s="58" t="inlineStr">
        <is>
          <t>East</t>
        </is>
      </c>
      <c r="F3853" s="61" t="n">
        <v>1</v>
      </c>
      <c r="G3853" s="62" t="n">
        <v>1190.95</v>
      </c>
      <c r="H3853" s="63" t="n">
        <v>0.1</v>
      </c>
      <c r="I3853" s="62" t="n">
        <v>915</v>
      </c>
      <c r="J3853" s="58" t="inlineStr">
        <is>
          <t>Online</t>
        </is>
      </c>
      <c r="K3853" s="62">
        <f>F3853*(G3853-H3853)</f>
        <v/>
      </c>
      <c r="L3853" s="62">
        <f>K3853-(F3853*I3853)</f>
        <v/>
      </c>
      <c r="M3853" s="64">
        <f>L3853/K3853</f>
        <v/>
      </c>
    </row>
    <row r="3854">
      <c r="A3854" s="58" t="inlineStr">
        <is>
          <t>RT20250411-03853</t>
        </is>
      </c>
      <c r="B3854" s="59" t="inlineStr">
        <is>
          <t>2025-04-11</t>
        </is>
      </c>
      <c r="C3854" s="60" t="inlineStr">
        <is>
          <t>Metro Wearable Plus-234</t>
        </is>
      </c>
      <c r="D3854" s="58" t="inlineStr">
        <is>
          <t>Electronics</t>
        </is>
      </c>
      <c r="E3854" s="58" t="inlineStr">
        <is>
          <t>Central</t>
        </is>
      </c>
      <c r="F3854" s="61" t="n">
        <v>2</v>
      </c>
      <c r="G3854" s="62" t="n">
        <v>1639.25</v>
      </c>
      <c r="H3854" s="63" t="n">
        <v>0.07000000000000001</v>
      </c>
      <c r="I3854" s="62" t="n">
        <v>1167.88</v>
      </c>
      <c r="J3854" s="58" t="inlineStr">
        <is>
          <t>Store</t>
        </is>
      </c>
      <c r="K3854" s="62">
        <f>F3854*(G3854-H3854)</f>
        <v/>
      </c>
      <c r="L3854" s="62">
        <f>K3854-(F3854*I3854)</f>
        <v/>
      </c>
      <c r="M3854" s="64">
        <f>L3854/K3854</f>
        <v/>
      </c>
    </row>
    <row r="3855">
      <c r="A3855" s="58" t="inlineStr">
        <is>
          <t>RT20250411-03854</t>
        </is>
      </c>
      <c r="B3855" s="59" t="inlineStr">
        <is>
          <t>2025-04-11</t>
        </is>
      </c>
      <c r="C3855" s="60" t="inlineStr">
        <is>
          <t>Polar Pantry Lite-392</t>
        </is>
      </c>
      <c r="D3855" s="58" t="inlineStr">
        <is>
          <t>Grocery</t>
        </is>
      </c>
      <c r="E3855" s="58" t="inlineStr">
        <is>
          <t>South</t>
        </is>
      </c>
      <c r="F3855" s="61" t="n">
        <v>7</v>
      </c>
      <c r="G3855" s="62" t="n">
        <v>6.51</v>
      </c>
      <c r="H3855" s="63" t="n">
        <v>0.061</v>
      </c>
      <c r="I3855" s="62" t="n">
        <v>4.56</v>
      </c>
      <c r="J3855" s="58" t="inlineStr">
        <is>
          <t>Online</t>
        </is>
      </c>
      <c r="K3855" s="62">
        <f>F3855*(G3855-H3855)</f>
        <v/>
      </c>
      <c r="L3855" s="62">
        <f>K3855-(F3855*I3855)</f>
        <v/>
      </c>
      <c r="M3855" s="64">
        <f>L3855/K3855</f>
        <v/>
      </c>
    </row>
    <row r="3856">
      <c r="A3856" s="58" t="inlineStr">
        <is>
          <t>RT20250411-03855</t>
        </is>
      </c>
      <c r="B3856" s="59" t="inlineStr">
        <is>
          <t>2025-04-11</t>
        </is>
      </c>
      <c r="C3856" s="60" t="inlineStr">
        <is>
          <t>Aurora Appliance Lite-109</t>
        </is>
      </c>
      <c r="D3856" s="58" t="inlineStr">
        <is>
          <t>Home</t>
        </is>
      </c>
      <c r="E3856" s="58" t="inlineStr">
        <is>
          <t>East</t>
        </is>
      </c>
      <c r="F3856" s="61" t="n">
        <v>2</v>
      </c>
      <c r="G3856" s="62" t="n">
        <v>317.66</v>
      </c>
      <c r="H3856" s="63" t="n">
        <v>0.05</v>
      </c>
      <c r="I3856" s="62" t="n">
        <v>201.17</v>
      </c>
      <c r="J3856" s="58" t="inlineStr">
        <is>
          <t>Store</t>
        </is>
      </c>
      <c r="K3856" s="62">
        <f>F3856*(G3856-H3856)</f>
        <v/>
      </c>
      <c r="L3856" s="62">
        <f>K3856-(F3856*I3856)</f>
        <v/>
      </c>
      <c r="M3856" s="64">
        <f>L3856/K3856</f>
        <v/>
      </c>
    </row>
    <row r="3857">
      <c r="A3857" s="58" t="inlineStr">
        <is>
          <t>RT20250411-03856</t>
        </is>
      </c>
      <c r="B3857" s="59" t="inlineStr">
        <is>
          <t>2025-04-11</t>
        </is>
      </c>
      <c r="C3857" s="60" t="inlineStr">
        <is>
          <t>Falcon Headphone Pro-713</t>
        </is>
      </c>
      <c r="D3857" s="58" t="inlineStr">
        <is>
          <t>Electronics</t>
        </is>
      </c>
      <c r="E3857" s="58" t="inlineStr">
        <is>
          <t>West</t>
        </is>
      </c>
      <c r="F3857" s="61" t="n">
        <v>2</v>
      </c>
      <c r="G3857" s="62" t="n">
        <v>1550.47</v>
      </c>
      <c r="H3857" s="63" t="n">
        <v>0.053</v>
      </c>
      <c r="I3857" s="62" t="n">
        <v>1207.75</v>
      </c>
      <c r="J3857" s="58" t="inlineStr">
        <is>
          <t>Store</t>
        </is>
      </c>
      <c r="K3857" s="62">
        <f>F3857*(G3857-H3857)</f>
        <v/>
      </c>
      <c r="L3857" s="62">
        <f>K3857-(F3857*I3857)</f>
        <v/>
      </c>
      <c r="M3857" s="64">
        <f>L3857/K3857</f>
        <v/>
      </c>
    </row>
    <row r="3858">
      <c r="A3858" s="58" t="inlineStr">
        <is>
          <t>RT20250411-03857</t>
        </is>
      </c>
      <c r="B3858" s="59" t="inlineStr">
        <is>
          <t>2025-04-11</t>
        </is>
      </c>
      <c r="C3858" s="60" t="inlineStr">
        <is>
          <t>Metro Printer X-294</t>
        </is>
      </c>
      <c r="D3858" s="58" t="inlineStr">
        <is>
          <t>Office</t>
        </is>
      </c>
      <c r="E3858" s="58" t="inlineStr">
        <is>
          <t>Central</t>
        </is>
      </c>
      <c r="F3858" s="61" t="n">
        <v>1</v>
      </c>
      <c r="G3858" s="62" t="n">
        <v>528.54</v>
      </c>
      <c r="H3858" s="63" t="n">
        <v>0.093</v>
      </c>
      <c r="I3858" s="62" t="n">
        <v>408.8</v>
      </c>
      <c r="J3858" s="58" t="inlineStr">
        <is>
          <t>Store</t>
        </is>
      </c>
      <c r="K3858" s="62">
        <f>F3858*(G3858-H3858)</f>
        <v/>
      </c>
      <c r="L3858" s="62">
        <f>K3858-(F3858*I3858)</f>
        <v/>
      </c>
      <c r="M3858" s="64">
        <f>L3858/K3858</f>
        <v/>
      </c>
    </row>
    <row r="3859">
      <c r="A3859" s="58" t="inlineStr">
        <is>
          <t>RT20250411-03858</t>
        </is>
      </c>
      <c r="B3859" s="59" t="inlineStr">
        <is>
          <t>2025-04-11</t>
        </is>
      </c>
      <c r="C3859" s="60" t="inlineStr">
        <is>
          <t>Falcon Household Pro-865</t>
        </is>
      </c>
      <c r="D3859" s="58" t="inlineStr">
        <is>
          <t>Grocery</t>
        </is>
      </c>
      <c r="E3859" s="58" t="inlineStr">
        <is>
          <t>East</t>
        </is>
      </c>
      <c r="F3859" s="61" t="n">
        <v>6</v>
      </c>
      <c r="G3859" s="62" t="n">
        <v>9.41</v>
      </c>
      <c r="H3859" s="63" t="n">
        <v>0.03</v>
      </c>
      <c r="I3859" s="62" t="n">
        <v>7.91</v>
      </c>
      <c r="J3859" s="58" t="inlineStr">
        <is>
          <t>Online</t>
        </is>
      </c>
      <c r="K3859" s="62">
        <f>F3859*(G3859-H3859)</f>
        <v/>
      </c>
      <c r="L3859" s="62">
        <f>K3859-(F3859*I3859)</f>
        <v/>
      </c>
      <c r="M3859" s="64">
        <f>L3859/K3859</f>
        <v/>
      </c>
    </row>
    <row r="3860">
      <c r="A3860" s="58" t="inlineStr">
        <is>
          <t>RT20250411-03859</t>
        </is>
      </c>
      <c r="B3860" s="59" t="inlineStr">
        <is>
          <t>2025-04-11</t>
        </is>
      </c>
      <c r="C3860" s="60" t="inlineStr">
        <is>
          <t>Aurora Printer Plus-723</t>
        </is>
      </c>
      <c r="D3860" s="58" t="inlineStr">
        <is>
          <t>Office</t>
        </is>
      </c>
      <c r="E3860" s="58" t="inlineStr">
        <is>
          <t>East</t>
        </is>
      </c>
      <c r="F3860" s="61" t="n">
        <v>3</v>
      </c>
      <c r="G3860" s="62" t="n">
        <v>278.69</v>
      </c>
      <c r="H3860" s="63" t="n">
        <v>0.119</v>
      </c>
      <c r="I3860" s="62" t="n">
        <v>190.14</v>
      </c>
      <c r="J3860" s="58" t="inlineStr">
        <is>
          <t>Store</t>
        </is>
      </c>
      <c r="K3860" s="62">
        <f>F3860*(G3860-H3860)</f>
        <v/>
      </c>
      <c r="L3860" s="62">
        <f>K3860-(F3860*I3860)</f>
        <v/>
      </c>
      <c r="M3860" s="64">
        <f>L3860/K3860</f>
        <v/>
      </c>
    </row>
    <row r="3861">
      <c r="A3861" s="58" t="inlineStr">
        <is>
          <t>RT20250411-03860</t>
        </is>
      </c>
      <c r="B3861" s="59" t="inlineStr">
        <is>
          <t>2025-04-11</t>
        </is>
      </c>
      <c r="C3861" s="60" t="inlineStr">
        <is>
          <t>Aurora Team Sport Plus-256</t>
        </is>
      </c>
      <c r="D3861" s="58" t="inlineStr">
        <is>
          <t>Sports</t>
        </is>
      </c>
      <c r="E3861" s="58" t="inlineStr">
        <is>
          <t>East</t>
        </is>
      </c>
      <c r="F3861" s="61" t="n">
        <v>3</v>
      </c>
      <c r="G3861" s="62" t="n">
        <v>659.2</v>
      </c>
      <c r="H3861" s="63" t="n">
        <v>0.054</v>
      </c>
      <c r="I3861" s="62" t="n">
        <v>407.06</v>
      </c>
      <c r="J3861" s="58" t="inlineStr">
        <is>
          <t>Online</t>
        </is>
      </c>
      <c r="K3861" s="62">
        <f>F3861*(G3861-H3861)</f>
        <v/>
      </c>
      <c r="L3861" s="62">
        <f>K3861-(F3861*I3861)</f>
        <v/>
      </c>
      <c r="M3861" s="64">
        <f>L3861/K3861</f>
        <v/>
      </c>
    </row>
    <row r="3862">
      <c r="A3862" s="58" t="inlineStr">
        <is>
          <t>RT20250411-03861</t>
        </is>
      </c>
      <c r="B3862" s="59" t="inlineStr">
        <is>
          <t>2025-04-11</t>
        </is>
      </c>
      <c r="C3862" s="60" t="inlineStr">
        <is>
          <t>Polar Wearable X-119</t>
        </is>
      </c>
      <c r="D3862" s="58" t="inlineStr">
        <is>
          <t>Electronics</t>
        </is>
      </c>
      <c r="E3862" s="58" t="inlineStr">
        <is>
          <t>North</t>
        </is>
      </c>
      <c r="F3862" s="61" t="n">
        <v>1</v>
      </c>
      <c r="G3862" s="62" t="n">
        <v>2023.18</v>
      </c>
      <c r="H3862" s="63" t="n">
        <v>0.058</v>
      </c>
      <c r="I3862" s="62" t="n">
        <v>1306.53</v>
      </c>
      <c r="J3862" s="58" t="inlineStr">
        <is>
          <t>Store</t>
        </is>
      </c>
      <c r="K3862" s="62">
        <f>F3862*(G3862-H3862)</f>
        <v/>
      </c>
      <c r="L3862" s="62">
        <f>K3862-(F3862*I3862)</f>
        <v/>
      </c>
      <c r="M3862" s="64">
        <f>L3862/K3862</f>
        <v/>
      </c>
    </row>
    <row r="3863">
      <c r="A3863" s="58" t="inlineStr">
        <is>
          <t>RT20250411-03862</t>
        </is>
      </c>
      <c r="B3863" s="59" t="inlineStr">
        <is>
          <t>2025-04-11</t>
        </is>
      </c>
      <c r="C3863" s="60" t="inlineStr">
        <is>
          <t>Polar Beverage S-258</t>
        </is>
      </c>
      <c r="D3863" s="58" t="inlineStr">
        <is>
          <t>Grocery</t>
        </is>
      </c>
      <c r="E3863" s="58" t="inlineStr">
        <is>
          <t>East</t>
        </is>
      </c>
      <c r="F3863" s="61" t="n">
        <v>8</v>
      </c>
      <c r="G3863" s="62" t="n">
        <v>12.97</v>
      </c>
      <c r="H3863" s="63" t="n">
        <v>0.062</v>
      </c>
      <c r="I3863" s="62" t="n">
        <v>9.93</v>
      </c>
      <c r="J3863" s="58" t="inlineStr">
        <is>
          <t>Online</t>
        </is>
      </c>
      <c r="K3863" s="62">
        <f>F3863*(G3863-H3863)</f>
        <v/>
      </c>
      <c r="L3863" s="62">
        <f>K3863-(F3863*I3863)</f>
        <v/>
      </c>
      <c r="M3863" s="64">
        <f>L3863/K3863</f>
        <v/>
      </c>
    </row>
    <row r="3864">
      <c r="A3864" s="58" t="inlineStr">
        <is>
          <t>RT20250411-03863</t>
        </is>
      </c>
      <c r="B3864" s="59" t="inlineStr">
        <is>
          <t>2025-04-11</t>
        </is>
      </c>
      <c r="C3864" s="60" t="inlineStr">
        <is>
          <t>Metro Accessorie Lite-697</t>
        </is>
      </c>
      <c r="D3864" s="58" t="inlineStr">
        <is>
          <t>Apparel</t>
        </is>
      </c>
      <c r="E3864" s="58" t="inlineStr">
        <is>
          <t>North</t>
        </is>
      </c>
      <c r="F3864" s="61" t="n">
        <v>4</v>
      </c>
      <c r="G3864" s="62" t="n">
        <v>138.19</v>
      </c>
      <c r="H3864" s="63" t="n">
        <v>0.029</v>
      </c>
      <c r="I3864" s="62" t="n">
        <v>76.79000000000001</v>
      </c>
      <c r="J3864" s="58" t="inlineStr">
        <is>
          <t>Online</t>
        </is>
      </c>
      <c r="K3864" s="62">
        <f>F3864*(G3864-H3864)</f>
        <v/>
      </c>
      <c r="L3864" s="62">
        <f>K3864-(F3864*I3864)</f>
        <v/>
      </c>
      <c r="M3864" s="64">
        <f>L3864/K3864</f>
        <v/>
      </c>
    </row>
    <row r="3865">
      <c r="A3865" s="58" t="inlineStr">
        <is>
          <t>RT20250411-03864</t>
        </is>
      </c>
      <c r="B3865" s="59" t="inlineStr">
        <is>
          <t>2025-04-11</t>
        </is>
      </c>
      <c r="C3865" s="60" t="inlineStr">
        <is>
          <t>Vertex Smartphone Lite-267</t>
        </is>
      </c>
      <c r="D3865" s="58" t="inlineStr">
        <is>
          <t>Electronics</t>
        </is>
      </c>
      <c r="E3865" s="58" t="inlineStr">
        <is>
          <t>South</t>
        </is>
      </c>
      <c r="F3865" s="61" t="n">
        <v>1</v>
      </c>
      <c r="G3865" s="62" t="n">
        <v>1336.21</v>
      </c>
      <c r="H3865" s="63" t="n">
        <v>0.017</v>
      </c>
      <c r="I3865" s="62" t="n">
        <v>993.36</v>
      </c>
      <c r="J3865" s="58" t="inlineStr">
        <is>
          <t>Store</t>
        </is>
      </c>
      <c r="K3865" s="62">
        <f>F3865*(G3865-H3865)</f>
        <v/>
      </c>
      <c r="L3865" s="62">
        <f>K3865-(F3865*I3865)</f>
        <v/>
      </c>
      <c r="M3865" s="64">
        <f>L3865/K3865</f>
        <v/>
      </c>
    </row>
    <row r="3866">
      <c r="A3866" s="58" t="inlineStr">
        <is>
          <t>RT20250412-03865</t>
        </is>
      </c>
      <c r="B3866" s="59" t="inlineStr">
        <is>
          <t>2025-04-12</t>
        </is>
      </c>
      <c r="C3866" s="60" t="inlineStr">
        <is>
          <t>Solace Laptop S-367</t>
        </is>
      </c>
      <c r="D3866" s="58" t="inlineStr">
        <is>
          <t>Electronics</t>
        </is>
      </c>
      <c r="E3866" s="58" t="inlineStr">
        <is>
          <t>East</t>
        </is>
      </c>
      <c r="F3866" s="61" t="n">
        <v>2</v>
      </c>
      <c r="G3866" s="62" t="n">
        <v>2067.49</v>
      </c>
      <c r="H3866" s="63" t="n">
        <v>0.08599999999999999</v>
      </c>
      <c r="I3866" s="62" t="n">
        <v>1598.42</v>
      </c>
      <c r="J3866" s="58" t="inlineStr">
        <is>
          <t>Online</t>
        </is>
      </c>
      <c r="K3866" s="62">
        <f>F3866*(G3866-H3866)</f>
        <v/>
      </c>
      <c r="L3866" s="62">
        <f>K3866-(F3866*I3866)</f>
        <v/>
      </c>
      <c r="M3866" s="64">
        <f>L3866/K3866</f>
        <v/>
      </c>
    </row>
    <row r="3867">
      <c r="A3867" s="58" t="inlineStr">
        <is>
          <t>RT20250412-03866</t>
        </is>
      </c>
      <c r="B3867" s="59" t="inlineStr">
        <is>
          <t>2025-04-12</t>
        </is>
      </c>
      <c r="C3867" s="60" t="inlineStr">
        <is>
          <t>Aurora Bedding Plus-187</t>
        </is>
      </c>
      <c r="D3867" s="58" t="inlineStr">
        <is>
          <t>Home</t>
        </is>
      </c>
      <c r="E3867" s="58" t="inlineStr">
        <is>
          <t>West</t>
        </is>
      </c>
      <c r="F3867" s="61" t="n">
        <v>1</v>
      </c>
      <c r="G3867" s="62" t="n">
        <v>293.4</v>
      </c>
      <c r="H3867" s="63" t="n">
        <v>0.126</v>
      </c>
      <c r="I3867" s="62" t="n">
        <v>206.22</v>
      </c>
      <c r="J3867" s="58" t="inlineStr">
        <is>
          <t>Store</t>
        </is>
      </c>
      <c r="K3867" s="62">
        <f>F3867*(G3867-H3867)</f>
        <v/>
      </c>
      <c r="L3867" s="62">
        <f>K3867-(F3867*I3867)</f>
        <v/>
      </c>
      <c r="M3867" s="64">
        <f>L3867/K3867</f>
        <v/>
      </c>
    </row>
    <row r="3868">
      <c r="A3868" s="58" t="inlineStr">
        <is>
          <t>RT20250412-03867</t>
        </is>
      </c>
      <c r="B3868" s="59" t="inlineStr">
        <is>
          <t>2025-04-12</t>
        </is>
      </c>
      <c r="C3868" s="60" t="inlineStr">
        <is>
          <t>Polar Laptop Plus-984</t>
        </is>
      </c>
      <c r="D3868" s="58" t="inlineStr">
        <is>
          <t>Electronics</t>
        </is>
      </c>
      <c r="E3868" s="58" t="inlineStr">
        <is>
          <t>East</t>
        </is>
      </c>
      <c r="F3868" s="61" t="n">
        <v>2</v>
      </c>
      <c r="G3868" s="62" t="n">
        <v>1325.28</v>
      </c>
      <c r="H3868" s="63" t="n">
        <v>0.031</v>
      </c>
      <c r="I3868" s="62" t="n">
        <v>1015.47</v>
      </c>
      <c r="J3868" s="58" t="inlineStr">
        <is>
          <t>Online</t>
        </is>
      </c>
      <c r="K3868" s="62">
        <f>F3868*(G3868-H3868)</f>
        <v/>
      </c>
      <c r="L3868" s="62">
        <f>K3868-(F3868*I3868)</f>
        <v/>
      </c>
      <c r="M3868" s="64">
        <f>L3868/K3868</f>
        <v/>
      </c>
    </row>
    <row r="3869">
      <c r="A3869" s="58" t="inlineStr">
        <is>
          <t>RT20250412-03868</t>
        </is>
      </c>
      <c r="B3869" s="59" t="inlineStr">
        <is>
          <t>2025-04-12</t>
        </is>
      </c>
      <c r="C3869" s="60" t="inlineStr">
        <is>
          <t>Solace Bedding Plus-317</t>
        </is>
      </c>
      <c r="D3869" s="58" t="inlineStr">
        <is>
          <t>Home</t>
        </is>
      </c>
      <c r="E3869" s="58" t="inlineStr">
        <is>
          <t>Central</t>
        </is>
      </c>
      <c r="F3869" s="61" t="n">
        <v>3</v>
      </c>
      <c r="G3869" s="62" t="n">
        <v>523.08</v>
      </c>
      <c r="H3869" s="63" t="n">
        <v>0.052</v>
      </c>
      <c r="I3869" s="62" t="n">
        <v>385.29</v>
      </c>
      <c r="J3869" s="58" t="inlineStr">
        <is>
          <t>Store</t>
        </is>
      </c>
      <c r="K3869" s="62">
        <f>F3869*(G3869-H3869)</f>
        <v/>
      </c>
      <c r="L3869" s="62">
        <f>K3869-(F3869*I3869)</f>
        <v/>
      </c>
      <c r="M3869" s="64">
        <f>L3869/K3869</f>
        <v/>
      </c>
    </row>
    <row r="3870">
      <c r="A3870" s="58" t="inlineStr">
        <is>
          <t>RT20250412-03869</t>
        </is>
      </c>
      <c r="B3870" s="59" t="inlineStr">
        <is>
          <t>2025-04-12</t>
        </is>
      </c>
      <c r="C3870" s="60" t="inlineStr">
        <is>
          <t>Nimbus Women Plus-352</t>
        </is>
      </c>
      <c r="D3870" s="58" t="inlineStr">
        <is>
          <t>Apparel</t>
        </is>
      </c>
      <c r="E3870" s="58" t="inlineStr">
        <is>
          <t>East</t>
        </is>
      </c>
      <c r="F3870" s="61" t="n">
        <v>2</v>
      </c>
      <c r="G3870" s="62" t="n">
        <v>67.53</v>
      </c>
      <c r="H3870" s="63" t="n">
        <v>0.081</v>
      </c>
      <c r="I3870" s="62" t="n">
        <v>33.76</v>
      </c>
      <c r="J3870" s="58" t="inlineStr">
        <is>
          <t>Store</t>
        </is>
      </c>
      <c r="K3870" s="62">
        <f>F3870*(G3870-H3870)</f>
        <v/>
      </c>
      <c r="L3870" s="62">
        <f>K3870-(F3870*I3870)</f>
        <v/>
      </c>
      <c r="M3870" s="64">
        <f>L3870/K3870</f>
        <v/>
      </c>
    </row>
    <row r="3871">
      <c r="A3871" s="58" t="inlineStr">
        <is>
          <t>RT20250412-03870</t>
        </is>
      </c>
      <c r="B3871" s="59" t="inlineStr">
        <is>
          <t>2025-04-12</t>
        </is>
      </c>
      <c r="C3871" s="60" t="inlineStr">
        <is>
          <t>Metro Outdoor Plus-787</t>
        </is>
      </c>
      <c r="D3871" s="58" t="inlineStr">
        <is>
          <t>Sports</t>
        </is>
      </c>
      <c r="E3871" s="58" t="inlineStr">
        <is>
          <t>South</t>
        </is>
      </c>
      <c r="F3871" s="61" t="n">
        <v>1</v>
      </c>
      <c r="G3871" s="62" t="n">
        <v>522.63</v>
      </c>
      <c r="H3871" s="63" t="n">
        <v>0.041</v>
      </c>
      <c r="I3871" s="62" t="n">
        <v>348.18</v>
      </c>
      <c r="J3871" s="58" t="inlineStr">
        <is>
          <t>Store</t>
        </is>
      </c>
      <c r="K3871" s="62">
        <f>F3871*(G3871-H3871)</f>
        <v/>
      </c>
      <c r="L3871" s="62">
        <f>K3871-(F3871*I3871)</f>
        <v/>
      </c>
      <c r="M3871" s="64">
        <f>L3871/K3871</f>
        <v/>
      </c>
    </row>
    <row r="3872">
      <c r="A3872" s="58" t="inlineStr">
        <is>
          <t>RT20250412-03871</t>
        </is>
      </c>
      <c r="B3872" s="59" t="inlineStr">
        <is>
          <t>2025-04-12</t>
        </is>
      </c>
      <c r="C3872" s="60" t="inlineStr">
        <is>
          <t>Vertex Snack S-702</t>
        </is>
      </c>
      <c r="D3872" s="58" t="inlineStr">
        <is>
          <t>Grocery</t>
        </is>
      </c>
      <c r="E3872" s="58" t="inlineStr">
        <is>
          <t>North</t>
        </is>
      </c>
      <c r="F3872" s="61" t="n">
        <v>2</v>
      </c>
      <c r="G3872" s="62" t="n">
        <v>1.89</v>
      </c>
      <c r="H3872" s="63" t="n">
        <v>0.06</v>
      </c>
      <c r="I3872" s="62" t="n">
        <v>1.46</v>
      </c>
      <c r="J3872" s="58" t="inlineStr">
        <is>
          <t>Store</t>
        </is>
      </c>
      <c r="K3872" s="62">
        <f>F3872*(G3872-H3872)</f>
        <v/>
      </c>
      <c r="L3872" s="62">
        <f>K3872-(F3872*I3872)</f>
        <v/>
      </c>
      <c r="M3872" s="64">
        <f>L3872/K3872</f>
        <v/>
      </c>
    </row>
    <row r="3873">
      <c r="A3873" s="58" t="inlineStr">
        <is>
          <t>RT20250412-03872</t>
        </is>
      </c>
      <c r="B3873" s="59" t="inlineStr">
        <is>
          <t>2025-04-12</t>
        </is>
      </c>
      <c r="C3873" s="60" t="inlineStr">
        <is>
          <t>Nimbus Decor Lite-385</t>
        </is>
      </c>
      <c r="D3873" s="58" t="inlineStr">
        <is>
          <t>Home</t>
        </is>
      </c>
      <c r="E3873" s="58" t="inlineStr">
        <is>
          <t>Central</t>
        </is>
      </c>
      <c r="F3873" s="61" t="n">
        <v>1</v>
      </c>
      <c r="G3873" s="62" t="n">
        <v>559.08</v>
      </c>
      <c r="H3873" s="63" t="n">
        <v>0.031</v>
      </c>
      <c r="I3873" s="62" t="n">
        <v>390.12</v>
      </c>
      <c r="J3873" s="58" t="inlineStr">
        <is>
          <t>Online</t>
        </is>
      </c>
      <c r="K3873" s="62">
        <f>F3873*(G3873-H3873)</f>
        <v/>
      </c>
      <c r="L3873" s="62">
        <f>K3873-(F3873*I3873)</f>
        <v/>
      </c>
      <c r="M3873" s="64">
        <f>L3873/K3873</f>
        <v/>
      </c>
    </row>
    <row r="3874">
      <c r="A3874" s="58" t="inlineStr">
        <is>
          <t>RT20250412-03873</t>
        </is>
      </c>
      <c r="B3874" s="59" t="inlineStr">
        <is>
          <t>2025-04-12</t>
        </is>
      </c>
      <c r="C3874" s="60" t="inlineStr">
        <is>
          <t>Polar Supplie Lite-348</t>
        </is>
      </c>
      <c r="D3874" s="58" t="inlineStr">
        <is>
          <t>Office</t>
        </is>
      </c>
      <c r="E3874" s="58" t="inlineStr">
        <is>
          <t>North</t>
        </is>
      </c>
      <c r="F3874" s="61" t="n">
        <v>1</v>
      </c>
      <c r="G3874" s="62" t="n">
        <v>444.93</v>
      </c>
      <c r="H3874" s="63" t="n">
        <v>0.035</v>
      </c>
      <c r="I3874" s="62" t="n">
        <v>320.19</v>
      </c>
      <c r="J3874" s="58" t="inlineStr">
        <is>
          <t>Store</t>
        </is>
      </c>
      <c r="K3874" s="62">
        <f>F3874*(G3874-H3874)</f>
        <v/>
      </c>
      <c r="L3874" s="62">
        <f>K3874-(F3874*I3874)</f>
        <v/>
      </c>
      <c r="M3874" s="64">
        <f>L3874/K3874</f>
        <v/>
      </c>
    </row>
    <row r="3875">
      <c r="A3875" s="58" t="inlineStr">
        <is>
          <t>RT20250412-03874</t>
        </is>
      </c>
      <c r="B3875" s="59" t="inlineStr">
        <is>
          <t>2025-04-12</t>
        </is>
      </c>
      <c r="C3875" s="60" t="inlineStr">
        <is>
          <t>Polar Supplie Lite-348</t>
        </is>
      </c>
      <c r="D3875" s="58" t="inlineStr">
        <is>
          <t>Office</t>
        </is>
      </c>
      <c r="E3875" s="58" t="inlineStr">
        <is>
          <t>West</t>
        </is>
      </c>
      <c r="F3875" s="61" t="n">
        <v>3</v>
      </c>
      <c r="G3875" s="62" t="n">
        <v>505.44</v>
      </c>
      <c r="H3875" s="63" t="n">
        <v>0.098</v>
      </c>
      <c r="I3875" s="62" t="n">
        <v>310.94</v>
      </c>
      <c r="J3875" s="58" t="inlineStr">
        <is>
          <t>Store</t>
        </is>
      </c>
      <c r="K3875" s="62">
        <f>F3875*(G3875-H3875)</f>
        <v/>
      </c>
      <c r="L3875" s="62">
        <f>K3875-(F3875*I3875)</f>
        <v/>
      </c>
      <c r="M3875" s="64">
        <f>L3875/K3875</f>
        <v/>
      </c>
    </row>
    <row r="3876">
      <c r="A3876" s="58" t="inlineStr">
        <is>
          <t>RT20250412-03875</t>
        </is>
      </c>
      <c r="B3876" s="59" t="inlineStr">
        <is>
          <t>2025-04-12</t>
        </is>
      </c>
      <c r="C3876" s="60" t="inlineStr">
        <is>
          <t>Falcon Bedding S-674</t>
        </is>
      </c>
      <c r="D3876" s="58" t="inlineStr">
        <is>
          <t>Home</t>
        </is>
      </c>
      <c r="E3876" s="58" t="inlineStr">
        <is>
          <t>Central</t>
        </is>
      </c>
      <c r="F3876" s="61" t="n">
        <v>3</v>
      </c>
      <c r="G3876" s="62" t="n">
        <v>675.77</v>
      </c>
      <c r="H3876" s="63" t="n">
        <v>0.067</v>
      </c>
      <c r="I3876" s="62" t="n">
        <v>449.2</v>
      </c>
      <c r="J3876" s="58" t="inlineStr">
        <is>
          <t>Store</t>
        </is>
      </c>
      <c r="K3876" s="62">
        <f>F3876*(G3876-H3876)</f>
        <v/>
      </c>
      <c r="L3876" s="62">
        <f>K3876-(F3876*I3876)</f>
        <v/>
      </c>
      <c r="M3876" s="64">
        <f>L3876/K3876</f>
        <v/>
      </c>
    </row>
    <row r="3877">
      <c r="A3877" s="58" t="inlineStr">
        <is>
          <t>RT20250412-03876</t>
        </is>
      </c>
      <c r="B3877" s="59" t="inlineStr">
        <is>
          <t>2025-04-12</t>
        </is>
      </c>
      <c r="C3877" s="60" t="inlineStr">
        <is>
          <t>Metro Fragrance Lite-261</t>
        </is>
      </c>
      <c r="D3877" s="58" t="inlineStr">
        <is>
          <t>Beauty</t>
        </is>
      </c>
      <c r="E3877" s="58" t="inlineStr">
        <is>
          <t>North</t>
        </is>
      </c>
      <c r="F3877" s="61" t="n">
        <v>1</v>
      </c>
      <c r="G3877" s="62" t="n">
        <v>100.82</v>
      </c>
      <c r="H3877" s="63" t="n">
        <v>0.051</v>
      </c>
      <c r="I3877" s="62" t="n">
        <v>53.59</v>
      </c>
      <c r="J3877" s="58" t="inlineStr">
        <is>
          <t>Online</t>
        </is>
      </c>
      <c r="K3877" s="62">
        <f>F3877*(G3877-H3877)</f>
        <v/>
      </c>
      <c r="L3877" s="62">
        <f>K3877-(F3877*I3877)</f>
        <v/>
      </c>
      <c r="M3877" s="64">
        <f>L3877/K3877</f>
        <v/>
      </c>
    </row>
    <row r="3878">
      <c r="A3878" s="58" t="inlineStr">
        <is>
          <t>RT20250412-03877</t>
        </is>
      </c>
      <c r="B3878" s="59" t="inlineStr">
        <is>
          <t>2025-04-12</t>
        </is>
      </c>
      <c r="C3878" s="60" t="inlineStr">
        <is>
          <t>Vertex Skincare Pro-891</t>
        </is>
      </c>
      <c r="D3878" s="58" t="inlineStr">
        <is>
          <t>Beauty</t>
        </is>
      </c>
      <c r="E3878" s="58" t="inlineStr">
        <is>
          <t>East</t>
        </is>
      </c>
      <c r="F3878" s="61" t="n">
        <v>4</v>
      </c>
      <c r="G3878" s="62" t="n">
        <v>120.16</v>
      </c>
      <c r="H3878" s="63" t="n">
        <v>0.123</v>
      </c>
      <c r="I3878" s="62" t="n">
        <v>90.06</v>
      </c>
      <c r="J3878" s="58" t="inlineStr">
        <is>
          <t>Online</t>
        </is>
      </c>
      <c r="K3878" s="62">
        <f>F3878*(G3878-H3878)</f>
        <v/>
      </c>
      <c r="L3878" s="62">
        <f>K3878-(F3878*I3878)</f>
        <v/>
      </c>
      <c r="M3878" s="64">
        <f>L3878/K3878</f>
        <v/>
      </c>
    </row>
    <row r="3879">
      <c r="A3879" s="58" t="inlineStr">
        <is>
          <t>RT20250412-03878</t>
        </is>
      </c>
      <c r="B3879" s="59" t="inlineStr">
        <is>
          <t>2025-04-12</t>
        </is>
      </c>
      <c r="C3879" s="60" t="inlineStr">
        <is>
          <t>Metro Pantry X-710</t>
        </is>
      </c>
      <c r="D3879" s="58" t="inlineStr">
        <is>
          <t>Grocery</t>
        </is>
      </c>
      <c r="E3879" s="58" t="inlineStr">
        <is>
          <t>East</t>
        </is>
      </c>
      <c r="F3879" s="61" t="n">
        <v>5</v>
      </c>
      <c r="G3879" s="62" t="n">
        <v>5.69</v>
      </c>
      <c r="H3879" s="63" t="n">
        <v>0.105</v>
      </c>
      <c r="I3879" s="62" t="n">
        <v>4.12</v>
      </c>
      <c r="J3879" s="58" t="inlineStr">
        <is>
          <t>Store</t>
        </is>
      </c>
      <c r="K3879" s="62">
        <f>F3879*(G3879-H3879)</f>
        <v/>
      </c>
      <c r="L3879" s="62">
        <f>K3879-(F3879*I3879)</f>
        <v/>
      </c>
      <c r="M3879" s="64">
        <f>L3879/K3879</f>
        <v/>
      </c>
    </row>
    <row r="3880">
      <c r="A3880" s="58" t="inlineStr">
        <is>
          <t>RT20250412-03879</t>
        </is>
      </c>
      <c r="B3880" s="59" t="inlineStr">
        <is>
          <t>2025-04-12</t>
        </is>
      </c>
      <c r="C3880" s="60" t="inlineStr">
        <is>
          <t>Falcon Wearable X-334</t>
        </is>
      </c>
      <c r="D3880" s="58" t="inlineStr">
        <is>
          <t>Electronics</t>
        </is>
      </c>
      <c r="E3880" s="58" t="inlineStr">
        <is>
          <t>South</t>
        </is>
      </c>
      <c r="F3880" s="61" t="n">
        <v>2</v>
      </c>
      <c r="G3880" s="62" t="n">
        <v>2297.99</v>
      </c>
      <c r="H3880" s="63" t="n">
        <v>0.064</v>
      </c>
      <c r="I3880" s="62" t="n">
        <v>1524.72</v>
      </c>
      <c r="J3880" s="58" t="inlineStr">
        <is>
          <t>Store</t>
        </is>
      </c>
      <c r="K3880" s="62">
        <f>F3880*(G3880-H3880)</f>
        <v/>
      </c>
      <c r="L3880" s="62">
        <f>K3880-(F3880*I3880)</f>
        <v/>
      </c>
      <c r="M3880" s="64">
        <f>L3880/K3880</f>
        <v/>
      </c>
    </row>
    <row r="3881">
      <c r="A3881" s="58" t="inlineStr">
        <is>
          <t>RT20250412-03880</t>
        </is>
      </c>
      <c r="B3881" s="59" t="inlineStr">
        <is>
          <t>2025-04-12</t>
        </is>
      </c>
      <c r="C3881" s="60" t="inlineStr">
        <is>
          <t>Aurora Printer Plus-991</t>
        </is>
      </c>
      <c r="D3881" s="58" t="inlineStr">
        <is>
          <t>Office</t>
        </is>
      </c>
      <c r="E3881" s="58" t="inlineStr">
        <is>
          <t>East</t>
        </is>
      </c>
      <c r="F3881" s="61" t="n">
        <v>1</v>
      </c>
      <c r="G3881" s="62" t="n">
        <v>476.17</v>
      </c>
      <c r="H3881" s="63" t="n">
        <v>0.104</v>
      </c>
      <c r="I3881" s="62" t="n">
        <v>367.7</v>
      </c>
      <c r="J3881" s="58" t="inlineStr">
        <is>
          <t>Online</t>
        </is>
      </c>
      <c r="K3881" s="62">
        <f>F3881*(G3881-H3881)</f>
        <v/>
      </c>
      <c r="L3881" s="62">
        <f>K3881-(F3881*I3881)</f>
        <v/>
      </c>
      <c r="M3881" s="64">
        <f>L3881/K3881</f>
        <v/>
      </c>
    </row>
    <row r="3882">
      <c r="A3882" s="58" t="inlineStr">
        <is>
          <t>RT20250412-03881</t>
        </is>
      </c>
      <c r="B3882" s="59" t="inlineStr">
        <is>
          <t>2025-04-12</t>
        </is>
      </c>
      <c r="C3882" s="60" t="inlineStr">
        <is>
          <t>Orion Snack X-322</t>
        </is>
      </c>
      <c r="D3882" s="58" t="inlineStr">
        <is>
          <t>Grocery</t>
        </is>
      </c>
      <c r="E3882" s="58" t="inlineStr">
        <is>
          <t>South</t>
        </is>
      </c>
      <c r="F3882" s="61" t="n">
        <v>4</v>
      </c>
      <c r="G3882" s="62" t="n">
        <v>15.06</v>
      </c>
      <c r="H3882" s="63" t="n">
        <v>0.078</v>
      </c>
      <c r="I3882" s="62" t="n">
        <v>10.1</v>
      </c>
      <c r="J3882" s="58" t="inlineStr">
        <is>
          <t>Phone</t>
        </is>
      </c>
      <c r="K3882" s="62">
        <f>F3882*(G3882-H3882)</f>
        <v/>
      </c>
      <c r="L3882" s="62">
        <f>K3882-(F3882*I3882)</f>
        <v/>
      </c>
      <c r="M3882" s="64">
        <f>L3882/K3882</f>
        <v/>
      </c>
    </row>
    <row r="3883">
      <c r="A3883" s="58" t="inlineStr">
        <is>
          <t>RT20250412-03882</t>
        </is>
      </c>
      <c r="B3883" s="59" t="inlineStr">
        <is>
          <t>2025-04-12</t>
        </is>
      </c>
      <c r="C3883" s="60" t="inlineStr">
        <is>
          <t>Falcon Haircare Pro-980</t>
        </is>
      </c>
      <c r="D3883" s="58" t="inlineStr">
        <is>
          <t>Beauty</t>
        </is>
      </c>
      <c r="E3883" s="58" t="inlineStr">
        <is>
          <t>Central</t>
        </is>
      </c>
      <c r="F3883" s="61" t="n">
        <v>5</v>
      </c>
      <c r="G3883" s="62" t="n">
        <v>83.97</v>
      </c>
      <c r="H3883" s="63" t="n">
        <v>0.082</v>
      </c>
      <c r="I3883" s="62" t="n">
        <v>56.91</v>
      </c>
      <c r="J3883" s="58" t="inlineStr">
        <is>
          <t>Online</t>
        </is>
      </c>
      <c r="K3883" s="62">
        <f>F3883*(G3883-H3883)</f>
        <v/>
      </c>
      <c r="L3883" s="62">
        <f>K3883-(F3883*I3883)</f>
        <v/>
      </c>
      <c r="M3883" s="64">
        <f>L3883/K3883</f>
        <v/>
      </c>
    </row>
    <row r="3884">
      <c r="A3884" s="58" t="inlineStr">
        <is>
          <t>RT20250412-03883</t>
        </is>
      </c>
      <c r="B3884" s="59" t="inlineStr">
        <is>
          <t>2025-04-12</t>
        </is>
      </c>
      <c r="C3884" s="60" t="inlineStr">
        <is>
          <t>Polar Snack Pro-641</t>
        </is>
      </c>
      <c r="D3884" s="58" t="inlineStr">
        <is>
          <t>Grocery</t>
        </is>
      </c>
      <c r="E3884" s="58" t="inlineStr">
        <is>
          <t>East</t>
        </is>
      </c>
      <c r="F3884" s="61" t="n">
        <v>6</v>
      </c>
      <c r="G3884" s="62" t="n">
        <v>13.85</v>
      </c>
      <c r="H3884" s="63" t="n">
        <v>0.058</v>
      </c>
      <c r="I3884" s="62" t="n">
        <v>9.550000000000001</v>
      </c>
      <c r="J3884" s="58" t="inlineStr">
        <is>
          <t>Online</t>
        </is>
      </c>
      <c r="K3884" s="62">
        <f>F3884*(G3884-H3884)</f>
        <v/>
      </c>
      <c r="L3884" s="62">
        <f>K3884-(F3884*I3884)</f>
        <v/>
      </c>
      <c r="M3884" s="64">
        <f>L3884/K3884</f>
        <v/>
      </c>
    </row>
    <row r="3885">
      <c r="A3885" s="58" t="inlineStr">
        <is>
          <t>RT20250412-03884</t>
        </is>
      </c>
      <c r="B3885" s="59" t="inlineStr">
        <is>
          <t>2025-04-12</t>
        </is>
      </c>
      <c r="C3885" s="60" t="inlineStr">
        <is>
          <t>Polar Haircare Max-614</t>
        </is>
      </c>
      <c r="D3885" s="58" t="inlineStr">
        <is>
          <t>Beauty</t>
        </is>
      </c>
      <c r="E3885" s="58" t="inlineStr">
        <is>
          <t>South</t>
        </is>
      </c>
      <c r="F3885" s="61" t="n">
        <v>5</v>
      </c>
      <c r="G3885" s="62" t="n">
        <v>103.85</v>
      </c>
      <c r="H3885" s="63" t="n">
        <v>0.044</v>
      </c>
      <c r="I3885" s="62" t="n">
        <v>70.11</v>
      </c>
      <c r="J3885" s="58" t="inlineStr">
        <is>
          <t>Phone</t>
        </is>
      </c>
      <c r="K3885" s="62">
        <f>F3885*(G3885-H3885)</f>
        <v/>
      </c>
      <c r="L3885" s="62">
        <f>K3885-(F3885*I3885)</f>
        <v/>
      </c>
      <c r="M3885" s="64">
        <f>L3885/K3885</f>
        <v/>
      </c>
    </row>
    <row r="3886">
      <c r="A3886" s="58" t="inlineStr">
        <is>
          <t>RT20250412-03885</t>
        </is>
      </c>
      <c r="B3886" s="59" t="inlineStr">
        <is>
          <t>2025-04-12</t>
        </is>
      </c>
      <c r="C3886" s="60" t="inlineStr">
        <is>
          <t>Nimbus Fitnes Lite-516</t>
        </is>
      </c>
      <c r="D3886" s="58" t="inlineStr">
        <is>
          <t>Sports</t>
        </is>
      </c>
      <c r="E3886" s="58" t="inlineStr">
        <is>
          <t>West</t>
        </is>
      </c>
      <c r="F3886" s="61" t="n">
        <v>1</v>
      </c>
      <c r="G3886" s="62" t="n">
        <v>676.33</v>
      </c>
      <c r="H3886" s="63" t="n">
        <v>0</v>
      </c>
      <c r="I3886" s="62" t="n">
        <v>458.25</v>
      </c>
      <c r="J3886" s="58" t="inlineStr">
        <is>
          <t>Online</t>
        </is>
      </c>
      <c r="K3886" s="62">
        <f>F3886*(G3886-H3886)</f>
        <v/>
      </c>
      <c r="L3886" s="62">
        <f>K3886-(F3886*I3886)</f>
        <v/>
      </c>
      <c r="M3886" s="64">
        <f>L3886/K3886</f>
        <v/>
      </c>
    </row>
    <row r="3887">
      <c r="A3887" s="58" t="inlineStr">
        <is>
          <t>RT20250412-03886</t>
        </is>
      </c>
      <c r="B3887" s="59" t="inlineStr">
        <is>
          <t>2025-04-12</t>
        </is>
      </c>
      <c r="C3887" s="60" t="inlineStr">
        <is>
          <t>Nimbus Furniture Pro-479</t>
        </is>
      </c>
      <c r="D3887" s="58" t="inlineStr">
        <is>
          <t>Office</t>
        </is>
      </c>
      <c r="E3887" s="58" t="inlineStr">
        <is>
          <t>Central</t>
        </is>
      </c>
      <c r="F3887" s="61" t="n">
        <v>3</v>
      </c>
      <c r="G3887" s="62" t="n">
        <v>368.88</v>
      </c>
      <c r="H3887" s="63" t="n">
        <v>0.076</v>
      </c>
      <c r="I3887" s="62" t="n">
        <v>238.36</v>
      </c>
      <c r="J3887" s="58" t="inlineStr">
        <is>
          <t>Store</t>
        </is>
      </c>
      <c r="K3887" s="62">
        <f>F3887*(G3887-H3887)</f>
        <v/>
      </c>
      <c r="L3887" s="62">
        <f>K3887-(F3887*I3887)</f>
        <v/>
      </c>
      <c r="M3887" s="64">
        <f>L3887/K3887</f>
        <v/>
      </c>
    </row>
    <row r="3888">
      <c r="A3888" s="58" t="inlineStr">
        <is>
          <t>RT20250412-03887</t>
        </is>
      </c>
      <c r="B3888" s="59" t="inlineStr">
        <is>
          <t>2025-04-12</t>
        </is>
      </c>
      <c r="C3888" s="60" t="inlineStr">
        <is>
          <t>Orion Kid Max-640</t>
        </is>
      </c>
      <c r="D3888" s="58" t="inlineStr">
        <is>
          <t>Apparel</t>
        </is>
      </c>
      <c r="E3888" s="58" t="inlineStr">
        <is>
          <t>Central</t>
        </is>
      </c>
      <c r="F3888" s="61" t="n">
        <v>2</v>
      </c>
      <c r="G3888" s="62" t="n">
        <v>126.39</v>
      </c>
      <c r="H3888" s="63" t="n">
        <v>0.028</v>
      </c>
      <c r="I3888" s="62" t="n">
        <v>68.59999999999999</v>
      </c>
      <c r="J3888" s="58" t="inlineStr">
        <is>
          <t>Store</t>
        </is>
      </c>
      <c r="K3888" s="62">
        <f>F3888*(G3888-H3888)</f>
        <v/>
      </c>
      <c r="L3888" s="62">
        <f>K3888-(F3888*I3888)</f>
        <v/>
      </c>
      <c r="M3888" s="64">
        <f>L3888/K3888</f>
        <v/>
      </c>
    </row>
    <row r="3889">
      <c r="A3889" s="58" t="inlineStr">
        <is>
          <t>RT20250412-03888</t>
        </is>
      </c>
      <c r="B3889" s="59" t="inlineStr">
        <is>
          <t>2025-04-12</t>
        </is>
      </c>
      <c r="C3889" s="60" t="inlineStr">
        <is>
          <t>Falcon Wearable X-334</t>
        </is>
      </c>
      <c r="D3889" s="58" t="inlineStr">
        <is>
          <t>Electronics</t>
        </is>
      </c>
      <c r="E3889" s="58" t="inlineStr">
        <is>
          <t>East</t>
        </is>
      </c>
      <c r="F3889" s="61" t="n">
        <v>1</v>
      </c>
      <c r="G3889" s="62" t="n">
        <v>1964.8</v>
      </c>
      <c r="H3889" s="63" t="n">
        <v>0.07099999999999999</v>
      </c>
      <c r="I3889" s="62" t="n">
        <v>1487.98</v>
      </c>
      <c r="J3889" s="58" t="inlineStr">
        <is>
          <t>Online</t>
        </is>
      </c>
      <c r="K3889" s="62">
        <f>F3889*(G3889-H3889)</f>
        <v/>
      </c>
      <c r="L3889" s="62">
        <f>K3889-(F3889*I3889)</f>
        <v/>
      </c>
      <c r="M3889" s="64">
        <f>L3889/K3889</f>
        <v/>
      </c>
    </row>
    <row r="3890">
      <c r="A3890" s="58" t="inlineStr">
        <is>
          <t>RT20250412-03889</t>
        </is>
      </c>
      <c r="B3890" s="59" t="inlineStr">
        <is>
          <t>2025-04-12</t>
        </is>
      </c>
      <c r="C3890" s="60" t="inlineStr">
        <is>
          <t>Vertex Decor Pro-618</t>
        </is>
      </c>
      <c r="D3890" s="58" t="inlineStr">
        <is>
          <t>Home</t>
        </is>
      </c>
      <c r="E3890" s="58" t="inlineStr">
        <is>
          <t>Central</t>
        </is>
      </c>
      <c r="F3890" s="61" t="n">
        <v>2</v>
      </c>
      <c r="G3890" s="62" t="n">
        <v>568.98</v>
      </c>
      <c r="H3890" s="63" t="n">
        <v>0.051</v>
      </c>
      <c r="I3890" s="62" t="n">
        <v>383.68</v>
      </c>
      <c r="J3890" s="58" t="inlineStr">
        <is>
          <t>Online</t>
        </is>
      </c>
      <c r="K3890" s="62">
        <f>F3890*(G3890-H3890)</f>
        <v/>
      </c>
      <c r="L3890" s="62">
        <f>K3890-(F3890*I3890)</f>
        <v/>
      </c>
      <c r="M3890" s="64">
        <f>L3890/K3890</f>
        <v/>
      </c>
    </row>
    <row r="3891">
      <c r="A3891" s="58" t="inlineStr">
        <is>
          <t>RT20250412-03890</t>
        </is>
      </c>
      <c r="B3891" s="59" t="inlineStr">
        <is>
          <t>2025-04-12</t>
        </is>
      </c>
      <c r="C3891" s="60" t="inlineStr">
        <is>
          <t>Orion Storage Plus-961</t>
        </is>
      </c>
      <c r="D3891" s="58" t="inlineStr">
        <is>
          <t>Office</t>
        </is>
      </c>
      <c r="E3891" s="58" t="inlineStr">
        <is>
          <t>East</t>
        </is>
      </c>
      <c r="F3891" s="61" t="n">
        <v>1</v>
      </c>
      <c r="G3891" s="62" t="n">
        <v>562.8</v>
      </c>
      <c r="H3891" s="63" t="n">
        <v>0.025</v>
      </c>
      <c r="I3891" s="62" t="n">
        <v>364.92</v>
      </c>
      <c r="J3891" s="58" t="inlineStr">
        <is>
          <t>Phone</t>
        </is>
      </c>
      <c r="K3891" s="62">
        <f>F3891*(G3891-H3891)</f>
        <v/>
      </c>
      <c r="L3891" s="62">
        <f>K3891-(F3891*I3891)</f>
        <v/>
      </c>
      <c r="M3891" s="64">
        <f>L3891/K3891</f>
        <v/>
      </c>
    </row>
    <row r="3892">
      <c r="A3892" s="58" t="inlineStr">
        <is>
          <t>RT20250412-03891</t>
        </is>
      </c>
      <c r="B3892" s="59" t="inlineStr">
        <is>
          <t>2025-04-12</t>
        </is>
      </c>
      <c r="C3892" s="60" t="inlineStr">
        <is>
          <t>Metro Outdoor Plus-787</t>
        </is>
      </c>
      <c r="D3892" s="58" t="inlineStr">
        <is>
          <t>Sports</t>
        </is>
      </c>
      <c r="E3892" s="58" t="inlineStr">
        <is>
          <t>South</t>
        </is>
      </c>
      <c r="F3892" s="61" t="n">
        <v>2</v>
      </c>
      <c r="G3892" s="62" t="n">
        <v>400.88</v>
      </c>
      <c r="H3892" s="63" t="n">
        <v>0.123</v>
      </c>
      <c r="I3892" s="62" t="n">
        <v>341.33</v>
      </c>
      <c r="J3892" s="58" t="inlineStr">
        <is>
          <t>Online</t>
        </is>
      </c>
      <c r="K3892" s="62">
        <f>F3892*(G3892-H3892)</f>
        <v/>
      </c>
      <c r="L3892" s="62">
        <f>K3892-(F3892*I3892)</f>
        <v/>
      </c>
      <c r="M3892" s="64">
        <f>L3892/K3892</f>
        <v/>
      </c>
    </row>
    <row r="3893">
      <c r="A3893" s="58" t="inlineStr">
        <is>
          <t>RT20250412-03892</t>
        </is>
      </c>
      <c r="B3893" s="59" t="inlineStr">
        <is>
          <t>2025-04-12</t>
        </is>
      </c>
      <c r="C3893" s="60" t="inlineStr">
        <is>
          <t>Nimbus Fitnes Lite-516</t>
        </is>
      </c>
      <c r="D3893" s="58" t="inlineStr">
        <is>
          <t>Sports</t>
        </is>
      </c>
      <c r="E3893" s="58" t="inlineStr">
        <is>
          <t>West</t>
        </is>
      </c>
      <c r="F3893" s="61" t="n">
        <v>3</v>
      </c>
      <c r="G3893" s="62" t="n">
        <v>739.03</v>
      </c>
      <c r="H3893" s="63" t="n">
        <v>0.032</v>
      </c>
      <c r="I3893" s="62" t="n">
        <v>466.07</v>
      </c>
      <c r="J3893" s="58" t="inlineStr">
        <is>
          <t>Store</t>
        </is>
      </c>
      <c r="K3893" s="62">
        <f>F3893*(G3893-H3893)</f>
        <v/>
      </c>
      <c r="L3893" s="62">
        <f>K3893-(F3893*I3893)</f>
        <v/>
      </c>
      <c r="M3893" s="64">
        <f>L3893/K3893</f>
        <v/>
      </c>
    </row>
    <row r="3894">
      <c r="A3894" s="58" t="inlineStr">
        <is>
          <t>RT20250413-03893</t>
        </is>
      </c>
      <c r="B3894" s="59" t="inlineStr">
        <is>
          <t>2025-04-13</t>
        </is>
      </c>
      <c r="C3894" s="60" t="inlineStr">
        <is>
          <t>Orion Kitchen Pro-568</t>
        </is>
      </c>
      <c r="D3894" s="58" t="inlineStr">
        <is>
          <t>Home</t>
        </is>
      </c>
      <c r="E3894" s="58" t="inlineStr">
        <is>
          <t>South</t>
        </is>
      </c>
      <c r="F3894" s="61" t="n">
        <v>1</v>
      </c>
      <c r="G3894" s="62" t="n">
        <v>469.82</v>
      </c>
      <c r="H3894" s="63" t="n">
        <v>0.073</v>
      </c>
      <c r="I3894" s="62" t="n">
        <v>309.11</v>
      </c>
      <c r="J3894" s="58" t="inlineStr">
        <is>
          <t>Store</t>
        </is>
      </c>
      <c r="K3894" s="62">
        <f>F3894*(G3894-H3894)</f>
        <v/>
      </c>
      <c r="L3894" s="62">
        <f>K3894-(F3894*I3894)</f>
        <v/>
      </c>
      <c r="M3894" s="64">
        <f>L3894/K3894</f>
        <v/>
      </c>
    </row>
    <row r="3895">
      <c r="A3895" s="58" t="inlineStr">
        <is>
          <t>RT20250413-03894</t>
        </is>
      </c>
      <c r="B3895" s="59" t="inlineStr">
        <is>
          <t>2025-04-13</t>
        </is>
      </c>
      <c r="C3895" s="60" t="inlineStr">
        <is>
          <t>Aurora Furniture X-709</t>
        </is>
      </c>
      <c r="D3895" s="58" t="inlineStr">
        <is>
          <t>Office</t>
        </is>
      </c>
      <c r="E3895" s="58" t="inlineStr">
        <is>
          <t>East</t>
        </is>
      </c>
      <c r="F3895" s="61" t="n">
        <v>2</v>
      </c>
      <c r="G3895" s="62" t="n">
        <v>435.9</v>
      </c>
      <c r="H3895" s="63" t="n">
        <v>0.024</v>
      </c>
      <c r="I3895" s="62" t="n">
        <v>310.14</v>
      </c>
      <c r="J3895" s="58" t="inlineStr">
        <is>
          <t>Online</t>
        </is>
      </c>
      <c r="K3895" s="62">
        <f>F3895*(G3895-H3895)</f>
        <v/>
      </c>
      <c r="L3895" s="62">
        <f>K3895-(F3895*I3895)</f>
        <v/>
      </c>
      <c r="M3895" s="64">
        <f>L3895/K3895</f>
        <v/>
      </c>
    </row>
    <row r="3896">
      <c r="A3896" s="58" t="inlineStr">
        <is>
          <t>RT20250413-03895</t>
        </is>
      </c>
      <c r="B3896" s="59" t="inlineStr">
        <is>
          <t>2025-04-13</t>
        </is>
      </c>
      <c r="C3896" s="60" t="inlineStr">
        <is>
          <t>Nimbus Decor Lite-385</t>
        </is>
      </c>
      <c r="D3896" s="58" t="inlineStr">
        <is>
          <t>Home</t>
        </is>
      </c>
      <c r="E3896" s="58" t="inlineStr">
        <is>
          <t>Central</t>
        </is>
      </c>
      <c r="F3896" s="61" t="n">
        <v>2</v>
      </c>
      <c r="G3896" s="62" t="n">
        <v>597.05</v>
      </c>
      <c r="H3896" s="63" t="n">
        <v>0.037</v>
      </c>
      <c r="I3896" s="62" t="n">
        <v>392.65</v>
      </c>
      <c r="J3896" s="58" t="inlineStr">
        <is>
          <t>Store</t>
        </is>
      </c>
      <c r="K3896" s="62">
        <f>F3896*(G3896-H3896)</f>
        <v/>
      </c>
      <c r="L3896" s="62">
        <f>K3896-(F3896*I3896)</f>
        <v/>
      </c>
      <c r="M3896" s="64">
        <f>L3896/K3896</f>
        <v/>
      </c>
    </row>
    <row r="3897">
      <c r="A3897" s="58" t="inlineStr">
        <is>
          <t>RT20250413-03896</t>
        </is>
      </c>
      <c r="B3897" s="59" t="inlineStr">
        <is>
          <t>2025-04-13</t>
        </is>
      </c>
      <c r="C3897" s="60" t="inlineStr">
        <is>
          <t>Solace Fitnes S-324</t>
        </is>
      </c>
      <c r="D3897" s="58" t="inlineStr">
        <is>
          <t>Sports</t>
        </is>
      </c>
      <c r="E3897" s="58" t="inlineStr">
        <is>
          <t>East</t>
        </is>
      </c>
      <c r="F3897" s="61" t="n">
        <v>3</v>
      </c>
      <c r="G3897" s="62" t="n">
        <v>843.15</v>
      </c>
      <c r="H3897" s="63" t="n">
        <v>0.027</v>
      </c>
      <c r="I3897" s="62" t="n">
        <v>533.41</v>
      </c>
      <c r="J3897" s="58" t="inlineStr">
        <is>
          <t>Store</t>
        </is>
      </c>
      <c r="K3897" s="62">
        <f>F3897*(G3897-H3897)</f>
        <v/>
      </c>
      <c r="L3897" s="62">
        <f>K3897-(F3897*I3897)</f>
        <v/>
      </c>
      <c r="M3897" s="64">
        <f>L3897/K3897</f>
        <v/>
      </c>
    </row>
    <row r="3898">
      <c r="A3898" s="58" t="inlineStr">
        <is>
          <t>RT20250413-03897</t>
        </is>
      </c>
      <c r="B3898" s="59" t="inlineStr">
        <is>
          <t>2025-04-13</t>
        </is>
      </c>
      <c r="C3898" s="60" t="inlineStr">
        <is>
          <t>Polar Men Pro-246</t>
        </is>
      </c>
      <c r="D3898" s="58" t="inlineStr">
        <is>
          <t>Apparel</t>
        </is>
      </c>
      <c r="E3898" s="58" t="inlineStr">
        <is>
          <t>Central</t>
        </is>
      </c>
      <c r="F3898" s="61" t="n">
        <v>3</v>
      </c>
      <c r="G3898" s="62" t="n">
        <v>138.07</v>
      </c>
      <c r="H3898" s="63" t="n">
        <v>0.04</v>
      </c>
      <c r="I3898" s="62" t="n">
        <v>74.65000000000001</v>
      </c>
      <c r="J3898" s="58" t="inlineStr">
        <is>
          <t>Store</t>
        </is>
      </c>
      <c r="K3898" s="62">
        <f>F3898*(G3898-H3898)</f>
        <v/>
      </c>
      <c r="L3898" s="62">
        <f>K3898-(F3898*I3898)</f>
        <v/>
      </c>
      <c r="M3898" s="64">
        <f>L3898/K3898</f>
        <v/>
      </c>
    </row>
    <row r="3899">
      <c r="A3899" s="58" t="inlineStr">
        <is>
          <t>RT20250413-03898</t>
        </is>
      </c>
      <c r="B3899" s="59" t="inlineStr">
        <is>
          <t>2025-04-13</t>
        </is>
      </c>
      <c r="C3899" s="60" t="inlineStr">
        <is>
          <t>Orion Supplie S-612</t>
        </is>
      </c>
      <c r="D3899" s="58" t="inlineStr">
        <is>
          <t>Office</t>
        </is>
      </c>
      <c r="E3899" s="58" t="inlineStr">
        <is>
          <t>East</t>
        </is>
      </c>
      <c r="F3899" s="61" t="n">
        <v>3</v>
      </c>
      <c r="G3899" s="62" t="n">
        <v>476.76</v>
      </c>
      <c r="H3899" s="63" t="n">
        <v>0.078</v>
      </c>
      <c r="I3899" s="62" t="n">
        <v>333.94</v>
      </c>
      <c r="J3899" s="58" t="inlineStr">
        <is>
          <t>Online</t>
        </is>
      </c>
      <c r="K3899" s="62">
        <f>F3899*(G3899-H3899)</f>
        <v/>
      </c>
      <c r="L3899" s="62">
        <f>K3899-(F3899*I3899)</f>
        <v/>
      </c>
      <c r="M3899" s="64">
        <f>L3899/K3899</f>
        <v/>
      </c>
    </row>
    <row r="3900">
      <c r="A3900" s="58" t="inlineStr">
        <is>
          <t>RT20250413-03899</t>
        </is>
      </c>
      <c r="B3900" s="59" t="inlineStr">
        <is>
          <t>2025-04-13</t>
        </is>
      </c>
      <c r="C3900" s="60" t="inlineStr">
        <is>
          <t>Nimbus Decor Lite-385</t>
        </is>
      </c>
      <c r="D3900" s="58" t="inlineStr">
        <is>
          <t>Home</t>
        </is>
      </c>
      <c r="E3900" s="58" t="inlineStr">
        <is>
          <t>South</t>
        </is>
      </c>
      <c r="F3900" s="61" t="n">
        <v>3</v>
      </c>
      <c r="G3900" s="62" t="n">
        <v>538.01</v>
      </c>
      <c r="H3900" s="63" t="n">
        <v>0.048</v>
      </c>
      <c r="I3900" s="62" t="n">
        <v>403.54</v>
      </c>
      <c r="J3900" s="58" t="inlineStr">
        <is>
          <t>Online</t>
        </is>
      </c>
      <c r="K3900" s="62">
        <f>F3900*(G3900-H3900)</f>
        <v/>
      </c>
      <c r="L3900" s="62">
        <f>K3900-(F3900*I3900)</f>
        <v/>
      </c>
      <c r="M3900" s="64">
        <f>L3900/K3900</f>
        <v/>
      </c>
    </row>
    <row r="3901">
      <c r="A3901" s="58" t="inlineStr">
        <is>
          <t>RT20250413-03900</t>
        </is>
      </c>
      <c r="B3901" s="59" t="inlineStr">
        <is>
          <t>2025-04-13</t>
        </is>
      </c>
      <c r="C3901" s="60" t="inlineStr">
        <is>
          <t>Polar Cycling X-649</t>
        </is>
      </c>
      <c r="D3901" s="58" t="inlineStr">
        <is>
          <t>Sports</t>
        </is>
      </c>
      <c r="E3901" s="58" t="inlineStr">
        <is>
          <t>North</t>
        </is>
      </c>
      <c r="F3901" s="61" t="n">
        <v>1</v>
      </c>
      <c r="G3901" s="62" t="n">
        <v>523.33</v>
      </c>
      <c r="H3901" s="63" t="n">
        <v>0.08</v>
      </c>
      <c r="I3901" s="62" t="n">
        <v>352.8</v>
      </c>
      <c r="J3901" s="58" t="inlineStr">
        <is>
          <t>Online</t>
        </is>
      </c>
      <c r="K3901" s="62">
        <f>F3901*(G3901-H3901)</f>
        <v/>
      </c>
      <c r="L3901" s="62">
        <f>K3901-(F3901*I3901)</f>
        <v/>
      </c>
      <c r="M3901" s="64">
        <f>L3901/K3901</f>
        <v/>
      </c>
    </row>
    <row r="3902">
      <c r="A3902" s="58" t="inlineStr">
        <is>
          <t>RT20250413-03901</t>
        </is>
      </c>
      <c r="B3902" s="59" t="inlineStr">
        <is>
          <t>2025-04-13</t>
        </is>
      </c>
      <c r="C3902" s="60" t="inlineStr">
        <is>
          <t>Solace Kitchen X-919</t>
        </is>
      </c>
      <c r="D3902" s="58" t="inlineStr">
        <is>
          <t>Home</t>
        </is>
      </c>
      <c r="E3902" s="58" t="inlineStr">
        <is>
          <t>North</t>
        </is>
      </c>
      <c r="F3902" s="61" t="n">
        <v>1</v>
      </c>
      <c r="G3902" s="62" t="n">
        <v>414.88</v>
      </c>
      <c r="H3902" s="63" t="n">
        <v>0.032</v>
      </c>
      <c r="I3902" s="62" t="n">
        <v>261.09</v>
      </c>
      <c r="J3902" s="58" t="inlineStr">
        <is>
          <t>Store</t>
        </is>
      </c>
      <c r="K3902" s="62">
        <f>F3902*(G3902-H3902)</f>
        <v/>
      </c>
      <c r="L3902" s="62">
        <f>K3902-(F3902*I3902)</f>
        <v/>
      </c>
      <c r="M3902" s="64">
        <f>L3902/K3902</f>
        <v/>
      </c>
    </row>
    <row r="3903">
      <c r="A3903" s="58" t="inlineStr">
        <is>
          <t>RT20250413-03902</t>
        </is>
      </c>
      <c r="B3903" s="59" t="inlineStr">
        <is>
          <t>2025-04-13</t>
        </is>
      </c>
      <c r="C3903" s="60" t="inlineStr">
        <is>
          <t>Aurora Outdoor Pro-467</t>
        </is>
      </c>
      <c r="D3903" s="58" t="inlineStr">
        <is>
          <t>Sports</t>
        </is>
      </c>
      <c r="E3903" s="58" t="inlineStr">
        <is>
          <t>South</t>
        </is>
      </c>
      <c r="F3903" s="61" t="n">
        <v>2</v>
      </c>
      <c r="G3903" s="62" t="n">
        <v>257.85</v>
      </c>
      <c r="H3903" s="63" t="n">
        <v>0.019</v>
      </c>
      <c r="I3903" s="62" t="n">
        <v>188.88</v>
      </c>
      <c r="J3903" s="58" t="inlineStr">
        <is>
          <t>Online</t>
        </is>
      </c>
      <c r="K3903" s="62">
        <f>F3903*(G3903-H3903)</f>
        <v/>
      </c>
      <c r="L3903" s="62">
        <f>K3903-(F3903*I3903)</f>
        <v/>
      </c>
      <c r="M3903" s="64">
        <f>L3903/K3903</f>
        <v/>
      </c>
    </row>
    <row r="3904">
      <c r="A3904" s="58" t="inlineStr">
        <is>
          <t>RT20250413-03903</t>
        </is>
      </c>
      <c r="B3904" s="59" t="inlineStr">
        <is>
          <t>2025-04-13</t>
        </is>
      </c>
      <c r="C3904" s="60" t="inlineStr">
        <is>
          <t>Aurora Skincare Max-798</t>
        </is>
      </c>
      <c r="D3904" s="58" t="inlineStr">
        <is>
          <t>Beauty</t>
        </is>
      </c>
      <c r="E3904" s="58" t="inlineStr">
        <is>
          <t>North</t>
        </is>
      </c>
      <c r="F3904" s="61" t="n">
        <v>1</v>
      </c>
      <c r="G3904" s="62" t="n">
        <v>123.08</v>
      </c>
      <c r="H3904" s="63" t="n">
        <v>0.08400000000000001</v>
      </c>
      <c r="I3904" s="62" t="n">
        <v>69.63</v>
      </c>
      <c r="J3904" s="58" t="inlineStr">
        <is>
          <t>Store</t>
        </is>
      </c>
      <c r="K3904" s="62">
        <f>F3904*(G3904-H3904)</f>
        <v/>
      </c>
      <c r="L3904" s="62">
        <f>K3904-(F3904*I3904)</f>
        <v/>
      </c>
      <c r="M3904" s="64">
        <f>L3904/K3904</f>
        <v/>
      </c>
    </row>
    <row r="3905">
      <c r="A3905" s="58" t="inlineStr">
        <is>
          <t>RT20250413-03904</t>
        </is>
      </c>
      <c r="B3905" s="59" t="inlineStr">
        <is>
          <t>2025-04-13</t>
        </is>
      </c>
      <c r="C3905" s="60" t="inlineStr">
        <is>
          <t>Vertex Printer Max-692</t>
        </is>
      </c>
      <c r="D3905" s="58" t="inlineStr">
        <is>
          <t>Office</t>
        </is>
      </c>
      <c r="E3905" s="58" t="inlineStr">
        <is>
          <t>North</t>
        </is>
      </c>
      <c r="F3905" s="61" t="n">
        <v>1</v>
      </c>
      <c r="G3905" s="62" t="n">
        <v>177.65</v>
      </c>
      <c r="H3905" s="63" t="n">
        <v>0.102</v>
      </c>
      <c r="I3905" s="62" t="n">
        <v>122.43</v>
      </c>
      <c r="J3905" s="58" t="inlineStr">
        <is>
          <t>Store</t>
        </is>
      </c>
      <c r="K3905" s="62">
        <f>F3905*(G3905-H3905)</f>
        <v/>
      </c>
      <c r="L3905" s="62">
        <f>K3905-(F3905*I3905)</f>
        <v/>
      </c>
      <c r="M3905" s="64">
        <f>L3905/K3905</f>
        <v/>
      </c>
    </row>
    <row r="3906">
      <c r="A3906" s="58" t="inlineStr">
        <is>
          <t>RT20250413-03905</t>
        </is>
      </c>
      <c r="B3906" s="59" t="inlineStr">
        <is>
          <t>2025-04-13</t>
        </is>
      </c>
      <c r="C3906" s="60" t="inlineStr">
        <is>
          <t>Falcon Household Plus-796</t>
        </is>
      </c>
      <c r="D3906" s="58" t="inlineStr">
        <is>
          <t>Grocery</t>
        </is>
      </c>
      <c r="E3906" s="58" t="inlineStr">
        <is>
          <t>North</t>
        </is>
      </c>
      <c r="F3906" s="61" t="n">
        <v>4</v>
      </c>
      <c r="G3906" s="62" t="n">
        <v>22.28</v>
      </c>
      <c r="H3906" s="63" t="n">
        <v>0.053</v>
      </c>
      <c r="I3906" s="62" t="n">
        <v>17.69</v>
      </c>
      <c r="J3906" s="58" t="inlineStr">
        <is>
          <t>Online</t>
        </is>
      </c>
      <c r="K3906" s="62">
        <f>F3906*(G3906-H3906)</f>
        <v/>
      </c>
      <c r="L3906" s="62">
        <f>K3906-(F3906*I3906)</f>
        <v/>
      </c>
      <c r="M3906" s="64">
        <f>L3906/K3906</f>
        <v/>
      </c>
    </row>
    <row r="3907">
      <c r="A3907" s="58" t="inlineStr">
        <is>
          <t>RT20250413-03906</t>
        </is>
      </c>
      <c r="B3907" s="59" t="inlineStr">
        <is>
          <t>2025-04-13</t>
        </is>
      </c>
      <c r="C3907" s="60" t="inlineStr">
        <is>
          <t>Vertex Printer Max-692</t>
        </is>
      </c>
      <c r="D3907" s="58" t="inlineStr">
        <is>
          <t>Office</t>
        </is>
      </c>
      <c r="E3907" s="58" t="inlineStr">
        <is>
          <t>North</t>
        </is>
      </c>
      <c r="F3907" s="61" t="n">
        <v>1</v>
      </c>
      <c r="G3907" s="62" t="n">
        <v>185.92</v>
      </c>
      <c r="H3907" s="63" t="n">
        <v>0.059</v>
      </c>
      <c r="I3907" s="62" t="n">
        <v>123.26</v>
      </c>
      <c r="J3907" s="58" t="inlineStr">
        <is>
          <t>Store</t>
        </is>
      </c>
      <c r="K3907" s="62">
        <f>F3907*(G3907-H3907)</f>
        <v/>
      </c>
      <c r="L3907" s="62">
        <f>K3907-(F3907*I3907)</f>
        <v/>
      </c>
      <c r="M3907" s="64">
        <f>L3907/K3907</f>
        <v/>
      </c>
    </row>
    <row r="3908">
      <c r="A3908" s="58" t="inlineStr">
        <is>
          <t>RT20250413-03907</t>
        </is>
      </c>
      <c r="B3908" s="59" t="inlineStr">
        <is>
          <t>2025-04-13</t>
        </is>
      </c>
      <c r="C3908" s="60" t="inlineStr">
        <is>
          <t>Falcon Household Plus-172</t>
        </is>
      </c>
      <c r="D3908" s="58" t="inlineStr">
        <is>
          <t>Grocery</t>
        </is>
      </c>
      <c r="E3908" s="58" t="inlineStr">
        <is>
          <t>East</t>
        </is>
      </c>
      <c r="F3908" s="61" t="n">
        <v>3</v>
      </c>
      <c r="G3908" s="62" t="n">
        <v>20.52</v>
      </c>
      <c r="H3908" s="63" t="n">
        <v>0.073</v>
      </c>
      <c r="I3908" s="62" t="n">
        <v>16.5</v>
      </c>
      <c r="J3908" s="58" t="inlineStr">
        <is>
          <t>Online</t>
        </is>
      </c>
      <c r="K3908" s="62">
        <f>F3908*(G3908-H3908)</f>
        <v/>
      </c>
      <c r="L3908" s="62">
        <f>K3908-(F3908*I3908)</f>
        <v/>
      </c>
      <c r="M3908" s="64">
        <f>L3908/K3908</f>
        <v/>
      </c>
    </row>
    <row r="3909">
      <c r="A3909" s="58" t="inlineStr">
        <is>
          <t>RT20250413-03908</t>
        </is>
      </c>
      <c r="B3909" s="59" t="inlineStr">
        <is>
          <t>2025-04-13</t>
        </is>
      </c>
      <c r="C3909" s="60" t="inlineStr">
        <is>
          <t>Metro Laptop Plus-376</t>
        </is>
      </c>
      <c r="D3909" s="58" t="inlineStr">
        <is>
          <t>Electronics</t>
        </is>
      </c>
      <c r="E3909" s="58" t="inlineStr">
        <is>
          <t>West</t>
        </is>
      </c>
      <c r="F3909" s="61" t="n">
        <v>1</v>
      </c>
      <c r="G3909" s="62" t="n">
        <v>1358.2</v>
      </c>
      <c r="H3909" s="63" t="n">
        <v>0.041</v>
      </c>
      <c r="I3909" s="62" t="n">
        <v>1053.85</v>
      </c>
      <c r="J3909" s="58" t="inlineStr">
        <is>
          <t>Online</t>
        </is>
      </c>
      <c r="K3909" s="62">
        <f>F3909*(G3909-H3909)</f>
        <v/>
      </c>
      <c r="L3909" s="62">
        <f>K3909-(F3909*I3909)</f>
        <v/>
      </c>
      <c r="M3909" s="64">
        <f>L3909/K3909</f>
        <v/>
      </c>
    </row>
    <row r="3910">
      <c r="A3910" s="58" t="inlineStr">
        <is>
          <t>RT20250413-03909</t>
        </is>
      </c>
      <c r="B3910" s="59" t="inlineStr">
        <is>
          <t>2025-04-13</t>
        </is>
      </c>
      <c r="C3910" s="60" t="inlineStr">
        <is>
          <t>Solace Headphone Pro-344</t>
        </is>
      </c>
      <c r="D3910" s="58" t="inlineStr">
        <is>
          <t>Electronics</t>
        </is>
      </c>
      <c r="E3910" s="58" t="inlineStr">
        <is>
          <t>West</t>
        </is>
      </c>
      <c r="F3910" s="61" t="n">
        <v>1</v>
      </c>
      <c r="G3910" s="62" t="n">
        <v>1160.58</v>
      </c>
      <c r="H3910" s="63" t="n">
        <v>0.08500000000000001</v>
      </c>
      <c r="I3910" s="62" t="n">
        <v>1031</v>
      </c>
      <c r="J3910" s="58" t="inlineStr">
        <is>
          <t>Online</t>
        </is>
      </c>
      <c r="K3910" s="62">
        <f>F3910*(G3910-H3910)</f>
        <v/>
      </c>
      <c r="L3910" s="62">
        <f>K3910-(F3910*I3910)</f>
        <v/>
      </c>
      <c r="M3910" s="64">
        <f>L3910/K3910</f>
        <v/>
      </c>
    </row>
    <row r="3911">
      <c r="A3911" s="58" t="inlineStr">
        <is>
          <t>RT20250413-03910</t>
        </is>
      </c>
      <c r="B3911" s="59" t="inlineStr">
        <is>
          <t>2025-04-13</t>
        </is>
      </c>
      <c r="C3911" s="60" t="inlineStr">
        <is>
          <t>Vertex Headphone Pro-801</t>
        </is>
      </c>
      <c r="D3911" s="58" t="inlineStr">
        <is>
          <t>Electronics</t>
        </is>
      </c>
      <c r="E3911" s="58" t="inlineStr">
        <is>
          <t>West</t>
        </is>
      </c>
      <c r="F3911" s="61" t="n">
        <v>2</v>
      </c>
      <c r="G3911" s="62" t="n">
        <v>1298.58</v>
      </c>
      <c r="H3911" s="63" t="n">
        <v>0.045</v>
      </c>
      <c r="I3911" s="62" t="n">
        <v>996.47</v>
      </c>
      <c r="J3911" s="58" t="inlineStr">
        <is>
          <t>Online</t>
        </is>
      </c>
      <c r="K3911" s="62">
        <f>F3911*(G3911-H3911)</f>
        <v/>
      </c>
      <c r="L3911" s="62">
        <f>K3911-(F3911*I3911)</f>
        <v/>
      </c>
      <c r="M3911" s="64">
        <f>L3911/K3911</f>
        <v/>
      </c>
    </row>
    <row r="3912">
      <c r="A3912" s="58" t="inlineStr">
        <is>
          <t>RT20250413-03911</t>
        </is>
      </c>
      <c r="B3912" s="59" t="inlineStr">
        <is>
          <t>2025-04-13</t>
        </is>
      </c>
      <c r="C3912" s="60" t="inlineStr">
        <is>
          <t>Nimbus Makeup Max-158</t>
        </is>
      </c>
      <c r="D3912" s="58" t="inlineStr">
        <is>
          <t>Beauty</t>
        </is>
      </c>
      <c r="E3912" s="58" t="inlineStr">
        <is>
          <t>North</t>
        </is>
      </c>
      <c r="F3912" s="61" t="n">
        <v>2</v>
      </c>
      <c r="G3912" s="62" t="n">
        <v>153.88</v>
      </c>
      <c r="H3912" s="63" t="n">
        <v>0.07000000000000001</v>
      </c>
      <c r="I3912" s="62" t="n">
        <v>98.65000000000001</v>
      </c>
      <c r="J3912" s="58" t="inlineStr">
        <is>
          <t>Online</t>
        </is>
      </c>
      <c r="K3912" s="62">
        <f>F3912*(G3912-H3912)</f>
        <v/>
      </c>
      <c r="L3912" s="62">
        <f>K3912-(F3912*I3912)</f>
        <v/>
      </c>
      <c r="M3912" s="64">
        <f>L3912/K3912</f>
        <v/>
      </c>
    </row>
    <row r="3913">
      <c r="A3913" s="58" t="inlineStr">
        <is>
          <t>RT20250413-03912</t>
        </is>
      </c>
      <c r="B3913" s="59" t="inlineStr">
        <is>
          <t>2025-04-13</t>
        </is>
      </c>
      <c r="C3913" s="60" t="inlineStr">
        <is>
          <t>Metro Accessorie Lite-697</t>
        </is>
      </c>
      <c r="D3913" s="58" t="inlineStr">
        <is>
          <t>Apparel</t>
        </is>
      </c>
      <c r="E3913" s="58" t="inlineStr">
        <is>
          <t>South</t>
        </is>
      </c>
      <c r="F3913" s="61" t="n">
        <v>3</v>
      </c>
      <c r="G3913" s="62" t="n">
        <v>140.65</v>
      </c>
      <c r="H3913" s="63" t="n">
        <v>0.079</v>
      </c>
      <c r="I3913" s="62" t="n">
        <v>74.33</v>
      </c>
      <c r="J3913" s="58" t="inlineStr">
        <is>
          <t>Store</t>
        </is>
      </c>
      <c r="K3913" s="62">
        <f>F3913*(G3913-H3913)</f>
        <v/>
      </c>
      <c r="L3913" s="62">
        <f>K3913-(F3913*I3913)</f>
        <v/>
      </c>
      <c r="M3913" s="64">
        <f>L3913/K3913</f>
        <v/>
      </c>
    </row>
    <row r="3914">
      <c r="A3914" s="58" t="inlineStr">
        <is>
          <t>RT20250413-03913</t>
        </is>
      </c>
      <c r="B3914" s="59" t="inlineStr">
        <is>
          <t>2025-04-13</t>
        </is>
      </c>
      <c r="C3914" s="60" t="inlineStr">
        <is>
          <t>Polar Decor X-935</t>
        </is>
      </c>
      <c r="D3914" s="58" t="inlineStr">
        <is>
          <t>Home</t>
        </is>
      </c>
      <c r="E3914" s="58" t="inlineStr">
        <is>
          <t>Central</t>
        </is>
      </c>
      <c r="F3914" s="61" t="n">
        <v>2</v>
      </c>
      <c r="G3914" s="62" t="n">
        <v>278.93</v>
      </c>
      <c r="H3914" s="63" t="n">
        <v>0.09</v>
      </c>
      <c r="I3914" s="62" t="n">
        <v>205.34</v>
      </c>
      <c r="J3914" s="58" t="inlineStr">
        <is>
          <t>Online</t>
        </is>
      </c>
      <c r="K3914" s="62">
        <f>F3914*(G3914-H3914)</f>
        <v/>
      </c>
      <c r="L3914" s="62">
        <f>K3914-(F3914*I3914)</f>
        <v/>
      </c>
      <c r="M3914" s="64">
        <f>L3914/K3914</f>
        <v/>
      </c>
    </row>
    <row r="3915">
      <c r="A3915" s="58" t="inlineStr">
        <is>
          <t>RT20250413-03914</t>
        </is>
      </c>
      <c r="B3915" s="59" t="inlineStr">
        <is>
          <t>2025-04-13</t>
        </is>
      </c>
      <c r="C3915" s="60" t="inlineStr">
        <is>
          <t>Vertex Skincare Pro-891</t>
        </is>
      </c>
      <c r="D3915" s="58" t="inlineStr">
        <is>
          <t>Beauty</t>
        </is>
      </c>
      <c r="E3915" s="58" t="inlineStr">
        <is>
          <t>West</t>
        </is>
      </c>
      <c r="F3915" s="61" t="n">
        <v>3</v>
      </c>
      <c r="G3915" s="62" t="n">
        <v>156.86</v>
      </c>
      <c r="H3915" s="63" t="n">
        <v>0.074</v>
      </c>
      <c r="I3915" s="62" t="n">
        <v>87.66</v>
      </c>
      <c r="J3915" s="58" t="inlineStr">
        <is>
          <t>Store</t>
        </is>
      </c>
      <c r="K3915" s="62">
        <f>F3915*(G3915-H3915)</f>
        <v/>
      </c>
      <c r="L3915" s="62">
        <f>K3915-(F3915*I3915)</f>
        <v/>
      </c>
      <c r="M3915" s="64">
        <f>L3915/K3915</f>
        <v/>
      </c>
    </row>
    <row r="3916">
      <c r="A3916" s="58" t="inlineStr">
        <is>
          <t>RT20250413-03915</t>
        </is>
      </c>
      <c r="B3916" s="59" t="inlineStr">
        <is>
          <t>2025-04-13</t>
        </is>
      </c>
      <c r="C3916" s="60" t="inlineStr">
        <is>
          <t>Falcon Household Plus-796</t>
        </is>
      </c>
      <c r="D3916" s="58" t="inlineStr">
        <is>
          <t>Grocery</t>
        </is>
      </c>
      <c r="E3916" s="58" t="inlineStr">
        <is>
          <t>South</t>
        </is>
      </c>
      <c r="F3916" s="61" t="n">
        <v>7</v>
      </c>
      <c r="G3916" s="62" t="n">
        <v>24.12</v>
      </c>
      <c r="H3916" s="63" t="n">
        <v>0.081</v>
      </c>
      <c r="I3916" s="62" t="n">
        <v>17.78</v>
      </c>
      <c r="J3916" s="58" t="inlineStr">
        <is>
          <t>Online</t>
        </is>
      </c>
      <c r="K3916" s="62">
        <f>F3916*(G3916-H3916)</f>
        <v/>
      </c>
      <c r="L3916" s="62">
        <f>K3916-(F3916*I3916)</f>
        <v/>
      </c>
      <c r="M3916" s="64">
        <f>L3916/K3916</f>
        <v/>
      </c>
    </row>
    <row r="3917">
      <c r="A3917" s="58" t="inlineStr">
        <is>
          <t>RT20250413-03916</t>
        </is>
      </c>
      <c r="B3917" s="59" t="inlineStr">
        <is>
          <t>2025-04-13</t>
        </is>
      </c>
      <c r="C3917" s="60" t="inlineStr">
        <is>
          <t>Falcon Household Plus-796</t>
        </is>
      </c>
      <c r="D3917" s="58" t="inlineStr">
        <is>
          <t>Grocery</t>
        </is>
      </c>
      <c r="E3917" s="58" t="inlineStr">
        <is>
          <t>South</t>
        </is>
      </c>
      <c r="F3917" s="61" t="n">
        <v>1</v>
      </c>
      <c r="G3917" s="62" t="n">
        <v>19.09</v>
      </c>
      <c r="H3917" s="63" t="n">
        <v>0.095</v>
      </c>
      <c r="I3917" s="62" t="n">
        <v>16.77</v>
      </c>
      <c r="J3917" s="58" t="inlineStr">
        <is>
          <t>Online</t>
        </is>
      </c>
      <c r="K3917" s="62">
        <f>F3917*(G3917-H3917)</f>
        <v/>
      </c>
      <c r="L3917" s="62">
        <f>K3917-(F3917*I3917)</f>
        <v/>
      </c>
      <c r="M3917" s="64">
        <f>L3917/K3917</f>
        <v/>
      </c>
    </row>
    <row r="3918">
      <c r="A3918" s="58" t="inlineStr">
        <is>
          <t>RT20250413-03917</t>
        </is>
      </c>
      <c r="B3918" s="59" t="inlineStr">
        <is>
          <t>2025-04-13</t>
        </is>
      </c>
      <c r="C3918" s="60" t="inlineStr">
        <is>
          <t>Vertex Appliance Max-338</t>
        </is>
      </c>
      <c r="D3918" s="58" t="inlineStr">
        <is>
          <t>Home</t>
        </is>
      </c>
      <c r="E3918" s="58" t="inlineStr">
        <is>
          <t>Central</t>
        </is>
      </c>
      <c r="F3918" s="61" t="n">
        <v>3</v>
      </c>
      <c r="G3918" s="62" t="n">
        <v>428.47</v>
      </c>
      <c r="H3918" s="63" t="n">
        <v>0.091</v>
      </c>
      <c r="I3918" s="62" t="n">
        <v>294.05</v>
      </c>
      <c r="J3918" s="58" t="inlineStr">
        <is>
          <t>Store</t>
        </is>
      </c>
      <c r="K3918" s="62">
        <f>F3918*(G3918-H3918)</f>
        <v/>
      </c>
      <c r="L3918" s="62">
        <f>K3918-(F3918*I3918)</f>
        <v/>
      </c>
      <c r="M3918" s="64">
        <f>L3918/K3918</f>
        <v/>
      </c>
    </row>
    <row r="3919">
      <c r="A3919" s="58" t="inlineStr">
        <is>
          <t>RT20250413-03918</t>
        </is>
      </c>
      <c r="B3919" s="59" t="inlineStr">
        <is>
          <t>2025-04-13</t>
        </is>
      </c>
      <c r="C3919" s="60" t="inlineStr">
        <is>
          <t>Polar Women Max-927</t>
        </is>
      </c>
      <c r="D3919" s="58" t="inlineStr">
        <is>
          <t>Apparel</t>
        </is>
      </c>
      <c r="E3919" s="58" t="inlineStr">
        <is>
          <t>West</t>
        </is>
      </c>
      <c r="F3919" s="61" t="n">
        <v>3</v>
      </c>
      <c r="G3919" s="62" t="n">
        <v>120</v>
      </c>
      <c r="H3919" s="63" t="n">
        <v>0.037</v>
      </c>
      <c r="I3919" s="62" t="n">
        <v>67.45</v>
      </c>
      <c r="J3919" s="58" t="inlineStr">
        <is>
          <t>Online</t>
        </is>
      </c>
      <c r="K3919" s="62">
        <f>F3919*(G3919-H3919)</f>
        <v/>
      </c>
      <c r="L3919" s="62">
        <f>K3919-(F3919*I3919)</f>
        <v/>
      </c>
      <c r="M3919" s="64">
        <f>L3919/K3919</f>
        <v/>
      </c>
    </row>
    <row r="3920">
      <c r="A3920" s="58" t="inlineStr">
        <is>
          <t>RT20250413-03919</t>
        </is>
      </c>
      <c r="B3920" s="59" t="inlineStr">
        <is>
          <t>2025-04-13</t>
        </is>
      </c>
      <c r="C3920" s="60" t="inlineStr">
        <is>
          <t>Orion Kitchen Pro-568</t>
        </is>
      </c>
      <c r="D3920" s="58" t="inlineStr">
        <is>
          <t>Home</t>
        </is>
      </c>
      <c r="E3920" s="58" t="inlineStr">
        <is>
          <t>South</t>
        </is>
      </c>
      <c r="F3920" s="61" t="n">
        <v>1</v>
      </c>
      <c r="G3920" s="62" t="n">
        <v>448.92</v>
      </c>
      <c r="H3920" s="63" t="n">
        <v>0.08799999999999999</v>
      </c>
      <c r="I3920" s="62" t="n">
        <v>298.98</v>
      </c>
      <c r="J3920" s="58" t="inlineStr">
        <is>
          <t>Online</t>
        </is>
      </c>
      <c r="K3920" s="62">
        <f>F3920*(G3920-H3920)</f>
        <v/>
      </c>
      <c r="L3920" s="62">
        <f>K3920-(F3920*I3920)</f>
        <v/>
      </c>
      <c r="M3920" s="64">
        <f>L3920/K3920</f>
        <v/>
      </c>
    </row>
    <row r="3921">
      <c r="A3921" s="58" t="inlineStr">
        <is>
          <t>RT20250413-03920</t>
        </is>
      </c>
      <c r="B3921" s="59" t="inlineStr">
        <is>
          <t>2025-04-13</t>
        </is>
      </c>
      <c r="C3921" s="60" t="inlineStr">
        <is>
          <t>Solace Makeup Pro-214</t>
        </is>
      </c>
      <c r="D3921" s="58" t="inlineStr">
        <is>
          <t>Beauty</t>
        </is>
      </c>
      <c r="E3921" s="58" t="inlineStr">
        <is>
          <t>North</t>
        </is>
      </c>
      <c r="F3921" s="61" t="n">
        <v>3</v>
      </c>
      <c r="G3921" s="62" t="n">
        <v>102.34</v>
      </c>
      <c r="H3921" s="63" t="n">
        <v>0.065</v>
      </c>
      <c r="I3921" s="62" t="n">
        <v>68.13</v>
      </c>
      <c r="J3921" s="58" t="inlineStr">
        <is>
          <t>Online</t>
        </is>
      </c>
      <c r="K3921" s="62">
        <f>F3921*(G3921-H3921)</f>
        <v/>
      </c>
      <c r="L3921" s="62">
        <f>K3921-(F3921*I3921)</f>
        <v/>
      </c>
      <c r="M3921" s="64">
        <f>L3921/K3921</f>
        <v/>
      </c>
    </row>
    <row r="3922">
      <c r="A3922" s="58" t="inlineStr">
        <is>
          <t>RT20250413-03921</t>
        </is>
      </c>
      <c r="B3922" s="59" t="inlineStr">
        <is>
          <t>2025-04-13</t>
        </is>
      </c>
      <c r="C3922" s="60" t="inlineStr">
        <is>
          <t>Solace Kitchen Pro-510</t>
        </is>
      </c>
      <c r="D3922" s="58" t="inlineStr">
        <is>
          <t>Home</t>
        </is>
      </c>
      <c r="E3922" s="58" t="inlineStr">
        <is>
          <t>Central</t>
        </is>
      </c>
      <c r="F3922" s="61" t="n">
        <v>3</v>
      </c>
      <c r="G3922" s="62" t="n">
        <v>507.67</v>
      </c>
      <c r="H3922" s="63" t="n">
        <v>0.048</v>
      </c>
      <c r="I3922" s="62" t="n">
        <v>312.88</v>
      </c>
      <c r="J3922" s="58" t="inlineStr">
        <is>
          <t>Online</t>
        </is>
      </c>
      <c r="K3922" s="62">
        <f>F3922*(G3922-H3922)</f>
        <v/>
      </c>
      <c r="L3922" s="62">
        <f>K3922-(F3922*I3922)</f>
        <v/>
      </c>
      <c r="M3922" s="64">
        <f>L3922/K3922</f>
        <v/>
      </c>
    </row>
    <row r="3923">
      <c r="A3923" s="58" t="inlineStr">
        <is>
          <t>RT20250413-03922</t>
        </is>
      </c>
      <c r="B3923" s="59" t="inlineStr">
        <is>
          <t>2025-04-13</t>
        </is>
      </c>
      <c r="C3923" s="60" t="inlineStr">
        <is>
          <t>Orion Laptop S-350</t>
        </is>
      </c>
      <c r="D3923" s="58" t="inlineStr">
        <is>
          <t>Electronics</t>
        </is>
      </c>
      <c r="E3923" s="58" t="inlineStr">
        <is>
          <t>South</t>
        </is>
      </c>
      <c r="F3923" s="61" t="n">
        <v>1</v>
      </c>
      <c r="G3923" s="62" t="n">
        <v>1438.62</v>
      </c>
      <c r="H3923" s="63" t="n">
        <v>0.09</v>
      </c>
      <c r="I3923" s="62" t="n">
        <v>1088.4</v>
      </c>
      <c r="J3923" s="58" t="inlineStr">
        <is>
          <t>Online</t>
        </is>
      </c>
      <c r="K3923" s="62">
        <f>F3923*(G3923-H3923)</f>
        <v/>
      </c>
      <c r="L3923" s="62">
        <f>K3923-(F3923*I3923)</f>
        <v/>
      </c>
      <c r="M3923" s="64">
        <f>L3923/K3923</f>
        <v/>
      </c>
    </row>
    <row r="3924">
      <c r="A3924" s="58" t="inlineStr">
        <is>
          <t>RT20250413-03923</t>
        </is>
      </c>
      <c r="B3924" s="59" t="inlineStr">
        <is>
          <t>2025-04-13</t>
        </is>
      </c>
      <c r="C3924" s="60" t="inlineStr">
        <is>
          <t>Orion Kitchen Pro-568</t>
        </is>
      </c>
      <c r="D3924" s="58" t="inlineStr">
        <is>
          <t>Home</t>
        </is>
      </c>
      <c r="E3924" s="58" t="inlineStr">
        <is>
          <t>North</t>
        </is>
      </c>
      <c r="F3924" s="61" t="n">
        <v>1</v>
      </c>
      <c r="G3924" s="62" t="n">
        <v>447.17</v>
      </c>
      <c r="H3924" s="63" t="n">
        <v>0.056</v>
      </c>
      <c r="I3924" s="62" t="n">
        <v>309.43</v>
      </c>
      <c r="J3924" s="58" t="inlineStr">
        <is>
          <t>Store</t>
        </is>
      </c>
      <c r="K3924" s="62">
        <f>F3924*(G3924-H3924)</f>
        <v/>
      </c>
      <c r="L3924" s="62">
        <f>K3924-(F3924*I3924)</f>
        <v/>
      </c>
      <c r="M3924" s="64">
        <f>L3924/K3924</f>
        <v/>
      </c>
    </row>
    <row r="3925">
      <c r="A3925" s="58" t="inlineStr">
        <is>
          <t>RT20250413-03924</t>
        </is>
      </c>
      <c r="B3925" s="59" t="inlineStr">
        <is>
          <t>2025-04-13</t>
        </is>
      </c>
      <c r="C3925" s="60" t="inlineStr">
        <is>
          <t>Nimbus Furniture Pro-479</t>
        </is>
      </c>
      <c r="D3925" s="58" t="inlineStr">
        <is>
          <t>Office</t>
        </is>
      </c>
      <c r="E3925" s="58" t="inlineStr">
        <is>
          <t>West</t>
        </is>
      </c>
      <c r="F3925" s="61" t="n">
        <v>1</v>
      </c>
      <c r="G3925" s="62" t="n">
        <v>328.96</v>
      </c>
      <c r="H3925" s="63" t="n">
        <v>0.059</v>
      </c>
      <c r="I3925" s="62" t="n">
        <v>235</v>
      </c>
      <c r="J3925" s="58" t="inlineStr">
        <is>
          <t>Phone</t>
        </is>
      </c>
      <c r="K3925" s="62">
        <f>F3925*(G3925-H3925)</f>
        <v/>
      </c>
      <c r="L3925" s="62">
        <f>K3925-(F3925*I3925)</f>
        <v/>
      </c>
      <c r="M3925" s="64">
        <f>L3925/K3925</f>
        <v/>
      </c>
    </row>
    <row r="3926">
      <c r="A3926" s="58" t="inlineStr">
        <is>
          <t>RT20250413-03925</t>
        </is>
      </c>
      <c r="B3926" s="59" t="inlineStr">
        <is>
          <t>2025-04-13</t>
        </is>
      </c>
      <c r="C3926" s="60" t="inlineStr">
        <is>
          <t>Nimbus Laptop Max-652</t>
        </is>
      </c>
      <c r="D3926" s="58" t="inlineStr">
        <is>
          <t>Electronics</t>
        </is>
      </c>
      <c r="E3926" s="58" t="inlineStr">
        <is>
          <t>Central</t>
        </is>
      </c>
      <c r="F3926" s="61" t="n">
        <v>2</v>
      </c>
      <c r="G3926" s="62" t="n">
        <v>1354.6</v>
      </c>
      <c r="H3926" s="63" t="n">
        <v>0.066</v>
      </c>
      <c r="I3926" s="62" t="n">
        <v>1038.59</v>
      </c>
      <c r="J3926" s="58" t="inlineStr">
        <is>
          <t>Online</t>
        </is>
      </c>
      <c r="K3926" s="62">
        <f>F3926*(G3926-H3926)</f>
        <v/>
      </c>
      <c r="L3926" s="62">
        <f>K3926-(F3926*I3926)</f>
        <v/>
      </c>
      <c r="M3926" s="64">
        <f>L3926/K3926</f>
        <v/>
      </c>
    </row>
    <row r="3927">
      <c r="A3927" s="58" t="inlineStr">
        <is>
          <t>RT20250413-03926</t>
        </is>
      </c>
      <c r="B3927" s="59" t="inlineStr">
        <is>
          <t>2025-04-13</t>
        </is>
      </c>
      <c r="C3927" s="60" t="inlineStr">
        <is>
          <t>Solace Smartphone Lite-533</t>
        </is>
      </c>
      <c r="D3927" s="58" t="inlineStr">
        <is>
          <t>Electronics</t>
        </is>
      </c>
      <c r="E3927" s="58" t="inlineStr">
        <is>
          <t>East</t>
        </is>
      </c>
      <c r="F3927" s="61" t="n">
        <v>2</v>
      </c>
      <c r="G3927" s="62" t="n">
        <v>1131.5</v>
      </c>
      <c r="H3927" s="63" t="n">
        <v>0.067</v>
      </c>
      <c r="I3927" s="62" t="n">
        <v>908.03</v>
      </c>
      <c r="J3927" s="58" t="inlineStr">
        <is>
          <t>Online</t>
        </is>
      </c>
      <c r="K3927" s="62">
        <f>F3927*(G3927-H3927)</f>
        <v/>
      </c>
      <c r="L3927" s="62">
        <f>K3927-(F3927*I3927)</f>
        <v/>
      </c>
      <c r="M3927" s="64">
        <f>L3927/K3927</f>
        <v/>
      </c>
    </row>
    <row r="3928">
      <c r="A3928" s="58" t="inlineStr">
        <is>
          <t>RT20250413-03927</t>
        </is>
      </c>
      <c r="B3928" s="59" t="inlineStr">
        <is>
          <t>2025-04-13</t>
        </is>
      </c>
      <c r="C3928" s="60" t="inlineStr">
        <is>
          <t>Vertex Appliance S-159</t>
        </is>
      </c>
      <c r="D3928" s="58" t="inlineStr">
        <is>
          <t>Home</t>
        </is>
      </c>
      <c r="E3928" s="58" t="inlineStr">
        <is>
          <t>West</t>
        </is>
      </c>
      <c r="F3928" s="61" t="n">
        <v>3</v>
      </c>
      <c r="G3928" s="62" t="n">
        <v>430.67</v>
      </c>
      <c r="H3928" s="63" t="n">
        <v>0.075</v>
      </c>
      <c r="I3928" s="62" t="n">
        <v>287.2</v>
      </c>
      <c r="J3928" s="58" t="inlineStr">
        <is>
          <t>Phone</t>
        </is>
      </c>
      <c r="K3928" s="62">
        <f>F3928*(G3928-H3928)</f>
        <v/>
      </c>
      <c r="L3928" s="62">
        <f>K3928-(F3928*I3928)</f>
        <v/>
      </c>
      <c r="M3928" s="64">
        <f>L3928/K3928</f>
        <v/>
      </c>
    </row>
    <row r="3929">
      <c r="A3929" s="58" t="inlineStr">
        <is>
          <t>RT20250413-03928</t>
        </is>
      </c>
      <c r="B3929" s="59" t="inlineStr">
        <is>
          <t>2025-04-13</t>
        </is>
      </c>
      <c r="C3929" s="60" t="inlineStr">
        <is>
          <t>Vertex Appliance Max-338</t>
        </is>
      </c>
      <c r="D3929" s="58" t="inlineStr">
        <is>
          <t>Home</t>
        </is>
      </c>
      <c r="E3929" s="58" t="inlineStr">
        <is>
          <t>East</t>
        </is>
      </c>
      <c r="F3929" s="61" t="n">
        <v>1</v>
      </c>
      <c r="G3929" s="62" t="n">
        <v>461.59</v>
      </c>
      <c r="H3929" s="63" t="n">
        <v>0.075</v>
      </c>
      <c r="I3929" s="62" t="n">
        <v>292.89</v>
      </c>
      <c r="J3929" s="58" t="inlineStr">
        <is>
          <t>Online</t>
        </is>
      </c>
      <c r="K3929" s="62">
        <f>F3929*(G3929-H3929)</f>
        <v/>
      </c>
      <c r="L3929" s="62">
        <f>K3929-(F3929*I3929)</f>
        <v/>
      </c>
      <c r="M3929" s="64">
        <f>L3929/K3929</f>
        <v/>
      </c>
    </row>
    <row r="3930">
      <c r="A3930" s="58" t="inlineStr">
        <is>
          <t>RT20250413-03929</t>
        </is>
      </c>
      <c r="B3930" s="59" t="inlineStr">
        <is>
          <t>2025-04-13</t>
        </is>
      </c>
      <c r="C3930" s="60" t="inlineStr">
        <is>
          <t>Orion Snack X-322</t>
        </is>
      </c>
      <c r="D3930" s="58" t="inlineStr">
        <is>
          <t>Grocery</t>
        </is>
      </c>
      <c r="E3930" s="58" t="inlineStr">
        <is>
          <t>West</t>
        </is>
      </c>
      <c r="F3930" s="61" t="n">
        <v>6</v>
      </c>
      <c r="G3930" s="62" t="n">
        <v>12.77</v>
      </c>
      <c r="H3930" s="63" t="n">
        <v>0.07000000000000001</v>
      </c>
      <c r="I3930" s="62" t="n">
        <v>9.890000000000001</v>
      </c>
      <c r="J3930" s="58" t="inlineStr">
        <is>
          <t>Online</t>
        </is>
      </c>
      <c r="K3930" s="62">
        <f>F3930*(G3930-H3930)</f>
        <v/>
      </c>
      <c r="L3930" s="62">
        <f>K3930-(F3930*I3930)</f>
        <v/>
      </c>
      <c r="M3930" s="64">
        <f>L3930/K3930</f>
        <v/>
      </c>
    </row>
    <row r="3931">
      <c r="A3931" s="58" t="inlineStr">
        <is>
          <t>RT20250413-03930</t>
        </is>
      </c>
      <c r="B3931" s="59" t="inlineStr">
        <is>
          <t>2025-04-13</t>
        </is>
      </c>
      <c r="C3931" s="60" t="inlineStr">
        <is>
          <t>Vertex Appliance S-159</t>
        </is>
      </c>
      <c r="D3931" s="58" t="inlineStr">
        <is>
          <t>Home</t>
        </is>
      </c>
      <c r="E3931" s="58" t="inlineStr">
        <is>
          <t>East</t>
        </is>
      </c>
      <c r="F3931" s="61" t="n">
        <v>2</v>
      </c>
      <c r="G3931" s="62" t="n">
        <v>469.48</v>
      </c>
      <c r="H3931" s="63" t="n">
        <v>0.008</v>
      </c>
      <c r="I3931" s="62" t="n">
        <v>285.77</v>
      </c>
      <c r="J3931" s="58" t="inlineStr">
        <is>
          <t>Store</t>
        </is>
      </c>
      <c r="K3931" s="62">
        <f>F3931*(G3931-H3931)</f>
        <v/>
      </c>
      <c r="L3931" s="62">
        <f>K3931-(F3931*I3931)</f>
        <v/>
      </c>
      <c r="M3931" s="64">
        <f>L3931/K3931</f>
        <v/>
      </c>
    </row>
    <row r="3932">
      <c r="A3932" s="58" t="inlineStr">
        <is>
          <t>RT20250413-03931</t>
        </is>
      </c>
      <c r="B3932" s="59" t="inlineStr">
        <is>
          <t>2025-04-13</t>
        </is>
      </c>
      <c r="C3932" s="60" t="inlineStr">
        <is>
          <t>Orion Men X-928</t>
        </is>
      </c>
      <c r="D3932" s="58" t="inlineStr">
        <is>
          <t>Apparel</t>
        </is>
      </c>
      <c r="E3932" s="58" t="inlineStr">
        <is>
          <t>East</t>
        </is>
      </c>
      <c r="F3932" s="61" t="n">
        <v>2</v>
      </c>
      <c r="G3932" s="62" t="n">
        <v>107.05</v>
      </c>
      <c r="H3932" s="63" t="n">
        <v>0</v>
      </c>
      <c r="I3932" s="62" t="n">
        <v>62.05</v>
      </c>
      <c r="J3932" s="58" t="inlineStr">
        <is>
          <t>Online</t>
        </is>
      </c>
      <c r="K3932" s="62">
        <f>F3932*(G3932-H3932)</f>
        <v/>
      </c>
      <c r="L3932" s="62">
        <f>K3932-(F3932*I3932)</f>
        <v/>
      </c>
      <c r="M3932" s="64">
        <f>L3932/K3932</f>
        <v/>
      </c>
    </row>
    <row r="3933">
      <c r="A3933" s="58" t="inlineStr">
        <is>
          <t>RT20250413-03932</t>
        </is>
      </c>
      <c r="B3933" s="59" t="inlineStr">
        <is>
          <t>2025-04-13</t>
        </is>
      </c>
      <c r="C3933" s="60" t="inlineStr">
        <is>
          <t>Aurora Storage Lite-774</t>
        </is>
      </c>
      <c r="D3933" s="58" t="inlineStr">
        <is>
          <t>Office</t>
        </is>
      </c>
      <c r="E3933" s="58" t="inlineStr">
        <is>
          <t>West</t>
        </is>
      </c>
      <c r="F3933" s="61" t="n">
        <v>1</v>
      </c>
      <c r="G3933" s="62" t="n">
        <v>334.45</v>
      </c>
      <c r="H3933" s="63" t="n">
        <v>0.08500000000000001</v>
      </c>
      <c r="I3933" s="62" t="n">
        <v>242.28</v>
      </c>
      <c r="J3933" s="58" t="inlineStr">
        <is>
          <t>Online</t>
        </is>
      </c>
      <c r="K3933" s="62">
        <f>F3933*(G3933-H3933)</f>
        <v/>
      </c>
      <c r="L3933" s="62">
        <f>K3933-(F3933*I3933)</f>
        <v/>
      </c>
      <c r="M3933" s="64">
        <f>L3933/K3933</f>
        <v/>
      </c>
    </row>
    <row r="3934">
      <c r="A3934" s="58" t="inlineStr">
        <is>
          <t>RT20250413-03933</t>
        </is>
      </c>
      <c r="B3934" s="59" t="inlineStr">
        <is>
          <t>2025-04-13</t>
        </is>
      </c>
      <c r="C3934" s="60" t="inlineStr">
        <is>
          <t>Polar Haircare Max-614</t>
        </is>
      </c>
      <c r="D3934" s="58" t="inlineStr">
        <is>
          <t>Beauty</t>
        </is>
      </c>
      <c r="E3934" s="58" t="inlineStr">
        <is>
          <t>Central</t>
        </is>
      </c>
      <c r="F3934" s="61" t="n">
        <v>3</v>
      </c>
      <c r="G3934" s="62" t="n">
        <v>112.5</v>
      </c>
      <c r="H3934" s="63" t="n">
        <v>0.006</v>
      </c>
      <c r="I3934" s="62" t="n">
        <v>71.06</v>
      </c>
      <c r="J3934" s="58" t="inlineStr">
        <is>
          <t>Online</t>
        </is>
      </c>
      <c r="K3934" s="62">
        <f>F3934*(G3934-H3934)</f>
        <v/>
      </c>
      <c r="L3934" s="62">
        <f>K3934-(F3934*I3934)</f>
        <v/>
      </c>
      <c r="M3934" s="64">
        <f>L3934/K3934</f>
        <v/>
      </c>
    </row>
    <row r="3935">
      <c r="A3935" s="58" t="inlineStr">
        <is>
          <t>RT20250413-03934</t>
        </is>
      </c>
      <c r="B3935" s="59" t="inlineStr">
        <is>
          <t>2025-04-13</t>
        </is>
      </c>
      <c r="C3935" s="60" t="inlineStr">
        <is>
          <t>Aurora Makeup S-626</t>
        </is>
      </c>
      <c r="D3935" s="58" t="inlineStr">
        <is>
          <t>Beauty</t>
        </is>
      </c>
      <c r="E3935" s="58" t="inlineStr">
        <is>
          <t>North</t>
        </is>
      </c>
      <c r="F3935" s="61" t="n">
        <v>1</v>
      </c>
      <c r="G3935" s="62" t="n">
        <v>110.19</v>
      </c>
      <c r="H3935" s="63" t="n">
        <v>0.04</v>
      </c>
      <c r="I3935" s="62" t="n">
        <v>64.79000000000001</v>
      </c>
      <c r="J3935" s="58" t="inlineStr">
        <is>
          <t>Store</t>
        </is>
      </c>
      <c r="K3935" s="62">
        <f>F3935*(G3935-H3935)</f>
        <v/>
      </c>
      <c r="L3935" s="62">
        <f>K3935-(F3935*I3935)</f>
        <v/>
      </c>
      <c r="M3935" s="64">
        <f>L3935/K3935</f>
        <v/>
      </c>
    </row>
    <row r="3936">
      <c r="A3936" s="58" t="inlineStr">
        <is>
          <t>RT20250414-03935</t>
        </is>
      </c>
      <c r="B3936" s="59" t="inlineStr">
        <is>
          <t>2025-04-14</t>
        </is>
      </c>
      <c r="C3936" s="60" t="inlineStr">
        <is>
          <t>Solace Makeup Pro-214</t>
        </is>
      </c>
      <c r="D3936" s="58" t="inlineStr">
        <is>
          <t>Beauty</t>
        </is>
      </c>
      <c r="E3936" s="58" t="inlineStr">
        <is>
          <t>Central</t>
        </is>
      </c>
      <c r="F3936" s="61" t="n">
        <v>1</v>
      </c>
      <c r="G3936" s="62" t="n">
        <v>106.01</v>
      </c>
      <c r="H3936" s="63" t="n">
        <v>0.014</v>
      </c>
      <c r="I3936" s="62" t="n">
        <v>68.72</v>
      </c>
      <c r="J3936" s="58" t="inlineStr">
        <is>
          <t>Online</t>
        </is>
      </c>
      <c r="K3936" s="62">
        <f>F3936*(G3936-H3936)</f>
        <v/>
      </c>
      <c r="L3936" s="62">
        <f>K3936-(F3936*I3936)</f>
        <v/>
      </c>
      <c r="M3936" s="64">
        <f>L3936/K3936</f>
        <v/>
      </c>
    </row>
    <row r="3937">
      <c r="A3937" s="58" t="inlineStr">
        <is>
          <t>RT20250414-03936</t>
        </is>
      </c>
      <c r="B3937" s="59" t="inlineStr">
        <is>
          <t>2025-04-14</t>
        </is>
      </c>
      <c r="C3937" s="60" t="inlineStr">
        <is>
          <t>Metro Pantry Max-180</t>
        </is>
      </c>
      <c r="D3937" s="58" t="inlineStr">
        <is>
          <t>Grocery</t>
        </is>
      </c>
      <c r="E3937" s="58" t="inlineStr">
        <is>
          <t>West</t>
        </is>
      </c>
      <c r="F3937" s="61" t="n">
        <v>6</v>
      </c>
      <c r="G3937" s="62" t="n">
        <v>9.48</v>
      </c>
      <c r="H3937" s="63" t="n">
        <v>0.097</v>
      </c>
      <c r="I3937" s="62" t="n">
        <v>6.69</v>
      </c>
      <c r="J3937" s="58" t="inlineStr">
        <is>
          <t>Store</t>
        </is>
      </c>
      <c r="K3937" s="62">
        <f>F3937*(G3937-H3937)</f>
        <v/>
      </c>
      <c r="L3937" s="62">
        <f>K3937-(F3937*I3937)</f>
        <v/>
      </c>
      <c r="M3937" s="64">
        <f>L3937/K3937</f>
        <v/>
      </c>
    </row>
    <row r="3938">
      <c r="A3938" s="58" t="inlineStr">
        <is>
          <t>RT20250414-03937</t>
        </is>
      </c>
      <c r="B3938" s="59" t="inlineStr">
        <is>
          <t>2025-04-14</t>
        </is>
      </c>
      <c r="C3938" s="60" t="inlineStr">
        <is>
          <t>Aurora Kid Plus-151</t>
        </is>
      </c>
      <c r="D3938" s="58" t="inlineStr">
        <is>
          <t>Apparel</t>
        </is>
      </c>
      <c r="E3938" s="58" t="inlineStr">
        <is>
          <t>West</t>
        </is>
      </c>
      <c r="F3938" s="61" t="n">
        <v>1</v>
      </c>
      <c r="G3938" s="62" t="n">
        <v>119.67</v>
      </c>
      <c r="H3938" s="63" t="n">
        <v>0.094</v>
      </c>
      <c r="I3938" s="62" t="n">
        <v>63.03</v>
      </c>
      <c r="J3938" s="58" t="inlineStr">
        <is>
          <t>Store</t>
        </is>
      </c>
      <c r="K3938" s="62">
        <f>F3938*(G3938-H3938)</f>
        <v/>
      </c>
      <c r="L3938" s="62">
        <f>K3938-(F3938*I3938)</f>
        <v/>
      </c>
      <c r="M3938" s="64">
        <f>L3938/K3938</f>
        <v/>
      </c>
    </row>
    <row r="3939">
      <c r="A3939" s="58" t="inlineStr">
        <is>
          <t>RT20250414-03938</t>
        </is>
      </c>
      <c r="B3939" s="59" t="inlineStr">
        <is>
          <t>2025-04-14</t>
        </is>
      </c>
      <c r="C3939" s="60" t="inlineStr">
        <is>
          <t>Polar Men Pro-246</t>
        </is>
      </c>
      <c r="D3939" s="58" t="inlineStr">
        <is>
          <t>Apparel</t>
        </is>
      </c>
      <c r="E3939" s="58" t="inlineStr">
        <is>
          <t>West</t>
        </is>
      </c>
      <c r="F3939" s="61" t="n">
        <v>4</v>
      </c>
      <c r="G3939" s="62" t="n">
        <v>116.75</v>
      </c>
      <c r="H3939" s="63" t="n">
        <v>0.08</v>
      </c>
      <c r="I3939" s="62" t="n">
        <v>75.11</v>
      </c>
      <c r="J3939" s="58" t="inlineStr">
        <is>
          <t>Online</t>
        </is>
      </c>
      <c r="K3939" s="62">
        <f>F3939*(G3939-H3939)</f>
        <v/>
      </c>
      <c r="L3939" s="62">
        <f>K3939-(F3939*I3939)</f>
        <v/>
      </c>
      <c r="M3939" s="64">
        <f>L3939/K3939</f>
        <v/>
      </c>
    </row>
    <row r="3940">
      <c r="A3940" s="58" t="inlineStr">
        <is>
          <t>RT20250414-03939</t>
        </is>
      </c>
      <c r="B3940" s="59" t="inlineStr">
        <is>
          <t>2025-04-14</t>
        </is>
      </c>
      <c r="C3940" s="60" t="inlineStr">
        <is>
          <t>Aurora Wearable Lite-162</t>
        </is>
      </c>
      <c r="D3940" s="58" t="inlineStr">
        <is>
          <t>Electronics</t>
        </is>
      </c>
      <c r="E3940" s="58" t="inlineStr">
        <is>
          <t>East</t>
        </is>
      </c>
      <c r="F3940" s="61" t="n">
        <v>1</v>
      </c>
      <c r="G3940" s="62" t="n">
        <v>1555.62</v>
      </c>
      <c r="H3940" s="63" t="n">
        <v>0.078</v>
      </c>
      <c r="I3940" s="62" t="n">
        <v>1164.23</v>
      </c>
      <c r="J3940" s="58" t="inlineStr">
        <is>
          <t>Online</t>
        </is>
      </c>
      <c r="K3940" s="62">
        <f>F3940*(G3940-H3940)</f>
        <v/>
      </c>
      <c r="L3940" s="62">
        <f>K3940-(F3940*I3940)</f>
        <v/>
      </c>
      <c r="M3940" s="64">
        <f>L3940/K3940</f>
        <v/>
      </c>
    </row>
    <row r="3941">
      <c r="A3941" s="58" t="inlineStr">
        <is>
          <t>RT20250414-03940</t>
        </is>
      </c>
      <c r="B3941" s="59" t="inlineStr">
        <is>
          <t>2025-04-14</t>
        </is>
      </c>
      <c r="C3941" s="60" t="inlineStr">
        <is>
          <t>Orion Snack X-322</t>
        </is>
      </c>
      <c r="D3941" s="58" t="inlineStr">
        <is>
          <t>Grocery</t>
        </is>
      </c>
      <c r="E3941" s="58" t="inlineStr">
        <is>
          <t>Central</t>
        </is>
      </c>
      <c r="F3941" s="61" t="n">
        <v>5</v>
      </c>
      <c r="G3941" s="62" t="n">
        <v>14.44</v>
      </c>
      <c r="H3941" s="63" t="n">
        <v>0.07000000000000001</v>
      </c>
      <c r="I3941" s="62" t="n">
        <v>10.04</v>
      </c>
      <c r="J3941" s="58" t="inlineStr">
        <is>
          <t>Store</t>
        </is>
      </c>
      <c r="K3941" s="62">
        <f>F3941*(G3941-H3941)</f>
        <v/>
      </c>
      <c r="L3941" s="62">
        <f>K3941-(F3941*I3941)</f>
        <v/>
      </c>
      <c r="M3941" s="64">
        <f>L3941/K3941</f>
        <v/>
      </c>
    </row>
    <row r="3942">
      <c r="A3942" s="58" t="inlineStr">
        <is>
          <t>RT20250414-03941</t>
        </is>
      </c>
      <c r="B3942" s="59" t="inlineStr">
        <is>
          <t>2025-04-14</t>
        </is>
      </c>
      <c r="C3942" s="60" t="inlineStr">
        <is>
          <t>Polar Cycling S-223</t>
        </is>
      </c>
      <c r="D3942" s="58" t="inlineStr">
        <is>
          <t>Sports</t>
        </is>
      </c>
      <c r="E3942" s="58" t="inlineStr">
        <is>
          <t>East</t>
        </is>
      </c>
      <c r="F3942" s="61" t="n">
        <v>1</v>
      </c>
      <c r="G3942" s="62" t="n">
        <v>933.46</v>
      </c>
      <c r="H3942" s="63" t="n">
        <v>0.047</v>
      </c>
      <c r="I3942" s="62" t="n">
        <v>633.35</v>
      </c>
      <c r="J3942" s="58" t="inlineStr">
        <is>
          <t>Store</t>
        </is>
      </c>
      <c r="K3942" s="62">
        <f>F3942*(G3942-H3942)</f>
        <v/>
      </c>
      <c r="L3942" s="62">
        <f>K3942-(F3942*I3942)</f>
        <v/>
      </c>
      <c r="M3942" s="64">
        <f>L3942/K3942</f>
        <v/>
      </c>
    </row>
    <row r="3943">
      <c r="A3943" s="58" t="inlineStr">
        <is>
          <t>RT20250414-03942</t>
        </is>
      </c>
      <c r="B3943" s="59" t="inlineStr">
        <is>
          <t>2025-04-14</t>
        </is>
      </c>
      <c r="C3943" s="60" t="inlineStr">
        <is>
          <t>Falcon Household Plus-172</t>
        </is>
      </c>
      <c r="D3943" s="58" t="inlineStr">
        <is>
          <t>Grocery</t>
        </is>
      </c>
      <c r="E3943" s="58" t="inlineStr">
        <is>
          <t>South</t>
        </is>
      </c>
      <c r="F3943" s="61" t="n">
        <v>3</v>
      </c>
      <c r="G3943" s="62" t="n">
        <v>21.59</v>
      </c>
      <c r="H3943" s="63" t="n">
        <v>0.034</v>
      </c>
      <c r="I3943" s="62" t="n">
        <v>16.56</v>
      </c>
      <c r="J3943" s="58" t="inlineStr">
        <is>
          <t>Online</t>
        </is>
      </c>
      <c r="K3943" s="62">
        <f>F3943*(G3943-H3943)</f>
        <v/>
      </c>
      <c r="L3943" s="62">
        <f>K3943-(F3943*I3943)</f>
        <v/>
      </c>
      <c r="M3943" s="64">
        <f>L3943/K3943</f>
        <v/>
      </c>
    </row>
    <row r="3944">
      <c r="A3944" s="58" t="inlineStr">
        <is>
          <t>RT20250414-03943</t>
        </is>
      </c>
      <c r="B3944" s="59" t="inlineStr">
        <is>
          <t>2025-04-14</t>
        </is>
      </c>
      <c r="C3944" s="60" t="inlineStr">
        <is>
          <t>Aurora Storage Lite-774</t>
        </is>
      </c>
      <c r="D3944" s="58" t="inlineStr">
        <is>
          <t>Office</t>
        </is>
      </c>
      <c r="E3944" s="58" t="inlineStr">
        <is>
          <t>Central</t>
        </is>
      </c>
      <c r="F3944" s="61" t="n">
        <v>2</v>
      </c>
      <c r="G3944" s="62" t="n">
        <v>349.45</v>
      </c>
      <c r="H3944" s="63" t="n">
        <v>0.07000000000000001</v>
      </c>
      <c r="I3944" s="62" t="n">
        <v>236.5</v>
      </c>
      <c r="J3944" s="58" t="inlineStr">
        <is>
          <t>Online</t>
        </is>
      </c>
      <c r="K3944" s="62">
        <f>F3944*(G3944-H3944)</f>
        <v/>
      </c>
      <c r="L3944" s="62">
        <f>K3944-(F3944*I3944)</f>
        <v/>
      </c>
      <c r="M3944" s="64">
        <f>L3944/K3944</f>
        <v/>
      </c>
    </row>
    <row r="3945">
      <c r="A3945" s="58" t="inlineStr">
        <is>
          <t>RT20250414-03944</t>
        </is>
      </c>
      <c r="B3945" s="59" t="inlineStr">
        <is>
          <t>2025-04-14</t>
        </is>
      </c>
      <c r="C3945" s="60" t="inlineStr">
        <is>
          <t>Falcon Accessorie S-195</t>
        </is>
      </c>
      <c r="D3945" s="58" t="inlineStr">
        <is>
          <t>Apparel</t>
        </is>
      </c>
      <c r="E3945" s="58" t="inlineStr">
        <is>
          <t>Central</t>
        </is>
      </c>
      <c r="F3945" s="61" t="n">
        <v>2</v>
      </c>
      <c r="G3945" s="62" t="n">
        <v>81.64</v>
      </c>
      <c r="H3945" s="63" t="n">
        <v>0.061</v>
      </c>
      <c r="I3945" s="62" t="n">
        <v>42.96</v>
      </c>
      <c r="J3945" s="58" t="inlineStr">
        <is>
          <t>Online</t>
        </is>
      </c>
      <c r="K3945" s="62">
        <f>F3945*(G3945-H3945)</f>
        <v/>
      </c>
      <c r="L3945" s="62">
        <f>K3945-(F3945*I3945)</f>
        <v/>
      </c>
      <c r="M3945" s="64">
        <f>L3945/K3945</f>
        <v/>
      </c>
    </row>
    <row r="3946">
      <c r="A3946" s="58" t="inlineStr">
        <is>
          <t>RT20250414-03945</t>
        </is>
      </c>
      <c r="B3946" s="59" t="inlineStr">
        <is>
          <t>2025-04-14</t>
        </is>
      </c>
      <c r="C3946" s="60" t="inlineStr">
        <is>
          <t>Polar Snack Pro-641</t>
        </is>
      </c>
      <c r="D3946" s="58" t="inlineStr">
        <is>
          <t>Grocery</t>
        </is>
      </c>
      <c r="E3946" s="58" t="inlineStr">
        <is>
          <t>South</t>
        </is>
      </c>
      <c r="F3946" s="61" t="n">
        <v>6</v>
      </c>
      <c r="G3946" s="62" t="n">
        <v>13.77</v>
      </c>
      <c r="H3946" s="63" t="n">
        <v>0.043</v>
      </c>
      <c r="I3946" s="62" t="n">
        <v>9.26</v>
      </c>
      <c r="J3946" s="58" t="inlineStr">
        <is>
          <t>Store</t>
        </is>
      </c>
      <c r="K3946" s="62">
        <f>F3946*(G3946-H3946)</f>
        <v/>
      </c>
      <c r="L3946" s="62">
        <f>K3946-(F3946*I3946)</f>
        <v/>
      </c>
      <c r="M3946" s="64">
        <f>L3946/K3946</f>
        <v/>
      </c>
    </row>
    <row r="3947">
      <c r="A3947" s="58" t="inlineStr">
        <is>
          <t>RT20250414-03946</t>
        </is>
      </c>
      <c r="B3947" s="59" t="inlineStr">
        <is>
          <t>2025-04-14</t>
        </is>
      </c>
      <c r="C3947" s="60" t="inlineStr">
        <is>
          <t>Polar Fragrance Pro-750</t>
        </is>
      </c>
      <c r="D3947" s="58" t="inlineStr">
        <is>
          <t>Beauty</t>
        </is>
      </c>
      <c r="E3947" s="58" t="inlineStr">
        <is>
          <t>West</t>
        </is>
      </c>
      <c r="F3947" s="61" t="n">
        <v>3</v>
      </c>
      <c r="G3947" s="62" t="n">
        <v>61.22</v>
      </c>
      <c r="H3947" s="63" t="n">
        <v>0.095</v>
      </c>
      <c r="I3947" s="62" t="n">
        <v>35.82</v>
      </c>
      <c r="J3947" s="58" t="inlineStr">
        <is>
          <t>Online</t>
        </is>
      </c>
      <c r="K3947" s="62">
        <f>F3947*(G3947-H3947)</f>
        <v/>
      </c>
      <c r="L3947" s="62">
        <f>K3947-(F3947*I3947)</f>
        <v/>
      </c>
      <c r="M3947" s="64">
        <f>L3947/K3947</f>
        <v/>
      </c>
    </row>
    <row r="3948">
      <c r="A3948" s="58" t="inlineStr">
        <is>
          <t>RT20250414-03947</t>
        </is>
      </c>
      <c r="B3948" s="59" t="inlineStr">
        <is>
          <t>2025-04-14</t>
        </is>
      </c>
      <c r="C3948" s="60" t="inlineStr">
        <is>
          <t>Solace Team Sport Max-548</t>
        </is>
      </c>
      <c r="D3948" s="58" t="inlineStr">
        <is>
          <t>Sports</t>
        </is>
      </c>
      <c r="E3948" s="58" t="inlineStr">
        <is>
          <t>West</t>
        </is>
      </c>
      <c r="F3948" s="61" t="n">
        <v>2</v>
      </c>
      <c r="G3948" s="62" t="n">
        <v>697.12</v>
      </c>
      <c r="H3948" s="63" t="n">
        <v>0.06</v>
      </c>
      <c r="I3948" s="62" t="n">
        <v>486.48</v>
      </c>
      <c r="J3948" s="58" t="inlineStr">
        <is>
          <t>Store</t>
        </is>
      </c>
      <c r="K3948" s="62">
        <f>F3948*(G3948-H3948)</f>
        <v/>
      </c>
      <c r="L3948" s="62">
        <f>K3948-(F3948*I3948)</f>
        <v/>
      </c>
      <c r="M3948" s="64">
        <f>L3948/K3948</f>
        <v/>
      </c>
    </row>
    <row r="3949">
      <c r="A3949" s="58" t="inlineStr">
        <is>
          <t>RT20250414-03948</t>
        </is>
      </c>
      <c r="B3949" s="59" t="inlineStr">
        <is>
          <t>2025-04-14</t>
        </is>
      </c>
      <c r="C3949" s="60" t="inlineStr">
        <is>
          <t>Polar Laptop Plus-984</t>
        </is>
      </c>
      <c r="D3949" s="58" t="inlineStr">
        <is>
          <t>Electronics</t>
        </is>
      </c>
      <c r="E3949" s="58" t="inlineStr">
        <is>
          <t>South</t>
        </is>
      </c>
      <c r="F3949" s="61" t="n">
        <v>1</v>
      </c>
      <c r="G3949" s="62" t="n">
        <v>1223.96</v>
      </c>
      <c r="H3949" s="63" t="n">
        <v>0.053</v>
      </c>
      <c r="I3949" s="62" t="n">
        <v>974.01</v>
      </c>
      <c r="J3949" s="58" t="inlineStr">
        <is>
          <t>Online</t>
        </is>
      </c>
      <c r="K3949" s="62">
        <f>F3949*(G3949-H3949)</f>
        <v/>
      </c>
      <c r="L3949" s="62">
        <f>K3949-(F3949*I3949)</f>
        <v/>
      </c>
      <c r="M3949" s="64">
        <f>L3949/K3949</f>
        <v/>
      </c>
    </row>
    <row r="3950">
      <c r="A3950" s="58" t="inlineStr">
        <is>
          <t>RT20250414-03949</t>
        </is>
      </c>
      <c r="B3950" s="59" t="inlineStr">
        <is>
          <t>2025-04-14</t>
        </is>
      </c>
      <c r="C3950" s="60" t="inlineStr">
        <is>
          <t>Polar Cycling S-223</t>
        </is>
      </c>
      <c r="D3950" s="58" t="inlineStr">
        <is>
          <t>Sports</t>
        </is>
      </c>
      <c r="E3950" s="58" t="inlineStr">
        <is>
          <t>West</t>
        </is>
      </c>
      <c r="F3950" s="61" t="n">
        <v>1</v>
      </c>
      <c r="G3950" s="62" t="n">
        <v>1033.83</v>
      </c>
      <c r="H3950" s="63" t="n">
        <v>0.056</v>
      </c>
      <c r="I3950" s="62" t="n">
        <v>622.37</v>
      </c>
      <c r="J3950" s="58" t="inlineStr">
        <is>
          <t>Store</t>
        </is>
      </c>
      <c r="K3950" s="62">
        <f>F3950*(G3950-H3950)</f>
        <v/>
      </c>
      <c r="L3950" s="62">
        <f>K3950-(F3950*I3950)</f>
        <v/>
      </c>
      <c r="M3950" s="64">
        <f>L3950/K3950</f>
        <v/>
      </c>
    </row>
    <row r="3951">
      <c r="A3951" s="58" t="inlineStr">
        <is>
          <t>RT20250414-03950</t>
        </is>
      </c>
      <c r="B3951" s="59" t="inlineStr">
        <is>
          <t>2025-04-14</t>
        </is>
      </c>
      <c r="C3951" s="60" t="inlineStr">
        <is>
          <t>Vertex Men X-995</t>
        </is>
      </c>
      <c r="D3951" s="58" t="inlineStr">
        <is>
          <t>Apparel</t>
        </is>
      </c>
      <c r="E3951" s="58" t="inlineStr">
        <is>
          <t>West</t>
        </is>
      </c>
      <c r="F3951" s="61" t="n">
        <v>2</v>
      </c>
      <c r="G3951" s="62" t="n">
        <v>112.01</v>
      </c>
      <c r="H3951" s="63" t="n">
        <v>0.076</v>
      </c>
      <c r="I3951" s="62" t="n">
        <v>56.52</v>
      </c>
      <c r="J3951" s="58" t="inlineStr">
        <is>
          <t>Store</t>
        </is>
      </c>
      <c r="K3951" s="62">
        <f>F3951*(G3951-H3951)</f>
        <v/>
      </c>
      <c r="L3951" s="62">
        <f>K3951-(F3951*I3951)</f>
        <v/>
      </c>
      <c r="M3951" s="64">
        <f>L3951/K3951</f>
        <v/>
      </c>
    </row>
    <row r="3952">
      <c r="A3952" s="58" t="inlineStr">
        <is>
          <t>RT20250414-03951</t>
        </is>
      </c>
      <c r="B3952" s="59" t="inlineStr">
        <is>
          <t>2025-04-14</t>
        </is>
      </c>
      <c r="C3952" s="60" t="inlineStr">
        <is>
          <t>Metro Pantry Max-180</t>
        </is>
      </c>
      <c r="D3952" s="58" t="inlineStr">
        <is>
          <t>Grocery</t>
        </is>
      </c>
      <c r="E3952" s="58" t="inlineStr">
        <is>
          <t>North</t>
        </is>
      </c>
      <c r="F3952" s="61" t="n">
        <v>1</v>
      </c>
      <c r="G3952" s="62" t="n">
        <v>8.84</v>
      </c>
      <c r="H3952" s="63" t="n">
        <v>0.09</v>
      </c>
      <c r="I3952" s="62" t="n">
        <v>6.71</v>
      </c>
      <c r="J3952" s="58" t="inlineStr">
        <is>
          <t>Online</t>
        </is>
      </c>
      <c r="K3952" s="62">
        <f>F3952*(G3952-H3952)</f>
        <v/>
      </c>
      <c r="L3952" s="62">
        <f>K3952-(F3952*I3952)</f>
        <v/>
      </c>
      <c r="M3952" s="64">
        <f>L3952/K3952</f>
        <v/>
      </c>
    </row>
    <row r="3953">
      <c r="A3953" s="58" t="inlineStr">
        <is>
          <t>RT20250414-03952</t>
        </is>
      </c>
      <c r="B3953" s="59" t="inlineStr">
        <is>
          <t>2025-04-14</t>
        </is>
      </c>
      <c r="C3953" s="60" t="inlineStr">
        <is>
          <t>Nimbus Furniture Pro-479</t>
        </is>
      </c>
      <c r="D3953" s="58" t="inlineStr">
        <is>
          <t>Office</t>
        </is>
      </c>
      <c r="E3953" s="58" t="inlineStr">
        <is>
          <t>East</t>
        </is>
      </c>
      <c r="F3953" s="61" t="n">
        <v>1</v>
      </c>
      <c r="G3953" s="62" t="n">
        <v>365.05</v>
      </c>
      <c r="H3953" s="63" t="n">
        <v>0.063</v>
      </c>
      <c r="I3953" s="62" t="n">
        <v>245.59</v>
      </c>
      <c r="J3953" s="58" t="inlineStr">
        <is>
          <t>Store</t>
        </is>
      </c>
      <c r="K3953" s="62">
        <f>F3953*(G3953-H3953)</f>
        <v/>
      </c>
      <c r="L3953" s="62">
        <f>K3953-(F3953*I3953)</f>
        <v/>
      </c>
      <c r="M3953" s="64">
        <f>L3953/K3953</f>
        <v/>
      </c>
    </row>
    <row r="3954">
      <c r="A3954" s="58" t="inlineStr">
        <is>
          <t>RT20250414-03953</t>
        </is>
      </c>
      <c r="B3954" s="59" t="inlineStr">
        <is>
          <t>2025-04-14</t>
        </is>
      </c>
      <c r="C3954" s="60" t="inlineStr">
        <is>
          <t>Metro Beverage Max-490</t>
        </is>
      </c>
      <c r="D3954" s="58" t="inlineStr">
        <is>
          <t>Grocery</t>
        </is>
      </c>
      <c r="E3954" s="58" t="inlineStr">
        <is>
          <t>Central</t>
        </is>
      </c>
      <c r="F3954" s="61" t="n">
        <v>8</v>
      </c>
      <c r="G3954" s="62" t="n">
        <v>11.38</v>
      </c>
      <c r="H3954" s="63" t="n">
        <v>0.09</v>
      </c>
      <c r="I3954" s="62" t="n">
        <v>8.1</v>
      </c>
      <c r="J3954" s="58" t="inlineStr">
        <is>
          <t>Store</t>
        </is>
      </c>
      <c r="K3954" s="62">
        <f>F3954*(G3954-H3954)</f>
        <v/>
      </c>
      <c r="L3954" s="62">
        <f>K3954-(F3954*I3954)</f>
        <v/>
      </c>
      <c r="M3954" s="64">
        <f>L3954/K3954</f>
        <v/>
      </c>
    </row>
    <row r="3955">
      <c r="A3955" s="58" t="inlineStr">
        <is>
          <t>RT20250414-03954</t>
        </is>
      </c>
      <c r="B3955" s="59" t="inlineStr">
        <is>
          <t>2025-04-14</t>
        </is>
      </c>
      <c r="C3955" s="60" t="inlineStr">
        <is>
          <t>Orion Haircare Plus-887</t>
        </is>
      </c>
      <c r="D3955" s="58" t="inlineStr">
        <is>
          <t>Beauty</t>
        </is>
      </c>
      <c r="E3955" s="58" t="inlineStr">
        <is>
          <t>Central</t>
        </is>
      </c>
      <c r="F3955" s="61" t="n">
        <v>5</v>
      </c>
      <c r="G3955" s="62" t="n">
        <v>53.84</v>
      </c>
      <c r="H3955" s="63" t="n">
        <v>0.098</v>
      </c>
      <c r="I3955" s="62" t="n">
        <v>29.95</v>
      </c>
      <c r="J3955" s="58" t="inlineStr">
        <is>
          <t>Store</t>
        </is>
      </c>
      <c r="K3955" s="62">
        <f>F3955*(G3955-H3955)</f>
        <v/>
      </c>
      <c r="L3955" s="62">
        <f>K3955-(F3955*I3955)</f>
        <v/>
      </c>
      <c r="M3955" s="64">
        <f>L3955/K3955</f>
        <v/>
      </c>
    </row>
    <row r="3956">
      <c r="A3956" s="58" t="inlineStr">
        <is>
          <t>RT20250414-03955</t>
        </is>
      </c>
      <c r="B3956" s="59" t="inlineStr">
        <is>
          <t>2025-04-14</t>
        </is>
      </c>
      <c r="C3956" s="60" t="inlineStr">
        <is>
          <t>Aurora Household Plus-146</t>
        </is>
      </c>
      <c r="D3956" s="58" t="inlineStr">
        <is>
          <t>Grocery</t>
        </is>
      </c>
      <c r="E3956" s="58" t="inlineStr">
        <is>
          <t>East</t>
        </is>
      </c>
      <c r="F3956" s="61" t="n">
        <v>7</v>
      </c>
      <c r="G3956" s="62" t="n">
        <v>6.2</v>
      </c>
      <c r="H3956" s="63" t="n">
        <v>0.027</v>
      </c>
      <c r="I3956" s="62" t="n">
        <v>4.57</v>
      </c>
      <c r="J3956" s="58" t="inlineStr">
        <is>
          <t>Store</t>
        </is>
      </c>
      <c r="K3956" s="62">
        <f>F3956*(G3956-H3956)</f>
        <v/>
      </c>
      <c r="L3956" s="62">
        <f>K3956-(F3956*I3956)</f>
        <v/>
      </c>
      <c r="M3956" s="64">
        <f>L3956/K3956</f>
        <v/>
      </c>
    </row>
    <row r="3957">
      <c r="A3957" s="58" t="inlineStr">
        <is>
          <t>RT20250414-03956</t>
        </is>
      </c>
      <c r="B3957" s="59" t="inlineStr">
        <is>
          <t>2025-04-14</t>
        </is>
      </c>
      <c r="C3957" s="60" t="inlineStr">
        <is>
          <t>Solace Kid S-384</t>
        </is>
      </c>
      <c r="D3957" s="58" t="inlineStr">
        <is>
          <t>Apparel</t>
        </is>
      </c>
      <c r="E3957" s="58" t="inlineStr">
        <is>
          <t>East</t>
        </is>
      </c>
      <c r="F3957" s="61" t="n">
        <v>2</v>
      </c>
      <c r="G3957" s="62" t="n">
        <v>109.14</v>
      </c>
      <c r="H3957" s="63" t="n">
        <v>0.006</v>
      </c>
      <c r="I3957" s="62" t="n">
        <v>63.91</v>
      </c>
      <c r="J3957" s="58" t="inlineStr">
        <is>
          <t>Store</t>
        </is>
      </c>
      <c r="K3957" s="62">
        <f>F3957*(G3957-H3957)</f>
        <v/>
      </c>
      <c r="L3957" s="62">
        <f>K3957-(F3957*I3957)</f>
        <v/>
      </c>
      <c r="M3957" s="64">
        <f>L3957/K3957</f>
        <v/>
      </c>
    </row>
    <row r="3958">
      <c r="A3958" s="58" t="inlineStr">
        <is>
          <t>RT20250414-03957</t>
        </is>
      </c>
      <c r="B3958" s="59" t="inlineStr">
        <is>
          <t>2025-04-14</t>
        </is>
      </c>
      <c r="C3958" s="60" t="inlineStr">
        <is>
          <t>Vertex Accessorie Pro-881</t>
        </is>
      </c>
      <c r="D3958" s="58" t="inlineStr">
        <is>
          <t>Apparel</t>
        </is>
      </c>
      <c r="E3958" s="58" t="inlineStr">
        <is>
          <t>Central</t>
        </is>
      </c>
      <c r="F3958" s="61" t="n">
        <v>2</v>
      </c>
      <c r="G3958" s="62" t="n">
        <v>104.09</v>
      </c>
      <c r="H3958" s="63" t="n">
        <v>0.078</v>
      </c>
      <c r="I3958" s="62" t="n">
        <v>64.04000000000001</v>
      </c>
      <c r="J3958" s="58" t="inlineStr">
        <is>
          <t>Online</t>
        </is>
      </c>
      <c r="K3958" s="62">
        <f>F3958*(G3958-H3958)</f>
        <v/>
      </c>
      <c r="L3958" s="62">
        <f>K3958-(F3958*I3958)</f>
        <v/>
      </c>
      <c r="M3958" s="64">
        <f>L3958/K3958</f>
        <v/>
      </c>
    </row>
    <row r="3959">
      <c r="A3959" s="58" t="inlineStr">
        <is>
          <t>RT20250414-03958</t>
        </is>
      </c>
      <c r="B3959" s="59" t="inlineStr">
        <is>
          <t>2025-04-14</t>
        </is>
      </c>
      <c r="C3959" s="60" t="inlineStr">
        <is>
          <t>Aurora Wearable Lite-162</t>
        </is>
      </c>
      <c r="D3959" s="58" t="inlineStr">
        <is>
          <t>Electronics</t>
        </is>
      </c>
      <c r="E3959" s="58" t="inlineStr">
        <is>
          <t>West</t>
        </is>
      </c>
      <c r="F3959" s="61" t="n">
        <v>1</v>
      </c>
      <c r="G3959" s="62" t="n">
        <v>1473.07</v>
      </c>
      <c r="H3959" s="63" t="n">
        <v>0.034</v>
      </c>
      <c r="I3959" s="62" t="n">
        <v>1212.74</v>
      </c>
      <c r="J3959" s="58" t="inlineStr">
        <is>
          <t>Online</t>
        </is>
      </c>
      <c r="K3959" s="62">
        <f>F3959*(G3959-H3959)</f>
        <v/>
      </c>
      <c r="L3959" s="62">
        <f>K3959-(F3959*I3959)</f>
        <v/>
      </c>
      <c r="M3959" s="64">
        <f>L3959/K3959</f>
        <v/>
      </c>
    </row>
    <row r="3960">
      <c r="A3960" s="58" t="inlineStr">
        <is>
          <t>RT20250414-03959</t>
        </is>
      </c>
      <c r="B3960" s="59" t="inlineStr">
        <is>
          <t>2025-04-14</t>
        </is>
      </c>
      <c r="C3960" s="60" t="inlineStr">
        <is>
          <t>Aurora Appliance Max-316</t>
        </is>
      </c>
      <c r="D3960" s="58" t="inlineStr">
        <is>
          <t>Home</t>
        </is>
      </c>
      <c r="E3960" s="58" t="inlineStr">
        <is>
          <t>East</t>
        </is>
      </c>
      <c r="F3960" s="61" t="n">
        <v>3</v>
      </c>
      <c r="G3960" s="62" t="n">
        <v>308.98</v>
      </c>
      <c r="H3960" s="63" t="n">
        <v>0.068</v>
      </c>
      <c r="I3960" s="62" t="n">
        <v>209.15</v>
      </c>
      <c r="J3960" s="58" t="inlineStr">
        <is>
          <t>Store</t>
        </is>
      </c>
      <c r="K3960" s="62">
        <f>F3960*(G3960-H3960)</f>
        <v/>
      </c>
      <c r="L3960" s="62">
        <f>K3960-(F3960*I3960)</f>
        <v/>
      </c>
      <c r="M3960" s="64">
        <f>L3960/K3960</f>
        <v/>
      </c>
    </row>
    <row r="3961">
      <c r="A3961" s="58" t="inlineStr">
        <is>
          <t>RT20250414-03960</t>
        </is>
      </c>
      <c r="B3961" s="59" t="inlineStr">
        <is>
          <t>2025-04-14</t>
        </is>
      </c>
      <c r="C3961" s="60" t="inlineStr">
        <is>
          <t>Vertex Printer Max-692</t>
        </is>
      </c>
      <c r="D3961" s="58" t="inlineStr">
        <is>
          <t>Office</t>
        </is>
      </c>
      <c r="E3961" s="58" t="inlineStr">
        <is>
          <t>Central</t>
        </is>
      </c>
      <c r="F3961" s="61" t="n">
        <v>1</v>
      </c>
      <c r="G3961" s="62" t="n">
        <v>163.91</v>
      </c>
      <c r="H3961" s="63" t="n">
        <v>0.053</v>
      </c>
      <c r="I3961" s="62" t="n">
        <v>126.6</v>
      </c>
      <c r="J3961" s="58" t="inlineStr">
        <is>
          <t>Online</t>
        </is>
      </c>
      <c r="K3961" s="62">
        <f>F3961*(G3961-H3961)</f>
        <v/>
      </c>
      <c r="L3961" s="62">
        <f>K3961-(F3961*I3961)</f>
        <v/>
      </c>
      <c r="M3961" s="64">
        <f>L3961/K3961</f>
        <v/>
      </c>
    </row>
    <row r="3962">
      <c r="A3962" s="58" t="inlineStr">
        <is>
          <t>RT20250415-03961</t>
        </is>
      </c>
      <c r="B3962" s="59" t="inlineStr">
        <is>
          <t>2025-04-15</t>
        </is>
      </c>
      <c r="C3962" s="60" t="inlineStr">
        <is>
          <t>Orion Beverage Plus-949</t>
        </is>
      </c>
      <c r="D3962" s="58" t="inlineStr">
        <is>
          <t>Grocery</t>
        </is>
      </c>
      <c r="E3962" s="58" t="inlineStr">
        <is>
          <t>North</t>
        </is>
      </c>
      <c r="F3962" s="61" t="n">
        <v>7</v>
      </c>
      <c r="G3962" s="62" t="n">
        <v>16.37</v>
      </c>
      <c r="H3962" s="63" t="n">
        <v>0.075</v>
      </c>
      <c r="I3962" s="62" t="n">
        <v>13.67</v>
      </c>
      <c r="J3962" s="58" t="inlineStr">
        <is>
          <t>Online</t>
        </is>
      </c>
      <c r="K3962" s="62">
        <f>F3962*(G3962-H3962)</f>
        <v/>
      </c>
      <c r="L3962" s="62">
        <f>K3962-(F3962*I3962)</f>
        <v/>
      </c>
      <c r="M3962" s="64">
        <f>L3962/K3962</f>
        <v/>
      </c>
    </row>
    <row r="3963">
      <c r="A3963" s="58" t="inlineStr">
        <is>
          <t>RT20250415-03962</t>
        </is>
      </c>
      <c r="B3963" s="59" t="inlineStr">
        <is>
          <t>2025-04-15</t>
        </is>
      </c>
      <c r="C3963" s="60" t="inlineStr">
        <is>
          <t>Vertex Supplie X-513</t>
        </is>
      </c>
      <c r="D3963" s="58" t="inlineStr">
        <is>
          <t>Office</t>
        </is>
      </c>
      <c r="E3963" s="58" t="inlineStr">
        <is>
          <t>East</t>
        </is>
      </c>
      <c r="F3963" s="61" t="n">
        <v>2</v>
      </c>
      <c r="G3963" s="62" t="n">
        <v>407.09</v>
      </c>
      <c r="H3963" s="63" t="n">
        <v>0.049</v>
      </c>
      <c r="I3963" s="62" t="n">
        <v>279.15</v>
      </c>
      <c r="J3963" s="58" t="inlineStr">
        <is>
          <t>Online</t>
        </is>
      </c>
      <c r="K3963" s="62">
        <f>F3963*(G3963-H3963)</f>
        <v/>
      </c>
      <c r="L3963" s="62">
        <f>K3963-(F3963*I3963)</f>
        <v/>
      </c>
      <c r="M3963" s="64">
        <f>L3963/K3963</f>
        <v/>
      </c>
    </row>
    <row r="3964">
      <c r="A3964" s="58" t="inlineStr">
        <is>
          <t>RT20250415-03963</t>
        </is>
      </c>
      <c r="B3964" s="59" t="inlineStr">
        <is>
          <t>2025-04-15</t>
        </is>
      </c>
      <c r="C3964" s="60" t="inlineStr">
        <is>
          <t>Aurora Bedding Max-175</t>
        </is>
      </c>
      <c r="D3964" s="58" t="inlineStr">
        <is>
          <t>Home</t>
        </is>
      </c>
      <c r="E3964" s="58" t="inlineStr">
        <is>
          <t>South</t>
        </is>
      </c>
      <c r="F3964" s="61" t="n">
        <v>1</v>
      </c>
      <c r="G3964" s="62" t="n">
        <v>514.8099999999999</v>
      </c>
      <c r="H3964" s="63" t="n">
        <v>0.091</v>
      </c>
      <c r="I3964" s="62" t="n">
        <v>409.61</v>
      </c>
      <c r="J3964" s="58" t="inlineStr">
        <is>
          <t>Online</t>
        </is>
      </c>
      <c r="K3964" s="62">
        <f>F3964*(G3964-H3964)</f>
        <v/>
      </c>
      <c r="L3964" s="62">
        <f>K3964-(F3964*I3964)</f>
        <v/>
      </c>
      <c r="M3964" s="64">
        <f>L3964/K3964</f>
        <v/>
      </c>
    </row>
    <row r="3965">
      <c r="A3965" s="58" t="inlineStr">
        <is>
          <t>RT20250415-03964</t>
        </is>
      </c>
      <c r="B3965" s="59" t="inlineStr">
        <is>
          <t>2025-04-15</t>
        </is>
      </c>
      <c r="C3965" s="60" t="inlineStr">
        <is>
          <t>Solace Bedding Plus-317</t>
        </is>
      </c>
      <c r="D3965" s="58" t="inlineStr">
        <is>
          <t>Home</t>
        </is>
      </c>
      <c r="E3965" s="58" t="inlineStr">
        <is>
          <t>South</t>
        </is>
      </c>
      <c r="F3965" s="61" t="n">
        <v>3</v>
      </c>
      <c r="G3965" s="62" t="n">
        <v>527.27</v>
      </c>
      <c r="H3965" s="63" t="n">
        <v>0.076</v>
      </c>
      <c r="I3965" s="62" t="n">
        <v>384.35</v>
      </c>
      <c r="J3965" s="58" t="inlineStr">
        <is>
          <t>Store</t>
        </is>
      </c>
      <c r="K3965" s="62">
        <f>F3965*(G3965-H3965)</f>
        <v/>
      </c>
      <c r="L3965" s="62">
        <f>K3965-(F3965*I3965)</f>
        <v/>
      </c>
      <c r="M3965" s="64">
        <f>L3965/K3965</f>
        <v/>
      </c>
    </row>
    <row r="3966">
      <c r="A3966" s="58" t="inlineStr">
        <is>
          <t>RT20250415-03965</t>
        </is>
      </c>
      <c r="B3966" s="59" t="inlineStr">
        <is>
          <t>2025-04-15</t>
        </is>
      </c>
      <c r="C3966" s="60" t="inlineStr">
        <is>
          <t>Polar Supplie Lite-348</t>
        </is>
      </c>
      <c r="D3966" s="58" t="inlineStr">
        <is>
          <t>Office</t>
        </is>
      </c>
      <c r="E3966" s="58" t="inlineStr">
        <is>
          <t>East</t>
        </is>
      </c>
      <c r="F3966" s="61" t="n">
        <v>3</v>
      </c>
      <c r="G3966" s="62" t="n">
        <v>466.5</v>
      </c>
      <c r="H3966" s="63" t="n">
        <v>0.03</v>
      </c>
      <c r="I3966" s="62" t="n">
        <v>322.44</v>
      </c>
      <c r="J3966" s="58" t="inlineStr">
        <is>
          <t>Online</t>
        </is>
      </c>
      <c r="K3966" s="62">
        <f>F3966*(G3966-H3966)</f>
        <v/>
      </c>
      <c r="L3966" s="62">
        <f>K3966-(F3966*I3966)</f>
        <v/>
      </c>
      <c r="M3966" s="64">
        <f>L3966/K3966</f>
        <v/>
      </c>
    </row>
    <row r="3967">
      <c r="A3967" s="58" t="inlineStr">
        <is>
          <t>RT20250415-03966</t>
        </is>
      </c>
      <c r="B3967" s="59" t="inlineStr">
        <is>
          <t>2025-04-15</t>
        </is>
      </c>
      <c r="C3967" s="60" t="inlineStr">
        <is>
          <t>Vertex Smartphone Pro-256</t>
        </is>
      </c>
      <c r="D3967" s="58" t="inlineStr">
        <is>
          <t>Electronics</t>
        </is>
      </c>
      <c r="E3967" s="58" t="inlineStr">
        <is>
          <t>South</t>
        </is>
      </c>
      <c r="F3967" s="61" t="n">
        <v>1</v>
      </c>
      <c r="G3967" s="62" t="n">
        <v>1203.71</v>
      </c>
      <c r="H3967" s="63" t="n">
        <v>0.078</v>
      </c>
      <c r="I3967" s="62" t="n">
        <v>933.39</v>
      </c>
      <c r="J3967" s="58" t="inlineStr">
        <is>
          <t>Store</t>
        </is>
      </c>
      <c r="K3967" s="62">
        <f>F3967*(G3967-H3967)</f>
        <v/>
      </c>
      <c r="L3967" s="62">
        <f>K3967-(F3967*I3967)</f>
        <v/>
      </c>
      <c r="M3967" s="64">
        <f>L3967/K3967</f>
        <v/>
      </c>
    </row>
    <row r="3968">
      <c r="A3968" s="58" t="inlineStr">
        <is>
          <t>RT20250415-03967</t>
        </is>
      </c>
      <c r="B3968" s="59" t="inlineStr">
        <is>
          <t>2025-04-15</t>
        </is>
      </c>
      <c r="C3968" s="60" t="inlineStr">
        <is>
          <t>Orion Kid Max-864</t>
        </is>
      </c>
      <c r="D3968" s="58" t="inlineStr">
        <is>
          <t>Apparel</t>
        </is>
      </c>
      <c r="E3968" s="58" t="inlineStr">
        <is>
          <t>West</t>
        </is>
      </c>
      <c r="F3968" s="61" t="n">
        <v>2</v>
      </c>
      <c r="G3968" s="62" t="n">
        <v>76.52</v>
      </c>
      <c r="H3968" s="63" t="n">
        <v>0.031</v>
      </c>
      <c r="I3968" s="62" t="n">
        <v>44.7</v>
      </c>
      <c r="J3968" s="58" t="inlineStr">
        <is>
          <t>Online</t>
        </is>
      </c>
      <c r="K3968" s="62">
        <f>F3968*(G3968-H3968)</f>
        <v/>
      </c>
      <c r="L3968" s="62">
        <f>K3968-(F3968*I3968)</f>
        <v/>
      </c>
      <c r="M3968" s="64">
        <f>L3968/K3968</f>
        <v/>
      </c>
    </row>
    <row r="3969">
      <c r="A3969" s="58" t="inlineStr">
        <is>
          <t>RT20250415-03968</t>
        </is>
      </c>
      <c r="B3969" s="59" t="inlineStr">
        <is>
          <t>2025-04-15</t>
        </is>
      </c>
      <c r="C3969" s="60" t="inlineStr">
        <is>
          <t>Polar Beverage S-258</t>
        </is>
      </c>
      <c r="D3969" s="58" t="inlineStr">
        <is>
          <t>Grocery</t>
        </is>
      </c>
      <c r="E3969" s="58" t="inlineStr">
        <is>
          <t>East</t>
        </is>
      </c>
      <c r="F3969" s="61" t="n">
        <v>5</v>
      </c>
      <c r="G3969" s="62" t="n">
        <v>13.28</v>
      </c>
      <c r="H3969" s="63" t="n">
        <v>0.128</v>
      </c>
      <c r="I3969" s="62" t="n">
        <v>9.92</v>
      </c>
      <c r="J3969" s="58" t="inlineStr">
        <is>
          <t>Online</t>
        </is>
      </c>
      <c r="K3969" s="62">
        <f>F3969*(G3969-H3969)</f>
        <v/>
      </c>
      <c r="L3969" s="62">
        <f>K3969-(F3969*I3969)</f>
        <v/>
      </c>
      <c r="M3969" s="64">
        <f>L3969/K3969</f>
        <v/>
      </c>
    </row>
    <row r="3970">
      <c r="A3970" s="58" t="inlineStr">
        <is>
          <t>RT20250415-03969</t>
        </is>
      </c>
      <c r="B3970" s="59" t="inlineStr">
        <is>
          <t>2025-04-15</t>
        </is>
      </c>
      <c r="C3970" s="60" t="inlineStr">
        <is>
          <t>Falcon Bedding S-674</t>
        </is>
      </c>
      <c r="D3970" s="58" t="inlineStr">
        <is>
          <t>Home</t>
        </is>
      </c>
      <c r="E3970" s="58" t="inlineStr">
        <is>
          <t>West</t>
        </is>
      </c>
      <c r="F3970" s="61" t="n">
        <v>2</v>
      </c>
      <c r="G3970" s="62" t="n">
        <v>748.26</v>
      </c>
      <c r="H3970" s="63" t="n">
        <v>0.06</v>
      </c>
      <c r="I3970" s="62" t="n">
        <v>464.12</v>
      </c>
      <c r="J3970" s="58" t="inlineStr">
        <is>
          <t>Store</t>
        </is>
      </c>
      <c r="K3970" s="62">
        <f>F3970*(G3970-H3970)</f>
        <v/>
      </c>
      <c r="L3970" s="62">
        <f>K3970-(F3970*I3970)</f>
        <v/>
      </c>
      <c r="M3970" s="64">
        <f>L3970/K3970</f>
        <v/>
      </c>
    </row>
    <row r="3971">
      <c r="A3971" s="58" t="inlineStr">
        <is>
          <t>RT20250415-03970</t>
        </is>
      </c>
      <c r="B3971" s="59" t="inlineStr">
        <is>
          <t>2025-04-15</t>
        </is>
      </c>
      <c r="C3971" s="60" t="inlineStr">
        <is>
          <t>Polar Bedding Lite-243</t>
        </is>
      </c>
      <c r="D3971" s="58" t="inlineStr">
        <is>
          <t>Home</t>
        </is>
      </c>
      <c r="E3971" s="58" t="inlineStr">
        <is>
          <t>South</t>
        </is>
      </c>
      <c r="F3971" s="61" t="n">
        <v>1</v>
      </c>
      <c r="G3971" s="62" t="n">
        <v>483.23</v>
      </c>
      <c r="H3971" s="63" t="n">
        <v>0.099</v>
      </c>
      <c r="I3971" s="62" t="n">
        <v>318.63</v>
      </c>
      <c r="J3971" s="58" t="inlineStr">
        <is>
          <t>Store</t>
        </is>
      </c>
      <c r="K3971" s="62">
        <f>F3971*(G3971-H3971)</f>
        <v/>
      </c>
      <c r="L3971" s="62">
        <f>K3971-(F3971*I3971)</f>
        <v/>
      </c>
      <c r="M3971" s="64">
        <f>L3971/K3971</f>
        <v/>
      </c>
    </row>
    <row r="3972">
      <c r="A3972" s="58" t="inlineStr">
        <is>
          <t>RT20250415-03971</t>
        </is>
      </c>
      <c r="B3972" s="59" t="inlineStr">
        <is>
          <t>2025-04-15</t>
        </is>
      </c>
      <c r="C3972" s="60" t="inlineStr">
        <is>
          <t>Aurora Bedding Max-175</t>
        </is>
      </c>
      <c r="D3972" s="58" t="inlineStr">
        <is>
          <t>Home</t>
        </is>
      </c>
      <c r="E3972" s="58" t="inlineStr">
        <is>
          <t>Central</t>
        </is>
      </c>
      <c r="F3972" s="61" t="n">
        <v>3</v>
      </c>
      <c r="G3972" s="62" t="n">
        <v>586.01</v>
      </c>
      <c r="H3972" s="63" t="n">
        <v>0.02</v>
      </c>
      <c r="I3972" s="62" t="n">
        <v>402.88</v>
      </c>
      <c r="J3972" s="58" t="inlineStr">
        <is>
          <t>Store</t>
        </is>
      </c>
      <c r="K3972" s="62">
        <f>F3972*(G3972-H3972)</f>
        <v/>
      </c>
      <c r="L3972" s="62">
        <f>K3972-(F3972*I3972)</f>
        <v/>
      </c>
      <c r="M3972" s="64">
        <f>L3972/K3972</f>
        <v/>
      </c>
    </row>
    <row r="3973">
      <c r="A3973" s="58" t="inlineStr">
        <is>
          <t>RT20250415-03972</t>
        </is>
      </c>
      <c r="B3973" s="59" t="inlineStr">
        <is>
          <t>2025-04-15</t>
        </is>
      </c>
      <c r="C3973" s="60" t="inlineStr">
        <is>
          <t>Orion Fragrance Lite-785</t>
        </is>
      </c>
      <c r="D3973" s="58" t="inlineStr">
        <is>
          <t>Beauty</t>
        </is>
      </c>
      <c r="E3973" s="58" t="inlineStr">
        <is>
          <t>Central</t>
        </is>
      </c>
      <c r="F3973" s="61" t="n">
        <v>4</v>
      </c>
      <c r="G3973" s="62" t="n">
        <v>48.73</v>
      </c>
      <c r="H3973" s="63" t="n">
        <v>0.09</v>
      </c>
      <c r="I3973" s="62" t="n">
        <v>26.23</v>
      </c>
      <c r="J3973" s="58" t="inlineStr">
        <is>
          <t>Online</t>
        </is>
      </c>
      <c r="K3973" s="62">
        <f>F3973*(G3973-H3973)</f>
        <v/>
      </c>
      <c r="L3973" s="62">
        <f>K3973-(F3973*I3973)</f>
        <v/>
      </c>
      <c r="M3973" s="64">
        <f>L3973/K3973</f>
        <v/>
      </c>
    </row>
    <row r="3974">
      <c r="A3974" s="58" t="inlineStr">
        <is>
          <t>RT20250415-03973</t>
        </is>
      </c>
      <c r="B3974" s="59" t="inlineStr">
        <is>
          <t>2025-04-15</t>
        </is>
      </c>
      <c r="C3974" s="60" t="inlineStr">
        <is>
          <t>Vertex Appliance Max-338</t>
        </is>
      </c>
      <c r="D3974" s="58" t="inlineStr">
        <is>
          <t>Home</t>
        </is>
      </c>
      <c r="E3974" s="58" t="inlineStr">
        <is>
          <t>East</t>
        </is>
      </c>
      <c r="F3974" s="61" t="n">
        <v>2</v>
      </c>
      <c r="G3974" s="62" t="n">
        <v>393.65</v>
      </c>
      <c r="H3974" s="63" t="n">
        <v>0.08400000000000001</v>
      </c>
      <c r="I3974" s="62" t="n">
        <v>293.67</v>
      </c>
      <c r="J3974" s="58" t="inlineStr">
        <is>
          <t>Online</t>
        </is>
      </c>
      <c r="K3974" s="62">
        <f>F3974*(G3974-H3974)</f>
        <v/>
      </c>
      <c r="L3974" s="62">
        <f>K3974-(F3974*I3974)</f>
        <v/>
      </c>
      <c r="M3974" s="64">
        <f>L3974/K3974</f>
        <v/>
      </c>
    </row>
    <row r="3975">
      <c r="A3975" s="58" t="inlineStr">
        <is>
          <t>RT20250415-03974</t>
        </is>
      </c>
      <c r="B3975" s="59" t="inlineStr">
        <is>
          <t>2025-04-15</t>
        </is>
      </c>
      <c r="C3975" s="60" t="inlineStr">
        <is>
          <t>Orion Snack X-322</t>
        </is>
      </c>
      <c r="D3975" s="58" t="inlineStr">
        <is>
          <t>Grocery</t>
        </is>
      </c>
      <c r="E3975" s="58" t="inlineStr">
        <is>
          <t>South</t>
        </is>
      </c>
      <c r="F3975" s="61" t="n">
        <v>4</v>
      </c>
      <c r="G3975" s="62" t="n">
        <v>13.42</v>
      </c>
      <c r="H3975" s="63" t="n">
        <v>0.03</v>
      </c>
      <c r="I3975" s="62" t="n">
        <v>10.27</v>
      </c>
      <c r="J3975" s="58" t="inlineStr">
        <is>
          <t>Online</t>
        </is>
      </c>
      <c r="K3975" s="62">
        <f>F3975*(G3975-H3975)</f>
        <v/>
      </c>
      <c r="L3975" s="62">
        <f>K3975-(F3975*I3975)</f>
        <v/>
      </c>
      <c r="M3975" s="64">
        <f>L3975/K3975</f>
        <v/>
      </c>
    </row>
    <row r="3976">
      <c r="A3976" s="58" t="inlineStr">
        <is>
          <t>RT20250415-03975</t>
        </is>
      </c>
      <c r="B3976" s="59" t="inlineStr">
        <is>
          <t>2025-04-15</t>
        </is>
      </c>
      <c r="C3976" s="60" t="inlineStr">
        <is>
          <t>Metro Outdoor Plus-787</t>
        </is>
      </c>
      <c r="D3976" s="58" t="inlineStr">
        <is>
          <t>Sports</t>
        </is>
      </c>
      <c r="E3976" s="58" t="inlineStr">
        <is>
          <t>East</t>
        </is>
      </c>
      <c r="F3976" s="61" t="n">
        <v>3</v>
      </c>
      <c r="G3976" s="62" t="n">
        <v>538.17</v>
      </c>
      <c r="H3976" s="63" t="n">
        <v>0.06900000000000001</v>
      </c>
      <c r="I3976" s="62" t="n">
        <v>356.75</v>
      </c>
      <c r="J3976" s="58" t="inlineStr">
        <is>
          <t>Online</t>
        </is>
      </c>
      <c r="K3976" s="62">
        <f>F3976*(G3976-H3976)</f>
        <v/>
      </c>
      <c r="L3976" s="62">
        <f>K3976-(F3976*I3976)</f>
        <v/>
      </c>
      <c r="M3976" s="64">
        <f>L3976/K3976</f>
        <v/>
      </c>
    </row>
    <row r="3977">
      <c r="A3977" s="58" t="inlineStr">
        <is>
          <t>RT20250415-03976</t>
        </is>
      </c>
      <c r="B3977" s="59" t="inlineStr">
        <is>
          <t>2025-04-15</t>
        </is>
      </c>
      <c r="C3977" s="60" t="inlineStr">
        <is>
          <t>Aurora Household Plus-146</t>
        </is>
      </c>
      <c r="D3977" s="58" t="inlineStr">
        <is>
          <t>Grocery</t>
        </is>
      </c>
      <c r="E3977" s="58" t="inlineStr">
        <is>
          <t>Central</t>
        </is>
      </c>
      <c r="F3977" s="61" t="n">
        <v>1</v>
      </c>
      <c r="G3977" s="62" t="n">
        <v>6.29</v>
      </c>
      <c r="H3977" s="63" t="n">
        <v>0.099</v>
      </c>
      <c r="I3977" s="62" t="n">
        <v>4.57</v>
      </c>
      <c r="J3977" s="58" t="inlineStr">
        <is>
          <t>Online</t>
        </is>
      </c>
      <c r="K3977" s="62">
        <f>F3977*(G3977-H3977)</f>
        <v/>
      </c>
      <c r="L3977" s="62">
        <f>K3977-(F3977*I3977)</f>
        <v/>
      </c>
      <c r="M3977" s="64">
        <f>L3977/K3977</f>
        <v/>
      </c>
    </row>
    <row r="3978">
      <c r="A3978" s="58" t="inlineStr">
        <is>
          <t>RT20250415-03977</t>
        </is>
      </c>
      <c r="B3978" s="59" t="inlineStr">
        <is>
          <t>2025-04-15</t>
        </is>
      </c>
      <c r="C3978" s="60" t="inlineStr">
        <is>
          <t>Aurora Makeup S-626</t>
        </is>
      </c>
      <c r="D3978" s="58" t="inlineStr">
        <is>
          <t>Beauty</t>
        </is>
      </c>
      <c r="E3978" s="58" t="inlineStr">
        <is>
          <t>North</t>
        </is>
      </c>
      <c r="F3978" s="61" t="n">
        <v>5</v>
      </c>
      <c r="G3978" s="62" t="n">
        <v>100.44</v>
      </c>
      <c r="H3978" s="63" t="n">
        <v>0.031</v>
      </c>
      <c r="I3978" s="62" t="n">
        <v>63.22</v>
      </c>
      <c r="J3978" s="58" t="inlineStr">
        <is>
          <t>Online</t>
        </is>
      </c>
      <c r="K3978" s="62">
        <f>F3978*(G3978-H3978)</f>
        <v/>
      </c>
      <c r="L3978" s="62">
        <f>K3978-(F3978*I3978)</f>
        <v/>
      </c>
      <c r="M3978" s="64">
        <f>L3978/K3978</f>
        <v/>
      </c>
    </row>
    <row r="3979">
      <c r="A3979" s="58" t="inlineStr">
        <is>
          <t>RT20250415-03978</t>
        </is>
      </c>
      <c r="B3979" s="59" t="inlineStr">
        <is>
          <t>2025-04-15</t>
        </is>
      </c>
      <c r="C3979" s="60" t="inlineStr">
        <is>
          <t>Falcon Household Pro-865</t>
        </is>
      </c>
      <c r="D3979" s="58" t="inlineStr">
        <is>
          <t>Grocery</t>
        </is>
      </c>
      <c r="E3979" s="58" t="inlineStr">
        <is>
          <t>Central</t>
        </is>
      </c>
      <c r="F3979" s="61" t="n">
        <v>6</v>
      </c>
      <c r="G3979" s="62" t="n">
        <v>10.5</v>
      </c>
      <c r="H3979" s="63" t="n">
        <v>0.024</v>
      </c>
      <c r="I3979" s="62" t="n">
        <v>7.93</v>
      </c>
      <c r="J3979" s="58" t="inlineStr">
        <is>
          <t>Online</t>
        </is>
      </c>
      <c r="K3979" s="62">
        <f>F3979*(G3979-H3979)</f>
        <v/>
      </c>
      <c r="L3979" s="62">
        <f>K3979-(F3979*I3979)</f>
        <v/>
      </c>
      <c r="M3979" s="64">
        <f>L3979/K3979</f>
        <v/>
      </c>
    </row>
    <row r="3980">
      <c r="A3980" s="58" t="inlineStr">
        <is>
          <t>RT20250415-03979</t>
        </is>
      </c>
      <c r="B3980" s="59" t="inlineStr">
        <is>
          <t>2025-04-15</t>
        </is>
      </c>
      <c r="C3980" s="60" t="inlineStr">
        <is>
          <t>Aurora Team Sport Plus-256</t>
        </is>
      </c>
      <c r="D3980" s="58" t="inlineStr">
        <is>
          <t>Sports</t>
        </is>
      </c>
      <c r="E3980" s="58" t="inlineStr">
        <is>
          <t>Central</t>
        </is>
      </c>
      <c r="F3980" s="61" t="n">
        <v>1</v>
      </c>
      <c r="G3980" s="62" t="n">
        <v>607.86</v>
      </c>
      <c r="H3980" s="63" t="n">
        <v>0.055</v>
      </c>
      <c r="I3980" s="62" t="n">
        <v>414.85</v>
      </c>
      <c r="J3980" s="58" t="inlineStr">
        <is>
          <t>Online</t>
        </is>
      </c>
      <c r="K3980" s="62">
        <f>F3980*(G3980-H3980)</f>
        <v/>
      </c>
      <c r="L3980" s="62">
        <f>K3980-(F3980*I3980)</f>
        <v/>
      </c>
      <c r="M3980" s="64">
        <f>L3980/K3980</f>
        <v/>
      </c>
    </row>
    <row r="3981">
      <c r="A3981" s="58" t="inlineStr">
        <is>
          <t>RT20250415-03980</t>
        </is>
      </c>
      <c r="B3981" s="59" t="inlineStr">
        <is>
          <t>2025-04-15</t>
        </is>
      </c>
      <c r="C3981" s="60" t="inlineStr">
        <is>
          <t>Solace Bedding Plus-317</t>
        </is>
      </c>
      <c r="D3981" s="58" t="inlineStr">
        <is>
          <t>Home</t>
        </is>
      </c>
      <c r="E3981" s="58" t="inlineStr">
        <is>
          <t>West</t>
        </is>
      </c>
      <c r="F3981" s="61" t="n">
        <v>1</v>
      </c>
      <c r="G3981" s="62" t="n">
        <v>575.0700000000001</v>
      </c>
      <c r="H3981" s="63" t="n">
        <v>0.036</v>
      </c>
      <c r="I3981" s="62" t="n">
        <v>374.76</v>
      </c>
      <c r="J3981" s="58" t="inlineStr">
        <is>
          <t>Phone</t>
        </is>
      </c>
      <c r="K3981" s="62">
        <f>F3981*(G3981-H3981)</f>
        <v/>
      </c>
      <c r="L3981" s="62">
        <f>K3981-(F3981*I3981)</f>
        <v/>
      </c>
      <c r="M3981" s="64">
        <f>L3981/K3981</f>
        <v/>
      </c>
    </row>
    <row r="3982">
      <c r="A3982" s="58" t="inlineStr">
        <is>
          <t>RT20250415-03981</t>
        </is>
      </c>
      <c r="B3982" s="59" t="inlineStr">
        <is>
          <t>2025-04-15</t>
        </is>
      </c>
      <c r="C3982" s="60" t="inlineStr">
        <is>
          <t>Metro Wearable Plus-234</t>
        </is>
      </c>
      <c r="D3982" s="58" t="inlineStr">
        <is>
          <t>Electronics</t>
        </is>
      </c>
      <c r="E3982" s="58" t="inlineStr">
        <is>
          <t>Central</t>
        </is>
      </c>
      <c r="F3982" s="61" t="n">
        <v>2</v>
      </c>
      <c r="G3982" s="62" t="n">
        <v>1434.69</v>
      </c>
      <c r="H3982" s="63" t="n">
        <v>0.024</v>
      </c>
      <c r="I3982" s="62" t="n">
        <v>1176.3</v>
      </c>
      <c r="J3982" s="58" t="inlineStr">
        <is>
          <t>Phone</t>
        </is>
      </c>
      <c r="K3982" s="62">
        <f>F3982*(G3982-H3982)</f>
        <v/>
      </c>
      <c r="L3982" s="62">
        <f>K3982-(F3982*I3982)</f>
        <v/>
      </c>
      <c r="M3982" s="64">
        <f>L3982/K3982</f>
        <v/>
      </c>
    </row>
    <row r="3983">
      <c r="A3983" s="58" t="inlineStr">
        <is>
          <t>RT20250415-03982</t>
        </is>
      </c>
      <c r="B3983" s="59" t="inlineStr">
        <is>
          <t>2025-04-15</t>
        </is>
      </c>
      <c r="C3983" s="60" t="inlineStr">
        <is>
          <t>Polar Decor X-935</t>
        </is>
      </c>
      <c r="D3983" s="58" t="inlineStr">
        <is>
          <t>Home</t>
        </is>
      </c>
      <c r="E3983" s="58" t="inlineStr">
        <is>
          <t>East</t>
        </is>
      </c>
      <c r="F3983" s="61" t="n">
        <v>3</v>
      </c>
      <c r="G3983" s="62" t="n">
        <v>309.93</v>
      </c>
      <c r="H3983" s="63" t="n">
        <v>0.026</v>
      </c>
      <c r="I3983" s="62" t="n">
        <v>202.59</v>
      </c>
      <c r="J3983" s="58" t="inlineStr">
        <is>
          <t>Online</t>
        </is>
      </c>
      <c r="K3983" s="62">
        <f>F3983*(G3983-H3983)</f>
        <v/>
      </c>
      <c r="L3983" s="62">
        <f>K3983-(F3983*I3983)</f>
        <v/>
      </c>
      <c r="M3983" s="64">
        <f>L3983/K3983</f>
        <v/>
      </c>
    </row>
    <row r="3984">
      <c r="A3984" s="58" t="inlineStr">
        <is>
          <t>RT20250415-03983</t>
        </is>
      </c>
      <c r="B3984" s="59" t="inlineStr">
        <is>
          <t>2025-04-15</t>
        </is>
      </c>
      <c r="C3984" s="60" t="inlineStr">
        <is>
          <t>Metro Pantry X-710</t>
        </is>
      </c>
      <c r="D3984" s="58" t="inlineStr">
        <is>
          <t>Grocery</t>
        </is>
      </c>
      <c r="E3984" s="58" t="inlineStr">
        <is>
          <t>Central</t>
        </is>
      </c>
      <c r="F3984" s="61" t="n">
        <v>5</v>
      </c>
      <c r="G3984" s="62" t="n">
        <v>5.25</v>
      </c>
      <c r="H3984" s="63" t="n">
        <v>0.058</v>
      </c>
      <c r="I3984" s="62" t="n">
        <v>4.3</v>
      </c>
      <c r="J3984" s="58" t="inlineStr">
        <is>
          <t>Online</t>
        </is>
      </c>
      <c r="K3984" s="62">
        <f>F3984*(G3984-H3984)</f>
        <v/>
      </c>
      <c r="L3984" s="62">
        <f>K3984-(F3984*I3984)</f>
        <v/>
      </c>
      <c r="M3984" s="64">
        <f>L3984/K3984</f>
        <v/>
      </c>
    </row>
    <row r="3985">
      <c r="A3985" s="58" t="inlineStr">
        <is>
          <t>RT20250415-03984</t>
        </is>
      </c>
      <c r="B3985" s="59" t="inlineStr">
        <is>
          <t>2025-04-15</t>
        </is>
      </c>
      <c r="C3985" s="60" t="inlineStr">
        <is>
          <t>Vertex Printer Max-692</t>
        </is>
      </c>
      <c r="D3985" s="58" t="inlineStr">
        <is>
          <t>Office</t>
        </is>
      </c>
      <c r="E3985" s="58" t="inlineStr">
        <is>
          <t>Central</t>
        </is>
      </c>
      <c r="F3985" s="61" t="n">
        <v>3</v>
      </c>
      <c r="G3985" s="62" t="n">
        <v>163.99</v>
      </c>
      <c r="H3985" s="63" t="n">
        <v>0.083</v>
      </c>
      <c r="I3985" s="62" t="n">
        <v>121.06</v>
      </c>
      <c r="J3985" s="58" t="inlineStr">
        <is>
          <t>Store</t>
        </is>
      </c>
      <c r="K3985" s="62">
        <f>F3985*(G3985-H3985)</f>
        <v/>
      </c>
      <c r="L3985" s="62">
        <f>K3985-(F3985*I3985)</f>
        <v/>
      </c>
      <c r="M3985" s="64">
        <f>L3985/K3985</f>
        <v/>
      </c>
    </row>
    <row r="3986">
      <c r="A3986" s="58" t="inlineStr">
        <is>
          <t>RT20250415-03985</t>
        </is>
      </c>
      <c r="B3986" s="59" t="inlineStr">
        <is>
          <t>2025-04-15</t>
        </is>
      </c>
      <c r="C3986" s="60" t="inlineStr">
        <is>
          <t>Falcon Kitchen X-130</t>
        </is>
      </c>
      <c r="D3986" s="58" t="inlineStr">
        <is>
          <t>Home</t>
        </is>
      </c>
      <c r="E3986" s="58" t="inlineStr">
        <is>
          <t>North</t>
        </is>
      </c>
      <c r="F3986" s="61" t="n">
        <v>3</v>
      </c>
      <c r="G3986" s="62" t="n">
        <v>444.98</v>
      </c>
      <c r="H3986" s="63" t="n">
        <v>0.091</v>
      </c>
      <c r="I3986" s="62" t="n">
        <v>283.87</v>
      </c>
      <c r="J3986" s="58" t="inlineStr">
        <is>
          <t>Store</t>
        </is>
      </c>
      <c r="K3986" s="62">
        <f>F3986*(G3986-H3986)</f>
        <v/>
      </c>
      <c r="L3986" s="62">
        <f>K3986-(F3986*I3986)</f>
        <v/>
      </c>
      <c r="M3986" s="64">
        <f>L3986/K3986</f>
        <v/>
      </c>
    </row>
    <row r="3987">
      <c r="A3987" s="58" t="inlineStr">
        <is>
          <t>RT20250415-03986</t>
        </is>
      </c>
      <c r="B3987" s="59" t="inlineStr">
        <is>
          <t>2025-04-15</t>
        </is>
      </c>
      <c r="C3987" s="60" t="inlineStr">
        <is>
          <t>Metro Pantry X-710</t>
        </is>
      </c>
      <c r="D3987" s="58" t="inlineStr">
        <is>
          <t>Grocery</t>
        </is>
      </c>
      <c r="E3987" s="58" t="inlineStr">
        <is>
          <t>Central</t>
        </is>
      </c>
      <c r="F3987" s="61" t="n">
        <v>1</v>
      </c>
      <c r="G3987" s="62" t="n">
        <v>4.71</v>
      </c>
      <c r="H3987" s="63" t="n">
        <v>0.056</v>
      </c>
      <c r="I3987" s="62" t="n">
        <v>4.12</v>
      </c>
      <c r="J3987" s="58" t="inlineStr">
        <is>
          <t>Online</t>
        </is>
      </c>
      <c r="K3987" s="62">
        <f>F3987*(G3987-H3987)</f>
        <v/>
      </c>
      <c r="L3987" s="62">
        <f>K3987-(F3987*I3987)</f>
        <v/>
      </c>
      <c r="M3987" s="64">
        <f>L3987/K3987</f>
        <v/>
      </c>
    </row>
    <row r="3988">
      <c r="A3988" s="58" t="inlineStr">
        <is>
          <t>RT20250415-03987</t>
        </is>
      </c>
      <c r="B3988" s="59" t="inlineStr">
        <is>
          <t>2025-04-15</t>
        </is>
      </c>
      <c r="C3988" s="60" t="inlineStr">
        <is>
          <t>Metro Accessorie Max-316</t>
        </is>
      </c>
      <c r="D3988" s="58" t="inlineStr">
        <is>
          <t>Apparel</t>
        </is>
      </c>
      <c r="E3988" s="58" t="inlineStr">
        <is>
          <t>East</t>
        </is>
      </c>
      <c r="F3988" s="61" t="n">
        <v>1</v>
      </c>
      <c r="G3988" s="62" t="n">
        <v>169.86</v>
      </c>
      <c r="H3988" s="63" t="n">
        <v>0.044</v>
      </c>
      <c r="I3988" s="62" t="n">
        <v>89.92</v>
      </c>
      <c r="J3988" s="58" t="inlineStr">
        <is>
          <t>Store</t>
        </is>
      </c>
      <c r="K3988" s="62">
        <f>F3988*(G3988-H3988)</f>
        <v/>
      </c>
      <c r="L3988" s="62">
        <f>K3988-(F3988*I3988)</f>
        <v/>
      </c>
      <c r="M3988" s="64">
        <f>L3988/K3988</f>
        <v/>
      </c>
    </row>
    <row r="3989">
      <c r="A3989" s="58" t="inlineStr">
        <is>
          <t>RT20250415-03988</t>
        </is>
      </c>
      <c r="B3989" s="59" t="inlineStr">
        <is>
          <t>2025-04-15</t>
        </is>
      </c>
      <c r="C3989" s="60" t="inlineStr">
        <is>
          <t>Polar Wearable X-119</t>
        </is>
      </c>
      <c r="D3989" s="58" t="inlineStr">
        <is>
          <t>Electronics</t>
        </is>
      </c>
      <c r="E3989" s="58" t="inlineStr">
        <is>
          <t>West</t>
        </is>
      </c>
      <c r="F3989" s="61" t="n">
        <v>2</v>
      </c>
      <c r="G3989" s="62" t="n">
        <v>1712.07</v>
      </c>
      <c r="H3989" s="63" t="n">
        <v>0.103</v>
      </c>
      <c r="I3989" s="62" t="n">
        <v>1344.01</v>
      </c>
      <c r="J3989" s="58" t="inlineStr">
        <is>
          <t>Store</t>
        </is>
      </c>
      <c r="K3989" s="62">
        <f>F3989*(G3989-H3989)</f>
        <v/>
      </c>
      <c r="L3989" s="62">
        <f>K3989-(F3989*I3989)</f>
        <v/>
      </c>
      <c r="M3989" s="64">
        <f>L3989/K3989</f>
        <v/>
      </c>
    </row>
    <row r="3990">
      <c r="A3990" s="58" t="inlineStr">
        <is>
          <t>RT20250415-03989</t>
        </is>
      </c>
      <c r="B3990" s="59" t="inlineStr">
        <is>
          <t>2025-04-15</t>
        </is>
      </c>
      <c r="C3990" s="60" t="inlineStr">
        <is>
          <t>Polar Women S-662</t>
        </is>
      </c>
      <c r="D3990" s="58" t="inlineStr">
        <is>
          <t>Apparel</t>
        </is>
      </c>
      <c r="E3990" s="58" t="inlineStr">
        <is>
          <t>West</t>
        </is>
      </c>
      <c r="F3990" s="61" t="n">
        <v>2</v>
      </c>
      <c r="G3990" s="62" t="n">
        <v>195.84</v>
      </c>
      <c r="H3990" s="63" t="n">
        <v>0.065</v>
      </c>
      <c r="I3990" s="62" t="n">
        <v>99.72</v>
      </c>
      <c r="J3990" s="58" t="inlineStr">
        <is>
          <t>Phone</t>
        </is>
      </c>
      <c r="K3990" s="62">
        <f>F3990*(G3990-H3990)</f>
        <v/>
      </c>
      <c r="L3990" s="62">
        <f>K3990-(F3990*I3990)</f>
        <v/>
      </c>
      <c r="M3990" s="64">
        <f>L3990/K3990</f>
        <v/>
      </c>
    </row>
    <row r="3991">
      <c r="A3991" s="58" t="inlineStr">
        <is>
          <t>RT20250415-03990</t>
        </is>
      </c>
      <c r="B3991" s="59" t="inlineStr">
        <is>
          <t>2025-04-15</t>
        </is>
      </c>
      <c r="C3991" s="60" t="inlineStr">
        <is>
          <t>Falcon Storage X-734</t>
        </is>
      </c>
      <c r="D3991" s="58" t="inlineStr">
        <is>
          <t>Office</t>
        </is>
      </c>
      <c r="E3991" s="58" t="inlineStr">
        <is>
          <t>East</t>
        </is>
      </c>
      <c r="F3991" s="61" t="n">
        <v>2</v>
      </c>
      <c r="G3991" s="62" t="n">
        <v>373.08</v>
      </c>
      <c r="H3991" s="63" t="n">
        <v>0.075</v>
      </c>
      <c r="I3991" s="62" t="n">
        <v>276.53</v>
      </c>
      <c r="J3991" s="58" t="inlineStr">
        <is>
          <t>Online</t>
        </is>
      </c>
      <c r="K3991" s="62">
        <f>F3991*(G3991-H3991)</f>
        <v/>
      </c>
      <c r="L3991" s="62">
        <f>K3991-(F3991*I3991)</f>
        <v/>
      </c>
      <c r="M3991" s="64">
        <f>L3991/K3991</f>
        <v/>
      </c>
    </row>
    <row r="3992">
      <c r="A3992" s="58" t="inlineStr">
        <is>
          <t>RT20250415-03991</t>
        </is>
      </c>
      <c r="B3992" s="59" t="inlineStr">
        <is>
          <t>2025-04-15</t>
        </is>
      </c>
      <c r="C3992" s="60" t="inlineStr">
        <is>
          <t>Falcon Haircare Pro-980</t>
        </is>
      </c>
      <c r="D3992" s="58" t="inlineStr">
        <is>
          <t>Beauty</t>
        </is>
      </c>
      <c r="E3992" s="58" t="inlineStr">
        <is>
          <t>Central</t>
        </is>
      </c>
      <c r="F3992" s="61" t="n">
        <v>4</v>
      </c>
      <c r="G3992" s="62" t="n">
        <v>90.45999999999999</v>
      </c>
      <c r="H3992" s="63" t="n">
        <v>0.06</v>
      </c>
      <c r="I3992" s="62" t="n">
        <v>56.85</v>
      </c>
      <c r="J3992" s="58" t="inlineStr">
        <is>
          <t>Store</t>
        </is>
      </c>
      <c r="K3992" s="62">
        <f>F3992*(G3992-H3992)</f>
        <v/>
      </c>
      <c r="L3992" s="62">
        <f>K3992-(F3992*I3992)</f>
        <v/>
      </c>
      <c r="M3992" s="64">
        <f>L3992/K3992</f>
        <v/>
      </c>
    </row>
    <row r="3993">
      <c r="A3993" s="58" t="inlineStr">
        <is>
          <t>RT20250415-03992</t>
        </is>
      </c>
      <c r="B3993" s="59" t="inlineStr">
        <is>
          <t>2025-04-15</t>
        </is>
      </c>
      <c r="C3993" s="60" t="inlineStr">
        <is>
          <t>Solace Kitchen X-919</t>
        </is>
      </c>
      <c r="D3993" s="58" t="inlineStr">
        <is>
          <t>Home</t>
        </is>
      </c>
      <c r="E3993" s="58" t="inlineStr">
        <is>
          <t>West</t>
        </is>
      </c>
      <c r="F3993" s="61" t="n">
        <v>2</v>
      </c>
      <c r="G3993" s="62" t="n">
        <v>367.93</v>
      </c>
      <c r="H3993" s="63" t="n">
        <v>0.063</v>
      </c>
      <c r="I3993" s="62" t="n">
        <v>255.24</v>
      </c>
      <c r="J3993" s="58" t="inlineStr">
        <is>
          <t>Online</t>
        </is>
      </c>
      <c r="K3993" s="62">
        <f>F3993*(G3993-H3993)</f>
        <v/>
      </c>
      <c r="L3993" s="62">
        <f>K3993-(F3993*I3993)</f>
        <v/>
      </c>
      <c r="M3993" s="64">
        <f>L3993/K3993</f>
        <v/>
      </c>
    </row>
    <row r="3994">
      <c r="A3994" s="58" t="inlineStr">
        <is>
          <t>RT20250415-03993</t>
        </is>
      </c>
      <c r="B3994" s="59" t="inlineStr">
        <is>
          <t>2025-04-15</t>
        </is>
      </c>
      <c r="C3994" s="60" t="inlineStr">
        <is>
          <t>Vertex Appliance Max-338</t>
        </is>
      </c>
      <c r="D3994" s="58" t="inlineStr">
        <is>
          <t>Home</t>
        </is>
      </c>
      <c r="E3994" s="58" t="inlineStr">
        <is>
          <t>East</t>
        </is>
      </c>
      <c r="F3994" s="61" t="n">
        <v>3</v>
      </c>
      <c r="G3994" s="62" t="n">
        <v>454.83</v>
      </c>
      <c r="H3994" s="63" t="n">
        <v>0.031</v>
      </c>
      <c r="I3994" s="62" t="n">
        <v>285.06</v>
      </c>
      <c r="J3994" s="58" t="inlineStr">
        <is>
          <t>Store</t>
        </is>
      </c>
      <c r="K3994" s="62">
        <f>F3994*(G3994-H3994)</f>
        <v/>
      </c>
      <c r="L3994" s="62">
        <f>K3994-(F3994*I3994)</f>
        <v/>
      </c>
      <c r="M3994" s="64">
        <f>L3994/K3994</f>
        <v/>
      </c>
    </row>
    <row r="3995">
      <c r="A3995" s="58" t="inlineStr">
        <is>
          <t>RT20250415-03994</t>
        </is>
      </c>
      <c r="B3995" s="59" t="inlineStr">
        <is>
          <t>2025-04-15</t>
        </is>
      </c>
      <c r="C3995" s="60" t="inlineStr">
        <is>
          <t>Polar Outdoor X-193</t>
        </is>
      </c>
      <c r="D3995" s="58" t="inlineStr">
        <is>
          <t>Sports</t>
        </is>
      </c>
      <c r="E3995" s="58" t="inlineStr">
        <is>
          <t>North</t>
        </is>
      </c>
      <c r="F3995" s="61" t="n">
        <v>1</v>
      </c>
      <c r="G3995" s="62" t="n">
        <v>595.85</v>
      </c>
      <c r="H3995" s="63" t="n">
        <v>0.03</v>
      </c>
      <c r="I3995" s="62" t="n">
        <v>464.23</v>
      </c>
      <c r="J3995" s="58" t="inlineStr">
        <is>
          <t>Online</t>
        </is>
      </c>
      <c r="K3995" s="62">
        <f>F3995*(G3995-H3995)</f>
        <v/>
      </c>
      <c r="L3995" s="62">
        <f>K3995-(F3995*I3995)</f>
        <v/>
      </c>
      <c r="M3995" s="64">
        <f>L3995/K3995</f>
        <v/>
      </c>
    </row>
    <row r="3996">
      <c r="A3996" s="58" t="inlineStr">
        <is>
          <t>RT20250415-03995</t>
        </is>
      </c>
      <c r="B3996" s="59" t="inlineStr">
        <is>
          <t>2025-04-15</t>
        </is>
      </c>
      <c r="C3996" s="60" t="inlineStr">
        <is>
          <t>Falcon Wearable X-334</t>
        </is>
      </c>
      <c r="D3996" s="58" t="inlineStr">
        <is>
          <t>Electronics</t>
        </is>
      </c>
      <c r="E3996" s="58" t="inlineStr">
        <is>
          <t>North</t>
        </is>
      </c>
      <c r="F3996" s="61" t="n">
        <v>2</v>
      </c>
      <c r="G3996" s="62" t="n">
        <v>2084.71</v>
      </c>
      <c r="H3996" s="63" t="n">
        <v>0.026</v>
      </c>
      <c r="I3996" s="62" t="n">
        <v>1549.37</v>
      </c>
      <c r="J3996" s="58" t="inlineStr">
        <is>
          <t>Online</t>
        </is>
      </c>
      <c r="K3996" s="62">
        <f>F3996*(G3996-H3996)</f>
        <v/>
      </c>
      <c r="L3996" s="62">
        <f>K3996-(F3996*I3996)</f>
        <v/>
      </c>
      <c r="M3996" s="64">
        <f>L3996/K3996</f>
        <v/>
      </c>
    </row>
    <row r="3997">
      <c r="A3997" s="58" t="inlineStr">
        <is>
          <t>RT20250415-03996</t>
        </is>
      </c>
      <c r="B3997" s="59" t="inlineStr">
        <is>
          <t>2025-04-15</t>
        </is>
      </c>
      <c r="C3997" s="60" t="inlineStr">
        <is>
          <t>Metro Pantry X-710</t>
        </is>
      </c>
      <c r="D3997" s="58" t="inlineStr">
        <is>
          <t>Grocery</t>
        </is>
      </c>
      <c r="E3997" s="58" t="inlineStr">
        <is>
          <t>East</t>
        </is>
      </c>
      <c r="F3997" s="61" t="n">
        <v>5</v>
      </c>
      <c r="G3997" s="62" t="n">
        <v>5.74</v>
      </c>
      <c r="H3997" s="63" t="n">
        <v>0.008999999999999999</v>
      </c>
      <c r="I3997" s="62" t="n">
        <v>4.28</v>
      </c>
      <c r="J3997" s="58" t="inlineStr">
        <is>
          <t>Phone</t>
        </is>
      </c>
      <c r="K3997" s="62">
        <f>F3997*(G3997-H3997)</f>
        <v/>
      </c>
      <c r="L3997" s="62">
        <f>K3997-(F3997*I3997)</f>
        <v/>
      </c>
      <c r="M3997" s="64">
        <f>L3997/K3997</f>
        <v/>
      </c>
    </row>
    <row r="3998">
      <c r="A3998" s="58" t="inlineStr">
        <is>
          <t>RT20250415-03997</t>
        </is>
      </c>
      <c r="B3998" s="59" t="inlineStr">
        <is>
          <t>2025-04-15</t>
        </is>
      </c>
      <c r="C3998" s="60" t="inlineStr">
        <is>
          <t>Aurora Bedding Plus-187</t>
        </is>
      </c>
      <c r="D3998" s="58" t="inlineStr">
        <is>
          <t>Home</t>
        </is>
      </c>
      <c r="E3998" s="58" t="inlineStr">
        <is>
          <t>East</t>
        </is>
      </c>
      <c r="F3998" s="61" t="n">
        <v>1</v>
      </c>
      <c r="G3998" s="62" t="n">
        <v>293.11</v>
      </c>
      <c r="H3998" s="63" t="n">
        <v>0.066</v>
      </c>
      <c r="I3998" s="62" t="n">
        <v>207.5</v>
      </c>
      <c r="J3998" s="58" t="inlineStr">
        <is>
          <t>Phone</t>
        </is>
      </c>
      <c r="K3998" s="62">
        <f>F3998*(G3998-H3998)</f>
        <v/>
      </c>
      <c r="L3998" s="62">
        <f>K3998-(F3998*I3998)</f>
        <v/>
      </c>
      <c r="M3998" s="64">
        <f>L3998/K3998</f>
        <v/>
      </c>
    </row>
    <row r="3999">
      <c r="A3999" s="58" t="inlineStr">
        <is>
          <t>RT20250415-03998</t>
        </is>
      </c>
      <c r="B3999" s="59" t="inlineStr">
        <is>
          <t>2025-04-15</t>
        </is>
      </c>
      <c r="C3999" s="60" t="inlineStr">
        <is>
          <t>Vertex Furniture S-652</t>
        </is>
      </c>
      <c r="D3999" s="58" t="inlineStr">
        <is>
          <t>Office</t>
        </is>
      </c>
      <c r="E3999" s="58" t="inlineStr">
        <is>
          <t>North</t>
        </is>
      </c>
      <c r="F3999" s="61" t="n">
        <v>3</v>
      </c>
      <c r="G3999" s="62" t="n">
        <v>368.15</v>
      </c>
      <c r="H3999" s="63" t="n">
        <v>0.091</v>
      </c>
      <c r="I3999" s="62" t="n">
        <v>260.86</v>
      </c>
      <c r="J3999" s="58" t="inlineStr">
        <is>
          <t>Online</t>
        </is>
      </c>
      <c r="K3999" s="62">
        <f>F3999*(G3999-H3999)</f>
        <v/>
      </c>
      <c r="L3999" s="62">
        <f>K3999-(F3999*I3999)</f>
        <v/>
      </c>
      <c r="M3999" s="64">
        <f>L3999/K3999</f>
        <v/>
      </c>
    </row>
    <row r="4000">
      <c r="A4000" s="58" t="inlineStr">
        <is>
          <t>RT20250415-03999</t>
        </is>
      </c>
      <c r="B4000" s="59" t="inlineStr">
        <is>
          <t>2025-04-15</t>
        </is>
      </c>
      <c r="C4000" s="60" t="inlineStr">
        <is>
          <t>Falcon Storage X-734</t>
        </is>
      </c>
      <c r="D4000" s="58" t="inlineStr">
        <is>
          <t>Office</t>
        </is>
      </c>
      <c r="E4000" s="58" t="inlineStr">
        <is>
          <t>Central</t>
        </is>
      </c>
      <c r="F4000" s="61" t="n">
        <v>2</v>
      </c>
      <c r="G4000" s="62" t="n">
        <v>417.82</v>
      </c>
      <c r="H4000" s="63" t="n">
        <v>0.062</v>
      </c>
      <c r="I4000" s="62" t="n">
        <v>282.93</v>
      </c>
      <c r="J4000" s="58" t="inlineStr">
        <is>
          <t>Store</t>
        </is>
      </c>
      <c r="K4000" s="62">
        <f>F4000*(G4000-H4000)</f>
        <v/>
      </c>
      <c r="L4000" s="62">
        <f>K4000-(F4000*I4000)</f>
        <v/>
      </c>
      <c r="M4000" s="64">
        <f>L4000/K4000</f>
        <v/>
      </c>
    </row>
    <row r="4001">
      <c r="A4001" s="58" t="inlineStr">
        <is>
          <t>RT20250415-04000</t>
        </is>
      </c>
      <c r="B4001" s="59" t="inlineStr">
        <is>
          <t>2025-04-15</t>
        </is>
      </c>
      <c r="C4001" s="60" t="inlineStr">
        <is>
          <t>Vertex Appliance Max-338</t>
        </is>
      </c>
      <c r="D4001" s="58" t="inlineStr">
        <is>
          <t>Home</t>
        </is>
      </c>
      <c r="E4001" s="58" t="inlineStr">
        <is>
          <t>Central</t>
        </is>
      </c>
      <c r="F4001" s="61" t="n">
        <v>3</v>
      </c>
      <c r="G4001" s="62" t="n">
        <v>438.54</v>
      </c>
      <c r="H4001" s="63" t="n">
        <v>0.102</v>
      </c>
      <c r="I4001" s="62" t="n">
        <v>285.46</v>
      </c>
      <c r="J4001" s="58" t="inlineStr">
        <is>
          <t>Store</t>
        </is>
      </c>
      <c r="K4001" s="62">
        <f>F4001*(G4001-H4001)</f>
        <v/>
      </c>
      <c r="L4001" s="62">
        <f>K4001-(F4001*I4001)</f>
        <v/>
      </c>
      <c r="M4001" s="64">
        <f>L4001/K4001</f>
        <v/>
      </c>
    </row>
    <row r="4002">
      <c r="A4002" s="58" t="inlineStr">
        <is>
          <t>RT20250415-04001</t>
        </is>
      </c>
      <c r="B4002" s="59" t="inlineStr">
        <is>
          <t>2025-04-15</t>
        </is>
      </c>
      <c r="C4002" s="60" t="inlineStr">
        <is>
          <t>Aurora Bedding Plus-187</t>
        </is>
      </c>
      <c r="D4002" s="58" t="inlineStr">
        <is>
          <t>Home</t>
        </is>
      </c>
      <c r="E4002" s="58" t="inlineStr">
        <is>
          <t>East</t>
        </is>
      </c>
      <c r="F4002" s="61" t="n">
        <v>3</v>
      </c>
      <c r="G4002" s="62" t="n">
        <v>281.76</v>
      </c>
      <c r="H4002" s="63" t="n">
        <v>0.059</v>
      </c>
      <c r="I4002" s="62" t="n">
        <v>210.96</v>
      </c>
      <c r="J4002" s="58" t="inlineStr">
        <is>
          <t>Online</t>
        </is>
      </c>
      <c r="K4002" s="62">
        <f>F4002*(G4002-H4002)</f>
        <v/>
      </c>
      <c r="L4002" s="62">
        <f>K4002-(F4002*I4002)</f>
        <v/>
      </c>
      <c r="M4002" s="64">
        <f>L4002/K4002</f>
        <v/>
      </c>
    </row>
    <row r="4003">
      <c r="A4003" s="58" t="inlineStr">
        <is>
          <t>RT20250415-04002</t>
        </is>
      </c>
      <c r="B4003" s="59" t="inlineStr">
        <is>
          <t>2025-04-15</t>
        </is>
      </c>
      <c r="C4003" s="60" t="inlineStr">
        <is>
          <t>Falcon Beverage Max-702</t>
        </is>
      </c>
      <c r="D4003" s="58" t="inlineStr">
        <is>
          <t>Grocery</t>
        </is>
      </c>
      <c r="E4003" s="58" t="inlineStr">
        <is>
          <t>Central</t>
        </is>
      </c>
      <c r="F4003" s="61" t="n">
        <v>4</v>
      </c>
      <c r="G4003" s="62" t="n">
        <v>28.28</v>
      </c>
      <c r="H4003" s="63" t="n">
        <v>0.111</v>
      </c>
      <c r="I4003" s="62" t="n">
        <v>19.91</v>
      </c>
      <c r="J4003" s="58" t="inlineStr">
        <is>
          <t>Online</t>
        </is>
      </c>
      <c r="K4003" s="62">
        <f>F4003*(G4003-H4003)</f>
        <v/>
      </c>
      <c r="L4003" s="62">
        <f>K4003-(F4003*I4003)</f>
        <v/>
      </c>
      <c r="M4003" s="64">
        <f>L4003/K4003</f>
        <v/>
      </c>
    </row>
    <row r="4004">
      <c r="A4004" s="58" t="inlineStr">
        <is>
          <t>RT20250415-04003</t>
        </is>
      </c>
      <c r="B4004" s="59" t="inlineStr">
        <is>
          <t>2025-04-15</t>
        </is>
      </c>
      <c r="C4004" s="60" t="inlineStr">
        <is>
          <t>Falcon Wearable X-334</t>
        </is>
      </c>
      <c r="D4004" s="58" t="inlineStr">
        <is>
          <t>Electronics</t>
        </is>
      </c>
      <c r="E4004" s="58" t="inlineStr">
        <is>
          <t>East</t>
        </is>
      </c>
      <c r="F4004" s="61" t="n">
        <v>2</v>
      </c>
      <c r="G4004" s="62" t="n">
        <v>1852.34</v>
      </c>
      <c r="H4004" s="63" t="n">
        <v>0.059</v>
      </c>
      <c r="I4004" s="62" t="n">
        <v>1534.27</v>
      </c>
      <c r="J4004" s="58" t="inlineStr">
        <is>
          <t>Online</t>
        </is>
      </c>
      <c r="K4004" s="62">
        <f>F4004*(G4004-H4004)</f>
        <v/>
      </c>
      <c r="L4004" s="62">
        <f>K4004-(F4004*I4004)</f>
        <v/>
      </c>
      <c r="M4004" s="64">
        <f>L4004/K4004</f>
        <v/>
      </c>
    </row>
    <row r="4005">
      <c r="A4005" s="58" t="inlineStr">
        <is>
          <t>RT20250415-04004</t>
        </is>
      </c>
      <c r="B4005" s="59" t="inlineStr">
        <is>
          <t>2025-04-15</t>
        </is>
      </c>
      <c r="C4005" s="60" t="inlineStr">
        <is>
          <t>Solace Kitchen Pro-999</t>
        </is>
      </c>
      <c r="D4005" s="58" t="inlineStr">
        <is>
          <t>Home</t>
        </is>
      </c>
      <c r="E4005" s="58" t="inlineStr">
        <is>
          <t>East</t>
        </is>
      </c>
      <c r="F4005" s="61" t="n">
        <v>1</v>
      </c>
      <c r="G4005" s="62" t="n">
        <v>390.64</v>
      </c>
      <c r="H4005" s="63" t="n">
        <v>0.116</v>
      </c>
      <c r="I4005" s="62" t="n">
        <v>260.96</v>
      </c>
      <c r="J4005" s="58" t="inlineStr">
        <is>
          <t>Online</t>
        </is>
      </c>
      <c r="K4005" s="62">
        <f>F4005*(G4005-H4005)</f>
        <v/>
      </c>
      <c r="L4005" s="62">
        <f>K4005-(F4005*I4005)</f>
        <v/>
      </c>
      <c r="M4005" s="64">
        <f>L4005/K4005</f>
        <v/>
      </c>
    </row>
    <row r="4006">
      <c r="A4006" s="58" t="inlineStr">
        <is>
          <t>RT20250415-04005</t>
        </is>
      </c>
      <c r="B4006" s="59" t="inlineStr">
        <is>
          <t>2025-04-15</t>
        </is>
      </c>
      <c r="C4006" s="60" t="inlineStr">
        <is>
          <t>Nimbus Decor Lite-385</t>
        </is>
      </c>
      <c r="D4006" s="58" t="inlineStr">
        <is>
          <t>Home</t>
        </is>
      </c>
      <c r="E4006" s="58" t="inlineStr">
        <is>
          <t>North</t>
        </is>
      </c>
      <c r="F4006" s="61" t="n">
        <v>3</v>
      </c>
      <c r="G4006" s="62" t="n">
        <v>583.53</v>
      </c>
      <c r="H4006" s="63" t="n">
        <v>0.057</v>
      </c>
      <c r="I4006" s="62" t="n">
        <v>401.87</v>
      </c>
      <c r="J4006" s="58" t="inlineStr">
        <is>
          <t>Online</t>
        </is>
      </c>
      <c r="K4006" s="62">
        <f>F4006*(G4006-H4006)</f>
        <v/>
      </c>
      <c r="L4006" s="62">
        <f>K4006-(F4006*I4006)</f>
        <v/>
      </c>
      <c r="M4006" s="64">
        <f>L4006/K4006</f>
        <v/>
      </c>
    </row>
    <row r="4007">
      <c r="A4007" s="58" t="inlineStr">
        <is>
          <t>RT20250415-04006</t>
        </is>
      </c>
      <c r="B4007" s="59" t="inlineStr">
        <is>
          <t>2025-04-15</t>
        </is>
      </c>
      <c r="C4007" s="60" t="inlineStr">
        <is>
          <t>Aurora Fitnes Lite-194</t>
        </is>
      </c>
      <c r="D4007" s="58" t="inlineStr">
        <is>
          <t>Sports</t>
        </is>
      </c>
      <c r="E4007" s="58" t="inlineStr">
        <is>
          <t>North</t>
        </is>
      </c>
      <c r="F4007" s="61" t="n">
        <v>3</v>
      </c>
      <c r="G4007" s="62" t="n">
        <v>723.25</v>
      </c>
      <c r="H4007" s="63" t="n">
        <v>0.06900000000000001</v>
      </c>
      <c r="I4007" s="62" t="n">
        <v>452.44</v>
      </c>
      <c r="J4007" s="58" t="inlineStr">
        <is>
          <t>Store</t>
        </is>
      </c>
      <c r="K4007" s="62">
        <f>F4007*(G4007-H4007)</f>
        <v/>
      </c>
      <c r="L4007" s="62">
        <f>K4007-(F4007*I4007)</f>
        <v/>
      </c>
      <c r="M4007" s="64">
        <f>L4007/K4007</f>
        <v/>
      </c>
    </row>
    <row r="4008">
      <c r="A4008" s="58" t="inlineStr">
        <is>
          <t>RT20250415-04007</t>
        </is>
      </c>
      <c r="B4008" s="59" t="inlineStr">
        <is>
          <t>2025-04-15</t>
        </is>
      </c>
      <c r="C4008" s="60" t="inlineStr">
        <is>
          <t>Orion Supplie S-612</t>
        </is>
      </c>
      <c r="D4008" s="58" t="inlineStr">
        <is>
          <t>Office</t>
        </is>
      </c>
      <c r="E4008" s="58" t="inlineStr">
        <is>
          <t>North</t>
        </is>
      </c>
      <c r="F4008" s="61" t="n">
        <v>1</v>
      </c>
      <c r="G4008" s="62" t="n">
        <v>439.88</v>
      </c>
      <c r="H4008" s="63" t="n">
        <v>0.044</v>
      </c>
      <c r="I4008" s="62" t="n">
        <v>341.19</v>
      </c>
      <c r="J4008" s="58" t="inlineStr">
        <is>
          <t>Online</t>
        </is>
      </c>
      <c r="K4008" s="62">
        <f>F4008*(G4008-H4008)</f>
        <v/>
      </c>
      <c r="L4008" s="62">
        <f>K4008-(F4008*I4008)</f>
        <v/>
      </c>
      <c r="M4008" s="64">
        <f>L4008/K4008</f>
        <v/>
      </c>
    </row>
    <row r="4009">
      <c r="A4009" s="58" t="inlineStr">
        <is>
          <t>RT20250415-04008</t>
        </is>
      </c>
      <c r="B4009" s="59" t="inlineStr">
        <is>
          <t>2025-04-15</t>
        </is>
      </c>
      <c r="C4009" s="60" t="inlineStr">
        <is>
          <t>Aurora Appliance Max-316</t>
        </is>
      </c>
      <c r="D4009" s="58" t="inlineStr">
        <is>
          <t>Home</t>
        </is>
      </c>
      <c r="E4009" s="58" t="inlineStr">
        <is>
          <t>South</t>
        </is>
      </c>
      <c r="F4009" s="61" t="n">
        <v>1</v>
      </c>
      <c r="G4009" s="62" t="n">
        <v>263.3</v>
      </c>
      <c r="H4009" s="63" t="n">
        <v>0.06</v>
      </c>
      <c r="I4009" s="62" t="n">
        <v>215.51</v>
      </c>
      <c r="J4009" s="58" t="inlineStr">
        <is>
          <t>Online</t>
        </is>
      </c>
      <c r="K4009" s="62">
        <f>F4009*(G4009-H4009)</f>
        <v/>
      </c>
      <c r="L4009" s="62">
        <f>K4009-(F4009*I4009)</f>
        <v/>
      </c>
      <c r="M4009" s="64">
        <f>L4009/K4009</f>
        <v/>
      </c>
    </row>
    <row r="4010">
      <c r="A4010" s="58" t="inlineStr">
        <is>
          <t>RT20250415-04009</t>
        </is>
      </c>
      <c r="B4010" s="59" t="inlineStr">
        <is>
          <t>2025-04-15</t>
        </is>
      </c>
      <c r="C4010" s="60" t="inlineStr">
        <is>
          <t>Falcon Household Pro-865</t>
        </is>
      </c>
      <c r="D4010" s="58" t="inlineStr">
        <is>
          <t>Grocery</t>
        </is>
      </c>
      <c r="E4010" s="58" t="inlineStr">
        <is>
          <t>Central</t>
        </is>
      </c>
      <c r="F4010" s="61" t="n">
        <v>3</v>
      </c>
      <c r="G4010" s="62" t="n">
        <v>11.95</v>
      </c>
      <c r="H4010" s="63" t="n">
        <v>0.014</v>
      </c>
      <c r="I4010" s="62" t="n">
        <v>7.74</v>
      </c>
      <c r="J4010" s="58" t="inlineStr">
        <is>
          <t>Online</t>
        </is>
      </c>
      <c r="K4010" s="62">
        <f>F4010*(G4010-H4010)</f>
        <v/>
      </c>
      <c r="L4010" s="62">
        <f>K4010-(F4010*I4010)</f>
        <v/>
      </c>
      <c r="M4010" s="64">
        <f>L4010/K4010</f>
        <v/>
      </c>
    </row>
    <row r="4011">
      <c r="A4011" s="58" t="inlineStr">
        <is>
          <t>RT20250415-04010</t>
        </is>
      </c>
      <c r="B4011" s="59" t="inlineStr">
        <is>
          <t>2025-04-15</t>
        </is>
      </c>
      <c r="C4011" s="60" t="inlineStr">
        <is>
          <t>Orion Kitchen Pro-568</t>
        </is>
      </c>
      <c r="D4011" s="58" t="inlineStr">
        <is>
          <t>Home</t>
        </is>
      </c>
      <c r="E4011" s="58" t="inlineStr">
        <is>
          <t>Central</t>
        </is>
      </c>
      <c r="F4011" s="61" t="n">
        <v>2</v>
      </c>
      <c r="G4011" s="62" t="n">
        <v>418.9</v>
      </c>
      <c r="H4011" s="63" t="n">
        <v>0.067</v>
      </c>
      <c r="I4011" s="62" t="n">
        <v>300.42</v>
      </c>
      <c r="J4011" s="58" t="inlineStr">
        <is>
          <t>Store</t>
        </is>
      </c>
      <c r="K4011" s="62">
        <f>F4011*(G4011-H4011)</f>
        <v/>
      </c>
      <c r="L4011" s="62">
        <f>K4011-(F4011*I4011)</f>
        <v/>
      </c>
      <c r="M4011" s="64">
        <f>L4011/K4011</f>
        <v/>
      </c>
    </row>
    <row r="4012">
      <c r="A4012" s="58" t="inlineStr">
        <is>
          <t>RT20250416-04011</t>
        </is>
      </c>
      <c r="B4012" s="59" t="inlineStr">
        <is>
          <t>2025-04-16</t>
        </is>
      </c>
      <c r="C4012" s="60" t="inlineStr">
        <is>
          <t>Metro Printer X-294</t>
        </is>
      </c>
      <c r="D4012" s="58" t="inlineStr">
        <is>
          <t>Office</t>
        </is>
      </c>
      <c r="E4012" s="58" t="inlineStr">
        <is>
          <t>East</t>
        </is>
      </c>
      <c r="F4012" s="61" t="n">
        <v>2</v>
      </c>
      <c r="G4012" s="62" t="n">
        <v>611.08</v>
      </c>
      <c r="H4012" s="63" t="n">
        <v>0.089</v>
      </c>
      <c r="I4012" s="62" t="n">
        <v>402.55</v>
      </c>
      <c r="J4012" s="58" t="inlineStr">
        <is>
          <t>Store</t>
        </is>
      </c>
      <c r="K4012" s="62">
        <f>F4012*(G4012-H4012)</f>
        <v/>
      </c>
      <c r="L4012" s="62">
        <f>K4012-(F4012*I4012)</f>
        <v/>
      </c>
      <c r="M4012" s="64">
        <f>L4012/K4012</f>
        <v/>
      </c>
    </row>
    <row r="4013">
      <c r="A4013" s="58" t="inlineStr">
        <is>
          <t>RT20250416-04012</t>
        </is>
      </c>
      <c r="B4013" s="59" t="inlineStr">
        <is>
          <t>2025-04-16</t>
        </is>
      </c>
      <c r="C4013" s="60" t="inlineStr">
        <is>
          <t>Aurora Bedding Plus-187</t>
        </is>
      </c>
      <c r="D4013" s="58" t="inlineStr">
        <is>
          <t>Home</t>
        </is>
      </c>
      <c r="E4013" s="58" t="inlineStr">
        <is>
          <t>East</t>
        </is>
      </c>
      <c r="F4013" s="61" t="n">
        <v>1</v>
      </c>
      <c r="G4013" s="62" t="n">
        <v>298.67</v>
      </c>
      <c r="H4013" s="63" t="n">
        <v>0</v>
      </c>
      <c r="I4013" s="62" t="n">
        <v>212.14</v>
      </c>
      <c r="J4013" s="58" t="inlineStr">
        <is>
          <t>Store</t>
        </is>
      </c>
      <c r="K4013" s="62">
        <f>F4013*(G4013-H4013)</f>
        <v/>
      </c>
      <c r="L4013" s="62">
        <f>K4013-(F4013*I4013)</f>
        <v/>
      </c>
      <c r="M4013" s="64">
        <f>L4013/K4013</f>
        <v/>
      </c>
    </row>
    <row r="4014">
      <c r="A4014" s="58" t="inlineStr">
        <is>
          <t>RT20250416-04013</t>
        </is>
      </c>
      <c r="B4014" s="59" t="inlineStr">
        <is>
          <t>2025-04-16</t>
        </is>
      </c>
      <c r="C4014" s="60" t="inlineStr">
        <is>
          <t>Nimbus Headphone X-854</t>
        </is>
      </c>
      <c r="D4014" s="58" t="inlineStr">
        <is>
          <t>Electronics</t>
        </is>
      </c>
      <c r="E4014" s="58" t="inlineStr">
        <is>
          <t>Central</t>
        </is>
      </c>
      <c r="F4014" s="61" t="n">
        <v>2</v>
      </c>
      <c r="G4014" s="62" t="n">
        <v>1558.03</v>
      </c>
      <c r="H4014" s="63" t="n">
        <v>0.08400000000000001</v>
      </c>
      <c r="I4014" s="62" t="n">
        <v>1227.01</v>
      </c>
      <c r="J4014" s="58" t="inlineStr">
        <is>
          <t>Online</t>
        </is>
      </c>
      <c r="K4014" s="62">
        <f>F4014*(G4014-H4014)</f>
        <v/>
      </c>
      <c r="L4014" s="62">
        <f>K4014-(F4014*I4014)</f>
        <v/>
      </c>
      <c r="M4014" s="64">
        <f>L4014/K4014</f>
        <v/>
      </c>
    </row>
    <row r="4015">
      <c r="A4015" s="58" t="inlineStr">
        <is>
          <t>RT20250416-04014</t>
        </is>
      </c>
      <c r="B4015" s="59" t="inlineStr">
        <is>
          <t>2025-04-16</t>
        </is>
      </c>
      <c r="C4015" s="60" t="inlineStr">
        <is>
          <t>Orion Men X-928</t>
        </is>
      </c>
      <c r="D4015" s="58" t="inlineStr">
        <is>
          <t>Apparel</t>
        </is>
      </c>
      <c r="E4015" s="58" t="inlineStr">
        <is>
          <t>North</t>
        </is>
      </c>
      <c r="F4015" s="61" t="n">
        <v>3</v>
      </c>
      <c r="G4015" s="62" t="n">
        <v>133.61</v>
      </c>
      <c r="H4015" s="63" t="n">
        <v>0.077</v>
      </c>
      <c r="I4015" s="62" t="n">
        <v>63.81</v>
      </c>
      <c r="J4015" s="58" t="inlineStr">
        <is>
          <t>Store</t>
        </is>
      </c>
      <c r="K4015" s="62">
        <f>F4015*(G4015-H4015)</f>
        <v/>
      </c>
      <c r="L4015" s="62">
        <f>K4015-(F4015*I4015)</f>
        <v/>
      </c>
      <c r="M4015" s="64">
        <f>L4015/K4015</f>
        <v/>
      </c>
    </row>
    <row r="4016">
      <c r="A4016" s="58" t="inlineStr">
        <is>
          <t>RT20250416-04015</t>
        </is>
      </c>
      <c r="B4016" s="59" t="inlineStr">
        <is>
          <t>2025-04-16</t>
        </is>
      </c>
      <c r="C4016" s="60" t="inlineStr">
        <is>
          <t>Metro Pantry X-710</t>
        </is>
      </c>
      <c r="D4016" s="58" t="inlineStr">
        <is>
          <t>Grocery</t>
        </is>
      </c>
      <c r="E4016" s="58" t="inlineStr">
        <is>
          <t>West</t>
        </is>
      </c>
      <c r="F4016" s="61" t="n">
        <v>6</v>
      </c>
      <c r="G4016" s="62" t="n">
        <v>5.84</v>
      </c>
      <c r="H4016" s="63" t="n">
        <v>0.062</v>
      </c>
      <c r="I4016" s="62" t="n">
        <v>4.17</v>
      </c>
      <c r="J4016" s="58" t="inlineStr">
        <is>
          <t>Online</t>
        </is>
      </c>
      <c r="K4016" s="62">
        <f>F4016*(G4016-H4016)</f>
        <v/>
      </c>
      <c r="L4016" s="62">
        <f>K4016-(F4016*I4016)</f>
        <v/>
      </c>
      <c r="M4016" s="64">
        <f>L4016/K4016</f>
        <v/>
      </c>
    </row>
    <row r="4017">
      <c r="A4017" s="58" t="inlineStr">
        <is>
          <t>RT20250416-04016</t>
        </is>
      </c>
      <c r="B4017" s="59" t="inlineStr">
        <is>
          <t>2025-04-16</t>
        </is>
      </c>
      <c r="C4017" s="60" t="inlineStr">
        <is>
          <t>Orion Snack X-322</t>
        </is>
      </c>
      <c r="D4017" s="58" t="inlineStr">
        <is>
          <t>Grocery</t>
        </is>
      </c>
      <c r="E4017" s="58" t="inlineStr">
        <is>
          <t>West</t>
        </is>
      </c>
      <c r="F4017" s="61" t="n">
        <v>6</v>
      </c>
      <c r="G4017" s="62" t="n">
        <v>14.1</v>
      </c>
      <c r="H4017" s="63" t="n">
        <v>0.06</v>
      </c>
      <c r="I4017" s="62" t="n">
        <v>10.1</v>
      </c>
      <c r="J4017" s="58" t="inlineStr">
        <is>
          <t>Online</t>
        </is>
      </c>
      <c r="K4017" s="62">
        <f>F4017*(G4017-H4017)</f>
        <v/>
      </c>
      <c r="L4017" s="62">
        <f>K4017-(F4017*I4017)</f>
        <v/>
      </c>
      <c r="M4017" s="64">
        <f>L4017/K4017</f>
        <v/>
      </c>
    </row>
    <row r="4018">
      <c r="A4018" s="58" t="inlineStr">
        <is>
          <t>RT20250416-04017</t>
        </is>
      </c>
      <c r="B4018" s="59" t="inlineStr">
        <is>
          <t>2025-04-16</t>
        </is>
      </c>
      <c r="C4018" s="60" t="inlineStr">
        <is>
          <t>Polar Decor Plus-505</t>
        </is>
      </c>
      <c r="D4018" s="58" t="inlineStr">
        <is>
          <t>Home</t>
        </is>
      </c>
      <c r="E4018" s="58" t="inlineStr">
        <is>
          <t>West</t>
        </is>
      </c>
      <c r="F4018" s="61" t="n">
        <v>3</v>
      </c>
      <c r="G4018" s="62" t="n">
        <v>266.89</v>
      </c>
      <c r="H4018" s="63" t="n">
        <v>0.095</v>
      </c>
      <c r="I4018" s="62" t="n">
        <v>196.95</v>
      </c>
      <c r="J4018" s="58" t="inlineStr">
        <is>
          <t>Online</t>
        </is>
      </c>
      <c r="K4018" s="62">
        <f>F4018*(G4018-H4018)</f>
        <v/>
      </c>
      <c r="L4018" s="62">
        <f>K4018-(F4018*I4018)</f>
        <v/>
      </c>
      <c r="M4018" s="64">
        <f>L4018/K4018</f>
        <v/>
      </c>
    </row>
    <row r="4019">
      <c r="A4019" s="58" t="inlineStr">
        <is>
          <t>RT20250416-04018</t>
        </is>
      </c>
      <c r="B4019" s="59" t="inlineStr">
        <is>
          <t>2025-04-16</t>
        </is>
      </c>
      <c r="C4019" s="60" t="inlineStr">
        <is>
          <t>Aurora Bedding Plus-187</t>
        </is>
      </c>
      <c r="D4019" s="58" t="inlineStr">
        <is>
          <t>Home</t>
        </is>
      </c>
      <c r="E4019" s="58" t="inlineStr">
        <is>
          <t>South</t>
        </is>
      </c>
      <c r="F4019" s="61" t="n">
        <v>1</v>
      </c>
      <c r="G4019" s="62" t="n">
        <v>322.48</v>
      </c>
      <c r="H4019" s="63" t="n">
        <v>0.075</v>
      </c>
      <c r="I4019" s="62" t="n">
        <v>213.54</v>
      </c>
      <c r="J4019" s="58" t="inlineStr">
        <is>
          <t>Online</t>
        </is>
      </c>
      <c r="K4019" s="62">
        <f>F4019*(G4019-H4019)</f>
        <v/>
      </c>
      <c r="L4019" s="62">
        <f>K4019-(F4019*I4019)</f>
        <v/>
      </c>
      <c r="M4019" s="64">
        <f>L4019/K4019</f>
        <v/>
      </c>
    </row>
    <row r="4020">
      <c r="A4020" s="58" t="inlineStr">
        <is>
          <t>RT20250416-04019</t>
        </is>
      </c>
      <c r="B4020" s="59" t="inlineStr">
        <is>
          <t>2025-04-16</t>
        </is>
      </c>
      <c r="C4020" s="60" t="inlineStr">
        <is>
          <t>Falcon Headphone Pro-713</t>
        </is>
      </c>
      <c r="D4020" s="58" t="inlineStr">
        <is>
          <t>Electronics</t>
        </is>
      </c>
      <c r="E4020" s="58" t="inlineStr">
        <is>
          <t>North</t>
        </is>
      </c>
      <c r="F4020" s="61" t="n">
        <v>1</v>
      </c>
      <c r="G4020" s="62" t="n">
        <v>1494.35</v>
      </c>
      <c r="H4020" s="63" t="n">
        <v>0.066</v>
      </c>
      <c r="I4020" s="62" t="n">
        <v>1178.56</v>
      </c>
      <c r="J4020" s="58" t="inlineStr">
        <is>
          <t>Store</t>
        </is>
      </c>
      <c r="K4020" s="62">
        <f>F4020*(G4020-H4020)</f>
        <v/>
      </c>
      <c r="L4020" s="62">
        <f>K4020-(F4020*I4020)</f>
        <v/>
      </c>
      <c r="M4020" s="64">
        <f>L4020/K4020</f>
        <v/>
      </c>
    </row>
    <row r="4021">
      <c r="A4021" s="58" t="inlineStr">
        <is>
          <t>RT20250416-04020</t>
        </is>
      </c>
      <c r="B4021" s="59" t="inlineStr">
        <is>
          <t>2025-04-16</t>
        </is>
      </c>
      <c r="C4021" s="60" t="inlineStr">
        <is>
          <t>Nimbus Fitnes Lite-516</t>
        </is>
      </c>
      <c r="D4021" s="58" t="inlineStr">
        <is>
          <t>Sports</t>
        </is>
      </c>
      <c r="E4021" s="58" t="inlineStr">
        <is>
          <t>East</t>
        </is>
      </c>
      <c r="F4021" s="61" t="n">
        <v>2</v>
      </c>
      <c r="G4021" s="62" t="n">
        <v>691.16</v>
      </c>
      <c r="H4021" s="63" t="n">
        <v>0.048</v>
      </c>
      <c r="I4021" s="62" t="n">
        <v>478.44</v>
      </c>
      <c r="J4021" s="58" t="inlineStr">
        <is>
          <t>Store</t>
        </is>
      </c>
      <c r="K4021" s="62">
        <f>F4021*(G4021-H4021)</f>
        <v/>
      </c>
      <c r="L4021" s="62">
        <f>K4021-(F4021*I4021)</f>
        <v/>
      </c>
      <c r="M4021" s="64">
        <f>L4021/K4021</f>
        <v/>
      </c>
    </row>
    <row r="4022">
      <c r="A4022" s="58" t="inlineStr">
        <is>
          <t>RT20250416-04021</t>
        </is>
      </c>
      <c r="B4022" s="59" t="inlineStr">
        <is>
          <t>2025-04-16</t>
        </is>
      </c>
      <c r="C4022" s="60" t="inlineStr">
        <is>
          <t>Polar Decor Plus-505</t>
        </is>
      </c>
      <c r="D4022" s="58" t="inlineStr">
        <is>
          <t>Home</t>
        </is>
      </c>
      <c r="E4022" s="58" t="inlineStr">
        <is>
          <t>East</t>
        </is>
      </c>
      <c r="F4022" s="61" t="n">
        <v>3</v>
      </c>
      <c r="G4022" s="62" t="n">
        <v>296.84</v>
      </c>
      <c r="H4022" s="63" t="n">
        <v>0.064</v>
      </c>
      <c r="I4022" s="62" t="n">
        <v>204.58</v>
      </c>
      <c r="J4022" s="58" t="inlineStr">
        <is>
          <t>Online</t>
        </is>
      </c>
      <c r="K4022" s="62">
        <f>F4022*(G4022-H4022)</f>
        <v/>
      </c>
      <c r="L4022" s="62">
        <f>K4022-(F4022*I4022)</f>
        <v/>
      </c>
      <c r="M4022" s="64">
        <f>L4022/K4022</f>
        <v/>
      </c>
    </row>
    <row r="4023">
      <c r="A4023" s="58" t="inlineStr">
        <is>
          <t>RT20250416-04022</t>
        </is>
      </c>
      <c r="B4023" s="59" t="inlineStr">
        <is>
          <t>2025-04-16</t>
        </is>
      </c>
      <c r="C4023" s="60" t="inlineStr">
        <is>
          <t>Polar Decor Plus-505</t>
        </is>
      </c>
      <c r="D4023" s="58" t="inlineStr">
        <is>
          <t>Home</t>
        </is>
      </c>
      <c r="E4023" s="58" t="inlineStr">
        <is>
          <t>North</t>
        </is>
      </c>
      <c r="F4023" s="61" t="n">
        <v>2</v>
      </c>
      <c r="G4023" s="62" t="n">
        <v>277.21</v>
      </c>
      <c r="H4023" s="63" t="n">
        <v>0.08599999999999999</v>
      </c>
      <c r="I4023" s="62" t="n">
        <v>196.6</v>
      </c>
      <c r="J4023" s="58" t="inlineStr">
        <is>
          <t>Store</t>
        </is>
      </c>
      <c r="K4023" s="62">
        <f>F4023*(G4023-H4023)</f>
        <v/>
      </c>
      <c r="L4023" s="62">
        <f>K4023-(F4023*I4023)</f>
        <v/>
      </c>
      <c r="M4023" s="64">
        <f>L4023/K4023</f>
        <v/>
      </c>
    </row>
    <row r="4024">
      <c r="A4024" s="58" t="inlineStr">
        <is>
          <t>RT20250416-04023</t>
        </is>
      </c>
      <c r="B4024" s="59" t="inlineStr">
        <is>
          <t>2025-04-16</t>
        </is>
      </c>
      <c r="C4024" s="60" t="inlineStr">
        <is>
          <t>Polar Bedding Lite-243</t>
        </is>
      </c>
      <c r="D4024" s="58" t="inlineStr">
        <is>
          <t>Home</t>
        </is>
      </c>
      <c r="E4024" s="58" t="inlineStr">
        <is>
          <t>Central</t>
        </is>
      </c>
      <c r="F4024" s="61" t="n">
        <v>1</v>
      </c>
      <c r="G4024" s="62" t="n">
        <v>437.18</v>
      </c>
      <c r="H4024" s="63" t="n">
        <v>0.061</v>
      </c>
      <c r="I4024" s="62" t="n">
        <v>314.5</v>
      </c>
      <c r="J4024" s="58" t="inlineStr">
        <is>
          <t>Online</t>
        </is>
      </c>
      <c r="K4024" s="62">
        <f>F4024*(G4024-H4024)</f>
        <v/>
      </c>
      <c r="L4024" s="62">
        <f>K4024-(F4024*I4024)</f>
        <v/>
      </c>
      <c r="M4024" s="64">
        <f>L4024/K4024</f>
        <v/>
      </c>
    </row>
    <row r="4025">
      <c r="A4025" s="58" t="inlineStr">
        <is>
          <t>RT20250416-04024</t>
        </is>
      </c>
      <c r="B4025" s="59" t="inlineStr">
        <is>
          <t>2025-04-16</t>
        </is>
      </c>
      <c r="C4025" s="60" t="inlineStr">
        <is>
          <t>Metro Decor Lite-325</t>
        </is>
      </c>
      <c r="D4025" s="58" t="inlineStr">
        <is>
          <t>Home</t>
        </is>
      </c>
      <c r="E4025" s="58" t="inlineStr">
        <is>
          <t>East</t>
        </is>
      </c>
      <c r="F4025" s="61" t="n">
        <v>3</v>
      </c>
      <c r="G4025" s="62" t="n">
        <v>525.48</v>
      </c>
      <c r="H4025" s="63" t="n">
        <v>0.083</v>
      </c>
      <c r="I4025" s="62" t="n">
        <v>370.18</v>
      </c>
      <c r="J4025" s="58" t="inlineStr">
        <is>
          <t>Online</t>
        </is>
      </c>
      <c r="K4025" s="62">
        <f>F4025*(G4025-H4025)</f>
        <v/>
      </c>
      <c r="L4025" s="62">
        <f>K4025-(F4025*I4025)</f>
        <v/>
      </c>
      <c r="M4025" s="64">
        <f>L4025/K4025</f>
        <v/>
      </c>
    </row>
    <row r="4026">
      <c r="A4026" s="58" t="inlineStr">
        <is>
          <t>RT20250416-04025</t>
        </is>
      </c>
      <c r="B4026" s="59" t="inlineStr">
        <is>
          <t>2025-04-16</t>
        </is>
      </c>
      <c r="C4026" s="60" t="inlineStr">
        <is>
          <t>Aurora Appliance Max-316</t>
        </is>
      </c>
      <c r="D4026" s="58" t="inlineStr">
        <is>
          <t>Home</t>
        </is>
      </c>
      <c r="E4026" s="58" t="inlineStr">
        <is>
          <t>Central</t>
        </is>
      </c>
      <c r="F4026" s="61" t="n">
        <v>1</v>
      </c>
      <c r="G4026" s="62" t="n">
        <v>326.72</v>
      </c>
      <c r="H4026" s="63" t="n">
        <v>0.08699999999999999</v>
      </c>
      <c r="I4026" s="62" t="n">
        <v>220.09</v>
      </c>
      <c r="J4026" s="58" t="inlineStr">
        <is>
          <t>Online</t>
        </is>
      </c>
      <c r="K4026" s="62">
        <f>F4026*(G4026-H4026)</f>
        <v/>
      </c>
      <c r="L4026" s="62">
        <f>K4026-(F4026*I4026)</f>
        <v/>
      </c>
      <c r="M4026" s="64">
        <f>L4026/K4026</f>
        <v/>
      </c>
    </row>
    <row r="4027">
      <c r="A4027" s="58" t="inlineStr">
        <is>
          <t>RT20250416-04026</t>
        </is>
      </c>
      <c r="B4027" s="59" t="inlineStr">
        <is>
          <t>2025-04-16</t>
        </is>
      </c>
      <c r="C4027" s="60" t="inlineStr">
        <is>
          <t>Falcon Kitchen X-130</t>
        </is>
      </c>
      <c r="D4027" s="58" t="inlineStr">
        <is>
          <t>Home</t>
        </is>
      </c>
      <c r="E4027" s="58" t="inlineStr">
        <is>
          <t>West</t>
        </is>
      </c>
      <c r="F4027" s="61" t="n">
        <v>2</v>
      </c>
      <c r="G4027" s="62" t="n">
        <v>471.49</v>
      </c>
      <c r="H4027" s="63" t="n">
        <v>0</v>
      </c>
      <c r="I4027" s="62" t="n">
        <v>287.51</v>
      </c>
      <c r="J4027" s="58" t="inlineStr">
        <is>
          <t>Store</t>
        </is>
      </c>
      <c r="K4027" s="62">
        <f>F4027*(G4027-H4027)</f>
        <v/>
      </c>
      <c r="L4027" s="62">
        <f>K4027-(F4027*I4027)</f>
        <v/>
      </c>
      <c r="M4027" s="64">
        <f>L4027/K4027</f>
        <v/>
      </c>
    </row>
    <row r="4028">
      <c r="A4028" s="58" t="inlineStr">
        <is>
          <t>RT20250416-04027</t>
        </is>
      </c>
      <c r="B4028" s="59" t="inlineStr">
        <is>
          <t>2025-04-16</t>
        </is>
      </c>
      <c r="C4028" s="60" t="inlineStr">
        <is>
          <t>Aurora Outdoor Pro-467</t>
        </is>
      </c>
      <c r="D4028" s="58" t="inlineStr">
        <is>
          <t>Sports</t>
        </is>
      </c>
      <c r="E4028" s="58" t="inlineStr">
        <is>
          <t>North</t>
        </is>
      </c>
      <c r="F4028" s="61" t="n">
        <v>2</v>
      </c>
      <c r="G4028" s="62" t="n">
        <v>291.99</v>
      </c>
      <c r="H4028" s="63" t="n">
        <v>0.091</v>
      </c>
      <c r="I4028" s="62" t="n">
        <v>189.67</v>
      </c>
      <c r="J4028" s="58" t="inlineStr">
        <is>
          <t>Online</t>
        </is>
      </c>
      <c r="K4028" s="62">
        <f>F4028*(G4028-H4028)</f>
        <v/>
      </c>
      <c r="L4028" s="62">
        <f>K4028-(F4028*I4028)</f>
        <v/>
      </c>
      <c r="M4028" s="64">
        <f>L4028/K4028</f>
        <v/>
      </c>
    </row>
    <row r="4029">
      <c r="A4029" s="58" t="inlineStr">
        <is>
          <t>RT20250416-04028</t>
        </is>
      </c>
      <c r="B4029" s="59" t="inlineStr">
        <is>
          <t>2025-04-16</t>
        </is>
      </c>
      <c r="C4029" s="60" t="inlineStr">
        <is>
          <t>Nimbus Women Lite-814</t>
        </is>
      </c>
      <c r="D4029" s="58" t="inlineStr">
        <is>
          <t>Apparel</t>
        </is>
      </c>
      <c r="E4029" s="58" t="inlineStr">
        <is>
          <t>South</t>
        </is>
      </c>
      <c r="F4029" s="61" t="n">
        <v>3</v>
      </c>
      <c r="G4029" s="62" t="n">
        <v>176.19</v>
      </c>
      <c r="H4029" s="63" t="n">
        <v>0.019</v>
      </c>
      <c r="I4029" s="62" t="n">
        <v>81.69</v>
      </c>
      <c r="J4029" s="58" t="inlineStr">
        <is>
          <t>Store</t>
        </is>
      </c>
      <c r="K4029" s="62">
        <f>F4029*(G4029-H4029)</f>
        <v/>
      </c>
      <c r="L4029" s="62">
        <f>K4029-(F4029*I4029)</f>
        <v/>
      </c>
      <c r="M4029" s="64">
        <f>L4029/K4029</f>
        <v/>
      </c>
    </row>
    <row r="4030">
      <c r="A4030" s="58" t="inlineStr">
        <is>
          <t>RT20250416-04029</t>
        </is>
      </c>
      <c r="B4030" s="59" t="inlineStr">
        <is>
          <t>2025-04-16</t>
        </is>
      </c>
      <c r="C4030" s="60" t="inlineStr">
        <is>
          <t>Orion Kitchen Pro-568</t>
        </is>
      </c>
      <c r="D4030" s="58" t="inlineStr">
        <is>
          <t>Home</t>
        </is>
      </c>
      <c r="E4030" s="58" t="inlineStr">
        <is>
          <t>South</t>
        </is>
      </c>
      <c r="F4030" s="61" t="n">
        <v>2</v>
      </c>
      <c r="G4030" s="62" t="n">
        <v>439.13</v>
      </c>
      <c r="H4030" s="63" t="n">
        <v>0.043</v>
      </c>
      <c r="I4030" s="62" t="n">
        <v>301.87</v>
      </c>
      <c r="J4030" s="58" t="inlineStr">
        <is>
          <t>Online</t>
        </is>
      </c>
      <c r="K4030" s="62">
        <f>F4030*(G4030-H4030)</f>
        <v/>
      </c>
      <c r="L4030" s="62">
        <f>K4030-(F4030*I4030)</f>
        <v/>
      </c>
      <c r="M4030" s="64">
        <f>L4030/K4030</f>
        <v/>
      </c>
    </row>
    <row r="4031">
      <c r="A4031" s="58" t="inlineStr">
        <is>
          <t>RT20250416-04030</t>
        </is>
      </c>
      <c r="B4031" s="59" t="inlineStr">
        <is>
          <t>2025-04-16</t>
        </is>
      </c>
      <c r="C4031" s="60" t="inlineStr">
        <is>
          <t>Vertex Fitnes Pro-830</t>
        </is>
      </c>
      <c r="D4031" s="58" t="inlineStr">
        <is>
          <t>Sports</t>
        </is>
      </c>
      <c r="E4031" s="58" t="inlineStr">
        <is>
          <t>West</t>
        </is>
      </c>
      <c r="F4031" s="61" t="n">
        <v>3</v>
      </c>
      <c r="G4031" s="62" t="n">
        <v>744.98</v>
      </c>
      <c r="H4031" s="63" t="n">
        <v>0.04</v>
      </c>
      <c r="I4031" s="62" t="n">
        <v>473.24</v>
      </c>
      <c r="J4031" s="58" t="inlineStr">
        <is>
          <t>Store</t>
        </is>
      </c>
      <c r="K4031" s="62">
        <f>F4031*(G4031-H4031)</f>
        <v/>
      </c>
      <c r="L4031" s="62">
        <f>K4031-(F4031*I4031)</f>
        <v/>
      </c>
      <c r="M4031" s="64">
        <f>L4031/K4031</f>
        <v/>
      </c>
    </row>
    <row r="4032">
      <c r="A4032" s="58" t="inlineStr">
        <is>
          <t>RT20250416-04031</t>
        </is>
      </c>
      <c r="B4032" s="59" t="inlineStr">
        <is>
          <t>2025-04-16</t>
        </is>
      </c>
      <c r="C4032" s="60" t="inlineStr">
        <is>
          <t>Polar Beverage S-258</t>
        </is>
      </c>
      <c r="D4032" s="58" t="inlineStr">
        <is>
          <t>Grocery</t>
        </is>
      </c>
      <c r="E4032" s="58" t="inlineStr">
        <is>
          <t>Central</t>
        </is>
      </c>
      <c r="F4032" s="61" t="n">
        <v>8</v>
      </c>
      <c r="G4032" s="62" t="n">
        <v>12.43</v>
      </c>
      <c r="H4032" s="63" t="n">
        <v>0.115</v>
      </c>
      <c r="I4032" s="62" t="n">
        <v>9.550000000000001</v>
      </c>
      <c r="J4032" s="58" t="inlineStr">
        <is>
          <t>Online</t>
        </is>
      </c>
      <c r="K4032" s="62">
        <f>F4032*(G4032-H4032)</f>
        <v/>
      </c>
      <c r="L4032" s="62">
        <f>K4032-(F4032*I4032)</f>
        <v/>
      </c>
      <c r="M4032" s="64">
        <f>L4032/K4032</f>
        <v/>
      </c>
    </row>
    <row r="4033">
      <c r="A4033" s="58" t="inlineStr">
        <is>
          <t>RT20250416-04032</t>
        </is>
      </c>
      <c r="B4033" s="59" t="inlineStr">
        <is>
          <t>2025-04-16</t>
        </is>
      </c>
      <c r="C4033" s="60" t="inlineStr">
        <is>
          <t>Falcon Team Sport Lite-268</t>
        </is>
      </c>
      <c r="D4033" s="58" t="inlineStr">
        <is>
          <t>Sports</t>
        </is>
      </c>
      <c r="E4033" s="58" t="inlineStr">
        <is>
          <t>East</t>
        </is>
      </c>
      <c r="F4033" s="61" t="n">
        <v>1</v>
      </c>
      <c r="G4033" s="62" t="n">
        <v>629.09</v>
      </c>
      <c r="H4033" s="63" t="n">
        <v>0.08699999999999999</v>
      </c>
      <c r="I4033" s="62" t="n">
        <v>430.95</v>
      </c>
      <c r="J4033" s="58" t="inlineStr">
        <is>
          <t>Online</t>
        </is>
      </c>
      <c r="K4033" s="62">
        <f>F4033*(G4033-H4033)</f>
        <v/>
      </c>
      <c r="L4033" s="62">
        <f>K4033-(F4033*I4033)</f>
        <v/>
      </c>
      <c r="M4033" s="64">
        <f>L4033/K4033</f>
        <v/>
      </c>
    </row>
    <row r="4034">
      <c r="A4034" s="58" t="inlineStr">
        <is>
          <t>RT20250416-04033</t>
        </is>
      </c>
      <c r="B4034" s="59" t="inlineStr">
        <is>
          <t>2025-04-16</t>
        </is>
      </c>
      <c r="C4034" s="60" t="inlineStr">
        <is>
          <t>Orion Beverage Plus-949</t>
        </is>
      </c>
      <c r="D4034" s="58" t="inlineStr">
        <is>
          <t>Grocery</t>
        </is>
      </c>
      <c r="E4034" s="58" t="inlineStr">
        <is>
          <t>East</t>
        </is>
      </c>
      <c r="F4034" s="61" t="n">
        <v>5</v>
      </c>
      <c r="G4034" s="62" t="n">
        <v>17.61</v>
      </c>
      <c r="H4034" s="63" t="n">
        <v>0.045</v>
      </c>
      <c r="I4034" s="62" t="n">
        <v>13.55</v>
      </c>
      <c r="J4034" s="58" t="inlineStr">
        <is>
          <t>Store</t>
        </is>
      </c>
      <c r="K4034" s="62">
        <f>F4034*(G4034-H4034)</f>
        <v/>
      </c>
      <c r="L4034" s="62">
        <f>K4034-(F4034*I4034)</f>
        <v/>
      </c>
      <c r="M4034" s="64">
        <f>L4034/K4034</f>
        <v/>
      </c>
    </row>
    <row r="4035">
      <c r="A4035" s="58" t="inlineStr">
        <is>
          <t>RT20250417-04034</t>
        </is>
      </c>
      <c r="B4035" s="59" t="inlineStr">
        <is>
          <t>2025-04-17</t>
        </is>
      </c>
      <c r="C4035" s="60" t="inlineStr">
        <is>
          <t>Vertex Headphone Pro-801</t>
        </is>
      </c>
      <c r="D4035" s="58" t="inlineStr">
        <is>
          <t>Electronics</t>
        </is>
      </c>
      <c r="E4035" s="58" t="inlineStr">
        <is>
          <t>North</t>
        </is>
      </c>
      <c r="F4035" s="61" t="n">
        <v>2</v>
      </c>
      <c r="G4035" s="62" t="n">
        <v>1272.82</v>
      </c>
      <c r="H4035" s="63" t="n">
        <v>0.026</v>
      </c>
      <c r="I4035" s="62" t="n">
        <v>983.17</v>
      </c>
      <c r="J4035" s="58" t="inlineStr">
        <is>
          <t>Store</t>
        </is>
      </c>
      <c r="K4035" s="62">
        <f>F4035*(G4035-H4035)</f>
        <v/>
      </c>
      <c r="L4035" s="62">
        <f>K4035-(F4035*I4035)</f>
        <v/>
      </c>
      <c r="M4035" s="64">
        <f>L4035/K4035</f>
        <v/>
      </c>
    </row>
    <row r="4036">
      <c r="A4036" s="58" t="inlineStr">
        <is>
          <t>RT20250417-04035</t>
        </is>
      </c>
      <c r="B4036" s="59" t="inlineStr">
        <is>
          <t>2025-04-17</t>
        </is>
      </c>
      <c r="C4036" s="60" t="inlineStr">
        <is>
          <t>Metro Outdoor Plus-787</t>
        </is>
      </c>
      <c r="D4036" s="58" t="inlineStr">
        <is>
          <t>Sports</t>
        </is>
      </c>
      <c r="E4036" s="58" t="inlineStr">
        <is>
          <t>East</t>
        </is>
      </c>
      <c r="F4036" s="61" t="n">
        <v>1</v>
      </c>
      <c r="G4036" s="62" t="n">
        <v>524.92</v>
      </c>
      <c r="H4036" s="63" t="n">
        <v>0.056</v>
      </c>
      <c r="I4036" s="62" t="n">
        <v>351.07</v>
      </c>
      <c r="J4036" s="58" t="inlineStr">
        <is>
          <t>Store</t>
        </is>
      </c>
      <c r="K4036" s="62">
        <f>F4036*(G4036-H4036)</f>
        <v/>
      </c>
      <c r="L4036" s="62">
        <f>K4036-(F4036*I4036)</f>
        <v/>
      </c>
      <c r="M4036" s="64">
        <f>L4036/K4036</f>
        <v/>
      </c>
    </row>
    <row r="4037">
      <c r="A4037" s="58" t="inlineStr">
        <is>
          <t>RT20250417-04036</t>
        </is>
      </c>
      <c r="B4037" s="59" t="inlineStr">
        <is>
          <t>2025-04-17</t>
        </is>
      </c>
      <c r="C4037" s="60" t="inlineStr">
        <is>
          <t>Aurora Fragrance S-971</t>
        </is>
      </c>
      <c r="D4037" s="58" t="inlineStr">
        <is>
          <t>Beauty</t>
        </is>
      </c>
      <c r="E4037" s="58" t="inlineStr">
        <is>
          <t>South</t>
        </is>
      </c>
      <c r="F4037" s="61" t="n">
        <v>5</v>
      </c>
      <c r="G4037" s="62" t="n">
        <v>122.49</v>
      </c>
      <c r="H4037" s="63" t="n">
        <v>0.126</v>
      </c>
      <c r="I4037" s="62" t="n">
        <v>63.2</v>
      </c>
      <c r="J4037" s="58" t="inlineStr">
        <is>
          <t>Store</t>
        </is>
      </c>
      <c r="K4037" s="62">
        <f>F4037*(G4037-H4037)</f>
        <v/>
      </c>
      <c r="L4037" s="62">
        <f>K4037-(F4037*I4037)</f>
        <v/>
      </c>
      <c r="M4037" s="64">
        <f>L4037/K4037</f>
        <v/>
      </c>
    </row>
    <row r="4038">
      <c r="A4038" s="58" t="inlineStr">
        <is>
          <t>RT20250417-04037</t>
        </is>
      </c>
      <c r="B4038" s="59" t="inlineStr">
        <is>
          <t>2025-04-17</t>
        </is>
      </c>
      <c r="C4038" s="60" t="inlineStr">
        <is>
          <t>Metro Wearable Plus-234</t>
        </is>
      </c>
      <c r="D4038" s="58" t="inlineStr">
        <is>
          <t>Electronics</t>
        </is>
      </c>
      <c r="E4038" s="58" t="inlineStr">
        <is>
          <t>South</t>
        </is>
      </c>
      <c r="F4038" s="61" t="n">
        <v>2</v>
      </c>
      <c r="G4038" s="62" t="n">
        <v>1546.46</v>
      </c>
      <c r="H4038" s="63" t="n">
        <v>0.113</v>
      </c>
      <c r="I4038" s="62" t="n">
        <v>1188.17</v>
      </c>
      <c r="J4038" s="58" t="inlineStr">
        <is>
          <t>Online</t>
        </is>
      </c>
      <c r="K4038" s="62">
        <f>F4038*(G4038-H4038)</f>
        <v/>
      </c>
      <c r="L4038" s="62">
        <f>K4038-(F4038*I4038)</f>
        <v/>
      </c>
      <c r="M4038" s="64">
        <f>L4038/K4038</f>
        <v/>
      </c>
    </row>
    <row r="4039">
      <c r="A4039" s="58" t="inlineStr">
        <is>
          <t>RT20250417-04038</t>
        </is>
      </c>
      <c r="B4039" s="59" t="inlineStr">
        <is>
          <t>2025-04-17</t>
        </is>
      </c>
      <c r="C4039" s="60" t="inlineStr">
        <is>
          <t>Falcon Skincare X-334</t>
        </is>
      </c>
      <c r="D4039" s="58" t="inlineStr">
        <is>
          <t>Beauty</t>
        </is>
      </c>
      <c r="E4039" s="58" t="inlineStr">
        <is>
          <t>Central</t>
        </is>
      </c>
      <c r="F4039" s="61" t="n">
        <v>1</v>
      </c>
      <c r="G4039" s="62" t="n">
        <v>107.35</v>
      </c>
      <c r="H4039" s="63" t="n">
        <v>0.039</v>
      </c>
      <c r="I4039" s="62" t="n">
        <v>65.27</v>
      </c>
      <c r="J4039" s="58" t="inlineStr">
        <is>
          <t>Store</t>
        </is>
      </c>
      <c r="K4039" s="62">
        <f>F4039*(G4039-H4039)</f>
        <v/>
      </c>
      <c r="L4039" s="62">
        <f>K4039-(F4039*I4039)</f>
        <v/>
      </c>
      <c r="M4039" s="64">
        <f>L4039/K4039</f>
        <v/>
      </c>
    </row>
    <row r="4040">
      <c r="A4040" s="58" t="inlineStr">
        <is>
          <t>RT20250417-04039</t>
        </is>
      </c>
      <c r="B4040" s="59" t="inlineStr">
        <is>
          <t>2025-04-17</t>
        </is>
      </c>
      <c r="C4040" s="60" t="inlineStr">
        <is>
          <t>Polar Beverage S-258</t>
        </is>
      </c>
      <c r="D4040" s="58" t="inlineStr">
        <is>
          <t>Grocery</t>
        </is>
      </c>
      <c r="E4040" s="58" t="inlineStr">
        <is>
          <t>South</t>
        </is>
      </c>
      <c r="F4040" s="61" t="n">
        <v>2</v>
      </c>
      <c r="G4040" s="62" t="n">
        <v>13.8</v>
      </c>
      <c r="H4040" s="63" t="n">
        <v>0.08799999999999999</v>
      </c>
      <c r="I4040" s="62" t="n">
        <v>9.960000000000001</v>
      </c>
      <c r="J4040" s="58" t="inlineStr">
        <is>
          <t>Store</t>
        </is>
      </c>
      <c r="K4040" s="62">
        <f>F4040*(G4040-H4040)</f>
        <v/>
      </c>
      <c r="L4040" s="62">
        <f>K4040-(F4040*I4040)</f>
        <v/>
      </c>
      <c r="M4040" s="64">
        <f>L4040/K4040</f>
        <v/>
      </c>
    </row>
    <row r="4041">
      <c r="A4041" s="58" t="inlineStr">
        <is>
          <t>RT20250417-04040</t>
        </is>
      </c>
      <c r="B4041" s="59" t="inlineStr">
        <is>
          <t>2025-04-17</t>
        </is>
      </c>
      <c r="C4041" s="60" t="inlineStr">
        <is>
          <t>Orion Men X-928</t>
        </is>
      </c>
      <c r="D4041" s="58" t="inlineStr">
        <is>
          <t>Apparel</t>
        </is>
      </c>
      <c r="E4041" s="58" t="inlineStr">
        <is>
          <t>South</t>
        </is>
      </c>
      <c r="F4041" s="61" t="n">
        <v>3</v>
      </c>
      <c r="G4041" s="62" t="n">
        <v>106.88</v>
      </c>
      <c r="H4041" s="63" t="n">
        <v>0.052</v>
      </c>
      <c r="I4041" s="62" t="n">
        <v>60.55</v>
      </c>
      <c r="J4041" s="58" t="inlineStr">
        <is>
          <t>Online</t>
        </is>
      </c>
      <c r="K4041" s="62">
        <f>F4041*(G4041-H4041)</f>
        <v/>
      </c>
      <c r="L4041" s="62">
        <f>K4041-(F4041*I4041)</f>
        <v/>
      </c>
      <c r="M4041" s="64">
        <f>L4041/K4041</f>
        <v/>
      </c>
    </row>
    <row r="4042">
      <c r="A4042" s="58" t="inlineStr">
        <is>
          <t>RT20250417-04041</t>
        </is>
      </c>
      <c r="B4042" s="59" t="inlineStr">
        <is>
          <t>2025-04-17</t>
        </is>
      </c>
      <c r="C4042" s="60" t="inlineStr">
        <is>
          <t>Vertex Printer Max-692</t>
        </is>
      </c>
      <c r="D4042" s="58" t="inlineStr">
        <is>
          <t>Office</t>
        </is>
      </c>
      <c r="E4042" s="58" t="inlineStr">
        <is>
          <t>East</t>
        </is>
      </c>
      <c r="F4042" s="61" t="n">
        <v>3</v>
      </c>
      <c r="G4042" s="62" t="n">
        <v>158.11</v>
      </c>
      <c r="H4042" s="63" t="n">
        <v>0.096</v>
      </c>
      <c r="I4042" s="62" t="n">
        <v>123.2</v>
      </c>
      <c r="J4042" s="58" t="inlineStr">
        <is>
          <t>Online</t>
        </is>
      </c>
      <c r="K4042" s="62">
        <f>F4042*(G4042-H4042)</f>
        <v/>
      </c>
      <c r="L4042" s="62">
        <f>K4042-(F4042*I4042)</f>
        <v/>
      </c>
      <c r="M4042" s="64">
        <f>L4042/K4042</f>
        <v/>
      </c>
    </row>
    <row r="4043">
      <c r="A4043" s="58" t="inlineStr">
        <is>
          <t>RT20250417-04042</t>
        </is>
      </c>
      <c r="B4043" s="59" t="inlineStr">
        <is>
          <t>2025-04-17</t>
        </is>
      </c>
      <c r="C4043" s="60" t="inlineStr">
        <is>
          <t>Nimbus Decor Lite-385</t>
        </is>
      </c>
      <c r="D4043" s="58" t="inlineStr">
        <is>
          <t>Home</t>
        </is>
      </c>
      <c r="E4043" s="58" t="inlineStr">
        <is>
          <t>South</t>
        </is>
      </c>
      <c r="F4043" s="61" t="n">
        <v>2</v>
      </c>
      <c r="G4043" s="62" t="n">
        <v>601.13</v>
      </c>
      <c r="H4043" s="63" t="n">
        <v>0.028</v>
      </c>
      <c r="I4043" s="62" t="n">
        <v>387.53</v>
      </c>
      <c r="J4043" s="58" t="inlineStr">
        <is>
          <t>Online</t>
        </is>
      </c>
      <c r="K4043" s="62">
        <f>F4043*(G4043-H4043)</f>
        <v/>
      </c>
      <c r="L4043" s="62">
        <f>K4043-(F4043*I4043)</f>
        <v/>
      </c>
      <c r="M4043" s="64">
        <f>L4043/K4043</f>
        <v/>
      </c>
    </row>
    <row r="4044">
      <c r="A4044" s="58" t="inlineStr">
        <is>
          <t>RT20250417-04043</t>
        </is>
      </c>
      <c r="B4044" s="59" t="inlineStr">
        <is>
          <t>2025-04-17</t>
        </is>
      </c>
      <c r="C4044" s="60" t="inlineStr">
        <is>
          <t>Falcon Furniture Plus-839</t>
        </is>
      </c>
      <c r="D4044" s="58" t="inlineStr">
        <is>
          <t>Office</t>
        </is>
      </c>
      <c r="E4044" s="58" t="inlineStr">
        <is>
          <t>South</t>
        </is>
      </c>
      <c r="F4044" s="61" t="n">
        <v>1</v>
      </c>
      <c r="G4044" s="62" t="n">
        <v>265.88</v>
      </c>
      <c r="H4044" s="63" t="n">
        <v>0.057</v>
      </c>
      <c r="I4044" s="62" t="n">
        <v>229.25</v>
      </c>
      <c r="J4044" s="58" t="inlineStr">
        <is>
          <t>Online</t>
        </is>
      </c>
      <c r="K4044" s="62">
        <f>F4044*(G4044-H4044)</f>
        <v/>
      </c>
      <c r="L4044" s="62">
        <f>K4044-(F4044*I4044)</f>
        <v/>
      </c>
      <c r="M4044" s="64">
        <f>L4044/K4044</f>
        <v/>
      </c>
    </row>
    <row r="4045">
      <c r="A4045" s="58" t="inlineStr">
        <is>
          <t>RT20250417-04044</t>
        </is>
      </c>
      <c r="B4045" s="59" t="inlineStr">
        <is>
          <t>2025-04-17</t>
        </is>
      </c>
      <c r="C4045" s="60" t="inlineStr">
        <is>
          <t>Vertex Appliance Max-338</t>
        </is>
      </c>
      <c r="D4045" s="58" t="inlineStr">
        <is>
          <t>Home</t>
        </is>
      </c>
      <c r="E4045" s="58" t="inlineStr">
        <is>
          <t>West</t>
        </is>
      </c>
      <c r="F4045" s="61" t="n">
        <v>3</v>
      </c>
      <c r="G4045" s="62" t="n">
        <v>399.98</v>
      </c>
      <c r="H4045" s="63" t="n">
        <v>0.111</v>
      </c>
      <c r="I4045" s="62" t="n">
        <v>284.94</v>
      </c>
      <c r="J4045" s="58" t="inlineStr">
        <is>
          <t>Online</t>
        </is>
      </c>
      <c r="K4045" s="62">
        <f>F4045*(G4045-H4045)</f>
        <v/>
      </c>
      <c r="L4045" s="62">
        <f>K4045-(F4045*I4045)</f>
        <v/>
      </c>
      <c r="M4045" s="64">
        <f>L4045/K4045</f>
        <v/>
      </c>
    </row>
    <row r="4046">
      <c r="A4046" s="58" t="inlineStr">
        <is>
          <t>RT20250417-04045</t>
        </is>
      </c>
      <c r="B4046" s="59" t="inlineStr">
        <is>
          <t>2025-04-17</t>
        </is>
      </c>
      <c r="C4046" s="60" t="inlineStr">
        <is>
          <t>Polar Snack Pro-641</t>
        </is>
      </c>
      <c r="D4046" s="58" t="inlineStr">
        <is>
          <t>Grocery</t>
        </is>
      </c>
      <c r="E4046" s="58" t="inlineStr">
        <is>
          <t>East</t>
        </is>
      </c>
      <c r="F4046" s="61" t="n">
        <v>4</v>
      </c>
      <c r="G4046" s="62" t="n">
        <v>14.22</v>
      </c>
      <c r="H4046" s="63" t="n">
        <v>0.04</v>
      </c>
      <c r="I4046" s="62" t="n">
        <v>9.26</v>
      </c>
      <c r="J4046" s="58" t="inlineStr">
        <is>
          <t>Store</t>
        </is>
      </c>
      <c r="K4046" s="62">
        <f>F4046*(G4046-H4046)</f>
        <v/>
      </c>
      <c r="L4046" s="62">
        <f>K4046-(F4046*I4046)</f>
        <v/>
      </c>
      <c r="M4046" s="64">
        <f>L4046/K4046</f>
        <v/>
      </c>
    </row>
    <row r="4047">
      <c r="A4047" s="58" t="inlineStr">
        <is>
          <t>RT20250417-04046</t>
        </is>
      </c>
      <c r="B4047" s="59" t="inlineStr">
        <is>
          <t>2025-04-17</t>
        </is>
      </c>
      <c r="C4047" s="60" t="inlineStr">
        <is>
          <t>Metro Laptop Plus-376</t>
        </is>
      </c>
      <c r="D4047" s="58" t="inlineStr">
        <is>
          <t>Electronics</t>
        </is>
      </c>
      <c r="E4047" s="58" t="inlineStr">
        <is>
          <t>East</t>
        </is>
      </c>
      <c r="F4047" s="61" t="n">
        <v>2</v>
      </c>
      <c r="G4047" s="62" t="n">
        <v>1380.06</v>
      </c>
      <c r="H4047" s="63" t="n">
        <v>0.06</v>
      </c>
      <c r="I4047" s="62" t="n">
        <v>1032.35</v>
      </c>
      <c r="J4047" s="58" t="inlineStr">
        <is>
          <t>Online</t>
        </is>
      </c>
      <c r="K4047" s="62">
        <f>F4047*(G4047-H4047)</f>
        <v/>
      </c>
      <c r="L4047" s="62">
        <f>K4047-(F4047*I4047)</f>
        <v/>
      </c>
      <c r="M4047" s="64">
        <f>L4047/K4047</f>
        <v/>
      </c>
    </row>
    <row r="4048">
      <c r="A4048" s="58" t="inlineStr">
        <is>
          <t>RT20250417-04047</t>
        </is>
      </c>
      <c r="B4048" s="59" t="inlineStr">
        <is>
          <t>2025-04-17</t>
        </is>
      </c>
      <c r="C4048" s="60" t="inlineStr">
        <is>
          <t>Aurora Fitnes Lite-194</t>
        </is>
      </c>
      <c r="D4048" s="58" t="inlineStr">
        <is>
          <t>Sports</t>
        </is>
      </c>
      <c r="E4048" s="58" t="inlineStr">
        <is>
          <t>North</t>
        </is>
      </c>
      <c r="F4048" s="61" t="n">
        <v>3</v>
      </c>
      <c r="G4048" s="62" t="n">
        <v>626.25</v>
      </c>
      <c r="H4048" s="63" t="n">
        <v>0.089</v>
      </c>
      <c r="I4048" s="62" t="n">
        <v>471.08</v>
      </c>
      <c r="J4048" s="58" t="inlineStr">
        <is>
          <t>Online</t>
        </is>
      </c>
      <c r="K4048" s="62">
        <f>F4048*(G4048-H4048)</f>
        <v/>
      </c>
      <c r="L4048" s="62">
        <f>K4048-(F4048*I4048)</f>
        <v/>
      </c>
      <c r="M4048" s="64">
        <f>L4048/K4048</f>
        <v/>
      </c>
    </row>
    <row r="4049">
      <c r="A4049" s="58" t="inlineStr">
        <is>
          <t>RT20250417-04048</t>
        </is>
      </c>
      <c r="B4049" s="59" t="inlineStr">
        <is>
          <t>2025-04-17</t>
        </is>
      </c>
      <c r="C4049" s="60" t="inlineStr">
        <is>
          <t>Falcon Haircare Pro-980</t>
        </is>
      </c>
      <c r="D4049" s="58" t="inlineStr">
        <is>
          <t>Beauty</t>
        </is>
      </c>
      <c r="E4049" s="58" t="inlineStr">
        <is>
          <t>West</t>
        </is>
      </c>
      <c r="F4049" s="61" t="n">
        <v>5</v>
      </c>
      <c r="G4049" s="62" t="n">
        <v>93.81</v>
      </c>
      <c r="H4049" s="63" t="n">
        <v>0.015</v>
      </c>
      <c r="I4049" s="62" t="n">
        <v>57.73</v>
      </c>
      <c r="J4049" s="58" t="inlineStr">
        <is>
          <t>Online</t>
        </is>
      </c>
      <c r="K4049" s="62">
        <f>F4049*(G4049-H4049)</f>
        <v/>
      </c>
      <c r="L4049" s="62">
        <f>K4049-(F4049*I4049)</f>
        <v/>
      </c>
      <c r="M4049" s="64">
        <f>L4049/K4049</f>
        <v/>
      </c>
    </row>
    <row r="4050">
      <c r="A4050" s="58" t="inlineStr">
        <is>
          <t>RT20250417-04049</t>
        </is>
      </c>
      <c r="B4050" s="59" t="inlineStr">
        <is>
          <t>2025-04-17</t>
        </is>
      </c>
      <c r="C4050" s="60" t="inlineStr">
        <is>
          <t>Falcon Bedding S-674</t>
        </is>
      </c>
      <c r="D4050" s="58" t="inlineStr">
        <is>
          <t>Home</t>
        </is>
      </c>
      <c r="E4050" s="58" t="inlineStr">
        <is>
          <t>East</t>
        </is>
      </c>
      <c r="F4050" s="61" t="n">
        <v>1</v>
      </c>
      <c r="G4050" s="62" t="n">
        <v>597.27</v>
      </c>
      <c r="H4050" s="63" t="n">
        <v>0.092</v>
      </c>
      <c r="I4050" s="62" t="n">
        <v>440.29</v>
      </c>
      <c r="J4050" s="58" t="inlineStr">
        <is>
          <t>Store</t>
        </is>
      </c>
      <c r="K4050" s="62">
        <f>F4050*(G4050-H4050)</f>
        <v/>
      </c>
      <c r="L4050" s="62">
        <f>K4050-(F4050*I4050)</f>
        <v/>
      </c>
      <c r="M4050" s="64">
        <f>L4050/K4050</f>
        <v/>
      </c>
    </row>
    <row r="4051">
      <c r="A4051" s="58" t="inlineStr">
        <is>
          <t>RT20250417-04050</t>
        </is>
      </c>
      <c r="B4051" s="59" t="inlineStr">
        <is>
          <t>2025-04-17</t>
        </is>
      </c>
      <c r="C4051" s="60" t="inlineStr">
        <is>
          <t>Aurora Furniture X-709</t>
        </is>
      </c>
      <c r="D4051" s="58" t="inlineStr">
        <is>
          <t>Office</t>
        </is>
      </c>
      <c r="E4051" s="58" t="inlineStr">
        <is>
          <t>Central</t>
        </is>
      </c>
      <c r="F4051" s="61" t="n">
        <v>3</v>
      </c>
      <c r="G4051" s="62" t="n">
        <v>410.51</v>
      </c>
      <c r="H4051" s="63" t="n">
        <v>0.11</v>
      </c>
      <c r="I4051" s="62" t="n">
        <v>298.93</v>
      </c>
      <c r="J4051" s="58" t="inlineStr">
        <is>
          <t>Online</t>
        </is>
      </c>
      <c r="K4051" s="62">
        <f>F4051*(G4051-H4051)</f>
        <v/>
      </c>
      <c r="L4051" s="62">
        <f>K4051-(F4051*I4051)</f>
        <v/>
      </c>
      <c r="M4051" s="64">
        <f>L4051/K4051</f>
        <v/>
      </c>
    </row>
    <row r="4052">
      <c r="A4052" s="58" t="inlineStr">
        <is>
          <t>RT20250417-04051</t>
        </is>
      </c>
      <c r="B4052" s="59" t="inlineStr">
        <is>
          <t>2025-04-17</t>
        </is>
      </c>
      <c r="C4052" s="60" t="inlineStr">
        <is>
          <t>Metro Beverage Max-490</t>
        </is>
      </c>
      <c r="D4052" s="58" t="inlineStr">
        <is>
          <t>Grocery</t>
        </is>
      </c>
      <c r="E4052" s="58" t="inlineStr">
        <is>
          <t>West</t>
        </is>
      </c>
      <c r="F4052" s="61" t="n">
        <v>2</v>
      </c>
      <c r="G4052" s="62" t="n">
        <v>10.9</v>
      </c>
      <c r="H4052" s="63" t="n">
        <v>0.048</v>
      </c>
      <c r="I4052" s="62" t="n">
        <v>8.02</v>
      </c>
      <c r="J4052" s="58" t="inlineStr">
        <is>
          <t>Store</t>
        </is>
      </c>
      <c r="K4052" s="62">
        <f>F4052*(G4052-H4052)</f>
        <v/>
      </c>
      <c r="L4052" s="62">
        <f>K4052-(F4052*I4052)</f>
        <v/>
      </c>
      <c r="M4052" s="64">
        <f>L4052/K4052</f>
        <v/>
      </c>
    </row>
    <row r="4053">
      <c r="A4053" s="58" t="inlineStr">
        <is>
          <t>RT20250417-04052</t>
        </is>
      </c>
      <c r="B4053" s="59" t="inlineStr">
        <is>
          <t>2025-04-17</t>
        </is>
      </c>
      <c r="C4053" s="60" t="inlineStr">
        <is>
          <t>Polar Haircare Max-614</t>
        </is>
      </c>
      <c r="D4053" s="58" t="inlineStr">
        <is>
          <t>Beauty</t>
        </is>
      </c>
      <c r="E4053" s="58" t="inlineStr">
        <is>
          <t>Central</t>
        </is>
      </c>
      <c r="F4053" s="61" t="n">
        <v>3</v>
      </c>
      <c r="G4053" s="62" t="n">
        <v>116.57</v>
      </c>
      <c r="H4053" s="63" t="n">
        <v>0.029</v>
      </c>
      <c r="I4053" s="62" t="n">
        <v>69.91</v>
      </c>
      <c r="J4053" s="58" t="inlineStr">
        <is>
          <t>Store</t>
        </is>
      </c>
      <c r="K4053" s="62">
        <f>F4053*(G4053-H4053)</f>
        <v/>
      </c>
      <c r="L4053" s="62">
        <f>K4053-(F4053*I4053)</f>
        <v/>
      </c>
      <c r="M4053" s="64">
        <f>L4053/K4053</f>
        <v/>
      </c>
    </row>
    <row r="4054">
      <c r="A4054" s="58" t="inlineStr">
        <is>
          <t>RT20250417-04053</t>
        </is>
      </c>
      <c r="B4054" s="59" t="inlineStr">
        <is>
          <t>2025-04-17</t>
        </is>
      </c>
      <c r="C4054" s="60" t="inlineStr">
        <is>
          <t>Vertex Smartphone Lite-267</t>
        </is>
      </c>
      <c r="D4054" s="58" t="inlineStr">
        <is>
          <t>Electronics</t>
        </is>
      </c>
      <c r="E4054" s="58" t="inlineStr">
        <is>
          <t>East</t>
        </is>
      </c>
      <c r="F4054" s="61" t="n">
        <v>2</v>
      </c>
      <c r="G4054" s="62" t="n">
        <v>1241.32</v>
      </c>
      <c r="H4054" s="63" t="n">
        <v>0.019</v>
      </c>
      <c r="I4054" s="62" t="n">
        <v>956.71</v>
      </c>
      <c r="J4054" s="58" t="inlineStr">
        <is>
          <t>Online</t>
        </is>
      </c>
      <c r="K4054" s="62">
        <f>F4054*(G4054-H4054)</f>
        <v/>
      </c>
      <c r="L4054" s="62">
        <f>K4054-(F4054*I4054)</f>
        <v/>
      </c>
      <c r="M4054" s="64">
        <f>L4054/K4054</f>
        <v/>
      </c>
    </row>
    <row r="4055">
      <c r="A4055" s="58" t="inlineStr">
        <is>
          <t>RT20250417-04054</t>
        </is>
      </c>
      <c r="B4055" s="59" t="inlineStr">
        <is>
          <t>2025-04-17</t>
        </is>
      </c>
      <c r="C4055" s="60" t="inlineStr">
        <is>
          <t>Vertex Pantry Pro-165</t>
        </is>
      </c>
      <c r="D4055" s="58" t="inlineStr">
        <is>
          <t>Grocery</t>
        </is>
      </c>
      <c r="E4055" s="58" t="inlineStr">
        <is>
          <t>Central</t>
        </is>
      </c>
      <c r="F4055" s="61" t="n">
        <v>5</v>
      </c>
      <c r="G4055" s="62" t="n">
        <v>16.5</v>
      </c>
      <c r="H4055" s="63" t="n">
        <v>0.038</v>
      </c>
      <c r="I4055" s="62" t="n">
        <v>11.87</v>
      </c>
      <c r="J4055" s="58" t="inlineStr">
        <is>
          <t>Online</t>
        </is>
      </c>
      <c r="K4055" s="62">
        <f>F4055*(G4055-H4055)</f>
        <v/>
      </c>
      <c r="L4055" s="62">
        <f>K4055-(F4055*I4055)</f>
        <v/>
      </c>
      <c r="M4055" s="64">
        <f>L4055/K4055</f>
        <v/>
      </c>
    </row>
    <row r="4056">
      <c r="A4056" s="58" t="inlineStr">
        <is>
          <t>RT20250417-04055</t>
        </is>
      </c>
      <c r="B4056" s="59" t="inlineStr">
        <is>
          <t>2025-04-17</t>
        </is>
      </c>
      <c r="C4056" s="60" t="inlineStr">
        <is>
          <t>Metro Accessorie Lite-697</t>
        </is>
      </c>
      <c r="D4056" s="58" t="inlineStr">
        <is>
          <t>Apparel</t>
        </is>
      </c>
      <c r="E4056" s="58" t="inlineStr">
        <is>
          <t>West</t>
        </is>
      </c>
      <c r="F4056" s="61" t="n">
        <v>4</v>
      </c>
      <c r="G4056" s="62" t="n">
        <v>138.73</v>
      </c>
      <c r="H4056" s="63" t="n">
        <v>0.034</v>
      </c>
      <c r="I4056" s="62" t="n">
        <v>76.19</v>
      </c>
      <c r="J4056" s="58" t="inlineStr">
        <is>
          <t>Store</t>
        </is>
      </c>
      <c r="K4056" s="62">
        <f>F4056*(G4056-H4056)</f>
        <v/>
      </c>
      <c r="L4056" s="62">
        <f>K4056-(F4056*I4056)</f>
        <v/>
      </c>
      <c r="M4056" s="64">
        <f>L4056/K4056</f>
        <v/>
      </c>
    </row>
    <row r="4057">
      <c r="A4057" s="58" t="inlineStr">
        <is>
          <t>RT20250417-04056</t>
        </is>
      </c>
      <c r="B4057" s="59" t="inlineStr">
        <is>
          <t>2025-04-17</t>
        </is>
      </c>
      <c r="C4057" s="60" t="inlineStr">
        <is>
          <t>Polar Beverage S-258</t>
        </is>
      </c>
      <c r="D4057" s="58" t="inlineStr">
        <is>
          <t>Grocery</t>
        </is>
      </c>
      <c r="E4057" s="58" t="inlineStr">
        <is>
          <t>West</t>
        </is>
      </c>
      <c r="F4057" s="61" t="n">
        <v>5</v>
      </c>
      <c r="G4057" s="62" t="n">
        <v>13.61</v>
      </c>
      <c r="H4057" s="63" t="n">
        <v>0.031</v>
      </c>
      <c r="I4057" s="62" t="n">
        <v>9.75</v>
      </c>
      <c r="J4057" s="58" t="inlineStr">
        <is>
          <t>Online</t>
        </is>
      </c>
      <c r="K4057" s="62">
        <f>F4057*(G4057-H4057)</f>
        <v/>
      </c>
      <c r="L4057" s="62">
        <f>K4057-(F4057*I4057)</f>
        <v/>
      </c>
      <c r="M4057" s="64">
        <f>L4057/K4057</f>
        <v/>
      </c>
    </row>
    <row r="4058">
      <c r="A4058" s="58" t="inlineStr">
        <is>
          <t>RT20250417-04057</t>
        </is>
      </c>
      <c r="B4058" s="59" t="inlineStr">
        <is>
          <t>2025-04-17</t>
        </is>
      </c>
      <c r="C4058" s="60" t="inlineStr">
        <is>
          <t>Polar Women Max-927</t>
        </is>
      </c>
      <c r="D4058" s="58" t="inlineStr">
        <is>
          <t>Apparel</t>
        </is>
      </c>
      <c r="E4058" s="58" t="inlineStr">
        <is>
          <t>East</t>
        </is>
      </c>
      <c r="F4058" s="61" t="n">
        <v>3</v>
      </c>
      <c r="G4058" s="62" t="n">
        <v>116.94</v>
      </c>
      <c r="H4058" s="63" t="n">
        <v>0.076</v>
      </c>
      <c r="I4058" s="62" t="n">
        <v>66.06</v>
      </c>
      <c r="J4058" s="58" t="inlineStr">
        <is>
          <t>Store</t>
        </is>
      </c>
      <c r="K4058" s="62">
        <f>F4058*(G4058-H4058)</f>
        <v/>
      </c>
      <c r="L4058" s="62">
        <f>K4058-(F4058*I4058)</f>
        <v/>
      </c>
      <c r="M4058" s="64">
        <f>L4058/K4058</f>
        <v/>
      </c>
    </row>
    <row r="4059">
      <c r="A4059" s="58" t="inlineStr">
        <is>
          <t>RT20250417-04058</t>
        </is>
      </c>
      <c r="B4059" s="59" t="inlineStr">
        <is>
          <t>2025-04-17</t>
        </is>
      </c>
      <c r="C4059" s="60" t="inlineStr">
        <is>
          <t>Vertex Decor Pro-618</t>
        </is>
      </c>
      <c r="D4059" s="58" t="inlineStr">
        <is>
          <t>Home</t>
        </is>
      </c>
      <c r="E4059" s="58" t="inlineStr">
        <is>
          <t>East</t>
        </is>
      </c>
      <c r="F4059" s="61" t="n">
        <v>2</v>
      </c>
      <c r="G4059" s="62" t="n">
        <v>549.3099999999999</v>
      </c>
      <c r="H4059" s="63" t="n">
        <v>0.006</v>
      </c>
      <c r="I4059" s="62" t="n">
        <v>384.11</v>
      </c>
      <c r="J4059" s="58" t="inlineStr">
        <is>
          <t>Online</t>
        </is>
      </c>
      <c r="K4059" s="62">
        <f>F4059*(G4059-H4059)</f>
        <v/>
      </c>
      <c r="L4059" s="62">
        <f>K4059-(F4059*I4059)</f>
        <v/>
      </c>
      <c r="M4059" s="64">
        <f>L4059/K4059</f>
        <v/>
      </c>
    </row>
    <row r="4060">
      <c r="A4060" s="58" t="inlineStr">
        <is>
          <t>RT20250417-04059</t>
        </is>
      </c>
      <c r="B4060" s="59" t="inlineStr">
        <is>
          <t>2025-04-17</t>
        </is>
      </c>
      <c r="C4060" s="60" t="inlineStr">
        <is>
          <t>Falcon Kitchen X-130</t>
        </is>
      </c>
      <c r="D4060" s="58" t="inlineStr">
        <is>
          <t>Home</t>
        </is>
      </c>
      <c r="E4060" s="58" t="inlineStr">
        <is>
          <t>East</t>
        </is>
      </c>
      <c r="F4060" s="61" t="n">
        <v>3</v>
      </c>
      <c r="G4060" s="62" t="n">
        <v>424.42</v>
      </c>
      <c r="H4060" s="63" t="n">
        <v>0.077</v>
      </c>
      <c r="I4060" s="62" t="n">
        <v>293.14</v>
      </c>
      <c r="J4060" s="58" t="inlineStr">
        <is>
          <t>Online</t>
        </is>
      </c>
      <c r="K4060" s="62">
        <f>F4060*(G4060-H4060)</f>
        <v/>
      </c>
      <c r="L4060" s="62">
        <f>K4060-(F4060*I4060)</f>
        <v/>
      </c>
      <c r="M4060" s="64">
        <f>L4060/K4060</f>
        <v/>
      </c>
    </row>
    <row r="4061">
      <c r="A4061" s="58" t="inlineStr">
        <is>
          <t>RT20250417-04060</t>
        </is>
      </c>
      <c r="B4061" s="59" t="inlineStr">
        <is>
          <t>2025-04-17</t>
        </is>
      </c>
      <c r="C4061" s="60" t="inlineStr">
        <is>
          <t>Aurora Makeup S-626</t>
        </is>
      </c>
      <c r="D4061" s="58" t="inlineStr">
        <is>
          <t>Beauty</t>
        </is>
      </c>
      <c r="E4061" s="58" t="inlineStr">
        <is>
          <t>East</t>
        </is>
      </c>
      <c r="F4061" s="61" t="n">
        <v>1</v>
      </c>
      <c r="G4061" s="62" t="n">
        <v>97.7</v>
      </c>
      <c r="H4061" s="63" t="n">
        <v>0.051</v>
      </c>
      <c r="I4061" s="62" t="n">
        <v>65.56999999999999</v>
      </c>
      <c r="J4061" s="58" t="inlineStr">
        <is>
          <t>Online</t>
        </is>
      </c>
      <c r="K4061" s="62">
        <f>F4061*(G4061-H4061)</f>
        <v/>
      </c>
      <c r="L4061" s="62">
        <f>K4061-(F4061*I4061)</f>
        <v/>
      </c>
      <c r="M4061" s="64">
        <f>L4061/K4061</f>
        <v/>
      </c>
    </row>
    <row r="4062">
      <c r="A4062" s="58" t="inlineStr">
        <is>
          <t>RT20250417-04061</t>
        </is>
      </c>
      <c r="B4062" s="59" t="inlineStr">
        <is>
          <t>2025-04-17</t>
        </is>
      </c>
      <c r="C4062" s="60" t="inlineStr">
        <is>
          <t>Aurora Bedding Max-175</t>
        </is>
      </c>
      <c r="D4062" s="58" t="inlineStr">
        <is>
          <t>Home</t>
        </is>
      </c>
      <c r="E4062" s="58" t="inlineStr">
        <is>
          <t>East</t>
        </is>
      </c>
      <c r="F4062" s="61" t="n">
        <v>3</v>
      </c>
      <c r="G4062" s="62" t="n">
        <v>624.48</v>
      </c>
      <c r="H4062" s="63" t="n">
        <v>0.09</v>
      </c>
      <c r="I4062" s="62" t="n">
        <v>422.4</v>
      </c>
      <c r="J4062" s="58" t="inlineStr">
        <is>
          <t>Online</t>
        </is>
      </c>
      <c r="K4062" s="62">
        <f>F4062*(G4062-H4062)</f>
        <v/>
      </c>
      <c r="L4062" s="62">
        <f>K4062-(F4062*I4062)</f>
        <v/>
      </c>
      <c r="M4062" s="64">
        <f>L4062/K4062</f>
        <v/>
      </c>
    </row>
    <row r="4063">
      <c r="A4063" s="58" t="inlineStr">
        <is>
          <t>RT20250417-04062</t>
        </is>
      </c>
      <c r="B4063" s="59" t="inlineStr">
        <is>
          <t>2025-04-17</t>
        </is>
      </c>
      <c r="C4063" s="60" t="inlineStr">
        <is>
          <t>Vertex Decor Pro-618</t>
        </is>
      </c>
      <c r="D4063" s="58" t="inlineStr">
        <is>
          <t>Home</t>
        </is>
      </c>
      <c r="E4063" s="58" t="inlineStr">
        <is>
          <t>West</t>
        </is>
      </c>
      <c r="F4063" s="61" t="n">
        <v>3</v>
      </c>
      <c r="G4063" s="62" t="n">
        <v>552.83</v>
      </c>
      <c r="H4063" s="63" t="n">
        <v>0.038</v>
      </c>
      <c r="I4063" s="62" t="n">
        <v>388.01</v>
      </c>
      <c r="J4063" s="58" t="inlineStr">
        <is>
          <t>Online</t>
        </is>
      </c>
      <c r="K4063" s="62">
        <f>F4063*(G4063-H4063)</f>
        <v/>
      </c>
      <c r="L4063" s="62">
        <f>K4063-(F4063*I4063)</f>
        <v/>
      </c>
      <c r="M4063" s="64">
        <f>L4063/K4063</f>
        <v/>
      </c>
    </row>
    <row r="4064">
      <c r="A4064" s="58" t="inlineStr">
        <is>
          <t>RT20250417-04063</t>
        </is>
      </c>
      <c r="B4064" s="59" t="inlineStr">
        <is>
          <t>2025-04-17</t>
        </is>
      </c>
      <c r="C4064" s="60" t="inlineStr">
        <is>
          <t>Polar Wearable X-119</t>
        </is>
      </c>
      <c r="D4064" s="58" t="inlineStr">
        <is>
          <t>Electronics</t>
        </is>
      </c>
      <c r="E4064" s="58" t="inlineStr">
        <is>
          <t>Central</t>
        </is>
      </c>
      <c r="F4064" s="61" t="n">
        <v>1</v>
      </c>
      <c r="G4064" s="62" t="n">
        <v>1794.55</v>
      </c>
      <c r="H4064" s="63" t="n">
        <v>0.096</v>
      </c>
      <c r="I4064" s="62" t="n">
        <v>1314.94</v>
      </c>
      <c r="J4064" s="58" t="inlineStr">
        <is>
          <t>Online</t>
        </is>
      </c>
      <c r="K4064" s="62">
        <f>F4064*(G4064-H4064)</f>
        <v/>
      </c>
      <c r="L4064" s="62">
        <f>K4064-(F4064*I4064)</f>
        <v/>
      </c>
      <c r="M4064" s="64">
        <f>L4064/K4064</f>
        <v/>
      </c>
    </row>
    <row r="4065">
      <c r="A4065" s="58" t="inlineStr">
        <is>
          <t>RT20250417-04064</t>
        </is>
      </c>
      <c r="B4065" s="59" t="inlineStr">
        <is>
          <t>2025-04-17</t>
        </is>
      </c>
      <c r="C4065" s="60" t="inlineStr">
        <is>
          <t>Aurora Fragrance S-971</t>
        </is>
      </c>
      <c r="D4065" s="58" t="inlineStr">
        <is>
          <t>Beauty</t>
        </is>
      </c>
      <c r="E4065" s="58" t="inlineStr">
        <is>
          <t>West</t>
        </is>
      </c>
      <c r="F4065" s="61" t="n">
        <v>2</v>
      </c>
      <c r="G4065" s="62" t="n">
        <v>98.01000000000001</v>
      </c>
      <c r="H4065" s="63" t="n">
        <v>0.07199999999999999</v>
      </c>
      <c r="I4065" s="62" t="n">
        <v>66.23</v>
      </c>
      <c r="J4065" s="58" t="inlineStr">
        <is>
          <t>Online</t>
        </is>
      </c>
      <c r="K4065" s="62">
        <f>F4065*(G4065-H4065)</f>
        <v/>
      </c>
      <c r="L4065" s="62">
        <f>K4065-(F4065*I4065)</f>
        <v/>
      </c>
      <c r="M4065" s="64">
        <f>L4065/K4065</f>
        <v/>
      </c>
    </row>
    <row r="4066">
      <c r="A4066" s="58" t="inlineStr">
        <is>
          <t>RT20250418-04065</t>
        </is>
      </c>
      <c r="B4066" s="59" t="inlineStr">
        <is>
          <t>2025-04-18</t>
        </is>
      </c>
      <c r="C4066" s="60" t="inlineStr">
        <is>
          <t>Nimbus Women Plus-352</t>
        </is>
      </c>
      <c r="D4066" s="58" t="inlineStr">
        <is>
          <t>Apparel</t>
        </is>
      </c>
      <c r="E4066" s="58" t="inlineStr">
        <is>
          <t>East</t>
        </is>
      </c>
      <c r="F4066" s="61" t="n">
        <v>4</v>
      </c>
      <c r="G4066" s="62" t="n">
        <v>64.66</v>
      </c>
      <c r="H4066" s="63" t="n">
        <v>0.067</v>
      </c>
      <c r="I4066" s="62" t="n">
        <v>33.89</v>
      </c>
      <c r="J4066" s="58" t="inlineStr">
        <is>
          <t>Store</t>
        </is>
      </c>
      <c r="K4066" s="62">
        <f>F4066*(G4066-H4066)</f>
        <v/>
      </c>
      <c r="L4066" s="62">
        <f>K4066-(F4066*I4066)</f>
        <v/>
      </c>
      <c r="M4066" s="64">
        <f>L4066/K4066</f>
        <v/>
      </c>
    </row>
    <row r="4067">
      <c r="A4067" s="58" t="inlineStr">
        <is>
          <t>RT20250418-04066</t>
        </is>
      </c>
      <c r="B4067" s="59" t="inlineStr">
        <is>
          <t>2025-04-18</t>
        </is>
      </c>
      <c r="C4067" s="60" t="inlineStr">
        <is>
          <t>Orion Beverage Plus-949</t>
        </is>
      </c>
      <c r="D4067" s="58" t="inlineStr">
        <is>
          <t>Grocery</t>
        </is>
      </c>
      <c r="E4067" s="58" t="inlineStr">
        <is>
          <t>East</t>
        </is>
      </c>
      <c r="F4067" s="61" t="n">
        <v>1</v>
      </c>
      <c r="G4067" s="62" t="n">
        <v>16.62</v>
      </c>
      <c r="H4067" s="63" t="n">
        <v>0.095</v>
      </c>
      <c r="I4067" s="62" t="n">
        <v>13.69</v>
      </c>
      <c r="J4067" s="58" t="inlineStr">
        <is>
          <t>Online</t>
        </is>
      </c>
      <c r="K4067" s="62">
        <f>F4067*(G4067-H4067)</f>
        <v/>
      </c>
      <c r="L4067" s="62">
        <f>K4067-(F4067*I4067)</f>
        <v/>
      </c>
      <c r="M4067" s="64">
        <f>L4067/K4067</f>
        <v/>
      </c>
    </row>
    <row r="4068">
      <c r="A4068" s="58" t="inlineStr">
        <is>
          <t>RT20250418-04067</t>
        </is>
      </c>
      <c r="B4068" s="59" t="inlineStr">
        <is>
          <t>2025-04-18</t>
        </is>
      </c>
      <c r="C4068" s="60" t="inlineStr">
        <is>
          <t>Polar Decor Plus-505</t>
        </is>
      </c>
      <c r="D4068" s="58" t="inlineStr">
        <is>
          <t>Home</t>
        </is>
      </c>
      <c r="E4068" s="58" t="inlineStr">
        <is>
          <t>South</t>
        </is>
      </c>
      <c r="F4068" s="61" t="n">
        <v>3</v>
      </c>
      <c r="G4068" s="62" t="n">
        <v>279.37</v>
      </c>
      <c r="H4068" s="63" t="n">
        <v>0.06900000000000001</v>
      </c>
      <c r="I4068" s="62" t="n">
        <v>197.99</v>
      </c>
      <c r="J4068" s="58" t="inlineStr">
        <is>
          <t>Online</t>
        </is>
      </c>
      <c r="K4068" s="62">
        <f>F4068*(G4068-H4068)</f>
        <v/>
      </c>
      <c r="L4068" s="62">
        <f>K4068-(F4068*I4068)</f>
        <v/>
      </c>
      <c r="M4068" s="64">
        <f>L4068/K4068</f>
        <v/>
      </c>
    </row>
    <row r="4069">
      <c r="A4069" s="58" t="inlineStr">
        <is>
          <t>RT20250418-04068</t>
        </is>
      </c>
      <c r="B4069" s="59" t="inlineStr">
        <is>
          <t>2025-04-18</t>
        </is>
      </c>
      <c r="C4069" s="60" t="inlineStr">
        <is>
          <t>Aurora Wearable Lite-162</t>
        </is>
      </c>
      <c r="D4069" s="58" t="inlineStr">
        <is>
          <t>Electronics</t>
        </is>
      </c>
      <c r="E4069" s="58" t="inlineStr">
        <is>
          <t>West</t>
        </is>
      </c>
      <c r="F4069" s="61" t="n">
        <v>1</v>
      </c>
      <c r="G4069" s="62" t="n">
        <v>1630.69</v>
      </c>
      <c r="H4069" s="63" t="n">
        <v>0.074</v>
      </c>
      <c r="I4069" s="62" t="n">
        <v>1167.46</v>
      </c>
      <c r="J4069" s="58" t="inlineStr">
        <is>
          <t>Online</t>
        </is>
      </c>
      <c r="K4069" s="62">
        <f>F4069*(G4069-H4069)</f>
        <v/>
      </c>
      <c r="L4069" s="62">
        <f>K4069-(F4069*I4069)</f>
        <v/>
      </c>
      <c r="M4069" s="64">
        <f>L4069/K4069</f>
        <v/>
      </c>
    </row>
    <row r="4070">
      <c r="A4070" s="58" t="inlineStr">
        <is>
          <t>RT20250418-04069</t>
        </is>
      </c>
      <c r="B4070" s="59" t="inlineStr">
        <is>
          <t>2025-04-18</t>
        </is>
      </c>
      <c r="C4070" s="60" t="inlineStr">
        <is>
          <t>Polar Women S-662</t>
        </is>
      </c>
      <c r="D4070" s="58" t="inlineStr">
        <is>
          <t>Apparel</t>
        </is>
      </c>
      <c r="E4070" s="58" t="inlineStr">
        <is>
          <t>West</t>
        </is>
      </c>
      <c r="F4070" s="61" t="n">
        <v>4</v>
      </c>
      <c r="G4070" s="62" t="n">
        <v>198.95</v>
      </c>
      <c r="H4070" s="63" t="n">
        <v>0.036</v>
      </c>
      <c r="I4070" s="62" t="n">
        <v>99.58</v>
      </c>
      <c r="J4070" s="58" t="inlineStr">
        <is>
          <t>Store</t>
        </is>
      </c>
      <c r="K4070" s="62">
        <f>F4070*(G4070-H4070)</f>
        <v/>
      </c>
      <c r="L4070" s="62">
        <f>K4070-(F4070*I4070)</f>
        <v/>
      </c>
      <c r="M4070" s="64">
        <f>L4070/K4070</f>
        <v/>
      </c>
    </row>
    <row r="4071">
      <c r="A4071" s="58" t="inlineStr">
        <is>
          <t>RT20250418-04070</t>
        </is>
      </c>
      <c r="B4071" s="59" t="inlineStr">
        <is>
          <t>2025-04-18</t>
        </is>
      </c>
      <c r="C4071" s="60" t="inlineStr">
        <is>
          <t>Aurora Fitnes Lite-194</t>
        </is>
      </c>
      <c r="D4071" s="58" t="inlineStr">
        <is>
          <t>Sports</t>
        </is>
      </c>
      <c r="E4071" s="58" t="inlineStr">
        <is>
          <t>East</t>
        </is>
      </c>
      <c r="F4071" s="61" t="n">
        <v>1</v>
      </c>
      <c r="G4071" s="62" t="n">
        <v>736.24</v>
      </c>
      <c r="H4071" s="63" t="n">
        <v>0.082</v>
      </c>
      <c r="I4071" s="62" t="n">
        <v>470.81</v>
      </c>
      <c r="J4071" s="58" t="inlineStr">
        <is>
          <t>Online</t>
        </is>
      </c>
      <c r="K4071" s="62">
        <f>F4071*(G4071-H4071)</f>
        <v/>
      </c>
      <c r="L4071" s="62">
        <f>K4071-(F4071*I4071)</f>
        <v/>
      </c>
      <c r="M4071" s="64">
        <f>L4071/K4071</f>
        <v/>
      </c>
    </row>
    <row r="4072">
      <c r="A4072" s="58" t="inlineStr">
        <is>
          <t>RT20250418-04071</t>
        </is>
      </c>
      <c r="B4072" s="59" t="inlineStr">
        <is>
          <t>2025-04-18</t>
        </is>
      </c>
      <c r="C4072" s="60" t="inlineStr">
        <is>
          <t>Metro Pantry Max-180</t>
        </is>
      </c>
      <c r="D4072" s="58" t="inlineStr">
        <is>
          <t>Grocery</t>
        </is>
      </c>
      <c r="E4072" s="58" t="inlineStr">
        <is>
          <t>East</t>
        </is>
      </c>
      <c r="F4072" s="61" t="n">
        <v>8</v>
      </c>
      <c r="G4072" s="62" t="n">
        <v>8.82</v>
      </c>
      <c r="H4072" s="63" t="n">
        <v>0.004</v>
      </c>
      <c r="I4072" s="62" t="n">
        <v>6.69</v>
      </c>
      <c r="J4072" s="58" t="inlineStr">
        <is>
          <t>Online</t>
        </is>
      </c>
      <c r="K4072" s="62">
        <f>F4072*(G4072-H4072)</f>
        <v/>
      </c>
      <c r="L4072" s="62">
        <f>K4072-(F4072*I4072)</f>
        <v/>
      </c>
      <c r="M4072" s="64">
        <f>L4072/K4072</f>
        <v/>
      </c>
    </row>
    <row r="4073">
      <c r="A4073" s="58" t="inlineStr">
        <is>
          <t>RT20250418-04072</t>
        </is>
      </c>
      <c r="B4073" s="59" t="inlineStr">
        <is>
          <t>2025-04-18</t>
        </is>
      </c>
      <c r="C4073" s="60" t="inlineStr">
        <is>
          <t>Falcon Accessorie S-195</t>
        </is>
      </c>
      <c r="D4073" s="58" t="inlineStr">
        <is>
          <t>Apparel</t>
        </is>
      </c>
      <c r="E4073" s="58" t="inlineStr">
        <is>
          <t>North</t>
        </is>
      </c>
      <c r="F4073" s="61" t="n">
        <v>1</v>
      </c>
      <c r="G4073" s="62" t="n">
        <v>77.91</v>
      </c>
      <c r="H4073" s="63" t="n">
        <v>0.04</v>
      </c>
      <c r="I4073" s="62" t="n">
        <v>43.14</v>
      </c>
      <c r="J4073" s="58" t="inlineStr">
        <is>
          <t>Store</t>
        </is>
      </c>
      <c r="K4073" s="62">
        <f>F4073*(G4073-H4073)</f>
        <v/>
      </c>
      <c r="L4073" s="62">
        <f>K4073-(F4073*I4073)</f>
        <v/>
      </c>
      <c r="M4073" s="64">
        <f>L4073/K4073</f>
        <v/>
      </c>
    </row>
    <row r="4074">
      <c r="A4074" s="58" t="inlineStr">
        <is>
          <t>RT20250418-04073</t>
        </is>
      </c>
      <c r="B4074" s="59" t="inlineStr">
        <is>
          <t>2025-04-18</t>
        </is>
      </c>
      <c r="C4074" s="60" t="inlineStr">
        <is>
          <t>Solace Kitchen Pro-999</t>
        </is>
      </c>
      <c r="D4074" s="58" t="inlineStr">
        <is>
          <t>Home</t>
        </is>
      </c>
      <c r="E4074" s="58" t="inlineStr">
        <is>
          <t>East</t>
        </is>
      </c>
      <c r="F4074" s="61" t="n">
        <v>2</v>
      </c>
      <c r="G4074" s="62" t="n">
        <v>472.11</v>
      </c>
      <c r="H4074" s="63" t="n">
        <v>0.034</v>
      </c>
      <c r="I4074" s="62" t="n">
        <v>272.17</v>
      </c>
      <c r="J4074" s="58" t="inlineStr">
        <is>
          <t>Online</t>
        </is>
      </c>
      <c r="K4074" s="62">
        <f>F4074*(G4074-H4074)</f>
        <v/>
      </c>
      <c r="L4074" s="62">
        <f>K4074-(F4074*I4074)</f>
        <v/>
      </c>
      <c r="M4074" s="64">
        <f>L4074/K4074</f>
        <v/>
      </c>
    </row>
    <row r="4075">
      <c r="A4075" s="58" t="inlineStr">
        <is>
          <t>RT20250418-04074</t>
        </is>
      </c>
      <c r="B4075" s="59" t="inlineStr">
        <is>
          <t>2025-04-18</t>
        </is>
      </c>
      <c r="C4075" s="60" t="inlineStr">
        <is>
          <t>Polar Wearable X-119</t>
        </is>
      </c>
      <c r="D4075" s="58" t="inlineStr">
        <is>
          <t>Electronics</t>
        </is>
      </c>
      <c r="E4075" s="58" t="inlineStr">
        <is>
          <t>West</t>
        </is>
      </c>
      <c r="F4075" s="61" t="n">
        <v>1</v>
      </c>
      <c r="G4075" s="62" t="n">
        <v>1800.61</v>
      </c>
      <c r="H4075" s="63" t="n">
        <v>0.07199999999999999</v>
      </c>
      <c r="I4075" s="62" t="n">
        <v>1309.68</v>
      </c>
      <c r="J4075" s="58" t="inlineStr">
        <is>
          <t>Store</t>
        </is>
      </c>
      <c r="K4075" s="62">
        <f>F4075*(G4075-H4075)</f>
        <v/>
      </c>
      <c r="L4075" s="62">
        <f>K4075-(F4075*I4075)</f>
        <v/>
      </c>
      <c r="M4075" s="64">
        <f>L4075/K4075</f>
        <v/>
      </c>
    </row>
    <row r="4076">
      <c r="A4076" s="58" t="inlineStr">
        <is>
          <t>RT20250418-04075</t>
        </is>
      </c>
      <c r="B4076" s="59" t="inlineStr">
        <is>
          <t>2025-04-18</t>
        </is>
      </c>
      <c r="C4076" s="60" t="inlineStr">
        <is>
          <t>Metro Pantry Max-180</t>
        </is>
      </c>
      <c r="D4076" s="58" t="inlineStr">
        <is>
          <t>Grocery</t>
        </is>
      </c>
      <c r="E4076" s="58" t="inlineStr">
        <is>
          <t>East</t>
        </is>
      </c>
      <c r="F4076" s="61" t="n">
        <v>6</v>
      </c>
      <c r="G4076" s="62" t="n">
        <v>8.609999999999999</v>
      </c>
      <c r="H4076" s="63" t="n">
        <v>0.007</v>
      </c>
      <c r="I4076" s="62" t="n">
        <v>6.65</v>
      </c>
      <c r="J4076" s="58" t="inlineStr">
        <is>
          <t>Online</t>
        </is>
      </c>
      <c r="K4076" s="62">
        <f>F4076*(G4076-H4076)</f>
        <v/>
      </c>
      <c r="L4076" s="62">
        <f>K4076-(F4076*I4076)</f>
        <v/>
      </c>
      <c r="M4076" s="64">
        <f>L4076/K4076</f>
        <v/>
      </c>
    </row>
    <row r="4077">
      <c r="A4077" s="58" t="inlineStr">
        <is>
          <t>RT20250418-04076</t>
        </is>
      </c>
      <c r="B4077" s="59" t="inlineStr">
        <is>
          <t>2025-04-18</t>
        </is>
      </c>
      <c r="C4077" s="60" t="inlineStr">
        <is>
          <t>Solace Fitnes S-324</t>
        </is>
      </c>
      <c r="D4077" s="58" t="inlineStr">
        <is>
          <t>Sports</t>
        </is>
      </c>
      <c r="E4077" s="58" t="inlineStr">
        <is>
          <t>Central</t>
        </is>
      </c>
      <c r="F4077" s="61" t="n">
        <v>1</v>
      </c>
      <c r="G4077" s="62" t="n">
        <v>822.15</v>
      </c>
      <c r="H4077" s="63" t="n">
        <v>0.077</v>
      </c>
      <c r="I4077" s="62" t="n">
        <v>539.0700000000001</v>
      </c>
      <c r="J4077" s="58" t="inlineStr">
        <is>
          <t>Store</t>
        </is>
      </c>
      <c r="K4077" s="62">
        <f>F4077*(G4077-H4077)</f>
        <v/>
      </c>
      <c r="L4077" s="62">
        <f>K4077-(F4077*I4077)</f>
        <v/>
      </c>
      <c r="M4077" s="64">
        <f>L4077/K4077</f>
        <v/>
      </c>
    </row>
    <row r="4078">
      <c r="A4078" s="58" t="inlineStr">
        <is>
          <t>RT20250418-04077</t>
        </is>
      </c>
      <c r="B4078" s="59" t="inlineStr">
        <is>
          <t>2025-04-18</t>
        </is>
      </c>
      <c r="C4078" s="60" t="inlineStr">
        <is>
          <t>Nimbus Storage Plus-646</t>
        </is>
      </c>
      <c r="D4078" s="58" t="inlineStr">
        <is>
          <t>Office</t>
        </is>
      </c>
      <c r="E4078" s="58" t="inlineStr">
        <is>
          <t>North</t>
        </is>
      </c>
      <c r="F4078" s="61" t="n">
        <v>2</v>
      </c>
      <c r="G4078" s="62" t="n">
        <v>465.99</v>
      </c>
      <c r="H4078" s="63" t="n">
        <v>0.05</v>
      </c>
      <c r="I4078" s="62" t="n">
        <v>323.08</v>
      </c>
      <c r="J4078" s="58" t="inlineStr">
        <is>
          <t>Online</t>
        </is>
      </c>
      <c r="K4078" s="62">
        <f>F4078*(G4078-H4078)</f>
        <v/>
      </c>
      <c r="L4078" s="62">
        <f>K4078-(F4078*I4078)</f>
        <v/>
      </c>
      <c r="M4078" s="64">
        <f>L4078/K4078</f>
        <v/>
      </c>
    </row>
    <row r="4079">
      <c r="A4079" s="58" t="inlineStr">
        <is>
          <t>RT20250418-04078</t>
        </is>
      </c>
      <c r="B4079" s="59" t="inlineStr">
        <is>
          <t>2025-04-18</t>
        </is>
      </c>
      <c r="C4079" s="60" t="inlineStr">
        <is>
          <t>Aurora Bedding Max-175</t>
        </is>
      </c>
      <c r="D4079" s="58" t="inlineStr">
        <is>
          <t>Home</t>
        </is>
      </c>
      <c r="E4079" s="58" t="inlineStr">
        <is>
          <t>North</t>
        </is>
      </c>
      <c r="F4079" s="61" t="n">
        <v>1</v>
      </c>
      <c r="G4079" s="62" t="n">
        <v>713.8099999999999</v>
      </c>
      <c r="H4079" s="63" t="n">
        <v>0.062</v>
      </c>
      <c r="I4079" s="62" t="n">
        <v>415.87</v>
      </c>
      <c r="J4079" s="58" t="inlineStr">
        <is>
          <t>Store</t>
        </is>
      </c>
      <c r="K4079" s="62">
        <f>F4079*(G4079-H4079)</f>
        <v/>
      </c>
      <c r="L4079" s="62">
        <f>K4079-(F4079*I4079)</f>
        <v/>
      </c>
      <c r="M4079" s="64">
        <f>L4079/K4079</f>
        <v/>
      </c>
    </row>
    <row r="4080">
      <c r="A4080" s="58" t="inlineStr">
        <is>
          <t>RT20250418-04079</t>
        </is>
      </c>
      <c r="B4080" s="59" t="inlineStr">
        <is>
          <t>2025-04-18</t>
        </is>
      </c>
      <c r="C4080" s="60" t="inlineStr">
        <is>
          <t>Polar Decor Plus-505</t>
        </is>
      </c>
      <c r="D4080" s="58" t="inlineStr">
        <is>
          <t>Home</t>
        </is>
      </c>
      <c r="E4080" s="58" t="inlineStr">
        <is>
          <t>Central</t>
        </is>
      </c>
      <c r="F4080" s="61" t="n">
        <v>3</v>
      </c>
      <c r="G4080" s="62" t="n">
        <v>299.75</v>
      </c>
      <c r="H4080" s="63" t="n">
        <v>0.08400000000000001</v>
      </c>
      <c r="I4080" s="62" t="n">
        <v>202.9</v>
      </c>
      <c r="J4080" s="58" t="inlineStr">
        <is>
          <t>Store</t>
        </is>
      </c>
      <c r="K4080" s="62">
        <f>F4080*(G4080-H4080)</f>
        <v/>
      </c>
      <c r="L4080" s="62">
        <f>K4080-(F4080*I4080)</f>
        <v/>
      </c>
      <c r="M4080" s="64">
        <f>L4080/K4080</f>
        <v/>
      </c>
    </row>
    <row r="4081">
      <c r="A4081" s="58" t="inlineStr">
        <is>
          <t>RT20250418-04080</t>
        </is>
      </c>
      <c r="B4081" s="59" t="inlineStr">
        <is>
          <t>2025-04-18</t>
        </is>
      </c>
      <c r="C4081" s="60" t="inlineStr">
        <is>
          <t>Polar Women S-662</t>
        </is>
      </c>
      <c r="D4081" s="58" t="inlineStr">
        <is>
          <t>Apparel</t>
        </is>
      </c>
      <c r="E4081" s="58" t="inlineStr">
        <is>
          <t>South</t>
        </is>
      </c>
      <c r="F4081" s="61" t="n">
        <v>1</v>
      </c>
      <c r="G4081" s="62" t="n">
        <v>181.46</v>
      </c>
      <c r="H4081" s="63" t="n">
        <v>0.091</v>
      </c>
      <c r="I4081" s="62" t="n">
        <v>102.84</v>
      </c>
      <c r="J4081" s="58" t="inlineStr">
        <is>
          <t>Online</t>
        </is>
      </c>
      <c r="K4081" s="62">
        <f>F4081*(G4081-H4081)</f>
        <v/>
      </c>
      <c r="L4081" s="62">
        <f>K4081-(F4081*I4081)</f>
        <v/>
      </c>
      <c r="M4081" s="64">
        <f>L4081/K4081</f>
        <v/>
      </c>
    </row>
    <row r="4082">
      <c r="A4082" s="58" t="inlineStr">
        <is>
          <t>RT20250418-04081</t>
        </is>
      </c>
      <c r="B4082" s="59" t="inlineStr">
        <is>
          <t>2025-04-18</t>
        </is>
      </c>
      <c r="C4082" s="60" t="inlineStr">
        <is>
          <t>Falcon Beverage Max-702</t>
        </is>
      </c>
      <c r="D4082" s="58" t="inlineStr">
        <is>
          <t>Grocery</t>
        </is>
      </c>
      <c r="E4082" s="58" t="inlineStr">
        <is>
          <t>East</t>
        </is>
      </c>
      <c r="F4082" s="61" t="n">
        <v>5</v>
      </c>
      <c r="G4082" s="62" t="n">
        <v>27.96</v>
      </c>
      <c r="H4082" s="63" t="n">
        <v>0.114</v>
      </c>
      <c r="I4082" s="62" t="n">
        <v>19.56</v>
      </c>
      <c r="J4082" s="58" t="inlineStr">
        <is>
          <t>Online</t>
        </is>
      </c>
      <c r="K4082" s="62">
        <f>F4082*(G4082-H4082)</f>
        <v/>
      </c>
      <c r="L4082" s="62">
        <f>K4082-(F4082*I4082)</f>
        <v/>
      </c>
      <c r="M4082" s="64">
        <f>L4082/K4082</f>
        <v/>
      </c>
    </row>
    <row r="4083">
      <c r="A4083" s="58" t="inlineStr">
        <is>
          <t>RT20250418-04082</t>
        </is>
      </c>
      <c r="B4083" s="59" t="inlineStr">
        <is>
          <t>2025-04-18</t>
        </is>
      </c>
      <c r="C4083" s="60" t="inlineStr">
        <is>
          <t>Falcon Skincare X-334</t>
        </is>
      </c>
      <c r="D4083" s="58" t="inlineStr">
        <is>
          <t>Beauty</t>
        </is>
      </c>
      <c r="E4083" s="58" t="inlineStr">
        <is>
          <t>East</t>
        </is>
      </c>
      <c r="F4083" s="61" t="n">
        <v>4</v>
      </c>
      <c r="G4083" s="62" t="n">
        <v>103.12</v>
      </c>
      <c r="H4083" s="63" t="n">
        <v>0.055</v>
      </c>
      <c r="I4083" s="62" t="n">
        <v>64.45</v>
      </c>
      <c r="J4083" s="58" t="inlineStr">
        <is>
          <t>Online</t>
        </is>
      </c>
      <c r="K4083" s="62">
        <f>F4083*(G4083-H4083)</f>
        <v/>
      </c>
      <c r="L4083" s="62">
        <f>K4083-(F4083*I4083)</f>
        <v/>
      </c>
      <c r="M4083" s="64">
        <f>L4083/K4083</f>
        <v/>
      </c>
    </row>
    <row r="4084">
      <c r="A4084" s="58" t="inlineStr">
        <is>
          <t>RT20250418-04083</t>
        </is>
      </c>
      <c r="B4084" s="59" t="inlineStr">
        <is>
          <t>2025-04-18</t>
        </is>
      </c>
      <c r="C4084" s="60" t="inlineStr">
        <is>
          <t>Vertex Appliance S-296</t>
        </is>
      </c>
      <c r="D4084" s="58" t="inlineStr">
        <is>
          <t>Home</t>
        </is>
      </c>
      <c r="E4084" s="58" t="inlineStr">
        <is>
          <t>Central</t>
        </is>
      </c>
      <c r="F4084" s="61" t="n">
        <v>3</v>
      </c>
      <c r="G4084" s="62" t="n">
        <v>536.5599999999999</v>
      </c>
      <c r="H4084" s="63" t="n">
        <v>0.132</v>
      </c>
      <c r="I4084" s="62" t="n">
        <v>348.78</v>
      </c>
      <c r="J4084" s="58" t="inlineStr">
        <is>
          <t>Store</t>
        </is>
      </c>
      <c r="K4084" s="62">
        <f>F4084*(G4084-H4084)</f>
        <v/>
      </c>
      <c r="L4084" s="62">
        <f>K4084-(F4084*I4084)</f>
        <v/>
      </c>
      <c r="M4084" s="64">
        <f>L4084/K4084</f>
        <v/>
      </c>
    </row>
    <row r="4085">
      <c r="A4085" s="58" t="inlineStr">
        <is>
          <t>RT20250418-04084</t>
        </is>
      </c>
      <c r="B4085" s="59" t="inlineStr">
        <is>
          <t>2025-04-18</t>
        </is>
      </c>
      <c r="C4085" s="60" t="inlineStr">
        <is>
          <t>Nimbus Men Plus-231</t>
        </is>
      </c>
      <c r="D4085" s="58" t="inlineStr">
        <is>
          <t>Apparel</t>
        </is>
      </c>
      <c r="E4085" s="58" t="inlineStr">
        <is>
          <t>East</t>
        </is>
      </c>
      <c r="F4085" s="61" t="n">
        <v>1</v>
      </c>
      <c r="G4085" s="62" t="n">
        <v>157.77</v>
      </c>
      <c r="H4085" s="63" t="n">
        <v>0.078</v>
      </c>
      <c r="I4085" s="62" t="n">
        <v>89.58</v>
      </c>
      <c r="J4085" s="58" t="inlineStr">
        <is>
          <t>Store</t>
        </is>
      </c>
      <c r="K4085" s="62">
        <f>F4085*(G4085-H4085)</f>
        <v/>
      </c>
      <c r="L4085" s="62">
        <f>K4085-(F4085*I4085)</f>
        <v/>
      </c>
      <c r="M4085" s="64">
        <f>L4085/K4085</f>
        <v/>
      </c>
    </row>
    <row r="4086">
      <c r="A4086" s="58" t="inlineStr">
        <is>
          <t>RT20250418-04085</t>
        </is>
      </c>
      <c r="B4086" s="59" t="inlineStr">
        <is>
          <t>2025-04-18</t>
        </is>
      </c>
      <c r="C4086" s="60" t="inlineStr">
        <is>
          <t>Polar Men Pro-246</t>
        </is>
      </c>
      <c r="D4086" s="58" t="inlineStr">
        <is>
          <t>Apparel</t>
        </is>
      </c>
      <c r="E4086" s="58" t="inlineStr">
        <is>
          <t>West</t>
        </is>
      </c>
      <c r="F4086" s="61" t="n">
        <v>3</v>
      </c>
      <c r="G4086" s="62" t="n">
        <v>136.97</v>
      </c>
      <c r="H4086" s="63" t="n">
        <v>0.07000000000000001</v>
      </c>
      <c r="I4086" s="62" t="n">
        <v>79.01000000000001</v>
      </c>
      <c r="J4086" s="58" t="inlineStr">
        <is>
          <t>Phone</t>
        </is>
      </c>
      <c r="K4086" s="62">
        <f>F4086*(G4086-H4086)</f>
        <v/>
      </c>
      <c r="L4086" s="62">
        <f>K4086-(F4086*I4086)</f>
        <v/>
      </c>
      <c r="M4086" s="64">
        <f>L4086/K4086</f>
        <v/>
      </c>
    </row>
    <row r="4087">
      <c r="A4087" s="58" t="inlineStr">
        <is>
          <t>RT20250418-04086</t>
        </is>
      </c>
      <c r="B4087" s="59" t="inlineStr">
        <is>
          <t>2025-04-18</t>
        </is>
      </c>
      <c r="C4087" s="60" t="inlineStr">
        <is>
          <t>Vertex Headphone Pro-801</t>
        </is>
      </c>
      <c r="D4087" s="58" t="inlineStr">
        <is>
          <t>Electronics</t>
        </is>
      </c>
      <c r="E4087" s="58" t="inlineStr">
        <is>
          <t>North</t>
        </is>
      </c>
      <c r="F4087" s="61" t="n">
        <v>1</v>
      </c>
      <c r="G4087" s="62" t="n">
        <v>1346.77</v>
      </c>
      <c r="H4087" s="63" t="n">
        <v>0.066</v>
      </c>
      <c r="I4087" s="62" t="n">
        <v>963.35</v>
      </c>
      <c r="J4087" s="58" t="inlineStr">
        <is>
          <t>Online</t>
        </is>
      </c>
      <c r="K4087" s="62">
        <f>F4087*(G4087-H4087)</f>
        <v/>
      </c>
      <c r="L4087" s="62">
        <f>K4087-(F4087*I4087)</f>
        <v/>
      </c>
      <c r="M4087" s="64">
        <f>L4087/K4087</f>
        <v/>
      </c>
    </row>
    <row r="4088">
      <c r="A4088" s="58" t="inlineStr">
        <is>
          <t>RT20250418-04087</t>
        </is>
      </c>
      <c r="B4088" s="59" t="inlineStr">
        <is>
          <t>2025-04-18</t>
        </is>
      </c>
      <c r="C4088" s="60" t="inlineStr">
        <is>
          <t>Aurora Skincare Max-798</t>
        </is>
      </c>
      <c r="D4088" s="58" t="inlineStr">
        <is>
          <t>Beauty</t>
        </is>
      </c>
      <c r="E4088" s="58" t="inlineStr">
        <is>
          <t>West</t>
        </is>
      </c>
      <c r="F4088" s="61" t="n">
        <v>2</v>
      </c>
      <c r="G4088" s="62" t="n">
        <v>106.79</v>
      </c>
      <c r="H4088" s="63" t="n">
        <v>0.08599999999999999</v>
      </c>
      <c r="I4088" s="62" t="n">
        <v>70.01000000000001</v>
      </c>
      <c r="J4088" s="58" t="inlineStr">
        <is>
          <t>Online</t>
        </is>
      </c>
      <c r="K4088" s="62">
        <f>F4088*(G4088-H4088)</f>
        <v/>
      </c>
      <c r="L4088" s="62">
        <f>K4088-(F4088*I4088)</f>
        <v/>
      </c>
      <c r="M4088" s="64">
        <f>L4088/K4088</f>
        <v/>
      </c>
    </row>
    <row r="4089">
      <c r="A4089" s="58" t="inlineStr">
        <is>
          <t>RT20250418-04088</t>
        </is>
      </c>
      <c r="B4089" s="59" t="inlineStr">
        <is>
          <t>2025-04-18</t>
        </is>
      </c>
      <c r="C4089" s="60" t="inlineStr">
        <is>
          <t>Solace Laptop S-367</t>
        </is>
      </c>
      <c r="D4089" s="58" t="inlineStr">
        <is>
          <t>Electronics</t>
        </is>
      </c>
      <c r="E4089" s="58" t="inlineStr">
        <is>
          <t>North</t>
        </is>
      </c>
      <c r="F4089" s="61" t="n">
        <v>2</v>
      </c>
      <c r="G4089" s="62" t="n">
        <v>1965.51</v>
      </c>
      <c r="H4089" s="63" t="n">
        <v>0.02</v>
      </c>
      <c r="I4089" s="62" t="n">
        <v>1580.04</v>
      </c>
      <c r="J4089" s="58" t="inlineStr">
        <is>
          <t>Online</t>
        </is>
      </c>
      <c r="K4089" s="62">
        <f>F4089*(G4089-H4089)</f>
        <v/>
      </c>
      <c r="L4089" s="62">
        <f>K4089-(F4089*I4089)</f>
        <v/>
      </c>
      <c r="M4089" s="64">
        <f>L4089/K4089</f>
        <v/>
      </c>
    </row>
    <row r="4090">
      <c r="A4090" s="58" t="inlineStr">
        <is>
          <t>RT20250418-04089</t>
        </is>
      </c>
      <c r="B4090" s="59" t="inlineStr">
        <is>
          <t>2025-04-18</t>
        </is>
      </c>
      <c r="C4090" s="60" t="inlineStr">
        <is>
          <t>Aurora Bedding Plus-187</t>
        </is>
      </c>
      <c r="D4090" s="58" t="inlineStr">
        <is>
          <t>Home</t>
        </is>
      </c>
      <c r="E4090" s="58" t="inlineStr">
        <is>
          <t>East</t>
        </is>
      </c>
      <c r="F4090" s="61" t="n">
        <v>2</v>
      </c>
      <c r="G4090" s="62" t="n">
        <v>283.5</v>
      </c>
      <c r="H4090" s="63" t="n">
        <v>0.01</v>
      </c>
      <c r="I4090" s="62" t="n">
        <v>212.82</v>
      </c>
      <c r="J4090" s="58" t="inlineStr">
        <is>
          <t>Online</t>
        </is>
      </c>
      <c r="K4090" s="62">
        <f>F4090*(G4090-H4090)</f>
        <v/>
      </c>
      <c r="L4090" s="62">
        <f>K4090-(F4090*I4090)</f>
        <v/>
      </c>
      <c r="M4090" s="64">
        <f>L4090/K4090</f>
        <v/>
      </c>
    </row>
    <row r="4091">
      <c r="A4091" s="58" t="inlineStr">
        <is>
          <t>RT20250418-04090</t>
        </is>
      </c>
      <c r="B4091" s="59" t="inlineStr">
        <is>
          <t>2025-04-18</t>
        </is>
      </c>
      <c r="C4091" s="60" t="inlineStr">
        <is>
          <t>Vertex Appliance S-296</t>
        </is>
      </c>
      <c r="D4091" s="58" t="inlineStr">
        <is>
          <t>Home</t>
        </is>
      </c>
      <c r="E4091" s="58" t="inlineStr">
        <is>
          <t>East</t>
        </is>
      </c>
      <c r="F4091" s="61" t="n">
        <v>3</v>
      </c>
      <c r="G4091" s="62" t="n">
        <v>528.48</v>
      </c>
      <c r="H4091" s="63" t="n">
        <v>0.08400000000000001</v>
      </c>
      <c r="I4091" s="62" t="n">
        <v>352.9</v>
      </c>
      <c r="J4091" s="58" t="inlineStr">
        <is>
          <t>Store</t>
        </is>
      </c>
      <c r="K4091" s="62">
        <f>F4091*(G4091-H4091)</f>
        <v/>
      </c>
      <c r="L4091" s="62">
        <f>K4091-(F4091*I4091)</f>
        <v/>
      </c>
      <c r="M4091" s="64">
        <f>L4091/K4091</f>
        <v/>
      </c>
    </row>
    <row r="4092">
      <c r="A4092" s="58" t="inlineStr">
        <is>
          <t>RT20250418-04091</t>
        </is>
      </c>
      <c r="B4092" s="59" t="inlineStr">
        <is>
          <t>2025-04-18</t>
        </is>
      </c>
      <c r="C4092" s="60" t="inlineStr">
        <is>
          <t>Falcon Cycling Pro-499</t>
        </is>
      </c>
      <c r="D4092" s="58" t="inlineStr">
        <is>
          <t>Sports</t>
        </is>
      </c>
      <c r="E4092" s="58" t="inlineStr">
        <is>
          <t>South</t>
        </is>
      </c>
      <c r="F4092" s="61" t="n">
        <v>3</v>
      </c>
      <c r="G4092" s="62" t="n">
        <v>702.95</v>
      </c>
      <c r="H4092" s="63" t="n">
        <v>0.031</v>
      </c>
      <c r="I4092" s="62" t="n">
        <v>406.61</v>
      </c>
      <c r="J4092" s="58" t="inlineStr">
        <is>
          <t>Phone</t>
        </is>
      </c>
      <c r="K4092" s="62">
        <f>F4092*(G4092-H4092)</f>
        <v/>
      </c>
      <c r="L4092" s="62">
        <f>K4092-(F4092*I4092)</f>
        <v/>
      </c>
      <c r="M4092" s="64">
        <f>L4092/K4092</f>
        <v/>
      </c>
    </row>
    <row r="4093">
      <c r="A4093" s="58" t="inlineStr">
        <is>
          <t>RT20250418-04092</t>
        </is>
      </c>
      <c r="B4093" s="59" t="inlineStr">
        <is>
          <t>2025-04-18</t>
        </is>
      </c>
      <c r="C4093" s="60" t="inlineStr">
        <is>
          <t>Polar Fragrance Pro-750</t>
        </is>
      </c>
      <c r="D4093" s="58" t="inlineStr">
        <is>
          <t>Beauty</t>
        </is>
      </c>
      <c r="E4093" s="58" t="inlineStr">
        <is>
          <t>East</t>
        </is>
      </c>
      <c r="F4093" s="61" t="n">
        <v>1</v>
      </c>
      <c r="G4093" s="62" t="n">
        <v>52.59</v>
      </c>
      <c r="H4093" s="63" t="n">
        <v>0.048</v>
      </c>
      <c r="I4093" s="62" t="n">
        <v>36.42</v>
      </c>
      <c r="J4093" s="58" t="inlineStr">
        <is>
          <t>Store</t>
        </is>
      </c>
      <c r="K4093" s="62">
        <f>F4093*(G4093-H4093)</f>
        <v/>
      </c>
      <c r="L4093" s="62">
        <f>K4093-(F4093*I4093)</f>
        <v/>
      </c>
      <c r="M4093" s="64">
        <f>L4093/K4093</f>
        <v/>
      </c>
    </row>
    <row r="4094">
      <c r="A4094" s="58" t="inlineStr">
        <is>
          <t>RT20250418-04093</t>
        </is>
      </c>
      <c r="B4094" s="59" t="inlineStr">
        <is>
          <t>2025-04-18</t>
        </is>
      </c>
      <c r="C4094" s="60" t="inlineStr">
        <is>
          <t>Polar Haircare Max-614</t>
        </is>
      </c>
      <c r="D4094" s="58" t="inlineStr">
        <is>
          <t>Beauty</t>
        </is>
      </c>
      <c r="E4094" s="58" t="inlineStr">
        <is>
          <t>East</t>
        </is>
      </c>
      <c r="F4094" s="61" t="n">
        <v>1</v>
      </c>
      <c r="G4094" s="62" t="n">
        <v>113.18</v>
      </c>
      <c r="H4094" s="63" t="n">
        <v>0.038</v>
      </c>
      <c r="I4094" s="62" t="n">
        <v>69.69</v>
      </c>
      <c r="J4094" s="58" t="inlineStr">
        <is>
          <t>Store</t>
        </is>
      </c>
      <c r="K4094" s="62">
        <f>F4094*(G4094-H4094)</f>
        <v/>
      </c>
      <c r="L4094" s="62">
        <f>K4094-(F4094*I4094)</f>
        <v/>
      </c>
      <c r="M4094" s="64">
        <f>L4094/K4094</f>
        <v/>
      </c>
    </row>
    <row r="4095">
      <c r="A4095" s="58" t="inlineStr">
        <is>
          <t>RT20250418-04094</t>
        </is>
      </c>
      <c r="B4095" s="59" t="inlineStr">
        <is>
          <t>2025-04-18</t>
        </is>
      </c>
      <c r="C4095" s="60" t="inlineStr">
        <is>
          <t>Polar Women Max-927</t>
        </is>
      </c>
      <c r="D4095" s="58" t="inlineStr">
        <is>
          <t>Apparel</t>
        </is>
      </c>
      <c r="E4095" s="58" t="inlineStr">
        <is>
          <t>North</t>
        </is>
      </c>
      <c r="F4095" s="61" t="n">
        <v>3</v>
      </c>
      <c r="G4095" s="62" t="n">
        <v>130.65</v>
      </c>
      <c r="H4095" s="63" t="n">
        <v>0.106</v>
      </c>
      <c r="I4095" s="62" t="n">
        <v>67.09</v>
      </c>
      <c r="J4095" s="58" t="inlineStr">
        <is>
          <t>Store</t>
        </is>
      </c>
      <c r="K4095" s="62">
        <f>F4095*(G4095-H4095)</f>
        <v/>
      </c>
      <c r="L4095" s="62">
        <f>K4095-(F4095*I4095)</f>
        <v/>
      </c>
      <c r="M4095" s="64">
        <f>L4095/K4095</f>
        <v/>
      </c>
    </row>
    <row r="4096">
      <c r="A4096" s="58" t="inlineStr">
        <is>
          <t>RT20250418-04095</t>
        </is>
      </c>
      <c r="B4096" s="59" t="inlineStr">
        <is>
          <t>2025-04-18</t>
        </is>
      </c>
      <c r="C4096" s="60" t="inlineStr">
        <is>
          <t>Aurora Wearable Lite-704</t>
        </is>
      </c>
      <c r="D4096" s="58" t="inlineStr">
        <is>
          <t>Electronics</t>
        </is>
      </c>
      <c r="E4096" s="58" t="inlineStr">
        <is>
          <t>Central</t>
        </is>
      </c>
      <c r="F4096" s="61" t="n">
        <v>1</v>
      </c>
      <c r="G4096" s="62" t="n">
        <v>1776.87</v>
      </c>
      <c r="H4096" s="63" t="n">
        <v>0.058</v>
      </c>
      <c r="I4096" s="62" t="n">
        <v>1472.94</v>
      </c>
      <c r="J4096" s="58" t="inlineStr">
        <is>
          <t>Online</t>
        </is>
      </c>
      <c r="K4096" s="62">
        <f>F4096*(G4096-H4096)</f>
        <v/>
      </c>
      <c r="L4096" s="62">
        <f>K4096-(F4096*I4096)</f>
        <v/>
      </c>
      <c r="M4096" s="64">
        <f>L4096/K4096</f>
        <v/>
      </c>
    </row>
    <row r="4097">
      <c r="A4097" s="58" t="inlineStr">
        <is>
          <t>RT20250418-04096</t>
        </is>
      </c>
      <c r="B4097" s="59" t="inlineStr">
        <is>
          <t>2025-04-18</t>
        </is>
      </c>
      <c r="C4097" s="60" t="inlineStr">
        <is>
          <t>Solace Bedding Plus-317</t>
        </is>
      </c>
      <c r="D4097" s="58" t="inlineStr">
        <is>
          <t>Home</t>
        </is>
      </c>
      <c r="E4097" s="58" t="inlineStr">
        <is>
          <t>South</t>
        </is>
      </c>
      <c r="F4097" s="61" t="n">
        <v>3</v>
      </c>
      <c r="G4097" s="62" t="n">
        <v>611.36</v>
      </c>
      <c r="H4097" s="63" t="n">
        <v>0.08599999999999999</v>
      </c>
      <c r="I4097" s="62" t="n">
        <v>381.74</v>
      </c>
      <c r="J4097" s="58" t="inlineStr">
        <is>
          <t>Store</t>
        </is>
      </c>
      <c r="K4097" s="62">
        <f>F4097*(G4097-H4097)</f>
        <v/>
      </c>
      <c r="L4097" s="62">
        <f>K4097-(F4097*I4097)</f>
        <v/>
      </c>
      <c r="M4097" s="64">
        <f>L4097/K4097</f>
        <v/>
      </c>
    </row>
    <row r="4098">
      <c r="A4098" s="58" t="inlineStr">
        <is>
          <t>RT20250418-04097</t>
        </is>
      </c>
      <c r="B4098" s="59" t="inlineStr">
        <is>
          <t>2025-04-18</t>
        </is>
      </c>
      <c r="C4098" s="60" t="inlineStr">
        <is>
          <t>Polar Snack Pro-641</t>
        </is>
      </c>
      <c r="D4098" s="58" t="inlineStr">
        <is>
          <t>Grocery</t>
        </is>
      </c>
      <c r="E4098" s="58" t="inlineStr">
        <is>
          <t>Central</t>
        </is>
      </c>
      <c r="F4098" s="61" t="n">
        <v>3</v>
      </c>
      <c r="G4098" s="62" t="n">
        <v>12.68</v>
      </c>
      <c r="H4098" s="63" t="n">
        <v>0.083</v>
      </c>
      <c r="I4098" s="62" t="n">
        <v>9.359999999999999</v>
      </c>
      <c r="J4098" s="58" t="inlineStr">
        <is>
          <t>Online</t>
        </is>
      </c>
      <c r="K4098" s="62">
        <f>F4098*(G4098-H4098)</f>
        <v/>
      </c>
      <c r="L4098" s="62">
        <f>K4098-(F4098*I4098)</f>
        <v/>
      </c>
      <c r="M4098" s="64">
        <f>L4098/K4098</f>
        <v/>
      </c>
    </row>
    <row r="4099">
      <c r="A4099" s="58" t="inlineStr">
        <is>
          <t>RT20250418-04098</t>
        </is>
      </c>
      <c r="B4099" s="59" t="inlineStr">
        <is>
          <t>2025-04-18</t>
        </is>
      </c>
      <c r="C4099" s="60" t="inlineStr">
        <is>
          <t>Falcon Wearable X-334</t>
        </is>
      </c>
      <c r="D4099" s="58" t="inlineStr">
        <is>
          <t>Electronics</t>
        </is>
      </c>
      <c r="E4099" s="58" t="inlineStr">
        <is>
          <t>East</t>
        </is>
      </c>
      <c r="F4099" s="61" t="n">
        <v>2</v>
      </c>
      <c r="G4099" s="62" t="n">
        <v>2032.9</v>
      </c>
      <c r="H4099" s="63" t="n">
        <v>0.049</v>
      </c>
      <c r="I4099" s="62" t="n">
        <v>1561.25</v>
      </c>
      <c r="J4099" s="58" t="inlineStr">
        <is>
          <t>Online</t>
        </is>
      </c>
      <c r="K4099" s="62">
        <f>F4099*(G4099-H4099)</f>
        <v/>
      </c>
      <c r="L4099" s="62">
        <f>K4099-(F4099*I4099)</f>
        <v/>
      </c>
      <c r="M4099" s="64">
        <f>L4099/K4099</f>
        <v/>
      </c>
    </row>
    <row r="4100">
      <c r="A4100" s="58" t="inlineStr">
        <is>
          <t>RT20250418-04099</t>
        </is>
      </c>
      <c r="B4100" s="59" t="inlineStr">
        <is>
          <t>2025-04-18</t>
        </is>
      </c>
      <c r="C4100" s="60" t="inlineStr">
        <is>
          <t>Solace Bedding Plus-317</t>
        </is>
      </c>
      <c r="D4100" s="58" t="inlineStr">
        <is>
          <t>Home</t>
        </is>
      </c>
      <c r="E4100" s="58" t="inlineStr">
        <is>
          <t>South</t>
        </is>
      </c>
      <c r="F4100" s="61" t="n">
        <v>2</v>
      </c>
      <c r="G4100" s="62" t="n">
        <v>641.55</v>
      </c>
      <c r="H4100" s="63" t="n">
        <v>0.056</v>
      </c>
      <c r="I4100" s="62" t="n">
        <v>389.09</v>
      </c>
      <c r="J4100" s="58" t="inlineStr">
        <is>
          <t>Store</t>
        </is>
      </c>
      <c r="K4100" s="62">
        <f>F4100*(G4100-H4100)</f>
        <v/>
      </c>
      <c r="L4100" s="62">
        <f>K4100-(F4100*I4100)</f>
        <v/>
      </c>
      <c r="M4100" s="64">
        <f>L4100/K4100</f>
        <v/>
      </c>
    </row>
    <row r="4101">
      <c r="A4101" s="58" t="inlineStr">
        <is>
          <t>RT20250418-04100</t>
        </is>
      </c>
      <c r="B4101" s="59" t="inlineStr">
        <is>
          <t>2025-04-18</t>
        </is>
      </c>
      <c r="C4101" s="60" t="inlineStr">
        <is>
          <t>Solace Headphone Pro-344</t>
        </is>
      </c>
      <c r="D4101" s="58" t="inlineStr">
        <is>
          <t>Electronics</t>
        </is>
      </c>
      <c r="E4101" s="58" t="inlineStr">
        <is>
          <t>West</t>
        </is>
      </c>
      <c r="F4101" s="61" t="n">
        <v>2</v>
      </c>
      <c r="G4101" s="62" t="n">
        <v>1407.09</v>
      </c>
      <c r="H4101" s="63" t="n">
        <v>0.083</v>
      </c>
      <c r="I4101" s="62" t="n">
        <v>1088.35</v>
      </c>
      <c r="J4101" s="58" t="inlineStr">
        <is>
          <t>Store</t>
        </is>
      </c>
      <c r="K4101" s="62">
        <f>F4101*(G4101-H4101)</f>
        <v/>
      </c>
      <c r="L4101" s="62">
        <f>K4101-(F4101*I4101)</f>
        <v/>
      </c>
      <c r="M4101" s="64">
        <f>L4101/K4101</f>
        <v/>
      </c>
    </row>
    <row r="4102">
      <c r="A4102" s="58" t="inlineStr">
        <is>
          <t>RT20250418-04101</t>
        </is>
      </c>
      <c r="B4102" s="59" t="inlineStr">
        <is>
          <t>2025-04-18</t>
        </is>
      </c>
      <c r="C4102" s="60" t="inlineStr">
        <is>
          <t>Solace Kid S-384</t>
        </is>
      </c>
      <c r="D4102" s="58" t="inlineStr">
        <is>
          <t>Apparel</t>
        </is>
      </c>
      <c r="E4102" s="58" t="inlineStr">
        <is>
          <t>East</t>
        </is>
      </c>
      <c r="F4102" s="61" t="n">
        <v>4</v>
      </c>
      <c r="G4102" s="62" t="n">
        <v>105.92</v>
      </c>
      <c r="H4102" s="63" t="n">
        <v>0.056</v>
      </c>
      <c r="I4102" s="62" t="n">
        <v>64.55</v>
      </c>
      <c r="J4102" s="58" t="inlineStr">
        <is>
          <t>Online</t>
        </is>
      </c>
      <c r="K4102" s="62">
        <f>F4102*(G4102-H4102)</f>
        <v/>
      </c>
      <c r="L4102" s="62">
        <f>K4102-(F4102*I4102)</f>
        <v/>
      </c>
      <c r="M4102" s="64">
        <f>L4102/K4102</f>
        <v/>
      </c>
    </row>
    <row r="4103">
      <c r="A4103" s="58" t="inlineStr">
        <is>
          <t>RT20250418-04102</t>
        </is>
      </c>
      <c r="B4103" s="59" t="inlineStr">
        <is>
          <t>2025-04-18</t>
        </is>
      </c>
      <c r="C4103" s="60" t="inlineStr">
        <is>
          <t>Orion Beverage Plus-949</t>
        </is>
      </c>
      <c r="D4103" s="58" t="inlineStr">
        <is>
          <t>Grocery</t>
        </is>
      </c>
      <c r="E4103" s="58" t="inlineStr">
        <is>
          <t>West</t>
        </is>
      </c>
      <c r="F4103" s="61" t="n">
        <v>4</v>
      </c>
      <c r="G4103" s="62" t="n">
        <v>20.13</v>
      </c>
      <c r="H4103" s="63" t="n">
        <v>0.043</v>
      </c>
      <c r="I4103" s="62" t="n">
        <v>13.83</v>
      </c>
      <c r="J4103" s="58" t="inlineStr">
        <is>
          <t>Online</t>
        </is>
      </c>
      <c r="K4103" s="62">
        <f>F4103*(G4103-H4103)</f>
        <v/>
      </c>
      <c r="L4103" s="62">
        <f>K4103-(F4103*I4103)</f>
        <v/>
      </c>
      <c r="M4103" s="64">
        <f>L4103/K4103</f>
        <v/>
      </c>
    </row>
    <row r="4104">
      <c r="A4104" s="58" t="inlineStr">
        <is>
          <t>RT20250418-04103</t>
        </is>
      </c>
      <c r="B4104" s="59" t="inlineStr">
        <is>
          <t>2025-04-18</t>
        </is>
      </c>
      <c r="C4104" s="60" t="inlineStr">
        <is>
          <t>Solace Team Sport Max-548</t>
        </is>
      </c>
      <c r="D4104" s="58" t="inlineStr">
        <is>
          <t>Sports</t>
        </is>
      </c>
      <c r="E4104" s="58" t="inlineStr">
        <is>
          <t>Central</t>
        </is>
      </c>
      <c r="F4104" s="61" t="n">
        <v>1</v>
      </c>
      <c r="G4104" s="62" t="n">
        <v>732.37</v>
      </c>
      <c r="H4104" s="63" t="n">
        <v>0.08799999999999999</v>
      </c>
      <c r="I4104" s="62" t="n">
        <v>492.82</v>
      </c>
      <c r="J4104" s="58" t="inlineStr">
        <is>
          <t>Online</t>
        </is>
      </c>
      <c r="K4104" s="62">
        <f>F4104*(G4104-H4104)</f>
        <v/>
      </c>
      <c r="L4104" s="62">
        <f>K4104-(F4104*I4104)</f>
        <v/>
      </c>
      <c r="M4104" s="64">
        <f>L4104/K4104</f>
        <v/>
      </c>
    </row>
    <row r="4105">
      <c r="A4105" s="58" t="inlineStr">
        <is>
          <t>RT20250418-04104</t>
        </is>
      </c>
      <c r="B4105" s="59" t="inlineStr">
        <is>
          <t>2025-04-18</t>
        </is>
      </c>
      <c r="C4105" s="60" t="inlineStr">
        <is>
          <t>Vertex Accessorie Pro-881</t>
        </is>
      </c>
      <c r="D4105" s="58" t="inlineStr">
        <is>
          <t>Apparel</t>
        </is>
      </c>
      <c r="E4105" s="58" t="inlineStr">
        <is>
          <t>West</t>
        </is>
      </c>
      <c r="F4105" s="61" t="n">
        <v>3</v>
      </c>
      <c r="G4105" s="62" t="n">
        <v>109.02</v>
      </c>
      <c r="H4105" s="63" t="n">
        <v>0.076</v>
      </c>
      <c r="I4105" s="62" t="n">
        <v>62.33</v>
      </c>
      <c r="J4105" s="58" t="inlineStr">
        <is>
          <t>Online</t>
        </is>
      </c>
      <c r="K4105" s="62">
        <f>F4105*(G4105-H4105)</f>
        <v/>
      </c>
      <c r="L4105" s="62">
        <f>K4105-(F4105*I4105)</f>
        <v/>
      </c>
      <c r="M4105" s="64">
        <f>L4105/K4105</f>
        <v/>
      </c>
    </row>
    <row r="4106">
      <c r="A4106" s="58" t="inlineStr">
        <is>
          <t>RT20250418-04105</t>
        </is>
      </c>
      <c r="B4106" s="59" t="inlineStr">
        <is>
          <t>2025-04-18</t>
        </is>
      </c>
      <c r="C4106" s="60" t="inlineStr">
        <is>
          <t>Orion Kid Max-864</t>
        </is>
      </c>
      <c r="D4106" s="58" t="inlineStr">
        <is>
          <t>Apparel</t>
        </is>
      </c>
      <c r="E4106" s="58" t="inlineStr">
        <is>
          <t>Central</t>
        </is>
      </c>
      <c r="F4106" s="61" t="n">
        <v>2</v>
      </c>
      <c r="G4106" s="62" t="n">
        <v>82.36</v>
      </c>
      <c r="H4106" s="63" t="n">
        <v>0.098</v>
      </c>
      <c r="I4106" s="62" t="n">
        <v>46.24</v>
      </c>
      <c r="J4106" s="58" t="inlineStr">
        <is>
          <t>Store</t>
        </is>
      </c>
      <c r="K4106" s="62">
        <f>F4106*(G4106-H4106)</f>
        <v/>
      </c>
      <c r="L4106" s="62">
        <f>K4106-(F4106*I4106)</f>
        <v/>
      </c>
      <c r="M4106" s="64">
        <f>L4106/K4106</f>
        <v/>
      </c>
    </row>
    <row r="4107">
      <c r="A4107" s="58" t="inlineStr">
        <is>
          <t>RT20250418-04106</t>
        </is>
      </c>
      <c r="B4107" s="59" t="inlineStr">
        <is>
          <t>2025-04-18</t>
        </is>
      </c>
      <c r="C4107" s="60" t="inlineStr">
        <is>
          <t>Vertex Printer Max-692</t>
        </is>
      </c>
      <c r="D4107" s="58" t="inlineStr">
        <is>
          <t>Office</t>
        </is>
      </c>
      <c r="E4107" s="58" t="inlineStr">
        <is>
          <t>West</t>
        </is>
      </c>
      <c r="F4107" s="61" t="n">
        <v>2</v>
      </c>
      <c r="G4107" s="62" t="n">
        <v>165.03</v>
      </c>
      <c r="H4107" s="63" t="n">
        <v>0.067</v>
      </c>
      <c r="I4107" s="62" t="n">
        <v>122.53</v>
      </c>
      <c r="J4107" s="58" t="inlineStr">
        <is>
          <t>Online</t>
        </is>
      </c>
      <c r="K4107" s="62">
        <f>F4107*(G4107-H4107)</f>
        <v/>
      </c>
      <c r="L4107" s="62">
        <f>K4107-(F4107*I4107)</f>
        <v/>
      </c>
      <c r="M4107" s="64">
        <f>L4107/K4107</f>
        <v/>
      </c>
    </row>
    <row r="4108">
      <c r="A4108" s="58" t="inlineStr">
        <is>
          <t>RT20250418-04107</t>
        </is>
      </c>
      <c r="B4108" s="59" t="inlineStr">
        <is>
          <t>2025-04-18</t>
        </is>
      </c>
      <c r="C4108" s="60" t="inlineStr">
        <is>
          <t>Vertex Fitnes Pro-830</t>
        </is>
      </c>
      <c r="D4108" s="58" t="inlineStr">
        <is>
          <t>Sports</t>
        </is>
      </c>
      <c r="E4108" s="58" t="inlineStr">
        <is>
          <t>West</t>
        </is>
      </c>
      <c r="F4108" s="61" t="n">
        <v>2</v>
      </c>
      <c r="G4108" s="62" t="n">
        <v>788.83</v>
      </c>
      <c r="H4108" s="63" t="n">
        <v>0.053</v>
      </c>
      <c r="I4108" s="62" t="n">
        <v>488.51</v>
      </c>
      <c r="J4108" s="58" t="inlineStr">
        <is>
          <t>Online</t>
        </is>
      </c>
      <c r="K4108" s="62">
        <f>F4108*(G4108-H4108)</f>
        <v/>
      </c>
      <c r="L4108" s="62">
        <f>K4108-(F4108*I4108)</f>
        <v/>
      </c>
      <c r="M4108" s="64">
        <f>L4108/K4108</f>
        <v/>
      </c>
    </row>
    <row r="4109">
      <c r="A4109" s="58" t="inlineStr">
        <is>
          <t>RT20250418-04108</t>
        </is>
      </c>
      <c r="B4109" s="59" t="inlineStr">
        <is>
          <t>2025-04-18</t>
        </is>
      </c>
      <c r="C4109" s="60" t="inlineStr">
        <is>
          <t>Vertex Supplie Pro-786</t>
        </is>
      </c>
      <c r="D4109" s="58" t="inlineStr">
        <is>
          <t>Office</t>
        </is>
      </c>
      <c r="E4109" s="58" t="inlineStr">
        <is>
          <t>West</t>
        </is>
      </c>
      <c r="F4109" s="61" t="n">
        <v>2</v>
      </c>
      <c r="G4109" s="62" t="n">
        <v>401.88</v>
      </c>
      <c r="H4109" s="63" t="n">
        <v>0.052</v>
      </c>
      <c r="I4109" s="62" t="n">
        <v>288.36</v>
      </c>
      <c r="J4109" s="58" t="inlineStr">
        <is>
          <t>Online</t>
        </is>
      </c>
      <c r="K4109" s="62">
        <f>F4109*(G4109-H4109)</f>
        <v/>
      </c>
      <c r="L4109" s="62">
        <f>K4109-(F4109*I4109)</f>
        <v/>
      </c>
      <c r="M4109" s="64">
        <f>L4109/K4109</f>
        <v/>
      </c>
    </row>
    <row r="4110">
      <c r="A4110" s="58" t="inlineStr">
        <is>
          <t>RT20250418-04109</t>
        </is>
      </c>
      <c r="B4110" s="59" t="inlineStr">
        <is>
          <t>2025-04-18</t>
        </is>
      </c>
      <c r="C4110" s="60" t="inlineStr">
        <is>
          <t>Falcon Haircare Pro-980</t>
        </is>
      </c>
      <c r="D4110" s="58" t="inlineStr">
        <is>
          <t>Beauty</t>
        </is>
      </c>
      <c r="E4110" s="58" t="inlineStr">
        <is>
          <t>East</t>
        </is>
      </c>
      <c r="F4110" s="61" t="n">
        <v>3</v>
      </c>
      <c r="G4110" s="62" t="n">
        <v>95.43000000000001</v>
      </c>
      <c r="H4110" s="63" t="n">
        <v>0.034</v>
      </c>
      <c r="I4110" s="62" t="n">
        <v>57.59</v>
      </c>
      <c r="J4110" s="58" t="inlineStr">
        <is>
          <t>Online</t>
        </is>
      </c>
      <c r="K4110" s="62">
        <f>F4110*(G4110-H4110)</f>
        <v/>
      </c>
      <c r="L4110" s="62">
        <f>K4110-(F4110*I4110)</f>
        <v/>
      </c>
      <c r="M4110" s="64">
        <f>L4110/K4110</f>
        <v/>
      </c>
    </row>
    <row r="4111">
      <c r="A4111" s="58" t="inlineStr">
        <is>
          <t>RT20250418-04110</t>
        </is>
      </c>
      <c r="B4111" s="59" t="inlineStr">
        <is>
          <t>2025-04-18</t>
        </is>
      </c>
      <c r="C4111" s="60" t="inlineStr">
        <is>
          <t>Orion Team Sport X-926</t>
        </is>
      </c>
      <c r="D4111" s="58" t="inlineStr">
        <is>
          <t>Sports</t>
        </is>
      </c>
      <c r="E4111" s="58" t="inlineStr">
        <is>
          <t>East</t>
        </is>
      </c>
      <c r="F4111" s="61" t="n">
        <v>2</v>
      </c>
      <c r="G4111" s="62" t="n">
        <v>311.29</v>
      </c>
      <c r="H4111" s="63" t="n">
        <v>0.08500000000000001</v>
      </c>
      <c r="I4111" s="62" t="n">
        <v>209.2</v>
      </c>
      <c r="J4111" s="58" t="inlineStr">
        <is>
          <t>Store</t>
        </is>
      </c>
      <c r="K4111" s="62">
        <f>F4111*(G4111-H4111)</f>
        <v/>
      </c>
      <c r="L4111" s="62">
        <f>K4111-(F4111*I4111)</f>
        <v/>
      </c>
      <c r="M4111" s="64">
        <f>L4111/K4111</f>
        <v/>
      </c>
    </row>
    <row r="4112">
      <c r="A4112" s="58" t="inlineStr">
        <is>
          <t>RT20250418-04111</t>
        </is>
      </c>
      <c r="B4112" s="59" t="inlineStr">
        <is>
          <t>2025-04-18</t>
        </is>
      </c>
      <c r="C4112" s="60" t="inlineStr">
        <is>
          <t>Vertex Fitnes Pro-830</t>
        </is>
      </c>
      <c r="D4112" s="58" t="inlineStr">
        <is>
          <t>Sports</t>
        </is>
      </c>
      <c r="E4112" s="58" t="inlineStr">
        <is>
          <t>East</t>
        </is>
      </c>
      <c r="F4112" s="61" t="n">
        <v>3</v>
      </c>
      <c r="G4112" s="62" t="n">
        <v>697.23</v>
      </c>
      <c r="H4112" s="63" t="n">
        <v>0</v>
      </c>
      <c r="I4112" s="62" t="n">
        <v>465.12</v>
      </c>
      <c r="J4112" s="58" t="inlineStr">
        <is>
          <t>Online</t>
        </is>
      </c>
      <c r="K4112" s="62">
        <f>F4112*(G4112-H4112)</f>
        <v/>
      </c>
      <c r="L4112" s="62">
        <f>K4112-(F4112*I4112)</f>
        <v/>
      </c>
      <c r="M4112" s="64">
        <f>L4112/K4112</f>
        <v/>
      </c>
    </row>
    <row r="4113">
      <c r="A4113" s="58" t="inlineStr">
        <is>
          <t>RT20250418-04112</t>
        </is>
      </c>
      <c r="B4113" s="59" t="inlineStr">
        <is>
          <t>2025-04-18</t>
        </is>
      </c>
      <c r="C4113" s="60" t="inlineStr">
        <is>
          <t>Vertex Supplie X-513</t>
        </is>
      </c>
      <c r="D4113" s="58" t="inlineStr">
        <is>
          <t>Office</t>
        </is>
      </c>
      <c r="E4113" s="58" t="inlineStr">
        <is>
          <t>South</t>
        </is>
      </c>
      <c r="F4113" s="61" t="n">
        <v>1</v>
      </c>
      <c r="G4113" s="62" t="n">
        <v>411.02</v>
      </c>
      <c r="H4113" s="63" t="n">
        <v>0.093</v>
      </c>
      <c r="I4113" s="62" t="n">
        <v>283.77</v>
      </c>
      <c r="J4113" s="58" t="inlineStr">
        <is>
          <t>Online</t>
        </is>
      </c>
      <c r="K4113" s="62">
        <f>F4113*(G4113-H4113)</f>
        <v/>
      </c>
      <c r="L4113" s="62">
        <f>K4113-(F4113*I4113)</f>
        <v/>
      </c>
      <c r="M4113" s="64">
        <f>L4113/K4113</f>
        <v/>
      </c>
    </row>
    <row r="4114">
      <c r="A4114" s="58" t="inlineStr">
        <is>
          <t>RT20250418-04113</t>
        </is>
      </c>
      <c r="B4114" s="59" t="inlineStr">
        <is>
          <t>2025-04-18</t>
        </is>
      </c>
      <c r="C4114" s="60" t="inlineStr">
        <is>
          <t>Vertex Headphone Pro-801</t>
        </is>
      </c>
      <c r="D4114" s="58" t="inlineStr">
        <is>
          <t>Electronics</t>
        </is>
      </c>
      <c r="E4114" s="58" t="inlineStr">
        <is>
          <t>East</t>
        </is>
      </c>
      <c r="F4114" s="61" t="n">
        <v>2</v>
      </c>
      <c r="G4114" s="62" t="n">
        <v>1422.99</v>
      </c>
      <c r="H4114" s="63" t="n">
        <v>0.073</v>
      </c>
      <c r="I4114" s="62" t="n">
        <v>949.87</v>
      </c>
      <c r="J4114" s="58" t="inlineStr">
        <is>
          <t>Phone</t>
        </is>
      </c>
      <c r="K4114" s="62">
        <f>F4114*(G4114-H4114)</f>
        <v/>
      </c>
      <c r="L4114" s="62">
        <f>K4114-(F4114*I4114)</f>
        <v/>
      </c>
      <c r="M4114" s="64">
        <f>L4114/K4114</f>
        <v/>
      </c>
    </row>
    <row r="4115">
      <c r="A4115" s="58" t="inlineStr">
        <is>
          <t>RT20250418-04114</t>
        </is>
      </c>
      <c r="B4115" s="59" t="inlineStr">
        <is>
          <t>2025-04-18</t>
        </is>
      </c>
      <c r="C4115" s="60" t="inlineStr">
        <is>
          <t>Vertex Headphone Pro-801</t>
        </is>
      </c>
      <c r="D4115" s="58" t="inlineStr">
        <is>
          <t>Electronics</t>
        </is>
      </c>
      <c r="E4115" s="58" t="inlineStr">
        <is>
          <t>West</t>
        </is>
      </c>
      <c r="F4115" s="61" t="n">
        <v>1</v>
      </c>
      <c r="G4115" s="62" t="n">
        <v>1202.96</v>
      </c>
      <c r="H4115" s="63" t="n">
        <v>0.08500000000000001</v>
      </c>
      <c r="I4115" s="62" t="n">
        <v>965.3099999999999</v>
      </c>
      <c r="J4115" s="58" t="inlineStr">
        <is>
          <t>Online</t>
        </is>
      </c>
      <c r="K4115" s="62">
        <f>F4115*(G4115-H4115)</f>
        <v/>
      </c>
      <c r="L4115" s="62">
        <f>K4115-(F4115*I4115)</f>
        <v/>
      </c>
      <c r="M4115" s="64">
        <f>L4115/K4115</f>
        <v/>
      </c>
    </row>
    <row r="4116">
      <c r="A4116" s="58" t="inlineStr">
        <is>
          <t>RT20250418-04115</t>
        </is>
      </c>
      <c r="B4116" s="59" t="inlineStr">
        <is>
          <t>2025-04-18</t>
        </is>
      </c>
      <c r="C4116" s="60" t="inlineStr">
        <is>
          <t>Falcon Headphone Pro-713</t>
        </is>
      </c>
      <c r="D4116" s="58" t="inlineStr">
        <is>
          <t>Electronics</t>
        </is>
      </c>
      <c r="E4116" s="58" t="inlineStr">
        <is>
          <t>East</t>
        </is>
      </c>
      <c r="F4116" s="61" t="n">
        <v>1</v>
      </c>
      <c r="G4116" s="62" t="n">
        <v>1483.29</v>
      </c>
      <c r="H4116" s="63" t="n">
        <v>0.055</v>
      </c>
      <c r="I4116" s="62" t="n">
        <v>1169.42</v>
      </c>
      <c r="J4116" s="58" t="inlineStr">
        <is>
          <t>Online</t>
        </is>
      </c>
      <c r="K4116" s="62">
        <f>F4116*(G4116-H4116)</f>
        <v/>
      </c>
      <c r="L4116" s="62">
        <f>K4116-(F4116*I4116)</f>
        <v/>
      </c>
      <c r="M4116" s="64">
        <f>L4116/K4116</f>
        <v/>
      </c>
    </row>
    <row r="4117">
      <c r="A4117" s="58" t="inlineStr">
        <is>
          <t>RT20250418-04116</t>
        </is>
      </c>
      <c r="B4117" s="59" t="inlineStr">
        <is>
          <t>2025-04-18</t>
        </is>
      </c>
      <c r="C4117" s="60" t="inlineStr">
        <is>
          <t>Metro Pantry Max-180</t>
        </is>
      </c>
      <c r="D4117" s="58" t="inlineStr">
        <is>
          <t>Grocery</t>
        </is>
      </c>
      <c r="E4117" s="58" t="inlineStr">
        <is>
          <t>Central</t>
        </is>
      </c>
      <c r="F4117" s="61" t="n">
        <v>5</v>
      </c>
      <c r="G4117" s="62" t="n">
        <v>8.17</v>
      </c>
      <c r="H4117" s="63" t="n">
        <v>0.083</v>
      </c>
      <c r="I4117" s="62" t="n">
        <v>6.52</v>
      </c>
      <c r="J4117" s="58" t="inlineStr">
        <is>
          <t>Store</t>
        </is>
      </c>
      <c r="K4117" s="62">
        <f>F4117*(G4117-H4117)</f>
        <v/>
      </c>
      <c r="L4117" s="62">
        <f>K4117-(F4117*I4117)</f>
        <v/>
      </c>
      <c r="M4117" s="64">
        <f>L4117/K4117</f>
        <v/>
      </c>
    </row>
    <row r="4118">
      <c r="A4118" s="58" t="inlineStr">
        <is>
          <t>RT20250418-04117</t>
        </is>
      </c>
      <c r="B4118" s="59" t="inlineStr">
        <is>
          <t>2025-04-18</t>
        </is>
      </c>
      <c r="C4118" s="60" t="inlineStr">
        <is>
          <t>Solace Fitnes S-324</t>
        </is>
      </c>
      <c r="D4118" s="58" t="inlineStr">
        <is>
          <t>Sports</t>
        </is>
      </c>
      <c r="E4118" s="58" t="inlineStr">
        <is>
          <t>West</t>
        </is>
      </c>
      <c r="F4118" s="61" t="n">
        <v>1</v>
      </c>
      <c r="G4118" s="62" t="n">
        <v>713.62</v>
      </c>
      <c r="H4118" s="63" t="n">
        <v>0.066</v>
      </c>
      <c r="I4118" s="62" t="n">
        <v>517.6</v>
      </c>
      <c r="J4118" s="58" t="inlineStr">
        <is>
          <t>Store</t>
        </is>
      </c>
      <c r="K4118" s="62">
        <f>F4118*(G4118-H4118)</f>
        <v/>
      </c>
      <c r="L4118" s="62">
        <f>K4118-(F4118*I4118)</f>
        <v/>
      </c>
      <c r="M4118" s="64">
        <f>L4118/K4118</f>
        <v/>
      </c>
    </row>
    <row r="4119">
      <c r="A4119" s="58" t="inlineStr">
        <is>
          <t>RT20250418-04118</t>
        </is>
      </c>
      <c r="B4119" s="59" t="inlineStr">
        <is>
          <t>2025-04-18</t>
        </is>
      </c>
      <c r="C4119" s="60" t="inlineStr">
        <is>
          <t>Aurora Kid Plus-151</t>
        </is>
      </c>
      <c r="D4119" s="58" t="inlineStr">
        <is>
          <t>Apparel</t>
        </is>
      </c>
      <c r="E4119" s="58" t="inlineStr">
        <is>
          <t>West</t>
        </is>
      </c>
      <c r="F4119" s="61" t="n">
        <v>4</v>
      </c>
      <c r="G4119" s="62" t="n">
        <v>110.15</v>
      </c>
      <c r="H4119" s="63" t="n">
        <v>0.043</v>
      </c>
      <c r="I4119" s="62" t="n">
        <v>63.53</v>
      </c>
      <c r="J4119" s="58" t="inlineStr">
        <is>
          <t>Store</t>
        </is>
      </c>
      <c r="K4119" s="62">
        <f>F4119*(G4119-H4119)</f>
        <v/>
      </c>
      <c r="L4119" s="62">
        <f>K4119-(F4119*I4119)</f>
        <v/>
      </c>
      <c r="M4119" s="64">
        <f>L4119/K4119</f>
        <v/>
      </c>
    </row>
    <row r="4120">
      <c r="A4120" s="58" t="inlineStr">
        <is>
          <t>RT20250418-04119</t>
        </is>
      </c>
      <c r="B4120" s="59" t="inlineStr">
        <is>
          <t>2025-04-18</t>
        </is>
      </c>
      <c r="C4120" s="60" t="inlineStr">
        <is>
          <t>Polar Cycling X-649</t>
        </is>
      </c>
      <c r="D4120" s="58" t="inlineStr">
        <is>
          <t>Sports</t>
        </is>
      </c>
      <c r="E4120" s="58" t="inlineStr">
        <is>
          <t>Central</t>
        </is>
      </c>
      <c r="F4120" s="61" t="n">
        <v>1</v>
      </c>
      <c r="G4120" s="62" t="n">
        <v>499.54</v>
      </c>
      <c r="H4120" s="63" t="n">
        <v>0.114</v>
      </c>
      <c r="I4120" s="62" t="n">
        <v>370.92</v>
      </c>
      <c r="J4120" s="58" t="inlineStr">
        <is>
          <t>Online</t>
        </is>
      </c>
      <c r="K4120" s="62">
        <f>F4120*(G4120-H4120)</f>
        <v/>
      </c>
      <c r="L4120" s="62">
        <f>K4120-(F4120*I4120)</f>
        <v/>
      </c>
      <c r="M4120" s="64">
        <f>L4120/K4120</f>
        <v/>
      </c>
    </row>
    <row r="4121">
      <c r="A4121" s="58" t="inlineStr">
        <is>
          <t>RT20250418-04120</t>
        </is>
      </c>
      <c r="B4121" s="59" t="inlineStr">
        <is>
          <t>2025-04-18</t>
        </is>
      </c>
      <c r="C4121" s="60" t="inlineStr">
        <is>
          <t>Falcon Team Sport Lite-268</t>
        </is>
      </c>
      <c r="D4121" s="58" t="inlineStr">
        <is>
          <t>Sports</t>
        </is>
      </c>
      <c r="E4121" s="58" t="inlineStr">
        <is>
          <t>Central</t>
        </is>
      </c>
      <c r="F4121" s="61" t="n">
        <v>3</v>
      </c>
      <c r="G4121" s="62" t="n">
        <v>525.89</v>
      </c>
      <c r="H4121" s="63" t="n">
        <v>0.066</v>
      </c>
      <c r="I4121" s="62" t="n">
        <v>431.93</v>
      </c>
      <c r="J4121" s="58" t="inlineStr">
        <is>
          <t>Online</t>
        </is>
      </c>
      <c r="K4121" s="62">
        <f>F4121*(G4121-H4121)</f>
        <v/>
      </c>
      <c r="L4121" s="62">
        <f>K4121-(F4121*I4121)</f>
        <v/>
      </c>
      <c r="M4121" s="64">
        <f>L4121/K4121</f>
        <v/>
      </c>
    </row>
    <row r="4122">
      <c r="A4122" s="58" t="inlineStr">
        <is>
          <t>RT20250418-04121</t>
        </is>
      </c>
      <c r="B4122" s="59" t="inlineStr">
        <is>
          <t>2025-04-18</t>
        </is>
      </c>
      <c r="C4122" s="60" t="inlineStr">
        <is>
          <t>Aurora Kid Plus-151</t>
        </is>
      </c>
      <c r="D4122" s="58" t="inlineStr">
        <is>
          <t>Apparel</t>
        </is>
      </c>
      <c r="E4122" s="58" t="inlineStr">
        <is>
          <t>West</t>
        </is>
      </c>
      <c r="F4122" s="61" t="n">
        <v>2</v>
      </c>
      <c r="G4122" s="62" t="n">
        <v>115.07</v>
      </c>
      <c r="H4122" s="63" t="n">
        <v>0.029</v>
      </c>
      <c r="I4122" s="62" t="n">
        <v>65.59</v>
      </c>
      <c r="J4122" s="58" t="inlineStr">
        <is>
          <t>Store</t>
        </is>
      </c>
      <c r="K4122" s="62">
        <f>F4122*(G4122-H4122)</f>
        <v/>
      </c>
      <c r="L4122" s="62">
        <f>K4122-(F4122*I4122)</f>
        <v/>
      </c>
      <c r="M4122" s="64">
        <f>L4122/K4122</f>
        <v/>
      </c>
    </row>
    <row r="4123">
      <c r="A4123" s="58" t="inlineStr">
        <is>
          <t>RT20250418-04122</t>
        </is>
      </c>
      <c r="B4123" s="59" t="inlineStr">
        <is>
          <t>2025-04-18</t>
        </is>
      </c>
      <c r="C4123" s="60" t="inlineStr">
        <is>
          <t>Orion Laptop S-350</t>
        </is>
      </c>
      <c r="D4123" s="58" t="inlineStr">
        <is>
          <t>Electronics</t>
        </is>
      </c>
      <c r="E4123" s="58" t="inlineStr">
        <is>
          <t>East</t>
        </is>
      </c>
      <c r="F4123" s="61" t="n">
        <v>2</v>
      </c>
      <c r="G4123" s="62" t="n">
        <v>1418.24</v>
      </c>
      <c r="H4123" s="63" t="n">
        <v>0.089</v>
      </c>
      <c r="I4123" s="62" t="n">
        <v>1079.8</v>
      </c>
      <c r="J4123" s="58" t="inlineStr">
        <is>
          <t>Store</t>
        </is>
      </c>
      <c r="K4123" s="62">
        <f>F4123*(G4123-H4123)</f>
        <v/>
      </c>
      <c r="L4123" s="62">
        <f>K4123-(F4123*I4123)</f>
        <v/>
      </c>
      <c r="M4123" s="64">
        <f>L4123/K4123</f>
        <v/>
      </c>
    </row>
    <row r="4124">
      <c r="A4124" s="58" t="inlineStr">
        <is>
          <t>RT20250418-04123</t>
        </is>
      </c>
      <c r="B4124" s="59" t="inlineStr">
        <is>
          <t>2025-04-18</t>
        </is>
      </c>
      <c r="C4124" s="60" t="inlineStr">
        <is>
          <t>Solace Snack S-691</t>
        </is>
      </c>
      <c r="D4124" s="58" t="inlineStr">
        <is>
          <t>Grocery</t>
        </is>
      </c>
      <c r="E4124" s="58" t="inlineStr">
        <is>
          <t>East</t>
        </is>
      </c>
      <c r="F4124" s="61" t="n">
        <v>6</v>
      </c>
      <c r="G4124" s="62" t="n">
        <v>10.1</v>
      </c>
      <c r="H4124" s="63" t="n">
        <v>0.096</v>
      </c>
      <c r="I4124" s="62" t="n">
        <v>7.32</v>
      </c>
      <c r="J4124" s="58" t="inlineStr">
        <is>
          <t>Store</t>
        </is>
      </c>
      <c r="K4124" s="62">
        <f>F4124*(G4124-H4124)</f>
        <v/>
      </c>
      <c r="L4124" s="62">
        <f>K4124-(F4124*I4124)</f>
        <v/>
      </c>
      <c r="M4124" s="64">
        <f>L4124/K4124</f>
        <v/>
      </c>
    </row>
    <row r="4125">
      <c r="A4125" s="58" t="inlineStr">
        <is>
          <t>RT20250418-04124</t>
        </is>
      </c>
      <c r="B4125" s="59" t="inlineStr">
        <is>
          <t>2025-04-18</t>
        </is>
      </c>
      <c r="C4125" s="60" t="inlineStr">
        <is>
          <t>Falcon Haircare Pro-980</t>
        </is>
      </c>
      <c r="D4125" s="58" t="inlineStr">
        <is>
          <t>Beauty</t>
        </is>
      </c>
      <c r="E4125" s="58" t="inlineStr">
        <is>
          <t>South</t>
        </is>
      </c>
      <c r="F4125" s="61" t="n">
        <v>3</v>
      </c>
      <c r="G4125" s="62" t="n">
        <v>86.34</v>
      </c>
      <c r="H4125" s="63" t="n">
        <v>0.038</v>
      </c>
      <c r="I4125" s="62" t="n">
        <v>58.63</v>
      </c>
      <c r="J4125" s="58" t="inlineStr">
        <is>
          <t>Store</t>
        </is>
      </c>
      <c r="K4125" s="62">
        <f>F4125*(G4125-H4125)</f>
        <v/>
      </c>
      <c r="L4125" s="62">
        <f>K4125-(F4125*I4125)</f>
        <v/>
      </c>
      <c r="M4125" s="64">
        <f>L4125/K4125</f>
        <v/>
      </c>
    </row>
    <row r="4126">
      <c r="A4126" s="58" t="inlineStr">
        <is>
          <t>RT20250418-04125</t>
        </is>
      </c>
      <c r="B4126" s="59" t="inlineStr">
        <is>
          <t>2025-04-18</t>
        </is>
      </c>
      <c r="C4126" s="60" t="inlineStr">
        <is>
          <t>Nimbus Women Lite-814</t>
        </is>
      </c>
      <c r="D4126" s="58" t="inlineStr">
        <is>
          <t>Apparel</t>
        </is>
      </c>
      <c r="E4126" s="58" t="inlineStr">
        <is>
          <t>East</t>
        </is>
      </c>
      <c r="F4126" s="61" t="n">
        <v>1</v>
      </c>
      <c r="G4126" s="62" t="n">
        <v>163.23</v>
      </c>
      <c r="H4126" s="63" t="n">
        <v>0.047</v>
      </c>
      <c r="I4126" s="62" t="n">
        <v>83.98999999999999</v>
      </c>
      <c r="J4126" s="58" t="inlineStr">
        <is>
          <t>Store</t>
        </is>
      </c>
      <c r="K4126" s="62">
        <f>F4126*(G4126-H4126)</f>
        <v/>
      </c>
      <c r="L4126" s="62">
        <f>K4126-(F4126*I4126)</f>
        <v/>
      </c>
      <c r="M4126" s="64">
        <f>L4126/K4126</f>
        <v/>
      </c>
    </row>
    <row r="4127">
      <c r="A4127" s="58" t="inlineStr">
        <is>
          <t>RT20250418-04126</t>
        </is>
      </c>
      <c r="B4127" s="59" t="inlineStr">
        <is>
          <t>2025-04-18</t>
        </is>
      </c>
      <c r="C4127" s="60" t="inlineStr">
        <is>
          <t>Vertex Smartphone Lite-267</t>
        </is>
      </c>
      <c r="D4127" s="58" t="inlineStr">
        <is>
          <t>Electronics</t>
        </is>
      </c>
      <c r="E4127" s="58" t="inlineStr">
        <is>
          <t>South</t>
        </is>
      </c>
      <c r="F4127" s="61" t="n">
        <v>1</v>
      </c>
      <c r="G4127" s="62" t="n">
        <v>1219.99</v>
      </c>
      <c r="H4127" s="63" t="n">
        <v>0.106</v>
      </c>
      <c r="I4127" s="62" t="n">
        <v>955.77</v>
      </c>
      <c r="J4127" s="58" t="inlineStr">
        <is>
          <t>Online</t>
        </is>
      </c>
      <c r="K4127" s="62">
        <f>F4127*(G4127-H4127)</f>
        <v/>
      </c>
      <c r="L4127" s="62">
        <f>K4127-(F4127*I4127)</f>
        <v/>
      </c>
      <c r="M4127" s="64">
        <f>L4127/K4127</f>
        <v/>
      </c>
    </row>
    <row r="4128">
      <c r="A4128" s="58" t="inlineStr">
        <is>
          <t>RT20250419-04127</t>
        </is>
      </c>
      <c r="B4128" s="59" t="inlineStr">
        <is>
          <t>2025-04-19</t>
        </is>
      </c>
      <c r="C4128" s="60" t="inlineStr">
        <is>
          <t>Vertex Appliance S-159</t>
        </is>
      </c>
      <c r="D4128" s="58" t="inlineStr">
        <is>
          <t>Home</t>
        </is>
      </c>
      <c r="E4128" s="58" t="inlineStr">
        <is>
          <t>West</t>
        </is>
      </c>
      <c r="F4128" s="61" t="n">
        <v>2</v>
      </c>
      <c r="G4128" s="62" t="n">
        <v>454.74</v>
      </c>
      <c r="H4128" s="63" t="n">
        <v>0.078</v>
      </c>
      <c r="I4128" s="62" t="n">
        <v>299.22</v>
      </c>
      <c r="J4128" s="58" t="inlineStr">
        <is>
          <t>Store</t>
        </is>
      </c>
      <c r="K4128" s="62">
        <f>F4128*(G4128-H4128)</f>
        <v/>
      </c>
      <c r="L4128" s="62">
        <f>K4128-(F4128*I4128)</f>
        <v/>
      </c>
      <c r="M4128" s="64">
        <f>L4128/K4128</f>
        <v/>
      </c>
    </row>
    <row r="4129">
      <c r="A4129" s="58" t="inlineStr">
        <is>
          <t>RT20250419-04128</t>
        </is>
      </c>
      <c r="B4129" s="59" t="inlineStr">
        <is>
          <t>2025-04-19</t>
        </is>
      </c>
      <c r="C4129" s="60" t="inlineStr">
        <is>
          <t>Orion Team Sport X-926</t>
        </is>
      </c>
      <c r="D4129" s="58" t="inlineStr">
        <is>
          <t>Sports</t>
        </is>
      </c>
      <c r="E4129" s="58" t="inlineStr">
        <is>
          <t>South</t>
        </is>
      </c>
      <c r="F4129" s="61" t="n">
        <v>2</v>
      </c>
      <c r="G4129" s="62" t="n">
        <v>292.39</v>
      </c>
      <c r="H4129" s="63" t="n">
        <v>0.057</v>
      </c>
      <c r="I4129" s="62" t="n">
        <v>217.96</v>
      </c>
      <c r="J4129" s="58" t="inlineStr">
        <is>
          <t>Online</t>
        </is>
      </c>
      <c r="K4129" s="62">
        <f>F4129*(G4129-H4129)</f>
        <v/>
      </c>
      <c r="L4129" s="62">
        <f>K4129-(F4129*I4129)</f>
        <v/>
      </c>
      <c r="M4129" s="64">
        <f>L4129/K4129</f>
        <v/>
      </c>
    </row>
    <row r="4130">
      <c r="A4130" s="58" t="inlineStr">
        <is>
          <t>RT20250419-04129</t>
        </is>
      </c>
      <c r="B4130" s="59" t="inlineStr">
        <is>
          <t>2025-04-19</t>
        </is>
      </c>
      <c r="C4130" s="60" t="inlineStr">
        <is>
          <t>Metro Laptop Plus-376</t>
        </is>
      </c>
      <c r="D4130" s="58" t="inlineStr">
        <is>
          <t>Electronics</t>
        </is>
      </c>
      <c r="E4130" s="58" t="inlineStr">
        <is>
          <t>North</t>
        </is>
      </c>
      <c r="F4130" s="61" t="n">
        <v>2</v>
      </c>
      <c r="G4130" s="62" t="n">
        <v>1288.91</v>
      </c>
      <c r="H4130" s="63" t="n">
        <v>0.068</v>
      </c>
      <c r="I4130" s="62" t="n">
        <v>1034.59</v>
      </c>
      <c r="J4130" s="58" t="inlineStr">
        <is>
          <t>Online</t>
        </is>
      </c>
      <c r="K4130" s="62">
        <f>F4130*(G4130-H4130)</f>
        <v/>
      </c>
      <c r="L4130" s="62">
        <f>K4130-(F4130*I4130)</f>
        <v/>
      </c>
      <c r="M4130" s="64">
        <f>L4130/K4130</f>
        <v/>
      </c>
    </row>
    <row r="4131">
      <c r="A4131" s="58" t="inlineStr">
        <is>
          <t>RT20250419-04130</t>
        </is>
      </c>
      <c r="B4131" s="59" t="inlineStr">
        <is>
          <t>2025-04-19</t>
        </is>
      </c>
      <c r="C4131" s="60" t="inlineStr">
        <is>
          <t>Falcon Storage X-734</t>
        </is>
      </c>
      <c r="D4131" s="58" t="inlineStr">
        <is>
          <t>Office</t>
        </is>
      </c>
      <c r="E4131" s="58" t="inlineStr">
        <is>
          <t>East</t>
        </is>
      </c>
      <c r="F4131" s="61" t="n">
        <v>2</v>
      </c>
      <c r="G4131" s="62" t="n">
        <v>383.16</v>
      </c>
      <c r="H4131" s="63" t="n">
        <v>0</v>
      </c>
      <c r="I4131" s="62" t="n">
        <v>284.61</v>
      </c>
      <c r="J4131" s="58" t="inlineStr">
        <is>
          <t>Online</t>
        </is>
      </c>
      <c r="K4131" s="62">
        <f>F4131*(G4131-H4131)</f>
        <v/>
      </c>
      <c r="L4131" s="62">
        <f>K4131-(F4131*I4131)</f>
        <v/>
      </c>
      <c r="M4131" s="64">
        <f>L4131/K4131</f>
        <v/>
      </c>
    </row>
    <row r="4132">
      <c r="A4132" s="58" t="inlineStr">
        <is>
          <t>RT20250419-04131</t>
        </is>
      </c>
      <c r="B4132" s="59" t="inlineStr">
        <is>
          <t>2025-04-19</t>
        </is>
      </c>
      <c r="C4132" s="60" t="inlineStr">
        <is>
          <t>Vertex Headphone Pro-801</t>
        </is>
      </c>
      <c r="D4132" s="58" t="inlineStr">
        <is>
          <t>Electronics</t>
        </is>
      </c>
      <c r="E4132" s="58" t="inlineStr">
        <is>
          <t>East</t>
        </is>
      </c>
      <c r="F4132" s="61" t="n">
        <v>2</v>
      </c>
      <c r="G4132" s="62" t="n">
        <v>1293.56</v>
      </c>
      <c r="H4132" s="63" t="n">
        <v>0.042</v>
      </c>
      <c r="I4132" s="62" t="n">
        <v>996.48</v>
      </c>
      <c r="J4132" s="58" t="inlineStr">
        <is>
          <t>Store</t>
        </is>
      </c>
      <c r="K4132" s="62">
        <f>F4132*(G4132-H4132)</f>
        <v/>
      </c>
      <c r="L4132" s="62">
        <f>K4132-(F4132*I4132)</f>
        <v/>
      </c>
      <c r="M4132" s="64">
        <f>L4132/K4132</f>
        <v/>
      </c>
    </row>
    <row r="4133">
      <c r="A4133" s="58" t="inlineStr">
        <is>
          <t>RT20250419-04132</t>
        </is>
      </c>
      <c r="B4133" s="59" t="inlineStr">
        <is>
          <t>2025-04-19</t>
        </is>
      </c>
      <c r="C4133" s="60" t="inlineStr">
        <is>
          <t>Aurora Appliance Lite-109</t>
        </is>
      </c>
      <c r="D4133" s="58" t="inlineStr">
        <is>
          <t>Home</t>
        </is>
      </c>
      <c r="E4133" s="58" t="inlineStr">
        <is>
          <t>South</t>
        </is>
      </c>
      <c r="F4133" s="61" t="n">
        <v>1</v>
      </c>
      <c r="G4133" s="62" t="n">
        <v>302.5</v>
      </c>
      <c r="H4133" s="63" t="n">
        <v>0.108</v>
      </c>
      <c r="I4133" s="62" t="n">
        <v>207.56</v>
      </c>
      <c r="J4133" s="58" t="inlineStr">
        <is>
          <t>Store</t>
        </is>
      </c>
      <c r="K4133" s="62">
        <f>F4133*(G4133-H4133)</f>
        <v/>
      </c>
      <c r="L4133" s="62">
        <f>K4133-(F4133*I4133)</f>
        <v/>
      </c>
      <c r="M4133" s="64">
        <f>L4133/K4133</f>
        <v/>
      </c>
    </row>
    <row r="4134">
      <c r="A4134" s="58" t="inlineStr">
        <is>
          <t>RT20250419-04133</t>
        </is>
      </c>
      <c r="B4134" s="59" t="inlineStr">
        <is>
          <t>2025-04-19</t>
        </is>
      </c>
      <c r="C4134" s="60" t="inlineStr">
        <is>
          <t>Vertex Accessorie Pro-881</t>
        </is>
      </c>
      <c r="D4134" s="58" t="inlineStr">
        <is>
          <t>Apparel</t>
        </is>
      </c>
      <c r="E4134" s="58" t="inlineStr">
        <is>
          <t>South</t>
        </is>
      </c>
      <c r="F4134" s="61" t="n">
        <v>3</v>
      </c>
      <c r="G4134" s="62" t="n">
        <v>109.25</v>
      </c>
      <c r="H4134" s="63" t="n">
        <v>0.027</v>
      </c>
      <c r="I4134" s="62" t="n">
        <v>62.4</v>
      </c>
      <c r="J4134" s="58" t="inlineStr">
        <is>
          <t>Store</t>
        </is>
      </c>
      <c r="K4134" s="62">
        <f>F4134*(G4134-H4134)</f>
        <v/>
      </c>
      <c r="L4134" s="62">
        <f>K4134-(F4134*I4134)</f>
        <v/>
      </c>
      <c r="M4134" s="64">
        <f>L4134/K4134</f>
        <v/>
      </c>
    </row>
    <row r="4135">
      <c r="A4135" s="58" t="inlineStr">
        <is>
          <t>RT20250419-04134</t>
        </is>
      </c>
      <c r="B4135" s="59" t="inlineStr">
        <is>
          <t>2025-04-19</t>
        </is>
      </c>
      <c r="C4135" s="60" t="inlineStr">
        <is>
          <t>Aurora Outdoor Pro-467</t>
        </is>
      </c>
      <c r="D4135" s="58" t="inlineStr">
        <is>
          <t>Sports</t>
        </is>
      </c>
      <c r="E4135" s="58" t="inlineStr">
        <is>
          <t>West</t>
        </is>
      </c>
      <c r="F4135" s="61" t="n">
        <v>3</v>
      </c>
      <c r="G4135" s="62" t="n">
        <v>311.34</v>
      </c>
      <c r="H4135" s="63" t="n">
        <v>0.092</v>
      </c>
      <c r="I4135" s="62" t="n">
        <v>189.95</v>
      </c>
      <c r="J4135" s="58" t="inlineStr">
        <is>
          <t>Store</t>
        </is>
      </c>
      <c r="K4135" s="62">
        <f>F4135*(G4135-H4135)</f>
        <v/>
      </c>
      <c r="L4135" s="62">
        <f>K4135-(F4135*I4135)</f>
        <v/>
      </c>
      <c r="M4135" s="64">
        <f>L4135/K4135</f>
        <v/>
      </c>
    </row>
    <row r="4136">
      <c r="A4136" s="58" t="inlineStr">
        <is>
          <t>RT20250419-04135</t>
        </is>
      </c>
      <c r="B4136" s="59" t="inlineStr">
        <is>
          <t>2025-04-19</t>
        </is>
      </c>
      <c r="C4136" s="60" t="inlineStr">
        <is>
          <t>Polar Decor Plus-505</t>
        </is>
      </c>
      <c r="D4136" s="58" t="inlineStr">
        <is>
          <t>Home</t>
        </is>
      </c>
      <c r="E4136" s="58" t="inlineStr">
        <is>
          <t>South</t>
        </is>
      </c>
      <c r="F4136" s="61" t="n">
        <v>2</v>
      </c>
      <c r="G4136" s="62" t="n">
        <v>261.75</v>
      </c>
      <c r="H4136" s="63" t="n">
        <v>0.07199999999999999</v>
      </c>
      <c r="I4136" s="62" t="n">
        <v>195.43</v>
      </c>
      <c r="J4136" s="58" t="inlineStr">
        <is>
          <t>Online</t>
        </is>
      </c>
      <c r="K4136" s="62">
        <f>F4136*(G4136-H4136)</f>
        <v/>
      </c>
      <c r="L4136" s="62">
        <f>K4136-(F4136*I4136)</f>
        <v/>
      </c>
      <c r="M4136" s="64">
        <f>L4136/K4136</f>
        <v/>
      </c>
    </row>
    <row r="4137">
      <c r="A4137" s="58" t="inlineStr">
        <is>
          <t>RT20250419-04136</t>
        </is>
      </c>
      <c r="B4137" s="59" t="inlineStr">
        <is>
          <t>2025-04-19</t>
        </is>
      </c>
      <c r="C4137" s="60" t="inlineStr">
        <is>
          <t>Aurora Outdoor Pro-467</t>
        </is>
      </c>
      <c r="D4137" s="58" t="inlineStr">
        <is>
          <t>Sports</t>
        </is>
      </c>
      <c r="E4137" s="58" t="inlineStr">
        <is>
          <t>West</t>
        </is>
      </c>
      <c r="F4137" s="61" t="n">
        <v>1</v>
      </c>
      <c r="G4137" s="62" t="n">
        <v>269.81</v>
      </c>
      <c r="H4137" s="63" t="n">
        <v>0.036</v>
      </c>
      <c r="I4137" s="62" t="n">
        <v>190.8</v>
      </c>
      <c r="J4137" s="58" t="inlineStr">
        <is>
          <t>Store</t>
        </is>
      </c>
      <c r="K4137" s="62">
        <f>F4137*(G4137-H4137)</f>
        <v/>
      </c>
      <c r="L4137" s="62">
        <f>K4137-(F4137*I4137)</f>
        <v/>
      </c>
      <c r="M4137" s="64">
        <f>L4137/K4137</f>
        <v/>
      </c>
    </row>
    <row r="4138">
      <c r="A4138" s="58" t="inlineStr">
        <is>
          <t>RT20250419-04137</t>
        </is>
      </c>
      <c r="B4138" s="59" t="inlineStr">
        <is>
          <t>2025-04-19</t>
        </is>
      </c>
      <c r="C4138" s="60" t="inlineStr">
        <is>
          <t>Aurora Kid Plus-151</t>
        </is>
      </c>
      <c r="D4138" s="58" t="inlineStr">
        <is>
          <t>Apparel</t>
        </is>
      </c>
      <c r="E4138" s="58" t="inlineStr">
        <is>
          <t>Central</t>
        </is>
      </c>
      <c r="F4138" s="61" t="n">
        <v>1</v>
      </c>
      <c r="G4138" s="62" t="n">
        <v>109.73</v>
      </c>
      <c r="H4138" s="63" t="n">
        <v>0.033</v>
      </c>
      <c r="I4138" s="62" t="n">
        <v>66.52</v>
      </c>
      <c r="J4138" s="58" t="inlineStr">
        <is>
          <t>Online</t>
        </is>
      </c>
      <c r="K4138" s="62">
        <f>F4138*(G4138-H4138)</f>
        <v/>
      </c>
      <c r="L4138" s="62">
        <f>K4138-(F4138*I4138)</f>
        <v/>
      </c>
      <c r="M4138" s="64">
        <f>L4138/K4138</f>
        <v/>
      </c>
    </row>
    <row r="4139">
      <c r="A4139" s="58" t="inlineStr">
        <is>
          <t>RT20250419-04138</t>
        </is>
      </c>
      <c r="B4139" s="59" t="inlineStr">
        <is>
          <t>2025-04-19</t>
        </is>
      </c>
      <c r="C4139" s="60" t="inlineStr">
        <is>
          <t>Aurora Bedding Max-175</t>
        </is>
      </c>
      <c r="D4139" s="58" t="inlineStr">
        <is>
          <t>Home</t>
        </is>
      </c>
      <c r="E4139" s="58" t="inlineStr">
        <is>
          <t>Central</t>
        </is>
      </c>
      <c r="F4139" s="61" t="n">
        <v>3</v>
      </c>
      <c r="G4139" s="62" t="n">
        <v>610.34</v>
      </c>
      <c r="H4139" s="63" t="n">
        <v>0.007</v>
      </c>
      <c r="I4139" s="62" t="n">
        <v>413.29</v>
      </c>
      <c r="J4139" s="58" t="inlineStr">
        <is>
          <t>Store</t>
        </is>
      </c>
      <c r="K4139" s="62">
        <f>F4139*(G4139-H4139)</f>
        <v/>
      </c>
      <c r="L4139" s="62">
        <f>K4139-(F4139*I4139)</f>
        <v/>
      </c>
      <c r="M4139" s="64">
        <f>L4139/K4139</f>
        <v/>
      </c>
    </row>
    <row r="4140">
      <c r="A4140" s="58" t="inlineStr">
        <is>
          <t>RT20250419-04139</t>
        </is>
      </c>
      <c r="B4140" s="59" t="inlineStr">
        <is>
          <t>2025-04-19</t>
        </is>
      </c>
      <c r="C4140" s="60" t="inlineStr">
        <is>
          <t>Falcon Team Sport Lite-268</t>
        </is>
      </c>
      <c r="D4140" s="58" t="inlineStr">
        <is>
          <t>Sports</t>
        </is>
      </c>
      <c r="E4140" s="58" t="inlineStr">
        <is>
          <t>East</t>
        </is>
      </c>
      <c r="F4140" s="61" t="n">
        <v>2</v>
      </c>
      <c r="G4140" s="62" t="n">
        <v>659.15</v>
      </c>
      <c r="H4140" s="63" t="n">
        <v>0.08799999999999999</v>
      </c>
      <c r="I4140" s="62" t="n">
        <v>444.1</v>
      </c>
      <c r="J4140" s="58" t="inlineStr">
        <is>
          <t>Online</t>
        </is>
      </c>
      <c r="K4140" s="62">
        <f>F4140*(G4140-H4140)</f>
        <v/>
      </c>
      <c r="L4140" s="62">
        <f>K4140-(F4140*I4140)</f>
        <v/>
      </c>
      <c r="M4140" s="64">
        <f>L4140/K4140</f>
        <v/>
      </c>
    </row>
    <row r="4141">
      <c r="A4141" s="58" t="inlineStr">
        <is>
          <t>RT20250419-04140</t>
        </is>
      </c>
      <c r="B4141" s="59" t="inlineStr">
        <is>
          <t>2025-04-19</t>
        </is>
      </c>
      <c r="C4141" s="60" t="inlineStr">
        <is>
          <t>Falcon Wearable X-334</t>
        </is>
      </c>
      <c r="D4141" s="58" t="inlineStr">
        <is>
          <t>Electronics</t>
        </is>
      </c>
      <c r="E4141" s="58" t="inlineStr">
        <is>
          <t>Central</t>
        </is>
      </c>
      <c r="F4141" s="61" t="n">
        <v>2</v>
      </c>
      <c r="G4141" s="62" t="n">
        <v>1850.51</v>
      </c>
      <c r="H4141" s="63" t="n">
        <v>0.081</v>
      </c>
      <c r="I4141" s="62" t="n">
        <v>1526.15</v>
      </c>
      <c r="J4141" s="58" t="inlineStr">
        <is>
          <t>Store</t>
        </is>
      </c>
      <c r="K4141" s="62">
        <f>F4141*(G4141-H4141)</f>
        <v/>
      </c>
      <c r="L4141" s="62">
        <f>K4141-(F4141*I4141)</f>
        <v/>
      </c>
      <c r="M4141" s="64">
        <f>L4141/K4141</f>
        <v/>
      </c>
    </row>
    <row r="4142">
      <c r="A4142" s="58" t="inlineStr">
        <is>
          <t>RT20250419-04141</t>
        </is>
      </c>
      <c r="B4142" s="59" t="inlineStr">
        <is>
          <t>2025-04-19</t>
        </is>
      </c>
      <c r="C4142" s="60" t="inlineStr">
        <is>
          <t>Metro Pantry Max-180</t>
        </is>
      </c>
      <c r="D4142" s="58" t="inlineStr">
        <is>
          <t>Grocery</t>
        </is>
      </c>
      <c r="E4142" s="58" t="inlineStr">
        <is>
          <t>Central</t>
        </is>
      </c>
      <c r="F4142" s="61" t="n">
        <v>1</v>
      </c>
      <c r="G4142" s="62" t="n">
        <v>9.859999999999999</v>
      </c>
      <c r="H4142" s="63" t="n">
        <v>0</v>
      </c>
      <c r="I4142" s="62" t="n">
        <v>6.67</v>
      </c>
      <c r="J4142" s="58" t="inlineStr">
        <is>
          <t>Store</t>
        </is>
      </c>
      <c r="K4142" s="62">
        <f>F4142*(G4142-H4142)</f>
        <v/>
      </c>
      <c r="L4142" s="62">
        <f>K4142-(F4142*I4142)</f>
        <v/>
      </c>
      <c r="M4142" s="64">
        <f>L4142/K4142</f>
        <v/>
      </c>
    </row>
    <row r="4143">
      <c r="A4143" s="58" t="inlineStr">
        <is>
          <t>RT20250419-04142</t>
        </is>
      </c>
      <c r="B4143" s="59" t="inlineStr">
        <is>
          <t>2025-04-19</t>
        </is>
      </c>
      <c r="C4143" s="60" t="inlineStr">
        <is>
          <t>Solace Bedding Plus-317</t>
        </is>
      </c>
      <c r="D4143" s="58" t="inlineStr">
        <is>
          <t>Home</t>
        </is>
      </c>
      <c r="E4143" s="58" t="inlineStr">
        <is>
          <t>West</t>
        </is>
      </c>
      <c r="F4143" s="61" t="n">
        <v>1</v>
      </c>
      <c r="G4143" s="62" t="n">
        <v>571.5599999999999</v>
      </c>
      <c r="H4143" s="63" t="n">
        <v>0.118</v>
      </c>
      <c r="I4143" s="62" t="n">
        <v>379.39</v>
      </c>
      <c r="J4143" s="58" t="inlineStr">
        <is>
          <t>Store</t>
        </is>
      </c>
      <c r="K4143" s="62">
        <f>F4143*(G4143-H4143)</f>
        <v/>
      </c>
      <c r="L4143" s="62">
        <f>K4143-(F4143*I4143)</f>
        <v/>
      </c>
      <c r="M4143" s="64">
        <f>L4143/K4143</f>
        <v/>
      </c>
    </row>
    <row r="4144">
      <c r="A4144" s="58" t="inlineStr">
        <is>
          <t>RT20250419-04143</t>
        </is>
      </c>
      <c r="B4144" s="59" t="inlineStr">
        <is>
          <t>2025-04-19</t>
        </is>
      </c>
      <c r="C4144" s="60" t="inlineStr">
        <is>
          <t>Aurora Printer Plus-991</t>
        </is>
      </c>
      <c r="D4144" s="58" t="inlineStr">
        <is>
          <t>Office</t>
        </is>
      </c>
      <c r="E4144" s="58" t="inlineStr">
        <is>
          <t>South</t>
        </is>
      </c>
      <c r="F4144" s="61" t="n">
        <v>1</v>
      </c>
      <c r="G4144" s="62" t="n">
        <v>540.54</v>
      </c>
      <c r="H4144" s="63" t="n">
        <v>0.006</v>
      </c>
      <c r="I4144" s="62" t="n">
        <v>371.83</v>
      </c>
      <c r="J4144" s="58" t="inlineStr">
        <is>
          <t>Phone</t>
        </is>
      </c>
      <c r="K4144" s="62">
        <f>F4144*(G4144-H4144)</f>
        <v/>
      </c>
      <c r="L4144" s="62">
        <f>K4144-(F4144*I4144)</f>
        <v/>
      </c>
      <c r="M4144" s="64">
        <f>L4144/K4144</f>
        <v/>
      </c>
    </row>
    <row r="4145">
      <c r="A4145" s="58" t="inlineStr">
        <is>
          <t>RT20250419-04144</t>
        </is>
      </c>
      <c r="B4145" s="59" t="inlineStr">
        <is>
          <t>2025-04-19</t>
        </is>
      </c>
      <c r="C4145" s="60" t="inlineStr">
        <is>
          <t>Falcon Furniture Plus-839</t>
        </is>
      </c>
      <c r="D4145" s="58" t="inlineStr">
        <is>
          <t>Office</t>
        </is>
      </c>
      <c r="E4145" s="58" t="inlineStr">
        <is>
          <t>East</t>
        </is>
      </c>
      <c r="F4145" s="61" t="n">
        <v>3</v>
      </c>
      <c r="G4145" s="62" t="n">
        <v>300.16</v>
      </c>
      <c r="H4145" s="63" t="n">
        <v>0.07000000000000001</v>
      </c>
      <c r="I4145" s="62" t="n">
        <v>223.05</v>
      </c>
      <c r="J4145" s="58" t="inlineStr">
        <is>
          <t>Store</t>
        </is>
      </c>
      <c r="K4145" s="62">
        <f>F4145*(G4145-H4145)</f>
        <v/>
      </c>
      <c r="L4145" s="62">
        <f>K4145-(F4145*I4145)</f>
        <v/>
      </c>
      <c r="M4145" s="64">
        <f>L4145/K4145</f>
        <v/>
      </c>
    </row>
    <row r="4146">
      <c r="A4146" s="58" t="inlineStr">
        <is>
          <t>RT20250419-04145</t>
        </is>
      </c>
      <c r="B4146" s="59" t="inlineStr">
        <is>
          <t>2025-04-19</t>
        </is>
      </c>
      <c r="C4146" s="60" t="inlineStr">
        <is>
          <t>Polar Pantry Lite-392</t>
        </is>
      </c>
      <c r="D4146" s="58" t="inlineStr">
        <is>
          <t>Grocery</t>
        </is>
      </c>
      <c r="E4146" s="58" t="inlineStr">
        <is>
          <t>West</t>
        </is>
      </c>
      <c r="F4146" s="61" t="n">
        <v>8</v>
      </c>
      <c r="G4146" s="62" t="n">
        <v>6.52</v>
      </c>
      <c r="H4146" s="63" t="n">
        <v>0.062</v>
      </c>
      <c r="I4146" s="62" t="n">
        <v>4.42</v>
      </c>
      <c r="J4146" s="58" t="inlineStr">
        <is>
          <t>Store</t>
        </is>
      </c>
      <c r="K4146" s="62">
        <f>F4146*(G4146-H4146)</f>
        <v/>
      </c>
      <c r="L4146" s="62">
        <f>K4146-(F4146*I4146)</f>
        <v/>
      </c>
      <c r="M4146" s="64">
        <f>L4146/K4146</f>
        <v/>
      </c>
    </row>
    <row r="4147">
      <c r="A4147" s="58" t="inlineStr">
        <is>
          <t>RT20250419-04146</t>
        </is>
      </c>
      <c r="B4147" s="59" t="inlineStr">
        <is>
          <t>2025-04-19</t>
        </is>
      </c>
      <c r="C4147" s="60" t="inlineStr">
        <is>
          <t>Nimbus Fitnes Lite-516</t>
        </is>
      </c>
      <c r="D4147" s="58" t="inlineStr">
        <is>
          <t>Sports</t>
        </is>
      </c>
      <c r="E4147" s="58" t="inlineStr">
        <is>
          <t>West</t>
        </is>
      </c>
      <c r="F4147" s="61" t="n">
        <v>2</v>
      </c>
      <c r="G4147" s="62" t="n">
        <v>713.29</v>
      </c>
      <c r="H4147" s="63" t="n">
        <v>0.063</v>
      </c>
      <c r="I4147" s="62" t="n">
        <v>457.45</v>
      </c>
      <c r="J4147" s="58" t="inlineStr">
        <is>
          <t>Online</t>
        </is>
      </c>
      <c r="K4147" s="62">
        <f>F4147*(G4147-H4147)</f>
        <v/>
      </c>
      <c r="L4147" s="62">
        <f>K4147-(F4147*I4147)</f>
        <v/>
      </c>
      <c r="M4147" s="64">
        <f>L4147/K4147</f>
        <v/>
      </c>
    </row>
    <row r="4148">
      <c r="A4148" s="58" t="inlineStr">
        <is>
          <t>RT20250419-04147</t>
        </is>
      </c>
      <c r="B4148" s="59" t="inlineStr">
        <is>
          <t>2025-04-19</t>
        </is>
      </c>
      <c r="C4148" s="60" t="inlineStr">
        <is>
          <t>Vertex Supplie X-513</t>
        </is>
      </c>
      <c r="D4148" s="58" t="inlineStr">
        <is>
          <t>Office</t>
        </is>
      </c>
      <c r="E4148" s="58" t="inlineStr">
        <is>
          <t>East</t>
        </is>
      </c>
      <c r="F4148" s="61" t="n">
        <v>1</v>
      </c>
      <c r="G4148" s="62" t="n">
        <v>368.52</v>
      </c>
      <c r="H4148" s="63" t="n">
        <v>0.063</v>
      </c>
      <c r="I4148" s="62" t="n">
        <v>276.78</v>
      </c>
      <c r="J4148" s="58" t="inlineStr">
        <is>
          <t>Online</t>
        </is>
      </c>
      <c r="K4148" s="62">
        <f>F4148*(G4148-H4148)</f>
        <v/>
      </c>
      <c r="L4148" s="62">
        <f>K4148-(F4148*I4148)</f>
        <v/>
      </c>
      <c r="M4148" s="64">
        <f>L4148/K4148</f>
        <v/>
      </c>
    </row>
    <row r="4149">
      <c r="A4149" s="58" t="inlineStr">
        <is>
          <t>RT20250419-04148</t>
        </is>
      </c>
      <c r="B4149" s="59" t="inlineStr">
        <is>
          <t>2025-04-19</t>
        </is>
      </c>
      <c r="C4149" s="60" t="inlineStr">
        <is>
          <t>Vertex Skincare Pro-891</t>
        </is>
      </c>
      <c r="D4149" s="58" t="inlineStr">
        <is>
          <t>Beauty</t>
        </is>
      </c>
      <c r="E4149" s="58" t="inlineStr">
        <is>
          <t>East</t>
        </is>
      </c>
      <c r="F4149" s="61" t="n">
        <v>5</v>
      </c>
      <c r="G4149" s="62" t="n">
        <v>132.58</v>
      </c>
      <c r="H4149" s="63" t="n">
        <v>0.051</v>
      </c>
      <c r="I4149" s="62" t="n">
        <v>89.23999999999999</v>
      </c>
      <c r="J4149" s="58" t="inlineStr">
        <is>
          <t>Store</t>
        </is>
      </c>
      <c r="K4149" s="62">
        <f>F4149*(G4149-H4149)</f>
        <v/>
      </c>
      <c r="L4149" s="62">
        <f>K4149-(F4149*I4149)</f>
        <v/>
      </c>
      <c r="M4149" s="64">
        <f>L4149/K4149</f>
        <v/>
      </c>
    </row>
    <row r="4150">
      <c r="A4150" s="58" t="inlineStr">
        <is>
          <t>RT20250419-04149</t>
        </is>
      </c>
      <c r="B4150" s="59" t="inlineStr">
        <is>
          <t>2025-04-19</t>
        </is>
      </c>
      <c r="C4150" s="60" t="inlineStr">
        <is>
          <t>Vertex Headphone Pro-801</t>
        </is>
      </c>
      <c r="D4150" s="58" t="inlineStr">
        <is>
          <t>Electronics</t>
        </is>
      </c>
      <c r="E4150" s="58" t="inlineStr">
        <is>
          <t>South</t>
        </is>
      </c>
      <c r="F4150" s="61" t="n">
        <v>2</v>
      </c>
      <c r="G4150" s="62" t="n">
        <v>1325.86</v>
      </c>
      <c r="H4150" s="63" t="n">
        <v>0.008999999999999999</v>
      </c>
      <c r="I4150" s="62" t="n">
        <v>996.96</v>
      </c>
      <c r="J4150" s="58" t="inlineStr">
        <is>
          <t>Store</t>
        </is>
      </c>
      <c r="K4150" s="62">
        <f>F4150*(G4150-H4150)</f>
        <v/>
      </c>
      <c r="L4150" s="62">
        <f>K4150-(F4150*I4150)</f>
        <v/>
      </c>
      <c r="M4150" s="64">
        <f>L4150/K4150</f>
        <v/>
      </c>
    </row>
    <row r="4151">
      <c r="A4151" s="58" t="inlineStr">
        <is>
          <t>RT20250419-04150</t>
        </is>
      </c>
      <c r="B4151" s="59" t="inlineStr">
        <is>
          <t>2025-04-19</t>
        </is>
      </c>
      <c r="C4151" s="60" t="inlineStr">
        <is>
          <t>Falcon Bedding S-674</t>
        </is>
      </c>
      <c r="D4151" s="58" t="inlineStr">
        <is>
          <t>Home</t>
        </is>
      </c>
      <c r="E4151" s="58" t="inlineStr">
        <is>
          <t>West</t>
        </is>
      </c>
      <c r="F4151" s="61" t="n">
        <v>3</v>
      </c>
      <c r="G4151" s="62" t="n">
        <v>676.37</v>
      </c>
      <c r="H4151" s="63" t="n">
        <v>0</v>
      </c>
      <c r="I4151" s="62" t="n">
        <v>452.12</v>
      </c>
      <c r="J4151" s="58" t="inlineStr">
        <is>
          <t>Store</t>
        </is>
      </c>
      <c r="K4151" s="62">
        <f>F4151*(G4151-H4151)</f>
        <v/>
      </c>
      <c r="L4151" s="62">
        <f>K4151-(F4151*I4151)</f>
        <v/>
      </c>
      <c r="M4151" s="64">
        <f>L4151/K4151</f>
        <v/>
      </c>
    </row>
    <row r="4152">
      <c r="A4152" s="58" t="inlineStr">
        <is>
          <t>RT20250419-04151</t>
        </is>
      </c>
      <c r="B4152" s="59" t="inlineStr">
        <is>
          <t>2025-04-19</t>
        </is>
      </c>
      <c r="C4152" s="60" t="inlineStr">
        <is>
          <t>Vertex Smartphone Lite-267</t>
        </is>
      </c>
      <c r="D4152" s="58" t="inlineStr">
        <is>
          <t>Electronics</t>
        </is>
      </c>
      <c r="E4152" s="58" t="inlineStr">
        <is>
          <t>Central</t>
        </is>
      </c>
      <c r="F4152" s="61" t="n">
        <v>1</v>
      </c>
      <c r="G4152" s="62" t="n">
        <v>1263.84</v>
      </c>
      <c r="H4152" s="63" t="n">
        <v>0.037</v>
      </c>
      <c r="I4152" s="62" t="n">
        <v>968.96</v>
      </c>
      <c r="J4152" s="58" t="inlineStr">
        <is>
          <t>Online</t>
        </is>
      </c>
      <c r="K4152" s="62">
        <f>F4152*(G4152-H4152)</f>
        <v/>
      </c>
      <c r="L4152" s="62">
        <f>K4152-(F4152*I4152)</f>
        <v/>
      </c>
      <c r="M4152" s="64">
        <f>L4152/K4152</f>
        <v/>
      </c>
    </row>
    <row r="4153">
      <c r="A4153" s="58" t="inlineStr">
        <is>
          <t>RT20250419-04152</t>
        </is>
      </c>
      <c r="B4153" s="59" t="inlineStr">
        <is>
          <t>2025-04-19</t>
        </is>
      </c>
      <c r="C4153" s="60" t="inlineStr">
        <is>
          <t>Orion Team Sport X-926</t>
        </is>
      </c>
      <c r="D4153" s="58" t="inlineStr">
        <is>
          <t>Sports</t>
        </is>
      </c>
      <c r="E4153" s="58" t="inlineStr">
        <is>
          <t>East</t>
        </is>
      </c>
      <c r="F4153" s="61" t="n">
        <v>2</v>
      </c>
      <c r="G4153" s="62" t="n">
        <v>336.56</v>
      </c>
      <c r="H4153" s="63" t="n">
        <v>0.061</v>
      </c>
      <c r="I4153" s="62" t="n">
        <v>213.34</v>
      </c>
      <c r="J4153" s="58" t="inlineStr">
        <is>
          <t>Store</t>
        </is>
      </c>
      <c r="K4153" s="62">
        <f>F4153*(G4153-H4153)</f>
        <v/>
      </c>
      <c r="L4153" s="62">
        <f>K4153-(F4153*I4153)</f>
        <v/>
      </c>
      <c r="M4153" s="64">
        <f>L4153/K4153</f>
        <v/>
      </c>
    </row>
    <row r="4154">
      <c r="A4154" s="58" t="inlineStr">
        <is>
          <t>RT20250419-04153</t>
        </is>
      </c>
      <c r="B4154" s="59" t="inlineStr">
        <is>
          <t>2025-04-19</t>
        </is>
      </c>
      <c r="C4154" s="60" t="inlineStr">
        <is>
          <t>Vertex Furniture S-652</t>
        </is>
      </c>
      <c r="D4154" s="58" t="inlineStr">
        <is>
          <t>Office</t>
        </is>
      </c>
      <c r="E4154" s="58" t="inlineStr">
        <is>
          <t>Central</t>
        </is>
      </c>
      <c r="F4154" s="61" t="n">
        <v>3</v>
      </c>
      <c r="G4154" s="62" t="n">
        <v>359.27</v>
      </c>
      <c r="H4154" s="63" t="n">
        <v>0.033</v>
      </c>
      <c r="I4154" s="62" t="n">
        <v>266.68</v>
      </c>
      <c r="J4154" s="58" t="inlineStr">
        <is>
          <t>Online</t>
        </is>
      </c>
      <c r="K4154" s="62">
        <f>F4154*(G4154-H4154)</f>
        <v/>
      </c>
      <c r="L4154" s="62">
        <f>K4154-(F4154*I4154)</f>
        <v/>
      </c>
      <c r="M4154" s="64">
        <f>L4154/K4154</f>
        <v/>
      </c>
    </row>
    <row r="4155">
      <c r="A4155" s="58" t="inlineStr">
        <is>
          <t>RT20250419-04154</t>
        </is>
      </c>
      <c r="B4155" s="59" t="inlineStr">
        <is>
          <t>2025-04-19</t>
        </is>
      </c>
      <c r="C4155" s="60" t="inlineStr">
        <is>
          <t>Nimbus Furniture Pro-479</t>
        </is>
      </c>
      <c r="D4155" s="58" t="inlineStr">
        <is>
          <t>Office</t>
        </is>
      </c>
      <c r="E4155" s="58" t="inlineStr">
        <is>
          <t>East</t>
        </is>
      </c>
      <c r="F4155" s="61" t="n">
        <v>2</v>
      </c>
      <c r="G4155" s="62" t="n">
        <v>336.62</v>
      </c>
      <c r="H4155" s="63" t="n">
        <v>0.064</v>
      </c>
      <c r="I4155" s="62" t="n">
        <v>235.23</v>
      </c>
      <c r="J4155" s="58" t="inlineStr">
        <is>
          <t>Online</t>
        </is>
      </c>
      <c r="K4155" s="62">
        <f>F4155*(G4155-H4155)</f>
        <v/>
      </c>
      <c r="L4155" s="62">
        <f>K4155-(F4155*I4155)</f>
        <v/>
      </c>
      <c r="M4155" s="64">
        <f>L4155/K4155</f>
        <v/>
      </c>
    </row>
    <row r="4156">
      <c r="A4156" s="58" t="inlineStr">
        <is>
          <t>RT20250420-04155</t>
        </is>
      </c>
      <c r="B4156" s="59" t="inlineStr">
        <is>
          <t>2025-04-20</t>
        </is>
      </c>
      <c r="C4156" s="60" t="inlineStr">
        <is>
          <t>Falcon Team Sport Lite-268</t>
        </is>
      </c>
      <c r="D4156" s="58" t="inlineStr">
        <is>
          <t>Sports</t>
        </is>
      </c>
      <c r="E4156" s="58" t="inlineStr">
        <is>
          <t>South</t>
        </is>
      </c>
      <c r="F4156" s="61" t="n">
        <v>1</v>
      </c>
      <c r="G4156" s="62" t="n">
        <v>663</v>
      </c>
      <c r="H4156" s="63" t="n">
        <v>0.05</v>
      </c>
      <c r="I4156" s="62" t="n">
        <v>438.41</v>
      </c>
      <c r="J4156" s="58" t="inlineStr">
        <is>
          <t>Online</t>
        </is>
      </c>
      <c r="K4156" s="62">
        <f>F4156*(G4156-H4156)</f>
        <v/>
      </c>
      <c r="L4156" s="62">
        <f>K4156-(F4156*I4156)</f>
        <v/>
      </c>
      <c r="M4156" s="64">
        <f>L4156/K4156</f>
        <v/>
      </c>
    </row>
    <row r="4157">
      <c r="A4157" s="58" t="inlineStr">
        <is>
          <t>RT20250420-04156</t>
        </is>
      </c>
      <c r="B4157" s="59" t="inlineStr">
        <is>
          <t>2025-04-20</t>
        </is>
      </c>
      <c r="C4157" s="60" t="inlineStr">
        <is>
          <t>Polar Cycling X-649</t>
        </is>
      </c>
      <c r="D4157" s="58" t="inlineStr">
        <is>
          <t>Sports</t>
        </is>
      </c>
      <c r="E4157" s="58" t="inlineStr">
        <is>
          <t>East</t>
        </is>
      </c>
      <c r="F4157" s="61" t="n">
        <v>1</v>
      </c>
      <c r="G4157" s="62" t="n">
        <v>561.5</v>
      </c>
      <c r="H4157" s="63" t="n">
        <v>0.11</v>
      </c>
      <c r="I4157" s="62" t="n">
        <v>367.89</v>
      </c>
      <c r="J4157" s="58" t="inlineStr">
        <is>
          <t>Store</t>
        </is>
      </c>
      <c r="K4157" s="62">
        <f>F4157*(G4157-H4157)</f>
        <v/>
      </c>
      <c r="L4157" s="62">
        <f>K4157-(F4157*I4157)</f>
        <v/>
      </c>
      <c r="M4157" s="64">
        <f>L4157/K4157</f>
        <v/>
      </c>
    </row>
    <row r="4158">
      <c r="A4158" s="58" t="inlineStr">
        <is>
          <t>RT20250420-04157</t>
        </is>
      </c>
      <c r="B4158" s="59" t="inlineStr">
        <is>
          <t>2025-04-20</t>
        </is>
      </c>
      <c r="C4158" s="60" t="inlineStr">
        <is>
          <t>Orion Kitchen Pro-568</t>
        </is>
      </c>
      <c r="D4158" s="58" t="inlineStr">
        <is>
          <t>Home</t>
        </is>
      </c>
      <c r="E4158" s="58" t="inlineStr">
        <is>
          <t>East</t>
        </is>
      </c>
      <c r="F4158" s="61" t="n">
        <v>2</v>
      </c>
      <c r="G4158" s="62" t="n">
        <v>451.85</v>
      </c>
      <c r="H4158" s="63" t="n">
        <v>0.061</v>
      </c>
      <c r="I4158" s="62" t="n">
        <v>304.64</v>
      </c>
      <c r="J4158" s="58" t="inlineStr">
        <is>
          <t>Phone</t>
        </is>
      </c>
      <c r="K4158" s="62">
        <f>F4158*(G4158-H4158)</f>
        <v/>
      </c>
      <c r="L4158" s="62">
        <f>K4158-(F4158*I4158)</f>
        <v/>
      </c>
      <c r="M4158" s="64">
        <f>L4158/K4158</f>
        <v/>
      </c>
    </row>
    <row r="4159">
      <c r="A4159" s="58" t="inlineStr">
        <is>
          <t>RT20250420-04158</t>
        </is>
      </c>
      <c r="B4159" s="59" t="inlineStr">
        <is>
          <t>2025-04-20</t>
        </is>
      </c>
      <c r="C4159" s="60" t="inlineStr">
        <is>
          <t>Falcon Cycling Pro-499</t>
        </is>
      </c>
      <c r="D4159" s="58" t="inlineStr">
        <is>
          <t>Sports</t>
        </is>
      </c>
      <c r="E4159" s="58" t="inlineStr">
        <is>
          <t>South</t>
        </is>
      </c>
      <c r="F4159" s="61" t="n">
        <v>3</v>
      </c>
      <c r="G4159" s="62" t="n">
        <v>586.45</v>
      </c>
      <c r="H4159" s="63" t="n">
        <v>0.078</v>
      </c>
      <c r="I4159" s="62" t="n">
        <v>402.8</v>
      </c>
      <c r="J4159" s="58" t="inlineStr">
        <is>
          <t>Online</t>
        </is>
      </c>
      <c r="K4159" s="62">
        <f>F4159*(G4159-H4159)</f>
        <v/>
      </c>
      <c r="L4159" s="62">
        <f>K4159-(F4159*I4159)</f>
        <v/>
      </c>
      <c r="M4159" s="64">
        <f>L4159/K4159</f>
        <v/>
      </c>
    </row>
    <row r="4160">
      <c r="A4160" s="58" t="inlineStr">
        <is>
          <t>RT20250420-04159</t>
        </is>
      </c>
      <c r="B4160" s="59" t="inlineStr">
        <is>
          <t>2025-04-20</t>
        </is>
      </c>
      <c r="C4160" s="60" t="inlineStr">
        <is>
          <t>Metro Printer X-294</t>
        </is>
      </c>
      <c r="D4160" s="58" t="inlineStr">
        <is>
          <t>Office</t>
        </is>
      </c>
      <c r="E4160" s="58" t="inlineStr">
        <is>
          <t>East</t>
        </is>
      </c>
      <c r="F4160" s="61" t="n">
        <v>3</v>
      </c>
      <c r="G4160" s="62" t="n">
        <v>635.79</v>
      </c>
      <c r="H4160" s="63" t="n">
        <v>0.044</v>
      </c>
      <c r="I4160" s="62" t="n">
        <v>410.43</v>
      </c>
      <c r="J4160" s="58" t="inlineStr">
        <is>
          <t>Store</t>
        </is>
      </c>
      <c r="K4160" s="62">
        <f>F4160*(G4160-H4160)</f>
        <v/>
      </c>
      <c r="L4160" s="62">
        <f>K4160-(F4160*I4160)</f>
        <v/>
      </c>
      <c r="M4160" s="64">
        <f>L4160/K4160</f>
        <v/>
      </c>
    </row>
    <row r="4161">
      <c r="A4161" s="58" t="inlineStr">
        <is>
          <t>RT20250420-04160</t>
        </is>
      </c>
      <c r="B4161" s="59" t="inlineStr">
        <is>
          <t>2025-04-20</t>
        </is>
      </c>
      <c r="C4161" s="60" t="inlineStr">
        <is>
          <t>Aurora Bedding Plus-187</t>
        </is>
      </c>
      <c r="D4161" s="58" t="inlineStr">
        <is>
          <t>Home</t>
        </is>
      </c>
      <c r="E4161" s="58" t="inlineStr">
        <is>
          <t>Central</t>
        </is>
      </c>
      <c r="F4161" s="61" t="n">
        <v>1</v>
      </c>
      <c r="G4161" s="62" t="n">
        <v>244.04</v>
      </c>
      <c r="H4161" s="63" t="n">
        <v>0.09</v>
      </c>
      <c r="I4161" s="62" t="n">
        <v>207.52</v>
      </c>
      <c r="J4161" s="58" t="inlineStr">
        <is>
          <t>Phone</t>
        </is>
      </c>
      <c r="K4161" s="62">
        <f>F4161*(G4161-H4161)</f>
        <v/>
      </c>
      <c r="L4161" s="62">
        <f>K4161-(F4161*I4161)</f>
        <v/>
      </c>
      <c r="M4161" s="64">
        <f>L4161/K4161</f>
        <v/>
      </c>
    </row>
    <row r="4162">
      <c r="A4162" s="58" t="inlineStr">
        <is>
          <t>RT20250420-04161</t>
        </is>
      </c>
      <c r="B4162" s="59" t="inlineStr">
        <is>
          <t>2025-04-20</t>
        </is>
      </c>
      <c r="C4162" s="60" t="inlineStr">
        <is>
          <t>Solace Kid S-384</t>
        </is>
      </c>
      <c r="D4162" s="58" t="inlineStr">
        <is>
          <t>Apparel</t>
        </is>
      </c>
      <c r="E4162" s="58" t="inlineStr">
        <is>
          <t>West</t>
        </is>
      </c>
      <c r="F4162" s="61" t="n">
        <v>2</v>
      </c>
      <c r="G4162" s="62" t="n">
        <v>117.3</v>
      </c>
      <c r="H4162" s="63" t="n">
        <v>0.054</v>
      </c>
      <c r="I4162" s="62" t="n">
        <v>62.1</v>
      </c>
      <c r="J4162" s="58" t="inlineStr">
        <is>
          <t>Phone</t>
        </is>
      </c>
      <c r="K4162" s="62">
        <f>F4162*(G4162-H4162)</f>
        <v/>
      </c>
      <c r="L4162" s="62">
        <f>K4162-(F4162*I4162)</f>
        <v/>
      </c>
      <c r="M4162" s="64">
        <f>L4162/K4162</f>
        <v/>
      </c>
    </row>
    <row r="4163">
      <c r="A4163" s="58" t="inlineStr">
        <is>
          <t>RT20250420-04162</t>
        </is>
      </c>
      <c r="B4163" s="59" t="inlineStr">
        <is>
          <t>2025-04-20</t>
        </is>
      </c>
      <c r="C4163" s="60" t="inlineStr">
        <is>
          <t>Polar Beverage S-258</t>
        </is>
      </c>
      <c r="D4163" s="58" t="inlineStr">
        <is>
          <t>Grocery</t>
        </is>
      </c>
      <c r="E4163" s="58" t="inlineStr">
        <is>
          <t>South</t>
        </is>
      </c>
      <c r="F4163" s="61" t="n">
        <v>3</v>
      </c>
      <c r="G4163" s="62" t="n">
        <v>13.17</v>
      </c>
      <c r="H4163" s="63" t="n">
        <v>0.008999999999999999</v>
      </c>
      <c r="I4163" s="62" t="n">
        <v>9.470000000000001</v>
      </c>
      <c r="J4163" s="58" t="inlineStr">
        <is>
          <t>Online</t>
        </is>
      </c>
      <c r="K4163" s="62">
        <f>F4163*(G4163-H4163)</f>
        <v/>
      </c>
      <c r="L4163" s="62">
        <f>K4163-(F4163*I4163)</f>
        <v/>
      </c>
      <c r="M4163" s="64">
        <f>L4163/K4163</f>
        <v/>
      </c>
    </row>
    <row r="4164">
      <c r="A4164" s="58" t="inlineStr">
        <is>
          <t>RT20250420-04163</t>
        </is>
      </c>
      <c r="B4164" s="59" t="inlineStr">
        <is>
          <t>2025-04-20</t>
        </is>
      </c>
      <c r="C4164" s="60" t="inlineStr">
        <is>
          <t>Polar Men Pro-246</t>
        </is>
      </c>
      <c r="D4164" s="58" t="inlineStr">
        <is>
          <t>Apparel</t>
        </is>
      </c>
      <c r="E4164" s="58" t="inlineStr">
        <is>
          <t>East</t>
        </is>
      </c>
      <c r="F4164" s="61" t="n">
        <v>2</v>
      </c>
      <c r="G4164" s="62" t="n">
        <v>139.63</v>
      </c>
      <c r="H4164" s="63" t="n">
        <v>0.023</v>
      </c>
      <c r="I4164" s="62" t="n">
        <v>77.06</v>
      </c>
      <c r="J4164" s="58" t="inlineStr">
        <is>
          <t>Store</t>
        </is>
      </c>
      <c r="K4164" s="62">
        <f>F4164*(G4164-H4164)</f>
        <v/>
      </c>
      <c r="L4164" s="62">
        <f>K4164-(F4164*I4164)</f>
        <v/>
      </c>
      <c r="M4164" s="64">
        <f>L4164/K4164</f>
        <v/>
      </c>
    </row>
    <row r="4165">
      <c r="A4165" s="58" t="inlineStr">
        <is>
          <t>RT20250420-04164</t>
        </is>
      </c>
      <c r="B4165" s="59" t="inlineStr">
        <is>
          <t>2025-04-20</t>
        </is>
      </c>
      <c r="C4165" s="60" t="inlineStr">
        <is>
          <t>Aurora Bedding Plus-187</t>
        </is>
      </c>
      <c r="D4165" s="58" t="inlineStr">
        <is>
          <t>Home</t>
        </is>
      </c>
      <c r="E4165" s="58" t="inlineStr">
        <is>
          <t>West</t>
        </is>
      </c>
      <c r="F4165" s="61" t="n">
        <v>3</v>
      </c>
      <c r="G4165" s="62" t="n">
        <v>342.97</v>
      </c>
      <c r="H4165" s="63" t="n">
        <v>0.07099999999999999</v>
      </c>
      <c r="I4165" s="62" t="n">
        <v>205.22</v>
      </c>
      <c r="J4165" s="58" t="inlineStr">
        <is>
          <t>Phone</t>
        </is>
      </c>
      <c r="K4165" s="62">
        <f>F4165*(G4165-H4165)</f>
        <v/>
      </c>
      <c r="L4165" s="62">
        <f>K4165-(F4165*I4165)</f>
        <v/>
      </c>
      <c r="M4165" s="64">
        <f>L4165/K4165</f>
        <v/>
      </c>
    </row>
    <row r="4166">
      <c r="A4166" s="58" t="inlineStr">
        <is>
          <t>RT20250420-04165</t>
        </is>
      </c>
      <c r="B4166" s="59" t="inlineStr">
        <is>
          <t>2025-04-20</t>
        </is>
      </c>
      <c r="C4166" s="60" t="inlineStr">
        <is>
          <t>Polar Cycling X-649</t>
        </is>
      </c>
      <c r="D4166" s="58" t="inlineStr">
        <is>
          <t>Sports</t>
        </is>
      </c>
      <c r="E4166" s="58" t="inlineStr">
        <is>
          <t>Central</t>
        </is>
      </c>
      <c r="F4166" s="61" t="n">
        <v>3</v>
      </c>
      <c r="G4166" s="62" t="n">
        <v>504.13</v>
      </c>
      <c r="H4166" s="63" t="n">
        <v>0.013</v>
      </c>
      <c r="I4166" s="62" t="n">
        <v>367.83</v>
      </c>
      <c r="J4166" s="58" t="inlineStr">
        <is>
          <t>Online</t>
        </is>
      </c>
      <c r="K4166" s="62">
        <f>F4166*(G4166-H4166)</f>
        <v/>
      </c>
      <c r="L4166" s="62">
        <f>K4166-(F4166*I4166)</f>
        <v/>
      </c>
      <c r="M4166" s="64">
        <f>L4166/K4166</f>
        <v/>
      </c>
    </row>
    <row r="4167">
      <c r="A4167" s="58" t="inlineStr">
        <is>
          <t>RT20250420-04166</t>
        </is>
      </c>
      <c r="B4167" s="59" t="inlineStr">
        <is>
          <t>2025-04-20</t>
        </is>
      </c>
      <c r="C4167" s="60" t="inlineStr">
        <is>
          <t>Aurora Printer Plus-991</t>
        </is>
      </c>
      <c r="D4167" s="58" t="inlineStr">
        <is>
          <t>Office</t>
        </is>
      </c>
      <c r="E4167" s="58" t="inlineStr">
        <is>
          <t>West</t>
        </is>
      </c>
      <c r="F4167" s="61" t="n">
        <v>3</v>
      </c>
      <c r="G4167" s="62" t="n">
        <v>470.85</v>
      </c>
      <c r="H4167" s="63" t="n">
        <v>0.067</v>
      </c>
      <c r="I4167" s="62" t="n">
        <v>366.39</v>
      </c>
      <c r="J4167" s="58" t="inlineStr">
        <is>
          <t>Store</t>
        </is>
      </c>
      <c r="K4167" s="62">
        <f>F4167*(G4167-H4167)</f>
        <v/>
      </c>
      <c r="L4167" s="62">
        <f>K4167-(F4167*I4167)</f>
        <v/>
      </c>
      <c r="M4167" s="64">
        <f>L4167/K4167</f>
        <v/>
      </c>
    </row>
    <row r="4168">
      <c r="A4168" s="58" t="inlineStr">
        <is>
          <t>RT20250420-04167</t>
        </is>
      </c>
      <c r="B4168" s="59" t="inlineStr">
        <is>
          <t>2025-04-20</t>
        </is>
      </c>
      <c r="C4168" s="60" t="inlineStr">
        <is>
          <t>Solace Kid S-384</t>
        </is>
      </c>
      <c r="D4168" s="58" t="inlineStr">
        <is>
          <t>Apparel</t>
        </is>
      </c>
      <c r="E4168" s="58" t="inlineStr">
        <is>
          <t>East</t>
        </is>
      </c>
      <c r="F4168" s="61" t="n">
        <v>1</v>
      </c>
      <c r="G4168" s="62" t="n">
        <v>117.83</v>
      </c>
      <c r="H4168" s="63" t="n">
        <v>0.08699999999999999</v>
      </c>
      <c r="I4168" s="62" t="n">
        <v>60.95</v>
      </c>
      <c r="J4168" s="58" t="inlineStr">
        <is>
          <t>Online</t>
        </is>
      </c>
      <c r="K4168" s="62">
        <f>F4168*(G4168-H4168)</f>
        <v/>
      </c>
      <c r="L4168" s="62">
        <f>K4168-(F4168*I4168)</f>
        <v/>
      </c>
      <c r="M4168" s="64">
        <f>L4168/K4168</f>
        <v/>
      </c>
    </row>
    <row r="4169">
      <c r="A4169" s="58" t="inlineStr">
        <is>
          <t>RT20250420-04168</t>
        </is>
      </c>
      <c r="B4169" s="59" t="inlineStr">
        <is>
          <t>2025-04-20</t>
        </is>
      </c>
      <c r="C4169" s="60" t="inlineStr">
        <is>
          <t>Falcon Bedding S-674</t>
        </is>
      </c>
      <c r="D4169" s="58" t="inlineStr">
        <is>
          <t>Home</t>
        </is>
      </c>
      <c r="E4169" s="58" t="inlineStr">
        <is>
          <t>East</t>
        </is>
      </c>
      <c r="F4169" s="61" t="n">
        <v>2</v>
      </c>
      <c r="G4169" s="62" t="n">
        <v>640.2</v>
      </c>
      <c r="H4169" s="63" t="n">
        <v>0.101</v>
      </c>
      <c r="I4169" s="62" t="n">
        <v>451.4</v>
      </c>
      <c r="J4169" s="58" t="inlineStr">
        <is>
          <t>Store</t>
        </is>
      </c>
      <c r="K4169" s="62">
        <f>F4169*(G4169-H4169)</f>
        <v/>
      </c>
      <c r="L4169" s="62">
        <f>K4169-(F4169*I4169)</f>
        <v/>
      </c>
      <c r="M4169" s="64">
        <f>L4169/K4169</f>
        <v/>
      </c>
    </row>
    <row r="4170">
      <c r="A4170" s="58" t="inlineStr">
        <is>
          <t>RT20250420-04169</t>
        </is>
      </c>
      <c r="B4170" s="59" t="inlineStr">
        <is>
          <t>2025-04-20</t>
        </is>
      </c>
      <c r="C4170" s="60" t="inlineStr">
        <is>
          <t>Metro Wearable Plus-234</t>
        </is>
      </c>
      <c r="D4170" s="58" t="inlineStr">
        <is>
          <t>Electronics</t>
        </is>
      </c>
      <c r="E4170" s="58" t="inlineStr">
        <is>
          <t>South</t>
        </is>
      </c>
      <c r="F4170" s="61" t="n">
        <v>1</v>
      </c>
      <c r="G4170" s="62" t="n">
        <v>1697.24</v>
      </c>
      <c r="H4170" s="63" t="n">
        <v>0.08599999999999999</v>
      </c>
      <c r="I4170" s="62" t="n">
        <v>1202.9</v>
      </c>
      <c r="J4170" s="58" t="inlineStr">
        <is>
          <t>Store</t>
        </is>
      </c>
      <c r="K4170" s="62">
        <f>F4170*(G4170-H4170)</f>
        <v/>
      </c>
      <c r="L4170" s="62">
        <f>K4170-(F4170*I4170)</f>
        <v/>
      </c>
      <c r="M4170" s="64">
        <f>L4170/K4170</f>
        <v/>
      </c>
    </row>
    <row r="4171">
      <c r="A4171" s="58" t="inlineStr">
        <is>
          <t>RT20250420-04170</t>
        </is>
      </c>
      <c r="B4171" s="59" t="inlineStr">
        <is>
          <t>2025-04-20</t>
        </is>
      </c>
      <c r="C4171" s="60" t="inlineStr">
        <is>
          <t>Nimbus Furniture Pro-479</t>
        </is>
      </c>
      <c r="D4171" s="58" t="inlineStr">
        <is>
          <t>Office</t>
        </is>
      </c>
      <c r="E4171" s="58" t="inlineStr">
        <is>
          <t>Central</t>
        </is>
      </c>
      <c r="F4171" s="61" t="n">
        <v>2</v>
      </c>
      <c r="G4171" s="62" t="n">
        <v>331.78</v>
      </c>
      <c r="H4171" s="63" t="n">
        <v>0.043</v>
      </c>
      <c r="I4171" s="62" t="n">
        <v>246.04</v>
      </c>
      <c r="J4171" s="58" t="inlineStr">
        <is>
          <t>Store</t>
        </is>
      </c>
      <c r="K4171" s="62">
        <f>F4171*(G4171-H4171)</f>
        <v/>
      </c>
      <c r="L4171" s="62">
        <f>K4171-(F4171*I4171)</f>
        <v/>
      </c>
      <c r="M4171" s="64">
        <f>L4171/K4171</f>
        <v/>
      </c>
    </row>
    <row r="4172">
      <c r="A4172" s="58" t="inlineStr">
        <is>
          <t>RT20250420-04171</t>
        </is>
      </c>
      <c r="B4172" s="59" t="inlineStr">
        <is>
          <t>2025-04-20</t>
        </is>
      </c>
      <c r="C4172" s="60" t="inlineStr">
        <is>
          <t>Polar Decor Plus-505</t>
        </is>
      </c>
      <c r="D4172" s="58" t="inlineStr">
        <is>
          <t>Home</t>
        </is>
      </c>
      <c r="E4172" s="58" t="inlineStr">
        <is>
          <t>Central</t>
        </is>
      </c>
      <c r="F4172" s="61" t="n">
        <v>3</v>
      </c>
      <c r="G4172" s="62" t="n">
        <v>309.28</v>
      </c>
      <c r="H4172" s="63" t="n">
        <v>0.059</v>
      </c>
      <c r="I4172" s="62" t="n">
        <v>196.78</v>
      </c>
      <c r="J4172" s="58" t="inlineStr">
        <is>
          <t>Phone</t>
        </is>
      </c>
      <c r="K4172" s="62">
        <f>F4172*(G4172-H4172)</f>
        <v/>
      </c>
      <c r="L4172" s="62">
        <f>K4172-(F4172*I4172)</f>
        <v/>
      </c>
      <c r="M4172" s="64">
        <f>L4172/K4172</f>
        <v/>
      </c>
    </row>
    <row r="4173">
      <c r="A4173" s="58" t="inlineStr">
        <is>
          <t>RT20250420-04172</t>
        </is>
      </c>
      <c r="B4173" s="59" t="inlineStr">
        <is>
          <t>2025-04-20</t>
        </is>
      </c>
      <c r="C4173" s="60" t="inlineStr">
        <is>
          <t>Nimbus Headphone X-854</t>
        </is>
      </c>
      <c r="D4173" s="58" t="inlineStr">
        <is>
          <t>Electronics</t>
        </is>
      </c>
      <c r="E4173" s="58" t="inlineStr">
        <is>
          <t>East</t>
        </is>
      </c>
      <c r="F4173" s="61" t="n">
        <v>2</v>
      </c>
      <c r="G4173" s="62" t="n">
        <v>1554.94</v>
      </c>
      <c r="H4173" s="63" t="n">
        <v>0.076</v>
      </c>
      <c r="I4173" s="62" t="n">
        <v>1248.75</v>
      </c>
      <c r="J4173" s="58" t="inlineStr">
        <is>
          <t>Store</t>
        </is>
      </c>
      <c r="K4173" s="62">
        <f>F4173*(G4173-H4173)</f>
        <v/>
      </c>
      <c r="L4173" s="62">
        <f>K4173-(F4173*I4173)</f>
        <v/>
      </c>
      <c r="M4173" s="64">
        <f>L4173/K4173</f>
        <v/>
      </c>
    </row>
    <row r="4174">
      <c r="A4174" s="58" t="inlineStr">
        <is>
          <t>RT20250420-04173</t>
        </is>
      </c>
      <c r="B4174" s="59" t="inlineStr">
        <is>
          <t>2025-04-20</t>
        </is>
      </c>
      <c r="C4174" s="60" t="inlineStr">
        <is>
          <t>Aurora Makeup S-626</t>
        </is>
      </c>
      <c r="D4174" s="58" t="inlineStr">
        <is>
          <t>Beauty</t>
        </is>
      </c>
      <c r="E4174" s="58" t="inlineStr">
        <is>
          <t>Central</t>
        </is>
      </c>
      <c r="F4174" s="61" t="n">
        <v>1</v>
      </c>
      <c r="G4174" s="62" t="n">
        <v>94.38</v>
      </c>
      <c r="H4174" s="63" t="n">
        <v>0.033</v>
      </c>
      <c r="I4174" s="62" t="n">
        <v>62.17</v>
      </c>
      <c r="J4174" s="58" t="inlineStr">
        <is>
          <t>Online</t>
        </is>
      </c>
      <c r="K4174" s="62">
        <f>F4174*(G4174-H4174)</f>
        <v/>
      </c>
      <c r="L4174" s="62">
        <f>K4174-(F4174*I4174)</f>
        <v/>
      </c>
      <c r="M4174" s="64">
        <f>L4174/K4174</f>
        <v/>
      </c>
    </row>
    <row r="4175">
      <c r="A4175" s="58" t="inlineStr">
        <is>
          <t>RT20250420-04174</t>
        </is>
      </c>
      <c r="B4175" s="59" t="inlineStr">
        <is>
          <t>2025-04-20</t>
        </is>
      </c>
      <c r="C4175" s="60" t="inlineStr">
        <is>
          <t>Falcon Team Sport Lite-268</t>
        </is>
      </c>
      <c r="D4175" s="58" t="inlineStr">
        <is>
          <t>Sports</t>
        </is>
      </c>
      <c r="E4175" s="58" t="inlineStr">
        <is>
          <t>West</t>
        </is>
      </c>
      <c r="F4175" s="61" t="n">
        <v>1</v>
      </c>
      <c r="G4175" s="62" t="n">
        <v>629.29</v>
      </c>
      <c r="H4175" s="63" t="n">
        <v>0.064</v>
      </c>
      <c r="I4175" s="62" t="n">
        <v>426.35</v>
      </c>
      <c r="J4175" s="58" t="inlineStr">
        <is>
          <t>Online</t>
        </is>
      </c>
      <c r="K4175" s="62">
        <f>F4175*(G4175-H4175)</f>
        <v/>
      </c>
      <c r="L4175" s="62">
        <f>K4175-(F4175*I4175)</f>
        <v/>
      </c>
      <c r="M4175" s="64">
        <f>L4175/K4175</f>
        <v/>
      </c>
    </row>
    <row r="4176">
      <c r="A4176" s="58" t="inlineStr">
        <is>
          <t>RT20250420-04175</t>
        </is>
      </c>
      <c r="B4176" s="59" t="inlineStr">
        <is>
          <t>2025-04-20</t>
        </is>
      </c>
      <c r="C4176" s="60" t="inlineStr">
        <is>
          <t>Aurora Outdoor Pro-467</t>
        </is>
      </c>
      <c r="D4176" s="58" t="inlineStr">
        <is>
          <t>Sports</t>
        </is>
      </c>
      <c r="E4176" s="58" t="inlineStr">
        <is>
          <t>East</t>
        </is>
      </c>
      <c r="F4176" s="61" t="n">
        <v>1</v>
      </c>
      <c r="G4176" s="62" t="n">
        <v>294.47</v>
      </c>
      <c r="H4176" s="63" t="n">
        <v>0.028</v>
      </c>
      <c r="I4176" s="62" t="n">
        <v>193.05</v>
      </c>
      <c r="J4176" s="58" t="inlineStr">
        <is>
          <t>Store</t>
        </is>
      </c>
      <c r="K4176" s="62">
        <f>F4176*(G4176-H4176)</f>
        <v/>
      </c>
      <c r="L4176" s="62">
        <f>K4176-(F4176*I4176)</f>
        <v/>
      </c>
      <c r="M4176" s="64">
        <f>L4176/K4176</f>
        <v/>
      </c>
    </row>
    <row r="4177">
      <c r="A4177" s="58" t="inlineStr">
        <is>
          <t>RT20250420-04176</t>
        </is>
      </c>
      <c r="B4177" s="59" t="inlineStr">
        <is>
          <t>2025-04-20</t>
        </is>
      </c>
      <c r="C4177" s="60" t="inlineStr">
        <is>
          <t>Solace Bedding Plus-317</t>
        </is>
      </c>
      <c r="D4177" s="58" t="inlineStr">
        <is>
          <t>Home</t>
        </is>
      </c>
      <c r="E4177" s="58" t="inlineStr">
        <is>
          <t>South</t>
        </is>
      </c>
      <c r="F4177" s="61" t="n">
        <v>2</v>
      </c>
      <c r="G4177" s="62" t="n">
        <v>507.47</v>
      </c>
      <c r="H4177" s="63" t="n">
        <v>0.061</v>
      </c>
      <c r="I4177" s="62" t="n">
        <v>378.75</v>
      </c>
      <c r="J4177" s="58" t="inlineStr">
        <is>
          <t>Online</t>
        </is>
      </c>
      <c r="K4177" s="62">
        <f>F4177*(G4177-H4177)</f>
        <v/>
      </c>
      <c r="L4177" s="62">
        <f>K4177-(F4177*I4177)</f>
        <v/>
      </c>
      <c r="M4177" s="64">
        <f>L4177/K4177</f>
        <v/>
      </c>
    </row>
    <row r="4178">
      <c r="A4178" s="58" t="inlineStr">
        <is>
          <t>RT20250420-04177</t>
        </is>
      </c>
      <c r="B4178" s="59" t="inlineStr">
        <is>
          <t>2025-04-20</t>
        </is>
      </c>
      <c r="C4178" s="60" t="inlineStr">
        <is>
          <t>Polar Decor Plus-505</t>
        </is>
      </c>
      <c r="D4178" s="58" t="inlineStr">
        <is>
          <t>Home</t>
        </is>
      </c>
      <c r="E4178" s="58" t="inlineStr">
        <is>
          <t>West</t>
        </is>
      </c>
      <c r="F4178" s="61" t="n">
        <v>3</v>
      </c>
      <c r="G4178" s="62" t="n">
        <v>296.87</v>
      </c>
      <c r="H4178" s="63" t="n">
        <v>0.073</v>
      </c>
      <c r="I4178" s="62" t="n">
        <v>201.19</v>
      </c>
      <c r="J4178" s="58" t="inlineStr">
        <is>
          <t>Store</t>
        </is>
      </c>
      <c r="K4178" s="62">
        <f>F4178*(G4178-H4178)</f>
        <v/>
      </c>
      <c r="L4178" s="62">
        <f>K4178-(F4178*I4178)</f>
        <v/>
      </c>
      <c r="M4178" s="64">
        <f>L4178/K4178</f>
        <v/>
      </c>
    </row>
    <row r="4179">
      <c r="A4179" s="58" t="inlineStr">
        <is>
          <t>RT20250420-04178</t>
        </is>
      </c>
      <c r="B4179" s="59" t="inlineStr">
        <is>
          <t>2025-04-20</t>
        </is>
      </c>
      <c r="C4179" s="60" t="inlineStr">
        <is>
          <t>Vertex Accessorie Pro-881</t>
        </is>
      </c>
      <c r="D4179" s="58" t="inlineStr">
        <is>
          <t>Apparel</t>
        </is>
      </c>
      <c r="E4179" s="58" t="inlineStr">
        <is>
          <t>West</t>
        </is>
      </c>
      <c r="F4179" s="61" t="n">
        <v>3</v>
      </c>
      <c r="G4179" s="62" t="n">
        <v>105.69</v>
      </c>
      <c r="H4179" s="63" t="n">
        <v>0.031</v>
      </c>
      <c r="I4179" s="62" t="n">
        <v>60.69</v>
      </c>
      <c r="J4179" s="58" t="inlineStr">
        <is>
          <t>Online</t>
        </is>
      </c>
      <c r="K4179" s="62">
        <f>F4179*(G4179-H4179)</f>
        <v/>
      </c>
      <c r="L4179" s="62">
        <f>K4179-(F4179*I4179)</f>
        <v/>
      </c>
      <c r="M4179" s="64">
        <f>L4179/K4179</f>
        <v/>
      </c>
    </row>
    <row r="4180">
      <c r="A4180" s="58" t="inlineStr">
        <is>
          <t>RT20250420-04179</t>
        </is>
      </c>
      <c r="B4180" s="59" t="inlineStr">
        <is>
          <t>2025-04-20</t>
        </is>
      </c>
      <c r="C4180" s="60" t="inlineStr">
        <is>
          <t>Solace Kitchen Pro-999</t>
        </is>
      </c>
      <c r="D4180" s="58" t="inlineStr">
        <is>
          <t>Home</t>
        </is>
      </c>
      <c r="E4180" s="58" t="inlineStr">
        <is>
          <t>West</t>
        </is>
      </c>
      <c r="F4180" s="61" t="n">
        <v>3</v>
      </c>
      <c r="G4180" s="62" t="n">
        <v>374.06</v>
      </c>
      <c r="H4180" s="63" t="n">
        <v>0.054</v>
      </c>
      <c r="I4180" s="62" t="n">
        <v>269.94</v>
      </c>
      <c r="J4180" s="58" t="inlineStr">
        <is>
          <t>Online</t>
        </is>
      </c>
      <c r="K4180" s="62">
        <f>F4180*(G4180-H4180)</f>
        <v/>
      </c>
      <c r="L4180" s="62">
        <f>K4180-(F4180*I4180)</f>
        <v/>
      </c>
      <c r="M4180" s="64">
        <f>L4180/K4180</f>
        <v/>
      </c>
    </row>
    <row r="4181">
      <c r="A4181" s="58" t="inlineStr">
        <is>
          <t>RT20250420-04180</t>
        </is>
      </c>
      <c r="B4181" s="59" t="inlineStr">
        <is>
          <t>2025-04-20</t>
        </is>
      </c>
      <c r="C4181" s="60" t="inlineStr">
        <is>
          <t>Falcon Skincare X-334</t>
        </is>
      </c>
      <c r="D4181" s="58" t="inlineStr">
        <is>
          <t>Beauty</t>
        </is>
      </c>
      <c r="E4181" s="58" t="inlineStr">
        <is>
          <t>West</t>
        </is>
      </c>
      <c r="F4181" s="61" t="n">
        <v>2</v>
      </c>
      <c r="G4181" s="62" t="n">
        <v>85.68000000000001</v>
      </c>
      <c r="H4181" s="63" t="n">
        <v>0.07199999999999999</v>
      </c>
      <c r="I4181" s="62" t="n">
        <v>65.13</v>
      </c>
      <c r="J4181" s="58" t="inlineStr">
        <is>
          <t>Store</t>
        </is>
      </c>
      <c r="K4181" s="62">
        <f>F4181*(G4181-H4181)</f>
        <v/>
      </c>
      <c r="L4181" s="62">
        <f>K4181-(F4181*I4181)</f>
        <v/>
      </c>
      <c r="M4181" s="64">
        <f>L4181/K4181</f>
        <v/>
      </c>
    </row>
    <row r="4182">
      <c r="A4182" s="58" t="inlineStr">
        <is>
          <t>RT20250420-04181</t>
        </is>
      </c>
      <c r="B4182" s="59" t="inlineStr">
        <is>
          <t>2025-04-20</t>
        </is>
      </c>
      <c r="C4182" s="60" t="inlineStr">
        <is>
          <t>Metro Accessorie Max-316</t>
        </is>
      </c>
      <c r="D4182" s="58" t="inlineStr">
        <is>
          <t>Apparel</t>
        </is>
      </c>
      <c r="E4182" s="58" t="inlineStr">
        <is>
          <t>East</t>
        </is>
      </c>
      <c r="F4182" s="61" t="n">
        <v>4</v>
      </c>
      <c r="G4182" s="62" t="n">
        <v>152.39</v>
      </c>
      <c r="H4182" s="63" t="n">
        <v>0.107</v>
      </c>
      <c r="I4182" s="62" t="n">
        <v>95.40000000000001</v>
      </c>
      <c r="J4182" s="58" t="inlineStr">
        <is>
          <t>Store</t>
        </is>
      </c>
      <c r="K4182" s="62">
        <f>F4182*(G4182-H4182)</f>
        <v/>
      </c>
      <c r="L4182" s="62">
        <f>K4182-(F4182*I4182)</f>
        <v/>
      </c>
      <c r="M4182" s="64">
        <f>L4182/K4182</f>
        <v/>
      </c>
    </row>
    <row r="4183">
      <c r="A4183" s="58" t="inlineStr">
        <is>
          <t>RT20250420-04182</t>
        </is>
      </c>
      <c r="B4183" s="59" t="inlineStr">
        <is>
          <t>2025-04-20</t>
        </is>
      </c>
      <c r="C4183" s="60" t="inlineStr">
        <is>
          <t>Orion Laptop S-350</t>
        </is>
      </c>
      <c r="D4183" s="58" t="inlineStr">
        <is>
          <t>Electronics</t>
        </is>
      </c>
      <c r="E4183" s="58" t="inlineStr">
        <is>
          <t>South</t>
        </is>
      </c>
      <c r="F4183" s="61" t="n">
        <v>1</v>
      </c>
      <c r="G4183" s="62" t="n">
        <v>1510.27</v>
      </c>
      <c r="H4183" s="63" t="n">
        <v>0.01</v>
      </c>
      <c r="I4183" s="62" t="n">
        <v>1057.56</v>
      </c>
      <c r="J4183" s="58" t="inlineStr">
        <is>
          <t>Online</t>
        </is>
      </c>
      <c r="K4183" s="62">
        <f>F4183*(G4183-H4183)</f>
        <v/>
      </c>
      <c r="L4183" s="62">
        <f>K4183-(F4183*I4183)</f>
        <v/>
      </c>
      <c r="M4183" s="64">
        <f>L4183/K4183</f>
        <v/>
      </c>
    </row>
    <row r="4184">
      <c r="A4184" s="58" t="inlineStr">
        <is>
          <t>RT20250420-04183</t>
        </is>
      </c>
      <c r="B4184" s="59" t="inlineStr">
        <is>
          <t>2025-04-20</t>
        </is>
      </c>
      <c r="C4184" s="60" t="inlineStr">
        <is>
          <t>Orion Fragrance Lite-785</t>
        </is>
      </c>
      <c r="D4184" s="58" t="inlineStr">
        <is>
          <t>Beauty</t>
        </is>
      </c>
      <c r="E4184" s="58" t="inlineStr">
        <is>
          <t>West</t>
        </is>
      </c>
      <c r="F4184" s="61" t="n">
        <v>5</v>
      </c>
      <c r="G4184" s="62" t="n">
        <v>40.79</v>
      </c>
      <c r="H4184" s="63" t="n">
        <v>0.08400000000000001</v>
      </c>
      <c r="I4184" s="62" t="n">
        <v>26.52</v>
      </c>
      <c r="J4184" s="58" t="inlineStr">
        <is>
          <t>Online</t>
        </is>
      </c>
      <c r="K4184" s="62">
        <f>F4184*(G4184-H4184)</f>
        <v/>
      </c>
      <c r="L4184" s="62">
        <f>K4184-(F4184*I4184)</f>
        <v/>
      </c>
      <c r="M4184" s="64">
        <f>L4184/K4184</f>
        <v/>
      </c>
    </row>
    <row r="4185">
      <c r="A4185" s="58" t="inlineStr">
        <is>
          <t>RT20250420-04184</t>
        </is>
      </c>
      <c r="B4185" s="59" t="inlineStr">
        <is>
          <t>2025-04-20</t>
        </is>
      </c>
      <c r="C4185" s="60" t="inlineStr">
        <is>
          <t>Vertex Supplie Pro-786</t>
        </is>
      </c>
      <c r="D4185" s="58" t="inlineStr">
        <is>
          <t>Office</t>
        </is>
      </c>
      <c r="E4185" s="58" t="inlineStr">
        <is>
          <t>South</t>
        </is>
      </c>
      <c r="F4185" s="61" t="n">
        <v>2</v>
      </c>
      <c r="G4185" s="62" t="n">
        <v>447.63</v>
      </c>
      <c r="H4185" s="63" t="n">
        <v>0.031</v>
      </c>
      <c r="I4185" s="62" t="n">
        <v>289.62</v>
      </c>
      <c r="J4185" s="58" t="inlineStr">
        <is>
          <t>Store</t>
        </is>
      </c>
      <c r="K4185" s="62">
        <f>F4185*(G4185-H4185)</f>
        <v/>
      </c>
      <c r="L4185" s="62">
        <f>K4185-(F4185*I4185)</f>
        <v/>
      </c>
      <c r="M4185" s="64">
        <f>L4185/K4185</f>
        <v/>
      </c>
    </row>
    <row r="4186">
      <c r="A4186" s="58" t="inlineStr">
        <is>
          <t>RT20250420-04185</t>
        </is>
      </c>
      <c r="B4186" s="59" t="inlineStr">
        <is>
          <t>2025-04-20</t>
        </is>
      </c>
      <c r="C4186" s="60" t="inlineStr">
        <is>
          <t>Metro Beverage Max-490</t>
        </is>
      </c>
      <c r="D4186" s="58" t="inlineStr">
        <is>
          <t>Grocery</t>
        </is>
      </c>
      <c r="E4186" s="58" t="inlineStr">
        <is>
          <t>Central</t>
        </is>
      </c>
      <c r="F4186" s="61" t="n">
        <v>6</v>
      </c>
      <c r="G4186" s="62" t="n">
        <v>11.08</v>
      </c>
      <c r="H4186" s="63" t="n">
        <v>0.062</v>
      </c>
      <c r="I4186" s="62" t="n">
        <v>8.02</v>
      </c>
      <c r="J4186" s="58" t="inlineStr">
        <is>
          <t>Online</t>
        </is>
      </c>
      <c r="K4186" s="62">
        <f>F4186*(G4186-H4186)</f>
        <v/>
      </c>
      <c r="L4186" s="62">
        <f>K4186-(F4186*I4186)</f>
        <v/>
      </c>
      <c r="M4186" s="64">
        <f>L4186/K4186</f>
        <v/>
      </c>
    </row>
    <row r="4187">
      <c r="A4187" s="58" t="inlineStr">
        <is>
          <t>RT20250420-04186</t>
        </is>
      </c>
      <c r="B4187" s="59" t="inlineStr">
        <is>
          <t>2025-04-20</t>
        </is>
      </c>
      <c r="C4187" s="60" t="inlineStr">
        <is>
          <t>Orion Kid Max-640</t>
        </is>
      </c>
      <c r="D4187" s="58" t="inlineStr">
        <is>
          <t>Apparel</t>
        </is>
      </c>
      <c r="E4187" s="58" t="inlineStr">
        <is>
          <t>East</t>
        </is>
      </c>
      <c r="F4187" s="61" t="n">
        <v>4</v>
      </c>
      <c r="G4187" s="62" t="n">
        <v>108.22</v>
      </c>
      <c r="H4187" s="63" t="n">
        <v>0.06900000000000001</v>
      </c>
      <c r="I4187" s="62" t="n">
        <v>72.48999999999999</v>
      </c>
      <c r="J4187" s="58" t="inlineStr">
        <is>
          <t>Online</t>
        </is>
      </c>
      <c r="K4187" s="62">
        <f>F4187*(G4187-H4187)</f>
        <v/>
      </c>
      <c r="L4187" s="62">
        <f>K4187-(F4187*I4187)</f>
        <v/>
      </c>
      <c r="M4187" s="64">
        <f>L4187/K4187</f>
        <v/>
      </c>
    </row>
    <row r="4188">
      <c r="A4188" s="58" t="inlineStr">
        <is>
          <t>RT20250420-04187</t>
        </is>
      </c>
      <c r="B4188" s="59" t="inlineStr">
        <is>
          <t>2025-04-20</t>
        </is>
      </c>
      <c r="C4188" s="60" t="inlineStr">
        <is>
          <t>Orion Kid Max-864</t>
        </is>
      </c>
      <c r="D4188" s="58" t="inlineStr">
        <is>
          <t>Apparel</t>
        </is>
      </c>
      <c r="E4188" s="58" t="inlineStr">
        <is>
          <t>West</t>
        </is>
      </c>
      <c r="F4188" s="61" t="n">
        <v>1</v>
      </c>
      <c r="G4188" s="62" t="n">
        <v>92</v>
      </c>
      <c r="H4188" s="63" t="n">
        <v>0</v>
      </c>
      <c r="I4188" s="62" t="n">
        <v>44</v>
      </c>
      <c r="J4188" s="58" t="inlineStr">
        <is>
          <t>Store</t>
        </is>
      </c>
      <c r="K4188" s="62">
        <f>F4188*(G4188-H4188)</f>
        <v/>
      </c>
      <c r="L4188" s="62">
        <f>K4188-(F4188*I4188)</f>
        <v/>
      </c>
      <c r="M4188" s="64">
        <f>L4188/K4188</f>
        <v/>
      </c>
    </row>
    <row r="4189">
      <c r="A4189" s="58" t="inlineStr">
        <is>
          <t>RT20250420-04188</t>
        </is>
      </c>
      <c r="B4189" s="59" t="inlineStr">
        <is>
          <t>2025-04-20</t>
        </is>
      </c>
      <c r="C4189" s="60" t="inlineStr">
        <is>
          <t>Nimbus Fitnes Lite-516</t>
        </is>
      </c>
      <c r="D4189" s="58" t="inlineStr">
        <is>
          <t>Sports</t>
        </is>
      </c>
      <c r="E4189" s="58" t="inlineStr">
        <is>
          <t>West</t>
        </is>
      </c>
      <c r="F4189" s="61" t="n">
        <v>1</v>
      </c>
      <c r="G4189" s="62" t="n">
        <v>679.58</v>
      </c>
      <c r="H4189" s="63" t="n">
        <v>0.068</v>
      </c>
      <c r="I4189" s="62" t="n">
        <v>457.08</v>
      </c>
      <c r="J4189" s="58" t="inlineStr">
        <is>
          <t>Store</t>
        </is>
      </c>
      <c r="K4189" s="62">
        <f>F4189*(G4189-H4189)</f>
        <v/>
      </c>
      <c r="L4189" s="62">
        <f>K4189-(F4189*I4189)</f>
        <v/>
      </c>
      <c r="M4189" s="64">
        <f>L4189/K4189</f>
        <v/>
      </c>
    </row>
    <row r="4190">
      <c r="A4190" s="58" t="inlineStr">
        <is>
          <t>RT20250420-04189</t>
        </is>
      </c>
      <c r="B4190" s="59" t="inlineStr">
        <is>
          <t>2025-04-20</t>
        </is>
      </c>
      <c r="C4190" s="60" t="inlineStr">
        <is>
          <t>Vertex Accessorie Pro-881</t>
        </is>
      </c>
      <c r="D4190" s="58" t="inlineStr">
        <is>
          <t>Apparel</t>
        </is>
      </c>
      <c r="E4190" s="58" t="inlineStr">
        <is>
          <t>East</t>
        </is>
      </c>
      <c r="F4190" s="61" t="n">
        <v>1</v>
      </c>
      <c r="G4190" s="62" t="n">
        <v>112.71</v>
      </c>
      <c r="H4190" s="63" t="n">
        <v>0.09</v>
      </c>
      <c r="I4190" s="62" t="n">
        <v>62.84</v>
      </c>
      <c r="J4190" s="58" t="inlineStr">
        <is>
          <t>Store</t>
        </is>
      </c>
      <c r="K4190" s="62">
        <f>F4190*(G4190-H4190)</f>
        <v/>
      </c>
      <c r="L4190" s="62">
        <f>K4190-(F4190*I4190)</f>
        <v/>
      </c>
      <c r="M4190" s="64">
        <f>L4190/K4190</f>
        <v/>
      </c>
    </row>
    <row r="4191">
      <c r="A4191" s="58" t="inlineStr">
        <is>
          <t>RT20250420-04190</t>
        </is>
      </c>
      <c r="B4191" s="59" t="inlineStr">
        <is>
          <t>2025-04-20</t>
        </is>
      </c>
      <c r="C4191" s="60" t="inlineStr">
        <is>
          <t>Falcon Skincare X-334</t>
        </is>
      </c>
      <c r="D4191" s="58" t="inlineStr">
        <is>
          <t>Beauty</t>
        </is>
      </c>
      <c r="E4191" s="58" t="inlineStr">
        <is>
          <t>East</t>
        </is>
      </c>
      <c r="F4191" s="61" t="n">
        <v>2</v>
      </c>
      <c r="G4191" s="62" t="n">
        <v>90.12</v>
      </c>
      <c r="H4191" s="63" t="n">
        <v>0.07099999999999999</v>
      </c>
      <c r="I4191" s="62" t="n">
        <v>65.3</v>
      </c>
      <c r="J4191" s="58" t="inlineStr">
        <is>
          <t>Online</t>
        </is>
      </c>
      <c r="K4191" s="62">
        <f>F4191*(G4191-H4191)</f>
        <v/>
      </c>
      <c r="L4191" s="62">
        <f>K4191-(F4191*I4191)</f>
        <v/>
      </c>
      <c r="M4191" s="64">
        <f>L4191/K4191</f>
        <v/>
      </c>
    </row>
    <row r="4192">
      <c r="A4192" s="58" t="inlineStr">
        <is>
          <t>RT20250421-04191</t>
        </is>
      </c>
      <c r="B4192" s="59" t="inlineStr">
        <is>
          <t>2025-04-21</t>
        </is>
      </c>
      <c r="C4192" s="60" t="inlineStr">
        <is>
          <t>Nimbus Decor Lite-385</t>
        </is>
      </c>
      <c r="D4192" s="58" t="inlineStr">
        <is>
          <t>Home</t>
        </is>
      </c>
      <c r="E4192" s="58" t="inlineStr">
        <is>
          <t>East</t>
        </is>
      </c>
      <c r="F4192" s="61" t="n">
        <v>2</v>
      </c>
      <c r="G4192" s="62" t="n">
        <v>599.96</v>
      </c>
      <c r="H4192" s="63" t="n">
        <v>0.06900000000000001</v>
      </c>
      <c r="I4192" s="62" t="n">
        <v>405.12</v>
      </c>
      <c r="J4192" s="58" t="inlineStr">
        <is>
          <t>Online</t>
        </is>
      </c>
      <c r="K4192" s="62">
        <f>F4192*(G4192-H4192)</f>
        <v/>
      </c>
      <c r="L4192" s="62">
        <f>K4192-(F4192*I4192)</f>
        <v/>
      </c>
      <c r="M4192" s="64">
        <f>L4192/K4192</f>
        <v/>
      </c>
    </row>
    <row r="4193">
      <c r="A4193" s="58" t="inlineStr">
        <is>
          <t>RT20250421-04192</t>
        </is>
      </c>
      <c r="B4193" s="59" t="inlineStr">
        <is>
          <t>2025-04-21</t>
        </is>
      </c>
      <c r="C4193" s="60" t="inlineStr">
        <is>
          <t>Aurora Skincare Max-798</t>
        </is>
      </c>
      <c r="D4193" s="58" t="inlineStr">
        <is>
          <t>Beauty</t>
        </is>
      </c>
      <c r="E4193" s="58" t="inlineStr">
        <is>
          <t>South</t>
        </is>
      </c>
      <c r="F4193" s="61" t="n">
        <v>3</v>
      </c>
      <c r="G4193" s="62" t="n">
        <v>122.39</v>
      </c>
      <c r="H4193" s="63" t="n">
        <v>0.056</v>
      </c>
      <c r="I4193" s="62" t="n">
        <v>69.87</v>
      </c>
      <c r="J4193" s="58" t="inlineStr">
        <is>
          <t>Store</t>
        </is>
      </c>
      <c r="K4193" s="62">
        <f>F4193*(G4193-H4193)</f>
        <v/>
      </c>
      <c r="L4193" s="62">
        <f>K4193-(F4193*I4193)</f>
        <v/>
      </c>
      <c r="M4193" s="64">
        <f>L4193/K4193</f>
        <v/>
      </c>
    </row>
    <row r="4194">
      <c r="A4194" s="58" t="inlineStr">
        <is>
          <t>RT20250421-04193</t>
        </is>
      </c>
      <c r="B4194" s="59" t="inlineStr">
        <is>
          <t>2025-04-21</t>
        </is>
      </c>
      <c r="C4194" s="60" t="inlineStr">
        <is>
          <t>Falcon Skincare Max-151</t>
        </is>
      </c>
      <c r="D4194" s="58" t="inlineStr">
        <is>
          <t>Beauty</t>
        </is>
      </c>
      <c r="E4194" s="58" t="inlineStr">
        <is>
          <t>East</t>
        </is>
      </c>
      <c r="F4194" s="61" t="n">
        <v>4</v>
      </c>
      <c r="G4194" s="62" t="n">
        <v>97.40000000000001</v>
      </c>
      <c r="H4194" s="63" t="n">
        <v>0.035</v>
      </c>
      <c r="I4194" s="62" t="n">
        <v>58.35</v>
      </c>
      <c r="J4194" s="58" t="inlineStr">
        <is>
          <t>Store</t>
        </is>
      </c>
      <c r="K4194" s="62">
        <f>F4194*(G4194-H4194)</f>
        <v/>
      </c>
      <c r="L4194" s="62">
        <f>K4194-(F4194*I4194)</f>
        <v/>
      </c>
      <c r="M4194" s="64">
        <f>L4194/K4194</f>
        <v/>
      </c>
    </row>
    <row r="4195">
      <c r="A4195" s="58" t="inlineStr">
        <is>
          <t>RT20250421-04194</t>
        </is>
      </c>
      <c r="B4195" s="59" t="inlineStr">
        <is>
          <t>2025-04-21</t>
        </is>
      </c>
      <c r="C4195" s="60" t="inlineStr">
        <is>
          <t>Vertex Smartphone Lite-267</t>
        </is>
      </c>
      <c r="D4195" s="58" t="inlineStr">
        <is>
          <t>Electronics</t>
        </is>
      </c>
      <c r="E4195" s="58" t="inlineStr">
        <is>
          <t>East</t>
        </is>
      </c>
      <c r="F4195" s="61" t="n">
        <v>1</v>
      </c>
      <c r="G4195" s="62" t="n">
        <v>1364.58</v>
      </c>
      <c r="H4195" s="63" t="n">
        <v>0.004</v>
      </c>
      <c r="I4195" s="62" t="n">
        <v>965.8200000000001</v>
      </c>
      <c r="J4195" s="58" t="inlineStr">
        <is>
          <t>Store</t>
        </is>
      </c>
      <c r="K4195" s="62">
        <f>F4195*(G4195-H4195)</f>
        <v/>
      </c>
      <c r="L4195" s="62">
        <f>K4195-(F4195*I4195)</f>
        <v/>
      </c>
      <c r="M4195" s="64">
        <f>L4195/K4195</f>
        <v/>
      </c>
    </row>
    <row r="4196">
      <c r="A4196" s="58" t="inlineStr">
        <is>
          <t>RT20250421-04195</t>
        </is>
      </c>
      <c r="B4196" s="59" t="inlineStr">
        <is>
          <t>2025-04-21</t>
        </is>
      </c>
      <c r="C4196" s="60" t="inlineStr">
        <is>
          <t>Aurora Fitnes Lite-194</t>
        </is>
      </c>
      <c r="D4196" s="58" t="inlineStr">
        <is>
          <t>Sports</t>
        </is>
      </c>
      <c r="E4196" s="58" t="inlineStr">
        <is>
          <t>Central</t>
        </is>
      </c>
      <c r="F4196" s="61" t="n">
        <v>1</v>
      </c>
      <c r="G4196" s="62" t="n">
        <v>674.03</v>
      </c>
      <c r="H4196" s="63" t="n">
        <v>0.06</v>
      </c>
      <c r="I4196" s="62" t="n">
        <v>453.09</v>
      </c>
      <c r="J4196" s="58" t="inlineStr">
        <is>
          <t>Store</t>
        </is>
      </c>
      <c r="K4196" s="62">
        <f>F4196*(G4196-H4196)</f>
        <v/>
      </c>
      <c r="L4196" s="62">
        <f>K4196-(F4196*I4196)</f>
        <v/>
      </c>
      <c r="M4196" s="64">
        <f>L4196/K4196</f>
        <v/>
      </c>
    </row>
    <row r="4197">
      <c r="A4197" s="58" t="inlineStr">
        <is>
          <t>RT20250421-04196</t>
        </is>
      </c>
      <c r="B4197" s="59" t="inlineStr">
        <is>
          <t>2025-04-21</t>
        </is>
      </c>
      <c r="C4197" s="60" t="inlineStr">
        <is>
          <t>Aurora Haircare S-975</t>
        </is>
      </c>
      <c r="D4197" s="58" t="inlineStr">
        <is>
          <t>Beauty</t>
        </is>
      </c>
      <c r="E4197" s="58" t="inlineStr">
        <is>
          <t>East</t>
        </is>
      </c>
      <c r="F4197" s="61" t="n">
        <v>1</v>
      </c>
      <c r="G4197" s="62" t="n">
        <v>91.41</v>
      </c>
      <c r="H4197" s="63" t="n">
        <v>0.057</v>
      </c>
      <c r="I4197" s="62" t="n">
        <v>58.43</v>
      </c>
      <c r="J4197" s="58" t="inlineStr">
        <is>
          <t>Store</t>
        </is>
      </c>
      <c r="K4197" s="62">
        <f>F4197*(G4197-H4197)</f>
        <v/>
      </c>
      <c r="L4197" s="62">
        <f>K4197-(F4197*I4197)</f>
        <v/>
      </c>
      <c r="M4197" s="64">
        <f>L4197/K4197</f>
        <v/>
      </c>
    </row>
    <row r="4198">
      <c r="A4198" s="58" t="inlineStr">
        <is>
          <t>RT20250421-04197</t>
        </is>
      </c>
      <c r="B4198" s="59" t="inlineStr">
        <is>
          <t>2025-04-21</t>
        </is>
      </c>
      <c r="C4198" s="60" t="inlineStr">
        <is>
          <t>Polar Beverage S-258</t>
        </is>
      </c>
      <c r="D4198" s="58" t="inlineStr">
        <is>
          <t>Grocery</t>
        </is>
      </c>
      <c r="E4198" s="58" t="inlineStr">
        <is>
          <t>Central</t>
        </is>
      </c>
      <c r="F4198" s="61" t="n">
        <v>4</v>
      </c>
      <c r="G4198" s="62" t="n">
        <v>13.21</v>
      </c>
      <c r="H4198" s="63" t="n">
        <v>0.036</v>
      </c>
      <c r="I4198" s="62" t="n">
        <v>9.800000000000001</v>
      </c>
      <c r="J4198" s="58" t="inlineStr">
        <is>
          <t>Store</t>
        </is>
      </c>
      <c r="K4198" s="62">
        <f>F4198*(G4198-H4198)</f>
        <v/>
      </c>
      <c r="L4198" s="62">
        <f>K4198-(F4198*I4198)</f>
        <v/>
      </c>
      <c r="M4198" s="64">
        <f>L4198/K4198</f>
        <v/>
      </c>
    </row>
    <row r="4199">
      <c r="A4199" s="58" t="inlineStr">
        <is>
          <t>RT20250421-04198</t>
        </is>
      </c>
      <c r="B4199" s="59" t="inlineStr">
        <is>
          <t>2025-04-21</t>
        </is>
      </c>
      <c r="C4199" s="60" t="inlineStr">
        <is>
          <t>Falcon Wearable X-334</t>
        </is>
      </c>
      <c r="D4199" s="58" t="inlineStr">
        <is>
          <t>Electronics</t>
        </is>
      </c>
      <c r="E4199" s="58" t="inlineStr">
        <is>
          <t>South</t>
        </is>
      </c>
      <c r="F4199" s="61" t="n">
        <v>1</v>
      </c>
      <c r="G4199" s="62" t="n">
        <v>1997.58</v>
      </c>
      <c r="H4199" s="63" t="n">
        <v>0.111</v>
      </c>
      <c r="I4199" s="62" t="n">
        <v>1489.95</v>
      </c>
      <c r="J4199" s="58" t="inlineStr">
        <is>
          <t>Online</t>
        </is>
      </c>
      <c r="K4199" s="62">
        <f>F4199*(G4199-H4199)</f>
        <v/>
      </c>
      <c r="L4199" s="62">
        <f>K4199-(F4199*I4199)</f>
        <v/>
      </c>
      <c r="M4199" s="64">
        <f>L4199/K4199</f>
        <v/>
      </c>
    </row>
    <row r="4200">
      <c r="A4200" s="58" t="inlineStr">
        <is>
          <t>RT20250421-04199</t>
        </is>
      </c>
      <c r="B4200" s="59" t="inlineStr">
        <is>
          <t>2025-04-21</t>
        </is>
      </c>
      <c r="C4200" s="60" t="inlineStr">
        <is>
          <t>Nimbus Makeup Max-158</t>
        </is>
      </c>
      <c r="D4200" s="58" t="inlineStr">
        <is>
          <t>Beauty</t>
        </is>
      </c>
      <c r="E4200" s="58" t="inlineStr">
        <is>
          <t>East</t>
        </is>
      </c>
      <c r="F4200" s="61" t="n">
        <v>3</v>
      </c>
      <c r="G4200" s="62" t="n">
        <v>158.62</v>
      </c>
      <c r="H4200" s="63" t="n">
        <v>0.031</v>
      </c>
      <c r="I4200" s="62" t="n">
        <v>96.23999999999999</v>
      </c>
      <c r="J4200" s="58" t="inlineStr">
        <is>
          <t>Store</t>
        </is>
      </c>
      <c r="K4200" s="62">
        <f>F4200*(G4200-H4200)</f>
        <v/>
      </c>
      <c r="L4200" s="62">
        <f>K4200-(F4200*I4200)</f>
        <v/>
      </c>
      <c r="M4200" s="64">
        <f>L4200/K4200</f>
        <v/>
      </c>
    </row>
    <row r="4201">
      <c r="A4201" s="58" t="inlineStr">
        <is>
          <t>RT20250421-04200</t>
        </is>
      </c>
      <c r="B4201" s="59" t="inlineStr">
        <is>
          <t>2025-04-21</t>
        </is>
      </c>
      <c r="C4201" s="60" t="inlineStr">
        <is>
          <t>Solace Snack S-691</t>
        </is>
      </c>
      <c r="D4201" s="58" t="inlineStr">
        <is>
          <t>Grocery</t>
        </is>
      </c>
      <c r="E4201" s="58" t="inlineStr">
        <is>
          <t>South</t>
        </is>
      </c>
      <c r="F4201" s="61" t="n">
        <v>8</v>
      </c>
      <c r="G4201" s="62" t="n">
        <v>10.41</v>
      </c>
      <c r="H4201" s="63" t="n">
        <v>0.048</v>
      </c>
      <c r="I4201" s="62" t="n">
        <v>7.24</v>
      </c>
      <c r="J4201" s="58" t="inlineStr">
        <is>
          <t>Store</t>
        </is>
      </c>
      <c r="K4201" s="62">
        <f>F4201*(G4201-H4201)</f>
        <v/>
      </c>
      <c r="L4201" s="62">
        <f>K4201-(F4201*I4201)</f>
        <v/>
      </c>
      <c r="M4201" s="64">
        <f>L4201/K4201</f>
        <v/>
      </c>
    </row>
    <row r="4202">
      <c r="A4202" s="58" t="inlineStr">
        <is>
          <t>RT20250421-04201</t>
        </is>
      </c>
      <c r="B4202" s="59" t="inlineStr">
        <is>
          <t>2025-04-21</t>
        </is>
      </c>
      <c r="C4202" s="60" t="inlineStr">
        <is>
          <t>Falcon Skincare Max-151</t>
        </is>
      </c>
      <c r="D4202" s="58" t="inlineStr">
        <is>
          <t>Beauty</t>
        </is>
      </c>
      <c r="E4202" s="58" t="inlineStr">
        <is>
          <t>West</t>
        </is>
      </c>
      <c r="F4202" s="61" t="n">
        <v>3</v>
      </c>
      <c r="G4202" s="62" t="n">
        <v>89.8</v>
      </c>
      <c r="H4202" s="63" t="n">
        <v>0.062</v>
      </c>
      <c r="I4202" s="62" t="n">
        <v>60.36</v>
      </c>
      <c r="J4202" s="58" t="inlineStr">
        <is>
          <t>Online</t>
        </is>
      </c>
      <c r="K4202" s="62">
        <f>F4202*(G4202-H4202)</f>
        <v/>
      </c>
      <c r="L4202" s="62">
        <f>K4202-(F4202*I4202)</f>
        <v/>
      </c>
      <c r="M4202" s="64">
        <f>L4202/K4202</f>
        <v/>
      </c>
    </row>
    <row r="4203">
      <c r="A4203" s="58" t="inlineStr">
        <is>
          <t>RT20250421-04202</t>
        </is>
      </c>
      <c r="B4203" s="59" t="inlineStr">
        <is>
          <t>2025-04-21</t>
        </is>
      </c>
      <c r="C4203" s="60" t="inlineStr">
        <is>
          <t>Polar Decor X-935</t>
        </is>
      </c>
      <c r="D4203" s="58" t="inlineStr">
        <is>
          <t>Home</t>
        </is>
      </c>
      <c r="E4203" s="58" t="inlineStr">
        <is>
          <t>East</t>
        </is>
      </c>
      <c r="F4203" s="61" t="n">
        <v>1</v>
      </c>
      <c r="G4203" s="62" t="n">
        <v>298.09</v>
      </c>
      <c r="H4203" s="63" t="n">
        <v>0.025</v>
      </c>
      <c r="I4203" s="62" t="n">
        <v>199.46</v>
      </c>
      <c r="J4203" s="58" t="inlineStr">
        <is>
          <t>Online</t>
        </is>
      </c>
      <c r="K4203" s="62">
        <f>F4203*(G4203-H4203)</f>
        <v/>
      </c>
      <c r="L4203" s="62">
        <f>K4203-(F4203*I4203)</f>
        <v/>
      </c>
      <c r="M4203" s="64">
        <f>L4203/K4203</f>
        <v/>
      </c>
    </row>
    <row r="4204">
      <c r="A4204" s="58" t="inlineStr">
        <is>
          <t>RT20250421-04203</t>
        </is>
      </c>
      <c r="B4204" s="59" t="inlineStr">
        <is>
          <t>2025-04-21</t>
        </is>
      </c>
      <c r="C4204" s="60" t="inlineStr">
        <is>
          <t>Metro Printer X-294</t>
        </is>
      </c>
      <c r="D4204" s="58" t="inlineStr">
        <is>
          <t>Office</t>
        </is>
      </c>
      <c r="E4204" s="58" t="inlineStr">
        <is>
          <t>East</t>
        </is>
      </c>
      <c r="F4204" s="61" t="n">
        <v>2</v>
      </c>
      <c r="G4204" s="62" t="n">
        <v>517.95</v>
      </c>
      <c r="H4204" s="63" t="n">
        <v>0.046</v>
      </c>
      <c r="I4204" s="62" t="n">
        <v>418.49</v>
      </c>
      <c r="J4204" s="58" t="inlineStr">
        <is>
          <t>Online</t>
        </is>
      </c>
      <c r="K4204" s="62">
        <f>F4204*(G4204-H4204)</f>
        <v/>
      </c>
      <c r="L4204" s="62">
        <f>K4204-(F4204*I4204)</f>
        <v/>
      </c>
      <c r="M4204" s="64">
        <f>L4204/K4204</f>
        <v/>
      </c>
    </row>
    <row r="4205">
      <c r="A4205" s="58" t="inlineStr">
        <is>
          <t>RT20250421-04204</t>
        </is>
      </c>
      <c r="B4205" s="59" t="inlineStr">
        <is>
          <t>2025-04-21</t>
        </is>
      </c>
      <c r="C4205" s="60" t="inlineStr">
        <is>
          <t>Falcon Headphone Pro-713</t>
        </is>
      </c>
      <c r="D4205" s="58" t="inlineStr">
        <is>
          <t>Electronics</t>
        </is>
      </c>
      <c r="E4205" s="58" t="inlineStr">
        <is>
          <t>East</t>
        </is>
      </c>
      <c r="F4205" s="61" t="n">
        <v>1</v>
      </c>
      <c r="G4205" s="62" t="n">
        <v>1487.93</v>
      </c>
      <c r="H4205" s="63" t="n">
        <v>0.064</v>
      </c>
      <c r="I4205" s="62" t="n">
        <v>1196.35</v>
      </c>
      <c r="J4205" s="58" t="inlineStr">
        <is>
          <t>Online</t>
        </is>
      </c>
      <c r="K4205" s="62">
        <f>F4205*(G4205-H4205)</f>
        <v/>
      </c>
      <c r="L4205" s="62">
        <f>K4205-(F4205*I4205)</f>
        <v/>
      </c>
      <c r="M4205" s="64">
        <f>L4205/K4205</f>
        <v/>
      </c>
    </row>
    <row r="4206">
      <c r="A4206" s="58" t="inlineStr">
        <is>
          <t>RT20250421-04205</t>
        </is>
      </c>
      <c r="B4206" s="59" t="inlineStr">
        <is>
          <t>2025-04-21</t>
        </is>
      </c>
      <c r="C4206" s="60" t="inlineStr">
        <is>
          <t>Solace Fitnes S-324</t>
        </is>
      </c>
      <c r="D4206" s="58" t="inlineStr">
        <is>
          <t>Sports</t>
        </is>
      </c>
      <c r="E4206" s="58" t="inlineStr">
        <is>
          <t>Central</t>
        </is>
      </c>
      <c r="F4206" s="61" t="n">
        <v>1</v>
      </c>
      <c r="G4206" s="62" t="n">
        <v>900.55</v>
      </c>
      <c r="H4206" s="63" t="n">
        <v>0.016</v>
      </c>
      <c r="I4206" s="62" t="n">
        <v>514.87</v>
      </c>
      <c r="J4206" s="58" t="inlineStr">
        <is>
          <t>Online</t>
        </is>
      </c>
      <c r="K4206" s="62">
        <f>F4206*(G4206-H4206)</f>
        <v/>
      </c>
      <c r="L4206" s="62">
        <f>K4206-(F4206*I4206)</f>
        <v/>
      </c>
      <c r="M4206" s="64">
        <f>L4206/K4206</f>
        <v/>
      </c>
    </row>
    <row r="4207">
      <c r="A4207" s="58" t="inlineStr">
        <is>
          <t>RT20250421-04206</t>
        </is>
      </c>
      <c r="B4207" s="59" t="inlineStr">
        <is>
          <t>2025-04-21</t>
        </is>
      </c>
      <c r="C4207" s="60" t="inlineStr">
        <is>
          <t>Aurora Outdoor Pro-467</t>
        </is>
      </c>
      <c r="D4207" s="58" t="inlineStr">
        <is>
          <t>Sports</t>
        </is>
      </c>
      <c r="E4207" s="58" t="inlineStr">
        <is>
          <t>South</t>
        </is>
      </c>
      <c r="F4207" s="61" t="n">
        <v>1</v>
      </c>
      <c r="G4207" s="62" t="n">
        <v>291.71</v>
      </c>
      <c r="H4207" s="63" t="n">
        <v>0.08500000000000001</v>
      </c>
      <c r="I4207" s="62" t="n">
        <v>192.84</v>
      </c>
      <c r="J4207" s="58" t="inlineStr">
        <is>
          <t>Online</t>
        </is>
      </c>
      <c r="K4207" s="62">
        <f>F4207*(G4207-H4207)</f>
        <v/>
      </c>
      <c r="L4207" s="62">
        <f>K4207-(F4207*I4207)</f>
        <v/>
      </c>
      <c r="M4207" s="64">
        <f>L4207/K4207</f>
        <v/>
      </c>
    </row>
    <row r="4208">
      <c r="A4208" s="58" t="inlineStr">
        <is>
          <t>RT20250421-04207</t>
        </is>
      </c>
      <c r="B4208" s="59" t="inlineStr">
        <is>
          <t>2025-04-21</t>
        </is>
      </c>
      <c r="C4208" s="60" t="inlineStr">
        <is>
          <t>Solace Kitchen Pro-510</t>
        </is>
      </c>
      <c r="D4208" s="58" t="inlineStr">
        <is>
          <t>Home</t>
        </is>
      </c>
      <c r="E4208" s="58" t="inlineStr">
        <is>
          <t>East</t>
        </is>
      </c>
      <c r="F4208" s="61" t="n">
        <v>3</v>
      </c>
      <c r="G4208" s="62" t="n">
        <v>476.39</v>
      </c>
      <c r="H4208" s="63" t="n">
        <v>0.047</v>
      </c>
      <c r="I4208" s="62" t="n">
        <v>314.04</v>
      </c>
      <c r="J4208" s="58" t="inlineStr">
        <is>
          <t>Online</t>
        </is>
      </c>
      <c r="K4208" s="62">
        <f>F4208*(G4208-H4208)</f>
        <v/>
      </c>
      <c r="L4208" s="62">
        <f>K4208-(F4208*I4208)</f>
        <v/>
      </c>
      <c r="M4208" s="64">
        <f>L4208/K4208</f>
        <v/>
      </c>
    </row>
    <row r="4209">
      <c r="A4209" s="58" t="inlineStr">
        <is>
          <t>RT20250421-04208</t>
        </is>
      </c>
      <c r="B4209" s="59" t="inlineStr">
        <is>
          <t>2025-04-21</t>
        </is>
      </c>
      <c r="C4209" s="60" t="inlineStr">
        <is>
          <t>Solace Fitnes S-324</t>
        </is>
      </c>
      <c r="D4209" s="58" t="inlineStr">
        <is>
          <t>Sports</t>
        </is>
      </c>
      <c r="E4209" s="58" t="inlineStr">
        <is>
          <t>East</t>
        </is>
      </c>
      <c r="F4209" s="61" t="n">
        <v>3</v>
      </c>
      <c r="G4209" s="62" t="n">
        <v>829.17</v>
      </c>
      <c r="H4209" s="63" t="n">
        <v>0.07199999999999999</v>
      </c>
      <c r="I4209" s="62" t="n">
        <v>529.88</v>
      </c>
      <c r="J4209" s="58" t="inlineStr">
        <is>
          <t>Online</t>
        </is>
      </c>
      <c r="K4209" s="62">
        <f>F4209*(G4209-H4209)</f>
        <v/>
      </c>
      <c r="L4209" s="62">
        <f>K4209-(F4209*I4209)</f>
        <v/>
      </c>
      <c r="M4209" s="64">
        <f>L4209/K4209</f>
        <v/>
      </c>
    </row>
    <row r="4210">
      <c r="A4210" s="58" t="inlineStr">
        <is>
          <t>RT20250421-04209</t>
        </is>
      </c>
      <c r="B4210" s="59" t="inlineStr">
        <is>
          <t>2025-04-21</t>
        </is>
      </c>
      <c r="C4210" s="60" t="inlineStr">
        <is>
          <t>Aurora Storage Lite-774</t>
        </is>
      </c>
      <c r="D4210" s="58" t="inlineStr">
        <is>
          <t>Office</t>
        </is>
      </c>
      <c r="E4210" s="58" t="inlineStr">
        <is>
          <t>West</t>
        </is>
      </c>
      <c r="F4210" s="61" t="n">
        <v>3</v>
      </c>
      <c r="G4210" s="62" t="n">
        <v>368.95</v>
      </c>
      <c r="H4210" s="63" t="n">
        <v>0.039</v>
      </c>
      <c r="I4210" s="62" t="n">
        <v>240.59</v>
      </c>
      <c r="J4210" s="58" t="inlineStr">
        <is>
          <t>Online</t>
        </is>
      </c>
      <c r="K4210" s="62">
        <f>F4210*(G4210-H4210)</f>
        <v/>
      </c>
      <c r="L4210" s="62">
        <f>K4210-(F4210*I4210)</f>
        <v/>
      </c>
      <c r="M4210" s="64">
        <f>L4210/K4210</f>
        <v/>
      </c>
    </row>
    <row r="4211">
      <c r="A4211" s="58" t="inlineStr">
        <is>
          <t>RT20250421-04210</t>
        </is>
      </c>
      <c r="B4211" s="59" t="inlineStr">
        <is>
          <t>2025-04-21</t>
        </is>
      </c>
      <c r="C4211" s="60" t="inlineStr">
        <is>
          <t>Orion Beverage Plus-949</t>
        </is>
      </c>
      <c r="D4211" s="58" t="inlineStr">
        <is>
          <t>Grocery</t>
        </is>
      </c>
      <c r="E4211" s="58" t="inlineStr">
        <is>
          <t>South</t>
        </is>
      </c>
      <c r="F4211" s="61" t="n">
        <v>7</v>
      </c>
      <c r="G4211" s="62" t="n">
        <v>21.12</v>
      </c>
      <c r="H4211" s="63" t="n">
        <v>0.008999999999999999</v>
      </c>
      <c r="I4211" s="62" t="n">
        <v>13.45</v>
      </c>
      <c r="J4211" s="58" t="inlineStr">
        <is>
          <t>Store</t>
        </is>
      </c>
      <c r="K4211" s="62">
        <f>F4211*(G4211-H4211)</f>
        <v/>
      </c>
      <c r="L4211" s="62">
        <f>K4211-(F4211*I4211)</f>
        <v/>
      </c>
      <c r="M4211" s="64">
        <f>L4211/K4211</f>
        <v/>
      </c>
    </row>
    <row r="4212">
      <c r="A4212" s="58" t="inlineStr">
        <is>
          <t>RT20250421-04211</t>
        </is>
      </c>
      <c r="B4212" s="59" t="inlineStr">
        <is>
          <t>2025-04-21</t>
        </is>
      </c>
      <c r="C4212" s="60" t="inlineStr">
        <is>
          <t>Nimbus Men Plus-231</t>
        </is>
      </c>
      <c r="D4212" s="58" t="inlineStr">
        <is>
          <t>Apparel</t>
        </is>
      </c>
      <c r="E4212" s="58" t="inlineStr">
        <is>
          <t>Central</t>
        </is>
      </c>
      <c r="F4212" s="61" t="n">
        <v>4</v>
      </c>
      <c r="G4212" s="62" t="n">
        <v>154.7</v>
      </c>
      <c r="H4212" s="63" t="n">
        <v>0.014</v>
      </c>
      <c r="I4212" s="62" t="n">
        <v>90.81999999999999</v>
      </c>
      <c r="J4212" s="58" t="inlineStr">
        <is>
          <t>Store</t>
        </is>
      </c>
      <c r="K4212" s="62">
        <f>F4212*(G4212-H4212)</f>
        <v/>
      </c>
      <c r="L4212" s="62">
        <f>K4212-(F4212*I4212)</f>
        <v/>
      </c>
      <c r="M4212" s="64">
        <f>L4212/K4212</f>
        <v/>
      </c>
    </row>
    <row r="4213">
      <c r="A4213" s="58" t="inlineStr">
        <is>
          <t>RT20250421-04212</t>
        </is>
      </c>
      <c r="B4213" s="59" t="inlineStr">
        <is>
          <t>2025-04-21</t>
        </is>
      </c>
      <c r="C4213" s="60" t="inlineStr">
        <is>
          <t>Falcon Wearable X-334</t>
        </is>
      </c>
      <c r="D4213" s="58" t="inlineStr">
        <is>
          <t>Electronics</t>
        </is>
      </c>
      <c r="E4213" s="58" t="inlineStr">
        <is>
          <t>South</t>
        </is>
      </c>
      <c r="F4213" s="61" t="n">
        <v>2</v>
      </c>
      <c r="G4213" s="62" t="n">
        <v>2164.34</v>
      </c>
      <c r="H4213" s="63" t="n">
        <v>0.09</v>
      </c>
      <c r="I4213" s="62" t="n">
        <v>1526.56</v>
      </c>
      <c r="J4213" s="58" t="inlineStr">
        <is>
          <t>Online</t>
        </is>
      </c>
      <c r="K4213" s="62">
        <f>F4213*(G4213-H4213)</f>
        <v/>
      </c>
      <c r="L4213" s="62">
        <f>K4213-(F4213*I4213)</f>
        <v/>
      </c>
      <c r="M4213" s="64">
        <f>L4213/K4213</f>
        <v/>
      </c>
    </row>
    <row r="4214">
      <c r="A4214" s="58" t="inlineStr">
        <is>
          <t>RT20250421-04213</t>
        </is>
      </c>
      <c r="B4214" s="59" t="inlineStr">
        <is>
          <t>2025-04-21</t>
        </is>
      </c>
      <c r="C4214" s="60" t="inlineStr">
        <is>
          <t>Falcon Headphone Plus-789</t>
        </is>
      </c>
      <c r="D4214" s="58" t="inlineStr">
        <is>
          <t>Electronics</t>
        </is>
      </c>
      <c r="E4214" s="58" t="inlineStr">
        <is>
          <t>South</t>
        </is>
      </c>
      <c r="F4214" s="61" t="n">
        <v>2</v>
      </c>
      <c r="G4214" s="62" t="n">
        <v>1727.23</v>
      </c>
      <c r="H4214" s="63" t="n">
        <v>0.101</v>
      </c>
      <c r="I4214" s="62" t="n">
        <v>1321.46</v>
      </c>
      <c r="J4214" s="58" t="inlineStr">
        <is>
          <t>Online</t>
        </is>
      </c>
      <c r="K4214" s="62">
        <f>F4214*(G4214-H4214)</f>
        <v/>
      </c>
      <c r="L4214" s="62">
        <f>K4214-(F4214*I4214)</f>
        <v/>
      </c>
      <c r="M4214" s="64">
        <f>L4214/K4214</f>
        <v/>
      </c>
    </row>
    <row r="4215">
      <c r="A4215" s="58" t="inlineStr">
        <is>
          <t>RT20250421-04214</t>
        </is>
      </c>
      <c r="B4215" s="59" t="inlineStr">
        <is>
          <t>2025-04-21</t>
        </is>
      </c>
      <c r="C4215" s="60" t="inlineStr">
        <is>
          <t>Aurora Haircare S-975</t>
        </is>
      </c>
      <c r="D4215" s="58" t="inlineStr">
        <is>
          <t>Beauty</t>
        </is>
      </c>
      <c r="E4215" s="58" t="inlineStr">
        <is>
          <t>South</t>
        </is>
      </c>
      <c r="F4215" s="61" t="n">
        <v>1</v>
      </c>
      <c r="G4215" s="62" t="n">
        <v>90.78</v>
      </c>
      <c r="H4215" s="63" t="n">
        <v>0.05</v>
      </c>
      <c r="I4215" s="62" t="n">
        <v>59.35</v>
      </c>
      <c r="J4215" s="58" t="inlineStr">
        <is>
          <t>Online</t>
        </is>
      </c>
      <c r="K4215" s="62">
        <f>F4215*(G4215-H4215)</f>
        <v/>
      </c>
      <c r="L4215" s="62">
        <f>K4215-(F4215*I4215)</f>
        <v/>
      </c>
      <c r="M4215" s="64">
        <f>L4215/K4215</f>
        <v/>
      </c>
    </row>
    <row r="4216">
      <c r="A4216" s="58" t="inlineStr">
        <is>
          <t>RT20250421-04215</t>
        </is>
      </c>
      <c r="B4216" s="59" t="inlineStr">
        <is>
          <t>2025-04-21</t>
        </is>
      </c>
      <c r="C4216" s="60" t="inlineStr">
        <is>
          <t>Vertex Smartphone Lite-267</t>
        </is>
      </c>
      <c r="D4216" s="58" t="inlineStr">
        <is>
          <t>Electronics</t>
        </is>
      </c>
      <c r="E4216" s="58" t="inlineStr">
        <is>
          <t>East</t>
        </is>
      </c>
      <c r="F4216" s="61" t="n">
        <v>2</v>
      </c>
      <c r="G4216" s="62" t="n">
        <v>1045.37</v>
      </c>
      <c r="H4216" s="63" t="n">
        <v>0.033</v>
      </c>
      <c r="I4216" s="62" t="n">
        <v>971.8</v>
      </c>
      <c r="J4216" s="58" t="inlineStr">
        <is>
          <t>Online</t>
        </is>
      </c>
      <c r="K4216" s="62">
        <f>F4216*(G4216-H4216)</f>
        <v/>
      </c>
      <c r="L4216" s="62">
        <f>K4216-(F4216*I4216)</f>
        <v/>
      </c>
      <c r="M4216" s="64">
        <f>L4216/K4216</f>
        <v/>
      </c>
    </row>
    <row r="4217">
      <c r="A4217" s="58" t="inlineStr">
        <is>
          <t>RT20250421-04216</t>
        </is>
      </c>
      <c r="B4217" s="59" t="inlineStr">
        <is>
          <t>2025-04-21</t>
        </is>
      </c>
      <c r="C4217" s="60" t="inlineStr">
        <is>
          <t>Vertex Accessorie Pro-881</t>
        </is>
      </c>
      <c r="D4217" s="58" t="inlineStr">
        <is>
          <t>Apparel</t>
        </is>
      </c>
      <c r="E4217" s="58" t="inlineStr">
        <is>
          <t>West</t>
        </is>
      </c>
      <c r="F4217" s="61" t="n">
        <v>2</v>
      </c>
      <c r="G4217" s="62" t="n">
        <v>103.28</v>
      </c>
      <c r="H4217" s="63" t="n">
        <v>0.046</v>
      </c>
      <c r="I4217" s="62" t="n">
        <v>62.18</v>
      </c>
      <c r="J4217" s="58" t="inlineStr">
        <is>
          <t>Store</t>
        </is>
      </c>
      <c r="K4217" s="62">
        <f>F4217*(G4217-H4217)</f>
        <v/>
      </c>
      <c r="L4217" s="62">
        <f>K4217-(F4217*I4217)</f>
        <v/>
      </c>
      <c r="M4217" s="64">
        <f>L4217/K4217</f>
        <v/>
      </c>
    </row>
    <row r="4218">
      <c r="A4218" s="58" t="inlineStr">
        <is>
          <t>RT20250421-04217</t>
        </is>
      </c>
      <c r="B4218" s="59" t="inlineStr">
        <is>
          <t>2025-04-21</t>
        </is>
      </c>
      <c r="C4218" s="60" t="inlineStr">
        <is>
          <t>Nimbus Laptop Max-652</t>
        </is>
      </c>
      <c r="D4218" s="58" t="inlineStr">
        <is>
          <t>Electronics</t>
        </is>
      </c>
      <c r="E4218" s="58" t="inlineStr">
        <is>
          <t>East</t>
        </is>
      </c>
      <c r="F4218" s="61" t="n">
        <v>1</v>
      </c>
      <c r="G4218" s="62" t="n">
        <v>1318.21</v>
      </c>
      <c r="H4218" s="63" t="n">
        <v>0.058</v>
      </c>
      <c r="I4218" s="62" t="n">
        <v>1035</v>
      </c>
      <c r="J4218" s="58" t="inlineStr">
        <is>
          <t>Online</t>
        </is>
      </c>
      <c r="K4218" s="62">
        <f>F4218*(G4218-H4218)</f>
        <v/>
      </c>
      <c r="L4218" s="62">
        <f>K4218-(F4218*I4218)</f>
        <v/>
      </c>
      <c r="M4218" s="64">
        <f>L4218/K4218</f>
        <v/>
      </c>
    </row>
    <row r="4219">
      <c r="A4219" s="58" t="inlineStr">
        <is>
          <t>RT20250421-04218</t>
        </is>
      </c>
      <c r="B4219" s="59" t="inlineStr">
        <is>
          <t>2025-04-21</t>
        </is>
      </c>
      <c r="C4219" s="60" t="inlineStr">
        <is>
          <t>Aurora Storage Lite-774</t>
        </is>
      </c>
      <c r="D4219" s="58" t="inlineStr">
        <is>
          <t>Office</t>
        </is>
      </c>
      <c r="E4219" s="58" t="inlineStr">
        <is>
          <t>East</t>
        </is>
      </c>
      <c r="F4219" s="61" t="n">
        <v>2</v>
      </c>
      <c r="G4219" s="62" t="n">
        <v>387.79</v>
      </c>
      <c r="H4219" s="63" t="n">
        <v>0.06900000000000001</v>
      </c>
      <c r="I4219" s="62" t="n">
        <v>240.57</v>
      </c>
      <c r="J4219" s="58" t="inlineStr">
        <is>
          <t>Online</t>
        </is>
      </c>
      <c r="K4219" s="62">
        <f>F4219*(G4219-H4219)</f>
        <v/>
      </c>
      <c r="L4219" s="62">
        <f>K4219-(F4219*I4219)</f>
        <v/>
      </c>
      <c r="M4219" s="64">
        <f>L4219/K4219</f>
        <v/>
      </c>
    </row>
    <row r="4220">
      <c r="A4220" s="58" t="inlineStr">
        <is>
          <t>RT20250421-04219</t>
        </is>
      </c>
      <c r="B4220" s="59" t="inlineStr">
        <is>
          <t>2025-04-21</t>
        </is>
      </c>
      <c r="C4220" s="60" t="inlineStr">
        <is>
          <t>Metro Laptop Plus-376</t>
        </is>
      </c>
      <c r="D4220" s="58" t="inlineStr">
        <is>
          <t>Electronics</t>
        </is>
      </c>
      <c r="E4220" s="58" t="inlineStr">
        <is>
          <t>West</t>
        </is>
      </c>
      <c r="F4220" s="61" t="n">
        <v>2</v>
      </c>
      <c r="G4220" s="62" t="n">
        <v>1351.61</v>
      </c>
      <c r="H4220" s="63" t="n">
        <v>0.07000000000000001</v>
      </c>
      <c r="I4220" s="62" t="n">
        <v>1018.78</v>
      </c>
      <c r="J4220" s="58" t="inlineStr">
        <is>
          <t>Online</t>
        </is>
      </c>
      <c r="K4220" s="62">
        <f>F4220*(G4220-H4220)</f>
        <v/>
      </c>
      <c r="L4220" s="62">
        <f>K4220-(F4220*I4220)</f>
        <v/>
      </c>
      <c r="M4220" s="64">
        <f>L4220/K4220</f>
        <v/>
      </c>
    </row>
    <row r="4221">
      <c r="A4221" s="58" t="inlineStr">
        <is>
          <t>RT20250422-04220</t>
        </is>
      </c>
      <c r="B4221" s="59" t="inlineStr">
        <is>
          <t>2025-04-22</t>
        </is>
      </c>
      <c r="C4221" s="60" t="inlineStr">
        <is>
          <t>Metro Wearable Plus-234</t>
        </is>
      </c>
      <c r="D4221" s="58" t="inlineStr">
        <is>
          <t>Electronics</t>
        </is>
      </c>
      <c r="E4221" s="58" t="inlineStr">
        <is>
          <t>South</t>
        </is>
      </c>
      <c r="F4221" s="61" t="n">
        <v>1</v>
      </c>
      <c r="G4221" s="62" t="n">
        <v>1467.4</v>
      </c>
      <c r="H4221" s="63" t="n">
        <v>0.057</v>
      </c>
      <c r="I4221" s="62" t="n">
        <v>1160.98</v>
      </c>
      <c r="J4221" s="58" t="inlineStr">
        <is>
          <t>Store</t>
        </is>
      </c>
      <c r="K4221" s="62">
        <f>F4221*(G4221-H4221)</f>
        <v/>
      </c>
      <c r="L4221" s="62">
        <f>K4221-(F4221*I4221)</f>
        <v/>
      </c>
      <c r="M4221" s="64">
        <f>L4221/K4221</f>
        <v/>
      </c>
    </row>
    <row r="4222">
      <c r="A4222" s="58" t="inlineStr">
        <is>
          <t>RT20250422-04221</t>
        </is>
      </c>
      <c r="B4222" s="59" t="inlineStr">
        <is>
          <t>2025-04-22</t>
        </is>
      </c>
      <c r="C4222" s="60" t="inlineStr">
        <is>
          <t>Metro Decor Lite-325</t>
        </is>
      </c>
      <c r="D4222" s="58" t="inlineStr">
        <is>
          <t>Home</t>
        </is>
      </c>
      <c r="E4222" s="58" t="inlineStr">
        <is>
          <t>Central</t>
        </is>
      </c>
      <c r="F4222" s="61" t="n">
        <v>3</v>
      </c>
      <c r="G4222" s="62" t="n">
        <v>444.4</v>
      </c>
      <c r="H4222" s="63" t="n">
        <v>0.059</v>
      </c>
      <c r="I4222" s="62" t="n">
        <v>370.08</v>
      </c>
      <c r="J4222" s="58" t="inlineStr">
        <is>
          <t>Online</t>
        </is>
      </c>
      <c r="K4222" s="62">
        <f>F4222*(G4222-H4222)</f>
        <v/>
      </c>
      <c r="L4222" s="62">
        <f>K4222-(F4222*I4222)</f>
        <v/>
      </c>
      <c r="M4222" s="64">
        <f>L4222/K4222</f>
        <v/>
      </c>
    </row>
    <row r="4223">
      <c r="A4223" s="58" t="inlineStr">
        <is>
          <t>RT20250422-04222</t>
        </is>
      </c>
      <c r="B4223" s="59" t="inlineStr">
        <is>
          <t>2025-04-22</t>
        </is>
      </c>
      <c r="C4223" s="60" t="inlineStr">
        <is>
          <t>Aurora Wearable Lite-162</t>
        </is>
      </c>
      <c r="D4223" s="58" t="inlineStr">
        <is>
          <t>Electronics</t>
        </is>
      </c>
      <c r="E4223" s="58" t="inlineStr">
        <is>
          <t>South</t>
        </is>
      </c>
      <c r="F4223" s="61" t="n">
        <v>2</v>
      </c>
      <c r="G4223" s="62" t="n">
        <v>1461.6</v>
      </c>
      <c r="H4223" s="63" t="n">
        <v>0.08599999999999999</v>
      </c>
      <c r="I4223" s="62" t="n">
        <v>1180.18</v>
      </c>
      <c r="J4223" s="58" t="inlineStr">
        <is>
          <t>Online</t>
        </is>
      </c>
      <c r="K4223" s="62">
        <f>F4223*(G4223-H4223)</f>
        <v/>
      </c>
      <c r="L4223" s="62">
        <f>K4223-(F4223*I4223)</f>
        <v/>
      </c>
      <c r="M4223" s="64">
        <f>L4223/K4223</f>
        <v/>
      </c>
    </row>
    <row r="4224">
      <c r="A4224" s="58" t="inlineStr">
        <is>
          <t>RT20250422-04223</t>
        </is>
      </c>
      <c r="B4224" s="59" t="inlineStr">
        <is>
          <t>2025-04-22</t>
        </is>
      </c>
      <c r="C4224" s="60" t="inlineStr">
        <is>
          <t>Aurora Makeup S-626</t>
        </is>
      </c>
      <c r="D4224" s="58" t="inlineStr">
        <is>
          <t>Beauty</t>
        </is>
      </c>
      <c r="E4224" s="58" t="inlineStr">
        <is>
          <t>West</t>
        </is>
      </c>
      <c r="F4224" s="61" t="n">
        <v>3</v>
      </c>
      <c r="G4224" s="62" t="n">
        <v>106.82</v>
      </c>
      <c r="H4224" s="63" t="n">
        <v>0.065</v>
      </c>
      <c r="I4224" s="62" t="n">
        <v>61.96</v>
      </c>
      <c r="J4224" s="58" t="inlineStr">
        <is>
          <t>Online</t>
        </is>
      </c>
      <c r="K4224" s="62">
        <f>F4224*(G4224-H4224)</f>
        <v/>
      </c>
      <c r="L4224" s="62">
        <f>K4224-(F4224*I4224)</f>
        <v/>
      </c>
      <c r="M4224" s="64">
        <f>L4224/K4224</f>
        <v/>
      </c>
    </row>
    <row r="4225">
      <c r="A4225" s="58" t="inlineStr">
        <is>
          <t>RT20250422-04224</t>
        </is>
      </c>
      <c r="B4225" s="59" t="inlineStr">
        <is>
          <t>2025-04-22</t>
        </is>
      </c>
      <c r="C4225" s="60" t="inlineStr">
        <is>
          <t>Solace Snack S-691</t>
        </is>
      </c>
      <c r="D4225" s="58" t="inlineStr">
        <is>
          <t>Grocery</t>
        </is>
      </c>
      <c r="E4225" s="58" t="inlineStr">
        <is>
          <t>East</t>
        </is>
      </c>
      <c r="F4225" s="61" t="n">
        <v>7</v>
      </c>
      <c r="G4225" s="62" t="n">
        <v>9.51</v>
      </c>
      <c r="H4225" s="63" t="n">
        <v>0.029</v>
      </c>
      <c r="I4225" s="62" t="n">
        <v>7.18</v>
      </c>
      <c r="J4225" s="58" t="inlineStr">
        <is>
          <t>Store</t>
        </is>
      </c>
      <c r="K4225" s="62">
        <f>F4225*(G4225-H4225)</f>
        <v/>
      </c>
      <c r="L4225" s="62">
        <f>K4225-(F4225*I4225)</f>
        <v/>
      </c>
      <c r="M4225" s="64">
        <f>L4225/K4225</f>
        <v/>
      </c>
    </row>
    <row r="4226">
      <c r="A4226" s="58" t="inlineStr">
        <is>
          <t>RT20250422-04225</t>
        </is>
      </c>
      <c r="B4226" s="59" t="inlineStr">
        <is>
          <t>2025-04-22</t>
        </is>
      </c>
      <c r="C4226" s="60" t="inlineStr">
        <is>
          <t>Solace Kitchen X-919</t>
        </is>
      </c>
      <c r="D4226" s="58" t="inlineStr">
        <is>
          <t>Home</t>
        </is>
      </c>
      <c r="E4226" s="58" t="inlineStr">
        <is>
          <t>North</t>
        </is>
      </c>
      <c r="F4226" s="61" t="n">
        <v>1</v>
      </c>
      <c r="G4226" s="62" t="n">
        <v>404.17</v>
      </c>
      <c r="H4226" s="63" t="n">
        <v>0.061</v>
      </c>
      <c r="I4226" s="62" t="n">
        <v>254.36</v>
      </c>
      <c r="J4226" s="58" t="inlineStr">
        <is>
          <t>Store</t>
        </is>
      </c>
      <c r="K4226" s="62">
        <f>F4226*(G4226-H4226)</f>
        <v/>
      </c>
      <c r="L4226" s="62">
        <f>K4226-(F4226*I4226)</f>
        <v/>
      </c>
      <c r="M4226" s="64">
        <f>L4226/K4226</f>
        <v/>
      </c>
    </row>
    <row r="4227">
      <c r="A4227" s="58" t="inlineStr">
        <is>
          <t>RT20250422-04226</t>
        </is>
      </c>
      <c r="B4227" s="59" t="inlineStr">
        <is>
          <t>2025-04-22</t>
        </is>
      </c>
      <c r="C4227" s="60" t="inlineStr">
        <is>
          <t>Orion Snack X-322</t>
        </is>
      </c>
      <c r="D4227" s="58" t="inlineStr">
        <is>
          <t>Grocery</t>
        </is>
      </c>
      <c r="E4227" s="58" t="inlineStr">
        <is>
          <t>South</t>
        </is>
      </c>
      <c r="F4227" s="61" t="n">
        <v>7</v>
      </c>
      <c r="G4227" s="62" t="n">
        <v>14.22</v>
      </c>
      <c r="H4227" s="63" t="n">
        <v>0.08799999999999999</v>
      </c>
      <c r="I4227" s="62" t="n">
        <v>9.93</v>
      </c>
      <c r="J4227" s="58" t="inlineStr">
        <is>
          <t>Phone</t>
        </is>
      </c>
      <c r="K4227" s="62">
        <f>F4227*(G4227-H4227)</f>
        <v/>
      </c>
      <c r="L4227" s="62">
        <f>K4227-(F4227*I4227)</f>
        <v/>
      </c>
      <c r="M4227" s="64">
        <f>L4227/K4227</f>
        <v/>
      </c>
    </row>
    <row r="4228">
      <c r="A4228" s="58" t="inlineStr">
        <is>
          <t>RT20250422-04227</t>
        </is>
      </c>
      <c r="B4228" s="59" t="inlineStr">
        <is>
          <t>2025-04-22</t>
        </is>
      </c>
      <c r="C4228" s="60" t="inlineStr">
        <is>
          <t>Falcon Haircare Pro-980</t>
        </is>
      </c>
      <c r="D4228" s="58" t="inlineStr">
        <is>
          <t>Beauty</t>
        </is>
      </c>
      <c r="E4228" s="58" t="inlineStr">
        <is>
          <t>North</t>
        </is>
      </c>
      <c r="F4228" s="61" t="n">
        <v>2</v>
      </c>
      <c r="G4228" s="62" t="n">
        <v>98.14</v>
      </c>
      <c r="H4228" s="63" t="n">
        <v>0.059</v>
      </c>
      <c r="I4228" s="62" t="n">
        <v>58.49</v>
      </c>
      <c r="J4228" s="58" t="inlineStr">
        <is>
          <t>Online</t>
        </is>
      </c>
      <c r="K4228" s="62">
        <f>F4228*(G4228-H4228)</f>
        <v/>
      </c>
      <c r="L4228" s="62">
        <f>K4228-(F4228*I4228)</f>
        <v/>
      </c>
      <c r="M4228" s="64">
        <f>L4228/K4228</f>
        <v/>
      </c>
    </row>
    <row r="4229">
      <c r="A4229" s="58" t="inlineStr">
        <is>
          <t>RT20250422-04228</t>
        </is>
      </c>
      <c r="B4229" s="59" t="inlineStr">
        <is>
          <t>2025-04-22</t>
        </is>
      </c>
      <c r="C4229" s="60" t="inlineStr">
        <is>
          <t>Metro Decor Lite-325</t>
        </is>
      </c>
      <c r="D4229" s="58" t="inlineStr">
        <is>
          <t>Home</t>
        </is>
      </c>
      <c r="E4229" s="58" t="inlineStr">
        <is>
          <t>East</t>
        </is>
      </c>
      <c r="F4229" s="61" t="n">
        <v>3</v>
      </c>
      <c r="G4229" s="62" t="n">
        <v>571.52</v>
      </c>
      <c r="H4229" s="63" t="n">
        <v>0.021</v>
      </c>
      <c r="I4229" s="62" t="n">
        <v>384.53</v>
      </c>
      <c r="J4229" s="58" t="inlineStr">
        <is>
          <t>Online</t>
        </is>
      </c>
      <c r="K4229" s="62">
        <f>F4229*(G4229-H4229)</f>
        <v/>
      </c>
      <c r="L4229" s="62">
        <f>K4229-(F4229*I4229)</f>
        <v/>
      </c>
      <c r="M4229" s="64">
        <f>L4229/K4229</f>
        <v/>
      </c>
    </row>
    <row r="4230">
      <c r="A4230" s="58" t="inlineStr">
        <is>
          <t>RT20250422-04229</t>
        </is>
      </c>
      <c r="B4230" s="59" t="inlineStr">
        <is>
          <t>2025-04-22</t>
        </is>
      </c>
      <c r="C4230" s="60" t="inlineStr">
        <is>
          <t>Solace Kid S-384</t>
        </is>
      </c>
      <c r="D4230" s="58" t="inlineStr">
        <is>
          <t>Apparel</t>
        </is>
      </c>
      <c r="E4230" s="58" t="inlineStr">
        <is>
          <t>North</t>
        </is>
      </c>
      <c r="F4230" s="61" t="n">
        <v>4</v>
      </c>
      <c r="G4230" s="62" t="n">
        <v>131.06</v>
      </c>
      <c r="H4230" s="63" t="n">
        <v>0.036</v>
      </c>
      <c r="I4230" s="62" t="n">
        <v>64.03</v>
      </c>
      <c r="J4230" s="58" t="inlineStr">
        <is>
          <t>Phone</t>
        </is>
      </c>
      <c r="K4230" s="62">
        <f>F4230*(G4230-H4230)</f>
        <v/>
      </c>
      <c r="L4230" s="62">
        <f>K4230-(F4230*I4230)</f>
        <v/>
      </c>
      <c r="M4230" s="64">
        <f>L4230/K4230</f>
        <v/>
      </c>
    </row>
    <row r="4231">
      <c r="A4231" s="58" t="inlineStr">
        <is>
          <t>RT20250422-04230</t>
        </is>
      </c>
      <c r="B4231" s="59" t="inlineStr">
        <is>
          <t>2025-04-22</t>
        </is>
      </c>
      <c r="C4231" s="60" t="inlineStr">
        <is>
          <t>Polar Haircare Max-614</t>
        </is>
      </c>
      <c r="D4231" s="58" t="inlineStr">
        <is>
          <t>Beauty</t>
        </is>
      </c>
      <c r="E4231" s="58" t="inlineStr">
        <is>
          <t>North</t>
        </is>
      </c>
      <c r="F4231" s="61" t="n">
        <v>3</v>
      </c>
      <c r="G4231" s="62" t="n">
        <v>101.87</v>
      </c>
      <c r="H4231" s="63" t="n">
        <v>0.109</v>
      </c>
      <c r="I4231" s="62" t="n">
        <v>69.28</v>
      </c>
      <c r="J4231" s="58" t="inlineStr">
        <is>
          <t>Online</t>
        </is>
      </c>
      <c r="K4231" s="62">
        <f>F4231*(G4231-H4231)</f>
        <v/>
      </c>
      <c r="L4231" s="62">
        <f>K4231-(F4231*I4231)</f>
        <v/>
      </c>
      <c r="M4231" s="64">
        <f>L4231/K4231</f>
        <v/>
      </c>
    </row>
    <row r="4232">
      <c r="A4232" s="58" t="inlineStr">
        <is>
          <t>RT20250422-04231</t>
        </is>
      </c>
      <c r="B4232" s="59" t="inlineStr">
        <is>
          <t>2025-04-22</t>
        </is>
      </c>
      <c r="C4232" s="60" t="inlineStr">
        <is>
          <t>Orion Laptop S-350</t>
        </is>
      </c>
      <c r="D4232" s="58" t="inlineStr">
        <is>
          <t>Electronics</t>
        </is>
      </c>
      <c r="E4232" s="58" t="inlineStr">
        <is>
          <t>West</t>
        </is>
      </c>
      <c r="F4232" s="61" t="n">
        <v>1</v>
      </c>
      <c r="G4232" s="62" t="n">
        <v>1392</v>
      </c>
      <c r="H4232" s="63" t="n">
        <v>0.101</v>
      </c>
      <c r="I4232" s="62" t="n">
        <v>1059.7</v>
      </c>
      <c r="J4232" s="58" t="inlineStr">
        <is>
          <t>Store</t>
        </is>
      </c>
      <c r="K4232" s="62">
        <f>F4232*(G4232-H4232)</f>
        <v/>
      </c>
      <c r="L4232" s="62">
        <f>K4232-(F4232*I4232)</f>
        <v/>
      </c>
      <c r="M4232" s="64">
        <f>L4232/K4232</f>
        <v/>
      </c>
    </row>
    <row r="4233">
      <c r="A4233" s="58" t="inlineStr">
        <is>
          <t>RT20250422-04232</t>
        </is>
      </c>
      <c r="B4233" s="59" t="inlineStr">
        <is>
          <t>2025-04-22</t>
        </is>
      </c>
      <c r="C4233" s="60" t="inlineStr">
        <is>
          <t>Aurora Makeup Pro-489</t>
        </is>
      </c>
      <c r="D4233" s="58" t="inlineStr">
        <is>
          <t>Beauty</t>
        </is>
      </c>
      <c r="E4233" s="58" t="inlineStr">
        <is>
          <t>East</t>
        </is>
      </c>
      <c r="F4233" s="61" t="n">
        <v>5</v>
      </c>
      <c r="G4233" s="62" t="n">
        <v>94.84999999999999</v>
      </c>
      <c r="H4233" s="63" t="n">
        <v>0.051</v>
      </c>
      <c r="I4233" s="62" t="n">
        <v>61.88</v>
      </c>
      <c r="J4233" s="58" t="inlineStr">
        <is>
          <t>Online</t>
        </is>
      </c>
      <c r="K4233" s="62">
        <f>F4233*(G4233-H4233)</f>
        <v/>
      </c>
      <c r="L4233" s="62">
        <f>K4233-(F4233*I4233)</f>
        <v/>
      </c>
      <c r="M4233" s="64">
        <f>L4233/K4233</f>
        <v/>
      </c>
    </row>
    <row r="4234">
      <c r="A4234" s="58" t="inlineStr">
        <is>
          <t>RT20250422-04233</t>
        </is>
      </c>
      <c r="B4234" s="59" t="inlineStr">
        <is>
          <t>2025-04-22</t>
        </is>
      </c>
      <c r="C4234" s="60" t="inlineStr">
        <is>
          <t>Orion Supplie S-612</t>
        </is>
      </c>
      <c r="D4234" s="58" t="inlineStr">
        <is>
          <t>Office</t>
        </is>
      </c>
      <c r="E4234" s="58" t="inlineStr">
        <is>
          <t>East</t>
        </is>
      </c>
      <c r="F4234" s="61" t="n">
        <v>3</v>
      </c>
      <c r="G4234" s="62" t="n">
        <v>487.62</v>
      </c>
      <c r="H4234" s="63" t="n">
        <v>0.08699999999999999</v>
      </c>
      <c r="I4234" s="62" t="n">
        <v>338.35</v>
      </c>
      <c r="J4234" s="58" t="inlineStr">
        <is>
          <t>Store</t>
        </is>
      </c>
      <c r="K4234" s="62">
        <f>F4234*(G4234-H4234)</f>
        <v/>
      </c>
      <c r="L4234" s="62">
        <f>K4234-(F4234*I4234)</f>
        <v/>
      </c>
      <c r="M4234" s="64">
        <f>L4234/K4234</f>
        <v/>
      </c>
    </row>
    <row r="4235">
      <c r="A4235" s="58" t="inlineStr">
        <is>
          <t>RT20250422-04234</t>
        </is>
      </c>
      <c r="B4235" s="59" t="inlineStr">
        <is>
          <t>2025-04-22</t>
        </is>
      </c>
      <c r="C4235" s="60" t="inlineStr">
        <is>
          <t>Falcon Kitchen X-130</t>
        </is>
      </c>
      <c r="D4235" s="58" t="inlineStr">
        <is>
          <t>Home</t>
        </is>
      </c>
      <c r="E4235" s="58" t="inlineStr">
        <is>
          <t>West</t>
        </is>
      </c>
      <c r="F4235" s="61" t="n">
        <v>3</v>
      </c>
      <c r="G4235" s="62" t="n">
        <v>407.3</v>
      </c>
      <c r="H4235" s="63" t="n">
        <v>0.08500000000000001</v>
      </c>
      <c r="I4235" s="62" t="n">
        <v>282.46</v>
      </c>
      <c r="J4235" s="58" t="inlineStr">
        <is>
          <t>Online</t>
        </is>
      </c>
      <c r="K4235" s="62">
        <f>F4235*(G4235-H4235)</f>
        <v/>
      </c>
      <c r="L4235" s="62">
        <f>K4235-(F4235*I4235)</f>
        <v/>
      </c>
      <c r="M4235" s="64">
        <f>L4235/K4235</f>
        <v/>
      </c>
    </row>
    <row r="4236">
      <c r="A4236" s="58" t="inlineStr">
        <is>
          <t>RT20250422-04235</t>
        </is>
      </c>
      <c r="B4236" s="59" t="inlineStr">
        <is>
          <t>2025-04-22</t>
        </is>
      </c>
      <c r="C4236" s="60" t="inlineStr">
        <is>
          <t>Nimbus Headphone X-854</t>
        </is>
      </c>
      <c r="D4236" s="58" t="inlineStr">
        <is>
          <t>Electronics</t>
        </is>
      </c>
      <c r="E4236" s="58" t="inlineStr">
        <is>
          <t>West</t>
        </is>
      </c>
      <c r="F4236" s="61" t="n">
        <v>1</v>
      </c>
      <c r="G4236" s="62" t="n">
        <v>1495.66</v>
      </c>
      <c r="H4236" s="63" t="n">
        <v>0.063</v>
      </c>
      <c r="I4236" s="62" t="n">
        <v>1234.51</v>
      </c>
      <c r="J4236" s="58" t="inlineStr">
        <is>
          <t>Phone</t>
        </is>
      </c>
      <c r="K4236" s="62">
        <f>F4236*(G4236-H4236)</f>
        <v/>
      </c>
      <c r="L4236" s="62">
        <f>K4236-(F4236*I4236)</f>
        <v/>
      </c>
      <c r="M4236" s="64">
        <f>L4236/K4236</f>
        <v/>
      </c>
    </row>
    <row r="4237">
      <c r="A4237" s="58" t="inlineStr">
        <is>
          <t>RT20250422-04236</t>
        </is>
      </c>
      <c r="B4237" s="59" t="inlineStr">
        <is>
          <t>2025-04-22</t>
        </is>
      </c>
      <c r="C4237" s="60" t="inlineStr">
        <is>
          <t>Polar Pantry Lite-392</t>
        </is>
      </c>
      <c r="D4237" s="58" t="inlineStr">
        <is>
          <t>Grocery</t>
        </is>
      </c>
      <c r="E4237" s="58" t="inlineStr">
        <is>
          <t>Central</t>
        </is>
      </c>
      <c r="F4237" s="61" t="n">
        <v>7</v>
      </c>
      <c r="G4237" s="62" t="n">
        <v>6.05</v>
      </c>
      <c r="H4237" s="63" t="n">
        <v>0.061</v>
      </c>
      <c r="I4237" s="62" t="n">
        <v>4.53</v>
      </c>
      <c r="J4237" s="58" t="inlineStr">
        <is>
          <t>Store</t>
        </is>
      </c>
      <c r="K4237" s="62">
        <f>F4237*(G4237-H4237)</f>
        <v/>
      </c>
      <c r="L4237" s="62">
        <f>K4237-(F4237*I4237)</f>
        <v/>
      </c>
      <c r="M4237" s="64">
        <f>L4237/K4237</f>
        <v/>
      </c>
    </row>
    <row r="4238">
      <c r="A4238" s="58" t="inlineStr">
        <is>
          <t>RT20250422-04237</t>
        </is>
      </c>
      <c r="B4238" s="59" t="inlineStr">
        <is>
          <t>2025-04-22</t>
        </is>
      </c>
      <c r="C4238" s="60" t="inlineStr">
        <is>
          <t>Vertex Fitnes Pro-830</t>
        </is>
      </c>
      <c r="D4238" s="58" t="inlineStr">
        <is>
          <t>Sports</t>
        </is>
      </c>
      <c r="E4238" s="58" t="inlineStr">
        <is>
          <t>East</t>
        </is>
      </c>
      <c r="F4238" s="61" t="n">
        <v>3</v>
      </c>
      <c r="G4238" s="62" t="n">
        <v>741.66</v>
      </c>
      <c r="H4238" s="63" t="n">
        <v>0.102</v>
      </c>
      <c r="I4238" s="62" t="n">
        <v>491.06</v>
      </c>
      <c r="J4238" s="58" t="inlineStr">
        <is>
          <t>Phone</t>
        </is>
      </c>
      <c r="K4238" s="62">
        <f>F4238*(G4238-H4238)</f>
        <v/>
      </c>
      <c r="L4238" s="62">
        <f>K4238-(F4238*I4238)</f>
        <v/>
      </c>
      <c r="M4238" s="64">
        <f>L4238/K4238</f>
        <v/>
      </c>
    </row>
    <row r="4239">
      <c r="A4239" s="58" t="inlineStr">
        <is>
          <t>RT20250422-04238</t>
        </is>
      </c>
      <c r="B4239" s="59" t="inlineStr">
        <is>
          <t>2025-04-22</t>
        </is>
      </c>
      <c r="C4239" s="60" t="inlineStr">
        <is>
          <t>Solace Kitchen Pro-510</t>
        </is>
      </c>
      <c r="D4239" s="58" t="inlineStr">
        <is>
          <t>Home</t>
        </is>
      </c>
      <c r="E4239" s="58" t="inlineStr">
        <is>
          <t>South</t>
        </is>
      </c>
      <c r="F4239" s="61" t="n">
        <v>3</v>
      </c>
      <c r="G4239" s="62" t="n">
        <v>435.69</v>
      </c>
      <c r="H4239" s="63" t="n">
        <v>0</v>
      </c>
      <c r="I4239" s="62" t="n">
        <v>314.93</v>
      </c>
      <c r="J4239" s="58" t="inlineStr">
        <is>
          <t>Online</t>
        </is>
      </c>
      <c r="K4239" s="62">
        <f>F4239*(G4239-H4239)</f>
        <v/>
      </c>
      <c r="L4239" s="62">
        <f>K4239-(F4239*I4239)</f>
        <v/>
      </c>
      <c r="M4239" s="64">
        <f>L4239/K4239</f>
        <v/>
      </c>
    </row>
    <row r="4240">
      <c r="A4240" s="58" t="inlineStr">
        <is>
          <t>RT20250422-04239</t>
        </is>
      </c>
      <c r="B4240" s="59" t="inlineStr">
        <is>
          <t>2025-04-22</t>
        </is>
      </c>
      <c r="C4240" s="60" t="inlineStr">
        <is>
          <t>Vertex Decor Pro-618</t>
        </is>
      </c>
      <c r="D4240" s="58" t="inlineStr">
        <is>
          <t>Home</t>
        </is>
      </c>
      <c r="E4240" s="58" t="inlineStr">
        <is>
          <t>Central</t>
        </is>
      </c>
      <c r="F4240" s="61" t="n">
        <v>3</v>
      </c>
      <c r="G4240" s="62" t="n">
        <v>512.46</v>
      </c>
      <c r="H4240" s="63" t="n">
        <v>0.083</v>
      </c>
      <c r="I4240" s="62" t="n">
        <v>369.36</v>
      </c>
      <c r="J4240" s="58" t="inlineStr">
        <is>
          <t>Online</t>
        </is>
      </c>
      <c r="K4240" s="62">
        <f>F4240*(G4240-H4240)</f>
        <v/>
      </c>
      <c r="L4240" s="62">
        <f>K4240-(F4240*I4240)</f>
        <v/>
      </c>
      <c r="M4240" s="64">
        <f>L4240/K4240</f>
        <v/>
      </c>
    </row>
    <row r="4241">
      <c r="A4241" s="58" t="inlineStr">
        <is>
          <t>RT20250422-04240</t>
        </is>
      </c>
      <c r="B4241" s="59" t="inlineStr">
        <is>
          <t>2025-04-22</t>
        </is>
      </c>
      <c r="C4241" s="60" t="inlineStr">
        <is>
          <t>Metro Printer X-294</t>
        </is>
      </c>
      <c r="D4241" s="58" t="inlineStr">
        <is>
          <t>Office</t>
        </is>
      </c>
      <c r="E4241" s="58" t="inlineStr">
        <is>
          <t>West</t>
        </is>
      </c>
      <c r="F4241" s="61" t="n">
        <v>3</v>
      </c>
      <c r="G4241" s="62" t="n">
        <v>534.35</v>
      </c>
      <c r="H4241" s="63" t="n">
        <v>0.066</v>
      </c>
      <c r="I4241" s="62" t="n">
        <v>414.8</v>
      </c>
      <c r="J4241" s="58" t="inlineStr">
        <is>
          <t>Online</t>
        </is>
      </c>
      <c r="K4241" s="62">
        <f>F4241*(G4241-H4241)</f>
        <v/>
      </c>
      <c r="L4241" s="62">
        <f>K4241-(F4241*I4241)</f>
        <v/>
      </c>
      <c r="M4241" s="64">
        <f>L4241/K4241</f>
        <v/>
      </c>
    </row>
    <row r="4242">
      <c r="A4242" s="58" t="inlineStr">
        <is>
          <t>RT20250422-04241</t>
        </is>
      </c>
      <c r="B4242" s="59" t="inlineStr">
        <is>
          <t>2025-04-22</t>
        </is>
      </c>
      <c r="C4242" s="60" t="inlineStr">
        <is>
          <t>Solace Headphone Pro-344</t>
        </is>
      </c>
      <c r="D4242" s="58" t="inlineStr">
        <is>
          <t>Electronics</t>
        </is>
      </c>
      <c r="E4242" s="58" t="inlineStr">
        <is>
          <t>East</t>
        </is>
      </c>
      <c r="F4242" s="61" t="n">
        <v>1</v>
      </c>
      <c r="G4242" s="62" t="n">
        <v>1474.69</v>
      </c>
      <c r="H4242" s="63" t="n">
        <v>0.047</v>
      </c>
      <c r="I4242" s="62" t="n">
        <v>1078.64</v>
      </c>
      <c r="J4242" s="58" t="inlineStr">
        <is>
          <t>Online</t>
        </is>
      </c>
      <c r="K4242" s="62">
        <f>F4242*(G4242-H4242)</f>
        <v/>
      </c>
      <c r="L4242" s="62">
        <f>K4242-(F4242*I4242)</f>
        <v/>
      </c>
      <c r="M4242" s="64">
        <f>L4242/K4242</f>
        <v/>
      </c>
    </row>
    <row r="4243">
      <c r="A4243" s="58" t="inlineStr">
        <is>
          <t>RT20250422-04242</t>
        </is>
      </c>
      <c r="B4243" s="59" t="inlineStr">
        <is>
          <t>2025-04-22</t>
        </is>
      </c>
      <c r="C4243" s="60" t="inlineStr">
        <is>
          <t>Solace Laptop S-367</t>
        </is>
      </c>
      <c r="D4243" s="58" t="inlineStr">
        <is>
          <t>Electronics</t>
        </is>
      </c>
      <c r="E4243" s="58" t="inlineStr">
        <is>
          <t>North</t>
        </is>
      </c>
      <c r="F4243" s="61" t="n">
        <v>1</v>
      </c>
      <c r="G4243" s="62" t="n">
        <v>2214.31</v>
      </c>
      <c r="H4243" s="63" t="n">
        <v>0.099</v>
      </c>
      <c r="I4243" s="62" t="n">
        <v>1589.48</v>
      </c>
      <c r="J4243" s="58" t="inlineStr">
        <is>
          <t>Online</t>
        </is>
      </c>
      <c r="K4243" s="62">
        <f>F4243*(G4243-H4243)</f>
        <v/>
      </c>
      <c r="L4243" s="62">
        <f>K4243-(F4243*I4243)</f>
        <v/>
      </c>
      <c r="M4243" s="64">
        <f>L4243/K4243</f>
        <v/>
      </c>
    </row>
    <row r="4244">
      <c r="A4244" s="58" t="inlineStr">
        <is>
          <t>RT20250422-04243</t>
        </is>
      </c>
      <c r="B4244" s="59" t="inlineStr">
        <is>
          <t>2025-04-22</t>
        </is>
      </c>
      <c r="C4244" s="60" t="inlineStr">
        <is>
          <t>Metro Decor Lite-325</t>
        </is>
      </c>
      <c r="D4244" s="58" t="inlineStr">
        <is>
          <t>Home</t>
        </is>
      </c>
      <c r="E4244" s="58" t="inlineStr">
        <is>
          <t>North</t>
        </is>
      </c>
      <c r="F4244" s="61" t="n">
        <v>1</v>
      </c>
      <c r="G4244" s="62" t="n">
        <v>560.25</v>
      </c>
      <c r="H4244" s="63" t="n">
        <v>0.08599999999999999</v>
      </c>
      <c r="I4244" s="62" t="n">
        <v>375.76</v>
      </c>
      <c r="J4244" s="58" t="inlineStr">
        <is>
          <t>Store</t>
        </is>
      </c>
      <c r="K4244" s="62">
        <f>F4244*(G4244-H4244)</f>
        <v/>
      </c>
      <c r="L4244" s="62">
        <f>K4244-(F4244*I4244)</f>
        <v/>
      </c>
      <c r="M4244" s="64">
        <f>L4244/K4244</f>
        <v/>
      </c>
    </row>
    <row r="4245">
      <c r="A4245" s="58" t="inlineStr">
        <is>
          <t>RT20250422-04244</t>
        </is>
      </c>
      <c r="B4245" s="59" t="inlineStr">
        <is>
          <t>2025-04-22</t>
        </is>
      </c>
      <c r="C4245" s="60" t="inlineStr">
        <is>
          <t>Vertex Furniture S-652</t>
        </is>
      </c>
      <c r="D4245" s="58" t="inlineStr">
        <is>
          <t>Office</t>
        </is>
      </c>
      <c r="E4245" s="58" t="inlineStr">
        <is>
          <t>East</t>
        </is>
      </c>
      <c r="F4245" s="61" t="n">
        <v>2</v>
      </c>
      <c r="G4245" s="62" t="n">
        <v>357</v>
      </c>
      <c r="H4245" s="63" t="n">
        <v>0.073</v>
      </c>
      <c r="I4245" s="62" t="n">
        <v>268.55</v>
      </c>
      <c r="J4245" s="58" t="inlineStr">
        <is>
          <t>Online</t>
        </is>
      </c>
      <c r="K4245" s="62">
        <f>F4245*(G4245-H4245)</f>
        <v/>
      </c>
      <c r="L4245" s="62">
        <f>K4245-(F4245*I4245)</f>
        <v/>
      </c>
      <c r="M4245" s="64">
        <f>L4245/K4245</f>
        <v/>
      </c>
    </row>
    <row r="4246">
      <c r="A4246" s="58" t="inlineStr">
        <is>
          <t>RT20250422-04245</t>
        </is>
      </c>
      <c r="B4246" s="59" t="inlineStr">
        <is>
          <t>2025-04-22</t>
        </is>
      </c>
      <c r="C4246" s="60" t="inlineStr">
        <is>
          <t>Orion Kitchen Pro-568</t>
        </is>
      </c>
      <c r="D4246" s="58" t="inlineStr">
        <is>
          <t>Home</t>
        </is>
      </c>
      <c r="E4246" s="58" t="inlineStr">
        <is>
          <t>West</t>
        </is>
      </c>
      <c r="F4246" s="61" t="n">
        <v>3</v>
      </c>
      <c r="G4246" s="62" t="n">
        <v>447.6</v>
      </c>
      <c r="H4246" s="63" t="n">
        <v>0.065</v>
      </c>
      <c r="I4246" s="62" t="n">
        <v>308.91</v>
      </c>
      <c r="J4246" s="58" t="inlineStr">
        <is>
          <t>Online</t>
        </is>
      </c>
      <c r="K4246" s="62">
        <f>F4246*(G4246-H4246)</f>
        <v/>
      </c>
      <c r="L4246" s="62">
        <f>K4246-(F4246*I4246)</f>
        <v/>
      </c>
      <c r="M4246" s="64">
        <f>L4246/K4246</f>
        <v/>
      </c>
    </row>
    <row r="4247">
      <c r="A4247" s="58" t="inlineStr">
        <is>
          <t>RT20250422-04246</t>
        </is>
      </c>
      <c r="B4247" s="59" t="inlineStr">
        <is>
          <t>2025-04-22</t>
        </is>
      </c>
      <c r="C4247" s="60" t="inlineStr">
        <is>
          <t>Vertex Supplie Pro-786</t>
        </is>
      </c>
      <c r="D4247" s="58" t="inlineStr">
        <is>
          <t>Office</t>
        </is>
      </c>
      <c r="E4247" s="58" t="inlineStr">
        <is>
          <t>South</t>
        </is>
      </c>
      <c r="F4247" s="61" t="n">
        <v>2</v>
      </c>
      <c r="G4247" s="62" t="n">
        <v>419.21</v>
      </c>
      <c r="H4247" s="63" t="n">
        <v>0.06900000000000001</v>
      </c>
      <c r="I4247" s="62" t="n">
        <v>292.74</v>
      </c>
      <c r="J4247" s="58" t="inlineStr">
        <is>
          <t>Online</t>
        </is>
      </c>
      <c r="K4247" s="62">
        <f>F4247*(G4247-H4247)</f>
        <v/>
      </c>
      <c r="L4247" s="62">
        <f>K4247-(F4247*I4247)</f>
        <v/>
      </c>
      <c r="M4247" s="64">
        <f>L4247/K4247</f>
        <v/>
      </c>
    </row>
    <row r="4248">
      <c r="A4248" s="58" t="inlineStr">
        <is>
          <t>RT20250422-04247</t>
        </is>
      </c>
      <c r="B4248" s="59" t="inlineStr">
        <is>
          <t>2025-04-22</t>
        </is>
      </c>
      <c r="C4248" s="60" t="inlineStr">
        <is>
          <t>Metro Accessorie Max-316</t>
        </is>
      </c>
      <c r="D4248" s="58" t="inlineStr">
        <is>
          <t>Apparel</t>
        </is>
      </c>
      <c r="E4248" s="58" t="inlineStr">
        <is>
          <t>West</t>
        </is>
      </c>
      <c r="F4248" s="61" t="n">
        <v>3</v>
      </c>
      <c r="G4248" s="62" t="n">
        <v>149.65</v>
      </c>
      <c r="H4248" s="63" t="n">
        <v>0.049</v>
      </c>
      <c r="I4248" s="62" t="n">
        <v>94.59</v>
      </c>
      <c r="J4248" s="58" t="inlineStr">
        <is>
          <t>Online</t>
        </is>
      </c>
      <c r="K4248" s="62">
        <f>F4248*(G4248-H4248)</f>
        <v/>
      </c>
      <c r="L4248" s="62">
        <f>K4248-(F4248*I4248)</f>
        <v/>
      </c>
      <c r="M4248" s="64">
        <f>L4248/K4248</f>
        <v/>
      </c>
    </row>
    <row r="4249">
      <c r="A4249" s="58" t="inlineStr">
        <is>
          <t>RT20250423-04248</t>
        </is>
      </c>
      <c r="B4249" s="59" t="inlineStr">
        <is>
          <t>2025-04-23</t>
        </is>
      </c>
      <c r="C4249" s="60" t="inlineStr">
        <is>
          <t>Solace Smartphone Lite-533</t>
        </is>
      </c>
      <c r="D4249" s="58" t="inlineStr">
        <is>
          <t>Electronics</t>
        </is>
      </c>
      <c r="E4249" s="58" t="inlineStr">
        <is>
          <t>West</t>
        </is>
      </c>
      <c r="F4249" s="61" t="n">
        <v>1</v>
      </c>
      <c r="G4249" s="62" t="n">
        <v>1356.58</v>
      </c>
      <c r="H4249" s="63" t="n">
        <v>0.068</v>
      </c>
      <c r="I4249" s="62" t="n">
        <v>946.34</v>
      </c>
      <c r="J4249" s="58" t="inlineStr">
        <is>
          <t>Store</t>
        </is>
      </c>
      <c r="K4249" s="62">
        <f>F4249*(G4249-H4249)</f>
        <v/>
      </c>
      <c r="L4249" s="62">
        <f>K4249-(F4249*I4249)</f>
        <v/>
      </c>
      <c r="M4249" s="64">
        <f>L4249/K4249</f>
        <v/>
      </c>
    </row>
    <row r="4250">
      <c r="A4250" s="58" t="inlineStr">
        <is>
          <t>RT20250423-04249</t>
        </is>
      </c>
      <c r="B4250" s="59" t="inlineStr">
        <is>
          <t>2025-04-23</t>
        </is>
      </c>
      <c r="C4250" s="60" t="inlineStr">
        <is>
          <t>Vertex Skincare Pro-891</t>
        </is>
      </c>
      <c r="D4250" s="58" t="inlineStr">
        <is>
          <t>Beauty</t>
        </is>
      </c>
      <c r="E4250" s="58" t="inlineStr">
        <is>
          <t>North</t>
        </is>
      </c>
      <c r="F4250" s="61" t="n">
        <v>1</v>
      </c>
      <c r="G4250" s="62" t="n">
        <v>123.1</v>
      </c>
      <c r="H4250" s="63" t="n">
        <v>0.048</v>
      </c>
      <c r="I4250" s="62" t="n">
        <v>86.36</v>
      </c>
      <c r="J4250" s="58" t="inlineStr">
        <is>
          <t>Online</t>
        </is>
      </c>
      <c r="K4250" s="62">
        <f>F4250*(G4250-H4250)</f>
        <v/>
      </c>
      <c r="L4250" s="62">
        <f>K4250-(F4250*I4250)</f>
        <v/>
      </c>
      <c r="M4250" s="64">
        <f>L4250/K4250</f>
        <v/>
      </c>
    </row>
    <row r="4251">
      <c r="A4251" s="58" t="inlineStr">
        <is>
          <t>RT20250423-04250</t>
        </is>
      </c>
      <c r="B4251" s="59" t="inlineStr">
        <is>
          <t>2025-04-23</t>
        </is>
      </c>
      <c r="C4251" s="60" t="inlineStr">
        <is>
          <t>Falcon Cycling Pro-499</t>
        </is>
      </c>
      <c r="D4251" s="58" t="inlineStr">
        <is>
          <t>Sports</t>
        </is>
      </c>
      <c r="E4251" s="58" t="inlineStr">
        <is>
          <t>West</t>
        </is>
      </c>
      <c r="F4251" s="61" t="n">
        <v>1</v>
      </c>
      <c r="G4251" s="62" t="n">
        <v>671.48</v>
      </c>
      <c r="H4251" s="63" t="n">
        <v>0.122</v>
      </c>
      <c r="I4251" s="62" t="n">
        <v>414.32</v>
      </c>
      <c r="J4251" s="58" t="inlineStr">
        <is>
          <t>Store</t>
        </is>
      </c>
      <c r="K4251" s="62">
        <f>F4251*(G4251-H4251)</f>
        <v/>
      </c>
      <c r="L4251" s="62">
        <f>K4251-(F4251*I4251)</f>
        <v/>
      </c>
      <c r="M4251" s="64">
        <f>L4251/K4251</f>
        <v/>
      </c>
    </row>
    <row r="4252">
      <c r="A4252" s="58" t="inlineStr">
        <is>
          <t>RT20250423-04251</t>
        </is>
      </c>
      <c r="B4252" s="59" t="inlineStr">
        <is>
          <t>2025-04-23</t>
        </is>
      </c>
      <c r="C4252" s="60" t="inlineStr">
        <is>
          <t>Solace Makeup Pro-214</t>
        </is>
      </c>
      <c r="D4252" s="58" t="inlineStr">
        <is>
          <t>Beauty</t>
        </is>
      </c>
      <c r="E4252" s="58" t="inlineStr">
        <is>
          <t>Central</t>
        </is>
      </c>
      <c r="F4252" s="61" t="n">
        <v>4</v>
      </c>
      <c r="G4252" s="62" t="n">
        <v>105.33</v>
      </c>
      <c r="H4252" s="63" t="n">
        <v>0.06900000000000001</v>
      </c>
      <c r="I4252" s="62" t="n">
        <v>66.45999999999999</v>
      </c>
      <c r="J4252" s="58" t="inlineStr">
        <is>
          <t>Store</t>
        </is>
      </c>
      <c r="K4252" s="62">
        <f>F4252*(G4252-H4252)</f>
        <v/>
      </c>
      <c r="L4252" s="62">
        <f>K4252-(F4252*I4252)</f>
        <v/>
      </c>
      <c r="M4252" s="64">
        <f>L4252/K4252</f>
        <v/>
      </c>
    </row>
    <row r="4253">
      <c r="A4253" s="58" t="inlineStr">
        <is>
          <t>RT20250423-04252</t>
        </is>
      </c>
      <c r="B4253" s="59" t="inlineStr">
        <is>
          <t>2025-04-23</t>
        </is>
      </c>
      <c r="C4253" s="60" t="inlineStr">
        <is>
          <t>Vertex Appliance S-296</t>
        </is>
      </c>
      <c r="D4253" s="58" t="inlineStr">
        <is>
          <t>Home</t>
        </is>
      </c>
      <c r="E4253" s="58" t="inlineStr">
        <is>
          <t>West</t>
        </is>
      </c>
      <c r="F4253" s="61" t="n">
        <v>2</v>
      </c>
      <c r="G4253" s="62" t="n">
        <v>614.1</v>
      </c>
      <c r="H4253" s="63" t="n">
        <v>0.08400000000000001</v>
      </c>
      <c r="I4253" s="62" t="n">
        <v>365.3</v>
      </c>
      <c r="J4253" s="58" t="inlineStr">
        <is>
          <t>Online</t>
        </is>
      </c>
      <c r="K4253" s="62">
        <f>F4253*(G4253-H4253)</f>
        <v/>
      </c>
      <c r="L4253" s="62">
        <f>K4253-(F4253*I4253)</f>
        <v/>
      </c>
      <c r="M4253" s="64">
        <f>L4253/K4253</f>
        <v/>
      </c>
    </row>
    <row r="4254">
      <c r="A4254" s="58" t="inlineStr">
        <is>
          <t>RT20250423-04253</t>
        </is>
      </c>
      <c r="B4254" s="59" t="inlineStr">
        <is>
          <t>2025-04-23</t>
        </is>
      </c>
      <c r="C4254" s="60" t="inlineStr">
        <is>
          <t>Orion Laptop S-350</t>
        </is>
      </c>
      <c r="D4254" s="58" t="inlineStr">
        <is>
          <t>Electronics</t>
        </is>
      </c>
      <c r="E4254" s="58" t="inlineStr">
        <is>
          <t>East</t>
        </is>
      </c>
      <c r="F4254" s="61" t="n">
        <v>1</v>
      </c>
      <c r="G4254" s="62" t="n">
        <v>1414.82</v>
      </c>
      <c r="H4254" s="63" t="n">
        <v>0.008999999999999999</v>
      </c>
      <c r="I4254" s="62" t="n">
        <v>1080.86</v>
      </c>
      <c r="J4254" s="58" t="inlineStr">
        <is>
          <t>Store</t>
        </is>
      </c>
      <c r="K4254" s="62">
        <f>F4254*(G4254-H4254)</f>
        <v/>
      </c>
      <c r="L4254" s="62">
        <f>K4254-(F4254*I4254)</f>
        <v/>
      </c>
      <c r="M4254" s="64">
        <f>L4254/K4254</f>
        <v/>
      </c>
    </row>
    <row r="4255">
      <c r="A4255" s="58" t="inlineStr">
        <is>
          <t>RT20250423-04254</t>
        </is>
      </c>
      <c r="B4255" s="59" t="inlineStr">
        <is>
          <t>2025-04-23</t>
        </is>
      </c>
      <c r="C4255" s="60" t="inlineStr">
        <is>
          <t>Aurora Makeup Pro-489</t>
        </is>
      </c>
      <c r="D4255" s="58" t="inlineStr">
        <is>
          <t>Beauty</t>
        </is>
      </c>
      <c r="E4255" s="58" t="inlineStr">
        <is>
          <t>East</t>
        </is>
      </c>
      <c r="F4255" s="61" t="n">
        <v>4</v>
      </c>
      <c r="G4255" s="62" t="n">
        <v>114.29</v>
      </c>
      <c r="H4255" s="63" t="n">
        <v>0.081</v>
      </c>
      <c r="I4255" s="62" t="n">
        <v>64.81</v>
      </c>
      <c r="J4255" s="58" t="inlineStr">
        <is>
          <t>Store</t>
        </is>
      </c>
      <c r="K4255" s="62">
        <f>F4255*(G4255-H4255)</f>
        <v/>
      </c>
      <c r="L4255" s="62">
        <f>K4255-(F4255*I4255)</f>
        <v/>
      </c>
      <c r="M4255" s="64">
        <f>L4255/K4255</f>
        <v/>
      </c>
    </row>
    <row r="4256">
      <c r="A4256" s="58" t="inlineStr">
        <is>
          <t>RT20250423-04255</t>
        </is>
      </c>
      <c r="B4256" s="59" t="inlineStr">
        <is>
          <t>2025-04-23</t>
        </is>
      </c>
      <c r="C4256" s="60" t="inlineStr">
        <is>
          <t>Vertex Appliance S-159</t>
        </is>
      </c>
      <c r="D4256" s="58" t="inlineStr">
        <is>
          <t>Home</t>
        </is>
      </c>
      <c r="E4256" s="58" t="inlineStr">
        <is>
          <t>East</t>
        </is>
      </c>
      <c r="F4256" s="61" t="n">
        <v>2</v>
      </c>
      <c r="G4256" s="62" t="n">
        <v>474.9</v>
      </c>
      <c r="H4256" s="63" t="n">
        <v>0.06900000000000001</v>
      </c>
      <c r="I4256" s="62" t="n">
        <v>291.1</v>
      </c>
      <c r="J4256" s="58" t="inlineStr">
        <is>
          <t>Store</t>
        </is>
      </c>
      <c r="K4256" s="62">
        <f>F4256*(G4256-H4256)</f>
        <v/>
      </c>
      <c r="L4256" s="62">
        <f>K4256-(F4256*I4256)</f>
        <v/>
      </c>
      <c r="M4256" s="64">
        <f>L4256/K4256</f>
        <v/>
      </c>
    </row>
    <row r="4257">
      <c r="A4257" s="58" t="inlineStr">
        <is>
          <t>RT20250423-04256</t>
        </is>
      </c>
      <c r="B4257" s="59" t="inlineStr">
        <is>
          <t>2025-04-23</t>
        </is>
      </c>
      <c r="C4257" s="60" t="inlineStr">
        <is>
          <t>Falcon Storage X-734</t>
        </is>
      </c>
      <c r="D4257" s="58" t="inlineStr">
        <is>
          <t>Office</t>
        </is>
      </c>
      <c r="E4257" s="58" t="inlineStr">
        <is>
          <t>Central</t>
        </is>
      </c>
      <c r="F4257" s="61" t="n">
        <v>2</v>
      </c>
      <c r="G4257" s="62" t="n">
        <v>369.2</v>
      </c>
      <c r="H4257" s="63" t="n">
        <v>0.04</v>
      </c>
      <c r="I4257" s="62" t="n">
        <v>278.29</v>
      </c>
      <c r="J4257" s="58" t="inlineStr">
        <is>
          <t>Online</t>
        </is>
      </c>
      <c r="K4257" s="62">
        <f>F4257*(G4257-H4257)</f>
        <v/>
      </c>
      <c r="L4257" s="62">
        <f>K4257-(F4257*I4257)</f>
        <v/>
      </c>
      <c r="M4257" s="64">
        <f>L4257/K4257</f>
        <v/>
      </c>
    </row>
    <row r="4258">
      <c r="A4258" s="58" t="inlineStr">
        <is>
          <t>RT20250423-04257</t>
        </is>
      </c>
      <c r="B4258" s="59" t="inlineStr">
        <is>
          <t>2025-04-23</t>
        </is>
      </c>
      <c r="C4258" s="60" t="inlineStr">
        <is>
          <t>Aurora Smartphone Plus-125</t>
        </is>
      </c>
      <c r="D4258" s="58" t="inlineStr">
        <is>
          <t>Electronics</t>
        </is>
      </c>
      <c r="E4258" s="58" t="inlineStr">
        <is>
          <t>East</t>
        </is>
      </c>
      <c r="F4258" s="61" t="n">
        <v>1</v>
      </c>
      <c r="G4258" s="62" t="n">
        <v>1363.18</v>
      </c>
      <c r="H4258" s="63" t="n">
        <v>0.08599999999999999</v>
      </c>
      <c r="I4258" s="62" t="n">
        <v>1209.66</v>
      </c>
      <c r="J4258" s="58" t="inlineStr">
        <is>
          <t>Online</t>
        </is>
      </c>
      <c r="K4258" s="62">
        <f>F4258*(G4258-H4258)</f>
        <v/>
      </c>
      <c r="L4258" s="62">
        <f>K4258-(F4258*I4258)</f>
        <v/>
      </c>
      <c r="M4258" s="64">
        <f>L4258/K4258</f>
        <v/>
      </c>
    </row>
    <row r="4259">
      <c r="A4259" s="58" t="inlineStr">
        <is>
          <t>RT20250423-04258</t>
        </is>
      </c>
      <c r="B4259" s="59" t="inlineStr">
        <is>
          <t>2025-04-23</t>
        </is>
      </c>
      <c r="C4259" s="60" t="inlineStr">
        <is>
          <t>Vertex Skincare Pro-891</t>
        </is>
      </c>
      <c r="D4259" s="58" t="inlineStr">
        <is>
          <t>Beauty</t>
        </is>
      </c>
      <c r="E4259" s="58" t="inlineStr">
        <is>
          <t>Central</t>
        </is>
      </c>
      <c r="F4259" s="61" t="n">
        <v>4</v>
      </c>
      <c r="G4259" s="62" t="n">
        <v>150.26</v>
      </c>
      <c r="H4259" s="63" t="n">
        <v>0.075</v>
      </c>
      <c r="I4259" s="62" t="n">
        <v>86.42</v>
      </c>
      <c r="J4259" s="58" t="inlineStr">
        <is>
          <t>Online</t>
        </is>
      </c>
      <c r="K4259" s="62">
        <f>F4259*(G4259-H4259)</f>
        <v/>
      </c>
      <c r="L4259" s="62">
        <f>K4259-(F4259*I4259)</f>
        <v/>
      </c>
      <c r="M4259" s="64">
        <f>L4259/K4259</f>
        <v/>
      </c>
    </row>
    <row r="4260">
      <c r="A4260" s="58" t="inlineStr">
        <is>
          <t>RT20250423-04259</t>
        </is>
      </c>
      <c r="B4260" s="59" t="inlineStr">
        <is>
          <t>2025-04-23</t>
        </is>
      </c>
      <c r="C4260" s="60" t="inlineStr">
        <is>
          <t>Vertex Decor Pro-618</t>
        </is>
      </c>
      <c r="D4260" s="58" t="inlineStr">
        <is>
          <t>Home</t>
        </is>
      </c>
      <c r="E4260" s="58" t="inlineStr">
        <is>
          <t>Central</t>
        </is>
      </c>
      <c r="F4260" s="61" t="n">
        <v>2</v>
      </c>
      <c r="G4260" s="62" t="n">
        <v>567.8</v>
      </c>
      <c r="H4260" s="63" t="n">
        <v>0.052</v>
      </c>
      <c r="I4260" s="62" t="n">
        <v>385.4</v>
      </c>
      <c r="J4260" s="58" t="inlineStr">
        <is>
          <t>Online</t>
        </is>
      </c>
      <c r="K4260" s="62">
        <f>F4260*(G4260-H4260)</f>
        <v/>
      </c>
      <c r="L4260" s="62">
        <f>K4260-(F4260*I4260)</f>
        <v/>
      </c>
      <c r="M4260" s="64">
        <f>L4260/K4260</f>
        <v/>
      </c>
    </row>
    <row r="4261">
      <c r="A4261" s="58" t="inlineStr">
        <is>
          <t>RT20250423-04260</t>
        </is>
      </c>
      <c r="B4261" s="59" t="inlineStr">
        <is>
          <t>2025-04-23</t>
        </is>
      </c>
      <c r="C4261" s="60" t="inlineStr">
        <is>
          <t>Polar Fragrance Pro-750</t>
        </is>
      </c>
      <c r="D4261" s="58" t="inlineStr">
        <is>
          <t>Beauty</t>
        </is>
      </c>
      <c r="E4261" s="58" t="inlineStr">
        <is>
          <t>East</t>
        </is>
      </c>
      <c r="F4261" s="61" t="n">
        <v>4</v>
      </c>
      <c r="G4261" s="62" t="n">
        <v>61.95</v>
      </c>
      <c r="H4261" s="63" t="n">
        <v>0.06900000000000001</v>
      </c>
      <c r="I4261" s="62" t="n">
        <v>36.17</v>
      </c>
      <c r="J4261" s="58" t="inlineStr">
        <is>
          <t>Online</t>
        </is>
      </c>
      <c r="K4261" s="62">
        <f>F4261*(G4261-H4261)</f>
        <v/>
      </c>
      <c r="L4261" s="62">
        <f>K4261-(F4261*I4261)</f>
        <v/>
      </c>
      <c r="M4261" s="64">
        <f>L4261/K4261</f>
        <v/>
      </c>
    </row>
    <row r="4262">
      <c r="A4262" s="58" t="inlineStr">
        <is>
          <t>RT20250423-04261</t>
        </is>
      </c>
      <c r="B4262" s="59" t="inlineStr">
        <is>
          <t>2025-04-23</t>
        </is>
      </c>
      <c r="C4262" s="60" t="inlineStr">
        <is>
          <t>Nimbus Cycling Plus-911</t>
        </is>
      </c>
      <c r="D4262" s="58" t="inlineStr">
        <is>
          <t>Sports</t>
        </is>
      </c>
      <c r="E4262" s="58" t="inlineStr">
        <is>
          <t>East</t>
        </is>
      </c>
      <c r="F4262" s="61" t="n">
        <v>2</v>
      </c>
      <c r="G4262" s="62" t="n">
        <v>587.5599999999999</v>
      </c>
      <c r="H4262" s="63" t="n">
        <v>0.049</v>
      </c>
      <c r="I4262" s="62" t="n">
        <v>383.6</v>
      </c>
      <c r="J4262" s="58" t="inlineStr">
        <is>
          <t>Online</t>
        </is>
      </c>
      <c r="K4262" s="62">
        <f>F4262*(G4262-H4262)</f>
        <v/>
      </c>
      <c r="L4262" s="62">
        <f>K4262-(F4262*I4262)</f>
        <v/>
      </c>
      <c r="M4262" s="64">
        <f>L4262/K4262</f>
        <v/>
      </c>
    </row>
    <row r="4263">
      <c r="A4263" s="58" t="inlineStr">
        <is>
          <t>RT20250423-04262</t>
        </is>
      </c>
      <c r="B4263" s="59" t="inlineStr">
        <is>
          <t>2025-04-23</t>
        </is>
      </c>
      <c r="C4263" s="60" t="inlineStr">
        <is>
          <t>Nimbus Decor Lite-385</t>
        </is>
      </c>
      <c r="D4263" s="58" t="inlineStr">
        <is>
          <t>Home</t>
        </is>
      </c>
      <c r="E4263" s="58" t="inlineStr">
        <is>
          <t>South</t>
        </is>
      </c>
      <c r="F4263" s="61" t="n">
        <v>3</v>
      </c>
      <c r="G4263" s="62" t="n">
        <v>668.58</v>
      </c>
      <c r="H4263" s="63" t="n">
        <v>0.064</v>
      </c>
      <c r="I4263" s="62" t="n">
        <v>401.33</v>
      </c>
      <c r="J4263" s="58" t="inlineStr">
        <is>
          <t>Online</t>
        </is>
      </c>
      <c r="K4263" s="62">
        <f>F4263*(G4263-H4263)</f>
        <v/>
      </c>
      <c r="L4263" s="62">
        <f>K4263-(F4263*I4263)</f>
        <v/>
      </c>
      <c r="M4263" s="64">
        <f>L4263/K4263</f>
        <v/>
      </c>
    </row>
    <row r="4264">
      <c r="A4264" s="58" t="inlineStr">
        <is>
          <t>RT20250423-04263</t>
        </is>
      </c>
      <c r="B4264" s="59" t="inlineStr">
        <is>
          <t>2025-04-23</t>
        </is>
      </c>
      <c r="C4264" s="60" t="inlineStr">
        <is>
          <t>Vertex Printer Max-692</t>
        </is>
      </c>
      <c r="D4264" s="58" t="inlineStr">
        <is>
          <t>Office</t>
        </is>
      </c>
      <c r="E4264" s="58" t="inlineStr">
        <is>
          <t>North</t>
        </is>
      </c>
      <c r="F4264" s="61" t="n">
        <v>3</v>
      </c>
      <c r="G4264" s="62" t="n">
        <v>172.57</v>
      </c>
      <c r="H4264" s="63" t="n">
        <v>0.03</v>
      </c>
      <c r="I4264" s="62" t="n">
        <v>124.16</v>
      </c>
      <c r="J4264" s="58" t="inlineStr">
        <is>
          <t>Online</t>
        </is>
      </c>
      <c r="K4264" s="62">
        <f>F4264*(G4264-H4264)</f>
        <v/>
      </c>
      <c r="L4264" s="62">
        <f>K4264-(F4264*I4264)</f>
        <v/>
      </c>
      <c r="M4264" s="64">
        <f>L4264/K4264</f>
        <v/>
      </c>
    </row>
    <row r="4265">
      <c r="A4265" s="58" t="inlineStr">
        <is>
          <t>RT20250423-04264</t>
        </is>
      </c>
      <c r="B4265" s="59" t="inlineStr">
        <is>
          <t>2025-04-23</t>
        </is>
      </c>
      <c r="C4265" s="60" t="inlineStr">
        <is>
          <t>Aurora Haircare S-975</t>
        </is>
      </c>
      <c r="D4265" s="58" t="inlineStr">
        <is>
          <t>Beauty</t>
        </is>
      </c>
      <c r="E4265" s="58" t="inlineStr">
        <is>
          <t>East</t>
        </is>
      </c>
      <c r="F4265" s="61" t="n">
        <v>1</v>
      </c>
      <c r="G4265" s="62" t="n">
        <v>91.42</v>
      </c>
      <c r="H4265" s="63" t="n">
        <v>0.038</v>
      </c>
      <c r="I4265" s="62" t="n">
        <v>56.36</v>
      </c>
      <c r="J4265" s="58" t="inlineStr">
        <is>
          <t>Online</t>
        </is>
      </c>
      <c r="K4265" s="62">
        <f>F4265*(G4265-H4265)</f>
        <v/>
      </c>
      <c r="L4265" s="62">
        <f>K4265-(F4265*I4265)</f>
        <v/>
      </c>
      <c r="M4265" s="64">
        <f>L4265/K4265</f>
        <v/>
      </c>
    </row>
    <row r="4266">
      <c r="A4266" s="58" t="inlineStr">
        <is>
          <t>RT20250423-04265</t>
        </is>
      </c>
      <c r="B4266" s="59" t="inlineStr">
        <is>
          <t>2025-04-23</t>
        </is>
      </c>
      <c r="C4266" s="60" t="inlineStr">
        <is>
          <t>Falcon Headphone Plus-789</t>
        </is>
      </c>
      <c r="D4266" s="58" t="inlineStr">
        <is>
          <t>Electronics</t>
        </is>
      </c>
      <c r="E4266" s="58" t="inlineStr">
        <is>
          <t>South</t>
        </is>
      </c>
      <c r="F4266" s="61" t="n">
        <v>1</v>
      </c>
      <c r="G4266" s="62" t="n">
        <v>1699.04</v>
      </c>
      <c r="H4266" s="63" t="n">
        <v>0</v>
      </c>
      <c r="I4266" s="62" t="n">
        <v>1288.68</v>
      </c>
      <c r="J4266" s="58" t="inlineStr">
        <is>
          <t>Online</t>
        </is>
      </c>
      <c r="K4266" s="62">
        <f>F4266*(G4266-H4266)</f>
        <v/>
      </c>
      <c r="L4266" s="62">
        <f>K4266-(F4266*I4266)</f>
        <v/>
      </c>
      <c r="M4266" s="64">
        <f>L4266/K4266</f>
        <v/>
      </c>
    </row>
    <row r="4267">
      <c r="A4267" s="58" t="inlineStr">
        <is>
          <t>RT20250423-04266</t>
        </is>
      </c>
      <c r="B4267" s="59" t="inlineStr">
        <is>
          <t>2025-04-23</t>
        </is>
      </c>
      <c r="C4267" s="60" t="inlineStr">
        <is>
          <t>Solace Snack S-691</t>
        </is>
      </c>
      <c r="D4267" s="58" t="inlineStr">
        <is>
          <t>Grocery</t>
        </is>
      </c>
      <c r="E4267" s="58" t="inlineStr">
        <is>
          <t>North</t>
        </is>
      </c>
      <c r="F4267" s="61" t="n">
        <v>5</v>
      </c>
      <c r="G4267" s="62" t="n">
        <v>9.52</v>
      </c>
      <c r="H4267" s="63" t="n">
        <v>0.04</v>
      </c>
      <c r="I4267" s="62" t="n">
        <v>7.08</v>
      </c>
      <c r="J4267" s="58" t="inlineStr">
        <is>
          <t>Online</t>
        </is>
      </c>
      <c r="K4267" s="62">
        <f>F4267*(G4267-H4267)</f>
        <v/>
      </c>
      <c r="L4267" s="62">
        <f>K4267-(F4267*I4267)</f>
        <v/>
      </c>
      <c r="M4267" s="64">
        <f>L4267/K4267</f>
        <v/>
      </c>
    </row>
    <row r="4268">
      <c r="A4268" s="58" t="inlineStr">
        <is>
          <t>RT20250423-04267</t>
        </is>
      </c>
      <c r="B4268" s="59" t="inlineStr">
        <is>
          <t>2025-04-23</t>
        </is>
      </c>
      <c r="C4268" s="60" t="inlineStr">
        <is>
          <t>Vertex Supplie X-513</t>
        </is>
      </c>
      <c r="D4268" s="58" t="inlineStr">
        <is>
          <t>Office</t>
        </is>
      </c>
      <c r="E4268" s="58" t="inlineStr">
        <is>
          <t>Central</t>
        </is>
      </c>
      <c r="F4268" s="61" t="n">
        <v>1</v>
      </c>
      <c r="G4268" s="62" t="n">
        <v>375.06</v>
      </c>
      <c r="H4268" s="63" t="n">
        <v>0.02</v>
      </c>
      <c r="I4268" s="62" t="n">
        <v>276.75</v>
      </c>
      <c r="J4268" s="58" t="inlineStr">
        <is>
          <t>Online</t>
        </is>
      </c>
      <c r="K4268" s="62">
        <f>F4268*(G4268-H4268)</f>
        <v/>
      </c>
      <c r="L4268" s="62">
        <f>K4268-(F4268*I4268)</f>
        <v/>
      </c>
      <c r="M4268" s="64">
        <f>L4268/K4268</f>
        <v/>
      </c>
    </row>
    <row r="4269">
      <c r="A4269" s="58" t="inlineStr">
        <is>
          <t>RT20250423-04268</t>
        </is>
      </c>
      <c r="B4269" s="59" t="inlineStr">
        <is>
          <t>2025-04-23</t>
        </is>
      </c>
      <c r="C4269" s="60" t="inlineStr">
        <is>
          <t>Aurora Bedding Plus-187</t>
        </is>
      </c>
      <c r="D4269" s="58" t="inlineStr">
        <is>
          <t>Home</t>
        </is>
      </c>
      <c r="E4269" s="58" t="inlineStr">
        <is>
          <t>East</t>
        </is>
      </c>
      <c r="F4269" s="61" t="n">
        <v>2</v>
      </c>
      <c r="G4269" s="62" t="n">
        <v>313.21</v>
      </c>
      <c r="H4269" s="63" t="n">
        <v>0.095</v>
      </c>
      <c r="I4269" s="62" t="n">
        <v>211.51</v>
      </c>
      <c r="J4269" s="58" t="inlineStr">
        <is>
          <t>Online</t>
        </is>
      </c>
      <c r="K4269" s="62">
        <f>F4269*(G4269-H4269)</f>
        <v/>
      </c>
      <c r="L4269" s="62">
        <f>K4269-(F4269*I4269)</f>
        <v/>
      </c>
      <c r="M4269" s="64">
        <f>L4269/K4269</f>
        <v/>
      </c>
    </row>
    <row r="4270">
      <c r="A4270" s="58" t="inlineStr">
        <is>
          <t>RT20250423-04269</t>
        </is>
      </c>
      <c r="B4270" s="59" t="inlineStr">
        <is>
          <t>2025-04-23</t>
        </is>
      </c>
      <c r="C4270" s="60" t="inlineStr">
        <is>
          <t>Solace Kitchen Pro-999</t>
        </is>
      </c>
      <c r="D4270" s="58" t="inlineStr">
        <is>
          <t>Home</t>
        </is>
      </c>
      <c r="E4270" s="58" t="inlineStr">
        <is>
          <t>Central</t>
        </is>
      </c>
      <c r="F4270" s="61" t="n">
        <v>3</v>
      </c>
      <c r="G4270" s="62" t="n">
        <v>384.68</v>
      </c>
      <c r="H4270" s="63" t="n">
        <v>0.062</v>
      </c>
      <c r="I4270" s="62" t="n">
        <v>259.03</v>
      </c>
      <c r="J4270" s="58" t="inlineStr">
        <is>
          <t>Store</t>
        </is>
      </c>
      <c r="K4270" s="62">
        <f>F4270*(G4270-H4270)</f>
        <v/>
      </c>
      <c r="L4270" s="62">
        <f>K4270-(F4270*I4270)</f>
        <v/>
      </c>
      <c r="M4270" s="64">
        <f>L4270/K4270</f>
        <v/>
      </c>
    </row>
    <row r="4271">
      <c r="A4271" s="58" t="inlineStr">
        <is>
          <t>RT20250423-04270</t>
        </is>
      </c>
      <c r="B4271" s="59" t="inlineStr">
        <is>
          <t>2025-04-23</t>
        </is>
      </c>
      <c r="C4271" s="60" t="inlineStr">
        <is>
          <t>Orion Beverage Plus-949</t>
        </is>
      </c>
      <c r="D4271" s="58" t="inlineStr">
        <is>
          <t>Grocery</t>
        </is>
      </c>
      <c r="E4271" s="58" t="inlineStr">
        <is>
          <t>East</t>
        </is>
      </c>
      <c r="F4271" s="61" t="n">
        <v>8</v>
      </c>
      <c r="G4271" s="62" t="n">
        <v>17.31</v>
      </c>
      <c r="H4271" s="63" t="n">
        <v>0.046</v>
      </c>
      <c r="I4271" s="62" t="n">
        <v>13.88</v>
      </c>
      <c r="J4271" s="58" t="inlineStr">
        <is>
          <t>Online</t>
        </is>
      </c>
      <c r="K4271" s="62">
        <f>F4271*(G4271-H4271)</f>
        <v/>
      </c>
      <c r="L4271" s="62">
        <f>K4271-(F4271*I4271)</f>
        <v/>
      </c>
      <c r="M4271" s="64">
        <f>L4271/K4271</f>
        <v/>
      </c>
    </row>
    <row r="4272">
      <c r="A4272" s="58" t="inlineStr">
        <is>
          <t>RT20250423-04271</t>
        </is>
      </c>
      <c r="B4272" s="59" t="inlineStr">
        <is>
          <t>2025-04-23</t>
        </is>
      </c>
      <c r="C4272" s="60" t="inlineStr">
        <is>
          <t>Polar Cycling S-223</t>
        </is>
      </c>
      <c r="D4272" s="58" t="inlineStr">
        <is>
          <t>Sports</t>
        </is>
      </c>
      <c r="E4272" s="58" t="inlineStr">
        <is>
          <t>West</t>
        </is>
      </c>
      <c r="F4272" s="61" t="n">
        <v>3</v>
      </c>
      <c r="G4272" s="62" t="n">
        <v>819.3099999999999</v>
      </c>
      <c r="H4272" s="63" t="n">
        <v>0.001</v>
      </c>
      <c r="I4272" s="62" t="n">
        <v>643.9</v>
      </c>
      <c r="J4272" s="58" t="inlineStr">
        <is>
          <t>Online</t>
        </is>
      </c>
      <c r="K4272" s="62">
        <f>F4272*(G4272-H4272)</f>
        <v/>
      </c>
      <c r="L4272" s="62">
        <f>K4272-(F4272*I4272)</f>
        <v/>
      </c>
      <c r="M4272" s="64">
        <f>L4272/K4272</f>
        <v/>
      </c>
    </row>
    <row r="4273">
      <c r="A4273" s="58" t="inlineStr">
        <is>
          <t>RT20250423-04272</t>
        </is>
      </c>
      <c r="B4273" s="59" t="inlineStr">
        <is>
          <t>2025-04-23</t>
        </is>
      </c>
      <c r="C4273" s="60" t="inlineStr">
        <is>
          <t>Polar Supplie Lite-348</t>
        </is>
      </c>
      <c r="D4273" s="58" t="inlineStr">
        <is>
          <t>Office</t>
        </is>
      </c>
      <c r="E4273" s="58" t="inlineStr">
        <is>
          <t>South</t>
        </is>
      </c>
      <c r="F4273" s="61" t="n">
        <v>3</v>
      </c>
      <c r="G4273" s="62" t="n">
        <v>472.26</v>
      </c>
      <c r="H4273" s="63" t="n">
        <v>0.006</v>
      </c>
      <c r="I4273" s="62" t="n">
        <v>318.28</v>
      </c>
      <c r="J4273" s="58" t="inlineStr">
        <is>
          <t>Online</t>
        </is>
      </c>
      <c r="K4273" s="62">
        <f>F4273*(G4273-H4273)</f>
        <v/>
      </c>
      <c r="L4273" s="62">
        <f>K4273-(F4273*I4273)</f>
        <v/>
      </c>
      <c r="M4273" s="64">
        <f>L4273/K4273</f>
        <v/>
      </c>
    </row>
    <row r="4274">
      <c r="A4274" s="58" t="inlineStr">
        <is>
          <t>RT20250423-04273</t>
        </is>
      </c>
      <c r="B4274" s="59" t="inlineStr">
        <is>
          <t>2025-04-23</t>
        </is>
      </c>
      <c r="C4274" s="60" t="inlineStr">
        <is>
          <t>Vertex Appliance Max-338</t>
        </is>
      </c>
      <c r="D4274" s="58" t="inlineStr">
        <is>
          <t>Home</t>
        </is>
      </c>
      <c r="E4274" s="58" t="inlineStr">
        <is>
          <t>North</t>
        </is>
      </c>
      <c r="F4274" s="61" t="n">
        <v>1</v>
      </c>
      <c r="G4274" s="62" t="n">
        <v>423.3</v>
      </c>
      <c r="H4274" s="63" t="n">
        <v>0.081</v>
      </c>
      <c r="I4274" s="62" t="n">
        <v>282.5</v>
      </c>
      <c r="J4274" s="58" t="inlineStr">
        <is>
          <t>Online</t>
        </is>
      </c>
      <c r="K4274" s="62">
        <f>F4274*(G4274-H4274)</f>
        <v/>
      </c>
      <c r="L4274" s="62">
        <f>K4274-(F4274*I4274)</f>
        <v/>
      </c>
      <c r="M4274" s="64">
        <f>L4274/K4274</f>
        <v/>
      </c>
    </row>
    <row r="4275">
      <c r="A4275" s="58" t="inlineStr">
        <is>
          <t>RT20250423-04274</t>
        </is>
      </c>
      <c r="B4275" s="59" t="inlineStr">
        <is>
          <t>2025-04-23</t>
        </is>
      </c>
      <c r="C4275" s="60" t="inlineStr">
        <is>
          <t>Polar Pantry Lite-392</t>
        </is>
      </c>
      <c r="D4275" s="58" t="inlineStr">
        <is>
          <t>Grocery</t>
        </is>
      </c>
      <c r="E4275" s="58" t="inlineStr">
        <is>
          <t>Central</t>
        </is>
      </c>
      <c r="F4275" s="61" t="n">
        <v>7</v>
      </c>
      <c r="G4275" s="62" t="n">
        <v>6.07</v>
      </c>
      <c r="H4275" s="63" t="n">
        <v>0.051</v>
      </c>
      <c r="I4275" s="62" t="n">
        <v>4.59</v>
      </c>
      <c r="J4275" s="58" t="inlineStr">
        <is>
          <t>Online</t>
        </is>
      </c>
      <c r="K4275" s="62">
        <f>F4275*(G4275-H4275)</f>
        <v/>
      </c>
      <c r="L4275" s="62">
        <f>K4275-(F4275*I4275)</f>
        <v/>
      </c>
      <c r="M4275" s="64">
        <f>L4275/K4275</f>
        <v/>
      </c>
    </row>
    <row r="4276">
      <c r="A4276" s="58" t="inlineStr">
        <is>
          <t>RT20250423-04275</t>
        </is>
      </c>
      <c r="B4276" s="59" t="inlineStr">
        <is>
          <t>2025-04-23</t>
        </is>
      </c>
      <c r="C4276" s="60" t="inlineStr">
        <is>
          <t>Polar Laptop Plus-984</t>
        </is>
      </c>
      <c r="D4276" s="58" t="inlineStr">
        <is>
          <t>Electronics</t>
        </is>
      </c>
      <c r="E4276" s="58" t="inlineStr">
        <is>
          <t>East</t>
        </is>
      </c>
      <c r="F4276" s="61" t="n">
        <v>2</v>
      </c>
      <c r="G4276" s="62" t="n">
        <v>1414.14</v>
      </c>
      <c r="H4276" s="63" t="n">
        <v>0.028</v>
      </c>
      <c r="I4276" s="62" t="n">
        <v>972.1799999999999</v>
      </c>
      <c r="J4276" s="58" t="inlineStr">
        <is>
          <t>Store</t>
        </is>
      </c>
      <c r="K4276" s="62">
        <f>F4276*(G4276-H4276)</f>
        <v/>
      </c>
      <c r="L4276" s="62">
        <f>K4276-(F4276*I4276)</f>
        <v/>
      </c>
      <c r="M4276" s="64">
        <f>L4276/K4276</f>
        <v/>
      </c>
    </row>
    <row r="4277">
      <c r="A4277" s="58" t="inlineStr">
        <is>
          <t>RT20250423-04276</t>
        </is>
      </c>
      <c r="B4277" s="59" t="inlineStr">
        <is>
          <t>2025-04-23</t>
        </is>
      </c>
      <c r="C4277" s="60" t="inlineStr">
        <is>
          <t>Metro Wearable Plus-234</t>
        </is>
      </c>
      <c r="D4277" s="58" t="inlineStr">
        <is>
          <t>Electronics</t>
        </is>
      </c>
      <c r="E4277" s="58" t="inlineStr">
        <is>
          <t>East</t>
        </is>
      </c>
      <c r="F4277" s="61" t="n">
        <v>1</v>
      </c>
      <c r="G4277" s="62" t="n">
        <v>1353.9</v>
      </c>
      <c r="H4277" s="63" t="n">
        <v>0.056</v>
      </c>
      <c r="I4277" s="62" t="n">
        <v>1185.23</v>
      </c>
      <c r="J4277" s="58" t="inlineStr">
        <is>
          <t>Online</t>
        </is>
      </c>
      <c r="K4277" s="62">
        <f>F4277*(G4277-H4277)</f>
        <v/>
      </c>
      <c r="L4277" s="62">
        <f>K4277-(F4277*I4277)</f>
        <v/>
      </c>
      <c r="M4277" s="64">
        <f>L4277/K4277</f>
        <v/>
      </c>
    </row>
    <row r="4278">
      <c r="A4278" s="58" t="inlineStr">
        <is>
          <t>RT20250423-04277</t>
        </is>
      </c>
      <c r="B4278" s="59" t="inlineStr">
        <is>
          <t>2025-04-23</t>
        </is>
      </c>
      <c r="C4278" s="60" t="inlineStr">
        <is>
          <t>Vertex Appliance Max-338</t>
        </is>
      </c>
      <c r="D4278" s="58" t="inlineStr">
        <is>
          <t>Home</t>
        </is>
      </c>
      <c r="E4278" s="58" t="inlineStr">
        <is>
          <t>West</t>
        </is>
      </c>
      <c r="F4278" s="61" t="n">
        <v>3</v>
      </c>
      <c r="G4278" s="62" t="n">
        <v>428.69</v>
      </c>
      <c r="H4278" s="63" t="n">
        <v>0.101</v>
      </c>
      <c r="I4278" s="62" t="n">
        <v>289.6</v>
      </c>
      <c r="J4278" s="58" t="inlineStr">
        <is>
          <t>Phone</t>
        </is>
      </c>
      <c r="K4278" s="62">
        <f>F4278*(G4278-H4278)</f>
        <v/>
      </c>
      <c r="L4278" s="62">
        <f>K4278-(F4278*I4278)</f>
        <v/>
      </c>
      <c r="M4278" s="64">
        <f>L4278/K4278</f>
        <v/>
      </c>
    </row>
    <row r="4279">
      <c r="A4279" s="58" t="inlineStr">
        <is>
          <t>RT20250423-04278</t>
        </is>
      </c>
      <c r="B4279" s="59" t="inlineStr">
        <is>
          <t>2025-04-23</t>
        </is>
      </c>
      <c r="C4279" s="60" t="inlineStr">
        <is>
          <t>Orion Beverage Plus-949</t>
        </is>
      </c>
      <c r="D4279" s="58" t="inlineStr">
        <is>
          <t>Grocery</t>
        </is>
      </c>
      <c r="E4279" s="58" t="inlineStr">
        <is>
          <t>North</t>
        </is>
      </c>
      <c r="F4279" s="61" t="n">
        <v>7</v>
      </c>
      <c r="G4279" s="62" t="n">
        <v>17.45</v>
      </c>
      <c r="H4279" s="63" t="n">
        <v>0.123</v>
      </c>
      <c r="I4279" s="62" t="n">
        <v>13.3</v>
      </c>
      <c r="J4279" s="58" t="inlineStr">
        <is>
          <t>Online</t>
        </is>
      </c>
      <c r="K4279" s="62">
        <f>F4279*(G4279-H4279)</f>
        <v/>
      </c>
      <c r="L4279" s="62">
        <f>K4279-(F4279*I4279)</f>
        <v/>
      </c>
      <c r="M4279" s="64">
        <f>L4279/K4279</f>
        <v/>
      </c>
    </row>
    <row r="4280">
      <c r="A4280" s="58" t="inlineStr">
        <is>
          <t>RT20250424-04279</t>
        </is>
      </c>
      <c r="B4280" s="59" t="inlineStr">
        <is>
          <t>2025-04-24</t>
        </is>
      </c>
      <c r="C4280" s="60" t="inlineStr">
        <is>
          <t>Vertex Furniture S-652</t>
        </is>
      </c>
      <c r="D4280" s="58" t="inlineStr">
        <is>
          <t>Office</t>
        </is>
      </c>
      <c r="E4280" s="58" t="inlineStr">
        <is>
          <t>East</t>
        </is>
      </c>
      <c r="F4280" s="61" t="n">
        <v>2</v>
      </c>
      <c r="G4280" s="62" t="n">
        <v>390.21</v>
      </c>
      <c r="H4280" s="63" t="n">
        <v>0.098</v>
      </c>
      <c r="I4280" s="62" t="n">
        <v>269.85</v>
      </c>
      <c r="J4280" s="58" t="inlineStr">
        <is>
          <t>Store</t>
        </is>
      </c>
      <c r="K4280" s="62">
        <f>F4280*(G4280-H4280)</f>
        <v/>
      </c>
      <c r="L4280" s="62">
        <f>K4280-(F4280*I4280)</f>
        <v/>
      </c>
      <c r="M4280" s="64">
        <f>L4280/K4280</f>
        <v/>
      </c>
    </row>
    <row r="4281">
      <c r="A4281" s="58" t="inlineStr">
        <is>
          <t>RT20250424-04280</t>
        </is>
      </c>
      <c r="B4281" s="59" t="inlineStr">
        <is>
          <t>2025-04-24</t>
        </is>
      </c>
      <c r="C4281" s="60" t="inlineStr">
        <is>
          <t>Falcon Cycling Pro-499</t>
        </is>
      </c>
      <c r="D4281" s="58" t="inlineStr">
        <is>
          <t>Sports</t>
        </is>
      </c>
      <c r="E4281" s="58" t="inlineStr">
        <is>
          <t>Central</t>
        </is>
      </c>
      <c r="F4281" s="61" t="n">
        <v>2</v>
      </c>
      <c r="G4281" s="62" t="n">
        <v>567.59</v>
      </c>
      <c r="H4281" s="63" t="n">
        <v>0.078</v>
      </c>
      <c r="I4281" s="62" t="n">
        <v>393.51</v>
      </c>
      <c r="J4281" s="58" t="inlineStr">
        <is>
          <t>Store</t>
        </is>
      </c>
      <c r="K4281" s="62">
        <f>F4281*(G4281-H4281)</f>
        <v/>
      </c>
      <c r="L4281" s="62">
        <f>K4281-(F4281*I4281)</f>
        <v/>
      </c>
      <c r="M4281" s="64">
        <f>L4281/K4281</f>
        <v/>
      </c>
    </row>
    <row r="4282">
      <c r="A4282" s="58" t="inlineStr">
        <is>
          <t>RT20250424-04281</t>
        </is>
      </c>
      <c r="B4282" s="59" t="inlineStr">
        <is>
          <t>2025-04-24</t>
        </is>
      </c>
      <c r="C4282" s="60" t="inlineStr">
        <is>
          <t>Vertex Accessorie Pro-881</t>
        </is>
      </c>
      <c r="D4282" s="58" t="inlineStr">
        <is>
          <t>Apparel</t>
        </is>
      </c>
      <c r="E4282" s="58" t="inlineStr">
        <is>
          <t>North</t>
        </is>
      </c>
      <c r="F4282" s="61" t="n">
        <v>3</v>
      </c>
      <c r="G4282" s="62" t="n">
        <v>115.24</v>
      </c>
      <c r="H4282" s="63" t="n">
        <v>0.047</v>
      </c>
      <c r="I4282" s="62" t="n">
        <v>64.93000000000001</v>
      </c>
      <c r="J4282" s="58" t="inlineStr">
        <is>
          <t>Online</t>
        </is>
      </c>
      <c r="K4282" s="62">
        <f>F4282*(G4282-H4282)</f>
        <v/>
      </c>
      <c r="L4282" s="62">
        <f>K4282-(F4282*I4282)</f>
        <v/>
      </c>
      <c r="M4282" s="64">
        <f>L4282/K4282</f>
        <v/>
      </c>
    </row>
    <row r="4283">
      <c r="A4283" s="58" t="inlineStr">
        <is>
          <t>RT20250424-04282</t>
        </is>
      </c>
      <c r="B4283" s="59" t="inlineStr">
        <is>
          <t>2025-04-24</t>
        </is>
      </c>
      <c r="C4283" s="60" t="inlineStr">
        <is>
          <t>Polar Cycling X-649</t>
        </is>
      </c>
      <c r="D4283" s="58" t="inlineStr">
        <is>
          <t>Sports</t>
        </is>
      </c>
      <c r="E4283" s="58" t="inlineStr">
        <is>
          <t>West</t>
        </is>
      </c>
      <c r="F4283" s="61" t="n">
        <v>3</v>
      </c>
      <c r="G4283" s="62" t="n">
        <v>604.42</v>
      </c>
      <c r="H4283" s="63" t="n">
        <v>0.051</v>
      </c>
      <c r="I4283" s="62" t="n">
        <v>359.44</v>
      </c>
      <c r="J4283" s="58" t="inlineStr">
        <is>
          <t>Store</t>
        </is>
      </c>
      <c r="K4283" s="62">
        <f>F4283*(G4283-H4283)</f>
        <v/>
      </c>
      <c r="L4283" s="62">
        <f>K4283-(F4283*I4283)</f>
        <v/>
      </c>
      <c r="M4283" s="64">
        <f>L4283/K4283</f>
        <v/>
      </c>
    </row>
    <row r="4284">
      <c r="A4284" s="58" t="inlineStr">
        <is>
          <t>RT20250424-04283</t>
        </is>
      </c>
      <c r="B4284" s="59" t="inlineStr">
        <is>
          <t>2025-04-24</t>
        </is>
      </c>
      <c r="C4284" s="60" t="inlineStr">
        <is>
          <t>Vertex Men X-995</t>
        </is>
      </c>
      <c r="D4284" s="58" t="inlineStr">
        <is>
          <t>Apparel</t>
        </is>
      </c>
      <c r="E4284" s="58" t="inlineStr">
        <is>
          <t>South</t>
        </is>
      </c>
      <c r="F4284" s="61" t="n">
        <v>1</v>
      </c>
      <c r="G4284" s="62" t="n">
        <v>105.12</v>
      </c>
      <c r="H4284" s="63" t="n">
        <v>0.055</v>
      </c>
      <c r="I4284" s="62" t="n">
        <v>57.22</v>
      </c>
      <c r="J4284" s="58" t="inlineStr">
        <is>
          <t>Online</t>
        </is>
      </c>
      <c r="K4284" s="62">
        <f>F4284*(G4284-H4284)</f>
        <v/>
      </c>
      <c r="L4284" s="62">
        <f>K4284-(F4284*I4284)</f>
        <v/>
      </c>
      <c r="M4284" s="64">
        <f>L4284/K4284</f>
        <v/>
      </c>
    </row>
    <row r="4285">
      <c r="A4285" s="58" t="inlineStr">
        <is>
          <t>RT20250424-04284</t>
        </is>
      </c>
      <c r="B4285" s="59" t="inlineStr">
        <is>
          <t>2025-04-24</t>
        </is>
      </c>
      <c r="C4285" s="60" t="inlineStr">
        <is>
          <t>Falcon Household Pro-865</t>
        </is>
      </c>
      <c r="D4285" s="58" t="inlineStr">
        <is>
          <t>Grocery</t>
        </is>
      </c>
      <c r="E4285" s="58" t="inlineStr">
        <is>
          <t>North</t>
        </is>
      </c>
      <c r="F4285" s="61" t="n">
        <v>6</v>
      </c>
      <c r="G4285" s="62" t="n">
        <v>11.23</v>
      </c>
      <c r="H4285" s="63" t="n">
        <v>0.056</v>
      </c>
      <c r="I4285" s="62" t="n">
        <v>7.69</v>
      </c>
      <c r="J4285" s="58" t="inlineStr">
        <is>
          <t>Store</t>
        </is>
      </c>
      <c r="K4285" s="62">
        <f>F4285*(G4285-H4285)</f>
        <v/>
      </c>
      <c r="L4285" s="62">
        <f>K4285-(F4285*I4285)</f>
        <v/>
      </c>
      <c r="M4285" s="64">
        <f>L4285/K4285</f>
        <v/>
      </c>
    </row>
    <row r="4286">
      <c r="A4286" s="58" t="inlineStr">
        <is>
          <t>RT20250424-04285</t>
        </is>
      </c>
      <c r="B4286" s="59" t="inlineStr">
        <is>
          <t>2025-04-24</t>
        </is>
      </c>
      <c r="C4286" s="60" t="inlineStr">
        <is>
          <t>Polar Cycling X-649</t>
        </is>
      </c>
      <c r="D4286" s="58" t="inlineStr">
        <is>
          <t>Sports</t>
        </is>
      </c>
      <c r="E4286" s="58" t="inlineStr">
        <is>
          <t>East</t>
        </is>
      </c>
      <c r="F4286" s="61" t="n">
        <v>2</v>
      </c>
      <c r="G4286" s="62" t="n">
        <v>483.17</v>
      </c>
      <c r="H4286" s="63" t="n">
        <v>0.047</v>
      </c>
      <c r="I4286" s="62" t="n">
        <v>357.24</v>
      </c>
      <c r="J4286" s="58" t="inlineStr">
        <is>
          <t>Online</t>
        </is>
      </c>
      <c r="K4286" s="62">
        <f>F4286*(G4286-H4286)</f>
        <v/>
      </c>
      <c r="L4286" s="62">
        <f>K4286-(F4286*I4286)</f>
        <v/>
      </c>
      <c r="M4286" s="64">
        <f>L4286/K4286</f>
        <v/>
      </c>
    </row>
    <row r="4287">
      <c r="A4287" s="58" t="inlineStr">
        <is>
          <t>RT20250424-04286</t>
        </is>
      </c>
      <c r="B4287" s="59" t="inlineStr">
        <is>
          <t>2025-04-24</t>
        </is>
      </c>
      <c r="C4287" s="60" t="inlineStr">
        <is>
          <t>Metro Pantry X-710</t>
        </is>
      </c>
      <c r="D4287" s="58" t="inlineStr">
        <is>
          <t>Grocery</t>
        </is>
      </c>
      <c r="E4287" s="58" t="inlineStr">
        <is>
          <t>East</t>
        </is>
      </c>
      <c r="F4287" s="61" t="n">
        <v>4</v>
      </c>
      <c r="G4287" s="62" t="n">
        <v>6.73</v>
      </c>
      <c r="H4287" s="63" t="n">
        <v>0.061</v>
      </c>
      <c r="I4287" s="62" t="n">
        <v>4.27</v>
      </c>
      <c r="J4287" s="58" t="inlineStr">
        <is>
          <t>Store</t>
        </is>
      </c>
      <c r="K4287" s="62">
        <f>F4287*(G4287-H4287)</f>
        <v/>
      </c>
      <c r="L4287" s="62">
        <f>K4287-(F4287*I4287)</f>
        <v/>
      </c>
      <c r="M4287" s="64">
        <f>L4287/K4287</f>
        <v/>
      </c>
    </row>
    <row r="4288">
      <c r="A4288" s="58" t="inlineStr">
        <is>
          <t>RT20250424-04287</t>
        </is>
      </c>
      <c r="B4288" s="59" t="inlineStr">
        <is>
          <t>2025-04-24</t>
        </is>
      </c>
      <c r="C4288" s="60" t="inlineStr">
        <is>
          <t>Metro Beverage Max-490</t>
        </is>
      </c>
      <c r="D4288" s="58" t="inlineStr">
        <is>
          <t>Grocery</t>
        </is>
      </c>
      <c r="E4288" s="58" t="inlineStr">
        <is>
          <t>South</t>
        </is>
      </c>
      <c r="F4288" s="61" t="n">
        <v>8</v>
      </c>
      <c r="G4288" s="62" t="n">
        <v>10.12</v>
      </c>
      <c r="H4288" s="63" t="n">
        <v>0.008999999999999999</v>
      </c>
      <c r="I4288" s="62" t="n">
        <v>8.029999999999999</v>
      </c>
      <c r="J4288" s="58" t="inlineStr">
        <is>
          <t>Online</t>
        </is>
      </c>
      <c r="K4288" s="62">
        <f>F4288*(G4288-H4288)</f>
        <v/>
      </c>
      <c r="L4288" s="62">
        <f>K4288-(F4288*I4288)</f>
        <v/>
      </c>
      <c r="M4288" s="64">
        <f>L4288/K4288</f>
        <v/>
      </c>
    </row>
    <row r="4289">
      <c r="A4289" s="58" t="inlineStr">
        <is>
          <t>RT20250424-04288</t>
        </is>
      </c>
      <c r="B4289" s="59" t="inlineStr">
        <is>
          <t>2025-04-24</t>
        </is>
      </c>
      <c r="C4289" s="60" t="inlineStr">
        <is>
          <t>Solace Kitchen Pro-999</t>
        </is>
      </c>
      <c r="D4289" s="58" t="inlineStr">
        <is>
          <t>Home</t>
        </is>
      </c>
      <c r="E4289" s="58" t="inlineStr">
        <is>
          <t>West</t>
        </is>
      </c>
      <c r="F4289" s="61" t="n">
        <v>2</v>
      </c>
      <c r="G4289" s="62" t="n">
        <v>391.98</v>
      </c>
      <c r="H4289" s="63" t="n">
        <v>0.106</v>
      </c>
      <c r="I4289" s="62" t="n">
        <v>267.74</v>
      </c>
      <c r="J4289" s="58" t="inlineStr">
        <is>
          <t>Online</t>
        </is>
      </c>
      <c r="K4289" s="62">
        <f>F4289*(G4289-H4289)</f>
        <v/>
      </c>
      <c r="L4289" s="62">
        <f>K4289-(F4289*I4289)</f>
        <v/>
      </c>
      <c r="M4289" s="64">
        <f>L4289/K4289</f>
        <v/>
      </c>
    </row>
    <row r="4290">
      <c r="A4290" s="58" t="inlineStr">
        <is>
          <t>RT20250424-04289</t>
        </is>
      </c>
      <c r="B4290" s="59" t="inlineStr">
        <is>
          <t>2025-04-24</t>
        </is>
      </c>
      <c r="C4290" s="60" t="inlineStr">
        <is>
          <t>Solace Kitchen Pro-510</t>
        </is>
      </c>
      <c r="D4290" s="58" t="inlineStr">
        <is>
          <t>Home</t>
        </is>
      </c>
      <c r="E4290" s="58" t="inlineStr">
        <is>
          <t>East</t>
        </is>
      </c>
      <c r="F4290" s="61" t="n">
        <v>1</v>
      </c>
      <c r="G4290" s="62" t="n">
        <v>459.28</v>
      </c>
      <c r="H4290" s="63" t="n">
        <v>0.095</v>
      </c>
      <c r="I4290" s="62" t="n">
        <v>301.9</v>
      </c>
      <c r="J4290" s="58" t="inlineStr">
        <is>
          <t>Store</t>
        </is>
      </c>
      <c r="K4290" s="62">
        <f>F4290*(G4290-H4290)</f>
        <v/>
      </c>
      <c r="L4290" s="62">
        <f>K4290-(F4290*I4290)</f>
        <v/>
      </c>
      <c r="M4290" s="64">
        <f>L4290/K4290</f>
        <v/>
      </c>
    </row>
    <row r="4291">
      <c r="A4291" s="58" t="inlineStr">
        <is>
          <t>RT20250424-04290</t>
        </is>
      </c>
      <c r="B4291" s="59" t="inlineStr">
        <is>
          <t>2025-04-24</t>
        </is>
      </c>
      <c r="C4291" s="60" t="inlineStr">
        <is>
          <t>Polar Pantry Lite-392</t>
        </is>
      </c>
      <c r="D4291" s="58" t="inlineStr">
        <is>
          <t>Grocery</t>
        </is>
      </c>
      <c r="E4291" s="58" t="inlineStr">
        <is>
          <t>North</t>
        </is>
      </c>
      <c r="F4291" s="61" t="n">
        <v>5</v>
      </c>
      <c r="G4291" s="62" t="n">
        <v>5.44</v>
      </c>
      <c r="H4291" s="63" t="n">
        <v>0.096</v>
      </c>
      <c r="I4291" s="62" t="n">
        <v>4.56</v>
      </c>
      <c r="J4291" s="58" t="inlineStr">
        <is>
          <t>Online</t>
        </is>
      </c>
      <c r="K4291" s="62">
        <f>F4291*(G4291-H4291)</f>
        <v/>
      </c>
      <c r="L4291" s="62">
        <f>K4291-(F4291*I4291)</f>
        <v/>
      </c>
      <c r="M4291" s="64">
        <f>L4291/K4291</f>
        <v/>
      </c>
    </row>
    <row r="4292">
      <c r="A4292" s="58" t="inlineStr">
        <is>
          <t>RT20250424-04291</t>
        </is>
      </c>
      <c r="B4292" s="59" t="inlineStr">
        <is>
          <t>2025-04-24</t>
        </is>
      </c>
      <c r="C4292" s="60" t="inlineStr">
        <is>
          <t>Polar Decor X-935</t>
        </is>
      </c>
      <c r="D4292" s="58" t="inlineStr">
        <is>
          <t>Home</t>
        </is>
      </c>
      <c r="E4292" s="58" t="inlineStr">
        <is>
          <t>Central</t>
        </is>
      </c>
      <c r="F4292" s="61" t="n">
        <v>2</v>
      </c>
      <c r="G4292" s="62" t="n">
        <v>253.39</v>
      </c>
      <c r="H4292" s="63" t="n">
        <v>0.048</v>
      </c>
      <c r="I4292" s="62" t="n">
        <v>203.78</v>
      </c>
      <c r="J4292" s="58" t="inlineStr">
        <is>
          <t>Store</t>
        </is>
      </c>
      <c r="K4292" s="62">
        <f>F4292*(G4292-H4292)</f>
        <v/>
      </c>
      <c r="L4292" s="62">
        <f>K4292-(F4292*I4292)</f>
        <v/>
      </c>
      <c r="M4292" s="64">
        <f>L4292/K4292</f>
        <v/>
      </c>
    </row>
    <row r="4293">
      <c r="A4293" s="58" t="inlineStr">
        <is>
          <t>RT20250424-04292</t>
        </is>
      </c>
      <c r="B4293" s="59" t="inlineStr">
        <is>
          <t>2025-04-24</t>
        </is>
      </c>
      <c r="C4293" s="60" t="inlineStr">
        <is>
          <t>Solace Headphone Pro-344</t>
        </is>
      </c>
      <c r="D4293" s="58" t="inlineStr">
        <is>
          <t>Electronics</t>
        </is>
      </c>
      <c r="E4293" s="58" t="inlineStr">
        <is>
          <t>East</t>
        </is>
      </c>
      <c r="F4293" s="61" t="n">
        <v>2</v>
      </c>
      <c r="G4293" s="62" t="n">
        <v>1145.12</v>
      </c>
      <c r="H4293" s="63" t="n">
        <v>0.062</v>
      </c>
      <c r="I4293" s="62" t="n">
        <v>1042.83</v>
      </c>
      <c r="J4293" s="58" t="inlineStr">
        <is>
          <t>Online</t>
        </is>
      </c>
      <c r="K4293" s="62">
        <f>F4293*(G4293-H4293)</f>
        <v/>
      </c>
      <c r="L4293" s="62">
        <f>K4293-(F4293*I4293)</f>
        <v/>
      </c>
      <c r="M4293" s="64">
        <f>L4293/K4293</f>
        <v/>
      </c>
    </row>
    <row r="4294">
      <c r="A4294" s="58" t="inlineStr">
        <is>
          <t>RT20250424-04293</t>
        </is>
      </c>
      <c r="B4294" s="59" t="inlineStr">
        <is>
          <t>2025-04-24</t>
        </is>
      </c>
      <c r="C4294" s="60" t="inlineStr">
        <is>
          <t>Nimbus Laptop Max-652</t>
        </is>
      </c>
      <c r="D4294" s="58" t="inlineStr">
        <is>
          <t>Electronics</t>
        </is>
      </c>
      <c r="E4294" s="58" t="inlineStr">
        <is>
          <t>South</t>
        </is>
      </c>
      <c r="F4294" s="61" t="n">
        <v>1</v>
      </c>
      <c r="G4294" s="62" t="n">
        <v>1304.75</v>
      </c>
      <c r="H4294" s="63" t="n">
        <v>0.079</v>
      </c>
      <c r="I4294" s="62" t="n">
        <v>1053.2</v>
      </c>
      <c r="J4294" s="58" t="inlineStr">
        <is>
          <t>Store</t>
        </is>
      </c>
      <c r="K4294" s="62">
        <f>F4294*(G4294-H4294)</f>
        <v/>
      </c>
      <c r="L4294" s="62">
        <f>K4294-(F4294*I4294)</f>
        <v/>
      </c>
      <c r="M4294" s="64">
        <f>L4294/K4294</f>
        <v/>
      </c>
    </row>
    <row r="4295">
      <c r="A4295" s="58" t="inlineStr">
        <is>
          <t>RT20250424-04294</t>
        </is>
      </c>
      <c r="B4295" s="59" t="inlineStr">
        <is>
          <t>2025-04-24</t>
        </is>
      </c>
      <c r="C4295" s="60" t="inlineStr">
        <is>
          <t>Vertex Appliance S-159</t>
        </is>
      </c>
      <c r="D4295" s="58" t="inlineStr">
        <is>
          <t>Home</t>
        </is>
      </c>
      <c r="E4295" s="58" t="inlineStr">
        <is>
          <t>Central</t>
        </is>
      </c>
      <c r="F4295" s="61" t="n">
        <v>2</v>
      </c>
      <c r="G4295" s="62" t="n">
        <v>447.78</v>
      </c>
      <c r="H4295" s="63" t="n">
        <v>0.07199999999999999</v>
      </c>
      <c r="I4295" s="62" t="n">
        <v>300.27</v>
      </c>
      <c r="J4295" s="58" t="inlineStr">
        <is>
          <t>Store</t>
        </is>
      </c>
      <c r="K4295" s="62">
        <f>F4295*(G4295-H4295)</f>
        <v/>
      </c>
      <c r="L4295" s="62">
        <f>K4295-(F4295*I4295)</f>
        <v/>
      </c>
      <c r="M4295" s="64">
        <f>L4295/K4295</f>
        <v/>
      </c>
    </row>
    <row r="4296">
      <c r="A4296" s="58" t="inlineStr">
        <is>
          <t>RT20250424-04295</t>
        </is>
      </c>
      <c r="B4296" s="59" t="inlineStr">
        <is>
          <t>2025-04-24</t>
        </is>
      </c>
      <c r="C4296" s="60" t="inlineStr">
        <is>
          <t>Polar Outdoor Lite-318</t>
        </is>
      </c>
      <c r="D4296" s="58" t="inlineStr">
        <is>
          <t>Sports</t>
        </is>
      </c>
      <c r="E4296" s="58" t="inlineStr">
        <is>
          <t>East</t>
        </is>
      </c>
      <c r="F4296" s="61" t="n">
        <v>3</v>
      </c>
      <c r="G4296" s="62" t="n">
        <v>759.16</v>
      </c>
      <c r="H4296" s="63" t="n">
        <v>0.094</v>
      </c>
      <c r="I4296" s="62" t="n">
        <v>463.27</v>
      </c>
      <c r="J4296" s="58" t="inlineStr">
        <is>
          <t>Online</t>
        </is>
      </c>
      <c r="K4296" s="62">
        <f>F4296*(G4296-H4296)</f>
        <v/>
      </c>
      <c r="L4296" s="62">
        <f>K4296-(F4296*I4296)</f>
        <v/>
      </c>
      <c r="M4296" s="64">
        <f>L4296/K4296</f>
        <v/>
      </c>
    </row>
    <row r="4297">
      <c r="A4297" s="58" t="inlineStr">
        <is>
          <t>RT20250424-04296</t>
        </is>
      </c>
      <c r="B4297" s="59" t="inlineStr">
        <is>
          <t>2025-04-24</t>
        </is>
      </c>
      <c r="C4297" s="60" t="inlineStr">
        <is>
          <t>Nimbus Women Lite-814</t>
        </is>
      </c>
      <c r="D4297" s="58" t="inlineStr">
        <is>
          <t>Apparel</t>
        </is>
      </c>
      <c r="E4297" s="58" t="inlineStr">
        <is>
          <t>South</t>
        </is>
      </c>
      <c r="F4297" s="61" t="n">
        <v>1</v>
      </c>
      <c r="G4297" s="62" t="n">
        <v>147.05</v>
      </c>
      <c r="H4297" s="63" t="n">
        <v>0.025</v>
      </c>
      <c r="I4297" s="62" t="n">
        <v>83.84999999999999</v>
      </c>
      <c r="J4297" s="58" t="inlineStr">
        <is>
          <t>Online</t>
        </is>
      </c>
      <c r="K4297" s="62">
        <f>F4297*(G4297-H4297)</f>
        <v/>
      </c>
      <c r="L4297" s="62">
        <f>K4297-(F4297*I4297)</f>
        <v/>
      </c>
      <c r="M4297" s="64">
        <f>L4297/K4297</f>
        <v/>
      </c>
    </row>
    <row r="4298">
      <c r="A4298" s="58" t="inlineStr">
        <is>
          <t>RT20250424-04297</t>
        </is>
      </c>
      <c r="B4298" s="59" t="inlineStr">
        <is>
          <t>2025-04-24</t>
        </is>
      </c>
      <c r="C4298" s="60" t="inlineStr">
        <is>
          <t>Falcon Storage X-734</t>
        </is>
      </c>
      <c r="D4298" s="58" t="inlineStr">
        <is>
          <t>Office</t>
        </is>
      </c>
      <c r="E4298" s="58" t="inlineStr">
        <is>
          <t>West</t>
        </is>
      </c>
      <c r="F4298" s="61" t="n">
        <v>2</v>
      </c>
      <c r="G4298" s="62" t="n">
        <v>360.61</v>
      </c>
      <c r="H4298" s="63" t="n">
        <v>0.062</v>
      </c>
      <c r="I4298" s="62" t="n">
        <v>285.42</v>
      </c>
      <c r="J4298" s="58" t="inlineStr">
        <is>
          <t>Online</t>
        </is>
      </c>
      <c r="K4298" s="62">
        <f>F4298*(G4298-H4298)</f>
        <v/>
      </c>
      <c r="L4298" s="62">
        <f>K4298-(F4298*I4298)</f>
        <v/>
      </c>
      <c r="M4298" s="64">
        <f>L4298/K4298</f>
        <v/>
      </c>
    </row>
    <row r="4299">
      <c r="A4299" s="58" t="inlineStr">
        <is>
          <t>RT20250424-04298</t>
        </is>
      </c>
      <c r="B4299" s="59" t="inlineStr">
        <is>
          <t>2025-04-24</t>
        </is>
      </c>
      <c r="C4299" s="60" t="inlineStr">
        <is>
          <t>Orion Kitchen Pro-568</t>
        </is>
      </c>
      <c r="D4299" s="58" t="inlineStr">
        <is>
          <t>Home</t>
        </is>
      </c>
      <c r="E4299" s="58" t="inlineStr">
        <is>
          <t>West</t>
        </is>
      </c>
      <c r="F4299" s="61" t="n">
        <v>1</v>
      </c>
      <c r="G4299" s="62" t="n">
        <v>457.41</v>
      </c>
      <c r="H4299" s="63" t="n">
        <v>0.051</v>
      </c>
      <c r="I4299" s="62" t="n">
        <v>306.91</v>
      </c>
      <c r="J4299" s="58" t="inlineStr">
        <is>
          <t>Online</t>
        </is>
      </c>
      <c r="K4299" s="62">
        <f>F4299*(G4299-H4299)</f>
        <v/>
      </c>
      <c r="L4299" s="62">
        <f>K4299-(F4299*I4299)</f>
        <v/>
      </c>
      <c r="M4299" s="64">
        <f>L4299/K4299</f>
        <v/>
      </c>
    </row>
    <row r="4300">
      <c r="A4300" s="58" t="inlineStr">
        <is>
          <t>RT20250424-04299</t>
        </is>
      </c>
      <c r="B4300" s="59" t="inlineStr">
        <is>
          <t>2025-04-24</t>
        </is>
      </c>
      <c r="C4300" s="60" t="inlineStr">
        <is>
          <t>Aurora Skincare Max-798</t>
        </is>
      </c>
      <c r="D4300" s="58" t="inlineStr">
        <is>
          <t>Beauty</t>
        </is>
      </c>
      <c r="E4300" s="58" t="inlineStr">
        <is>
          <t>North</t>
        </is>
      </c>
      <c r="F4300" s="61" t="n">
        <v>4</v>
      </c>
      <c r="G4300" s="62" t="n">
        <v>107.2</v>
      </c>
      <c r="H4300" s="63" t="n">
        <v>0.052</v>
      </c>
      <c r="I4300" s="62" t="n">
        <v>69.66</v>
      </c>
      <c r="J4300" s="58" t="inlineStr">
        <is>
          <t>Store</t>
        </is>
      </c>
      <c r="K4300" s="62">
        <f>F4300*(G4300-H4300)</f>
        <v/>
      </c>
      <c r="L4300" s="62">
        <f>K4300-(F4300*I4300)</f>
        <v/>
      </c>
      <c r="M4300" s="64">
        <f>L4300/K4300</f>
        <v/>
      </c>
    </row>
    <row r="4301">
      <c r="A4301" s="58" t="inlineStr">
        <is>
          <t>RT20250424-04300</t>
        </is>
      </c>
      <c r="B4301" s="59" t="inlineStr">
        <is>
          <t>2025-04-24</t>
        </is>
      </c>
      <c r="C4301" s="60" t="inlineStr">
        <is>
          <t>Aurora Wearable Lite-704</t>
        </is>
      </c>
      <c r="D4301" s="58" t="inlineStr">
        <is>
          <t>Electronics</t>
        </is>
      </c>
      <c r="E4301" s="58" t="inlineStr">
        <is>
          <t>South</t>
        </is>
      </c>
      <c r="F4301" s="61" t="n">
        <v>2</v>
      </c>
      <c r="G4301" s="62" t="n">
        <v>2013.02</v>
      </c>
      <c r="H4301" s="63" t="n">
        <v>0.114</v>
      </c>
      <c r="I4301" s="62" t="n">
        <v>1426.52</v>
      </c>
      <c r="J4301" s="58" t="inlineStr">
        <is>
          <t>Store</t>
        </is>
      </c>
      <c r="K4301" s="62">
        <f>F4301*(G4301-H4301)</f>
        <v/>
      </c>
      <c r="L4301" s="62">
        <f>K4301-(F4301*I4301)</f>
        <v/>
      </c>
      <c r="M4301" s="64">
        <f>L4301/K4301</f>
        <v/>
      </c>
    </row>
    <row r="4302">
      <c r="A4302" s="58" t="inlineStr">
        <is>
          <t>RT20250424-04301</t>
        </is>
      </c>
      <c r="B4302" s="59" t="inlineStr">
        <is>
          <t>2025-04-24</t>
        </is>
      </c>
      <c r="C4302" s="60" t="inlineStr">
        <is>
          <t>Orion Kid Max-864</t>
        </is>
      </c>
      <c r="D4302" s="58" t="inlineStr">
        <is>
          <t>Apparel</t>
        </is>
      </c>
      <c r="E4302" s="58" t="inlineStr">
        <is>
          <t>East</t>
        </is>
      </c>
      <c r="F4302" s="61" t="n">
        <v>2</v>
      </c>
      <c r="G4302" s="62" t="n">
        <v>75.84</v>
      </c>
      <c r="H4302" s="63" t="n">
        <v>0.091</v>
      </c>
      <c r="I4302" s="62" t="n">
        <v>44.53</v>
      </c>
      <c r="J4302" s="58" t="inlineStr">
        <is>
          <t>Online</t>
        </is>
      </c>
      <c r="K4302" s="62">
        <f>F4302*(G4302-H4302)</f>
        <v/>
      </c>
      <c r="L4302" s="62">
        <f>K4302-(F4302*I4302)</f>
        <v/>
      </c>
      <c r="M4302" s="64">
        <f>L4302/K4302</f>
        <v/>
      </c>
    </row>
    <row r="4303">
      <c r="A4303" s="58" t="inlineStr">
        <is>
          <t>RT20250424-04302</t>
        </is>
      </c>
      <c r="B4303" s="59" t="inlineStr">
        <is>
          <t>2025-04-24</t>
        </is>
      </c>
      <c r="C4303" s="60" t="inlineStr">
        <is>
          <t>Vertex Printer Max-692</t>
        </is>
      </c>
      <c r="D4303" s="58" t="inlineStr">
        <is>
          <t>Office</t>
        </is>
      </c>
      <c r="E4303" s="58" t="inlineStr">
        <is>
          <t>North</t>
        </is>
      </c>
      <c r="F4303" s="61" t="n">
        <v>2</v>
      </c>
      <c r="G4303" s="62" t="n">
        <v>156.33</v>
      </c>
      <c r="H4303" s="63" t="n">
        <v>0.022</v>
      </c>
      <c r="I4303" s="62" t="n">
        <v>121.42</v>
      </c>
      <c r="J4303" s="58" t="inlineStr">
        <is>
          <t>Online</t>
        </is>
      </c>
      <c r="K4303" s="62">
        <f>F4303*(G4303-H4303)</f>
        <v/>
      </c>
      <c r="L4303" s="62">
        <f>K4303-(F4303*I4303)</f>
        <v/>
      </c>
      <c r="M4303" s="64">
        <f>L4303/K4303</f>
        <v/>
      </c>
    </row>
    <row r="4304">
      <c r="A4304" s="58" t="inlineStr">
        <is>
          <t>RT20250424-04303</t>
        </is>
      </c>
      <c r="B4304" s="59" t="inlineStr">
        <is>
          <t>2025-04-24</t>
        </is>
      </c>
      <c r="C4304" s="60" t="inlineStr">
        <is>
          <t>Falcon Household Plus-172</t>
        </is>
      </c>
      <c r="D4304" s="58" t="inlineStr">
        <is>
          <t>Grocery</t>
        </is>
      </c>
      <c r="E4304" s="58" t="inlineStr">
        <is>
          <t>North</t>
        </is>
      </c>
      <c r="F4304" s="61" t="n">
        <v>4</v>
      </c>
      <c r="G4304" s="62" t="n">
        <v>23.85</v>
      </c>
      <c r="H4304" s="63" t="n">
        <v>0.08</v>
      </c>
      <c r="I4304" s="62" t="n">
        <v>15.8</v>
      </c>
      <c r="J4304" s="58" t="inlineStr">
        <is>
          <t>Online</t>
        </is>
      </c>
      <c r="K4304" s="62">
        <f>F4304*(G4304-H4304)</f>
        <v/>
      </c>
      <c r="L4304" s="62">
        <f>K4304-(F4304*I4304)</f>
        <v/>
      </c>
      <c r="M4304" s="64">
        <f>L4304/K4304</f>
        <v/>
      </c>
    </row>
    <row r="4305">
      <c r="A4305" s="58" t="inlineStr">
        <is>
          <t>RT20250424-04304</t>
        </is>
      </c>
      <c r="B4305" s="59" t="inlineStr">
        <is>
          <t>2025-04-24</t>
        </is>
      </c>
      <c r="C4305" s="60" t="inlineStr">
        <is>
          <t>Vertex Men X-995</t>
        </is>
      </c>
      <c r="D4305" s="58" t="inlineStr">
        <is>
          <t>Apparel</t>
        </is>
      </c>
      <c r="E4305" s="58" t="inlineStr">
        <is>
          <t>Central</t>
        </is>
      </c>
      <c r="F4305" s="61" t="n">
        <v>4</v>
      </c>
      <c r="G4305" s="62" t="n">
        <v>102.18</v>
      </c>
      <c r="H4305" s="63" t="n">
        <v>0.05</v>
      </c>
      <c r="I4305" s="62" t="n">
        <v>58.96</v>
      </c>
      <c r="J4305" s="58" t="inlineStr">
        <is>
          <t>Online</t>
        </is>
      </c>
      <c r="K4305" s="62">
        <f>F4305*(G4305-H4305)</f>
        <v/>
      </c>
      <c r="L4305" s="62">
        <f>K4305-(F4305*I4305)</f>
        <v/>
      </c>
      <c r="M4305" s="64">
        <f>L4305/K4305</f>
        <v/>
      </c>
    </row>
    <row r="4306">
      <c r="A4306" s="58" t="inlineStr">
        <is>
          <t>RT20250424-04305</t>
        </is>
      </c>
      <c r="B4306" s="59" t="inlineStr">
        <is>
          <t>2025-04-24</t>
        </is>
      </c>
      <c r="C4306" s="60" t="inlineStr">
        <is>
          <t>Falcon Beverage Max-702</t>
        </is>
      </c>
      <c r="D4306" s="58" t="inlineStr">
        <is>
          <t>Grocery</t>
        </is>
      </c>
      <c r="E4306" s="58" t="inlineStr">
        <is>
          <t>Central</t>
        </is>
      </c>
      <c r="F4306" s="61" t="n">
        <v>1</v>
      </c>
      <c r="G4306" s="62" t="n">
        <v>26.26</v>
      </c>
      <c r="H4306" s="63" t="n">
        <v>0.059</v>
      </c>
      <c r="I4306" s="62" t="n">
        <v>20.09</v>
      </c>
      <c r="J4306" s="58" t="inlineStr">
        <is>
          <t>Store</t>
        </is>
      </c>
      <c r="K4306" s="62">
        <f>F4306*(G4306-H4306)</f>
        <v/>
      </c>
      <c r="L4306" s="62">
        <f>K4306-(F4306*I4306)</f>
        <v/>
      </c>
      <c r="M4306" s="64">
        <f>L4306/K4306</f>
        <v/>
      </c>
    </row>
    <row r="4307">
      <c r="A4307" s="58" t="inlineStr">
        <is>
          <t>RT20250424-04306</t>
        </is>
      </c>
      <c r="B4307" s="59" t="inlineStr">
        <is>
          <t>2025-04-24</t>
        </is>
      </c>
      <c r="C4307" s="60" t="inlineStr">
        <is>
          <t>Polar Decor X-935</t>
        </is>
      </c>
      <c r="D4307" s="58" t="inlineStr">
        <is>
          <t>Home</t>
        </is>
      </c>
      <c r="E4307" s="58" t="inlineStr">
        <is>
          <t>West</t>
        </is>
      </c>
      <c r="F4307" s="61" t="n">
        <v>2</v>
      </c>
      <c r="G4307" s="62" t="n">
        <v>267.64</v>
      </c>
      <c r="H4307" s="63" t="n">
        <v>0.075</v>
      </c>
      <c r="I4307" s="62" t="n">
        <v>204.99</v>
      </c>
      <c r="J4307" s="58" t="inlineStr">
        <is>
          <t>Online</t>
        </is>
      </c>
      <c r="K4307" s="62">
        <f>F4307*(G4307-H4307)</f>
        <v/>
      </c>
      <c r="L4307" s="62">
        <f>K4307-(F4307*I4307)</f>
        <v/>
      </c>
      <c r="M4307" s="64">
        <f>L4307/K4307</f>
        <v/>
      </c>
    </row>
    <row r="4308">
      <c r="A4308" s="58" t="inlineStr">
        <is>
          <t>RT20250424-04307</t>
        </is>
      </c>
      <c r="B4308" s="59" t="inlineStr">
        <is>
          <t>2025-04-24</t>
        </is>
      </c>
      <c r="C4308" s="60" t="inlineStr">
        <is>
          <t>Falcon Skincare Max-151</t>
        </is>
      </c>
      <c r="D4308" s="58" t="inlineStr">
        <is>
          <t>Beauty</t>
        </is>
      </c>
      <c r="E4308" s="58" t="inlineStr">
        <is>
          <t>West</t>
        </is>
      </c>
      <c r="F4308" s="61" t="n">
        <v>5</v>
      </c>
      <c r="G4308" s="62" t="n">
        <v>81.45999999999999</v>
      </c>
      <c r="H4308" s="63" t="n">
        <v>0.118</v>
      </c>
      <c r="I4308" s="62" t="n">
        <v>60.11</v>
      </c>
      <c r="J4308" s="58" t="inlineStr">
        <is>
          <t>Store</t>
        </is>
      </c>
      <c r="K4308" s="62">
        <f>F4308*(G4308-H4308)</f>
        <v/>
      </c>
      <c r="L4308" s="62">
        <f>K4308-(F4308*I4308)</f>
        <v/>
      </c>
      <c r="M4308" s="64">
        <f>L4308/K4308</f>
        <v/>
      </c>
    </row>
    <row r="4309">
      <c r="A4309" s="58" t="inlineStr">
        <is>
          <t>RT20250424-04308</t>
        </is>
      </c>
      <c r="B4309" s="59" t="inlineStr">
        <is>
          <t>2025-04-24</t>
        </is>
      </c>
      <c r="C4309" s="60" t="inlineStr">
        <is>
          <t>Orion Fragrance Lite-785</t>
        </is>
      </c>
      <c r="D4309" s="58" t="inlineStr">
        <is>
          <t>Beauty</t>
        </is>
      </c>
      <c r="E4309" s="58" t="inlineStr">
        <is>
          <t>East</t>
        </is>
      </c>
      <c r="F4309" s="61" t="n">
        <v>1</v>
      </c>
      <c r="G4309" s="62" t="n">
        <v>46.83</v>
      </c>
      <c r="H4309" s="63" t="n">
        <v>0.052</v>
      </c>
      <c r="I4309" s="62" t="n">
        <v>26.11</v>
      </c>
      <c r="J4309" s="58" t="inlineStr">
        <is>
          <t>Store</t>
        </is>
      </c>
      <c r="K4309" s="62">
        <f>F4309*(G4309-H4309)</f>
        <v/>
      </c>
      <c r="L4309" s="62">
        <f>K4309-(F4309*I4309)</f>
        <v/>
      </c>
      <c r="M4309" s="64">
        <f>L4309/K4309</f>
        <v/>
      </c>
    </row>
    <row r="4310">
      <c r="A4310" s="58" t="inlineStr">
        <is>
          <t>RT20250424-04309</t>
        </is>
      </c>
      <c r="B4310" s="59" t="inlineStr">
        <is>
          <t>2025-04-24</t>
        </is>
      </c>
      <c r="C4310" s="60" t="inlineStr">
        <is>
          <t>Aurora Team Sport Plus-256</t>
        </is>
      </c>
      <c r="D4310" s="58" t="inlineStr">
        <is>
          <t>Sports</t>
        </is>
      </c>
      <c r="E4310" s="58" t="inlineStr">
        <is>
          <t>South</t>
        </is>
      </c>
      <c r="F4310" s="61" t="n">
        <v>3</v>
      </c>
      <c r="G4310" s="62" t="n">
        <v>690.67</v>
      </c>
      <c r="H4310" s="63" t="n">
        <v>0.037</v>
      </c>
      <c r="I4310" s="62" t="n">
        <v>428.25</v>
      </c>
      <c r="J4310" s="58" t="inlineStr">
        <is>
          <t>Store</t>
        </is>
      </c>
      <c r="K4310" s="62">
        <f>F4310*(G4310-H4310)</f>
        <v/>
      </c>
      <c r="L4310" s="62">
        <f>K4310-(F4310*I4310)</f>
        <v/>
      </c>
      <c r="M4310" s="64">
        <f>L4310/K4310</f>
        <v/>
      </c>
    </row>
    <row r="4311">
      <c r="A4311" s="58" t="inlineStr">
        <is>
          <t>RT20250424-04310</t>
        </is>
      </c>
      <c r="B4311" s="59" t="inlineStr">
        <is>
          <t>2025-04-24</t>
        </is>
      </c>
      <c r="C4311" s="60" t="inlineStr">
        <is>
          <t>Aurora Bedding Plus-187</t>
        </is>
      </c>
      <c r="D4311" s="58" t="inlineStr">
        <is>
          <t>Home</t>
        </is>
      </c>
      <c r="E4311" s="58" t="inlineStr">
        <is>
          <t>Central</t>
        </is>
      </c>
      <c r="F4311" s="61" t="n">
        <v>3</v>
      </c>
      <c r="G4311" s="62" t="n">
        <v>310.39</v>
      </c>
      <c r="H4311" s="63" t="n">
        <v>0.065</v>
      </c>
      <c r="I4311" s="62" t="n">
        <v>203.76</v>
      </c>
      <c r="J4311" s="58" t="inlineStr">
        <is>
          <t>Store</t>
        </is>
      </c>
      <c r="K4311" s="62">
        <f>F4311*(G4311-H4311)</f>
        <v/>
      </c>
      <c r="L4311" s="62">
        <f>K4311-(F4311*I4311)</f>
        <v/>
      </c>
      <c r="M4311" s="64">
        <f>L4311/K4311</f>
        <v/>
      </c>
    </row>
    <row r="4312">
      <c r="A4312" s="58" t="inlineStr">
        <is>
          <t>RT20250424-04311</t>
        </is>
      </c>
      <c r="B4312" s="59" t="inlineStr">
        <is>
          <t>2025-04-24</t>
        </is>
      </c>
      <c r="C4312" s="60" t="inlineStr">
        <is>
          <t>Nimbus Furniture Pro-479</t>
        </is>
      </c>
      <c r="D4312" s="58" t="inlineStr">
        <is>
          <t>Office</t>
        </is>
      </c>
      <c r="E4312" s="58" t="inlineStr">
        <is>
          <t>East</t>
        </is>
      </c>
      <c r="F4312" s="61" t="n">
        <v>2</v>
      </c>
      <c r="G4312" s="62" t="n">
        <v>324.38</v>
      </c>
      <c r="H4312" s="63" t="n">
        <v>0.048</v>
      </c>
      <c r="I4312" s="62" t="n">
        <v>242.14</v>
      </c>
      <c r="J4312" s="58" t="inlineStr">
        <is>
          <t>Phone</t>
        </is>
      </c>
      <c r="K4312" s="62">
        <f>F4312*(G4312-H4312)</f>
        <v/>
      </c>
      <c r="L4312" s="62">
        <f>K4312-(F4312*I4312)</f>
        <v/>
      </c>
      <c r="M4312" s="64">
        <f>L4312/K4312</f>
        <v/>
      </c>
    </row>
    <row r="4313">
      <c r="A4313" s="58" t="inlineStr">
        <is>
          <t>RT20250424-04312</t>
        </is>
      </c>
      <c r="B4313" s="59" t="inlineStr">
        <is>
          <t>2025-04-24</t>
        </is>
      </c>
      <c r="C4313" s="60" t="inlineStr">
        <is>
          <t>Orion Haircare Plus-887</t>
        </is>
      </c>
      <c r="D4313" s="58" t="inlineStr">
        <is>
          <t>Beauty</t>
        </is>
      </c>
      <c r="E4313" s="58" t="inlineStr">
        <is>
          <t>Central</t>
        </is>
      </c>
      <c r="F4313" s="61" t="n">
        <v>4</v>
      </c>
      <c r="G4313" s="62" t="n">
        <v>50.46</v>
      </c>
      <c r="H4313" s="63" t="n">
        <v>0.019</v>
      </c>
      <c r="I4313" s="62" t="n">
        <v>30.59</v>
      </c>
      <c r="J4313" s="58" t="inlineStr">
        <is>
          <t>Store</t>
        </is>
      </c>
      <c r="K4313" s="62">
        <f>F4313*(G4313-H4313)</f>
        <v/>
      </c>
      <c r="L4313" s="62">
        <f>K4313-(F4313*I4313)</f>
        <v/>
      </c>
      <c r="M4313" s="64">
        <f>L4313/K4313</f>
        <v/>
      </c>
    </row>
    <row r="4314">
      <c r="A4314" s="58" t="inlineStr">
        <is>
          <t>RT20250424-04313</t>
        </is>
      </c>
      <c r="B4314" s="59" t="inlineStr">
        <is>
          <t>2025-04-24</t>
        </is>
      </c>
      <c r="C4314" s="60" t="inlineStr">
        <is>
          <t>Nimbus Fitnes Lite-516</t>
        </is>
      </c>
      <c r="D4314" s="58" t="inlineStr">
        <is>
          <t>Sports</t>
        </is>
      </c>
      <c r="E4314" s="58" t="inlineStr">
        <is>
          <t>Central</t>
        </is>
      </c>
      <c r="F4314" s="61" t="n">
        <v>3</v>
      </c>
      <c r="G4314" s="62" t="n">
        <v>764.96</v>
      </c>
      <c r="H4314" s="63" t="n">
        <v>0.099</v>
      </c>
      <c r="I4314" s="62" t="n">
        <v>483.75</v>
      </c>
      <c r="J4314" s="58" t="inlineStr">
        <is>
          <t>Store</t>
        </is>
      </c>
      <c r="K4314" s="62">
        <f>F4314*(G4314-H4314)</f>
        <v/>
      </c>
      <c r="L4314" s="62">
        <f>K4314-(F4314*I4314)</f>
        <v/>
      </c>
      <c r="M4314" s="64">
        <f>L4314/K4314</f>
        <v/>
      </c>
    </row>
    <row r="4315">
      <c r="A4315" s="58" t="inlineStr">
        <is>
          <t>RT20250424-04314</t>
        </is>
      </c>
      <c r="B4315" s="59" t="inlineStr">
        <is>
          <t>2025-04-24</t>
        </is>
      </c>
      <c r="C4315" s="60" t="inlineStr">
        <is>
          <t>Aurora Appliance Lite-109</t>
        </is>
      </c>
      <c r="D4315" s="58" t="inlineStr">
        <is>
          <t>Home</t>
        </is>
      </c>
      <c r="E4315" s="58" t="inlineStr">
        <is>
          <t>West</t>
        </is>
      </c>
      <c r="F4315" s="61" t="n">
        <v>1</v>
      </c>
      <c r="G4315" s="62" t="n">
        <v>307.33</v>
      </c>
      <c r="H4315" s="63" t="n">
        <v>0.05</v>
      </c>
      <c r="I4315" s="62" t="n">
        <v>200.69</v>
      </c>
      <c r="J4315" s="58" t="inlineStr">
        <is>
          <t>Store</t>
        </is>
      </c>
      <c r="K4315" s="62">
        <f>F4315*(G4315-H4315)</f>
        <v/>
      </c>
      <c r="L4315" s="62">
        <f>K4315-(F4315*I4315)</f>
        <v/>
      </c>
      <c r="M4315" s="64">
        <f>L4315/K4315</f>
        <v/>
      </c>
    </row>
    <row r="4316">
      <c r="A4316" s="58" t="inlineStr">
        <is>
          <t>RT20250424-04315</t>
        </is>
      </c>
      <c r="B4316" s="59" t="inlineStr">
        <is>
          <t>2025-04-24</t>
        </is>
      </c>
      <c r="C4316" s="60" t="inlineStr">
        <is>
          <t>Aurora Team Sport Plus-256</t>
        </is>
      </c>
      <c r="D4316" s="58" t="inlineStr">
        <is>
          <t>Sports</t>
        </is>
      </c>
      <c r="E4316" s="58" t="inlineStr">
        <is>
          <t>West</t>
        </is>
      </c>
      <c r="F4316" s="61" t="n">
        <v>3</v>
      </c>
      <c r="G4316" s="62" t="n">
        <v>627.3099999999999</v>
      </c>
      <c r="H4316" s="63" t="n">
        <v>0.08400000000000001</v>
      </c>
      <c r="I4316" s="62" t="n">
        <v>419.38</v>
      </c>
      <c r="J4316" s="58" t="inlineStr">
        <is>
          <t>Online</t>
        </is>
      </c>
      <c r="K4316" s="62">
        <f>F4316*(G4316-H4316)</f>
        <v/>
      </c>
      <c r="L4316" s="62">
        <f>K4316-(F4316*I4316)</f>
        <v/>
      </c>
      <c r="M4316" s="64">
        <f>L4316/K4316</f>
        <v/>
      </c>
    </row>
    <row r="4317">
      <c r="A4317" s="58" t="inlineStr">
        <is>
          <t>RT20250424-04316</t>
        </is>
      </c>
      <c r="B4317" s="59" t="inlineStr">
        <is>
          <t>2025-04-24</t>
        </is>
      </c>
      <c r="C4317" s="60" t="inlineStr">
        <is>
          <t>Orion Beverage Plus-949</t>
        </is>
      </c>
      <c r="D4317" s="58" t="inlineStr">
        <is>
          <t>Grocery</t>
        </is>
      </c>
      <c r="E4317" s="58" t="inlineStr">
        <is>
          <t>South</t>
        </is>
      </c>
      <c r="F4317" s="61" t="n">
        <v>4</v>
      </c>
      <c r="G4317" s="62" t="n">
        <v>15.35</v>
      </c>
      <c r="H4317" s="63" t="n">
        <v>0.102</v>
      </c>
      <c r="I4317" s="62" t="n">
        <v>13.36</v>
      </c>
      <c r="J4317" s="58" t="inlineStr">
        <is>
          <t>Online</t>
        </is>
      </c>
      <c r="K4317" s="62">
        <f>F4317*(G4317-H4317)</f>
        <v/>
      </c>
      <c r="L4317" s="62">
        <f>K4317-(F4317*I4317)</f>
        <v/>
      </c>
      <c r="M4317" s="64">
        <f>L4317/K4317</f>
        <v/>
      </c>
    </row>
    <row r="4318">
      <c r="A4318" s="58" t="inlineStr">
        <is>
          <t>RT20250424-04317</t>
        </is>
      </c>
      <c r="B4318" s="59" t="inlineStr">
        <is>
          <t>2025-04-24</t>
        </is>
      </c>
      <c r="C4318" s="60" t="inlineStr">
        <is>
          <t>Polar Bedding Lite-243</t>
        </is>
      </c>
      <c r="D4318" s="58" t="inlineStr">
        <is>
          <t>Home</t>
        </is>
      </c>
      <c r="E4318" s="58" t="inlineStr">
        <is>
          <t>South</t>
        </is>
      </c>
      <c r="F4318" s="61" t="n">
        <v>1</v>
      </c>
      <c r="G4318" s="62" t="n">
        <v>524.6799999999999</v>
      </c>
      <c r="H4318" s="63" t="n">
        <v>0.066</v>
      </c>
      <c r="I4318" s="62" t="n">
        <v>316.46</v>
      </c>
      <c r="J4318" s="58" t="inlineStr">
        <is>
          <t>Store</t>
        </is>
      </c>
      <c r="K4318" s="62">
        <f>F4318*(G4318-H4318)</f>
        <v/>
      </c>
      <c r="L4318" s="62">
        <f>K4318-(F4318*I4318)</f>
        <v/>
      </c>
      <c r="M4318" s="64">
        <f>L4318/K4318</f>
        <v/>
      </c>
    </row>
    <row r="4319">
      <c r="A4319" s="58" t="inlineStr">
        <is>
          <t>RT20250424-04318</t>
        </is>
      </c>
      <c r="B4319" s="59" t="inlineStr">
        <is>
          <t>2025-04-24</t>
        </is>
      </c>
      <c r="C4319" s="60" t="inlineStr">
        <is>
          <t>Falcon Headphone Plus-789</t>
        </is>
      </c>
      <c r="D4319" s="58" t="inlineStr">
        <is>
          <t>Electronics</t>
        </is>
      </c>
      <c r="E4319" s="58" t="inlineStr">
        <is>
          <t>West</t>
        </is>
      </c>
      <c r="F4319" s="61" t="n">
        <v>1</v>
      </c>
      <c r="G4319" s="62" t="n">
        <v>1519.19</v>
      </c>
      <c r="H4319" s="63" t="n">
        <v>0.098</v>
      </c>
      <c r="I4319" s="62" t="n">
        <v>1324.89</v>
      </c>
      <c r="J4319" s="58" t="inlineStr">
        <is>
          <t>Online</t>
        </is>
      </c>
      <c r="K4319" s="62">
        <f>F4319*(G4319-H4319)</f>
        <v/>
      </c>
      <c r="L4319" s="62">
        <f>K4319-(F4319*I4319)</f>
        <v/>
      </c>
      <c r="M4319" s="64">
        <f>L4319/K4319</f>
        <v/>
      </c>
    </row>
    <row r="4320">
      <c r="A4320" s="58" t="inlineStr">
        <is>
          <t>RT20250424-04319</t>
        </is>
      </c>
      <c r="B4320" s="59" t="inlineStr">
        <is>
          <t>2025-04-24</t>
        </is>
      </c>
      <c r="C4320" s="60" t="inlineStr">
        <is>
          <t>Aurora Storage Lite-774</t>
        </is>
      </c>
      <c r="D4320" s="58" t="inlineStr">
        <is>
          <t>Office</t>
        </is>
      </c>
      <c r="E4320" s="58" t="inlineStr">
        <is>
          <t>Central</t>
        </is>
      </c>
      <c r="F4320" s="61" t="n">
        <v>1</v>
      </c>
      <c r="G4320" s="62" t="n">
        <v>336.83</v>
      </c>
      <c r="H4320" s="63" t="n">
        <v>0.042</v>
      </c>
      <c r="I4320" s="62" t="n">
        <v>241.18</v>
      </c>
      <c r="J4320" s="58" t="inlineStr">
        <is>
          <t>Online</t>
        </is>
      </c>
      <c r="K4320" s="62">
        <f>F4320*(G4320-H4320)</f>
        <v/>
      </c>
      <c r="L4320" s="62">
        <f>K4320-(F4320*I4320)</f>
        <v/>
      </c>
      <c r="M4320" s="64">
        <f>L4320/K4320</f>
        <v/>
      </c>
    </row>
    <row r="4321">
      <c r="A4321" s="58" t="inlineStr">
        <is>
          <t>RT20250424-04320</t>
        </is>
      </c>
      <c r="B4321" s="59" t="inlineStr">
        <is>
          <t>2025-04-24</t>
        </is>
      </c>
      <c r="C4321" s="60" t="inlineStr">
        <is>
          <t>Vertex Men X-995</t>
        </is>
      </c>
      <c r="D4321" s="58" t="inlineStr">
        <is>
          <t>Apparel</t>
        </is>
      </c>
      <c r="E4321" s="58" t="inlineStr">
        <is>
          <t>East</t>
        </is>
      </c>
      <c r="F4321" s="61" t="n">
        <v>3</v>
      </c>
      <c r="G4321" s="62" t="n">
        <v>104.03</v>
      </c>
      <c r="H4321" s="63" t="n">
        <v>0.063</v>
      </c>
      <c r="I4321" s="62" t="n">
        <v>58.26</v>
      </c>
      <c r="J4321" s="58" t="inlineStr">
        <is>
          <t>Store</t>
        </is>
      </c>
      <c r="K4321" s="62">
        <f>F4321*(G4321-H4321)</f>
        <v/>
      </c>
      <c r="L4321" s="62">
        <f>K4321-(F4321*I4321)</f>
        <v/>
      </c>
      <c r="M4321" s="64">
        <f>L4321/K4321</f>
        <v/>
      </c>
    </row>
    <row r="4322">
      <c r="A4322" s="58" t="inlineStr">
        <is>
          <t>RT20250424-04321</t>
        </is>
      </c>
      <c r="B4322" s="59" t="inlineStr">
        <is>
          <t>2025-04-24</t>
        </is>
      </c>
      <c r="C4322" s="60" t="inlineStr">
        <is>
          <t>Aurora Haircare S-975</t>
        </is>
      </c>
      <c r="D4322" s="58" t="inlineStr">
        <is>
          <t>Beauty</t>
        </is>
      </c>
      <c r="E4322" s="58" t="inlineStr">
        <is>
          <t>West</t>
        </is>
      </c>
      <c r="F4322" s="61" t="n">
        <v>1</v>
      </c>
      <c r="G4322" s="62" t="n">
        <v>99.92</v>
      </c>
      <c r="H4322" s="63" t="n">
        <v>0.059</v>
      </c>
      <c r="I4322" s="62" t="n">
        <v>59.59</v>
      </c>
      <c r="J4322" s="58" t="inlineStr">
        <is>
          <t>Store</t>
        </is>
      </c>
      <c r="K4322" s="62">
        <f>F4322*(G4322-H4322)</f>
        <v/>
      </c>
      <c r="L4322" s="62">
        <f>K4322-(F4322*I4322)</f>
        <v/>
      </c>
      <c r="M4322" s="64">
        <f>L4322/K4322</f>
        <v/>
      </c>
    </row>
    <row r="4323">
      <c r="A4323" s="58" t="inlineStr">
        <is>
          <t>RT20250424-04322</t>
        </is>
      </c>
      <c r="B4323" s="59" t="inlineStr">
        <is>
          <t>2025-04-24</t>
        </is>
      </c>
      <c r="C4323" s="60" t="inlineStr">
        <is>
          <t>Solace Bedding Plus-317</t>
        </is>
      </c>
      <c r="D4323" s="58" t="inlineStr">
        <is>
          <t>Home</t>
        </is>
      </c>
      <c r="E4323" s="58" t="inlineStr">
        <is>
          <t>East</t>
        </is>
      </c>
      <c r="F4323" s="61" t="n">
        <v>2</v>
      </c>
      <c r="G4323" s="62" t="n">
        <v>588.21</v>
      </c>
      <c r="H4323" s="63" t="n">
        <v>0</v>
      </c>
      <c r="I4323" s="62" t="n">
        <v>378.23</v>
      </c>
      <c r="J4323" s="58" t="inlineStr">
        <is>
          <t>Store</t>
        </is>
      </c>
      <c r="K4323" s="62">
        <f>F4323*(G4323-H4323)</f>
        <v/>
      </c>
      <c r="L4323" s="62">
        <f>K4323-(F4323*I4323)</f>
        <v/>
      </c>
      <c r="M4323" s="64">
        <f>L4323/K4323</f>
        <v/>
      </c>
    </row>
    <row r="4324">
      <c r="A4324" s="58" t="inlineStr">
        <is>
          <t>RT20250424-04323</t>
        </is>
      </c>
      <c r="B4324" s="59" t="inlineStr">
        <is>
          <t>2025-04-24</t>
        </is>
      </c>
      <c r="C4324" s="60" t="inlineStr">
        <is>
          <t>Polar Bedding Lite-243</t>
        </is>
      </c>
      <c r="D4324" s="58" t="inlineStr">
        <is>
          <t>Home</t>
        </is>
      </c>
      <c r="E4324" s="58" t="inlineStr">
        <is>
          <t>Central</t>
        </is>
      </c>
      <c r="F4324" s="61" t="n">
        <v>2</v>
      </c>
      <c r="G4324" s="62" t="n">
        <v>528.73</v>
      </c>
      <c r="H4324" s="63" t="n">
        <v>0.056</v>
      </c>
      <c r="I4324" s="62" t="n">
        <v>324.29</v>
      </c>
      <c r="J4324" s="58" t="inlineStr">
        <is>
          <t>Phone</t>
        </is>
      </c>
      <c r="K4324" s="62">
        <f>F4324*(G4324-H4324)</f>
        <v/>
      </c>
      <c r="L4324" s="62">
        <f>K4324-(F4324*I4324)</f>
        <v/>
      </c>
      <c r="M4324" s="64">
        <f>L4324/K4324</f>
        <v/>
      </c>
    </row>
    <row r="4325">
      <c r="A4325" s="58" t="inlineStr">
        <is>
          <t>RT20250424-04324</t>
        </is>
      </c>
      <c r="B4325" s="59" t="inlineStr">
        <is>
          <t>2025-04-24</t>
        </is>
      </c>
      <c r="C4325" s="60" t="inlineStr">
        <is>
          <t>Metro Printer X-294</t>
        </is>
      </c>
      <c r="D4325" s="58" t="inlineStr">
        <is>
          <t>Office</t>
        </is>
      </c>
      <c r="E4325" s="58" t="inlineStr">
        <is>
          <t>North</t>
        </is>
      </c>
      <c r="F4325" s="61" t="n">
        <v>2</v>
      </c>
      <c r="G4325" s="62" t="n">
        <v>543.01</v>
      </c>
      <c r="H4325" s="63" t="n">
        <v>0.068</v>
      </c>
      <c r="I4325" s="62" t="n">
        <v>417.82</v>
      </c>
      <c r="J4325" s="58" t="inlineStr">
        <is>
          <t>Online</t>
        </is>
      </c>
      <c r="K4325" s="62">
        <f>F4325*(G4325-H4325)</f>
        <v/>
      </c>
      <c r="L4325" s="62">
        <f>K4325-(F4325*I4325)</f>
        <v/>
      </c>
      <c r="M4325" s="64">
        <f>L4325/K4325</f>
        <v/>
      </c>
    </row>
    <row r="4326">
      <c r="A4326" s="58" t="inlineStr">
        <is>
          <t>RT20250424-04325</t>
        </is>
      </c>
      <c r="B4326" s="59" t="inlineStr">
        <is>
          <t>2025-04-24</t>
        </is>
      </c>
      <c r="C4326" s="60" t="inlineStr">
        <is>
          <t>Polar Bedding Lite-243</t>
        </is>
      </c>
      <c r="D4326" s="58" t="inlineStr">
        <is>
          <t>Home</t>
        </is>
      </c>
      <c r="E4326" s="58" t="inlineStr">
        <is>
          <t>East</t>
        </is>
      </c>
      <c r="F4326" s="61" t="n">
        <v>1</v>
      </c>
      <c r="G4326" s="62" t="n">
        <v>476.52</v>
      </c>
      <c r="H4326" s="63" t="n">
        <v>0.06</v>
      </c>
      <c r="I4326" s="62" t="n">
        <v>309.71</v>
      </c>
      <c r="J4326" s="58" t="inlineStr">
        <is>
          <t>Online</t>
        </is>
      </c>
      <c r="K4326" s="62">
        <f>F4326*(G4326-H4326)</f>
        <v/>
      </c>
      <c r="L4326" s="62">
        <f>K4326-(F4326*I4326)</f>
        <v/>
      </c>
      <c r="M4326" s="64">
        <f>L4326/K4326</f>
        <v/>
      </c>
    </row>
    <row r="4327">
      <c r="A4327" s="58" t="inlineStr">
        <is>
          <t>RT20250424-04326</t>
        </is>
      </c>
      <c r="B4327" s="59" t="inlineStr">
        <is>
          <t>2025-04-24</t>
        </is>
      </c>
      <c r="C4327" s="60" t="inlineStr">
        <is>
          <t>Vertex Decor Pro-618</t>
        </is>
      </c>
      <c r="D4327" s="58" t="inlineStr">
        <is>
          <t>Home</t>
        </is>
      </c>
      <c r="E4327" s="58" t="inlineStr">
        <is>
          <t>South</t>
        </is>
      </c>
      <c r="F4327" s="61" t="n">
        <v>1</v>
      </c>
      <c r="G4327" s="62" t="n">
        <v>547.08</v>
      </c>
      <c r="H4327" s="63" t="n">
        <v>0.059</v>
      </c>
      <c r="I4327" s="62" t="n">
        <v>373.56</v>
      </c>
      <c r="J4327" s="58" t="inlineStr">
        <is>
          <t>Online</t>
        </is>
      </c>
      <c r="K4327" s="62">
        <f>F4327*(G4327-H4327)</f>
        <v/>
      </c>
      <c r="L4327" s="62">
        <f>K4327-(F4327*I4327)</f>
        <v/>
      </c>
      <c r="M4327" s="64">
        <f>L4327/K4327</f>
        <v/>
      </c>
    </row>
    <row r="4328">
      <c r="A4328" s="58" t="inlineStr">
        <is>
          <t>RT20250424-04327</t>
        </is>
      </c>
      <c r="B4328" s="59" t="inlineStr">
        <is>
          <t>2025-04-24</t>
        </is>
      </c>
      <c r="C4328" s="60" t="inlineStr">
        <is>
          <t>Nimbus Makeup Max-158</t>
        </is>
      </c>
      <c r="D4328" s="58" t="inlineStr">
        <is>
          <t>Beauty</t>
        </is>
      </c>
      <c r="E4328" s="58" t="inlineStr">
        <is>
          <t>West</t>
        </is>
      </c>
      <c r="F4328" s="61" t="n">
        <v>3</v>
      </c>
      <c r="G4328" s="62" t="n">
        <v>148.69</v>
      </c>
      <c r="H4328" s="63" t="n">
        <v>0.041</v>
      </c>
      <c r="I4328" s="62" t="n">
        <v>96.38</v>
      </c>
      <c r="J4328" s="58" t="inlineStr">
        <is>
          <t>Online</t>
        </is>
      </c>
      <c r="K4328" s="62">
        <f>F4328*(G4328-H4328)</f>
        <v/>
      </c>
      <c r="L4328" s="62">
        <f>K4328-(F4328*I4328)</f>
        <v/>
      </c>
      <c r="M4328" s="64">
        <f>L4328/K4328</f>
        <v/>
      </c>
    </row>
    <row r="4329">
      <c r="A4329" s="58" t="inlineStr">
        <is>
          <t>RT20250424-04328</t>
        </is>
      </c>
      <c r="B4329" s="59" t="inlineStr">
        <is>
          <t>2025-04-24</t>
        </is>
      </c>
      <c r="C4329" s="60" t="inlineStr">
        <is>
          <t>Polar Beverage S-258</t>
        </is>
      </c>
      <c r="D4329" s="58" t="inlineStr">
        <is>
          <t>Grocery</t>
        </is>
      </c>
      <c r="E4329" s="58" t="inlineStr">
        <is>
          <t>East</t>
        </is>
      </c>
      <c r="F4329" s="61" t="n">
        <v>6</v>
      </c>
      <c r="G4329" s="62" t="n">
        <v>12.36</v>
      </c>
      <c r="H4329" s="63" t="n">
        <v>0.095</v>
      </c>
      <c r="I4329" s="62" t="n">
        <v>9.49</v>
      </c>
      <c r="J4329" s="58" t="inlineStr">
        <is>
          <t>Online</t>
        </is>
      </c>
      <c r="K4329" s="62">
        <f>F4329*(G4329-H4329)</f>
        <v/>
      </c>
      <c r="L4329" s="62">
        <f>K4329-(F4329*I4329)</f>
        <v/>
      </c>
      <c r="M4329" s="64">
        <f>L4329/K4329</f>
        <v/>
      </c>
    </row>
    <row r="4330">
      <c r="A4330" s="58" t="inlineStr">
        <is>
          <t>RT20250424-04329</t>
        </is>
      </c>
      <c r="B4330" s="59" t="inlineStr">
        <is>
          <t>2025-04-24</t>
        </is>
      </c>
      <c r="C4330" s="60" t="inlineStr">
        <is>
          <t>Solace Makeup Pro-214</t>
        </is>
      </c>
      <c r="D4330" s="58" t="inlineStr">
        <is>
          <t>Beauty</t>
        </is>
      </c>
      <c r="E4330" s="58" t="inlineStr">
        <is>
          <t>North</t>
        </is>
      </c>
      <c r="F4330" s="61" t="n">
        <v>2</v>
      </c>
      <c r="G4330" s="62" t="n">
        <v>107.11</v>
      </c>
      <c r="H4330" s="63" t="n">
        <v>0.076</v>
      </c>
      <c r="I4330" s="62" t="n">
        <v>67.64</v>
      </c>
      <c r="J4330" s="58" t="inlineStr">
        <is>
          <t>Online</t>
        </is>
      </c>
      <c r="K4330" s="62">
        <f>F4330*(G4330-H4330)</f>
        <v/>
      </c>
      <c r="L4330" s="62">
        <f>K4330-(F4330*I4330)</f>
        <v/>
      </c>
      <c r="M4330" s="64">
        <f>L4330/K4330</f>
        <v/>
      </c>
    </row>
    <row r="4331">
      <c r="A4331" s="58" t="inlineStr">
        <is>
          <t>RT20250424-04330</t>
        </is>
      </c>
      <c r="B4331" s="59" t="inlineStr">
        <is>
          <t>2025-04-24</t>
        </is>
      </c>
      <c r="C4331" s="60" t="inlineStr">
        <is>
          <t>Falcon Cycling Pro-499</t>
        </is>
      </c>
      <c r="D4331" s="58" t="inlineStr">
        <is>
          <t>Sports</t>
        </is>
      </c>
      <c r="E4331" s="58" t="inlineStr">
        <is>
          <t>West</t>
        </is>
      </c>
      <c r="F4331" s="61" t="n">
        <v>1</v>
      </c>
      <c r="G4331" s="62" t="n">
        <v>627.05</v>
      </c>
      <c r="H4331" s="63" t="n">
        <v>0.016</v>
      </c>
      <c r="I4331" s="62" t="n">
        <v>396.02</v>
      </c>
      <c r="J4331" s="58" t="inlineStr">
        <is>
          <t>Online</t>
        </is>
      </c>
      <c r="K4331" s="62">
        <f>F4331*(G4331-H4331)</f>
        <v/>
      </c>
      <c r="L4331" s="62">
        <f>K4331-(F4331*I4331)</f>
        <v/>
      </c>
      <c r="M4331" s="64">
        <f>L4331/K4331</f>
        <v/>
      </c>
    </row>
    <row r="4332">
      <c r="A4332" s="58" t="inlineStr">
        <is>
          <t>RT20250424-04331</t>
        </is>
      </c>
      <c r="B4332" s="59" t="inlineStr">
        <is>
          <t>2025-04-24</t>
        </is>
      </c>
      <c r="C4332" s="60" t="inlineStr">
        <is>
          <t>Nimbus Storage Plus-646</t>
        </is>
      </c>
      <c r="D4332" s="58" t="inlineStr">
        <is>
          <t>Office</t>
        </is>
      </c>
      <c r="E4332" s="58" t="inlineStr">
        <is>
          <t>South</t>
        </is>
      </c>
      <c r="F4332" s="61" t="n">
        <v>3</v>
      </c>
      <c r="G4332" s="62" t="n">
        <v>428.42</v>
      </c>
      <c r="H4332" s="63" t="n">
        <v>0.04</v>
      </c>
      <c r="I4332" s="62" t="n">
        <v>311.86</v>
      </c>
      <c r="J4332" s="58" t="inlineStr">
        <is>
          <t>Store</t>
        </is>
      </c>
      <c r="K4332" s="62">
        <f>F4332*(G4332-H4332)</f>
        <v/>
      </c>
      <c r="L4332" s="62">
        <f>K4332-(F4332*I4332)</f>
        <v/>
      </c>
      <c r="M4332" s="64">
        <f>L4332/K4332</f>
        <v/>
      </c>
    </row>
    <row r="4333">
      <c r="A4333" s="58" t="inlineStr">
        <is>
          <t>RT20250424-04332</t>
        </is>
      </c>
      <c r="B4333" s="59" t="inlineStr">
        <is>
          <t>2025-04-24</t>
        </is>
      </c>
      <c r="C4333" s="60" t="inlineStr">
        <is>
          <t>Aurora Furniture X-709</t>
        </is>
      </c>
      <c r="D4333" s="58" t="inlineStr">
        <is>
          <t>Office</t>
        </is>
      </c>
      <c r="E4333" s="58" t="inlineStr">
        <is>
          <t>East</t>
        </is>
      </c>
      <c r="F4333" s="61" t="n">
        <v>1</v>
      </c>
      <c r="G4333" s="62" t="n">
        <v>417.88</v>
      </c>
      <c r="H4333" s="63" t="n">
        <v>0.039</v>
      </c>
      <c r="I4333" s="62" t="n">
        <v>300.02</v>
      </c>
      <c r="J4333" s="58" t="inlineStr">
        <is>
          <t>Online</t>
        </is>
      </c>
      <c r="K4333" s="62">
        <f>F4333*(G4333-H4333)</f>
        <v/>
      </c>
      <c r="L4333" s="62">
        <f>K4333-(F4333*I4333)</f>
        <v/>
      </c>
      <c r="M4333" s="64">
        <f>L4333/K4333</f>
        <v/>
      </c>
    </row>
    <row r="4334">
      <c r="A4334" s="58" t="inlineStr">
        <is>
          <t>RT20250424-04333</t>
        </is>
      </c>
      <c r="B4334" s="59" t="inlineStr">
        <is>
          <t>2025-04-24</t>
        </is>
      </c>
      <c r="C4334" s="60" t="inlineStr">
        <is>
          <t>Falcon Household Plus-172</t>
        </is>
      </c>
      <c r="D4334" s="58" t="inlineStr">
        <is>
          <t>Grocery</t>
        </is>
      </c>
      <c r="E4334" s="58" t="inlineStr">
        <is>
          <t>Central</t>
        </is>
      </c>
      <c r="F4334" s="61" t="n">
        <v>1</v>
      </c>
      <c r="G4334" s="62" t="n">
        <v>20.6</v>
      </c>
      <c r="H4334" s="63" t="n">
        <v>0.06900000000000001</v>
      </c>
      <c r="I4334" s="62" t="n">
        <v>16.25</v>
      </c>
      <c r="J4334" s="58" t="inlineStr">
        <is>
          <t>Online</t>
        </is>
      </c>
      <c r="K4334" s="62">
        <f>F4334*(G4334-H4334)</f>
        <v/>
      </c>
      <c r="L4334" s="62">
        <f>K4334-(F4334*I4334)</f>
        <v/>
      </c>
      <c r="M4334" s="64">
        <f>L4334/K4334</f>
        <v/>
      </c>
    </row>
    <row r="4335">
      <c r="A4335" s="58" t="inlineStr">
        <is>
          <t>RT20250424-04334</t>
        </is>
      </c>
      <c r="B4335" s="59" t="inlineStr">
        <is>
          <t>2025-04-24</t>
        </is>
      </c>
      <c r="C4335" s="60" t="inlineStr">
        <is>
          <t>Vertex Pantry Pro-165</t>
        </is>
      </c>
      <c r="D4335" s="58" t="inlineStr">
        <is>
          <t>Grocery</t>
        </is>
      </c>
      <c r="E4335" s="58" t="inlineStr">
        <is>
          <t>South</t>
        </is>
      </c>
      <c r="F4335" s="61" t="n">
        <v>3</v>
      </c>
      <c r="G4335" s="62" t="n">
        <v>14.64</v>
      </c>
      <c r="H4335" s="63" t="n">
        <v>0.09</v>
      </c>
      <c r="I4335" s="62" t="n">
        <v>11.88</v>
      </c>
      <c r="J4335" s="58" t="inlineStr">
        <is>
          <t>Online</t>
        </is>
      </c>
      <c r="K4335" s="62">
        <f>F4335*(G4335-H4335)</f>
        <v/>
      </c>
      <c r="L4335" s="62">
        <f>K4335-(F4335*I4335)</f>
        <v/>
      </c>
      <c r="M4335" s="64">
        <f>L4335/K4335</f>
        <v/>
      </c>
    </row>
    <row r="4336">
      <c r="A4336" s="58" t="inlineStr">
        <is>
          <t>RT20250424-04335</t>
        </is>
      </c>
      <c r="B4336" s="59" t="inlineStr">
        <is>
          <t>2025-04-24</t>
        </is>
      </c>
      <c r="C4336" s="60" t="inlineStr">
        <is>
          <t>Orion Men X-928</t>
        </is>
      </c>
      <c r="D4336" s="58" t="inlineStr">
        <is>
          <t>Apparel</t>
        </is>
      </c>
      <c r="E4336" s="58" t="inlineStr">
        <is>
          <t>South</t>
        </is>
      </c>
      <c r="F4336" s="61" t="n">
        <v>2</v>
      </c>
      <c r="G4336" s="62" t="n">
        <v>122.47</v>
      </c>
      <c r="H4336" s="63" t="n">
        <v>0.065</v>
      </c>
      <c r="I4336" s="62" t="n">
        <v>61.29</v>
      </c>
      <c r="J4336" s="58" t="inlineStr">
        <is>
          <t>Store</t>
        </is>
      </c>
      <c r="K4336" s="62">
        <f>F4336*(G4336-H4336)</f>
        <v/>
      </c>
      <c r="L4336" s="62">
        <f>K4336-(F4336*I4336)</f>
        <v/>
      </c>
      <c r="M4336" s="64">
        <f>L4336/K4336</f>
        <v/>
      </c>
    </row>
    <row r="4337">
      <c r="A4337" s="58" t="inlineStr">
        <is>
          <t>RT20250424-04336</t>
        </is>
      </c>
      <c r="B4337" s="59" t="inlineStr">
        <is>
          <t>2025-04-24</t>
        </is>
      </c>
      <c r="C4337" s="60" t="inlineStr">
        <is>
          <t>Vertex Appliance S-296</t>
        </is>
      </c>
      <c r="D4337" s="58" t="inlineStr">
        <is>
          <t>Home</t>
        </is>
      </c>
      <c r="E4337" s="58" t="inlineStr">
        <is>
          <t>East</t>
        </is>
      </c>
      <c r="F4337" s="61" t="n">
        <v>3</v>
      </c>
      <c r="G4337" s="62" t="n">
        <v>566.75</v>
      </c>
      <c r="H4337" s="63" t="n">
        <v>0.046</v>
      </c>
      <c r="I4337" s="62" t="n">
        <v>364.95</v>
      </c>
      <c r="J4337" s="58" t="inlineStr">
        <is>
          <t>Online</t>
        </is>
      </c>
      <c r="K4337" s="62">
        <f>F4337*(G4337-H4337)</f>
        <v/>
      </c>
      <c r="L4337" s="62">
        <f>K4337-(F4337*I4337)</f>
        <v/>
      </c>
      <c r="M4337" s="64">
        <f>L4337/K4337</f>
        <v/>
      </c>
    </row>
    <row r="4338">
      <c r="A4338" s="58" t="inlineStr">
        <is>
          <t>RT20250424-04337</t>
        </is>
      </c>
      <c r="B4338" s="59" t="inlineStr">
        <is>
          <t>2025-04-24</t>
        </is>
      </c>
      <c r="C4338" s="60" t="inlineStr">
        <is>
          <t>Orion Kid Max-864</t>
        </is>
      </c>
      <c r="D4338" s="58" t="inlineStr">
        <is>
          <t>Apparel</t>
        </is>
      </c>
      <c r="E4338" s="58" t="inlineStr">
        <is>
          <t>South</t>
        </is>
      </c>
      <c r="F4338" s="61" t="n">
        <v>3</v>
      </c>
      <c r="G4338" s="62" t="n">
        <v>88.83</v>
      </c>
      <c r="H4338" s="63" t="n">
        <v>0.033</v>
      </c>
      <c r="I4338" s="62" t="n">
        <v>45.4</v>
      </c>
      <c r="J4338" s="58" t="inlineStr">
        <is>
          <t>Phone</t>
        </is>
      </c>
      <c r="K4338" s="62">
        <f>F4338*(G4338-H4338)</f>
        <v/>
      </c>
      <c r="L4338" s="62">
        <f>K4338-(F4338*I4338)</f>
        <v/>
      </c>
      <c r="M4338" s="64">
        <f>L4338/K4338</f>
        <v/>
      </c>
    </row>
    <row r="4339">
      <c r="A4339" s="58" t="inlineStr">
        <is>
          <t>RT20250424-04338</t>
        </is>
      </c>
      <c r="B4339" s="59" t="inlineStr">
        <is>
          <t>2025-04-24</t>
        </is>
      </c>
      <c r="C4339" s="60" t="inlineStr">
        <is>
          <t>Falcon Storage X-734</t>
        </is>
      </c>
      <c r="D4339" s="58" t="inlineStr">
        <is>
          <t>Office</t>
        </is>
      </c>
      <c r="E4339" s="58" t="inlineStr">
        <is>
          <t>West</t>
        </is>
      </c>
      <c r="F4339" s="61" t="n">
        <v>2</v>
      </c>
      <c r="G4339" s="62" t="n">
        <v>422.82</v>
      </c>
      <c r="H4339" s="63" t="n">
        <v>0.08</v>
      </c>
      <c r="I4339" s="62" t="n">
        <v>278.61</v>
      </c>
      <c r="J4339" s="58" t="inlineStr">
        <is>
          <t>Store</t>
        </is>
      </c>
      <c r="K4339" s="62">
        <f>F4339*(G4339-H4339)</f>
        <v/>
      </c>
      <c r="L4339" s="62">
        <f>K4339-(F4339*I4339)</f>
        <v/>
      </c>
      <c r="M4339" s="64">
        <f>L4339/K4339</f>
        <v/>
      </c>
    </row>
    <row r="4340">
      <c r="A4340" s="58" t="inlineStr">
        <is>
          <t>RT20250424-04339</t>
        </is>
      </c>
      <c r="B4340" s="59" t="inlineStr">
        <is>
          <t>2025-04-24</t>
        </is>
      </c>
      <c r="C4340" s="60" t="inlineStr">
        <is>
          <t>Solace Bedding Plus-317</t>
        </is>
      </c>
      <c r="D4340" s="58" t="inlineStr">
        <is>
          <t>Home</t>
        </is>
      </c>
      <c r="E4340" s="58" t="inlineStr">
        <is>
          <t>Central</t>
        </is>
      </c>
      <c r="F4340" s="61" t="n">
        <v>2</v>
      </c>
      <c r="G4340" s="62" t="n">
        <v>587.87</v>
      </c>
      <c r="H4340" s="63" t="n">
        <v>0.08500000000000001</v>
      </c>
      <c r="I4340" s="62" t="n">
        <v>373.49</v>
      </c>
      <c r="J4340" s="58" t="inlineStr">
        <is>
          <t>Online</t>
        </is>
      </c>
      <c r="K4340" s="62">
        <f>F4340*(G4340-H4340)</f>
        <v/>
      </c>
      <c r="L4340" s="62">
        <f>K4340-(F4340*I4340)</f>
        <v/>
      </c>
      <c r="M4340" s="64">
        <f>L4340/K4340</f>
        <v/>
      </c>
    </row>
    <row r="4341">
      <c r="A4341" s="58" t="inlineStr">
        <is>
          <t>RT20250424-04340</t>
        </is>
      </c>
      <c r="B4341" s="59" t="inlineStr">
        <is>
          <t>2025-04-24</t>
        </is>
      </c>
      <c r="C4341" s="60" t="inlineStr">
        <is>
          <t>Falcon Skincare Max-151</t>
        </is>
      </c>
      <c r="D4341" s="58" t="inlineStr">
        <is>
          <t>Beauty</t>
        </is>
      </c>
      <c r="E4341" s="58" t="inlineStr">
        <is>
          <t>South</t>
        </is>
      </c>
      <c r="F4341" s="61" t="n">
        <v>4</v>
      </c>
      <c r="G4341" s="62" t="n">
        <v>100.08</v>
      </c>
      <c r="H4341" s="63" t="n">
        <v>0.02</v>
      </c>
      <c r="I4341" s="62" t="n">
        <v>57.51</v>
      </c>
      <c r="J4341" s="58" t="inlineStr">
        <is>
          <t>Store</t>
        </is>
      </c>
      <c r="K4341" s="62">
        <f>F4341*(G4341-H4341)</f>
        <v/>
      </c>
      <c r="L4341" s="62">
        <f>K4341-(F4341*I4341)</f>
        <v/>
      </c>
      <c r="M4341" s="64">
        <f>L4341/K4341</f>
        <v/>
      </c>
    </row>
    <row r="4342">
      <c r="A4342" s="58" t="inlineStr">
        <is>
          <t>RT20250424-04341</t>
        </is>
      </c>
      <c r="B4342" s="59" t="inlineStr">
        <is>
          <t>2025-04-24</t>
        </is>
      </c>
      <c r="C4342" s="60" t="inlineStr">
        <is>
          <t>Solace Kitchen X-919</t>
        </is>
      </c>
      <c r="D4342" s="58" t="inlineStr">
        <is>
          <t>Home</t>
        </is>
      </c>
      <c r="E4342" s="58" t="inlineStr">
        <is>
          <t>Central</t>
        </is>
      </c>
      <c r="F4342" s="61" t="n">
        <v>1</v>
      </c>
      <c r="G4342" s="62" t="n">
        <v>447.51</v>
      </c>
      <c r="H4342" s="63" t="n">
        <v>0.068</v>
      </c>
      <c r="I4342" s="62" t="n">
        <v>268.38</v>
      </c>
      <c r="J4342" s="58" t="inlineStr">
        <is>
          <t>Store</t>
        </is>
      </c>
      <c r="K4342" s="62">
        <f>F4342*(G4342-H4342)</f>
        <v/>
      </c>
      <c r="L4342" s="62">
        <f>K4342-(F4342*I4342)</f>
        <v/>
      </c>
      <c r="M4342" s="64">
        <f>L4342/K4342</f>
        <v/>
      </c>
    </row>
    <row r="4343">
      <c r="A4343" s="58" t="inlineStr">
        <is>
          <t>RT20250425-04342</t>
        </is>
      </c>
      <c r="B4343" s="59" t="inlineStr">
        <is>
          <t>2025-04-25</t>
        </is>
      </c>
      <c r="C4343" s="60" t="inlineStr">
        <is>
          <t>Metro Accessorie Max-316</t>
        </is>
      </c>
      <c r="D4343" s="58" t="inlineStr">
        <is>
          <t>Apparel</t>
        </is>
      </c>
      <c r="E4343" s="58" t="inlineStr">
        <is>
          <t>East</t>
        </is>
      </c>
      <c r="F4343" s="61" t="n">
        <v>2</v>
      </c>
      <c r="G4343" s="62" t="n">
        <v>181.05</v>
      </c>
      <c r="H4343" s="63" t="n">
        <v>0.098</v>
      </c>
      <c r="I4343" s="62" t="n">
        <v>95.34999999999999</v>
      </c>
      <c r="J4343" s="58" t="inlineStr">
        <is>
          <t>Store</t>
        </is>
      </c>
      <c r="K4343" s="62">
        <f>F4343*(G4343-H4343)</f>
        <v/>
      </c>
      <c r="L4343" s="62">
        <f>K4343-(F4343*I4343)</f>
        <v/>
      </c>
      <c r="M4343" s="64">
        <f>L4343/K4343</f>
        <v/>
      </c>
    </row>
    <row r="4344">
      <c r="A4344" s="58" t="inlineStr">
        <is>
          <t>RT20250425-04343</t>
        </is>
      </c>
      <c r="B4344" s="59" t="inlineStr">
        <is>
          <t>2025-04-25</t>
        </is>
      </c>
      <c r="C4344" s="60" t="inlineStr">
        <is>
          <t>Solace Kitchen Pro-510</t>
        </is>
      </c>
      <c r="D4344" s="58" t="inlineStr">
        <is>
          <t>Home</t>
        </is>
      </c>
      <c r="E4344" s="58" t="inlineStr">
        <is>
          <t>East</t>
        </is>
      </c>
      <c r="F4344" s="61" t="n">
        <v>1</v>
      </c>
      <c r="G4344" s="62" t="n">
        <v>517.04</v>
      </c>
      <c r="H4344" s="63" t="n">
        <v>0.018</v>
      </c>
      <c r="I4344" s="62" t="n">
        <v>313.18</v>
      </c>
      <c r="J4344" s="58" t="inlineStr">
        <is>
          <t>Store</t>
        </is>
      </c>
      <c r="K4344" s="62">
        <f>F4344*(G4344-H4344)</f>
        <v/>
      </c>
      <c r="L4344" s="62">
        <f>K4344-(F4344*I4344)</f>
        <v/>
      </c>
      <c r="M4344" s="64">
        <f>L4344/K4344</f>
        <v/>
      </c>
    </row>
    <row r="4345">
      <c r="A4345" s="58" t="inlineStr">
        <is>
          <t>RT20250425-04344</t>
        </is>
      </c>
      <c r="B4345" s="59" t="inlineStr">
        <is>
          <t>2025-04-25</t>
        </is>
      </c>
      <c r="C4345" s="60" t="inlineStr">
        <is>
          <t>Polar Cycling S-223</t>
        </is>
      </c>
      <c r="D4345" s="58" t="inlineStr">
        <is>
          <t>Sports</t>
        </is>
      </c>
      <c r="E4345" s="58" t="inlineStr">
        <is>
          <t>West</t>
        </is>
      </c>
      <c r="F4345" s="61" t="n">
        <v>2</v>
      </c>
      <c r="G4345" s="62" t="n">
        <v>893.91</v>
      </c>
      <c r="H4345" s="63" t="n">
        <v>0.121</v>
      </c>
      <c r="I4345" s="62" t="n">
        <v>611.73</v>
      </c>
      <c r="J4345" s="58" t="inlineStr">
        <is>
          <t>Online</t>
        </is>
      </c>
      <c r="K4345" s="62">
        <f>F4345*(G4345-H4345)</f>
        <v/>
      </c>
      <c r="L4345" s="62">
        <f>K4345-(F4345*I4345)</f>
        <v/>
      </c>
      <c r="M4345" s="64">
        <f>L4345/K4345</f>
        <v/>
      </c>
    </row>
    <row r="4346">
      <c r="A4346" s="58" t="inlineStr">
        <is>
          <t>RT20250425-04345</t>
        </is>
      </c>
      <c r="B4346" s="59" t="inlineStr">
        <is>
          <t>2025-04-25</t>
        </is>
      </c>
      <c r="C4346" s="60" t="inlineStr">
        <is>
          <t>Polar Pantry Lite-392</t>
        </is>
      </c>
      <c r="D4346" s="58" t="inlineStr">
        <is>
          <t>Grocery</t>
        </is>
      </c>
      <c r="E4346" s="58" t="inlineStr">
        <is>
          <t>West</t>
        </is>
      </c>
      <c r="F4346" s="61" t="n">
        <v>4</v>
      </c>
      <c r="G4346" s="62" t="n">
        <v>5.84</v>
      </c>
      <c r="H4346" s="63" t="n">
        <v>0.094</v>
      </c>
      <c r="I4346" s="62" t="n">
        <v>4.5</v>
      </c>
      <c r="J4346" s="58" t="inlineStr">
        <is>
          <t>Online</t>
        </is>
      </c>
      <c r="K4346" s="62">
        <f>F4346*(G4346-H4346)</f>
        <v/>
      </c>
      <c r="L4346" s="62">
        <f>K4346-(F4346*I4346)</f>
        <v/>
      </c>
      <c r="M4346" s="64">
        <f>L4346/K4346</f>
        <v/>
      </c>
    </row>
    <row r="4347">
      <c r="A4347" s="58" t="inlineStr">
        <is>
          <t>RT20250425-04346</t>
        </is>
      </c>
      <c r="B4347" s="59" t="inlineStr">
        <is>
          <t>2025-04-25</t>
        </is>
      </c>
      <c r="C4347" s="60" t="inlineStr">
        <is>
          <t>Orion Haircare Plus-887</t>
        </is>
      </c>
      <c r="D4347" s="58" t="inlineStr">
        <is>
          <t>Beauty</t>
        </is>
      </c>
      <c r="E4347" s="58" t="inlineStr">
        <is>
          <t>West</t>
        </is>
      </c>
      <c r="F4347" s="61" t="n">
        <v>4</v>
      </c>
      <c r="G4347" s="62" t="n">
        <v>50.63</v>
      </c>
      <c r="H4347" s="63" t="n">
        <v>0.094</v>
      </c>
      <c r="I4347" s="62" t="n">
        <v>30.44</v>
      </c>
      <c r="J4347" s="58" t="inlineStr">
        <is>
          <t>Online</t>
        </is>
      </c>
      <c r="K4347" s="62">
        <f>F4347*(G4347-H4347)</f>
        <v/>
      </c>
      <c r="L4347" s="62">
        <f>K4347-(F4347*I4347)</f>
        <v/>
      </c>
      <c r="M4347" s="64">
        <f>L4347/K4347</f>
        <v/>
      </c>
    </row>
    <row r="4348">
      <c r="A4348" s="58" t="inlineStr">
        <is>
          <t>RT20250425-04347</t>
        </is>
      </c>
      <c r="B4348" s="59" t="inlineStr">
        <is>
          <t>2025-04-25</t>
        </is>
      </c>
      <c r="C4348" s="60" t="inlineStr">
        <is>
          <t>Falcon Cycling Pro-499</t>
        </is>
      </c>
      <c r="D4348" s="58" t="inlineStr">
        <is>
          <t>Sports</t>
        </is>
      </c>
      <c r="E4348" s="58" t="inlineStr">
        <is>
          <t>East</t>
        </is>
      </c>
      <c r="F4348" s="61" t="n">
        <v>3</v>
      </c>
      <c r="G4348" s="62" t="n">
        <v>561.27</v>
      </c>
      <c r="H4348" s="63" t="n">
        <v>0.08400000000000001</v>
      </c>
      <c r="I4348" s="62" t="n">
        <v>409.01</v>
      </c>
      <c r="J4348" s="58" t="inlineStr">
        <is>
          <t>Online</t>
        </is>
      </c>
      <c r="K4348" s="62">
        <f>F4348*(G4348-H4348)</f>
        <v/>
      </c>
      <c r="L4348" s="62">
        <f>K4348-(F4348*I4348)</f>
        <v/>
      </c>
      <c r="M4348" s="64">
        <f>L4348/K4348</f>
        <v/>
      </c>
    </row>
    <row r="4349">
      <c r="A4349" s="58" t="inlineStr">
        <is>
          <t>RT20250425-04348</t>
        </is>
      </c>
      <c r="B4349" s="59" t="inlineStr">
        <is>
          <t>2025-04-25</t>
        </is>
      </c>
      <c r="C4349" s="60" t="inlineStr">
        <is>
          <t>Aurora Printer Plus-991</t>
        </is>
      </c>
      <c r="D4349" s="58" t="inlineStr">
        <is>
          <t>Office</t>
        </is>
      </c>
      <c r="E4349" s="58" t="inlineStr">
        <is>
          <t>Central</t>
        </is>
      </c>
      <c r="F4349" s="61" t="n">
        <v>3</v>
      </c>
      <c r="G4349" s="62" t="n">
        <v>539.9</v>
      </c>
      <c r="H4349" s="63" t="n">
        <v>0.032</v>
      </c>
      <c r="I4349" s="62" t="n">
        <v>364.07</v>
      </c>
      <c r="J4349" s="58" t="inlineStr">
        <is>
          <t>Store</t>
        </is>
      </c>
      <c r="K4349" s="62">
        <f>F4349*(G4349-H4349)</f>
        <v/>
      </c>
      <c r="L4349" s="62">
        <f>K4349-(F4349*I4349)</f>
        <v/>
      </c>
      <c r="M4349" s="64">
        <f>L4349/K4349</f>
        <v/>
      </c>
    </row>
    <row r="4350">
      <c r="A4350" s="58" t="inlineStr">
        <is>
          <t>RT20250425-04349</t>
        </is>
      </c>
      <c r="B4350" s="59" t="inlineStr">
        <is>
          <t>2025-04-25</t>
        </is>
      </c>
      <c r="C4350" s="60" t="inlineStr">
        <is>
          <t>Vertex Appliance S-159</t>
        </is>
      </c>
      <c r="D4350" s="58" t="inlineStr">
        <is>
          <t>Home</t>
        </is>
      </c>
      <c r="E4350" s="58" t="inlineStr">
        <is>
          <t>West</t>
        </is>
      </c>
      <c r="F4350" s="61" t="n">
        <v>2</v>
      </c>
      <c r="G4350" s="62" t="n">
        <v>370.73</v>
      </c>
      <c r="H4350" s="63" t="n">
        <v>0.105</v>
      </c>
      <c r="I4350" s="62" t="n">
        <v>286.04</v>
      </c>
      <c r="J4350" s="58" t="inlineStr">
        <is>
          <t>Online</t>
        </is>
      </c>
      <c r="K4350" s="62">
        <f>F4350*(G4350-H4350)</f>
        <v/>
      </c>
      <c r="L4350" s="62">
        <f>K4350-(F4350*I4350)</f>
        <v/>
      </c>
      <c r="M4350" s="64">
        <f>L4350/K4350</f>
        <v/>
      </c>
    </row>
    <row r="4351">
      <c r="A4351" s="58" t="inlineStr">
        <is>
          <t>RT20250425-04350</t>
        </is>
      </c>
      <c r="B4351" s="59" t="inlineStr">
        <is>
          <t>2025-04-25</t>
        </is>
      </c>
      <c r="C4351" s="60" t="inlineStr">
        <is>
          <t>Metro Pantry X-710</t>
        </is>
      </c>
      <c r="D4351" s="58" t="inlineStr">
        <is>
          <t>Grocery</t>
        </is>
      </c>
      <c r="E4351" s="58" t="inlineStr">
        <is>
          <t>North</t>
        </is>
      </c>
      <c r="F4351" s="61" t="n">
        <v>5</v>
      </c>
      <c r="G4351" s="62" t="n">
        <v>4.8</v>
      </c>
      <c r="H4351" s="63" t="n">
        <v>0.07099999999999999</v>
      </c>
      <c r="I4351" s="62" t="n">
        <v>4.1</v>
      </c>
      <c r="J4351" s="58" t="inlineStr">
        <is>
          <t>Store</t>
        </is>
      </c>
      <c r="K4351" s="62">
        <f>F4351*(G4351-H4351)</f>
        <v/>
      </c>
      <c r="L4351" s="62">
        <f>K4351-(F4351*I4351)</f>
        <v/>
      </c>
      <c r="M4351" s="64">
        <f>L4351/K4351</f>
        <v/>
      </c>
    </row>
    <row r="4352">
      <c r="A4352" s="58" t="inlineStr">
        <is>
          <t>RT20250425-04351</t>
        </is>
      </c>
      <c r="B4352" s="59" t="inlineStr">
        <is>
          <t>2025-04-25</t>
        </is>
      </c>
      <c r="C4352" s="60" t="inlineStr">
        <is>
          <t>Polar Cycling S-223</t>
        </is>
      </c>
      <c r="D4352" s="58" t="inlineStr">
        <is>
          <t>Sports</t>
        </is>
      </c>
      <c r="E4352" s="58" t="inlineStr">
        <is>
          <t>South</t>
        </is>
      </c>
      <c r="F4352" s="61" t="n">
        <v>2</v>
      </c>
      <c r="G4352" s="62" t="n">
        <v>849.47</v>
      </c>
      <c r="H4352" s="63" t="n">
        <v>0.053</v>
      </c>
      <c r="I4352" s="62" t="n">
        <v>617.52</v>
      </c>
      <c r="J4352" s="58" t="inlineStr">
        <is>
          <t>Store</t>
        </is>
      </c>
      <c r="K4352" s="62">
        <f>F4352*(G4352-H4352)</f>
        <v/>
      </c>
      <c r="L4352" s="62">
        <f>K4352-(F4352*I4352)</f>
        <v/>
      </c>
      <c r="M4352" s="64">
        <f>L4352/K4352</f>
        <v/>
      </c>
    </row>
    <row r="4353">
      <c r="A4353" s="58" t="inlineStr">
        <is>
          <t>RT20250425-04352</t>
        </is>
      </c>
      <c r="B4353" s="59" t="inlineStr">
        <is>
          <t>2025-04-25</t>
        </is>
      </c>
      <c r="C4353" s="60" t="inlineStr">
        <is>
          <t>Polar Haircare Max-614</t>
        </is>
      </c>
      <c r="D4353" s="58" t="inlineStr">
        <is>
          <t>Beauty</t>
        </is>
      </c>
      <c r="E4353" s="58" t="inlineStr">
        <is>
          <t>East</t>
        </is>
      </c>
      <c r="F4353" s="61" t="n">
        <v>5</v>
      </c>
      <c r="G4353" s="62" t="n">
        <v>104.26</v>
      </c>
      <c r="H4353" s="63" t="n">
        <v>0.07000000000000001</v>
      </c>
      <c r="I4353" s="62" t="n">
        <v>70.72</v>
      </c>
      <c r="J4353" s="58" t="inlineStr">
        <is>
          <t>Online</t>
        </is>
      </c>
      <c r="K4353" s="62">
        <f>F4353*(G4353-H4353)</f>
        <v/>
      </c>
      <c r="L4353" s="62">
        <f>K4353-(F4353*I4353)</f>
        <v/>
      </c>
      <c r="M4353" s="64">
        <f>L4353/K4353</f>
        <v/>
      </c>
    </row>
    <row r="4354">
      <c r="A4354" s="58" t="inlineStr">
        <is>
          <t>RT20250425-04353</t>
        </is>
      </c>
      <c r="B4354" s="59" t="inlineStr">
        <is>
          <t>2025-04-25</t>
        </is>
      </c>
      <c r="C4354" s="60" t="inlineStr">
        <is>
          <t>Orion Kid Max-640</t>
        </is>
      </c>
      <c r="D4354" s="58" t="inlineStr">
        <is>
          <t>Apparel</t>
        </is>
      </c>
      <c r="E4354" s="58" t="inlineStr">
        <is>
          <t>West</t>
        </is>
      </c>
      <c r="F4354" s="61" t="n">
        <v>2</v>
      </c>
      <c r="G4354" s="62" t="n">
        <v>126.64</v>
      </c>
      <c r="H4354" s="63" t="n">
        <v>0.07099999999999999</v>
      </c>
      <c r="I4354" s="62" t="n">
        <v>72.14</v>
      </c>
      <c r="J4354" s="58" t="inlineStr">
        <is>
          <t>Phone</t>
        </is>
      </c>
      <c r="K4354" s="62">
        <f>F4354*(G4354-H4354)</f>
        <v/>
      </c>
      <c r="L4354" s="62">
        <f>K4354-(F4354*I4354)</f>
        <v/>
      </c>
      <c r="M4354" s="64">
        <f>L4354/K4354</f>
        <v/>
      </c>
    </row>
    <row r="4355">
      <c r="A4355" s="58" t="inlineStr">
        <is>
          <t>RT20250425-04354</t>
        </is>
      </c>
      <c r="B4355" s="59" t="inlineStr">
        <is>
          <t>2025-04-25</t>
        </is>
      </c>
      <c r="C4355" s="60" t="inlineStr">
        <is>
          <t>Aurora Team Sport Plus-256</t>
        </is>
      </c>
      <c r="D4355" s="58" t="inlineStr">
        <is>
          <t>Sports</t>
        </is>
      </c>
      <c r="E4355" s="58" t="inlineStr">
        <is>
          <t>West</t>
        </is>
      </c>
      <c r="F4355" s="61" t="n">
        <v>2</v>
      </c>
      <c r="G4355" s="62" t="n">
        <v>671.36</v>
      </c>
      <c r="H4355" s="63" t="n">
        <v>0.079</v>
      </c>
      <c r="I4355" s="62" t="n">
        <v>418.79</v>
      </c>
      <c r="J4355" s="58" t="inlineStr">
        <is>
          <t>Store</t>
        </is>
      </c>
      <c r="K4355" s="62">
        <f>F4355*(G4355-H4355)</f>
        <v/>
      </c>
      <c r="L4355" s="62">
        <f>K4355-(F4355*I4355)</f>
        <v/>
      </c>
      <c r="M4355" s="64">
        <f>L4355/K4355</f>
        <v/>
      </c>
    </row>
    <row r="4356">
      <c r="A4356" s="58" t="inlineStr">
        <is>
          <t>RT20250425-04355</t>
        </is>
      </c>
      <c r="B4356" s="59" t="inlineStr">
        <is>
          <t>2025-04-25</t>
        </is>
      </c>
      <c r="C4356" s="60" t="inlineStr">
        <is>
          <t>Metro Accessorie Max-316</t>
        </is>
      </c>
      <c r="D4356" s="58" t="inlineStr">
        <is>
          <t>Apparel</t>
        </is>
      </c>
      <c r="E4356" s="58" t="inlineStr">
        <is>
          <t>West</t>
        </is>
      </c>
      <c r="F4356" s="61" t="n">
        <v>3</v>
      </c>
      <c r="G4356" s="62" t="n">
        <v>161.86</v>
      </c>
      <c r="H4356" s="63" t="n">
        <v>0.001</v>
      </c>
      <c r="I4356" s="62" t="n">
        <v>92.25</v>
      </c>
      <c r="J4356" s="58" t="inlineStr">
        <is>
          <t>Online</t>
        </is>
      </c>
      <c r="K4356" s="62">
        <f>F4356*(G4356-H4356)</f>
        <v/>
      </c>
      <c r="L4356" s="62">
        <f>K4356-(F4356*I4356)</f>
        <v/>
      </c>
      <c r="M4356" s="64">
        <f>L4356/K4356</f>
        <v/>
      </c>
    </row>
    <row r="4357">
      <c r="A4357" s="58" t="inlineStr">
        <is>
          <t>RT20250425-04356</t>
        </is>
      </c>
      <c r="B4357" s="59" t="inlineStr">
        <is>
          <t>2025-04-25</t>
        </is>
      </c>
      <c r="C4357" s="60" t="inlineStr">
        <is>
          <t>Vertex Pantry Pro-165</t>
        </is>
      </c>
      <c r="D4357" s="58" t="inlineStr">
        <is>
          <t>Grocery</t>
        </is>
      </c>
      <c r="E4357" s="58" t="inlineStr">
        <is>
          <t>East</t>
        </is>
      </c>
      <c r="F4357" s="61" t="n">
        <v>4</v>
      </c>
      <c r="G4357" s="62" t="n">
        <v>14.86</v>
      </c>
      <c r="H4357" s="63" t="n">
        <v>0.073</v>
      </c>
      <c r="I4357" s="62" t="n">
        <v>11.67</v>
      </c>
      <c r="J4357" s="58" t="inlineStr">
        <is>
          <t>Online</t>
        </is>
      </c>
      <c r="K4357" s="62">
        <f>F4357*(G4357-H4357)</f>
        <v/>
      </c>
      <c r="L4357" s="62">
        <f>K4357-(F4357*I4357)</f>
        <v/>
      </c>
      <c r="M4357" s="64">
        <f>L4357/K4357</f>
        <v/>
      </c>
    </row>
    <row r="4358">
      <c r="A4358" s="58" t="inlineStr">
        <is>
          <t>RT20250425-04357</t>
        </is>
      </c>
      <c r="B4358" s="59" t="inlineStr">
        <is>
          <t>2025-04-25</t>
        </is>
      </c>
      <c r="C4358" s="60" t="inlineStr">
        <is>
          <t>Aurora Wearable Lite-162</t>
        </is>
      </c>
      <c r="D4358" s="58" t="inlineStr">
        <is>
          <t>Electronics</t>
        </is>
      </c>
      <c r="E4358" s="58" t="inlineStr">
        <is>
          <t>West</t>
        </is>
      </c>
      <c r="F4358" s="61" t="n">
        <v>2</v>
      </c>
      <c r="G4358" s="62" t="n">
        <v>1513.42</v>
      </c>
      <c r="H4358" s="63" t="n">
        <v>0.064</v>
      </c>
      <c r="I4358" s="62" t="n">
        <v>1154.49</v>
      </c>
      <c r="J4358" s="58" t="inlineStr">
        <is>
          <t>Store</t>
        </is>
      </c>
      <c r="K4358" s="62">
        <f>F4358*(G4358-H4358)</f>
        <v/>
      </c>
      <c r="L4358" s="62">
        <f>K4358-(F4358*I4358)</f>
        <v/>
      </c>
      <c r="M4358" s="64">
        <f>L4358/K4358</f>
        <v/>
      </c>
    </row>
    <row r="4359">
      <c r="A4359" s="58" t="inlineStr">
        <is>
          <t>RT20250425-04358</t>
        </is>
      </c>
      <c r="B4359" s="59" t="inlineStr">
        <is>
          <t>2025-04-25</t>
        </is>
      </c>
      <c r="C4359" s="60" t="inlineStr">
        <is>
          <t>Aurora Kid Plus-151</t>
        </is>
      </c>
      <c r="D4359" s="58" t="inlineStr">
        <is>
          <t>Apparel</t>
        </is>
      </c>
      <c r="E4359" s="58" t="inlineStr">
        <is>
          <t>West</t>
        </is>
      </c>
      <c r="F4359" s="61" t="n">
        <v>2</v>
      </c>
      <c r="G4359" s="62" t="n">
        <v>115.76</v>
      </c>
      <c r="H4359" s="63" t="n">
        <v>0.049</v>
      </c>
      <c r="I4359" s="62" t="n">
        <v>64.47</v>
      </c>
      <c r="J4359" s="58" t="inlineStr">
        <is>
          <t>Online</t>
        </is>
      </c>
      <c r="K4359" s="62">
        <f>F4359*(G4359-H4359)</f>
        <v/>
      </c>
      <c r="L4359" s="62">
        <f>K4359-(F4359*I4359)</f>
        <v/>
      </c>
      <c r="M4359" s="64">
        <f>L4359/K4359</f>
        <v/>
      </c>
    </row>
    <row r="4360">
      <c r="A4360" s="58" t="inlineStr">
        <is>
          <t>RT20250425-04359</t>
        </is>
      </c>
      <c r="B4360" s="59" t="inlineStr">
        <is>
          <t>2025-04-25</t>
        </is>
      </c>
      <c r="C4360" s="60" t="inlineStr">
        <is>
          <t>Falcon Wearable X-334</t>
        </is>
      </c>
      <c r="D4360" s="58" t="inlineStr">
        <is>
          <t>Electronics</t>
        </is>
      </c>
      <c r="E4360" s="58" t="inlineStr">
        <is>
          <t>Central</t>
        </is>
      </c>
      <c r="F4360" s="61" t="n">
        <v>1</v>
      </c>
      <c r="G4360" s="62" t="n">
        <v>1747.55</v>
      </c>
      <c r="H4360" s="63" t="n">
        <v>0.007</v>
      </c>
      <c r="I4360" s="62" t="n">
        <v>1507.05</v>
      </c>
      <c r="J4360" s="58" t="inlineStr">
        <is>
          <t>Online</t>
        </is>
      </c>
      <c r="K4360" s="62">
        <f>F4360*(G4360-H4360)</f>
        <v/>
      </c>
      <c r="L4360" s="62">
        <f>K4360-(F4360*I4360)</f>
        <v/>
      </c>
      <c r="M4360" s="64">
        <f>L4360/K4360</f>
        <v/>
      </c>
    </row>
    <row r="4361">
      <c r="A4361" s="58" t="inlineStr">
        <is>
          <t>RT20250425-04360</t>
        </is>
      </c>
      <c r="B4361" s="59" t="inlineStr">
        <is>
          <t>2025-04-25</t>
        </is>
      </c>
      <c r="C4361" s="60" t="inlineStr">
        <is>
          <t>Metro Accessorie Lite-697</t>
        </is>
      </c>
      <c r="D4361" s="58" t="inlineStr">
        <is>
          <t>Apparel</t>
        </is>
      </c>
      <c r="E4361" s="58" t="inlineStr">
        <is>
          <t>South</t>
        </is>
      </c>
      <c r="F4361" s="61" t="n">
        <v>2</v>
      </c>
      <c r="G4361" s="62" t="n">
        <v>138.2</v>
      </c>
      <c r="H4361" s="63" t="n">
        <v>0.068</v>
      </c>
      <c r="I4361" s="62" t="n">
        <v>73.97</v>
      </c>
      <c r="J4361" s="58" t="inlineStr">
        <is>
          <t>Online</t>
        </is>
      </c>
      <c r="K4361" s="62">
        <f>F4361*(G4361-H4361)</f>
        <v/>
      </c>
      <c r="L4361" s="62">
        <f>K4361-(F4361*I4361)</f>
        <v/>
      </c>
      <c r="M4361" s="64">
        <f>L4361/K4361</f>
        <v/>
      </c>
    </row>
    <row r="4362">
      <c r="A4362" s="58" t="inlineStr">
        <is>
          <t>RT20250425-04361</t>
        </is>
      </c>
      <c r="B4362" s="59" t="inlineStr">
        <is>
          <t>2025-04-25</t>
        </is>
      </c>
      <c r="C4362" s="60" t="inlineStr">
        <is>
          <t>Metro Fragrance Lite-261</t>
        </is>
      </c>
      <c r="D4362" s="58" t="inlineStr">
        <is>
          <t>Beauty</t>
        </is>
      </c>
      <c r="E4362" s="58" t="inlineStr">
        <is>
          <t>West</t>
        </is>
      </c>
      <c r="F4362" s="61" t="n">
        <v>4</v>
      </c>
      <c r="G4362" s="62" t="n">
        <v>81.47</v>
      </c>
      <c r="H4362" s="63" t="n">
        <v>0.006</v>
      </c>
      <c r="I4362" s="62" t="n">
        <v>56.88</v>
      </c>
      <c r="J4362" s="58" t="inlineStr">
        <is>
          <t>Online</t>
        </is>
      </c>
      <c r="K4362" s="62">
        <f>F4362*(G4362-H4362)</f>
        <v/>
      </c>
      <c r="L4362" s="62">
        <f>K4362-(F4362*I4362)</f>
        <v/>
      </c>
      <c r="M4362" s="64">
        <f>L4362/K4362</f>
        <v/>
      </c>
    </row>
    <row r="4363">
      <c r="A4363" s="58" t="inlineStr">
        <is>
          <t>RT20250425-04362</t>
        </is>
      </c>
      <c r="B4363" s="59" t="inlineStr">
        <is>
          <t>2025-04-25</t>
        </is>
      </c>
      <c r="C4363" s="60" t="inlineStr">
        <is>
          <t>Metro Wearable Plus-234</t>
        </is>
      </c>
      <c r="D4363" s="58" t="inlineStr">
        <is>
          <t>Electronics</t>
        </is>
      </c>
      <c r="E4363" s="58" t="inlineStr">
        <is>
          <t>East</t>
        </is>
      </c>
      <c r="F4363" s="61" t="n">
        <v>2</v>
      </c>
      <c r="G4363" s="62" t="n">
        <v>1673.67</v>
      </c>
      <c r="H4363" s="63" t="n">
        <v>0.038</v>
      </c>
      <c r="I4363" s="62" t="n">
        <v>1193.66</v>
      </c>
      <c r="J4363" s="58" t="inlineStr">
        <is>
          <t>Store</t>
        </is>
      </c>
      <c r="K4363" s="62">
        <f>F4363*(G4363-H4363)</f>
        <v/>
      </c>
      <c r="L4363" s="62">
        <f>K4363-(F4363*I4363)</f>
        <v/>
      </c>
      <c r="M4363" s="64">
        <f>L4363/K4363</f>
        <v/>
      </c>
    </row>
    <row r="4364">
      <c r="A4364" s="58" t="inlineStr">
        <is>
          <t>RT20250425-04363</t>
        </is>
      </c>
      <c r="B4364" s="59" t="inlineStr">
        <is>
          <t>2025-04-25</t>
        </is>
      </c>
      <c r="C4364" s="60" t="inlineStr">
        <is>
          <t>Orion Storage Plus-961</t>
        </is>
      </c>
      <c r="D4364" s="58" t="inlineStr">
        <is>
          <t>Office</t>
        </is>
      </c>
      <c r="E4364" s="58" t="inlineStr">
        <is>
          <t>South</t>
        </is>
      </c>
      <c r="F4364" s="61" t="n">
        <v>3</v>
      </c>
      <c r="G4364" s="62" t="n">
        <v>569.79</v>
      </c>
      <c r="H4364" s="63" t="n">
        <v>0.074</v>
      </c>
      <c r="I4364" s="62" t="n">
        <v>371.63</v>
      </c>
      <c r="J4364" s="58" t="inlineStr">
        <is>
          <t>Store</t>
        </is>
      </c>
      <c r="K4364" s="62">
        <f>F4364*(G4364-H4364)</f>
        <v/>
      </c>
      <c r="L4364" s="62">
        <f>K4364-(F4364*I4364)</f>
        <v/>
      </c>
      <c r="M4364" s="64">
        <f>L4364/K4364</f>
        <v/>
      </c>
    </row>
    <row r="4365">
      <c r="A4365" s="58" t="inlineStr">
        <is>
          <t>RT20250425-04364</t>
        </is>
      </c>
      <c r="B4365" s="59" t="inlineStr">
        <is>
          <t>2025-04-25</t>
        </is>
      </c>
      <c r="C4365" s="60" t="inlineStr">
        <is>
          <t>Aurora Bedding Max-175</t>
        </is>
      </c>
      <c r="D4365" s="58" t="inlineStr">
        <is>
          <t>Home</t>
        </is>
      </c>
      <c r="E4365" s="58" t="inlineStr">
        <is>
          <t>East</t>
        </is>
      </c>
      <c r="F4365" s="61" t="n">
        <v>1</v>
      </c>
      <c r="G4365" s="62" t="n">
        <v>666.36</v>
      </c>
      <c r="H4365" s="63" t="n">
        <v>0.067</v>
      </c>
      <c r="I4365" s="62" t="n">
        <v>422.48</v>
      </c>
      <c r="J4365" s="58" t="inlineStr">
        <is>
          <t>Store</t>
        </is>
      </c>
      <c r="K4365" s="62">
        <f>F4365*(G4365-H4365)</f>
        <v/>
      </c>
      <c r="L4365" s="62">
        <f>K4365-(F4365*I4365)</f>
        <v/>
      </c>
      <c r="M4365" s="64">
        <f>L4365/K4365</f>
        <v/>
      </c>
    </row>
    <row r="4366">
      <c r="A4366" s="58" t="inlineStr">
        <is>
          <t>RT20250425-04365</t>
        </is>
      </c>
      <c r="B4366" s="59" t="inlineStr">
        <is>
          <t>2025-04-25</t>
        </is>
      </c>
      <c r="C4366" s="60" t="inlineStr">
        <is>
          <t>Polar Cycling X-649</t>
        </is>
      </c>
      <c r="D4366" s="58" t="inlineStr">
        <is>
          <t>Sports</t>
        </is>
      </c>
      <c r="E4366" s="58" t="inlineStr">
        <is>
          <t>East</t>
        </is>
      </c>
      <c r="F4366" s="61" t="n">
        <v>1</v>
      </c>
      <c r="G4366" s="62" t="n">
        <v>505.59</v>
      </c>
      <c r="H4366" s="63" t="n">
        <v>0.114</v>
      </c>
      <c r="I4366" s="62" t="n">
        <v>352.55</v>
      </c>
      <c r="J4366" s="58" t="inlineStr">
        <is>
          <t>Online</t>
        </is>
      </c>
      <c r="K4366" s="62">
        <f>F4366*(G4366-H4366)</f>
        <v/>
      </c>
      <c r="L4366" s="62">
        <f>K4366-(F4366*I4366)</f>
        <v/>
      </c>
      <c r="M4366" s="64">
        <f>L4366/K4366</f>
        <v/>
      </c>
    </row>
    <row r="4367">
      <c r="A4367" s="58" t="inlineStr">
        <is>
          <t>RT20250425-04366</t>
        </is>
      </c>
      <c r="B4367" s="59" t="inlineStr">
        <is>
          <t>2025-04-25</t>
        </is>
      </c>
      <c r="C4367" s="60" t="inlineStr">
        <is>
          <t>Polar Cycling S-223</t>
        </is>
      </c>
      <c r="D4367" s="58" t="inlineStr">
        <is>
          <t>Sports</t>
        </is>
      </c>
      <c r="E4367" s="58" t="inlineStr">
        <is>
          <t>West</t>
        </is>
      </c>
      <c r="F4367" s="61" t="n">
        <v>2</v>
      </c>
      <c r="G4367" s="62" t="n">
        <v>908.0700000000001</v>
      </c>
      <c r="H4367" s="63" t="n">
        <v>0.08400000000000001</v>
      </c>
      <c r="I4367" s="62" t="n">
        <v>643.12</v>
      </c>
      <c r="J4367" s="58" t="inlineStr">
        <is>
          <t>Online</t>
        </is>
      </c>
      <c r="K4367" s="62">
        <f>F4367*(G4367-H4367)</f>
        <v/>
      </c>
      <c r="L4367" s="62">
        <f>K4367-(F4367*I4367)</f>
        <v/>
      </c>
      <c r="M4367" s="64">
        <f>L4367/K4367</f>
        <v/>
      </c>
    </row>
    <row r="4368">
      <c r="A4368" s="58" t="inlineStr">
        <is>
          <t>RT20250425-04367</t>
        </is>
      </c>
      <c r="B4368" s="59" t="inlineStr">
        <is>
          <t>2025-04-25</t>
        </is>
      </c>
      <c r="C4368" s="60" t="inlineStr">
        <is>
          <t>Solace Headphone Pro-344</t>
        </is>
      </c>
      <c r="D4368" s="58" t="inlineStr">
        <is>
          <t>Electronics</t>
        </is>
      </c>
      <c r="E4368" s="58" t="inlineStr">
        <is>
          <t>North</t>
        </is>
      </c>
      <c r="F4368" s="61" t="n">
        <v>1</v>
      </c>
      <c r="G4368" s="62" t="n">
        <v>1498.75</v>
      </c>
      <c r="H4368" s="63" t="n">
        <v>0.04</v>
      </c>
      <c r="I4368" s="62" t="n">
        <v>1046.42</v>
      </c>
      <c r="J4368" s="58" t="inlineStr">
        <is>
          <t>Store</t>
        </is>
      </c>
      <c r="K4368" s="62">
        <f>F4368*(G4368-H4368)</f>
        <v/>
      </c>
      <c r="L4368" s="62">
        <f>K4368-(F4368*I4368)</f>
        <v/>
      </c>
      <c r="M4368" s="64">
        <f>L4368/K4368</f>
        <v/>
      </c>
    </row>
    <row r="4369">
      <c r="A4369" s="58" t="inlineStr">
        <is>
          <t>RT20250425-04368</t>
        </is>
      </c>
      <c r="B4369" s="59" t="inlineStr">
        <is>
          <t>2025-04-25</t>
        </is>
      </c>
      <c r="C4369" s="60" t="inlineStr">
        <is>
          <t>Polar Pantry Lite-392</t>
        </is>
      </c>
      <c r="D4369" s="58" t="inlineStr">
        <is>
          <t>Grocery</t>
        </is>
      </c>
      <c r="E4369" s="58" t="inlineStr">
        <is>
          <t>Central</t>
        </is>
      </c>
      <c r="F4369" s="61" t="n">
        <v>7</v>
      </c>
      <c r="G4369" s="62" t="n">
        <v>6.53</v>
      </c>
      <c r="H4369" s="63" t="n">
        <v>0.076</v>
      </c>
      <c r="I4369" s="62" t="n">
        <v>4.57</v>
      </c>
      <c r="J4369" s="58" t="inlineStr">
        <is>
          <t>Store</t>
        </is>
      </c>
      <c r="K4369" s="62">
        <f>F4369*(G4369-H4369)</f>
        <v/>
      </c>
      <c r="L4369" s="62">
        <f>K4369-(F4369*I4369)</f>
        <v/>
      </c>
      <c r="M4369" s="64">
        <f>L4369/K4369</f>
        <v/>
      </c>
    </row>
    <row r="4370">
      <c r="A4370" s="58" t="inlineStr">
        <is>
          <t>RT20250425-04369</t>
        </is>
      </c>
      <c r="B4370" s="59" t="inlineStr">
        <is>
          <t>2025-04-25</t>
        </is>
      </c>
      <c r="C4370" s="60" t="inlineStr">
        <is>
          <t>Polar Cycling X-649</t>
        </is>
      </c>
      <c r="D4370" s="58" t="inlineStr">
        <is>
          <t>Sports</t>
        </is>
      </c>
      <c r="E4370" s="58" t="inlineStr">
        <is>
          <t>East</t>
        </is>
      </c>
      <c r="F4370" s="61" t="n">
        <v>1</v>
      </c>
      <c r="G4370" s="62" t="n">
        <v>609.63</v>
      </c>
      <c r="H4370" s="63" t="n">
        <v>0.103</v>
      </c>
      <c r="I4370" s="62" t="n">
        <v>359.89</v>
      </c>
      <c r="J4370" s="58" t="inlineStr">
        <is>
          <t>Store</t>
        </is>
      </c>
      <c r="K4370" s="62">
        <f>F4370*(G4370-H4370)</f>
        <v/>
      </c>
      <c r="L4370" s="62">
        <f>K4370-(F4370*I4370)</f>
        <v/>
      </c>
      <c r="M4370" s="64">
        <f>L4370/K4370</f>
        <v/>
      </c>
    </row>
    <row r="4371">
      <c r="A4371" s="58" t="inlineStr">
        <is>
          <t>RT20250425-04370</t>
        </is>
      </c>
      <c r="B4371" s="59" t="inlineStr">
        <is>
          <t>2025-04-25</t>
        </is>
      </c>
      <c r="C4371" s="60" t="inlineStr">
        <is>
          <t>Aurora Appliance Max-316</t>
        </is>
      </c>
      <c r="D4371" s="58" t="inlineStr">
        <is>
          <t>Home</t>
        </is>
      </c>
      <c r="E4371" s="58" t="inlineStr">
        <is>
          <t>East</t>
        </is>
      </c>
      <c r="F4371" s="61" t="n">
        <v>3</v>
      </c>
      <c r="G4371" s="62" t="n">
        <v>298.45</v>
      </c>
      <c r="H4371" s="63" t="n">
        <v>0.06900000000000001</v>
      </c>
      <c r="I4371" s="62" t="n">
        <v>218.09</v>
      </c>
      <c r="J4371" s="58" t="inlineStr">
        <is>
          <t>Store</t>
        </is>
      </c>
      <c r="K4371" s="62">
        <f>F4371*(G4371-H4371)</f>
        <v/>
      </c>
      <c r="L4371" s="62">
        <f>K4371-(F4371*I4371)</f>
        <v/>
      </c>
      <c r="M4371" s="64">
        <f>L4371/K4371</f>
        <v/>
      </c>
    </row>
    <row r="4372">
      <c r="A4372" s="58" t="inlineStr">
        <is>
          <t>RT20250425-04371</t>
        </is>
      </c>
      <c r="B4372" s="59" t="inlineStr">
        <is>
          <t>2025-04-25</t>
        </is>
      </c>
      <c r="C4372" s="60" t="inlineStr">
        <is>
          <t>Falcon Storage X-734</t>
        </is>
      </c>
      <c r="D4372" s="58" t="inlineStr">
        <is>
          <t>Office</t>
        </is>
      </c>
      <c r="E4372" s="58" t="inlineStr">
        <is>
          <t>West</t>
        </is>
      </c>
      <c r="F4372" s="61" t="n">
        <v>1</v>
      </c>
      <c r="G4372" s="62" t="n">
        <v>357.16</v>
      </c>
      <c r="H4372" s="63" t="n">
        <v>0.095</v>
      </c>
      <c r="I4372" s="62" t="n">
        <v>289.57</v>
      </c>
      <c r="J4372" s="58" t="inlineStr">
        <is>
          <t>Store</t>
        </is>
      </c>
      <c r="K4372" s="62">
        <f>F4372*(G4372-H4372)</f>
        <v/>
      </c>
      <c r="L4372" s="62">
        <f>K4372-(F4372*I4372)</f>
        <v/>
      </c>
      <c r="M4372" s="64">
        <f>L4372/K4372</f>
        <v/>
      </c>
    </row>
    <row r="4373">
      <c r="A4373" s="58" t="inlineStr">
        <is>
          <t>RT20250425-04372</t>
        </is>
      </c>
      <c r="B4373" s="59" t="inlineStr">
        <is>
          <t>2025-04-25</t>
        </is>
      </c>
      <c r="C4373" s="60" t="inlineStr">
        <is>
          <t>Vertex Furniture S-652</t>
        </is>
      </c>
      <c r="D4373" s="58" t="inlineStr">
        <is>
          <t>Office</t>
        </is>
      </c>
      <c r="E4373" s="58" t="inlineStr">
        <is>
          <t>East</t>
        </is>
      </c>
      <c r="F4373" s="61" t="n">
        <v>2</v>
      </c>
      <c r="G4373" s="62" t="n">
        <v>352.48</v>
      </c>
      <c r="H4373" s="63" t="n">
        <v>0.073</v>
      </c>
      <c r="I4373" s="62" t="n">
        <v>267.16</v>
      </c>
      <c r="J4373" s="58" t="inlineStr">
        <is>
          <t>Online</t>
        </is>
      </c>
      <c r="K4373" s="62">
        <f>F4373*(G4373-H4373)</f>
        <v/>
      </c>
      <c r="L4373" s="62">
        <f>K4373-(F4373*I4373)</f>
        <v/>
      </c>
      <c r="M4373" s="64">
        <f>L4373/K4373</f>
        <v/>
      </c>
    </row>
    <row r="4374">
      <c r="A4374" s="58" t="inlineStr">
        <is>
          <t>RT20250425-04373</t>
        </is>
      </c>
      <c r="B4374" s="59" t="inlineStr">
        <is>
          <t>2025-04-25</t>
        </is>
      </c>
      <c r="C4374" s="60" t="inlineStr">
        <is>
          <t>Polar Wearable X-119</t>
        </is>
      </c>
      <c r="D4374" s="58" t="inlineStr">
        <is>
          <t>Electronics</t>
        </is>
      </c>
      <c r="E4374" s="58" t="inlineStr">
        <is>
          <t>West</t>
        </is>
      </c>
      <c r="F4374" s="61" t="n">
        <v>2</v>
      </c>
      <c r="G4374" s="62" t="n">
        <v>1574.64</v>
      </c>
      <c r="H4374" s="63" t="n">
        <v>0.016</v>
      </c>
      <c r="I4374" s="62" t="n">
        <v>1300.12</v>
      </c>
      <c r="J4374" s="58" t="inlineStr">
        <is>
          <t>Online</t>
        </is>
      </c>
      <c r="K4374" s="62">
        <f>F4374*(G4374-H4374)</f>
        <v/>
      </c>
      <c r="L4374" s="62">
        <f>K4374-(F4374*I4374)</f>
        <v/>
      </c>
      <c r="M4374" s="64">
        <f>L4374/K4374</f>
        <v/>
      </c>
    </row>
    <row r="4375">
      <c r="A4375" s="58" t="inlineStr">
        <is>
          <t>RT20250425-04374</t>
        </is>
      </c>
      <c r="B4375" s="59" t="inlineStr">
        <is>
          <t>2025-04-25</t>
        </is>
      </c>
      <c r="C4375" s="60" t="inlineStr">
        <is>
          <t>Orion Team Sport X-926</t>
        </is>
      </c>
      <c r="D4375" s="58" t="inlineStr">
        <is>
          <t>Sports</t>
        </is>
      </c>
      <c r="E4375" s="58" t="inlineStr">
        <is>
          <t>Central</t>
        </is>
      </c>
      <c r="F4375" s="61" t="n">
        <v>1</v>
      </c>
      <c r="G4375" s="62" t="n">
        <v>314.61</v>
      </c>
      <c r="H4375" s="63" t="n">
        <v>0.082</v>
      </c>
      <c r="I4375" s="62" t="n">
        <v>214.81</v>
      </c>
      <c r="J4375" s="58" t="inlineStr">
        <is>
          <t>Online</t>
        </is>
      </c>
      <c r="K4375" s="62">
        <f>F4375*(G4375-H4375)</f>
        <v/>
      </c>
      <c r="L4375" s="62">
        <f>K4375-(F4375*I4375)</f>
        <v/>
      </c>
      <c r="M4375" s="64">
        <f>L4375/K4375</f>
        <v/>
      </c>
    </row>
    <row r="4376">
      <c r="A4376" s="58" t="inlineStr">
        <is>
          <t>RT20250425-04375</t>
        </is>
      </c>
      <c r="B4376" s="59" t="inlineStr">
        <is>
          <t>2025-04-25</t>
        </is>
      </c>
      <c r="C4376" s="60" t="inlineStr">
        <is>
          <t>Aurora Haircare S-975</t>
        </is>
      </c>
      <c r="D4376" s="58" t="inlineStr">
        <is>
          <t>Beauty</t>
        </is>
      </c>
      <c r="E4376" s="58" t="inlineStr">
        <is>
          <t>Central</t>
        </is>
      </c>
      <c r="F4376" s="61" t="n">
        <v>2</v>
      </c>
      <c r="G4376" s="62" t="n">
        <v>89.69</v>
      </c>
      <c r="H4376" s="63" t="n">
        <v>0.04</v>
      </c>
      <c r="I4376" s="62" t="n">
        <v>56.89</v>
      </c>
      <c r="J4376" s="58" t="inlineStr">
        <is>
          <t>Online</t>
        </is>
      </c>
      <c r="K4376" s="62">
        <f>F4376*(G4376-H4376)</f>
        <v/>
      </c>
      <c r="L4376" s="62">
        <f>K4376-(F4376*I4376)</f>
        <v/>
      </c>
      <c r="M4376" s="64">
        <f>L4376/K4376</f>
        <v/>
      </c>
    </row>
    <row r="4377">
      <c r="A4377" s="58" t="inlineStr">
        <is>
          <t>RT20250425-04376</t>
        </is>
      </c>
      <c r="B4377" s="59" t="inlineStr">
        <is>
          <t>2025-04-25</t>
        </is>
      </c>
      <c r="C4377" s="60" t="inlineStr">
        <is>
          <t>Falcon Accessorie S-195</t>
        </is>
      </c>
      <c r="D4377" s="58" t="inlineStr">
        <is>
          <t>Apparel</t>
        </is>
      </c>
      <c r="E4377" s="58" t="inlineStr">
        <is>
          <t>Central</t>
        </is>
      </c>
      <c r="F4377" s="61" t="n">
        <v>1</v>
      </c>
      <c r="G4377" s="62" t="n">
        <v>79.73</v>
      </c>
      <c r="H4377" s="63" t="n">
        <v>0.063</v>
      </c>
      <c r="I4377" s="62" t="n">
        <v>43.22</v>
      </c>
      <c r="J4377" s="58" t="inlineStr">
        <is>
          <t>Online</t>
        </is>
      </c>
      <c r="K4377" s="62">
        <f>F4377*(G4377-H4377)</f>
        <v/>
      </c>
      <c r="L4377" s="62">
        <f>K4377-(F4377*I4377)</f>
        <v/>
      </c>
      <c r="M4377" s="64">
        <f>L4377/K4377</f>
        <v/>
      </c>
    </row>
    <row r="4378">
      <c r="A4378" s="58" t="inlineStr">
        <is>
          <t>RT20250425-04377</t>
        </is>
      </c>
      <c r="B4378" s="59" t="inlineStr">
        <is>
          <t>2025-04-25</t>
        </is>
      </c>
      <c r="C4378" s="60" t="inlineStr">
        <is>
          <t>Polar Outdoor Lite-318</t>
        </is>
      </c>
      <c r="D4378" s="58" t="inlineStr">
        <is>
          <t>Sports</t>
        </is>
      </c>
      <c r="E4378" s="58" t="inlineStr">
        <is>
          <t>East</t>
        </is>
      </c>
      <c r="F4378" s="61" t="n">
        <v>3</v>
      </c>
      <c r="G4378" s="62" t="n">
        <v>700.23</v>
      </c>
      <c r="H4378" s="63" t="n">
        <v>0.08500000000000001</v>
      </c>
      <c r="I4378" s="62" t="n">
        <v>471.84</v>
      </c>
      <c r="J4378" s="58" t="inlineStr">
        <is>
          <t>Store</t>
        </is>
      </c>
      <c r="K4378" s="62">
        <f>F4378*(G4378-H4378)</f>
        <v/>
      </c>
      <c r="L4378" s="62">
        <f>K4378-(F4378*I4378)</f>
        <v/>
      </c>
      <c r="M4378" s="64">
        <f>L4378/K4378</f>
        <v/>
      </c>
    </row>
    <row r="4379">
      <c r="A4379" s="58" t="inlineStr">
        <is>
          <t>RT20250425-04378</t>
        </is>
      </c>
      <c r="B4379" s="59" t="inlineStr">
        <is>
          <t>2025-04-25</t>
        </is>
      </c>
      <c r="C4379" s="60" t="inlineStr">
        <is>
          <t>Vertex Skincare Pro-891</t>
        </is>
      </c>
      <c r="D4379" s="58" t="inlineStr">
        <is>
          <t>Beauty</t>
        </is>
      </c>
      <c r="E4379" s="58" t="inlineStr">
        <is>
          <t>Central</t>
        </is>
      </c>
      <c r="F4379" s="61" t="n">
        <v>2</v>
      </c>
      <c r="G4379" s="62" t="n">
        <v>146.34</v>
      </c>
      <c r="H4379" s="63" t="n">
        <v>0.045</v>
      </c>
      <c r="I4379" s="62" t="n">
        <v>86.05</v>
      </c>
      <c r="J4379" s="58" t="inlineStr">
        <is>
          <t>Online</t>
        </is>
      </c>
      <c r="K4379" s="62">
        <f>F4379*(G4379-H4379)</f>
        <v/>
      </c>
      <c r="L4379" s="62">
        <f>K4379-(F4379*I4379)</f>
        <v/>
      </c>
      <c r="M4379" s="64">
        <f>L4379/K4379</f>
        <v/>
      </c>
    </row>
    <row r="4380">
      <c r="A4380" s="58" t="inlineStr">
        <is>
          <t>RT20250425-04379</t>
        </is>
      </c>
      <c r="B4380" s="59" t="inlineStr">
        <is>
          <t>2025-04-25</t>
        </is>
      </c>
      <c r="C4380" s="60" t="inlineStr">
        <is>
          <t>Aurora Storage Lite-774</t>
        </is>
      </c>
      <c r="D4380" s="58" t="inlineStr">
        <is>
          <t>Office</t>
        </is>
      </c>
      <c r="E4380" s="58" t="inlineStr">
        <is>
          <t>Central</t>
        </is>
      </c>
      <c r="F4380" s="61" t="n">
        <v>2</v>
      </c>
      <c r="G4380" s="62" t="n">
        <v>349.22</v>
      </c>
      <c r="H4380" s="63" t="n">
        <v>0.083</v>
      </c>
      <c r="I4380" s="62" t="n">
        <v>236.05</v>
      </c>
      <c r="J4380" s="58" t="inlineStr">
        <is>
          <t>Store</t>
        </is>
      </c>
      <c r="K4380" s="62">
        <f>F4380*(G4380-H4380)</f>
        <v/>
      </c>
      <c r="L4380" s="62">
        <f>K4380-(F4380*I4380)</f>
        <v/>
      </c>
      <c r="M4380" s="64">
        <f>L4380/K4380</f>
        <v/>
      </c>
    </row>
    <row r="4381">
      <c r="A4381" s="58" t="inlineStr">
        <is>
          <t>RT20250425-04380</t>
        </is>
      </c>
      <c r="B4381" s="59" t="inlineStr">
        <is>
          <t>2025-04-25</t>
        </is>
      </c>
      <c r="C4381" s="60" t="inlineStr">
        <is>
          <t>Solace Fitnes S-324</t>
        </is>
      </c>
      <c r="D4381" s="58" t="inlineStr">
        <is>
          <t>Sports</t>
        </is>
      </c>
      <c r="E4381" s="58" t="inlineStr">
        <is>
          <t>West</t>
        </is>
      </c>
      <c r="F4381" s="61" t="n">
        <v>3</v>
      </c>
      <c r="G4381" s="62" t="n">
        <v>820.74</v>
      </c>
      <c r="H4381" s="63" t="n">
        <v>0.073</v>
      </c>
      <c r="I4381" s="62" t="n">
        <v>512.89</v>
      </c>
      <c r="J4381" s="58" t="inlineStr">
        <is>
          <t>Phone</t>
        </is>
      </c>
      <c r="K4381" s="62">
        <f>F4381*(G4381-H4381)</f>
        <v/>
      </c>
      <c r="L4381" s="62">
        <f>K4381-(F4381*I4381)</f>
        <v/>
      </c>
      <c r="M4381" s="64">
        <f>L4381/K4381</f>
        <v/>
      </c>
    </row>
    <row r="4382">
      <c r="A4382" s="58" t="inlineStr">
        <is>
          <t>RT20250425-04381</t>
        </is>
      </c>
      <c r="B4382" s="59" t="inlineStr">
        <is>
          <t>2025-04-25</t>
        </is>
      </c>
      <c r="C4382" s="60" t="inlineStr">
        <is>
          <t>Metro Wearable Plus-234</t>
        </is>
      </c>
      <c r="D4382" s="58" t="inlineStr">
        <is>
          <t>Electronics</t>
        </is>
      </c>
      <c r="E4382" s="58" t="inlineStr">
        <is>
          <t>South</t>
        </is>
      </c>
      <c r="F4382" s="61" t="n">
        <v>1</v>
      </c>
      <c r="G4382" s="62" t="n">
        <v>1479.85</v>
      </c>
      <c r="H4382" s="63" t="n">
        <v>0.111</v>
      </c>
      <c r="I4382" s="62" t="n">
        <v>1194.06</v>
      </c>
      <c r="J4382" s="58" t="inlineStr">
        <is>
          <t>Store</t>
        </is>
      </c>
      <c r="K4382" s="62">
        <f>F4382*(G4382-H4382)</f>
        <v/>
      </c>
      <c r="L4382" s="62">
        <f>K4382-(F4382*I4382)</f>
        <v/>
      </c>
      <c r="M4382" s="64">
        <f>L4382/K4382</f>
        <v/>
      </c>
    </row>
    <row r="4383">
      <c r="A4383" s="58" t="inlineStr">
        <is>
          <t>RT20250425-04382</t>
        </is>
      </c>
      <c r="B4383" s="59" t="inlineStr">
        <is>
          <t>2025-04-25</t>
        </is>
      </c>
      <c r="C4383" s="60" t="inlineStr">
        <is>
          <t>Polar Outdoor X-193</t>
        </is>
      </c>
      <c r="D4383" s="58" t="inlineStr">
        <is>
          <t>Sports</t>
        </is>
      </c>
      <c r="E4383" s="58" t="inlineStr">
        <is>
          <t>North</t>
        </is>
      </c>
      <c r="F4383" s="61" t="n">
        <v>3</v>
      </c>
      <c r="G4383" s="62" t="n">
        <v>636.38</v>
      </c>
      <c r="H4383" s="63" t="n">
        <v>0.082</v>
      </c>
      <c r="I4383" s="62" t="n">
        <v>457.32</v>
      </c>
      <c r="J4383" s="58" t="inlineStr">
        <is>
          <t>Online</t>
        </is>
      </c>
      <c r="K4383" s="62">
        <f>F4383*(G4383-H4383)</f>
        <v/>
      </c>
      <c r="L4383" s="62">
        <f>K4383-(F4383*I4383)</f>
        <v/>
      </c>
      <c r="M4383" s="64">
        <f>L4383/K4383</f>
        <v/>
      </c>
    </row>
    <row r="4384">
      <c r="A4384" s="58" t="inlineStr">
        <is>
          <t>RT20250425-04383</t>
        </is>
      </c>
      <c r="B4384" s="59" t="inlineStr">
        <is>
          <t>2025-04-25</t>
        </is>
      </c>
      <c r="C4384" s="60" t="inlineStr">
        <is>
          <t>Nimbus Storage Plus-646</t>
        </is>
      </c>
      <c r="D4384" s="58" t="inlineStr">
        <is>
          <t>Office</t>
        </is>
      </c>
      <c r="E4384" s="58" t="inlineStr">
        <is>
          <t>East</t>
        </is>
      </c>
      <c r="F4384" s="61" t="n">
        <v>2</v>
      </c>
      <c r="G4384" s="62" t="n">
        <v>434.2</v>
      </c>
      <c r="H4384" s="63" t="n">
        <v>0.095</v>
      </c>
      <c r="I4384" s="62" t="n">
        <v>309.13</v>
      </c>
      <c r="J4384" s="58" t="inlineStr">
        <is>
          <t>Online</t>
        </is>
      </c>
      <c r="K4384" s="62">
        <f>F4384*(G4384-H4384)</f>
        <v/>
      </c>
      <c r="L4384" s="62">
        <f>K4384-(F4384*I4384)</f>
        <v/>
      </c>
      <c r="M4384" s="64">
        <f>L4384/K4384</f>
        <v/>
      </c>
    </row>
    <row r="4385">
      <c r="A4385" s="58" t="inlineStr">
        <is>
          <t>RT20250425-04384</t>
        </is>
      </c>
      <c r="B4385" s="59" t="inlineStr">
        <is>
          <t>2025-04-25</t>
        </is>
      </c>
      <c r="C4385" s="60" t="inlineStr">
        <is>
          <t>Falcon Accessorie S-195</t>
        </is>
      </c>
      <c r="D4385" s="58" t="inlineStr">
        <is>
          <t>Apparel</t>
        </is>
      </c>
      <c r="E4385" s="58" t="inlineStr">
        <is>
          <t>East</t>
        </is>
      </c>
      <c r="F4385" s="61" t="n">
        <v>1</v>
      </c>
      <c r="G4385" s="62" t="n">
        <v>73.87</v>
      </c>
      <c r="H4385" s="63" t="n">
        <v>0.04</v>
      </c>
      <c r="I4385" s="62" t="n">
        <v>42.81</v>
      </c>
      <c r="J4385" s="58" t="inlineStr">
        <is>
          <t>Store</t>
        </is>
      </c>
      <c r="K4385" s="62">
        <f>F4385*(G4385-H4385)</f>
        <v/>
      </c>
      <c r="L4385" s="62">
        <f>K4385-(F4385*I4385)</f>
        <v/>
      </c>
      <c r="M4385" s="64">
        <f>L4385/K4385</f>
        <v/>
      </c>
    </row>
    <row r="4386">
      <c r="A4386" s="58" t="inlineStr">
        <is>
          <t>RT20250425-04385</t>
        </is>
      </c>
      <c r="B4386" s="59" t="inlineStr">
        <is>
          <t>2025-04-25</t>
        </is>
      </c>
      <c r="C4386" s="60" t="inlineStr">
        <is>
          <t>Metro Pantry Max-180</t>
        </is>
      </c>
      <c r="D4386" s="58" t="inlineStr">
        <is>
          <t>Grocery</t>
        </is>
      </c>
      <c r="E4386" s="58" t="inlineStr">
        <is>
          <t>East</t>
        </is>
      </c>
      <c r="F4386" s="61" t="n">
        <v>3</v>
      </c>
      <c r="G4386" s="62" t="n">
        <v>9.24</v>
      </c>
      <c r="H4386" s="63" t="n">
        <v>0.061</v>
      </c>
      <c r="I4386" s="62" t="n">
        <v>6.57</v>
      </c>
      <c r="J4386" s="58" t="inlineStr">
        <is>
          <t>Phone</t>
        </is>
      </c>
      <c r="K4386" s="62">
        <f>F4386*(G4386-H4386)</f>
        <v/>
      </c>
      <c r="L4386" s="62">
        <f>K4386-(F4386*I4386)</f>
        <v/>
      </c>
      <c r="M4386" s="64">
        <f>L4386/K4386</f>
        <v/>
      </c>
    </row>
    <row r="4387">
      <c r="A4387" s="58" t="inlineStr">
        <is>
          <t>RT20250425-04386</t>
        </is>
      </c>
      <c r="B4387" s="59" t="inlineStr">
        <is>
          <t>2025-04-25</t>
        </is>
      </c>
      <c r="C4387" s="60" t="inlineStr">
        <is>
          <t>Nimbus Storage Plus-646</t>
        </is>
      </c>
      <c r="D4387" s="58" t="inlineStr">
        <is>
          <t>Office</t>
        </is>
      </c>
      <c r="E4387" s="58" t="inlineStr">
        <is>
          <t>West</t>
        </is>
      </c>
      <c r="F4387" s="61" t="n">
        <v>2</v>
      </c>
      <c r="G4387" s="62" t="n">
        <v>471.83</v>
      </c>
      <c r="H4387" s="63" t="n">
        <v>0.065</v>
      </c>
      <c r="I4387" s="62" t="n">
        <v>325.88</v>
      </c>
      <c r="J4387" s="58" t="inlineStr">
        <is>
          <t>Online</t>
        </is>
      </c>
      <c r="K4387" s="62">
        <f>F4387*(G4387-H4387)</f>
        <v/>
      </c>
      <c r="L4387" s="62">
        <f>K4387-(F4387*I4387)</f>
        <v/>
      </c>
      <c r="M4387" s="64">
        <f>L4387/K4387</f>
        <v/>
      </c>
    </row>
    <row r="4388">
      <c r="A4388" s="58" t="inlineStr">
        <is>
          <t>RT20250425-04387</t>
        </is>
      </c>
      <c r="B4388" s="59" t="inlineStr">
        <is>
          <t>2025-04-25</t>
        </is>
      </c>
      <c r="C4388" s="60" t="inlineStr">
        <is>
          <t>Polar Men Pro-246</t>
        </is>
      </c>
      <c r="D4388" s="58" t="inlineStr">
        <is>
          <t>Apparel</t>
        </is>
      </c>
      <c r="E4388" s="58" t="inlineStr">
        <is>
          <t>East</t>
        </is>
      </c>
      <c r="F4388" s="61" t="n">
        <v>2</v>
      </c>
      <c r="G4388" s="62" t="n">
        <v>127.18</v>
      </c>
      <c r="H4388" s="63" t="n">
        <v>0.018</v>
      </c>
      <c r="I4388" s="62" t="n">
        <v>75.42</v>
      </c>
      <c r="J4388" s="58" t="inlineStr">
        <is>
          <t>Online</t>
        </is>
      </c>
      <c r="K4388" s="62">
        <f>F4388*(G4388-H4388)</f>
        <v/>
      </c>
      <c r="L4388" s="62">
        <f>K4388-(F4388*I4388)</f>
        <v/>
      </c>
      <c r="M4388" s="64">
        <f>L4388/K4388</f>
        <v/>
      </c>
    </row>
    <row r="4389">
      <c r="A4389" s="58" t="inlineStr">
        <is>
          <t>RT20250425-04388</t>
        </is>
      </c>
      <c r="B4389" s="59" t="inlineStr">
        <is>
          <t>2025-04-25</t>
        </is>
      </c>
      <c r="C4389" s="60" t="inlineStr">
        <is>
          <t>Vertex Accessorie Pro-881</t>
        </is>
      </c>
      <c r="D4389" s="58" t="inlineStr">
        <is>
          <t>Apparel</t>
        </is>
      </c>
      <c r="E4389" s="58" t="inlineStr">
        <is>
          <t>South</t>
        </is>
      </c>
      <c r="F4389" s="61" t="n">
        <v>1</v>
      </c>
      <c r="G4389" s="62" t="n">
        <v>102.5</v>
      </c>
      <c r="H4389" s="63" t="n">
        <v>0.049</v>
      </c>
      <c r="I4389" s="62" t="n">
        <v>61.18</v>
      </c>
      <c r="J4389" s="58" t="inlineStr">
        <is>
          <t>Online</t>
        </is>
      </c>
      <c r="K4389" s="62">
        <f>F4389*(G4389-H4389)</f>
        <v/>
      </c>
      <c r="L4389" s="62">
        <f>K4389-(F4389*I4389)</f>
        <v/>
      </c>
      <c r="M4389" s="64">
        <f>L4389/K4389</f>
        <v/>
      </c>
    </row>
    <row r="4390">
      <c r="A4390" s="58" t="inlineStr">
        <is>
          <t>RT20250425-04389</t>
        </is>
      </c>
      <c r="B4390" s="59" t="inlineStr">
        <is>
          <t>2025-04-25</t>
        </is>
      </c>
      <c r="C4390" s="60" t="inlineStr">
        <is>
          <t>Nimbus Men Plus-231</t>
        </is>
      </c>
      <c r="D4390" s="58" t="inlineStr">
        <is>
          <t>Apparel</t>
        </is>
      </c>
      <c r="E4390" s="58" t="inlineStr">
        <is>
          <t>West</t>
        </is>
      </c>
      <c r="F4390" s="61" t="n">
        <v>4</v>
      </c>
      <c r="G4390" s="62" t="n">
        <v>143.47</v>
      </c>
      <c r="H4390" s="63" t="n">
        <v>0.07099999999999999</v>
      </c>
      <c r="I4390" s="62" t="n">
        <v>91.69</v>
      </c>
      <c r="J4390" s="58" t="inlineStr">
        <is>
          <t>Phone</t>
        </is>
      </c>
      <c r="K4390" s="62">
        <f>F4390*(G4390-H4390)</f>
        <v/>
      </c>
      <c r="L4390" s="62">
        <f>K4390-(F4390*I4390)</f>
        <v/>
      </c>
      <c r="M4390" s="64">
        <f>L4390/K4390</f>
        <v/>
      </c>
    </row>
    <row r="4391">
      <c r="A4391" s="58" t="inlineStr">
        <is>
          <t>RT20250425-04390</t>
        </is>
      </c>
      <c r="B4391" s="59" t="inlineStr">
        <is>
          <t>2025-04-25</t>
        </is>
      </c>
      <c r="C4391" s="60" t="inlineStr">
        <is>
          <t>Vertex Decor Pro-618</t>
        </is>
      </c>
      <c r="D4391" s="58" t="inlineStr">
        <is>
          <t>Home</t>
        </is>
      </c>
      <c r="E4391" s="58" t="inlineStr">
        <is>
          <t>East</t>
        </is>
      </c>
      <c r="F4391" s="61" t="n">
        <v>3</v>
      </c>
      <c r="G4391" s="62" t="n">
        <v>540.21</v>
      </c>
      <c r="H4391" s="63" t="n">
        <v>0.025</v>
      </c>
      <c r="I4391" s="62" t="n">
        <v>388.55</v>
      </c>
      <c r="J4391" s="58" t="inlineStr">
        <is>
          <t>Online</t>
        </is>
      </c>
      <c r="K4391" s="62">
        <f>F4391*(G4391-H4391)</f>
        <v/>
      </c>
      <c r="L4391" s="62">
        <f>K4391-(F4391*I4391)</f>
        <v/>
      </c>
      <c r="M4391" s="64">
        <f>L4391/K4391</f>
        <v/>
      </c>
    </row>
    <row r="4392">
      <c r="A4392" s="58" t="inlineStr">
        <is>
          <t>RT20250425-04391</t>
        </is>
      </c>
      <c r="B4392" s="59" t="inlineStr">
        <is>
          <t>2025-04-25</t>
        </is>
      </c>
      <c r="C4392" s="60" t="inlineStr">
        <is>
          <t>Polar Women Max-927</t>
        </is>
      </c>
      <c r="D4392" s="58" t="inlineStr">
        <is>
          <t>Apparel</t>
        </is>
      </c>
      <c r="E4392" s="58" t="inlineStr">
        <is>
          <t>South</t>
        </is>
      </c>
      <c r="F4392" s="61" t="n">
        <v>4</v>
      </c>
      <c r="G4392" s="62" t="n">
        <v>110.97</v>
      </c>
      <c r="H4392" s="63" t="n">
        <v>0.05</v>
      </c>
      <c r="I4392" s="62" t="n">
        <v>64.73</v>
      </c>
      <c r="J4392" s="58" t="inlineStr">
        <is>
          <t>Online</t>
        </is>
      </c>
      <c r="K4392" s="62">
        <f>F4392*(G4392-H4392)</f>
        <v/>
      </c>
      <c r="L4392" s="62">
        <f>K4392-(F4392*I4392)</f>
        <v/>
      </c>
      <c r="M4392" s="64">
        <f>L4392/K4392</f>
        <v/>
      </c>
    </row>
    <row r="4393">
      <c r="A4393" s="58" t="inlineStr">
        <is>
          <t>RT20250425-04392</t>
        </is>
      </c>
      <c r="B4393" s="59" t="inlineStr">
        <is>
          <t>2025-04-25</t>
        </is>
      </c>
      <c r="C4393" s="60" t="inlineStr">
        <is>
          <t>Vertex Supplie Pro-786</t>
        </is>
      </c>
      <c r="D4393" s="58" t="inlineStr">
        <is>
          <t>Office</t>
        </is>
      </c>
      <c r="E4393" s="58" t="inlineStr">
        <is>
          <t>Central</t>
        </is>
      </c>
      <c r="F4393" s="61" t="n">
        <v>3</v>
      </c>
      <c r="G4393" s="62" t="n">
        <v>403.33</v>
      </c>
      <c r="H4393" s="63" t="n">
        <v>0.064</v>
      </c>
      <c r="I4393" s="62" t="n">
        <v>287.38</v>
      </c>
      <c r="J4393" s="58" t="inlineStr">
        <is>
          <t>Online</t>
        </is>
      </c>
      <c r="K4393" s="62">
        <f>F4393*(G4393-H4393)</f>
        <v/>
      </c>
      <c r="L4393" s="62">
        <f>K4393-(F4393*I4393)</f>
        <v/>
      </c>
      <c r="M4393" s="64">
        <f>L4393/K4393</f>
        <v/>
      </c>
    </row>
    <row r="4394">
      <c r="A4394" s="58" t="inlineStr">
        <is>
          <t>RT20250426-04393</t>
        </is>
      </c>
      <c r="B4394" s="59" t="inlineStr">
        <is>
          <t>2025-04-26</t>
        </is>
      </c>
      <c r="C4394" s="60" t="inlineStr">
        <is>
          <t>Solace Kitchen X-919</t>
        </is>
      </c>
      <c r="D4394" s="58" t="inlineStr">
        <is>
          <t>Home</t>
        </is>
      </c>
      <c r="E4394" s="58" t="inlineStr">
        <is>
          <t>West</t>
        </is>
      </c>
      <c r="F4394" s="61" t="n">
        <v>3</v>
      </c>
      <c r="G4394" s="62" t="n">
        <v>408.57</v>
      </c>
      <c r="H4394" s="63" t="n">
        <v>0.073</v>
      </c>
      <c r="I4394" s="62" t="n">
        <v>255.11</v>
      </c>
      <c r="J4394" s="58" t="inlineStr">
        <is>
          <t>Phone</t>
        </is>
      </c>
      <c r="K4394" s="62">
        <f>F4394*(G4394-H4394)</f>
        <v/>
      </c>
      <c r="L4394" s="62">
        <f>K4394-(F4394*I4394)</f>
        <v/>
      </c>
      <c r="M4394" s="64">
        <f>L4394/K4394</f>
        <v/>
      </c>
    </row>
    <row r="4395">
      <c r="A4395" s="58" t="inlineStr">
        <is>
          <t>RT20250426-04394</t>
        </is>
      </c>
      <c r="B4395" s="59" t="inlineStr">
        <is>
          <t>2025-04-26</t>
        </is>
      </c>
      <c r="C4395" s="60" t="inlineStr">
        <is>
          <t>Solace Kitchen X-919</t>
        </is>
      </c>
      <c r="D4395" s="58" t="inlineStr">
        <is>
          <t>Home</t>
        </is>
      </c>
      <c r="E4395" s="58" t="inlineStr">
        <is>
          <t>South</t>
        </is>
      </c>
      <c r="F4395" s="61" t="n">
        <v>2</v>
      </c>
      <c r="G4395" s="62" t="n">
        <v>370.21</v>
      </c>
      <c r="H4395" s="63" t="n">
        <v>0.118</v>
      </c>
      <c r="I4395" s="62" t="n">
        <v>267.79</v>
      </c>
      <c r="J4395" s="58" t="inlineStr">
        <is>
          <t>Store</t>
        </is>
      </c>
      <c r="K4395" s="62">
        <f>F4395*(G4395-H4395)</f>
        <v/>
      </c>
      <c r="L4395" s="62">
        <f>K4395-(F4395*I4395)</f>
        <v/>
      </c>
      <c r="M4395" s="64">
        <f>L4395/K4395</f>
        <v/>
      </c>
    </row>
    <row r="4396">
      <c r="A4396" s="58" t="inlineStr">
        <is>
          <t>RT20250426-04395</t>
        </is>
      </c>
      <c r="B4396" s="59" t="inlineStr">
        <is>
          <t>2025-04-26</t>
        </is>
      </c>
      <c r="C4396" s="60" t="inlineStr">
        <is>
          <t>Metro Beverage Max-490</t>
        </is>
      </c>
      <c r="D4396" s="58" t="inlineStr">
        <is>
          <t>Grocery</t>
        </is>
      </c>
      <c r="E4396" s="58" t="inlineStr">
        <is>
          <t>East</t>
        </is>
      </c>
      <c r="F4396" s="61" t="n">
        <v>3</v>
      </c>
      <c r="G4396" s="62" t="n">
        <v>11.25</v>
      </c>
      <c r="H4396" s="63" t="n">
        <v>0.049</v>
      </c>
      <c r="I4396" s="62" t="n">
        <v>8.109999999999999</v>
      </c>
      <c r="J4396" s="58" t="inlineStr">
        <is>
          <t>Store</t>
        </is>
      </c>
      <c r="K4396" s="62">
        <f>F4396*(G4396-H4396)</f>
        <v/>
      </c>
      <c r="L4396" s="62">
        <f>K4396-(F4396*I4396)</f>
        <v/>
      </c>
      <c r="M4396" s="64">
        <f>L4396/K4396</f>
        <v/>
      </c>
    </row>
    <row r="4397">
      <c r="A4397" s="58" t="inlineStr">
        <is>
          <t>RT20250426-04396</t>
        </is>
      </c>
      <c r="B4397" s="59" t="inlineStr">
        <is>
          <t>2025-04-26</t>
        </is>
      </c>
      <c r="C4397" s="60" t="inlineStr">
        <is>
          <t>Metro Decor Lite-325</t>
        </is>
      </c>
      <c r="D4397" s="58" t="inlineStr">
        <is>
          <t>Home</t>
        </is>
      </c>
      <c r="E4397" s="58" t="inlineStr">
        <is>
          <t>East</t>
        </is>
      </c>
      <c r="F4397" s="61" t="n">
        <v>1</v>
      </c>
      <c r="G4397" s="62" t="n">
        <v>586.48</v>
      </c>
      <c r="H4397" s="63" t="n">
        <v>0.112</v>
      </c>
      <c r="I4397" s="62" t="n">
        <v>385.35</v>
      </c>
      <c r="J4397" s="58" t="inlineStr">
        <is>
          <t>Store</t>
        </is>
      </c>
      <c r="K4397" s="62">
        <f>F4397*(G4397-H4397)</f>
        <v/>
      </c>
      <c r="L4397" s="62">
        <f>K4397-(F4397*I4397)</f>
        <v/>
      </c>
      <c r="M4397" s="64">
        <f>L4397/K4397</f>
        <v/>
      </c>
    </row>
    <row r="4398">
      <c r="A4398" s="58" t="inlineStr">
        <is>
          <t>RT20250426-04397</t>
        </is>
      </c>
      <c r="B4398" s="59" t="inlineStr">
        <is>
          <t>2025-04-26</t>
        </is>
      </c>
      <c r="C4398" s="60" t="inlineStr">
        <is>
          <t>Vertex Appliance Max-338</t>
        </is>
      </c>
      <c r="D4398" s="58" t="inlineStr">
        <is>
          <t>Home</t>
        </is>
      </c>
      <c r="E4398" s="58" t="inlineStr">
        <is>
          <t>Central</t>
        </is>
      </c>
      <c r="F4398" s="61" t="n">
        <v>2</v>
      </c>
      <c r="G4398" s="62" t="n">
        <v>410.44</v>
      </c>
      <c r="H4398" s="63" t="n">
        <v>0.026</v>
      </c>
      <c r="I4398" s="62" t="n">
        <v>281.4</v>
      </c>
      <c r="J4398" s="58" t="inlineStr">
        <is>
          <t>Store</t>
        </is>
      </c>
      <c r="K4398" s="62">
        <f>F4398*(G4398-H4398)</f>
        <v/>
      </c>
      <c r="L4398" s="62">
        <f>K4398-(F4398*I4398)</f>
        <v/>
      </c>
      <c r="M4398" s="64">
        <f>L4398/K4398</f>
        <v/>
      </c>
    </row>
    <row r="4399">
      <c r="A4399" s="58" t="inlineStr">
        <is>
          <t>RT20250426-04398</t>
        </is>
      </c>
      <c r="B4399" s="59" t="inlineStr">
        <is>
          <t>2025-04-26</t>
        </is>
      </c>
      <c r="C4399" s="60" t="inlineStr">
        <is>
          <t>Aurora Appliance Max-316</t>
        </is>
      </c>
      <c r="D4399" s="58" t="inlineStr">
        <is>
          <t>Home</t>
        </is>
      </c>
      <c r="E4399" s="58" t="inlineStr">
        <is>
          <t>Central</t>
        </is>
      </c>
      <c r="F4399" s="61" t="n">
        <v>3</v>
      </c>
      <c r="G4399" s="62" t="n">
        <v>279.75</v>
      </c>
      <c r="H4399" s="63" t="n">
        <v>0.05</v>
      </c>
      <c r="I4399" s="62" t="n">
        <v>211.94</v>
      </c>
      <c r="J4399" s="58" t="inlineStr">
        <is>
          <t>Store</t>
        </is>
      </c>
      <c r="K4399" s="62">
        <f>F4399*(G4399-H4399)</f>
        <v/>
      </c>
      <c r="L4399" s="62">
        <f>K4399-(F4399*I4399)</f>
        <v/>
      </c>
      <c r="M4399" s="64">
        <f>L4399/K4399</f>
        <v/>
      </c>
    </row>
    <row r="4400">
      <c r="A4400" s="58" t="inlineStr">
        <is>
          <t>RT20250426-04399</t>
        </is>
      </c>
      <c r="B4400" s="59" t="inlineStr">
        <is>
          <t>2025-04-26</t>
        </is>
      </c>
      <c r="C4400" s="60" t="inlineStr">
        <is>
          <t>Metro Accessorie Lite-697</t>
        </is>
      </c>
      <c r="D4400" s="58" t="inlineStr">
        <is>
          <t>Apparel</t>
        </is>
      </c>
      <c r="E4400" s="58" t="inlineStr">
        <is>
          <t>West</t>
        </is>
      </c>
      <c r="F4400" s="61" t="n">
        <v>1</v>
      </c>
      <c r="G4400" s="62" t="n">
        <v>135.76</v>
      </c>
      <c r="H4400" s="63" t="n">
        <v>0.079</v>
      </c>
      <c r="I4400" s="62" t="n">
        <v>76.17</v>
      </c>
      <c r="J4400" s="58" t="inlineStr">
        <is>
          <t>Online</t>
        </is>
      </c>
      <c r="K4400" s="62">
        <f>F4400*(G4400-H4400)</f>
        <v/>
      </c>
      <c r="L4400" s="62">
        <f>K4400-(F4400*I4400)</f>
        <v/>
      </c>
      <c r="M4400" s="64">
        <f>L4400/K4400</f>
        <v/>
      </c>
    </row>
    <row r="4401">
      <c r="A4401" s="58" t="inlineStr">
        <is>
          <t>RT20250426-04400</t>
        </is>
      </c>
      <c r="B4401" s="59" t="inlineStr">
        <is>
          <t>2025-04-26</t>
        </is>
      </c>
      <c r="C4401" s="60" t="inlineStr">
        <is>
          <t>Solace Kitchen X-919</t>
        </is>
      </c>
      <c r="D4401" s="58" t="inlineStr">
        <is>
          <t>Home</t>
        </is>
      </c>
      <c r="E4401" s="58" t="inlineStr">
        <is>
          <t>West</t>
        </is>
      </c>
      <c r="F4401" s="61" t="n">
        <v>2</v>
      </c>
      <c r="G4401" s="62" t="n">
        <v>386.61</v>
      </c>
      <c r="H4401" s="63" t="n">
        <v>0.07099999999999999</v>
      </c>
      <c r="I4401" s="62" t="n">
        <v>267.08</v>
      </c>
      <c r="J4401" s="58" t="inlineStr">
        <is>
          <t>Online</t>
        </is>
      </c>
      <c r="K4401" s="62">
        <f>F4401*(G4401-H4401)</f>
        <v/>
      </c>
      <c r="L4401" s="62">
        <f>K4401-(F4401*I4401)</f>
        <v/>
      </c>
      <c r="M4401" s="64">
        <f>L4401/K4401</f>
        <v/>
      </c>
    </row>
    <row r="4402">
      <c r="A4402" s="58" t="inlineStr">
        <is>
          <t>RT20250426-04401</t>
        </is>
      </c>
      <c r="B4402" s="59" t="inlineStr">
        <is>
          <t>2025-04-26</t>
        </is>
      </c>
      <c r="C4402" s="60" t="inlineStr">
        <is>
          <t>Falcon Team Sport Lite-268</t>
        </is>
      </c>
      <c r="D4402" s="58" t="inlineStr">
        <is>
          <t>Sports</t>
        </is>
      </c>
      <c r="E4402" s="58" t="inlineStr">
        <is>
          <t>Central</t>
        </is>
      </c>
      <c r="F4402" s="61" t="n">
        <v>3</v>
      </c>
      <c r="G4402" s="62" t="n">
        <v>677.92</v>
      </c>
      <c r="H4402" s="63" t="n">
        <v>0.061</v>
      </c>
      <c r="I4402" s="62" t="n">
        <v>427.15</v>
      </c>
      <c r="J4402" s="58" t="inlineStr">
        <is>
          <t>Store</t>
        </is>
      </c>
      <c r="K4402" s="62">
        <f>F4402*(G4402-H4402)</f>
        <v/>
      </c>
      <c r="L4402" s="62">
        <f>K4402-(F4402*I4402)</f>
        <v/>
      </c>
      <c r="M4402" s="64">
        <f>L4402/K4402</f>
        <v/>
      </c>
    </row>
    <row r="4403">
      <c r="A4403" s="58" t="inlineStr">
        <is>
          <t>RT20250426-04402</t>
        </is>
      </c>
      <c r="B4403" s="59" t="inlineStr">
        <is>
          <t>2025-04-26</t>
        </is>
      </c>
      <c r="C4403" s="60" t="inlineStr">
        <is>
          <t>Vertex Appliance Max-338</t>
        </is>
      </c>
      <c r="D4403" s="58" t="inlineStr">
        <is>
          <t>Home</t>
        </is>
      </c>
      <c r="E4403" s="58" t="inlineStr">
        <is>
          <t>East</t>
        </is>
      </c>
      <c r="F4403" s="61" t="n">
        <v>3</v>
      </c>
      <c r="G4403" s="62" t="n">
        <v>458.41</v>
      </c>
      <c r="H4403" s="63" t="n">
        <v>0.008999999999999999</v>
      </c>
      <c r="I4403" s="62" t="n">
        <v>288.29</v>
      </c>
      <c r="J4403" s="58" t="inlineStr">
        <is>
          <t>Online</t>
        </is>
      </c>
      <c r="K4403" s="62">
        <f>F4403*(G4403-H4403)</f>
        <v/>
      </c>
      <c r="L4403" s="62">
        <f>K4403-(F4403*I4403)</f>
        <v/>
      </c>
      <c r="M4403" s="64">
        <f>L4403/K4403</f>
        <v/>
      </c>
    </row>
    <row r="4404">
      <c r="A4404" s="58" t="inlineStr">
        <is>
          <t>RT20250426-04403</t>
        </is>
      </c>
      <c r="B4404" s="59" t="inlineStr">
        <is>
          <t>2025-04-26</t>
        </is>
      </c>
      <c r="C4404" s="60" t="inlineStr">
        <is>
          <t>Orion Storage Plus-961</t>
        </is>
      </c>
      <c r="D4404" s="58" t="inlineStr">
        <is>
          <t>Office</t>
        </is>
      </c>
      <c r="E4404" s="58" t="inlineStr">
        <is>
          <t>West</t>
        </is>
      </c>
      <c r="F4404" s="61" t="n">
        <v>1</v>
      </c>
      <c r="G4404" s="62" t="n">
        <v>547.91</v>
      </c>
      <c r="H4404" s="63" t="n">
        <v>0.059</v>
      </c>
      <c r="I4404" s="62" t="n">
        <v>357.74</v>
      </c>
      <c r="J4404" s="58" t="inlineStr">
        <is>
          <t>Online</t>
        </is>
      </c>
      <c r="K4404" s="62">
        <f>F4404*(G4404-H4404)</f>
        <v/>
      </c>
      <c r="L4404" s="62">
        <f>K4404-(F4404*I4404)</f>
        <v/>
      </c>
      <c r="M4404" s="64">
        <f>L4404/K4404</f>
        <v/>
      </c>
    </row>
    <row r="4405">
      <c r="A4405" s="58" t="inlineStr">
        <is>
          <t>RT20250426-04404</t>
        </is>
      </c>
      <c r="B4405" s="59" t="inlineStr">
        <is>
          <t>2025-04-26</t>
        </is>
      </c>
      <c r="C4405" s="60" t="inlineStr">
        <is>
          <t>Metro Wearable Plus-234</t>
        </is>
      </c>
      <c r="D4405" s="58" t="inlineStr">
        <is>
          <t>Electronics</t>
        </is>
      </c>
      <c r="E4405" s="58" t="inlineStr">
        <is>
          <t>Central</t>
        </is>
      </c>
      <c r="F4405" s="61" t="n">
        <v>2</v>
      </c>
      <c r="G4405" s="62" t="n">
        <v>1506.23</v>
      </c>
      <c r="H4405" s="63" t="n">
        <v>0.041</v>
      </c>
      <c r="I4405" s="62" t="n">
        <v>1192.23</v>
      </c>
      <c r="J4405" s="58" t="inlineStr">
        <is>
          <t>Online</t>
        </is>
      </c>
      <c r="K4405" s="62">
        <f>F4405*(G4405-H4405)</f>
        <v/>
      </c>
      <c r="L4405" s="62">
        <f>K4405-(F4405*I4405)</f>
        <v/>
      </c>
      <c r="M4405" s="64">
        <f>L4405/K4405</f>
        <v/>
      </c>
    </row>
    <row r="4406">
      <c r="A4406" s="58" t="inlineStr">
        <is>
          <t>RT20250426-04405</t>
        </is>
      </c>
      <c r="B4406" s="59" t="inlineStr">
        <is>
          <t>2025-04-26</t>
        </is>
      </c>
      <c r="C4406" s="60" t="inlineStr">
        <is>
          <t>Orion Laptop S-350</t>
        </is>
      </c>
      <c r="D4406" s="58" t="inlineStr">
        <is>
          <t>Electronics</t>
        </is>
      </c>
      <c r="E4406" s="58" t="inlineStr">
        <is>
          <t>West</t>
        </is>
      </c>
      <c r="F4406" s="61" t="n">
        <v>1</v>
      </c>
      <c r="G4406" s="62" t="n">
        <v>1381.28</v>
      </c>
      <c r="H4406" s="63" t="n">
        <v>0.028</v>
      </c>
      <c r="I4406" s="62" t="n">
        <v>1100.87</v>
      </c>
      <c r="J4406" s="58" t="inlineStr">
        <is>
          <t>Store</t>
        </is>
      </c>
      <c r="K4406" s="62">
        <f>F4406*(G4406-H4406)</f>
        <v/>
      </c>
      <c r="L4406" s="62">
        <f>K4406-(F4406*I4406)</f>
        <v/>
      </c>
      <c r="M4406" s="64">
        <f>L4406/K4406</f>
        <v/>
      </c>
    </row>
    <row r="4407">
      <c r="A4407" s="58" t="inlineStr">
        <is>
          <t>RT20250426-04406</t>
        </is>
      </c>
      <c r="B4407" s="59" t="inlineStr">
        <is>
          <t>2025-04-26</t>
        </is>
      </c>
      <c r="C4407" s="60" t="inlineStr">
        <is>
          <t>Orion Snack X-322</t>
        </is>
      </c>
      <c r="D4407" s="58" t="inlineStr">
        <is>
          <t>Grocery</t>
        </is>
      </c>
      <c r="E4407" s="58" t="inlineStr">
        <is>
          <t>Central</t>
        </is>
      </c>
      <c r="F4407" s="61" t="n">
        <v>4</v>
      </c>
      <c r="G4407" s="62" t="n">
        <v>14.21</v>
      </c>
      <c r="H4407" s="63" t="n">
        <v>0.053</v>
      </c>
      <c r="I4407" s="62" t="n">
        <v>9.869999999999999</v>
      </c>
      <c r="J4407" s="58" t="inlineStr">
        <is>
          <t>Online</t>
        </is>
      </c>
      <c r="K4407" s="62">
        <f>F4407*(G4407-H4407)</f>
        <v/>
      </c>
      <c r="L4407" s="62">
        <f>K4407-(F4407*I4407)</f>
        <v/>
      </c>
      <c r="M4407" s="64">
        <f>L4407/K4407</f>
        <v/>
      </c>
    </row>
    <row r="4408">
      <c r="A4408" s="58" t="inlineStr">
        <is>
          <t>RT20250426-04407</t>
        </is>
      </c>
      <c r="B4408" s="59" t="inlineStr">
        <is>
          <t>2025-04-26</t>
        </is>
      </c>
      <c r="C4408" s="60" t="inlineStr">
        <is>
          <t>Metro Beverage Max-490</t>
        </is>
      </c>
      <c r="D4408" s="58" t="inlineStr">
        <is>
          <t>Grocery</t>
        </is>
      </c>
      <c r="E4408" s="58" t="inlineStr">
        <is>
          <t>West</t>
        </is>
      </c>
      <c r="F4408" s="61" t="n">
        <v>2</v>
      </c>
      <c r="G4408" s="62" t="n">
        <v>12.4</v>
      </c>
      <c r="H4408" s="63" t="n">
        <v>0.053</v>
      </c>
      <c r="I4408" s="62" t="n">
        <v>8.31</v>
      </c>
      <c r="J4408" s="58" t="inlineStr">
        <is>
          <t>Store</t>
        </is>
      </c>
      <c r="K4408" s="62">
        <f>F4408*(G4408-H4408)</f>
        <v/>
      </c>
      <c r="L4408" s="62">
        <f>K4408-(F4408*I4408)</f>
        <v/>
      </c>
      <c r="M4408" s="64">
        <f>L4408/K4408</f>
        <v/>
      </c>
    </row>
    <row r="4409">
      <c r="A4409" s="58" t="inlineStr">
        <is>
          <t>RT20250426-04408</t>
        </is>
      </c>
      <c r="B4409" s="59" t="inlineStr">
        <is>
          <t>2025-04-26</t>
        </is>
      </c>
      <c r="C4409" s="60" t="inlineStr">
        <is>
          <t>Aurora Bedding Plus-187</t>
        </is>
      </c>
      <c r="D4409" s="58" t="inlineStr">
        <is>
          <t>Home</t>
        </is>
      </c>
      <c r="E4409" s="58" t="inlineStr">
        <is>
          <t>South</t>
        </is>
      </c>
      <c r="F4409" s="61" t="n">
        <v>3</v>
      </c>
      <c r="G4409" s="62" t="n">
        <v>291.19</v>
      </c>
      <c r="H4409" s="63" t="n">
        <v>0.08500000000000001</v>
      </c>
      <c r="I4409" s="62" t="n">
        <v>204.59</v>
      </c>
      <c r="J4409" s="58" t="inlineStr">
        <is>
          <t>Store</t>
        </is>
      </c>
      <c r="K4409" s="62">
        <f>F4409*(G4409-H4409)</f>
        <v/>
      </c>
      <c r="L4409" s="62">
        <f>K4409-(F4409*I4409)</f>
        <v/>
      </c>
      <c r="M4409" s="64">
        <f>L4409/K4409</f>
        <v/>
      </c>
    </row>
    <row r="4410">
      <c r="A4410" s="58" t="inlineStr">
        <is>
          <t>RT20250426-04409</t>
        </is>
      </c>
      <c r="B4410" s="59" t="inlineStr">
        <is>
          <t>2025-04-26</t>
        </is>
      </c>
      <c r="C4410" s="60" t="inlineStr">
        <is>
          <t>Vertex Supplie X-513</t>
        </is>
      </c>
      <c r="D4410" s="58" t="inlineStr">
        <is>
          <t>Office</t>
        </is>
      </c>
      <c r="E4410" s="58" t="inlineStr">
        <is>
          <t>South</t>
        </is>
      </c>
      <c r="F4410" s="61" t="n">
        <v>2</v>
      </c>
      <c r="G4410" s="62" t="n">
        <v>378.84</v>
      </c>
      <c r="H4410" s="63" t="n">
        <v>0.052</v>
      </c>
      <c r="I4410" s="62" t="n">
        <v>272.83</v>
      </c>
      <c r="J4410" s="58" t="inlineStr">
        <is>
          <t>Store</t>
        </is>
      </c>
      <c r="K4410" s="62">
        <f>F4410*(G4410-H4410)</f>
        <v/>
      </c>
      <c r="L4410" s="62">
        <f>K4410-(F4410*I4410)</f>
        <v/>
      </c>
      <c r="M4410" s="64">
        <f>L4410/K4410</f>
        <v/>
      </c>
    </row>
    <row r="4411">
      <c r="A4411" s="58" t="inlineStr">
        <is>
          <t>RT20250426-04410</t>
        </is>
      </c>
      <c r="B4411" s="59" t="inlineStr">
        <is>
          <t>2025-04-26</t>
        </is>
      </c>
      <c r="C4411" s="60" t="inlineStr">
        <is>
          <t>Polar Outdoor X-193</t>
        </is>
      </c>
      <c r="D4411" s="58" t="inlineStr">
        <is>
          <t>Sports</t>
        </is>
      </c>
      <c r="E4411" s="58" t="inlineStr">
        <is>
          <t>East</t>
        </is>
      </c>
      <c r="F4411" s="61" t="n">
        <v>2</v>
      </c>
      <c r="G4411" s="62" t="n">
        <v>718.6799999999999</v>
      </c>
      <c r="H4411" s="63" t="n">
        <v>0.055</v>
      </c>
      <c r="I4411" s="62" t="n">
        <v>446.97</v>
      </c>
      <c r="J4411" s="58" t="inlineStr">
        <is>
          <t>Store</t>
        </is>
      </c>
      <c r="K4411" s="62">
        <f>F4411*(G4411-H4411)</f>
        <v/>
      </c>
      <c r="L4411" s="62">
        <f>K4411-(F4411*I4411)</f>
        <v/>
      </c>
      <c r="M4411" s="64">
        <f>L4411/K4411</f>
        <v/>
      </c>
    </row>
    <row r="4412">
      <c r="A4412" s="58" t="inlineStr">
        <is>
          <t>RT20250426-04411</t>
        </is>
      </c>
      <c r="B4412" s="59" t="inlineStr">
        <is>
          <t>2025-04-26</t>
        </is>
      </c>
      <c r="C4412" s="60" t="inlineStr">
        <is>
          <t>Nimbus Storage Plus-646</t>
        </is>
      </c>
      <c r="D4412" s="58" t="inlineStr">
        <is>
          <t>Office</t>
        </is>
      </c>
      <c r="E4412" s="58" t="inlineStr">
        <is>
          <t>Central</t>
        </is>
      </c>
      <c r="F4412" s="61" t="n">
        <v>1</v>
      </c>
      <c r="G4412" s="62" t="n">
        <v>444</v>
      </c>
      <c r="H4412" s="63" t="n">
        <v>0.064</v>
      </c>
      <c r="I4412" s="62" t="n">
        <v>324.72</v>
      </c>
      <c r="J4412" s="58" t="inlineStr">
        <is>
          <t>Online</t>
        </is>
      </c>
      <c r="K4412" s="62">
        <f>F4412*(G4412-H4412)</f>
        <v/>
      </c>
      <c r="L4412" s="62">
        <f>K4412-(F4412*I4412)</f>
        <v/>
      </c>
      <c r="M4412" s="64">
        <f>L4412/K4412</f>
        <v/>
      </c>
    </row>
    <row r="4413">
      <c r="A4413" s="58" t="inlineStr">
        <is>
          <t>RT20250426-04412</t>
        </is>
      </c>
      <c r="B4413" s="59" t="inlineStr">
        <is>
          <t>2025-04-26</t>
        </is>
      </c>
      <c r="C4413" s="60" t="inlineStr">
        <is>
          <t>Orion Supplie S-612</t>
        </is>
      </c>
      <c r="D4413" s="58" t="inlineStr">
        <is>
          <t>Office</t>
        </is>
      </c>
      <c r="E4413" s="58" t="inlineStr">
        <is>
          <t>West</t>
        </is>
      </c>
      <c r="F4413" s="61" t="n">
        <v>2</v>
      </c>
      <c r="G4413" s="62" t="n">
        <v>481.43</v>
      </c>
      <c r="H4413" s="63" t="n">
        <v>0.122</v>
      </c>
      <c r="I4413" s="62" t="n">
        <v>333.39</v>
      </c>
      <c r="J4413" s="58" t="inlineStr">
        <is>
          <t>Store</t>
        </is>
      </c>
      <c r="K4413" s="62">
        <f>F4413*(G4413-H4413)</f>
        <v/>
      </c>
      <c r="L4413" s="62">
        <f>K4413-(F4413*I4413)</f>
        <v/>
      </c>
      <c r="M4413" s="64">
        <f>L4413/K4413</f>
        <v/>
      </c>
    </row>
    <row r="4414">
      <c r="A4414" s="58" t="inlineStr">
        <is>
          <t>RT20250426-04413</t>
        </is>
      </c>
      <c r="B4414" s="59" t="inlineStr">
        <is>
          <t>2025-04-26</t>
        </is>
      </c>
      <c r="C4414" s="60" t="inlineStr">
        <is>
          <t>Solace Kitchen Pro-510</t>
        </is>
      </c>
      <c r="D4414" s="58" t="inlineStr">
        <is>
          <t>Home</t>
        </is>
      </c>
      <c r="E4414" s="58" t="inlineStr">
        <is>
          <t>South</t>
        </is>
      </c>
      <c r="F4414" s="61" t="n">
        <v>2</v>
      </c>
      <c r="G4414" s="62" t="n">
        <v>407.28</v>
      </c>
      <c r="H4414" s="63" t="n">
        <v>0.055</v>
      </c>
      <c r="I4414" s="62" t="n">
        <v>302.64</v>
      </c>
      <c r="J4414" s="58" t="inlineStr">
        <is>
          <t>Online</t>
        </is>
      </c>
      <c r="K4414" s="62">
        <f>F4414*(G4414-H4414)</f>
        <v/>
      </c>
      <c r="L4414" s="62">
        <f>K4414-(F4414*I4414)</f>
        <v/>
      </c>
      <c r="M4414" s="64">
        <f>L4414/K4414</f>
        <v/>
      </c>
    </row>
    <row r="4415">
      <c r="A4415" s="58" t="inlineStr">
        <is>
          <t>RT20250426-04414</t>
        </is>
      </c>
      <c r="B4415" s="59" t="inlineStr">
        <is>
          <t>2025-04-26</t>
        </is>
      </c>
      <c r="C4415" s="60" t="inlineStr">
        <is>
          <t>Vertex Snack S-702</t>
        </is>
      </c>
      <c r="D4415" s="58" t="inlineStr">
        <is>
          <t>Grocery</t>
        </is>
      </c>
      <c r="E4415" s="58" t="inlineStr">
        <is>
          <t>West</t>
        </is>
      </c>
      <c r="F4415" s="61" t="n">
        <v>8</v>
      </c>
      <c r="G4415" s="62" t="n">
        <v>1.73</v>
      </c>
      <c r="H4415" s="63" t="n">
        <v>0.017</v>
      </c>
      <c r="I4415" s="62" t="n">
        <v>1.46</v>
      </c>
      <c r="J4415" s="58" t="inlineStr">
        <is>
          <t>Store</t>
        </is>
      </c>
      <c r="K4415" s="62">
        <f>F4415*(G4415-H4415)</f>
        <v/>
      </c>
      <c r="L4415" s="62">
        <f>K4415-(F4415*I4415)</f>
        <v/>
      </c>
      <c r="M4415" s="64">
        <f>L4415/K4415</f>
        <v/>
      </c>
    </row>
    <row r="4416">
      <c r="A4416" s="58" t="inlineStr">
        <is>
          <t>RT20250426-04415</t>
        </is>
      </c>
      <c r="B4416" s="59" t="inlineStr">
        <is>
          <t>2025-04-26</t>
        </is>
      </c>
      <c r="C4416" s="60" t="inlineStr">
        <is>
          <t>Falcon Headphone Plus-789</t>
        </is>
      </c>
      <c r="D4416" s="58" t="inlineStr">
        <is>
          <t>Electronics</t>
        </is>
      </c>
      <c r="E4416" s="58" t="inlineStr">
        <is>
          <t>East</t>
        </is>
      </c>
      <c r="F4416" s="61" t="n">
        <v>2</v>
      </c>
      <c r="G4416" s="62" t="n">
        <v>1679.57</v>
      </c>
      <c r="H4416" s="63" t="n">
        <v>0.019</v>
      </c>
      <c r="I4416" s="62" t="n">
        <v>1285.42</v>
      </c>
      <c r="J4416" s="58" t="inlineStr">
        <is>
          <t>Online</t>
        </is>
      </c>
      <c r="K4416" s="62">
        <f>F4416*(G4416-H4416)</f>
        <v/>
      </c>
      <c r="L4416" s="62">
        <f>K4416-(F4416*I4416)</f>
        <v/>
      </c>
      <c r="M4416" s="64">
        <f>L4416/K4416</f>
        <v/>
      </c>
    </row>
    <row r="4417">
      <c r="A4417" s="58" t="inlineStr">
        <is>
          <t>RT20250426-04416</t>
        </is>
      </c>
      <c r="B4417" s="59" t="inlineStr">
        <is>
          <t>2025-04-26</t>
        </is>
      </c>
      <c r="C4417" s="60" t="inlineStr">
        <is>
          <t>Metro Decor Lite-325</t>
        </is>
      </c>
      <c r="D4417" s="58" t="inlineStr">
        <is>
          <t>Home</t>
        </is>
      </c>
      <c r="E4417" s="58" t="inlineStr">
        <is>
          <t>West</t>
        </is>
      </c>
      <c r="F4417" s="61" t="n">
        <v>3</v>
      </c>
      <c r="G4417" s="62" t="n">
        <v>499.73</v>
      </c>
      <c r="H4417" s="63" t="n">
        <v>0.11</v>
      </c>
      <c r="I4417" s="62" t="n">
        <v>371.91</v>
      </c>
      <c r="J4417" s="58" t="inlineStr">
        <is>
          <t>Online</t>
        </is>
      </c>
      <c r="K4417" s="62">
        <f>F4417*(G4417-H4417)</f>
        <v/>
      </c>
      <c r="L4417" s="62">
        <f>K4417-(F4417*I4417)</f>
        <v/>
      </c>
      <c r="M4417" s="64">
        <f>L4417/K4417</f>
        <v/>
      </c>
    </row>
    <row r="4418">
      <c r="A4418" s="58" t="inlineStr">
        <is>
          <t>RT20250426-04417</t>
        </is>
      </c>
      <c r="B4418" s="59" t="inlineStr">
        <is>
          <t>2025-04-26</t>
        </is>
      </c>
      <c r="C4418" s="60" t="inlineStr">
        <is>
          <t>Aurora Outdoor Pro-467</t>
        </is>
      </c>
      <c r="D4418" s="58" t="inlineStr">
        <is>
          <t>Sports</t>
        </is>
      </c>
      <c r="E4418" s="58" t="inlineStr">
        <is>
          <t>West</t>
        </is>
      </c>
      <c r="F4418" s="61" t="n">
        <v>1</v>
      </c>
      <c r="G4418" s="62" t="n">
        <v>236.74</v>
      </c>
      <c r="H4418" s="63" t="n">
        <v>0</v>
      </c>
      <c r="I4418" s="62" t="n">
        <v>192.66</v>
      </c>
      <c r="J4418" s="58" t="inlineStr">
        <is>
          <t>Online</t>
        </is>
      </c>
      <c r="K4418" s="62">
        <f>F4418*(G4418-H4418)</f>
        <v/>
      </c>
      <c r="L4418" s="62">
        <f>K4418-(F4418*I4418)</f>
        <v/>
      </c>
      <c r="M4418" s="64">
        <f>L4418/K4418</f>
        <v/>
      </c>
    </row>
    <row r="4419">
      <c r="A4419" s="58" t="inlineStr">
        <is>
          <t>RT20250426-04418</t>
        </is>
      </c>
      <c r="B4419" s="59" t="inlineStr">
        <is>
          <t>2025-04-26</t>
        </is>
      </c>
      <c r="C4419" s="60" t="inlineStr">
        <is>
          <t>Falcon Household Pro-865</t>
        </is>
      </c>
      <c r="D4419" s="58" t="inlineStr">
        <is>
          <t>Grocery</t>
        </is>
      </c>
      <c r="E4419" s="58" t="inlineStr">
        <is>
          <t>East</t>
        </is>
      </c>
      <c r="F4419" s="61" t="n">
        <v>8</v>
      </c>
      <c r="G4419" s="62" t="n">
        <v>10.11</v>
      </c>
      <c r="H4419" s="63" t="n">
        <v>0.074</v>
      </c>
      <c r="I4419" s="62" t="n">
        <v>7.64</v>
      </c>
      <c r="J4419" s="58" t="inlineStr">
        <is>
          <t>Online</t>
        </is>
      </c>
      <c r="K4419" s="62">
        <f>F4419*(G4419-H4419)</f>
        <v/>
      </c>
      <c r="L4419" s="62">
        <f>K4419-(F4419*I4419)</f>
        <v/>
      </c>
      <c r="M4419" s="64">
        <f>L4419/K4419</f>
        <v/>
      </c>
    </row>
    <row r="4420">
      <c r="A4420" s="58" t="inlineStr">
        <is>
          <t>RT20250426-04419</t>
        </is>
      </c>
      <c r="B4420" s="59" t="inlineStr">
        <is>
          <t>2025-04-26</t>
        </is>
      </c>
      <c r="C4420" s="60" t="inlineStr">
        <is>
          <t>Aurora Skincare Max-798</t>
        </is>
      </c>
      <c r="D4420" s="58" t="inlineStr">
        <is>
          <t>Beauty</t>
        </is>
      </c>
      <c r="E4420" s="58" t="inlineStr">
        <is>
          <t>East</t>
        </is>
      </c>
      <c r="F4420" s="61" t="n">
        <v>5</v>
      </c>
      <c r="G4420" s="62" t="n">
        <v>117.36</v>
      </c>
      <c r="H4420" s="63" t="n">
        <v>0.047</v>
      </c>
      <c r="I4420" s="62" t="n">
        <v>66.89</v>
      </c>
      <c r="J4420" s="58" t="inlineStr">
        <is>
          <t>Phone</t>
        </is>
      </c>
      <c r="K4420" s="62">
        <f>F4420*(G4420-H4420)</f>
        <v/>
      </c>
      <c r="L4420" s="62">
        <f>K4420-(F4420*I4420)</f>
        <v/>
      </c>
      <c r="M4420" s="64">
        <f>L4420/K4420</f>
        <v/>
      </c>
    </row>
    <row r="4421">
      <c r="A4421" s="58" t="inlineStr">
        <is>
          <t>RT20250426-04420</t>
        </is>
      </c>
      <c r="B4421" s="59" t="inlineStr">
        <is>
          <t>2025-04-26</t>
        </is>
      </c>
      <c r="C4421" s="60" t="inlineStr">
        <is>
          <t>Aurora Printer Plus-723</t>
        </is>
      </c>
      <c r="D4421" s="58" t="inlineStr">
        <is>
          <t>Office</t>
        </is>
      </c>
      <c r="E4421" s="58" t="inlineStr">
        <is>
          <t>South</t>
        </is>
      </c>
      <c r="F4421" s="61" t="n">
        <v>2</v>
      </c>
      <c r="G4421" s="62" t="n">
        <v>231.28</v>
      </c>
      <c r="H4421" s="63" t="n">
        <v>0.077</v>
      </c>
      <c r="I4421" s="62" t="n">
        <v>186.08</v>
      </c>
      <c r="J4421" s="58" t="inlineStr">
        <is>
          <t>Online</t>
        </is>
      </c>
      <c r="K4421" s="62">
        <f>F4421*(G4421-H4421)</f>
        <v/>
      </c>
      <c r="L4421" s="62">
        <f>K4421-(F4421*I4421)</f>
        <v/>
      </c>
      <c r="M4421" s="64">
        <f>L4421/K4421</f>
        <v/>
      </c>
    </row>
    <row r="4422">
      <c r="A4422" s="58" t="inlineStr">
        <is>
          <t>RT20250426-04421</t>
        </is>
      </c>
      <c r="B4422" s="59" t="inlineStr">
        <is>
          <t>2025-04-26</t>
        </is>
      </c>
      <c r="C4422" s="60" t="inlineStr">
        <is>
          <t>Orion Team Sport X-926</t>
        </is>
      </c>
      <c r="D4422" s="58" t="inlineStr">
        <is>
          <t>Sports</t>
        </is>
      </c>
      <c r="E4422" s="58" t="inlineStr">
        <is>
          <t>South</t>
        </is>
      </c>
      <c r="F4422" s="61" t="n">
        <v>1</v>
      </c>
      <c r="G4422" s="62" t="n">
        <v>321.45</v>
      </c>
      <c r="H4422" s="63" t="n">
        <v>0.076</v>
      </c>
      <c r="I4422" s="62" t="n">
        <v>220.66</v>
      </c>
      <c r="J4422" s="58" t="inlineStr">
        <is>
          <t>Store</t>
        </is>
      </c>
      <c r="K4422" s="62">
        <f>F4422*(G4422-H4422)</f>
        <v/>
      </c>
      <c r="L4422" s="62">
        <f>K4422-(F4422*I4422)</f>
        <v/>
      </c>
      <c r="M4422" s="64">
        <f>L4422/K4422</f>
        <v/>
      </c>
    </row>
    <row r="4423">
      <c r="A4423" s="58" t="inlineStr">
        <is>
          <t>RT20250426-04422</t>
        </is>
      </c>
      <c r="B4423" s="59" t="inlineStr">
        <is>
          <t>2025-04-26</t>
        </is>
      </c>
      <c r="C4423" s="60" t="inlineStr">
        <is>
          <t>Orion Team Sport X-926</t>
        </is>
      </c>
      <c r="D4423" s="58" t="inlineStr">
        <is>
          <t>Sports</t>
        </is>
      </c>
      <c r="E4423" s="58" t="inlineStr">
        <is>
          <t>North</t>
        </is>
      </c>
      <c r="F4423" s="61" t="n">
        <v>2</v>
      </c>
      <c r="G4423" s="62" t="n">
        <v>285.42</v>
      </c>
      <c r="H4423" s="63" t="n">
        <v>0.061</v>
      </c>
      <c r="I4423" s="62" t="n">
        <v>210.94</v>
      </c>
      <c r="J4423" s="58" t="inlineStr">
        <is>
          <t>Online</t>
        </is>
      </c>
      <c r="K4423" s="62">
        <f>F4423*(G4423-H4423)</f>
        <v/>
      </c>
      <c r="L4423" s="62">
        <f>K4423-(F4423*I4423)</f>
        <v/>
      </c>
      <c r="M4423" s="64">
        <f>L4423/K4423</f>
        <v/>
      </c>
    </row>
    <row r="4424">
      <c r="A4424" s="58" t="inlineStr">
        <is>
          <t>RT20250426-04423</t>
        </is>
      </c>
      <c r="B4424" s="59" t="inlineStr">
        <is>
          <t>2025-04-26</t>
        </is>
      </c>
      <c r="C4424" s="60" t="inlineStr">
        <is>
          <t>Aurora Kid Plus-151</t>
        </is>
      </c>
      <c r="D4424" s="58" t="inlineStr">
        <is>
          <t>Apparel</t>
        </is>
      </c>
      <c r="E4424" s="58" t="inlineStr">
        <is>
          <t>West</t>
        </is>
      </c>
      <c r="F4424" s="61" t="n">
        <v>4</v>
      </c>
      <c r="G4424" s="62" t="n">
        <v>117.73</v>
      </c>
      <c r="H4424" s="63" t="n">
        <v>0.111</v>
      </c>
      <c r="I4424" s="62" t="n">
        <v>62.1</v>
      </c>
      <c r="J4424" s="58" t="inlineStr">
        <is>
          <t>Online</t>
        </is>
      </c>
      <c r="K4424" s="62">
        <f>F4424*(G4424-H4424)</f>
        <v/>
      </c>
      <c r="L4424" s="62">
        <f>K4424-(F4424*I4424)</f>
        <v/>
      </c>
      <c r="M4424" s="64">
        <f>L4424/K4424</f>
        <v/>
      </c>
    </row>
    <row r="4425">
      <c r="A4425" s="58" t="inlineStr">
        <is>
          <t>RT20250426-04424</t>
        </is>
      </c>
      <c r="B4425" s="59" t="inlineStr">
        <is>
          <t>2025-04-26</t>
        </is>
      </c>
      <c r="C4425" s="60" t="inlineStr">
        <is>
          <t>Metro Accessorie Lite-697</t>
        </is>
      </c>
      <c r="D4425" s="58" t="inlineStr">
        <is>
          <t>Apparel</t>
        </is>
      </c>
      <c r="E4425" s="58" t="inlineStr">
        <is>
          <t>West</t>
        </is>
      </c>
      <c r="F4425" s="61" t="n">
        <v>3</v>
      </c>
      <c r="G4425" s="62" t="n">
        <v>142.3</v>
      </c>
      <c r="H4425" s="63" t="n">
        <v>0.076</v>
      </c>
      <c r="I4425" s="62" t="n">
        <v>76.83</v>
      </c>
      <c r="J4425" s="58" t="inlineStr">
        <is>
          <t>Store</t>
        </is>
      </c>
      <c r="K4425" s="62">
        <f>F4425*(G4425-H4425)</f>
        <v/>
      </c>
      <c r="L4425" s="62">
        <f>K4425-(F4425*I4425)</f>
        <v/>
      </c>
      <c r="M4425" s="64">
        <f>L4425/K4425</f>
        <v/>
      </c>
    </row>
    <row r="4426">
      <c r="A4426" s="58" t="inlineStr">
        <is>
          <t>RT20250426-04425</t>
        </is>
      </c>
      <c r="B4426" s="59" t="inlineStr">
        <is>
          <t>2025-04-26</t>
        </is>
      </c>
      <c r="C4426" s="60" t="inlineStr">
        <is>
          <t>Solace Team Sport Max-548</t>
        </is>
      </c>
      <c r="D4426" s="58" t="inlineStr">
        <is>
          <t>Sports</t>
        </is>
      </c>
      <c r="E4426" s="58" t="inlineStr">
        <is>
          <t>East</t>
        </is>
      </c>
      <c r="F4426" s="61" t="n">
        <v>3</v>
      </c>
      <c r="G4426" s="62" t="n">
        <v>665.4400000000001</v>
      </c>
      <c r="H4426" s="63" t="n">
        <v>0.066</v>
      </c>
      <c r="I4426" s="62" t="n">
        <v>477.87</v>
      </c>
      <c r="J4426" s="58" t="inlineStr">
        <is>
          <t>Store</t>
        </is>
      </c>
      <c r="K4426" s="62">
        <f>F4426*(G4426-H4426)</f>
        <v/>
      </c>
      <c r="L4426" s="62">
        <f>K4426-(F4426*I4426)</f>
        <v/>
      </c>
      <c r="M4426" s="64">
        <f>L4426/K4426</f>
        <v/>
      </c>
    </row>
    <row r="4427">
      <c r="A4427" s="58" t="inlineStr">
        <is>
          <t>RT20250426-04426</t>
        </is>
      </c>
      <c r="B4427" s="59" t="inlineStr">
        <is>
          <t>2025-04-26</t>
        </is>
      </c>
      <c r="C4427" s="60" t="inlineStr">
        <is>
          <t>Orion Team Sport X-926</t>
        </is>
      </c>
      <c r="D4427" s="58" t="inlineStr">
        <is>
          <t>Sports</t>
        </is>
      </c>
      <c r="E4427" s="58" t="inlineStr">
        <is>
          <t>North</t>
        </is>
      </c>
      <c r="F4427" s="61" t="n">
        <v>3</v>
      </c>
      <c r="G4427" s="62" t="n">
        <v>351.37</v>
      </c>
      <c r="H4427" s="63" t="n">
        <v>0.125</v>
      </c>
      <c r="I4427" s="62" t="n">
        <v>208.38</v>
      </c>
      <c r="J4427" s="58" t="inlineStr">
        <is>
          <t>Online</t>
        </is>
      </c>
      <c r="K4427" s="62">
        <f>F4427*(G4427-H4427)</f>
        <v/>
      </c>
      <c r="L4427" s="62">
        <f>K4427-(F4427*I4427)</f>
        <v/>
      </c>
      <c r="M4427" s="64">
        <f>L4427/K4427</f>
        <v/>
      </c>
    </row>
    <row r="4428">
      <c r="A4428" s="58" t="inlineStr">
        <is>
          <t>RT20250426-04427</t>
        </is>
      </c>
      <c r="B4428" s="59" t="inlineStr">
        <is>
          <t>2025-04-26</t>
        </is>
      </c>
      <c r="C4428" s="60" t="inlineStr">
        <is>
          <t>Vertex Appliance Max-338</t>
        </is>
      </c>
      <c r="D4428" s="58" t="inlineStr">
        <is>
          <t>Home</t>
        </is>
      </c>
      <c r="E4428" s="58" t="inlineStr">
        <is>
          <t>East</t>
        </is>
      </c>
      <c r="F4428" s="61" t="n">
        <v>3</v>
      </c>
      <c r="G4428" s="62" t="n">
        <v>410.45</v>
      </c>
      <c r="H4428" s="63" t="n">
        <v>0.034</v>
      </c>
      <c r="I4428" s="62" t="n">
        <v>295.61</v>
      </c>
      <c r="J4428" s="58" t="inlineStr">
        <is>
          <t>Store</t>
        </is>
      </c>
      <c r="K4428" s="62">
        <f>F4428*(G4428-H4428)</f>
        <v/>
      </c>
      <c r="L4428" s="62">
        <f>K4428-(F4428*I4428)</f>
        <v/>
      </c>
      <c r="M4428" s="64">
        <f>L4428/K4428</f>
        <v/>
      </c>
    </row>
    <row r="4429">
      <c r="A4429" s="58" t="inlineStr">
        <is>
          <t>RT20250426-04428</t>
        </is>
      </c>
      <c r="B4429" s="59" t="inlineStr">
        <is>
          <t>2025-04-26</t>
        </is>
      </c>
      <c r="C4429" s="60" t="inlineStr">
        <is>
          <t>Aurora Fitnes Lite-194</t>
        </is>
      </c>
      <c r="D4429" s="58" t="inlineStr">
        <is>
          <t>Sports</t>
        </is>
      </c>
      <c r="E4429" s="58" t="inlineStr">
        <is>
          <t>West</t>
        </is>
      </c>
      <c r="F4429" s="61" t="n">
        <v>2</v>
      </c>
      <c r="G4429" s="62" t="n">
        <v>762.3200000000001</v>
      </c>
      <c r="H4429" s="63" t="n">
        <v>0.114</v>
      </c>
      <c r="I4429" s="62" t="n">
        <v>460.54</v>
      </c>
      <c r="J4429" s="58" t="inlineStr">
        <is>
          <t>Online</t>
        </is>
      </c>
      <c r="K4429" s="62">
        <f>F4429*(G4429-H4429)</f>
        <v/>
      </c>
      <c r="L4429" s="62">
        <f>K4429-(F4429*I4429)</f>
        <v/>
      </c>
      <c r="M4429" s="64">
        <f>L4429/K4429</f>
        <v/>
      </c>
    </row>
    <row r="4430">
      <c r="A4430" s="58" t="inlineStr">
        <is>
          <t>RT20250426-04429</t>
        </is>
      </c>
      <c r="B4430" s="59" t="inlineStr">
        <is>
          <t>2025-04-26</t>
        </is>
      </c>
      <c r="C4430" s="60" t="inlineStr">
        <is>
          <t>Solace Kitchen Pro-999</t>
        </is>
      </c>
      <c r="D4430" s="58" t="inlineStr">
        <is>
          <t>Home</t>
        </is>
      </c>
      <c r="E4430" s="58" t="inlineStr">
        <is>
          <t>East</t>
        </is>
      </c>
      <c r="F4430" s="61" t="n">
        <v>1</v>
      </c>
      <c r="G4430" s="62" t="n">
        <v>410</v>
      </c>
      <c r="H4430" s="63" t="n">
        <v>0.013</v>
      </c>
      <c r="I4430" s="62" t="n">
        <v>272.14</v>
      </c>
      <c r="J4430" s="58" t="inlineStr">
        <is>
          <t>Online</t>
        </is>
      </c>
      <c r="K4430" s="62">
        <f>F4430*(G4430-H4430)</f>
        <v/>
      </c>
      <c r="L4430" s="62">
        <f>K4430-(F4430*I4430)</f>
        <v/>
      </c>
      <c r="M4430" s="64">
        <f>L4430/K4430</f>
        <v/>
      </c>
    </row>
    <row r="4431">
      <c r="A4431" s="58" t="inlineStr">
        <is>
          <t>RT20250426-04430</t>
        </is>
      </c>
      <c r="B4431" s="59" t="inlineStr">
        <is>
          <t>2025-04-26</t>
        </is>
      </c>
      <c r="C4431" s="60" t="inlineStr">
        <is>
          <t>Orion Fragrance Lite-785</t>
        </is>
      </c>
      <c r="D4431" s="58" t="inlineStr">
        <is>
          <t>Beauty</t>
        </is>
      </c>
      <c r="E4431" s="58" t="inlineStr">
        <is>
          <t>North</t>
        </is>
      </c>
      <c r="F4431" s="61" t="n">
        <v>5</v>
      </c>
      <c r="G4431" s="62" t="n">
        <v>44.87</v>
      </c>
      <c r="H4431" s="63" t="n">
        <v>0.057</v>
      </c>
      <c r="I4431" s="62" t="n">
        <v>27.79</v>
      </c>
      <c r="J4431" s="58" t="inlineStr">
        <is>
          <t>Store</t>
        </is>
      </c>
      <c r="K4431" s="62">
        <f>F4431*(G4431-H4431)</f>
        <v/>
      </c>
      <c r="L4431" s="62">
        <f>K4431-(F4431*I4431)</f>
        <v/>
      </c>
      <c r="M4431" s="64">
        <f>L4431/K4431</f>
        <v/>
      </c>
    </row>
    <row r="4432">
      <c r="A4432" s="58" t="inlineStr">
        <is>
          <t>RT20250426-04431</t>
        </is>
      </c>
      <c r="B4432" s="59" t="inlineStr">
        <is>
          <t>2025-04-26</t>
        </is>
      </c>
      <c r="C4432" s="60" t="inlineStr">
        <is>
          <t>Metro Decor Lite-325</t>
        </is>
      </c>
      <c r="D4432" s="58" t="inlineStr">
        <is>
          <t>Home</t>
        </is>
      </c>
      <c r="E4432" s="58" t="inlineStr">
        <is>
          <t>Central</t>
        </is>
      </c>
      <c r="F4432" s="61" t="n">
        <v>1</v>
      </c>
      <c r="G4432" s="62" t="n">
        <v>526.76</v>
      </c>
      <c r="H4432" s="63" t="n">
        <v>0.065</v>
      </c>
      <c r="I4432" s="62" t="n">
        <v>380.59</v>
      </c>
      <c r="J4432" s="58" t="inlineStr">
        <is>
          <t>Online</t>
        </is>
      </c>
      <c r="K4432" s="62">
        <f>F4432*(G4432-H4432)</f>
        <v/>
      </c>
      <c r="L4432" s="62">
        <f>K4432-(F4432*I4432)</f>
        <v/>
      </c>
      <c r="M4432" s="64">
        <f>L4432/K4432</f>
        <v/>
      </c>
    </row>
    <row r="4433">
      <c r="A4433" s="58" t="inlineStr">
        <is>
          <t>RT20250426-04432</t>
        </is>
      </c>
      <c r="B4433" s="59" t="inlineStr">
        <is>
          <t>2025-04-26</t>
        </is>
      </c>
      <c r="C4433" s="60" t="inlineStr">
        <is>
          <t>Polar Bedding Lite-243</t>
        </is>
      </c>
      <c r="D4433" s="58" t="inlineStr">
        <is>
          <t>Home</t>
        </is>
      </c>
      <c r="E4433" s="58" t="inlineStr">
        <is>
          <t>South</t>
        </is>
      </c>
      <c r="F4433" s="61" t="n">
        <v>2</v>
      </c>
      <c r="G4433" s="62" t="n">
        <v>451.38</v>
      </c>
      <c r="H4433" s="63" t="n">
        <v>0.09</v>
      </c>
      <c r="I4433" s="62" t="n">
        <v>310.57</v>
      </c>
      <c r="J4433" s="58" t="inlineStr">
        <is>
          <t>Phone</t>
        </is>
      </c>
      <c r="K4433" s="62">
        <f>F4433*(G4433-H4433)</f>
        <v/>
      </c>
      <c r="L4433" s="62">
        <f>K4433-(F4433*I4433)</f>
        <v/>
      </c>
      <c r="M4433" s="64">
        <f>L4433/K4433</f>
        <v/>
      </c>
    </row>
    <row r="4434">
      <c r="A4434" s="58" t="inlineStr">
        <is>
          <t>RT20250426-04433</t>
        </is>
      </c>
      <c r="B4434" s="59" t="inlineStr">
        <is>
          <t>2025-04-26</t>
        </is>
      </c>
      <c r="C4434" s="60" t="inlineStr">
        <is>
          <t>Polar Haircare Max-614</t>
        </is>
      </c>
      <c r="D4434" s="58" t="inlineStr">
        <is>
          <t>Beauty</t>
        </is>
      </c>
      <c r="E4434" s="58" t="inlineStr">
        <is>
          <t>East</t>
        </is>
      </c>
      <c r="F4434" s="61" t="n">
        <v>3</v>
      </c>
      <c r="G4434" s="62" t="n">
        <v>114.1</v>
      </c>
      <c r="H4434" s="63" t="n">
        <v>0.093</v>
      </c>
      <c r="I4434" s="62" t="n">
        <v>68.64</v>
      </c>
      <c r="J4434" s="58" t="inlineStr">
        <is>
          <t>Phone</t>
        </is>
      </c>
      <c r="K4434" s="62">
        <f>F4434*(G4434-H4434)</f>
        <v/>
      </c>
      <c r="L4434" s="62">
        <f>K4434-(F4434*I4434)</f>
        <v/>
      </c>
      <c r="M4434" s="64">
        <f>L4434/K4434</f>
        <v/>
      </c>
    </row>
    <row r="4435">
      <c r="A4435" s="58" t="inlineStr">
        <is>
          <t>RT20250426-04434</t>
        </is>
      </c>
      <c r="B4435" s="59" t="inlineStr">
        <is>
          <t>2025-04-26</t>
        </is>
      </c>
      <c r="C4435" s="60" t="inlineStr">
        <is>
          <t>Aurora Furniture X-709</t>
        </is>
      </c>
      <c r="D4435" s="58" t="inlineStr">
        <is>
          <t>Office</t>
        </is>
      </c>
      <c r="E4435" s="58" t="inlineStr">
        <is>
          <t>East</t>
        </is>
      </c>
      <c r="F4435" s="61" t="n">
        <v>2</v>
      </c>
      <c r="G4435" s="62" t="n">
        <v>424.61</v>
      </c>
      <c r="H4435" s="63" t="n">
        <v>0.043</v>
      </c>
      <c r="I4435" s="62" t="n">
        <v>307.72</v>
      </c>
      <c r="J4435" s="58" t="inlineStr">
        <is>
          <t>Store</t>
        </is>
      </c>
      <c r="K4435" s="62">
        <f>F4435*(G4435-H4435)</f>
        <v/>
      </c>
      <c r="L4435" s="62">
        <f>K4435-(F4435*I4435)</f>
        <v/>
      </c>
      <c r="M4435" s="64">
        <f>L4435/K4435</f>
        <v/>
      </c>
    </row>
    <row r="4436">
      <c r="A4436" s="58" t="inlineStr">
        <is>
          <t>RT20250426-04435</t>
        </is>
      </c>
      <c r="B4436" s="59" t="inlineStr">
        <is>
          <t>2025-04-26</t>
        </is>
      </c>
      <c r="C4436" s="60" t="inlineStr">
        <is>
          <t>Falcon Team Sport Lite-268</t>
        </is>
      </c>
      <c r="D4436" s="58" t="inlineStr">
        <is>
          <t>Sports</t>
        </is>
      </c>
      <c r="E4436" s="58" t="inlineStr">
        <is>
          <t>South</t>
        </is>
      </c>
      <c r="F4436" s="61" t="n">
        <v>1</v>
      </c>
      <c r="G4436" s="62" t="n">
        <v>669.5599999999999</v>
      </c>
      <c r="H4436" s="63" t="n">
        <v>0.039</v>
      </c>
      <c r="I4436" s="62" t="n">
        <v>430.64</v>
      </c>
      <c r="J4436" s="58" t="inlineStr">
        <is>
          <t>Store</t>
        </is>
      </c>
      <c r="K4436" s="62">
        <f>F4436*(G4436-H4436)</f>
        <v/>
      </c>
      <c r="L4436" s="62">
        <f>K4436-(F4436*I4436)</f>
        <v/>
      </c>
      <c r="M4436" s="64">
        <f>L4436/K4436</f>
        <v/>
      </c>
    </row>
    <row r="4437">
      <c r="A4437" s="58" t="inlineStr">
        <is>
          <t>RT20250426-04436</t>
        </is>
      </c>
      <c r="B4437" s="59" t="inlineStr">
        <is>
          <t>2025-04-26</t>
        </is>
      </c>
      <c r="C4437" s="60" t="inlineStr">
        <is>
          <t>Aurora Household Plus-146</t>
        </is>
      </c>
      <c r="D4437" s="58" t="inlineStr">
        <is>
          <t>Grocery</t>
        </is>
      </c>
      <c r="E4437" s="58" t="inlineStr">
        <is>
          <t>Central</t>
        </is>
      </c>
      <c r="F4437" s="61" t="n">
        <v>5</v>
      </c>
      <c r="G4437" s="62" t="n">
        <v>5.97</v>
      </c>
      <c r="H4437" s="63" t="n">
        <v>0.041</v>
      </c>
      <c r="I4437" s="62" t="n">
        <v>4.52</v>
      </c>
      <c r="J4437" s="58" t="inlineStr">
        <is>
          <t>Online</t>
        </is>
      </c>
      <c r="K4437" s="62">
        <f>F4437*(G4437-H4437)</f>
        <v/>
      </c>
      <c r="L4437" s="62">
        <f>K4437-(F4437*I4437)</f>
        <v/>
      </c>
      <c r="M4437" s="64">
        <f>L4437/K4437</f>
        <v/>
      </c>
    </row>
    <row r="4438">
      <c r="A4438" s="58" t="inlineStr">
        <is>
          <t>RT20250426-04437</t>
        </is>
      </c>
      <c r="B4438" s="59" t="inlineStr">
        <is>
          <t>2025-04-26</t>
        </is>
      </c>
      <c r="C4438" s="60" t="inlineStr">
        <is>
          <t>Polar Outdoor X-193</t>
        </is>
      </c>
      <c r="D4438" s="58" t="inlineStr">
        <is>
          <t>Sports</t>
        </is>
      </c>
      <c r="E4438" s="58" t="inlineStr">
        <is>
          <t>Central</t>
        </is>
      </c>
      <c r="F4438" s="61" t="n">
        <v>1</v>
      </c>
      <c r="G4438" s="62" t="n">
        <v>799.78</v>
      </c>
      <c r="H4438" s="63" t="n">
        <v>0.008999999999999999</v>
      </c>
      <c r="I4438" s="62" t="n">
        <v>453.08</v>
      </c>
      <c r="J4438" s="58" t="inlineStr">
        <is>
          <t>Phone</t>
        </is>
      </c>
      <c r="K4438" s="62">
        <f>F4438*(G4438-H4438)</f>
        <v/>
      </c>
      <c r="L4438" s="62">
        <f>K4438-(F4438*I4438)</f>
        <v/>
      </c>
      <c r="M4438" s="64">
        <f>L4438/K4438</f>
        <v/>
      </c>
    </row>
    <row r="4439">
      <c r="A4439" s="58" t="inlineStr">
        <is>
          <t>RT20250426-04438</t>
        </is>
      </c>
      <c r="B4439" s="59" t="inlineStr">
        <is>
          <t>2025-04-26</t>
        </is>
      </c>
      <c r="C4439" s="60" t="inlineStr">
        <is>
          <t>Vertex Appliance S-296</t>
        </is>
      </c>
      <c r="D4439" s="58" t="inlineStr">
        <is>
          <t>Home</t>
        </is>
      </c>
      <c r="E4439" s="58" t="inlineStr">
        <is>
          <t>East</t>
        </is>
      </c>
      <c r="F4439" s="61" t="n">
        <v>3</v>
      </c>
      <c r="G4439" s="62" t="n">
        <v>567.1900000000001</v>
      </c>
      <c r="H4439" s="63" t="n">
        <v>0.08799999999999999</v>
      </c>
      <c r="I4439" s="62" t="n">
        <v>362.18</v>
      </c>
      <c r="J4439" s="58" t="inlineStr">
        <is>
          <t>Store</t>
        </is>
      </c>
      <c r="K4439" s="62">
        <f>F4439*(G4439-H4439)</f>
        <v/>
      </c>
      <c r="L4439" s="62">
        <f>K4439-(F4439*I4439)</f>
        <v/>
      </c>
      <c r="M4439" s="64">
        <f>L4439/K4439</f>
        <v/>
      </c>
    </row>
    <row r="4440">
      <c r="A4440" s="58" t="inlineStr">
        <is>
          <t>RT20250426-04439</t>
        </is>
      </c>
      <c r="B4440" s="59" t="inlineStr">
        <is>
          <t>2025-04-26</t>
        </is>
      </c>
      <c r="C4440" s="60" t="inlineStr">
        <is>
          <t>Vertex Appliance S-296</t>
        </is>
      </c>
      <c r="D4440" s="58" t="inlineStr">
        <is>
          <t>Home</t>
        </is>
      </c>
      <c r="E4440" s="58" t="inlineStr">
        <is>
          <t>Central</t>
        </is>
      </c>
      <c r="F4440" s="61" t="n">
        <v>1</v>
      </c>
      <c r="G4440" s="62" t="n">
        <v>492.31</v>
      </c>
      <c r="H4440" s="63" t="n">
        <v>0.035</v>
      </c>
      <c r="I4440" s="62" t="n">
        <v>353.71</v>
      </c>
      <c r="J4440" s="58" t="inlineStr">
        <is>
          <t>Online</t>
        </is>
      </c>
      <c r="K4440" s="62">
        <f>F4440*(G4440-H4440)</f>
        <v/>
      </c>
      <c r="L4440" s="62">
        <f>K4440-(F4440*I4440)</f>
        <v/>
      </c>
      <c r="M4440" s="64">
        <f>L4440/K4440</f>
        <v/>
      </c>
    </row>
    <row r="4441">
      <c r="A4441" s="58" t="inlineStr">
        <is>
          <t>RT20250426-04440</t>
        </is>
      </c>
      <c r="B4441" s="59" t="inlineStr">
        <is>
          <t>2025-04-26</t>
        </is>
      </c>
      <c r="C4441" s="60" t="inlineStr">
        <is>
          <t>Polar Laptop Plus-984</t>
        </is>
      </c>
      <c r="D4441" s="58" t="inlineStr">
        <is>
          <t>Electronics</t>
        </is>
      </c>
      <c r="E4441" s="58" t="inlineStr">
        <is>
          <t>East</t>
        </is>
      </c>
      <c r="F4441" s="61" t="n">
        <v>2</v>
      </c>
      <c r="G4441" s="62" t="n">
        <v>1216.07</v>
      </c>
      <c r="H4441" s="63" t="n">
        <v>0.093</v>
      </c>
      <c r="I4441" s="62" t="n">
        <v>1019.8</v>
      </c>
      <c r="J4441" s="58" t="inlineStr">
        <is>
          <t>Store</t>
        </is>
      </c>
      <c r="K4441" s="62">
        <f>F4441*(G4441-H4441)</f>
        <v/>
      </c>
      <c r="L4441" s="62">
        <f>K4441-(F4441*I4441)</f>
        <v/>
      </c>
      <c r="M4441" s="64">
        <f>L4441/K4441</f>
        <v/>
      </c>
    </row>
    <row r="4442">
      <c r="A4442" s="58" t="inlineStr">
        <is>
          <t>RT20250426-04441</t>
        </is>
      </c>
      <c r="B4442" s="59" t="inlineStr">
        <is>
          <t>2025-04-26</t>
        </is>
      </c>
      <c r="C4442" s="60" t="inlineStr">
        <is>
          <t>Nimbus Storage Plus-646</t>
        </is>
      </c>
      <c r="D4442" s="58" t="inlineStr">
        <is>
          <t>Office</t>
        </is>
      </c>
      <c r="E4442" s="58" t="inlineStr">
        <is>
          <t>Central</t>
        </is>
      </c>
      <c r="F4442" s="61" t="n">
        <v>2</v>
      </c>
      <c r="G4442" s="62" t="n">
        <v>433.8</v>
      </c>
      <c r="H4442" s="63" t="n">
        <v>0.014</v>
      </c>
      <c r="I4442" s="62" t="n">
        <v>321.23</v>
      </c>
      <c r="J4442" s="58" t="inlineStr">
        <is>
          <t>Store</t>
        </is>
      </c>
      <c r="K4442" s="62">
        <f>F4442*(G4442-H4442)</f>
        <v/>
      </c>
      <c r="L4442" s="62">
        <f>K4442-(F4442*I4442)</f>
        <v/>
      </c>
      <c r="M4442" s="64">
        <f>L4442/K4442</f>
        <v/>
      </c>
    </row>
    <row r="4443">
      <c r="A4443" s="58" t="inlineStr">
        <is>
          <t>RT20250426-04442</t>
        </is>
      </c>
      <c r="B4443" s="59" t="inlineStr">
        <is>
          <t>2025-04-26</t>
        </is>
      </c>
      <c r="C4443" s="60" t="inlineStr">
        <is>
          <t>Polar Wearable X-119</t>
        </is>
      </c>
      <c r="D4443" s="58" t="inlineStr">
        <is>
          <t>Electronics</t>
        </is>
      </c>
      <c r="E4443" s="58" t="inlineStr">
        <is>
          <t>North</t>
        </is>
      </c>
      <c r="F4443" s="61" t="n">
        <v>1</v>
      </c>
      <c r="G4443" s="62" t="n">
        <v>1786.71</v>
      </c>
      <c r="H4443" s="63" t="n">
        <v>0.057</v>
      </c>
      <c r="I4443" s="62" t="n">
        <v>1345.02</v>
      </c>
      <c r="J4443" s="58" t="inlineStr">
        <is>
          <t>Store</t>
        </is>
      </c>
      <c r="K4443" s="62">
        <f>F4443*(G4443-H4443)</f>
        <v/>
      </c>
      <c r="L4443" s="62">
        <f>K4443-(F4443*I4443)</f>
        <v/>
      </c>
      <c r="M4443" s="64">
        <f>L4443/K4443</f>
        <v/>
      </c>
    </row>
    <row r="4444">
      <c r="A4444" s="58" t="inlineStr">
        <is>
          <t>RT20250426-04443</t>
        </is>
      </c>
      <c r="B4444" s="59" t="inlineStr">
        <is>
          <t>2025-04-26</t>
        </is>
      </c>
      <c r="C4444" s="60" t="inlineStr">
        <is>
          <t>Falcon Team Sport Lite-268</t>
        </is>
      </c>
      <c r="D4444" s="58" t="inlineStr">
        <is>
          <t>Sports</t>
        </is>
      </c>
      <c r="E4444" s="58" t="inlineStr">
        <is>
          <t>Central</t>
        </is>
      </c>
      <c r="F4444" s="61" t="n">
        <v>3</v>
      </c>
      <c r="G4444" s="62" t="n">
        <v>633.91</v>
      </c>
      <c r="H4444" s="63" t="n">
        <v>0</v>
      </c>
      <c r="I4444" s="62" t="n">
        <v>425.23</v>
      </c>
      <c r="J4444" s="58" t="inlineStr">
        <is>
          <t>Online</t>
        </is>
      </c>
      <c r="K4444" s="62">
        <f>F4444*(G4444-H4444)</f>
        <v/>
      </c>
      <c r="L4444" s="62">
        <f>K4444-(F4444*I4444)</f>
        <v/>
      </c>
      <c r="M4444" s="64">
        <f>L4444/K4444</f>
        <v/>
      </c>
    </row>
    <row r="4445">
      <c r="A4445" s="58" t="inlineStr">
        <is>
          <t>RT20250426-04444</t>
        </is>
      </c>
      <c r="B4445" s="59" t="inlineStr">
        <is>
          <t>2025-04-26</t>
        </is>
      </c>
      <c r="C4445" s="60" t="inlineStr">
        <is>
          <t>Orion Beverage Plus-949</t>
        </is>
      </c>
      <c r="D4445" s="58" t="inlineStr">
        <is>
          <t>Grocery</t>
        </is>
      </c>
      <c r="E4445" s="58" t="inlineStr">
        <is>
          <t>Central</t>
        </is>
      </c>
      <c r="F4445" s="61" t="n">
        <v>4</v>
      </c>
      <c r="G4445" s="62" t="n">
        <v>18.25</v>
      </c>
      <c r="H4445" s="63" t="n">
        <v>0.065</v>
      </c>
      <c r="I4445" s="62" t="n">
        <v>13.27</v>
      </c>
      <c r="J4445" s="58" t="inlineStr">
        <is>
          <t>Phone</t>
        </is>
      </c>
      <c r="K4445" s="62">
        <f>F4445*(G4445-H4445)</f>
        <v/>
      </c>
      <c r="L4445" s="62">
        <f>K4445-(F4445*I4445)</f>
        <v/>
      </c>
      <c r="M4445" s="64">
        <f>L4445/K4445</f>
        <v/>
      </c>
    </row>
    <row r="4446">
      <c r="A4446" s="58" t="inlineStr">
        <is>
          <t>RT20250426-04445</t>
        </is>
      </c>
      <c r="B4446" s="59" t="inlineStr">
        <is>
          <t>2025-04-26</t>
        </is>
      </c>
      <c r="C4446" s="60" t="inlineStr">
        <is>
          <t>Nimbus Laptop Max-652</t>
        </is>
      </c>
      <c r="D4446" s="58" t="inlineStr">
        <is>
          <t>Electronics</t>
        </is>
      </c>
      <c r="E4446" s="58" t="inlineStr">
        <is>
          <t>East</t>
        </is>
      </c>
      <c r="F4446" s="61" t="n">
        <v>2</v>
      </c>
      <c r="G4446" s="62" t="n">
        <v>1310.83</v>
      </c>
      <c r="H4446" s="63" t="n">
        <v>0.018</v>
      </c>
      <c r="I4446" s="62" t="n">
        <v>1043.15</v>
      </c>
      <c r="J4446" s="58" t="inlineStr">
        <is>
          <t>Online</t>
        </is>
      </c>
      <c r="K4446" s="62">
        <f>F4446*(G4446-H4446)</f>
        <v/>
      </c>
      <c r="L4446" s="62">
        <f>K4446-(F4446*I4446)</f>
        <v/>
      </c>
      <c r="M4446" s="64">
        <f>L4446/K4446</f>
        <v/>
      </c>
    </row>
    <row r="4447">
      <c r="A4447" s="58" t="inlineStr">
        <is>
          <t>RT20250426-04446</t>
        </is>
      </c>
      <c r="B4447" s="59" t="inlineStr">
        <is>
          <t>2025-04-26</t>
        </is>
      </c>
      <c r="C4447" s="60" t="inlineStr">
        <is>
          <t>Metro Accessorie Lite-697</t>
        </is>
      </c>
      <c r="D4447" s="58" t="inlineStr">
        <is>
          <t>Apparel</t>
        </is>
      </c>
      <c r="E4447" s="58" t="inlineStr">
        <is>
          <t>West</t>
        </is>
      </c>
      <c r="F4447" s="61" t="n">
        <v>4</v>
      </c>
      <c r="G4447" s="62" t="n">
        <v>138.78</v>
      </c>
      <c r="H4447" s="63" t="n">
        <v>0.04</v>
      </c>
      <c r="I4447" s="62" t="n">
        <v>77.12</v>
      </c>
      <c r="J4447" s="58" t="inlineStr">
        <is>
          <t>Store</t>
        </is>
      </c>
      <c r="K4447" s="62">
        <f>F4447*(G4447-H4447)</f>
        <v/>
      </c>
      <c r="L4447" s="62">
        <f>K4447-(F4447*I4447)</f>
        <v/>
      </c>
      <c r="M4447" s="64">
        <f>L4447/K4447</f>
        <v/>
      </c>
    </row>
    <row r="4448">
      <c r="A4448" s="58" t="inlineStr">
        <is>
          <t>RT20250426-04447</t>
        </is>
      </c>
      <c r="B4448" s="59" t="inlineStr">
        <is>
          <t>2025-04-26</t>
        </is>
      </c>
      <c r="C4448" s="60" t="inlineStr">
        <is>
          <t>Solace Team Sport Max-548</t>
        </is>
      </c>
      <c r="D4448" s="58" t="inlineStr">
        <is>
          <t>Sports</t>
        </is>
      </c>
      <c r="E4448" s="58" t="inlineStr">
        <is>
          <t>Central</t>
        </is>
      </c>
      <c r="F4448" s="61" t="n">
        <v>1</v>
      </c>
      <c r="G4448" s="62" t="n">
        <v>778.3099999999999</v>
      </c>
      <c r="H4448" s="63" t="n">
        <v>0.051</v>
      </c>
      <c r="I4448" s="62" t="n">
        <v>474.58</v>
      </c>
      <c r="J4448" s="58" t="inlineStr">
        <is>
          <t>Online</t>
        </is>
      </c>
      <c r="K4448" s="62">
        <f>F4448*(G4448-H4448)</f>
        <v/>
      </c>
      <c r="L4448" s="62">
        <f>K4448-(F4448*I4448)</f>
        <v/>
      </c>
      <c r="M4448" s="64">
        <f>L4448/K4448</f>
        <v/>
      </c>
    </row>
    <row r="4449">
      <c r="A4449" s="58" t="inlineStr">
        <is>
          <t>RT20250426-04448</t>
        </is>
      </c>
      <c r="B4449" s="59" t="inlineStr">
        <is>
          <t>2025-04-26</t>
        </is>
      </c>
      <c r="C4449" s="60" t="inlineStr">
        <is>
          <t>Aurora Appliance Max-316</t>
        </is>
      </c>
      <c r="D4449" s="58" t="inlineStr">
        <is>
          <t>Home</t>
        </is>
      </c>
      <c r="E4449" s="58" t="inlineStr">
        <is>
          <t>North</t>
        </is>
      </c>
      <c r="F4449" s="61" t="n">
        <v>1</v>
      </c>
      <c r="G4449" s="62" t="n">
        <v>307.66</v>
      </c>
      <c r="H4449" s="63" t="n">
        <v>0.07199999999999999</v>
      </c>
      <c r="I4449" s="62" t="n">
        <v>212.5</v>
      </c>
      <c r="J4449" s="58" t="inlineStr">
        <is>
          <t>Store</t>
        </is>
      </c>
      <c r="K4449" s="62">
        <f>F4449*(G4449-H4449)</f>
        <v/>
      </c>
      <c r="L4449" s="62">
        <f>K4449-(F4449*I4449)</f>
        <v/>
      </c>
      <c r="M4449" s="64">
        <f>L4449/K4449</f>
        <v/>
      </c>
    </row>
    <row r="4450">
      <c r="A4450" s="58" t="inlineStr">
        <is>
          <t>RT20250426-04449</t>
        </is>
      </c>
      <c r="B4450" s="59" t="inlineStr">
        <is>
          <t>2025-04-26</t>
        </is>
      </c>
      <c r="C4450" s="60" t="inlineStr">
        <is>
          <t>Polar Women S-662</t>
        </is>
      </c>
      <c r="D4450" s="58" t="inlineStr">
        <is>
          <t>Apparel</t>
        </is>
      </c>
      <c r="E4450" s="58" t="inlineStr">
        <is>
          <t>East</t>
        </is>
      </c>
      <c r="F4450" s="61" t="n">
        <v>2</v>
      </c>
      <c r="G4450" s="62" t="n">
        <v>148.87</v>
      </c>
      <c r="H4450" s="63" t="n">
        <v>0.057</v>
      </c>
      <c r="I4450" s="62" t="n">
        <v>96.98999999999999</v>
      </c>
      <c r="J4450" s="58" t="inlineStr">
        <is>
          <t>Online</t>
        </is>
      </c>
      <c r="K4450" s="62">
        <f>F4450*(G4450-H4450)</f>
        <v/>
      </c>
      <c r="L4450" s="62">
        <f>K4450-(F4450*I4450)</f>
        <v/>
      </c>
      <c r="M4450" s="64">
        <f>L4450/K4450</f>
        <v/>
      </c>
    </row>
    <row r="4451">
      <c r="A4451" s="58" t="inlineStr">
        <is>
          <t>RT20250426-04450</t>
        </is>
      </c>
      <c r="B4451" s="59" t="inlineStr">
        <is>
          <t>2025-04-26</t>
        </is>
      </c>
      <c r="C4451" s="60" t="inlineStr">
        <is>
          <t>Metro Pantry Max-180</t>
        </is>
      </c>
      <c r="D4451" s="58" t="inlineStr">
        <is>
          <t>Grocery</t>
        </is>
      </c>
      <c r="E4451" s="58" t="inlineStr">
        <is>
          <t>North</t>
        </is>
      </c>
      <c r="F4451" s="61" t="n">
        <v>1</v>
      </c>
      <c r="G4451" s="62" t="n">
        <v>8.529999999999999</v>
      </c>
      <c r="H4451" s="63" t="n">
        <v>0.049</v>
      </c>
      <c r="I4451" s="62" t="n">
        <v>6.68</v>
      </c>
      <c r="J4451" s="58" t="inlineStr">
        <is>
          <t>Online</t>
        </is>
      </c>
      <c r="K4451" s="62">
        <f>F4451*(G4451-H4451)</f>
        <v/>
      </c>
      <c r="L4451" s="62">
        <f>K4451-(F4451*I4451)</f>
        <v/>
      </c>
      <c r="M4451" s="64">
        <f>L4451/K4451</f>
        <v/>
      </c>
    </row>
    <row r="4452">
      <c r="A4452" s="58" t="inlineStr">
        <is>
          <t>RT20250426-04451</t>
        </is>
      </c>
      <c r="B4452" s="59" t="inlineStr">
        <is>
          <t>2025-04-26</t>
        </is>
      </c>
      <c r="C4452" s="60" t="inlineStr">
        <is>
          <t>Vertex Smartphone Lite-267</t>
        </is>
      </c>
      <c r="D4452" s="58" t="inlineStr">
        <is>
          <t>Electronics</t>
        </is>
      </c>
      <c r="E4452" s="58" t="inlineStr">
        <is>
          <t>West</t>
        </is>
      </c>
      <c r="F4452" s="61" t="n">
        <v>2</v>
      </c>
      <c r="G4452" s="62" t="n">
        <v>1258.61</v>
      </c>
      <c r="H4452" s="63" t="n">
        <v>0.07199999999999999</v>
      </c>
      <c r="I4452" s="62" t="n">
        <v>956.64</v>
      </c>
      <c r="J4452" s="58" t="inlineStr">
        <is>
          <t>Store</t>
        </is>
      </c>
      <c r="K4452" s="62">
        <f>F4452*(G4452-H4452)</f>
        <v/>
      </c>
      <c r="L4452" s="62">
        <f>K4452-(F4452*I4452)</f>
        <v/>
      </c>
      <c r="M4452" s="64">
        <f>L4452/K4452</f>
        <v/>
      </c>
    </row>
    <row r="4453">
      <c r="A4453" s="58" t="inlineStr">
        <is>
          <t>RT20250426-04452</t>
        </is>
      </c>
      <c r="B4453" s="59" t="inlineStr">
        <is>
          <t>2025-04-26</t>
        </is>
      </c>
      <c r="C4453" s="60" t="inlineStr">
        <is>
          <t>Falcon Household Pro-865</t>
        </is>
      </c>
      <c r="D4453" s="58" t="inlineStr">
        <is>
          <t>Grocery</t>
        </is>
      </c>
      <c r="E4453" s="58" t="inlineStr">
        <is>
          <t>West</t>
        </is>
      </c>
      <c r="F4453" s="61" t="n">
        <v>5</v>
      </c>
      <c r="G4453" s="62" t="n">
        <v>10.48</v>
      </c>
      <c r="H4453" s="63" t="n">
        <v>0.08</v>
      </c>
      <c r="I4453" s="62" t="n">
        <v>7.64</v>
      </c>
      <c r="J4453" s="58" t="inlineStr">
        <is>
          <t>Online</t>
        </is>
      </c>
      <c r="K4453" s="62">
        <f>F4453*(G4453-H4453)</f>
        <v/>
      </c>
      <c r="L4453" s="62">
        <f>K4453-(F4453*I4453)</f>
        <v/>
      </c>
      <c r="M4453" s="64">
        <f>L4453/K4453</f>
        <v/>
      </c>
    </row>
    <row r="4454">
      <c r="A4454" s="58" t="inlineStr">
        <is>
          <t>RT20250427-04453</t>
        </is>
      </c>
      <c r="B4454" s="59" t="inlineStr">
        <is>
          <t>2025-04-27</t>
        </is>
      </c>
      <c r="C4454" s="60" t="inlineStr">
        <is>
          <t>Polar Outdoor Lite-318</t>
        </is>
      </c>
      <c r="D4454" s="58" t="inlineStr">
        <is>
          <t>Sports</t>
        </is>
      </c>
      <c r="E4454" s="58" t="inlineStr">
        <is>
          <t>West</t>
        </is>
      </c>
      <c r="F4454" s="61" t="n">
        <v>3</v>
      </c>
      <c r="G4454" s="62" t="n">
        <v>696.52</v>
      </c>
      <c r="H4454" s="63" t="n">
        <v>0.061</v>
      </c>
      <c r="I4454" s="62" t="n">
        <v>480.62</v>
      </c>
      <c r="J4454" s="58" t="inlineStr">
        <is>
          <t>Online</t>
        </is>
      </c>
      <c r="K4454" s="62">
        <f>F4454*(G4454-H4454)</f>
        <v/>
      </c>
      <c r="L4454" s="62">
        <f>K4454-(F4454*I4454)</f>
        <v/>
      </c>
      <c r="M4454" s="64">
        <f>L4454/K4454</f>
        <v/>
      </c>
    </row>
    <row r="4455">
      <c r="A4455" s="58" t="inlineStr">
        <is>
          <t>RT20250427-04454</t>
        </is>
      </c>
      <c r="B4455" s="59" t="inlineStr">
        <is>
          <t>2025-04-27</t>
        </is>
      </c>
      <c r="C4455" s="60" t="inlineStr">
        <is>
          <t>Aurora Appliance Max-316</t>
        </is>
      </c>
      <c r="D4455" s="58" t="inlineStr">
        <is>
          <t>Home</t>
        </is>
      </c>
      <c r="E4455" s="58" t="inlineStr">
        <is>
          <t>East</t>
        </is>
      </c>
      <c r="F4455" s="61" t="n">
        <v>1</v>
      </c>
      <c r="G4455" s="62" t="n">
        <v>293.62</v>
      </c>
      <c r="H4455" s="63" t="n">
        <v>0.054</v>
      </c>
      <c r="I4455" s="62" t="n">
        <v>215.8</v>
      </c>
      <c r="J4455" s="58" t="inlineStr">
        <is>
          <t>Store</t>
        </is>
      </c>
      <c r="K4455" s="62">
        <f>F4455*(G4455-H4455)</f>
        <v/>
      </c>
      <c r="L4455" s="62">
        <f>K4455-(F4455*I4455)</f>
        <v/>
      </c>
      <c r="M4455" s="64">
        <f>L4455/K4455</f>
        <v/>
      </c>
    </row>
    <row r="4456">
      <c r="A4456" s="58" t="inlineStr">
        <is>
          <t>RT20250427-04455</t>
        </is>
      </c>
      <c r="B4456" s="59" t="inlineStr">
        <is>
          <t>2025-04-27</t>
        </is>
      </c>
      <c r="C4456" s="60" t="inlineStr">
        <is>
          <t>Solace Fitnes S-324</t>
        </is>
      </c>
      <c r="D4456" s="58" t="inlineStr">
        <is>
          <t>Sports</t>
        </is>
      </c>
      <c r="E4456" s="58" t="inlineStr">
        <is>
          <t>North</t>
        </is>
      </c>
      <c r="F4456" s="61" t="n">
        <v>3</v>
      </c>
      <c r="G4456" s="62" t="n">
        <v>839.27</v>
      </c>
      <c r="H4456" s="63" t="n">
        <v>0.1</v>
      </c>
      <c r="I4456" s="62" t="n">
        <v>537.39</v>
      </c>
      <c r="J4456" s="58" t="inlineStr">
        <is>
          <t>Store</t>
        </is>
      </c>
      <c r="K4456" s="62">
        <f>F4456*(G4456-H4456)</f>
        <v/>
      </c>
      <c r="L4456" s="62">
        <f>K4456-(F4456*I4456)</f>
        <v/>
      </c>
      <c r="M4456" s="64">
        <f>L4456/K4456</f>
        <v/>
      </c>
    </row>
    <row r="4457">
      <c r="A4457" s="58" t="inlineStr">
        <is>
          <t>RT20250427-04456</t>
        </is>
      </c>
      <c r="B4457" s="59" t="inlineStr">
        <is>
          <t>2025-04-27</t>
        </is>
      </c>
      <c r="C4457" s="60" t="inlineStr">
        <is>
          <t>Aurora Makeup S-626</t>
        </is>
      </c>
      <c r="D4457" s="58" t="inlineStr">
        <is>
          <t>Beauty</t>
        </is>
      </c>
      <c r="E4457" s="58" t="inlineStr">
        <is>
          <t>Central</t>
        </is>
      </c>
      <c r="F4457" s="61" t="n">
        <v>1</v>
      </c>
      <c r="G4457" s="62" t="n">
        <v>104.53</v>
      </c>
      <c r="H4457" s="63" t="n">
        <v>0.08400000000000001</v>
      </c>
      <c r="I4457" s="62" t="n">
        <v>65.58</v>
      </c>
      <c r="J4457" s="58" t="inlineStr">
        <is>
          <t>Online</t>
        </is>
      </c>
      <c r="K4457" s="62">
        <f>F4457*(G4457-H4457)</f>
        <v/>
      </c>
      <c r="L4457" s="62">
        <f>K4457-(F4457*I4457)</f>
        <v/>
      </c>
      <c r="M4457" s="64">
        <f>L4457/K4457</f>
        <v/>
      </c>
    </row>
    <row r="4458">
      <c r="A4458" s="58" t="inlineStr">
        <is>
          <t>RT20250427-04457</t>
        </is>
      </c>
      <c r="B4458" s="59" t="inlineStr">
        <is>
          <t>2025-04-27</t>
        </is>
      </c>
      <c r="C4458" s="60" t="inlineStr">
        <is>
          <t>Orion Beverage Plus-949</t>
        </is>
      </c>
      <c r="D4458" s="58" t="inlineStr">
        <is>
          <t>Grocery</t>
        </is>
      </c>
      <c r="E4458" s="58" t="inlineStr">
        <is>
          <t>South</t>
        </is>
      </c>
      <c r="F4458" s="61" t="n">
        <v>5</v>
      </c>
      <c r="G4458" s="62" t="n">
        <v>19.89</v>
      </c>
      <c r="H4458" s="63" t="n">
        <v>0.091</v>
      </c>
      <c r="I4458" s="62" t="n">
        <v>13.49</v>
      </c>
      <c r="J4458" s="58" t="inlineStr">
        <is>
          <t>Store</t>
        </is>
      </c>
      <c r="K4458" s="62">
        <f>F4458*(G4458-H4458)</f>
        <v/>
      </c>
      <c r="L4458" s="62">
        <f>K4458-(F4458*I4458)</f>
        <v/>
      </c>
      <c r="M4458" s="64">
        <f>L4458/K4458</f>
        <v/>
      </c>
    </row>
    <row r="4459">
      <c r="A4459" s="58" t="inlineStr">
        <is>
          <t>RT20250427-04458</t>
        </is>
      </c>
      <c r="B4459" s="59" t="inlineStr">
        <is>
          <t>2025-04-27</t>
        </is>
      </c>
      <c r="C4459" s="60" t="inlineStr">
        <is>
          <t>Aurora Furniture X-709</t>
        </is>
      </c>
      <c r="D4459" s="58" t="inlineStr">
        <is>
          <t>Office</t>
        </is>
      </c>
      <c r="E4459" s="58" t="inlineStr">
        <is>
          <t>Central</t>
        </is>
      </c>
      <c r="F4459" s="61" t="n">
        <v>3</v>
      </c>
      <c r="G4459" s="62" t="n">
        <v>449.46</v>
      </c>
      <c r="H4459" s="63" t="n">
        <v>0.068</v>
      </c>
      <c r="I4459" s="62" t="n">
        <v>303.36</v>
      </c>
      <c r="J4459" s="58" t="inlineStr">
        <is>
          <t>Store</t>
        </is>
      </c>
      <c r="K4459" s="62">
        <f>F4459*(G4459-H4459)</f>
        <v/>
      </c>
      <c r="L4459" s="62">
        <f>K4459-(F4459*I4459)</f>
        <v/>
      </c>
      <c r="M4459" s="64">
        <f>L4459/K4459</f>
        <v/>
      </c>
    </row>
    <row r="4460">
      <c r="A4460" s="58" t="inlineStr">
        <is>
          <t>RT20250427-04459</t>
        </is>
      </c>
      <c r="B4460" s="59" t="inlineStr">
        <is>
          <t>2025-04-27</t>
        </is>
      </c>
      <c r="C4460" s="60" t="inlineStr">
        <is>
          <t>Nimbus Storage Plus-646</t>
        </is>
      </c>
      <c r="D4460" s="58" t="inlineStr">
        <is>
          <t>Office</t>
        </is>
      </c>
      <c r="E4460" s="58" t="inlineStr">
        <is>
          <t>East</t>
        </is>
      </c>
      <c r="F4460" s="61" t="n">
        <v>3</v>
      </c>
      <c r="G4460" s="62" t="n">
        <v>420.66</v>
      </c>
      <c r="H4460" s="63" t="n">
        <v>0.058</v>
      </c>
      <c r="I4460" s="62" t="n">
        <v>315.71</v>
      </c>
      <c r="J4460" s="58" t="inlineStr">
        <is>
          <t>Online</t>
        </is>
      </c>
      <c r="K4460" s="62">
        <f>F4460*(G4460-H4460)</f>
        <v/>
      </c>
      <c r="L4460" s="62">
        <f>K4460-(F4460*I4460)</f>
        <v/>
      </c>
      <c r="M4460" s="64">
        <f>L4460/K4460</f>
        <v/>
      </c>
    </row>
    <row r="4461">
      <c r="A4461" s="58" t="inlineStr">
        <is>
          <t>RT20250427-04460</t>
        </is>
      </c>
      <c r="B4461" s="59" t="inlineStr">
        <is>
          <t>2025-04-27</t>
        </is>
      </c>
      <c r="C4461" s="60" t="inlineStr">
        <is>
          <t>Falcon Storage X-734</t>
        </is>
      </c>
      <c r="D4461" s="58" t="inlineStr">
        <is>
          <t>Office</t>
        </is>
      </c>
      <c r="E4461" s="58" t="inlineStr">
        <is>
          <t>Central</t>
        </is>
      </c>
      <c r="F4461" s="61" t="n">
        <v>1</v>
      </c>
      <c r="G4461" s="62" t="n">
        <v>379.97</v>
      </c>
      <c r="H4461" s="63" t="n">
        <v>0.073</v>
      </c>
      <c r="I4461" s="62" t="n">
        <v>289.38</v>
      </c>
      <c r="J4461" s="58" t="inlineStr">
        <is>
          <t>Online</t>
        </is>
      </c>
      <c r="K4461" s="62">
        <f>F4461*(G4461-H4461)</f>
        <v/>
      </c>
      <c r="L4461" s="62">
        <f>K4461-(F4461*I4461)</f>
        <v/>
      </c>
      <c r="M4461" s="64">
        <f>L4461/K4461</f>
        <v/>
      </c>
    </row>
    <row r="4462">
      <c r="A4462" s="58" t="inlineStr">
        <is>
          <t>RT20250427-04461</t>
        </is>
      </c>
      <c r="B4462" s="59" t="inlineStr">
        <is>
          <t>2025-04-27</t>
        </is>
      </c>
      <c r="C4462" s="60" t="inlineStr">
        <is>
          <t>Solace Fitnes S-324</t>
        </is>
      </c>
      <c r="D4462" s="58" t="inlineStr">
        <is>
          <t>Sports</t>
        </is>
      </c>
      <c r="E4462" s="58" t="inlineStr">
        <is>
          <t>West</t>
        </is>
      </c>
      <c r="F4462" s="61" t="n">
        <v>3</v>
      </c>
      <c r="G4462" s="62" t="n">
        <v>883.38</v>
      </c>
      <c r="H4462" s="63" t="n">
        <v>0.048</v>
      </c>
      <c r="I4462" s="62" t="n">
        <v>519.47</v>
      </c>
      <c r="J4462" s="58" t="inlineStr">
        <is>
          <t>Store</t>
        </is>
      </c>
      <c r="K4462" s="62">
        <f>F4462*(G4462-H4462)</f>
        <v/>
      </c>
      <c r="L4462" s="62">
        <f>K4462-(F4462*I4462)</f>
        <v/>
      </c>
      <c r="M4462" s="64">
        <f>L4462/K4462</f>
        <v/>
      </c>
    </row>
    <row r="4463">
      <c r="A4463" s="58" t="inlineStr">
        <is>
          <t>RT20250427-04462</t>
        </is>
      </c>
      <c r="B4463" s="59" t="inlineStr">
        <is>
          <t>2025-04-27</t>
        </is>
      </c>
      <c r="C4463" s="60" t="inlineStr">
        <is>
          <t>Falcon Beverage Max-702</t>
        </is>
      </c>
      <c r="D4463" s="58" t="inlineStr">
        <is>
          <t>Grocery</t>
        </is>
      </c>
      <c r="E4463" s="58" t="inlineStr">
        <is>
          <t>East</t>
        </is>
      </c>
      <c r="F4463" s="61" t="n">
        <v>8</v>
      </c>
      <c r="G4463" s="62" t="n">
        <v>27.98</v>
      </c>
      <c r="H4463" s="63" t="n">
        <v>0.026</v>
      </c>
      <c r="I4463" s="62" t="n">
        <v>19.58</v>
      </c>
      <c r="J4463" s="58" t="inlineStr">
        <is>
          <t>Online</t>
        </is>
      </c>
      <c r="K4463" s="62">
        <f>F4463*(G4463-H4463)</f>
        <v/>
      </c>
      <c r="L4463" s="62">
        <f>K4463-(F4463*I4463)</f>
        <v/>
      </c>
      <c r="M4463" s="64">
        <f>L4463/K4463</f>
        <v/>
      </c>
    </row>
    <row r="4464">
      <c r="A4464" s="58" t="inlineStr">
        <is>
          <t>RT20250427-04463</t>
        </is>
      </c>
      <c r="B4464" s="59" t="inlineStr">
        <is>
          <t>2025-04-27</t>
        </is>
      </c>
      <c r="C4464" s="60" t="inlineStr">
        <is>
          <t>Solace Fitnes S-324</t>
        </is>
      </c>
      <c r="D4464" s="58" t="inlineStr">
        <is>
          <t>Sports</t>
        </is>
      </c>
      <c r="E4464" s="58" t="inlineStr">
        <is>
          <t>West</t>
        </is>
      </c>
      <c r="F4464" s="61" t="n">
        <v>1</v>
      </c>
      <c r="G4464" s="62" t="n">
        <v>860.72</v>
      </c>
      <c r="H4464" s="63" t="n">
        <v>0.035</v>
      </c>
      <c r="I4464" s="62" t="n">
        <v>540.46</v>
      </c>
      <c r="J4464" s="58" t="inlineStr">
        <is>
          <t>Store</t>
        </is>
      </c>
      <c r="K4464" s="62">
        <f>F4464*(G4464-H4464)</f>
        <v/>
      </c>
      <c r="L4464" s="62">
        <f>K4464-(F4464*I4464)</f>
        <v/>
      </c>
      <c r="M4464" s="64">
        <f>L4464/K4464</f>
        <v/>
      </c>
    </row>
    <row r="4465">
      <c r="A4465" s="58" t="inlineStr">
        <is>
          <t>RT20250427-04464</t>
        </is>
      </c>
      <c r="B4465" s="59" t="inlineStr">
        <is>
          <t>2025-04-27</t>
        </is>
      </c>
      <c r="C4465" s="60" t="inlineStr">
        <is>
          <t>Falcon Headphone Plus-789</t>
        </is>
      </c>
      <c r="D4465" s="58" t="inlineStr">
        <is>
          <t>Electronics</t>
        </is>
      </c>
      <c r="E4465" s="58" t="inlineStr">
        <is>
          <t>West</t>
        </is>
      </c>
      <c r="F4465" s="61" t="n">
        <v>1</v>
      </c>
      <c r="G4465" s="62" t="n">
        <v>1885.03</v>
      </c>
      <c r="H4465" s="63" t="n">
        <v>0.079</v>
      </c>
      <c r="I4465" s="62" t="n">
        <v>1335.67</v>
      </c>
      <c r="J4465" s="58" t="inlineStr">
        <is>
          <t>Online</t>
        </is>
      </c>
      <c r="K4465" s="62">
        <f>F4465*(G4465-H4465)</f>
        <v/>
      </c>
      <c r="L4465" s="62">
        <f>K4465-(F4465*I4465)</f>
        <v/>
      </c>
      <c r="M4465" s="64">
        <f>L4465/K4465</f>
        <v/>
      </c>
    </row>
    <row r="4466">
      <c r="A4466" s="58" t="inlineStr">
        <is>
          <t>RT20250427-04465</t>
        </is>
      </c>
      <c r="B4466" s="59" t="inlineStr">
        <is>
          <t>2025-04-27</t>
        </is>
      </c>
      <c r="C4466" s="60" t="inlineStr">
        <is>
          <t>Orion Fragrance Lite-785</t>
        </is>
      </c>
      <c r="D4466" s="58" t="inlineStr">
        <is>
          <t>Beauty</t>
        </is>
      </c>
      <c r="E4466" s="58" t="inlineStr">
        <is>
          <t>East</t>
        </is>
      </c>
      <c r="F4466" s="61" t="n">
        <v>5</v>
      </c>
      <c r="G4466" s="62" t="n">
        <v>45.93</v>
      </c>
      <c r="H4466" s="63" t="n">
        <v>0.094</v>
      </c>
      <c r="I4466" s="62" t="n">
        <v>27.13</v>
      </c>
      <c r="J4466" s="58" t="inlineStr">
        <is>
          <t>Online</t>
        </is>
      </c>
      <c r="K4466" s="62">
        <f>F4466*(G4466-H4466)</f>
        <v/>
      </c>
      <c r="L4466" s="62">
        <f>K4466-(F4466*I4466)</f>
        <v/>
      </c>
      <c r="M4466" s="64">
        <f>L4466/K4466</f>
        <v/>
      </c>
    </row>
    <row r="4467">
      <c r="A4467" s="58" t="inlineStr">
        <is>
          <t>RT20250427-04466</t>
        </is>
      </c>
      <c r="B4467" s="59" t="inlineStr">
        <is>
          <t>2025-04-27</t>
        </is>
      </c>
      <c r="C4467" s="60" t="inlineStr">
        <is>
          <t>Falcon Household Pro-865</t>
        </is>
      </c>
      <c r="D4467" s="58" t="inlineStr">
        <is>
          <t>Grocery</t>
        </is>
      </c>
      <c r="E4467" s="58" t="inlineStr">
        <is>
          <t>South</t>
        </is>
      </c>
      <c r="F4467" s="61" t="n">
        <v>1</v>
      </c>
      <c r="G4467" s="62" t="n">
        <v>9.98</v>
      </c>
      <c r="H4467" s="63" t="n">
        <v>0.06</v>
      </c>
      <c r="I4467" s="62" t="n">
        <v>7.54</v>
      </c>
      <c r="J4467" s="58" t="inlineStr">
        <is>
          <t>Online</t>
        </is>
      </c>
      <c r="K4467" s="62">
        <f>F4467*(G4467-H4467)</f>
        <v/>
      </c>
      <c r="L4467" s="62">
        <f>K4467-(F4467*I4467)</f>
        <v/>
      </c>
      <c r="M4467" s="64">
        <f>L4467/K4467</f>
        <v/>
      </c>
    </row>
    <row r="4468">
      <c r="A4468" s="58" t="inlineStr">
        <is>
          <t>RT20250427-04467</t>
        </is>
      </c>
      <c r="B4468" s="59" t="inlineStr">
        <is>
          <t>2025-04-27</t>
        </is>
      </c>
      <c r="C4468" s="60" t="inlineStr">
        <is>
          <t>Vertex Snack S-702</t>
        </is>
      </c>
      <c r="D4468" s="58" t="inlineStr">
        <is>
          <t>Grocery</t>
        </is>
      </c>
      <c r="E4468" s="58" t="inlineStr">
        <is>
          <t>Central</t>
        </is>
      </c>
      <c r="F4468" s="61" t="n">
        <v>6</v>
      </c>
      <c r="G4468" s="62" t="n">
        <v>1.65</v>
      </c>
      <c r="H4468" s="63" t="n">
        <v>0.046</v>
      </c>
      <c r="I4468" s="62" t="n">
        <v>1.51</v>
      </c>
      <c r="J4468" s="58" t="inlineStr">
        <is>
          <t>Online</t>
        </is>
      </c>
      <c r="K4468" s="62">
        <f>F4468*(G4468-H4468)</f>
        <v/>
      </c>
      <c r="L4468" s="62">
        <f>K4468-(F4468*I4468)</f>
        <v/>
      </c>
      <c r="M4468" s="64">
        <f>L4468/K4468</f>
        <v/>
      </c>
    </row>
    <row r="4469">
      <c r="A4469" s="58" t="inlineStr">
        <is>
          <t>RT20250427-04468</t>
        </is>
      </c>
      <c r="B4469" s="59" t="inlineStr">
        <is>
          <t>2025-04-27</t>
        </is>
      </c>
      <c r="C4469" s="60" t="inlineStr">
        <is>
          <t>Vertex Appliance S-159</t>
        </is>
      </c>
      <c r="D4469" s="58" t="inlineStr">
        <is>
          <t>Home</t>
        </is>
      </c>
      <c r="E4469" s="58" t="inlineStr">
        <is>
          <t>West</t>
        </is>
      </c>
      <c r="F4469" s="61" t="n">
        <v>2</v>
      </c>
      <c r="G4469" s="62" t="n">
        <v>425.23</v>
      </c>
      <c r="H4469" s="63" t="n">
        <v>0.116</v>
      </c>
      <c r="I4469" s="62" t="n">
        <v>292.69</v>
      </c>
      <c r="J4469" s="58" t="inlineStr">
        <is>
          <t>Store</t>
        </is>
      </c>
      <c r="K4469" s="62">
        <f>F4469*(G4469-H4469)</f>
        <v/>
      </c>
      <c r="L4469" s="62">
        <f>K4469-(F4469*I4469)</f>
        <v/>
      </c>
      <c r="M4469" s="64">
        <f>L4469/K4469</f>
        <v/>
      </c>
    </row>
    <row r="4470">
      <c r="A4470" s="58" t="inlineStr">
        <is>
          <t>RT20250427-04469</t>
        </is>
      </c>
      <c r="B4470" s="59" t="inlineStr">
        <is>
          <t>2025-04-27</t>
        </is>
      </c>
      <c r="C4470" s="60" t="inlineStr">
        <is>
          <t>Polar Outdoor X-193</t>
        </is>
      </c>
      <c r="D4470" s="58" t="inlineStr">
        <is>
          <t>Sports</t>
        </is>
      </c>
      <c r="E4470" s="58" t="inlineStr">
        <is>
          <t>North</t>
        </is>
      </c>
      <c r="F4470" s="61" t="n">
        <v>3</v>
      </c>
      <c r="G4470" s="62" t="n">
        <v>748.2</v>
      </c>
      <c r="H4470" s="63" t="n">
        <v>0.083</v>
      </c>
      <c r="I4470" s="62" t="n">
        <v>465.2</v>
      </c>
      <c r="J4470" s="58" t="inlineStr">
        <is>
          <t>Online</t>
        </is>
      </c>
      <c r="K4470" s="62">
        <f>F4470*(G4470-H4470)</f>
        <v/>
      </c>
      <c r="L4470" s="62">
        <f>K4470-(F4470*I4470)</f>
        <v/>
      </c>
      <c r="M4470" s="64">
        <f>L4470/K4470</f>
        <v/>
      </c>
    </row>
    <row r="4471">
      <c r="A4471" s="58" t="inlineStr">
        <is>
          <t>RT20250427-04470</t>
        </is>
      </c>
      <c r="B4471" s="59" t="inlineStr">
        <is>
          <t>2025-04-27</t>
        </is>
      </c>
      <c r="C4471" s="60" t="inlineStr">
        <is>
          <t>Nimbus Decor Lite-385</t>
        </is>
      </c>
      <c r="D4471" s="58" t="inlineStr">
        <is>
          <t>Home</t>
        </is>
      </c>
      <c r="E4471" s="58" t="inlineStr">
        <is>
          <t>East</t>
        </is>
      </c>
      <c r="F4471" s="61" t="n">
        <v>1</v>
      </c>
      <c r="G4471" s="62" t="n">
        <v>600.04</v>
      </c>
      <c r="H4471" s="63" t="n">
        <v>0.129</v>
      </c>
      <c r="I4471" s="62" t="n">
        <v>394.05</v>
      </c>
      <c r="J4471" s="58" t="inlineStr">
        <is>
          <t>Online</t>
        </is>
      </c>
      <c r="K4471" s="62">
        <f>F4471*(G4471-H4471)</f>
        <v/>
      </c>
      <c r="L4471" s="62">
        <f>K4471-(F4471*I4471)</f>
        <v/>
      </c>
      <c r="M4471" s="64">
        <f>L4471/K4471</f>
        <v/>
      </c>
    </row>
    <row r="4472">
      <c r="A4472" s="58" t="inlineStr">
        <is>
          <t>RT20250427-04471</t>
        </is>
      </c>
      <c r="B4472" s="59" t="inlineStr">
        <is>
          <t>2025-04-27</t>
        </is>
      </c>
      <c r="C4472" s="60" t="inlineStr">
        <is>
          <t>Vertex Smartphone Pro-256</t>
        </is>
      </c>
      <c r="D4472" s="58" t="inlineStr">
        <is>
          <t>Electronics</t>
        </is>
      </c>
      <c r="E4472" s="58" t="inlineStr">
        <is>
          <t>Central</t>
        </is>
      </c>
      <c r="F4472" s="61" t="n">
        <v>1</v>
      </c>
      <c r="G4472" s="62" t="n">
        <v>1186.76</v>
      </c>
      <c r="H4472" s="63" t="n">
        <v>0.073</v>
      </c>
      <c r="I4472" s="62" t="n">
        <v>917.5599999999999</v>
      </c>
      <c r="J4472" s="58" t="inlineStr">
        <is>
          <t>Store</t>
        </is>
      </c>
      <c r="K4472" s="62">
        <f>F4472*(G4472-H4472)</f>
        <v/>
      </c>
      <c r="L4472" s="62">
        <f>K4472-(F4472*I4472)</f>
        <v/>
      </c>
      <c r="M4472" s="64">
        <f>L4472/K4472</f>
        <v/>
      </c>
    </row>
    <row r="4473">
      <c r="A4473" s="58" t="inlineStr">
        <is>
          <t>RT20250427-04472</t>
        </is>
      </c>
      <c r="B4473" s="59" t="inlineStr">
        <is>
          <t>2025-04-27</t>
        </is>
      </c>
      <c r="C4473" s="60" t="inlineStr">
        <is>
          <t>Metro Accessorie Max-316</t>
        </is>
      </c>
      <c r="D4473" s="58" t="inlineStr">
        <is>
          <t>Apparel</t>
        </is>
      </c>
      <c r="E4473" s="58" t="inlineStr">
        <is>
          <t>East</t>
        </is>
      </c>
      <c r="F4473" s="61" t="n">
        <v>2</v>
      </c>
      <c r="G4473" s="62" t="n">
        <v>159.88</v>
      </c>
      <c r="H4473" s="63" t="n">
        <v>0.092</v>
      </c>
      <c r="I4473" s="62" t="n">
        <v>92.15000000000001</v>
      </c>
      <c r="J4473" s="58" t="inlineStr">
        <is>
          <t>Phone</t>
        </is>
      </c>
      <c r="K4473" s="62">
        <f>F4473*(G4473-H4473)</f>
        <v/>
      </c>
      <c r="L4473" s="62">
        <f>K4473-(F4473*I4473)</f>
        <v/>
      </c>
      <c r="M4473" s="64">
        <f>L4473/K4473</f>
        <v/>
      </c>
    </row>
    <row r="4474">
      <c r="A4474" s="58" t="inlineStr">
        <is>
          <t>RT20250427-04473</t>
        </is>
      </c>
      <c r="B4474" s="59" t="inlineStr">
        <is>
          <t>2025-04-27</t>
        </is>
      </c>
      <c r="C4474" s="60" t="inlineStr">
        <is>
          <t>Solace Headphone Pro-344</t>
        </is>
      </c>
      <c r="D4474" s="58" t="inlineStr">
        <is>
          <t>Electronics</t>
        </is>
      </c>
      <c r="E4474" s="58" t="inlineStr">
        <is>
          <t>South</t>
        </is>
      </c>
      <c r="F4474" s="61" t="n">
        <v>1</v>
      </c>
      <c r="G4474" s="62" t="n">
        <v>1441.13</v>
      </c>
      <c r="H4474" s="63" t="n">
        <v>0.046</v>
      </c>
      <c r="I4474" s="62" t="n">
        <v>1067.95</v>
      </c>
      <c r="J4474" s="58" t="inlineStr">
        <is>
          <t>Online</t>
        </is>
      </c>
      <c r="K4474" s="62">
        <f>F4474*(G4474-H4474)</f>
        <v/>
      </c>
      <c r="L4474" s="62">
        <f>K4474-(F4474*I4474)</f>
        <v/>
      </c>
      <c r="M4474" s="64">
        <f>L4474/K4474</f>
        <v/>
      </c>
    </row>
    <row r="4475">
      <c r="A4475" s="58" t="inlineStr">
        <is>
          <t>RT20250427-04474</t>
        </is>
      </c>
      <c r="B4475" s="59" t="inlineStr">
        <is>
          <t>2025-04-27</t>
        </is>
      </c>
      <c r="C4475" s="60" t="inlineStr">
        <is>
          <t>Polar Laptop Plus-984</t>
        </is>
      </c>
      <c r="D4475" s="58" t="inlineStr">
        <is>
          <t>Electronics</t>
        </is>
      </c>
      <c r="E4475" s="58" t="inlineStr">
        <is>
          <t>Central</t>
        </is>
      </c>
      <c r="F4475" s="61" t="n">
        <v>2</v>
      </c>
      <c r="G4475" s="62" t="n">
        <v>1239.68</v>
      </c>
      <c r="H4475" s="63" t="n">
        <v>0.08</v>
      </c>
      <c r="I4475" s="62" t="n">
        <v>982.92</v>
      </c>
      <c r="J4475" s="58" t="inlineStr">
        <is>
          <t>Online</t>
        </is>
      </c>
      <c r="K4475" s="62">
        <f>F4475*(G4475-H4475)</f>
        <v/>
      </c>
      <c r="L4475" s="62">
        <f>K4475-(F4475*I4475)</f>
        <v/>
      </c>
      <c r="M4475" s="64">
        <f>L4475/K4475</f>
        <v/>
      </c>
    </row>
    <row r="4476">
      <c r="A4476" s="58" t="inlineStr">
        <is>
          <t>RT20250427-04475</t>
        </is>
      </c>
      <c r="B4476" s="59" t="inlineStr">
        <is>
          <t>2025-04-27</t>
        </is>
      </c>
      <c r="C4476" s="60" t="inlineStr">
        <is>
          <t>Vertex Decor Pro-618</t>
        </is>
      </c>
      <c r="D4476" s="58" t="inlineStr">
        <is>
          <t>Home</t>
        </is>
      </c>
      <c r="E4476" s="58" t="inlineStr">
        <is>
          <t>East</t>
        </is>
      </c>
      <c r="F4476" s="61" t="n">
        <v>3</v>
      </c>
      <c r="G4476" s="62" t="n">
        <v>593.1900000000001</v>
      </c>
      <c r="H4476" s="63" t="n">
        <v>0.031</v>
      </c>
      <c r="I4476" s="62" t="n">
        <v>381.41</v>
      </c>
      <c r="J4476" s="58" t="inlineStr">
        <is>
          <t>Store</t>
        </is>
      </c>
      <c r="K4476" s="62">
        <f>F4476*(G4476-H4476)</f>
        <v/>
      </c>
      <c r="L4476" s="62">
        <f>K4476-(F4476*I4476)</f>
        <v/>
      </c>
      <c r="M4476" s="64">
        <f>L4476/K4476</f>
        <v/>
      </c>
    </row>
    <row r="4477">
      <c r="A4477" s="58" t="inlineStr">
        <is>
          <t>RT20250427-04476</t>
        </is>
      </c>
      <c r="B4477" s="59" t="inlineStr">
        <is>
          <t>2025-04-27</t>
        </is>
      </c>
      <c r="C4477" s="60" t="inlineStr">
        <is>
          <t>Aurora Fitnes Lite-194</t>
        </is>
      </c>
      <c r="D4477" s="58" t="inlineStr">
        <is>
          <t>Sports</t>
        </is>
      </c>
      <c r="E4477" s="58" t="inlineStr">
        <is>
          <t>South</t>
        </is>
      </c>
      <c r="F4477" s="61" t="n">
        <v>3</v>
      </c>
      <c r="G4477" s="62" t="n">
        <v>666.08</v>
      </c>
      <c r="H4477" s="63" t="n">
        <v>0.033</v>
      </c>
      <c r="I4477" s="62" t="n">
        <v>466.79</v>
      </c>
      <c r="J4477" s="58" t="inlineStr">
        <is>
          <t>Online</t>
        </is>
      </c>
      <c r="K4477" s="62">
        <f>F4477*(G4477-H4477)</f>
        <v/>
      </c>
      <c r="L4477" s="62">
        <f>K4477-(F4477*I4477)</f>
        <v/>
      </c>
      <c r="M4477" s="64">
        <f>L4477/K4477</f>
        <v/>
      </c>
    </row>
    <row r="4478">
      <c r="A4478" s="58" t="inlineStr">
        <is>
          <t>RT20250427-04477</t>
        </is>
      </c>
      <c r="B4478" s="59" t="inlineStr">
        <is>
          <t>2025-04-27</t>
        </is>
      </c>
      <c r="C4478" s="60" t="inlineStr">
        <is>
          <t>Falcon Wearable X-334</t>
        </is>
      </c>
      <c r="D4478" s="58" t="inlineStr">
        <is>
          <t>Electronics</t>
        </is>
      </c>
      <c r="E4478" s="58" t="inlineStr">
        <is>
          <t>East</t>
        </is>
      </c>
      <c r="F4478" s="61" t="n">
        <v>1</v>
      </c>
      <c r="G4478" s="62" t="n">
        <v>1751.69</v>
      </c>
      <c r="H4478" s="63" t="n">
        <v>0.063</v>
      </c>
      <c r="I4478" s="62" t="n">
        <v>1501.43</v>
      </c>
      <c r="J4478" s="58" t="inlineStr">
        <is>
          <t>Online</t>
        </is>
      </c>
      <c r="K4478" s="62">
        <f>F4478*(G4478-H4478)</f>
        <v/>
      </c>
      <c r="L4478" s="62">
        <f>K4478-(F4478*I4478)</f>
        <v/>
      </c>
      <c r="M4478" s="64">
        <f>L4478/K4478</f>
        <v/>
      </c>
    </row>
    <row r="4479">
      <c r="A4479" s="58" t="inlineStr">
        <is>
          <t>RT20250427-04478</t>
        </is>
      </c>
      <c r="B4479" s="59" t="inlineStr">
        <is>
          <t>2025-04-27</t>
        </is>
      </c>
      <c r="C4479" s="60" t="inlineStr">
        <is>
          <t>Polar Fragrance Pro-750</t>
        </is>
      </c>
      <c r="D4479" s="58" t="inlineStr">
        <is>
          <t>Beauty</t>
        </is>
      </c>
      <c r="E4479" s="58" t="inlineStr">
        <is>
          <t>Central</t>
        </is>
      </c>
      <c r="F4479" s="61" t="n">
        <v>1</v>
      </c>
      <c r="G4479" s="62" t="n">
        <v>48.19</v>
      </c>
      <c r="H4479" s="63" t="n">
        <v>0.057</v>
      </c>
      <c r="I4479" s="62" t="n">
        <v>36.2</v>
      </c>
      <c r="J4479" s="58" t="inlineStr">
        <is>
          <t>Online</t>
        </is>
      </c>
      <c r="K4479" s="62">
        <f>F4479*(G4479-H4479)</f>
        <v/>
      </c>
      <c r="L4479" s="62">
        <f>K4479-(F4479*I4479)</f>
        <v/>
      </c>
      <c r="M4479" s="64">
        <f>L4479/K4479</f>
        <v/>
      </c>
    </row>
    <row r="4480">
      <c r="A4480" s="58" t="inlineStr">
        <is>
          <t>RT20250427-04479</t>
        </is>
      </c>
      <c r="B4480" s="59" t="inlineStr">
        <is>
          <t>2025-04-27</t>
        </is>
      </c>
      <c r="C4480" s="60" t="inlineStr">
        <is>
          <t>Metro Accessorie Max-316</t>
        </is>
      </c>
      <c r="D4480" s="58" t="inlineStr">
        <is>
          <t>Apparel</t>
        </is>
      </c>
      <c r="E4480" s="58" t="inlineStr">
        <is>
          <t>South</t>
        </is>
      </c>
      <c r="F4480" s="61" t="n">
        <v>1</v>
      </c>
      <c r="G4480" s="62" t="n">
        <v>162.68</v>
      </c>
      <c r="H4480" s="63" t="n">
        <v>0.064</v>
      </c>
      <c r="I4480" s="62" t="n">
        <v>95.48</v>
      </c>
      <c r="J4480" s="58" t="inlineStr">
        <is>
          <t>Online</t>
        </is>
      </c>
      <c r="K4480" s="62">
        <f>F4480*(G4480-H4480)</f>
        <v/>
      </c>
      <c r="L4480" s="62">
        <f>K4480-(F4480*I4480)</f>
        <v/>
      </c>
      <c r="M4480" s="64">
        <f>L4480/K4480</f>
        <v/>
      </c>
    </row>
    <row r="4481">
      <c r="A4481" s="58" t="inlineStr">
        <is>
          <t>RT20250427-04480</t>
        </is>
      </c>
      <c r="B4481" s="59" t="inlineStr">
        <is>
          <t>2025-04-27</t>
        </is>
      </c>
      <c r="C4481" s="60" t="inlineStr">
        <is>
          <t>Falcon Haircare Pro-980</t>
        </is>
      </c>
      <c r="D4481" s="58" t="inlineStr">
        <is>
          <t>Beauty</t>
        </is>
      </c>
      <c r="E4481" s="58" t="inlineStr">
        <is>
          <t>East</t>
        </is>
      </c>
      <c r="F4481" s="61" t="n">
        <v>2</v>
      </c>
      <c r="G4481" s="62" t="n">
        <v>89.28</v>
      </c>
      <c r="H4481" s="63" t="n">
        <v>0.102</v>
      </c>
      <c r="I4481" s="62" t="n">
        <v>56.14</v>
      </c>
      <c r="J4481" s="58" t="inlineStr">
        <is>
          <t>Online</t>
        </is>
      </c>
      <c r="K4481" s="62">
        <f>F4481*(G4481-H4481)</f>
        <v/>
      </c>
      <c r="L4481" s="62">
        <f>K4481-(F4481*I4481)</f>
        <v/>
      </c>
      <c r="M4481" s="64">
        <f>L4481/K4481</f>
        <v/>
      </c>
    </row>
    <row r="4482">
      <c r="A4482" s="58" t="inlineStr">
        <is>
          <t>RT20250427-04481</t>
        </is>
      </c>
      <c r="B4482" s="59" t="inlineStr">
        <is>
          <t>2025-04-27</t>
        </is>
      </c>
      <c r="C4482" s="60" t="inlineStr">
        <is>
          <t>Polar Outdoor X-193</t>
        </is>
      </c>
      <c r="D4482" s="58" t="inlineStr">
        <is>
          <t>Sports</t>
        </is>
      </c>
      <c r="E4482" s="58" t="inlineStr">
        <is>
          <t>East</t>
        </is>
      </c>
      <c r="F4482" s="61" t="n">
        <v>2</v>
      </c>
      <c r="G4482" s="62" t="n">
        <v>700.88</v>
      </c>
      <c r="H4482" s="63" t="n">
        <v>0.075</v>
      </c>
      <c r="I4482" s="62" t="n">
        <v>459.69</v>
      </c>
      <c r="J4482" s="58" t="inlineStr">
        <is>
          <t>Store</t>
        </is>
      </c>
      <c r="K4482" s="62">
        <f>F4482*(G4482-H4482)</f>
        <v/>
      </c>
      <c r="L4482" s="62">
        <f>K4482-(F4482*I4482)</f>
        <v/>
      </c>
      <c r="M4482" s="64">
        <f>L4482/K4482</f>
        <v/>
      </c>
    </row>
    <row r="4483">
      <c r="A4483" s="58" t="inlineStr">
        <is>
          <t>RT20250427-04482</t>
        </is>
      </c>
      <c r="B4483" s="59" t="inlineStr">
        <is>
          <t>2025-04-27</t>
        </is>
      </c>
      <c r="C4483" s="60" t="inlineStr">
        <is>
          <t>Aurora Wearable Lite-704</t>
        </is>
      </c>
      <c r="D4483" s="58" t="inlineStr">
        <is>
          <t>Electronics</t>
        </is>
      </c>
      <c r="E4483" s="58" t="inlineStr">
        <is>
          <t>South</t>
        </is>
      </c>
      <c r="F4483" s="61" t="n">
        <v>1</v>
      </c>
      <c r="G4483" s="62" t="n">
        <v>1739.83</v>
      </c>
      <c r="H4483" s="63" t="n">
        <v>0.028</v>
      </c>
      <c r="I4483" s="62" t="n">
        <v>1417.43</v>
      </c>
      <c r="J4483" s="58" t="inlineStr">
        <is>
          <t>Online</t>
        </is>
      </c>
      <c r="K4483" s="62">
        <f>F4483*(G4483-H4483)</f>
        <v/>
      </c>
      <c r="L4483" s="62">
        <f>K4483-(F4483*I4483)</f>
        <v/>
      </c>
      <c r="M4483" s="64">
        <f>L4483/K4483</f>
        <v/>
      </c>
    </row>
    <row r="4484">
      <c r="A4484" s="58" t="inlineStr">
        <is>
          <t>RT20250427-04483</t>
        </is>
      </c>
      <c r="B4484" s="59" t="inlineStr">
        <is>
          <t>2025-04-27</t>
        </is>
      </c>
      <c r="C4484" s="60" t="inlineStr">
        <is>
          <t>Aurora Storage Lite-774</t>
        </is>
      </c>
      <c r="D4484" s="58" t="inlineStr">
        <is>
          <t>Office</t>
        </is>
      </c>
      <c r="E4484" s="58" t="inlineStr">
        <is>
          <t>West</t>
        </is>
      </c>
      <c r="F4484" s="61" t="n">
        <v>1</v>
      </c>
      <c r="G4484" s="62" t="n">
        <v>310.58</v>
      </c>
      <c r="H4484" s="63" t="n">
        <v>0.075</v>
      </c>
      <c r="I4484" s="62" t="n">
        <v>236.1</v>
      </c>
      <c r="J4484" s="58" t="inlineStr">
        <is>
          <t>Phone</t>
        </is>
      </c>
      <c r="K4484" s="62">
        <f>F4484*(G4484-H4484)</f>
        <v/>
      </c>
      <c r="L4484" s="62">
        <f>K4484-(F4484*I4484)</f>
        <v/>
      </c>
      <c r="M4484" s="64">
        <f>L4484/K4484</f>
        <v/>
      </c>
    </row>
    <row r="4485">
      <c r="A4485" s="58" t="inlineStr">
        <is>
          <t>RT20250427-04484</t>
        </is>
      </c>
      <c r="B4485" s="59" t="inlineStr">
        <is>
          <t>2025-04-27</t>
        </is>
      </c>
      <c r="C4485" s="60" t="inlineStr">
        <is>
          <t>Falcon Skincare Max-151</t>
        </is>
      </c>
      <c r="D4485" s="58" t="inlineStr">
        <is>
          <t>Beauty</t>
        </is>
      </c>
      <c r="E4485" s="58" t="inlineStr">
        <is>
          <t>West</t>
        </is>
      </c>
      <c r="F4485" s="61" t="n">
        <v>5</v>
      </c>
      <c r="G4485" s="62" t="n">
        <v>95.59</v>
      </c>
      <c r="H4485" s="63" t="n">
        <v>0.064</v>
      </c>
      <c r="I4485" s="62" t="n">
        <v>60.57</v>
      </c>
      <c r="J4485" s="58" t="inlineStr">
        <is>
          <t>Online</t>
        </is>
      </c>
      <c r="K4485" s="62">
        <f>F4485*(G4485-H4485)</f>
        <v/>
      </c>
      <c r="L4485" s="62">
        <f>K4485-(F4485*I4485)</f>
        <v/>
      </c>
      <c r="M4485" s="64">
        <f>L4485/K4485</f>
        <v/>
      </c>
    </row>
    <row r="4486">
      <c r="A4486" s="58" t="inlineStr">
        <is>
          <t>RT20250427-04485</t>
        </is>
      </c>
      <c r="B4486" s="59" t="inlineStr">
        <is>
          <t>2025-04-27</t>
        </is>
      </c>
      <c r="C4486" s="60" t="inlineStr">
        <is>
          <t>Vertex Supplie Pro-786</t>
        </is>
      </c>
      <c r="D4486" s="58" t="inlineStr">
        <is>
          <t>Office</t>
        </is>
      </c>
      <c r="E4486" s="58" t="inlineStr">
        <is>
          <t>West</t>
        </is>
      </c>
      <c r="F4486" s="61" t="n">
        <v>1</v>
      </c>
      <c r="G4486" s="62" t="n">
        <v>436.73</v>
      </c>
      <c r="H4486" s="63" t="n">
        <v>0.024</v>
      </c>
      <c r="I4486" s="62" t="n">
        <v>298.41</v>
      </c>
      <c r="J4486" s="58" t="inlineStr">
        <is>
          <t>Store</t>
        </is>
      </c>
      <c r="K4486" s="62">
        <f>F4486*(G4486-H4486)</f>
        <v/>
      </c>
      <c r="L4486" s="62">
        <f>K4486-(F4486*I4486)</f>
        <v/>
      </c>
      <c r="M4486" s="64">
        <f>L4486/K4486</f>
        <v/>
      </c>
    </row>
    <row r="4487">
      <c r="A4487" s="58" t="inlineStr">
        <is>
          <t>RT20250427-04486</t>
        </is>
      </c>
      <c r="B4487" s="59" t="inlineStr">
        <is>
          <t>2025-04-27</t>
        </is>
      </c>
      <c r="C4487" s="60" t="inlineStr">
        <is>
          <t>Vertex Printer Max-692</t>
        </is>
      </c>
      <c r="D4487" s="58" t="inlineStr">
        <is>
          <t>Office</t>
        </is>
      </c>
      <c r="E4487" s="58" t="inlineStr">
        <is>
          <t>West</t>
        </is>
      </c>
      <c r="F4487" s="61" t="n">
        <v>3</v>
      </c>
      <c r="G4487" s="62" t="n">
        <v>172.09</v>
      </c>
      <c r="H4487" s="63" t="n">
        <v>0.08</v>
      </c>
      <c r="I4487" s="62" t="n">
        <v>124.33</v>
      </c>
      <c r="J4487" s="58" t="inlineStr">
        <is>
          <t>Online</t>
        </is>
      </c>
      <c r="K4487" s="62">
        <f>F4487*(G4487-H4487)</f>
        <v/>
      </c>
      <c r="L4487" s="62">
        <f>K4487-(F4487*I4487)</f>
        <v/>
      </c>
      <c r="M4487" s="64">
        <f>L4487/K4487</f>
        <v/>
      </c>
    </row>
    <row r="4488">
      <c r="A4488" s="58" t="inlineStr">
        <is>
          <t>RT20250427-04487</t>
        </is>
      </c>
      <c r="B4488" s="59" t="inlineStr">
        <is>
          <t>2025-04-27</t>
        </is>
      </c>
      <c r="C4488" s="60" t="inlineStr">
        <is>
          <t>Metro Accessorie Max-316</t>
        </is>
      </c>
      <c r="D4488" s="58" t="inlineStr">
        <is>
          <t>Apparel</t>
        </is>
      </c>
      <c r="E4488" s="58" t="inlineStr">
        <is>
          <t>West</t>
        </is>
      </c>
      <c r="F4488" s="61" t="n">
        <v>2</v>
      </c>
      <c r="G4488" s="62" t="n">
        <v>154.49</v>
      </c>
      <c r="H4488" s="63" t="n">
        <v>0.08699999999999999</v>
      </c>
      <c r="I4488" s="62" t="n">
        <v>91.23</v>
      </c>
      <c r="J4488" s="58" t="inlineStr">
        <is>
          <t>Online</t>
        </is>
      </c>
      <c r="K4488" s="62">
        <f>F4488*(G4488-H4488)</f>
        <v/>
      </c>
      <c r="L4488" s="62">
        <f>K4488-(F4488*I4488)</f>
        <v/>
      </c>
      <c r="M4488" s="64">
        <f>L4488/K4488</f>
        <v/>
      </c>
    </row>
    <row r="4489">
      <c r="A4489" s="58" t="inlineStr">
        <is>
          <t>RT20250427-04488</t>
        </is>
      </c>
      <c r="B4489" s="59" t="inlineStr">
        <is>
          <t>2025-04-27</t>
        </is>
      </c>
      <c r="C4489" s="60" t="inlineStr">
        <is>
          <t>Aurora Outdoor Pro-467</t>
        </is>
      </c>
      <c r="D4489" s="58" t="inlineStr">
        <is>
          <t>Sports</t>
        </is>
      </c>
      <c r="E4489" s="58" t="inlineStr">
        <is>
          <t>East</t>
        </is>
      </c>
      <c r="F4489" s="61" t="n">
        <v>3</v>
      </c>
      <c r="G4489" s="62" t="n">
        <v>292.12</v>
      </c>
      <c r="H4489" s="63" t="n">
        <v>0.062</v>
      </c>
      <c r="I4489" s="62" t="n">
        <v>185.94</v>
      </c>
      <c r="J4489" s="58" t="inlineStr">
        <is>
          <t>Store</t>
        </is>
      </c>
      <c r="K4489" s="62">
        <f>F4489*(G4489-H4489)</f>
        <v/>
      </c>
      <c r="L4489" s="62">
        <f>K4489-(F4489*I4489)</f>
        <v/>
      </c>
      <c r="M4489" s="64">
        <f>L4489/K4489</f>
        <v/>
      </c>
    </row>
    <row r="4490">
      <c r="A4490" s="58" t="inlineStr">
        <is>
          <t>RT20250427-04489</t>
        </is>
      </c>
      <c r="B4490" s="59" t="inlineStr">
        <is>
          <t>2025-04-27</t>
        </is>
      </c>
      <c r="C4490" s="60" t="inlineStr">
        <is>
          <t>Metro Accessorie Max-316</t>
        </is>
      </c>
      <c r="D4490" s="58" t="inlineStr">
        <is>
          <t>Apparel</t>
        </is>
      </c>
      <c r="E4490" s="58" t="inlineStr">
        <is>
          <t>South</t>
        </is>
      </c>
      <c r="F4490" s="61" t="n">
        <v>4</v>
      </c>
      <c r="G4490" s="62" t="n">
        <v>155.71</v>
      </c>
      <c r="H4490" s="63" t="n">
        <v>0.08500000000000001</v>
      </c>
      <c r="I4490" s="62" t="n">
        <v>91.8</v>
      </c>
      <c r="J4490" s="58" t="inlineStr">
        <is>
          <t>Online</t>
        </is>
      </c>
      <c r="K4490" s="62">
        <f>F4490*(G4490-H4490)</f>
        <v/>
      </c>
      <c r="L4490" s="62">
        <f>K4490-(F4490*I4490)</f>
        <v/>
      </c>
      <c r="M4490" s="64">
        <f>L4490/K4490</f>
        <v/>
      </c>
    </row>
    <row r="4491">
      <c r="A4491" s="58" t="inlineStr">
        <is>
          <t>RT20250427-04490</t>
        </is>
      </c>
      <c r="B4491" s="59" t="inlineStr">
        <is>
          <t>2025-04-27</t>
        </is>
      </c>
      <c r="C4491" s="60" t="inlineStr">
        <is>
          <t>Falcon Headphone Plus-789</t>
        </is>
      </c>
      <c r="D4491" s="58" t="inlineStr">
        <is>
          <t>Electronics</t>
        </is>
      </c>
      <c r="E4491" s="58" t="inlineStr">
        <is>
          <t>West</t>
        </is>
      </c>
      <c r="F4491" s="61" t="n">
        <v>2</v>
      </c>
      <c r="G4491" s="62" t="n">
        <v>1621.41</v>
      </c>
      <c r="H4491" s="63" t="n">
        <v>0.051</v>
      </c>
      <c r="I4491" s="62" t="n">
        <v>1330.3</v>
      </c>
      <c r="J4491" s="58" t="inlineStr">
        <is>
          <t>Store</t>
        </is>
      </c>
      <c r="K4491" s="62">
        <f>F4491*(G4491-H4491)</f>
        <v/>
      </c>
      <c r="L4491" s="62">
        <f>K4491-(F4491*I4491)</f>
        <v/>
      </c>
      <c r="M4491" s="64">
        <f>L4491/K4491</f>
        <v/>
      </c>
    </row>
    <row r="4492">
      <c r="A4492" s="58" t="inlineStr">
        <is>
          <t>RT20250427-04491</t>
        </is>
      </c>
      <c r="B4492" s="59" t="inlineStr">
        <is>
          <t>2025-04-27</t>
        </is>
      </c>
      <c r="C4492" s="60" t="inlineStr">
        <is>
          <t>Orion Snack X-322</t>
        </is>
      </c>
      <c r="D4492" s="58" t="inlineStr">
        <is>
          <t>Grocery</t>
        </is>
      </c>
      <c r="E4492" s="58" t="inlineStr">
        <is>
          <t>North</t>
        </is>
      </c>
      <c r="F4492" s="61" t="n">
        <v>7</v>
      </c>
      <c r="G4492" s="62" t="n">
        <v>13.1</v>
      </c>
      <c r="H4492" s="63" t="n">
        <v>0.07000000000000001</v>
      </c>
      <c r="I4492" s="62" t="n">
        <v>10.22</v>
      </c>
      <c r="J4492" s="58" t="inlineStr">
        <is>
          <t>Online</t>
        </is>
      </c>
      <c r="K4492" s="62">
        <f>F4492*(G4492-H4492)</f>
        <v/>
      </c>
      <c r="L4492" s="62">
        <f>K4492-(F4492*I4492)</f>
        <v/>
      </c>
      <c r="M4492" s="64">
        <f>L4492/K4492</f>
        <v/>
      </c>
    </row>
    <row r="4493">
      <c r="A4493" s="58" t="inlineStr">
        <is>
          <t>RT20250427-04492</t>
        </is>
      </c>
      <c r="B4493" s="59" t="inlineStr">
        <is>
          <t>2025-04-27</t>
        </is>
      </c>
      <c r="C4493" s="60" t="inlineStr">
        <is>
          <t>Aurora Household Plus-146</t>
        </is>
      </c>
      <c r="D4493" s="58" t="inlineStr">
        <is>
          <t>Grocery</t>
        </is>
      </c>
      <c r="E4493" s="58" t="inlineStr">
        <is>
          <t>North</t>
        </is>
      </c>
      <c r="F4493" s="61" t="n">
        <v>1</v>
      </c>
      <c r="G4493" s="62" t="n">
        <v>7.2</v>
      </c>
      <c r="H4493" s="63" t="n">
        <v>0.047</v>
      </c>
      <c r="I4493" s="62" t="n">
        <v>4.56</v>
      </c>
      <c r="J4493" s="58" t="inlineStr">
        <is>
          <t>Phone</t>
        </is>
      </c>
      <c r="K4493" s="62">
        <f>F4493*(G4493-H4493)</f>
        <v/>
      </c>
      <c r="L4493" s="62">
        <f>K4493-(F4493*I4493)</f>
        <v/>
      </c>
      <c r="M4493" s="64">
        <f>L4493/K4493</f>
        <v/>
      </c>
    </row>
    <row r="4494">
      <c r="A4494" s="58" t="inlineStr">
        <is>
          <t>RT20250427-04493</t>
        </is>
      </c>
      <c r="B4494" s="59" t="inlineStr">
        <is>
          <t>2025-04-27</t>
        </is>
      </c>
      <c r="C4494" s="60" t="inlineStr">
        <is>
          <t>Metro Beverage Max-490</t>
        </is>
      </c>
      <c r="D4494" s="58" t="inlineStr">
        <is>
          <t>Grocery</t>
        </is>
      </c>
      <c r="E4494" s="58" t="inlineStr">
        <is>
          <t>West</t>
        </is>
      </c>
      <c r="F4494" s="61" t="n">
        <v>1</v>
      </c>
      <c r="G4494" s="62" t="n">
        <v>10.74</v>
      </c>
      <c r="H4494" s="63" t="n">
        <v>0.074</v>
      </c>
      <c r="I4494" s="62" t="n">
        <v>8.18</v>
      </c>
      <c r="J4494" s="58" t="inlineStr">
        <is>
          <t>Store</t>
        </is>
      </c>
      <c r="K4494" s="62">
        <f>F4494*(G4494-H4494)</f>
        <v/>
      </c>
      <c r="L4494" s="62">
        <f>K4494-(F4494*I4494)</f>
        <v/>
      </c>
      <c r="M4494" s="64">
        <f>L4494/K4494</f>
        <v/>
      </c>
    </row>
    <row r="4495">
      <c r="A4495" s="58" t="inlineStr">
        <is>
          <t>RT20250427-04494</t>
        </is>
      </c>
      <c r="B4495" s="59" t="inlineStr">
        <is>
          <t>2025-04-27</t>
        </is>
      </c>
      <c r="C4495" s="60" t="inlineStr">
        <is>
          <t>Nimbus Fitnes Lite-516</t>
        </is>
      </c>
      <c r="D4495" s="58" t="inlineStr">
        <is>
          <t>Sports</t>
        </is>
      </c>
      <c r="E4495" s="58" t="inlineStr">
        <is>
          <t>West</t>
        </is>
      </c>
      <c r="F4495" s="61" t="n">
        <v>3</v>
      </c>
      <c r="G4495" s="62" t="n">
        <v>716.48</v>
      </c>
      <c r="H4495" s="63" t="n">
        <v>0.039</v>
      </c>
      <c r="I4495" s="62" t="n">
        <v>460.71</v>
      </c>
      <c r="J4495" s="58" t="inlineStr">
        <is>
          <t>Store</t>
        </is>
      </c>
      <c r="K4495" s="62">
        <f>F4495*(G4495-H4495)</f>
        <v/>
      </c>
      <c r="L4495" s="62">
        <f>K4495-(F4495*I4495)</f>
        <v/>
      </c>
      <c r="M4495" s="64">
        <f>L4495/K4495</f>
        <v/>
      </c>
    </row>
    <row r="4496">
      <c r="A4496" s="58" t="inlineStr">
        <is>
          <t>RT20250427-04495</t>
        </is>
      </c>
      <c r="B4496" s="59" t="inlineStr">
        <is>
          <t>2025-04-27</t>
        </is>
      </c>
      <c r="C4496" s="60" t="inlineStr">
        <is>
          <t>Metro Outdoor Plus-787</t>
        </is>
      </c>
      <c r="D4496" s="58" t="inlineStr">
        <is>
          <t>Sports</t>
        </is>
      </c>
      <c r="E4496" s="58" t="inlineStr">
        <is>
          <t>North</t>
        </is>
      </c>
      <c r="F4496" s="61" t="n">
        <v>3</v>
      </c>
      <c r="G4496" s="62" t="n">
        <v>525.4400000000001</v>
      </c>
      <c r="H4496" s="63" t="n">
        <v>0.073</v>
      </c>
      <c r="I4496" s="62" t="n">
        <v>343.92</v>
      </c>
      <c r="J4496" s="58" t="inlineStr">
        <is>
          <t>Store</t>
        </is>
      </c>
      <c r="K4496" s="62">
        <f>F4496*(G4496-H4496)</f>
        <v/>
      </c>
      <c r="L4496" s="62">
        <f>K4496-(F4496*I4496)</f>
        <v/>
      </c>
      <c r="M4496" s="64">
        <f>L4496/K4496</f>
        <v/>
      </c>
    </row>
    <row r="4497">
      <c r="A4497" s="58" t="inlineStr">
        <is>
          <t>RT20250427-04496</t>
        </is>
      </c>
      <c r="B4497" s="59" t="inlineStr">
        <is>
          <t>2025-04-27</t>
        </is>
      </c>
      <c r="C4497" s="60" t="inlineStr">
        <is>
          <t>Vertex Smartphone Lite-267</t>
        </is>
      </c>
      <c r="D4497" s="58" t="inlineStr">
        <is>
          <t>Electronics</t>
        </is>
      </c>
      <c r="E4497" s="58" t="inlineStr">
        <is>
          <t>Central</t>
        </is>
      </c>
      <c r="F4497" s="61" t="n">
        <v>1</v>
      </c>
      <c r="G4497" s="62" t="n">
        <v>1350.56</v>
      </c>
      <c r="H4497" s="63" t="n">
        <v>0.077</v>
      </c>
      <c r="I4497" s="62" t="n">
        <v>999.36</v>
      </c>
      <c r="J4497" s="58" t="inlineStr">
        <is>
          <t>Online</t>
        </is>
      </c>
      <c r="K4497" s="62">
        <f>F4497*(G4497-H4497)</f>
        <v/>
      </c>
      <c r="L4497" s="62">
        <f>K4497-(F4497*I4497)</f>
        <v/>
      </c>
      <c r="M4497" s="64">
        <f>L4497/K4497</f>
        <v/>
      </c>
    </row>
    <row r="4498">
      <c r="A4498" s="58" t="inlineStr">
        <is>
          <t>RT20250427-04497</t>
        </is>
      </c>
      <c r="B4498" s="59" t="inlineStr">
        <is>
          <t>2025-04-27</t>
        </is>
      </c>
      <c r="C4498" s="60" t="inlineStr">
        <is>
          <t>Vertex Pantry Pro-165</t>
        </is>
      </c>
      <c r="D4498" s="58" t="inlineStr">
        <is>
          <t>Grocery</t>
        </is>
      </c>
      <c r="E4498" s="58" t="inlineStr">
        <is>
          <t>Central</t>
        </is>
      </c>
      <c r="F4498" s="61" t="n">
        <v>6</v>
      </c>
      <c r="G4498" s="62" t="n">
        <v>13.69</v>
      </c>
      <c r="H4498" s="63" t="n">
        <v>0.056</v>
      </c>
      <c r="I4498" s="62" t="n">
        <v>11.98</v>
      </c>
      <c r="J4498" s="58" t="inlineStr">
        <is>
          <t>Online</t>
        </is>
      </c>
      <c r="K4498" s="62">
        <f>F4498*(G4498-H4498)</f>
        <v/>
      </c>
      <c r="L4498" s="62">
        <f>K4498-(F4498*I4498)</f>
        <v/>
      </c>
      <c r="M4498" s="64">
        <f>L4498/K4498</f>
        <v/>
      </c>
    </row>
    <row r="4499">
      <c r="A4499" s="58" t="inlineStr">
        <is>
          <t>RT20250427-04498</t>
        </is>
      </c>
      <c r="B4499" s="59" t="inlineStr">
        <is>
          <t>2025-04-27</t>
        </is>
      </c>
      <c r="C4499" s="60" t="inlineStr">
        <is>
          <t>Metro Pantry Max-180</t>
        </is>
      </c>
      <c r="D4499" s="58" t="inlineStr">
        <is>
          <t>Grocery</t>
        </is>
      </c>
      <c r="E4499" s="58" t="inlineStr">
        <is>
          <t>Central</t>
        </is>
      </c>
      <c r="F4499" s="61" t="n">
        <v>3</v>
      </c>
      <c r="G4499" s="62" t="n">
        <v>8.26</v>
      </c>
      <c r="H4499" s="63" t="n">
        <v>0.08599999999999999</v>
      </c>
      <c r="I4499" s="62" t="n">
        <v>6.8</v>
      </c>
      <c r="J4499" s="58" t="inlineStr">
        <is>
          <t>Online</t>
        </is>
      </c>
      <c r="K4499" s="62">
        <f>F4499*(G4499-H4499)</f>
        <v/>
      </c>
      <c r="L4499" s="62">
        <f>K4499-(F4499*I4499)</f>
        <v/>
      </c>
      <c r="M4499" s="64">
        <f>L4499/K4499</f>
        <v/>
      </c>
    </row>
    <row r="4500">
      <c r="A4500" s="58" t="inlineStr">
        <is>
          <t>RT20250427-04499</t>
        </is>
      </c>
      <c r="B4500" s="59" t="inlineStr">
        <is>
          <t>2025-04-27</t>
        </is>
      </c>
      <c r="C4500" s="60" t="inlineStr">
        <is>
          <t>Falcon Skincare X-334</t>
        </is>
      </c>
      <c r="D4500" s="58" t="inlineStr">
        <is>
          <t>Beauty</t>
        </is>
      </c>
      <c r="E4500" s="58" t="inlineStr">
        <is>
          <t>East</t>
        </is>
      </c>
      <c r="F4500" s="61" t="n">
        <v>1</v>
      </c>
      <c r="G4500" s="62" t="n">
        <v>102.79</v>
      </c>
      <c r="H4500" s="63" t="n">
        <v>0.074</v>
      </c>
      <c r="I4500" s="62" t="n">
        <v>63.63</v>
      </c>
      <c r="J4500" s="58" t="inlineStr">
        <is>
          <t>Online</t>
        </is>
      </c>
      <c r="K4500" s="62">
        <f>F4500*(G4500-H4500)</f>
        <v/>
      </c>
      <c r="L4500" s="62">
        <f>K4500-(F4500*I4500)</f>
        <v/>
      </c>
      <c r="M4500" s="64">
        <f>L4500/K4500</f>
        <v/>
      </c>
    </row>
    <row r="4501">
      <c r="A4501" s="58" t="inlineStr">
        <is>
          <t>RT20250427-04500</t>
        </is>
      </c>
      <c r="B4501" s="59" t="inlineStr">
        <is>
          <t>2025-04-27</t>
        </is>
      </c>
      <c r="C4501" s="60" t="inlineStr">
        <is>
          <t>Polar Cycling S-223</t>
        </is>
      </c>
      <c r="D4501" s="58" t="inlineStr">
        <is>
          <t>Sports</t>
        </is>
      </c>
      <c r="E4501" s="58" t="inlineStr">
        <is>
          <t>Central</t>
        </is>
      </c>
      <c r="F4501" s="61" t="n">
        <v>2</v>
      </c>
      <c r="G4501" s="62" t="n">
        <v>1021.34</v>
      </c>
      <c r="H4501" s="63" t="n">
        <v>0.062</v>
      </c>
      <c r="I4501" s="62" t="n">
        <v>637.09</v>
      </c>
      <c r="J4501" s="58" t="inlineStr">
        <is>
          <t>Store</t>
        </is>
      </c>
      <c r="K4501" s="62">
        <f>F4501*(G4501-H4501)</f>
        <v/>
      </c>
      <c r="L4501" s="62">
        <f>K4501-(F4501*I4501)</f>
        <v/>
      </c>
      <c r="M4501" s="64">
        <f>L4501/K4501</f>
        <v/>
      </c>
    </row>
    <row r="4502">
      <c r="A4502" s="58" t="inlineStr">
        <is>
          <t>RT20250427-04501</t>
        </is>
      </c>
      <c r="B4502" s="59" t="inlineStr">
        <is>
          <t>2025-04-27</t>
        </is>
      </c>
      <c r="C4502" s="60" t="inlineStr">
        <is>
          <t>Solace Smartphone Lite-533</t>
        </is>
      </c>
      <c r="D4502" s="58" t="inlineStr">
        <is>
          <t>Electronics</t>
        </is>
      </c>
      <c r="E4502" s="58" t="inlineStr">
        <is>
          <t>West</t>
        </is>
      </c>
      <c r="F4502" s="61" t="n">
        <v>1</v>
      </c>
      <c r="G4502" s="62" t="n">
        <v>1138.41</v>
      </c>
      <c r="H4502" s="63" t="n">
        <v>0.073</v>
      </c>
      <c r="I4502" s="62" t="n">
        <v>907.67</v>
      </c>
      <c r="J4502" s="58" t="inlineStr">
        <is>
          <t>Store</t>
        </is>
      </c>
      <c r="K4502" s="62">
        <f>F4502*(G4502-H4502)</f>
        <v/>
      </c>
      <c r="L4502" s="62">
        <f>K4502-(F4502*I4502)</f>
        <v/>
      </c>
      <c r="M4502" s="64">
        <f>L4502/K4502</f>
        <v/>
      </c>
    </row>
    <row r="4503">
      <c r="A4503" s="58" t="inlineStr">
        <is>
          <t>RT20250427-04502</t>
        </is>
      </c>
      <c r="B4503" s="59" t="inlineStr">
        <is>
          <t>2025-04-27</t>
        </is>
      </c>
      <c r="C4503" s="60" t="inlineStr">
        <is>
          <t>Aurora Outdoor Pro-467</t>
        </is>
      </c>
      <c r="D4503" s="58" t="inlineStr">
        <is>
          <t>Sports</t>
        </is>
      </c>
      <c r="E4503" s="58" t="inlineStr">
        <is>
          <t>Central</t>
        </is>
      </c>
      <c r="F4503" s="61" t="n">
        <v>1</v>
      </c>
      <c r="G4503" s="62" t="n">
        <v>304.86</v>
      </c>
      <c r="H4503" s="63" t="n">
        <v>0.051</v>
      </c>
      <c r="I4503" s="62" t="n">
        <v>187.72</v>
      </c>
      <c r="J4503" s="58" t="inlineStr">
        <is>
          <t>Phone</t>
        </is>
      </c>
      <c r="K4503" s="62">
        <f>F4503*(G4503-H4503)</f>
        <v/>
      </c>
      <c r="L4503" s="62">
        <f>K4503-(F4503*I4503)</f>
        <v/>
      </c>
      <c r="M4503" s="64">
        <f>L4503/K4503</f>
        <v/>
      </c>
    </row>
    <row r="4504">
      <c r="A4504" s="58" t="inlineStr">
        <is>
          <t>RT20250427-04503</t>
        </is>
      </c>
      <c r="B4504" s="59" t="inlineStr">
        <is>
          <t>2025-04-27</t>
        </is>
      </c>
      <c r="C4504" s="60" t="inlineStr">
        <is>
          <t>Vertex Appliance Max-338</t>
        </is>
      </c>
      <c r="D4504" s="58" t="inlineStr">
        <is>
          <t>Home</t>
        </is>
      </c>
      <c r="E4504" s="58" t="inlineStr">
        <is>
          <t>West</t>
        </is>
      </c>
      <c r="F4504" s="61" t="n">
        <v>1</v>
      </c>
      <c r="G4504" s="62" t="n">
        <v>435.79</v>
      </c>
      <c r="H4504" s="63" t="n">
        <v>0.064</v>
      </c>
      <c r="I4504" s="62" t="n">
        <v>283.63</v>
      </c>
      <c r="J4504" s="58" t="inlineStr">
        <is>
          <t>Online</t>
        </is>
      </c>
      <c r="K4504" s="62">
        <f>F4504*(G4504-H4504)</f>
        <v/>
      </c>
      <c r="L4504" s="62">
        <f>K4504-(F4504*I4504)</f>
        <v/>
      </c>
      <c r="M4504" s="64">
        <f>L4504/K4504</f>
        <v/>
      </c>
    </row>
    <row r="4505">
      <c r="A4505" s="58" t="inlineStr">
        <is>
          <t>RT20250427-04504</t>
        </is>
      </c>
      <c r="B4505" s="59" t="inlineStr">
        <is>
          <t>2025-04-27</t>
        </is>
      </c>
      <c r="C4505" s="60" t="inlineStr">
        <is>
          <t>Vertex Smartphone Lite-267</t>
        </is>
      </c>
      <c r="D4505" s="58" t="inlineStr">
        <is>
          <t>Electronics</t>
        </is>
      </c>
      <c r="E4505" s="58" t="inlineStr">
        <is>
          <t>East</t>
        </is>
      </c>
      <c r="F4505" s="61" t="n">
        <v>1</v>
      </c>
      <c r="G4505" s="62" t="n">
        <v>1134.02</v>
      </c>
      <c r="H4505" s="63" t="n">
        <v>0.07000000000000001</v>
      </c>
      <c r="I4505" s="62" t="n">
        <v>994.28</v>
      </c>
      <c r="J4505" s="58" t="inlineStr">
        <is>
          <t>Online</t>
        </is>
      </c>
      <c r="K4505" s="62">
        <f>F4505*(G4505-H4505)</f>
        <v/>
      </c>
      <c r="L4505" s="62">
        <f>K4505-(F4505*I4505)</f>
        <v/>
      </c>
      <c r="M4505" s="64">
        <f>L4505/K4505</f>
        <v/>
      </c>
    </row>
    <row r="4506">
      <c r="A4506" s="58" t="inlineStr">
        <is>
          <t>RT20250427-04505</t>
        </is>
      </c>
      <c r="B4506" s="59" t="inlineStr">
        <is>
          <t>2025-04-27</t>
        </is>
      </c>
      <c r="C4506" s="60" t="inlineStr">
        <is>
          <t>Vertex Supplie X-513</t>
        </is>
      </c>
      <c r="D4506" s="58" t="inlineStr">
        <is>
          <t>Office</t>
        </is>
      </c>
      <c r="E4506" s="58" t="inlineStr">
        <is>
          <t>North</t>
        </is>
      </c>
      <c r="F4506" s="61" t="n">
        <v>3</v>
      </c>
      <c r="G4506" s="62" t="n">
        <v>377.25</v>
      </c>
      <c r="H4506" s="63" t="n">
        <v>0.093</v>
      </c>
      <c r="I4506" s="62" t="n">
        <v>273.35</v>
      </c>
      <c r="J4506" s="58" t="inlineStr">
        <is>
          <t>Online</t>
        </is>
      </c>
      <c r="K4506" s="62">
        <f>F4506*(G4506-H4506)</f>
        <v/>
      </c>
      <c r="L4506" s="62">
        <f>K4506-(F4506*I4506)</f>
        <v/>
      </c>
      <c r="M4506" s="64">
        <f>L4506/K4506</f>
        <v/>
      </c>
    </row>
    <row r="4507">
      <c r="A4507" s="58" t="inlineStr">
        <is>
          <t>RT20250427-04506</t>
        </is>
      </c>
      <c r="B4507" s="59" t="inlineStr">
        <is>
          <t>2025-04-27</t>
        </is>
      </c>
      <c r="C4507" s="60" t="inlineStr">
        <is>
          <t>Polar Cycling X-649</t>
        </is>
      </c>
      <c r="D4507" s="58" t="inlineStr">
        <is>
          <t>Sports</t>
        </is>
      </c>
      <c r="E4507" s="58" t="inlineStr">
        <is>
          <t>East</t>
        </is>
      </c>
      <c r="F4507" s="61" t="n">
        <v>3</v>
      </c>
      <c r="G4507" s="62" t="n">
        <v>571.53</v>
      </c>
      <c r="H4507" s="63" t="n">
        <v>0.065</v>
      </c>
      <c r="I4507" s="62" t="n">
        <v>357.48</v>
      </c>
      <c r="J4507" s="58" t="inlineStr">
        <is>
          <t>Store</t>
        </is>
      </c>
      <c r="K4507" s="62">
        <f>F4507*(G4507-H4507)</f>
        <v/>
      </c>
      <c r="L4507" s="62">
        <f>K4507-(F4507*I4507)</f>
        <v/>
      </c>
      <c r="M4507" s="64">
        <f>L4507/K4507</f>
        <v/>
      </c>
    </row>
    <row r="4508">
      <c r="A4508" s="58" t="inlineStr">
        <is>
          <t>RT20250427-04507</t>
        </is>
      </c>
      <c r="B4508" s="59" t="inlineStr">
        <is>
          <t>2025-04-27</t>
        </is>
      </c>
      <c r="C4508" s="60" t="inlineStr">
        <is>
          <t>Aurora Wearable Lite-704</t>
        </is>
      </c>
      <c r="D4508" s="58" t="inlineStr">
        <is>
          <t>Electronics</t>
        </is>
      </c>
      <c r="E4508" s="58" t="inlineStr">
        <is>
          <t>West</t>
        </is>
      </c>
      <c r="F4508" s="61" t="n">
        <v>2</v>
      </c>
      <c r="G4508" s="62" t="n">
        <v>2000.79</v>
      </c>
      <c r="H4508" s="63" t="n">
        <v>0.068</v>
      </c>
      <c r="I4508" s="62" t="n">
        <v>1422.52</v>
      </c>
      <c r="J4508" s="58" t="inlineStr">
        <is>
          <t>Store</t>
        </is>
      </c>
      <c r="K4508" s="62">
        <f>F4508*(G4508-H4508)</f>
        <v/>
      </c>
      <c r="L4508" s="62">
        <f>K4508-(F4508*I4508)</f>
        <v/>
      </c>
      <c r="M4508" s="64">
        <f>L4508/K4508</f>
        <v/>
      </c>
    </row>
    <row r="4509">
      <c r="A4509" s="58" t="inlineStr">
        <is>
          <t>RT20250427-04508</t>
        </is>
      </c>
      <c r="B4509" s="59" t="inlineStr">
        <is>
          <t>2025-04-27</t>
        </is>
      </c>
      <c r="C4509" s="60" t="inlineStr">
        <is>
          <t>Nimbus Men Plus-231</t>
        </is>
      </c>
      <c r="D4509" s="58" t="inlineStr">
        <is>
          <t>Apparel</t>
        </is>
      </c>
      <c r="E4509" s="58" t="inlineStr">
        <is>
          <t>East</t>
        </is>
      </c>
      <c r="F4509" s="61" t="n">
        <v>1</v>
      </c>
      <c r="G4509" s="62" t="n">
        <v>141.77</v>
      </c>
      <c r="H4509" s="63" t="n">
        <v>0.064</v>
      </c>
      <c r="I4509" s="62" t="n">
        <v>90.31</v>
      </c>
      <c r="J4509" s="58" t="inlineStr">
        <is>
          <t>Online</t>
        </is>
      </c>
      <c r="K4509" s="62">
        <f>F4509*(G4509-H4509)</f>
        <v/>
      </c>
      <c r="L4509" s="62">
        <f>K4509-(F4509*I4509)</f>
        <v/>
      </c>
      <c r="M4509" s="64">
        <f>L4509/K4509</f>
        <v/>
      </c>
    </row>
    <row r="4510">
      <c r="A4510" s="58" t="inlineStr">
        <is>
          <t>RT20250427-04509</t>
        </is>
      </c>
      <c r="B4510" s="59" t="inlineStr">
        <is>
          <t>2025-04-27</t>
        </is>
      </c>
      <c r="C4510" s="60" t="inlineStr">
        <is>
          <t>Polar Women Max-927</t>
        </is>
      </c>
      <c r="D4510" s="58" t="inlineStr">
        <is>
          <t>Apparel</t>
        </is>
      </c>
      <c r="E4510" s="58" t="inlineStr">
        <is>
          <t>East</t>
        </is>
      </c>
      <c r="F4510" s="61" t="n">
        <v>1</v>
      </c>
      <c r="G4510" s="62" t="n">
        <v>95.98999999999999</v>
      </c>
      <c r="H4510" s="63" t="n">
        <v>0.019</v>
      </c>
      <c r="I4510" s="62" t="n">
        <v>66.77</v>
      </c>
      <c r="J4510" s="58" t="inlineStr">
        <is>
          <t>Online</t>
        </is>
      </c>
      <c r="K4510" s="62">
        <f>F4510*(G4510-H4510)</f>
        <v/>
      </c>
      <c r="L4510" s="62">
        <f>K4510-(F4510*I4510)</f>
        <v/>
      </c>
      <c r="M4510" s="64">
        <f>L4510/K4510</f>
        <v/>
      </c>
    </row>
    <row r="4511">
      <c r="A4511" s="58" t="inlineStr">
        <is>
          <t>RT20250428-04510</t>
        </is>
      </c>
      <c r="B4511" s="59" t="inlineStr">
        <is>
          <t>2025-04-28</t>
        </is>
      </c>
      <c r="C4511" s="60" t="inlineStr">
        <is>
          <t>Orion Team Sport X-926</t>
        </is>
      </c>
      <c r="D4511" s="58" t="inlineStr">
        <is>
          <t>Sports</t>
        </is>
      </c>
      <c r="E4511" s="58" t="inlineStr">
        <is>
          <t>North</t>
        </is>
      </c>
      <c r="F4511" s="61" t="n">
        <v>1</v>
      </c>
      <c r="G4511" s="62" t="n">
        <v>303.3</v>
      </c>
      <c r="H4511" s="63" t="n">
        <v>0.042</v>
      </c>
      <c r="I4511" s="62" t="n">
        <v>214.26</v>
      </c>
      <c r="J4511" s="58" t="inlineStr">
        <is>
          <t>Store</t>
        </is>
      </c>
      <c r="K4511" s="62">
        <f>F4511*(G4511-H4511)</f>
        <v/>
      </c>
      <c r="L4511" s="62">
        <f>K4511-(F4511*I4511)</f>
        <v/>
      </c>
      <c r="M4511" s="64">
        <f>L4511/K4511</f>
        <v/>
      </c>
    </row>
    <row r="4512">
      <c r="A4512" s="58" t="inlineStr">
        <is>
          <t>RT20250428-04511</t>
        </is>
      </c>
      <c r="B4512" s="59" t="inlineStr">
        <is>
          <t>2025-04-28</t>
        </is>
      </c>
      <c r="C4512" s="60" t="inlineStr">
        <is>
          <t>Solace Kitchen X-919</t>
        </is>
      </c>
      <c r="D4512" s="58" t="inlineStr">
        <is>
          <t>Home</t>
        </is>
      </c>
      <c r="E4512" s="58" t="inlineStr">
        <is>
          <t>Central</t>
        </is>
      </c>
      <c r="F4512" s="61" t="n">
        <v>2</v>
      </c>
      <c r="G4512" s="62" t="n">
        <v>371.53</v>
      </c>
      <c r="H4512" s="63" t="n">
        <v>0.073</v>
      </c>
      <c r="I4512" s="62" t="n">
        <v>255.86</v>
      </c>
      <c r="J4512" s="58" t="inlineStr">
        <is>
          <t>Online</t>
        </is>
      </c>
      <c r="K4512" s="62">
        <f>F4512*(G4512-H4512)</f>
        <v/>
      </c>
      <c r="L4512" s="62">
        <f>K4512-(F4512*I4512)</f>
        <v/>
      </c>
      <c r="M4512" s="64">
        <f>L4512/K4512</f>
        <v/>
      </c>
    </row>
    <row r="4513">
      <c r="A4513" s="58" t="inlineStr">
        <is>
          <t>RT20250428-04512</t>
        </is>
      </c>
      <c r="B4513" s="59" t="inlineStr">
        <is>
          <t>2025-04-28</t>
        </is>
      </c>
      <c r="C4513" s="60" t="inlineStr">
        <is>
          <t>Polar Women Max-927</t>
        </is>
      </c>
      <c r="D4513" s="58" t="inlineStr">
        <is>
          <t>Apparel</t>
        </is>
      </c>
      <c r="E4513" s="58" t="inlineStr">
        <is>
          <t>Central</t>
        </is>
      </c>
      <c r="F4513" s="61" t="n">
        <v>1</v>
      </c>
      <c r="G4513" s="62" t="n">
        <v>111.18</v>
      </c>
      <c r="H4513" s="63" t="n">
        <v>0.079</v>
      </c>
      <c r="I4513" s="62" t="n">
        <v>67.15000000000001</v>
      </c>
      <c r="J4513" s="58" t="inlineStr">
        <is>
          <t>Online</t>
        </is>
      </c>
      <c r="K4513" s="62">
        <f>F4513*(G4513-H4513)</f>
        <v/>
      </c>
      <c r="L4513" s="62">
        <f>K4513-(F4513*I4513)</f>
        <v/>
      </c>
      <c r="M4513" s="64">
        <f>L4513/K4513</f>
        <v/>
      </c>
    </row>
    <row r="4514">
      <c r="A4514" s="58" t="inlineStr">
        <is>
          <t>RT20250428-04513</t>
        </is>
      </c>
      <c r="B4514" s="59" t="inlineStr">
        <is>
          <t>2025-04-28</t>
        </is>
      </c>
      <c r="C4514" s="60" t="inlineStr">
        <is>
          <t>Solace Smartphone Lite-533</t>
        </is>
      </c>
      <c r="D4514" s="58" t="inlineStr">
        <is>
          <t>Electronics</t>
        </is>
      </c>
      <c r="E4514" s="58" t="inlineStr">
        <is>
          <t>East</t>
        </is>
      </c>
      <c r="F4514" s="61" t="n">
        <v>1</v>
      </c>
      <c r="G4514" s="62" t="n">
        <v>1223.66</v>
      </c>
      <c r="H4514" s="63" t="n">
        <v>0.036</v>
      </c>
      <c r="I4514" s="62" t="n">
        <v>935.72</v>
      </c>
      <c r="J4514" s="58" t="inlineStr">
        <is>
          <t>Online</t>
        </is>
      </c>
      <c r="K4514" s="62">
        <f>F4514*(G4514-H4514)</f>
        <v/>
      </c>
      <c r="L4514" s="62">
        <f>K4514-(F4514*I4514)</f>
        <v/>
      </c>
      <c r="M4514" s="64">
        <f>L4514/K4514</f>
        <v/>
      </c>
    </row>
    <row r="4515">
      <c r="A4515" s="58" t="inlineStr">
        <is>
          <t>RT20250428-04514</t>
        </is>
      </c>
      <c r="B4515" s="59" t="inlineStr">
        <is>
          <t>2025-04-28</t>
        </is>
      </c>
      <c r="C4515" s="60" t="inlineStr">
        <is>
          <t>Nimbus Decor Lite-385</t>
        </is>
      </c>
      <c r="D4515" s="58" t="inlineStr">
        <is>
          <t>Home</t>
        </is>
      </c>
      <c r="E4515" s="58" t="inlineStr">
        <is>
          <t>Central</t>
        </is>
      </c>
      <c r="F4515" s="61" t="n">
        <v>1</v>
      </c>
      <c r="G4515" s="62" t="n">
        <v>541.23</v>
      </c>
      <c r="H4515" s="63" t="n">
        <v>0.017</v>
      </c>
      <c r="I4515" s="62" t="n">
        <v>386.13</v>
      </c>
      <c r="J4515" s="58" t="inlineStr">
        <is>
          <t>Store</t>
        </is>
      </c>
      <c r="K4515" s="62">
        <f>F4515*(G4515-H4515)</f>
        <v/>
      </c>
      <c r="L4515" s="62">
        <f>K4515-(F4515*I4515)</f>
        <v/>
      </c>
      <c r="M4515" s="64">
        <f>L4515/K4515</f>
        <v/>
      </c>
    </row>
    <row r="4516">
      <c r="A4516" s="58" t="inlineStr">
        <is>
          <t>RT20250428-04515</t>
        </is>
      </c>
      <c r="B4516" s="59" t="inlineStr">
        <is>
          <t>2025-04-28</t>
        </is>
      </c>
      <c r="C4516" s="60" t="inlineStr">
        <is>
          <t>Nimbus Storage Plus-646</t>
        </is>
      </c>
      <c r="D4516" s="58" t="inlineStr">
        <is>
          <t>Office</t>
        </is>
      </c>
      <c r="E4516" s="58" t="inlineStr">
        <is>
          <t>South</t>
        </is>
      </c>
      <c r="F4516" s="61" t="n">
        <v>2</v>
      </c>
      <c r="G4516" s="62" t="n">
        <v>440.66</v>
      </c>
      <c r="H4516" s="63" t="n">
        <v>0.043</v>
      </c>
      <c r="I4516" s="62" t="n">
        <v>322.89</v>
      </c>
      <c r="J4516" s="58" t="inlineStr">
        <is>
          <t>Online</t>
        </is>
      </c>
      <c r="K4516" s="62">
        <f>F4516*(G4516-H4516)</f>
        <v/>
      </c>
      <c r="L4516" s="62">
        <f>K4516-(F4516*I4516)</f>
        <v/>
      </c>
      <c r="M4516" s="64">
        <f>L4516/K4516</f>
        <v/>
      </c>
    </row>
    <row r="4517">
      <c r="A4517" s="58" t="inlineStr">
        <is>
          <t>RT20250428-04516</t>
        </is>
      </c>
      <c r="B4517" s="59" t="inlineStr">
        <is>
          <t>2025-04-28</t>
        </is>
      </c>
      <c r="C4517" s="60" t="inlineStr">
        <is>
          <t>Metro Pantry Max-180</t>
        </is>
      </c>
      <c r="D4517" s="58" t="inlineStr">
        <is>
          <t>Grocery</t>
        </is>
      </c>
      <c r="E4517" s="58" t="inlineStr">
        <is>
          <t>South</t>
        </is>
      </c>
      <c r="F4517" s="61" t="n">
        <v>1</v>
      </c>
      <c r="G4517" s="62" t="n">
        <v>8.890000000000001</v>
      </c>
      <c r="H4517" s="63" t="n">
        <v>0.027</v>
      </c>
      <c r="I4517" s="62" t="n">
        <v>6.57</v>
      </c>
      <c r="J4517" s="58" t="inlineStr">
        <is>
          <t>Online</t>
        </is>
      </c>
      <c r="K4517" s="62">
        <f>F4517*(G4517-H4517)</f>
        <v/>
      </c>
      <c r="L4517" s="62">
        <f>K4517-(F4517*I4517)</f>
        <v/>
      </c>
      <c r="M4517" s="64">
        <f>L4517/K4517</f>
        <v/>
      </c>
    </row>
    <row r="4518">
      <c r="A4518" s="58" t="inlineStr">
        <is>
          <t>RT20250428-04517</t>
        </is>
      </c>
      <c r="B4518" s="59" t="inlineStr">
        <is>
          <t>2025-04-28</t>
        </is>
      </c>
      <c r="C4518" s="60" t="inlineStr">
        <is>
          <t>Aurora Haircare S-975</t>
        </is>
      </c>
      <c r="D4518" s="58" t="inlineStr">
        <is>
          <t>Beauty</t>
        </is>
      </c>
      <c r="E4518" s="58" t="inlineStr">
        <is>
          <t>North</t>
        </is>
      </c>
      <c r="F4518" s="61" t="n">
        <v>5</v>
      </c>
      <c r="G4518" s="62" t="n">
        <v>90.47</v>
      </c>
      <c r="H4518" s="63" t="n">
        <v>0.079</v>
      </c>
      <c r="I4518" s="62" t="n">
        <v>57.94</v>
      </c>
      <c r="J4518" s="58" t="inlineStr">
        <is>
          <t>Online</t>
        </is>
      </c>
      <c r="K4518" s="62">
        <f>F4518*(G4518-H4518)</f>
        <v/>
      </c>
      <c r="L4518" s="62">
        <f>K4518-(F4518*I4518)</f>
        <v/>
      </c>
      <c r="M4518" s="64">
        <f>L4518/K4518</f>
        <v/>
      </c>
    </row>
    <row r="4519">
      <c r="A4519" s="58" t="inlineStr">
        <is>
          <t>RT20250428-04518</t>
        </is>
      </c>
      <c r="B4519" s="59" t="inlineStr">
        <is>
          <t>2025-04-28</t>
        </is>
      </c>
      <c r="C4519" s="60" t="inlineStr">
        <is>
          <t>Polar Bedding Lite-243</t>
        </is>
      </c>
      <c r="D4519" s="58" t="inlineStr">
        <is>
          <t>Home</t>
        </is>
      </c>
      <c r="E4519" s="58" t="inlineStr">
        <is>
          <t>West</t>
        </is>
      </c>
      <c r="F4519" s="61" t="n">
        <v>2</v>
      </c>
      <c r="G4519" s="62" t="n">
        <v>495.59</v>
      </c>
      <c r="H4519" s="63" t="n">
        <v>0.08</v>
      </c>
      <c r="I4519" s="62" t="n">
        <v>314.29</v>
      </c>
      <c r="J4519" s="58" t="inlineStr">
        <is>
          <t>Online</t>
        </is>
      </c>
      <c r="K4519" s="62">
        <f>F4519*(G4519-H4519)</f>
        <v/>
      </c>
      <c r="L4519" s="62">
        <f>K4519-(F4519*I4519)</f>
        <v/>
      </c>
      <c r="M4519" s="64">
        <f>L4519/K4519</f>
        <v/>
      </c>
    </row>
    <row r="4520">
      <c r="A4520" s="58" t="inlineStr">
        <is>
          <t>RT20250428-04519</t>
        </is>
      </c>
      <c r="B4520" s="59" t="inlineStr">
        <is>
          <t>2025-04-28</t>
        </is>
      </c>
      <c r="C4520" s="60" t="inlineStr">
        <is>
          <t>Nimbus Cycling Plus-911</t>
        </is>
      </c>
      <c r="D4520" s="58" t="inlineStr">
        <is>
          <t>Sports</t>
        </is>
      </c>
      <c r="E4520" s="58" t="inlineStr">
        <is>
          <t>North</t>
        </is>
      </c>
      <c r="F4520" s="61" t="n">
        <v>2</v>
      </c>
      <c r="G4520" s="62" t="n">
        <v>623.97</v>
      </c>
      <c r="H4520" s="63" t="n">
        <v>0.093</v>
      </c>
      <c r="I4520" s="62" t="n">
        <v>401.06</v>
      </c>
      <c r="J4520" s="58" t="inlineStr">
        <is>
          <t>Online</t>
        </is>
      </c>
      <c r="K4520" s="62">
        <f>F4520*(G4520-H4520)</f>
        <v/>
      </c>
      <c r="L4520" s="62">
        <f>K4520-(F4520*I4520)</f>
        <v/>
      </c>
      <c r="M4520" s="64">
        <f>L4520/K4520</f>
        <v/>
      </c>
    </row>
    <row r="4521">
      <c r="A4521" s="58" t="inlineStr">
        <is>
          <t>RT20250428-04520</t>
        </is>
      </c>
      <c r="B4521" s="59" t="inlineStr">
        <is>
          <t>2025-04-28</t>
        </is>
      </c>
      <c r="C4521" s="60" t="inlineStr">
        <is>
          <t>Metro Laptop Plus-376</t>
        </is>
      </c>
      <c r="D4521" s="58" t="inlineStr">
        <is>
          <t>Electronics</t>
        </is>
      </c>
      <c r="E4521" s="58" t="inlineStr">
        <is>
          <t>South</t>
        </is>
      </c>
      <c r="F4521" s="61" t="n">
        <v>2</v>
      </c>
      <c r="G4521" s="62" t="n">
        <v>1239.83</v>
      </c>
      <c r="H4521" s="63" t="n">
        <v>0.048</v>
      </c>
      <c r="I4521" s="62" t="n">
        <v>1026.92</v>
      </c>
      <c r="J4521" s="58" t="inlineStr">
        <is>
          <t>Online</t>
        </is>
      </c>
      <c r="K4521" s="62">
        <f>F4521*(G4521-H4521)</f>
        <v/>
      </c>
      <c r="L4521" s="62">
        <f>K4521-(F4521*I4521)</f>
        <v/>
      </c>
      <c r="M4521" s="64">
        <f>L4521/K4521</f>
        <v/>
      </c>
    </row>
    <row r="4522">
      <c r="A4522" s="58" t="inlineStr">
        <is>
          <t>RT20250428-04521</t>
        </is>
      </c>
      <c r="B4522" s="59" t="inlineStr">
        <is>
          <t>2025-04-28</t>
        </is>
      </c>
      <c r="C4522" s="60" t="inlineStr">
        <is>
          <t>Vertex Furniture S-652</t>
        </is>
      </c>
      <c r="D4522" s="58" t="inlineStr">
        <is>
          <t>Office</t>
        </is>
      </c>
      <c r="E4522" s="58" t="inlineStr">
        <is>
          <t>East</t>
        </is>
      </c>
      <c r="F4522" s="61" t="n">
        <v>2</v>
      </c>
      <c r="G4522" s="62" t="n">
        <v>354.55</v>
      </c>
      <c r="H4522" s="63" t="n">
        <v>0.082</v>
      </c>
      <c r="I4522" s="62" t="n">
        <v>261.06</v>
      </c>
      <c r="J4522" s="58" t="inlineStr">
        <is>
          <t>Online</t>
        </is>
      </c>
      <c r="K4522" s="62">
        <f>F4522*(G4522-H4522)</f>
        <v/>
      </c>
      <c r="L4522" s="62">
        <f>K4522-(F4522*I4522)</f>
        <v/>
      </c>
      <c r="M4522" s="64">
        <f>L4522/K4522</f>
        <v/>
      </c>
    </row>
    <row r="4523">
      <c r="A4523" s="58" t="inlineStr">
        <is>
          <t>RT20250428-04522</t>
        </is>
      </c>
      <c r="B4523" s="59" t="inlineStr">
        <is>
          <t>2025-04-28</t>
        </is>
      </c>
      <c r="C4523" s="60" t="inlineStr">
        <is>
          <t>Orion Men X-928</t>
        </is>
      </c>
      <c r="D4523" s="58" t="inlineStr">
        <is>
          <t>Apparel</t>
        </is>
      </c>
      <c r="E4523" s="58" t="inlineStr">
        <is>
          <t>West</t>
        </is>
      </c>
      <c r="F4523" s="61" t="n">
        <v>2</v>
      </c>
      <c r="G4523" s="62" t="n">
        <v>100.75</v>
      </c>
      <c r="H4523" s="63" t="n">
        <v>0.103</v>
      </c>
      <c r="I4523" s="62" t="n">
        <v>64.75</v>
      </c>
      <c r="J4523" s="58" t="inlineStr">
        <is>
          <t>Online</t>
        </is>
      </c>
      <c r="K4523" s="62">
        <f>F4523*(G4523-H4523)</f>
        <v/>
      </c>
      <c r="L4523" s="62">
        <f>K4523-(F4523*I4523)</f>
        <v/>
      </c>
      <c r="M4523" s="64">
        <f>L4523/K4523</f>
        <v/>
      </c>
    </row>
    <row r="4524">
      <c r="A4524" s="58" t="inlineStr">
        <is>
          <t>RT20250428-04523</t>
        </is>
      </c>
      <c r="B4524" s="59" t="inlineStr">
        <is>
          <t>2025-04-28</t>
        </is>
      </c>
      <c r="C4524" s="60" t="inlineStr">
        <is>
          <t>Polar Outdoor X-193</t>
        </is>
      </c>
      <c r="D4524" s="58" t="inlineStr">
        <is>
          <t>Sports</t>
        </is>
      </c>
      <c r="E4524" s="58" t="inlineStr">
        <is>
          <t>Central</t>
        </is>
      </c>
      <c r="F4524" s="61" t="n">
        <v>3</v>
      </c>
      <c r="G4524" s="62" t="n">
        <v>655.59</v>
      </c>
      <c r="H4524" s="63" t="n">
        <v>0.027</v>
      </c>
      <c r="I4524" s="62" t="n">
        <v>452.64</v>
      </c>
      <c r="J4524" s="58" t="inlineStr">
        <is>
          <t>Online</t>
        </is>
      </c>
      <c r="K4524" s="62">
        <f>F4524*(G4524-H4524)</f>
        <v/>
      </c>
      <c r="L4524" s="62">
        <f>K4524-(F4524*I4524)</f>
        <v/>
      </c>
      <c r="M4524" s="64">
        <f>L4524/K4524</f>
        <v/>
      </c>
    </row>
    <row r="4525">
      <c r="A4525" s="58" t="inlineStr">
        <is>
          <t>RT20250428-04524</t>
        </is>
      </c>
      <c r="B4525" s="59" t="inlineStr">
        <is>
          <t>2025-04-28</t>
        </is>
      </c>
      <c r="C4525" s="60" t="inlineStr">
        <is>
          <t>Falcon Furniture Plus-839</t>
        </is>
      </c>
      <c r="D4525" s="58" t="inlineStr">
        <is>
          <t>Office</t>
        </is>
      </c>
      <c r="E4525" s="58" t="inlineStr">
        <is>
          <t>Central</t>
        </is>
      </c>
      <c r="F4525" s="61" t="n">
        <v>3</v>
      </c>
      <c r="G4525" s="62" t="n">
        <v>319.09</v>
      </c>
      <c r="H4525" s="63" t="n">
        <v>0.05</v>
      </c>
      <c r="I4525" s="62" t="n">
        <v>233.02</v>
      </c>
      <c r="J4525" s="58" t="inlineStr">
        <is>
          <t>Store</t>
        </is>
      </c>
      <c r="K4525" s="62">
        <f>F4525*(G4525-H4525)</f>
        <v/>
      </c>
      <c r="L4525" s="62">
        <f>K4525-(F4525*I4525)</f>
        <v/>
      </c>
      <c r="M4525" s="64">
        <f>L4525/K4525</f>
        <v/>
      </c>
    </row>
    <row r="4526">
      <c r="A4526" s="58" t="inlineStr">
        <is>
          <t>RT20250428-04525</t>
        </is>
      </c>
      <c r="B4526" s="59" t="inlineStr">
        <is>
          <t>2025-04-28</t>
        </is>
      </c>
      <c r="C4526" s="60" t="inlineStr">
        <is>
          <t>Falcon Furniture Plus-839</t>
        </is>
      </c>
      <c r="D4526" s="58" t="inlineStr">
        <is>
          <t>Office</t>
        </is>
      </c>
      <c r="E4526" s="58" t="inlineStr">
        <is>
          <t>South</t>
        </is>
      </c>
      <c r="F4526" s="61" t="n">
        <v>1</v>
      </c>
      <c r="G4526" s="62" t="n">
        <v>323.49</v>
      </c>
      <c r="H4526" s="63" t="n">
        <v>0.056</v>
      </c>
      <c r="I4526" s="62" t="n">
        <v>227.19</v>
      </c>
      <c r="J4526" s="58" t="inlineStr">
        <is>
          <t>Store</t>
        </is>
      </c>
      <c r="K4526" s="62">
        <f>F4526*(G4526-H4526)</f>
        <v/>
      </c>
      <c r="L4526" s="62">
        <f>K4526-(F4526*I4526)</f>
        <v/>
      </c>
      <c r="M4526" s="64">
        <f>L4526/K4526</f>
        <v/>
      </c>
    </row>
    <row r="4527">
      <c r="A4527" s="58" t="inlineStr">
        <is>
          <t>RT20250428-04526</t>
        </is>
      </c>
      <c r="B4527" s="59" t="inlineStr">
        <is>
          <t>2025-04-28</t>
        </is>
      </c>
      <c r="C4527" s="60" t="inlineStr">
        <is>
          <t>Polar Wearable X-119</t>
        </is>
      </c>
      <c r="D4527" s="58" t="inlineStr">
        <is>
          <t>Electronics</t>
        </is>
      </c>
      <c r="E4527" s="58" t="inlineStr">
        <is>
          <t>West</t>
        </is>
      </c>
      <c r="F4527" s="61" t="n">
        <v>1</v>
      </c>
      <c r="G4527" s="62" t="n">
        <v>1866.33</v>
      </c>
      <c r="H4527" s="63" t="n">
        <v>0.06900000000000001</v>
      </c>
      <c r="I4527" s="62" t="n">
        <v>1359.9</v>
      </c>
      <c r="J4527" s="58" t="inlineStr">
        <is>
          <t>Store</t>
        </is>
      </c>
      <c r="K4527" s="62">
        <f>F4527*(G4527-H4527)</f>
        <v/>
      </c>
      <c r="L4527" s="62">
        <f>K4527-(F4527*I4527)</f>
        <v/>
      </c>
      <c r="M4527" s="64">
        <f>L4527/K4527</f>
        <v/>
      </c>
    </row>
    <row r="4528">
      <c r="A4528" s="58" t="inlineStr">
        <is>
          <t>RT20250428-04527</t>
        </is>
      </c>
      <c r="B4528" s="59" t="inlineStr">
        <is>
          <t>2025-04-28</t>
        </is>
      </c>
      <c r="C4528" s="60" t="inlineStr">
        <is>
          <t>Falcon Headphone Plus-789</t>
        </is>
      </c>
      <c r="D4528" s="58" t="inlineStr">
        <is>
          <t>Electronics</t>
        </is>
      </c>
      <c r="E4528" s="58" t="inlineStr">
        <is>
          <t>West</t>
        </is>
      </c>
      <c r="F4528" s="61" t="n">
        <v>2</v>
      </c>
      <c r="G4528" s="62" t="n">
        <v>1589.18</v>
      </c>
      <c r="H4528" s="63" t="n">
        <v>0.05</v>
      </c>
      <c r="I4528" s="62" t="n">
        <v>1337.43</v>
      </c>
      <c r="J4528" s="58" t="inlineStr">
        <is>
          <t>Store</t>
        </is>
      </c>
      <c r="K4528" s="62">
        <f>F4528*(G4528-H4528)</f>
        <v/>
      </c>
      <c r="L4528" s="62">
        <f>K4528-(F4528*I4528)</f>
        <v/>
      </c>
      <c r="M4528" s="64">
        <f>L4528/K4528</f>
        <v/>
      </c>
    </row>
    <row r="4529">
      <c r="A4529" s="58" t="inlineStr">
        <is>
          <t>RT20250428-04528</t>
        </is>
      </c>
      <c r="B4529" s="59" t="inlineStr">
        <is>
          <t>2025-04-28</t>
        </is>
      </c>
      <c r="C4529" s="60" t="inlineStr">
        <is>
          <t>Falcon Headphone Pro-713</t>
        </is>
      </c>
      <c r="D4529" s="58" t="inlineStr">
        <is>
          <t>Electronics</t>
        </is>
      </c>
      <c r="E4529" s="58" t="inlineStr">
        <is>
          <t>South</t>
        </is>
      </c>
      <c r="F4529" s="61" t="n">
        <v>2</v>
      </c>
      <c r="G4529" s="62" t="n">
        <v>1429.41</v>
      </c>
      <c r="H4529" s="63" t="n">
        <v>0.062</v>
      </c>
      <c r="I4529" s="62" t="n">
        <v>1186.51</v>
      </c>
      <c r="J4529" s="58" t="inlineStr">
        <is>
          <t>Online</t>
        </is>
      </c>
      <c r="K4529" s="62">
        <f>F4529*(G4529-H4529)</f>
        <v/>
      </c>
      <c r="L4529" s="62">
        <f>K4529-(F4529*I4529)</f>
        <v/>
      </c>
      <c r="M4529" s="64">
        <f>L4529/K4529</f>
        <v/>
      </c>
    </row>
    <row r="4530">
      <c r="A4530" s="58" t="inlineStr">
        <is>
          <t>RT20250428-04529</t>
        </is>
      </c>
      <c r="B4530" s="59" t="inlineStr">
        <is>
          <t>2025-04-28</t>
        </is>
      </c>
      <c r="C4530" s="60" t="inlineStr">
        <is>
          <t>Aurora Smartphone Plus-125</t>
        </is>
      </c>
      <c r="D4530" s="58" t="inlineStr">
        <is>
          <t>Electronics</t>
        </is>
      </c>
      <c r="E4530" s="58" t="inlineStr">
        <is>
          <t>Central</t>
        </is>
      </c>
      <c r="F4530" s="61" t="n">
        <v>1</v>
      </c>
      <c r="G4530" s="62" t="n">
        <v>1525.07</v>
      </c>
      <c r="H4530" s="63" t="n">
        <v>0.113</v>
      </c>
      <c r="I4530" s="62" t="n">
        <v>1198.96</v>
      </c>
      <c r="J4530" s="58" t="inlineStr">
        <is>
          <t>Online</t>
        </is>
      </c>
      <c r="K4530" s="62">
        <f>F4530*(G4530-H4530)</f>
        <v/>
      </c>
      <c r="L4530" s="62">
        <f>K4530-(F4530*I4530)</f>
        <v/>
      </c>
      <c r="M4530" s="64">
        <f>L4530/K4530</f>
        <v/>
      </c>
    </row>
    <row r="4531">
      <c r="A4531" s="58" t="inlineStr">
        <is>
          <t>RT20250428-04530</t>
        </is>
      </c>
      <c r="B4531" s="59" t="inlineStr">
        <is>
          <t>2025-04-28</t>
        </is>
      </c>
      <c r="C4531" s="60" t="inlineStr">
        <is>
          <t>Polar Fragrance Pro-750</t>
        </is>
      </c>
      <c r="D4531" s="58" t="inlineStr">
        <is>
          <t>Beauty</t>
        </is>
      </c>
      <c r="E4531" s="58" t="inlineStr">
        <is>
          <t>East</t>
        </is>
      </c>
      <c r="F4531" s="61" t="n">
        <v>4</v>
      </c>
      <c r="G4531" s="62" t="n">
        <v>62.67</v>
      </c>
      <c r="H4531" s="63" t="n">
        <v>0.065</v>
      </c>
      <c r="I4531" s="62" t="n">
        <v>37.33</v>
      </c>
      <c r="J4531" s="58" t="inlineStr">
        <is>
          <t>Store</t>
        </is>
      </c>
      <c r="K4531" s="62">
        <f>F4531*(G4531-H4531)</f>
        <v/>
      </c>
      <c r="L4531" s="62">
        <f>K4531-(F4531*I4531)</f>
        <v/>
      </c>
      <c r="M4531" s="64">
        <f>L4531/K4531</f>
        <v/>
      </c>
    </row>
    <row r="4532">
      <c r="A4532" s="58" t="inlineStr">
        <is>
          <t>RT20250428-04531</t>
        </is>
      </c>
      <c r="B4532" s="59" t="inlineStr">
        <is>
          <t>2025-04-28</t>
        </is>
      </c>
      <c r="C4532" s="60" t="inlineStr">
        <is>
          <t>Falcon Household Pro-865</t>
        </is>
      </c>
      <c r="D4532" s="58" t="inlineStr">
        <is>
          <t>Grocery</t>
        </is>
      </c>
      <c r="E4532" s="58" t="inlineStr">
        <is>
          <t>North</t>
        </is>
      </c>
      <c r="F4532" s="61" t="n">
        <v>2</v>
      </c>
      <c r="G4532" s="62" t="n">
        <v>9.699999999999999</v>
      </c>
      <c r="H4532" s="63" t="n">
        <v>0.08599999999999999</v>
      </c>
      <c r="I4532" s="62" t="n">
        <v>7.78</v>
      </c>
      <c r="J4532" s="58" t="inlineStr">
        <is>
          <t>Online</t>
        </is>
      </c>
      <c r="K4532" s="62">
        <f>F4532*(G4532-H4532)</f>
        <v/>
      </c>
      <c r="L4532" s="62">
        <f>K4532-(F4532*I4532)</f>
        <v/>
      </c>
      <c r="M4532" s="64">
        <f>L4532/K4532</f>
        <v/>
      </c>
    </row>
    <row r="4533">
      <c r="A4533" s="58" t="inlineStr">
        <is>
          <t>RT20250428-04532</t>
        </is>
      </c>
      <c r="B4533" s="59" t="inlineStr">
        <is>
          <t>2025-04-28</t>
        </is>
      </c>
      <c r="C4533" s="60" t="inlineStr">
        <is>
          <t>Falcon Storage X-734</t>
        </is>
      </c>
      <c r="D4533" s="58" t="inlineStr">
        <is>
          <t>Office</t>
        </is>
      </c>
      <c r="E4533" s="58" t="inlineStr">
        <is>
          <t>North</t>
        </is>
      </c>
      <c r="F4533" s="61" t="n">
        <v>1</v>
      </c>
      <c r="G4533" s="62" t="n">
        <v>364.16</v>
      </c>
      <c r="H4533" s="63" t="n">
        <v>0.082</v>
      </c>
      <c r="I4533" s="62" t="n">
        <v>286.36</v>
      </c>
      <c r="J4533" s="58" t="inlineStr">
        <is>
          <t>Online</t>
        </is>
      </c>
      <c r="K4533" s="62">
        <f>F4533*(G4533-H4533)</f>
        <v/>
      </c>
      <c r="L4533" s="62">
        <f>K4533-(F4533*I4533)</f>
        <v/>
      </c>
      <c r="M4533" s="64">
        <f>L4533/K4533</f>
        <v/>
      </c>
    </row>
    <row r="4534">
      <c r="A4534" s="58" t="inlineStr">
        <is>
          <t>RT20250428-04533</t>
        </is>
      </c>
      <c r="B4534" s="59" t="inlineStr">
        <is>
          <t>2025-04-28</t>
        </is>
      </c>
      <c r="C4534" s="60" t="inlineStr">
        <is>
          <t>Vertex Men X-995</t>
        </is>
      </c>
      <c r="D4534" s="58" t="inlineStr">
        <is>
          <t>Apparel</t>
        </is>
      </c>
      <c r="E4534" s="58" t="inlineStr">
        <is>
          <t>Central</t>
        </is>
      </c>
      <c r="F4534" s="61" t="n">
        <v>1</v>
      </c>
      <c r="G4534" s="62" t="n">
        <v>107.91</v>
      </c>
      <c r="H4534" s="63" t="n">
        <v>0.025</v>
      </c>
      <c r="I4534" s="62" t="n">
        <v>59.42</v>
      </c>
      <c r="J4534" s="58" t="inlineStr">
        <is>
          <t>Online</t>
        </is>
      </c>
      <c r="K4534" s="62">
        <f>F4534*(G4534-H4534)</f>
        <v/>
      </c>
      <c r="L4534" s="62">
        <f>K4534-(F4534*I4534)</f>
        <v/>
      </c>
      <c r="M4534" s="64">
        <f>L4534/K4534</f>
        <v/>
      </c>
    </row>
    <row r="4535">
      <c r="A4535" s="58" t="inlineStr">
        <is>
          <t>RT20250428-04534</t>
        </is>
      </c>
      <c r="B4535" s="59" t="inlineStr">
        <is>
          <t>2025-04-28</t>
        </is>
      </c>
      <c r="C4535" s="60" t="inlineStr">
        <is>
          <t>Vertex Pantry Pro-165</t>
        </is>
      </c>
      <c r="D4535" s="58" t="inlineStr">
        <is>
          <t>Grocery</t>
        </is>
      </c>
      <c r="E4535" s="58" t="inlineStr">
        <is>
          <t>Central</t>
        </is>
      </c>
      <c r="F4535" s="61" t="n">
        <v>8</v>
      </c>
      <c r="G4535" s="62" t="n">
        <v>16.82</v>
      </c>
      <c r="H4535" s="63" t="n">
        <v>0.015</v>
      </c>
      <c r="I4535" s="62" t="n">
        <v>11.89</v>
      </c>
      <c r="J4535" s="58" t="inlineStr">
        <is>
          <t>Online</t>
        </is>
      </c>
      <c r="K4535" s="62">
        <f>F4535*(G4535-H4535)</f>
        <v/>
      </c>
      <c r="L4535" s="62">
        <f>K4535-(F4535*I4535)</f>
        <v/>
      </c>
      <c r="M4535" s="64">
        <f>L4535/K4535</f>
        <v/>
      </c>
    </row>
    <row r="4536">
      <c r="A4536" s="58" t="inlineStr">
        <is>
          <t>RT20250428-04535</t>
        </is>
      </c>
      <c r="B4536" s="59" t="inlineStr">
        <is>
          <t>2025-04-28</t>
        </is>
      </c>
      <c r="C4536" s="60" t="inlineStr">
        <is>
          <t>Polar Women Max-927</t>
        </is>
      </c>
      <c r="D4536" s="58" t="inlineStr">
        <is>
          <t>Apparel</t>
        </is>
      </c>
      <c r="E4536" s="58" t="inlineStr">
        <is>
          <t>Central</t>
        </is>
      </c>
      <c r="F4536" s="61" t="n">
        <v>1</v>
      </c>
      <c r="G4536" s="62" t="n">
        <v>110.08</v>
      </c>
      <c r="H4536" s="63" t="n">
        <v>0.06900000000000001</v>
      </c>
      <c r="I4536" s="62" t="n">
        <v>65.88</v>
      </c>
      <c r="J4536" s="58" t="inlineStr">
        <is>
          <t>Online</t>
        </is>
      </c>
      <c r="K4536" s="62">
        <f>F4536*(G4536-H4536)</f>
        <v/>
      </c>
      <c r="L4536" s="62">
        <f>K4536-(F4536*I4536)</f>
        <v/>
      </c>
      <c r="M4536" s="64">
        <f>L4536/K4536</f>
        <v/>
      </c>
    </row>
    <row r="4537">
      <c r="A4537" s="58" t="inlineStr">
        <is>
          <t>RT20250428-04536</t>
        </is>
      </c>
      <c r="B4537" s="59" t="inlineStr">
        <is>
          <t>2025-04-28</t>
        </is>
      </c>
      <c r="C4537" s="60" t="inlineStr">
        <is>
          <t>Metro Pantry Max-180</t>
        </is>
      </c>
      <c r="D4537" s="58" t="inlineStr">
        <is>
          <t>Grocery</t>
        </is>
      </c>
      <c r="E4537" s="58" t="inlineStr">
        <is>
          <t>South</t>
        </is>
      </c>
      <c r="F4537" s="61" t="n">
        <v>3</v>
      </c>
      <c r="G4537" s="62" t="n">
        <v>8.25</v>
      </c>
      <c r="H4537" s="63" t="n">
        <v>0</v>
      </c>
      <c r="I4537" s="62" t="n">
        <v>6.55</v>
      </c>
      <c r="J4537" s="58" t="inlineStr">
        <is>
          <t>Phone</t>
        </is>
      </c>
      <c r="K4537" s="62">
        <f>F4537*(G4537-H4537)</f>
        <v/>
      </c>
      <c r="L4537" s="62">
        <f>K4537-(F4537*I4537)</f>
        <v/>
      </c>
      <c r="M4537" s="64">
        <f>L4537/K4537</f>
        <v/>
      </c>
    </row>
    <row r="4538">
      <c r="A4538" s="58" t="inlineStr">
        <is>
          <t>RT20250428-04537</t>
        </is>
      </c>
      <c r="B4538" s="59" t="inlineStr">
        <is>
          <t>2025-04-28</t>
        </is>
      </c>
      <c r="C4538" s="60" t="inlineStr">
        <is>
          <t>Vertex Smartphone Lite-267</t>
        </is>
      </c>
      <c r="D4538" s="58" t="inlineStr">
        <is>
          <t>Electronics</t>
        </is>
      </c>
      <c r="E4538" s="58" t="inlineStr">
        <is>
          <t>East</t>
        </is>
      </c>
      <c r="F4538" s="61" t="n">
        <v>2</v>
      </c>
      <c r="G4538" s="62" t="n">
        <v>1318.72</v>
      </c>
      <c r="H4538" s="63" t="n">
        <v>0.056</v>
      </c>
      <c r="I4538" s="62" t="n">
        <v>988.97</v>
      </c>
      <c r="J4538" s="58" t="inlineStr">
        <is>
          <t>Online</t>
        </is>
      </c>
      <c r="K4538" s="62">
        <f>F4538*(G4538-H4538)</f>
        <v/>
      </c>
      <c r="L4538" s="62">
        <f>K4538-(F4538*I4538)</f>
        <v/>
      </c>
      <c r="M4538" s="64">
        <f>L4538/K4538</f>
        <v/>
      </c>
    </row>
    <row r="4539">
      <c r="A4539" s="58" t="inlineStr">
        <is>
          <t>RT20250428-04538</t>
        </is>
      </c>
      <c r="B4539" s="59" t="inlineStr">
        <is>
          <t>2025-04-28</t>
        </is>
      </c>
      <c r="C4539" s="60" t="inlineStr">
        <is>
          <t>Vertex Printer Max-692</t>
        </is>
      </c>
      <c r="D4539" s="58" t="inlineStr">
        <is>
          <t>Office</t>
        </is>
      </c>
      <c r="E4539" s="58" t="inlineStr">
        <is>
          <t>Central</t>
        </is>
      </c>
      <c r="F4539" s="61" t="n">
        <v>2</v>
      </c>
      <c r="G4539" s="62" t="n">
        <v>174.81</v>
      </c>
      <c r="H4539" s="63" t="n">
        <v>0.024</v>
      </c>
      <c r="I4539" s="62" t="n">
        <v>126.24</v>
      </c>
      <c r="J4539" s="58" t="inlineStr">
        <is>
          <t>Online</t>
        </is>
      </c>
      <c r="K4539" s="62">
        <f>F4539*(G4539-H4539)</f>
        <v/>
      </c>
      <c r="L4539" s="62">
        <f>K4539-(F4539*I4539)</f>
        <v/>
      </c>
      <c r="M4539" s="64">
        <f>L4539/K4539</f>
        <v/>
      </c>
    </row>
    <row r="4540">
      <c r="A4540" s="58" t="inlineStr">
        <is>
          <t>RT20250428-04539</t>
        </is>
      </c>
      <c r="B4540" s="59" t="inlineStr">
        <is>
          <t>2025-04-28</t>
        </is>
      </c>
      <c r="C4540" s="60" t="inlineStr">
        <is>
          <t>Polar Haircare Max-614</t>
        </is>
      </c>
      <c r="D4540" s="58" t="inlineStr">
        <is>
          <t>Beauty</t>
        </is>
      </c>
      <c r="E4540" s="58" t="inlineStr">
        <is>
          <t>East</t>
        </is>
      </c>
      <c r="F4540" s="61" t="n">
        <v>1</v>
      </c>
      <c r="G4540" s="62" t="n">
        <v>126.1</v>
      </c>
      <c r="H4540" s="63" t="n">
        <v>0.08699999999999999</v>
      </c>
      <c r="I4540" s="62" t="n">
        <v>70.38</v>
      </c>
      <c r="J4540" s="58" t="inlineStr">
        <is>
          <t>Online</t>
        </is>
      </c>
      <c r="K4540" s="62">
        <f>F4540*(G4540-H4540)</f>
        <v/>
      </c>
      <c r="L4540" s="62">
        <f>K4540-(F4540*I4540)</f>
        <v/>
      </c>
      <c r="M4540" s="64">
        <f>L4540/K4540</f>
        <v/>
      </c>
    </row>
    <row r="4541">
      <c r="A4541" s="58" t="inlineStr">
        <is>
          <t>RT20250428-04540</t>
        </is>
      </c>
      <c r="B4541" s="59" t="inlineStr">
        <is>
          <t>2025-04-28</t>
        </is>
      </c>
      <c r="C4541" s="60" t="inlineStr">
        <is>
          <t>Aurora Outdoor Pro-467</t>
        </is>
      </c>
      <c r="D4541" s="58" t="inlineStr">
        <is>
          <t>Sports</t>
        </is>
      </c>
      <c r="E4541" s="58" t="inlineStr">
        <is>
          <t>East</t>
        </is>
      </c>
      <c r="F4541" s="61" t="n">
        <v>1</v>
      </c>
      <c r="G4541" s="62" t="n">
        <v>304.09</v>
      </c>
      <c r="H4541" s="63" t="n">
        <v>0</v>
      </c>
      <c r="I4541" s="62" t="n">
        <v>188.06</v>
      </c>
      <c r="J4541" s="58" t="inlineStr">
        <is>
          <t>Online</t>
        </is>
      </c>
      <c r="K4541" s="62">
        <f>F4541*(G4541-H4541)</f>
        <v/>
      </c>
      <c r="L4541" s="62">
        <f>K4541-(F4541*I4541)</f>
        <v/>
      </c>
      <c r="M4541" s="64">
        <f>L4541/K4541</f>
        <v/>
      </c>
    </row>
    <row r="4542">
      <c r="A4542" s="58" t="inlineStr">
        <is>
          <t>RT20250428-04541</t>
        </is>
      </c>
      <c r="B4542" s="59" t="inlineStr">
        <is>
          <t>2025-04-28</t>
        </is>
      </c>
      <c r="C4542" s="60" t="inlineStr">
        <is>
          <t>Vertex Snack S-702</t>
        </is>
      </c>
      <c r="D4542" s="58" t="inlineStr">
        <is>
          <t>Grocery</t>
        </is>
      </c>
      <c r="E4542" s="58" t="inlineStr">
        <is>
          <t>Central</t>
        </is>
      </c>
      <c r="F4542" s="61" t="n">
        <v>7</v>
      </c>
      <c r="G4542" s="62" t="n">
        <v>1.78</v>
      </c>
      <c r="H4542" s="63" t="n">
        <v>0.013</v>
      </c>
      <c r="I4542" s="62" t="n">
        <v>1.48</v>
      </c>
      <c r="J4542" s="58" t="inlineStr">
        <is>
          <t>Online</t>
        </is>
      </c>
      <c r="K4542" s="62">
        <f>F4542*(G4542-H4542)</f>
        <v/>
      </c>
      <c r="L4542" s="62">
        <f>K4542-(F4542*I4542)</f>
        <v/>
      </c>
      <c r="M4542" s="64">
        <f>L4542/K4542</f>
        <v/>
      </c>
    </row>
    <row r="4543">
      <c r="A4543" s="58" t="inlineStr">
        <is>
          <t>RT20250428-04542</t>
        </is>
      </c>
      <c r="B4543" s="59" t="inlineStr">
        <is>
          <t>2025-04-28</t>
        </is>
      </c>
      <c r="C4543" s="60" t="inlineStr">
        <is>
          <t>Polar Beverage S-258</t>
        </is>
      </c>
      <c r="D4543" s="58" t="inlineStr">
        <is>
          <t>Grocery</t>
        </is>
      </c>
      <c r="E4543" s="58" t="inlineStr">
        <is>
          <t>East</t>
        </is>
      </c>
      <c r="F4543" s="61" t="n">
        <v>4</v>
      </c>
      <c r="G4543" s="62" t="n">
        <v>12.28</v>
      </c>
      <c r="H4543" s="63" t="n">
        <v>0.103</v>
      </c>
      <c r="I4543" s="62" t="n">
        <v>9.800000000000001</v>
      </c>
      <c r="J4543" s="58" t="inlineStr">
        <is>
          <t>Online</t>
        </is>
      </c>
      <c r="K4543" s="62">
        <f>F4543*(G4543-H4543)</f>
        <v/>
      </c>
      <c r="L4543" s="62">
        <f>K4543-(F4543*I4543)</f>
        <v/>
      </c>
      <c r="M4543" s="64">
        <f>L4543/K4543</f>
        <v/>
      </c>
    </row>
    <row r="4544">
      <c r="A4544" s="58" t="inlineStr">
        <is>
          <t>RT20250429-04543</t>
        </is>
      </c>
      <c r="B4544" s="59" t="inlineStr">
        <is>
          <t>2025-04-29</t>
        </is>
      </c>
      <c r="C4544" s="60" t="inlineStr">
        <is>
          <t>Nimbus Furniture Pro-479</t>
        </is>
      </c>
      <c r="D4544" s="58" t="inlineStr">
        <is>
          <t>Office</t>
        </is>
      </c>
      <c r="E4544" s="58" t="inlineStr">
        <is>
          <t>West</t>
        </is>
      </c>
      <c r="F4544" s="61" t="n">
        <v>2</v>
      </c>
      <c r="G4544" s="62" t="n">
        <v>345.55</v>
      </c>
      <c r="H4544" s="63" t="n">
        <v>0.029</v>
      </c>
      <c r="I4544" s="62" t="n">
        <v>243.32</v>
      </c>
      <c r="J4544" s="58" t="inlineStr">
        <is>
          <t>Store</t>
        </is>
      </c>
      <c r="K4544" s="62">
        <f>F4544*(G4544-H4544)</f>
        <v/>
      </c>
      <c r="L4544" s="62">
        <f>K4544-(F4544*I4544)</f>
        <v/>
      </c>
      <c r="M4544" s="64">
        <f>L4544/K4544</f>
        <v/>
      </c>
    </row>
    <row r="4545">
      <c r="A4545" s="58" t="inlineStr">
        <is>
          <t>RT20250429-04544</t>
        </is>
      </c>
      <c r="B4545" s="59" t="inlineStr">
        <is>
          <t>2025-04-29</t>
        </is>
      </c>
      <c r="C4545" s="60" t="inlineStr">
        <is>
          <t>Orion Kid Max-640</t>
        </is>
      </c>
      <c r="D4545" s="58" t="inlineStr">
        <is>
          <t>Apparel</t>
        </is>
      </c>
      <c r="E4545" s="58" t="inlineStr">
        <is>
          <t>South</t>
        </is>
      </c>
      <c r="F4545" s="61" t="n">
        <v>3</v>
      </c>
      <c r="G4545" s="62" t="n">
        <v>138.16</v>
      </c>
      <c r="H4545" s="63" t="n">
        <v>0.061</v>
      </c>
      <c r="I4545" s="62" t="n">
        <v>72.55</v>
      </c>
      <c r="J4545" s="58" t="inlineStr">
        <is>
          <t>Store</t>
        </is>
      </c>
      <c r="K4545" s="62">
        <f>F4545*(G4545-H4545)</f>
        <v/>
      </c>
      <c r="L4545" s="62">
        <f>K4545-(F4545*I4545)</f>
        <v/>
      </c>
      <c r="M4545" s="64">
        <f>L4545/K4545</f>
        <v/>
      </c>
    </row>
    <row r="4546">
      <c r="A4546" s="58" t="inlineStr">
        <is>
          <t>RT20250429-04545</t>
        </is>
      </c>
      <c r="B4546" s="59" t="inlineStr">
        <is>
          <t>2025-04-29</t>
        </is>
      </c>
      <c r="C4546" s="60" t="inlineStr">
        <is>
          <t>Aurora Appliance Lite-109</t>
        </is>
      </c>
      <c r="D4546" s="58" t="inlineStr">
        <is>
          <t>Home</t>
        </is>
      </c>
      <c r="E4546" s="58" t="inlineStr">
        <is>
          <t>South</t>
        </is>
      </c>
      <c r="F4546" s="61" t="n">
        <v>2</v>
      </c>
      <c r="G4546" s="62" t="n">
        <v>278.89</v>
      </c>
      <c r="H4546" s="63" t="n">
        <v>0.023</v>
      </c>
      <c r="I4546" s="62" t="n">
        <v>208.6</v>
      </c>
      <c r="J4546" s="58" t="inlineStr">
        <is>
          <t>Online</t>
        </is>
      </c>
      <c r="K4546" s="62">
        <f>F4546*(G4546-H4546)</f>
        <v/>
      </c>
      <c r="L4546" s="62">
        <f>K4546-(F4546*I4546)</f>
        <v/>
      </c>
      <c r="M4546" s="64">
        <f>L4546/K4546</f>
        <v/>
      </c>
    </row>
    <row r="4547">
      <c r="A4547" s="58" t="inlineStr">
        <is>
          <t>RT20250429-04546</t>
        </is>
      </c>
      <c r="B4547" s="59" t="inlineStr">
        <is>
          <t>2025-04-29</t>
        </is>
      </c>
      <c r="C4547" s="60" t="inlineStr">
        <is>
          <t>Nimbus Furniture Pro-479</t>
        </is>
      </c>
      <c r="D4547" s="58" t="inlineStr">
        <is>
          <t>Office</t>
        </is>
      </c>
      <c r="E4547" s="58" t="inlineStr">
        <is>
          <t>North</t>
        </is>
      </c>
      <c r="F4547" s="61" t="n">
        <v>1</v>
      </c>
      <c r="G4547" s="62" t="n">
        <v>354.41</v>
      </c>
      <c r="H4547" s="63" t="n">
        <v>0.095</v>
      </c>
      <c r="I4547" s="62" t="n">
        <v>238.16</v>
      </c>
      <c r="J4547" s="58" t="inlineStr">
        <is>
          <t>Online</t>
        </is>
      </c>
      <c r="K4547" s="62">
        <f>F4547*(G4547-H4547)</f>
        <v/>
      </c>
      <c r="L4547" s="62">
        <f>K4547-(F4547*I4547)</f>
        <v/>
      </c>
      <c r="M4547" s="64">
        <f>L4547/K4547</f>
        <v/>
      </c>
    </row>
    <row r="4548">
      <c r="A4548" s="58" t="inlineStr">
        <is>
          <t>RT20250429-04547</t>
        </is>
      </c>
      <c r="B4548" s="59" t="inlineStr">
        <is>
          <t>2025-04-29</t>
        </is>
      </c>
      <c r="C4548" s="60" t="inlineStr">
        <is>
          <t>Vertex Smartphone Lite-267</t>
        </is>
      </c>
      <c r="D4548" s="58" t="inlineStr">
        <is>
          <t>Electronics</t>
        </is>
      </c>
      <c r="E4548" s="58" t="inlineStr">
        <is>
          <t>South</t>
        </is>
      </c>
      <c r="F4548" s="61" t="n">
        <v>2</v>
      </c>
      <c r="G4548" s="62" t="n">
        <v>1267.12</v>
      </c>
      <c r="H4548" s="63" t="n">
        <v>0.114</v>
      </c>
      <c r="I4548" s="62" t="n">
        <v>968.01</v>
      </c>
      <c r="J4548" s="58" t="inlineStr">
        <is>
          <t>Online</t>
        </is>
      </c>
      <c r="K4548" s="62">
        <f>F4548*(G4548-H4548)</f>
        <v/>
      </c>
      <c r="L4548" s="62">
        <f>K4548-(F4548*I4548)</f>
        <v/>
      </c>
      <c r="M4548" s="64">
        <f>L4548/K4548</f>
        <v/>
      </c>
    </row>
    <row r="4549">
      <c r="A4549" s="58" t="inlineStr">
        <is>
          <t>RT20250429-04548</t>
        </is>
      </c>
      <c r="B4549" s="59" t="inlineStr">
        <is>
          <t>2025-04-29</t>
        </is>
      </c>
      <c r="C4549" s="60" t="inlineStr">
        <is>
          <t>Vertex Pantry Pro-165</t>
        </is>
      </c>
      <c r="D4549" s="58" t="inlineStr">
        <is>
          <t>Grocery</t>
        </is>
      </c>
      <c r="E4549" s="58" t="inlineStr">
        <is>
          <t>West</t>
        </is>
      </c>
      <c r="F4549" s="61" t="n">
        <v>2</v>
      </c>
      <c r="G4549" s="62" t="n">
        <v>17.58</v>
      </c>
      <c r="H4549" s="63" t="n">
        <v>0.073</v>
      </c>
      <c r="I4549" s="62" t="n">
        <v>11.93</v>
      </c>
      <c r="J4549" s="58" t="inlineStr">
        <is>
          <t>Store</t>
        </is>
      </c>
      <c r="K4549" s="62">
        <f>F4549*(G4549-H4549)</f>
        <v/>
      </c>
      <c r="L4549" s="62">
        <f>K4549-(F4549*I4549)</f>
        <v/>
      </c>
      <c r="M4549" s="64">
        <f>L4549/K4549</f>
        <v/>
      </c>
    </row>
    <row r="4550">
      <c r="A4550" s="58" t="inlineStr">
        <is>
          <t>RT20250429-04549</t>
        </is>
      </c>
      <c r="B4550" s="59" t="inlineStr">
        <is>
          <t>2025-04-29</t>
        </is>
      </c>
      <c r="C4550" s="60" t="inlineStr">
        <is>
          <t>Orion Storage Plus-961</t>
        </is>
      </c>
      <c r="D4550" s="58" t="inlineStr">
        <is>
          <t>Office</t>
        </is>
      </c>
      <c r="E4550" s="58" t="inlineStr">
        <is>
          <t>North</t>
        </is>
      </c>
      <c r="F4550" s="61" t="n">
        <v>2</v>
      </c>
      <c r="G4550" s="62" t="n">
        <v>461.67</v>
      </c>
      <c r="H4550" s="63" t="n">
        <v>0.078</v>
      </c>
      <c r="I4550" s="62" t="n">
        <v>371.17</v>
      </c>
      <c r="J4550" s="58" t="inlineStr">
        <is>
          <t>Online</t>
        </is>
      </c>
      <c r="K4550" s="62">
        <f>F4550*(G4550-H4550)</f>
        <v/>
      </c>
      <c r="L4550" s="62">
        <f>K4550-(F4550*I4550)</f>
        <v/>
      </c>
      <c r="M4550" s="64">
        <f>L4550/K4550</f>
        <v/>
      </c>
    </row>
    <row r="4551">
      <c r="A4551" s="58" t="inlineStr">
        <is>
          <t>RT20250429-04550</t>
        </is>
      </c>
      <c r="B4551" s="59" t="inlineStr">
        <is>
          <t>2025-04-29</t>
        </is>
      </c>
      <c r="C4551" s="60" t="inlineStr">
        <is>
          <t>Orion Storage Plus-961</t>
        </is>
      </c>
      <c r="D4551" s="58" t="inlineStr">
        <is>
          <t>Office</t>
        </is>
      </c>
      <c r="E4551" s="58" t="inlineStr">
        <is>
          <t>East</t>
        </is>
      </c>
      <c r="F4551" s="61" t="n">
        <v>1</v>
      </c>
      <c r="G4551" s="62" t="n">
        <v>511.53</v>
      </c>
      <c r="H4551" s="63" t="n">
        <v>0.031</v>
      </c>
      <c r="I4551" s="62" t="n">
        <v>371.28</v>
      </c>
      <c r="J4551" s="58" t="inlineStr">
        <is>
          <t>Online</t>
        </is>
      </c>
      <c r="K4551" s="62">
        <f>F4551*(G4551-H4551)</f>
        <v/>
      </c>
      <c r="L4551" s="62">
        <f>K4551-(F4551*I4551)</f>
        <v/>
      </c>
      <c r="M4551" s="64">
        <f>L4551/K4551</f>
        <v/>
      </c>
    </row>
    <row r="4552">
      <c r="A4552" s="58" t="inlineStr">
        <is>
          <t>RT20250429-04551</t>
        </is>
      </c>
      <c r="B4552" s="59" t="inlineStr">
        <is>
          <t>2025-04-29</t>
        </is>
      </c>
      <c r="C4552" s="60" t="inlineStr">
        <is>
          <t>Falcon Haircare Pro-980</t>
        </is>
      </c>
      <c r="D4552" s="58" t="inlineStr">
        <is>
          <t>Beauty</t>
        </is>
      </c>
      <c r="E4552" s="58" t="inlineStr">
        <is>
          <t>West</t>
        </is>
      </c>
      <c r="F4552" s="61" t="n">
        <v>4</v>
      </c>
      <c r="G4552" s="62" t="n">
        <v>81.03</v>
      </c>
      <c r="H4552" s="63" t="n">
        <v>0.022</v>
      </c>
      <c r="I4552" s="62" t="n">
        <v>57</v>
      </c>
      <c r="J4552" s="58" t="inlineStr">
        <is>
          <t>Online</t>
        </is>
      </c>
      <c r="K4552" s="62">
        <f>F4552*(G4552-H4552)</f>
        <v/>
      </c>
      <c r="L4552" s="62">
        <f>K4552-(F4552*I4552)</f>
        <v/>
      </c>
      <c r="M4552" s="64">
        <f>L4552/K4552</f>
        <v/>
      </c>
    </row>
    <row r="4553">
      <c r="A4553" s="58" t="inlineStr">
        <is>
          <t>RT20250429-04552</t>
        </is>
      </c>
      <c r="B4553" s="59" t="inlineStr">
        <is>
          <t>2025-04-29</t>
        </is>
      </c>
      <c r="C4553" s="60" t="inlineStr">
        <is>
          <t>Aurora Storage Lite-774</t>
        </is>
      </c>
      <c r="D4553" s="58" t="inlineStr">
        <is>
          <t>Office</t>
        </is>
      </c>
      <c r="E4553" s="58" t="inlineStr">
        <is>
          <t>South</t>
        </is>
      </c>
      <c r="F4553" s="61" t="n">
        <v>1</v>
      </c>
      <c r="G4553" s="62" t="n">
        <v>397.01</v>
      </c>
      <c r="H4553" s="63" t="n">
        <v>0.08599999999999999</v>
      </c>
      <c r="I4553" s="62" t="n">
        <v>239.31</v>
      </c>
      <c r="J4553" s="58" t="inlineStr">
        <is>
          <t>Store</t>
        </is>
      </c>
      <c r="K4553" s="62">
        <f>F4553*(G4553-H4553)</f>
        <v/>
      </c>
      <c r="L4553" s="62">
        <f>K4553-(F4553*I4553)</f>
        <v/>
      </c>
      <c r="M4553" s="64">
        <f>L4553/K4553</f>
        <v/>
      </c>
    </row>
    <row r="4554">
      <c r="A4554" s="58" t="inlineStr">
        <is>
          <t>RT20250429-04553</t>
        </is>
      </c>
      <c r="B4554" s="59" t="inlineStr">
        <is>
          <t>2025-04-29</t>
        </is>
      </c>
      <c r="C4554" s="60" t="inlineStr">
        <is>
          <t>Falcon Household Pro-865</t>
        </is>
      </c>
      <c r="D4554" s="58" t="inlineStr">
        <is>
          <t>Grocery</t>
        </is>
      </c>
      <c r="E4554" s="58" t="inlineStr">
        <is>
          <t>South</t>
        </is>
      </c>
      <c r="F4554" s="61" t="n">
        <v>2</v>
      </c>
      <c r="G4554" s="62" t="n">
        <v>10.33</v>
      </c>
      <c r="H4554" s="63" t="n">
        <v>0.092</v>
      </c>
      <c r="I4554" s="62" t="n">
        <v>7.89</v>
      </c>
      <c r="J4554" s="58" t="inlineStr">
        <is>
          <t>Phone</t>
        </is>
      </c>
      <c r="K4554" s="62">
        <f>F4554*(G4554-H4554)</f>
        <v/>
      </c>
      <c r="L4554" s="62">
        <f>K4554-(F4554*I4554)</f>
        <v/>
      </c>
      <c r="M4554" s="64">
        <f>L4554/K4554</f>
        <v/>
      </c>
    </row>
    <row r="4555">
      <c r="A4555" s="58" t="inlineStr">
        <is>
          <t>RT20250429-04554</t>
        </is>
      </c>
      <c r="B4555" s="59" t="inlineStr">
        <is>
          <t>2025-04-29</t>
        </is>
      </c>
      <c r="C4555" s="60" t="inlineStr">
        <is>
          <t>Polar Bedding Lite-243</t>
        </is>
      </c>
      <c r="D4555" s="58" t="inlineStr">
        <is>
          <t>Home</t>
        </is>
      </c>
      <c r="E4555" s="58" t="inlineStr">
        <is>
          <t>West</t>
        </is>
      </c>
      <c r="F4555" s="61" t="n">
        <v>2</v>
      </c>
      <c r="G4555" s="62" t="n">
        <v>437.42</v>
      </c>
      <c r="H4555" s="63" t="n">
        <v>0.083</v>
      </c>
      <c r="I4555" s="62" t="n">
        <v>322.64</v>
      </c>
      <c r="J4555" s="58" t="inlineStr">
        <is>
          <t>Online</t>
        </is>
      </c>
      <c r="K4555" s="62">
        <f>F4555*(G4555-H4555)</f>
        <v/>
      </c>
      <c r="L4555" s="62">
        <f>K4555-(F4555*I4555)</f>
        <v/>
      </c>
      <c r="M4555" s="64">
        <f>L4555/K4555</f>
        <v/>
      </c>
    </row>
    <row r="4556">
      <c r="A4556" s="58" t="inlineStr">
        <is>
          <t>RT20250429-04555</t>
        </is>
      </c>
      <c r="B4556" s="59" t="inlineStr">
        <is>
          <t>2025-04-29</t>
        </is>
      </c>
      <c r="C4556" s="60" t="inlineStr">
        <is>
          <t>Solace Laptop S-367</t>
        </is>
      </c>
      <c r="D4556" s="58" t="inlineStr">
        <is>
          <t>Electronics</t>
        </is>
      </c>
      <c r="E4556" s="58" t="inlineStr">
        <is>
          <t>East</t>
        </is>
      </c>
      <c r="F4556" s="61" t="n">
        <v>1</v>
      </c>
      <c r="G4556" s="62" t="n">
        <v>1670.93</v>
      </c>
      <c r="H4556" s="63" t="n">
        <v>0.07199999999999999</v>
      </c>
      <c r="I4556" s="62" t="n">
        <v>1505.46</v>
      </c>
      <c r="J4556" s="58" t="inlineStr">
        <is>
          <t>Online</t>
        </is>
      </c>
      <c r="K4556" s="62">
        <f>F4556*(G4556-H4556)</f>
        <v/>
      </c>
      <c r="L4556" s="62">
        <f>K4556-(F4556*I4556)</f>
        <v/>
      </c>
      <c r="M4556" s="64">
        <f>L4556/K4556</f>
        <v/>
      </c>
    </row>
    <row r="4557">
      <c r="A4557" s="58" t="inlineStr">
        <is>
          <t>RT20250429-04556</t>
        </is>
      </c>
      <c r="B4557" s="59" t="inlineStr">
        <is>
          <t>2025-04-29</t>
        </is>
      </c>
      <c r="C4557" s="60" t="inlineStr">
        <is>
          <t>Polar Wearable X-119</t>
        </is>
      </c>
      <c r="D4557" s="58" t="inlineStr">
        <is>
          <t>Electronics</t>
        </is>
      </c>
      <c r="E4557" s="58" t="inlineStr">
        <is>
          <t>Central</t>
        </is>
      </c>
      <c r="F4557" s="61" t="n">
        <v>2</v>
      </c>
      <c r="G4557" s="62" t="n">
        <v>1694.39</v>
      </c>
      <c r="H4557" s="63" t="n">
        <v>0.081</v>
      </c>
      <c r="I4557" s="62" t="n">
        <v>1300.85</v>
      </c>
      <c r="J4557" s="58" t="inlineStr">
        <is>
          <t>Store</t>
        </is>
      </c>
      <c r="K4557" s="62">
        <f>F4557*(G4557-H4557)</f>
        <v/>
      </c>
      <c r="L4557" s="62">
        <f>K4557-(F4557*I4557)</f>
        <v/>
      </c>
      <c r="M4557" s="64">
        <f>L4557/K4557</f>
        <v/>
      </c>
    </row>
    <row r="4558">
      <c r="A4558" s="58" t="inlineStr">
        <is>
          <t>RT20250429-04557</t>
        </is>
      </c>
      <c r="B4558" s="59" t="inlineStr">
        <is>
          <t>2025-04-29</t>
        </is>
      </c>
      <c r="C4558" s="60" t="inlineStr">
        <is>
          <t>Nimbus Fitnes Lite-516</t>
        </is>
      </c>
      <c r="D4558" s="58" t="inlineStr">
        <is>
          <t>Sports</t>
        </is>
      </c>
      <c r="E4558" s="58" t="inlineStr">
        <is>
          <t>South</t>
        </is>
      </c>
      <c r="F4558" s="61" t="n">
        <v>3</v>
      </c>
      <c r="G4558" s="62" t="n">
        <v>652.61</v>
      </c>
      <c r="H4558" s="63" t="n">
        <v>0.049</v>
      </c>
      <c r="I4558" s="62" t="n">
        <v>477.92</v>
      </c>
      <c r="J4558" s="58" t="inlineStr">
        <is>
          <t>Online</t>
        </is>
      </c>
      <c r="K4558" s="62">
        <f>F4558*(G4558-H4558)</f>
        <v/>
      </c>
      <c r="L4558" s="62">
        <f>K4558-(F4558*I4558)</f>
        <v/>
      </c>
      <c r="M4558" s="64">
        <f>L4558/K4558</f>
        <v/>
      </c>
    </row>
    <row r="4559">
      <c r="A4559" s="58" t="inlineStr">
        <is>
          <t>RT20250429-04558</t>
        </is>
      </c>
      <c r="B4559" s="59" t="inlineStr">
        <is>
          <t>2025-04-29</t>
        </is>
      </c>
      <c r="C4559" s="60" t="inlineStr">
        <is>
          <t>Aurora Makeup Pro-489</t>
        </is>
      </c>
      <c r="D4559" s="58" t="inlineStr">
        <is>
          <t>Beauty</t>
        </is>
      </c>
      <c r="E4559" s="58" t="inlineStr">
        <is>
          <t>North</t>
        </is>
      </c>
      <c r="F4559" s="61" t="n">
        <v>5</v>
      </c>
      <c r="G4559" s="62" t="n">
        <v>100.13</v>
      </c>
      <c r="H4559" s="63" t="n">
        <v>0.08599999999999999</v>
      </c>
      <c r="I4559" s="62" t="n">
        <v>62.75</v>
      </c>
      <c r="J4559" s="58" t="inlineStr">
        <is>
          <t>Online</t>
        </is>
      </c>
      <c r="K4559" s="62">
        <f>F4559*(G4559-H4559)</f>
        <v/>
      </c>
      <c r="L4559" s="62">
        <f>K4559-(F4559*I4559)</f>
        <v/>
      </c>
      <c r="M4559" s="64">
        <f>L4559/K4559</f>
        <v/>
      </c>
    </row>
    <row r="4560">
      <c r="A4560" s="58" t="inlineStr">
        <is>
          <t>RT20250429-04559</t>
        </is>
      </c>
      <c r="B4560" s="59" t="inlineStr">
        <is>
          <t>2025-04-29</t>
        </is>
      </c>
      <c r="C4560" s="60" t="inlineStr">
        <is>
          <t>Nimbus Furniture Pro-479</t>
        </is>
      </c>
      <c r="D4560" s="58" t="inlineStr">
        <is>
          <t>Office</t>
        </is>
      </c>
      <c r="E4560" s="58" t="inlineStr">
        <is>
          <t>East</t>
        </is>
      </c>
      <c r="F4560" s="61" t="n">
        <v>1</v>
      </c>
      <c r="G4560" s="62" t="n">
        <v>343.78</v>
      </c>
      <c r="H4560" s="63" t="n">
        <v>0.045</v>
      </c>
      <c r="I4560" s="62" t="n">
        <v>242.98</v>
      </c>
      <c r="J4560" s="58" t="inlineStr">
        <is>
          <t>Online</t>
        </is>
      </c>
      <c r="K4560" s="62">
        <f>F4560*(G4560-H4560)</f>
        <v/>
      </c>
      <c r="L4560" s="62">
        <f>K4560-(F4560*I4560)</f>
        <v/>
      </c>
      <c r="M4560" s="64">
        <f>L4560/K4560</f>
        <v/>
      </c>
    </row>
    <row r="4561">
      <c r="A4561" s="58" t="inlineStr">
        <is>
          <t>RT20250429-04560</t>
        </is>
      </c>
      <c r="B4561" s="59" t="inlineStr">
        <is>
          <t>2025-04-29</t>
        </is>
      </c>
      <c r="C4561" s="60" t="inlineStr">
        <is>
          <t>Metro Wearable Plus-234</t>
        </is>
      </c>
      <c r="D4561" s="58" t="inlineStr">
        <is>
          <t>Electronics</t>
        </is>
      </c>
      <c r="E4561" s="58" t="inlineStr">
        <is>
          <t>East</t>
        </is>
      </c>
      <c r="F4561" s="61" t="n">
        <v>1</v>
      </c>
      <c r="G4561" s="62" t="n">
        <v>1369.51</v>
      </c>
      <c r="H4561" s="63" t="n">
        <v>0.02</v>
      </c>
      <c r="I4561" s="62" t="n">
        <v>1151.73</v>
      </c>
      <c r="J4561" s="58" t="inlineStr">
        <is>
          <t>Online</t>
        </is>
      </c>
      <c r="K4561" s="62">
        <f>F4561*(G4561-H4561)</f>
        <v/>
      </c>
      <c r="L4561" s="62">
        <f>K4561-(F4561*I4561)</f>
        <v/>
      </c>
      <c r="M4561" s="64">
        <f>L4561/K4561</f>
        <v/>
      </c>
    </row>
    <row r="4562">
      <c r="A4562" s="58" t="inlineStr">
        <is>
          <t>RT20250429-04561</t>
        </is>
      </c>
      <c r="B4562" s="59" t="inlineStr">
        <is>
          <t>2025-04-29</t>
        </is>
      </c>
      <c r="C4562" s="60" t="inlineStr">
        <is>
          <t>Metro Outdoor Plus-787</t>
        </is>
      </c>
      <c r="D4562" s="58" t="inlineStr">
        <is>
          <t>Sports</t>
        </is>
      </c>
      <c r="E4562" s="58" t="inlineStr">
        <is>
          <t>South</t>
        </is>
      </c>
      <c r="F4562" s="61" t="n">
        <v>1</v>
      </c>
      <c r="G4562" s="62" t="n">
        <v>580.1900000000001</v>
      </c>
      <c r="H4562" s="63" t="n">
        <v>0.089</v>
      </c>
      <c r="I4562" s="62" t="n">
        <v>354.89</v>
      </c>
      <c r="J4562" s="58" t="inlineStr">
        <is>
          <t>Store</t>
        </is>
      </c>
      <c r="K4562" s="62">
        <f>F4562*(G4562-H4562)</f>
        <v/>
      </c>
      <c r="L4562" s="62">
        <f>K4562-(F4562*I4562)</f>
        <v/>
      </c>
      <c r="M4562" s="64">
        <f>L4562/K4562</f>
        <v/>
      </c>
    </row>
    <row r="4563">
      <c r="A4563" s="58" t="inlineStr">
        <is>
          <t>RT20250429-04562</t>
        </is>
      </c>
      <c r="B4563" s="59" t="inlineStr">
        <is>
          <t>2025-04-29</t>
        </is>
      </c>
      <c r="C4563" s="60" t="inlineStr">
        <is>
          <t>Aurora Fitnes Lite-194</t>
        </is>
      </c>
      <c r="D4563" s="58" t="inlineStr">
        <is>
          <t>Sports</t>
        </is>
      </c>
      <c r="E4563" s="58" t="inlineStr">
        <is>
          <t>North</t>
        </is>
      </c>
      <c r="F4563" s="61" t="n">
        <v>2</v>
      </c>
      <c r="G4563" s="62" t="n">
        <v>691.6</v>
      </c>
      <c r="H4563" s="63" t="n">
        <v>0.053</v>
      </c>
      <c r="I4563" s="62" t="n">
        <v>456.64</v>
      </c>
      <c r="J4563" s="58" t="inlineStr">
        <is>
          <t>Online</t>
        </is>
      </c>
      <c r="K4563" s="62">
        <f>F4563*(G4563-H4563)</f>
        <v/>
      </c>
      <c r="L4563" s="62">
        <f>K4563-(F4563*I4563)</f>
        <v/>
      </c>
      <c r="M4563" s="64">
        <f>L4563/K4563</f>
        <v/>
      </c>
    </row>
    <row r="4564">
      <c r="A4564" s="58" t="inlineStr">
        <is>
          <t>RT20250429-04563</t>
        </is>
      </c>
      <c r="B4564" s="59" t="inlineStr">
        <is>
          <t>2025-04-29</t>
        </is>
      </c>
      <c r="C4564" s="60" t="inlineStr">
        <is>
          <t>Polar Decor Plus-505</t>
        </is>
      </c>
      <c r="D4564" s="58" t="inlineStr">
        <is>
          <t>Home</t>
        </is>
      </c>
      <c r="E4564" s="58" t="inlineStr">
        <is>
          <t>East</t>
        </is>
      </c>
      <c r="F4564" s="61" t="n">
        <v>1</v>
      </c>
      <c r="G4564" s="62" t="n">
        <v>310.63</v>
      </c>
      <c r="H4564" s="63" t="n">
        <v>0.057</v>
      </c>
      <c r="I4564" s="62" t="n">
        <v>199.85</v>
      </c>
      <c r="J4564" s="58" t="inlineStr">
        <is>
          <t>Phone</t>
        </is>
      </c>
      <c r="K4564" s="62">
        <f>F4564*(G4564-H4564)</f>
        <v/>
      </c>
      <c r="L4564" s="62">
        <f>K4564-(F4564*I4564)</f>
        <v/>
      </c>
      <c r="M4564" s="64">
        <f>L4564/K4564</f>
        <v/>
      </c>
    </row>
    <row r="4565">
      <c r="A4565" s="58" t="inlineStr">
        <is>
          <t>RT20250429-04564</t>
        </is>
      </c>
      <c r="B4565" s="59" t="inlineStr">
        <is>
          <t>2025-04-29</t>
        </is>
      </c>
      <c r="C4565" s="60" t="inlineStr">
        <is>
          <t>Solace Bedding Plus-317</t>
        </is>
      </c>
      <c r="D4565" s="58" t="inlineStr">
        <is>
          <t>Home</t>
        </is>
      </c>
      <c r="E4565" s="58" t="inlineStr">
        <is>
          <t>East</t>
        </is>
      </c>
      <c r="F4565" s="61" t="n">
        <v>2</v>
      </c>
      <c r="G4565" s="62" t="n">
        <v>494.29</v>
      </c>
      <c r="H4565" s="63" t="n">
        <v>0.093</v>
      </c>
      <c r="I4565" s="62" t="n">
        <v>394.4</v>
      </c>
      <c r="J4565" s="58" t="inlineStr">
        <is>
          <t>Online</t>
        </is>
      </c>
      <c r="K4565" s="62">
        <f>F4565*(G4565-H4565)</f>
        <v/>
      </c>
      <c r="L4565" s="62">
        <f>K4565-(F4565*I4565)</f>
        <v/>
      </c>
      <c r="M4565" s="64">
        <f>L4565/K4565</f>
        <v/>
      </c>
    </row>
    <row r="4566">
      <c r="A4566" s="58" t="inlineStr">
        <is>
          <t>RT20250429-04565</t>
        </is>
      </c>
      <c r="B4566" s="59" t="inlineStr">
        <is>
          <t>2025-04-29</t>
        </is>
      </c>
      <c r="C4566" s="60" t="inlineStr">
        <is>
          <t>Vertex Appliance S-159</t>
        </is>
      </c>
      <c r="D4566" s="58" t="inlineStr">
        <is>
          <t>Home</t>
        </is>
      </c>
      <c r="E4566" s="58" t="inlineStr">
        <is>
          <t>East</t>
        </is>
      </c>
      <c r="F4566" s="61" t="n">
        <v>1</v>
      </c>
      <c r="G4566" s="62" t="n">
        <v>429.31</v>
      </c>
      <c r="H4566" s="63" t="n">
        <v>0.04</v>
      </c>
      <c r="I4566" s="62" t="n">
        <v>293.06</v>
      </c>
      <c r="J4566" s="58" t="inlineStr">
        <is>
          <t>Store</t>
        </is>
      </c>
      <c r="K4566" s="62">
        <f>F4566*(G4566-H4566)</f>
        <v/>
      </c>
      <c r="L4566" s="62">
        <f>K4566-(F4566*I4566)</f>
        <v/>
      </c>
      <c r="M4566" s="64">
        <f>L4566/K4566</f>
        <v/>
      </c>
    </row>
    <row r="4567">
      <c r="A4567" s="58" t="inlineStr">
        <is>
          <t>RT20250429-04566</t>
        </is>
      </c>
      <c r="B4567" s="59" t="inlineStr">
        <is>
          <t>2025-04-29</t>
        </is>
      </c>
      <c r="C4567" s="60" t="inlineStr">
        <is>
          <t>Aurora Kid Plus-151</t>
        </is>
      </c>
      <c r="D4567" s="58" t="inlineStr">
        <is>
          <t>Apparel</t>
        </is>
      </c>
      <c r="E4567" s="58" t="inlineStr">
        <is>
          <t>East</t>
        </is>
      </c>
      <c r="F4567" s="61" t="n">
        <v>1</v>
      </c>
      <c r="G4567" s="62" t="n">
        <v>105.23</v>
      </c>
      <c r="H4567" s="63" t="n">
        <v>0.143</v>
      </c>
      <c r="I4567" s="62" t="n">
        <v>65.11</v>
      </c>
      <c r="J4567" s="58" t="inlineStr">
        <is>
          <t>Online</t>
        </is>
      </c>
      <c r="K4567" s="62">
        <f>F4567*(G4567-H4567)</f>
        <v/>
      </c>
      <c r="L4567" s="62">
        <f>K4567-(F4567*I4567)</f>
        <v/>
      </c>
      <c r="M4567" s="64">
        <f>L4567/K4567</f>
        <v/>
      </c>
    </row>
    <row r="4568">
      <c r="A4568" s="58" t="inlineStr">
        <is>
          <t>RT20250429-04567</t>
        </is>
      </c>
      <c r="B4568" s="59" t="inlineStr">
        <is>
          <t>2025-04-29</t>
        </is>
      </c>
      <c r="C4568" s="60" t="inlineStr">
        <is>
          <t>Falcon Skincare X-334</t>
        </is>
      </c>
      <c r="D4568" s="58" t="inlineStr">
        <is>
          <t>Beauty</t>
        </is>
      </c>
      <c r="E4568" s="58" t="inlineStr">
        <is>
          <t>East</t>
        </is>
      </c>
      <c r="F4568" s="61" t="n">
        <v>5</v>
      </c>
      <c r="G4568" s="62" t="n">
        <v>115.92</v>
      </c>
      <c r="H4568" s="63" t="n">
        <v>0.065</v>
      </c>
      <c r="I4568" s="62" t="n">
        <v>64.65000000000001</v>
      </c>
      <c r="J4568" s="58" t="inlineStr">
        <is>
          <t>Store</t>
        </is>
      </c>
      <c r="K4568" s="62">
        <f>F4568*(G4568-H4568)</f>
        <v/>
      </c>
      <c r="L4568" s="62">
        <f>K4568-(F4568*I4568)</f>
        <v/>
      </c>
      <c r="M4568" s="64">
        <f>L4568/K4568</f>
        <v/>
      </c>
    </row>
    <row r="4569">
      <c r="A4569" s="58" t="inlineStr">
        <is>
          <t>RT20250429-04568</t>
        </is>
      </c>
      <c r="B4569" s="59" t="inlineStr">
        <is>
          <t>2025-04-29</t>
        </is>
      </c>
      <c r="C4569" s="60" t="inlineStr">
        <is>
          <t>Metro Decor Lite-325</t>
        </is>
      </c>
      <c r="D4569" s="58" t="inlineStr">
        <is>
          <t>Home</t>
        </is>
      </c>
      <c r="E4569" s="58" t="inlineStr">
        <is>
          <t>Central</t>
        </is>
      </c>
      <c r="F4569" s="61" t="n">
        <v>1</v>
      </c>
      <c r="G4569" s="62" t="n">
        <v>570.25</v>
      </c>
      <c r="H4569" s="63" t="n">
        <v>0.07199999999999999</v>
      </c>
      <c r="I4569" s="62" t="n">
        <v>373.24</v>
      </c>
      <c r="J4569" s="58" t="inlineStr">
        <is>
          <t>Store</t>
        </is>
      </c>
      <c r="K4569" s="62">
        <f>F4569*(G4569-H4569)</f>
        <v/>
      </c>
      <c r="L4569" s="62">
        <f>K4569-(F4569*I4569)</f>
        <v/>
      </c>
      <c r="M4569" s="64">
        <f>L4569/K4569</f>
        <v/>
      </c>
    </row>
    <row r="4570">
      <c r="A4570" s="58" t="inlineStr">
        <is>
          <t>RT20250429-04569</t>
        </is>
      </c>
      <c r="B4570" s="59" t="inlineStr">
        <is>
          <t>2025-04-29</t>
        </is>
      </c>
      <c r="C4570" s="60" t="inlineStr">
        <is>
          <t>Falcon Team Sport Lite-268</t>
        </is>
      </c>
      <c r="D4570" s="58" t="inlineStr">
        <is>
          <t>Sports</t>
        </is>
      </c>
      <c r="E4570" s="58" t="inlineStr">
        <is>
          <t>North</t>
        </is>
      </c>
      <c r="F4570" s="61" t="n">
        <v>1</v>
      </c>
      <c r="G4570" s="62" t="n">
        <v>642.3</v>
      </c>
      <c r="H4570" s="63" t="n">
        <v>0.061</v>
      </c>
      <c r="I4570" s="62" t="n">
        <v>435.33</v>
      </c>
      <c r="J4570" s="58" t="inlineStr">
        <is>
          <t>Online</t>
        </is>
      </c>
      <c r="K4570" s="62">
        <f>F4570*(G4570-H4570)</f>
        <v/>
      </c>
      <c r="L4570" s="62">
        <f>K4570-(F4570*I4570)</f>
        <v/>
      </c>
      <c r="M4570" s="64">
        <f>L4570/K4570</f>
        <v/>
      </c>
    </row>
    <row r="4571">
      <c r="A4571" s="58" t="inlineStr">
        <is>
          <t>RT20250429-04570</t>
        </is>
      </c>
      <c r="B4571" s="59" t="inlineStr">
        <is>
          <t>2025-04-29</t>
        </is>
      </c>
      <c r="C4571" s="60" t="inlineStr">
        <is>
          <t>Vertex Men X-995</t>
        </is>
      </c>
      <c r="D4571" s="58" t="inlineStr">
        <is>
          <t>Apparel</t>
        </is>
      </c>
      <c r="E4571" s="58" t="inlineStr">
        <is>
          <t>West</t>
        </is>
      </c>
      <c r="F4571" s="61" t="n">
        <v>3</v>
      </c>
      <c r="G4571" s="62" t="n">
        <v>105.13</v>
      </c>
      <c r="H4571" s="63" t="n">
        <v>0.024</v>
      </c>
      <c r="I4571" s="62" t="n">
        <v>59.73</v>
      </c>
      <c r="J4571" s="58" t="inlineStr">
        <is>
          <t>Online</t>
        </is>
      </c>
      <c r="K4571" s="62">
        <f>F4571*(G4571-H4571)</f>
        <v/>
      </c>
      <c r="L4571" s="62">
        <f>K4571-(F4571*I4571)</f>
        <v/>
      </c>
      <c r="M4571" s="64">
        <f>L4571/K4571</f>
        <v/>
      </c>
    </row>
    <row r="4572">
      <c r="A4572" s="58" t="inlineStr">
        <is>
          <t>RT20250429-04571</t>
        </is>
      </c>
      <c r="B4572" s="59" t="inlineStr">
        <is>
          <t>2025-04-29</t>
        </is>
      </c>
      <c r="C4572" s="60" t="inlineStr">
        <is>
          <t>Polar Cycling S-223</t>
        </is>
      </c>
      <c r="D4572" s="58" t="inlineStr">
        <is>
          <t>Sports</t>
        </is>
      </c>
      <c r="E4572" s="58" t="inlineStr">
        <is>
          <t>Central</t>
        </is>
      </c>
      <c r="F4572" s="61" t="n">
        <v>2</v>
      </c>
      <c r="G4572" s="62" t="n">
        <v>1018.34</v>
      </c>
      <c r="H4572" s="63" t="n">
        <v>0.036</v>
      </c>
      <c r="I4572" s="62" t="n">
        <v>627.15</v>
      </c>
      <c r="J4572" s="58" t="inlineStr">
        <is>
          <t>Store</t>
        </is>
      </c>
      <c r="K4572" s="62">
        <f>F4572*(G4572-H4572)</f>
        <v/>
      </c>
      <c r="L4572" s="62">
        <f>K4572-(F4572*I4572)</f>
        <v/>
      </c>
      <c r="M4572" s="64">
        <f>L4572/K4572</f>
        <v/>
      </c>
    </row>
    <row r="4573">
      <c r="A4573" s="58" t="inlineStr">
        <is>
          <t>RT20250429-04572</t>
        </is>
      </c>
      <c r="B4573" s="59" t="inlineStr">
        <is>
          <t>2025-04-29</t>
        </is>
      </c>
      <c r="C4573" s="60" t="inlineStr">
        <is>
          <t>Vertex Appliance Max-338</t>
        </is>
      </c>
      <c r="D4573" s="58" t="inlineStr">
        <is>
          <t>Home</t>
        </is>
      </c>
      <c r="E4573" s="58" t="inlineStr">
        <is>
          <t>East</t>
        </is>
      </c>
      <c r="F4573" s="61" t="n">
        <v>1</v>
      </c>
      <c r="G4573" s="62" t="n">
        <v>369.38</v>
      </c>
      <c r="H4573" s="63" t="n">
        <v>0.032</v>
      </c>
      <c r="I4573" s="62" t="n">
        <v>292.62</v>
      </c>
      <c r="J4573" s="58" t="inlineStr">
        <is>
          <t>Online</t>
        </is>
      </c>
      <c r="K4573" s="62">
        <f>F4573*(G4573-H4573)</f>
        <v/>
      </c>
      <c r="L4573" s="62">
        <f>K4573-(F4573*I4573)</f>
        <v/>
      </c>
      <c r="M4573" s="64">
        <f>L4573/K4573</f>
        <v/>
      </c>
    </row>
    <row r="4574">
      <c r="A4574" s="58" t="inlineStr">
        <is>
          <t>RT20250429-04573</t>
        </is>
      </c>
      <c r="B4574" s="59" t="inlineStr">
        <is>
          <t>2025-04-29</t>
        </is>
      </c>
      <c r="C4574" s="60" t="inlineStr">
        <is>
          <t>Polar Decor X-935</t>
        </is>
      </c>
      <c r="D4574" s="58" t="inlineStr">
        <is>
          <t>Home</t>
        </is>
      </c>
      <c r="E4574" s="58" t="inlineStr">
        <is>
          <t>South</t>
        </is>
      </c>
      <c r="F4574" s="61" t="n">
        <v>1</v>
      </c>
      <c r="G4574" s="62" t="n">
        <v>299.4</v>
      </c>
      <c r="H4574" s="63" t="n">
        <v>0.107</v>
      </c>
      <c r="I4574" s="62" t="n">
        <v>205.12</v>
      </c>
      <c r="J4574" s="58" t="inlineStr">
        <is>
          <t>Store</t>
        </is>
      </c>
      <c r="K4574" s="62">
        <f>F4574*(G4574-H4574)</f>
        <v/>
      </c>
      <c r="L4574" s="62">
        <f>K4574-(F4574*I4574)</f>
        <v/>
      </c>
      <c r="M4574" s="64">
        <f>L4574/K4574</f>
        <v/>
      </c>
    </row>
    <row r="4575">
      <c r="A4575" s="58" t="inlineStr">
        <is>
          <t>RT20250429-04574</t>
        </is>
      </c>
      <c r="B4575" s="59" t="inlineStr">
        <is>
          <t>2025-04-29</t>
        </is>
      </c>
      <c r="C4575" s="60" t="inlineStr">
        <is>
          <t>Polar Supplie Lite-348</t>
        </is>
      </c>
      <c r="D4575" s="58" t="inlineStr">
        <is>
          <t>Office</t>
        </is>
      </c>
      <c r="E4575" s="58" t="inlineStr">
        <is>
          <t>Central</t>
        </is>
      </c>
      <c r="F4575" s="61" t="n">
        <v>3</v>
      </c>
      <c r="G4575" s="62" t="n">
        <v>465.1</v>
      </c>
      <c r="H4575" s="63" t="n">
        <v>0.073</v>
      </c>
      <c r="I4575" s="62" t="n">
        <v>317.54</v>
      </c>
      <c r="J4575" s="58" t="inlineStr">
        <is>
          <t>Store</t>
        </is>
      </c>
      <c r="K4575" s="62">
        <f>F4575*(G4575-H4575)</f>
        <v/>
      </c>
      <c r="L4575" s="62">
        <f>K4575-(F4575*I4575)</f>
        <v/>
      </c>
      <c r="M4575" s="64">
        <f>L4575/K4575</f>
        <v/>
      </c>
    </row>
    <row r="4576">
      <c r="A4576" s="58" t="inlineStr">
        <is>
          <t>RT20250429-04575</t>
        </is>
      </c>
      <c r="B4576" s="59" t="inlineStr">
        <is>
          <t>2025-04-29</t>
        </is>
      </c>
      <c r="C4576" s="60" t="inlineStr">
        <is>
          <t>Vertex Smartphone Pro-256</t>
        </is>
      </c>
      <c r="D4576" s="58" t="inlineStr">
        <is>
          <t>Electronics</t>
        </is>
      </c>
      <c r="E4576" s="58" t="inlineStr">
        <is>
          <t>East</t>
        </is>
      </c>
      <c r="F4576" s="61" t="n">
        <v>1</v>
      </c>
      <c r="G4576" s="62" t="n">
        <v>1147.01</v>
      </c>
      <c r="H4576" s="63" t="n">
        <v>0.094</v>
      </c>
      <c r="I4576" s="62" t="n">
        <v>898.83</v>
      </c>
      <c r="J4576" s="58" t="inlineStr">
        <is>
          <t>Online</t>
        </is>
      </c>
      <c r="K4576" s="62">
        <f>F4576*(G4576-H4576)</f>
        <v/>
      </c>
      <c r="L4576" s="62">
        <f>K4576-(F4576*I4576)</f>
        <v/>
      </c>
      <c r="M4576" s="64">
        <f>L4576/K4576</f>
        <v/>
      </c>
    </row>
    <row r="4577">
      <c r="A4577" s="58" t="inlineStr">
        <is>
          <t>RT20250429-04576</t>
        </is>
      </c>
      <c r="B4577" s="59" t="inlineStr">
        <is>
          <t>2025-04-29</t>
        </is>
      </c>
      <c r="C4577" s="60" t="inlineStr">
        <is>
          <t>Aurora Smartphone Plus-125</t>
        </is>
      </c>
      <c r="D4577" s="58" t="inlineStr">
        <is>
          <t>Electronics</t>
        </is>
      </c>
      <c r="E4577" s="58" t="inlineStr">
        <is>
          <t>East</t>
        </is>
      </c>
      <c r="F4577" s="61" t="n">
        <v>2</v>
      </c>
      <c r="G4577" s="62" t="n">
        <v>1346.97</v>
      </c>
      <c r="H4577" s="63" t="n">
        <v>0.021</v>
      </c>
      <c r="I4577" s="62" t="n">
        <v>1215.24</v>
      </c>
      <c r="J4577" s="58" t="inlineStr">
        <is>
          <t>Online</t>
        </is>
      </c>
      <c r="K4577" s="62">
        <f>F4577*(G4577-H4577)</f>
        <v/>
      </c>
      <c r="L4577" s="62">
        <f>K4577-(F4577*I4577)</f>
        <v/>
      </c>
      <c r="M4577" s="64">
        <f>L4577/K4577</f>
        <v/>
      </c>
    </row>
    <row r="4578">
      <c r="A4578" s="58" t="inlineStr">
        <is>
          <t>RT20250429-04577</t>
        </is>
      </c>
      <c r="B4578" s="59" t="inlineStr">
        <is>
          <t>2025-04-29</t>
        </is>
      </c>
      <c r="C4578" s="60" t="inlineStr">
        <is>
          <t>Orion Kitchen Pro-568</t>
        </is>
      </c>
      <c r="D4578" s="58" t="inlineStr">
        <is>
          <t>Home</t>
        </is>
      </c>
      <c r="E4578" s="58" t="inlineStr">
        <is>
          <t>South</t>
        </is>
      </c>
      <c r="F4578" s="61" t="n">
        <v>2</v>
      </c>
      <c r="G4578" s="62" t="n">
        <v>504.52</v>
      </c>
      <c r="H4578" s="63" t="n">
        <v>0.06</v>
      </c>
      <c r="I4578" s="62" t="n">
        <v>297.87</v>
      </c>
      <c r="J4578" s="58" t="inlineStr">
        <is>
          <t>Store</t>
        </is>
      </c>
      <c r="K4578" s="62">
        <f>F4578*(G4578-H4578)</f>
        <v/>
      </c>
      <c r="L4578" s="62">
        <f>K4578-(F4578*I4578)</f>
        <v/>
      </c>
      <c r="M4578" s="64">
        <f>L4578/K4578</f>
        <v/>
      </c>
    </row>
    <row r="4579">
      <c r="A4579" s="58" t="inlineStr">
        <is>
          <t>RT20250429-04578</t>
        </is>
      </c>
      <c r="B4579" s="59" t="inlineStr">
        <is>
          <t>2025-04-29</t>
        </is>
      </c>
      <c r="C4579" s="60" t="inlineStr">
        <is>
          <t>Polar Supplie Lite-348</t>
        </is>
      </c>
      <c r="D4579" s="58" t="inlineStr">
        <is>
          <t>Office</t>
        </is>
      </c>
      <c r="E4579" s="58" t="inlineStr">
        <is>
          <t>East</t>
        </is>
      </c>
      <c r="F4579" s="61" t="n">
        <v>1</v>
      </c>
      <c r="G4579" s="62" t="n">
        <v>443.86</v>
      </c>
      <c r="H4579" s="63" t="n">
        <v>0.059</v>
      </c>
      <c r="I4579" s="62" t="n">
        <v>308.18</v>
      </c>
      <c r="J4579" s="58" t="inlineStr">
        <is>
          <t>Store</t>
        </is>
      </c>
      <c r="K4579" s="62">
        <f>F4579*(G4579-H4579)</f>
        <v/>
      </c>
      <c r="L4579" s="62">
        <f>K4579-(F4579*I4579)</f>
        <v/>
      </c>
      <c r="M4579" s="64">
        <f>L4579/K4579</f>
        <v/>
      </c>
    </row>
    <row r="4580">
      <c r="A4580" s="58" t="inlineStr">
        <is>
          <t>RT20250429-04579</t>
        </is>
      </c>
      <c r="B4580" s="59" t="inlineStr">
        <is>
          <t>2025-04-29</t>
        </is>
      </c>
      <c r="C4580" s="60" t="inlineStr">
        <is>
          <t>Aurora Wearable Lite-704</t>
        </is>
      </c>
      <c r="D4580" s="58" t="inlineStr">
        <is>
          <t>Electronics</t>
        </is>
      </c>
      <c r="E4580" s="58" t="inlineStr">
        <is>
          <t>North</t>
        </is>
      </c>
      <c r="F4580" s="61" t="n">
        <v>2</v>
      </c>
      <c r="G4580" s="62" t="n">
        <v>1816.55</v>
      </c>
      <c r="H4580" s="63" t="n">
        <v>0.123</v>
      </c>
      <c r="I4580" s="62" t="n">
        <v>1449.17</v>
      </c>
      <c r="J4580" s="58" t="inlineStr">
        <is>
          <t>Online</t>
        </is>
      </c>
      <c r="K4580" s="62">
        <f>F4580*(G4580-H4580)</f>
        <v/>
      </c>
      <c r="L4580" s="62">
        <f>K4580-(F4580*I4580)</f>
        <v/>
      </c>
      <c r="M4580" s="64">
        <f>L4580/K4580</f>
        <v/>
      </c>
    </row>
    <row r="4581">
      <c r="A4581" s="58" t="inlineStr">
        <is>
          <t>RT20250429-04580</t>
        </is>
      </c>
      <c r="B4581" s="59" t="inlineStr">
        <is>
          <t>2025-04-29</t>
        </is>
      </c>
      <c r="C4581" s="60" t="inlineStr">
        <is>
          <t>Falcon Team Sport Lite-268</t>
        </is>
      </c>
      <c r="D4581" s="58" t="inlineStr">
        <is>
          <t>Sports</t>
        </is>
      </c>
      <c r="E4581" s="58" t="inlineStr">
        <is>
          <t>South</t>
        </is>
      </c>
      <c r="F4581" s="61" t="n">
        <v>2</v>
      </c>
      <c r="G4581" s="62" t="n">
        <v>706.42</v>
      </c>
      <c r="H4581" s="63" t="n">
        <v>0.114</v>
      </c>
      <c r="I4581" s="62" t="n">
        <v>444.23</v>
      </c>
      <c r="J4581" s="58" t="inlineStr">
        <is>
          <t>Online</t>
        </is>
      </c>
      <c r="K4581" s="62">
        <f>F4581*(G4581-H4581)</f>
        <v/>
      </c>
      <c r="L4581" s="62">
        <f>K4581-(F4581*I4581)</f>
        <v/>
      </c>
      <c r="M4581" s="64">
        <f>L4581/K4581</f>
        <v/>
      </c>
    </row>
    <row r="4582">
      <c r="A4582" s="58" t="inlineStr">
        <is>
          <t>RT20250429-04581</t>
        </is>
      </c>
      <c r="B4582" s="59" t="inlineStr">
        <is>
          <t>2025-04-29</t>
        </is>
      </c>
      <c r="C4582" s="60" t="inlineStr">
        <is>
          <t>Solace Snack S-691</t>
        </is>
      </c>
      <c r="D4582" s="58" t="inlineStr">
        <is>
          <t>Grocery</t>
        </is>
      </c>
      <c r="E4582" s="58" t="inlineStr">
        <is>
          <t>East</t>
        </is>
      </c>
      <c r="F4582" s="61" t="n">
        <v>6</v>
      </c>
      <c r="G4582" s="62" t="n">
        <v>9.31</v>
      </c>
      <c r="H4582" s="63" t="n">
        <v>0.045</v>
      </c>
      <c r="I4582" s="62" t="n">
        <v>7.01</v>
      </c>
      <c r="J4582" s="58" t="inlineStr">
        <is>
          <t>Store</t>
        </is>
      </c>
      <c r="K4582" s="62">
        <f>F4582*(G4582-H4582)</f>
        <v/>
      </c>
      <c r="L4582" s="62">
        <f>K4582-(F4582*I4582)</f>
        <v/>
      </c>
      <c r="M4582" s="64">
        <f>L4582/K4582</f>
        <v/>
      </c>
    </row>
    <row r="4583">
      <c r="A4583" s="58" t="inlineStr">
        <is>
          <t>RT20250429-04582</t>
        </is>
      </c>
      <c r="B4583" s="59" t="inlineStr">
        <is>
          <t>2025-04-29</t>
        </is>
      </c>
      <c r="C4583" s="60" t="inlineStr">
        <is>
          <t>Polar Decor X-935</t>
        </is>
      </c>
      <c r="D4583" s="58" t="inlineStr">
        <is>
          <t>Home</t>
        </is>
      </c>
      <c r="E4583" s="58" t="inlineStr">
        <is>
          <t>West</t>
        </is>
      </c>
      <c r="F4583" s="61" t="n">
        <v>1</v>
      </c>
      <c r="G4583" s="62" t="n">
        <v>291.27</v>
      </c>
      <c r="H4583" s="63" t="n">
        <v>0.112</v>
      </c>
      <c r="I4583" s="62" t="n">
        <v>202.34</v>
      </c>
      <c r="J4583" s="58" t="inlineStr">
        <is>
          <t>Online</t>
        </is>
      </c>
      <c r="K4583" s="62">
        <f>F4583*(G4583-H4583)</f>
        <v/>
      </c>
      <c r="L4583" s="62">
        <f>K4583-(F4583*I4583)</f>
        <v/>
      </c>
      <c r="M4583" s="64">
        <f>L4583/K4583</f>
        <v/>
      </c>
    </row>
    <row r="4584">
      <c r="A4584" s="58" t="inlineStr">
        <is>
          <t>RT20250429-04583</t>
        </is>
      </c>
      <c r="B4584" s="59" t="inlineStr">
        <is>
          <t>2025-04-29</t>
        </is>
      </c>
      <c r="C4584" s="60" t="inlineStr">
        <is>
          <t>Polar Wearable X-119</t>
        </is>
      </c>
      <c r="D4584" s="58" t="inlineStr">
        <is>
          <t>Electronics</t>
        </is>
      </c>
      <c r="E4584" s="58" t="inlineStr">
        <is>
          <t>South</t>
        </is>
      </c>
      <c r="F4584" s="61" t="n">
        <v>2</v>
      </c>
      <c r="G4584" s="62" t="n">
        <v>1488.03</v>
      </c>
      <c r="H4584" s="63" t="n">
        <v>0.035</v>
      </c>
      <c r="I4584" s="62" t="n">
        <v>1348.17</v>
      </c>
      <c r="J4584" s="58" t="inlineStr">
        <is>
          <t>Online</t>
        </is>
      </c>
      <c r="K4584" s="62">
        <f>F4584*(G4584-H4584)</f>
        <v/>
      </c>
      <c r="L4584" s="62">
        <f>K4584-(F4584*I4584)</f>
        <v/>
      </c>
      <c r="M4584" s="64">
        <f>L4584/K4584</f>
        <v/>
      </c>
    </row>
    <row r="4585">
      <c r="A4585" s="58" t="inlineStr">
        <is>
          <t>RT20250429-04584</t>
        </is>
      </c>
      <c r="B4585" s="59" t="inlineStr">
        <is>
          <t>2025-04-29</t>
        </is>
      </c>
      <c r="C4585" s="60" t="inlineStr">
        <is>
          <t>Falcon Household Plus-172</t>
        </is>
      </c>
      <c r="D4585" s="58" t="inlineStr">
        <is>
          <t>Grocery</t>
        </is>
      </c>
      <c r="E4585" s="58" t="inlineStr">
        <is>
          <t>West</t>
        </is>
      </c>
      <c r="F4585" s="61" t="n">
        <v>4</v>
      </c>
      <c r="G4585" s="62" t="n">
        <v>20.77</v>
      </c>
      <c r="H4585" s="63" t="n">
        <v>0.039</v>
      </c>
      <c r="I4585" s="62" t="n">
        <v>16.61</v>
      </c>
      <c r="J4585" s="58" t="inlineStr">
        <is>
          <t>Online</t>
        </is>
      </c>
      <c r="K4585" s="62">
        <f>F4585*(G4585-H4585)</f>
        <v/>
      </c>
      <c r="L4585" s="62">
        <f>K4585-(F4585*I4585)</f>
        <v/>
      </c>
      <c r="M4585" s="64">
        <f>L4585/K4585</f>
        <v/>
      </c>
    </row>
    <row r="4586">
      <c r="A4586" s="58" t="inlineStr">
        <is>
          <t>RT20250429-04585</t>
        </is>
      </c>
      <c r="B4586" s="59" t="inlineStr">
        <is>
          <t>2025-04-29</t>
        </is>
      </c>
      <c r="C4586" s="60" t="inlineStr">
        <is>
          <t>Aurora Storage Lite-774</t>
        </is>
      </c>
      <c r="D4586" s="58" t="inlineStr">
        <is>
          <t>Office</t>
        </is>
      </c>
      <c r="E4586" s="58" t="inlineStr">
        <is>
          <t>Central</t>
        </is>
      </c>
      <c r="F4586" s="61" t="n">
        <v>3</v>
      </c>
      <c r="G4586" s="62" t="n">
        <v>306.34</v>
      </c>
      <c r="H4586" s="63" t="n">
        <v>0.113</v>
      </c>
      <c r="I4586" s="62" t="n">
        <v>241.91</v>
      </c>
      <c r="J4586" s="58" t="inlineStr">
        <is>
          <t>Online</t>
        </is>
      </c>
      <c r="K4586" s="62">
        <f>F4586*(G4586-H4586)</f>
        <v/>
      </c>
      <c r="L4586" s="62">
        <f>K4586-(F4586*I4586)</f>
        <v/>
      </c>
      <c r="M4586" s="64">
        <f>L4586/K4586</f>
        <v/>
      </c>
    </row>
    <row r="4587">
      <c r="A4587" s="58" t="inlineStr">
        <is>
          <t>RT20250430-04586</t>
        </is>
      </c>
      <c r="B4587" s="59" t="inlineStr">
        <is>
          <t>2025-04-30</t>
        </is>
      </c>
      <c r="C4587" s="60" t="inlineStr">
        <is>
          <t>Polar Cycling X-649</t>
        </is>
      </c>
      <c r="D4587" s="58" t="inlineStr">
        <is>
          <t>Sports</t>
        </is>
      </c>
      <c r="E4587" s="58" t="inlineStr">
        <is>
          <t>West</t>
        </is>
      </c>
      <c r="F4587" s="61" t="n">
        <v>2</v>
      </c>
      <c r="G4587" s="62" t="n">
        <v>516.77</v>
      </c>
      <c r="H4587" s="63" t="n">
        <v>0.055</v>
      </c>
      <c r="I4587" s="62" t="n">
        <v>366.62</v>
      </c>
      <c r="J4587" s="58" t="inlineStr">
        <is>
          <t>Online</t>
        </is>
      </c>
      <c r="K4587" s="62">
        <f>F4587*(G4587-H4587)</f>
        <v/>
      </c>
      <c r="L4587" s="62">
        <f>K4587-(F4587*I4587)</f>
        <v/>
      </c>
      <c r="M4587" s="64">
        <f>L4587/K4587</f>
        <v/>
      </c>
    </row>
    <row r="4588">
      <c r="A4588" s="58" t="inlineStr">
        <is>
          <t>RT20250430-04587</t>
        </is>
      </c>
      <c r="B4588" s="59" t="inlineStr">
        <is>
          <t>2025-04-30</t>
        </is>
      </c>
      <c r="C4588" s="60" t="inlineStr">
        <is>
          <t>Vertex Headphone Pro-801</t>
        </is>
      </c>
      <c r="D4588" s="58" t="inlineStr">
        <is>
          <t>Electronics</t>
        </is>
      </c>
      <c r="E4588" s="58" t="inlineStr">
        <is>
          <t>West</t>
        </is>
      </c>
      <c r="F4588" s="61" t="n">
        <v>1</v>
      </c>
      <c r="G4588" s="62" t="n">
        <v>1458.16</v>
      </c>
      <c r="H4588" s="63" t="n">
        <v>0.06900000000000001</v>
      </c>
      <c r="I4588" s="62" t="n">
        <v>962.3200000000001</v>
      </c>
      <c r="J4588" s="58" t="inlineStr">
        <is>
          <t>Store</t>
        </is>
      </c>
      <c r="K4588" s="62">
        <f>F4588*(G4588-H4588)</f>
        <v/>
      </c>
      <c r="L4588" s="62">
        <f>K4588-(F4588*I4588)</f>
        <v/>
      </c>
      <c r="M4588" s="64">
        <f>L4588/K4588</f>
        <v/>
      </c>
    </row>
    <row r="4589">
      <c r="A4589" s="58" t="inlineStr">
        <is>
          <t>RT20250430-04588</t>
        </is>
      </c>
      <c r="B4589" s="59" t="inlineStr">
        <is>
          <t>2025-04-30</t>
        </is>
      </c>
      <c r="C4589" s="60" t="inlineStr">
        <is>
          <t>Falcon Cycling Pro-499</t>
        </is>
      </c>
      <c r="D4589" s="58" t="inlineStr">
        <is>
          <t>Sports</t>
        </is>
      </c>
      <c r="E4589" s="58" t="inlineStr">
        <is>
          <t>East</t>
        </is>
      </c>
      <c r="F4589" s="61" t="n">
        <v>1</v>
      </c>
      <c r="G4589" s="62" t="n">
        <v>625.67</v>
      </c>
      <c r="H4589" s="63" t="n">
        <v>0.007</v>
      </c>
      <c r="I4589" s="62" t="n">
        <v>400.91</v>
      </c>
      <c r="J4589" s="58" t="inlineStr">
        <is>
          <t>Online</t>
        </is>
      </c>
      <c r="K4589" s="62">
        <f>F4589*(G4589-H4589)</f>
        <v/>
      </c>
      <c r="L4589" s="62">
        <f>K4589-(F4589*I4589)</f>
        <v/>
      </c>
      <c r="M4589" s="64">
        <f>L4589/K4589</f>
        <v/>
      </c>
    </row>
    <row r="4590">
      <c r="A4590" s="58" t="inlineStr">
        <is>
          <t>RT20250430-04589</t>
        </is>
      </c>
      <c r="B4590" s="59" t="inlineStr">
        <is>
          <t>2025-04-30</t>
        </is>
      </c>
      <c r="C4590" s="60" t="inlineStr">
        <is>
          <t>Solace Laptop S-367</t>
        </is>
      </c>
      <c r="D4590" s="58" t="inlineStr">
        <is>
          <t>Electronics</t>
        </is>
      </c>
      <c r="E4590" s="58" t="inlineStr">
        <is>
          <t>East</t>
        </is>
      </c>
      <c r="F4590" s="61" t="n">
        <v>2</v>
      </c>
      <c r="G4590" s="62" t="n">
        <v>2139.53</v>
      </c>
      <c r="H4590" s="63" t="n">
        <v>0.063</v>
      </c>
      <c r="I4590" s="62" t="n">
        <v>1581.43</v>
      </c>
      <c r="J4590" s="58" t="inlineStr">
        <is>
          <t>Online</t>
        </is>
      </c>
      <c r="K4590" s="62">
        <f>F4590*(G4590-H4590)</f>
        <v/>
      </c>
      <c r="L4590" s="62">
        <f>K4590-(F4590*I4590)</f>
        <v/>
      </c>
      <c r="M4590" s="64">
        <f>L4590/K4590</f>
        <v/>
      </c>
    </row>
    <row r="4591">
      <c r="A4591" s="58" t="inlineStr">
        <is>
          <t>RT20250430-04590</t>
        </is>
      </c>
      <c r="B4591" s="59" t="inlineStr">
        <is>
          <t>2025-04-30</t>
        </is>
      </c>
      <c r="C4591" s="60" t="inlineStr">
        <is>
          <t>Solace Smartphone Lite-533</t>
        </is>
      </c>
      <c r="D4591" s="58" t="inlineStr">
        <is>
          <t>Electronics</t>
        </is>
      </c>
      <c r="E4591" s="58" t="inlineStr">
        <is>
          <t>Central</t>
        </is>
      </c>
      <c r="F4591" s="61" t="n">
        <v>1</v>
      </c>
      <c r="G4591" s="62" t="n">
        <v>1221.49</v>
      </c>
      <c r="H4591" s="63" t="n">
        <v>0.089</v>
      </c>
      <c r="I4591" s="62" t="n">
        <v>914.4299999999999</v>
      </c>
      <c r="J4591" s="58" t="inlineStr">
        <is>
          <t>Online</t>
        </is>
      </c>
      <c r="K4591" s="62">
        <f>F4591*(G4591-H4591)</f>
        <v/>
      </c>
      <c r="L4591" s="62">
        <f>K4591-(F4591*I4591)</f>
        <v/>
      </c>
      <c r="M4591" s="64">
        <f>L4591/K4591</f>
        <v/>
      </c>
    </row>
    <row r="4592">
      <c r="A4592" s="58" t="inlineStr">
        <is>
          <t>RT20250430-04591</t>
        </is>
      </c>
      <c r="B4592" s="59" t="inlineStr">
        <is>
          <t>2025-04-30</t>
        </is>
      </c>
      <c r="C4592" s="60" t="inlineStr">
        <is>
          <t>Polar Pantry Lite-392</t>
        </is>
      </c>
      <c r="D4592" s="58" t="inlineStr">
        <is>
          <t>Grocery</t>
        </is>
      </c>
      <c r="E4592" s="58" t="inlineStr">
        <is>
          <t>East</t>
        </is>
      </c>
      <c r="F4592" s="61" t="n">
        <v>5</v>
      </c>
      <c r="G4592" s="62" t="n">
        <v>5.87</v>
      </c>
      <c r="H4592" s="63" t="n">
        <v>0.044</v>
      </c>
      <c r="I4592" s="62" t="n">
        <v>4.59</v>
      </c>
      <c r="J4592" s="58" t="inlineStr">
        <is>
          <t>Online</t>
        </is>
      </c>
      <c r="K4592" s="62">
        <f>F4592*(G4592-H4592)</f>
        <v/>
      </c>
      <c r="L4592" s="62">
        <f>K4592-(F4592*I4592)</f>
        <v/>
      </c>
      <c r="M4592" s="64">
        <f>L4592/K4592</f>
        <v/>
      </c>
    </row>
    <row r="4593">
      <c r="A4593" s="58" t="inlineStr">
        <is>
          <t>RT20250430-04592</t>
        </is>
      </c>
      <c r="B4593" s="59" t="inlineStr">
        <is>
          <t>2025-04-30</t>
        </is>
      </c>
      <c r="C4593" s="60" t="inlineStr">
        <is>
          <t>Falcon Furniture Plus-839</t>
        </is>
      </c>
      <c r="D4593" s="58" t="inlineStr">
        <is>
          <t>Office</t>
        </is>
      </c>
      <c r="E4593" s="58" t="inlineStr">
        <is>
          <t>East</t>
        </is>
      </c>
      <c r="F4593" s="61" t="n">
        <v>2</v>
      </c>
      <c r="G4593" s="62" t="n">
        <v>307.45</v>
      </c>
      <c r="H4593" s="63" t="n">
        <v>0.042</v>
      </c>
      <c r="I4593" s="62" t="n">
        <v>223.4</v>
      </c>
      <c r="J4593" s="58" t="inlineStr">
        <is>
          <t>Online</t>
        </is>
      </c>
      <c r="K4593" s="62">
        <f>F4593*(G4593-H4593)</f>
        <v/>
      </c>
      <c r="L4593" s="62">
        <f>K4593-(F4593*I4593)</f>
        <v/>
      </c>
      <c r="M4593" s="64">
        <f>L4593/K4593</f>
        <v/>
      </c>
    </row>
    <row r="4594">
      <c r="A4594" s="58" t="inlineStr">
        <is>
          <t>RT20250430-04593</t>
        </is>
      </c>
      <c r="B4594" s="59" t="inlineStr">
        <is>
          <t>2025-04-30</t>
        </is>
      </c>
      <c r="C4594" s="60" t="inlineStr">
        <is>
          <t>Metro Decor Lite-325</t>
        </is>
      </c>
      <c r="D4594" s="58" t="inlineStr">
        <is>
          <t>Home</t>
        </is>
      </c>
      <c r="E4594" s="58" t="inlineStr">
        <is>
          <t>East</t>
        </is>
      </c>
      <c r="F4594" s="61" t="n">
        <v>1</v>
      </c>
      <c r="G4594" s="62" t="n">
        <v>559.76</v>
      </c>
      <c r="H4594" s="63" t="n">
        <v>0.08500000000000001</v>
      </c>
      <c r="I4594" s="62" t="n">
        <v>376.02</v>
      </c>
      <c r="J4594" s="58" t="inlineStr">
        <is>
          <t>Store</t>
        </is>
      </c>
      <c r="K4594" s="62">
        <f>F4594*(G4594-H4594)</f>
        <v/>
      </c>
      <c r="L4594" s="62">
        <f>K4594-(F4594*I4594)</f>
        <v/>
      </c>
      <c r="M4594" s="64">
        <f>L4594/K4594</f>
        <v/>
      </c>
    </row>
    <row r="4595">
      <c r="A4595" s="58" t="inlineStr">
        <is>
          <t>RT20250430-04594</t>
        </is>
      </c>
      <c r="B4595" s="59" t="inlineStr">
        <is>
          <t>2025-04-30</t>
        </is>
      </c>
      <c r="C4595" s="60" t="inlineStr">
        <is>
          <t>Aurora Appliance Max-316</t>
        </is>
      </c>
      <c r="D4595" s="58" t="inlineStr">
        <is>
          <t>Home</t>
        </is>
      </c>
      <c r="E4595" s="58" t="inlineStr">
        <is>
          <t>Central</t>
        </is>
      </c>
      <c r="F4595" s="61" t="n">
        <v>2</v>
      </c>
      <c r="G4595" s="62" t="n">
        <v>315.33</v>
      </c>
      <c r="H4595" s="63" t="n">
        <v>0.036</v>
      </c>
      <c r="I4595" s="62" t="n">
        <v>212.67</v>
      </c>
      <c r="J4595" s="58" t="inlineStr">
        <is>
          <t>Online</t>
        </is>
      </c>
      <c r="K4595" s="62">
        <f>F4595*(G4595-H4595)</f>
        <v/>
      </c>
      <c r="L4595" s="62">
        <f>K4595-(F4595*I4595)</f>
        <v/>
      </c>
      <c r="M4595" s="64">
        <f>L4595/K4595</f>
        <v/>
      </c>
    </row>
    <row r="4596">
      <c r="A4596" s="58" t="inlineStr">
        <is>
          <t>RT20250430-04595</t>
        </is>
      </c>
      <c r="B4596" s="59" t="inlineStr">
        <is>
          <t>2025-04-30</t>
        </is>
      </c>
      <c r="C4596" s="60" t="inlineStr">
        <is>
          <t>Solace Fitnes S-324</t>
        </is>
      </c>
      <c r="D4596" s="58" t="inlineStr">
        <is>
          <t>Sports</t>
        </is>
      </c>
      <c r="E4596" s="58" t="inlineStr">
        <is>
          <t>Central</t>
        </is>
      </c>
      <c r="F4596" s="61" t="n">
        <v>1</v>
      </c>
      <c r="G4596" s="62" t="n">
        <v>733.67</v>
      </c>
      <c r="H4596" s="63" t="n">
        <v>0.004</v>
      </c>
      <c r="I4596" s="62" t="n">
        <v>531.8099999999999</v>
      </c>
      <c r="J4596" s="58" t="inlineStr">
        <is>
          <t>Online</t>
        </is>
      </c>
      <c r="K4596" s="62">
        <f>F4596*(G4596-H4596)</f>
        <v/>
      </c>
      <c r="L4596" s="62">
        <f>K4596-(F4596*I4596)</f>
        <v/>
      </c>
      <c r="M4596" s="64">
        <f>L4596/K4596</f>
        <v/>
      </c>
    </row>
    <row r="4597">
      <c r="A4597" s="58" t="inlineStr">
        <is>
          <t>RT20250430-04596</t>
        </is>
      </c>
      <c r="B4597" s="59" t="inlineStr">
        <is>
          <t>2025-04-30</t>
        </is>
      </c>
      <c r="C4597" s="60" t="inlineStr">
        <is>
          <t>Aurora Smartphone Plus-125</t>
        </is>
      </c>
      <c r="D4597" s="58" t="inlineStr">
        <is>
          <t>Electronics</t>
        </is>
      </c>
      <c r="E4597" s="58" t="inlineStr">
        <is>
          <t>South</t>
        </is>
      </c>
      <c r="F4597" s="61" t="n">
        <v>2</v>
      </c>
      <c r="G4597" s="62" t="n">
        <v>1693.12</v>
      </c>
      <c r="H4597" s="63" t="n">
        <v>0.028</v>
      </c>
      <c r="I4597" s="62" t="n">
        <v>1205.35</v>
      </c>
      <c r="J4597" s="58" t="inlineStr">
        <is>
          <t>Store</t>
        </is>
      </c>
      <c r="K4597" s="62">
        <f>F4597*(G4597-H4597)</f>
        <v/>
      </c>
      <c r="L4597" s="62">
        <f>K4597-(F4597*I4597)</f>
        <v/>
      </c>
      <c r="M4597" s="64">
        <f>L4597/K4597</f>
        <v/>
      </c>
    </row>
    <row r="4598">
      <c r="A4598" s="58" t="inlineStr">
        <is>
          <t>RT20250430-04597</t>
        </is>
      </c>
      <c r="B4598" s="59" t="inlineStr">
        <is>
          <t>2025-04-30</t>
        </is>
      </c>
      <c r="C4598" s="60" t="inlineStr">
        <is>
          <t>Falcon Household Plus-172</t>
        </is>
      </c>
      <c r="D4598" s="58" t="inlineStr">
        <is>
          <t>Grocery</t>
        </is>
      </c>
      <c r="E4598" s="58" t="inlineStr">
        <is>
          <t>West</t>
        </is>
      </c>
      <c r="F4598" s="61" t="n">
        <v>5</v>
      </c>
      <c r="G4598" s="62" t="n">
        <v>23.28</v>
      </c>
      <c r="H4598" s="63" t="n">
        <v>0.039</v>
      </c>
      <c r="I4598" s="62" t="n">
        <v>16.08</v>
      </c>
      <c r="J4598" s="58" t="inlineStr">
        <is>
          <t>Online</t>
        </is>
      </c>
      <c r="K4598" s="62">
        <f>F4598*(G4598-H4598)</f>
        <v/>
      </c>
      <c r="L4598" s="62">
        <f>K4598-(F4598*I4598)</f>
        <v/>
      </c>
      <c r="M4598" s="64">
        <f>L4598/K4598</f>
        <v/>
      </c>
    </row>
    <row r="4599">
      <c r="A4599" s="58" t="inlineStr">
        <is>
          <t>RT20250430-04598</t>
        </is>
      </c>
      <c r="B4599" s="59" t="inlineStr">
        <is>
          <t>2025-04-30</t>
        </is>
      </c>
      <c r="C4599" s="60" t="inlineStr">
        <is>
          <t>Metro Pantry Max-180</t>
        </is>
      </c>
      <c r="D4599" s="58" t="inlineStr">
        <is>
          <t>Grocery</t>
        </is>
      </c>
      <c r="E4599" s="58" t="inlineStr">
        <is>
          <t>East</t>
        </is>
      </c>
      <c r="F4599" s="61" t="n">
        <v>1</v>
      </c>
      <c r="G4599" s="62" t="n">
        <v>9.220000000000001</v>
      </c>
      <c r="H4599" s="63" t="n">
        <v>0.059</v>
      </c>
      <c r="I4599" s="62" t="n">
        <v>6.54</v>
      </c>
      <c r="J4599" s="58" t="inlineStr">
        <is>
          <t>Store</t>
        </is>
      </c>
      <c r="K4599" s="62">
        <f>F4599*(G4599-H4599)</f>
        <v/>
      </c>
      <c r="L4599" s="62">
        <f>K4599-(F4599*I4599)</f>
        <v/>
      </c>
      <c r="M4599" s="64">
        <f>L4599/K4599</f>
        <v/>
      </c>
    </row>
    <row r="4600">
      <c r="A4600" s="58" t="inlineStr">
        <is>
          <t>RT20250430-04599</t>
        </is>
      </c>
      <c r="B4600" s="59" t="inlineStr">
        <is>
          <t>2025-04-30</t>
        </is>
      </c>
      <c r="C4600" s="60" t="inlineStr">
        <is>
          <t>Solace Kid S-384</t>
        </is>
      </c>
      <c r="D4600" s="58" t="inlineStr">
        <is>
          <t>Apparel</t>
        </is>
      </c>
      <c r="E4600" s="58" t="inlineStr">
        <is>
          <t>Central</t>
        </is>
      </c>
      <c r="F4600" s="61" t="n">
        <v>4</v>
      </c>
      <c r="G4600" s="62" t="n">
        <v>110.05</v>
      </c>
      <c r="H4600" s="63" t="n">
        <v>0.046</v>
      </c>
      <c r="I4600" s="62" t="n">
        <v>62.77</v>
      </c>
      <c r="J4600" s="58" t="inlineStr">
        <is>
          <t>Online</t>
        </is>
      </c>
      <c r="K4600" s="62">
        <f>F4600*(G4600-H4600)</f>
        <v/>
      </c>
      <c r="L4600" s="62">
        <f>K4600-(F4600*I4600)</f>
        <v/>
      </c>
      <c r="M4600" s="64">
        <f>L4600/K4600</f>
        <v/>
      </c>
    </row>
    <row r="4601">
      <c r="A4601" s="58" t="inlineStr">
        <is>
          <t>RT20250430-04600</t>
        </is>
      </c>
      <c r="B4601" s="59" t="inlineStr">
        <is>
          <t>2025-04-30</t>
        </is>
      </c>
      <c r="C4601" s="60" t="inlineStr">
        <is>
          <t>Aurora Skincare Max-798</t>
        </is>
      </c>
      <c r="D4601" s="58" t="inlineStr">
        <is>
          <t>Beauty</t>
        </is>
      </c>
      <c r="E4601" s="58" t="inlineStr">
        <is>
          <t>East</t>
        </is>
      </c>
      <c r="F4601" s="61" t="n">
        <v>4</v>
      </c>
      <c r="G4601" s="62" t="n">
        <v>120</v>
      </c>
      <c r="H4601" s="63" t="n">
        <v>0.09</v>
      </c>
      <c r="I4601" s="62" t="n">
        <v>66.69</v>
      </c>
      <c r="J4601" s="58" t="inlineStr">
        <is>
          <t>Online</t>
        </is>
      </c>
      <c r="K4601" s="62">
        <f>F4601*(G4601-H4601)</f>
        <v/>
      </c>
      <c r="L4601" s="62">
        <f>K4601-(F4601*I4601)</f>
        <v/>
      </c>
      <c r="M4601" s="64">
        <f>L4601/K4601</f>
        <v/>
      </c>
    </row>
    <row r="4602">
      <c r="A4602" s="58" t="inlineStr">
        <is>
          <t>RT20250430-04601</t>
        </is>
      </c>
      <c r="B4602" s="59" t="inlineStr">
        <is>
          <t>2025-04-30</t>
        </is>
      </c>
      <c r="C4602" s="60" t="inlineStr">
        <is>
          <t>Solace Smartphone Lite-533</t>
        </is>
      </c>
      <c r="D4602" s="58" t="inlineStr">
        <is>
          <t>Electronics</t>
        </is>
      </c>
      <c r="E4602" s="58" t="inlineStr">
        <is>
          <t>Central</t>
        </is>
      </c>
      <c r="F4602" s="61" t="n">
        <v>1</v>
      </c>
      <c r="G4602" s="62" t="n">
        <v>1215.46</v>
      </c>
      <c r="H4602" s="63" t="n">
        <v>0.044</v>
      </c>
      <c r="I4602" s="62" t="n">
        <v>923.83</v>
      </c>
      <c r="J4602" s="58" t="inlineStr">
        <is>
          <t>Store</t>
        </is>
      </c>
      <c r="K4602" s="62">
        <f>F4602*(G4602-H4602)</f>
        <v/>
      </c>
      <c r="L4602" s="62">
        <f>K4602-(F4602*I4602)</f>
        <v/>
      </c>
      <c r="M4602" s="64">
        <f>L4602/K4602</f>
        <v/>
      </c>
    </row>
    <row r="4603">
      <c r="A4603" s="58" t="inlineStr">
        <is>
          <t>RT20250430-04602</t>
        </is>
      </c>
      <c r="B4603" s="59" t="inlineStr">
        <is>
          <t>2025-04-30</t>
        </is>
      </c>
      <c r="C4603" s="60" t="inlineStr">
        <is>
          <t>Polar Fragrance Pro-750</t>
        </is>
      </c>
      <c r="D4603" s="58" t="inlineStr">
        <is>
          <t>Beauty</t>
        </is>
      </c>
      <c r="E4603" s="58" t="inlineStr">
        <is>
          <t>West</t>
        </is>
      </c>
      <c r="F4603" s="61" t="n">
        <v>4</v>
      </c>
      <c r="G4603" s="62" t="n">
        <v>57.08</v>
      </c>
      <c r="H4603" s="63" t="n">
        <v>0.07199999999999999</v>
      </c>
      <c r="I4603" s="62" t="n">
        <v>36.01</v>
      </c>
      <c r="J4603" s="58" t="inlineStr">
        <is>
          <t>Online</t>
        </is>
      </c>
      <c r="K4603" s="62">
        <f>F4603*(G4603-H4603)</f>
        <v/>
      </c>
      <c r="L4603" s="62">
        <f>K4603-(F4603*I4603)</f>
        <v/>
      </c>
      <c r="M4603" s="64">
        <f>L4603/K4603</f>
        <v/>
      </c>
    </row>
    <row r="4604">
      <c r="A4604" s="58" t="inlineStr">
        <is>
          <t>RT20250430-04603</t>
        </is>
      </c>
      <c r="B4604" s="59" t="inlineStr">
        <is>
          <t>2025-04-30</t>
        </is>
      </c>
      <c r="C4604" s="60" t="inlineStr">
        <is>
          <t>Polar Wearable X-119</t>
        </is>
      </c>
      <c r="D4604" s="58" t="inlineStr">
        <is>
          <t>Electronics</t>
        </is>
      </c>
      <c r="E4604" s="58" t="inlineStr">
        <is>
          <t>East</t>
        </is>
      </c>
      <c r="F4604" s="61" t="n">
        <v>1</v>
      </c>
      <c r="G4604" s="62" t="n">
        <v>1361.84</v>
      </c>
      <c r="H4604" s="63" t="n">
        <v>0.075</v>
      </c>
      <c r="I4604" s="62" t="n">
        <v>1223.01</v>
      </c>
      <c r="J4604" s="58" t="inlineStr">
        <is>
          <t>Store</t>
        </is>
      </c>
      <c r="K4604" s="62">
        <f>F4604*(G4604-H4604)</f>
        <v/>
      </c>
      <c r="L4604" s="62">
        <f>K4604-(F4604*I4604)</f>
        <v/>
      </c>
      <c r="M4604" s="64">
        <f>L4604/K4604</f>
        <v/>
      </c>
    </row>
    <row r="4605">
      <c r="A4605" s="58" t="inlineStr">
        <is>
          <t>RT20250430-04604</t>
        </is>
      </c>
      <c r="B4605" s="59" t="inlineStr">
        <is>
          <t>2025-04-30</t>
        </is>
      </c>
      <c r="C4605" s="60" t="inlineStr">
        <is>
          <t>Vertex Snack S-702</t>
        </is>
      </c>
      <c r="D4605" s="58" t="inlineStr">
        <is>
          <t>Grocery</t>
        </is>
      </c>
      <c r="E4605" s="58" t="inlineStr">
        <is>
          <t>Central</t>
        </is>
      </c>
      <c r="F4605" s="61" t="n">
        <v>2</v>
      </c>
      <c r="G4605" s="62" t="n">
        <v>1.96</v>
      </c>
      <c r="H4605" s="63" t="n">
        <v>0.039</v>
      </c>
      <c r="I4605" s="62" t="n">
        <v>1.48</v>
      </c>
      <c r="J4605" s="58" t="inlineStr">
        <is>
          <t>Store</t>
        </is>
      </c>
      <c r="K4605" s="62">
        <f>F4605*(G4605-H4605)</f>
        <v/>
      </c>
      <c r="L4605" s="62">
        <f>K4605-(F4605*I4605)</f>
        <v/>
      </c>
      <c r="M4605" s="64">
        <f>L4605/K4605</f>
        <v/>
      </c>
    </row>
    <row r="4606">
      <c r="A4606" s="58" t="inlineStr">
        <is>
          <t>RT20250430-04605</t>
        </is>
      </c>
      <c r="B4606" s="59" t="inlineStr">
        <is>
          <t>2025-04-30</t>
        </is>
      </c>
      <c r="C4606" s="60" t="inlineStr">
        <is>
          <t>Metro Smartphone Max-773</t>
        </is>
      </c>
      <c r="D4606" s="58" t="inlineStr">
        <is>
          <t>Electronics</t>
        </is>
      </c>
      <c r="E4606" s="58" t="inlineStr">
        <is>
          <t>South</t>
        </is>
      </c>
      <c r="F4606" s="61" t="n">
        <v>1</v>
      </c>
      <c r="G4606" s="62" t="n">
        <v>1315.65</v>
      </c>
      <c r="H4606" s="63" t="n">
        <v>0.073</v>
      </c>
      <c r="I4606" s="62" t="n">
        <v>1126.9</v>
      </c>
      <c r="J4606" s="58" t="inlineStr">
        <is>
          <t>Store</t>
        </is>
      </c>
      <c r="K4606" s="62">
        <f>F4606*(G4606-H4606)</f>
        <v/>
      </c>
      <c r="L4606" s="62">
        <f>K4606-(F4606*I4606)</f>
        <v/>
      </c>
      <c r="M4606" s="64">
        <f>L4606/K4606</f>
        <v/>
      </c>
    </row>
    <row r="4607">
      <c r="A4607" s="58" t="inlineStr">
        <is>
          <t>RT20250430-04606</t>
        </is>
      </c>
      <c r="B4607" s="59" t="inlineStr">
        <is>
          <t>2025-04-30</t>
        </is>
      </c>
      <c r="C4607" s="60" t="inlineStr">
        <is>
          <t>Falcon Headphone Plus-789</t>
        </is>
      </c>
      <c r="D4607" s="58" t="inlineStr">
        <is>
          <t>Electronics</t>
        </is>
      </c>
      <c r="E4607" s="58" t="inlineStr">
        <is>
          <t>East</t>
        </is>
      </c>
      <c r="F4607" s="61" t="n">
        <v>2</v>
      </c>
      <c r="G4607" s="62" t="n">
        <v>1722.1</v>
      </c>
      <c r="H4607" s="63" t="n">
        <v>0.041</v>
      </c>
      <c r="I4607" s="62" t="n">
        <v>1340.81</v>
      </c>
      <c r="J4607" s="58" t="inlineStr">
        <is>
          <t>Store</t>
        </is>
      </c>
      <c r="K4607" s="62">
        <f>F4607*(G4607-H4607)</f>
        <v/>
      </c>
      <c r="L4607" s="62">
        <f>K4607-(F4607*I4607)</f>
        <v/>
      </c>
      <c r="M4607" s="64">
        <f>L4607/K4607</f>
        <v/>
      </c>
    </row>
    <row r="4608">
      <c r="A4608" s="58" t="inlineStr">
        <is>
          <t>RT20250430-04607</t>
        </is>
      </c>
      <c r="B4608" s="59" t="inlineStr">
        <is>
          <t>2025-04-30</t>
        </is>
      </c>
      <c r="C4608" s="60" t="inlineStr">
        <is>
          <t>Solace Fitnes S-324</t>
        </is>
      </c>
      <c r="D4608" s="58" t="inlineStr">
        <is>
          <t>Sports</t>
        </is>
      </c>
      <c r="E4608" s="58" t="inlineStr">
        <is>
          <t>East</t>
        </is>
      </c>
      <c r="F4608" s="61" t="n">
        <v>3</v>
      </c>
      <c r="G4608" s="62" t="n">
        <v>718.34</v>
      </c>
      <c r="H4608" s="63" t="n">
        <v>0.054</v>
      </c>
      <c r="I4608" s="62" t="n">
        <v>517.7</v>
      </c>
      <c r="J4608" s="58" t="inlineStr">
        <is>
          <t>Online</t>
        </is>
      </c>
      <c r="K4608" s="62">
        <f>F4608*(G4608-H4608)</f>
        <v/>
      </c>
      <c r="L4608" s="62">
        <f>K4608-(F4608*I4608)</f>
        <v/>
      </c>
      <c r="M4608" s="64">
        <f>L4608/K4608</f>
        <v/>
      </c>
    </row>
    <row r="4609">
      <c r="A4609" s="58" t="inlineStr">
        <is>
          <t>RT20250430-04608</t>
        </is>
      </c>
      <c r="B4609" s="59" t="inlineStr">
        <is>
          <t>2025-04-30</t>
        </is>
      </c>
      <c r="C4609" s="60" t="inlineStr">
        <is>
          <t>Polar Decor X-935</t>
        </is>
      </c>
      <c r="D4609" s="58" t="inlineStr">
        <is>
          <t>Home</t>
        </is>
      </c>
      <c r="E4609" s="58" t="inlineStr">
        <is>
          <t>West</t>
        </is>
      </c>
      <c r="F4609" s="61" t="n">
        <v>3</v>
      </c>
      <c r="G4609" s="62" t="n">
        <v>303.35</v>
      </c>
      <c r="H4609" s="63" t="n">
        <v>0.049</v>
      </c>
      <c r="I4609" s="62" t="n">
        <v>203.98</v>
      </c>
      <c r="J4609" s="58" t="inlineStr">
        <is>
          <t>Phone</t>
        </is>
      </c>
      <c r="K4609" s="62">
        <f>F4609*(G4609-H4609)</f>
        <v/>
      </c>
      <c r="L4609" s="62">
        <f>K4609-(F4609*I4609)</f>
        <v/>
      </c>
      <c r="M4609" s="64">
        <f>L4609/K4609</f>
        <v/>
      </c>
    </row>
    <row r="4610">
      <c r="A4610" s="58" t="inlineStr">
        <is>
          <t>RT20250430-04609</t>
        </is>
      </c>
      <c r="B4610" s="59" t="inlineStr">
        <is>
          <t>2025-04-30</t>
        </is>
      </c>
      <c r="C4610" s="60" t="inlineStr">
        <is>
          <t>Polar Haircare Max-614</t>
        </is>
      </c>
      <c r="D4610" s="58" t="inlineStr">
        <is>
          <t>Beauty</t>
        </is>
      </c>
      <c r="E4610" s="58" t="inlineStr">
        <is>
          <t>Central</t>
        </is>
      </c>
      <c r="F4610" s="61" t="n">
        <v>2</v>
      </c>
      <c r="G4610" s="62" t="n">
        <v>111.17</v>
      </c>
      <c r="H4610" s="63" t="n">
        <v>0.08799999999999999</v>
      </c>
      <c r="I4610" s="62" t="n">
        <v>70.39</v>
      </c>
      <c r="J4610" s="58" t="inlineStr">
        <is>
          <t>Online</t>
        </is>
      </c>
      <c r="K4610" s="62">
        <f>F4610*(G4610-H4610)</f>
        <v/>
      </c>
      <c r="L4610" s="62">
        <f>K4610-(F4610*I4610)</f>
        <v/>
      </c>
      <c r="M4610" s="64">
        <f>L4610/K4610</f>
        <v/>
      </c>
    </row>
    <row r="4611">
      <c r="A4611" s="58" t="inlineStr">
        <is>
          <t>RT20250430-04610</t>
        </is>
      </c>
      <c r="B4611" s="59" t="inlineStr">
        <is>
          <t>2025-04-30</t>
        </is>
      </c>
      <c r="C4611" s="60" t="inlineStr">
        <is>
          <t>Solace Kid S-384</t>
        </is>
      </c>
      <c r="D4611" s="58" t="inlineStr">
        <is>
          <t>Apparel</t>
        </is>
      </c>
      <c r="E4611" s="58" t="inlineStr">
        <is>
          <t>East</t>
        </is>
      </c>
      <c r="F4611" s="61" t="n">
        <v>1</v>
      </c>
      <c r="G4611" s="62" t="n">
        <v>121.84</v>
      </c>
      <c r="H4611" s="63" t="n">
        <v>0.083</v>
      </c>
      <c r="I4611" s="62" t="n">
        <v>64.2</v>
      </c>
      <c r="J4611" s="58" t="inlineStr">
        <is>
          <t>Phone</t>
        </is>
      </c>
      <c r="K4611" s="62">
        <f>F4611*(G4611-H4611)</f>
        <v/>
      </c>
      <c r="L4611" s="62">
        <f>K4611-(F4611*I4611)</f>
        <v/>
      </c>
      <c r="M4611" s="64">
        <f>L4611/K4611</f>
        <v/>
      </c>
    </row>
    <row r="4612">
      <c r="A4612" s="58" t="inlineStr">
        <is>
          <t>RT20250430-04611</t>
        </is>
      </c>
      <c r="B4612" s="59" t="inlineStr">
        <is>
          <t>2025-04-30</t>
        </is>
      </c>
      <c r="C4612" s="60" t="inlineStr">
        <is>
          <t>Vertex Pantry Pro-165</t>
        </is>
      </c>
      <c r="D4612" s="58" t="inlineStr">
        <is>
          <t>Grocery</t>
        </is>
      </c>
      <c r="E4612" s="58" t="inlineStr">
        <is>
          <t>South</t>
        </is>
      </c>
      <c r="F4612" s="61" t="n">
        <v>5</v>
      </c>
      <c r="G4612" s="62" t="n">
        <v>15.77</v>
      </c>
      <c r="H4612" s="63" t="n">
        <v>0.049</v>
      </c>
      <c r="I4612" s="62" t="n">
        <v>11.51</v>
      </c>
      <c r="J4612" s="58" t="inlineStr">
        <is>
          <t>Online</t>
        </is>
      </c>
      <c r="K4612" s="62">
        <f>F4612*(G4612-H4612)</f>
        <v/>
      </c>
      <c r="L4612" s="62">
        <f>K4612-(F4612*I4612)</f>
        <v/>
      </c>
      <c r="M4612" s="64">
        <f>L4612/K4612</f>
        <v/>
      </c>
    </row>
    <row r="4613">
      <c r="A4613" s="58" t="inlineStr">
        <is>
          <t>RT20250430-04612</t>
        </is>
      </c>
      <c r="B4613" s="59" t="inlineStr">
        <is>
          <t>2025-04-30</t>
        </is>
      </c>
      <c r="C4613" s="60" t="inlineStr">
        <is>
          <t>Aurora Haircare S-975</t>
        </is>
      </c>
      <c r="D4613" s="58" t="inlineStr">
        <is>
          <t>Beauty</t>
        </is>
      </c>
      <c r="E4613" s="58" t="inlineStr">
        <is>
          <t>North</t>
        </is>
      </c>
      <c r="F4613" s="61" t="n">
        <v>5</v>
      </c>
      <c r="G4613" s="62" t="n">
        <v>88.76000000000001</v>
      </c>
      <c r="H4613" s="63" t="n">
        <v>0.033</v>
      </c>
      <c r="I4613" s="62" t="n">
        <v>57.55</v>
      </c>
      <c r="J4613" s="58" t="inlineStr">
        <is>
          <t>Online</t>
        </is>
      </c>
      <c r="K4613" s="62">
        <f>F4613*(G4613-H4613)</f>
        <v/>
      </c>
      <c r="L4613" s="62">
        <f>K4613-(F4613*I4613)</f>
        <v/>
      </c>
      <c r="M4613" s="64">
        <f>L4613/K4613</f>
        <v/>
      </c>
    </row>
    <row r="4614">
      <c r="A4614" s="58" t="inlineStr">
        <is>
          <t>RT20250430-04613</t>
        </is>
      </c>
      <c r="B4614" s="59" t="inlineStr">
        <is>
          <t>2025-04-30</t>
        </is>
      </c>
      <c r="C4614" s="60" t="inlineStr">
        <is>
          <t>Orion Fragrance Lite-785</t>
        </is>
      </c>
      <c r="D4614" s="58" t="inlineStr">
        <is>
          <t>Beauty</t>
        </is>
      </c>
      <c r="E4614" s="58" t="inlineStr">
        <is>
          <t>West</t>
        </is>
      </c>
      <c r="F4614" s="61" t="n">
        <v>4</v>
      </c>
      <c r="G4614" s="62" t="n">
        <v>45.33</v>
      </c>
      <c r="H4614" s="63" t="n">
        <v>0.054</v>
      </c>
      <c r="I4614" s="62" t="n">
        <v>27.15</v>
      </c>
      <c r="J4614" s="58" t="inlineStr">
        <is>
          <t>Online</t>
        </is>
      </c>
      <c r="K4614" s="62">
        <f>F4614*(G4614-H4614)</f>
        <v/>
      </c>
      <c r="L4614" s="62">
        <f>K4614-(F4614*I4614)</f>
        <v/>
      </c>
      <c r="M4614" s="64">
        <f>L4614/K4614</f>
        <v/>
      </c>
    </row>
    <row r="4615">
      <c r="A4615" s="58" t="inlineStr">
        <is>
          <t>RT20250430-04614</t>
        </is>
      </c>
      <c r="B4615" s="59" t="inlineStr">
        <is>
          <t>2025-04-30</t>
        </is>
      </c>
      <c r="C4615" s="60" t="inlineStr">
        <is>
          <t>Solace Kitchen Pro-510</t>
        </is>
      </c>
      <c r="D4615" s="58" t="inlineStr">
        <is>
          <t>Home</t>
        </is>
      </c>
      <c r="E4615" s="58" t="inlineStr">
        <is>
          <t>East</t>
        </is>
      </c>
      <c r="F4615" s="61" t="n">
        <v>1</v>
      </c>
      <c r="G4615" s="62" t="n">
        <v>519.33</v>
      </c>
      <c r="H4615" s="63" t="n">
        <v>0.034</v>
      </c>
      <c r="I4615" s="62" t="n">
        <v>306.82</v>
      </c>
      <c r="J4615" s="58" t="inlineStr">
        <is>
          <t>Store</t>
        </is>
      </c>
      <c r="K4615" s="62">
        <f>F4615*(G4615-H4615)</f>
        <v/>
      </c>
      <c r="L4615" s="62">
        <f>K4615-(F4615*I4615)</f>
        <v/>
      </c>
      <c r="M4615" s="64">
        <f>L4615/K4615</f>
        <v/>
      </c>
    </row>
    <row r="4616">
      <c r="A4616" s="58" t="inlineStr">
        <is>
          <t>RT20250430-04615</t>
        </is>
      </c>
      <c r="B4616" s="59" t="inlineStr">
        <is>
          <t>2025-04-30</t>
        </is>
      </c>
      <c r="C4616" s="60" t="inlineStr">
        <is>
          <t>Polar Cycling X-649</t>
        </is>
      </c>
      <c r="D4616" s="58" t="inlineStr">
        <is>
          <t>Sports</t>
        </is>
      </c>
      <c r="E4616" s="58" t="inlineStr">
        <is>
          <t>West</t>
        </is>
      </c>
      <c r="F4616" s="61" t="n">
        <v>1</v>
      </c>
      <c r="G4616" s="62" t="n">
        <v>576.45</v>
      </c>
      <c r="H4616" s="63" t="n">
        <v>0.104</v>
      </c>
      <c r="I4616" s="62" t="n">
        <v>369.34</v>
      </c>
      <c r="J4616" s="58" t="inlineStr">
        <is>
          <t>Online</t>
        </is>
      </c>
      <c r="K4616" s="62">
        <f>F4616*(G4616-H4616)</f>
        <v/>
      </c>
      <c r="L4616" s="62">
        <f>K4616-(F4616*I4616)</f>
        <v/>
      </c>
      <c r="M4616" s="64">
        <f>L4616/K4616</f>
        <v/>
      </c>
    </row>
    <row r="4617">
      <c r="A4617" s="58" t="inlineStr">
        <is>
          <t>RT20250430-04616</t>
        </is>
      </c>
      <c r="B4617" s="59" t="inlineStr">
        <is>
          <t>2025-04-30</t>
        </is>
      </c>
      <c r="C4617" s="60" t="inlineStr">
        <is>
          <t>Polar Men Pro-246</t>
        </is>
      </c>
      <c r="D4617" s="58" t="inlineStr">
        <is>
          <t>Apparel</t>
        </is>
      </c>
      <c r="E4617" s="58" t="inlineStr">
        <is>
          <t>East</t>
        </is>
      </c>
      <c r="F4617" s="61" t="n">
        <v>1</v>
      </c>
      <c r="G4617" s="62" t="n">
        <v>158.48</v>
      </c>
      <c r="H4617" s="63" t="n">
        <v>0.078</v>
      </c>
      <c r="I4617" s="62" t="n">
        <v>73.93000000000001</v>
      </c>
      <c r="J4617" s="58" t="inlineStr">
        <is>
          <t>Store</t>
        </is>
      </c>
      <c r="K4617" s="62">
        <f>F4617*(G4617-H4617)</f>
        <v/>
      </c>
      <c r="L4617" s="62">
        <f>K4617-(F4617*I4617)</f>
        <v/>
      </c>
      <c r="M4617" s="64">
        <f>L4617/K4617</f>
        <v/>
      </c>
    </row>
    <row r="4618">
      <c r="A4618" s="58" t="inlineStr">
        <is>
          <t>RT20250430-04617</t>
        </is>
      </c>
      <c r="B4618" s="59" t="inlineStr">
        <is>
          <t>2025-04-30</t>
        </is>
      </c>
      <c r="C4618" s="60" t="inlineStr">
        <is>
          <t>Polar Women S-662</t>
        </is>
      </c>
      <c r="D4618" s="58" t="inlineStr">
        <is>
          <t>Apparel</t>
        </is>
      </c>
      <c r="E4618" s="58" t="inlineStr">
        <is>
          <t>West</t>
        </is>
      </c>
      <c r="F4618" s="61" t="n">
        <v>3</v>
      </c>
      <c r="G4618" s="62" t="n">
        <v>168.84</v>
      </c>
      <c r="H4618" s="63" t="n">
        <v>0.06900000000000001</v>
      </c>
      <c r="I4618" s="62" t="n">
        <v>96.81</v>
      </c>
      <c r="J4618" s="58" t="inlineStr">
        <is>
          <t>Online</t>
        </is>
      </c>
      <c r="K4618" s="62">
        <f>F4618*(G4618-H4618)</f>
        <v/>
      </c>
      <c r="L4618" s="62">
        <f>K4618-(F4618*I4618)</f>
        <v/>
      </c>
      <c r="M4618" s="64">
        <f>L4618/K4618</f>
        <v/>
      </c>
    </row>
    <row r="4619">
      <c r="A4619" s="58" t="inlineStr">
        <is>
          <t>RT20250430-04618</t>
        </is>
      </c>
      <c r="B4619" s="59" t="inlineStr">
        <is>
          <t>2025-04-30</t>
        </is>
      </c>
      <c r="C4619" s="60" t="inlineStr">
        <is>
          <t>Polar Beverage S-258</t>
        </is>
      </c>
      <c r="D4619" s="58" t="inlineStr">
        <is>
          <t>Grocery</t>
        </is>
      </c>
      <c r="E4619" s="58" t="inlineStr">
        <is>
          <t>Central</t>
        </is>
      </c>
      <c r="F4619" s="61" t="n">
        <v>4</v>
      </c>
      <c r="G4619" s="62" t="n">
        <v>12.49</v>
      </c>
      <c r="H4619" s="63" t="n">
        <v>0.07099999999999999</v>
      </c>
      <c r="I4619" s="62" t="n">
        <v>9.960000000000001</v>
      </c>
      <c r="J4619" s="58" t="inlineStr">
        <is>
          <t>Store</t>
        </is>
      </c>
      <c r="K4619" s="62">
        <f>F4619*(G4619-H4619)</f>
        <v/>
      </c>
      <c r="L4619" s="62">
        <f>K4619-(F4619*I4619)</f>
        <v/>
      </c>
      <c r="M4619" s="64">
        <f>L4619/K4619</f>
        <v/>
      </c>
    </row>
    <row r="4620">
      <c r="A4620" s="58" t="inlineStr">
        <is>
          <t>RT20250430-04619</t>
        </is>
      </c>
      <c r="B4620" s="59" t="inlineStr">
        <is>
          <t>2025-04-30</t>
        </is>
      </c>
      <c r="C4620" s="60" t="inlineStr">
        <is>
          <t>Falcon Headphone Pro-713</t>
        </is>
      </c>
      <c r="D4620" s="58" t="inlineStr">
        <is>
          <t>Electronics</t>
        </is>
      </c>
      <c r="E4620" s="58" t="inlineStr">
        <is>
          <t>North</t>
        </is>
      </c>
      <c r="F4620" s="61" t="n">
        <v>1</v>
      </c>
      <c r="G4620" s="62" t="n">
        <v>1364.04</v>
      </c>
      <c r="H4620" s="63" t="n">
        <v>0.116</v>
      </c>
      <c r="I4620" s="62" t="n">
        <v>1170.69</v>
      </c>
      <c r="J4620" s="58" t="inlineStr">
        <is>
          <t>Online</t>
        </is>
      </c>
      <c r="K4620" s="62">
        <f>F4620*(G4620-H4620)</f>
        <v/>
      </c>
      <c r="L4620" s="62">
        <f>K4620-(F4620*I4620)</f>
        <v/>
      </c>
      <c r="M4620" s="64">
        <f>L4620/K4620</f>
        <v/>
      </c>
    </row>
    <row r="4621">
      <c r="A4621" s="58" t="inlineStr">
        <is>
          <t>RT20250430-04620</t>
        </is>
      </c>
      <c r="B4621" s="59" t="inlineStr">
        <is>
          <t>2025-04-30</t>
        </is>
      </c>
      <c r="C4621" s="60" t="inlineStr">
        <is>
          <t>Falcon Household Pro-865</t>
        </is>
      </c>
      <c r="D4621" s="58" t="inlineStr">
        <is>
          <t>Grocery</t>
        </is>
      </c>
      <c r="E4621" s="58" t="inlineStr">
        <is>
          <t>North</t>
        </is>
      </c>
      <c r="F4621" s="61" t="n">
        <v>4</v>
      </c>
      <c r="G4621" s="62" t="n">
        <v>12.26</v>
      </c>
      <c r="H4621" s="63" t="n">
        <v>0.044</v>
      </c>
      <c r="I4621" s="62" t="n">
        <v>7.83</v>
      </c>
      <c r="J4621" s="58" t="inlineStr">
        <is>
          <t>Online</t>
        </is>
      </c>
      <c r="K4621" s="62">
        <f>F4621*(G4621-H4621)</f>
        <v/>
      </c>
      <c r="L4621" s="62">
        <f>K4621-(F4621*I4621)</f>
        <v/>
      </c>
      <c r="M4621" s="64">
        <f>L4621/K4621</f>
        <v/>
      </c>
    </row>
    <row r="4622">
      <c r="A4622" s="58" t="inlineStr">
        <is>
          <t>RT20250430-04621</t>
        </is>
      </c>
      <c r="B4622" s="59" t="inlineStr">
        <is>
          <t>2025-04-30</t>
        </is>
      </c>
      <c r="C4622" s="60" t="inlineStr">
        <is>
          <t>Polar Pantry Lite-392</t>
        </is>
      </c>
      <c r="D4622" s="58" t="inlineStr">
        <is>
          <t>Grocery</t>
        </is>
      </c>
      <c r="E4622" s="58" t="inlineStr">
        <is>
          <t>West</t>
        </is>
      </c>
      <c r="F4622" s="61" t="n">
        <v>4</v>
      </c>
      <c r="G4622" s="62" t="n">
        <v>5.97</v>
      </c>
      <c r="H4622" s="63" t="n">
        <v>0.11</v>
      </c>
      <c r="I4622" s="62" t="n">
        <v>4.58</v>
      </c>
      <c r="J4622" s="58" t="inlineStr">
        <is>
          <t>Online</t>
        </is>
      </c>
      <c r="K4622" s="62">
        <f>F4622*(G4622-H4622)</f>
        <v/>
      </c>
      <c r="L4622" s="62">
        <f>K4622-(F4622*I4622)</f>
        <v/>
      </c>
      <c r="M4622" s="64">
        <f>L4622/K4622</f>
        <v/>
      </c>
    </row>
    <row r="4623">
      <c r="A4623" s="58" t="inlineStr">
        <is>
          <t>RT20250430-04622</t>
        </is>
      </c>
      <c r="B4623" s="59" t="inlineStr">
        <is>
          <t>2025-04-30</t>
        </is>
      </c>
      <c r="C4623" s="60" t="inlineStr">
        <is>
          <t>Aurora Bedding Max-175</t>
        </is>
      </c>
      <c r="D4623" s="58" t="inlineStr">
        <is>
          <t>Home</t>
        </is>
      </c>
      <c r="E4623" s="58" t="inlineStr">
        <is>
          <t>Central</t>
        </is>
      </c>
      <c r="F4623" s="61" t="n">
        <v>1</v>
      </c>
      <c r="G4623" s="62" t="n">
        <v>587.24</v>
      </c>
      <c r="H4623" s="63" t="n">
        <v>0.08799999999999999</v>
      </c>
      <c r="I4623" s="62" t="n">
        <v>419.41</v>
      </c>
      <c r="J4623" s="58" t="inlineStr">
        <is>
          <t>Store</t>
        </is>
      </c>
      <c r="K4623" s="62">
        <f>F4623*(G4623-H4623)</f>
        <v/>
      </c>
      <c r="L4623" s="62">
        <f>K4623-(F4623*I4623)</f>
        <v/>
      </c>
      <c r="M4623" s="64">
        <f>L4623/K4623</f>
        <v/>
      </c>
    </row>
    <row r="4624">
      <c r="A4624" s="58" t="inlineStr">
        <is>
          <t>RT20250430-04623</t>
        </is>
      </c>
      <c r="B4624" s="59" t="inlineStr">
        <is>
          <t>2025-04-30</t>
        </is>
      </c>
      <c r="C4624" s="60" t="inlineStr">
        <is>
          <t>Falcon Wearable X-334</t>
        </is>
      </c>
      <c r="D4624" s="58" t="inlineStr">
        <is>
          <t>Electronics</t>
        </is>
      </c>
      <c r="E4624" s="58" t="inlineStr">
        <is>
          <t>East</t>
        </is>
      </c>
      <c r="F4624" s="61" t="n">
        <v>2</v>
      </c>
      <c r="G4624" s="62" t="n">
        <v>1971.71</v>
      </c>
      <c r="H4624" s="63" t="n">
        <v>0.024</v>
      </c>
      <c r="I4624" s="62" t="n">
        <v>1530.82</v>
      </c>
      <c r="J4624" s="58" t="inlineStr">
        <is>
          <t>Online</t>
        </is>
      </c>
      <c r="K4624" s="62">
        <f>F4624*(G4624-H4624)</f>
        <v/>
      </c>
      <c r="L4624" s="62">
        <f>K4624-(F4624*I4624)</f>
        <v/>
      </c>
      <c r="M4624" s="64">
        <f>L4624/K4624</f>
        <v/>
      </c>
    </row>
    <row r="4625">
      <c r="A4625" s="58" t="inlineStr">
        <is>
          <t>RT20250430-04624</t>
        </is>
      </c>
      <c r="B4625" s="59" t="inlineStr">
        <is>
          <t>2025-04-30</t>
        </is>
      </c>
      <c r="C4625" s="60" t="inlineStr">
        <is>
          <t>Orion Team Sport X-926</t>
        </is>
      </c>
      <c r="D4625" s="58" t="inlineStr">
        <is>
          <t>Sports</t>
        </is>
      </c>
      <c r="E4625" s="58" t="inlineStr">
        <is>
          <t>South</t>
        </is>
      </c>
      <c r="F4625" s="61" t="n">
        <v>2</v>
      </c>
      <c r="G4625" s="62" t="n">
        <v>339.32</v>
      </c>
      <c r="H4625" s="63" t="n">
        <v>0.057</v>
      </c>
      <c r="I4625" s="62" t="n">
        <v>219.72</v>
      </c>
      <c r="J4625" s="58" t="inlineStr">
        <is>
          <t>Online</t>
        </is>
      </c>
      <c r="K4625" s="62">
        <f>F4625*(G4625-H4625)</f>
        <v/>
      </c>
      <c r="L4625" s="62">
        <f>K4625-(F4625*I4625)</f>
        <v/>
      </c>
      <c r="M4625" s="64">
        <f>L4625/K4625</f>
        <v/>
      </c>
    </row>
    <row r="4626">
      <c r="A4626" s="58" t="inlineStr">
        <is>
          <t>RT20250430-04625</t>
        </is>
      </c>
      <c r="B4626" s="59" t="inlineStr">
        <is>
          <t>2025-04-30</t>
        </is>
      </c>
      <c r="C4626" s="60" t="inlineStr">
        <is>
          <t>Vertex Smartphone Pro-256</t>
        </is>
      </c>
      <c r="D4626" s="58" t="inlineStr">
        <is>
          <t>Electronics</t>
        </is>
      </c>
      <c r="E4626" s="58" t="inlineStr">
        <is>
          <t>West</t>
        </is>
      </c>
      <c r="F4626" s="61" t="n">
        <v>2</v>
      </c>
      <c r="G4626" s="62" t="n">
        <v>1158.03</v>
      </c>
      <c r="H4626" s="63" t="n">
        <v>0</v>
      </c>
      <c r="I4626" s="62" t="n">
        <v>899.62</v>
      </c>
      <c r="J4626" s="58" t="inlineStr">
        <is>
          <t>Online</t>
        </is>
      </c>
      <c r="K4626" s="62">
        <f>F4626*(G4626-H4626)</f>
        <v/>
      </c>
      <c r="L4626" s="62">
        <f>K4626-(F4626*I4626)</f>
        <v/>
      </c>
      <c r="M4626" s="64">
        <f>L4626/K4626</f>
        <v/>
      </c>
    </row>
    <row r="4627">
      <c r="A4627" s="58" t="inlineStr">
        <is>
          <t>RT20250430-04626</t>
        </is>
      </c>
      <c r="B4627" s="59" t="inlineStr">
        <is>
          <t>2025-04-30</t>
        </is>
      </c>
      <c r="C4627" s="60" t="inlineStr">
        <is>
          <t>Polar Pantry Lite-392</t>
        </is>
      </c>
      <c r="D4627" s="58" t="inlineStr">
        <is>
          <t>Grocery</t>
        </is>
      </c>
      <c r="E4627" s="58" t="inlineStr">
        <is>
          <t>Central</t>
        </is>
      </c>
      <c r="F4627" s="61" t="n">
        <v>7</v>
      </c>
      <c r="G4627" s="62" t="n">
        <v>5.35</v>
      </c>
      <c r="H4627" s="63" t="n">
        <v>0.061</v>
      </c>
      <c r="I4627" s="62" t="n">
        <v>4.64</v>
      </c>
      <c r="J4627" s="58" t="inlineStr">
        <is>
          <t>Store</t>
        </is>
      </c>
      <c r="K4627" s="62">
        <f>F4627*(G4627-H4627)</f>
        <v/>
      </c>
      <c r="L4627" s="62">
        <f>K4627-(F4627*I4627)</f>
        <v/>
      </c>
      <c r="M4627" s="64">
        <f>L4627/K4627</f>
        <v/>
      </c>
    </row>
    <row r="4628">
      <c r="A4628" s="58" t="inlineStr">
        <is>
          <t>RT20250501-04627</t>
        </is>
      </c>
      <c r="B4628" s="59" t="inlineStr">
        <is>
          <t>2025-05-01</t>
        </is>
      </c>
      <c r="C4628" s="60" t="inlineStr">
        <is>
          <t>Vertex Skincare Pro-891</t>
        </is>
      </c>
      <c r="D4628" s="58" t="inlineStr">
        <is>
          <t>Beauty</t>
        </is>
      </c>
      <c r="E4628" s="58" t="inlineStr">
        <is>
          <t>West</t>
        </is>
      </c>
      <c r="F4628" s="61" t="n">
        <v>2</v>
      </c>
      <c r="G4628" s="62" t="n">
        <v>133.4</v>
      </c>
      <c r="H4628" s="63" t="n">
        <v>0.16</v>
      </c>
      <c r="I4628" s="62" t="n">
        <v>85.56</v>
      </c>
      <c r="J4628" s="58" t="inlineStr">
        <is>
          <t>Online</t>
        </is>
      </c>
      <c r="K4628" s="62">
        <f>F4628*(G4628-H4628)</f>
        <v/>
      </c>
      <c r="L4628" s="62">
        <f>K4628-(F4628*I4628)</f>
        <v/>
      </c>
      <c r="M4628" s="64">
        <f>L4628/K4628</f>
        <v/>
      </c>
    </row>
    <row r="4629">
      <c r="A4629" s="58" t="inlineStr">
        <is>
          <t>RT20250501-04628</t>
        </is>
      </c>
      <c r="B4629" s="59" t="inlineStr">
        <is>
          <t>2025-05-01</t>
        </is>
      </c>
      <c r="C4629" s="60" t="inlineStr">
        <is>
          <t>Solace Kitchen X-919</t>
        </is>
      </c>
      <c r="D4629" s="58" t="inlineStr">
        <is>
          <t>Home</t>
        </is>
      </c>
      <c r="E4629" s="58" t="inlineStr">
        <is>
          <t>Central</t>
        </is>
      </c>
      <c r="F4629" s="61" t="n">
        <v>3</v>
      </c>
      <c r="G4629" s="62" t="n">
        <v>360.03</v>
      </c>
      <c r="H4629" s="63" t="n">
        <v>0.073</v>
      </c>
      <c r="I4629" s="62" t="n">
        <v>258.72</v>
      </c>
      <c r="J4629" s="58" t="inlineStr">
        <is>
          <t>Store</t>
        </is>
      </c>
      <c r="K4629" s="62">
        <f>F4629*(G4629-H4629)</f>
        <v/>
      </c>
      <c r="L4629" s="62">
        <f>K4629-(F4629*I4629)</f>
        <v/>
      </c>
      <c r="M4629" s="64">
        <f>L4629/K4629</f>
        <v/>
      </c>
    </row>
    <row r="4630">
      <c r="A4630" s="58" t="inlineStr">
        <is>
          <t>RT20250501-04629</t>
        </is>
      </c>
      <c r="B4630" s="59" t="inlineStr">
        <is>
          <t>2025-05-01</t>
        </is>
      </c>
      <c r="C4630" s="60" t="inlineStr">
        <is>
          <t>Solace Bedding Plus-317</t>
        </is>
      </c>
      <c r="D4630" s="58" t="inlineStr">
        <is>
          <t>Home</t>
        </is>
      </c>
      <c r="E4630" s="58" t="inlineStr">
        <is>
          <t>East</t>
        </is>
      </c>
      <c r="F4630" s="61" t="n">
        <v>2</v>
      </c>
      <c r="G4630" s="62" t="n">
        <v>612.95</v>
      </c>
      <c r="H4630" s="63" t="n">
        <v>0.07099999999999999</v>
      </c>
      <c r="I4630" s="62" t="n">
        <v>386.99</v>
      </c>
      <c r="J4630" s="58" t="inlineStr">
        <is>
          <t>Online</t>
        </is>
      </c>
      <c r="K4630" s="62">
        <f>F4630*(G4630-H4630)</f>
        <v/>
      </c>
      <c r="L4630" s="62">
        <f>K4630-(F4630*I4630)</f>
        <v/>
      </c>
      <c r="M4630" s="64">
        <f>L4630/K4630</f>
        <v/>
      </c>
    </row>
    <row r="4631">
      <c r="A4631" s="58" t="inlineStr">
        <is>
          <t>RT20250501-04630</t>
        </is>
      </c>
      <c r="B4631" s="59" t="inlineStr">
        <is>
          <t>2025-05-01</t>
        </is>
      </c>
      <c r="C4631" s="60" t="inlineStr">
        <is>
          <t>Nimbus Fitnes Lite-516</t>
        </is>
      </c>
      <c r="D4631" s="58" t="inlineStr">
        <is>
          <t>Sports</t>
        </is>
      </c>
      <c r="E4631" s="58" t="inlineStr">
        <is>
          <t>East</t>
        </is>
      </c>
      <c r="F4631" s="61" t="n">
        <v>1</v>
      </c>
      <c r="G4631" s="62" t="n">
        <v>633.87</v>
      </c>
      <c r="H4631" s="63" t="n">
        <v>0.057</v>
      </c>
      <c r="I4631" s="62" t="n">
        <v>461.34</v>
      </c>
      <c r="J4631" s="58" t="inlineStr">
        <is>
          <t>Phone</t>
        </is>
      </c>
      <c r="K4631" s="62">
        <f>F4631*(G4631-H4631)</f>
        <v/>
      </c>
      <c r="L4631" s="62">
        <f>K4631-(F4631*I4631)</f>
        <v/>
      </c>
      <c r="M4631" s="64">
        <f>L4631/K4631</f>
        <v/>
      </c>
    </row>
    <row r="4632">
      <c r="A4632" s="58" t="inlineStr">
        <is>
          <t>RT20250501-04631</t>
        </is>
      </c>
      <c r="B4632" s="59" t="inlineStr">
        <is>
          <t>2025-05-01</t>
        </is>
      </c>
      <c r="C4632" s="60" t="inlineStr">
        <is>
          <t>Falcon Headphone Pro-713</t>
        </is>
      </c>
      <c r="D4632" s="58" t="inlineStr">
        <is>
          <t>Electronics</t>
        </is>
      </c>
      <c r="E4632" s="58" t="inlineStr">
        <is>
          <t>West</t>
        </is>
      </c>
      <c r="F4632" s="61" t="n">
        <v>1</v>
      </c>
      <c r="G4632" s="62" t="n">
        <v>1619.66</v>
      </c>
      <c r="H4632" s="63" t="n">
        <v>0.063</v>
      </c>
      <c r="I4632" s="62" t="n">
        <v>1156.93</v>
      </c>
      <c r="J4632" s="58" t="inlineStr">
        <is>
          <t>Online</t>
        </is>
      </c>
      <c r="K4632" s="62">
        <f>F4632*(G4632-H4632)</f>
        <v/>
      </c>
      <c r="L4632" s="62">
        <f>K4632-(F4632*I4632)</f>
        <v/>
      </c>
      <c r="M4632" s="64">
        <f>L4632/K4632</f>
        <v/>
      </c>
    </row>
    <row r="4633">
      <c r="A4633" s="58" t="inlineStr">
        <is>
          <t>RT20250501-04632</t>
        </is>
      </c>
      <c r="B4633" s="59" t="inlineStr">
        <is>
          <t>2025-05-01</t>
        </is>
      </c>
      <c r="C4633" s="60" t="inlineStr">
        <is>
          <t>Solace Kitchen Pro-999</t>
        </is>
      </c>
      <c r="D4633" s="58" t="inlineStr">
        <is>
          <t>Home</t>
        </is>
      </c>
      <c r="E4633" s="58" t="inlineStr">
        <is>
          <t>Central</t>
        </is>
      </c>
      <c r="F4633" s="61" t="n">
        <v>3</v>
      </c>
      <c r="G4633" s="62" t="n">
        <v>399.92</v>
      </c>
      <c r="H4633" s="63" t="n">
        <v>0.051</v>
      </c>
      <c r="I4633" s="62" t="n">
        <v>273.11</v>
      </c>
      <c r="J4633" s="58" t="inlineStr">
        <is>
          <t>Store</t>
        </is>
      </c>
      <c r="K4633" s="62">
        <f>F4633*(G4633-H4633)</f>
        <v/>
      </c>
      <c r="L4633" s="62">
        <f>K4633-(F4633*I4633)</f>
        <v/>
      </c>
      <c r="M4633" s="64">
        <f>L4633/K4633</f>
        <v/>
      </c>
    </row>
    <row r="4634">
      <c r="A4634" s="58" t="inlineStr">
        <is>
          <t>RT20250501-04633</t>
        </is>
      </c>
      <c r="B4634" s="59" t="inlineStr">
        <is>
          <t>2025-05-01</t>
        </is>
      </c>
      <c r="C4634" s="60" t="inlineStr">
        <is>
          <t>Metro Laptop Plus-376</t>
        </is>
      </c>
      <c r="D4634" s="58" t="inlineStr">
        <is>
          <t>Electronics</t>
        </is>
      </c>
      <c r="E4634" s="58" t="inlineStr">
        <is>
          <t>West</t>
        </is>
      </c>
      <c r="F4634" s="61" t="n">
        <v>1</v>
      </c>
      <c r="G4634" s="62" t="n">
        <v>1404.25</v>
      </c>
      <c r="H4634" s="63" t="n">
        <v>0.043</v>
      </c>
      <c r="I4634" s="62" t="n">
        <v>1032.22</v>
      </c>
      <c r="J4634" s="58" t="inlineStr">
        <is>
          <t>Online</t>
        </is>
      </c>
      <c r="K4634" s="62">
        <f>F4634*(G4634-H4634)</f>
        <v/>
      </c>
      <c r="L4634" s="62">
        <f>K4634-(F4634*I4634)</f>
        <v/>
      </c>
      <c r="M4634" s="64">
        <f>L4634/K4634</f>
        <v/>
      </c>
    </row>
    <row r="4635">
      <c r="A4635" s="58" t="inlineStr">
        <is>
          <t>RT20250501-04634</t>
        </is>
      </c>
      <c r="B4635" s="59" t="inlineStr">
        <is>
          <t>2025-05-01</t>
        </is>
      </c>
      <c r="C4635" s="60" t="inlineStr">
        <is>
          <t>Vertex Accessorie Pro-881</t>
        </is>
      </c>
      <c r="D4635" s="58" t="inlineStr">
        <is>
          <t>Apparel</t>
        </is>
      </c>
      <c r="E4635" s="58" t="inlineStr">
        <is>
          <t>East</t>
        </is>
      </c>
      <c r="F4635" s="61" t="n">
        <v>2</v>
      </c>
      <c r="G4635" s="62" t="n">
        <v>127.78</v>
      </c>
      <c r="H4635" s="63" t="n">
        <v>0.051</v>
      </c>
      <c r="I4635" s="62" t="n">
        <v>61.09</v>
      </c>
      <c r="J4635" s="58" t="inlineStr">
        <is>
          <t>Store</t>
        </is>
      </c>
      <c r="K4635" s="62">
        <f>F4635*(G4635-H4635)</f>
        <v/>
      </c>
      <c r="L4635" s="62">
        <f>K4635-(F4635*I4635)</f>
        <v/>
      </c>
      <c r="M4635" s="64">
        <f>L4635/K4635</f>
        <v/>
      </c>
    </row>
    <row r="4636">
      <c r="A4636" s="58" t="inlineStr">
        <is>
          <t>RT20250501-04635</t>
        </is>
      </c>
      <c r="B4636" s="59" t="inlineStr">
        <is>
          <t>2025-05-01</t>
        </is>
      </c>
      <c r="C4636" s="60" t="inlineStr">
        <is>
          <t>Nimbus Laptop Max-652</t>
        </is>
      </c>
      <c r="D4636" s="58" t="inlineStr">
        <is>
          <t>Electronics</t>
        </is>
      </c>
      <c r="E4636" s="58" t="inlineStr">
        <is>
          <t>West</t>
        </is>
      </c>
      <c r="F4636" s="61" t="n">
        <v>2</v>
      </c>
      <c r="G4636" s="62" t="n">
        <v>1278.6</v>
      </c>
      <c r="H4636" s="63" t="n">
        <v>0.036</v>
      </c>
      <c r="I4636" s="62" t="n">
        <v>1048.99</v>
      </c>
      <c r="J4636" s="58" t="inlineStr">
        <is>
          <t>Online</t>
        </is>
      </c>
      <c r="K4636" s="62">
        <f>F4636*(G4636-H4636)</f>
        <v/>
      </c>
      <c r="L4636" s="62">
        <f>K4636-(F4636*I4636)</f>
        <v/>
      </c>
      <c r="M4636" s="64">
        <f>L4636/K4636</f>
        <v/>
      </c>
    </row>
    <row r="4637">
      <c r="A4637" s="58" t="inlineStr">
        <is>
          <t>RT20250501-04636</t>
        </is>
      </c>
      <c r="B4637" s="59" t="inlineStr">
        <is>
          <t>2025-05-01</t>
        </is>
      </c>
      <c r="C4637" s="60" t="inlineStr">
        <is>
          <t>Solace Team Sport Max-548</t>
        </is>
      </c>
      <c r="D4637" s="58" t="inlineStr">
        <is>
          <t>Sports</t>
        </is>
      </c>
      <c r="E4637" s="58" t="inlineStr">
        <is>
          <t>East</t>
        </is>
      </c>
      <c r="F4637" s="61" t="n">
        <v>2</v>
      </c>
      <c r="G4637" s="62" t="n">
        <v>785.58</v>
      </c>
      <c r="H4637" s="63" t="n">
        <v>0.04</v>
      </c>
      <c r="I4637" s="62" t="n">
        <v>467.34</v>
      </c>
      <c r="J4637" s="58" t="inlineStr">
        <is>
          <t>Store</t>
        </is>
      </c>
      <c r="K4637" s="62">
        <f>F4637*(G4637-H4637)</f>
        <v/>
      </c>
      <c r="L4637" s="62">
        <f>K4637-(F4637*I4637)</f>
        <v/>
      </c>
      <c r="M4637" s="64">
        <f>L4637/K4637</f>
        <v/>
      </c>
    </row>
    <row r="4638">
      <c r="A4638" s="58" t="inlineStr">
        <is>
          <t>RT20250501-04637</t>
        </is>
      </c>
      <c r="B4638" s="59" t="inlineStr">
        <is>
          <t>2025-05-01</t>
        </is>
      </c>
      <c r="C4638" s="60" t="inlineStr">
        <is>
          <t>Nimbus Fitnes Lite-516</t>
        </is>
      </c>
      <c r="D4638" s="58" t="inlineStr">
        <is>
          <t>Sports</t>
        </is>
      </c>
      <c r="E4638" s="58" t="inlineStr">
        <is>
          <t>Central</t>
        </is>
      </c>
      <c r="F4638" s="61" t="n">
        <v>1</v>
      </c>
      <c r="G4638" s="62" t="n">
        <v>682.64</v>
      </c>
      <c r="H4638" s="63" t="n">
        <v>0.028</v>
      </c>
      <c r="I4638" s="62" t="n">
        <v>474.73</v>
      </c>
      <c r="J4638" s="58" t="inlineStr">
        <is>
          <t>Store</t>
        </is>
      </c>
      <c r="K4638" s="62">
        <f>F4638*(G4638-H4638)</f>
        <v/>
      </c>
      <c r="L4638" s="62">
        <f>K4638-(F4638*I4638)</f>
        <v/>
      </c>
      <c r="M4638" s="64">
        <f>L4638/K4638</f>
        <v/>
      </c>
    </row>
    <row r="4639">
      <c r="A4639" s="58" t="inlineStr">
        <is>
          <t>RT20250501-04638</t>
        </is>
      </c>
      <c r="B4639" s="59" t="inlineStr">
        <is>
          <t>2025-05-01</t>
        </is>
      </c>
      <c r="C4639" s="60" t="inlineStr">
        <is>
          <t>Orion Kid Max-864</t>
        </is>
      </c>
      <c r="D4639" s="58" t="inlineStr">
        <is>
          <t>Apparel</t>
        </is>
      </c>
      <c r="E4639" s="58" t="inlineStr">
        <is>
          <t>South</t>
        </is>
      </c>
      <c r="F4639" s="61" t="n">
        <v>4</v>
      </c>
      <c r="G4639" s="62" t="n">
        <v>96.09</v>
      </c>
      <c r="H4639" s="63" t="n">
        <v>0.094</v>
      </c>
      <c r="I4639" s="62" t="n">
        <v>46.2</v>
      </c>
      <c r="J4639" s="58" t="inlineStr">
        <is>
          <t>Store</t>
        </is>
      </c>
      <c r="K4639" s="62">
        <f>F4639*(G4639-H4639)</f>
        <v/>
      </c>
      <c r="L4639" s="62">
        <f>K4639-(F4639*I4639)</f>
        <v/>
      </c>
      <c r="M4639" s="64">
        <f>L4639/K4639</f>
        <v/>
      </c>
    </row>
    <row r="4640">
      <c r="A4640" s="58" t="inlineStr">
        <is>
          <t>RT20250501-04639</t>
        </is>
      </c>
      <c r="B4640" s="59" t="inlineStr">
        <is>
          <t>2025-05-01</t>
        </is>
      </c>
      <c r="C4640" s="60" t="inlineStr">
        <is>
          <t>Falcon Headphone Plus-789</t>
        </is>
      </c>
      <c r="D4640" s="58" t="inlineStr">
        <is>
          <t>Electronics</t>
        </is>
      </c>
      <c r="E4640" s="58" t="inlineStr">
        <is>
          <t>East</t>
        </is>
      </c>
      <c r="F4640" s="61" t="n">
        <v>1</v>
      </c>
      <c r="G4640" s="62" t="n">
        <v>1834.6</v>
      </c>
      <c r="H4640" s="63" t="n">
        <v>0.045</v>
      </c>
      <c r="I4640" s="62" t="n">
        <v>1291.27</v>
      </c>
      <c r="J4640" s="58" t="inlineStr">
        <is>
          <t>Store</t>
        </is>
      </c>
      <c r="K4640" s="62">
        <f>F4640*(G4640-H4640)</f>
        <v/>
      </c>
      <c r="L4640" s="62">
        <f>K4640-(F4640*I4640)</f>
        <v/>
      </c>
      <c r="M4640" s="64">
        <f>L4640/K4640</f>
        <v/>
      </c>
    </row>
    <row r="4641">
      <c r="A4641" s="58" t="inlineStr">
        <is>
          <t>RT20250501-04640</t>
        </is>
      </c>
      <c r="B4641" s="59" t="inlineStr">
        <is>
          <t>2025-05-01</t>
        </is>
      </c>
      <c r="C4641" s="60" t="inlineStr">
        <is>
          <t>Solace Team Sport Max-548</t>
        </is>
      </c>
      <c r="D4641" s="58" t="inlineStr">
        <is>
          <t>Sports</t>
        </is>
      </c>
      <c r="E4641" s="58" t="inlineStr">
        <is>
          <t>West</t>
        </is>
      </c>
      <c r="F4641" s="61" t="n">
        <v>2</v>
      </c>
      <c r="G4641" s="62" t="n">
        <v>668.51</v>
      </c>
      <c r="H4641" s="63" t="n">
        <v>0.034</v>
      </c>
      <c r="I4641" s="62" t="n">
        <v>481.12</v>
      </c>
      <c r="J4641" s="58" t="inlineStr">
        <is>
          <t>Online</t>
        </is>
      </c>
      <c r="K4641" s="62">
        <f>F4641*(G4641-H4641)</f>
        <v/>
      </c>
      <c r="L4641" s="62">
        <f>K4641-(F4641*I4641)</f>
        <v/>
      </c>
      <c r="M4641" s="64">
        <f>L4641/K4641</f>
        <v/>
      </c>
    </row>
    <row r="4642">
      <c r="A4642" s="58" t="inlineStr">
        <is>
          <t>RT20250501-04641</t>
        </is>
      </c>
      <c r="B4642" s="59" t="inlineStr">
        <is>
          <t>2025-05-01</t>
        </is>
      </c>
      <c r="C4642" s="60" t="inlineStr">
        <is>
          <t>Solace Makeup Pro-214</t>
        </is>
      </c>
      <c r="D4642" s="58" t="inlineStr">
        <is>
          <t>Beauty</t>
        </is>
      </c>
      <c r="E4642" s="58" t="inlineStr">
        <is>
          <t>Central</t>
        </is>
      </c>
      <c r="F4642" s="61" t="n">
        <v>2</v>
      </c>
      <c r="G4642" s="62" t="n">
        <v>98.91</v>
      </c>
      <c r="H4642" s="63" t="n">
        <v>0.082</v>
      </c>
      <c r="I4642" s="62" t="n">
        <v>67.45</v>
      </c>
      <c r="J4642" s="58" t="inlineStr">
        <is>
          <t>Phone</t>
        </is>
      </c>
      <c r="K4642" s="62">
        <f>F4642*(G4642-H4642)</f>
        <v/>
      </c>
      <c r="L4642" s="62">
        <f>K4642-(F4642*I4642)</f>
        <v/>
      </c>
      <c r="M4642" s="64">
        <f>L4642/K4642</f>
        <v/>
      </c>
    </row>
    <row r="4643">
      <c r="A4643" s="58" t="inlineStr">
        <is>
          <t>RT20250501-04642</t>
        </is>
      </c>
      <c r="B4643" s="59" t="inlineStr">
        <is>
          <t>2025-05-01</t>
        </is>
      </c>
      <c r="C4643" s="60" t="inlineStr">
        <is>
          <t>Falcon Beverage Max-702</t>
        </is>
      </c>
      <c r="D4643" s="58" t="inlineStr">
        <is>
          <t>Grocery</t>
        </is>
      </c>
      <c r="E4643" s="58" t="inlineStr">
        <is>
          <t>East</t>
        </is>
      </c>
      <c r="F4643" s="61" t="n">
        <v>1</v>
      </c>
      <c r="G4643" s="62" t="n">
        <v>26</v>
      </c>
      <c r="H4643" s="63" t="n">
        <v>0.026</v>
      </c>
      <c r="I4643" s="62" t="n">
        <v>19.94</v>
      </c>
      <c r="J4643" s="58" t="inlineStr">
        <is>
          <t>Online</t>
        </is>
      </c>
      <c r="K4643" s="62">
        <f>F4643*(G4643-H4643)</f>
        <v/>
      </c>
      <c r="L4643" s="62">
        <f>K4643-(F4643*I4643)</f>
        <v/>
      </c>
      <c r="M4643" s="64">
        <f>L4643/K4643</f>
        <v/>
      </c>
    </row>
    <row r="4644">
      <c r="A4644" s="58" t="inlineStr">
        <is>
          <t>RT20250501-04643</t>
        </is>
      </c>
      <c r="B4644" s="59" t="inlineStr">
        <is>
          <t>2025-05-01</t>
        </is>
      </c>
      <c r="C4644" s="60" t="inlineStr">
        <is>
          <t>Vertex Snack S-702</t>
        </is>
      </c>
      <c r="D4644" s="58" t="inlineStr">
        <is>
          <t>Grocery</t>
        </is>
      </c>
      <c r="E4644" s="58" t="inlineStr">
        <is>
          <t>Central</t>
        </is>
      </c>
      <c r="F4644" s="61" t="n">
        <v>5</v>
      </c>
      <c r="G4644" s="62" t="n">
        <v>1.93</v>
      </c>
      <c r="H4644" s="63" t="n">
        <v>0.059</v>
      </c>
      <c r="I4644" s="62" t="n">
        <v>1.48</v>
      </c>
      <c r="J4644" s="58" t="inlineStr">
        <is>
          <t>Store</t>
        </is>
      </c>
      <c r="K4644" s="62">
        <f>F4644*(G4644-H4644)</f>
        <v/>
      </c>
      <c r="L4644" s="62">
        <f>K4644-(F4644*I4644)</f>
        <v/>
      </c>
      <c r="M4644" s="64">
        <f>L4644/K4644</f>
        <v/>
      </c>
    </row>
    <row r="4645">
      <c r="A4645" s="58" t="inlineStr">
        <is>
          <t>RT20250501-04644</t>
        </is>
      </c>
      <c r="B4645" s="59" t="inlineStr">
        <is>
          <t>2025-05-01</t>
        </is>
      </c>
      <c r="C4645" s="60" t="inlineStr">
        <is>
          <t>Orion Snack X-322</t>
        </is>
      </c>
      <c r="D4645" s="58" t="inlineStr">
        <is>
          <t>Grocery</t>
        </is>
      </c>
      <c r="E4645" s="58" t="inlineStr">
        <is>
          <t>South</t>
        </is>
      </c>
      <c r="F4645" s="61" t="n">
        <v>7</v>
      </c>
      <c r="G4645" s="62" t="n">
        <v>14.26</v>
      </c>
      <c r="H4645" s="63" t="n">
        <v>0.049</v>
      </c>
      <c r="I4645" s="62" t="n">
        <v>10.25</v>
      </c>
      <c r="J4645" s="58" t="inlineStr">
        <is>
          <t>Online</t>
        </is>
      </c>
      <c r="K4645" s="62">
        <f>F4645*(G4645-H4645)</f>
        <v/>
      </c>
      <c r="L4645" s="62">
        <f>K4645-(F4645*I4645)</f>
        <v/>
      </c>
      <c r="M4645" s="64">
        <f>L4645/K4645</f>
        <v/>
      </c>
    </row>
    <row r="4646">
      <c r="A4646" s="58" t="inlineStr">
        <is>
          <t>RT20250501-04645</t>
        </is>
      </c>
      <c r="B4646" s="59" t="inlineStr">
        <is>
          <t>2025-05-01</t>
        </is>
      </c>
      <c r="C4646" s="60" t="inlineStr">
        <is>
          <t>Polar Snack Pro-641</t>
        </is>
      </c>
      <c r="D4646" s="58" t="inlineStr">
        <is>
          <t>Grocery</t>
        </is>
      </c>
      <c r="E4646" s="58" t="inlineStr">
        <is>
          <t>North</t>
        </is>
      </c>
      <c r="F4646" s="61" t="n">
        <v>4</v>
      </c>
      <c r="G4646" s="62" t="n">
        <v>14.36</v>
      </c>
      <c r="H4646" s="63" t="n">
        <v>0.107</v>
      </c>
      <c r="I4646" s="62" t="n">
        <v>9.449999999999999</v>
      </c>
      <c r="J4646" s="58" t="inlineStr">
        <is>
          <t>Store</t>
        </is>
      </c>
      <c r="K4646" s="62">
        <f>F4646*(G4646-H4646)</f>
        <v/>
      </c>
      <c r="L4646" s="62">
        <f>K4646-(F4646*I4646)</f>
        <v/>
      </c>
      <c r="M4646" s="64">
        <f>L4646/K4646</f>
        <v/>
      </c>
    </row>
    <row r="4647">
      <c r="A4647" s="58" t="inlineStr">
        <is>
          <t>RT20250501-04646</t>
        </is>
      </c>
      <c r="B4647" s="59" t="inlineStr">
        <is>
          <t>2025-05-01</t>
        </is>
      </c>
      <c r="C4647" s="60" t="inlineStr">
        <is>
          <t>Solace Kitchen Pro-999</t>
        </is>
      </c>
      <c r="D4647" s="58" t="inlineStr">
        <is>
          <t>Home</t>
        </is>
      </c>
      <c r="E4647" s="58" t="inlineStr">
        <is>
          <t>North</t>
        </is>
      </c>
      <c r="F4647" s="61" t="n">
        <v>2</v>
      </c>
      <c r="G4647" s="62" t="n">
        <v>429.76</v>
      </c>
      <c r="H4647" s="63" t="n">
        <v>0.052</v>
      </c>
      <c r="I4647" s="62" t="n">
        <v>262.91</v>
      </c>
      <c r="J4647" s="58" t="inlineStr">
        <is>
          <t>Online</t>
        </is>
      </c>
      <c r="K4647" s="62">
        <f>F4647*(G4647-H4647)</f>
        <v/>
      </c>
      <c r="L4647" s="62">
        <f>K4647-(F4647*I4647)</f>
        <v/>
      </c>
      <c r="M4647" s="64">
        <f>L4647/K4647</f>
        <v/>
      </c>
    </row>
    <row r="4648">
      <c r="A4648" s="58" t="inlineStr">
        <is>
          <t>RT20250501-04647</t>
        </is>
      </c>
      <c r="B4648" s="59" t="inlineStr">
        <is>
          <t>2025-05-01</t>
        </is>
      </c>
      <c r="C4648" s="60" t="inlineStr">
        <is>
          <t>Aurora Makeup Pro-489</t>
        </is>
      </c>
      <c r="D4648" s="58" t="inlineStr">
        <is>
          <t>Beauty</t>
        </is>
      </c>
      <c r="E4648" s="58" t="inlineStr">
        <is>
          <t>East</t>
        </is>
      </c>
      <c r="F4648" s="61" t="n">
        <v>1</v>
      </c>
      <c r="G4648" s="62" t="n">
        <v>103.58</v>
      </c>
      <c r="H4648" s="63" t="n">
        <v>0.059</v>
      </c>
      <c r="I4648" s="62" t="n">
        <v>62.54</v>
      </c>
      <c r="J4648" s="58" t="inlineStr">
        <is>
          <t>Online</t>
        </is>
      </c>
      <c r="K4648" s="62">
        <f>F4648*(G4648-H4648)</f>
        <v/>
      </c>
      <c r="L4648" s="62">
        <f>K4648-(F4648*I4648)</f>
        <v/>
      </c>
      <c r="M4648" s="64">
        <f>L4648/K4648</f>
        <v/>
      </c>
    </row>
    <row r="4649">
      <c r="A4649" s="58" t="inlineStr">
        <is>
          <t>RT20250501-04648</t>
        </is>
      </c>
      <c r="B4649" s="59" t="inlineStr">
        <is>
          <t>2025-05-01</t>
        </is>
      </c>
      <c r="C4649" s="60" t="inlineStr">
        <is>
          <t>Polar Pantry Lite-392</t>
        </is>
      </c>
      <c r="D4649" s="58" t="inlineStr">
        <is>
          <t>Grocery</t>
        </is>
      </c>
      <c r="E4649" s="58" t="inlineStr">
        <is>
          <t>South</t>
        </is>
      </c>
      <c r="F4649" s="61" t="n">
        <v>4</v>
      </c>
      <c r="G4649" s="62" t="n">
        <v>7.05</v>
      </c>
      <c r="H4649" s="63" t="n">
        <v>0.08500000000000001</v>
      </c>
      <c r="I4649" s="62" t="n">
        <v>4.43</v>
      </c>
      <c r="J4649" s="58" t="inlineStr">
        <is>
          <t>Online</t>
        </is>
      </c>
      <c r="K4649" s="62">
        <f>F4649*(G4649-H4649)</f>
        <v/>
      </c>
      <c r="L4649" s="62">
        <f>K4649-(F4649*I4649)</f>
        <v/>
      </c>
      <c r="M4649" s="64">
        <f>L4649/K4649</f>
        <v/>
      </c>
    </row>
    <row r="4650">
      <c r="A4650" s="58" t="inlineStr">
        <is>
          <t>RT20250501-04649</t>
        </is>
      </c>
      <c r="B4650" s="59" t="inlineStr">
        <is>
          <t>2025-05-01</t>
        </is>
      </c>
      <c r="C4650" s="60" t="inlineStr">
        <is>
          <t>Orion Laptop S-350</t>
        </is>
      </c>
      <c r="D4650" s="58" t="inlineStr">
        <is>
          <t>Electronics</t>
        </is>
      </c>
      <c r="E4650" s="58" t="inlineStr">
        <is>
          <t>Central</t>
        </is>
      </c>
      <c r="F4650" s="61" t="n">
        <v>2</v>
      </c>
      <c r="G4650" s="62" t="n">
        <v>1345.83</v>
      </c>
      <c r="H4650" s="63" t="n">
        <v>0.067</v>
      </c>
      <c r="I4650" s="62" t="n">
        <v>1074.17</v>
      </c>
      <c r="J4650" s="58" t="inlineStr">
        <is>
          <t>Online</t>
        </is>
      </c>
      <c r="K4650" s="62">
        <f>F4650*(G4650-H4650)</f>
        <v/>
      </c>
      <c r="L4650" s="62">
        <f>K4650-(F4650*I4650)</f>
        <v/>
      </c>
      <c r="M4650" s="64">
        <f>L4650/K4650</f>
        <v/>
      </c>
    </row>
    <row r="4651">
      <c r="A4651" s="58" t="inlineStr">
        <is>
          <t>RT20250501-04650</t>
        </is>
      </c>
      <c r="B4651" s="59" t="inlineStr">
        <is>
          <t>2025-05-01</t>
        </is>
      </c>
      <c r="C4651" s="60" t="inlineStr">
        <is>
          <t>Polar Cycling S-223</t>
        </is>
      </c>
      <c r="D4651" s="58" t="inlineStr">
        <is>
          <t>Sports</t>
        </is>
      </c>
      <c r="E4651" s="58" t="inlineStr">
        <is>
          <t>West</t>
        </is>
      </c>
      <c r="F4651" s="61" t="n">
        <v>2</v>
      </c>
      <c r="G4651" s="62" t="n">
        <v>914.95</v>
      </c>
      <c r="H4651" s="63" t="n">
        <v>0.017</v>
      </c>
      <c r="I4651" s="62" t="n">
        <v>647.28</v>
      </c>
      <c r="J4651" s="58" t="inlineStr">
        <is>
          <t>Online</t>
        </is>
      </c>
      <c r="K4651" s="62">
        <f>F4651*(G4651-H4651)</f>
        <v/>
      </c>
      <c r="L4651" s="62">
        <f>K4651-(F4651*I4651)</f>
        <v/>
      </c>
      <c r="M4651" s="64">
        <f>L4651/K4651</f>
        <v/>
      </c>
    </row>
    <row r="4652">
      <c r="A4652" s="58" t="inlineStr">
        <is>
          <t>RT20250501-04651</t>
        </is>
      </c>
      <c r="B4652" s="59" t="inlineStr">
        <is>
          <t>2025-05-01</t>
        </is>
      </c>
      <c r="C4652" s="60" t="inlineStr">
        <is>
          <t>Aurora Outdoor Pro-467</t>
        </is>
      </c>
      <c r="D4652" s="58" t="inlineStr">
        <is>
          <t>Sports</t>
        </is>
      </c>
      <c r="E4652" s="58" t="inlineStr">
        <is>
          <t>East</t>
        </is>
      </c>
      <c r="F4652" s="61" t="n">
        <v>3</v>
      </c>
      <c r="G4652" s="62" t="n">
        <v>279.09</v>
      </c>
      <c r="H4652" s="63" t="n">
        <v>0.048</v>
      </c>
      <c r="I4652" s="62" t="n">
        <v>191.15</v>
      </c>
      <c r="J4652" s="58" t="inlineStr">
        <is>
          <t>Online</t>
        </is>
      </c>
      <c r="K4652" s="62">
        <f>F4652*(G4652-H4652)</f>
        <v/>
      </c>
      <c r="L4652" s="62">
        <f>K4652-(F4652*I4652)</f>
        <v/>
      </c>
      <c r="M4652" s="64">
        <f>L4652/K4652</f>
        <v/>
      </c>
    </row>
    <row r="4653">
      <c r="A4653" s="58" t="inlineStr">
        <is>
          <t>RT20250501-04652</t>
        </is>
      </c>
      <c r="B4653" s="59" t="inlineStr">
        <is>
          <t>2025-05-01</t>
        </is>
      </c>
      <c r="C4653" s="60" t="inlineStr">
        <is>
          <t>Nimbus Headphone X-854</t>
        </is>
      </c>
      <c r="D4653" s="58" t="inlineStr">
        <is>
          <t>Electronics</t>
        </is>
      </c>
      <c r="E4653" s="58" t="inlineStr">
        <is>
          <t>East</t>
        </is>
      </c>
      <c r="F4653" s="61" t="n">
        <v>2</v>
      </c>
      <c r="G4653" s="62" t="n">
        <v>1530.33</v>
      </c>
      <c r="H4653" s="63" t="n">
        <v>0.04</v>
      </c>
      <c r="I4653" s="62" t="n">
        <v>1226.79</v>
      </c>
      <c r="J4653" s="58" t="inlineStr">
        <is>
          <t>Online</t>
        </is>
      </c>
      <c r="K4653" s="62">
        <f>F4653*(G4653-H4653)</f>
        <v/>
      </c>
      <c r="L4653" s="62">
        <f>K4653-(F4653*I4653)</f>
        <v/>
      </c>
      <c r="M4653" s="64">
        <f>L4653/K4653</f>
        <v/>
      </c>
    </row>
    <row r="4654">
      <c r="A4654" s="58" t="inlineStr">
        <is>
          <t>RT20250501-04653</t>
        </is>
      </c>
      <c r="B4654" s="59" t="inlineStr">
        <is>
          <t>2025-05-01</t>
        </is>
      </c>
      <c r="C4654" s="60" t="inlineStr">
        <is>
          <t>Metro Laptop Plus-376</t>
        </is>
      </c>
      <c r="D4654" s="58" t="inlineStr">
        <is>
          <t>Electronics</t>
        </is>
      </c>
      <c r="E4654" s="58" t="inlineStr">
        <is>
          <t>West</t>
        </is>
      </c>
      <c r="F4654" s="61" t="n">
        <v>1</v>
      </c>
      <c r="G4654" s="62" t="n">
        <v>1274.67</v>
      </c>
      <c r="H4654" s="63" t="n">
        <v>0.02</v>
      </c>
      <c r="I4654" s="62" t="n">
        <v>1024.79</v>
      </c>
      <c r="J4654" s="58" t="inlineStr">
        <is>
          <t>Online</t>
        </is>
      </c>
      <c r="K4654" s="62">
        <f>F4654*(G4654-H4654)</f>
        <v/>
      </c>
      <c r="L4654" s="62">
        <f>K4654-(F4654*I4654)</f>
        <v/>
      </c>
      <c r="M4654" s="64">
        <f>L4654/K4654</f>
        <v/>
      </c>
    </row>
    <row r="4655">
      <c r="A4655" s="58" t="inlineStr">
        <is>
          <t>RT20250501-04654</t>
        </is>
      </c>
      <c r="B4655" s="59" t="inlineStr">
        <is>
          <t>2025-05-01</t>
        </is>
      </c>
      <c r="C4655" s="60" t="inlineStr">
        <is>
          <t>Polar Women S-662</t>
        </is>
      </c>
      <c r="D4655" s="58" t="inlineStr">
        <is>
          <t>Apparel</t>
        </is>
      </c>
      <c r="E4655" s="58" t="inlineStr">
        <is>
          <t>South</t>
        </is>
      </c>
      <c r="F4655" s="61" t="n">
        <v>2</v>
      </c>
      <c r="G4655" s="62" t="n">
        <v>161.51</v>
      </c>
      <c r="H4655" s="63" t="n">
        <v>0.089</v>
      </c>
      <c r="I4655" s="62" t="n">
        <v>100.16</v>
      </c>
      <c r="J4655" s="58" t="inlineStr">
        <is>
          <t>Online</t>
        </is>
      </c>
      <c r="K4655" s="62">
        <f>F4655*(G4655-H4655)</f>
        <v/>
      </c>
      <c r="L4655" s="62">
        <f>K4655-(F4655*I4655)</f>
        <v/>
      </c>
      <c r="M4655" s="64">
        <f>L4655/K4655</f>
        <v/>
      </c>
    </row>
    <row r="4656">
      <c r="A4656" s="58" t="inlineStr">
        <is>
          <t>RT20250501-04655</t>
        </is>
      </c>
      <c r="B4656" s="59" t="inlineStr">
        <is>
          <t>2025-05-01</t>
        </is>
      </c>
      <c r="C4656" s="60" t="inlineStr">
        <is>
          <t>Aurora Printer Plus-723</t>
        </is>
      </c>
      <c r="D4656" s="58" t="inlineStr">
        <is>
          <t>Office</t>
        </is>
      </c>
      <c r="E4656" s="58" t="inlineStr">
        <is>
          <t>West</t>
        </is>
      </c>
      <c r="F4656" s="61" t="n">
        <v>3</v>
      </c>
      <c r="G4656" s="62" t="n">
        <v>278.14</v>
      </c>
      <c r="H4656" s="63" t="n">
        <v>0.097</v>
      </c>
      <c r="I4656" s="62" t="n">
        <v>185.93</v>
      </c>
      <c r="J4656" s="58" t="inlineStr">
        <is>
          <t>Online</t>
        </is>
      </c>
      <c r="K4656" s="62">
        <f>F4656*(G4656-H4656)</f>
        <v/>
      </c>
      <c r="L4656" s="62">
        <f>K4656-(F4656*I4656)</f>
        <v/>
      </c>
      <c r="M4656" s="64">
        <f>L4656/K4656</f>
        <v/>
      </c>
    </row>
    <row r="4657">
      <c r="A4657" s="58" t="inlineStr">
        <is>
          <t>RT20250501-04656</t>
        </is>
      </c>
      <c r="B4657" s="59" t="inlineStr">
        <is>
          <t>2025-05-01</t>
        </is>
      </c>
      <c r="C4657" s="60" t="inlineStr">
        <is>
          <t>Orion Laptop S-350</t>
        </is>
      </c>
      <c r="D4657" s="58" t="inlineStr">
        <is>
          <t>Electronics</t>
        </is>
      </c>
      <c r="E4657" s="58" t="inlineStr">
        <is>
          <t>West</t>
        </is>
      </c>
      <c r="F4657" s="61" t="n">
        <v>2</v>
      </c>
      <c r="G4657" s="62" t="n">
        <v>1239.98</v>
      </c>
      <c r="H4657" s="63" t="n">
        <v>0.008999999999999999</v>
      </c>
      <c r="I4657" s="62" t="n">
        <v>1072.39</v>
      </c>
      <c r="J4657" s="58" t="inlineStr">
        <is>
          <t>Store</t>
        </is>
      </c>
      <c r="K4657" s="62">
        <f>F4657*(G4657-H4657)</f>
        <v/>
      </c>
      <c r="L4657" s="62">
        <f>K4657-(F4657*I4657)</f>
        <v/>
      </c>
      <c r="M4657" s="64">
        <f>L4657/K4657</f>
        <v/>
      </c>
    </row>
    <row r="4658">
      <c r="A4658" s="58" t="inlineStr">
        <is>
          <t>RT20250501-04657</t>
        </is>
      </c>
      <c r="B4658" s="59" t="inlineStr">
        <is>
          <t>2025-05-01</t>
        </is>
      </c>
      <c r="C4658" s="60" t="inlineStr">
        <is>
          <t>Falcon Skincare X-334</t>
        </is>
      </c>
      <c r="D4658" s="58" t="inlineStr">
        <is>
          <t>Beauty</t>
        </is>
      </c>
      <c r="E4658" s="58" t="inlineStr">
        <is>
          <t>East</t>
        </is>
      </c>
      <c r="F4658" s="61" t="n">
        <v>5</v>
      </c>
      <c r="G4658" s="62" t="n">
        <v>105.58</v>
      </c>
      <c r="H4658" s="63" t="n">
        <v>0.076</v>
      </c>
      <c r="I4658" s="62" t="n">
        <v>63.82</v>
      </c>
      <c r="J4658" s="58" t="inlineStr">
        <is>
          <t>Online</t>
        </is>
      </c>
      <c r="K4658" s="62">
        <f>F4658*(G4658-H4658)</f>
        <v/>
      </c>
      <c r="L4658" s="62">
        <f>K4658-(F4658*I4658)</f>
        <v/>
      </c>
      <c r="M4658" s="64">
        <f>L4658/K4658</f>
        <v/>
      </c>
    </row>
    <row r="4659">
      <c r="A4659" s="58" t="inlineStr">
        <is>
          <t>RT20250501-04658</t>
        </is>
      </c>
      <c r="B4659" s="59" t="inlineStr">
        <is>
          <t>2025-05-01</t>
        </is>
      </c>
      <c r="C4659" s="60" t="inlineStr">
        <is>
          <t>Solace Bedding Plus-317</t>
        </is>
      </c>
      <c r="D4659" s="58" t="inlineStr">
        <is>
          <t>Home</t>
        </is>
      </c>
      <c r="E4659" s="58" t="inlineStr">
        <is>
          <t>South</t>
        </is>
      </c>
      <c r="F4659" s="61" t="n">
        <v>3</v>
      </c>
      <c r="G4659" s="62" t="n">
        <v>641.67</v>
      </c>
      <c r="H4659" s="63" t="n">
        <v>0.031</v>
      </c>
      <c r="I4659" s="62" t="n">
        <v>384.41</v>
      </c>
      <c r="J4659" s="58" t="inlineStr">
        <is>
          <t>Store</t>
        </is>
      </c>
      <c r="K4659" s="62">
        <f>F4659*(G4659-H4659)</f>
        <v/>
      </c>
      <c r="L4659" s="62">
        <f>K4659-(F4659*I4659)</f>
        <v/>
      </c>
      <c r="M4659" s="64">
        <f>L4659/K4659</f>
        <v/>
      </c>
    </row>
    <row r="4660">
      <c r="A4660" s="58" t="inlineStr">
        <is>
          <t>RT20250501-04659</t>
        </is>
      </c>
      <c r="B4660" s="59" t="inlineStr">
        <is>
          <t>2025-05-01</t>
        </is>
      </c>
      <c r="C4660" s="60" t="inlineStr">
        <is>
          <t>Falcon Household Plus-172</t>
        </is>
      </c>
      <c r="D4660" s="58" t="inlineStr">
        <is>
          <t>Grocery</t>
        </is>
      </c>
      <c r="E4660" s="58" t="inlineStr">
        <is>
          <t>Central</t>
        </is>
      </c>
      <c r="F4660" s="61" t="n">
        <v>6</v>
      </c>
      <c r="G4660" s="62" t="n">
        <v>21.69</v>
      </c>
      <c r="H4660" s="63" t="n">
        <v>0.046</v>
      </c>
      <c r="I4660" s="62" t="n">
        <v>16.5</v>
      </c>
      <c r="J4660" s="58" t="inlineStr">
        <is>
          <t>Phone</t>
        </is>
      </c>
      <c r="K4660" s="62">
        <f>F4660*(G4660-H4660)</f>
        <v/>
      </c>
      <c r="L4660" s="62">
        <f>K4660-(F4660*I4660)</f>
        <v/>
      </c>
      <c r="M4660" s="64">
        <f>L4660/K4660</f>
        <v/>
      </c>
    </row>
    <row r="4661">
      <c r="A4661" s="58" t="inlineStr">
        <is>
          <t>RT20250501-04660</t>
        </is>
      </c>
      <c r="B4661" s="59" t="inlineStr">
        <is>
          <t>2025-05-01</t>
        </is>
      </c>
      <c r="C4661" s="60" t="inlineStr">
        <is>
          <t>Vertex Skincare Pro-891</t>
        </is>
      </c>
      <c r="D4661" s="58" t="inlineStr">
        <is>
          <t>Beauty</t>
        </is>
      </c>
      <c r="E4661" s="58" t="inlineStr">
        <is>
          <t>Central</t>
        </is>
      </c>
      <c r="F4661" s="61" t="n">
        <v>3</v>
      </c>
      <c r="G4661" s="62" t="n">
        <v>131.79</v>
      </c>
      <c r="H4661" s="63" t="n">
        <v>0.057</v>
      </c>
      <c r="I4661" s="62" t="n">
        <v>89.83</v>
      </c>
      <c r="J4661" s="58" t="inlineStr">
        <is>
          <t>Phone</t>
        </is>
      </c>
      <c r="K4661" s="62">
        <f>F4661*(G4661-H4661)</f>
        <v/>
      </c>
      <c r="L4661" s="62">
        <f>K4661-(F4661*I4661)</f>
        <v/>
      </c>
      <c r="M4661" s="64">
        <f>L4661/K4661</f>
        <v/>
      </c>
    </row>
    <row r="4662">
      <c r="A4662" s="58" t="inlineStr">
        <is>
          <t>RT20250501-04661</t>
        </is>
      </c>
      <c r="B4662" s="59" t="inlineStr">
        <is>
          <t>2025-05-01</t>
        </is>
      </c>
      <c r="C4662" s="60" t="inlineStr">
        <is>
          <t>Nimbus Fitnes Lite-516</t>
        </is>
      </c>
      <c r="D4662" s="58" t="inlineStr">
        <is>
          <t>Sports</t>
        </is>
      </c>
      <c r="E4662" s="58" t="inlineStr">
        <is>
          <t>North</t>
        </is>
      </c>
      <c r="F4662" s="61" t="n">
        <v>1</v>
      </c>
      <c r="G4662" s="62" t="n">
        <v>602.28</v>
      </c>
      <c r="H4662" s="63" t="n">
        <v>0.079</v>
      </c>
      <c r="I4662" s="62" t="n">
        <v>475.81</v>
      </c>
      <c r="J4662" s="58" t="inlineStr">
        <is>
          <t>Online</t>
        </is>
      </c>
      <c r="K4662" s="62">
        <f>F4662*(G4662-H4662)</f>
        <v/>
      </c>
      <c r="L4662" s="62">
        <f>K4662-(F4662*I4662)</f>
        <v/>
      </c>
      <c r="M4662" s="64">
        <f>L4662/K4662</f>
        <v/>
      </c>
    </row>
    <row r="4663">
      <c r="A4663" s="58" t="inlineStr">
        <is>
          <t>RT20250501-04662</t>
        </is>
      </c>
      <c r="B4663" s="59" t="inlineStr">
        <is>
          <t>2025-05-01</t>
        </is>
      </c>
      <c r="C4663" s="60" t="inlineStr">
        <is>
          <t>Solace Smartphone Lite-533</t>
        </is>
      </c>
      <c r="D4663" s="58" t="inlineStr">
        <is>
          <t>Electronics</t>
        </is>
      </c>
      <c r="E4663" s="58" t="inlineStr">
        <is>
          <t>North</t>
        </is>
      </c>
      <c r="F4663" s="61" t="n">
        <v>1</v>
      </c>
      <c r="G4663" s="62" t="n">
        <v>1268.18</v>
      </c>
      <c r="H4663" s="63" t="n">
        <v>0.055</v>
      </c>
      <c r="I4663" s="62" t="n">
        <v>907.8099999999999</v>
      </c>
      <c r="J4663" s="58" t="inlineStr">
        <is>
          <t>Online</t>
        </is>
      </c>
      <c r="K4663" s="62">
        <f>F4663*(G4663-H4663)</f>
        <v/>
      </c>
      <c r="L4663" s="62">
        <f>K4663-(F4663*I4663)</f>
        <v/>
      </c>
      <c r="M4663" s="64">
        <f>L4663/K4663</f>
        <v/>
      </c>
    </row>
    <row r="4664">
      <c r="A4664" s="58" t="inlineStr">
        <is>
          <t>RT20250501-04663</t>
        </is>
      </c>
      <c r="B4664" s="59" t="inlineStr">
        <is>
          <t>2025-05-01</t>
        </is>
      </c>
      <c r="C4664" s="60" t="inlineStr">
        <is>
          <t>Orion Team Sport X-926</t>
        </is>
      </c>
      <c r="D4664" s="58" t="inlineStr">
        <is>
          <t>Sports</t>
        </is>
      </c>
      <c r="E4664" s="58" t="inlineStr">
        <is>
          <t>South</t>
        </is>
      </c>
      <c r="F4664" s="61" t="n">
        <v>2</v>
      </c>
      <c r="G4664" s="62" t="n">
        <v>322.4</v>
      </c>
      <c r="H4664" s="63" t="n">
        <v>0.097</v>
      </c>
      <c r="I4664" s="62" t="n">
        <v>209.46</v>
      </c>
      <c r="J4664" s="58" t="inlineStr">
        <is>
          <t>Online</t>
        </is>
      </c>
      <c r="K4664" s="62">
        <f>F4664*(G4664-H4664)</f>
        <v/>
      </c>
      <c r="L4664" s="62">
        <f>K4664-(F4664*I4664)</f>
        <v/>
      </c>
      <c r="M4664" s="64">
        <f>L4664/K4664</f>
        <v/>
      </c>
    </row>
    <row r="4665">
      <c r="A4665" s="58" t="inlineStr">
        <is>
          <t>RT20250501-04664</t>
        </is>
      </c>
      <c r="B4665" s="59" t="inlineStr">
        <is>
          <t>2025-05-01</t>
        </is>
      </c>
      <c r="C4665" s="60" t="inlineStr">
        <is>
          <t>Polar Fragrance Pro-750</t>
        </is>
      </c>
      <c r="D4665" s="58" t="inlineStr">
        <is>
          <t>Beauty</t>
        </is>
      </c>
      <c r="E4665" s="58" t="inlineStr">
        <is>
          <t>East</t>
        </is>
      </c>
      <c r="F4665" s="61" t="n">
        <v>5</v>
      </c>
      <c r="G4665" s="62" t="n">
        <v>58.3</v>
      </c>
      <c r="H4665" s="63" t="n">
        <v>0.067</v>
      </c>
      <c r="I4665" s="62" t="n">
        <v>37.54</v>
      </c>
      <c r="J4665" s="58" t="inlineStr">
        <is>
          <t>Store</t>
        </is>
      </c>
      <c r="K4665" s="62">
        <f>F4665*(G4665-H4665)</f>
        <v/>
      </c>
      <c r="L4665" s="62">
        <f>K4665-(F4665*I4665)</f>
        <v/>
      </c>
      <c r="M4665" s="64">
        <f>L4665/K4665</f>
        <v/>
      </c>
    </row>
    <row r="4666">
      <c r="A4666" s="58" t="inlineStr">
        <is>
          <t>RT20250501-04665</t>
        </is>
      </c>
      <c r="B4666" s="59" t="inlineStr">
        <is>
          <t>2025-05-01</t>
        </is>
      </c>
      <c r="C4666" s="60" t="inlineStr">
        <is>
          <t>Polar Fragrance Pro-750</t>
        </is>
      </c>
      <c r="D4666" s="58" t="inlineStr">
        <is>
          <t>Beauty</t>
        </is>
      </c>
      <c r="E4666" s="58" t="inlineStr">
        <is>
          <t>East</t>
        </is>
      </c>
      <c r="F4666" s="61" t="n">
        <v>5</v>
      </c>
      <c r="G4666" s="62" t="n">
        <v>63.85</v>
      </c>
      <c r="H4666" s="63" t="n">
        <v>0.014</v>
      </c>
      <c r="I4666" s="62" t="n">
        <v>37.58</v>
      </c>
      <c r="J4666" s="58" t="inlineStr">
        <is>
          <t>Store</t>
        </is>
      </c>
      <c r="K4666" s="62">
        <f>F4666*(G4666-H4666)</f>
        <v/>
      </c>
      <c r="L4666" s="62">
        <f>K4666-(F4666*I4666)</f>
        <v/>
      </c>
      <c r="M4666" s="64">
        <f>L4666/K4666</f>
        <v/>
      </c>
    </row>
    <row r="4667">
      <c r="A4667" s="58" t="inlineStr">
        <is>
          <t>RT20250501-04666</t>
        </is>
      </c>
      <c r="B4667" s="59" t="inlineStr">
        <is>
          <t>2025-05-01</t>
        </is>
      </c>
      <c r="C4667" s="60" t="inlineStr">
        <is>
          <t>Nimbus Headphone X-854</t>
        </is>
      </c>
      <c r="D4667" s="58" t="inlineStr">
        <is>
          <t>Electronics</t>
        </is>
      </c>
      <c r="E4667" s="58" t="inlineStr">
        <is>
          <t>West</t>
        </is>
      </c>
      <c r="F4667" s="61" t="n">
        <v>1</v>
      </c>
      <c r="G4667" s="62" t="n">
        <v>1405.72</v>
      </c>
      <c r="H4667" s="63" t="n">
        <v>0.107</v>
      </c>
      <c r="I4667" s="62" t="n">
        <v>1218.75</v>
      </c>
      <c r="J4667" s="58" t="inlineStr">
        <is>
          <t>Online</t>
        </is>
      </c>
      <c r="K4667" s="62">
        <f>F4667*(G4667-H4667)</f>
        <v/>
      </c>
      <c r="L4667" s="62">
        <f>K4667-(F4667*I4667)</f>
        <v/>
      </c>
      <c r="M4667" s="64">
        <f>L4667/K4667</f>
        <v/>
      </c>
    </row>
    <row r="4668">
      <c r="A4668" s="58" t="inlineStr">
        <is>
          <t>RT20250501-04667</t>
        </is>
      </c>
      <c r="B4668" s="59" t="inlineStr">
        <is>
          <t>2025-05-01</t>
        </is>
      </c>
      <c r="C4668" s="60" t="inlineStr">
        <is>
          <t>Falcon Team Sport Lite-268</t>
        </is>
      </c>
      <c r="D4668" s="58" t="inlineStr">
        <is>
          <t>Sports</t>
        </is>
      </c>
      <c r="E4668" s="58" t="inlineStr">
        <is>
          <t>South</t>
        </is>
      </c>
      <c r="F4668" s="61" t="n">
        <v>1</v>
      </c>
      <c r="G4668" s="62" t="n">
        <v>606.8099999999999</v>
      </c>
      <c r="H4668" s="63" t="n">
        <v>0.06</v>
      </c>
      <c r="I4668" s="62" t="n">
        <v>427.36</v>
      </c>
      <c r="J4668" s="58" t="inlineStr">
        <is>
          <t>Store</t>
        </is>
      </c>
      <c r="K4668" s="62">
        <f>F4668*(G4668-H4668)</f>
        <v/>
      </c>
      <c r="L4668" s="62">
        <f>K4668-(F4668*I4668)</f>
        <v/>
      </c>
      <c r="M4668" s="64">
        <f>L4668/K4668</f>
        <v/>
      </c>
    </row>
    <row r="4669">
      <c r="A4669" s="58" t="inlineStr">
        <is>
          <t>RT20250501-04668</t>
        </is>
      </c>
      <c r="B4669" s="59" t="inlineStr">
        <is>
          <t>2025-05-01</t>
        </is>
      </c>
      <c r="C4669" s="60" t="inlineStr">
        <is>
          <t>Orion Men X-928</t>
        </is>
      </c>
      <c r="D4669" s="58" t="inlineStr">
        <is>
          <t>Apparel</t>
        </is>
      </c>
      <c r="E4669" s="58" t="inlineStr">
        <is>
          <t>South</t>
        </is>
      </c>
      <c r="F4669" s="61" t="n">
        <v>2</v>
      </c>
      <c r="G4669" s="62" t="n">
        <v>111.17</v>
      </c>
      <c r="H4669" s="63" t="n">
        <v>0.018</v>
      </c>
      <c r="I4669" s="62" t="n">
        <v>60.74</v>
      </c>
      <c r="J4669" s="58" t="inlineStr">
        <is>
          <t>Store</t>
        </is>
      </c>
      <c r="K4669" s="62">
        <f>F4669*(G4669-H4669)</f>
        <v/>
      </c>
      <c r="L4669" s="62">
        <f>K4669-(F4669*I4669)</f>
        <v/>
      </c>
      <c r="M4669" s="64">
        <f>L4669/K4669</f>
        <v/>
      </c>
    </row>
    <row r="4670">
      <c r="A4670" s="58" t="inlineStr">
        <is>
          <t>RT20250501-04669</t>
        </is>
      </c>
      <c r="B4670" s="59" t="inlineStr">
        <is>
          <t>2025-05-01</t>
        </is>
      </c>
      <c r="C4670" s="60" t="inlineStr">
        <is>
          <t>Polar Women Max-927</t>
        </is>
      </c>
      <c r="D4670" s="58" t="inlineStr">
        <is>
          <t>Apparel</t>
        </is>
      </c>
      <c r="E4670" s="58" t="inlineStr">
        <is>
          <t>East</t>
        </is>
      </c>
      <c r="F4670" s="61" t="n">
        <v>3</v>
      </c>
      <c r="G4670" s="62" t="n">
        <v>96.77</v>
      </c>
      <c r="H4670" s="63" t="n">
        <v>0.001</v>
      </c>
      <c r="I4670" s="62" t="n">
        <v>67.33</v>
      </c>
      <c r="J4670" s="58" t="inlineStr">
        <is>
          <t>Online</t>
        </is>
      </c>
      <c r="K4670" s="62">
        <f>F4670*(G4670-H4670)</f>
        <v/>
      </c>
      <c r="L4670" s="62">
        <f>K4670-(F4670*I4670)</f>
        <v/>
      </c>
      <c r="M4670" s="64">
        <f>L4670/K4670</f>
        <v/>
      </c>
    </row>
    <row r="4671">
      <c r="A4671" s="58" t="inlineStr">
        <is>
          <t>RT20250501-04670</t>
        </is>
      </c>
      <c r="B4671" s="59" t="inlineStr">
        <is>
          <t>2025-05-01</t>
        </is>
      </c>
      <c r="C4671" s="60" t="inlineStr">
        <is>
          <t>Solace Headphone Pro-344</t>
        </is>
      </c>
      <c r="D4671" s="58" t="inlineStr">
        <is>
          <t>Electronics</t>
        </is>
      </c>
      <c r="E4671" s="58" t="inlineStr">
        <is>
          <t>South</t>
        </is>
      </c>
      <c r="F4671" s="61" t="n">
        <v>1</v>
      </c>
      <c r="G4671" s="62" t="n">
        <v>1375.7</v>
      </c>
      <c r="H4671" s="63" t="n">
        <v>0.08500000000000001</v>
      </c>
      <c r="I4671" s="62" t="n">
        <v>1091.09</v>
      </c>
      <c r="J4671" s="58" t="inlineStr">
        <is>
          <t>Store</t>
        </is>
      </c>
      <c r="K4671" s="62">
        <f>F4671*(G4671-H4671)</f>
        <v/>
      </c>
      <c r="L4671" s="62">
        <f>K4671-(F4671*I4671)</f>
        <v/>
      </c>
      <c r="M4671" s="64">
        <f>L4671/K4671</f>
        <v/>
      </c>
    </row>
    <row r="4672">
      <c r="A4672" s="58" t="inlineStr">
        <is>
          <t>RT20250501-04671</t>
        </is>
      </c>
      <c r="B4672" s="59" t="inlineStr">
        <is>
          <t>2025-05-01</t>
        </is>
      </c>
      <c r="C4672" s="60" t="inlineStr">
        <is>
          <t>Vertex Men X-995</t>
        </is>
      </c>
      <c r="D4672" s="58" t="inlineStr">
        <is>
          <t>Apparel</t>
        </is>
      </c>
      <c r="E4672" s="58" t="inlineStr">
        <is>
          <t>East</t>
        </is>
      </c>
      <c r="F4672" s="61" t="n">
        <v>1</v>
      </c>
      <c r="G4672" s="62" t="n">
        <v>99.51000000000001</v>
      </c>
      <c r="H4672" s="63" t="n">
        <v>0.097</v>
      </c>
      <c r="I4672" s="62" t="n">
        <v>56.58</v>
      </c>
      <c r="J4672" s="58" t="inlineStr">
        <is>
          <t>Store</t>
        </is>
      </c>
      <c r="K4672" s="62">
        <f>F4672*(G4672-H4672)</f>
        <v/>
      </c>
      <c r="L4672" s="62">
        <f>K4672-(F4672*I4672)</f>
        <v/>
      </c>
      <c r="M4672" s="64">
        <f>L4672/K4672</f>
        <v/>
      </c>
    </row>
    <row r="4673">
      <c r="A4673" s="58" t="inlineStr">
        <is>
          <t>RT20250501-04672</t>
        </is>
      </c>
      <c r="B4673" s="59" t="inlineStr">
        <is>
          <t>2025-05-01</t>
        </is>
      </c>
      <c r="C4673" s="60" t="inlineStr">
        <is>
          <t>Polar Beverage S-258</t>
        </is>
      </c>
      <c r="D4673" s="58" t="inlineStr">
        <is>
          <t>Grocery</t>
        </is>
      </c>
      <c r="E4673" s="58" t="inlineStr">
        <is>
          <t>East</t>
        </is>
      </c>
      <c r="F4673" s="61" t="n">
        <v>4</v>
      </c>
      <c r="G4673" s="62" t="n">
        <v>12.25</v>
      </c>
      <c r="H4673" s="63" t="n">
        <v>0.029</v>
      </c>
      <c r="I4673" s="62" t="n">
        <v>9.76</v>
      </c>
      <c r="J4673" s="58" t="inlineStr">
        <is>
          <t>Online</t>
        </is>
      </c>
      <c r="K4673" s="62">
        <f>F4673*(G4673-H4673)</f>
        <v/>
      </c>
      <c r="L4673" s="62">
        <f>K4673-(F4673*I4673)</f>
        <v/>
      </c>
      <c r="M4673" s="64">
        <f>L4673/K4673</f>
        <v/>
      </c>
    </row>
    <row r="4674">
      <c r="A4674" s="58" t="inlineStr">
        <is>
          <t>RT20250501-04673</t>
        </is>
      </c>
      <c r="B4674" s="59" t="inlineStr">
        <is>
          <t>2025-05-01</t>
        </is>
      </c>
      <c r="C4674" s="60" t="inlineStr">
        <is>
          <t>Solace Makeup Pro-214</t>
        </is>
      </c>
      <c r="D4674" s="58" t="inlineStr">
        <is>
          <t>Beauty</t>
        </is>
      </c>
      <c r="E4674" s="58" t="inlineStr">
        <is>
          <t>East</t>
        </is>
      </c>
      <c r="F4674" s="61" t="n">
        <v>5</v>
      </c>
      <c r="G4674" s="62" t="n">
        <v>109.74</v>
      </c>
      <c r="H4674" s="63" t="n">
        <v>0.07099999999999999</v>
      </c>
      <c r="I4674" s="62" t="n">
        <v>66.23</v>
      </c>
      <c r="J4674" s="58" t="inlineStr">
        <is>
          <t>Online</t>
        </is>
      </c>
      <c r="K4674" s="62">
        <f>F4674*(G4674-H4674)</f>
        <v/>
      </c>
      <c r="L4674" s="62">
        <f>K4674-(F4674*I4674)</f>
        <v/>
      </c>
      <c r="M4674" s="64">
        <f>L4674/K4674</f>
        <v/>
      </c>
    </row>
    <row r="4675">
      <c r="A4675" s="58" t="inlineStr">
        <is>
          <t>RT20250501-04674</t>
        </is>
      </c>
      <c r="B4675" s="59" t="inlineStr">
        <is>
          <t>2025-05-01</t>
        </is>
      </c>
      <c r="C4675" s="60" t="inlineStr">
        <is>
          <t>Vertex Furniture S-652</t>
        </is>
      </c>
      <c r="D4675" s="58" t="inlineStr">
        <is>
          <t>Office</t>
        </is>
      </c>
      <c r="E4675" s="58" t="inlineStr">
        <is>
          <t>West</t>
        </is>
      </c>
      <c r="F4675" s="61" t="n">
        <v>1</v>
      </c>
      <c r="G4675" s="62" t="n">
        <v>357.29</v>
      </c>
      <c r="H4675" s="63" t="n">
        <v>0.044</v>
      </c>
      <c r="I4675" s="62" t="n">
        <v>262.07</v>
      </c>
      <c r="J4675" s="58" t="inlineStr">
        <is>
          <t>Store</t>
        </is>
      </c>
      <c r="K4675" s="62">
        <f>F4675*(G4675-H4675)</f>
        <v/>
      </c>
      <c r="L4675" s="62">
        <f>K4675-(F4675*I4675)</f>
        <v/>
      </c>
      <c r="M4675" s="64">
        <f>L4675/K4675</f>
        <v/>
      </c>
    </row>
    <row r="4676">
      <c r="A4676" s="58" t="inlineStr">
        <is>
          <t>RT20250501-04675</t>
        </is>
      </c>
      <c r="B4676" s="59" t="inlineStr">
        <is>
          <t>2025-05-01</t>
        </is>
      </c>
      <c r="C4676" s="60" t="inlineStr">
        <is>
          <t>Aurora Makeup Pro-489</t>
        </is>
      </c>
      <c r="D4676" s="58" t="inlineStr">
        <is>
          <t>Beauty</t>
        </is>
      </c>
      <c r="E4676" s="58" t="inlineStr">
        <is>
          <t>West</t>
        </is>
      </c>
      <c r="F4676" s="61" t="n">
        <v>2</v>
      </c>
      <c r="G4676" s="62" t="n">
        <v>105.48</v>
      </c>
      <c r="H4676" s="63" t="n">
        <v>0.066</v>
      </c>
      <c r="I4676" s="62" t="n">
        <v>62.24</v>
      </c>
      <c r="J4676" s="58" t="inlineStr">
        <is>
          <t>Online</t>
        </is>
      </c>
      <c r="K4676" s="62">
        <f>F4676*(G4676-H4676)</f>
        <v/>
      </c>
      <c r="L4676" s="62">
        <f>K4676-(F4676*I4676)</f>
        <v/>
      </c>
      <c r="M4676" s="64">
        <f>L4676/K4676</f>
        <v/>
      </c>
    </row>
    <row r="4677">
      <c r="A4677" s="58" t="inlineStr">
        <is>
          <t>RT20250501-04676</t>
        </is>
      </c>
      <c r="B4677" s="59" t="inlineStr">
        <is>
          <t>2025-05-01</t>
        </is>
      </c>
      <c r="C4677" s="60" t="inlineStr">
        <is>
          <t>Polar Women Max-927</t>
        </is>
      </c>
      <c r="D4677" s="58" t="inlineStr">
        <is>
          <t>Apparel</t>
        </is>
      </c>
      <c r="E4677" s="58" t="inlineStr">
        <is>
          <t>North</t>
        </is>
      </c>
      <c r="F4677" s="61" t="n">
        <v>1</v>
      </c>
      <c r="G4677" s="62" t="n">
        <v>123.12</v>
      </c>
      <c r="H4677" s="63" t="n">
        <v>0.097</v>
      </c>
      <c r="I4677" s="62" t="n">
        <v>63.94</v>
      </c>
      <c r="J4677" s="58" t="inlineStr">
        <is>
          <t>Store</t>
        </is>
      </c>
      <c r="K4677" s="62">
        <f>F4677*(G4677-H4677)</f>
        <v/>
      </c>
      <c r="L4677" s="62">
        <f>K4677-(F4677*I4677)</f>
        <v/>
      </c>
      <c r="M4677" s="64">
        <f>L4677/K4677</f>
        <v/>
      </c>
    </row>
    <row r="4678">
      <c r="A4678" s="58" t="inlineStr">
        <is>
          <t>RT20250501-04677</t>
        </is>
      </c>
      <c r="B4678" s="59" t="inlineStr">
        <is>
          <t>2025-05-01</t>
        </is>
      </c>
      <c r="C4678" s="60" t="inlineStr">
        <is>
          <t>Falcon Accessorie S-195</t>
        </is>
      </c>
      <c r="D4678" s="58" t="inlineStr">
        <is>
          <t>Apparel</t>
        </is>
      </c>
      <c r="E4678" s="58" t="inlineStr">
        <is>
          <t>East</t>
        </is>
      </c>
      <c r="F4678" s="61" t="n">
        <v>1</v>
      </c>
      <c r="G4678" s="62" t="n">
        <v>76.48999999999999</v>
      </c>
      <c r="H4678" s="63" t="n">
        <v>0.106</v>
      </c>
      <c r="I4678" s="62" t="n">
        <v>43.93</v>
      </c>
      <c r="J4678" s="58" t="inlineStr">
        <is>
          <t>Online</t>
        </is>
      </c>
      <c r="K4678" s="62">
        <f>F4678*(G4678-H4678)</f>
        <v/>
      </c>
      <c r="L4678" s="62">
        <f>K4678-(F4678*I4678)</f>
        <v/>
      </c>
      <c r="M4678" s="64">
        <f>L4678/K4678</f>
        <v/>
      </c>
    </row>
    <row r="4679">
      <c r="A4679" s="58" t="inlineStr">
        <is>
          <t>RT20250501-04678</t>
        </is>
      </c>
      <c r="B4679" s="59" t="inlineStr">
        <is>
          <t>2025-05-01</t>
        </is>
      </c>
      <c r="C4679" s="60" t="inlineStr">
        <is>
          <t>Polar Pantry Lite-392</t>
        </is>
      </c>
      <c r="D4679" s="58" t="inlineStr">
        <is>
          <t>Grocery</t>
        </is>
      </c>
      <c r="E4679" s="58" t="inlineStr">
        <is>
          <t>Central</t>
        </is>
      </c>
      <c r="F4679" s="61" t="n">
        <v>7</v>
      </c>
      <c r="G4679" s="62" t="n">
        <v>6.39</v>
      </c>
      <c r="H4679" s="63" t="n">
        <v>0.044</v>
      </c>
      <c r="I4679" s="62" t="n">
        <v>4.62</v>
      </c>
      <c r="J4679" s="58" t="inlineStr">
        <is>
          <t>Online</t>
        </is>
      </c>
      <c r="K4679" s="62">
        <f>F4679*(G4679-H4679)</f>
        <v/>
      </c>
      <c r="L4679" s="62">
        <f>K4679-(F4679*I4679)</f>
        <v/>
      </c>
      <c r="M4679" s="64">
        <f>L4679/K4679</f>
        <v/>
      </c>
    </row>
    <row r="4680">
      <c r="A4680" s="58" t="inlineStr">
        <is>
          <t>RT20250501-04679</t>
        </is>
      </c>
      <c r="B4680" s="59" t="inlineStr">
        <is>
          <t>2025-05-01</t>
        </is>
      </c>
      <c r="C4680" s="60" t="inlineStr">
        <is>
          <t>Vertex Appliance S-159</t>
        </is>
      </c>
      <c r="D4680" s="58" t="inlineStr">
        <is>
          <t>Home</t>
        </is>
      </c>
      <c r="E4680" s="58" t="inlineStr">
        <is>
          <t>Central</t>
        </is>
      </c>
      <c r="F4680" s="61" t="n">
        <v>1</v>
      </c>
      <c r="G4680" s="62" t="n">
        <v>461.18</v>
      </c>
      <c r="H4680" s="63" t="n">
        <v>0.068</v>
      </c>
      <c r="I4680" s="62" t="n">
        <v>298.78</v>
      </c>
      <c r="J4680" s="58" t="inlineStr">
        <is>
          <t>Online</t>
        </is>
      </c>
      <c r="K4680" s="62">
        <f>F4680*(G4680-H4680)</f>
        <v/>
      </c>
      <c r="L4680" s="62">
        <f>K4680-(F4680*I4680)</f>
        <v/>
      </c>
      <c r="M4680" s="64">
        <f>L4680/K4680</f>
        <v/>
      </c>
    </row>
    <row r="4681">
      <c r="A4681" s="58" t="inlineStr">
        <is>
          <t>RT20250501-04680</t>
        </is>
      </c>
      <c r="B4681" s="59" t="inlineStr">
        <is>
          <t>2025-05-01</t>
        </is>
      </c>
      <c r="C4681" s="60" t="inlineStr">
        <is>
          <t>Aurora Team Sport Plus-256</t>
        </is>
      </c>
      <c r="D4681" s="58" t="inlineStr">
        <is>
          <t>Sports</t>
        </is>
      </c>
      <c r="E4681" s="58" t="inlineStr">
        <is>
          <t>West</t>
        </is>
      </c>
      <c r="F4681" s="61" t="n">
        <v>2</v>
      </c>
      <c r="G4681" s="62" t="n">
        <v>671.46</v>
      </c>
      <c r="H4681" s="63" t="n">
        <v>0.074</v>
      </c>
      <c r="I4681" s="62" t="n">
        <v>415.09</v>
      </c>
      <c r="J4681" s="58" t="inlineStr">
        <is>
          <t>Online</t>
        </is>
      </c>
      <c r="K4681" s="62">
        <f>F4681*(G4681-H4681)</f>
        <v/>
      </c>
      <c r="L4681" s="62">
        <f>K4681-(F4681*I4681)</f>
        <v/>
      </c>
      <c r="M4681" s="64">
        <f>L4681/K4681</f>
        <v/>
      </c>
    </row>
    <row r="4682">
      <c r="A4682" s="58" t="inlineStr">
        <is>
          <t>RT20250501-04681</t>
        </is>
      </c>
      <c r="B4682" s="59" t="inlineStr">
        <is>
          <t>2025-05-01</t>
        </is>
      </c>
      <c r="C4682" s="60" t="inlineStr">
        <is>
          <t>Orion Fragrance Lite-785</t>
        </is>
      </c>
      <c r="D4682" s="58" t="inlineStr">
        <is>
          <t>Beauty</t>
        </is>
      </c>
      <c r="E4682" s="58" t="inlineStr">
        <is>
          <t>South</t>
        </is>
      </c>
      <c r="F4682" s="61" t="n">
        <v>1</v>
      </c>
      <c r="G4682" s="62" t="n">
        <v>48.91</v>
      </c>
      <c r="H4682" s="63" t="n">
        <v>0.029</v>
      </c>
      <c r="I4682" s="62" t="n">
        <v>26.16</v>
      </c>
      <c r="J4682" s="58" t="inlineStr">
        <is>
          <t>Online</t>
        </is>
      </c>
      <c r="K4682" s="62">
        <f>F4682*(G4682-H4682)</f>
        <v/>
      </c>
      <c r="L4682" s="62">
        <f>K4682-(F4682*I4682)</f>
        <v/>
      </c>
      <c r="M4682" s="64">
        <f>L4682/K4682</f>
        <v/>
      </c>
    </row>
    <row r="4683">
      <c r="A4683" s="58" t="inlineStr">
        <is>
          <t>RT20250501-04682</t>
        </is>
      </c>
      <c r="B4683" s="59" t="inlineStr">
        <is>
          <t>2025-05-01</t>
        </is>
      </c>
      <c r="C4683" s="60" t="inlineStr">
        <is>
          <t>Nimbus Makeup Max-158</t>
        </is>
      </c>
      <c r="D4683" s="58" t="inlineStr">
        <is>
          <t>Beauty</t>
        </is>
      </c>
      <c r="E4683" s="58" t="inlineStr">
        <is>
          <t>South</t>
        </is>
      </c>
      <c r="F4683" s="61" t="n">
        <v>5</v>
      </c>
      <c r="G4683" s="62" t="n">
        <v>151.78</v>
      </c>
      <c r="H4683" s="63" t="n">
        <v>0.079</v>
      </c>
      <c r="I4683" s="62" t="n">
        <v>92.98999999999999</v>
      </c>
      <c r="J4683" s="58" t="inlineStr">
        <is>
          <t>Online</t>
        </is>
      </c>
      <c r="K4683" s="62">
        <f>F4683*(G4683-H4683)</f>
        <v/>
      </c>
      <c r="L4683" s="62">
        <f>K4683-(F4683*I4683)</f>
        <v/>
      </c>
      <c r="M4683" s="64">
        <f>L4683/K4683</f>
        <v/>
      </c>
    </row>
    <row r="4684">
      <c r="A4684" s="58" t="inlineStr">
        <is>
          <t>RT20250501-04683</t>
        </is>
      </c>
      <c r="B4684" s="59" t="inlineStr">
        <is>
          <t>2025-05-01</t>
        </is>
      </c>
      <c r="C4684" s="60" t="inlineStr">
        <is>
          <t>Solace Kitchen X-919</t>
        </is>
      </c>
      <c r="D4684" s="58" t="inlineStr">
        <is>
          <t>Home</t>
        </is>
      </c>
      <c r="E4684" s="58" t="inlineStr">
        <is>
          <t>North</t>
        </is>
      </c>
      <c r="F4684" s="61" t="n">
        <v>1</v>
      </c>
      <c r="G4684" s="62" t="n">
        <v>381.89</v>
      </c>
      <c r="H4684" s="63" t="n">
        <v>0.034</v>
      </c>
      <c r="I4684" s="62" t="n">
        <v>260.89</v>
      </c>
      <c r="J4684" s="58" t="inlineStr">
        <is>
          <t>Online</t>
        </is>
      </c>
      <c r="K4684" s="62">
        <f>F4684*(G4684-H4684)</f>
        <v/>
      </c>
      <c r="L4684" s="62">
        <f>K4684-(F4684*I4684)</f>
        <v/>
      </c>
      <c r="M4684" s="64">
        <f>L4684/K4684</f>
        <v/>
      </c>
    </row>
    <row r="4685">
      <c r="A4685" s="58" t="inlineStr">
        <is>
          <t>RT20250501-04684</t>
        </is>
      </c>
      <c r="B4685" s="59" t="inlineStr">
        <is>
          <t>2025-05-01</t>
        </is>
      </c>
      <c r="C4685" s="60" t="inlineStr">
        <is>
          <t>Solace Bedding Plus-317</t>
        </is>
      </c>
      <c r="D4685" s="58" t="inlineStr">
        <is>
          <t>Home</t>
        </is>
      </c>
      <c r="E4685" s="58" t="inlineStr">
        <is>
          <t>East</t>
        </is>
      </c>
      <c r="F4685" s="61" t="n">
        <v>2</v>
      </c>
      <c r="G4685" s="62" t="n">
        <v>643.29</v>
      </c>
      <c r="H4685" s="63" t="n">
        <v>0.059</v>
      </c>
      <c r="I4685" s="62" t="n">
        <v>376.85</v>
      </c>
      <c r="J4685" s="58" t="inlineStr">
        <is>
          <t>Store</t>
        </is>
      </c>
      <c r="K4685" s="62">
        <f>F4685*(G4685-H4685)</f>
        <v/>
      </c>
      <c r="L4685" s="62">
        <f>K4685-(F4685*I4685)</f>
        <v/>
      </c>
      <c r="M4685" s="64">
        <f>L4685/K4685</f>
        <v/>
      </c>
    </row>
    <row r="4686">
      <c r="A4686" s="58" t="inlineStr">
        <is>
          <t>RT20250501-04685</t>
        </is>
      </c>
      <c r="B4686" s="59" t="inlineStr">
        <is>
          <t>2025-05-01</t>
        </is>
      </c>
      <c r="C4686" s="60" t="inlineStr">
        <is>
          <t>Solace Bedding Plus-317</t>
        </is>
      </c>
      <c r="D4686" s="58" t="inlineStr">
        <is>
          <t>Home</t>
        </is>
      </c>
      <c r="E4686" s="58" t="inlineStr">
        <is>
          <t>North</t>
        </is>
      </c>
      <c r="F4686" s="61" t="n">
        <v>2</v>
      </c>
      <c r="G4686" s="62" t="n">
        <v>615.89</v>
      </c>
      <c r="H4686" s="63" t="n">
        <v>0.077</v>
      </c>
      <c r="I4686" s="62" t="n">
        <v>376.14</v>
      </c>
      <c r="J4686" s="58" t="inlineStr">
        <is>
          <t>Store</t>
        </is>
      </c>
      <c r="K4686" s="62">
        <f>F4686*(G4686-H4686)</f>
        <v/>
      </c>
      <c r="L4686" s="62">
        <f>K4686-(F4686*I4686)</f>
        <v/>
      </c>
      <c r="M4686" s="64">
        <f>L4686/K4686</f>
        <v/>
      </c>
    </row>
    <row r="4687">
      <c r="A4687" s="58" t="inlineStr">
        <is>
          <t>RT20250501-04686</t>
        </is>
      </c>
      <c r="B4687" s="59" t="inlineStr">
        <is>
          <t>2025-05-01</t>
        </is>
      </c>
      <c r="C4687" s="60" t="inlineStr">
        <is>
          <t>Falcon Skincare X-334</t>
        </is>
      </c>
      <c r="D4687" s="58" t="inlineStr">
        <is>
          <t>Beauty</t>
        </is>
      </c>
      <c r="E4687" s="58" t="inlineStr">
        <is>
          <t>West</t>
        </is>
      </c>
      <c r="F4687" s="61" t="n">
        <v>4</v>
      </c>
      <c r="G4687" s="62" t="n">
        <v>112.54</v>
      </c>
      <c r="H4687" s="63" t="n">
        <v>0.068</v>
      </c>
      <c r="I4687" s="62" t="n">
        <v>62.77</v>
      </c>
      <c r="J4687" s="58" t="inlineStr">
        <is>
          <t>Store</t>
        </is>
      </c>
      <c r="K4687" s="62">
        <f>F4687*(G4687-H4687)</f>
        <v/>
      </c>
      <c r="L4687" s="62">
        <f>K4687-(F4687*I4687)</f>
        <v/>
      </c>
      <c r="M4687" s="64">
        <f>L4687/K4687</f>
        <v/>
      </c>
    </row>
    <row r="4688">
      <c r="A4688" s="58" t="inlineStr">
        <is>
          <t>RT20250501-04687</t>
        </is>
      </c>
      <c r="B4688" s="59" t="inlineStr">
        <is>
          <t>2025-05-01</t>
        </is>
      </c>
      <c r="C4688" s="60" t="inlineStr">
        <is>
          <t>Metro Printer X-294</t>
        </is>
      </c>
      <c r="D4688" s="58" t="inlineStr">
        <is>
          <t>Office</t>
        </is>
      </c>
      <c r="E4688" s="58" t="inlineStr">
        <is>
          <t>South</t>
        </is>
      </c>
      <c r="F4688" s="61" t="n">
        <v>3</v>
      </c>
      <c r="G4688" s="62" t="n">
        <v>612.14</v>
      </c>
      <c r="H4688" s="63" t="n">
        <v>0.032</v>
      </c>
      <c r="I4688" s="62" t="n">
        <v>402.37</v>
      </c>
      <c r="J4688" s="58" t="inlineStr">
        <is>
          <t>Store</t>
        </is>
      </c>
      <c r="K4688" s="62">
        <f>F4688*(G4688-H4688)</f>
        <v/>
      </c>
      <c r="L4688" s="62">
        <f>K4688-(F4688*I4688)</f>
        <v/>
      </c>
      <c r="M4688" s="64">
        <f>L4688/K4688</f>
        <v/>
      </c>
    </row>
    <row r="4689">
      <c r="A4689" s="58" t="inlineStr">
        <is>
          <t>RT20250501-04688</t>
        </is>
      </c>
      <c r="B4689" s="59" t="inlineStr">
        <is>
          <t>2025-05-01</t>
        </is>
      </c>
      <c r="C4689" s="60" t="inlineStr">
        <is>
          <t>Polar Fragrance Pro-750</t>
        </is>
      </c>
      <c r="D4689" s="58" t="inlineStr">
        <is>
          <t>Beauty</t>
        </is>
      </c>
      <c r="E4689" s="58" t="inlineStr">
        <is>
          <t>East</t>
        </is>
      </c>
      <c r="F4689" s="61" t="n">
        <v>3</v>
      </c>
      <c r="G4689" s="62" t="n">
        <v>64.53</v>
      </c>
      <c r="H4689" s="63" t="n">
        <v>0.026</v>
      </c>
      <c r="I4689" s="62" t="n">
        <v>37.92</v>
      </c>
      <c r="J4689" s="58" t="inlineStr">
        <is>
          <t>Store</t>
        </is>
      </c>
      <c r="K4689" s="62">
        <f>F4689*(G4689-H4689)</f>
        <v/>
      </c>
      <c r="L4689" s="62">
        <f>K4689-(F4689*I4689)</f>
        <v/>
      </c>
      <c r="M4689" s="64">
        <f>L4689/K4689</f>
        <v/>
      </c>
    </row>
    <row r="4690">
      <c r="A4690" s="58" t="inlineStr">
        <is>
          <t>RT20250501-04689</t>
        </is>
      </c>
      <c r="B4690" s="59" t="inlineStr">
        <is>
          <t>2025-05-01</t>
        </is>
      </c>
      <c r="C4690" s="60" t="inlineStr">
        <is>
          <t>Vertex Snack S-702</t>
        </is>
      </c>
      <c r="D4690" s="58" t="inlineStr">
        <is>
          <t>Grocery</t>
        </is>
      </c>
      <c r="E4690" s="58" t="inlineStr">
        <is>
          <t>East</t>
        </is>
      </c>
      <c r="F4690" s="61" t="n">
        <v>7</v>
      </c>
      <c r="G4690" s="62" t="n">
        <v>1.84</v>
      </c>
      <c r="H4690" s="63" t="n">
        <v>0.061</v>
      </c>
      <c r="I4690" s="62" t="n">
        <v>1.49</v>
      </c>
      <c r="J4690" s="58" t="inlineStr">
        <is>
          <t>Store</t>
        </is>
      </c>
      <c r="K4690" s="62">
        <f>F4690*(G4690-H4690)</f>
        <v/>
      </c>
      <c r="L4690" s="62">
        <f>K4690-(F4690*I4690)</f>
        <v/>
      </c>
      <c r="M4690" s="64">
        <f>L4690/K4690</f>
        <v/>
      </c>
    </row>
    <row r="4691">
      <c r="A4691" s="58" t="inlineStr">
        <is>
          <t>RT20250502-04690</t>
        </is>
      </c>
      <c r="B4691" s="59" t="inlineStr">
        <is>
          <t>2025-05-02</t>
        </is>
      </c>
      <c r="C4691" s="60" t="inlineStr">
        <is>
          <t>Falcon Kitchen X-130</t>
        </is>
      </c>
      <c r="D4691" s="58" t="inlineStr">
        <is>
          <t>Home</t>
        </is>
      </c>
      <c r="E4691" s="58" t="inlineStr">
        <is>
          <t>North</t>
        </is>
      </c>
      <c r="F4691" s="61" t="n">
        <v>1</v>
      </c>
      <c r="G4691" s="62" t="n">
        <v>426.12</v>
      </c>
      <c r="H4691" s="63" t="n">
        <v>0.06</v>
      </c>
      <c r="I4691" s="62" t="n">
        <v>293.05</v>
      </c>
      <c r="J4691" s="58" t="inlineStr">
        <is>
          <t>Online</t>
        </is>
      </c>
      <c r="K4691" s="62">
        <f>F4691*(G4691-H4691)</f>
        <v/>
      </c>
      <c r="L4691" s="62">
        <f>K4691-(F4691*I4691)</f>
        <v/>
      </c>
      <c r="M4691" s="64">
        <f>L4691/K4691</f>
        <v/>
      </c>
    </row>
    <row r="4692">
      <c r="A4692" s="58" t="inlineStr">
        <is>
          <t>RT20250502-04691</t>
        </is>
      </c>
      <c r="B4692" s="59" t="inlineStr">
        <is>
          <t>2025-05-02</t>
        </is>
      </c>
      <c r="C4692" s="60" t="inlineStr">
        <is>
          <t>Nimbus Laptop Max-652</t>
        </is>
      </c>
      <c r="D4692" s="58" t="inlineStr">
        <is>
          <t>Electronics</t>
        </is>
      </c>
      <c r="E4692" s="58" t="inlineStr">
        <is>
          <t>South</t>
        </is>
      </c>
      <c r="F4692" s="61" t="n">
        <v>1</v>
      </c>
      <c r="G4692" s="62" t="n">
        <v>1487.77</v>
      </c>
      <c r="H4692" s="63" t="n">
        <v>0.035</v>
      </c>
      <c r="I4692" s="62" t="n">
        <v>1056.23</v>
      </c>
      <c r="J4692" s="58" t="inlineStr">
        <is>
          <t>Online</t>
        </is>
      </c>
      <c r="K4692" s="62">
        <f>F4692*(G4692-H4692)</f>
        <v/>
      </c>
      <c r="L4692" s="62">
        <f>K4692-(F4692*I4692)</f>
        <v/>
      </c>
      <c r="M4692" s="64">
        <f>L4692/K4692</f>
        <v/>
      </c>
    </row>
    <row r="4693">
      <c r="A4693" s="58" t="inlineStr">
        <is>
          <t>RT20250502-04692</t>
        </is>
      </c>
      <c r="B4693" s="59" t="inlineStr">
        <is>
          <t>2025-05-02</t>
        </is>
      </c>
      <c r="C4693" s="60" t="inlineStr">
        <is>
          <t>Aurora Bedding Plus-187</t>
        </is>
      </c>
      <c r="D4693" s="58" t="inlineStr">
        <is>
          <t>Home</t>
        </is>
      </c>
      <c r="E4693" s="58" t="inlineStr">
        <is>
          <t>East</t>
        </is>
      </c>
      <c r="F4693" s="61" t="n">
        <v>2</v>
      </c>
      <c r="G4693" s="62" t="n">
        <v>333.96</v>
      </c>
      <c r="H4693" s="63" t="n">
        <v>0.117</v>
      </c>
      <c r="I4693" s="62" t="n">
        <v>208.84</v>
      </c>
      <c r="J4693" s="58" t="inlineStr">
        <is>
          <t>Phone</t>
        </is>
      </c>
      <c r="K4693" s="62">
        <f>F4693*(G4693-H4693)</f>
        <v/>
      </c>
      <c r="L4693" s="62">
        <f>K4693-(F4693*I4693)</f>
        <v/>
      </c>
      <c r="M4693" s="64">
        <f>L4693/K4693</f>
        <v/>
      </c>
    </row>
    <row r="4694">
      <c r="A4694" s="58" t="inlineStr">
        <is>
          <t>RT20250502-04693</t>
        </is>
      </c>
      <c r="B4694" s="59" t="inlineStr">
        <is>
          <t>2025-05-02</t>
        </is>
      </c>
      <c r="C4694" s="60" t="inlineStr">
        <is>
          <t>Vertex Men X-995</t>
        </is>
      </c>
      <c r="D4694" s="58" t="inlineStr">
        <is>
          <t>Apparel</t>
        </is>
      </c>
      <c r="E4694" s="58" t="inlineStr">
        <is>
          <t>East</t>
        </is>
      </c>
      <c r="F4694" s="61" t="n">
        <v>3</v>
      </c>
      <c r="G4694" s="62" t="n">
        <v>103.11</v>
      </c>
      <c r="H4694" s="63" t="n">
        <v>0.06</v>
      </c>
      <c r="I4694" s="62" t="n">
        <v>56.43</v>
      </c>
      <c r="J4694" s="58" t="inlineStr">
        <is>
          <t>Store</t>
        </is>
      </c>
      <c r="K4694" s="62">
        <f>F4694*(G4694-H4694)</f>
        <v/>
      </c>
      <c r="L4694" s="62">
        <f>K4694-(F4694*I4694)</f>
        <v/>
      </c>
      <c r="M4694" s="64">
        <f>L4694/K4694</f>
        <v/>
      </c>
    </row>
    <row r="4695">
      <c r="A4695" s="58" t="inlineStr">
        <is>
          <t>RT20250502-04694</t>
        </is>
      </c>
      <c r="B4695" s="59" t="inlineStr">
        <is>
          <t>2025-05-02</t>
        </is>
      </c>
      <c r="C4695" s="60" t="inlineStr">
        <is>
          <t>Solace Headphone Pro-344</t>
        </is>
      </c>
      <c r="D4695" s="58" t="inlineStr">
        <is>
          <t>Electronics</t>
        </is>
      </c>
      <c r="E4695" s="58" t="inlineStr">
        <is>
          <t>South</t>
        </is>
      </c>
      <c r="F4695" s="61" t="n">
        <v>1</v>
      </c>
      <c r="G4695" s="62" t="n">
        <v>1364.04</v>
      </c>
      <c r="H4695" s="63" t="n">
        <v>0.024</v>
      </c>
      <c r="I4695" s="62" t="n">
        <v>1051.93</v>
      </c>
      <c r="J4695" s="58" t="inlineStr">
        <is>
          <t>Store</t>
        </is>
      </c>
      <c r="K4695" s="62">
        <f>F4695*(G4695-H4695)</f>
        <v/>
      </c>
      <c r="L4695" s="62">
        <f>K4695-(F4695*I4695)</f>
        <v/>
      </c>
      <c r="M4695" s="64">
        <f>L4695/K4695</f>
        <v/>
      </c>
    </row>
    <row r="4696">
      <c r="A4696" s="58" t="inlineStr">
        <is>
          <t>RT20250502-04695</t>
        </is>
      </c>
      <c r="B4696" s="59" t="inlineStr">
        <is>
          <t>2025-05-02</t>
        </is>
      </c>
      <c r="C4696" s="60" t="inlineStr">
        <is>
          <t>Nimbus Women Plus-352</t>
        </is>
      </c>
      <c r="D4696" s="58" t="inlineStr">
        <is>
          <t>Apparel</t>
        </is>
      </c>
      <c r="E4696" s="58" t="inlineStr">
        <is>
          <t>Central</t>
        </is>
      </c>
      <c r="F4696" s="61" t="n">
        <v>1</v>
      </c>
      <c r="G4696" s="62" t="n">
        <v>58.41</v>
      </c>
      <c r="H4696" s="63" t="n">
        <v>0.08699999999999999</v>
      </c>
      <c r="I4696" s="62" t="n">
        <v>32.98</v>
      </c>
      <c r="J4696" s="58" t="inlineStr">
        <is>
          <t>Store</t>
        </is>
      </c>
      <c r="K4696" s="62">
        <f>F4696*(G4696-H4696)</f>
        <v/>
      </c>
      <c r="L4696" s="62">
        <f>K4696-(F4696*I4696)</f>
        <v/>
      </c>
      <c r="M4696" s="64">
        <f>L4696/K4696</f>
        <v/>
      </c>
    </row>
    <row r="4697">
      <c r="A4697" s="58" t="inlineStr">
        <is>
          <t>RT20250502-04696</t>
        </is>
      </c>
      <c r="B4697" s="59" t="inlineStr">
        <is>
          <t>2025-05-02</t>
        </is>
      </c>
      <c r="C4697" s="60" t="inlineStr">
        <is>
          <t>Polar Laptop Plus-984</t>
        </is>
      </c>
      <c r="D4697" s="58" t="inlineStr">
        <is>
          <t>Electronics</t>
        </is>
      </c>
      <c r="E4697" s="58" t="inlineStr">
        <is>
          <t>East</t>
        </is>
      </c>
      <c r="F4697" s="61" t="n">
        <v>2</v>
      </c>
      <c r="G4697" s="62" t="n">
        <v>1191.92</v>
      </c>
      <c r="H4697" s="63" t="n">
        <v>0.08500000000000001</v>
      </c>
      <c r="I4697" s="62" t="n">
        <v>1021.62</v>
      </c>
      <c r="J4697" s="58" t="inlineStr">
        <is>
          <t>Store</t>
        </is>
      </c>
      <c r="K4697" s="62">
        <f>F4697*(G4697-H4697)</f>
        <v/>
      </c>
      <c r="L4697" s="62">
        <f>K4697-(F4697*I4697)</f>
        <v/>
      </c>
      <c r="M4697" s="64">
        <f>L4697/K4697</f>
        <v/>
      </c>
    </row>
    <row r="4698">
      <c r="A4698" s="58" t="inlineStr">
        <is>
          <t>RT20250502-04697</t>
        </is>
      </c>
      <c r="B4698" s="59" t="inlineStr">
        <is>
          <t>2025-05-02</t>
        </is>
      </c>
      <c r="C4698" s="60" t="inlineStr">
        <is>
          <t>Vertex Smartphone Pro-256</t>
        </is>
      </c>
      <c r="D4698" s="58" t="inlineStr">
        <is>
          <t>Electronics</t>
        </is>
      </c>
      <c r="E4698" s="58" t="inlineStr">
        <is>
          <t>Central</t>
        </is>
      </c>
      <c r="F4698" s="61" t="n">
        <v>1</v>
      </c>
      <c r="G4698" s="62" t="n">
        <v>1062.85</v>
      </c>
      <c r="H4698" s="63" t="n">
        <v>0.046</v>
      </c>
      <c r="I4698" s="62" t="n">
        <v>908.92</v>
      </c>
      <c r="J4698" s="58" t="inlineStr">
        <is>
          <t>Store</t>
        </is>
      </c>
      <c r="K4698" s="62">
        <f>F4698*(G4698-H4698)</f>
        <v/>
      </c>
      <c r="L4698" s="62">
        <f>K4698-(F4698*I4698)</f>
        <v/>
      </c>
      <c r="M4698" s="64">
        <f>L4698/K4698</f>
        <v/>
      </c>
    </row>
    <row r="4699">
      <c r="A4699" s="58" t="inlineStr">
        <is>
          <t>RT20250502-04698</t>
        </is>
      </c>
      <c r="B4699" s="59" t="inlineStr">
        <is>
          <t>2025-05-02</t>
        </is>
      </c>
      <c r="C4699" s="60" t="inlineStr">
        <is>
          <t>Orion Fragrance Lite-785</t>
        </is>
      </c>
      <c r="D4699" s="58" t="inlineStr">
        <is>
          <t>Beauty</t>
        </is>
      </c>
      <c r="E4699" s="58" t="inlineStr">
        <is>
          <t>North</t>
        </is>
      </c>
      <c r="F4699" s="61" t="n">
        <v>1</v>
      </c>
      <c r="G4699" s="62" t="n">
        <v>44</v>
      </c>
      <c r="H4699" s="63" t="n">
        <v>0.07199999999999999</v>
      </c>
      <c r="I4699" s="62" t="n">
        <v>27.63</v>
      </c>
      <c r="J4699" s="58" t="inlineStr">
        <is>
          <t>Online</t>
        </is>
      </c>
      <c r="K4699" s="62">
        <f>F4699*(G4699-H4699)</f>
        <v/>
      </c>
      <c r="L4699" s="62">
        <f>K4699-(F4699*I4699)</f>
        <v/>
      </c>
      <c r="M4699" s="64">
        <f>L4699/K4699</f>
        <v/>
      </c>
    </row>
    <row r="4700">
      <c r="A4700" s="58" t="inlineStr">
        <is>
          <t>RT20250502-04699</t>
        </is>
      </c>
      <c r="B4700" s="59" t="inlineStr">
        <is>
          <t>2025-05-02</t>
        </is>
      </c>
      <c r="C4700" s="60" t="inlineStr">
        <is>
          <t>Metro Beverage Max-490</t>
        </is>
      </c>
      <c r="D4700" s="58" t="inlineStr">
        <is>
          <t>Grocery</t>
        </is>
      </c>
      <c r="E4700" s="58" t="inlineStr">
        <is>
          <t>Central</t>
        </is>
      </c>
      <c r="F4700" s="61" t="n">
        <v>6</v>
      </c>
      <c r="G4700" s="62" t="n">
        <v>11.84</v>
      </c>
      <c r="H4700" s="63" t="n">
        <v>0.007</v>
      </c>
      <c r="I4700" s="62" t="n">
        <v>8.039999999999999</v>
      </c>
      <c r="J4700" s="58" t="inlineStr">
        <is>
          <t>Phone</t>
        </is>
      </c>
      <c r="K4700" s="62">
        <f>F4700*(G4700-H4700)</f>
        <v/>
      </c>
      <c r="L4700" s="62">
        <f>K4700-(F4700*I4700)</f>
        <v/>
      </c>
      <c r="M4700" s="64">
        <f>L4700/K4700</f>
        <v/>
      </c>
    </row>
    <row r="4701">
      <c r="A4701" s="58" t="inlineStr">
        <is>
          <t>RT20250502-04700</t>
        </is>
      </c>
      <c r="B4701" s="59" t="inlineStr">
        <is>
          <t>2025-05-02</t>
        </is>
      </c>
      <c r="C4701" s="60" t="inlineStr">
        <is>
          <t>Metro Pantry Max-180</t>
        </is>
      </c>
      <c r="D4701" s="58" t="inlineStr">
        <is>
          <t>Grocery</t>
        </is>
      </c>
      <c r="E4701" s="58" t="inlineStr">
        <is>
          <t>East</t>
        </is>
      </c>
      <c r="F4701" s="61" t="n">
        <v>6</v>
      </c>
      <c r="G4701" s="62" t="n">
        <v>9.449999999999999</v>
      </c>
      <c r="H4701" s="63" t="n">
        <v>0.036</v>
      </c>
      <c r="I4701" s="62" t="n">
        <v>6.78</v>
      </c>
      <c r="J4701" s="58" t="inlineStr">
        <is>
          <t>Store</t>
        </is>
      </c>
      <c r="K4701" s="62">
        <f>F4701*(G4701-H4701)</f>
        <v/>
      </c>
      <c r="L4701" s="62">
        <f>K4701-(F4701*I4701)</f>
        <v/>
      </c>
      <c r="M4701" s="64">
        <f>L4701/K4701</f>
        <v/>
      </c>
    </row>
    <row r="4702">
      <c r="A4702" s="58" t="inlineStr">
        <is>
          <t>RT20250502-04701</t>
        </is>
      </c>
      <c r="B4702" s="59" t="inlineStr">
        <is>
          <t>2025-05-02</t>
        </is>
      </c>
      <c r="C4702" s="60" t="inlineStr">
        <is>
          <t>Vertex Snack S-702</t>
        </is>
      </c>
      <c r="D4702" s="58" t="inlineStr">
        <is>
          <t>Grocery</t>
        </is>
      </c>
      <c r="E4702" s="58" t="inlineStr">
        <is>
          <t>Central</t>
        </is>
      </c>
      <c r="F4702" s="61" t="n">
        <v>7</v>
      </c>
      <c r="G4702" s="62" t="n">
        <v>1.69</v>
      </c>
      <c r="H4702" s="63" t="n">
        <v>0.055</v>
      </c>
      <c r="I4702" s="62" t="n">
        <v>1.45</v>
      </c>
      <c r="J4702" s="58" t="inlineStr">
        <is>
          <t>Online</t>
        </is>
      </c>
      <c r="K4702" s="62">
        <f>F4702*(G4702-H4702)</f>
        <v/>
      </c>
      <c r="L4702" s="62">
        <f>K4702-(F4702*I4702)</f>
        <v/>
      </c>
      <c r="M4702" s="64">
        <f>L4702/K4702</f>
        <v/>
      </c>
    </row>
    <row r="4703">
      <c r="A4703" s="58" t="inlineStr">
        <is>
          <t>RT20250502-04702</t>
        </is>
      </c>
      <c r="B4703" s="59" t="inlineStr">
        <is>
          <t>2025-05-02</t>
        </is>
      </c>
      <c r="C4703" s="60" t="inlineStr">
        <is>
          <t>Polar Outdoor X-193</t>
        </is>
      </c>
      <c r="D4703" s="58" t="inlineStr">
        <is>
          <t>Sports</t>
        </is>
      </c>
      <c r="E4703" s="58" t="inlineStr">
        <is>
          <t>Central</t>
        </is>
      </c>
      <c r="F4703" s="61" t="n">
        <v>1</v>
      </c>
      <c r="G4703" s="62" t="n">
        <v>757.09</v>
      </c>
      <c r="H4703" s="63" t="n">
        <v>0.059</v>
      </c>
      <c r="I4703" s="62" t="n">
        <v>445.56</v>
      </c>
      <c r="J4703" s="58" t="inlineStr">
        <is>
          <t>Store</t>
        </is>
      </c>
      <c r="K4703" s="62">
        <f>F4703*(G4703-H4703)</f>
        <v/>
      </c>
      <c r="L4703" s="62">
        <f>K4703-(F4703*I4703)</f>
        <v/>
      </c>
      <c r="M4703" s="64">
        <f>L4703/K4703</f>
        <v/>
      </c>
    </row>
    <row r="4704">
      <c r="A4704" s="58" t="inlineStr">
        <is>
          <t>RT20250502-04703</t>
        </is>
      </c>
      <c r="B4704" s="59" t="inlineStr">
        <is>
          <t>2025-05-02</t>
        </is>
      </c>
      <c r="C4704" s="60" t="inlineStr">
        <is>
          <t>Polar Fragrance Pro-750</t>
        </is>
      </c>
      <c r="D4704" s="58" t="inlineStr">
        <is>
          <t>Beauty</t>
        </is>
      </c>
      <c r="E4704" s="58" t="inlineStr">
        <is>
          <t>South</t>
        </is>
      </c>
      <c r="F4704" s="61" t="n">
        <v>5</v>
      </c>
      <c r="G4704" s="62" t="n">
        <v>52.12</v>
      </c>
      <c r="H4704" s="63" t="n">
        <v>0.012</v>
      </c>
      <c r="I4704" s="62" t="n">
        <v>37.72</v>
      </c>
      <c r="J4704" s="58" t="inlineStr">
        <is>
          <t>Store</t>
        </is>
      </c>
      <c r="K4704" s="62">
        <f>F4704*(G4704-H4704)</f>
        <v/>
      </c>
      <c r="L4704" s="62">
        <f>K4704-(F4704*I4704)</f>
        <v/>
      </c>
      <c r="M4704" s="64">
        <f>L4704/K4704</f>
        <v/>
      </c>
    </row>
    <row r="4705">
      <c r="A4705" s="58" t="inlineStr">
        <is>
          <t>RT20250502-04704</t>
        </is>
      </c>
      <c r="B4705" s="59" t="inlineStr">
        <is>
          <t>2025-05-02</t>
        </is>
      </c>
      <c r="C4705" s="60" t="inlineStr">
        <is>
          <t>Aurora Makeup Pro-489</t>
        </is>
      </c>
      <c r="D4705" s="58" t="inlineStr">
        <is>
          <t>Beauty</t>
        </is>
      </c>
      <c r="E4705" s="58" t="inlineStr">
        <is>
          <t>Central</t>
        </is>
      </c>
      <c r="F4705" s="61" t="n">
        <v>3</v>
      </c>
      <c r="G4705" s="62" t="n">
        <v>100.37</v>
      </c>
      <c r="H4705" s="63" t="n">
        <v>0.083</v>
      </c>
      <c r="I4705" s="62" t="n">
        <v>64.68000000000001</v>
      </c>
      <c r="J4705" s="58" t="inlineStr">
        <is>
          <t>Online</t>
        </is>
      </c>
      <c r="K4705" s="62">
        <f>F4705*(G4705-H4705)</f>
        <v/>
      </c>
      <c r="L4705" s="62">
        <f>K4705-(F4705*I4705)</f>
        <v/>
      </c>
      <c r="M4705" s="64">
        <f>L4705/K4705</f>
        <v/>
      </c>
    </row>
    <row r="4706">
      <c r="A4706" s="58" t="inlineStr">
        <is>
          <t>RT20250502-04705</t>
        </is>
      </c>
      <c r="B4706" s="59" t="inlineStr">
        <is>
          <t>2025-05-02</t>
        </is>
      </c>
      <c r="C4706" s="60" t="inlineStr">
        <is>
          <t>Solace Kitchen Pro-510</t>
        </is>
      </c>
      <c r="D4706" s="58" t="inlineStr">
        <is>
          <t>Home</t>
        </is>
      </c>
      <c r="E4706" s="58" t="inlineStr">
        <is>
          <t>East</t>
        </is>
      </c>
      <c r="F4706" s="61" t="n">
        <v>3</v>
      </c>
      <c r="G4706" s="62" t="n">
        <v>425.78</v>
      </c>
      <c r="H4706" s="63" t="n">
        <v>0.07199999999999999</v>
      </c>
      <c r="I4706" s="62" t="n">
        <v>303.11</v>
      </c>
      <c r="J4706" s="58" t="inlineStr">
        <is>
          <t>Online</t>
        </is>
      </c>
      <c r="K4706" s="62">
        <f>F4706*(G4706-H4706)</f>
        <v/>
      </c>
      <c r="L4706" s="62">
        <f>K4706-(F4706*I4706)</f>
        <v/>
      </c>
      <c r="M4706" s="64">
        <f>L4706/K4706</f>
        <v/>
      </c>
    </row>
    <row r="4707">
      <c r="A4707" s="58" t="inlineStr">
        <is>
          <t>RT20250502-04706</t>
        </is>
      </c>
      <c r="B4707" s="59" t="inlineStr">
        <is>
          <t>2025-05-02</t>
        </is>
      </c>
      <c r="C4707" s="60" t="inlineStr">
        <is>
          <t>Polar Men Pro-246</t>
        </is>
      </c>
      <c r="D4707" s="58" t="inlineStr">
        <is>
          <t>Apparel</t>
        </is>
      </c>
      <c r="E4707" s="58" t="inlineStr">
        <is>
          <t>South</t>
        </is>
      </c>
      <c r="F4707" s="61" t="n">
        <v>2</v>
      </c>
      <c r="G4707" s="62" t="n">
        <v>144.9</v>
      </c>
      <c r="H4707" s="63" t="n">
        <v>0.059</v>
      </c>
      <c r="I4707" s="62" t="n">
        <v>78.13</v>
      </c>
      <c r="J4707" s="58" t="inlineStr">
        <is>
          <t>Online</t>
        </is>
      </c>
      <c r="K4707" s="62">
        <f>F4707*(G4707-H4707)</f>
        <v/>
      </c>
      <c r="L4707" s="62">
        <f>K4707-(F4707*I4707)</f>
        <v/>
      </c>
      <c r="M4707" s="64">
        <f>L4707/K4707</f>
        <v/>
      </c>
    </row>
    <row r="4708">
      <c r="A4708" s="58" t="inlineStr">
        <is>
          <t>RT20250502-04707</t>
        </is>
      </c>
      <c r="B4708" s="59" t="inlineStr">
        <is>
          <t>2025-05-02</t>
        </is>
      </c>
      <c r="C4708" s="60" t="inlineStr">
        <is>
          <t>Nimbus Fitnes Lite-516</t>
        </is>
      </c>
      <c r="D4708" s="58" t="inlineStr">
        <is>
          <t>Sports</t>
        </is>
      </c>
      <c r="E4708" s="58" t="inlineStr">
        <is>
          <t>East</t>
        </is>
      </c>
      <c r="F4708" s="61" t="n">
        <v>1</v>
      </c>
      <c r="G4708" s="62" t="n">
        <v>681.54</v>
      </c>
      <c r="H4708" s="63" t="n">
        <v>0.047</v>
      </c>
      <c r="I4708" s="62" t="n">
        <v>477.37</v>
      </c>
      <c r="J4708" s="58" t="inlineStr">
        <is>
          <t>Online</t>
        </is>
      </c>
      <c r="K4708" s="62">
        <f>F4708*(G4708-H4708)</f>
        <v/>
      </c>
      <c r="L4708" s="62">
        <f>K4708-(F4708*I4708)</f>
        <v/>
      </c>
      <c r="M4708" s="64">
        <f>L4708/K4708</f>
        <v/>
      </c>
    </row>
    <row r="4709">
      <c r="A4709" s="58" t="inlineStr">
        <is>
          <t>RT20250502-04708</t>
        </is>
      </c>
      <c r="B4709" s="59" t="inlineStr">
        <is>
          <t>2025-05-02</t>
        </is>
      </c>
      <c r="C4709" s="60" t="inlineStr">
        <is>
          <t>Falcon Skincare Max-151</t>
        </is>
      </c>
      <c r="D4709" s="58" t="inlineStr">
        <is>
          <t>Beauty</t>
        </is>
      </c>
      <c r="E4709" s="58" t="inlineStr">
        <is>
          <t>East</t>
        </is>
      </c>
      <c r="F4709" s="61" t="n">
        <v>3</v>
      </c>
      <c r="G4709" s="62" t="n">
        <v>90.12</v>
      </c>
      <c r="H4709" s="63" t="n">
        <v>0.029</v>
      </c>
      <c r="I4709" s="62" t="n">
        <v>60.35</v>
      </c>
      <c r="J4709" s="58" t="inlineStr">
        <is>
          <t>Online</t>
        </is>
      </c>
      <c r="K4709" s="62">
        <f>F4709*(G4709-H4709)</f>
        <v/>
      </c>
      <c r="L4709" s="62">
        <f>K4709-(F4709*I4709)</f>
        <v/>
      </c>
      <c r="M4709" s="64">
        <f>L4709/K4709</f>
        <v/>
      </c>
    </row>
    <row r="4710">
      <c r="A4710" s="58" t="inlineStr">
        <is>
          <t>RT20250502-04709</t>
        </is>
      </c>
      <c r="B4710" s="59" t="inlineStr">
        <is>
          <t>2025-05-02</t>
        </is>
      </c>
      <c r="C4710" s="60" t="inlineStr">
        <is>
          <t>Metro Printer X-294</t>
        </is>
      </c>
      <c r="D4710" s="58" t="inlineStr">
        <is>
          <t>Office</t>
        </is>
      </c>
      <c r="E4710" s="58" t="inlineStr">
        <is>
          <t>West</t>
        </is>
      </c>
      <c r="F4710" s="61" t="n">
        <v>1</v>
      </c>
      <c r="G4710" s="62" t="n">
        <v>557.3099999999999</v>
      </c>
      <c r="H4710" s="63" t="n">
        <v>0.063</v>
      </c>
      <c r="I4710" s="62" t="n">
        <v>409.78</v>
      </c>
      <c r="J4710" s="58" t="inlineStr">
        <is>
          <t>Store</t>
        </is>
      </c>
      <c r="K4710" s="62">
        <f>F4710*(G4710-H4710)</f>
        <v/>
      </c>
      <c r="L4710" s="62">
        <f>K4710-(F4710*I4710)</f>
        <v/>
      </c>
      <c r="M4710" s="64">
        <f>L4710/K4710</f>
        <v/>
      </c>
    </row>
    <row r="4711">
      <c r="A4711" s="58" t="inlineStr">
        <is>
          <t>RT20250502-04710</t>
        </is>
      </c>
      <c r="B4711" s="59" t="inlineStr">
        <is>
          <t>2025-05-02</t>
        </is>
      </c>
      <c r="C4711" s="60" t="inlineStr">
        <is>
          <t>Falcon Bedding S-674</t>
        </is>
      </c>
      <c r="D4711" s="58" t="inlineStr">
        <is>
          <t>Home</t>
        </is>
      </c>
      <c r="E4711" s="58" t="inlineStr">
        <is>
          <t>West</t>
        </is>
      </c>
      <c r="F4711" s="61" t="n">
        <v>1</v>
      </c>
      <c r="G4711" s="62" t="n">
        <v>679.7</v>
      </c>
      <c r="H4711" s="63" t="n">
        <v>0.063</v>
      </c>
      <c r="I4711" s="62" t="n">
        <v>461.98</v>
      </c>
      <c r="J4711" s="58" t="inlineStr">
        <is>
          <t>Online</t>
        </is>
      </c>
      <c r="K4711" s="62">
        <f>F4711*(G4711-H4711)</f>
        <v/>
      </c>
      <c r="L4711" s="62">
        <f>K4711-(F4711*I4711)</f>
        <v/>
      </c>
      <c r="M4711" s="64">
        <f>L4711/K4711</f>
        <v/>
      </c>
    </row>
    <row r="4712">
      <c r="A4712" s="58" t="inlineStr">
        <is>
          <t>RT20250502-04711</t>
        </is>
      </c>
      <c r="B4712" s="59" t="inlineStr">
        <is>
          <t>2025-05-02</t>
        </is>
      </c>
      <c r="C4712" s="60" t="inlineStr">
        <is>
          <t>Vertex Smartphone Lite-267</t>
        </is>
      </c>
      <c r="D4712" s="58" t="inlineStr">
        <is>
          <t>Electronics</t>
        </is>
      </c>
      <c r="E4712" s="58" t="inlineStr">
        <is>
          <t>East</t>
        </is>
      </c>
      <c r="F4712" s="61" t="n">
        <v>1</v>
      </c>
      <c r="G4712" s="62" t="n">
        <v>1304.33</v>
      </c>
      <c r="H4712" s="63" t="n">
        <v>0.118</v>
      </c>
      <c r="I4712" s="62" t="n">
        <v>974.25</v>
      </c>
      <c r="J4712" s="58" t="inlineStr">
        <is>
          <t>Online</t>
        </is>
      </c>
      <c r="K4712" s="62">
        <f>F4712*(G4712-H4712)</f>
        <v/>
      </c>
      <c r="L4712" s="62">
        <f>K4712-(F4712*I4712)</f>
        <v/>
      </c>
      <c r="M4712" s="64">
        <f>L4712/K4712</f>
        <v/>
      </c>
    </row>
    <row r="4713">
      <c r="A4713" s="58" t="inlineStr">
        <is>
          <t>RT20250502-04712</t>
        </is>
      </c>
      <c r="B4713" s="59" t="inlineStr">
        <is>
          <t>2025-05-02</t>
        </is>
      </c>
      <c r="C4713" s="60" t="inlineStr">
        <is>
          <t>Aurora Printer Plus-723</t>
        </is>
      </c>
      <c r="D4713" s="58" t="inlineStr">
        <is>
          <t>Office</t>
        </is>
      </c>
      <c r="E4713" s="58" t="inlineStr">
        <is>
          <t>South</t>
        </is>
      </c>
      <c r="F4713" s="61" t="n">
        <v>3</v>
      </c>
      <c r="G4713" s="62" t="n">
        <v>262.84</v>
      </c>
      <c r="H4713" s="63" t="n">
        <v>0.076</v>
      </c>
      <c r="I4713" s="62" t="n">
        <v>192.42</v>
      </c>
      <c r="J4713" s="58" t="inlineStr">
        <is>
          <t>Online</t>
        </is>
      </c>
      <c r="K4713" s="62">
        <f>F4713*(G4713-H4713)</f>
        <v/>
      </c>
      <c r="L4713" s="62">
        <f>K4713-(F4713*I4713)</f>
        <v/>
      </c>
      <c r="M4713" s="64">
        <f>L4713/K4713</f>
        <v/>
      </c>
    </row>
    <row r="4714">
      <c r="A4714" s="58" t="inlineStr">
        <is>
          <t>RT20250502-04713</t>
        </is>
      </c>
      <c r="B4714" s="59" t="inlineStr">
        <is>
          <t>2025-05-02</t>
        </is>
      </c>
      <c r="C4714" s="60" t="inlineStr">
        <is>
          <t>Metro Laptop Plus-376</t>
        </is>
      </c>
      <c r="D4714" s="58" t="inlineStr">
        <is>
          <t>Electronics</t>
        </is>
      </c>
      <c r="E4714" s="58" t="inlineStr">
        <is>
          <t>Central</t>
        </is>
      </c>
      <c r="F4714" s="61" t="n">
        <v>1</v>
      </c>
      <c r="G4714" s="62" t="n">
        <v>1324.62</v>
      </c>
      <c r="H4714" s="63" t="n">
        <v>0.044</v>
      </c>
      <c r="I4714" s="62" t="n">
        <v>1038.31</v>
      </c>
      <c r="J4714" s="58" t="inlineStr">
        <is>
          <t>Online</t>
        </is>
      </c>
      <c r="K4714" s="62">
        <f>F4714*(G4714-H4714)</f>
        <v/>
      </c>
      <c r="L4714" s="62">
        <f>K4714-(F4714*I4714)</f>
        <v/>
      </c>
      <c r="M4714" s="64">
        <f>L4714/K4714</f>
        <v/>
      </c>
    </row>
    <row r="4715">
      <c r="A4715" s="58" t="inlineStr">
        <is>
          <t>RT20250502-04714</t>
        </is>
      </c>
      <c r="B4715" s="59" t="inlineStr">
        <is>
          <t>2025-05-02</t>
        </is>
      </c>
      <c r="C4715" s="60" t="inlineStr">
        <is>
          <t>Aurora Haircare S-975</t>
        </is>
      </c>
      <c r="D4715" s="58" t="inlineStr">
        <is>
          <t>Beauty</t>
        </is>
      </c>
      <c r="E4715" s="58" t="inlineStr">
        <is>
          <t>Central</t>
        </is>
      </c>
      <c r="F4715" s="61" t="n">
        <v>3</v>
      </c>
      <c r="G4715" s="62" t="n">
        <v>80.27</v>
      </c>
      <c r="H4715" s="63" t="n">
        <v>0.052</v>
      </c>
      <c r="I4715" s="62" t="n">
        <v>58.75</v>
      </c>
      <c r="J4715" s="58" t="inlineStr">
        <is>
          <t>Online</t>
        </is>
      </c>
      <c r="K4715" s="62">
        <f>F4715*(G4715-H4715)</f>
        <v/>
      </c>
      <c r="L4715" s="62">
        <f>K4715-(F4715*I4715)</f>
        <v/>
      </c>
      <c r="M4715" s="64">
        <f>L4715/K4715</f>
        <v/>
      </c>
    </row>
    <row r="4716">
      <c r="A4716" s="58" t="inlineStr">
        <is>
          <t>RT20250502-04715</t>
        </is>
      </c>
      <c r="B4716" s="59" t="inlineStr">
        <is>
          <t>2025-05-02</t>
        </is>
      </c>
      <c r="C4716" s="60" t="inlineStr">
        <is>
          <t>Aurora Kid Plus-151</t>
        </is>
      </c>
      <c r="D4716" s="58" t="inlineStr">
        <is>
          <t>Apparel</t>
        </is>
      </c>
      <c r="E4716" s="58" t="inlineStr">
        <is>
          <t>East</t>
        </is>
      </c>
      <c r="F4716" s="61" t="n">
        <v>4</v>
      </c>
      <c r="G4716" s="62" t="n">
        <v>118.24</v>
      </c>
      <c r="H4716" s="63" t="n">
        <v>0.049</v>
      </c>
      <c r="I4716" s="62" t="n">
        <v>63.86</v>
      </c>
      <c r="J4716" s="58" t="inlineStr">
        <is>
          <t>Online</t>
        </is>
      </c>
      <c r="K4716" s="62">
        <f>F4716*(G4716-H4716)</f>
        <v/>
      </c>
      <c r="L4716" s="62">
        <f>K4716-(F4716*I4716)</f>
        <v/>
      </c>
      <c r="M4716" s="64">
        <f>L4716/K4716</f>
        <v/>
      </c>
    </row>
    <row r="4717">
      <c r="A4717" s="58" t="inlineStr">
        <is>
          <t>RT20250502-04716</t>
        </is>
      </c>
      <c r="B4717" s="59" t="inlineStr">
        <is>
          <t>2025-05-02</t>
        </is>
      </c>
      <c r="C4717" s="60" t="inlineStr">
        <is>
          <t>Nimbus Decor Lite-385</t>
        </is>
      </c>
      <c r="D4717" s="58" t="inlineStr">
        <is>
          <t>Home</t>
        </is>
      </c>
      <c r="E4717" s="58" t="inlineStr">
        <is>
          <t>East</t>
        </is>
      </c>
      <c r="F4717" s="61" t="n">
        <v>1</v>
      </c>
      <c r="G4717" s="62" t="n">
        <v>625.88</v>
      </c>
      <c r="H4717" s="63" t="n">
        <v>0.035</v>
      </c>
      <c r="I4717" s="62" t="n">
        <v>387.93</v>
      </c>
      <c r="J4717" s="58" t="inlineStr">
        <is>
          <t>Store</t>
        </is>
      </c>
      <c r="K4717" s="62">
        <f>F4717*(G4717-H4717)</f>
        <v/>
      </c>
      <c r="L4717" s="62">
        <f>K4717-(F4717*I4717)</f>
        <v/>
      </c>
      <c r="M4717" s="64">
        <f>L4717/K4717</f>
        <v/>
      </c>
    </row>
    <row r="4718">
      <c r="A4718" s="58" t="inlineStr">
        <is>
          <t>RT20250502-04717</t>
        </is>
      </c>
      <c r="B4718" s="59" t="inlineStr">
        <is>
          <t>2025-05-02</t>
        </is>
      </c>
      <c r="C4718" s="60" t="inlineStr">
        <is>
          <t>Aurora Wearable Lite-162</t>
        </is>
      </c>
      <c r="D4718" s="58" t="inlineStr">
        <is>
          <t>Electronics</t>
        </is>
      </c>
      <c r="E4718" s="58" t="inlineStr">
        <is>
          <t>East</t>
        </is>
      </c>
      <c r="F4718" s="61" t="n">
        <v>2</v>
      </c>
      <c r="G4718" s="62" t="n">
        <v>1545.1</v>
      </c>
      <c r="H4718" s="63" t="n">
        <v>0.033</v>
      </c>
      <c r="I4718" s="62" t="n">
        <v>1154.83</v>
      </c>
      <c r="J4718" s="58" t="inlineStr">
        <is>
          <t>Online</t>
        </is>
      </c>
      <c r="K4718" s="62">
        <f>F4718*(G4718-H4718)</f>
        <v/>
      </c>
      <c r="L4718" s="62">
        <f>K4718-(F4718*I4718)</f>
        <v/>
      </c>
      <c r="M4718" s="64">
        <f>L4718/K4718</f>
        <v/>
      </c>
    </row>
    <row r="4719">
      <c r="A4719" s="58" t="inlineStr">
        <is>
          <t>RT20250502-04718</t>
        </is>
      </c>
      <c r="B4719" s="59" t="inlineStr">
        <is>
          <t>2025-05-02</t>
        </is>
      </c>
      <c r="C4719" s="60" t="inlineStr">
        <is>
          <t>Solace Bedding Plus-317</t>
        </is>
      </c>
      <c r="D4719" s="58" t="inlineStr">
        <is>
          <t>Home</t>
        </is>
      </c>
      <c r="E4719" s="58" t="inlineStr">
        <is>
          <t>Central</t>
        </is>
      </c>
      <c r="F4719" s="61" t="n">
        <v>3</v>
      </c>
      <c r="G4719" s="62" t="n">
        <v>529.35</v>
      </c>
      <c r="H4719" s="63" t="n">
        <v>0.01</v>
      </c>
      <c r="I4719" s="62" t="n">
        <v>386.77</v>
      </c>
      <c r="J4719" s="58" t="inlineStr">
        <is>
          <t>Online</t>
        </is>
      </c>
      <c r="K4719" s="62">
        <f>F4719*(G4719-H4719)</f>
        <v/>
      </c>
      <c r="L4719" s="62">
        <f>K4719-(F4719*I4719)</f>
        <v/>
      </c>
      <c r="M4719" s="64">
        <f>L4719/K4719</f>
        <v/>
      </c>
    </row>
    <row r="4720">
      <c r="A4720" s="58" t="inlineStr">
        <is>
          <t>RT20250502-04719</t>
        </is>
      </c>
      <c r="B4720" s="59" t="inlineStr">
        <is>
          <t>2025-05-02</t>
        </is>
      </c>
      <c r="C4720" s="60" t="inlineStr">
        <is>
          <t>Solace Bedding Plus-317</t>
        </is>
      </c>
      <c r="D4720" s="58" t="inlineStr">
        <is>
          <t>Home</t>
        </is>
      </c>
      <c r="E4720" s="58" t="inlineStr">
        <is>
          <t>West</t>
        </is>
      </c>
      <c r="F4720" s="61" t="n">
        <v>3</v>
      </c>
      <c r="G4720" s="62" t="n">
        <v>572.08</v>
      </c>
      <c r="H4720" s="63" t="n">
        <v>0.103</v>
      </c>
      <c r="I4720" s="62" t="n">
        <v>389.24</v>
      </c>
      <c r="J4720" s="58" t="inlineStr">
        <is>
          <t>Online</t>
        </is>
      </c>
      <c r="K4720" s="62">
        <f>F4720*(G4720-H4720)</f>
        <v/>
      </c>
      <c r="L4720" s="62">
        <f>K4720-(F4720*I4720)</f>
        <v/>
      </c>
      <c r="M4720" s="64">
        <f>L4720/K4720</f>
        <v/>
      </c>
    </row>
    <row r="4721">
      <c r="A4721" s="58" t="inlineStr">
        <is>
          <t>RT20250502-04720</t>
        </is>
      </c>
      <c r="B4721" s="59" t="inlineStr">
        <is>
          <t>2025-05-02</t>
        </is>
      </c>
      <c r="C4721" s="60" t="inlineStr">
        <is>
          <t>Metro Accessorie Lite-697</t>
        </is>
      </c>
      <c r="D4721" s="58" t="inlineStr">
        <is>
          <t>Apparel</t>
        </is>
      </c>
      <c r="E4721" s="58" t="inlineStr">
        <is>
          <t>East</t>
        </is>
      </c>
      <c r="F4721" s="61" t="n">
        <v>3</v>
      </c>
      <c r="G4721" s="62" t="n">
        <v>140.66</v>
      </c>
      <c r="H4721" s="63" t="n">
        <v>0.062</v>
      </c>
      <c r="I4721" s="62" t="n">
        <v>75.77</v>
      </c>
      <c r="J4721" s="58" t="inlineStr">
        <is>
          <t>Store</t>
        </is>
      </c>
      <c r="K4721" s="62">
        <f>F4721*(G4721-H4721)</f>
        <v/>
      </c>
      <c r="L4721" s="62">
        <f>K4721-(F4721*I4721)</f>
        <v/>
      </c>
      <c r="M4721" s="64">
        <f>L4721/K4721</f>
        <v/>
      </c>
    </row>
    <row r="4722">
      <c r="A4722" s="58" t="inlineStr">
        <is>
          <t>RT20250502-04721</t>
        </is>
      </c>
      <c r="B4722" s="59" t="inlineStr">
        <is>
          <t>2025-05-02</t>
        </is>
      </c>
      <c r="C4722" s="60" t="inlineStr">
        <is>
          <t>Falcon Accessorie S-195</t>
        </is>
      </c>
      <c r="D4722" s="58" t="inlineStr">
        <is>
          <t>Apparel</t>
        </is>
      </c>
      <c r="E4722" s="58" t="inlineStr">
        <is>
          <t>West</t>
        </is>
      </c>
      <c r="F4722" s="61" t="n">
        <v>3</v>
      </c>
      <c r="G4722" s="62" t="n">
        <v>71.88</v>
      </c>
      <c r="H4722" s="63" t="n">
        <v>0.091</v>
      </c>
      <c r="I4722" s="62" t="n">
        <v>41.32</v>
      </c>
      <c r="J4722" s="58" t="inlineStr">
        <is>
          <t>Online</t>
        </is>
      </c>
      <c r="K4722" s="62">
        <f>F4722*(G4722-H4722)</f>
        <v/>
      </c>
      <c r="L4722" s="62">
        <f>K4722-(F4722*I4722)</f>
        <v/>
      </c>
      <c r="M4722" s="64">
        <f>L4722/K4722</f>
        <v/>
      </c>
    </row>
    <row r="4723">
      <c r="A4723" s="58" t="inlineStr">
        <is>
          <t>RT20250502-04722</t>
        </is>
      </c>
      <c r="B4723" s="59" t="inlineStr">
        <is>
          <t>2025-05-02</t>
        </is>
      </c>
      <c r="C4723" s="60" t="inlineStr">
        <is>
          <t>Metro Accessorie Lite-697</t>
        </is>
      </c>
      <c r="D4723" s="58" t="inlineStr">
        <is>
          <t>Apparel</t>
        </is>
      </c>
      <c r="E4723" s="58" t="inlineStr">
        <is>
          <t>West</t>
        </is>
      </c>
      <c r="F4723" s="61" t="n">
        <v>2</v>
      </c>
      <c r="G4723" s="62" t="n">
        <v>150.53</v>
      </c>
      <c r="H4723" s="63" t="n">
        <v>0.02</v>
      </c>
      <c r="I4723" s="62" t="n">
        <v>75.87</v>
      </c>
      <c r="J4723" s="58" t="inlineStr">
        <is>
          <t>Store</t>
        </is>
      </c>
      <c r="K4723" s="62">
        <f>F4723*(G4723-H4723)</f>
        <v/>
      </c>
      <c r="L4723" s="62">
        <f>K4723-(F4723*I4723)</f>
        <v/>
      </c>
      <c r="M4723" s="64">
        <f>L4723/K4723</f>
        <v/>
      </c>
    </row>
    <row r="4724">
      <c r="A4724" s="58" t="inlineStr">
        <is>
          <t>RT20250502-04723</t>
        </is>
      </c>
      <c r="B4724" s="59" t="inlineStr">
        <is>
          <t>2025-05-02</t>
        </is>
      </c>
      <c r="C4724" s="60" t="inlineStr">
        <is>
          <t>Aurora Household Plus-146</t>
        </is>
      </c>
      <c r="D4724" s="58" t="inlineStr">
        <is>
          <t>Grocery</t>
        </is>
      </c>
      <c r="E4724" s="58" t="inlineStr">
        <is>
          <t>West</t>
        </is>
      </c>
      <c r="F4724" s="61" t="n">
        <v>3</v>
      </c>
      <c r="G4724" s="62" t="n">
        <v>6.38</v>
      </c>
      <c r="H4724" s="63" t="n">
        <v>0.09</v>
      </c>
      <c r="I4724" s="62" t="n">
        <v>4.47</v>
      </c>
      <c r="J4724" s="58" t="inlineStr">
        <is>
          <t>Store</t>
        </is>
      </c>
      <c r="K4724" s="62">
        <f>F4724*(G4724-H4724)</f>
        <v/>
      </c>
      <c r="L4724" s="62">
        <f>K4724-(F4724*I4724)</f>
        <v/>
      </c>
      <c r="M4724" s="64">
        <f>L4724/K4724</f>
        <v/>
      </c>
    </row>
    <row r="4725">
      <c r="A4725" s="58" t="inlineStr">
        <is>
          <t>RT20250502-04724</t>
        </is>
      </c>
      <c r="B4725" s="59" t="inlineStr">
        <is>
          <t>2025-05-02</t>
        </is>
      </c>
      <c r="C4725" s="60" t="inlineStr">
        <is>
          <t>Nimbus Furniture Pro-479</t>
        </is>
      </c>
      <c r="D4725" s="58" t="inlineStr">
        <is>
          <t>Office</t>
        </is>
      </c>
      <c r="E4725" s="58" t="inlineStr">
        <is>
          <t>East</t>
        </is>
      </c>
      <c r="F4725" s="61" t="n">
        <v>2</v>
      </c>
      <c r="G4725" s="62" t="n">
        <v>373.58</v>
      </c>
      <c r="H4725" s="63" t="n">
        <v>0.039</v>
      </c>
      <c r="I4725" s="62" t="n">
        <v>243.6</v>
      </c>
      <c r="J4725" s="58" t="inlineStr">
        <is>
          <t>Online</t>
        </is>
      </c>
      <c r="K4725" s="62">
        <f>F4725*(G4725-H4725)</f>
        <v/>
      </c>
      <c r="L4725" s="62">
        <f>K4725-(F4725*I4725)</f>
        <v/>
      </c>
      <c r="M4725" s="64">
        <f>L4725/K4725</f>
        <v/>
      </c>
    </row>
    <row r="4726">
      <c r="A4726" s="58" t="inlineStr">
        <is>
          <t>RT20250502-04725</t>
        </is>
      </c>
      <c r="B4726" s="59" t="inlineStr">
        <is>
          <t>2025-05-02</t>
        </is>
      </c>
      <c r="C4726" s="60" t="inlineStr">
        <is>
          <t>Polar Men Pro-246</t>
        </is>
      </c>
      <c r="D4726" s="58" t="inlineStr">
        <is>
          <t>Apparel</t>
        </is>
      </c>
      <c r="E4726" s="58" t="inlineStr">
        <is>
          <t>East</t>
        </is>
      </c>
      <c r="F4726" s="61" t="n">
        <v>2</v>
      </c>
      <c r="G4726" s="62" t="n">
        <v>146.06</v>
      </c>
      <c r="H4726" s="63" t="n">
        <v>0.046</v>
      </c>
      <c r="I4726" s="62" t="n">
        <v>78.98</v>
      </c>
      <c r="J4726" s="58" t="inlineStr">
        <is>
          <t>Online</t>
        </is>
      </c>
      <c r="K4726" s="62">
        <f>F4726*(G4726-H4726)</f>
        <v/>
      </c>
      <c r="L4726" s="62">
        <f>K4726-(F4726*I4726)</f>
        <v/>
      </c>
      <c r="M4726" s="64">
        <f>L4726/K4726</f>
        <v/>
      </c>
    </row>
    <row r="4727">
      <c r="A4727" s="58" t="inlineStr">
        <is>
          <t>RT20250502-04726</t>
        </is>
      </c>
      <c r="B4727" s="59" t="inlineStr">
        <is>
          <t>2025-05-02</t>
        </is>
      </c>
      <c r="C4727" s="60" t="inlineStr">
        <is>
          <t>Polar Outdoor Lite-318</t>
        </is>
      </c>
      <c r="D4727" s="58" t="inlineStr">
        <is>
          <t>Sports</t>
        </is>
      </c>
      <c r="E4727" s="58" t="inlineStr">
        <is>
          <t>Central</t>
        </is>
      </c>
      <c r="F4727" s="61" t="n">
        <v>3</v>
      </c>
      <c r="G4727" s="62" t="n">
        <v>718.13</v>
      </c>
      <c r="H4727" s="63" t="n">
        <v>0.065</v>
      </c>
      <c r="I4727" s="62" t="n">
        <v>460.77</v>
      </c>
      <c r="J4727" s="58" t="inlineStr">
        <is>
          <t>Online</t>
        </is>
      </c>
      <c r="K4727" s="62">
        <f>F4727*(G4727-H4727)</f>
        <v/>
      </c>
      <c r="L4727" s="62">
        <f>K4727-(F4727*I4727)</f>
        <v/>
      </c>
      <c r="M4727" s="64">
        <f>L4727/K4727</f>
        <v/>
      </c>
    </row>
    <row r="4728">
      <c r="A4728" s="58" t="inlineStr">
        <is>
          <t>RT20250502-04727</t>
        </is>
      </c>
      <c r="B4728" s="59" t="inlineStr">
        <is>
          <t>2025-05-02</t>
        </is>
      </c>
      <c r="C4728" s="60" t="inlineStr">
        <is>
          <t>Aurora Appliance Lite-109</t>
        </is>
      </c>
      <c r="D4728" s="58" t="inlineStr">
        <is>
          <t>Home</t>
        </is>
      </c>
      <c r="E4728" s="58" t="inlineStr">
        <is>
          <t>Central</t>
        </is>
      </c>
      <c r="F4728" s="61" t="n">
        <v>3</v>
      </c>
      <c r="G4728" s="62" t="n">
        <v>311.93</v>
      </c>
      <c r="H4728" s="63" t="n">
        <v>0.08</v>
      </c>
      <c r="I4728" s="62" t="n">
        <v>206.53</v>
      </c>
      <c r="J4728" s="58" t="inlineStr">
        <is>
          <t>Store</t>
        </is>
      </c>
      <c r="K4728" s="62">
        <f>F4728*(G4728-H4728)</f>
        <v/>
      </c>
      <c r="L4728" s="62">
        <f>K4728-(F4728*I4728)</f>
        <v/>
      </c>
      <c r="M4728" s="64">
        <f>L4728/K4728</f>
        <v/>
      </c>
    </row>
    <row r="4729">
      <c r="A4729" s="58" t="inlineStr">
        <is>
          <t>RT20250502-04728</t>
        </is>
      </c>
      <c r="B4729" s="59" t="inlineStr">
        <is>
          <t>2025-05-02</t>
        </is>
      </c>
      <c r="C4729" s="60" t="inlineStr">
        <is>
          <t>Vertex Supplie X-513</t>
        </is>
      </c>
      <c r="D4729" s="58" t="inlineStr">
        <is>
          <t>Office</t>
        </is>
      </c>
      <c r="E4729" s="58" t="inlineStr">
        <is>
          <t>West</t>
        </is>
      </c>
      <c r="F4729" s="61" t="n">
        <v>2</v>
      </c>
      <c r="G4729" s="62" t="n">
        <v>419.3</v>
      </c>
      <c r="H4729" s="63" t="n">
        <v>0.07000000000000001</v>
      </c>
      <c r="I4729" s="62" t="n">
        <v>283.36</v>
      </c>
      <c r="J4729" s="58" t="inlineStr">
        <is>
          <t>Store</t>
        </is>
      </c>
      <c r="K4729" s="62">
        <f>F4729*(G4729-H4729)</f>
        <v/>
      </c>
      <c r="L4729" s="62">
        <f>K4729-(F4729*I4729)</f>
        <v/>
      </c>
      <c r="M4729" s="64">
        <f>L4729/K4729</f>
        <v/>
      </c>
    </row>
    <row r="4730">
      <c r="A4730" s="58" t="inlineStr">
        <is>
          <t>RT20250502-04729</t>
        </is>
      </c>
      <c r="B4730" s="59" t="inlineStr">
        <is>
          <t>2025-05-02</t>
        </is>
      </c>
      <c r="C4730" s="60" t="inlineStr">
        <is>
          <t>Falcon Skincare Max-151</t>
        </is>
      </c>
      <c r="D4730" s="58" t="inlineStr">
        <is>
          <t>Beauty</t>
        </is>
      </c>
      <c r="E4730" s="58" t="inlineStr">
        <is>
          <t>West</t>
        </is>
      </c>
      <c r="F4730" s="61" t="n">
        <v>5</v>
      </c>
      <c r="G4730" s="62" t="n">
        <v>89.02</v>
      </c>
      <c r="H4730" s="63" t="n">
        <v>0.052</v>
      </c>
      <c r="I4730" s="62" t="n">
        <v>58.33</v>
      </c>
      <c r="J4730" s="58" t="inlineStr">
        <is>
          <t>Online</t>
        </is>
      </c>
      <c r="K4730" s="62">
        <f>F4730*(G4730-H4730)</f>
        <v/>
      </c>
      <c r="L4730" s="62">
        <f>K4730-(F4730*I4730)</f>
        <v/>
      </c>
      <c r="M4730" s="64">
        <f>L4730/K4730</f>
        <v/>
      </c>
    </row>
    <row r="4731">
      <c r="A4731" s="58" t="inlineStr">
        <is>
          <t>RT20250502-04730</t>
        </is>
      </c>
      <c r="B4731" s="59" t="inlineStr">
        <is>
          <t>2025-05-02</t>
        </is>
      </c>
      <c r="C4731" s="60" t="inlineStr">
        <is>
          <t>Falcon Bedding S-674</t>
        </is>
      </c>
      <c r="D4731" s="58" t="inlineStr">
        <is>
          <t>Home</t>
        </is>
      </c>
      <c r="E4731" s="58" t="inlineStr">
        <is>
          <t>South</t>
        </is>
      </c>
      <c r="F4731" s="61" t="n">
        <v>3</v>
      </c>
      <c r="G4731" s="62" t="n">
        <v>689.83</v>
      </c>
      <c r="H4731" s="63" t="n">
        <v>0.039</v>
      </c>
      <c r="I4731" s="62" t="n">
        <v>446.17</v>
      </c>
      <c r="J4731" s="58" t="inlineStr">
        <is>
          <t>Online</t>
        </is>
      </c>
      <c r="K4731" s="62">
        <f>F4731*(G4731-H4731)</f>
        <v/>
      </c>
      <c r="L4731" s="62">
        <f>K4731-(F4731*I4731)</f>
        <v/>
      </c>
      <c r="M4731" s="64">
        <f>L4731/K4731</f>
        <v/>
      </c>
    </row>
    <row r="4732">
      <c r="A4732" s="58" t="inlineStr">
        <is>
          <t>RT20250502-04731</t>
        </is>
      </c>
      <c r="B4732" s="59" t="inlineStr">
        <is>
          <t>2025-05-02</t>
        </is>
      </c>
      <c r="C4732" s="60" t="inlineStr">
        <is>
          <t>Polar Men Pro-246</t>
        </is>
      </c>
      <c r="D4732" s="58" t="inlineStr">
        <is>
          <t>Apparel</t>
        </is>
      </c>
      <c r="E4732" s="58" t="inlineStr">
        <is>
          <t>East</t>
        </is>
      </c>
      <c r="F4732" s="61" t="n">
        <v>3</v>
      </c>
      <c r="G4732" s="62" t="n">
        <v>124.41</v>
      </c>
      <c r="H4732" s="63" t="n">
        <v>0.051</v>
      </c>
      <c r="I4732" s="62" t="n">
        <v>77.43000000000001</v>
      </c>
      <c r="J4732" s="58" t="inlineStr">
        <is>
          <t>Online</t>
        </is>
      </c>
      <c r="K4732" s="62">
        <f>F4732*(G4732-H4732)</f>
        <v/>
      </c>
      <c r="L4732" s="62">
        <f>K4732-(F4732*I4732)</f>
        <v/>
      </c>
      <c r="M4732" s="64">
        <f>L4732/K4732</f>
        <v/>
      </c>
    </row>
    <row r="4733">
      <c r="A4733" s="58" t="inlineStr">
        <is>
          <t>RT20250502-04732</t>
        </is>
      </c>
      <c r="B4733" s="59" t="inlineStr">
        <is>
          <t>2025-05-02</t>
        </is>
      </c>
      <c r="C4733" s="60" t="inlineStr">
        <is>
          <t>Vertex Furniture S-652</t>
        </is>
      </c>
      <c r="D4733" s="58" t="inlineStr">
        <is>
          <t>Office</t>
        </is>
      </c>
      <c r="E4733" s="58" t="inlineStr">
        <is>
          <t>Central</t>
        </is>
      </c>
      <c r="F4733" s="61" t="n">
        <v>3</v>
      </c>
      <c r="G4733" s="62" t="n">
        <v>343.73</v>
      </c>
      <c r="H4733" s="63" t="n">
        <v>0.098</v>
      </c>
      <c r="I4733" s="62" t="n">
        <v>269.93</v>
      </c>
      <c r="J4733" s="58" t="inlineStr">
        <is>
          <t>Store</t>
        </is>
      </c>
      <c r="K4733" s="62">
        <f>F4733*(G4733-H4733)</f>
        <v/>
      </c>
      <c r="L4733" s="62">
        <f>K4733-(F4733*I4733)</f>
        <v/>
      </c>
      <c r="M4733" s="64">
        <f>L4733/K4733</f>
        <v/>
      </c>
    </row>
    <row r="4734">
      <c r="A4734" s="58" t="inlineStr">
        <is>
          <t>RT20250502-04733</t>
        </is>
      </c>
      <c r="B4734" s="59" t="inlineStr">
        <is>
          <t>2025-05-02</t>
        </is>
      </c>
      <c r="C4734" s="60" t="inlineStr">
        <is>
          <t>Vertex Supplie Pro-786</t>
        </is>
      </c>
      <c r="D4734" s="58" t="inlineStr">
        <is>
          <t>Office</t>
        </is>
      </c>
      <c r="E4734" s="58" t="inlineStr">
        <is>
          <t>East</t>
        </is>
      </c>
      <c r="F4734" s="61" t="n">
        <v>3</v>
      </c>
      <c r="G4734" s="62" t="n">
        <v>444.07</v>
      </c>
      <c r="H4734" s="63" t="n">
        <v>0.038</v>
      </c>
      <c r="I4734" s="62" t="n">
        <v>295.52</v>
      </c>
      <c r="J4734" s="58" t="inlineStr">
        <is>
          <t>Store</t>
        </is>
      </c>
      <c r="K4734" s="62">
        <f>F4734*(G4734-H4734)</f>
        <v/>
      </c>
      <c r="L4734" s="62">
        <f>K4734-(F4734*I4734)</f>
        <v/>
      </c>
      <c r="M4734" s="64">
        <f>L4734/K4734</f>
        <v/>
      </c>
    </row>
    <row r="4735">
      <c r="A4735" s="58" t="inlineStr">
        <is>
          <t>RT20250502-04734</t>
        </is>
      </c>
      <c r="B4735" s="59" t="inlineStr">
        <is>
          <t>2025-05-02</t>
        </is>
      </c>
      <c r="C4735" s="60" t="inlineStr">
        <is>
          <t>Vertex Pantry Pro-165</t>
        </is>
      </c>
      <c r="D4735" s="58" t="inlineStr">
        <is>
          <t>Grocery</t>
        </is>
      </c>
      <c r="E4735" s="58" t="inlineStr">
        <is>
          <t>Central</t>
        </is>
      </c>
      <c r="F4735" s="61" t="n">
        <v>2</v>
      </c>
      <c r="G4735" s="62" t="n">
        <v>14.8</v>
      </c>
      <c r="H4735" s="63" t="n">
        <v>0.014</v>
      </c>
      <c r="I4735" s="62" t="n">
        <v>11.57</v>
      </c>
      <c r="J4735" s="58" t="inlineStr">
        <is>
          <t>Online</t>
        </is>
      </c>
      <c r="K4735" s="62">
        <f>F4735*(G4735-H4735)</f>
        <v/>
      </c>
      <c r="L4735" s="62">
        <f>K4735-(F4735*I4735)</f>
        <v/>
      </c>
      <c r="M4735" s="64">
        <f>L4735/K4735</f>
        <v/>
      </c>
    </row>
    <row r="4736">
      <c r="A4736" s="58" t="inlineStr">
        <is>
          <t>RT20250502-04735</t>
        </is>
      </c>
      <c r="B4736" s="59" t="inlineStr">
        <is>
          <t>2025-05-02</t>
        </is>
      </c>
      <c r="C4736" s="60" t="inlineStr">
        <is>
          <t>Falcon Haircare Pro-980</t>
        </is>
      </c>
      <c r="D4736" s="58" t="inlineStr">
        <is>
          <t>Beauty</t>
        </is>
      </c>
      <c r="E4736" s="58" t="inlineStr">
        <is>
          <t>East</t>
        </is>
      </c>
      <c r="F4736" s="61" t="n">
        <v>1</v>
      </c>
      <c r="G4736" s="62" t="n">
        <v>104.73</v>
      </c>
      <c r="H4736" s="63" t="n">
        <v>0.101</v>
      </c>
      <c r="I4736" s="62" t="n">
        <v>55.63</v>
      </c>
      <c r="J4736" s="58" t="inlineStr">
        <is>
          <t>Online</t>
        </is>
      </c>
      <c r="K4736" s="62">
        <f>F4736*(G4736-H4736)</f>
        <v/>
      </c>
      <c r="L4736" s="62">
        <f>K4736-(F4736*I4736)</f>
        <v/>
      </c>
      <c r="M4736" s="64">
        <f>L4736/K4736</f>
        <v/>
      </c>
    </row>
    <row r="4737">
      <c r="A4737" s="58" t="inlineStr">
        <is>
          <t>RT20250503-04736</t>
        </is>
      </c>
      <c r="B4737" s="59" t="inlineStr">
        <is>
          <t>2025-05-03</t>
        </is>
      </c>
      <c r="C4737" s="60" t="inlineStr">
        <is>
          <t>Polar Supplie Lite-348</t>
        </is>
      </c>
      <c r="D4737" s="58" t="inlineStr">
        <is>
          <t>Office</t>
        </is>
      </c>
      <c r="E4737" s="58" t="inlineStr">
        <is>
          <t>Central</t>
        </is>
      </c>
      <c r="F4737" s="61" t="n">
        <v>1</v>
      </c>
      <c r="G4737" s="62" t="n">
        <v>359.41</v>
      </c>
      <c r="H4737" s="63" t="n">
        <v>0.134</v>
      </c>
      <c r="I4737" s="62" t="n">
        <v>302.19</v>
      </c>
      <c r="J4737" s="58" t="inlineStr">
        <is>
          <t>Online</t>
        </is>
      </c>
      <c r="K4737" s="62">
        <f>F4737*(G4737-H4737)</f>
        <v/>
      </c>
      <c r="L4737" s="62">
        <f>K4737-(F4737*I4737)</f>
        <v/>
      </c>
      <c r="M4737" s="64">
        <f>L4737/K4737</f>
        <v/>
      </c>
    </row>
    <row r="4738">
      <c r="A4738" s="58" t="inlineStr">
        <is>
          <t>RT20250503-04737</t>
        </is>
      </c>
      <c r="B4738" s="59" t="inlineStr">
        <is>
          <t>2025-05-03</t>
        </is>
      </c>
      <c r="C4738" s="60" t="inlineStr">
        <is>
          <t>Orion Kid Max-640</t>
        </is>
      </c>
      <c r="D4738" s="58" t="inlineStr">
        <is>
          <t>Apparel</t>
        </is>
      </c>
      <c r="E4738" s="58" t="inlineStr">
        <is>
          <t>South</t>
        </is>
      </c>
      <c r="F4738" s="61" t="n">
        <v>1</v>
      </c>
      <c r="G4738" s="62" t="n">
        <v>133.39</v>
      </c>
      <c r="H4738" s="63" t="n">
        <v>0.117</v>
      </c>
      <c r="I4738" s="62" t="n">
        <v>70.89</v>
      </c>
      <c r="J4738" s="58" t="inlineStr">
        <is>
          <t>Online</t>
        </is>
      </c>
      <c r="K4738" s="62">
        <f>F4738*(G4738-H4738)</f>
        <v/>
      </c>
      <c r="L4738" s="62">
        <f>K4738-(F4738*I4738)</f>
        <v/>
      </c>
      <c r="M4738" s="64">
        <f>L4738/K4738</f>
        <v/>
      </c>
    </row>
    <row r="4739">
      <c r="A4739" s="58" t="inlineStr">
        <is>
          <t>RT20250503-04738</t>
        </is>
      </c>
      <c r="B4739" s="59" t="inlineStr">
        <is>
          <t>2025-05-03</t>
        </is>
      </c>
      <c r="C4739" s="60" t="inlineStr">
        <is>
          <t>Solace Team Sport Max-548</t>
        </is>
      </c>
      <c r="D4739" s="58" t="inlineStr">
        <is>
          <t>Sports</t>
        </is>
      </c>
      <c r="E4739" s="58" t="inlineStr">
        <is>
          <t>North</t>
        </is>
      </c>
      <c r="F4739" s="61" t="n">
        <v>3</v>
      </c>
      <c r="G4739" s="62" t="n">
        <v>687.11</v>
      </c>
      <c r="H4739" s="63" t="n">
        <v>0.055</v>
      </c>
      <c r="I4739" s="62" t="n">
        <v>470.29</v>
      </c>
      <c r="J4739" s="58" t="inlineStr">
        <is>
          <t>Store</t>
        </is>
      </c>
      <c r="K4739" s="62">
        <f>F4739*(G4739-H4739)</f>
        <v/>
      </c>
      <c r="L4739" s="62">
        <f>K4739-(F4739*I4739)</f>
        <v/>
      </c>
      <c r="M4739" s="64">
        <f>L4739/K4739</f>
        <v/>
      </c>
    </row>
    <row r="4740">
      <c r="A4740" s="58" t="inlineStr">
        <is>
          <t>RT20250503-04739</t>
        </is>
      </c>
      <c r="B4740" s="59" t="inlineStr">
        <is>
          <t>2025-05-03</t>
        </is>
      </c>
      <c r="C4740" s="60" t="inlineStr">
        <is>
          <t>Solace Fitnes S-324</t>
        </is>
      </c>
      <c r="D4740" s="58" t="inlineStr">
        <is>
          <t>Sports</t>
        </is>
      </c>
      <c r="E4740" s="58" t="inlineStr">
        <is>
          <t>South</t>
        </is>
      </c>
      <c r="F4740" s="61" t="n">
        <v>1</v>
      </c>
      <c r="G4740" s="62" t="n">
        <v>805.05</v>
      </c>
      <c r="H4740" s="63" t="n">
        <v>0.05</v>
      </c>
      <c r="I4740" s="62" t="n">
        <v>539.63</v>
      </c>
      <c r="J4740" s="58" t="inlineStr">
        <is>
          <t>Online</t>
        </is>
      </c>
      <c r="K4740" s="62">
        <f>F4740*(G4740-H4740)</f>
        <v/>
      </c>
      <c r="L4740" s="62">
        <f>K4740-(F4740*I4740)</f>
        <v/>
      </c>
      <c r="M4740" s="64">
        <f>L4740/K4740</f>
        <v/>
      </c>
    </row>
    <row r="4741">
      <c r="A4741" s="58" t="inlineStr">
        <is>
          <t>RT20250503-04740</t>
        </is>
      </c>
      <c r="B4741" s="59" t="inlineStr">
        <is>
          <t>2025-05-03</t>
        </is>
      </c>
      <c r="C4741" s="60" t="inlineStr">
        <is>
          <t>Falcon Headphone Plus-789</t>
        </is>
      </c>
      <c r="D4741" s="58" t="inlineStr">
        <is>
          <t>Electronics</t>
        </is>
      </c>
      <c r="E4741" s="58" t="inlineStr">
        <is>
          <t>South</t>
        </is>
      </c>
      <c r="F4741" s="61" t="n">
        <v>1</v>
      </c>
      <c r="G4741" s="62" t="n">
        <v>1813.56</v>
      </c>
      <c r="H4741" s="63" t="n">
        <v>0.099</v>
      </c>
      <c r="I4741" s="62" t="n">
        <v>1294.8</v>
      </c>
      <c r="J4741" s="58" t="inlineStr">
        <is>
          <t>Online</t>
        </is>
      </c>
      <c r="K4741" s="62">
        <f>F4741*(G4741-H4741)</f>
        <v/>
      </c>
      <c r="L4741" s="62">
        <f>K4741-(F4741*I4741)</f>
        <v/>
      </c>
      <c r="M4741" s="64">
        <f>L4741/K4741</f>
        <v/>
      </c>
    </row>
    <row r="4742">
      <c r="A4742" s="58" t="inlineStr">
        <is>
          <t>RT20250503-04741</t>
        </is>
      </c>
      <c r="B4742" s="59" t="inlineStr">
        <is>
          <t>2025-05-03</t>
        </is>
      </c>
      <c r="C4742" s="60" t="inlineStr">
        <is>
          <t>Falcon Team Sport Lite-268</t>
        </is>
      </c>
      <c r="D4742" s="58" t="inlineStr">
        <is>
          <t>Sports</t>
        </is>
      </c>
      <c r="E4742" s="58" t="inlineStr">
        <is>
          <t>South</t>
        </is>
      </c>
      <c r="F4742" s="61" t="n">
        <v>2</v>
      </c>
      <c r="G4742" s="62" t="n">
        <v>564.16</v>
      </c>
      <c r="H4742" s="63" t="n">
        <v>0.062</v>
      </c>
      <c r="I4742" s="62" t="n">
        <v>433.06</v>
      </c>
      <c r="J4742" s="58" t="inlineStr">
        <is>
          <t>Store</t>
        </is>
      </c>
      <c r="K4742" s="62">
        <f>F4742*(G4742-H4742)</f>
        <v/>
      </c>
      <c r="L4742" s="62">
        <f>K4742-(F4742*I4742)</f>
        <v/>
      </c>
      <c r="M4742" s="64">
        <f>L4742/K4742</f>
        <v/>
      </c>
    </row>
    <row r="4743">
      <c r="A4743" s="58" t="inlineStr">
        <is>
          <t>RT20250503-04742</t>
        </is>
      </c>
      <c r="B4743" s="59" t="inlineStr">
        <is>
          <t>2025-05-03</t>
        </is>
      </c>
      <c r="C4743" s="60" t="inlineStr">
        <is>
          <t>Falcon Household Plus-172</t>
        </is>
      </c>
      <c r="D4743" s="58" t="inlineStr">
        <is>
          <t>Grocery</t>
        </is>
      </c>
      <c r="E4743" s="58" t="inlineStr">
        <is>
          <t>East</t>
        </is>
      </c>
      <c r="F4743" s="61" t="n">
        <v>6</v>
      </c>
      <c r="G4743" s="62" t="n">
        <v>23.98</v>
      </c>
      <c r="H4743" s="63" t="n">
        <v>0.08</v>
      </c>
      <c r="I4743" s="62" t="n">
        <v>16</v>
      </c>
      <c r="J4743" s="58" t="inlineStr">
        <is>
          <t>Store</t>
        </is>
      </c>
      <c r="K4743" s="62">
        <f>F4743*(G4743-H4743)</f>
        <v/>
      </c>
      <c r="L4743" s="62">
        <f>K4743-(F4743*I4743)</f>
        <v/>
      </c>
      <c r="M4743" s="64">
        <f>L4743/K4743</f>
        <v/>
      </c>
    </row>
    <row r="4744">
      <c r="A4744" s="58" t="inlineStr">
        <is>
          <t>RT20250503-04743</t>
        </is>
      </c>
      <c r="B4744" s="59" t="inlineStr">
        <is>
          <t>2025-05-03</t>
        </is>
      </c>
      <c r="C4744" s="60" t="inlineStr">
        <is>
          <t>Vertex Men X-995</t>
        </is>
      </c>
      <c r="D4744" s="58" t="inlineStr">
        <is>
          <t>Apparel</t>
        </is>
      </c>
      <c r="E4744" s="58" t="inlineStr">
        <is>
          <t>Central</t>
        </is>
      </c>
      <c r="F4744" s="61" t="n">
        <v>3</v>
      </c>
      <c r="G4744" s="62" t="n">
        <v>105.41</v>
      </c>
      <c r="H4744" s="63" t="n">
        <v>0.059</v>
      </c>
      <c r="I4744" s="62" t="n">
        <v>57.6</v>
      </c>
      <c r="J4744" s="58" t="inlineStr">
        <is>
          <t>Store</t>
        </is>
      </c>
      <c r="K4744" s="62">
        <f>F4744*(G4744-H4744)</f>
        <v/>
      </c>
      <c r="L4744" s="62">
        <f>K4744-(F4744*I4744)</f>
        <v/>
      </c>
      <c r="M4744" s="64">
        <f>L4744/K4744</f>
        <v/>
      </c>
    </row>
    <row r="4745">
      <c r="A4745" s="58" t="inlineStr">
        <is>
          <t>RT20250503-04744</t>
        </is>
      </c>
      <c r="B4745" s="59" t="inlineStr">
        <is>
          <t>2025-05-03</t>
        </is>
      </c>
      <c r="C4745" s="60" t="inlineStr">
        <is>
          <t>Polar Decor Plus-505</t>
        </is>
      </c>
      <c r="D4745" s="58" t="inlineStr">
        <is>
          <t>Home</t>
        </is>
      </c>
      <c r="E4745" s="58" t="inlineStr">
        <is>
          <t>East</t>
        </is>
      </c>
      <c r="F4745" s="61" t="n">
        <v>3</v>
      </c>
      <c r="G4745" s="62" t="n">
        <v>323.51</v>
      </c>
      <c r="H4745" s="63" t="n">
        <v>0.074</v>
      </c>
      <c r="I4745" s="62" t="n">
        <v>197</v>
      </c>
      <c r="J4745" s="58" t="inlineStr">
        <is>
          <t>Store</t>
        </is>
      </c>
      <c r="K4745" s="62">
        <f>F4745*(G4745-H4745)</f>
        <v/>
      </c>
      <c r="L4745" s="62">
        <f>K4745-(F4745*I4745)</f>
        <v/>
      </c>
      <c r="M4745" s="64">
        <f>L4745/K4745</f>
        <v/>
      </c>
    </row>
    <row r="4746">
      <c r="A4746" s="58" t="inlineStr">
        <is>
          <t>RT20250503-04745</t>
        </is>
      </c>
      <c r="B4746" s="59" t="inlineStr">
        <is>
          <t>2025-05-03</t>
        </is>
      </c>
      <c r="C4746" s="60" t="inlineStr">
        <is>
          <t>Falcon Headphone Plus-789</t>
        </is>
      </c>
      <c r="D4746" s="58" t="inlineStr">
        <is>
          <t>Electronics</t>
        </is>
      </c>
      <c r="E4746" s="58" t="inlineStr">
        <is>
          <t>Central</t>
        </is>
      </c>
      <c r="F4746" s="61" t="n">
        <v>1</v>
      </c>
      <c r="G4746" s="62" t="n">
        <v>1874.06</v>
      </c>
      <c r="H4746" s="63" t="n">
        <v>0.018</v>
      </c>
      <c r="I4746" s="62" t="n">
        <v>1285.35</v>
      </c>
      <c r="J4746" s="58" t="inlineStr">
        <is>
          <t>Store</t>
        </is>
      </c>
      <c r="K4746" s="62">
        <f>F4746*(G4746-H4746)</f>
        <v/>
      </c>
      <c r="L4746" s="62">
        <f>K4746-(F4746*I4746)</f>
        <v/>
      </c>
      <c r="M4746" s="64">
        <f>L4746/K4746</f>
        <v/>
      </c>
    </row>
    <row r="4747">
      <c r="A4747" s="58" t="inlineStr">
        <is>
          <t>RT20250503-04746</t>
        </is>
      </c>
      <c r="B4747" s="59" t="inlineStr">
        <is>
          <t>2025-05-03</t>
        </is>
      </c>
      <c r="C4747" s="60" t="inlineStr">
        <is>
          <t>Vertex Smartphone Lite-267</t>
        </is>
      </c>
      <c r="D4747" s="58" t="inlineStr">
        <is>
          <t>Electronics</t>
        </is>
      </c>
      <c r="E4747" s="58" t="inlineStr">
        <is>
          <t>Central</t>
        </is>
      </c>
      <c r="F4747" s="61" t="n">
        <v>1</v>
      </c>
      <c r="G4747" s="62" t="n">
        <v>1246.11</v>
      </c>
      <c r="H4747" s="63" t="n">
        <v>0.025</v>
      </c>
      <c r="I4747" s="62" t="n">
        <v>962</v>
      </c>
      <c r="J4747" s="58" t="inlineStr">
        <is>
          <t>Store</t>
        </is>
      </c>
      <c r="K4747" s="62">
        <f>F4747*(G4747-H4747)</f>
        <v/>
      </c>
      <c r="L4747" s="62">
        <f>K4747-(F4747*I4747)</f>
        <v/>
      </c>
      <c r="M4747" s="64">
        <f>L4747/K4747</f>
        <v/>
      </c>
    </row>
    <row r="4748">
      <c r="A4748" s="58" t="inlineStr">
        <is>
          <t>RT20250503-04747</t>
        </is>
      </c>
      <c r="B4748" s="59" t="inlineStr">
        <is>
          <t>2025-05-03</t>
        </is>
      </c>
      <c r="C4748" s="60" t="inlineStr">
        <is>
          <t>Nimbus Cycling Plus-911</t>
        </is>
      </c>
      <c r="D4748" s="58" t="inlineStr">
        <is>
          <t>Sports</t>
        </is>
      </c>
      <c r="E4748" s="58" t="inlineStr">
        <is>
          <t>East</t>
        </is>
      </c>
      <c r="F4748" s="61" t="n">
        <v>1</v>
      </c>
      <c r="G4748" s="62" t="n">
        <v>617.42</v>
      </c>
      <c r="H4748" s="63" t="n">
        <v>0.008999999999999999</v>
      </c>
      <c r="I4748" s="62" t="n">
        <v>397.18</v>
      </c>
      <c r="J4748" s="58" t="inlineStr">
        <is>
          <t>Online</t>
        </is>
      </c>
      <c r="K4748" s="62">
        <f>F4748*(G4748-H4748)</f>
        <v/>
      </c>
      <c r="L4748" s="62">
        <f>K4748-(F4748*I4748)</f>
        <v/>
      </c>
      <c r="M4748" s="64">
        <f>L4748/K4748</f>
        <v/>
      </c>
    </row>
    <row r="4749">
      <c r="A4749" s="58" t="inlineStr">
        <is>
          <t>RT20250503-04748</t>
        </is>
      </c>
      <c r="B4749" s="59" t="inlineStr">
        <is>
          <t>2025-05-03</t>
        </is>
      </c>
      <c r="C4749" s="60" t="inlineStr">
        <is>
          <t>Solace Bedding Plus-317</t>
        </is>
      </c>
      <c r="D4749" s="58" t="inlineStr">
        <is>
          <t>Home</t>
        </is>
      </c>
      <c r="E4749" s="58" t="inlineStr">
        <is>
          <t>North</t>
        </is>
      </c>
      <c r="F4749" s="61" t="n">
        <v>2</v>
      </c>
      <c r="G4749" s="62" t="n">
        <v>536.03</v>
      </c>
      <c r="H4749" s="63" t="n">
        <v>0.092</v>
      </c>
      <c r="I4749" s="62" t="n">
        <v>383</v>
      </c>
      <c r="J4749" s="58" t="inlineStr">
        <is>
          <t>Online</t>
        </is>
      </c>
      <c r="K4749" s="62">
        <f>F4749*(G4749-H4749)</f>
        <v/>
      </c>
      <c r="L4749" s="62">
        <f>K4749-(F4749*I4749)</f>
        <v/>
      </c>
      <c r="M4749" s="64">
        <f>L4749/K4749</f>
        <v/>
      </c>
    </row>
    <row r="4750">
      <c r="A4750" s="58" t="inlineStr">
        <is>
          <t>RT20250503-04749</t>
        </is>
      </c>
      <c r="B4750" s="59" t="inlineStr">
        <is>
          <t>2025-05-03</t>
        </is>
      </c>
      <c r="C4750" s="60" t="inlineStr">
        <is>
          <t>Aurora Fitnes Lite-194</t>
        </is>
      </c>
      <c r="D4750" s="58" t="inlineStr">
        <is>
          <t>Sports</t>
        </is>
      </c>
      <c r="E4750" s="58" t="inlineStr">
        <is>
          <t>Central</t>
        </is>
      </c>
      <c r="F4750" s="61" t="n">
        <v>3</v>
      </c>
      <c r="G4750" s="62" t="n">
        <v>723.8200000000001</v>
      </c>
      <c r="H4750" s="63" t="n">
        <v>0.106</v>
      </c>
      <c r="I4750" s="62" t="n">
        <v>459.15</v>
      </c>
      <c r="J4750" s="58" t="inlineStr">
        <is>
          <t>Online</t>
        </is>
      </c>
      <c r="K4750" s="62">
        <f>F4750*(G4750-H4750)</f>
        <v/>
      </c>
      <c r="L4750" s="62">
        <f>K4750-(F4750*I4750)</f>
        <v/>
      </c>
      <c r="M4750" s="64">
        <f>L4750/K4750</f>
        <v/>
      </c>
    </row>
    <row r="4751">
      <c r="A4751" s="58" t="inlineStr">
        <is>
          <t>RT20250503-04750</t>
        </is>
      </c>
      <c r="B4751" s="59" t="inlineStr">
        <is>
          <t>2025-05-03</t>
        </is>
      </c>
      <c r="C4751" s="60" t="inlineStr">
        <is>
          <t>Aurora Wearable Lite-162</t>
        </is>
      </c>
      <c r="D4751" s="58" t="inlineStr">
        <is>
          <t>Electronics</t>
        </is>
      </c>
      <c r="E4751" s="58" t="inlineStr">
        <is>
          <t>Central</t>
        </is>
      </c>
      <c r="F4751" s="61" t="n">
        <v>1</v>
      </c>
      <c r="G4751" s="62" t="n">
        <v>1443.77</v>
      </c>
      <c r="H4751" s="63" t="n">
        <v>0.054</v>
      </c>
      <c r="I4751" s="62" t="n">
        <v>1194.28</v>
      </c>
      <c r="J4751" s="58" t="inlineStr">
        <is>
          <t>Online</t>
        </is>
      </c>
      <c r="K4751" s="62">
        <f>F4751*(G4751-H4751)</f>
        <v/>
      </c>
      <c r="L4751" s="62">
        <f>K4751-(F4751*I4751)</f>
        <v/>
      </c>
      <c r="M4751" s="64">
        <f>L4751/K4751</f>
        <v/>
      </c>
    </row>
    <row r="4752">
      <c r="A4752" s="58" t="inlineStr">
        <is>
          <t>RT20250503-04751</t>
        </is>
      </c>
      <c r="B4752" s="59" t="inlineStr">
        <is>
          <t>2025-05-03</t>
        </is>
      </c>
      <c r="C4752" s="60" t="inlineStr">
        <is>
          <t>Falcon Kitchen X-130</t>
        </is>
      </c>
      <c r="D4752" s="58" t="inlineStr">
        <is>
          <t>Home</t>
        </is>
      </c>
      <c r="E4752" s="58" t="inlineStr">
        <is>
          <t>East</t>
        </is>
      </c>
      <c r="F4752" s="61" t="n">
        <v>3</v>
      </c>
      <c r="G4752" s="62" t="n">
        <v>388.4</v>
      </c>
      <c r="H4752" s="63" t="n">
        <v>0.07099999999999999</v>
      </c>
      <c r="I4752" s="62" t="n">
        <v>282.99</v>
      </c>
      <c r="J4752" s="58" t="inlineStr">
        <is>
          <t>Store</t>
        </is>
      </c>
      <c r="K4752" s="62">
        <f>F4752*(G4752-H4752)</f>
        <v/>
      </c>
      <c r="L4752" s="62">
        <f>K4752-(F4752*I4752)</f>
        <v/>
      </c>
      <c r="M4752" s="64">
        <f>L4752/K4752</f>
        <v/>
      </c>
    </row>
    <row r="4753">
      <c r="A4753" s="58" t="inlineStr">
        <is>
          <t>RT20250503-04752</t>
        </is>
      </c>
      <c r="B4753" s="59" t="inlineStr">
        <is>
          <t>2025-05-03</t>
        </is>
      </c>
      <c r="C4753" s="60" t="inlineStr">
        <is>
          <t>Nimbus Furniture Pro-479</t>
        </is>
      </c>
      <c r="D4753" s="58" t="inlineStr">
        <is>
          <t>Office</t>
        </is>
      </c>
      <c r="E4753" s="58" t="inlineStr">
        <is>
          <t>South</t>
        </is>
      </c>
      <c r="F4753" s="61" t="n">
        <v>2</v>
      </c>
      <c r="G4753" s="62" t="n">
        <v>345.39</v>
      </c>
      <c r="H4753" s="63" t="n">
        <v>0.02</v>
      </c>
      <c r="I4753" s="62" t="n">
        <v>239.33</v>
      </c>
      <c r="J4753" s="58" t="inlineStr">
        <is>
          <t>Store</t>
        </is>
      </c>
      <c r="K4753" s="62">
        <f>F4753*(G4753-H4753)</f>
        <v/>
      </c>
      <c r="L4753" s="62">
        <f>K4753-(F4753*I4753)</f>
        <v/>
      </c>
      <c r="M4753" s="64">
        <f>L4753/K4753</f>
        <v/>
      </c>
    </row>
    <row r="4754">
      <c r="A4754" s="58" t="inlineStr">
        <is>
          <t>RT20250503-04753</t>
        </is>
      </c>
      <c r="B4754" s="59" t="inlineStr">
        <is>
          <t>2025-05-03</t>
        </is>
      </c>
      <c r="C4754" s="60" t="inlineStr">
        <is>
          <t>Solace Snack S-691</t>
        </is>
      </c>
      <c r="D4754" s="58" t="inlineStr">
        <is>
          <t>Grocery</t>
        </is>
      </c>
      <c r="E4754" s="58" t="inlineStr">
        <is>
          <t>East</t>
        </is>
      </c>
      <c r="F4754" s="61" t="n">
        <v>2</v>
      </c>
      <c r="G4754" s="62" t="n">
        <v>10.16</v>
      </c>
      <c r="H4754" s="63" t="n">
        <v>0.012</v>
      </c>
      <c r="I4754" s="62" t="n">
        <v>7.03</v>
      </c>
      <c r="J4754" s="58" t="inlineStr">
        <is>
          <t>Store</t>
        </is>
      </c>
      <c r="K4754" s="62">
        <f>F4754*(G4754-H4754)</f>
        <v/>
      </c>
      <c r="L4754" s="62">
        <f>K4754-(F4754*I4754)</f>
        <v/>
      </c>
      <c r="M4754" s="64">
        <f>L4754/K4754</f>
        <v/>
      </c>
    </row>
    <row r="4755">
      <c r="A4755" s="58" t="inlineStr">
        <is>
          <t>RT20250503-04754</t>
        </is>
      </c>
      <c r="B4755" s="59" t="inlineStr">
        <is>
          <t>2025-05-03</t>
        </is>
      </c>
      <c r="C4755" s="60" t="inlineStr">
        <is>
          <t>Metro Beverage Max-490</t>
        </is>
      </c>
      <c r="D4755" s="58" t="inlineStr">
        <is>
          <t>Grocery</t>
        </is>
      </c>
      <c r="E4755" s="58" t="inlineStr">
        <is>
          <t>North</t>
        </is>
      </c>
      <c r="F4755" s="61" t="n">
        <v>8</v>
      </c>
      <c r="G4755" s="62" t="n">
        <v>10.83</v>
      </c>
      <c r="H4755" s="63" t="n">
        <v>0.024</v>
      </c>
      <c r="I4755" s="62" t="n">
        <v>8.23</v>
      </c>
      <c r="J4755" s="58" t="inlineStr">
        <is>
          <t>Online</t>
        </is>
      </c>
      <c r="K4755" s="62">
        <f>F4755*(G4755-H4755)</f>
        <v/>
      </c>
      <c r="L4755" s="62">
        <f>K4755-(F4755*I4755)</f>
        <v/>
      </c>
      <c r="M4755" s="64">
        <f>L4755/K4755</f>
        <v/>
      </c>
    </row>
    <row r="4756">
      <c r="A4756" s="58" t="inlineStr">
        <is>
          <t>RT20250503-04755</t>
        </is>
      </c>
      <c r="B4756" s="59" t="inlineStr">
        <is>
          <t>2025-05-03</t>
        </is>
      </c>
      <c r="C4756" s="60" t="inlineStr">
        <is>
          <t>Metro Accessorie Lite-697</t>
        </is>
      </c>
      <c r="D4756" s="58" t="inlineStr">
        <is>
          <t>Apparel</t>
        </is>
      </c>
      <c r="E4756" s="58" t="inlineStr">
        <is>
          <t>South</t>
        </is>
      </c>
      <c r="F4756" s="61" t="n">
        <v>2</v>
      </c>
      <c r="G4756" s="62" t="n">
        <v>147.04</v>
      </c>
      <c r="H4756" s="63" t="n">
        <v>0.127</v>
      </c>
      <c r="I4756" s="62" t="n">
        <v>77.15000000000001</v>
      </c>
      <c r="J4756" s="58" t="inlineStr">
        <is>
          <t>Store</t>
        </is>
      </c>
      <c r="K4756" s="62">
        <f>F4756*(G4756-H4756)</f>
        <v/>
      </c>
      <c r="L4756" s="62">
        <f>K4756-(F4756*I4756)</f>
        <v/>
      </c>
      <c r="M4756" s="64">
        <f>L4756/K4756</f>
        <v/>
      </c>
    </row>
    <row r="4757">
      <c r="A4757" s="58" t="inlineStr">
        <is>
          <t>RT20250503-04756</t>
        </is>
      </c>
      <c r="B4757" s="59" t="inlineStr">
        <is>
          <t>2025-05-03</t>
        </is>
      </c>
      <c r="C4757" s="60" t="inlineStr">
        <is>
          <t>Solace Kitchen X-919</t>
        </is>
      </c>
      <c r="D4757" s="58" t="inlineStr">
        <is>
          <t>Home</t>
        </is>
      </c>
      <c r="E4757" s="58" t="inlineStr">
        <is>
          <t>East</t>
        </is>
      </c>
      <c r="F4757" s="61" t="n">
        <v>1</v>
      </c>
      <c r="G4757" s="62" t="n">
        <v>379.29</v>
      </c>
      <c r="H4757" s="63" t="n">
        <v>0.055</v>
      </c>
      <c r="I4757" s="62" t="n">
        <v>263.36</v>
      </c>
      <c r="J4757" s="58" t="inlineStr">
        <is>
          <t>Online</t>
        </is>
      </c>
      <c r="K4757" s="62">
        <f>F4757*(G4757-H4757)</f>
        <v/>
      </c>
      <c r="L4757" s="62">
        <f>K4757-(F4757*I4757)</f>
        <v/>
      </c>
      <c r="M4757" s="64">
        <f>L4757/K4757</f>
        <v/>
      </c>
    </row>
    <row r="4758">
      <c r="A4758" s="58" t="inlineStr">
        <is>
          <t>RT20250503-04757</t>
        </is>
      </c>
      <c r="B4758" s="59" t="inlineStr">
        <is>
          <t>2025-05-03</t>
        </is>
      </c>
      <c r="C4758" s="60" t="inlineStr">
        <is>
          <t>Polar Women Max-927</t>
        </is>
      </c>
      <c r="D4758" s="58" t="inlineStr">
        <is>
          <t>Apparel</t>
        </is>
      </c>
      <c r="E4758" s="58" t="inlineStr">
        <is>
          <t>East</t>
        </is>
      </c>
      <c r="F4758" s="61" t="n">
        <v>3</v>
      </c>
      <c r="G4758" s="62" t="n">
        <v>124.07</v>
      </c>
      <c r="H4758" s="63" t="n">
        <v>0.048</v>
      </c>
      <c r="I4758" s="62" t="n">
        <v>67.42</v>
      </c>
      <c r="J4758" s="58" t="inlineStr">
        <is>
          <t>Store</t>
        </is>
      </c>
      <c r="K4758" s="62">
        <f>F4758*(G4758-H4758)</f>
        <v/>
      </c>
      <c r="L4758" s="62">
        <f>K4758-(F4758*I4758)</f>
        <v/>
      </c>
      <c r="M4758" s="64">
        <f>L4758/K4758</f>
        <v/>
      </c>
    </row>
    <row r="4759">
      <c r="A4759" s="58" t="inlineStr">
        <is>
          <t>RT20250503-04758</t>
        </is>
      </c>
      <c r="B4759" s="59" t="inlineStr">
        <is>
          <t>2025-05-03</t>
        </is>
      </c>
      <c r="C4759" s="60" t="inlineStr">
        <is>
          <t>Aurora Skincare Max-798</t>
        </is>
      </c>
      <c r="D4759" s="58" t="inlineStr">
        <is>
          <t>Beauty</t>
        </is>
      </c>
      <c r="E4759" s="58" t="inlineStr">
        <is>
          <t>West</t>
        </is>
      </c>
      <c r="F4759" s="61" t="n">
        <v>3</v>
      </c>
      <c r="G4759" s="62" t="n">
        <v>103.55</v>
      </c>
      <c r="H4759" s="63" t="n">
        <v>0.017</v>
      </c>
      <c r="I4759" s="62" t="n">
        <v>70.44</v>
      </c>
      <c r="J4759" s="58" t="inlineStr">
        <is>
          <t>Online</t>
        </is>
      </c>
      <c r="K4759" s="62">
        <f>F4759*(G4759-H4759)</f>
        <v/>
      </c>
      <c r="L4759" s="62">
        <f>K4759-(F4759*I4759)</f>
        <v/>
      </c>
      <c r="M4759" s="64">
        <f>L4759/K4759</f>
        <v/>
      </c>
    </row>
    <row r="4760">
      <c r="A4760" s="58" t="inlineStr">
        <is>
          <t>RT20250503-04759</t>
        </is>
      </c>
      <c r="B4760" s="59" t="inlineStr">
        <is>
          <t>2025-05-03</t>
        </is>
      </c>
      <c r="C4760" s="60" t="inlineStr">
        <is>
          <t>Solace Makeup Pro-214</t>
        </is>
      </c>
      <c r="D4760" s="58" t="inlineStr">
        <is>
          <t>Beauty</t>
        </is>
      </c>
      <c r="E4760" s="58" t="inlineStr">
        <is>
          <t>Central</t>
        </is>
      </c>
      <c r="F4760" s="61" t="n">
        <v>1</v>
      </c>
      <c r="G4760" s="62" t="n">
        <v>111.22</v>
      </c>
      <c r="H4760" s="63" t="n">
        <v>0.081</v>
      </c>
      <c r="I4760" s="62" t="n">
        <v>67.94</v>
      </c>
      <c r="J4760" s="58" t="inlineStr">
        <is>
          <t>Online</t>
        </is>
      </c>
      <c r="K4760" s="62">
        <f>F4760*(G4760-H4760)</f>
        <v/>
      </c>
      <c r="L4760" s="62">
        <f>K4760-(F4760*I4760)</f>
        <v/>
      </c>
      <c r="M4760" s="64">
        <f>L4760/K4760</f>
        <v/>
      </c>
    </row>
    <row r="4761">
      <c r="A4761" s="58" t="inlineStr">
        <is>
          <t>RT20250503-04760</t>
        </is>
      </c>
      <c r="B4761" s="59" t="inlineStr">
        <is>
          <t>2025-05-03</t>
        </is>
      </c>
      <c r="C4761" s="60" t="inlineStr">
        <is>
          <t>Falcon Kitchen X-130</t>
        </is>
      </c>
      <c r="D4761" s="58" t="inlineStr">
        <is>
          <t>Home</t>
        </is>
      </c>
      <c r="E4761" s="58" t="inlineStr">
        <is>
          <t>East</t>
        </is>
      </c>
      <c r="F4761" s="61" t="n">
        <v>3</v>
      </c>
      <c r="G4761" s="62" t="n">
        <v>462.23</v>
      </c>
      <c r="H4761" s="63" t="n">
        <v>0.059</v>
      </c>
      <c r="I4761" s="62" t="n">
        <v>288.27</v>
      </c>
      <c r="J4761" s="58" t="inlineStr">
        <is>
          <t>Online</t>
        </is>
      </c>
      <c r="K4761" s="62">
        <f>F4761*(G4761-H4761)</f>
        <v/>
      </c>
      <c r="L4761" s="62">
        <f>K4761-(F4761*I4761)</f>
        <v/>
      </c>
      <c r="M4761" s="64">
        <f>L4761/K4761</f>
        <v/>
      </c>
    </row>
    <row r="4762">
      <c r="A4762" s="58" t="inlineStr">
        <is>
          <t>RT20250503-04761</t>
        </is>
      </c>
      <c r="B4762" s="59" t="inlineStr">
        <is>
          <t>2025-05-03</t>
        </is>
      </c>
      <c r="C4762" s="60" t="inlineStr">
        <is>
          <t>Polar Cycling S-223</t>
        </is>
      </c>
      <c r="D4762" s="58" t="inlineStr">
        <is>
          <t>Sports</t>
        </is>
      </c>
      <c r="E4762" s="58" t="inlineStr">
        <is>
          <t>West</t>
        </is>
      </c>
      <c r="F4762" s="61" t="n">
        <v>3</v>
      </c>
      <c r="G4762" s="62" t="n">
        <v>887.0599999999999</v>
      </c>
      <c r="H4762" s="63" t="n">
        <v>0.048</v>
      </c>
      <c r="I4762" s="62" t="n">
        <v>640.61</v>
      </c>
      <c r="J4762" s="58" t="inlineStr">
        <is>
          <t>Online</t>
        </is>
      </c>
      <c r="K4762" s="62">
        <f>F4762*(G4762-H4762)</f>
        <v/>
      </c>
      <c r="L4762" s="62">
        <f>K4762-(F4762*I4762)</f>
        <v/>
      </c>
      <c r="M4762" s="64">
        <f>L4762/K4762</f>
        <v/>
      </c>
    </row>
    <row r="4763">
      <c r="A4763" s="58" t="inlineStr">
        <is>
          <t>RT20250503-04762</t>
        </is>
      </c>
      <c r="B4763" s="59" t="inlineStr">
        <is>
          <t>2025-05-03</t>
        </is>
      </c>
      <c r="C4763" s="60" t="inlineStr">
        <is>
          <t>Orion Fragrance Lite-785</t>
        </is>
      </c>
      <c r="D4763" s="58" t="inlineStr">
        <is>
          <t>Beauty</t>
        </is>
      </c>
      <c r="E4763" s="58" t="inlineStr">
        <is>
          <t>Central</t>
        </is>
      </c>
      <c r="F4763" s="61" t="n">
        <v>5</v>
      </c>
      <c r="G4763" s="62" t="n">
        <v>40.14</v>
      </c>
      <c r="H4763" s="63" t="n">
        <v>0.081</v>
      </c>
      <c r="I4763" s="62" t="n">
        <v>27.69</v>
      </c>
      <c r="J4763" s="58" t="inlineStr">
        <is>
          <t>Online</t>
        </is>
      </c>
      <c r="K4763" s="62">
        <f>F4763*(G4763-H4763)</f>
        <v/>
      </c>
      <c r="L4763" s="62">
        <f>K4763-(F4763*I4763)</f>
        <v/>
      </c>
      <c r="M4763" s="64">
        <f>L4763/K4763</f>
        <v/>
      </c>
    </row>
    <row r="4764">
      <c r="A4764" s="58" t="inlineStr">
        <is>
          <t>RT20250503-04763</t>
        </is>
      </c>
      <c r="B4764" s="59" t="inlineStr">
        <is>
          <t>2025-05-03</t>
        </is>
      </c>
      <c r="C4764" s="60" t="inlineStr">
        <is>
          <t>Solace Smartphone Lite-533</t>
        </is>
      </c>
      <c r="D4764" s="58" t="inlineStr">
        <is>
          <t>Electronics</t>
        </is>
      </c>
      <c r="E4764" s="58" t="inlineStr">
        <is>
          <t>East</t>
        </is>
      </c>
      <c r="F4764" s="61" t="n">
        <v>2</v>
      </c>
      <c r="G4764" s="62" t="n">
        <v>1058.33</v>
      </c>
      <c r="H4764" s="63" t="n">
        <v>0.076</v>
      </c>
      <c r="I4764" s="62" t="n">
        <v>944.92</v>
      </c>
      <c r="J4764" s="58" t="inlineStr">
        <is>
          <t>Online</t>
        </is>
      </c>
      <c r="K4764" s="62">
        <f>F4764*(G4764-H4764)</f>
        <v/>
      </c>
      <c r="L4764" s="62">
        <f>K4764-(F4764*I4764)</f>
        <v/>
      </c>
      <c r="M4764" s="64">
        <f>L4764/K4764</f>
        <v/>
      </c>
    </row>
    <row r="4765">
      <c r="A4765" s="58" t="inlineStr">
        <is>
          <t>RT20250503-04764</t>
        </is>
      </c>
      <c r="B4765" s="59" t="inlineStr">
        <is>
          <t>2025-05-03</t>
        </is>
      </c>
      <c r="C4765" s="60" t="inlineStr">
        <is>
          <t>Polar Beverage S-258</t>
        </is>
      </c>
      <c r="D4765" s="58" t="inlineStr">
        <is>
          <t>Grocery</t>
        </is>
      </c>
      <c r="E4765" s="58" t="inlineStr">
        <is>
          <t>Central</t>
        </is>
      </c>
      <c r="F4765" s="61" t="n">
        <v>3</v>
      </c>
      <c r="G4765" s="62" t="n">
        <v>13.47</v>
      </c>
      <c r="H4765" s="63" t="n">
        <v>0.08699999999999999</v>
      </c>
      <c r="I4765" s="62" t="n">
        <v>9.720000000000001</v>
      </c>
      <c r="J4765" s="58" t="inlineStr">
        <is>
          <t>Online</t>
        </is>
      </c>
      <c r="K4765" s="62">
        <f>F4765*(G4765-H4765)</f>
        <v/>
      </c>
      <c r="L4765" s="62">
        <f>K4765-(F4765*I4765)</f>
        <v/>
      </c>
      <c r="M4765" s="64">
        <f>L4765/K4765</f>
        <v/>
      </c>
    </row>
    <row r="4766">
      <c r="A4766" s="58" t="inlineStr">
        <is>
          <t>RT20250503-04765</t>
        </is>
      </c>
      <c r="B4766" s="59" t="inlineStr">
        <is>
          <t>2025-05-03</t>
        </is>
      </c>
      <c r="C4766" s="60" t="inlineStr">
        <is>
          <t>Orion Kitchen Pro-568</t>
        </is>
      </c>
      <c r="D4766" s="58" t="inlineStr">
        <is>
          <t>Home</t>
        </is>
      </c>
      <c r="E4766" s="58" t="inlineStr">
        <is>
          <t>North</t>
        </is>
      </c>
      <c r="F4766" s="61" t="n">
        <v>2</v>
      </c>
      <c r="G4766" s="62" t="n">
        <v>470.03</v>
      </c>
      <c r="H4766" s="63" t="n">
        <v>0.104</v>
      </c>
      <c r="I4766" s="62" t="n">
        <v>310.73</v>
      </c>
      <c r="J4766" s="58" t="inlineStr">
        <is>
          <t>Online</t>
        </is>
      </c>
      <c r="K4766" s="62">
        <f>F4766*(G4766-H4766)</f>
        <v/>
      </c>
      <c r="L4766" s="62">
        <f>K4766-(F4766*I4766)</f>
        <v/>
      </c>
      <c r="M4766" s="64">
        <f>L4766/K4766</f>
        <v/>
      </c>
    </row>
    <row r="4767">
      <c r="A4767" s="58" t="inlineStr">
        <is>
          <t>RT20250503-04766</t>
        </is>
      </c>
      <c r="B4767" s="59" t="inlineStr">
        <is>
          <t>2025-05-03</t>
        </is>
      </c>
      <c r="C4767" s="60" t="inlineStr">
        <is>
          <t>Aurora Outdoor Pro-467</t>
        </is>
      </c>
      <c r="D4767" s="58" t="inlineStr">
        <is>
          <t>Sports</t>
        </is>
      </c>
      <c r="E4767" s="58" t="inlineStr">
        <is>
          <t>Central</t>
        </is>
      </c>
      <c r="F4767" s="61" t="n">
        <v>3</v>
      </c>
      <c r="G4767" s="62" t="n">
        <v>303.19</v>
      </c>
      <c r="H4767" s="63" t="n">
        <v>0.089</v>
      </c>
      <c r="I4767" s="62" t="n">
        <v>191.74</v>
      </c>
      <c r="J4767" s="58" t="inlineStr">
        <is>
          <t>Store</t>
        </is>
      </c>
      <c r="K4767" s="62">
        <f>F4767*(G4767-H4767)</f>
        <v/>
      </c>
      <c r="L4767" s="62">
        <f>K4767-(F4767*I4767)</f>
        <v/>
      </c>
      <c r="M4767" s="64">
        <f>L4767/K4767</f>
        <v/>
      </c>
    </row>
    <row r="4768">
      <c r="A4768" s="58" t="inlineStr">
        <is>
          <t>RT20250503-04767</t>
        </is>
      </c>
      <c r="B4768" s="59" t="inlineStr">
        <is>
          <t>2025-05-03</t>
        </is>
      </c>
      <c r="C4768" s="60" t="inlineStr">
        <is>
          <t>Solace Bedding Plus-317</t>
        </is>
      </c>
      <c r="D4768" s="58" t="inlineStr">
        <is>
          <t>Home</t>
        </is>
      </c>
      <c r="E4768" s="58" t="inlineStr">
        <is>
          <t>East</t>
        </is>
      </c>
      <c r="F4768" s="61" t="n">
        <v>1</v>
      </c>
      <c r="G4768" s="62" t="n">
        <v>479.05</v>
      </c>
      <c r="H4768" s="63" t="n">
        <v>0.073</v>
      </c>
      <c r="I4768" s="62" t="n">
        <v>387.65</v>
      </c>
      <c r="J4768" s="58" t="inlineStr">
        <is>
          <t>Online</t>
        </is>
      </c>
      <c r="K4768" s="62">
        <f>F4768*(G4768-H4768)</f>
        <v/>
      </c>
      <c r="L4768" s="62">
        <f>K4768-(F4768*I4768)</f>
        <v/>
      </c>
      <c r="M4768" s="64">
        <f>L4768/K4768</f>
        <v/>
      </c>
    </row>
    <row r="4769">
      <c r="A4769" s="58" t="inlineStr">
        <is>
          <t>RT20250503-04768</t>
        </is>
      </c>
      <c r="B4769" s="59" t="inlineStr">
        <is>
          <t>2025-05-03</t>
        </is>
      </c>
      <c r="C4769" s="60" t="inlineStr">
        <is>
          <t>Solace Laptop S-367</t>
        </is>
      </c>
      <c r="D4769" s="58" t="inlineStr">
        <is>
          <t>Electronics</t>
        </is>
      </c>
      <c r="E4769" s="58" t="inlineStr">
        <is>
          <t>South</t>
        </is>
      </c>
      <c r="F4769" s="61" t="n">
        <v>2</v>
      </c>
      <c r="G4769" s="62" t="n">
        <v>2042.52</v>
      </c>
      <c r="H4769" s="63" t="n">
        <v>0.089</v>
      </c>
      <c r="I4769" s="62" t="n">
        <v>1544.48</v>
      </c>
      <c r="J4769" s="58" t="inlineStr">
        <is>
          <t>Online</t>
        </is>
      </c>
      <c r="K4769" s="62">
        <f>F4769*(G4769-H4769)</f>
        <v/>
      </c>
      <c r="L4769" s="62">
        <f>K4769-(F4769*I4769)</f>
        <v/>
      </c>
      <c r="M4769" s="64">
        <f>L4769/K4769</f>
        <v/>
      </c>
    </row>
    <row r="4770">
      <c r="A4770" s="58" t="inlineStr">
        <is>
          <t>RT20250503-04769</t>
        </is>
      </c>
      <c r="B4770" s="59" t="inlineStr">
        <is>
          <t>2025-05-03</t>
        </is>
      </c>
      <c r="C4770" s="60" t="inlineStr">
        <is>
          <t>Polar Beverage S-258</t>
        </is>
      </c>
      <c r="D4770" s="58" t="inlineStr">
        <is>
          <t>Grocery</t>
        </is>
      </c>
      <c r="E4770" s="58" t="inlineStr">
        <is>
          <t>East</t>
        </is>
      </c>
      <c r="F4770" s="61" t="n">
        <v>5</v>
      </c>
      <c r="G4770" s="62" t="n">
        <v>13.41</v>
      </c>
      <c r="H4770" s="63" t="n">
        <v>0.065</v>
      </c>
      <c r="I4770" s="62" t="n">
        <v>9.76</v>
      </c>
      <c r="J4770" s="58" t="inlineStr">
        <is>
          <t>Online</t>
        </is>
      </c>
      <c r="K4770" s="62">
        <f>F4770*(G4770-H4770)</f>
        <v/>
      </c>
      <c r="L4770" s="62">
        <f>K4770-(F4770*I4770)</f>
        <v/>
      </c>
      <c r="M4770" s="64">
        <f>L4770/K4770</f>
        <v/>
      </c>
    </row>
    <row r="4771">
      <c r="A4771" s="58" t="inlineStr">
        <is>
          <t>RT20250503-04770</t>
        </is>
      </c>
      <c r="B4771" s="59" t="inlineStr">
        <is>
          <t>2025-05-03</t>
        </is>
      </c>
      <c r="C4771" s="60" t="inlineStr">
        <is>
          <t>Falcon Headphone Plus-789</t>
        </is>
      </c>
      <c r="D4771" s="58" t="inlineStr">
        <is>
          <t>Electronics</t>
        </is>
      </c>
      <c r="E4771" s="58" t="inlineStr">
        <is>
          <t>East</t>
        </is>
      </c>
      <c r="F4771" s="61" t="n">
        <v>2</v>
      </c>
      <c r="G4771" s="62" t="n">
        <v>1603.26</v>
      </c>
      <c r="H4771" s="63" t="n">
        <v>0.055</v>
      </c>
      <c r="I4771" s="62" t="n">
        <v>1287.13</v>
      </c>
      <c r="J4771" s="58" t="inlineStr">
        <is>
          <t>Store</t>
        </is>
      </c>
      <c r="K4771" s="62">
        <f>F4771*(G4771-H4771)</f>
        <v/>
      </c>
      <c r="L4771" s="62">
        <f>K4771-(F4771*I4771)</f>
        <v/>
      </c>
      <c r="M4771" s="64">
        <f>L4771/K4771</f>
        <v/>
      </c>
    </row>
    <row r="4772">
      <c r="A4772" s="58" t="inlineStr">
        <is>
          <t>RT20250503-04771</t>
        </is>
      </c>
      <c r="B4772" s="59" t="inlineStr">
        <is>
          <t>2025-05-03</t>
        </is>
      </c>
      <c r="C4772" s="60" t="inlineStr">
        <is>
          <t>Polar Decor X-935</t>
        </is>
      </c>
      <c r="D4772" s="58" t="inlineStr">
        <is>
          <t>Home</t>
        </is>
      </c>
      <c r="E4772" s="58" t="inlineStr">
        <is>
          <t>Central</t>
        </is>
      </c>
      <c r="F4772" s="61" t="n">
        <v>1</v>
      </c>
      <c r="G4772" s="62" t="n">
        <v>316.4</v>
      </c>
      <c r="H4772" s="63" t="n">
        <v>0.09</v>
      </c>
      <c r="I4772" s="62" t="n">
        <v>195.62</v>
      </c>
      <c r="J4772" s="58" t="inlineStr">
        <is>
          <t>Store</t>
        </is>
      </c>
      <c r="K4772" s="62">
        <f>F4772*(G4772-H4772)</f>
        <v/>
      </c>
      <c r="L4772" s="62">
        <f>K4772-(F4772*I4772)</f>
        <v/>
      </c>
      <c r="M4772" s="64">
        <f>L4772/K4772</f>
        <v/>
      </c>
    </row>
    <row r="4773">
      <c r="A4773" s="58" t="inlineStr">
        <is>
          <t>RT20250503-04772</t>
        </is>
      </c>
      <c r="B4773" s="59" t="inlineStr">
        <is>
          <t>2025-05-03</t>
        </is>
      </c>
      <c r="C4773" s="60" t="inlineStr">
        <is>
          <t>Falcon Household Pro-865</t>
        </is>
      </c>
      <c r="D4773" s="58" t="inlineStr">
        <is>
          <t>Grocery</t>
        </is>
      </c>
      <c r="E4773" s="58" t="inlineStr">
        <is>
          <t>West</t>
        </is>
      </c>
      <c r="F4773" s="61" t="n">
        <v>7</v>
      </c>
      <c r="G4773" s="62" t="n">
        <v>11.31</v>
      </c>
      <c r="H4773" s="63" t="n">
        <v>0.09</v>
      </c>
      <c r="I4773" s="62" t="n">
        <v>7.78</v>
      </c>
      <c r="J4773" s="58" t="inlineStr">
        <is>
          <t>Store</t>
        </is>
      </c>
      <c r="K4773" s="62">
        <f>F4773*(G4773-H4773)</f>
        <v/>
      </c>
      <c r="L4773" s="62">
        <f>K4773-(F4773*I4773)</f>
        <v/>
      </c>
      <c r="M4773" s="64">
        <f>L4773/K4773</f>
        <v/>
      </c>
    </row>
    <row r="4774">
      <c r="A4774" s="58" t="inlineStr">
        <is>
          <t>RT20250503-04773</t>
        </is>
      </c>
      <c r="B4774" s="59" t="inlineStr">
        <is>
          <t>2025-05-03</t>
        </is>
      </c>
      <c r="C4774" s="60" t="inlineStr">
        <is>
          <t>Polar Wearable X-119</t>
        </is>
      </c>
      <c r="D4774" s="58" t="inlineStr">
        <is>
          <t>Electronics</t>
        </is>
      </c>
      <c r="E4774" s="58" t="inlineStr">
        <is>
          <t>South</t>
        </is>
      </c>
      <c r="F4774" s="61" t="n">
        <v>2</v>
      </c>
      <c r="G4774" s="62" t="n">
        <v>1489.62</v>
      </c>
      <c r="H4774" s="63" t="n">
        <v>0.036</v>
      </c>
      <c r="I4774" s="62" t="n">
        <v>1325.76</v>
      </c>
      <c r="J4774" s="58" t="inlineStr">
        <is>
          <t>Store</t>
        </is>
      </c>
      <c r="K4774" s="62">
        <f>F4774*(G4774-H4774)</f>
        <v/>
      </c>
      <c r="L4774" s="62">
        <f>K4774-(F4774*I4774)</f>
        <v/>
      </c>
      <c r="M4774" s="64">
        <f>L4774/K4774</f>
        <v/>
      </c>
    </row>
    <row r="4775">
      <c r="A4775" s="58" t="inlineStr">
        <is>
          <t>RT20250503-04774</t>
        </is>
      </c>
      <c r="B4775" s="59" t="inlineStr">
        <is>
          <t>2025-05-03</t>
        </is>
      </c>
      <c r="C4775" s="60" t="inlineStr">
        <is>
          <t>Orion Supplie S-612</t>
        </is>
      </c>
      <c r="D4775" s="58" t="inlineStr">
        <is>
          <t>Office</t>
        </is>
      </c>
      <c r="E4775" s="58" t="inlineStr">
        <is>
          <t>Central</t>
        </is>
      </c>
      <c r="F4775" s="61" t="n">
        <v>3</v>
      </c>
      <c r="G4775" s="62" t="n">
        <v>441.42</v>
      </c>
      <c r="H4775" s="63" t="n">
        <v>0.056</v>
      </c>
      <c r="I4775" s="62" t="n">
        <v>341.8</v>
      </c>
      <c r="J4775" s="58" t="inlineStr">
        <is>
          <t>Online</t>
        </is>
      </c>
      <c r="K4775" s="62">
        <f>F4775*(G4775-H4775)</f>
        <v/>
      </c>
      <c r="L4775" s="62">
        <f>K4775-(F4775*I4775)</f>
        <v/>
      </c>
      <c r="M4775" s="64">
        <f>L4775/K4775</f>
        <v/>
      </c>
    </row>
    <row r="4776">
      <c r="A4776" s="58" t="inlineStr">
        <is>
          <t>RT20250503-04775</t>
        </is>
      </c>
      <c r="B4776" s="59" t="inlineStr">
        <is>
          <t>2025-05-03</t>
        </is>
      </c>
      <c r="C4776" s="60" t="inlineStr">
        <is>
          <t>Orion Supplie S-612</t>
        </is>
      </c>
      <c r="D4776" s="58" t="inlineStr">
        <is>
          <t>Office</t>
        </is>
      </c>
      <c r="E4776" s="58" t="inlineStr">
        <is>
          <t>East</t>
        </is>
      </c>
      <c r="F4776" s="61" t="n">
        <v>1</v>
      </c>
      <c r="G4776" s="62" t="n">
        <v>476.85</v>
      </c>
      <c r="H4776" s="63" t="n">
        <v>0.102</v>
      </c>
      <c r="I4776" s="62" t="n">
        <v>335.66</v>
      </c>
      <c r="J4776" s="58" t="inlineStr">
        <is>
          <t>Store</t>
        </is>
      </c>
      <c r="K4776" s="62">
        <f>F4776*(G4776-H4776)</f>
        <v/>
      </c>
      <c r="L4776" s="62">
        <f>K4776-(F4776*I4776)</f>
        <v/>
      </c>
      <c r="M4776" s="64">
        <f>L4776/K4776</f>
        <v/>
      </c>
    </row>
    <row r="4777">
      <c r="A4777" s="58" t="inlineStr">
        <is>
          <t>RT20250503-04776</t>
        </is>
      </c>
      <c r="B4777" s="59" t="inlineStr">
        <is>
          <t>2025-05-03</t>
        </is>
      </c>
      <c r="C4777" s="60" t="inlineStr">
        <is>
          <t>Polar Decor Plus-505</t>
        </is>
      </c>
      <c r="D4777" s="58" t="inlineStr">
        <is>
          <t>Home</t>
        </is>
      </c>
      <c r="E4777" s="58" t="inlineStr">
        <is>
          <t>Central</t>
        </is>
      </c>
      <c r="F4777" s="61" t="n">
        <v>1</v>
      </c>
      <c r="G4777" s="62" t="n">
        <v>251.02</v>
      </c>
      <c r="H4777" s="63" t="n">
        <v>0.04</v>
      </c>
      <c r="I4777" s="62" t="n">
        <v>198.25</v>
      </c>
      <c r="J4777" s="58" t="inlineStr">
        <is>
          <t>Online</t>
        </is>
      </c>
      <c r="K4777" s="62">
        <f>F4777*(G4777-H4777)</f>
        <v/>
      </c>
      <c r="L4777" s="62">
        <f>K4777-(F4777*I4777)</f>
        <v/>
      </c>
      <c r="M4777" s="64">
        <f>L4777/K4777</f>
        <v/>
      </c>
    </row>
    <row r="4778">
      <c r="A4778" s="58" t="inlineStr">
        <is>
          <t>RT20250503-04777</t>
        </is>
      </c>
      <c r="B4778" s="59" t="inlineStr">
        <is>
          <t>2025-05-03</t>
        </is>
      </c>
      <c r="C4778" s="60" t="inlineStr">
        <is>
          <t>Falcon Headphone Plus-789</t>
        </is>
      </c>
      <c r="D4778" s="58" t="inlineStr">
        <is>
          <t>Electronics</t>
        </is>
      </c>
      <c r="E4778" s="58" t="inlineStr">
        <is>
          <t>South</t>
        </is>
      </c>
      <c r="F4778" s="61" t="n">
        <v>2</v>
      </c>
      <c r="G4778" s="62" t="n">
        <v>1841.36</v>
      </c>
      <c r="H4778" s="63" t="n">
        <v>0.067</v>
      </c>
      <c r="I4778" s="62" t="n">
        <v>1300.4</v>
      </c>
      <c r="J4778" s="58" t="inlineStr">
        <is>
          <t>Store</t>
        </is>
      </c>
      <c r="K4778" s="62">
        <f>F4778*(G4778-H4778)</f>
        <v/>
      </c>
      <c r="L4778" s="62">
        <f>K4778-(F4778*I4778)</f>
        <v/>
      </c>
      <c r="M4778" s="64">
        <f>L4778/K4778</f>
        <v/>
      </c>
    </row>
    <row r="4779">
      <c r="A4779" s="58" t="inlineStr">
        <is>
          <t>RT20250503-04778</t>
        </is>
      </c>
      <c r="B4779" s="59" t="inlineStr">
        <is>
          <t>2025-05-03</t>
        </is>
      </c>
      <c r="C4779" s="60" t="inlineStr">
        <is>
          <t>Aurora Haircare S-975</t>
        </is>
      </c>
      <c r="D4779" s="58" t="inlineStr">
        <is>
          <t>Beauty</t>
        </is>
      </c>
      <c r="E4779" s="58" t="inlineStr">
        <is>
          <t>North</t>
        </is>
      </c>
      <c r="F4779" s="61" t="n">
        <v>4</v>
      </c>
      <c r="G4779" s="62" t="n">
        <v>105.6</v>
      </c>
      <c r="H4779" s="63" t="n">
        <v>0.023</v>
      </c>
      <c r="I4779" s="62" t="n">
        <v>60.12</v>
      </c>
      <c r="J4779" s="58" t="inlineStr">
        <is>
          <t>Online</t>
        </is>
      </c>
      <c r="K4779" s="62">
        <f>F4779*(G4779-H4779)</f>
        <v/>
      </c>
      <c r="L4779" s="62">
        <f>K4779-(F4779*I4779)</f>
        <v/>
      </c>
      <c r="M4779" s="64">
        <f>L4779/K4779</f>
        <v/>
      </c>
    </row>
    <row r="4780">
      <c r="A4780" s="58" t="inlineStr">
        <is>
          <t>RT20250503-04779</t>
        </is>
      </c>
      <c r="B4780" s="59" t="inlineStr">
        <is>
          <t>2025-05-03</t>
        </is>
      </c>
      <c r="C4780" s="60" t="inlineStr">
        <is>
          <t>Nimbus Women Lite-814</t>
        </is>
      </c>
      <c r="D4780" s="58" t="inlineStr">
        <is>
          <t>Apparel</t>
        </is>
      </c>
      <c r="E4780" s="58" t="inlineStr">
        <is>
          <t>Central</t>
        </is>
      </c>
      <c r="F4780" s="61" t="n">
        <v>1</v>
      </c>
      <c r="G4780" s="62" t="n">
        <v>153.65</v>
      </c>
      <c r="H4780" s="63" t="n">
        <v>0.04</v>
      </c>
      <c r="I4780" s="62" t="n">
        <v>82.2</v>
      </c>
      <c r="J4780" s="58" t="inlineStr">
        <is>
          <t>Store</t>
        </is>
      </c>
      <c r="K4780" s="62">
        <f>F4780*(G4780-H4780)</f>
        <v/>
      </c>
      <c r="L4780" s="62">
        <f>K4780-(F4780*I4780)</f>
        <v/>
      </c>
      <c r="M4780" s="64">
        <f>L4780/K4780</f>
        <v/>
      </c>
    </row>
    <row r="4781">
      <c r="A4781" s="58" t="inlineStr">
        <is>
          <t>RT20250503-04780</t>
        </is>
      </c>
      <c r="B4781" s="59" t="inlineStr">
        <is>
          <t>2025-05-03</t>
        </is>
      </c>
      <c r="C4781" s="60" t="inlineStr">
        <is>
          <t>Aurora Fragrance S-971</t>
        </is>
      </c>
      <c r="D4781" s="58" t="inlineStr">
        <is>
          <t>Beauty</t>
        </is>
      </c>
      <c r="E4781" s="58" t="inlineStr">
        <is>
          <t>Central</t>
        </is>
      </c>
      <c r="F4781" s="61" t="n">
        <v>2</v>
      </c>
      <c r="G4781" s="62" t="n">
        <v>107.12</v>
      </c>
      <c r="H4781" s="63" t="n">
        <v>0</v>
      </c>
      <c r="I4781" s="62" t="n">
        <v>63.66</v>
      </c>
      <c r="J4781" s="58" t="inlineStr">
        <is>
          <t>Online</t>
        </is>
      </c>
      <c r="K4781" s="62">
        <f>F4781*(G4781-H4781)</f>
        <v/>
      </c>
      <c r="L4781" s="62">
        <f>K4781-(F4781*I4781)</f>
        <v/>
      </c>
      <c r="M4781" s="64">
        <f>L4781/K4781</f>
        <v/>
      </c>
    </row>
    <row r="4782">
      <c r="A4782" s="58" t="inlineStr">
        <is>
          <t>RT20250503-04781</t>
        </is>
      </c>
      <c r="B4782" s="59" t="inlineStr">
        <is>
          <t>2025-05-03</t>
        </is>
      </c>
      <c r="C4782" s="60" t="inlineStr">
        <is>
          <t>Vertex Pantry Pro-165</t>
        </is>
      </c>
      <c r="D4782" s="58" t="inlineStr">
        <is>
          <t>Grocery</t>
        </is>
      </c>
      <c r="E4782" s="58" t="inlineStr">
        <is>
          <t>Central</t>
        </is>
      </c>
      <c r="F4782" s="61" t="n">
        <v>4</v>
      </c>
      <c r="G4782" s="62" t="n">
        <v>14.61</v>
      </c>
      <c r="H4782" s="63" t="n">
        <v>0.01</v>
      </c>
      <c r="I4782" s="62" t="n">
        <v>11.56</v>
      </c>
      <c r="J4782" s="58" t="inlineStr">
        <is>
          <t>Online</t>
        </is>
      </c>
      <c r="K4782" s="62">
        <f>F4782*(G4782-H4782)</f>
        <v/>
      </c>
      <c r="L4782" s="62">
        <f>K4782-(F4782*I4782)</f>
        <v/>
      </c>
      <c r="M4782" s="64">
        <f>L4782/K4782</f>
        <v/>
      </c>
    </row>
    <row r="4783">
      <c r="A4783" s="58" t="inlineStr">
        <is>
          <t>RT20250503-04782</t>
        </is>
      </c>
      <c r="B4783" s="59" t="inlineStr">
        <is>
          <t>2025-05-03</t>
        </is>
      </c>
      <c r="C4783" s="60" t="inlineStr">
        <is>
          <t>Aurora Household Plus-146</t>
        </is>
      </c>
      <c r="D4783" s="58" t="inlineStr">
        <is>
          <t>Grocery</t>
        </is>
      </c>
      <c r="E4783" s="58" t="inlineStr">
        <is>
          <t>West</t>
        </is>
      </c>
      <c r="F4783" s="61" t="n">
        <v>5</v>
      </c>
      <c r="G4783" s="62" t="n">
        <v>5.6</v>
      </c>
      <c r="H4783" s="63" t="n">
        <v>0.127</v>
      </c>
      <c r="I4783" s="62" t="n">
        <v>4.55</v>
      </c>
      <c r="J4783" s="58" t="inlineStr">
        <is>
          <t>Online</t>
        </is>
      </c>
      <c r="K4783" s="62">
        <f>F4783*(G4783-H4783)</f>
        <v/>
      </c>
      <c r="L4783" s="62">
        <f>K4783-(F4783*I4783)</f>
        <v/>
      </c>
      <c r="M4783" s="64">
        <f>L4783/K4783</f>
        <v/>
      </c>
    </row>
    <row r="4784">
      <c r="A4784" s="58" t="inlineStr">
        <is>
          <t>RT20250503-04783</t>
        </is>
      </c>
      <c r="B4784" s="59" t="inlineStr">
        <is>
          <t>2025-05-03</t>
        </is>
      </c>
      <c r="C4784" s="60" t="inlineStr">
        <is>
          <t>Aurora Makeup S-626</t>
        </is>
      </c>
      <c r="D4784" s="58" t="inlineStr">
        <is>
          <t>Beauty</t>
        </is>
      </c>
      <c r="E4784" s="58" t="inlineStr">
        <is>
          <t>Central</t>
        </is>
      </c>
      <c r="F4784" s="61" t="n">
        <v>4</v>
      </c>
      <c r="G4784" s="62" t="n">
        <v>103.45</v>
      </c>
      <c r="H4784" s="63" t="n">
        <v>0.07000000000000001</v>
      </c>
      <c r="I4784" s="62" t="n">
        <v>65.63</v>
      </c>
      <c r="J4784" s="58" t="inlineStr">
        <is>
          <t>Online</t>
        </is>
      </c>
      <c r="K4784" s="62">
        <f>F4784*(G4784-H4784)</f>
        <v/>
      </c>
      <c r="L4784" s="62">
        <f>K4784-(F4784*I4784)</f>
        <v/>
      </c>
      <c r="M4784" s="64">
        <f>L4784/K4784</f>
        <v/>
      </c>
    </row>
    <row r="4785">
      <c r="A4785" s="58" t="inlineStr">
        <is>
          <t>RT20250503-04784</t>
        </is>
      </c>
      <c r="B4785" s="59" t="inlineStr">
        <is>
          <t>2025-05-03</t>
        </is>
      </c>
      <c r="C4785" s="60" t="inlineStr">
        <is>
          <t>Falcon Skincare X-334</t>
        </is>
      </c>
      <c r="D4785" s="58" t="inlineStr">
        <is>
          <t>Beauty</t>
        </is>
      </c>
      <c r="E4785" s="58" t="inlineStr">
        <is>
          <t>South</t>
        </is>
      </c>
      <c r="F4785" s="61" t="n">
        <v>2</v>
      </c>
      <c r="G4785" s="62" t="n">
        <v>87.40000000000001</v>
      </c>
      <c r="H4785" s="63" t="n">
        <v>0.11</v>
      </c>
      <c r="I4785" s="62" t="n">
        <v>63</v>
      </c>
      <c r="J4785" s="58" t="inlineStr">
        <is>
          <t>Online</t>
        </is>
      </c>
      <c r="K4785" s="62">
        <f>F4785*(G4785-H4785)</f>
        <v/>
      </c>
      <c r="L4785" s="62">
        <f>K4785-(F4785*I4785)</f>
        <v/>
      </c>
      <c r="M4785" s="64">
        <f>L4785/K4785</f>
        <v/>
      </c>
    </row>
    <row r="4786">
      <c r="A4786" s="58" t="inlineStr">
        <is>
          <t>RT20250503-04785</t>
        </is>
      </c>
      <c r="B4786" s="59" t="inlineStr">
        <is>
          <t>2025-05-03</t>
        </is>
      </c>
      <c r="C4786" s="60" t="inlineStr">
        <is>
          <t>Polar Decor X-935</t>
        </is>
      </c>
      <c r="D4786" s="58" t="inlineStr">
        <is>
          <t>Home</t>
        </is>
      </c>
      <c r="E4786" s="58" t="inlineStr">
        <is>
          <t>South</t>
        </is>
      </c>
      <c r="F4786" s="61" t="n">
        <v>3</v>
      </c>
      <c r="G4786" s="62" t="n">
        <v>275.44</v>
      </c>
      <c r="H4786" s="63" t="n">
        <v>0.006</v>
      </c>
      <c r="I4786" s="62" t="n">
        <v>200.03</v>
      </c>
      <c r="J4786" s="58" t="inlineStr">
        <is>
          <t>Online</t>
        </is>
      </c>
      <c r="K4786" s="62">
        <f>F4786*(G4786-H4786)</f>
        <v/>
      </c>
      <c r="L4786" s="62">
        <f>K4786-(F4786*I4786)</f>
        <v/>
      </c>
      <c r="M4786" s="64">
        <f>L4786/K4786</f>
        <v/>
      </c>
    </row>
    <row r="4787">
      <c r="A4787" s="58" t="inlineStr">
        <is>
          <t>RT20250503-04786</t>
        </is>
      </c>
      <c r="B4787" s="59" t="inlineStr">
        <is>
          <t>2025-05-03</t>
        </is>
      </c>
      <c r="C4787" s="60" t="inlineStr">
        <is>
          <t>Nimbus Decor Lite-385</t>
        </is>
      </c>
      <c r="D4787" s="58" t="inlineStr">
        <is>
          <t>Home</t>
        </is>
      </c>
      <c r="E4787" s="58" t="inlineStr">
        <is>
          <t>West</t>
        </is>
      </c>
      <c r="F4787" s="61" t="n">
        <v>2</v>
      </c>
      <c r="G4787" s="62" t="n">
        <v>598.36</v>
      </c>
      <c r="H4787" s="63" t="n">
        <v>0.053</v>
      </c>
      <c r="I4787" s="62" t="n">
        <v>389.05</v>
      </c>
      <c r="J4787" s="58" t="inlineStr">
        <is>
          <t>Store</t>
        </is>
      </c>
      <c r="K4787" s="62">
        <f>F4787*(G4787-H4787)</f>
        <v/>
      </c>
      <c r="L4787" s="62">
        <f>K4787-(F4787*I4787)</f>
        <v/>
      </c>
      <c r="M4787" s="64">
        <f>L4787/K4787</f>
        <v/>
      </c>
    </row>
    <row r="4788">
      <c r="A4788" s="58" t="inlineStr">
        <is>
          <t>RT20250503-04787</t>
        </is>
      </c>
      <c r="B4788" s="59" t="inlineStr">
        <is>
          <t>2025-05-03</t>
        </is>
      </c>
      <c r="C4788" s="60" t="inlineStr">
        <is>
          <t>Orion Supplie S-612</t>
        </is>
      </c>
      <c r="D4788" s="58" t="inlineStr">
        <is>
          <t>Office</t>
        </is>
      </c>
      <c r="E4788" s="58" t="inlineStr">
        <is>
          <t>East</t>
        </is>
      </c>
      <c r="F4788" s="61" t="n">
        <v>1</v>
      </c>
      <c r="G4788" s="62" t="n">
        <v>487.71</v>
      </c>
      <c r="H4788" s="63" t="n">
        <v>0</v>
      </c>
      <c r="I4788" s="62" t="n">
        <v>332.19</v>
      </c>
      <c r="J4788" s="58" t="inlineStr">
        <is>
          <t>Online</t>
        </is>
      </c>
      <c r="K4788" s="62">
        <f>F4788*(G4788-H4788)</f>
        <v/>
      </c>
      <c r="L4788" s="62">
        <f>K4788-(F4788*I4788)</f>
        <v/>
      </c>
      <c r="M4788" s="64">
        <f>L4788/K4788</f>
        <v/>
      </c>
    </row>
    <row r="4789">
      <c r="A4789" s="58" t="inlineStr">
        <is>
          <t>RT20250503-04788</t>
        </is>
      </c>
      <c r="B4789" s="59" t="inlineStr">
        <is>
          <t>2025-05-03</t>
        </is>
      </c>
      <c r="C4789" s="60" t="inlineStr">
        <is>
          <t>Solace Headphone Pro-344</t>
        </is>
      </c>
      <c r="D4789" s="58" t="inlineStr">
        <is>
          <t>Electronics</t>
        </is>
      </c>
      <c r="E4789" s="58" t="inlineStr">
        <is>
          <t>Central</t>
        </is>
      </c>
      <c r="F4789" s="61" t="n">
        <v>1</v>
      </c>
      <c r="G4789" s="62" t="n">
        <v>1337.56</v>
      </c>
      <c r="H4789" s="63" t="n">
        <v>0.039</v>
      </c>
      <c r="I4789" s="62" t="n">
        <v>1079.59</v>
      </c>
      <c r="J4789" s="58" t="inlineStr">
        <is>
          <t>Online</t>
        </is>
      </c>
      <c r="K4789" s="62">
        <f>F4789*(G4789-H4789)</f>
        <v/>
      </c>
      <c r="L4789" s="62">
        <f>K4789-(F4789*I4789)</f>
        <v/>
      </c>
      <c r="M4789" s="64">
        <f>L4789/K4789</f>
        <v/>
      </c>
    </row>
    <row r="4790">
      <c r="A4790" s="58" t="inlineStr">
        <is>
          <t>RT20250503-04789</t>
        </is>
      </c>
      <c r="B4790" s="59" t="inlineStr">
        <is>
          <t>2025-05-03</t>
        </is>
      </c>
      <c r="C4790" s="60" t="inlineStr">
        <is>
          <t>Aurora Wearable Lite-704</t>
        </is>
      </c>
      <c r="D4790" s="58" t="inlineStr">
        <is>
          <t>Electronics</t>
        </is>
      </c>
      <c r="E4790" s="58" t="inlineStr">
        <is>
          <t>Central</t>
        </is>
      </c>
      <c r="F4790" s="61" t="n">
        <v>1</v>
      </c>
      <c r="G4790" s="62" t="n">
        <v>1859.66</v>
      </c>
      <c r="H4790" s="63" t="n">
        <v>0.029</v>
      </c>
      <c r="I4790" s="62" t="n">
        <v>1441.82</v>
      </c>
      <c r="J4790" s="58" t="inlineStr">
        <is>
          <t>Store</t>
        </is>
      </c>
      <c r="K4790" s="62">
        <f>F4790*(G4790-H4790)</f>
        <v/>
      </c>
      <c r="L4790" s="62">
        <f>K4790-(F4790*I4790)</f>
        <v/>
      </c>
      <c r="M4790" s="64">
        <f>L4790/K4790</f>
        <v/>
      </c>
    </row>
    <row r="4791">
      <c r="A4791" s="58" t="inlineStr">
        <is>
          <t>RT20250503-04790</t>
        </is>
      </c>
      <c r="B4791" s="59" t="inlineStr">
        <is>
          <t>2025-05-03</t>
        </is>
      </c>
      <c r="C4791" s="60" t="inlineStr">
        <is>
          <t>Polar Cycling X-649</t>
        </is>
      </c>
      <c r="D4791" s="58" t="inlineStr">
        <is>
          <t>Sports</t>
        </is>
      </c>
      <c r="E4791" s="58" t="inlineStr">
        <is>
          <t>West</t>
        </is>
      </c>
      <c r="F4791" s="61" t="n">
        <v>2</v>
      </c>
      <c r="G4791" s="62" t="n">
        <v>525.52</v>
      </c>
      <c r="H4791" s="63" t="n">
        <v>0.075</v>
      </c>
      <c r="I4791" s="62" t="n">
        <v>355.91</v>
      </c>
      <c r="J4791" s="58" t="inlineStr">
        <is>
          <t>Store</t>
        </is>
      </c>
      <c r="K4791" s="62">
        <f>F4791*(G4791-H4791)</f>
        <v/>
      </c>
      <c r="L4791" s="62">
        <f>K4791-(F4791*I4791)</f>
        <v/>
      </c>
      <c r="M4791" s="64">
        <f>L4791/K4791</f>
        <v/>
      </c>
    </row>
    <row r="4792">
      <c r="A4792" s="58" t="inlineStr">
        <is>
          <t>RT20250503-04791</t>
        </is>
      </c>
      <c r="B4792" s="59" t="inlineStr">
        <is>
          <t>2025-05-03</t>
        </is>
      </c>
      <c r="C4792" s="60" t="inlineStr">
        <is>
          <t>Metro Pantry Max-180</t>
        </is>
      </c>
      <c r="D4792" s="58" t="inlineStr">
        <is>
          <t>Grocery</t>
        </is>
      </c>
      <c r="E4792" s="58" t="inlineStr">
        <is>
          <t>Central</t>
        </is>
      </c>
      <c r="F4792" s="61" t="n">
        <v>1</v>
      </c>
      <c r="G4792" s="62" t="n">
        <v>9.27</v>
      </c>
      <c r="H4792" s="63" t="n">
        <v>0.008</v>
      </c>
      <c r="I4792" s="62" t="n">
        <v>6.51</v>
      </c>
      <c r="J4792" s="58" t="inlineStr">
        <is>
          <t>Store</t>
        </is>
      </c>
      <c r="K4792" s="62">
        <f>F4792*(G4792-H4792)</f>
        <v/>
      </c>
      <c r="L4792" s="62">
        <f>K4792-(F4792*I4792)</f>
        <v/>
      </c>
      <c r="M4792" s="64">
        <f>L4792/K4792</f>
        <v/>
      </c>
    </row>
    <row r="4793">
      <c r="A4793" s="58" t="inlineStr">
        <is>
          <t>RT20250503-04792</t>
        </is>
      </c>
      <c r="B4793" s="59" t="inlineStr">
        <is>
          <t>2025-05-03</t>
        </is>
      </c>
      <c r="C4793" s="60" t="inlineStr">
        <is>
          <t>Polar Cycling S-223</t>
        </is>
      </c>
      <c r="D4793" s="58" t="inlineStr">
        <is>
          <t>Sports</t>
        </is>
      </c>
      <c r="E4793" s="58" t="inlineStr">
        <is>
          <t>Central</t>
        </is>
      </c>
      <c r="F4793" s="61" t="n">
        <v>3</v>
      </c>
      <c r="G4793" s="62" t="n">
        <v>915.29</v>
      </c>
      <c r="H4793" s="63" t="n">
        <v>0.053</v>
      </c>
      <c r="I4793" s="62" t="n">
        <v>617.98</v>
      </c>
      <c r="J4793" s="58" t="inlineStr">
        <is>
          <t>Store</t>
        </is>
      </c>
      <c r="K4793" s="62">
        <f>F4793*(G4793-H4793)</f>
        <v/>
      </c>
      <c r="L4793" s="62">
        <f>K4793-(F4793*I4793)</f>
        <v/>
      </c>
      <c r="M4793" s="64">
        <f>L4793/K4793</f>
        <v/>
      </c>
    </row>
    <row r="4794">
      <c r="A4794" s="58" t="inlineStr">
        <is>
          <t>RT20250503-04793</t>
        </is>
      </c>
      <c r="B4794" s="59" t="inlineStr">
        <is>
          <t>2025-05-03</t>
        </is>
      </c>
      <c r="C4794" s="60" t="inlineStr">
        <is>
          <t>Metro Laptop Plus-376</t>
        </is>
      </c>
      <c r="D4794" s="58" t="inlineStr">
        <is>
          <t>Electronics</t>
        </is>
      </c>
      <c r="E4794" s="58" t="inlineStr">
        <is>
          <t>South</t>
        </is>
      </c>
      <c r="F4794" s="61" t="n">
        <v>2</v>
      </c>
      <c r="G4794" s="62" t="n">
        <v>1363.64</v>
      </c>
      <c r="H4794" s="63" t="n">
        <v>0.119</v>
      </c>
      <c r="I4794" s="62" t="n">
        <v>1022.2</v>
      </c>
      <c r="J4794" s="58" t="inlineStr">
        <is>
          <t>Store</t>
        </is>
      </c>
      <c r="K4794" s="62">
        <f>F4794*(G4794-H4794)</f>
        <v/>
      </c>
      <c r="L4794" s="62">
        <f>K4794-(F4794*I4794)</f>
        <v/>
      </c>
      <c r="M4794" s="64">
        <f>L4794/K4794</f>
        <v/>
      </c>
    </row>
    <row r="4795">
      <c r="A4795" s="58" t="inlineStr">
        <is>
          <t>RT20250503-04794</t>
        </is>
      </c>
      <c r="B4795" s="59" t="inlineStr">
        <is>
          <t>2025-05-03</t>
        </is>
      </c>
      <c r="C4795" s="60" t="inlineStr">
        <is>
          <t>Solace Kitchen Pro-999</t>
        </is>
      </c>
      <c r="D4795" s="58" t="inlineStr">
        <is>
          <t>Home</t>
        </is>
      </c>
      <c r="E4795" s="58" t="inlineStr">
        <is>
          <t>East</t>
        </is>
      </c>
      <c r="F4795" s="61" t="n">
        <v>1</v>
      </c>
      <c r="G4795" s="62" t="n">
        <v>389.02</v>
      </c>
      <c r="H4795" s="63" t="n">
        <v>0.004</v>
      </c>
      <c r="I4795" s="62" t="n">
        <v>269.44</v>
      </c>
      <c r="J4795" s="58" t="inlineStr">
        <is>
          <t>Online</t>
        </is>
      </c>
      <c r="K4795" s="62">
        <f>F4795*(G4795-H4795)</f>
        <v/>
      </c>
      <c r="L4795" s="62">
        <f>K4795-(F4795*I4795)</f>
        <v/>
      </c>
      <c r="M4795" s="64">
        <f>L4795/K4795</f>
        <v/>
      </c>
    </row>
    <row r="4796">
      <c r="A4796" s="58" t="inlineStr">
        <is>
          <t>RT20250503-04795</t>
        </is>
      </c>
      <c r="B4796" s="59" t="inlineStr">
        <is>
          <t>2025-05-03</t>
        </is>
      </c>
      <c r="C4796" s="60" t="inlineStr">
        <is>
          <t>Falcon Household Plus-172</t>
        </is>
      </c>
      <c r="D4796" s="58" t="inlineStr">
        <is>
          <t>Grocery</t>
        </is>
      </c>
      <c r="E4796" s="58" t="inlineStr">
        <is>
          <t>East</t>
        </is>
      </c>
      <c r="F4796" s="61" t="n">
        <v>7</v>
      </c>
      <c r="G4796" s="62" t="n">
        <v>22.37</v>
      </c>
      <c r="H4796" s="63" t="n">
        <v>0.023</v>
      </c>
      <c r="I4796" s="62" t="n">
        <v>16.55</v>
      </c>
      <c r="J4796" s="58" t="inlineStr">
        <is>
          <t>Store</t>
        </is>
      </c>
      <c r="K4796" s="62">
        <f>F4796*(G4796-H4796)</f>
        <v/>
      </c>
      <c r="L4796" s="62">
        <f>K4796-(F4796*I4796)</f>
        <v/>
      </c>
      <c r="M4796" s="64">
        <f>L4796/K4796</f>
        <v/>
      </c>
    </row>
    <row r="4797">
      <c r="A4797" s="58" t="inlineStr">
        <is>
          <t>RT20250504-04796</t>
        </is>
      </c>
      <c r="B4797" s="59" t="inlineStr">
        <is>
          <t>2025-05-04</t>
        </is>
      </c>
      <c r="C4797" s="60" t="inlineStr">
        <is>
          <t>Vertex Decor Pro-618</t>
        </is>
      </c>
      <c r="D4797" s="58" t="inlineStr">
        <is>
          <t>Home</t>
        </is>
      </c>
      <c r="E4797" s="58" t="inlineStr">
        <is>
          <t>Central</t>
        </is>
      </c>
      <c r="F4797" s="61" t="n">
        <v>1</v>
      </c>
      <c r="G4797" s="62" t="n">
        <v>648.17</v>
      </c>
      <c r="H4797" s="63" t="n">
        <v>0.046</v>
      </c>
      <c r="I4797" s="62" t="n">
        <v>378.41</v>
      </c>
      <c r="J4797" s="58" t="inlineStr">
        <is>
          <t>Store</t>
        </is>
      </c>
      <c r="K4797" s="62">
        <f>F4797*(G4797-H4797)</f>
        <v/>
      </c>
      <c r="L4797" s="62">
        <f>K4797-(F4797*I4797)</f>
        <v/>
      </c>
      <c r="M4797" s="64">
        <f>L4797/K4797</f>
        <v/>
      </c>
    </row>
    <row r="4798">
      <c r="A4798" s="58" t="inlineStr">
        <is>
          <t>RT20250504-04797</t>
        </is>
      </c>
      <c r="B4798" s="59" t="inlineStr">
        <is>
          <t>2025-05-04</t>
        </is>
      </c>
      <c r="C4798" s="60" t="inlineStr">
        <is>
          <t>Vertex Smartphone Lite-267</t>
        </is>
      </c>
      <c r="D4798" s="58" t="inlineStr">
        <is>
          <t>Electronics</t>
        </is>
      </c>
      <c r="E4798" s="58" t="inlineStr">
        <is>
          <t>South</t>
        </is>
      </c>
      <c r="F4798" s="61" t="n">
        <v>1</v>
      </c>
      <c r="G4798" s="62" t="n">
        <v>1495.82</v>
      </c>
      <c r="H4798" s="63" t="n">
        <v>0.024</v>
      </c>
      <c r="I4798" s="62" t="n">
        <v>999.1799999999999</v>
      </c>
      <c r="J4798" s="58" t="inlineStr">
        <is>
          <t>Store</t>
        </is>
      </c>
      <c r="K4798" s="62">
        <f>F4798*(G4798-H4798)</f>
        <v/>
      </c>
      <c r="L4798" s="62">
        <f>K4798-(F4798*I4798)</f>
        <v/>
      </c>
      <c r="M4798" s="64">
        <f>L4798/K4798</f>
        <v/>
      </c>
    </row>
    <row r="4799">
      <c r="A4799" s="58" t="inlineStr">
        <is>
          <t>RT20250504-04798</t>
        </is>
      </c>
      <c r="B4799" s="59" t="inlineStr">
        <is>
          <t>2025-05-04</t>
        </is>
      </c>
      <c r="C4799" s="60" t="inlineStr">
        <is>
          <t>Orion Storage Plus-961</t>
        </is>
      </c>
      <c r="D4799" s="58" t="inlineStr">
        <is>
          <t>Office</t>
        </is>
      </c>
      <c r="E4799" s="58" t="inlineStr">
        <is>
          <t>South</t>
        </is>
      </c>
      <c r="F4799" s="61" t="n">
        <v>3</v>
      </c>
      <c r="G4799" s="62" t="n">
        <v>565.55</v>
      </c>
      <c r="H4799" s="63" t="n">
        <v>0</v>
      </c>
      <c r="I4799" s="62" t="n">
        <v>354.07</v>
      </c>
      <c r="J4799" s="58" t="inlineStr">
        <is>
          <t>Online</t>
        </is>
      </c>
      <c r="K4799" s="62">
        <f>F4799*(G4799-H4799)</f>
        <v/>
      </c>
      <c r="L4799" s="62">
        <f>K4799-(F4799*I4799)</f>
        <v/>
      </c>
      <c r="M4799" s="64">
        <f>L4799/K4799</f>
        <v/>
      </c>
    </row>
    <row r="4800">
      <c r="A4800" s="58" t="inlineStr">
        <is>
          <t>RT20250504-04799</t>
        </is>
      </c>
      <c r="B4800" s="59" t="inlineStr">
        <is>
          <t>2025-05-04</t>
        </is>
      </c>
      <c r="C4800" s="60" t="inlineStr">
        <is>
          <t>Solace Kitchen X-919</t>
        </is>
      </c>
      <c r="D4800" s="58" t="inlineStr">
        <is>
          <t>Home</t>
        </is>
      </c>
      <c r="E4800" s="58" t="inlineStr">
        <is>
          <t>East</t>
        </is>
      </c>
      <c r="F4800" s="61" t="n">
        <v>1</v>
      </c>
      <c r="G4800" s="62" t="n">
        <v>426.41</v>
      </c>
      <c r="H4800" s="63" t="n">
        <v>0.136</v>
      </c>
      <c r="I4800" s="62" t="n">
        <v>268.45</v>
      </c>
      <c r="J4800" s="58" t="inlineStr">
        <is>
          <t>Phone</t>
        </is>
      </c>
      <c r="K4800" s="62">
        <f>F4800*(G4800-H4800)</f>
        <v/>
      </c>
      <c r="L4800" s="62">
        <f>K4800-(F4800*I4800)</f>
        <v/>
      </c>
      <c r="M4800" s="64">
        <f>L4800/K4800</f>
        <v/>
      </c>
    </row>
    <row r="4801">
      <c r="A4801" s="58" t="inlineStr">
        <is>
          <t>RT20250504-04800</t>
        </is>
      </c>
      <c r="B4801" s="59" t="inlineStr">
        <is>
          <t>2025-05-04</t>
        </is>
      </c>
      <c r="C4801" s="60" t="inlineStr">
        <is>
          <t>Vertex Pantry Pro-165</t>
        </is>
      </c>
      <c r="D4801" s="58" t="inlineStr">
        <is>
          <t>Grocery</t>
        </is>
      </c>
      <c r="E4801" s="58" t="inlineStr">
        <is>
          <t>South</t>
        </is>
      </c>
      <c r="F4801" s="61" t="n">
        <v>6</v>
      </c>
      <c r="G4801" s="62" t="n">
        <v>15.53</v>
      </c>
      <c r="H4801" s="63" t="n">
        <v>0.051</v>
      </c>
      <c r="I4801" s="62" t="n">
        <v>11.93</v>
      </c>
      <c r="J4801" s="58" t="inlineStr">
        <is>
          <t>Store</t>
        </is>
      </c>
      <c r="K4801" s="62">
        <f>F4801*(G4801-H4801)</f>
        <v/>
      </c>
      <c r="L4801" s="62">
        <f>K4801-(F4801*I4801)</f>
        <v/>
      </c>
      <c r="M4801" s="64">
        <f>L4801/K4801</f>
        <v/>
      </c>
    </row>
    <row r="4802">
      <c r="A4802" s="58" t="inlineStr">
        <is>
          <t>RT20250504-04801</t>
        </is>
      </c>
      <c r="B4802" s="59" t="inlineStr">
        <is>
          <t>2025-05-04</t>
        </is>
      </c>
      <c r="C4802" s="60" t="inlineStr">
        <is>
          <t>Solace Smartphone Lite-533</t>
        </is>
      </c>
      <c r="D4802" s="58" t="inlineStr">
        <is>
          <t>Electronics</t>
        </is>
      </c>
      <c r="E4802" s="58" t="inlineStr">
        <is>
          <t>North</t>
        </is>
      </c>
      <c r="F4802" s="61" t="n">
        <v>1</v>
      </c>
      <c r="G4802" s="62" t="n">
        <v>1159.69</v>
      </c>
      <c r="H4802" s="63" t="n">
        <v>0.031</v>
      </c>
      <c r="I4802" s="62" t="n">
        <v>942.8200000000001</v>
      </c>
      <c r="J4802" s="58" t="inlineStr">
        <is>
          <t>Online</t>
        </is>
      </c>
      <c r="K4802" s="62">
        <f>F4802*(G4802-H4802)</f>
        <v/>
      </c>
      <c r="L4802" s="62">
        <f>K4802-(F4802*I4802)</f>
        <v/>
      </c>
      <c r="M4802" s="64">
        <f>L4802/K4802</f>
        <v/>
      </c>
    </row>
    <row r="4803">
      <c r="A4803" s="58" t="inlineStr">
        <is>
          <t>RT20250504-04802</t>
        </is>
      </c>
      <c r="B4803" s="59" t="inlineStr">
        <is>
          <t>2025-05-04</t>
        </is>
      </c>
      <c r="C4803" s="60" t="inlineStr">
        <is>
          <t>Falcon Team Sport Lite-268</t>
        </is>
      </c>
      <c r="D4803" s="58" t="inlineStr">
        <is>
          <t>Sports</t>
        </is>
      </c>
      <c r="E4803" s="58" t="inlineStr">
        <is>
          <t>South</t>
        </is>
      </c>
      <c r="F4803" s="61" t="n">
        <v>1</v>
      </c>
      <c r="G4803" s="62" t="n">
        <v>662.92</v>
      </c>
      <c r="H4803" s="63" t="n">
        <v>0.016</v>
      </c>
      <c r="I4803" s="62" t="n">
        <v>441.17</v>
      </c>
      <c r="J4803" s="58" t="inlineStr">
        <is>
          <t>Phone</t>
        </is>
      </c>
      <c r="K4803" s="62">
        <f>F4803*(G4803-H4803)</f>
        <v/>
      </c>
      <c r="L4803" s="62">
        <f>K4803-(F4803*I4803)</f>
        <v/>
      </c>
      <c r="M4803" s="64">
        <f>L4803/K4803</f>
        <v/>
      </c>
    </row>
    <row r="4804">
      <c r="A4804" s="58" t="inlineStr">
        <is>
          <t>RT20250504-04803</t>
        </is>
      </c>
      <c r="B4804" s="59" t="inlineStr">
        <is>
          <t>2025-05-04</t>
        </is>
      </c>
      <c r="C4804" s="60" t="inlineStr">
        <is>
          <t>Nimbus Women Lite-814</t>
        </is>
      </c>
      <c r="D4804" s="58" t="inlineStr">
        <is>
          <t>Apparel</t>
        </is>
      </c>
      <c r="E4804" s="58" t="inlineStr">
        <is>
          <t>Central</t>
        </is>
      </c>
      <c r="F4804" s="61" t="n">
        <v>1</v>
      </c>
      <c r="G4804" s="62" t="n">
        <v>153.42</v>
      </c>
      <c r="H4804" s="63" t="n">
        <v>0.102</v>
      </c>
      <c r="I4804" s="62" t="n">
        <v>85.22</v>
      </c>
      <c r="J4804" s="58" t="inlineStr">
        <is>
          <t>Store</t>
        </is>
      </c>
      <c r="K4804" s="62">
        <f>F4804*(G4804-H4804)</f>
        <v/>
      </c>
      <c r="L4804" s="62">
        <f>K4804-(F4804*I4804)</f>
        <v/>
      </c>
      <c r="M4804" s="64">
        <f>L4804/K4804</f>
        <v/>
      </c>
    </row>
    <row r="4805">
      <c r="A4805" s="58" t="inlineStr">
        <is>
          <t>RT20250504-04804</t>
        </is>
      </c>
      <c r="B4805" s="59" t="inlineStr">
        <is>
          <t>2025-05-04</t>
        </is>
      </c>
      <c r="C4805" s="60" t="inlineStr">
        <is>
          <t>Aurora Appliance Lite-109</t>
        </is>
      </c>
      <c r="D4805" s="58" t="inlineStr">
        <is>
          <t>Home</t>
        </is>
      </c>
      <c r="E4805" s="58" t="inlineStr">
        <is>
          <t>East</t>
        </is>
      </c>
      <c r="F4805" s="61" t="n">
        <v>2</v>
      </c>
      <c r="G4805" s="62" t="n">
        <v>323.34</v>
      </c>
      <c r="H4805" s="63" t="n">
        <v>0</v>
      </c>
      <c r="I4805" s="62" t="n">
        <v>201.44</v>
      </c>
      <c r="J4805" s="58" t="inlineStr">
        <is>
          <t>Online</t>
        </is>
      </c>
      <c r="K4805" s="62">
        <f>F4805*(G4805-H4805)</f>
        <v/>
      </c>
      <c r="L4805" s="62">
        <f>K4805-(F4805*I4805)</f>
        <v/>
      </c>
      <c r="M4805" s="64">
        <f>L4805/K4805</f>
        <v/>
      </c>
    </row>
    <row r="4806">
      <c r="A4806" s="58" t="inlineStr">
        <is>
          <t>RT20250504-04805</t>
        </is>
      </c>
      <c r="B4806" s="59" t="inlineStr">
        <is>
          <t>2025-05-04</t>
        </is>
      </c>
      <c r="C4806" s="60" t="inlineStr">
        <is>
          <t>Polar Outdoor Lite-318</t>
        </is>
      </c>
      <c r="D4806" s="58" t="inlineStr">
        <is>
          <t>Sports</t>
        </is>
      </c>
      <c r="E4806" s="58" t="inlineStr">
        <is>
          <t>South</t>
        </is>
      </c>
      <c r="F4806" s="61" t="n">
        <v>2</v>
      </c>
      <c r="G4806" s="62" t="n">
        <v>732.61</v>
      </c>
      <c r="H4806" s="63" t="n">
        <v>0.014</v>
      </c>
      <c r="I4806" s="62" t="n">
        <v>470.84</v>
      </c>
      <c r="J4806" s="58" t="inlineStr">
        <is>
          <t>Online</t>
        </is>
      </c>
      <c r="K4806" s="62">
        <f>F4806*(G4806-H4806)</f>
        <v/>
      </c>
      <c r="L4806" s="62">
        <f>K4806-(F4806*I4806)</f>
        <v/>
      </c>
      <c r="M4806" s="64">
        <f>L4806/K4806</f>
        <v/>
      </c>
    </row>
    <row r="4807">
      <c r="A4807" s="58" t="inlineStr">
        <is>
          <t>RT20250504-04806</t>
        </is>
      </c>
      <c r="B4807" s="59" t="inlineStr">
        <is>
          <t>2025-05-04</t>
        </is>
      </c>
      <c r="C4807" s="60" t="inlineStr">
        <is>
          <t>Metro Printer X-294</t>
        </is>
      </c>
      <c r="D4807" s="58" t="inlineStr">
        <is>
          <t>Office</t>
        </is>
      </c>
      <c r="E4807" s="58" t="inlineStr">
        <is>
          <t>East</t>
        </is>
      </c>
      <c r="F4807" s="61" t="n">
        <v>2</v>
      </c>
      <c r="G4807" s="62" t="n">
        <v>517.1900000000001</v>
      </c>
      <c r="H4807" s="63" t="n">
        <v>0.081</v>
      </c>
      <c r="I4807" s="62" t="n">
        <v>418.58</v>
      </c>
      <c r="J4807" s="58" t="inlineStr">
        <is>
          <t>Online</t>
        </is>
      </c>
      <c r="K4807" s="62">
        <f>F4807*(G4807-H4807)</f>
        <v/>
      </c>
      <c r="L4807" s="62">
        <f>K4807-(F4807*I4807)</f>
        <v/>
      </c>
      <c r="M4807" s="64">
        <f>L4807/K4807</f>
        <v/>
      </c>
    </row>
    <row r="4808">
      <c r="A4808" s="58" t="inlineStr">
        <is>
          <t>RT20250504-04807</t>
        </is>
      </c>
      <c r="B4808" s="59" t="inlineStr">
        <is>
          <t>2025-05-04</t>
        </is>
      </c>
      <c r="C4808" s="60" t="inlineStr">
        <is>
          <t>Falcon Headphone Plus-789</t>
        </is>
      </c>
      <c r="D4808" s="58" t="inlineStr">
        <is>
          <t>Electronics</t>
        </is>
      </c>
      <c r="E4808" s="58" t="inlineStr">
        <is>
          <t>Central</t>
        </is>
      </c>
      <c r="F4808" s="61" t="n">
        <v>1</v>
      </c>
      <c r="G4808" s="62" t="n">
        <v>1572.44</v>
      </c>
      <c r="H4808" s="63" t="n">
        <v>0.054</v>
      </c>
      <c r="I4808" s="62" t="n">
        <v>1327.29</v>
      </c>
      <c r="J4808" s="58" t="inlineStr">
        <is>
          <t>Store</t>
        </is>
      </c>
      <c r="K4808" s="62">
        <f>F4808*(G4808-H4808)</f>
        <v/>
      </c>
      <c r="L4808" s="62">
        <f>K4808-(F4808*I4808)</f>
        <v/>
      </c>
      <c r="M4808" s="64">
        <f>L4808/K4808</f>
        <v/>
      </c>
    </row>
    <row r="4809">
      <c r="A4809" s="58" t="inlineStr">
        <is>
          <t>RT20250504-04808</t>
        </is>
      </c>
      <c r="B4809" s="59" t="inlineStr">
        <is>
          <t>2025-05-04</t>
        </is>
      </c>
      <c r="C4809" s="60" t="inlineStr">
        <is>
          <t>Vertex Pantry Pro-165</t>
        </is>
      </c>
      <c r="D4809" s="58" t="inlineStr">
        <is>
          <t>Grocery</t>
        </is>
      </c>
      <c r="E4809" s="58" t="inlineStr">
        <is>
          <t>West</t>
        </is>
      </c>
      <c r="F4809" s="61" t="n">
        <v>4</v>
      </c>
      <c r="G4809" s="62" t="n">
        <v>15.66</v>
      </c>
      <c r="H4809" s="63" t="n">
        <v>0.031</v>
      </c>
      <c r="I4809" s="62" t="n">
        <v>11.56</v>
      </c>
      <c r="J4809" s="58" t="inlineStr">
        <is>
          <t>Online</t>
        </is>
      </c>
      <c r="K4809" s="62">
        <f>F4809*(G4809-H4809)</f>
        <v/>
      </c>
      <c r="L4809" s="62">
        <f>K4809-(F4809*I4809)</f>
        <v/>
      </c>
      <c r="M4809" s="64">
        <f>L4809/K4809</f>
        <v/>
      </c>
    </row>
    <row r="4810">
      <c r="A4810" s="58" t="inlineStr">
        <is>
          <t>RT20250504-04809</t>
        </is>
      </c>
      <c r="B4810" s="59" t="inlineStr">
        <is>
          <t>2025-05-04</t>
        </is>
      </c>
      <c r="C4810" s="60" t="inlineStr">
        <is>
          <t>Aurora Wearable Lite-162</t>
        </is>
      </c>
      <c r="D4810" s="58" t="inlineStr">
        <is>
          <t>Electronics</t>
        </is>
      </c>
      <c r="E4810" s="58" t="inlineStr">
        <is>
          <t>South</t>
        </is>
      </c>
      <c r="F4810" s="61" t="n">
        <v>2</v>
      </c>
      <c r="G4810" s="62" t="n">
        <v>1517.07</v>
      </c>
      <c r="H4810" s="63" t="n">
        <v>0.064</v>
      </c>
      <c r="I4810" s="62" t="n">
        <v>1187.7</v>
      </c>
      <c r="J4810" s="58" t="inlineStr">
        <is>
          <t>Phone</t>
        </is>
      </c>
      <c r="K4810" s="62">
        <f>F4810*(G4810-H4810)</f>
        <v/>
      </c>
      <c r="L4810" s="62">
        <f>K4810-(F4810*I4810)</f>
        <v/>
      </c>
      <c r="M4810" s="64">
        <f>L4810/K4810</f>
        <v/>
      </c>
    </row>
    <row r="4811">
      <c r="A4811" s="58" t="inlineStr">
        <is>
          <t>RT20250504-04810</t>
        </is>
      </c>
      <c r="B4811" s="59" t="inlineStr">
        <is>
          <t>2025-05-04</t>
        </is>
      </c>
      <c r="C4811" s="60" t="inlineStr">
        <is>
          <t>Falcon Skincare X-334</t>
        </is>
      </c>
      <c r="D4811" s="58" t="inlineStr">
        <is>
          <t>Beauty</t>
        </is>
      </c>
      <c r="E4811" s="58" t="inlineStr">
        <is>
          <t>East</t>
        </is>
      </c>
      <c r="F4811" s="61" t="n">
        <v>4</v>
      </c>
      <c r="G4811" s="62" t="n">
        <v>93.29000000000001</v>
      </c>
      <c r="H4811" s="63" t="n">
        <v>0.078</v>
      </c>
      <c r="I4811" s="62" t="n">
        <v>64.12</v>
      </c>
      <c r="J4811" s="58" t="inlineStr">
        <is>
          <t>Online</t>
        </is>
      </c>
      <c r="K4811" s="62">
        <f>F4811*(G4811-H4811)</f>
        <v/>
      </c>
      <c r="L4811" s="62">
        <f>K4811-(F4811*I4811)</f>
        <v/>
      </c>
      <c r="M4811" s="64">
        <f>L4811/K4811</f>
        <v/>
      </c>
    </row>
    <row r="4812">
      <c r="A4812" s="58" t="inlineStr">
        <is>
          <t>RT20250504-04811</t>
        </is>
      </c>
      <c r="B4812" s="59" t="inlineStr">
        <is>
          <t>2025-05-04</t>
        </is>
      </c>
      <c r="C4812" s="60" t="inlineStr">
        <is>
          <t>Polar Outdoor X-193</t>
        </is>
      </c>
      <c r="D4812" s="58" t="inlineStr">
        <is>
          <t>Sports</t>
        </is>
      </c>
      <c r="E4812" s="58" t="inlineStr">
        <is>
          <t>North</t>
        </is>
      </c>
      <c r="F4812" s="61" t="n">
        <v>3</v>
      </c>
      <c r="G4812" s="62" t="n">
        <v>824.88</v>
      </c>
      <c r="H4812" s="63" t="n">
        <v>0.05</v>
      </c>
      <c r="I4812" s="62" t="n">
        <v>443.41</v>
      </c>
      <c r="J4812" s="58" t="inlineStr">
        <is>
          <t>Store</t>
        </is>
      </c>
      <c r="K4812" s="62">
        <f>F4812*(G4812-H4812)</f>
        <v/>
      </c>
      <c r="L4812" s="62">
        <f>K4812-(F4812*I4812)</f>
        <v/>
      </c>
      <c r="M4812" s="64">
        <f>L4812/K4812</f>
        <v/>
      </c>
    </row>
    <row r="4813">
      <c r="A4813" s="58" t="inlineStr">
        <is>
          <t>RT20250504-04812</t>
        </is>
      </c>
      <c r="B4813" s="59" t="inlineStr">
        <is>
          <t>2025-05-04</t>
        </is>
      </c>
      <c r="C4813" s="60" t="inlineStr">
        <is>
          <t>Nimbus Women Plus-352</t>
        </is>
      </c>
      <c r="D4813" s="58" t="inlineStr">
        <is>
          <t>Apparel</t>
        </is>
      </c>
      <c r="E4813" s="58" t="inlineStr">
        <is>
          <t>Central</t>
        </is>
      </c>
      <c r="F4813" s="61" t="n">
        <v>3</v>
      </c>
      <c r="G4813" s="62" t="n">
        <v>59.54</v>
      </c>
      <c r="H4813" s="63" t="n">
        <v>0.081</v>
      </c>
      <c r="I4813" s="62" t="n">
        <v>33.63</v>
      </c>
      <c r="J4813" s="58" t="inlineStr">
        <is>
          <t>Store</t>
        </is>
      </c>
      <c r="K4813" s="62">
        <f>F4813*(G4813-H4813)</f>
        <v/>
      </c>
      <c r="L4813" s="62">
        <f>K4813-(F4813*I4813)</f>
        <v/>
      </c>
      <c r="M4813" s="64">
        <f>L4813/K4813</f>
        <v/>
      </c>
    </row>
    <row r="4814">
      <c r="A4814" s="58" t="inlineStr">
        <is>
          <t>RT20250504-04813</t>
        </is>
      </c>
      <c r="B4814" s="59" t="inlineStr">
        <is>
          <t>2025-05-04</t>
        </is>
      </c>
      <c r="C4814" s="60" t="inlineStr">
        <is>
          <t>Vertex Men X-995</t>
        </is>
      </c>
      <c r="D4814" s="58" t="inlineStr">
        <is>
          <t>Apparel</t>
        </is>
      </c>
      <c r="E4814" s="58" t="inlineStr">
        <is>
          <t>Central</t>
        </is>
      </c>
      <c r="F4814" s="61" t="n">
        <v>2</v>
      </c>
      <c r="G4814" s="62" t="n">
        <v>98.56999999999999</v>
      </c>
      <c r="H4814" s="63" t="n">
        <v>0.08400000000000001</v>
      </c>
      <c r="I4814" s="62" t="n">
        <v>56.48</v>
      </c>
      <c r="J4814" s="58" t="inlineStr">
        <is>
          <t>Store</t>
        </is>
      </c>
      <c r="K4814" s="62">
        <f>F4814*(G4814-H4814)</f>
        <v/>
      </c>
      <c r="L4814" s="62">
        <f>K4814-(F4814*I4814)</f>
        <v/>
      </c>
      <c r="M4814" s="64">
        <f>L4814/K4814</f>
        <v/>
      </c>
    </row>
    <row r="4815">
      <c r="A4815" s="58" t="inlineStr">
        <is>
          <t>RT20250504-04814</t>
        </is>
      </c>
      <c r="B4815" s="59" t="inlineStr">
        <is>
          <t>2025-05-04</t>
        </is>
      </c>
      <c r="C4815" s="60" t="inlineStr">
        <is>
          <t>Aurora Fitnes Lite-194</t>
        </is>
      </c>
      <c r="D4815" s="58" t="inlineStr">
        <is>
          <t>Sports</t>
        </is>
      </c>
      <c r="E4815" s="58" t="inlineStr">
        <is>
          <t>Central</t>
        </is>
      </c>
      <c r="F4815" s="61" t="n">
        <v>2</v>
      </c>
      <c r="G4815" s="62" t="n">
        <v>718.46</v>
      </c>
      <c r="H4815" s="63" t="n">
        <v>0.062</v>
      </c>
      <c r="I4815" s="62" t="n">
        <v>450.47</v>
      </c>
      <c r="J4815" s="58" t="inlineStr">
        <is>
          <t>Online</t>
        </is>
      </c>
      <c r="K4815" s="62">
        <f>F4815*(G4815-H4815)</f>
        <v/>
      </c>
      <c r="L4815" s="62">
        <f>K4815-(F4815*I4815)</f>
        <v/>
      </c>
      <c r="M4815" s="64">
        <f>L4815/K4815</f>
        <v/>
      </c>
    </row>
    <row r="4816">
      <c r="A4816" s="58" t="inlineStr">
        <is>
          <t>RT20250504-04815</t>
        </is>
      </c>
      <c r="B4816" s="59" t="inlineStr">
        <is>
          <t>2025-05-04</t>
        </is>
      </c>
      <c r="C4816" s="60" t="inlineStr">
        <is>
          <t>Solace Laptop S-367</t>
        </is>
      </c>
      <c r="D4816" s="58" t="inlineStr">
        <is>
          <t>Electronics</t>
        </is>
      </c>
      <c r="E4816" s="58" t="inlineStr">
        <is>
          <t>North</t>
        </is>
      </c>
      <c r="F4816" s="61" t="n">
        <v>1</v>
      </c>
      <c r="G4816" s="62" t="n">
        <v>1988.09</v>
      </c>
      <c r="H4816" s="63" t="n">
        <v>0.049</v>
      </c>
      <c r="I4816" s="62" t="n">
        <v>1538.12</v>
      </c>
      <c r="J4816" s="58" t="inlineStr">
        <is>
          <t>Store</t>
        </is>
      </c>
      <c r="K4816" s="62">
        <f>F4816*(G4816-H4816)</f>
        <v/>
      </c>
      <c r="L4816" s="62">
        <f>K4816-(F4816*I4816)</f>
        <v/>
      </c>
      <c r="M4816" s="64">
        <f>L4816/K4816</f>
        <v/>
      </c>
    </row>
    <row r="4817">
      <c r="A4817" s="58" t="inlineStr">
        <is>
          <t>RT20250504-04816</t>
        </is>
      </c>
      <c r="B4817" s="59" t="inlineStr">
        <is>
          <t>2025-05-04</t>
        </is>
      </c>
      <c r="C4817" s="60" t="inlineStr">
        <is>
          <t>Metro Outdoor Plus-787</t>
        </is>
      </c>
      <c r="D4817" s="58" t="inlineStr">
        <is>
          <t>Sports</t>
        </is>
      </c>
      <c r="E4817" s="58" t="inlineStr">
        <is>
          <t>West</t>
        </is>
      </c>
      <c r="F4817" s="61" t="n">
        <v>3</v>
      </c>
      <c r="G4817" s="62" t="n">
        <v>457.91</v>
      </c>
      <c r="H4817" s="63" t="n">
        <v>0.031</v>
      </c>
      <c r="I4817" s="62" t="n">
        <v>345.54</v>
      </c>
      <c r="J4817" s="58" t="inlineStr">
        <is>
          <t>Online</t>
        </is>
      </c>
      <c r="K4817" s="62">
        <f>F4817*(G4817-H4817)</f>
        <v/>
      </c>
      <c r="L4817" s="62">
        <f>K4817-(F4817*I4817)</f>
        <v/>
      </c>
      <c r="M4817" s="64">
        <f>L4817/K4817</f>
        <v/>
      </c>
    </row>
    <row r="4818">
      <c r="A4818" s="58" t="inlineStr">
        <is>
          <t>RT20250504-04817</t>
        </is>
      </c>
      <c r="B4818" s="59" t="inlineStr">
        <is>
          <t>2025-05-04</t>
        </is>
      </c>
      <c r="C4818" s="60" t="inlineStr">
        <is>
          <t>Nimbus Makeup Max-158</t>
        </is>
      </c>
      <c r="D4818" s="58" t="inlineStr">
        <is>
          <t>Beauty</t>
        </is>
      </c>
      <c r="E4818" s="58" t="inlineStr">
        <is>
          <t>East</t>
        </is>
      </c>
      <c r="F4818" s="61" t="n">
        <v>5</v>
      </c>
      <c r="G4818" s="62" t="n">
        <v>139.56</v>
      </c>
      <c r="H4818" s="63" t="n">
        <v>0.034</v>
      </c>
      <c r="I4818" s="62" t="n">
        <v>97.42</v>
      </c>
      <c r="J4818" s="58" t="inlineStr">
        <is>
          <t>Online</t>
        </is>
      </c>
      <c r="K4818" s="62">
        <f>F4818*(G4818-H4818)</f>
        <v/>
      </c>
      <c r="L4818" s="62">
        <f>K4818-(F4818*I4818)</f>
        <v/>
      </c>
      <c r="M4818" s="64">
        <f>L4818/K4818</f>
        <v/>
      </c>
    </row>
    <row r="4819">
      <c r="A4819" s="58" t="inlineStr">
        <is>
          <t>RT20250504-04818</t>
        </is>
      </c>
      <c r="B4819" s="59" t="inlineStr">
        <is>
          <t>2025-05-04</t>
        </is>
      </c>
      <c r="C4819" s="60" t="inlineStr">
        <is>
          <t>Polar Pantry Lite-392</t>
        </is>
      </c>
      <c r="D4819" s="58" t="inlineStr">
        <is>
          <t>Grocery</t>
        </is>
      </c>
      <c r="E4819" s="58" t="inlineStr">
        <is>
          <t>South</t>
        </is>
      </c>
      <c r="F4819" s="61" t="n">
        <v>6</v>
      </c>
      <c r="G4819" s="62" t="n">
        <v>6.3</v>
      </c>
      <c r="H4819" s="63" t="n">
        <v>0.029</v>
      </c>
      <c r="I4819" s="62" t="n">
        <v>4.58</v>
      </c>
      <c r="J4819" s="58" t="inlineStr">
        <is>
          <t>Phone</t>
        </is>
      </c>
      <c r="K4819" s="62">
        <f>F4819*(G4819-H4819)</f>
        <v/>
      </c>
      <c r="L4819" s="62">
        <f>K4819-(F4819*I4819)</f>
        <v/>
      </c>
      <c r="M4819" s="64">
        <f>L4819/K4819</f>
        <v/>
      </c>
    </row>
    <row r="4820">
      <c r="A4820" s="58" t="inlineStr">
        <is>
          <t>RT20250504-04819</t>
        </is>
      </c>
      <c r="B4820" s="59" t="inlineStr">
        <is>
          <t>2025-05-04</t>
        </is>
      </c>
      <c r="C4820" s="60" t="inlineStr">
        <is>
          <t>Falcon Team Sport Lite-268</t>
        </is>
      </c>
      <c r="D4820" s="58" t="inlineStr">
        <is>
          <t>Sports</t>
        </is>
      </c>
      <c r="E4820" s="58" t="inlineStr">
        <is>
          <t>West</t>
        </is>
      </c>
      <c r="F4820" s="61" t="n">
        <v>2</v>
      </c>
      <c r="G4820" s="62" t="n">
        <v>689.78</v>
      </c>
      <c r="H4820" s="63" t="n">
        <v>0.152</v>
      </c>
      <c r="I4820" s="62" t="n">
        <v>440.28</v>
      </c>
      <c r="J4820" s="58" t="inlineStr">
        <is>
          <t>Online</t>
        </is>
      </c>
      <c r="K4820" s="62">
        <f>F4820*(G4820-H4820)</f>
        <v/>
      </c>
      <c r="L4820" s="62">
        <f>K4820-(F4820*I4820)</f>
        <v/>
      </c>
      <c r="M4820" s="64">
        <f>L4820/K4820</f>
        <v/>
      </c>
    </row>
    <row r="4821">
      <c r="A4821" s="58" t="inlineStr">
        <is>
          <t>RT20250504-04820</t>
        </is>
      </c>
      <c r="B4821" s="59" t="inlineStr">
        <is>
          <t>2025-05-04</t>
        </is>
      </c>
      <c r="C4821" s="60" t="inlineStr">
        <is>
          <t>Vertex Supplie Pro-786</t>
        </is>
      </c>
      <c r="D4821" s="58" t="inlineStr">
        <is>
          <t>Office</t>
        </is>
      </c>
      <c r="E4821" s="58" t="inlineStr">
        <is>
          <t>West</t>
        </is>
      </c>
      <c r="F4821" s="61" t="n">
        <v>1</v>
      </c>
      <c r="G4821" s="62" t="n">
        <v>467.97</v>
      </c>
      <c r="H4821" s="63" t="n">
        <v>0.059</v>
      </c>
      <c r="I4821" s="62" t="n">
        <v>302</v>
      </c>
      <c r="J4821" s="58" t="inlineStr">
        <is>
          <t>Online</t>
        </is>
      </c>
      <c r="K4821" s="62">
        <f>F4821*(G4821-H4821)</f>
        <v/>
      </c>
      <c r="L4821" s="62">
        <f>K4821-(F4821*I4821)</f>
        <v/>
      </c>
      <c r="M4821" s="64">
        <f>L4821/K4821</f>
        <v/>
      </c>
    </row>
    <row r="4822">
      <c r="A4822" s="58" t="inlineStr">
        <is>
          <t>RT20250504-04821</t>
        </is>
      </c>
      <c r="B4822" s="59" t="inlineStr">
        <is>
          <t>2025-05-04</t>
        </is>
      </c>
      <c r="C4822" s="60" t="inlineStr">
        <is>
          <t>Falcon Furniture Plus-839</t>
        </is>
      </c>
      <c r="D4822" s="58" t="inlineStr">
        <is>
          <t>Office</t>
        </is>
      </c>
      <c r="E4822" s="58" t="inlineStr">
        <is>
          <t>East</t>
        </is>
      </c>
      <c r="F4822" s="61" t="n">
        <v>1</v>
      </c>
      <c r="G4822" s="62" t="n">
        <v>331.41</v>
      </c>
      <c r="H4822" s="63" t="n">
        <v>0.078</v>
      </c>
      <c r="I4822" s="62" t="n">
        <v>223.28</v>
      </c>
      <c r="J4822" s="58" t="inlineStr">
        <is>
          <t>Store</t>
        </is>
      </c>
      <c r="K4822" s="62">
        <f>F4822*(G4822-H4822)</f>
        <v/>
      </c>
      <c r="L4822" s="62">
        <f>K4822-(F4822*I4822)</f>
        <v/>
      </c>
      <c r="M4822" s="64">
        <f>L4822/K4822</f>
        <v/>
      </c>
    </row>
    <row r="4823">
      <c r="A4823" s="58" t="inlineStr">
        <is>
          <t>RT20250504-04822</t>
        </is>
      </c>
      <c r="B4823" s="59" t="inlineStr">
        <is>
          <t>2025-05-04</t>
        </is>
      </c>
      <c r="C4823" s="60" t="inlineStr">
        <is>
          <t>Polar Snack Pro-641</t>
        </is>
      </c>
      <c r="D4823" s="58" t="inlineStr">
        <is>
          <t>Grocery</t>
        </is>
      </c>
      <c r="E4823" s="58" t="inlineStr">
        <is>
          <t>East</t>
        </is>
      </c>
      <c r="F4823" s="61" t="n">
        <v>2</v>
      </c>
      <c r="G4823" s="62" t="n">
        <v>12.85</v>
      </c>
      <c r="H4823" s="63" t="n">
        <v>0.067</v>
      </c>
      <c r="I4823" s="62" t="n">
        <v>9.56</v>
      </c>
      <c r="J4823" s="58" t="inlineStr">
        <is>
          <t>Store</t>
        </is>
      </c>
      <c r="K4823" s="62">
        <f>F4823*(G4823-H4823)</f>
        <v/>
      </c>
      <c r="L4823" s="62">
        <f>K4823-(F4823*I4823)</f>
        <v/>
      </c>
      <c r="M4823" s="64">
        <f>L4823/K4823</f>
        <v/>
      </c>
    </row>
    <row r="4824">
      <c r="A4824" s="58" t="inlineStr">
        <is>
          <t>RT20250504-04823</t>
        </is>
      </c>
      <c r="B4824" s="59" t="inlineStr">
        <is>
          <t>2025-05-04</t>
        </is>
      </c>
      <c r="C4824" s="60" t="inlineStr">
        <is>
          <t>Vertex Decor Pro-618</t>
        </is>
      </c>
      <c r="D4824" s="58" t="inlineStr">
        <is>
          <t>Home</t>
        </is>
      </c>
      <c r="E4824" s="58" t="inlineStr">
        <is>
          <t>South</t>
        </is>
      </c>
      <c r="F4824" s="61" t="n">
        <v>1</v>
      </c>
      <c r="G4824" s="62" t="n">
        <v>604.08</v>
      </c>
      <c r="H4824" s="63" t="n">
        <v>0.049</v>
      </c>
      <c r="I4824" s="62" t="n">
        <v>374.79</v>
      </c>
      <c r="J4824" s="58" t="inlineStr">
        <is>
          <t>Store</t>
        </is>
      </c>
      <c r="K4824" s="62">
        <f>F4824*(G4824-H4824)</f>
        <v/>
      </c>
      <c r="L4824" s="62">
        <f>K4824-(F4824*I4824)</f>
        <v/>
      </c>
      <c r="M4824" s="64">
        <f>L4824/K4824</f>
        <v/>
      </c>
    </row>
    <row r="4825">
      <c r="A4825" s="58" t="inlineStr">
        <is>
          <t>RT20250504-04824</t>
        </is>
      </c>
      <c r="B4825" s="59" t="inlineStr">
        <is>
          <t>2025-05-04</t>
        </is>
      </c>
      <c r="C4825" s="60" t="inlineStr">
        <is>
          <t>Aurora Smartphone Plus-125</t>
        </is>
      </c>
      <c r="D4825" s="58" t="inlineStr">
        <is>
          <t>Electronics</t>
        </is>
      </c>
      <c r="E4825" s="58" t="inlineStr">
        <is>
          <t>Central</t>
        </is>
      </c>
      <c r="F4825" s="61" t="n">
        <v>2</v>
      </c>
      <c r="G4825" s="62" t="n">
        <v>1683.53</v>
      </c>
      <c r="H4825" s="63" t="n">
        <v>0.047</v>
      </c>
      <c r="I4825" s="62" t="n">
        <v>1228.63</v>
      </c>
      <c r="J4825" s="58" t="inlineStr">
        <is>
          <t>Phone</t>
        </is>
      </c>
      <c r="K4825" s="62">
        <f>F4825*(G4825-H4825)</f>
        <v/>
      </c>
      <c r="L4825" s="62">
        <f>K4825-(F4825*I4825)</f>
        <v/>
      </c>
      <c r="M4825" s="64">
        <f>L4825/K4825</f>
        <v/>
      </c>
    </row>
    <row r="4826">
      <c r="A4826" s="58" t="inlineStr">
        <is>
          <t>RT20250504-04825</t>
        </is>
      </c>
      <c r="B4826" s="59" t="inlineStr">
        <is>
          <t>2025-05-04</t>
        </is>
      </c>
      <c r="C4826" s="60" t="inlineStr">
        <is>
          <t>Polar Snack Pro-641</t>
        </is>
      </c>
      <c r="D4826" s="58" t="inlineStr">
        <is>
          <t>Grocery</t>
        </is>
      </c>
      <c r="E4826" s="58" t="inlineStr">
        <is>
          <t>East</t>
        </is>
      </c>
      <c r="F4826" s="61" t="n">
        <v>8</v>
      </c>
      <c r="G4826" s="62" t="n">
        <v>11.92</v>
      </c>
      <c r="H4826" s="63" t="n">
        <v>0.099</v>
      </c>
      <c r="I4826" s="62" t="n">
        <v>9.609999999999999</v>
      </c>
      <c r="J4826" s="58" t="inlineStr">
        <is>
          <t>Store</t>
        </is>
      </c>
      <c r="K4826" s="62">
        <f>F4826*(G4826-H4826)</f>
        <v/>
      </c>
      <c r="L4826" s="62">
        <f>K4826-(F4826*I4826)</f>
        <v/>
      </c>
      <c r="M4826" s="64">
        <f>L4826/K4826</f>
        <v/>
      </c>
    </row>
    <row r="4827">
      <c r="A4827" s="58" t="inlineStr">
        <is>
          <t>RT20250504-04826</t>
        </is>
      </c>
      <c r="B4827" s="59" t="inlineStr">
        <is>
          <t>2025-05-04</t>
        </is>
      </c>
      <c r="C4827" s="60" t="inlineStr">
        <is>
          <t>Falcon Headphone Pro-713</t>
        </is>
      </c>
      <c r="D4827" s="58" t="inlineStr">
        <is>
          <t>Electronics</t>
        </is>
      </c>
      <c r="E4827" s="58" t="inlineStr">
        <is>
          <t>North</t>
        </is>
      </c>
      <c r="F4827" s="61" t="n">
        <v>2</v>
      </c>
      <c r="G4827" s="62" t="n">
        <v>1413.75</v>
      </c>
      <c r="H4827" s="63" t="n">
        <v>0.032</v>
      </c>
      <c r="I4827" s="62" t="n">
        <v>1210.95</v>
      </c>
      <c r="J4827" s="58" t="inlineStr">
        <is>
          <t>Online</t>
        </is>
      </c>
      <c r="K4827" s="62">
        <f>F4827*(G4827-H4827)</f>
        <v/>
      </c>
      <c r="L4827" s="62">
        <f>K4827-(F4827*I4827)</f>
        <v/>
      </c>
      <c r="M4827" s="64">
        <f>L4827/K4827</f>
        <v/>
      </c>
    </row>
    <row r="4828">
      <c r="A4828" s="58" t="inlineStr">
        <is>
          <t>RT20250504-04827</t>
        </is>
      </c>
      <c r="B4828" s="59" t="inlineStr">
        <is>
          <t>2025-05-04</t>
        </is>
      </c>
      <c r="C4828" s="60" t="inlineStr">
        <is>
          <t>Solace Headphone Pro-344</t>
        </is>
      </c>
      <c r="D4828" s="58" t="inlineStr">
        <is>
          <t>Electronics</t>
        </is>
      </c>
      <c r="E4828" s="58" t="inlineStr">
        <is>
          <t>East</t>
        </is>
      </c>
      <c r="F4828" s="61" t="n">
        <v>1</v>
      </c>
      <c r="G4828" s="62" t="n">
        <v>1357.38</v>
      </c>
      <c r="H4828" s="63" t="n">
        <v>0.058</v>
      </c>
      <c r="I4828" s="62" t="n">
        <v>1061.82</v>
      </c>
      <c r="J4828" s="58" t="inlineStr">
        <is>
          <t>Online</t>
        </is>
      </c>
      <c r="K4828" s="62">
        <f>F4828*(G4828-H4828)</f>
        <v/>
      </c>
      <c r="L4828" s="62">
        <f>K4828-(F4828*I4828)</f>
        <v/>
      </c>
      <c r="M4828" s="64">
        <f>L4828/K4828</f>
        <v/>
      </c>
    </row>
    <row r="4829">
      <c r="A4829" s="58" t="inlineStr">
        <is>
          <t>RT20250504-04828</t>
        </is>
      </c>
      <c r="B4829" s="59" t="inlineStr">
        <is>
          <t>2025-05-04</t>
        </is>
      </c>
      <c r="C4829" s="60" t="inlineStr">
        <is>
          <t>Vertex Smartphone Lite-267</t>
        </is>
      </c>
      <c r="D4829" s="58" t="inlineStr">
        <is>
          <t>Electronics</t>
        </is>
      </c>
      <c r="E4829" s="58" t="inlineStr">
        <is>
          <t>East</t>
        </is>
      </c>
      <c r="F4829" s="61" t="n">
        <v>2</v>
      </c>
      <c r="G4829" s="62" t="n">
        <v>1265.07</v>
      </c>
      <c r="H4829" s="63" t="n">
        <v>0.095</v>
      </c>
      <c r="I4829" s="62" t="n">
        <v>990.47</v>
      </c>
      <c r="J4829" s="58" t="inlineStr">
        <is>
          <t>Online</t>
        </is>
      </c>
      <c r="K4829" s="62">
        <f>F4829*(G4829-H4829)</f>
        <v/>
      </c>
      <c r="L4829" s="62">
        <f>K4829-(F4829*I4829)</f>
        <v/>
      </c>
      <c r="M4829" s="64">
        <f>L4829/K4829</f>
        <v/>
      </c>
    </row>
    <row r="4830">
      <c r="A4830" s="58" t="inlineStr">
        <is>
          <t>RT20250504-04829</t>
        </is>
      </c>
      <c r="B4830" s="59" t="inlineStr">
        <is>
          <t>2025-05-04</t>
        </is>
      </c>
      <c r="C4830" s="60" t="inlineStr">
        <is>
          <t>Polar Outdoor Lite-318</t>
        </is>
      </c>
      <c r="D4830" s="58" t="inlineStr">
        <is>
          <t>Sports</t>
        </is>
      </c>
      <c r="E4830" s="58" t="inlineStr">
        <is>
          <t>Central</t>
        </is>
      </c>
      <c r="F4830" s="61" t="n">
        <v>1</v>
      </c>
      <c r="G4830" s="62" t="n">
        <v>752.89</v>
      </c>
      <c r="H4830" s="63" t="n">
        <v>0.064</v>
      </c>
      <c r="I4830" s="62" t="n">
        <v>479.24</v>
      </c>
      <c r="J4830" s="58" t="inlineStr">
        <is>
          <t>Online</t>
        </is>
      </c>
      <c r="K4830" s="62">
        <f>F4830*(G4830-H4830)</f>
        <v/>
      </c>
      <c r="L4830" s="62">
        <f>K4830-(F4830*I4830)</f>
        <v/>
      </c>
      <c r="M4830" s="64">
        <f>L4830/K4830</f>
        <v/>
      </c>
    </row>
    <row r="4831">
      <c r="A4831" s="58" t="inlineStr">
        <is>
          <t>RT20250504-04830</t>
        </is>
      </c>
      <c r="B4831" s="59" t="inlineStr">
        <is>
          <t>2025-05-04</t>
        </is>
      </c>
      <c r="C4831" s="60" t="inlineStr">
        <is>
          <t>Aurora Bedding Plus-187</t>
        </is>
      </c>
      <c r="D4831" s="58" t="inlineStr">
        <is>
          <t>Home</t>
        </is>
      </c>
      <c r="E4831" s="58" t="inlineStr">
        <is>
          <t>West</t>
        </is>
      </c>
      <c r="F4831" s="61" t="n">
        <v>2</v>
      </c>
      <c r="G4831" s="62" t="n">
        <v>298.08</v>
      </c>
      <c r="H4831" s="63" t="n">
        <v>0.013</v>
      </c>
      <c r="I4831" s="62" t="n">
        <v>205.44</v>
      </c>
      <c r="J4831" s="58" t="inlineStr">
        <is>
          <t>Store</t>
        </is>
      </c>
      <c r="K4831" s="62">
        <f>F4831*(G4831-H4831)</f>
        <v/>
      </c>
      <c r="L4831" s="62">
        <f>K4831-(F4831*I4831)</f>
        <v/>
      </c>
      <c r="M4831" s="64">
        <f>L4831/K4831</f>
        <v/>
      </c>
    </row>
    <row r="4832">
      <c r="A4832" s="58" t="inlineStr">
        <is>
          <t>RT20250504-04831</t>
        </is>
      </c>
      <c r="B4832" s="59" t="inlineStr">
        <is>
          <t>2025-05-04</t>
        </is>
      </c>
      <c r="C4832" s="60" t="inlineStr">
        <is>
          <t>Falcon Beverage Max-702</t>
        </is>
      </c>
      <c r="D4832" s="58" t="inlineStr">
        <is>
          <t>Grocery</t>
        </is>
      </c>
      <c r="E4832" s="58" t="inlineStr">
        <is>
          <t>West</t>
        </is>
      </c>
      <c r="F4832" s="61" t="n">
        <v>7</v>
      </c>
      <c r="G4832" s="62" t="n">
        <v>27.13</v>
      </c>
      <c r="H4832" s="63" t="n">
        <v>0.013</v>
      </c>
      <c r="I4832" s="62" t="n">
        <v>19.71</v>
      </c>
      <c r="J4832" s="58" t="inlineStr">
        <is>
          <t>Online</t>
        </is>
      </c>
      <c r="K4832" s="62">
        <f>F4832*(G4832-H4832)</f>
        <v/>
      </c>
      <c r="L4832" s="62">
        <f>K4832-(F4832*I4832)</f>
        <v/>
      </c>
      <c r="M4832" s="64">
        <f>L4832/K4832</f>
        <v/>
      </c>
    </row>
    <row r="4833">
      <c r="A4833" s="58" t="inlineStr">
        <is>
          <t>RT20250504-04832</t>
        </is>
      </c>
      <c r="B4833" s="59" t="inlineStr">
        <is>
          <t>2025-05-04</t>
        </is>
      </c>
      <c r="C4833" s="60" t="inlineStr">
        <is>
          <t>Solace Team Sport Max-548</t>
        </is>
      </c>
      <c r="D4833" s="58" t="inlineStr">
        <is>
          <t>Sports</t>
        </is>
      </c>
      <c r="E4833" s="58" t="inlineStr">
        <is>
          <t>East</t>
        </is>
      </c>
      <c r="F4833" s="61" t="n">
        <v>2</v>
      </c>
      <c r="G4833" s="62" t="n">
        <v>696.3099999999999</v>
      </c>
      <c r="H4833" s="63" t="n">
        <v>0.031</v>
      </c>
      <c r="I4833" s="62" t="n">
        <v>466.35</v>
      </c>
      <c r="J4833" s="58" t="inlineStr">
        <is>
          <t>Online</t>
        </is>
      </c>
      <c r="K4833" s="62">
        <f>F4833*(G4833-H4833)</f>
        <v/>
      </c>
      <c r="L4833" s="62">
        <f>K4833-(F4833*I4833)</f>
        <v/>
      </c>
      <c r="M4833" s="64">
        <f>L4833/K4833</f>
        <v/>
      </c>
    </row>
    <row r="4834">
      <c r="A4834" s="58" t="inlineStr">
        <is>
          <t>RT20250504-04833</t>
        </is>
      </c>
      <c r="B4834" s="59" t="inlineStr">
        <is>
          <t>2025-05-04</t>
        </is>
      </c>
      <c r="C4834" s="60" t="inlineStr">
        <is>
          <t>Falcon Accessorie S-195</t>
        </is>
      </c>
      <c r="D4834" s="58" t="inlineStr">
        <is>
          <t>Apparel</t>
        </is>
      </c>
      <c r="E4834" s="58" t="inlineStr">
        <is>
          <t>Central</t>
        </is>
      </c>
      <c r="F4834" s="61" t="n">
        <v>2</v>
      </c>
      <c r="G4834" s="62" t="n">
        <v>84.12</v>
      </c>
      <c r="H4834" s="63" t="n">
        <v>0.028</v>
      </c>
      <c r="I4834" s="62" t="n">
        <v>44.02</v>
      </c>
      <c r="J4834" s="58" t="inlineStr">
        <is>
          <t>Online</t>
        </is>
      </c>
      <c r="K4834" s="62">
        <f>F4834*(G4834-H4834)</f>
        <v/>
      </c>
      <c r="L4834" s="62">
        <f>K4834-(F4834*I4834)</f>
        <v/>
      </c>
      <c r="M4834" s="64">
        <f>L4834/K4834</f>
        <v/>
      </c>
    </row>
    <row r="4835">
      <c r="A4835" s="58" t="inlineStr">
        <is>
          <t>RT20250504-04834</t>
        </is>
      </c>
      <c r="B4835" s="59" t="inlineStr">
        <is>
          <t>2025-05-04</t>
        </is>
      </c>
      <c r="C4835" s="60" t="inlineStr">
        <is>
          <t>Aurora Appliance Max-316</t>
        </is>
      </c>
      <c r="D4835" s="58" t="inlineStr">
        <is>
          <t>Home</t>
        </is>
      </c>
      <c r="E4835" s="58" t="inlineStr">
        <is>
          <t>North</t>
        </is>
      </c>
      <c r="F4835" s="61" t="n">
        <v>1</v>
      </c>
      <c r="G4835" s="62" t="n">
        <v>297.59</v>
      </c>
      <c r="H4835" s="63" t="n">
        <v>0.083</v>
      </c>
      <c r="I4835" s="62" t="n">
        <v>217.64</v>
      </c>
      <c r="J4835" s="58" t="inlineStr">
        <is>
          <t>Online</t>
        </is>
      </c>
      <c r="K4835" s="62">
        <f>F4835*(G4835-H4835)</f>
        <v/>
      </c>
      <c r="L4835" s="62">
        <f>K4835-(F4835*I4835)</f>
        <v/>
      </c>
      <c r="M4835" s="64">
        <f>L4835/K4835</f>
        <v/>
      </c>
    </row>
    <row r="4836">
      <c r="A4836" s="58" t="inlineStr">
        <is>
          <t>RT20250504-04835</t>
        </is>
      </c>
      <c r="B4836" s="59" t="inlineStr">
        <is>
          <t>2025-05-04</t>
        </is>
      </c>
      <c r="C4836" s="60" t="inlineStr">
        <is>
          <t>Orion Supplie S-612</t>
        </is>
      </c>
      <c r="D4836" s="58" t="inlineStr">
        <is>
          <t>Office</t>
        </is>
      </c>
      <c r="E4836" s="58" t="inlineStr">
        <is>
          <t>South</t>
        </is>
      </c>
      <c r="F4836" s="61" t="n">
        <v>1</v>
      </c>
      <c r="G4836" s="62" t="n">
        <v>451.27</v>
      </c>
      <c r="H4836" s="63" t="n">
        <v>0.06900000000000001</v>
      </c>
      <c r="I4836" s="62" t="n">
        <v>342.61</v>
      </c>
      <c r="J4836" s="58" t="inlineStr">
        <is>
          <t>Online</t>
        </is>
      </c>
      <c r="K4836" s="62">
        <f>F4836*(G4836-H4836)</f>
        <v/>
      </c>
      <c r="L4836" s="62">
        <f>K4836-(F4836*I4836)</f>
        <v/>
      </c>
      <c r="M4836" s="64">
        <f>L4836/K4836</f>
        <v/>
      </c>
    </row>
    <row r="4837">
      <c r="A4837" s="58" t="inlineStr">
        <is>
          <t>RT20250504-04836</t>
        </is>
      </c>
      <c r="B4837" s="59" t="inlineStr">
        <is>
          <t>2025-05-04</t>
        </is>
      </c>
      <c r="C4837" s="60" t="inlineStr">
        <is>
          <t>Polar Snack Pro-641</t>
        </is>
      </c>
      <c r="D4837" s="58" t="inlineStr">
        <is>
          <t>Grocery</t>
        </is>
      </c>
      <c r="E4837" s="58" t="inlineStr">
        <is>
          <t>North</t>
        </is>
      </c>
      <c r="F4837" s="61" t="n">
        <v>2</v>
      </c>
      <c r="G4837" s="62" t="n">
        <v>13.1</v>
      </c>
      <c r="H4837" s="63" t="n">
        <v>0</v>
      </c>
      <c r="I4837" s="62" t="n">
        <v>9.279999999999999</v>
      </c>
      <c r="J4837" s="58" t="inlineStr">
        <is>
          <t>Phone</t>
        </is>
      </c>
      <c r="K4837" s="62">
        <f>F4837*(G4837-H4837)</f>
        <v/>
      </c>
      <c r="L4837" s="62">
        <f>K4837-(F4837*I4837)</f>
        <v/>
      </c>
      <c r="M4837" s="64">
        <f>L4837/K4837</f>
        <v/>
      </c>
    </row>
    <row r="4838">
      <c r="A4838" s="58" t="inlineStr">
        <is>
          <t>RT20250504-04837</t>
        </is>
      </c>
      <c r="B4838" s="59" t="inlineStr">
        <is>
          <t>2025-05-04</t>
        </is>
      </c>
      <c r="C4838" s="60" t="inlineStr">
        <is>
          <t>Nimbus Women Plus-352</t>
        </is>
      </c>
      <c r="D4838" s="58" t="inlineStr">
        <is>
          <t>Apparel</t>
        </is>
      </c>
      <c r="E4838" s="58" t="inlineStr">
        <is>
          <t>North</t>
        </is>
      </c>
      <c r="F4838" s="61" t="n">
        <v>4</v>
      </c>
      <c r="G4838" s="62" t="n">
        <v>58.66</v>
      </c>
      <c r="H4838" s="63" t="n">
        <v>0.08400000000000001</v>
      </c>
      <c r="I4838" s="62" t="n">
        <v>33.62</v>
      </c>
      <c r="J4838" s="58" t="inlineStr">
        <is>
          <t>Online</t>
        </is>
      </c>
      <c r="K4838" s="62">
        <f>F4838*(G4838-H4838)</f>
        <v/>
      </c>
      <c r="L4838" s="62">
        <f>K4838-(F4838*I4838)</f>
        <v/>
      </c>
      <c r="M4838" s="64">
        <f>L4838/K4838</f>
        <v/>
      </c>
    </row>
    <row r="4839">
      <c r="A4839" s="58" t="inlineStr">
        <is>
          <t>RT20250504-04838</t>
        </is>
      </c>
      <c r="B4839" s="59" t="inlineStr">
        <is>
          <t>2025-05-04</t>
        </is>
      </c>
      <c r="C4839" s="60" t="inlineStr">
        <is>
          <t>Vertex Men X-995</t>
        </is>
      </c>
      <c r="D4839" s="58" t="inlineStr">
        <is>
          <t>Apparel</t>
        </is>
      </c>
      <c r="E4839" s="58" t="inlineStr">
        <is>
          <t>Central</t>
        </is>
      </c>
      <c r="F4839" s="61" t="n">
        <v>1</v>
      </c>
      <c r="G4839" s="62" t="n">
        <v>90.48</v>
      </c>
      <c r="H4839" s="63" t="n">
        <v>0.063</v>
      </c>
      <c r="I4839" s="62" t="n">
        <v>58.96</v>
      </c>
      <c r="J4839" s="58" t="inlineStr">
        <is>
          <t>Online</t>
        </is>
      </c>
      <c r="K4839" s="62">
        <f>F4839*(G4839-H4839)</f>
        <v/>
      </c>
      <c r="L4839" s="62">
        <f>K4839-(F4839*I4839)</f>
        <v/>
      </c>
      <c r="M4839" s="64">
        <f>L4839/K4839</f>
        <v/>
      </c>
    </row>
    <row r="4840">
      <c r="A4840" s="58" t="inlineStr">
        <is>
          <t>RT20250505-04839</t>
        </is>
      </c>
      <c r="B4840" s="59" t="inlineStr">
        <is>
          <t>2025-05-05</t>
        </is>
      </c>
      <c r="C4840" s="60" t="inlineStr">
        <is>
          <t>Metro Pantry X-710</t>
        </is>
      </c>
      <c r="D4840" s="58" t="inlineStr">
        <is>
          <t>Grocery</t>
        </is>
      </c>
      <c r="E4840" s="58" t="inlineStr">
        <is>
          <t>Central</t>
        </is>
      </c>
      <c r="F4840" s="61" t="n">
        <v>2</v>
      </c>
      <c r="G4840" s="62" t="n">
        <v>6.04</v>
      </c>
      <c r="H4840" s="63" t="n">
        <v>0.049</v>
      </c>
      <c r="I4840" s="62" t="n">
        <v>4.14</v>
      </c>
      <c r="J4840" s="58" t="inlineStr">
        <is>
          <t>Online</t>
        </is>
      </c>
      <c r="K4840" s="62">
        <f>F4840*(G4840-H4840)</f>
        <v/>
      </c>
      <c r="L4840" s="62">
        <f>K4840-(F4840*I4840)</f>
        <v/>
      </c>
      <c r="M4840" s="64">
        <f>L4840/K4840</f>
        <v/>
      </c>
    </row>
    <row r="4841">
      <c r="A4841" s="58" t="inlineStr">
        <is>
          <t>RT20250505-04840</t>
        </is>
      </c>
      <c r="B4841" s="59" t="inlineStr">
        <is>
          <t>2025-05-05</t>
        </is>
      </c>
      <c r="C4841" s="60" t="inlineStr">
        <is>
          <t>Nimbus Makeup Max-158</t>
        </is>
      </c>
      <c r="D4841" s="58" t="inlineStr">
        <is>
          <t>Beauty</t>
        </is>
      </c>
      <c r="E4841" s="58" t="inlineStr">
        <is>
          <t>East</t>
        </is>
      </c>
      <c r="F4841" s="61" t="n">
        <v>3</v>
      </c>
      <c r="G4841" s="62" t="n">
        <v>164.86</v>
      </c>
      <c r="H4841" s="63" t="n">
        <v>0.049</v>
      </c>
      <c r="I4841" s="62" t="n">
        <v>97.45</v>
      </c>
      <c r="J4841" s="58" t="inlineStr">
        <is>
          <t>Store</t>
        </is>
      </c>
      <c r="K4841" s="62">
        <f>F4841*(G4841-H4841)</f>
        <v/>
      </c>
      <c r="L4841" s="62">
        <f>K4841-(F4841*I4841)</f>
        <v/>
      </c>
      <c r="M4841" s="64">
        <f>L4841/K4841</f>
        <v/>
      </c>
    </row>
    <row r="4842">
      <c r="A4842" s="58" t="inlineStr">
        <is>
          <t>RT20250505-04841</t>
        </is>
      </c>
      <c r="B4842" s="59" t="inlineStr">
        <is>
          <t>2025-05-05</t>
        </is>
      </c>
      <c r="C4842" s="60" t="inlineStr">
        <is>
          <t>Nimbus Laptop Max-652</t>
        </is>
      </c>
      <c r="D4842" s="58" t="inlineStr">
        <is>
          <t>Electronics</t>
        </is>
      </c>
      <c r="E4842" s="58" t="inlineStr">
        <is>
          <t>North</t>
        </is>
      </c>
      <c r="F4842" s="61" t="n">
        <v>2</v>
      </c>
      <c r="G4842" s="62" t="n">
        <v>1301.35</v>
      </c>
      <c r="H4842" s="63" t="n">
        <v>0.08400000000000001</v>
      </c>
      <c r="I4842" s="62" t="n">
        <v>1031.81</v>
      </c>
      <c r="J4842" s="58" t="inlineStr">
        <is>
          <t>Store</t>
        </is>
      </c>
      <c r="K4842" s="62">
        <f>F4842*(G4842-H4842)</f>
        <v/>
      </c>
      <c r="L4842" s="62">
        <f>K4842-(F4842*I4842)</f>
        <v/>
      </c>
      <c r="M4842" s="64">
        <f>L4842/K4842</f>
        <v/>
      </c>
    </row>
    <row r="4843">
      <c r="A4843" s="58" t="inlineStr">
        <is>
          <t>RT20250505-04842</t>
        </is>
      </c>
      <c r="B4843" s="59" t="inlineStr">
        <is>
          <t>2025-05-05</t>
        </is>
      </c>
      <c r="C4843" s="60" t="inlineStr">
        <is>
          <t>Falcon Skincare Max-151</t>
        </is>
      </c>
      <c r="D4843" s="58" t="inlineStr">
        <is>
          <t>Beauty</t>
        </is>
      </c>
      <c r="E4843" s="58" t="inlineStr">
        <is>
          <t>East</t>
        </is>
      </c>
      <c r="F4843" s="61" t="n">
        <v>5</v>
      </c>
      <c r="G4843" s="62" t="n">
        <v>101.95</v>
      </c>
      <c r="H4843" s="63" t="n">
        <v>0.048</v>
      </c>
      <c r="I4843" s="62" t="n">
        <v>60.25</v>
      </c>
      <c r="J4843" s="58" t="inlineStr">
        <is>
          <t>Online</t>
        </is>
      </c>
      <c r="K4843" s="62">
        <f>F4843*(G4843-H4843)</f>
        <v/>
      </c>
      <c r="L4843" s="62">
        <f>K4843-(F4843*I4843)</f>
        <v/>
      </c>
      <c r="M4843" s="64">
        <f>L4843/K4843</f>
        <v/>
      </c>
    </row>
    <row r="4844">
      <c r="A4844" s="58" t="inlineStr">
        <is>
          <t>RT20250505-04843</t>
        </is>
      </c>
      <c r="B4844" s="59" t="inlineStr">
        <is>
          <t>2025-05-05</t>
        </is>
      </c>
      <c r="C4844" s="60" t="inlineStr">
        <is>
          <t>Falcon Headphone Pro-713</t>
        </is>
      </c>
      <c r="D4844" s="58" t="inlineStr">
        <is>
          <t>Electronics</t>
        </is>
      </c>
      <c r="E4844" s="58" t="inlineStr">
        <is>
          <t>East</t>
        </is>
      </c>
      <c r="F4844" s="61" t="n">
        <v>1</v>
      </c>
      <c r="G4844" s="62" t="n">
        <v>1480.37</v>
      </c>
      <c r="H4844" s="63" t="n">
        <v>0.038</v>
      </c>
      <c r="I4844" s="62" t="n">
        <v>1169.17</v>
      </c>
      <c r="J4844" s="58" t="inlineStr">
        <is>
          <t>Phone</t>
        </is>
      </c>
      <c r="K4844" s="62">
        <f>F4844*(G4844-H4844)</f>
        <v/>
      </c>
      <c r="L4844" s="62">
        <f>K4844-(F4844*I4844)</f>
        <v/>
      </c>
      <c r="M4844" s="64">
        <f>L4844/K4844</f>
        <v/>
      </c>
    </row>
    <row r="4845">
      <c r="A4845" s="58" t="inlineStr">
        <is>
          <t>RT20250505-04844</t>
        </is>
      </c>
      <c r="B4845" s="59" t="inlineStr">
        <is>
          <t>2025-05-05</t>
        </is>
      </c>
      <c r="C4845" s="60" t="inlineStr">
        <is>
          <t>Aurora Wearable Lite-162</t>
        </is>
      </c>
      <c r="D4845" s="58" t="inlineStr">
        <is>
          <t>Electronics</t>
        </is>
      </c>
      <c r="E4845" s="58" t="inlineStr">
        <is>
          <t>East</t>
        </is>
      </c>
      <c r="F4845" s="61" t="n">
        <v>2</v>
      </c>
      <c r="G4845" s="62" t="n">
        <v>1531.55</v>
      </c>
      <c r="H4845" s="63" t="n">
        <v>0.035</v>
      </c>
      <c r="I4845" s="62" t="n">
        <v>1160.11</v>
      </c>
      <c r="J4845" s="58" t="inlineStr">
        <is>
          <t>Store</t>
        </is>
      </c>
      <c r="K4845" s="62">
        <f>F4845*(G4845-H4845)</f>
        <v/>
      </c>
      <c r="L4845" s="62">
        <f>K4845-(F4845*I4845)</f>
        <v/>
      </c>
      <c r="M4845" s="64">
        <f>L4845/K4845</f>
        <v/>
      </c>
    </row>
    <row r="4846">
      <c r="A4846" s="58" t="inlineStr">
        <is>
          <t>RT20250505-04845</t>
        </is>
      </c>
      <c r="B4846" s="59" t="inlineStr">
        <is>
          <t>2025-05-05</t>
        </is>
      </c>
      <c r="C4846" s="60" t="inlineStr">
        <is>
          <t>Solace Smartphone Lite-533</t>
        </is>
      </c>
      <c r="D4846" s="58" t="inlineStr">
        <is>
          <t>Electronics</t>
        </is>
      </c>
      <c r="E4846" s="58" t="inlineStr">
        <is>
          <t>East</t>
        </is>
      </c>
      <c r="F4846" s="61" t="n">
        <v>1</v>
      </c>
      <c r="G4846" s="62" t="n">
        <v>1178.99</v>
      </c>
      <c r="H4846" s="63" t="n">
        <v>0.08699999999999999</v>
      </c>
      <c r="I4846" s="62" t="n">
        <v>946.39</v>
      </c>
      <c r="J4846" s="58" t="inlineStr">
        <is>
          <t>Online</t>
        </is>
      </c>
      <c r="K4846" s="62">
        <f>F4846*(G4846-H4846)</f>
        <v/>
      </c>
      <c r="L4846" s="62">
        <f>K4846-(F4846*I4846)</f>
        <v/>
      </c>
      <c r="M4846" s="64">
        <f>L4846/K4846</f>
        <v/>
      </c>
    </row>
    <row r="4847">
      <c r="A4847" s="58" t="inlineStr">
        <is>
          <t>RT20250505-04846</t>
        </is>
      </c>
      <c r="B4847" s="59" t="inlineStr">
        <is>
          <t>2025-05-05</t>
        </is>
      </c>
      <c r="C4847" s="60" t="inlineStr">
        <is>
          <t>Nimbus Cycling Plus-911</t>
        </is>
      </c>
      <c r="D4847" s="58" t="inlineStr">
        <is>
          <t>Sports</t>
        </is>
      </c>
      <c r="E4847" s="58" t="inlineStr">
        <is>
          <t>North</t>
        </is>
      </c>
      <c r="F4847" s="61" t="n">
        <v>2</v>
      </c>
      <c r="G4847" s="62" t="n">
        <v>525.3099999999999</v>
      </c>
      <c r="H4847" s="63" t="n">
        <v>0.055</v>
      </c>
      <c r="I4847" s="62" t="n">
        <v>386.82</v>
      </c>
      <c r="J4847" s="58" t="inlineStr">
        <is>
          <t>Online</t>
        </is>
      </c>
      <c r="K4847" s="62">
        <f>F4847*(G4847-H4847)</f>
        <v/>
      </c>
      <c r="L4847" s="62">
        <f>K4847-(F4847*I4847)</f>
        <v/>
      </c>
      <c r="M4847" s="64">
        <f>L4847/K4847</f>
        <v/>
      </c>
    </row>
    <row r="4848">
      <c r="A4848" s="58" t="inlineStr">
        <is>
          <t>RT20250505-04847</t>
        </is>
      </c>
      <c r="B4848" s="59" t="inlineStr">
        <is>
          <t>2025-05-05</t>
        </is>
      </c>
      <c r="C4848" s="60" t="inlineStr">
        <is>
          <t>Nimbus Men Plus-231</t>
        </is>
      </c>
      <c r="D4848" s="58" t="inlineStr">
        <is>
          <t>Apparel</t>
        </is>
      </c>
      <c r="E4848" s="58" t="inlineStr">
        <is>
          <t>South</t>
        </is>
      </c>
      <c r="F4848" s="61" t="n">
        <v>2</v>
      </c>
      <c r="G4848" s="62" t="n">
        <v>175.46</v>
      </c>
      <c r="H4848" s="63" t="n">
        <v>0.035</v>
      </c>
      <c r="I4848" s="62" t="n">
        <v>88.08</v>
      </c>
      <c r="J4848" s="58" t="inlineStr">
        <is>
          <t>Store</t>
        </is>
      </c>
      <c r="K4848" s="62">
        <f>F4848*(G4848-H4848)</f>
        <v/>
      </c>
      <c r="L4848" s="62">
        <f>K4848-(F4848*I4848)</f>
        <v/>
      </c>
      <c r="M4848" s="64">
        <f>L4848/K4848</f>
        <v/>
      </c>
    </row>
    <row r="4849">
      <c r="A4849" s="58" t="inlineStr">
        <is>
          <t>RT20250505-04848</t>
        </is>
      </c>
      <c r="B4849" s="59" t="inlineStr">
        <is>
          <t>2025-05-05</t>
        </is>
      </c>
      <c r="C4849" s="60" t="inlineStr">
        <is>
          <t>Metro Accessorie Lite-697</t>
        </is>
      </c>
      <c r="D4849" s="58" t="inlineStr">
        <is>
          <t>Apparel</t>
        </is>
      </c>
      <c r="E4849" s="58" t="inlineStr">
        <is>
          <t>Central</t>
        </is>
      </c>
      <c r="F4849" s="61" t="n">
        <v>2</v>
      </c>
      <c r="G4849" s="62" t="n">
        <v>141</v>
      </c>
      <c r="H4849" s="63" t="n">
        <v>0.049</v>
      </c>
      <c r="I4849" s="62" t="n">
        <v>74</v>
      </c>
      <c r="J4849" s="58" t="inlineStr">
        <is>
          <t>Online</t>
        </is>
      </c>
      <c r="K4849" s="62">
        <f>F4849*(G4849-H4849)</f>
        <v/>
      </c>
      <c r="L4849" s="62">
        <f>K4849-(F4849*I4849)</f>
        <v/>
      </c>
      <c r="M4849" s="64">
        <f>L4849/K4849</f>
        <v/>
      </c>
    </row>
    <row r="4850">
      <c r="A4850" s="58" t="inlineStr">
        <is>
          <t>RT20250505-04849</t>
        </is>
      </c>
      <c r="B4850" s="59" t="inlineStr">
        <is>
          <t>2025-05-05</t>
        </is>
      </c>
      <c r="C4850" s="60" t="inlineStr">
        <is>
          <t>Vertex Headphone Pro-801</t>
        </is>
      </c>
      <c r="D4850" s="58" t="inlineStr">
        <is>
          <t>Electronics</t>
        </is>
      </c>
      <c r="E4850" s="58" t="inlineStr">
        <is>
          <t>East</t>
        </is>
      </c>
      <c r="F4850" s="61" t="n">
        <v>2</v>
      </c>
      <c r="G4850" s="62" t="n">
        <v>1142.18</v>
      </c>
      <c r="H4850" s="63" t="n">
        <v>0.048</v>
      </c>
      <c r="I4850" s="62" t="n">
        <v>973.86</v>
      </c>
      <c r="J4850" s="58" t="inlineStr">
        <is>
          <t>Online</t>
        </is>
      </c>
      <c r="K4850" s="62">
        <f>F4850*(G4850-H4850)</f>
        <v/>
      </c>
      <c r="L4850" s="62">
        <f>K4850-(F4850*I4850)</f>
        <v/>
      </c>
      <c r="M4850" s="64">
        <f>L4850/K4850</f>
        <v/>
      </c>
    </row>
    <row r="4851">
      <c r="A4851" s="58" t="inlineStr">
        <is>
          <t>RT20250505-04850</t>
        </is>
      </c>
      <c r="B4851" s="59" t="inlineStr">
        <is>
          <t>2025-05-05</t>
        </is>
      </c>
      <c r="C4851" s="60" t="inlineStr">
        <is>
          <t>Falcon Headphone Pro-713</t>
        </is>
      </c>
      <c r="D4851" s="58" t="inlineStr">
        <is>
          <t>Electronics</t>
        </is>
      </c>
      <c r="E4851" s="58" t="inlineStr">
        <is>
          <t>East</t>
        </is>
      </c>
      <c r="F4851" s="61" t="n">
        <v>1</v>
      </c>
      <c r="G4851" s="62" t="n">
        <v>1457.17</v>
      </c>
      <c r="H4851" s="63" t="n">
        <v>0.095</v>
      </c>
      <c r="I4851" s="62" t="n">
        <v>1210.55</v>
      </c>
      <c r="J4851" s="58" t="inlineStr">
        <is>
          <t>Online</t>
        </is>
      </c>
      <c r="K4851" s="62">
        <f>F4851*(G4851-H4851)</f>
        <v/>
      </c>
      <c r="L4851" s="62">
        <f>K4851-(F4851*I4851)</f>
        <v/>
      </c>
      <c r="M4851" s="64">
        <f>L4851/K4851</f>
        <v/>
      </c>
    </row>
    <row r="4852">
      <c r="A4852" s="58" t="inlineStr">
        <is>
          <t>RT20250505-04851</t>
        </is>
      </c>
      <c r="B4852" s="59" t="inlineStr">
        <is>
          <t>2025-05-05</t>
        </is>
      </c>
      <c r="C4852" s="60" t="inlineStr">
        <is>
          <t>Aurora Furniture X-709</t>
        </is>
      </c>
      <c r="D4852" s="58" t="inlineStr">
        <is>
          <t>Office</t>
        </is>
      </c>
      <c r="E4852" s="58" t="inlineStr">
        <is>
          <t>West</t>
        </is>
      </c>
      <c r="F4852" s="61" t="n">
        <v>3</v>
      </c>
      <c r="G4852" s="62" t="n">
        <v>397.1</v>
      </c>
      <c r="H4852" s="63" t="n">
        <v>0.039</v>
      </c>
      <c r="I4852" s="62" t="n">
        <v>300.6</v>
      </c>
      <c r="J4852" s="58" t="inlineStr">
        <is>
          <t>Store</t>
        </is>
      </c>
      <c r="K4852" s="62">
        <f>F4852*(G4852-H4852)</f>
        <v/>
      </c>
      <c r="L4852" s="62">
        <f>K4852-(F4852*I4852)</f>
        <v/>
      </c>
      <c r="M4852" s="64">
        <f>L4852/K4852</f>
        <v/>
      </c>
    </row>
    <row r="4853">
      <c r="A4853" s="58" t="inlineStr">
        <is>
          <t>RT20250505-04852</t>
        </is>
      </c>
      <c r="B4853" s="59" t="inlineStr">
        <is>
          <t>2025-05-05</t>
        </is>
      </c>
      <c r="C4853" s="60" t="inlineStr">
        <is>
          <t>Polar Bedding Lite-243</t>
        </is>
      </c>
      <c r="D4853" s="58" t="inlineStr">
        <is>
          <t>Home</t>
        </is>
      </c>
      <c r="E4853" s="58" t="inlineStr">
        <is>
          <t>East</t>
        </is>
      </c>
      <c r="F4853" s="61" t="n">
        <v>3</v>
      </c>
      <c r="G4853" s="62" t="n">
        <v>461.5</v>
      </c>
      <c r="H4853" s="63" t="n">
        <v>0.03</v>
      </c>
      <c r="I4853" s="62" t="n">
        <v>320.4</v>
      </c>
      <c r="J4853" s="58" t="inlineStr">
        <is>
          <t>Online</t>
        </is>
      </c>
      <c r="K4853" s="62">
        <f>F4853*(G4853-H4853)</f>
        <v/>
      </c>
      <c r="L4853" s="62">
        <f>K4853-(F4853*I4853)</f>
        <v/>
      </c>
      <c r="M4853" s="64">
        <f>L4853/K4853</f>
        <v/>
      </c>
    </row>
    <row r="4854">
      <c r="A4854" s="58" t="inlineStr">
        <is>
          <t>RT20250505-04853</t>
        </is>
      </c>
      <c r="B4854" s="59" t="inlineStr">
        <is>
          <t>2025-05-05</t>
        </is>
      </c>
      <c r="C4854" s="60" t="inlineStr">
        <is>
          <t>Vertex Pantry Pro-165</t>
        </is>
      </c>
      <c r="D4854" s="58" t="inlineStr">
        <is>
          <t>Grocery</t>
        </is>
      </c>
      <c r="E4854" s="58" t="inlineStr">
        <is>
          <t>Central</t>
        </is>
      </c>
      <c r="F4854" s="61" t="n">
        <v>3</v>
      </c>
      <c r="G4854" s="62" t="n">
        <v>17.31</v>
      </c>
      <c r="H4854" s="63" t="n">
        <v>0.114</v>
      </c>
      <c r="I4854" s="62" t="n">
        <v>11.73</v>
      </c>
      <c r="J4854" s="58" t="inlineStr">
        <is>
          <t>Online</t>
        </is>
      </c>
      <c r="K4854" s="62">
        <f>F4854*(G4854-H4854)</f>
        <v/>
      </c>
      <c r="L4854" s="62">
        <f>K4854-(F4854*I4854)</f>
        <v/>
      </c>
      <c r="M4854" s="64">
        <f>L4854/K4854</f>
        <v/>
      </c>
    </row>
    <row r="4855">
      <c r="A4855" s="58" t="inlineStr">
        <is>
          <t>RT20250505-04854</t>
        </is>
      </c>
      <c r="B4855" s="59" t="inlineStr">
        <is>
          <t>2025-05-05</t>
        </is>
      </c>
      <c r="C4855" s="60" t="inlineStr">
        <is>
          <t>Vertex Decor Pro-618</t>
        </is>
      </c>
      <c r="D4855" s="58" t="inlineStr">
        <is>
          <t>Home</t>
        </is>
      </c>
      <c r="E4855" s="58" t="inlineStr">
        <is>
          <t>South</t>
        </is>
      </c>
      <c r="F4855" s="61" t="n">
        <v>2</v>
      </c>
      <c r="G4855" s="62" t="n">
        <v>544.26</v>
      </c>
      <c r="H4855" s="63" t="n">
        <v>0.077</v>
      </c>
      <c r="I4855" s="62" t="n">
        <v>375.2</v>
      </c>
      <c r="J4855" s="58" t="inlineStr">
        <is>
          <t>Online</t>
        </is>
      </c>
      <c r="K4855" s="62">
        <f>F4855*(G4855-H4855)</f>
        <v/>
      </c>
      <c r="L4855" s="62">
        <f>K4855-(F4855*I4855)</f>
        <v/>
      </c>
      <c r="M4855" s="64">
        <f>L4855/K4855</f>
        <v/>
      </c>
    </row>
    <row r="4856">
      <c r="A4856" s="58" t="inlineStr">
        <is>
          <t>RT20250505-04855</t>
        </is>
      </c>
      <c r="B4856" s="59" t="inlineStr">
        <is>
          <t>2025-05-05</t>
        </is>
      </c>
      <c r="C4856" s="60" t="inlineStr">
        <is>
          <t>Solace Kid S-384</t>
        </is>
      </c>
      <c r="D4856" s="58" t="inlineStr">
        <is>
          <t>Apparel</t>
        </is>
      </c>
      <c r="E4856" s="58" t="inlineStr">
        <is>
          <t>East</t>
        </is>
      </c>
      <c r="F4856" s="61" t="n">
        <v>4</v>
      </c>
      <c r="G4856" s="62" t="n">
        <v>121.08</v>
      </c>
      <c r="H4856" s="63" t="n">
        <v>0.056</v>
      </c>
      <c r="I4856" s="62" t="n">
        <v>62.55</v>
      </c>
      <c r="J4856" s="58" t="inlineStr">
        <is>
          <t>Online</t>
        </is>
      </c>
      <c r="K4856" s="62">
        <f>F4856*(G4856-H4856)</f>
        <v/>
      </c>
      <c r="L4856" s="62">
        <f>K4856-(F4856*I4856)</f>
        <v/>
      </c>
      <c r="M4856" s="64">
        <f>L4856/K4856</f>
        <v/>
      </c>
    </row>
    <row r="4857">
      <c r="A4857" s="58" t="inlineStr">
        <is>
          <t>RT20250505-04856</t>
        </is>
      </c>
      <c r="B4857" s="59" t="inlineStr">
        <is>
          <t>2025-05-05</t>
        </is>
      </c>
      <c r="C4857" s="60" t="inlineStr">
        <is>
          <t>Falcon Skincare Max-151</t>
        </is>
      </c>
      <c r="D4857" s="58" t="inlineStr">
        <is>
          <t>Beauty</t>
        </is>
      </c>
      <c r="E4857" s="58" t="inlineStr">
        <is>
          <t>East</t>
        </is>
      </c>
      <c r="F4857" s="61" t="n">
        <v>2</v>
      </c>
      <c r="G4857" s="62" t="n">
        <v>98.87</v>
      </c>
      <c r="H4857" s="63" t="n">
        <v>0.095</v>
      </c>
      <c r="I4857" s="62" t="n">
        <v>59.31</v>
      </c>
      <c r="J4857" s="58" t="inlineStr">
        <is>
          <t>Online</t>
        </is>
      </c>
      <c r="K4857" s="62">
        <f>F4857*(G4857-H4857)</f>
        <v/>
      </c>
      <c r="L4857" s="62">
        <f>K4857-(F4857*I4857)</f>
        <v/>
      </c>
      <c r="M4857" s="64">
        <f>L4857/K4857</f>
        <v/>
      </c>
    </row>
    <row r="4858">
      <c r="A4858" s="58" t="inlineStr">
        <is>
          <t>RT20250505-04857</t>
        </is>
      </c>
      <c r="B4858" s="59" t="inlineStr">
        <is>
          <t>2025-05-05</t>
        </is>
      </c>
      <c r="C4858" s="60" t="inlineStr">
        <is>
          <t>Falcon Skincare Max-151</t>
        </is>
      </c>
      <c r="D4858" s="58" t="inlineStr">
        <is>
          <t>Beauty</t>
        </is>
      </c>
      <c r="E4858" s="58" t="inlineStr">
        <is>
          <t>East</t>
        </is>
      </c>
      <c r="F4858" s="61" t="n">
        <v>5</v>
      </c>
      <c r="G4858" s="62" t="n">
        <v>93.27</v>
      </c>
      <c r="H4858" s="63" t="n">
        <v>0.059</v>
      </c>
      <c r="I4858" s="62" t="n">
        <v>57.8</v>
      </c>
      <c r="J4858" s="58" t="inlineStr">
        <is>
          <t>Online</t>
        </is>
      </c>
      <c r="K4858" s="62">
        <f>F4858*(G4858-H4858)</f>
        <v/>
      </c>
      <c r="L4858" s="62">
        <f>K4858-(F4858*I4858)</f>
        <v/>
      </c>
      <c r="M4858" s="64">
        <f>L4858/K4858</f>
        <v/>
      </c>
    </row>
    <row r="4859">
      <c r="A4859" s="58" t="inlineStr">
        <is>
          <t>RT20250505-04858</t>
        </is>
      </c>
      <c r="B4859" s="59" t="inlineStr">
        <is>
          <t>2025-05-05</t>
        </is>
      </c>
      <c r="C4859" s="60" t="inlineStr">
        <is>
          <t>Metro Wearable Plus-234</t>
        </is>
      </c>
      <c r="D4859" s="58" t="inlineStr">
        <is>
          <t>Electronics</t>
        </is>
      </c>
      <c r="E4859" s="58" t="inlineStr">
        <is>
          <t>Central</t>
        </is>
      </c>
      <c r="F4859" s="61" t="n">
        <v>2</v>
      </c>
      <c r="G4859" s="62" t="n">
        <v>1439.63</v>
      </c>
      <c r="H4859" s="63" t="n">
        <v>0.058</v>
      </c>
      <c r="I4859" s="62" t="n">
        <v>1165.34</v>
      </c>
      <c r="J4859" s="58" t="inlineStr">
        <is>
          <t>Online</t>
        </is>
      </c>
      <c r="K4859" s="62">
        <f>F4859*(G4859-H4859)</f>
        <v/>
      </c>
      <c r="L4859" s="62">
        <f>K4859-(F4859*I4859)</f>
        <v/>
      </c>
      <c r="M4859" s="64">
        <f>L4859/K4859</f>
        <v/>
      </c>
    </row>
    <row r="4860">
      <c r="A4860" s="58" t="inlineStr">
        <is>
          <t>RT20250505-04859</t>
        </is>
      </c>
      <c r="B4860" s="59" t="inlineStr">
        <is>
          <t>2025-05-05</t>
        </is>
      </c>
      <c r="C4860" s="60" t="inlineStr">
        <is>
          <t>Polar Pantry Lite-392</t>
        </is>
      </c>
      <c r="D4860" s="58" t="inlineStr">
        <is>
          <t>Grocery</t>
        </is>
      </c>
      <c r="E4860" s="58" t="inlineStr">
        <is>
          <t>East</t>
        </is>
      </c>
      <c r="F4860" s="61" t="n">
        <v>6</v>
      </c>
      <c r="G4860" s="62" t="n">
        <v>6.04</v>
      </c>
      <c r="H4860" s="63" t="n">
        <v>0.12</v>
      </c>
      <c r="I4860" s="62" t="n">
        <v>4.59</v>
      </c>
      <c r="J4860" s="58" t="inlineStr">
        <is>
          <t>Store</t>
        </is>
      </c>
      <c r="K4860" s="62">
        <f>F4860*(G4860-H4860)</f>
        <v/>
      </c>
      <c r="L4860" s="62">
        <f>K4860-(F4860*I4860)</f>
        <v/>
      </c>
      <c r="M4860" s="64">
        <f>L4860/K4860</f>
        <v/>
      </c>
    </row>
    <row r="4861">
      <c r="A4861" s="58" t="inlineStr">
        <is>
          <t>RT20250505-04860</t>
        </is>
      </c>
      <c r="B4861" s="59" t="inlineStr">
        <is>
          <t>2025-05-05</t>
        </is>
      </c>
      <c r="C4861" s="60" t="inlineStr">
        <is>
          <t>Falcon Storage X-734</t>
        </is>
      </c>
      <c r="D4861" s="58" t="inlineStr">
        <is>
          <t>Office</t>
        </is>
      </c>
      <c r="E4861" s="58" t="inlineStr">
        <is>
          <t>South</t>
        </is>
      </c>
      <c r="F4861" s="61" t="n">
        <v>3</v>
      </c>
      <c r="G4861" s="62" t="n">
        <v>393.67</v>
      </c>
      <c r="H4861" s="63" t="n">
        <v>0.05</v>
      </c>
      <c r="I4861" s="62" t="n">
        <v>280.69</v>
      </c>
      <c r="J4861" s="58" t="inlineStr">
        <is>
          <t>Store</t>
        </is>
      </c>
      <c r="K4861" s="62">
        <f>F4861*(G4861-H4861)</f>
        <v/>
      </c>
      <c r="L4861" s="62">
        <f>K4861-(F4861*I4861)</f>
        <v/>
      </c>
      <c r="M4861" s="64">
        <f>L4861/K4861</f>
        <v/>
      </c>
    </row>
    <row r="4862">
      <c r="A4862" s="58" t="inlineStr">
        <is>
          <t>RT20250505-04861</t>
        </is>
      </c>
      <c r="B4862" s="59" t="inlineStr">
        <is>
          <t>2025-05-05</t>
        </is>
      </c>
      <c r="C4862" s="60" t="inlineStr">
        <is>
          <t>Metro Printer X-294</t>
        </is>
      </c>
      <c r="D4862" s="58" t="inlineStr">
        <is>
          <t>Office</t>
        </is>
      </c>
      <c r="E4862" s="58" t="inlineStr">
        <is>
          <t>South</t>
        </is>
      </c>
      <c r="F4862" s="61" t="n">
        <v>1</v>
      </c>
      <c r="G4862" s="62" t="n">
        <v>545.58</v>
      </c>
      <c r="H4862" s="63" t="n">
        <v>0.059</v>
      </c>
      <c r="I4862" s="62" t="n">
        <v>405.05</v>
      </c>
      <c r="J4862" s="58" t="inlineStr">
        <is>
          <t>Store</t>
        </is>
      </c>
      <c r="K4862" s="62">
        <f>F4862*(G4862-H4862)</f>
        <v/>
      </c>
      <c r="L4862" s="62">
        <f>K4862-(F4862*I4862)</f>
        <v/>
      </c>
      <c r="M4862" s="64">
        <f>L4862/K4862</f>
        <v/>
      </c>
    </row>
    <row r="4863">
      <c r="A4863" s="58" t="inlineStr">
        <is>
          <t>RT20250505-04862</t>
        </is>
      </c>
      <c r="B4863" s="59" t="inlineStr">
        <is>
          <t>2025-05-05</t>
        </is>
      </c>
      <c r="C4863" s="60" t="inlineStr">
        <is>
          <t>Solace Fitnes S-324</t>
        </is>
      </c>
      <c r="D4863" s="58" t="inlineStr">
        <is>
          <t>Sports</t>
        </is>
      </c>
      <c r="E4863" s="58" t="inlineStr">
        <is>
          <t>Central</t>
        </is>
      </c>
      <c r="F4863" s="61" t="n">
        <v>1</v>
      </c>
      <c r="G4863" s="62" t="n">
        <v>797.65</v>
      </c>
      <c r="H4863" s="63" t="n">
        <v>0.064</v>
      </c>
      <c r="I4863" s="62" t="n">
        <v>522.9400000000001</v>
      </c>
      <c r="J4863" s="58" t="inlineStr">
        <is>
          <t>Store</t>
        </is>
      </c>
      <c r="K4863" s="62">
        <f>F4863*(G4863-H4863)</f>
        <v/>
      </c>
      <c r="L4863" s="62">
        <f>K4863-(F4863*I4863)</f>
        <v/>
      </c>
      <c r="M4863" s="64">
        <f>L4863/K4863</f>
        <v/>
      </c>
    </row>
    <row r="4864">
      <c r="A4864" s="58" t="inlineStr">
        <is>
          <t>RT20250505-04863</t>
        </is>
      </c>
      <c r="B4864" s="59" t="inlineStr">
        <is>
          <t>2025-05-05</t>
        </is>
      </c>
      <c r="C4864" s="60" t="inlineStr">
        <is>
          <t>Vertex Skincare Pro-891</t>
        </is>
      </c>
      <c r="D4864" s="58" t="inlineStr">
        <is>
          <t>Beauty</t>
        </is>
      </c>
      <c r="E4864" s="58" t="inlineStr">
        <is>
          <t>West</t>
        </is>
      </c>
      <c r="F4864" s="61" t="n">
        <v>4</v>
      </c>
      <c r="G4864" s="62" t="n">
        <v>144.54</v>
      </c>
      <c r="H4864" s="63" t="n">
        <v>0.057</v>
      </c>
      <c r="I4864" s="62" t="n">
        <v>88.03</v>
      </c>
      <c r="J4864" s="58" t="inlineStr">
        <is>
          <t>Store</t>
        </is>
      </c>
      <c r="K4864" s="62">
        <f>F4864*(G4864-H4864)</f>
        <v/>
      </c>
      <c r="L4864" s="62">
        <f>K4864-(F4864*I4864)</f>
        <v/>
      </c>
      <c r="M4864" s="64">
        <f>L4864/K4864</f>
        <v/>
      </c>
    </row>
    <row r="4865">
      <c r="A4865" s="58" t="inlineStr">
        <is>
          <t>RT20250505-04864</t>
        </is>
      </c>
      <c r="B4865" s="59" t="inlineStr">
        <is>
          <t>2025-05-05</t>
        </is>
      </c>
      <c r="C4865" s="60" t="inlineStr">
        <is>
          <t>Polar Pantry Lite-392</t>
        </is>
      </c>
      <c r="D4865" s="58" t="inlineStr">
        <is>
          <t>Grocery</t>
        </is>
      </c>
      <c r="E4865" s="58" t="inlineStr">
        <is>
          <t>West</t>
        </is>
      </c>
      <c r="F4865" s="61" t="n">
        <v>8</v>
      </c>
      <c r="G4865" s="62" t="n">
        <v>6.62</v>
      </c>
      <c r="H4865" s="63" t="n">
        <v>0.03</v>
      </c>
      <c r="I4865" s="62" t="n">
        <v>4.65</v>
      </c>
      <c r="J4865" s="58" t="inlineStr">
        <is>
          <t>Online</t>
        </is>
      </c>
      <c r="K4865" s="62">
        <f>F4865*(G4865-H4865)</f>
        <v/>
      </c>
      <c r="L4865" s="62">
        <f>K4865-(F4865*I4865)</f>
        <v/>
      </c>
      <c r="M4865" s="64">
        <f>L4865/K4865</f>
        <v/>
      </c>
    </row>
    <row r="4866">
      <c r="A4866" s="58" t="inlineStr">
        <is>
          <t>RT20250505-04865</t>
        </is>
      </c>
      <c r="B4866" s="59" t="inlineStr">
        <is>
          <t>2025-05-05</t>
        </is>
      </c>
      <c r="C4866" s="60" t="inlineStr">
        <is>
          <t>Polar Outdoor Lite-318</t>
        </is>
      </c>
      <c r="D4866" s="58" t="inlineStr">
        <is>
          <t>Sports</t>
        </is>
      </c>
      <c r="E4866" s="58" t="inlineStr">
        <is>
          <t>North</t>
        </is>
      </c>
      <c r="F4866" s="61" t="n">
        <v>3</v>
      </c>
      <c r="G4866" s="62" t="n">
        <v>679.76</v>
      </c>
      <c r="H4866" s="63" t="n">
        <v>0.111</v>
      </c>
      <c r="I4866" s="62" t="n">
        <v>479.07</v>
      </c>
      <c r="J4866" s="58" t="inlineStr">
        <is>
          <t>Store</t>
        </is>
      </c>
      <c r="K4866" s="62">
        <f>F4866*(G4866-H4866)</f>
        <v/>
      </c>
      <c r="L4866" s="62">
        <f>K4866-(F4866*I4866)</f>
        <v/>
      </c>
      <c r="M4866" s="64">
        <f>L4866/K4866</f>
        <v/>
      </c>
    </row>
    <row r="4867">
      <c r="A4867" s="58" t="inlineStr">
        <is>
          <t>RT20250505-04866</t>
        </is>
      </c>
      <c r="B4867" s="59" t="inlineStr">
        <is>
          <t>2025-05-05</t>
        </is>
      </c>
      <c r="C4867" s="60" t="inlineStr">
        <is>
          <t>Aurora Printer Plus-991</t>
        </is>
      </c>
      <c r="D4867" s="58" t="inlineStr">
        <is>
          <t>Office</t>
        </is>
      </c>
      <c r="E4867" s="58" t="inlineStr">
        <is>
          <t>East</t>
        </is>
      </c>
      <c r="F4867" s="61" t="n">
        <v>1</v>
      </c>
      <c r="G4867" s="62" t="n">
        <v>510.48</v>
      </c>
      <c r="H4867" s="63" t="n">
        <v>0.042</v>
      </c>
      <c r="I4867" s="62" t="n">
        <v>379.04</v>
      </c>
      <c r="J4867" s="58" t="inlineStr">
        <is>
          <t>Online</t>
        </is>
      </c>
      <c r="K4867" s="62">
        <f>F4867*(G4867-H4867)</f>
        <v/>
      </c>
      <c r="L4867" s="62">
        <f>K4867-(F4867*I4867)</f>
        <v/>
      </c>
      <c r="M4867" s="64">
        <f>L4867/K4867</f>
        <v/>
      </c>
    </row>
    <row r="4868">
      <c r="A4868" s="58" t="inlineStr">
        <is>
          <t>RT20250505-04867</t>
        </is>
      </c>
      <c r="B4868" s="59" t="inlineStr">
        <is>
          <t>2025-05-05</t>
        </is>
      </c>
      <c r="C4868" s="60" t="inlineStr">
        <is>
          <t>Metro Printer X-294</t>
        </is>
      </c>
      <c r="D4868" s="58" t="inlineStr">
        <is>
          <t>Office</t>
        </is>
      </c>
      <c r="E4868" s="58" t="inlineStr">
        <is>
          <t>West</t>
        </is>
      </c>
      <c r="F4868" s="61" t="n">
        <v>2</v>
      </c>
      <c r="G4868" s="62" t="n">
        <v>573.62</v>
      </c>
      <c r="H4868" s="63" t="n">
        <v>0.021</v>
      </c>
      <c r="I4868" s="62" t="n">
        <v>402.52</v>
      </c>
      <c r="J4868" s="58" t="inlineStr">
        <is>
          <t>Store</t>
        </is>
      </c>
      <c r="K4868" s="62">
        <f>F4868*(G4868-H4868)</f>
        <v/>
      </c>
      <c r="L4868" s="62">
        <f>K4868-(F4868*I4868)</f>
        <v/>
      </c>
      <c r="M4868" s="64">
        <f>L4868/K4868</f>
        <v/>
      </c>
    </row>
    <row r="4869">
      <c r="A4869" s="58" t="inlineStr">
        <is>
          <t>RT20250505-04868</t>
        </is>
      </c>
      <c r="B4869" s="59" t="inlineStr">
        <is>
          <t>2025-05-05</t>
        </is>
      </c>
      <c r="C4869" s="60" t="inlineStr">
        <is>
          <t>Aurora Storage Lite-774</t>
        </is>
      </c>
      <c r="D4869" s="58" t="inlineStr">
        <is>
          <t>Office</t>
        </is>
      </c>
      <c r="E4869" s="58" t="inlineStr">
        <is>
          <t>Central</t>
        </is>
      </c>
      <c r="F4869" s="61" t="n">
        <v>1</v>
      </c>
      <c r="G4869" s="62" t="n">
        <v>351.95</v>
      </c>
      <c r="H4869" s="63" t="n">
        <v>0.052</v>
      </c>
      <c r="I4869" s="62" t="n">
        <v>243.05</v>
      </c>
      <c r="J4869" s="58" t="inlineStr">
        <is>
          <t>Store</t>
        </is>
      </c>
      <c r="K4869" s="62">
        <f>F4869*(G4869-H4869)</f>
        <v/>
      </c>
      <c r="L4869" s="62">
        <f>K4869-(F4869*I4869)</f>
        <v/>
      </c>
      <c r="M4869" s="64">
        <f>L4869/K4869</f>
        <v/>
      </c>
    </row>
    <row r="4870">
      <c r="A4870" s="58" t="inlineStr">
        <is>
          <t>RT20250505-04869</t>
        </is>
      </c>
      <c r="B4870" s="59" t="inlineStr">
        <is>
          <t>2025-05-05</t>
        </is>
      </c>
      <c r="C4870" s="60" t="inlineStr">
        <is>
          <t>Metro Fragrance Lite-261</t>
        </is>
      </c>
      <c r="D4870" s="58" t="inlineStr">
        <is>
          <t>Beauty</t>
        </is>
      </c>
      <c r="E4870" s="58" t="inlineStr">
        <is>
          <t>South</t>
        </is>
      </c>
      <c r="F4870" s="61" t="n">
        <v>4</v>
      </c>
      <c r="G4870" s="62" t="n">
        <v>91.89</v>
      </c>
      <c r="H4870" s="63" t="n">
        <v>0.07000000000000001</v>
      </c>
      <c r="I4870" s="62" t="n">
        <v>55.01</v>
      </c>
      <c r="J4870" s="58" t="inlineStr">
        <is>
          <t>Online</t>
        </is>
      </c>
      <c r="K4870" s="62">
        <f>F4870*(G4870-H4870)</f>
        <v/>
      </c>
      <c r="L4870" s="62">
        <f>K4870-(F4870*I4870)</f>
        <v/>
      </c>
      <c r="M4870" s="64">
        <f>L4870/K4870</f>
        <v/>
      </c>
    </row>
    <row r="4871">
      <c r="A4871" s="58" t="inlineStr">
        <is>
          <t>RT20250505-04870</t>
        </is>
      </c>
      <c r="B4871" s="59" t="inlineStr">
        <is>
          <t>2025-05-05</t>
        </is>
      </c>
      <c r="C4871" s="60" t="inlineStr">
        <is>
          <t>Aurora Skincare Max-798</t>
        </is>
      </c>
      <c r="D4871" s="58" t="inlineStr">
        <is>
          <t>Beauty</t>
        </is>
      </c>
      <c r="E4871" s="58" t="inlineStr">
        <is>
          <t>Central</t>
        </is>
      </c>
      <c r="F4871" s="61" t="n">
        <v>5</v>
      </c>
      <c r="G4871" s="62" t="n">
        <v>107.77</v>
      </c>
      <c r="H4871" s="63" t="n">
        <v>0.091</v>
      </c>
      <c r="I4871" s="62" t="n">
        <v>68.95</v>
      </c>
      <c r="J4871" s="58" t="inlineStr">
        <is>
          <t>Store</t>
        </is>
      </c>
      <c r="K4871" s="62">
        <f>F4871*(G4871-H4871)</f>
        <v/>
      </c>
      <c r="L4871" s="62">
        <f>K4871-(F4871*I4871)</f>
        <v/>
      </c>
      <c r="M4871" s="64">
        <f>L4871/K4871</f>
        <v/>
      </c>
    </row>
    <row r="4872">
      <c r="A4872" s="58" t="inlineStr">
        <is>
          <t>RT20250505-04871</t>
        </is>
      </c>
      <c r="B4872" s="59" t="inlineStr">
        <is>
          <t>2025-05-05</t>
        </is>
      </c>
      <c r="C4872" s="60" t="inlineStr">
        <is>
          <t>Polar Outdoor X-193</t>
        </is>
      </c>
      <c r="D4872" s="58" t="inlineStr">
        <is>
          <t>Sports</t>
        </is>
      </c>
      <c r="E4872" s="58" t="inlineStr">
        <is>
          <t>Central</t>
        </is>
      </c>
      <c r="F4872" s="61" t="n">
        <v>1</v>
      </c>
      <c r="G4872" s="62" t="n">
        <v>645.13</v>
      </c>
      <c r="H4872" s="63" t="n">
        <v>0.057</v>
      </c>
      <c r="I4872" s="62" t="n">
        <v>443.14</v>
      </c>
      <c r="J4872" s="58" t="inlineStr">
        <is>
          <t>Online</t>
        </is>
      </c>
      <c r="K4872" s="62">
        <f>F4872*(G4872-H4872)</f>
        <v/>
      </c>
      <c r="L4872" s="62">
        <f>K4872-(F4872*I4872)</f>
        <v/>
      </c>
      <c r="M4872" s="64">
        <f>L4872/K4872</f>
        <v/>
      </c>
    </row>
    <row r="4873">
      <c r="A4873" s="58" t="inlineStr">
        <is>
          <t>RT20250505-04872</t>
        </is>
      </c>
      <c r="B4873" s="59" t="inlineStr">
        <is>
          <t>2025-05-05</t>
        </is>
      </c>
      <c r="C4873" s="60" t="inlineStr">
        <is>
          <t>Falcon Furniture Plus-839</t>
        </is>
      </c>
      <c r="D4873" s="58" t="inlineStr">
        <is>
          <t>Office</t>
        </is>
      </c>
      <c r="E4873" s="58" t="inlineStr">
        <is>
          <t>West</t>
        </is>
      </c>
      <c r="F4873" s="61" t="n">
        <v>2</v>
      </c>
      <c r="G4873" s="62" t="n">
        <v>363.29</v>
      </c>
      <c r="H4873" s="63" t="n">
        <v>0.079</v>
      </c>
      <c r="I4873" s="62" t="n">
        <v>224.44</v>
      </c>
      <c r="J4873" s="58" t="inlineStr">
        <is>
          <t>Store</t>
        </is>
      </c>
      <c r="K4873" s="62">
        <f>F4873*(G4873-H4873)</f>
        <v/>
      </c>
      <c r="L4873" s="62">
        <f>K4873-(F4873*I4873)</f>
        <v/>
      </c>
      <c r="M4873" s="64">
        <f>L4873/K4873</f>
        <v/>
      </c>
    </row>
    <row r="4874">
      <c r="A4874" s="58" t="inlineStr">
        <is>
          <t>RT20250505-04873</t>
        </is>
      </c>
      <c r="B4874" s="59" t="inlineStr">
        <is>
          <t>2025-05-05</t>
        </is>
      </c>
      <c r="C4874" s="60" t="inlineStr">
        <is>
          <t>Aurora Storage Lite-774</t>
        </is>
      </c>
      <c r="D4874" s="58" t="inlineStr">
        <is>
          <t>Office</t>
        </is>
      </c>
      <c r="E4874" s="58" t="inlineStr">
        <is>
          <t>South</t>
        </is>
      </c>
      <c r="F4874" s="61" t="n">
        <v>3</v>
      </c>
      <c r="G4874" s="62" t="n">
        <v>354.73</v>
      </c>
      <c r="H4874" s="63" t="n">
        <v>0.08400000000000001</v>
      </c>
      <c r="I4874" s="62" t="n">
        <v>246.11</v>
      </c>
      <c r="J4874" s="58" t="inlineStr">
        <is>
          <t>Online</t>
        </is>
      </c>
      <c r="K4874" s="62">
        <f>F4874*(G4874-H4874)</f>
        <v/>
      </c>
      <c r="L4874" s="62">
        <f>K4874-(F4874*I4874)</f>
        <v/>
      </c>
      <c r="M4874" s="64">
        <f>L4874/K4874</f>
        <v/>
      </c>
    </row>
    <row r="4875">
      <c r="A4875" s="58" t="inlineStr">
        <is>
          <t>RT20250505-04874</t>
        </is>
      </c>
      <c r="B4875" s="59" t="inlineStr">
        <is>
          <t>2025-05-05</t>
        </is>
      </c>
      <c r="C4875" s="60" t="inlineStr">
        <is>
          <t>Nimbus Decor Lite-385</t>
        </is>
      </c>
      <c r="D4875" s="58" t="inlineStr">
        <is>
          <t>Home</t>
        </is>
      </c>
      <c r="E4875" s="58" t="inlineStr">
        <is>
          <t>East</t>
        </is>
      </c>
      <c r="F4875" s="61" t="n">
        <v>1</v>
      </c>
      <c r="G4875" s="62" t="n">
        <v>606.41</v>
      </c>
      <c r="H4875" s="63" t="n">
        <v>0.037</v>
      </c>
      <c r="I4875" s="62" t="n">
        <v>391.75</v>
      </c>
      <c r="J4875" s="58" t="inlineStr">
        <is>
          <t>Store</t>
        </is>
      </c>
      <c r="K4875" s="62">
        <f>F4875*(G4875-H4875)</f>
        <v/>
      </c>
      <c r="L4875" s="62">
        <f>K4875-(F4875*I4875)</f>
        <v/>
      </c>
      <c r="M4875" s="64">
        <f>L4875/K4875</f>
        <v/>
      </c>
    </row>
    <row r="4876">
      <c r="A4876" s="58" t="inlineStr">
        <is>
          <t>RT20250505-04875</t>
        </is>
      </c>
      <c r="B4876" s="59" t="inlineStr">
        <is>
          <t>2025-05-05</t>
        </is>
      </c>
      <c r="C4876" s="60" t="inlineStr">
        <is>
          <t>Vertex Fitnes Pro-830</t>
        </is>
      </c>
      <c r="D4876" s="58" t="inlineStr">
        <is>
          <t>Sports</t>
        </is>
      </c>
      <c r="E4876" s="58" t="inlineStr">
        <is>
          <t>South</t>
        </is>
      </c>
      <c r="F4876" s="61" t="n">
        <v>3</v>
      </c>
      <c r="G4876" s="62" t="n">
        <v>757.67</v>
      </c>
      <c r="H4876" s="63" t="n">
        <v>0.094</v>
      </c>
      <c r="I4876" s="62" t="n">
        <v>485.28</v>
      </c>
      <c r="J4876" s="58" t="inlineStr">
        <is>
          <t>Online</t>
        </is>
      </c>
      <c r="K4876" s="62">
        <f>F4876*(G4876-H4876)</f>
        <v/>
      </c>
      <c r="L4876" s="62">
        <f>K4876-(F4876*I4876)</f>
        <v/>
      </c>
      <c r="M4876" s="64">
        <f>L4876/K4876</f>
        <v/>
      </c>
    </row>
    <row r="4877">
      <c r="A4877" s="58" t="inlineStr">
        <is>
          <t>RT20250505-04876</t>
        </is>
      </c>
      <c r="B4877" s="59" t="inlineStr">
        <is>
          <t>2025-05-05</t>
        </is>
      </c>
      <c r="C4877" s="60" t="inlineStr">
        <is>
          <t>Polar Decor X-935</t>
        </is>
      </c>
      <c r="D4877" s="58" t="inlineStr">
        <is>
          <t>Home</t>
        </is>
      </c>
      <c r="E4877" s="58" t="inlineStr">
        <is>
          <t>East</t>
        </is>
      </c>
      <c r="F4877" s="61" t="n">
        <v>2</v>
      </c>
      <c r="G4877" s="62" t="n">
        <v>266.39</v>
      </c>
      <c r="H4877" s="63" t="n">
        <v>0.13</v>
      </c>
      <c r="I4877" s="62" t="n">
        <v>202.51</v>
      </c>
      <c r="J4877" s="58" t="inlineStr">
        <is>
          <t>Online</t>
        </is>
      </c>
      <c r="K4877" s="62">
        <f>F4877*(G4877-H4877)</f>
        <v/>
      </c>
      <c r="L4877" s="62">
        <f>K4877-(F4877*I4877)</f>
        <v/>
      </c>
      <c r="M4877" s="64">
        <f>L4877/K4877</f>
        <v/>
      </c>
    </row>
    <row r="4878">
      <c r="A4878" s="58" t="inlineStr">
        <is>
          <t>RT20250505-04877</t>
        </is>
      </c>
      <c r="B4878" s="59" t="inlineStr">
        <is>
          <t>2025-05-05</t>
        </is>
      </c>
      <c r="C4878" s="60" t="inlineStr">
        <is>
          <t>Solace Kid S-384</t>
        </is>
      </c>
      <c r="D4878" s="58" t="inlineStr">
        <is>
          <t>Apparel</t>
        </is>
      </c>
      <c r="E4878" s="58" t="inlineStr">
        <is>
          <t>West</t>
        </is>
      </c>
      <c r="F4878" s="61" t="n">
        <v>1</v>
      </c>
      <c r="G4878" s="62" t="n">
        <v>103.09</v>
      </c>
      <c r="H4878" s="63" t="n">
        <v>0.091</v>
      </c>
      <c r="I4878" s="62" t="n">
        <v>65.05</v>
      </c>
      <c r="J4878" s="58" t="inlineStr">
        <is>
          <t>Online</t>
        </is>
      </c>
      <c r="K4878" s="62">
        <f>F4878*(G4878-H4878)</f>
        <v/>
      </c>
      <c r="L4878" s="62">
        <f>K4878-(F4878*I4878)</f>
        <v/>
      </c>
      <c r="M4878" s="64">
        <f>L4878/K4878</f>
        <v/>
      </c>
    </row>
    <row r="4879">
      <c r="A4879" s="58" t="inlineStr">
        <is>
          <t>RT20250505-04878</t>
        </is>
      </c>
      <c r="B4879" s="59" t="inlineStr">
        <is>
          <t>2025-05-05</t>
        </is>
      </c>
      <c r="C4879" s="60" t="inlineStr">
        <is>
          <t>Aurora Team Sport Plus-256</t>
        </is>
      </c>
      <c r="D4879" s="58" t="inlineStr">
        <is>
          <t>Sports</t>
        </is>
      </c>
      <c r="E4879" s="58" t="inlineStr">
        <is>
          <t>Central</t>
        </is>
      </c>
      <c r="F4879" s="61" t="n">
        <v>2</v>
      </c>
      <c r="G4879" s="62" t="n">
        <v>637.8099999999999</v>
      </c>
      <c r="H4879" s="63" t="n">
        <v>0.037</v>
      </c>
      <c r="I4879" s="62" t="n">
        <v>412.28</v>
      </c>
      <c r="J4879" s="58" t="inlineStr">
        <is>
          <t>Online</t>
        </is>
      </c>
      <c r="K4879" s="62">
        <f>F4879*(G4879-H4879)</f>
        <v/>
      </c>
      <c r="L4879" s="62">
        <f>K4879-(F4879*I4879)</f>
        <v/>
      </c>
      <c r="M4879" s="64">
        <f>L4879/K4879</f>
        <v/>
      </c>
    </row>
    <row r="4880">
      <c r="A4880" s="58" t="inlineStr">
        <is>
          <t>RT20250505-04879</t>
        </is>
      </c>
      <c r="B4880" s="59" t="inlineStr">
        <is>
          <t>2025-05-05</t>
        </is>
      </c>
      <c r="C4880" s="60" t="inlineStr">
        <is>
          <t>Aurora Appliance Max-316</t>
        </is>
      </c>
      <c r="D4880" s="58" t="inlineStr">
        <is>
          <t>Home</t>
        </is>
      </c>
      <c r="E4880" s="58" t="inlineStr">
        <is>
          <t>Central</t>
        </is>
      </c>
      <c r="F4880" s="61" t="n">
        <v>1</v>
      </c>
      <c r="G4880" s="62" t="n">
        <v>314.37</v>
      </c>
      <c r="H4880" s="63" t="n">
        <v>0.065</v>
      </c>
      <c r="I4880" s="62" t="n">
        <v>216.01</v>
      </c>
      <c r="J4880" s="58" t="inlineStr">
        <is>
          <t>Store</t>
        </is>
      </c>
      <c r="K4880" s="62">
        <f>F4880*(G4880-H4880)</f>
        <v/>
      </c>
      <c r="L4880" s="62">
        <f>K4880-(F4880*I4880)</f>
        <v/>
      </c>
      <c r="M4880" s="64">
        <f>L4880/K4880</f>
        <v/>
      </c>
    </row>
    <row r="4881">
      <c r="A4881" s="58" t="inlineStr">
        <is>
          <t>RT20250505-04880</t>
        </is>
      </c>
      <c r="B4881" s="59" t="inlineStr">
        <is>
          <t>2025-05-05</t>
        </is>
      </c>
      <c r="C4881" s="60" t="inlineStr">
        <is>
          <t>Polar Decor Plus-505</t>
        </is>
      </c>
      <c r="D4881" s="58" t="inlineStr">
        <is>
          <t>Home</t>
        </is>
      </c>
      <c r="E4881" s="58" t="inlineStr">
        <is>
          <t>North</t>
        </is>
      </c>
      <c r="F4881" s="61" t="n">
        <v>2</v>
      </c>
      <c r="G4881" s="62" t="n">
        <v>266.87</v>
      </c>
      <c r="H4881" s="63" t="n">
        <v>0.055</v>
      </c>
      <c r="I4881" s="62" t="n">
        <v>204.59</v>
      </c>
      <c r="J4881" s="58" t="inlineStr">
        <is>
          <t>Store</t>
        </is>
      </c>
      <c r="K4881" s="62">
        <f>F4881*(G4881-H4881)</f>
        <v/>
      </c>
      <c r="L4881" s="62">
        <f>K4881-(F4881*I4881)</f>
        <v/>
      </c>
      <c r="M4881" s="64">
        <f>L4881/K4881</f>
        <v/>
      </c>
    </row>
    <row r="4882">
      <c r="A4882" s="58" t="inlineStr">
        <is>
          <t>RT20250505-04881</t>
        </is>
      </c>
      <c r="B4882" s="59" t="inlineStr">
        <is>
          <t>2025-05-05</t>
        </is>
      </c>
      <c r="C4882" s="60" t="inlineStr">
        <is>
          <t>Solace Headphone Pro-344</t>
        </is>
      </c>
      <c r="D4882" s="58" t="inlineStr">
        <is>
          <t>Electronics</t>
        </is>
      </c>
      <c r="E4882" s="58" t="inlineStr">
        <is>
          <t>East</t>
        </is>
      </c>
      <c r="F4882" s="61" t="n">
        <v>2</v>
      </c>
      <c r="G4882" s="62" t="n">
        <v>1347.04</v>
      </c>
      <c r="H4882" s="63" t="n">
        <v>0.068</v>
      </c>
      <c r="I4882" s="62" t="n">
        <v>1049.25</v>
      </c>
      <c r="J4882" s="58" t="inlineStr">
        <is>
          <t>Store</t>
        </is>
      </c>
      <c r="K4882" s="62">
        <f>F4882*(G4882-H4882)</f>
        <v/>
      </c>
      <c r="L4882" s="62">
        <f>K4882-(F4882*I4882)</f>
        <v/>
      </c>
      <c r="M4882" s="64">
        <f>L4882/K4882</f>
        <v/>
      </c>
    </row>
    <row r="4883">
      <c r="A4883" s="58" t="inlineStr">
        <is>
          <t>RT20250505-04882</t>
        </is>
      </c>
      <c r="B4883" s="59" t="inlineStr">
        <is>
          <t>2025-05-05</t>
        </is>
      </c>
      <c r="C4883" s="60" t="inlineStr">
        <is>
          <t>Metro Beverage Max-490</t>
        </is>
      </c>
      <c r="D4883" s="58" t="inlineStr">
        <is>
          <t>Grocery</t>
        </is>
      </c>
      <c r="E4883" s="58" t="inlineStr">
        <is>
          <t>West</t>
        </is>
      </c>
      <c r="F4883" s="61" t="n">
        <v>3</v>
      </c>
      <c r="G4883" s="62" t="n">
        <v>9.93</v>
      </c>
      <c r="H4883" s="63" t="n">
        <v>0.066</v>
      </c>
      <c r="I4883" s="62" t="n">
        <v>8.380000000000001</v>
      </c>
      <c r="J4883" s="58" t="inlineStr">
        <is>
          <t>Online</t>
        </is>
      </c>
      <c r="K4883" s="62">
        <f>F4883*(G4883-H4883)</f>
        <v/>
      </c>
      <c r="L4883" s="62">
        <f>K4883-(F4883*I4883)</f>
        <v/>
      </c>
      <c r="M4883" s="64">
        <f>L4883/K4883</f>
        <v/>
      </c>
    </row>
    <row r="4884">
      <c r="A4884" s="58" t="inlineStr">
        <is>
          <t>RT20250505-04883</t>
        </is>
      </c>
      <c r="B4884" s="59" t="inlineStr">
        <is>
          <t>2025-05-05</t>
        </is>
      </c>
      <c r="C4884" s="60" t="inlineStr">
        <is>
          <t>Falcon Household Plus-796</t>
        </is>
      </c>
      <c r="D4884" s="58" t="inlineStr">
        <is>
          <t>Grocery</t>
        </is>
      </c>
      <c r="E4884" s="58" t="inlineStr">
        <is>
          <t>East</t>
        </is>
      </c>
      <c r="F4884" s="61" t="n">
        <v>1</v>
      </c>
      <c r="G4884" s="62" t="n">
        <v>22.46</v>
      </c>
      <c r="H4884" s="63" t="n">
        <v>0.049</v>
      </c>
      <c r="I4884" s="62" t="n">
        <v>17.78</v>
      </c>
      <c r="J4884" s="58" t="inlineStr">
        <is>
          <t>Online</t>
        </is>
      </c>
      <c r="K4884" s="62">
        <f>F4884*(G4884-H4884)</f>
        <v/>
      </c>
      <c r="L4884" s="62">
        <f>K4884-(F4884*I4884)</f>
        <v/>
      </c>
      <c r="M4884" s="64">
        <f>L4884/K4884</f>
        <v/>
      </c>
    </row>
    <row r="4885">
      <c r="A4885" s="58" t="inlineStr">
        <is>
          <t>RT20250505-04884</t>
        </is>
      </c>
      <c r="B4885" s="59" t="inlineStr">
        <is>
          <t>2025-05-05</t>
        </is>
      </c>
      <c r="C4885" s="60" t="inlineStr">
        <is>
          <t>Orion Storage Plus-961</t>
        </is>
      </c>
      <c r="D4885" s="58" t="inlineStr">
        <is>
          <t>Office</t>
        </is>
      </c>
      <c r="E4885" s="58" t="inlineStr">
        <is>
          <t>West</t>
        </is>
      </c>
      <c r="F4885" s="61" t="n">
        <v>1</v>
      </c>
      <c r="G4885" s="62" t="n">
        <v>485.57</v>
      </c>
      <c r="H4885" s="63" t="n">
        <v>0.049</v>
      </c>
      <c r="I4885" s="62" t="n">
        <v>354.03</v>
      </c>
      <c r="J4885" s="58" t="inlineStr">
        <is>
          <t>Online</t>
        </is>
      </c>
      <c r="K4885" s="62">
        <f>F4885*(G4885-H4885)</f>
        <v/>
      </c>
      <c r="L4885" s="62">
        <f>K4885-(F4885*I4885)</f>
        <v/>
      </c>
      <c r="M4885" s="64">
        <f>L4885/K4885</f>
        <v/>
      </c>
    </row>
    <row r="4886">
      <c r="A4886" s="58" t="inlineStr">
        <is>
          <t>RT20250505-04885</t>
        </is>
      </c>
      <c r="B4886" s="59" t="inlineStr">
        <is>
          <t>2025-05-05</t>
        </is>
      </c>
      <c r="C4886" s="60" t="inlineStr">
        <is>
          <t>Orion Men X-928</t>
        </is>
      </c>
      <c r="D4886" s="58" t="inlineStr">
        <is>
          <t>Apparel</t>
        </is>
      </c>
      <c r="E4886" s="58" t="inlineStr">
        <is>
          <t>South</t>
        </is>
      </c>
      <c r="F4886" s="61" t="n">
        <v>4</v>
      </c>
      <c r="G4886" s="62" t="n">
        <v>112.18</v>
      </c>
      <c r="H4886" s="63" t="n">
        <v>0.068</v>
      </c>
      <c r="I4886" s="62" t="n">
        <v>64.79000000000001</v>
      </c>
      <c r="J4886" s="58" t="inlineStr">
        <is>
          <t>Online</t>
        </is>
      </c>
      <c r="K4886" s="62">
        <f>F4886*(G4886-H4886)</f>
        <v/>
      </c>
      <c r="L4886" s="62">
        <f>K4886-(F4886*I4886)</f>
        <v/>
      </c>
      <c r="M4886" s="64">
        <f>L4886/K4886</f>
        <v/>
      </c>
    </row>
    <row r="4887">
      <c r="A4887" s="58" t="inlineStr">
        <is>
          <t>RT20250505-04886</t>
        </is>
      </c>
      <c r="B4887" s="59" t="inlineStr">
        <is>
          <t>2025-05-05</t>
        </is>
      </c>
      <c r="C4887" s="60" t="inlineStr">
        <is>
          <t>Aurora Bedding Plus-187</t>
        </is>
      </c>
      <c r="D4887" s="58" t="inlineStr">
        <is>
          <t>Home</t>
        </is>
      </c>
      <c r="E4887" s="58" t="inlineStr">
        <is>
          <t>South</t>
        </is>
      </c>
      <c r="F4887" s="61" t="n">
        <v>3</v>
      </c>
      <c r="G4887" s="62" t="n">
        <v>273.8</v>
      </c>
      <c r="H4887" s="63" t="n">
        <v>0.114</v>
      </c>
      <c r="I4887" s="62" t="n">
        <v>213.66</v>
      </c>
      <c r="J4887" s="58" t="inlineStr">
        <is>
          <t>Online</t>
        </is>
      </c>
      <c r="K4887" s="62">
        <f>F4887*(G4887-H4887)</f>
        <v/>
      </c>
      <c r="L4887" s="62">
        <f>K4887-(F4887*I4887)</f>
        <v/>
      </c>
      <c r="M4887" s="64">
        <f>L4887/K4887</f>
        <v/>
      </c>
    </row>
    <row r="4888">
      <c r="A4888" s="58" t="inlineStr">
        <is>
          <t>RT20250505-04887</t>
        </is>
      </c>
      <c r="B4888" s="59" t="inlineStr">
        <is>
          <t>2025-05-05</t>
        </is>
      </c>
      <c r="C4888" s="60" t="inlineStr">
        <is>
          <t>Orion Beverage Plus-949</t>
        </is>
      </c>
      <c r="D4888" s="58" t="inlineStr">
        <is>
          <t>Grocery</t>
        </is>
      </c>
      <c r="E4888" s="58" t="inlineStr">
        <is>
          <t>East</t>
        </is>
      </c>
      <c r="F4888" s="61" t="n">
        <v>2</v>
      </c>
      <c r="G4888" s="62" t="n">
        <v>17.99</v>
      </c>
      <c r="H4888" s="63" t="n">
        <v>0.104</v>
      </c>
      <c r="I4888" s="62" t="n">
        <v>13.71</v>
      </c>
      <c r="J4888" s="58" t="inlineStr">
        <is>
          <t>Store</t>
        </is>
      </c>
      <c r="K4888" s="62">
        <f>F4888*(G4888-H4888)</f>
        <v/>
      </c>
      <c r="L4888" s="62">
        <f>K4888-(F4888*I4888)</f>
        <v/>
      </c>
      <c r="M4888" s="64">
        <f>L4888/K4888</f>
        <v/>
      </c>
    </row>
    <row r="4889">
      <c r="A4889" s="58" t="inlineStr">
        <is>
          <t>RT20250505-04888</t>
        </is>
      </c>
      <c r="B4889" s="59" t="inlineStr">
        <is>
          <t>2025-05-05</t>
        </is>
      </c>
      <c r="C4889" s="60" t="inlineStr">
        <is>
          <t>Aurora Fragrance S-971</t>
        </is>
      </c>
      <c r="D4889" s="58" t="inlineStr">
        <is>
          <t>Beauty</t>
        </is>
      </c>
      <c r="E4889" s="58" t="inlineStr">
        <is>
          <t>East</t>
        </is>
      </c>
      <c r="F4889" s="61" t="n">
        <v>5</v>
      </c>
      <c r="G4889" s="62" t="n">
        <v>113.26</v>
      </c>
      <c r="H4889" s="63" t="n">
        <v>0.005</v>
      </c>
      <c r="I4889" s="62" t="n">
        <v>67.20999999999999</v>
      </c>
      <c r="J4889" s="58" t="inlineStr">
        <is>
          <t>Store</t>
        </is>
      </c>
      <c r="K4889" s="62">
        <f>F4889*(G4889-H4889)</f>
        <v/>
      </c>
      <c r="L4889" s="62">
        <f>K4889-(F4889*I4889)</f>
        <v/>
      </c>
      <c r="M4889" s="64">
        <f>L4889/K4889</f>
        <v/>
      </c>
    </row>
    <row r="4890">
      <c r="A4890" s="58" t="inlineStr">
        <is>
          <t>RT20250505-04889</t>
        </is>
      </c>
      <c r="B4890" s="59" t="inlineStr">
        <is>
          <t>2025-05-05</t>
        </is>
      </c>
      <c r="C4890" s="60" t="inlineStr">
        <is>
          <t>Polar Haircare Max-614</t>
        </is>
      </c>
      <c r="D4890" s="58" t="inlineStr">
        <is>
          <t>Beauty</t>
        </is>
      </c>
      <c r="E4890" s="58" t="inlineStr">
        <is>
          <t>West</t>
        </is>
      </c>
      <c r="F4890" s="61" t="n">
        <v>1</v>
      </c>
      <c r="G4890" s="62" t="n">
        <v>124.73</v>
      </c>
      <c r="H4890" s="63" t="n">
        <v>0.08599999999999999</v>
      </c>
      <c r="I4890" s="62" t="n">
        <v>71.3</v>
      </c>
      <c r="J4890" s="58" t="inlineStr">
        <is>
          <t>Online</t>
        </is>
      </c>
      <c r="K4890" s="62">
        <f>F4890*(G4890-H4890)</f>
        <v/>
      </c>
      <c r="L4890" s="62">
        <f>K4890-(F4890*I4890)</f>
        <v/>
      </c>
      <c r="M4890" s="64">
        <f>L4890/K4890</f>
        <v/>
      </c>
    </row>
    <row r="4891">
      <c r="A4891" s="58" t="inlineStr">
        <is>
          <t>RT20250506-04890</t>
        </is>
      </c>
      <c r="B4891" s="59" t="inlineStr">
        <is>
          <t>2025-05-06</t>
        </is>
      </c>
      <c r="C4891" s="60" t="inlineStr">
        <is>
          <t>Nimbus Headphone X-854</t>
        </is>
      </c>
      <c r="D4891" s="58" t="inlineStr">
        <is>
          <t>Electronics</t>
        </is>
      </c>
      <c r="E4891" s="58" t="inlineStr">
        <is>
          <t>East</t>
        </is>
      </c>
      <c r="F4891" s="61" t="n">
        <v>1</v>
      </c>
      <c r="G4891" s="62" t="n">
        <v>1631.26</v>
      </c>
      <c r="H4891" s="63" t="n">
        <v>0.021</v>
      </c>
      <c r="I4891" s="62" t="n">
        <v>1255.32</v>
      </c>
      <c r="J4891" s="58" t="inlineStr">
        <is>
          <t>Online</t>
        </is>
      </c>
      <c r="K4891" s="62">
        <f>F4891*(G4891-H4891)</f>
        <v/>
      </c>
      <c r="L4891" s="62">
        <f>K4891-(F4891*I4891)</f>
        <v/>
      </c>
      <c r="M4891" s="64">
        <f>L4891/K4891</f>
        <v/>
      </c>
    </row>
    <row r="4892">
      <c r="A4892" s="58" t="inlineStr">
        <is>
          <t>RT20250506-04891</t>
        </is>
      </c>
      <c r="B4892" s="59" t="inlineStr">
        <is>
          <t>2025-05-06</t>
        </is>
      </c>
      <c r="C4892" s="60" t="inlineStr">
        <is>
          <t>Falcon Beverage Max-702</t>
        </is>
      </c>
      <c r="D4892" s="58" t="inlineStr">
        <is>
          <t>Grocery</t>
        </is>
      </c>
      <c r="E4892" s="58" t="inlineStr">
        <is>
          <t>East</t>
        </is>
      </c>
      <c r="F4892" s="61" t="n">
        <v>2</v>
      </c>
      <c r="G4892" s="62" t="n">
        <v>25.07</v>
      </c>
      <c r="H4892" s="63" t="n">
        <v>0.046</v>
      </c>
      <c r="I4892" s="62" t="n">
        <v>20.46</v>
      </c>
      <c r="J4892" s="58" t="inlineStr">
        <is>
          <t>Online</t>
        </is>
      </c>
      <c r="K4892" s="62">
        <f>F4892*(G4892-H4892)</f>
        <v/>
      </c>
      <c r="L4892" s="62">
        <f>K4892-(F4892*I4892)</f>
        <v/>
      </c>
      <c r="M4892" s="64">
        <f>L4892/K4892</f>
        <v/>
      </c>
    </row>
    <row r="4893">
      <c r="A4893" s="58" t="inlineStr">
        <is>
          <t>RT20250506-04892</t>
        </is>
      </c>
      <c r="B4893" s="59" t="inlineStr">
        <is>
          <t>2025-05-06</t>
        </is>
      </c>
      <c r="C4893" s="60" t="inlineStr">
        <is>
          <t>Solace Fitnes S-324</t>
        </is>
      </c>
      <c r="D4893" s="58" t="inlineStr">
        <is>
          <t>Sports</t>
        </is>
      </c>
      <c r="E4893" s="58" t="inlineStr">
        <is>
          <t>South</t>
        </is>
      </c>
      <c r="F4893" s="61" t="n">
        <v>2</v>
      </c>
      <c r="G4893" s="62" t="n">
        <v>810.73</v>
      </c>
      <c r="H4893" s="63" t="n">
        <v>0.027</v>
      </c>
      <c r="I4893" s="62" t="n">
        <v>528.71</v>
      </c>
      <c r="J4893" s="58" t="inlineStr">
        <is>
          <t>Store</t>
        </is>
      </c>
      <c r="K4893" s="62">
        <f>F4893*(G4893-H4893)</f>
        <v/>
      </c>
      <c r="L4893" s="62">
        <f>K4893-(F4893*I4893)</f>
        <v/>
      </c>
      <c r="M4893" s="64">
        <f>L4893/K4893</f>
        <v/>
      </c>
    </row>
    <row r="4894">
      <c r="A4894" s="58" t="inlineStr">
        <is>
          <t>RT20250506-04893</t>
        </is>
      </c>
      <c r="B4894" s="59" t="inlineStr">
        <is>
          <t>2025-05-06</t>
        </is>
      </c>
      <c r="C4894" s="60" t="inlineStr">
        <is>
          <t>Solace Kid S-384</t>
        </is>
      </c>
      <c r="D4894" s="58" t="inlineStr">
        <is>
          <t>Apparel</t>
        </is>
      </c>
      <c r="E4894" s="58" t="inlineStr">
        <is>
          <t>East</t>
        </is>
      </c>
      <c r="F4894" s="61" t="n">
        <v>3</v>
      </c>
      <c r="G4894" s="62" t="n">
        <v>118.71</v>
      </c>
      <c r="H4894" s="63" t="n">
        <v>0.007</v>
      </c>
      <c r="I4894" s="62" t="n">
        <v>61.81</v>
      </c>
      <c r="J4894" s="58" t="inlineStr">
        <is>
          <t>Store</t>
        </is>
      </c>
      <c r="K4894" s="62">
        <f>F4894*(G4894-H4894)</f>
        <v/>
      </c>
      <c r="L4894" s="62">
        <f>K4894-(F4894*I4894)</f>
        <v/>
      </c>
      <c r="M4894" s="64">
        <f>L4894/K4894</f>
        <v/>
      </c>
    </row>
    <row r="4895">
      <c r="A4895" s="58" t="inlineStr">
        <is>
          <t>RT20250506-04894</t>
        </is>
      </c>
      <c r="B4895" s="59" t="inlineStr">
        <is>
          <t>2025-05-06</t>
        </is>
      </c>
      <c r="C4895" s="60" t="inlineStr">
        <is>
          <t>Polar Snack Pro-641</t>
        </is>
      </c>
      <c r="D4895" s="58" t="inlineStr">
        <is>
          <t>Grocery</t>
        </is>
      </c>
      <c r="E4895" s="58" t="inlineStr">
        <is>
          <t>East</t>
        </is>
      </c>
      <c r="F4895" s="61" t="n">
        <v>6</v>
      </c>
      <c r="G4895" s="62" t="n">
        <v>12.7</v>
      </c>
      <c r="H4895" s="63" t="n">
        <v>0.076</v>
      </c>
      <c r="I4895" s="62" t="n">
        <v>9.300000000000001</v>
      </c>
      <c r="J4895" s="58" t="inlineStr">
        <is>
          <t>Online</t>
        </is>
      </c>
      <c r="K4895" s="62">
        <f>F4895*(G4895-H4895)</f>
        <v/>
      </c>
      <c r="L4895" s="62">
        <f>K4895-(F4895*I4895)</f>
        <v/>
      </c>
      <c r="M4895" s="64">
        <f>L4895/K4895</f>
        <v/>
      </c>
    </row>
    <row r="4896">
      <c r="A4896" s="58" t="inlineStr">
        <is>
          <t>RT20250506-04895</t>
        </is>
      </c>
      <c r="B4896" s="59" t="inlineStr">
        <is>
          <t>2025-05-06</t>
        </is>
      </c>
      <c r="C4896" s="60" t="inlineStr">
        <is>
          <t>Polar Beverage S-258</t>
        </is>
      </c>
      <c r="D4896" s="58" t="inlineStr">
        <is>
          <t>Grocery</t>
        </is>
      </c>
      <c r="E4896" s="58" t="inlineStr">
        <is>
          <t>West</t>
        </is>
      </c>
      <c r="F4896" s="61" t="n">
        <v>2</v>
      </c>
      <c r="G4896" s="62" t="n">
        <v>14.34</v>
      </c>
      <c r="H4896" s="63" t="n">
        <v>0.127</v>
      </c>
      <c r="I4896" s="62" t="n">
        <v>9.460000000000001</v>
      </c>
      <c r="J4896" s="58" t="inlineStr">
        <is>
          <t>Online</t>
        </is>
      </c>
      <c r="K4896" s="62">
        <f>F4896*(G4896-H4896)</f>
        <v/>
      </c>
      <c r="L4896" s="62">
        <f>K4896-(F4896*I4896)</f>
        <v/>
      </c>
      <c r="M4896" s="64">
        <f>L4896/K4896</f>
        <v/>
      </c>
    </row>
    <row r="4897">
      <c r="A4897" s="58" t="inlineStr">
        <is>
          <t>RT20250506-04896</t>
        </is>
      </c>
      <c r="B4897" s="59" t="inlineStr">
        <is>
          <t>2025-05-06</t>
        </is>
      </c>
      <c r="C4897" s="60" t="inlineStr">
        <is>
          <t>Orion Team Sport X-926</t>
        </is>
      </c>
      <c r="D4897" s="58" t="inlineStr">
        <is>
          <t>Sports</t>
        </is>
      </c>
      <c r="E4897" s="58" t="inlineStr">
        <is>
          <t>Central</t>
        </is>
      </c>
      <c r="F4897" s="61" t="n">
        <v>1</v>
      </c>
      <c r="G4897" s="62" t="n">
        <v>325.5</v>
      </c>
      <c r="H4897" s="63" t="n">
        <v>0.029</v>
      </c>
      <c r="I4897" s="62" t="n">
        <v>217.94</v>
      </c>
      <c r="J4897" s="58" t="inlineStr">
        <is>
          <t>Online</t>
        </is>
      </c>
      <c r="K4897" s="62">
        <f>F4897*(G4897-H4897)</f>
        <v/>
      </c>
      <c r="L4897" s="62">
        <f>K4897-(F4897*I4897)</f>
        <v/>
      </c>
      <c r="M4897" s="64">
        <f>L4897/K4897</f>
        <v/>
      </c>
    </row>
    <row r="4898">
      <c r="A4898" s="58" t="inlineStr">
        <is>
          <t>RT20250506-04897</t>
        </is>
      </c>
      <c r="B4898" s="59" t="inlineStr">
        <is>
          <t>2025-05-06</t>
        </is>
      </c>
      <c r="C4898" s="60" t="inlineStr">
        <is>
          <t>Falcon Household Plus-172</t>
        </is>
      </c>
      <c r="D4898" s="58" t="inlineStr">
        <is>
          <t>Grocery</t>
        </is>
      </c>
      <c r="E4898" s="58" t="inlineStr">
        <is>
          <t>South</t>
        </is>
      </c>
      <c r="F4898" s="61" t="n">
        <v>1</v>
      </c>
      <c r="G4898" s="62" t="n">
        <v>21.15</v>
      </c>
      <c r="H4898" s="63" t="n">
        <v>0.045</v>
      </c>
      <c r="I4898" s="62" t="n">
        <v>16.15</v>
      </c>
      <c r="J4898" s="58" t="inlineStr">
        <is>
          <t>Phone</t>
        </is>
      </c>
      <c r="K4898" s="62">
        <f>F4898*(G4898-H4898)</f>
        <v/>
      </c>
      <c r="L4898" s="62">
        <f>K4898-(F4898*I4898)</f>
        <v/>
      </c>
      <c r="M4898" s="64">
        <f>L4898/K4898</f>
        <v/>
      </c>
    </row>
    <row r="4899">
      <c r="A4899" s="58" t="inlineStr">
        <is>
          <t>RT20250506-04898</t>
        </is>
      </c>
      <c r="B4899" s="59" t="inlineStr">
        <is>
          <t>2025-05-06</t>
        </is>
      </c>
      <c r="C4899" s="60" t="inlineStr">
        <is>
          <t>Polar Women Max-927</t>
        </is>
      </c>
      <c r="D4899" s="58" t="inlineStr">
        <is>
          <t>Apparel</t>
        </is>
      </c>
      <c r="E4899" s="58" t="inlineStr">
        <is>
          <t>South</t>
        </is>
      </c>
      <c r="F4899" s="61" t="n">
        <v>2</v>
      </c>
      <c r="G4899" s="62" t="n">
        <v>124.88</v>
      </c>
      <c r="H4899" s="63" t="n">
        <v>0.08500000000000001</v>
      </c>
      <c r="I4899" s="62" t="n">
        <v>65.16</v>
      </c>
      <c r="J4899" s="58" t="inlineStr">
        <is>
          <t>Online</t>
        </is>
      </c>
      <c r="K4899" s="62">
        <f>F4899*(G4899-H4899)</f>
        <v/>
      </c>
      <c r="L4899" s="62">
        <f>K4899-(F4899*I4899)</f>
        <v/>
      </c>
      <c r="M4899" s="64">
        <f>L4899/K4899</f>
        <v/>
      </c>
    </row>
    <row r="4900">
      <c r="A4900" s="58" t="inlineStr">
        <is>
          <t>RT20250506-04899</t>
        </is>
      </c>
      <c r="B4900" s="59" t="inlineStr">
        <is>
          <t>2025-05-06</t>
        </is>
      </c>
      <c r="C4900" s="60" t="inlineStr">
        <is>
          <t>Falcon Household Plus-172</t>
        </is>
      </c>
      <c r="D4900" s="58" t="inlineStr">
        <is>
          <t>Grocery</t>
        </is>
      </c>
      <c r="E4900" s="58" t="inlineStr">
        <is>
          <t>South</t>
        </is>
      </c>
      <c r="F4900" s="61" t="n">
        <v>7</v>
      </c>
      <c r="G4900" s="62" t="n">
        <v>25.14</v>
      </c>
      <c r="H4900" s="63" t="n">
        <v>0.073</v>
      </c>
      <c r="I4900" s="62" t="n">
        <v>16.3</v>
      </c>
      <c r="J4900" s="58" t="inlineStr">
        <is>
          <t>Store</t>
        </is>
      </c>
      <c r="K4900" s="62">
        <f>F4900*(G4900-H4900)</f>
        <v/>
      </c>
      <c r="L4900" s="62">
        <f>K4900-(F4900*I4900)</f>
        <v/>
      </c>
      <c r="M4900" s="64">
        <f>L4900/K4900</f>
        <v/>
      </c>
    </row>
    <row r="4901">
      <c r="A4901" s="58" t="inlineStr">
        <is>
          <t>RT20250506-04900</t>
        </is>
      </c>
      <c r="B4901" s="59" t="inlineStr">
        <is>
          <t>2025-05-06</t>
        </is>
      </c>
      <c r="C4901" s="60" t="inlineStr">
        <is>
          <t>Orion Storage Plus-961</t>
        </is>
      </c>
      <c r="D4901" s="58" t="inlineStr">
        <is>
          <t>Office</t>
        </is>
      </c>
      <c r="E4901" s="58" t="inlineStr">
        <is>
          <t>Central</t>
        </is>
      </c>
      <c r="F4901" s="61" t="n">
        <v>2</v>
      </c>
      <c r="G4901" s="62" t="n">
        <v>539.65</v>
      </c>
      <c r="H4901" s="63" t="n">
        <v>0.012</v>
      </c>
      <c r="I4901" s="62" t="n">
        <v>369.8</v>
      </c>
      <c r="J4901" s="58" t="inlineStr">
        <is>
          <t>Online</t>
        </is>
      </c>
      <c r="K4901" s="62">
        <f>F4901*(G4901-H4901)</f>
        <v/>
      </c>
      <c r="L4901" s="62">
        <f>K4901-(F4901*I4901)</f>
        <v/>
      </c>
      <c r="M4901" s="64">
        <f>L4901/K4901</f>
        <v/>
      </c>
    </row>
    <row r="4902">
      <c r="A4902" s="58" t="inlineStr">
        <is>
          <t>RT20250506-04901</t>
        </is>
      </c>
      <c r="B4902" s="59" t="inlineStr">
        <is>
          <t>2025-05-06</t>
        </is>
      </c>
      <c r="C4902" s="60" t="inlineStr">
        <is>
          <t>Metro Printer X-294</t>
        </is>
      </c>
      <c r="D4902" s="58" t="inlineStr">
        <is>
          <t>Office</t>
        </is>
      </c>
      <c r="E4902" s="58" t="inlineStr">
        <is>
          <t>East</t>
        </is>
      </c>
      <c r="F4902" s="61" t="n">
        <v>3</v>
      </c>
      <c r="G4902" s="62" t="n">
        <v>557.52</v>
      </c>
      <c r="H4902" s="63" t="n">
        <v>0.103</v>
      </c>
      <c r="I4902" s="62" t="n">
        <v>401.71</v>
      </c>
      <c r="J4902" s="58" t="inlineStr">
        <is>
          <t>Online</t>
        </is>
      </c>
      <c r="K4902" s="62">
        <f>F4902*(G4902-H4902)</f>
        <v/>
      </c>
      <c r="L4902" s="62">
        <f>K4902-(F4902*I4902)</f>
        <v/>
      </c>
      <c r="M4902" s="64">
        <f>L4902/K4902</f>
        <v/>
      </c>
    </row>
    <row r="4903">
      <c r="A4903" s="58" t="inlineStr">
        <is>
          <t>RT20250506-04902</t>
        </is>
      </c>
      <c r="B4903" s="59" t="inlineStr">
        <is>
          <t>2025-05-06</t>
        </is>
      </c>
      <c r="C4903" s="60" t="inlineStr">
        <is>
          <t>Nimbus Cycling Plus-911</t>
        </is>
      </c>
      <c r="D4903" s="58" t="inlineStr">
        <is>
          <t>Sports</t>
        </is>
      </c>
      <c r="E4903" s="58" t="inlineStr">
        <is>
          <t>Central</t>
        </is>
      </c>
      <c r="F4903" s="61" t="n">
        <v>1</v>
      </c>
      <c r="G4903" s="62" t="n">
        <v>601.59</v>
      </c>
      <c r="H4903" s="63" t="n">
        <v>0.08400000000000001</v>
      </c>
      <c r="I4903" s="62" t="n">
        <v>400.02</v>
      </c>
      <c r="J4903" s="58" t="inlineStr">
        <is>
          <t>Online</t>
        </is>
      </c>
      <c r="K4903" s="62">
        <f>F4903*(G4903-H4903)</f>
        <v/>
      </c>
      <c r="L4903" s="62">
        <f>K4903-(F4903*I4903)</f>
        <v/>
      </c>
      <c r="M4903" s="64">
        <f>L4903/K4903</f>
        <v/>
      </c>
    </row>
    <row r="4904">
      <c r="A4904" s="58" t="inlineStr">
        <is>
          <t>RT20250506-04903</t>
        </is>
      </c>
      <c r="B4904" s="59" t="inlineStr">
        <is>
          <t>2025-05-06</t>
        </is>
      </c>
      <c r="C4904" s="60" t="inlineStr">
        <is>
          <t>Solace Bedding Plus-317</t>
        </is>
      </c>
      <c r="D4904" s="58" t="inlineStr">
        <is>
          <t>Home</t>
        </is>
      </c>
      <c r="E4904" s="58" t="inlineStr">
        <is>
          <t>East</t>
        </is>
      </c>
      <c r="F4904" s="61" t="n">
        <v>2</v>
      </c>
      <c r="G4904" s="62" t="n">
        <v>597.4400000000001</v>
      </c>
      <c r="H4904" s="63" t="n">
        <v>0.099</v>
      </c>
      <c r="I4904" s="62" t="n">
        <v>382.91</v>
      </c>
      <c r="J4904" s="58" t="inlineStr">
        <is>
          <t>Online</t>
        </is>
      </c>
      <c r="K4904" s="62">
        <f>F4904*(G4904-H4904)</f>
        <v/>
      </c>
      <c r="L4904" s="62">
        <f>K4904-(F4904*I4904)</f>
        <v/>
      </c>
      <c r="M4904" s="64">
        <f>L4904/K4904</f>
        <v/>
      </c>
    </row>
    <row r="4905">
      <c r="A4905" s="58" t="inlineStr">
        <is>
          <t>RT20250506-04904</t>
        </is>
      </c>
      <c r="B4905" s="59" t="inlineStr">
        <is>
          <t>2025-05-06</t>
        </is>
      </c>
      <c r="C4905" s="60" t="inlineStr">
        <is>
          <t>Metro Wearable Plus-234</t>
        </is>
      </c>
      <c r="D4905" s="58" t="inlineStr">
        <is>
          <t>Electronics</t>
        </is>
      </c>
      <c r="E4905" s="58" t="inlineStr">
        <is>
          <t>Central</t>
        </is>
      </c>
      <c r="F4905" s="61" t="n">
        <v>1</v>
      </c>
      <c r="G4905" s="62" t="n">
        <v>1401.93</v>
      </c>
      <c r="H4905" s="63" t="n">
        <v>0.113</v>
      </c>
      <c r="I4905" s="62" t="n">
        <v>1199.1</v>
      </c>
      <c r="J4905" s="58" t="inlineStr">
        <is>
          <t>Store</t>
        </is>
      </c>
      <c r="K4905" s="62">
        <f>F4905*(G4905-H4905)</f>
        <v/>
      </c>
      <c r="L4905" s="62">
        <f>K4905-(F4905*I4905)</f>
        <v/>
      </c>
      <c r="M4905" s="64">
        <f>L4905/K4905</f>
        <v/>
      </c>
    </row>
    <row r="4906">
      <c r="A4906" s="58" t="inlineStr">
        <is>
          <t>RT20250506-04905</t>
        </is>
      </c>
      <c r="B4906" s="59" t="inlineStr">
        <is>
          <t>2025-05-06</t>
        </is>
      </c>
      <c r="C4906" s="60" t="inlineStr">
        <is>
          <t>Falcon Headphone Pro-713</t>
        </is>
      </c>
      <c r="D4906" s="58" t="inlineStr">
        <is>
          <t>Electronics</t>
        </is>
      </c>
      <c r="E4906" s="58" t="inlineStr">
        <is>
          <t>Central</t>
        </is>
      </c>
      <c r="F4906" s="61" t="n">
        <v>2</v>
      </c>
      <c r="G4906" s="62" t="n">
        <v>1462.38</v>
      </c>
      <c r="H4906" s="63" t="n">
        <v>0.051</v>
      </c>
      <c r="I4906" s="62" t="n">
        <v>1165.06</v>
      </c>
      <c r="J4906" s="58" t="inlineStr">
        <is>
          <t>Online</t>
        </is>
      </c>
      <c r="K4906" s="62">
        <f>F4906*(G4906-H4906)</f>
        <v/>
      </c>
      <c r="L4906" s="62">
        <f>K4906-(F4906*I4906)</f>
        <v/>
      </c>
      <c r="M4906" s="64">
        <f>L4906/K4906</f>
        <v/>
      </c>
    </row>
    <row r="4907">
      <c r="A4907" s="58" t="inlineStr">
        <is>
          <t>RT20250506-04906</t>
        </is>
      </c>
      <c r="B4907" s="59" t="inlineStr">
        <is>
          <t>2025-05-06</t>
        </is>
      </c>
      <c r="C4907" s="60" t="inlineStr">
        <is>
          <t>Nimbus Storage Plus-646</t>
        </is>
      </c>
      <c r="D4907" s="58" t="inlineStr">
        <is>
          <t>Office</t>
        </is>
      </c>
      <c r="E4907" s="58" t="inlineStr">
        <is>
          <t>West</t>
        </is>
      </c>
      <c r="F4907" s="61" t="n">
        <v>3</v>
      </c>
      <c r="G4907" s="62" t="n">
        <v>401.91</v>
      </c>
      <c r="H4907" s="63" t="n">
        <v>0.115</v>
      </c>
      <c r="I4907" s="62" t="n">
        <v>319.05</v>
      </c>
      <c r="J4907" s="58" t="inlineStr">
        <is>
          <t>Online</t>
        </is>
      </c>
      <c r="K4907" s="62">
        <f>F4907*(G4907-H4907)</f>
        <v/>
      </c>
      <c r="L4907" s="62">
        <f>K4907-(F4907*I4907)</f>
        <v/>
      </c>
      <c r="M4907" s="64">
        <f>L4907/K4907</f>
        <v/>
      </c>
    </row>
    <row r="4908">
      <c r="A4908" s="58" t="inlineStr">
        <is>
          <t>RT20250506-04907</t>
        </is>
      </c>
      <c r="B4908" s="59" t="inlineStr">
        <is>
          <t>2025-05-06</t>
        </is>
      </c>
      <c r="C4908" s="60" t="inlineStr">
        <is>
          <t>Polar Outdoor Lite-318</t>
        </is>
      </c>
      <c r="D4908" s="58" t="inlineStr">
        <is>
          <t>Sports</t>
        </is>
      </c>
      <c r="E4908" s="58" t="inlineStr">
        <is>
          <t>East</t>
        </is>
      </c>
      <c r="F4908" s="61" t="n">
        <v>2</v>
      </c>
      <c r="G4908" s="62" t="n">
        <v>725.03</v>
      </c>
      <c r="H4908" s="63" t="n">
        <v>0.111</v>
      </c>
      <c r="I4908" s="62" t="n">
        <v>453.53</v>
      </c>
      <c r="J4908" s="58" t="inlineStr">
        <is>
          <t>Store</t>
        </is>
      </c>
      <c r="K4908" s="62">
        <f>F4908*(G4908-H4908)</f>
        <v/>
      </c>
      <c r="L4908" s="62">
        <f>K4908-(F4908*I4908)</f>
        <v/>
      </c>
      <c r="M4908" s="64">
        <f>L4908/K4908</f>
        <v/>
      </c>
    </row>
    <row r="4909">
      <c r="A4909" s="58" t="inlineStr">
        <is>
          <t>RT20250506-04908</t>
        </is>
      </c>
      <c r="B4909" s="59" t="inlineStr">
        <is>
          <t>2025-05-06</t>
        </is>
      </c>
      <c r="C4909" s="60" t="inlineStr">
        <is>
          <t>Nimbus Makeup Max-158</t>
        </is>
      </c>
      <c r="D4909" s="58" t="inlineStr">
        <is>
          <t>Beauty</t>
        </is>
      </c>
      <c r="E4909" s="58" t="inlineStr">
        <is>
          <t>West</t>
        </is>
      </c>
      <c r="F4909" s="61" t="n">
        <v>3</v>
      </c>
      <c r="G4909" s="62" t="n">
        <v>172</v>
      </c>
      <c r="H4909" s="63" t="n">
        <v>0.05</v>
      </c>
      <c r="I4909" s="62" t="n">
        <v>95.43000000000001</v>
      </c>
      <c r="J4909" s="58" t="inlineStr">
        <is>
          <t>Phone</t>
        </is>
      </c>
      <c r="K4909" s="62">
        <f>F4909*(G4909-H4909)</f>
        <v/>
      </c>
      <c r="L4909" s="62">
        <f>K4909-(F4909*I4909)</f>
        <v/>
      </c>
      <c r="M4909" s="64">
        <f>L4909/K4909</f>
        <v/>
      </c>
    </row>
    <row r="4910">
      <c r="A4910" s="58" t="inlineStr">
        <is>
          <t>RT20250506-04909</t>
        </is>
      </c>
      <c r="B4910" s="59" t="inlineStr">
        <is>
          <t>2025-05-06</t>
        </is>
      </c>
      <c r="C4910" s="60" t="inlineStr">
        <is>
          <t>Vertex Skincare Pro-891</t>
        </is>
      </c>
      <c r="D4910" s="58" t="inlineStr">
        <is>
          <t>Beauty</t>
        </is>
      </c>
      <c r="E4910" s="58" t="inlineStr">
        <is>
          <t>South</t>
        </is>
      </c>
      <c r="F4910" s="61" t="n">
        <v>2</v>
      </c>
      <c r="G4910" s="62" t="n">
        <v>142.82</v>
      </c>
      <c r="H4910" s="63" t="n">
        <v>0.041</v>
      </c>
      <c r="I4910" s="62" t="n">
        <v>85.92</v>
      </c>
      <c r="J4910" s="58" t="inlineStr">
        <is>
          <t>Online</t>
        </is>
      </c>
      <c r="K4910" s="62">
        <f>F4910*(G4910-H4910)</f>
        <v/>
      </c>
      <c r="L4910" s="62">
        <f>K4910-(F4910*I4910)</f>
        <v/>
      </c>
      <c r="M4910" s="64">
        <f>L4910/K4910</f>
        <v/>
      </c>
    </row>
    <row r="4911">
      <c r="A4911" s="58" t="inlineStr">
        <is>
          <t>RT20250506-04910</t>
        </is>
      </c>
      <c r="B4911" s="59" t="inlineStr">
        <is>
          <t>2025-05-06</t>
        </is>
      </c>
      <c r="C4911" s="60" t="inlineStr">
        <is>
          <t>Vertex Accessorie Pro-881</t>
        </is>
      </c>
      <c r="D4911" s="58" t="inlineStr">
        <is>
          <t>Apparel</t>
        </is>
      </c>
      <c r="E4911" s="58" t="inlineStr">
        <is>
          <t>South</t>
        </is>
      </c>
      <c r="F4911" s="61" t="n">
        <v>1</v>
      </c>
      <c r="G4911" s="62" t="n">
        <v>105.86</v>
      </c>
      <c r="H4911" s="63" t="n">
        <v>0.073</v>
      </c>
      <c r="I4911" s="62" t="n">
        <v>63.48</v>
      </c>
      <c r="J4911" s="58" t="inlineStr">
        <is>
          <t>Online</t>
        </is>
      </c>
      <c r="K4911" s="62">
        <f>F4911*(G4911-H4911)</f>
        <v/>
      </c>
      <c r="L4911" s="62">
        <f>K4911-(F4911*I4911)</f>
        <v/>
      </c>
      <c r="M4911" s="64">
        <f>L4911/K4911</f>
        <v/>
      </c>
    </row>
    <row r="4912">
      <c r="A4912" s="58" t="inlineStr">
        <is>
          <t>RT20250506-04911</t>
        </is>
      </c>
      <c r="B4912" s="59" t="inlineStr">
        <is>
          <t>2025-05-06</t>
        </is>
      </c>
      <c r="C4912" s="60" t="inlineStr">
        <is>
          <t>Nimbus Decor Lite-385</t>
        </is>
      </c>
      <c r="D4912" s="58" t="inlineStr">
        <is>
          <t>Home</t>
        </is>
      </c>
      <c r="E4912" s="58" t="inlineStr">
        <is>
          <t>East</t>
        </is>
      </c>
      <c r="F4912" s="61" t="n">
        <v>1</v>
      </c>
      <c r="G4912" s="62" t="n">
        <v>603.71</v>
      </c>
      <c r="H4912" s="63" t="n">
        <v>0.007</v>
      </c>
      <c r="I4912" s="62" t="n">
        <v>400.54</v>
      </c>
      <c r="J4912" s="58" t="inlineStr">
        <is>
          <t>Online</t>
        </is>
      </c>
      <c r="K4912" s="62">
        <f>F4912*(G4912-H4912)</f>
        <v/>
      </c>
      <c r="L4912" s="62">
        <f>K4912-(F4912*I4912)</f>
        <v/>
      </c>
      <c r="M4912" s="64">
        <f>L4912/K4912</f>
        <v/>
      </c>
    </row>
    <row r="4913">
      <c r="A4913" s="58" t="inlineStr">
        <is>
          <t>RT20250506-04912</t>
        </is>
      </c>
      <c r="B4913" s="59" t="inlineStr">
        <is>
          <t>2025-05-06</t>
        </is>
      </c>
      <c r="C4913" s="60" t="inlineStr">
        <is>
          <t>Vertex Smartphone Lite-267</t>
        </is>
      </c>
      <c r="D4913" s="58" t="inlineStr">
        <is>
          <t>Electronics</t>
        </is>
      </c>
      <c r="E4913" s="58" t="inlineStr">
        <is>
          <t>West</t>
        </is>
      </c>
      <c r="F4913" s="61" t="n">
        <v>2</v>
      </c>
      <c r="G4913" s="62" t="n">
        <v>1206.81</v>
      </c>
      <c r="H4913" s="63" t="n">
        <v>0.057</v>
      </c>
      <c r="I4913" s="62" t="n">
        <v>990.9</v>
      </c>
      <c r="J4913" s="58" t="inlineStr">
        <is>
          <t>Online</t>
        </is>
      </c>
      <c r="K4913" s="62">
        <f>F4913*(G4913-H4913)</f>
        <v/>
      </c>
      <c r="L4913" s="62">
        <f>K4913-(F4913*I4913)</f>
        <v/>
      </c>
      <c r="M4913" s="64">
        <f>L4913/K4913</f>
        <v/>
      </c>
    </row>
    <row r="4914">
      <c r="A4914" s="58" t="inlineStr">
        <is>
          <t>RT20250506-04913</t>
        </is>
      </c>
      <c r="B4914" s="59" t="inlineStr">
        <is>
          <t>2025-05-06</t>
        </is>
      </c>
      <c r="C4914" s="60" t="inlineStr">
        <is>
          <t>Polar Decor X-935</t>
        </is>
      </c>
      <c r="D4914" s="58" t="inlineStr">
        <is>
          <t>Home</t>
        </is>
      </c>
      <c r="E4914" s="58" t="inlineStr">
        <is>
          <t>Central</t>
        </is>
      </c>
      <c r="F4914" s="61" t="n">
        <v>1</v>
      </c>
      <c r="G4914" s="62" t="n">
        <v>258.99</v>
      </c>
      <c r="H4914" s="63" t="n">
        <v>0.07199999999999999</v>
      </c>
      <c r="I4914" s="62" t="n">
        <v>207.27</v>
      </c>
      <c r="J4914" s="58" t="inlineStr">
        <is>
          <t>Online</t>
        </is>
      </c>
      <c r="K4914" s="62">
        <f>F4914*(G4914-H4914)</f>
        <v/>
      </c>
      <c r="L4914" s="62">
        <f>K4914-(F4914*I4914)</f>
        <v/>
      </c>
      <c r="M4914" s="64">
        <f>L4914/K4914</f>
        <v/>
      </c>
    </row>
    <row r="4915">
      <c r="A4915" s="58" t="inlineStr">
        <is>
          <t>RT20250506-04914</t>
        </is>
      </c>
      <c r="B4915" s="59" t="inlineStr">
        <is>
          <t>2025-05-06</t>
        </is>
      </c>
      <c r="C4915" s="60" t="inlineStr">
        <is>
          <t>Nimbus Makeup Max-158</t>
        </is>
      </c>
      <c r="D4915" s="58" t="inlineStr">
        <is>
          <t>Beauty</t>
        </is>
      </c>
      <c r="E4915" s="58" t="inlineStr">
        <is>
          <t>East</t>
        </is>
      </c>
      <c r="F4915" s="61" t="n">
        <v>2</v>
      </c>
      <c r="G4915" s="62" t="n">
        <v>150.89</v>
      </c>
      <c r="H4915" s="63" t="n">
        <v>0.062</v>
      </c>
      <c r="I4915" s="62" t="n">
        <v>92.61</v>
      </c>
      <c r="J4915" s="58" t="inlineStr">
        <is>
          <t>Online</t>
        </is>
      </c>
      <c r="K4915" s="62">
        <f>F4915*(G4915-H4915)</f>
        <v/>
      </c>
      <c r="L4915" s="62">
        <f>K4915-(F4915*I4915)</f>
        <v/>
      </c>
      <c r="M4915" s="64">
        <f>L4915/K4915</f>
        <v/>
      </c>
    </row>
    <row r="4916">
      <c r="A4916" s="58" t="inlineStr">
        <is>
          <t>RT20250506-04915</t>
        </is>
      </c>
      <c r="B4916" s="59" t="inlineStr">
        <is>
          <t>2025-05-06</t>
        </is>
      </c>
      <c r="C4916" s="60" t="inlineStr">
        <is>
          <t>Aurora Appliance Max-316</t>
        </is>
      </c>
      <c r="D4916" s="58" t="inlineStr">
        <is>
          <t>Home</t>
        </is>
      </c>
      <c r="E4916" s="58" t="inlineStr">
        <is>
          <t>North</t>
        </is>
      </c>
      <c r="F4916" s="61" t="n">
        <v>3</v>
      </c>
      <c r="G4916" s="62" t="n">
        <v>324.14</v>
      </c>
      <c r="H4916" s="63" t="n">
        <v>0.024</v>
      </c>
      <c r="I4916" s="62" t="n">
        <v>219.32</v>
      </c>
      <c r="J4916" s="58" t="inlineStr">
        <is>
          <t>Store</t>
        </is>
      </c>
      <c r="K4916" s="62">
        <f>F4916*(G4916-H4916)</f>
        <v/>
      </c>
      <c r="L4916" s="62">
        <f>K4916-(F4916*I4916)</f>
        <v/>
      </c>
      <c r="M4916" s="64">
        <f>L4916/K4916</f>
        <v/>
      </c>
    </row>
    <row r="4917">
      <c r="A4917" s="58" t="inlineStr">
        <is>
          <t>RT20250506-04916</t>
        </is>
      </c>
      <c r="B4917" s="59" t="inlineStr">
        <is>
          <t>2025-05-06</t>
        </is>
      </c>
      <c r="C4917" s="60" t="inlineStr">
        <is>
          <t>Polar Bedding Lite-243</t>
        </is>
      </c>
      <c r="D4917" s="58" t="inlineStr">
        <is>
          <t>Home</t>
        </is>
      </c>
      <c r="E4917" s="58" t="inlineStr">
        <is>
          <t>North</t>
        </is>
      </c>
      <c r="F4917" s="61" t="n">
        <v>2</v>
      </c>
      <c r="G4917" s="62" t="n">
        <v>451.42</v>
      </c>
      <c r="H4917" s="63" t="n">
        <v>0.065</v>
      </c>
      <c r="I4917" s="62" t="n">
        <v>311.99</v>
      </c>
      <c r="J4917" s="58" t="inlineStr">
        <is>
          <t>Store</t>
        </is>
      </c>
      <c r="K4917" s="62">
        <f>F4917*(G4917-H4917)</f>
        <v/>
      </c>
      <c r="L4917" s="62">
        <f>K4917-(F4917*I4917)</f>
        <v/>
      </c>
      <c r="M4917" s="64">
        <f>L4917/K4917</f>
        <v/>
      </c>
    </row>
    <row r="4918">
      <c r="A4918" s="58" t="inlineStr">
        <is>
          <t>RT20250506-04917</t>
        </is>
      </c>
      <c r="B4918" s="59" t="inlineStr">
        <is>
          <t>2025-05-06</t>
        </is>
      </c>
      <c r="C4918" s="60" t="inlineStr">
        <is>
          <t>Vertex Printer Max-692</t>
        </is>
      </c>
      <c r="D4918" s="58" t="inlineStr">
        <is>
          <t>Office</t>
        </is>
      </c>
      <c r="E4918" s="58" t="inlineStr">
        <is>
          <t>South</t>
        </is>
      </c>
      <c r="F4918" s="61" t="n">
        <v>1</v>
      </c>
      <c r="G4918" s="62" t="n">
        <v>150.5</v>
      </c>
      <c r="H4918" s="63" t="n">
        <v>0.058</v>
      </c>
      <c r="I4918" s="62" t="n">
        <v>121.29</v>
      </c>
      <c r="J4918" s="58" t="inlineStr">
        <is>
          <t>Online</t>
        </is>
      </c>
      <c r="K4918" s="62">
        <f>F4918*(G4918-H4918)</f>
        <v/>
      </c>
      <c r="L4918" s="62">
        <f>K4918-(F4918*I4918)</f>
        <v/>
      </c>
      <c r="M4918" s="64">
        <f>L4918/K4918</f>
        <v/>
      </c>
    </row>
    <row r="4919">
      <c r="A4919" s="58" t="inlineStr">
        <is>
          <t>RT20250506-04918</t>
        </is>
      </c>
      <c r="B4919" s="59" t="inlineStr">
        <is>
          <t>2025-05-06</t>
        </is>
      </c>
      <c r="C4919" s="60" t="inlineStr">
        <is>
          <t>Metro Accessorie Lite-697</t>
        </is>
      </c>
      <c r="D4919" s="58" t="inlineStr">
        <is>
          <t>Apparel</t>
        </is>
      </c>
      <c r="E4919" s="58" t="inlineStr">
        <is>
          <t>Central</t>
        </is>
      </c>
      <c r="F4919" s="61" t="n">
        <v>3</v>
      </c>
      <c r="G4919" s="62" t="n">
        <v>145.99</v>
      </c>
      <c r="H4919" s="63" t="n">
        <v>0.075</v>
      </c>
      <c r="I4919" s="62" t="n">
        <v>74.66</v>
      </c>
      <c r="J4919" s="58" t="inlineStr">
        <is>
          <t>Store</t>
        </is>
      </c>
      <c r="K4919" s="62">
        <f>F4919*(G4919-H4919)</f>
        <v/>
      </c>
      <c r="L4919" s="62">
        <f>K4919-(F4919*I4919)</f>
        <v/>
      </c>
      <c r="M4919" s="64">
        <f>L4919/K4919</f>
        <v/>
      </c>
    </row>
    <row r="4920">
      <c r="A4920" s="58" t="inlineStr">
        <is>
          <t>RT20250506-04919</t>
        </is>
      </c>
      <c r="B4920" s="59" t="inlineStr">
        <is>
          <t>2025-05-06</t>
        </is>
      </c>
      <c r="C4920" s="60" t="inlineStr">
        <is>
          <t>Polar Women Max-927</t>
        </is>
      </c>
      <c r="D4920" s="58" t="inlineStr">
        <is>
          <t>Apparel</t>
        </is>
      </c>
      <c r="E4920" s="58" t="inlineStr">
        <is>
          <t>East</t>
        </is>
      </c>
      <c r="F4920" s="61" t="n">
        <v>4</v>
      </c>
      <c r="G4920" s="62" t="n">
        <v>106.99</v>
      </c>
      <c r="H4920" s="63" t="n">
        <v>0.008</v>
      </c>
      <c r="I4920" s="62" t="n">
        <v>65.67</v>
      </c>
      <c r="J4920" s="58" t="inlineStr">
        <is>
          <t>Store</t>
        </is>
      </c>
      <c r="K4920" s="62">
        <f>F4920*(G4920-H4920)</f>
        <v/>
      </c>
      <c r="L4920" s="62">
        <f>K4920-(F4920*I4920)</f>
        <v/>
      </c>
      <c r="M4920" s="64">
        <f>L4920/K4920</f>
        <v/>
      </c>
    </row>
    <row r="4921">
      <c r="A4921" s="58" t="inlineStr">
        <is>
          <t>RT20250506-04920</t>
        </is>
      </c>
      <c r="B4921" s="59" t="inlineStr">
        <is>
          <t>2025-05-06</t>
        </is>
      </c>
      <c r="C4921" s="60" t="inlineStr">
        <is>
          <t>Falcon Household Pro-865</t>
        </is>
      </c>
      <c r="D4921" s="58" t="inlineStr">
        <is>
          <t>Grocery</t>
        </is>
      </c>
      <c r="E4921" s="58" t="inlineStr">
        <is>
          <t>Central</t>
        </is>
      </c>
      <c r="F4921" s="61" t="n">
        <v>2</v>
      </c>
      <c r="G4921" s="62" t="n">
        <v>11.04</v>
      </c>
      <c r="H4921" s="63" t="n">
        <v>0</v>
      </c>
      <c r="I4921" s="62" t="n">
        <v>7.71</v>
      </c>
      <c r="J4921" s="58" t="inlineStr">
        <is>
          <t>Phone</t>
        </is>
      </c>
      <c r="K4921" s="62">
        <f>F4921*(G4921-H4921)</f>
        <v/>
      </c>
      <c r="L4921" s="62">
        <f>K4921-(F4921*I4921)</f>
        <v/>
      </c>
      <c r="M4921" s="64">
        <f>L4921/K4921</f>
        <v/>
      </c>
    </row>
    <row r="4922">
      <c r="A4922" s="58" t="inlineStr">
        <is>
          <t>RT20250506-04921</t>
        </is>
      </c>
      <c r="B4922" s="59" t="inlineStr">
        <is>
          <t>2025-05-06</t>
        </is>
      </c>
      <c r="C4922" s="60" t="inlineStr">
        <is>
          <t>Vertex Smartphone Lite-267</t>
        </is>
      </c>
      <c r="D4922" s="58" t="inlineStr">
        <is>
          <t>Electronics</t>
        </is>
      </c>
      <c r="E4922" s="58" t="inlineStr">
        <is>
          <t>South</t>
        </is>
      </c>
      <c r="F4922" s="61" t="n">
        <v>1</v>
      </c>
      <c r="G4922" s="62" t="n">
        <v>1125.34</v>
      </c>
      <c r="H4922" s="63" t="n">
        <v>0.063</v>
      </c>
      <c r="I4922" s="62" t="n">
        <v>966.86</v>
      </c>
      <c r="J4922" s="58" t="inlineStr">
        <is>
          <t>Phone</t>
        </is>
      </c>
      <c r="K4922" s="62">
        <f>F4922*(G4922-H4922)</f>
        <v/>
      </c>
      <c r="L4922" s="62">
        <f>K4922-(F4922*I4922)</f>
        <v/>
      </c>
      <c r="M4922" s="64">
        <f>L4922/K4922</f>
        <v/>
      </c>
    </row>
    <row r="4923">
      <c r="A4923" s="58" t="inlineStr">
        <is>
          <t>RT20250506-04922</t>
        </is>
      </c>
      <c r="B4923" s="59" t="inlineStr">
        <is>
          <t>2025-05-06</t>
        </is>
      </c>
      <c r="C4923" s="60" t="inlineStr">
        <is>
          <t>Aurora Smartphone Plus-125</t>
        </is>
      </c>
      <c r="D4923" s="58" t="inlineStr">
        <is>
          <t>Electronics</t>
        </is>
      </c>
      <c r="E4923" s="58" t="inlineStr">
        <is>
          <t>Central</t>
        </is>
      </c>
      <c r="F4923" s="61" t="n">
        <v>2</v>
      </c>
      <c r="G4923" s="62" t="n">
        <v>1702.19</v>
      </c>
      <c r="H4923" s="63" t="n">
        <v>0.019</v>
      </c>
      <c r="I4923" s="62" t="n">
        <v>1243.64</v>
      </c>
      <c r="J4923" s="58" t="inlineStr">
        <is>
          <t>Phone</t>
        </is>
      </c>
      <c r="K4923" s="62">
        <f>F4923*(G4923-H4923)</f>
        <v/>
      </c>
      <c r="L4923" s="62">
        <f>K4923-(F4923*I4923)</f>
        <v/>
      </c>
      <c r="M4923" s="64">
        <f>L4923/K4923</f>
        <v/>
      </c>
    </row>
    <row r="4924">
      <c r="A4924" s="58" t="inlineStr">
        <is>
          <t>RT20250506-04923</t>
        </is>
      </c>
      <c r="B4924" s="59" t="inlineStr">
        <is>
          <t>2025-05-06</t>
        </is>
      </c>
      <c r="C4924" s="60" t="inlineStr">
        <is>
          <t>Nimbus Fitnes Lite-516</t>
        </is>
      </c>
      <c r="D4924" s="58" t="inlineStr">
        <is>
          <t>Sports</t>
        </is>
      </c>
      <c r="E4924" s="58" t="inlineStr">
        <is>
          <t>Central</t>
        </is>
      </c>
      <c r="F4924" s="61" t="n">
        <v>2</v>
      </c>
      <c r="G4924" s="62" t="n">
        <v>814.16</v>
      </c>
      <c r="H4924" s="63" t="n">
        <v>0.079</v>
      </c>
      <c r="I4924" s="62" t="n">
        <v>461.15</v>
      </c>
      <c r="J4924" s="58" t="inlineStr">
        <is>
          <t>Store</t>
        </is>
      </c>
      <c r="K4924" s="62">
        <f>F4924*(G4924-H4924)</f>
        <v/>
      </c>
      <c r="L4924" s="62">
        <f>K4924-(F4924*I4924)</f>
        <v/>
      </c>
      <c r="M4924" s="64">
        <f>L4924/K4924</f>
        <v/>
      </c>
    </row>
    <row r="4925">
      <c r="A4925" s="58" t="inlineStr">
        <is>
          <t>RT20250507-04924</t>
        </is>
      </c>
      <c r="B4925" s="59" t="inlineStr">
        <is>
          <t>2025-05-07</t>
        </is>
      </c>
      <c r="C4925" s="60" t="inlineStr">
        <is>
          <t>Vertex Printer Max-692</t>
        </is>
      </c>
      <c r="D4925" s="58" t="inlineStr">
        <is>
          <t>Office</t>
        </is>
      </c>
      <c r="E4925" s="58" t="inlineStr">
        <is>
          <t>East</t>
        </is>
      </c>
      <c r="F4925" s="61" t="n">
        <v>3</v>
      </c>
      <c r="G4925" s="62" t="n">
        <v>184.07</v>
      </c>
      <c r="H4925" s="63" t="n">
        <v>0.038</v>
      </c>
      <c r="I4925" s="62" t="n">
        <v>123.7</v>
      </c>
      <c r="J4925" s="58" t="inlineStr">
        <is>
          <t>Store</t>
        </is>
      </c>
      <c r="K4925" s="62">
        <f>F4925*(G4925-H4925)</f>
        <v/>
      </c>
      <c r="L4925" s="62">
        <f>K4925-(F4925*I4925)</f>
        <v/>
      </c>
      <c r="M4925" s="64">
        <f>L4925/K4925</f>
        <v/>
      </c>
    </row>
    <row r="4926">
      <c r="A4926" s="58" t="inlineStr">
        <is>
          <t>RT20250507-04925</t>
        </is>
      </c>
      <c r="B4926" s="59" t="inlineStr">
        <is>
          <t>2025-05-07</t>
        </is>
      </c>
      <c r="C4926" s="60" t="inlineStr">
        <is>
          <t>Falcon Furniture Plus-839</t>
        </is>
      </c>
      <c r="D4926" s="58" t="inlineStr">
        <is>
          <t>Office</t>
        </is>
      </c>
      <c r="E4926" s="58" t="inlineStr">
        <is>
          <t>North</t>
        </is>
      </c>
      <c r="F4926" s="61" t="n">
        <v>2</v>
      </c>
      <c r="G4926" s="62" t="n">
        <v>324.59</v>
      </c>
      <c r="H4926" s="63" t="n">
        <v>0.064</v>
      </c>
      <c r="I4926" s="62" t="n">
        <v>233.95</v>
      </c>
      <c r="J4926" s="58" t="inlineStr">
        <is>
          <t>Store</t>
        </is>
      </c>
      <c r="K4926" s="62">
        <f>F4926*(G4926-H4926)</f>
        <v/>
      </c>
      <c r="L4926" s="62">
        <f>K4926-(F4926*I4926)</f>
        <v/>
      </c>
      <c r="M4926" s="64">
        <f>L4926/K4926</f>
        <v/>
      </c>
    </row>
    <row r="4927">
      <c r="A4927" s="58" t="inlineStr">
        <is>
          <t>RT20250507-04926</t>
        </is>
      </c>
      <c r="B4927" s="59" t="inlineStr">
        <is>
          <t>2025-05-07</t>
        </is>
      </c>
      <c r="C4927" s="60" t="inlineStr">
        <is>
          <t>Falcon Team Sport Lite-268</t>
        </is>
      </c>
      <c r="D4927" s="58" t="inlineStr">
        <is>
          <t>Sports</t>
        </is>
      </c>
      <c r="E4927" s="58" t="inlineStr">
        <is>
          <t>Central</t>
        </is>
      </c>
      <c r="F4927" s="61" t="n">
        <v>2</v>
      </c>
      <c r="G4927" s="62" t="n">
        <v>649.27</v>
      </c>
      <c r="H4927" s="63" t="n">
        <v>0.056</v>
      </c>
      <c r="I4927" s="62" t="n">
        <v>423.73</v>
      </c>
      <c r="J4927" s="58" t="inlineStr">
        <is>
          <t>Online</t>
        </is>
      </c>
      <c r="K4927" s="62">
        <f>F4927*(G4927-H4927)</f>
        <v/>
      </c>
      <c r="L4927" s="62">
        <f>K4927-(F4927*I4927)</f>
        <v/>
      </c>
      <c r="M4927" s="64">
        <f>L4927/K4927</f>
        <v/>
      </c>
    </row>
    <row r="4928">
      <c r="A4928" s="58" t="inlineStr">
        <is>
          <t>RT20250507-04927</t>
        </is>
      </c>
      <c r="B4928" s="59" t="inlineStr">
        <is>
          <t>2025-05-07</t>
        </is>
      </c>
      <c r="C4928" s="60" t="inlineStr">
        <is>
          <t>Vertex Appliance S-159</t>
        </is>
      </c>
      <c r="D4928" s="58" t="inlineStr">
        <is>
          <t>Home</t>
        </is>
      </c>
      <c r="E4928" s="58" t="inlineStr">
        <is>
          <t>West</t>
        </is>
      </c>
      <c r="F4928" s="61" t="n">
        <v>2</v>
      </c>
      <c r="G4928" s="62" t="n">
        <v>416.75</v>
      </c>
      <c r="H4928" s="63" t="n">
        <v>0.113</v>
      </c>
      <c r="I4928" s="62" t="n">
        <v>299.26</v>
      </c>
      <c r="J4928" s="58" t="inlineStr">
        <is>
          <t>Online</t>
        </is>
      </c>
      <c r="K4928" s="62">
        <f>F4928*(G4928-H4928)</f>
        <v/>
      </c>
      <c r="L4928" s="62">
        <f>K4928-(F4928*I4928)</f>
        <v/>
      </c>
      <c r="M4928" s="64">
        <f>L4928/K4928</f>
        <v/>
      </c>
    </row>
    <row r="4929">
      <c r="A4929" s="58" t="inlineStr">
        <is>
          <t>RT20250507-04928</t>
        </is>
      </c>
      <c r="B4929" s="59" t="inlineStr">
        <is>
          <t>2025-05-07</t>
        </is>
      </c>
      <c r="C4929" s="60" t="inlineStr">
        <is>
          <t>Metro Smartphone Max-773</t>
        </is>
      </c>
      <c r="D4929" s="58" t="inlineStr">
        <is>
          <t>Electronics</t>
        </is>
      </c>
      <c r="E4929" s="58" t="inlineStr">
        <is>
          <t>Central</t>
        </is>
      </c>
      <c r="F4929" s="61" t="n">
        <v>2</v>
      </c>
      <c r="G4929" s="62" t="n">
        <v>1384.42</v>
      </c>
      <c r="H4929" s="63" t="n">
        <v>0.066</v>
      </c>
      <c r="I4929" s="62" t="n">
        <v>1096.34</v>
      </c>
      <c r="J4929" s="58" t="inlineStr">
        <is>
          <t>Store</t>
        </is>
      </c>
      <c r="K4929" s="62">
        <f>F4929*(G4929-H4929)</f>
        <v/>
      </c>
      <c r="L4929" s="62">
        <f>K4929-(F4929*I4929)</f>
        <v/>
      </c>
      <c r="M4929" s="64">
        <f>L4929/K4929</f>
        <v/>
      </c>
    </row>
    <row r="4930">
      <c r="A4930" s="58" t="inlineStr">
        <is>
          <t>RT20250507-04929</t>
        </is>
      </c>
      <c r="B4930" s="59" t="inlineStr">
        <is>
          <t>2025-05-07</t>
        </is>
      </c>
      <c r="C4930" s="60" t="inlineStr">
        <is>
          <t>Falcon Beverage Max-702</t>
        </is>
      </c>
      <c r="D4930" s="58" t="inlineStr">
        <is>
          <t>Grocery</t>
        </is>
      </c>
      <c r="E4930" s="58" t="inlineStr">
        <is>
          <t>West</t>
        </is>
      </c>
      <c r="F4930" s="61" t="n">
        <v>5</v>
      </c>
      <c r="G4930" s="62" t="n">
        <v>26.65</v>
      </c>
      <c r="H4930" s="63" t="n">
        <v>0.067</v>
      </c>
      <c r="I4930" s="62" t="n">
        <v>20.06</v>
      </c>
      <c r="J4930" s="58" t="inlineStr">
        <is>
          <t>Store</t>
        </is>
      </c>
      <c r="K4930" s="62">
        <f>F4930*(G4930-H4930)</f>
        <v/>
      </c>
      <c r="L4930" s="62">
        <f>K4930-(F4930*I4930)</f>
        <v/>
      </c>
      <c r="M4930" s="64">
        <f>L4930/K4930</f>
        <v/>
      </c>
    </row>
    <row r="4931">
      <c r="A4931" s="58" t="inlineStr">
        <is>
          <t>RT20250507-04930</t>
        </is>
      </c>
      <c r="B4931" s="59" t="inlineStr">
        <is>
          <t>2025-05-07</t>
        </is>
      </c>
      <c r="C4931" s="60" t="inlineStr">
        <is>
          <t>Nimbus Furniture Pro-479</t>
        </is>
      </c>
      <c r="D4931" s="58" t="inlineStr">
        <is>
          <t>Office</t>
        </is>
      </c>
      <c r="E4931" s="58" t="inlineStr">
        <is>
          <t>South</t>
        </is>
      </c>
      <c r="F4931" s="61" t="n">
        <v>2</v>
      </c>
      <c r="G4931" s="62" t="n">
        <v>356.46</v>
      </c>
      <c r="H4931" s="63" t="n">
        <v>0.046</v>
      </c>
      <c r="I4931" s="62" t="n">
        <v>245.37</v>
      </c>
      <c r="J4931" s="58" t="inlineStr">
        <is>
          <t>Online</t>
        </is>
      </c>
      <c r="K4931" s="62">
        <f>F4931*(G4931-H4931)</f>
        <v/>
      </c>
      <c r="L4931" s="62">
        <f>K4931-(F4931*I4931)</f>
        <v/>
      </c>
      <c r="M4931" s="64">
        <f>L4931/K4931</f>
        <v/>
      </c>
    </row>
    <row r="4932">
      <c r="A4932" s="58" t="inlineStr">
        <is>
          <t>RT20250507-04931</t>
        </is>
      </c>
      <c r="B4932" s="59" t="inlineStr">
        <is>
          <t>2025-05-07</t>
        </is>
      </c>
      <c r="C4932" s="60" t="inlineStr">
        <is>
          <t>Falcon Household Pro-865</t>
        </is>
      </c>
      <c r="D4932" s="58" t="inlineStr">
        <is>
          <t>Grocery</t>
        </is>
      </c>
      <c r="E4932" s="58" t="inlineStr">
        <is>
          <t>West</t>
        </is>
      </c>
      <c r="F4932" s="61" t="n">
        <v>3</v>
      </c>
      <c r="G4932" s="62" t="n">
        <v>10.88</v>
      </c>
      <c r="H4932" s="63" t="n">
        <v>0.033</v>
      </c>
      <c r="I4932" s="62" t="n">
        <v>7.64</v>
      </c>
      <c r="J4932" s="58" t="inlineStr">
        <is>
          <t>Phone</t>
        </is>
      </c>
      <c r="K4932" s="62">
        <f>F4932*(G4932-H4932)</f>
        <v/>
      </c>
      <c r="L4932" s="62">
        <f>K4932-(F4932*I4932)</f>
        <v/>
      </c>
      <c r="M4932" s="64">
        <f>L4932/K4932</f>
        <v/>
      </c>
    </row>
    <row r="4933">
      <c r="A4933" s="58" t="inlineStr">
        <is>
          <t>RT20250507-04932</t>
        </is>
      </c>
      <c r="B4933" s="59" t="inlineStr">
        <is>
          <t>2025-05-07</t>
        </is>
      </c>
      <c r="C4933" s="60" t="inlineStr">
        <is>
          <t>Metro Accessorie Lite-697</t>
        </is>
      </c>
      <c r="D4933" s="58" t="inlineStr">
        <is>
          <t>Apparel</t>
        </is>
      </c>
      <c r="E4933" s="58" t="inlineStr">
        <is>
          <t>Central</t>
        </is>
      </c>
      <c r="F4933" s="61" t="n">
        <v>2</v>
      </c>
      <c r="G4933" s="62" t="n">
        <v>144.76</v>
      </c>
      <c r="H4933" s="63" t="n">
        <v>0.08400000000000001</v>
      </c>
      <c r="I4933" s="62" t="n">
        <v>74.55</v>
      </c>
      <c r="J4933" s="58" t="inlineStr">
        <is>
          <t>Online</t>
        </is>
      </c>
      <c r="K4933" s="62">
        <f>F4933*(G4933-H4933)</f>
        <v/>
      </c>
      <c r="L4933" s="62">
        <f>K4933-(F4933*I4933)</f>
        <v/>
      </c>
      <c r="M4933" s="64">
        <f>L4933/K4933</f>
        <v/>
      </c>
    </row>
    <row r="4934">
      <c r="A4934" s="58" t="inlineStr">
        <is>
          <t>RT20250507-04933</t>
        </is>
      </c>
      <c r="B4934" s="59" t="inlineStr">
        <is>
          <t>2025-05-07</t>
        </is>
      </c>
      <c r="C4934" s="60" t="inlineStr">
        <is>
          <t>Falcon Cycling Pro-499</t>
        </is>
      </c>
      <c r="D4934" s="58" t="inlineStr">
        <is>
          <t>Sports</t>
        </is>
      </c>
      <c r="E4934" s="58" t="inlineStr">
        <is>
          <t>South</t>
        </is>
      </c>
      <c r="F4934" s="61" t="n">
        <v>3</v>
      </c>
      <c r="G4934" s="62" t="n">
        <v>567.65</v>
      </c>
      <c r="H4934" s="63" t="n">
        <v>0.063</v>
      </c>
      <c r="I4934" s="62" t="n">
        <v>399.4</v>
      </c>
      <c r="J4934" s="58" t="inlineStr">
        <is>
          <t>Online</t>
        </is>
      </c>
      <c r="K4934" s="62">
        <f>F4934*(G4934-H4934)</f>
        <v/>
      </c>
      <c r="L4934" s="62">
        <f>K4934-(F4934*I4934)</f>
        <v/>
      </c>
      <c r="M4934" s="64">
        <f>L4934/K4934</f>
        <v/>
      </c>
    </row>
    <row r="4935">
      <c r="A4935" s="58" t="inlineStr">
        <is>
          <t>RT20250507-04934</t>
        </is>
      </c>
      <c r="B4935" s="59" t="inlineStr">
        <is>
          <t>2025-05-07</t>
        </is>
      </c>
      <c r="C4935" s="60" t="inlineStr">
        <is>
          <t>Orion Kitchen Pro-568</t>
        </is>
      </c>
      <c r="D4935" s="58" t="inlineStr">
        <is>
          <t>Home</t>
        </is>
      </c>
      <c r="E4935" s="58" t="inlineStr">
        <is>
          <t>East</t>
        </is>
      </c>
      <c r="F4935" s="61" t="n">
        <v>3</v>
      </c>
      <c r="G4935" s="62" t="n">
        <v>425.24</v>
      </c>
      <c r="H4935" s="63" t="n">
        <v>0.051</v>
      </c>
      <c r="I4935" s="62" t="n">
        <v>304.09</v>
      </c>
      <c r="J4935" s="58" t="inlineStr">
        <is>
          <t>Store</t>
        </is>
      </c>
      <c r="K4935" s="62">
        <f>F4935*(G4935-H4935)</f>
        <v/>
      </c>
      <c r="L4935" s="62">
        <f>K4935-(F4935*I4935)</f>
        <v/>
      </c>
      <c r="M4935" s="64">
        <f>L4935/K4935</f>
        <v/>
      </c>
    </row>
    <row r="4936">
      <c r="A4936" s="58" t="inlineStr">
        <is>
          <t>RT20250507-04935</t>
        </is>
      </c>
      <c r="B4936" s="59" t="inlineStr">
        <is>
          <t>2025-05-07</t>
        </is>
      </c>
      <c r="C4936" s="60" t="inlineStr">
        <is>
          <t>Vertex Supplie X-513</t>
        </is>
      </c>
      <c r="D4936" s="58" t="inlineStr">
        <is>
          <t>Office</t>
        </is>
      </c>
      <c r="E4936" s="58" t="inlineStr">
        <is>
          <t>East</t>
        </is>
      </c>
      <c r="F4936" s="61" t="n">
        <v>3</v>
      </c>
      <c r="G4936" s="62" t="n">
        <v>340.53</v>
      </c>
      <c r="H4936" s="63" t="n">
        <v>0.08</v>
      </c>
      <c r="I4936" s="62" t="n">
        <v>271.66</v>
      </c>
      <c r="J4936" s="58" t="inlineStr">
        <is>
          <t>Online</t>
        </is>
      </c>
      <c r="K4936" s="62">
        <f>F4936*(G4936-H4936)</f>
        <v/>
      </c>
      <c r="L4936" s="62">
        <f>K4936-(F4936*I4936)</f>
        <v/>
      </c>
      <c r="M4936" s="64">
        <f>L4936/K4936</f>
        <v/>
      </c>
    </row>
    <row r="4937">
      <c r="A4937" s="58" t="inlineStr">
        <is>
          <t>RT20250507-04936</t>
        </is>
      </c>
      <c r="B4937" s="59" t="inlineStr">
        <is>
          <t>2025-05-07</t>
        </is>
      </c>
      <c r="C4937" s="60" t="inlineStr">
        <is>
          <t>Vertex Fitnes Pro-830</t>
        </is>
      </c>
      <c r="D4937" s="58" t="inlineStr">
        <is>
          <t>Sports</t>
        </is>
      </c>
      <c r="E4937" s="58" t="inlineStr">
        <is>
          <t>West</t>
        </is>
      </c>
      <c r="F4937" s="61" t="n">
        <v>2</v>
      </c>
      <c r="G4937" s="62" t="n">
        <v>696.5599999999999</v>
      </c>
      <c r="H4937" s="63" t="n">
        <v>0.15</v>
      </c>
      <c r="I4937" s="62" t="n">
        <v>468.95</v>
      </c>
      <c r="J4937" s="58" t="inlineStr">
        <is>
          <t>Online</t>
        </is>
      </c>
      <c r="K4937" s="62">
        <f>F4937*(G4937-H4937)</f>
        <v/>
      </c>
      <c r="L4937" s="62">
        <f>K4937-(F4937*I4937)</f>
        <v/>
      </c>
      <c r="M4937" s="64">
        <f>L4937/K4937</f>
        <v/>
      </c>
    </row>
    <row r="4938">
      <c r="A4938" s="58" t="inlineStr">
        <is>
          <t>RT20250507-04937</t>
        </is>
      </c>
      <c r="B4938" s="59" t="inlineStr">
        <is>
          <t>2025-05-07</t>
        </is>
      </c>
      <c r="C4938" s="60" t="inlineStr">
        <is>
          <t>Polar Haircare Max-614</t>
        </is>
      </c>
      <c r="D4938" s="58" t="inlineStr">
        <is>
          <t>Beauty</t>
        </is>
      </c>
      <c r="E4938" s="58" t="inlineStr">
        <is>
          <t>North</t>
        </is>
      </c>
      <c r="F4938" s="61" t="n">
        <v>4</v>
      </c>
      <c r="G4938" s="62" t="n">
        <v>121.2</v>
      </c>
      <c r="H4938" s="63" t="n">
        <v>0.076</v>
      </c>
      <c r="I4938" s="62" t="n">
        <v>70.92</v>
      </c>
      <c r="J4938" s="58" t="inlineStr">
        <is>
          <t>Online</t>
        </is>
      </c>
      <c r="K4938" s="62">
        <f>F4938*(G4938-H4938)</f>
        <v/>
      </c>
      <c r="L4938" s="62">
        <f>K4938-(F4938*I4938)</f>
        <v/>
      </c>
      <c r="M4938" s="64">
        <f>L4938/K4938</f>
        <v/>
      </c>
    </row>
    <row r="4939">
      <c r="A4939" s="58" t="inlineStr">
        <is>
          <t>RT20250507-04938</t>
        </is>
      </c>
      <c r="B4939" s="59" t="inlineStr">
        <is>
          <t>2025-05-07</t>
        </is>
      </c>
      <c r="C4939" s="60" t="inlineStr">
        <is>
          <t>Vertex Furniture S-652</t>
        </is>
      </c>
      <c r="D4939" s="58" t="inlineStr">
        <is>
          <t>Office</t>
        </is>
      </c>
      <c r="E4939" s="58" t="inlineStr">
        <is>
          <t>South</t>
        </is>
      </c>
      <c r="F4939" s="61" t="n">
        <v>3</v>
      </c>
      <c r="G4939" s="62" t="n">
        <v>387.05</v>
      </c>
      <c r="H4939" s="63" t="n">
        <v>0.081</v>
      </c>
      <c r="I4939" s="62" t="n">
        <v>260.49</v>
      </c>
      <c r="J4939" s="58" t="inlineStr">
        <is>
          <t>Phone</t>
        </is>
      </c>
      <c r="K4939" s="62">
        <f>F4939*(G4939-H4939)</f>
        <v/>
      </c>
      <c r="L4939" s="62">
        <f>K4939-(F4939*I4939)</f>
        <v/>
      </c>
      <c r="M4939" s="64">
        <f>L4939/K4939</f>
        <v/>
      </c>
    </row>
    <row r="4940">
      <c r="A4940" s="58" t="inlineStr">
        <is>
          <t>RT20250507-04939</t>
        </is>
      </c>
      <c r="B4940" s="59" t="inlineStr">
        <is>
          <t>2025-05-07</t>
        </is>
      </c>
      <c r="C4940" s="60" t="inlineStr">
        <is>
          <t>Aurora Team Sport Plus-256</t>
        </is>
      </c>
      <c r="D4940" s="58" t="inlineStr">
        <is>
          <t>Sports</t>
        </is>
      </c>
      <c r="E4940" s="58" t="inlineStr">
        <is>
          <t>South</t>
        </is>
      </c>
      <c r="F4940" s="61" t="n">
        <v>2</v>
      </c>
      <c r="G4940" s="62" t="n">
        <v>646.6799999999999</v>
      </c>
      <c r="H4940" s="63" t="n">
        <v>0.06900000000000001</v>
      </c>
      <c r="I4940" s="62" t="n">
        <v>410.88</v>
      </c>
      <c r="J4940" s="58" t="inlineStr">
        <is>
          <t>Online</t>
        </is>
      </c>
      <c r="K4940" s="62">
        <f>F4940*(G4940-H4940)</f>
        <v/>
      </c>
      <c r="L4940" s="62">
        <f>K4940-(F4940*I4940)</f>
        <v/>
      </c>
      <c r="M4940" s="64">
        <f>L4940/K4940</f>
        <v/>
      </c>
    </row>
    <row r="4941">
      <c r="A4941" s="58" t="inlineStr">
        <is>
          <t>RT20250507-04940</t>
        </is>
      </c>
      <c r="B4941" s="59" t="inlineStr">
        <is>
          <t>2025-05-07</t>
        </is>
      </c>
      <c r="C4941" s="60" t="inlineStr">
        <is>
          <t>Vertex Accessorie Pro-881</t>
        </is>
      </c>
      <c r="D4941" s="58" t="inlineStr">
        <is>
          <t>Apparel</t>
        </is>
      </c>
      <c r="E4941" s="58" t="inlineStr">
        <is>
          <t>South</t>
        </is>
      </c>
      <c r="F4941" s="61" t="n">
        <v>1</v>
      </c>
      <c r="G4941" s="62" t="n">
        <v>128.65</v>
      </c>
      <c r="H4941" s="63" t="n">
        <v>0.08599999999999999</v>
      </c>
      <c r="I4941" s="62" t="n">
        <v>64.79000000000001</v>
      </c>
      <c r="J4941" s="58" t="inlineStr">
        <is>
          <t>Store</t>
        </is>
      </c>
      <c r="K4941" s="62">
        <f>F4941*(G4941-H4941)</f>
        <v/>
      </c>
      <c r="L4941" s="62">
        <f>K4941-(F4941*I4941)</f>
        <v/>
      </c>
      <c r="M4941" s="64">
        <f>L4941/K4941</f>
        <v/>
      </c>
    </row>
    <row r="4942">
      <c r="A4942" s="58" t="inlineStr">
        <is>
          <t>RT20250507-04941</t>
        </is>
      </c>
      <c r="B4942" s="59" t="inlineStr">
        <is>
          <t>2025-05-07</t>
        </is>
      </c>
      <c r="C4942" s="60" t="inlineStr">
        <is>
          <t>Nimbus Women Plus-352</t>
        </is>
      </c>
      <c r="D4942" s="58" t="inlineStr">
        <is>
          <t>Apparel</t>
        </is>
      </c>
      <c r="E4942" s="58" t="inlineStr">
        <is>
          <t>Central</t>
        </is>
      </c>
      <c r="F4942" s="61" t="n">
        <v>4</v>
      </c>
      <c r="G4942" s="62" t="n">
        <v>62.63</v>
      </c>
      <c r="H4942" s="63" t="n">
        <v>0.11</v>
      </c>
      <c r="I4942" s="62" t="n">
        <v>32.75</v>
      </c>
      <c r="J4942" s="58" t="inlineStr">
        <is>
          <t>Store</t>
        </is>
      </c>
      <c r="K4942" s="62">
        <f>F4942*(G4942-H4942)</f>
        <v/>
      </c>
      <c r="L4942" s="62">
        <f>K4942-(F4942*I4942)</f>
        <v/>
      </c>
      <c r="M4942" s="64">
        <f>L4942/K4942</f>
        <v/>
      </c>
    </row>
    <row r="4943">
      <c r="A4943" s="58" t="inlineStr">
        <is>
          <t>RT20250507-04942</t>
        </is>
      </c>
      <c r="B4943" s="59" t="inlineStr">
        <is>
          <t>2025-05-07</t>
        </is>
      </c>
      <c r="C4943" s="60" t="inlineStr">
        <is>
          <t>Polar Beverage S-258</t>
        </is>
      </c>
      <c r="D4943" s="58" t="inlineStr">
        <is>
          <t>Grocery</t>
        </is>
      </c>
      <c r="E4943" s="58" t="inlineStr">
        <is>
          <t>North</t>
        </is>
      </c>
      <c r="F4943" s="61" t="n">
        <v>3</v>
      </c>
      <c r="G4943" s="62" t="n">
        <v>12.41</v>
      </c>
      <c r="H4943" s="63" t="n">
        <v>0.078</v>
      </c>
      <c r="I4943" s="62" t="n">
        <v>9.58</v>
      </c>
      <c r="J4943" s="58" t="inlineStr">
        <is>
          <t>Online</t>
        </is>
      </c>
      <c r="K4943" s="62">
        <f>F4943*(G4943-H4943)</f>
        <v/>
      </c>
      <c r="L4943" s="62">
        <f>K4943-(F4943*I4943)</f>
        <v/>
      </c>
      <c r="M4943" s="64">
        <f>L4943/K4943</f>
        <v/>
      </c>
    </row>
    <row r="4944">
      <c r="A4944" s="58" t="inlineStr">
        <is>
          <t>RT20250507-04943</t>
        </is>
      </c>
      <c r="B4944" s="59" t="inlineStr">
        <is>
          <t>2025-05-07</t>
        </is>
      </c>
      <c r="C4944" s="60" t="inlineStr">
        <is>
          <t>Vertex Fitnes Pro-830</t>
        </is>
      </c>
      <c r="D4944" s="58" t="inlineStr">
        <is>
          <t>Sports</t>
        </is>
      </c>
      <c r="E4944" s="58" t="inlineStr">
        <is>
          <t>East</t>
        </is>
      </c>
      <c r="F4944" s="61" t="n">
        <v>2</v>
      </c>
      <c r="G4944" s="62" t="n">
        <v>699.15</v>
      </c>
      <c r="H4944" s="63" t="n">
        <v>0.105</v>
      </c>
      <c r="I4944" s="62" t="n">
        <v>477.51</v>
      </c>
      <c r="J4944" s="58" t="inlineStr">
        <is>
          <t>Online</t>
        </is>
      </c>
      <c r="K4944" s="62">
        <f>F4944*(G4944-H4944)</f>
        <v/>
      </c>
      <c r="L4944" s="62">
        <f>K4944-(F4944*I4944)</f>
        <v/>
      </c>
      <c r="M4944" s="64">
        <f>L4944/K4944</f>
        <v/>
      </c>
    </row>
    <row r="4945">
      <c r="A4945" s="58" t="inlineStr">
        <is>
          <t>RT20250507-04944</t>
        </is>
      </c>
      <c r="B4945" s="59" t="inlineStr">
        <is>
          <t>2025-05-07</t>
        </is>
      </c>
      <c r="C4945" s="60" t="inlineStr">
        <is>
          <t>Aurora Kid Plus-151</t>
        </is>
      </c>
      <c r="D4945" s="58" t="inlineStr">
        <is>
          <t>Apparel</t>
        </is>
      </c>
      <c r="E4945" s="58" t="inlineStr">
        <is>
          <t>Central</t>
        </is>
      </c>
      <c r="F4945" s="61" t="n">
        <v>1</v>
      </c>
      <c r="G4945" s="62" t="n">
        <v>102.22</v>
      </c>
      <c r="H4945" s="63" t="n">
        <v>0.077</v>
      </c>
      <c r="I4945" s="62" t="n">
        <v>63.62</v>
      </c>
      <c r="J4945" s="58" t="inlineStr">
        <is>
          <t>Online</t>
        </is>
      </c>
      <c r="K4945" s="62">
        <f>F4945*(G4945-H4945)</f>
        <v/>
      </c>
      <c r="L4945" s="62">
        <f>K4945-(F4945*I4945)</f>
        <v/>
      </c>
      <c r="M4945" s="64">
        <f>L4945/K4945</f>
        <v/>
      </c>
    </row>
    <row r="4946">
      <c r="A4946" s="58" t="inlineStr">
        <is>
          <t>RT20250507-04945</t>
        </is>
      </c>
      <c r="B4946" s="59" t="inlineStr">
        <is>
          <t>2025-05-07</t>
        </is>
      </c>
      <c r="C4946" s="60" t="inlineStr">
        <is>
          <t>Orion Fragrance Lite-785</t>
        </is>
      </c>
      <c r="D4946" s="58" t="inlineStr">
        <is>
          <t>Beauty</t>
        </is>
      </c>
      <c r="E4946" s="58" t="inlineStr">
        <is>
          <t>West</t>
        </is>
      </c>
      <c r="F4946" s="61" t="n">
        <v>4</v>
      </c>
      <c r="G4946" s="62" t="n">
        <v>51.62</v>
      </c>
      <c r="H4946" s="63" t="n">
        <v>0.07099999999999999</v>
      </c>
      <c r="I4946" s="62" t="n">
        <v>27.7</v>
      </c>
      <c r="J4946" s="58" t="inlineStr">
        <is>
          <t>Store</t>
        </is>
      </c>
      <c r="K4946" s="62">
        <f>F4946*(G4946-H4946)</f>
        <v/>
      </c>
      <c r="L4946" s="62">
        <f>K4946-(F4946*I4946)</f>
        <v/>
      </c>
      <c r="M4946" s="64">
        <f>L4946/K4946</f>
        <v/>
      </c>
    </row>
    <row r="4947">
      <c r="A4947" s="58" t="inlineStr">
        <is>
          <t>RT20250507-04946</t>
        </is>
      </c>
      <c r="B4947" s="59" t="inlineStr">
        <is>
          <t>2025-05-07</t>
        </is>
      </c>
      <c r="C4947" s="60" t="inlineStr">
        <is>
          <t>Polar Wearable X-119</t>
        </is>
      </c>
      <c r="D4947" s="58" t="inlineStr">
        <is>
          <t>Electronics</t>
        </is>
      </c>
      <c r="E4947" s="58" t="inlineStr">
        <is>
          <t>East</t>
        </is>
      </c>
      <c r="F4947" s="61" t="n">
        <v>2</v>
      </c>
      <c r="G4947" s="62" t="n">
        <v>1648.72</v>
      </c>
      <c r="H4947" s="63" t="n">
        <v>0.073</v>
      </c>
      <c r="I4947" s="62" t="n">
        <v>1326.2</v>
      </c>
      <c r="J4947" s="58" t="inlineStr">
        <is>
          <t>Online</t>
        </is>
      </c>
      <c r="K4947" s="62">
        <f>F4947*(G4947-H4947)</f>
        <v/>
      </c>
      <c r="L4947" s="62">
        <f>K4947-(F4947*I4947)</f>
        <v/>
      </c>
      <c r="M4947" s="64">
        <f>L4947/K4947</f>
        <v/>
      </c>
    </row>
    <row r="4948">
      <c r="A4948" s="58" t="inlineStr">
        <is>
          <t>RT20250507-04947</t>
        </is>
      </c>
      <c r="B4948" s="59" t="inlineStr">
        <is>
          <t>2025-05-07</t>
        </is>
      </c>
      <c r="C4948" s="60" t="inlineStr">
        <is>
          <t>Aurora Bedding Plus-187</t>
        </is>
      </c>
      <c r="D4948" s="58" t="inlineStr">
        <is>
          <t>Home</t>
        </is>
      </c>
      <c r="E4948" s="58" t="inlineStr">
        <is>
          <t>West</t>
        </is>
      </c>
      <c r="F4948" s="61" t="n">
        <v>2</v>
      </c>
      <c r="G4948" s="62" t="n">
        <v>349.62</v>
      </c>
      <c r="H4948" s="63" t="n">
        <v>0.078</v>
      </c>
      <c r="I4948" s="62" t="n">
        <v>211.09</v>
      </c>
      <c r="J4948" s="58" t="inlineStr">
        <is>
          <t>Online</t>
        </is>
      </c>
      <c r="K4948" s="62">
        <f>F4948*(G4948-H4948)</f>
        <v/>
      </c>
      <c r="L4948" s="62">
        <f>K4948-(F4948*I4948)</f>
        <v/>
      </c>
      <c r="M4948" s="64">
        <f>L4948/K4948</f>
        <v/>
      </c>
    </row>
    <row r="4949">
      <c r="A4949" s="58" t="inlineStr">
        <is>
          <t>RT20250507-04948</t>
        </is>
      </c>
      <c r="B4949" s="59" t="inlineStr">
        <is>
          <t>2025-05-07</t>
        </is>
      </c>
      <c r="C4949" s="60" t="inlineStr">
        <is>
          <t>Polar Pantry Lite-392</t>
        </is>
      </c>
      <c r="D4949" s="58" t="inlineStr">
        <is>
          <t>Grocery</t>
        </is>
      </c>
      <c r="E4949" s="58" t="inlineStr">
        <is>
          <t>West</t>
        </is>
      </c>
      <c r="F4949" s="61" t="n">
        <v>3</v>
      </c>
      <c r="G4949" s="62" t="n">
        <v>6.21</v>
      </c>
      <c r="H4949" s="63" t="n">
        <v>0.074</v>
      </c>
      <c r="I4949" s="62" t="n">
        <v>4.41</v>
      </c>
      <c r="J4949" s="58" t="inlineStr">
        <is>
          <t>Store</t>
        </is>
      </c>
      <c r="K4949" s="62">
        <f>F4949*(G4949-H4949)</f>
        <v/>
      </c>
      <c r="L4949" s="62">
        <f>K4949-(F4949*I4949)</f>
        <v/>
      </c>
      <c r="M4949" s="64">
        <f>L4949/K4949</f>
        <v/>
      </c>
    </row>
    <row r="4950">
      <c r="A4950" s="58" t="inlineStr">
        <is>
          <t>RT20250507-04949</t>
        </is>
      </c>
      <c r="B4950" s="59" t="inlineStr">
        <is>
          <t>2025-05-07</t>
        </is>
      </c>
      <c r="C4950" s="60" t="inlineStr">
        <is>
          <t>Vertex Pantry Pro-165</t>
        </is>
      </c>
      <c r="D4950" s="58" t="inlineStr">
        <is>
          <t>Grocery</t>
        </is>
      </c>
      <c r="E4950" s="58" t="inlineStr">
        <is>
          <t>North</t>
        </is>
      </c>
      <c r="F4950" s="61" t="n">
        <v>6</v>
      </c>
      <c r="G4950" s="62" t="n">
        <v>15.61</v>
      </c>
      <c r="H4950" s="63" t="n">
        <v>0.046</v>
      </c>
      <c r="I4950" s="62" t="n">
        <v>11.81</v>
      </c>
      <c r="J4950" s="58" t="inlineStr">
        <is>
          <t>Online</t>
        </is>
      </c>
      <c r="K4950" s="62">
        <f>F4950*(G4950-H4950)</f>
        <v/>
      </c>
      <c r="L4950" s="62">
        <f>K4950-(F4950*I4950)</f>
        <v/>
      </c>
      <c r="M4950" s="64">
        <f>L4950/K4950</f>
        <v/>
      </c>
    </row>
    <row r="4951">
      <c r="A4951" s="58" t="inlineStr">
        <is>
          <t>RT20250507-04950</t>
        </is>
      </c>
      <c r="B4951" s="59" t="inlineStr">
        <is>
          <t>2025-05-07</t>
        </is>
      </c>
      <c r="C4951" s="60" t="inlineStr">
        <is>
          <t>Aurora Wearable Lite-162</t>
        </is>
      </c>
      <c r="D4951" s="58" t="inlineStr">
        <is>
          <t>Electronics</t>
        </is>
      </c>
      <c r="E4951" s="58" t="inlineStr">
        <is>
          <t>East</t>
        </is>
      </c>
      <c r="F4951" s="61" t="n">
        <v>1</v>
      </c>
      <c r="G4951" s="62" t="n">
        <v>1635.31</v>
      </c>
      <c r="H4951" s="63" t="n">
        <v>0.078</v>
      </c>
      <c r="I4951" s="62" t="n">
        <v>1183.14</v>
      </c>
      <c r="J4951" s="58" t="inlineStr">
        <is>
          <t>Store</t>
        </is>
      </c>
      <c r="K4951" s="62">
        <f>F4951*(G4951-H4951)</f>
        <v/>
      </c>
      <c r="L4951" s="62">
        <f>K4951-(F4951*I4951)</f>
        <v/>
      </c>
      <c r="M4951" s="64">
        <f>L4951/K4951</f>
        <v/>
      </c>
    </row>
    <row r="4952">
      <c r="A4952" s="58" t="inlineStr">
        <is>
          <t>RT20250507-04951</t>
        </is>
      </c>
      <c r="B4952" s="59" t="inlineStr">
        <is>
          <t>2025-05-07</t>
        </is>
      </c>
      <c r="C4952" s="60" t="inlineStr">
        <is>
          <t>Solace Kitchen Pro-510</t>
        </is>
      </c>
      <c r="D4952" s="58" t="inlineStr">
        <is>
          <t>Home</t>
        </is>
      </c>
      <c r="E4952" s="58" t="inlineStr">
        <is>
          <t>South</t>
        </is>
      </c>
      <c r="F4952" s="61" t="n">
        <v>2</v>
      </c>
      <c r="G4952" s="62" t="n">
        <v>408.65</v>
      </c>
      <c r="H4952" s="63" t="n">
        <v>0.008999999999999999</v>
      </c>
      <c r="I4952" s="62" t="n">
        <v>299.67</v>
      </c>
      <c r="J4952" s="58" t="inlineStr">
        <is>
          <t>Online</t>
        </is>
      </c>
      <c r="K4952" s="62">
        <f>F4952*(G4952-H4952)</f>
        <v/>
      </c>
      <c r="L4952" s="62">
        <f>K4952-(F4952*I4952)</f>
        <v/>
      </c>
      <c r="M4952" s="64">
        <f>L4952/K4952</f>
        <v/>
      </c>
    </row>
    <row r="4953">
      <c r="A4953" s="58" t="inlineStr">
        <is>
          <t>RT20250507-04952</t>
        </is>
      </c>
      <c r="B4953" s="59" t="inlineStr">
        <is>
          <t>2025-05-07</t>
        </is>
      </c>
      <c r="C4953" s="60" t="inlineStr">
        <is>
          <t>Aurora Kid Plus-151</t>
        </is>
      </c>
      <c r="D4953" s="58" t="inlineStr">
        <is>
          <t>Apparel</t>
        </is>
      </c>
      <c r="E4953" s="58" t="inlineStr">
        <is>
          <t>East</t>
        </is>
      </c>
      <c r="F4953" s="61" t="n">
        <v>3</v>
      </c>
      <c r="G4953" s="62" t="n">
        <v>102.14</v>
      </c>
      <c r="H4953" s="63" t="n">
        <v>0.076</v>
      </c>
      <c r="I4953" s="62" t="n">
        <v>62.97</v>
      </c>
      <c r="J4953" s="58" t="inlineStr">
        <is>
          <t>Online</t>
        </is>
      </c>
      <c r="K4953" s="62">
        <f>F4953*(G4953-H4953)</f>
        <v/>
      </c>
      <c r="L4953" s="62">
        <f>K4953-(F4953*I4953)</f>
        <v/>
      </c>
      <c r="M4953" s="64">
        <f>L4953/K4953</f>
        <v/>
      </c>
    </row>
    <row r="4954">
      <c r="A4954" s="58" t="inlineStr">
        <is>
          <t>RT20250507-04953</t>
        </is>
      </c>
      <c r="B4954" s="59" t="inlineStr">
        <is>
          <t>2025-05-07</t>
        </is>
      </c>
      <c r="C4954" s="60" t="inlineStr">
        <is>
          <t>Vertex Printer Max-692</t>
        </is>
      </c>
      <c r="D4954" s="58" t="inlineStr">
        <is>
          <t>Office</t>
        </is>
      </c>
      <c r="E4954" s="58" t="inlineStr">
        <is>
          <t>Central</t>
        </is>
      </c>
      <c r="F4954" s="61" t="n">
        <v>2</v>
      </c>
      <c r="G4954" s="62" t="n">
        <v>176.73</v>
      </c>
      <c r="H4954" s="63" t="n">
        <v>0.034</v>
      </c>
      <c r="I4954" s="62" t="n">
        <v>124.43</v>
      </c>
      <c r="J4954" s="58" t="inlineStr">
        <is>
          <t>Online</t>
        </is>
      </c>
      <c r="K4954" s="62">
        <f>F4954*(G4954-H4954)</f>
        <v/>
      </c>
      <c r="L4954" s="62">
        <f>K4954-(F4954*I4954)</f>
        <v/>
      </c>
      <c r="M4954" s="64">
        <f>L4954/K4954</f>
        <v/>
      </c>
    </row>
    <row r="4955">
      <c r="A4955" s="58" t="inlineStr">
        <is>
          <t>RT20250507-04954</t>
        </is>
      </c>
      <c r="B4955" s="59" t="inlineStr">
        <is>
          <t>2025-05-07</t>
        </is>
      </c>
      <c r="C4955" s="60" t="inlineStr">
        <is>
          <t>Polar Men Pro-246</t>
        </is>
      </c>
      <c r="D4955" s="58" t="inlineStr">
        <is>
          <t>Apparel</t>
        </is>
      </c>
      <c r="E4955" s="58" t="inlineStr">
        <is>
          <t>West</t>
        </is>
      </c>
      <c r="F4955" s="61" t="n">
        <v>1</v>
      </c>
      <c r="G4955" s="62" t="n">
        <v>117.3</v>
      </c>
      <c r="H4955" s="63" t="n">
        <v>0.056</v>
      </c>
      <c r="I4955" s="62" t="n">
        <v>76.68000000000001</v>
      </c>
      <c r="J4955" s="58" t="inlineStr">
        <is>
          <t>Online</t>
        </is>
      </c>
      <c r="K4955" s="62">
        <f>F4955*(G4955-H4955)</f>
        <v/>
      </c>
      <c r="L4955" s="62">
        <f>K4955-(F4955*I4955)</f>
        <v/>
      </c>
      <c r="M4955" s="64">
        <f>L4955/K4955</f>
        <v/>
      </c>
    </row>
    <row r="4956">
      <c r="A4956" s="58" t="inlineStr">
        <is>
          <t>RT20250507-04955</t>
        </is>
      </c>
      <c r="B4956" s="59" t="inlineStr">
        <is>
          <t>2025-05-07</t>
        </is>
      </c>
      <c r="C4956" s="60" t="inlineStr">
        <is>
          <t>Solace Bedding Plus-317</t>
        </is>
      </c>
      <c r="D4956" s="58" t="inlineStr">
        <is>
          <t>Home</t>
        </is>
      </c>
      <c r="E4956" s="58" t="inlineStr">
        <is>
          <t>East</t>
        </is>
      </c>
      <c r="F4956" s="61" t="n">
        <v>1</v>
      </c>
      <c r="G4956" s="62" t="n">
        <v>587.24</v>
      </c>
      <c r="H4956" s="63" t="n">
        <v>0.046</v>
      </c>
      <c r="I4956" s="62" t="n">
        <v>389.12</v>
      </c>
      <c r="J4956" s="58" t="inlineStr">
        <is>
          <t>Store</t>
        </is>
      </c>
      <c r="K4956" s="62">
        <f>F4956*(G4956-H4956)</f>
        <v/>
      </c>
      <c r="L4956" s="62">
        <f>K4956-(F4956*I4956)</f>
        <v/>
      </c>
      <c r="M4956" s="64">
        <f>L4956/K4956</f>
        <v/>
      </c>
    </row>
    <row r="4957">
      <c r="A4957" s="58" t="inlineStr">
        <is>
          <t>RT20250507-04956</t>
        </is>
      </c>
      <c r="B4957" s="59" t="inlineStr">
        <is>
          <t>2025-05-07</t>
        </is>
      </c>
      <c r="C4957" s="60" t="inlineStr">
        <is>
          <t>Vertex Furniture S-652</t>
        </is>
      </c>
      <c r="D4957" s="58" t="inlineStr">
        <is>
          <t>Office</t>
        </is>
      </c>
      <c r="E4957" s="58" t="inlineStr">
        <is>
          <t>East</t>
        </is>
      </c>
      <c r="F4957" s="61" t="n">
        <v>1</v>
      </c>
      <c r="G4957" s="62" t="n">
        <v>385.72</v>
      </c>
      <c r="H4957" s="63" t="n">
        <v>0.032</v>
      </c>
      <c r="I4957" s="62" t="n">
        <v>259.42</v>
      </c>
      <c r="J4957" s="58" t="inlineStr">
        <is>
          <t>Online</t>
        </is>
      </c>
      <c r="K4957" s="62">
        <f>F4957*(G4957-H4957)</f>
        <v/>
      </c>
      <c r="L4957" s="62">
        <f>K4957-(F4957*I4957)</f>
        <v/>
      </c>
      <c r="M4957" s="64">
        <f>L4957/K4957</f>
        <v/>
      </c>
    </row>
    <row r="4958">
      <c r="A4958" s="58" t="inlineStr">
        <is>
          <t>RT20250507-04957</t>
        </is>
      </c>
      <c r="B4958" s="59" t="inlineStr">
        <is>
          <t>2025-05-07</t>
        </is>
      </c>
      <c r="C4958" s="60" t="inlineStr">
        <is>
          <t>Solace Kitchen X-919</t>
        </is>
      </c>
      <c r="D4958" s="58" t="inlineStr">
        <is>
          <t>Home</t>
        </is>
      </c>
      <c r="E4958" s="58" t="inlineStr">
        <is>
          <t>West</t>
        </is>
      </c>
      <c r="F4958" s="61" t="n">
        <v>1</v>
      </c>
      <c r="G4958" s="62" t="n">
        <v>393.83</v>
      </c>
      <c r="H4958" s="63" t="n">
        <v>0.019</v>
      </c>
      <c r="I4958" s="62" t="n">
        <v>260.77</v>
      </c>
      <c r="J4958" s="58" t="inlineStr">
        <is>
          <t>Store</t>
        </is>
      </c>
      <c r="K4958" s="62">
        <f>F4958*(G4958-H4958)</f>
        <v/>
      </c>
      <c r="L4958" s="62">
        <f>K4958-(F4958*I4958)</f>
        <v/>
      </c>
      <c r="M4958" s="64">
        <f>L4958/K4958</f>
        <v/>
      </c>
    </row>
    <row r="4959">
      <c r="A4959" s="58" t="inlineStr">
        <is>
          <t>RT20250507-04958</t>
        </is>
      </c>
      <c r="B4959" s="59" t="inlineStr">
        <is>
          <t>2025-05-07</t>
        </is>
      </c>
      <c r="C4959" s="60" t="inlineStr">
        <is>
          <t>Vertex Appliance Max-338</t>
        </is>
      </c>
      <c r="D4959" s="58" t="inlineStr">
        <is>
          <t>Home</t>
        </is>
      </c>
      <c r="E4959" s="58" t="inlineStr">
        <is>
          <t>West</t>
        </is>
      </c>
      <c r="F4959" s="61" t="n">
        <v>1</v>
      </c>
      <c r="G4959" s="62" t="n">
        <v>411.14</v>
      </c>
      <c r="H4959" s="63" t="n">
        <v>0.06</v>
      </c>
      <c r="I4959" s="62" t="n">
        <v>287.68</v>
      </c>
      <c r="J4959" s="58" t="inlineStr">
        <is>
          <t>Store</t>
        </is>
      </c>
      <c r="K4959" s="62">
        <f>F4959*(G4959-H4959)</f>
        <v/>
      </c>
      <c r="L4959" s="62">
        <f>K4959-(F4959*I4959)</f>
        <v/>
      </c>
      <c r="M4959" s="64">
        <f>L4959/K4959</f>
        <v/>
      </c>
    </row>
    <row r="4960">
      <c r="A4960" s="58" t="inlineStr">
        <is>
          <t>RT20250508-04959</t>
        </is>
      </c>
      <c r="B4960" s="59" t="inlineStr">
        <is>
          <t>2025-05-08</t>
        </is>
      </c>
      <c r="C4960" s="60" t="inlineStr">
        <is>
          <t>Nimbus Cycling Plus-911</t>
        </is>
      </c>
      <c r="D4960" s="58" t="inlineStr">
        <is>
          <t>Sports</t>
        </is>
      </c>
      <c r="E4960" s="58" t="inlineStr">
        <is>
          <t>East</t>
        </is>
      </c>
      <c r="F4960" s="61" t="n">
        <v>2</v>
      </c>
      <c r="G4960" s="62" t="n">
        <v>589.35</v>
      </c>
      <c r="H4960" s="63" t="n">
        <v>0.054</v>
      </c>
      <c r="I4960" s="62" t="n">
        <v>395.22</v>
      </c>
      <c r="J4960" s="58" t="inlineStr">
        <is>
          <t>Store</t>
        </is>
      </c>
      <c r="K4960" s="62">
        <f>F4960*(G4960-H4960)</f>
        <v/>
      </c>
      <c r="L4960" s="62">
        <f>K4960-(F4960*I4960)</f>
        <v/>
      </c>
      <c r="M4960" s="64">
        <f>L4960/K4960</f>
        <v/>
      </c>
    </row>
    <row r="4961">
      <c r="A4961" s="58" t="inlineStr">
        <is>
          <t>RT20250508-04960</t>
        </is>
      </c>
      <c r="B4961" s="59" t="inlineStr">
        <is>
          <t>2025-05-08</t>
        </is>
      </c>
      <c r="C4961" s="60" t="inlineStr">
        <is>
          <t>Nimbus Women Plus-352</t>
        </is>
      </c>
      <c r="D4961" s="58" t="inlineStr">
        <is>
          <t>Apparel</t>
        </is>
      </c>
      <c r="E4961" s="58" t="inlineStr">
        <is>
          <t>South</t>
        </is>
      </c>
      <c r="F4961" s="61" t="n">
        <v>4</v>
      </c>
      <c r="G4961" s="62" t="n">
        <v>57.19</v>
      </c>
      <c r="H4961" s="63" t="n">
        <v>0.026</v>
      </c>
      <c r="I4961" s="62" t="n">
        <v>32.64</v>
      </c>
      <c r="J4961" s="58" t="inlineStr">
        <is>
          <t>Store</t>
        </is>
      </c>
      <c r="K4961" s="62">
        <f>F4961*(G4961-H4961)</f>
        <v/>
      </c>
      <c r="L4961" s="62">
        <f>K4961-(F4961*I4961)</f>
        <v/>
      </c>
      <c r="M4961" s="64">
        <f>L4961/K4961</f>
        <v/>
      </c>
    </row>
    <row r="4962">
      <c r="A4962" s="58" t="inlineStr">
        <is>
          <t>RT20250508-04961</t>
        </is>
      </c>
      <c r="B4962" s="59" t="inlineStr">
        <is>
          <t>2025-05-08</t>
        </is>
      </c>
      <c r="C4962" s="60" t="inlineStr">
        <is>
          <t>Metro Decor Lite-325</t>
        </is>
      </c>
      <c r="D4962" s="58" t="inlineStr">
        <is>
          <t>Home</t>
        </is>
      </c>
      <c r="E4962" s="58" t="inlineStr">
        <is>
          <t>Central</t>
        </is>
      </c>
      <c r="F4962" s="61" t="n">
        <v>3</v>
      </c>
      <c r="G4962" s="62" t="n">
        <v>594.3099999999999</v>
      </c>
      <c r="H4962" s="63" t="n">
        <v>0.048</v>
      </c>
      <c r="I4962" s="62" t="n">
        <v>387.09</v>
      </c>
      <c r="J4962" s="58" t="inlineStr">
        <is>
          <t>Store</t>
        </is>
      </c>
      <c r="K4962" s="62">
        <f>F4962*(G4962-H4962)</f>
        <v/>
      </c>
      <c r="L4962" s="62">
        <f>K4962-(F4962*I4962)</f>
        <v/>
      </c>
      <c r="M4962" s="64">
        <f>L4962/K4962</f>
        <v/>
      </c>
    </row>
    <row r="4963">
      <c r="A4963" s="58" t="inlineStr">
        <is>
          <t>RT20250508-04962</t>
        </is>
      </c>
      <c r="B4963" s="59" t="inlineStr">
        <is>
          <t>2025-05-08</t>
        </is>
      </c>
      <c r="C4963" s="60" t="inlineStr">
        <is>
          <t>Metro Fragrance Lite-261</t>
        </is>
      </c>
      <c r="D4963" s="58" t="inlineStr">
        <is>
          <t>Beauty</t>
        </is>
      </c>
      <c r="E4963" s="58" t="inlineStr">
        <is>
          <t>West</t>
        </is>
      </c>
      <c r="F4963" s="61" t="n">
        <v>3</v>
      </c>
      <c r="G4963" s="62" t="n">
        <v>93.45</v>
      </c>
      <c r="H4963" s="63" t="n">
        <v>0.074</v>
      </c>
      <c r="I4963" s="62" t="n">
        <v>54.59</v>
      </c>
      <c r="J4963" s="58" t="inlineStr">
        <is>
          <t>Store</t>
        </is>
      </c>
      <c r="K4963" s="62">
        <f>F4963*(G4963-H4963)</f>
        <v/>
      </c>
      <c r="L4963" s="62">
        <f>K4963-(F4963*I4963)</f>
        <v/>
      </c>
      <c r="M4963" s="64">
        <f>L4963/K4963</f>
        <v/>
      </c>
    </row>
    <row r="4964">
      <c r="A4964" s="58" t="inlineStr">
        <is>
          <t>RT20250508-04963</t>
        </is>
      </c>
      <c r="B4964" s="59" t="inlineStr">
        <is>
          <t>2025-05-08</t>
        </is>
      </c>
      <c r="C4964" s="60" t="inlineStr">
        <is>
          <t>Aurora Bedding Plus-187</t>
        </is>
      </c>
      <c r="D4964" s="58" t="inlineStr">
        <is>
          <t>Home</t>
        </is>
      </c>
      <c r="E4964" s="58" t="inlineStr">
        <is>
          <t>North</t>
        </is>
      </c>
      <c r="F4964" s="61" t="n">
        <v>3</v>
      </c>
      <c r="G4964" s="62" t="n">
        <v>308.32</v>
      </c>
      <c r="H4964" s="63" t="n">
        <v>0</v>
      </c>
      <c r="I4964" s="62" t="n">
        <v>206.74</v>
      </c>
      <c r="J4964" s="58" t="inlineStr">
        <is>
          <t>Store</t>
        </is>
      </c>
      <c r="K4964" s="62">
        <f>F4964*(G4964-H4964)</f>
        <v/>
      </c>
      <c r="L4964" s="62">
        <f>K4964-(F4964*I4964)</f>
        <v/>
      </c>
      <c r="M4964" s="64">
        <f>L4964/K4964</f>
        <v/>
      </c>
    </row>
    <row r="4965">
      <c r="A4965" s="58" t="inlineStr">
        <is>
          <t>RT20250508-04964</t>
        </is>
      </c>
      <c r="B4965" s="59" t="inlineStr">
        <is>
          <t>2025-05-08</t>
        </is>
      </c>
      <c r="C4965" s="60" t="inlineStr">
        <is>
          <t>Polar Pantry Lite-392</t>
        </is>
      </c>
      <c r="D4965" s="58" t="inlineStr">
        <is>
          <t>Grocery</t>
        </is>
      </c>
      <c r="E4965" s="58" t="inlineStr">
        <is>
          <t>North</t>
        </is>
      </c>
      <c r="F4965" s="61" t="n">
        <v>1</v>
      </c>
      <c r="G4965" s="62" t="n">
        <v>5.99</v>
      </c>
      <c r="H4965" s="63" t="n">
        <v>0.04</v>
      </c>
      <c r="I4965" s="62" t="n">
        <v>4.43</v>
      </c>
      <c r="J4965" s="58" t="inlineStr">
        <is>
          <t>Store</t>
        </is>
      </c>
      <c r="K4965" s="62">
        <f>F4965*(G4965-H4965)</f>
        <v/>
      </c>
      <c r="L4965" s="62">
        <f>K4965-(F4965*I4965)</f>
        <v/>
      </c>
      <c r="M4965" s="64">
        <f>L4965/K4965</f>
        <v/>
      </c>
    </row>
    <row r="4966">
      <c r="A4966" s="58" t="inlineStr">
        <is>
          <t>RT20250508-04965</t>
        </is>
      </c>
      <c r="B4966" s="59" t="inlineStr">
        <is>
          <t>2025-05-08</t>
        </is>
      </c>
      <c r="C4966" s="60" t="inlineStr">
        <is>
          <t>Orion Snack X-322</t>
        </is>
      </c>
      <c r="D4966" s="58" t="inlineStr">
        <is>
          <t>Grocery</t>
        </is>
      </c>
      <c r="E4966" s="58" t="inlineStr">
        <is>
          <t>South</t>
        </is>
      </c>
      <c r="F4966" s="61" t="n">
        <v>1</v>
      </c>
      <c r="G4966" s="62" t="n">
        <v>13.27</v>
      </c>
      <c r="H4966" s="63" t="n">
        <v>0.091</v>
      </c>
      <c r="I4966" s="62" t="n">
        <v>9.890000000000001</v>
      </c>
      <c r="J4966" s="58" t="inlineStr">
        <is>
          <t>Online</t>
        </is>
      </c>
      <c r="K4966" s="62">
        <f>F4966*(G4966-H4966)</f>
        <v/>
      </c>
      <c r="L4966" s="62">
        <f>K4966-(F4966*I4966)</f>
        <v/>
      </c>
      <c r="M4966" s="64">
        <f>L4966/K4966</f>
        <v/>
      </c>
    </row>
    <row r="4967">
      <c r="A4967" s="58" t="inlineStr">
        <is>
          <t>RT20250508-04966</t>
        </is>
      </c>
      <c r="B4967" s="59" t="inlineStr">
        <is>
          <t>2025-05-08</t>
        </is>
      </c>
      <c r="C4967" s="60" t="inlineStr">
        <is>
          <t>Aurora Fragrance S-971</t>
        </is>
      </c>
      <c r="D4967" s="58" t="inlineStr">
        <is>
          <t>Beauty</t>
        </is>
      </c>
      <c r="E4967" s="58" t="inlineStr">
        <is>
          <t>East</t>
        </is>
      </c>
      <c r="F4967" s="61" t="n">
        <v>3</v>
      </c>
      <c r="G4967" s="62" t="n">
        <v>106.41</v>
      </c>
      <c r="H4967" s="63" t="n">
        <v>0.021</v>
      </c>
      <c r="I4967" s="62" t="n">
        <v>64.94</v>
      </c>
      <c r="J4967" s="58" t="inlineStr">
        <is>
          <t>Online</t>
        </is>
      </c>
      <c r="K4967" s="62">
        <f>F4967*(G4967-H4967)</f>
        <v/>
      </c>
      <c r="L4967" s="62">
        <f>K4967-(F4967*I4967)</f>
        <v/>
      </c>
      <c r="M4967" s="64">
        <f>L4967/K4967</f>
        <v/>
      </c>
    </row>
    <row r="4968">
      <c r="A4968" s="58" t="inlineStr">
        <is>
          <t>RT20250508-04967</t>
        </is>
      </c>
      <c r="B4968" s="59" t="inlineStr">
        <is>
          <t>2025-05-08</t>
        </is>
      </c>
      <c r="C4968" s="60" t="inlineStr">
        <is>
          <t>Falcon Haircare Pro-980</t>
        </is>
      </c>
      <c r="D4968" s="58" t="inlineStr">
        <is>
          <t>Beauty</t>
        </is>
      </c>
      <c r="E4968" s="58" t="inlineStr">
        <is>
          <t>Central</t>
        </is>
      </c>
      <c r="F4968" s="61" t="n">
        <v>5</v>
      </c>
      <c r="G4968" s="62" t="n">
        <v>91.45999999999999</v>
      </c>
      <c r="H4968" s="63" t="n">
        <v>0.057</v>
      </c>
      <c r="I4968" s="62" t="n">
        <v>56.44</v>
      </c>
      <c r="J4968" s="58" t="inlineStr">
        <is>
          <t>Store</t>
        </is>
      </c>
      <c r="K4968" s="62">
        <f>F4968*(G4968-H4968)</f>
        <v/>
      </c>
      <c r="L4968" s="62">
        <f>K4968-(F4968*I4968)</f>
        <v/>
      </c>
      <c r="M4968" s="64">
        <f>L4968/K4968</f>
        <v/>
      </c>
    </row>
    <row r="4969">
      <c r="A4969" s="58" t="inlineStr">
        <is>
          <t>RT20250508-04968</t>
        </is>
      </c>
      <c r="B4969" s="59" t="inlineStr">
        <is>
          <t>2025-05-08</t>
        </is>
      </c>
      <c r="C4969" s="60" t="inlineStr">
        <is>
          <t>Nimbus Fitnes Lite-516</t>
        </is>
      </c>
      <c r="D4969" s="58" t="inlineStr">
        <is>
          <t>Sports</t>
        </is>
      </c>
      <c r="E4969" s="58" t="inlineStr">
        <is>
          <t>West</t>
        </is>
      </c>
      <c r="F4969" s="61" t="n">
        <v>3</v>
      </c>
      <c r="G4969" s="62" t="n">
        <v>731.01</v>
      </c>
      <c r="H4969" s="63" t="n">
        <v>0.062</v>
      </c>
      <c r="I4969" s="62" t="n">
        <v>475.07</v>
      </c>
      <c r="J4969" s="58" t="inlineStr">
        <is>
          <t>Online</t>
        </is>
      </c>
      <c r="K4969" s="62">
        <f>F4969*(G4969-H4969)</f>
        <v/>
      </c>
      <c r="L4969" s="62">
        <f>K4969-(F4969*I4969)</f>
        <v/>
      </c>
      <c r="M4969" s="64">
        <f>L4969/K4969</f>
        <v/>
      </c>
    </row>
    <row r="4970">
      <c r="A4970" s="58" t="inlineStr">
        <is>
          <t>RT20250508-04969</t>
        </is>
      </c>
      <c r="B4970" s="59" t="inlineStr">
        <is>
          <t>2025-05-08</t>
        </is>
      </c>
      <c r="C4970" s="60" t="inlineStr">
        <is>
          <t>Metro Printer X-294</t>
        </is>
      </c>
      <c r="D4970" s="58" t="inlineStr">
        <is>
          <t>Office</t>
        </is>
      </c>
      <c r="E4970" s="58" t="inlineStr">
        <is>
          <t>East</t>
        </is>
      </c>
      <c r="F4970" s="61" t="n">
        <v>2</v>
      </c>
      <c r="G4970" s="62" t="n">
        <v>633.4400000000001</v>
      </c>
      <c r="H4970" s="63" t="n">
        <v>0.066</v>
      </c>
      <c r="I4970" s="62" t="n">
        <v>402.88</v>
      </c>
      <c r="J4970" s="58" t="inlineStr">
        <is>
          <t>Store</t>
        </is>
      </c>
      <c r="K4970" s="62">
        <f>F4970*(G4970-H4970)</f>
        <v/>
      </c>
      <c r="L4970" s="62">
        <f>K4970-(F4970*I4970)</f>
        <v/>
      </c>
      <c r="M4970" s="64">
        <f>L4970/K4970</f>
        <v/>
      </c>
    </row>
    <row r="4971">
      <c r="A4971" s="58" t="inlineStr">
        <is>
          <t>RT20250508-04970</t>
        </is>
      </c>
      <c r="B4971" s="59" t="inlineStr">
        <is>
          <t>2025-05-08</t>
        </is>
      </c>
      <c r="C4971" s="60" t="inlineStr">
        <is>
          <t>Solace Kitchen Pro-510</t>
        </is>
      </c>
      <c r="D4971" s="58" t="inlineStr">
        <is>
          <t>Home</t>
        </is>
      </c>
      <c r="E4971" s="58" t="inlineStr">
        <is>
          <t>East</t>
        </is>
      </c>
      <c r="F4971" s="61" t="n">
        <v>3</v>
      </c>
      <c r="G4971" s="62" t="n">
        <v>447.85</v>
      </c>
      <c r="H4971" s="63" t="n">
        <v>0.07000000000000001</v>
      </c>
      <c r="I4971" s="62" t="n">
        <v>309</v>
      </c>
      <c r="J4971" s="58" t="inlineStr">
        <is>
          <t>Store</t>
        </is>
      </c>
      <c r="K4971" s="62">
        <f>F4971*(G4971-H4971)</f>
        <v/>
      </c>
      <c r="L4971" s="62">
        <f>K4971-(F4971*I4971)</f>
        <v/>
      </c>
      <c r="M4971" s="64">
        <f>L4971/K4971</f>
        <v/>
      </c>
    </row>
    <row r="4972">
      <c r="A4972" s="58" t="inlineStr">
        <is>
          <t>RT20250508-04971</t>
        </is>
      </c>
      <c r="B4972" s="59" t="inlineStr">
        <is>
          <t>2025-05-08</t>
        </is>
      </c>
      <c r="C4972" s="60" t="inlineStr">
        <is>
          <t>Vertex Men X-995</t>
        </is>
      </c>
      <c r="D4972" s="58" t="inlineStr">
        <is>
          <t>Apparel</t>
        </is>
      </c>
      <c r="E4972" s="58" t="inlineStr">
        <is>
          <t>East</t>
        </is>
      </c>
      <c r="F4972" s="61" t="n">
        <v>2</v>
      </c>
      <c r="G4972" s="62" t="n">
        <v>118.48</v>
      </c>
      <c r="H4972" s="63" t="n">
        <v>0.027</v>
      </c>
      <c r="I4972" s="62" t="n">
        <v>58.03</v>
      </c>
      <c r="J4972" s="58" t="inlineStr">
        <is>
          <t>Online</t>
        </is>
      </c>
      <c r="K4972" s="62">
        <f>F4972*(G4972-H4972)</f>
        <v/>
      </c>
      <c r="L4972" s="62">
        <f>K4972-(F4972*I4972)</f>
        <v/>
      </c>
      <c r="M4972" s="64">
        <f>L4972/K4972</f>
        <v/>
      </c>
    </row>
    <row r="4973">
      <c r="A4973" s="58" t="inlineStr">
        <is>
          <t>RT20250508-04972</t>
        </is>
      </c>
      <c r="B4973" s="59" t="inlineStr">
        <is>
          <t>2025-05-08</t>
        </is>
      </c>
      <c r="C4973" s="60" t="inlineStr">
        <is>
          <t>Falcon Wearable X-334</t>
        </is>
      </c>
      <c r="D4973" s="58" t="inlineStr">
        <is>
          <t>Electronics</t>
        </is>
      </c>
      <c r="E4973" s="58" t="inlineStr">
        <is>
          <t>East</t>
        </is>
      </c>
      <c r="F4973" s="61" t="n">
        <v>1</v>
      </c>
      <c r="G4973" s="62" t="n">
        <v>1834.75</v>
      </c>
      <c r="H4973" s="63" t="n">
        <v>0.02</v>
      </c>
      <c r="I4973" s="62" t="n">
        <v>1503.18</v>
      </c>
      <c r="J4973" s="58" t="inlineStr">
        <is>
          <t>Online</t>
        </is>
      </c>
      <c r="K4973" s="62">
        <f>F4973*(G4973-H4973)</f>
        <v/>
      </c>
      <c r="L4973" s="62">
        <f>K4973-(F4973*I4973)</f>
        <v/>
      </c>
      <c r="M4973" s="64">
        <f>L4973/K4973</f>
        <v/>
      </c>
    </row>
    <row r="4974">
      <c r="A4974" s="58" t="inlineStr">
        <is>
          <t>RT20250508-04973</t>
        </is>
      </c>
      <c r="B4974" s="59" t="inlineStr">
        <is>
          <t>2025-05-08</t>
        </is>
      </c>
      <c r="C4974" s="60" t="inlineStr">
        <is>
          <t>Solace Kitchen Pro-510</t>
        </is>
      </c>
      <c r="D4974" s="58" t="inlineStr">
        <is>
          <t>Home</t>
        </is>
      </c>
      <c r="E4974" s="58" t="inlineStr">
        <is>
          <t>Central</t>
        </is>
      </c>
      <c r="F4974" s="61" t="n">
        <v>3</v>
      </c>
      <c r="G4974" s="62" t="n">
        <v>432.27</v>
      </c>
      <c r="H4974" s="63" t="n">
        <v>0.058</v>
      </c>
      <c r="I4974" s="62" t="n">
        <v>303.92</v>
      </c>
      <c r="J4974" s="58" t="inlineStr">
        <is>
          <t>Online</t>
        </is>
      </c>
      <c r="K4974" s="62">
        <f>F4974*(G4974-H4974)</f>
        <v/>
      </c>
      <c r="L4974" s="62">
        <f>K4974-(F4974*I4974)</f>
        <v/>
      </c>
      <c r="M4974" s="64">
        <f>L4974/K4974</f>
        <v/>
      </c>
    </row>
    <row r="4975">
      <c r="A4975" s="58" t="inlineStr">
        <is>
          <t>RT20250508-04974</t>
        </is>
      </c>
      <c r="B4975" s="59" t="inlineStr">
        <is>
          <t>2025-05-08</t>
        </is>
      </c>
      <c r="C4975" s="60" t="inlineStr">
        <is>
          <t>Aurora Skincare Max-798</t>
        </is>
      </c>
      <c r="D4975" s="58" t="inlineStr">
        <is>
          <t>Beauty</t>
        </is>
      </c>
      <c r="E4975" s="58" t="inlineStr">
        <is>
          <t>South</t>
        </is>
      </c>
      <c r="F4975" s="61" t="n">
        <v>4</v>
      </c>
      <c r="G4975" s="62" t="n">
        <v>117.68</v>
      </c>
      <c r="H4975" s="63" t="n">
        <v>0.07000000000000001</v>
      </c>
      <c r="I4975" s="62" t="n">
        <v>68.23999999999999</v>
      </c>
      <c r="J4975" s="58" t="inlineStr">
        <is>
          <t>Online</t>
        </is>
      </c>
      <c r="K4975" s="62">
        <f>F4975*(G4975-H4975)</f>
        <v/>
      </c>
      <c r="L4975" s="62">
        <f>K4975-(F4975*I4975)</f>
        <v/>
      </c>
      <c r="M4975" s="64">
        <f>L4975/K4975</f>
        <v/>
      </c>
    </row>
    <row r="4976">
      <c r="A4976" s="58" t="inlineStr">
        <is>
          <t>RT20250508-04975</t>
        </is>
      </c>
      <c r="B4976" s="59" t="inlineStr">
        <is>
          <t>2025-05-08</t>
        </is>
      </c>
      <c r="C4976" s="60" t="inlineStr">
        <is>
          <t>Polar Cycling X-649</t>
        </is>
      </c>
      <c r="D4976" s="58" t="inlineStr">
        <is>
          <t>Sports</t>
        </is>
      </c>
      <c r="E4976" s="58" t="inlineStr">
        <is>
          <t>West</t>
        </is>
      </c>
      <c r="F4976" s="61" t="n">
        <v>2</v>
      </c>
      <c r="G4976" s="62" t="n">
        <v>617.76</v>
      </c>
      <c r="H4976" s="63" t="n">
        <v>0.059</v>
      </c>
      <c r="I4976" s="62" t="n">
        <v>357.87</v>
      </c>
      <c r="J4976" s="58" t="inlineStr">
        <is>
          <t>Store</t>
        </is>
      </c>
      <c r="K4976" s="62">
        <f>F4976*(G4976-H4976)</f>
        <v/>
      </c>
      <c r="L4976" s="62">
        <f>K4976-(F4976*I4976)</f>
        <v/>
      </c>
      <c r="M4976" s="64">
        <f>L4976/K4976</f>
        <v/>
      </c>
    </row>
    <row r="4977">
      <c r="A4977" s="58" t="inlineStr">
        <is>
          <t>RT20250508-04976</t>
        </is>
      </c>
      <c r="B4977" s="59" t="inlineStr">
        <is>
          <t>2025-05-08</t>
        </is>
      </c>
      <c r="C4977" s="60" t="inlineStr">
        <is>
          <t>Polar Women S-662</t>
        </is>
      </c>
      <c r="D4977" s="58" t="inlineStr">
        <is>
          <t>Apparel</t>
        </is>
      </c>
      <c r="E4977" s="58" t="inlineStr">
        <is>
          <t>South</t>
        </is>
      </c>
      <c r="F4977" s="61" t="n">
        <v>4</v>
      </c>
      <c r="G4977" s="62" t="n">
        <v>140.14</v>
      </c>
      <c r="H4977" s="63" t="n">
        <v>0.07199999999999999</v>
      </c>
      <c r="I4977" s="62" t="n">
        <v>101.1</v>
      </c>
      <c r="J4977" s="58" t="inlineStr">
        <is>
          <t>Online</t>
        </is>
      </c>
      <c r="K4977" s="62">
        <f>F4977*(G4977-H4977)</f>
        <v/>
      </c>
      <c r="L4977" s="62">
        <f>K4977-(F4977*I4977)</f>
        <v/>
      </c>
      <c r="M4977" s="64">
        <f>L4977/K4977</f>
        <v/>
      </c>
    </row>
    <row r="4978">
      <c r="A4978" s="58" t="inlineStr">
        <is>
          <t>RT20250508-04977</t>
        </is>
      </c>
      <c r="B4978" s="59" t="inlineStr">
        <is>
          <t>2025-05-08</t>
        </is>
      </c>
      <c r="C4978" s="60" t="inlineStr">
        <is>
          <t>Vertex Supplie X-513</t>
        </is>
      </c>
      <c r="D4978" s="58" t="inlineStr">
        <is>
          <t>Office</t>
        </is>
      </c>
      <c r="E4978" s="58" t="inlineStr">
        <is>
          <t>South</t>
        </is>
      </c>
      <c r="F4978" s="61" t="n">
        <v>3</v>
      </c>
      <c r="G4978" s="62" t="n">
        <v>445.44</v>
      </c>
      <c r="H4978" s="63" t="n">
        <v>0.121</v>
      </c>
      <c r="I4978" s="62" t="n">
        <v>274</v>
      </c>
      <c r="J4978" s="58" t="inlineStr">
        <is>
          <t>Store</t>
        </is>
      </c>
      <c r="K4978" s="62">
        <f>F4978*(G4978-H4978)</f>
        <v/>
      </c>
      <c r="L4978" s="62">
        <f>K4978-(F4978*I4978)</f>
        <v/>
      </c>
      <c r="M4978" s="64">
        <f>L4978/K4978</f>
        <v/>
      </c>
    </row>
    <row r="4979">
      <c r="A4979" s="58" t="inlineStr">
        <is>
          <t>RT20250508-04978</t>
        </is>
      </c>
      <c r="B4979" s="59" t="inlineStr">
        <is>
          <t>2025-05-08</t>
        </is>
      </c>
      <c r="C4979" s="60" t="inlineStr">
        <is>
          <t>Vertex Fitnes Pro-830</t>
        </is>
      </c>
      <c r="D4979" s="58" t="inlineStr">
        <is>
          <t>Sports</t>
        </is>
      </c>
      <c r="E4979" s="58" t="inlineStr">
        <is>
          <t>North</t>
        </is>
      </c>
      <c r="F4979" s="61" t="n">
        <v>2</v>
      </c>
      <c r="G4979" s="62" t="n">
        <v>674.86</v>
      </c>
      <c r="H4979" s="63" t="n">
        <v>0.033</v>
      </c>
      <c r="I4979" s="62" t="n">
        <v>492.67</v>
      </c>
      <c r="J4979" s="58" t="inlineStr">
        <is>
          <t>Online</t>
        </is>
      </c>
      <c r="K4979" s="62">
        <f>F4979*(G4979-H4979)</f>
        <v/>
      </c>
      <c r="L4979" s="62">
        <f>K4979-(F4979*I4979)</f>
        <v/>
      </c>
      <c r="M4979" s="64">
        <f>L4979/K4979</f>
        <v/>
      </c>
    </row>
    <row r="4980">
      <c r="A4980" s="58" t="inlineStr">
        <is>
          <t>RT20250508-04979</t>
        </is>
      </c>
      <c r="B4980" s="59" t="inlineStr">
        <is>
          <t>2025-05-08</t>
        </is>
      </c>
      <c r="C4980" s="60" t="inlineStr">
        <is>
          <t>Polar Wearable X-119</t>
        </is>
      </c>
      <c r="D4980" s="58" t="inlineStr">
        <is>
          <t>Electronics</t>
        </is>
      </c>
      <c r="E4980" s="58" t="inlineStr">
        <is>
          <t>East</t>
        </is>
      </c>
      <c r="F4980" s="61" t="n">
        <v>2</v>
      </c>
      <c r="G4980" s="62" t="n">
        <v>1749.97</v>
      </c>
      <c r="H4980" s="63" t="n">
        <v>0.054</v>
      </c>
      <c r="I4980" s="62" t="n">
        <v>1337.82</v>
      </c>
      <c r="J4980" s="58" t="inlineStr">
        <is>
          <t>Store</t>
        </is>
      </c>
      <c r="K4980" s="62">
        <f>F4980*(G4980-H4980)</f>
        <v/>
      </c>
      <c r="L4980" s="62">
        <f>K4980-(F4980*I4980)</f>
        <v/>
      </c>
      <c r="M4980" s="64">
        <f>L4980/K4980</f>
        <v/>
      </c>
    </row>
    <row r="4981">
      <c r="A4981" s="58" t="inlineStr">
        <is>
          <t>RT20250508-04980</t>
        </is>
      </c>
      <c r="B4981" s="59" t="inlineStr">
        <is>
          <t>2025-05-08</t>
        </is>
      </c>
      <c r="C4981" s="60" t="inlineStr">
        <is>
          <t>Nimbus Cycling Plus-911</t>
        </is>
      </c>
      <c r="D4981" s="58" t="inlineStr">
        <is>
          <t>Sports</t>
        </is>
      </c>
      <c r="E4981" s="58" t="inlineStr">
        <is>
          <t>West</t>
        </is>
      </c>
      <c r="F4981" s="61" t="n">
        <v>1</v>
      </c>
      <c r="G4981" s="62" t="n">
        <v>632.15</v>
      </c>
      <c r="H4981" s="63" t="n">
        <v>0.07199999999999999</v>
      </c>
      <c r="I4981" s="62" t="n">
        <v>405.85</v>
      </c>
      <c r="J4981" s="58" t="inlineStr">
        <is>
          <t>Online</t>
        </is>
      </c>
      <c r="K4981" s="62">
        <f>F4981*(G4981-H4981)</f>
        <v/>
      </c>
      <c r="L4981" s="62">
        <f>K4981-(F4981*I4981)</f>
        <v/>
      </c>
      <c r="M4981" s="64">
        <f>L4981/K4981</f>
        <v/>
      </c>
    </row>
    <row r="4982">
      <c r="A4982" s="58" t="inlineStr">
        <is>
          <t>RT20250508-04981</t>
        </is>
      </c>
      <c r="B4982" s="59" t="inlineStr">
        <is>
          <t>2025-05-08</t>
        </is>
      </c>
      <c r="C4982" s="60" t="inlineStr">
        <is>
          <t>Solace Makeup Pro-214</t>
        </is>
      </c>
      <c r="D4982" s="58" t="inlineStr">
        <is>
          <t>Beauty</t>
        </is>
      </c>
      <c r="E4982" s="58" t="inlineStr">
        <is>
          <t>East</t>
        </is>
      </c>
      <c r="F4982" s="61" t="n">
        <v>2</v>
      </c>
      <c r="G4982" s="62" t="n">
        <v>113.15</v>
      </c>
      <c r="H4982" s="63" t="n">
        <v>0.06900000000000001</v>
      </c>
      <c r="I4982" s="62" t="n">
        <v>69.29000000000001</v>
      </c>
      <c r="J4982" s="58" t="inlineStr">
        <is>
          <t>Online</t>
        </is>
      </c>
      <c r="K4982" s="62">
        <f>F4982*(G4982-H4982)</f>
        <v/>
      </c>
      <c r="L4982" s="62">
        <f>K4982-(F4982*I4982)</f>
        <v/>
      </c>
      <c r="M4982" s="64">
        <f>L4982/K4982</f>
        <v/>
      </c>
    </row>
    <row r="4983">
      <c r="A4983" s="58" t="inlineStr">
        <is>
          <t>RT20250508-04982</t>
        </is>
      </c>
      <c r="B4983" s="59" t="inlineStr">
        <is>
          <t>2025-05-08</t>
        </is>
      </c>
      <c r="C4983" s="60" t="inlineStr">
        <is>
          <t>Aurora Household Plus-146</t>
        </is>
      </c>
      <c r="D4983" s="58" t="inlineStr">
        <is>
          <t>Grocery</t>
        </is>
      </c>
      <c r="E4983" s="58" t="inlineStr">
        <is>
          <t>West</t>
        </is>
      </c>
      <c r="F4983" s="61" t="n">
        <v>2</v>
      </c>
      <c r="G4983" s="62" t="n">
        <v>6.16</v>
      </c>
      <c r="H4983" s="63" t="n">
        <v>0.056</v>
      </c>
      <c r="I4983" s="62" t="n">
        <v>4.6</v>
      </c>
      <c r="J4983" s="58" t="inlineStr">
        <is>
          <t>Online</t>
        </is>
      </c>
      <c r="K4983" s="62">
        <f>F4983*(G4983-H4983)</f>
        <v/>
      </c>
      <c r="L4983" s="62">
        <f>K4983-(F4983*I4983)</f>
        <v/>
      </c>
      <c r="M4983" s="64">
        <f>L4983/K4983</f>
        <v/>
      </c>
    </row>
    <row r="4984">
      <c r="A4984" s="58" t="inlineStr">
        <is>
          <t>RT20250508-04983</t>
        </is>
      </c>
      <c r="B4984" s="59" t="inlineStr">
        <is>
          <t>2025-05-08</t>
        </is>
      </c>
      <c r="C4984" s="60" t="inlineStr">
        <is>
          <t>Aurora Bedding Plus-187</t>
        </is>
      </c>
      <c r="D4984" s="58" t="inlineStr">
        <is>
          <t>Home</t>
        </is>
      </c>
      <c r="E4984" s="58" t="inlineStr">
        <is>
          <t>East</t>
        </is>
      </c>
      <c r="F4984" s="61" t="n">
        <v>1</v>
      </c>
      <c r="G4984" s="62" t="n">
        <v>308.21</v>
      </c>
      <c r="H4984" s="63" t="n">
        <v>0.016</v>
      </c>
      <c r="I4984" s="62" t="n">
        <v>203.56</v>
      </c>
      <c r="J4984" s="58" t="inlineStr">
        <is>
          <t>Store</t>
        </is>
      </c>
      <c r="K4984" s="62">
        <f>F4984*(G4984-H4984)</f>
        <v/>
      </c>
      <c r="L4984" s="62">
        <f>K4984-(F4984*I4984)</f>
        <v/>
      </c>
      <c r="M4984" s="64">
        <f>L4984/K4984</f>
        <v/>
      </c>
    </row>
    <row r="4985">
      <c r="A4985" s="58" t="inlineStr">
        <is>
          <t>RT20250508-04984</t>
        </is>
      </c>
      <c r="B4985" s="59" t="inlineStr">
        <is>
          <t>2025-05-08</t>
        </is>
      </c>
      <c r="C4985" s="60" t="inlineStr">
        <is>
          <t>Polar Laptop Plus-984</t>
        </is>
      </c>
      <c r="D4985" s="58" t="inlineStr">
        <is>
          <t>Electronics</t>
        </is>
      </c>
      <c r="E4985" s="58" t="inlineStr">
        <is>
          <t>East</t>
        </is>
      </c>
      <c r="F4985" s="61" t="n">
        <v>2</v>
      </c>
      <c r="G4985" s="62" t="n">
        <v>1469.52</v>
      </c>
      <c r="H4985" s="63" t="n">
        <v>0.074</v>
      </c>
      <c r="I4985" s="62" t="n">
        <v>973.27</v>
      </c>
      <c r="J4985" s="58" t="inlineStr">
        <is>
          <t>Store</t>
        </is>
      </c>
      <c r="K4985" s="62">
        <f>F4985*(G4985-H4985)</f>
        <v/>
      </c>
      <c r="L4985" s="62">
        <f>K4985-(F4985*I4985)</f>
        <v/>
      </c>
      <c r="M4985" s="64">
        <f>L4985/K4985</f>
        <v/>
      </c>
    </row>
    <row r="4986">
      <c r="A4986" s="58" t="inlineStr">
        <is>
          <t>RT20250508-04985</t>
        </is>
      </c>
      <c r="B4986" s="59" t="inlineStr">
        <is>
          <t>2025-05-08</t>
        </is>
      </c>
      <c r="C4986" s="60" t="inlineStr">
        <is>
          <t>Aurora Printer Plus-991</t>
        </is>
      </c>
      <c r="D4986" s="58" t="inlineStr">
        <is>
          <t>Office</t>
        </is>
      </c>
      <c r="E4986" s="58" t="inlineStr">
        <is>
          <t>East</t>
        </is>
      </c>
      <c r="F4986" s="61" t="n">
        <v>2</v>
      </c>
      <c r="G4986" s="62" t="n">
        <v>492.18</v>
      </c>
      <c r="H4986" s="63" t="n">
        <v>0.03</v>
      </c>
      <c r="I4986" s="62" t="n">
        <v>372.41</v>
      </c>
      <c r="J4986" s="58" t="inlineStr">
        <is>
          <t>Online</t>
        </is>
      </c>
      <c r="K4986" s="62">
        <f>F4986*(G4986-H4986)</f>
        <v/>
      </c>
      <c r="L4986" s="62">
        <f>K4986-(F4986*I4986)</f>
        <v/>
      </c>
      <c r="M4986" s="64">
        <f>L4986/K4986</f>
        <v/>
      </c>
    </row>
    <row r="4987">
      <c r="A4987" s="58" t="inlineStr">
        <is>
          <t>RT20250508-04986</t>
        </is>
      </c>
      <c r="B4987" s="59" t="inlineStr">
        <is>
          <t>2025-05-08</t>
        </is>
      </c>
      <c r="C4987" s="60" t="inlineStr">
        <is>
          <t>Falcon Skincare X-334</t>
        </is>
      </c>
      <c r="D4987" s="58" t="inlineStr">
        <is>
          <t>Beauty</t>
        </is>
      </c>
      <c r="E4987" s="58" t="inlineStr">
        <is>
          <t>East</t>
        </is>
      </c>
      <c r="F4987" s="61" t="n">
        <v>4</v>
      </c>
      <c r="G4987" s="62" t="n">
        <v>94.59</v>
      </c>
      <c r="H4987" s="63" t="n">
        <v>0.027</v>
      </c>
      <c r="I4987" s="62" t="n">
        <v>65.84</v>
      </c>
      <c r="J4987" s="58" t="inlineStr">
        <is>
          <t>Online</t>
        </is>
      </c>
      <c r="K4987" s="62">
        <f>F4987*(G4987-H4987)</f>
        <v/>
      </c>
      <c r="L4987" s="62">
        <f>K4987-(F4987*I4987)</f>
        <v/>
      </c>
      <c r="M4987" s="64">
        <f>L4987/K4987</f>
        <v/>
      </c>
    </row>
    <row r="4988">
      <c r="A4988" s="58" t="inlineStr">
        <is>
          <t>RT20250508-04987</t>
        </is>
      </c>
      <c r="B4988" s="59" t="inlineStr">
        <is>
          <t>2025-05-08</t>
        </is>
      </c>
      <c r="C4988" s="60" t="inlineStr">
        <is>
          <t>Metro Wearable Plus-234</t>
        </is>
      </c>
      <c r="D4988" s="58" t="inlineStr">
        <is>
          <t>Electronics</t>
        </is>
      </c>
      <c r="E4988" s="58" t="inlineStr">
        <is>
          <t>Central</t>
        </is>
      </c>
      <c r="F4988" s="61" t="n">
        <v>1</v>
      </c>
      <c r="G4988" s="62" t="n">
        <v>1404.95</v>
      </c>
      <c r="H4988" s="63" t="n">
        <v>0.055</v>
      </c>
      <c r="I4988" s="62" t="n">
        <v>1185.97</v>
      </c>
      <c r="J4988" s="58" t="inlineStr">
        <is>
          <t>Online</t>
        </is>
      </c>
      <c r="K4988" s="62">
        <f>F4988*(G4988-H4988)</f>
        <v/>
      </c>
      <c r="L4988" s="62">
        <f>K4988-(F4988*I4988)</f>
        <v/>
      </c>
      <c r="M4988" s="64">
        <f>L4988/K4988</f>
        <v/>
      </c>
    </row>
    <row r="4989">
      <c r="A4989" s="58" t="inlineStr">
        <is>
          <t>RT20250508-04988</t>
        </is>
      </c>
      <c r="B4989" s="59" t="inlineStr">
        <is>
          <t>2025-05-08</t>
        </is>
      </c>
      <c r="C4989" s="60" t="inlineStr">
        <is>
          <t>Solace Bedding Plus-317</t>
        </is>
      </c>
      <c r="D4989" s="58" t="inlineStr">
        <is>
          <t>Home</t>
        </is>
      </c>
      <c r="E4989" s="58" t="inlineStr">
        <is>
          <t>East</t>
        </is>
      </c>
      <c r="F4989" s="61" t="n">
        <v>3</v>
      </c>
      <c r="G4989" s="62" t="n">
        <v>585.39</v>
      </c>
      <c r="H4989" s="63" t="n">
        <v>0.092</v>
      </c>
      <c r="I4989" s="62" t="n">
        <v>385.09</v>
      </c>
      <c r="J4989" s="58" t="inlineStr">
        <is>
          <t>Store</t>
        </is>
      </c>
      <c r="K4989" s="62">
        <f>F4989*(G4989-H4989)</f>
        <v/>
      </c>
      <c r="L4989" s="62">
        <f>K4989-(F4989*I4989)</f>
        <v/>
      </c>
      <c r="M4989" s="64">
        <f>L4989/K4989</f>
        <v/>
      </c>
    </row>
    <row r="4990">
      <c r="A4990" s="58" t="inlineStr">
        <is>
          <t>RT20250508-04989</t>
        </is>
      </c>
      <c r="B4990" s="59" t="inlineStr">
        <is>
          <t>2025-05-08</t>
        </is>
      </c>
      <c r="C4990" s="60" t="inlineStr">
        <is>
          <t>Orion Men X-928</t>
        </is>
      </c>
      <c r="D4990" s="58" t="inlineStr">
        <is>
          <t>Apparel</t>
        </is>
      </c>
      <c r="E4990" s="58" t="inlineStr">
        <is>
          <t>East</t>
        </is>
      </c>
      <c r="F4990" s="61" t="n">
        <v>2</v>
      </c>
      <c r="G4990" s="62" t="n">
        <v>107.01</v>
      </c>
      <c r="H4990" s="63" t="n">
        <v>0.051</v>
      </c>
      <c r="I4990" s="62" t="n">
        <v>61.58</v>
      </c>
      <c r="J4990" s="58" t="inlineStr">
        <is>
          <t>Store</t>
        </is>
      </c>
      <c r="K4990" s="62">
        <f>F4990*(G4990-H4990)</f>
        <v/>
      </c>
      <c r="L4990" s="62">
        <f>K4990-(F4990*I4990)</f>
        <v/>
      </c>
      <c r="M4990" s="64">
        <f>L4990/K4990</f>
        <v/>
      </c>
    </row>
    <row r="4991">
      <c r="A4991" s="58" t="inlineStr">
        <is>
          <t>RT20250508-04990</t>
        </is>
      </c>
      <c r="B4991" s="59" t="inlineStr">
        <is>
          <t>2025-05-08</t>
        </is>
      </c>
      <c r="C4991" s="60" t="inlineStr">
        <is>
          <t>Falcon Furniture Plus-839</t>
        </is>
      </c>
      <c r="D4991" s="58" t="inlineStr">
        <is>
          <t>Office</t>
        </is>
      </c>
      <c r="E4991" s="58" t="inlineStr">
        <is>
          <t>Central</t>
        </is>
      </c>
      <c r="F4991" s="61" t="n">
        <v>1</v>
      </c>
      <c r="G4991" s="62" t="n">
        <v>315.76</v>
      </c>
      <c r="H4991" s="63" t="n">
        <v>0.1</v>
      </c>
      <c r="I4991" s="62" t="n">
        <v>231.04</v>
      </c>
      <c r="J4991" s="58" t="inlineStr">
        <is>
          <t>Online</t>
        </is>
      </c>
      <c r="K4991" s="62">
        <f>F4991*(G4991-H4991)</f>
        <v/>
      </c>
      <c r="L4991" s="62">
        <f>K4991-(F4991*I4991)</f>
        <v/>
      </c>
      <c r="M4991" s="64">
        <f>L4991/K4991</f>
        <v/>
      </c>
    </row>
    <row r="4992">
      <c r="A4992" s="58" t="inlineStr">
        <is>
          <t>RT20250508-04991</t>
        </is>
      </c>
      <c r="B4992" s="59" t="inlineStr">
        <is>
          <t>2025-05-08</t>
        </is>
      </c>
      <c r="C4992" s="60" t="inlineStr">
        <is>
          <t>Falcon Bedding S-674</t>
        </is>
      </c>
      <c r="D4992" s="58" t="inlineStr">
        <is>
          <t>Home</t>
        </is>
      </c>
      <c r="E4992" s="58" t="inlineStr">
        <is>
          <t>West</t>
        </is>
      </c>
      <c r="F4992" s="61" t="n">
        <v>3</v>
      </c>
      <c r="G4992" s="62" t="n">
        <v>654.99</v>
      </c>
      <c r="H4992" s="63" t="n">
        <v>0.048</v>
      </c>
      <c r="I4992" s="62" t="n">
        <v>461.02</v>
      </c>
      <c r="J4992" s="58" t="inlineStr">
        <is>
          <t>Store</t>
        </is>
      </c>
      <c r="K4992" s="62">
        <f>F4992*(G4992-H4992)</f>
        <v/>
      </c>
      <c r="L4992" s="62">
        <f>K4992-(F4992*I4992)</f>
        <v/>
      </c>
      <c r="M4992" s="64">
        <f>L4992/K4992</f>
        <v/>
      </c>
    </row>
    <row r="4993">
      <c r="A4993" s="58" t="inlineStr">
        <is>
          <t>RT20250508-04992</t>
        </is>
      </c>
      <c r="B4993" s="59" t="inlineStr">
        <is>
          <t>2025-05-08</t>
        </is>
      </c>
      <c r="C4993" s="60" t="inlineStr">
        <is>
          <t>Nimbus Decor Lite-385</t>
        </is>
      </c>
      <c r="D4993" s="58" t="inlineStr">
        <is>
          <t>Home</t>
        </is>
      </c>
      <c r="E4993" s="58" t="inlineStr">
        <is>
          <t>West</t>
        </is>
      </c>
      <c r="F4993" s="61" t="n">
        <v>1</v>
      </c>
      <c r="G4993" s="62" t="n">
        <v>595.52</v>
      </c>
      <c r="H4993" s="63" t="n">
        <v>0.061</v>
      </c>
      <c r="I4993" s="62" t="n">
        <v>387.14</v>
      </c>
      <c r="J4993" s="58" t="inlineStr">
        <is>
          <t>Online</t>
        </is>
      </c>
      <c r="K4993" s="62">
        <f>F4993*(G4993-H4993)</f>
        <v/>
      </c>
      <c r="L4993" s="62">
        <f>K4993-(F4993*I4993)</f>
        <v/>
      </c>
      <c r="M4993" s="64">
        <f>L4993/K4993</f>
        <v/>
      </c>
    </row>
    <row r="4994">
      <c r="A4994" s="58" t="inlineStr">
        <is>
          <t>RT20250508-04993</t>
        </is>
      </c>
      <c r="B4994" s="59" t="inlineStr">
        <is>
          <t>2025-05-08</t>
        </is>
      </c>
      <c r="C4994" s="60" t="inlineStr">
        <is>
          <t>Polar Outdoor X-193</t>
        </is>
      </c>
      <c r="D4994" s="58" t="inlineStr">
        <is>
          <t>Sports</t>
        </is>
      </c>
      <c r="E4994" s="58" t="inlineStr">
        <is>
          <t>South</t>
        </is>
      </c>
      <c r="F4994" s="61" t="n">
        <v>3</v>
      </c>
      <c r="G4994" s="62" t="n">
        <v>623.63</v>
      </c>
      <c r="H4994" s="63" t="n">
        <v>0.04</v>
      </c>
      <c r="I4994" s="62" t="n">
        <v>466.99</v>
      </c>
      <c r="J4994" s="58" t="inlineStr">
        <is>
          <t>Online</t>
        </is>
      </c>
      <c r="K4994" s="62">
        <f>F4994*(G4994-H4994)</f>
        <v/>
      </c>
      <c r="L4994" s="62">
        <f>K4994-(F4994*I4994)</f>
        <v/>
      </c>
      <c r="M4994" s="64">
        <f>L4994/K4994</f>
        <v/>
      </c>
    </row>
    <row r="4995">
      <c r="A4995" s="58" t="inlineStr">
        <is>
          <t>RT20250508-04994</t>
        </is>
      </c>
      <c r="B4995" s="59" t="inlineStr">
        <is>
          <t>2025-05-08</t>
        </is>
      </c>
      <c r="C4995" s="60" t="inlineStr">
        <is>
          <t>Metro Decor Lite-325</t>
        </is>
      </c>
      <c r="D4995" s="58" t="inlineStr">
        <is>
          <t>Home</t>
        </is>
      </c>
      <c r="E4995" s="58" t="inlineStr">
        <is>
          <t>West</t>
        </is>
      </c>
      <c r="F4995" s="61" t="n">
        <v>1</v>
      </c>
      <c r="G4995" s="62" t="n">
        <v>654.87</v>
      </c>
      <c r="H4995" s="63" t="n">
        <v>0.064</v>
      </c>
      <c r="I4995" s="62" t="n">
        <v>379.79</v>
      </c>
      <c r="J4995" s="58" t="inlineStr">
        <is>
          <t>Online</t>
        </is>
      </c>
      <c r="K4995" s="62">
        <f>F4995*(G4995-H4995)</f>
        <v/>
      </c>
      <c r="L4995" s="62">
        <f>K4995-(F4995*I4995)</f>
        <v/>
      </c>
      <c r="M4995" s="64">
        <f>L4995/K4995</f>
        <v/>
      </c>
    </row>
    <row r="4996">
      <c r="A4996" s="58" t="inlineStr">
        <is>
          <t>RT20250508-04995</t>
        </is>
      </c>
      <c r="B4996" s="59" t="inlineStr">
        <is>
          <t>2025-05-08</t>
        </is>
      </c>
      <c r="C4996" s="60" t="inlineStr">
        <is>
          <t>Solace Makeup Pro-214</t>
        </is>
      </c>
      <c r="D4996" s="58" t="inlineStr">
        <is>
          <t>Beauty</t>
        </is>
      </c>
      <c r="E4996" s="58" t="inlineStr">
        <is>
          <t>West</t>
        </is>
      </c>
      <c r="F4996" s="61" t="n">
        <v>2</v>
      </c>
      <c r="G4996" s="62" t="n">
        <v>120.06</v>
      </c>
      <c r="H4996" s="63" t="n">
        <v>0.064</v>
      </c>
      <c r="I4996" s="62" t="n">
        <v>70.06999999999999</v>
      </c>
      <c r="J4996" s="58" t="inlineStr">
        <is>
          <t>Store</t>
        </is>
      </c>
      <c r="K4996" s="62">
        <f>F4996*(G4996-H4996)</f>
        <v/>
      </c>
      <c r="L4996" s="62">
        <f>K4996-(F4996*I4996)</f>
        <v/>
      </c>
      <c r="M4996" s="64">
        <f>L4996/K4996</f>
        <v/>
      </c>
    </row>
    <row r="4997">
      <c r="A4997" s="58" t="inlineStr">
        <is>
          <t>RT20250508-04996</t>
        </is>
      </c>
      <c r="B4997" s="59" t="inlineStr">
        <is>
          <t>2025-05-08</t>
        </is>
      </c>
      <c r="C4997" s="60" t="inlineStr">
        <is>
          <t>Polar Beverage S-258</t>
        </is>
      </c>
      <c r="D4997" s="58" t="inlineStr">
        <is>
          <t>Grocery</t>
        </is>
      </c>
      <c r="E4997" s="58" t="inlineStr">
        <is>
          <t>North</t>
        </is>
      </c>
      <c r="F4997" s="61" t="n">
        <v>8</v>
      </c>
      <c r="G4997" s="62" t="n">
        <v>14.72</v>
      </c>
      <c r="H4997" s="63" t="n">
        <v>0.041</v>
      </c>
      <c r="I4997" s="62" t="n">
        <v>9.48</v>
      </c>
      <c r="J4997" s="58" t="inlineStr">
        <is>
          <t>Store</t>
        </is>
      </c>
      <c r="K4997" s="62">
        <f>F4997*(G4997-H4997)</f>
        <v/>
      </c>
      <c r="L4997" s="62">
        <f>K4997-(F4997*I4997)</f>
        <v/>
      </c>
      <c r="M4997" s="64">
        <f>L4997/K4997</f>
        <v/>
      </c>
    </row>
    <row r="4998">
      <c r="A4998" s="58" t="inlineStr">
        <is>
          <t>RT20250508-04997</t>
        </is>
      </c>
      <c r="B4998" s="59" t="inlineStr">
        <is>
          <t>2025-05-08</t>
        </is>
      </c>
      <c r="C4998" s="60" t="inlineStr">
        <is>
          <t>Aurora Outdoor Pro-467</t>
        </is>
      </c>
      <c r="D4998" s="58" t="inlineStr">
        <is>
          <t>Sports</t>
        </is>
      </c>
      <c r="E4998" s="58" t="inlineStr">
        <is>
          <t>East</t>
        </is>
      </c>
      <c r="F4998" s="61" t="n">
        <v>2</v>
      </c>
      <c r="G4998" s="62" t="n">
        <v>291.14</v>
      </c>
      <c r="H4998" s="63" t="n">
        <v>0.053</v>
      </c>
      <c r="I4998" s="62" t="n">
        <v>193.62</v>
      </c>
      <c r="J4998" s="58" t="inlineStr">
        <is>
          <t>Store</t>
        </is>
      </c>
      <c r="K4998" s="62">
        <f>F4998*(G4998-H4998)</f>
        <v/>
      </c>
      <c r="L4998" s="62">
        <f>K4998-(F4998*I4998)</f>
        <v/>
      </c>
      <c r="M4998" s="64">
        <f>L4998/K4998</f>
        <v/>
      </c>
    </row>
    <row r="4999">
      <c r="A4999" s="58" t="inlineStr">
        <is>
          <t>RT20250508-04998</t>
        </is>
      </c>
      <c r="B4999" s="59" t="inlineStr">
        <is>
          <t>2025-05-08</t>
        </is>
      </c>
      <c r="C4999" s="60" t="inlineStr">
        <is>
          <t>Falcon Haircare Pro-980</t>
        </is>
      </c>
      <c r="D4999" s="58" t="inlineStr">
        <is>
          <t>Beauty</t>
        </is>
      </c>
      <c r="E4999" s="58" t="inlineStr">
        <is>
          <t>West</t>
        </is>
      </c>
      <c r="F4999" s="61" t="n">
        <v>5</v>
      </c>
      <c r="G4999" s="62" t="n">
        <v>92.2</v>
      </c>
      <c r="H4999" s="63" t="n">
        <v>0.052</v>
      </c>
      <c r="I4999" s="62" t="n">
        <v>56.7</v>
      </c>
      <c r="J4999" s="58" t="inlineStr">
        <is>
          <t>Online</t>
        </is>
      </c>
      <c r="K4999" s="62">
        <f>F4999*(G4999-H4999)</f>
        <v/>
      </c>
      <c r="L4999" s="62">
        <f>K4999-(F4999*I4999)</f>
        <v/>
      </c>
      <c r="M4999" s="64">
        <f>L4999/K4999</f>
        <v/>
      </c>
    </row>
    <row r="5000">
      <c r="A5000" s="58" t="inlineStr">
        <is>
          <t>RT20250508-04999</t>
        </is>
      </c>
      <c r="B5000" s="59" t="inlineStr">
        <is>
          <t>2025-05-08</t>
        </is>
      </c>
      <c r="C5000" s="60" t="inlineStr">
        <is>
          <t>Polar Laptop Plus-984</t>
        </is>
      </c>
      <c r="D5000" s="58" t="inlineStr">
        <is>
          <t>Electronics</t>
        </is>
      </c>
      <c r="E5000" s="58" t="inlineStr">
        <is>
          <t>East</t>
        </is>
      </c>
      <c r="F5000" s="61" t="n">
        <v>1</v>
      </c>
      <c r="G5000" s="62" t="n">
        <v>1396.05</v>
      </c>
      <c r="H5000" s="63" t="n">
        <v>0.075</v>
      </c>
      <c r="I5000" s="62" t="n">
        <v>1017.5</v>
      </c>
      <c r="J5000" s="58" t="inlineStr">
        <is>
          <t>Online</t>
        </is>
      </c>
      <c r="K5000" s="62">
        <f>F5000*(G5000-H5000)</f>
        <v/>
      </c>
      <c r="L5000" s="62">
        <f>K5000-(F5000*I5000)</f>
        <v/>
      </c>
      <c r="M5000" s="64">
        <f>L5000/K5000</f>
        <v/>
      </c>
    </row>
    <row r="5001">
      <c r="A5001" s="58" t="inlineStr">
        <is>
          <t>RT20250509-05000</t>
        </is>
      </c>
      <c r="B5001" s="59" t="inlineStr">
        <is>
          <t>2025-05-09</t>
        </is>
      </c>
      <c r="C5001" s="60" t="inlineStr">
        <is>
          <t>Metro Smartphone Max-773</t>
        </is>
      </c>
      <c r="D5001" s="58" t="inlineStr">
        <is>
          <t>Electronics</t>
        </is>
      </c>
      <c r="E5001" s="58" t="inlineStr">
        <is>
          <t>South</t>
        </is>
      </c>
      <c r="F5001" s="61" t="n">
        <v>2</v>
      </c>
      <c r="G5001" s="62" t="n">
        <v>1490.32</v>
      </c>
      <c r="H5001" s="63" t="n">
        <v>0.078</v>
      </c>
      <c r="I5001" s="62" t="n">
        <v>1104.98</v>
      </c>
      <c r="J5001" s="58" t="inlineStr">
        <is>
          <t>Store</t>
        </is>
      </c>
      <c r="K5001" s="62">
        <f>F5001*(G5001-H5001)</f>
        <v/>
      </c>
      <c r="L5001" s="62">
        <f>K5001-(F5001*I5001)</f>
        <v/>
      </c>
      <c r="M5001" s="64">
        <f>L5001/K5001</f>
        <v/>
      </c>
    </row>
    <row r="5002">
      <c r="A5002" s="58" t="inlineStr">
        <is>
          <t>RT20250509-05001</t>
        </is>
      </c>
      <c r="B5002" s="59" t="inlineStr">
        <is>
          <t>2025-05-09</t>
        </is>
      </c>
      <c r="C5002" s="60" t="inlineStr">
        <is>
          <t>Vertex Furniture S-652</t>
        </is>
      </c>
      <c r="D5002" s="58" t="inlineStr">
        <is>
          <t>Office</t>
        </is>
      </c>
      <c r="E5002" s="58" t="inlineStr">
        <is>
          <t>North</t>
        </is>
      </c>
      <c r="F5002" s="61" t="n">
        <v>3</v>
      </c>
      <c r="G5002" s="62" t="n">
        <v>380.3</v>
      </c>
      <c r="H5002" s="63" t="n">
        <v>0.08699999999999999</v>
      </c>
      <c r="I5002" s="62" t="n">
        <v>263.33</v>
      </c>
      <c r="J5002" s="58" t="inlineStr">
        <is>
          <t>Online</t>
        </is>
      </c>
      <c r="K5002" s="62">
        <f>F5002*(G5002-H5002)</f>
        <v/>
      </c>
      <c r="L5002" s="62">
        <f>K5002-(F5002*I5002)</f>
        <v/>
      </c>
      <c r="M5002" s="64">
        <f>L5002/K5002</f>
        <v/>
      </c>
    </row>
    <row r="5003">
      <c r="A5003" s="58" t="inlineStr">
        <is>
          <t>RT20250509-05002</t>
        </is>
      </c>
      <c r="B5003" s="59" t="inlineStr">
        <is>
          <t>2025-05-09</t>
        </is>
      </c>
      <c r="C5003" s="60" t="inlineStr">
        <is>
          <t>Falcon Furniture Plus-839</t>
        </is>
      </c>
      <c r="D5003" s="58" t="inlineStr">
        <is>
          <t>Office</t>
        </is>
      </c>
      <c r="E5003" s="58" t="inlineStr">
        <is>
          <t>East</t>
        </is>
      </c>
      <c r="F5003" s="61" t="n">
        <v>3</v>
      </c>
      <c r="G5003" s="62" t="n">
        <v>330.46</v>
      </c>
      <c r="H5003" s="63" t="n">
        <v>0.045</v>
      </c>
      <c r="I5003" s="62" t="n">
        <v>231.94</v>
      </c>
      <c r="J5003" s="58" t="inlineStr">
        <is>
          <t>Online</t>
        </is>
      </c>
      <c r="K5003" s="62">
        <f>F5003*(G5003-H5003)</f>
        <v/>
      </c>
      <c r="L5003" s="62">
        <f>K5003-(F5003*I5003)</f>
        <v/>
      </c>
      <c r="M5003" s="64">
        <f>L5003/K5003</f>
        <v/>
      </c>
    </row>
    <row r="5004">
      <c r="A5004" s="58" t="inlineStr">
        <is>
          <t>RT20250509-05003</t>
        </is>
      </c>
      <c r="B5004" s="59" t="inlineStr">
        <is>
          <t>2025-05-09</t>
        </is>
      </c>
      <c r="C5004" s="60" t="inlineStr">
        <is>
          <t>Solace Kitchen Pro-999</t>
        </is>
      </c>
      <c r="D5004" s="58" t="inlineStr">
        <is>
          <t>Home</t>
        </is>
      </c>
      <c r="E5004" s="58" t="inlineStr">
        <is>
          <t>West</t>
        </is>
      </c>
      <c r="F5004" s="61" t="n">
        <v>2</v>
      </c>
      <c r="G5004" s="62" t="n">
        <v>360.09</v>
      </c>
      <c r="H5004" s="63" t="n">
        <v>0.078</v>
      </c>
      <c r="I5004" s="62" t="n">
        <v>259.19</v>
      </c>
      <c r="J5004" s="58" t="inlineStr">
        <is>
          <t>Online</t>
        </is>
      </c>
      <c r="K5004" s="62">
        <f>F5004*(G5004-H5004)</f>
        <v/>
      </c>
      <c r="L5004" s="62">
        <f>K5004-(F5004*I5004)</f>
        <v/>
      </c>
      <c r="M5004" s="64">
        <f>L5004/K5004</f>
        <v/>
      </c>
    </row>
    <row r="5005">
      <c r="A5005" s="58" t="inlineStr">
        <is>
          <t>RT20250509-05004</t>
        </is>
      </c>
      <c r="B5005" s="59" t="inlineStr">
        <is>
          <t>2025-05-09</t>
        </is>
      </c>
      <c r="C5005" s="60" t="inlineStr">
        <is>
          <t>Orion Kid Max-640</t>
        </is>
      </c>
      <c r="D5005" s="58" t="inlineStr">
        <is>
          <t>Apparel</t>
        </is>
      </c>
      <c r="E5005" s="58" t="inlineStr">
        <is>
          <t>North</t>
        </is>
      </c>
      <c r="F5005" s="61" t="n">
        <v>2</v>
      </c>
      <c r="G5005" s="62" t="n">
        <v>128.82</v>
      </c>
      <c r="H5005" s="63" t="n">
        <v>0.094</v>
      </c>
      <c r="I5005" s="62" t="n">
        <v>72.69</v>
      </c>
      <c r="J5005" s="58" t="inlineStr">
        <is>
          <t>Store</t>
        </is>
      </c>
      <c r="K5005" s="62">
        <f>F5005*(G5005-H5005)</f>
        <v/>
      </c>
      <c r="L5005" s="62">
        <f>K5005-(F5005*I5005)</f>
        <v/>
      </c>
      <c r="M5005" s="64">
        <f>L5005/K5005</f>
        <v/>
      </c>
    </row>
    <row r="5006">
      <c r="A5006" s="58" t="inlineStr">
        <is>
          <t>RT20250509-05005</t>
        </is>
      </c>
      <c r="B5006" s="59" t="inlineStr">
        <is>
          <t>2025-05-09</t>
        </is>
      </c>
      <c r="C5006" s="60" t="inlineStr">
        <is>
          <t>Nimbus Laptop Max-652</t>
        </is>
      </c>
      <c r="D5006" s="58" t="inlineStr">
        <is>
          <t>Electronics</t>
        </is>
      </c>
      <c r="E5006" s="58" t="inlineStr">
        <is>
          <t>East</t>
        </is>
      </c>
      <c r="F5006" s="61" t="n">
        <v>1</v>
      </c>
      <c r="G5006" s="62" t="n">
        <v>1132.19</v>
      </c>
      <c r="H5006" s="63" t="n">
        <v>0.05</v>
      </c>
      <c r="I5006" s="62" t="n">
        <v>1044.26</v>
      </c>
      <c r="J5006" s="58" t="inlineStr">
        <is>
          <t>Store</t>
        </is>
      </c>
      <c r="K5006" s="62">
        <f>F5006*(G5006-H5006)</f>
        <v/>
      </c>
      <c r="L5006" s="62">
        <f>K5006-(F5006*I5006)</f>
        <v/>
      </c>
      <c r="M5006" s="64">
        <f>L5006/K5006</f>
        <v/>
      </c>
    </row>
    <row r="5007">
      <c r="A5007" s="58" t="inlineStr">
        <is>
          <t>RT20250509-05006</t>
        </is>
      </c>
      <c r="B5007" s="59" t="inlineStr">
        <is>
          <t>2025-05-09</t>
        </is>
      </c>
      <c r="C5007" s="60" t="inlineStr">
        <is>
          <t>Vertex Appliance Max-338</t>
        </is>
      </c>
      <c r="D5007" s="58" t="inlineStr">
        <is>
          <t>Home</t>
        </is>
      </c>
      <c r="E5007" s="58" t="inlineStr">
        <is>
          <t>South</t>
        </is>
      </c>
      <c r="F5007" s="61" t="n">
        <v>3</v>
      </c>
      <c r="G5007" s="62" t="n">
        <v>384.95</v>
      </c>
      <c r="H5007" s="63" t="n">
        <v>0.103</v>
      </c>
      <c r="I5007" s="62" t="n">
        <v>284.24</v>
      </c>
      <c r="J5007" s="58" t="inlineStr">
        <is>
          <t>Online</t>
        </is>
      </c>
      <c r="K5007" s="62">
        <f>F5007*(G5007-H5007)</f>
        <v/>
      </c>
      <c r="L5007" s="62">
        <f>K5007-(F5007*I5007)</f>
        <v/>
      </c>
      <c r="M5007" s="64">
        <f>L5007/K5007</f>
        <v/>
      </c>
    </row>
    <row r="5008">
      <c r="A5008" s="58" t="inlineStr">
        <is>
          <t>RT20250509-05007</t>
        </is>
      </c>
      <c r="B5008" s="59" t="inlineStr">
        <is>
          <t>2025-05-09</t>
        </is>
      </c>
      <c r="C5008" s="60" t="inlineStr">
        <is>
          <t>Solace Fitnes S-324</t>
        </is>
      </c>
      <c r="D5008" s="58" t="inlineStr">
        <is>
          <t>Sports</t>
        </is>
      </c>
      <c r="E5008" s="58" t="inlineStr">
        <is>
          <t>East</t>
        </is>
      </c>
      <c r="F5008" s="61" t="n">
        <v>3</v>
      </c>
      <c r="G5008" s="62" t="n">
        <v>1004.12</v>
      </c>
      <c r="H5008" s="63" t="n">
        <v>0.055</v>
      </c>
      <c r="I5008" s="62" t="n">
        <v>533.88</v>
      </c>
      <c r="J5008" s="58" t="inlineStr">
        <is>
          <t>Store</t>
        </is>
      </c>
      <c r="K5008" s="62">
        <f>F5008*(G5008-H5008)</f>
        <v/>
      </c>
      <c r="L5008" s="62">
        <f>K5008-(F5008*I5008)</f>
        <v/>
      </c>
      <c r="M5008" s="64">
        <f>L5008/K5008</f>
        <v/>
      </c>
    </row>
    <row r="5009">
      <c r="A5009" s="58" t="inlineStr">
        <is>
          <t>RT20250509-05008</t>
        </is>
      </c>
      <c r="B5009" s="59" t="inlineStr">
        <is>
          <t>2025-05-09</t>
        </is>
      </c>
      <c r="C5009" s="60" t="inlineStr">
        <is>
          <t>Orion Laptop S-350</t>
        </is>
      </c>
      <c r="D5009" s="58" t="inlineStr">
        <is>
          <t>Electronics</t>
        </is>
      </c>
      <c r="E5009" s="58" t="inlineStr">
        <is>
          <t>Central</t>
        </is>
      </c>
      <c r="F5009" s="61" t="n">
        <v>2</v>
      </c>
      <c r="G5009" s="62" t="n">
        <v>1398.29</v>
      </c>
      <c r="H5009" s="63" t="n">
        <v>0.046</v>
      </c>
      <c r="I5009" s="62" t="n">
        <v>1065.22</v>
      </c>
      <c r="J5009" s="58" t="inlineStr">
        <is>
          <t>Online</t>
        </is>
      </c>
      <c r="K5009" s="62">
        <f>F5009*(G5009-H5009)</f>
        <v/>
      </c>
      <c r="L5009" s="62">
        <f>K5009-(F5009*I5009)</f>
        <v/>
      </c>
      <c r="M5009" s="64">
        <f>L5009/K5009</f>
        <v/>
      </c>
    </row>
    <row r="5010">
      <c r="A5010" s="58" t="inlineStr">
        <is>
          <t>RT20250509-05009</t>
        </is>
      </c>
      <c r="B5010" s="59" t="inlineStr">
        <is>
          <t>2025-05-09</t>
        </is>
      </c>
      <c r="C5010" s="60" t="inlineStr">
        <is>
          <t>Metro Decor Lite-325</t>
        </is>
      </c>
      <c r="D5010" s="58" t="inlineStr">
        <is>
          <t>Home</t>
        </is>
      </c>
      <c r="E5010" s="58" t="inlineStr">
        <is>
          <t>Central</t>
        </is>
      </c>
      <c r="F5010" s="61" t="n">
        <v>3</v>
      </c>
      <c r="G5010" s="62" t="n">
        <v>615.72</v>
      </c>
      <c r="H5010" s="63" t="n">
        <v>0.075</v>
      </c>
      <c r="I5010" s="62" t="n">
        <v>375.4</v>
      </c>
      <c r="J5010" s="58" t="inlineStr">
        <is>
          <t>Store</t>
        </is>
      </c>
      <c r="K5010" s="62">
        <f>F5010*(G5010-H5010)</f>
        <v/>
      </c>
      <c r="L5010" s="62">
        <f>K5010-(F5010*I5010)</f>
        <v/>
      </c>
      <c r="M5010" s="64">
        <f>L5010/K5010</f>
        <v/>
      </c>
    </row>
    <row r="5011">
      <c r="A5011" s="58" t="inlineStr">
        <is>
          <t>RT20250509-05010</t>
        </is>
      </c>
      <c r="B5011" s="59" t="inlineStr">
        <is>
          <t>2025-05-09</t>
        </is>
      </c>
      <c r="C5011" s="60" t="inlineStr">
        <is>
          <t>Metro Accessorie Max-316</t>
        </is>
      </c>
      <c r="D5011" s="58" t="inlineStr">
        <is>
          <t>Apparel</t>
        </is>
      </c>
      <c r="E5011" s="58" t="inlineStr">
        <is>
          <t>Central</t>
        </is>
      </c>
      <c r="F5011" s="61" t="n">
        <v>3</v>
      </c>
      <c r="G5011" s="62" t="n">
        <v>173.81</v>
      </c>
      <c r="H5011" s="63" t="n">
        <v>0.058</v>
      </c>
      <c r="I5011" s="62" t="n">
        <v>95.33</v>
      </c>
      <c r="J5011" s="58" t="inlineStr">
        <is>
          <t>Phone</t>
        </is>
      </c>
      <c r="K5011" s="62">
        <f>F5011*(G5011-H5011)</f>
        <v/>
      </c>
      <c r="L5011" s="62">
        <f>K5011-(F5011*I5011)</f>
        <v/>
      </c>
      <c r="M5011" s="64">
        <f>L5011/K5011</f>
        <v/>
      </c>
    </row>
    <row r="5012">
      <c r="A5012" s="58" t="inlineStr">
        <is>
          <t>RT20250509-05011</t>
        </is>
      </c>
      <c r="B5012" s="59" t="inlineStr">
        <is>
          <t>2025-05-09</t>
        </is>
      </c>
      <c r="C5012" s="60" t="inlineStr">
        <is>
          <t>Vertex Supplie Pro-786</t>
        </is>
      </c>
      <c r="D5012" s="58" t="inlineStr">
        <is>
          <t>Office</t>
        </is>
      </c>
      <c r="E5012" s="58" t="inlineStr">
        <is>
          <t>Central</t>
        </is>
      </c>
      <c r="F5012" s="61" t="n">
        <v>3</v>
      </c>
      <c r="G5012" s="62" t="n">
        <v>417.17</v>
      </c>
      <c r="H5012" s="63" t="n">
        <v>0.058</v>
      </c>
      <c r="I5012" s="62" t="n">
        <v>293.36</v>
      </c>
      <c r="J5012" s="58" t="inlineStr">
        <is>
          <t>Online</t>
        </is>
      </c>
      <c r="K5012" s="62">
        <f>F5012*(G5012-H5012)</f>
        <v/>
      </c>
      <c r="L5012" s="62">
        <f>K5012-(F5012*I5012)</f>
        <v/>
      </c>
      <c r="M5012" s="64">
        <f>L5012/K5012</f>
        <v/>
      </c>
    </row>
    <row r="5013">
      <c r="A5013" s="58" t="inlineStr">
        <is>
          <t>RT20250509-05012</t>
        </is>
      </c>
      <c r="B5013" s="59" t="inlineStr">
        <is>
          <t>2025-05-09</t>
        </is>
      </c>
      <c r="C5013" s="60" t="inlineStr">
        <is>
          <t>Metro Fragrance Lite-261</t>
        </is>
      </c>
      <c r="D5013" s="58" t="inlineStr">
        <is>
          <t>Beauty</t>
        </is>
      </c>
      <c r="E5013" s="58" t="inlineStr">
        <is>
          <t>Central</t>
        </is>
      </c>
      <c r="F5013" s="61" t="n">
        <v>3</v>
      </c>
      <c r="G5013" s="62" t="n">
        <v>91.88</v>
      </c>
      <c r="H5013" s="63" t="n">
        <v>0.08799999999999999</v>
      </c>
      <c r="I5013" s="62" t="n">
        <v>55.67</v>
      </c>
      <c r="J5013" s="58" t="inlineStr">
        <is>
          <t>Store</t>
        </is>
      </c>
      <c r="K5013" s="62">
        <f>F5013*(G5013-H5013)</f>
        <v/>
      </c>
      <c r="L5013" s="62">
        <f>K5013-(F5013*I5013)</f>
        <v/>
      </c>
      <c r="M5013" s="64">
        <f>L5013/K5013</f>
        <v/>
      </c>
    </row>
    <row r="5014">
      <c r="A5014" s="58" t="inlineStr">
        <is>
          <t>RT20250509-05013</t>
        </is>
      </c>
      <c r="B5014" s="59" t="inlineStr">
        <is>
          <t>2025-05-09</t>
        </is>
      </c>
      <c r="C5014" s="60" t="inlineStr">
        <is>
          <t>Polar Bedding Lite-243</t>
        </is>
      </c>
      <c r="D5014" s="58" t="inlineStr">
        <is>
          <t>Home</t>
        </is>
      </c>
      <c r="E5014" s="58" t="inlineStr">
        <is>
          <t>East</t>
        </is>
      </c>
      <c r="F5014" s="61" t="n">
        <v>2</v>
      </c>
      <c r="G5014" s="62" t="n">
        <v>476.88</v>
      </c>
      <c r="H5014" s="63" t="n">
        <v>0.045</v>
      </c>
      <c r="I5014" s="62" t="n">
        <v>322.3</v>
      </c>
      <c r="J5014" s="58" t="inlineStr">
        <is>
          <t>Online</t>
        </is>
      </c>
      <c r="K5014" s="62">
        <f>F5014*(G5014-H5014)</f>
        <v/>
      </c>
      <c r="L5014" s="62">
        <f>K5014-(F5014*I5014)</f>
        <v/>
      </c>
      <c r="M5014" s="64">
        <f>L5014/K5014</f>
        <v/>
      </c>
    </row>
    <row r="5015">
      <c r="A5015" s="58" t="inlineStr">
        <is>
          <t>RT20250509-05014</t>
        </is>
      </c>
      <c r="B5015" s="59" t="inlineStr">
        <is>
          <t>2025-05-09</t>
        </is>
      </c>
      <c r="C5015" s="60" t="inlineStr">
        <is>
          <t>Falcon Team Sport Lite-268</t>
        </is>
      </c>
      <c r="D5015" s="58" t="inlineStr">
        <is>
          <t>Sports</t>
        </is>
      </c>
      <c r="E5015" s="58" t="inlineStr">
        <is>
          <t>West</t>
        </is>
      </c>
      <c r="F5015" s="61" t="n">
        <v>1</v>
      </c>
      <c r="G5015" s="62" t="n">
        <v>688.53</v>
      </c>
      <c r="H5015" s="63" t="n">
        <v>0.073</v>
      </c>
      <c r="I5015" s="62" t="n">
        <v>438.75</v>
      </c>
      <c r="J5015" s="58" t="inlineStr">
        <is>
          <t>Online</t>
        </is>
      </c>
      <c r="K5015" s="62">
        <f>F5015*(G5015-H5015)</f>
        <v/>
      </c>
      <c r="L5015" s="62">
        <f>K5015-(F5015*I5015)</f>
        <v/>
      </c>
      <c r="M5015" s="64">
        <f>L5015/K5015</f>
        <v/>
      </c>
    </row>
    <row r="5016">
      <c r="A5016" s="58" t="inlineStr">
        <is>
          <t>RT20250509-05015</t>
        </is>
      </c>
      <c r="B5016" s="59" t="inlineStr">
        <is>
          <t>2025-05-09</t>
        </is>
      </c>
      <c r="C5016" s="60" t="inlineStr">
        <is>
          <t>Polar Supplie Lite-348</t>
        </is>
      </c>
      <c r="D5016" s="58" t="inlineStr">
        <is>
          <t>Office</t>
        </is>
      </c>
      <c r="E5016" s="58" t="inlineStr">
        <is>
          <t>East</t>
        </is>
      </c>
      <c r="F5016" s="61" t="n">
        <v>2</v>
      </c>
      <c r="G5016" s="62" t="n">
        <v>448.73</v>
      </c>
      <c r="H5016" s="63" t="n">
        <v>0.057</v>
      </c>
      <c r="I5016" s="62" t="n">
        <v>306.75</v>
      </c>
      <c r="J5016" s="58" t="inlineStr">
        <is>
          <t>Online</t>
        </is>
      </c>
      <c r="K5016" s="62">
        <f>F5016*(G5016-H5016)</f>
        <v/>
      </c>
      <c r="L5016" s="62">
        <f>K5016-(F5016*I5016)</f>
        <v/>
      </c>
      <c r="M5016" s="64">
        <f>L5016/K5016</f>
        <v/>
      </c>
    </row>
    <row r="5017">
      <c r="A5017" s="58" t="inlineStr">
        <is>
          <t>RT20250509-05016</t>
        </is>
      </c>
      <c r="B5017" s="59" t="inlineStr">
        <is>
          <t>2025-05-09</t>
        </is>
      </c>
      <c r="C5017" s="60" t="inlineStr">
        <is>
          <t>Orion Haircare Plus-887</t>
        </is>
      </c>
      <c r="D5017" s="58" t="inlineStr">
        <is>
          <t>Beauty</t>
        </is>
      </c>
      <c r="E5017" s="58" t="inlineStr">
        <is>
          <t>East</t>
        </is>
      </c>
      <c r="F5017" s="61" t="n">
        <v>2</v>
      </c>
      <c r="G5017" s="62" t="n">
        <v>47.7</v>
      </c>
      <c r="H5017" s="63" t="n">
        <v>0.08599999999999999</v>
      </c>
      <c r="I5017" s="62" t="n">
        <v>31.58</v>
      </c>
      <c r="J5017" s="58" t="inlineStr">
        <is>
          <t>Store</t>
        </is>
      </c>
      <c r="K5017" s="62">
        <f>F5017*(G5017-H5017)</f>
        <v/>
      </c>
      <c r="L5017" s="62">
        <f>K5017-(F5017*I5017)</f>
        <v/>
      </c>
      <c r="M5017" s="64">
        <f>L5017/K5017</f>
        <v/>
      </c>
    </row>
    <row r="5018">
      <c r="A5018" s="58" t="inlineStr">
        <is>
          <t>RT20250509-05017</t>
        </is>
      </c>
      <c r="B5018" s="59" t="inlineStr">
        <is>
          <t>2025-05-09</t>
        </is>
      </c>
      <c r="C5018" s="60" t="inlineStr">
        <is>
          <t>Solace Laptop S-367</t>
        </is>
      </c>
      <c r="D5018" s="58" t="inlineStr">
        <is>
          <t>Electronics</t>
        </is>
      </c>
      <c r="E5018" s="58" t="inlineStr">
        <is>
          <t>East</t>
        </is>
      </c>
      <c r="F5018" s="61" t="n">
        <v>1</v>
      </c>
      <c r="G5018" s="62" t="n">
        <v>2145.65</v>
      </c>
      <c r="H5018" s="63" t="n">
        <v>0.038</v>
      </c>
      <c r="I5018" s="62" t="n">
        <v>1565.41</v>
      </c>
      <c r="J5018" s="58" t="inlineStr">
        <is>
          <t>Online</t>
        </is>
      </c>
      <c r="K5018" s="62">
        <f>F5018*(G5018-H5018)</f>
        <v/>
      </c>
      <c r="L5018" s="62">
        <f>K5018-(F5018*I5018)</f>
        <v/>
      </c>
      <c r="M5018" s="64">
        <f>L5018/K5018</f>
        <v/>
      </c>
    </row>
    <row r="5019">
      <c r="A5019" s="58" t="inlineStr">
        <is>
          <t>RT20250509-05018</t>
        </is>
      </c>
      <c r="B5019" s="59" t="inlineStr">
        <is>
          <t>2025-05-09</t>
        </is>
      </c>
      <c r="C5019" s="60" t="inlineStr">
        <is>
          <t>Polar Cycling S-223</t>
        </is>
      </c>
      <c r="D5019" s="58" t="inlineStr">
        <is>
          <t>Sports</t>
        </is>
      </c>
      <c r="E5019" s="58" t="inlineStr">
        <is>
          <t>North</t>
        </is>
      </c>
      <c r="F5019" s="61" t="n">
        <v>3</v>
      </c>
      <c r="G5019" s="62" t="n">
        <v>906.6900000000001</v>
      </c>
      <c r="H5019" s="63" t="n">
        <v>0.037</v>
      </c>
      <c r="I5019" s="62" t="n">
        <v>615.72</v>
      </c>
      <c r="J5019" s="58" t="inlineStr">
        <is>
          <t>Online</t>
        </is>
      </c>
      <c r="K5019" s="62">
        <f>F5019*(G5019-H5019)</f>
        <v/>
      </c>
      <c r="L5019" s="62">
        <f>K5019-(F5019*I5019)</f>
        <v/>
      </c>
      <c r="M5019" s="64">
        <f>L5019/K5019</f>
        <v/>
      </c>
    </row>
    <row r="5020">
      <c r="A5020" s="58" t="inlineStr">
        <is>
          <t>RT20250509-05019</t>
        </is>
      </c>
      <c r="B5020" s="59" t="inlineStr">
        <is>
          <t>2025-05-09</t>
        </is>
      </c>
      <c r="C5020" s="60" t="inlineStr">
        <is>
          <t>Falcon Team Sport Lite-268</t>
        </is>
      </c>
      <c r="D5020" s="58" t="inlineStr">
        <is>
          <t>Sports</t>
        </is>
      </c>
      <c r="E5020" s="58" t="inlineStr">
        <is>
          <t>West</t>
        </is>
      </c>
      <c r="F5020" s="61" t="n">
        <v>1</v>
      </c>
      <c r="G5020" s="62" t="n">
        <v>581.1799999999999</v>
      </c>
      <c r="H5020" s="63" t="n">
        <v>0.111</v>
      </c>
      <c r="I5020" s="62" t="n">
        <v>432.46</v>
      </c>
      <c r="J5020" s="58" t="inlineStr">
        <is>
          <t>Online</t>
        </is>
      </c>
      <c r="K5020" s="62">
        <f>F5020*(G5020-H5020)</f>
        <v/>
      </c>
      <c r="L5020" s="62">
        <f>K5020-(F5020*I5020)</f>
        <v/>
      </c>
      <c r="M5020" s="64">
        <f>L5020/K5020</f>
        <v/>
      </c>
    </row>
    <row r="5021">
      <c r="A5021" s="58" t="inlineStr">
        <is>
          <t>RT20250509-05020</t>
        </is>
      </c>
      <c r="B5021" s="59" t="inlineStr">
        <is>
          <t>2025-05-09</t>
        </is>
      </c>
      <c r="C5021" s="60" t="inlineStr">
        <is>
          <t>Aurora Makeup Pro-489</t>
        </is>
      </c>
      <c r="D5021" s="58" t="inlineStr">
        <is>
          <t>Beauty</t>
        </is>
      </c>
      <c r="E5021" s="58" t="inlineStr">
        <is>
          <t>Central</t>
        </is>
      </c>
      <c r="F5021" s="61" t="n">
        <v>2</v>
      </c>
      <c r="G5021" s="62" t="n">
        <v>102.9</v>
      </c>
      <c r="H5021" s="63" t="n">
        <v>0.027</v>
      </c>
      <c r="I5021" s="62" t="n">
        <v>65.34</v>
      </c>
      <c r="J5021" s="58" t="inlineStr">
        <is>
          <t>Store</t>
        </is>
      </c>
      <c r="K5021" s="62">
        <f>F5021*(G5021-H5021)</f>
        <v/>
      </c>
      <c r="L5021" s="62">
        <f>K5021-(F5021*I5021)</f>
        <v/>
      </c>
      <c r="M5021" s="64">
        <f>L5021/K5021</f>
        <v/>
      </c>
    </row>
    <row r="5022">
      <c r="A5022" s="58" t="inlineStr">
        <is>
          <t>RT20250509-05021</t>
        </is>
      </c>
      <c r="B5022" s="59" t="inlineStr">
        <is>
          <t>2025-05-09</t>
        </is>
      </c>
      <c r="C5022" s="60" t="inlineStr">
        <is>
          <t>Metro Wearable Plus-234</t>
        </is>
      </c>
      <c r="D5022" s="58" t="inlineStr">
        <is>
          <t>Electronics</t>
        </is>
      </c>
      <c r="E5022" s="58" t="inlineStr">
        <is>
          <t>East</t>
        </is>
      </c>
      <c r="F5022" s="61" t="n">
        <v>2</v>
      </c>
      <c r="G5022" s="62" t="n">
        <v>1769.42</v>
      </c>
      <c r="H5022" s="63" t="n">
        <v>0.08599999999999999</v>
      </c>
      <c r="I5022" s="62" t="n">
        <v>1189.31</v>
      </c>
      <c r="J5022" s="58" t="inlineStr">
        <is>
          <t>Store</t>
        </is>
      </c>
      <c r="K5022" s="62">
        <f>F5022*(G5022-H5022)</f>
        <v/>
      </c>
      <c r="L5022" s="62">
        <f>K5022-(F5022*I5022)</f>
        <v/>
      </c>
      <c r="M5022" s="64">
        <f>L5022/K5022</f>
        <v/>
      </c>
    </row>
    <row r="5023">
      <c r="A5023" s="58" t="inlineStr">
        <is>
          <t>RT20250509-05022</t>
        </is>
      </c>
      <c r="B5023" s="59" t="inlineStr">
        <is>
          <t>2025-05-09</t>
        </is>
      </c>
      <c r="C5023" s="60" t="inlineStr">
        <is>
          <t>Solace Kitchen X-919</t>
        </is>
      </c>
      <c r="D5023" s="58" t="inlineStr">
        <is>
          <t>Home</t>
        </is>
      </c>
      <c r="E5023" s="58" t="inlineStr">
        <is>
          <t>Central</t>
        </is>
      </c>
      <c r="F5023" s="61" t="n">
        <v>1</v>
      </c>
      <c r="G5023" s="62" t="n">
        <v>362.92</v>
      </c>
      <c r="H5023" s="63" t="n">
        <v>0.095</v>
      </c>
      <c r="I5023" s="62" t="n">
        <v>262.88</v>
      </c>
      <c r="J5023" s="58" t="inlineStr">
        <is>
          <t>Store</t>
        </is>
      </c>
      <c r="K5023" s="62">
        <f>F5023*(G5023-H5023)</f>
        <v/>
      </c>
      <c r="L5023" s="62">
        <f>K5023-(F5023*I5023)</f>
        <v/>
      </c>
      <c r="M5023" s="64">
        <f>L5023/K5023</f>
        <v/>
      </c>
    </row>
    <row r="5024">
      <c r="A5024" s="58" t="inlineStr">
        <is>
          <t>RT20250509-05023</t>
        </is>
      </c>
      <c r="B5024" s="59" t="inlineStr">
        <is>
          <t>2025-05-09</t>
        </is>
      </c>
      <c r="C5024" s="60" t="inlineStr">
        <is>
          <t>Falcon Team Sport Lite-268</t>
        </is>
      </c>
      <c r="D5024" s="58" t="inlineStr">
        <is>
          <t>Sports</t>
        </is>
      </c>
      <c r="E5024" s="58" t="inlineStr">
        <is>
          <t>East</t>
        </is>
      </c>
      <c r="F5024" s="61" t="n">
        <v>1</v>
      </c>
      <c r="G5024" s="62" t="n">
        <v>623.8099999999999</v>
      </c>
      <c r="H5024" s="63" t="n">
        <v>0.03</v>
      </c>
      <c r="I5024" s="62" t="n">
        <v>437.21</v>
      </c>
      <c r="J5024" s="58" t="inlineStr">
        <is>
          <t>Online</t>
        </is>
      </c>
      <c r="K5024" s="62">
        <f>F5024*(G5024-H5024)</f>
        <v/>
      </c>
      <c r="L5024" s="62">
        <f>K5024-(F5024*I5024)</f>
        <v/>
      </c>
      <c r="M5024" s="64">
        <f>L5024/K5024</f>
        <v/>
      </c>
    </row>
    <row r="5025">
      <c r="A5025" s="58" t="inlineStr">
        <is>
          <t>RT20250509-05024</t>
        </is>
      </c>
      <c r="B5025" s="59" t="inlineStr">
        <is>
          <t>2025-05-09</t>
        </is>
      </c>
      <c r="C5025" s="60" t="inlineStr">
        <is>
          <t>Aurora Wearable Lite-704</t>
        </is>
      </c>
      <c r="D5025" s="58" t="inlineStr">
        <is>
          <t>Electronics</t>
        </is>
      </c>
      <c r="E5025" s="58" t="inlineStr">
        <is>
          <t>Central</t>
        </is>
      </c>
      <c r="F5025" s="61" t="n">
        <v>2</v>
      </c>
      <c r="G5025" s="62" t="n">
        <v>1793.86</v>
      </c>
      <c r="H5025" s="63" t="n">
        <v>0.08699999999999999</v>
      </c>
      <c r="I5025" s="62" t="n">
        <v>1415.73</v>
      </c>
      <c r="J5025" s="58" t="inlineStr">
        <is>
          <t>Phone</t>
        </is>
      </c>
      <c r="K5025" s="62">
        <f>F5025*(G5025-H5025)</f>
        <v/>
      </c>
      <c r="L5025" s="62">
        <f>K5025-(F5025*I5025)</f>
        <v/>
      </c>
      <c r="M5025" s="64">
        <f>L5025/K5025</f>
        <v/>
      </c>
    </row>
    <row r="5026">
      <c r="A5026" s="58" t="inlineStr">
        <is>
          <t>RT20250509-05025</t>
        </is>
      </c>
      <c r="B5026" s="59" t="inlineStr">
        <is>
          <t>2025-05-09</t>
        </is>
      </c>
      <c r="C5026" s="60" t="inlineStr">
        <is>
          <t>Falcon Headphone Plus-789</t>
        </is>
      </c>
      <c r="D5026" s="58" t="inlineStr">
        <is>
          <t>Electronics</t>
        </is>
      </c>
      <c r="E5026" s="58" t="inlineStr">
        <is>
          <t>South</t>
        </is>
      </c>
      <c r="F5026" s="61" t="n">
        <v>1</v>
      </c>
      <c r="G5026" s="62" t="n">
        <v>1936.71</v>
      </c>
      <c r="H5026" s="63" t="n">
        <v>0.055</v>
      </c>
      <c r="I5026" s="62" t="n">
        <v>1340.1</v>
      </c>
      <c r="J5026" s="58" t="inlineStr">
        <is>
          <t>Store</t>
        </is>
      </c>
      <c r="K5026" s="62">
        <f>F5026*(G5026-H5026)</f>
        <v/>
      </c>
      <c r="L5026" s="62">
        <f>K5026-(F5026*I5026)</f>
        <v/>
      </c>
      <c r="M5026" s="64">
        <f>L5026/K5026</f>
        <v/>
      </c>
    </row>
    <row r="5027">
      <c r="A5027" s="58" t="inlineStr">
        <is>
          <t>RT20250509-05026</t>
        </is>
      </c>
      <c r="B5027" s="59" t="inlineStr">
        <is>
          <t>2025-05-09</t>
        </is>
      </c>
      <c r="C5027" s="60" t="inlineStr">
        <is>
          <t>Falcon Team Sport Lite-268</t>
        </is>
      </c>
      <c r="D5027" s="58" t="inlineStr">
        <is>
          <t>Sports</t>
        </is>
      </c>
      <c r="E5027" s="58" t="inlineStr">
        <is>
          <t>South</t>
        </is>
      </c>
      <c r="F5027" s="61" t="n">
        <v>2</v>
      </c>
      <c r="G5027" s="62" t="n">
        <v>653.03</v>
      </c>
      <c r="H5027" s="63" t="n">
        <v>0.036</v>
      </c>
      <c r="I5027" s="62" t="n">
        <v>447.23</v>
      </c>
      <c r="J5027" s="58" t="inlineStr">
        <is>
          <t>Store</t>
        </is>
      </c>
      <c r="K5027" s="62">
        <f>F5027*(G5027-H5027)</f>
        <v/>
      </c>
      <c r="L5027" s="62">
        <f>K5027-(F5027*I5027)</f>
        <v/>
      </c>
      <c r="M5027" s="64">
        <f>L5027/K5027</f>
        <v/>
      </c>
    </row>
    <row r="5028">
      <c r="A5028" s="58" t="inlineStr">
        <is>
          <t>RT20250509-05027</t>
        </is>
      </c>
      <c r="B5028" s="59" t="inlineStr">
        <is>
          <t>2025-05-09</t>
        </is>
      </c>
      <c r="C5028" s="60" t="inlineStr">
        <is>
          <t>Vertex Printer Max-692</t>
        </is>
      </c>
      <c r="D5028" s="58" t="inlineStr">
        <is>
          <t>Office</t>
        </is>
      </c>
      <c r="E5028" s="58" t="inlineStr">
        <is>
          <t>West</t>
        </is>
      </c>
      <c r="F5028" s="61" t="n">
        <v>3</v>
      </c>
      <c r="G5028" s="62" t="n">
        <v>183.55</v>
      </c>
      <c r="H5028" s="63" t="n">
        <v>0.043</v>
      </c>
      <c r="I5028" s="62" t="n">
        <v>126.41</v>
      </c>
      <c r="J5028" s="58" t="inlineStr">
        <is>
          <t>Store</t>
        </is>
      </c>
      <c r="K5028" s="62">
        <f>F5028*(G5028-H5028)</f>
        <v/>
      </c>
      <c r="L5028" s="62">
        <f>K5028-(F5028*I5028)</f>
        <v/>
      </c>
      <c r="M5028" s="64">
        <f>L5028/K5028</f>
        <v/>
      </c>
    </row>
    <row r="5029">
      <c r="A5029" s="58" t="inlineStr">
        <is>
          <t>RT20250509-05028</t>
        </is>
      </c>
      <c r="B5029" s="59" t="inlineStr">
        <is>
          <t>2025-05-09</t>
        </is>
      </c>
      <c r="C5029" s="60" t="inlineStr">
        <is>
          <t>Nimbus Men Plus-231</t>
        </is>
      </c>
      <c r="D5029" s="58" t="inlineStr">
        <is>
          <t>Apparel</t>
        </is>
      </c>
      <c r="E5029" s="58" t="inlineStr">
        <is>
          <t>Central</t>
        </is>
      </c>
      <c r="F5029" s="61" t="n">
        <v>4</v>
      </c>
      <c r="G5029" s="62" t="n">
        <v>149</v>
      </c>
      <c r="H5029" s="63" t="n">
        <v>0.06</v>
      </c>
      <c r="I5029" s="62" t="n">
        <v>88.58</v>
      </c>
      <c r="J5029" s="58" t="inlineStr">
        <is>
          <t>Online</t>
        </is>
      </c>
      <c r="K5029" s="62">
        <f>F5029*(G5029-H5029)</f>
        <v/>
      </c>
      <c r="L5029" s="62">
        <f>K5029-(F5029*I5029)</f>
        <v/>
      </c>
      <c r="M5029" s="64">
        <f>L5029/K5029</f>
        <v/>
      </c>
    </row>
    <row r="5030">
      <c r="A5030" s="58" t="inlineStr">
        <is>
          <t>RT20250509-05029</t>
        </is>
      </c>
      <c r="B5030" s="59" t="inlineStr">
        <is>
          <t>2025-05-09</t>
        </is>
      </c>
      <c r="C5030" s="60" t="inlineStr">
        <is>
          <t>Nimbus Women Plus-352</t>
        </is>
      </c>
      <c r="D5030" s="58" t="inlineStr">
        <is>
          <t>Apparel</t>
        </is>
      </c>
      <c r="E5030" s="58" t="inlineStr">
        <is>
          <t>West</t>
        </is>
      </c>
      <c r="F5030" s="61" t="n">
        <v>1</v>
      </c>
      <c r="G5030" s="62" t="n">
        <v>55.46</v>
      </c>
      <c r="H5030" s="63" t="n">
        <v>0.079</v>
      </c>
      <c r="I5030" s="62" t="n">
        <v>32.82</v>
      </c>
      <c r="J5030" s="58" t="inlineStr">
        <is>
          <t>Online</t>
        </is>
      </c>
      <c r="K5030" s="62">
        <f>F5030*(G5030-H5030)</f>
        <v/>
      </c>
      <c r="L5030" s="62">
        <f>K5030-(F5030*I5030)</f>
        <v/>
      </c>
      <c r="M5030" s="64">
        <f>L5030/K5030</f>
        <v/>
      </c>
    </row>
    <row r="5031">
      <c r="A5031" s="58" t="inlineStr">
        <is>
          <t>RT20250509-05030</t>
        </is>
      </c>
      <c r="B5031" s="59" t="inlineStr">
        <is>
          <t>2025-05-09</t>
        </is>
      </c>
      <c r="C5031" s="60" t="inlineStr">
        <is>
          <t>Orion Laptop S-350</t>
        </is>
      </c>
      <c r="D5031" s="58" t="inlineStr">
        <is>
          <t>Electronics</t>
        </is>
      </c>
      <c r="E5031" s="58" t="inlineStr">
        <is>
          <t>South</t>
        </is>
      </c>
      <c r="F5031" s="61" t="n">
        <v>1</v>
      </c>
      <c r="G5031" s="62" t="n">
        <v>1361.6</v>
      </c>
      <c r="H5031" s="63" t="n">
        <v>0.092</v>
      </c>
      <c r="I5031" s="62" t="n">
        <v>1064.39</v>
      </c>
      <c r="J5031" s="58" t="inlineStr">
        <is>
          <t>Store</t>
        </is>
      </c>
      <c r="K5031" s="62">
        <f>F5031*(G5031-H5031)</f>
        <v/>
      </c>
      <c r="L5031" s="62">
        <f>K5031-(F5031*I5031)</f>
        <v/>
      </c>
      <c r="M5031" s="64">
        <f>L5031/K5031</f>
        <v/>
      </c>
    </row>
    <row r="5032">
      <c r="A5032" s="58" t="inlineStr">
        <is>
          <t>RT20250509-05031</t>
        </is>
      </c>
      <c r="B5032" s="59" t="inlineStr">
        <is>
          <t>2025-05-09</t>
        </is>
      </c>
      <c r="C5032" s="60" t="inlineStr">
        <is>
          <t>Solace Smartphone Lite-533</t>
        </is>
      </c>
      <c r="D5032" s="58" t="inlineStr">
        <is>
          <t>Electronics</t>
        </is>
      </c>
      <c r="E5032" s="58" t="inlineStr">
        <is>
          <t>North</t>
        </is>
      </c>
      <c r="F5032" s="61" t="n">
        <v>1</v>
      </c>
      <c r="G5032" s="62" t="n">
        <v>1249.14</v>
      </c>
      <c r="H5032" s="63" t="n">
        <v>0.091</v>
      </c>
      <c r="I5032" s="62" t="n">
        <v>948.41</v>
      </c>
      <c r="J5032" s="58" t="inlineStr">
        <is>
          <t>Online</t>
        </is>
      </c>
      <c r="K5032" s="62">
        <f>F5032*(G5032-H5032)</f>
        <v/>
      </c>
      <c r="L5032" s="62">
        <f>K5032-(F5032*I5032)</f>
        <v/>
      </c>
      <c r="M5032" s="64">
        <f>L5032/K5032</f>
        <v/>
      </c>
    </row>
    <row r="5033">
      <c r="A5033" s="58" t="inlineStr">
        <is>
          <t>RT20250509-05032</t>
        </is>
      </c>
      <c r="B5033" s="59" t="inlineStr">
        <is>
          <t>2025-05-09</t>
        </is>
      </c>
      <c r="C5033" s="60" t="inlineStr">
        <is>
          <t>Polar Women S-662</t>
        </is>
      </c>
      <c r="D5033" s="58" t="inlineStr">
        <is>
          <t>Apparel</t>
        </is>
      </c>
      <c r="E5033" s="58" t="inlineStr">
        <is>
          <t>West</t>
        </is>
      </c>
      <c r="F5033" s="61" t="n">
        <v>1</v>
      </c>
      <c r="G5033" s="62" t="n">
        <v>169.99</v>
      </c>
      <c r="H5033" s="63" t="n">
        <v>0.055</v>
      </c>
      <c r="I5033" s="62" t="n">
        <v>101.32</v>
      </c>
      <c r="J5033" s="58" t="inlineStr">
        <is>
          <t>Online</t>
        </is>
      </c>
      <c r="K5033" s="62">
        <f>F5033*(G5033-H5033)</f>
        <v/>
      </c>
      <c r="L5033" s="62">
        <f>K5033-(F5033*I5033)</f>
        <v/>
      </c>
      <c r="M5033" s="64">
        <f>L5033/K5033</f>
        <v/>
      </c>
    </row>
    <row r="5034">
      <c r="A5034" s="58" t="inlineStr">
        <is>
          <t>RT20250509-05033</t>
        </is>
      </c>
      <c r="B5034" s="59" t="inlineStr">
        <is>
          <t>2025-05-09</t>
        </is>
      </c>
      <c r="C5034" s="60" t="inlineStr">
        <is>
          <t>Metro Pantry X-710</t>
        </is>
      </c>
      <c r="D5034" s="58" t="inlineStr">
        <is>
          <t>Grocery</t>
        </is>
      </c>
      <c r="E5034" s="58" t="inlineStr">
        <is>
          <t>West</t>
        </is>
      </c>
      <c r="F5034" s="61" t="n">
        <v>6</v>
      </c>
      <c r="G5034" s="62" t="n">
        <v>6.32</v>
      </c>
      <c r="H5034" s="63" t="n">
        <v>0.054</v>
      </c>
      <c r="I5034" s="62" t="n">
        <v>4.31</v>
      </c>
      <c r="J5034" s="58" t="inlineStr">
        <is>
          <t>Online</t>
        </is>
      </c>
      <c r="K5034" s="62">
        <f>F5034*(G5034-H5034)</f>
        <v/>
      </c>
      <c r="L5034" s="62">
        <f>K5034-(F5034*I5034)</f>
        <v/>
      </c>
      <c r="M5034" s="64">
        <f>L5034/K5034</f>
        <v/>
      </c>
    </row>
    <row r="5035">
      <c r="A5035" s="58" t="inlineStr">
        <is>
          <t>RT20250509-05034</t>
        </is>
      </c>
      <c r="B5035" s="59" t="inlineStr">
        <is>
          <t>2025-05-09</t>
        </is>
      </c>
      <c r="C5035" s="60" t="inlineStr">
        <is>
          <t>Polar Beverage S-258</t>
        </is>
      </c>
      <c r="D5035" s="58" t="inlineStr">
        <is>
          <t>Grocery</t>
        </is>
      </c>
      <c r="E5035" s="58" t="inlineStr">
        <is>
          <t>South</t>
        </is>
      </c>
      <c r="F5035" s="61" t="n">
        <v>4</v>
      </c>
      <c r="G5035" s="62" t="n">
        <v>13.03</v>
      </c>
      <c r="H5035" s="63" t="n">
        <v>0.068</v>
      </c>
      <c r="I5035" s="62" t="n">
        <v>9.630000000000001</v>
      </c>
      <c r="J5035" s="58" t="inlineStr">
        <is>
          <t>Store</t>
        </is>
      </c>
      <c r="K5035" s="62">
        <f>F5035*(G5035-H5035)</f>
        <v/>
      </c>
      <c r="L5035" s="62">
        <f>K5035-(F5035*I5035)</f>
        <v/>
      </c>
      <c r="M5035" s="64">
        <f>L5035/K5035</f>
        <v/>
      </c>
    </row>
    <row r="5036">
      <c r="A5036" s="58" t="inlineStr">
        <is>
          <t>RT20250509-05035</t>
        </is>
      </c>
      <c r="B5036" s="59" t="inlineStr">
        <is>
          <t>2025-05-09</t>
        </is>
      </c>
      <c r="C5036" s="60" t="inlineStr">
        <is>
          <t>Vertex Supplie X-513</t>
        </is>
      </c>
      <c r="D5036" s="58" t="inlineStr">
        <is>
          <t>Office</t>
        </is>
      </c>
      <c r="E5036" s="58" t="inlineStr">
        <is>
          <t>West</t>
        </is>
      </c>
      <c r="F5036" s="61" t="n">
        <v>3</v>
      </c>
      <c r="G5036" s="62" t="n">
        <v>407.09</v>
      </c>
      <c r="H5036" s="63" t="n">
        <v>0.097</v>
      </c>
      <c r="I5036" s="62" t="n">
        <v>271.88</v>
      </c>
      <c r="J5036" s="58" t="inlineStr">
        <is>
          <t>Online</t>
        </is>
      </c>
      <c r="K5036" s="62">
        <f>F5036*(G5036-H5036)</f>
        <v/>
      </c>
      <c r="L5036" s="62">
        <f>K5036-(F5036*I5036)</f>
        <v/>
      </c>
      <c r="M5036" s="64">
        <f>L5036/K5036</f>
        <v/>
      </c>
    </row>
    <row r="5037">
      <c r="A5037" s="58" t="inlineStr">
        <is>
          <t>RT20250509-05036</t>
        </is>
      </c>
      <c r="B5037" s="59" t="inlineStr">
        <is>
          <t>2025-05-09</t>
        </is>
      </c>
      <c r="C5037" s="60" t="inlineStr">
        <is>
          <t>Falcon Household Pro-865</t>
        </is>
      </c>
      <c r="D5037" s="58" t="inlineStr">
        <is>
          <t>Grocery</t>
        </is>
      </c>
      <c r="E5037" s="58" t="inlineStr">
        <is>
          <t>East</t>
        </is>
      </c>
      <c r="F5037" s="61" t="n">
        <v>2</v>
      </c>
      <c r="G5037" s="62" t="n">
        <v>10.09</v>
      </c>
      <c r="H5037" s="63" t="n">
        <v>0.035</v>
      </c>
      <c r="I5037" s="62" t="n">
        <v>7.76</v>
      </c>
      <c r="J5037" s="58" t="inlineStr">
        <is>
          <t>Store</t>
        </is>
      </c>
      <c r="K5037" s="62">
        <f>F5037*(G5037-H5037)</f>
        <v/>
      </c>
      <c r="L5037" s="62">
        <f>K5037-(F5037*I5037)</f>
        <v/>
      </c>
      <c r="M5037" s="64">
        <f>L5037/K5037</f>
        <v/>
      </c>
    </row>
    <row r="5038">
      <c r="A5038" s="58" t="inlineStr">
        <is>
          <t>RT20250509-05037</t>
        </is>
      </c>
      <c r="B5038" s="59" t="inlineStr">
        <is>
          <t>2025-05-09</t>
        </is>
      </c>
      <c r="C5038" s="60" t="inlineStr">
        <is>
          <t>Polar Outdoor X-193</t>
        </is>
      </c>
      <c r="D5038" s="58" t="inlineStr">
        <is>
          <t>Sports</t>
        </is>
      </c>
      <c r="E5038" s="58" t="inlineStr">
        <is>
          <t>South</t>
        </is>
      </c>
      <c r="F5038" s="61" t="n">
        <v>3</v>
      </c>
      <c r="G5038" s="62" t="n">
        <v>604.08</v>
      </c>
      <c r="H5038" s="63" t="n">
        <v>0.08599999999999999</v>
      </c>
      <c r="I5038" s="62" t="n">
        <v>451.28</v>
      </c>
      <c r="J5038" s="58" t="inlineStr">
        <is>
          <t>Store</t>
        </is>
      </c>
      <c r="K5038" s="62">
        <f>F5038*(G5038-H5038)</f>
        <v/>
      </c>
      <c r="L5038" s="62">
        <f>K5038-(F5038*I5038)</f>
        <v/>
      </c>
      <c r="M5038" s="64">
        <f>L5038/K5038</f>
        <v/>
      </c>
    </row>
    <row r="5039">
      <c r="A5039" s="58" t="inlineStr">
        <is>
          <t>RT20250509-05038</t>
        </is>
      </c>
      <c r="B5039" s="59" t="inlineStr">
        <is>
          <t>2025-05-09</t>
        </is>
      </c>
      <c r="C5039" s="60" t="inlineStr">
        <is>
          <t>Falcon Skincare Max-151</t>
        </is>
      </c>
      <c r="D5039" s="58" t="inlineStr">
        <is>
          <t>Beauty</t>
        </is>
      </c>
      <c r="E5039" s="58" t="inlineStr">
        <is>
          <t>Central</t>
        </is>
      </c>
      <c r="F5039" s="61" t="n">
        <v>4</v>
      </c>
      <c r="G5039" s="62" t="n">
        <v>104.03</v>
      </c>
      <c r="H5039" s="63" t="n">
        <v>0.062</v>
      </c>
      <c r="I5039" s="62" t="n">
        <v>59.64</v>
      </c>
      <c r="J5039" s="58" t="inlineStr">
        <is>
          <t>Store</t>
        </is>
      </c>
      <c r="K5039" s="62">
        <f>F5039*(G5039-H5039)</f>
        <v/>
      </c>
      <c r="L5039" s="62">
        <f>K5039-(F5039*I5039)</f>
        <v/>
      </c>
      <c r="M5039" s="64">
        <f>L5039/K5039</f>
        <v/>
      </c>
    </row>
    <row r="5040">
      <c r="A5040" s="58" t="inlineStr">
        <is>
          <t>RT20250509-05039</t>
        </is>
      </c>
      <c r="B5040" s="59" t="inlineStr">
        <is>
          <t>2025-05-09</t>
        </is>
      </c>
      <c r="C5040" s="60" t="inlineStr">
        <is>
          <t>Aurora Bedding Max-175</t>
        </is>
      </c>
      <c r="D5040" s="58" t="inlineStr">
        <is>
          <t>Home</t>
        </is>
      </c>
      <c r="E5040" s="58" t="inlineStr">
        <is>
          <t>East</t>
        </is>
      </c>
      <c r="F5040" s="61" t="n">
        <v>1</v>
      </c>
      <c r="G5040" s="62" t="n">
        <v>601.26</v>
      </c>
      <c r="H5040" s="63" t="n">
        <v>0.053</v>
      </c>
      <c r="I5040" s="62" t="n">
        <v>412.74</v>
      </c>
      <c r="J5040" s="58" t="inlineStr">
        <is>
          <t>Online</t>
        </is>
      </c>
      <c r="K5040" s="62">
        <f>F5040*(G5040-H5040)</f>
        <v/>
      </c>
      <c r="L5040" s="62">
        <f>K5040-(F5040*I5040)</f>
        <v/>
      </c>
      <c r="M5040" s="64">
        <f>L5040/K5040</f>
        <v/>
      </c>
    </row>
    <row r="5041">
      <c r="A5041" s="58" t="inlineStr">
        <is>
          <t>RT20250509-05040</t>
        </is>
      </c>
      <c r="B5041" s="59" t="inlineStr">
        <is>
          <t>2025-05-09</t>
        </is>
      </c>
      <c r="C5041" s="60" t="inlineStr">
        <is>
          <t>Nimbus Decor Lite-385</t>
        </is>
      </c>
      <c r="D5041" s="58" t="inlineStr">
        <is>
          <t>Home</t>
        </is>
      </c>
      <c r="E5041" s="58" t="inlineStr">
        <is>
          <t>East</t>
        </is>
      </c>
      <c r="F5041" s="61" t="n">
        <v>1</v>
      </c>
      <c r="G5041" s="62" t="n">
        <v>649.13</v>
      </c>
      <c r="H5041" s="63" t="n">
        <v>0.061</v>
      </c>
      <c r="I5041" s="62" t="n">
        <v>402.31</v>
      </c>
      <c r="J5041" s="58" t="inlineStr">
        <is>
          <t>Store</t>
        </is>
      </c>
      <c r="K5041" s="62">
        <f>F5041*(G5041-H5041)</f>
        <v/>
      </c>
      <c r="L5041" s="62">
        <f>K5041-(F5041*I5041)</f>
        <v/>
      </c>
      <c r="M5041" s="64">
        <f>L5041/K5041</f>
        <v/>
      </c>
    </row>
    <row r="5042">
      <c r="A5042" s="58" t="inlineStr">
        <is>
          <t>RT20250509-05041</t>
        </is>
      </c>
      <c r="B5042" s="59" t="inlineStr">
        <is>
          <t>2025-05-09</t>
        </is>
      </c>
      <c r="C5042" s="60" t="inlineStr">
        <is>
          <t>Falcon Beverage Max-702</t>
        </is>
      </c>
      <c r="D5042" s="58" t="inlineStr">
        <is>
          <t>Grocery</t>
        </is>
      </c>
      <c r="E5042" s="58" t="inlineStr">
        <is>
          <t>West</t>
        </is>
      </c>
      <c r="F5042" s="61" t="n">
        <v>5</v>
      </c>
      <c r="G5042" s="62" t="n">
        <v>28.19</v>
      </c>
      <c r="H5042" s="63" t="n">
        <v>0.08400000000000001</v>
      </c>
      <c r="I5042" s="62" t="n">
        <v>20.28</v>
      </c>
      <c r="J5042" s="58" t="inlineStr">
        <is>
          <t>Store</t>
        </is>
      </c>
      <c r="K5042" s="62">
        <f>F5042*(G5042-H5042)</f>
        <v/>
      </c>
      <c r="L5042" s="62">
        <f>K5042-(F5042*I5042)</f>
        <v/>
      </c>
      <c r="M5042" s="64">
        <f>L5042/K5042</f>
        <v/>
      </c>
    </row>
    <row r="5043">
      <c r="A5043" s="58" t="inlineStr">
        <is>
          <t>RT20250509-05042</t>
        </is>
      </c>
      <c r="B5043" s="59" t="inlineStr">
        <is>
          <t>2025-05-09</t>
        </is>
      </c>
      <c r="C5043" s="60" t="inlineStr">
        <is>
          <t>Orion Haircare Plus-887</t>
        </is>
      </c>
      <c r="D5043" s="58" t="inlineStr">
        <is>
          <t>Beauty</t>
        </is>
      </c>
      <c r="E5043" s="58" t="inlineStr">
        <is>
          <t>West</t>
        </is>
      </c>
      <c r="F5043" s="61" t="n">
        <v>3</v>
      </c>
      <c r="G5043" s="62" t="n">
        <v>49.69</v>
      </c>
      <c r="H5043" s="63" t="n">
        <v>0.062</v>
      </c>
      <c r="I5043" s="62" t="n">
        <v>30.14</v>
      </c>
      <c r="J5043" s="58" t="inlineStr">
        <is>
          <t>Store</t>
        </is>
      </c>
      <c r="K5043" s="62">
        <f>F5043*(G5043-H5043)</f>
        <v/>
      </c>
      <c r="L5043" s="62">
        <f>K5043-(F5043*I5043)</f>
        <v/>
      </c>
      <c r="M5043" s="64">
        <f>L5043/K5043</f>
        <v/>
      </c>
    </row>
    <row r="5044">
      <c r="A5044" s="58" t="inlineStr">
        <is>
          <t>RT20250509-05043</t>
        </is>
      </c>
      <c r="B5044" s="59" t="inlineStr">
        <is>
          <t>2025-05-09</t>
        </is>
      </c>
      <c r="C5044" s="60" t="inlineStr">
        <is>
          <t>Metro Decor Lite-325</t>
        </is>
      </c>
      <c r="D5044" s="58" t="inlineStr">
        <is>
          <t>Home</t>
        </is>
      </c>
      <c r="E5044" s="58" t="inlineStr">
        <is>
          <t>West</t>
        </is>
      </c>
      <c r="F5044" s="61" t="n">
        <v>1</v>
      </c>
      <c r="G5044" s="62" t="n">
        <v>567.11</v>
      </c>
      <c r="H5044" s="63" t="n">
        <v>0.044</v>
      </c>
      <c r="I5044" s="62" t="n">
        <v>376.73</v>
      </c>
      <c r="J5044" s="58" t="inlineStr">
        <is>
          <t>Store</t>
        </is>
      </c>
      <c r="K5044" s="62">
        <f>F5044*(G5044-H5044)</f>
        <v/>
      </c>
      <c r="L5044" s="62">
        <f>K5044-(F5044*I5044)</f>
        <v/>
      </c>
      <c r="M5044" s="64">
        <f>L5044/K5044</f>
        <v/>
      </c>
    </row>
    <row r="5045">
      <c r="A5045" s="58" t="inlineStr">
        <is>
          <t>RT20250509-05044</t>
        </is>
      </c>
      <c r="B5045" s="59" t="inlineStr">
        <is>
          <t>2025-05-09</t>
        </is>
      </c>
      <c r="C5045" s="60" t="inlineStr">
        <is>
          <t>Solace Kid S-384</t>
        </is>
      </c>
      <c r="D5045" s="58" t="inlineStr">
        <is>
          <t>Apparel</t>
        </is>
      </c>
      <c r="E5045" s="58" t="inlineStr">
        <is>
          <t>West</t>
        </is>
      </c>
      <c r="F5045" s="61" t="n">
        <v>2</v>
      </c>
      <c r="G5045" s="62" t="n">
        <v>109.5</v>
      </c>
      <c r="H5045" s="63" t="n">
        <v>0.089</v>
      </c>
      <c r="I5045" s="62" t="n">
        <v>63.01</v>
      </c>
      <c r="J5045" s="58" t="inlineStr">
        <is>
          <t>Online</t>
        </is>
      </c>
      <c r="K5045" s="62">
        <f>F5045*(G5045-H5045)</f>
        <v/>
      </c>
      <c r="L5045" s="62">
        <f>K5045-(F5045*I5045)</f>
        <v/>
      </c>
      <c r="M5045" s="64">
        <f>L5045/K5045</f>
        <v/>
      </c>
    </row>
    <row r="5046">
      <c r="A5046" s="58" t="inlineStr">
        <is>
          <t>RT20250509-05045</t>
        </is>
      </c>
      <c r="B5046" s="59" t="inlineStr">
        <is>
          <t>2025-05-09</t>
        </is>
      </c>
      <c r="C5046" s="60" t="inlineStr">
        <is>
          <t>Aurora Outdoor Pro-467</t>
        </is>
      </c>
      <c r="D5046" s="58" t="inlineStr">
        <is>
          <t>Sports</t>
        </is>
      </c>
      <c r="E5046" s="58" t="inlineStr">
        <is>
          <t>East</t>
        </is>
      </c>
      <c r="F5046" s="61" t="n">
        <v>3</v>
      </c>
      <c r="G5046" s="62" t="n">
        <v>275.67</v>
      </c>
      <c r="H5046" s="63" t="n">
        <v>0.061</v>
      </c>
      <c r="I5046" s="62" t="n">
        <v>187.6</v>
      </c>
      <c r="J5046" s="58" t="inlineStr">
        <is>
          <t>Online</t>
        </is>
      </c>
      <c r="K5046" s="62">
        <f>F5046*(G5046-H5046)</f>
        <v/>
      </c>
      <c r="L5046" s="62">
        <f>K5046-(F5046*I5046)</f>
        <v/>
      </c>
      <c r="M5046" s="64">
        <f>L5046/K5046</f>
        <v/>
      </c>
    </row>
    <row r="5047">
      <c r="A5047" s="58" t="inlineStr">
        <is>
          <t>RT20250509-05046</t>
        </is>
      </c>
      <c r="B5047" s="59" t="inlineStr">
        <is>
          <t>2025-05-09</t>
        </is>
      </c>
      <c r="C5047" s="60" t="inlineStr">
        <is>
          <t>Solace Team Sport Max-548</t>
        </is>
      </c>
      <c r="D5047" s="58" t="inlineStr">
        <is>
          <t>Sports</t>
        </is>
      </c>
      <c r="E5047" s="58" t="inlineStr">
        <is>
          <t>East</t>
        </is>
      </c>
      <c r="F5047" s="61" t="n">
        <v>1</v>
      </c>
      <c r="G5047" s="62" t="n">
        <v>739.34</v>
      </c>
      <c r="H5047" s="63" t="n">
        <v>0.103</v>
      </c>
      <c r="I5047" s="62" t="n">
        <v>480.5</v>
      </c>
      <c r="J5047" s="58" t="inlineStr">
        <is>
          <t>Store</t>
        </is>
      </c>
      <c r="K5047" s="62">
        <f>F5047*(G5047-H5047)</f>
        <v/>
      </c>
      <c r="L5047" s="62">
        <f>K5047-(F5047*I5047)</f>
        <v/>
      </c>
      <c r="M5047" s="64">
        <f>L5047/K5047</f>
        <v/>
      </c>
    </row>
    <row r="5048">
      <c r="A5048" s="58" t="inlineStr">
        <is>
          <t>RT20250509-05047</t>
        </is>
      </c>
      <c r="B5048" s="59" t="inlineStr">
        <is>
          <t>2025-05-09</t>
        </is>
      </c>
      <c r="C5048" s="60" t="inlineStr">
        <is>
          <t>Orion Laptop S-350</t>
        </is>
      </c>
      <c r="D5048" s="58" t="inlineStr">
        <is>
          <t>Electronics</t>
        </is>
      </c>
      <c r="E5048" s="58" t="inlineStr">
        <is>
          <t>East</t>
        </is>
      </c>
      <c r="F5048" s="61" t="n">
        <v>2</v>
      </c>
      <c r="G5048" s="62" t="n">
        <v>1456.31</v>
      </c>
      <c r="H5048" s="63" t="n">
        <v>0.119</v>
      </c>
      <c r="I5048" s="62" t="n">
        <v>1081.63</v>
      </c>
      <c r="J5048" s="58" t="inlineStr">
        <is>
          <t>Online</t>
        </is>
      </c>
      <c r="K5048" s="62">
        <f>F5048*(G5048-H5048)</f>
        <v/>
      </c>
      <c r="L5048" s="62">
        <f>K5048-(F5048*I5048)</f>
        <v/>
      </c>
      <c r="M5048" s="64">
        <f>L5048/K5048</f>
        <v/>
      </c>
    </row>
    <row r="5049">
      <c r="A5049" s="58" t="inlineStr">
        <is>
          <t>RT20250509-05048</t>
        </is>
      </c>
      <c r="B5049" s="59" t="inlineStr">
        <is>
          <t>2025-05-09</t>
        </is>
      </c>
      <c r="C5049" s="60" t="inlineStr">
        <is>
          <t>Nimbus Fitnes Lite-516</t>
        </is>
      </c>
      <c r="D5049" s="58" t="inlineStr">
        <is>
          <t>Sports</t>
        </is>
      </c>
      <c r="E5049" s="58" t="inlineStr">
        <is>
          <t>East</t>
        </is>
      </c>
      <c r="F5049" s="61" t="n">
        <v>3</v>
      </c>
      <c r="G5049" s="62" t="n">
        <v>668.63</v>
      </c>
      <c r="H5049" s="63" t="n">
        <v>0.057</v>
      </c>
      <c r="I5049" s="62" t="n">
        <v>462.17</v>
      </c>
      <c r="J5049" s="58" t="inlineStr">
        <is>
          <t>Store</t>
        </is>
      </c>
      <c r="K5049" s="62">
        <f>F5049*(G5049-H5049)</f>
        <v/>
      </c>
      <c r="L5049" s="62">
        <f>K5049-(F5049*I5049)</f>
        <v/>
      </c>
      <c r="M5049" s="64">
        <f>L5049/K5049</f>
        <v/>
      </c>
    </row>
    <row r="5050">
      <c r="A5050" s="58" t="inlineStr">
        <is>
          <t>RT20250509-05049</t>
        </is>
      </c>
      <c r="B5050" s="59" t="inlineStr">
        <is>
          <t>2025-05-09</t>
        </is>
      </c>
      <c r="C5050" s="60" t="inlineStr">
        <is>
          <t>Aurora Wearable Lite-704</t>
        </is>
      </c>
      <c r="D5050" s="58" t="inlineStr">
        <is>
          <t>Electronics</t>
        </is>
      </c>
      <c r="E5050" s="58" t="inlineStr">
        <is>
          <t>Central</t>
        </is>
      </c>
      <c r="F5050" s="61" t="n">
        <v>2</v>
      </c>
      <c r="G5050" s="62" t="n">
        <v>1794.33</v>
      </c>
      <c r="H5050" s="63" t="n">
        <v>0.089</v>
      </c>
      <c r="I5050" s="62" t="n">
        <v>1473.1</v>
      </c>
      <c r="J5050" s="58" t="inlineStr">
        <is>
          <t>Store</t>
        </is>
      </c>
      <c r="K5050" s="62">
        <f>F5050*(G5050-H5050)</f>
        <v/>
      </c>
      <c r="L5050" s="62">
        <f>K5050-(F5050*I5050)</f>
        <v/>
      </c>
      <c r="M5050" s="64">
        <f>L5050/K5050</f>
        <v/>
      </c>
    </row>
    <row r="5051">
      <c r="A5051" s="58" t="inlineStr">
        <is>
          <t>RT20250509-05050</t>
        </is>
      </c>
      <c r="B5051" s="59" t="inlineStr">
        <is>
          <t>2025-05-09</t>
        </is>
      </c>
      <c r="C5051" s="60" t="inlineStr">
        <is>
          <t>Vertex Smartphone Pro-256</t>
        </is>
      </c>
      <c r="D5051" s="58" t="inlineStr">
        <is>
          <t>Electronics</t>
        </is>
      </c>
      <c r="E5051" s="58" t="inlineStr">
        <is>
          <t>East</t>
        </is>
      </c>
      <c r="F5051" s="61" t="n">
        <v>2</v>
      </c>
      <c r="G5051" s="62" t="n">
        <v>1210.54</v>
      </c>
      <c r="H5051" s="63" t="n">
        <v>0.038</v>
      </c>
      <c r="I5051" s="62" t="n">
        <v>935.98</v>
      </c>
      <c r="J5051" s="58" t="inlineStr">
        <is>
          <t>Phone</t>
        </is>
      </c>
      <c r="K5051" s="62">
        <f>F5051*(G5051-H5051)</f>
        <v/>
      </c>
      <c r="L5051" s="62">
        <f>K5051-(F5051*I5051)</f>
        <v/>
      </c>
      <c r="M5051" s="64">
        <f>L5051/K5051</f>
        <v/>
      </c>
    </row>
    <row r="5052">
      <c r="A5052" s="58" t="inlineStr">
        <is>
          <t>RT20250509-05051</t>
        </is>
      </c>
      <c r="B5052" s="59" t="inlineStr">
        <is>
          <t>2025-05-09</t>
        </is>
      </c>
      <c r="C5052" s="60" t="inlineStr">
        <is>
          <t>Metro Outdoor Plus-787</t>
        </is>
      </c>
      <c r="D5052" s="58" t="inlineStr">
        <is>
          <t>Sports</t>
        </is>
      </c>
      <c r="E5052" s="58" t="inlineStr">
        <is>
          <t>Central</t>
        </is>
      </c>
      <c r="F5052" s="61" t="n">
        <v>1</v>
      </c>
      <c r="G5052" s="62" t="n">
        <v>553.04</v>
      </c>
      <c r="H5052" s="63" t="n">
        <v>0.089</v>
      </c>
      <c r="I5052" s="62" t="n">
        <v>349.09</v>
      </c>
      <c r="J5052" s="58" t="inlineStr">
        <is>
          <t>Online</t>
        </is>
      </c>
      <c r="K5052" s="62">
        <f>F5052*(G5052-H5052)</f>
        <v/>
      </c>
      <c r="L5052" s="62">
        <f>K5052-(F5052*I5052)</f>
        <v/>
      </c>
      <c r="M5052" s="64">
        <f>L5052/K5052</f>
        <v/>
      </c>
    </row>
    <row r="5053">
      <c r="A5053" s="58" t="inlineStr">
        <is>
          <t>RT20250509-05052</t>
        </is>
      </c>
      <c r="B5053" s="59" t="inlineStr">
        <is>
          <t>2025-05-09</t>
        </is>
      </c>
      <c r="C5053" s="60" t="inlineStr">
        <is>
          <t>Polar Fragrance Pro-750</t>
        </is>
      </c>
      <c r="D5053" s="58" t="inlineStr">
        <is>
          <t>Beauty</t>
        </is>
      </c>
      <c r="E5053" s="58" t="inlineStr">
        <is>
          <t>Central</t>
        </is>
      </c>
      <c r="F5053" s="61" t="n">
        <v>3</v>
      </c>
      <c r="G5053" s="62" t="n">
        <v>59.97</v>
      </c>
      <c r="H5053" s="63" t="n">
        <v>0.078</v>
      </c>
      <c r="I5053" s="62" t="n">
        <v>37.87</v>
      </c>
      <c r="J5053" s="58" t="inlineStr">
        <is>
          <t>Phone</t>
        </is>
      </c>
      <c r="K5053" s="62">
        <f>F5053*(G5053-H5053)</f>
        <v/>
      </c>
      <c r="L5053" s="62">
        <f>K5053-(F5053*I5053)</f>
        <v/>
      </c>
      <c r="M5053" s="64">
        <f>L5053/K5053</f>
        <v/>
      </c>
    </row>
    <row r="5054">
      <c r="A5054" s="58" t="inlineStr">
        <is>
          <t>RT20250509-05053</t>
        </is>
      </c>
      <c r="B5054" s="59" t="inlineStr">
        <is>
          <t>2025-05-09</t>
        </is>
      </c>
      <c r="C5054" s="60" t="inlineStr">
        <is>
          <t>Polar Decor Plus-505</t>
        </is>
      </c>
      <c r="D5054" s="58" t="inlineStr">
        <is>
          <t>Home</t>
        </is>
      </c>
      <c r="E5054" s="58" t="inlineStr">
        <is>
          <t>East</t>
        </is>
      </c>
      <c r="F5054" s="61" t="n">
        <v>1</v>
      </c>
      <c r="G5054" s="62" t="n">
        <v>288.16</v>
      </c>
      <c r="H5054" s="63" t="n">
        <v>0.094</v>
      </c>
      <c r="I5054" s="62" t="n">
        <v>204.85</v>
      </c>
      <c r="J5054" s="58" t="inlineStr">
        <is>
          <t>Online</t>
        </is>
      </c>
      <c r="K5054" s="62">
        <f>F5054*(G5054-H5054)</f>
        <v/>
      </c>
      <c r="L5054" s="62">
        <f>K5054-(F5054*I5054)</f>
        <v/>
      </c>
      <c r="M5054" s="64">
        <f>L5054/K5054</f>
        <v/>
      </c>
    </row>
    <row r="5055">
      <c r="A5055" s="58" t="inlineStr">
        <is>
          <t>RT20250509-05054</t>
        </is>
      </c>
      <c r="B5055" s="59" t="inlineStr">
        <is>
          <t>2025-05-09</t>
        </is>
      </c>
      <c r="C5055" s="60" t="inlineStr">
        <is>
          <t>Metro Accessorie Lite-697</t>
        </is>
      </c>
      <c r="D5055" s="58" t="inlineStr">
        <is>
          <t>Apparel</t>
        </is>
      </c>
      <c r="E5055" s="58" t="inlineStr">
        <is>
          <t>North</t>
        </is>
      </c>
      <c r="F5055" s="61" t="n">
        <v>3</v>
      </c>
      <c r="G5055" s="62" t="n">
        <v>125.54</v>
      </c>
      <c r="H5055" s="63" t="n">
        <v>0.03</v>
      </c>
      <c r="I5055" s="62" t="n">
        <v>77.8</v>
      </c>
      <c r="J5055" s="58" t="inlineStr">
        <is>
          <t>Online</t>
        </is>
      </c>
      <c r="K5055" s="62">
        <f>F5055*(G5055-H5055)</f>
        <v/>
      </c>
      <c r="L5055" s="62">
        <f>K5055-(F5055*I5055)</f>
        <v/>
      </c>
      <c r="M5055" s="64">
        <f>L5055/K5055</f>
        <v/>
      </c>
    </row>
    <row r="5056">
      <c r="A5056" s="58" t="inlineStr">
        <is>
          <t>RT20250509-05055</t>
        </is>
      </c>
      <c r="B5056" s="59" t="inlineStr">
        <is>
          <t>2025-05-09</t>
        </is>
      </c>
      <c r="C5056" s="60" t="inlineStr">
        <is>
          <t>Polar Women S-662</t>
        </is>
      </c>
      <c r="D5056" s="58" t="inlineStr">
        <is>
          <t>Apparel</t>
        </is>
      </c>
      <c r="E5056" s="58" t="inlineStr">
        <is>
          <t>West</t>
        </is>
      </c>
      <c r="F5056" s="61" t="n">
        <v>2</v>
      </c>
      <c r="G5056" s="62" t="n">
        <v>190.93</v>
      </c>
      <c r="H5056" s="63" t="n">
        <v>0.047</v>
      </c>
      <c r="I5056" s="62" t="n">
        <v>98.22</v>
      </c>
      <c r="J5056" s="58" t="inlineStr">
        <is>
          <t>Store</t>
        </is>
      </c>
      <c r="K5056" s="62">
        <f>F5056*(G5056-H5056)</f>
        <v/>
      </c>
      <c r="L5056" s="62">
        <f>K5056-(F5056*I5056)</f>
        <v/>
      </c>
      <c r="M5056" s="64">
        <f>L5056/K5056</f>
        <v/>
      </c>
    </row>
    <row r="5057">
      <c r="A5057" s="58" t="inlineStr">
        <is>
          <t>RT20250509-05056</t>
        </is>
      </c>
      <c r="B5057" s="59" t="inlineStr">
        <is>
          <t>2025-05-09</t>
        </is>
      </c>
      <c r="C5057" s="60" t="inlineStr">
        <is>
          <t>Vertex Snack S-702</t>
        </is>
      </c>
      <c r="D5057" s="58" t="inlineStr">
        <is>
          <t>Grocery</t>
        </is>
      </c>
      <c r="E5057" s="58" t="inlineStr">
        <is>
          <t>East</t>
        </is>
      </c>
      <c r="F5057" s="61" t="n">
        <v>2</v>
      </c>
      <c r="G5057" s="62" t="n">
        <v>1.93</v>
      </c>
      <c r="H5057" s="63" t="n">
        <v>0.115</v>
      </c>
      <c r="I5057" s="62" t="n">
        <v>1.45</v>
      </c>
      <c r="J5057" s="58" t="inlineStr">
        <is>
          <t>Online</t>
        </is>
      </c>
      <c r="K5057" s="62">
        <f>F5057*(G5057-H5057)</f>
        <v/>
      </c>
      <c r="L5057" s="62">
        <f>K5057-(F5057*I5057)</f>
        <v/>
      </c>
      <c r="M5057" s="64">
        <f>L5057/K5057</f>
        <v/>
      </c>
    </row>
    <row r="5058">
      <c r="A5058" s="58" t="inlineStr">
        <is>
          <t>RT20250509-05057</t>
        </is>
      </c>
      <c r="B5058" s="59" t="inlineStr">
        <is>
          <t>2025-05-09</t>
        </is>
      </c>
      <c r="C5058" s="60" t="inlineStr">
        <is>
          <t>Falcon Team Sport Lite-268</t>
        </is>
      </c>
      <c r="D5058" s="58" t="inlineStr">
        <is>
          <t>Sports</t>
        </is>
      </c>
      <c r="E5058" s="58" t="inlineStr">
        <is>
          <t>East</t>
        </is>
      </c>
      <c r="F5058" s="61" t="n">
        <v>1</v>
      </c>
      <c r="G5058" s="62" t="n">
        <v>610.99</v>
      </c>
      <c r="H5058" s="63" t="n">
        <v>0.034</v>
      </c>
      <c r="I5058" s="62" t="n">
        <v>439.65</v>
      </c>
      <c r="J5058" s="58" t="inlineStr">
        <is>
          <t>Online</t>
        </is>
      </c>
      <c r="K5058" s="62">
        <f>F5058*(G5058-H5058)</f>
        <v/>
      </c>
      <c r="L5058" s="62">
        <f>K5058-(F5058*I5058)</f>
        <v/>
      </c>
      <c r="M5058" s="64">
        <f>L5058/K5058</f>
        <v/>
      </c>
    </row>
    <row r="5059">
      <c r="A5059" s="58" t="inlineStr">
        <is>
          <t>RT20250509-05058</t>
        </is>
      </c>
      <c r="B5059" s="59" t="inlineStr">
        <is>
          <t>2025-05-09</t>
        </is>
      </c>
      <c r="C5059" s="60" t="inlineStr">
        <is>
          <t>Aurora Team Sport Plus-256</t>
        </is>
      </c>
      <c r="D5059" s="58" t="inlineStr">
        <is>
          <t>Sports</t>
        </is>
      </c>
      <c r="E5059" s="58" t="inlineStr">
        <is>
          <t>South</t>
        </is>
      </c>
      <c r="F5059" s="61" t="n">
        <v>1</v>
      </c>
      <c r="G5059" s="62" t="n">
        <v>617.12</v>
      </c>
      <c r="H5059" s="63" t="n">
        <v>0.016</v>
      </c>
      <c r="I5059" s="62" t="n">
        <v>411.16</v>
      </c>
      <c r="J5059" s="58" t="inlineStr">
        <is>
          <t>Store</t>
        </is>
      </c>
      <c r="K5059" s="62">
        <f>F5059*(G5059-H5059)</f>
        <v/>
      </c>
      <c r="L5059" s="62">
        <f>K5059-(F5059*I5059)</f>
        <v/>
      </c>
      <c r="M5059" s="64">
        <f>L5059/K5059</f>
        <v/>
      </c>
    </row>
    <row r="5060">
      <c r="A5060" s="58" t="inlineStr">
        <is>
          <t>RT20250509-05059</t>
        </is>
      </c>
      <c r="B5060" s="59" t="inlineStr">
        <is>
          <t>2025-05-09</t>
        </is>
      </c>
      <c r="C5060" s="60" t="inlineStr">
        <is>
          <t>Metro Smartphone Max-773</t>
        </is>
      </c>
      <c r="D5060" s="58" t="inlineStr">
        <is>
          <t>Electronics</t>
        </is>
      </c>
      <c r="E5060" s="58" t="inlineStr">
        <is>
          <t>West</t>
        </is>
      </c>
      <c r="F5060" s="61" t="n">
        <v>2</v>
      </c>
      <c r="G5060" s="62" t="n">
        <v>1385.78</v>
      </c>
      <c r="H5060" s="63" t="n">
        <v>0.09</v>
      </c>
      <c r="I5060" s="62" t="n">
        <v>1128.65</v>
      </c>
      <c r="J5060" s="58" t="inlineStr">
        <is>
          <t>Store</t>
        </is>
      </c>
      <c r="K5060" s="62">
        <f>F5060*(G5060-H5060)</f>
        <v/>
      </c>
      <c r="L5060" s="62">
        <f>K5060-(F5060*I5060)</f>
        <v/>
      </c>
      <c r="M5060" s="64">
        <f>L5060/K5060</f>
        <v/>
      </c>
    </row>
    <row r="5061">
      <c r="A5061" s="58" t="inlineStr">
        <is>
          <t>RT20250510-05060</t>
        </is>
      </c>
      <c r="B5061" s="59" t="inlineStr">
        <is>
          <t>2025-05-10</t>
        </is>
      </c>
      <c r="C5061" s="60" t="inlineStr">
        <is>
          <t>Falcon Beverage Max-702</t>
        </is>
      </c>
      <c r="D5061" s="58" t="inlineStr">
        <is>
          <t>Grocery</t>
        </is>
      </c>
      <c r="E5061" s="58" t="inlineStr">
        <is>
          <t>East</t>
        </is>
      </c>
      <c r="F5061" s="61" t="n">
        <v>8</v>
      </c>
      <c r="G5061" s="62" t="n">
        <v>25.85</v>
      </c>
      <c r="H5061" s="63" t="n">
        <v>0.034</v>
      </c>
      <c r="I5061" s="62" t="n">
        <v>19.6</v>
      </c>
      <c r="J5061" s="58" t="inlineStr">
        <is>
          <t>Online</t>
        </is>
      </c>
      <c r="K5061" s="62">
        <f>F5061*(G5061-H5061)</f>
        <v/>
      </c>
      <c r="L5061" s="62">
        <f>K5061-(F5061*I5061)</f>
        <v/>
      </c>
      <c r="M5061" s="64">
        <f>L5061/K5061</f>
        <v/>
      </c>
    </row>
    <row r="5062">
      <c r="A5062" s="58" t="inlineStr">
        <is>
          <t>RT20250510-05061</t>
        </is>
      </c>
      <c r="B5062" s="59" t="inlineStr">
        <is>
          <t>2025-05-10</t>
        </is>
      </c>
      <c r="C5062" s="60" t="inlineStr">
        <is>
          <t>Polar Cycling X-649</t>
        </is>
      </c>
      <c r="D5062" s="58" t="inlineStr">
        <is>
          <t>Sports</t>
        </is>
      </c>
      <c r="E5062" s="58" t="inlineStr">
        <is>
          <t>West</t>
        </is>
      </c>
      <c r="F5062" s="61" t="n">
        <v>1</v>
      </c>
      <c r="G5062" s="62" t="n">
        <v>509.85</v>
      </c>
      <c r="H5062" s="63" t="n">
        <v>0.059</v>
      </c>
      <c r="I5062" s="62" t="n">
        <v>359.28</v>
      </c>
      <c r="J5062" s="58" t="inlineStr">
        <is>
          <t>Online</t>
        </is>
      </c>
      <c r="K5062" s="62">
        <f>F5062*(G5062-H5062)</f>
        <v/>
      </c>
      <c r="L5062" s="62">
        <f>K5062-(F5062*I5062)</f>
        <v/>
      </c>
      <c r="M5062" s="64">
        <f>L5062/K5062</f>
        <v/>
      </c>
    </row>
    <row r="5063">
      <c r="A5063" s="58" t="inlineStr">
        <is>
          <t>RT20250510-05062</t>
        </is>
      </c>
      <c r="B5063" s="59" t="inlineStr">
        <is>
          <t>2025-05-10</t>
        </is>
      </c>
      <c r="C5063" s="60" t="inlineStr">
        <is>
          <t>Aurora Kid Plus-151</t>
        </is>
      </c>
      <c r="D5063" s="58" t="inlineStr">
        <is>
          <t>Apparel</t>
        </is>
      </c>
      <c r="E5063" s="58" t="inlineStr">
        <is>
          <t>East</t>
        </is>
      </c>
      <c r="F5063" s="61" t="n">
        <v>2</v>
      </c>
      <c r="G5063" s="62" t="n">
        <v>108.16</v>
      </c>
      <c r="H5063" s="63" t="n">
        <v>0.038</v>
      </c>
      <c r="I5063" s="62" t="n">
        <v>63.19</v>
      </c>
      <c r="J5063" s="58" t="inlineStr">
        <is>
          <t>Online</t>
        </is>
      </c>
      <c r="K5063" s="62">
        <f>F5063*(G5063-H5063)</f>
        <v/>
      </c>
      <c r="L5063" s="62">
        <f>K5063-(F5063*I5063)</f>
        <v/>
      </c>
      <c r="M5063" s="64">
        <f>L5063/K5063</f>
        <v/>
      </c>
    </row>
    <row r="5064">
      <c r="A5064" s="58" t="inlineStr">
        <is>
          <t>RT20250510-05063</t>
        </is>
      </c>
      <c r="B5064" s="59" t="inlineStr">
        <is>
          <t>2025-05-10</t>
        </is>
      </c>
      <c r="C5064" s="60" t="inlineStr">
        <is>
          <t>Aurora Appliance Lite-109</t>
        </is>
      </c>
      <c r="D5064" s="58" t="inlineStr">
        <is>
          <t>Home</t>
        </is>
      </c>
      <c r="E5064" s="58" t="inlineStr">
        <is>
          <t>South</t>
        </is>
      </c>
      <c r="F5064" s="61" t="n">
        <v>2</v>
      </c>
      <c r="G5064" s="62" t="n">
        <v>303.98</v>
      </c>
      <c r="H5064" s="63" t="n">
        <v>0.047</v>
      </c>
      <c r="I5064" s="62" t="n">
        <v>198.25</v>
      </c>
      <c r="J5064" s="58" t="inlineStr">
        <is>
          <t>Store</t>
        </is>
      </c>
      <c r="K5064" s="62">
        <f>F5064*(G5064-H5064)</f>
        <v/>
      </c>
      <c r="L5064" s="62">
        <f>K5064-(F5064*I5064)</f>
        <v/>
      </c>
      <c r="M5064" s="64">
        <f>L5064/K5064</f>
        <v/>
      </c>
    </row>
    <row r="5065">
      <c r="A5065" s="58" t="inlineStr">
        <is>
          <t>RT20250510-05064</t>
        </is>
      </c>
      <c r="B5065" s="59" t="inlineStr">
        <is>
          <t>2025-05-10</t>
        </is>
      </c>
      <c r="C5065" s="60" t="inlineStr">
        <is>
          <t>Falcon Household Pro-865</t>
        </is>
      </c>
      <c r="D5065" s="58" t="inlineStr">
        <is>
          <t>Grocery</t>
        </is>
      </c>
      <c r="E5065" s="58" t="inlineStr">
        <is>
          <t>Central</t>
        </is>
      </c>
      <c r="F5065" s="61" t="n">
        <v>5</v>
      </c>
      <c r="G5065" s="62" t="n">
        <v>8.59</v>
      </c>
      <c r="H5065" s="63" t="n">
        <v>0.017</v>
      </c>
      <c r="I5065" s="62" t="n">
        <v>7.79</v>
      </c>
      <c r="J5065" s="58" t="inlineStr">
        <is>
          <t>Online</t>
        </is>
      </c>
      <c r="K5065" s="62">
        <f>F5065*(G5065-H5065)</f>
        <v/>
      </c>
      <c r="L5065" s="62">
        <f>K5065-(F5065*I5065)</f>
        <v/>
      </c>
      <c r="M5065" s="64">
        <f>L5065/K5065</f>
        <v/>
      </c>
    </row>
    <row r="5066">
      <c r="A5066" s="58" t="inlineStr">
        <is>
          <t>RT20250510-05065</t>
        </is>
      </c>
      <c r="B5066" s="59" t="inlineStr">
        <is>
          <t>2025-05-10</t>
        </is>
      </c>
      <c r="C5066" s="60" t="inlineStr">
        <is>
          <t>Orion Kitchen Pro-568</t>
        </is>
      </c>
      <c r="D5066" s="58" t="inlineStr">
        <is>
          <t>Home</t>
        </is>
      </c>
      <c r="E5066" s="58" t="inlineStr">
        <is>
          <t>North</t>
        </is>
      </c>
      <c r="F5066" s="61" t="n">
        <v>3</v>
      </c>
      <c r="G5066" s="62" t="n">
        <v>449.32</v>
      </c>
      <c r="H5066" s="63" t="n">
        <v>0.07000000000000001</v>
      </c>
      <c r="I5066" s="62" t="n">
        <v>303.84</v>
      </c>
      <c r="J5066" s="58" t="inlineStr">
        <is>
          <t>Online</t>
        </is>
      </c>
      <c r="K5066" s="62">
        <f>F5066*(G5066-H5066)</f>
        <v/>
      </c>
      <c r="L5066" s="62">
        <f>K5066-(F5066*I5066)</f>
        <v/>
      </c>
      <c r="M5066" s="64">
        <f>L5066/K5066</f>
        <v/>
      </c>
    </row>
    <row r="5067">
      <c r="A5067" s="58" t="inlineStr">
        <is>
          <t>RT20250510-05066</t>
        </is>
      </c>
      <c r="B5067" s="59" t="inlineStr">
        <is>
          <t>2025-05-10</t>
        </is>
      </c>
      <c r="C5067" s="60" t="inlineStr">
        <is>
          <t>Aurora Fitnes Lite-194</t>
        </is>
      </c>
      <c r="D5067" s="58" t="inlineStr">
        <is>
          <t>Sports</t>
        </is>
      </c>
      <c r="E5067" s="58" t="inlineStr">
        <is>
          <t>West</t>
        </is>
      </c>
      <c r="F5067" s="61" t="n">
        <v>3</v>
      </c>
      <c r="G5067" s="62" t="n">
        <v>722.9400000000001</v>
      </c>
      <c r="H5067" s="63" t="n">
        <v>0.054</v>
      </c>
      <c r="I5067" s="62" t="n">
        <v>461.09</v>
      </c>
      <c r="J5067" s="58" t="inlineStr">
        <is>
          <t>Online</t>
        </is>
      </c>
      <c r="K5067" s="62">
        <f>F5067*(G5067-H5067)</f>
        <v/>
      </c>
      <c r="L5067" s="62">
        <f>K5067-(F5067*I5067)</f>
        <v/>
      </c>
      <c r="M5067" s="64">
        <f>L5067/K5067</f>
        <v/>
      </c>
    </row>
    <row r="5068">
      <c r="A5068" s="58" t="inlineStr">
        <is>
          <t>RT20250510-05067</t>
        </is>
      </c>
      <c r="B5068" s="59" t="inlineStr">
        <is>
          <t>2025-05-10</t>
        </is>
      </c>
      <c r="C5068" s="60" t="inlineStr">
        <is>
          <t>Aurora Fragrance S-971</t>
        </is>
      </c>
      <c r="D5068" s="58" t="inlineStr">
        <is>
          <t>Beauty</t>
        </is>
      </c>
      <c r="E5068" s="58" t="inlineStr">
        <is>
          <t>Central</t>
        </is>
      </c>
      <c r="F5068" s="61" t="n">
        <v>3</v>
      </c>
      <c r="G5068" s="62" t="n">
        <v>110.13</v>
      </c>
      <c r="H5068" s="63" t="n">
        <v>0.08500000000000001</v>
      </c>
      <c r="I5068" s="62" t="n">
        <v>64.90000000000001</v>
      </c>
      <c r="J5068" s="58" t="inlineStr">
        <is>
          <t>Store</t>
        </is>
      </c>
      <c r="K5068" s="62">
        <f>F5068*(G5068-H5068)</f>
        <v/>
      </c>
      <c r="L5068" s="62">
        <f>K5068-(F5068*I5068)</f>
        <v/>
      </c>
      <c r="M5068" s="64">
        <f>L5068/K5068</f>
        <v/>
      </c>
    </row>
    <row r="5069">
      <c r="A5069" s="58" t="inlineStr">
        <is>
          <t>RT20250510-05068</t>
        </is>
      </c>
      <c r="B5069" s="59" t="inlineStr">
        <is>
          <t>2025-05-10</t>
        </is>
      </c>
      <c r="C5069" s="60" t="inlineStr">
        <is>
          <t>Orion Kid Max-640</t>
        </is>
      </c>
      <c r="D5069" s="58" t="inlineStr">
        <is>
          <t>Apparel</t>
        </is>
      </c>
      <c r="E5069" s="58" t="inlineStr">
        <is>
          <t>East</t>
        </is>
      </c>
      <c r="F5069" s="61" t="n">
        <v>4</v>
      </c>
      <c r="G5069" s="62" t="n">
        <v>114.82</v>
      </c>
      <c r="H5069" s="63" t="n">
        <v>0.101</v>
      </c>
      <c r="I5069" s="62" t="n">
        <v>69.54000000000001</v>
      </c>
      <c r="J5069" s="58" t="inlineStr">
        <is>
          <t>Store</t>
        </is>
      </c>
      <c r="K5069" s="62">
        <f>F5069*(G5069-H5069)</f>
        <v/>
      </c>
      <c r="L5069" s="62">
        <f>K5069-(F5069*I5069)</f>
        <v/>
      </c>
      <c r="M5069" s="64">
        <f>L5069/K5069</f>
        <v/>
      </c>
    </row>
    <row r="5070">
      <c r="A5070" s="58" t="inlineStr">
        <is>
          <t>RT20250510-05069</t>
        </is>
      </c>
      <c r="B5070" s="59" t="inlineStr">
        <is>
          <t>2025-05-10</t>
        </is>
      </c>
      <c r="C5070" s="60" t="inlineStr">
        <is>
          <t>Metro Outdoor Plus-787</t>
        </is>
      </c>
      <c r="D5070" s="58" t="inlineStr">
        <is>
          <t>Sports</t>
        </is>
      </c>
      <c r="E5070" s="58" t="inlineStr">
        <is>
          <t>North</t>
        </is>
      </c>
      <c r="F5070" s="61" t="n">
        <v>3</v>
      </c>
      <c r="G5070" s="62" t="n">
        <v>571.3200000000001</v>
      </c>
      <c r="H5070" s="63" t="n">
        <v>0.082</v>
      </c>
      <c r="I5070" s="62" t="n">
        <v>356.96</v>
      </c>
      <c r="J5070" s="58" t="inlineStr">
        <is>
          <t>Online</t>
        </is>
      </c>
      <c r="K5070" s="62">
        <f>F5070*(G5070-H5070)</f>
        <v/>
      </c>
      <c r="L5070" s="62">
        <f>K5070-(F5070*I5070)</f>
        <v/>
      </c>
      <c r="M5070" s="64">
        <f>L5070/K5070</f>
        <v/>
      </c>
    </row>
    <row r="5071">
      <c r="A5071" s="58" t="inlineStr">
        <is>
          <t>RT20250510-05070</t>
        </is>
      </c>
      <c r="B5071" s="59" t="inlineStr">
        <is>
          <t>2025-05-10</t>
        </is>
      </c>
      <c r="C5071" s="60" t="inlineStr">
        <is>
          <t>Polar Women Max-927</t>
        </is>
      </c>
      <c r="D5071" s="58" t="inlineStr">
        <is>
          <t>Apparel</t>
        </is>
      </c>
      <c r="E5071" s="58" t="inlineStr">
        <is>
          <t>West</t>
        </is>
      </c>
      <c r="F5071" s="61" t="n">
        <v>1</v>
      </c>
      <c r="G5071" s="62" t="n">
        <v>113.96</v>
      </c>
      <c r="H5071" s="63" t="n">
        <v>0.04</v>
      </c>
      <c r="I5071" s="62" t="n">
        <v>65.36</v>
      </c>
      <c r="J5071" s="58" t="inlineStr">
        <is>
          <t>Store</t>
        </is>
      </c>
      <c r="K5071" s="62">
        <f>F5071*(G5071-H5071)</f>
        <v/>
      </c>
      <c r="L5071" s="62">
        <f>K5071-(F5071*I5071)</f>
        <v/>
      </c>
      <c r="M5071" s="64">
        <f>L5071/K5071</f>
        <v/>
      </c>
    </row>
    <row r="5072">
      <c r="A5072" s="58" t="inlineStr">
        <is>
          <t>RT20250510-05071</t>
        </is>
      </c>
      <c r="B5072" s="59" t="inlineStr">
        <is>
          <t>2025-05-10</t>
        </is>
      </c>
      <c r="C5072" s="60" t="inlineStr">
        <is>
          <t>Metro Printer X-294</t>
        </is>
      </c>
      <c r="D5072" s="58" t="inlineStr">
        <is>
          <t>Office</t>
        </is>
      </c>
      <c r="E5072" s="58" t="inlineStr">
        <is>
          <t>South</t>
        </is>
      </c>
      <c r="F5072" s="61" t="n">
        <v>2</v>
      </c>
      <c r="G5072" s="62" t="n">
        <v>526.24</v>
      </c>
      <c r="H5072" s="63" t="n">
        <v>0.08599999999999999</v>
      </c>
      <c r="I5072" s="62" t="n">
        <v>407.19</v>
      </c>
      <c r="J5072" s="58" t="inlineStr">
        <is>
          <t>Store</t>
        </is>
      </c>
      <c r="K5072" s="62">
        <f>F5072*(G5072-H5072)</f>
        <v/>
      </c>
      <c r="L5072" s="62">
        <f>K5072-(F5072*I5072)</f>
        <v/>
      </c>
      <c r="M5072" s="64">
        <f>L5072/K5072</f>
        <v/>
      </c>
    </row>
    <row r="5073">
      <c r="A5073" s="58" t="inlineStr">
        <is>
          <t>RT20250510-05072</t>
        </is>
      </c>
      <c r="B5073" s="59" t="inlineStr">
        <is>
          <t>2025-05-10</t>
        </is>
      </c>
      <c r="C5073" s="60" t="inlineStr">
        <is>
          <t>Nimbus Laptop Max-652</t>
        </is>
      </c>
      <c r="D5073" s="58" t="inlineStr">
        <is>
          <t>Electronics</t>
        </is>
      </c>
      <c r="E5073" s="58" t="inlineStr">
        <is>
          <t>East</t>
        </is>
      </c>
      <c r="F5073" s="61" t="n">
        <v>1</v>
      </c>
      <c r="G5073" s="62" t="n">
        <v>1201.76</v>
      </c>
      <c r="H5073" s="63" t="n">
        <v>0.07000000000000001</v>
      </c>
      <c r="I5073" s="62" t="n">
        <v>1033.3</v>
      </c>
      <c r="J5073" s="58" t="inlineStr">
        <is>
          <t>Online</t>
        </is>
      </c>
      <c r="K5073" s="62">
        <f>F5073*(G5073-H5073)</f>
        <v/>
      </c>
      <c r="L5073" s="62">
        <f>K5073-(F5073*I5073)</f>
        <v/>
      </c>
      <c r="M5073" s="64">
        <f>L5073/K5073</f>
        <v/>
      </c>
    </row>
    <row r="5074">
      <c r="A5074" s="58" t="inlineStr">
        <is>
          <t>RT20250510-05073</t>
        </is>
      </c>
      <c r="B5074" s="59" t="inlineStr">
        <is>
          <t>2025-05-10</t>
        </is>
      </c>
      <c r="C5074" s="60" t="inlineStr">
        <is>
          <t>Nimbus Makeup Max-158</t>
        </is>
      </c>
      <c r="D5074" s="58" t="inlineStr">
        <is>
          <t>Beauty</t>
        </is>
      </c>
      <c r="E5074" s="58" t="inlineStr">
        <is>
          <t>North</t>
        </is>
      </c>
      <c r="F5074" s="61" t="n">
        <v>2</v>
      </c>
      <c r="G5074" s="62" t="n">
        <v>160.36</v>
      </c>
      <c r="H5074" s="63" t="n">
        <v>0.049</v>
      </c>
      <c r="I5074" s="62" t="n">
        <v>92.63</v>
      </c>
      <c r="J5074" s="58" t="inlineStr">
        <is>
          <t>Store</t>
        </is>
      </c>
      <c r="K5074" s="62">
        <f>F5074*(G5074-H5074)</f>
        <v/>
      </c>
      <c r="L5074" s="62">
        <f>K5074-(F5074*I5074)</f>
        <v/>
      </c>
      <c r="M5074" s="64">
        <f>L5074/K5074</f>
        <v/>
      </c>
    </row>
    <row r="5075">
      <c r="A5075" s="58" t="inlineStr">
        <is>
          <t>RT20250510-05074</t>
        </is>
      </c>
      <c r="B5075" s="59" t="inlineStr">
        <is>
          <t>2025-05-10</t>
        </is>
      </c>
      <c r="C5075" s="60" t="inlineStr">
        <is>
          <t>Polar Outdoor X-193</t>
        </is>
      </c>
      <c r="D5075" s="58" t="inlineStr">
        <is>
          <t>Sports</t>
        </is>
      </c>
      <c r="E5075" s="58" t="inlineStr">
        <is>
          <t>East</t>
        </is>
      </c>
      <c r="F5075" s="61" t="n">
        <v>2</v>
      </c>
      <c r="G5075" s="62" t="n">
        <v>667.77</v>
      </c>
      <c r="H5075" s="63" t="n">
        <v>0.062</v>
      </c>
      <c r="I5075" s="62" t="n">
        <v>457.48</v>
      </c>
      <c r="J5075" s="58" t="inlineStr">
        <is>
          <t>Store</t>
        </is>
      </c>
      <c r="K5075" s="62">
        <f>F5075*(G5075-H5075)</f>
        <v/>
      </c>
      <c r="L5075" s="62">
        <f>K5075-(F5075*I5075)</f>
        <v/>
      </c>
      <c r="M5075" s="64">
        <f>L5075/K5075</f>
        <v/>
      </c>
    </row>
    <row r="5076">
      <c r="A5076" s="58" t="inlineStr">
        <is>
          <t>RT20250510-05075</t>
        </is>
      </c>
      <c r="B5076" s="59" t="inlineStr">
        <is>
          <t>2025-05-10</t>
        </is>
      </c>
      <c r="C5076" s="60" t="inlineStr">
        <is>
          <t>Aurora Makeup Pro-489</t>
        </is>
      </c>
      <c r="D5076" s="58" t="inlineStr">
        <is>
          <t>Beauty</t>
        </is>
      </c>
      <c r="E5076" s="58" t="inlineStr">
        <is>
          <t>Central</t>
        </is>
      </c>
      <c r="F5076" s="61" t="n">
        <v>3</v>
      </c>
      <c r="G5076" s="62" t="n">
        <v>120</v>
      </c>
      <c r="H5076" s="63" t="n">
        <v>0.104</v>
      </c>
      <c r="I5076" s="62" t="n">
        <v>62.28</v>
      </c>
      <c r="J5076" s="58" t="inlineStr">
        <is>
          <t>Store</t>
        </is>
      </c>
      <c r="K5076" s="62">
        <f>F5076*(G5076-H5076)</f>
        <v/>
      </c>
      <c r="L5076" s="62">
        <f>K5076-(F5076*I5076)</f>
        <v/>
      </c>
      <c r="M5076" s="64">
        <f>L5076/K5076</f>
        <v/>
      </c>
    </row>
    <row r="5077">
      <c r="A5077" s="58" t="inlineStr">
        <is>
          <t>RT20250510-05076</t>
        </is>
      </c>
      <c r="B5077" s="59" t="inlineStr">
        <is>
          <t>2025-05-10</t>
        </is>
      </c>
      <c r="C5077" s="60" t="inlineStr">
        <is>
          <t>Metro Beverage Max-490</t>
        </is>
      </c>
      <c r="D5077" s="58" t="inlineStr">
        <is>
          <t>Grocery</t>
        </is>
      </c>
      <c r="E5077" s="58" t="inlineStr">
        <is>
          <t>East</t>
        </is>
      </c>
      <c r="F5077" s="61" t="n">
        <v>5</v>
      </c>
      <c r="G5077" s="62" t="n">
        <v>11.21</v>
      </c>
      <c r="H5077" s="63" t="n">
        <v>0.083</v>
      </c>
      <c r="I5077" s="62" t="n">
        <v>8.01</v>
      </c>
      <c r="J5077" s="58" t="inlineStr">
        <is>
          <t>Store</t>
        </is>
      </c>
      <c r="K5077" s="62">
        <f>F5077*(G5077-H5077)</f>
        <v/>
      </c>
      <c r="L5077" s="62">
        <f>K5077-(F5077*I5077)</f>
        <v/>
      </c>
      <c r="M5077" s="64">
        <f>L5077/K5077</f>
        <v/>
      </c>
    </row>
    <row r="5078">
      <c r="A5078" s="58" t="inlineStr">
        <is>
          <t>RT20250510-05077</t>
        </is>
      </c>
      <c r="B5078" s="59" t="inlineStr">
        <is>
          <t>2025-05-10</t>
        </is>
      </c>
      <c r="C5078" s="60" t="inlineStr">
        <is>
          <t>Polar Pantry Lite-392</t>
        </is>
      </c>
      <c r="D5078" s="58" t="inlineStr">
        <is>
          <t>Grocery</t>
        </is>
      </c>
      <c r="E5078" s="58" t="inlineStr">
        <is>
          <t>West</t>
        </is>
      </c>
      <c r="F5078" s="61" t="n">
        <v>3</v>
      </c>
      <c r="G5078" s="62" t="n">
        <v>6.65</v>
      </c>
      <c r="H5078" s="63" t="n">
        <v>0.055</v>
      </c>
      <c r="I5078" s="62" t="n">
        <v>4.57</v>
      </c>
      <c r="J5078" s="58" t="inlineStr">
        <is>
          <t>Store</t>
        </is>
      </c>
      <c r="K5078" s="62">
        <f>F5078*(G5078-H5078)</f>
        <v/>
      </c>
      <c r="L5078" s="62">
        <f>K5078-(F5078*I5078)</f>
        <v/>
      </c>
      <c r="M5078" s="64">
        <f>L5078/K5078</f>
        <v/>
      </c>
    </row>
    <row r="5079">
      <c r="A5079" s="58" t="inlineStr">
        <is>
          <t>RT20250510-05078</t>
        </is>
      </c>
      <c r="B5079" s="59" t="inlineStr">
        <is>
          <t>2025-05-10</t>
        </is>
      </c>
      <c r="C5079" s="60" t="inlineStr">
        <is>
          <t>Polar Cycling S-223</t>
        </is>
      </c>
      <c r="D5079" s="58" t="inlineStr">
        <is>
          <t>Sports</t>
        </is>
      </c>
      <c r="E5079" s="58" t="inlineStr">
        <is>
          <t>South</t>
        </is>
      </c>
      <c r="F5079" s="61" t="n">
        <v>3</v>
      </c>
      <c r="G5079" s="62" t="n">
        <v>993.29</v>
      </c>
      <c r="H5079" s="63" t="n">
        <v>0.092</v>
      </c>
      <c r="I5079" s="62" t="n">
        <v>620.55</v>
      </c>
      <c r="J5079" s="58" t="inlineStr">
        <is>
          <t>Store</t>
        </is>
      </c>
      <c r="K5079" s="62">
        <f>F5079*(G5079-H5079)</f>
        <v/>
      </c>
      <c r="L5079" s="62">
        <f>K5079-(F5079*I5079)</f>
        <v/>
      </c>
      <c r="M5079" s="64">
        <f>L5079/K5079</f>
        <v/>
      </c>
    </row>
    <row r="5080">
      <c r="A5080" s="58" t="inlineStr">
        <is>
          <t>RT20250510-05079</t>
        </is>
      </c>
      <c r="B5080" s="59" t="inlineStr">
        <is>
          <t>2025-05-10</t>
        </is>
      </c>
      <c r="C5080" s="60" t="inlineStr">
        <is>
          <t>Vertex Supplie Pro-786</t>
        </is>
      </c>
      <c r="D5080" s="58" t="inlineStr">
        <is>
          <t>Office</t>
        </is>
      </c>
      <c r="E5080" s="58" t="inlineStr">
        <is>
          <t>West</t>
        </is>
      </c>
      <c r="F5080" s="61" t="n">
        <v>1</v>
      </c>
      <c r="G5080" s="62" t="n">
        <v>447.98</v>
      </c>
      <c r="H5080" s="63" t="n">
        <v>0.006</v>
      </c>
      <c r="I5080" s="62" t="n">
        <v>301.47</v>
      </c>
      <c r="J5080" s="58" t="inlineStr">
        <is>
          <t>Store</t>
        </is>
      </c>
      <c r="K5080" s="62">
        <f>F5080*(G5080-H5080)</f>
        <v/>
      </c>
      <c r="L5080" s="62">
        <f>K5080-(F5080*I5080)</f>
        <v/>
      </c>
      <c r="M5080" s="64">
        <f>L5080/K5080</f>
        <v/>
      </c>
    </row>
    <row r="5081">
      <c r="A5081" s="58" t="inlineStr">
        <is>
          <t>RT20250510-05080</t>
        </is>
      </c>
      <c r="B5081" s="59" t="inlineStr">
        <is>
          <t>2025-05-10</t>
        </is>
      </c>
      <c r="C5081" s="60" t="inlineStr">
        <is>
          <t>Falcon Cycling Pro-499</t>
        </is>
      </c>
      <c r="D5081" s="58" t="inlineStr">
        <is>
          <t>Sports</t>
        </is>
      </c>
      <c r="E5081" s="58" t="inlineStr">
        <is>
          <t>West</t>
        </is>
      </c>
      <c r="F5081" s="61" t="n">
        <v>1</v>
      </c>
      <c r="G5081" s="62" t="n">
        <v>601.0700000000001</v>
      </c>
      <c r="H5081" s="63" t="n">
        <v>0.049</v>
      </c>
      <c r="I5081" s="62" t="n">
        <v>413.91</v>
      </c>
      <c r="J5081" s="58" t="inlineStr">
        <is>
          <t>Online</t>
        </is>
      </c>
      <c r="K5081" s="62">
        <f>F5081*(G5081-H5081)</f>
        <v/>
      </c>
      <c r="L5081" s="62">
        <f>K5081-(F5081*I5081)</f>
        <v/>
      </c>
      <c r="M5081" s="64">
        <f>L5081/K5081</f>
        <v/>
      </c>
    </row>
    <row r="5082">
      <c r="A5082" s="58" t="inlineStr">
        <is>
          <t>RT20250510-05081</t>
        </is>
      </c>
      <c r="B5082" s="59" t="inlineStr">
        <is>
          <t>2025-05-10</t>
        </is>
      </c>
      <c r="C5082" s="60" t="inlineStr">
        <is>
          <t>Aurora Printer Plus-723</t>
        </is>
      </c>
      <c r="D5082" s="58" t="inlineStr">
        <is>
          <t>Office</t>
        </is>
      </c>
      <c r="E5082" s="58" t="inlineStr">
        <is>
          <t>East</t>
        </is>
      </c>
      <c r="F5082" s="61" t="n">
        <v>1</v>
      </c>
      <c r="G5082" s="62" t="n">
        <v>276.7</v>
      </c>
      <c r="H5082" s="63" t="n">
        <v>0.132</v>
      </c>
      <c r="I5082" s="62" t="n">
        <v>187.89</v>
      </c>
      <c r="J5082" s="58" t="inlineStr">
        <is>
          <t>Phone</t>
        </is>
      </c>
      <c r="K5082" s="62">
        <f>F5082*(G5082-H5082)</f>
        <v/>
      </c>
      <c r="L5082" s="62">
        <f>K5082-(F5082*I5082)</f>
        <v/>
      </c>
      <c r="M5082" s="64">
        <f>L5082/K5082</f>
        <v/>
      </c>
    </row>
    <row r="5083">
      <c r="A5083" s="58" t="inlineStr">
        <is>
          <t>RT20250510-05082</t>
        </is>
      </c>
      <c r="B5083" s="59" t="inlineStr">
        <is>
          <t>2025-05-10</t>
        </is>
      </c>
      <c r="C5083" s="60" t="inlineStr">
        <is>
          <t>Solace Kitchen X-919</t>
        </is>
      </c>
      <c r="D5083" s="58" t="inlineStr">
        <is>
          <t>Home</t>
        </is>
      </c>
      <c r="E5083" s="58" t="inlineStr">
        <is>
          <t>Central</t>
        </is>
      </c>
      <c r="F5083" s="61" t="n">
        <v>1</v>
      </c>
      <c r="G5083" s="62" t="n">
        <v>436.74</v>
      </c>
      <c r="H5083" s="63" t="n">
        <v>0.045</v>
      </c>
      <c r="I5083" s="62" t="n">
        <v>255.15</v>
      </c>
      <c r="J5083" s="58" t="inlineStr">
        <is>
          <t>Online</t>
        </is>
      </c>
      <c r="K5083" s="62">
        <f>F5083*(G5083-H5083)</f>
        <v/>
      </c>
      <c r="L5083" s="62">
        <f>K5083-(F5083*I5083)</f>
        <v/>
      </c>
      <c r="M5083" s="64">
        <f>L5083/K5083</f>
        <v/>
      </c>
    </row>
    <row r="5084">
      <c r="A5084" s="58" t="inlineStr">
        <is>
          <t>RT20250510-05083</t>
        </is>
      </c>
      <c r="B5084" s="59" t="inlineStr">
        <is>
          <t>2025-05-10</t>
        </is>
      </c>
      <c r="C5084" s="60" t="inlineStr">
        <is>
          <t>Falcon Accessorie S-195</t>
        </is>
      </c>
      <c r="D5084" s="58" t="inlineStr">
        <is>
          <t>Apparel</t>
        </is>
      </c>
      <c r="E5084" s="58" t="inlineStr">
        <is>
          <t>West</t>
        </is>
      </c>
      <c r="F5084" s="61" t="n">
        <v>3</v>
      </c>
      <c r="G5084" s="62" t="n">
        <v>63.27</v>
      </c>
      <c r="H5084" s="63" t="n">
        <v>0.068</v>
      </c>
      <c r="I5084" s="62" t="n">
        <v>42.31</v>
      </c>
      <c r="J5084" s="58" t="inlineStr">
        <is>
          <t>Online</t>
        </is>
      </c>
      <c r="K5084" s="62">
        <f>F5084*(G5084-H5084)</f>
        <v/>
      </c>
      <c r="L5084" s="62">
        <f>K5084-(F5084*I5084)</f>
        <v/>
      </c>
      <c r="M5084" s="64">
        <f>L5084/K5084</f>
        <v/>
      </c>
    </row>
    <row r="5085">
      <c r="A5085" s="58" t="inlineStr">
        <is>
          <t>RT20250510-05084</t>
        </is>
      </c>
      <c r="B5085" s="59" t="inlineStr">
        <is>
          <t>2025-05-10</t>
        </is>
      </c>
      <c r="C5085" s="60" t="inlineStr">
        <is>
          <t>Aurora Bedding Max-175</t>
        </is>
      </c>
      <c r="D5085" s="58" t="inlineStr">
        <is>
          <t>Home</t>
        </is>
      </c>
      <c r="E5085" s="58" t="inlineStr">
        <is>
          <t>West</t>
        </is>
      </c>
      <c r="F5085" s="61" t="n">
        <v>1</v>
      </c>
      <c r="G5085" s="62" t="n">
        <v>637.25</v>
      </c>
      <c r="H5085" s="63" t="n">
        <v>0.033</v>
      </c>
      <c r="I5085" s="62" t="n">
        <v>405.66</v>
      </c>
      <c r="J5085" s="58" t="inlineStr">
        <is>
          <t>Online</t>
        </is>
      </c>
      <c r="K5085" s="62">
        <f>F5085*(G5085-H5085)</f>
        <v/>
      </c>
      <c r="L5085" s="62">
        <f>K5085-(F5085*I5085)</f>
        <v/>
      </c>
      <c r="M5085" s="64">
        <f>L5085/K5085</f>
        <v/>
      </c>
    </row>
    <row r="5086">
      <c r="A5086" s="58" t="inlineStr">
        <is>
          <t>RT20250510-05085</t>
        </is>
      </c>
      <c r="B5086" s="59" t="inlineStr">
        <is>
          <t>2025-05-10</t>
        </is>
      </c>
      <c r="C5086" s="60" t="inlineStr">
        <is>
          <t>Vertex Fitnes Pro-830</t>
        </is>
      </c>
      <c r="D5086" s="58" t="inlineStr">
        <is>
          <t>Sports</t>
        </is>
      </c>
      <c r="E5086" s="58" t="inlineStr">
        <is>
          <t>West</t>
        </is>
      </c>
      <c r="F5086" s="61" t="n">
        <v>2</v>
      </c>
      <c r="G5086" s="62" t="n">
        <v>763.4</v>
      </c>
      <c r="H5086" s="63" t="n">
        <v>0.03</v>
      </c>
      <c r="I5086" s="62" t="n">
        <v>473.72</v>
      </c>
      <c r="J5086" s="58" t="inlineStr">
        <is>
          <t>Store</t>
        </is>
      </c>
      <c r="K5086" s="62">
        <f>F5086*(G5086-H5086)</f>
        <v/>
      </c>
      <c r="L5086" s="62">
        <f>K5086-(F5086*I5086)</f>
        <v/>
      </c>
      <c r="M5086" s="64">
        <f>L5086/K5086</f>
        <v/>
      </c>
    </row>
    <row r="5087">
      <c r="A5087" s="58" t="inlineStr">
        <is>
          <t>RT20250510-05086</t>
        </is>
      </c>
      <c r="B5087" s="59" t="inlineStr">
        <is>
          <t>2025-05-10</t>
        </is>
      </c>
      <c r="C5087" s="60" t="inlineStr">
        <is>
          <t>Falcon Headphone Pro-713</t>
        </is>
      </c>
      <c r="D5087" s="58" t="inlineStr">
        <is>
          <t>Electronics</t>
        </is>
      </c>
      <c r="E5087" s="58" t="inlineStr">
        <is>
          <t>Central</t>
        </is>
      </c>
      <c r="F5087" s="61" t="n">
        <v>2</v>
      </c>
      <c r="G5087" s="62" t="n">
        <v>1503.3</v>
      </c>
      <c r="H5087" s="63" t="n">
        <v>0.056</v>
      </c>
      <c r="I5087" s="62" t="n">
        <v>1175.53</v>
      </c>
      <c r="J5087" s="58" t="inlineStr">
        <is>
          <t>Online</t>
        </is>
      </c>
      <c r="K5087" s="62">
        <f>F5087*(G5087-H5087)</f>
        <v/>
      </c>
      <c r="L5087" s="62">
        <f>K5087-(F5087*I5087)</f>
        <v/>
      </c>
      <c r="M5087" s="64">
        <f>L5087/K5087</f>
        <v/>
      </c>
    </row>
    <row r="5088">
      <c r="A5088" s="58" t="inlineStr">
        <is>
          <t>RT20250510-05087</t>
        </is>
      </c>
      <c r="B5088" s="59" t="inlineStr">
        <is>
          <t>2025-05-10</t>
        </is>
      </c>
      <c r="C5088" s="60" t="inlineStr">
        <is>
          <t>Nimbus Decor Lite-385</t>
        </is>
      </c>
      <c r="D5088" s="58" t="inlineStr">
        <is>
          <t>Home</t>
        </is>
      </c>
      <c r="E5088" s="58" t="inlineStr">
        <is>
          <t>South</t>
        </is>
      </c>
      <c r="F5088" s="61" t="n">
        <v>3</v>
      </c>
      <c r="G5088" s="62" t="n">
        <v>560.73</v>
      </c>
      <c r="H5088" s="63" t="n">
        <v>0.067</v>
      </c>
      <c r="I5088" s="62" t="n">
        <v>395.97</v>
      </c>
      <c r="J5088" s="58" t="inlineStr">
        <is>
          <t>Store</t>
        </is>
      </c>
      <c r="K5088" s="62">
        <f>F5088*(G5088-H5088)</f>
        <v/>
      </c>
      <c r="L5088" s="62">
        <f>K5088-(F5088*I5088)</f>
        <v/>
      </c>
      <c r="M5088" s="64">
        <f>L5088/K5088</f>
        <v/>
      </c>
    </row>
    <row r="5089">
      <c r="A5089" s="58" t="inlineStr">
        <is>
          <t>RT20250510-05088</t>
        </is>
      </c>
      <c r="B5089" s="59" t="inlineStr">
        <is>
          <t>2025-05-10</t>
        </is>
      </c>
      <c r="C5089" s="60" t="inlineStr">
        <is>
          <t>Aurora Bedding Plus-187</t>
        </is>
      </c>
      <c r="D5089" s="58" t="inlineStr">
        <is>
          <t>Home</t>
        </is>
      </c>
      <c r="E5089" s="58" t="inlineStr">
        <is>
          <t>South</t>
        </is>
      </c>
      <c r="F5089" s="61" t="n">
        <v>3</v>
      </c>
      <c r="G5089" s="62" t="n">
        <v>310.56</v>
      </c>
      <c r="H5089" s="63" t="n">
        <v>0.061</v>
      </c>
      <c r="I5089" s="62" t="n">
        <v>211.42</v>
      </c>
      <c r="J5089" s="58" t="inlineStr">
        <is>
          <t>Store</t>
        </is>
      </c>
      <c r="K5089" s="62">
        <f>F5089*(G5089-H5089)</f>
        <v/>
      </c>
      <c r="L5089" s="62">
        <f>K5089-(F5089*I5089)</f>
        <v/>
      </c>
      <c r="M5089" s="64">
        <f>L5089/K5089</f>
        <v/>
      </c>
    </row>
    <row r="5090">
      <c r="A5090" s="58" t="inlineStr">
        <is>
          <t>RT20250510-05089</t>
        </is>
      </c>
      <c r="B5090" s="59" t="inlineStr">
        <is>
          <t>2025-05-10</t>
        </is>
      </c>
      <c r="C5090" s="60" t="inlineStr">
        <is>
          <t>Solace Kitchen X-919</t>
        </is>
      </c>
      <c r="D5090" s="58" t="inlineStr">
        <is>
          <t>Home</t>
        </is>
      </c>
      <c r="E5090" s="58" t="inlineStr">
        <is>
          <t>North</t>
        </is>
      </c>
      <c r="F5090" s="61" t="n">
        <v>3</v>
      </c>
      <c r="G5090" s="62" t="n">
        <v>428.97</v>
      </c>
      <c r="H5090" s="63" t="n">
        <v>0.1</v>
      </c>
      <c r="I5090" s="62" t="n">
        <v>266.91</v>
      </c>
      <c r="J5090" s="58" t="inlineStr">
        <is>
          <t>Online</t>
        </is>
      </c>
      <c r="K5090" s="62">
        <f>F5090*(G5090-H5090)</f>
        <v/>
      </c>
      <c r="L5090" s="62">
        <f>K5090-(F5090*I5090)</f>
        <v/>
      </c>
      <c r="M5090" s="64">
        <f>L5090/K5090</f>
        <v/>
      </c>
    </row>
    <row r="5091">
      <c r="A5091" s="58" t="inlineStr">
        <is>
          <t>RT20250510-05090</t>
        </is>
      </c>
      <c r="B5091" s="59" t="inlineStr">
        <is>
          <t>2025-05-10</t>
        </is>
      </c>
      <c r="C5091" s="60" t="inlineStr">
        <is>
          <t>Orion Haircare Plus-887</t>
        </is>
      </c>
      <c r="D5091" s="58" t="inlineStr">
        <is>
          <t>Beauty</t>
        </is>
      </c>
      <c r="E5091" s="58" t="inlineStr">
        <is>
          <t>Central</t>
        </is>
      </c>
      <c r="F5091" s="61" t="n">
        <v>4</v>
      </c>
      <c r="G5091" s="62" t="n">
        <v>52.43</v>
      </c>
      <c r="H5091" s="63" t="n">
        <v>0.047</v>
      </c>
      <c r="I5091" s="62" t="n">
        <v>30.95</v>
      </c>
      <c r="J5091" s="58" t="inlineStr">
        <is>
          <t>Online</t>
        </is>
      </c>
      <c r="K5091" s="62">
        <f>F5091*(G5091-H5091)</f>
        <v/>
      </c>
      <c r="L5091" s="62">
        <f>K5091-(F5091*I5091)</f>
        <v/>
      </c>
      <c r="M5091" s="64">
        <f>L5091/K5091</f>
        <v/>
      </c>
    </row>
    <row r="5092">
      <c r="A5092" s="58" t="inlineStr">
        <is>
          <t>RT20250510-05091</t>
        </is>
      </c>
      <c r="B5092" s="59" t="inlineStr">
        <is>
          <t>2025-05-10</t>
        </is>
      </c>
      <c r="C5092" s="60" t="inlineStr">
        <is>
          <t>Polar Bedding Lite-243</t>
        </is>
      </c>
      <c r="D5092" s="58" t="inlineStr">
        <is>
          <t>Home</t>
        </is>
      </c>
      <c r="E5092" s="58" t="inlineStr">
        <is>
          <t>North</t>
        </is>
      </c>
      <c r="F5092" s="61" t="n">
        <v>2</v>
      </c>
      <c r="G5092" s="62" t="n">
        <v>499.32</v>
      </c>
      <c r="H5092" s="63" t="n">
        <v>0.094</v>
      </c>
      <c r="I5092" s="62" t="n">
        <v>322.52</v>
      </c>
      <c r="J5092" s="58" t="inlineStr">
        <is>
          <t>Online</t>
        </is>
      </c>
      <c r="K5092" s="62">
        <f>F5092*(G5092-H5092)</f>
        <v/>
      </c>
      <c r="L5092" s="62">
        <f>K5092-(F5092*I5092)</f>
        <v/>
      </c>
      <c r="M5092" s="64">
        <f>L5092/K5092</f>
        <v/>
      </c>
    </row>
    <row r="5093">
      <c r="A5093" s="58" t="inlineStr">
        <is>
          <t>RT20250510-05092</t>
        </is>
      </c>
      <c r="B5093" s="59" t="inlineStr">
        <is>
          <t>2025-05-10</t>
        </is>
      </c>
      <c r="C5093" s="60" t="inlineStr">
        <is>
          <t>Orion Team Sport X-926</t>
        </is>
      </c>
      <c r="D5093" s="58" t="inlineStr">
        <is>
          <t>Sports</t>
        </is>
      </c>
      <c r="E5093" s="58" t="inlineStr">
        <is>
          <t>West</t>
        </is>
      </c>
      <c r="F5093" s="61" t="n">
        <v>2</v>
      </c>
      <c r="G5093" s="62" t="n">
        <v>308.54</v>
      </c>
      <c r="H5093" s="63" t="n">
        <v>0.022</v>
      </c>
      <c r="I5093" s="62" t="n">
        <v>218.67</v>
      </c>
      <c r="J5093" s="58" t="inlineStr">
        <is>
          <t>Online</t>
        </is>
      </c>
      <c r="K5093" s="62">
        <f>F5093*(G5093-H5093)</f>
        <v/>
      </c>
      <c r="L5093" s="62">
        <f>K5093-(F5093*I5093)</f>
        <v/>
      </c>
      <c r="M5093" s="64">
        <f>L5093/K5093</f>
        <v/>
      </c>
    </row>
    <row r="5094">
      <c r="A5094" s="58" t="inlineStr">
        <is>
          <t>RT20250510-05093</t>
        </is>
      </c>
      <c r="B5094" s="59" t="inlineStr">
        <is>
          <t>2025-05-10</t>
        </is>
      </c>
      <c r="C5094" s="60" t="inlineStr">
        <is>
          <t>Metro Accessorie Max-316</t>
        </is>
      </c>
      <c r="D5094" s="58" t="inlineStr">
        <is>
          <t>Apparel</t>
        </is>
      </c>
      <c r="E5094" s="58" t="inlineStr">
        <is>
          <t>West</t>
        </is>
      </c>
      <c r="F5094" s="61" t="n">
        <v>4</v>
      </c>
      <c r="G5094" s="62" t="n">
        <v>166.99</v>
      </c>
      <c r="H5094" s="63" t="n">
        <v>0.057</v>
      </c>
      <c r="I5094" s="62" t="n">
        <v>90.73</v>
      </c>
      <c r="J5094" s="58" t="inlineStr">
        <is>
          <t>Online</t>
        </is>
      </c>
      <c r="K5094" s="62">
        <f>F5094*(G5094-H5094)</f>
        <v/>
      </c>
      <c r="L5094" s="62">
        <f>K5094-(F5094*I5094)</f>
        <v/>
      </c>
      <c r="M5094" s="64">
        <f>L5094/K5094</f>
        <v/>
      </c>
    </row>
    <row r="5095">
      <c r="A5095" s="58" t="inlineStr">
        <is>
          <t>RT20250510-05094</t>
        </is>
      </c>
      <c r="B5095" s="59" t="inlineStr">
        <is>
          <t>2025-05-10</t>
        </is>
      </c>
      <c r="C5095" s="60" t="inlineStr">
        <is>
          <t>Aurora Appliance Lite-109</t>
        </is>
      </c>
      <c r="D5095" s="58" t="inlineStr">
        <is>
          <t>Home</t>
        </is>
      </c>
      <c r="E5095" s="58" t="inlineStr">
        <is>
          <t>Central</t>
        </is>
      </c>
      <c r="F5095" s="61" t="n">
        <v>3</v>
      </c>
      <c r="G5095" s="62" t="n">
        <v>296.96</v>
      </c>
      <c r="H5095" s="63" t="n">
        <v>0.073</v>
      </c>
      <c r="I5095" s="62" t="n">
        <v>204.54</v>
      </c>
      <c r="J5095" s="58" t="inlineStr">
        <is>
          <t>Online</t>
        </is>
      </c>
      <c r="K5095" s="62">
        <f>F5095*(G5095-H5095)</f>
        <v/>
      </c>
      <c r="L5095" s="62">
        <f>K5095-(F5095*I5095)</f>
        <v/>
      </c>
      <c r="M5095" s="64">
        <f>L5095/K5095</f>
        <v/>
      </c>
    </row>
    <row r="5096">
      <c r="A5096" s="58" t="inlineStr">
        <is>
          <t>RT20250510-05095</t>
        </is>
      </c>
      <c r="B5096" s="59" t="inlineStr">
        <is>
          <t>2025-05-10</t>
        </is>
      </c>
      <c r="C5096" s="60" t="inlineStr">
        <is>
          <t>Vertex Smartphone Lite-267</t>
        </is>
      </c>
      <c r="D5096" s="58" t="inlineStr">
        <is>
          <t>Electronics</t>
        </is>
      </c>
      <c r="E5096" s="58" t="inlineStr">
        <is>
          <t>Central</t>
        </is>
      </c>
      <c r="F5096" s="61" t="n">
        <v>2</v>
      </c>
      <c r="G5096" s="62" t="n">
        <v>1099.23</v>
      </c>
      <c r="H5096" s="63" t="n">
        <v>0.046</v>
      </c>
      <c r="I5096" s="62" t="n">
        <v>980.6799999999999</v>
      </c>
      <c r="J5096" s="58" t="inlineStr">
        <is>
          <t>Online</t>
        </is>
      </c>
      <c r="K5096" s="62">
        <f>F5096*(G5096-H5096)</f>
        <v/>
      </c>
      <c r="L5096" s="62">
        <f>K5096-(F5096*I5096)</f>
        <v/>
      </c>
      <c r="M5096" s="64">
        <f>L5096/K5096</f>
        <v/>
      </c>
    </row>
    <row r="5097">
      <c r="A5097" s="58" t="inlineStr">
        <is>
          <t>RT20250510-05096</t>
        </is>
      </c>
      <c r="B5097" s="59" t="inlineStr">
        <is>
          <t>2025-05-10</t>
        </is>
      </c>
      <c r="C5097" s="60" t="inlineStr">
        <is>
          <t>Orion Storage Plus-961</t>
        </is>
      </c>
      <c r="D5097" s="58" t="inlineStr">
        <is>
          <t>Office</t>
        </is>
      </c>
      <c r="E5097" s="58" t="inlineStr">
        <is>
          <t>South</t>
        </is>
      </c>
      <c r="F5097" s="61" t="n">
        <v>2</v>
      </c>
      <c r="G5097" s="62" t="n">
        <v>580.37</v>
      </c>
      <c r="H5097" s="63" t="n">
        <v>0.065</v>
      </c>
      <c r="I5097" s="62" t="n">
        <v>367.07</v>
      </c>
      <c r="J5097" s="58" t="inlineStr">
        <is>
          <t>Store</t>
        </is>
      </c>
      <c r="K5097" s="62">
        <f>F5097*(G5097-H5097)</f>
        <v/>
      </c>
      <c r="L5097" s="62">
        <f>K5097-(F5097*I5097)</f>
        <v/>
      </c>
      <c r="M5097" s="64">
        <f>L5097/K5097</f>
        <v/>
      </c>
    </row>
    <row r="5098">
      <c r="A5098" s="58" t="inlineStr">
        <is>
          <t>RT20250510-05097</t>
        </is>
      </c>
      <c r="B5098" s="59" t="inlineStr">
        <is>
          <t>2025-05-10</t>
        </is>
      </c>
      <c r="C5098" s="60" t="inlineStr">
        <is>
          <t>Solace Kitchen X-919</t>
        </is>
      </c>
      <c r="D5098" s="58" t="inlineStr">
        <is>
          <t>Home</t>
        </is>
      </c>
      <c r="E5098" s="58" t="inlineStr">
        <is>
          <t>East</t>
        </is>
      </c>
      <c r="F5098" s="61" t="n">
        <v>3</v>
      </c>
      <c r="G5098" s="62" t="n">
        <v>390.9</v>
      </c>
      <c r="H5098" s="63" t="n">
        <v>0.063</v>
      </c>
      <c r="I5098" s="62" t="n">
        <v>263.58</v>
      </c>
      <c r="J5098" s="58" t="inlineStr">
        <is>
          <t>Online</t>
        </is>
      </c>
      <c r="K5098" s="62">
        <f>F5098*(G5098-H5098)</f>
        <v/>
      </c>
      <c r="L5098" s="62">
        <f>K5098-(F5098*I5098)</f>
        <v/>
      </c>
      <c r="M5098" s="64">
        <f>L5098/K5098</f>
        <v/>
      </c>
    </row>
    <row r="5099">
      <c r="A5099" s="58" t="inlineStr">
        <is>
          <t>RT20250510-05098</t>
        </is>
      </c>
      <c r="B5099" s="59" t="inlineStr">
        <is>
          <t>2025-05-10</t>
        </is>
      </c>
      <c r="C5099" s="60" t="inlineStr">
        <is>
          <t>Aurora Storage Lite-774</t>
        </is>
      </c>
      <c r="D5099" s="58" t="inlineStr">
        <is>
          <t>Office</t>
        </is>
      </c>
      <c r="E5099" s="58" t="inlineStr">
        <is>
          <t>South</t>
        </is>
      </c>
      <c r="F5099" s="61" t="n">
        <v>2</v>
      </c>
      <c r="G5099" s="62" t="n">
        <v>344.74</v>
      </c>
      <c r="H5099" s="63" t="n">
        <v>0.093</v>
      </c>
      <c r="I5099" s="62" t="n">
        <v>239.49</v>
      </c>
      <c r="J5099" s="58" t="inlineStr">
        <is>
          <t>Online</t>
        </is>
      </c>
      <c r="K5099" s="62">
        <f>F5099*(G5099-H5099)</f>
        <v/>
      </c>
      <c r="L5099" s="62">
        <f>K5099-(F5099*I5099)</f>
        <v/>
      </c>
      <c r="M5099" s="64">
        <f>L5099/K5099</f>
        <v/>
      </c>
    </row>
    <row r="5100">
      <c r="A5100" s="58" t="inlineStr">
        <is>
          <t>RT20250510-05099</t>
        </is>
      </c>
      <c r="B5100" s="59" t="inlineStr">
        <is>
          <t>2025-05-10</t>
        </is>
      </c>
      <c r="C5100" s="60" t="inlineStr">
        <is>
          <t>Nimbus Cycling Plus-911</t>
        </is>
      </c>
      <c r="D5100" s="58" t="inlineStr">
        <is>
          <t>Sports</t>
        </is>
      </c>
      <c r="E5100" s="58" t="inlineStr">
        <is>
          <t>South</t>
        </is>
      </c>
      <c r="F5100" s="61" t="n">
        <v>3</v>
      </c>
      <c r="G5100" s="62" t="n">
        <v>531.83</v>
      </c>
      <c r="H5100" s="63" t="n">
        <v>0.081</v>
      </c>
      <c r="I5100" s="62" t="n">
        <v>397.03</v>
      </c>
      <c r="J5100" s="58" t="inlineStr">
        <is>
          <t>Store</t>
        </is>
      </c>
      <c r="K5100" s="62">
        <f>F5100*(G5100-H5100)</f>
        <v/>
      </c>
      <c r="L5100" s="62">
        <f>K5100-(F5100*I5100)</f>
        <v/>
      </c>
      <c r="M5100" s="64">
        <f>L5100/K5100</f>
        <v/>
      </c>
    </row>
    <row r="5101">
      <c r="A5101" s="58" t="inlineStr">
        <is>
          <t>RT20250510-05100</t>
        </is>
      </c>
      <c r="B5101" s="59" t="inlineStr">
        <is>
          <t>2025-05-10</t>
        </is>
      </c>
      <c r="C5101" s="60" t="inlineStr">
        <is>
          <t>Solace Kitchen Pro-510</t>
        </is>
      </c>
      <c r="D5101" s="58" t="inlineStr">
        <is>
          <t>Home</t>
        </is>
      </c>
      <c r="E5101" s="58" t="inlineStr">
        <is>
          <t>East</t>
        </is>
      </c>
      <c r="F5101" s="61" t="n">
        <v>3</v>
      </c>
      <c r="G5101" s="62" t="n">
        <v>441.72</v>
      </c>
      <c r="H5101" s="63" t="n">
        <v>0.08599999999999999</v>
      </c>
      <c r="I5101" s="62" t="n">
        <v>299.66</v>
      </c>
      <c r="J5101" s="58" t="inlineStr">
        <is>
          <t>Online</t>
        </is>
      </c>
      <c r="K5101" s="62">
        <f>F5101*(G5101-H5101)</f>
        <v/>
      </c>
      <c r="L5101" s="62">
        <f>K5101-(F5101*I5101)</f>
        <v/>
      </c>
      <c r="M5101" s="64">
        <f>L5101/K5101</f>
        <v/>
      </c>
    </row>
    <row r="5102">
      <c r="A5102" s="58" t="inlineStr">
        <is>
          <t>RT20250510-05101</t>
        </is>
      </c>
      <c r="B5102" s="59" t="inlineStr">
        <is>
          <t>2025-05-10</t>
        </is>
      </c>
      <c r="C5102" s="60" t="inlineStr">
        <is>
          <t>Aurora Makeup Pro-489</t>
        </is>
      </c>
      <c r="D5102" s="58" t="inlineStr">
        <is>
          <t>Beauty</t>
        </is>
      </c>
      <c r="E5102" s="58" t="inlineStr">
        <is>
          <t>West</t>
        </is>
      </c>
      <c r="F5102" s="61" t="n">
        <v>1</v>
      </c>
      <c r="G5102" s="62" t="n">
        <v>103.2</v>
      </c>
      <c r="H5102" s="63" t="n">
        <v>0.047</v>
      </c>
      <c r="I5102" s="62" t="n">
        <v>62.52</v>
      </c>
      <c r="J5102" s="58" t="inlineStr">
        <is>
          <t>Store</t>
        </is>
      </c>
      <c r="K5102" s="62">
        <f>F5102*(G5102-H5102)</f>
        <v/>
      </c>
      <c r="L5102" s="62">
        <f>K5102-(F5102*I5102)</f>
        <v/>
      </c>
      <c r="M5102" s="64">
        <f>L5102/K5102</f>
        <v/>
      </c>
    </row>
    <row r="5103">
      <c r="A5103" s="58" t="inlineStr">
        <is>
          <t>RT20250510-05102</t>
        </is>
      </c>
      <c r="B5103" s="59" t="inlineStr">
        <is>
          <t>2025-05-10</t>
        </is>
      </c>
      <c r="C5103" s="60" t="inlineStr">
        <is>
          <t>Aurora Appliance Max-316</t>
        </is>
      </c>
      <c r="D5103" s="58" t="inlineStr">
        <is>
          <t>Home</t>
        </is>
      </c>
      <c r="E5103" s="58" t="inlineStr">
        <is>
          <t>South</t>
        </is>
      </c>
      <c r="F5103" s="61" t="n">
        <v>3</v>
      </c>
      <c r="G5103" s="62" t="n">
        <v>311.03</v>
      </c>
      <c r="H5103" s="63" t="n">
        <v>0.08</v>
      </c>
      <c r="I5103" s="62" t="n">
        <v>210.2</v>
      </c>
      <c r="J5103" s="58" t="inlineStr">
        <is>
          <t>Online</t>
        </is>
      </c>
      <c r="K5103" s="62">
        <f>F5103*(G5103-H5103)</f>
        <v/>
      </c>
      <c r="L5103" s="62">
        <f>K5103-(F5103*I5103)</f>
        <v/>
      </c>
      <c r="M5103" s="64">
        <f>L5103/K5103</f>
        <v/>
      </c>
    </row>
    <row r="5104">
      <c r="A5104" s="58" t="inlineStr">
        <is>
          <t>RT20250510-05103</t>
        </is>
      </c>
      <c r="B5104" s="59" t="inlineStr">
        <is>
          <t>2025-05-10</t>
        </is>
      </c>
      <c r="C5104" s="60" t="inlineStr">
        <is>
          <t>Falcon Wearable X-334</t>
        </is>
      </c>
      <c r="D5104" s="58" t="inlineStr">
        <is>
          <t>Electronics</t>
        </is>
      </c>
      <c r="E5104" s="58" t="inlineStr">
        <is>
          <t>Central</t>
        </is>
      </c>
      <c r="F5104" s="61" t="n">
        <v>1</v>
      </c>
      <c r="G5104" s="62" t="n">
        <v>2015.46</v>
      </c>
      <c r="H5104" s="63" t="n">
        <v>0.097</v>
      </c>
      <c r="I5104" s="62" t="n">
        <v>1564.81</v>
      </c>
      <c r="J5104" s="58" t="inlineStr">
        <is>
          <t>Store</t>
        </is>
      </c>
      <c r="K5104" s="62">
        <f>F5104*(G5104-H5104)</f>
        <v/>
      </c>
      <c r="L5104" s="62">
        <f>K5104-(F5104*I5104)</f>
        <v/>
      </c>
      <c r="M5104" s="64">
        <f>L5104/K5104</f>
        <v/>
      </c>
    </row>
    <row r="5105">
      <c r="A5105" s="58" t="inlineStr">
        <is>
          <t>RT20250510-05104</t>
        </is>
      </c>
      <c r="B5105" s="59" t="inlineStr">
        <is>
          <t>2025-05-10</t>
        </is>
      </c>
      <c r="C5105" s="60" t="inlineStr">
        <is>
          <t>Nimbus Storage Plus-646</t>
        </is>
      </c>
      <c r="D5105" s="58" t="inlineStr">
        <is>
          <t>Office</t>
        </is>
      </c>
      <c r="E5105" s="58" t="inlineStr">
        <is>
          <t>South</t>
        </is>
      </c>
      <c r="F5105" s="61" t="n">
        <v>3</v>
      </c>
      <c r="G5105" s="62" t="n">
        <v>398.12</v>
      </c>
      <c r="H5105" s="63" t="n">
        <v>0</v>
      </c>
      <c r="I5105" s="62" t="n">
        <v>325.28</v>
      </c>
      <c r="J5105" s="58" t="inlineStr">
        <is>
          <t>Online</t>
        </is>
      </c>
      <c r="K5105" s="62">
        <f>F5105*(G5105-H5105)</f>
        <v/>
      </c>
      <c r="L5105" s="62">
        <f>K5105-(F5105*I5105)</f>
        <v/>
      </c>
      <c r="M5105" s="64">
        <f>L5105/K5105</f>
        <v/>
      </c>
    </row>
    <row r="5106">
      <c r="A5106" s="58" t="inlineStr">
        <is>
          <t>RT20250510-05105</t>
        </is>
      </c>
      <c r="B5106" s="59" t="inlineStr">
        <is>
          <t>2025-05-10</t>
        </is>
      </c>
      <c r="C5106" s="60" t="inlineStr">
        <is>
          <t>Vertex Furniture S-652</t>
        </is>
      </c>
      <c r="D5106" s="58" t="inlineStr">
        <is>
          <t>Office</t>
        </is>
      </c>
      <c r="E5106" s="58" t="inlineStr">
        <is>
          <t>East</t>
        </is>
      </c>
      <c r="F5106" s="61" t="n">
        <v>1</v>
      </c>
      <c r="G5106" s="62" t="n">
        <v>362.82</v>
      </c>
      <c r="H5106" s="63" t="n">
        <v>0.091</v>
      </c>
      <c r="I5106" s="62" t="n">
        <v>268.21</v>
      </c>
      <c r="J5106" s="58" t="inlineStr">
        <is>
          <t>Store</t>
        </is>
      </c>
      <c r="K5106" s="62">
        <f>F5106*(G5106-H5106)</f>
        <v/>
      </c>
      <c r="L5106" s="62">
        <f>K5106-(F5106*I5106)</f>
        <v/>
      </c>
      <c r="M5106" s="64">
        <f>L5106/K5106</f>
        <v/>
      </c>
    </row>
    <row r="5107">
      <c r="A5107" s="58" t="inlineStr">
        <is>
          <t>RT20250510-05106</t>
        </is>
      </c>
      <c r="B5107" s="59" t="inlineStr">
        <is>
          <t>2025-05-10</t>
        </is>
      </c>
      <c r="C5107" s="60" t="inlineStr">
        <is>
          <t>Vertex Headphone Pro-801</t>
        </is>
      </c>
      <c r="D5107" s="58" t="inlineStr">
        <is>
          <t>Electronics</t>
        </is>
      </c>
      <c r="E5107" s="58" t="inlineStr">
        <is>
          <t>West</t>
        </is>
      </c>
      <c r="F5107" s="61" t="n">
        <v>2</v>
      </c>
      <c r="G5107" s="62" t="n">
        <v>1337.27</v>
      </c>
      <c r="H5107" s="63" t="n">
        <v>0.042</v>
      </c>
      <c r="I5107" s="62" t="n">
        <v>955.5599999999999</v>
      </c>
      <c r="J5107" s="58" t="inlineStr">
        <is>
          <t>Online</t>
        </is>
      </c>
      <c r="K5107" s="62">
        <f>F5107*(G5107-H5107)</f>
        <v/>
      </c>
      <c r="L5107" s="62">
        <f>K5107-(F5107*I5107)</f>
        <v/>
      </c>
      <c r="M5107" s="64">
        <f>L5107/K5107</f>
        <v/>
      </c>
    </row>
    <row r="5108">
      <c r="A5108" s="58" t="inlineStr">
        <is>
          <t>RT20250510-05107</t>
        </is>
      </c>
      <c r="B5108" s="59" t="inlineStr">
        <is>
          <t>2025-05-10</t>
        </is>
      </c>
      <c r="C5108" s="60" t="inlineStr">
        <is>
          <t>Vertex Fitnes Pro-830</t>
        </is>
      </c>
      <c r="D5108" s="58" t="inlineStr">
        <is>
          <t>Sports</t>
        </is>
      </c>
      <c r="E5108" s="58" t="inlineStr">
        <is>
          <t>South</t>
        </is>
      </c>
      <c r="F5108" s="61" t="n">
        <v>1</v>
      </c>
      <c r="G5108" s="62" t="n">
        <v>651.23</v>
      </c>
      <c r="H5108" s="63" t="n">
        <v>0.141</v>
      </c>
      <c r="I5108" s="62" t="n">
        <v>474.72</v>
      </c>
      <c r="J5108" s="58" t="inlineStr">
        <is>
          <t>Online</t>
        </is>
      </c>
      <c r="K5108" s="62">
        <f>F5108*(G5108-H5108)</f>
        <v/>
      </c>
      <c r="L5108" s="62">
        <f>K5108-(F5108*I5108)</f>
        <v/>
      </c>
      <c r="M5108" s="64">
        <f>L5108/K5108</f>
        <v/>
      </c>
    </row>
    <row r="5109">
      <c r="A5109" s="58" t="inlineStr">
        <is>
          <t>RT20250510-05108</t>
        </is>
      </c>
      <c r="B5109" s="59" t="inlineStr">
        <is>
          <t>2025-05-10</t>
        </is>
      </c>
      <c r="C5109" s="60" t="inlineStr">
        <is>
          <t>Vertex Fitnes Pro-830</t>
        </is>
      </c>
      <c r="D5109" s="58" t="inlineStr">
        <is>
          <t>Sports</t>
        </is>
      </c>
      <c r="E5109" s="58" t="inlineStr">
        <is>
          <t>West</t>
        </is>
      </c>
      <c r="F5109" s="61" t="n">
        <v>1</v>
      </c>
      <c r="G5109" s="62" t="n">
        <v>715.92</v>
      </c>
      <c r="H5109" s="63" t="n">
        <v>0.068</v>
      </c>
      <c r="I5109" s="62" t="n">
        <v>468.71</v>
      </c>
      <c r="J5109" s="58" t="inlineStr">
        <is>
          <t>Online</t>
        </is>
      </c>
      <c r="K5109" s="62">
        <f>F5109*(G5109-H5109)</f>
        <v/>
      </c>
      <c r="L5109" s="62">
        <f>K5109-(F5109*I5109)</f>
        <v/>
      </c>
      <c r="M5109" s="64">
        <f>L5109/K5109</f>
        <v/>
      </c>
    </row>
    <row r="5110">
      <c r="A5110" s="58" t="inlineStr">
        <is>
          <t>RT20250510-05109</t>
        </is>
      </c>
      <c r="B5110" s="59" t="inlineStr">
        <is>
          <t>2025-05-10</t>
        </is>
      </c>
      <c r="C5110" s="60" t="inlineStr">
        <is>
          <t>Falcon Wearable X-334</t>
        </is>
      </c>
      <c r="D5110" s="58" t="inlineStr">
        <is>
          <t>Electronics</t>
        </is>
      </c>
      <c r="E5110" s="58" t="inlineStr">
        <is>
          <t>Central</t>
        </is>
      </c>
      <c r="F5110" s="61" t="n">
        <v>2</v>
      </c>
      <c r="G5110" s="62" t="n">
        <v>1792.62</v>
      </c>
      <c r="H5110" s="63" t="n">
        <v>0.065</v>
      </c>
      <c r="I5110" s="62" t="n">
        <v>1557.8</v>
      </c>
      <c r="J5110" s="58" t="inlineStr">
        <is>
          <t>Store</t>
        </is>
      </c>
      <c r="K5110" s="62">
        <f>F5110*(G5110-H5110)</f>
        <v/>
      </c>
      <c r="L5110" s="62">
        <f>K5110-(F5110*I5110)</f>
        <v/>
      </c>
      <c r="M5110" s="64">
        <f>L5110/K5110</f>
        <v/>
      </c>
    </row>
    <row r="5111">
      <c r="A5111" s="58" t="inlineStr">
        <is>
          <t>RT20250510-05110</t>
        </is>
      </c>
      <c r="B5111" s="59" t="inlineStr">
        <is>
          <t>2025-05-10</t>
        </is>
      </c>
      <c r="C5111" s="60" t="inlineStr">
        <is>
          <t>Solace Kitchen Pro-510</t>
        </is>
      </c>
      <c r="D5111" s="58" t="inlineStr">
        <is>
          <t>Home</t>
        </is>
      </c>
      <c r="E5111" s="58" t="inlineStr">
        <is>
          <t>North</t>
        </is>
      </c>
      <c r="F5111" s="61" t="n">
        <v>2</v>
      </c>
      <c r="G5111" s="62" t="n">
        <v>449.71</v>
      </c>
      <c r="H5111" s="63" t="n">
        <v>0.081</v>
      </c>
      <c r="I5111" s="62" t="n">
        <v>310.93</v>
      </c>
      <c r="J5111" s="58" t="inlineStr">
        <is>
          <t>Store</t>
        </is>
      </c>
      <c r="K5111" s="62">
        <f>F5111*(G5111-H5111)</f>
        <v/>
      </c>
      <c r="L5111" s="62">
        <f>K5111-(F5111*I5111)</f>
        <v/>
      </c>
      <c r="M5111" s="64">
        <f>L5111/K5111</f>
        <v/>
      </c>
    </row>
    <row r="5112">
      <c r="A5112" s="58" t="inlineStr">
        <is>
          <t>RT20250511-05111</t>
        </is>
      </c>
      <c r="B5112" s="59" t="inlineStr">
        <is>
          <t>2025-05-11</t>
        </is>
      </c>
      <c r="C5112" s="60" t="inlineStr">
        <is>
          <t>Orion Storage Plus-961</t>
        </is>
      </c>
      <c r="D5112" s="58" t="inlineStr">
        <is>
          <t>Office</t>
        </is>
      </c>
      <c r="E5112" s="58" t="inlineStr">
        <is>
          <t>East</t>
        </is>
      </c>
      <c r="F5112" s="61" t="n">
        <v>1</v>
      </c>
      <c r="G5112" s="62" t="n">
        <v>512.95</v>
      </c>
      <c r="H5112" s="63" t="n">
        <v>0.099</v>
      </c>
      <c r="I5112" s="62" t="n">
        <v>372.05</v>
      </c>
      <c r="J5112" s="58" t="inlineStr">
        <is>
          <t>Online</t>
        </is>
      </c>
      <c r="K5112" s="62">
        <f>F5112*(G5112-H5112)</f>
        <v/>
      </c>
      <c r="L5112" s="62">
        <f>K5112-(F5112*I5112)</f>
        <v/>
      </c>
      <c r="M5112" s="64">
        <f>L5112/K5112</f>
        <v/>
      </c>
    </row>
    <row r="5113">
      <c r="A5113" s="58" t="inlineStr">
        <is>
          <t>RT20250511-05112</t>
        </is>
      </c>
      <c r="B5113" s="59" t="inlineStr">
        <is>
          <t>2025-05-11</t>
        </is>
      </c>
      <c r="C5113" s="60" t="inlineStr">
        <is>
          <t>Polar Women Max-927</t>
        </is>
      </c>
      <c r="D5113" s="58" t="inlineStr">
        <is>
          <t>Apparel</t>
        </is>
      </c>
      <c r="E5113" s="58" t="inlineStr">
        <is>
          <t>East</t>
        </is>
      </c>
      <c r="F5113" s="61" t="n">
        <v>2</v>
      </c>
      <c r="G5113" s="62" t="n">
        <v>103.89</v>
      </c>
      <c r="H5113" s="63" t="n">
        <v>0.077</v>
      </c>
      <c r="I5113" s="62" t="n">
        <v>65.95999999999999</v>
      </c>
      <c r="J5113" s="58" t="inlineStr">
        <is>
          <t>Online</t>
        </is>
      </c>
      <c r="K5113" s="62">
        <f>F5113*(G5113-H5113)</f>
        <v/>
      </c>
      <c r="L5113" s="62">
        <f>K5113-(F5113*I5113)</f>
        <v/>
      </c>
      <c r="M5113" s="64">
        <f>L5113/K5113</f>
        <v/>
      </c>
    </row>
    <row r="5114">
      <c r="A5114" s="58" t="inlineStr">
        <is>
          <t>RT20250511-05113</t>
        </is>
      </c>
      <c r="B5114" s="59" t="inlineStr">
        <is>
          <t>2025-05-11</t>
        </is>
      </c>
      <c r="C5114" s="60" t="inlineStr">
        <is>
          <t>Aurora Team Sport Plus-256</t>
        </is>
      </c>
      <c r="D5114" s="58" t="inlineStr">
        <is>
          <t>Sports</t>
        </is>
      </c>
      <c r="E5114" s="58" t="inlineStr">
        <is>
          <t>East</t>
        </is>
      </c>
      <c r="F5114" s="61" t="n">
        <v>2</v>
      </c>
      <c r="G5114" s="62" t="n">
        <v>711.53</v>
      </c>
      <c r="H5114" s="63" t="n">
        <v>0.08400000000000001</v>
      </c>
      <c r="I5114" s="62" t="n">
        <v>407.54</v>
      </c>
      <c r="J5114" s="58" t="inlineStr">
        <is>
          <t>Online</t>
        </is>
      </c>
      <c r="K5114" s="62">
        <f>F5114*(G5114-H5114)</f>
        <v/>
      </c>
      <c r="L5114" s="62">
        <f>K5114-(F5114*I5114)</f>
        <v/>
      </c>
      <c r="M5114" s="64">
        <f>L5114/K5114</f>
        <v/>
      </c>
    </row>
    <row r="5115">
      <c r="A5115" s="58" t="inlineStr">
        <is>
          <t>RT20250511-05114</t>
        </is>
      </c>
      <c r="B5115" s="59" t="inlineStr">
        <is>
          <t>2025-05-11</t>
        </is>
      </c>
      <c r="C5115" s="60" t="inlineStr">
        <is>
          <t>Aurora Wearable Lite-704</t>
        </is>
      </c>
      <c r="D5115" s="58" t="inlineStr">
        <is>
          <t>Electronics</t>
        </is>
      </c>
      <c r="E5115" s="58" t="inlineStr">
        <is>
          <t>South</t>
        </is>
      </c>
      <c r="F5115" s="61" t="n">
        <v>1</v>
      </c>
      <c r="G5115" s="62" t="n">
        <v>1604.01</v>
      </c>
      <c r="H5115" s="63" t="n">
        <v>0.066</v>
      </c>
      <c r="I5115" s="62" t="n">
        <v>1454.51</v>
      </c>
      <c r="J5115" s="58" t="inlineStr">
        <is>
          <t>Online</t>
        </is>
      </c>
      <c r="K5115" s="62">
        <f>F5115*(G5115-H5115)</f>
        <v/>
      </c>
      <c r="L5115" s="62">
        <f>K5115-(F5115*I5115)</f>
        <v/>
      </c>
      <c r="M5115" s="64">
        <f>L5115/K5115</f>
        <v/>
      </c>
    </row>
    <row r="5116">
      <c r="A5116" s="58" t="inlineStr">
        <is>
          <t>RT20250511-05115</t>
        </is>
      </c>
      <c r="B5116" s="59" t="inlineStr">
        <is>
          <t>2025-05-11</t>
        </is>
      </c>
      <c r="C5116" s="60" t="inlineStr">
        <is>
          <t>Metro Decor Lite-325</t>
        </is>
      </c>
      <c r="D5116" s="58" t="inlineStr">
        <is>
          <t>Home</t>
        </is>
      </c>
      <c r="E5116" s="58" t="inlineStr">
        <is>
          <t>South</t>
        </is>
      </c>
      <c r="F5116" s="61" t="n">
        <v>2</v>
      </c>
      <c r="G5116" s="62" t="n">
        <v>542.17</v>
      </c>
      <c r="H5116" s="63" t="n">
        <v>0.079</v>
      </c>
      <c r="I5116" s="62" t="n">
        <v>376.97</v>
      </c>
      <c r="J5116" s="58" t="inlineStr">
        <is>
          <t>Online</t>
        </is>
      </c>
      <c r="K5116" s="62">
        <f>F5116*(G5116-H5116)</f>
        <v/>
      </c>
      <c r="L5116" s="62">
        <f>K5116-(F5116*I5116)</f>
        <v/>
      </c>
      <c r="M5116" s="64">
        <f>L5116/K5116</f>
        <v/>
      </c>
    </row>
    <row r="5117">
      <c r="A5117" s="58" t="inlineStr">
        <is>
          <t>RT20250511-05116</t>
        </is>
      </c>
      <c r="B5117" s="59" t="inlineStr">
        <is>
          <t>2025-05-11</t>
        </is>
      </c>
      <c r="C5117" s="60" t="inlineStr">
        <is>
          <t>Metro Beverage Max-490</t>
        </is>
      </c>
      <c r="D5117" s="58" t="inlineStr">
        <is>
          <t>Grocery</t>
        </is>
      </c>
      <c r="E5117" s="58" t="inlineStr">
        <is>
          <t>Central</t>
        </is>
      </c>
      <c r="F5117" s="61" t="n">
        <v>8</v>
      </c>
      <c r="G5117" s="62" t="n">
        <v>11.41</v>
      </c>
      <c r="H5117" s="63" t="n">
        <v>0.016</v>
      </c>
      <c r="I5117" s="62" t="n">
        <v>8.26</v>
      </c>
      <c r="J5117" s="58" t="inlineStr">
        <is>
          <t>Online</t>
        </is>
      </c>
      <c r="K5117" s="62">
        <f>F5117*(G5117-H5117)</f>
        <v/>
      </c>
      <c r="L5117" s="62">
        <f>K5117-(F5117*I5117)</f>
        <v/>
      </c>
      <c r="M5117" s="64">
        <f>L5117/K5117</f>
        <v/>
      </c>
    </row>
    <row r="5118">
      <c r="A5118" s="58" t="inlineStr">
        <is>
          <t>RT20250511-05117</t>
        </is>
      </c>
      <c r="B5118" s="59" t="inlineStr">
        <is>
          <t>2025-05-11</t>
        </is>
      </c>
      <c r="C5118" s="60" t="inlineStr">
        <is>
          <t>Polar Outdoor X-193</t>
        </is>
      </c>
      <c r="D5118" s="58" t="inlineStr">
        <is>
          <t>Sports</t>
        </is>
      </c>
      <c r="E5118" s="58" t="inlineStr">
        <is>
          <t>East</t>
        </is>
      </c>
      <c r="F5118" s="61" t="n">
        <v>1</v>
      </c>
      <c r="G5118" s="62" t="n">
        <v>684.2</v>
      </c>
      <c r="H5118" s="63" t="n">
        <v>0.031</v>
      </c>
      <c r="I5118" s="62" t="n">
        <v>452.9</v>
      </c>
      <c r="J5118" s="58" t="inlineStr">
        <is>
          <t>Store</t>
        </is>
      </c>
      <c r="K5118" s="62">
        <f>F5118*(G5118-H5118)</f>
        <v/>
      </c>
      <c r="L5118" s="62">
        <f>K5118-(F5118*I5118)</f>
        <v/>
      </c>
      <c r="M5118" s="64">
        <f>L5118/K5118</f>
        <v/>
      </c>
    </row>
    <row r="5119">
      <c r="A5119" s="58" t="inlineStr">
        <is>
          <t>RT20250511-05118</t>
        </is>
      </c>
      <c r="B5119" s="59" t="inlineStr">
        <is>
          <t>2025-05-11</t>
        </is>
      </c>
      <c r="C5119" s="60" t="inlineStr">
        <is>
          <t>Vertex Appliance S-159</t>
        </is>
      </c>
      <c r="D5119" s="58" t="inlineStr">
        <is>
          <t>Home</t>
        </is>
      </c>
      <c r="E5119" s="58" t="inlineStr">
        <is>
          <t>West</t>
        </is>
      </c>
      <c r="F5119" s="61" t="n">
        <v>1</v>
      </c>
      <c r="G5119" s="62" t="n">
        <v>447.64</v>
      </c>
      <c r="H5119" s="63" t="n">
        <v>0.074</v>
      </c>
      <c r="I5119" s="62" t="n">
        <v>287.23</v>
      </c>
      <c r="J5119" s="58" t="inlineStr">
        <is>
          <t>Online</t>
        </is>
      </c>
      <c r="K5119" s="62">
        <f>F5119*(G5119-H5119)</f>
        <v/>
      </c>
      <c r="L5119" s="62">
        <f>K5119-(F5119*I5119)</f>
        <v/>
      </c>
      <c r="M5119" s="64">
        <f>L5119/K5119</f>
        <v/>
      </c>
    </row>
    <row r="5120">
      <c r="A5120" s="58" t="inlineStr">
        <is>
          <t>RT20250511-05119</t>
        </is>
      </c>
      <c r="B5120" s="59" t="inlineStr">
        <is>
          <t>2025-05-11</t>
        </is>
      </c>
      <c r="C5120" s="60" t="inlineStr">
        <is>
          <t>Polar Outdoor X-193</t>
        </is>
      </c>
      <c r="D5120" s="58" t="inlineStr">
        <is>
          <t>Sports</t>
        </is>
      </c>
      <c r="E5120" s="58" t="inlineStr">
        <is>
          <t>East</t>
        </is>
      </c>
      <c r="F5120" s="61" t="n">
        <v>1</v>
      </c>
      <c r="G5120" s="62" t="n">
        <v>731.88</v>
      </c>
      <c r="H5120" s="63" t="n">
        <v>0.049</v>
      </c>
      <c r="I5120" s="62" t="n">
        <v>467.3</v>
      </c>
      <c r="J5120" s="58" t="inlineStr">
        <is>
          <t>Phone</t>
        </is>
      </c>
      <c r="K5120" s="62">
        <f>F5120*(G5120-H5120)</f>
        <v/>
      </c>
      <c r="L5120" s="62">
        <f>K5120-(F5120*I5120)</f>
        <v/>
      </c>
      <c r="M5120" s="64">
        <f>L5120/K5120</f>
        <v/>
      </c>
    </row>
    <row r="5121">
      <c r="A5121" s="58" t="inlineStr">
        <is>
          <t>RT20250511-05120</t>
        </is>
      </c>
      <c r="B5121" s="59" t="inlineStr">
        <is>
          <t>2025-05-11</t>
        </is>
      </c>
      <c r="C5121" s="60" t="inlineStr">
        <is>
          <t>Falcon Headphone Pro-713</t>
        </is>
      </c>
      <c r="D5121" s="58" t="inlineStr">
        <is>
          <t>Electronics</t>
        </is>
      </c>
      <c r="E5121" s="58" t="inlineStr">
        <is>
          <t>North</t>
        </is>
      </c>
      <c r="F5121" s="61" t="n">
        <v>2</v>
      </c>
      <c r="G5121" s="62" t="n">
        <v>1561.08</v>
      </c>
      <c r="H5121" s="63" t="n">
        <v>0.062</v>
      </c>
      <c r="I5121" s="62" t="n">
        <v>1163.68</v>
      </c>
      <c r="J5121" s="58" t="inlineStr">
        <is>
          <t>Store</t>
        </is>
      </c>
      <c r="K5121" s="62">
        <f>F5121*(G5121-H5121)</f>
        <v/>
      </c>
      <c r="L5121" s="62">
        <f>K5121-(F5121*I5121)</f>
        <v/>
      </c>
      <c r="M5121" s="64">
        <f>L5121/K5121</f>
        <v/>
      </c>
    </row>
    <row r="5122">
      <c r="A5122" s="58" t="inlineStr">
        <is>
          <t>RT20250511-05121</t>
        </is>
      </c>
      <c r="B5122" s="59" t="inlineStr">
        <is>
          <t>2025-05-11</t>
        </is>
      </c>
      <c r="C5122" s="60" t="inlineStr">
        <is>
          <t>Vertex Fitnes Pro-830</t>
        </is>
      </c>
      <c r="D5122" s="58" t="inlineStr">
        <is>
          <t>Sports</t>
        </is>
      </c>
      <c r="E5122" s="58" t="inlineStr">
        <is>
          <t>East</t>
        </is>
      </c>
      <c r="F5122" s="61" t="n">
        <v>1</v>
      </c>
      <c r="G5122" s="62" t="n">
        <v>693.03</v>
      </c>
      <c r="H5122" s="63" t="n">
        <v>0.065</v>
      </c>
      <c r="I5122" s="62" t="n">
        <v>477.31</v>
      </c>
      <c r="J5122" s="58" t="inlineStr">
        <is>
          <t>Online</t>
        </is>
      </c>
      <c r="K5122" s="62">
        <f>F5122*(G5122-H5122)</f>
        <v/>
      </c>
      <c r="L5122" s="62">
        <f>K5122-(F5122*I5122)</f>
        <v/>
      </c>
      <c r="M5122" s="64">
        <f>L5122/K5122</f>
        <v/>
      </c>
    </row>
    <row r="5123">
      <c r="A5123" s="58" t="inlineStr">
        <is>
          <t>RT20250511-05122</t>
        </is>
      </c>
      <c r="B5123" s="59" t="inlineStr">
        <is>
          <t>2025-05-11</t>
        </is>
      </c>
      <c r="C5123" s="60" t="inlineStr">
        <is>
          <t>Falcon Skincare X-334</t>
        </is>
      </c>
      <c r="D5123" s="58" t="inlineStr">
        <is>
          <t>Beauty</t>
        </is>
      </c>
      <c r="E5123" s="58" t="inlineStr">
        <is>
          <t>South</t>
        </is>
      </c>
      <c r="F5123" s="61" t="n">
        <v>5</v>
      </c>
      <c r="G5123" s="62" t="n">
        <v>109.16</v>
      </c>
      <c r="H5123" s="63" t="n">
        <v>0.076</v>
      </c>
      <c r="I5123" s="62" t="n">
        <v>63.9</v>
      </c>
      <c r="J5123" s="58" t="inlineStr">
        <is>
          <t>Store</t>
        </is>
      </c>
      <c r="K5123" s="62">
        <f>F5123*(G5123-H5123)</f>
        <v/>
      </c>
      <c r="L5123" s="62">
        <f>K5123-(F5123*I5123)</f>
        <v/>
      </c>
      <c r="M5123" s="64">
        <f>L5123/K5123</f>
        <v/>
      </c>
    </row>
    <row r="5124">
      <c r="A5124" s="58" t="inlineStr">
        <is>
          <t>RT20250511-05123</t>
        </is>
      </c>
      <c r="B5124" s="59" t="inlineStr">
        <is>
          <t>2025-05-11</t>
        </is>
      </c>
      <c r="C5124" s="60" t="inlineStr">
        <is>
          <t>Aurora Makeup S-626</t>
        </is>
      </c>
      <c r="D5124" s="58" t="inlineStr">
        <is>
          <t>Beauty</t>
        </is>
      </c>
      <c r="E5124" s="58" t="inlineStr">
        <is>
          <t>East</t>
        </is>
      </c>
      <c r="F5124" s="61" t="n">
        <v>1</v>
      </c>
      <c r="G5124" s="62" t="n">
        <v>99.66</v>
      </c>
      <c r="H5124" s="63" t="n">
        <v>0.037</v>
      </c>
      <c r="I5124" s="62" t="n">
        <v>64.51000000000001</v>
      </c>
      <c r="J5124" s="58" t="inlineStr">
        <is>
          <t>Online</t>
        </is>
      </c>
      <c r="K5124" s="62">
        <f>F5124*(G5124-H5124)</f>
        <v/>
      </c>
      <c r="L5124" s="62">
        <f>K5124-(F5124*I5124)</f>
        <v/>
      </c>
      <c r="M5124" s="64">
        <f>L5124/K5124</f>
        <v/>
      </c>
    </row>
    <row r="5125">
      <c r="A5125" s="58" t="inlineStr">
        <is>
          <t>RT20250511-05124</t>
        </is>
      </c>
      <c r="B5125" s="59" t="inlineStr">
        <is>
          <t>2025-05-11</t>
        </is>
      </c>
      <c r="C5125" s="60" t="inlineStr">
        <is>
          <t>Vertex Appliance Max-338</t>
        </is>
      </c>
      <c r="D5125" s="58" t="inlineStr">
        <is>
          <t>Home</t>
        </is>
      </c>
      <c r="E5125" s="58" t="inlineStr">
        <is>
          <t>Central</t>
        </is>
      </c>
      <c r="F5125" s="61" t="n">
        <v>3</v>
      </c>
      <c r="G5125" s="62" t="n">
        <v>446.38</v>
      </c>
      <c r="H5125" s="63" t="n">
        <v>0.078</v>
      </c>
      <c r="I5125" s="62" t="n">
        <v>287.39</v>
      </c>
      <c r="J5125" s="58" t="inlineStr">
        <is>
          <t>Store</t>
        </is>
      </c>
      <c r="K5125" s="62">
        <f>F5125*(G5125-H5125)</f>
        <v/>
      </c>
      <c r="L5125" s="62">
        <f>K5125-(F5125*I5125)</f>
        <v/>
      </c>
      <c r="M5125" s="64">
        <f>L5125/K5125</f>
        <v/>
      </c>
    </row>
    <row r="5126">
      <c r="A5126" s="58" t="inlineStr">
        <is>
          <t>RT20250511-05125</t>
        </is>
      </c>
      <c r="B5126" s="59" t="inlineStr">
        <is>
          <t>2025-05-11</t>
        </is>
      </c>
      <c r="C5126" s="60" t="inlineStr">
        <is>
          <t>Vertex Headphone Pro-801</t>
        </is>
      </c>
      <c r="D5126" s="58" t="inlineStr">
        <is>
          <t>Electronics</t>
        </is>
      </c>
      <c r="E5126" s="58" t="inlineStr">
        <is>
          <t>South</t>
        </is>
      </c>
      <c r="F5126" s="61" t="n">
        <v>1</v>
      </c>
      <c r="G5126" s="62" t="n">
        <v>1256.04</v>
      </c>
      <c r="H5126" s="63" t="n">
        <v>0.026</v>
      </c>
      <c r="I5126" s="62" t="n">
        <v>954.7</v>
      </c>
      <c r="J5126" s="58" t="inlineStr">
        <is>
          <t>Online</t>
        </is>
      </c>
      <c r="K5126" s="62">
        <f>F5126*(G5126-H5126)</f>
        <v/>
      </c>
      <c r="L5126" s="62">
        <f>K5126-(F5126*I5126)</f>
        <v/>
      </c>
      <c r="M5126" s="64">
        <f>L5126/K5126</f>
        <v/>
      </c>
    </row>
    <row r="5127">
      <c r="A5127" s="58" t="inlineStr">
        <is>
          <t>RT20250511-05126</t>
        </is>
      </c>
      <c r="B5127" s="59" t="inlineStr">
        <is>
          <t>2025-05-11</t>
        </is>
      </c>
      <c r="C5127" s="60" t="inlineStr">
        <is>
          <t>Falcon Household Plus-172</t>
        </is>
      </c>
      <c r="D5127" s="58" t="inlineStr">
        <is>
          <t>Grocery</t>
        </is>
      </c>
      <c r="E5127" s="58" t="inlineStr">
        <is>
          <t>Central</t>
        </is>
      </c>
      <c r="F5127" s="61" t="n">
        <v>2</v>
      </c>
      <c r="G5127" s="62" t="n">
        <v>21.15</v>
      </c>
      <c r="H5127" s="63" t="n">
        <v>0.057</v>
      </c>
      <c r="I5127" s="62" t="n">
        <v>15.92</v>
      </c>
      <c r="J5127" s="58" t="inlineStr">
        <is>
          <t>Online</t>
        </is>
      </c>
      <c r="K5127" s="62">
        <f>F5127*(G5127-H5127)</f>
        <v/>
      </c>
      <c r="L5127" s="62">
        <f>K5127-(F5127*I5127)</f>
        <v/>
      </c>
      <c r="M5127" s="64">
        <f>L5127/K5127</f>
        <v/>
      </c>
    </row>
    <row r="5128">
      <c r="A5128" s="58" t="inlineStr">
        <is>
          <t>RT20250511-05127</t>
        </is>
      </c>
      <c r="B5128" s="59" t="inlineStr">
        <is>
          <t>2025-05-11</t>
        </is>
      </c>
      <c r="C5128" s="60" t="inlineStr">
        <is>
          <t>Vertex Snack S-702</t>
        </is>
      </c>
      <c r="D5128" s="58" t="inlineStr">
        <is>
          <t>Grocery</t>
        </is>
      </c>
      <c r="E5128" s="58" t="inlineStr">
        <is>
          <t>East</t>
        </is>
      </c>
      <c r="F5128" s="61" t="n">
        <v>1</v>
      </c>
      <c r="G5128" s="62" t="n">
        <v>1.94</v>
      </c>
      <c r="H5128" s="63" t="n">
        <v>0.058</v>
      </c>
      <c r="I5128" s="62" t="n">
        <v>1.5</v>
      </c>
      <c r="J5128" s="58" t="inlineStr">
        <is>
          <t>Online</t>
        </is>
      </c>
      <c r="K5128" s="62">
        <f>F5128*(G5128-H5128)</f>
        <v/>
      </c>
      <c r="L5128" s="62">
        <f>K5128-(F5128*I5128)</f>
        <v/>
      </c>
      <c r="M5128" s="64">
        <f>L5128/K5128</f>
        <v/>
      </c>
    </row>
    <row r="5129">
      <c r="A5129" s="58" t="inlineStr">
        <is>
          <t>RT20250511-05128</t>
        </is>
      </c>
      <c r="B5129" s="59" t="inlineStr">
        <is>
          <t>2025-05-11</t>
        </is>
      </c>
      <c r="C5129" s="60" t="inlineStr">
        <is>
          <t>Aurora Outdoor Pro-467</t>
        </is>
      </c>
      <c r="D5129" s="58" t="inlineStr">
        <is>
          <t>Sports</t>
        </is>
      </c>
      <c r="E5129" s="58" t="inlineStr">
        <is>
          <t>North</t>
        </is>
      </c>
      <c r="F5129" s="61" t="n">
        <v>2</v>
      </c>
      <c r="G5129" s="62" t="n">
        <v>298.39</v>
      </c>
      <c r="H5129" s="63" t="n">
        <v>0.034</v>
      </c>
      <c r="I5129" s="62" t="n">
        <v>187.31</v>
      </c>
      <c r="J5129" s="58" t="inlineStr">
        <is>
          <t>Phone</t>
        </is>
      </c>
      <c r="K5129" s="62">
        <f>F5129*(G5129-H5129)</f>
        <v/>
      </c>
      <c r="L5129" s="62">
        <f>K5129-(F5129*I5129)</f>
        <v/>
      </c>
      <c r="M5129" s="64">
        <f>L5129/K5129</f>
        <v/>
      </c>
    </row>
    <row r="5130">
      <c r="A5130" s="58" t="inlineStr">
        <is>
          <t>RT20250511-05129</t>
        </is>
      </c>
      <c r="B5130" s="59" t="inlineStr">
        <is>
          <t>2025-05-11</t>
        </is>
      </c>
      <c r="C5130" s="60" t="inlineStr">
        <is>
          <t>Orion Fragrance Lite-785</t>
        </is>
      </c>
      <c r="D5130" s="58" t="inlineStr">
        <is>
          <t>Beauty</t>
        </is>
      </c>
      <c r="E5130" s="58" t="inlineStr">
        <is>
          <t>South</t>
        </is>
      </c>
      <c r="F5130" s="61" t="n">
        <v>3</v>
      </c>
      <c r="G5130" s="62" t="n">
        <v>45.21</v>
      </c>
      <c r="H5130" s="63" t="n">
        <v>0.046</v>
      </c>
      <c r="I5130" s="62" t="n">
        <v>27.62</v>
      </c>
      <c r="J5130" s="58" t="inlineStr">
        <is>
          <t>Online</t>
        </is>
      </c>
      <c r="K5130" s="62">
        <f>F5130*(G5130-H5130)</f>
        <v/>
      </c>
      <c r="L5130" s="62">
        <f>K5130-(F5130*I5130)</f>
        <v/>
      </c>
      <c r="M5130" s="64">
        <f>L5130/K5130</f>
        <v/>
      </c>
    </row>
    <row r="5131">
      <c r="A5131" s="58" t="inlineStr">
        <is>
          <t>RT20250511-05130</t>
        </is>
      </c>
      <c r="B5131" s="59" t="inlineStr">
        <is>
          <t>2025-05-11</t>
        </is>
      </c>
      <c r="C5131" s="60" t="inlineStr">
        <is>
          <t>Aurora Wearable Lite-162</t>
        </is>
      </c>
      <c r="D5131" s="58" t="inlineStr">
        <is>
          <t>Electronics</t>
        </is>
      </c>
      <c r="E5131" s="58" t="inlineStr">
        <is>
          <t>North</t>
        </is>
      </c>
      <c r="F5131" s="61" t="n">
        <v>1</v>
      </c>
      <c r="G5131" s="62" t="n">
        <v>1504.52</v>
      </c>
      <c r="H5131" s="63" t="n">
        <v>0.056</v>
      </c>
      <c r="I5131" s="62" t="n">
        <v>1153.78</v>
      </c>
      <c r="J5131" s="58" t="inlineStr">
        <is>
          <t>Online</t>
        </is>
      </c>
      <c r="K5131" s="62">
        <f>F5131*(G5131-H5131)</f>
        <v/>
      </c>
      <c r="L5131" s="62">
        <f>K5131-(F5131*I5131)</f>
        <v/>
      </c>
      <c r="M5131" s="64">
        <f>L5131/K5131</f>
        <v/>
      </c>
    </row>
    <row r="5132">
      <c r="A5132" s="58" t="inlineStr">
        <is>
          <t>RT20250511-05131</t>
        </is>
      </c>
      <c r="B5132" s="59" t="inlineStr">
        <is>
          <t>2025-05-11</t>
        </is>
      </c>
      <c r="C5132" s="60" t="inlineStr">
        <is>
          <t>Metro Accessorie Lite-697</t>
        </is>
      </c>
      <c r="D5132" s="58" t="inlineStr">
        <is>
          <t>Apparel</t>
        </is>
      </c>
      <c r="E5132" s="58" t="inlineStr">
        <is>
          <t>West</t>
        </is>
      </c>
      <c r="F5132" s="61" t="n">
        <v>2</v>
      </c>
      <c r="G5132" s="62" t="n">
        <v>129.97</v>
      </c>
      <c r="H5132" s="63" t="n">
        <v>0.044</v>
      </c>
      <c r="I5132" s="62" t="n">
        <v>76.45999999999999</v>
      </c>
      <c r="J5132" s="58" t="inlineStr">
        <is>
          <t>Online</t>
        </is>
      </c>
      <c r="K5132" s="62">
        <f>F5132*(G5132-H5132)</f>
        <v/>
      </c>
      <c r="L5132" s="62">
        <f>K5132-(F5132*I5132)</f>
        <v/>
      </c>
      <c r="M5132" s="64">
        <f>L5132/K5132</f>
        <v/>
      </c>
    </row>
    <row r="5133">
      <c r="A5133" s="58" t="inlineStr">
        <is>
          <t>RT20250511-05132</t>
        </is>
      </c>
      <c r="B5133" s="59" t="inlineStr">
        <is>
          <t>2025-05-11</t>
        </is>
      </c>
      <c r="C5133" s="60" t="inlineStr">
        <is>
          <t>Nimbus Decor Lite-385</t>
        </is>
      </c>
      <c r="D5133" s="58" t="inlineStr">
        <is>
          <t>Home</t>
        </is>
      </c>
      <c r="E5133" s="58" t="inlineStr">
        <is>
          <t>West</t>
        </is>
      </c>
      <c r="F5133" s="61" t="n">
        <v>1</v>
      </c>
      <c r="G5133" s="62" t="n">
        <v>605.46</v>
      </c>
      <c r="H5133" s="63" t="n">
        <v>0.037</v>
      </c>
      <c r="I5133" s="62" t="n">
        <v>387.8</v>
      </c>
      <c r="J5133" s="58" t="inlineStr">
        <is>
          <t>Phone</t>
        </is>
      </c>
      <c r="K5133" s="62">
        <f>F5133*(G5133-H5133)</f>
        <v/>
      </c>
      <c r="L5133" s="62">
        <f>K5133-(F5133*I5133)</f>
        <v/>
      </c>
      <c r="M5133" s="64">
        <f>L5133/K5133</f>
        <v/>
      </c>
    </row>
    <row r="5134">
      <c r="A5134" s="58" t="inlineStr">
        <is>
          <t>RT20250511-05133</t>
        </is>
      </c>
      <c r="B5134" s="59" t="inlineStr">
        <is>
          <t>2025-05-11</t>
        </is>
      </c>
      <c r="C5134" s="60" t="inlineStr">
        <is>
          <t>Vertex Decor Pro-618</t>
        </is>
      </c>
      <c r="D5134" s="58" t="inlineStr">
        <is>
          <t>Home</t>
        </is>
      </c>
      <c r="E5134" s="58" t="inlineStr">
        <is>
          <t>East</t>
        </is>
      </c>
      <c r="F5134" s="61" t="n">
        <v>3</v>
      </c>
      <c r="G5134" s="62" t="n">
        <v>561.87</v>
      </c>
      <c r="H5134" s="63" t="n">
        <v>0.08</v>
      </c>
      <c r="I5134" s="62" t="n">
        <v>385.87</v>
      </c>
      <c r="J5134" s="58" t="inlineStr">
        <is>
          <t>Store</t>
        </is>
      </c>
      <c r="K5134" s="62">
        <f>F5134*(G5134-H5134)</f>
        <v/>
      </c>
      <c r="L5134" s="62">
        <f>K5134-(F5134*I5134)</f>
        <v/>
      </c>
      <c r="M5134" s="64">
        <f>L5134/K5134</f>
        <v/>
      </c>
    </row>
    <row r="5135">
      <c r="A5135" s="58" t="inlineStr">
        <is>
          <t>RT20250511-05134</t>
        </is>
      </c>
      <c r="B5135" s="59" t="inlineStr">
        <is>
          <t>2025-05-11</t>
        </is>
      </c>
      <c r="C5135" s="60" t="inlineStr">
        <is>
          <t>Solace Kitchen Pro-510</t>
        </is>
      </c>
      <c r="D5135" s="58" t="inlineStr">
        <is>
          <t>Home</t>
        </is>
      </c>
      <c r="E5135" s="58" t="inlineStr">
        <is>
          <t>East</t>
        </is>
      </c>
      <c r="F5135" s="61" t="n">
        <v>3</v>
      </c>
      <c r="G5135" s="62" t="n">
        <v>453.89</v>
      </c>
      <c r="H5135" s="63" t="n">
        <v>0.054</v>
      </c>
      <c r="I5135" s="62" t="n">
        <v>305.86</v>
      </c>
      <c r="J5135" s="58" t="inlineStr">
        <is>
          <t>Online</t>
        </is>
      </c>
      <c r="K5135" s="62">
        <f>F5135*(G5135-H5135)</f>
        <v/>
      </c>
      <c r="L5135" s="62">
        <f>K5135-(F5135*I5135)</f>
        <v/>
      </c>
      <c r="M5135" s="64">
        <f>L5135/K5135</f>
        <v/>
      </c>
    </row>
    <row r="5136">
      <c r="A5136" s="58" t="inlineStr">
        <is>
          <t>RT20250511-05135</t>
        </is>
      </c>
      <c r="B5136" s="59" t="inlineStr">
        <is>
          <t>2025-05-11</t>
        </is>
      </c>
      <c r="C5136" s="60" t="inlineStr">
        <is>
          <t>Aurora Smartphone Plus-125</t>
        </is>
      </c>
      <c r="D5136" s="58" t="inlineStr">
        <is>
          <t>Electronics</t>
        </is>
      </c>
      <c r="E5136" s="58" t="inlineStr">
        <is>
          <t>West</t>
        </is>
      </c>
      <c r="F5136" s="61" t="n">
        <v>2</v>
      </c>
      <c r="G5136" s="62" t="n">
        <v>1343.12</v>
      </c>
      <c r="H5136" s="63" t="n">
        <v>0.096</v>
      </c>
      <c r="I5136" s="62" t="n">
        <v>1178.82</v>
      </c>
      <c r="J5136" s="58" t="inlineStr">
        <is>
          <t>Online</t>
        </is>
      </c>
      <c r="K5136" s="62">
        <f>F5136*(G5136-H5136)</f>
        <v/>
      </c>
      <c r="L5136" s="62">
        <f>K5136-(F5136*I5136)</f>
        <v/>
      </c>
      <c r="M5136" s="64">
        <f>L5136/K5136</f>
        <v/>
      </c>
    </row>
    <row r="5137">
      <c r="A5137" s="58" t="inlineStr">
        <is>
          <t>RT20250511-05136</t>
        </is>
      </c>
      <c r="B5137" s="59" t="inlineStr">
        <is>
          <t>2025-05-11</t>
        </is>
      </c>
      <c r="C5137" s="60" t="inlineStr">
        <is>
          <t>Metro Accessorie Lite-697</t>
        </is>
      </c>
      <c r="D5137" s="58" t="inlineStr">
        <is>
          <t>Apparel</t>
        </is>
      </c>
      <c r="E5137" s="58" t="inlineStr">
        <is>
          <t>Central</t>
        </is>
      </c>
      <c r="F5137" s="61" t="n">
        <v>2</v>
      </c>
      <c r="G5137" s="62" t="n">
        <v>133.53</v>
      </c>
      <c r="H5137" s="63" t="n">
        <v>0.098</v>
      </c>
      <c r="I5137" s="62" t="n">
        <v>74.92</v>
      </c>
      <c r="J5137" s="58" t="inlineStr">
        <is>
          <t>Store</t>
        </is>
      </c>
      <c r="K5137" s="62">
        <f>F5137*(G5137-H5137)</f>
        <v/>
      </c>
      <c r="L5137" s="62">
        <f>K5137-(F5137*I5137)</f>
        <v/>
      </c>
      <c r="M5137" s="64">
        <f>L5137/K5137</f>
        <v/>
      </c>
    </row>
    <row r="5138">
      <c r="A5138" s="58" t="inlineStr">
        <is>
          <t>RT20250511-05137</t>
        </is>
      </c>
      <c r="B5138" s="59" t="inlineStr">
        <is>
          <t>2025-05-11</t>
        </is>
      </c>
      <c r="C5138" s="60" t="inlineStr">
        <is>
          <t>Falcon Skincare Max-151</t>
        </is>
      </c>
      <c r="D5138" s="58" t="inlineStr">
        <is>
          <t>Beauty</t>
        </is>
      </c>
      <c r="E5138" s="58" t="inlineStr">
        <is>
          <t>East</t>
        </is>
      </c>
      <c r="F5138" s="61" t="n">
        <v>3</v>
      </c>
      <c r="G5138" s="62" t="n">
        <v>97.95</v>
      </c>
      <c r="H5138" s="63" t="n">
        <v>0.07099999999999999</v>
      </c>
      <c r="I5138" s="62" t="n">
        <v>57.75</v>
      </c>
      <c r="J5138" s="58" t="inlineStr">
        <is>
          <t>Store</t>
        </is>
      </c>
      <c r="K5138" s="62">
        <f>F5138*(G5138-H5138)</f>
        <v/>
      </c>
      <c r="L5138" s="62">
        <f>K5138-(F5138*I5138)</f>
        <v/>
      </c>
      <c r="M5138" s="64">
        <f>L5138/K5138</f>
        <v/>
      </c>
    </row>
    <row r="5139">
      <c r="A5139" s="58" t="inlineStr">
        <is>
          <t>RT20250511-05138</t>
        </is>
      </c>
      <c r="B5139" s="59" t="inlineStr">
        <is>
          <t>2025-05-11</t>
        </is>
      </c>
      <c r="C5139" s="60" t="inlineStr">
        <is>
          <t>Falcon Household Plus-796</t>
        </is>
      </c>
      <c r="D5139" s="58" t="inlineStr">
        <is>
          <t>Grocery</t>
        </is>
      </c>
      <c r="E5139" s="58" t="inlineStr">
        <is>
          <t>South</t>
        </is>
      </c>
      <c r="F5139" s="61" t="n">
        <v>4</v>
      </c>
      <c r="G5139" s="62" t="n">
        <v>25.83</v>
      </c>
      <c r="H5139" s="63" t="n">
        <v>0.08599999999999999</v>
      </c>
      <c r="I5139" s="62" t="n">
        <v>17.58</v>
      </c>
      <c r="J5139" s="58" t="inlineStr">
        <is>
          <t>Online</t>
        </is>
      </c>
      <c r="K5139" s="62">
        <f>F5139*(G5139-H5139)</f>
        <v/>
      </c>
      <c r="L5139" s="62">
        <f>K5139-(F5139*I5139)</f>
        <v/>
      </c>
      <c r="M5139" s="64">
        <f>L5139/K5139</f>
        <v/>
      </c>
    </row>
    <row r="5140">
      <c r="A5140" s="58" t="inlineStr">
        <is>
          <t>RT20250511-05139</t>
        </is>
      </c>
      <c r="B5140" s="59" t="inlineStr">
        <is>
          <t>2025-05-11</t>
        </is>
      </c>
      <c r="C5140" s="60" t="inlineStr">
        <is>
          <t>Metro Laptop Plus-376</t>
        </is>
      </c>
      <c r="D5140" s="58" t="inlineStr">
        <is>
          <t>Electronics</t>
        </is>
      </c>
      <c r="E5140" s="58" t="inlineStr">
        <is>
          <t>East</t>
        </is>
      </c>
      <c r="F5140" s="61" t="n">
        <v>2</v>
      </c>
      <c r="G5140" s="62" t="n">
        <v>1446.26</v>
      </c>
      <c r="H5140" s="63" t="n">
        <v>0.106</v>
      </c>
      <c r="I5140" s="62" t="n">
        <v>1039.94</v>
      </c>
      <c r="J5140" s="58" t="inlineStr">
        <is>
          <t>Online</t>
        </is>
      </c>
      <c r="K5140" s="62">
        <f>F5140*(G5140-H5140)</f>
        <v/>
      </c>
      <c r="L5140" s="62">
        <f>K5140-(F5140*I5140)</f>
        <v/>
      </c>
      <c r="M5140" s="64">
        <f>L5140/K5140</f>
        <v/>
      </c>
    </row>
    <row r="5141">
      <c r="A5141" s="58" t="inlineStr">
        <is>
          <t>RT20250511-05140</t>
        </is>
      </c>
      <c r="B5141" s="59" t="inlineStr">
        <is>
          <t>2025-05-11</t>
        </is>
      </c>
      <c r="C5141" s="60" t="inlineStr">
        <is>
          <t>Metro Wearable Plus-234</t>
        </is>
      </c>
      <c r="D5141" s="58" t="inlineStr">
        <is>
          <t>Electronics</t>
        </is>
      </c>
      <c r="E5141" s="58" t="inlineStr">
        <is>
          <t>West</t>
        </is>
      </c>
      <c r="F5141" s="61" t="n">
        <v>1</v>
      </c>
      <c r="G5141" s="62" t="n">
        <v>1448.78</v>
      </c>
      <c r="H5141" s="63" t="n">
        <v>0.075</v>
      </c>
      <c r="I5141" s="62" t="n">
        <v>1180.9</v>
      </c>
      <c r="J5141" s="58" t="inlineStr">
        <is>
          <t>Store</t>
        </is>
      </c>
      <c r="K5141" s="62">
        <f>F5141*(G5141-H5141)</f>
        <v/>
      </c>
      <c r="L5141" s="62">
        <f>K5141-(F5141*I5141)</f>
        <v/>
      </c>
      <c r="M5141" s="64">
        <f>L5141/K5141</f>
        <v/>
      </c>
    </row>
    <row r="5142">
      <c r="A5142" s="58" t="inlineStr">
        <is>
          <t>RT20250511-05141</t>
        </is>
      </c>
      <c r="B5142" s="59" t="inlineStr">
        <is>
          <t>2025-05-11</t>
        </is>
      </c>
      <c r="C5142" s="60" t="inlineStr">
        <is>
          <t>Falcon Beverage Max-702</t>
        </is>
      </c>
      <c r="D5142" s="58" t="inlineStr">
        <is>
          <t>Grocery</t>
        </is>
      </c>
      <c r="E5142" s="58" t="inlineStr">
        <is>
          <t>West</t>
        </is>
      </c>
      <c r="F5142" s="61" t="n">
        <v>3</v>
      </c>
      <c r="G5142" s="62" t="n">
        <v>24.5</v>
      </c>
      <c r="H5142" s="63" t="n">
        <v>0.09</v>
      </c>
      <c r="I5142" s="62" t="n">
        <v>20.15</v>
      </c>
      <c r="J5142" s="58" t="inlineStr">
        <is>
          <t>Store</t>
        </is>
      </c>
      <c r="K5142" s="62">
        <f>F5142*(G5142-H5142)</f>
        <v/>
      </c>
      <c r="L5142" s="62">
        <f>K5142-(F5142*I5142)</f>
        <v/>
      </c>
      <c r="M5142" s="64">
        <f>L5142/K5142</f>
        <v/>
      </c>
    </row>
    <row r="5143">
      <c r="A5143" s="58" t="inlineStr">
        <is>
          <t>RT20250511-05142</t>
        </is>
      </c>
      <c r="B5143" s="59" t="inlineStr">
        <is>
          <t>2025-05-11</t>
        </is>
      </c>
      <c r="C5143" s="60" t="inlineStr">
        <is>
          <t>Orion Supplie S-612</t>
        </is>
      </c>
      <c r="D5143" s="58" t="inlineStr">
        <is>
          <t>Office</t>
        </is>
      </c>
      <c r="E5143" s="58" t="inlineStr">
        <is>
          <t>West</t>
        </is>
      </c>
      <c r="F5143" s="61" t="n">
        <v>2</v>
      </c>
      <c r="G5143" s="62" t="n">
        <v>473.18</v>
      </c>
      <c r="H5143" s="63" t="n">
        <v>0.124</v>
      </c>
      <c r="I5143" s="62" t="n">
        <v>331.64</v>
      </c>
      <c r="J5143" s="58" t="inlineStr">
        <is>
          <t>Store</t>
        </is>
      </c>
      <c r="K5143" s="62">
        <f>F5143*(G5143-H5143)</f>
        <v/>
      </c>
      <c r="L5143" s="62">
        <f>K5143-(F5143*I5143)</f>
        <v/>
      </c>
      <c r="M5143" s="64">
        <f>L5143/K5143</f>
        <v/>
      </c>
    </row>
    <row r="5144">
      <c r="A5144" s="58" t="inlineStr">
        <is>
          <t>RT20250511-05143</t>
        </is>
      </c>
      <c r="B5144" s="59" t="inlineStr">
        <is>
          <t>2025-05-11</t>
        </is>
      </c>
      <c r="C5144" s="60" t="inlineStr">
        <is>
          <t>Orion Team Sport X-926</t>
        </is>
      </c>
      <c r="D5144" s="58" t="inlineStr">
        <is>
          <t>Sports</t>
        </is>
      </c>
      <c r="E5144" s="58" t="inlineStr">
        <is>
          <t>South</t>
        </is>
      </c>
      <c r="F5144" s="61" t="n">
        <v>3</v>
      </c>
      <c r="G5144" s="62" t="n">
        <v>377.04</v>
      </c>
      <c r="H5144" s="63" t="n">
        <v>0.061</v>
      </c>
      <c r="I5144" s="62" t="n">
        <v>213.28</v>
      </c>
      <c r="J5144" s="58" t="inlineStr">
        <is>
          <t>Store</t>
        </is>
      </c>
      <c r="K5144" s="62">
        <f>F5144*(G5144-H5144)</f>
        <v/>
      </c>
      <c r="L5144" s="62">
        <f>K5144-(F5144*I5144)</f>
        <v/>
      </c>
      <c r="M5144" s="64">
        <f>L5144/K5144</f>
        <v/>
      </c>
    </row>
    <row r="5145">
      <c r="A5145" s="58" t="inlineStr">
        <is>
          <t>RT20250511-05144</t>
        </is>
      </c>
      <c r="B5145" s="59" t="inlineStr">
        <is>
          <t>2025-05-11</t>
        </is>
      </c>
      <c r="C5145" s="60" t="inlineStr">
        <is>
          <t>Polar Laptop Plus-984</t>
        </is>
      </c>
      <c r="D5145" s="58" t="inlineStr">
        <is>
          <t>Electronics</t>
        </is>
      </c>
      <c r="E5145" s="58" t="inlineStr">
        <is>
          <t>Central</t>
        </is>
      </c>
      <c r="F5145" s="61" t="n">
        <v>2</v>
      </c>
      <c r="G5145" s="62" t="n">
        <v>1433.55</v>
      </c>
      <c r="H5145" s="63" t="n">
        <v>0.062</v>
      </c>
      <c r="I5145" s="62" t="n">
        <v>1013.52</v>
      </c>
      <c r="J5145" s="58" t="inlineStr">
        <is>
          <t>Online</t>
        </is>
      </c>
      <c r="K5145" s="62">
        <f>F5145*(G5145-H5145)</f>
        <v/>
      </c>
      <c r="L5145" s="62">
        <f>K5145-(F5145*I5145)</f>
        <v/>
      </c>
      <c r="M5145" s="64">
        <f>L5145/K5145</f>
        <v/>
      </c>
    </row>
    <row r="5146">
      <c r="A5146" s="58" t="inlineStr">
        <is>
          <t>RT20250511-05145</t>
        </is>
      </c>
      <c r="B5146" s="59" t="inlineStr">
        <is>
          <t>2025-05-11</t>
        </is>
      </c>
      <c r="C5146" s="60" t="inlineStr">
        <is>
          <t>Falcon Accessorie S-195</t>
        </is>
      </c>
      <c r="D5146" s="58" t="inlineStr">
        <is>
          <t>Apparel</t>
        </is>
      </c>
      <c r="E5146" s="58" t="inlineStr">
        <is>
          <t>Central</t>
        </is>
      </c>
      <c r="F5146" s="61" t="n">
        <v>1</v>
      </c>
      <c r="G5146" s="62" t="n">
        <v>78.03</v>
      </c>
      <c r="H5146" s="63" t="n">
        <v>0.066</v>
      </c>
      <c r="I5146" s="62" t="n">
        <v>41.79</v>
      </c>
      <c r="J5146" s="58" t="inlineStr">
        <is>
          <t>Online</t>
        </is>
      </c>
      <c r="K5146" s="62">
        <f>F5146*(G5146-H5146)</f>
        <v/>
      </c>
      <c r="L5146" s="62">
        <f>K5146-(F5146*I5146)</f>
        <v/>
      </c>
      <c r="M5146" s="64">
        <f>L5146/K5146</f>
        <v/>
      </c>
    </row>
    <row r="5147">
      <c r="A5147" s="58" t="inlineStr">
        <is>
          <t>RT20250511-05146</t>
        </is>
      </c>
      <c r="B5147" s="59" t="inlineStr">
        <is>
          <t>2025-05-11</t>
        </is>
      </c>
      <c r="C5147" s="60" t="inlineStr">
        <is>
          <t>Solace Kitchen X-919</t>
        </is>
      </c>
      <c r="D5147" s="58" t="inlineStr">
        <is>
          <t>Home</t>
        </is>
      </c>
      <c r="E5147" s="58" t="inlineStr">
        <is>
          <t>East</t>
        </is>
      </c>
      <c r="F5147" s="61" t="n">
        <v>3</v>
      </c>
      <c r="G5147" s="62" t="n">
        <v>359.76</v>
      </c>
      <c r="H5147" s="63" t="n">
        <v>0.066</v>
      </c>
      <c r="I5147" s="62" t="n">
        <v>264.29</v>
      </c>
      <c r="J5147" s="58" t="inlineStr">
        <is>
          <t>Online</t>
        </is>
      </c>
      <c r="K5147" s="62">
        <f>F5147*(G5147-H5147)</f>
        <v/>
      </c>
      <c r="L5147" s="62">
        <f>K5147-(F5147*I5147)</f>
        <v/>
      </c>
      <c r="M5147" s="64">
        <f>L5147/K5147</f>
        <v/>
      </c>
    </row>
    <row r="5148">
      <c r="A5148" s="58" t="inlineStr">
        <is>
          <t>RT20250511-05147</t>
        </is>
      </c>
      <c r="B5148" s="59" t="inlineStr">
        <is>
          <t>2025-05-11</t>
        </is>
      </c>
      <c r="C5148" s="60" t="inlineStr">
        <is>
          <t>Falcon Headphone Plus-789</t>
        </is>
      </c>
      <c r="D5148" s="58" t="inlineStr">
        <is>
          <t>Electronics</t>
        </is>
      </c>
      <c r="E5148" s="58" t="inlineStr">
        <is>
          <t>Central</t>
        </is>
      </c>
      <c r="F5148" s="61" t="n">
        <v>1</v>
      </c>
      <c r="G5148" s="62" t="n">
        <v>1599.24</v>
      </c>
      <c r="H5148" s="63" t="n">
        <v>0.058</v>
      </c>
      <c r="I5148" s="62" t="n">
        <v>1308.8</v>
      </c>
      <c r="J5148" s="58" t="inlineStr">
        <is>
          <t>Online</t>
        </is>
      </c>
      <c r="K5148" s="62">
        <f>F5148*(G5148-H5148)</f>
        <v/>
      </c>
      <c r="L5148" s="62">
        <f>K5148-(F5148*I5148)</f>
        <v/>
      </c>
      <c r="M5148" s="64">
        <f>L5148/K5148</f>
        <v/>
      </c>
    </row>
    <row r="5149">
      <c r="A5149" s="58" t="inlineStr">
        <is>
          <t>RT20250511-05148</t>
        </is>
      </c>
      <c r="B5149" s="59" t="inlineStr">
        <is>
          <t>2025-05-11</t>
        </is>
      </c>
      <c r="C5149" s="60" t="inlineStr">
        <is>
          <t>Polar Haircare Max-614</t>
        </is>
      </c>
      <c r="D5149" s="58" t="inlineStr">
        <is>
          <t>Beauty</t>
        </is>
      </c>
      <c r="E5149" s="58" t="inlineStr">
        <is>
          <t>Central</t>
        </is>
      </c>
      <c r="F5149" s="61" t="n">
        <v>4</v>
      </c>
      <c r="G5149" s="62" t="n">
        <v>129.46</v>
      </c>
      <c r="H5149" s="63" t="n">
        <v>0.103</v>
      </c>
      <c r="I5149" s="62" t="n">
        <v>70.28</v>
      </c>
      <c r="J5149" s="58" t="inlineStr">
        <is>
          <t>Store</t>
        </is>
      </c>
      <c r="K5149" s="62">
        <f>F5149*(G5149-H5149)</f>
        <v/>
      </c>
      <c r="L5149" s="62">
        <f>K5149-(F5149*I5149)</f>
        <v/>
      </c>
      <c r="M5149" s="64">
        <f>L5149/K5149</f>
        <v/>
      </c>
    </row>
    <row r="5150">
      <c r="A5150" s="58" t="inlineStr">
        <is>
          <t>RT20250511-05149</t>
        </is>
      </c>
      <c r="B5150" s="59" t="inlineStr">
        <is>
          <t>2025-05-11</t>
        </is>
      </c>
      <c r="C5150" s="60" t="inlineStr">
        <is>
          <t>Orion Storage Plus-961</t>
        </is>
      </c>
      <c r="D5150" s="58" t="inlineStr">
        <is>
          <t>Office</t>
        </is>
      </c>
      <c r="E5150" s="58" t="inlineStr">
        <is>
          <t>West</t>
        </is>
      </c>
      <c r="F5150" s="61" t="n">
        <v>1</v>
      </c>
      <c r="G5150" s="62" t="n">
        <v>478.21</v>
      </c>
      <c r="H5150" s="63" t="n">
        <v>0.057</v>
      </c>
      <c r="I5150" s="62" t="n">
        <v>354.81</v>
      </c>
      <c r="J5150" s="58" t="inlineStr">
        <is>
          <t>Store</t>
        </is>
      </c>
      <c r="K5150" s="62">
        <f>F5150*(G5150-H5150)</f>
        <v/>
      </c>
      <c r="L5150" s="62">
        <f>K5150-(F5150*I5150)</f>
        <v/>
      </c>
      <c r="M5150" s="64">
        <f>L5150/K5150</f>
        <v/>
      </c>
    </row>
    <row r="5151">
      <c r="A5151" s="58" t="inlineStr">
        <is>
          <t>RT20250511-05150</t>
        </is>
      </c>
      <c r="B5151" s="59" t="inlineStr">
        <is>
          <t>2025-05-11</t>
        </is>
      </c>
      <c r="C5151" s="60" t="inlineStr">
        <is>
          <t>Aurora Printer Plus-991</t>
        </is>
      </c>
      <c r="D5151" s="58" t="inlineStr">
        <is>
          <t>Office</t>
        </is>
      </c>
      <c r="E5151" s="58" t="inlineStr">
        <is>
          <t>South</t>
        </is>
      </c>
      <c r="F5151" s="61" t="n">
        <v>3</v>
      </c>
      <c r="G5151" s="62" t="n">
        <v>480.17</v>
      </c>
      <c r="H5151" s="63" t="n">
        <v>0.074</v>
      </c>
      <c r="I5151" s="62" t="n">
        <v>378.16</v>
      </c>
      <c r="J5151" s="58" t="inlineStr">
        <is>
          <t>Store</t>
        </is>
      </c>
      <c r="K5151" s="62">
        <f>F5151*(G5151-H5151)</f>
        <v/>
      </c>
      <c r="L5151" s="62">
        <f>K5151-(F5151*I5151)</f>
        <v/>
      </c>
      <c r="M5151" s="64">
        <f>L5151/K5151</f>
        <v/>
      </c>
    </row>
    <row r="5152">
      <c r="A5152" s="58" t="inlineStr">
        <is>
          <t>RT20250511-05151</t>
        </is>
      </c>
      <c r="B5152" s="59" t="inlineStr">
        <is>
          <t>2025-05-11</t>
        </is>
      </c>
      <c r="C5152" s="60" t="inlineStr">
        <is>
          <t>Polar Women Max-927</t>
        </is>
      </c>
      <c r="D5152" s="58" t="inlineStr">
        <is>
          <t>Apparel</t>
        </is>
      </c>
      <c r="E5152" s="58" t="inlineStr">
        <is>
          <t>South</t>
        </is>
      </c>
      <c r="F5152" s="61" t="n">
        <v>2</v>
      </c>
      <c r="G5152" s="62" t="n">
        <v>120.67</v>
      </c>
      <c r="H5152" s="63" t="n">
        <v>0.091</v>
      </c>
      <c r="I5152" s="62" t="n">
        <v>64.69</v>
      </c>
      <c r="J5152" s="58" t="inlineStr">
        <is>
          <t>Store</t>
        </is>
      </c>
      <c r="K5152" s="62">
        <f>F5152*(G5152-H5152)</f>
        <v/>
      </c>
      <c r="L5152" s="62">
        <f>K5152-(F5152*I5152)</f>
        <v/>
      </c>
      <c r="M5152" s="64">
        <f>L5152/K5152</f>
        <v/>
      </c>
    </row>
    <row r="5153">
      <c r="A5153" s="58" t="inlineStr">
        <is>
          <t>RT20250511-05152</t>
        </is>
      </c>
      <c r="B5153" s="59" t="inlineStr">
        <is>
          <t>2025-05-11</t>
        </is>
      </c>
      <c r="C5153" s="60" t="inlineStr">
        <is>
          <t>Nimbus Fitnes Lite-516</t>
        </is>
      </c>
      <c r="D5153" s="58" t="inlineStr">
        <is>
          <t>Sports</t>
        </is>
      </c>
      <c r="E5153" s="58" t="inlineStr">
        <is>
          <t>Central</t>
        </is>
      </c>
      <c r="F5153" s="61" t="n">
        <v>2</v>
      </c>
      <c r="G5153" s="62" t="n">
        <v>676.8</v>
      </c>
      <c r="H5153" s="63" t="n">
        <v>0.091</v>
      </c>
      <c r="I5153" s="62" t="n">
        <v>474.61</v>
      </c>
      <c r="J5153" s="58" t="inlineStr">
        <is>
          <t>Store</t>
        </is>
      </c>
      <c r="K5153" s="62">
        <f>F5153*(G5153-H5153)</f>
        <v/>
      </c>
      <c r="L5153" s="62">
        <f>K5153-(F5153*I5153)</f>
        <v/>
      </c>
      <c r="M5153" s="64">
        <f>L5153/K5153</f>
        <v/>
      </c>
    </row>
    <row r="5154">
      <c r="A5154" s="58" t="inlineStr">
        <is>
          <t>RT20250511-05153</t>
        </is>
      </c>
      <c r="B5154" s="59" t="inlineStr">
        <is>
          <t>2025-05-11</t>
        </is>
      </c>
      <c r="C5154" s="60" t="inlineStr">
        <is>
          <t>Vertex Appliance S-296</t>
        </is>
      </c>
      <c r="D5154" s="58" t="inlineStr">
        <is>
          <t>Home</t>
        </is>
      </c>
      <c r="E5154" s="58" t="inlineStr">
        <is>
          <t>East</t>
        </is>
      </c>
      <c r="F5154" s="61" t="n">
        <v>2</v>
      </c>
      <c r="G5154" s="62" t="n">
        <v>523.72</v>
      </c>
      <c r="H5154" s="63" t="n">
        <v>0.025</v>
      </c>
      <c r="I5154" s="62" t="n">
        <v>347.41</v>
      </c>
      <c r="J5154" s="58" t="inlineStr">
        <is>
          <t>Online</t>
        </is>
      </c>
      <c r="K5154" s="62">
        <f>F5154*(G5154-H5154)</f>
        <v/>
      </c>
      <c r="L5154" s="62">
        <f>K5154-(F5154*I5154)</f>
        <v/>
      </c>
      <c r="M5154" s="64">
        <f>L5154/K5154</f>
        <v/>
      </c>
    </row>
    <row r="5155">
      <c r="A5155" s="58" t="inlineStr">
        <is>
          <t>RT20250511-05154</t>
        </is>
      </c>
      <c r="B5155" s="59" t="inlineStr">
        <is>
          <t>2025-05-11</t>
        </is>
      </c>
      <c r="C5155" s="60" t="inlineStr">
        <is>
          <t>Orion Snack X-322</t>
        </is>
      </c>
      <c r="D5155" s="58" t="inlineStr">
        <is>
          <t>Grocery</t>
        </is>
      </c>
      <c r="E5155" s="58" t="inlineStr">
        <is>
          <t>East</t>
        </is>
      </c>
      <c r="F5155" s="61" t="n">
        <v>7</v>
      </c>
      <c r="G5155" s="62" t="n">
        <v>14.21</v>
      </c>
      <c r="H5155" s="63" t="n">
        <v>0.029</v>
      </c>
      <c r="I5155" s="62" t="n">
        <v>10.14</v>
      </c>
      <c r="J5155" s="58" t="inlineStr">
        <is>
          <t>Online</t>
        </is>
      </c>
      <c r="K5155" s="62">
        <f>F5155*(G5155-H5155)</f>
        <v/>
      </c>
      <c r="L5155" s="62">
        <f>K5155-(F5155*I5155)</f>
        <v/>
      </c>
      <c r="M5155" s="64">
        <f>L5155/K5155</f>
        <v/>
      </c>
    </row>
    <row r="5156">
      <c r="A5156" s="58" t="inlineStr">
        <is>
          <t>RT20250511-05155</t>
        </is>
      </c>
      <c r="B5156" s="59" t="inlineStr">
        <is>
          <t>2025-05-11</t>
        </is>
      </c>
      <c r="C5156" s="60" t="inlineStr">
        <is>
          <t>Orion Fragrance Lite-785</t>
        </is>
      </c>
      <c r="D5156" s="58" t="inlineStr">
        <is>
          <t>Beauty</t>
        </is>
      </c>
      <c r="E5156" s="58" t="inlineStr">
        <is>
          <t>South</t>
        </is>
      </c>
      <c r="F5156" s="61" t="n">
        <v>5</v>
      </c>
      <c r="G5156" s="62" t="n">
        <v>43.67</v>
      </c>
      <c r="H5156" s="63" t="n">
        <v>0.103</v>
      </c>
      <c r="I5156" s="62" t="n">
        <v>26.42</v>
      </c>
      <c r="J5156" s="58" t="inlineStr">
        <is>
          <t>Store</t>
        </is>
      </c>
      <c r="K5156" s="62">
        <f>F5156*(G5156-H5156)</f>
        <v/>
      </c>
      <c r="L5156" s="62">
        <f>K5156-(F5156*I5156)</f>
        <v/>
      </c>
      <c r="M5156" s="64">
        <f>L5156/K5156</f>
        <v/>
      </c>
    </row>
    <row r="5157">
      <c r="A5157" s="58" t="inlineStr">
        <is>
          <t>RT20250511-05156</t>
        </is>
      </c>
      <c r="B5157" s="59" t="inlineStr">
        <is>
          <t>2025-05-11</t>
        </is>
      </c>
      <c r="C5157" s="60" t="inlineStr">
        <is>
          <t>Aurora Team Sport Plus-256</t>
        </is>
      </c>
      <c r="D5157" s="58" t="inlineStr">
        <is>
          <t>Sports</t>
        </is>
      </c>
      <c r="E5157" s="58" t="inlineStr">
        <is>
          <t>East</t>
        </is>
      </c>
      <c r="F5157" s="61" t="n">
        <v>2</v>
      </c>
      <c r="G5157" s="62" t="n">
        <v>656.55</v>
      </c>
      <c r="H5157" s="63" t="n">
        <v>0.07000000000000001</v>
      </c>
      <c r="I5157" s="62" t="n">
        <v>407.04</v>
      </c>
      <c r="J5157" s="58" t="inlineStr">
        <is>
          <t>Online</t>
        </is>
      </c>
      <c r="K5157" s="62">
        <f>F5157*(G5157-H5157)</f>
        <v/>
      </c>
      <c r="L5157" s="62">
        <f>K5157-(F5157*I5157)</f>
        <v/>
      </c>
      <c r="M5157" s="64">
        <f>L5157/K5157</f>
        <v/>
      </c>
    </row>
    <row r="5158">
      <c r="A5158" s="58" t="inlineStr">
        <is>
          <t>RT20250511-05157</t>
        </is>
      </c>
      <c r="B5158" s="59" t="inlineStr">
        <is>
          <t>2025-05-11</t>
        </is>
      </c>
      <c r="C5158" s="60" t="inlineStr">
        <is>
          <t>Aurora Outdoor Pro-467</t>
        </is>
      </c>
      <c r="D5158" s="58" t="inlineStr">
        <is>
          <t>Sports</t>
        </is>
      </c>
      <c r="E5158" s="58" t="inlineStr">
        <is>
          <t>East</t>
        </is>
      </c>
      <c r="F5158" s="61" t="n">
        <v>3</v>
      </c>
      <c r="G5158" s="62" t="n">
        <v>283</v>
      </c>
      <c r="H5158" s="63" t="n">
        <v>0.08</v>
      </c>
      <c r="I5158" s="62" t="n">
        <v>192.8</v>
      </c>
      <c r="J5158" s="58" t="inlineStr">
        <is>
          <t>Online</t>
        </is>
      </c>
      <c r="K5158" s="62">
        <f>F5158*(G5158-H5158)</f>
        <v/>
      </c>
      <c r="L5158" s="62">
        <f>K5158-(F5158*I5158)</f>
        <v/>
      </c>
      <c r="M5158" s="64">
        <f>L5158/K5158</f>
        <v/>
      </c>
    </row>
    <row r="5159">
      <c r="A5159" s="58" t="inlineStr">
        <is>
          <t>RT20250511-05158</t>
        </is>
      </c>
      <c r="B5159" s="59" t="inlineStr">
        <is>
          <t>2025-05-11</t>
        </is>
      </c>
      <c r="C5159" s="60" t="inlineStr">
        <is>
          <t>Vertex Snack S-702</t>
        </is>
      </c>
      <c r="D5159" s="58" t="inlineStr">
        <is>
          <t>Grocery</t>
        </is>
      </c>
      <c r="E5159" s="58" t="inlineStr">
        <is>
          <t>South</t>
        </is>
      </c>
      <c r="F5159" s="61" t="n">
        <v>4</v>
      </c>
      <c r="G5159" s="62" t="n">
        <v>2.13</v>
      </c>
      <c r="H5159" s="63" t="n">
        <v>0.096</v>
      </c>
      <c r="I5159" s="62" t="n">
        <v>1.48</v>
      </c>
      <c r="J5159" s="58" t="inlineStr">
        <is>
          <t>Online</t>
        </is>
      </c>
      <c r="K5159" s="62">
        <f>F5159*(G5159-H5159)</f>
        <v/>
      </c>
      <c r="L5159" s="62">
        <f>K5159-(F5159*I5159)</f>
        <v/>
      </c>
      <c r="M5159" s="64">
        <f>L5159/K5159</f>
        <v/>
      </c>
    </row>
    <row r="5160">
      <c r="A5160" s="58" t="inlineStr">
        <is>
          <t>RT20250511-05159</t>
        </is>
      </c>
      <c r="B5160" s="59" t="inlineStr">
        <is>
          <t>2025-05-11</t>
        </is>
      </c>
      <c r="C5160" s="60" t="inlineStr">
        <is>
          <t>Falcon Beverage Max-702</t>
        </is>
      </c>
      <c r="D5160" s="58" t="inlineStr">
        <is>
          <t>Grocery</t>
        </is>
      </c>
      <c r="E5160" s="58" t="inlineStr">
        <is>
          <t>North</t>
        </is>
      </c>
      <c r="F5160" s="61" t="n">
        <v>4</v>
      </c>
      <c r="G5160" s="62" t="n">
        <v>26.07</v>
      </c>
      <c r="H5160" s="63" t="n">
        <v>0.06900000000000001</v>
      </c>
      <c r="I5160" s="62" t="n">
        <v>20.61</v>
      </c>
      <c r="J5160" s="58" t="inlineStr">
        <is>
          <t>Online</t>
        </is>
      </c>
      <c r="K5160" s="62">
        <f>F5160*(G5160-H5160)</f>
        <v/>
      </c>
      <c r="L5160" s="62">
        <f>K5160-(F5160*I5160)</f>
        <v/>
      </c>
      <c r="M5160" s="64">
        <f>L5160/K5160</f>
        <v/>
      </c>
    </row>
    <row r="5161">
      <c r="A5161" s="58" t="inlineStr">
        <is>
          <t>RT20250511-05160</t>
        </is>
      </c>
      <c r="B5161" s="59" t="inlineStr">
        <is>
          <t>2025-05-11</t>
        </is>
      </c>
      <c r="C5161" s="60" t="inlineStr">
        <is>
          <t>Polar Pantry Lite-392</t>
        </is>
      </c>
      <c r="D5161" s="58" t="inlineStr">
        <is>
          <t>Grocery</t>
        </is>
      </c>
      <c r="E5161" s="58" t="inlineStr">
        <is>
          <t>West</t>
        </is>
      </c>
      <c r="F5161" s="61" t="n">
        <v>6</v>
      </c>
      <c r="G5161" s="62" t="n">
        <v>6.19</v>
      </c>
      <c r="H5161" s="63" t="n">
        <v>0.08699999999999999</v>
      </c>
      <c r="I5161" s="62" t="n">
        <v>4.64</v>
      </c>
      <c r="J5161" s="58" t="inlineStr">
        <is>
          <t>Online</t>
        </is>
      </c>
      <c r="K5161" s="62">
        <f>F5161*(G5161-H5161)</f>
        <v/>
      </c>
      <c r="L5161" s="62">
        <f>K5161-(F5161*I5161)</f>
        <v/>
      </c>
      <c r="M5161" s="64">
        <f>L5161/K5161</f>
        <v/>
      </c>
    </row>
    <row r="5162">
      <c r="A5162" s="58" t="inlineStr">
        <is>
          <t>RT20250511-05161</t>
        </is>
      </c>
      <c r="B5162" s="59" t="inlineStr">
        <is>
          <t>2025-05-11</t>
        </is>
      </c>
      <c r="C5162" s="60" t="inlineStr">
        <is>
          <t>Solace Kid S-384</t>
        </is>
      </c>
      <c r="D5162" s="58" t="inlineStr">
        <is>
          <t>Apparel</t>
        </is>
      </c>
      <c r="E5162" s="58" t="inlineStr">
        <is>
          <t>North</t>
        </is>
      </c>
      <c r="F5162" s="61" t="n">
        <v>3</v>
      </c>
      <c r="G5162" s="62" t="n">
        <v>108.47</v>
      </c>
      <c r="H5162" s="63" t="n">
        <v>0.07199999999999999</v>
      </c>
      <c r="I5162" s="62" t="n">
        <v>61.59</v>
      </c>
      <c r="J5162" s="58" t="inlineStr">
        <is>
          <t>Online</t>
        </is>
      </c>
      <c r="K5162" s="62">
        <f>F5162*(G5162-H5162)</f>
        <v/>
      </c>
      <c r="L5162" s="62">
        <f>K5162-(F5162*I5162)</f>
        <v/>
      </c>
      <c r="M5162" s="64">
        <f>L5162/K5162</f>
        <v/>
      </c>
    </row>
    <row r="5163">
      <c r="A5163" s="58" t="inlineStr">
        <is>
          <t>RT20250511-05162</t>
        </is>
      </c>
      <c r="B5163" s="59" t="inlineStr">
        <is>
          <t>2025-05-11</t>
        </is>
      </c>
      <c r="C5163" s="60" t="inlineStr">
        <is>
          <t>Polar Women Max-927</t>
        </is>
      </c>
      <c r="D5163" s="58" t="inlineStr">
        <is>
          <t>Apparel</t>
        </is>
      </c>
      <c r="E5163" s="58" t="inlineStr">
        <is>
          <t>West</t>
        </is>
      </c>
      <c r="F5163" s="61" t="n">
        <v>4</v>
      </c>
      <c r="G5163" s="62" t="n">
        <v>112.4</v>
      </c>
      <c r="H5163" s="63" t="n">
        <v>0.074</v>
      </c>
      <c r="I5163" s="62" t="n">
        <v>67.09</v>
      </c>
      <c r="J5163" s="58" t="inlineStr">
        <is>
          <t>Store</t>
        </is>
      </c>
      <c r="K5163" s="62">
        <f>F5163*(G5163-H5163)</f>
        <v/>
      </c>
      <c r="L5163" s="62">
        <f>K5163-(F5163*I5163)</f>
        <v/>
      </c>
      <c r="M5163" s="64">
        <f>L5163/K5163</f>
        <v/>
      </c>
    </row>
    <row r="5164">
      <c r="A5164" s="58" t="inlineStr">
        <is>
          <t>RT20250511-05163</t>
        </is>
      </c>
      <c r="B5164" s="59" t="inlineStr">
        <is>
          <t>2025-05-11</t>
        </is>
      </c>
      <c r="C5164" s="60" t="inlineStr">
        <is>
          <t>Vertex Skincare Pro-891</t>
        </is>
      </c>
      <c r="D5164" s="58" t="inlineStr">
        <is>
          <t>Beauty</t>
        </is>
      </c>
      <c r="E5164" s="58" t="inlineStr">
        <is>
          <t>North</t>
        </is>
      </c>
      <c r="F5164" s="61" t="n">
        <v>5</v>
      </c>
      <c r="G5164" s="62" t="n">
        <v>154.75</v>
      </c>
      <c r="H5164" s="63" t="n">
        <v>0.055</v>
      </c>
      <c r="I5164" s="62" t="n">
        <v>89.01000000000001</v>
      </c>
      <c r="J5164" s="58" t="inlineStr">
        <is>
          <t>Online</t>
        </is>
      </c>
      <c r="K5164" s="62">
        <f>F5164*(G5164-H5164)</f>
        <v/>
      </c>
      <c r="L5164" s="62">
        <f>K5164-(F5164*I5164)</f>
        <v/>
      </c>
      <c r="M5164" s="64">
        <f>L5164/K5164</f>
        <v/>
      </c>
    </row>
    <row r="5165">
      <c r="A5165" s="58" t="inlineStr">
        <is>
          <t>RT20250511-05164</t>
        </is>
      </c>
      <c r="B5165" s="59" t="inlineStr">
        <is>
          <t>2025-05-11</t>
        </is>
      </c>
      <c r="C5165" s="60" t="inlineStr">
        <is>
          <t>Vertex Accessorie Pro-881</t>
        </is>
      </c>
      <c r="D5165" s="58" t="inlineStr">
        <is>
          <t>Apparel</t>
        </is>
      </c>
      <c r="E5165" s="58" t="inlineStr">
        <is>
          <t>South</t>
        </is>
      </c>
      <c r="F5165" s="61" t="n">
        <v>3</v>
      </c>
      <c r="G5165" s="62" t="n">
        <v>105.16</v>
      </c>
      <c r="H5165" s="63" t="n">
        <v>0.065</v>
      </c>
      <c r="I5165" s="62" t="n">
        <v>61.7</v>
      </c>
      <c r="J5165" s="58" t="inlineStr">
        <is>
          <t>Online</t>
        </is>
      </c>
      <c r="K5165" s="62">
        <f>F5165*(G5165-H5165)</f>
        <v/>
      </c>
      <c r="L5165" s="62">
        <f>K5165-(F5165*I5165)</f>
        <v/>
      </c>
      <c r="M5165" s="64">
        <f>L5165/K5165</f>
        <v/>
      </c>
    </row>
    <row r="5166">
      <c r="A5166" s="58" t="inlineStr">
        <is>
          <t>RT20250512-05165</t>
        </is>
      </c>
      <c r="B5166" s="59" t="inlineStr">
        <is>
          <t>2025-05-12</t>
        </is>
      </c>
      <c r="C5166" s="60" t="inlineStr">
        <is>
          <t>Nimbus Women Lite-814</t>
        </is>
      </c>
      <c r="D5166" s="58" t="inlineStr">
        <is>
          <t>Apparel</t>
        </is>
      </c>
      <c r="E5166" s="58" t="inlineStr">
        <is>
          <t>South</t>
        </is>
      </c>
      <c r="F5166" s="61" t="n">
        <v>2</v>
      </c>
      <c r="G5166" s="62" t="n">
        <v>158.78</v>
      </c>
      <c r="H5166" s="63" t="n">
        <v>0.077</v>
      </c>
      <c r="I5166" s="62" t="n">
        <v>80.83</v>
      </c>
      <c r="J5166" s="58" t="inlineStr">
        <is>
          <t>Phone</t>
        </is>
      </c>
      <c r="K5166" s="62">
        <f>F5166*(G5166-H5166)</f>
        <v/>
      </c>
      <c r="L5166" s="62">
        <f>K5166-(F5166*I5166)</f>
        <v/>
      </c>
      <c r="M5166" s="64">
        <f>L5166/K5166</f>
        <v/>
      </c>
    </row>
    <row r="5167">
      <c r="A5167" s="58" t="inlineStr">
        <is>
          <t>RT20250512-05166</t>
        </is>
      </c>
      <c r="B5167" s="59" t="inlineStr">
        <is>
          <t>2025-05-12</t>
        </is>
      </c>
      <c r="C5167" s="60" t="inlineStr">
        <is>
          <t>Orion Kitchen Pro-568</t>
        </is>
      </c>
      <c r="D5167" s="58" t="inlineStr">
        <is>
          <t>Home</t>
        </is>
      </c>
      <c r="E5167" s="58" t="inlineStr">
        <is>
          <t>South</t>
        </is>
      </c>
      <c r="F5167" s="61" t="n">
        <v>3</v>
      </c>
      <c r="G5167" s="62" t="n">
        <v>479.47</v>
      </c>
      <c r="H5167" s="63" t="n">
        <v>0.036</v>
      </c>
      <c r="I5167" s="62" t="n">
        <v>306.56</v>
      </c>
      <c r="J5167" s="58" t="inlineStr">
        <is>
          <t>Store</t>
        </is>
      </c>
      <c r="K5167" s="62">
        <f>F5167*(G5167-H5167)</f>
        <v/>
      </c>
      <c r="L5167" s="62">
        <f>K5167-(F5167*I5167)</f>
        <v/>
      </c>
      <c r="M5167" s="64">
        <f>L5167/K5167</f>
        <v/>
      </c>
    </row>
    <row r="5168">
      <c r="A5168" s="58" t="inlineStr">
        <is>
          <t>RT20250512-05167</t>
        </is>
      </c>
      <c r="B5168" s="59" t="inlineStr">
        <is>
          <t>2025-05-12</t>
        </is>
      </c>
      <c r="C5168" s="60" t="inlineStr">
        <is>
          <t>Aurora Kid Plus-151</t>
        </is>
      </c>
      <c r="D5168" s="58" t="inlineStr">
        <is>
          <t>Apparel</t>
        </is>
      </c>
      <c r="E5168" s="58" t="inlineStr">
        <is>
          <t>North</t>
        </is>
      </c>
      <c r="F5168" s="61" t="n">
        <v>1</v>
      </c>
      <c r="G5168" s="62" t="n">
        <v>108.44</v>
      </c>
      <c r="H5168" s="63" t="n">
        <v>0.06</v>
      </c>
      <c r="I5168" s="62" t="n">
        <v>64.01000000000001</v>
      </c>
      <c r="J5168" s="58" t="inlineStr">
        <is>
          <t>Store</t>
        </is>
      </c>
      <c r="K5168" s="62">
        <f>F5168*(G5168-H5168)</f>
        <v/>
      </c>
      <c r="L5168" s="62">
        <f>K5168-(F5168*I5168)</f>
        <v/>
      </c>
      <c r="M5168" s="64">
        <f>L5168/K5168</f>
        <v/>
      </c>
    </row>
    <row r="5169">
      <c r="A5169" s="58" t="inlineStr">
        <is>
          <t>RT20250512-05168</t>
        </is>
      </c>
      <c r="B5169" s="59" t="inlineStr">
        <is>
          <t>2025-05-12</t>
        </is>
      </c>
      <c r="C5169" s="60" t="inlineStr">
        <is>
          <t>Falcon Skincare X-334</t>
        </is>
      </c>
      <c r="D5169" s="58" t="inlineStr">
        <is>
          <t>Beauty</t>
        </is>
      </c>
      <c r="E5169" s="58" t="inlineStr">
        <is>
          <t>Central</t>
        </is>
      </c>
      <c r="F5169" s="61" t="n">
        <v>5</v>
      </c>
      <c r="G5169" s="62" t="n">
        <v>110.12</v>
      </c>
      <c r="H5169" s="63" t="n">
        <v>0.061</v>
      </c>
      <c r="I5169" s="62" t="n">
        <v>62.11</v>
      </c>
      <c r="J5169" s="58" t="inlineStr">
        <is>
          <t>Online</t>
        </is>
      </c>
      <c r="K5169" s="62">
        <f>F5169*(G5169-H5169)</f>
        <v/>
      </c>
      <c r="L5169" s="62">
        <f>K5169-(F5169*I5169)</f>
        <v/>
      </c>
      <c r="M5169" s="64">
        <f>L5169/K5169</f>
        <v/>
      </c>
    </row>
    <row r="5170">
      <c r="A5170" s="58" t="inlineStr">
        <is>
          <t>RT20250512-05169</t>
        </is>
      </c>
      <c r="B5170" s="59" t="inlineStr">
        <is>
          <t>2025-05-12</t>
        </is>
      </c>
      <c r="C5170" s="60" t="inlineStr">
        <is>
          <t>Vertex Smartphone Lite-267</t>
        </is>
      </c>
      <c r="D5170" s="58" t="inlineStr">
        <is>
          <t>Electronics</t>
        </is>
      </c>
      <c r="E5170" s="58" t="inlineStr">
        <is>
          <t>North</t>
        </is>
      </c>
      <c r="F5170" s="61" t="n">
        <v>2</v>
      </c>
      <c r="G5170" s="62" t="n">
        <v>1362.42</v>
      </c>
      <c r="H5170" s="63" t="n">
        <v>0</v>
      </c>
      <c r="I5170" s="62" t="n">
        <v>974.04</v>
      </c>
      <c r="J5170" s="58" t="inlineStr">
        <is>
          <t>Store</t>
        </is>
      </c>
      <c r="K5170" s="62">
        <f>F5170*(G5170-H5170)</f>
        <v/>
      </c>
      <c r="L5170" s="62">
        <f>K5170-(F5170*I5170)</f>
        <v/>
      </c>
      <c r="M5170" s="64">
        <f>L5170/K5170</f>
        <v/>
      </c>
    </row>
    <row r="5171">
      <c r="A5171" s="58" t="inlineStr">
        <is>
          <t>RT20250512-05170</t>
        </is>
      </c>
      <c r="B5171" s="59" t="inlineStr">
        <is>
          <t>2025-05-12</t>
        </is>
      </c>
      <c r="C5171" s="60" t="inlineStr">
        <is>
          <t>Vertex Supplie X-513</t>
        </is>
      </c>
      <c r="D5171" s="58" t="inlineStr">
        <is>
          <t>Office</t>
        </is>
      </c>
      <c r="E5171" s="58" t="inlineStr">
        <is>
          <t>Central</t>
        </is>
      </c>
      <c r="F5171" s="61" t="n">
        <v>1</v>
      </c>
      <c r="G5171" s="62" t="n">
        <v>349.19</v>
      </c>
      <c r="H5171" s="63" t="n">
        <v>0.08599999999999999</v>
      </c>
      <c r="I5171" s="62" t="n">
        <v>278.63</v>
      </c>
      <c r="J5171" s="58" t="inlineStr">
        <is>
          <t>Online</t>
        </is>
      </c>
      <c r="K5171" s="62">
        <f>F5171*(G5171-H5171)</f>
        <v/>
      </c>
      <c r="L5171" s="62">
        <f>K5171-(F5171*I5171)</f>
        <v/>
      </c>
      <c r="M5171" s="64">
        <f>L5171/K5171</f>
        <v/>
      </c>
    </row>
    <row r="5172">
      <c r="A5172" s="58" t="inlineStr">
        <is>
          <t>RT20250512-05171</t>
        </is>
      </c>
      <c r="B5172" s="59" t="inlineStr">
        <is>
          <t>2025-05-12</t>
        </is>
      </c>
      <c r="C5172" s="60" t="inlineStr">
        <is>
          <t>Orion Men X-928</t>
        </is>
      </c>
      <c r="D5172" s="58" t="inlineStr">
        <is>
          <t>Apparel</t>
        </is>
      </c>
      <c r="E5172" s="58" t="inlineStr">
        <is>
          <t>West</t>
        </is>
      </c>
      <c r="F5172" s="61" t="n">
        <v>3</v>
      </c>
      <c r="G5172" s="62" t="n">
        <v>118.49</v>
      </c>
      <c r="H5172" s="63" t="n">
        <v>0.114</v>
      </c>
      <c r="I5172" s="62" t="n">
        <v>64.22</v>
      </c>
      <c r="J5172" s="58" t="inlineStr">
        <is>
          <t>Online</t>
        </is>
      </c>
      <c r="K5172" s="62">
        <f>F5172*(G5172-H5172)</f>
        <v/>
      </c>
      <c r="L5172" s="62">
        <f>K5172-(F5172*I5172)</f>
        <v/>
      </c>
      <c r="M5172" s="64">
        <f>L5172/K5172</f>
        <v/>
      </c>
    </row>
    <row r="5173">
      <c r="A5173" s="58" t="inlineStr">
        <is>
          <t>RT20250512-05172</t>
        </is>
      </c>
      <c r="B5173" s="59" t="inlineStr">
        <is>
          <t>2025-05-12</t>
        </is>
      </c>
      <c r="C5173" s="60" t="inlineStr">
        <is>
          <t>Falcon Headphone Pro-713</t>
        </is>
      </c>
      <c r="D5173" s="58" t="inlineStr">
        <is>
          <t>Electronics</t>
        </is>
      </c>
      <c r="E5173" s="58" t="inlineStr">
        <is>
          <t>West</t>
        </is>
      </c>
      <c r="F5173" s="61" t="n">
        <v>2</v>
      </c>
      <c r="G5173" s="62" t="n">
        <v>1399.79</v>
      </c>
      <c r="H5173" s="63" t="n">
        <v>0.004</v>
      </c>
      <c r="I5173" s="62" t="n">
        <v>1210.97</v>
      </c>
      <c r="J5173" s="58" t="inlineStr">
        <is>
          <t>Online</t>
        </is>
      </c>
      <c r="K5173" s="62">
        <f>F5173*(G5173-H5173)</f>
        <v/>
      </c>
      <c r="L5173" s="62">
        <f>K5173-(F5173*I5173)</f>
        <v/>
      </c>
      <c r="M5173" s="64">
        <f>L5173/K5173</f>
        <v/>
      </c>
    </row>
    <row r="5174">
      <c r="A5174" s="58" t="inlineStr">
        <is>
          <t>RT20250512-05173</t>
        </is>
      </c>
      <c r="B5174" s="59" t="inlineStr">
        <is>
          <t>2025-05-12</t>
        </is>
      </c>
      <c r="C5174" s="60" t="inlineStr">
        <is>
          <t>Polar Cycling X-649</t>
        </is>
      </c>
      <c r="D5174" s="58" t="inlineStr">
        <is>
          <t>Sports</t>
        </is>
      </c>
      <c r="E5174" s="58" t="inlineStr">
        <is>
          <t>Central</t>
        </is>
      </c>
      <c r="F5174" s="61" t="n">
        <v>1</v>
      </c>
      <c r="G5174" s="62" t="n">
        <v>584.9</v>
      </c>
      <c r="H5174" s="63" t="n">
        <v>0.053</v>
      </c>
      <c r="I5174" s="62" t="n">
        <v>369.73</v>
      </c>
      <c r="J5174" s="58" t="inlineStr">
        <is>
          <t>Store</t>
        </is>
      </c>
      <c r="K5174" s="62">
        <f>F5174*(G5174-H5174)</f>
        <v/>
      </c>
      <c r="L5174" s="62">
        <f>K5174-(F5174*I5174)</f>
        <v/>
      </c>
      <c r="M5174" s="64">
        <f>L5174/K5174</f>
        <v/>
      </c>
    </row>
    <row r="5175">
      <c r="A5175" s="58" t="inlineStr">
        <is>
          <t>RT20250512-05174</t>
        </is>
      </c>
      <c r="B5175" s="59" t="inlineStr">
        <is>
          <t>2025-05-12</t>
        </is>
      </c>
      <c r="C5175" s="60" t="inlineStr">
        <is>
          <t>Solace Snack S-691</t>
        </is>
      </c>
      <c r="D5175" s="58" t="inlineStr">
        <is>
          <t>Grocery</t>
        </is>
      </c>
      <c r="E5175" s="58" t="inlineStr">
        <is>
          <t>East</t>
        </is>
      </c>
      <c r="F5175" s="61" t="n">
        <v>3</v>
      </c>
      <c r="G5175" s="62" t="n">
        <v>8.57</v>
      </c>
      <c r="H5175" s="63" t="n">
        <v>0.058</v>
      </c>
      <c r="I5175" s="62" t="n">
        <v>7.01</v>
      </c>
      <c r="J5175" s="58" t="inlineStr">
        <is>
          <t>Online</t>
        </is>
      </c>
      <c r="K5175" s="62">
        <f>F5175*(G5175-H5175)</f>
        <v/>
      </c>
      <c r="L5175" s="62">
        <f>K5175-(F5175*I5175)</f>
        <v/>
      </c>
      <c r="M5175" s="64">
        <f>L5175/K5175</f>
        <v/>
      </c>
    </row>
    <row r="5176">
      <c r="A5176" s="58" t="inlineStr">
        <is>
          <t>RT20250512-05175</t>
        </is>
      </c>
      <c r="B5176" s="59" t="inlineStr">
        <is>
          <t>2025-05-12</t>
        </is>
      </c>
      <c r="C5176" s="60" t="inlineStr">
        <is>
          <t>Metro Outdoor Plus-787</t>
        </is>
      </c>
      <c r="D5176" s="58" t="inlineStr">
        <is>
          <t>Sports</t>
        </is>
      </c>
      <c r="E5176" s="58" t="inlineStr">
        <is>
          <t>South</t>
        </is>
      </c>
      <c r="F5176" s="61" t="n">
        <v>3</v>
      </c>
      <c r="G5176" s="62" t="n">
        <v>570.54</v>
      </c>
      <c r="H5176" s="63" t="n">
        <v>0.056</v>
      </c>
      <c r="I5176" s="62" t="n">
        <v>354.08</v>
      </c>
      <c r="J5176" s="58" t="inlineStr">
        <is>
          <t>Store</t>
        </is>
      </c>
      <c r="K5176" s="62">
        <f>F5176*(G5176-H5176)</f>
        <v/>
      </c>
      <c r="L5176" s="62">
        <f>K5176-(F5176*I5176)</f>
        <v/>
      </c>
      <c r="M5176" s="64">
        <f>L5176/K5176</f>
        <v/>
      </c>
    </row>
    <row r="5177">
      <c r="A5177" s="58" t="inlineStr">
        <is>
          <t>RT20250512-05176</t>
        </is>
      </c>
      <c r="B5177" s="59" t="inlineStr">
        <is>
          <t>2025-05-12</t>
        </is>
      </c>
      <c r="C5177" s="60" t="inlineStr">
        <is>
          <t>Solace Snack S-691</t>
        </is>
      </c>
      <c r="D5177" s="58" t="inlineStr">
        <is>
          <t>Grocery</t>
        </is>
      </c>
      <c r="E5177" s="58" t="inlineStr">
        <is>
          <t>West</t>
        </is>
      </c>
      <c r="F5177" s="61" t="n">
        <v>1</v>
      </c>
      <c r="G5177" s="62" t="n">
        <v>9.49</v>
      </c>
      <c r="H5177" s="63" t="n">
        <v>0.002</v>
      </c>
      <c r="I5177" s="62" t="n">
        <v>7.3</v>
      </c>
      <c r="J5177" s="58" t="inlineStr">
        <is>
          <t>Online</t>
        </is>
      </c>
      <c r="K5177" s="62">
        <f>F5177*(G5177-H5177)</f>
        <v/>
      </c>
      <c r="L5177" s="62">
        <f>K5177-(F5177*I5177)</f>
        <v/>
      </c>
      <c r="M5177" s="64">
        <f>L5177/K5177</f>
        <v/>
      </c>
    </row>
    <row r="5178">
      <c r="A5178" s="58" t="inlineStr">
        <is>
          <t>RT20250512-05177</t>
        </is>
      </c>
      <c r="B5178" s="59" t="inlineStr">
        <is>
          <t>2025-05-12</t>
        </is>
      </c>
      <c r="C5178" s="60" t="inlineStr">
        <is>
          <t>Metro Laptop Plus-376</t>
        </is>
      </c>
      <c r="D5178" s="58" t="inlineStr">
        <is>
          <t>Electronics</t>
        </is>
      </c>
      <c r="E5178" s="58" t="inlineStr">
        <is>
          <t>North</t>
        </is>
      </c>
      <c r="F5178" s="61" t="n">
        <v>1</v>
      </c>
      <c r="G5178" s="62" t="n">
        <v>1373.98</v>
      </c>
      <c r="H5178" s="63" t="n">
        <v>0.013</v>
      </c>
      <c r="I5178" s="62" t="n">
        <v>1051.86</v>
      </c>
      <c r="J5178" s="58" t="inlineStr">
        <is>
          <t>Online</t>
        </is>
      </c>
      <c r="K5178" s="62">
        <f>F5178*(G5178-H5178)</f>
        <v/>
      </c>
      <c r="L5178" s="62">
        <f>K5178-(F5178*I5178)</f>
        <v/>
      </c>
      <c r="M5178" s="64">
        <f>L5178/K5178</f>
        <v/>
      </c>
    </row>
    <row r="5179">
      <c r="A5179" s="58" t="inlineStr">
        <is>
          <t>RT20250512-05178</t>
        </is>
      </c>
      <c r="B5179" s="59" t="inlineStr">
        <is>
          <t>2025-05-12</t>
        </is>
      </c>
      <c r="C5179" s="60" t="inlineStr">
        <is>
          <t>Metro Pantry X-710</t>
        </is>
      </c>
      <c r="D5179" s="58" t="inlineStr">
        <is>
          <t>Grocery</t>
        </is>
      </c>
      <c r="E5179" s="58" t="inlineStr">
        <is>
          <t>West</t>
        </is>
      </c>
      <c r="F5179" s="61" t="n">
        <v>1</v>
      </c>
      <c r="G5179" s="62" t="n">
        <v>5.35</v>
      </c>
      <c r="H5179" s="63" t="n">
        <v>0.06900000000000001</v>
      </c>
      <c r="I5179" s="62" t="n">
        <v>4.17</v>
      </c>
      <c r="J5179" s="58" t="inlineStr">
        <is>
          <t>Online</t>
        </is>
      </c>
      <c r="K5179" s="62">
        <f>F5179*(G5179-H5179)</f>
        <v/>
      </c>
      <c r="L5179" s="62">
        <f>K5179-(F5179*I5179)</f>
        <v/>
      </c>
      <c r="M5179" s="64">
        <f>L5179/K5179</f>
        <v/>
      </c>
    </row>
    <row r="5180">
      <c r="A5180" s="58" t="inlineStr">
        <is>
          <t>RT20250512-05179</t>
        </is>
      </c>
      <c r="B5180" s="59" t="inlineStr">
        <is>
          <t>2025-05-12</t>
        </is>
      </c>
      <c r="C5180" s="60" t="inlineStr">
        <is>
          <t>Falcon Household Plus-796</t>
        </is>
      </c>
      <c r="D5180" s="58" t="inlineStr">
        <is>
          <t>Grocery</t>
        </is>
      </c>
      <c r="E5180" s="58" t="inlineStr">
        <is>
          <t>East</t>
        </is>
      </c>
      <c r="F5180" s="61" t="n">
        <v>8</v>
      </c>
      <c r="G5180" s="62" t="n">
        <v>21.87</v>
      </c>
      <c r="H5180" s="63" t="n">
        <v>0.043</v>
      </c>
      <c r="I5180" s="62" t="n">
        <v>17.73</v>
      </c>
      <c r="J5180" s="58" t="inlineStr">
        <is>
          <t>Online</t>
        </is>
      </c>
      <c r="K5180" s="62">
        <f>F5180*(G5180-H5180)</f>
        <v/>
      </c>
      <c r="L5180" s="62">
        <f>K5180-(F5180*I5180)</f>
        <v/>
      </c>
      <c r="M5180" s="64">
        <f>L5180/K5180</f>
        <v/>
      </c>
    </row>
    <row r="5181">
      <c r="A5181" s="58" t="inlineStr">
        <is>
          <t>RT20250512-05180</t>
        </is>
      </c>
      <c r="B5181" s="59" t="inlineStr">
        <is>
          <t>2025-05-12</t>
        </is>
      </c>
      <c r="C5181" s="60" t="inlineStr">
        <is>
          <t>Vertex Men X-995</t>
        </is>
      </c>
      <c r="D5181" s="58" t="inlineStr">
        <is>
          <t>Apparel</t>
        </is>
      </c>
      <c r="E5181" s="58" t="inlineStr">
        <is>
          <t>East</t>
        </is>
      </c>
      <c r="F5181" s="61" t="n">
        <v>2</v>
      </c>
      <c r="G5181" s="62" t="n">
        <v>92.47</v>
      </c>
      <c r="H5181" s="63" t="n">
        <v>0.067</v>
      </c>
      <c r="I5181" s="62" t="n">
        <v>56.05</v>
      </c>
      <c r="J5181" s="58" t="inlineStr">
        <is>
          <t>Online</t>
        </is>
      </c>
      <c r="K5181" s="62">
        <f>F5181*(G5181-H5181)</f>
        <v/>
      </c>
      <c r="L5181" s="62">
        <f>K5181-(F5181*I5181)</f>
        <v/>
      </c>
      <c r="M5181" s="64">
        <f>L5181/K5181</f>
        <v/>
      </c>
    </row>
    <row r="5182">
      <c r="A5182" s="58" t="inlineStr">
        <is>
          <t>RT20250512-05181</t>
        </is>
      </c>
      <c r="B5182" s="59" t="inlineStr">
        <is>
          <t>2025-05-12</t>
        </is>
      </c>
      <c r="C5182" s="60" t="inlineStr">
        <is>
          <t>Vertex Snack S-702</t>
        </is>
      </c>
      <c r="D5182" s="58" t="inlineStr">
        <is>
          <t>Grocery</t>
        </is>
      </c>
      <c r="E5182" s="58" t="inlineStr">
        <is>
          <t>East</t>
        </is>
      </c>
      <c r="F5182" s="61" t="n">
        <v>7</v>
      </c>
      <c r="G5182" s="62" t="n">
        <v>2.07</v>
      </c>
      <c r="H5182" s="63" t="n">
        <v>0.119</v>
      </c>
      <c r="I5182" s="62" t="n">
        <v>1.47</v>
      </c>
      <c r="J5182" s="58" t="inlineStr">
        <is>
          <t>Store</t>
        </is>
      </c>
      <c r="K5182" s="62">
        <f>F5182*(G5182-H5182)</f>
        <v/>
      </c>
      <c r="L5182" s="62">
        <f>K5182-(F5182*I5182)</f>
        <v/>
      </c>
      <c r="M5182" s="64">
        <f>L5182/K5182</f>
        <v/>
      </c>
    </row>
    <row r="5183">
      <c r="A5183" s="58" t="inlineStr">
        <is>
          <t>RT20250512-05182</t>
        </is>
      </c>
      <c r="B5183" s="59" t="inlineStr">
        <is>
          <t>2025-05-12</t>
        </is>
      </c>
      <c r="C5183" s="60" t="inlineStr">
        <is>
          <t>Nimbus Laptop Max-652</t>
        </is>
      </c>
      <c r="D5183" s="58" t="inlineStr">
        <is>
          <t>Electronics</t>
        </is>
      </c>
      <c r="E5183" s="58" t="inlineStr">
        <is>
          <t>Central</t>
        </is>
      </c>
      <c r="F5183" s="61" t="n">
        <v>1</v>
      </c>
      <c r="G5183" s="62" t="n">
        <v>1433.38</v>
      </c>
      <c r="H5183" s="63" t="n">
        <v>0.043</v>
      </c>
      <c r="I5183" s="62" t="n">
        <v>1058.68</v>
      </c>
      <c r="J5183" s="58" t="inlineStr">
        <is>
          <t>Online</t>
        </is>
      </c>
      <c r="K5183" s="62">
        <f>F5183*(G5183-H5183)</f>
        <v/>
      </c>
      <c r="L5183" s="62">
        <f>K5183-(F5183*I5183)</f>
        <v/>
      </c>
      <c r="M5183" s="64">
        <f>L5183/K5183</f>
        <v/>
      </c>
    </row>
    <row r="5184">
      <c r="A5184" s="58" t="inlineStr">
        <is>
          <t>RT20250512-05183</t>
        </is>
      </c>
      <c r="B5184" s="59" t="inlineStr">
        <is>
          <t>2025-05-12</t>
        </is>
      </c>
      <c r="C5184" s="60" t="inlineStr">
        <is>
          <t>Polar Men Pro-246</t>
        </is>
      </c>
      <c r="D5184" s="58" t="inlineStr">
        <is>
          <t>Apparel</t>
        </is>
      </c>
      <c r="E5184" s="58" t="inlineStr">
        <is>
          <t>East</t>
        </is>
      </c>
      <c r="F5184" s="61" t="n">
        <v>4</v>
      </c>
      <c r="G5184" s="62" t="n">
        <v>130.33</v>
      </c>
      <c r="H5184" s="63" t="n">
        <v>0.108</v>
      </c>
      <c r="I5184" s="62" t="n">
        <v>74.84999999999999</v>
      </c>
      <c r="J5184" s="58" t="inlineStr">
        <is>
          <t>Online</t>
        </is>
      </c>
      <c r="K5184" s="62">
        <f>F5184*(G5184-H5184)</f>
        <v/>
      </c>
      <c r="L5184" s="62">
        <f>K5184-(F5184*I5184)</f>
        <v/>
      </c>
      <c r="M5184" s="64">
        <f>L5184/K5184</f>
        <v/>
      </c>
    </row>
    <row r="5185">
      <c r="A5185" s="58" t="inlineStr">
        <is>
          <t>RT20250512-05184</t>
        </is>
      </c>
      <c r="B5185" s="59" t="inlineStr">
        <is>
          <t>2025-05-12</t>
        </is>
      </c>
      <c r="C5185" s="60" t="inlineStr">
        <is>
          <t>Metro Decor Lite-325</t>
        </is>
      </c>
      <c r="D5185" s="58" t="inlineStr">
        <is>
          <t>Home</t>
        </is>
      </c>
      <c r="E5185" s="58" t="inlineStr">
        <is>
          <t>East</t>
        </is>
      </c>
      <c r="F5185" s="61" t="n">
        <v>2</v>
      </c>
      <c r="G5185" s="62" t="n">
        <v>589.0700000000001</v>
      </c>
      <c r="H5185" s="63" t="n">
        <v>0</v>
      </c>
      <c r="I5185" s="62" t="n">
        <v>376.79</v>
      </c>
      <c r="J5185" s="58" t="inlineStr">
        <is>
          <t>Store</t>
        </is>
      </c>
      <c r="K5185" s="62">
        <f>F5185*(G5185-H5185)</f>
        <v/>
      </c>
      <c r="L5185" s="62">
        <f>K5185-(F5185*I5185)</f>
        <v/>
      </c>
      <c r="M5185" s="64">
        <f>L5185/K5185</f>
        <v/>
      </c>
    </row>
    <row r="5186">
      <c r="A5186" s="58" t="inlineStr">
        <is>
          <t>RT20250512-05185</t>
        </is>
      </c>
      <c r="B5186" s="59" t="inlineStr">
        <is>
          <t>2025-05-12</t>
        </is>
      </c>
      <c r="C5186" s="60" t="inlineStr">
        <is>
          <t>Vertex Supplie Pro-786</t>
        </is>
      </c>
      <c r="D5186" s="58" t="inlineStr">
        <is>
          <t>Office</t>
        </is>
      </c>
      <c r="E5186" s="58" t="inlineStr">
        <is>
          <t>East</t>
        </is>
      </c>
      <c r="F5186" s="61" t="n">
        <v>2</v>
      </c>
      <c r="G5186" s="62" t="n">
        <v>406.77</v>
      </c>
      <c r="H5186" s="63" t="n">
        <v>0</v>
      </c>
      <c r="I5186" s="62" t="n">
        <v>291.69</v>
      </c>
      <c r="J5186" s="58" t="inlineStr">
        <is>
          <t>Store</t>
        </is>
      </c>
      <c r="K5186" s="62">
        <f>F5186*(G5186-H5186)</f>
        <v/>
      </c>
      <c r="L5186" s="62">
        <f>K5186-(F5186*I5186)</f>
        <v/>
      </c>
      <c r="M5186" s="64">
        <f>L5186/K5186</f>
        <v/>
      </c>
    </row>
    <row r="5187">
      <c r="A5187" s="58" t="inlineStr">
        <is>
          <t>RT20250512-05186</t>
        </is>
      </c>
      <c r="B5187" s="59" t="inlineStr">
        <is>
          <t>2025-05-12</t>
        </is>
      </c>
      <c r="C5187" s="60" t="inlineStr">
        <is>
          <t>Solace Team Sport Max-548</t>
        </is>
      </c>
      <c r="D5187" s="58" t="inlineStr">
        <is>
          <t>Sports</t>
        </is>
      </c>
      <c r="E5187" s="58" t="inlineStr">
        <is>
          <t>South</t>
        </is>
      </c>
      <c r="F5187" s="61" t="n">
        <v>3</v>
      </c>
      <c r="G5187" s="62" t="n">
        <v>698.95</v>
      </c>
      <c r="H5187" s="63" t="n">
        <v>0.097</v>
      </c>
      <c r="I5187" s="62" t="n">
        <v>465.04</v>
      </c>
      <c r="J5187" s="58" t="inlineStr">
        <is>
          <t>Store</t>
        </is>
      </c>
      <c r="K5187" s="62">
        <f>F5187*(G5187-H5187)</f>
        <v/>
      </c>
      <c r="L5187" s="62">
        <f>K5187-(F5187*I5187)</f>
        <v/>
      </c>
      <c r="M5187" s="64">
        <f>L5187/K5187</f>
        <v/>
      </c>
    </row>
    <row r="5188">
      <c r="A5188" s="58" t="inlineStr">
        <is>
          <t>RT20250512-05187</t>
        </is>
      </c>
      <c r="B5188" s="59" t="inlineStr">
        <is>
          <t>2025-05-12</t>
        </is>
      </c>
      <c r="C5188" s="60" t="inlineStr">
        <is>
          <t>Solace Makeup Pro-214</t>
        </is>
      </c>
      <c r="D5188" s="58" t="inlineStr">
        <is>
          <t>Beauty</t>
        </is>
      </c>
      <c r="E5188" s="58" t="inlineStr">
        <is>
          <t>South</t>
        </is>
      </c>
      <c r="F5188" s="61" t="n">
        <v>1</v>
      </c>
      <c r="G5188" s="62" t="n">
        <v>117.06</v>
      </c>
      <c r="H5188" s="63" t="n">
        <v>0.056</v>
      </c>
      <c r="I5188" s="62" t="n">
        <v>66.65000000000001</v>
      </c>
      <c r="J5188" s="58" t="inlineStr">
        <is>
          <t>Store</t>
        </is>
      </c>
      <c r="K5188" s="62">
        <f>F5188*(G5188-H5188)</f>
        <v/>
      </c>
      <c r="L5188" s="62">
        <f>K5188-(F5188*I5188)</f>
        <v/>
      </c>
      <c r="M5188" s="64">
        <f>L5188/K5188</f>
        <v/>
      </c>
    </row>
    <row r="5189">
      <c r="A5189" s="58" t="inlineStr">
        <is>
          <t>RT20250512-05188</t>
        </is>
      </c>
      <c r="B5189" s="59" t="inlineStr">
        <is>
          <t>2025-05-12</t>
        </is>
      </c>
      <c r="C5189" s="60" t="inlineStr">
        <is>
          <t>Vertex Appliance S-296</t>
        </is>
      </c>
      <c r="D5189" s="58" t="inlineStr">
        <is>
          <t>Home</t>
        </is>
      </c>
      <c r="E5189" s="58" t="inlineStr">
        <is>
          <t>South</t>
        </is>
      </c>
      <c r="F5189" s="61" t="n">
        <v>2</v>
      </c>
      <c r="G5189" s="62" t="n">
        <v>593.5700000000001</v>
      </c>
      <c r="H5189" s="63" t="n">
        <v>0.091</v>
      </c>
      <c r="I5189" s="62" t="n">
        <v>365.05</v>
      </c>
      <c r="J5189" s="58" t="inlineStr">
        <is>
          <t>Store</t>
        </is>
      </c>
      <c r="K5189" s="62">
        <f>F5189*(G5189-H5189)</f>
        <v/>
      </c>
      <c r="L5189" s="62">
        <f>K5189-(F5189*I5189)</f>
        <v/>
      </c>
      <c r="M5189" s="64">
        <f>L5189/K5189</f>
        <v/>
      </c>
    </row>
    <row r="5190">
      <c r="A5190" s="58" t="inlineStr">
        <is>
          <t>RT20250512-05189</t>
        </is>
      </c>
      <c r="B5190" s="59" t="inlineStr">
        <is>
          <t>2025-05-12</t>
        </is>
      </c>
      <c r="C5190" s="60" t="inlineStr">
        <is>
          <t>Aurora Appliance Lite-109</t>
        </is>
      </c>
      <c r="D5190" s="58" t="inlineStr">
        <is>
          <t>Home</t>
        </is>
      </c>
      <c r="E5190" s="58" t="inlineStr">
        <is>
          <t>West</t>
        </is>
      </c>
      <c r="F5190" s="61" t="n">
        <v>1</v>
      </c>
      <c r="G5190" s="62" t="n">
        <v>300.84</v>
      </c>
      <c r="H5190" s="63" t="n">
        <v>0.039</v>
      </c>
      <c r="I5190" s="62" t="n">
        <v>208.29</v>
      </c>
      <c r="J5190" s="58" t="inlineStr">
        <is>
          <t>Online</t>
        </is>
      </c>
      <c r="K5190" s="62">
        <f>F5190*(G5190-H5190)</f>
        <v/>
      </c>
      <c r="L5190" s="62">
        <f>K5190-(F5190*I5190)</f>
        <v/>
      </c>
      <c r="M5190" s="64">
        <f>L5190/K5190</f>
        <v/>
      </c>
    </row>
    <row r="5191">
      <c r="A5191" s="58" t="inlineStr">
        <is>
          <t>RT20250512-05190</t>
        </is>
      </c>
      <c r="B5191" s="59" t="inlineStr">
        <is>
          <t>2025-05-12</t>
        </is>
      </c>
      <c r="C5191" s="60" t="inlineStr">
        <is>
          <t>Metro Decor Lite-325</t>
        </is>
      </c>
      <c r="D5191" s="58" t="inlineStr">
        <is>
          <t>Home</t>
        </is>
      </c>
      <c r="E5191" s="58" t="inlineStr">
        <is>
          <t>South</t>
        </is>
      </c>
      <c r="F5191" s="61" t="n">
        <v>3</v>
      </c>
      <c r="G5191" s="62" t="n">
        <v>611.9</v>
      </c>
      <c r="H5191" s="63" t="n">
        <v>0.076</v>
      </c>
      <c r="I5191" s="62" t="n">
        <v>387.21</v>
      </c>
      <c r="J5191" s="58" t="inlineStr">
        <is>
          <t>Store</t>
        </is>
      </c>
      <c r="K5191" s="62">
        <f>F5191*(G5191-H5191)</f>
        <v/>
      </c>
      <c r="L5191" s="62">
        <f>K5191-(F5191*I5191)</f>
        <v/>
      </c>
      <c r="M5191" s="64">
        <f>L5191/K5191</f>
        <v/>
      </c>
    </row>
    <row r="5192">
      <c r="A5192" s="58" t="inlineStr">
        <is>
          <t>RT20250512-05191</t>
        </is>
      </c>
      <c r="B5192" s="59" t="inlineStr">
        <is>
          <t>2025-05-12</t>
        </is>
      </c>
      <c r="C5192" s="60" t="inlineStr">
        <is>
          <t>Nimbus Women Plus-352</t>
        </is>
      </c>
      <c r="D5192" s="58" t="inlineStr">
        <is>
          <t>Apparel</t>
        </is>
      </c>
      <c r="E5192" s="58" t="inlineStr">
        <is>
          <t>North</t>
        </is>
      </c>
      <c r="F5192" s="61" t="n">
        <v>3</v>
      </c>
      <c r="G5192" s="62" t="n">
        <v>60.45</v>
      </c>
      <c r="H5192" s="63" t="n">
        <v>0.096</v>
      </c>
      <c r="I5192" s="62" t="n">
        <v>32.91</v>
      </c>
      <c r="J5192" s="58" t="inlineStr">
        <is>
          <t>Online</t>
        </is>
      </c>
      <c r="K5192" s="62">
        <f>F5192*(G5192-H5192)</f>
        <v/>
      </c>
      <c r="L5192" s="62">
        <f>K5192-(F5192*I5192)</f>
        <v/>
      </c>
      <c r="M5192" s="64">
        <f>L5192/K5192</f>
        <v/>
      </c>
    </row>
    <row r="5193">
      <c r="A5193" s="58" t="inlineStr">
        <is>
          <t>RT20250512-05192</t>
        </is>
      </c>
      <c r="B5193" s="59" t="inlineStr">
        <is>
          <t>2025-05-12</t>
        </is>
      </c>
      <c r="C5193" s="60" t="inlineStr">
        <is>
          <t>Metro Pantry Max-180</t>
        </is>
      </c>
      <c r="D5193" s="58" t="inlineStr">
        <is>
          <t>Grocery</t>
        </is>
      </c>
      <c r="E5193" s="58" t="inlineStr">
        <is>
          <t>East</t>
        </is>
      </c>
      <c r="F5193" s="61" t="n">
        <v>8</v>
      </c>
      <c r="G5193" s="62" t="n">
        <v>9.65</v>
      </c>
      <c r="H5193" s="63" t="n">
        <v>0.102</v>
      </c>
      <c r="I5193" s="62" t="n">
        <v>6.52</v>
      </c>
      <c r="J5193" s="58" t="inlineStr">
        <is>
          <t>Store</t>
        </is>
      </c>
      <c r="K5193" s="62">
        <f>F5193*(G5193-H5193)</f>
        <v/>
      </c>
      <c r="L5193" s="62">
        <f>K5193-(F5193*I5193)</f>
        <v/>
      </c>
      <c r="M5193" s="64">
        <f>L5193/K5193</f>
        <v/>
      </c>
    </row>
    <row r="5194">
      <c r="A5194" s="58" t="inlineStr">
        <is>
          <t>RT20250512-05193</t>
        </is>
      </c>
      <c r="B5194" s="59" t="inlineStr">
        <is>
          <t>2025-05-12</t>
        </is>
      </c>
      <c r="C5194" s="60" t="inlineStr">
        <is>
          <t>Aurora Printer Plus-991</t>
        </is>
      </c>
      <c r="D5194" s="58" t="inlineStr">
        <is>
          <t>Office</t>
        </is>
      </c>
      <c r="E5194" s="58" t="inlineStr">
        <is>
          <t>East</t>
        </is>
      </c>
      <c r="F5194" s="61" t="n">
        <v>1</v>
      </c>
      <c r="G5194" s="62" t="n">
        <v>541.12</v>
      </c>
      <c r="H5194" s="63" t="n">
        <v>0.029</v>
      </c>
      <c r="I5194" s="62" t="n">
        <v>377.53</v>
      </c>
      <c r="J5194" s="58" t="inlineStr">
        <is>
          <t>Store</t>
        </is>
      </c>
      <c r="K5194" s="62">
        <f>F5194*(G5194-H5194)</f>
        <v/>
      </c>
      <c r="L5194" s="62">
        <f>K5194-(F5194*I5194)</f>
        <v/>
      </c>
      <c r="M5194" s="64">
        <f>L5194/K5194</f>
        <v/>
      </c>
    </row>
    <row r="5195">
      <c r="A5195" s="58" t="inlineStr">
        <is>
          <t>RT20250512-05194</t>
        </is>
      </c>
      <c r="B5195" s="59" t="inlineStr">
        <is>
          <t>2025-05-12</t>
        </is>
      </c>
      <c r="C5195" s="60" t="inlineStr">
        <is>
          <t>Metro Pantry Max-180</t>
        </is>
      </c>
      <c r="D5195" s="58" t="inlineStr">
        <is>
          <t>Grocery</t>
        </is>
      </c>
      <c r="E5195" s="58" t="inlineStr">
        <is>
          <t>South</t>
        </is>
      </c>
      <c r="F5195" s="61" t="n">
        <v>8</v>
      </c>
      <c r="G5195" s="62" t="n">
        <v>8.76</v>
      </c>
      <c r="H5195" s="63" t="n">
        <v>0.055</v>
      </c>
      <c r="I5195" s="62" t="n">
        <v>6.52</v>
      </c>
      <c r="J5195" s="58" t="inlineStr">
        <is>
          <t>Online</t>
        </is>
      </c>
      <c r="K5195" s="62">
        <f>F5195*(G5195-H5195)</f>
        <v/>
      </c>
      <c r="L5195" s="62">
        <f>K5195-(F5195*I5195)</f>
        <v/>
      </c>
      <c r="M5195" s="64">
        <f>L5195/K5195</f>
        <v/>
      </c>
    </row>
    <row r="5196">
      <c r="A5196" s="58" t="inlineStr">
        <is>
          <t>RT20250512-05195</t>
        </is>
      </c>
      <c r="B5196" s="59" t="inlineStr">
        <is>
          <t>2025-05-12</t>
        </is>
      </c>
      <c r="C5196" s="60" t="inlineStr">
        <is>
          <t>Vertex Printer Max-692</t>
        </is>
      </c>
      <c r="D5196" s="58" t="inlineStr">
        <is>
          <t>Office</t>
        </is>
      </c>
      <c r="E5196" s="58" t="inlineStr">
        <is>
          <t>West</t>
        </is>
      </c>
      <c r="F5196" s="61" t="n">
        <v>1</v>
      </c>
      <c r="G5196" s="62" t="n">
        <v>176.74</v>
      </c>
      <c r="H5196" s="63" t="n">
        <v>0.052</v>
      </c>
      <c r="I5196" s="62" t="n">
        <v>124.61</v>
      </c>
      <c r="J5196" s="58" t="inlineStr">
        <is>
          <t>Store</t>
        </is>
      </c>
      <c r="K5196" s="62">
        <f>F5196*(G5196-H5196)</f>
        <v/>
      </c>
      <c r="L5196" s="62">
        <f>K5196-(F5196*I5196)</f>
        <v/>
      </c>
      <c r="M5196" s="64">
        <f>L5196/K5196</f>
        <v/>
      </c>
    </row>
    <row r="5197">
      <c r="A5197" s="58" t="inlineStr">
        <is>
          <t>RT20250512-05196</t>
        </is>
      </c>
      <c r="B5197" s="59" t="inlineStr">
        <is>
          <t>2025-05-12</t>
        </is>
      </c>
      <c r="C5197" s="60" t="inlineStr">
        <is>
          <t>Polar Haircare Max-614</t>
        </is>
      </c>
      <c r="D5197" s="58" t="inlineStr">
        <is>
          <t>Beauty</t>
        </is>
      </c>
      <c r="E5197" s="58" t="inlineStr">
        <is>
          <t>East</t>
        </is>
      </c>
      <c r="F5197" s="61" t="n">
        <v>5</v>
      </c>
      <c r="G5197" s="62" t="n">
        <v>121.48</v>
      </c>
      <c r="H5197" s="63" t="n">
        <v>0.055</v>
      </c>
      <c r="I5197" s="62" t="n">
        <v>71.48</v>
      </c>
      <c r="J5197" s="58" t="inlineStr">
        <is>
          <t>Store</t>
        </is>
      </c>
      <c r="K5197" s="62">
        <f>F5197*(G5197-H5197)</f>
        <v/>
      </c>
      <c r="L5197" s="62">
        <f>K5197-(F5197*I5197)</f>
        <v/>
      </c>
      <c r="M5197" s="64">
        <f>L5197/K5197</f>
        <v/>
      </c>
    </row>
    <row r="5198">
      <c r="A5198" s="58" t="inlineStr">
        <is>
          <t>RT20250512-05197</t>
        </is>
      </c>
      <c r="B5198" s="59" t="inlineStr">
        <is>
          <t>2025-05-12</t>
        </is>
      </c>
      <c r="C5198" s="60" t="inlineStr">
        <is>
          <t>Polar Outdoor X-193</t>
        </is>
      </c>
      <c r="D5198" s="58" t="inlineStr">
        <is>
          <t>Sports</t>
        </is>
      </c>
      <c r="E5198" s="58" t="inlineStr">
        <is>
          <t>East</t>
        </is>
      </c>
      <c r="F5198" s="61" t="n">
        <v>2</v>
      </c>
      <c r="G5198" s="62" t="n">
        <v>682.36</v>
      </c>
      <c r="H5198" s="63" t="n">
        <v>0.021</v>
      </c>
      <c r="I5198" s="62" t="n">
        <v>468</v>
      </c>
      <c r="J5198" s="58" t="inlineStr">
        <is>
          <t>Online</t>
        </is>
      </c>
      <c r="K5198" s="62">
        <f>F5198*(G5198-H5198)</f>
        <v/>
      </c>
      <c r="L5198" s="62">
        <f>K5198-(F5198*I5198)</f>
        <v/>
      </c>
      <c r="M5198" s="64">
        <f>L5198/K5198</f>
        <v/>
      </c>
    </row>
    <row r="5199">
      <c r="A5199" s="58" t="inlineStr">
        <is>
          <t>RT20250512-05198</t>
        </is>
      </c>
      <c r="B5199" s="59" t="inlineStr">
        <is>
          <t>2025-05-12</t>
        </is>
      </c>
      <c r="C5199" s="60" t="inlineStr">
        <is>
          <t>Polar Supplie Lite-348</t>
        </is>
      </c>
      <c r="D5199" s="58" t="inlineStr">
        <is>
          <t>Office</t>
        </is>
      </c>
      <c r="E5199" s="58" t="inlineStr">
        <is>
          <t>Central</t>
        </is>
      </c>
      <c r="F5199" s="61" t="n">
        <v>2</v>
      </c>
      <c r="G5199" s="62" t="n">
        <v>450.06</v>
      </c>
      <c r="H5199" s="63" t="n">
        <v>0.03</v>
      </c>
      <c r="I5199" s="62" t="n">
        <v>315.24</v>
      </c>
      <c r="J5199" s="58" t="inlineStr">
        <is>
          <t>Phone</t>
        </is>
      </c>
      <c r="K5199" s="62">
        <f>F5199*(G5199-H5199)</f>
        <v/>
      </c>
      <c r="L5199" s="62">
        <f>K5199-(F5199*I5199)</f>
        <v/>
      </c>
      <c r="M5199" s="64">
        <f>L5199/K5199</f>
        <v/>
      </c>
    </row>
    <row r="5200">
      <c r="A5200" s="58" t="inlineStr">
        <is>
          <t>RT20250512-05199</t>
        </is>
      </c>
      <c r="B5200" s="59" t="inlineStr">
        <is>
          <t>2025-05-12</t>
        </is>
      </c>
      <c r="C5200" s="60" t="inlineStr">
        <is>
          <t>Vertex Fitnes Pro-830</t>
        </is>
      </c>
      <c r="D5200" s="58" t="inlineStr">
        <is>
          <t>Sports</t>
        </is>
      </c>
      <c r="E5200" s="58" t="inlineStr">
        <is>
          <t>East</t>
        </is>
      </c>
      <c r="F5200" s="61" t="n">
        <v>1</v>
      </c>
      <c r="G5200" s="62" t="n">
        <v>715.1799999999999</v>
      </c>
      <c r="H5200" s="63" t="n">
        <v>0.036</v>
      </c>
      <c r="I5200" s="62" t="n">
        <v>471.4</v>
      </c>
      <c r="J5200" s="58" t="inlineStr">
        <is>
          <t>Store</t>
        </is>
      </c>
      <c r="K5200" s="62">
        <f>F5200*(G5200-H5200)</f>
        <v/>
      </c>
      <c r="L5200" s="62">
        <f>K5200-(F5200*I5200)</f>
        <v/>
      </c>
      <c r="M5200" s="64">
        <f>L5200/K5200</f>
        <v/>
      </c>
    </row>
    <row r="5201">
      <c r="A5201" s="58" t="inlineStr">
        <is>
          <t>RT20250512-05200</t>
        </is>
      </c>
      <c r="B5201" s="59" t="inlineStr">
        <is>
          <t>2025-05-12</t>
        </is>
      </c>
      <c r="C5201" s="60" t="inlineStr">
        <is>
          <t>Nimbus Cycling Plus-911</t>
        </is>
      </c>
      <c r="D5201" s="58" t="inlineStr">
        <is>
          <t>Sports</t>
        </is>
      </c>
      <c r="E5201" s="58" t="inlineStr">
        <is>
          <t>East</t>
        </is>
      </c>
      <c r="F5201" s="61" t="n">
        <v>3</v>
      </c>
      <c r="G5201" s="62" t="n">
        <v>532.7</v>
      </c>
      <c r="H5201" s="63" t="n">
        <v>0.05</v>
      </c>
      <c r="I5201" s="62" t="n">
        <v>401.67</v>
      </c>
      <c r="J5201" s="58" t="inlineStr">
        <is>
          <t>Store</t>
        </is>
      </c>
      <c r="K5201" s="62">
        <f>F5201*(G5201-H5201)</f>
        <v/>
      </c>
      <c r="L5201" s="62">
        <f>K5201-(F5201*I5201)</f>
        <v/>
      </c>
      <c r="M5201" s="64">
        <f>L5201/K5201</f>
        <v/>
      </c>
    </row>
    <row r="5202">
      <c r="A5202" s="58" t="inlineStr">
        <is>
          <t>RT20250512-05201</t>
        </is>
      </c>
      <c r="B5202" s="59" t="inlineStr">
        <is>
          <t>2025-05-12</t>
        </is>
      </c>
      <c r="C5202" s="60" t="inlineStr">
        <is>
          <t>Aurora Fragrance S-971</t>
        </is>
      </c>
      <c r="D5202" s="58" t="inlineStr">
        <is>
          <t>Beauty</t>
        </is>
      </c>
      <c r="E5202" s="58" t="inlineStr">
        <is>
          <t>South</t>
        </is>
      </c>
      <c r="F5202" s="61" t="n">
        <v>5</v>
      </c>
      <c r="G5202" s="62" t="n">
        <v>114.24</v>
      </c>
      <c r="H5202" s="63" t="n">
        <v>0.029</v>
      </c>
      <c r="I5202" s="62" t="n">
        <v>63.32</v>
      </c>
      <c r="J5202" s="58" t="inlineStr">
        <is>
          <t>Online</t>
        </is>
      </c>
      <c r="K5202" s="62">
        <f>F5202*(G5202-H5202)</f>
        <v/>
      </c>
      <c r="L5202" s="62">
        <f>K5202-(F5202*I5202)</f>
        <v/>
      </c>
      <c r="M5202" s="64">
        <f>L5202/K5202</f>
        <v/>
      </c>
    </row>
    <row r="5203">
      <c r="A5203" s="58" t="inlineStr">
        <is>
          <t>RT20250512-05202</t>
        </is>
      </c>
      <c r="B5203" s="59" t="inlineStr">
        <is>
          <t>2025-05-12</t>
        </is>
      </c>
      <c r="C5203" s="60" t="inlineStr">
        <is>
          <t>Solace Fitnes S-324</t>
        </is>
      </c>
      <c r="D5203" s="58" t="inlineStr">
        <is>
          <t>Sports</t>
        </is>
      </c>
      <c r="E5203" s="58" t="inlineStr">
        <is>
          <t>North</t>
        </is>
      </c>
      <c r="F5203" s="61" t="n">
        <v>2</v>
      </c>
      <c r="G5203" s="62" t="n">
        <v>769.35</v>
      </c>
      <c r="H5203" s="63" t="n">
        <v>0.041</v>
      </c>
      <c r="I5203" s="62" t="n">
        <v>515.67</v>
      </c>
      <c r="J5203" s="58" t="inlineStr">
        <is>
          <t>Store</t>
        </is>
      </c>
      <c r="K5203" s="62">
        <f>F5203*(G5203-H5203)</f>
        <v/>
      </c>
      <c r="L5203" s="62">
        <f>K5203-(F5203*I5203)</f>
        <v/>
      </c>
      <c r="M5203" s="64">
        <f>L5203/K5203</f>
        <v/>
      </c>
    </row>
    <row r="5204">
      <c r="A5204" s="58" t="inlineStr">
        <is>
          <t>RT20250512-05203</t>
        </is>
      </c>
      <c r="B5204" s="59" t="inlineStr">
        <is>
          <t>2025-05-12</t>
        </is>
      </c>
      <c r="C5204" s="60" t="inlineStr">
        <is>
          <t>Falcon Headphone Plus-789</t>
        </is>
      </c>
      <c r="D5204" s="58" t="inlineStr">
        <is>
          <t>Electronics</t>
        </is>
      </c>
      <c r="E5204" s="58" t="inlineStr">
        <is>
          <t>Central</t>
        </is>
      </c>
      <c r="F5204" s="61" t="n">
        <v>1</v>
      </c>
      <c r="G5204" s="62" t="n">
        <v>1754.29</v>
      </c>
      <c r="H5204" s="63" t="n">
        <v>0.004</v>
      </c>
      <c r="I5204" s="62" t="n">
        <v>1307.41</v>
      </c>
      <c r="J5204" s="58" t="inlineStr">
        <is>
          <t>Phone</t>
        </is>
      </c>
      <c r="K5204" s="62">
        <f>F5204*(G5204-H5204)</f>
        <v/>
      </c>
      <c r="L5204" s="62">
        <f>K5204-(F5204*I5204)</f>
        <v/>
      </c>
      <c r="M5204" s="64">
        <f>L5204/K5204</f>
        <v/>
      </c>
    </row>
    <row r="5205">
      <c r="A5205" s="58" t="inlineStr">
        <is>
          <t>RT20250512-05204</t>
        </is>
      </c>
      <c r="B5205" s="59" t="inlineStr">
        <is>
          <t>2025-05-12</t>
        </is>
      </c>
      <c r="C5205" s="60" t="inlineStr">
        <is>
          <t>Falcon Kitchen X-130</t>
        </is>
      </c>
      <c r="D5205" s="58" t="inlineStr">
        <is>
          <t>Home</t>
        </is>
      </c>
      <c r="E5205" s="58" t="inlineStr">
        <is>
          <t>Central</t>
        </is>
      </c>
      <c r="F5205" s="61" t="n">
        <v>1</v>
      </c>
      <c r="G5205" s="62" t="n">
        <v>454.81</v>
      </c>
      <c r="H5205" s="63" t="n">
        <v>0</v>
      </c>
      <c r="I5205" s="62" t="n">
        <v>280.66</v>
      </c>
      <c r="J5205" s="58" t="inlineStr">
        <is>
          <t>Phone</t>
        </is>
      </c>
      <c r="K5205" s="62">
        <f>F5205*(G5205-H5205)</f>
        <v/>
      </c>
      <c r="L5205" s="62">
        <f>K5205-(F5205*I5205)</f>
        <v/>
      </c>
      <c r="M5205" s="64">
        <f>L5205/K5205</f>
        <v/>
      </c>
    </row>
    <row r="5206">
      <c r="A5206" s="58" t="inlineStr">
        <is>
          <t>RT20250512-05205</t>
        </is>
      </c>
      <c r="B5206" s="59" t="inlineStr">
        <is>
          <t>2025-05-12</t>
        </is>
      </c>
      <c r="C5206" s="60" t="inlineStr">
        <is>
          <t>Vertex Accessorie Pro-881</t>
        </is>
      </c>
      <c r="D5206" s="58" t="inlineStr">
        <is>
          <t>Apparel</t>
        </is>
      </c>
      <c r="E5206" s="58" t="inlineStr">
        <is>
          <t>West</t>
        </is>
      </c>
      <c r="F5206" s="61" t="n">
        <v>1</v>
      </c>
      <c r="G5206" s="62" t="n">
        <v>121.01</v>
      </c>
      <c r="H5206" s="63" t="n">
        <v>0.03</v>
      </c>
      <c r="I5206" s="62" t="n">
        <v>61.63</v>
      </c>
      <c r="J5206" s="58" t="inlineStr">
        <is>
          <t>Store</t>
        </is>
      </c>
      <c r="K5206" s="62">
        <f>F5206*(G5206-H5206)</f>
        <v/>
      </c>
      <c r="L5206" s="62">
        <f>K5206-(F5206*I5206)</f>
        <v/>
      </c>
      <c r="M5206" s="64">
        <f>L5206/K5206</f>
        <v/>
      </c>
    </row>
    <row r="5207">
      <c r="A5207" s="58" t="inlineStr">
        <is>
          <t>RT20250513-05206</t>
        </is>
      </c>
      <c r="B5207" s="59" t="inlineStr">
        <is>
          <t>2025-05-13</t>
        </is>
      </c>
      <c r="C5207" s="60" t="inlineStr">
        <is>
          <t>Aurora Skincare Max-798</t>
        </is>
      </c>
      <c r="D5207" s="58" t="inlineStr">
        <is>
          <t>Beauty</t>
        </is>
      </c>
      <c r="E5207" s="58" t="inlineStr">
        <is>
          <t>East</t>
        </is>
      </c>
      <c r="F5207" s="61" t="n">
        <v>2</v>
      </c>
      <c r="G5207" s="62" t="n">
        <v>111.04</v>
      </c>
      <c r="H5207" s="63" t="n">
        <v>0.08400000000000001</v>
      </c>
      <c r="I5207" s="62" t="n">
        <v>66.78</v>
      </c>
      <c r="J5207" s="58" t="inlineStr">
        <is>
          <t>Store</t>
        </is>
      </c>
      <c r="K5207" s="62">
        <f>F5207*(G5207-H5207)</f>
        <v/>
      </c>
      <c r="L5207" s="62">
        <f>K5207-(F5207*I5207)</f>
        <v/>
      </c>
      <c r="M5207" s="64">
        <f>L5207/K5207</f>
        <v/>
      </c>
    </row>
    <row r="5208">
      <c r="A5208" s="58" t="inlineStr">
        <is>
          <t>RT20250513-05207</t>
        </is>
      </c>
      <c r="B5208" s="59" t="inlineStr">
        <is>
          <t>2025-05-13</t>
        </is>
      </c>
      <c r="C5208" s="60" t="inlineStr">
        <is>
          <t>Aurora Wearable Lite-162</t>
        </is>
      </c>
      <c r="D5208" s="58" t="inlineStr">
        <is>
          <t>Electronics</t>
        </is>
      </c>
      <c r="E5208" s="58" t="inlineStr">
        <is>
          <t>Central</t>
        </is>
      </c>
      <c r="F5208" s="61" t="n">
        <v>2</v>
      </c>
      <c r="G5208" s="62" t="n">
        <v>1586.36</v>
      </c>
      <c r="H5208" s="63" t="n">
        <v>0.073</v>
      </c>
      <c r="I5208" s="62" t="n">
        <v>1175.91</v>
      </c>
      <c r="J5208" s="58" t="inlineStr">
        <is>
          <t>Store</t>
        </is>
      </c>
      <c r="K5208" s="62">
        <f>F5208*(G5208-H5208)</f>
        <v/>
      </c>
      <c r="L5208" s="62">
        <f>K5208-(F5208*I5208)</f>
        <v/>
      </c>
      <c r="M5208" s="64">
        <f>L5208/K5208</f>
        <v/>
      </c>
    </row>
    <row r="5209">
      <c r="A5209" s="58" t="inlineStr">
        <is>
          <t>RT20250513-05208</t>
        </is>
      </c>
      <c r="B5209" s="59" t="inlineStr">
        <is>
          <t>2025-05-13</t>
        </is>
      </c>
      <c r="C5209" s="60" t="inlineStr">
        <is>
          <t>Metro Smartphone Max-773</t>
        </is>
      </c>
      <c r="D5209" s="58" t="inlineStr">
        <is>
          <t>Electronics</t>
        </is>
      </c>
      <c r="E5209" s="58" t="inlineStr">
        <is>
          <t>East</t>
        </is>
      </c>
      <c r="F5209" s="61" t="n">
        <v>1</v>
      </c>
      <c r="G5209" s="62" t="n">
        <v>1610.24</v>
      </c>
      <c r="H5209" s="63" t="n">
        <v>0.028</v>
      </c>
      <c r="I5209" s="62" t="n">
        <v>1136.8</v>
      </c>
      <c r="J5209" s="58" t="inlineStr">
        <is>
          <t>Online</t>
        </is>
      </c>
      <c r="K5209" s="62">
        <f>F5209*(G5209-H5209)</f>
        <v/>
      </c>
      <c r="L5209" s="62">
        <f>K5209-(F5209*I5209)</f>
        <v/>
      </c>
      <c r="M5209" s="64">
        <f>L5209/K5209</f>
        <v/>
      </c>
    </row>
    <row r="5210">
      <c r="A5210" s="58" t="inlineStr">
        <is>
          <t>RT20250513-05209</t>
        </is>
      </c>
      <c r="B5210" s="59" t="inlineStr">
        <is>
          <t>2025-05-13</t>
        </is>
      </c>
      <c r="C5210" s="60" t="inlineStr">
        <is>
          <t>Aurora Kid Plus-151</t>
        </is>
      </c>
      <c r="D5210" s="58" t="inlineStr">
        <is>
          <t>Apparel</t>
        </is>
      </c>
      <c r="E5210" s="58" t="inlineStr">
        <is>
          <t>East</t>
        </is>
      </c>
      <c r="F5210" s="61" t="n">
        <v>2</v>
      </c>
      <c r="G5210" s="62" t="n">
        <v>117.35</v>
      </c>
      <c r="H5210" s="63" t="n">
        <v>0.105</v>
      </c>
      <c r="I5210" s="62" t="n">
        <v>64.94</v>
      </c>
      <c r="J5210" s="58" t="inlineStr">
        <is>
          <t>Online</t>
        </is>
      </c>
      <c r="K5210" s="62">
        <f>F5210*(G5210-H5210)</f>
        <v/>
      </c>
      <c r="L5210" s="62">
        <f>K5210-(F5210*I5210)</f>
        <v/>
      </c>
      <c r="M5210" s="64">
        <f>L5210/K5210</f>
        <v/>
      </c>
    </row>
    <row r="5211">
      <c r="A5211" s="58" t="inlineStr">
        <is>
          <t>RT20250513-05210</t>
        </is>
      </c>
      <c r="B5211" s="59" t="inlineStr">
        <is>
          <t>2025-05-13</t>
        </is>
      </c>
      <c r="C5211" s="60" t="inlineStr">
        <is>
          <t>Aurora Household Plus-146</t>
        </is>
      </c>
      <c r="D5211" s="58" t="inlineStr">
        <is>
          <t>Grocery</t>
        </is>
      </c>
      <c r="E5211" s="58" t="inlineStr">
        <is>
          <t>Central</t>
        </is>
      </c>
      <c r="F5211" s="61" t="n">
        <v>3</v>
      </c>
      <c r="G5211" s="62" t="n">
        <v>5.89</v>
      </c>
      <c r="H5211" s="63" t="n">
        <v>0.036</v>
      </c>
      <c r="I5211" s="62" t="n">
        <v>4.49</v>
      </c>
      <c r="J5211" s="58" t="inlineStr">
        <is>
          <t>Online</t>
        </is>
      </c>
      <c r="K5211" s="62">
        <f>F5211*(G5211-H5211)</f>
        <v/>
      </c>
      <c r="L5211" s="62">
        <f>K5211-(F5211*I5211)</f>
        <v/>
      </c>
      <c r="M5211" s="64">
        <f>L5211/K5211</f>
        <v/>
      </c>
    </row>
    <row r="5212">
      <c r="A5212" s="58" t="inlineStr">
        <is>
          <t>RT20250513-05211</t>
        </is>
      </c>
      <c r="B5212" s="59" t="inlineStr">
        <is>
          <t>2025-05-13</t>
        </is>
      </c>
      <c r="C5212" s="60" t="inlineStr">
        <is>
          <t>Polar Women Max-927</t>
        </is>
      </c>
      <c r="D5212" s="58" t="inlineStr">
        <is>
          <t>Apparel</t>
        </is>
      </c>
      <c r="E5212" s="58" t="inlineStr">
        <is>
          <t>North</t>
        </is>
      </c>
      <c r="F5212" s="61" t="n">
        <v>1</v>
      </c>
      <c r="G5212" s="62" t="n">
        <v>113.85</v>
      </c>
      <c r="H5212" s="63" t="n">
        <v>0.04</v>
      </c>
      <c r="I5212" s="62" t="n">
        <v>63.8</v>
      </c>
      <c r="J5212" s="58" t="inlineStr">
        <is>
          <t>Store</t>
        </is>
      </c>
      <c r="K5212" s="62">
        <f>F5212*(G5212-H5212)</f>
        <v/>
      </c>
      <c r="L5212" s="62">
        <f>K5212-(F5212*I5212)</f>
        <v/>
      </c>
      <c r="M5212" s="64">
        <f>L5212/K5212</f>
        <v/>
      </c>
    </row>
    <row r="5213">
      <c r="A5213" s="58" t="inlineStr">
        <is>
          <t>RT20250513-05212</t>
        </is>
      </c>
      <c r="B5213" s="59" t="inlineStr">
        <is>
          <t>2025-05-13</t>
        </is>
      </c>
      <c r="C5213" s="60" t="inlineStr">
        <is>
          <t>Vertex Appliance S-159</t>
        </is>
      </c>
      <c r="D5213" s="58" t="inlineStr">
        <is>
          <t>Home</t>
        </is>
      </c>
      <c r="E5213" s="58" t="inlineStr">
        <is>
          <t>East</t>
        </is>
      </c>
      <c r="F5213" s="61" t="n">
        <v>1</v>
      </c>
      <c r="G5213" s="62" t="n">
        <v>472.22</v>
      </c>
      <c r="H5213" s="63" t="n">
        <v>0.09</v>
      </c>
      <c r="I5213" s="62" t="n">
        <v>299.92</v>
      </c>
      <c r="J5213" s="58" t="inlineStr">
        <is>
          <t>Online</t>
        </is>
      </c>
      <c r="K5213" s="62">
        <f>F5213*(G5213-H5213)</f>
        <v/>
      </c>
      <c r="L5213" s="62">
        <f>K5213-(F5213*I5213)</f>
        <v/>
      </c>
      <c r="M5213" s="64">
        <f>L5213/K5213</f>
        <v/>
      </c>
    </row>
    <row r="5214">
      <c r="A5214" s="58" t="inlineStr">
        <is>
          <t>RT20250513-05213</t>
        </is>
      </c>
      <c r="B5214" s="59" t="inlineStr">
        <is>
          <t>2025-05-13</t>
        </is>
      </c>
      <c r="C5214" s="60" t="inlineStr">
        <is>
          <t>Aurora Appliance Lite-109</t>
        </is>
      </c>
      <c r="D5214" s="58" t="inlineStr">
        <is>
          <t>Home</t>
        </is>
      </c>
      <c r="E5214" s="58" t="inlineStr">
        <is>
          <t>West</t>
        </is>
      </c>
      <c r="F5214" s="61" t="n">
        <v>2</v>
      </c>
      <c r="G5214" s="62" t="n">
        <v>302.14</v>
      </c>
      <c r="H5214" s="63" t="n">
        <v>0.076</v>
      </c>
      <c r="I5214" s="62" t="n">
        <v>204.17</v>
      </c>
      <c r="J5214" s="58" t="inlineStr">
        <is>
          <t>Online</t>
        </is>
      </c>
      <c r="K5214" s="62">
        <f>F5214*(G5214-H5214)</f>
        <v/>
      </c>
      <c r="L5214" s="62">
        <f>K5214-(F5214*I5214)</f>
        <v/>
      </c>
      <c r="M5214" s="64">
        <f>L5214/K5214</f>
        <v/>
      </c>
    </row>
    <row r="5215">
      <c r="A5215" s="58" t="inlineStr">
        <is>
          <t>RT20250513-05214</t>
        </is>
      </c>
      <c r="B5215" s="59" t="inlineStr">
        <is>
          <t>2025-05-13</t>
        </is>
      </c>
      <c r="C5215" s="60" t="inlineStr">
        <is>
          <t>Orion Kid Max-864</t>
        </is>
      </c>
      <c r="D5215" s="58" t="inlineStr">
        <is>
          <t>Apparel</t>
        </is>
      </c>
      <c r="E5215" s="58" t="inlineStr">
        <is>
          <t>Central</t>
        </is>
      </c>
      <c r="F5215" s="61" t="n">
        <v>3</v>
      </c>
      <c r="G5215" s="62" t="n">
        <v>91.63</v>
      </c>
      <c r="H5215" s="63" t="n">
        <v>0.1</v>
      </c>
      <c r="I5215" s="62" t="n">
        <v>46.88</v>
      </c>
      <c r="J5215" s="58" t="inlineStr">
        <is>
          <t>Store</t>
        </is>
      </c>
      <c r="K5215" s="62">
        <f>F5215*(G5215-H5215)</f>
        <v/>
      </c>
      <c r="L5215" s="62">
        <f>K5215-(F5215*I5215)</f>
        <v/>
      </c>
      <c r="M5215" s="64">
        <f>L5215/K5215</f>
        <v/>
      </c>
    </row>
    <row r="5216">
      <c r="A5216" s="58" t="inlineStr">
        <is>
          <t>RT20250513-05215</t>
        </is>
      </c>
      <c r="B5216" s="59" t="inlineStr">
        <is>
          <t>2025-05-13</t>
        </is>
      </c>
      <c r="C5216" s="60" t="inlineStr">
        <is>
          <t>Polar Wearable X-119</t>
        </is>
      </c>
      <c r="D5216" s="58" t="inlineStr">
        <is>
          <t>Electronics</t>
        </is>
      </c>
      <c r="E5216" s="58" t="inlineStr">
        <is>
          <t>Central</t>
        </is>
      </c>
      <c r="F5216" s="61" t="n">
        <v>2</v>
      </c>
      <c r="G5216" s="62" t="n">
        <v>1533.25</v>
      </c>
      <c r="H5216" s="63" t="n">
        <v>0.052</v>
      </c>
      <c r="I5216" s="62" t="n">
        <v>1325.07</v>
      </c>
      <c r="J5216" s="58" t="inlineStr">
        <is>
          <t>Online</t>
        </is>
      </c>
      <c r="K5216" s="62">
        <f>F5216*(G5216-H5216)</f>
        <v/>
      </c>
      <c r="L5216" s="62">
        <f>K5216-(F5216*I5216)</f>
        <v/>
      </c>
      <c r="M5216" s="64">
        <f>L5216/K5216</f>
        <v/>
      </c>
    </row>
    <row r="5217">
      <c r="A5217" s="58" t="inlineStr">
        <is>
          <t>RT20250513-05216</t>
        </is>
      </c>
      <c r="B5217" s="59" t="inlineStr">
        <is>
          <t>2025-05-13</t>
        </is>
      </c>
      <c r="C5217" s="60" t="inlineStr">
        <is>
          <t>Aurora Printer Plus-723</t>
        </is>
      </c>
      <c r="D5217" s="58" t="inlineStr">
        <is>
          <t>Office</t>
        </is>
      </c>
      <c r="E5217" s="58" t="inlineStr">
        <is>
          <t>East</t>
        </is>
      </c>
      <c r="F5217" s="61" t="n">
        <v>1</v>
      </c>
      <c r="G5217" s="62" t="n">
        <v>226.74</v>
      </c>
      <c r="H5217" s="63" t="n">
        <v>0.06900000000000001</v>
      </c>
      <c r="I5217" s="62" t="n">
        <v>190.5</v>
      </c>
      <c r="J5217" s="58" t="inlineStr">
        <is>
          <t>Online</t>
        </is>
      </c>
      <c r="K5217" s="62">
        <f>F5217*(G5217-H5217)</f>
        <v/>
      </c>
      <c r="L5217" s="62">
        <f>K5217-(F5217*I5217)</f>
        <v/>
      </c>
      <c r="M5217" s="64">
        <f>L5217/K5217</f>
        <v/>
      </c>
    </row>
    <row r="5218">
      <c r="A5218" s="58" t="inlineStr">
        <is>
          <t>RT20250513-05217</t>
        </is>
      </c>
      <c r="B5218" s="59" t="inlineStr">
        <is>
          <t>2025-05-13</t>
        </is>
      </c>
      <c r="C5218" s="60" t="inlineStr">
        <is>
          <t>Metro Outdoor Plus-787</t>
        </is>
      </c>
      <c r="D5218" s="58" t="inlineStr">
        <is>
          <t>Sports</t>
        </is>
      </c>
      <c r="E5218" s="58" t="inlineStr">
        <is>
          <t>North</t>
        </is>
      </c>
      <c r="F5218" s="61" t="n">
        <v>3</v>
      </c>
      <c r="G5218" s="62" t="n">
        <v>561.98</v>
      </c>
      <c r="H5218" s="63" t="n">
        <v>0.008</v>
      </c>
      <c r="I5218" s="62" t="n">
        <v>360.08</v>
      </c>
      <c r="J5218" s="58" t="inlineStr">
        <is>
          <t>Online</t>
        </is>
      </c>
      <c r="K5218" s="62">
        <f>F5218*(G5218-H5218)</f>
        <v/>
      </c>
      <c r="L5218" s="62">
        <f>K5218-(F5218*I5218)</f>
        <v/>
      </c>
      <c r="M5218" s="64">
        <f>L5218/K5218</f>
        <v/>
      </c>
    </row>
    <row r="5219">
      <c r="A5219" s="58" t="inlineStr">
        <is>
          <t>RT20250513-05218</t>
        </is>
      </c>
      <c r="B5219" s="59" t="inlineStr">
        <is>
          <t>2025-05-13</t>
        </is>
      </c>
      <c r="C5219" s="60" t="inlineStr">
        <is>
          <t>Vertex Furniture S-652</t>
        </is>
      </c>
      <c r="D5219" s="58" t="inlineStr">
        <is>
          <t>Office</t>
        </is>
      </c>
      <c r="E5219" s="58" t="inlineStr">
        <is>
          <t>Central</t>
        </is>
      </c>
      <c r="F5219" s="61" t="n">
        <v>2</v>
      </c>
      <c r="G5219" s="62" t="n">
        <v>350.8</v>
      </c>
      <c r="H5219" s="63" t="n">
        <v>0.022</v>
      </c>
      <c r="I5219" s="62" t="n">
        <v>267.88</v>
      </c>
      <c r="J5219" s="58" t="inlineStr">
        <is>
          <t>Phone</t>
        </is>
      </c>
      <c r="K5219" s="62">
        <f>F5219*(G5219-H5219)</f>
        <v/>
      </c>
      <c r="L5219" s="62">
        <f>K5219-(F5219*I5219)</f>
        <v/>
      </c>
      <c r="M5219" s="64">
        <f>L5219/K5219</f>
        <v/>
      </c>
    </row>
    <row r="5220">
      <c r="A5220" s="58" t="inlineStr">
        <is>
          <t>RT20250513-05219</t>
        </is>
      </c>
      <c r="B5220" s="59" t="inlineStr">
        <is>
          <t>2025-05-13</t>
        </is>
      </c>
      <c r="C5220" s="60" t="inlineStr">
        <is>
          <t>Polar Cycling S-223</t>
        </is>
      </c>
      <c r="D5220" s="58" t="inlineStr">
        <is>
          <t>Sports</t>
        </is>
      </c>
      <c r="E5220" s="58" t="inlineStr">
        <is>
          <t>North</t>
        </is>
      </c>
      <c r="F5220" s="61" t="n">
        <v>1</v>
      </c>
      <c r="G5220" s="62" t="n">
        <v>1047.86</v>
      </c>
      <c r="H5220" s="63" t="n">
        <v>0.06</v>
      </c>
      <c r="I5220" s="62" t="n">
        <v>647.27</v>
      </c>
      <c r="J5220" s="58" t="inlineStr">
        <is>
          <t>Store</t>
        </is>
      </c>
      <c r="K5220" s="62">
        <f>F5220*(G5220-H5220)</f>
        <v/>
      </c>
      <c r="L5220" s="62">
        <f>K5220-(F5220*I5220)</f>
        <v/>
      </c>
      <c r="M5220" s="64">
        <f>L5220/K5220</f>
        <v/>
      </c>
    </row>
    <row r="5221">
      <c r="A5221" s="58" t="inlineStr">
        <is>
          <t>RT20250513-05220</t>
        </is>
      </c>
      <c r="B5221" s="59" t="inlineStr">
        <is>
          <t>2025-05-13</t>
        </is>
      </c>
      <c r="C5221" s="60" t="inlineStr">
        <is>
          <t>Nimbus Women Plus-352</t>
        </is>
      </c>
      <c r="D5221" s="58" t="inlineStr">
        <is>
          <t>Apparel</t>
        </is>
      </c>
      <c r="E5221" s="58" t="inlineStr">
        <is>
          <t>East</t>
        </is>
      </c>
      <c r="F5221" s="61" t="n">
        <v>2</v>
      </c>
      <c r="G5221" s="62" t="n">
        <v>58.28</v>
      </c>
      <c r="H5221" s="63" t="n">
        <v>0.07000000000000001</v>
      </c>
      <c r="I5221" s="62" t="n">
        <v>32.26</v>
      </c>
      <c r="J5221" s="58" t="inlineStr">
        <is>
          <t>Online</t>
        </is>
      </c>
      <c r="K5221" s="62">
        <f>F5221*(G5221-H5221)</f>
        <v/>
      </c>
      <c r="L5221" s="62">
        <f>K5221-(F5221*I5221)</f>
        <v/>
      </c>
      <c r="M5221" s="64">
        <f>L5221/K5221</f>
        <v/>
      </c>
    </row>
    <row r="5222">
      <c r="A5222" s="58" t="inlineStr">
        <is>
          <t>RT20250513-05221</t>
        </is>
      </c>
      <c r="B5222" s="59" t="inlineStr">
        <is>
          <t>2025-05-13</t>
        </is>
      </c>
      <c r="C5222" s="60" t="inlineStr">
        <is>
          <t>Orion Haircare Plus-887</t>
        </is>
      </c>
      <c r="D5222" s="58" t="inlineStr">
        <is>
          <t>Beauty</t>
        </is>
      </c>
      <c r="E5222" s="58" t="inlineStr">
        <is>
          <t>East</t>
        </is>
      </c>
      <c r="F5222" s="61" t="n">
        <v>1</v>
      </c>
      <c r="G5222" s="62" t="n">
        <v>53.37</v>
      </c>
      <c r="H5222" s="63" t="n">
        <v>0.034</v>
      </c>
      <c r="I5222" s="62" t="n">
        <v>31.82</v>
      </c>
      <c r="J5222" s="58" t="inlineStr">
        <is>
          <t>Store</t>
        </is>
      </c>
      <c r="K5222" s="62">
        <f>F5222*(G5222-H5222)</f>
        <v/>
      </c>
      <c r="L5222" s="62">
        <f>K5222-(F5222*I5222)</f>
        <v/>
      </c>
      <c r="M5222" s="64">
        <f>L5222/K5222</f>
        <v/>
      </c>
    </row>
    <row r="5223">
      <c r="A5223" s="58" t="inlineStr">
        <is>
          <t>RT20250513-05222</t>
        </is>
      </c>
      <c r="B5223" s="59" t="inlineStr">
        <is>
          <t>2025-05-13</t>
        </is>
      </c>
      <c r="C5223" s="60" t="inlineStr">
        <is>
          <t>Solace Kitchen Pro-510</t>
        </is>
      </c>
      <c r="D5223" s="58" t="inlineStr">
        <is>
          <t>Home</t>
        </is>
      </c>
      <c r="E5223" s="58" t="inlineStr">
        <is>
          <t>East</t>
        </is>
      </c>
      <c r="F5223" s="61" t="n">
        <v>3</v>
      </c>
      <c r="G5223" s="62" t="n">
        <v>438.74</v>
      </c>
      <c r="H5223" s="63" t="n">
        <v>0.066</v>
      </c>
      <c r="I5223" s="62" t="n">
        <v>312.7</v>
      </c>
      <c r="J5223" s="58" t="inlineStr">
        <is>
          <t>Store</t>
        </is>
      </c>
      <c r="K5223" s="62">
        <f>F5223*(G5223-H5223)</f>
        <v/>
      </c>
      <c r="L5223" s="62">
        <f>K5223-(F5223*I5223)</f>
        <v/>
      </c>
      <c r="M5223" s="64">
        <f>L5223/K5223</f>
        <v/>
      </c>
    </row>
    <row r="5224">
      <c r="A5224" s="58" t="inlineStr">
        <is>
          <t>RT20250513-05223</t>
        </is>
      </c>
      <c r="B5224" s="59" t="inlineStr">
        <is>
          <t>2025-05-13</t>
        </is>
      </c>
      <c r="C5224" s="60" t="inlineStr">
        <is>
          <t>Falcon Haircare Pro-980</t>
        </is>
      </c>
      <c r="D5224" s="58" t="inlineStr">
        <is>
          <t>Beauty</t>
        </is>
      </c>
      <c r="E5224" s="58" t="inlineStr">
        <is>
          <t>Central</t>
        </is>
      </c>
      <c r="F5224" s="61" t="n">
        <v>5</v>
      </c>
      <c r="G5224" s="62" t="n">
        <v>75.72</v>
      </c>
      <c r="H5224" s="63" t="n">
        <v>0.097</v>
      </c>
      <c r="I5224" s="62" t="n">
        <v>56.72</v>
      </c>
      <c r="J5224" s="58" t="inlineStr">
        <is>
          <t>Store</t>
        </is>
      </c>
      <c r="K5224" s="62">
        <f>F5224*(G5224-H5224)</f>
        <v/>
      </c>
      <c r="L5224" s="62">
        <f>K5224-(F5224*I5224)</f>
        <v/>
      </c>
      <c r="M5224" s="64">
        <f>L5224/K5224</f>
        <v/>
      </c>
    </row>
    <row r="5225">
      <c r="A5225" s="58" t="inlineStr">
        <is>
          <t>RT20250513-05224</t>
        </is>
      </c>
      <c r="B5225" s="59" t="inlineStr">
        <is>
          <t>2025-05-13</t>
        </is>
      </c>
      <c r="C5225" s="60" t="inlineStr">
        <is>
          <t>Falcon Beverage Max-702</t>
        </is>
      </c>
      <c r="D5225" s="58" t="inlineStr">
        <is>
          <t>Grocery</t>
        </is>
      </c>
      <c r="E5225" s="58" t="inlineStr">
        <is>
          <t>East</t>
        </is>
      </c>
      <c r="F5225" s="61" t="n">
        <v>7</v>
      </c>
      <c r="G5225" s="62" t="n">
        <v>26.56</v>
      </c>
      <c r="H5225" s="63" t="n">
        <v>0.092</v>
      </c>
      <c r="I5225" s="62" t="n">
        <v>19.82</v>
      </c>
      <c r="J5225" s="58" t="inlineStr">
        <is>
          <t>Store</t>
        </is>
      </c>
      <c r="K5225" s="62">
        <f>F5225*(G5225-H5225)</f>
        <v/>
      </c>
      <c r="L5225" s="62">
        <f>K5225-(F5225*I5225)</f>
        <v/>
      </c>
      <c r="M5225" s="64">
        <f>L5225/K5225</f>
        <v/>
      </c>
    </row>
    <row r="5226">
      <c r="A5226" s="58" t="inlineStr">
        <is>
          <t>RT20250513-05225</t>
        </is>
      </c>
      <c r="B5226" s="59" t="inlineStr">
        <is>
          <t>2025-05-13</t>
        </is>
      </c>
      <c r="C5226" s="60" t="inlineStr">
        <is>
          <t>Vertex Supplie X-513</t>
        </is>
      </c>
      <c r="D5226" s="58" t="inlineStr">
        <is>
          <t>Office</t>
        </is>
      </c>
      <c r="E5226" s="58" t="inlineStr">
        <is>
          <t>East</t>
        </is>
      </c>
      <c r="F5226" s="61" t="n">
        <v>2</v>
      </c>
      <c r="G5226" s="62" t="n">
        <v>372.66</v>
      </c>
      <c r="H5226" s="63" t="n">
        <v>0.068</v>
      </c>
      <c r="I5226" s="62" t="n">
        <v>280.85</v>
      </c>
      <c r="J5226" s="58" t="inlineStr">
        <is>
          <t>Online</t>
        </is>
      </c>
      <c r="K5226" s="62">
        <f>F5226*(G5226-H5226)</f>
        <v/>
      </c>
      <c r="L5226" s="62">
        <f>K5226-(F5226*I5226)</f>
        <v/>
      </c>
      <c r="M5226" s="64">
        <f>L5226/K5226</f>
        <v/>
      </c>
    </row>
    <row r="5227">
      <c r="A5227" s="58" t="inlineStr">
        <is>
          <t>RT20250514-05226</t>
        </is>
      </c>
      <c r="B5227" s="59" t="inlineStr">
        <is>
          <t>2025-05-14</t>
        </is>
      </c>
      <c r="C5227" s="60" t="inlineStr">
        <is>
          <t>Polar Women S-662</t>
        </is>
      </c>
      <c r="D5227" s="58" t="inlineStr">
        <is>
          <t>Apparel</t>
        </is>
      </c>
      <c r="E5227" s="58" t="inlineStr">
        <is>
          <t>East</t>
        </is>
      </c>
      <c r="F5227" s="61" t="n">
        <v>1</v>
      </c>
      <c r="G5227" s="62" t="n">
        <v>169.11</v>
      </c>
      <c r="H5227" s="63" t="n">
        <v>0.038</v>
      </c>
      <c r="I5227" s="62" t="n">
        <v>96.23999999999999</v>
      </c>
      <c r="J5227" s="58" t="inlineStr">
        <is>
          <t>Online</t>
        </is>
      </c>
      <c r="K5227" s="62">
        <f>F5227*(G5227-H5227)</f>
        <v/>
      </c>
      <c r="L5227" s="62">
        <f>K5227-(F5227*I5227)</f>
        <v/>
      </c>
      <c r="M5227" s="64">
        <f>L5227/K5227</f>
        <v/>
      </c>
    </row>
    <row r="5228">
      <c r="A5228" s="58" t="inlineStr">
        <is>
          <t>RT20250514-05227</t>
        </is>
      </c>
      <c r="B5228" s="59" t="inlineStr">
        <is>
          <t>2025-05-14</t>
        </is>
      </c>
      <c r="C5228" s="60" t="inlineStr">
        <is>
          <t>Nimbus Cycling Plus-911</t>
        </is>
      </c>
      <c r="D5228" s="58" t="inlineStr">
        <is>
          <t>Sports</t>
        </is>
      </c>
      <c r="E5228" s="58" t="inlineStr">
        <is>
          <t>West</t>
        </is>
      </c>
      <c r="F5228" s="61" t="n">
        <v>2</v>
      </c>
      <c r="G5228" s="62" t="n">
        <v>559.36</v>
      </c>
      <c r="H5228" s="63" t="n">
        <v>0.053</v>
      </c>
      <c r="I5228" s="62" t="n">
        <v>386.87</v>
      </c>
      <c r="J5228" s="58" t="inlineStr">
        <is>
          <t>Online</t>
        </is>
      </c>
      <c r="K5228" s="62">
        <f>F5228*(G5228-H5228)</f>
        <v/>
      </c>
      <c r="L5228" s="62">
        <f>K5228-(F5228*I5228)</f>
        <v/>
      </c>
      <c r="M5228" s="64">
        <f>L5228/K5228</f>
        <v/>
      </c>
    </row>
    <row r="5229">
      <c r="A5229" s="58" t="inlineStr">
        <is>
          <t>RT20250514-05228</t>
        </is>
      </c>
      <c r="B5229" s="59" t="inlineStr">
        <is>
          <t>2025-05-14</t>
        </is>
      </c>
      <c r="C5229" s="60" t="inlineStr">
        <is>
          <t>Aurora Wearable Lite-162</t>
        </is>
      </c>
      <c r="D5229" s="58" t="inlineStr">
        <is>
          <t>Electronics</t>
        </is>
      </c>
      <c r="E5229" s="58" t="inlineStr">
        <is>
          <t>East</t>
        </is>
      </c>
      <c r="F5229" s="61" t="n">
        <v>2</v>
      </c>
      <c r="G5229" s="62" t="n">
        <v>1561.7</v>
      </c>
      <c r="H5229" s="63" t="n">
        <v>0.102</v>
      </c>
      <c r="I5229" s="62" t="n">
        <v>1192.43</v>
      </c>
      <c r="J5229" s="58" t="inlineStr">
        <is>
          <t>Store</t>
        </is>
      </c>
      <c r="K5229" s="62">
        <f>F5229*(G5229-H5229)</f>
        <v/>
      </c>
      <c r="L5229" s="62">
        <f>K5229-(F5229*I5229)</f>
        <v/>
      </c>
      <c r="M5229" s="64">
        <f>L5229/K5229</f>
        <v/>
      </c>
    </row>
    <row r="5230">
      <c r="A5230" s="58" t="inlineStr">
        <is>
          <t>RT20250514-05229</t>
        </is>
      </c>
      <c r="B5230" s="59" t="inlineStr">
        <is>
          <t>2025-05-14</t>
        </is>
      </c>
      <c r="C5230" s="60" t="inlineStr">
        <is>
          <t>Orion Men X-928</t>
        </is>
      </c>
      <c r="D5230" s="58" t="inlineStr">
        <is>
          <t>Apparel</t>
        </is>
      </c>
      <c r="E5230" s="58" t="inlineStr">
        <is>
          <t>East</t>
        </is>
      </c>
      <c r="F5230" s="61" t="n">
        <v>4</v>
      </c>
      <c r="G5230" s="62" t="n">
        <v>110.78</v>
      </c>
      <c r="H5230" s="63" t="n">
        <v>0.006</v>
      </c>
      <c r="I5230" s="62" t="n">
        <v>62.04</v>
      </c>
      <c r="J5230" s="58" t="inlineStr">
        <is>
          <t>Online</t>
        </is>
      </c>
      <c r="K5230" s="62">
        <f>F5230*(G5230-H5230)</f>
        <v/>
      </c>
      <c r="L5230" s="62">
        <f>K5230-(F5230*I5230)</f>
        <v/>
      </c>
      <c r="M5230" s="64">
        <f>L5230/K5230</f>
        <v/>
      </c>
    </row>
    <row r="5231">
      <c r="A5231" s="58" t="inlineStr">
        <is>
          <t>RT20250514-05230</t>
        </is>
      </c>
      <c r="B5231" s="59" t="inlineStr">
        <is>
          <t>2025-05-14</t>
        </is>
      </c>
      <c r="C5231" s="60" t="inlineStr">
        <is>
          <t>Orion Team Sport X-926</t>
        </is>
      </c>
      <c r="D5231" s="58" t="inlineStr">
        <is>
          <t>Sports</t>
        </is>
      </c>
      <c r="E5231" s="58" t="inlineStr">
        <is>
          <t>Central</t>
        </is>
      </c>
      <c r="F5231" s="61" t="n">
        <v>3</v>
      </c>
      <c r="G5231" s="62" t="n">
        <v>310.89</v>
      </c>
      <c r="H5231" s="63" t="n">
        <v>0.048</v>
      </c>
      <c r="I5231" s="62" t="n">
        <v>216.25</v>
      </c>
      <c r="J5231" s="58" t="inlineStr">
        <is>
          <t>Online</t>
        </is>
      </c>
      <c r="K5231" s="62">
        <f>F5231*(G5231-H5231)</f>
        <v/>
      </c>
      <c r="L5231" s="62">
        <f>K5231-(F5231*I5231)</f>
        <v/>
      </c>
      <c r="M5231" s="64">
        <f>L5231/K5231</f>
        <v/>
      </c>
    </row>
    <row r="5232">
      <c r="A5232" s="58" t="inlineStr">
        <is>
          <t>RT20250514-05231</t>
        </is>
      </c>
      <c r="B5232" s="59" t="inlineStr">
        <is>
          <t>2025-05-14</t>
        </is>
      </c>
      <c r="C5232" s="60" t="inlineStr">
        <is>
          <t>Solace Kitchen Pro-510</t>
        </is>
      </c>
      <c r="D5232" s="58" t="inlineStr">
        <is>
          <t>Home</t>
        </is>
      </c>
      <c r="E5232" s="58" t="inlineStr">
        <is>
          <t>West</t>
        </is>
      </c>
      <c r="F5232" s="61" t="n">
        <v>3</v>
      </c>
      <c r="G5232" s="62" t="n">
        <v>450.53</v>
      </c>
      <c r="H5232" s="63" t="n">
        <v>0.075</v>
      </c>
      <c r="I5232" s="62" t="n">
        <v>302.67</v>
      </c>
      <c r="J5232" s="58" t="inlineStr">
        <is>
          <t>Store</t>
        </is>
      </c>
      <c r="K5232" s="62">
        <f>F5232*(G5232-H5232)</f>
        <v/>
      </c>
      <c r="L5232" s="62">
        <f>K5232-(F5232*I5232)</f>
        <v/>
      </c>
      <c r="M5232" s="64">
        <f>L5232/K5232</f>
        <v/>
      </c>
    </row>
    <row r="5233">
      <c r="A5233" s="58" t="inlineStr">
        <is>
          <t>RT20250514-05232</t>
        </is>
      </c>
      <c r="B5233" s="59" t="inlineStr">
        <is>
          <t>2025-05-14</t>
        </is>
      </c>
      <c r="C5233" s="60" t="inlineStr">
        <is>
          <t>Nimbus Cycling Plus-911</t>
        </is>
      </c>
      <c r="D5233" s="58" t="inlineStr">
        <is>
          <t>Sports</t>
        </is>
      </c>
      <c r="E5233" s="58" t="inlineStr">
        <is>
          <t>West</t>
        </is>
      </c>
      <c r="F5233" s="61" t="n">
        <v>2</v>
      </c>
      <c r="G5233" s="62" t="n">
        <v>583.53</v>
      </c>
      <c r="H5233" s="63" t="n">
        <v>0.066</v>
      </c>
      <c r="I5233" s="62" t="n">
        <v>393.34</v>
      </c>
      <c r="J5233" s="58" t="inlineStr">
        <is>
          <t>Store</t>
        </is>
      </c>
      <c r="K5233" s="62">
        <f>F5233*(G5233-H5233)</f>
        <v/>
      </c>
      <c r="L5233" s="62">
        <f>K5233-(F5233*I5233)</f>
        <v/>
      </c>
      <c r="M5233" s="64">
        <f>L5233/K5233</f>
        <v/>
      </c>
    </row>
    <row r="5234">
      <c r="A5234" s="58" t="inlineStr">
        <is>
          <t>RT20250514-05233</t>
        </is>
      </c>
      <c r="B5234" s="59" t="inlineStr">
        <is>
          <t>2025-05-14</t>
        </is>
      </c>
      <c r="C5234" s="60" t="inlineStr">
        <is>
          <t>Vertex Smartphone Lite-267</t>
        </is>
      </c>
      <c r="D5234" s="58" t="inlineStr">
        <is>
          <t>Electronics</t>
        </is>
      </c>
      <c r="E5234" s="58" t="inlineStr">
        <is>
          <t>West</t>
        </is>
      </c>
      <c r="F5234" s="61" t="n">
        <v>2</v>
      </c>
      <c r="G5234" s="62" t="n">
        <v>1150.7</v>
      </c>
      <c r="H5234" s="63" t="n">
        <v>0.077</v>
      </c>
      <c r="I5234" s="62" t="n">
        <v>979.03</v>
      </c>
      <c r="J5234" s="58" t="inlineStr">
        <is>
          <t>Store</t>
        </is>
      </c>
      <c r="K5234" s="62">
        <f>F5234*(G5234-H5234)</f>
        <v/>
      </c>
      <c r="L5234" s="62">
        <f>K5234-(F5234*I5234)</f>
        <v/>
      </c>
      <c r="M5234" s="64">
        <f>L5234/K5234</f>
        <v/>
      </c>
    </row>
    <row r="5235">
      <c r="A5235" s="58" t="inlineStr">
        <is>
          <t>RT20250514-05234</t>
        </is>
      </c>
      <c r="B5235" s="59" t="inlineStr">
        <is>
          <t>2025-05-14</t>
        </is>
      </c>
      <c r="C5235" s="60" t="inlineStr">
        <is>
          <t>Vertex Smartphone Pro-256</t>
        </is>
      </c>
      <c r="D5235" s="58" t="inlineStr">
        <is>
          <t>Electronics</t>
        </is>
      </c>
      <c r="E5235" s="58" t="inlineStr">
        <is>
          <t>South</t>
        </is>
      </c>
      <c r="F5235" s="61" t="n">
        <v>2</v>
      </c>
      <c r="G5235" s="62" t="n">
        <v>1226.97</v>
      </c>
      <c r="H5235" s="63" t="n">
        <v>0.107</v>
      </c>
      <c r="I5235" s="62" t="n">
        <v>944.11</v>
      </c>
      <c r="J5235" s="58" t="inlineStr">
        <is>
          <t>Online</t>
        </is>
      </c>
      <c r="K5235" s="62">
        <f>F5235*(G5235-H5235)</f>
        <v/>
      </c>
      <c r="L5235" s="62">
        <f>K5235-(F5235*I5235)</f>
        <v/>
      </c>
      <c r="M5235" s="64">
        <f>L5235/K5235</f>
        <v/>
      </c>
    </row>
    <row r="5236">
      <c r="A5236" s="58" t="inlineStr">
        <is>
          <t>RT20250514-05235</t>
        </is>
      </c>
      <c r="B5236" s="59" t="inlineStr">
        <is>
          <t>2025-05-14</t>
        </is>
      </c>
      <c r="C5236" s="60" t="inlineStr">
        <is>
          <t>Nimbus Laptop Max-652</t>
        </is>
      </c>
      <c r="D5236" s="58" t="inlineStr">
        <is>
          <t>Electronics</t>
        </is>
      </c>
      <c r="E5236" s="58" t="inlineStr">
        <is>
          <t>South</t>
        </is>
      </c>
      <c r="F5236" s="61" t="n">
        <v>2</v>
      </c>
      <c r="G5236" s="62" t="n">
        <v>1053.63</v>
      </c>
      <c r="H5236" s="63" t="n">
        <v>0.027</v>
      </c>
      <c r="I5236" s="62" t="n">
        <v>995.3200000000001</v>
      </c>
      <c r="J5236" s="58" t="inlineStr">
        <is>
          <t>Online</t>
        </is>
      </c>
      <c r="K5236" s="62">
        <f>F5236*(G5236-H5236)</f>
        <v/>
      </c>
      <c r="L5236" s="62">
        <f>K5236-(F5236*I5236)</f>
        <v/>
      </c>
      <c r="M5236" s="64">
        <f>L5236/K5236</f>
        <v/>
      </c>
    </row>
    <row r="5237">
      <c r="A5237" s="58" t="inlineStr">
        <is>
          <t>RT20250514-05236</t>
        </is>
      </c>
      <c r="B5237" s="59" t="inlineStr">
        <is>
          <t>2025-05-14</t>
        </is>
      </c>
      <c r="C5237" s="60" t="inlineStr">
        <is>
          <t>Orion Kid Max-864</t>
        </is>
      </c>
      <c r="D5237" s="58" t="inlineStr">
        <is>
          <t>Apparel</t>
        </is>
      </c>
      <c r="E5237" s="58" t="inlineStr">
        <is>
          <t>Central</t>
        </is>
      </c>
      <c r="F5237" s="61" t="n">
        <v>1</v>
      </c>
      <c r="G5237" s="62" t="n">
        <v>73.7</v>
      </c>
      <c r="H5237" s="63" t="n">
        <v>0.104</v>
      </c>
      <c r="I5237" s="62" t="n">
        <v>44.24</v>
      </c>
      <c r="J5237" s="58" t="inlineStr">
        <is>
          <t>Online</t>
        </is>
      </c>
      <c r="K5237" s="62">
        <f>F5237*(G5237-H5237)</f>
        <v/>
      </c>
      <c r="L5237" s="62">
        <f>K5237-(F5237*I5237)</f>
        <v/>
      </c>
      <c r="M5237" s="64">
        <f>L5237/K5237</f>
        <v/>
      </c>
    </row>
    <row r="5238">
      <c r="A5238" s="58" t="inlineStr">
        <is>
          <t>RT20250514-05237</t>
        </is>
      </c>
      <c r="B5238" s="59" t="inlineStr">
        <is>
          <t>2025-05-14</t>
        </is>
      </c>
      <c r="C5238" s="60" t="inlineStr">
        <is>
          <t>Falcon Beverage Max-702</t>
        </is>
      </c>
      <c r="D5238" s="58" t="inlineStr">
        <is>
          <t>Grocery</t>
        </is>
      </c>
      <c r="E5238" s="58" t="inlineStr">
        <is>
          <t>North</t>
        </is>
      </c>
      <c r="F5238" s="61" t="n">
        <v>7</v>
      </c>
      <c r="G5238" s="62" t="n">
        <v>27.7</v>
      </c>
      <c r="H5238" s="63" t="n">
        <v>0.063</v>
      </c>
      <c r="I5238" s="62" t="n">
        <v>20.02</v>
      </c>
      <c r="J5238" s="58" t="inlineStr">
        <is>
          <t>Online</t>
        </is>
      </c>
      <c r="K5238" s="62">
        <f>F5238*(G5238-H5238)</f>
        <v/>
      </c>
      <c r="L5238" s="62">
        <f>K5238-(F5238*I5238)</f>
        <v/>
      </c>
      <c r="M5238" s="64">
        <f>L5238/K5238</f>
        <v/>
      </c>
    </row>
    <row r="5239">
      <c r="A5239" s="58" t="inlineStr">
        <is>
          <t>RT20250514-05238</t>
        </is>
      </c>
      <c r="B5239" s="59" t="inlineStr">
        <is>
          <t>2025-05-14</t>
        </is>
      </c>
      <c r="C5239" s="60" t="inlineStr">
        <is>
          <t>Orion Storage Plus-961</t>
        </is>
      </c>
      <c r="D5239" s="58" t="inlineStr">
        <is>
          <t>Office</t>
        </is>
      </c>
      <c r="E5239" s="58" t="inlineStr">
        <is>
          <t>North</t>
        </is>
      </c>
      <c r="F5239" s="61" t="n">
        <v>3</v>
      </c>
      <c r="G5239" s="62" t="n">
        <v>532.6</v>
      </c>
      <c r="H5239" s="63" t="n">
        <v>0.051</v>
      </c>
      <c r="I5239" s="62" t="n">
        <v>366.76</v>
      </c>
      <c r="J5239" s="58" t="inlineStr">
        <is>
          <t>Store</t>
        </is>
      </c>
      <c r="K5239" s="62">
        <f>F5239*(G5239-H5239)</f>
        <v/>
      </c>
      <c r="L5239" s="62">
        <f>K5239-(F5239*I5239)</f>
        <v/>
      </c>
      <c r="M5239" s="64">
        <f>L5239/K5239</f>
        <v/>
      </c>
    </row>
    <row r="5240">
      <c r="A5240" s="58" t="inlineStr">
        <is>
          <t>RT20250514-05239</t>
        </is>
      </c>
      <c r="B5240" s="59" t="inlineStr">
        <is>
          <t>2025-05-14</t>
        </is>
      </c>
      <c r="C5240" s="60" t="inlineStr">
        <is>
          <t>Vertex Appliance Max-338</t>
        </is>
      </c>
      <c r="D5240" s="58" t="inlineStr">
        <is>
          <t>Home</t>
        </is>
      </c>
      <c r="E5240" s="58" t="inlineStr">
        <is>
          <t>East</t>
        </is>
      </c>
      <c r="F5240" s="61" t="n">
        <v>2</v>
      </c>
      <c r="G5240" s="62" t="n">
        <v>442.87</v>
      </c>
      <c r="H5240" s="63" t="n">
        <v>0.059</v>
      </c>
      <c r="I5240" s="62" t="n">
        <v>289.3</v>
      </c>
      <c r="J5240" s="58" t="inlineStr">
        <is>
          <t>Store</t>
        </is>
      </c>
      <c r="K5240" s="62">
        <f>F5240*(G5240-H5240)</f>
        <v/>
      </c>
      <c r="L5240" s="62">
        <f>K5240-(F5240*I5240)</f>
        <v/>
      </c>
      <c r="M5240" s="64">
        <f>L5240/K5240</f>
        <v/>
      </c>
    </row>
    <row r="5241">
      <c r="A5241" s="58" t="inlineStr">
        <is>
          <t>RT20250514-05240</t>
        </is>
      </c>
      <c r="B5241" s="59" t="inlineStr">
        <is>
          <t>2025-05-14</t>
        </is>
      </c>
      <c r="C5241" s="60" t="inlineStr">
        <is>
          <t>Polar Wearable X-119</t>
        </is>
      </c>
      <c r="D5241" s="58" t="inlineStr">
        <is>
          <t>Electronics</t>
        </is>
      </c>
      <c r="E5241" s="58" t="inlineStr">
        <is>
          <t>Central</t>
        </is>
      </c>
      <c r="F5241" s="61" t="n">
        <v>2</v>
      </c>
      <c r="G5241" s="62" t="n">
        <v>1515.48</v>
      </c>
      <c r="H5241" s="63" t="n">
        <v>0.075</v>
      </c>
      <c r="I5241" s="62" t="n">
        <v>1328.85</v>
      </c>
      <c r="J5241" s="58" t="inlineStr">
        <is>
          <t>Store</t>
        </is>
      </c>
      <c r="K5241" s="62">
        <f>F5241*(G5241-H5241)</f>
        <v/>
      </c>
      <c r="L5241" s="62">
        <f>K5241-(F5241*I5241)</f>
        <v/>
      </c>
      <c r="M5241" s="64">
        <f>L5241/K5241</f>
        <v/>
      </c>
    </row>
    <row r="5242">
      <c r="A5242" s="58" t="inlineStr">
        <is>
          <t>RT20250514-05241</t>
        </is>
      </c>
      <c r="B5242" s="59" t="inlineStr">
        <is>
          <t>2025-05-14</t>
        </is>
      </c>
      <c r="C5242" s="60" t="inlineStr">
        <is>
          <t>Falcon Cycling Pro-499</t>
        </is>
      </c>
      <c r="D5242" s="58" t="inlineStr">
        <is>
          <t>Sports</t>
        </is>
      </c>
      <c r="E5242" s="58" t="inlineStr">
        <is>
          <t>North</t>
        </is>
      </c>
      <c r="F5242" s="61" t="n">
        <v>3</v>
      </c>
      <c r="G5242" s="62" t="n">
        <v>614.12</v>
      </c>
      <c r="H5242" s="63" t="n">
        <v>0.013</v>
      </c>
      <c r="I5242" s="62" t="n">
        <v>397.53</v>
      </c>
      <c r="J5242" s="58" t="inlineStr">
        <is>
          <t>Online</t>
        </is>
      </c>
      <c r="K5242" s="62">
        <f>F5242*(G5242-H5242)</f>
        <v/>
      </c>
      <c r="L5242" s="62">
        <f>K5242-(F5242*I5242)</f>
        <v/>
      </c>
      <c r="M5242" s="64">
        <f>L5242/K5242</f>
        <v/>
      </c>
    </row>
    <row r="5243">
      <c r="A5243" s="58" t="inlineStr">
        <is>
          <t>RT20250514-05242</t>
        </is>
      </c>
      <c r="B5243" s="59" t="inlineStr">
        <is>
          <t>2025-05-14</t>
        </is>
      </c>
      <c r="C5243" s="60" t="inlineStr">
        <is>
          <t>Nimbus Furniture Pro-479</t>
        </is>
      </c>
      <c r="D5243" s="58" t="inlineStr">
        <is>
          <t>Office</t>
        </is>
      </c>
      <c r="E5243" s="58" t="inlineStr">
        <is>
          <t>North</t>
        </is>
      </c>
      <c r="F5243" s="61" t="n">
        <v>1</v>
      </c>
      <c r="G5243" s="62" t="n">
        <v>296.26</v>
      </c>
      <c r="H5243" s="63" t="n">
        <v>0.038</v>
      </c>
      <c r="I5243" s="62" t="n">
        <v>235.06</v>
      </c>
      <c r="J5243" s="58" t="inlineStr">
        <is>
          <t>Online</t>
        </is>
      </c>
      <c r="K5243" s="62">
        <f>F5243*(G5243-H5243)</f>
        <v/>
      </c>
      <c r="L5243" s="62">
        <f>K5243-(F5243*I5243)</f>
        <v/>
      </c>
      <c r="M5243" s="64">
        <f>L5243/K5243</f>
        <v/>
      </c>
    </row>
    <row r="5244">
      <c r="A5244" s="58" t="inlineStr">
        <is>
          <t>RT20250514-05243</t>
        </is>
      </c>
      <c r="B5244" s="59" t="inlineStr">
        <is>
          <t>2025-05-14</t>
        </is>
      </c>
      <c r="C5244" s="60" t="inlineStr">
        <is>
          <t>Falcon Household Pro-865</t>
        </is>
      </c>
      <c r="D5244" s="58" t="inlineStr">
        <is>
          <t>Grocery</t>
        </is>
      </c>
      <c r="E5244" s="58" t="inlineStr">
        <is>
          <t>West</t>
        </is>
      </c>
      <c r="F5244" s="61" t="n">
        <v>6</v>
      </c>
      <c r="G5244" s="62" t="n">
        <v>10.15</v>
      </c>
      <c r="H5244" s="63" t="n">
        <v>0.064</v>
      </c>
      <c r="I5244" s="62" t="n">
        <v>7.9</v>
      </c>
      <c r="J5244" s="58" t="inlineStr">
        <is>
          <t>Online</t>
        </is>
      </c>
      <c r="K5244" s="62">
        <f>F5244*(G5244-H5244)</f>
        <v/>
      </c>
      <c r="L5244" s="62">
        <f>K5244-(F5244*I5244)</f>
        <v/>
      </c>
      <c r="M5244" s="64">
        <f>L5244/K5244</f>
        <v/>
      </c>
    </row>
    <row r="5245">
      <c r="A5245" s="58" t="inlineStr">
        <is>
          <t>RT20250514-05244</t>
        </is>
      </c>
      <c r="B5245" s="59" t="inlineStr">
        <is>
          <t>2025-05-14</t>
        </is>
      </c>
      <c r="C5245" s="60" t="inlineStr">
        <is>
          <t>Solace Kitchen X-919</t>
        </is>
      </c>
      <c r="D5245" s="58" t="inlineStr">
        <is>
          <t>Home</t>
        </is>
      </c>
      <c r="E5245" s="58" t="inlineStr">
        <is>
          <t>East</t>
        </is>
      </c>
      <c r="F5245" s="61" t="n">
        <v>1</v>
      </c>
      <c r="G5245" s="62" t="n">
        <v>399.28</v>
      </c>
      <c r="H5245" s="63" t="n">
        <v>0.102</v>
      </c>
      <c r="I5245" s="62" t="n">
        <v>266.87</v>
      </c>
      <c r="J5245" s="58" t="inlineStr">
        <is>
          <t>Store</t>
        </is>
      </c>
      <c r="K5245" s="62">
        <f>F5245*(G5245-H5245)</f>
        <v/>
      </c>
      <c r="L5245" s="62">
        <f>K5245-(F5245*I5245)</f>
        <v/>
      </c>
      <c r="M5245" s="64">
        <f>L5245/K5245</f>
        <v/>
      </c>
    </row>
    <row r="5246">
      <c r="A5246" s="58" t="inlineStr">
        <is>
          <t>RT20250514-05245</t>
        </is>
      </c>
      <c r="B5246" s="59" t="inlineStr">
        <is>
          <t>2025-05-14</t>
        </is>
      </c>
      <c r="C5246" s="60" t="inlineStr">
        <is>
          <t>Polar Bedding Lite-243</t>
        </is>
      </c>
      <c r="D5246" s="58" t="inlineStr">
        <is>
          <t>Home</t>
        </is>
      </c>
      <c r="E5246" s="58" t="inlineStr">
        <is>
          <t>East</t>
        </is>
      </c>
      <c r="F5246" s="61" t="n">
        <v>3</v>
      </c>
      <c r="G5246" s="62" t="n">
        <v>441.54</v>
      </c>
      <c r="H5246" s="63" t="n">
        <v>0.023</v>
      </c>
      <c r="I5246" s="62" t="n">
        <v>319.65</v>
      </c>
      <c r="J5246" s="58" t="inlineStr">
        <is>
          <t>Online</t>
        </is>
      </c>
      <c r="K5246" s="62">
        <f>F5246*(G5246-H5246)</f>
        <v/>
      </c>
      <c r="L5246" s="62">
        <f>K5246-(F5246*I5246)</f>
        <v/>
      </c>
      <c r="M5246" s="64">
        <f>L5246/K5246</f>
        <v/>
      </c>
    </row>
    <row r="5247">
      <c r="A5247" s="58" t="inlineStr">
        <is>
          <t>RT20250514-05246</t>
        </is>
      </c>
      <c r="B5247" s="59" t="inlineStr">
        <is>
          <t>2025-05-14</t>
        </is>
      </c>
      <c r="C5247" s="60" t="inlineStr">
        <is>
          <t>Aurora Furniture X-709</t>
        </is>
      </c>
      <c r="D5247" s="58" t="inlineStr">
        <is>
          <t>Office</t>
        </is>
      </c>
      <c r="E5247" s="58" t="inlineStr">
        <is>
          <t>Central</t>
        </is>
      </c>
      <c r="F5247" s="61" t="n">
        <v>1</v>
      </c>
      <c r="G5247" s="62" t="n">
        <v>398.64</v>
      </c>
      <c r="H5247" s="63" t="n">
        <v>0.111</v>
      </c>
      <c r="I5247" s="62" t="n">
        <v>302.75</v>
      </c>
      <c r="J5247" s="58" t="inlineStr">
        <is>
          <t>Online</t>
        </is>
      </c>
      <c r="K5247" s="62">
        <f>F5247*(G5247-H5247)</f>
        <v/>
      </c>
      <c r="L5247" s="62">
        <f>K5247-(F5247*I5247)</f>
        <v/>
      </c>
      <c r="M5247" s="64">
        <f>L5247/K5247</f>
        <v/>
      </c>
    </row>
    <row r="5248">
      <c r="A5248" s="58" t="inlineStr">
        <is>
          <t>RT20250514-05247</t>
        </is>
      </c>
      <c r="B5248" s="59" t="inlineStr">
        <is>
          <t>2025-05-14</t>
        </is>
      </c>
      <c r="C5248" s="60" t="inlineStr">
        <is>
          <t>Vertex Headphone Pro-801</t>
        </is>
      </c>
      <c r="D5248" s="58" t="inlineStr">
        <is>
          <t>Electronics</t>
        </is>
      </c>
      <c r="E5248" s="58" t="inlineStr">
        <is>
          <t>West</t>
        </is>
      </c>
      <c r="F5248" s="61" t="n">
        <v>1</v>
      </c>
      <c r="G5248" s="62" t="n">
        <v>1294.62</v>
      </c>
      <c r="H5248" s="63" t="n">
        <v>0.038</v>
      </c>
      <c r="I5248" s="62" t="n">
        <v>977.08</v>
      </c>
      <c r="J5248" s="58" t="inlineStr">
        <is>
          <t>Store</t>
        </is>
      </c>
      <c r="K5248" s="62">
        <f>F5248*(G5248-H5248)</f>
        <v/>
      </c>
      <c r="L5248" s="62">
        <f>K5248-(F5248*I5248)</f>
        <v/>
      </c>
      <c r="M5248" s="64">
        <f>L5248/K5248</f>
        <v/>
      </c>
    </row>
    <row r="5249">
      <c r="A5249" s="58" t="inlineStr">
        <is>
          <t>RT20250514-05248</t>
        </is>
      </c>
      <c r="B5249" s="59" t="inlineStr">
        <is>
          <t>2025-05-14</t>
        </is>
      </c>
      <c r="C5249" s="60" t="inlineStr">
        <is>
          <t>Nimbus Makeup Max-158</t>
        </is>
      </c>
      <c r="D5249" s="58" t="inlineStr">
        <is>
          <t>Beauty</t>
        </is>
      </c>
      <c r="E5249" s="58" t="inlineStr">
        <is>
          <t>East</t>
        </is>
      </c>
      <c r="F5249" s="61" t="n">
        <v>1</v>
      </c>
      <c r="G5249" s="62" t="n">
        <v>177.32</v>
      </c>
      <c r="H5249" s="63" t="n">
        <v>0.031</v>
      </c>
      <c r="I5249" s="62" t="n">
        <v>97.41</v>
      </c>
      <c r="J5249" s="58" t="inlineStr">
        <is>
          <t>Store</t>
        </is>
      </c>
      <c r="K5249" s="62">
        <f>F5249*(G5249-H5249)</f>
        <v/>
      </c>
      <c r="L5249" s="62">
        <f>K5249-(F5249*I5249)</f>
        <v/>
      </c>
      <c r="M5249" s="64">
        <f>L5249/K5249</f>
        <v/>
      </c>
    </row>
    <row r="5250">
      <c r="A5250" s="58" t="inlineStr">
        <is>
          <t>RT20250514-05249</t>
        </is>
      </c>
      <c r="B5250" s="59" t="inlineStr">
        <is>
          <t>2025-05-14</t>
        </is>
      </c>
      <c r="C5250" s="60" t="inlineStr">
        <is>
          <t>Aurora Makeup Pro-489</t>
        </is>
      </c>
      <c r="D5250" s="58" t="inlineStr">
        <is>
          <t>Beauty</t>
        </is>
      </c>
      <c r="E5250" s="58" t="inlineStr">
        <is>
          <t>Central</t>
        </is>
      </c>
      <c r="F5250" s="61" t="n">
        <v>3</v>
      </c>
      <c r="G5250" s="62" t="n">
        <v>95.26000000000001</v>
      </c>
      <c r="H5250" s="63" t="n">
        <v>0.032</v>
      </c>
      <c r="I5250" s="62" t="n">
        <v>64.45</v>
      </c>
      <c r="J5250" s="58" t="inlineStr">
        <is>
          <t>Store</t>
        </is>
      </c>
      <c r="K5250" s="62">
        <f>F5250*(G5250-H5250)</f>
        <v/>
      </c>
      <c r="L5250" s="62">
        <f>K5250-(F5250*I5250)</f>
        <v/>
      </c>
      <c r="M5250" s="64">
        <f>L5250/K5250</f>
        <v/>
      </c>
    </row>
    <row r="5251">
      <c r="A5251" s="58" t="inlineStr">
        <is>
          <t>RT20250514-05250</t>
        </is>
      </c>
      <c r="B5251" s="59" t="inlineStr">
        <is>
          <t>2025-05-14</t>
        </is>
      </c>
      <c r="C5251" s="60" t="inlineStr">
        <is>
          <t>Aurora Smartphone Plus-125</t>
        </is>
      </c>
      <c r="D5251" s="58" t="inlineStr">
        <is>
          <t>Electronics</t>
        </is>
      </c>
      <c r="E5251" s="58" t="inlineStr">
        <is>
          <t>East</t>
        </is>
      </c>
      <c r="F5251" s="61" t="n">
        <v>2</v>
      </c>
      <c r="G5251" s="62" t="n">
        <v>1546.04</v>
      </c>
      <c r="H5251" s="63" t="n">
        <v>0.039</v>
      </c>
      <c r="I5251" s="62" t="n">
        <v>1221.37</v>
      </c>
      <c r="J5251" s="58" t="inlineStr">
        <is>
          <t>Online</t>
        </is>
      </c>
      <c r="K5251" s="62">
        <f>F5251*(G5251-H5251)</f>
        <v/>
      </c>
      <c r="L5251" s="62">
        <f>K5251-(F5251*I5251)</f>
        <v/>
      </c>
      <c r="M5251" s="64">
        <f>L5251/K5251</f>
        <v/>
      </c>
    </row>
    <row r="5252">
      <c r="A5252" s="58" t="inlineStr">
        <is>
          <t>RT20250514-05251</t>
        </is>
      </c>
      <c r="B5252" s="59" t="inlineStr">
        <is>
          <t>2025-05-14</t>
        </is>
      </c>
      <c r="C5252" s="60" t="inlineStr">
        <is>
          <t>Vertex Decor Pro-618</t>
        </is>
      </c>
      <c r="D5252" s="58" t="inlineStr">
        <is>
          <t>Home</t>
        </is>
      </c>
      <c r="E5252" s="58" t="inlineStr">
        <is>
          <t>West</t>
        </is>
      </c>
      <c r="F5252" s="61" t="n">
        <v>1</v>
      </c>
      <c r="G5252" s="62" t="n">
        <v>534.46</v>
      </c>
      <c r="H5252" s="63" t="n">
        <v>0.142</v>
      </c>
      <c r="I5252" s="62" t="n">
        <v>383.12</v>
      </c>
      <c r="J5252" s="58" t="inlineStr">
        <is>
          <t>Store</t>
        </is>
      </c>
      <c r="K5252" s="62">
        <f>F5252*(G5252-H5252)</f>
        <v/>
      </c>
      <c r="L5252" s="62">
        <f>K5252-(F5252*I5252)</f>
        <v/>
      </c>
      <c r="M5252" s="64">
        <f>L5252/K5252</f>
        <v/>
      </c>
    </row>
    <row r="5253">
      <c r="A5253" s="58" t="inlineStr">
        <is>
          <t>RT20250514-05252</t>
        </is>
      </c>
      <c r="B5253" s="59" t="inlineStr">
        <is>
          <t>2025-05-14</t>
        </is>
      </c>
      <c r="C5253" s="60" t="inlineStr">
        <is>
          <t>Solace Laptop S-367</t>
        </is>
      </c>
      <c r="D5253" s="58" t="inlineStr">
        <is>
          <t>Electronics</t>
        </is>
      </c>
      <c r="E5253" s="58" t="inlineStr">
        <is>
          <t>East</t>
        </is>
      </c>
      <c r="F5253" s="61" t="n">
        <v>2</v>
      </c>
      <c r="G5253" s="62" t="n">
        <v>2260.46</v>
      </c>
      <c r="H5253" s="63" t="n">
        <v>0.082</v>
      </c>
      <c r="I5253" s="62" t="n">
        <v>1585.88</v>
      </c>
      <c r="J5253" s="58" t="inlineStr">
        <is>
          <t>Store</t>
        </is>
      </c>
      <c r="K5253" s="62">
        <f>F5253*(G5253-H5253)</f>
        <v/>
      </c>
      <c r="L5253" s="62">
        <f>K5253-(F5253*I5253)</f>
        <v/>
      </c>
      <c r="M5253" s="64">
        <f>L5253/K5253</f>
        <v/>
      </c>
    </row>
    <row r="5254">
      <c r="A5254" s="58" t="inlineStr">
        <is>
          <t>RT20250514-05253</t>
        </is>
      </c>
      <c r="B5254" s="59" t="inlineStr">
        <is>
          <t>2025-05-14</t>
        </is>
      </c>
      <c r="C5254" s="60" t="inlineStr">
        <is>
          <t>Orion Men X-928</t>
        </is>
      </c>
      <c r="D5254" s="58" t="inlineStr">
        <is>
          <t>Apparel</t>
        </is>
      </c>
      <c r="E5254" s="58" t="inlineStr">
        <is>
          <t>West</t>
        </is>
      </c>
      <c r="F5254" s="61" t="n">
        <v>4</v>
      </c>
      <c r="G5254" s="62" t="n">
        <v>110.22</v>
      </c>
      <c r="H5254" s="63" t="n">
        <v>0</v>
      </c>
      <c r="I5254" s="62" t="n">
        <v>62.29</v>
      </c>
      <c r="J5254" s="58" t="inlineStr">
        <is>
          <t>Online</t>
        </is>
      </c>
      <c r="K5254" s="62">
        <f>F5254*(G5254-H5254)</f>
        <v/>
      </c>
      <c r="L5254" s="62">
        <f>K5254-(F5254*I5254)</f>
        <v/>
      </c>
      <c r="M5254" s="64">
        <f>L5254/K5254</f>
        <v/>
      </c>
    </row>
    <row r="5255">
      <c r="A5255" s="58" t="inlineStr">
        <is>
          <t>RT20250514-05254</t>
        </is>
      </c>
      <c r="B5255" s="59" t="inlineStr">
        <is>
          <t>2025-05-14</t>
        </is>
      </c>
      <c r="C5255" s="60" t="inlineStr">
        <is>
          <t>Vertex Furniture S-652</t>
        </is>
      </c>
      <c r="D5255" s="58" t="inlineStr">
        <is>
          <t>Office</t>
        </is>
      </c>
      <c r="E5255" s="58" t="inlineStr">
        <is>
          <t>East</t>
        </is>
      </c>
      <c r="F5255" s="61" t="n">
        <v>2</v>
      </c>
      <c r="G5255" s="62" t="n">
        <v>399.72</v>
      </c>
      <c r="H5255" s="63" t="n">
        <v>0.033</v>
      </c>
      <c r="I5255" s="62" t="n">
        <v>260.48</v>
      </c>
      <c r="J5255" s="58" t="inlineStr">
        <is>
          <t>Online</t>
        </is>
      </c>
      <c r="K5255" s="62">
        <f>F5255*(G5255-H5255)</f>
        <v/>
      </c>
      <c r="L5255" s="62">
        <f>K5255-(F5255*I5255)</f>
        <v/>
      </c>
      <c r="M5255" s="64">
        <f>L5255/K5255</f>
        <v/>
      </c>
    </row>
    <row r="5256">
      <c r="A5256" s="58" t="inlineStr">
        <is>
          <t>RT20250515-05255</t>
        </is>
      </c>
      <c r="B5256" s="59" t="inlineStr">
        <is>
          <t>2025-05-15</t>
        </is>
      </c>
      <c r="C5256" s="60" t="inlineStr">
        <is>
          <t>Vertex Supplie Pro-786</t>
        </is>
      </c>
      <c r="D5256" s="58" t="inlineStr">
        <is>
          <t>Office</t>
        </is>
      </c>
      <c r="E5256" s="58" t="inlineStr">
        <is>
          <t>West</t>
        </is>
      </c>
      <c r="F5256" s="61" t="n">
        <v>2</v>
      </c>
      <c r="G5256" s="62" t="n">
        <v>427.55</v>
      </c>
      <c r="H5256" s="63" t="n">
        <v>0.064</v>
      </c>
      <c r="I5256" s="62" t="n">
        <v>287.06</v>
      </c>
      <c r="J5256" s="58" t="inlineStr">
        <is>
          <t>Store</t>
        </is>
      </c>
      <c r="K5256" s="62">
        <f>F5256*(G5256-H5256)</f>
        <v/>
      </c>
      <c r="L5256" s="62">
        <f>K5256-(F5256*I5256)</f>
        <v/>
      </c>
      <c r="M5256" s="64">
        <f>L5256/K5256</f>
        <v/>
      </c>
    </row>
    <row r="5257">
      <c r="A5257" s="58" t="inlineStr">
        <is>
          <t>RT20250515-05256</t>
        </is>
      </c>
      <c r="B5257" s="59" t="inlineStr">
        <is>
          <t>2025-05-15</t>
        </is>
      </c>
      <c r="C5257" s="60" t="inlineStr">
        <is>
          <t>Aurora Makeup Pro-489</t>
        </is>
      </c>
      <c r="D5257" s="58" t="inlineStr">
        <is>
          <t>Beauty</t>
        </is>
      </c>
      <c r="E5257" s="58" t="inlineStr">
        <is>
          <t>West</t>
        </is>
      </c>
      <c r="F5257" s="61" t="n">
        <v>1</v>
      </c>
      <c r="G5257" s="62" t="n">
        <v>97.36</v>
      </c>
      <c r="H5257" s="63" t="n">
        <v>0.008</v>
      </c>
      <c r="I5257" s="62" t="n">
        <v>62.47</v>
      </c>
      <c r="J5257" s="58" t="inlineStr">
        <is>
          <t>Online</t>
        </is>
      </c>
      <c r="K5257" s="62">
        <f>F5257*(G5257-H5257)</f>
        <v/>
      </c>
      <c r="L5257" s="62">
        <f>K5257-(F5257*I5257)</f>
        <v/>
      </c>
      <c r="M5257" s="64">
        <f>L5257/K5257</f>
        <v/>
      </c>
    </row>
    <row r="5258">
      <c r="A5258" s="58" t="inlineStr">
        <is>
          <t>RT20250515-05257</t>
        </is>
      </c>
      <c r="B5258" s="59" t="inlineStr">
        <is>
          <t>2025-05-15</t>
        </is>
      </c>
      <c r="C5258" s="60" t="inlineStr">
        <is>
          <t>Falcon Beverage Max-702</t>
        </is>
      </c>
      <c r="D5258" s="58" t="inlineStr">
        <is>
          <t>Grocery</t>
        </is>
      </c>
      <c r="E5258" s="58" t="inlineStr">
        <is>
          <t>South</t>
        </is>
      </c>
      <c r="F5258" s="61" t="n">
        <v>2</v>
      </c>
      <c r="G5258" s="62" t="n">
        <v>29.64</v>
      </c>
      <c r="H5258" s="63" t="n">
        <v>0.053</v>
      </c>
      <c r="I5258" s="62" t="n">
        <v>20.29</v>
      </c>
      <c r="J5258" s="58" t="inlineStr">
        <is>
          <t>Online</t>
        </is>
      </c>
      <c r="K5258" s="62">
        <f>F5258*(G5258-H5258)</f>
        <v/>
      </c>
      <c r="L5258" s="62">
        <f>K5258-(F5258*I5258)</f>
        <v/>
      </c>
      <c r="M5258" s="64">
        <f>L5258/K5258</f>
        <v/>
      </c>
    </row>
    <row r="5259">
      <c r="A5259" s="58" t="inlineStr">
        <is>
          <t>RT20250515-05258</t>
        </is>
      </c>
      <c r="B5259" s="59" t="inlineStr">
        <is>
          <t>2025-05-15</t>
        </is>
      </c>
      <c r="C5259" s="60" t="inlineStr">
        <is>
          <t>Falcon Wearable X-334</t>
        </is>
      </c>
      <c r="D5259" s="58" t="inlineStr">
        <is>
          <t>Electronics</t>
        </is>
      </c>
      <c r="E5259" s="58" t="inlineStr">
        <is>
          <t>West</t>
        </is>
      </c>
      <c r="F5259" s="61" t="n">
        <v>1</v>
      </c>
      <c r="G5259" s="62" t="n">
        <v>1833.59</v>
      </c>
      <c r="H5259" s="63" t="n">
        <v>0.027</v>
      </c>
      <c r="I5259" s="62" t="n">
        <v>1494.07</v>
      </c>
      <c r="J5259" s="58" t="inlineStr">
        <is>
          <t>Online</t>
        </is>
      </c>
      <c r="K5259" s="62">
        <f>F5259*(G5259-H5259)</f>
        <v/>
      </c>
      <c r="L5259" s="62">
        <f>K5259-(F5259*I5259)</f>
        <v/>
      </c>
      <c r="M5259" s="64">
        <f>L5259/K5259</f>
        <v/>
      </c>
    </row>
    <row r="5260">
      <c r="A5260" s="58" t="inlineStr">
        <is>
          <t>RT20250515-05259</t>
        </is>
      </c>
      <c r="B5260" s="59" t="inlineStr">
        <is>
          <t>2025-05-15</t>
        </is>
      </c>
      <c r="C5260" s="60" t="inlineStr">
        <is>
          <t>Aurora Fitnes Lite-194</t>
        </is>
      </c>
      <c r="D5260" s="58" t="inlineStr">
        <is>
          <t>Sports</t>
        </is>
      </c>
      <c r="E5260" s="58" t="inlineStr">
        <is>
          <t>Central</t>
        </is>
      </c>
      <c r="F5260" s="61" t="n">
        <v>2</v>
      </c>
      <c r="G5260" s="62" t="n">
        <v>697.28</v>
      </c>
      <c r="H5260" s="63" t="n">
        <v>0.081</v>
      </c>
      <c r="I5260" s="62" t="n">
        <v>475.71</v>
      </c>
      <c r="J5260" s="58" t="inlineStr">
        <is>
          <t>Online</t>
        </is>
      </c>
      <c r="K5260" s="62">
        <f>F5260*(G5260-H5260)</f>
        <v/>
      </c>
      <c r="L5260" s="62">
        <f>K5260-(F5260*I5260)</f>
        <v/>
      </c>
      <c r="M5260" s="64">
        <f>L5260/K5260</f>
        <v/>
      </c>
    </row>
    <row r="5261">
      <c r="A5261" s="58" t="inlineStr">
        <is>
          <t>RT20250515-05260</t>
        </is>
      </c>
      <c r="B5261" s="59" t="inlineStr">
        <is>
          <t>2025-05-15</t>
        </is>
      </c>
      <c r="C5261" s="60" t="inlineStr">
        <is>
          <t>Polar Women S-662</t>
        </is>
      </c>
      <c r="D5261" s="58" t="inlineStr">
        <is>
          <t>Apparel</t>
        </is>
      </c>
      <c r="E5261" s="58" t="inlineStr">
        <is>
          <t>South</t>
        </is>
      </c>
      <c r="F5261" s="61" t="n">
        <v>4</v>
      </c>
      <c r="G5261" s="62" t="n">
        <v>180.51</v>
      </c>
      <c r="H5261" s="63" t="n">
        <v>0.103</v>
      </c>
      <c r="I5261" s="62" t="n">
        <v>96.52</v>
      </c>
      <c r="J5261" s="58" t="inlineStr">
        <is>
          <t>Store</t>
        </is>
      </c>
      <c r="K5261" s="62">
        <f>F5261*(G5261-H5261)</f>
        <v/>
      </c>
      <c r="L5261" s="62">
        <f>K5261-(F5261*I5261)</f>
        <v/>
      </c>
      <c r="M5261" s="64">
        <f>L5261/K5261</f>
        <v/>
      </c>
    </row>
    <row r="5262">
      <c r="A5262" s="58" t="inlineStr">
        <is>
          <t>RT20250515-05261</t>
        </is>
      </c>
      <c r="B5262" s="59" t="inlineStr">
        <is>
          <t>2025-05-15</t>
        </is>
      </c>
      <c r="C5262" s="60" t="inlineStr">
        <is>
          <t>Polar Outdoor X-193</t>
        </is>
      </c>
      <c r="D5262" s="58" t="inlineStr">
        <is>
          <t>Sports</t>
        </is>
      </c>
      <c r="E5262" s="58" t="inlineStr">
        <is>
          <t>North</t>
        </is>
      </c>
      <c r="F5262" s="61" t="n">
        <v>2</v>
      </c>
      <c r="G5262" s="62" t="n">
        <v>656.38</v>
      </c>
      <c r="H5262" s="63" t="n">
        <v>0.093</v>
      </c>
      <c r="I5262" s="62" t="n">
        <v>461.25</v>
      </c>
      <c r="J5262" s="58" t="inlineStr">
        <is>
          <t>Store</t>
        </is>
      </c>
      <c r="K5262" s="62">
        <f>F5262*(G5262-H5262)</f>
        <v/>
      </c>
      <c r="L5262" s="62">
        <f>K5262-(F5262*I5262)</f>
        <v/>
      </c>
      <c r="M5262" s="64">
        <f>L5262/K5262</f>
        <v/>
      </c>
    </row>
    <row r="5263">
      <c r="A5263" s="58" t="inlineStr">
        <is>
          <t>RT20250515-05262</t>
        </is>
      </c>
      <c r="B5263" s="59" t="inlineStr">
        <is>
          <t>2025-05-15</t>
        </is>
      </c>
      <c r="C5263" s="60" t="inlineStr">
        <is>
          <t>Vertex Supplie X-513</t>
        </is>
      </c>
      <c r="D5263" s="58" t="inlineStr">
        <is>
          <t>Office</t>
        </is>
      </c>
      <c r="E5263" s="58" t="inlineStr">
        <is>
          <t>Central</t>
        </is>
      </c>
      <c r="F5263" s="61" t="n">
        <v>3</v>
      </c>
      <c r="G5263" s="62" t="n">
        <v>366.89</v>
      </c>
      <c r="H5263" s="63" t="n">
        <v>0.05</v>
      </c>
      <c r="I5263" s="62" t="n">
        <v>273.67</v>
      </c>
      <c r="J5263" s="58" t="inlineStr">
        <is>
          <t>Online</t>
        </is>
      </c>
      <c r="K5263" s="62">
        <f>F5263*(G5263-H5263)</f>
        <v/>
      </c>
      <c r="L5263" s="62">
        <f>K5263-(F5263*I5263)</f>
        <v/>
      </c>
      <c r="M5263" s="64">
        <f>L5263/K5263</f>
        <v/>
      </c>
    </row>
    <row r="5264">
      <c r="A5264" s="58" t="inlineStr">
        <is>
          <t>RT20250515-05263</t>
        </is>
      </c>
      <c r="B5264" s="59" t="inlineStr">
        <is>
          <t>2025-05-15</t>
        </is>
      </c>
      <c r="C5264" s="60" t="inlineStr">
        <is>
          <t>Nimbus Makeup Max-158</t>
        </is>
      </c>
      <c r="D5264" s="58" t="inlineStr">
        <is>
          <t>Beauty</t>
        </is>
      </c>
      <c r="E5264" s="58" t="inlineStr">
        <is>
          <t>North</t>
        </is>
      </c>
      <c r="F5264" s="61" t="n">
        <v>5</v>
      </c>
      <c r="G5264" s="62" t="n">
        <v>161.25</v>
      </c>
      <c r="H5264" s="63" t="n">
        <v>0.058</v>
      </c>
      <c r="I5264" s="62" t="n">
        <v>97.23</v>
      </c>
      <c r="J5264" s="58" t="inlineStr">
        <is>
          <t>Phone</t>
        </is>
      </c>
      <c r="K5264" s="62">
        <f>F5264*(G5264-H5264)</f>
        <v/>
      </c>
      <c r="L5264" s="62">
        <f>K5264-(F5264*I5264)</f>
        <v/>
      </c>
      <c r="M5264" s="64">
        <f>L5264/K5264</f>
        <v/>
      </c>
    </row>
    <row r="5265">
      <c r="A5265" s="58" t="inlineStr">
        <is>
          <t>RT20250515-05264</t>
        </is>
      </c>
      <c r="B5265" s="59" t="inlineStr">
        <is>
          <t>2025-05-15</t>
        </is>
      </c>
      <c r="C5265" s="60" t="inlineStr">
        <is>
          <t>Vertex Pantry Pro-165</t>
        </is>
      </c>
      <c r="D5265" s="58" t="inlineStr">
        <is>
          <t>Grocery</t>
        </is>
      </c>
      <c r="E5265" s="58" t="inlineStr">
        <is>
          <t>West</t>
        </is>
      </c>
      <c r="F5265" s="61" t="n">
        <v>7</v>
      </c>
      <c r="G5265" s="62" t="n">
        <v>16.21</v>
      </c>
      <c r="H5265" s="63" t="n">
        <v>0.026</v>
      </c>
      <c r="I5265" s="62" t="n">
        <v>11.59</v>
      </c>
      <c r="J5265" s="58" t="inlineStr">
        <is>
          <t>Online</t>
        </is>
      </c>
      <c r="K5265" s="62">
        <f>F5265*(G5265-H5265)</f>
        <v/>
      </c>
      <c r="L5265" s="62">
        <f>K5265-(F5265*I5265)</f>
        <v/>
      </c>
      <c r="M5265" s="64">
        <f>L5265/K5265</f>
        <v/>
      </c>
    </row>
    <row r="5266">
      <c r="A5266" s="58" t="inlineStr">
        <is>
          <t>RT20250515-05265</t>
        </is>
      </c>
      <c r="B5266" s="59" t="inlineStr">
        <is>
          <t>2025-05-15</t>
        </is>
      </c>
      <c r="C5266" s="60" t="inlineStr">
        <is>
          <t>Orion Kid Max-864</t>
        </is>
      </c>
      <c r="D5266" s="58" t="inlineStr">
        <is>
          <t>Apparel</t>
        </is>
      </c>
      <c r="E5266" s="58" t="inlineStr">
        <is>
          <t>Central</t>
        </is>
      </c>
      <c r="F5266" s="61" t="n">
        <v>2</v>
      </c>
      <c r="G5266" s="62" t="n">
        <v>89.39</v>
      </c>
      <c r="H5266" s="63" t="n">
        <v>0.064</v>
      </c>
      <c r="I5266" s="62" t="n">
        <v>46.6</v>
      </c>
      <c r="J5266" s="58" t="inlineStr">
        <is>
          <t>Store</t>
        </is>
      </c>
      <c r="K5266" s="62">
        <f>F5266*(G5266-H5266)</f>
        <v/>
      </c>
      <c r="L5266" s="62">
        <f>K5266-(F5266*I5266)</f>
        <v/>
      </c>
      <c r="M5266" s="64">
        <f>L5266/K5266</f>
        <v/>
      </c>
    </row>
    <row r="5267">
      <c r="A5267" s="58" t="inlineStr">
        <is>
          <t>RT20250515-05266</t>
        </is>
      </c>
      <c r="B5267" s="59" t="inlineStr">
        <is>
          <t>2025-05-15</t>
        </is>
      </c>
      <c r="C5267" s="60" t="inlineStr">
        <is>
          <t>Metro Wearable Plus-234</t>
        </is>
      </c>
      <c r="D5267" s="58" t="inlineStr">
        <is>
          <t>Electronics</t>
        </is>
      </c>
      <c r="E5267" s="58" t="inlineStr">
        <is>
          <t>South</t>
        </is>
      </c>
      <c r="F5267" s="61" t="n">
        <v>2</v>
      </c>
      <c r="G5267" s="62" t="n">
        <v>1420.89</v>
      </c>
      <c r="H5267" s="63" t="n">
        <v>0.035</v>
      </c>
      <c r="I5267" s="62" t="n">
        <v>1156.78</v>
      </c>
      <c r="J5267" s="58" t="inlineStr">
        <is>
          <t>Phone</t>
        </is>
      </c>
      <c r="K5267" s="62">
        <f>F5267*(G5267-H5267)</f>
        <v/>
      </c>
      <c r="L5267" s="62">
        <f>K5267-(F5267*I5267)</f>
        <v/>
      </c>
      <c r="M5267" s="64">
        <f>L5267/K5267</f>
        <v/>
      </c>
    </row>
    <row r="5268">
      <c r="A5268" s="58" t="inlineStr">
        <is>
          <t>RT20250515-05267</t>
        </is>
      </c>
      <c r="B5268" s="59" t="inlineStr">
        <is>
          <t>2025-05-15</t>
        </is>
      </c>
      <c r="C5268" s="60" t="inlineStr">
        <is>
          <t>Aurora Storage Lite-774</t>
        </is>
      </c>
      <c r="D5268" s="58" t="inlineStr">
        <is>
          <t>Office</t>
        </is>
      </c>
      <c r="E5268" s="58" t="inlineStr">
        <is>
          <t>South</t>
        </is>
      </c>
      <c r="F5268" s="61" t="n">
        <v>1</v>
      </c>
      <c r="G5268" s="62" t="n">
        <v>356.07</v>
      </c>
      <c r="H5268" s="63" t="n">
        <v>0.063</v>
      </c>
      <c r="I5268" s="62" t="n">
        <v>242.54</v>
      </c>
      <c r="J5268" s="58" t="inlineStr">
        <is>
          <t>Online</t>
        </is>
      </c>
      <c r="K5268" s="62">
        <f>F5268*(G5268-H5268)</f>
        <v/>
      </c>
      <c r="L5268" s="62">
        <f>K5268-(F5268*I5268)</f>
        <v/>
      </c>
      <c r="M5268" s="64">
        <f>L5268/K5268</f>
        <v/>
      </c>
    </row>
    <row r="5269">
      <c r="A5269" s="58" t="inlineStr">
        <is>
          <t>RT20250515-05268</t>
        </is>
      </c>
      <c r="B5269" s="59" t="inlineStr">
        <is>
          <t>2025-05-15</t>
        </is>
      </c>
      <c r="C5269" s="60" t="inlineStr">
        <is>
          <t>Metro Accessorie Lite-697</t>
        </is>
      </c>
      <c r="D5269" s="58" t="inlineStr">
        <is>
          <t>Apparel</t>
        </is>
      </c>
      <c r="E5269" s="58" t="inlineStr">
        <is>
          <t>South</t>
        </is>
      </c>
      <c r="F5269" s="61" t="n">
        <v>1</v>
      </c>
      <c r="G5269" s="62" t="n">
        <v>152.92</v>
      </c>
      <c r="H5269" s="63" t="n">
        <v>0.048</v>
      </c>
      <c r="I5269" s="62" t="n">
        <v>75.01000000000001</v>
      </c>
      <c r="J5269" s="58" t="inlineStr">
        <is>
          <t>Store</t>
        </is>
      </c>
      <c r="K5269" s="62">
        <f>F5269*(G5269-H5269)</f>
        <v/>
      </c>
      <c r="L5269" s="62">
        <f>K5269-(F5269*I5269)</f>
        <v/>
      </c>
      <c r="M5269" s="64">
        <f>L5269/K5269</f>
        <v/>
      </c>
    </row>
    <row r="5270">
      <c r="A5270" s="58" t="inlineStr">
        <is>
          <t>RT20250515-05269</t>
        </is>
      </c>
      <c r="B5270" s="59" t="inlineStr">
        <is>
          <t>2025-05-15</t>
        </is>
      </c>
      <c r="C5270" s="60" t="inlineStr">
        <is>
          <t>Polar Women Max-927</t>
        </is>
      </c>
      <c r="D5270" s="58" t="inlineStr">
        <is>
          <t>Apparel</t>
        </is>
      </c>
      <c r="E5270" s="58" t="inlineStr">
        <is>
          <t>East</t>
        </is>
      </c>
      <c r="F5270" s="61" t="n">
        <v>2</v>
      </c>
      <c r="G5270" s="62" t="n">
        <v>118.66</v>
      </c>
      <c r="H5270" s="63" t="n">
        <v>0.054</v>
      </c>
      <c r="I5270" s="62" t="n">
        <v>67.67</v>
      </c>
      <c r="J5270" s="58" t="inlineStr">
        <is>
          <t>Online</t>
        </is>
      </c>
      <c r="K5270" s="62">
        <f>F5270*(G5270-H5270)</f>
        <v/>
      </c>
      <c r="L5270" s="62">
        <f>K5270-(F5270*I5270)</f>
        <v/>
      </c>
      <c r="M5270" s="64">
        <f>L5270/K5270</f>
        <v/>
      </c>
    </row>
    <row r="5271">
      <c r="A5271" s="58" t="inlineStr">
        <is>
          <t>RT20250515-05270</t>
        </is>
      </c>
      <c r="B5271" s="59" t="inlineStr">
        <is>
          <t>2025-05-15</t>
        </is>
      </c>
      <c r="C5271" s="60" t="inlineStr">
        <is>
          <t>Falcon Beverage Max-702</t>
        </is>
      </c>
      <c r="D5271" s="58" t="inlineStr">
        <is>
          <t>Grocery</t>
        </is>
      </c>
      <c r="E5271" s="58" t="inlineStr">
        <is>
          <t>South</t>
        </is>
      </c>
      <c r="F5271" s="61" t="n">
        <v>8</v>
      </c>
      <c r="G5271" s="62" t="n">
        <v>25.68</v>
      </c>
      <c r="H5271" s="63" t="n">
        <v>0.08799999999999999</v>
      </c>
      <c r="I5271" s="62" t="n">
        <v>19.71</v>
      </c>
      <c r="J5271" s="58" t="inlineStr">
        <is>
          <t>Phone</t>
        </is>
      </c>
      <c r="K5271" s="62">
        <f>F5271*(G5271-H5271)</f>
        <v/>
      </c>
      <c r="L5271" s="62">
        <f>K5271-(F5271*I5271)</f>
        <v/>
      </c>
      <c r="M5271" s="64">
        <f>L5271/K5271</f>
        <v/>
      </c>
    </row>
    <row r="5272">
      <c r="A5272" s="58" t="inlineStr">
        <is>
          <t>RT20250515-05271</t>
        </is>
      </c>
      <c r="B5272" s="59" t="inlineStr">
        <is>
          <t>2025-05-15</t>
        </is>
      </c>
      <c r="C5272" s="60" t="inlineStr">
        <is>
          <t>Aurora Furniture X-709</t>
        </is>
      </c>
      <c r="D5272" s="58" t="inlineStr">
        <is>
          <t>Office</t>
        </is>
      </c>
      <c r="E5272" s="58" t="inlineStr">
        <is>
          <t>West</t>
        </is>
      </c>
      <c r="F5272" s="61" t="n">
        <v>3</v>
      </c>
      <c r="G5272" s="62" t="n">
        <v>428.85</v>
      </c>
      <c r="H5272" s="63" t="n">
        <v>0.017</v>
      </c>
      <c r="I5272" s="62" t="n">
        <v>304.82</v>
      </c>
      <c r="J5272" s="58" t="inlineStr">
        <is>
          <t>Store</t>
        </is>
      </c>
      <c r="K5272" s="62">
        <f>F5272*(G5272-H5272)</f>
        <v/>
      </c>
      <c r="L5272" s="62">
        <f>K5272-(F5272*I5272)</f>
        <v/>
      </c>
      <c r="M5272" s="64">
        <f>L5272/K5272</f>
        <v/>
      </c>
    </row>
    <row r="5273">
      <c r="A5273" s="58" t="inlineStr">
        <is>
          <t>RT20250515-05272</t>
        </is>
      </c>
      <c r="B5273" s="59" t="inlineStr">
        <is>
          <t>2025-05-15</t>
        </is>
      </c>
      <c r="C5273" s="60" t="inlineStr">
        <is>
          <t>Polar Snack Pro-641</t>
        </is>
      </c>
      <c r="D5273" s="58" t="inlineStr">
        <is>
          <t>Grocery</t>
        </is>
      </c>
      <c r="E5273" s="58" t="inlineStr">
        <is>
          <t>North</t>
        </is>
      </c>
      <c r="F5273" s="61" t="n">
        <v>7</v>
      </c>
      <c r="G5273" s="62" t="n">
        <v>11.45</v>
      </c>
      <c r="H5273" s="63" t="n">
        <v>0.07199999999999999</v>
      </c>
      <c r="I5273" s="62" t="n">
        <v>9.380000000000001</v>
      </c>
      <c r="J5273" s="58" t="inlineStr">
        <is>
          <t>Online</t>
        </is>
      </c>
      <c r="K5273" s="62">
        <f>F5273*(G5273-H5273)</f>
        <v/>
      </c>
      <c r="L5273" s="62">
        <f>K5273-(F5273*I5273)</f>
        <v/>
      </c>
      <c r="M5273" s="64">
        <f>L5273/K5273</f>
        <v/>
      </c>
    </row>
    <row r="5274">
      <c r="A5274" s="58" t="inlineStr">
        <is>
          <t>RT20250515-05273</t>
        </is>
      </c>
      <c r="B5274" s="59" t="inlineStr">
        <is>
          <t>2025-05-15</t>
        </is>
      </c>
      <c r="C5274" s="60" t="inlineStr">
        <is>
          <t>Nimbus Fitnes Lite-516</t>
        </is>
      </c>
      <c r="D5274" s="58" t="inlineStr">
        <is>
          <t>Sports</t>
        </is>
      </c>
      <c r="E5274" s="58" t="inlineStr">
        <is>
          <t>East</t>
        </is>
      </c>
      <c r="F5274" s="61" t="n">
        <v>3</v>
      </c>
      <c r="G5274" s="62" t="n">
        <v>777.64</v>
      </c>
      <c r="H5274" s="63" t="n">
        <v>0.131</v>
      </c>
      <c r="I5274" s="62" t="n">
        <v>470.19</v>
      </c>
      <c r="J5274" s="58" t="inlineStr">
        <is>
          <t>Online</t>
        </is>
      </c>
      <c r="K5274" s="62">
        <f>F5274*(G5274-H5274)</f>
        <v/>
      </c>
      <c r="L5274" s="62">
        <f>K5274-(F5274*I5274)</f>
        <v/>
      </c>
      <c r="M5274" s="64">
        <f>L5274/K5274</f>
        <v/>
      </c>
    </row>
    <row r="5275">
      <c r="A5275" s="58" t="inlineStr">
        <is>
          <t>RT20250515-05274</t>
        </is>
      </c>
      <c r="B5275" s="59" t="inlineStr">
        <is>
          <t>2025-05-15</t>
        </is>
      </c>
      <c r="C5275" s="60" t="inlineStr">
        <is>
          <t>Metro Smartphone Max-773</t>
        </is>
      </c>
      <c r="D5275" s="58" t="inlineStr">
        <is>
          <t>Electronics</t>
        </is>
      </c>
      <c r="E5275" s="58" t="inlineStr">
        <is>
          <t>East</t>
        </is>
      </c>
      <c r="F5275" s="61" t="n">
        <v>2</v>
      </c>
      <c r="G5275" s="62" t="n">
        <v>1441.45</v>
      </c>
      <c r="H5275" s="63" t="n">
        <v>0.051</v>
      </c>
      <c r="I5275" s="62" t="n">
        <v>1140.29</v>
      </c>
      <c r="J5275" s="58" t="inlineStr">
        <is>
          <t>Store</t>
        </is>
      </c>
      <c r="K5275" s="62">
        <f>F5275*(G5275-H5275)</f>
        <v/>
      </c>
      <c r="L5275" s="62">
        <f>K5275-(F5275*I5275)</f>
        <v/>
      </c>
      <c r="M5275" s="64">
        <f>L5275/K5275</f>
        <v/>
      </c>
    </row>
    <row r="5276">
      <c r="A5276" s="58" t="inlineStr">
        <is>
          <t>RT20250515-05275</t>
        </is>
      </c>
      <c r="B5276" s="59" t="inlineStr">
        <is>
          <t>2025-05-15</t>
        </is>
      </c>
      <c r="C5276" s="60" t="inlineStr">
        <is>
          <t>Vertex Supplie X-513</t>
        </is>
      </c>
      <c r="D5276" s="58" t="inlineStr">
        <is>
          <t>Office</t>
        </is>
      </c>
      <c r="E5276" s="58" t="inlineStr">
        <is>
          <t>West</t>
        </is>
      </c>
      <c r="F5276" s="61" t="n">
        <v>1</v>
      </c>
      <c r="G5276" s="62" t="n">
        <v>407.42</v>
      </c>
      <c r="H5276" s="63" t="n">
        <v>0.06</v>
      </c>
      <c r="I5276" s="62" t="n">
        <v>272.78</v>
      </c>
      <c r="J5276" s="58" t="inlineStr">
        <is>
          <t>Online</t>
        </is>
      </c>
      <c r="K5276" s="62">
        <f>F5276*(G5276-H5276)</f>
        <v/>
      </c>
      <c r="L5276" s="62">
        <f>K5276-(F5276*I5276)</f>
        <v/>
      </c>
      <c r="M5276" s="64">
        <f>L5276/K5276</f>
        <v/>
      </c>
    </row>
    <row r="5277">
      <c r="A5277" s="58" t="inlineStr">
        <is>
          <t>RT20250515-05276</t>
        </is>
      </c>
      <c r="B5277" s="59" t="inlineStr">
        <is>
          <t>2025-05-15</t>
        </is>
      </c>
      <c r="C5277" s="60" t="inlineStr">
        <is>
          <t>Orion Men X-928</t>
        </is>
      </c>
      <c r="D5277" s="58" t="inlineStr">
        <is>
          <t>Apparel</t>
        </is>
      </c>
      <c r="E5277" s="58" t="inlineStr">
        <is>
          <t>East</t>
        </is>
      </c>
      <c r="F5277" s="61" t="n">
        <v>2</v>
      </c>
      <c r="G5277" s="62" t="n">
        <v>98.34999999999999</v>
      </c>
      <c r="H5277" s="63" t="n">
        <v>0.053</v>
      </c>
      <c r="I5277" s="62" t="n">
        <v>60.98</v>
      </c>
      <c r="J5277" s="58" t="inlineStr">
        <is>
          <t>Online</t>
        </is>
      </c>
      <c r="K5277" s="62">
        <f>F5277*(G5277-H5277)</f>
        <v/>
      </c>
      <c r="L5277" s="62">
        <f>K5277-(F5277*I5277)</f>
        <v/>
      </c>
      <c r="M5277" s="64">
        <f>L5277/K5277</f>
        <v/>
      </c>
    </row>
    <row r="5278">
      <c r="A5278" s="58" t="inlineStr">
        <is>
          <t>RT20250515-05277</t>
        </is>
      </c>
      <c r="B5278" s="59" t="inlineStr">
        <is>
          <t>2025-05-15</t>
        </is>
      </c>
      <c r="C5278" s="60" t="inlineStr">
        <is>
          <t>Nimbus Laptop Max-652</t>
        </is>
      </c>
      <c r="D5278" s="58" t="inlineStr">
        <is>
          <t>Electronics</t>
        </is>
      </c>
      <c r="E5278" s="58" t="inlineStr">
        <is>
          <t>East</t>
        </is>
      </c>
      <c r="F5278" s="61" t="n">
        <v>2</v>
      </c>
      <c r="G5278" s="62" t="n">
        <v>1328.84</v>
      </c>
      <c r="H5278" s="63" t="n">
        <v>0.063</v>
      </c>
      <c r="I5278" s="62" t="n">
        <v>1016.4</v>
      </c>
      <c r="J5278" s="58" t="inlineStr">
        <is>
          <t>Online</t>
        </is>
      </c>
      <c r="K5278" s="62">
        <f>F5278*(G5278-H5278)</f>
        <v/>
      </c>
      <c r="L5278" s="62">
        <f>K5278-(F5278*I5278)</f>
        <v/>
      </c>
      <c r="M5278" s="64">
        <f>L5278/K5278</f>
        <v/>
      </c>
    </row>
    <row r="5279">
      <c r="A5279" s="58" t="inlineStr">
        <is>
          <t>RT20250515-05278</t>
        </is>
      </c>
      <c r="B5279" s="59" t="inlineStr">
        <is>
          <t>2025-05-15</t>
        </is>
      </c>
      <c r="C5279" s="60" t="inlineStr">
        <is>
          <t>Aurora Makeup S-626</t>
        </is>
      </c>
      <c r="D5279" s="58" t="inlineStr">
        <is>
          <t>Beauty</t>
        </is>
      </c>
      <c r="E5279" s="58" t="inlineStr">
        <is>
          <t>Central</t>
        </is>
      </c>
      <c r="F5279" s="61" t="n">
        <v>2</v>
      </c>
      <c r="G5279" s="62" t="n">
        <v>104.46</v>
      </c>
      <c r="H5279" s="63" t="n">
        <v>0.03</v>
      </c>
      <c r="I5279" s="62" t="n">
        <v>63.99</v>
      </c>
      <c r="J5279" s="58" t="inlineStr">
        <is>
          <t>Store</t>
        </is>
      </c>
      <c r="K5279" s="62">
        <f>F5279*(G5279-H5279)</f>
        <v/>
      </c>
      <c r="L5279" s="62">
        <f>K5279-(F5279*I5279)</f>
        <v/>
      </c>
      <c r="M5279" s="64">
        <f>L5279/K5279</f>
        <v/>
      </c>
    </row>
    <row r="5280">
      <c r="A5280" s="58" t="inlineStr">
        <is>
          <t>RT20250515-05279</t>
        </is>
      </c>
      <c r="B5280" s="59" t="inlineStr">
        <is>
          <t>2025-05-15</t>
        </is>
      </c>
      <c r="C5280" s="60" t="inlineStr">
        <is>
          <t>Vertex Fitnes Pro-830</t>
        </is>
      </c>
      <c r="D5280" s="58" t="inlineStr">
        <is>
          <t>Sports</t>
        </is>
      </c>
      <c r="E5280" s="58" t="inlineStr">
        <is>
          <t>West</t>
        </is>
      </c>
      <c r="F5280" s="61" t="n">
        <v>2</v>
      </c>
      <c r="G5280" s="62" t="n">
        <v>710.99</v>
      </c>
      <c r="H5280" s="63" t="n">
        <v>0.054</v>
      </c>
      <c r="I5280" s="62" t="n">
        <v>490.82</v>
      </c>
      <c r="J5280" s="58" t="inlineStr">
        <is>
          <t>Online</t>
        </is>
      </c>
      <c r="K5280" s="62">
        <f>F5280*(G5280-H5280)</f>
        <v/>
      </c>
      <c r="L5280" s="62">
        <f>K5280-(F5280*I5280)</f>
        <v/>
      </c>
      <c r="M5280" s="64">
        <f>L5280/K5280</f>
        <v/>
      </c>
    </row>
    <row r="5281">
      <c r="A5281" s="58" t="inlineStr">
        <is>
          <t>RT20250515-05280</t>
        </is>
      </c>
      <c r="B5281" s="59" t="inlineStr">
        <is>
          <t>2025-05-15</t>
        </is>
      </c>
      <c r="C5281" s="60" t="inlineStr">
        <is>
          <t>Aurora Wearable Lite-704</t>
        </is>
      </c>
      <c r="D5281" s="58" t="inlineStr">
        <is>
          <t>Electronics</t>
        </is>
      </c>
      <c r="E5281" s="58" t="inlineStr">
        <is>
          <t>West</t>
        </is>
      </c>
      <c r="F5281" s="61" t="n">
        <v>1</v>
      </c>
      <c r="G5281" s="62" t="n">
        <v>1922.46</v>
      </c>
      <c r="H5281" s="63" t="n">
        <v>0.046</v>
      </c>
      <c r="I5281" s="62" t="n">
        <v>1424.04</v>
      </c>
      <c r="J5281" s="58" t="inlineStr">
        <is>
          <t>Online</t>
        </is>
      </c>
      <c r="K5281" s="62">
        <f>F5281*(G5281-H5281)</f>
        <v/>
      </c>
      <c r="L5281" s="62">
        <f>K5281-(F5281*I5281)</f>
        <v/>
      </c>
      <c r="M5281" s="64">
        <f>L5281/K5281</f>
        <v/>
      </c>
    </row>
    <row r="5282">
      <c r="A5282" s="58" t="inlineStr">
        <is>
          <t>RT20250515-05281</t>
        </is>
      </c>
      <c r="B5282" s="59" t="inlineStr">
        <is>
          <t>2025-05-15</t>
        </is>
      </c>
      <c r="C5282" s="60" t="inlineStr">
        <is>
          <t>Polar Men Pro-246</t>
        </is>
      </c>
      <c r="D5282" s="58" t="inlineStr">
        <is>
          <t>Apparel</t>
        </is>
      </c>
      <c r="E5282" s="58" t="inlineStr">
        <is>
          <t>Central</t>
        </is>
      </c>
      <c r="F5282" s="61" t="n">
        <v>1</v>
      </c>
      <c r="G5282" s="62" t="n">
        <v>129.08</v>
      </c>
      <c r="H5282" s="63" t="n">
        <v>0.022</v>
      </c>
      <c r="I5282" s="62" t="n">
        <v>76.48999999999999</v>
      </c>
      <c r="J5282" s="58" t="inlineStr">
        <is>
          <t>Store</t>
        </is>
      </c>
      <c r="K5282" s="62">
        <f>F5282*(G5282-H5282)</f>
        <v/>
      </c>
      <c r="L5282" s="62">
        <f>K5282-(F5282*I5282)</f>
        <v/>
      </c>
      <c r="M5282" s="64">
        <f>L5282/K5282</f>
        <v/>
      </c>
    </row>
    <row r="5283">
      <c r="A5283" s="58" t="inlineStr">
        <is>
          <t>RT20250515-05282</t>
        </is>
      </c>
      <c r="B5283" s="59" t="inlineStr">
        <is>
          <t>2025-05-15</t>
        </is>
      </c>
      <c r="C5283" s="60" t="inlineStr">
        <is>
          <t>Falcon Team Sport Lite-268</t>
        </is>
      </c>
      <c r="D5283" s="58" t="inlineStr">
        <is>
          <t>Sports</t>
        </is>
      </c>
      <c r="E5283" s="58" t="inlineStr">
        <is>
          <t>South</t>
        </is>
      </c>
      <c r="F5283" s="61" t="n">
        <v>2</v>
      </c>
      <c r="G5283" s="62" t="n">
        <v>683.42</v>
      </c>
      <c r="H5283" s="63" t="n">
        <v>0.055</v>
      </c>
      <c r="I5283" s="62" t="n">
        <v>439.97</v>
      </c>
      <c r="J5283" s="58" t="inlineStr">
        <is>
          <t>Store</t>
        </is>
      </c>
      <c r="K5283" s="62">
        <f>F5283*(G5283-H5283)</f>
        <v/>
      </c>
      <c r="L5283" s="62">
        <f>K5283-(F5283*I5283)</f>
        <v/>
      </c>
      <c r="M5283" s="64">
        <f>L5283/K5283</f>
        <v/>
      </c>
    </row>
    <row r="5284">
      <c r="A5284" s="58" t="inlineStr">
        <is>
          <t>RT20250515-05283</t>
        </is>
      </c>
      <c r="B5284" s="59" t="inlineStr">
        <is>
          <t>2025-05-15</t>
        </is>
      </c>
      <c r="C5284" s="60" t="inlineStr">
        <is>
          <t>Aurora Wearable Lite-704</t>
        </is>
      </c>
      <c r="D5284" s="58" t="inlineStr">
        <is>
          <t>Electronics</t>
        </is>
      </c>
      <c r="E5284" s="58" t="inlineStr">
        <is>
          <t>South</t>
        </is>
      </c>
      <c r="F5284" s="61" t="n">
        <v>2</v>
      </c>
      <c r="G5284" s="62" t="n">
        <v>1997.4</v>
      </c>
      <c r="H5284" s="63" t="n">
        <v>0.08</v>
      </c>
      <c r="I5284" s="62" t="n">
        <v>1447.54</v>
      </c>
      <c r="J5284" s="58" t="inlineStr">
        <is>
          <t>Store</t>
        </is>
      </c>
      <c r="K5284" s="62">
        <f>F5284*(G5284-H5284)</f>
        <v/>
      </c>
      <c r="L5284" s="62">
        <f>K5284-(F5284*I5284)</f>
        <v/>
      </c>
      <c r="M5284" s="64">
        <f>L5284/K5284</f>
        <v/>
      </c>
    </row>
    <row r="5285">
      <c r="A5285" s="58" t="inlineStr">
        <is>
          <t>RT20250515-05284</t>
        </is>
      </c>
      <c r="B5285" s="59" t="inlineStr">
        <is>
          <t>2025-05-15</t>
        </is>
      </c>
      <c r="C5285" s="60" t="inlineStr">
        <is>
          <t>Aurora Smartphone Plus-125</t>
        </is>
      </c>
      <c r="D5285" s="58" t="inlineStr">
        <is>
          <t>Electronics</t>
        </is>
      </c>
      <c r="E5285" s="58" t="inlineStr">
        <is>
          <t>North</t>
        </is>
      </c>
      <c r="F5285" s="61" t="n">
        <v>2</v>
      </c>
      <c r="G5285" s="62" t="n">
        <v>1531.29</v>
      </c>
      <c r="H5285" s="63" t="n">
        <v>0.079</v>
      </c>
      <c r="I5285" s="62" t="n">
        <v>1230.24</v>
      </c>
      <c r="J5285" s="58" t="inlineStr">
        <is>
          <t>Online</t>
        </is>
      </c>
      <c r="K5285" s="62">
        <f>F5285*(G5285-H5285)</f>
        <v/>
      </c>
      <c r="L5285" s="62">
        <f>K5285-(F5285*I5285)</f>
        <v/>
      </c>
      <c r="M5285" s="64">
        <f>L5285/K5285</f>
        <v/>
      </c>
    </row>
    <row r="5286">
      <c r="A5286" s="58" t="inlineStr">
        <is>
          <t>RT20250515-05285</t>
        </is>
      </c>
      <c r="B5286" s="59" t="inlineStr">
        <is>
          <t>2025-05-15</t>
        </is>
      </c>
      <c r="C5286" s="60" t="inlineStr">
        <is>
          <t>Aurora Makeup S-626</t>
        </is>
      </c>
      <c r="D5286" s="58" t="inlineStr">
        <is>
          <t>Beauty</t>
        </is>
      </c>
      <c r="E5286" s="58" t="inlineStr">
        <is>
          <t>East</t>
        </is>
      </c>
      <c r="F5286" s="61" t="n">
        <v>3</v>
      </c>
      <c r="G5286" s="62" t="n">
        <v>106.4</v>
      </c>
      <c r="H5286" s="63" t="n">
        <v>0.068</v>
      </c>
      <c r="I5286" s="62" t="n">
        <v>63.43</v>
      </c>
      <c r="J5286" s="58" t="inlineStr">
        <is>
          <t>Store</t>
        </is>
      </c>
      <c r="K5286" s="62">
        <f>F5286*(G5286-H5286)</f>
        <v/>
      </c>
      <c r="L5286" s="62">
        <f>K5286-(F5286*I5286)</f>
        <v/>
      </c>
      <c r="M5286" s="64">
        <f>L5286/K5286</f>
        <v/>
      </c>
    </row>
    <row r="5287">
      <c r="A5287" s="58" t="inlineStr">
        <is>
          <t>RT20250515-05286</t>
        </is>
      </c>
      <c r="B5287" s="59" t="inlineStr">
        <is>
          <t>2025-05-15</t>
        </is>
      </c>
      <c r="C5287" s="60" t="inlineStr">
        <is>
          <t>Polar Beverage S-258</t>
        </is>
      </c>
      <c r="D5287" s="58" t="inlineStr">
        <is>
          <t>Grocery</t>
        </is>
      </c>
      <c r="E5287" s="58" t="inlineStr">
        <is>
          <t>East</t>
        </is>
      </c>
      <c r="F5287" s="61" t="n">
        <v>7</v>
      </c>
      <c r="G5287" s="62" t="n">
        <v>12.55</v>
      </c>
      <c r="H5287" s="63" t="n">
        <v>0.119</v>
      </c>
      <c r="I5287" s="62" t="n">
        <v>9.539999999999999</v>
      </c>
      <c r="J5287" s="58" t="inlineStr">
        <is>
          <t>Store</t>
        </is>
      </c>
      <c r="K5287" s="62">
        <f>F5287*(G5287-H5287)</f>
        <v/>
      </c>
      <c r="L5287" s="62">
        <f>K5287-(F5287*I5287)</f>
        <v/>
      </c>
      <c r="M5287" s="64">
        <f>L5287/K5287</f>
        <v/>
      </c>
    </row>
    <row r="5288">
      <c r="A5288" s="58" t="inlineStr">
        <is>
          <t>RT20250515-05287</t>
        </is>
      </c>
      <c r="B5288" s="59" t="inlineStr">
        <is>
          <t>2025-05-15</t>
        </is>
      </c>
      <c r="C5288" s="60" t="inlineStr">
        <is>
          <t>Falcon Headphone Plus-789</t>
        </is>
      </c>
      <c r="D5288" s="58" t="inlineStr">
        <is>
          <t>Electronics</t>
        </is>
      </c>
      <c r="E5288" s="58" t="inlineStr">
        <is>
          <t>South</t>
        </is>
      </c>
      <c r="F5288" s="61" t="n">
        <v>2</v>
      </c>
      <c r="G5288" s="62" t="n">
        <v>2002.82</v>
      </c>
      <c r="H5288" s="63" t="n">
        <v>0.083</v>
      </c>
      <c r="I5288" s="62" t="n">
        <v>1300.39</v>
      </c>
      <c r="J5288" s="58" t="inlineStr">
        <is>
          <t>Store</t>
        </is>
      </c>
      <c r="K5288" s="62">
        <f>F5288*(G5288-H5288)</f>
        <v/>
      </c>
      <c r="L5288" s="62">
        <f>K5288-(F5288*I5288)</f>
        <v/>
      </c>
      <c r="M5288" s="64">
        <f>L5288/K5288</f>
        <v/>
      </c>
    </row>
    <row r="5289">
      <c r="A5289" s="58" t="inlineStr">
        <is>
          <t>RT20250515-05288</t>
        </is>
      </c>
      <c r="B5289" s="59" t="inlineStr">
        <is>
          <t>2025-05-15</t>
        </is>
      </c>
      <c r="C5289" s="60" t="inlineStr">
        <is>
          <t>Metro Pantry X-710</t>
        </is>
      </c>
      <c r="D5289" s="58" t="inlineStr">
        <is>
          <t>Grocery</t>
        </is>
      </c>
      <c r="E5289" s="58" t="inlineStr">
        <is>
          <t>North</t>
        </is>
      </c>
      <c r="F5289" s="61" t="n">
        <v>2</v>
      </c>
      <c r="G5289" s="62" t="n">
        <v>5.59</v>
      </c>
      <c r="H5289" s="63" t="n">
        <v>0.066</v>
      </c>
      <c r="I5289" s="62" t="n">
        <v>4.22</v>
      </c>
      <c r="J5289" s="58" t="inlineStr">
        <is>
          <t>Online</t>
        </is>
      </c>
      <c r="K5289" s="62">
        <f>F5289*(G5289-H5289)</f>
        <v/>
      </c>
      <c r="L5289" s="62">
        <f>K5289-(F5289*I5289)</f>
        <v/>
      </c>
      <c r="M5289" s="64">
        <f>L5289/K5289</f>
        <v/>
      </c>
    </row>
    <row r="5290">
      <c r="A5290" s="58" t="inlineStr">
        <is>
          <t>RT20250515-05289</t>
        </is>
      </c>
      <c r="B5290" s="59" t="inlineStr">
        <is>
          <t>2025-05-15</t>
        </is>
      </c>
      <c r="C5290" s="60" t="inlineStr">
        <is>
          <t>Polar Outdoor Lite-318</t>
        </is>
      </c>
      <c r="D5290" s="58" t="inlineStr">
        <is>
          <t>Sports</t>
        </is>
      </c>
      <c r="E5290" s="58" t="inlineStr">
        <is>
          <t>West</t>
        </is>
      </c>
      <c r="F5290" s="61" t="n">
        <v>1</v>
      </c>
      <c r="G5290" s="62" t="n">
        <v>719.77</v>
      </c>
      <c r="H5290" s="63" t="n">
        <v>0.032</v>
      </c>
      <c r="I5290" s="62" t="n">
        <v>460.61</v>
      </c>
      <c r="J5290" s="58" t="inlineStr">
        <is>
          <t>Online</t>
        </is>
      </c>
      <c r="K5290" s="62">
        <f>F5290*(G5290-H5290)</f>
        <v/>
      </c>
      <c r="L5290" s="62">
        <f>K5290-(F5290*I5290)</f>
        <v/>
      </c>
      <c r="M5290" s="64">
        <f>L5290/K5290</f>
        <v/>
      </c>
    </row>
    <row r="5291">
      <c r="A5291" s="58" t="inlineStr">
        <is>
          <t>RT20250515-05290</t>
        </is>
      </c>
      <c r="B5291" s="59" t="inlineStr">
        <is>
          <t>2025-05-15</t>
        </is>
      </c>
      <c r="C5291" s="60" t="inlineStr">
        <is>
          <t>Polar Women Max-927</t>
        </is>
      </c>
      <c r="D5291" s="58" t="inlineStr">
        <is>
          <t>Apparel</t>
        </is>
      </c>
      <c r="E5291" s="58" t="inlineStr">
        <is>
          <t>West</t>
        </is>
      </c>
      <c r="F5291" s="61" t="n">
        <v>3</v>
      </c>
      <c r="G5291" s="62" t="n">
        <v>117.6</v>
      </c>
      <c r="H5291" s="63" t="n">
        <v>0.033</v>
      </c>
      <c r="I5291" s="62" t="n">
        <v>63.49</v>
      </c>
      <c r="J5291" s="58" t="inlineStr">
        <is>
          <t>Store</t>
        </is>
      </c>
      <c r="K5291" s="62">
        <f>F5291*(G5291-H5291)</f>
        <v/>
      </c>
      <c r="L5291" s="62">
        <f>K5291-(F5291*I5291)</f>
        <v/>
      </c>
      <c r="M5291" s="64">
        <f>L5291/K5291</f>
        <v/>
      </c>
    </row>
    <row r="5292">
      <c r="A5292" s="58" t="inlineStr">
        <is>
          <t>RT20250515-05291</t>
        </is>
      </c>
      <c r="B5292" s="59" t="inlineStr">
        <is>
          <t>2025-05-15</t>
        </is>
      </c>
      <c r="C5292" s="60" t="inlineStr">
        <is>
          <t>Polar Men Pro-246</t>
        </is>
      </c>
      <c r="D5292" s="58" t="inlineStr">
        <is>
          <t>Apparel</t>
        </is>
      </c>
      <c r="E5292" s="58" t="inlineStr">
        <is>
          <t>Central</t>
        </is>
      </c>
      <c r="F5292" s="61" t="n">
        <v>3</v>
      </c>
      <c r="G5292" s="62" t="n">
        <v>141.02</v>
      </c>
      <c r="H5292" s="63" t="n">
        <v>0.024</v>
      </c>
      <c r="I5292" s="62" t="n">
        <v>78.92</v>
      </c>
      <c r="J5292" s="58" t="inlineStr">
        <is>
          <t>Online</t>
        </is>
      </c>
      <c r="K5292" s="62">
        <f>F5292*(G5292-H5292)</f>
        <v/>
      </c>
      <c r="L5292" s="62">
        <f>K5292-(F5292*I5292)</f>
        <v/>
      </c>
      <c r="M5292" s="64">
        <f>L5292/K5292</f>
        <v/>
      </c>
    </row>
    <row r="5293">
      <c r="A5293" s="58" t="inlineStr">
        <is>
          <t>RT20250515-05292</t>
        </is>
      </c>
      <c r="B5293" s="59" t="inlineStr">
        <is>
          <t>2025-05-15</t>
        </is>
      </c>
      <c r="C5293" s="60" t="inlineStr">
        <is>
          <t>Orion Supplie S-612</t>
        </is>
      </c>
      <c r="D5293" s="58" t="inlineStr">
        <is>
          <t>Office</t>
        </is>
      </c>
      <c r="E5293" s="58" t="inlineStr">
        <is>
          <t>Central</t>
        </is>
      </c>
      <c r="F5293" s="61" t="n">
        <v>3</v>
      </c>
      <c r="G5293" s="62" t="n">
        <v>456.5</v>
      </c>
      <c r="H5293" s="63" t="n">
        <v>0.08699999999999999</v>
      </c>
      <c r="I5293" s="62" t="n">
        <v>327.84</v>
      </c>
      <c r="J5293" s="58" t="inlineStr">
        <is>
          <t>Store</t>
        </is>
      </c>
      <c r="K5293" s="62">
        <f>F5293*(G5293-H5293)</f>
        <v/>
      </c>
      <c r="L5293" s="62">
        <f>K5293-(F5293*I5293)</f>
        <v/>
      </c>
      <c r="M5293" s="64">
        <f>L5293/K5293</f>
        <v/>
      </c>
    </row>
    <row r="5294">
      <c r="A5294" s="58" t="inlineStr">
        <is>
          <t>RT20250515-05293</t>
        </is>
      </c>
      <c r="B5294" s="59" t="inlineStr">
        <is>
          <t>2025-05-15</t>
        </is>
      </c>
      <c r="C5294" s="60" t="inlineStr">
        <is>
          <t>Vertex Headphone Pro-801</t>
        </is>
      </c>
      <c r="D5294" s="58" t="inlineStr">
        <is>
          <t>Electronics</t>
        </is>
      </c>
      <c r="E5294" s="58" t="inlineStr">
        <is>
          <t>West</t>
        </is>
      </c>
      <c r="F5294" s="61" t="n">
        <v>1</v>
      </c>
      <c r="G5294" s="62" t="n">
        <v>1249.77</v>
      </c>
      <c r="H5294" s="63" t="n">
        <v>0.113</v>
      </c>
      <c r="I5294" s="62" t="n">
        <v>957.6</v>
      </c>
      <c r="J5294" s="58" t="inlineStr">
        <is>
          <t>Online</t>
        </is>
      </c>
      <c r="K5294" s="62">
        <f>F5294*(G5294-H5294)</f>
        <v/>
      </c>
      <c r="L5294" s="62">
        <f>K5294-(F5294*I5294)</f>
        <v/>
      </c>
      <c r="M5294" s="64">
        <f>L5294/K5294</f>
        <v/>
      </c>
    </row>
    <row r="5295">
      <c r="A5295" s="58" t="inlineStr">
        <is>
          <t>RT20250515-05294</t>
        </is>
      </c>
      <c r="B5295" s="59" t="inlineStr">
        <is>
          <t>2025-05-15</t>
        </is>
      </c>
      <c r="C5295" s="60" t="inlineStr">
        <is>
          <t>Falcon Headphone Plus-789</t>
        </is>
      </c>
      <c r="D5295" s="58" t="inlineStr">
        <is>
          <t>Electronics</t>
        </is>
      </c>
      <c r="E5295" s="58" t="inlineStr">
        <is>
          <t>South</t>
        </is>
      </c>
      <c r="F5295" s="61" t="n">
        <v>2</v>
      </c>
      <c r="G5295" s="62" t="n">
        <v>1691.19</v>
      </c>
      <c r="H5295" s="63" t="n">
        <v>0.057</v>
      </c>
      <c r="I5295" s="62" t="n">
        <v>1323.24</v>
      </c>
      <c r="J5295" s="58" t="inlineStr">
        <is>
          <t>Store</t>
        </is>
      </c>
      <c r="K5295" s="62">
        <f>F5295*(G5295-H5295)</f>
        <v/>
      </c>
      <c r="L5295" s="62">
        <f>K5295-(F5295*I5295)</f>
        <v/>
      </c>
      <c r="M5295" s="64">
        <f>L5295/K5295</f>
        <v/>
      </c>
    </row>
    <row r="5296">
      <c r="A5296" s="58" t="inlineStr">
        <is>
          <t>RT20250515-05295</t>
        </is>
      </c>
      <c r="B5296" s="59" t="inlineStr">
        <is>
          <t>2025-05-15</t>
        </is>
      </c>
      <c r="C5296" s="60" t="inlineStr">
        <is>
          <t>Vertex Accessorie Pro-881</t>
        </is>
      </c>
      <c r="D5296" s="58" t="inlineStr">
        <is>
          <t>Apparel</t>
        </is>
      </c>
      <c r="E5296" s="58" t="inlineStr">
        <is>
          <t>North</t>
        </is>
      </c>
      <c r="F5296" s="61" t="n">
        <v>4</v>
      </c>
      <c r="G5296" s="62" t="n">
        <v>126.21</v>
      </c>
      <c r="H5296" s="63" t="n">
        <v>0.095</v>
      </c>
      <c r="I5296" s="62" t="n">
        <v>63.49</v>
      </c>
      <c r="J5296" s="58" t="inlineStr">
        <is>
          <t>Store</t>
        </is>
      </c>
      <c r="K5296" s="62">
        <f>F5296*(G5296-H5296)</f>
        <v/>
      </c>
      <c r="L5296" s="62">
        <f>K5296-(F5296*I5296)</f>
        <v/>
      </c>
      <c r="M5296" s="64">
        <f>L5296/K5296</f>
        <v/>
      </c>
    </row>
    <row r="5297">
      <c r="A5297" s="58" t="inlineStr">
        <is>
          <t>RT20250515-05296</t>
        </is>
      </c>
      <c r="B5297" s="59" t="inlineStr">
        <is>
          <t>2025-05-15</t>
        </is>
      </c>
      <c r="C5297" s="60" t="inlineStr">
        <is>
          <t>Vertex Furniture S-652</t>
        </is>
      </c>
      <c r="D5297" s="58" t="inlineStr">
        <is>
          <t>Office</t>
        </is>
      </c>
      <c r="E5297" s="58" t="inlineStr">
        <is>
          <t>Central</t>
        </is>
      </c>
      <c r="F5297" s="61" t="n">
        <v>3</v>
      </c>
      <c r="G5297" s="62" t="n">
        <v>392.34</v>
      </c>
      <c r="H5297" s="63" t="n">
        <v>0.04</v>
      </c>
      <c r="I5297" s="62" t="n">
        <v>264.19</v>
      </c>
      <c r="J5297" s="58" t="inlineStr">
        <is>
          <t>Online</t>
        </is>
      </c>
      <c r="K5297" s="62">
        <f>F5297*(G5297-H5297)</f>
        <v/>
      </c>
      <c r="L5297" s="62">
        <f>K5297-(F5297*I5297)</f>
        <v/>
      </c>
      <c r="M5297" s="64">
        <f>L5297/K5297</f>
        <v/>
      </c>
    </row>
    <row r="5298">
      <c r="A5298" s="58" t="inlineStr">
        <is>
          <t>RT20250515-05297</t>
        </is>
      </c>
      <c r="B5298" s="59" t="inlineStr">
        <is>
          <t>2025-05-15</t>
        </is>
      </c>
      <c r="C5298" s="60" t="inlineStr">
        <is>
          <t>Falcon Wearable X-334</t>
        </is>
      </c>
      <c r="D5298" s="58" t="inlineStr">
        <is>
          <t>Electronics</t>
        </is>
      </c>
      <c r="E5298" s="58" t="inlineStr">
        <is>
          <t>East</t>
        </is>
      </c>
      <c r="F5298" s="61" t="n">
        <v>2</v>
      </c>
      <c r="G5298" s="62" t="n">
        <v>1836.71</v>
      </c>
      <c r="H5298" s="63" t="n">
        <v>0.06</v>
      </c>
      <c r="I5298" s="62" t="n">
        <v>1502.03</v>
      </c>
      <c r="J5298" s="58" t="inlineStr">
        <is>
          <t>Online</t>
        </is>
      </c>
      <c r="K5298" s="62">
        <f>F5298*(G5298-H5298)</f>
        <v/>
      </c>
      <c r="L5298" s="62">
        <f>K5298-(F5298*I5298)</f>
        <v/>
      </c>
      <c r="M5298" s="64">
        <f>L5298/K5298</f>
        <v/>
      </c>
    </row>
    <row r="5299">
      <c r="A5299" s="58" t="inlineStr">
        <is>
          <t>RT20250515-05298</t>
        </is>
      </c>
      <c r="B5299" s="59" t="inlineStr">
        <is>
          <t>2025-05-15</t>
        </is>
      </c>
      <c r="C5299" s="60" t="inlineStr">
        <is>
          <t>Polar Bedding Lite-243</t>
        </is>
      </c>
      <c r="D5299" s="58" t="inlineStr">
        <is>
          <t>Home</t>
        </is>
      </c>
      <c r="E5299" s="58" t="inlineStr">
        <is>
          <t>West</t>
        </is>
      </c>
      <c r="F5299" s="61" t="n">
        <v>3</v>
      </c>
      <c r="G5299" s="62" t="n">
        <v>457.85</v>
      </c>
      <c r="H5299" s="63" t="n">
        <v>0</v>
      </c>
      <c r="I5299" s="62" t="n">
        <v>317.04</v>
      </c>
      <c r="J5299" s="58" t="inlineStr">
        <is>
          <t>Online</t>
        </is>
      </c>
      <c r="K5299" s="62">
        <f>F5299*(G5299-H5299)</f>
        <v/>
      </c>
      <c r="L5299" s="62">
        <f>K5299-(F5299*I5299)</f>
        <v/>
      </c>
      <c r="M5299" s="64">
        <f>L5299/K5299</f>
        <v/>
      </c>
    </row>
    <row r="5300">
      <c r="A5300" s="58" t="inlineStr">
        <is>
          <t>RT20250515-05299</t>
        </is>
      </c>
      <c r="B5300" s="59" t="inlineStr">
        <is>
          <t>2025-05-15</t>
        </is>
      </c>
      <c r="C5300" s="60" t="inlineStr">
        <is>
          <t>Vertex Supplie Pro-786</t>
        </is>
      </c>
      <c r="D5300" s="58" t="inlineStr">
        <is>
          <t>Office</t>
        </is>
      </c>
      <c r="E5300" s="58" t="inlineStr">
        <is>
          <t>Central</t>
        </is>
      </c>
      <c r="F5300" s="61" t="n">
        <v>1</v>
      </c>
      <c r="G5300" s="62" t="n">
        <v>388.12</v>
      </c>
      <c r="H5300" s="63" t="n">
        <v>0.051</v>
      </c>
      <c r="I5300" s="62" t="n">
        <v>295.21</v>
      </c>
      <c r="J5300" s="58" t="inlineStr">
        <is>
          <t>Online</t>
        </is>
      </c>
      <c r="K5300" s="62">
        <f>F5300*(G5300-H5300)</f>
        <v/>
      </c>
      <c r="L5300" s="62">
        <f>K5300-(F5300*I5300)</f>
        <v/>
      </c>
      <c r="M5300" s="64">
        <f>L5300/K5300</f>
        <v/>
      </c>
    </row>
    <row r="5301">
      <c r="A5301" s="58" t="inlineStr">
        <is>
          <t>RT20250515-05300</t>
        </is>
      </c>
      <c r="B5301" s="59" t="inlineStr">
        <is>
          <t>2025-05-15</t>
        </is>
      </c>
      <c r="C5301" s="60" t="inlineStr">
        <is>
          <t>Falcon Skincare Max-151</t>
        </is>
      </c>
      <c r="D5301" s="58" t="inlineStr">
        <is>
          <t>Beauty</t>
        </is>
      </c>
      <c r="E5301" s="58" t="inlineStr">
        <is>
          <t>West</t>
        </is>
      </c>
      <c r="F5301" s="61" t="n">
        <v>4</v>
      </c>
      <c r="G5301" s="62" t="n">
        <v>95.47</v>
      </c>
      <c r="H5301" s="63" t="n">
        <v>0.093</v>
      </c>
      <c r="I5301" s="62" t="n">
        <v>59.82</v>
      </c>
      <c r="J5301" s="58" t="inlineStr">
        <is>
          <t>Online</t>
        </is>
      </c>
      <c r="K5301" s="62">
        <f>F5301*(G5301-H5301)</f>
        <v/>
      </c>
      <c r="L5301" s="62">
        <f>K5301-(F5301*I5301)</f>
        <v/>
      </c>
      <c r="M5301" s="64">
        <f>L5301/K5301</f>
        <v/>
      </c>
    </row>
    <row r="5302">
      <c r="A5302" s="58" t="inlineStr">
        <is>
          <t>RT20250516-05301</t>
        </is>
      </c>
      <c r="B5302" s="59" t="inlineStr">
        <is>
          <t>2025-05-16</t>
        </is>
      </c>
      <c r="C5302" s="60" t="inlineStr">
        <is>
          <t>Polar Haircare Max-614</t>
        </is>
      </c>
      <c r="D5302" s="58" t="inlineStr">
        <is>
          <t>Beauty</t>
        </is>
      </c>
      <c r="E5302" s="58" t="inlineStr">
        <is>
          <t>East</t>
        </is>
      </c>
      <c r="F5302" s="61" t="n">
        <v>4</v>
      </c>
      <c r="G5302" s="62" t="n">
        <v>105.07</v>
      </c>
      <c r="H5302" s="63" t="n">
        <v>0.09</v>
      </c>
      <c r="I5302" s="62" t="n">
        <v>67.42</v>
      </c>
      <c r="J5302" s="58" t="inlineStr">
        <is>
          <t>Phone</t>
        </is>
      </c>
      <c r="K5302" s="62">
        <f>F5302*(G5302-H5302)</f>
        <v/>
      </c>
      <c r="L5302" s="62">
        <f>K5302-(F5302*I5302)</f>
        <v/>
      </c>
      <c r="M5302" s="64">
        <f>L5302/K5302</f>
        <v/>
      </c>
    </row>
    <row r="5303">
      <c r="A5303" s="58" t="inlineStr">
        <is>
          <t>RT20250516-05302</t>
        </is>
      </c>
      <c r="B5303" s="59" t="inlineStr">
        <is>
          <t>2025-05-16</t>
        </is>
      </c>
      <c r="C5303" s="60" t="inlineStr">
        <is>
          <t>Orion Men X-928</t>
        </is>
      </c>
      <c r="D5303" s="58" t="inlineStr">
        <is>
          <t>Apparel</t>
        </is>
      </c>
      <c r="E5303" s="58" t="inlineStr">
        <is>
          <t>West</t>
        </is>
      </c>
      <c r="F5303" s="61" t="n">
        <v>3</v>
      </c>
      <c r="G5303" s="62" t="n">
        <v>103.49</v>
      </c>
      <c r="H5303" s="63" t="n">
        <v>0.027</v>
      </c>
      <c r="I5303" s="62" t="n">
        <v>61.65</v>
      </c>
      <c r="J5303" s="58" t="inlineStr">
        <is>
          <t>Online</t>
        </is>
      </c>
      <c r="K5303" s="62">
        <f>F5303*(G5303-H5303)</f>
        <v/>
      </c>
      <c r="L5303" s="62">
        <f>K5303-(F5303*I5303)</f>
        <v/>
      </c>
      <c r="M5303" s="64">
        <f>L5303/K5303</f>
        <v/>
      </c>
    </row>
    <row r="5304">
      <c r="A5304" s="58" t="inlineStr">
        <is>
          <t>RT20250516-05303</t>
        </is>
      </c>
      <c r="B5304" s="59" t="inlineStr">
        <is>
          <t>2025-05-16</t>
        </is>
      </c>
      <c r="C5304" s="60" t="inlineStr">
        <is>
          <t>Aurora Bedding Max-175</t>
        </is>
      </c>
      <c r="D5304" s="58" t="inlineStr">
        <is>
          <t>Home</t>
        </is>
      </c>
      <c r="E5304" s="58" t="inlineStr">
        <is>
          <t>Central</t>
        </is>
      </c>
      <c r="F5304" s="61" t="n">
        <v>1</v>
      </c>
      <c r="G5304" s="62" t="n">
        <v>582.59</v>
      </c>
      <c r="H5304" s="63" t="n">
        <v>0.091</v>
      </c>
      <c r="I5304" s="62" t="n">
        <v>417.34</v>
      </c>
      <c r="J5304" s="58" t="inlineStr">
        <is>
          <t>Store</t>
        </is>
      </c>
      <c r="K5304" s="62">
        <f>F5304*(G5304-H5304)</f>
        <v/>
      </c>
      <c r="L5304" s="62">
        <f>K5304-(F5304*I5304)</f>
        <v/>
      </c>
      <c r="M5304" s="64">
        <f>L5304/K5304</f>
        <v/>
      </c>
    </row>
    <row r="5305">
      <c r="A5305" s="58" t="inlineStr">
        <is>
          <t>RT20250516-05304</t>
        </is>
      </c>
      <c r="B5305" s="59" t="inlineStr">
        <is>
          <t>2025-05-16</t>
        </is>
      </c>
      <c r="C5305" s="60" t="inlineStr">
        <is>
          <t>Aurora Makeup S-626</t>
        </is>
      </c>
      <c r="D5305" s="58" t="inlineStr">
        <is>
          <t>Beauty</t>
        </is>
      </c>
      <c r="E5305" s="58" t="inlineStr">
        <is>
          <t>West</t>
        </is>
      </c>
      <c r="F5305" s="61" t="n">
        <v>5</v>
      </c>
      <c r="G5305" s="62" t="n">
        <v>106.87</v>
      </c>
      <c r="H5305" s="63" t="n">
        <v>0.031</v>
      </c>
      <c r="I5305" s="62" t="n">
        <v>64.56</v>
      </c>
      <c r="J5305" s="58" t="inlineStr">
        <is>
          <t>Online</t>
        </is>
      </c>
      <c r="K5305" s="62">
        <f>F5305*(G5305-H5305)</f>
        <v/>
      </c>
      <c r="L5305" s="62">
        <f>K5305-(F5305*I5305)</f>
        <v/>
      </c>
      <c r="M5305" s="64">
        <f>L5305/K5305</f>
        <v/>
      </c>
    </row>
    <row r="5306">
      <c r="A5306" s="58" t="inlineStr">
        <is>
          <t>RT20250516-05305</t>
        </is>
      </c>
      <c r="B5306" s="59" t="inlineStr">
        <is>
          <t>2025-05-16</t>
        </is>
      </c>
      <c r="C5306" s="60" t="inlineStr">
        <is>
          <t>Falcon Bedding S-674</t>
        </is>
      </c>
      <c r="D5306" s="58" t="inlineStr">
        <is>
          <t>Home</t>
        </is>
      </c>
      <c r="E5306" s="58" t="inlineStr">
        <is>
          <t>Central</t>
        </is>
      </c>
      <c r="F5306" s="61" t="n">
        <v>3</v>
      </c>
      <c r="G5306" s="62" t="n">
        <v>636.09</v>
      </c>
      <c r="H5306" s="63" t="n">
        <v>0.008999999999999999</v>
      </c>
      <c r="I5306" s="62" t="n">
        <v>445.37</v>
      </c>
      <c r="J5306" s="58" t="inlineStr">
        <is>
          <t>Online</t>
        </is>
      </c>
      <c r="K5306" s="62">
        <f>F5306*(G5306-H5306)</f>
        <v/>
      </c>
      <c r="L5306" s="62">
        <f>K5306-(F5306*I5306)</f>
        <v/>
      </c>
      <c r="M5306" s="64">
        <f>L5306/K5306</f>
        <v/>
      </c>
    </row>
    <row r="5307">
      <c r="A5307" s="58" t="inlineStr">
        <is>
          <t>RT20250516-05306</t>
        </is>
      </c>
      <c r="B5307" s="59" t="inlineStr">
        <is>
          <t>2025-05-16</t>
        </is>
      </c>
      <c r="C5307" s="60" t="inlineStr">
        <is>
          <t>Solace Bedding Plus-317</t>
        </is>
      </c>
      <c r="D5307" s="58" t="inlineStr">
        <is>
          <t>Home</t>
        </is>
      </c>
      <c r="E5307" s="58" t="inlineStr">
        <is>
          <t>South</t>
        </is>
      </c>
      <c r="F5307" s="61" t="n">
        <v>1</v>
      </c>
      <c r="G5307" s="62" t="n">
        <v>595.25</v>
      </c>
      <c r="H5307" s="63" t="n">
        <v>0.096</v>
      </c>
      <c r="I5307" s="62" t="n">
        <v>389.12</v>
      </c>
      <c r="J5307" s="58" t="inlineStr">
        <is>
          <t>Store</t>
        </is>
      </c>
      <c r="K5307" s="62">
        <f>F5307*(G5307-H5307)</f>
        <v/>
      </c>
      <c r="L5307" s="62">
        <f>K5307-(F5307*I5307)</f>
        <v/>
      </c>
      <c r="M5307" s="64">
        <f>L5307/K5307</f>
        <v/>
      </c>
    </row>
    <row r="5308">
      <c r="A5308" s="58" t="inlineStr">
        <is>
          <t>RT20250516-05307</t>
        </is>
      </c>
      <c r="B5308" s="59" t="inlineStr">
        <is>
          <t>2025-05-16</t>
        </is>
      </c>
      <c r="C5308" s="60" t="inlineStr">
        <is>
          <t>Falcon Bedding S-674</t>
        </is>
      </c>
      <c r="D5308" s="58" t="inlineStr">
        <is>
          <t>Home</t>
        </is>
      </c>
      <c r="E5308" s="58" t="inlineStr">
        <is>
          <t>East</t>
        </is>
      </c>
      <c r="F5308" s="61" t="n">
        <v>1</v>
      </c>
      <c r="G5308" s="62" t="n">
        <v>680.87</v>
      </c>
      <c r="H5308" s="63" t="n">
        <v>0.08</v>
      </c>
      <c r="I5308" s="62" t="n">
        <v>448.09</v>
      </c>
      <c r="J5308" s="58" t="inlineStr">
        <is>
          <t>Online</t>
        </is>
      </c>
      <c r="K5308" s="62">
        <f>F5308*(G5308-H5308)</f>
        <v/>
      </c>
      <c r="L5308" s="62">
        <f>K5308-(F5308*I5308)</f>
        <v/>
      </c>
      <c r="M5308" s="64">
        <f>L5308/K5308</f>
        <v/>
      </c>
    </row>
    <row r="5309">
      <c r="A5309" s="58" t="inlineStr">
        <is>
          <t>RT20250516-05308</t>
        </is>
      </c>
      <c r="B5309" s="59" t="inlineStr">
        <is>
          <t>2025-05-16</t>
        </is>
      </c>
      <c r="C5309" s="60" t="inlineStr">
        <is>
          <t>Nimbus Women Plus-352</t>
        </is>
      </c>
      <c r="D5309" s="58" t="inlineStr">
        <is>
          <t>Apparel</t>
        </is>
      </c>
      <c r="E5309" s="58" t="inlineStr">
        <is>
          <t>Central</t>
        </is>
      </c>
      <c r="F5309" s="61" t="n">
        <v>1</v>
      </c>
      <c r="G5309" s="62" t="n">
        <v>56.39</v>
      </c>
      <c r="H5309" s="63" t="n">
        <v>0.05</v>
      </c>
      <c r="I5309" s="62" t="n">
        <v>33.02</v>
      </c>
      <c r="J5309" s="58" t="inlineStr">
        <is>
          <t>Online</t>
        </is>
      </c>
      <c r="K5309" s="62">
        <f>F5309*(G5309-H5309)</f>
        <v/>
      </c>
      <c r="L5309" s="62">
        <f>K5309-(F5309*I5309)</f>
        <v/>
      </c>
      <c r="M5309" s="64">
        <f>L5309/K5309</f>
        <v/>
      </c>
    </row>
    <row r="5310">
      <c r="A5310" s="58" t="inlineStr">
        <is>
          <t>RT20250516-05309</t>
        </is>
      </c>
      <c r="B5310" s="59" t="inlineStr">
        <is>
          <t>2025-05-16</t>
        </is>
      </c>
      <c r="C5310" s="60" t="inlineStr">
        <is>
          <t>Nimbus Furniture Pro-479</t>
        </is>
      </c>
      <c r="D5310" s="58" t="inlineStr">
        <is>
          <t>Office</t>
        </is>
      </c>
      <c r="E5310" s="58" t="inlineStr">
        <is>
          <t>West</t>
        </is>
      </c>
      <c r="F5310" s="61" t="n">
        <v>1</v>
      </c>
      <c r="G5310" s="62" t="n">
        <v>347.29</v>
      </c>
      <c r="H5310" s="63" t="n">
        <v>0.039</v>
      </c>
      <c r="I5310" s="62" t="n">
        <v>233.14</v>
      </c>
      <c r="J5310" s="58" t="inlineStr">
        <is>
          <t>Online</t>
        </is>
      </c>
      <c r="K5310" s="62">
        <f>F5310*(G5310-H5310)</f>
        <v/>
      </c>
      <c r="L5310" s="62">
        <f>K5310-(F5310*I5310)</f>
        <v/>
      </c>
      <c r="M5310" s="64">
        <f>L5310/K5310</f>
        <v/>
      </c>
    </row>
    <row r="5311">
      <c r="A5311" s="58" t="inlineStr">
        <is>
          <t>RT20250516-05310</t>
        </is>
      </c>
      <c r="B5311" s="59" t="inlineStr">
        <is>
          <t>2025-05-16</t>
        </is>
      </c>
      <c r="C5311" s="60" t="inlineStr">
        <is>
          <t>Aurora Bedding Plus-187</t>
        </is>
      </c>
      <c r="D5311" s="58" t="inlineStr">
        <is>
          <t>Home</t>
        </is>
      </c>
      <c r="E5311" s="58" t="inlineStr">
        <is>
          <t>South</t>
        </is>
      </c>
      <c r="F5311" s="61" t="n">
        <v>1</v>
      </c>
      <c r="G5311" s="62" t="n">
        <v>278.28</v>
      </c>
      <c r="H5311" s="63" t="n">
        <v>0.08599999999999999</v>
      </c>
      <c r="I5311" s="62" t="n">
        <v>204.37</v>
      </c>
      <c r="J5311" s="58" t="inlineStr">
        <is>
          <t>Online</t>
        </is>
      </c>
      <c r="K5311" s="62">
        <f>F5311*(G5311-H5311)</f>
        <v/>
      </c>
      <c r="L5311" s="62">
        <f>K5311-(F5311*I5311)</f>
        <v/>
      </c>
      <c r="M5311" s="64">
        <f>L5311/K5311</f>
        <v/>
      </c>
    </row>
    <row r="5312">
      <c r="A5312" s="58" t="inlineStr">
        <is>
          <t>RT20250516-05311</t>
        </is>
      </c>
      <c r="B5312" s="59" t="inlineStr">
        <is>
          <t>2025-05-16</t>
        </is>
      </c>
      <c r="C5312" s="60" t="inlineStr">
        <is>
          <t>Metro Fragrance Lite-261</t>
        </is>
      </c>
      <c r="D5312" s="58" t="inlineStr">
        <is>
          <t>Beauty</t>
        </is>
      </c>
      <c r="E5312" s="58" t="inlineStr">
        <is>
          <t>North</t>
        </is>
      </c>
      <c r="F5312" s="61" t="n">
        <v>1</v>
      </c>
      <c r="G5312" s="62" t="n">
        <v>93.3</v>
      </c>
      <c r="H5312" s="63" t="n">
        <v>0.133</v>
      </c>
      <c r="I5312" s="62" t="n">
        <v>56.13</v>
      </c>
      <c r="J5312" s="58" t="inlineStr">
        <is>
          <t>Online</t>
        </is>
      </c>
      <c r="K5312" s="62">
        <f>F5312*(G5312-H5312)</f>
        <v/>
      </c>
      <c r="L5312" s="62">
        <f>K5312-(F5312*I5312)</f>
        <v/>
      </c>
      <c r="M5312" s="64">
        <f>L5312/K5312</f>
        <v/>
      </c>
    </row>
    <row r="5313">
      <c r="A5313" s="58" t="inlineStr">
        <is>
          <t>RT20250516-05312</t>
        </is>
      </c>
      <c r="B5313" s="59" t="inlineStr">
        <is>
          <t>2025-05-16</t>
        </is>
      </c>
      <c r="C5313" s="60" t="inlineStr">
        <is>
          <t>Orion Men X-928</t>
        </is>
      </c>
      <c r="D5313" s="58" t="inlineStr">
        <is>
          <t>Apparel</t>
        </is>
      </c>
      <c r="E5313" s="58" t="inlineStr">
        <is>
          <t>East</t>
        </is>
      </c>
      <c r="F5313" s="61" t="n">
        <v>3</v>
      </c>
      <c r="G5313" s="62" t="n">
        <v>127.55</v>
      </c>
      <c r="H5313" s="63" t="n">
        <v>0.08</v>
      </c>
      <c r="I5313" s="62" t="n">
        <v>64.87</v>
      </c>
      <c r="J5313" s="58" t="inlineStr">
        <is>
          <t>Store</t>
        </is>
      </c>
      <c r="K5313" s="62">
        <f>F5313*(G5313-H5313)</f>
        <v/>
      </c>
      <c r="L5313" s="62">
        <f>K5313-(F5313*I5313)</f>
        <v/>
      </c>
      <c r="M5313" s="64">
        <f>L5313/K5313</f>
        <v/>
      </c>
    </row>
    <row r="5314">
      <c r="A5314" s="58" t="inlineStr">
        <is>
          <t>RT20250516-05313</t>
        </is>
      </c>
      <c r="B5314" s="59" t="inlineStr">
        <is>
          <t>2025-05-16</t>
        </is>
      </c>
      <c r="C5314" s="60" t="inlineStr">
        <is>
          <t>Polar Snack Pro-641</t>
        </is>
      </c>
      <c r="D5314" s="58" t="inlineStr">
        <is>
          <t>Grocery</t>
        </is>
      </c>
      <c r="E5314" s="58" t="inlineStr">
        <is>
          <t>Central</t>
        </is>
      </c>
      <c r="F5314" s="61" t="n">
        <v>8</v>
      </c>
      <c r="G5314" s="62" t="n">
        <v>13.66</v>
      </c>
      <c r="H5314" s="63" t="n">
        <v>0.06900000000000001</v>
      </c>
      <c r="I5314" s="62" t="n">
        <v>9.27</v>
      </c>
      <c r="J5314" s="58" t="inlineStr">
        <is>
          <t>Store</t>
        </is>
      </c>
      <c r="K5314" s="62">
        <f>F5314*(G5314-H5314)</f>
        <v/>
      </c>
      <c r="L5314" s="62">
        <f>K5314-(F5314*I5314)</f>
        <v/>
      </c>
      <c r="M5314" s="64">
        <f>L5314/K5314</f>
        <v/>
      </c>
    </row>
    <row r="5315">
      <c r="A5315" s="58" t="inlineStr">
        <is>
          <t>RT20250516-05314</t>
        </is>
      </c>
      <c r="B5315" s="59" t="inlineStr">
        <is>
          <t>2025-05-16</t>
        </is>
      </c>
      <c r="C5315" s="60" t="inlineStr">
        <is>
          <t>Aurora Printer Plus-723</t>
        </is>
      </c>
      <c r="D5315" s="58" t="inlineStr">
        <is>
          <t>Office</t>
        </is>
      </c>
      <c r="E5315" s="58" t="inlineStr">
        <is>
          <t>West</t>
        </is>
      </c>
      <c r="F5315" s="61" t="n">
        <v>2</v>
      </c>
      <c r="G5315" s="62" t="n">
        <v>246.91</v>
      </c>
      <c r="H5315" s="63" t="n">
        <v>0.032</v>
      </c>
      <c r="I5315" s="62" t="n">
        <v>184.16</v>
      </c>
      <c r="J5315" s="58" t="inlineStr">
        <is>
          <t>Online</t>
        </is>
      </c>
      <c r="K5315" s="62">
        <f>F5315*(G5315-H5315)</f>
        <v/>
      </c>
      <c r="L5315" s="62">
        <f>K5315-(F5315*I5315)</f>
        <v/>
      </c>
      <c r="M5315" s="64">
        <f>L5315/K5315</f>
        <v/>
      </c>
    </row>
    <row r="5316">
      <c r="A5316" s="58" t="inlineStr">
        <is>
          <t>RT20250516-05315</t>
        </is>
      </c>
      <c r="B5316" s="59" t="inlineStr">
        <is>
          <t>2025-05-16</t>
        </is>
      </c>
      <c r="C5316" s="60" t="inlineStr">
        <is>
          <t>Falcon Household Plus-796</t>
        </is>
      </c>
      <c r="D5316" s="58" t="inlineStr">
        <is>
          <t>Grocery</t>
        </is>
      </c>
      <c r="E5316" s="58" t="inlineStr">
        <is>
          <t>West</t>
        </is>
      </c>
      <c r="F5316" s="61" t="n">
        <v>8</v>
      </c>
      <c r="G5316" s="62" t="n">
        <v>20.78</v>
      </c>
      <c r="H5316" s="63" t="n">
        <v>0.092</v>
      </c>
      <c r="I5316" s="62" t="n">
        <v>17.69</v>
      </c>
      <c r="J5316" s="58" t="inlineStr">
        <is>
          <t>Online</t>
        </is>
      </c>
      <c r="K5316" s="62">
        <f>F5316*(G5316-H5316)</f>
        <v/>
      </c>
      <c r="L5316" s="62">
        <f>K5316-(F5316*I5316)</f>
        <v/>
      </c>
      <c r="M5316" s="64">
        <f>L5316/K5316</f>
        <v/>
      </c>
    </row>
    <row r="5317">
      <c r="A5317" s="58" t="inlineStr">
        <is>
          <t>RT20250516-05316</t>
        </is>
      </c>
      <c r="B5317" s="59" t="inlineStr">
        <is>
          <t>2025-05-16</t>
        </is>
      </c>
      <c r="C5317" s="60" t="inlineStr">
        <is>
          <t>Aurora Furniture X-709</t>
        </is>
      </c>
      <c r="D5317" s="58" t="inlineStr">
        <is>
          <t>Office</t>
        </is>
      </c>
      <c r="E5317" s="58" t="inlineStr">
        <is>
          <t>Central</t>
        </is>
      </c>
      <c r="F5317" s="61" t="n">
        <v>2</v>
      </c>
      <c r="G5317" s="62" t="n">
        <v>442.38</v>
      </c>
      <c r="H5317" s="63" t="n">
        <v>0.027</v>
      </c>
      <c r="I5317" s="62" t="n">
        <v>299.1</v>
      </c>
      <c r="J5317" s="58" t="inlineStr">
        <is>
          <t>Online</t>
        </is>
      </c>
      <c r="K5317" s="62">
        <f>F5317*(G5317-H5317)</f>
        <v/>
      </c>
      <c r="L5317" s="62">
        <f>K5317-(F5317*I5317)</f>
        <v/>
      </c>
      <c r="M5317" s="64">
        <f>L5317/K5317</f>
        <v/>
      </c>
    </row>
    <row r="5318">
      <c r="A5318" s="58" t="inlineStr">
        <is>
          <t>RT20250516-05317</t>
        </is>
      </c>
      <c r="B5318" s="59" t="inlineStr">
        <is>
          <t>2025-05-16</t>
        </is>
      </c>
      <c r="C5318" s="60" t="inlineStr">
        <is>
          <t>Aurora Fitnes Lite-194</t>
        </is>
      </c>
      <c r="D5318" s="58" t="inlineStr">
        <is>
          <t>Sports</t>
        </is>
      </c>
      <c r="E5318" s="58" t="inlineStr">
        <is>
          <t>North</t>
        </is>
      </c>
      <c r="F5318" s="61" t="n">
        <v>1</v>
      </c>
      <c r="G5318" s="62" t="n">
        <v>667.55</v>
      </c>
      <c r="H5318" s="63" t="n">
        <v>0.031</v>
      </c>
      <c r="I5318" s="62" t="n">
        <v>475.83</v>
      </c>
      <c r="J5318" s="58" t="inlineStr">
        <is>
          <t>Phone</t>
        </is>
      </c>
      <c r="K5318" s="62">
        <f>F5318*(G5318-H5318)</f>
        <v/>
      </c>
      <c r="L5318" s="62">
        <f>K5318-(F5318*I5318)</f>
        <v/>
      </c>
      <c r="M5318" s="64">
        <f>L5318/K5318</f>
        <v/>
      </c>
    </row>
    <row r="5319">
      <c r="A5319" s="58" t="inlineStr">
        <is>
          <t>RT20250516-05318</t>
        </is>
      </c>
      <c r="B5319" s="59" t="inlineStr">
        <is>
          <t>2025-05-16</t>
        </is>
      </c>
      <c r="C5319" s="60" t="inlineStr">
        <is>
          <t>Aurora Haircare S-975</t>
        </is>
      </c>
      <c r="D5319" s="58" t="inlineStr">
        <is>
          <t>Beauty</t>
        </is>
      </c>
      <c r="E5319" s="58" t="inlineStr">
        <is>
          <t>Central</t>
        </is>
      </c>
      <c r="F5319" s="61" t="n">
        <v>5</v>
      </c>
      <c r="G5319" s="62" t="n">
        <v>83.81</v>
      </c>
      <c r="H5319" s="63" t="n">
        <v>0.063</v>
      </c>
      <c r="I5319" s="62" t="n">
        <v>59.25</v>
      </c>
      <c r="J5319" s="58" t="inlineStr">
        <is>
          <t>Online</t>
        </is>
      </c>
      <c r="K5319" s="62">
        <f>F5319*(G5319-H5319)</f>
        <v/>
      </c>
      <c r="L5319" s="62">
        <f>K5319-(F5319*I5319)</f>
        <v/>
      </c>
      <c r="M5319" s="64">
        <f>L5319/K5319</f>
        <v/>
      </c>
    </row>
    <row r="5320">
      <c r="A5320" s="58" t="inlineStr">
        <is>
          <t>RT20250516-05319</t>
        </is>
      </c>
      <c r="B5320" s="59" t="inlineStr">
        <is>
          <t>2025-05-16</t>
        </is>
      </c>
      <c r="C5320" s="60" t="inlineStr">
        <is>
          <t>Vertex Accessorie Pro-881</t>
        </is>
      </c>
      <c r="D5320" s="58" t="inlineStr">
        <is>
          <t>Apparel</t>
        </is>
      </c>
      <c r="E5320" s="58" t="inlineStr">
        <is>
          <t>Central</t>
        </is>
      </c>
      <c r="F5320" s="61" t="n">
        <v>1</v>
      </c>
      <c r="G5320" s="62" t="n">
        <v>107.04</v>
      </c>
      <c r="H5320" s="63" t="n">
        <v>0.095</v>
      </c>
      <c r="I5320" s="62" t="n">
        <v>60.85</v>
      </c>
      <c r="J5320" s="58" t="inlineStr">
        <is>
          <t>Online</t>
        </is>
      </c>
      <c r="K5320" s="62">
        <f>F5320*(G5320-H5320)</f>
        <v/>
      </c>
      <c r="L5320" s="62">
        <f>K5320-(F5320*I5320)</f>
        <v/>
      </c>
      <c r="M5320" s="64">
        <f>L5320/K5320</f>
        <v/>
      </c>
    </row>
    <row r="5321">
      <c r="A5321" s="58" t="inlineStr">
        <is>
          <t>RT20250516-05320</t>
        </is>
      </c>
      <c r="B5321" s="59" t="inlineStr">
        <is>
          <t>2025-05-16</t>
        </is>
      </c>
      <c r="C5321" s="60" t="inlineStr">
        <is>
          <t>Polar Haircare Max-614</t>
        </is>
      </c>
      <c r="D5321" s="58" t="inlineStr">
        <is>
          <t>Beauty</t>
        </is>
      </c>
      <c r="E5321" s="58" t="inlineStr">
        <is>
          <t>West</t>
        </is>
      </c>
      <c r="F5321" s="61" t="n">
        <v>5</v>
      </c>
      <c r="G5321" s="62" t="n">
        <v>122.46</v>
      </c>
      <c r="H5321" s="63" t="n">
        <v>0.094</v>
      </c>
      <c r="I5321" s="62" t="n">
        <v>68.22</v>
      </c>
      <c r="J5321" s="58" t="inlineStr">
        <is>
          <t>Store</t>
        </is>
      </c>
      <c r="K5321" s="62">
        <f>F5321*(G5321-H5321)</f>
        <v/>
      </c>
      <c r="L5321" s="62">
        <f>K5321-(F5321*I5321)</f>
        <v/>
      </c>
      <c r="M5321" s="64">
        <f>L5321/K5321</f>
        <v/>
      </c>
    </row>
    <row r="5322">
      <c r="A5322" s="58" t="inlineStr">
        <is>
          <t>RT20250516-05321</t>
        </is>
      </c>
      <c r="B5322" s="59" t="inlineStr">
        <is>
          <t>2025-05-16</t>
        </is>
      </c>
      <c r="C5322" s="60" t="inlineStr">
        <is>
          <t>Polar Cycling S-223</t>
        </is>
      </c>
      <c r="D5322" s="58" t="inlineStr">
        <is>
          <t>Sports</t>
        </is>
      </c>
      <c r="E5322" s="58" t="inlineStr">
        <is>
          <t>Central</t>
        </is>
      </c>
      <c r="F5322" s="61" t="n">
        <v>3</v>
      </c>
      <c r="G5322" s="62" t="n">
        <v>996.3200000000001</v>
      </c>
      <c r="H5322" s="63" t="n">
        <v>0.057</v>
      </c>
      <c r="I5322" s="62" t="n">
        <v>639.8200000000001</v>
      </c>
      <c r="J5322" s="58" t="inlineStr">
        <is>
          <t>Online</t>
        </is>
      </c>
      <c r="K5322" s="62">
        <f>F5322*(G5322-H5322)</f>
        <v/>
      </c>
      <c r="L5322" s="62">
        <f>K5322-(F5322*I5322)</f>
        <v/>
      </c>
      <c r="M5322" s="64">
        <f>L5322/K5322</f>
        <v/>
      </c>
    </row>
    <row r="5323">
      <c r="A5323" s="58" t="inlineStr">
        <is>
          <t>RT20250516-05322</t>
        </is>
      </c>
      <c r="B5323" s="59" t="inlineStr">
        <is>
          <t>2025-05-16</t>
        </is>
      </c>
      <c r="C5323" s="60" t="inlineStr">
        <is>
          <t>Nimbus Cycling Plus-911</t>
        </is>
      </c>
      <c r="D5323" s="58" t="inlineStr">
        <is>
          <t>Sports</t>
        </is>
      </c>
      <c r="E5323" s="58" t="inlineStr">
        <is>
          <t>North</t>
        </is>
      </c>
      <c r="F5323" s="61" t="n">
        <v>3</v>
      </c>
      <c r="G5323" s="62" t="n">
        <v>626.4400000000001</v>
      </c>
      <c r="H5323" s="63" t="n">
        <v>0.027</v>
      </c>
      <c r="I5323" s="62" t="n">
        <v>386.47</v>
      </c>
      <c r="J5323" s="58" t="inlineStr">
        <is>
          <t>Store</t>
        </is>
      </c>
      <c r="K5323" s="62">
        <f>F5323*(G5323-H5323)</f>
        <v/>
      </c>
      <c r="L5323" s="62">
        <f>K5323-(F5323*I5323)</f>
        <v/>
      </c>
      <c r="M5323" s="64">
        <f>L5323/K5323</f>
        <v/>
      </c>
    </row>
    <row r="5324">
      <c r="A5324" s="58" t="inlineStr">
        <is>
          <t>RT20250516-05323</t>
        </is>
      </c>
      <c r="B5324" s="59" t="inlineStr">
        <is>
          <t>2025-05-16</t>
        </is>
      </c>
      <c r="C5324" s="60" t="inlineStr">
        <is>
          <t>Falcon Furniture Plus-839</t>
        </is>
      </c>
      <c r="D5324" s="58" t="inlineStr">
        <is>
          <t>Office</t>
        </is>
      </c>
      <c r="E5324" s="58" t="inlineStr">
        <is>
          <t>West</t>
        </is>
      </c>
      <c r="F5324" s="61" t="n">
        <v>1</v>
      </c>
      <c r="G5324" s="62" t="n">
        <v>333.22</v>
      </c>
      <c r="H5324" s="63" t="n">
        <v>0.077</v>
      </c>
      <c r="I5324" s="62" t="n">
        <v>232.86</v>
      </c>
      <c r="J5324" s="58" t="inlineStr">
        <is>
          <t>Online</t>
        </is>
      </c>
      <c r="K5324" s="62">
        <f>F5324*(G5324-H5324)</f>
        <v/>
      </c>
      <c r="L5324" s="62">
        <f>K5324-(F5324*I5324)</f>
        <v/>
      </c>
      <c r="M5324" s="64">
        <f>L5324/K5324</f>
        <v/>
      </c>
    </row>
    <row r="5325">
      <c r="A5325" s="58" t="inlineStr">
        <is>
          <t>RT20250516-05324</t>
        </is>
      </c>
      <c r="B5325" s="59" t="inlineStr">
        <is>
          <t>2025-05-16</t>
        </is>
      </c>
      <c r="C5325" s="60" t="inlineStr">
        <is>
          <t>Orion Fragrance Lite-785</t>
        </is>
      </c>
      <c r="D5325" s="58" t="inlineStr">
        <is>
          <t>Beauty</t>
        </is>
      </c>
      <c r="E5325" s="58" t="inlineStr">
        <is>
          <t>West</t>
        </is>
      </c>
      <c r="F5325" s="61" t="n">
        <v>3</v>
      </c>
      <c r="G5325" s="62" t="n">
        <v>43.72</v>
      </c>
      <c r="H5325" s="63" t="n">
        <v>0.083</v>
      </c>
      <c r="I5325" s="62" t="n">
        <v>27.49</v>
      </c>
      <c r="J5325" s="58" t="inlineStr">
        <is>
          <t>Online</t>
        </is>
      </c>
      <c r="K5325" s="62">
        <f>F5325*(G5325-H5325)</f>
        <v/>
      </c>
      <c r="L5325" s="62">
        <f>K5325-(F5325*I5325)</f>
        <v/>
      </c>
      <c r="M5325" s="64">
        <f>L5325/K5325</f>
        <v/>
      </c>
    </row>
    <row r="5326">
      <c r="A5326" s="58" t="inlineStr">
        <is>
          <t>RT20250516-05325</t>
        </is>
      </c>
      <c r="B5326" s="59" t="inlineStr">
        <is>
          <t>2025-05-16</t>
        </is>
      </c>
      <c r="C5326" s="60" t="inlineStr">
        <is>
          <t>Vertex Snack S-702</t>
        </is>
      </c>
      <c r="D5326" s="58" t="inlineStr">
        <is>
          <t>Grocery</t>
        </is>
      </c>
      <c r="E5326" s="58" t="inlineStr">
        <is>
          <t>West</t>
        </is>
      </c>
      <c r="F5326" s="61" t="n">
        <v>3</v>
      </c>
      <c r="G5326" s="62" t="n">
        <v>1.89</v>
      </c>
      <c r="H5326" s="63" t="n">
        <v>0.051</v>
      </c>
      <c r="I5326" s="62" t="n">
        <v>1.48</v>
      </c>
      <c r="J5326" s="58" t="inlineStr">
        <is>
          <t>Online</t>
        </is>
      </c>
      <c r="K5326" s="62">
        <f>F5326*(G5326-H5326)</f>
        <v/>
      </c>
      <c r="L5326" s="62">
        <f>K5326-(F5326*I5326)</f>
        <v/>
      </c>
      <c r="M5326" s="64">
        <f>L5326/K5326</f>
        <v/>
      </c>
    </row>
    <row r="5327">
      <c r="A5327" s="58" t="inlineStr">
        <is>
          <t>RT20250516-05326</t>
        </is>
      </c>
      <c r="B5327" s="59" t="inlineStr">
        <is>
          <t>2025-05-16</t>
        </is>
      </c>
      <c r="C5327" s="60" t="inlineStr">
        <is>
          <t>Aurora Printer Plus-723</t>
        </is>
      </c>
      <c r="D5327" s="58" t="inlineStr">
        <is>
          <t>Office</t>
        </is>
      </c>
      <c r="E5327" s="58" t="inlineStr">
        <is>
          <t>South</t>
        </is>
      </c>
      <c r="F5327" s="61" t="n">
        <v>1</v>
      </c>
      <c r="G5327" s="62" t="n">
        <v>264.28</v>
      </c>
      <c r="H5327" s="63" t="n">
        <v>0.016</v>
      </c>
      <c r="I5327" s="62" t="n">
        <v>188.37</v>
      </c>
      <c r="J5327" s="58" t="inlineStr">
        <is>
          <t>Store</t>
        </is>
      </c>
      <c r="K5327" s="62">
        <f>F5327*(G5327-H5327)</f>
        <v/>
      </c>
      <c r="L5327" s="62">
        <f>K5327-(F5327*I5327)</f>
        <v/>
      </c>
      <c r="M5327" s="64">
        <f>L5327/K5327</f>
        <v/>
      </c>
    </row>
    <row r="5328">
      <c r="A5328" s="58" t="inlineStr">
        <is>
          <t>RT20250516-05327</t>
        </is>
      </c>
      <c r="B5328" s="59" t="inlineStr">
        <is>
          <t>2025-05-16</t>
        </is>
      </c>
      <c r="C5328" s="60" t="inlineStr">
        <is>
          <t>Vertex Skincare Pro-891</t>
        </is>
      </c>
      <c r="D5328" s="58" t="inlineStr">
        <is>
          <t>Beauty</t>
        </is>
      </c>
      <c r="E5328" s="58" t="inlineStr">
        <is>
          <t>East</t>
        </is>
      </c>
      <c r="F5328" s="61" t="n">
        <v>4</v>
      </c>
      <c r="G5328" s="62" t="n">
        <v>140.57</v>
      </c>
      <c r="H5328" s="63" t="n">
        <v>0.04</v>
      </c>
      <c r="I5328" s="62" t="n">
        <v>90.89</v>
      </c>
      <c r="J5328" s="58" t="inlineStr">
        <is>
          <t>Online</t>
        </is>
      </c>
      <c r="K5328" s="62">
        <f>F5328*(G5328-H5328)</f>
        <v/>
      </c>
      <c r="L5328" s="62">
        <f>K5328-(F5328*I5328)</f>
        <v/>
      </c>
      <c r="M5328" s="64">
        <f>L5328/K5328</f>
        <v/>
      </c>
    </row>
    <row r="5329">
      <c r="A5329" s="58" t="inlineStr">
        <is>
          <t>RT20250516-05328</t>
        </is>
      </c>
      <c r="B5329" s="59" t="inlineStr">
        <is>
          <t>2025-05-16</t>
        </is>
      </c>
      <c r="C5329" s="60" t="inlineStr">
        <is>
          <t>Solace Snack S-691</t>
        </is>
      </c>
      <c r="D5329" s="58" t="inlineStr">
        <is>
          <t>Grocery</t>
        </is>
      </c>
      <c r="E5329" s="58" t="inlineStr">
        <is>
          <t>West</t>
        </is>
      </c>
      <c r="F5329" s="61" t="n">
        <v>8</v>
      </c>
      <c r="G5329" s="62" t="n">
        <v>7.94</v>
      </c>
      <c r="H5329" s="63" t="n">
        <v>0.038</v>
      </c>
      <c r="I5329" s="62" t="n">
        <v>7.07</v>
      </c>
      <c r="J5329" s="58" t="inlineStr">
        <is>
          <t>Store</t>
        </is>
      </c>
      <c r="K5329" s="62">
        <f>F5329*(G5329-H5329)</f>
        <v/>
      </c>
      <c r="L5329" s="62">
        <f>K5329-(F5329*I5329)</f>
        <v/>
      </c>
      <c r="M5329" s="64">
        <f>L5329/K5329</f>
        <v/>
      </c>
    </row>
    <row r="5330">
      <c r="A5330" s="58" t="inlineStr">
        <is>
          <t>RT20250516-05329</t>
        </is>
      </c>
      <c r="B5330" s="59" t="inlineStr">
        <is>
          <t>2025-05-16</t>
        </is>
      </c>
      <c r="C5330" s="60" t="inlineStr">
        <is>
          <t>Solace Headphone Pro-344</t>
        </is>
      </c>
      <c r="D5330" s="58" t="inlineStr">
        <is>
          <t>Electronics</t>
        </is>
      </c>
      <c r="E5330" s="58" t="inlineStr">
        <is>
          <t>Central</t>
        </is>
      </c>
      <c r="F5330" s="61" t="n">
        <v>2</v>
      </c>
      <c r="G5330" s="62" t="n">
        <v>1401.74</v>
      </c>
      <c r="H5330" s="63" t="n">
        <v>0.065</v>
      </c>
      <c r="I5330" s="62" t="n">
        <v>1070.98</v>
      </c>
      <c r="J5330" s="58" t="inlineStr">
        <is>
          <t>Online</t>
        </is>
      </c>
      <c r="K5330" s="62">
        <f>F5330*(G5330-H5330)</f>
        <v/>
      </c>
      <c r="L5330" s="62">
        <f>K5330-(F5330*I5330)</f>
        <v/>
      </c>
      <c r="M5330" s="64">
        <f>L5330/K5330</f>
        <v/>
      </c>
    </row>
    <row r="5331">
      <c r="A5331" s="58" t="inlineStr">
        <is>
          <t>RT20250516-05330</t>
        </is>
      </c>
      <c r="B5331" s="59" t="inlineStr">
        <is>
          <t>2025-05-16</t>
        </is>
      </c>
      <c r="C5331" s="60" t="inlineStr">
        <is>
          <t>Solace Kid S-384</t>
        </is>
      </c>
      <c r="D5331" s="58" t="inlineStr">
        <is>
          <t>Apparel</t>
        </is>
      </c>
      <c r="E5331" s="58" t="inlineStr">
        <is>
          <t>West</t>
        </is>
      </c>
      <c r="F5331" s="61" t="n">
        <v>1</v>
      </c>
      <c r="G5331" s="62" t="n">
        <v>118.61</v>
      </c>
      <c r="H5331" s="63" t="n">
        <v>0.048</v>
      </c>
      <c r="I5331" s="62" t="n">
        <v>63.98</v>
      </c>
      <c r="J5331" s="58" t="inlineStr">
        <is>
          <t>Online</t>
        </is>
      </c>
      <c r="K5331" s="62">
        <f>F5331*(G5331-H5331)</f>
        <v/>
      </c>
      <c r="L5331" s="62">
        <f>K5331-(F5331*I5331)</f>
        <v/>
      </c>
      <c r="M5331" s="64">
        <f>L5331/K5331</f>
        <v/>
      </c>
    </row>
    <row r="5332">
      <c r="A5332" s="58" t="inlineStr">
        <is>
          <t>RT20250516-05331</t>
        </is>
      </c>
      <c r="B5332" s="59" t="inlineStr">
        <is>
          <t>2025-05-16</t>
        </is>
      </c>
      <c r="C5332" s="60" t="inlineStr">
        <is>
          <t>Polar Snack Pro-641</t>
        </is>
      </c>
      <c r="D5332" s="58" t="inlineStr">
        <is>
          <t>Grocery</t>
        </is>
      </c>
      <c r="E5332" s="58" t="inlineStr">
        <is>
          <t>West</t>
        </is>
      </c>
      <c r="F5332" s="61" t="n">
        <v>3</v>
      </c>
      <c r="G5332" s="62" t="n">
        <v>12.15</v>
      </c>
      <c r="H5332" s="63" t="n">
        <v>0.08</v>
      </c>
      <c r="I5332" s="62" t="n">
        <v>9.65</v>
      </c>
      <c r="J5332" s="58" t="inlineStr">
        <is>
          <t>Store</t>
        </is>
      </c>
      <c r="K5332" s="62">
        <f>F5332*(G5332-H5332)</f>
        <v/>
      </c>
      <c r="L5332" s="62">
        <f>K5332-(F5332*I5332)</f>
        <v/>
      </c>
      <c r="M5332" s="64">
        <f>L5332/K5332</f>
        <v/>
      </c>
    </row>
    <row r="5333">
      <c r="A5333" s="58" t="inlineStr">
        <is>
          <t>RT20250516-05332</t>
        </is>
      </c>
      <c r="B5333" s="59" t="inlineStr">
        <is>
          <t>2025-05-16</t>
        </is>
      </c>
      <c r="C5333" s="60" t="inlineStr">
        <is>
          <t>Polar Men Pro-246</t>
        </is>
      </c>
      <c r="D5333" s="58" t="inlineStr">
        <is>
          <t>Apparel</t>
        </is>
      </c>
      <c r="E5333" s="58" t="inlineStr">
        <is>
          <t>Central</t>
        </is>
      </c>
      <c r="F5333" s="61" t="n">
        <v>1</v>
      </c>
      <c r="G5333" s="62" t="n">
        <v>140.61</v>
      </c>
      <c r="H5333" s="63" t="n">
        <v>0.07000000000000001</v>
      </c>
      <c r="I5333" s="62" t="n">
        <v>75.5</v>
      </c>
      <c r="J5333" s="58" t="inlineStr">
        <is>
          <t>Online</t>
        </is>
      </c>
      <c r="K5333" s="62">
        <f>F5333*(G5333-H5333)</f>
        <v/>
      </c>
      <c r="L5333" s="62">
        <f>K5333-(F5333*I5333)</f>
        <v/>
      </c>
      <c r="M5333" s="64">
        <f>L5333/K5333</f>
        <v/>
      </c>
    </row>
    <row r="5334">
      <c r="A5334" s="58" t="inlineStr">
        <is>
          <t>RT20250516-05333</t>
        </is>
      </c>
      <c r="B5334" s="59" t="inlineStr">
        <is>
          <t>2025-05-16</t>
        </is>
      </c>
      <c r="C5334" s="60" t="inlineStr">
        <is>
          <t>Vertex Accessorie Pro-881</t>
        </is>
      </c>
      <c r="D5334" s="58" t="inlineStr">
        <is>
          <t>Apparel</t>
        </is>
      </c>
      <c r="E5334" s="58" t="inlineStr">
        <is>
          <t>East</t>
        </is>
      </c>
      <c r="F5334" s="61" t="n">
        <v>3</v>
      </c>
      <c r="G5334" s="62" t="n">
        <v>105.55</v>
      </c>
      <c r="H5334" s="63" t="n">
        <v>0.047</v>
      </c>
      <c r="I5334" s="62" t="n">
        <v>62.18</v>
      </c>
      <c r="J5334" s="58" t="inlineStr">
        <is>
          <t>Store</t>
        </is>
      </c>
      <c r="K5334" s="62">
        <f>F5334*(G5334-H5334)</f>
        <v/>
      </c>
      <c r="L5334" s="62">
        <f>K5334-(F5334*I5334)</f>
        <v/>
      </c>
      <c r="M5334" s="64">
        <f>L5334/K5334</f>
        <v/>
      </c>
    </row>
    <row r="5335">
      <c r="A5335" s="58" t="inlineStr">
        <is>
          <t>RT20250516-05334</t>
        </is>
      </c>
      <c r="B5335" s="59" t="inlineStr">
        <is>
          <t>2025-05-16</t>
        </is>
      </c>
      <c r="C5335" s="60" t="inlineStr">
        <is>
          <t>Orion Kitchen Pro-568</t>
        </is>
      </c>
      <c r="D5335" s="58" t="inlineStr">
        <is>
          <t>Home</t>
        </is>
      </c>
      <c r="E5335" s="58" t="inlineStr">
        <is>
          <t>East</t>
        </is>
      </c>
      <c r="F5335" s="61" t="n">
        <v>3</v>
      </c>
      <c r="G5335" s="62" t="n">
        <v>468.04</v>
      </c>
      <c r="H5335" s="63" t="n">
        <v>0.03</v>
      </c>
      <c r="I5335" s="62" t="n">
        <v>307.56</v>
      </c>
      <c r="J5335" s="58" t="inlineStr">
        <is>
          <t>Online</t>
        </is>
      </c>
      <c r="K5335" s="62">
        <f>F5335*(G5335-H5335)</f>
        <v/>
      </c>
      <c r="L5335" s="62">
        <f>K5335-(F5335*I5335)</f>
        <v/>
      </c>
      <c r="M5335" s="64">
        <f>L5335/K5335</f>
        <v/>
      </c>
    </row>
    <row r="5336">
      <c r="A5336" s="58" t="inlineStr">
        <is>
          <t>RT20250516-05335</t>
        </is>
      </c>
      <c r="B5336" s="59" t="inlineStr">
        <is>
          <t>2025-05-16</t>
        </is>
      </c>
      <c r="C5336" s="60" t="inlineStr">
        <is>
          <t>Polar Pantry Lite-392</t>
        </is>
      </c>
      <c r="D5336" s="58" t="inlineStr">
        <is>
          <t>Grocery</t>
        </is>
      </c>
      <c r="E5336" s="58" t="inlineStr">
        <is>
          <t>East</t>
        </is>
      </c>
      <c r="F5336" s="61" t="n">
        <v>7</v>
      </c>
      <c r="G5336" s="62" t="n">
        <v>5.25</v>
      </c>
      <c r="H5336" s="63" t="n">
        <v>0.074</v>
      </c>
      <c r="I5336" s="62" t="n">
        <v>4.59</v>
      </c>
      <c r="J5336" s="58" t="inlineStr">
        <is>
          <t>Store</t>
        </is>
      </c>
      <c r="K5336" s="62">
        <f>F5336*(G5336-H5336)</f>
        <v/>
      </c>
      <c r="L5336" s="62">
        <f>K5336-(F5336*I5336)</f>
        <v/>
      </c>
      <c r="M5336" s="64">
        <f>L5336/K5336</f>
        <v/>
      </c>
    </row>
    <row r="5337">
      <c r="A5337" s="58" t="inlineStr">
        <is>
          <t>RT20250516-05336</t>
        </is>
      </c>
      <c r="B5337" s="59" t="inlineStr">
        <is>
          <t>2025-05-16</t>
        </is>
      </c>
      <c r="C5337" s="60" t="inlineStr">
        <is>
          <t>Falcon Bedding S-674</t>
        </is>
      </c>
      <c r="D5337" s="58" t="inlineStr">
        <is>
          <t>Home</t>
        </is>
      </c>
      <c r="E5337" s="58" t="inlineStr">
        <is>
          <t>Central</t>
        </is>
      </c>
      <c r="F5337" s="61" t="n">
        <v>3</v>
      </c>
      <c r="G5337" s="62" t="n">
        <v>679.42</v>
      </c>
      <c r="H5337" s="63" t="n">
        <v>0.077</v>
      </c>
      <c r="I5337" s="62" t="n">
        <v>455.75</v>
      </c>
      <c r="J5337" s="58" t="inlineStr">
        <is>
          <t>Online</t>
        </is>
      </c>
      <c r="K5337" s="62">
        <f>F5337*(G5337-H5337)</f>
        <v/>
      </c>
      <c r="L5337" s="62">
        <f>K5337-(F5337*I5337)</f>
        <v/>
      </c>
      <c r="M5337" s="64">
        <f>L5337/K5337</f>
        <v/>
      </c>
    </row>
    <row r="5338">
      <c r="A5338" s="58" t="inlineStr">
        <is>
          <t>RT20250516-05337</t>
        </is>
      </c>
      <c r="B5338" s="59" t="inlineStr">
        <is>
          <t>2025-05-16</t>
        </is>
      </c>
      <c r="C5338" s="60" t="inlineStr">
        <is>
          <t>Nimbus Headphone X-854</t>
        </is>
      </c>
      <c r="D5338" s="58" t="inlineStr">
        <is>
          <t>Electronics</t>
        </is>
      </c>
      <c r="E5338" s="58" t="inlineStr">
        <is>
          <t>East</t>
        </is>
      </c>
      <c r="F5338" s="61" t="n">
        <v>1</v>
      </c>
      <c r="G5338" s="62" t="n">
        <v>1580.27</v>
      </c>
      <c r="H5338" s="63" t="n">
        <v>0.101</v>
      </c>
      <c r="I5338" s="62" t="n">
        <v>1249.61</v>
      </c>
      <c r="J5338" s="58" t="inlineStr">
        <is>
          <t>Phone</t>
        </is>
      </c>
      <c r="K5338" s="62">
        <f>F5338*(G5338-H5338)</f>
        <v/>
      </c>
      <c r="L5338" s="62">
        <f>K5338-(F5338*I5338)</f>
        <v/>
      </c>
      <c r="M5338" s="64">
        <f>L5338/K5338</f>
        <v/>
      </c>
    </row>
    <row r="5339">
      <c r="A5339" s="58" t="inlineStr">
        <is>
          <t>RT20250516-05338</t>
        </is>
      </c>
      <c r="B5339" s="59" t="inlineStr">
        <is>
          <t>2025-05-16</t>
        </is>
      </c>
      <c r="C5339" s="60" t="inlineStr">
        <is>
          <t>Falcon Wearable X-334</t>
        </is>
      </c>
      <c r="D5339" s="58" t="inlineStr">
        <is>
          <t>Electronics</t>
        </is>
      </c>
      <c r="E5339" s="58" t="inlineStr">
        <is>
          <t>Central</t>
        </is>
      </c>
      <c r="F5339" s="61" t="n">
        <v>1</v>
      </c>
      <c r="G5339" s="62" t="n">
        <v>1971.77</v>
      </c>
      <c r="H5339" s="63" t="n">
        <v>0.083</v>
      </c>
      <c r="I5339" s="62" t="n">
        <v>1550.61</v>
      </c>
      <c r="J5339" s="58" t="inlineStr">
        <is>
          <t>Online</t>
        </is>
      </c>
      <c r="K5339" s="62">
        <f>F5339*(G5339-H5339)</f>
        <v/>
      </c>
      <c r="L5339" s="62">
        <f>K5339-(F5339*I5339)</f>
        <v/>
      </c>
      <c r="M5339" s="64">
        <f>L5339/K5339</f>
        <v/>
      </c>
    </row>
    <row r="5340">
      <c r="A5340" s="58" t="inlineStr">
        <is>
          <t>RT20250516-05339</t>
        </is>
      </c>
      <c r="B5340" s="59" t="inlineStr">
        <is>
          <t>2025-05-16</t>
        </is>
      </c>
      <c r="C5340" s="60" t="inlineStr">
        <is>
          <t>Aurora Outdoor Pro-467</t>
        </is>
      </c>
      <c r="D5340" s="58" t="inlineStr">
        <is>
          <t>Sports</t>
        </is>
      </c>
      <c r="E5340" s="58" t="inlineStr">
        <is>
          <t>South</t>
        </is>
      </c>
      <c r="F5340" s="61" t="n">
        <v>1</v>
      </c>
      <c r="G5340" s="62" t="n">
        <v>312.95</v>
      </c>
      <c r="H5340" s="63" t="n">
        <v>0.052</v>
      </c>
      <c r="I5340" s="62" t="n">
        <v>194.32</v>
      </c>
      <c r="J5340" s="58" t="inlineStr">
        <is>
          <t>Store</t>
        </is>
      </c>
      <c r="K5340" s="62">
        <f>F5340*(G5340-H5340)</f>
        <v/>
      </c>
      <c r="L5340" s="62">
        <f>K5340-(F5340*I5340)</f>
        <v/>
      </c>
      <c r="M5340" s="64">
        <f>L5340/K5340</f>
        <v/>
      </c>
    </row>
    <row r="5341">
      <c r="A5341" s="58" t="inlineStr">
        <is>
          <t>RT20250516-05340</t>
        </is>
      </c>
      <c r="B5341" s="59" t="inlineStr">
        <is>
          <t>2025-05-16</t>
        </is>
      </c>
      <c r="C5341" s="60" t="inlineStr">
        <is>
          <t>Orion Haircare Plus-887</t>
        </is>
      </c>
      <c r="D5341" s="58" t="inlineStr">
        <is>
          <t>Beauty</t>
        </is>
      </c>
      <c r="E5341" s="58" t="inlineStr">
        <is>
          <t>North</t>
        </is>
      </c>
      <c r="F5341" s="61" t="n">
        <v>5</v>
      </c>
      <c r="G5341" s="62" t="n">
        <v>48.86</v>
      </c>
      <c r="H5341" s="63" t="n">
        <v>0.125</v>
      </c>
      <c r="I5341" s="62" t="n">
        <v>30.53</v>
      </c>
      <c r="J5341" s="58" t="inlineStr">
        <is>
          <t>Online</t>
        </is>
      </c>
      <c r="K5341" s="62">
        <f>F5341*(G5341-H5341)</f>
        <v/>
      </c>
      <c r="L5341" s="62">
        <f>K5341-(F5341*I5341)</f>
        <v/>
      </c>
      <c r="M5341" s="64">
        <f>L5341/K5341</f>
        <v/>
      </c>
    </row>
    <row r="5342">
      <c r="A5342" s="58" t="inlineStr">
        <is>
          <t>RT20250516-05341</t>
        </is>
      </c>
      <c r="B5342" s="59" t="inlineStr">
        <is>
          <t>2025-05-16</t>
        </is>
      </c>
      <c r="C5342" s="60" t="inlineStr">
        <is>
          <t>Orion Laptop S-350</t>
        </is>
      </c>
      <c r="D5342" s="58" t="inlineStr">
        <is>
          <t>Electronics</t>
        </is>
      </c>
      <c r="E5342" s="58" t="inlineStr">
        <is>
          <t>West</t>
        </is>
      </c>
      <c r="F5342" s="61" t="n">
        <v>2</v>
      </c>
      <c r="G5342" s="62" t="n">
        <v>1298.76</v>
      </c>
      <c r="H5342" s="63" t="n">
        <v>0.029</v>
      </c>
      <c r="I5342" s="62" t="n">
        <v>1082.38</v>
      </c>
      <c r="J5342" s="58" t="inlineStr">
        <is>
          <t>Online</t>
        </is>
      </c>
      <c r="K5342" s="62">
        <f>F5342*(G5342-H5342)</f>
        <v/>
      </c>
      <c r="L5342" s="62">
        <f>K5342-(F5342*I5342)</f>
        <v/>
      </c>
      <c r="M5342" s="64">
        <f>L5342/K5342</f>
        <v/>
      </c>
    </row>
    <row r="5343">
      <c r="A5343" s="58" t="inlineStr">
        <is>
          <t>RT20250516-05342</t>
        </is>
      </c>
      <c r="B5343" s="59" t="inlineStr">
        <is>
          <t>2025-05-16</t>
        </is>
      </c>
      <c r="C5343" s="60" t="inlineStr">
        <is>
          <t>Polar Decor X-935</t>
        </is>
      </c>
      <c r="D5343" s="58" t="inlineStr">
        <is>
          <t>Home</t>
        </is>
      </c>
      <c r="E5343" s="58" t="inlineStr">
        <is>
          <t>West</t>
        </is>
      </c>
      <c r="F5343" s="61" t="n">
        <v>1</v>
      </c>
      <c r="G5343" s="62" t="n">
        <v>302.37</v>
      </c>
      <c r="H5343" s="63" t="n">
        <v>0.063</v>
      </c>
      <c r="I5343" s="62" t="n">
        <v>203.38</v>
      </c>
      <c r="J5343" s="58" t="inlineStr">
        <is>
          <t>Online</t>
        </is>
      </c>
      <c r="K5343" s="62">
        <f>F5343*(G5343-H5343)</f>
        <v/>
      </c>
      <c r="L5343" s="62">
        <f>K5343-(F5343*I5343)</f>
        <v/>
      </c>
      <c r="M5343" s="64">
        <f>L5343/K5343</f>
        <v/>
      </c>
    </row>
    <row r="5344">
      <c r="A5344" s="58" t="inlineStr">
        <is>
          <t>RT20250516-05343</t>
        </is>
      </c>
      <c r="B5344" s="59" t="inlineStr">
        <is>
          <t>2025-05-16</t>
        </is>
      </c>
      <c r="C5344" s="60" t="inlineStr">
        <is>
          <t>Vertex Men X-995</t>
        </is>
      </c>
      <c r="D5344" s="58" t="inlineStr">
        <is>
          <t>Apparel</t>
        </is>
      </c>
      <c r="E5344" s="58" t="inlineStr">
        <is>
          <t>South</t>
        </is>
      </c>
      <c r="F5344" s="61" t="n">
        <v>4</v>
      </c>
      <c r="G5344" s="62" t="n">
        <v>109.47</v>
      </c>
      <c r="H5344" s="63" t="n">
        <v>0.042</v>
      </c>
      <c r="I5344" s="62" t="n">
        <v>58.48</v>
      </c>
      <c r="J5344" s="58" t="inlineStr">
        <is>
          <t>Store</t>
        </is>
      </c>
      <c r="K5344" s="62">
        <f>F5344*(G5344-H5344)</f>
        <v/>
      </c>
      <c r="L5344" s="62">
        <f>K5344-(F5344*I5344)</f>
        <v/>
      </c>
      <c r="M5344" s="64">
        <f>L5344/K5344</f>
        <v/>
      </c>
    </row>
    <row r="5345">
      <c r="A5345" s="58" t="inlineStr">
        <is>
          <t>RT20250516-05344</t>
        </is>
      </c>
      <c r="B5345" s="59" t="inlineStr">
        <is>
          <t>2025-05-16</t>
        </is>
      </c>
      <c r="C5345" s="60" t="inlineStr">
        <is>
          <t>Falcon Beverage Max-702</t>
        </is>
      </c>
      <c r="D5345" s="58" t="inlineStr">
        <is>
          <t>Grocery</t>
        </is>
      </c>
      <c r="E5345" s="58" t="inlineStr">
        <is>
          <t>South</t>
        </is>
      </c>
      <c r="F5345" s="61" t="n">
        <v>1</v>
      </c>
      <c r="G5345" s="62" t="n">
        <v>25.59</v>
      </c>
      <c r="H5345" s="63" t="n">
        <v>0.061</v>
      </c>
      <c r="I5345" s="62" t="n">
        <v>20.28</v>
      </c>
      <c r="J5345" s="58" t="inlineStr">
        <is>
          <t>Online</t>
        </is>
      </c>
      <c r="K5345" s="62">
        <f>F5345*(G5345-H5345)</f>
        <v/>
      </c>
      <c r="L5345" s="62">
        <f>K5345-(F5345*I5345)</f>
        <v/>
      </c>
      <c r="M5345" s="64">
        <f>L5345/K5345</f>
        <v/>
      </c>
    </row>
    <row r="5346">
      <c r="A5346" s="58" t="inlineStr">
        <is>
          <t>RT20250516-05345</t>
        </is>
      </c>
      <c r="B5346" s="59" t="inlineStr">
        <is>
          <t>2025-05-16</t>
        </is>
      </c>
      <c r="C5346" s="60" t="inlineStr">
        <is>
          <t>Solace Team Sport Max-548</t>
        </is>
      </c>
      <c r="D5346" s="58" t="inlineStr">
        <is>
          <t>Sports</t>
        </is>
      </c>
      <c r="E5346" s="58" t="inlineStr">
        <is>
          <t>South</t>
        </is>
      </c>
      <c r="F5346" s="61" t="n">
        <v>2</v>
      </c>
      <c r="G5346" s="62" t="n">
        <v>691.9299999999999</v>
      </c>
      <c r="H5346" s="63" t="n">
        <v>0.034</v>
      </c>
      <c r="I5346" s="62" t="n">
        <v>470.77</v>
      </c>
      <c r="J5346" s="58" t="inlineStr">
        <is>
          <t>Online</t>
        </is>
      </c>
      <c r="K5346" s="62">
        <f>F5346*(G5346-H5346)</f>
        <v/>
      </c>
      <c r="L5346" s="62">
        <f>K5346-(F5346*I5346)</f>
        <v/>
      </c>
      <c r="M5346" s="64">
        <f>L5346/K5346</f>
        <v/>
      </c>
    </row>
    <row r="5347">
      <c r="A5347" s="58" t="inlineStr">
        <is>
          <t>RT20250516-05346</t>
        </is>
      </c>
      <c r="B5347" s="59" t="inlineStr">
        <is>
          <t>2025-05-16</t>
        </is>
      </c>
      <c r="C5347" s="60" t="inlineStr">
        <is>
          <t>Solace Kitchen X-919</t>
        </is>
      </c>
      <c r="D5347" s="58" t="inlineStr">
        <is>
          <t>Home</t>
        </is>
      </c>
      <c r="E5347" s="58" t="inlineStr">
        <is>
          <t>South</t>
        </is>
      </c>
      <c r="F5347" s="61" t="n">
        <v>3</v>
      </c>
      <c r="G5347" s="62" t="n">
        <v>437.16</v>
      </c>
      <c r="H5347" s="63" t="n">
        <v>0.066</v>
      </c>
      <c r="I5347" s="62" t="n">
        <v>265.8</v>
      </c>
      <c r="J5347" s="58" t="inlineStr">
        <is>
          <t>Store</t>
        </is>
      </c>
      <c r="K5347" s="62">
        <f>F5347*(G5347-H5347)</f>
        <v/>
      </c>
      <c r="L5347" s="62">
        <f>K5347-(F5347*I5347)</f>
        <v/>
      </c>
      <c r="M5347" s="64">
        <f>L5347/K5347</f>
        <v/>
      </c>
    </row>
    <row r="5348">
      <c r="A5348" s="58" t="inlineStr">
        <is>
          <t>RT20250516-05347</t>
        </is>
      </c>
      <c r="B5348" s="59" t="inlineStr">
        <is>
          <t>2025-05-16</t>
        </is>
      </c>
      <c r="C5348" s="60" t="inlineStr">
        <is>
          <t>Polar Supplie Lite-348</t>
        </is>
      </c>
      <c r="D5348" s="58" t="inlineStr">
        <is>
          <t>Office</t>
        </is>
      </c>
      <c r="E5348" s="58" t="inlineStr">
        <is>
          <t>West</t>
        </is>
      </c>
      <c r="F5348" s="61" t="n">
        <v>1</v>
      </c>
      <c r="G5348" s="62" t="n">
        <v>397.63</v>
      </c>
      <c r="H5348" s="63" t="n">
        <v>0.089</v>
      </c>
      <c r="I5348" s="62" t="n">
        <v>312.4</v>
      </c>
      <c r="J5348" s="58" t="inlineStr">
        <is>
          <t>Online</t>
        </is>
      </c>
      <c r="K5348" s="62">
        <f>F5348*(G5348-H5348)</f>
        <v/>
      </c>
      <c r="L5348" s="62">
        <f>K5348-(F5348*I5348)</f>
        <v/>
      </c>
      <c r="M5348" s="64">
        <f>L5348/K5348</f>
        <v/>
      </c>
    </row>
    <row r="5349">
      <c r="A5349" s="58" t="inlineStr">
        <is>
          <t>RT20250516-05348</t>
        </is>
      </c>
      <c r="B5349" s="59" t="inlineStr">
        <is>
          <t>2025-05-16</t>
        </is>
      </c>
      <c r="C5349" s="60" t="inlineStr">
        <is>
          <t>Orion Storage Plus-961</t>
        </is>
      </c>
      <c r="D5349" s="58" t="inlineStr">
        <is>
          <t>Office</t>
        </is>
      </c>
      <c r="E5349" s="58" t="inlineStr">
        <is>
          <t>South</t>
        </is>
      </c>
      <c r="F5349" s="61" t="n">
        <v>1</v>
      </c>
      <c r="G5349" s="62" t="n">
        <v>546.36</v>
      </c>
      <c r="H5349" s="63" t="n">
        <v>0.014</v>
      </c>
      <c r="I5349" s="62" t="n">
        <v>366.18</v>
      </c>
      <c r="J5349" s="58" t="inlineStr">
        <is>
          <t>Online</t>
        </is>
      </c>
      <c r="K5349" s="62">
        <f>F5349*(G5349-H5349)</f>
        <v/>
      </c>
      <c r="L5349" s="62">
        <f>K5349-(F5349*I5349)</f>
        <v/>
      </c>
      <c r="M5349" s="64">
        <f>L5349/K5349</f>
        <v/>
      </c>
    </row>
    <row r="5350">
      <c r="A5350" s="58" t="inlineStr">
        <is>
          <t>RT20250516-05349</t>
        </is>
      </c>
      <c r="B5350" s="59" t="inlineStr">
        <is>
          <t>2025-05-16</t>
        </is>
      </c>
      <c r="C5350" s="60" t="inlineStr">
        <is>
          <t>Falcon Beverage Max-702</t>
        </is>
      </c>
      <c r="D5350" s="58" t="inlineStr">
        <is>
          <t>Grocery</t>
        </is>
      </c>
      <c r="E5350" s="58" t="inlineStr">
        <is>
          <t>Central</t>
        </is>
      </c>
      <c r="F5350" s="61" t="n">
        <v>2</v>
      </c>
      <c r="G5350" s="62" t="n">
        <v>22.6</v>
      </c>
      <c r="H5350" s="63" t="n">
        <v>0.027</v>
      </c>
      <c r="I5350" s="62" t="n">
        <v>19.8</v>
      </c>
      <c r="J5350" s="58" t="inlineStr">
        <is>
          <t>Store</t>
        </is>
      </c>
      <c r="K5350" s="62">
        <f>F5350*(G5350-H5350)</f>
        <v/>
      </c>
      <c r="L5350" s="62">
        <f>K5350-(F5350*I5350)</f>
        <v/>
      </c>
      <c r="M5350" s="64">
        <f>L5350/K5350</f>
        <v/>
      </c>
    </row>
    <row r="5351">
      <c r="A5351" s="58" t="inlineStr">
        <is>
          <t>RT20250516-05350</t>
        </is>
      </c>
      <c r="B5351" s="59" t="inlineStr">
        <is>
          <t>2025-05-16</t>
        </is>
      </c>
      <c r="C5351" s="60" t="inlineStr">
        <is>
          <t>Nimbus Makeup Max-158</t>
        </is>
      </c>
      <c r="D5351" s="58" t="inlineStr">
        <is>
          <t>Beauty</t>
        </is>
      </c>
      <c r="E5351" s="58" t="inlineStr">
        <is>
          <t>South</t>
        </is>
      </c>
      <c r="F5351" s="61" t="n">
        <v>3</v>
      </c>
      <c r="G5351" s="62" t="n">
        <v>151.82</v>
      </c>
      <c r="H5351" s="63" t="n">
        <v>0.083</v>
      </c>
      <c r="I5351" s="62" t="n">
        <v>93.20999999999999</v>
      </c>
      <c r="J5351" s="58" t="inlineStr">
        <is>
          <t>Online</t>
        </is>
      </c>
      <c r="K5351" s="62">
        <f>F5351*(G5351-H5351)</f>
        <v/>
      </c>
      <c r="L5351" s="62">
        <f>K5351-(F5351*I5351)</f>
        <v/>
      </c>
      <c r="M5351" s="64">
        <f>L5351/K5351</f>
        <v/>
      </c>
    </row>
    <row r="5352">
      <c r="A5352" s="58" t="inlineStr">
        <is>
          <t>RT20250516-05351</t>
        </is>
      </c>
      <c r="B5352" s="59" t="inlineStr">
        <is>
          <t>2025-05-16</t>
        </is>
      </c>
      <c r="C5352" s="60" t="inlineStr">
        <is>
          <t>Polar Haircare Max-614</t>
        </is>
      </c>
      <c r="D5352" s="58" t="inlineStr">
        <is>
          <t>Beauty</t>
        </is>
      </c>
      <c r="E5352" s="58" t="inlineStr">
        <is>
          <t>East</t>
        </is>
      </c>
      <c r="F5352" s="61" t="n">
        <v>2</v>
      </c>
      <c r="G5352" s="62" t="n">
        <v>99.95999999999999</v>
      </c>
      <c r="H5352" s="63" t="n">
        <v>0.018</v>
      </c>
      <c r="I5352" s="62" t="n">
        <v>67.23999999999999</v>
      </c>
      <c r="J5352" s="58" t="inlineStr">
        <is>
          <t>Online</t>
        </is>
      </c>
      <c r="K5352" s="62">
        <f>F5352*(G5352-H5352)</f>
        <v/>
      </c>
      <c r="L5352" s="62">
        <f>K5352-(F5352*I5352)</f>
        <v/>
      </c>
      <c r="M5352" s="64">
        <f>L5352/K5352</f>
        <v/>
      </c>
    </row>
    <row r="5353">
      <c r="A5353" s="58" t="inlineStr">
        <is>
          <t>RT20250516-05352</t>
        </is>
      </c>
      <c r="B5353" s="59" t="inlineStr">
        <is>
          <t>2025-05-16</t>
        </is>
      </c>
      <c r="C5353" s="60" t="inlineStr">
        <is>
          <t>Vertex Men X-995</t>
        </is>
      </c>
      <c r="D5353" s="58" t="inlineStr">
        <is>
          <t>Apparel</t>
        </is>
      </c>
      <c r="E5353" s="58" t="inlineStr">
        <is>
          <t>East</t>
        </is>
      </c>
      <c r="F5353" s="61" t="n">
        <v>2</v>
      </c>
      <c r="G5353" s="62" t="n">
        <v>105.82</v>
      </c>
      <c r="H5353" s="63" t="n">
        <v>0.08599999999999999</v>
      </c>
      <c r="I5353" s="62" t="n">
        <v>60.14</v>
      </c>
      <c r="J5353" s="58" t="inlineStr">
        <is>
          <t>Online</t>
        </is>
      </c>
      <c r="K5353" s="62">
        <f>F5353*(G5353-H5353)</f>
        <v/>
      </c>
      <c r="L5353" s="62">
        <f>K5353-(F5353*I5353)</f>
        <v/>
      </c>
      <c r="M5353" s="64">
        <f>L5353/K5353</f>
        <v/>
      </c>
    </row>
    <row r="5354">
      <c r="A5354" s="58" t="inlineStr">
        <is>
          <t>RT20250516-05353</t>
        </is>
      </c>
      <c r="B5354" s="59" t="inlineStr">
        <is>
          <t>2025-05-16</t>
        </is>
      </c>
      <c r="C5354" s="60" t="inlineStr">
        <is>
          <t>Polar Decor Plus-505</t>
        </is>
      </c>
      <c r="D5354" s="58" t="inlineStr">
        <is>
          <t>Home</t>
        </is>
      </c>
      <c r="E5354" s="58" t="inlineStr">
        <is>
          <t>Central</t>
        </is>
      </c>
      <c r="F5354" s="61" t="n">
        <v>3</v>
      </c>
      <c r="G5354" s="62" t="n">
        <v>296.25</v>
      </c>
      <c r="H5354" s="63" t="n">
        <v>0.073</v>
      </c>
      <c r="I5354" s="62" t="n">
        <v>203.12</v>
      </c>
      <c r="J5354" s="58" t="inlineStr">
        <is>
          <t>Store</t>
        </is>
      </c>
      <c r="K5354" s="62">
        <f>F5354*(G5354-H5354)</f>
        <v/>
      </c>
      <c r="L5354" s="62">
        <f>K5354-(F5354*I5354)</f>
        <v/>
      </c>
      <c r="M5354" s="64">
        <f>L5354/K5354</f>
        <v/>
      </c>
    </row>
    <row r="5355">
      <c r="A5355" s="58" t="inlineStr">
        <is>
          <t>RT20250516-05354</t>
        </is>
      </c>
      <c r="B5355" s="59" t="inlineStr">
        <is>
          <t>2025-05-16</t>
        </is>
      </c>
      <c r="C5355" s="60" t="inlineStr">
        <is>
          <t>Vertex Men X-995</t>
        </is>
      </c>
      <c r="D5355" s="58" t="inlineStr">
        <is>
          <t>Apparel</t>
        </is>
      </c>
      <c r="E5355" s="58" t="inlineStr">
        <is>
          <t>East</t>
        </is>
      </c>
      <c r="F5355" s="61" t="n">
        <v>3</v>
      </c>
      <c r="G5355" s="62" t="n">
        <v>106.12</v>
      </c>
      <c r="H5355" s="63" t="n">
        <v>0.049</v>
      </c>
      <c r="I5355" s="62" t="n">
        <v>56.31</v>
      </c>
      <c r="J5355" s="58" t="inlineStr">
        <is>
          <t>Store</t>
        </is>
      </c>
      <c r="K5355" s="62">
        <f>F5355*(G5355-H5355)</f>
        <v/>
      </c>
      <c r="L5355" s="62">
        <f>K5355-(F5355*I5355)</f>
        <v/>
      </c>
      <c r="M5355" s="64">
        <f>L5355/K5355</f>
        <v/>
      </c>
    </row>
    <row r="5356">
      <c r="A5356" s="58" t="inlineStr">
        <is>
          <t>RT20250516-05355</t>
        </is>
      </c>
      <c r="B5356" s="59" t="inlineStr">
        <is>
          <t>2025-05-16</t>
        </is>
      </c>
      <c r="C5356" s="60" t="inlineStr">
        <is>
          <t>Orion Men X-928</t>
        </is>
      </c>
      <c r="D5356" s="58" t="inlineStr">
        <is>
          <t>Apparel</t>
        </is>
      </c>
      <c r="E5356" s="58" t="inlineStr">
        <is>
          <t>West</t>
        </is>
      </c>
      <c r="F5356" s="61" t="n">
        <v>3</v>
      </c>
      <c r="G5356" s="62" t="n">
        <v>84.89</v>
      </c>
      <c r="H5356" s="63" t="n">
        <v>0.002</v>
      </c>
      <c r="I5356" s="62" t="n">
        <v>62.2</v>
      </c>
      <c r="J5356" s="58" t="inlineStr">
        <is>
          <t>Online</t>
        </is>
      </c>
      <c r="K5356" s="62">
        <f>F5356*(G5356-H5356)</f>
        <v/>
      </c>
      <c r="L5356" s="62">
        <f>K5356-(F5356*I5356)</f>
        <v/>
      </c>
      <c r="M5356" s="64">
        <f>L5356/K5356</f>
        <v/>
      </c>
    </row>
    <row r="5357">
      <c r="A5357" s="58" t="inlineStr">
        <is>
          <t>RT20250516-05356</t>
        </is>
      </c>
      <c r="B5357" s="59" t="inlineStr">
        <is>
          <t>2025-05-16</t>
        </is>
      </c>
      <c r="C5357" s="60" t="inlineStr">
        <is>
          <t>Nimbus Fitnes Lite-516</t>
        </is>
      </c>
      <c r="D5357" s="58" t="inlineStr">
        <is>
          <t>Sports</t>
        </is>
      </c>
      <c r="E5357" s="58" t="inlineStr">
        <is>
          <t>North</t>
        </is>
      </c>
      <c r="F5357" s="61" t="n">
        <v>2</v>
      </c>
      <c r="G5357" s="62" t="n">
        <v>706.58</v>
      </c>
      <c r="H5357" s="63" t="n">
        <v>0.034</v>
      </c>
      <c r="I5357" s="62" t="n">
        <v>463.78</v>
      </c>
      <c r="J5357" s="58" t="inlineStr">
        <is>
          <t>Online</t>
        </is>
      </c>
      <c r="K5357" s="62">
        <f>F5357*(G5357-H5357)</f>
        <v/>
      </c>
      <c r="L5357" s="62">
        <f>K5357-(F5357*I5357)</f>
        <v/>
      </c>
      <c r="M5357" s="64">
        <f>L5357/K5357</f>
        <v/>
      </c>
    </row>
    <row r="5358">
      <c r="A5358" s="58" t="inlineStr">
        <is>
          <t>RT20250516-05357</t>
        </is>
      </c>
      <c r="B5358" s="59" t="inlineStr">
        <is>
          <t>2025-05-16</t>
        </is>
      </c>
      <c r="C5358" s="60" t="inlineStr">
        <is>
          <t>Nimbus Fitnes Lite-516</t>
        </is>
      </c>
      <c r="D5358" s="58" t="inlineStr">
        <is>
          <t>Sports</t>
        </is>
      </c>
      <c r="E5358" s="58" t="inlineStr">
        <is>
          <t>North</t>
        </is>
      </c>
      <c r="F5358" s="61" t="n">
        <v>1</v>
      </c>
      <c r="G5358" s="62" t="n">
        <v>732.5700000000001</v>
      </c>
      <c r="H5358" s="63" t="n">
        <v>0.025</v>
      </c>
      <c r="I5358" s="62" t="n">
        <v>461.05</v>
      </c>
      <c r="J5358" s="58" t="inlineStr">
        <is>
          <t>Store</t>
        </is>
      </c>
      <c r="K5358" s="62">
        <f>F5358*(G5358-H5358)</f>
        <v/>
      </c>
      <c r="L5358" s="62">
        <f>K5358-(F5358*I5358)</f>
        <v/>
      </c>
      <c r="M5358" s="64">
        <f>L5358/K5358</f>
        <v/>
      </c>
    </row>
    <row r="5359">
      <c r="A5359" s="58" t="inlineStr">
        <is>
          <t>RT20250516-05358</t>
        </is>
      </c>
      <c r="B5359" s="59" t="inlineStr">
        <is>
          <t>2025-05-16</t>
        </is>
      </c>
      <c r="C5359" s="60" t="inlineStr">
        <is>
          <t>Metro Wearable Plus-234</t>
        </is>
      </c>
      <c r="D5359" s="58" t="inlineStr">
        <is>
          <t>Electronics</t>
        </is>
      </c>
      <c r="E5359" s="58" t="inlineStr">
        <is>
          <t>East</t>
        </is>
      </c>
      <c r="F5359" s="61" t="n">
        <v>1</v>
      </c>
      <c r="G5359" s="62" t="n">
        <v>1680.32</v>
      </c>
      <c r="H5359" s="63" t="n">
        <v>0.05</v>
      </c>
      <c r="I5359" s="62" t="n">
        <v>1202.49</v>
      </c>
      <c r="J5359" s="58" t="inlineStr">
        <is>
          <t>Store</t>
        </is>
      </c>
      <c r="K5359" s="62">
        <f>F5359*(G5359-H5359)</f>
        <v/>
      </c>
      <c r="L5359" s="62">
        <f>K5359-(F5359*I5359)</f>
        <v/>
      </c>
      <c r="M5359" s="64">
        <f>L5359/K5359</f>
        <v/>
      </c>
    </row>
    <row r="5360">
      <c r="A5360" s="58" t="inlineStr">
        <is>
          <t>RT20250516-05359</t>
        </is>
      </c>
      <c r="B5360" s="59" t="inlineStr">
        <is>
          <t>2025-05-16</t>
        </is>
      </c>
      <c r="C5360" s="60" t="inlineStr">
        <is>
          <t>Vertex Headphone Pro-801</t>
        </is>
      </c>
      <c r="D5360" s="58" t="inlineStr">
        <is>
          <t>Electronics</t>
        </is>
      </c>
      <c r="E5360" s="58" t="inlineStr">
        <is>
          <t>Central</t>
        </is>
      </c>
      <c r="F5360" s="61" t="n">
        <v>2</v>
      </c>
      <c r="G5360" s="62" t="n">
        <v>1252.86</v>
      </c>
      <c r="H5360" s="63" t="n">
        <v>0.055</v>
      </c>
      <c r="I5360" s="62" t="n">
        <v>995.15</v>
      </c>
      <c r="J5360" s="58" t="inlineStr">
        <is>
          <t>Store</t>
        </is>
      </c>
      <c r="K5360" s="62">
        <f>F5360*(G5360-H5360)</f>
        <v/>
      </c>
      <c r="L5360" s="62">
        <f>K5360-(F5360*I5360)</f>
        <v/>
      </c>
      <c r="M5360" s="64">
        <f>L5360/K5360</f>
        <v/>
      </c>
    </row>
    <row r="5361">
      <c r="A5361" s="58" t="inlineStr">
        <is>
          <t>RT20250516-05360</t>
        </is>
      </c>
      <c r="B5361" s="59" t="inlineStr">
        <is>
          <t>2025-05-16</t>
        </is>
      </c>
      <c r="C5361" s="60" t="inlineStr">
        <is>
          <t>Nimbus Decor Lite-385</t>
        </is>
      </c>
      <c r="D5361" s="58" t="inlineStr">
        <is>
          <t>Home</t>
        </is>
      </c>
      <c r="E5361" s="58" t="inlineStr">
        <is>
          <t>Central</t>
        </is>
      </c>
      <c r="F5361" s="61" t="n">
        <v>2</v>
      </c>
      <c r="G5361" s="62" t="n">
        <v>518.5599999999999</v>
      </c>
      <c r="H5361" s="63" t="n">
        <v>0.077</v>
      </c>
      <c r="I5361" s="62" t="n">
        <v>393.14</v>
      </c>
      <c r="J5361" s="58" t="inlineStr">
        <is>
          <t>Online</t>
        </is>
      </c>
      <c r="K5361" s="62">
        <f>F5361*(G5361-H5361)</f>
        <v/>
      </c>
      <c r="L5361" s="62">
        <f>K5361-(F5361*I5361)</f>
        <v/>
      </c>
      <c r="M5361" s="64">
        <f>L5361/K5361</f>
        <v/>
      </c>
    </row>
    <row r="5362">
      <c r="A5362" s="58" t="inlineStr">
        <is>
          <t>RT20250516-05361</t>
        </is>
      </c>
      <c r="B5362" s="59" t="inlineStr">
        <is>
          <t>2025-05-16</t>
        </is>
      </c>
      <c r="C5362" s="60" t="inlineStr">
        <is>
          <t>Nimbus Men Plus-231</t>
        </is>
      </c>
      <c r="D5362" s="58" t="inlineStr">
        <is>
          <t>Apparel</t>
        </is>
      </c>
      <c r="E5362" s="58" t="inlineStr">
        <is>
          <t>West</t>
        </is>
      </c>
      <c r="F5362" s="61" t="n">
        <v>3</v>
      </c>
      <c r="G5362" s="62" t="n">
        <v>153.2</v>
      </c>
      <c r="H5362" s="63" t="n">
        <v>0.029</v>
      </c>
      <c r="I5362" s="62" t="n">
        <v>88.97</v>
      </c>
      <c r="J5362" s="58" t="inlineStr">
        <is>
          <t>Online</t>
        </is>
      </c>
      <c r="K5362" s="62">
        <f>F5362*(G5362-H5362)</f>
        <v/>
      </c>
      <c r="L5362" s="62">
        <f>K5362-(F5362*I5362)</f>
        <v/>
      </c>
      <c r="M5362" s="64">
        <f>L5362/K5362</f>
        <v/>
      </c>
    </row>
    <row r="5363">
      <c r="A5363" s="58" t="inlineStr">
        <is>
          <t>RT20250516-05362</t>
        </is>
      </c>
      <c r="B5363" s="59" t="inlineStr">
        <is>
          <t>2025-05-16</t>
        </is>
      </c>
      <c r="C5363" s="60" t="inlineStr">
        <is>
          <t>Falcon Furniture Plus-839</t>
        </is>
      </c>
      <c r="D5363" s="58" t="inlineStr">
        <is>
          <t>Office</t>
        </is>
      </c>
      <c r="E5363" s="58" t="inlineStr">
        <is>
          <t>West</t>
        </is>
      </c>
      <c r="F5363" s="61" t="n">
        <v>3</v>
      </c>
      <c r="G5363" s="62" t="n">
        <v>297.98</v>
      </c>
      <c r="H5363" s="63" t="n">
        <v>0.056</v>
      </c>
      <c r="I5363" s="62" t="n">
        <v>227.8</v>
      </c>
      <c r="J5363" s="58" t="inlineStr">
        <is>
          <t>Online</t>
        </is>
      </c>
      <c r="K5363" s="62">
        <f>F5363*(G5363-H5363)</f>
        <v/>
      </c>
      <c r="L5363" s="62">
        <f>K5363-(F5363*I5363)</f>
        <v/>
      </c>
      <c r="M5363" s="64">
        <f>L5363/K5363</f>
        <v/>
      </c>
    </row>
    <row r="5364">
      <c r="A5364" s="58" t="inlineStr">
        <is>
          <t>RT20250517-05363</t>
        </is>
      </c>
      <c r="B5364" s="59" t="inlineStr">
        <is>
          <t>2025-05-17</t>
        </is>
      </c>
      <c r="C5364" s="60" t="inlineStr">
        <is>
          <t>Solace Headphone Pro-344</t>
        </is>
      </c>
      <c r="D5364" s="58" t="inlineStr">
        <is>
          <t>Electronics</t>
        </is>
      </c>
      <c r="E5364" s="58" t="inlineStr">
        <is>
          <t>Central</t>
        </is>
      </c>
      <c r="F5364" s="61" t="n">
        <v>2</v>
      </c>
      <c r="G5364" s="62" t="n">
        <v>1464.14</v>
      </c>
      <c r="H5364" s="63" t="n">
        <v>0.095</v>
      </c>
      <c r="I5364" s="62" t="n">
        <v>1071.06</v>
      </c>
      <c r="J5364" s="58" t="inlineStr">
        <is>
          <t>Phone</t>
        </is>
      </c>
      <c r="K5364" s="62">
        <f>F5364*(G5364-H5364)</f>
        <v/>
      </c>
      <c r="L5364" s="62">
        <f>K5364-(F5364*I5364)</f>
        <v/>
      </c>
      <c r="M5364" s="64">
        <f>L5364/K5364</f>
        <v/>
      </c>
    </row>
    <row r="5365">
      <c r="A5365" s="58" t="inlineStr">
        <is>
          <t>RT20250517-05364</t>
        </is>
      </c>
      <c r="B5365" s="59" t="inlineStr">
        <is>
          <t>2025-05-17</t>
        </is>
      </c>
      <c r="C5365" s="60" t="inlineStr">
        <is>
          <t>Orion Fragrance Lite-785</t>
        </is>
      </c>
      <c r="D5365" s="58" t="inlineStr">
        <is>
          <t>Beauty</t>
        </is>
      </c>
      <c r="E5365" s="58" t="inlineStr">
        <is>
          <t>West</t>
        </is>
      </c>
      <c r="F5365" s="61" t="n">
        <v>4</v>
      </c>
      <c r="G5365" s="62" t="n">
        <v>47.39</v>
      </c>
      <c r="H5365" s="63" t="n">
        <v>0.073</v>
      </c>
      <c r="I5365" s="62" t="n">
        <v>27.71</v>
      </c>
      <c r="J5365" s="58" t="inlineStr">
        <is>
          <t>Online</t>
        </is>
      </c>
      <c r="K5365" s="62">
        <f>F5365*(G5365-H5365)</f>
        <v/>
      </c>
      <c r="L5365" s="62">
        <f>K5365-(F5365*I5365)</f>
        <v/>
      </c>
      <c r="M5365" s="64">
        <f>L5365/K5365</f>
        <v/>
      </c>
    </row>
    <row r="5366">
      <c r="A5366" s="58" t="inlineStr">
        <is>
          <t>RT20250517-05365</t>
        </is>
      </c>
      <c r="B5366" s="59" t="inlineStr">
        <is>
          <t>2025-05-17</t>
        </is>
      </c>
      <c r="C5366" s="60" t="inlineStr">
        <is>
          <t>Orion Storage Plus-961</t>
        </is>
      </c>
      <c r="D5366" s="58" t="inlineStr">
        <is>
          <t>Office</t>
        </is>
      </c>
      <c r="E5366" s="58" t="inlineStr">
        <is>
          <t>East</t>
        </is>
      </c>
      <c r="F5366" s="61" t="n">
        <v>3</v>
      </c>
      <c r="G5366" s="62" t="n">
        <v>485.23</v>
      </c>
      <c r="H5366" s="63" t="n">
        <v>0.003</v>
      </c>
      <c r="I5366" s="62" t="n">
        <v>361.97</v>
      </c>
      <c r="J5366" s="58" t="inlineStr">
        <is>
          <t>Online</t>
        </is>
      </c>
      <c r="K5366" s="62">
        <f>F5366*(G5366-H5366)</f>
        <v/>
      </c>
      <c r="L5366" s="62">
        <f>K5366-(F5366*I5366)</f>
        <v/>
      </c>
      <c r="M5366" s="64">
        <f>L5366/K5366</f>
        <v/>
      </c>
    </row>
    <row r="5367">
      <c r="A5367" s="58" t="inlineStr">
        <is>
          <t>RT20250517-05366</t>
        </is>
      </c>
      <c r="B5367" s="59" t="inlineStr">
        <is>
          <t>2025-05-17</t>
        </is>
      </c>
      <c r="C5367" s="60" t="inlineStr">
        <is>
          <t>Nimbus Women Plus-352</t>
        </is>
      </c>
      <c r="D5367" s="58" t="inlineStr">
        <is>
          <t>Apparel</t>
        </is>
      </c>
      <c r="E5367" s="58" t="inlineStr">
        <is>
          <t>East</t>
        </is>
      </c>
      <c r="F5367" s="61" t="n">
        <v>3</v>
      </c>
      <c r="G5367" s="62" t="n">
        <v>54.05</v>
      </c>
      <c r="H5367" s="63" t="n">
        <v>0.079</v>
      </c>
      <c r="I5367" s="62" t="n">
        <v>32.86</v>
      </c>
      <c r="J5367" s="58" t="inlineStr">
        <is>
          <t>Online</t>
        </is>
      </c>
      <c r="K5367" s="62">
        <f>F5367*(G5367-H5367)</f>
        <v/>
      </c>
      <c r="L5367" s="62">
        <f>K5367-(F5367*I5367)</f>
        <v/>
      </c>
      <c r="M5367" s="64">
        <f>L5367/K5367</f>
        <v/>
      </c>
    </row>
    <row r="5368">
      <c r="A5368" s="58" t="inlineStr">
        <is>
          <t>RT20250517-05367</t>
        </is>
      </c>
      <c r="B5368" s="59" t="inlineStr">
        <is>
          <t>2025-05-17</t>
        </is>
      </c>
      <c r="C5368" s="60" t="inlineStr">
        <is>
          <t>Polar Laptop Plus-984</t>
        </is>
      </c>
      <c r="D5368" s="58" t="inlineStr">
        <is>
          <t>Electronics</t>
        </is>
      </c>
      <c r="E5368" s="58" t="inlineStr">
        <is>
          <t>North</t>
        </is>
      </c>
      <c r="F5368" s="61" t="n">
        <v>1</v>
      </c>
      <c r="G5368" s="62" t="n">
        <v>1323.72</v>
      </c>
      <c r="H5368" s="63" t="n">
        <v>0.042</v>
      </c>
      <c r="I5368" s="62" t="n">
        <v>1008.17</v>
      </c>
      <c r="J5368" s="58" t="inlineStr">
        <is>
          <t>Store</t>
        </is>
      </c>
      <c r="K5368" s="62">
        <f>F5368*(G5368-H5368)</f>
        <v/>
      </c>
      <c r="L5368" s="62">
        <f>K5368-(F5368*I5368)</f>
        <v/>
      </c>
      <c r="M5368" s="64">
        <f>L5368/K5368</f>
        <v/>
      </c>
    </row>
    <row r="5369">
      <c r="A5369" s="58" t="inlineStr">
        <is>
          <t>RT20250517-05368</t>
        </is>
      </c>
      <c r="B5369" s="59" t="inlineStr">
        <is>
          <t>2025-05-17</t>
        </is>
      </c>
      <c r="C5369" s="60" t="inlineStr">
        <is>
          <t>Polar Beverage S-258</t>
        </is>
      </c>
      <c r="D5369" s="58" t="inlineStr">
        <is>
          <t>Grocery</t>
        </is>
      </c>
      <c r="E5369" s="58" t="inlineStr">
        <is>
          <t>Central</t>
        </is>
      </c>
      <c r="F5369" s="61" t="n">
        <v>1</v>
      </c>
      <c r="G5369" s="62" t="n">
        <v>12.14</v>
      </c>
      <c r="H5369" s="63" t="n">
        <v>0.095</v>
      </c>
      <c r="I5369" s="62" t="n">
        <v>9.81</v>
      </c>
      <c r="J5369" s="58" t="inlineStr">
        <is>
          <t>Store</t>
        </is>
      </c>
      <c r="K5369" s="62">
        <f>F5369*(G5369-H5369)</f>
        <v/>
      </c>
      <c r="L5369" s="62">
        <f>K5369-(F5369*I5369)</f>
        <v/>
      </c>
      <c r="M5369" s="64">
        <f>L5369/K5369</f>
        <v/>
      </c>
    </row>
    <row r="5370">
      <c r="A5370" s="58" t="inlineStr">
        <is>
          <t>RT20250517-05369</t>
        </is>
      </c>
      <c r="B5370" s="59" t="inlineStr">
        <is>
          <t>2025-05-17</t>
        </is>
      </c>
      <c r="C5370" s="60" t="inlineStr">
        <is>
          <t>Vertex Smartphone Pro-256</t>
        </is>
      </c>
      <c r="D5370" s="58" t="inlineStr">
        <is>
          <t>Electronics</t>
        </is>
      </c>
      <c r="E5370" s="58" t="inlineStr">
        <is>
          <t>West</t>
        </is>
      </c>
      <c r="F5370" s="61" t="n">
        <v>1</v>
      </c>
      <c r="G5370" s="62" t="n">
        <v>1252.99</v>
      </c>
      <c r="H5370" s="63" t="n">
        <v>0.023</v>
      </c>
      <c r="I5370" s="62" t="n">
        <v>916.42</v>
      </c>
      <c r="J5370" s="58" t="inlineStr">
        <is>
          <t>Online</t>
        </is>
      </c>
      <c r="K5370" s="62">
        <f>F5370*(G5370-H5370)</f>
        <v/>
      </c>
      <c r="L5370" s="62">
        <f>K5370-(F5370*I5370)</f>
        <v/>
      </c>
      <c r="M5370" s="64">
        <f>L5370/K5370</f>
        <v/>
      </c>
    </row>
    <row r="5371">
      <c r="A5371" s="58" t="inlineStr">
        <is>
          <t>RT20250517-05370</t>
        </is>
      </c>
      <c r="B5371" s="59" t="inlineStr">
        <is>
          <t>2025-05-17</t>
        </is>
      </c>
      <c r="C5371" s="60" t="inlineStr">
        <is>
          <t>Vertex Snack S-702</t>
        </is>
      </c>
      <c r="D5371" s="58" t="inlineStr">
        <is>
          <t>Grocery</t>
        </is>
      </c>
      <c r="E5371" s="58" t="inlineStr">
        <is>
          <t>South</t>
        </is>
      </c>
      <c r="F5371" s="61" t="n">
        <v>5</v>
      </c>
      <c r="G5371" s="62" t="n">
        <v>2.04</v>
      </c>
      <c r="H5371" s="63" t="n">
        <v>0.066</v>
      </c>
      <c r="I5371" s="62" t="n">
        <v>1.47</v>
      </c>
      <c r="J5371" s="58" t="inlineStr">
        <is>
          <t>Online</t>
        </is>
      </c>
      <c r="K5371" s="62">
        <f>F5371*(G5371-H5371)</f>
        <v/>
      </c>
      <c r="L5371" s="62">
        <f>K5371-(F5371*I5371)</f>
        <v/>
      </c>
      <c r="M5371" s="64">
        <f>L5371/K5371</f>
        <v/>
      </c>
    </row>
    <row r="5372">
      <c r="A5372" s="58" t="inlineStr">
        <is>
          <t>RT20250517-05371</t>
        </is>
      </c>
      <c r="B5372" s="59" t="inlineStr">
        <is>
          <t>2025-05-17</t>
        </is>
      </c>
      <c r="C5372" s="60" t="inlineStr">
        <is>
          <t>Solace Bedding Plus-317</t>
        </is>
      </c>
      <c r="D5372" s="58" t="inlineStr">
        <is>
          <t>Home</t>
        </is>
      </c>
      <c r="E5372" s="58" t="inlineStr">
        <is>
          <t>West</t>
        </is>
      </c>
      <c r="F5372" s="61" t="n">
        <v>1</v>
      </c>
      <c r="G5372" s="62" t="n">
        <v>518.46</v>
      </c>
      <c r="H5372" s="63" t="n">
        <v>0.06</v>
      </c>
      <c r="I5372" s="62" t="n">
        <v>383.72</v>
      </c>
      <c r="J5372" s="58" t="inlineStr">
        <is>
          <t>Online</t>
        </is>
      </c>
      <c r="K5372" s="62">
        <f>F5372*(G5372-H5372)</f>
        <v/>
      </c>
      <c r="L5372" s="62">
        <f>K5372-(F5372*I5372)</f>
        <v/>
      </c>
      <c r="M5372" s="64">
        <f>L5372/K5372</f>
        <v/>
      </c>
    </row>
    <row r="5373">
      <c r="A5373" s="58" t="inlineStr">
        <is>
          <t>RT20250517-05372</t>
        </is>
      </c>
      <c r="B5373" s="59" t="inlineStr">
        <is>
          <t>2025-05-17</t>
        </is>
      </c>
      <c r="C5373" s="60" t="inlineStr">
        <is>
          <t>Aurora Wearable Lite-704</t>
        </is>
      </c>
      <c r="D5373" s="58" t="inlineStr">
        <is>
          <t>Electronics</t>
        </is>
      </c>
      <c r="E5373" s="58" t="inlineStr">
        <is>
          <t>West</t>
        </is>
      </c>
      <c r="F5373" s="61" t="n">
        <v>2</v>
      </c>
      <c r="G5373" s="62" t="n">
        <v>2120.92</v>
      </c>
      <c r="H5373" s="63" t="n">
        <v>0.057</v>
      </c>
      <c r="I5373" s="62" t="n">
        <v>1468.77</v>
      </c>
      <c r="J5373" s="58" t="inlineStr">
        <is>
          <t>Online</t>
        </is>
      </c>
      <c r="K5373" s="62">
        <f>F5373*(G5373-H5373)</f>
        <v/>
      </c>
      <c r="L5373" s="62">
        <f>K5373-(F5373*I5373)</f>
        <v/>
      </c>
      <c r="M5373" s="64">
        <f>L5373/K5373</f>
        <v/>
      </c>
    </row>
    <row r="5374">
      <c r="A5374" s="58" t="inlineStr">
        <is>
          <t>RT20250517-05373</t>
        </is>
      </c>
      <c r="B5374" s="59" t="inlineStr">
        <is>
          <t>2025-05-17</t>
        </is>
      </c>
      <c r="C5374" s="60" t="inlineStr">
        <is>
          <t>Metro Pantry X-710</t>
        </is>
      </c>
      <c r="D5374" s="58" t="inlineStr">
        <is>
          <t>Grocery</t>
        </is>
      </c>
      <c r="E5374" s="58" t="inlineStr">
        <is>
          <t>North</t>
        </is>
      </c>
      <c r="F5374" s="61" t="n">
        <v>2</v>
      </c>
      <c r="G5374" s="62" t="n">
        <v>5.03</v>
      </c>
      <c r="H5374" s="63" t="n">
        <v>0.013</v>
      </c>
      <c r="I5374" s="62" t="n">
        <v>4.25</v>
      </c>
      <c r="J5374" s="58" t="inlineStr">
        <is>
          <t>Online</t>
        </is>
      </c>
      <c r="K5374" s="62">
        <f>F5374*(G5374-H5374)</f>
        <v/>
      </c>
      <c r="L5374" s="62">
        <f>K5374-(F5374*I5374)</f>
        <v/>
      </c>
      <c r="M5374" s="64">
        <f>L5374/K5374</f>
        <v/>
      </c>
    </row>
    <row r="5375">
      <c r="A5375" s="58" t="inlineStr">
        <is>
          <t>RT20250517-05374</t>
        </is>
      </c>
      <c r="B5375" s="59" t="inlineStr">
        <is>
          <t>2025-05-17</t>
        </is>
      </c>
      <c r="C5375" s="60" t="inlineStr">
        <is>
          <t>Aurora Furniture X-709</t>
        </is>
      </c>
      <c r="D5375" s="58" t="inlineStr">
        <is>
          <t>Office</t>
        </is>
      </c>
      <c r="E5375" s="58" t="inlineStr">
        <is>
          <t>Central</t>
        </is>
      </c>
      <c r="F5375" s="61" t="n">
        <v>2</v>
      </c>
      <c r="G5375" s="62" t="n">
        <v>421.24</v>
      </c>
      <c r="H5375" s="63" t="n">
        <v>0</v>
      </c>
      <c r="I5375" s="62" t="n">
        <v>304.65</v>
      </c>
      <c r="J5375" s="58" t="inlineStr">
        <is>
          <t>Store</t>
        </is>
      </c>
      <c r="K5375" s="62">
        <f>F5375*(G5375-H5375)</f>
        <v/>
      </c>
      <c r="L5375" s="62">
        <f>K5375-(F5375*I5375)</f>
        <v/>
      </c>
      <c r="M5375" s="64">
        <f>L5375/K5375</f>
        <v/>
      </c>
    </row>
    <row r="5376">
      <c r="A5376" s="58" t="inlineStr">
        <is>
          <t>RT20250517-05375</t>
        </is>
      </c>
      <c r="B5376" s="59" t="inlineStr">
        <is>
          <t>2025-05-17</t>
        </is>
      </c>
      <c r="C5376" s="60" t="inlineStr">
        <is>
          <t>Aurora Printer Plus-723</t>
        </is>
      </c>
      <c r="D5376" s="58" t="inlineStr">
        <is>
          <t>Office</t>
        </is>
      </c>
      <c r="E5376" s="58" t="inlineStr">
        <is>
          <t>East</t>
        </is>
      </c>
      <c r="F5376" s="61" t="n">
        <v>3</v>
      </c>
      <c r="G5376" s="62" t="n">
        <v>261.47</v>
      </c>
      <c r="H5376" s="63" t="n">
        <v>0.09</v>
      </c>
      <c r="I5376" s="62" t="n">
        <v>190.8</v>
      </c>
      <c r="J5376" s="58" t="inlineStr">
        <is>
          <t>Online</t>
        </is>
      </c>
      <c r="K5376" s="62">
        <f>F5376*(G5376-H5376)</f>
        <v/>
      </c>
      <c r="L5376" s="62">
        <f>K5376-(F5376*I5376)</f>
        <v/>
      </c>
      <c r="M5376" s="64">
        <f>L5376/K5376</f>
        <v/>
      </c>
    </row>
    <row r="5377">
      <c r="A5377" s="58" t="inlineStr">
        <is>
          <t>RT20250517-05376</t>
        </is>
      </c>
      <c r="B5377" s="59" t="inlineStr">
        <is>
          <t>2025-05-17</t>
        </is>
      </c>
      <c r="C5377" s="60" t="inlineStr">
        <is>
          <t>Orion Laptop S-350</t>
        </is>
      </c>
      <c r="D5377" s="58" t="inlineStr">
        <is>
          <t>Electronics</t>
        </is>
      </c>
      <c r="E5377" s="58" t="inlineStr">
        <is>
          <t>South</t>
        </is>
      </c>
      <c r="F5377" s="61" t="n">
        <v>2</v>
      </c>
      <c r="G5377" s="62" t="n">
        <v>1554.98</v>
      </c>
      <c r="H5377" s="63" t="n">
        <v>0.07000000000000001</v>
      </c>
      <c r="I5377" s="62" t="n">
        <v>1058.3</v>
      </c>
      <c r="J5377" s="58" t="inlineStr">
        <is>
          <t>Phone</t>
        </is>
      </c>
      <c r="K5377" s="62">
        <f>F5377*(G5377-H5377)</f>
        <v/>
      </c>
      <c r="L5377" s="62">
        <f>K5377-(F5377*I5377)</f>
        <v/>
      </c>
      <c r="M5377" s="64">
        <f>L5377/K5377</f>
        <v/>
      </c>
    </row>
    <row r="5378">
      <c r="A5378" s="58" t="inlineStr">
        <is>
          <t>RT20250517-05377</t>
        </is>
      </c>
      <c r="B5378" s="59" t="inlineStr">
        <is>
          <t>2025-05-17</t>
        </is>
      </c>
      <c r="C5378" s="60" t="inlineStr">
        <is>
          <t>Falcon Haircare Pro-980</t>
        </is>
      </c>
      <c r="D5378" s="58" t="inlineStr">
        <is>
          <t>Beauty</t>
        </is>
      </c>
      <c r="E5378" s="58" t="inlineStr">
        <is>
          <t>Central</t>
        </is>
      </c>
      <c r="F5378" s="61" t="n">
        <v>1</v>
      </c>
      <c r="G5378" s="62" t="n">
        <v>93.19</v>
      </c>
      <c r="H5378" s="63" t="n">
        <v>0.101</v>
      </c>
      <c r="I5378" s="62" t="n">
        <v>56.53</v>
      </c>
      <c r="J5378" s="58" t="inlineStr">
        <is>
          <t>Store</t>
        </is>
      </c>
      <c r="K5378" s="62">
        <f>F5378*(G5378-H5378)</f>
        <v/>
      </c>
      <c r="L5378" s="62">
        <f>K5378-(F5378*I5378)</f>
        <v/>
      </c>
      <c r="M5378" s="64">
        <f>L5378/K5378</f>
        <v/>
      </c>
    </row>
    <row r="5379">
      <c r="A5379" s="58" t="inlineStr">
        <is>
          <t>RT20250517-05378</t>
        </is>
      </c>
      <c r="B5379" s="59" t="inlineStr">
        <is>
          <t>2025-05-17</t>
        </is>
      </c>
      <c r="C5379" s="60" t="inlineStr">
        <is>
          <t>Aurora Skincare Max-798</t>
        </is>
      </c>
      <c r="D5379" s="58" t="inlineStr">
        <is>
          <t>Beauty</t>
        </is>
      </c>
      <c r="E5379" s="58" t="inlineStr">
        <is>
          <t>West</t>
        </is>
      </c>
      <c r="F5379" s="61" t="n">
        <v>3</v>
      </c>
      <c r="G5379" s="62" t="n">
        <v>103.73</v>
      </c>
      <c r="H5379" s="63" t="n">
        <v>0.041</v>
      </c>
      <c r="I5379" s="62" t="n">
        <v>70.47</v>
      </c>
      <c r="J5379" s="58" t="inlineStr">
        <is>
          <t>Online</t>
        </is>
      </c>
      <c r="K5379" s="62">
        <f>F5379*(G5379-H5379)</f>
        <v/>
      </c>
      <c r="L5379" s="62">
        <f>K5379-(F5379*I5379)</f>
        <v/>
      </c>
      <c r="M5379" s="64">
        <f>L5379/K5379</f>
        <v/>
      </c>
    </row>
    <row r="5380">
      <c r="A5380" s="58" t="inlineStr">
        <is>
          <t>RT20250517-05379</t>
        </is>
      </c>
      <c r="B5380" s="59" t="inlineStr">
        <is>
          <t>2025-05-17</t>
        </is>
      </c>
      <c r="C5380" s="60" t="inlineStr">
        <is>
          <t>Polar Women S-662</t>
        </is>
      </c>
      <c r="D5380" s="58" t="inlineStr">
        <is>
          <t>Apparel</t>
        </is>
      </c>
      <c r="E5380" s="58" t="inlineStr">
        <is>
          <t>South</t>
        </is>
      </c>
      <c r="F5380" s="61" t="n">
        <v>4</v>
      </c>
      <c r="G5380" s="62" t="n">
        <v>160.92</v>
      </c>
      <c r="H5380" s="63" t="n">
        <v>0.054</v>
      </c>
      <c r="I5380" s="62" t="n">
        <v>98.84999999999999</v>
      </c>
      <c r="J5380" s="58" t="inlineStr">
        <is>
          <t>Online</t>
        </is>
      </c>
      <c r="K5380" s="62">
        <f>F5380*(G5380-H5380)</f>
        <v/>
      </c>
      <c r="L5380" s="62">
        <f>K5380-(F5380*I5380)</f>
        <v/>
      </c>
      <c r="M5380" s="64">
        <f>L5380/K5380</f>
        <v/>
      </c>
    </row>
    <row r="5381">
      <c r="A5381" s="58" t="inlineStr">
        <is>
          <t>RT20250517-05380</t>
        </is>
      </c>
      <c r="B5381" s="59" t="inlineStr">
        <is>
          <t>2025-05-17</t>
        </is>
      </c>
      <c r="C5381" s="60" t="inlineStr">
        <is>
          <t>Aurora Haircare S-975</t>
        </is>
      </c>
      <c r="D5381" s="58" t="inlineStr">
        <is>
          <t>Beauty</t>
        </is>
      </c>
      <c r="E5381" s="58" t="inlineStr">
        <is>
          <t>West</t>
        </is>
      </c>
      <c r="F5381" s="61" t="n">
        <v>4</v>
      </c>
      <c r="G5381" s="62" t="n">
        <v>92.81999999999999</v>
      </c>
      <c r="H5381" s="63" t="n">
        <v>0.07099999999999999</v>
      </c>
      <c r="I5381" s="62" t="n">
        <v>59.25</v>
      </c>
      <c r="J5381" s="58" t="inlineStr">
        <is>
          <t>Online</t>
        </is>
      </c>
      <c r="K5381" s="62">
        <f>F5381*(G5381-H5381)</f>
        <v/>
      </c>
      <c r="L5381" s="62">
        <f>K5381-(F5381*I5381)</f>
        <v/>
      </c>
      <c r="M5381" s="64">
        <f>L5381/K5381</f>
        <v/>
      </c>
    </row>
    <row r="5382">
      <c r="A5382" s="58" t="inlineStr">
        <is>
          <t>RT20250517-05381</t>
        </is>
      </c>
      <c r="B5382" s="59" t="inlineStr">
        <is>
          <t>2025-05-17</t>
        </is>
      </c>
      <c r="C5382" s="60" t="inlineStr">
        <is>
          <t>Nimbus Fitnes Lite-516</t>
        </is>
      </c>
      <c r="D5382" s="58" t="inlineStr">
        <is>
          <t>Sports</t>
        </is>
      </c>
      <c r="E5382" s="58" t="inlineStr">
        <is>
          <t>Central</t>
        </is>
      </c>
      <c r="F5382" s="61" t="n">
        <v>1</v>
      </c>
      <c r="G5382" s="62" t="n">
        <v>777.6900000000001</v>
      </c>
      <c r="H5382" s="63" t="n">
        <v>0.08699999999999999</v>
      </c>
      <c r="I5382" s="62" t="n">
        <v>480.31</v>
      </c>
      <c r="J5382" s="58" t="inlineStr">
        <is>
          <t>Online</t>
        </is>
      </c>
      <c r="K5382" s="62">
        <f>F5382*(G5382-H5382)</f>
        <v/>
      </c>
      <c r="L5382" s="62">
        <f>K5382-(F5382*I5382)</f>
        <v/>
      </c>
      <c r="M5382" s="64">
        <f>L5382/K5382</f>
        <v/>
      </c>
    </row>
    <row r="5383">
      <c r="A5383" s="58" t="inlineStr">
        <is>
          <t>RT20250517-05382</t>
        </is>
      </c>
      <c r="B5383" s="59" t="inlineStr">
        <is>
          <t>2025-05-17</t>
        </is>
      </c>
      <c r="C5383" s="60" t="inlineStr">
        <is>
          <t>Polar Laptop Plus-984</t>
        </is>
      </c>
      <c r="D5383" s="58" t="inlineStr">
        <is>
          <t>Electronics</t>
        </is>
      </c>
      <c r="E5383" s="58" t="inlineStr">
        <is>
          <t>Central</t>
        </is>
      </c>
      <c r="F5383" s="61" t="n">
        <v>2</v>
      </c>
      <c r="G5383" s="62" t="n">
        <v>1058.3</v>
      </c>
      <c r="H5383" s="63" t="n">
        <v>0.105</v>
      </c>
      <c r="I5383" s="62" t="n">
        <v>919.59</v>
      </c>
      <c r="J5383" s="58" t="inlineStr">
        <is>
          <t>Online</t>
        </is>
      </c>
      <c r="K5383" s="62">
        <f>F5383*(G5383-H5383)</f>
        <v/>
      </c>
      <c r="L5383" s="62">
        <f>K5383-(F5383*I5383)</f>
        <v/>
      </c>
      <c r="M5383" s="64">
        <f>L5383/K5383</f>
        <v/>
      </c>
    </row>
    <row r="5384">
      <c r="A5384" s="58" t="inlineStr">
        <is>
          <t>RT20250517-05383</t>
        </is>
      </c>
      <c r="B5384" s="59" t="inlineStr">
        <is>
          <t>2025-05-17</t>
        </is>
      </c>
      <c r="C5384" s="60" t="inlineStr">
        <is>
          <t>Aurora Printer Plus-723</t>
        </is>
      </c>
      <c r="D5384" s="58" t="inlineStr">
        <is>
          <t>Office</t>
        </is>
      </c>
      <c r="E5384" s="58" t="inlineStr">
        <is>
          <t>West</t>
        </is>
      </c>
      <c r="F5384" s="61" t="n">
        <v>3</v>
      </c>
      <c r="G5384" s="62" t="n">
        <v>274.47</v>
      </c>
      <c r="H5384" s="63" t="n">
        <v>0.073</v>
      </c>
      <c r="I5384" s="62" t="n">
        <v>192.83</v>
      </c>
      <c r="J5384" s="58" t="inlineStr">
        <is>
          <t>Online</t>
        </is>
      </c>
      <c r="K5384" s="62">
        <f>F5384*(G5384-H5384)</f>
        <v/>
      </c>
      <c r="L5384" s="62">
        <f>K5384-(F5384*I5384)</f>
        <v/>
      </c>
      <c r="M5384" s="64">
        <f>L5384/K5384</f>
        <v/>
      </c>
    </row>
    <row r="5385">
      <c r="A5385" s="58" t="inlineStr">
        <is>
          <t>RT20250517-05384</t>
        </is>
      </c>
      <c r="B5385" s="59" t="inlineStr">
        <is>
          <t>2025-05-17</t>
        </is>
      </c>
      <c r="C5385" s="60" t="inlineStr">
        <is>
          <t>Aurora Kid Plus-151</t>
        </is>
      </c>
      <c r="D5385" s="58" t="inlineStr">
        <is>
          <t>Apparel</t>
        </is>
      </c>
      <c r="E5385" s="58" t="inlineStr">
        <is>
          <t>South</t>
        </is>
      </c>
      <c r="F5385" s="61" t="n">
        <v>3</v>
      </c>
      <c r="G5385" s="62" t="n">
        <v>104.88</v>
      </c>
      <c r="H5385" s="63" t="n">
        <v>0.068</v>
      </c>
      <c r="I5385" s="62" t="n">
        <v>66.18000000000001</v>
      </c>
      <c r="J5385" s="58" t="inlineStr">
        <is>
          <t>Online</t>
        </is>
      </c>
      <c r="K5385" s="62">
        <f>F5385*(G5385-H5385)</f>
        <v/>
      </c>
      <c r="L5385" s="62">
        <f>K5385-(F5385*I5385)</f>
        <v/>
      </c>
      <c r="M5385" s="64">
        <f>L5385/K5385</f>
        <v/>
      </c>
    </row>
    <row r="5386">
      <c r="A5386" s="58" t="inlineStr">
        <is>
          <t>RT20250517-05385</t>
        </is>
      </c>
      <c r="B5386" s="59" t="inlineStr">
        <is>
          <t>2025-05-17</t>
        </is>
      </c>
      <c r="C5386" s="60" t="inlineStr">
        <is>
          <t>Solace Fitnes S-324</t>
        </is>
      </c>
      <c r="D5386" s="58" t="inlineStr">
        <is>
          <t>Sports</t>
        </is>
      </c>
      <c r="E5386" s="58" t="inlineStr">
        <is>
          <t>South</t>
        </is>
      </c>
      <c r="F5386" s="61" t="n">
        <v>1</v>
      </c>
      <c r="G5386" s="62" t="n">
        <v>776.35</v>
      </c>
      <c r="H5386" s="63" t="n">
        <v>0.035</v>
      </c>
      <c r="I5386" s="62" t="n">
        <v>542.01</v>
      </c>
      <c r="J5386" s="58" t="inlineStr">
        <is>
          <t>Online</t>
        </is>
      </c>
      <c r="K5386" s="62">
        <f>F5386*(G5386-H5386)</f>
        <v/>
      </c>
      <c r="L5386" s="62">
        <f>K5386-(F5386*I5386)</f>
        <v/>
      </c>
      <c r="M5386" s="64">
        <f>L5386/K5386</f>
        <v/>
      </c>
    </row>
    <row r="5387">
      <c r="A5387" s="58" t="inlineStr">
        <is>
          <t>RT20250517-05386</t>
        </is>
      </c>
      <c r="B5387" s="59" t="inlineStr">
        <is>
          <t>2025-05-17</t>
        </is>
      </c>
      <c r="C5387" s="60" t="inlineStr">
        <is>
          <t>Solace Smartphone Lite-533</t>
        </is>
      </c>
      <c r="D5387" s="58" t="inlineStr">
        <is>
          <t>Electronics</t>
        </is>
      </c>
      <c r="E5387" s="58" t="inlineStr">
        <is>
          <t>West</t>
        </is>
      </c>
      <c r="F5387" s="61" t="n">
        <v>2</v>
      </c>
      <c r="G5387" s="62" t="n">
        <v>1224.29</v>
      </c>
      <c r="H5387" s="63" t="n">
        <v>0.117</v>
      </c>
      <c r="I5387" s="62" t="n">
        <v>938.83</v>
      </c>
      <c r="J5387" s="58" t="inlineStr">
        <is>
          <t>Online</t>
        </is>
      </c>
      <c r="K5387" s="62">
        <f>F5387*(G5387-H5387)</f>
        <v/>
      </c>
      <c r="L5387" s="62">
        <f>K5387-(F5387*I5387)</f>
        <v/>
      </c>
      <c r="M5387" s="64">
        <f>L5387/K5387</f>
        <v/>
      </c>
    </row>
    <row r="5388">
      <c r="A5388" s="58" t="inlineStr">
        <is>
          <t>RT20250517-05387</t>
        </is>
      </c>
      <c r="B5388" s="59" t="inlineStr">
        <is>
          <t>2025-05-17</t>
        </is>
      </c>
      <c r="C5388" s="60" t="inlineStr">
        <is>
          <t>Falcon Household Plus-172</t>
        </is>
      </c>
      <c r="D5388" s="58" t="inlineStr">
        <is>
          <t>Grocery</t>
        </is>
      </c>
      <c r="E5388" s="58" t="inlineStr">
        <is>
          <t>South</t>
        </is>
      </c>
      <c r="F5388" s="61" t="n">
        <v>2</v>
      </c>
      <c r="G5388" s="62" t="n">
        <v>19.26</v>
      </c>
      <c r="H5388" s="63" t="n">
        <v>0.083</v>
      </c>
      <c r="I5388" s="62" t="n">
        <v>16.16</v>
      </c>
      <c r="J5388" s="58" t="inlineStr">
        <is>
          <t>Online</t>
        </is>
      </c>
      <c r="K5388" s="62">
        <f>F5388*(G5388-H5388)</f>
        <v/>
      </c>
      <c r="L5388" s="62">
        <f>K5388-(F5388*I5388)</f>
        <v/>
      </c>
      <c r="M5388" s="64">
        <f>L5388/K5388</f>
        <v/>
      </c>
    </row>
    <row r="5389">
      <c r="A5389" s="58" t="inlineStr">
        <is>
          <t>RT20250517-05388</t>
        </is>
      </c>
      <c r="B5389" s="59" t="inlineStr">
        <is>
          <t>2025-05-17</t>
        </is>
      </c>
      <c r="C5389" s="60" t="inlineStr">
        <is>
          <t>Metro Outdoor Plus-787</t>
        </is>
      </c>
      <c r="D5389" s="58" t="inlineStr">
        <is>
          <t>Sports</t>
        </is>
      </c>
      <c r="E5389" s="58" t="inlineStr">
        <is>
          <t>Central</t>
        </is>
      </c>
      <c r="F5389" s="61" t="n">
        <v>2</v>
      </c>
      <c r="G5389" s="62" t="n">
        <v>562.79</v>
      </c>
      <c r="H5389" s="63" t="n">
        <v>0.047</v>
      </c>
      <c r="I5389" s="62" t="n">
        <v>361.65</v>
      </c>
      <c r="J5389" s="58" t="inlineStr">
        <is>
          <t>Store</t>
        </is>
      </c>
      <c r="K5389" s="62">
        <f>F5389*(G5389-H5389)</f>
        <v/>
      </c>
      <c r="L5389" s="62">
        <f>K5389-(F5389*I5389)</f>
        <v/>
      </c>
      <c r="M5389" s="64">
        <f>L5389/K5389</f>
        <v/>
      </c>
    </row>
    <row r="5390">
      <c r="A5390" s="58" t="inlineStr">
        <is>
          <t>RT20250517-05389</t>
        </is>
      </c>
      <c r="B5390" s="59" t="inlineStr">
        <is>
          <t>2025-05-17</t>
        </is>
      </c>
      <c r="C5390" s="60" t="inlineStr">
        <is>
          <t>Polar Cycling X-649</t>
        </is>
      </c>
      <c r="D5390" s="58" t="inlineStr">
        <is>
          <t>Sports</t>
        </is>
      </c>
      <c r="E5390" s="58" t="inlineStr">
        <is>
          <t>East</t>
        </is>
      </c>
      <c r="F5390" s="61" t="n">
        <v>1</v>
      </c>
      <c r="G5390" s="62" t="n">
        <v>583.5700000000001</v>
      </c>
      <c r="H5390" s="63" t="n">
        <v>0.08</v>
      </c>
      <c r="I5390" s="62" t="n">
        <v>368.86</v>
      </c>
      <c r="J5390" s="58" t="inlineStr">
        <is>
          <t>Online</t>
        </is>
      </c>
      <c r="K5390" s="62">
        <f>F5390*(G5390-H5390)</f>
        <v/>
      </c>
      <c r="L5390" s="62">
        <f>K5390-(F5390*I5390)</f>
        <v/>
      </c>
      <c r="M5390" s="64">
        <f>L5390/K5390</f>
        <v/>
      </c>
    </row>
    <row r="5391">
      <c r="A5391" s="58" t="inlineStr">
        <is>
          <t>RT20250517-05390</t>
        </is>
      </c>
      <c r="B5391" s="59" t="inlineStr">
        <is>
          <t>2025-05-17</t>
        </is>
      </c>
      <c r="C5391" s="60" t="inlineStr">
        <is>
          <t>Aurora Printer Plus-991</t>
        </is>
      </c>
      <c r="D5391" s="58" t="inlineStr">
        <is>
          <t>Office</t>
        </is>
      </c>
      <c r="E5391" s="58" t="inlineStr">
        <is>
          <t>South</t>
        </is>
      </c>
      <c r="F5391" s="61" t="n">
        <v>1</v>
      </c>
      <c r="G5391" s="62" t="n">
        <v>570.48</v>
      </c>
      <c r="H5391" s="63" t="n">
        <v>0.07199999999999999</v>
      </c>
      <c r="I5391" s="62" t="n">
        <v>372.54</v>
      </c>
      <c r="J5391" s="58" t="inlineStr">
        <is>
          <t>Store</t>
        </is>
      </c>
      <c r="K5391" s="62">
        <f>F5391*(G5391-H5391)</f>
        <v/>
      </c>
      <c r="L5391" s="62">
        <f>K5391-(F5391*I5391)</f>
        <v/>
      </c>
      <c r="M5391" s="64">
        <f>L5391/K5391</f>
        <v/>
      </c>
    </row>
    <row r="5392">
      <c r="A5392" s="58" t="inlineStr">
        <is>
          <t>RT20250517-05391</t>
        </is>
      </c>
      <c r="B5392" s="59" t="inlineStr">
        <is>
          <t>2025-05-17</t>
        </is>
      </c>
      <c r="C5392" s="60" t="inlineStr">
        <is>
          <t>Solace Headphone Pro-344</t>
        </is>
      </c>
      <c r="D5392" s="58" t="inlineStr">
        <is>
          <t>Electronics</t>
        </is>
      </c>
      <c r="E5392" s="58" t="inlineStr">
        <is>
          <t>East</t>
        </is>
      </c>
      <c r="F5392" s="61" t="n">
        <v>1</v>
      </c>
      <c r="G5392" s="62" t="n">
        <v>1325.87</v>
      </c>
      <c r="H5392" s="63" t="n">
        <v>0.048</v>
      </c>
      <c r="I5392" s="62" t="n">
        <v>1058.96</v>
      </c>
      <c r="J5392" s="58" t="inlineStr">
        <is>
          <t>Online</t>
        </is>
      </c>
      <c r="K5392" s="62">
        <f>F5392*(G5392-H5392)</f>
        <v/>
      </c>
      <c r="L5392" s="62">
        <f>K5392-(F5392*I5392)</f>
        <v/>
      </c>
      <c r="M5392" s="64">
        <f>L5392/K5392</f>
        <v/>
      </c>
    </row>
    <row r="5393">
      <c r="A5393" s="58" t="inlineStr">
        <is>
          <t>RT20250518-05392</t>
        </is>
      </c>
      <c r="B5393" s="59" t="inlineStr">
        <is>
          <t>2025-05-18</t>
        </is>
      </c>
      <c r="C5393" s="60" t="inlineStr">
        <is>
          <t>Metro Printer X-294</t>
        </is>
      </c>
      <c r="D5393" s="58" t="inlineStr">
        <is>
          <t>Office</t>
        </is>
      </c>
      <c r="E5393" s="58" t="inlineStr">
        <is>
          <t>North</t>
        </is>
      </c>
      <c r="F5393" s="61" t="n">
        <v>3</v>
      </c>
      <c r="G5393" s="62" t="n">
        <v>575.74</v>
      </c>
      <c r="H5393" s="63" t="n">
        <v>0.053</v>
      </c>
      <c r="I5393" s="62" t="n">
        <v>410.82</v>
      </c>
      <c r="J5393" s="58" t="inlineStr">
        <is>
          <t>Online</t>
        </is>
      </c>
      <c r="K5393" s="62">
        <f>F5393*(G5393-H5393)</f>
        <v/>
      </c>
      <c r="L5393" s="62">
        <f>K5393-(F5393*I5393)</f>
        <v/>
      </c>
      <c r="M5393" s="64">
        <f>L5393/K5393</f>
        <v/>
      </c>
    </row>
    <row r="5394">
      <c r="A5394" s="58" t="inlineStr">
        <is>
          <t>RT20250518-05393</t>
        </is>
      </c>
      <c r="B5394" s="59" t="inlineStr">
        <is>
          <t>2025-05-18</t>
        </is>
      </c>
      <c r="C5394" s="60" t="inlineStr">
        <is>
          <t>Solace Laptop S-367</t>
        </is>
      </c>
      <c r="D5394" s="58" t="inlineStr">
        <is>
          <t>Electronics</t>
        </is>
      </c>
      <c r="E5394" s="58" t="inlineStr">
        <is>
          <t>West</t>
        </is>
      </c>
      <c r="F5394" s="61" t="n">
        <v>1</v>
      </c>
      <c r="G5394" s="62" t="n">
        <v>2020.37</v>
      </c>
      <c r="H5394" s="63" t="n">
        <v>0.063</v>
      </c>
      <c r="I5394" s="62" t="n">
        <v>1528.64</v>
      </c>
      <c r="J5394" s="58" t="inlineStr">
        <is>
          <t>Store</t>
        </is>
      </c>
      <c r="K5394" s="62">
        <f>F5394*(G5394-H5394)</f>
        <v/>
      </c>
      <c r="L5394" s="62">
        <f>K5394-(F5394*I5394)</f>
        <v/>
      </c>
      <c r="M5394" s="64">
        <f>L5394/K5394</f>
        <v/>
      </c>
    </row>
    <row r="5395">
      <c r="A5395" s="58" t="inlineStr">
        <is>
          <t>RT20250518-05394</t>
        </is>
      </c>
      <c r="B5395" s="59" t="inlineStr">
        <is>
          <t>2025-05-18</t>
        </is>
      </c>
      <c r="C5395" s="60" t="inlineStr">
        <is>
          <t>Metro Accessorie Max-316</t>
        </is>
      </c>
      <c r="D5395" s="58" t="inlineStr">
        <is>
          <t>Apparel</t>
        </is>
      </c>
      <c r="E5395" s="58" t="inlineStr">
        <is>
          <t>West</t>
        </is>
      </c>
      <c r="F5395" s="61" t="n">
        <v>3</v>
      </c>
      <c r="G5395" s="62" t="n">
        <v>164.76</v>
      </c>
      <c r="H5395" s="63" t="n">
        <v>0.058</v>
      </c>
      <c r="I5395" s="62" t="n">
        <v>91.22</v>
      </c>
      <c r="J5395" s="58" t="inlineStr">
        <is>
          <t>Store</t>
        </is>
      </c>
      <c r="K5395" s="62">
        <f>F5395*(G5395-H5395)</f>
        <v/>
      </c>
      <c r="L5395" s="62">
        <f>K5395-(F5395*I5395)</f>
        <v/>
      </c>
      <c r="M5395" s="64">
        <f>L5395/K5395</f>
        <v/>
      </c>
    </row>
    <row r="5396">
      <c r="A5396" s="58" t="inlineStr">
        <is>
          <t>RT20250518-05395</t>
        </is>
      </c>
      <c r="B5396" s="59" t="inlineStr">
        <is>
          <t>2025-05-18</t>
        </is>
      </c>
      <c r="C5396" s="60" t="inlineStr">
        <is>
          <t>Orion Team Sport X-926</t>
        </is>
      </c>
      <c r="D5396" s="58" t="inlineStr">
        <is>
          <t>Sports</t>
        </is>
      </c>
      <c r="E5396" s="58" t="inlineStr">
        <is>
          <t>West</t>
        </is>
      </c>
      <c r="F5396" s="61" t="n">
        <v>3</v>
      </c>
      <c r="G5396" s="62" t="n">
        <v>280.75</v>
      </c>
      <c r="H5396" s="63" t="n">
        <v>0.068</v>
      </c>
      <c r="I5396" s="62" t="n">
        <v>212.78</v>
      </c>
      <c r="J5396" s="58" t="inlineStr">
        <is>
          <t>Online</t>
        </is>
      </c>
      <c r="K5396" s="62">
        <f>F5396*(G5396-H5396)</f>
        <v/>
      </c>
      <c r="L5396" s="62">
        <f>K5396-(F5396*I5396)</f>
        <v/>
      </c>
      <c r="M5396" s="64">
        <f>L5396/K5396</f>
        <v/>
      </c>
    </row>
    <row r="5397">
      <c r="A5397" s="58" t="inlineStr">
        <is>
          <t>RT20250518-05396</t>
        </is>
      </c>
      <c r="B5397" s="59" t="inlineStr">
        <is>
          <t>2025-05-18</t>
        </is>
      </c>
      <c r="C5397" s="60" t="inlineStr">
        <is>
          <t>Aurora Appliance Max-316</t>
        </is>
      </c>
      <c r="D5397" s="58" t="inlineStr">
        <is>
          <t>Home</t>
        </is>
      </c>
      <c r="E5397" s="58" t="inlineStr">
        <is>
          <t>East</t>
        </is>
      </c>
      <c r="F5397" s="61" t="n">
        <v>3</v>
      </c>
      <c r="G5397" s="62" t="n">
        <v>336.39</v>
      </c>
      <c r="H5397" s="63" t="n">
        <v>0.059</v>
      </c>
      <c r="I5397" s="62" t="n">
        <v>211.45</v>
      </c>
      <c r="J5397" s="58" t="inlineStr">
        <is>
          <t>Store</t>
        </is>
      </c>
      <c r="K5397" s="62">
        <f>F5397*(G5397-H5397)</f>
        <v/>
      </c>
      <c r="L5397" s="62">
        <f>K5397-(F5397*I5397)</f>
        <v/>
      </c>
      <c r="M5397" s="64">
        <f>L5397/K5397</f>
        <v/>
      </c>
    </row>
    <row r="5398">
      <c r="A5398" s="58" t="inlineStr">
        <is>
          <t>RT20250518-05397</t>
        </is>
      </c>
      <c r="B5398" s="59" t="inlineStr">
        <is>
          <t>2025-05-18</t>
        </is>
      </c>
      <c r="C5398" s="60" t="inlineStr">
        <is>
          <t>Metro Wearable Plus-234</t>
        </is>
      </c>
      <c r="D5398" s="58" t="inlineStr">
        <is>
          <t>Electronics</t>
        </is>
      </c>
      <c r="E5398" s="58" t="inlineStr">
        <is>
          <t>South</t>
        </is>
      </c>
      <c r="F5398" s="61" t="n">
        <v>1</v>
      </c>
      <c r="G5398" s="62" t="n">
        <v>1195.01</v>
      </c>
      <c r="H5398" s="63" t="n">
        <v>0.07199999999999999</v>
      </c>
      <c r="I5398" s="62" t="n">
        <v>1076.67</v>
      </c>
      <c r="J5398" s="58" t="inlineStr">
        <is>
          <t>Store</t>
        </is>
      </c>
      <c r="K5398" s="62">
        <f>F5398*(G5398-H5398)</f>
        <v/>
      </c>
      <c r="L5398" s="62">
        <f>K5398-(F5398*I5398)</f>
        <v/>
      </c>
      <c r="M5398" s="64">
        <f>L5398/K5398</f>
        <v/>
      </c>
    </row>
    <row r="5399">
      <c r="A5399" s="58" t="inlineStr">
        <is>
          <t>RT20250518-05398</t>
        </is>
      </c>
      <c r="B5399" s="59" t="inlineStr">
        <is>
          <t>2025-05-18</t>
        </is>
      </c>
      <c r="C5399" s="60" t="inlineStr">
        <is>
          <t>Vertex Men X-995</t>
        </is>
      </c>
      <c r="D5399" s="58" t="inlineStr">
        <is>
          <t>Apparel</t>
        </is>
      </c>
      <c r="E5399" s="58" t="inlineStr">
        <is>
          <t>West</t>
        </is>
      </c>
      <c r="F5399" s="61" t="n">
        <v>3</v>
      </c>
      <c r="G5399" s="62" t="n">
        <v>107.74</v>
      </c>
      <c r="H5399" s="63" t="n">
        <v>0.043</v>
      </c>
      <c r="I5399" s="62" t="n">
        <v>59.42</v>
      </c>
      <c r="J5399" s="58" t="inlineStr">
        <is>
          <t>Online</t>
        </is>
      </c>
      <c r="K5399" s="62">
        <f>F5399*(G5399-H5399)</f>
        <v/>
      </c>
      <c r="L5399" s="62">
        <f>K5399-(F5399*I5399)</f>
        <v/>
      </c>
      <c r="M5399" s="64">
        <f>L5399/K5399</f>
        <v/>
      </c>
    </row>
    <row r="5400">
      <c r="A5400" s="58" t="inlineStr">
        <is>
          <t>RT20250518-05399</t>
        </is>
      </c>
      <c r="B5400" s="59" t="inlineStr">
        <is>
          <t>2025-05-18</t>
        </is>
      </c>
      <c r="C5400" s="60" t="inlineStr">
        <is>
          <t>Aurora Makeup S-626</t>
        </is>
      </c>
      <c r="D5400" s="58" t="inlineStr">
        <is>
          <t>Beauty</t>
        </is>
      </c>
      <c r="E5400" s="58" t="inlineStr">
        <is>
          <t>West</t>
        </is>
      </c>
      <c r="F5400" s="61" t="n">
        <v>4</v>
      </c>
      <c r="G5400" s="62" t="n">
        <v>94.72</v>
      </c>
      <c r="H5400" s="63" t="n">
        <v>0.049</v>
      </c>
      <c r="I5400" s="62" t="n">
        <v>65.29000000000001</v>
      </c>
      <c r="J5400" s="58" t="inlineStr">
        <is>
          <t>Store</t>
        </is>
      </c>
      <c r="K5400" s="62">
        <f>F5400*(G5400-H5400)</f>
        <v/>
      </c>
      <c r="L5400" s="62">
        <f>K5400-(F5400*I5400)</f>
        <v/>
      </c>
      <c r="M5400" s="64">
        <f>L5400/K5400</f>
        <v/>
      </c>
    </row>
    <row r="5401">
      <c r="A5401" s="58" t="inlineStr">
        <is>
          <t>RT20250518-05400</t>
        </is>
      </c>
      <c r="B5401" s="59" t="inlineStr">
        <is>
          <t>2025-05-18</t>
        </is>
      </c>
      <c r="C5401" s="60" t="inlineStr">
        <is>
          <t>Orion Snack X-322</t>
        </is>
      </c>
      <c r="D5401" s="58" t="inlineStr">
        <is>
          <t>Grocery</t>
        </is>
      </c>
      <c r="E5401" s="58" t="inlineStr">
        <is>
          <t>West</t>
        </is>
      </c>
      <c r="F5401" s="61" t="n">
        <v>7</v>
      </c>
      <c r="G5401" s="62" t="n">
        <v>12.64</v>
      </c>
      <c r="H5401" s="63" t="n">
        <v>0.006</v>
      </c>
      <c r="I5401" s="62" t="n">
        <v>10.04</v>
      </c>
      <c r="J5401" s="58" t="inlineStr">
        <is>
          <t>Online</t>
        </is>
      </c>
      <c r="K5401" s="62">
        <f>F5401*(G5401-H5401)</f>
        <v/>
      </c>
      <c r="L5401" s="62">
        <f>K5401-(F5401*I5401)</f>
        <v/>
      </c>
      <c r="M5401" s="64">
        <f>L5401/K5401</f>
        <v/>
      </c>
    </row>
    <row r="5402">
      <c r="A5402" s="58" t="inlineStr">
        <is>
          <t>RT20250518-05401</t>
        </is>
      </c>
      <c r="B5402" s="59" t="inlineStr">
        <is>
          <t>2025-05-18</t>
        </is>
      </c>
      <c r="C5402" s="60" t="inlineStr">
        <is>
          <t>Vertex Smartphone Lite-267</t>
        </is>
      </c>
      <c r="D5402" s="58" t="inlineStr">
        <is>
          <t>Electronics</t>
        </is>
      </c>
      <c r="E5402" s="58" t="inlineStr">
        <is>
          <t>South</t>
        </is>
      </c>
      <c r="F5402" s="61" t="n">
        <v>1</v>
      </c>
      <c r="G5402" s="62" t="n">
        <v>1212.51</v>
      </c>
      <c r="H5402" s="63" t="n">
        <v>0.045</v>
      </c>
      <c r="I5402" s="62" t="n">
        <v>957.23</v>
      </c>
      <c r="J5402" s="58" t="inlineStr">
        <is>
          <t>Online</t>
        </is>
      </c>
      <c r="K5402" s="62">
        <f>F5402*(G5402-H5402)</f>
        <v/>
      </c>
      <c r="L5402" s="62">
        <f>K5402-(F5402*I5402)</f>
        <v/>
      </c>
      <c r="M5402" s="64">
        <f>L5402/K5402</f>
        <v/>
      </c>
    </row>
    <row r="5403">
      <c r="A5403" s="58" t="inlineStr">
        <is>
          <t>RT20250518-05402</t>
        </is>
      </c>
      <c r="B5403" s="59" t="inlineStr">
        <is>
          <t>2025-05-18</t>
        </is>
      </c>
      <c r="C5403" s="60" t="inlineStr">
        <is>
          <t>Falcon Team Sport Lite-268</t>
        </is>
      </c>
      <c r="D5403" s="58" t="inlineStr">
        <is>
          <t>Sports</t>
        </is>
      </c>
      <c r="E5403" s="58" t="inlineStr">
        <is>
          <t>South</t>
        </is>
      </c>
      <c r="F5403" s="61" t="n">
        <v>3</v>
      </c>
      <c r="G5403" s="62" t="n">
        <v>645.49</v>
      </c>
      <c r="H5403" s="63" t="n">
        <v>0</v>
      </c>
      <c r="I5403" s="62" t="n">
        <v>421.14</v>
      </c>
      <c r="J5403" s="58" t="inlineStr">
        <is>
          <t>Online</t>
        </is>
      </c>
      <c r="K5403" s="62">
        <f>F5403*(G5403-H5403)</f>
        <v/>
      </c>
      <c r="L5403" s="62">
        <f>K5403-(F5403*I5403)</f>
        <v/>
      </c>
      <c r="M5403" s="64">
        <f>L5403/K5403</f>
        <v/>
      </c>
    </row>
    <row r="5404">
      <c r="A5404" s="58" t="inlineStr">
        <is>
          <t>RT20250518-05403</t>
        </is>
      </c>
      <c r="B5404" s="59" t="inlineStr">
        <is>
          <t>2025-05-18</t>
        </is>
      </c>
      <c r="C5404" s="60" t="inlineStr">
        <is>
          <t>Vertex Headphone Pro-801</t>
        </is>
      </c>
      <c r="D5404" s="58" t="inlineStr">
        <is>
          <t>Electronics</t>
        </is>
      </c>
      <c r="E5404" s="58" t="inlineStr">
        <is>
          <t>West</t>
        </is>
      </c>
      <c r="F5404" s="61" t="n">
        <v>1</v>
      </c>
      <c r="G5404" s="62" t="n">
        <v>1296.34</v>
      </c>
      <c r="H5404" s="63" t="n">
        <v>0.103</v>
      </c>
      <c r="I5404" s="62" t="n">
        <v>965.51</v>
      </c>
      <c r="J5404" s="58" t="inlineStr">
        <is>
          <t>Online</t>
        </is>
      </c>
      <c r="K5404" s="62">
        <f>F5404*(G5404-H5404)</f>
        <v/>
      </c>
      <c r="L5404" s="62">
        <f>K5404-(F5404*I5404)</f>
        <v/>
      </c>
      <c r="M5404" s="64">
        <f>L5404/K5404</f>
        <v/>
      </c>
    </row>
    <row r="5405">
      <c r="A5405" s="58" t="inlineStr">
        <is>
          <t>RT20250518-05404</t>
        </is>
      </c>
      <c r="B5405" s="59" t="inlineStr">
        <is>
          <t>2025-05-18</t>
        </is>
      </c>
      <c r="C5405" s="60" t="inlineStr">
        <is>
          <t>Orion Kid Max-640</t>
        </is>
      </c>
      <c r="D5405" s="58" t="inlineStr">
        <is>
          <t>Apparel</t>
        </is>
      </c>
      <c r="E5405" s="58" t="inlineStr">
        <is>
          <t>West</t>
        </is>
      </c>
      <c r="F5405" s="61" t="n">
        <v>2</v>
      </c>
      <c r="G5405" s="62" t="n">
        <v>123.62</v>
      </c>
      <c r="H5405" s="63" t="n">
        <v>0.061</v>
      </c>
      <c r="I5405" s="62" t="n">
        <v>68.3</v>
      </c>
      <c r="J5405" s="58" t="inlineStr">
        <is>
          <t>Online</t>
        </is>
      </c>
      <c r="K5405" s="62">
        <f>F5405*(G5405-H5405)</f>
        <v/>
      </c>
      <c r="L5405" s="62">
        <f>K5405-(F5405*I5405)</f>
        <v/>
      </c>
      <c r="M5405" s="64">
        <f>L5405/K5405</f>
        <v/>
      </c>
    </row>
    <row r="5406">
      <c r="A5406" s="58" t="inlineStr">
        <is>
          <t>RT20250518-05405</t>
        </is>
      </c>
      <c r="B5406" s="59" t="inlineStr">
        <is>
          <t>2025-05-18</t>
        </is>
      </c>
      <c r="C5406" s="60" t="inlineStr">
        <is>
          <t>Solace Kitchen X-919</t>
        </is>
      </c>
      <c r="D5406" s="58" t="inlineStr">
        <is>
          <t>Home</t>
        </is>
      </c>
      <c r="E5406" s="58" t="inlineStr">
        <is>
          <t>East</t>
        </is>
      </c>
      <c r="F5406" s="61" t="n">
        <v>2</v>
      </c>
      <c r="G5406" s="62" t="n">
        <v>414.46</v>
      </c>
      <c r="H5406" s="63" t="n">
        <v>0.057</v>
      </c>
      <c r="I5406" s="62" t="n">
        <v>257.27</v>
      </c>
      <c r="J5406" s="58" t="inlineStr">
        <is>
          <t>Store</t>
        </is>
      </c>
      <c r="K5406" s="62">
        <f>F5406*(G5406-H5406)</f>
        <v/>
      </c>
      <c r="L5406" s="62">
        <f>K5406-(F5406*I5406)</f>
        <v/>
      </c>
      <c r="M5406" s="64">
        <f>L5406/K5406</f>
        <v/>
      </c>
    </row>
    <row r="5407">
      <c r="A5407" s="58" t="inlineStr">
        <is>
          <t>RT20250518-05406</t>
        </is>
      </c>
      <c r="B5407" s="59" t="inlineStr">
        <is>
          <t>2025-05-18</t>
        </is>
      </c>
      <c r="C5407" s="60" t="inlineStr">
        <is>
          <t>Falcon Skincare X-334</t>
        </is>
      </c>
      <c r="D5407" s="58" t="inlineStr">
        <is>
          <t>Beauty</t>
        </is>
      </c>
      <c r="E5407" s="58" t="inlineStr">
        <is>
          <t>West</t>
        </is>
      </c>
      <c r="F5407" s="61" t="n">
        <v>4</v>
      </c>
      <c r="G5407" s="62" t="n">
        <v>111.92</v>
      </c>
      <c r="H5407" s="63" t="n">
        <v>0.08</v>
      </c>
      <c r="I5407" s="62" t="n">
        <v>62.74</v>
      </c>
      <c r="J5407" s="58" t="inlineStr">
        <is>
          <t>Store</t>
        </is>
      </c>
      <c r="K5407" s="62">
        <f>F5407*(G5407-H5407)</f>
        <v/>
      </c>
      <c r="L5407" s="62">
        <f>K5407-(F5407*I5407)</f>
        <v/>
      </c>
      <c r="M5407" s="64">
        <f>L5407/K5407</f>
        <v/>
      </c>
    </row>
    <row r="5408">
      <c r="A5408" s="58" t="inlineStr">
        <is>
          <t>RT20250518-05407</t>
        </is>
      </c>
      <c r="B5408" s="59" t="inlineStr">
        <is>
          <t>2025-05-18</t>
        </is>
      </c>
      <c r="C5408" s="60" t="inlineStr">
        <is>
          <t>Nimbus Cycling Plus-911</t>
        </is>
      </c>
      <c r="D5408" s="58" t="inlineStr">
        <is>
          <t>Sports</t>
        </is>
      </c>
      <c r="E5408" s="58" t="inlineStr">
        <is>
          <t>South</t>
        </is>
      </c>
      <c r="F5408" s="61" t="n">
        <v>1</v>
      </c>
      <c r="G5408" s="62" t="n">
        <v>590.48</v>
      </c>
      <c r="H5408" s="63" t="n">
        <v>0.03</v>
      </c>
      <c r="I5408" s="62" t="n">
        <v>406.43</v>
      </c>
      <c r="J5408" s="58" t="inlineStr">
        <is>
          <t>Online</t>
        </is>
      </c>
      <c r="K5408" s="62">
        <f>F5408*(G5408-H5408)</f>
        <v/>
      </c>
      <c r="L5408" s="62">
        <f>K5408-(F5408*I5408)</f>
        <v/>
      </c>
      <c r="M5408" s="64">
        <f>L5408/K5408</f>
        <v/>
      </c>
    </row>
    <row r="5409">
      <c r="A5409" s="58" t="inlineStr">
        <is>
          <t>RT20250518-05408</t>
        </is>
      </c>
      <c r="B5409" s="59" t="inlineStr">
        <is>
          <t>2025-05-18</t>
        </is>
      </c>
      <c r="C5409" s="60" t="inlineStr">
        <is>
          <t>Metro Pantry Max-180</t>
        </is>
      </c>
      <c r="D5409" s="58" t="inlineStr">
        <is>
          <t>Grocery</t>
        </is>
      </c>
      <c r="E5409" s="58" t="inlineStr">
        <is>
          <t>Central</t>
        </is>
      </c>
      <c r="F5409" s="61" t="n">
        <v>3</v>
      </c>
      <c r="G5409" s="62" t="n">
        <v>9.58</v>
      </c>
      <c r="H5409" s="63" t="n">
        <v>0.024</v>
      </c>
      <c r="I5409" s="62" t="n">
        <v>6.64</v>
      </c>
      <c r="J5409" s="58" t="inlineStr">
        <is>
          <t>Store</t>
        </is>
      </c>
      <c r="K5409" s="62">
        <f>F5409*(G5409-H5409)</f>
        <v/>
      </c>
      <c r="L5409" s="62">
        <f>K5409-(F5409*I5409)</f>
        <v/>
      </c>
      <c r="M5409" s="64">
        <f>L5409/K5409</f>
        <v/>
      </c>
    </row>
    <row r="5410">
      <c r="A5410" s="58" t="inlineStr">
        <is>
          <t>RT20250518-05409</t>
        </is>
      </c>
      <c r="B5410" s="59" t="inlineStr">
        <is>
          <t>2025-05-18</t>
        </is>
      </c>
      <c r="C5410" s="60" t="inlineStr">
        <is>
          <t>Nimbus Makeup Max-158</t>
        </is>
      </c>
      <c r="D5410" s="58" t="inlineStr">
        <is>
          <t>Beauty</t>
        </is>
      </c>
      <c r="E5410" s="58" t="inlineStr">
        <is>
          <t>East</t>
        </is>
      </c>
      <c r="F5410" s="61" t="n">
        <v>1</v>
      </c>
      <c r="G5410" s="62" t="n">
        <v>157.3</v>
      </c>
      <c r="H5410" s="63" t="n">
        <v>0.106</v>
      </c>
      <c r="I5410" s="62" t="n">
        <v>96.65000000000001</v>
      </c>
      <c r="J5410" s="58" t="inlineStr">
        <is>
          <t>Store</t>
        </is>
      </c>
      <c r="K5410" s="62">
        <f>F5410*(G5410-H5410)</f>
        <v/>
      </c>
      <c r="L5410" s="62">
        <f>K5410-(F5410*I5410)</f>
        <v/>
      </c>
      <c r="M5410" s="64">
        <f>L5410/K5410</f>
        <v/>
      </c>
    </row>
    <row r="5411">
      <c r="A5411" s="58" t="inlineStr">
        <is>
          <t>RT20250518-05410</t>
        </is>
      </c>
      <c r="B5411" s="59" t="inlineStr">
        <is>
          <t>2025-05-18</t>
        </is>
      </c>
      <c r="C5411" s="60" t="inlineStr">
        <is>
          <t>Polar Fragrance Pro-750</t>
        </is>
      </c>
      <c r="D5411" s="58" t="inlineStr">
        <is>
          <t>Beauty</t>
        </is>
      </c>
      <c r="E5411" s="58" t="inlineStr">
        <is>
          <t>South</t>
        </is>
      </c>
      <c r="F5411" s="61" t="n">
        <v>4</v>
      </c>
      <c r="G5411" s="62" t="n">
        <v>67.34</v>
      </c>
      <c r="H5411" s="63" t="n">
        <v>0.075</v>
      </c>
      <c r="I5411" s="62" t="n">
        <v>36.16</v>
      </c>
      <c r="J5411" s="58" t="inlineStr">
        <is>
          <t>Store</t>
        </is>
      </c>
      <c r="K5411" s="62">
        <f>F5411*(G5411-H5411)</f>
        <v/>
      </c>
      <c r="L5411" s="62">
        <f>K5411-(F5411*I5411)</f>
        <v/>
      </c>
      <c r="M5411" s="64">
        <f>L5411/K5411</f>
        <v/>
      </c>
    </row>
    <row r="5412">
      <c r="A5412" s="58" t="inlineStr">
        <is>
          <t>RT20250518-05411</t>
        </is>
      </c>
      <c r="B5412" s="59" t="inlineStr">
        <is>
          <t>2025-05-18</t>
        </is>
      </c>
      <c r="C5412" s="60" t="inlineStr">
        <is>
          <t>Nimbus Men Plus-231</t>
        </is>
      </c>
      <c r="D5412" s="58" t="inlineStr">
        <is>
          <t>Apparel</t>
        </is>
      </c>
      <c r="E5412" s="58" t="inlineStr">
        <is>
          <t>North</t>
        </is>
      </c>
      <c r="F5412" s="61" t="n">
        <v>3</v>
      </c>
      <c r="G5412" s="62" t="n">
        <v>172.8</v>
      </c>
      <c r="H5412" s="63" t="n">
        <v>0.012</v>
      </c>
      <c r="I5412" s="62" t="n">
        <v>88.23999999999999</v>
      </c>
      <c r="J5412" s="58" t="inlineStr">
        <is>
          <t>Phone</t>
        </is>
      </c>
      <c r="K5412" s="62">
        <f>F5412*(G5412-H5412)</f>
        <v/>
      </c>
      <c r="L5412" s="62">
        <f>K5412-(F5412*I5412)</f>
        <v/>
      </c>
      <c r="M5412" s="64">
        <f>L5412/K5412</f>
        <v/>
      </c>
    </row>
    <row r="5413">
      <c r="A5413" s="58" t="inlineStr">
        <is>
          <t>RT20250518-05412</t>
        </is>
      </c>
      <c r="B5413" s="59" t="inlineStr">
        <is>
          <t>2025-05-18</t>
        </is>
      </c>
      <c r="C5413" s="60" t="inlineStr">
        <is>
          <t>Solace Smartphone Lite-533</t>
        </is>
      </c>
      <c r="D5413" s="58" t="inlineStr">
        <is>
          <t>Electronics</t>
        </is>
      </c>
      <c r="E5413" s="58" t="inlineStr">
        <is>
          <t>West</t>
        </is>
      </c>
      <c r="F5413" s="61" t="n">
        <v>1</v>
      </c>
      <c r="G5413" s="62" t="n">
        <v>1225.62</v>
      </c>
      <c r="H5413" s="63" t="n">
        <v>0.063</v>
      </c>
      <c r="I5413" s="62" t="n">
        <v>943.74</v>
      </c>
      <c r="J5413" s="58" t="inlineStr">
        <is>
          <t>Online</t>
        </is>
      </c>
      <c r="K5413" s="62">
        <f>F5413*(G5413-H5413)</f>
        <v/>
      </c>
      <c r="L5413" s="62">
        <f>K5413-(F5413*I5413)</f>
        <v/>
      </c>
      <c r="M5413" s="64">
        <f>L5413/K5413</f>
        <v/>
      </c>
    </row>
    <row r="5414">
      <c r="A5414" s="58" t="inlineStr">
        <is>
          <t>RT20250518-05413</t>
        </is>
      </c>
      <c r="B5414" s="59" t="inlineStr">
        <is>
          <t>2025-05-18</t>
        </is>
      </c>
      <c r="C5414" s="60" t="inlineStr">
        <is>
          <t>Polar Outdoor Lite-318</t>
        </is>
      </c>
      <c r="D5414" s="58" t="inlineStr">
        <is>
          <t>Sports</t>
        </is>
      </c>
      <c r="E5414" s="58" t="inlineStr">
        <is>
          <t>Central</t>
        </is>
      </c>
      <c r="F5414" s="61" t="n">
        <v>3</v>
      </c>
      <c r="G5414" s="62" t="n">
        <v>639.11</v>
      </c>
      <c r="H5414" s="63" t="n">
        <v>0.104</v>
      </c>
      <c r="I5414" s="62" t="n">
        <v>475.56</v>
      </c>
      <c r="J5414" s="58" t="inlineStr">
        <is>
          <t>Online</t>
        </is>
      </c>
      <c r="K5414" s="62">
        <f>F5414*(G5414-H5414)</f>
        <v/>
      </c>
      <c r="L5414" s="62">
        <f>K5414-(F5414*I5414)</f>
        <v/>
      </c>
      <c r="M5414" s="64">
        <f>L5414/K5414</f>
        <v/>
      </c>
    </row>
    <row r="5415">
      <c r="A5415" s="58" t="inlineStr">
        <is>
          <t>RT20250519-05414</t>
        </is>
      </c>
      <c r="B5415" s="59" t="inlineStr">
        <is>
          <t>2025-05-19</t>
        </is>
      </c>
      <c r="C5415" s="60" t="inlineStr">
        <is>
          <t>Vertex Headphone Pro-801</t>
        </is>
      </c>
      <c r="D5415" s="58" t="inlineStr">
        <is>
          <t>Electronics</t>
        </is>
      </c>
      <c r="E5415" s="58" t="inlineStr">
        <is>
          <t>East</t>
        </is>
      </c>
      <c r="F5415" s="61" t="n">
        <v>2</v>
      </c>
      <c r="G5415" s="62" t="n">
        <v>1380.77</v>
      </c>
      <c r="H5415" s="63" t="n">
        <v>0.098</v>
      </c>
      <c r="I5415" s="62" t="n">
        <v>982.83</v>
      </c>
      <c r="J5415" s="58" t="inlineStr">
        <is>
          <t>Store</t>
        </is>
      </c>
      <c r="K5415" s="62">
        <f>F5415*(G5415-H5415)</f>
        <v/>
      </c>
      <c r="L5415" s="62">
        <f>K5415-(F5415*I5415)</f>
        <v/>
      </c>
      <c r="M5415" s="64">
        <f>L5415/K5415</f>
        <v/>
      </c>
    </row>
    <row r="5416">
      <c r="A5416" s="58" t="inlineStr">
        <is>
          <t>RT20250519-05415</t>
        </is>
      </c>
      <c r="B5416" s="59" t="inlineStr">
        <is>
          <t>2025-05-19</t>
        </is>
      </c>
      <c r="C5416" s="60" t="inlineStr">
        <is>
          <t>Falcon Haircare Pro-980</t>
        </is>
      </c>
      <c r="D5416" s="58" t="inlineStr">
        <is>
          <t>Beauty</t>
        </is>
      </c>
      <c r="E5416" s="58" t="inlineStr">
        <is>
          <t>North</t>
        </is>
      </c>
      <c r="F5416" s="61" t="n">
        <v>3</v>
      </c>
      <c r="G5416" s="62" t="n">
        <v>90.01000000000001</v>
      </c>
      <c r="H5416" s="63" t="n">
        <v>0.054</v>
      </c>
      <c r="I5416" s="62" t="n">
        <v>57.48</v>
      </c>
      <c r="J5416" s="58" t="inlineStr">
        <is>
          <t>Online</t>
        </is>
      </c>
      <c r="K5416" s="62">
        <f>F5416*(G5416-H5416)</f>
        <v/>
      </c>
      <c r="L5416" s="62">
        <f>K5416-(F5416*I5416)</f>
        <v/>
      </c>
      <c r="M5416" s="64">
        <f>L5416/K5416</f>
        <v/>
      </c>
    </row>
    <row r="5417">
      <c r="A5417" s="58" t="inlineStr">
        <is>
          <t>RT20250519-05416</t>
        </is>
      </c>
      <c r="B5417" s="59" t="inlineStr">
        <is>
          <t>2025-05-19</t>
        </is>
      </c>
      <c r="C5417" s="60" t="inlineStr">
        <is>
          <t>Metro Pantry Max-180</t>
        </is>
      </c>
      <c r="D5417" s="58" t="inlineStr">
        <is>
          <t>Grocery</t>
        </is>
      </c>
      <c r="E5417" s="58" t="inlineStr">
        <is>
          <t>Central</t>
        </is>
      </c>
      <c r="F5417" s="61" t="n">
        <v>8</v>
      </c>
      <c r="G5417" s="62" t="n">
        <v>9.26</v>
      </c>
      <c r="H5417" s="63" t="n">
        <v>0.054</v>
      </c>
      <c r="I5417" s="62" t="n">
        <v>6.58</v>
      </c>
      <c r="J5417" s="58" t="inlineStr">
        <is>
          <t>Online</t>
        </is>
      </c>
      <c r="K5417" s="62">
        <f>F5417*(G5417-H5417)</f>
        <v/>
      </c>
      <c r="L5417" s="62">
        <f>K5417-(F5417*I5417)</f>
        <v/>
      </c>
      <c r="M5417" s="64">
        <f>L5417/K5417</f>
        <v/>
      </c>
    </row>
    <row r="5418">
      <c r="A5418" s="58" t="inlineStr">
        <is>
          <t>RT20250519-05417</t>
        </is>
      </c>
      <c r="B5418" s="59" t="inlineStr">
        <is>
          <t>2025-05-19</t>
        </is>
      </c>
      <c r="C5418" s="60" t="inlineStr">
        <is>
          <t>Polar Bedding Lite-243</t>
        </is>
      </c>
      <c r="D5418" s="58" t="inlineStr">
        <is>
          <t>Home</t>
        </is>
      </c>
      <c r="E5418" s="58" t="inlineStr">
        <is>
          <t>South</t>
        </is>
      </c>
      <c r="F5418" s="61" t="n">
        <v>3</v>
      </c>
      <c r="G5418" s="62" t="n">
        <v>467.52</v>
      </c>
      <c r="H5418" s="63" t="n">
        <v>0.113</v>
      </c>
      <c r="I5418" s="62" t="n">
        <v>320.92</v>
      </c>
      <c r="J5418" s="58" t="inlineStr">
        <is>
          <t>Online</t>
        </is>
      </c>
      <c r="K5418" s="62">
        <f>F5418*(G5418-H5418)</f>
        <v/>
      </c>
      <c r="L5418" s="62">
        <f>K5418-(F5418*I5418)</f>
        <v/>
      </c>
      <c r="M5418" s="64">
        <f>L5418/K5418</f>
        <v/>
      </c>
    </row>
    <row r="5419">
      <c r="A5419" s="58" t="inlineStr">
        <is>
          <t>RT20250519-05418</t>
        </is>
      </c>
      <c r="B5419" s="59" t="inlineStr">
        <is>
          <t>2025-05-19</t>
        </is>
      </c>
      <c r="C5419" s="60" t="inlineStr">
        <is>
          <t>Metro Laptop Plus-376</t>
        </is>
      </c>
      <c r="D5419" s="58" t="inlineStr">
        <is>
          <t>Electronics</t>
        </is>
      </c>
      <c r="E5419" s="58" t="inlineStr">
        <is>
          <t>North</t>
        </is>
      </c>
      <c r="F5419" s="61" t="n">
        <v>1</v>
      </c>
      <c r="G5419" s="62" t="n">
        <v>1219.27</v>
      </c>
      <c r="H5419" s="63" t="n">
        <v>0.08400000000000001</v>
      </c>
      <c r="I5419" s="62" t="n">
        <v>1025.04</v>
      </c>
      <c r="J5419" s="58" t="inlineStr">
        <is>
          <t>Online</t>
        </is>
      </c>
      <c r="K5419" s="62">
        <f>F5419*(G5419-H5419)</f>
        <v/>
      </c>
      <c r="L5419" s="62">
        <f>K5419-(F5419*I5419)</f>
        <v/>
      </c>
      <c r="M5419" s="64">
        <f>L5419/K5419</f>
        <v/>
      </c>
    </row>
    <row r="5420">
      <c r="A5420" s="58" t="inlineStr">
        <is>
          <t>RT20250519-05419</t>
        </is>
      </c>
      <c r="B5420" s="59" t="inlineStr">
        <is>
          <t>2025-05-19</t>
        </is>
      </c>
      <c r="C5420" s="60" t="inlineStr">
        <is>
          <t>Aurora Skincare Max-798</t>
        </is>
      </c>
      <c r="D5420" s="58" t="inlineStr">
        <is>
          <t>Beauty</t>
        </is>
      </c>
      <c r="E5420" s="58" t="inlineStr">
        <is>
          <t>West</t>
        </is>
      </c>
      <c r="F5420" s="61" t="n">
        <v>5</v>
      </c>
      <c r="G5420" s="62" t="n">
        <v>128.22</v>
      </c>
      <c r="H5420" s="63" t="n">
        <v>0.049</v>
      </c>
      <c r="I5420" s="62" t="n">
        <v>66.88</v>
      </c>
      <c r="J5420" s="58" t="inlineStr">
        <is>
          <t>Store</t>
        </is>
      </c>
      <c r="K5420" s="62">
        <f>F5420*(G5420-H5420)</f>
        <v/>
      </c>
      <c r="L5420" s="62">
        <f>K5420-(F5420*I5420)</f>
        <v/>
      </c>
      <c r="M5420" s="64">
        <f>L5420/K5420</f>
        <v/>
      </c>
    </row>
    <row r="5421">
      <c r="A5421" s="58" t="inlineStr">
        <is>
          <t>RT20250519-05420</t>
        </is>
      </c>
      <c r="B5421" s="59" t="inlineStr">
        <is>
          <t>2025-05-19</t>
        </is>
      </c>
      <c r="C5421" s="60" t="inlineStr">
        <is>
          <t>Polar Wearable X-119</t>
        </is>
      </c>
      <c r="D5421" s="58" t="inlineStr">
        <is>
          <t>Electronics</t>
        </is>
      </c>
      <c r="E5421" s="58" t="inlineStr">
        <is>
          <t>East</t>
        </is>
      </c>
      <c r="F5421" s="61" t="n">
        <v>1</v>
      </c>
      <c r="G5421" s="62" t="n">
        <v>1533.32</v>
      </c>
      <c r="H5421" s="63" t="n">
        <v>0.06</v>
      </c>
      <c r="I5421" s="62" t="n">
        <v>1338.21</v>
      </c>
      <c r="J5421" s="58" t="inlineStr">
        <is>
          <t>Online</t>
        </is>
      </c>
      <c r="K5421" s="62">
        <f>F5421*(G5421-H5421)</f>
        <v/>
      </c>
      <c r="L5421" s="62">
        <f>K5421-(F5421*I5421)</f>
        <v/>
      </c>
      <c r="M5421" s="64">
        <f>L5421/K5421</f>
        <v/>
      </c>
    </row>
    <row r="5422">
      <c r="A5422" s="58" t="inlineStr">
        <is>
          <t>RT20250519-05421</t>
        </is>
      </c>
      <c r="B5422" s="59" t="inlineStr">
        <is>
          <t>2025-05-19</t>
        </is>
      </c>
      <c r="C5422" s="60" t="inlineStr">
        <is>
          <t>Polar Outdoor X-193</t>
        </is>
      </c>
      <c r="D5422" s="58" t="inlineStr">
        <is>
          <t>Sports</t>
        </is>
      </c>
      <c r="E5422" s="58" t="inlineStr">
        <is>
          <t>East</t>
        </is>
      </c>
      <c r="F5422" s="61" t="n">
        <v>1</v>
      </c>
      <c r="G5422" s="62" t="n">
        <v>730.23</v>
      </c>
      <c r="H5422" s="63" t="n">
        <v>0.022</v>
      </c>
      <c r="I5422" s="62" t="n">
        <v>448.96</v>
      </c>
      <c r="J5422" s="58" t="inlineStr">
        <is>
          <t>Online</t>
        </is>
      </c>
      <c r="K5422" s="62">
        <f>F5422*(G5422-H5422)</f>
        <v/>
      </c>
      <c r="L5422" s="62">
        <f>K5422-(F5422*I5422)</f>
        <v/>
      </c>
      <c r="M5422" s="64">
        <f>L5422/K5422</f>
        <v/>
      </c>
    </row>
    <row r="5423">
      <c r="A5423" s="58" t="inlineStr">
        <is>
          <t>RT20250519-05422</t>
        </is>
      </c>
      <c r="B5423" s="59" t="inlineStr">
        <is>
          <t>2025-05-19</t>
        </is>
      </c>
      <c r="C5423" s="60" t="inlineStr">
        <is>
          <t>Aurora Printer Plus-991</t>
        </is>
      </c>
      <c r="D5423" s="58" t="inlineStr">
        <is>
          <t>Office</t>
        </is>
      </c>
      <c r="E5423" s="58" t="inlineStr">
        <is>
          <t>Central</t>
        </is>
      </c>
      <c r="F5423" s="61" t="n">
        <v>3</v>
      </c>
      <c r="G5423" s="62" t="n">
        <v>466.36</v>
      </c>
      <c r="H5423" s="63" t="n">
        <v>0.077</v>
      </c>
      <c r="I5423" s="62" t="n">
        <v>366.19</v>
      </c>
      <c r="J5423" s="58" t="inlineStr">
        <is>
          <t>Online</t>
        </is>
      </c>
      <c r="K5423" s="62">
        <f>F5423*(G5423-H5423)</f>
        <v/>
      </c>
      <c r="L5423" s="62">
        <f>K5423-(F5423*I5423)</f>
        <v/>
      </c>
      <c r="M5423" s="64">
        <f>L5423/K5423</f>
        <v/>
      </c>
    </row>
    <row r="5424">
      <c r="A5424" s="58" t="inlineStr">
        <is>
          <t>RT20250519-05423</t>
        </is>
      </c>
      <c r="B5424" s="59" t="inlineStr">
        <is>
          <t>2025-05-19</t>
        </is>
      </c>
      <c r="C5424" s="60" t="inlineStr">
        <is>
          <t>Vertex Appliance S-296</t>
        </is>
      </c>
      <c r="D5424" s="58" t="inlineStr">
        <is>
          <t>Home</t>
        </is>
      </c>
      <c r="E5424" s="58" t="inlineStr">
        <is>
          <t>Central</t>
        </is>
      </c>
      <c r="F5424" s="61" t="n">
        <v>1</v>
      </c>
      <c r="G5424" s="62" t="n">
        <v>493.33</v>
      </c>
      <c r="H5424" s="63" t="n">
        <v>0.117</v>
      </c>
      <c r="I5424" s="62" t="n">
        <v>355.98</v>
      </c>
      <c r="J5424" s="58" t="inlineStr">
        <is>
          <t>Online</t>
        </is>
      </c>
      <c r="K5424" s="62">
        <f>F5424*(G5424-H5424)</f>
        <v/>
      </c>
      <c r="L5424" s="62">
        <f>K5424-(F5424*I5424)</f>
        <v/>
      </c>
      <c r="M5424" s="64">
        <f>L5424/K5424</f>
        <v/>
      </c>
    </row>
    <row r="5425">
      <c r="A5425" s="58" t="inlineStr">
        <is>
          <t>RT20250519-05424</t>
        </is>
      </c>
      <c r="B5425" s="59" t="inlineStr">
        <is>
          <t>2025-05-19</t>
        </is>
      </c>
      <c r="C5425" s="60" t="inlineStr">
        <is>
          <t>Falcon Skincare Max-151</t>
        </is>
      </c>
      <c r="D5425" s="58" t="inlineStr">
        <is>
          <t>Beauty</t>
        </is>
      </c>
      <c r="E5425" s="58" t="inlineStr">
        <is>
          <t>East</t>
        </is>
      </c>
      <c r="F5425" s="61" t="n">
        <v>4</v>
      </c>
      <c r="G5425" s="62" t="n">
        <v>97.13</v>
      </c>
      <c r="H5425" s="63" t="n">
        <v>0.08799999999999999</v>
      </c>
      <c r="I5425" s="62" t="n">
        <v>58.63</v>
      </c>
      <c r="J5425" s="58" t="inlineStr">
        <is>
          <t>Online</t>
        </is>
      </c>
      <c r="K5425" s="62">
        <f>F5425*(G5425-H5425)</f>
        <v/>
      </c>
      <c r="L5425" s="62">
        <f>K5425-(F5425*I5425)</f>
        <v/>
      </c>
      <c r="M5425" s="64">
        <f>L5425/K5425</f>
        <v/>
      </c>
    </row>
    <row r="5426">
      <c r="A5426" s="58" t="inlineStr">
        <is>
          <t>RT20250519-05425</t>
        </is>
      </c>
      <c r="B5426" s="59" t="inlineStr">
        <is>
          <t>2025-05-19</t>
        </is>
      </c>
      <c r="C5426" s="60" t="inlineStr">
        <is>
          <t>Nimbus Fitnes Lite-516</t>
        </is>
      </c>
      <c r="D5426" s="58" t="inlineStr">
        <is>
          <t>Sports</t>
        </is>
      </c>
      <c r="E5426" s="58" t="inlineStr">
        <is>
          <t>West</t>
        </is>
      </c>
      <c r="F5426" s="61" t="n">
        <v>3</v>
      </c>
      <c r="G5426" s="62" t="n">
        <v>739.54</v>
      </c>
      <c r="H5426" s="63" t="n">
        <v>0.023</v>
      </c>
      <c r="I5426" s="62" t="n">
        <v>461.23</v>
      </c>
      <c r="J5426" s="58" t="inlineStr">
        <is>
          <t>Store</t>
        </is>
      </c>
      <c r="K5426" s="62">
        <f>F5426*(G5426-H5426)</f>
        <v/>
      </c>
      <c r="L5426" s="62">
        <f>K5426-(F5426*I5426)</f>
        <v/>
      </c>
      <c r="M5426" s="64">
        <f>L5426/K5426</f>
        <v/>
      </c>
    </row>
    <row r="5427">
      <c r="A5427" s="58" t="inlineStr">
        <is>
          <t>RT20250519-05426</t>
        </is>
      </c>
      <c r="B5427" s="59" t="inlineStr">
        <is>
          <t>2025-05-19</t>
        </is>
      </c>
      <c r="C5427" s="60" t="inlineStr">
        <is>
          <t>Falcon Skincare X-334</t>
        </is>
      </c>
      <c r="D5427" s="58" t="inlineStr">
        <is>
          <t>Beauty</t>
        </is>
      </c>
      <c r="E5427" s="58" t="inlineStr">
        <is>
          <t>North</t>
        </is>
      </c>
      <c r="F5427" s="61" t="n">
        <v>5</v>
      </c>
      <c r="G5427" s="62" t="n">
        <v>100.14</v>
      </c>
      <c r="H5427" s="63" t="n">
        <v>0.037</v>
      </c>
      <c r="I5427" s="62" t="n">
        <v>62.69</v>
      </c>
      <c r="J5427" s="58" t="inlineStr">
        <is>
          <t>Store</t>
        </is>
      </c>
      <c r="K5427" s="62">
        <f>F5427*(G5427-H5427)</f>
        <v/>
      </c>
      <c r="L5427" s="62">
        <f>K5427-(F5427*I5427)</f>
        <v/>
      </c>
      <c r="M5427" s="64">
        <f>L5427/K5427</f>
        <v/>
      </c>
    </row>
    <row r="5428">
      <c r="A5428" s="58" t="inlineStr">
        <is>
          <t>RT20250519-05427</t>
        </is>
      </c>
      <c r="B5428" s="59" t="inlineStr">
        <is>
          <t>2025-05-19</t>
        </is>
      </c>
      <c r="C5428" s="60" t="inlineStr">
        <is>
          <t>Falcon Team Sport Lite-268</t>
        </is>
      </c>
      <c r="D5428" s="58" t="inlineStr">
        <is>
          <t>Sports</t>
        </is>
      </c>
      <c r="E5428" s="58" t="inlineStr">
        <is>
          <t>South</t>
        </is>
      </c>
      <c r="F5428" s="61" t="n">
        <v>1</v>
      </c>
      <c r="G5428" s="62" t="n">
        <v>692.14</v>
      </c>
      <c r="H5428" s="63" t="n">
        <v>0.061</v>
      </c>
      <c r="I5428" s="62" t="n">
        <v>447.31</v>
      </c>
      <c r="J5428" s="58" t="inlineStr">
        <is>
          <t>Store</t>
        </is>
      </c>
      <c r="K5428" s="62">
        <f>F5428*(G5428-H5428)</f>
        <v/>
      </c>
      <c r="L5428" s="62">
        <f>K5428-(F5428*I5428)</f>
        <v/>
      </c>
      <c r="M5428" s="64">
        <f>L5428/K5428</f>
        <v/>
      </c>
    </row>
    <row r="5429">
      <c r="A5429" s="58" t="inlineStr">
        <is>
          <t>RT20250519-05428</t>
        </is>
      </c>
      <c r="B5429" s="59" t="inlineStr">
        <is>
          <t>2025-05-19</t>
        </is>
      </c>
      <c r="C5429" s="60" t="inlineStr">
        <is>
          <t>Aurora Bedding Max-175</t>
        </is>
      </c>
      <c r="D5429" s="58" t="inlineStr">
        <is>
          <t>Home</t>
        </is>
      </c>
      <c r="E5429" s="58" t="inlineStr">
        <is>
          <t>East</t>
        </is>
      </c>
      <c r="F5429" s="61" t="n">
        <v>2</v>
      </c>
      <c r="G5429" s="62" t="n">
        <v>601.6</v>
      </c>
      <c r="H5429" s="63" t="n">
        <v>0.092</v>
      </c>
      <c r="I5429" s="62" t="n">
        <v>402.32</v>
      </c>
      <c r="J5429" s="58" t="inlineStr">
        <is>
          <t>Store</t>
        </is>
      </c>
      <c r="K5429" s="62">
        <f>F5429*(G5429-H5429)</f>
        <v/>
      </c>
      <c r="L5429" s="62">
        <f>K5429-(F5429*I5429)</f>
        <v/>
      </c>
      <c r="M5429" s="64">
        <f>L5429/K5429</f>
        <v/>
      </c>
    </row>
    <row r="5430">
      <c r="A5430" s="58" t="inlineStr">
        <is>
          <t>RT20250519-05429</t>
        </is>
      </c>
      <c r="B5430" s="59" t="inlineStr">
        <is>
          <t>2025-05-19</t>
        </is>
      </c>
      <c r="C5430" s="60" t="inlineStr">
        <is>
          <t>Falcon Beverage Max-702</t>
        </is>
      </c>
      <c r="D5430" s="58" t="inlineStr">
        <is>
          <t>Grocery</t>
        </is>
      </c>
      <c r="E5430" s="58" t="inlineStr">
        <is>
          <t>East</t>
        </is>
      </c>
      <c r="F5430" s="61" t="n">
        <v>4</v>
      </c>
      <c r="G5430" s="62" t="n">
        <v>26.23</v>
      </c>
      <c r="H5430" s="63" t="n">
        <v>0.056</v>
      </c>
      <c r="I5430" s="62" t="n">
        <v>20.41</v>
      </c>
      <c r="J5430" s="58" t="inlineStr">
        <is>
          <t>Store</t>
        </is>
      </c>
      <c r="K5430" s="62">
        <f>F5430*(G5430-H5430)</f>
        <v/>
      </c>
      <c r="L5430" s="62">
        <f>K5430-(F5430*I5430)</f>
        <v/>
      </c>
      <c r="M5430" s="64">
        <f>L5430/K5430</f>
        <v/>
      </c>
    </row>
    <row r="5431">
      <c r="A5431" s="58" t="inlineStr">
        <is>
          <t>RT20250519-05430</t>
        </is>
      </c>
      <c r="B5431" s="59" t="inlineStr">
        <is>
          <t>2025-05-19</t>
        </is>
      </c>
      <c r="C5431" s="60" t="inlineStr">
        <is>
          <t>Nimbus Makeup Max-158</t>
        </is>
      </c>
      <c r="D5431" s="58" t="inlineStr">
        <is>
          <t>Beauty</t>
        </is>
      </c>
      <c r="E5431" s="58" t="inlineStr">
        <is>
          <t>Central</t>
        </is>
      </c>
      <c r="F5431" s="61" t="n">
        <v>1</v>
      </c>
      <c r="G5431" s="62" t="n">
        <v>155.87</v>
      </c>
      <c r="H5431" s="63" t="n">
        <v>0.053</v>
      </c>
      <c r="I5431" s="62" t="n">
        <v>96.38</v>
      </c>
      <c r="J5431" s="58" t="inlineStr">
        <is>
          <t>Online</t>
        </is>
      </c>
      <c r="K5431" s="62">
        <f>F5431*(G5431-H5431)</f>
        <v/>
      </c>
      <c r="L5431" s="62">
        <f>K5431-(F5431*I5431)</f>
        <v/>
      </c>
      <c r="M5431" s="64">
        <f>L5431/K5431</f>
        <v/>
      </c>
    </row>
    <row r="5432">
      <c r="A5432" s="58" t="inlineStr">
        <is>
          <t>RT20250519-05431</t>
        </is>
      </c>
      <c r="B5432" s="59" t="inlineStr">
        <is>
          <t>2025-05-19</t>
        </is>
      </c>
      <c r="C5432" s="60" t="inlineStr">
        <is>
          <t>Falcon Beverage Max-702</t>
        </is>
      </c>
      <c r="D5432" s="58" t="inlineStr">
        <is>
          <t>Grocery</t>
        </is>
      </c>
      <c r="E5432" s="58" t="inlineStr">
        <is>
          <t>Central</t>
        </is>
      </c>
      <c r="F5432" s="61" t="n">
        <v>6</v>
      </c>
      <c r="G5432" s="62" t="n">
        <v>26.63</v>
      </c>
      <c r="H5432" s="63" t="n">
        <v>0.057</v>
      </c>
      <c r="I5432" s="62" t="n">
        <v>20.2</v>
      </c>
      <c r="J5432" s="58" t="inlineStr">
        <is>
          <t>Online</t>
        </is>
      </c>
      <c r="K5432" s="62">
        <f>F5432*(G5432-H5432)</f>
        <v/>
      </c>
      <c r="L5432" s="62">
        <f>K5432-(F5432*I5432)</f>
        <v/>
      </c>
      <c r="M5432" s="64">
        <f>L5432/K5432</f>
        <v/>
      </c>
    </row>
    <row r="5433">
      <c r="A5433" s="58" t="inlineStr">
        <is>
          <t>RT20250519-05432</t>
        </is>
      </c>
      <c r="B5433" s="59" t="inlineStr">
        <is>
          <t>2025-05-19</t>
        </is>
      </c>
      <c r="C5433" s="60" t="inlineStr">
        <is>
          <t>Aurora Wearable Lite-704</t>
        </is>
      </c>
      <c r="D5433" s="58" t="inlineStr">
        <is>
          <t>Electronics</t>
        </is>
      </c>
      <c r="E5433" s="58" t="inlineStr">
        <is>
          <t>West</t>
        </is>
      </c>
      <c r="F5433" s="61" t="n">
        <v>2</v>
      </c>
      <c r="G5433" s="62" t="n">
        <v>1916.77</v>
      </c>
      <c r="H5433" s="63" t="n">
        <v>0.063</v>
      </c>
      <c r="I5433" s="62" t="n">
        <v>1417.21</v>
      </c>
      <c r="J5433" s="58" t="inlineStr">
        <is>
          <t>Store</t>
        </is>
      </c>
      <c r="K5433" s="62">
        <f>F5433*(G5433-H5433)</f>
        <v/>
      </c>
      <c r="L5433" s="62">
        <f>K5433-(F5433*I5433)</f>
        <v/>
      </c>
      <c r="M5433" s="64">
        <f>L5433/K5433</f>
        <v/>
      </c>
    </row>
    <row r="5434">
      <c r="A5434" s="58" t="inlineStr">
        <is>
          <t>RT20250519-05433</t>
        </is>
      </c>
      <c r="B5434" s="59" t="inlineStr">
        <is>
          <t>2025-05-19</t>
        </is>
      </c>
      <c r="C5434" s="60" t="inlineStr">
        <is>
          <t>Aurora Kid Plus-151</t>
        </is>
      </c>
      <c r="D5434" s="58" t="inlineStr">
        <is>
          <t>Apparel</t>
        </is>
      </c>
      <c r="E5434" s="58" t="inlineStr">
        <is>
          <t>South</t>
        </is>
      </c>
      <c r="F5434" s="61" t="n">
        <v>3</v>
      </c>
      <c r="G5434" s="62" t="n">
        <v>126.58</v>
      </c>
      <c r="H5434" s="63" t="n">
        <v>0.035</v>
      </c>
      <c r="I5434" s="62" t="n">
        <v>62.66</v>
      </c>
      <c r="J5434" s="58" t="inlineStr">
        <is>
          <t>Store</t>
        </is>
      </c>
      <c r="K5434" s="62">
        <f>F5434*(G5434-H5434)</f>
        <v/>
      </c>
      <c r="L5434" s="62">
        <f>K5434-(F5434*I5434)</f>
        <v/>
      </c>
      <c r="M5434" s="64">
        <f>L5434/K5434</f>
        <v/>
      </c>
    </row>
    <row r="5435">
      <c r="A5435" s="58" t="inlineStr">
        <is>
          <t>RT20250519-05434</t>
        </is>
      </c>
      <c r="B5435" s="59" t="inlineStr">
        <is>
          <t>2025-05-19</t>
        </is>
      </c>
      <c r="C5435" s="60" t="inlineStr">
        <is>
          <t>Metro Beverage Max-490</t>
        </is>
      </c>
      <c r="D5435" s="58" t="inlineStr">
        <is>
          <t>Grocery</t>
        </is>
      </c>
      <c r="E5435" s="58" t="inlineStr">
        <is>
          <t>Central</t>
        </is>
      </c>
      <c r="F5435" s="61" t="n">
        <v>1</v>
      </c>
      <c r="G5435" s="62" t="n">
        <v>10.67</v>
      </c>
      <c r="H5435" s="63" t="n">
        <v>0.097</v>
      </c>
      <c r="I5435" s="62" t="n">
        <v>8.02</v>
      </c>
      <c r="J5435" s="58" t="inlineStr">
        <is>
          <t>Store</t>
        </is>
      </c>
      <c r="K5435" s="62">
        <f>F5435*(G5435-H5435)</f>
        <v/>
      </c>
      <c r="L5435" s="62">
        <f>K5435-(F5435*I5435)</f>
        <v/>
      </c>
      <c r="M5435" s="64">
        <f>L5435/K5435</f>
        <v/>
      </c>
    </row>
    <row r="5436">
      <c r="A5436" s="58" t="inlineStr">
        <is>
          <t>RT20250519-05435</t>
        </is>
      </c>
      <c r="B5436" s="59" t="inlineStr">
        <is>
          <t>2025-05-19</t>
        </is>
      </c>
      <c r="C5436" s="60" t="inlineStr">
        <is>
          <t>Orion Kid Max-864</t>
        </is>
      </c>
      <c r="D5436" s="58" t="inlineStr">
        <is>
          <t>Apparel</t>
        </is>
      </c>
      <c r="E5436" s="58" t="inlineStr">
        <is>
          <t>Central</t>
        </is>
      </c>
      <c r="F5436" s="61" t="n">
        <v>4</v>
      </c>
      <c r="G5436" s="62" t="n">
        <v>80.02</v>
      </c>
      <c r="H5436" s="63" t="n">
        <v>0</v>
      </c>
      <c r="I5436" s="62" t="n">
        <v>46.04</v>
      </c>
      <c r="J5436" s="58" t="inlineStr">
        <is>
          <t>Phone</t>
        </is>
      </c>
      <c r="K5436" s="62">
        <f>F5436*(G5436-H5436)</f>
        <v/>
      </c>
      <c r="L5436" s="62">
        <f>K5436-(F5436*I5436)</f>
        <v/>
      </c>
      <c r="M5436" s="64">
        <f>L5436/K5436</f>
        <v/>
      </c>
    </row>
    <row r="5437">
      <c r="A5437" s="58" t="inlineStr">
        <is>
          <t>RT20250519-05436</t>
        </is>
      </c>
      <c r="B5437" s="59" t="inlineStr">
        <is>
          <t>2025-05-19</t>
        </is>
      </c>
      <c r="C5437" s="60" t="inlineStr">
        <is>
          <t>Aurora Bedding Plus-187</t>
        </is>
      </c>
      <c r="D5437" s="58" t="inlineStr">
        <is>
          <t>Home</t>
        </is>
      </c>
      <c r="E5437" s="58" t="inlineStr">
        <is>
          <t>North</t>
        </is>
      </c>
      <c r="F5437" s="61" t="n">
        <v>3</v>
      </c>
      <c r="G5437" s="62" t="n">
        <v>262.89</v>
      </c>
      <c r="H5437" s="63" t="n">
        <v>0.055</v>
      </c>
      <c r="I5437" s="62" t="n">
        <v>205.51</v>
      </c>
      <c r="J5437" s="58" t="inlineStr">
        <is>
          <t>Online</t>
        </is>
      </c>
      <c r="K5437" s="62">
        <f>F5437*(G5437-H5437)</f>
        <v/>
      </c>
      <c r="L5437" s="62">
        <f>K5437-(F5437*I5437)</f>
        <v/>
      </c>
      <c r="M5437" s="64">
        <f>L5437/K5437</f>
        <v/>
      </c>
    </row>
    <row r="5438">
      <c r="A5438" s="58" t="inlineStr">
        <is>
          <t>RT20250519-05437</t>
        </is>
      </c>
      <c r="B5438" s="59" t="inlineStr">
        <is>
          <t>2025-05-19</t>
        </is>
      </c>
      <c r="C5438" s="60" t="inlineStr">
        <is>
          <t>Nimbus Men Plus-231</t>
        </is>
      </c>
      <c r="D5438" s="58" t="inlineStr">
        <is>
          <t>Apparel</t>
        </is>
      </c>
      <c r="E5438" s="58" t="inlineStr">
        <is>
          <t>South</t>
        </is>
      </c>
      <c r="F5438" s="61" t="n">
        <v>3</v>
      </c>
      <c r="G5438" s="62" t="n">
        <v>147.8</v>
      </c>
      <c r="H5438" s="63" t="n">
        <v>0.064</v>
      </c>
      <c r="I5438" s="62" t="n">
        <v>88.23</v>
      </c>
      <c r="J5438" s="58" t="inlineStr">
        <is>
          <t>Online</t>
        </is>
      </c>
      <c r="K5438" s="62">
        <f>F5438*(G5438-H5438)</f>
        <v/>
      </c>
      <c r="L5438" s="62">
        <f>K5438-(F5438*I5438)</f>
        <v/>
      </c>
      <c r="M5438" s="64">
        <f>L5438/K5438</f>
        <v/>
      </c>
    </row>
    <row r="5439">
      <c r="A5439" s="58" t="inlineStr">
        <is>
          <t>RT20250519-05438</t>
        </is>
      </c>
      <c r="B5439" s="59" t="inlineStr">
        <is>
          <t>2025-05-19</t>
        </is>
      </c>
      <c r="C5439" s="60" t="inlineStr">
        <is>
          <t>Vertex Snack S-702</t>
        </is>
      </c>
      <c r="D5439" s="58" t="inlineStr">
        <is>
          <t>Grocery</t>
        </is>
      </c>
      <c r="E5439" s="58" t="inlineStr">
        <is>
          <t>North</t>
        </is>
      </c>
      <c r="F5439" s="61" t="n">
        <v>6</v>
      </c>
      <c r="G5439" s="62" t="n">
        <v>2.19</v>
      </c>
      <c r="H5439" s="63" t="n">
        <v>0.07000000000000001</v>
      </c>
      <c r="I5439" s="62" t="n">
        <v>1.48</v>
      </c>
      <c r="J5439" s="58" t="inlineStr">
        <is>
          <t>Store</t>
        </is>
      </c>
      <c r="K5439" s="62">
        <f>F5439*(G5439-H5439)</f>
        <v/>
      </c>
      <c r="L5439" s="62">
        <f>K5439-(F5439*I5439)</f>
        <v/>
      </c>
      <c r="M5439" s="64">
        <f>L5439/K5439</f>
        <v/>
      </c>
    </row>
    <row r="5440">
      <c r="A5440" s="58" t="inlineStr">
        <is>
          <t>RT20250519-05439</t>
        </is>
      </c>
      <c r="B5440" s="59" t="inlineStr">
        <is>
          <t>2025-05-19</t>
        </is>
      </c>
      <c r="C5440" s="60" t="inlineStr">
        <is>
          <t>Falcon Household Plus-172</t>
        </is>
      </c>
      <c r="D5440" s="58" t="inlineStr">
        <is>
          <t>Grocery</t>
        </is>
      </c>
      <c r="E5440" s="58" t="inlineStr">
        <is>
          <t>North</t>
        </is>
      </c>
      <c r="F5440" s="61" t="n">
        <v>4</v>
      </c>
      <c r="G5440" s="62" t="n">
        <v>22.26</v>
      </c>
      <c r="H5440" s="63" t="n">
        <v>0.04</v>
      </c>
      <c r="I5440" s="62" t="n">
        <v>16.14</v>
      </c>
      <c r="J5440" s="58" t="inlineStr">
        <is>
          <t>Online</t>
        </is>
      </c>
      <c r="K5440" s="62">
        <f>F5440*(G5440-H5440)</f>
        <v/>
      </c>
      <c r="L5440" s="62">
        <f>K5440-(F5440*I5440)</f>
        <v/>
      </c>
      <c r="M5440" s="64">
        <f>L5440/K5440</f>
        <v/>
      </c>
    </row>
    <row r="5441">
      <c r="A5441" s="58" t="inlineStr">
        <is>
          <t>RT20250519-05440</t>
        </is>
      </c>
      <c r="B5441" s="59" t="inlineStr">
        <is>
          <t>2025-05-19</t>
        </is>
      </c>
      <c r="C5441" s="60" t="inlineStr">
        <is>
          <t>Polar Decor Plus-505</t>
        </is>
      </c>
      <c r="D5441" s="58" t="inlineStr">
        <is>
          <t>Home</t>
        </is>
      </c>
      <c r="E5441" s="58" t="inlineStr">
        <is>
          <t>West</t>
        </is>
      </c>
      <c r="F5441" s="61" t="n">
        <v>2</v>
      </c>
      <c r="G5441" s="62" t="n">
        <v>329.89</v>
      </c>
      <c r="H5441" s="63" t="n">
        <v>0.067</v>
      </c>
      <c r="I5441" s="62" t="n">
        <v>201.8</v>
      </c>
      <c r="J5441" s="58" t="inlineStr">
        <is>
          <t>Store</t>
        </is>
      </c>
      <c r="K5441" s="62">
        <f>F5441*(G5441-H5441)</f>
        <v/>
      </c>
      <c r="L5441" s="62">
        <f>K5441-(F5441*I5441)</f>
        <v/>
      </c>
      <c r="M5441" s="64">
        <f>L5441/K5441</f>
        <v/>
      </c>
    </row>
    <row r="5442">
      <c r="A5442" s="58" t="inlineStr">
        <is>
          <t>RT20250519-05441</t>
        </is>
      </c>
      <c r="B5442" s="59" t="inlineStr">
        <is>
          <t>2025-05-19</t>
        </is>
      </c>
      <c r="C5442" s="60" t="inlineStr">
        <is>
          <t>Vertex Supplie Pro-786</t>
        </is>
      </c>
      <c r="D5442" s="58" t="inlineStr">
        <is>
          <t>Office</t>
        </is>
      </c>
      <c r="E5442" s="58" t="inlineStr">
        <is>
          <t>Central</t>
        </is>
      </c>
      <c r="F5442" s="61" t="n">
        <v>3</v>
      </c>
      <c r="G5442" s="62" t="n">
        <v>405.82</v>
      </c>
      <c r="H5442" s="63" t="n">
        <v>0.089</v>
      </c>
      <c r="I5442" s="62" t="n">
        <v>302.46</v>
      </c>
      <c r="J5442" s="58" t="inlineStr">
        <is>
          <t>Online</t>
        </is>
      </c>
      <c r="K5442" s="62">
        <f>F5442*(G5442-H5442)</f>
        <v/>
      </c>
      <c r="L5442" s="62">
        <f>K5442-(F5442*I5442)</f>
        <v/>
      </c>
      <c r="M5442" s="64">
        <f>L5442/K5442</f>
        <v/>
      </c>
    </row>
    <row r="5443">
      <c r="A5443" s="58" t="inlineStr">
        <is>
          <t>RT20250519-05442</t>
        </is>
      </c>
      <c r="B5443" s="59" t="inlineStr">
        <is>
          <t>2025-05-19</t>
        </is>
      </c>
      <c r="C5443" s="60" t="inlineStr">
        <is>
          <t>Aurora Makeup S-626</t>
        </is>
      </c>
      <c r="D5443" s="58" t="inlineStr">
        <is>
          <t>Beauty</t>
        </is>
      </c>
      <c r="E5443" s="58" t="inlineStr">
        <is>
          <t>North</t>
        </is>
      </c>
      <c r="F5443" s="61" t="n">
        <v>5</v>
      </c>
      <c r="G5443" s="62" t="n">
        <v>100.39</v>
      </c>
      <c r="H5443" s="63" t="n">
        <v>0.026</v>
      </c>
      <c r="I5443" s="62" t="n">
        <v>62.39</v>
      </c>
      <c r="J5443" s="58" t="inlineStr">
        <is>
          <t>Online</t>
        </is>
      </c>
      <c r="K5443" s="62">
        <f>F5443*(G5443-H5443)</f>
        <v/>
      </c>
      <c r="L5443" s="62">
        <f>K5443-(F5443*I5443)</f>
        <v/>
      </c>
      <c r="M5443" s="64">
        <f>L5443/K5443</f>
        <v/>
      </c>
    </row>
    <row r="5444">
      <c r="A5444" s="58" t="inlineStr">
        <is>
          <t>RT20250519-05443</t>
        </is>
      </c>
      <c r="B5444" s="59" t="inlineStr">
        <is>
          <t>2025-05-19</t>
        </is>
      </c>
      <c r="C5444" s="60" t="inlineStr">
        <is>
          <t>Falcon Wearable X-334</t>
        </is>
      </c>
      <c r="D5444" s="58" t="inlineStr">
        <is>
          <t>Electronics</t>
        </is>
      </c>
      <c r="E5444" s="58" t="inlineStr">
        <is>
          <t>South</t>
        </is>
      </c>
      <c r="F5444" s="61" t="n">
        <v>1</v>
      </c>
      <c r="G5444" s="62" t="n">
        <v>1816.26</v>
      </c>
      <c r="H5444" s="63" t="n">
        <v>0.033</v>
      </c>
      <c r="I5444" s="62" t="n">
        <v>1500.74</v>
      </c>
      <c r="J5444" s="58" t="inlineStr">
        <is>
          <t>Store</t>
        </is>
      </c>
      <c r="K5444" s="62">
        <f>F5444*(G5444-H5444)</f>
        <v/>
      </c>
      <c r="L5444" s="62">
        <f>K5444-(F5444*I5444)</f>
        <v/>
      </c>
      <c r="M5444" s="64">
        <f>L5444/K5444</f>
        <v/>
      </c>
    </row>
    <row r="5445">
      <c r="A5445" s="58" t="inlineStr">
        <is>
          <t>RT20250519-05444</t>
        </is>
      </c>
      <c r="B5445" s="59" t="inlineStr">
        <is>
          <t>2025-05-19</t>
        </is>
      </c>
      <c r="C5445" s="60" t="inlineStr">
        <is>
          <t>Polar Women Max-927</t>
        </is>
      </c>
      <c r="D5445" s="58" t="inlineStr">
        <is>
          <t>Apparel</t>
        </is>
      </c>
      <c r="E5445" s="58" t="inlineStr">
        <is>
          <t>Central</t>
        </is>
      </c>
      <c r="F5445" s="61" t="n">
        <v>3</v>
      </c>
      <c r="G5445" s="62" t="n">
        <v>122.4</v>
      </c>
      <c r="H5445" s="63" t="n">
        <v>0.015</v>
      </c>
      <c r="I5445" s="62" t="n">
        <v>65</v>
      </c>
      <c r="J5445" s="58" t="inlineStr">
        <is>
          <t>Store</t>
        </is>
      </c>
      <c r="K5445" s="62">
        <f>F5445*(G5445-H5445)</f>
        <v/>
      </c>
      <c r="L5445" s="62">
        <f>K5445-(F5445*I5445)</f>
        <v/>
      </c>
      <c r="M5445" s="64">
        <f>L5445/K5445</f>
        <v/>
      </c>
    </row>
    <row r="5446">
      <c r="A5446" s="58" t="inlineStr">
        <is>
          <t>RT20250519-05445</t>
        </is>
      </c>
      <c r="B5446" s="59" t="inlineStr">
        <is>
          <t>2025-05-19</t>
        </is>
      </c>
      <c r="C5446" s="60" t="inlineStr">
        <is>
          <t>Vertex Accessorie Pro-881</t>
        </is>
      </c>
      <c r="D5446" s="58" t="inlineStr">
        <is>
          <t>Apparel</t>
        </is>
      </c>
      <c r="E5446" s="58" t="inlineStr">
        <is>
          <t>North</t>
        </is>
      </c>
      <c r="F5446" s="61" t="n">
        <v>4</v>
      </c>
      <c r="G5446" s="62" t="n">
        <v>109.98</v>
      </c>
      <c r="H5446" s="63" t="n">
        <v>0.074</v>
      </c>
      <c r="I5446" s="62" t="n">
        <v>60.64</v>
      </c>
      <c r="J5446" s="58" t="inlineStr">
        <is>
          <t>Online</t>
        </is>
      </c>
      <c r="K5446" s="62">
        <f>F5446*(G5446-H5446)</f>
        <v/>
      </c>
      <c r="L5446" s="62">
        <f>K5446-(F5446*I5446)</f>
        <v/>
      </c>
      <c r="M5446" s="64">
        <f>L5446/K5446</f>
        <v/>
      </c>
    </row>
    <row r="5447">
      <c r="A5447" s="58" t="inlineStr">
        <is>
          <t>RT20250519-05446</t>
        </is>
      </c>
      <c r="B5447" s="59" t="inlineStr">
        <is>
          <t>2025-05-19</t>
        </is>
      </c>
      <c r="C5447" s="60" t="inlineStr">
        <is>
          <t>Falcon Household Plus-796</t>
        </is>
      </c>
      <c r="D5447" s="58" t="inlineStr">
        <is>
          <t>Grocery</t>
        </is>
      </c>
      <c r="E5447" s="58" t="inlineStr">
        <is>
          <t>Central</t>
        </is>
      </c>
      <c r="F5447" s="61" t="n">
        <v>7</v>
      </c>
      <c r="G5447" s="62" t="n">
        <v>21.15</v>
      </c>
      <c r="H5447" s="63" t="n">
        <v>0.089</v>
      </c>
      <c r="I5447" s="62" t="n">
        <v>16.96</v>
      </c>
      <c r="J5447" s="58" t="inlineStr">
        <is>
          <t>Online</t>
        </is>
      </c>
      <c r="K5447" s="62">
        <f>F5447*(G5447-H5447)</f>
        <v/>
      </c>
      <c r="L5447" s="62">
        <f>K5447-(F5447*I5447)</f>
        <v/>
      </c>
      <c r="M5447" s="64">
        <f>L5447/K5447</f>
        <v/>
      </c>
    </row>
    <row r="5448">
      <c r="A5448" s="58" t="inlineStr">
        <is>
          <t>RT20250519-05447</t>
        </is>
      </c>
      <c r="B5448" s="59" t="inlineStr">
        <is>
          <t>2025-05-19</t>
        </is>
      </c>
      <c r="C5448" s="60" t="inlineStr">
        <is>
          <t>Metro Fragrance Lite-261</t>
        </is>
      </c>
      <c r="D5448" s="58" t="inlineStr">
        <is>
          <t>Beauty</t>
        </is>
      </c>
      <c r="E5448" s="58" t="inlineStr">
        <is>
          <t>East</t>
        </is>
      </c>
      <c r="F5448" s="61" t="n">
        <v>3</v>
      </c>
      <c r="G5448" s="62" t="n">
        <v>103.84</v>
      </c>
      <c r="H5448" s="63" t="n">
        <v>0.055</v>
      </c>
      <c r="I5448" s="62" t="n">
        <v>56.84</v>
      </c>
      <c r="J5448" s="58" t="inlineStr">
        <is>
          <t>Online</t>
        </is>
      </c>
      <c r="K5448" s="62">
        <f>F5448*(G5448-H5448)</f>
        <v/>
      </c>
      <c r="L5448" s="62">
        <f>K5448-(F5448*I5448)</f>
        <v/>
      </c>
      <c r="M5448" s="64">
        <f>L5448/K5448</f>
        <v/>
      </c>
    </row>
    <row r="5449">
      <c r="A5449" s="58" t="inlineStr">
        <is>
          <t>RT20250519-05448</t>
        </is>
      </c>
      <c r="B5449" s="59" t="inlineStr">
        <is>
          <t>2025-05-19</t>
        </is>
      </c>
      <c r="C5449" s="60" t="inlineStr">
        <is>
          <t>Aurora Appliance Lite-109</t>
        </is>
      </c>
      <c r="D5449" s="58" t="inlineStr">
        <is>
          <t>Home</t>
        </is>
      </c>
      <c r="E5449" s="58" t="inlineStr">
        <is>
          <t>East</t>
        </is>
      </c>
      <c r="F5449" s="61" t="n">
        <v>3</v>
      </c>
      <c r="G5449" s="62" t="n">
        <v>299.44</v>
      </c>
      <c r="H5449" s="63" t="n">
        <v>0.053</v>
      </c>
      <c r="I5449" s="62" t="n">
        <v>204.92</v>
      </c>
      <c r="J5449" s="58" t="inlineStr">
        <is>
          <t>Online</t>
        </is>
      </c>
      <c r="K5449" s="62">
        <f>F5449*(G5449-H5449)</f>
        <v/>
      </c>
      <c r="L5449" s="62">
        <f>K5449-(F5449*I5449)</f>
        <v/>
      </c>
      <c r="M5449" s="64">
        <f>L5449/K5449</f>
        <v/>
      </c>
    </row>
    <row r="5450">
      <c r="A5450" s="58" t="inlineStr">
        <is>
          <t>RT20250519-05449</t>
        </is>
      </c>
      <c r="B5450" s="59" t="inlineStr">
        <is>
          <t>2025-05-19</t>
        </is>
      </c>
      <c r="C5450" s="60" t="inlineStr">
        <is>
          <t>Orion Kitchen Pro-568</t>
        </is>
      </c>
      <c r="D5450" s="58" t="inlineStr">
        <is>
          <t>Home</t>
        </is>
      </c>
      <c r="E5450" s="58" t="inlineStr">
        <is>
          <t>Central</t>
        </is>
      </c>
      <c r="F5450" s="61" t="n">
        <v>1</v>
      </c>
      <c r="G5450" s="62" t="n">
        <v>417.34</v>
      </c>
      <c r="H5450" s="63" t="n">
        <v>0.031</v>
      </c>
      <c r="I5450" s="62" t="n">
        <v>304.66</v>
      </c>
      <c r="J5450" s="58" t="inlineStr">
        <is>
          <t>Online</t>
        </is>
      </c>
      <c r="K5450" s="62">
        <f>F5450*(G5450-H5450)</f>
        <v/>
      </c>
      <c r="L5450" s="62">
        <f>K5450-(F5450*I5450)</f>
        <v/>
      </c>
      <c r="M5450" s="64">
        <f>L5450/K5450</f>
        <v/>
      </c>
    </row>
    <row r="5451">
      <c r="A5451" s="58" t="inlineStr">
        <is>
          <t>RT20250519-05450</t>
        </is>
      </c>
      <c r="B5451" s="59" t="inlineStr">
        <is>
          <t>2025-05-19</t>
        </is>
      </c>
      <c r="C5451" s="60" t="inlineStr">
        <is>
          <t>Falcon Furniture Plus-839</t>
        </is>
      </c>
      <c r="D5451" s="58" t="inlineStr">
        <is>
          <t>Office</t>
        </is>
      </c>
      <c r="E5451" s="58" t="inlineStr">
        <is>
          <t>North</t>
        </is>
      </c>
      <c r="F5451" s="61" t="n">
        <v>1</v>
      </c>
      <c r="G5451" s="62" t="n">
        <v>320.56</v>
      </c>
      <c r="H5451" s="63" t="n">
        <v>0.011</v>
      </c>
      <c r="I5451" s="62" t="n">
        <v>226.63</v>
      </c>
      <c r="J5451" s="58" t="inlineStr">
        <is>
          <t>Store</t>
        </is>
      </c>
      <c r="K5451" s="62">
        <f>F5451*(G5451-H5451)</f>
        <v/>
      </c>
      <c r="L5451" s="62">
        <f>K5451-(F5451*I5451)</f>
        <v/>
      </c>
      <c r="M5451" s="64">
        <f>L5451/K5451</f>
        <v/>
      </c>
    </row>
    <row r="5452">
      <c r="A5452" s="58" t="inlineStr">
        <is>
          <t>RT20250519-05451</t>
        </is>
      </c>
      <c r="B5452" s="59" t="inlineStr">
        <is>
          <t>2025-05-19</t>
        </is>
      </c>
      <c r="C5452" s="60" t="inlineStr">
        <is>
          <t>Solace Snack S-691</t>
        </is>
      </c>
      <c r="D5452" s="58" t="inlineStr">
        <is>
          <t>Grocery</t>
        </is>
      </c>
      <c r="E5452" s="58" t="inlineStr">
        <is>
          <t>North</t>
        </is>
      </c>
      <c r="F5452" s="61" t="n">
        <v>3</v>
      </c>
      <c r="G5452" s="62" t="n">
        <v>9.43</v>
      </c>
      <c r="H5452" s="63" t="n">
        <v>0.05</v>
      </c>
      <c r="I5452" s="62" t="n">
        <v>7.2</v>
      </c>
      <c r="J5452" s="58" t="inlineStr">
        <is>
          <t>Online</t>
        </is>
      </c>
      <c r="K5452" s="62">
        <f>F5452*(G5452-H5452)</f>
        <v/>
      </c>
      <c r="L5452" s="62">
        <f>K5452-(F5452*I5452)</f>
        <v/>
      </c>
      <c r="M5452" s="64">
        <f>L5452/K5452</f>
        <v/>
      </c>
    </row>
    <row r="5453">
      <c r="A5453" s="58" t="inlineStr">
        <is>
          <t>RT20250519-05452</t>
        </is>
      </c>
      <c r="B5453" s="59" t="inlineStr">
        <is>
          <t>2025-05-19</t>
        </is>
      </c>
      <c r="C5453" s="60" t="inlineStr">
        <is>
          <t>Nimbus Decor Lite-385</t>
        </is>
      </c>
      <c r="D5453" s="58" t="inlineStr">
        <is>
          <t>Home</t>
        </is>
      </c>
      <c r="E5453" s="58" t="inlineStr">
        <is>
          <t>Central</t>
        </is>
      </c>
      <c r="F5453" s="61" t="n">
        <v>3</v>
      </c>
      <c r="G5453" s="62" t="n">
        <v>524.24</v>
      </c>
      <c r="H5453" s="63" t="n">
        <v>0.074</v>
      </c>
      <c r="I5453" s="62" t="n">
        <v>388.29</v>
      </c>
      <c r="J5453" s="58" t="inlineStr">
        <is>
          <t>Online</t>
        </is>
      </c>
      <c r="K5453" s="62">
        <f>F5453*(G5453-H5453)</f>
        <v/>
      </c>
      <c r="L5453" s="62">
        <f>K5453-(F5453*I5453)</f>
        <v/>
      </c>
      <c r="M5453" s="64">
        <f>L5453/K5453</f>
        <v/>
      </c>
    </row>
    <row r="5454">
      <c r="A5454" s="58" t="inlineStr">
        <is>
          <t>RT20250519-05453</t>
        </is>
      </c>
      <c r="B5454" s="59" t="inlineStr">
        <is>
          <t>2025-05-19</t>
        </is>
      </c>
      <c r="C5454" s="60" t="inlineStr">
        <is>
          <t>Falcon Household Plus-796</t>
        </is>
      </c>
      <c r="D5454" s="58" t="inlineStr">
        <is>
          <t>Grocery</t>
        </is>
      </c>
      <c r="E5454" s="58" t="inlineStr">
        <is>
          <t>West</t>
        </is>
      </c>
      <c r="F5454" s="61" t="n">
        <v>7</v>
      </c>
      <c r="G5454" s="62" t="n">
        <v>24.22</v>
      </c>
      <c r="H5454" s="63" t="n">
        <v>0.109</v>
      </c>
      <c r="I5454" s="62" t="n">
        <v>17.35</v>
      </c>
      <c r="J5454" s="58" t="inlineStr">
        <is>
          <t>Online</t>
        </is>
      </c>
      <c r="K5454" s="62">
        <f>F5454*(G5454-H5454)</f>
        <v/>
      </c>
      <c r="L5454" s="62">
        <f>K5454-(F5454*I5454)</f>
        <v/>
      </c>
      <c r="M5454" s="64">
        <f>L5454/K5454</f>
        <v/>
      </c>
    </row>
    <row r="5455">
      <c r="A5455" s="58" t="inlineStr">
        <is>
          <t>RT20250520-05454</t>
        </is>
      </c>
      <c r="B5455" s="59" t="inlineStr">
        <is>
          <t>2025-05-20</t>
        </is>
      </c>
      <c r="C5455" s="60" t="inlineStr">
        <is>
          <t>Solace Snack S-691</t>
        </is>
      </c>
      <c r="D5455" s="58" t="inlineStr">
        <is>
          <t>Grocery</t>
        </is>
      </c>
      <c r="E5455" s="58" t="inlineStr">
        <is>
          <t>East</t>
        </is>
      </c>
      <c r="F5455" s="61" t="n">
        <v>2</v>
      </c>
      <c r="G5455" s="62" t="n">
        <v>8.640000000000001</v>
      </c>
      <c r="H5455" s="63" t="n">
        <v>0.026</v>
      </c>
      <c r="I5455" s="62" t="n">
        <v>7.27</v>
      </c>
      <c r="J5455" s="58" t="inlineStr">
        <is>
          <t>Online</t>
        </is>
      </c>
      <c r="K5455" s="62">
        <f>F5455*(G5455-H5455)</f>
        <v/>
      </c>
      <c r="L5455" s="62">
        <f>K5455-(F5455*I5455)</f>
        <v/>
      </c>
      <c r="M5455" s="64">
        <f>L5455/K5455</f>
        <v/>
      </c>
    </row>
    <row r="5456">
      <c r="A5456" s="58" t="inlineStr">
        <is>
          <t>RT20250520-05455</t>
        </is>
      </c>
      <c r="B5456" s="59" t="inlineStr">
        <is>
          <t>2025-05-20</t>
        </is>
      </c>
      <c r="C5456" s="60" t="inlineStr">
        <is>
          <t>Metro Accessorie Max-316</t>
        </is>
      </c>
      <c r="D5456" s="58" t="inlineStr">
        <is>
          <t>Apparel</t>
        </is>
      </c>
      <c r="E5456" s="58" t="inlineStr">
        <is>
          <t>Central</t>
        </is>
      </c>
      <c r="F5456" s="61" t="n">
        <v>3</v>
      </c>
      <c r="G5456" s="62" t="n">
        <v>175.33</v>
      </c>
      <c r="H5456" s="63" t="n">
        <v>0.061</v>
      </c>
      <c r="I5456" s="62" t="n">
        <v>90.87</v>
      </c>
      <c r="J5456" s="58" t="inlineStr">
        <is>
          <t>Online</t>
        </is>
      </c>
      <c r="K5456" s="62">
        <f>F5456*(G5456-H5456)</f>
        <v/>
      </c>
      <c r="L5456" s="62">
        <f>K5456-(F5456*I5456)</f>
        <v/>
      </c>
      <c r="M5456" s="64">
        <f>L5456/K5456</f>
        <v/>
      </c>
    </row>
    <row r="5457">
      <c r="A5457" s="58" t="inlineStr">
        <is>
          <t>RT20250520-05456</t>
        </is>
      </c>
      <c r="B5457" s="59" t="inlineStr">
        <is>
          <t>2025-05-20</t>
        </is>
      </c>
      <c r="C5457" s="60" t="inlineStr">
        <is>
          <t>Metro Fragrance Lite-261</t>
        </is>
      </c>
      <c r="D5457" s="58" t="inlineStr">
        <is>
          <t>Beauty</t>
        </is>
      </c>
      <c r="E5457" s="58" t="inlineStr">
        <is>
          <t>South</t>
        </is>
      </c>
      <c r="F5457" s="61" t="n">
        <v>5</v>
      </c>
      <c r="G5457" s="62" t="n">
        <v>85.48999999999999</v>
      </c>
      <c r="H5457" s="63" t="n">
        <v>0.104</v>
      </c>
      <c r="I5457" s="62" t="n">
        <v>55.7</v>
      </c>
      <c r="J5457" s="58" t="inlineStr">
        <is>
          <t>Store</t>
        </is>
      </c>
      <c r="K5457" s="62">
        <f>F5457*(G5457-H5457)</f>
        <v/>
      </c>
      <c r="L5457" s="62">
        <f>K5457-(F5457*I5457)</f>
        <v/>
      </c>
      <c r="M5457" s="64">
        <f>L5457/K5457</f>
        <v/>
      </c>
    </row>
    <row r="5458">
      <c r="A5458" s="58" t="inlineStr">
        <is>
          <t>RT20250520-05457</t>
        </is>
      </c>
      <c r="B5458" s="59" t="inlineStr">
        <is>
          <t>2025-05-20</t>
        </is>
      </c>
      <c r="C5458" s="60" t="inlineStr">
        <is>
          <t>Metro Fragrance Lite-261</t>
        </is>
      </c>
      <c r="D5458" s="58" t="inlineStr">
        <is>
          <t>Beauty</t>
        </is>
      </c>
      <c r="E5458" s="58" t="inlineStr">
        <is>
          <t>North</t>
        </is>
      </c>
      <c r="F5458" s="61" t="n">
        <v>5</v>
      </c>
      <c r="G5458" s="62" t="n">
        <v>92.28</v>
      </c>
      <c r="H5458" s="63" t="n">
        <v>0.056</v>
      </c>
      <c r="I5458" s="62" t="n">
        <v>55.67</v>
      </c>
      <c r="J5458" s="58" t="inlineStr">
        <is>
          <t>Online</t>
        </is>
      </c>
      <c r="K5458" s="62">
        <f>F5458*(G5458-H5458)</f>
        <v/>
      </c>
      <c r="L5458" s="62">
        <f>K5458-(F5458*I5458)</f>
        <v/>
      </c>
      <c r="M5458" s="64">
        <f>L5458/K5458</f>
        <v/>
      </c>
    </row>
    <row r="5459">
      <c r="A5459" s="58" t="inlineStr">
        <is>
          <t>RT20250520-05458</t>
        </is>
      </c>
      <c r="B5459" s="59" t="inlineStr">
        <is>
          <t>2025-05-20</t>
        </is>
      </c>
      <c r="C5459" s="60" t="inlineStr">
        <is>
          <t>Vertex Appliance S-159</t>
        </is>
      </c>
      <c r="D5459" s="58" t="inlineStr">
        <is>
          <t>Home</t>
        </is>
      </c>
      <c r="E5459" s="58" t="inlineStr">
        <is>
          <t>North</t>
        </is>
      </c>
      <c r="F5459" s="61" t="n">
        <v>3</v>
      </c>
      <c r="G5459" s="62" t="n">
        <v>414.99</v>
      </c>
      <c r="H5459" s="63" t="n">
        <v>0.053</v>
      </c>
      <c r="I5459" s="62" t="n">
        <v>298.57</v>
      </c>
      <c r="J5459" s="58" t="inlineStr">
        <is>
          <t>Store</t>
        </is>
      </c>
      <c r="K5459" s="62">
        <f>F5459*(G5459-H5459)</f>
        <v/>
      </c>
      <c r="L5459" s="62">
        <f>K5459-(F5459*I5459)</f>
        <v/>
      </c>
      <c r="M5459" s="64">
        <f>L5459/K5459</f>
        <v/>
      </c>
    </row>
    <row r="5460">
      <c r="A5460" s="58" t="inlineStr">
        <is>
          <t>RT20250520-05459</t>
        </is>
      </c>
      <c r="B5460" s="59" t="inlineStr">
        <is>
          <t>2025-05-20</t>
        </is>
      </c>
      <c r="C5460" s="60" t="inlineStr">
        <is>
          <t>Orion Supplie S-612</t>
        </is>
      </c>
      <c r="D5460" s="58" t="inlineStr">
        <is>
          <t>Office</t>
        </is>
      </c>
      <c r="E5460" s="58" t="inlineStr">
        <is>
          <t>West</t>
        </is>
      </c>
      <c r="F5460" s="61" t="n">
        <v>1</v>
      </c>
      <c r="G5460" s="62" t="n">
        <v>466.32</v>
      </c>
      <c r="H5460" s="63" t="n">
        <v>0.063</v>
      </c>
      <c r="I5460" s="62" t="n">
        <v>342.09</v>
      </c>
      <c r="J5460" s="58" t="inlineStr">
        <is>
          <t>Store</t>
        </is>
      </c>
      <c r="K5460" s="62">
        <f>F5460*(G5460-H5460)</f>
        <v/>
      </c>
      <c r="L5460" s="62">
        <f>K5460-(F5460*I5460)</f>
        <v/>
      </c>
      <c r="M5460" s="64">
        <f>L5460/K5460</f>
        <v/>
      </c>
    </row>
    <row r="5461">
      <c r="A5461" s="58" t="inlineStr">
        <is>
          <t>RT20250520-05460</t>
        </is>
      </c>
      <c r="B5461" s="59" t="inlineStr">
        <is>
          <t>2025-05-20</t>
        </is>
      </c>
      <c r="C5461" s="60" t="inlineStr">
        <is>
          <t>Polar Cycling X-649</t>
        </is>
      </c>
      <c r="D5461" s="58" t="inlineStr">
        <is>
          <t>Sports</t>
        </is>
      </c>
      <c r="E5461" s="58" t="inlineStr">
        <is>
          <t>Central</t>
        </is>
      </c>
      <c r="F5461" s="61" t="n">
        <v>3</v>
      </c>
      <c r="G5461" s="62" t="n">
        <v>563.35</v>
      </c>
      <c r="H5461" s="63" t="n">
        <v>0.073</v>
      </c>
      <c r="I5461" s="62" t="n">
        <v>359.71</v>
      </c>
      <c r="J5461" s="58" t="inlineStr">
        <is>
          <t>Online</t>
        </is>
      </c>
      <c r="K5461" s="62">
        <f>F5461*(G5461-H5461)</f>
        <v/>
      </c>
      <c r="L5461" s="62">
        <f>K5461-(F5461*I5461)</f>
        <v/>
      </c>
      <c r="M5461" s="64">
        <f>L5461/K5461</f>
        <v/>
      </c>
    </row>
    <row r="5462">
      <c r="A5462" s="58" t="inlineStr">
        <is>
          <t>RT20250520-05461</t>
        </is>
      </c>
      <c r="B5462" s="59" t="inlineStr">
        <is>
          <t>2025-05-20</t>
        </is>
      </c>
      <c r="C5462" s="60" t="inlineStr">
        <is>
          <t>Aurora Haircare S-975</t>
        </is>
      </c>
      <c r="D5462" s="58" t="inlineStr">
        <is>
          <t>Beauty</t>
        </is>
      </c>
      <c r="E5462" s="58" t="inlineStr">
        <is>
          <t>North</t>
        </is>
      </c>
      <c r="F5462" s="61" t="n">
        <v>3</v>
      </c>
      <c r="G5462" s="62" t="n">
        <v>86.65000000000001</v>
      </c>
      <c r="H5462" s="63" t="n">
        <v>0.005</v>
      </c>
      <c r="I5462" s="62" t="n">
        <v>56.95</v>
      </c>
      <c r="J5462" s="58" t="inlineStr">
        <is>
          <t>Online</t>
        </is>
      </c>
      <c r="K5462" s="62">
        <f>F5462*(G5462-H5462)</f>
        <v/>
      </c>
      <c r="L5462" s="62">
        <f>K5462-(F5462*I5462)</f>
        <v/>
      </c>
      <c r="M5462" s="64">
        <f>L5462/K5462</f>
        <v/>
      </c>
    </row>
    <row r="5463">
      <c r="A5463" s="58" t="inlineStr">
        <is>
          <t>RT20250520-05462</t>
        </is>
      </c>
      <c r="B5463" s="59" t="inlineStr">
        <is>
          <t>2025-05-20</t>
        </is>
      </c>
      <c r="C5463" s="60" t="inlineStr">
        <is>
          <t>Polar Bedding Lite-243</t>
        </is>
      </c>
      <c r="D5463" s="58" t="inlineStr">
        <is>
          <t>Home</t>
        </is>
      </c>
      <c r="E5463" s="58" t="inlineStr">
        <is>
          <t>Central</t>
        </is>
      </c>
      <c r="F5463" s="61" t="n">
        <v>2</v>
      </c>
      <c r="G5463" s="62" t="n">
        <v>480.71</v>
      </c>
      <c r="H5463" s="63" t="n">
        <v>0.066</v>
      </c>
      <c r="I5463" s="62" t="n">
        <v>313.75</v>
      </c>
      <c r="J5463" s="58" t="inlineStr">
        <is>
          <t>Store</t>
        </is>
      </c>
      <c r="K5463" s="62">
        <f>F5463*(G5463-H5463)</f>
        <v/>
      </c>
      <c r="L5463" s="62">
        <f>K5463-(F5463*I5463)</f>
        <v/>
      </c>
      <c r="M5463" s="64">
        <f>L5463/K5463</f>
        <v/>
      </c>
    </row>
    <row r="5464">
      <c r="A5464" s="58" t="inlineStr">
        <is>
          <t>RT20250520-05463</t>
        </is>
      </c>
      <c r="B5464" s="59" t="inlineStr">
        <is>
          <t>2025-05-20</t>
        </is>
      </c>
      <c r="C5464" s="60" t="inlineStr">
        <is>
          <t>Aurora Fitnes Lite-194</t>
        </is>
      </c>
      <c r="D5464" s="58" t="inlineStr">
        <is>
          <t>Sports</t>
        </is>
      </c>
      <c r="E5464" s="58" t="inlineStr">
        <is>
          <t>East</t>
        </is>
      </c>
      <c r="F5464" s="61" t="n">
        <v>3</v>
      </c>
      <c r="G5464" s="62" t="n">
        <v>688.04</v>
      </c>
      <c r="H5464" s="63" t="n">
        <v>0.08</v>
      </c>
      <c r="I5464" s="62" t="n">
        <v>476.17</v>
      </c>
      <c r="J5464" s="58" t="inlineStr">
        <is>
          <t>Online</t>
        </is>
      </c>
      <c r="K5464" s="62">
        <f>F5464*(G5464-H5464)</f>
        <v/>
      </c>
      <c r="L5464" s="62">
        <f>K5464-(F5464*I5464)</f>
        <v/>
      </c>
      <c r="M5464" s="64">
        <f>L5464/K5464</f>
        <v/>
      </c>
    </row>
    <row r="5465">
      <c r="A5465" s="58" t="inlineStr">
        <is>
          <t>RT20250520-05464</t>
        </is>
      </c>
      <c r="B5465" s="59" t="inlineStr">
        <is>
          <t>2025-05-20</t>
        </is>
      </c>
      <c r="C5465" s="60" t="inlineStr">
        <is>
          <t>Solace Kitchen Pro-510</t>
        </is>
      </c>
      <c r="D5465" s="58" t="inlineStr">
        <is>
          <t>Home</t>
        </is>
      </c>
      <c r="E5465" s="58" t="inlineStr">
        <is>
          <t>South</t>
        </is>
      </c>
      <c r="F5465" s="61" t="n">
        <v>3</v>
      </c>
      <c r="G5465" s="62" t="n">
        <v>511.58</v>
      </c>
      <c r="H5465" s="63" t="n">
        <v>0.036</v>
      </c>
      <c r="I5465" s="62" t="n">
        <v>307.07</v>
      </c>
      <c r="J5465" s="58" t="inlineStr">
        <is>
          <t>Store</t>
        </is>
      </c>
      <c r="K5465" s="62">
        <f>F5465*(G5465-H5465)</f>
        <v/>
      </c>
      <c r="L5465" s="62">
        <f>K5465-(F5465*I5465)</f>
        <v/>
      </c>
      <c r="M5465" s="64">
        <f>L5465/K5465</f>
        <v/>
      </c>
    </row>
    <row r="5466">
      <c r="A5466" s="58" t="inlineStr">
        <is>
          <t>RT20250520-05465</t>
        </is>
      </c>
      <c r="B5466" s="59" t="inlineStr">
        <is>
          <t>2025-05-20</t>
        </is>
      </c>
      <c r="C5466" s="60" t="inlineStr">
        <is>
          <t>Nimbus Headphone X-854</t>
        </is>
      </c>
      <c r="D5466" s="58" t="inlineStr">
        <is>
          <t>Electronics</t>
        </is>
      </c>
      <c r="E5466" s="58" t="inlineStr">
        <is>
          <t>East</t>
        </is>
      </c>
      <c r="F5466" s="61" t="n">
        <v>2</v>
      </c>
      <c r="G5466" s="62" t="n">
        <v>1746.3</v>
      </c>
      <c r="H5466" s="63" t="n">
        <v>0.032</v>
      </c>
      <c r="I5466" s="62" t="n">
        <v>1273.22</v>
      </c>
      <c r="J5466" s="58" t="inlineStr">
        <is>
          <t>Online</t>
        </is>
      </c>
      <c r="K5466" s="62">
        <f>F5466*(G5466-H5466)</f>
        <v/>
      </c>
      <c r="L5466" s="62">
        <f>K5466-(F5466*I5466)</f>
        <v/>
      </c>
      <c r="M5466" s="64">
        <f>L5466/K5466</f>
        <v/>
      </c>
    </row>
    <row r="5467">
      <c r="A5467" s="58" t="inlineStr">
        <is>
          <t>RT20250520-05466</t>
        </is>
      </c>
      <c r="B5467" s="59" t="inlineStr">
        <is>
          <t>2025-05-20</t>
        </is>
      </c>
      <c r="C5467" s="60" t="inlineStr">
        <is>
          <t>Vertex Printer Max-692</t>
        </is>
      </c>
      <c r="D5467" s="58" t="inlineStr">
        <is>
          <t>Office</t>
        </is>
      </c>
      <c r="E5467" s="58" t="inlineStr">
        <is>
          <t>West</t>
        </is>
      </c>
      <c r="F5467" s="61" t="n">
        <v>1</v>
      </c>
      <c r="G5467" s="62" t="n">
        <v>170.87</v>
      </c>
      <c r="H5467" s="63" t="n">
        <v>0.013</v>
      </c>
      <c r="I5467" s="62" t="n">
        <v>120.31</v>
      </c>
      <c r="J5467" s="58" t="inlineStr">
        <is>
          <t>Online</t>
        </is>
      </c>
      <c r="K5467" s="62">
        <f>F5467*(G5467-H5467)</f>
        <v/>
      </c>
      <c r="L5467" s="62">
        <f>K5467-(F5467*I5467)</f>
        <v/>
      </c>
      <c r="M5467" s="64">
        <f>L5467/K5467</f>
        <v/>
      </c>
    </row>
    <row r="5468">
      <c r="A5468" s="58" t="inlineStr">
        <is>
          <t>RT20250520-05467</t>
        </is>
      </c>
      <c r="B5468" s="59" t="inlineStr">
        <is>
          <t>2025-05-20</t>
        </is>
      </c>
      <c r="C5468" s="60" t="inlineStr">
        <is>
          <t>Falcon Kitchen X-130</t>
        </is>
      </c>
      <c r="D5468" s="58" t="inlineStr">
        <is>
          <t>Home</t>
        </is>
      </c>
      <c r="E5468" s="58" t="inlineStr">
        <is>
          <t>South</t>
        </is>
      </c>
      <c r="F5468" s="61" t="n">
        <v>1</v>
      </c>
      <c r="G5468" s="62" t="n">
        <v>427.47</v>
      </c>
      <c r="H5468" s="63" t="n">
        <v>0.029</v>
      </c>
      <c r="I5468" s="62" t="n">
        <v>286.99</v>
      </c>
      <c r="J5468" s="58" t="inlineStr">
        <is>
          <t>Online</t>
        </is>
      </c>
      <c r="K5468" s="62">
        <f>F5468*(G5468-H5468)</f>
        <v/>
      </c>
      <c r="L5468" s="62">
        <f>K5468-(F5468*I5468)</f>
        <v/>
      </c>
      <c r="M5468" s="64">
        <f>L5468/K5468</f>
        <v/>
      </c>
    </row>
    <row r="5469">
      <c r="A5469" s="58" t="inlineStr">
        <is>
          <t>RT20250520-05468</t>
        </is>
      </c>
      <c r="B5469" s="59" t="inlineStr">
        <is>
          <t>2025-05-20</t>
        </is>
      </c>
      <c r="C5469" s="60" t="inlineStr">
        <is>
          <t>Falcon Household Plus-172</t>
        </is>
      </c>
      <c r="D5469" s="58" t="inlineStr">
        <is>
          <t>Grocery</t>
        </is>
      </c>
      <c r="E5469" s="58" t="inlineStr">
        <is>
          <t>West</t>
        </is>
      </c>
      <c r="F5469" s="61" t="n">
        <v>2</v>
      </c>
      <c r="G5469" s="62" t="n">
        <v>21.7</v>
      </c>
      <c r="H5469" s="63" t="n">
        <v>0.041</v>
      </c>
      <c r="I5469" s="62" t="n">
        <v>16.24</v>
      </c>
      <c r="J5469" s="58" t="inlineStr">
        <is>
          <t>Store</t>
        </is>
      </c>
      <c r="K5469" s="62">
        <f>F5469*(G5469-H5469)</f>
        <v/>
      </c>
      <c r="L5469" s="62">
        <f>K5469-(F5469*I5469)</f>
        <v/>
      </c>
      <c r="M5469" s="64">
        <f>L5469/K5469</f>
        <v/>
      </c>
    </row>
    <row r="5470">
      <c r="A5470" s="58" t="inlineStr">
        <is>
          <t>RT20250520-05469</t>
        </is>
      </c>
      <c r="B5470" s="59" t="inlineStr">
        <is>
          <t>2025-05-20</t>
        </is>
      </c>
      <c r="C5470" s="60" t="inlineStr">
        <is>
          <t>Aurora Printer Plus-723</t>
        </is>
      </c>
      <c r="D5470" s="58" t="inlineStr">
        <is>
          <t>Office</t>
        </is>
      </c>
      <c r="E5470" s="58" t="inlineStr">
        <is>
          <t>South</t>
        </is>
      </c>
      <c r="F5470" s="61" t="n">
        <v>2</v>
      </c>
      <c r="G5470" s="62" t="n">
        <v>274.88</v>
      </c>
      <c r="H5470" s="63" t="n">
        <v>0.08599999999999999</v>
      </c>
      <c r="I5470" s="62" t="n">
        <v>184.11</v>
      </c>
      <c r="J5470" s="58" t="inlineStr">
        <is>
          <t>Store</t>
        </is>
      </c>
      <c r="K5470" s="62">
        <f>F5470*(G5470-H5470)</f>
        <v/>
      </c>
      <c r="L5470" s="62">
        <f>K5470-(F5470*I5470)</f>
        <v/>
      </c>
      <c r="M5470" s="64">
        <f>L5470/K5470</f>
        <v/>
      </c>
    </row>
    <row r="5471">
      <c r="A5471" s="58" t="inlineStr">
        <is>
          <t>RT20250520-05470</t>
        </is>
      </c>
      <c r="B5471" s="59" t="inlineStr">
        <is>
          <t>2025-05-20</t>
        </is>
      </c>
      <c r="C5471" s="60" t="inlineStr">
        <is>
          <t>Vertex Smartphone Lite-267</t>
        </is>
      </c>
      <c r="D5471" s="58" t="inlineStr">
        <is>
          <t>Electronics</t>
        </is>
      </c>
      <c r="E5471" s="58" t="inlineStr">
        <is>
          <t>Central</t>
        </is>
      </c>
      <c r="F5471" s="61" t="n">
        <v>2</v>
      </c>
      <c r="G5471" s="62" t="n">
        <v>1218.14</v>
      </c>
      <c r="H5471" s="63" t="n">
        <v>0.034</v>
      </c>
      <c r="I5471" s="62" t="n">
        <v>958.91</v>
      </c>
      <c r="J5471" s="58" t="inlineStr">
        <is>
          <t>Online</t>
        </is>
      </c>
      <c r="K5471" s="62">
        <f>F5471*(G5471-H5471)</f>
        <v/>
      </c>
      <c r="L5471" s="62">
        <f>K5471-(F5471*I5471)</f>
        <v/>
      </c>
      <c r="M5471" s="64">
        <f>L5471/K5471</f>
        <v/>
      </c>
    </row>
    <row r="5472">
      <c r="A5472" s="58" t="inlineStr">
        <is>
          <t>RT20250520-05471</t>
        </is>
      </c>
      <c r="B5472" s="59" t="inlineStr">
        <is>
          <t>2025-05-20</t>
        </is>
      </c>
      <c r="C5472" s="60" t="inlineStr">
        <is>
          <t>Nimbus Decor Lite-385</t>
        </is>
      </c>
      <c r="D5472" s="58" t="inlineStr">
        <is>
          <t>Home</t>
        </is>
      </c>
      <c r="E5472" s="58" t="inlineStr">
        <is>
          <t>Central</t>
        </is>
      </c>
      <c r="F5472" s="61" t="n">
        <v>1</v>
      </c>
      <c r="G5472" s="62" t="n">
        <v>554.0700000000001</v>
      </c>
      <c r="H5472" s="63" t="n">
        <v>0.052</v>
      </c>
      <c r="I5472" s="62" t="n">
        <v>403.16</v>
      </c>
      <c r="J5472" s="58" t="inlineStr">
        <is>
          <t>Online</t>
        </is>
      </c>
      <c r="K5472" s="62">
        <f>F5472*(G5472-H5472)</f>
        <v/>
      </c>
      <c r="L5472" s="62">
        <f>K5472-(F5472*I5472)</f>
        <v/>
      </c>
      <c r="M5472" s="64">
        <f>L5472/K5472</f>
        <v/>
      </c>
    </row>
    <row r="5473">
      <c r="A5473" s="58" t="inlineStr">
        <is>
          <t>RT20250520-05472</t>
        </is>
      </c>
      <c r="B5473" s="59" t="inlineStr">
        <is>
          <t>2025-05-20</t>
        </is>
      </c>
      <c r="C5473" s="60" t="inlineStr">
        <is>
          <t>Vertex Accessorie Pro-881</t>
        </is>
      </c>
      <c r="D5473" s="58" t="inlineStr">
        <is>
          <t>Apparel</t>
        </is>
      </c>
      <c r="E5473" s="58" t="inlineStr">
        <is>
          <t>South</t>
        </is>
      </c>
      <c r="F5473" s="61" t="n">
        <v>4</v>
      </c>
      <c r="G5473" s="62" t="n">
        <v>118.49</v>
      </c>
      <c r="H5473" s="63" t="n">
        <v>0.024</v>
      </c>
      <c r="I5473" s="62" t="n">
        <v>63.73</v>
      </c>
      <c r="J5473" s="58" t="inlineStr">
        <is>
          <t>Store</t>
        </is>
      </c>
      <c r="K5473" s="62">
        <f>F5473*(G5473-H5473)</f>
        <v/>
      </c>
      <c r="L5473" s="62">
        <f>K5473-(F5473*I5473)</f>
        <v/>
      </c>
      <c r="M5473" s="64">
        <f>L5473/K5473</f>
        <v/>
      </c>
    </row>
    <row r="5474">
      <c r="A5474" s="58" t="inlineStr">
        <is>
          <t>RT20250520-05473</t>
        </is>
      </c>
      <c r="B5474" s="59" t="inlineStr">
        <is>
          <t>2025-05-20</t>
        </is>
      </c>
      <c r="C5474" s="60" t="inlineStr">
        <is>
          <t>Nimbus Storage Plus-646</t>
        </is>
      </c>
      <c r="D5474" s="58" t="inlineStr">
        <is>
          <t>Office</t>
        </is>
      </c>
      <c r="E5474" s="58" t="inlineStr">
        <is>
          <t>South</t>
        </is>
      </c>
      <c r="F5474" s="61" t="n">
        <v>2</v>
      </c>
      <c r="G5474" s="62" t="n">
        <v>442.23</v>
      </c>
      <c r="H5474" s="63" t="n">
        <v>0.011</v>
      </c>
      <c r="I5474" s="62" t="n">
        <v>325.71</v>
      </c>
      <c r="J5474" s="58" t="inlineStr">
        <is>
          <t>Online</t>
        </is>
      </c>
      <c r="K5474" s="62">
        <f>F5474*(G5474-H5474)</f>
        <v/>
      </c>
      <c r="L5474" s="62">
        <f>K5474-(F5474*I5474)</f>
        <v/>
      </c>
      <c r="M5474" s="64">
        <f>L5474/K5474</f>
        <v/>
      </c>
    </row>
    <row r="5475">
      <c r="A5475" s="58" t="inlineStr">
        <is>
          <t>RT20250520-05474</t>
        </is>
      </c>
      <c r="B5475" s="59" t="inlineStr">
        <is>
          <t>2025-05-20</t>
        </is>
      </c>
      <c r="C5475" s="60" t="inlineStr">
        <is>
          <t>Metro Laptop Plus-376</t>
        </is>
      </c>
      <c r="D5475" s="58" t="inlineStr">
        <is>
          <t>Electronics</t>
        </is>
      </c>
      <c r="E5475" s="58" t="inlineStr">
        <is>
          <t>West</t>
        </is>
      </c>
      <c r="F5475" s="61" t="n">
        <v>1</v>
      </c>
      <c r="G5475" s="62" t="n">
        <v>1192.77</v>
      </c>
      <c r="H5475" s="63" t="n">
        <v>0.06900000000000001</v>
      </c>
      <c r="I5475" s="62" t="n">
        <v>1057.45</v>
      </c>
      <c r="J5475" s="58" t="inlineStr">
        <is>
          <t>Online</t>
        </is>
      </c>
      <c r="K5475" s="62">
        <f>F5475*(G5475-H5475)</f>
        <v/>
      </c>
      <c r="L5475" s="62">
        <f>K5475-(F5475*I5475)</f>
        <v/>
      </c>
      <c r="M5475" s="64">
        <f>L5475/K5475</f>
        <v/>
      </c>
    </row>
    <row r="5476">
      <c r="A5476" s="58" t="inlineStr">
        <is>
          <t>RT20250520-05475</t>
        </is>
      </c>
      <c r="B5476" s="59" t="inlineStr">
        <is>
          <t>2025-05-20</t>
        </is>
      </c>
      <c r="C5476" s="60" t="inlineStr">
        <is>
          <t>Falcon Beverage Max-702</t>
        </is>
      </c>
      <c r="D5476" s="58" t="inlineStr">
        <is>
          <t>Grocery</t>
        </is>
      </c>
      <c r="E5476" s="58" t="inlineStr">
        <is>
          <t>Central</t>
        </is>
      </c>
      <c r="F5476" s="61" t="n">
        <v>5</v>
      </c>
      <c r="G5476" s="62" t="n">
        <v>26.2</v>
      </c>
      <c r="H5476" s="63" t="n">
        <v>0.043</v>
      </c>
      <c r="I5476" s="62" t="n">
        <v>19.56</v>
      </c>
      <c r="J5476" s="58" t="inlineStr">
        <is>
          <t>Online</t>
        </is>
      </c>
      <c r="K5476" s="62">
        <f>F5476*(G5476-H5476)</f>
        <v/>
      </c>
      <c r="L5476" s="62">
        <f>K5476-(F5476*I5476)</f>
        <v/>
      </c>
      <c r="M5476" s="64">
        <f>L5476/K5476</f>
        <v/>
      </c>
    </row>
    <row r="5477">
      <c r="A5477" s="58" t="inlineStr">
        <is>
          <t>RT20250520-05476</t>
        </is>
      </c>
      <c r="B5477" s="59" t="inlineStr">
        <is>
          <t>2025-05-20</t>
        </is>
      </c>
      <c r="C5477" s="60" t="inlineStr">
        <is>
          <t>Falcon Bedding S-674</t>
        </is>
      </c>
      <c r="D5477" s="58" t="inlineStr">
        <is>
          <t>Home</t>
        </is>
      </c>
      <c r="E5477" s="58" t="inlineStr">
        <is>
          <t>East</t>
        </is>
      </c>
      <c r="F5477" s="61" t="n">
        <v>2</v>
      </c>
      <c r="G5477" s="62" t="n">
        <v>749.12</v>
      </c>
      <c r="H5477" s="63" t="n">
        <v>0.044</v>
      </c>
      <c r="I5477" s="62" t="n">
        <v>448.66</v>
      </c>
      <c r="J5477" s="58" t="inlineStr">
        <is>
          <t>Online</t>
        </is>
      </c>
      <c r="K5477" s="62">
        <f>F5477*(G5477-H5477)</f>
        <v/>
      </c>
      <c r="L5477" s="62">
        <f>K5477-(F5477*I5477)</f>
        <v/>
      </c>
      <c r="M5477" s="64">
        <f>L5477/K5477</f>
        <v/>
      </c>
    </row>
    <row r="5478">
      <c r="A5478" s="58" t="inlineStr">
        <is>
          <t>RT20250520-05477</t>
        </is>
      </c>
      <c r="B5478" s="59" t="inlineStr">
        <is>
          <t>2025-05-20</t>
        </is>
      </c>
      <c r="C5478" s="60" t="inlineStr">
        <is>
          <t>Falcon Headphone Plus-789</t>
        </is>
      </c>
      <c r="D5478" s="58" t="inlineStr">
        <is>
          <t>Electronics</t>
        </is>
      </c>
      <c r="E5478" s="58" t="inlineStr">
        <is>
          <t>East</t>
        </is>
      </c>
      <c r="F5478" s="61" t="n">
        <v>1</v>
      </c>
      <c r="G5478" s="62" t="n">
        <v>1762.02</v>
      </c>
      <c r="H5478" s="63" t="n">
        <v>0.073</v>
      </c>
      <c r="I5478" s="62" t="n">
        <v>1285.11</v>
      </c>
      <c r="J5478" s="58" t="inlineStr">
        <is>
          <t>Store</t>
        </is>
      </c>
      <c r="K5478" s="62">
        <f>F5478*(G5478-H5478)</f>
        <v/>
      </c>
      <c r="L5478" s="62">
        <f>K5478-(F5478*I5478)</f>
        <v/>
      </c>
      <c r="M5478" s="64">
        <f>L5478/K5478</f>
        <v/>
      </c>
    </row>
    <row r="5479">
      <c r="A5479" s="58" t="inlineStr">
        <is>
          <t>RT20250520-05478</t>
        </is>
      </c>
      <c r="B5479" s="59" t="inlineStr">
        <is>
          <t>2025-05-20</t>
        </is>
      </c>
      <c r="C5479" s="60" t="inlineStr">
        <is>
          <t>Nimbus Laptop Max-652</t>
        </is>
      </c>
      <c r="D5479" s="58" t="inlineStr">
        <is>
          <t>Electronics</t>
        </is>
      </c>
      <c r="E5479" s="58" t="inlineStr">
        <is>
          <t>North</t>
        </is>
      </c>
      <c r="F5479" s="61" t="n">
        <v>1</v>
      </c>
      <c r="G5479" s="62" t="n">
        <v>1389.57</v>
      </c>
      <c r="H5479" s="63" t="n">
        <v>0.068</v>
      </c>
      <c r="I5479" s="62" t="n">
        <v>1033.86</v>
      </c>
      <c r="J5479" s="58" t="inlineStr">
        <is>
          <t>Online</t>
        </is>
      </c>
      <c r="K5479" s="62">
        <f>F5479*(G5479-H5479)</f>
        <v/>
      </c>
      <c r="L5479" s="62">
        <f>K5479-(F5479*I5479)</f>
        <v/>
      </c>
      <c r="M5479" s="64">
        <f>L5479/K5479</f>
        <v/>
      </c>
    </row>
    <row r="5480">
      <c r="A5480" s="58" t="inlineStr">
        <is>
          <t>RT20250520-05479</t>
        </is>
      </c>
      <c r="B5480" s="59" t="inlineStr">
        <is>
          <t>2025-05-20</t>
        </is>
      </c>
      <c r="C5480" s="60" t="inlineStr">
        <is>
          <t>Orion Men X-928</t>
        </is>
      </c>
      <c r="D5480" s="58" t="inlineStr">
        <is>
          <t>Apparel</t>
        </is>
      </c>
      <c r="E5480" s="58" t="inlineStr">
        <is>
          <t>East</t>
        </is>
      </c>
      <c r="F5480" s="61" t="n">
        <v>2</v>
      </c>
      <c r="G5480" s="62" t="n">
        <v>111.86</v>
      </c>
      <c r="H5480" s="63" t="n">
        <v>0.056</v>
      </c>
      <c r="I5480" s="62" t="n">
        <v>60.84</v>
      </c>
      <c r="J5480" s="58" t="inlineStr">
        <is>
          <t>Online</t>
        </is>
      </c>
      <c r="K5480" s="62">
        <f>F5480*(G5480-H5480)</f>
        <v/>
      </c>
      <c r="L5480" s="62">
        <f>K5480-(F5480*I5480)</f>
        <v/>
      </c>
      <c r="M5480" s="64">
        <f>L5480/K5480</f>
        <v/>
      </c>
    </row>
    <row r="5481">
      <c r="A5481" s="58" t="inlineStr">
        <is>
          <t>RT20250520-05480</t>
        </is>
      </c>
      <c r="B5481" s="59" t="inlineStr">
        <is>
          <t>2025-05-20</t>
        </is>
      </c>
      <c r="C5481" s="60" t="inlineStr">
        <is>
          <t>Polar Beverage S-258</t>
        </is>
      </c>
      <c r="D5481" s="58" t="inlineStr">
        <is>
          <t>Grocery</t>
        </is>
      </c>
      <c r="E5481" s="58" t="inlineStr">
        <is>
          <t>Central</t>
        </is>
      </c>
      <c r="F5481" s="61" t="n">
        <v>5</v>
      </c>
      <c r="G5481" s="62" t="n">
        <v>11.93</v>
      </c>
      <c r="H5481" s="63" t="n">
        <v>0.034</v>
      </c>
      <c r="I5481" s="62" t="n">
        <v>9.529999999999999</v>
      </c>
      <c r="J5481" s="58" t="inlineStr">
        <is>
          <t>Store</t>
        </is>
      </c>
      <c r="K5481" s="62">
        <f>F5481*(G5481-H5481)</f>
        <v/>
      </c>
      <c r="L5481" s="62">
        <f>K5481-(F5481*I5481)</f>
        <v/>
      </c>
      <c r="M5481" s="64">
        <f>L5481/K5481</f>
        <v/>
      </c>
    </row>
    <row r="5482">
      <c r="A5482" s="58" t="inlineStr">
        <is>
          <t>RT20250520-05481</t>
        </is>
      </c>
      <c r="B5482" s="59" t="inlineStr">
        <is>
          <t>2025-05-20</t>
        </is>
      </c>
      <c r="C5482" s="60" t="inlineStr">
        <is>
          <t>Solace Laptop S-367</t>
        </is>
      </c>
      <c r="D5482" s="58" t="inlineStr">
        <is>
          <t>Electronics</t>
        </is>
      </c>
      <c r="E5482" s="58" t="inlineStr">
        <is>
          <t>East</t>
        </is>
      </c>
      <c r="F5482" s="61" t="n">
        <v>1</v>
      </c>
      <c r="G5482" s="62" t="n">
        <v>1701.75</v>
      </c>
      <c r="H5482" s="63" t="n">
        <v>0.09</v>
      </c>
      <c r="I5482" s="62" t="n">
        <v>1503.48</v>
      </c>
      <c r="J5482" s="58" t="inlineStr">
        <is>
          <t>Store</t>
        </is>
      </c>
      <c r="K5482" s="62">
        <f>F5482*(G5482-H5482)</f>
        <v/>
      </c>
      <c r="L5482" s="62">
        <f>K5482-(F5482*I5482)</f>
        <v/>
      </c>
      <c r="M5482" s="64">
        <f>L5482/K5482</f>
        <v/>
      </c>
    </row>
    <row r="5483">
      <c r="A5483" s="58" t="inlineStr">
        <is>
          <t>RT20250520-05482</t>
        </is>
      </c>
      <c r="B5483" s="59" t="inlineStr">
        <is>
          <t>2025-05-20</t>
        </is>
      </c>
      <c r="C5483" s="60" t="inlineStr">
        <is>
          <t>Polar Cycling S-223</t>
        </is>
      </c>
      <c r="D5483" s="58" t="inlineStr">
        <is>
          <t>Sports</t>
        </is>
      </c>
      <c r="E5483" s="58" t="inlineStr">
        <is>
          <t>North</t>
        </is>
      </c>
      <c r="F5483" s="61" t="n">
        <v>2</v>
      </c>
      <c r="G5483" s="62" t="n">
        <v>932.46</v>
      </c>
      <c r="H5483" s="63" t="n">
        <v>0.07199999999999999</v>
      </c>
      <c r="I5483" s="62" t="n">
        <v>628.7</v>
      </c>
      <c r="J5483" s="58" t="inlineStr">
        <is>
          <t>Store</t>
        </is>
      </c>
      <c r="K5483" s="62">
        <f>F5483*(G5483-H5483)</f>
        <v/>
      </c>
      <c r="L5483" s="62">
        <f>K5483-(F5483*I5483)</f>
        <v/>
      </c>
      <c r="M5483" s="64">
        <f>L5483/K5483</f>
        <v/>
      </c>
    </row>
    <row r="5484">
      <c r="A5484" s="58" t="inlineStr">
        <is>
          <t>RT20250520-05483</t>
        </is>
      </c>
      <c r="B5484" s="59" t="inlineStr">
        <is>
          <t>2025-05-20</t>
        </is>
      </c>
      <c r="C5484" s="60" t="inlineStr">
        <is>
          <t>Polar Fragrance Pro-750</t>
        </is>
      </c>
      <c r="D5484" s="58" t="inlineStr">
        <is>
          <t>Beauty</t>
        </is>
      </c>
      <c r="E5484" s="58" t="inlineStr">
        <is>
          <t>South</t>
        </is>
      </c>
      <c r="F5484" s="61" t="n">
        <v>4</v>
      </c>
      <c r="G5484" s="62" t="n">
        <v>60.62</v>
      </c>
      <c r="H5484" s="63" t="n">
        <v>0.024</v>
      </c>
      <c r="I5484" s="62" t="n">
        <v>36.58</v>
      </c>
      <c r="J5484" s="58" t="inlineStr">
        <is>
          <t>Store</t>
        </is>
      </c>
      <c r="K5484" s="62">
        <f>F5484*(G5484-H5484)</f>
        <v/>
      </c>
      <c r="L5484" s="62">
        <f>K5484-(F5484*I5484)</f>
        <v/>
      </c>
      <c r="M5484" s="64">
        <f>L5484/K5484</f>
        <v/>
      </c>
    </row>
    <row r="5485">
      <c r="A5485" s="58" t="inlineStr">
        <is>
          <t>RT20250520-05484</t>
        </is>
      </c>
      <c r="B5485" s="59" t="inlineStr">
        <is>
          <t>2025-05-20</t>
        </is>
      </c>
      <c r="C5485" s="60" t="inlineStr">
        <is>
          <t>Solace Kitchen Pro-999</t>
        </is>
      </c>
      <c r="D5485" s="58" t="inlineStr">
        <is>
          <t>Home</t>
        </is>
      </c>
      <c r="E5485" s="58" t="inlineStr">
        <is>
          <t>West</t>
        </is>
      </c>
      <c r="F5485" s="61" t="n">
        <v>3</v>
      </c>
      <c r="G5485" s="62" t="n">
        <v>362.12</v>
      </c>
      <c r="H5485" s="63" t="n">
        <v>0.049</v>
      </c>
      <c r="I5485" s="62" t="n">
        <v>267.75</v>
      </c>
      <c r="J5485" s="58" t="inlineStr">
        <is>
          <t>Online</t>
        </is>
      </c>
      <c r="K5485" s="62">
        <f>F5485*(G5485-H5485)</f>
        <v/>
      </c>
      <c r="L5485" s="62">
        <f>K5485-(F5485*I5485)</f>
        <v/>
      </c>
      <c r="M5485" s="64">
        <f>L5485/K5485</f>
        <v/>
      </c>
    </row>
    <row r="5486">
      <c r="A5486" s="58" t="inlineStr">
        <is>
          <t>RT20250521-05485</t>
        </is>
      </c>
      <c r="B5486" s="59" t="inlineStr">
        <is>
          <t>2025-05-21</t>
        </is>
      </c>
      <c r="C5486" s="60" t="inlineStr">
        <is>
          <t>Nimbus Makeup Max-158</t>
        </is>
      </c>
      <c r="D5486" s="58" t="inlineStr">
        <is>
          <t>Beauty</t>
        </is>
      </c>
      <c r="E5486" s="58" t="inlineStr">
        <is>
          <t>South</t>
        </is>
      </c>
      <c r="F5486" s="61" t="n">
        <v>2</v>
      </c>
      <c r="G5486" s="62" t="n">
        <v>156.06</v>
      </c>
      <c r="H5486" s="63" t="n">
        <v>0.025</v>
      </c>
      <c r="I5486" s="62" t="n">
        <v>95.27</v>
      </c>
      <c r="J5486" s="58" t="inlineStr">
        <is>
          <t>Online</t>
        </is>
      </c>
      <c r="K5486" s="62">
        <f>F5486*(G5486-H5486)</f>
        <v/>
      </c>
      <c r="L5486" s="62">
        <f>K5486-(F5486*I5486)</f>
        <v/>
      </c>
      <c r="M5486" s="64">
        <f>L5486/K5486</f>
        <v/>
      </c>
    </row>
    <row r="5487">
      <c r="A5487" s="58" t="inlineStr">
        <is>
          <t>RT20250521-05486</t>
        </is>
      </c>
      <c r="B5487" s="59" t="inlineStr">
        <is>
          <t>2025-05-21</t>
        </is>
      </c>
      <c r="C5487" s="60" t="inlineStr">
        <is>
          <t>Aurora Makeup S-626</t>
        </is>
      </c>
      <c r="D5487" s="58" t="inlineStr">
        <is>
          <t>Beauty</t>
        </is>
      </c>
      <c r="E5487" s="58" t="inlineStr">
        <is>
          <t>East</t>
        </is>
      </c>
      <c r="F5487" s="61" t="n">
        <v>4</v>
      </c>
      <c r="G5487" s="62" t="n">
        <v>114.01</v>
      </c>
      <c r="H5487" s="63" t="n">
        <v>0.082</v>
      </c>
      <c r="I5487" s="62" t="n">
        <v>62.96</v>
      </c>
      <c r="J5487" s="58" t="inlineStr">
        <is>
          <t>Phone</t>
        </is>
      </c>
      <c r="K5487" s="62">
        <f>F5487*(G5487-H5487)</f>
        <v/>
      </c>
      <c r="L5487" s="62">
        <f>K5487-(F5487*I5487)</f>
        <v/>
      </c>
      <c r="M5487" s="64">
        <f>L5487/K5487</f>
        <v/>
      </c>
    </row>
    <row r="5488">
      <c r="A5488" s="58" t="inlineStr">
        <is>
          <t>RT20250521-05487</t>
        </is>
      </c>
      <c r="B5488" s="59" t="inlineStr">
        <is>
          <t>2025-05-21</t>
        </is>
      </c>
      <c r="C5488" s="60" t="inlineStr">
        <is>
          <t>Orion Haircare Plus-887</t>
        </is>
      </c>
      <c r="D5488" s="58" t="inlineStr">
        <is>
          <t>Beauty</t>
        </is>
      </c>
      <c r="E5488" s="58" t="inlineStr">
        <is>
          <t>South</t>
        </is>
      </c>
      <c r="F5488" s="61" t="n">
        <v>5</v>
      </c>
      <c r="G5488" s="62" t="n">
        <v>44.25</v>
      </c>
      <c r="H5488" s="63" t="n">
        <v>0.056</v>
      </c>
      <c r="I5488" s="62" t="n">
        <v>30.44</v>
      </c>
      <c r="J5488" s="58" t="inlineStr">
        <is>
          <t>Online</t>
        </is>
      </c>
      <c r="K5488" s="62">
        <f>F5488*(G5488-H5488)</f>
        <v/>
      </c>
      <c r="L5488" s="62">
        <f>K5488-(F5488*I5488)</f>
        <v/>
      </c>
      <c r="M5488" s="64">
        <f>L5488/K5488</f>
        <v/>
      </c>
    </row>
    <row r="5489">
      <c r="A5489" s="58" t="inlineStr">
        <is>
          <t>RT20250521-05488</t>
        </is>
      </c>
      <c r="B5489" s="59" t="inlineStr">
        <is>
          <t>2025-05-21</t>
        </is>
      </c>
      <c r="C5489" s="60" t="inlineStr">
        <is>
          <t>Aurora Bedding Max-175</t>
        </is>
      </c>
      <c r="D5489" s="58" t="inlineStr">
        <is>
          <t>Home</t>
        </is>
      </c>
      <c r="E5489" s="58" t="inlineStr">
        <is>
          <t>East</t>
        </is>
      </c>
      <c r="F5489" s="61" t="n">
        <v>2</v>
      </c>
      <c r="G5489" s="62" t="n">
        <v>650.63</v>
      </c>
      <c r="H5489" s="63" t="n">
        <v>0.017</v>
      </c>
      <c r="I5489" s="62" t="n">
        <v>418.31</v>
      </c>
      <c r="J5489" s="58" t="inlineStr">
        <is>
          <t>Store</t>
        </is>
      </c>
      <c r="K5489" s="62">
        <f>F5489*(G5489-H5489)</f>
        <v/>
      </c>
      <c r="L5489" s="62">
        <f>K5489-(F5489*I5489)</f>
        <v/>
      </c>
      <c r="M5489" s="64">
        <f>L5489/K5489</f>
        <v/>
      </c>
    </row>
    <row r="5490">
      <c r="A5490" s="58" t="inlineStr">
        <is>
          <t>RT20250521-05489</t>
        </is>
      </c>
      <c r="B5490" s="59" t="inlineStr">
        <is>
          <t>2025-05-21</t>
        </is>
      </c>
      <c r="C5490" s="60" t="inlineStr">
        <is>
          <t>Polar Cycling X-649</t>
        </is>
      </c>
      <c r="D5490" s="58" t="inlineStr">
        <is>
          <t>Sports</t>
        </is>
      </c>
      <c r="E5490" s="58" t="inlineStr">
        <is>
          <t>West</t>
        </is>
      </c>
      <c r="F5490" s="61" t="n">
        <v>2</v>
      </c>
      <c r="G5490" s="62" t="n">
        <v>527.89</v>
      </c>
      <c r="H5490" s="63" t="n">
        <v>0.08500000000000001</v>
      </c>
      <c r="I5490" s="62" t="n">
        <v>364.06</v>
      </c>
      <c r="J5490" s="58" t="inlineStr">
        <is>
          <t>Online</t>
        </is>
      </c>
      <c r="K5490" s="62">
        <f>F5490*(G5490-H5490)</f>
        <v/>
      </c>
      <c r="L5490" s="62">
        <f>K5490-(F5490*I5490)</f>
        <v/>
      </c>
      <c r="M5490" s="64">
        <f>L5490/K5490</f>
        <v/>
      </c>
    </row>
    <row r="5491">
      <c r="A5491" s="58" t="inlineStr">
        <is>
          <t>RT20250521-05490</t>
        </is>
      </c>
      <c r="B5491" s="59" t="inlineStr">
        <is>
          <t>2025-05-21</t>
        </is>
      </c>
      <c r="C5491" s="60" t="inlineStr">
        <is>
          <t>Solace Kitchen Pro-510</t>
        </is>
      </c>
      <c r="D5491" s="58" t="inlineStr">
        <is>
          <t>Home</t>
        </is>
      </c>
      <c r="E5491" s="58" t="inlineStr">
        <is>
          <t>East</t>
        </is>
      </c>
      <c r="F5491" s="61" t="n">
        <v>3</v>
      </c>
      <c r="G5491" s="62" t="n">
        <v>398.66</v>
      </c>
      <c r="H5491" s="63" t="n">
        <v>0.065</v>
      </c>
      <c r="I5491" s="62" t="n">
        <v>303.15</v>
      </c>
      <c r="J5491" s="58" t="inlineStr">
        <is>
          <t>Store</t>
        </is>
      </c>
      <c r="K5491" s="62">
        <f>F5491*(G5491-H5491)</f>
        <v/>
      </c>
      <c r="L5491" s="62">
        <f>K5491-(F5491*I5491)</f>
        <v/>
      </c>
      <c r="M5491" s="64">
        <f>L5491/K5491</f>
        <v/>
      </c>
    </row>
    <row r="5492">
      <c r="A5492" s="58" t="inlineStr">
        <is>
          <t>RT20250521-05491</t>
        </is>
      </c>
      <c r="B5492" s="59" t="inlineStr">
        <is>
          <t>2025-05-21</t>
        </is>
      </c>
      <c r="C5492" s="60" t="inlineStr">
        <is>
          <t>Metro Printer X-294</t>
        </is>
      </c>
      <c r="D5492" s="58" t="inlineStr">
        <is>
          <t>Office</t>
        </is>
      </c>
      <c r="E5492" s="58" t="inlineStr">
        <is>
          <t>East</t>
        </is>
      </c>
      <c r="F5492" s="61" t="n">
        <v>1</v>
      </c>
      <c r="G5492" s="62" t="n">
        <v>566.41</v>
      </c>
      <c r="H5492" s="63" t="n">
        <v>0.096</v>
      </c>
      <c r="I5492" s="62" t="n">
        <v>416.81</v>
      </c>
      <c r="J5492" s="58" t="inlineStr">
        <is>
          <t>Store</t>
        </is>
      </c>
      <c r="K5492" s="62">
        <f>F5492*(G5492-H5492)</f>
        <v/>
      </c>
      <c r="L5492" s="62">
        <f>K5492-(F5492*I5492)</f>
        <v/>
      </c>
      <c r="M5492" s="64">
        <f>L5492/K5492</f>
        <v/>
      </c>
    </row>
    <row r="5493">
      <c r="A5493" s="58" t="inlineStr">
        <is>
          <t>RT20250521-05492</t>
        </is>
      </c>
      <c r="B5493" s="59" t="inlineStr">
        <is>
          <t>2025-05-21</t>
        </is>
      </c>
      <c r="C5493" s="60" t="inlineStr">
        <is>
          <t>Orion Men X-928</t>
        </is>
      </c>
      <c r="D5493" s="58" t="inlineStr">
        <is>
          <t>Apparel</t>
        </is>
      </c>
      <c r="E5493" s="58" t="inlineStr">
        <is>
          <t>South</t>
        </is>
      </c>
      <c r="F5493" s="61" t="n">
        <v>1</v>
      </c>
      <c r="G5493" s="62" t="n">
        <v>106.53</v>
      </c>
      <c r="H5493" s="63" t="n">
        <v>0.127</v>
      </c>
      <c r="I5493" s="62" t="n">
        <v>62.33</v>
      </c>
      <c r="J5493" s="58" t="inlineStr">
        <is>
          <t>Online</t>
        </is>
      </c>
      <c r="K5493" s="62">
        <f>F5493*(G5493-H5493)</f>
        <v/>
      </c>
      <c r="L5493" s="62">
        <f>K5493-(F5493*I5493)</f>
        <v/>
      </c>
      <c r="M5493" s="64">
        <f>L5493/K5493</f>
        <v/>
      </c>
    </row>
    <row r="5494">
      <c r="A5494" s="58" t="inlineStr">
        <is>
          <t>RT20250521-05493</t>
        </is>
      </c>
      <c r="B5494" s="59" t="inlineStr">
        <is>
          <t>2025-05-21</t>
        </is>
      </c>
      <c r="C5494" s="60" t="inlineStr">
        <is>
          <t>Vertex Men X-995</t>
        </is>
      </c>
      <c r="D5494" s="58" t="inlineStr">
        <is>
          <t>Apparel</t>
        </is>
      </c>
      <c r="E5494" s="58" t="inlineStr">
        <is>
          <t>North</t>
        </is>
      </c>
      <c r="F5494" s="61" t="n">
        <v>3</v>
      </c>
      <c r="G5494" s="62" t="n">
        <v>101.78</v>
      </c>
      <c r="H5494" s="63" t="n">
        <v>0.057</v>
      </c>
      <c r="I5494" s="62" t="n">
        <v>59.17</v>
      </c>
      <c r="J5494" s="58" t="inlineStr">
        <is>
          <t>Online</t>
        </is>
      </c>
      <c r="K5494" s="62">
        <f>F5494*(G5494-H5494)</f>
        <v/>
      </c>
      <c r="L5494" s="62">
        <f>K5494-(F5494*I5494)</f>
        <v/>
      </c>
      <c r="M5494" s="64">
        <f>L5494/K5494</f>
        <v/>
      </c>
    </row>
    <row r="5495">
      <c r="A5495" s="58" t="inlineStr">
        <is>
          <t>RT20250521-05494</t>
        </is>
      </c>
      <c r="B5495" s="59" t="inlineStr">
        <is>
          <t>2025-05-21</t>
        </is>
      </c>
      <c r="C5495" s="60" t="inlineStr">
        <is>
          <t>Vertex Furniture S-652</t>
        </is>
      </c>
      <c r="D5495" s="58" t="inlineStr">
        <is>
          <t>Office</t>
        </is>
      </c>
      <c r="E5495" s="58" t="inlineStr">
        <is>
          <t>South</t>
        </is>
      </c>
      <c r="F5495" s="61" t="n">
        <v>3</v>
      </c>
      <c r="G5495" s="62" t="n">
        <v>351.29</v>
      </c>
      <c r="H5495" s="63" t="n">
        <v>0.048</v>
      </c>
      <c r="I5495" s="62" t="n">
        <v>272.93</v>
      </c>
      <c r="J5495" s="58" t="inlineStr">
        <is>
          <t>Online</t>
        </is>
      </c>
      <c r="K5495" s="62">
        <f>F5495*(G5495-H5495)</f>
        <v/>
      </c>
      <c r="L5495" s="62">
        <f>K5495-(F5495*I5495)</f>
        <v/>
      </c>
      <c r="M5495" s="64">
        <f>L5495/K5495</f>
        <v/>
      </c>
    </row>
    <row r="5496">
      <c r="A5496" s="58" t="inlineStr">
        <is>
          <t>RT20250521-05495</t>
        </is>
      </c>
      <c r="B5496" s="59" t="inlineStr">
        <is>
          <t>2025-05-21</t>
        </is>
      </c>
      <c r="C5496" s="60" t="inlineStr">
        <is>
          <t>Vertex Appliance S-159</t>
        </is>
      </c>
      <c r="D5496" s="58" t="inlineStr">
        <is>
          <t>Home</t>
        </is>
      </c>
      <c r="E5496" s="58" t="inlineStr">
        <is>
          <t>East</t>
        </is>
      </c>
      <c r="F5496" s="61" t="n">
        <v>3</v>
      </c>
      <c r="G5496" s="62" t="n">
        <v>459.28</v>
      </c>
      <c r="H5496" s="63" t="n">
        <v>0.051</v>
      </c>
      <c r="I5496" s="62" t="n">
        <v>292.29</v>
      </c>
      <c r="J5496" s="58" t="inlineStr">
        <is>
          <t>Store</t>
        </is>
      </c>
      <c r="K5496" s="62">
        <f>F5496*(G5496-H5496)</f>
        <v/>
      </c>
      <c r="L5496" s="62">
        <f>K5496-(F5496*I5496)</f>
        <v/>
      </c>
      <c r="M5496" s="64">
        <f>L5496/K5496</f>
        <v/>
      </c>
    </row>
    <row r="5497">
      <c r="A5497" s="58" t="inlineStr">
        <is>
          <t>RT20250521-05496</t>
        </is>
      </c>
      <c r="B5497" s="59" t="inlineStr">
        <is>
          <t>2025-05-21</t>
        </is>
      </c>
      <c r="C5497" s="60" t="inlineStr">
        <is>
          <t>Vertex Smartphone Pro-256</t>
        </is>
      </c>
      <c r="D5497" s="58" t="inlineStr">
        <is>
          <t>Electronics</t>
        </is>
      </c>
      <c r="E5497" s="58" t="inlineStr">
        <is>
          <t>North</t>
        </is>
      </c>
      <c r="F5497" s="61" t="n">
        <v>2</v>
      </c>
      <c r="G5497" s="62" t="n">
        <v>1148.15</v>
      </c>
      <c r="H5497" s="63" t="n">
        <v>0.019</v>
      </c>
      <c r="I5497" s="62" t="n">
        <v>937.17</v>
      </c>
      <c r="J5497" s="58" t="inlineStr">
        <is>
          <t>Store</t>
        </is>
      </c>
      <c r="K5497" s="62">
        <f>F5497*(G5497-H5497)</f>
        <v/>
      </c>
      <c r="L5497" s="62">
        <f>K5497-(F5497*I5497)</f>
        <v/>
      </c>
      <c r="M5497" s="64">
        <f>L5497/K5497</f>
        <v/>
      </c>
    </row>
    <row r="5498">
      <c r="A5498" s="58" t="inlineStr">
        <is>
          <t>RT20250521-05497</t>
        </is>
      </c>
      <c r="B5498" s="59" t="inlineStr">
        <is>
          <t>2025-05-21</t>
        </is>
      </c>
      <c r="C5498" s="60" t="inlineStr">
        <is>
          <t>Orion Team Sport X-926</t>
        </is>
      </c>
      <c r="D5498" s="58" t="inlineStr">
        <is>
          <t>Sports</t>
        </is>
      </c>
      <c r="E5498" s="58" t="inlineStr">
        <is>
          <t>South</t>
        </is>
      </c>
      <c r="F5498" s="61" t="n">
        <v>2</v>
      </c>
      <c r="G5498" s="62" t="n">
        <v>307.2</v>
      </c>
      <c r="H5498" s="63" t="n">
        <v>0.078</v>
      </c>
      <c r="I5498" s="62" t="n">
        <v>220.06</v>
      </c>
      <c r="J5498" s="58" t="inlineStr">
        <is>
          <t>Online</t>
        </is>
      </c>
      <c r="K5498" s="62">
        <f>F5498*(G5498-H5498)</f>
        <v/>
      </c>
      <c r="L5498" s="62">
        <f>K5498-(F5498*I5498)</f>
        <v/>
      </c>
      <c r="M5498" s="64">
        <f>L5498/K5498</f>
        <v/>
      </c>
    </row>
    <row r="5499">
      <c r="A5499" s="58" t="inlineStr">
        <is>
          <t>RT20250521-05498</t>
        </is>
      </c>
      <c r="B5499" s="59" t="inlineStr">
        <is>
          <t>2025-05-21</t>
        </is>
      </c>
      <c r="C5499" s="60" t="inlineStr">
        <is>
          <t>Solace Kitchen Pro-999</t>
        </is>
      </c>
      <c r="D5499" s="58" t="inlineStr">
        <is>
          <t>Home</t>
        </is>
      </c>
      <c r="E5499" s="58" t="inlineStr">
        <is>
          <t>West</t>
        </is>
      </c>
      <c r="F5499" s="61" t="n">
        <v>3</v>
      </c>
      <c r="G5499" s="62" t="n">
        <v>364.66</v>
      </c>
      <c r="H5499" s="63" t="n">
        <v>0.141</v>
      </c>
      <c r="I5499" s="62" t="n">
        <v>268.62</v>
      </c>
      <c r="J5499" s="58" t="inlineStr">
        <is>
          <t>Online</t>
        </is>
      </c>
      <c r="K5499" s="62">
        <f>F5499*(G5499-H5499)</f>
        <v/>
      </c>
      <c r="L5499" s="62">
        <f>K5499-(F5499*I5499)</f>
        <v/>
      </c>
      <c r="M5499" s="64">
        <f>L5499/K5499</f>
        <v/>
      </c>
    </row>
    <row r="5500">
      <c r="A5500" s="58" t="inlineStr">
        <is>
          <t>RT20250521-05499</t>
        </is>
      </c>
      <c r="B5500" s="59" t="inlineStr">
        <is>
          <t>2025-05-21</t>
        </is>
      </c>
      <c r="C5500" s="60" t="inlineStr">
        <is>
          <t>Nimbus Decor Lite-385</t>
        </is>
      </c>
      <c r="D5500" s="58" t="inlineStr">
        <is>
          <t>Home</t>
        </is>
      </c>
      <c r="E5500" s="58" t="inlineStr">
        <is>
          <t>East</t>
        </is>
      </c>
      <c r="F5500" s="61" t="n">
        <v>3</v>
      </c>
      <c r="G5500" s="62" t="n">
        <v>652.75</v>
      </c>
      <c r="H5500" s="63" t="n">
        <v>0</v>
      </c>
      <c r="I5500" s="62" t="n">
        <v>402.87</v>
      </c>
      <c r="J5500" s="58" t="inlineStr">
        <is>
          <t>Store</t>
        </is>
      </c>
      <c r="K5500" s="62">
        <f>F5500*(G5500-H5500)</f>
        <v/>
      </c>
      <c r="L5500" s="62">
        <f>K5500-(F5500*I5500)</f>
        <v/>
      </c>
      <c r="M5500" s="64">
        <f>L5500/K5500</f>
        <v/>
      </c>
    </row>
    <row r="5501">
      <c r="A5501" s="58" t="inlineStr">
        <is>
          <t>RT20250521-05500</t>
        </is>
      </c>
      <c r="B5501" s="59" t="inlineStr">
        <is>
          <t>2025-05-21</t>
        </is>
      </c>
      <c r="C5501" s="60" t="inlineStr">
        <is>
          <t>Polar Men Pro-246</t>
        </is>
      </c>
      <c r="D5501" s="58" t="inlineStr">
        <is>
          <t>Apparel</t>
        </is>
      </c>
      <c r="E5501" s="58" t="inlineStr">
        <is>
          <t>West</t>
        </is>
      </c>
      <c r="F5501" s="61" t="n">
        <v>1</v>
      </c>
      <c r="G5501" s="62" t="n">
        <v>130.55</v>
      </c>
      <c r="H5501" s="63" t="n">
        <v>0.044</v>
      </c>
      <c r="I5501" s="62" t="n">
        <v>77.27</v>
      </c>
      <c r="J5501" s="58" t="inlineStr">
        <is>
          <t>Online</t>
        </is>
      </c>
      <c r="K5501" s="62">
        <f>F5501*(G5501-H5501)</f>
        <v/>
      </c>
      <c r="L5501" s="62">
        <f>K5501-(F5501*I5501)</f>
        <v/>
      </c>
      <c r="M5501" s="64">
        <f>L5501/K5501</f>
        <v/>
      </c>
    </row>
    <row r="5502">
      <c r="A5502" s="58" t="inlineStr">
        <is>
          <t>RT20250521-05501</t>
        </is>
      </c>
      <c r="B5502" s="59" t="inlineStr">
        <is>
          <t>2025-05-21</t>
        </is>
      </c>
      <c r="C5502" s="60" t="inlineStr">
        <is>
          <t>Metro Printer X-294</t>
        </is>
      </c>
      <c r="D5502" s="58" t="inlineStr">
        <is>
          <t>Office</t>
        </is>
      </c>
      <c r="E5502" s="58" t="inlineStr">
        <is>
          <t>South</t>
        </is>
      </c>
      <c r="F5502" s="61" t="n">
        <v>2</v>
      </c>
      <c r="G5502" s="62" t="n">
        <v>496.02</v>
      </c>
      <c r="H5502" s="63" t="n">
        <v>0.061</v>
      </c>
      <c r="I5502" s="62" t="n">
        <v>402.31</v>
      </c>
      <c r="J5502" s="58" t="inlineStr">
        <is>
          <t>Online</t>
        </is>
      </c>
      <c r="K5502" s="62">
        <f>F5502*(G5502-H5502)</f>
        <v/>
      </c>
      <c r="L5502" s="62">
        <f>K5502-(F5502*I5502)</f>
        <v/>
      </c>
      <c r="M5502" s="64">
        <f>L5502/K5502</f>
        <v/>
      </c>
    </row>
    <row r="5503">
      <c r="A5503" s="58" t="inlineStr">
        <is>
          <t>RT20250521-05502</t>
        </is>
      </c>
      <c r="B5503" s="59" t="inlineStr">
        <is>
          <t>2025-05-21</t>
        </is>
      </c>
      <c r="C5503" s="60" t="inlineStr">
        <is>
          <t>Vertex Supplie X-513</t>
        </is>
      </c>
      <c r="D5503" s="58" t="inlineStr">
        <is>
          <t>Office</t>
        </is>
      </c>
      <c r="E5503" s="58" t="inlineStr">
        <is>
          <t>North</t>
        </is>
      </c>
      <c r="F5503" s="61" t="n">
        <v>2</v>
      </c>
      <c r="G5503" s="62" t="n">
        <v>392.59</v>
      </c>
      <c r="H5503" s="63" t="n">
        <v>0.026</v>
      </c>
      <c r="I5503" s="62" t="n">
        <v>282.13</v>
      </c>
      <c r="J5503" s="58" t="inlineStr">
        <is>
          <t>Online</t>
        </is>
      </c>
      <c r="K5503" s="62">
        <f>F5503*(G5503-H5503)</f>
        <v/>
      </c>
      <c r="L5503" s="62">
        <f>K5503-(F5503*I5503)</f>
        <v/>
      </c>
      <c r="M5503" s="64">
        <f>L5503/K5503</f>
        <v/>
      </c>
    </row>
    <row r="5504">
      <c r="A5504" s="58" t="inlineStr">
        <is>
          <t>RT20250521-05503</t>
        </is>
      </c>
      <c r="B5504" s="59" t="inlineStr">
        <is>
          <t>2025-05-21</t>
        </is>
      </c>
      <c r="C5504" s="60" t="inlineStr">
        <is>
          <t>Aurora Appliance Lite-109</t>
        </is>
      </c>
      <c r="D5504" s="58" t="inlineStr">
        <is>
          <t>Home</t>
        </is>
      </c>
      <c r="E5504" s="58" t="inlineStr">
        <is>
          <t>West</t>
        </is>
      </c>
      <c r="F5504" s="61" t="n">
        <v>1</v>
      </c>
      <c r="G5504" s="62" t="n">
        <v>319.38</v>
      </c>
      <c r="H5504" s="63" t="n">
        <v>0.08400000000000001</v>
      </c>
      <c r="I5504" s="62" t="n">
        <v>204.27</v>
      </c>
      <c r="J5504" s="58" t="inlineStr">
        <is>
          <t>Online</t>
        </is>
      </c>
      <c r="K5504" s="62">
        <f>F5504*(G5504-H5504)</f>
        <v/>
      </c>
      <c r="L5504" s="62">
        <f>K5504-(F5504*I5504)</f>
        <v/>
      </c>
      <c r="M5504" s="64">
        <f>L5504/K5504</f>
        <v/>
      </c>
    </row>
    <row r="5505">
      <c r="A5505" s="58" t="inlineStr">
        <is>
          <t>RT20250521-05504</t>
        </is>
      </c>
      <c r="B5505" s="59" t="inlineStr">
        <is>
          <t>2025-05-21</t>
        </is>
      </c>
      <c r="C5505" s="60" t="inlineStr">
        <is>
          <t>Vertex Printer Max-692</t>
        </is>
      </c>
      <c r="D5505" s="58" t="inlineStr">
        <is>
          <t>Office</t>
        </is>
      </c>
      <c r="E5505" s="58" t="inlineStr">
        <is>
          <t>West</t>
        </is>
      </c>
      <c r="F5505" s="61" t="n">
        <v>3</v>
      </c>
      <c r="G5505" s="62" t="n">
        <v>168.28</v>
      </c>
      <c r="H5505" s="63" t="n">
        <v>0.063</v>
      </c>
      <c r="I5505" s="62" t="n">
        <v>120.59</v>
      </c>
      <c r="J5505" s="58" t="inlineStr">
        <is>
          <t>Online</t>
        </is>
      </c>
      <c r="K5505" s="62">
        <f>F5505*(G5505-H5505)</f>
        <v/>
      </c>
      <c r="L5505" s="62">
        <f>K5505-(F5505*I5505)</f>
        <v/>
      </c>
      <c r="M5505" s="64">
        <f>L5505/K5505</f>
        <v/>
      </c>
    </row>
    <row r="5506">
      <c r="A5506" s="58" t="inlineStr">
        <is>
          <t>RT20250521-05505</t>
        </is>
      </c>
      <c r="B5506" s="59" t="inlineStr">
        <is>
          <t>2025-05-21</t>
        </is>
      </c>
      <c r="C5506" s="60" t="inlineStr">
        <is>
          <t>Nimbus Laptop Max-652</t>
        </is>
      </c>
      <c r="D5506" s="58" t="inlineStr">
        <is>
          <t>Electronics</t>
        </is>
      </c>
      <c r="E5506" s="58" t="inlineStr">
        <is>
          <t>Central</t>
        </is>
      </c>
      <c r="F5506" s="61" t="n">
        <v>1</v>
      </c>
      <c r="G5506" s="62" t="n">
        <v>1380.74</v>
      </c>
      <c r="H5506" s="63" t="n">
        <v>0.092</v>
      </c>
      <c r="I5506" s="62" t="n">
        <v>1028.69</v>
      </c>
      <c r="J5506" s="58" t="inlineStr">
        <is>
          <t>Store</t>
        </is>
      </c>
      <c r="K5506" s="62">
        <f>F5506*(G5506-H5506)</f>
        <v/>
      </c>
      <c r="L5506" s="62">
        <f>K5506-(F5506*I5506)</f>
        <v/>
      </c>
      <c r="M5506" s="64">
        <f>L5506/K5506</f>
        <v/>
      </c>
    </row>
    <row r="5507">
      <c r="A5507" s="58" t="inlineStr">
        <is>
          <t>RT20250521-05506</t>
        </is>
      </c>
      <c r="B5507" s="59" t="inlineStr">
        <is>
          <t>2025-05-21</t>
        </is>
      </c>
      <c r="C5507" s="60" t="inlineStr">
        <is>
          <t>Aurora Team Sport Plus-256</t>
        </is>
      </c>
      <c r="D5507" s="58" t="inlineStr">
        <is>
          <t>Sports</t>
        </is>
      </c>
      <c r="E5507" s="58" t="inlineStr">
        <is>
          <t>West</t>
        </is>
      </c>
      <c r="F5507" s="61" t="n">
        <v>1</v>
      </c>
      <c r="G5507" s="62" t="n">
        <v>666.14</v>
      </c>
      <c r="H5507" s="63" t="n">
        <v>0.008999999999999999</v>
      </c>
      <c r="I5507" s="62" t="n">
        <v>427.85</v>
      </c>
      <c r="J5507" s="58" t="inlineStr">
        <is>
          <t>Online</t>
        </is>
      </c>
      <c r="K5507" s="62">
        <f>F5507*(G5507-H5507)</f>
        <v/>
      </c>
      <c r="L5507" s="62">
        <f>K5507-(F5507*I5507)</f>
        <v/>
      </c>
      <c r="M5507" s="64">
        <f>L5507/K5507</f>
        <v/>
      </c>
    </row>
    <row r="5508">
      <c r="A5508" s="58" t="inlineStr">
        <is>
          <t>RT20250521-05507</t>
        </is>
      </c>
      <c r="B5508" s="59" t="inlineStr">
        <is>
          <t>2025-05-21</t>
        </is>
      </c>
      <c r="C5508" s="60" t="inlineStr">
        <is>
          <t>Polar Pantry Lite-392</t>
        </is>
      </c>
      <c r="D5508" s="58" t="inlineStr">
        <is>
          <t>Grocery</t>
        </is>
      </c>
      <c r="E5508" s="58" t="inlineStr">
        <is>
          <t>West</t>
        </is>
      </c>
      <c r="F5508" s="61" t="n">
        <v>1</v>
      </c>
      <c r="G5508" s="62" t="n">
        <v>5.97</v>
      </c>
      <c r="H5508" s="63" t="n">
        <v>0.068</v>
      </c>
      <c r="I5508" s="62" t="n">
        <v>4.64</v>
      </c>
      <c r="J5508" s="58" t="inlineStr">
        <is>
          <t>Store</t>
        </is>
      </c>
      <c r="K5508" s="62">
        <f>F5508*(G5508-H5508)</f>
        <v/>
      </c>
      <c r="L5508" s="62">
        <f>K5508-(F5508*I5508)</f>
        <v/>
      </c>
      <c r="M5508" s="64">
        <f>L5508/K5508</f>
        <v/>
      </c>
    </row>
    <row r="5509">
      <c r="A5509" s="58" t="inlineStr">
        <is>
          <t>RT20250521-05508</t>
        </is>
      </c>
      <c r="B5509" s="59" t="inlineStr">
        <is>
          <t>2025-05-21</t>
        </is>
      </c>
      <c r="C5509" s="60" t="inlineStr">
        <is>
          <t>Polar Snack Pro-641</t>
        </is>
      </c>
      <c r="D5509" s="58" t="inlineStr">
        <is>
          <t>Grocery</t>
        </is>
      </c>
      <c r="E5509" s="58" t="inlineStr">
        <is>
          <t>North</t>
        </is>
      </c>
      <c r="F5509" s="61" t="n">
        <v>7</v>
      </c>
      <c r="G5509" s="62" t="n">
        <v>13.26</v>
      </c>
      <c r="H5509" s="63" t="n">
        <v>0.039</v>
      </c>
      <c r="I5509" s="62" t="n">
        <v>9.59</v>
      </c>
      <c r="J5509" s="58" t="inlineStr">
        <is>
          <t>Online</t>
        </is>
      </c>
      <c r="K5509" s="62">
        <f>F5509*(G5509-H5509)</f>
        <v/>
      </c>
      <c r="L5509" s="62">
        <f>K5509-(F5509*I5509)</f>
        <v/>
      </c>
      <c r="M5509" s="64">
        <f>L5509/K5509</f>
        <v/>
      </c>
    </row>
    <row r="5510">
      <c r="A5510" s="58" t="inlineStr">
        <is>
          <t>RT20250521-05509</t>
        </is>
      </c>
      <c r="B5510" s="59" t="inlineStr">
        <is>
          <t>2025-05-21</t>
        </is>
      </c>
      <c r="C5510" s="60" t="inlineStr">
        <is>
          <t>Solace Kitchen Pro-510</t>
        </is>
      </c>
      <c r="D5510" s="58" t="inlineStr">
        <is>
          <t>Home</t>
        </is>
      </c>
      <c r="E5510" s="58" t="inlineStr">
        <is>
          <t>Central</t>
        </is>
      </c>
      <c r="F5510" s="61" t="n">
        <v>2</v>
      </c>
      <c r="G5510" s="62" t="n">
        <v>477.49</v>
      </c>
      <c r="H5510" s="63" t="n">
        <v>0.065</v>
      </c>
      <c r="I5510" s="62" t="n">
        <v>312.6</v>
      </c>
      <c r="J5510" s="58" t="inlineStr">
        <is>
          <t>Store</t>
        </is>
      </c>
      <c r="K5510" s="62">
        <f>F5510*(G5510-H5510)</f>
        <v/>
      </c>
      <c r="L5510" s="62">
        <f>K5510-(F5510*I5510)</f>
        <v/>
      </c>
      <c r="M5510" s="64">
        <f>L5510/K5510</f>
        <v/>
      </c>
    </row>
    <row r="5511">
      <c r="A5511" s="58" t="inlineStr">
        <is>
          <t>RT20250521-05510</t>
        </is>
      </c>
      <c r="B5511" s="59" t="inlineStr">
        <is>
          <t>2025-05-21</t>
        </is>
      </c>
      <c r="C5511" s="60" t="inlineStr">
        <is>
          <t>Aurora Bedding Plus-187</t>
        </is>
      </c>
      <c r="D5511" s="58" t="inlineStr">
        <is>
          <t>Home</t>
        </is>
      </c>
      <c r="E5511" s="58" t="inlineStr">
        <is>
          <t>Central</t>
        </is>
      </c>
      <c r="F5511" s="61" t="n">
        <v>3</v>
      </c>
      <c r="G5511" s="62" t="n">
        <v>322.52</v>
      </c>
      <c r="H5511" s="63" t="n">
        <v>0.039</v>
      </c>
      <c r="I5511" s="62" t="n">
        <v>206.69</v>
      </c>
      <c r="J5511" s="58" t="inlineStr">
        <is>
          <t>Store</t>
        </is>
      </c>
      <c r="K5511" s="62">
        <f>F5511*(G5511-H5511)</f>
        <v/>
      </c>
      <c r="L5511" s="62">
        <f>K5511-(F5511*I5511)</f>
        <v/>
      </c>
      <c r="M5511" s="64">
        <f>L5511/K5511</f>
        <v/>
      </c>
    </row>
    <row r="5512">
      <c r="A5512" s="58" t="inlineStr">
        <is>
          <t>RT20250522-05511</t>
        </is>
      </c>
      <c r="B5512" s="59" t="inlineStr">
        <is>
          <t>2025-05-22</t>
        </is>
      </c>
      <c r="C5512" s="60" t="inlineStr">
        <is>
          <t>Vertex Decor Pro-618</t>
        </is>
      </c>
      <c r="D5512" s="58" t="inlineStr">
        <is>
          <t>Home</t>
        </is>
      </c>
      <c r="E5512" s="58" t="inlineStr">
        <is>
          <t>East</t>
        </is>
      </c>
      <c r="F5512" s="61" t="n">
        <v>2</v>
      </c>
      <c r="G5512" s="62" t="n">
        <v>618.37</v>
      </c>
      <c r="H5512" s="63" t="n">
        <v>0.06</v>
      </c>
      <c r="I5512" s="62" t="n">
        <v>371.73</v>
      </c>
      <c r="J5512" s="58" t="inlineStr">
        <is>
          <t>Online</t>
        </is>
      </c>
      <c r="K5512" s="62">
        <f>F5512*(G5512-H5512)</f>
        <v/>
      </c>
      <c r="L5512" s="62">
        <f>K5512-(F5512*I5512)</f>
        <v/>
      </c>
      <c r="M5512" s="64">
        <f>L5512/K5512</f>
        <v/>
      </c>
    </row>
    <row r="5513">
      <c r="A5513" s="58" t="inlineStr">
        <is>
          <t>RT20250522-05512</t>
        </is>
      </c>
      <c r="B5513" s="59" t="inlineStr">
        <is>
          <t>2025-05-22</t>
        </is>
      </c>
      <c r="C5513" s="60" t="inlineStr">
        <is>
          <t>Polar Bedding Lite-243</t>
        </is>
      </c>
      <c r="D5513" s="58" t="inlineStr">
        <is>
          <t>Home</t>
        </is>
      </c>
      <c r="E5513" s="58" t="inlineStr">
        <is>
          <t>East</t>
        </is>
      </c>
      <c r="F5513" s="61" t="n">
        <v>2</v>
      </c>
      <c r="G5513" s="62" t="n">
        <v>518.64</v>
      </c>
      <c r="H5513" s="63" t="n">
        <v>0.08799999999999999</v>
      </c>
      <c r="I5513" s="62" t="n">
        <v>322.33</v>
      </c>
      <c r="J5513" s="58" t="inlineStr">
        <is>
          <t>Store</t>
        </is>
      </c>
      <c r="K5513" s="62">
        <f>F5513*(G5513-H5513)</f>
        <v/>
      </c>
      <c r="L5513" s="62">
        <f>K5513-(F5513*I5513)</f>
        <v/>
      </c>
      <c r="M5513" s="64">
        <f>L5513/K5513</f>
        <v/>
      </c>
    </row>
    <row r="5514">
      <c r="A5514" s="58" t="inlineStr">
        <is>
          <t>RT20250522-05513</t>
        </is>
      </c>
      <c r="B5514" s="59" t="inlineStr">
        <is>
          <t>2025-05-22</t>
        </is>
      </c>
      <c r="C5514" s="60" t="inlineStr">
        <is>
          <t>Metro Outdoor Plus-787</t>
        </is>
      </c>
      <c r="D5514" s="58" t="inlineStr">
        <is>
          <t>Sports</t>
        </is>
      </c>
      <c r="E5514" s="58" t="inlineStr">
        <is>
          <t>West</t>
        </is>
      </c>
      <c r="F5514" s="61" t="n">
        <v>3</v>
      </c>
      <c r="G5514" s="62" t="n">
        <v>533.72</v>
      </c>
      <c r="H5514" s="63" t="n">
        <v>0.081</v>
      </c>
      <c r="I5514" s="62" t="n">
        <v>348.46</v>
      </c>
      <c r="J5514" s="58" t="inlineStr">
        <is>
          <t>Online</t>
        </is>
      </c>
      <c r="K5514" s="62">
        <f>F5514*(G5514-H5514)</f>
        <v/>
      </c>
      <c r="L5514" s="62">
        <f>K5514-(F5514*I5514)</f>
        <v/>
      </c>
      <c r="M5514" s="64">
        <f>L5514/K5514</f>
        <v/>
      </c>
    </row>
    <row r="5515">
      <c r="A5515" s="58" t="inlineStr">
        <is>
          <t>RT20250522-05514</t>
        </is>
      </c>
      <c r="B5515" s="59" t="inlineStr">
        <is>
          <t>2025-05-22</t>
        </is>
      </c>
      <c r="C5515" s="60" t="inlineStr">
        <is>
          <t>Vertex Smartphone Pro-256</t>
        </is>
      </c>
      <c r="D5515" s="58" t="inlineStr">
        <is>
          <t>Electronics</t>
        </is>
      </c>
      <c r="E5515" s="58" t="inlineStr">
        <is>
          <t>West</t>
        </is>
      </c>
      <c r="F5515" s="61" t="n">
        <v>1</v>
      </c>
      <c r="G5515" s="62" t="n">
        <v>1227.05</v>
      </c>
      <c r="H5515" s="63" t="n">
        <v>0.099</v>
      </c>
      <c r="I5515" s="62" t="n">
        <v>904.98</v>
      </c>
      <c r="J5515" s="58" t="inlineStr">
        <is>
          <t>Store</t>
        </is>
      </c>
      <c r="K5515" s="62">
        <f>F5515*(G5515-H5515)</f>
        <v/>
      </c>
      <c r="L5515" s="62">
        <f>K5515-(F5515*I5515)</f>
        <v/>
      </c>
      <c r="M5515" s="64">
        <f>L5515/K5515</f>
        <v/>
      </c>
    </row>
    <row r="5516">
      <c r="A5516" s="58" t="inlineStr">
        <is>
          <t>RT20250522-05515</t>
        </is>
      </c>
      <c r="B5516" s="59" t="inlineStr">
        <is>
          <t>2025-05-22</t>
        </is>
      </c>
      <c r="C5516" s="60" t="inlineStr">
        <is>
          <t>Solace Laptop S-367</t>
        </is>
      </c>
      <c r="D5516" s="58" t="inlineStr">
        <is>
          <t>Electronics</t>
        </is>
      </c>
      <c r="E5516" s="58" t="inlineStr">
        <is>
          <t>East</t>
        </is>
      </c>
      <c r="F5516" s="61" t="n">
        <v>2</v>
      </c>
      <c r="G5516" s="62" t="n">
        <v>2064.59</v>
      </c>
      <c r="H5516" s="63" t="n">
        <v>0.015</v>
      </c>
      <c r="I5516" s="62" t="n">
        <v>1596.16</v>
      </c>
      <c r="J5516" s="58" t="inlineStr">
        <is>
          <t>Online</t>
        </is>
      </c>
      <c r="K5516" s="62">
        <f>F5516*(G5516-H5516)</f>
        <v/>
      </c>
      <c r="L5516" s="62">
        <f>K5516-(F5516*I5516)</f>
        <v/>
      </c>
      <c r="M5516" s="64">
        <f>L5516/K5516</f>
        <v/>
      </c>
    </row>
    <row r="5517">
      <c r="A5517" s="58" t="inlineStr">
        <is>
          <t>RT20250522-05516</t>
        </is>
      </c>
      <c r="B5517" s="59" t="inlineStr">
        <is>
          <t>2025-05-22</t>
        </is>
      </c>
      <c r="C5517" s="60" t="inlineStr">
        <is>
          <t>Solace Headphone Pro-344</t>
        </is>
      </c>
      <c r="D5517" s="58" t="inlineStr">
        <is>
          <t>Electronics</t>
        </is>
      </c>
      <c r="E5517" s="58" t="inlineStr">
        <is>
          <t>West</t>
        </is>
      </c>
      <c r="F5517" s="61" t="n">
        <v>2</v>
      </c>
      <c r="G5517" s="62" t="n">
        <v>1374.5</v>
      </c>
      <c r="H5517" s="63" t="n">
        <v>0.032</v>
      </c>
      <c r="I5517" s="62" t="n">
        <v>1049.36</v>
      </c>
      <c r="J5517" s="58" t="inlineStr">
        <is>
          <t>Store</t>
        </is>
      </c>
      <c r="K5517" s="62">
        <f>F5517*(G5517-H5517)</f>
        <v/>
      </c>
      <c r="L5517" s="62">
        <f>K5517-(F5517*I5517)</f>
        <v/>
      </c>
      <c r="M5517" s="64">
        <f>L5517/K5517</f>
        <v/>
      </c>
    </row>
    <row r="5518">
      <c r="A5518" s="58" t="inlineStr">
        <is>
          <t>RT20250522-05517</t>
        </is>
      </c>
      <c r="B5518" s="59" t="inlineStr">
        <is>
          <t>2025-05-22</t>
        </is>
      </c>
      <c r="C5518" s="60" t="inlineStr">
        <is>
          <t>Solace Kitchen X-919</t>
        </is>
      </c>
      <c r="D5518" s="58" t="inlineStr">
        <is>
          <t>Home</t>
        </is>
      </c>
      <c r="E5518" s="58" t="inlineStr">
        <is>
          <t>Central</t>
        </is>
      </c>
      <c r="F5518" s="61" t="n">
        <v>3</v>
      </c>
      <c r="G5518" s="62" t="n">
        <v>395.46</v>
      </c>
      <c r="H5518" s="63" t="n">
        <v>0.052</v>
      </c>
      <c r="I5518" s="62" t="n">
        <v>254.59</v>
      </c>
      <c r="J5518" s="58" t="inlineStr">
        <is>
          <t>Store</t>
        </is>
      </c>
      <c r="K5518" s="62">
        <f>F5518*(G5518-H5518)</f>
        <v/>
      </c>
      <c r="L5518" s="62">
        <f>K5518-(F5518*I5518)</f>
        <v/>
      </c>
      <c r="M5518" s="64">
        <f>L5518/K5518</f>
        <v/>
      </c>
    </row>
    <row r="5519">
      <c r="A5519" s="58" t="inlineStr">
        <is>
          <t>RT20250522-05518</t>
        </is>
      </c>
      <c r="B5519" s="59" t="inlineStr">
        <is>
          <t>2025-05-22</t>
        </is>
      </c>
      <c r="C5519" s="60" t="inlineStr">
        <is>
          <t>Orion Haircare Plus-887</t>
        </is>
      </c>
      <c r="D5519" s="58" t="inlineStr">
        <is>
          <t>Beauty</t>
        </is>
      </c>
      <c r="E5519" s="58" t="inlineStr">
        <is>
          <t>East</t>
        </is>
      </c>
      <c r="F5519" s="61" t="n">
        <v>5</v>
      </c>
      <c r="G5519" s="62" t="n">
        <v>49.44</v>
      </c>
      <c r="H5519" s="63" t="n">
        <v>0.023</v>
      </c>
      <c r="I5519" s="62" t="n">
        <v>29.96</v>
      </c>
      <c r="J5519" s="58" t="inlineStr">
        <is>
          <t>Store</t>
        </is>
      </c>
      <c r="K5519" s="62">
        <f>F5519*(G5519-H5519)</f>
        <v/>
      </c>
      <c r="L5519" s="62">
        <f>K5519-(F5519*I5519)</f>
        <v/>
      </c>
      <c r="M5519" s="64">
        <f>L5519/K5519</f>
        <v/>
      </c>
    </row>
    <row r="5520">
      <c r="A5520" s="58" t="inlineStr">
        <is>
          <t>RT20250522-05519</t>
        </is>
      </c>
      <c r="B5520" s="59" t="inlineStr">
        <is>
          <t>2025-05-22</t>
        </is>
      </c>
      <c r="C5520" s="60" t="inlineStr">
        <is>
          <t>Aurora Bedding Plus-187</t>
        </is>
      </c>
      <c r="D5520" s="58" t="inlineStr">
        <is>
          <t>Home</t>
        </is>
      </c>
      <c r="E5520" s="58" t="inlineStr">
        <is>
          <t>East</t>
        </is>
      </c>
      <c r="F5520" s="61" t="n">
        <v>2</v>
      </c>
      <c r="G5520" s="62" t="n">
        <v>267.7</v>
      </c>
      <c r="H5520" s="63" t="n">
        <v>0.02</v>
      </c>
      <c r="I5520" s="62" t="n">
        <v>207.48</v>
      </c>
      <c r="J5520" s="58" t="inlineStr">
        <is>
          <t>Online</t>
        </is>
      </c>
      <c r="K5520" s="62">
        <f>F5520*(G5520-H5520)</f>
        <v/>
      </c>
      <c r="L5520" s="62">
        <f>K5520-(F5520*I5520)</f>
        <v/>
      </c>
      <c r="M5520" s="64">
        <f>L5520/K5520</f>
        <v/>
      </c>
    </row>
    <row r="5521">
      <c r="A5521" s="58" t="inlineStr">
        <is>
          <t>RT20250522-05520</t>
        </is>
      </c>
      <c r="B5521" s="59" t="inlineStr">
        <is>
          <t>2025-05-22</t>
        </is>
      </c>
      <c r="C5521" s="60" t="inlineStr">
        <is>
          <t>Falcon Beverage Max-702</t>
        </is>
      </c>
      <c r="D5521" s="58" t="inlineStr">
        <is>
          <t>Grocery</t>
        </is>
      </c>
      <c r="E5521" s="58" t="inlineStr">
        <is>
          <t>South</t>
        </is>
      </c>
      <c r="F5521" s="61" t="n">
        <v>3</v>
      </c>
      <c r="G5521" s="62" t="n">
        <v>27.53</v>
      </c>
      <c r="H5521" s="63" t="n">
        <v>0.139</v>
      </c>
      <c r="I5521" s="62" t="n">
        <v>20.05</v>
      </c>
      <c r="J5521" s="58" t="inlineStr">
        <is>
          <t>Online</t>
        </is>
      </c>
      <c r="K5521" s="62">
        <f>F5521*(G5521-H5521)</f>
        <v/>
      </c>
      <c r="L5521" s="62">
        <f>K5521-(F5521*I5521)</f>
        <v/>
      </c>
      <c r="M5521" s="64">
        <f>L5521/K5521</f>
        <v/>
      </c>
    </row>
    <row r="5522">
      <c r="A5522" s="58" t="inlineStr">
        <is>
          <t>RT20250522-05521</t>
        </is>
      </c>
      <c r="B5522" s="59" t="inlineStr">
        <is>
          <t>2025-05-22</t>
        </is>
      </c>
      <c r="C5522" s="60" t="inlineStr">
        <is>
          <t>Solace Kitchen X-919</t>
        </is>
      </c>
      <c r="D5522" s="58" t="inlineStr">
        <is>
          <t>Home</t>
        </is>
      </c>
      <c r="E5522" s="58" t="inlineStr">
        <is>
          <t>West</t>
        </is>
      </c>
      <c r="F5522" s="61" t="n">
        <v>3</v>
      </c>
      <c r="G5522" s="62" t="n">
        <v>365.04</v>
      </c>
      <c r="H5522" s="63" t="n">
        <v>0.07099999999999999</v>
      </c>
      <c r="I5522" s="62" t="n">
        <v>258.14</v>
      </c>
      <c r="J5522" s="58" t="inlineStr">
        <is>
          <t>Online</t>
        </is>
      </c>
      <c r="K5522" s="62">
        <f>F5522*(G5522-H5522)</f>
        <v/>
      </c>
      <c r="L5522" s="62">
        <f>K5522-(F5522*I5522)</f>
        <v/>
      </c>
      <c r="M5522" s="64">
        <f>L5522/K5522</f>
        <v/>
      </c>
    </row>
    <row r="5523">
      <c r="A5523" s="58" t="inlineStr">
        <is>
          <t>RT20250522-05522</t>
        </is>
      </c>
      <c r="B5523" s="59" t="inlineStr">
        <is>
          <t>2025-05-22</t>
        </is>
      </c>
      <c r="C5523" s="60" t="inlineStr">
        <is>
          <t>Aurora Storage Lite-774</t>
        </is>
      </c>
      <c r="D5523" s="58" t="inlineStr">
        <is>
          <t>Office</t>
        </is>
      </c>
      <c r="E5523" s="58" t="inlineStr">
        <is>
          <t>North</t>
        </is>
      </c>
      <c r="F5523" s="61" t="n">
        <v>1</v>
      </c>
      <c r="G5523" s="62" t="n">
        <v>345.51</v>
      </c>
      <c r="H5523" s="63" t="n">
        <v>0.029</v>
      </c>
      <c r="I5523" s="62" t="n">
        <v>242.96</v>
      </c>
      <c r="J5523" s="58" t="inlineStr">
        <is>
          <t>Store</t>
        </is>
      </c>
      <c r="K5523" s="62">
        <f>F5523*(G5523-H5523)</f>
        <v/>
      </c>
      <c r="L5523" s="62">
        <f>K5523-(F5523*I5523)</f>
        <v/>
      </c>
      <c r="M5523" s="64">
        <f>L5523/K5523</f>
        <v/>
      </c>
    </row>
    <row r="5524">
      <c r="A5524" s="58" t="inlineStr">
        <is>
          <t>RT20250522-05523</t>
        </is>
      </c>
      <c r="B5524" s="59" t="inlineStr">
        <is>
          <t>2025-05-22</t>
        </is>
      </c>
      <c r="C5524" s="60" t="inlineStr">
        <is>
          <t>Vertex Fitnes Pro-830</t>
        </is>
      </c>
      <c r="D5524" s="58" t="inlineStr">
        <is>
          <t>Sports</t>
        </is>
      </c>
      <c r="E5524" s="58" t="inlineStr">
        <is>
          <t>East</t>
        </is>
      </c>
      <c r="F5524" s="61" t="n">
        <v>3</v>
      </c>
      <c r="G5524" s="62" t="n">
        <v>712.13</v>
      </c>
      <c r="H5524" s="63" t="n">
        <v>0</v>
      </c>
      <c r="I5524" s="62" t="n">
        <v>481.87</v>
      </c>
      <c r="J5524" s="58" t="inlineStr">
        <is>
          <t>Store</t>
        </is>
      </c>
      <c r="K5524" s="62">
        <f>F5524*(G5524-H5524)</f>
        <v/>
      </c>
      <c r="L5524" s="62">
        <f>K5524-(F5524*I5524)</f>
        <v/>
      </c>
      <c r="M5524" s="64">
        <f>L5524/K5524</f>
        <v/>
      </c>
    </row>
    <row r="5525">
      <c r="A5525" s="58" t="inlineStr">
        <is>
          <t>RT20250522-05524</t>
        </is>
      </c>
      <c r="B5525" s="59" t="inlineStr">
        <is>
          <t>2025-05-22</t>
        </is>
      </c>
      <c r="C5525" s="60" t="inlineStr">
        <is>
          <t>Vertex Smartphone Lite-267</t>
        </is>
      </c>
      <c r="D5525" s="58" t="inlineStr">
        <is>
          <t>Electronics</t>
        </is>
      </c>
      <c r="E5525" s="58" t="inlineStr">
        <is>
          <t>West</t>
        </is>
      </c>
      <c r="F5525" s="61" t="n">
        <v>1</v>
      </c>
      <c r="G5525" s="62" t="n">
        <v>1248.29</v>
      </c>
      <c r="H5525" s="63" t="n">
        <v>0.082</v>
      </c>
      <c r="I5525" s="62" t="n">
        <v>971.09</v>
      </c>
      <c r="J5525" s="58" t="inlineStr">
        <is>
          <t>Store</t>
        </is>
      </c>
      <c r="K5525" s="62">
        <f>F5525*(G5525-H5525)</f>
        <v/>
      </c>
      <c r="L5525" s="62">
        <f>K5525-(F5525*I5525)</f>
        <v/>
      </c>
      <c r="M5525" s="64">
        <f>L5525/K5525</f>
        <v/>
      </c>
    </row>
    <row r="5526">
      <c r="A5526" s="58" t="inlineStr">
        <is>
          <t>RT20250522-05525</t>
        </is>
      </c>
      <c r="B5526" s="59" t="inlineStr">
        <is>
          <t>2025-05-22</t>
        </is>
      </c>
      <c r="C5526" s="60" t="inlineStr">
        <is>
          <t>Aurora Kid Plus-151</t>
        </is>
      </c>
      <c r="D5526" s="58" t="inlineStr">
        <is>
          <t>Apparel</t>
        </is>
      </c>
      <c r="E5526" s="58" t="inlineStr">
        <is>
          <t>South</t>
        </is>
      </c>
      <c r="F5526" s="61" t="n">
        <v>2</v>
      </c>
      <c r="G5526" s="62" t="n">
        <v>117.6</v>
      </c>
      <c r="H5526" s="63" t="n">
        <v>0.08</v>
      </c>
      <c r="I5526" s="62" t="n">
        <v>65.27</v>
      </c>
      <c r="J5526" s="58" t="inlineStr">
        <is>
          <t>Online</t>
        </is>
      </c>
      <c r="K5526" s="62">
        <f>F5526*(G5526-H5526)</f>
        <v/>
      </c>
      <c r="L5526" s="62">
        <f>K5526-(F5526*I5526)</f>
        <v/>
      </c>
      <c r="M5526" s="64">
        <f>L5526/K5526</f>
        <v/>
      </c>
    </row>
    <row r="5527">
      <c r="A5527" s="58" t="inlineStr">
        <is>
          <t>RT20250522-05526</t>
        </is>
      </c>
      <c r="B5527" s="59" t="inlineStr">
        <is>
          <t>2025-05-22</t>
        </is>
      </c>
      <c r="C5527" s="60" t="inlineStr">
        <is>
          <t>Falcon Skincare Max-151</t>
        </is>
      </c>
      <c r="D5527" s="58" t="inlineStr">
        <is>
          <t>Beauty</t>
        </is>
      </c>
      <c r="E5527" s="58" t="inlineStr">
        <is>
          <t>East</t>
        </is>
      </c>
      <c r="F5527" s="61" t="n">
        <v>1</v>
      </c>
      <c r="G5527" s="62" t="n">
        <v>99.05</v>
      </c>
      <c r="H5527" s="63" t="n">
        <v>0.113</v>
      </c>
      <c r="I5527" s="62" t="n">
        <v>58.97</v>
      </c>
      <c r="J5527" s="58" t="inlineStr">
        <is>
          <t>Online</t>
        </is>
      </c>
      <c r="K5527" s="62">
        <f>F5527*(G5527-H5527)</f>
        <v/>
      </c>
      <c r="L5527" s="62">
        <f>K5527-(F5527*I5527)</f>
        <v/>
      </c>
      <c r="M5527" s="64">
        <f>L5527/K5527</f>
        <v/>
      </c>
    </row>
    <row r="5528">
      <c r="A5528" s="58" t="inlineStr">
        <is>
          <t>RT20250522-05527</t>
        </is>
      </c>
      <c r="B5528" s="59" t="inlineStr">
        <is>
          <t>2025-05-22</t>
        </is>
      </c>
      <c r="C5528" s="60" t="inlineStr">
        <is>
          <t>Aurora Smartphone Plus-125</t>
        </is>
      </c>
      <c r="D5528" s="58" t="inlineStr">
        <is>
          <t>Electronics</t>
        </is>
      </c>
      <c r="E5528" s="58" t="inlineStr">
        <is>
          <t>West</t>
        </is>
      </c>
      <c r="F5528" s="61" t="n">
        <v>1</v>
      </c>
      <c r="G5528" s="62" t="n">
        <v>1561.15</v>
      </c>
      <c r="H5528" s="63" t="n">
        <v>0.042</v>
      </c>
      <c r="I5528" s="62" t="n">
        <v>1223.41</v>
      </c>
      <c r="J5528" s="58" t="inlineStr">
        <is>
          <t>Online</t>
        </is>
      </c>
      <c r="K5528" s="62">
        <f>F5528*(G5528-H5528)</f>
        <v/>
      </c>
      <c r="L5528" s="62">
        <f>K5528-(F5528*I5528)</f>
        <v/>
      </c>
      <c r="M5528" s="64">
        <f>L5528/K5528</f>
        <v/>
      </c>
    </row>
    <row r="5529">
      <c r="A5529" s="58" t="inlineStr">
        <is>
          <t>RT20250522-05528</t>
        </is>
      </c>
      <c r="B5529" s="59" t="inlineStr">
        <is>
          <t>2025-05-22</t>
        </is>
      </c>
      <c r="C5529" s="60" t="inlineStr">
        <is>
          <t>Falcon Kitchen X-130</t>
        </is>
      </c>
      <c r="D5529" s="58" t="inlineStr">
        <is>
          <t>Home</t>
        </is>
      </c>
      <c r="E5529" s="58" t="inlineStr">
        <is>
          <t>North</t>
        </is>
      </c>
      <c r="F5529" s="61" t="n">
        <v>3</v>
      </c>
      <c r="G5529" s="62" t="n">
        <v>400.26</v>
      </c>
      <c r="H5529" s="63" t="n">
        <v>0.05</v>
      </c>
      <c r="I5529" s="62" t="n">
        <v>296.45</v>
      </c>
      <c r="J5529" s="58" t="inlineStr">
        <is>
          <t>Online</t>
        </is>
      </c>
      <c r="K5529" s="62">
        <f>F5529*(G5529-H5529)</f>
        <v/>
      </c>
      <c r="L5529" s="62">
        <f>K5529-(F5529*I5529)</f>
        <v/>
      </c>
      <c r="M5529" s="64">
        <f>L5529/K5529</f>
        <v/>
      </c>
    </row>
    <row r="5530">
      <c r="A5530" s="58" t="inlineStr">
        <is>
          <t>RT20250522-05529</t>
        </is>
      </c>
      <c r="B5530" s="59" t="inlineStr">
        <is>
          <t>2025-05-22</t>
        </is>
      </c>
      <c r="C5530" s="60" t="inlineStr">
        <is>
          <t>Nimbus Women Lite-814</t>
        </is>
      </c>
      <c r="D5530" s="58" t="inlineStr">
        <is>
          <t>Apparel</t>
        </is>
      </c>
      <c r="E5530" s="58" t="inlineStr">
        <is>
          <t>Central</t>
        </is>
      </c>
      <c r="F5530" s="61" t="n">
        <v>2</v>
      </c>
      <c r="G5530" s="62" t="n">
        <v>143.27</v>
      </c>
      <c r="H5530" s="63" t="n">
        <v>0.07000000000000001</v>
      </c>
      <c r="I5530" s="62" t="n">
        <v>82.56999999999999</v>
      </c>
      <c r="J5530" s="58" t="inlineStr">
        <is>
          <t>Store</t>
        </is>
      </c>
      <c r="K5530" s="62">
        <f>F5530*(G5530-H5530)</f>
        <v/>
      </c>
      <c r="L5530" s="62">
        <f>K5530-(F5530*I5530)</f>
        <v/>
      </c>
      <c r="M5530" s="64">
        <f>L5530/K5530</f>
        <v/>
      </c>
    </row>
    <row r="5531">
      <c r="A5531" s="58" t="inlineStr">
        <is>
          <t>RT20250522-05530</t>
        </is>
      </c>
      <c r="B5531" s="59" t="inlineStr">
        <is>
          <t>2025-05-22</t>
        </is>
      </c>
      <c r="C5531" s="60" t="inlineStr">
        <is>
          <t>Aurora Fragrance S-971</t>
        </is>
      </c>
      <c r="D5531" s="58" t="inlineStr">
        <is>
          <t>Beauty</t>
        </is>
      </c>
      <c r="E5531" s="58" t="inlineStr">
        <is>
          <t>East</t>
        </is>
      </c>
      <c r="F5531" s="61" t="n">
        <v>1</v>
      </c>
      <c r="G5531" s="62" t="n">
        <v>115.11</v>
      </c>
      <c r="H5531" s="63" t="n">
        <v>0.046</v>
      </c>
      <c r="I5531" s="62" t="n">
        <v>63.19</v>
      </c>
      <c r="J5531" s="58" t="inlineStr">
        <is>
          <t>Store</t>
        </is>
      </c>
      <c r="K5531" s="62">
        <f>F5531*(G5531-H5531)</f>
        <v/>
      </c>
      <c r="L5531" s="62">
        <f>K5531-(F5531*I5531)</f>
        <v/>
      </c>
      <c r="M5531" s="64">
        <f>L5531/K5531</f>
        <v/>
      </c>
    </row>
    <row r="5532">
      <c r="A5532" s="58" t="inlineStr">
        <is>
          <t>RT20250522-05531</t>
        </is>
      </c>
      <c r="B5532" s="59" t="inlineStr">
        <is>
          <t>2025-05-22</t>
        </is>
      </c>
      <c r="C5532" s="60" t="inlineStr">
        <is>
          <t>Vertex Smartphone Lite-267</t>
        </is>
      </c>
      <c r="D5532" s="58" t="inlineStr">
        <is>
          <t>Electronics</t>
        </is>
      </c>
      <c r="E5532" s="58" t="inlineStr">
        <is>
          <t>West</t>
        </is>
      </c>
      <c r="F5532" s="61" t="n">
        <v>2</v>
      </c>
      <c r="G5532" s="62" t="n">
        <v>1320.92</v>
      </c>
      <c r="H5532" s="63" t="n">
        <v>0.024</v>
      </c>
      <c r="I5532" s="62" t="n">
        <v>957.77</v>
      </c>
      <c r="J5532" s="58" t="inlineStr">
        <is>
          <t>Online</t>
        </is>
      </c>
      <c r="K5532" s="62">
        <f>F5532*(G5532-H5532)</f>
        <v/>
      </c>
      <c r="L5532" s="62">
        <f>K5532-(F5532*I5532)</f>
        <v/>
      </c>
      <c r="M5532" s="64">
        <f>L5532/K5532</f>
        <v/>
      </c>
    </row>
    <row r="5533">
      <c r="A5533" s="58" t="inlineStr">
        <is>
          <t>RT20250522-05532</t>
        </is>
      </c>
      <c r="B5533" s="59" t="inlineStr">
        <is>
          <t>2025-05-22</t>
        </is>
      </c>
      <c r="C5533" s="60" t="inlineStr">
        <is>
          <t>Falcon Bedding S-674</t>
        </is>
      </c>
      <c r="D5533" s="58" t="inlineStr">
        <is>
          <t>Home</t>
        </is>
      </c>
      <c r="E5533" s="58" t="inlineStr">
        <is>
          <t>West</t>
        </is>
      </c>
      <c r="F5533" s="61" t="n">
        <v>1</v>
      </c>
      <c r="G5533" s="62" t="n">
        <v>604.72</v>
      </c>
      <c r="H5533" s="63" t="n">
        <v>0.08599999999999999</v>
      </c>
      <c r="I5533" s="62" t="n">
        <v>445.14</v>
      </c>
      <c r="J5533" s="58" t="inlineStr">
        <is>
          <t>Online</t>
        </is>
      </c>
      <c r="K5533" s="62">
        <f>F5533*(G5533-H5533)</f>
        <v/>
      </c>
      <c r="L5533" s="62">
        <f>K5533-(F5533*I5533)</f>
        <v/>
      </c>
      <c r="M5533" s="64">
        <f>L5533/K5533</f>
        <v/>
      </c>
    </row>
    <row r="5534">
      <c r="A5534" s="58" t="inlineStr">
        <is>
          <t>RT20250522-05533</t>
        </is>
      </c>
      <c r="B5534" s="59" t="inlineStr">
        <is>
          <t>2025-05-22</t>
        </is>
      </c>
      <c r="C5534" s="60" t="inlineStr">
        <is>
          <t>Solace Makeup Pro-214</t>
        </is>
      </c>
      <c r="D5534" s="58" t="inlineStr">
        <is>
          <t>Beauty</t>
        </is>
      </c>
      <c r="E5534" s="58" t="inlineStr">
        <is>
          <t>East</t>
        </is>
      </c>
      <c r="F5534" s="61" t="n">
        <v>5</v>
      </c>
      <c r="G5534" s="62" t="n">
        <v>108.91</v>
      </c>
      <c r="H5534" s="63" t="n">
        <v>0.079</v>
      </c>
      <c r="I5534" s="62" t="n">
        <v>67.11</v>
      </c>
      <c r="J5534" s="58" t="inlineStr">
        <is>
          <t>Store</t>
        </is>
      </c>
      <c r="K5534" s="62">
        <f>F5534*(G5534-H5534)</f>
        <v/>
      </c>
      <c r="L5534" s="62">
        <f>K5534-(F5534*I5534)</f>
        <v/>
      </c>
      <c r="M5534" s="64">
        <f>L5534/K5534</f>
        <v/>
      </c>
    </row>
    <row r="5535">
      <c r="A5535" s="58" t="inlineStr">
        <is>
          <t>RT20250522-05534</t>
        </is>
      </c>
      <c r="B5535" s="59" t="inlineStr">
        <is>
          <t>2025-05-22</t>
        </is>
      </c>
      <c r="C5535" s="60" t="inlineStr">
        <is>
          <t>Solace Laptop S-367</t>
        </is>
      </c>
      <c r="D5535" s="58" t="inlineStr">
        <is>
          <t>Electronics</t>
        </is>
      </c>
      <c r="E5535" s="58" t="inlineStr">
        <is>
          <t>West</t>
        </is>
      </c>
      <c r="F5535" s="61" t="n">
        <v>1</v>
      </c>
      <c r="G5535" s="62" t="n">
        <v>1872.83</v>
      </c>
      <c r="H5535" s="63" t="n">
        <v>0.099</v>
      </c>
      <c r="I5535" s="62" t="n">
        <v>1567.47</v>
      </c>
      <c r="J5535" s="58" t="inlineStr">
        <is>
          <t>Online</t>
        </is>
      </c>
      <c r="K5535" s="62">
        <f>F5535*(G5535-H5535)</f>
        <v/>
      </c>
      <c r="L5535" s="62">
        <f>K5535-(F5535*I5535)</f>
        <v/>
      </c>
      <c r="M5535" s="64">
        <f>L5535/K5535</f>
        <v/>
      </c>
    </row>
    <row r="5536">
      <c r="A5536" s="58" t="inlineStr">
        <is>
          <t>RT20250522-05535</t>
        </is>
      </c>
      <c r="B5536" s="59" t="inlineStr">
        <is>
          <t>2025-05-22</t>
        </is>
      </c>
      <c r="C5536" s="60" t="inlineStr">
        <is>
          <t>Nimbus Men Plus-231</t>
        </is>
      </c>
      <c r="D5536" s="58" t="inlineStr">
        <is>
          <t>Apparel</t>
        </is>
      </c>
      <c r="E5536" s="58" t="inlineStr">
        <is>
          <t>West</t>
        </is>
      </c>
      <c r="F5536" s="61" t="n">
        <v>2</v>
      </c>
      <c r="G5536" s="62" t="n">
        <v>154.34</v>
      </c>
      <c r="H5536" s="63" t="n">
        <v>0.045</v>
      </c>
      <c r="I5536" s="62" t="n">
        <v>90.78</v>
      </c>
      <c r="J5536" s="58" t="inlineStr">
        <is>
          <t>Store</t>
        </is>
      </c>
      <c r="K5536" s="62">
        <f>F5536*(G5536-H5536)</f>
        <v/>
      </c>
      <c r="L5536" s="62">
        <f>K5536-(F5536*I5536)</f>
        <v/>
      </c>
      <c r="M5536" s="64">
        <f>L5536/K5536</f>
        <v/>
      </c>
    </row>
    <row r="5537">
      <c r="A5537" s="58" t="inlineStr">
        <is>
          <t>RT20250522-05536</t>
        </is>
      </c>
      <c r="B5537" s="59" t="inlineStr">
        <is>
          <t>2025-05-22</t>
        </is>
      </c>
      <c r="C5537" s="60" t="inlineStr">
        <is>
          <t>Polar Wearable X-119</t>
        </is>
      </c>
      <c r="D5537" s="58" t="inlineStr">
        <is>
          <t>Electronics</t>
        </is>
      </c>
      <c r="E5537" s="58" t="inlineStr">
        <is>
          <t>West</t>
        </is>
      </c>
      <c r="F5537" s="61" t="n">
        <v>1</v>
      </c>
      <c r="G5537" s="62" t="n">
        <v>1719.27</v>
      </c>
      <c r="H5537" s="63" t="n">
        <v>0.103</v>
      </c>
      <c r="I5537" s="62" t="n">
        <v>1308.36</v>
      </c>
      <c r="J5537" s="58" t="inlineStr">
        <is>
          <t>Store</t>
        </is>
      </c>
      <c r="K5537" s="62">
        <f>F5537*(G5537-H5537)</f>
        <v/>
      </c>
      <c r="L5537" s="62">
        <f>K5537-(F5537*I5537)</f>
        <v/>
      </c>
      <c r="M5537" s="64">
        <f>L5537/K5537</f>
        <v/>
      </c>
    </row>
    <row r="5538">
      <c r="A5538" s="58" t="inlineStr">
        <is>
          <t>RT20250522-05537</t>
        </is>
      </c>
      <c r="B5538" s="59" t="inlineStr">
        <is>
          <t>2025-05-22</t>
        </is>
      </c>
      <c r="C5538" s="60" t="inlineStr">
        <is>
          <t>Orion Team Sport X-926</t>
        </is>
      </c>
      <c r="D5538" s="58" t="inlineStr">
        <is>
          <t>Sports</t>
        </is>
      </c>
      <c r="E5538" s="58" t="inlineStr">
        <is>
          <t>East</t>
        </is>
      </c>
      <c r="F5538" s="61" t="n">
        <v>1</v>
      </c>
      <c r="G5538" s="62" t="n">
        <v>318.62</v>
      </c>
      <c r="H5538" s="63" t="n">
        <v>0.098</v>
      </c>
      <c r="I5538" s="62" t="n">
        <v>219.63</v>
      </c>
      <c r="J5538" s="58" t="inlineStr">
        <is>
          <t>Online</t>
        </is>
      </c>
      <c r="K5538" s="62">
        <f>F5538*(G5538-H5538)</f>
        <v/>
      </c>
      <c r="L5538" s="62">
        <f>K5538-(F5538*I5538)</f>
        <v/>
      </c>
      <c r="M5538" s="64">
        <f>L5538/K5538</f>
        <v/>
      </c>
    </row>
    <row r="5539">
      <c r="A5539" s="58" t="inlineStr">
        <is>
          <t>RT20250522-05538</t>
        </is>
      </c>
      <c r="B5539" s="59" t="inlineStr">
        <is>
          <t>2025-05-22</t>
        </is>
      </c>
      <c r="C5539" s="60" t="inlineStr">
        <is>
          <t>Solace Smartphone Lite-533</t>
        </is>
      </c>
      <c r="D5539" s="58" t="inlineStr">
        <is>
          <t>Electronics</t>
        </is>
      </c>
      <c r="E5539" s="58" t="inlineStr">
        <is>
          <t>South</t>
        </is>
      </c>
      <c r="F5539" s="61" t="n">
        <v>2</v>
      </c>
      <c r="G5539" s="62" t="n">
        <v>1301.93</v>
      </c>
      <c r="H5539" s="63" t="n">
        <v>0.105</v>
      </c>
      <c r="I5539" s="62" t="n">
        <v>913.97</v>
      </c>
      <c r="J5539" s="58" t="inlineStr">
        <is>
          <t>Store</t>
        </is>
      </c>
      <c r="K5539" s="62">
        <f>F5539*(G5539-H5539)</f>
        <v/>
      </c>
      <c r="L5539" s="62">
        <f>K5539-(F5539*I5539)</f>
        <v/>
      </c>
      <c r="M5539" s="64">
        <f>L5539/K5539</f>
        <v/>
      </c>
    </row>
    <row r="5540">
      <c r="A5540" s="58" t="inlineStr">
        <is>
          <t>RT20250522-05539</t>
        </is>
      </c>
      <c r="B5540" s="59" t="inlineStr">
        <is>
          <t>2025-05-22</t>
        </is>
      </c>
      <c r="C5540" s="60" t="inlineStr">
        <is>
          <t>Solace Kitchen X-919</t>
        </is>
      </c>
      <c r="D5540" s="58" t="inlineStr">
        <is>
          <t>Home</t>
        </is>
      </c>
      <c r="E5540" s="58" t="inlineStr">
        <is>
          <t>West</t>
        </is>
      </c>
      <c r="F5540" s="61" t="n">
        <v>3</v>
      </c>
      <c r="G5540" s="62" t="n">
        <v>411.79</v>
      </c>
      <c r="H5540" s="63" t="n">
        <v>0.052</v>
      </c>
      <c r="I5540" s="62" t="n">
        <v>258.86</v>
      </c>
      <c r="J5540" s="58" t="inlineStr">
        <is>
          <t>Online</t>
        </is>
      </c>
      <c r="K5540" s="62">
        <f>F5540*(G5540-H5540)</f>
        <v/>
      </c>
      <c r="L5540" s="62">
        <f>K5540-(F5540*I5540)</f>
        <v/>
      </c>
      <c r="M5540" s="64">
        <f>L5540/K5540</f>
        <v/>
      </c>
    </row>
    <row r="5541">
      <c r="A5541" s="58" t="inlineStr">
        <is>
          <t>RT20250522-05540</t>
        </is>
      </c>
      <c r="B5541" s="59" t="inlineStr">
        <is>
          <t>2025-05-22</t>
        </is>
      </c>
      <c r="C5541" s="60" t="inlineStr">
        <is>
          <t>Falcon Beverage Max-702</t>
        </is>
      </c>
      <c r="D5541" s="58" t="inlineStr">
        <is>
          <t>Grocery</t>
        </is>
      </c>
      <c r="E5541" s="58" t="inlineStr">
        <is>
          <t>North</t>
        </is>
      </c>
      <c r="F5541" s="61" t="n">
        <v>3</v>
      </c>
      <c r="G5541" s="62" t="n">
        <v>30.95</v>
      </c>
      <c r="H5541" s="63" t="n">
        <v>0.06900000000000001</v>
      </c>
      <c r="I5541" s="62" t="n">
        <v>20.02</v>
      </c>
      <c r="J5541" s="58" t="inlineStr">
        <is>
          <t>Store</t>
        </is>
      </c>
      <c r="K5541" s="62">
        <f>F5541*(G5541-H5541)</f>
        <v/>
      </c>
      <c r="L5541" s="62">
        <f>K5541-(F5541*I5541)</f>
        <v/>
      </c>
      <c r="M5541" s="64">
        <f>L5541/K5541</f>
        <v/>
      </c>
    </row>
    <row r="5542">
      <c r="A5542" s="58" t="inlineStr">
        <is>
          <t>RT20250522-05541</t>
        </is>
      </c>
      <c r="B5542" s="59" t="inlineStr">
        <is>
          <t>2025-05-22</t>
        </is>
      </c>
      <c r="C5542" s="60" t="inlineStr">
        <is>
          <t>Nimbus Women Plus-352</t>
        </is>
      </c>
      <c r="D5542" s="58" t="inlineStr">
        <is>
          <t>Apparel</t>
        </is>
      </c>
      <c r="E5542" s="58" t="inlineStr">
        <is>
          <t>West</t>
        </is>
      </c>
      <c r="F5542" s="61" t="n">
        <v>4</v>
      </c>
      <c r="G5542" s="62" t="n">
        <v>58.49</v>
      </c>
      <c r="H5542" s="63" t="n">
        <v>0.044</v>
      </c>
      <c r="I5542" s="62" t="n">
        <v>31.97</v>
      </c>
      <c r="J5542" s="58" t="inlineStr">
        <is>
          <t>Online</t>
        </is>
      </c>
      <c r="K5542" s="62">
        <f>F5542*(G5542-H5542)</f>
        <v/>
      </c>
      <c r="L5542" s="62">
        <f>K5542-(F5542*I5542)</f>
        <v/>
      </c>
      <c r="M5542" s="64">
        <f>L5542/K5542</f>
        <v/>
      </c>
    </row>
    <row r="5543">
      <c r="A5543" s="58" t="inlineStr">
        <is>
          <t>RT20250522-05542</t>
        </is>
      </c>
      <c r="B5543" s="59" t="inlineStr">
        <is>
          <t>2025-05-22</t>
        </is>
      </c>
      <c r="C5543" s="60" t="inlineStr">
        <is>
          <t>Nimbus Makeup Max-158</t>
        </is>
      </c>
      <c r="D5543" s="58" t="inlineStr">
        <is>
          <t>Beauty</t>
        </is>
      </c>
      <c r="E5543" s="58" t="inlineStr">
        <is>
          <t>Central</t>
        </is>
      </c>
      <c r="F5543" s="61" t="n">
        <v>5</v>
      </c>
      <c r="G5543" s="62" t="n">
        <v>143.53</v>
      </c>
      <c r="H5543" s="63" t="n">
        <v>0.015</v>
      </c>
      <c r="I5543" s="62" t="n">
        <v>95.16</v>
      </c>
      <c r="J5543" s="58" t="inlineStr">
        <is>
          <t>Store</t>
        </is>
      </c>
      <c r="K5543" s="62">
        <f>F5543*(G5543-H5543)</f>
        <v/>
      </c>
      <c r="L5543" s="62">
        <f>K5543-(F5543*I5543)</f>
        <v/>
      </c>
      <c r="M5543" s="64">
        <f>L5543/K5543</f>
        <v/>
      </c>
    </row>
    <row r="5544">
      <c r="A5544" s="58" t="inlineStr">
        <is>
          <t>RT20250522-05543</t>
        </is>
      </c>
      <c r="B5544" s="59" t="inlineStr">
        <is>
          <t>2025-05-22</t>
        </is>
      </c>
      <c r="C5544" s="60" t="inlineStr">
        <is>
          <t>Falcon Wearable X-334</t>
        </is>
      </c>
      <c r="D5544" s="58" t="inlineStr">
        <is>
          <t>Electronics</t>
        </is>
      </c>
      <c r="E5544" s="58" t="inlineStr">
        <is>
          <t>East</t>
        </is>
      </c>
      <c r="F5544" s="61" t="n">
        <v>1</v>
      </c>
      <c r="G5544" s="62" t="n">
        <v>1868.94</v>
      </c>
      <c r="H5544" s="63" t="n">
        <v>0.07099999999999999</v>
      </c>
      <c r="I5544" s="62" t="n">
        <v>1522.9</v>
      </c>
      <c r="J5544" s="58" t="inlineStr">
        <is>
          <t>Store</t>
        </is>
      </c>
      <c r="K5544" s="62">
        <f>F5544*(G5544-H5544)</f>
        <v/>
      </c>
      <c r="L5544" s="62">
        <f>K5544-(F5544*I5544)</f>
        <v/>
      </c>
      <c r="M5544" s="64">
        <f>L5544/K5544</f>
        <v/>
      </c>
    </row>
    <row r="5545">
      <c r="A5545" s="58" t="inlineStr">
        <is>
          <t>RT20250522-05544</t>
        </is>
      </c>
      <c r="B5545" s="59" t="inlineStr">
        <is>
          <t>2025-05-22</t>
        </is>
      </c>
      <c r="C5545" s="60" t="inlineStr">
        <is>
          <t>Falcon Cycling Pro-499</t>
        </is>
      </c>
      <c r="D5545" s="58" t="inlineStr">
        <is>
          <t>Sports</t>
        </is>
      </c>
      <c r="E5545" s="58" t="inlineStr">
        <is>
          <t>East</t>
        </is>
      </c>
      <c r="F5545" s="61" t="n">
        <v>2</v>
      </c>
      <c r="G5545" s="62" t="n">
        <v>621.61</v>
      </c>
      <c r="H5545" s="63" t="n">
        <v>0.035</v>
      </c>
      <c r="I5545" s="62" t="n">
        <v>412.61</v>
      </c>
      <c r="J5545" s="58" t="inlineStr">
        <is>
          <t>Online</t>
        </is>
      </c>
      <c r="K5545" s="62">
        <f>F5545*(G5545-H5545)</f>
        <v/>
      </c>
      <c r="L5545" s="62">
        <f>K5545-(F5545*I5545)</f>
        <v/>
      </c>
      <c r="M5545" s="64">
        <f>L5545/K5545</f>
        <v/>
      </c>
    </row>
    <row r="5546">
      <c r="A5546" s="58" t="inlineStr">
        <is>
          <t>RT20250522-05545</t>
        </is>
      </c>
      <c r="B5546" s="59" t="inlineStr">
        <is>
          <t>2025-05-22</t>
        </is>
      </c>
      <c r="C5546" s="60" t="inlineStr">
        <is>
          <t>Aurora Team Sport Plus-256</t>
        </is>
      </c>
      <c r="D5546" s="58" t="inlineStr">
        <is>
          <t>Sports</t>
        </is>
      </c>
      <c r="E5546" s="58" t="inlineStr">
        <is>
          <t>Central</t>
        </is>
      </c>
      <c r="F5546" s="61" t="n">
        <v>3</v>
      </c>
      <c r="G5546" s="62" t="n">
        <v>537.47</v>
      </c>
      <c r="H5546" s="63" t="n">
        <v>0.062</v>
      </c>
      <c r="I5546" s="62" t="n">
        <v>428.78</v>
      </c>
      <c r="J5546" s="58" t="inlineStr">
        <is>
          <t>Online</t>
        </is>
      </c>
      <c r="K5546" s="62">
        <f>F5546*(G5546-H5546)</f>
        <v/>
      </c>
      <c r="L5546" s="62">
        <f>K5546-(F5546*I5546)</f>
        <v/>
      </c>
      <c r="M5546" s="64">
        <f>L5546/K5546</f>
        <v/>
      </c>
    </row>
    <row r="5547">
      <c r="A5547" s="58" t="inlineStr">
        <is>
          <t>RT20250522-05546</t>
        </is>
      </c>
      <c r="B5547" s="59" t="inlineStr">
        <is>
          <t>2025-05-22</t>
        </is>
      </c>
      <c r="C5547" s="60" t="inlineStr">
        <is>
          <t>Polar Bedding Lite-243</t>
        </is>
      </c>
      <c r="D5547" s="58" t="inlineStr">
        <is>
          <t>Home</t>
        </is>
      </c>
      <c r="E5547" s="58" t="inlineStr">
        <is>
          <t>West</t>
        </is>
      </c>
      <c r="F5547" s="61" t="n">
        <v>3</v>
      </c>
      <c r="G5547" s="62" t="n">
        <v>394.01</v>
      </c>
      <c r="H5547" s="63" t="n">
        <v>0.074</v>
      </c>
      <c r="I5547" s="62" t="n">
        <v>324.04</v>
      </c>
      <c r="J5547" s="58" t="inlineStr">
        <is>
          <t>Online</t>
        </is>
      </c>
      <c r="K5547" s="62">
        <f>F5547*(G5547-H5547)</f>
        <v/>
      </c>
      <c r="L5547" s="62">
        <f>K5547-(F5547*I5547)</f>
        <v/>
      </c>
      <c r="M5547" s="64">
        <f>L5547/K5547</f>
        <v/>
      </c>
    </row>
    <row r="5548">
      <c r="A5548" s="58" t="inlineStr">
        <is>
          <t>RT20250522-05547</t>
        </is>
      </c>
      <c r="B5548" s="59" t="inlineStr">
        <is>
          <t>2025-05-22</t>
        </is>
      </c>
      <c r="C5548" s="60" t="inlineStr">
        <is>
          <t>Orion Kitchen Pro-568</t>
        </is>
      </c>
      <c r="D5548" s="58" t="inlineStr">
        <is>
          <t>Home</t>
        </is>
      </c>
      <c r="E5548" s="58" t="inlineStr">
        <is>
          <t>North</t>
        </is>
      </c>
      <c r="F5548" s="61" t="n">
        <v>3</v>
      </c>
      <c r="G5548" s="62" t="n">
        <v>402.19</v>
      </c>
      <c r="H5548" s="63" t="n">
        <v>0.052</v>
      </c>
      <c r="I5548" s="62" t="n">
        <v>298.23</v>
      </c>
      <c r="J5548" s="58" t="inlineStr">
        <is>
          <t>Online</t>
        </is>
      </c>
      <c r="K5548" s="62">
        <f>F5548*(G5548-H5548)</f>
        <v/>
      </c>
      <c r="L5548" s="62">
        <f>K5548-(F5548*I5548)</f>
        <v/>
      </c>
      <c r="M5548" s="64">
        <f>L5548/K5548</f>
        <v/>
      </c>
    </row>
    <row r="5549">
      <c r="A5549" s="58" t="inlineStr">
        <is>
          <t>RT20250522-05548</t>
        </is>
      </c>
      <c r="B5549" s="59" t="inlineStr">
        <is>
          <t>2025-05-22</t>
        </is>
      </c>
      <c r="C5549" s="60" t="inlineStr">
        <is>
          <t>Aurora Fitnes Lite-194</t>
        </is>
      </c>
      <c r="D5549" s="58" t="inlineStr">
        <is>
          <t>Sports</t>
        </is>
      </c>
      <c r="E5549" s="58" t="inlineStr">
        <is>
          <t>Central</t>
        </is>
      </c>
      <c r="F5549" s="61" t="n">
        <v>2</v>
      </c>
      <c r="G5549" s="62" t="n">
        <v>767.21</v>
      </c>
      <c r="H5549" s="63" t="n">
        <v>0.045</v>
      </c>
      <c r="I5549" s="62" t="n">
        <v>459.55</v>
      </c>
      <c r="J5549" s="58" t="inlineStr">
        <is>
          <t>Online</t>
        </is>
      </c>
      <c r="K5549" s="62">
        <f>F5549*(G5549-H5549)</f>
        <v/>
      </c>
      <c r="L5549" s="62">
        <f>K5549-(F5549*I5549)</f>
        <v/>
      </c>
      <c r="M5549" s="64">
        <f>L5549/K5549</f>
        <v/>
      </c>
    </row>
    <row r="5550">
      <c r="A5550" s="58" t="inlineStr">
        <is>
          <t>RT20250522-05549</t>
        </is>
      </c>
      <c r="B5550" s="59" t="inlineStr">
        <is>
          <t>2025-05-22</t>
        </is>
      </c>
      <c r="C5550" s="60" t="inlineStr">
        <is>
          <t>Orion Haircare Plus-887</t>
        </is>
      </c>
      <c r="D5550" s="58" t="inlineStr">
        <is>
          <t>Beauty</t>
        </is>
      </c>
      <c r="E5550" s="58" t="inlineStr">
        <is>
          <t>South</t>
        </is>
      </c>
      <c r="F5550" s="61" t="n">
        <v>3</v>
      </c>
      <c r="G5550" s="62" t="n">
        <v>56.64</v>
      </c>
      <c r="H5550" s="63" t="n">
        <v>0.08699999999999999</v>
      </c>
      <c r="I5550" s="62" t="n">
        <v>30.03</v>
      </c>
      <c r="J5550" s="58" t="inlineStr">
        <is>
          <t>Online</t>
        </is>
      </c>
      <c r="K5550" s="62">
        <f>F5550*(G5550-H5550)</f>
        <v/>
      </c>
      <c r="L5550" s="62">
        <f>K5550-(F5550*I5550)</f>
        <v/>
      </c>
      <c r="M5550" s="64">
        <f>L5550/K5550</f>
        <v/>
      </c>
    </row>
    <row r="5551">
      <c r="A5551" s="58" t="inlineStr">
        <is>
          <t>RT20250523-05550</t>
        </is>
      </c>
      <c r="B5551" s="59" t="inlineStr">
        <is>
          <t>2025-05-23</t>
        </is>
      </c>
      <c r="C5551" s="60" t="inlineStr">
        <is>
          <t>Vertex Fitnes Pro-830</t>
        </is>
      </c>
      <c r="D5551" s="58" t="inlineStr">
        <is>
          <t>Sports</t>
        </is>
      </c>
      <c r="E5551" s="58" t="inlineStr">
        <is>
          <t>West</t>
        </is>
      </c>
      <c r="F5551" s="61" t="n">
        <v>2</v>
      </c>
      <c r="G5551" s="62" t="n">
        <v>668.09</v>
      </c>
      <c r="H5551" s="63" t="n">
        <v>0.092</v>
      </c>
      <c r="I5551" s="62" t="n">
        <v>492.78</v>
      </c>
      <c r="J5551" s="58" t="inlineStr">
        <is>
          <t>Online</t>
        </is>
      </c>
      <c r="K5551" s="62">
        <f>F5551*(G5551-H5551)</f>
        <v/>
      </c>
      <c r="L5551" s="62">
        <f>K5551-(F5551*I5551)</f>
        <v/>
      </c>
      <c r="M5551" s="64">
        <f>L5551/K5551</f>
        <v/>
      </c>
    </row>
    <row r="5552">
      <c r="A5552" s="58" t="inlineStr">
        <is>
          <t>RT20250523-05551</t>
        </is>
      </c>
      <c r="B5552" s="59" t="inlineStr">
        <is>
          <t>2025-05-23</t>
        </is>
      </c>
      <c r="C5552" s="60" t="inlineStr">
        <is>
          <t>Orion Snack X-322</t>
        </is>
      </c>
      <c r="D5552" s="58" t="inlineStr">
        <is>
          <t>Grocery</t>
        </is>
      </c>
      <c r="E5552" s="58" t="inlineStr">
        <is>
          <t>North</t>
        </is>
      </c>
      <c r="F5552" s="61" t="n">
        <v>5</v>
      </c>
      <c r="G5552" s="62" t="n">
        <v>12.42</v>
      </c>
      <c r="H5552" s="63" t="n">
        <v>0.073</v>
      </c>
      <c r="I5552" s="62" t="n">
        <v>10.09</v>
      </c>
      <c r="J5552" s="58" t="inlineStr">
        <is>
          <t>Store</t>
        </is>
      </c>
      <c r="K5552" s="62">
        <f>F5552*(G5552-H5552)</f>
        <v/>
      </c>
      <c r="L5552" s="62">
        <f>K5552-(F5552*I5552)</f>
        <v/>
      </c>
      <c r="M5552" s="64">
        <f>L5552/K5552</f>
        <v/>
      </c>
    </row>
    <row r="5553">
      <c r="A5553" s="58" t="inlineStr">
        <is>
          <t>RT20250523-05552</t>
        </is>
      </c>
      <c r="B5553" s="59" t="inlineStr">
        <is>
          <t>2025-05-23</t>
        </is>
      </c>
      <c r="C5553" s="60" t="inlineStr">
        <is>
          <t>Nimbus Cycling Plus-911</t>
        </is>
      </c>
      <c r="D5553" s="58" t="inlineStr">
        <is>
          <t>Sports</t>
        </is>
      </c>
      <c r="E5553" s="58" t="inlineStr">
        <is>
          <t>Central</t>
        </is>
      </c>
      <c r="F5553" s="61" t="n">
        <v>1</v>
      </c>
      <c r="G5553" s="62" t="n">
        <v>582.9</v>
      </c>
      <c r="H5553" s="63" t="n">
        <v>0</v>
      </c>
      <c r="I5553" s="62" t="n">
        <v>393.9</v>
      </c>
      <c r="J5553" s="58" t="inlineStr">
        <is>
          <t>Online</t>
        </is>
      </c>
      <c r="K5553" s="62">
        <f>F5553*(G5553-H5553)</f>
        <v/>
      </c>
      <c r="L5553" s="62">
        <f>K5553-(F5553*I5553)</f>
        <v/>
      </c>
      <c r="M5553" s="64">
        <f>L5553/K5553</f>
        <v/>
      </c>
    </row>
    <row r="5554">
      <c r="A5554" s="58" t="inlineStr">
        <is>
          <t>RT20250523-05553</t>
        </is>
      </c>
      <c r="B5554" s="59" t="inlineStr">
        <is>
          <t>2025-05-23</t>
        </is>
      </c>
      <c r="C5554" s="60" t="inlineStr">
        <is>
          <t>Falcon Storage X-734</t>
        </is>
      </c>
      <c r="D5554" s="58" t="inlineStr">
        <is>
          <t>Office</t>
        </is>
      </c>
      <c r="E5554" s="58" t="inlineStr">
        <is>
          <t>East</t>
        </is>
      </c>
      <c r="F5554" s="61" t="n">
        <v>2</v>
      </c>
      <c r="G5554" s="62" t="n">
        <v>403.14</v>
      </c>
      <c r="H5554" s="63" t="n">
        <v>0.037</v>
      </c>
      <c r="I5554" s="62" t="n">
        <v>287.44</v>
      </c>
      <c r="J5554" s="58" t="inlineStr">
        <is>
          <t>Online</t>
        </is>
      </c>
      <c r="K5554" s="62">
        <f>F5554*(G5554-H5554)</f>
        <v/>
      </c>
      <c r="L5554" s="62">
        <f>K5554-(F5554*I5554)</f>
        <v/>
      </c>
      <c r="M5554" s="64">
        <f>L5554/K5554</f>
        <v/>
      </c>
    </row>
    <row r="5555">
      <c r="A5555" s="58" t="inlineStr">
        <is>
          <t>RT20250523-05554</t>
        </is>
      </c>
      <c r="B5555" s="59" t="inlineStr">
        <is>
          <t>2025-05-23</t>
        </is>
      </c>
      <c r="C5555" s="60" t="inlineStr">
        <is>
          <t>Polar Women Max-927</t>
        </is>
      </c>
      <c r="D5555" s="58" t="inlineStr">
        <is>
          <t>Apparel</t>
        </is>
      </c>
      <c r="E5555" s="58" t="inlineStr">
        <is>
          <t>East</t>
        </is>
      </c>
      <c r="F5555" s="61" t="n">
        <v>4</v>
      </c>
      <c r="G5555" s="62" t="n">
        <v>110.27</v>
      </c>
      <c r="H5555" s="63" t="n">
        <v>0.055</v>
      </c>
      <c r="I5555" s="62" t="n">
        <v>66.87</v>
      </c>
      <c r="J5555" s="58" t="inlineStr">
        <is>
          <t>Store</t>
        </is>
      </c>
      <c r="K5555" s="62">
        <f>F5555*(G5555-H5555)</f>
        <v/>
      </c>
      <c r="L5555" s="62">
        <f>K5555-(F5555*I5555)</f>
        <v/>
      </c>
      <c r="M5555" s="64">
        <f>L5555/K5555</f>
        <v/>
      </c>
    </row>
    <row r="5556">
      <c r="A5556" s="58" t="inlineStr">
        <is>
          <t>RT20250523-05555</t>
        </is>
      </c>
      <c r="B5556" s="59" t="inlineStr">
        <is>
          <t>2025-05-23</t>
        </is>
      </c>
      <c r="C5556" s="60" t="inlineStr">
        <is>
          <t>Falcon Household Pro-865</t>
        </is>
      </c>
      <c r="D5556" s="58" t="inlineStr">
        <is>
          <t>Grocery</t>
        </is>
      </c>
      <c r="E5556" s="58" t="inlineStr">
        <is>
          <t>South</t>
        </is>
      </c>
      <c r="F5556" s="61" t="n">
        <v>1</v>
      </c>
      <c r="G5556" s="62" t="n">
        <v>10.02</v>
      </c>
      <c r="H5556" s="63" t="n">
        <v>0.052</v>
      </c>
      <c r="I5556" s="62" t="n">
        <v>7.54</v>
      </c>
      <c r="J5556" s="58" t="inlineStr">
        <is>
          <t>Store</t>
        </is>
      </c>
      <c r="K5556" s="62">
        <f>F5556*(G5556-H5556)</f>
        <v/>
      </c>
      <c r="L5556" s="62">
        <f>K5556-(F5556*I5556)</f>
        <v/>
      </c>
      <c r="M5556" s="64">
        <f>L5556/K5556</f>
        <v/>
      </c>
    </row>
    <row r="5557">
      <c r="A5557" s="58" t="inlineStr">
        <is>
          <t>RT20250523-05556</t>
        </is>
      </c>
      <c r="B5557" s="59" t="inlineStr">
        <is>
          <t>2025-05-23</t>
        </is>
      </c>
      <c r="C5557" s="60" t="inlineStr">
        <is>
          <t>Aurora Printer Plus-723</t>
        </is>
      </c>
      <c r="D5557" s="58" t="inlineStr">
        <is>
          <t>Office</t>
        </is>
      </c>
      <c r="E5557" s="58" t="inlineStr">
        <is>
          <t>South</t>
        </is>
      </c>
      <c r="F5557" s="61" t="n">
        <v>3</v>
      </c>
      <c r="G5557" s="62" t="n">
        <v>293.95</v>
      </c>
      <c r="H5557" s="63" t="n">
        <v>0.068</v>
      </c>
      <c r="I5557" s="62" t="n">
        <v>184.76</v>
      </c>
      <c r="J5557" s="58" t="inlineStr">
        <is>
          <t>Phone</t>
        </is>
      </c>
      <c r="K5557" s="62">
        <f>F5557*(G5557-H5557)</f>
        <v/>
      </c>
      <c r="L5557" s="62">
        <f>K5557-(F5557*I5557)</f>
        <v/>
      </c>
      <c r="M5557" s="64">
        <f>L5557/K5557</f>
        <v/>
      </c>
    </row>
    <row r="5558">
      <c r="A5558" s="58" t="inlineStr">
        <is>
          <t>RT20250523-05557</t>
        </is>
      </c>
      <c r="B5558" s="59" t="inlineStr">
        <is>
          <t>2025-05-23</t>
        </is>
      </c>
      <c r="C5558" s="60" t="inlineStr">
        <is>
          <t>Polar Snack Pro-641</t>
        </is>
      </c>
      <c r="D5558" s="58" t="inlineStr">
        <is>
          <t>Grocery</t>
        </is>
      </c>
      <c r="E5558" s="58" t="inlineStr">
        <is>
          <t>North</t>
        </is>
      </c>
      <c r="F5558" s="61" t="n">
        <v>5</v>
      </c>
      <c r="G5558" s="62" t="n">
        <v>13.45</v>
      </c>
      <c r="H5558" s="63" t="n">
        <v>0.108</v>
      </c>
      <c r="I5558" s="62" t="n">
        <v>9.300000000000001</v>
      </c>
      <c r="J5558" s="58" t="inlineStr">
        <is>
          <t>Online</t>
        </is>
      </c>
      <c r="K5558" s="62">
        <f>F5558*(G5558-H5558)</f>
        <v/>
      </c>
      <c r="L5558" s="62">
        <f>K5558-(F5558*I5558)</f>
        <v/>
      </c>
      <c r="M5558" s="64">
        <f>L5558/K5558</f>
        <v/>
      </c>
    </row>
    <row r="5559">
      <c r="A5559" s="58" t="inlineStr">
        <is>
          <t>RT20250523-05558</t>
        </is>
      </c>
      <c r="B5559" s="59" t="inlineStr">
        <is>
          <t>2025-05-23</t>
        </is>
      </c>
      <c r="C5559" s="60" t="inlineStr">
        <is>
          <t>Solace Fitnes S-324</t>
        </is>
      </c>
      <c r="D5559" s="58" t="inlineStr">
        <is>
          <t>Sports</t>
        </is>
      </c>
      <c r="E5559" s="58" t="inlineStr">
        <is>
          <t>South</t>
        </is>
      </c>
      <c r="F5559" s="61" t="n">
        <v>3</v>
      </c>
      <c r="G5559" s="62" t="n">
        <v>859.71</v>
      </c>
      <c r="H5559" s="63" t="n">
        <v>0.022</v>
      </c>
      <c r="I5559" s="62" t="n">
        <v>522.46</v>
      </c>
      <c r="J5559" s="58" t="inlineStr">
        <is>
          <t>Store</t>
        </is>
      </c>
      <c r="K5559" s="62">
        <f>F5559*(G5559-H5559)</f>
        <v/>
      </c>
      <c r="L5559" s="62">
        <f>K5559-(F5559*I5559)</f>
        <v/>
      </c>
      <c r="M5559" s="64">
        <f>L5559/K5559</f>
        <v/>
      </c>
    </row>
    <row r="5560">
      <c r="A5560" s="58" t="inlineStr">
        <is>
          <t>RT20250523-05559</t>
        </is>
      </c>
      <c r="B5560" s="59" t="inlineStr">
        <is>
          <t>2025-05-23</t>
        </is>
      </c>
      <c r="C5560" s="60" t="inlineStr">
        <is>
          <t>Aurora Team Sport Plus-256</t>
        </is>
      </c>
      <c r="D5560" s="58" t="inlineStr">
        <is>
          <t>Sports</t>
        </is>
      </c>
      <c r="E5560" s="58" t="inlineStr">
        <is>
          <t>East</t>
        </is>
      </c>
      <c r="F5560" s="61" t="n">
        <v>2</v>
      </c>
      <c r="G5560" s="62" t="n">
        <v>624.04</v>
      </c>
      <c r="H5560" s="63" t="n">
        <v>0.044</v>
      </c>
      <c r="I5560" s="62" t="n">
        <v>418.31</v>
      </c>
      <c r="J5560" s="58" t="inlineStr">
        <is>
          <t>Phone</t>
        </is>
      </c>
      <c r="K5560" s="62">
        <f>F5560*(G5560-H5560)</f>
        <v/>
      </c>
      <c r="L5560" s="62">
        <f>K5560-(F5560*I5560)</f>
        <v/>
      </c>
      <c r="M5560" s="64">
        <f>L5560/K5560</f>
        <v/>
      </c>
    </row>
    <row r="5561">
      <c r="A5561" s="58" t="inlineStr">
        <is>
          <t>RT20250523-05560</t>
        </is>
      </c>
      <c r="B5561" s="59" t="inlineStr">
        <is>
          <t>2025-05-23</t>
        </is>
      </c>
      <c r="C5561" s="60" t="inlineStr">
        <is>
          <t>Solace Kitchen Pro-999</t>
        </is>
      </c>
      <c r="D5561" s="58" t="inlineStr">
        <is>
          <t>Home</t>
        </is>
      </c>
      <c r="E5561" s="58" t="inlineStr">
        <is>
          <t>Central</t>
        </is>
      </c>
      <c r="F5561" s="61" t="n">
        <v>2</v>
      </c>
      <c r="G5561" s="62" t="n">
        <v>402.75</v>
      </c>
      <c r="H5561" s="63" t="n">
        <v>0.102</v>
      </c>
      <c r="I5561" s="62" t="n">
        <v>270.3</v>
      </c>
      <c r="J5561" s="58" t="inlineStr">
        <is>
          <t>Online</t>
        </is>
      </c>
      <c r="K5561" s="62">
        <f>F5561*(G5561-H5561)</f>
        <v/>
      </c>
      <c r="L5561" s="62">
        <f>K5561-(F5561*I5561)</f>
        <v/>
      </c>
      <c r="M5561" s="64">
        <f>L5561/K5561</f>
        <v/>
      </c>
    </row>
    <row r="5562">
      <c r="A5562" s="58" t="inlineStr">
        <is>
          <t>RT20250523-05561</t>
        </is>
      </c>
      <c r="B5562" s="59" t="inlineStr">
        <is>
          <t>2025-05-23</t>
        </is>
      </c>
      <c r="C5562" s="60" t="inlineStr">
        <is>
          <t>Polar Haircare Max-614</t>
        </is>
      </c>
      <c r="D5562" s="58" t="inlineStr">
        <is>
          <t>Beauty</t>
        </is>
      </c>
      <c r="E5562" s="58" t="inlineStr">
        <is>
          <t>East</t>
        </is>
      </c>
      <c r="F5562" s="61" t="n">
        <v>5</v>
      </c>
      <c r="G5562" s="62" t="n">
        <v>102.05</v>
      </c>
      <c r="H5562" s="63" t="n">
        <v>0.052</v>
      </c>
      <c r="I5562" s="62" t="n">
        <v>70.98999999999999</v>
      </c>
      <c r="J5562" s="58" t="inlineStr">
        <is>
          <t>Online</t>
        </is>
      </c>
      <c r="K5562" s="62">
        <f>F5562*(G5562-H5562)</f>
        <v/>
      </c>
      <c r="L5562" s="62">
        <f>K5562-(F5562*I5562)</f>
        <v/>
      </c>
      <c r="M5562" s="64">
        <f>L5562/K5562</f>
        <v/>
      </c>
    </row>
    <row r="5563">
      <c r="A5563" s="58" t="inlineStr">
        <is>
          <t>RT20250523-05562</t>
        </is>
      </c>
      <c r="B5563" s="59" t="inlineStr">
        <is>
          <t>2025-05-23</t>
        </is>
      </c>
      <c r="C5563" s="60" t="inlineStr">
        <is>
          <t>Polar Pantry Lite-392</t>
        </is>
      </c>
      <c r="D5563" s="58" t="inlineStr">
        <is>
          <t>Grocery</t>
        </is>
      </c>
      <c r="E5563" s="58" t="inlineStr">
        <is>
          <t>Central</t>
        </is>
      </c>
      <c r="F5563" s="61" t="n">
        <v>1</v>
      </c>
      <c r="G5563" s="62" t="n">
        <v>5.72</v>
      </c>
      <c r="H5563" s="63" t="n">
        <v>0.055</v>
      </c>
      <c r="I5563" s="62" t="n">
        <v>4.41</v>
      </c>
      <c r="J5563" s="58" t="inlineStr">
        <is>
          <t>Online</t>
        </is>
      </c>
      <c r="K5563" s="62">
        <f>F5563*(G5563-H5563)</f>
        <v/>
      </c>
      <c r="L5563" s="62">
        <f>K5563-(F5563*I5563)</f>
        <v/>
      </c>
      <c r="M5563" s="64">
        <f>L5563/K5563</f>
        <v/>
      </c>
    </row>
    <row r="5564">
      <c r="A5564" s="58" t="inlineStr">
        <is>
          <t>RT20250523-05563</t>
        </is>
      </c>
      <c r="B5564" s="59" t="inlineStr">
        <is>
          <t>2025-05-23</t>
        </is>
      </c>
      <c r="C5564" s="60" t="inlineStr">
        <is>
          <t>Metro Accessorie Lite-697</t>
        </is>
      </c>
      <c r="D5564" s="58" t="inlineStr">
        <is>
          <t>Apparel</t>
        </is>
      </c>
      <c r="E5564" s="58" t="inlineStr">
        <is>
          <t>West</t>
        </is>
      </c>
      <c r="F5564" s="61" t="n">
        <v>1</v>
      </c>
      <c r="G5564" s="62" t="n">
        <v>133.29</v>
      </c>
      <c r="H5564" s="63" t="n">
        <v>0.035</v>
      </c>
      <c r="I5564" s="62" t="n">
        <v>78.06999999999999</v>
      </c>
      <c r="J5564" s="58" t="inlineStr">
        <is>
          <t>Online</t>
        </is>
      </c>
      <c r="K5564" s="62">
        <f>F5564*(G5564-H5564)</f>
        <v/>
      </c>
      <c r="L5564" s="62">
        <f>K5564-(F5564*I5564)</f>
        <v/>
      </c>
      <c r="M5564" s="64">
        <f>L5564/K5564</f>
        <v/>
      </c>
    </row>
    <row r="5565">
      <c r="A5565" s="58" t="inlineStr">
        <is>
          <t>RT20250523-05564</t>
        </is>
      </c>
      <c r="B5565" s="59" t="inlineStr">
        <is>
          <t>2025-05-23</t>
        </is>
      </c>
      <c r="C5565" s="60" t="inlineStr">
        <is>
          <t>Metro Decor Lite-325</t>
        </is>
      </c>
      <c r="D5565" s="58" t="inlineStr">
        <is>
          <t>Home</t>
        </is>
      </c>
      <c r="E5565" s="58" t="inlineStr">
        <is>
          <t>South</t>
        </is>
      </c>
      <c r="F5565" s="61" t="n">
        <v>3</v>
      </c>
      <c r="G5565" s="62" t="n">
        <v>518.08</v>
      </c>
      <c r="H5565" s="63" t="n">
        <v>0.029</v>
      </c>
      <c r="I5565" s="62" t="n">
        <v>382.55</v>
      </c>
      <c r="J5565" s="58" t="inlineStr">
        <is>
          <t>Online</t>
        </is>
      </c>
      <c r="K5565" s="62">
        <f>F5565*(G5565-H5565)</f>
        <v/>
      </c>
      <c r="L5565" s="62">
        <f>K5565-(F5565*I5565)</f>
        <v/>
      </c>
      <c r="M5565" s="64">
        <f>L5565/K5565</f>
        <v/>
      </c>
    </row>
    <row r="5566">
      <c r="A5566" s="58" t="inlineStr">
        <is>
          <t>RT20250523-05565</t>
        </is>
      </c>
      <c r="B5566" s="59" t="inlineStr">
        <is>
          <t>2025-05-23</t>
        </is>
      </c>
      <c r="C5566" s="60" t="inlineStr">
        <is>
          <t>Vertex Accessorie Pro-881</t>
        </is>
      </c>
      <c r="D5566" s="58" t="inlineStr">
        <is>
          <t>Apparel</t>
        </is>
      </c>
      <c r="E5566" s="58" t="inlineStr">
        <is>
          <t>South</t>
        </is>
      </c>
      <c r="F5566" s="61" t="n">
        <v>3</v>
      </c>
      <c r="G5566" s="62" t="n">
        <v>107.16</v>
      </c>
      <c r="H5566" s="63" t="n">
        <v>0.08699999999999999</v>
      </c>
      <c r="I5566" s="62" t="n">
        <v>64.88</v>
      </c>
      <c r="J5566" s="58" t="inlineStr">
        <is>
          <t>Store</t>
        </is>
      </c>
      <c r="K5566" s="62">
        <f>F5566*(G5566-H5566)</f>
        <v/>
      </c>
      <c r="L5566" s="62">
        <f>K5566-(F5566*I5566)</f>
        <v/>
      </c>
      <c r="M5566" s="64">
        <f>L5566/K5566</f>
        <v/>
      </c>
    </row>
    <row r="5567">
      <c r="A5567" s="58" t="inlineStr">
        <is>
          <t>RT20250523-05566</t>
        </is>
      </c>
      <c r="B5567" s="59" t="inlineStr">
        <is>
          <t>2025-05-23</t>
        </is>
      </c>
      <c r="C5567" s="60" t="inlineStr">
        <is>
          <t>Vertex Printer Max-692</t>
        </is>
      </c>
      <c r="D5567" s="58" t="inlineStr">
        <is>
          <t>Office</t>
        </is>
      </c>
      <c r="E5567" s="58" t="inlineStr">
        <is>
          <t>South</t>
        </is>
      </c>
      <c r="F5567" s="61" t="n">
        <v>3</v>
      </c>
      <c r="G5567" s="62" t="n">
        <v>162.19</v>
      </c>
      <c r="H5567" s="63" t="n">
        <v>0.089</v>
      </c>
      <c r="I5567" s="62" t="n">
        <v>125.62</v>
      </c>
      <c r="J5567" s="58" t="inlineStr">
        <is>
          <t>Store</t>
        </is>
      </c>
      <c r="K5567" s="62">
        <f>F5567*(G5567-H5567)</f>
        <v/>
      </c>
      <c r="L5567" s="62">
        <f>K5567-(F5567*I5567)</f>
        <v/>
      </c>
      <c r="M5567" s="64">
        <f>L5567/K5567</f>
        <v/>
      </c>
    </row>
    <row r="5568">
      <c r="A5568" s="58" t="inlineStr">
        <is>
          <t>RT20250523-05567</t>
        </is>
      </c>
      <c r="B5568" s="59" t="inlineStr">
        <is>
          <t>2025-05-23</t>
        </is>
      </c>
      <c r="C5568" s="60" t="inlineStr">
        <is>
          <t>Metro Accessorie Max-316</t>
        </is>
      </c>
      <c r="D5568" s="58" t="inlineStr">
        <is>
          <t>Apparel</t>
        </is>
      </c>
      <c r="E5568" s="58" t="inlineStr">
        <is>
          <t>Central</t>
        </is>
      </c>
      <c r="F5568" s="61" t="n">
        <v>2</v>
      </c>
      <c r="G5568" s="62" t="n">
        <v>158.77</v>
      </c>
      <c r="H5568" s="63" t="n">
        <v>0.047</v>
      </c>
      <c r="I5568" s="62" t="n">
        <v>94.45999999999999</v>
      </c>
      <c r="J5568" s="58" t="inlineStr">
        <is>
          <t>Store</t>
        </is>
      </c>
      <c r="K5568" s="62">
        <f>F5568*(G5568-H5568)</f>
        <v/>
      </c>
      <c r="L5568" s="62">
        <f>K5568-(F5568*I5568)</f>
        <v/>
      </c>
      <c r="M5568" s="64">
        <f>L5568/K5568</f>
        <v/>
      </c>
    </row>
    <row r="5569">
      <c r="A5569" s="58" t="inlineStr">
        <is>
          <t>RT20250523-05568</t>
        </is>
      </c>
      <c r="B5569" s="59" t="inlineStr">
        <is>
          <t>2025-05-23</t>
        </is>
      </c>
      <c r="C5569" s="60" t="inlineStr">
        <is>
          <t>Solace Kitchen X-919</t>
        </is>
      </c>
      <c r="D5569" s="58" t="inlineStr">
        <is>
          <t>Home</t>
        </is>
      </c>
      <c r="E5569" s="58" t="inlineStr">
        <is>
          <t>Central</t>
        </is>
      </c>
      <c r="F5569" s="61" t="n">
        <v>2</v>
      </c>
      <c r="G5569" s="62" t="n">
        <v>347.88</v>
      </c>
      <c r="H5569" s="63" t="n">
        <v>0.056</v>
      </c>
      <c r="I5569" s="62" t="n">
        <v>267.01</v>
      </c>
      <c r="J5569" s="58" t="inlineStr">
        <is>
          <t>Online</t>
        </is>
      </c>
      <c r="K5569" s="62">
        <f>F5569*(G5569-H5569)</f>
        <v/>
      </c>
      <c r="L5569" s="62">
        <f>K5569-(F5569*I5569)</f>
        <v/>
      </c>
      <c r="M5569" s="64">
        <f>L5569/K5569</f>
        <v/>
      </c>
    </row>
    <row r="5570">
      <c r="A5570" s="58" t="inlineStr">
        <is>
          <t>RT20250523-05569</t>
        </is>
      </c>
      <c r="B5570" s="59" t="inlineStr">
        <is>
          <t>2025-05-23</t>
        </is>
      </c>
      <c r="C5570" s="60" t="inlineStr">
        <is>
          <t>Falcon Household Pro-865</t>
        </is>
      </c>
      <c r="D5570" s="58" t="inlineStr">
        <is>
          <t>Grocery</t>
        </is>
      </c>
      <c r="E5570" s="58" t="inlineStr">
        <is>
          <t>West</t>
        </is>
      </c>
      <c r="F5570" s="61" t="n">
        <v>2</v>
      </c>
      <c r="G5570" s="62" t="n">
        <v>11.4</v>
      </c>
      <c r="H5570" s="63" t="n">
        <v>0.054</v>
      </c>
      <c r="I5570" s="62" t="n">
        <v>7.73</v>
      </c>
      <c r="J5570" s="58" t="inlineStr">
        <is>
          <t>Online</t>
        </is>
      </c>
      <c r="K5570" s="62">
        <f>F5570*(G5570-H5570)</f>
        <v/>
      </c>
      <c r="L5570" s="62">
        <f>K5570-(F5570*I5570)</f>
        <v/>
      </c>
      <c r="M5570" s="64">
        <f>L5570/K5570</f>
        <v/>
      </c>
    </row>
    <row r="5571">
      <c r="A5571" s="58" t="inlineStr">
        <is>
          <t>RT20250523-05570</t>
        </is>
      </c>
      <c r="B5571" s="59" t="inlineStr">
        <is>
          <t>2025-05-23</t>
        </is>
      </c>
      <c r="C5571" s="60" t="inlineStr">
        <is>
          <t>Aurora Haircare S-975</t>
        </is>
      </c>
      <c r="D5571" s="58" t="inlineStr">
        <is>
          <t>Beauty</t>
        </is>
      </c>
      <c r="E5571" s="58" t="inlineStr">
        <is>
          <t>Central</t>
        </is>
      </c>
      <c r="F5571" s="61" t="n">
        <v>5</v>
      </c>
      <c r="G5571" s="62" t="n">
        <v>101.37</v>
      </c>
      <c r="H5571" s="63" t="n">
        <v>0.031</v>
      </c>
      <c r="I5571" s="62" t="n">
        <v>59.63</v>
      </c>
      <c r="J5571" s="58" t="inlineStr">
        <is>
          <t>Online</t>
        </is>
      </c>
      <c r="K5571" s="62">
        <f>F5571*(G5571-H5571)</f>
        <v/>
      </c>
      <c r="L5571" s="62">
        <f>K5571-(F5571*I5571)</f>
        <v/>
      </c>
      <c r="M5571" s="64">
        <f>L5571/K5571</f>
        <v/>
      </c>
    </row>
    <row r="5572">
      <c r="A5572" s="58" t="inlineStr">
        <is>
          <t>RT20250523-05571</t>
        </is>
      </c>
      <c r="B5572" s="59" t="inlineStr">
        <is>
          <t>2025-05-23</t>
        </is>
      </c>
      <c r="C5572" s="60" t="inlineStr">
        <is>
          <t>Aurora Haircare S-975</t>
        </is>
      </c>
      <c r="D5572" s="58" t="inlineStr">
        <is>
          <t>Beauty</t>
        </is>
      </c>
      <c r="E5572" s="58" t="inlineStr">
        <is>
          <t>North</t>
        </is>
      </c>
      <c r="F5572" s="61" t="n">
        <v>2</v>
      </c>
      <c r="G5572" s="62" t="n">
        <v>107.53</v>
      </c>
      <c r="H5572" s="63" t="n">
        <v>0.121</v>
      </c>
      <c r="I5572" s="62" t="n">
        <v>59.52</v>
      </c>
      <c r="J5572" s="58" t="inlineStr">
        <is>
          <t>Store</t>
        </is>
      </c>
      <c r="K5572" s="62">
        <f>F5572*(G5572-H5572)</f>
        <v/>
      </c>
      <c r="L5572" s="62">
        <f>K5572-(F5572*I5572)</f>
        <v/>
      </c>
      <c r="M5572" s="64">
        <f>L5572/K5572</f>
        <v/>
      </c>
    </row>
    <row r="5573">
      <c r="A5573" s="58" t="inlineStr">
        <is>
          <t>RT20250523-05572</t>
        </is>
      </c>
      <c r="B5573" s="59" t="inlineStr">
        <is>
          <t>2025-05-23</t>
        </is>
      </c>
      <c r="C5573" s="60" t="inlineStr">
        <is>
          <t>Nimbus Men Plus-231</t>
        </is>
      </c>
      <c r="D5573" s="58" t="inlineStr">
        <is>
          <t>Apparel</t>
        </is>
      </c>
      <c r="E5573" s="58" t="inlineStr">
        <is>
          <t>East</t>
        </is>
      </c>
      <c r="F5573" s="61" t="n">
        <v>1</v>
      </c>
      <c r="G5573" s="62" t="n">
        <v>164.97</v>
      </c>
      <c r="H5573" s="63" t="n">
        <v>0.014</v>
      </c>
      <c r="I5573" s="62" t="n">
        <v>87.53</v>
      </c>
      <c r="J5573" s="58" t="inlineStr">
        <is>
          <t>Store</t>
        </is>
      </c>
      <c r="K5573" s="62">
        <f>F5573*(G5573-H5573)</f>
        <v/>
      </c>
      <c r="L5573" s="62">
        <f>K5573-(F5573*I5573)</f>
        <v/>
      </c>
      <c r="M5573" s="64">
        <f>L5573/K5573</f>
        <v/>
      </c>
    </row>
    <row r="5574">
      <c r="A5574" s="58" t="inlineStr">
        <is>
          <t>RT20250523-05573</t>
        </is>
      </c>
      <c r="B5574" s="59" t="inlineStr">
        <is>
          <t>2025-05-23</t>
        </is>
      </c>
      <c r="C5574" s="60" t="inlineStr">
        <is>
          <t>Metro Pantry Max-180</t>
        </is>
      </c>
      <c r="D5574" s="58" t="inlineStr">
        <is>
          <t>Grocery</t>
        </is>
      </c>
      <c r="E5574" s="58" t="inlineStr">
        <is>
          <t>South</t>
        </is>
      </c>
      <c r="F5574" s="61" t="n">
        <v>1</v>
      </c>
      <c r="G5574" s="62" t="n">
        <v>8.460000000000001</v>
      </c>
      <c r="H5574" s="63" t="n">
        <v>0.06900000000000001</v>
      </c>
      <c r="I5574" s="62" t="n">
        <v>6.56</v>
      </c>
      <c r="J5574" s="58" t="inlineStr">
        <is>
          <t>Store</t>
        </is>
      </c>
      <c r="K5574" s="62">
        <f>F5574*(G5574-H5574)</f>
        <v/>
      </c>
      <c r="L5574" s="62">
        <f>K5574-(F5574*I5574)</f>
        <v/>
      </c>
      <c r="M5574" s="64">
        <f>L5574/K5574</f>
        <v/>
      </c>
    </row>
    <row r="5575">
      <c r="A5575" s="58" t="inlineStr">
        <is>
          <t>RT20250523-05574</t>
        </is>
      </c>
      <c r="B5575" s="59" t="inlineStr">
        <is>
          <t>2025-05-23</t>
        </is>
      </c>
      <c r="C5575" s="60" t="inlineStr">
        <is>
          <t>Polar Women S-662</t>
        </is>
      </c>
      <c r="D5575" s="58" t="inlineStr">
        <is>
          <t>Apparel</t>
        </is>
      </c>
      <c r="E5575" s="58" t="inlineStr">
        <is>
          <t>North</t>
        </is>
      </c>
      <c r="F5575" s="61" t="n">
        <v>4</v>
      </c>
      <c r="G5575" s="62" t="n">
        <v>180.75</v>
      </c>
      <c r="H5575" s="63" t="n">
        <v>0.016</v>
      </c>
      <c r="I5575" s="62" t="n">
        <v>97.17</v>
      </c>
      <c r="J5575" s="58" t="inlineStr">
        <is>
          <t>Phone</t>
        </is>
      </c>
      <c r="K5575" s="62">
        <f>F5575*(G5575-H5575)</f>
        <v/>
      </c>
      <c r="L5575" s="62">
        <f>K5575-(F5575*I5575)</f>
        <v/>
      </c>
      <c r="M5575" s="64">
        <f>L5575/K5575</f>
        <v/>
      </c>
    </row>
    <row r="5576">
      <c r="A5576" s="58" t="inlineStr">
        <is>
          <t>RT20250524-05575</t>
        </is>
      </c>
      <c r="B5576" s="59" t="inlineStr">
        <is>
          <t>2025-05-24</t>
        </is>
      </c>
      <c r="C5576" s="60" t="inlineStr">
        <is>
          <t>Aurora Printer Plus-991</t>
        </is>
      </c>
      <c r="D5576" s="58" t="inlineStr">
        <is>
          <t>Office</t>
        </is>
      </c>
      <c r="E5576" s="58" t="inlineStr">
        <is>
          <t>North</t>
        </is>
      </c>
      <c r="F5576" s="61" t="n">
        <v>3</v>
      </c>
      <c r="G5576" s="62" t="n">
        <v>496.07</v>
      </c>
      <c r="H5576" s="63" t="n">
        <v>0.091</v>
      </c>
      <c r="I5576" s="62" t="n">
        <v>380</v>
      </c>
      <c r="J5576" s="58" t="inlineStr">
        <is>
          <t>Store</t>
        </is>
      </c>
      <c r="K5576" s="62">
        <f>F5576*(G5576-H5576)</f>
        <v/>
      </c>
      <c r="L5576" s="62">
        <f>K5576-(F5576*I5576)</f>
        <v/>
      </c>
      <c r="M5576" s="64">
        <f>L5576/K5576</f>
        <v/>
      </c>
    </row>
    <row r="5577">
      <c r="A5577" s="58" t="inlineStr">
        <is>
          <t>RT20250524-05576</t>
        </is>
      </c>
      <c r="B5577" s="59" t="inlineStr">
        <is>
          <t>2025-05-24</t>
        </is>
      </c>
      <c r="C5577" s="60" t="inlineStr">
        <is>
          <t>Aurora Fitnes Lite-194</t>
        </is>
      </c>
      <c r="D5577" s="58" t="inlineStr">
        <is>
          <t>Sports</t>
        </is>
      </c>
      <c r="E5577" s="58" t="inlineStr">
        <is>
          <t>East</t>
        </is>
      </c>
      <c r="F5577" s="61" t="n">
        <v>2</v>
      </c>
      <c r="G5577" s="62" t="n">
        <v>618.92</v>
      </c>
      <c r="H5577" s="63" t="n">
        <v>0.094</v>
      </c>
      <c r="I5577" s="62" t="n">
        <v>470.71</v>
      </c>
      <c r="J5577" s="58" t="inlineStr">
        <is>
          <t>Online</t>
        </is>
      </c>
      <c r="K5577" s="62">
        <f>F5577*(G5577-H5577)</f>
        <v/>
      </c>
      <c r="L5577" s="62">
        <f>K5577-(F5577*I5577)</f>
        <v/>
      </c>
      <c r="M5577" s="64">
        <f>L5577/K5577</f>
        <v/>
      </c>
    </row>
    <row r="5578">
      <c r="A5578" s="58" t="inlineStr">
        <is>
          <t>RT20250524-05577</t>
        </is>
      </c>
      <c r="B5578" s="59" t="inlineStr">
        <is>
          <t>2025-05-24</t>
        </is>
      </c>
      <c r="C5578" s="60" t="inlineStr">
        <is>
          <t>Metro Outdoor Plus-787</t>
        </is>
      </c>
      <c r="D5578" s="58" t="inlineStr">
        <is>
          <t>Sports</t>
        </is>
      </c>
      <c r="E5578" s="58" t="inlineStr">
        <is>
          <t>East</t>
        </is>
      </c>
      <c r="F5578" s="61" t="n">
        <v>3</v>
      </c>
      <c r="G5578" s="62" t="n">
        <v>530.38</v>
      </c>
      <c r="H5578" s="63" t="n">
        <v>0.03</v>
      </c>
      <c r="I5578" s="62" t="n">
        <v>342.84</v>
      </c>
      <c r="J5578" s="58" t="inlineStr">
        <is>
          <t>Online</t>
        </is>
      </c>
      <c r="K5578" s="62">
        <f>F5578*(G5578-H5578)</f>
        <v/>
      </c>
      <c r="L5578" s="62">
        <f>K5578-(F5578*I5578)</f>
        <v/>
      </c>
      <c r="M5578" s="64">
        <f>L5578/K5578</f>
        <v/>
      </c>
    </row>
    <row r="5579">
      <c r="A5579" s="58" t="inlineStr">
        <is>
          <t>RT20250524-05578</t>
        </is>
      </c>
      <c r="B5579" s="59" t="inlineStr">
        <is>
          <t>2025-05-24</t>
        </is>
      </c>
      <c r="C5579" s="60" t="inlineStr">
        <is>
          <t>Solace Headphone Pro-344</t>
        </is>
      </c>
      <c r="D5579" s="58" t="inlineStr">
        <is>
          <t>Electronics</t>
        </is>
      </c>
      <c r="E5579" s="58" t="inlineStr">
        <is>
          <t>East</t>
        </is>
      </c>
      <c r="F5579" s="61" t="n">
        <v>2</v>
      </c>
      <c r="G5579" s="62" t="n">
        <v>1347.82</v>
      </c>
      <c r="H5579" s="63" t="n">
        <v>0.028</v>
      </c>
      <c r="I5579" s="62" t="n">
        <v>1091.72</v>
      </c>
      <c r="J5579" s="58" t="inlineStr">
        <is>
          <t>Phone</t>
        </is>
      </c>
      <c r="K5579" s="62">
        <f>F5579*(G5579-H5579)</f>
        <v/>
      </c>
      <c r="L5579" s="62">
        <f>K5579-(F5579*I5579)</f>
        <v/>
      </c>
      <c r="M5579" s="64">
        <f>L5579/K5579</f>
        <v/>
      </c>
    </row>
    <row r="5580">
      <c r="A5580" s="58" t="inlineStr">
        <is>
          <t>RT20250524-05579</t>
        </is>
      </c>
      <c r="B5580" s="59" t="inlineStr">
        <is>
          <t>2025-05-24</t>
        </is>
      </c>
      <c r="C5580" s="60" t="inlineStr">
        <is>
          <t>Orion Haircare Plus-887</t>
        </is>
      </c>
      <c r="D5580" s="58" t="inlineStr">
        <is>
          <t>Beauty</t>
        </is>
      </c>
      <c r="E5580" s="58" t="inlineStr">
        <is>
          <t>East</t>
        </is>
      </c>
      <c r="F5580" s="61" t="n">
        <v>2</v>
      </c>
      <c r="G5580" s="62" t="n">
        <v>54.45</v>
      </c>
      <c r="H5580" s="63" t="n">
        <v>0.08</v>
      </c>
      <c r="I5580" s="62" t="n">
        <v>30.93</v>
      </c>
      <c r="J5580" s="58" t="inlineStr">
        <is>
          <t>Store</t>
        </is>
      </c>
      <c r="K5580" s="62">
        <f>F5580*(G5580-H5580)</f>
        <v/>
      </c>
      <c r="L5580" s="62">
        <f>K5580-(F5580*I5580)</f>
        <v/>
      </c>
      <c r="M5580" s="64">
        <f>L5580/K5580</f>
        <v/>
      </c>
    </row>
    <row r="5581">
      <c r="A5581" s="58" t="inlineStr">
        <is>
          <t>RT20250524-05580</t>
        </is>
      </c>
      <c r="B5581" s="59" t="inlineStr">
        <is>
          <t>2025-05-24</t>
        </is>
      </c>
      <c r="C5581" s="60" t="inlineStr">
        <is>
          <t>Polar Decor X-935</t>
        </is>
      </c>
      <c r="D5581" s="58" t="inlineStr">
        <is>
          <t>Home</t>
        </is>
      </c>
      <c r="E5581" s="58" t="inlineStr">
        <is>
          <t>South</t>
        </is>
      </c>
      <c r="F5581" s="61" t="n">
        <v>1</v>
      </c>
      <c r="G5581" s="62" t="n">
        <v>303.66</v>
      </c>
      <c r="H5581" s="63" t="n">
        <v>0.055</v>
      </c>
      <c r="I5581" s="62" t="n">
        <v>204.72</v>
      </c>
      <c r="J5581" s="58" t="inlineStr">
        <is>
          <t>Online</t>
        </is>
      </c>
      <c r="K5581" s="62">
        <f>F5581*(G5581-H5581)</f>
        <v/>
      </c>
      <c r="L5581" s="62">
        <f>K5581-(F5581*I5581)</f>
        <v/>
      </c>
      <c r="M5581" s="64">
        <f>L5581/K5581</f>
        <v/>
      </c>
    </row>
    <row r="5582">
      <c r="A5582" s="58" t="inlineStr">
        <is>
          <t>RT20250524-05581</t>
        </is>
      </c>
      <c r="B5582" s="59" t="inlineStr">
        <is>
          <t>2025-05-24</t>
        </is>
      </c>
      <c r="C5582" s="60" t="inlineStr">
        <is>
          <t>Vertex Smartphone Lite-267</t>
        </is>
      </c>
      <c r="D5582" s="58" t="inlineStr">
        <is>
          <t>Electronics</t>
        </is>
      </c>
      <c r="E5582" s="58" t="inlineStr">
        <is>
          <t>Central</t>
        </is>
      </c>
      <c r="F5582" s="61" t="n">
        <v>1</v>
      </c>
      <c r="G5582" s="62" t="n">
        <v>1310.74</v>
      </c>
      <c r="H5582" s="63" t="n">
        <v>0.08</v>
      </c>
      <c r="I5582" s="62" t="n">
        <v>971.26</v>
      </c>
      <c r="J5582" s="58" t="inlineStr">
        <is>
          <t>Online</t>
        </is>
      </c>
      <c r="K5582" s="62">
        <f>F5582*(G5582-H5582)</f>
        <v/>
      </c>
      <c r="L5582" s="62">
        <f>K5582-(F5582*I5582)</f>
        <v/>
      </c>
      <c r="M5582" s="64">
        <f>L5582/K5582</f>
        <v/>
      </c>
    </row>
    <row r="5583">
      <c r="A5583" s="58" t="inlineStr">
        <is>
          <t>RT20250524-05582</t>
        </is>
      </c>
      <c r="B5583" s="59" t="inlineStr">
        <is>
          <t>2025-05-24</t>
        </is>
      </c>
      <c r="C5583" s="60" t="inlineStr">
        <is>
          <t>Solace Laptop S-367</t>
        </is>
      </c>
      <c r="D5583" s="58" t="inlineStr">
        <is>
          <t>Electronics</t>
        </is>
      </c>
      <c r="E5583" s="58" t="inlineStr">
        <is>
          <t>North</t>
        </is>
      </c>
      <c r="F5583" s="61" t="n">
        <v>2</v>
      </c>
      <c r="G5583" s="62" t="n">
        <v>1826.38</v>
      </c>
      <c r="H5583" s="63" t="n">
        <v>0.068</v>
      </c>
      <c r="I5583" s="62" t="n">
        <v>1555.89</v>
      </c>
      <c r="J5583" s="58" t="inlineStr">
        <is>
          <t>Store</t>
        </is>
      </c>
      <c r="K5583" s="62">
        <f>F5583*(G5583-H5583)</f>
        <v/>
      </c>
      <c r="L5583" s="62">
        <f>K5583-(F5583*I5583)</f>
        <v/>
      </c>
      <c r="M5583" s="64">
        <f>L5583/K5583</f>
        <v/>
      </c>
    </row>
    <row r="5584">
      <c r="A5584" s="58" t="inlineStr">
        <is>
          <t>RT20250524-05583</t>
        </is>
      </c>
      <c r="B5584" s="59" t="inlineStr">
        <is>
          <t>2025-05-24</t>
        </is>
      </c>
      <c r="C5584" s="60" t="inlineStr">
        <is>
          <t>Aurora Furniture X-709</t>
        </is>
      </c>
      <c r="D5584" s="58" t="inlineStr">
        <is>
          <t>Office</t>
        </is>
      </c>
      <c r="E5584" s="58" t="inlineStr">
        <is>
          <t>South</t>
        </is>
      </c>
      <c r="F5584" s="61" t="n">
        <v>1</v>
      </c>
      <c r="G5584" s="62" t="n">
        <v>386.78</v>
      </c>
      <c r="H5584" s="63" t="n">
        <v>0.082</v>
      </c>
      <c r="I5584" s="62" t="n">
        <v>315.14</v>
      </c>
      <c r="J5584" s="58" t="inlineStr">
        <is>
          <t>Online</t>
        </is>
      </c>
      <c r="K5584" s="62">
        <f>F5584*(G5584-H5584)</f>
        <v/>
      </c>
      <c r="L5584" s="62">
        <f>K5584-(F5584*I5584)</f>
        <v/>
      </c>
      <c r="M5584" s="64">
        <f>L5584/K5584</f>
        <v/>
      </c>
    </row>
    <row r="5585">
      <c r="A5585" s="58" t="inlineStr">
        <is>
          <t>RT20250524-05584</t>
        </is>
      </c>
      <c r="B5585" s="59" t="inlineStr">
        <is>
          <t>2025-05-24</t>
        </is>
      </c>
      <c r="C5585" s="60" t="inlineStr">
        <is>
          <t>Metro Printer X-294</t>
        </is>
      </c>
      <c r="D5585" s="58" t="inlineStr">
        <is>
          <t>Office</t>
        </is>
      </c>
      <c r="E5585" s="58" t="inlineStr">
        <is>
          <t>South</t>
        </is>
      </c>
      <c r="F5585" s="61" t="n">
        <v>3</v>
      </c>
      <c r="G5585" s="62" t="n">
        <v>573.4</v>
      </c>
      <c r="H5585" s="63" t="n">
        <v>0.047</v>
      </c>
      <c r="I5585" s="62" t="n">
        <v>413.35</v>
      </c>
      <c r="J5585" s="58" t="inlineStr">
        <is>
          <t>Online</t>
        </is>
      </c>
      <c r="K5585" s="62">
        <f>F5585*(G5585-H5585)</f>
        <v/>
      </c>
      <c r="L5585" s="62">
        <f>K5585-(F5585*I5585)</f>
        <v/>
      </c>
      <c r="M5585" s="64">
        <f>L5585/K5585</f>
        <v/>
      </c>
    </row>
    <row r="5586">
      <c r="A5586" s="58" t="inlineStr">
        <is>
          <t>RT20250524-05585</t>
        </is>
      </c>
      <c r="B5586" s="59" t="inlineStr">
        <is>
          <t>2025-05-24</t>
        </is>
      </c>
      <c r="C5586" s="60" t="inlineStr">
        <is>
          <t>Polar Outdoor Lite-318</t>
        </is>
      </c>
      <c r="D5586" s="58" t="inlineStr">
        <is>
          <t>Sports</t>
        </is>
      </c>
      <c r="E5586" s="58" t="inlineStr">
        <is>
          <t>Central</t>
        </is>
      </c>
      <c r="F5586" s="61" t="n">
        <v>1</v>
      </c>
      <c r="G5586" s="62" t="n">
        <v>665.84</v>
      </c>
      <c r="H5586" s="63" t="n">
        <v>0.078</v>
      </c>
      <c r="I5586" s="62" t="n">
        <v>469</v>
      </c>
      <c r="J5586" s="58" t="inlineStr">
        <is>
          <t>Phone</t>
        </is>
      </c>
      <c r="K5586" s="62">
        <f>F5586*(G5586-H5586)</f>
        <v/>
      </c>
      <c r="L5586" s="62">
        <f>K5586-(F5586*I5586)</f>
        <v/>
      </c>
      <c r="M5586" s="64">
        <f>L5586/K5586</f>
        <v/>
      </c>
    </row>
    <row r="5587">
      <c r="A5587" s="58" t="inlineStr">
        <is>
          <t>RT20250524-05586</t>
        </is>
      </c>
      <c r="B5587" s="59" t="inlineStr">
        <is>
          <t>2025-05-24</t>
        </is>
      </c>
      <c r="C5587" s="60" t="inlineStr">
        <is>
          <t>Falcon Skincare Max-151</t>
        </is>
      </c>
      <c r="D5587" s="58" t="inlineStr">
        <is>
          <t>Beauty</t>
        </is>
      </c>
      <c r="E5587" s="58" t="inlineStr">
        <is>
          <t>South</t>
        </is>
      </c>
      <c r="F5587" s="61" t="n">
        <v>1</v>
      </c>
      <c r="G5587" s="62" t="n">
        <v>98.40000000000001</v>
      </c>
      <c r="H5587" s="63" t="n">
        <v>0.092</v>
      </c>
      <c r="I5587" s="62" t="n">
        <v>58.16</v>
      </c>
      <c r="J5587" s="58" t="inlineStr">
        <is>
          <t>Store</t>
        </is>
      </c>
      <c r="K5587" s="62">
        <f>F5587*(G5587-H5587)</f>
        <v/>
      </c>
      <c r="L5587" s="62">
        <f>K5587-(F5587*I5587)</f>
        <v/>
      </c>
      <c r="M5587" s="64">
        <f>L5587/K5587</f>
        <v/>
      </c>
    </row>
    <row r="5588">
      <c r="A5588" s="58" t="inlineStr">
        <is>
          <t>RT20250524-05587</t>
        </is>
      </c>
      <c r="B5588" s="59" t="inlineStr">
        <is>
          <t>2025-05-24</t>
        </is>
      </c>
      <c r="C5588" s="60" t="inlineStr">
        <is>
          <t>Polar Cycling X-649</t>
        </is>
      </c>
      <c r="D5588" s="58" t="inlineStr">
        <is>
          <t>Sports</t>
        </is>
      </c>
      <c r="E5588" s="58" t="inlineStr">
        <is>
          <t>West</t>
        </is>
      </c>
      <c r="F5588" s="61" t="n">
        <v>1</v>
      </c>
      <c r="G5588" s="62" t="n">
        <v>538.9</v>
      </c>
      <c r="H5588" s="63" t="n">
        <v>0</v>
      </c>
      <c r="I5588" s="62" t="n">
        <v>357.74</v>
      </c>
      <c r="J5588" s="58" t="inlineStr">
        <is>
          <t>Online</t>
        </is>
      </c>
      <c r="K5588" s="62">
        <f>F5588*(G5588-H5588)</f>
        <v/>
      </c>
      <c r="L5588" s="62">
        <f>K5588-(F5588*I5588)</f>
        <v/>
      </c>
      <c r="M5588" s="64">
        <f>L5588/K5588</f>
        <v/>
      </c>
    </row>
    <row r="5589">
      <c r="A5589" s="58" t="inlineStr">
        <is>
          <t>RT20250524-05588</t>
        </is>
      </c>
      <c r="B5589" s="59" t="inlineStr">
        <is>
          <t>2025-05-24</t>
        </is>
      </c>
      <c r="C5589" s="60" t="inlineStr">
        <is>
          <t>Metro Laptop Plus-376</t>
        </is>
      </c>
      <c r="D5589" s="58" t="inlineStr">
        <is>
          <t>Electronics</t>
        </is>
      </c>
      <c r="E5589" s="58" t="inlineStr">
        <is>
          <t>West</t>
        </is>
      </c>
      <c r="F5589" s="61" t="n">
        <v>1</v>
      </c>
      <c r="G5589" s="62" t="n">
        <v>1336.38</v>
      </c>
      <c r="H5589" s="63" t="n">
        <v>0.07099999999999999</v>
      </c>
      <c r="I5589" s="62" t="n">
        <v>1057.83</v>
      </c>
      <c r="J5589" s="58" t="inlineStr">
        <is>
          <t>Online</t>
        </is>
      </c>
      <c r="K5589" s="62">
        <f>F5589*(G5589-H5589)</f>
        <v/>
      </c>
      <c r="L5589" s="62">
        <f>K5589-(F5589*I5589)</f>
        <v/>
      </c>
      <c r="M5589" s="64">
        <f>L5589/K5589</f>
        <v/>
      </c>
    </row>
    <row r="5590">
      <c r="A5590" s="58" t="inlineStr">
        <is>
          <t>RT20250524-05589</t>
        </is>
      </c>
      <c r="B5590" s="59" t="inlineStr">
        <is>
          <t>2025-05-24</t>
        </is>
      </c>
      <c r="C5590" s="60" t="inlineStr">
        <is>
          <t>Metro Laptop Plus-376</t>
        </is>
      </c>
      <c r="D5590" s="58" t="inlineStr">
        <is>
          <t>Electronics</t>
        </is>
      </c>
      <c r="E5590" s="58" t="inlineStr">
        <is>
          <t>East</t>
        </is>
      </c>
      <c r="F5590" s="61" t="n">
        <v>2</v>
      </c>
      <c r="G5590" s="62" t="n">
        <v>1417.73</v>
      </c>
      <c r="H5590" s="63" t="n">
        <v>0.037</v>
      </c>
      <c r="I5590" s="62" t="n">
        <v>1046.75</v>
      </c>
      <c r="J5590" s="58" t="inlineStr">
        <is>
          <t>Online</t>
        </is>
      </c>
      <c r="K5590" s="62">
        <f>F5590*(G5590-H5590)</f>
        <v/>
      </c>
      <c r="L5590" s="62">
        <f>K5590-(F5590*I5590)</f>
        <v/>
      </c>
      <c r="M5590" s="64">
        <f>L5590/K5590</f>
        <v/>
      </c>
    </row>
    <row r="5591">
      <c r="A5591" s="58" t="inlineStr">
        <is>
          <t>RT20250524-05590</t>
        </is>
      </c>
      <c r="B5591" s="59" t="inlineStr">
        <is>
          <t>2025-05-24</t>
        </is>
      </c>
      <c r="C5591" s="60" t="inlineStr">
        <is>
          <t>Vertex Fitnes Pro-830</t>
        </is>
      </c>
      <c r="D5591" s="58" t="inlineStr">
        <is>
          <t>Sports</t>
        </is>
      </c>
      <c r="E5591" s="58" t="inlineStr">
        <is>
          <t>East</t>
        </is>
      </c>
      <c r="F5591" s="61" t="n">
        <v>2</v>
      </c>
      <c r="G5591" s="62" t="n">
        <v>687.26</v>
      </c>
      <c r="H5591" s="63" t="n">
        <v>0.052</v>
      </c>
      <c r="I5591" s="62" t="n">
        <v>468.98</v>
      </c>
      <c r="J5591" s="58" t="inlineStr">
        <is>
          <t>Online</t>
        </is>
      </c>
      <c r="K5591" s="62">
        <f>F5591*(G5591-H5591)</f>
        <v/>
      </c>
      <c r="L5591" s="62">
        <f>K5591-(F5591*I5591)</f>
        <v/>
      </c>
      <c r="M5591" s="64">
        <f>L5591/K5591</f>
        <v/>
      </c>
    </row>
    <row r="5592">
      <c r="A5592" s="58" t="inlineStr">
        <is>
          <t>RT20250524-05591</t>
        </is>
      </c>
      <c r="B5592" s="59" t="inlineStr">
        <is>
          <t>2025-05-24</t>
        </is>
      </c>
      <c r="C5592" s="60" t="inlineStr">
        <is>
          <t>Solace Bedding Plus-317</t>
        </is>
      </c>
      <c r="D5592" s="58" t="inlineStr">
        <is>
          <t>Home</t>
        </is>
      </c>
      <c r="E5592" s="58" t="inlineStr">
        <is>
          <t>East</t>
        </is>
      </c>
      <c r="F5592" s="61" t="n">
        <v>2</v>
      </c>
      <c r="G5592" s="62" t="n">
        <v>578.63</v>
      </c>
      <c r="H5592" s="63" t="n">
        <v>0.036</v>
      </c>
      <c r="I5592" s="62" t="n">
        <v>378.99</v>
      </c>
      <c r="J5592" s="58" t="inlineStr">
        <is>
          <t>Online</t>
        </is>
      </c>
      <c r="K5592" s="62">
        <f>F5592*(G5592-H5592)</f>
        <v/>
      </c>
      <c r="L5592" s="62">
        <f>K5592-(F5592*I5592)</f>
        <v/>
      </c>
      <c r="M5592" s="64">
        <f>L5592/K5592</f>
        <v/>
      </c>
    </row>
    <row r="5593">
      <c r="A5593" s="58" t="inlineStr">
        <is>
          <t>RT20250524-05592</t>
        </is>
      </c>
      <c r="B5593" s="59" t="inlineStr">
        <is>
          <t>2025-05-24</t>
        </is>
      </c>
      <c r="C5593" s="60" t="inlineStr">
        <is>
          <t>Falcon Wearable X-334</t>
        </is>
      </c>
      <c r="D5593" s="58" t="inlineStr">
        <is>
          <t>Electronics</t>
        </is>
      </c>
      <c r="E5593" s="58" t="inlineStr">
        <is>
          <t>Central</t>
        </is>
      </c>
      <c r="F5593" s="61" t="n">
        <v>2</v>
      </c>
      <c r="G5593" s="62" t="n">
        <v>1989.54</v>
      </c>
      <c r="H5593" s="63" t="n">
        <v>0.014</v>
      </c>
      <c r="I5593" s="62" t="n">
        <v>1532.3</v>
      </c>
      <c r="J5593" s="58" t="inlineStr">
        <is>
          <t>Store</t>
        </is>
      </c>
      <c r="K5593" s="62">
        <f>F5593*(G5593-H5593)</f>
        <v/>
      </c>
      <c r="L5593" s="62">
        <f>K5593-(F5593*I5593)</f>
        <v/>
      </c>
      <c r="M5593" s="64">
        <f>L5593/K5593</f>
        <v/>
      </c>
    </row>
    <row r="5594">
      <c r="A5594" s="58" t="inlineStr">
        <is>
          <t>RT20250524-05593</t>
        </is>
      </c>
      <c r="B5594" s="59" t="inlineStr">
        <is>
          <t>2025-05-24</t>
        </is>
      </c>
      <c r="C5594" s="60" t="inlineStr">
        <is>
          <t>Solace Makeup Pro-214</t>
        </is>
      </c>
      <c r="D5594" s="58" t="inlineStr">
        <is>
          <t>Beauty</t>
        </is>
      </c>
      <c r="E5594" s="58" t="inlineStr">
        <is>
          <t>Central</t>
        </is>
      </c>
      <c r="F5594" s="61" t="n">
        <v>3</v>
      </c>
      <c r="G5594" s="62" t="n">
        <v>113.55</v>
      </c>
      <c r="H5594" s="63" t="n">
        <v>0.055</v>
      </c>
      <c r="I5594" s="62" t="n">
        <v>68.15000000000001</v>
      </c>
      <c r="J5594" s="58" t="inlineStr">
        <is>
          <t>Online</t>
        </is>
      </c>
      <c r="K5594" s="62">
        <f>F5594*(G5594-H5594)</f>
        <v/>
      </c>
      <c r="L5594" s="62">
        <f>K5594-(F5594*I5594)</f>
        <v/>
      </c>
      <c r="M5594" s="64">
        <f>L5594/K5594</f>
        <v/>
      </c>
    </row>
    <row r="5595">
      <c r="A5595" s="58" t="inlineStr">
        <is>
          <t>RT20250524-05594</t>
        </is>
      </c>
      <c r="B5595" s="59" t="inlineStr">
        <is>
          <t>2025-05-24</t>
        </is>
      </c>
      <c r="C5595" s="60" t="inlineStr">
        <is>
          <t>Polar Laptop Plus-984</t>
        </is>
      </c>
      <c r="D5595" s="58" t="inlineStr">
        <is>
          <t>Electronics</t>
        </is>
      </c>
      <c r="E5595" s="58" t="inlineStr">
        <is>
          <t>Central</t>
        </is>
      </c>
      <c r="F5595" s="61" t="n">
        <v>2</v>
      </c>
      <c r="G5595" s="62" t="n">
        <v>1319.2</v>
      </c>
      <c r="H5595" s="63" t="n">
        <v>0.076</v>
      </c>
      <c r="I5595" s="62" t="n">
        <v>1017.43</v>
      </c>
      <c r="J5595" s="58" t="inlineStr">
        <is>
          <t>Online</t>
        </is>
      </c>
      <c r="K5595" s="62">
        <f>F5595*(G5595-H5595)</f>
        <v/>
      </c>
      <c r="L5595" s="62">
        <f>K5595-(F5595*I5595)</f>
        <v/>
      </c>
      <c r="M5595" s="64">
        <f>L5595/K5595</f>
        <v/>
      </c>
    </row>
    <row r="5596">
      <c r="A5596" s="58" t="inlineStr">
        <is>
          <t>RT20250524-05595</t>
        </is>
      </c>
      <c r="B5596" s="59" t="inlineStr">
        <is>
          <t>2025-05-24</t>
        </is>
      </c>
      <c r="C5596" s="60" t="inlineStr">
        <is>
          <t>Aurora Appliance Lite-109</t>
        </is>
      </c>
      <c r="D5596" s="58" t="inlineStr">
        <is>
          <t>Home</t>
        </is>
      </c>
      <c r="E5596" s="58" t="inlineStr">
        <is>
          <t>East</t>
        </is>
      </c>
      <c r="F5596" s="61" t="n">
        <v>1</v>
      </c>
      <c r="G5596" s="62" t="n">
        <v>296.82</v>
      </c>
      <c r="H5596" s="63" t="n">
        <v>0.037</v>
      </c>
      <c r="I5596" s="62" t="n">
        <v>202.52</v>
      </c>
      <c r="J5596" s="58" t="inlineStr">
        <is>
          <t>Store</t>
        </is>
      </c>
      <c r="K5596" s="62">
        <f>F5596*(G5596-H5596)</f>
        <v/>
      </c>
      <c r="L5596" s="62">
        <f>K5596-(F5596*I5596)</f>
        <v/>
      </c>
      <c r="M5596" s="64">
        <f>L5596/K5596</f>
        <v/>
      </c>
    </row>
    <row r="5597">
      <c r="A5597" s="58" t="inlineStr">
        <is>
          <t>RT20250524-05596</t>
        </is>
      </c>
      <c r="B5597" s="59" t="inlineStr">
        <is>
          <t>2025-05-24</t>
        </is>
      </c>
      <c r="C5597" s="60" t="inlineStr">
        <is>
          <t>Vertex Headphone Pro-801</t>
        </is>
      </c>
      <c r="D5597" s="58" t="inlineStr">
        <is>
          <t>Electronics</t>
        </is>
      </c>
      <c r="E5597" s="58" t="inlineStr">
        <is>
          <t>North</t>
        </is>
      </c>
      <c r="F5597" s="61" t="n">
        <v>2</v>
      </c>
      <c r="G5597" s="62" t="n">
        <v>1228.02</v>
      </c>
      <c r="H5597" s="63" t="n">
        <v>0.043</v>
      </c>
      <c r="I5597" s="62" t="n">
        <v>971.51</v>
      </c>
      <c r="J5597" s="58" t="inlineStr">
        <is>
          <t>Online</t>
        </is>
      </c>
      <c r="K5597" s="62">
        <f>F5597*(G5597-H5597)</f>
        <v/>
      </c>
      <c r="L5597" s="62">
        <f>K5597-(F5597*I5597)</f>
        <v/>
      </c>
      <c r="M5597" s="64">
        <f>L5597/K5597</f>
        <v/>
      </c>
    </row>
    <row r="5598">
      <c r="A5598" s="58" t="inlineStr">
        <is>
          <t>RT20250524-05597</t>
        </is>
      </c>
      <c r="B5598" s="59" t="inlineStr">
        <is>
          <t>2025-05-24</t>
        </is>
      </c>
      <c r="C5598" s="60" t="inlineStr">
        <is>
          <t>Vertex Snack S-702</t>
        </is>
      </c>
      <c r="D5598" s="58" t="inlineStr">
        <is>
          <t>Grocery</t>
        </is>
      </c>
      <c r="E5598" s="58" t="inlineStr">
        <is>
          <t>South</t>
        </is>
      </c>
      <c r="F5598" s="61" t="n">
        <v>8</v>
      </c>
      <c r="G5598" s="62" t="n">
        <v>2.28</v>
      </c>
      <c r="H5598" s="63" t="n">
        <v>0.06</v>
      </c>
      <c r="I5598" s="62" t="n">
        <v>1.52</v>
      </c>
      <c r="J5598" s="58" t="inlineStr">
        <is>
          <t>Phone</t>
        </is>
      </c>
      <c r="K5598" s="62">
        <f>F5598*(G5598-H5598)</f>
        <v/>
      </c>
      <c r="L5598" s="62">
        <f>K5598-(F5598*I5598)</f>
        <v/>
      </c>
      <c r="M5598" s="64">
        <f>L5598/K5598</f>
        <v/>
      </c>
    </row>
    <row r="5599">
      <c r="A5599" s="58" t="inlineStr">
        <is>
          <t>RT20250524-05598</t>
        </is>
      </c>
      <c r="B5599" s="59" t="inlineStr">
        <is>
          <t>2025-05-24</t>
        </is>
      </c>
      <c r="C5599" s="60" t="inlineStr">
        <is>
          <t>Polar Men Pro-246</t>
        </is>
      </c>
      <c r="D5599" s="58" t="inlineStr">
        <is>
          <t>Apparel</t>
        </is>
      </c>
      <c r="E5599" s="58" t="inlineStr">
        <is>
          <t>East</t>
        </is>
      </c>
      <c r="F5599" s="61" t="n">
        <v>2</v>
      </c>
      <c r="G5599" s="62" t="n">
        <v>145.28</v>
      </c>
      <c r="H5599" s="63" t="n">
        <v>0.068</v>
      </c>
      <c r="I5599" s="62" t="n">
        <v>77.98999999999999</v>
      </c>
      <c r="J5599" s="58" t="inlineStr">
        <is>
          <t>Online</t>
        </is>
      </c>
      <c r="K5599" s="62">
        <f>F5599*(G5599-H5599)</f>
        <v/>
      </c>
      <c r="L5599" s="62">
        <f>K5599-(F5599*I5599)</f>
        <v/>
      </c>
      <c r="M5599" s="64">
        <f>L5599/K5599</f>
        <v/>
      </c>
    </row>
    <row r="5600">
      <c r="A5600" s="58" t="inlineStr">
        <is>
          <t>RT20250524-05599</t>
        </is>
      </c>
      <c r="B5600" s="59" t="inlineStr">
        <is>
          <t>2025-05-24</t>
        </is>
      </c>
      <c r="C5600" s="60" t="inlineStr">
        <is>
          <t>Polar Fragrance Pro-750</t>
        </is>
      </c>
      <c r="D5600" s="58" t="inlineStr">
        <is>
          <t>Beauty</t>
        </is>
      </c>
      <c r="E5600" s="58" t="inlineStr">
        <is>
          <t>East</t>
        </is>
      </c>
      <c r="F5600" s="61" t="n">
        <v>5</v>
      </c>
      <c r="G5600" s="62" t="n">
        <v>56.27</v>
      </c>
      <c r="H5600" s="63" t="n">
        <v>0.048</v>
      </c>
      <c r="I5600" s="62" t="n">
        <v>36.02</v>
      </c>
      <c r="J5600" s="58" t="inlineStr">
        <is>
          <t>Store</t>
        </is>
      </c>
      <c r="K5600" s="62">
        <f>F5600*(G5600-H5600)</f>
        <v/>
      </c>
      <c r="L5600" s="62">
        <f>K5600-(F5600*I5600)</f>
        <v/>
      </c>
      <c r="M5600" s="64">
        <f>L5600/K5600</f>
        <v/>
      </c>
    </row>
    <row r="5601">
      <c r="A5601" s="58" t="inlineStr">
        <is>
          <t>RT20250524-05600</t>
        </is>
      </c>
      <c r="B5601" s="59" t="inlineStr">
        <is>
          <t>2025-05-24</t>
        </is>
      </c>
      <c r="C5601" s="60" t="inlineStr">
        <is>
          <t>Orion Beverage Plus-949</t>
        </is>
      </c>
      <c r="D5601" s="58" t="inlineStr">
        <is>
          <t>Grocery</t>
        </is>
      </c>
      <c r="E5601" s="58" t="inlineStr">
        <is>
          <t>West</t>
        </is>
      </c>
      <c r="F5601" s="61" t="n">
        <v>1</v>
      </c>
      <c r="G5601" s="62" t="n">
        <v>17.72</v>
      </c>
      <c r="H5601" s="63" t="n">
        <v>0.047</v>
      </c>
      <c r="I5601" s="62" t="n">
        <v>13.46</v>
      </c>
      <c r="J5601" s="58" t="inlineStr">
        <is>
          <t>Store</t>
        </is>
      </c>
      <c r="K5601" s="62">
        <f>F5601*(G5601-H5601)</f>
        <v/>
      </c>
      <c r="L5601" s="62">
        <f>K5601-(F5601*I5601)</f>
        <v/>
      </c>
      <c r="M5601" s="64">
        <f>L5601/K5601</f>
        <v/>
      </c>
    </row>
    <row r="5602">
      <c r="A5602" s="58" t="inlineStr">
        <is>
          <t>RT20250524-05601</t>
        </is>
      </c>
      <c r="B5602" s="59" t="inlineStr">
        <is>
          <t>2025-05-24</t>
        </is>
      </c>
      <c r="C5602" s="60" t="inlineStr">
        <is>
          <t>Aurora Smartphone Plus-125</t>
        </is>
      </c>
      <c r="D5602" s="58" t="inlineStr">
        <is>
          <t>Electronics</t>
        </is>
      </c>
      <c r="E5602" s="58" t="inlineStr">
        <is>
          <t>North</t>
        </is>
      </c>
      <c r="F5602" s="61" t="n">
        <v>1</v>
      </c>
      <c r="G5602" s="62" t="n">
        <v>1604.56</v>
      </c>
      <c r="H5602" s="63" t="n">
        <v>0</v>
      </c>
      <c r="I5602" s="62" t="n">
        <v>1221.57</v>
      </c>
      <c r="J5602" s="58" t="inlineStr">
        <is>
          <t>Phone</t>
        </is>
      </c>
      <c r="K5602" s="62">
        <f>F5602*(G5602-H5602)</f>
        <v/>
      </c>
      <c r="L5602" s="62">
        <f>K5602-(F5602*I5602)</f>
        <v/>
      </c>
      <c r="M5602" s="64">
        <f>L5602/K5602</f>
        <v/>
      </c>
    </row>
    <row r="5603">
      <c r="A5603" s="58" t="inlineStr">
        <is>
          <t>RT20250524-05602</t>
        </is>
      </c>
      <c r="B5603" s="59" t="inlineStr">
        <is>
          <t>2025-05-24</t>
        </is>
      </c>
      <c r="C5603" s="60" t="inlineStr">
        <is>
          <t>Vertex Appliance Max-338</t>
        </is>
      </c>
      <c r="D5603" s="58" t="inlineStr">
        <is>
          <t>Home</t>
        </is>
      </c>
      <c r="E5603" s="58" t="inlineStr">
        <is>
          <t>South</t>
        </is>
      </c>
      <c r="F5603" s="61" t="n">
        <v>1</v>
      </c>
      <c r="G5603" s="62" t="n">
        <v>427.23</v>
      </c>
      <c r="H5603" s="63" t="n">
        <v>0.064</v>
      </c>
      <c r="I5603" s="62" t="n">
        <v>283.28</v>
      </c>
      <c r="J5603" s="58" t="inlineStr">
        <is>
          <t>Online</t>
        </is>
      </c>
      <c r="K5603" s="62">
        <f>F5603*(G5603-H5603)</f>
        <v/>
      </c>
      <c r="L5603" s="62">
        <f>K5603-(F5603*I5603)</f>
        <v/>
      </c>
      <c r="M5603" s="64">
        <f>L5603/K5603</f>
        <v/>
      </c>
    </row>
    <row r="5604">
      <c r="A5604" s="58" t="inlineStr">
        <is>
          <t>RT20250524-05603</t>
        </is>
      </c>
      <c r="B5604" s="59" t="inlineStr">
        <is>
          <t>2025-05-24</t>
        </is>
      </c>
      <c r="C5604" s="60" t="inlineStr">
        <is>
          <t>Falcon Storage X-734</t>
        </is>
      </c>
      <c r="D5604" s="58" t="inlineStr">
        <is>
          <t>Office</t>
        </is>
      </c>
      <c r="E5604" s="58" t="inlineStr">
        <is>
          <t>West</t>
        </is>
      </c>
      <c r="F5604" s="61" t="n">
        <v>3</v>
      </c>
      <c r="G5604" s="62" t="n">
        <v>391.34</v>
      </c>
      <c r="H5604" s="63" t="n">
        <v>0.08400000000000001</v>
      </c>
      <c r="I5604" s="62" t="n">
        <v>279.5</v>
      </c>
      <c r="J5604" s="58" t="inlineStr">
        <is>
          <t>Store</t>
        </is>
      </c>
      <c r="K5604" s="62">
        <f>F5604*(G5604-H5604)</f>
        <v/>
      </c>
      <c r="L5604" s="62">
        <f>K5604-(F5604*I5604)</f>
        <v/>
      </c>
      <c r="M5604" s="64">
        <f>L5604/K5604</f>
        <v/>
      </c>
    </row>
    <row r="5605">
      <c r="A5605" s="58" t="inlineStr">
        <is>
          <t>RT20250524-05604</t>
        </is>
      </c>
      <c r="B5605" s="59" t="inlineStr">
        <is>
          <t>2025-05-24</t>
        </is>
      </c>
      <c r="C5605" s="60" t="inlineStr">
        <is>
          <t>Vertex Snack S-702</t>
        </is>
      </c>
      <c r="D5605" s="58" t="inlineStr">
        <is>
          <t>Grocery</t>
        </is>
      </c>
      <c r="E5605" s="58" t="inlineStr">
        <is>
          <t>West</t>
        </is>
      </c>
      <c r="F5605" s="61" t="n">
        <v>5</v>
      </c>
      <c r="G5605" s="62" t="n">
        <v>1.76</v>
      </c>
      <c r="H5605" s="63" t="n">
        <v>0.056</v>
      </c>
      <c r="I5605" s="62" t="n">
        <v>1.45</v>
      </c>
      <c r="J5605" s="58" t="inlineStr">
        <is>
          <t>Online</t>
        </is>
      </c>
      <c r="K5605" s="62">
        <f>F5605*(G5605-H5605)</f>
        <v/>
      </c>
      <c r="L5605" s="62">
        <f>K5605-(F5605*I5605)</f>
        <v/>
      </c>
      <c r="M5605" s="64">
        <f>L5605/K5605</f>
        <v/>
      </c>
    </row>
    <row r="5606">
      <c r="A5606" s="58" t="inlineStr">
        <is>
          <t>RT20250524-05605</t>
        </is>
      </c>
      <c r="B5606" s="59" t="inlineStr">
        <is>
          <t>2025-05-24</t>
        </is>
      </c>
      <c r="C5606" s="60" t="inlineStr">
        <is>
          <t>Nimbus Women Plus-352</t>
        </is>
      </c>
      <c r="D5606" s="58" t="inlineStr">
        <is>
          <t>Apparel</t>
        </is>
      </c>
      <c r="E5606" s="58" t="inlineStr">
        <is>
          <t>West</t>
        </is>
      </c>
      <c r="F5606" s="61" t="n">
        <v>3</v>
      </c>
      <c r="G5606" s="62" t="n">
        <v>59.44</v>
      </c>
      <c r="H5606" s="63" t="n">
        <v>0.034</v>
      </c>
      <c r="I5606" s="62" t="n">
        <v>32.17</v>
      </c>
      <c r="J5606" s="58" t="inlineStr">
        <is>
          <t>Online</t>
        </is>
      </c>
      <c r="K5606" s="62">
        <f>F5606*(G5606-H5606)</f>
        <v/>
      </c>
      <c r="L5606" s="62">
        <f>K5606-(F5606*I5606)</f>
        <v/>
      </c>
      <c r="M5606" s="64">
        <f>L5606/K5606</f>
        <v/>
      </c>
    </row>
    <row r="5607">
      <c r="A5607" s="58" t="inlineStr">
        <is>
          <t>RT20250524-05606</t>
        </is>
      </c>
      <c r="B5607" s="59" t="inlineStr">
        <is>
          <t>2025-05-24</t>
        </is>
      </c>
      <c r="C5607" s="60" t="inlineStr">
        <is>
          <t>Aurora Household Plus-146</t>
        </is>
      </c>
      <c r="D5607" s="58" t="inlineStr">
        <is>
          <t>Grocery</t>
        </is>
      </c>
      <c r="E5607" s="58" t="inlineStr">
        <is>
          <t>South</t>
        </is>
      </c>
      <c r="F5607" s="61" t="n">
        <v>7</v>
      </c>
      <c r="G5607" s="62" t="n">
        <v>6.4</v>
      </c>
      <c r="H5607" s="63" t="n">
        <v>0.027</v>
      </c>
      <c r="I5607" s="62" t="n">
        <v>4.5</v>
      </c>
      <c r="J5607" s="58" t="inlineStr">
        <is>
          <t>Store</t>
        </is>
      </c>
      <c r="K5607" s="62">
        <f>F5607*(G5607-H5607)</f>
        <v/>
      </c>
      <c r="L5607" s="62">
        <f>K5607-(F5607*I5607)</f>
        <v/>
      </c>
      <c r="M5607" s="64">
        <f>L5607/K5607</f>
        <v/>
      </c>
    </row>
    <row r="5608">
      <c r="A5608" s="58" t="inlineStr">
        <is>
          <t>RT20250524-05607</t>
        </is>
      </c>
      <c r="B5608" s="59" t="inlineStr">
        <is>
          <t>2025-05-24</t>
        </is>
      </c>
      <c r="C5608" s="60" t="inlineStr">
        <is>
          <t>Polar Men Pro-246</t>
        </is>
      </c>
      <c r="D5608" s="58" t="inlineStr">
        <is>
          <t>Apparel</t>
        </is>
      </c>
      <c r="E5608" s="58" t="inlineStr">
        <is>
          <t>North</t>
        </is>
      </c>
      <c r="F5608" s="61" t="n">
        <v>4</v>
      </c>
      <c r="G5608" s="62" t="n">
        <v>143.21</v>
      </c>
      <c r="H5608" s="63" t="n">
        <v>0.058</v>
      </c>
      <c r="I5608" s="62" t="n">
        <v>75.66</v>
      </c>
      <c r="J5608" s="58" t="inlineStr">
        <is>
          <t>Online</t>
        </is>
      </c>
      <c r="K5608" s="62">
        <f>F5608*(G5608-H5608)</f>
        <v/>
      </c>
      <c r="L5608" s="62">
        <f>K5608-(F5608*I5608)</f>
        <v/>
      </c>
      <c r="M5608" s="64">
        <f>L5608/K5608</f>
        <v/>
      </c>
    </row>
    <row r="5609">
      <c r="A5609" s="58" t="inlineStr">
        <is>
          <t>RT20250524-05608</t>
        </is>
      </c>
      <c r="B5609" s="59" t="inlineStr">
        <is>
          <t>2025-05-24</t>
        </is>
      </c>
      <c r="C5609" s="60" t="inlineStr">
        <is>
          <t>Aurora Fragrance S-971</t>
        </is>
      </c>
      <c r="D5609" s="58" t="inlineStr">
        <is>
          <t>Beauty</t>
        </is>
      </c>
      <c r="E5609" s="58" t="inlineStr">
        <is>
          <t>Central</t>
        </is>
      </c>
      <c r="F5609" s="61" t="n">
        <v>2</v>
      </c>
      <c r="G5609" s="62" t="n">
        <v>96.52</v>
      </c>
      <c r="H5609" s="63" t="n">
        <v>0.107</v>
      </c>
      <c r="I5609" s="62" t="n">
        <v>63.18</v>
      </c>
      <c r="J5609" s="58" t="inlineStr">
        <is>
          <t>Online</t>
        </is>
      </c>
      <c r="K5609" s="62">
        <f>F5609*(G5609-H5609)</f>
        <v/>
      </c>
      <c r="L5609" s="62">
        <f>K5609-(F5609*I5609)</f>
        <v/>
      </c>
      <c r="M5609" s="64">
        <f>L5609/K5609</f>
        <v/>
      </c>
    </row>
    <row r="5610">
      <c r="A5610" s="58" t="inlineStr">
        <is>
          <t>RT20250524-05609</t>
        </is>
      </c>
      <c r="B5610" s="59" t="inlineStr">
        <is>
          <t>2025-05-24</t>
        </is>
      </c>
      <c r="C5610" s="60" t="inlineStr">
        <is>
          <t>Falcon Team Sport Lite-268</t>
        </is>
      </c>
      <c r="D5610" s="58" t="inlineStr">
        <is>
          <t>Sports</t>
        </is>
      </c>
      <c r="E5610" s="58" t="inlineStr">
        <is>
          <t>South</t>
        </is>
      </c>
      <c r="F5610" s="61" t="n">
        <v>3</v>
      </c>
      <c r="G5610" s="62" t="n">
        <v>551.85</v>
      </c>
      <c r="H5610" s="63" t="n">
        <v>0.04</v>
      </c>
      <c r="I5610" s="62" t="n">
        <v>429.91</v>
      </c>
      <c r="J5610" s="58" t="inlineStr">
        <is>
          <t>Store</t>
        </is>
      </c>
      <c r="K5610" s="62">
        <f>F5610*(G5610-H5610)</f>
        <v/>
      </c>
      <c r="L5610" s="62">
        <f>K5610-(F5610*I5610)</f>
        <v/>
      </c>
      <c r="M5610" s="64">
        <f>L5610/K5610</f>
        <v/>
      </c>
    </row>
    <row r="5611">
      <c r="A5611" s="58" t="inlineStr">
        <is>
          <t>RT20250524-05610</t>
        </is>
      </c>
      <c r="B5611" s="59" t="inlineStr">
        <is>
          <t>2025-05-24</t>
        </is>
      </c>
      <c r="C5611" s="60" t="inlineStr">
        <is>
          <t>Vertex Printer Max-692</t>
        </is>
      </c>
      <c r="D5611" s="58" t="inlineStr">
        <is>
          <t>Office</t>
        </is>
      </c>
      <c r="E5611" s="58" t="inlineStr">
        <is>
          <t>South</t>
        </is>
      </c>
      <c r="F5611" s="61" t="n">
        <v>2</v>
      </c>
      <c r="G5611" s="62" t="n">
        <v>161.89</v>
      </c>
      <c r="H5611" s="63" t="n">
        <v>0.101</v>
      </c>
      <c r="I5611" s="62" t="n">
        <v>120.21</v>
      </c>
      <c r="J5611" s="58" t="inlineStr">
        <is>
          <t>Store</t>
        </is>
      </c>
      <c r="K5611" s="62">
        <f>F5611*(G5611-H5611)</f>
        <v/>
      </c>
      <c r="L5611" s="62">
        <f>K5611-(F5611*I5611)</f>
        <v/>
      </c>
      <c r="M5611" s="64">
        <f>L5611/K5611</f>
        <v/>
      </c>
    </row>
    <row r="5612">
      <c r="A5612" s="58" t="inlineStr">
        <is>
          <t>RT20250524-05611</t>
        </is>
      </c>
      <c r="B5612" s="59" t="inlineStr">
        <is>
          <t>2025-05-24</t>
        </is>
      </c>
      <c r="C5612" s="60" t="inlineStr">
        <is>
          <t>Aurora Makeup Pro-489</t>
        </is>
      </c>
      <c r="D5612" s="58" t="inlineStr">
        <is>
          <t>Beauty</t>
        </is>
      </c>
      <c r="E5612" s="58" t="inlineStr">
        <is>
          <t>Central</t>
        </is>
      </c>
      <c r="F5612" s="61" t="n">
        <v>2</v>
      </c>
      <c r="G5612" s="62" t="n">
        <v>88.53</v>
      </c>
      <c r="H5612" s="63" t="n">
        <v>0.005</v>
      </c>
      <c r="I5612" s="62" t="n">
        <v>64.79000000000001</v>
      </c>
      <c r="J5612" s="58" t="inlineStr">
        <is>
          <t>Online</t>
        </is>
      </c>
      <c r="K5612" s="62">
        <f>F5612*(G5612-H5612)</f>
        <v/>
      </c>
      <c r="L5612" s="62">
        <f>K5612-(F5612*I5612)</f>
        <v/>
      </c>
      <c r="M5612" s="64">
        <f>L5612/K5612</f>
        <v/>
      </c>
    </row>
    <row r="5613">
      <c r="A5613" s="58" t="inlineStr">
        <is>
          <t>RT20250524-05612</t>
        </is>
      </c>
      <c r="B5613" s="59" t="inlineStr">
        <is>
          <t>2025-05-24</t>
        </is>
      </c>
      <c r="C5613" s="60" t="inlineStr">
        <is>
          <t>Aurora Appliance Max-316</t>
        </is>
      </c>
      <c r="D5613" s="58" t="inlineStr">
        <is>
          <t>Home</t>
        </is>
      </c>
      <c r="E5613" s="58" t="inlineStr">
        <is>
          <t>East</t>
        </is>
      </c>
      <c r="F5613" s="61" t="n">
        <v>1</v>
      </c>
      <c r="G5613" s="62" t="n">
        <v>313.05</v>
      </c>
      <c r="H5613" s="63" t="n">
        <v>0.038</v>
      </c>
      <c r="I5613" s="62" t="n">
        <v>217.3</v>
      </c>
      <c r="J5613" s="58" t="inlineStr">
        <is>
          <t>Online</t>
        </is>
      </c>
      <c r="K5613" s="62">
        <f>F5613*(G5613-H5613)</f>
        <v/>
      </c>
      <c r="L5613" s="62">
        <f>K5613-(F5613*I5613)</f>
        <v/>
      </c>
      <c r="M5613" s="64">
        <f>L5613/K5613</f>
        <v/>
      </c>
    </row>
    <row r="5614">
      <c r="A5614" s="58" t="inlineStr">
        <is>
          <t>RT20250524-05613</t>
        </is>
      </c>
      <c r="B5614" s="59" t="inlineStr">
        <is>
          <t>2025-05-24</t>
        </is>
      </c>
      <c r="C5614" s="60" t="inlineStr">
        <is>
          <t>Falcon Bedding S-674</t>
        </is>
      </c>
      <c r="D5614" s="58" t="inlineStr">
        <is>
          <t>Home</t>
        </is>
      </c>
      <c r="E5614" s="58" t="inlineStr">
        <is>
          <t>East</t>
        </is>
      </c>
      <c r="F5614" s="61" t="n">
        <v>2</v>
      </c>
      <c r="G5614" s="62" t="n">
        <v>719.6</v>
      </c>
      <c r="H5614" s="63" t="n">
        <v>0.079</v>
      </c>
      <c r="I5614" s="62" t="n">
        <v>445.97</v>
      </c>
      <c r="J5614" s="58" t="inlineStr">
        <is>
          <t>Online</t>
        </is>
      </c>
      <c r="K5614" s="62">
        <f>F5614*(G5614-H5614)</f>
        <v/>
      </c>
      <c r="L5614" s="62">
        <f>K5614-(F5614*I5614)</f>
        <v/>
      </c>
      <c r="M5614" s="64">
        <f>L5614/K5614</f>
        <v/>
      </c>
    </row>
    <row r="5615">
      <c r="A5615" s="58" t="inlineStr">
        <is>
          <t>RT20250524-05614</t>
        </is>
      </c>
      <c r="B5615" s="59" t="inlineStr">
        <is>
          <t>2025-05-24</t>
        </is>
      </c>
      <c r="C5615" s="60" t="inlineStr">
        <is>
          <t>Nimbus Cycling Plus-911</t>
        </is>
      </c>
      <c r="D5615" s="58" t="inlineStr">
        <is>
          <t>Sports</t>
        </is>
      </c>
      <c r="E5615" s="58" t="inlineStr">
        <is>
          <t>South</t>
        </is>
      </c>
      <c r="F5615" s="61" t="n">
        <v>2</v>
      </c>
      <c r="G5615" s="62" t="n">
        <v>593.15</v>
      </c>
      <c r="H5615" s="63" t="n">
        <v>0.08400000000000001</v>
      </c>
      <c r="I5615" s="62" t="n">
        <v>389.9</v>
      </c>
      <c r="J5615" s="58" t="inlineStr">
        <is>
          <t>Online</t>
        </is>
      </c>
      <c r="K5615" s="62">
        <f>F5615*(G5615-H5615)</f>
        <v/>
      </c>
      <c r="L5615" s="62">
        <f>K5615-(F5615*I5615)</f>
        <v/>
      </c>
      <c r="M5615" s="64">
        <f>L5615/K5615</f>
        <v/>
      </c>
    </row>
    <row r="5616">
      <c r="A5616" s="58" t="inlineStr">
        <is>
          <t>RT20250524-05615</t>
        </is>
      </c>
      <c r="B5616" s="59" t="inlineStr">
        <is>
          <t>2025-05-24</t>
        </is>
      </c>
      <c r="C5616" s="60" t="inlineStr">
        <is>
          <t>Vertex Accessorie Pro-881</t>
        </is>
      </c>
      <c r="D5616" s="58" t="inlineStr">
        <is>
          <t>Apparel</t>
        </is>
      </c>
      <c r="E5616" s="58" t="inlineStr">
        <is>
          <t>East</t>
        </is>
      </c>
      <c r="F5616" s="61" t="n">
        <v>2</v>
      </c>
      <c r="G5616" s="62" t="n">
        <v>110.49</v>
      </c>
      <c r="H5616" s="63" t="n">
        <v>0.08699999999999999</v>
      </c>
      <c r="I5616" s="62" t="n">
        <v>62.67</v>
      </c>
      <c r="J5616" s="58" t="inlineStr">
        <is>
          <t>Online</t>
        </is>
      </c>
      <c r="K5616" s="62">
        <f>F5616*(G5616-H5616)</f>
        <v/>
      </c>
      <c r="L5616" s="62">
        <f>K5616-(F5616*I5616)</f>
        <v/>
      </c>
      <c r="M5616" s="64">
        <f>L5616/K5616</f>
        <v/>
      </c>
    </row>
    <row r="5617">
      <c r="A5617" s="58" t="inlineStr">
        <is>
          <t>RT20250524-05616</t>
        </is>
      </c>
      <c r="B5617" s="59" t="inlineStr">
        <is>
          <t>2025-05-24</t>
        </is>
      </c>
      <c r="C5617" s="60" t="inlineStr">
        <is>
          <t>Solace Bedding Plus-317</t>
        </is>
      </c>
      <c r="D5617" s="58" t="inlineStr">
        <is>
          <t>Home</t>
        </is>
      </c>
      <c r="E5617" s="58" t="inlineStr">
        <is>
          <t>East</t>
        </is>
      </c>
      <c r="F5617" s="61" t="n">
        <v>3</v>
      </c>
      <c r="G5617" s="62" t="n">
        <v>466.49</v>
      </c>
      <c r="H5617" s="63" t="n">
        <v>0.114</v>
      </c>
      <c r="I5617" s="62" t="n">
        <v>390.64</v>
      </c>
      <c r="J5617" s="58" t="inlineStr">
        <is>
          <t>Store</t>
        </is>
      </c>
      <c r="K5617" s="62">
        <f>F5617*(G5617-H5617)</f>
        <v/>
      </c>
      <c r="L5617" s="62">
        <f>K5617-(F5617*I5617)</f>
        <v/>
      </c>
      <c r="M5617" s="64">
        <f>L5617/K5617</f>
        <v/>
      </c>
    </row>
    <row r="5618">
      <c r="A5618" s="58" t="inlineStr">
        <is>
          <t>RT20250524-05617</t>
        </is>
      </c>
      <c r="B5618" s="59" t="inlineStr">
        <is>
          <t>2025-05-24</t>
        </is>
      </c>
      <c r="C5618" s="60" t="inlineStr">
        <is>
          <t>Aurora Makeup Pro-489</t>
        </is>
      </c>
      <c r="D5618" s="58" t="inlineStr">
        <is>
          <t>Beauty</t>
        </is>
      </c>
      <c r="E5618" s="58" t="inlineStr">
        <is>
          <t>South</t>
        </is>
      </c>
      <c r="F5618" s="61" t="n">
        <v>2</v>
      </c>
      <c r="G5618" s="62" t="n">
        <v>86.41</v>
      </c>
      <c r="H5618" s="63" t="n">
        <v>0.051</v>
      </c>
      <c r="I5618" s="62" t="n">
        <v>62.76</v>
      </c>
      <c r="J5618" s="58" t="inlineStr">
        <is>
          <t>Store</t>
        </is>
      </c>
      <c r="K5618" s="62">
        <f>F5618*(G5618-H5618)</f>
        <v/>
      </c>
      <c r="L5618" s="62">
        <f>K5618-(F5618*I5618)</f>
        <v/>
      </c>
      <c r="M5618" s="64">
        <f>L5618/K5618</f>
        <v/>
      </c>
    </row>
    <row r="5619">
      <c r="A5619" s="58" t="inlineStr">
        <is>
          <t>RT20250524-05618</t>
        </is>
      </c>
      <c r="B5619" s="59" t="inlineStr">
        <is>
          <t>2025-05-24</t>
        </is>
      </c>
      <c r="C5619" s="60" t="inlineStr">
        <is>
          <t>Solace Snack S-691</t>
        </is>
      </c>
      <c r="D5619" s="58" t="inlineStr">
        <is>
          <t>Grocery</t>
        </is>
      </c>
      <c r="E5619" s="58" t="inlineStr">
        <is>
          <t>East</t>
        </is>
      </c>
      <c r="F5619" s="61" t="n">
        <v>1</v>
      </c>
      <c r="G5619" s="62" t="n">
        <v>10.04</v>
      </c>
      <c r="H5619" s="63" t="n">
        <v>0.042</v>
      </c>
      <c r="I5619" s="62" t="n">
        <v>7.17</v>
      </c>
      <c r="J5619" s="58" t="inlineStr">
        <is>
          <t>Online</t>
        </is>
      </c>
      <c r="K5619" s="62">
        <f>F5619*(G5619-H5619)</f>
        <v/>
      </c>
      <c r="L5619" s="62">
        <f>K5619-(F5619*I5619)</f>
        <v/>
      </c>
      <c r="M5619" s="64">
        <f>L5619/K5619</f>
        <v/>
      </c>
    </row>
    <row r="5620">
      <c r="A5620" s="58" t="inlineStr">
        <is>
          <t>RT20250524-05619</t>
        </is>
      </c>
      <c r="B5620" s="59" t="inlineStr">
        <is>
          <t>2025-05-24</t>
        </is>
      </c>
      <c r="C5620" s="60" t="inlineStr">
        <is>
          <t>Aurora Storage Lite-774</t>
        </is>
      </c>
      <c r="D5620" s="58" t="inlineStr">
        <is>
          <t>Office</t>
        </is>
      </c>
      <c r="E5620" s="58" t="inlineStr">
        <is>
          <t>South</t>
        </is>
      </c>
      <c r="F5620" s="61" t="n">
        <v>1</v>
      </c>
      <c r="G5620" s="62" t="n">
        <v>351.55</v>
      </c>
      <c r="H5620" s="63" t="n">
        <v>0.107</v>
      </c>
      <c r="I5620" s="62" t="n">
        <v>235.18</v>
      </c>
      <c r="J5620" s="58" t="inlineStr">
        <is>
          <t>Online</t>
        </is>
      </c>
      <c r="K5620" s="62">
        <f>F5620*(G5620-H5620)</f>
        <v/>
      </c>
      <c r="L5620" s="62">
        <f>K5620-(F5620*I5620)</f>
        <v/>
      </c>
      <c r="M5620" s="64">
        <f>L5620/K5620</f>
        <v/>
      </c>
    </row>
    <row r="5621">
      <c r="A5621" s="58" t="inlineStr">
        <is>
          <t>RT20250524-05620</t>
        </is>
      </c>
      <c r="B5621" s="59" t="inlineStr">
        <is>
          <t>2025-05-24</t>
        </is>
      </c>
      <c r="C5621" s="60" t="inlineStr">
        <is>
          <t>Solace Laptop S-367</t>
        </is>
      </c>
      <c r="D5621" s="58" t="inlineStr">
        <is>
          <t>Electronics</t>
        </is>
      </c>
      <c r="E5621" s="58" t="inlineStr">
        <is>
          <t>South</t>
        </is>
      </c>
      <c r="F5621" s="61" t="n">
        <v>2</v>
      </c>
      <c r="G5621" s="62" t="n">
        <v>2364.91</v>
      </c>
      <c r="H5621" s="63" t="n">
        <v>0.004</v>
      </c>
      <c r="I5621" s="62" t="n">
        <v>1534.55</v>
      </c>
      <c r="J5621" s="58" t="inlineStr">
        <is>
          <t>Store</t>
        </is>
      </c>
      <c r="K5621" s="62">
        <f>F5621*(G5621-H5621)</f>
        <v/>
      </c>
      <c r="L5621" s="62">
        <f>K5621-(F5621*I5621)</f>
        <v/>
      </c>
      <c r="M5621" s="64">
        <f>L5621/K5621</f>
        <v/>
      </c>
    </row>
    <row r="5622">
      <c r="A5622" s="58" t="inlineStr">
        <is>
          <t>RT20250524-05621</t>
        </is>
      </c>
      <c r="B5622" s="59" t="inlineStr">
        <is>
          <t>2025-05-24</t>
        </is>
      </c>
      <c r="C5622" s="60" t="inlineStr">
        <is>
          <t>Aurora Wearable Lite-162</t>
        </is>
      </c>
      <c r="D5622" s="58" t="inlineStr">
        <is>
          <t>Electronics</t>
        </is>
      </c>
      <c r="E5622" s="58" t="inlineStr">
        <is>
          <t>East</t>
        </is>
      </c>
      <c r="F5622" s="61" t="n">
        <v>1</v>
      </c>
      <c r="G5622" s="62" t="n">
        <v>1570.62</v>
      </c>
      <c r="H5622" s="63" t="n">
        <v>0.062</v>
      </c>
      <c r="I5622" s="62" t="n">
        <v>1176.6</v>
      </c>
      <c r="J5622" s="58" t="inlineStr">
        <is>
          <t>Store</t>
        </is>
      </c>
      <c r="K5622" s="62">
        <f>F5622*(G5622-H5622)</f>
        <v/>
      </c>
      <c r="L5622" s="62">
        <f>K5622-(F5622*I5622)</f>
        <v/>
      </c>
      <c r="M5622" s="64">
        <f>L5622/K5622</f>
        <v/>
      </c>
    </row>
    <row r="5623">
      <c r="A5623" s="58" t="inlineStr">
        <is>
          <t>RT20250524-05622</t>
        </is>
      </c>
      <c r="B5623" s="59" t="inlineStr">
        <is>
          <t>2025-05-24</t>
        </is>
      </c>
      <c r="C5623" s="60" t="inlineStr">
        <is>
          <t>Falcon Haircare Pro-980</t>
        </is>
      </c>
      <c r="D5623" s="58" t="inlineStr">
        <is>
          <t>Beauty</t>
        </is>
      </c>
      <c r="E5623" s="58" t="inlineStr">
        <is>
          <t>South</t>
        </is>
      </c>
      <c r="F5623" s="61" t="n">
        <v>3</v>
      </c>
      <c r="G5623" s="62" t="n">
        <v>98.42</v>
      </c>
      <c r="H5623" s="63" t="n">
        <v>0.098</v>
      </c>
      <c r="I5623" s="62" t="n">
        <v>58.73</v>
      </c>
      <c r="J5623" s="58" t="inlineStr">
        <is>
          <t>Online</t>
        </is>
      </c>
      <c r="K5623" s="62">
        <f>F5623*(G5623-H5623)</f>
        <v/>
      </c>
      <c r="L5623" s="62">
        <f>K5623-(F5623*I5623)</f>
        <v/>
      </c>
      <c r="M5623" s="64">
        <f>L5623/K5623</f>
        <v/>
      </c>
    </row>
    <row r="5624">
      <c r="A5624" s="58" t="inlineStr">
        <is>
          <t>RT20250524-05623</t>
        </is>
      </c>
      <c r="B5624" s="59" t="inlineStr">
        <is>
          <t>2025-05-24</t>
        </is>
      </c>
      <c r="C5624" s="60" t="inlineStr">
        <is>
          <t>Solace Snack S-691</t>
        </is>
      </c>
      <c r="D5624" s="58" t="inlineStr">
        <is>
          <t>Grocery</t>
        </is>
      </c>
      <c r="E5624" s="58" t="inlineStr">
        <is>
          <t>South</t>
        </is>
      </c>
      <c r="F5624" s="61" t="n">
        <v>2</v>
      </c>
      <c r="G5624" s="62" t="n">
        <v>9.5</v>
      </c>
      <c r="H5624" s="63" t="n">
        <v>0.111</v>
      </c>
      <c r="I5624" s="62" t="n">
        <v>7.07</v>
      </c>
      <c r="J5624" s="58" t="inlineStr">
        <is>
          <t>Online</t>
        </is>
      </c>
      <c r="K5624" s="62">
        <f>F5624*(G5624-H5624)</f>
        <v/>
      </c>
      <c r="L5624" s="62">
        <f>K5624-(F5624*I5624)</f>
        <v/>
      </c>
      <c r="M5624" s="64">
        <f>L5624/K5624</f>
        <v/>
      </c>
    </row>
    <row r="5625">
      <c r="A5625" s="58" t="inlineStr">
        <is>
          <t>RT20250524-05624</t>
        </is>
      </c>
      <c r="B5625" s="59" t="inlineStr">
        <is>
          <t>2025-05-24</t>
        </is>
      </c>
      <c r="C5625" s="60" t="inlineStr">
        <is>
          <t>Aurora Skincare Max-798</t>
        </is>
      </c>
      <c r="D5625" s="58" t="inlineStr">
        <is>
          <t>Beauty</t>
        </is>
      </c>
      <c r="E5625" s="58" t="inlineStr">
        <is>
          <t>South</t>
        </is>
      </c>
      <c r="F5625" s="61" t="n">
        <v>2</v>
      </c>
      <c r="G5625" s="62" t="n">
        <v>113.09</v>
      </c>
      <c r="H5625" s="63" t="n">
        <v>0.034</v>
      </c>
      <c r="I5625" s="62" t="n">
        <v>68.13</v>
      </c>
      <c r="J5625" s="58" t="inlineStr">
        <is>
          <t>Store</t>
        </is>
      </c>
      <c r="K5625" s="62">
        <f>F5625*(G5625-H5625)</f>
        <v/>
      </c>
      <c r="L5625" s="62">
        <f>K5625-(F5625*I5625)</f>
        <v/>
      </c>
      <c r="M5625" s="64">
        <f>L5625/K5625</f>
        <v/>
      </c>
    </row>
    <row r="5626">
      <c r="A5626" s="58" t="inlineStr">
        <is>
          <t>RT20250524-05625</t>
        </is>
      </c>
      <c r="B5626" s="59" t="inlineStr">
        <is>
          <t>2025-05-24</t>
        </is>
      </c>
      <c r="C5626" s="60" t="inlineStr">
        <is>
          <t>Polar Outdoor Lite-318</t>
        </is>
      </c>
      <c r="D5626" s="58" t="inlineStr">
        <is>
          <t>Sports</t>
        </is>
      </c>
      <c r="E5626" s="58" t="inlineStr">
        <is>
          <t>East</t>
        </is>
      </c>
      <c r="F5626" s="61" t="n">
        <v>2</v>
      </c>
      <c r="G5626" s="62" t="n">
        <v>731.16</v>
      </c>
      <c r="H5626" s="63" t="n">
        <v>0.025</v>
      </c>
      <c r="I5626" s="62" t="n">
        <v>470.28</v>
      </c>
      <c r="J5626" s="58" t="inlineStr">
        <is>
          <t>Online</t>
        </is>
      </c>
      <c r="K5626" s="62">
        <f>F5626*(G5626-H5626)</f>
        <v/>
      </c>
      <c r="L5626" s="62">
        <f>K5626-(F5626*I5626)</f>
        <v/>
      </c>
      <c r="M5626" s="64">
        <f>L5626/K5626</f>
        <v/>
      </c>
    </row>
    <row r="5627">
      <c r="A5627" s="58" t="inlineStr">
        <is>
          <t>RT20250524-05626</t>
        </is>
      </c>
      <c r="B5627" s="59" t="inlineStr">
        <is>
          <t>2025-05-24</t>
        </is>
      </c>
      <c r="C5627" s="60" t="inlineStr">
        <is>
          <t>Aurora Team Sport Plus-256</t>
        </is>
      </c>
      <c r="D5627" s="58" t="inlineStr">
        <is>
          <t>Sports</t>
        </is>
      </c>
      <c r="E5627" s="58" t="inlineStr">
        <is>
          <t>West</t>
        </is>
      </c>
      <c r="F5627" s="61" t="n">
        <v>3</v>
      </c>
      <c r="G5627" s="62" t="n">
        <v>653.51</v>
      </c>
      <c r="H5627" s="63" t="n">
        <v>0.083</v>
      </c>
      <c r="I5627" s="62" t="n">
        <v>422.09</v>
      </c>
      <c r="J5627" s="58" t="inlineStr">
        <is>
          <t>Online</t>
        </is>
      </c>
      <c r="K5627" s="62">
        <f>F5627*(G5627-H5627)</f>
        <v/>
      </c>
      <c r="L5627" s="62">
        <f>K5627-(F5627*I5627)</f>
        <v/>
      </c>
      <c r="M5627" s="64">
        <f>L5627/K5627</f>
        <v/>
      </c>
    </row>
    <row r="5628">
      <c r="A5628" s="58" t="inlineStr">
        <is>
          <t>RT20250524-05627</t>
        </is>
      </c>
      <c r="B5628" s="59" t="inlineStr">
        <is>
          <t>2025-05-24</t>
        </is>
      </c>
      <c r="C5628" s="60" t="inlineStr">
        <is>
          <t>Metro Printer X-294</t>
        </is>
      </c>
      <c r="D5628" s="58" t="inlineStr">
        <is>
          <t>Office</t>
        </is>
      </c>
      <c r="E5628" s="58" t="inlineStr">
        <is>
          <t>North</t>
        </is>
      </c>
      <c r="F5628" s="61" t="n">
        <v>2</v>
      </c>
      <c r="G5628" s="62" t="n">
        <v>603.41</v>
      </c>
      <c r="H5628" s="63" t="n">
        <v>0.01</v>
      </c>
      <c r="I5628" s="62" t="n">
        <v>407.63</v>
      </c>
      <c r="J5628" s="58" t="inlineStr">
        <is>
          <t>Store</t>
        </is>
      </c>
      <c r="K5628" s="62">
        <f>F5628*(G5628-H5628)</f>
        <v/>
      </c>
      <c r="L5628" s="62">
        <f>K5628-(F5628*I5628)</f>
        <v/>
      </c>
      <c r="M5628" s="64">
        <f>L5628/K5628</f>
        <v/>
      </c>
    </row>
    <row r="5629">
      <c r="A5629" s="58" t="inlineStr">
        <is>
          <t>RT20250524-05628</t>
        </is>
      </c>
      <c r="B5629" s="59" t="inlineStr">
        <is>
          <t>2025-05-24</t>
        </is>
      </c>
      <c r="C5629" s="60" t="inlineStr">
        <is>
          <t>Aurora Printer Plus-991</t>
        </is>
      </c>
      <c r="D5629" s="58" t="inlineStr">
        <is>
          <t>Office</t>
        </is>
      </c>
      <c r="E5629" s="58" t="inlineStr">
        <is>
          <t>East</t>
        </is>
      </c>
      <c r="F5629" s="61" t="n">
        <v>3</v>
      </c>
      <c r="G5629" s="62" t="n">
        <v>516.6</v>
      </c>
      <c r="H5629" s="63" t="n">
        <v>0.07099999999999999</v>
      </c>
      <c r="I5629" s="62" t="n">
        <v>383.08</v>
      </c>
      <c r="J5629" s="58" t="inlineStr">
        <is>
          <t>Phone</t>
        </is>
      </c>
      <c r="K5629" s="62">
        <f>F5629*(G5629-H5629)</f>
        <v/>
      </c>
      <c r="L5629" s="62">
        <f>K5629-(F5629*I5629)</f>
        <v/>
      </c>
      <c r="M5629" s="64">
        <f>L5629/K5629</f>
        <v/>
      </c>
    </row>
    <row r="5630">
      <c r="A5630" s="58" t="inlineStr">
        <is>
          <t>RT20250524-05629</t>
        </is>
      </c>
      <c r="B5630" s="59" t="inlineStr">
        <is>
          <t>2025-05-24</t>
        </is>
      </c>
      <c r="C5630" s="60" t="inlineStr">
        <is>
          <t>Polar Outdoor X-193</t>
        </is>
      </c>
      <c r="D5630" s="58" t="inlineStr">
        <is>
          <t>Sports</t>
        </is>
      </c>
      <c r="E5630" s="58" t="inlineStr">
        <is>
          <t>Central</t>
        </is>
      </c>
      <c r="F5630" s="61" t="n">
        <v>3</v>
      </c>
      <c r="G5630" s="62" t="n">
        <v>727.12</v>
      </c>
      <c r="H5630" s="63" t="n">
        <v>0.057</v>
      </c>
      <c r="I5630" s="62" t="n">
        <v>461.54</v>
      </c>
      <c r="J5630" s="58" t="inlineStr">
        <is>
          <t>Store</t>
        </is>
      </c>
      <c r="K5630" s="62">
        <f>F5630*(G5630-H5630)</f>
        <v/>
      </c>
      <c r="L5630" s="62">
        <f>K5630-(F5630*I5630)</f>
        <v/>
      </c>
      <c r="M5630" s="64">
        <f>L5630/K5630</f>
        <v/>
      </c>
    </row>
    <row r="5631">
      <c r="A5631" s="58" t="inlineStr">
        <is>
          <t>RT20250524-05630</t>
        </is>
      </c>
      <c r="B5631" s="59" t="inlineStr">
        <is>
          <t>2025-05-24</t>
        </is>
      </c>
      <c r="C5631" s="60" t="inlineStr">
        <is>
          <t>Nimbus Fitnes Lite-516</t>
        </is>
      </c>
      <c r="D5631" s="58" t="inlineStr">
        <is>
          <t>Sports</t>
        </is>
      </c>
      <c r="E5631" s="58" t="inlineStr">
        <is>
          <t>Central</t>
        </is>
      </c>
      <c r="F5631" s="61" t="n">
        <v>1</v>
      </c>
      <c r="G5631" s="62" t="n">
        <v>729.3099999999999</v>
      </c>
      <c r="H5631" s="63" t="n">
        <v>0.074</v>
      </c>
      <c r="I5631" s="62" t="n">
        <v>471.49</v>
      </c>
      <c r="J5631" s="58" t="inlineStr">
        <is>
          <t>Online</t>
        </is>
      </c>
      <c r="K5631" s="62">
        <f>F5631*(G5631-H5631)</f>
        <v/>
      </c>
      <c r="L5631" s="62">
        <f>K5631-(F5631*I5631)</f>
        <v/>
      </c>
      <c r="M5631" s="64">
        <f>L5631/K5631</f>
        <v/>
      </c>
    </row>
    <row r="5632">
      <c r="A5632" s="58" t="inlineStr">
        <is>
          <t>RT20250524-05631</t>
        </is>
      </c>
      <c r="B5632" s="59" t="inlineStr">
        <is>
          <t>2025-05-24</t>
        </is>
      </c>
      <c r="C5632" s="60" t="inlineStr">
        <is>
          <t>Nimbus Headphone X-854</t>
        </is>
      </c>
      <c r="D5632" s="58" t="inlineStr">
        <is>
          <t>Electronics</t>
        </is>
      </c>
      <c r="E5632" s="58" t="inlineStr">
        <is>
          <t>East</t>
        </is>
      </c>
      <c r="F5632" s="61" t="n">
        <v>1</v>
      </c>
      <c r="G5632" s="62" t="n">
        <v>1506.12</v>
      </c>
      <c r="H5632" s="63" t="n">
        <v>0.075</v>
      </c>
      <c r="I5632" s="62" t="n">
        <v>1232.94</v>
      </c>
      <c r="J5632" s="58" t="inlineStr">
        <is>
          <t>Phone</t>
        </is>
      </c>
      <c r="K5632" s="62">
        <f>F5632*(G5632-H5632)</f>
        <v/>
      </c>
      <c r="L5632" s="62">
        <f>K5632-(F5632*I5632)</f>
        <v/>
      </c>
      <c r="M5632" s="64">
        <f>L5632/K5632</f>
        <v/>
      </c>
    </row>
    <row r="5633">
      <c r="A5633" s="58" t="inlineStr">
        <is>
          <t>RT20250524-05632</t>
        </is>
      </c>
      <c r="B5633" s="59" t="inlineStr">
        <is>
          <t>2025-05-24</t>
        </is>
      </c>
      <c r="C5633" s="60" t="inlineStr">
        <is>
          <t>Nimbus Headphone X-854</t>
        </is>
      </c>
      <c r="D5633" s="58" t="inlineStr">
        <is>
          <t>Electronics</t>
        </is>
      </c>
      <c r="E5633" s="58" t="inlineStr">
        <is>
          <t>North</t>
        </is>
      </c>
      <c r="F5633" s="61" t="n">
        <v>1</v>
      </c>
      <c r="G5633" s="62" t="n">
        <v>1550.25</v>
      </c>
      <c r="H5633" s="63" t="n">
        <v>0.094</v>
      </c>
      <c r="I5633" s="62" t="n">
        <v>1249.22</v>
      </c>
      <c r="J5633" s="58" t="inlineStr">
        <is>
          <t>Online</t>
        </is>
      </c>
      <c r="K5633" s="62">
        <f>F5633*(G5633-H5633)</f>
        <v/>
      </c>
      <c r="L5633" s="62">
        <f>K5633-(F5633*I5633)</f>
        <v/>
      </c>
      <c r="M5633" s="64">
        <f>L5633/K5633</f>
        <v/>
      </c>
    </row>
    <row r="5634">
      <c r="A5634" s="58" t="inlineStr">
        <is>
          <t>RT20250524-05633</t>
        </is>
      </c>
      <c r="B5634" s="59" t="inlineStr">
        <is>
          <t>2025-05-24</t>
        </is>
      </c>
      <c r="C5634" s="60" t="inlineStr">
        <is>
          <t>Orion Kitchen Pro-568</t>
        </is>
      </c>
      <c r="D5634" s="58" t="inlineStr">
        <is>
          <t>Home</t>
        </is>
      </c>
      <c r="E5634" s="58" t="inlineStr">
        <is>
          <t>South</t>
        </is>
      </c>
      <c r="F5634" s="61" t="n">
        <v>1</v>
      </c>
      <c r="G5634" s="62" t="n">
        <v>476.91</v>
      </c>
      <c r="H5634" s="63" t="n">
        <v>0.022</v>
      </c>
      <c r="I5634" s="62" t="n">
        <v>312.78</v>
      </c>
      <c r="J5634" s="58" t="inlineStr">
        <is>
          <t>Online</t>
        </is>
      </c>
      <c r="K5634" s="62">
        <f>F5634*(G5634-H5634)</f>
        <v/>
      </c>
      <c r="L5634" s="62">
        <f>K5634-(F5634*I5634)</f>
        <v/>
      </c>
      <c r="M5634" s="64">
        <f>L5634/K5634</f>
        <v/>
      </c>
    </row>
    <row r="5635">
      <c r="A5635" s="58" t="inlineStr">
        <is>
          <t>RT20250524-05634</t>
        </is>
      </c>
      <c r="B5635" s="59" t="inlineStr">
        <is>
          <t>2025-05-24</t>
        </is>
      </c>
      <c r="C5635" s="60" t="inlineStr">
        <is>
          <t>Orion Haircare Plus-887</t>
        </is>
      </c>
      <c r="D5635" s="58" t="inlineStr">
        <is>
          <t>Beauty</t>
        </is>
      </c>
      <c r="E5635" s="58" t="inlineStr">
        <is>
          <t>East</t>
        </is>
      </c>
      <c r="F5635" s="61" t="n">
        <v>2</v>
      </c>
      <c r="G5635" s="62" t="n">
        <v>53.18</v>
      </c>
      <c r="H5635" s="63" t="n">
        <v>0.1</v>
      </c>
      <c r="I5635" s="62" t="n">
        <v>31.76</v>
      </c>
      <c r="J5635" s="58" t="inlineStr">
        <is>
          <t>Online</t>
        </is>
      </c>
      <c r="K5635" s="62">
        <f>F5635*(G5635-H5635)</f>
        <v/>
      </c>
      <c r="L5635" s="62">
        <f>K5635-(F5635*I5635)</f>
        <v/>
      </c>
      <c r="M5635" s="64">
        <f>L5635/K5635</f>
        <v/>
      </c>
    </row>
    <row r="5636">
      <c r="A5636" s="58" t="inlineStr">
        <is>
          <t>RT20250524-05635</t>
        </is>
      </c>
      <c r="B5636" s="59" t="inlineStr">
        <is>
          <t>2025-05-24</t>
        </is>
      </c>
      <c r="C5636" s="60" t="inlineStr">
        <is>
          <t>Polar Wearable X-119</t>
        </is>
      </c>
      <c r="D5636" s="58" t="inlineStr">
        <is>
          <t>Electronics</t>
        </is>
      </c>
      <c r="E5636" s="58" t="inlineStr">
        <is>
          <t>Central</t>
        </is>
      </c>
      <c r="F5636" s="61" t="n">
        <v>2</v>
      </c>
      <c r="G5636" s="62" t="n">
        <v>1617.07</v>
      </c>
      <c r="H5636" s="63" t="n">
        <v>0.041</v>
      </c>
      <c r="I5636" s="62" t="n">
        <v>1331.87</v>
      </c>
      <c r="J5636" s="58" t="inlineStr">
        <is>
          <t>Online</t>
        </is>
      </c>
      <c r="K5636" s="62">
        <f>F5636*(G5636-H5636)</f>
        <v/>
      </c>
      <c r="L5636" s="62">
        <f>K5636-(F5636*I5636)</f>
        <v/>
      </c>
      <c r="M5636" s="64">
        <f>L5636/K5636</f>
        <v/>
      </c>
    </row>
    <row r="5637">
      <c r="A5637" s="58" t="inlineStr">
        <is>
          <t>RT20250524-05636</t>
        </is>
      </c>
      <c r="B5637" s="59" t="inlineStr">
        <is>
          <t>2025-05-24</t>
        </is>
      </c>
      <c r="C5637" s="60" t="inlineStr">
        <is>
          <t>Solace Smartphone Lite-533</t>
        </is>
      </c>
      <c r="D5637" s="58" t="inlineStr">
        <is>
          <t>Electronics</t>
        </is>
      </c>
      <c r="E5637" s="58" t="inlineStr">
        <is>
          <t>Central</t>
        </is>
      </c>
      <c r="F5637" s="61" t="n">
        <v>2</v>
      </c>
      <c r="G5637" s="62" t="n">
        <v>1249.94</v>
      </c>
      <c r="H5637" s="63" t="n">
        <v>0.075</v>
      </c>
      <c r="I5637" s="62" t="n">
        <v>904.78</v>
      </c>
      <c r="J5637" s="58" t="inlineStr">
        <is>
          <t>Phone</t>
        </is>
      </c>
      <c r="K5637" s="62">
        <f>F5637*(G5637-H5637)</f>
        <v/>
      </c>
      <c r="L5637" s="62">
        <f>K5637-(F5637*I5637)</f>
        <v/>
      </c>
      <c r="M5637" s="64">
        <f>L5637/K5637</f>
        <v/>
      </c>
    </row>
    <row r="5638">
      <c r="A5638" s="58" t="inlineStr">
        <is>
          <t>RT20250524-05637</t>
        </is>
      </c>
      <c r="B5638" s="59" t="inlineStr">
        <is>
          <t>2025-05-24</t>
        </is>
      </c>
      <c r="C5638" s="60" t="inlineStr">
        <is>
          <t>Nimbus Cycling Plus-911</t>
        </is>
      </c>
      <c r="D5638" s="58" t="inlineStr">
        <is>
          <t>Sports</t>
        </is>
      </c>
      <c r="E5638" s="58" t="inlineStr">
        <is>
          <t>East</t>
        </is>
      </c>
      <c r="F5638" s="61" t="n">
        <v>3</v>
      </c>
      <c r="G5638" s="62" t="n">
        <v>583.61</v>
      </c>
      <c r="H5638" s="63" t="n">
        <v>0.021</v>
      </c>
      <c r="I5638" s="62" t="n">
        <v>405.89</v>
      </c>
      <c r="J5638" s="58" t="inlineStr">
        <is>
          <t>Online</t>
        </is>
      </c>
      <c r="K5638" s="62">
        <f>F5638*(G5638-H5638)</f>
        <v/>
      </c>
      <c r="L5638" s="62">
        <f>K5638-(F5638*I5638)</f>
        <v/>
      </c>
      <c r="M5638" s="64">
        <f>L5638/K5638</f>
        <v/>
      </c>
    </row>
    <row r="5639">
      <c r="A5639" s="58" t="inlineStr">
        <is>
          <t>RT20250524-05638</t>
        </is>
      </c>
      <c r="B5639" s="59" t="inlineStr">
        <is>
          <t>2025-05-24</t>
        </is>
      </c>
      <c r="C5639" s="60" t="inlineStr">
        <is>
          <t>Metro Outdoor Plus-787</t>
        </is>
      </c>
      <c r="D5639" s="58" t="inlineStr">
        <is>
          <t>Sports</t>
        </is>
      </c>
      <c r="E5639" s="58" t="inlineStr">
        <is>
          <t>West</t>
        </is>
      </c>
      <c r="F5639" s="61" t="n">
        <v>2</v>
      </c>
      <c r="G5639" s="62" t="n">
        <v>487.83</v>
      </c>
      <c r="H5639" s="63" t="n">
        <v>0.07099999999999999</v>
      </c>
      <c r="I5639" s="62" t="n">
        <v>345.27</v>
      </c>
      <c r="J5639" s="58" t="inlineStr">
        <is>
          <t>Phone</t>
        </is>
      </c>
      <c r="K5639" s="62">
        <f>F5639*(G5639-H5639)</f>
        <v/>
      </c>
      <c r="L5639" s="62">
        <f>K5639-(F5639*I5639)</f>
        <v/>
      </c>
      <c r="M5639" s="64">
        <f>L5639/K5639</f>
        <v/>
      </c>
    </row>
    <row r="5640">
      <c r="A5640" s="58" t="inlineStr">
        <is>
          <t>RT20250524-05639</t>
        </is>
      </c>
      <c r="B5640" s="59" t="inlineStr">
        <is>
          <t>2025-05-24</t>
        </is>
      </c>
      <c r="C5640" s="60" t="inlineStr">
        <is>
          <t>Polar Pantry Lite-392</t>
        </is>
      </c>
      <c r="D5640" s="58" t="inlineStr">
        <is>
          <t>Grocery</t>
        </is>
      </c>
      <c r="E5640" s="58" t="inlineStr">
        <is>
          <t>East</t>
        </is>
      </c>
      <c r="F5640" s="61" t="n">
        <v>3</v>
      </c>
      <c r="G5640" s="62" t="n">
        <v>5.74</v>
      </c>
      <c r="H5640" s="63" t="n">
        <v>0.067</v>
      </c>
      <c r="I5640" s="62" t="n">
        <v>4.59</v>
      </c>
      <c r="J5640" s="58" t="inlineStr">
        <is>
          <t>Online</t>
        </is>
      </c>
      <c r="K5640" s="62">
        <f>F5640*(G5640-H5640)</f>
        <v/>
      </c>
      <c r="L5640" s="62">
        <f>K5640-(F5640*I5640)</f>
        <v/>
      </c>
      <c r="M5640" s="64">
        <f>L5640/K5640</f>
        <v/>
      </c>
    </row>
    <row r="5641">
      <c r="A5641" s="58" t="inlineStr">
        <is>
          <t>RT20250524-05640</t>
        </is>
      </c>
      <c r="B5641" s="59" t="inlineStr">
        <is>
          <t>2025-05-24</t>
        </is>
      </c>
      <c r="C5641" s="60" t="inlineStr">
        <is>
          <t>Polar Snack Pro-641</t>
        </is>
      </c>
      <c r="D5641" s="58" t="inlineStr">
        <is>
          <t>Grocery</t>
        </is>
      </c>
      <c r="E5641" s="58" t="inlineStr">
        <is>
          <t>West</t>
        </is>
      </c>
      <c r="F5641" s="61" t="n">
        <v>2</v>
      </c>
      <c r="G5641" s="62" t="n">
        <v>12.68</v>
      </c>
      <c r="H5641" s="63" t="n">
        <v>0.006</v>
      </c>
      <c r="I5641" s="62" t="n">
        <v>9.300000000000001</v>
      </c>
      <c r="J5641" s="58" t="inlineStr">
        <is>
          <t>Online</t>
        </is>
      </c>
      <c r="K5641" s="62">
        <f>F5641*(G5641-H5641)</f>
        <v/>
      </c>
      <c r="L5641" s="62">
        <f>K5641-(F5641*I5641)</f>
        <v/>
      </c>
      <c r="M5641" s="64">
        <f>L5641/K5641</f>
        <v/>
      </c>
    </row>
    <row r="5642">
      <c r="A5642" s="58" t="inlineStr">
        <is>
          <t>RT20250524-05641</t>
        </is>
      </c>
      <c r="B5642" s="59" t="inlineStr">
        <is>
          <t>2025-05-24</t>
        </is>
      </c>
      <c r="C5642" s="60" t="inlineStr">
        <is>
          <t>Orion Kid Max-640</t>
        </is>
      </c>
      <c r="D5642" s="58" t="inlineStr">
        <is>
          <t>Apparel</t>
        </is>
      </c>
      <c r="E5642" s="58" t="inlineStr">
        <is>
          <t>South</t>
        </is>
      </c>
      <c r="F5642" s="61" t="n">
        <v>1</v>
      </c>
      <c r="G5642" s="62" t="n">
        <v>142.5</v>
      </c>
      <c r="H5642" s="63" t="n">
        <v>0.019</v>
      </c>
      <c r="I5642" s="62" t="n">
        <v>69.38</v>
      </c>
      <c r="J5642" s="58" t="inlineStr">
        <is>
          <t>Store</t>
        </is>
      </c>
      <c r="K5642" s="62">
        <f>F5642*(G5642-H5642)</f>
        <v/>
      </c>
      <c r="L5642" s="62">
        <f>K5642-(F5642*I5642)</f>
        <v/>
      </c>
      <c r="M5642" s="64">
        <f>L5642/K5642</f>
        <v/>
      </c>
    </row>
    <row r="5643">
      <c r="A5643" s="58" t="inlineStr">
        <is>
          <t>RT20250524-05642</t>
        </is>
      </c>
      <c r="B5643" s="59" t="inlineStr">
        <is>
          <t>2025-05-24</t>
        </is>
      </c>
      <c r="C5643" s="60" t="inlineStr">
        <is>
          <t>Vertex Men X-995</t>
        </is>
      </c>
      <c r="D5643" s="58" t="inlineStr">
        <is>
          <t>Apparel</t>
        </is>
      </c>
      <c r="E5643" s="58" t="inlineStr">
        <is>
          <t>East</t>
        </is>
      </c>
      <c r="F5643" s="61" t="n">
        <v>2</v>
      </c>
      <c r="G5643" s="62" t="n">
        <v>104.1</v>
      </c>
      <c r="H5643" s="63" t="n">
        <v>0.024</v>
      </c>
      <c r="I5643" s="62" t="n">
        <v>56.96</v>
      </c>
      <c r="J5643" s="58" t="inlineStr">
        <is>
          <t>Store</t>
        </is>
      </c>
      <c r="K5643" s="62">
        <f>F5643*(G5643-H5643)</f>
        <v/>
      </c>
      <c r="L5643" s="62">
        <f>K5643-(F5643*I5643)</f>
        <v/>
      </c>
      <c r="M5643" s="64">
        <f>L5643/K5643</f>
        <v/>
      </c>
    </row>
    <row r="5644">
      <c r="A5644" s="58" t="inlineStr">
        <is>
          <t>RT20250524-05643</t>
        </is>
      </c>
      <c r="B5644" s="59" t="inlineStr">
        <is>
          <t>2025-05-24</t>
        </is>
      </c>
      <c r="C5644" s="60" t="inlineStr">
        <is>
          <t>Metro Laptop Plus-376</t>
        </is>
      </c>
      <c r="D5644" s="58" t="inlineStr">
        <is>
          <t>Electronics</t>
        </is>
      </c>
      <c r="E5644" s="58" t="inlineStr">
        <is>
          <t>Central</t>
        </is>
      </c>
      <c r="F5644" s="61" t="n">
        <v>1</v>
      </c>
      <c r="G5644" s="62" t="n">
        <v>1306.42</v>
      </c>
      <c r="H5644" s="63" t="n">
        <v>0.044</v>
      </c>
      <c r="I5644" s="62" t="n">
        <v>1021.89</v>
      </c>
      <c r="J5644" s="58" t="inlineStr">
        <is>
          <t>Store</t>
        </is>
      </c>
      <c r="K5644" s="62">
        <f>F5644*(G5644-H5644)</f>
        <v/>
      </c>
      <c r="L5644" s="62">
        <f>K5644-(F5644*I5644)</f>
        <v/>
      </c>
      <c r="M5644" s="64">
        <f>L5644/K5644</f>
        <v/>
      </c>
    </row>
    <row r="5645">
      <c r="A5645" s="58" t="inlineStr">
        <is>
          <t>RT20250524-05644</t>
        </is>
      </c>
      <c r="B5645" s="59" t="inlineStr">
        <is>
          <t>2025-05-24</t>
        </is>
      </c>
      <c r="C5645" s="60" t="inlineStr">
        <is>
          <t>Solace Kitchen Pro-999</t>
        </is>
      </c>
      <c r="D5645" s="58" t="inlineStr">
        <is>
          <t>Home</t>
        </is>
      </c>
      <c r="E5645" s="58" t="inlineStr">
        <is>
          <t>South</t>
        </is>
      </c>
      <c r="F5645" s="61" t="n">
        <v>2</v>
      </c>
      <c r="G5645" s="62" t="n">
        <v>371.97</v>
      </c>
      <c r="H5645" s="63" t="n">
        <v>0.054</v>
      </c>
      <c r="I5645" s="62" t="n">
        <v>266.69</v>
      </c>
      <c r="J5645" s="58" t="inlineStr">
        <is>
          <t>Online</t>
        </is>
      </c>
      <c r="K5645" s="62">
        <f>F5645*(G5645-H5645)</f>
        <v/>
      </c>
      <c r="L5645" s="62">
        <f>K5645-(F5645*I5645)</f>
        <v/>
      </c>
      <c r="M5645" s="64">
        <f>L5645/K5645</f>
        <v/>
      </c>
    </row>
    <row r="5646">
      <c r="A5646" s="58" t="inlineStr">
        <is>
          <t>RT20250525-05645</t>
        </is>
      </c>
      <c r="B5646" s="59" t="inlineStr">
        <is>
          <t>2025-05-25</t>
        </is>
      </c>
      <c r="C5646" s="60" t="inlineStr">
        <is>
          <t>Vertex Supplie Pro-786</t>
        </is>
      </c>
      <c r="D5646" s="58" t="inlineStr">
        <is>
          <t>Office</t>
        </is>
      </c>
      <c r="E5646" s="58" t="inlineStr">
        <is>
          <t>North</t>
        </is>
      </c>
      <c r="F5646" s="61" t="n">
        <v>2</v>
      </c>
      <c r="G5646" s="62" t="n">
        <v>374.52</v>
      </c>
      <c r="H5646" s="63" t="n">
        <v>0.042</v>
      </c>
      <c r="I5646" s="62" t="n">
        <v>290.11</v>
      </c>
      <c r="J5646" s="58" t="inlineStr">
        <is>
          <t>Store</t>
        </is>
      </c>
      <c r="K5646" s="62">
        <f>F5646*(G5646-H5646)</f>
        <v/>
      </c>
      <c r="L5646" s="62">
        <f>K5646-(F5646*I5646)</f>
        <v/>
      </c>
      <c r="M5646" s="64">
        <f>L5646/K5646</f>
        <v/>
      </c>
    </row>
    <row r="5647">
      <c r="A5647" s="58" t="inlineStr">
        <is>
          <t>RT20250525-05646</t>
        </is>
      </c>
      <c r="B5647" s="59" t="inlineStr">
        <is>
          <t>2025-05-25</t>
        </is>
      </c>
      <c r="C5647" s="60" t="inlineStr">
        <is>
          <t>Metro Printer X-294</t>
        </is>
      </c>
      <c r="D5647" s="58" t="inlineStr">
        <is>
          <t>Office</t>
        </is>
      </c>
      <c r="E5647" s="58" t="inlineStr">
        <is>
          <t>East</t>
        </is>
      </c>
      <c r="F5647" s="61" t="n">
        <v>2</v>
      </c>
      <c r="G5647" s="62" t="n">
        <v>541.6900000000001</v>
      </c>
      <c r="H5647" s="63" t="n">
        <v>0.095</v>
      </c>
      <c r="I5647" s="62" t="n">
        <v>404.26</v>
      </c>
      <c r="J5647" s="58" t="inlineStr">
        <is>
          <t>Store</t>
        </is>
      </c>
      <c r="K5647" s="62">
        <f>F5647*(G5647-H5647)</f>
        <v/>
      </c>
      <c r="L5647" s="62">
        <f>K5647-(F5647*I5647)</f>
        <v/>
      </c>
      <c r="M5647" s="64">
        <f>L5647/K5647</f>
        <v/>
      </c>
    </row>
    <row r="5648">
      <c r="A5648" s="58" t="inlineStr">
        <is>
          <t>RT20250525-05647</t>
        </is>
      </c>
      <c r="B5648" s="59" t="inlineStr">
        <is>
          <t>2025-05-25</t>
        </is>
      </c>
      <c r="C5648" s="60" t="inlineStr">
        <is>
          <t>Vertex Headphone Pro-801</t>
        </is>
      </c>
      <c r="D5648" s="58" t="inlineStr">
        <is>
          <t>Electronics</t>
        </is>
      </c>
      <c r="E5648" s="58" t="inlineStr">
        <is>
          <t>East</t>
        </is>
      </c>
      <c r="F5648" s="61" t="n">
        <v>2</v>
      </c>
      <c r="G5648" s="62" t="n">
        <v>1115.54</v>
      </c>
      <c r="H5648" s="63" t="n">
        <v>0.075</v>
      </c>
      <c r="I5648" s="62" t="n">
        <v>964.9</v>
      </c>
      <c r="J5648" s="58" t="inlineStr">
        <is>
          <t>Online</t>
        </is>
      </c>
      <c r="K5648" s="62">
        <f>F5648*(G5648-H5648)</f>
        <v/>
      </c>
      <c r="L5648" s="62">
        <f>K5648-(F5648*I5648)</f>
        <v/>
      </c>
      <c r="M5648" s="64">
        <f>L5648/K5648</f>
        <v/>
      </c>
    </row>
    <row r="5649">
      <c r="A5649" s="58" t="inlineStr">
        <is>
          <t>RT20250525-05648</t>
        </is>
      </c>
      <c r="B5649" s="59" t="inlineStr">
        <is>
          <t>2025-05-25</t>
        </is>
      </c>
      <c r="C5649" s="60" t="inlineStr">
        <is>
          <t>Solace Team Sport Max-548</t>
        </is>
      </c>
      <c r="D5649" s="58" t="inlineStr">
        <is>
          <t>Sports</t>
        </is>
      </c>
      <c r="E5649" s="58" t="inlineStr">
        <is>
          <t>Central</t>
        </is>
      </c>
      <c r="F5649" s="61" t="n">
        <v>2</v>
      </c>
      <c r="G5649" s="62" t="n">
        <v>736.4</v>
      </c>
      <c r="H5649" s="63" t="n">
        <v>0.097</v>
      </c>
      <c r="I5649" s="62" t="n">
        <v>482.76</v>
      </c>
      <c r="J5649" s="58" t="inlineStr">
        <is>
          <t>Online</t>
        </is>
      </c>
      <c r="K5649" s="62">
        <f>F5649*(G5649-H5649)</f>
        <v/>
      </c>
      <c r="L5649" s="62">
        <f>K5649-(F5649*I5649)</f>
        <v/>
      </c>
      <c r="M5649" s="64">
        <f>L5649/K5649</f>
        <v/>
      </c>
    </row>
    <row r="5650">
      <c r="A5650" s="58" t="inlineStr">
        <is>
          <t>RT20250525-05649</t>
        </is>
      </c>
      <c r="B5650" s="59" t="inlineStr">
        <is>
          <t>2025-05-25</t>
        </is>
      </c>
      <c r="C5650" s="60" t="inlineStr">
        <is>
          <t>Falcon Wearable X-334</t>
        </is>
      </c>
      <c r="D5650" s="58" t="inlineStr">
        <is>
          <t>Electronics</t>
        </is>
      </c>
      <c r="E5650" s="58" t="inlineStr">
        <is>
          <t>West</t>
        </is>
      </c>
      <c r="F5650" s="61" t="n">
        <v>1</v>
      </c>
      <c r="G5650" s="62" t="n">
        <v>1962.28</v>
      </c>
      <c r="H5650" s="63" t="n">
        <v>0.096</v>
      </c>
      <c r="I5650" s="62" t="n">
        <v>1561.34</v>
      </c>
      <c r="J5650" s="58" t="inlineStr">
        <is>
          <t>Online</t>
        </is>
      </c>
      <c r="K5650" s="62">
        <f>F5650*(G5650-H5650)</f>
        <v/>
      </c>
      <c r="L5650" s="62">
        <f>K5650-(F5650*I5650)</f>
        <v/>
      </c>
      <c r="M5650" s="64">
        <f>L5650/K5650</f>
        <v/>
      </c>
    </row>
    <row r="5651">
      <c r="A5651" s="58" t="inlineStr">
        <is>
          <t>RT20250525-05650</t>
        </is>
      </c>
      <c r="B5651" s="59" t="inlineStr">
        <is>
          <t>2025-05-25</t>
        </is>
      </c>
      <c r="C5651" s="60" t="inlineStr">
        <is>
          <t>Metro Pantry Max-180</t>
        </is>
      </c>
      <c r="D5651" s="58" t="inlineStr">
        <is>
          <t>Grocery</t>
        </is>
      </c>
      <c r="E5651" s="58" t="inlineStr">
        <is>
          <t>Central</t>
        </is>
      </c>
      <c r="F5651" s="61" t="n">
        <v>2</v>
      </c>
      <c r="G5651" s="62" t="n">
        <v>8.98</v>
      </c>
      <c r="H5651" s="63" t="n">
        <v>0.096</v>
      </c>
      <c r="I5651" s="62" t="n">
        <v>6.58</v>
      </c>
      <c r="J5651" s="58" t="inlineStr">
        <is>
          <t>Online</t>
        </is>
      </c>
      <c r="K5651" s="62">
        <f>F5651*(G5651-H5651)</f>
        <v/>
      </c>
      <c r="L5651" s="62">
        <f>K5651-(F5651*I5651)</f>
        <v/>
      </c>
      <c r="M5651" s="64">
        <f>L5651/K5651</f>
        <v/>
      </c>
    </row>
    <row r="5652">
      <c r="A5652" s="58" t="inlineStr">
        <is>
          <t>RT20250525-05651</t>
        </is>
      </c>
      <c r="B5652" s="59" t="inlineStr">
        <is>
          <t>2025-05-25</t>
        </is>
      </c>
      <c r="C5652" s="60" t="inlineStr">
        <is>
          <t>Polar Pantry Lite-392</t>
        </is>
      </c>
      <c r="D5652" s="58" t="inlineStr">
        <is>
          <t>Grocery</t>
        </is>
      </c>
      <c r="E5652" s="58" t="inlineStr">
        <is>
          <t>North</t>
        </is>
      </c>
      <c r="F5652" s="61" t="n">
        <v>4</v>
      </c>
      <c r="G5652" s="62" t="n">
        <v>6.71</v>
      </c>
      <c r="H5652" s="63" t="n">
        <v>0.049</v>
      </c>
      <c r="I5652" s="62" t="n">
        <v>4.5</v>
      </c>
      <c r="J5652" s="58" t="inlineStr">
        <is>
          <t>Online</t>
        </is>
      </c>
      <c r="K5652" s="62">
        <f>F5652*(G5652-H5652)</f>
        <v/>
      </c>
      <c r="L5652" s="62">
        <f>K5652-(F5652*I5652)</f>
        <v/>
      </c>
      <c r="M5652" s="64">
        <f>L5652/K5652</f>
        <v/>
      </c>
    </row>
    <row r="5653">
      <c r="A5653" s="58" t="inlineStr">
        <is>
          <t>RT20250525-05652</t>
        </is>
      </c>
      <c r="B5653" s="59" t="inlineStr">
        <is>
          <t>2025-05-25</t>
        </is>
      </c>
      <c r="C5653" s="60" t="inlineStr">
        <is>
          <t>Solace Laptop S-367</t>
        </is>
      </c>
      <c r="D5653" s="58" t="inlineStr">
        <is>
          <t>Electronics</t>
        </is>
      </c>
      <c r="E5653" s="58" t="inlineStr">
        <is>
          <t>Central</t>
        </is>
      </c>
      <c r="F5653" s="61" t="n">
        <v>2</v>
      </c>
      <c r="G5653" s="62" t="n">
        <v>1968.99</v>
      </c>
      <c r="H5653" s="63" t="n">
        <v>0.103</v>
      </c>
      <c r="I5653" s="62" t="n">
        <v>1580.08</v>
      </c>
      <c r="J5653" s="58" t="inlineStr">
        <is>
          <t>Store</t>
        </is>
      </c>
      <c r="K5653" s="62">
        <f>F5653*(G5653-H5653)</f>
        <v/>
      </c>
      <c r="L5653" s="62">
        <f>K5653-(F5653*I5653)</f>
        <v/>
      </c>
      <c r="M5653" s="64">
        <f>L5653/K5653</f>
        <v/>
      </c>
    </row>
    <row r="5654">
      <c r="A5654" s="58" t="inlineStr">
        <is>
          <t>RT20250525-05653</t>
        </is>
      </c>
      <c r="B5654" s="59" t="inlineStr">
        <is>
          <t>2025-05-25</t>
        </is>
      </c>
      <c r="C5654" s="60" t="inlineStr">
        <is>
          <t>Metro Fragrance Lite-261</t>
        </is>
      </c>
      <c r="D5654" s="58" t="inlineStr">
        <is>
          <t>Beauty</t>
        </is>
      </c>
      <c r="E5654" s="58" t="inlineStr">
        <is>
          <t>West</t>
        </is>
      </c>
      <c r="F5654" s="61" t="n">
        <v>2</v>
      </c>
      <c r="G5654" s="62" t="n">
        <v>96.38</v>
      </c>
      <c r="H5654" s="63" t="n">
        <v>0.002</v>
      </c>
      <c r="I5654" s="62" t="n">
        <v>53.58</v>
      </c>
      <c r="J5654" s="58" t="inlineStr">
        <is>
          <t>Online</t>
        </is>
      </c>
      <c r="K5654" s="62">
        <f>F5654*(G5654-H5654)</f>
        <v/>
      </c>
      <c r="L5654" s="62">
        <f>K5654-(F5654*I5654)</f>
        <v/>
      </c>
      <c r="M5654" s="64">
        <f>L5654/K5654</f>
        <v/>
      </c>
    </row>
    <row r="5655">
      <c r="A5655" s="58" t="inlineStr">
        <is>
          <t>RT20250525-05654</t>
        </is>
      </c>
      <c r="B5655" s="59" t="inlineStr">
        <is>
          <t>2025-05-25</t>
        </is>
      </c>
      <c r="C5655" s="60" t="inlineStr">
        <is>
          <t>Falcon Household Pro-865</t>
        </is>
      </c>
      <c r="D5655" s="58" t="inlineStr">
        <is>
          <t>Grocery</t>
        </is>
      </c>
      <c r="E5655" s="58" t="inlineStr">
        <is>
          <t>Central</t>
        </is>
      </c>
      <c r="F5655" s="61" t="n">
        <v>6</v>
      </c>
      <c r="G5655" s="62" t="n">
        <v>10.22</v>
      </c>
      <c r="H5655" s="63" t="n">
        <v>0.057</v>
      </c>
      <c r="I5655" s="62" t="n">
        <v>7.57</v>
      </c>
      <c r="J5655" s="58" t="inlineStr">
        <is>
          <t>Online</t>
        </is>
      </c>
      <c r="K5655" s="62">
        <f>F5655*(G5655-H5655)</f>
        <v/>
      </c>
      <c r="L5655" s="62">
        <f>K5655-(F5655*I5655)</f>
        <v/>
      </c>
      <c r="M5655" s="64">
        <f>L5655/K5655</f>
        <v/>
      </c>
    </row>
    <row r="5656">
      <c r="A5656" s="58" t="inlineStr">
        <is>
          <t>RT20250525-05655</t>
        </is>
      </c>
      <c r="B5656" s="59" t="inlineStr">
        <is>
          <t>2025-05-25</t>
        </is>
      </c>
      <c r="C5656" s="60" t="inlineStr">
        <is>
          <t>Falcon Headphone Plus-789</t>
        </is>
      </c>
      <c r="D5656" s="58" t="inlineStr">
        <is>
          <t>Electronics</t>
        </is>
      </c>
      <c r="E5656" s="58" t="inlineStr">
        <is>
          <t>North</t>
        </is>
      </c>
      <c r="F5656" s="61" t="n">
        <v>1</v>
      </c>
      <c r="G5656" s="62" t="n">
        <v>1787.58</v>
      </c>
      <c r="H5656" s="63" t="n">
        <v>0.103</v>
      </c>
      <c r="I5656" s="62" t="n">
        <v>1305.04</v>
      </c>
      <c r="J5656" s="58" t="inlineStr">
        <is>
          <t>Store</t>
        </is>
      </c>
      <c r="K5656" s="62">
        <f>F5656*(G5656-H5656)</f>
        <v/>
      </c>
      <c r="L5656" s="62">
        <f>K5656-(F5656*I5656)</f>
        <v/>
      </c>
      <c r="M5656" s="64">
        <f>L5656/K5656</f>
        <v/>
      </c>
    </row>
    <row r="5657">
      <c r="A5657" s="58" t="inlineStr">
        <is>
          <t>RT20250525-05656</t>
        </is>
      </c>
      <c r="B5657" s="59" t="inlineStr">
        <is>
          <t>2025-05-25</t>
        </is>
      </c>
      <c r="C5657" s="60" t="inlineStr">
        <is>
          <t>Aurora Bedding Max-175</t>
        </is>
      </c>
      <c r="D5657" s="58" t="inlineStr">
        <is>
          <t>Home</t>
        </is>
      </c>
      <c r="E5657" s="58" t="inlineStr">
        <is>
          <t>West</t>
        </is>
      </c>
      <c r="F5657" s="61" t="n">
        <v>2</v>
      </c>
      <c r="G5657" s="62" t="n">
        <v>665.9</v>
      </c>
      <c r="H5657" s="63" t="n">
        <v>0.027</v>
      </c>
      <c r="I5657" s="62" t="n">
        <v>410.8</v>
      </c>
      <c r="J5657" s="58" t="inlineStr">
        <is>
          <t>Store</t>
        </is>
      </c>
      <c r="K5657" s="62">
        <f>F5657*(G5657-H5657)</f>
        <v/>
      </c>
      <c r="L5657" s="62">
        <f>K5657-(F5657*I5657)</f>
        <v/>
      </c>
      <c r="M5657" s="64">
        <f>L5657/K5657</f>
        <v/>
      </c>
    </row>
    <row r="5658">
      <c r="A5658" s="58" t="inlineStr">
        <is>
          <t>RT20250525-05657</t>
        </is>
      </c>
      <c r="B5658" s="59" t="inlineStr">
        <is>
          <t>2025-05-25</t>
        </is>
      </c>
      <c r="C5658" s="60" t="inlineStr">
        <is>
          <t>Polar Cycling X-649</t>
        </is>
      </c>
      <c r="D5658" s="58" t="inlineStr">
        <is>
          <t>Sports</t>
        </is>
      </c>
      <c r="E5658" s="58" t="inlineStr">
        <is>
          <t>North</t>
        </is>
      </c>
      <c r="F5658" s="61" t="n">
        <v>2</v>
      </c>
      <c r="G5658" s="62" t="n">
        <v>567.4299999999999</v>
      </c>
      <c r="H5658" s="63" t="n">
        <v>0.092</v>
      </c>
      <c r="I5658" s="62" t="n">
        <v>371.34</v>
      </c>
      <c r="J5658" s="58" t="inlineStr">
        <is>
          <t>Online</t>
        </is>
      </c>
      <c r="K5658" s="62">
        <f>F5658*(G5658-H5658)</f>
        <v/>
      </c>
      <c r="L5658" s="62">
        <f>K5658-(F5658*I5658)</f>
        <v/>
      </c>
      <c r="M5658" s="64">
        <f>L5658/K5658</f>
        <v/>
      </c>
    </row>
    <row r="5659">
      <c r="A5659" s="58" t="inlineStr">
        <is>
          <t>RT20250525-05658</t>
        </is>
      </c>
      <c r="B5659" s="59" t="inlineStr">
        <is>
          <t>2025-05-25</t>
        </is>
      </c>
      <c r="C5659" s="60" t="inlineStr">
        <is>
          <t>Solace Bedding Plus-317</t>
        </is>
      </c>
      <c r="D5659" s="58" t="inlineStr">
        <is>
          <t>Home</t>
        </is>
      </c>
      <c r="E5659" s="58" t="inlineStr">
        <is>
          <t>East</t>
        </is>
      </c>
      <c r="F5659" s="61" t="n">
        <v>3</v>
      </c>
      <c r="G5659" s="62" t="n">
        <v>526.1</v>
      </c>
      <c r="H5659" s="63" t="n">
        <v>0.089</v>
      </c>
      <c r="I5659" s="62" t="n">
        <v>382.46</v>
      </c>
      <c r="J5659" s="58" t="inlineStr">
        <is>
          <t>Online</t>
        </is>
      </c>
      <c r="K5659" s="62">
        <f>F5659*(G5659-H5659)</f>
        <v/>
      </c>
      <c r="L5659" s="62">
        <f>K5659-(F5659*I5659)</f>
        <v/>
      </c>
      <c r="M5659" s="64">
        <f>L5659/K5659</f>
        <v/>
      </c>
    </row>
    <row r="5660">
      <c r="A5660" s="58" t="inlineStr">
        <is>
          <t>RT20250525-05659</t>
        </is>
      </c>
      <c r="B5660" s="59" t="inlineStr">
        <is>
          <t>2025-05-25</t>
        </is>
      </c>
      <c r="C5660" s="60" t="inlineStr">
        <is>
          <t>Solace Headphone Pro-344</t>
        </is>
      </c>
      <c r="D5660" s="58" t="inlineStr">
        <is>
          <t>Electronics</t>
        </is>
      </c>
      <c r="E5660" s="58" t="inlineStr">
        <is>
          <t>West</t>
        </is>
      </c>
      <c r="F5660" s="61" t="n">
        <v>1</v>
      </c>
      <c r="G5660" s="62" t="n">
        <v>1388.04</v>
      </c>
      <c r="H5660" s="63" t="n">
        <v>0.105</v>
      </c>
      <c r="I5660" s="62" t="n">
        <v>1076.26</v>
      </c>
      <c r="J5660" s="58" t="inlineStr">
        <is>
          <t>Store</t>
        </is>
      </c>
      <c r="K5660" s="62">
        <f>F5660*(G5660-H5660)</f>
        <v/>
      </c>
      <c r="L5660" s="62">
        <f>K5660-(F5660*I5660)</f>
        <v/>
      </c>
      <c r="M5660" s="64">
        <f>L5660/K5660</f>
        <v/>
      </c>
    </row>
    <row r="5661">
      <c r="A5661" s="58" t="inlineStr">
        <is>
          <t>RT20250525-05660</t>
        </is>
      </c>
      <c r="B5661" s="59" t="inlineStr">
        <is>
          <t>2025-05-25</t>
        </is>
      </c>
      <c r="C5661" s="60" t="inlineStr">
        <is>
          <t>Solace Fitnes S-324</t>
        </is>
      </c>
      <c r="D5661" s="58" t="inlineStr">
        <is>
          <t>Sports</t>
        </is>
      </c>
      <c r="E5661" s="58" t="inlineStr">
        <is>
          <t>Central</t>
        </is>
      </c>
      <c r="F5661" s="61" t="n">
        <v>2</v>
      </c>
      <c r="G5661" s="62" t="n">
        <v>788.38</v>
      </c>
      <c r="H5661" s="63" t="n">
        <v>0.097</v>
      </c>
      <c r="I5661" s="62" t="n">
        <v>537.85</v>
      </c>
      <c r="J5661" s="58" t="inlineStr">
        <is>
          <t>Online</t>
        </is>
      </c>
      <c r="K5661" s="62">
        <f>F5661*(G5661-H5661)</f>
        <v/>
      </c>
      <c r="L5661" s="62">
        <f>K5661-(F5661*I5661)</f>
        <v/>
      </c>
      <c r="M5661" s="64">
        <f>L5661/K5661</f>
        <v/>
      </c>
    </row>
    <row r="5662">
      <c r="A5662" s="58" t="inlineStr">
        <is>
          <t>RT20250525-05661</t>
        </is>
      </c>
      <c r="B5662" s="59" t="inlineStr">
        <is>
          <t>2025-05-25</t>
        </is>
      </c>
      <c r="C5662" s="60" t="inlineStr">
        <is>
          <t>Solace Makeup Pro-214</t>
        </is>
      </c>
      <c r="D5662" s="58" t="inlineStr">
        <is>
          <t>Beauty</t>
        </is>
      </c>
      <c r="E5662" s="58" t="inlineStr">
        <is>
          <t>East</t>
        </is>
      </c>
      <c r="F5662" s="61" t="n">
        <v>1</v>
      </c>
      <c r="G5662" s="62" t="n">
        <v>92.95</v>
      </c>
      <c r="H5662" s="63" t="n">
        <v>0.083</v>
      </c>
      <c r="I5662" s="62" t="n">
        <v>69.27</v>
      </c>
      <c r="J5662" s="58" t="inlineStr">
        <is>
          <t>Online</t>
        </is>
      </c>
      <c r="K5662" s="62">
        <f>F5662*(G5662-H5662)</f>
        <v/>
      </c>
      <c r="L5662" s="62">
        <f>K5662-(F5662*I5662)</f>
        <v/>
      </c>
      <c r="M5662" s="64">
        <f>L5662/K5662</f>
        <v/>
      </c>
    </row>
    <row r="5663">
      <c r="A5663" s="58" t="inlineStr">
        <is>
          <t>RT20250525-05662</t>
        </is>
      </c>
      <c r="B5663" s="59" t="inlineStr">
        <is>
          <t>2025-05-25</t>
        </is>
      </c>
      <c r="C5663" s="60" t="inlineStr">
        <is>
          <t>Aurora Smartphone Plus-125</t>
        </is>
      </c>
      <c r="D5663" s="58" t="inlineStr">
        <is>
          <t>Electronics</t>
        </is>
      </c>
      <c r="E5663" s="58" t="inlineStr">
        <is>
          <t>West</t>
        </is>
      </c>
      <c r="F5663" s="61" t="n">
        <v>1</v>
      </c>
      <c r="G5663" s="62" t="n">
        <v>1644.73</v>
      </c>
      <c r="H5663" s="63" t="n">
        <v>0.066</v>
      </c>
      <c r="I5663" s="62" t="n">
        <v>1202.58</v>
      </c>
      <c r="J5663" s="58" t="inlineStr">
        <is>
          <t>Store</t>
        </is>
      </c>
      <c r="K5663" s="62">
        <f>F5663*(G5663-H5663)</f>
        <v/>
      </c>
      <c r="L5663" s="62">
        <f>K5663-(F5663*I5663)</f>
        <v/>
      </c>
      <c r="M5663" s="64">
        <f>L5663/K5663</f>
        <v/>
      </c>
    </row>
    <row r="5664">
      <c r="A5664" s="58" t="inlineStr">
        <is>
          <t>RT20250525-05663</t>
        </is>
      </c>
      <c r="B5664" s="59" t="inlineStr">
        <is>
          <t>2025-05-25</t>
        </is>
      </c>
      <c r="C5664" s="60" t="inlineStr">
        <is>
          <t>Falcon Storage X-734</t>
        </is>
      </c>
      <c r="D5664" s="58" t="inlineStr">
        <is>
          <t>Office</t>
        </is>
      </c>
      <c r="E5664" s="58" t="inlineStr">
        <is>
          <t>East</t>
        </is>
      </c>
      <c r="F5664" s="61" t="n">
        <v>2</v>
      </c>
      <c r="G5664" s="62" t="n">
        <v>332.16</v>
      </c>
      <c r="H5664" s="63" t="n">
        <v>0.062</v>
      </c>
      <c r="I5664" s="62" t="n">
        <v>290.58</v>
      </c>
      <c r="J5664" s="58" t="inlineStr">
        <is>
          <t>Online</t>
        </is>
      </c>
      <c r="K5664" s="62">
        <f>F5664*(G5664-H5664)</f>
        <v/>
      </c>
      <c r="L5664" s="62">
        <f>K5664-(F5664*I5664)</f>
        <v/>
      </c>
      <c r="M5664" s="64">
        <f>L5664/K5664</f>
        <v/>
      </c>
    </row>
    <row r="5665">
      <c r="A5665" s="58" t="inlineStr">
        <is>
          <t>RT20250525-05664</t>
        </is>
      </c>
      <c r="B5665" s="59" t="inlineStr">
        <is>
          <t>2025-05-25</t>
        </is>
      </c>
      <c r="C5665" s="60" t="inlineStr">
        <is>
          <t>Orion Kitchen Pro-568</t>
        </is>
      </c>
      <c r="D5665" s="58" t="inlineStr">
        <is>
          <t>Home</t>
        </is>
      </c>
      <c r="E5665" s="58" t="inlineStr">
        <is>
          <t>Central</t>
        </is>
      </c>
      <c r="F5665" s="61" t="n">
        <v>1</v>
      </c>
      <c r="G5665" s="62" t="n">
        <v>447.8</v>
      </c>
      <c r="H5665" s="63" t="n">
        <v>0.091</v>
      </c>
      <c r="I5665" s="62" t="n">
        <v>300.94</v>
      </c>
      <c r="J5665" s="58" t="inlineStr">
        <is>
          <t>Store</t>
        </is>
      </c>
      <c r="K5665" s="62">
        <f>F5665*(G5665-H5665)</f>
        <v/>
      </c>
      <c r="L5665" s="62">
        <f>K5665-(F5665*I5665)</f>
        <v/>
      </c>
      <c r="M5665" s="64">
        <f>L5665/K5665</f>
        <v/>
      </c>
    </row>
    <row r="5666">
      <c r="A5666" s="58" t="inlineStr">
        <is>
          <t>RT20250525-05665</t>
        </is>
      </c>
      <c r="B5666" s="59" t="inlineStr">
        <is>
          <t>2025-05-25</t>
        </is>
      </c>
      <c r="C5666" s="60" t="inlineStr">
        <is>
          <t>Nimbus Men Plus-231</t>
        </is>
      </c>
      <c r="D5666" s="58" t="inlineStr">
        <is>
          <t>Apparel</t>
        </is>
      </c>
      <c r="E5666" s="58" t="inlineStr">
        <is>
          <t>North</t>
        </is>
      </c>
      <c r="F5666" s="61" t="n">
        <v>4</v>
      </c>
      <c r="G5666" s="62" t="n">
        <v>165.06</v>
      </c>
      <c r="H5666" s="63" t="n">
        <v>0.054</v>
      </c>
      <c r="I5666" s="62" t="n">
        <v>90.2</v>
      </c>
      <c r="J5666" s="58" t="inlineStr">
        <is>
          <t>Online</t>
        </is>
      </c>
      <c r="K5666" s="62">
        <f>F5666*(G5666-H5666)</f>
        <v/>
      </c>
      <c r="L5666" s="62">
        <f>K5666-(F5666*I5666)</f>
        <v/>
      </c>
      <c r="M5666" s="64">
        <f>L5666/K5666</f>
        <v/>
      </c>
    </row>
    <row r="5667">
      <c r="A5667" s="58" t="inlineStr">
        <is>
          <t>RT20250525-05666</t>
        </is>
      </c>
      <c r="B5667" s="59" t="inlineStr">
        <is>
          <t>2025-05-25</t>
        </is>
      </c>
      <c r="C5667" s="60" t="inlineStr">
        <is>
          <t>Aurora Wearable Lite-704</t>
        </is>
      </c>
      <c r="D5667" s="58" t="inlineStr">
        <is>
          <t>Electronics</t>
        </is>
      </c>
      <c r="E5667" s="58" t="inlineStr">
        <is>
          <t>East</t>
        </is>
      </c>
      <c r="F5667" s="61" t="n">
        <v>2</v>
      </c>
      <c r="G5667" s="62" t="n">
        <v>1851.07</v>
      </c>
      <c r="H5667" s="63" t="n">
        <v>0.041</v>
      </c>
      <c r="I5667" s="62" t="n">
        <v>1477.72</v>
      </c>
      <c r="J5667" s="58" t="inlineStr">
        <is>
          <t>Online</t>
        </is>
      </c>
      <c r="K5667" s="62">
        <f>F5667*(G5667-H5667)</f>
        <v/>
      </c>
      <c r="L5667" s="62">
        <f>K5667-(F5667*I5667)</f>
        <v/>
      </c>
      <c r="M5667" s="64">
        <f>L5667/K5667</f>
        <v/>
      </c>
    </row>
    <row r="5668">
      <c r="A5668" s="58" t="inlineStr">
        <is>
          <t>RT20250525-05667</t>
        </is>
      </c>
      <c r="B5668" s="59" t="inlineStr">
        <is>
          <t>2025-05-25</t>
        </is>
      </c>
      <c r="C5668" s="60" t="inlineStr">
        <is>
          <t>Nimbus Furniture Pro-479</t>
        </is>
      </c>
      <c r="D5668" s="58" t="inlineStr">
        <is>
          <t>Office</t>
        </is>
      </c>
      <c r="E5668" s="58" t="inlineStr">
        <is>
          <t>East</t>
        </is>
      </c>
      <c r="F5668" s="61" t="n">
        <v>1</v>
      </c>
      <c r="G5668" s="62" t="n">
        <v>346.64</v>
      </c>
      <c r="H5668" s="63" t="n">
        <v>0.077</v>
      </c>
      <c r="I5668" s="62" t="n">
        <v>243.3</v>
      </c>
      <c r="J5668" s="58" t="inlineStr">
        <is>
          <t>Online</t>
        </is>
      </c>
      <c r="K5668" s="62">
        <f>F5668*(G5668-H5668)</f>
        <v/>
      </c>
      <c r="L5668" s="62">
        <f>K5668-(F5668*I5668)</f>
        <v/>
      </c>
      <c r="M5668" s="64">
        <f>L5668/K5668</f>
        <v/>
      </c>
    </row>
    <row r="5669">
      <c r="A5669" s="58" t="inlineStr">
        <is>
          <t>RT20250525-05668</t>
        </is>
      </c>
      <c r="B5669" s="59" t="inlineStr">
        <is>
          <t>2025-05-25</t>
        </is>
      </c>
      <c r="C5669" s="60" t="inlineStr">
        <is>
          <t>Metro Accessorie Max-316</t>
        </is>
      </c>
      <c r="D5669" s="58" t="inlineStr">
        <is>
          <t>Apparel</t>
        </is>
      </c>
      <c r="E5669" s="58" t="inlineStr">
        <is>
          <t>East</t>
        </is>
      </c>
      <c r="F5669" s="61" t="n">
        <v>3</v>
      </c>
      <c r="G5669" s="62" t="n">
        <v>187.51</v>
      </c>
      <c r="H5669" s="63" t="n">
        <v>0.06</v>
      </c>
      <c r="I5669" s="62" t="n">
        <v>91.16</v>
      </c>
      <c r="J5669" s="58" t="inlineStr">
        <is>
          <t>Phone</t>
        </is>
      </c>
      <c r="K5669" s="62">
        <f>F5669*(G5669-H5669)</f>
        <v/>
      </c>
      <c r="L5669" s="62">
        <f>K5669-(F5669*I5669)</f>
        <v/>
      </c>
      <c r="M5669" s="64">
        <f>L5669/K5669</f>
        <v/>
      </c>
    </row>
    <row r="5670">
      <c r="A5670" s="58" t="inlineStr">
        <is>
          <t>RT20250525-05669</t>
        </is>
      </c>
      <c r="B5670" s="59" t="inlineStr">
        <is>
          <t>2025-05-25</t>
        </is>
      </c>
      <c r="C5670" s="60" t="inlineStr">
        <is>
          <t>Vertex Appliance Max-338</t>
        </is>
      </c>
      <c r="D5670" s="58" t="inlineStr">
        <is>
          <t>Home</t>
        </is>
      </c>
      <c r="E5670" s="58" t="inlineStr">
        <is>
          <t>West</t>
        </is>
      </c>
      <c r="F5670" s="61" t="n">
        <v>3</v>
      </c>
      <c r="G5670" s="62" t="n">
        <v>456.8</v>
      </c>
      <c r="H5670" s="63" t="n">
        <v>0.028</v>
      </c>
      <c r="I5670" s="62" t="n">
        <v>290.15</v>
      </c>
      <c r="J5670" s="58" t="inlineStr">
        <is>
          <t>Online</t>
        </is>
      </c>
      <c r="K5670" s="62">
        <f>F5670*(G5670-H5670)</f>
        <v/>
      </c>
      <c r="L5670" s="62">
        <f>K5670-(F5670*I5670)</f>
        <v/>
      </c>
      <c r="M5670" s="64">
        <f>L5670/K5670</f>
        <v/>
      </c>
    </row>
    <row r="5671">
      <c r="A5671" s="58" t="inlineStr">
        <is>
          <t>RT20250525-05670</t>
        </is>
      </c>
      <c r="B5671" s="59" t="inlineStr">
        <is>
          <t>2025-05-25</t>
        </is>
      </c>
      <c r="C5671" s="60" t="inlineStr">
        <is>
          <t>Aurora Appliance Lite-109</t>
        </is>
      </c>
      <c r="D5671" s="58" t="inlineStr">
        <is>
          <t>Home</t>
        </is>
      </c>
      <c r="E5671" s="58" t="inlineStr">
        <is>
          <t>South</t>
        </is>
      </c>
      <c r="F5671" s="61" t="n">
        <v>3</v>
      </c>
      <c r="G5671" s="62" t="n">
        <v>297.96</v>
      </c>
      <c r="H5671" s="63" t="n">
        <v>0.054</v>
      </c>
      <c r="I5671" s="62" t="n">
        <v>205.78</v>
      </c>
      <c r="J5671" s="58" t="inlineStr">
        <is>
          <t>Online</t>
        </is>
      </c>
      <c r="K5671" s="62">
        <f>F5671*(G5671-H5671)</f>
        <v/>
      </c>
      <c r="L5671" s="62">
        <f>K5671-(F5671*I5671)</f>
        <v/>
      </c>
      <c r="M5671" s="64">
        <f>L5671/K5671</f>
        <v/>
      </c>
    </row>
    <row r="5672">
      <c r="A5672" s="58" t="inlineStr">
        <is>
          <t>RT20250525-05671</t>
        </is>
      </c>
      <c r="B5672" s="59" t="inlineStr">
        <is>
          <t>2025-05-25</t>
        </is>
      </c>
      <c r="C5672" s="60" t="inlineStr">
        <is>
          <t>Aurora Wearable Lite-704</t>
        </is>
      </c>
      <c r="D5672" s="58" t="inlineStr">
        <is>
          <t>Electronics</t>
        </is>
      </c>
      <c r="E5672" s="58" t="inlineStr">
        <is>
          <t>South</t>
        </is>
      </c>
      <c r="F5672" s="61" t="n">
        <v>2</v>
      </c>
      <c r="G5672" s="62" t="n">
        <v>1934.07</v>
      </c>
      <c r="H5672" s="63" t="n">
        <v>0.035</v>
      </c>
      <c r="I5672" s="62" t="n">
        <v>1450.35</v>
      </c>
      <c r="J5672" s="58" t="inlineStr">
        <is>
          <t>Store</t>
        </is>
      </c>
      <c r="K5672" s="62">
        <f>F5672*(G5672-H5672)</f>
        <v/>
      </c>
      <c r="L5672" s="62">
        <f>K5672-(F5672*I5672)</f>
        <v/>
      </c>
      <c r="M5672" s="64">
        <f>L5672/K5672</f>
        <v/>
      </c>
    </row>
    <row r="5673">
      <c r="A5673" s="58" t="inlineStr">
        <is>
          <t>RT20250525-05672</t>
        </is>
      </c>
      <c r="B5673" s="59" t="inlineStr">
        <is>
          <t>2025-05-25</t>
        </is>
      </c>
      <c r="C5673" s="60" t="inlineStr">
        <is>
          <t>Orion Supplie S-612</t>
        </is>
      </c>
      <c r="D5673" s="58" t="inlineStr">
        <is>
          <t>Office</t>
        </is>
      </c>
      <c r="E5673" s="58" t="inlineStr">
        <is>
          <t>East</t>
        </is>
      </c>
      <c r="F5673" s="61" t="n">
        <v>3</v>
      </c>
      <c r="G5673" s="62" t="n">
        <v>488.99</v>
      </c>
      <c r="H5673" s="63" t="n">
        <v>0.011</v>
      </c>
      <c r="I5673" s="62" t="n">
        <v>328.78</v>
      </c>
      <c r="J5673" s="58" t="inlineStr">
        <is>
          <t>Online</t>
        </is>
      </c>
      <c r="K5673" s="62">
        <f>F5673*(G5673-H5673)</f>
        <v/>
      </c>
      <c r="L5673" s="62">
        <f>K5673-(F5673*I5673)</f>
        <v/>
      </c>
      <c r="M5673" s="64">
        <f>L5673/K5673</f>
        <v/>
      </c>
    </row>
    <row r="5674">
      <c r="A5674" s="58" t="inlineStr">
        <is>
          <t>RT20250525-05673</t>
        </is>
      </c>
      <c r="B5674" s="59" t="inlineStr">
        <is>
          <t>2025-05-25</t>
        </is>
      </c>
      <c r="C5674" s="60" t="inlineStr">
        <is>
          <t>Vertex Skincare Pro-891</t>
        </is>
      </c>
      <c r="D5674" s="58" t="inlineStr">
        <is>
          <t>Beauty</t>
        </is>
      </c>
      <c r="E5674" s="58" t="inlineStr">
        <is>
          <t>South</t>
        </is>
      </c>
      <c r="F5674" s="61" t="n">
        <v>2</v>
      </c>
      <c r="G5674" s="62" t="n">
        <v>156.38</v>
      </c>
      <c r="H5674" s="63" t="n">
        <v>0.053</v>
      </c>
      <c r="I5674" s="62" t="n">
        <v>86.98999999999999</v>
      </c>
      <c r="J5674" s="58" t="inlineStr">
        <is>
          <t>Online</t>
        </is>
      </c>
      <c r="K5674" s="62">
        <f>F5674*(G5674-H5674)</f>
        <v/>
      </c>
      <c r="L5674" s="62">
        <f>K5674-(F5674*I5674)</f>
        <v/>
      </c>
      <c r="M5674" s="64">
        <f>L5674/K5674</f>
        <v/>
      </c>
    </row>
    <row r="5675">
      <c r="A5675" s="58" t="inlineStr">
        <is>
          <t>RT20250525-05674</t>
        </is>
      </c>
      <c r="B5675" s="59" t="inlineStr">
        <is>
          <t>2025-05-25</t>
        </is>
      </c>
      <c r="C5675" s="60" t="inlineStr">
        <is>
          <t>Aurora Wearable Lite-704</t>
        </is>
      </c>
      <c r="D5675" s="58" t="inlineStr">
        <is>
          <t>Electronics</t>
        </is>
      </c>
      <c r="E5675" s="58" t="inlineStr">
        <is>
          <t>West</t>
        </is>
      </c>
      <c r="F5675" s="61" t="n">
        <v>2</v>
      </c>
      <c r="G5675" s="62" t="n">
        <v>1833.28</v>
      </c>
      <c r="H5675" s="63" t="n">
        <v>0.055</v>
      </c>
      <c r="I5675" s="62" t="n">
        <v>1425.42</v>
      </c>
      <c r="J5675" s="58" t="inlineStr">
        <is>
          <t>Online</t>
        </is>
      </c>
      <c r="K5675" s="62">
        <f>F5675*(G5675-H5675)</f>
        <v/>
      </c>
      <c r="L5675" s="62">
        <f>K5675-(F5675*I5675)</f>
        <v/>
      </c>
      <c r="M5675" s="64">
        <f>L5675/K5675</f>
        <v/>
      </c>
    </row>
    <row r="5676">
      <c r="A5676" s="58" t="inlineStr">
        <is>
          <t>RT20250525-05675</t>
        </is>
      </c>
      <c r="B5676" s="59" t="inlineStr">
        <is>
          <t>2025-05-25</t>
        </is>
      </c>
      <c r="C5676" s="60" t="inlineStr">
        <is>
          <t>Polar Supplie Lite-348</t>
        </is>
      </c>
      <c r="D5676" s="58" t="inlineStr">
        <is>
          <t>Office</t>
        </is>
      </c>
      <c r="E5676" s="58" t="inlineStr">
        <is>
          <t>South</t>
        </is>
      </c>
      <c r="F5676" s="61" t="n">
        <v>3</v>
      </c>
      <c r="G5676" s="62" t="n">
        <v>455.15</v>
      </c>
      <c r="H5676" s="63" t="n">
        <v>0.014</v>
      </c>
      <c r="I5676" s="62" t="n">
        <v>315.98</v>
      </c>
      <c r="J5676" s="58" t="inlineStr">
        <is>
          <t>Store</t>
        </is>
      </c>
      <c r="K5676" s="62">
        <f>F5676*(G5676-H5676)</f>
        <v/>
      </c>
      <c r="L5676" s="62">
        <f>K5676-(F5676*I5676)</f>
        <v/>
      </c>
      <c r="M5676" s="64">
        <f>L5676/K5676</f>
        <v/>
      </c>
    </row>
    <row r="5677">
      <c r="A5677" s="58" t="inlineStr">
        <is>
          <t>RT20250525-05676</t>
        </is>
      </c>
      <c r="B5677" s="59" t="inlineStr">
        <is>
          <t>2025-05-25</t>
        </is>
      </c>
      <c r="C5677" s="60" t="inlineStr">
        <is>
          <t>Solace Kitchen X-919</t>
        </is>
      </c>
      <c r="D5677" s="58" t="inlineStr">
        <is>
          <t>Home</t>
        </is>
      </c>
      <c r="E5677" s="58" t="inlineStr">
        <is>
          <t>East</t>
        </is>
      </c>
      <c r="F5677" s="61" t="n">
        <v>3</v>
      </c>
      <c r="G5677" s="62" t="n">
        <v>348.28</v>
      </c>
      <c r="H5677" s="63" t="n">
        <v>0</v>
      </c>
      <c r="I5677" s="62" t="n">
        <v>261.43</v>
      </c>
      <c r="J5677" s="58" t="inlineStr">
        <is>
          <t>Online</t>
        </is>
      </c>
      <c r="K5677" s="62">
        <f>F5677*(G5677-H5677)</f>
        <v/>
      </c>
      <c r="L5677" s="62">
        <f>K5677-(F5677*I5677)</f>
        <v/>
      </c>
      <c r="M5677" s="64">
        <f>L5677/K5677</f>
        <v/>
      </c>
    </row>
    <row r="5678">
      <c r="A5678" s="58" t="inlineStr">
        <is>
          <t>RT20250525-05677</t>
        </is>
      </c>
      <c r="B5678" s="59" t="inlineStr">
        <is>
          <t>2025-05-25</t>
        </is>
      </c>
      <c r="C5678" s="60" t="inlineStr">
        <is>
          <t>Vertex Fitnes Pro-830</t>
        </is>
      </c>
      <c r="D5678" s="58" t="inlineStr">
        <is>
          <t>Sports</t>
        </is>
      </c>
      <c r="E5678" s="58" t="inlineStr">
        <is>
          <t>South</t>
        </is>
      </c>
      <c r="F5678" s="61" t="n">
        <v>3</v>
      </c>
      <c r="G5678" s="62" t="n">
        <v>763.27</v>
      </c>
      <c r="H5678" s="63" t="n">
        <v>0.001</v>
      </c>
      <c r="I5678" s="62" t="n">
        <v>484.28</v>
      </c>
      <c r="J5678" s="58" t="inlineStr">
        <is>
          <t>Store</t>
        </is>
      </c>
      <c r="K5678" s="62">
        <f>F5678*(G5678-H5678)</f>
        <v/>
      </c>
      <c r="L5678" s="62">
        <f>K5678-(F5678*I5678)</f>
        <v/>
      </c>
      <c r="M5678" s="64">
        <f>L5678/K5678</f>
        <v/>
      </c>
    </row>
    <row r="5679">
      <c r="A5679" s="58" t="inlineStr">
        <is>
          <t>RT20250525-05678</t>
        </is>
      </c>
      <c r="B5679" s="59" t="inlineStr">
        <is>
          <t>2025-05-25</t>
        </is>
      </c>
      <c r="C5679" s="60" t="inlineStr">
        <is>
          <t>Polar Supplie Lite-348</t>
        </is>
      </c>
      <c r="D5679" s="58" t="inlineStr">
        <is>
          <t>Office</t>
        </is>
      </c>
      <c r="E5679" s="58" t="inlineStr">
        <is>
          <t>East</t>
        </is>
      </c>
      <c r="F5679" s="61" t="n">
        <v>1</v>
      </c>
      <c r="G5679" s="62" t="n">
        <v>449.91</v>
      </c>
      <c r="H5679" s="63" t="n">
        <v>0.056</v>
      </c>
      <c r="I5679" s="62" t="n">
        <v>321.79</v>
      </c>
      <c r="J5679" s="58" t="inlineStr">
        <is>
          <t>Online</t>
        </is>
      </c>
      <c r="K5679" s="62">
        <f>F5679*(G5679-H5679)</f>
        <v/>
      </c>
      <c r="L5679" s="62">
        <f>K5679-(F5679*I5679)</f>
        <v/>
      </c>
      <c r="M5679" s="64">
        <f>L5679/K5679</f>
        <v/>
      </c>
    </row>
    <row r="5680">
      <c r="A5680" s="58" t="inlineStr">
        <is>
          <t>RT20250526-05679</t>
        </is>
      </c>
      <c r="B5680" s="59" t="inlineStr">
        <is>
          <t>2025-05-26</t>
        </is>
      </c>
      <c r="C5680" s="60" t="inlineStr">
        <is>
          <t>Falcon Furniture Plus-839</t>
        </is>
      </c>
      <c r="D5680" s="58" t="inlineStr">
        <is>
          <t>Office</t>
        </is>
      </c>
      <c r="E5680" s="58" t="inlineStr">
        <is>
          <t>East</t>
        </is>
      </c>
      <c r="F5680" s="61" t="n">
        <v>1</v>
      </c>
      <c r="G5680" s="62" t="n">
        <v>332.07</v>
      </c>
      <c r="H5680" s="63" t="n">
        <v>0.051</v>
      </c>
      <c r="I5680" s="62" t="n">
        <v>226.5</v>
      </c>
      <c r="J5680" s="58" t="inlineStr">
        <is>
          <t>Store</t>
        </is>
      </c>
      <c r="K5680" s="62">
        <f>F5680*(G5680-H5680)</f>
        <v/>
      </c>
      <c r="L5680" s="62">
        <f>K5680-(F5680*I5680)</f>
        <v/>
      </c>
      <c r="M5680" s="64">
        <f>L5680/K5680</f>
        <v/>
      </c>
    </row>
    <row r="5681">
      <c r="A5681" s="58" t="inlineStr">
        <is>
          <t>RT20250526-05680</t>
        </is>
      </c>
      <c r="B5681" s="59" t="inlineStr">
        <is>
          <t>2025-05-26</t>
        </is>
      </c>
      <c r="C5681" s="60" t="inlineStr">
        <is>
          <t>Polar Cycling X-649</t>
        </is>
      </c>
      <c r="D5681" s="58" t="inlineStr">
        <is>
          <t>Sports</t>
        </is>
      </c>
      <c r="E5681" s="58" t="inlineStr">
        <is>
          <t>North</t>
        </is>
      </c>
      <c r="F5681" s="61" t="n">
        <v>1</v>
      </c>
      <c r="G5681" s="62" t="n">
        <v>539.11</v>
      </c>
      <c r="H5681" s="63" t="n">
        <v>0.103</v>
      </c>
      <c r="I5681" s="62" t="n">
        <v>364.32</v>
      </c>
      <c r="J5681" s="58" t="inlineStr">
        <is>
          <t>Store</t>
        </is>
      </c>
      <c r="K5681" s="62">
        <f>F5681*(G5681-H5681)</f>
        <v/>
      </c>
      <c r="L5681" s="62">
        <f>K5681-(F5681*I5681)</f>
        <v/>
      </c>
      <c r="M5681" s="64">
        <f>L5681/K5681</f>
        <v/>
      </c>
    </row>
    <row r="5682">
      <c r="A5682" s="58" t="inlineStr">
        <is>
          <t>RT20250526-05681</t>
        </is>
      </c>
      <c r="B5682" s="59" t="inlineStr">
        <is>
          <t>2025-05-26</t>
        </is>
      </c>
      <c r="C5682" s="60" t="inlineStr">
        <is>
          <t>Polar Women S-662</t>
        </is>
      </c>
      <c r="D5682" s="58" t="inlineStr">
        <is>
          <t>Apparel</t>
        </is>
      </c>
      <c r="E5682" s="58" t="inlineStr">
        <is>
          <t>West</t>
        </is>
      </c>
      <c r="F5682" s="61" t="n">
        <v>2</v>
      </c>
      <c r="G5682" s="62" t="n">
        <v>190</v>
      </c>
      <c r="H5682" s="63" t="n">
        <v>0.065</v>
      </c>
      <c r="I5682" s="62" t="n">
        <v>96.56</v>
      </c>
      <c r="J5682" s="58" t="inlineStr">
        <is>
          <t>Store</t>
        </is>
      </c>
      <c r="K5682" s="62">
        <f>F5682*(G5682-H5682)</f>
        <v/>
      </c>
      <c r="L5682" s="62">
        <f>K5682-(F5682*I5682)</f>
        <v/>
      </c>
      <c r="M5682" s="64">
        <f>L5682/K5682</f>
        <v/>
      </c>
    </row>
    <row r="5683">
      <c r="A5683" s="58" t="inlineStr">
        <is>
          <t>RT20250526-05682</t>
        </is>
      </c>
      <c r="B5683" s="59" t="inlineStr">
        <is>
          <t>2025-05-26</t>
        </is>
      </c>
      <c r="C5683" s="60" t="inlineStr">
        <is>
          <t>Solace Kid S-384</t>
        </is>
      </c>
      <c r="D5683" s="58" t="inlineStr">
        <is>
          <t>Apparel</t>
        </is>
      </c>
      <c r="E5683" s="58" t="inlineStr">
        <is>
          <t>East</t>
        </is>
      </c>
      <c r="F5683" s="61" t="n">
        <v>1</v>
      </c>
      <c r="G5683" s="62" t="n">
        <v>106.82</v>
      </c>
      <c r="H5683" s="63" t="n">
        <v>0.1</v>
      </c>
      <c r="I5683" s="62" t="n">
        <v>62.97</v>
      </c>
      <c r="J5683" s="58" t="inlineStr">
        <is>
          <t>Online</t>
        </is>
      </c>
      <c r="K5683" s="62">
        <f>F5683*(G5683-H5683)</f>
        <v/>
      </c>
      <c r="L5683" s="62">
        <f>K5683-(F5683*I5683)</f>
        <v/>
      </c>
      <c r="M5683" s="64">
        <f>L5683/K5683</f>
        <v/>
      </c>
    </row>
    <row r="5684">
      <c r="A5684" s="58" t="inlineStr">
        <is>
          <t>RT20250526-05683</t>
        </is>
      </c>
      <c r="B5684" s="59" t="inlineStr">
        <is>
          <t>2025-05-26</t>
        </is>
      </c>
      <c r="C5684" s="60" t="inlineStr">
        <is>
          <t>Falcon Storage X-734</t>
        </is>
      </c>
      <c r="D5684" s="58" t="inlineStr">
        <is>
          <t>Office</t>
        </is>
      </c>
      <c r="E5684" s="58" t="inlineStr">
        <is>
          <t>North</t>
        </is>
      </c>
      <c r="F5684" s="61" t="n">
        <v>2</v>
      </c>
      <c r="G5684" s="62" t="n">
        <v>418.78</v>
      </c>
      <c r="H5684" s="63" t="n">
        <v>0.076</v>
      </c>
      <c r="I5684" s="62" t="n">
        <v>289.3</v>
      </c>
      <c r="J5684" s="58" t="inlineStr">
        <is>
          <t>Online</t>
        </is>
      </c>
      <c r="K5684" s="62">
        <f>F5684*(G5684-H5684)</f>
        <v/>
      </c>
      <c r="L5684" s="62">
        <f>K5684-(F5684*I5684)</f>
        <v/>
      </c>
      <c r="M5684" s="64">
        <f>L5684/K5684</f>
        <v/>
      </c>
    </row>
    <row r="5685">
      <c r="A5685" s="58" t="inlineStr">
        <is>
          <t>RT20250526-05684</t>
        </is>
      </c>
      <c r="B5685" s="59" t="inlineStr">
        <is>
          <t>2025-05-26</t>
        </is>
      </c>
      <c r="C5685" s="60" t="inlineStr">
        <is>
          <t>Falcon Skincare Max-151</t>
        </is>
      </c>
      <c r="D5685" s="58" t="inlineStr">
        <is>
          <t>Beauty</t>
        </is>
      </c>
      <c r="E5685" s="58" t="inlineStr">
        <is>
          <t>North</t>
        </is>
      </c>
      <c r="F5685" s="61" t="n">
        <v>3</v>
      </c>
      <c r="G5685" s="62" t="n">
        <v>88.04000000000001</v>
      </c>
      <c r="H5685" s="63" t="n">
        <v>0.044</v>
      </c>
      <c r="I5685" s="62" t="n">
        <v>57.78</v>
      </c>
      <c r="J5685" s="58" t="inlineStr">
        <is>
          <t>Online</t>
        </is>
      </c>
      <c r="K5685" s="62">
        <f>F5685*(G5685-H5685)</f>
        <v/>
      </c>
      <c r="L5685" s="62">
        <f>K5685-(F5685*I5685)</f>
        <v/>
      </c>
      <c r="M5685" s="64">
        <f>L5685/K5685</f>
        <v/>
      </c>
    </row>
    <row r="5686">
      <c r="A5686" s="58" t="inlineStr">
        <is>
          <t>RT20250526-05685</t>
        </is>
      </c>
      <c r="B5686" s="59" t="inlineStr">
        <is>
          <t>2025-05-26</t>
        </is>
      </c>
      <c r="C5686" s="60" t="inlineStr">
        <is>
          <t>Nimbus Furniture Pro-479</t>
        </is>
      </c>
      <c r="D5686" s="58" t="inlineStr">
        <is>
          <t>Office</t>
        </is>
      </c>
      <c r="E5686" s="58" t="inlineStr">
        <is>
          <t>Central</t>
        </is>
      </c>
      <c r="F5686" s="61" t="n">
        <v>2</v>
      </c>
      <c r="G5686" s="62" t="n">
        <v>314.01</v>
      </c>
      <c r="H5686" s="63" t="n">
        <v>0.03</v>
      </c>
      <c r="I5686" s="62" t="n">
        <v>233.08</v>
      </c>
      <c r="J5686" s="58" t="inlineStr">
        <is>
          <t>Online</t>
        </is>
      </c>
      <c r="K5686" s="62">
        <f>F5686*(G5686-H5686)</f>
        <v/>
      </c>
      <c r="L5686" s="62">
        <f>K5686-(F5686*I5686)</f>
        <v/>
      </c>
      <c r="M5686" s="64">
        <f>L5686/K5686</f>
        <v/>
      </c>
    </row>
    <row r="5687">
      <c r="A5687" s="58" t="inlineStr">
        <is>
          <t>RT20250526-05686</t>
        </is>
      </c>
      <c r="B5687" s="59" t="inlineStr">
        <is>
          <t>2025-05-26</t>
        </is>
      </c>
      <c r="C5687" s="60" t="inlineStr">
        <is>
          <t>Orion Snack X-322</t>
        </is>
      </c>
      <c r="D5687" s="58" t="inlineStr">
        <is>
          <t>Grocery</t>
        </is>
      </c>
      <c r="E5687" s="58" t="inlineStr">
        <is>
          <t>South</t>
        </is>
      </c>
      <c r="F5687" s="61" t="n">
        <v>5</v>
      </c>
      <c r="G5687" s="62" t="n">
        <v>13.58</v>
      </c>
      <c r="H5687" s="63" t="n">
        <v>0.016</v>
      </c>
      <c r="I5687" s="62" t="n">
        <v>10.03</v>
      </c>
      <c r="J5687" s="58" t="inlineStr">
        <is>
          <t>Online</t>
        </is>
      </c>
      <c r="K5687" s="62">
        <f>F5687*(G5687-H5687)</f>
        <v/>
      </c>
      <c r="L5687" s="62">
        <f>K5687-(F5687*I5687)</f>
        <v/>
      </c>
      <c r="M5687" s="64">
        <f>L5687/K5687</f>
        <v/>
      </c>
    </row>
    <row r="5688">
      <c r="A5688" s="58" t="inlineStr">
        <is>
          <t>RT20250526-05687</t>
        </is>
      </c>
      <c r="B5688" s="59" t="inlineStr">
        <is>
          <t>2025-05-26</t>
        </is>
      </c>
      <c r="C5688" s="60" t="inlineStr">
        <is>
          <t>Aurora Bedding Plus-187</t>
        </is>
      </c>
      <c r="D5688" s="58" t="inlineStr">
        <is>
          <t>Home</t>
        </is>
      </c>
      <c r="E5688" s="58" t="inlineStr">
        <is>
          <t>South</t>
        </is>
      </c>
      <c r="F5688" s="61" t="n">
        <v>1</v>
      </c>
      <c r="G5688" s="62" t="n">
        <v>331.47</v>
      </c>
      <c r="H5688" s="63" t="n">
        <v>0.044</v>
      </c>
      <c r="I5688" s="62" t="n">
        <v>204.65</v>
      </c>
      <c r="J5688" s="58" t="inlineStr">
        <is>
          <t>Online</t>
        </is>
      </c>
      <c r="K5688" s="62">
        <f>F5688*(G5688-H5688)</f>
        <v/>
      </c>
      <c r="L5688" s="62">
        <f>K5688-(F5688*I5688)</f>
        <v/>
      </c>
      <c r="M5688" s="64">
        <f>L5688/K5688</f>
        <v/>
      </c>
    </row>
    <row r="5689">
      <c r="A5689" s="58" t="inlineStr">
        <is>
          <t>RT20250526-05688</t>
        </is>
      </c>
      <c r="B5689" s="59" t="inlineStr">
        <is>
          <t>2025-05-26</t>
        </is>
      </c>
      <c r="C5689" s="60" t="inlineStr">
        <is>
          <t>Vertex Appliance Max-338</t>
        </is>
      </c>
      <c r="D5689" s="58" t="inlineStr">
        <is>
          <t>Home</t>
        </is>
      </c>
      <c r="E5689" s="58" t="inlineStr">
        <is>
          <t>West</t>
        </is>
      </c>
      <c r="F5689" s="61" t="n">
        <v>3</v>
      </c>
      <c r="G5689" s="62" t="n">
        <v>402.19</v>
      </c>
      <c r="H5689" s="63" t="n">
        <v>0.079</v>
      </c>
      <c r="I5689" s="62" t="n">
        <v>283.42</v>
      </c>
      <c r="J5689" s="58" t="inlineStr">
        <is>
          <t>Online</t>
        </is>
      </c>
      <c r="K5689" s="62">
        <f>F5689*(G5689-H5689)</f>
        <v/>
      </c>
      <c r="L5689" s="62">
        <f>K5689-(F5689*I5689)</f>
        <v/>
      </c>
      <c r="M5689" s="64">
        <f>L5689/K5689</f>
        <v/>
      </c>
    </row>
    <row r="5690">
      <c r="A5690" s="58" t="inlineStr">
        <is>
          <t>RT20250526-05689</t>
        </is>
      </c>
      <c r="B5690" s="59" t="inlineStr">
        <is>
          <t>2025-05-26</t>
        </is>
      </c>
      <c r="C5690" s="60" t="inlineStr">
        <is>
          <t>Solace Kitchen Pro-999</t>
        </is>
      </c>
      <c r="D5690" s="58" t="inlineStr">
        <is>
          <t>Home</t>
        </is>
      </c>
      <c r="E5690" s="58" t="inlineStr">
        <is>
          <t>North</t>
        </is>
      </c>
      <c r="F5690" s="61" t="n">
        <v>3</v>
      </c>
      <c r="G5690" s="62" t="n">
        <v>433.89</v>
      </c>
      <c r="H5690" s="63" t="n">
        <v>0.029</v>
      </c>
      <c r="I5690" s="62" t="n">
        <v>269.68</v>
      </c>
      <c r="J5690" s="58" t="inlineStr">
        <is>
          <t>Store</t>
        </is>
      </c>
      <c r="K5690" s="62">
        <f>F5690*(G5690-H5690)</f>
        <v/>
      </c>
      <c r="L5690" s="62">
        <f>K5690-(F5690*I5690)</f>
        <v/>
      </c>
      <c r="M5690" s="64">
        <f>L5690/K5690</f>
        <v/>
      </c>
    </row>
    <row r="5691">
      <c r="A5691" s="58" t="inlineStr">
        <is>
          <t>RT20250526-05690</t>
        </is>
      </c>
      <c r="B5691" s="59" t="inlineStr">
        <is>
          <t>2025-05-26</t>
        </is>
      </c>
      <c r="C5691" s="60" t="inlineStr">
        <is>
          <t>Aurora Household Plus-146</t>
        </is>
      </c>
      <c r="D5691" s="58" t="inlineStr">
        <is>
          <t>Grocery</t>
        </is>
      </c>
      <c r="E5691" s="58" t="inlineStr">
        <is>
          <t>North</t>
        </is>
      </c>
      <c r="F5691" s="61" t="n">
        <v>5</v>
      </c>
      <c r="G5691" s="62" t="n">
        <v>5.02</v>
      </c>
      <c r="H5691" s="63" t="n">
        <v>0.067</v>
      </c>
      <c r="I5691" s="62" t="n">
        <v>4.55</v>
      </c>
      <c r="J5691" s="58" t="inlineStr">
        <is>
          <t>Store</t>
        </is>
      </c>
      <c r="K5691" s="62">
        <f>F5691*(G5691-H5691)</f>
        <v/>
      </c>
      <c r="L5691" s="62">
        <f>K5691-(F5691*I5691)</f>
        <v/>
      </c>
      <c r="M5691" s="64">
        <f>L5691/K5691</f>
        <v/>
      </c>
    </row>
    <row r="5692">
      <c r="A5692" s="58" t="inlineStr">
        <is>
          <t>RT20250526-05691</t>
        </is>
      </c>
      <c r="B5692" s="59" t="inlineStr">
        <is>
          <t>2025-05-26</t>
        </is>
      </c>
      <c r="C5692" s="60" t="inlineStr">
        <is>
          <t>Falcon Headphone Plus-789</t>
        </is>
      </c>
      <c r="D5692" s="58" t="inlineStr">
        <is>
          <t>Electronics</t>
        </is>
      </c>
      <c r="E5692" s="58" t="inlineStr">
        <is>
          <t>Central</t>
        </is>
      </c>
      <c r="F5692" s="61" t="n">
        <v>1</v>
      </c>
      <c r="G5692" s="62" t="n">
        <v>1823.24</v>
      </c>
      <c r="H5692" s="63" t="n">
        <v>0.08400000000000001</v>
      </c>
      <c r="I5692" s="62" t="n">
        <v>1299.07</v>
      </c>
      <c r="J5692" s="58" t="inlineStr">
        <is>
          <t>Store</t>
        </is>
      </c>
      <c r="K5692" s="62">
        <f>F5692*(G5692-H5692)</f>
        <v/>
      </c>
      <c r="L5692" s="62">
        <f>K5692-(F5692*I5692)</f>
        <v/>
      </c>
      <c r="M5692" s="64">
        <f>L5692/K5692</f>
        <v/>
      </c>
    </row>
    <row r="5693">
      <c r="A5693" s="58" t="inlineStr">
        <is>
          <t>RT20250526-05692</t>
        </is>
      </c>
      <c r="B5693" s="59" t="inlineStr">
        <is>
          <t>2025-05-26</t>
        </is>
      </c>
      <c r="C5693" s="60" t="inlineStr">
        <is>
          <t>Nimbus Women Plus-352</t>
        </is>
      </c>
      <c r="D5693" s="58" t="inlineStr">
        <is>
          <t>Apparel</t>
        </is>
      </c>
      <c r="E5693" s="58" t="inlineStr">
        <is>
          <t>South</t>
        </is>
      </c>
      <c r="F5693" s="61" t="n">
        <v>3</v>
      </c>
      <c r="G5693" s="62" t="n">
        <v>58.92</v>
      </c>
      <c r="H5693" s="63" t="n">
        <v>0.008999999999999999</v>
      </c>
      <c r="I5693" s="62" t="n">
        <v>32.46</v>
      </c>
      <c r="J5693" s="58" t="inlineStr">
        <is>
          <t>Online</t>
        </is>
      </c>
      <c r="K5693" s="62">
        <f>F5693*(G5693-H5693)</f>
        <v/>
      </c>
      <c r="L5693" s="62">
        <f>K5693-(F5693*I5693)</f>
        <v/>
      </c>
      <c r="M5693" s="64">
        <f>L5693/K5693</f>
        <v/>
      </c>
    </row>
    <row r="5694">
      <c r="A5694" s="58" t="inlineStr">
        <is>
          <t>RT20250526-05693</t>
        </is>
      </c>
      <c r="B5694" s="59" t="inlineStr">
        <is>
          <t>2025-05-26</t>
        </is>
      </c>
      <c r="C5694" s="60" t="inlineStr">
        <is>
          <t>Vertex Snack S-702</t>
        </is>
      </c>
      <c r="D5694" s="58" t="inlineStr">
        <is>
          <t>Grocery</t>
        </is>
      </c>
      <c r="E5694" s="58" t="inlineStr">
        <is>
          <t>Central</t>
        </is>
      </c>
      <c r="F5694" s="61" t="n">
        <v>3</v>
      </c>
      <c r="G5694" s="62" t="n">
        <v>1.96</v>
      </c>
      <c r="H5694" s="63" t="n">
        <v>0.053</v>
      </c>
      <c r="I5694" s="62" t="n">
        <v>1.46</v>
      </c>
      <c r="J5694" s="58" t="inlineStr">
        <is>
          <t>Store</t>
        </is>
      </c>
      <c r="K5694" s="62">
        <f>F5694*(G5694-H5694)</f>
        <v/>
      </c>
      <c r="L5694" s="62">
        <f>K5694-(F5694*I5694)</f>
        <v/>
      </c>
      <c r="M5694" s="64">
        <f>L5694/K5694</f>
        <v/>
      </c>
    </row>
    <row r="5695">
      <c r="A5695" s="58" t="inlineStr">
        <is>
          <t>RT20250526-05694</t>
        </is>
      </c>
      <c r="B5695" s="59" t="inlineStr">
        <is>
          <t>2025-05-26</t>
        </is>
      </c>
      <c r="C5695" s="60" t="inlineStr">
        <is>
          <t>Solace Team Sport Max-548</t>
        </is>
      </c>
      <c r="D5695" s="58" t="inlineStr">
        <is>
          <t>Sports</t>
        </is>
      </c>
      <c r="E5695" s="58" t="inlineStr">
        <is>
          <t>East</t>
        </is>
      </c>
      <c r="F5695" s="61" t="n">
        <v>1</v>
      </c>
      <c r="G5695" s="62" t="n">
        <v>656.0599999999999</v>
      </c>
      <c r="H5695" s="63" t="n">
        <v>0.066</v>
      </c>
      <c r="I5695" s="62" t="n">
        <v>477.87</v>
      </c>
      <c r="J5695" s="58" t="inlineStr">
        <is>
          <t>Online</t>
        </is>
      </c>
      <c r="K5695" s="62">
        <f>F5695*(G5695-H5695)</f>
        <v/>
      </c>
      <c r="L5695" s="62">
        <f>K5695-(F5695*I5695)</f>
        <v/>
      </c>
      <c r="M5695" s="64">
        <f>L5695/K5695</f>
        <v/>
      </c>
    </row>
    <row r="5696">
      <c r="A5696" s="58" t="inlineStr">
        <is>
          <t>RT20250526-05695</t>
        </is>
      </c>
      <c r="B5696" s="59" t="inlineStr">
        <is>
          <t>2025-05-26</t>
        </is>
      </c>
      <c r="C5696" s="60" t="inlineStr">
        <is>
          <t>Falcon Accessorie S-195</t>
        </is>
      </c>
      <c r="D5696" s="58" t="inlineStr">
        <is>
          <t>Apparel</t>
        </is>
      </c>
      <c r="E5696" s="58" t="inlineStr">
        <is>
          <t>East</t>
        </is>
      </c>
      <c r="F5696" s="61" t="n">
        <v>2</v>
      </c>
      <c r="G5696" s="62" t="n">
        <v>79.97</v>
      </c>
      <c r="H5696" s="63" t="n">
        <v>0.08599999999999999</v>
      </c>
      <c r="I5696" s="62" t="n">
        <v>43.41</v>
      </c>
      <c r="J5696" s="58" t="inlineStr">
        <is>
          <t>Online</t>
        </is>
      </c>
      <c r="K5696" s="62">
        <f>F5696*(G5696-H5696)</f>
        <v/>
      </c>
      <c r="L5696" s="62">
        <f>K5696-(F5696*I5696)</f>
        <v/>
      </c>
      <c r="M5696" s="64">
        <f>L5696/K5696</f>
        <v/>
      </c>
    </row>
    <row r="5697">
      <c r="A5697" s="58" t="inlineStr">
        <is>
          <t>RT20250526-05696</t>
        </is>
      </c>
      <c r="B5697" s="59" t="inlineStr">
        <is>
          <t>2025-05-26</t>
        </is>
      </c>
      <c r="C5697" s="60" t="inlineStr">
        <is>
          <t>Solace Team Sport Max-548</t>
        </is>
      </c>
      <c r="D5697" s="58" t="inlineStr">
        <is>
          <t>Sports</t>
        </is>
      </c>
      <c r="E5697" s="58" t="inlineStr">
        <is>
          <t>South</t>
        </is>
      </c>
      <c r="F5697" s="61" t="n">
        <v>2</v>
      </c>
      <c r="G5697" s="62" t="n">
        <v>786.87</v>
      </c>
      <c r="H5697" s="63" t="n">
        <v>0.082</v>
      </c>
      <c r="I5697" s="62" t="n">
        <v>467.96</v>
      </c>
      <c r="J5697" s="58" t="inlineStr">
        <is>
          <t>Online</t>
        </is>
      </c>
      <c r="K5697" s="62">
        <f>F5697*(G5697-H5697)</f>
        <v/>
      </c>
      <c r="L5697" s="62">
        <f>K5697-(F5697*I5697)</f>
        <v/>
      </c>
      <c r="M5697" s="64">
        <f>L5697/K5697</f>
        <v/>
      </c>
    </row>
    <row r="5698">
      <c r="A5698" s="58" t="inlineStr">
        <is>
          <t>RT20250526-05697</t>
        </is>
      </c>
      <c r="B5698" s="59" t="inlineStr">
        <is>
          <t>2025-05-26</t>
        </is>
      </c>
      <c r="C5698" s="60" t="inlineStr">
        <is>
          <t>Polar Cycling X-649</t>
        </is>
      </c>
      <c r="D5698" s="58" t="inlineStr">
        <is>
          <t>Sports</t>
        </is>
      </c>
      <c r="E5698" s="58" t="inlineStr">
        <is>
          <t>South</t>
        </is>
      </c>
      <c r="F5698" s="61" t="n">
        <v>3</v>
      </c>
      <c r="G5698" s="62" t="n">
        <v>591.09</v>
      </c>
      <c r="H5698" s="63" t="n">
        <v>0.065</v>
      </c>
      <c r="I5698" s="62" t="n">
        <v>368.03</v>
      </c>
      <c r="J5698" s="58" t="inlineStr">
        <is>
          <t>Phone</t>
        </is>
      </c>
      <c r="K5698" s="62">
        <f>F5698*(G5698-H5698)</f>
        <v/>
      </c>
      <c r="L5698" s="62">
        <f>K5698-(F5698*I5698)</f>
        <v/>
      </c>
      <c r="M5698" s="64">
        <f>L5698/K5698</f>
        <v/>
      </c>
    </row>
    <row r="5699">
      <c r="A5699" s="58" t="inlineStr">
        <is>
          <t>RT20250526-05698</t>
        </is>
      </c>
      <c r="B5699" s="59" t="inlineStr">
        <is>
          <t>2025-05-26</t>
        </is>
      </c>
      <c r="C5699" s="60" t="inlineStr">
        <is>
          <t>Polar Cycling S-223</t>
        </is>
      </c>
      <c r="D5699" s="58" t="inlineStr">
        <is>
          <t>Sports</t>
        </is>
      </c>
      <c r="E5699" s="58" t="inlineStr">
        <is>
          <t>West</t>
        </is>
      </c>
      <c r="F5699" s="61" t="n">
        <v>2</v>
      </c>
      <c r="G5699" s="62" t="n">
        <v>1054.66</v>
      </c>
      <c r="H5699" s="63" t="n">
        <v>0.06</v>
      </c>
      <c r="I5699" s="62" t="n">
        <v>623.23</v>
      </c>
      <c r="J5699" s="58" t="inlineStr">
        <is>
          <t>Phone</t>
        </is>
      </c>
      <c r="K5699" s="62">
        <f>F5699*(G5699-H5699)</f>
        <v/>
      </c>
      <c r="L5699" s="62">
        <f>K5699-(F5699*I5699)</f>
        <v/>
      </c>
      <c r="M5699" s="64">
        <f>L5699/K5699</f>
        <v/>
      </c>
    </row>
    <row r="5700">
      <c r="A5700" s="58" t="inlineStr">
        <is>
          <t>RT20250526-05699</t>
        </is>
      </c>
      <c r="B5700" s="59" t="inlineStr">
        <is>
          <t>2025-05-26</t>
        </is>
      </c>
      <c r="C5700" s="60" t="inlineStr">
        <is>
          <t>Metro Decor Lite-325</t>
        </is>
      </c>
      <c r="D5700" s="58" t="inlineStr">
        <is>
          <t>Home</t>
        </is>
      </c>
      <c r="E5700" s="58" t="inlineStr">
        <is>
          <t>West</t>
        </is>
      </c>
      <c r="F5700" s="61" t="n">
        <v>3</v>
      </c>
      <c r="G5700" s="62" t="n">
        <v>582.39</v>
      </c>
      <c r="H5700" s="63" t="n">
        <v>0.08400000000000001</v>
      </c>
      <c r="I5700" s="62" t="n">
        <v>373.98</v>
      </c>
      <c r="J5700" s="58" t="inlineStr">
        <is>
          <t>Online</t>
        </is>
      </c>
      <c r="K5700" s="62">
        <f>F5700*(G5700-H5700)</f>
        <v/>
      </c>
      <c r="L5700" s="62">
        <f>K5700-(F5700*I5700)</f>
        <v/>
      </c>
      <c r="M5700" s="64">
        <f>L5700/K5700</f>
        <v/>
      </c>
    </row>
    <row r="5701">
      <c r="A5701" s="58" t="inlineStr">
        <is>
          <t>RT20250526-05700</t>
        </is>
      </c>
      <c r="B5701" s="59" t="inlineStr">
        <is>
          <t>2025-05-26</t>
        </is>
      </c>
      <c r="C5701" s="60" t="inlineStr">
        <is>
          <t>Nimbus Decor Lite-385</t>
        </is>
      </c>
      <c r="D5701" s="58" t="inlineStr">
        <is>
          <t>Home</t>
        </is>
      </c>
      <c r="E5701" s="58" t="inlineStr">
        <is>
          <t>West</t>
        </is>
      </c>
      <c r="F5701" s="61" t="n">
        <v>1</v>
      </c>
      <c r="G5701" s="62" t="n">
        <v>555.16</v>
      </c>
      <c r="H5701" s="63" t="n">
        <v>0.078</v>
      </c>
      <c r="I5701" s="62" t="n">
        <v>399.72</v>
      </c>
      <c r="J5701" s="58" t="inlineStr">
        <is>
          <t>Store</t>
        </is>
      </c>
      <c r="K5701" s="62">
        <f>F5701*(G5701-H5701)</f>
        <v/>
      </c>
      <c r="L5701" s="62">
        <f>K5701-(F5701*I5701)</f>
        <v/>
      </c>
      <c r="M5701" s="64">
        <f>L5701/K5701</f>
        <v/>
      </c>
    </row>
    <row r="5702">
      <c r="A5702" s="58" t="inlineStr">
        <is>
          <t>RT20250526-05701</t>
        </is>
      </c>
      <c r="B5702" s="59" t="inlineStr">
        <is>
          <t>2025-05-26</t>
        </is>
      </c>
      <c r="C5702" s="60" t="inlineStr">
        <is>
          <t>Vertex Supplie Pro-786</t>
        </is>
      </c>
      <c r="D5702" s="58" t="inlineStr">
        <is>
          <t>Office</t>
        </is>
      </c>
      <c r="E5702" s="58" t="inlineStr">
        <is>
          <t>Central</t>
        </is>
      </c>
      <c r="F5702" s="61" t="n">
        <v>2</v>
      </c>
      <c r="G5702" s="62" t="n">
        <v>484.56</v>
      </c>
      <c r="H5702" s="63" t="n">
        <v>0.033</v>
      </c>
      <c r="I5702" s="62" t="n">
        <v>293.07</v>
      </c>
      <c r="J5702" s="58" t="inlineStr">
        <is>
          <t>Online</t>
        </is>
      </c>
      <c r="K5702" s="62">
        <f>F5702*(G5702-H5702)</f>
        <v/>
      </c>
      <c r="L5702" s="62">
        <f>K5702-(F5702*I5702)</f>
        <v/>
      </c>
      <c r="M5702" s="64">
        <f>L5702/K5702</f>
        <v/>
      </c>
    </row>
    <row r="5703">
      <c r="A5703" s="58" t="inlineStr">
        <is>
          <t>RT20250526-05702</t>
        </is>
      </c>
      <c r="B5703" s="59" t="inlineStr">
        <is>
          <t>2025-05-26</t>
        </is>
      </c>
      <c r="C5703" s="60" t="inlineStr">
        <is>
          <t>Polar Decor X-935</t>
        </is>
      </c>
      <c r="D5703" s="58" t="inlineStr">
        <is>
          <t>Home</t>
        </is>
      </c>
      <c r="E5703" s="58" t="inlineStr">
        <is>
          <t>West</t>
        </is>
      </c>
      <c r="F5703" s="61" t="n">
        <v>2</v>
      </c>
      <c r="G5703" s="62" t="n">
        <v>322.71</v>
      </c>
      <c r="H5703" s="63" t="n">
        <v>0.079</v>
      </c>
      <c r="I5703" s="62" t="n">
        <v>200.54</v>
      </c>
      <c r="J5703" s="58" t="inlineStr">
        <is>
          <t>Phone</t>
        </is>
      </c>
      <c r="K5703" s="62">
        <f>F5703*(G5703-H5703)</f>
        <v/>
      </c>
      <c r="L5703" s="62">
        <f>K5703-(F5703*I5703)</f>
        <v/>
      </c>
      <c r="M5703" s="64">
        <f>L5703/K5703</f>
        <v/>
      </c>
    </row>
    <row r="5704">
      <c r="A5704" s="58" t="inlineStr">
        <is>
          <t>RT20250526-05703</t>
        </is>
      </c>
      <c r="B5704" s="59" t="inlineStr">
        <is>
          <t>2025-05-26</t>
        </is>
      </c>
      <c r="C5704" s="60" t="inlineStr">
        <is>
          <t>Aurora Outdoor Pro-467</t>
        </is>
      </c>
      <c r="D5704" s="58" t="inlineStr">
        <is>
          <t>Sports</t>
        </is>
      </c>
      <c r="E5704" s="58" t="inlineStr">
        <is>
          <t>East</t>
        </is>
      </c>
      <c r="F5704" s="61" t="n">
        <v>1</v>
      </c>
      <c r="G5704" s="62" t="n">
        <v>265.87</v>
      </c>
      <c r="H5704" s="63" t="n">
        <v>0.04</v>
      </c>
      <c r="I5704" s="62" t="n">
        <v>185.49</v>
      </c>
      <c r="J5704" s="58" t="inlineStr">
        <is>
          <t>Online</t>
        </is>
      </c>
      <c r="K5704" s="62">
        <f>F5704*(G5704-H5704)</f>
        <v/>
      </c>
      <c r="L5704" s="62">
        <f>K5704-(F5704*I5704)</f>
        <v/>
      </c>
      <c r="M5704" s="64">
        <f>L5704/K5704</f>
        <v/>
      </c>
    </row>
    <row r="5705">
      <c r="A5705" s="58" t="inlineStr">
        <is>
          <t>RT20250526-05704</t>
        </is>
      </c>
      <c r="B5705" s="59" t="inlineStr">
        <is>
          <t>2025-05-26</t>
        </is>
      </c>
      <c r="C5705" s="60" t="inlineStr">
        <is>
          <t>Polar Women Max-927</t>
        </is>
      </c>
      <c r="D5705" s="58" t="inlineStr">
        <is>
          <t>Apparel</t>
        </is>
      </c>
      <c r="E5705" s="58" t="inlineStr">
        <is>
          <t>South</t>
        </is>
      </c>
      <c r="F5705" s="61" t="n">
        <v>1</v>
      </c>
      <c r="G5705" s="62" t="n">
        <v>112.95</v>
      </c>
      <c r="H5705" s="63" t="n">
        <v>0.037</v>
      </c>
      <c r="I5705" s="62" t="n">
        <v>66.63</v>
      </c>
      <c r="J5705" s="58" t="inlineStr">
        <is>
          <t>Store</t>
        </is>
      </c>
      <c r="K5705" s="62">
        <f>F5705*(G5705-H5705)</f>
        <v/>
      </c>
      <c r="L5705" s="62">
        <f>K5705-(F5705*I5705)</f>
        <v/>
      </c>
      <c r="M5705" s="64">
        <f>L5705/K5705</f>
        <v/>
      </c>
    </row>
    <row r="5706">
      <c r="A5706" s="58" t="inlineStr">
        <is>
          <t>RT20250526-05705</t>
        </is>
      </c>
      <c r="B5706" s="59" t="inlineStr">
        <is>
          <t>2025-05-26</t>
        </is>
      </c>
      <c r="C5706" s="60" t="inlineStr">
        <is>
          <t>Polar Women S-662</t>
        </is>
      </c>
      <c r="D5706" s="58" t="inlineStr">
        <is>
          <t>Apparel</t>
        </is>
      </c>
      <c r="E5706" s="58" t="inlineStr">
        <is>
          <t>West</t>
        </is>
      </c>
      <c r="F5706" s="61" t="n">
        <v>3</v>
      </c>
      <c r="G5706" s="62" t="n">
        <v>189.62</v>
      </c>
      <c r="H5706" s="63" t="n">
        <v>0.059</v>
      </c>
      <c r="I5706" s="62" t="n">
        <v>98.17</v>
      </c>
      <c r="J5706" s="58" t="inlineStr">
        <is>
          <t>Online</t>
        </is>
      </c>
      <c r="K5706" s="62">
        <f>F5706*(G5706-H5706)</f>
        <v/>
      </c>
      <c r="L5706" s="62">
        <f>K5706-(F5706*I5706)</f>
        <v/>
      </c>
      <c r="M5706" s="64">
        <f>L5706/K5706</f>
        <v/>
      </c>
    </row>
    <row r="5707">
      <c r="A5707" s="58" t="inlineStr">
        <is>
          <t>RT20250526-05706</t>
        </is>
      </c>
      <c r="B5707" s="59" t="inlineStr">
        <is>
          <t>2025-05-26</t>
        </is>
      </c>
      <c r="C5707" s="60" t="inlineStr">
        <is>
          <t>Metro Pantry Max-180</t>
        </is>
      </c>
      <c r="D5707" s="58" t="inlineStr">
        <is>
          <t>Grocery</t>
        </is>
      </c>
      <c r="E5707" s="58" t="inlineStr">
        <is>
          <t>South</t>
        </is>
      </c>
      <c r="F5707" s="61" t="n">
        <v>5</v>
      </c>
      <c r="G5707" s="62" t="n">
        <v>8.65</v>
      </c>
      <c r="H5707" s="63" t="n">
        <v>0.061</v>
      </c>
      <c r="I5707" s="62" t="n">
        <v>6.68</v>
      </c>
      <c r="J5707" s="58" t="inlineStr">
        <is>
          <t>Store</t>
        </is>
      </c>
      <c r="K5707" s="62">
        <f>F5707*(G5707-H5707)</f>
        <v/>
      </c>
      <c r="L5707" s="62">
        <f>K5707-(F5707*I5707)</f>
        <v/>
      </c>
      <c r="M5707" s="64">
        <f>L5707/K5707</f>
        <v/>
      </c>
    </row>
    <row r="5708">
      <c r="A5708" s="58" t="inlineStr">
        <is>
          <t>RT20250526-05707</t>
        </is>
      </c>
      <c r="B5708" s="59" t="inlineStr">
        <is>
          <t>2025-05-26</t>
        </is>
      </c>
      <c r="C5708" s="60" t="inlineStr">
        <is>
          <t>Aurora Household Plus-146</t>
        </is>
      </c>
      <c r="D5708" s="58" t="inlineStr">
        <is>
          <t>Grocery</t>
        </is>
      </c>
      <c r="E5708" s="58" t="inlineStr">
        <is>
          <t>East</t>
        </is>
      </c>
      <c r="F5708" s="61" t="n">
        <v>8</v>
      </c>
      <c r="G5708" s="62" t="n">
        <v>6.02</v>
      </c>
      <c r="H5708" s="63" t="n">
        <v>0.093</v>
      </c>
      <c r="I5708" s="62" t="n">
        <v>4.65</v>
      </c>
      <c r="J5708" s="58" t="inlineStr">
        <is>
          <t>Store</t>
        </is>
      </c>
      <c r="K5708" s="62">
        <f>F5708*(G5708-H5708)</f>
        <v/>
      </c>
      <c r="L5708" s="62">
        <f>K5708-(F5708*I5708)</f>
        <v/>
      </c>
      <c r="M5708" s="64">
        <f>L5708/K5708</f>
        <v/>
      </c>
    </row>
    <row r="5709">
      <c r="A5709" s="58" t="inlineStr">
        <is>
          <t>RT20250527-05708</t>
        </is>
      </c>
      <c r="B5709" s="59" t="inlineStr">
        <is>
          <t>2025-05-27</t>
        </is>
      </c>
      <c r="C5709" s="60" t="inlineStr">
        <is>
          <t>Aurora Outdoor Pro-467</t>
        </is>
      </c>
      <c r="D5709" s="58" t="inlineStr">
        <is>
          <t>Sports</t>
        </is>
      </c>
      <c r="E5709" s="58" t="inlineStr">
        <is>
          <t>East</t>
        </is>
      </c>
      <c r="F5709" s="61" t="n">
        <v>2</v>
      </c>
      <c r="G5709" s="62" t="n">
        <v>259.77</v>
      </c>
      <c r="H5709" s="63" t="n">
        <v>0.06900000000000001</v>
      </c>
      <c r="I5709" s="62" t="n">
        <v>191.9</v>
      </c>
      <c r="J5709" s="58" t="inlineStr">
        <is>
          <t>Online</t>
        </is>
      </c>
      <c r="K5709" s="62">
        <f>F5709*(G5709-H5709)</f>
        <v/>
      </c>
      <c r="L5709" s="62">
        <f>K5709-(F5709*I5709)</f>
        <v/>
      </c>
      <c r="M5709" s="64">
        <f>L5709/K5709</f>
        <v/>
      </c>
    </row>
    <row r="5710">
      <c r="A5710" s="58" t="inlineStr">
        <is>
          <t>RT20250527-05709</t>
        </is>
      </c>
      <c r="B5710" s="59" t="inlineStr">
        <is>
          <t>2025-05-27</t>
        </is>
      </c>
      <c r="C5710" s="60" t="inlineStr">
        <is>
          <t>Solace Kitchen X-919</t>
        </is>
      </c>
      <c r="D5710" s="58" t="inlineStr">
        <is>
          <t>Home</t>
        </is>
      </c>
      <c r="E5710" s="58" t="inlineStr">
        <is>
          <t>East</t>
        </is>
      </c>
      <c r="F5710" s="61" t="n">
        <v>3</v>
      </c>
      <c r="G5710" s="62" t="n">
        <v>378.29</v>
      </c>
      <c r="H5710" s="63" t="n">
        <v>0.092</v>
      </c>
      <c r="I5710" s="62" t="n">
        <v>258.78</v>
      </c>
      <c r="J5710" s="58" t="inlineStr">
        <is>
          <t>Phone</t>
        </is>
      </c>
      <c r="K5710" s="62">
        <f>F5710*(G5710-H5710)</f>
        <v/>
      </c>
      <c r="L5710" s="62">
        <f>K5710-(F5710*I5710)</f>
        <v/>
      </c>
      <c r="M5710" s="64">
        <f>L5710/K5710</f>
        <v/>
      </c>
    </row>
    <row r="5711">
      <c r="A5711" s="58" t="inlineStr">
        <is>
          <t>RT20250527-05710</t>
        </is>
      </c>
      <c r="B5711" s="59" t="inlineStr">
        <is>
          <t>2025-05-27</t>
        </is>
      </c>
      <c r="C5711" s="60" t="inlineStr">
        <is>
          <t>Vertex Fitnes Pro-830</t>
        </is>
      </c>
      <c r="D5711" s="58" t="inlineStr">
        <is>
          <t>Sports</t>
        </is>
      </c>
      <c r="E5711" s="58" t="inlineStr">
        <is>
          <t>South</t>
        </is>
      </c>
      <c r="F5711" s="61" t="n">
        <v>2</v>
      </c>
      <c r="G5711" s="62" t="n">
        <v>743.98</v>
      </c>
      <c r="H5711" s="63" t="n">
        <v>0.045</v>
      </c>
      <c r="I5711" s="62" t="n">
        <v>488.4</v>
      </c>
      <c r="J5711" s="58" t="inlineStr">
        <is>
          <t>Online</t>
        </is>
      </c>
      <c r="K5711" s="62">
        <f>F5711*(G5711-H5711)</f>
        <v/>
      </c>
      <c r="L5711" s="62">
        <f>K5711-(F5711*I5711)</f>
        <v/>
      </c>
      <c r="M5711" s="64">
        <f>L5711/K5711</f>
        <v/>
      </c>
    </row>
    <row r="5712">
      <c r="A5712" s="58" t="inlineStr">
        <is>
          <t>RT20250527-05711</t>
        </is>
      </c>
      <c r="B5712" s="59" t="inlineStr">
        <is>
          <t>2025-05-27</t>
        </is>
      </c>
      <c r="C5712" s="60" t="inlineStr">
        <is>
          <t>Aurora Fragrance S-971</t>
        </is>
      </c>
      <c r="D5712" s="58" t="inlineStr">
        <is>
          <t>Beauty</t>
        </is>
      </c>
      <c r="E5712" s="58" t="inlineStr">
        <is>
          <t>North</t>
        </is>
      </c>
      <c r="F5712" s="61" t="n">
        <v>5</v>
      </c>
      <c r="G5712" s="62" t="n">
        <v>93.31</v>
      </c>
      <c r="H5712" s="63" t="n">
        <v>0.055</v>
      </c>
      <c r="I5712" s="62" t="n">
        <v>65.86</v>
      </c>
      <c r="J5712" s="58" t="inlineStr">
        <is>
          <t>Online</t>
        </is>
      </c>
      <c r="K5712" s="62">
        <f>F5712*(G5712-H5712)</f>
        <v/>
      </c>
      <c r="L5712" s="62">
        <f>K5712-(F5712*I5712)</f>
        <v/>
      </c>
      <c r="M5712" s="64">
        <f>L5712/K5712</f>
        <v/>
      </c>
    </row>
    <row r="5713">
      <c r="A5713" s="58" t="inlineStr">
        <is>
          <t>RT20250527-05712</t>
        </is>
      </c>
      <c r="B5713" s="59" t="inlineStr">
        <is>
          <t>2025-05-27</t>
        </is>
      </c>
      <c r="C5713" s="60" t="inlineStr">
        <is>
          <t>Falcon Storage X-734</t>
        </is>
      </c>
      <c r="D5713" s="58" t="inlineStr">
        <is>
          <t>Office</t>
        </is>
      </c>
      <c r="E5713" s="58" t="inlineStr">
        <is>
          <t>West</t>
        </is>
      </c>
      <c r="F5713" s="61" t="n">
        <v>3</v>
      </c>
      <c r="G5713" s="62" t="n">
        <v>461.29</v>
      </c>
      <c r="H5713" s="63" t="n">
        <v>0.125</v>
      </c>
      <c r="I5713" s="62" t="n">
        <v>284.28</v>
      </c>
      <c r="J5713" s="58" t="inlineStr">
        <is>
          <t>Online</t>
        </is>
      </c>
      <c r="K5713" s="62">
        <f>F5713*(G5713-H5713)</f>
        <v/>
      </c>
      <c r="L5713" s="62">
        <f>K5713-(F5713*I5713)</f>
        <v/>
      </c>
      <c r="M5713" s="64">
        <f>L5713/K5713</f>
        <v/>
      </c>
    </row>
    <row r="5714">
      <c r="A5714" s="58" t="inlineStr">
        <is>
          <t>RT20250527-05713</t>
        </is>
      </c>
      <c r="B5714" s="59" t="inlineStr">
        <is>
          <t>2025-05-27</t>
        </is>
      </c>
      <c r="C5714" s="60" t="inlineStr">
        <is>
          <t>Aurora Skincare Max-798</t>
        </is>
      </c>
      <c r="D5714" s="58" t="inlineStr">
        <is>
          <t>Beauty</t>
        </is>
      </c>
      <c r="E5714" s="58" t="inlineStr">
        <is>
          <t>Central</t>
        </is>
      </c>
      <c r="F5714" s="61" t="n">
        <v>2</v>
      </c>
      <c r="G5714" s="62" t="n">
        <v>108.85</v>
      </c>
      <c r="H5714" s="63" t="n">
        <v>0.007</v>
      </c>
      <c r="I5714" s="62" t="n">
        <v>66.45999999999999</v>
      </c>
      <c r="J5714" s="58" t="inlineStr">
        <is>
          <t>Store</t>
        </is>
      </c>
      <c r="K5714" s="62">
        <f>F5714*(G5714-H5714)</f>
        <v/>
      </c>
      <c r="L5714" s="62">
        <f>K5714-(F5714*I5714)</f>
        <v/>
      </c>
      <c r="M5714" s="64">
        <f>L5714/K5714</f>
        <v/>
      </c>
    </row>
    <row r="5715">
      <c r="A5715" s="58" t="inlineStr">
        <is>
          <t>RT20250527-05714</t>
        </is>
      </c>
      <c r="B5715" s="59" t="inlineStr">
        <is>
          <t>2025-05-27</t>
        </is>
      </c>
      <c r="C5715" s="60" t="inlineStr">
        <is>
          <t>Vertex Pantry Pro-165</t>
        </is>
      </c>
      <c r="D5715" s="58" t="inlineStr">
        <is>
          <t>Grocery</t>
        </is>
      </c>
      <c r="E5715" s="58" t="inlineStr">
        <is>
          <t>South</t>
        </is>
      </c>
      <c r="F5715" s="61" t="n">
        <v>6</v>
      </c>
      <c r="G5715" s="62" t="n">
        <v>16.36</v>
      </c>
      <c r="H5715" s="63" t="n">
        <v>0.051</v>
      </c>
      <c r="I5715" s="62" t="n">
        <v>11.8</v>
      </c>
      <c r="J5715" s="58" t="inlineStr">
        <is>
          <t>Phone</t>
        </is>
      </c>
      <c r="K5715" s="62">
        <f>F5715*(G5715-H5715)</f>
        <v/>
      </c>
      <c r="L5715" s="62">
        <f>K5715-(F5715*I5715)</f>
        <v/>
      </c>
      <c r="M5715" s="64">
        <f>L5715/K5715</f>
        <v/>
      </c>
    </row>
    <row r="5716">
      <c r="A5716" s="58" t="inlineStr">
        <is>
          <t>RT20250527-05715</t>
        </is>
      </c>
      <c r="B5716" s="59" t="inlineStr">
        <is>
          <t>2025-05-27</t>
        </is>
      </c>
      <c r="C5716" s="60" t="inlineStr">
        <is>
          <t>Metro Accessorie Lite-697</t>
        </is>
      </c>
      <c r="D5716" s="58" t="inlineStr">
        <is>
          <t>Apparel</t>
        </is>
      </c>
      <c r="E5716" s="58" t="inlineStr">
        <is>
          <t>East</t>
        </is>
      </c>
      <c r="F5716" s="61" t="n">
        <v>3</v>
      </c>
      <c r="G5716" s="62" t="n">
        <v>144.55</v>
      </c>
      <c r="H5716" s="63" t="n">
        <v>0.07099999999999999</v>
      </c>
      <c r="I5716" s="62" t="n">
        <v>76.81999999999999</v>
      </c>
      <c r="J5716" s="58" t="inlineStr">
        <is>
          <t>Store</t>
        </is>
      </c>
      <c r="K5716" s="62">
        <f>F5716*(G5716-H5716)</f>
        <v/>
      </c>
      <c r="L5716" s="62">
        <f>K5716-(F5716*I5716)</f>
        <v/>
      </c>
      <c r="M5716" s="64">
        <f>L5716/K5716</f>
        <v/>
      </c>
    </row>
    <row r="5717">
      <c r="A5717" s="58" t="inlineStr">
        <is>
          <t>RT20250527-05716</t>
        </is>
      </c>
      <c r="B5717" s="59" t="inlineStr">
        <is>
          <t>2025-05-27</t>
        </is>
      </c>
      <c r="C5717" s="60" t="inlineStr">
        <is>
          <t>Solace Kid S-384</t>
        </is>
      </c>
      <c r="D5717" s="58" t="inlineStr">
        <is>
          <t>Apparel</t>
        </is>
      </c>
      <c r="E5717" s="58" t="inlineStr">
        <is>
          <t>South</t>
        </is>
      </c>
      <c r="F5717" s="61" t="n">
        <v>2</v>
      </c>
      <c r="G5717" s="62" t="n">
        <v>99.52</v>
      </c>
      <c r="H5717" s="63" t="n">
        <v>0.055</v>
      </c>
      <c r="I5717" s="62" t="n">
        <v>62.01</v>
      </c>
      <c r="J5717" s="58" t="inlineStr">
        <is>
          <t>Online</t>
        </is>
      </c>
      <c r="K5717" s="62">
        <f>F5717*(G5717-H5717)</f>
        <v/>
      </c>
      <c r="L5717" s="62">
        <f>K5717-(F5717*I5717)</f>
        <v/>
      </c>
      <c r="M5717" s="64">
        <f>L5717/K5717</f>
        <v/>
      </c>
    </row>
    <row r="5718">
      <c r="A5718" s="58" t="inlineStr">
        <is>
          <t>RT20250527-05717</t>
        </is>
      </c>
      <c r="B5718" s="59" t="inlineStr">
        <is>
          <t>2025-05-27</t>
        </is>
      </c>
      <c r="C5718" s="60" t="inlineStr">
        <is>
          <t>Vertex Men X-995</t>
        </is>
      </c>
      <c r="D5718" s="58" t="inlineStr">
        <is>
          <t>Apparel</t>
        </is>
      </c>
      <c r="E5718" s="58" t="inlineStr">
        <is>
          <t>East</t>
        </is>
      </c>
      <c r="F5718" s="61" t="n">
        <v>3</v>
      </c>
      <c r="G5718" s="62" t="n">
        <v>98.16</v>
      </c>
      <c r="H5718" s="63" t="n">
        <v>0.064</v>
      </c>
      <c r="I5718" s="62" t="n">
        <v>58.08</v>
      </c>
      <c r="J5718" s="58" t="inlineStr">
        <is>
          <t>Store</t>
        </is>
      </c>
      <c r="K5718" s="62">
        <f>F5718*(G5718-H5718)</f>
        <v/>
      </c>
      <c r="L5718" s="62">
        <f>K5718-(F5718*I5718)</f>
        <v/>
      </c>
      <c r="M5718" s="64">
        <f>L5718/K5718</f>
        <v/>
      </c>
    </row>
    <row r="5719">
      <c r="A5719" s="58" t="inlineStr">
        <is>
          <t>RT20250527-05718</t>
        </is>
      </c>
      <c r="B5719" s="59" t="inlineStr">
        <is>
          <t>2025-05-27</t>
        </is>
      </c>
      <c r="C5719" s="60" t="inlineStr">
        <is>
          <t>Falcon Haircare Pro-980</t>
        </is>
      </c>
      <c r="D5719" s="58" t="inlineStr">
        <is>
          <t>Beauty</t>
        </is>
      </c>
      <c r="E5719" s="58" t="inlineStr">
        <is>
          <t>North</t>
        </is>
      </c>
      <c r="F5719" s="61" t="n">
        <v>3</v>
      </c>
      <c r="G5719" s="62" t="n">
        <v>89.5</v>
      </c>
      <c r="H5719" s="63" t="n">
        <v>0.082</v>
      </c>
      <c r="I5719" s="62" t="n">
        <v>58.36</v>
      </c>
      <c r="J5719" s="58" t="inlineStr">
        <is>
          <t>Online</t>
        </is>
      </c>
      <c r="K5719" s="62">
        <f>F5719*(G5719-H5719)</f>
        <v/>
      </c>
      <c r="L5719" s="62">
        <f>K5719-(F5719*I5719)</f>
        <v/>
      </c>
      <c r="M5719" s="64">
        <f>L5719/K5719</f>
        <v/>
      </c>
    </row>
    <row r="5720">
      <c r="A5720" s="58" t="inlineStr">
        <is>
          <t>RT20250527-05719</t>
        </is>
      </c>
      <c r="B5720" s="59" t="inlineStr">
        <is>
          <t>2025-05-27</t>
        </is>
      </c>
      <c r="C5720" s="60" t="inlineStr">
        <is>
          <t>Falcon Furniture Plus-839</t>
        </is>
      </c>
      <c r="D5720" s="58" t="inlineStr">
        <is>
          <t>Office</t>
        </is>
      </c>
      <c r="E5720" s="58" t="inlineStr">
        <is>
          <t>North</t>
        </is>
      </c>
      <c r="F5720" s="61" t="n">
        <v>2</v>
      </c>
      <c r="G5720" s="62" t="n">
        <v>319.31</v>
      </c>
      <c r="H5720" s="63" t="n">
        <v>0.103</v>
      </c>
      <c r="I5720" s="62" t="n">
        <v>232.54</v>
      </c>
      <c r="J5720" s="58" t="inlineStr">
        <is>
          <t>Online</t>
        </is>
      </c>
      <c r="K5720" s="62">
        <f>F5720*(G5720-H5720)</f>
        <v/>
      </c>
      <c r="L5720" s="62">
        <f>K5720-(F5720*I5720)</f>
        <v/>
      </c>
      <c r="M5720" s="64">
        <f>L5720/K5720</f>
        <v/>
      </c>
    </row>
    <row r="5721">
      <c r="A5721" s="58" t="inlineStr">
        <is>
          <t>RT20250527-05720</t>
        </is>
      </c>
      <c r="B5721" s="59" t="inlineStr">
        <is>
          <t>2025-05-27</t>
        </is>
      </c>
      <c r="C5721" s="60" t="inlineStr">
        <is>
          <t>Polar Decor X-935</t>
        </is>
      </c>
      <c r="D5721" s="58" t="inlineStr">
        <is>
          <t>Home</t>
        </is>
      </c>
      <c r="E5721" s="58" t="inlineStr">
        <is>
          <t>North</t>
        </is>
      </c>
      <c r="F5721" s="61" t="n">
        <v>2</v>
      </c>
      <c r="G5721" s="62" t="n">
        <v>298.57</v>
      </c>
      <c r="H5721" s="63" t="n">
        <v>0.06900000000000001</v>
      </c>
      <c r="I5721" s="62" t="n">
        <v>198.93</v>
      </c>
      <c r="J5721" s="58" t="inlineStr">
        <is>
          <t>Store</t>
        </is>
      </c>
      <c r="K5721" s="62">
        <f>F5721*(G5721-H5721)</f>
        <v/>
      </c>
      <c r="L5721" s="62">
        <f>K5721-(F5721*I5721)</f>
        <v/>
      </c>
      <c r="M5721" s="64">
        <f>L5721/K5721</f>
        <v/>
      </c>
    </row>
    <row r="5722">
      <c r="A5722" s="58" t="inlineStr">
        <is>
          <t>RT20250527-05721</t>
        </is>
      </c>
      <c r="B5722" s="59" t="inlineStr">
        <is>
          <t>2025-05-27</t>
        </is>
      </c>
      <c r="C5722" s="60" t="inlineStr">
        <is>
          <t>Falcon Storage X-734</t>
        </is>
      </c>
      <c r="D5722" s="58" t="inlineStr">
        <is>
          <t>Office</t>
        </is>
      </c>
      <c r="E5722" s="58" t="inlineStr">
        <is>
          <t>Central</t>
        </is>
      </c>
      <c r="F5722" s="61" t="n">
        <v>2</v>
      </c>
      <c r="G5722" s="62" t="n">
        <v>390.52</v>
      </c>
      <c r="H5722" s="63" t="n">
        <v>0.026</v>
      </c>
      <c r="I5722" s="62" t="n">
        <v>279.55</v>
      </c>
      <c r="J5722" s="58" t="inlineStr">
        <is>
          <t>Online</t>
        </is>
      </c>
      <c r="K5722" s="62">
        <f>F5722*(G5722-H5722)</f>
        <v/>
      </c>
      <c r="L5722" s="62">
        <f>K5722-(F5722*I5722)</f>
        <v/>
      </c>
      <c r="M5722" s="64">
        <f>L5722/K5722</f>
        <v/>
      </c>
    </row>
    <row r="5723">
      <c r="A5723" s="58" t="inlineStr">
        <is>
          <t>RT20250527-05722</t>
        </is>
      </c>
      <c r="B5723" s="59" t="inlineStr">
        <is>
          <t>2025-05-27</t>
        </is>
      </c>
      <c r="C5723" s="60" t="inlineStr">
        <is>
          <t>Falcon Beverage Max-702</t>
        </is>
      </c>
      <c r="D5723" s="58" t="inlineStr">
        <is>
          <t>Grocery</t>
        </is>
      </c>
      <c r="E5723" s="58" t="inlineStr">
        <is>
          <t>Central</t>
        </is>
      </c>
      <c r="F5723" s="61" t="n">
        <v>3</v>
      </c>
      <c r="G5723" s="62" t="n">
        <v>26.31</v>
      </c>
      <c r="H5723" s="63" t="n">
        <v>0.046</v>
      </c>
      <c r="I5723" s="62" t="n">
        <v>20.06</v>
      </c>
      <c r="J5723" s="58" t="inlineStr">
        <is>
          <t>Online</t>
        </is>
      </c>
      <c r="K5723" s="62">
        <f>F5723*(G5723-H5723)</f>
        <v/>
      </c>
      <c r="L5723" s="62">
        <f>K5723-(F5723*I5723)</f>
        <v/>
      </c>
      <c r="M5723" s="64">
        <f>L5723/K5723</f>
        <v/>
      </c>
    </row>
    <row r="5724">
      <c r="A5724" s="58" t="inlineStr">
        <is>
          <t>RT20250527-05723</t>
        </is>
      </c>
      <c r="B5724" s="59" t="inlineStr">
        <is>
          <t>2025-05-27</t>
        </is>
      </c>
      <c r="C5724" s="60" t="inlineStr">
        <is>
          <t>Orion Kid Max-864</t>
        </is>
      </c>
      <c r="D5724" s="58" t="inlineStr">
        <is>
          <t>Apparel</t>
        </is>
      </c>
      <c r="E5724" s="58" t="inlineStr">
        <is>
          <t>Central</t>
        </is>
      </c>
      <c r="F5724" s="61" t="n">
        <v>3</v>
      </c>
      <c r="G5724" s="62" t="n">
        <v>86.55</v>
      </c>
      <c r="H5724" s="63" t="n">
        <v>0.089</v>
      </c>
      <c r="I5724" s="62" t="n">
        <v>46.82</v>
      </c>
      <c r="J5724" s="58" t="inlineStr">
        <is>
          <t>Phone</t>
        </is>
      </c>
      <c r="K5724" s="62">
        <f>F5724*(G5724-H5724)</f>
        <v/>
      </c>
      <c r="L5724" s="62">
        <f>K5724-(F5724*I5724)</f>
        <v/>
      </c>
      <c r="M5724" s="64">
        <f>L5724/K5724</f>
        <v/>
      </c>
    </row>
    <row r="5725">
      <c r="A5725" s="58" t="inlineStr">
        <is>
          <t>RT20250527-05724</t>
        </is>
      </c>
      <c r="B5725" s="59" t="inlineStr">
        <is>
          <t>2025-05-27</t>
        </is>
      </c>
      <c r="C5725" s="60" t="inlineStr">
        <is>
          <t>Falcon Team Sport Lite-268</t>
        </is>
      </c>
      <c r="D5725" s="58" t="inlineStr">
        <is>
          <t>Sports</t>
        </is>
      </c>
      <c r="E5725" s="58" t="inlineStr">
        <is>
          <t>East</t>
        </is>
      </c>
      <c r="F5725" s="61" t="n">
        <v>2</v>
      </c>
      <c r="G5725" s="62" t="n">
        <v>720.83</v>
      </c>
      <c r="H5725" s="63" t="n">
        <v>0.083</v>
      </c>
      <c r="I5725" s="62" t="n">
        <v>444</v>
      </c>
      <c r="J5725" s="58" t="inlineStr">
        <is>
          <t>Online</t>
        </is>
      </c>
      <c r="K5725" s="62">
        <f>F5725*(G5725-H5725)</f>
        <v/>
      </c>
      <c r="L5725" s="62">
        <f>K5725-(F5725*I5725)</f>
        <v/>
      </c>
      <c r="M5725" s="64">
        <f>L5725/K5725</f>
        <v/>
      </c>
    </row>
    <row r="5726">
      <c r="A5726" s="58" t="inlineStr">
        <is>
          <t>RT20250527-05725</t>
        </is>
      </c>
      <c r="B5726" s="59" t="inlineStr">
        <is>
          <t>2025-05-27</t>
        </is>
      </c>
      <c r="C5726" s="60" t="inlineStr">
        <is>
          <t>Orion Fragrance Lite-785</t>
        </is>
      </c>
      <c r="D5726" s="58" t="inlineStr">
        <is>
          <t>Beauty</t>
        </is>
      </c>
      <c r="E5726" s="58" t="inlineStr">
        <is>
          <t>Central</t>
        </is>
      </c>
      <c r="F5726" s="61" t="n">
        <v>5</v>
      </c>
      <c r="G5726" s="62" t="n">
        <v>46.11</v>
      </c>
      <c r="H5726" s="63" t="n">
        <v>0.059</v>
      </c>
      <c r="I5726" s="62" t="n">
        <v>27.76</v>
      </c>
      <c r="J5726" s="58" t="inlineStr">
        <is>
          <t>Store</t>
        </is>
      </c>
      <c r="K5726" s="62">
        <f>F5726*(G5726-H5726)</f>
        <v/>
      </c>
      <c r="L5726" s="62">
        <f>K5726-(F5726*I5726)</f>
        <v/>
      </c>
      <c r="M5726" s="64">
        <f>L5726/K5726</f>
        <v/>
      </c>
    </row>
    <row r="5727">
      <c r="A5727" s="58" t="inlineStr">
        <is>
          <t>RT20250527-05726</t>
        </is>
      </c>
      <c r="B5727" s="59" t="inlineStr">
        <is>
          <t>2025-05-27</t>
        </is>
      </c>
      <c r="C5727" s="60" t="inlineStr">
        <is>
          <t>Nimbus Women Plus-352</t>
        </is>
      </c>
      <c r="D5727" s="58" t="inlineStr">
        <is>
          <t>Apparel</t>
        </is>
      </c>
      <c r="E5727" s="58" t="inlineStr">
        <is>
          <t>South</t>
        </is>
      </c>
      <c r="F5727" s="61" t="n">
        <v>3</v>
      </c>
      <c r="G5727" s="62" t="n">
        <v>62.37</v>
      </c>
      <c r="H5727" s="63" t="n">
        <v>0.021</v>
      </c>
      <c r="I5727" s="62" t="n">
        <v>32.87</v>
      </c>
      <c r="J5727" s="58" t="inlineStr">
        <is>
          <t>Online</t>
        </is>
      </c>
      <c r="K5727" s="62">
        <f>F5727*(G5727-H5727)</f>
        <v/>
      </c>
      <c r="L5727" s="62">
        <f>K5727-(F5727*I5727)</f>
        <v/>
      </c>
      <c r="M5727" s="64">
        <f>L5727/K5727</f>
        <v/>
      </c>
    </row>
    <row r="5728">
      <c r="A5728" s="58" t="inlineStr">
        <is>
          <t>RT20250527-05727</t>
        </is>
      </c>
      <c r="B5728" s="59" t="inlineStr">
        <is>
          <t>2025-05-27</t>
        </is>
      </c>
      <c r="C5728" s="60" t="inlineStr">
        <is>
          <t>Nimbus Fitnes Lite-516</t>
        </is>
      </c>
      <c r="D5728" s="58" t="inlineStr">
        <is>
          <t>Sports</t>
        </is>
      </c>
      <c r="E5728" s="58" t="inlineStr">
        <is>
          <t>South</t>
        </is>
      </c>
      <c r="F5728" s="61" t="n">
        <v>1</v>
      </c>
      <c r="G5728" s="62" t="n">
        <v>643.84</v>
      </c>
      <c r="H5728" s="63" t="n">
        <v>0.097</v>
      </c>
      <c r="I5728" s="62" t="n">
        <v>463.35</v>
      </c>
      <c r="J5728" s="58" t="inlineStr">
        <is>
          <t>Store</t>
        </is>
      </c>
      <c r="K5728" s="62">
        <f>F5728*(G5728-H5728)</f>
        <v/>
      </c>
      <c r="L5728" s="62">
        <f>K5728-(F5728*I5728)</f>
        <v/>
      </c>
      <c r="M5728" s="64">
        <f>L5728/K5728</f>
        <v/>
      </c>
    </row>
    <row r="5729">
      <c r="A5729" s="58" t="inlineStr">
        <is>
          <t>RT20250527-05728</t>
        </is>
      </c>
      <c r="B5729" s="59" t="inlineStr">
        <is>
          <t>2025-05-27</t>
        </is>
      </c>
      <c r="C5729" s="60" t="inlineStr">
        <is>
          <t>Polar Decor X-935</t>
        </is>
      </c>
      <c r="D5729" s="58" t="inlineStr">
        <is>
          <t>Home</t>
        </is>
      </c>
      <c r="E5729" s="58" t="inlineStr">
        <is>
          <t>Central</t>
        </is>
      </c>
      <c r="F5729" s="61" t="n">
        <v>1</v>
      </c>
      <c r="G5729" s="62" t="n">
        <v>317.74</v>
      </c>
      <c r="H5729" s="63" t="n">
        <v>0.042</v>
      </c>
      <c r="I5729" s="62" t="n">
        <v>196.68</v>
      </c>
      <c r="J5729" s="58" t="inlineStr">
        <is>
          <t>Phone</t>
        </is>
      </c>
      <c r="K5729" s="62">
        <f>F5729*(G5729-H5729)</f>
        <v/>
      </c>
      <c r="L5729" s="62">
        <f>K5729-(F5729*I5729)</f>
        <v/>
      </c>
      <c r="M5729" s="64">
        <f>L5729/K5729</f>
        <v/>
      </c>
    </row>
    <row r="5730">
      <c r="A5730" s="58" t="inlineStr">
        <is>
          <t>RT20250527-05729</t>
        </is>
      </c>
      <c r="B5730" s="59" t="inlineStr">
        <is>
          <t>2025-05-27</t>
        </is>
      </c>
      <c r="C5730" s="60" t="inlineStr">
        <is>
          <t>Vertex Pantry Pro-165</t>
        </is>
      </c>
      <c r="D5730" s="58" t="inlineStr">
        <is>
          <t>Grocery</t>
        </is>
      </c>
      <c r="E5730" s="58" t="inlineStr">
        <is>
          <t>West</t>
        </is>
      </c>
      <c r="F5730" s="61" t="n">
        <v>6</v>
      </c>
      <c r="G5730" s="62" t="n">
        <v>15.01</v>
      </c>
      <c r="H5730" s="63" t="n">
        <v>0.063</v>
      </c>
      <c r="I5730" s="62" t="n">
        <v>11.83</v>
      </c>
      <c r="J5730" s="58" t="inlineStr">
        <is>
          <t>Online</t>
        </is>
      </c>
      <c r="K5730" s="62">
        <f>F5730*(G5730-H5730)</f>
        <v/>
      </c>
      <c r="L5730" s="62">
        <f>K5730-(F5730*I5730)</f>
        <v/>
      </c>
      <c r="M5730" s="64">
        <f>L5730/K5730</f>
        <v/>
      </c>
    </row>
    <row r="5731">
      <c r="A5731" s="58" t="inlineStr">
        <is>
          <t>RT20250527-05730</t>
        </is>
      </c>
      <c r="B5731" s="59" t="inlineStr">
        <is>
          <t>2025-05-27</t>
        </is>
      </c>
      <c r="C5731" s="60" t="inlineStr">
        <is>
          <t>Solace Headphone Pro-344</t>
        </is>
      </c>
      <c r="D5731" s="58" t="inlineStr">
        <is>
          <t>Electronics</t>
        </is>
      </c>
      <c r="E5731" s="58" t="inlineStr">
        <is>
          <t>East</t>
        </is>
      </c>
      <c r="F5731" s="61" t="n">
        <v>2</v>
      </c>
      <c r="G5731" s="62" t="n">
        <v>1332.79</v>
      </c>
      <c r="H5731" s="63" t="n">
        <v>0.07000000000000001</v>
      </c>
      <c r="I5731" s="62" t="n">
        <v>1061.17</v>
      </c>
      <c r="J5731" s="58" t="inlineStr">
        <is>
          <t>Phone</t>
        </is>
      </c>
      <c r="K5731" s="62">
        <f>F5731*(G5731-H5731)</f>
        <v/>
      </c>
      <c r="L5731" s="62">
        <f>K5731-(F5731*I5731)</f>
        <v/>
      </c>
      <c r="M5731" s="64">
        <f>L5731/K5731</f>
        <v/>
      </c>
    </row>
    <row r="5732">
      <c r="A5732" s="58" t="inlineStr">
        <is>
          <t>RT20250527-05731</t>
        </is>
      </c>
      <c r="B5732" s="59" t="inlineStr">
        <is>
          <t>2025-05-27</t>
        </is>
      </c>
      <c r="C5732" s="60" t="inlineStr">
        <is>
          <t>Orion Team Sport X-926</t>
        </is>
      </c>
      <c r="D5732" s="58" t="inlineStr">
        <is>
          <t>Sports</t>
        </is>
      </c>
      <c r="E5732" s="58" t="inlineStr">
        <is>
          <t>West</t>
        </is>
      </c>
      <c r="F5732" s="61" t="n">
        <v>3</v>
      </c>
      <c r="G5732" s="62" t="n">
        <v>306.54</v>
      </c>
      <c r="H5732" s="63" t="n">
        <v>0.07000000000000001</v>
      </c>
      <c r="I5732" s="62" t="n">
        <v>210.74</v>
      </c>
      <c r="J5732" s="58" t="inlineStr">
        <is>
          <t>Online</t>
        </is>
      </c>
      <c r="K5732" s="62">
        <f>F5732*(G5732-H5732)</f>
        <v/>
      </c>
      <c r="L5732" s="62">
        <f>K5732-(F5732*I5732)</f>
        <v/>
      </c>
      <c r="M5732" s="64">
        <f>L5732/K5732</f>
        <v/>
      </c>
    </row>
    <row r="5733">
      <c r="A5733" s="58" t="inlineStr">
        <is>
          <t>RT20250527-05732</t>
        </is>
      </c>
      <c r="B5733" s="59" t="inlineStr">
        <is>
          <t>2025-05-27</t>
        </is>
      </c>
      <c r="C5733" s="60" t="inlineStr">
        <is>
          <t>Metro Beverage Max-490</t>
        </is>
      </c>
      <c r="D5733" s="58" t="inlineStr">
        <is>
          <t>Grocery</t>
        </is>
      </c>
      <c r="E5733" s="58" t="inlineStr">
        <is>
          <t>Central</t>
        </is>
      </c>
      <c r="F5733" s="61" t="n">
        <v>7</v>
      </c>
      <c r="G5733" s="62" t="n">
        <v>9.890000000000001</v>
      </c>
      <c r="H5733" s="63" t="n">
        <v>0.055</v>
      </c>
      <c r="I5733" s="62" t="n">
        <v>8.199999999999999</v>
      </c>
      <c r="J5733" s="58" t="inlineStr">
        <is>
          <t>Online</t>
        </is>
      </c>
      <c r="K5733" s="62">
        <f>F5733*(G5733-H5733)</f>
        <v/>
      </c>
      <c r="L5733" s="62">
        <f>K5733-(F5733*I5733)</f>
        <v/>
      </c>
      <c r="M5733" s="64">
        <f>L5733/K5733</f>
        <v/>
      </c>
    </row>
    <row r="5734">
      <c r="A5734" s="58" t="inlineStr">
        <is>
          <t>RT20250527-05733</t>
        </is>
      </c>
      <c r="B5734" s="59" t="inlineStr">
        <is>
          <t>2025-05-27</t>
        </is>
      </c>
      <c r="C5734" s="60" t="inlineStr">
        <is>
          <t>Metro Accessorie Lite-697</t>
        </is>
      </c>
      <c r="D5734" s="58" t="inlineStr">
        <is>
          <t>Apparel</t>
        </is>
      </c>
      <c r="E5734" s="58" t="inlineStr">
        <is>
          <t>West</t>
        </is>
      </c>
      <c r="F5734" s="61" t="n">
        <v>3</v>
      </c>
      <c r="G5734" s="62" t="n">
        <v>129.38</v>
      </c>
      <c r="H5734" s="63" t="n">
        <v>0.097</v>
      </c>
      <c r="I5734" s="62" t="n">
        <v>76.14</v>
      </c>
      <c r="J5734" s="58" t="inlineStr">
        <is>
          <t>Online</t>
        </is>
      </c>
      <c r="K5734" s="62">
        <f>F5734*(G5734-H5734)</f>
        <v/>
      </c>
      <c r="L5734" s="62">
        <f>K5734-(F5734*I5734)</f>
        <v/>
      </c>
      <c r="M5734" s="64">
        <f>L5734/K5734</f>
        <v/>
      </c>
    </row>
    <row r="5735">
      <c r="A5735" s="58" t="inlineStr">
        <is>
          <t>RT20250527-05734</t>
        </is>
      </c>
      <c r="B5735" s="59" t="inlineStr">
        <is>
          <t>2025-05-27</t>
        </is>
      </c>
      <c r="C5735" s="60" t="inlineStr">
        <is>
          <t>Falcon Household Plus-172</t>
        </is>
      </c>
      <c r="D5735" s="58" t="inlineStr">
        <is>
          <t>Grocery</t>
        </is>
      </c>
      <c r="E5735" s="58" t="inlineStr">
        <is>
          <t>North</t>
        </is>
      </c>
      <c r="F5735" s="61" t="n">
        <v>1</v>
      </c>
      <c r="G5735" s="62" t="n">
        <v>20.82</v>
      </c>
      <c r="H5735" s="63" t="n">
        <v>0.089</v>
      </c>
      <c r="I5735" s="62" t="n">
        <v>16.57</v>
      </c>
      <c r="J5735" s="58" t="inlineStr">
        <is>
          <t>Online</t>
        </is>
      </c>
      <c r="K5735" s="62">
        <f>F5735*(G5735-H5735)</f>
        <v/>
      </c>
      <c r="L5735" s="62">
        <f>K5735-(F5735*I5735)</f>
        <v/>
      </c>
      <c r="M5735" s="64">
        <f>L5735/K5735</f>
        <v/>
      </c>
    </row>
    <row r="5736">
      <c r="A5736" s="58" t="inlineStr">
        <is>
          <t>RT20250527-05735</t>
        </is>
      </c>
      <c r="B5736" s="59" t="inlineStr">
        <is>
          <t>2025-05-27</t>
        </is>
      </c>
      <c r="C5736" s="60" t="inlineStr">
        <is>
          <t>Aurora Haircare S-975</t>
        </is>
      </c>
      <c r="D5736" s="58" t="inlineStr">
        <is>
          <t>Beauty</t>
        </is>
      </c>
      <c r="E5736" s="58" t="inlineStr">
        <is>
          <t>East</t>
        </is>
      </c>
      <c r="F5736" s="61" t="n">
        <v>3</v>
      </c>
      <c r="G5736" s="62" t="n">
        <v>99.01000000000001</v>
      </c>
      <c r="H5736" s="63" t="n">
        <v>0.05</v>
      </c>
      <c r="I5736" s="62" t="n">
        <v>59.87</v>
      </c>
      <c r="J5736" s="58" t="inlineStr">
        <is>
          <t>Store</t>
        </is>
      </c>
      <c r="K5736" s="62">
        <f>F5736*(G5736-H5736)</f>
        <v/>
      </c>
      <c r="L5736" s="62">
        <f>K5736-(F5736*I5736)</f>
        <v/>
      </c>
      <c r="M5736" s="64">
        <f>L5736/K5736</f>
        <v/>
      </c>
    </row>
    <row r="5737">
      <c r="A5737" s="58" t="inlineStr">
        <is>
          <t>RT20250527-05736</t>
        </is>
      </c>
      <c r="B5737" s="59" t="inlineStr">
        <is>
          <t>2025-05-27</t>
        </is>
      </c>
      <c r="C5737" s="60" t="inlineStr">
        <is>
          <t>Falcon Headphone Pro-713</t>
        </is>
      </c>
      <c r="D5737" s="58" t="inlineStr">
        <is>
          <t>Electronics</t>
        </is>
      </c>
      <c r="E5737" s="58" t="inlineStr">
        <is>
          <t>Central</t>
        </is>
      </c>
      <c r="F5737" s="61" t="n">
        <v>2</v>
      </c>
      <c r="G5737" s="62" t="n">
        <v>1286.14</v>
      </c>
      <c r="H5737" s="63" t="n">
        <v>0.035</v>
      </c>
      <c r="I5737" s="62" t="n">
        <v>1164.8</v>
      </c>
      <c r="J5737" s="58" t="inlineStr">
        <is>
          <t>Online</t>
        </is>
      </c>
      <c r="K5737" s="62">
        <f>F5737*(G5737-H5737)</f>
        <v/>
      </c>
      <c r="L5737" s="62">
        <f>K5737-(F5737*I5737)</f>
        <v/>
      </c>
      <c r="M5737" s="64">
        <f>L5737/K5737</f>
        <v/>
      </c>
    </row>
    <row r="5738">
      <c r="A5738" s="58" t="inlineStr">
        <is>
          <t>RT20250527-05737</t>
        </is>
      </c>
      <c r="B5738" s="59" t="inlineStr">
        <is>
          <t>2025-05-27</t>
        </is>
      </c>
      <c r="C5738" s="60" t="inlineStr">
        <is>
          <t>Solace Kid S-384</t>
        </is>
      </c>
      <c r="D5738" s="58" t="inlineStr">
        <is>
          <t>Apparel</t>
        </is>
      </c>
      <c r="E5738" s="58" t="inlineStr">
        <is>
          <t>North</t>
        </is>
      </c>
      <c r="F5738" s="61" t="n">
        <v>3</v>
      </c>
      <c r="G5738" s="62" t="n">
        <v>107.24</v>
      </c>
      <c r="H5738" s="63" t="n">
        <v>0.001</v>
      </c>
      <c r="I5738" s="62" t="n">
        <v>60.96</v>
      </c>
      <c r="J5738" s="58" t="inlineStr">
        <is>
          <t>Store</t>
        </is>
      </c>
      <c r="K5738" s="62">
        <f>F5738*(G5738-H5738)</f>
        <v/>
      </c>
      <c r="L5738" s="62">
        <f>K5738-(F5738*I5738)</f>
        <v/>
      </c>
      <c r="M5738" s="64">
        <f>L5738/K5738</f>
        <v/>
      </c>
    </row>
    <row r="5739">
      <c r="A5739" s="58" t="inlineStr">
        <is>
          <t>RT20250527-05738</t>
        </is>
      </c>
      <c r="B5739" s="59" t="inlineStr">
        <is>
          <t>2025-05-27</t>
        </is>
      </c>
      <c r="C5739" s="60" t="inlineStr">
        <is>
          <t>Aurora Appliance Max-316</t>
        </is>
      </c>
      <c r="D5739" s="58" t="inlineStr">
        <is>
          <t>Home</t>
        </is>
      </c>
      <c r="E5739" s="58" t="inlineStr">
        <is>
          <t>East</t>
        </is>
      </c>
      <c r="F5739" s="61" t="n">
        <v>2</v>
      </c>
      <c r="G5739" s="62" t="n">
        <v>312.26</v>
      </c>
      <c r="H5739" s="63" t="n">
        <v>0.042</v>
      </c>
      <c r="I5739" s="62" t="n">
        <v>217.79</v>
      </c>
      <c r="J5739" s="58" t="inlineStr">
        <is>
          <t>Store</t>
        </is>
      </c>
      <c r="K5739" s="62">
        <f>F5739*(G5739-H5739)</f>
        <v/>
      </c>
      <c r="L5739" s="62">
        <f>K5739-(F5739*I5739)</f>
        <v/>
      </c>
      <c r="M5739" s="64">
        <f>L5739/K5739</f>
        <v/>
      </c>
    </row>
    <row r="5740">
      <c r="A5740" s="58" t="inlineStr">
        <is>
          <t>RT20250527-05739</t>
        </is>
      </c>
      <c r="B5740" s="59" t="inlineStr">
        <is>
          <t>2025-05-27</t>
        </is>
      </c>
      <c r="C5740" s="60" t="inlineStr">
        <is>
          <t>Falcon Household Plus-172</t>
        </is>
      </c>
      <c r="D5740" s="58" t="inlineStr">
        <is>
          <t>Grocery</t>
        </is>
      </c>
      <c r="E5740" s="58" t="inlineStr">
        <is>
          <t>East</t>
        </is>
      </c>
      <c r="F5740" s="61" t="n">
        <v>7</v>
      </c>
      <c r="G5740" s="62" t="n">
        <v>23.87</v>
      </c>
      <c r="H5740" s="63" t="n">
        <v>0.067</v>
      </c>
      <c r="I5740" s="62" t="n">
        <v>16.36</v>
      </c>
      <c r="J5740" s="58" t="inlineStr">
        <is>
          <t>Online</t>
        </is>
      </c>
      <c r="K5740" s="62">
        <f>F5740*(G5740-H5740)</f>
        <v/>
      </c>
      <c r="L5740" s="62">
        <f>K5740-(F5740*I5740)</f>
        <v/>
      </c>
      <c r="M5740" s="64">
        <f>L5740/K5740</f>
        <v/>
      </c>
    </row>
    <row r="5741">
      <c r="A5741" s="58" t="inlineStr">
        <is>
          <t>RT20250527-05740</t>
        </is>
      </c>
      <c r="B5741" s="59" t="inlineStr">
        <is>
          <t>2025-05-27</t>
        </is>
      </c>
      <c r="C5741" s="60" t="inlineStr">
        <is>
          <t>Aurora Storage Lite-774</t>
        </is>
      </c>
      <c r="D5741" s="58" t="inlineStr">
        <is>
          <t>Office</t>
        </is>
      </c>
      <c r="E5741" s="58" t="inlineStr">
        <is>
          <t>East</t>
        </is>
      </c>
      <c r="F5741" s="61" t="n">
        <v>3</v>
      </c>
      <c r="G5741" s="62" t="n">
        <v>357.99</v>
      </c>
      <c r="H5741" s="63" t="n">
        <v>0.025</v>
      </c>
      <c r="I5741" s="62" t="n">
        <v>236.36</v>
      </c>
      <c r="J5741" s="58" t="inlineStr">
        <is>
          <t>Phone</t>
        </is>
      </c>
      <c r="K5741" s="62">
        <f>F5741*(G5741-H5741)</f>
        <v/>
      </c>
      <c r="L5741" s="62">
        <f>K5741-(F5741*I5741)</f>
        <v/>
      </c>
      <c r="M5741" s="64">
        <f>L5741/K5741</f>
        <v/>
      </c>
    </row>
    <row r="5742">
      <c r="A5742" s="58" t="inlineStr">
        <is>
          <t>RT20250527-05741</t>
        </is>
      </c>
      <c r="B5742" s="59" t="inlineStr">
        <is>
          <t>2025-05-27</t>
        </is>
      </c>
      <c r="C5742" s="60" t="inlineStr">
        <is>
          <t>Falcon Bedding S-674</t>
        </is>
      </c>
      <c r="D5742" s="58" t="inlineStr">
        <is>
          <t>Home</t>
        </is>
      </c>
      <c r="E5742" s="58" t="inlineStr">
        <is>
          <t>South</t>
        </is>
      </c>
      <c r="F5742" s="61" t="n">
        <v>2</v>
      </c>
      <c r="G5742" s="62" t="n">
        <v>670.52</v>
      </c>
      <c r="H5742" s="63" t="n">
        <v>0.028</v>
      </c>
      <c r="I5742" s="62" t="n">
        <v>452.61</v>
      </c>
      <c r="J5742" s="58" t="inlineStr">
        <is>
          <t>Phone</t>
        </is>
      </c>
      <c r="K5742" s="62">
        <f>F5742*(G5742-H5742)</f>
        <v/>
      </c>
      <c r="L5742" s="62">
        <f>K5742-(F5742*I5742)</f>
        <v/>
      </c>
      <c r="M5742" s="64">
        <f>L5742/K5742</f>
        <v/>
      </c>
    </row>
    <row r="5743">
      <c r="A5743" s="58" t="inlineStr">
        <is>
          <t>RT20250527-05742</t>
        </is>
      </c>
      <c r="B5743" s="59" t="inlineStr">
        <is>
          <t>2025-05-27</t>
        </is>
      </c>
      <c r="C5743" s="60" t="inlineStr">
        <is>
          <t>Aurora Household Plus-146</t>
        </is>
      </c>
      <c r="D5743" s="58" t="inlineStr">
        <is>
          <t>Grocery</t>
        </is>
      </c>
      <c r="E5743" s="58" t="inlineStr">
        <is>
          <t>West</t>
        </is>
      </c>
      <c r="F5743" s="61" t="n">
        <v>3</v>
      </c>
      <c r="G5743" s="62" t="n">
        <v>6.46</v>
      </c>
      <c r="H5743" s="63" t="n">
        <v>0.062</v>
      </c>
      <c r="I5743" s="62" t="n">
        <v>4.44</v>
      </c>
      <c r="J5743" s="58" t="inlineStr">
        <is>
          <t>Online</t>
        </is>
      </c>
      <c r="K5743" s="62">
        <f>F5743*(G5743-H5743)</f>
        <v/>
      </c>
      <c r="L5743" s="62">
        <f>K5743-(F5743*I5743)</f>
        <v/>
      </c>
      <c r="M5743" s="64">
        <f>L5743/K5743</f>
        <v/>
      </c>
    </row>
    <row r="5744">
      <c r="A5744" s="58" t="inlineStr">
        <is>
          <t>RT20250527-05743</t>
        </is>
      </c>
      <c r="B5744" s="59" t="inlineStr">
        <is>
          <t>2025-05-27</t>
        </is>
      </c>
      <c r="C5744" s="60" t="inlineStr">
        <is>
          <t>Metro Laptop Plus-376</t>
        </is>
      </c>
      <c r="D5744" s="58" t="inlineStr">
        <is>
          <t>Electronics</t>
        </is>
      </c>
      <c r="E5744" s="58" t="inlineStr">
        <is>
          <t>West</t>
        </is>
      </c>
      <c r="F5744" s="61" t="n">
        <v>1</v>
      </c>
      <c r="G5744" s="62" t="n">
        <v>1293.83</v>
      </c>
      <c r="H5744" s="63" t="n">
        <v>0.044</v>
      </c>
      <c r="I5744" s="62" t="n">
        <v>1032.39</v>
      </c>
      <c r="J5744" s="58" t="inlineStr">
        <is>
          <t>Store</t>
        </is>
      </c>
      <c r="K5744" s="62">
        <f>F5744*(G5744-H5744)</f>
        <v/>
      </c>
      <c r="L5744" s="62">
        <f>K5744-(F5744*I5744)</f>
        <v/>
      </c>
      <c r="M5744" s="64">
        <f>L5744/K5744</f>
        <v/>
      </c>
    </row>
    <row r="5745">
      <c r="A5745" s="58" t="inlineStr">
        <is>
          <t>RT20250527-05744</t>
        </is>
      </c>
      <c r="B5745" s="59" t="inlineStr">
        <is>
          <t>2025-05-27</t>
        </is>
      </c>
      <c r="C5745" s="60" t="inlineStr">
        <is>
          <t>Aurora Fitnes Lite-194</t>
        </is>
      </c>
      <c r="D5745" s="58" t="inlineStr">
        <is>
          <t>Sports</t>
        </is>
      </c>
      <c r="E5745" s="58" t="inlineStr">
        <is>
          <t>East</t>
        </is>
      </c>
      <c r="F5745" s="61" t="n">
        <v>1</v>
      </c>
      <c r="G5745" s="62" t="n">
        <v>669.42</v>
      </c>
      <c r="H5745" s="63" t="n">
        <v>0.103</v>
      </c>
      <c r="I5745" s="62" t="n">
        <v>462.68</v>
      </c>
      <c r="J5745" s="58" t="inlineStr">
        <is>
          <t>Online</t>
        </is>
      </c>
      <c r="K5745" s="62">
        <f>F5745*(G5745-H5745)</f>
        <v/>
      </c>
      <c r="L5745" s="62">
        <f>K5745-(F5745*I5745)</f>
        <v/>
      </c>
      <c r="M5745" s="64">
        <f>L5745/K5745</f>
        <v/>
      </c>
    </row>
    <row r="5746">
      <c r="A5746" s="58" t="inlineStr">
        <is>
          <t>RT20250527-05745</t>
        </is>
      </c>
      <c r="B5746" s="59" t="inlineStr">
        <is>
          <t>2025-05-27</t>
        </is>
      </c>
      <c r="C5746" s="60" t="inlineStr">
        <is>
          <t>Solace Fitnes S-324</t>
        </is>
      </c>
      <c r="D5746" s="58" t="inlineStr">
        <is>
          <t>Sports</t>
        </is>
      </c>
      <c r="E5746" s="58" t="inlineStr">
        <is>
          <t>East</t>
        </is>
      </c>
      <c r="F5746" s="61" t="n">
        <v>1</v>
      </c>
      <c r="G5746" s="62" t="n">
        <v>803.2</v>
      </c>
      <c r="H5746" s="63" t="n">
        <v>0.066</v>
      </c>
      <c r="I5746" s="62" t="n">
        <v>520.41</v>
      </c>
      <c r="J5746" s="58" t="inlineStr">
        <is>
          <t>Phone</t>
        </is>
      </c>
      <c r="K5746" s="62">
        <f>F5746*(G5746-H5746)</f>
        <v/>
      </c>
      <c r="L5746" s="62">
        <f>K5746-(F5746*I5746)</f>
        <v/>
      </c>
      <c r="M5746" s="64">
        <f>L5746/K5746</f>
        <v/>
      </c>
    </row>
    <row r="5747">
      <c r="A5747" s="58" t="inlineStr">
        <is>
          <t>RT20250527-05746</t>
        </is>
      </c>
      <c r="B5747" s="59" t="inlineStr">
        <is>
          <t>2025-05-27</t>
        </is>
      </c>
      <c r="C5747" s="60" t="inlineStr">
        <is>
          <t>Aurora Team Sport Plus-256</t>
        </is>
      </c>
      <c r="D5747" s="58" t="inlineStr">
        <is>
          <t>Sports</t>
        </is>
      </c>
      <c r="E5747" s="58" t="inlineStr">
        <is>
          <t>East</t>
        </is>
      </c>
      <c r="F5747" s="61" t="n">
        <v>1</v>
      </c>
      <c r="G5747" s="62" t="n">
        <v>653.38</v>
      </c>
      <c r="H5747" s="63" t="n">
        <v>0.042</v>
      </c>
      <c r="I5747" s="62" t="n">
        <v>418.08</v>
      </c>
      <c r="J5747" s="58" t="inlineStr">
        <is>
          <t>Online</t>
        </is>
      </c>
      <c r="K5747" s="62">
        <f>F5747*(G5747-H5747)</f>
        <v/>
      </c>
      <c r="L5747" s="62">
        <f>K5747-(F5747*I5747)</f>
        <v/>
      </c>
      <c r="M5747" s="64">
        <f>L5747/K5747</f>
        <v/>
      </c>
    </row>
    <row r="5748">
      <c r="A5748" s="58" t="inlineStr">
        <is>
          <t>RT20250527-05747</t>
        </is>
      </c>
      <c r="B5748" s="59" t="inlineStr">
        <is>
          <t>2025-05-27</t>
        </is>
      </c>
      <c r="C5748" s="60" t="inlineStr">
        <is>
          <t>Vertex Headphone Pro-801</t>
        </is>
      </c>
      <c r="D5748" s="58" t="inlineStr">
        <is>
          <t>Electronics</t>
        </is>
      </c>
      <c r="E5748" s="58" t="inlineStr">
        <is>
          <t>North</t>
        </is>
      </c>
      <c r="F5748" s="61" t="n">
        <v>2</v>
      </c>
      <c r="G5748" s="62" t="n">
        <v>1208.2</v>
      </c>
      <c r="H5748" s="63" t="n">
        <v>0.114</v>
      </c>
      <c r="I5748" s="62" t="n">
        <v>963.0599999999999</v>
      </c>
      <c r="J5748" s="58" t="inlineStr">
        <is>
          <t>Store</t>
        </is>
      </c>
      <c r="K5748" s="62">
        <f>F5748*(G5748-H5748)</f>
        <v/>
      </c>
      <c r="L5748" s="62">
        <f>K5748-(F5748*I5748)</f>
        <v/>
      </c>
      <c r="M5748" s="64">
        <f>L5748/K5748</f>
        <v/>
      </c>
    </row>
    <row r="5749">
      <c r="A5749" s="58" t="inlineStr">
        <is>
          <t>RT20250527-05748</t>
        </is>
      </c>
      <c r="B5749" s="59" t="inlineStr">
        <is>
          <t>2025-05-27</t>
        </is>
      </c>
      <c r="C5749" s="60" t="inlineStr">
        <is>
          <t>Polar Women Max-927</t>
        </is>
      </c>
      <c r="D5749" s="58" t="inlineStr">
        <is>
          <t>Apparel</t>
        </is>
      </c>
      <c r="E5749" s="58" t="inlineStr">
        <is>
          <t>Central</t>
        </is>
      </c>
      <c r="F5749" s="61" t="n">
        <v>4</v>
      </c>
      <c r="G5749" s="62" t="n">
        <v>117.86</v>
      </c>
      <c r="H5749" s="63" t="n">
        <v>0.08400000000000001</v>
      </c>
      <c r="I5749" s="62" t="n">
        <v>67.92</v>
      </c>
      <c r="J5749" s="58" t="inlineStr">
        <is>
          <t>Online</t>
        </is>
      </c>
      <c r="K5749" s="62">
        <f>F5749*(G5749-H5749)</f>
        <v/>
      </c>
      <c r="L5749" s="62">
        <f>K5749-(F5749*I5749)</f>
        <v/>
      </c>
      <c r="M5749" s="64">
        <f>L5749/K5749</f>
        <v/>
      </c>
    </row>
    <row r="5750">
      <c r="A5750" s="58" t="inlineStr">
        <is>
          <t>RT20250528-05749</t>
        </is>
      </c>
      <c r="B5750" s="59" t="inlineStr">
        <is>
          <t>2025-05-28</t>
        </is>
      </c>
      <c r="C5750" s="60" t="inlineStr">
        <is>
          <t>Metro Beverage Max-490</t>
        </is>
      </c>
      <c r="D5750" s="58" t="inlineStr">
        <is>
          <t>Grocery</t>
        </is>
      </c>
      <c r="E5750" s="58" t="inlineStr">
        <is>
          <t>North</t>
        </is>
      </c>
      <c r="F5750" s="61" t="n">
        <v>1</v>
      </c>
      <c r="G5750" s="62" t="n">
        <v>9.859999999999999</v>
      </c>
      <c r="H5750" s="63" t="n">
        <v>0.107</v>
      </c>
      <c r="I5750" s="62" t="n">
        <v>8.32</v>
      </c>
      <c r="J5750" s="58" t="inlineStr">
        <is>
          <t>Online</t>
        </is>
      </c>
      <c r="K5750" s="62">
        <f>F5750*(G5750-H5750)</f>
        <v/>
      </c>
      <c r="L5750" s="62">
        <f>K5750-(F5750*I5750)</f>
        <v/>
      </c>
      <c r="M5750" s="64">
        <f>L5750/K5750</f>
        <v/>
      </c>
    </row>
    <row r="5751">
      <c r="A5751" s="58" t="inlineStr">
        <is>
          <t>RT20250528-05750</t>
        </is>
      </c>
      <c r="B5751" s="59" t="inlineStr">
        <is>
          <t>2025-05-28</t>
        </is>
      </c>
      <c r="C5751" s="60" t="inlineStr">
        <is>
          <t>Solace Makeup Pro-214</t>
        </is>
      </c>
      <c r="D5751" s="58" t="inlineStr">
        <is>
          <t>Beauty</t>
        </is>
      </c>
      <c r="E5751" s="58" t="inlineStr">
        <is>
          <t>East</t>
        </is>
      </c>
      <c r="F5751" s="61" t="n">
        <v>2</v>
      </c>
      <c r="G5751" s="62" t="n">
        <v>110.87</v>
      </c>
      <c r="H5751" s="63" t="n">
        <v>0.113</v>
      </c>
      <c r="I5751" s="62" t="n">
        <v>66</v>
      </c>
      <c r="J5751" s="58" t="inlineStr">
        <is>
          <t>Online</t>
        </is>
      </c>
      <c r="K5751" s="62">
        <f>F5751*(G5751-H5751)</f>
        <v/>
      </c>
      <c r="L5751" s="62">
        <f>K5751-(F5751*I5751)</f>
        <v/>
      </c>
      <c r="M5751" s="64">
        <f>L5751/K5751</f>
        <v/>
      </c>
    </row>
    <row r="5752">
      <c r="A5752" s="58" t="inlineStr">
        <is>
          <t>RT20250528-05751</t>
        </is>
      </c>
      <c r="B5752" s="59" t="inlineStr">
        <is>
          <t>2025-05-28</t>
        </is>
      </c>
      <c r="C5752" s="60" t="inlineStr">
        <is>
          <t>Orion Men X-928</t>
        </is>
      </c>
      <c r="D5752" s="58" t="inlineStr">
        <is>
          <t>Apparel</t>
        </is>
      </c>
      <c r="E5752" s="58" t="inlineStr">
        <is>
          <t>East</t>
        </is>
      </c>
      <c r="F5752" s="61" t="n">
        <v>1</v>
      </c>
      <c r="G5752" s="62" t="n">
        <v>106.9</v>
      </c>
      <c r="H5752" s="63" t="n">
        <v>0.09</v>
      </c>
      <c r="I5752" s="62" t="n">
        <v>62.38</v>
      </c>
      <c r="J5752" s="58" t="inlineStr">
        <is>
          <t>Store</t>
        </is>
      </c>
      <c r="K5752" s="62">
        <f>F5752*(G5752-H5752)</f>
        <v/>
      </c>
      <c r="L5752" s="62">
        <f>K5752-(F5752*I5752)</f>
        <v/>
      </c>
      <c r="M5752" s="64">
        <f>L5752/K5752</f>
        <v/>
      </c>
    </row>
    <row r="5753">
      <c r="A5753" s="58" t="inlineStr">
        <is>
          <t>RT20250528-05752</t>
        </is>
      </c>
      <c r="B5753" s="59" t="inlineStr">
        <is>
          <t>2025-05-28</t>
        </is>
      </c>
      <c r="C5753" s="60" t="inlineStr">
        <is>
          <t>Nimbus Cycling Plus-911</t>
        </is>
      </c>
      <c r="D5753" s="58" t="inlineStr">
        <is>
          <t>Sports</t>
        </is>
      </c>
      <c r="E5753" s="58" t="inlineStr">
        <is>
          <t>West</t>
        </is>
      </c>
      <c r="F5753" s="61" t="n">
        <v>2</v>
      </c>
      <c r="G5753" s="62" t="n">
        <v>592.9400000000001</v>
      </c>
      <c r="H5753" s="63" t="n">
        <v>0.057</v>
      </c>
      <c r="I5753" s="62" t="n">
        <v>402.14</v>
      </c>
      <c r="J5753" s="58" t="inlineStr">
        <is>
          <t>Store</t>
        </is>
      </c>
      <c r="K5753" s="62">
        <f>F5753*(G5753-H5753)</f>
        <v/>
      </c>
      <c r="L5753" s="62">
        <f>K5753-(F5753*I5753)</f>
        <v/>
      </c>
      <c r="M5753" s="64">
        <f>L5753/K5753</f>
        <v/>
      </c>
    </row>
    <row r="5754">
      <c r="A5754" s="58" t="inlineStr">
        <is>
          <t>RT20250528-05753</t>
        </is>
      </c>
      <c r="B5754" s="59" t="inlineStr">
        <is>
          <t>2025-05-28</t>
        </is>
      </c>
      <c r="C5754" s="60" t="inlineStr">
        <is>
          <t>Polar Decor X-935</t>
        </is>
      </c>
      <c r="D5754" s="58" t="inlineStr">
        <is>
          <t>Home</t>
        </is>
      </c>
      <c r="E5754" s="58" t="inlineStr">
        <is>
          <t>West</t>
        </is>
      </c>
      <c r="F5754" s="61" t="n">
        <v>1</v>
      </c>
      <c r="G5754" s="62" t="n">
        <v>312.92</v>
      </c>
      <c r="H5754" s="63" t="n">
        <v>0.049</v>
      </c>
      <c r="I5754" s="62" t="n">
        <v>202.96</v>
      </c>
      <c r="J5754" s="58" t="inlineStr">
        <is>
          <t>Online</t>
        </is>
      </c>
      <c r="K5754" s="62">
        <f>F5754*(G5754-H5754)</f>
        <v/>
      </c>
      <c r="L5754" s="62">
        <f>K5754-(F5754*I5754)</f>
        <v/>
      </c>
      <c r="M5754" s="64">
        <f>L5754/K5754</f>
        <v/>
      </c>
    </row>
    <row r="5755">
      <c r="A5755" s="58" t="inlineStr">
        <is>
          <t>RT20250528-05754</t>
        </is>
      </c>
      <c r="B5755" s="59" t="inlineStr">
        <is>
          <t>2025-05-28</t>
        </is>
      </c>
      <c r="C5755" s="60" t="inlineStr">
        <is>
          <t>Vertex Appliance S-159</t>
        </is>
      </c>
      <c r="D5755" s="58" t="inlineStr">
        <is>
          <t>Home</t>
        </is>
      </c>
      <c r="E5755" s="58" t="inlineStr">
        <is>
          <t>North</t>
        </is>
      </c>
      <c r="F5755" s="61" t="n">
        <v>1</v>
      </c>
      <c r="G5755" s="62" t="n">
        <v>426.13</v>
      </c>
      <c r="H5755" s="63" t="n">
        <v>0.124</v>
      </c>
      <c r="I5755" s="62" t="n">
        <v>297.48</v>
      </c>
      <c r="J5755" s="58" t="inlineStr">
        <is>
          <t>Online</t>
        </is>
      </c>
      <c r="K5755" s="62">
        <f>F5755*(G5755-H5755)</f>
        <v/>
      </c>
      <c r="L5755" s="62">
        <f>K5755-(F5755*I5755)</f>
        <v/>
      </c>
      <c r="M5755" s="64">
        <f>L5755/K5755</f>
        <v/>
      </c>
    </row>
    <row r="5756">
      <c r="A5756" s="58" t="inlineStr">
        <is>
          <t>RT20250528-05755</t>
        </is>
      </c>
      <c r="B5756" s="59" t="inlineStr">
        <is>
          <t>2025-05-28</t>
        </is>
      </c>
      <c r="C5756" s="60" t="inlineStr">
        <is>
          <t>Solace Kitchen Pro-510</t>
        </is>
      </c>
      <c r="D5756" s="58" t="inlineStr">
        <is>
          <t>Home</t>
        </is>
      </c>
      <c r="E5756" s="58" t="inlineStr">
        <is>
          <t>East</t>
        </is>
      </c>
      <c r="F5756" s="61" t="n">
        <v>3</v>
      </c>
      <c r="G5756" s="62" t="n">
        <v>446.17</v>
      </c>
      <c r="H5756" s="63" t="n">
        <v>0.058</v>
      </c>
      <c r="I5756" s="62" t="n">
        <v>300.24</v>
      </c>
      <c r="J5756" s="58" t="inlineStr">
        <is>
          <t>Phone</t>
        </is>
      </c>
      <c r="K5756" s="62">
        <f>F5756*(G5756-H5756)</f>
        <v/>
      </c>
      <c r="L5756" s="62">
        <f>K5756-(F5756*I5756)</f>
        <v/>
      </c>
      <c r="M5756" s="64">
        <f>L5756/K5756</f>
        <v/>
      </c>
    </row>
    <row r="5757">
      <c r="A5757" s="58" t="inlineStr">
        <is>
          <t>RT20250528-05756</t>
        </is>
      </c>
      <c r="B5757" s="59" t="inlineStr">
        <is>
          <t>2025-05-28</t>
        </is>
      </c>
      <c r="C5757" s="60" t="inlineStr">
        <is>
          <t>Nimbus Fitnes Lite-516</t>
        </is>
      </c>
      <c r="D5757" s="58" t="inlineStr">
        <is>
          <t>Sports</t>
        </is>
      </c>
      <c r="E5757" s="58" t="inlineStr">
        <is>
          <t>South</t>
        </is>
      </c>
      <c r="F5757" s="61" t="n">
        <v>3</v>
      </c>
      <c r="G5757" s="62" t="n">
        <v>684.7</v>
      </c>
      <c r="H5757" s="63" t="n">
        <v>0.043</v>
      </c>
      <c r="I5757" s="62" t="n">
        <v>480.23</v>
      </c>
      <c r="J5757" s="58" t="inlineStr">
        <is>
          <t>Online</t>
        </is>
      </c>
      <c r="K5757" s="62">
        <f>F5757*(G5757-H5757)</f>
        <v/>
      </c>
      <c r="L5757" s="62">
        <f>K5757-(F5757*I5757)</f>
        <v/>
      </c>
      <c r="M5757" s="64">
        <f>L5757/K5757</f>
        <v/>
      </c>
    </row>
    <row r="5758">
      <c r="A5758" s="58" t="inlineStr">
        <is>
          <t>RT20250528-05757</t>
        </is>
      </c>
      <c r="B5758" s="59" t="inlineStr">
        <is>
          <t>2025-05-28</t>
        </is>
      </c>
      <c r="C5758" s="60" t="inlineStr">
        <is>
          <t>Vertex Men X-995</t>
        </is>
      </c>
      <c r="D5758" s="58" t="inlineStr">
        <is>
          <t>Apparel</t>
        </is>
      </c>
      <c r="E5758" s="58" t="inlineStr">
        <is>
          <t>East</t>
        </is>
      </c>
      <c r="F5758" s="61" t="n">
        <v>1</v>
      </c>
      <c r="G5758" s="62" t="n">
        <v>106.9</v>
      </c>
      <c r="H5758" s="63" t="n">
        <v>0.08500000000000001</v>
      </c>
      <c r="I5758" s="62" t="n">
        <v>57.41</v>
      </c>
      <c r="J5758" s="58" t="inlineStr">
        <is>
          <t>Phone</t>
        </is>
      </c>
      <c r="K5758" s="62">
        <f>F5758*(G5758-H5758)</f>
        <v/>
      </c>
      <c r="L5758" s="62">
        <f>K5758-(F5758*I5758)</f>
        <v/>
      </c>
      <c r="M5758" s="64">
        <f>L5758/K5758</f>
        <v/>
      </c>
    </row>
    <row r="5759">
      <c r="A5759" s="58" t="inlineStr">
        <is>
          <t>RT20250528-05758</t>
        </is>
      </c>
      <c r="B5759" s="59" t="inlineStr">
        <is>
          <t>2025-05-28</t>
        </is>
      </c>
      <c r="C5759" s="60" t="inlineStr">
        <is>
          <t>Solace Kid S-384</t>
        </is>
      </c>
      <c r="D5759" s="58" t="inlineStr">
        <is>
          <t>Apparel</t>
        </is>
      </c>
      <c r="E5759" s="58" t="inlineStr">
        <is>
          <t>West</t>
        </is>
      </c>
      <c r="F5759" s="61" t="n">
        <v>1</v>
      </c>
      <c r="G5759" s="62" t="n">
        <v>119.09</v>
      </c>
      <c r="H5759" s="63" t="n">
        <v>0.07199999999999999</v>
      </c>
      <c r="I5759" s="62" t="n">
        <v>63.27</v>
      </c>
      <c r="J5759" s="58" t="inlineStr">
        <is>
          <t>Store</t>
        </is>
      </c>
      <c r="K5759" s="62">
        <f>F5759*(G5759-H5759)</f>
        <v/>
      </c>
      <c r="L5759" s="62">
        <f>K5759-(F5759*I5759)</f>
        <v/>
      </c>
      <c r="M5759" s="64">
        <f>L5759/K5759</f>
        <v/>
      </c>
    </row>
    <row r="5760">
      <c r="A5760" s="58" t="inlineStr">
        <is>
          <t>RT20250528-05759</t>
        </is>
      </c>
      <c r="B5760" s="59" t="inlineStr">
        <is>
          <t>2025-05-28</t>
        </is>
      </c>
      <c r="C5760" s="60" t="inlineStr">
        <is>
          <t>Aurora Appliance Max-316</t>
        </is>
      </c>
      <c r="D5760" s="58" t="inlineStr">
        <is>
          <t>Home</t>
        </is>
      </c>
      <c r="E5760" s="58" t="inlineStr">
        <is>
          <t>East</t>
        </is>
      </c>
      <c r="F5760" s="61" t="n">
        <v>2</v>
      </c>
      <c r="G5760" s="62" t="n">
        <v>294.22</v>
      </c>
      <c r="H5760" s="63" t="n">
        <v>0.019</v>
      </c>
      <c r="I5760" s="62" t="n">
        <v>209.79</v>
      </c>
      <c r="J5760" s="58" t="inlineStr">
        <is>
          <t>Online</t>
        </is>
      </c>
      <c r="K5760" s="62">
        <f>F5760*(G5760-H5760)</f>
        <v/>
      </c>
      <c r="L5760" s="62">
        <f>K5760-(F5760*I5760)</f>
        <v/>
      </c>
      <c r="M5760" s="64">
        <f>L5760/K5760</f>
        <v/>
      </c>
    </row>
    <row r="5761">
      <c r="A5761" s="58" t="inlineStr">
        <is>
          <t>RT20250528-05760</t>
        </is>
      </c>
      <c r="B5761" s="59" t="inlineStr">
        <is>
          <t>2025-05-28</t>
        </is>
      </c>
      <c r="C5761" s="60" t="inlineStr">
        <is>
          <t>Metro Decor Lite-325</t>
        </is>
      </c>
      <c r="D5761" s="58" t="inlineStr">
        <is>
          <t>Home</t>
        </is>
      </c>
      <c r="E5761" s="58" t="inlineStr">
        <is>
          <t>Central</t>
        </is>
      </c>
      <c r="F5761" s="61" t="n">
        <v>3</v>
      </c>
      <c r="G5761" s="62" t="n">
        <v>573.27</v>
      </c>
      <c r="H5761" s="63" t="n">
        <v>0.046</v>
      </c>
      <c r="I5761" s="62" t="n">
        <v>378.65</v>
      </c>
      <c r="J5761" s="58" t="inlineStr">
        <is>
          <t>Store</t>
        </is>
      </c>
      <c r="K5761" s="62">
        <f>F5761*(G5761-H5761)</f>
        <v/>
      </c>
      <c r="L5761" s="62">
        <f>K5761-(F5761*I5761)</f>
        <v/>
      </c>
      <c r="M5761" s="64">
        <f>L5761/K5761</f>
        <v/>
      </c>
    </row>
    <row r="5762">
      <c r="A5762" s="58" t="inlineStr">
        <is>
          <t>RT20250528-05761</t>
        </is>
      </c>
      <c r="B5762" s="59" t="inlineStr">
        <is>
          <t>2025-05-28</t>
        </is>
      </c>
      <c r="C5762" s="60" t="inlineStr">
        <is>
          <t>Nimbus Headphone X-854</t>
        </is>
      </c>
      <c r="D5762" s="58" t="inlineStr">
        <is>
          <t>Electronics</t>
        </is>
      </c>
      <c r="E5762" s="58" t="inlineStr">
        <is>
          <t>Central</t>
        </is>
      </c>
      <c r="F5762" s="61" t="n">
        <v>1</v>
      </c>
      <c r="G5762" s="62" t="n">
        <v>1384.37</v>
      </c>
      <c r="H5762" s="63" t="n">
        <v>0.07099999999999999</v>
      </c>
      <c r="I5762" s="62" t="n">
        <v>1225.47</v>
      </c>
      <c r="J5762" s="58" t="inlineStr">
        <is>
          <t>Store</t>
        </is>
      </c>
      <c r="K5762" s="62">
        <f>F5762*(G5762-H5762)</f>
        <v/>
      </c>
      <c r="L5762" s="62">
        <f>K5762-(F5762*I5762)</f>
        <v/>
      </c>
      <c r="M5762" s="64">
        <f>L5762/K5762</f>
        <v/>
      </c>
    </row>
    <row r="5763">
      <c r="A5763" s="58" t="inlineStr">
        <is>
          <t>RT20250528-05762</t>
        </is>
      </c>
      <c r="B5763" s="59" t="inlineStr">
        <is>
          <t>2025-05-28</t>
        </is>
      </c>
      <c r="C5763" s="60" t="inlineStr">
        <is>
          <t>Polar Men Pro-246</t>
        </is>
      </c>
      <c r="D5763" s="58" t="inlineStr">
        <is>
          <t>Apparel</t>
        </is>
      </c>
      <c r="E5763" s="58" t="inlineStr">
        <is>
          <t>North</t>
        </is>
      </c>
      <c r="F5763" s="61" t="n">
        <v>1</v>
      </c>
      <c r="G5763" s="62" t="n">
        <v>115.16</v>
      </c>
      <c r="H5763" s="63" t="n">
        <v>0.074</v>
      </c>
      <c r="I5763" s="62" t="n">
        <v>76.3</v>
      </c>
      <c r="J5763" s="58" t="inlineStr">
        <is>
          <t>Online</t>
        </is>
      </c>
      <c r="K5763" s="62">
        <f>F5763*(G5763-H5763)</f>
        <v/>
      </c>
      <c r="L5763" s="62">
        <f>K5763-(F5763*I5763)</f>
        <v/>
      </c>
      <c r="M5763" s="64">
        <f>L5763/K5763</f>
        <v/>
      </c>
    </row>
    <row r="5764">
      <c r="A5764" s="58" t="inlineStr">
        <is>
          <t>RT20250528-05763</t>
        </is>
      </c>
      <c r="B5764" s="59" t="inlineStr">
        <is>
          <t>2025-05-28</t>
        </is>
      </c>
      <c r="C5764" s="60" t="inlineStr">
        <is>
          <t>Orion Beverage Plus-949</t>
        </is>
      </c>
      <c r="D5764" s="58" t="inlineStr">
        <is>
          <t>Grocery</t>
        </is>
      </c>
      <c r="E5764" s="58" t="inlineStr">
        <is>
          <t>East</t>
        </is>
      </c>
      <c r="F5764" s="61" t="n">
        <v>1</v>
      </c>
      <c r="G5764" s="62" t="n">
        <v>18.84</v>
      </c>
      <c r="H5764" s="63" t="n">
        <v>0.04</v>
      </c>
      <c r="I5764" s="62" t="n">
        <v>13.46</v>
      </c>
      <c r="J5764" s="58" t="inlineStr">
        <is>
          <t>Phone</t>
        </is>
      </c>
      <c r="K5764" s="62">
        <f>F5764*(G5764-H5764)</f>
        <v/>
      </c>
      <c r="L5764" s="62">
        <f>K5764-(F5764*I5764)</f>
        <v/>
      </c>
      <c r="M5764" s="64">
        <f>L5764/K5764</f>
        <v/>
      </c>
    </row>
    <row r="5765">
      <c r="A5765" s="58" t="inlineStr">
        <is>
          <t>RT20250528-05764</t>
        </is>
      </c>
      <c r="B5765" s="59" t="inlineStr">
        <is>
          <t>2025-05-28</t>
        </is>
      </c>
      <c r="C5765" s="60" t="inlineStr">
        <is>
          <t>Metro Pantry X-710</t>
        </is>
      </c>
      <c r="D5765" s="58" t="inlineStr">
        <is>
          <t>Grocery</t>
        </is>
      </c>
      <c r="E5765" s="58" t="inlineStr">
        <is>
          <t>Central</t>
        </is>
      </c>
      <c r="F5765" s="61" t="n">
        <v>4</v>
      </c>
      <c r="G5765" s="62" t="n">
        <v>5.69</v>
      </c>
      <c r="H5765" s="63" t="n">
        <v>0.044</v>
      </c>
      <c r="I5765" s="62" t="n">
        <v>4.17</v>
      </c>
      <c r="J5765" s="58" t="inlineStr">
        <is>
          <t>Store</t>
        </is>
      </c>
      <c r="K5765" s="62">
        <f>F5765*(G5765-H5765)</f>
        <v/>
      </c>
      <c r="L5765" s="62">
        <f>K5765-(F5765*I5765)</f>
        <v/>
      </c>
      <c r="M5765" s="64">
        <f>L5765/K5765</f>
        <v/>
      </c>
    </row>
    <row r="5766">
      <c r="A5766" s="58" t="inlineStr">
        <is>
          <t>RT20250528-05765</t>
        </is>
      </c>
      <c r="B5766" s="59" t="inlineStr">
        <is>
          <t>2025-05-28</t>
        </is>
      </c>
      <c r="C5766" s="60" t="inlineStr">
        <is>
          <t>Aurora Printer Plus-723</t>
        </is>
      </c>
      <c r="D5766" s="58" t="inlineStr">
        <is>
          <t>Office</t>
        </is>
      </c>
      <c r="E5766" s="58" t="inlineStr">
        <is>
          <t>West</t>
        </is>
      </c>
      <c r="F5766" s="61" t="n">
        <v>1</v>
      </c>
      <c r="G5766" s="62" t="n">
        <v>258.82</v>
      </c>
      <c r="H5766" s="63" t="n">
        <v>0.08799999999999999</v>
      </c>
      <c r="I5766" s="62" t="n">
        <v>182.82</v>
      </c>
      <c r="J5766" s="58" t="inlineStr">
        <is>
          <t>Store</t>
        </is>
      </c>
      <c r="K5766" s="62">
        <f>F5766*(G5766-H5766)</f>
        <v/>
      </c>
      <c r="L5766" s="62">
        <f>K5766-(F5766*I5766)</f>
        <v/>
      </c>
      <c r="M5766" s="64">
        <f>L5766/K5766</f>
        <v/>
      </c>
    </row>
    <row r="5767">
      <c r="A5767" s="58" t="inlineStr">
        <is>
          <t>RT20250528-05766</t>
        </is>
      </c>
      <c r="B5767" s="59" t="inlineStr">
        <is>
          <t>2025-05-28</t>
        </is>
      </c>
      <c r="C5767" s="60" t="inlineStr">
        <is>
          <t>Falcon Cycling Pro-499</t>
        </is>
      </c>
      <c r="D5767" s="58" t="inlineStr">
        <is>
          <t>Sports</t>
        </is>
      </c>
      <c r="E5767" s="58" t="inlineStr">
        <is>
          <t>Central</t>
        </is>
      </c>
      <c r="F5767" s="61" t="n">
        <v>1</v>
      </c>
      <c r="G5767" s="62" t="n">
        <v>633.2</v>
      </c>
      <c r="H5767" s="63" t="n">
        <v>0.061</v>
      </c>
      <c r="I5767" s="62" t="n">
        <v>408.3</v>
      </c>
      <c r="J5767" s="58" t="inlineStr">
        <is>
          <t>Store</t>
        </is>
      </c>
      <c r="K5767" s="62">
        <f>F5767*(G5767-H5767)</f>
        <v/>
      </c>
      <c r="L5767" s="62">
        <f>K5767-(F5767*I5767)</f>
        <v/>
      </c>
      <c r="M5767" s="64">
        <f>L5767/K5767</f>
        <v/>
      </c>
    </row>
    <row r="5768">
      <c r="A5768" s="58" t="inlineStr">
        <is>
          <t>RT20250528-05767</t>
        </is>
      </c>
      <c r="B5768" s="59" t="inlineStr">
        <is>
          <t>2025-05-28</t>
        </is>
      </c>
      <c r="C5768" s="60" t="inlineStr">
        <is>
          <t>Aurora Skincare Max-798</t>
        </is>
      </c>
      <c r="D5768" s="58" t="inlineStr">
        <is>
          <t>Beauty</t>
        </is>
      </c>
      <c r="E5768" s="58" t="inlineStr">
        <is>
          <t>South</t>
        </is>
      </c>
      <c r="F5768" s="61" t="n">
        <v>2</v>
      </c>
      <c r="G5768" s="62" t="n">
        <v>102.73</v>
      </c>
      <c r="H5768" s="63" t="n">
        <v>0.089</v>
      </c>
      <c r="I5768" s="62" t="n">
        <v>66.25</v>
      </c>
      <c r="J5768" s="58" t="inlineStr">
        <is>
          <t>Online</t>
        </is>
      </c>
      <c r="K5768" s="62">
        <f>F5768*(G5768-H5768)</f>
        <v/>
      </c>
      <c r="L5768" s="62">
        <f>K5768-(F5768*I5768)</f>
        <v/>
      </c>
      <c r="M5768" s="64">
        <f>L5768/K5768</f>
        <v/>
      </c>
    </row>
    <row r="5769">
      <c r="A5769" s="58" t="inlineStr">
        <is>
          <t>RT20250528-05768</t>
        </is>
      </c>
      <c r="B5769" s="59" t="inlineStr">
        <is>
          <t>2025-05-28</t>
        </is>
      </c>
      <c r="C5769" s="60" t="inlineStr">
        <is>
          <t>Vertex Fitnes Pro-830</t>
        </is>
      </c>
      <c r="D5769" s="58" t="inlineStr">
        <is>
          <t>Sports</t>
        </is>
      </c>
      <c r="E5769" s="58" t="inlineStr">
        <is>
          <t>Central</t>
        </is>
      </c>
      <c r="F5769" s="61" t="n">
        <v>1</v>
      </c>
      <c r="G5769" s="62" t="n">
        <v>748.62</v>
      </c>
      <c r="H5769" s="63" t="n">
        <v>0.077</v>
      </c>
      <c r="I5769" s="62" t="n">
        <v>474</v>
      </c>
      <c r="J5769" s="58" t="inlineStr">
        <is>
          <t>Store</t>
        </is>
      </c>
      <c r="K5769" s="62">
        <f>F5769*(G5769-H5769)</f>
        <v/>
      </c>
      <c r="L5769" s="62">
        <f>K5769-(F5769*I5769)</f>
        <v/>
      </c>
      <c r="M5769" s="64">
        <f>L5769/K5769</f>
        <v/>
      </c>
    </row>
    <row r="5770">
      <c r="A5770" s="58" t="inlineStr">
        <is>
          <t>RT20250528-05769</t>
        </is>
      </c>
      <c r="B5770" s="59" t="inlineStr">
        <is>
          <t>2025-05-28</t>
        </is>
      </c>
      <c r="C5770" s="60" t="inlineStr">
        <is>
          <t>Metro Fragrance Lite-261</t>
        </is>
      </c>
      <c r="D5770" s="58" t="inlineStr">
        <is>
          <t>Beauty</t>
        </is>
      </c>
      <c r="E5770" s="58" t="inlineStr">
        <is>
          <t>West</t>
        </is>
      </c>
      <c r="F5770" s="61" t="n">
        <v>1</v>
      </c>
      <c r="G5770" s="62" t="n">
        <v>88.04000000000001</v>
      </c>
      <c r="H5770" s="63" t="n">
        <v>0.079</v>
      </c>
      <c r="I5770" s="62" t="n">
        <v>54.15</v>
      </c>
      <c r="J5770" s="58" t="inlineStr">
        <is>
          <t>Store</t>
        </is>
      </c>
      <c r="K5770" s="62">
        <f>F5770*(G5770-H5770)</f>
        <v/>
      </c>
      <c r="L5770" s="62">
        <f>K5770-(F5770*I5770)</f>
        <v/>
      </c>
      <c r="M5770" s="64">
        <f>L5770/K5770</f>
        <v/>
      </c>
    </row>
    <row r="5771">
      <c r="A5771" s="58" t="inlineStr">
        <is>
          <t>RT20250528-05770</t>
        </is>
      </c>
      <c r="B5771" s="59" t="inlineStr">
        <is>
          <t>2025-05-28</t>
        </is>
      </c>
      <c r="C5771" s="60" t="inlineStr">
        <is>
          <t>Orion Team Sport X-926</t>
        </is>
      </c>
      <c r="D5771" s="58" t="inlineStr">
        <is>
          <t>Sports</t>
        </is>
      </c>
      <c r="E5771" s="58" t="inlineStr">
        <is>
          <t>East</t>
        </is>
      </c>
      <c r="F5771" s="61" t="n">
        <v>1</v>
      </c>
      <c r="G5771" s="62" t="n">
        <v>351.58</v>
      </c>
      <c r="H5771" s="63" t="n">
        <v>0.058</v>
      </c>
      <c r="I5771" s="62" t="n">
        <v>210.84</v>
      </c>
      <c r="J5771" s="58" t="inlineStr">
        <is>
          <t>Online</t>
        </is>
      </c>
      <c r="K5771" s="62">
        <f>F5771*(G5771-H5771)</f>
        <v/>
      </c>
      <c r="L5771" s="62">
        <f>K5771-(F5771*I5771)</f>
        <v/>
      </c>
      <c r="M5771" s="64">
        <f>L5771/K5771</f>
        <v/>
      </c>
    </row>
    <row r="5772">
      <c r="A5772" s="58" t="inlineStr">
        <is>
          <t>RT20250528-05771</t>
        </is>
      </c>
      <c r="B5772" s="59" t="inlineStr">
        <is>
          <t>2025-05-28</t>
        </is>
      </c>
      <c r="C5772" s="60" t="inlineStr">
        <is>
          <t>Vertex Accessorie Pro-881</t>
        </is>
      </c>
      <c r="D5772" s="58" t="inlineStr">
        <is>
          <t>Apparel</t>
        </is>
      </c>
      <c r="E5772" s="58" t="inlineStr">
        <is>
          <t>Central</t>
        </is>
      </c>
      <c r="F5772" s="61" t="n">
        <v>1</v>
      </c>
      <c r="G5772" s="62" t="n">
        <v>106.62</v>
      </c>
      <c r="H5772" s="63" t="n">
        <v>0.073</v>
      </c>
      <c r="I5772" s="62" t="n">
        <v>62.17</v>
      </c>
      <c r="J5772" s="58" t="inlineStr">
        <is>
          <t>Online</t>
        </is>
      </c>
      <c r="K5772" s="62">
        <f>F5772*(G5772-H5772)</f>
        <v/>
      </c>
      <c r="L5772" s="62">
        <f>K5772-(F5772*I5772)</f>
        <v/>
      </c>
      <c r="M5772" s="64">
        <f>L5772/K5772</f>
        <v/>
      </c>
    </row>
    <row r="5773">
      <c r="A5773" s="58" t="inlineStr">
        <is>
          <t>RT20250528-05772</t>
        </is>
      </c>
      <c r="B5773" s="59" t="inlineStr">
        <is>
          <t>2025-05-28</t>
        </is>
      </c>
      <c r="C5773" s="60" t="inlineStr">
        <is>
          <t>Orion Haircare Plus-887</t>
        </is>
      </c>
      <c r="D5773" s="58" t="inlineStr">
        <is>
          <t>Beauty</t>
        </is>
      </c>
      <c r="E5773" s="58" t="inlineStr">
        <is>
          <t>South</t>
        </is>
      </c>
      <c r="F5773" s="61" t="n">
        <v>5</v>
      </c>
      <c r="G5773" s="62" t="n">
        <v>54.87</v>
      </c>
      <c r="H5773" s="63" t="n">
        <v>0.048</v>
      </c>
      <c r="I5773" s="62" t="n">
        <v>29.96</v>
      </c>
      <c r="J5773" s="58" t="inlineStr">
        <is>
          <t>Phone</t>
        </is>
      </c>
      <c r="K5773" s="62">
        <f>F5773*(G5773-H5773)</f>
        <v/>
      </c>
      <c r="L5773" s="62">
        <f>K5773-(F5773*I5773)</f>
        <v/>
      </c>
      <c r="M5773" s="64">
        <f>L5773/K5773</f>
        <v/>
      </c>
    </row>
    <row r="5774">
      <c r="A5774" s="58" t="inlineStr">
        <is>
          <t>RT20250528-05773</t>
        </is>
      </c>
      <c r="B5774" s="59" t="inlineStr">
        <is>
          <t>2025-05-28</t>
        </is>
      </c>
      <c r="C5774" s="60" t="inlineStr">
        <is>
          <t>Aurora Kid Plus-151</t>
        </is>
      </c>
      <c r="D5774" s="58" t="inlineStr">
        <is>
          <t>Apparel</t>
        </is>
      </c>
      <c r="E5774" s="58" t="inlineStr">
        <is>
          <t>East</t>
        </is>
      </c>
      <c r="F5774" s="61" t="n">
        <v>1</v>
      </c>
      <c r="G5774" s="62" t="n">
        <v>107.29</v>
      </c>
      <c r="H5774" s="63" t="n">
        <v>0.109</v>
      </c>
      <c r="I5774" s="62" t="n">
        <v>65.73999999999999</v>
      </c>
      <c r="J5774" s="58" t="inlineStr">
        <is>
          <t>Online</t>
        </is>
      </c>
      <c r="K5774" s="62">
        <f>F5774*(G5774-H5774)</f>
        <v/>
      </c>
      <c r="L5774" s="62">
        <f>K5774-(F5774*I5774)</f>
        <v/>
      </c>
      <c r="M5774" s="64">
        <f>L5774/K5774</f>
        <v/>
      </c>
    </row>
    <row r="5775">
      <c r="A5775" s="58" t="inlineStr">
        <is>
          <t>RT20250528-05774</t>
        </is>
      </c>
      <c r="B5775" s="59" t="inlineStr">
        <is>
          <t>2025-05-28</t>
        </is>
      </c>
      <c r="C5775" s="60" t="inlineStr">
        <is>
          <t>Orion Supplie S-612</t>
        </is>
      </c>
      <c r="D5775" s="58" t="inlineStr">
        <is>
          <t>Office</t>
        </is>
      </c>
      <c r="E5775" s="58" t="inlineStr">
        <is>
          <t>North</t>
        </is>
      </c>
      <c r="F5775" s="61" t="n">
        <v>1</v>
      </c>
      <c r="G5775" s="62" t="n">
        <v>461.82</v>
      </c>
      <c r="H5775" s="63" t="n">
        <v>0.063</v>
      </c>
      <c r="I5775" s="62" t="n">
        <v>345.86</v>
      </c>
      <c r="J5775" s="58" t="inlineStr">
        <is>
          <t>Online</t>
        </is>
      </c>
      <c r="K5775" s="62">
        <f>F5775*(G5775-H5775)</f>
        <v/>
      </c>
      <c r="L5775" s="62">
        <f>K5775-(F5775*I5775)</f>
        <v/>
      </c>
      <c r="M5775" s="64">
        <f>L5775/K5775</f>
        <v/>
      </c>
    </row>
    <row r="5776">
      <c r="A5776" s="58" t="inlineStr">
        <is>
          <t>RT20250528-05775</t>
        </is>
      </c>
      <c r="B5776" s="59" t="inlineStr">
        <is>
          <t>2025-05-28</t>
        </is>
      </c>
      <c r="C5776" s="60" t="inlineStr">
        <is>
          <t>Metro Beverage Max-490</t>
        </is>
      </c>
      <c r="D5776" s="58" t="inlineStr">
        <is>
          <t>Grocery</t>
        </is>
      </c>
      <c r="E5776" s="58" t="inlineStr">
        <is>
          <t>West</t>
        </is>
      </c>
      <c r="F5776" s="61" t="n">
        <v>8</v>
      </c>
      <c r="G5776" s="62" t="n">
        <v>12.2</v>
      </c>
      <c r="H5776" s="63" t="n">
        <v>0.076</v>
      </c>
      <c r="I5776" s="62" t="n">
        <v>8.140000000000001</v>
      </c>
      <c r="J5776" s="58" t="inlineStr">
        <is>
          <t>Store</t>
        </is>
      </c>
      <c r="K5776" s="62">
        <f>F5776*(G5776-H5776)</f>
        <v/>
      </c>
      <c r="L5776" s="62">
        <f>K5776-(F5776*I5776)</f>
        <v/>
      </c>
      <c r="M5776" s="64">
        <f>L5776/K5776</f>
        <v/>
      </c>
    </row>
    <row r="5777">
      <c r="A5777" s="58" t="inlineStr">
        <is>
          <t>RT20250528-05776</t>
        </is>
      </c>
      <c r="B5777" s="59" t="inlineStr">
        <is>
          <t>2025-05-28</t>
        </is>
      </c>
      <c r="C5777" s="60" t="inlineStr">
        <is>
          <t>Solace Kitchen Pro-510</t>
        </is>
      </c>
      <c r="D5777" s="58" t="inlineStr">
        <is>
          <t>Home</t>
        </is>
      </c>
      <c r="E5777" s="58" t="inlineStr">
        <is>
          <t>Central</t>
        </is>
      </c>
      <c r="F5777" s="61" t="n">
        <v>3</v>
      </c>
      <c r="G5777" s="62" t="n">
        <v>448.96</v>
      </c>
      <c r="H5777" s="63" t="n">
        <v>0.103</v>
      </c>
      <c r="I5777" s="62" t="n">
        <v>306.5</v>
      </c>
      <c r="J5777" s="58" t="inlineStr">
        <is>
          <t>Online</t>
        </is>
      </c>
      <c r="K5777" s="62">
        <f>F5777*(G5777-H5777)</f>
        <v/>
      </c>
      <c r="L5777" s="62">
        <f>K5777-(F5777*I5777)</f>
        <v/>
      </c>
      <c r="M5777" s="64">
        <f>L5777/K5777</f>
        <v/>
      </c>
    </row>
    <row r="5778">
      <c r="A5778" s="58" t="inlineStr">
        <is>
          <t>RT20250528-05777</t>
        </is>
      </c>
      <c r="B5778" s="59" t="inlineStr">
        <is>
          <t>2025-05-28</t>
        </is>
      </c>
      <c r="C5778" s="60" t="inlineStr">
        <is>
          <t>Nimbus Decor Lite-385</t>
        </is>
      </c>
      <c r="D5778" s="58" t="inlineStr">
        <is>
          <t>Home</t>
        </is>
      </c>
      <c r="E5778" s="58" t="inlineStr">
        <is>
          <t>North</t>
        </is>
      </c>
      <c r="F5778" s="61" t="n">
        <v>2</v>
      </c>
      <c r="G5778" s="62" t="n">
        <v>583.1799999999999</v>
      </c>
      <c r="H5778" s="63" t="n">
        <v>0.074</v>
      </c>
      <c r="I5778" s="62" t="n">
        <v>402.9</v>
      </c>
      <c r="J5778" s="58" t="inlineStr">
        <is>
          <t>Store</t>
        </is>
      </c>
      <c r="K5778" s="62">
        <f>F5778*(G5778-H5778)</f>
        <v/>
      </c>
      <c r="L5778" s="62">
        <f>K5778-(F5778*I5778)</f>
        <v/>
      </c>
      <c r="M5778" s="64">
        <f>L5778/K5778</f>
        <v/>
      </c>
    </row>
    <row r="5779">
      <c r="A5779" s="58" t="inlineStr">
        <is>
          <t>RT20250528-05778</t>
        </is>
      </c>
      <c r="B5779" s="59" t="inlineStr">
        <is>
          <t>2025-05-28</t>
        </is>
      </c>
      <c r="C5779" s="60" t="inlineStr">
        <is>
          <t>Aurora Printer Plus-723</t>
        </is>
      </c>
      <c r="D5779" s="58" t="inlineStr">
        <is>
          <t>Office</t>
        </is>
      </c>
      <c r="E5779" s="58" t="inlineStr">
        <is>
          <t>Central</t>
        </is>
      </c>
      <c r="F5779" s="61" t="n">
        <v>2</v>
      </c>
      <c r="G5779" s="62" t="n">
        <v>231.62</v>
      </c>
      <c r="H5779" s="63" t="n">
        <v>0.09</v>
      </c>
      <c r="I5779" s="62" t="n">
        <v>189.89</v>
      </c>
      <c r="J5779" s="58" t="inlineStr">
        <is>
          <t>Store</t>
        </is>
      </c>
      <c r="K5779" s="62">
        <f>F5779*(G5779-H5779)</f>
        <v/>
      </c>
      <c r="L5779" s="62">
        <f>K5779-(F5779*I5779)</f>
        <v/>
      </c>
      <c r="M5779" s="64">
        <f>L5779/K5779</f>
        <v/>
      </c>
    </row>
    <row r="5780">
      <c r="A5780" s="58" t="inlineStr">
        <is>
          <t>RT20250528-05779</t>
        </is>
      </c>
      <c r="B5780" s="59" t="inlineStr">
        <is>
          <t>2025-05-28</t>
        </is>
      </c>
      <c r="C5780" s="60" t="inlineStr">
        <is>
          <t>Orion Beverage Plus-949</t>
        </is>
      </c>
      <c r="D5780" s="58" t="inlineStr">
        <is>
          <t>Grocery</t>
        </is>
      </c>
      <c r="E5780" s="58" t="inlineStr">
        <is>
          <t>West</t>
        </is>
      </c>
      <c r="F5780" s="61" t="n">
        <v>7</v>
      </c>
      <c r="G5780" s="62" t="n">
        <v>17.42</v>
      </c>
      <c r="H5780" s="63" t="n">
        <v>0.033</v>
      </c>
      <c r="I5780" s="62" t="n">
        <v>13.89</v>
      </c>
      <c r="J5780" s="58" t="inlineStr">
        <is>
          <t>Online</t>
        </is>
      </c>
      <c r="K5780" s="62">
        <f>F5780*(G5780-H5780)</f>
        <v/>
      </c>
      <c r="L5780" s="62">
        <f>K5780-(F5780*I5780)</f>
        <v/>
      </c>
      <c r="M5780" s="64">
        <f>L5780/K5780</f>
        <v/>
      </c>
    </row>
    <row r="5781">
      <c r="A5781" s="58" t="inlineStr">
        <is>
          <t>RT20250528-05780</t>
        </is>
      </c>
      <c r="B5781" s="59" t="inlineStr">
        <is>
          <t>2025-05-28</t>
        </is>
      </c>
      <c r="C5781" s="60" t="inlineStr">
        <is>
          <t>Aurora Bedding Max-175</t>
        </is>
      </c>
      <c r="D5781" s="58" t="inlineStr">
        <is>
          <t>Home</t>
        </is>
      </c>
      <c r="E5781" s="58" t="inlineStr">
        <is>
          <t>South</t>
        </is>
      </c>
      <c r="F5781" s="61" t="n">
        <v>3</v>
      </c>
      <c r="G5781" s="62" t="n">
        <v>594.72</v>
      </c>
      <c r="H5781" s="63" t="n">
        <v>0.058</v>
      </c>
      <c r="I5781" s="62" t="n">
        <v>412.91</v>
      </c>
      <c r="J5781" s="58" t="inlineStr">
        <is>
          <t>Online</t>
        </is>
      </c>
      <c r="K5781" s="62">
        <f>F5781*(G5781-H5781)</f>
        <v/>
      </c>
      <c r="L5781" s="62">
        <f>K5781-(F5781*I5781)</f>
        <v/>
      </c>
      <c r="M5781" s="64">
        <f>L5781/K5781</f>
        <v/>
      </c>
    </row>
    <row r="5782">
      <c r="A5782" s="58" t="inlineStr">
        <is>
          <t>RT20250528-05781</t>
        </is>
      </c>
      <c r="B5782" s="59" t="inlineStr">
        <is>
          <t>2025-05-28</t>
        </is>
      </c>
      <c r="C5782" s="60" t="inlineStr">
        <is>
          <t>Metro Laptop Plus-376</t>
        </is>
      </c>
      <c r="D5782" s="58" t="inlineStr">
        <is>
          <t>Electronics</t>
        </is>
      </c>
      <c r="E5782" s="58" t="inlineStr">
        <is>
          <t>Central</t>
        </is>
      </c>
      <c r="F5782" s="61" t="n">
        <v>1</v>
      </c>
      <c r="G5782" s="62" t="n">
        <v>1351.07</v>
      </c>
      <c r="H5782" s="63" t="n">
        <v>0.027</v>
      </c>
      <c r="I5782" s="62" t="n">
        <v>1039.13</v>
      </c>
      <c r="J5782" s="58" t="inlineStr">
        <is>
          <t>Store</t>
        </is>
      </c>
      <c r="K5782" s="62">
        <f>F5782*(G5782-H5782)</f>
        <v/>
      </c>
      <c r="L5782" s="62">
        <f>K5782-(F5782*I5782)</f>
        <v/>
      </c>
      <c r="M5782" s="64">
        <f>L5782/K5782</f>
        <v/>
      </c>
    </row>
    <row r="5783">
      <c r="A5783" s="58" t="inlineStr">
        <is>
          <t>RT20250528-05782</t>
        </is>
      </c>
      <c r="B5783" s="59" t="inlineStr">
        <is>
          <t>2025-05-28</t>
        </is>
      </c>
      <c r="C5783" s="60" t="inlineStr">
        <is>
          <t>Polar Fragrance Pro-750</t>
        </is>
      </c>
      <c r="D5783" s="58" t="inlineStr">
        <is>
          <t>Beauty</t>
        </is>
      </c>
      <c r="E5783" s="58" t="inlineStr">
        <is>
          <t>North</t>
        </is>
      </c>
      <c r="F5783" s="61" t="n">
        <v>3</v>
      </c>
      <c r="G5783" s="62" t="n">
        <v>54.11</v>
      </c>
      <c r="H5783" s="63" t="n">
        <v>0.048</v>
      </c>
      <c r="I5783" s="62" t="n">
        <v>35.98</v>
      </c>
      <c r="J5783" s="58" t="inlineStr">
        <is>
          <t>Phone</t>
        </is>
      </c>
      <c r="K5783" s="62">
        <f>F5783*(G5783-H5783)</f>
        <v/>
      </c>
      <c r="L5783" s="62">
        <f>K5783-(F5783*I5783)</f>
        <v/>
      </c>
      <c r="M5783" s="64">
        <f>L5783/K5783</f>
        <v/>
      </c>
    </row>
    <row r="5784">
      <c r="A5784" s="58" t="inlineStr">
        <is>
          <t>RT20250528-05783</t>
        </is>
      </c>
      <c r="B5784" s="59" t="inlineStr">
        <is>
          <t>2025-05-28</t>
        </is>
      </c>
      <c r="C5784" s="60" t="inlineStr">
        <is>
          <t>Orion Beverage Plus-949</t>
        </is>
      </c>
      <c r="D5784" s="58" t="inlineStr">
        <is>
          <t>Grocery</t>
        </is>
      </c>
      <c r="E5784" s="58" t="inlineStr">
        <is>
          <t>Central</t>
        </is>
      </c>
      <c r="F5784" s="61" t="n">
        <v>3</v>
      </c>
      <c r="G5784" s="62" t="n">
        <v>15.79</v>
      </c>
      <c r="H5784" s="63" t="n">
        <v>0.012</v>
      </c>
      <c r="I5784" s="62" t="n">
        <v>13.27</v>
      </c>
      <c r="J5784" s="58" t="inlineStr">
        <is>
          <t>Online</t>
        </is>
      </c>
      <c r="K5784" s="62">
        <f>F5784*(G5784-H5784)</f>
        <v/>
      </c>
      <c r="L5784" s="62">
        <f>K5784-(F5784*I5784)</f>
        <v/>
      </c>
      <c r="M5784" s="64">
        <f>L5784/K5784</f>
        <v/>
      </c>
    </row>
    <row r="5785">
      <c r="A5785" s="58" t="inlineStr">
        <is>
          <t>RT20250528-05784</t>
        </is>
      </c>
      <c r="B5785" s="59" t="inlineStr">
        <is>
          <t>2025-05-28</t>
        </is>
      </c>
      <c r="C5785" s="60" t="inlineStr">
        <is>
          <t>Falcon Kitchen X-130</t>
        </is>
      </c>
      <c r="D5785" s="58" t="inlineStr">
        <is>
          <t>Home</t>
        </is>
      </c>
      <c r="E5785" s="58" t="inlineStr">
        <is>
          <t>North</t>
        </is>
      </c>
      <c r="F5785" s="61" t="n">
        <v>1</v>
      </c>
      <c r="G5785" s="62" t="n">
        <v>388.8</v>
      </c>
      <c r="H5785" s="63" t="n">
        <v>0.07099999999999999</v>
      </c>
      <c r="I5785" s="62" t="n">
        <v>280.85</v>
      </c>
      <c r="J5785" s="58" t="inlineStr">
        <is>
          <t>Online</t>
        </is>
      </c>
      <c r="K5785" s="62">
        <f>F5785*(G5785-H5785)</f>
        <v/>
      </c>
      <c r="L5785" s="62">
        <f>K5785-(F5785*I5785)</f>
        <v/>
      </c>
      <c r="M5785" s="64">
        <f>L5785/K5785</f>
        <v/>
      </c>
    </row>
    <row r="5786">
      <c r="A5786" s="58" t="inlineStr">
        <is>
          <t>RT20250528-05785</t>
        </is>
      </c>
      <c r="B5786" s="59" t="inlineStr">
        <is>
          <t>2025-05-28</t>
        </is>
      </c>
      <c r="C5786" s="60" t="inlineStr">
        <is>
          <t>Orion Beverage Plus-949</t>
        </is>
      </c>
      <c r="D5786" s="58" t="inlineStr">
        <is>
          <t>Grocery</t>
        </is>
      </c>
      <c r="E5786" s="58" t="inlineStr">
        <is>
          <t>Central</t>
        </is>
      </c>
      <c r="F5786" s="61" t="n">
        <v>4</v>
      </c>
      <c r="G5786" s="62" t="n">
        <v>17.35</v>
      </c>
      <c r="H5786" s="63" t="n">
        <v>0.12</v>
      </c>
      <c r="I5786" s="62" t="n">
        <v>13.67</v>
      </c>
      <c r="J5786" s="58" t="inlineStr">
        <is>
          <t>Store</t>
        </is>
      </c>
      <c r="K5786" s="62">
        <f>F5786*(G5786-H5786)</f>
        <v/>
      </c>
      <c r="L5786" s="62">
        <f>K5786-(F5786*I5786)</f>
        <v/>
      </c>
      <c r="M5786" s="64">
        <f>L5786/K5786</f>
        <v/>
      </c>
    </row>
    <row r="5787">
      <c r="A5787" s="58" t="inlineStr">
        <is>
          <t>RT20250528-05786</t>
        </is>
      </c>
      <c r="B5787" s="59" t="inlineStr">
        <is>
          <t>2025-05-28</t>
        </is>
      </c>
      <c r="C5787" s="60" t="inlineStr">
        <is>
          <t>Polar Outdoor Lite-318</t>
        </is>
      </c>
      <c r="D5787" s="58" t="inlineStr">
        <is>
          <t>Sports</t>
        </is>
      </c>
      <c r="E5787" s="58" t="inlineStr">
        <is>
          <t>West</t>
        </is>
      </c>
      <c r="F5787" s="61" t="n">
        <v>1</v>
      </c>
      <c r="G5787" s="62" t="n">
        <v>718.63</v>
      </c>
      <c r="H5787" s="63" t="n">
        <v>0.064</v>
      </c>
      <c r="I5787" s="62" t="n">
        <v>470.77</v>
      </c>
      <c r="J5787" s="58" t="inlineStr">
        <is>
          <t>Online</t>
        </is>
      </c>
      <c r="K5787" s="62">
        <f>F5787*(G5787-H5787)</f>
        <v/>
      </c>
      <c r="L5787" s="62">
        <f>K5787-(F5787*I5787)</f>
        <v/>
      </c>
      <c r="M5787" s="64">
        <f>L5787/K5787</f>
        <v/>
      </c>
    </row>
    <row r="5788">
      <c r="A5788" s="58" t="inlineStr">
        <is>
          <t>RT20250528-05787</t>
        </is>
      </c>
      <c r="B5788" s="59" t="inlineStr">
        <is>
          <t>2025-05-28</t>
        </is>
      </c>
      <c r="C5788" s="60" t="inlineStr">
        <is>
          <t>Solace Headphone Pro-344</t>
        </is>
      </c>
      <c r="D5788" s="58" t="inlineStr">
        <is>
          <t>Electronics</t>
        </is>
      </c>
      <c r="E5788" s="58" t="inlineStr">
        <is>
          <t>North</t>
        </is>
      </c>
      <c r="F5788" s="61" t="n">
        <v>2</v>
      </c>
      <c r="G5788" s="62" t="n">
        <v>1222.8</v>
      </c>
      <c r="H5788" s="63" t="n">
        <v>0.014</v>
      </c>
      <c r="I5788" s="62" t="n">
        <v>1068.76</v>
      </c>
      <c r="J5788" s="58" t="inlineStr">
        <is>
          <t>Online</t>
        </is>
      </c>
      <c r="K5788" s="62">
        <f>F5788*(G5788-H5788)</f>
        <v/>
      </c>
      <c r="L5788" s="62">
        <f>K5788-(F5788*I5788)</f>
        <v/>
      </c>
      <c r="M5788" s="64">
        <f>L5788/K5788</f>
        <v/>
      </c>
    </row>
    <row r="5789">
      <c r="A5789" s="58" t="inlineStr">
        <is>
          <t>RT20250528-05788</t>
        </is>
      </c>
      <c r="B5789" s="59" t="inlineStr">
        <is>
          <t>2025-05-28</t>
        </is>
      </c>
      <c r="C5789" s="60" t="inlineStr">
        <is>
          <t>Vertex Snack S-702</t>
        </is>
      </c>
      <c r="D5789" s="58" t="inlineStr">
        <is>
          <t>Grocery</t>
        </is>
      </c>
      <c r="E5789" s="58" t="inlineStr">
        <is>
          <t>North</t>
        </is>
      </c>
      <c r="F5789" s="61" t="n">
        <v>7</v>
      </c>
      <c r="G5789" s="62" t="n">
        <v>2.02</v>
      </c>
      <c r="H5789" s="63" t="n">
        <v>0.114</v>
      </c>
      <c r="I5789" s="62" t="n">
        <v>1.48</v>
      </c>
      <c r="J5789" s="58" t="inlineStr">
        <is>
          <t>Store</t>
        </is>
      </c>
      <c r="K5789" s="62">
        <f>F5789*(G5789-H5789)</f>
        <v/>
      </c>
      <c r="L5789" s="62">
        <f>K5789-(F5789*I5789)</f>
        <v/>
      </c>
      <c r="M5789" s="64">
        <f>L5789/K5789</f>
        <v/>
      </c>
    </row>
    <row r="5790">
      <c r="A5790" s="58" t="inlineStr">
        <is>
          <t>RT20250528-05789</t>
        </is>
      </c>
      <c r="B5790" s="59" t="inlineStr">
        <is>
          <t>2025-05-28</t>
        </is>
      </c>
      <c r="C5790" s="60" t="inlineStr">
        <is>
          <t>Aurora Bedding Plus-187</t>
        </is>
      </c>
      <c r="D5790" s="58" t="inlineStr">
        <is>
          <t>Home</t>
        </is>
      </c>
      <c r="E5790" s="58" t="inlineStr">
        <is>
          <t>Central</t>
        </is>
      </c>
      <c r="F5790" s="61" t="n">
        <v>1</v>
      </c>
      <c r="G5790" s="62" t="n">
        <v>304.3</v>
      </c>
      <c r="H5790" s="63" t="n">
        <v>0.08400000000000001</v>
      </c>
      <c r="I5790" s="62" t="n">
        <v>208.66</v>
      </c>
      <c r="J5790" s="58" t="inlineStr">
        <is>
          <t>Online</t>
        </is>
      </c>
      <c r="K5790" s="62">
        <f>F5790*(G5790-H5790)</f>
        <v/>
      </c>
      <c r="L5790" s="62">
        <f>K5790-(F5790*I5790)</f>
        <v/>
      </c>
      <c r="M5790" s="64">
        <f>L5790/K5790</f>
        <v/>
      </c>
    </row>
    <row r="5791">
      <c r="A5791" s="58" t="inlineStr">
        <is>
          <t>RT20250528-05790</t>
        </is>
      </c>
      <c r="B5791" s="59" t="inlineStr">
        <is>
          <t>2025-05-28</t>
        </is>
      </c>
      <c r="C5791" s="60" t="inlineStr">
        <is>
          <t>Polar Beverage S-258</t>
        </is>
      </c>
      <c r="D5791" s="58" t="inlineStr">
        <is>
          <t>Grocery</t>
        </is>
      </c>
      <c r="E5791" s="58" t="inlineStr">
        <is>
          <t>South</t>
        </is>
      </c>
      <c r="F5791" s="61" t="n">
        <v>5</v>
      </c>
      <c r="G5791" s="62" t="n">
        <v>13.5</v>
      </c>
      <c r="H5791" s="63" t="n">
        <v>0.074</v>
      </c>
      <c r="I5791" s="62" t="n">
        <v>9.98</v>
      </c>
      <c r="J5791" s="58" t="inlineStr">
        <is>
          <t>Store</t>
        </is>
      </c>
      <c r="K5791" s="62">
        <f>F5791*(G5791-H5791)</f>
        <v/>
      </c>
      <c r="L5791" s="62">
        <f>K5791-(F5791*I5791)</f>
        <v/>
      </c>
      <c r="M5791" s="64">
        <f>L5791/K5791</f>
        <v/>
      </c>
    </row>
    <row r="5792">
      <c r="A5792" s="58" t="inlineStr">
        <is>
          <t>RT20250528-05791</t>
        </is>
      </c>
      <c r="B5792" s="59" t="inlineStr">
        <is>
          <t>2025-05-28</t>
        </is>
      </c>
      <c r="C5792" s="60" t="inlineStr">
        <is>
          <t>Solace Kitchen X-919</t>
        </is>
      </c>
      <c r="D5792" s="58" t="inlineStr">
        <is>
          <t>Home</t>
        </is>
      </c>
      <c r="E5792" s="58" t="inlineStr">
        <is>
          <t>Central</t>
        </is>
      </c>
      <c r="F5792" s="61" t="n">
        <v>2</v>
      </c>
      <c r="G5792" s="62" t="n">
        <v>384.42</v>
      </c>
      <c r="H5792" s="63" t="n">
        <v>0.057</v>
      </c>
      <c r="I5792" s="62" t="n">
        <v>262.87</v>
      </c>
      <c r="J5792" s="58" t="inlineStr">
        <is>
          <t>Store</t>
        </is>
      </c>
      <c r="K5792" s="62">
        <f>F5792*(G5792-H5792)</f>
        <v/>
      </c>
      <c r="L5792" s="62">
        <f>K5792-(F5792*I5792)</f>
        <v/>
      </c>
      <c r="M5792" s="64">
        <f>L5792/K5792</f>
        <v/>
      </c>
    </row>
    <row r="5793">
      <c r="A5793" s="58" t="inlineStr">
        <is>
          <t>RT20250528-05792</t>
        </is>
      </c>
      <c r="B5793" s="59" t="inlineStr">
        <is>
          <t>2025-05-28</t>
        </is>
      </c>
      <c r="C5793" s="60" t="inlineStr">
        <is>
          <t>Orion Beverage Plus-949</t>
        </is>
      </c>
      <c r="D5793" s="58" t="inlineStr">
        <is>
          <t>Grocery</t>
        </is>
      </c>
      <c r="E5793" s="58" t="inlineStr">
        <is>
          <t>Central</t>
        </is>
      </c>
      <c r="F5793" s="61" t="n">
        <v>7</v>
      </c>
      <c r="G5793" s="62" t="n">
        <v>20.85</v>
      </c>
      <c r="H5793" s="63" t="n">
        <v>0.062</v>
      </c>
      <c r="I5793" s="62" t="n">
        <v>13.45</v>
      </c>
      <c r="J5793" s="58" t="inlineStr">
        <is>
          <t>Online</t>
        </is>
      </c>
      <c r="K5793" s="62">
        <f>F5793*(G5793-H5793)</f>
        <v/>
      </c>
      <c r="L5793" s="62">
        <f>K5793-(F5793*I5793)</f>
        <v/>
      </c>
      <c r="M5793" s="64">
        <f>L5793/K5793</f>
        <v/>
      </c>
    </row>
    <row r="5794">
      <c r="A5794" s="58" t="inlineStr">
        <is>
          <t>RT20250528-05793</t>
        </is>
      </c>
      <c r="B5794" s="59" t="inlineStr">
        <is>
          <t>2025-05-28</t>
        </is>
      </c>
      <c r="C5794" s="60" t="inlineStr">
        <is>
          <t>Falcon Accessorie S-195</t>
        </is>
      </c>
      <c r="D5794" s="58" t="inlineStr">
        <is>
          <t>Apparel</t>
        </is>
      </c>
      <c r="E5794" s="58" t="inlineStr">
        <is>
          <t>Central</t>
        </is>
      </c>
      <c r="F5794" s="61" t="n">
        <v>3</v>
      </c>
      <c r="G5794" s="62" t="n">
        <v>66.43000000000001</v>
      </c>
      <c r="H5794" s="63" t="n">
        <v>0.019</v>
      </c>
      <c r="I5794" s="62" t="n">
        <v>44.25</v>
      </c>
      <c r="J5794" s="58" t="inlineStr">
        <is>
          <t>Online</t>
        </is>
      </c>
      <c r="K5794" s="62">
        <f>F5794*(G5794-H5794)</f>
        <v/>
      </c>
      <c r="L5794" s="62">
        <f>K5794-(F5794*I5794)</f>
        <v/>
      </c>
      <c r="M5794" s="64">
        <f>L5794/K5794</f>
        <v/>
      </c>
    </row>
    <row r="5795">
      <c r="A5795" s="58" t="inlineStr">
        <is>
          <t>RT20250528-05794</t>
        </is>
      </c>
      <c r="B5795" s="59" t="inlineStr">
        <is>
          <t>2025-05-28</t>
        </is>
      </c>
      <c r="C5795" s="60" t="inlineStr">
        <is>
          <t>Orion Laptop S-350</t>
        </is>
      </c>
      <c r="D5795" s="58" t="inlineStr">
        <is>
          <t>Electronics</t>
        </is>
      </c>
      <c r="E5795" s="58" t="inlineStr">
        <is>
          <t>South</t>
        </is>
      </c>
      <c r="F5795" s="61" t="n">
        <v>1</v>
      </c>
      <c r="G5795" s="62" t="n">
        <v>1289.85</v>
      </c>
      <c r="H5795" s="63" t="n">
        <v>0.014</v>
      </c>
      <c r="I5795" s="62" t="n">
        <v>1054.54</v>
      </c>
      <c r="J5795" s="58" t="inlineStr">
        <is>
          <t>Online</t>
        </is>
      </c>
      <c r="K5795" s="62">
        <f>F5795*(G5795-H5795)</f>
        <v/>
      </c>
      <c r="L5795" s="62">
        <f>K5795-(F5795*I5795)</f>
        <v/>
      </c>
      <c r="M5795" s="64">
        <f>L5795/K5795</f>
        <v/>
      </c>
    </row>
    <row r="5796">
      <c r="A5796" s="58" t="inlineStr">
        <is>
          <t>RT20250528-05795</t>
        </is>
      </c>
      <c r="B5796" s="59" t="inlineStr">
        <is>
          <t>2025-05-28</t>
        </is>
      </c>
      <c r="C5796" s="60" t="inlineStr">
        <is>
          <t>Solace Kitchen Pro-999</t>
        </is>
      </c>
      <c r="D5796" s="58" t="inlineStr">
        <is>
          <t>Home</t>
        </is>
      </c>
      <c r="E5796" s="58" t="inlineStr">
        <is>
          <t>South</t>
        </is>
      </c>
      <c r="F5796" s="61" t="n">
        <v>1</v>
      </c>
      <c r="G5796" s="62" t="n">
        <v>388.26</v>
      </c>
      <c r="H5796" s="63" t="n">
        <v>0.061</v>
      </c>
      <c r="I5796" s="62" t="n">
        <v>264.51</v>
      </c>
      <c r="J5796" s="58" t="inlineStr">
        <is>
          <t>Store</t>
        </is>
      </c>
      <c r="K5796" s="62">
        <f>F5796*(G5796-H5796)</f>
        <v/>
      </c>
      <c r="L5796" s="62">
        <f>K5796-(F5796*I5796)</f>
        <v/>
      </c>
      <c r="M5796" s="64">
        <f>L5796/K5796</f>
        <v/>
      </c>
    </row>
    <row r="5797">
      <c r="A5797" s="58" t="inlineStr">
        <is>
          <t>RT20250528-05796</t>
        </is>
      </c>
      <c r="B5797" s="59" t="inlineStr">
        <is>
          <t>2025-05-28</t>
        </is>
      </c>
      <c r="C5797" s="60" t="inlineStr">
        <is>
          <t>Aurora Bedding Plus-187</t>
        </is>
      </c>
      <c r="D5797" s="58" t="inlineStr">
        <is>
          <t>Home</t>
        </is>
      </c>
      <c r="E5797" s="58" t="inlineStr">
        <is>
          <t>North</t>
        </is>
      </c>
      <c r="F5797" s="61" t="n">
        <v>1</v>
      </c>
      <c r="G5797" s="62" t="n">
        <v>306.25</v>
      </c>
      <c r="H5797" s="63" t="n">
        <v>0.061</v>
      </c>
      <c r="I5797" s="62" t="n">
        <v>204.9</v>
      </c>
      <c r="J5797" s="58" t="inlineStr">
        <is>
          <t>Store</t>
        </is>
      </c>
      <c r="K5797" s="62">
        <f>F5797*(G5797-H5797)</f>
        <v/>
      </c>
      <c r="L5797" s="62">
        <f>K5797-(F5797*I5797)</f>
        <v/>
      </c>
      <c r="M5797" s="64">
        <f>L5797/K5797</f>
        <v/>
      </c>
    </row>
    <row r="5798">
      <c r="A5798" s="58" t="inlineStr">
        <is>
          <t>RT20250528-05797</t>
        </is>
      </c>
      <c r="B5798" s="59" t="inlineStr">
        <is>
          <t>2025-05-28</t>
        </is>
      </c>
      <c r="C5798" s="60" t="inlineStr">
        <is>
          <t>Polar Women Max-927</t>
        </is>
      </c>
      <c r="D5798" s="58" t="inlineStr">
        <is>
          <t>Apparel</t>
        </is>
      </c>
      <c r="E5798" s="58" t="inlineStr">
        <is>
          <t>East</t>
        </is>
      </c>
      <c r="F5798" s="61" t="n">
        <v>2</v>
      </c>
      <c r="G5798" s="62" t="n">
        <v>128.95</v>
      </c>
      <c r="H5798" s="63" t="n">
        <v>0.027</v>
      </c>
      <c r="I5798" s="62" t="n">
        <v>64.14</v>
      </c>
      <c r="J5798" s="58" t="inlineStr">
        <is>
          <t>Store</t>
        </is>
      </c>
      <c r="K5798" s="62">
        <f>F5798*(G5798-H5798)</f>
        <v/>
      </c>
      <c r="L5798" s="62">
        <f>K5798-(F5798*I5798)</f>
        <v/>
      </c>
      <c r="M5798" s="64">
        <f>L5798/K5798</f>
        <v/>
      </c>
    </row>
    <row r="5799">
      <c r="A5799" s="58" t="inlineStr">
        <is>
          <t>RT20250528-05798</t>
        </is>
      </c>
      <c r="B5799" s="59" t="inlineStr">
        <is>
          <t>2025-05-28</t>
        </is>
      </c>
      <c r="C5799" s="60" t="inlineStr">
        <is>
          <t>Aurora Appliance Lite-109</t>
        </is>
      </c>
      <c r="D5799" s="58" t="inlineStr">
        <is>
          <t>Home</t>
        </is>
      </c>
      <c r="E5799" s="58" t="inlineStr">
        <is>
          <t>West</t>
        </is>
      </c>
      <c r="F5799" s="61" t="n">
        <v>2</v>
      </c>
      <c r="G5799" s="62" t="n">
        <v>323.71</v>
      </c>
      <c r="H5799" s="63" t="n">
        <v>0.018</v>
      </c>
      <c r="I5799" s="62" t="n">
        <v>201.21</v>
      </c>
      <c r="J5799" s="58" t="inlineStr">
        <is>
          <t>Phone</t>
        </is>
      </c>
      <c r="K5799" s="62">
        <f>F5799*(G5799-H5799)</f>
        <v/>
      </c>
      <c r="L5799" s="62">
        <f>K5799-(F5799*I5799)</f>
        <v/>
      </c>
      <c r="M5799" s="64">
        <f>L5799/K5799</f>
        <v/>
      </c>
    </row>
    <row r="5800">
      <c r="A5800" s="58" t="inlineStr">
        <is>
          <t>RT20250528-05799</t>
        </is>
      </c>
      <c r="B5800" s="59" t="inlineStr">
        <is>
          <t>2025-05-28</t>
        </is>
      </c>
      <c r="C5800" s="60" t="inlineStr">
        <is>
          <t>Falcon Storage X-734</t>
        </is>
      </c>
      <c r="D5800" s="58" t="inlineStr">
        <is>
          <t>Office</t>
        </is>
      </c>
      <c r="E5800" s="58" t="inlineStr">
        <is>
          <t>East</t>
        </is>
      </c>
      <c r="F5800" s="61" t="n">
        <v>3</v>
      </c>
      <c r="G5800" s="62" t="n">
        <v>388.1</v>
      </c>
      <c r="H5800" s="63" t="n">
        <v>0.075</v>
      </c>
      <c r="I5800" s="62" t="n">
        <v>287.57</v>
      </c>
      <c r="J5800" s="58" t="inlineStr">
        <is>
          <t>Online</t>
        </is>
      </c>
      <c r="K5800" s="62">
        <f>F5800*(G5800-H5800)</f>
        <v/>
      </c>
      <c r="L5800" s="62">
        <f>K5800-(F5800*I5800)</f>
        <v/>
      </c>
      <c r="M5800" s="64">
        <f>L5800/K5800</f>
        <v/>
      </c>
    </row>
    <row r="5801">
      <c r="A5801" s="58" t="inlineStr">
        <is>
          <t>RT20250529-05800</t>
        </is>
      </c>
      <c r="B5801" s="59" t="inlineStr">
        <is>
          <t>2025-05-29</t>
        </is>
      </c>
      <c r="C5801" s="60" t="inlineStr">
        <is>
          <t>Polar Beverage S-258</t>
        </is>
      </c>
      <c r="D5801" s="58" t="inlineStr">
        <is>
          <t>Grocery</t>
        </is>
      </c>
      <c r="E5801" s="58" t="inlineStr">
        <is>
          <t>Central</t>
        </is>
      </c>
      <c r="F5801" s="61" t="n">
        <v>3</v>
      </c>
      <c r="G5801" s="62" t="n">
        <v>13.63</v>
      </c>
      <c r="H5801" s="63" t="n">
        <v>0.115</v>
      </c>
      <c r="I5801" s="62" t="n">
        <v>9.83</v>
      </c>
      <c r="J5801" s="58" t="inlineStr">
        <is>
          <t>Store</t>
        </is>
      </c>
      <c r="K5801" s="62">
        <f>F5801*(G5801-H5801)</f>
        <v/>
      </c>
      <c r="L5801" s="62">
        <f>K5801-(F5801*I5801)</f>
        <v/>
      </c>
      <c r="M5801" s="64">
        <f>L5801/K5801</f>
        <v/>
      </c>
    </row>
    <row r="5802">
      <c r="A5802" s="58" t="inlineStr">
        <is>
          <t>RT20250529-05801</t>
        </is>
      </c>
      <c r="B5802" s="59" t="inlineStr">
        <is>
          <t>2025-05-29</t>
        </is>
      </c>
      <c r="C5802" s="60" t="inlineStr">
        <is>
          <t>Falcon Household Plus-796</t>
        </is>
      </c>
      <c r="D5802" s="58" t="inlineStr">
        <is>
          <t>Grocery</t>
        </is>
      </c>
      <c r="E5802" s="58" t="inlineStr">
        <is>
          <t>North</t>
        </is>
      </c>
      <c r="F5802" s="61" t="n">
        <v>4</v>
      </c>
      <c r="G5802" s="62" t="n">
        <v>23.9</v>
      </c>
      <c r="H5802" s="63" t="n">
        <v>0.08400000000000001</v>
      </c>
      <c r="I5802" s="62" t="n">
        <v>17.47</v>
      </c>
      <c r="J5802" s="58" t="inlineStr">
        <is>
          <t>Online</t>
        </is>
      </c>
      <c r="K5802" s="62">
        <f>F5802*(G5802-H5802)</f>
        <v/>
      </c>
      <c r="L5802" s="62">
        <f>K5802-(F5802*I5802)</f>
        <v/>
      </c>
      <c r="M5802" s="64">
        <f>L5802/K5802</f>
        <v/>
      </c>
    </row>
    <row r="5803">
      <c r="A5803" s="58" t="inlineStr">
        <is>
          <t>RT20250529-05802</t>
        </is>
      </c>
      <c r="B5803" s="59" t="inlineStr">
        <is>
          <t>2025-05-29</t>
        </is>
      </c>
      <c r="C5803" s="60" t="inlineStr">
        <is>
          <t>Falcon Kitchen X-130</t>
        </is>
      </c>
      <c r="D5803" s="58" t="inlineStr">
        <is>
          <t>Home</t>
        </is>
      </c>
      <c r="E5803" s="58" t="inlineStr">
        <is>
          <t>Central</t>
        </is>
      </c>
      <c r="F5803" s="61" t="n">
        <v>1</v>
      </c>
      <c r="G5803" s="62" t="n">
        <v>447.88</v>
      </c>
      <c r="H5803" s="63" t="n">
        <v>0.03</v>
      </c>
      <c r="I5803" s="62" t="n">
        <v>293.87</v>
      </c>
      <c r="J5803" s="58" t="inlineStr">
        <is>
          <t>Store</t>
        </is>
      </c>
      <c r="K5803" s="62">
        <f>F5803*(G5803-H5803)</f>
        <v/>
      </c>
      <c r="L5803" s="62">
        <f>K5803-(F5803*I5803)</f>
        <v/>
      </c>
      <c r="M5803" s="64">
        <f>L5803/K5803</f>
        <v/>
      </c>
    </row>
    <row r="5804">
      <c r="A5804" s="58" t="inlineStr">
        <is>
          <t>RT20250529-05803</t>
        </is>
      </c>
      <c r="B5804" s="59" t="inlineStr">
        <is>
          <t>2025-05-29</t>
        </is>
      </c>
      <c r="C5804" s="60" t="inlineStr">
        <is>
          <t>Metro Printer X-294</t>
        </is>
      </c>
      <c r="D5804" s="58" t="inlineStr">
        <is>
          <t>Office</t>
        </is>
      </c>
      <c r="E5804" s="58" t="inlineStr">
        <is>
          <t>Central</t>
        </is>
      </c>
      <c r="F5804" s="61" t="n">
        <v>1</v>
      </c>
      <c r="G5804" s="62" t="n">
        <v>561.98</v>
      </c>
      <c r="H5804" s="63" t="n">
        <v>0.099</v>
      </c>
      <c r="I5804" s="62" t="n">
        <v>420.25</v>
      </c>
      <c r="J5804" s="58" t="inlineStr">
        <is>
          <t>Store</t>
        </is>
      </c>
      <c r="K5804" s="62">
        <f>F5804*(G5804-H5804)</f>
        <v/>
      </c>
      <c r="L5804" s="62">
        <f>K5804-(F5804*I5804)</f>
        <v/>
      </c>
      <c r="M5804" s="64">
        <f>L5804/K5804</f>
        <v/>
      </c>
    </row>
    <row r="5805">
      <c r="A5805" s="58" t="inlineStr">
        <is>
          <t>RT20250529-05804</t>
        </is>
      </c>
      <c r="B5805" s="59" t="inlineStr">
        <is>
          <t>2025-05-29</t>
        </is>
      </c>
      <c r="C5805" s="60" t="inlineStr">
        <is>
          <t>Orion Snack X-322</t>
        </is>
      </c>
      <c r="D5805" s="58" t="inlineStr">
        <is>
          <t>Grocery</t>
        </is>
      </c>
      <c r="E5805" s="58" t="inlineStr">
        <is>
          <t>North</t>
        </is>
      </c>
      <c r="F5805" s="61" t="n">
        <v>3</v>
      </c>
      <c r="G5805" s="62" t="n">
        <v>15.23</v>
      </c>
      <c r="H5805" s="63" t="n">
        <v>0.006</v>
      </c>
      <c r="I5805" s="62" t="n">
        <v>10.17</v>
      </c>
      <c r="J5805" s="58" t="inlineStr">
        <is>
          <t>Store</t>
        </is>
      </c>
      <c r="K5805" s="62">
        <f>F5805*(G5805-H5805)</f>
        <v/>
      </c>
      <c r="L5805" s="62">
        <f>K5805-(F5805*I5805)</f>
        <v/>
      </c>
      <c r="M5805" s="64">
        <f>L5805/K5805</f>
        <v/>
      </c>
    </row>
    <row r="5806">
      <c r="A5806" s="58" t="inlineStr">
        <is>
          <t>RT20250529-05805</t>
        </is>
      </c>
      <c r="B5806" s="59" t="inlineStr">
        <is>
          <t>2025-05-29</t>
        </is>
      </c>
      <c r="C5806" s="60" t="inlineStr">
        <is>
          <t>Polar Fragrance Pro-750</t>
        </is>
      </c>
      <c r="D5806" s="58" t="inlineStr">
        <is>
          <t>Beauty</t>
        </is>
      </c>
      <c r="E5806" s="58" t="inlineStr">
        <is>
          <t>East</t>
        </is>
      </c>
      <c r="F5806" s="61" t="n">
        <v>5</v>
      </c>
      <c r="G5806" s="62" t="n">
        <v>62.28</v>
      </c>
      <c r="H5806" s="63" t="n">
        <v>0.056</v>
      </c>
      <c r="I5806" s="62" t="n">
        <v>36.86</v>
      </c>
      <c r="J5806" s="58" t="inlineStr">
        <is>
          <t>Online</t>
        </is>
      </c>
      <c r="K5806" s="62">
        <f>F5806*(G5806-H5806)</f>
        <v/>
      </c>
      <c r="L5806" s="62">
        <f>K5806-(F5806*I5806)</f>
        <v/>
      </c>
      <c r="M5806" s="64">
        <f>L5806/K5806</f>
        <v/>
      </c>
    </row>
    <row r="5807">
      <c r="A5807" s="58" t="inlineStr">
        <is>
          <t>RT20250529-05806</t>
        </is>
      </c>
      <c r="B5807" s="59" t="inlineStr">
        <is>
          <t>2025-05-29</t>
        </is>
      </c>
      <c r="C5807" s="60" t="inlineStr">
        <is>
          <t>Polar Supplie Lite-348</t>
        </is>
      </c>
      <c r="D5807" s="58" t="inlineStr">
        <is>
          <t>Office</t>
        </is>
      </c>
      <c r="E5807" s="58" t="inlineStr">
        <is>
          <t>East</t>
        </is>
      </c>
      <c r="F5807" s="61" t="n">
        <v>2</v>
      </c>
      <c r="G5807" s="62" t="n">
        <v>449.15</v>
      </c>
      <c r="H5807" s="63" t="n">
        <v>0.066</v>
      </c>
      <c r="I5807" s="62" t="n">
        <v>317.88</v>
      </c>
      <c r="J5807" s="58" t="inlineStr">
        <is>
          <t>Online</t>
        </is>
      </c>
      <c r="K5807" s="62">
        <f>F5807*(G5807-H5807)</f>
        <v/>
      </c>
      <c r="L5807" s="62">
        <f>K5807-(F5807*I5807)</f>
        <v/>
      </c>
      <c r="M5807" s="64">
        <f>L5807/K5807</f>
        <v/>
      </c>
    </row>
    <row r="5808">
      <c r="A5808" s="58" t="inlineStr">
        <is>
          <t>RT20250529-05807</t>
        </is>
      </c>
      <c r="B5808" s="59" t="inlineStr">
        <is>
          <t>2025-05-29</t>
        </is>
      </c>
      <c r="C5808" s="60" t="inlineStr">
        <is>
          <t>Falcon Bedding S-674</t>
        </is>
      </c>
      <c r="D5808" s="58" t="inlineStr">
        <is>
          <t>Home</t>
        </is>
      </c>
      <c r="E5808" s="58" t="inlineStr">
        <is>
          <t>Central</t>
        </is>
      </c>
      <c r="F5808" s="61" t="n">
        <v>3</v>
      </c>
      <c r="G5808" s="62" t="n">
        <v>687.28</v>
      </c>
      <c r="H5808" s="63" t="n">
        <v>0.036</v>
      </c>
      <c r="I5808" s="62" t="n">
        <v>462.81</v>
      </c>
      <c r="J5808" s="58" t="inlineStr">
        <is>
          <t>Store</t>
        </is>
      </c>
      <c r="K5808" s="62">
        <f>F5808*(G5808-H5808)</f>
        <v/>
      </c>
      <c r="L5808" s="62">
        <f>K5808-(F5808*I5808)</f>
        <v/>
      </c>
      <c r="M5808" s="64">
        <f>L5808/K5808</f>
        <v/>
      </c>
    </row>
    <row r="5809">
      <c r="A5809" s="58" t="inlineStr">
        <is>
          <t>RT20250529-05808</t>
        </is>
      </c>
      <c r="B5809" s="59" t="inlineStr">
        <is>
          <t>2025-05-29</t>
        </is>
      </c>
      <c r="C5809" s="60" t="inlineStr">
        <is>
          <t>Nimbus Fitnes Lite-516</t>
        </is>
      </c>
      <c r="D5809" s="58" t="inlineStr">
        <is>
          <t>Sports</t>
        </is>
      </c>
      <c r="E5809" s="58" t="inlineStr">
        <is>
          <t>South</t>
        </is>
      </c>
      <c r="F5809" s="61" t="n">
        <v>3</v>
      </c>
      <c r="G5809" s="62" t="n">
        <v>750.38</v>
      </c>
      <c r="H5809" s="63" t="n">
        <v>0.044</v>
      </c>
      <c r="I5809" s="62" t="n">
        <v>471.87</v>
      </c>
      <c r="J5809" s="58" t="inlineStr">
        <is>
          <t>Online</t>
        </is>
      </c>
      <c r="K5809" s="62">
        <f>F5809*(G5809-H5809)</f>
        <v/>
      </c>
      <c r="L5809" s="62">
        <f>K5809-(F5809*I5809)</f>
        <v/>
      </c>
      <c r="M5809" s="64">
        <f>L5809/K5809</f>
        <v/>
      </c>
    </row>
    <row r="5810">
      <c r="A5810" s="58" t="inlineStr">
        <is>
          <t>RT20250529-05809</t>
        </is>
      </c>
      <c r="B5810" s="59" t="inlineStr">
        <is>
          <t>2025-05-29</t>
        </is>
      </c>
      <c r="C5810" s="60" t="inlineStr">
        <is>
          <t>Falcon Household Pro-865</t>
        </is>
      </c>
      <c r="D5810" s="58" t="inlineStr">
        <is>
          <t>Grocery</t>
        </is>
      </c>
      <c r="E5810" s="58" t="inlineStr">
        <is>
          <t>West</t>
        </is>
      </c>
      <c r="F5810" s="61" t="n">
        <v>4</v>
      </c>
      <c r="G5810" s="62" t="n">
        <v>10.55</v>
      </c>
      <c r="H5810" s="63" t="n">
        <v>0.036</v>
      </c>
      <c r="I5810" s="62" t="n">
        <v>7.75</v>
      </c>
      <c r="J5810" s="58" t="inlineStr">
        <is>
          <t>Store</t>
        </is>
      </c>
      <c r="K5810" s="62">
        <f>F5810*(G5810-H5810)</f>
        <v/>
      </c>
      <c r="L5810" s="62">
        <f>K5810-(F5810*I5810)</f>
        <v/>
      </c>
      <c r="M5810" s="64">
        <f>L5810/K5810</f>
        <v/>
      </c>
    </row>
    <row r="5811">
      <c r="A5811" s="58" t="inlineStr">
        <is>
          <t>RT20250529-05810</t>
        </is>
      </c>
      <c r="B5811" s="59" t="inlineStr">
        <is>
          <t>2025-05-29</t>
        </is>
      </c>
      <c r="C5811" s="60" t="inlineStr">
        <is>
          <t>Aurora Skincare Max-798</t>
        </is>
      </c>
      <c r="D5811" s="58" t="inlineStr">
        <is>
          <t>Beauty</t>
        </is>
      </c>
      <c r="E5811" s="58" t="inlineStr">
        <is>
          <t>East</t>
        </is>
      </c>
      <c r="F5811" s="61" t="n">
        <v>2</v>
      </c>
      <c r="G5811" s="62" t="n">
        <v>109.96</v>
      </c>
      <c r="H5811" s="63" t="n">
        <v>0.025</v>
      </c>
      <c r="I5811" s="62" t="n">
        <v>66.37</v>
      </c>
      <c r="J5811" s="58" t="inlineStr">
        <is>
          <t>Online</t>
        </is>
      </c>
      <c r="K5811" s="62">
        <f>F5811*(G5811-H5811)</f>
        <v/>
      </c>
      <c r="L5811" s="62">
        <f>K5811-(F5811*I5811)</f>
        <v/>
      </c>
      <c r="M5811" s="64">
        <f>L5811/K5811</f>
        <v/>
      </c>
    </row>
    <row r="5812">
      <c r="A5812" s="58" t="inlineStr">
        <is>
          <t>RT20250529-05811</t>
        </is>
      </c>
      <c r="B5812" s="59" t="inlineStr">
        <is>
          <t>2025-05-29</t>
        </is>
      </c>
      <c r="C5812" s="60" t="inlineStr">
        <is>
          <t>Aurora Team Sport Plus-256</t>
        </is>
      </c>
      <c r="D5812" s="58" t="inlineStr">
        <is>
          <t>Sports</t>
        </is>
      </c>
      <c r="E5812" s="58" t="inlineStr">
        <is>
          <t>Central</t>
        </is>
      </c>
      <c r="F5812" s="61" t="n">
        <v>3</v>
      </c>
      <c r="G5812" s="62" t="n">
        <v>625.17</v>
      </c>
      <c r="H5812" s="63" t="n">
        <v>0.09</v>
      </c>
      <c r="I5812" s="62" t="n">
        <v>422.1</v>
      </c>
      <c r="J5812" s="58" t="inlineStr">
        <is>
          <t>Store</t>
        </is>
      </c>
      <c r="K5812" s="62">
        <f>F5812*(G5812-H5812)</f>
        <v/>
      </c>
      <c r="L5812" s="62">
        <f>K5812-(F5812*I5812)</f>
        <v/>
      </c>
      <c r="M5812" s="64">
        <f>L5812/K5812</f>
        <v/>
      </c>
    </row>
    <row r="5813">
      <c r="A5813" s="58" t="inlineStr">
        <is>
          <t>RT20250529-05812</t>
        </is>
      </c>
      <c r="B5813" s="59" t="inlineStr">
        <is>
          <t>2025-05-29</t>
        </is>
      </c>
      <c r="C5813" s="60" t="inlineStr">
        <is>
          <t>Solace Makeup Pro-214</t>
        </is>
      </c>
      <c r="D5813" s="58" t="inlineStr">
        <is>
          <t>Beauty</t>
        </is>
      </c>
      <c r="E5813" s="58" t="inlineStr">
        <is>
          <t>North</t>
        </is>
      </c>
      <c r="F5813" s="61" t="n">
        <v>3</v>
      </c>
      <c r="G5813" s="62" t="n">
        <v>101.04</v>
      </c>
      <c r="H5813" s="63" t="n">
        <v>0.081</v>
      </c>
      <c r="I5813" s="62" t="n">
        <v>69.97</v>
      </c>
      <c r="J5813" s="58" t="inlineStr">
        <is>
          <t>Online</t>
        </is>
      </c>
      <c r="K5813" s="62">
        <f>F5813*(G5813-H5813)</f>
        <v/>
      </c>
      <c r="L5813" s="62">
        <f>K5813-(F5813*I5813)</f>
        <v/>
      </c>
      <c r="M5813" s="64">
        <f>L5813/K5813</f>
        <v/>
      </c>
    </row>
    <row r="5814">
      <c r="A5814" s="58" t="inlineStr">
        <is>
          <t>RT20250529-05813</t>
        </is>
      </c>
      <c r="B5814" s="59" t="inlineStr">
        <is>
          <t>2025-05-29</t>
        </is>
      </c>
      <c r="C5814" s="60" t="inlineStr">
        <is>
          <t>Aurora Furniture X-709</t>
        </is>
      </c>
      <c r="D5814" s="58" t="inlineStr">
        <is>
          <t>Office</t>
        </is>
      </c>
      <c r="E5814" s="58" t="inlineStr">
        <is>
          <t>South</t>
        </is>
      </c>
      <c r="F5814" s="61" t="n">
        <v>1</v>
      </c>
      <c r="G5814" s="62" t="n">
        <v>385.85</v>
      </c>
      <c r="H5814" s="63" t="n">
        <v>0.074</v>
      </c>
      <c r="I5814" s="62" t="n">
        <v>303.75</v>
      </c>
      <c r="J5814" s="58" t="inlineStr">
        <is>
          <t>Online</t>
        </is>
      </c>
      <c r="K5814" s="62">
        <f>F5814*(G5814-H5814)</f>
        <v/>
      </c>
      <c r="L5814" s="62">
        <f>K5814-(F5814*I5814)</f>
        <v/>
      </c>
      <c r="M5814" s="64">
        <f>L5814/K5814</f>
        <v/>
      </c>
    </row>
    <row r="5815">
      <c r="A5815" s="58" t="inlineStr">
        <is>
          <t>RT20250529-05814</t>
        </is>
      </c>
      <c r="B5815" s="59" t="inlineStr">
        <is>
          <t>2025-05-29</t>
        </is>
      </c>
      <c r="C5815" s="60" t="inlineStr">
        <is>
          <t>Metro Accessorie Lite-697</t>
        </is>
      </c>
      <c r="D5815" s="58" t="inlineStr">
        <is>
          <t>Apparel</t>
        </is>
      </c>
      <c r="E5815" s="58" t="inlineStr">
        <is>
          <t>West</t>
        </is>
      </c>
      <c r="F5815" s="61" t="n">
        <v>1</v>
      </c>
      <c r="G5815" s="62" t="n">
        <v>118.85</v>
      </c>
      <c r="H5815" s="63" t="n">
        <v>0.027</v>
      </c>
      <c r="I5815" s="62" t="n">
        <v>75.48</v>
      </c>
      <c r="J5815" s="58" t="inlineStr">
        <is>
          <t>Online</t>
        </is>
      </c>
      <c r="K5815" s="62">
        <f>F5815*(G5815-H5815)</f>
        <v/>
      </c>
      <c r="L5815" s="62">
        <f>K5815-(F5815*I5815)</f>
        <v/>
      </c>
      <c r="M5815" s="64">
        <f>L5815/K5815</f>
        <v/>
      </c>
    </row>
    <row r="5816">
      <c r="A5816" s="58" t="inlineStr">
        <is>
          <t>RT20250529-05815</t>
        </is>
      </c>
      <c r="B5816" s="59" t="inlineStr">
        <is>
          <t>2025-05-29</t>
        </is>
      </c>
      <c r="C5816" s="60" t="inlineStr">
        <is>
          <t>Aurora Furniture X-709</t>
        </is>
      </c>
      <c r="D5816" s="58" t="inlineStr">
        <is>
          <t>Office</t>
        </is>
      </c>
      <c r="E5816" s="58" t="inlineStr">
        <is>
          <t>West</t>
        </is>
      </c>
      <c r="F5816" s="61" t="n">
        <v>3</v>
      </c>
      <c r="G5816" s="62" t="n">
        <v>463.32</v>
      </c>
      <c r="H5816" s="63" t="n">
        <v>0.08500000000000001</v>
      </c>
      <c r="I5816" s="62" t="n">
        <v>309.26</v>
      </c>
      <c r="J5816" s="58" t="inlineStr">
        <is>
          <t>Online</t>
        </is>
      </c>
      <c r="K5816" s="62">
        <f>F5816*(G5816-H5816)</f>
        <v/>
      </c>
      <c r="L5816" s="62">
        <f>K5816-(F5816*I5816)</f>
        <v/>
      </c>
      <c r="M5816" s="64">
        <f>L5816/K5816</f>
        <v/>
      </c>
    </row>
    <row r="5817">
      <c r="A5817" s="58" t="inlineStr">
        <is>
          <t>RT20250529-05816</t>
        </is>
      </c>
      <c r="B5817" s="59" t="inlineStr">
        <is>
          <t>2025-05-29</t>
        </is>
      </c>
      <c r="C5817" s="60" t="inlineStr">
        <is>
          <t>Solace Kitchen X-919</t>
        </is>
      </c>
      <c r="D5817" s="58" t="inlineStr">
        <is>
          <t>Home</t>
        </is>
      </c>
      <c r="E5817" s="58" t="inlineStr">
        <is>
          <t>East</t>
        </is>
      </c>
      <c r="F5817" s="61" t="n">
        <v>3</v>
      </c>
      <c r="G5817" s="62" t="n">
        <v>340.14</v>
      </c>
      <c r="H5817" s="63" t="n">
        <v>0.031</v>
      </c>
      <c r="I5817" s="62" t="n">
        <v>257.4</v>
      </c>
      <c r="J5817" s="58" t="inlineStr">
        <is>
          <t>Online</t>
        </is>
      </c>
      <c r="K5817" s="62">
        <f>F5817*(G5817-H5817)</f>
        <v/>
      </c>
      <c r="L5817" s="62">
        <f>K5817-(F5817*I5817)</f>
        <v/>
      </c>
      <c r="M5817" s="64">
        <f>L5817/K5817</f>
        <v/>
      </c>
    </row>
    <row r="5818">
      <c r="A5818" s="58" t="inlineStr">
        <is>
          <t>RT20250529-05817</t>
        </is>
      </c>
      <c r="B5818" s="59" t="inlineStr">
        <is>
          <t>2025-05-29</t>
        </is>
      </c>
      <c r="C5818" s="60" t="inlineStr">
        <is>
          <t>Orion Kitchen Pro-568</t>
        </is>
      </c>
      <c r="D5818" s="58" t="inlineStr">
        <is>
          <t>Home</t>
        </is>
      </c>
      <c r="E5818" s="58" t="inlineStr">
        <is>
          <t>East</t>
        </is>
      </c>
      <c r="F5818" s="61" t="n">
        <v>1</v>
      </c>
      <c r="G5818" s="62" t="n">
        <v>400.83</v>
      </c>
      <c r="H5818" s="63" t="n">
        <v>0.08</v>
      </c>
      <c r="I5818" s="62" t="n">
        <v>309.3</v>
      </c>
      <c r="J5818" s="58" t="inlineStr">
        <is>
          <t>Online</t>
        </is>
      </c>
      <c r="K5818" s="62">
        <f>F5818*(G5818-H5818)</f>
        <v/>
      </c>
      <c r="L5818" s="62">
        <f>K5818-(F5818*I5818)</f>
        <v/>
      </c>
      <c r="M5818" s="64">
        <f>L5818/K5818</f>
        <v/>
      </c>
    </row>
    <row r="5819">
      <c r="A5819" s="58" t="inlineStr">
        <is>
          <t>RT20250529-05818</t>
        </is>
      </c>
      <c r="B5819" s="59" t="inlineStr">
        <is>
          <t>2025-05-29</t>
        </is>
      </c>
      <c r="C5819" s="60" t="inlineStr">
        <is>
          <t>Vertex Appliance S-296</t>
        </is>
      </c>
      <c r="D5819" s="58" t="inlineStr">
        <is>
          <t>Home</t>
        </is>
      </c>
      <c r="E5819" s="58" t="inlineStr">
        <is>
          <t>Central</t>
        </is>
      </c>
      <c r="F5819" s="61" t="n">
        <v>3</v>
      </c>
      <c r="G5819" s="62" t="n">
        <v>545.11</v>
      </c>
      <c r="H5819" s="63" t="n">
        <v>0.06900000000000001</v>
      </c>
      <c r="I5819" s="62" t="n">
        <v>360.48</v>
      </c>
      <c r="J5819" s="58" t="inlineStr">
        <is>
          <t>Store</t>
        </is>
      </c>
      <c r="K5819" s="62">
        <f>F5819*(G5819-H5819)</f>
        <v/>
      </c>
      <c r="L5819" s="62">
        <f>K5819-(F5819*I5819)</f>
        <v/>
      </c>
      <c r="M5819" s="64">
        <f>L5819/K5819</f>
        <v/>
      </c>
    </row>
    <row r="5820">
      <c r="A5820" s="58" t="inlineStr">
        <is>
          <t>RT20250529-05819</t>
        </is>
      </c>
      <c r="B5820" s="59" t="inlineStr">
        <is>
          <t>2025-05-29</t>
        </is>
      </c>
      <c r="C5820" s="60" t="inlineStr">
        <is>
          <t>Aurora Fragrance S-971</t>
        </is>
      </c>
      <c r="D5820" s="58" t="inlineStr">
        <is>
          <t>Beauty</t>
        </is>
      </c>
      <c r="E5820" s="58" t="inlineStr">
        <is>
          <t>West</t>
        </is>
      </c>
      <c r="F5820" s="61" t="n">
        <v>4</v>
      </c>
      <c r="G5820" s="62" t="n">
        <v>101.39</v>
      </c>
      <c r="H5820" s="63" t="n">
        <v>0.037</v>
      </c>
      <c r="I5820" s="62" t="n">
        <v>66.64</v>
      </c>
      <c r="J5820" s="58" t="inlineStr">
        <is>
          <t>Online</t>
        </is>
      </c>
      <c r="K5820" s="62">
        <f>F5820*(G5820-H5820)</f>
        <v/>
      </c>
      <c r="L5820" s="62">
        <f>K5820-(F5820*I5820)</f>
        <v/>
      </c>
      <c r="M5820" s="64">
        <f>L5820/K5820</f>
        <v/>
      </c>
    </row>
    <row r="5821">
      <c r="A5821" s="58" t="inlineStr">
        <is>
          <t>RT20250529-05820</t>
        </is>
      </c>
      <c r="B5821" s="59" t="inlineStr">
        <is>
          <t>2025-05-29</t>
        </is>
      </c>
      <c r="C5821" s="60" t="inlineStr">
        <is>
          <t>Polar Cycling X-649</t>
        </is>
      </c>
      <c r="D5821" s="58" t="inlineStr">
        <is>
          <t>Sports</t>
        </is>
      </c>
      <c r="E5821" s="58" t="inlineStr">
        <is>
          <t>East</t>
        </is>
      </c>
      <c r="F5821" s="61" t="n">
        <v>3</v>
      </c>
      <c r="G5821" s="62" t="n">
        <v>524.12</v>
      </c>
      <c r="H5821" s="63" t="n">
        <v>0.032</v>
      </c>
      <c r="I5821" s="62" t="n">
        <v>356.85</v>
      </c>
      <c r="J5821" s="58" t="inlineStr">
        <is>
          <t>Store</t>
        </is>
      </c>
      <c r="K5821" s="62">
        <f>F5821*(G5821-H5821)</f>
        <v/>
      </c>
      <c r="L5821" s="62">
        <f>K5821-(F5821*I5821)</f>
        <v/>
      </c>
      <c r="M5821" s="64">
        <f>L5821/K5821</f>
        <v/>
      </c>
    </row>
    <row r="5822">
      <c r="A5822" s="58" t="inlineStr">
        <is>
          <t>RT20250529-05821</t>
        </is>
      </c>
      <c r="B5822" s="59" t="inlineStr">
        <is>
          <t>2025-05-29</t>
        </is>
      </c>
      <c r="C5822" s="60" t="inlineStr">
        <is>
          <t>Polar Outdoor Lite-318</t>
        </is>
      </c>
      <c r="D5822" s="58" t="inlineStr">
        <is>
          <t>Sports</t>
        </is>
      </c>
      <c r="E5822" s="58" t="inlineStr">
        <is>
          <t>East</t>
        </is>
      </c>
      <c r="F5822" s="61" t="n">
        <v>1</v>
      </c>
      <c r="G5822" s="62" t="n">
        <v>714.15</v>
      </c>
      <c r="H5822" s="63" t="n">
        <v>0.08400000000000001</v>
      </c>
      <c r="I5822" s="62" t="n">
        <v>455.46</v>
      </c>
      <c r="J5822" s="58" t="inlineStr">
        <is>
          <t>Online</t>
        </is>
      </c>
      <c r="K5822" s="62">
        <f>F5822*(G5822-H5822)</f>
        <v/>
      </c>
      <c r="L5822" s="62">
        <f>K5822-(F5822*I5822)</f>
        <v/>
      </c>
      <c r="M5822" s="64">
        <f>L5822/K5822</f>
        <v/>
      </c>
    </row>
    <row r="5823">
      <c r="A5823" s="58" t="inlineStr">
        <is>
          <t>RT20250529-05822</t>
        </is>
      </c>
      <c r="B5823" s="59" t="inlineStr">
        <is>
          <t>2025-05-29</t>
        </is>
      </c>
      <c r="C5823" s="60" t="inlineStr">
        <is>
          <t>Orion Kid Max-640</t>
        </is>
      </c>
      <c r="D5823" s="58" t="inlineStr">
        <is>
          <t>Apparel</t>
        </is>
      </c>
      <c r="E5823" s="58" t="inlineStr">
        <is>
          <t>North</t>
        </is>
      </c>
      <c r="F5823" s="61" t="n">
        <v>3</v>
      </c>
      <c r="G5823" s="62" t="n">
        <v>124.18</v>
      </c>
      <c r="H5823" s="63" t="n">
        <v>0.064</v>
      </c>
      <c r="I5823" s="62" t="n">
        <v>68.48999999999999</v>
      </c>
      <c r="J5823" s="58" t="inlineStr">
        <is>
          <t>Store</t>
        </is>
      </c>
      <c r="K5823" s="62">
        <f>F5823*(G5823-H5823)</f>
        <v/>
      </c>
      <c r="L5823" s="62">
        <f>K5823-(F5823*I5823)</f>
        <v/>
      </c>
      <c r="M5823" s="64">
        <f>L5823/K5823</f>
        <v/>
      </c>
    </row>
    <row r="5824">
      <c r="A5824" s="58" t="inlineStr">
        <is>
          <t>RT20250529-05823</t>
        </is>
      </c>
      <c r="B5824" s="59" t="inlineStr">
        <is>
          <t>2025-05-29</t>
        </is>
      </c>
      <c r="C5824" s="60" t="inlineStr">
        <is>
          <t>Polar Beverage S-258</t>
        </is>
      </c>
      <c r="D5824" s="58" t="inlineStr">
        <is>
          <t>Grocery</t>
        </is>
      </c>
      <c r="E5824" s="58" t="inlineStr">
        <is>
          <t>Central</t>
        </is>
      </c>
      <c r="F5824" s="61" t="n">
        <v>7</v>
      </c>
      <c r="G5824" s="62" t="n">
        <v>15.29</v>
      </c>
      <c r="H5824" s="63" t="n">
        <v>0.08599999999999999</v>
      </c>
      <c r="I5824" s="62" t="n">
        <v>9.779999999999999</v>
      </c>
      <c r="J5824" s="58" t="inlineStr">
        <is>
          <t>Store</t>
        </is>
      </c>
      <c r="K5824" s="62">
        <f>F5824*(G5824-H5824)</f>
        <v/>
      </c>
      <c r="L5824" s="62">
        <f>K5824-(F5824*I5824)</f>
        <v/>
      </c>
      <c r="M5824" s="64">
        <f>L5824/K5824</f>
        <v/>
      </c>
    </row>
    <row r="5825">
      <c r="A5825" s="58" t="inlineStr">
        <is>
          <t>RT20250529-05824</t>
        </is>
      </c>
      <c r="B5825" s="59" t="inlineStr">
        <is>
          <t>2025-05-29</t>
        </is>
      </c>
      <c r="C5825" s="60" t="inlineStr">
        <is>
          <t>Polar Outdoor X-193</t>
        </is>
      </c>
      <c r="D5825" s="58" t="inlineStr">
        <is>
          <t>Sports</t>
        </is>
      </c>
      <c r="E5825" s="58" t="inlineStr">
        <is>
          <t>East</t>
        </is>
      </c>
      <c r="F5825" s="61" t="n">
        <v>3</v>
      </c>
      <c r="G5825" s="62" t="n">
        <v>700.08</v>
      </c>
      <c r="H5825" s="63" t="n">
        <v>0.098</v>
      </c>
      <c r="I5825" s="62" t="n">
        <v>457.96</v>
      </c>
      <c r="J5825" s="58" t="inlineStr">
        <is>
          <t>Online</t>
        </is>
      </c>
      <c r="K5825" s="62">
        <f>F5825*(G5825-H5825)</f>
        <v/>
      </c>
      <c r="L5825" s="62">
        <f>K5825-(F5825*I5825)</f>
        <v/>
      </c>
      <c r="M5825" s="64">
        <f>L5825/K5825</f>
        <v/>
      </c>
    </row>
    <row r="5826">
      <c r="A5826" s="58" t="inlineStr">
        <is>
          <t>RT20250529-05825</t>
        </is>
      </c>
      <c r="B5826" s="59" t="inlineStr">
        <is>
          <t>2025-05-29</t>
        </is>
      </c>
      <c r="C5826" s="60" t="inlineStr">
        <is>
          <t>Polar Outdoor Lite-318</t>
        </is>
      </c>
      <c r="D5826" s="58" t="inlineStr">
        <is>
          <t>Sports</t>
        </is>
      </c>
      <c r="E5826" s="58" t="inlineStr">
        <is>
          <t>West</t>
        </is>
      </c>
      <c r="F5826" s="61" t="n">
        <v>2</v>
      </c>
      <c r="G5826" s="62" t="n">
        <v>710.74</v>
      </c>
      <c r="H5826" s="63" t="n">
        <v>0.102</v>
      </c>
      <c r="I5826" s="62" t="n">
        <v>458.94</v>
      </c>
      <c r="J5826" s="58" t="inlineStr">
        <is>
          <t>Online</t>
        </is>
      </c>
      <c r="K5826" s="62">
        <f>F5826*(G5826-H5826)</f>
        <v/>
      </c>
      <c r="L5826" s="62">
        <f>K5826-(F5826*I5826)</f>
        <v/>
      </c>
      <c r="M5826" s="64">
        <f>L5826/K5826</f>
        <v/>
      </c>
    </row>
    <row r="5827">
      <c r="A5827" s="58" t="inlineStr">
        <is>
          <t>RT20250529-05826</t>
        </is>
      </c>
      <c r="B5827" s="59" t="inlineStr">
        <is>
          <t>2025-05-29</t>
        </is>
      </c>
      <c r="C5827" s="60" t="inlineStr">
        <is>
          <t>Aurora Printer Plus-723</t>
        </is>
      </c>
      <c r="D5827" s="58" t="inlineStr">
        <is>
          <t>Office</t>
        </is>
      </c>
      <c r="E5827" s="58" t="inlineStr">
        <is>
          <t>West</t>
        </is>
      </c>
      <c r="F5827" s="61" t="n">
        <v>3</v>
      </c>
      <c r="G5827" s="62" t="n">
        <v>237.91</v>
      </c>
      <c r="H5827" s="63" t="n">
        <v>0.08</v>
      </c>
      <c r="I5827" s="62" t="n">
        <v>189.85</v>
      </c>
      <c r="J5827" s="58" t="inlineStr">
        <is>
          <t>Store</t>
        </is>
      </c>
      <c r="K5827" s="62">
        <f>F5827*(G5827-H5827)</f>
        <v/>
      </c>
      <c r="L5827" s="62">
        <f>K5827-(F5827*I5827)</f>
        <v/>
      </c>
      <c r="M5827" s="64">
        <f>L5827/K5827</f>
        <v/>
      </c>
    </row>
    <row r="5828">
      <c r="A5828" s="58" t="inlineStr">
        <is>
          <t>RT20250529-05827</t>
        </is>
      </c>
      <c r="B5828" s="59" t="inlineStr">
        <is>
          <t>2025-05-29</t>
        </is>
      </c>
      <c r="C5828" s="60" t="inlineStr">
        <is>
          <t>Solace Laptop S-367</t>
        </is>
      </c>
      <c r="D5828" s="58" t="inlineStr">
        <is>
          <t>Electronics</t>
        </is>
      </c>
      <c r="E5828" s="58" t="inlineStr">
        <is>
          <t>North</t>
        </is>
      </c>
      <c r="F5828" s="61" t="n">
        <v>2</v>
      </c>
      <c r="G5828" s="62" t="n">
        <v>1746.07</v>
      </c>
      <c r="H5828" s="63" t="n">
        <v>0.032</v>
      </c>
      <c r="I5828" s="62" t="n">
        <v>1531.32</v>
      </c>
      <c r="J5828" s="58" t="inlineStr">
        <is>
          <t>Store</t>
        </is>
      </c>
      <c r="K5828" s="62">
        <f>F5828*(G5828-H5828)</f>
        <v/>
      </c>
      <c r="L5828" s="62">
        <f>K5828-(F5828*I5828)</f>
        <v/>
      </c>
      <c r="M5828" s="64">
        <f>L5828/K5828</f>
        <v/>
      </c>
    </row>
    <row r="5829">
      <c r="A5829" s="58" t="inlineStr">
        <is>
          <t>RT20250529-05828</t>
        </is>
      </c>
      <c r="B5829" s="59" t="inlineStr">
        <is>
          <t>2025-05-29</t>
        </is>
      </c>
      <c r="C5829" s="60" t="inlineStr">
        <is>
          <t>Vertex Smartphone Lite-267</t>
        </is>
      </c>
      <c r="D5829" s="58" t="inlineStr">
        <is>
          <t>Electronics</t>
        </is>
      </c>
      <c r="E5829" s="58" t="inlineStr">
        <is>
          <t>North</t>
        </is>
      </c>
      <c r="F5829" s="61" t="n">
        <v>1</v>
      </c>
      <c r="G5829" s="62" t="n">
        <v>1209.35</v>
      </c>
      <c r="H5829" s="63" t="n">
        <v>0.065</v>
      </c>
      <c r="I5829" s="62" t="n">
        <v>962.11</v>
      </c>
      <c r="J5829" s="58" t="inlineStr">
        <is>
          <t>Store</t>
        </is>
      </c>
      <c r="K5829" s="62">
        <f>F5829*(G5829-H5829)</f>
        <v/>
      </c>
      <c r="L5829" s="62">
        <f>K5829-(F5829*I5829)</f>
        <v/>
      </c>
      <c r="M5829" s="64">
        <f>L5829/K5829</f>
        <v/>
      </c>
    </row>
    <row r="5830">
      <c r="A5830" s="58" t="inlineStr">
        <is>
          <t>RT20250529-05829</t>
        </is>
      </c>
      <c r="B5830" s="59" t="inlineStr">
        <is>
          <t>2025-05-29</t>
        </is>
      </c>
      <c r="C5830" s="60" t="inlineStr">
        <is>
          <t>Falcon Household Plus-172</t>
        </is>
      </c>
      <c r="D5830" s="58" t="inlineStr">
        <is>
          <t>Grocery</t>
        </is>
      </c>
      <c r="E5830" s="58" t="inlineStr">
        <is>
          <t>South</t>
        </is>
      </c>
      <c r="F5830" s="61" t="n">
        <v>3</v>
      </c>
      <c r="G5830" s="62" t="n">
        <v>23.71</v>
      </c>
      <c r="H5830" s="63" t="n">
        <v>0.063</v>
      </c>
      <c r="I5830" s="62" t="n">
        <v>16.25</v>
      </c>
      <c r="J5830" s="58" t="inlineStr">
        <is>
          <t>Online</t>
        </is>
      </c>
      <c r="K5830" s="62">
        <f>F5830*(G5830-H5830)</f>
        <v/>
      </c>
      <c r="L5830" s="62">
        <f>K5830-(F5830*I5830)</f>
        <v/>
      </c>
      <c r="M5830" s="64">
        <f>L5830/K5830</f>
        <v/>
      </c>
    </row>
    <row r="5831">
      <c r="A5831" s="58" t="inlineStr">
        <is>
          <t>RT20250529-05830</t>
        </is>
      </c>
      <c r="B5831" s="59" t="inlineStr">
        <is>
          <t>2025-05-29</t>
        </is>
      </c>
      <c r="C5831" s="60" t="inlineStr">
        <is>
          <t>Vertex Supplie Pro-786</t>
        </is>
      </c>
      <c r="D5831" s="58" t="inlineStr">
        <is>
          <t>Office</t>
        </is>
      </c>
      <c r="E5831" s="58" t="inlineStr">
        <is>
          <t>East</t>
        </is>
      </c>
      <c r="F5831" s="61" t="n">
        <v>1</v>
      </c>
      <c r="G5831" s="62" t="n">
        <v>417.29</v>
      </c>
      <c r="H5831" s="63" t="n">
        <v>0.037</v>
      </c>
      <c r="I5831" s="62" t="n">
        <v>291.08</v>
      </c>
      <c r="J5831" s="58" t="inlineStr">
        <is>
          <t>Store</t>
        </is>
      </c>
      <c r="K5831" s="62">
        <f>F5831*(G5831-H5831)</f>
        <v/>
      </c>
      <c r="L5831" s="62">
        <f>K5831-(F5831*I5831)</f>
        <v/>
      </c>
      <c r="M5831" s="64">
        <f>L5831/K5831</f>
        <v/>
      </c>
    </row>
    <row r="5832">
      <c r="A5832" s="58" t="inlineStr">
        <is>
          <t>RT20250529-05831</t>
        </is>
      </c>
      <c r="B5832" s="59" t="inlineStr">
        <is>
          <t>2025-05-29</t>
        </is>
      </c>
      <c r="C5832" s="60" t="inlineStr">
        <is>
          <t>Falcon Household Plus-796</t>
        </is>
      </c>
      <c r="D5832" s="58" t="inlineStr">
        <is>
          <t>Grocery</t>
        </is>
      </c>
      <c r="E5832" s="58" t="inlineStr">
        <is>
          <t>East</t>
        </is>
      </c>
      <c r="F5832" s="61" t="n">
        <v>6</v>
      </c>
      <c r="G5832" s="62" t="n">
        <v>25.27</v>
      </c>
      <c r="H5832" s="63" t="n">
        <v>0.049</v>
      </c>
      <c r="I5832" s="62" t="n">
        <v>17.69</v>
      </c>
      <c r="J5832" s="58" t="inlineStr">
        <is>
          <t>Online</t>
        </is>
      </c>
      <c r="K5832" s="62">
        <f>F5832*(G5832-H5832)</f>
        <v/>
      </c>
      <c r="L5832" s="62">
        <f>K5832-(F5832*I5832)</f>
        <v/>
      </c>
      <c r="M5832" s="64">
        <f>L5832/K5832</f>
        <v/>
      </c>
    </row>
    <row r="5833">
      <c r="A5833" s="58" t="inlineStr">
        <is>
          <t>RT20250529-05832</t>
        </is>
      </c>
      <c r="B5833" s="59" t="inlineStr">
        <is>
          <t>2025-05-29</t>
        </is>
      </c>
      <c r="C5833" s="60" t="inlineStr">
        <is>
          <t>Solace Fitnes S-324</t>
        </is>
      </c>
      <c r="D5833" s="58" t="inlineStr">
        <is>
          <t>Sports</t>
        </is>
      </c>
      <c r="E5833" s="58" t="inlineStr">
        <is>
          <t>South</t>
        </is>
      </c>
      <c r="F5833" s="61" t="n">
        <v>2</v>
      </c>
      <c r="G5833" s="62" t="n">
        <v>708.76</v>
      </c>
      <c r="H5833" s="63" t="n">
        <v>0.127</v>
      </c>
      <c r="I5833" s="62" t="n">
        <v>530.3200000000001</v>
      </c>
      <c r="J5833" s="58" t="inlineStr">
        <is>
          <t>Online</t>
        </is>
      </c>
      <c r="K5833" s="62">
        <f>F5833*(G5833-H5833)</f>
        <v/>
      </c>
      <c r="L5833" s="62">
        <f>K5833-(F5833*I5833)</f>
        <v/>
      </c>
      <c r="M5833" s="64">
        <f>L5833/K5833</f>
        <v/>
      </c>
    </row>
    <row r="5834">
      <c r="A5834" s="58" t="inlineStr">
        <is>
          <t>RT20250529-05833</t>
        </is>
      </c>
      <c r="B5834" s="59" t="inlineStr">
        <is>
          <t>2025-05-29</t>
        </is>
      </c>
      <c r="C5834" s="60" t="inlineStr">
        <is>
          <t>Metro Fragrance Lite-261</t>
        </is>
      </c>
      <c r="D5834" s="58" t="inlineStr">
        <is>
          <t>Beauty</t>
        </is>
      </c>
      <c r="E5834" s="58" t="inlineStr">
        <is>
          <t>East</t>
        </is>
      </c>
      <c r="F5834" s="61" t="n">
        <v>1</v>
      </c>
      <c r="G5834" s="62" t="n">
        <v>91.75</v>
      </c>
      <c r="H5834" s="63" t="n">
        <v>0.081</v>
      </c>
      <c r="I5834" s="62" t="n">
        <v>54.67</v>
      </c>
      <c r="J5834" s="58" t="inlineStr">
        <is>
          <t>Store</t>
        </is>
      </c>
      <c r="K5834" s="62">
        <f>F5834*(G5834-H5834)</f>
        <v/>
      </c>
      <c r="L5834" s="62">
        <f>K5834-(F5834*I5834)</f>
        <v/>
      </c>
      <c r="M5834" s="64">
        <f>L5834/K5834</f>
        <v/>
      </c>
    </row>
    <row r="5835">
      <c r="A5835" s="58" t="inlineStr">
        <is>
          <t>RT20250529-05834</t>
        </is>
      </c>
      <c r="B5835" s="59" t="inlineStr">
        <is>
          <t>2025-05-29</t>
        </is>
      </c>
      <c r="C5835" s="60" t="inlineStr">
        <is>
          <t>Vertex Accessorie Pro-881</t>
        </is>
      </c>
      <c r="D5835" s="58" t="inlineStr">
        <is>
          <t>Apparel</t>
        </is>
      </c>
      <c r="E5835" s="58" t="inlineStr">
        <is>
          <t>East</t>
        </is>
      </c>
      <c r="F5835" s="61" t="n">
        <v>4</v>
      </c>
      <c r="G5835" s="62" t="n">
        <v>108.8</v>
      </c>
      <c r="H5835" s="63" t="n">
        <v>0.065</v>
      </c>
      <c r="I5835" s="62" t="n">
        <v>62.78</v>
      </c>
      <c r="J5835" s="58" t="inlineStr">
        <is>
          <t>Store</t>
        </is>
      </c>
      <c r="K5835" s="62">
        <f>F5835*(G5835-H5835)</f>
        <v/>
      </c>
      <c r="L5835" s="62">
        <f>K5835-(F5835*I5835)</f>
        <v/>
      </c>
      <c r="M5835" s="64">
        <f>L5835/K5835</f>
        <v/>
      </c>
    </row>
    <row r="5836">
      <c r="A5836" s="58" t="inlineStr">
        <is>
          <t>RT20250529-05835</t>
        </is>
      </c>
      <c r="B5836" s="59" t="inlineStr">
        <is>
          <t>2025-05-29</t>
        </is>
      </c>
      <c r="C5836" s="60" t="inlineStr">
        <is>
          <t>Falcon Haircare Pro-980</t>
        </is>
      </c>
      <c r="D5836" s="58" t="inlineStr">
        <is>
          <t>Beauty</t>
        </is>
      </c>
      <c r="E5836" s="58" t="inlineStr">
        <is>
          <t>West</t>
        </is>
      </c>
      <c r="F5836" s="61" t="n">
        <v>5</v>
      </c>
      <c r="G5836" s="62" t="n">
        <v>91.23999999999999</v>
      </c>
      <c r="H5836" s="63" t="n">
        <v>0.06</v>
      </c>
      <c r="I5836" s="62" t="n">
        <v>57.34</v>
      </c>
      <c r="J5836" s="58" t="inlineStr">
        <is>
          <t>Store</t>
        </is>
      </c>
      <c r="K5836" s="62">
        <f>F5836*(G5836-H5836)</f>
        <v/>
      </c>
      <c r="L5836" s="62">
        <f>K5836-(F5836*I5836)</f>
        <v/>
      </c>
      <c r="M5836" s="64">
        <f>L5836/K5836</f>
        <v/>
      </c>
    </row>
    <row r="5837">
      <c r="A5837" s="58" t="inlineStr">
        <is>
          <t>RT20250529-05836</t>
        </is>
      </c>
      <c r="B5837" s="59" t="inlineStr">
        <is>
          <t>2025-05-29</t>
        </is>
      </c>
      <c r="C5837" s="60" t="inlineStr">
        <is>
          <t>Vertex Smartphone Lite-267</t>
        </is>
      </c>
      <c r="D5837" s="58" t="inlineStr">
        <is>
          <t>Electronics</t>
        </is>
      </c>
      <c r="E5837" s="58" t="inlineStr">
        <is>
          <t>East</t>
        </is>
      </c>
      <c r="F5837" s="61" t="n">
        <v>1</v>
      </c>
      <c r="G5837" s="62" t="n">
        <v>1338.84</v>
      </c>
      <c r="H5837" s="63" t="n">
        <v>0.06900000000000001</v>
      </c>
      <c r="I5837" s="62" t="n">
        <v>995.39</v>
      </c>
      <c r="J5837" s="58" t="inlineStr">
        <is>
          <t>Online</t>
        </is>
      </c>
      <c r="K5837" s="62">
        <f>F5837*(G5837-H5837)</f>
        <v/>
      </c>
      <c r="L5837" s="62">
        <f>K5837-(F5837*I5837)</f>
        <v/>
      </c>
      <c r="M5837" s="64">
        <f>L5837/K5837</f>
        <v/>
      </c>
    </row>
    <row r="5838">
      <c r="A5838" s="58" t="inlineStr">
        <is>
          <t>RT20250529-05837</t>
        </is>
      </c>
      <c r="B5838" s="59" t="inlineStr">
        <is>
          <t>2025-05-29</t>
        </is>
      </c>
      <c r="C5838" s="60" t="inlineStr">
        <is>
          <t>Vertex Appliance Max-338</t>
        </is>
      </c>
      <c r="D5838" s="58" t="inlineStr">
        <is>
          <t>Home</t>
        </is>
      </c>
      <c r="E5838" s="58" t="inlineStr">
        <is>
          <t>South</t>
        </is>
      </c>
      <c r="F5838" s="61" t="n">
        <v>2</v>
      </c>
      <c r="G5838" s="62" t="n">
        <v>470.14</v>
      </c>
      <c r="H5838" s="63" t="n">
        <v>0.049</v>
      </c>
      <c r="I5838" s="62" t="n">
        <v>289.66</v>
      </c>
      <c r="J5838" s="58" t="inlineStr">
        <is>
          <t>Store</t>
        </is>
      </c>
      <c r="K5838" s="62">
        <f>F5838*(G5838-H5838)</f>
        <v/>
      </c>
      <c r="L5838" s="62">
        <f>K5838-(F5838*I5838)</f>
        <v/>
      </c>
      <c r="M5838" s="64">
        <f>L5838/K5838</f>
        <v/>
      </c>
    </row>
    <row r="5839">
      <c r="A5839" s="58" t="inlineStr">
        <is>
          <t>RT20250529-05838</t>
        </is>
      </c>
      <c r="B5839" s="59" t="inlineStr">
        <is>
          <t>2025-05-29</t>
        </is>
      </c>
      <c r="C5839" s="60" t="inlineStr">
        <is>
          <t>Orion Kitchen Pro-568</t>
        </is>
      </c>
      <c r="D5839" s="58" t="inlineStr">
        <is>
          <t>Home</t>
        </is>
      </c>
      <c r="E5839" s="58" t="inlineStr">
        <is>
          <t>West</t>
        </is>
      </c>
      <c r="F5839" s="61" t="n">
        <v>1</v>
      </c>
      <c r="G5839" s="62" t="n">
        <v>500.7</v>
      </c>
      <c r="H5839" s="63" t="n">
        <v>0.08699999999999999</v>
      </c>
      <c r="I5839" s="62" t="n">
        <v>314.55</v>
      </c>
      <c r="J5839" s="58" t="inlineStr">
        <is>
          <t>Online</t>
        </is>
      </c>
      <c r="K5839" s="62">
        <f>F5839*(G5839-H5839)</f>
        <v/>
      </c>
      <c r="L5839" s="62">
        <f>K5839-(F5839*I5839)</f>
        <v/>
      </c>
      <c r="M5839" s="64">
        <f>L5839/K5839</f>
        <v/>
      </c>
    </row>
    <row r="5840">
      <c r="A5840" s="58" t="inlineStr">
        <is>
          <t>RT20250529-05839</t>
        </is>
      </c>
      <c r="B5840" s="59" t="inlineStr">
        <is>
          <t>2025-05-29</t>
        </is>
      </c>
      <c r="C5840" s="60" t="inlineStr">
        <is>
          <t>Polar Haircare Max-614</t>
        </is>
      </c>
      <c r="D5840" s="58" t="inlineStr">
        <is>
          <t>Beauty</t>
        </is>
      </c>
      <c r="E5840" s="58" t="inlineStr">
        <is>
          <t>Central</t>
        </is>
      </c>
      <c r="F5840" s="61" t="n">
        <v>5</v>
      </c>
      <c r="G5840" s="62" t="n">
        <v>108.6</v>
      </c>
      <c r="H5840" s="63" t="n">
        <v>0.046</v>
      </c>
      <c r="I5840" s="62" t="n">
        <v>68.88</v>
      </c>
      <c r="J5840" s="58" t="inlineStr">
        <is>
          <t>Phone</t>
        </is>
      </c>
      <c r="K5840" s="62">
        <f>F5840*(G5840-H5840)</f>
        <v/>
      </c>
      <c r="L5840" s="62">
        <f>K5840-(F5840*I5840)</f>
        <v/>
      </c>
      <c r="M5840" s="64">
        <f>L5840/K5840</f>
        <v/>
      </c>
    </row>
    <row r="5841">
      <c r="A5841" s="58" t="inlineStr">
        <is>
          <t>RT20250529-05840</t>
        </is>
      </c>
      <c r="B5841" s="59" t="inlineStr">
        <is>
          <t>2025-05-29</t>
        </is>
      </c>
      <c r="C5841" s="60" t="inlineStr">
        <is>
          <t>Vertex Fitnes Pro-830</t>
        </is>
      </c>
      <c r="D5841" s="58" t="inlineStr">
        <is>
          <t>Sports</t>
        </is>
      </c>
      <c r="E5841" s="58" t="inlineStr">
        <is>
          <t>East</t>
        </is>
      </c>
      <c r="F5841" s="61" t="n">
        <v>1</v>
      </c>
      <c r="G5841" s="62" t="n">
        <v>710.89</v>
      </c>
      <c r="H5841" s="63" t="n">
        <v>0.07099999999999999</v>
      </c>
      <c r="I5841" s="62" t="n">
        <v>467.21</v>
      </c>
      <c r="J5841" s="58" t="inlineStr">
        <is>
          <t>Online</t>
        </is>
      </c>
      <c r="K5841" s="62">
        <f>F5841*(G5841-H5841)</f>
        <v/>
      </c>
      <c r="L5841" s="62">
        <f>K5841-(F5841*I5841)</f>
        <v/>
      </c>
      <c r="M5841" s="64">
        <f>L5841/K5841</f>
        <v/>
      </c>
    </row>
    <row r="5842">
      <c r="A5842" s="58" t="inlineStr">
        <is>
          <t>RT20250529-05841</t>
        </is>
      </c>
      <c r="B5842" s="59" t="inlineStr">
        <is>
          <t>2025-05-29</t>
        </is>
      </c>
      <c r="C5842" s="60" t="inlineStr">
        <is>
          <t>Polar Women S-662</t>
        </is>
      </c>
      <c r="D5842" s="58" t="inlineStr">
        <is>
          <t>Apparel</t>
        </is>
      </c>
      <c r="E5842" s="58" t="inlineStr">
        <is>
          <t>Central</t>
        </is>
      </c>
      <c r="F5842" s="61" t="n">
        <v>3</v>
      </c>
      <c r="G5842" s="62" t="n">
        <v>190.88</v>
      </c>
      <c r="H5842" s="63" t="n">
        <v>0.048</v>
      </c>
      <c r="I5842" s="62" t="n">
        <v>102.95</v>
      </c>
      <c r="J5842" s="58" t="inlineStr">
        <is>
          <t>Online</t>
        </is>
      </c>
      <c r="K5842" s="62">
        <f>F5842*(G5842-H5842)</f>
        <v/>
      </c>
      <c r="L5842" s="62">
        <f>K5842-(F5842*I5842)</f>
        <v/>
      </c>
      <c r="M5842" s="64">
        <f>L5842/K5842</f>
        <v/>
      </c>
    </row>
    <row r="5843">
      <c r="A5843" s="58" t="inlineStr">
        <is>
          <t>RT20250529-05842</t>
        </is>
      </c>
      <c r="B5843" s="59" t="inlineStr">
        <is>
          <t>2025-05-29</t>
        </is>
      </c>
      <c r="C5843" s="60" t="inlineStr">
        <is>
          <t>Solace Snack S-691</t>
        </is>
      </c>
      <c r="D5843" s="58" t="inlineStr">
        <is>
          <t>Grocery</t>
        </is>
      </c>
      <c r="E5843" s="58" t="inlineStr">
        <is>
          <t>Central</t>
        </is>
      </c>
      <c r="F5843" s="61" t="n">
        <v>8</v>
      </c>
      <c r="G5843" s="62" t="n">
        <v>9.470000000000001</v>
      </c>
      <c r="H5843" s="63" t="n">
        <v>0.08</v>
      </c>
      <c r="I5843" s="62" t="n">
        <v>7.17</v>
      </c>
      <c r="J5843" s="58" t="inlineStr">
        <is>
          <t>Store</t>
        </is>
      </c>
      <c r="K5843" s="62">
        <f>F5843*(G5843-H5843)</f>
        <v/>
      </c>
      <c r="L5843" s="62">
        <f>K5843-(F5843*I5843)</f>
        <v/>
      </c>
      <c r="M5843" s="64">
        <f>L5843/K5843</f>
        <v/>
      </c>
    </row>
    <row r="5844">
      <c r="A5844" s="58" t="inlineStr">
        <is>
          <t>RT20250529-05843</t>
        </is>
      </c>
      <c r="B5844" s="59" t="inlineStr">
        <is>
          <t>2025-05-29</t>
        </is>
      </c>
      <c r="C5844" s="60" t="inlineStr">
        <is>
          <t>Solace Kitchen Pro-510</t>
        </is>
      </c>
      <c r="D5844" s="58" t="inlineStr">
        <is>
          <t>Home</t>
        </is>
      </c>
      <c r="E5844" s="58" t="inlineStr">
        <is>
          <t>West</t>
        </is>
      </c>
      <c r="F5844" s="61" t="n">
        <v>1</v>
      </c>
      <c r="G5844" s="62" t="n">
        <v>445.08</v>
      </c>
      <c r="H5844" s="63" t="n">
        <v>0.059</v>
      </c>
      <c r="I5844" s="62" t="n">
        <v>303.64</v>
      </c>
      <c r="J5844" s="58" t="inlineStr">
        <is>
          <t>Online</t>
        </is>
      </c>
      <c r="K5844" s="62">
        <f>F5844*(G5844-H5844)</f>
        <v/>
      </c>
      <c r="L5844" s="62">
        <f>K5844-(F5844*I5844)</f>
        <v/>
      </c>
      <c r="M5844" s="64">
        <f>L5844/K5844</f>
        <v/>
      </c>
    </row>
    <row r="5845">
      <c r="A5845" s="58" t="inlineStr">
        <is>
          <t>RT20250529-05844</t>
        </is>
      </c>
      <c r="B5845" s="59" t="inlineStr">
        <is>
          <t>2025-05-29</t>
        </is>
      </c>
      <c r="C5845" s="60" t="inlineStr">
        <is>
          <t>Solace Smartphone Lite-533</t>
        </is>
      </c>
      <c r="D5845" s="58" t="inlineStr">
        <is>
          <t>Electronics</t>
        </is>
      </c>
      <c r="E5845" s="58" t="inlineStr">
        <is>
          <t>North</t>
        </is>
      </c>
      <c r="F5845" s="61" t="n">
        <v>1</v>
      </c>
      <c r="G5845" s="62" t="n">
        <v>1133.69</v>
      </c>
      <c r="H5845" s="63" t="n">
        <v>0.05</v>
      </c>
      <c r="I5845" s="62" t="n">
        <v>917.35</v>
      </c>
      <c r="J5845" s="58" t="inlineStr">
        <is>
          <t>Online</t>
        </is>
      </c>
      <c r="K5845" s="62">
        <f>F5845*(G5845-H5845)</f>
        <v/>
      </c>
      <c r="L5845" s="62">
        <f>K5845-(F5845*I5845)</f>
        <v/>
      </c>
      <c r="M5845" s="64">
        <f>L5845/K5845</f>
        <v/>
      </c>
    </row>
    <row r="5846">
      <c r="A5846" s="58" t="inlineStr">
        <is>
          <t>RT20250529-05845</t>
        </is>
      </c>
      <c r="B5846" s="59" t="inlineStr">
        <is>
          <t>2025-05-29</t>
        </is>
      </c>
      <c r="C5846" s="60" t="inlineStr">
        <is>
          <t>Polar Men Pro-246</t>
        </is>
      </c>
      <c r="D5846" s="58" t="inlineStr">
        <is>
          <t>Apparel</t>
        </is>
      </c>
      <c r="E5846" s="58" t="inlineStr">
        <is>
          <t>North</t>
        </is>
      </c>
      <c r="F5846" s="61" t="n">
        <v>2</v>
      </c>
      <c r="G5846" s="62" t="n">
        <v>145.66</v>
      </c>
      <c r="H5846" s="63" t="n">
        <v>0.065</v>
      </c>
      <c r="I5846" s="62" t="n">
        <v>75.64</v>
      </c>
      <c r="J5846" s="58" t="inlineStr">
        <is>
          <t>Online</t>
        </is>
      </c>
      <c r="K5846" s="62">
        <f>F5846*(G5846-H5846)</f>
        <v/>
      </c>
      <c r="L5846" s="62">
        <f>K5846-(F5846*I5846)</f>
        <v/>
      </c>
      <c r="M5846" s="64">
        <f>L5846/K5846</f>
        <v/>
      </c>
    </row>
    <row r="5847">
      <c r="A5847" s="58" t="inlineStr">
        <is>
          <t>RT20250529-05846</t>
        </is>
      </c>
      <c r="B5847" s="59" t="inlineStr">
        <is>
          <t>2025-05-29</t>
        </is>
      </c>
      <c r="C5847" s="60" t="inlineStr">
        <is>
          <t>Orion Laptop S-350</t>
        </is>
      </c>
      <c r="D5847" s="58" t="inlineStr">
        <is>
          <t>Electronics</t>
        </is>
      </c>
      <c r="E5847" s="58" t="inlineStr">
        <is>
          <t>West</t>
        </is>
      </c>
      <c r="F5847" s="61" t="n">
        <v>1</v>
      </c>
      <c r="G5847" s="62" t="n">
        <v>1372.66</v>
      </c>
      <c r="H5847" s="63" t="n">
        <v>0.028</v>
      </c>
      <c r="I5847" s="62" t="n">
        <v>1059.34</v>
      </c>
      <c r="J5847" s="58" t="inlineStr">
        <is>
          <t>Store</t>
        </is>
      </c>
      <c r="K5847" s="62">
        <f>F5847*(G5847-H5847)</f>
        <v/>
      </c>
      <c r="L5847" s="62">
        <f>K5847-(F5847*I5847)</f>
        <v/>
      </c>
      <c r="M5847" s="64">
        <f>L5847/K5847</f>
        <v/>
      </c>
    </row>
    <row r="5848">
      <c r="A5848" s="58" t="inlineStr">
        <is>
          <t>RT20250529-05847</t>
        </is>
      </c>
      <c r="B5848" s="59" t="inlineStr">
        <is>
          <t>2025-05-29</t>
        </is>
      </c>
      <c r="C5848" s="60" t="inlineStr">
        <is>
          <t>Orion Team Sport X-926</t>
        </is>
      </c>
      <c r="D5848" s="58" t="inlineStr">
        <is>
          <t>Sports</t>
        </is>
      </c>
      <c r="E5848" s="58" t="inlineStr">
        <is>
          <t>East</t>
        </is>
      </c>
      <c r="F5848" s="61" t="n">
        <v>3</v>
      </c>
      <c r="G5848" s="62" t="n">
        <v>326.56</v>
      </c>
      <c r="H5848" s="63" t="n">
        <v>0.078</v>
      </c>
      <c r="I5848" s="62" t="n">
        <v>216.98</v>
      </c>
      <c r="J5848" s="58" t="inlineStr">
        <is>
          <t>Online</t>
        </is>
      </c>
      <c r="K5848" s="62">
        <f>F5848*(G5848-H5848)</f>
        <v/>
      </c>
      <c r="L5848" s="62">
        <f>K5848-(F5848*I5848)</f>
        <v/>
      </c>
      <c r="M5848" s="64">
        <f>L5848/K5848</f>
        <v/>
      </c>
    </row>
    <row r="5849">
      <c r="A5849" s="58" t="inlineStr">
        <is>
          <t>RT20250529-05848</t>
        </is>
      </c>
      <c r="B5849" s="59" t="inlineStr">
        <is>
          <t>2025-05-29</t>
        </is>
      </c>
      <c r="C5849" s="60" t="inlineStr">
        <is>
          <t>Orion Fragrance Lite-785</t>
        </is>
      </c>
      <c r="D5849" s="58" t="inlineStr">
        <is>
          <t>Beauty</t>
        </is>
      </c>
      <c r="E5849" s="58" t="inlineStr">
        <is>
          <t>East</t>
        </is>
      </c>
      <c r="F5849" s="61" t="n">
        <v>5</v>
      </c>
      <c r="G5849" s="62" t="n">
        <v>47.07</v>
      </c>
      <c r="H5849" s="63" t="n">
        <v>0.052</v>
      </c>
      <c r="I5849" s="62" t="n">
        <v>26.22</v>
      </c>
      <c r="J5849" s="58" t="inlineStr">
        <is>
          <t>Store</t>
        </is>
      </c>
      <c r="K5849" s="62">
        <f>F5849*(G5849-H5849)</f>
        <v/>
      </c>
      <c r="L5849" s="62">
        <f>K5849-(F5849*I5849)</f>
        <v/>
      </c>
      <c r="M5849" s="64">
        <f>L5849/K5849</f>
        <v/>
      </c>
    </row>
    <row r="5850">
      <c r="A5850" s="58" t="inlineStr">
        <is>
          <t>RT20250529-05849</t>
        </is>
      </c>
      <c r="B5850" s="59" t="inlineStr">
        <is>
          <t>2025-05-29</t>
        </is>
      </c>
      <c r="C5850" s="60" t="inlineStr">
        <is>
          <t>Nimbus Headphone X-854</t>
        </is>
      </c>
      <c r="D5850" s="58" t="inlineStr">
        <is>
          <t>Electronics</t>
        </is>
      </c>
      <c r="E5850" s="58" t="inlineStr">
        <is>
          <t>West</t>
        </is>
      </c>
      <c r="F5850" s="61" t="n">
        <v>1</v>
      </c>
      <c r="G5850" s="62" t="n">
        <v>1461.6</v>
      </c>
      <c r="H5850" s="63" t="n">
        <v>0.099</v>
      </c>
      <c r="I5850" s="62" t="n">
        <v>1278.55</v>
      </c>
      <c r="J5850" s="58" t="inlineStr">
        <is>
          <t>Store</t>
        </is>
      </c>
      <c r="K5850" s="62">
        <f>F5850*(G5850-H5850)</f>
        <v/>
      </c>
      <c r="L5850" s="62">
        <f>K5850-(F5850*I5850)</f>
        <v/>
      </c>
      <c r="M5850" s="64">
        <f>L5850/K5850</f>
        <v/>
      </c>
    </row>
    <row r="5851">
      <c r="A5851" s="58" t="inlineStr">
        <is>
          <t>RT20250529-05850</t>
        </is>
      </c>
      <c r="B5851" s="59" t="inlineStr">
        <is>
          <t>2025-05-29</t>
        </is>
      </c>
      <c r="C5851" s="60" t="inlineStr">
        <is>
          <t>Solace Kitchen Pro-999</t>
        </is>
      </c>
      <c r="D5851" s="58" t="inlineStr">
        <is>
          <t>Home</t>
        </is>
      </c>
      <c r="E5851" s="58" t="inlineStr">
        <is>
          <t>North</t>
        </is>
      </c>
      <c r="F5851" s="61" t="n">
        <v>3</v>
      </c>
      <c r="G5851" s="62" t="n">
        <v>368.89</v>
      </c>
      <c r="H5851" s="63" t="n">
        <v>0.008999999999999999</v>
      </c>
      <c r="I5851" s="62" t="n">
        <v>272.85</v>
      </c>
      <c r="J5851" s="58" t="inlineStr">
        <is>
          <t>Store</t>
        </is>
      </c>
      <c r="K5851" s="62">
        <f>F5851*(G5851-H5851)</f>
        <v/>
      </c>
      <c r="L5851" s="62">
        <f>K5851-(F5851*I5851)</f>
        <v/>
      </c>
      <c r="M5851" s="64">
        <f>L5851/K5851</f>
        <v/>
      </c>
    </row>
    <row r="5852">
      <c r="A5852" s="58" t="inlineStr">
        <is>
          <t>RT20250529-05851</t>
        </is>
      </c>
      <c r="B5852" s="59" t="inlineStr">
        <is>
          <t>2025-05-29</t>
        </is>
      </c>
      <c r="C5852" s="60" t="inlineStr">
        <is>
          <t>Solace Fitnes S-324</t>
        </is>
      </c>
      <c r="D5852" s="58" t="inlineStr">
        <is>
          <t>Sports</t>
        </is>
      </c>
      <c r="E5852" s="58" t="inlineStr">
        <is>
          <t>Central</t>
        </is>
      </c>
      <c r="F5852" s="61" t="n">
        <v>3</v>
      </c>
      <c r="G5852" s="62" t="n">
        <v>743.1900000000001</v>
      </c>
      <c r="H5852" s="63" t="n">
        <v>0.08699999999999999</v>
      </c>
      <c r="I5852" s="62" t="n">
        <v>540.5599999999999</v>
      </c>
      <c r="J5852" s="58" t="inlineStr">
        <is>
          <t>Online</t>
        </is>
      </c>
      <c r="K5852" s="62">
        <f>F5852*(G5852-H5852)</f>
        <v/>
      </c>
      <c r="L5852" s="62">
        <f>K5852-(F5852*I5852)</f>
        <v/>
      </c>
      <c r="M5852" s="64">
        <f>L5852/K5852</f>
        <v/>
      </c>
    </row>
    <row r="5853">
      <c r="A5853" s="58" t="inlineStr">
        <is>
          <t>RT20250529-05852</t>
        </is>
      </c>
      <c r="B5853" s="59" t="inlineStr">
        <is>
          <t>2025-05-29</t>
        </is>
      </c>
      <c r="C5853" s="60" t="inlineStr">
        <is>
          <t>Nimbus Laptop Max-652</t>
        </is>
      </c>
      <c r="D5853" s="58" t="inlineStr">
        <is>
          <t>Electronics</t>
        </is>
      </c>
      <c r="E5853" s="58" t="inlineStr">
        <is>
          <t>South</t>
        </is>
      </c>
      <c r="F5853" s="61" t="n">
        <v>2</v>
      </c>
      <c r="G5853" s="62" t="n">
        <v>1244.44</v>
      </c>
      <c r="H5853" s="63" t="n">
        <v>0.112</v>
      </c>
      <c r="I5853" s="62" t="n">
        <v>1025.45</v>
      </c>
      <c r="J5853" s="58" t="inlineStr">
        <is>
          <t>Phone</t>
        </is>
      </c>
      <c r="K5853" s="62">
        <f>F5853*(G5853-H5853)</f>
        <v/>
      </c>
      <c r="L5853" s="62">
        <f>K5853-(F5853*I5853)</f>
        <v/>
      </c>
      <c r="M5853" s="64">
        <f>L5853/K5853</f>
        <v/>
      </c>
    </row>
    <row r="5854">
      <c r="A5854" s="58" t="inlineStr">
        <is>
          <t>RT20250529-05853</t>
        </is>
      </c>
      <c r="B5854" s="59" t="inlineStr">
        <is>
          <t>2025-05-29</t>
        </is>
      </c>
      <c r="C5854" s="60" t="inlineStr">
        <is>
          <t>Solace Kitchen X-919</t>
        </is>
      </c>
      <c r="D5854" s="58" t="inlineStr">
        <is>
          <t>Home</t>
        </is>
      </c>
      <c r="E5854" s="58" t="inlineStr">
        <is>
          <t>North</t>
        </is>
      </c>
      <c r="F5854" s="61" t="n">
        <v>1</v>
      </c>
      <c r="G5854" s="62" t="n">
        <v>404.51</v>
      </c>
      <c r="H5854" s="63" t="n">
        <v>0.056</v>
      </c>
      <c r="I5854" s="62" t="n">
        <v>265.48</v>
      </c>
      <c r="J5854" s="58" t="inlineStr">
        <is>
          <t>Online</t>
        </is>
      </c>
      <c r="K5854" s="62">
        <f>F5854*(G5854-H5854)</f>
        <v/>
      </c>
      <c r="L5854" s="62">
        <f>K5854-(F5854*I5854)</f>
        <v/>
      </c>
      <c r="M5854" s="64">
        <f>L5854/K5854</f>
        <v/>
      </c>
    </row>
    <row r="5855">
      <c r="A5855" s="58" t="inlineStr">
        <is>
          <t>RT20250530-05854</t>
        </is>
      </c>
      <c r="B5855" s="59" t="inlineStr">
        <is>
          <t>2025-05-30</t>
        </is>
      </c>
      <c r="C5855" s="60" t="inlineStr">
        <is>
          <t>Orion Laptop S-350</t>
        </is>
      </c>
      <c r="D5855" s="58" t="inlineStr">
        <is>
          <t>Electronics</t>
        </is>
      </c>
      <c r="E5855" s="58" t="inlineStr">
        <is>
          <t>East</t>
        </is>
      </c>
      <c r="F5855" s="61" t="n">
        <v>2</v>
      </c>
      <c r="G5855" s="62" t="n">
        <v>1470.81</v>
      </c>
      <c r="H5855" s="63" t="n">
        <v>0.05</v>
      </c>
      <c r="I5855" s="62" t="n">
        <v>1092.88</v>
      </c>
      <c r="J5855" s="58" t="inlineStr">
        <is>
          <t>Online</t>
        </is>
      </c>
      <c r="K5855" s="62">
        <f>F5855*(G5855-H5855)</f>
        <v/>
      </c>
      <c r="L5855" s="62">
        <f>K5855-(F5855*I5855)</f>
        <v/>
      </c>
      <c r="M5855" s="64">
        <f>L5855/K5855</f>
        <v/>
      </c>
    </row>
    <row r="5856">
      <c r="A5856" s="58" t="inlineStr">
        <is>
          <t>RT20250530-05855</t>
        </is>
      </c>
      <c r="B5856" s="59" t="inlineStr">
        <is>
          <t>2025-05-30</t>
        </is>
      </c>
      <c r="C5856" s="60" t="inlineStr">
        <is>
          <t>Falcon Haircare Pro-980</t>
        </is>
      </c>
      <c r="D5856" s="58" t="inlineStr">
        <is>
          <t>Beauty</t>
        </is>
      </c>
      <c r="E5856" s="58" t="inlineStr">
        <is>
          <t>North</t>
        </is>
      </c>
      <c r="F5856" s="61" t="n">
        <v>5</v>
      </c>
      <c r="G5856" s="62" t="n">
        <v>97.27</v>
      </c>
      <c r="H5856" s="63" t="n">
        <v>0.097</v>
      </c>
      <c r="I5856" s="62" t="n">
        <v>57.14</v>
      </c>
      <c r="J5856" s="58" t="inlineStr">
        <is>
          <t>Phone</t>
        </is>
      </c>
      <c r="K5856" s="62">
        <f>F5856*(G5856-H5856)</f>
        <v/>
      </c>
      <c r="L5856" s="62">
        <f>K5856-(F5856*I5856)</f>
        <v/>
      </c>
      <c r="M5856" s="64">
        <f>L5856/K5856</f>
        <v/>
      </c>
    </row>
    <row r="5857">
      <c r="A5857" s="58" t="inlineStr">
        <is>
          <t>RT20250530-05856</t>
        </is>
      </c>
      <c r="B5857" s="59" t="inlineStr">
        <is>
          <t>2025-05-30</t>
        </is>
      </c>
      <c r="C5857" s="60" t="inlineStr">
        <is>
          <t>Polar Beverage S-258</t>
        </is>
      </c>
      <c r="D5857" s="58" t="inlineStr">
        <is>
          <t>Grocery</t>
        </is>
      </c>
      <c r="E5857" s="58" t="inlineStr">
        <is>
          <t>South</t>
        </is>
      </c>
      <c r="F5857" s="61" t="n">
        <v>1</v>
      </c>
      <c r="G5857" s="62" t="n">
        <v>12.11</v>
      </c>
      <c r="H5857" s="63" t="n">
        <v>0.006</v>
      </c>
      <c r="I5857" s="62" t="n">
        <v>9.720000000000001</v>
      </c>
      <c r="J5857" s="58" t="inlineStr">
        <is>
          <t>Online</t>
        </is>
      </c>
      <c r="K5857" s="62">
        <f>F5857*(G5857-H5857)</f>
        <v/>
      </c>
      <c r="L5857" s="62">
        <f>K5857-(F5857*I5857)</f>
        <v/>
      </c>
      <c r="M5857" s="64">
        <f>L5857/K5857</f>
        <v/>
      </c>
    </row>
    <row r="5858">
      <c r="A5858" s="58" t="inlineStr">
        <is>
          <t>RT20250530-05857</t>
        </is>
      </c>
      <c r="B5858" s="59" t="inlineStr">
        <is>
          <t>2025-05-30</t>
        </is>
      </c>
      <c r="C5858" s="60" t="inlineStr">
        <is>
          <t>Vertex Appliance Max-338</t>
        </is>
      </c>
      <c r="D5858" s="58" t="inlineStr">
        <is>
          <t>Home</t>
        </is>
      </c>
      <c r="E5858" s="58" t="inlineStr">
        <is>
          <t>East</t>
        </is>
      </c>
      <c r="F5858" s="61" t="n">
        <v>2</v>
      </c>
      <c r="G5858" s="62" t="n">
        <v>434.25</v>
      </c>
      <c r="H5858" s="63" t="n">
        <v>0.03</v>
      </c>
      <c r="I5858" s="62" t="n">
        <v>290.8</v>
      </c>
      <c r="J5858" s="58" t="inlineStr">
        <is>
          <t>Store</t>
        </is>
      </c>
      <c r="K5858" s="62">
        <f>F5858*(G5858-H5858)</f>
        <v/>
      </c>
      <c r="L5858" s="62">
        <f>K5858-(F5858*I5858)</f>
        <v/>
      </c>
      <c r="M5858" s="64">
        <f>L5858/K5858</f>
        <v/>
      </c>
    </row>
    <row r="5859">
      <c r="A5859" s="58" t="inlineStr">
        <is>
          <t>RT20250530-05858</t>
        </is>
      </c>
      <c r="B5859" s="59" t="inlineStr">
        <is>
          <t>2025-05-30</t>
        </is>
      </c>
      <c r="C5859" s="60" t="inlineStr">
        <is>
          <t>Orion Men X-928</t>
        </is>
      </c>
      <c r="D5859" s="58" t="inlineStr">
        <is>
          <t>Apparel</t>
        </is>
      </c>
      <c r="E5859" s="58" t="inlineStr">
        <is>
          <t>West</t>
        </is>
      </c>
      <c r="F5859" s="61" t="n">
        <v>3</v>
      </c>
      <c r="G5859" s="62" t="n">
        <v>108.4</v>
      </c>
      <c r="H5859" s="63" t="n">
        <v>0.093</v>
      </c>
      <c r="I5859" s="62" t="n">
        <v>60.54</v>
      </c>
      <c r="J5859" s="58" t="inlineStr">
        <is>
          <t>Online</t>
        </is>
      </c>
      <c r="K5859" s="62">
        <f>F5859*(G5859-H5859)</f>
        <v/>
      </c>
      <c r="L5859" s="62">
        <f>K5859-(F5859*I5859)</f>
        <v/>
      </c>
      <c r="M5859" s="64">
        <f>L5859/K5859</f>
        <v/>
      </c>
    </row>
    <row r="5860">
      <c r="A5860" s="58" t="inlineStr">
        <is>
          <t>RT20250530-05859</t>
        </is>
      </c>
      <c r="B5860" s="59" t="inlineStr">
        <is>
          <t>2025-05-30</t>
        </is>
      </c>
      <c r="C5860" s="60" t="inlineStr">
        <is>
          <t>Orion Laptop S-350</t>
        </is>
      </c>
      <c r="D5860" s="58" t="inlineStr">
        <is>
          <t>Electronics</t>
        </is>
      </c>
      <c r="E5860" s="58" t="inlineStr">
        <is>
          <t>Central</t>
        </is>
      </c>
      <c r="F5860" s="61" t="n">
        <v>2</v>
      </c>
      <c r="G5860" s="62" t="n">
        <v>1375.61</v>
      </c>
      <c r="H5860" s="63" t="n">
        <v>0.023</v>
      </c>
      <c r="I5860" s="62" t="n">
        <v>1094.03</v>
      </c>
      <c r="J5860" s="58" t="inlineStr">
        <is>
          <t>Online</t>
        </is>
      </c>
      <c r="K5860" s="62">
        <f>F5860*(G5860-H5860)</f>
        <v/>
      </c>
      <c r="L5860" s="62">
        <f>K5860-(F5860*I5860)</f>
        <v/>
      </c>
      <c r="M5860" s="64">
        <f>L5860/K5860</f>
        <v/>
      </c>
    </row>
    <row r="5861">
      <c r="A5861" s="58" t="inlineStr">
        <is>
          <t>RT20250530-05860</t>
        </is>
      </c>
      <c r="B5861" s="59" t="inlineStr">
        <is>
          <t>2025-05-30</t>
        </is>
      </c>
      <c r="C5861" s="60" t="inlineStr">
        <is>
          <t>Metro Wearable Plus-234</t>
        </is>
      </c>
      <c r="D5861" s="58" t="inlineStr">
        <is>
          <t>Electronics</t>
        </is>
      </c>
      <c r="E5861" s="58" t="inlineStr">
        <is>
          <t>South</t>
        </is>
      </c>
      <c r="F5861" s="61" t="n">
        <v>2</v>
      </c>
      <c r="G5861" s="62" t="n">
        <v>1380.35</v>
      </c>
      <c r="H5861" s="63" t="n">
        <v>0.029</v>
      </c>
      <c r="I5861" s="62" t="n">
        <v>1203.7</v>
      </c>
      <c r="J5861" s="58" t="inlineStr">
        <is>
          <t>Online</t>
        </is>
      </c>
      <c r="K5861" s="62">
        <f>F5861*(G5861-H5861)</f>
        <v/>
      </c>
      <c r="L5861" s="62">
        <f>K5861-(F5861*I5861)</f>
        <v/>
      </c>
      <c r="M5861" s="64">
        <f>L5861/K5861</f>
        <v/>
      </c>
    </row>
    <row r="5862">
      <c r="A5862" s="58" t="inlineStr">
        <is>
          <t>RT20250530-05861</t>
        </is>
      </c>
      <c r="B5862" s="59" t="inlineStr">
        <is>
          <t>2025-05-30</t>
        </is>
      </c>
      <c r="C5862" s="60" t="inlineStr">
        <is>
          <t>Polar Pantry Lite-392</t>
        </is>
      </c>
      <c r="D5862" s="58" t="inlineStr">
        <is>
          <t>Grocery</t>
        </is>
      </c>
      <c r="E5862" s="58" t="inlineStr">
        <is>
          <t>West</t>
        </is>
      </c>
      <c r="F5862" s="61" t="n">
        <v>5</v>
      </c>
      <c r="G5862" s="62" t="n">
        <v>6.24</v>
      </c>
      <c r="H5862" s="63" t="n">
        <v>0.033</v>
      </c>
      <c r="I5862" s="62" t="n">
        <v>4.48</v>
      </c>
      <c r="J5862" s="58" t="inlineStr">
        <is>
          <t>Store</t>
        </is>
      </c>
      <c r="K5862" s="62">
        <f>F5862*(G5862-H5862)</f>
        <v/>
      </c>
      <c r="L5862" s="62">
        <f>K5862-(F5862*I5862)</f>
        <v/>
      </c>
      <c r="M5862" s="64">
        <f>L5862/K5862</f>
        <v/>
      </c>
    </row>
    <row r="5863">
      <c r="A5863" s="58" t="inlineStr">
        <is>
          <t>RT20250530-05862</t>
        </is>
      </c>
      <c r="B5863" s="59" t="inlineStr">
        <is>
          <t>2025-05-30</t>
        </is>
      </c>
      <c r="C5863" s="60" t="inlineStr">
        <is>
          <t>Metro Decor Lite-325</t>
        </is>
      </c>
      <c r="D5863" s="58" t="inlineStr">
        <is>
          <t>Home</t>
        </is>
      </c>
      <c r="E5863" s="58" t="inlineStr">
        <is>
          <t>South</t>
        </is>
      </c>
      <c r="F5863" s="61" t="n">
        <v>2</v>
      </c>
      <c r="G5863" s="62" t="n">
        <v>539.67</v>
      </c>
      <c r="H5863" s="63" t="n">
        <v>0.046</v>
      </c>
      <c r="I5863" s="62" t="n">
        <v>383.9</v>
      </c>
      <c r="J5863" s="58" t="inlineStr">
        <is>
          <t>Online</t>
        </is>
      </c>
      <c r="K5863" s="62">
        <f>F5863*(G5863-H5863)</f>
        <v/>
      </c>
      <c r="L5863" s="62">
        <f>K5863-(F5863*I5863)</f>
        <v/>
      </c>
      <c r="M5863" s="64">
        <f>L5863/K5863</f>
        <v/>
      </c>
    </row>
    <row r="5864">
      <c r="A5864" s="58" t="inlineStr">
        <is>
          <t>RT20250530-05863</t>
        </is>
      </c>
      <c r="B5864" s="59" t="inlineStr">
        <is>
          <t>2025-05-30</t>
        </is>
      </c>
      <c r="C5864" s="60" t="inlineStr">
        <is>
          <t>Vertex Supplie Pro-786</t>
        </is>
      </c>
      <c r="D5864" s="58" t="inlineStr">
        <is>
          <t>Office</t>
        </is>
      </c>
      <c r="E5864" s="58" t="inlineStr">
        <is>
          <t>North</t>
        </is>
      </c>
      <c r="F5864" s="61" t="n">
        <v>2</v>
      </c>
      <c r="G5864" s="62" t="n">
        <v>389.17</v>
      </c>
      <c r="H5864" s="63" t="n">
        <v>0.055</v>
      </c>
      <c r="I5864" s="62" t="n">
        <v>290.85</v>
      </c>
      <c r="J5864" s="58" t="inlineStr">
        <is>
          <t>Online</t>
        </is>
      </c>
      <c r="K5864" s="62">
        <f>F5864*(G5864-H5864)</f>
        <v/>
      </c>
      <c r="L5864" s="62">
        <f>K5864-(F5864*I5864)</f>
        <v/>
      </c>
      <c r="M5864" s="64">
        <f>L5864/K5864</f>
        <v/>
      </c>
    </row>
    <row r="5865">
      <c r="A5865" s="58" t="inlineStr">
        <is>
          <t>RT20250530-05864</t>
        </is>
      </c>
      <c r="B5865" s="59" t="inlineStr">
        <is>
          <t>2025-05-30</t>
        </is>
      </c>
      <c r="C5865" s="60" t="inlineStr">
        <is>
          <t>Orion Haircare Plus-887</t>
        </is>
      </c>
      <c r="D5865" s="58" t="inlineStr">
        <is>
          <t>Beauty</t>
        </is>
      </c>
      <c r="E5865" s="58" t="inlineStr">
        <is>
          <t>West</t>
        </is>
      </c>
      <c r="F5865" s="61" t="n">
        <v>5</v>
      </c>
      <c r="G5865" s="62" t="n">
        <v>56.65</v>
      </c>
      <c r="H5865" s="63" t="n">
        <v>0.07199999999999999</v>
      </c>
      <c r="I5865" s="62" t="n">
        <v>31.13</v>
      </c>
      <c r="J5865" s="58" t="inlineStr">
        <is>
          <t>Phone</t>
        </is>
      </c>
      <c r="K5865" s="62">
        <f>F5865*(G5865-H5865)</f>
        <v/>
      </c>
      <c r="L5865" s="62">
        <f>K5865-(F5865*I5865)</f>
        <v/>
      </c>
      <c r="M5865" s="64">
        <f>L5865/K5865</f>
        <v/>
      </c>
    </row>
    <row r="5866">
      <c r="A5866" s="58" t="inlineStr">
        <is>
          <t>RT20250530-05865</t>
        </is>
      </c>
      <c r="B5866" s="59" t="inlineStr">
        <is>
          <t>2025-05-30</t>
        </is>
      </c>
      <c r="C5866" s="60" t="inlineStr">
        <is>
          <t>Metro Fragrance Lite-261</t>
        </is>
      </c>
      <c r="D5866" s="58" t="inlineStr">
        <is>
          <t>Beauty</t>
        </is>
      </c>
      <c r="E5866" s="58" t="inlineStr">
        <is>
          <t>East</t>
        </is>
      </c>
      <c r="F5866" s="61" t="n">
        <v>2</v>
      </c>
      <c r="G5866" s="62" t="n">
        <v>86.5</v>
      </c>
      <c r="H5866" s="63" t="n">
        <v>0.06</v>
      </c>
      <c r="I5866" s="62" t="n">
        <v>56.79</v>
      </c>
      <c r="J5866" s="58" t="inlineStr">
        <is>
          <t>Online</t>
        </is>
      </c>
      <c r="K5866" s="62">
        <f>F5866*(G5866-H5866)</f>
        <v/>
      </c>
      <c r="L5866" s="62">
        <f>K5866-(F5866*I5866)</f>
        <v/>
      </c>
      <c r="M5866" s="64">
        <f>L5866/K5866</f>
        <v/>
      </c>
    </row>
    <row r="5867">
      <c r="A5867" s="58" t="inlineStr">
        <is>
          <t>RT20250530-05866</t>
        </is>
      </c>
      <c r="B5867" s="59" t="inlineStr">
        <is>
          <t>2025-05-30</t>
        </is>
      </c>
      <c r="C5867" s="60" t="inlineStr">
        <is>
          <t>Falcon Wearable X-334</t>
        </is>
      </c>
      <c r="D5867" s="58" t="inlineStr">
        <is>
          <t>Electronics</t>
        </is>
      </c>
      <c r="E5867" s="58" t="inlineStr">
        <is>
          <t>South</t>
        </is>
      </c>
      <c r="F5867" s="61" t="n">
        <v>1</v>
      </c>
      <c r="G5867" s="62" t="n">
        <v>2006.41</v>
      </c>
      <c r="H5867" s="63" t="n">
        <v>0.082</v>
      </c>
      <c r="I5867" s="62" t="n">
        <v>1507.25</v>
      </c>
      <c r="J5867" s="58" t="inlineStr">
        <is>
          <t>Online</t>
        </is>
      </c>
      <c r="K5867" s="62">
        <f>F5867*(G5867-H5867)</f>
        <v/>
      </c>
      <c r="L5867" s="62">
        <f>K5867-(F5867*I5867)</f>
        <v/>
      </c>
      <c r="M5867" s="64">
        <f>L5867/K5867</f>
        <v/>
      </c>
    </row>
    <row r="5868">
      <c r="A5868" s="58" t="inlineStr">
        <is>
          <t>RT20250530-05867</t>
        </is>
      </c>
      <c r="B5868" s="59" t="inlineStr">
        <is>
          <t>2025-05-30</t>
        </is>
      </c>
      <c r="C5868" s="60" t="inlineStr">
        <is>
          <t>Falcon Haircare Pro-980</t>
        </is>
      </c>
      <c r="D5868" s="58" t="inlineStr">
        <is>
          <t>Beauty</t>
        </is>
      </c>
      <c r="E5868" s="58" t="inlineStr">
        <is>
          <t>Central</t>
        </is>
      </c>
      <c r="F5868" s="61" t="n">
        <v>1</v>
      </c>
      <c r="G5868" s="62" t="n">
        <v>95.64</v>
      </c>
      <c r="H5868" s="63" t="n">
        <v>0.055</v>
      </c>
      <c r="I5868" s="62" t="n">
        <v>57.71</v>
      </c>
      <c r="J5868" s="58" t="inlineStr">
        <is>
          <t>Online</t>
        </is>
      </c>
      <c r="K5868" s="62">
        <f>F5868*(G5868-H5868)</f>
        <v/>
      </c>
      <c r="L5868" s="62">
        <f>K5868-(F5868*I5868)</f>
        <v/>
      </c>
      <c r="M5868" s="64">
        <f>L5868/K5868</f>
        <v/>
      </c>
    </row>
    <row r="5869">
      <c r="A5869" s="58" t="inlineStr">
        <is>
          <t>RT20250530-05868</t>
        </is>
      </c>
      <c r="B5869" s="59" t="inlineStr">
        <is>
          <t>2025-05-30</t>
        </is>
      </c>
      <c r="C5869" s="60" t="inlineStr">
        <is>
          <t>Metro Decor Lite-325</t>
        </is>
      </c>
      <c r="D5869" s="58" t="inlineStr">
        <is>
          <t>Home</t>
        </is>
      </c>
      <c r="E5869" s="58" t="inlineStr">
        <is>
          <t>North</t>
        </is>
      </c>
      <c r="F5869" s="61" t="n">
        <v>3</v>
      </c>
      <c r="G5869" s="62" t="n">
        <v>550.08</v>
      </c>
      <c r="H5869" s="63" t="n">
        <v>0.019</v>
      </c>
      <c r="I5869" s="62" t="n">
        <v>371.2</v>
      </c>
      <c r="J5869" s="58" t="inlineStr">
        <is>
          <t>Online</t>
        </is>
      </c>
      <c r="K5869" s="62">
        <f>F5869*(G5869-H5869)</f>
        <v/>
      </c>
      <c r="L5869" s="62">
        <f>K5869-(F5869*I5869)</f>
        <v/>
      </c>
      <c r="M5869" s="64">
        <f>L5869/K5869</f>
        <v/>
      </c>
    </row>
    <row r="5870">
      <c r="A5870" s="58" t="inlineStr">
        <is>
          <t>RT20250530-05869</t>
        </is>
      </c>
      <c r="B5870" s="59" t="inlineStr">
        <is>
          <t>2025-05-30</t>
        </is>
      </c>
      <c r="C5870" s="60" t="inlineStr">
        <is>
          <t>Aurora Skincare Max-798</t>
        </is>
      </c>
      <c r="D5870" s="58" t="inlineStr">
        <is>
          <t>Beauty</t>
        </is>
      </c>
      <c r="E5870" s="58" t="inlineStr">
        <is>
          <t>West</t>
        </is>
      </c>
      <c r="F5870" s="61" t="n">
        <v>5</v>
      </c>
      <c r="G5870" s="62" t="n">
        <v>118.85</v>
      </c>
      <c r="H5870" s="63" t="n">
        <v>0.028</v>
      </c>
      <c r="I5870" s="62" t="n">
        <v>66.70999999999999</v>
      </c>
      <c r="J5870" s="58" t="inlineStr">
        <is>
          <t>Store</t>
        </is>
      </c>
      <c r="K5870" s="62">
        <f>F5870*(G5870-H5870)</f>
        <v/>
      </c>
      <c r="L5870" s="62">
        <f>K5870-(F5870*I5870)</f>
        <v/>
      </c>
      <c r="M5870" s="64">
        <f>L5870/K5870</f>
        <v/>
      </c>
    </row>
    <row r="5871">
      <c r="A5871" s="58" t="inlineStr">
        <is>
          <t>RT20250530-05870</t>
        </is>
      </c>
      <c r="B5871" s="59" t="inlineStr">
        <is>
          <t>2025-05-30</t>
        </is>
      </c>
      <c r="C5871" s="60" t="inlineStr">
        <is>
          <t>Aurora Household Plus-146</t>
        </is>
      </c>
      <c r="D5871" s="58" t="inlineStr">
        <is>
          <t>Grocery</t>
        </is>
      </c>
      <c r="E5871" s="58" t="inlineStr">
        <is>
          <t>West</t>
        </is>
      </c>
      <c r="F5871" s="61" t="n">
        <v>6</v>
      </c>
      <c r="G5871" s="62" t="n">
        <v>6.45</v>
      </c>
      <c r="H5871" s="63" t="n">
        <v>0.063</v>
      </c>
      <c r="I5871" s="62" t="n">
        <v>4.5</v>
      </c>
      <c r="J5871" s="58" t="inlineStr">
        <is>
          <t>Store</t>
        </is>
      </c>
      <c r="K5871" s="62">
        <f>F5871*(G5871-H5871)</f>
        <v/>
      </c>
      <c r="L5871" s="62">
        <f>K5871-(F5871*I5871)</f>
        <v/>
      </c>
      <c r="M5871" s="64">
        <f>L5871/K5871</f>
        <v/>
      </c>
    </row>
    <row r="5872">
      <c r="A5872" s="58" t="inlineStr">
        <is>
          <t>RT20250530-05871</t>
        </is>
      </c>
      <c r="B5872" s="59" t="inlineStr">
        <is>
          <t>2025-05-30</t>
        </is>
      </c>
      <c r="C5872" s="60" t="inlineStr">
        <is>
          <t>Polar Beverage S-258</t>
        </is>
      </c>
      <c r="D5872" s="58" t="inlineStr">
        <is>
          <t>Grocery</t>
        </is>
      </c>
      <c r="E5872" s="58" t="inlineStr">
        <is>
          <t>West</t>
        </is>
      </c>
      <c r="F5872" s="61" t="n">
        <v>5</v>
      </c>
      <c r="G5872" s="62" t="n">
        <v>13.95</v>
      </c>
      <c r="H5872" s="63" t="n">
        <v>0.067</v>
      </c>
      <c r="I5872" s="62" t="n">
        <v>9.91</v>
      </c>
      <c r="J5872" s="58" t="inlineStr">
        <is>
          <t>Online</t>
        </is>
      </c>
      <c r="K5872" s="62">
        <f>F5872*(G5872-H5872)</f>
        <v/>
      </c>
      <c r="L5872" s="62">
        <f>K5872-(F5872*I5872)</f>
        <v/>
      </c>
      <c r="M5872" s="64">
        <f>L5872/K5872</f>
        <v/>
      </c>
    </row>
    <row r="5873">
      <c r="A5873" s="58" t="inlineStr">
        <is>
          <t>RT20250530-05872</t>
        </is>
      </c>
      <c r="B5873" s="59" t="inlineStr">
        <is>
          <t>2025-05-30</t>
        </is>
      </c>
      <c r="C5873" s="60" t="inlineStr">
        <is>
          <t>Metro Accessorie Lite-697</t>
        </is>
      </c>
      <c r="D5873" s="58" t="inlineStr">
        <is>
          <t>Apparel</t>
        </is>
      </c>
      <c r="E5873" s="58" t="inlineStr">
        <is>
          <t>North</t>
        </is>
      </c>
      <c r="F5873" s="61" t="n">
        <v>2</v>
      </c>
      <c r="G5873" s="62" t="n">
        <v>133.08</v>
      </c>
      <c r="H5873" s="63" t="n">
        <v>0.029</v>
      </c>
      <c r="I5873" s="62" t="n">
        <v>77.13</v>
      </c>
      <c r="J5873" s="58" t="inlineStr">
        <is>
          <t>Online</t>
        </is>
      </c>
      <c r="K5873" s="62">
        <f>F5873*(G5873-H5873)</f>
        <v/>
      </c>
      <c r="L5873" s="62">
        <f>K5873-(F5873*I5873)</f>
        <v/>
      </c>
      <c r="M5873" s="64">
        <f>L5873/K5873</f>
        <v/>
      </c>
    </row>
    <row r="5874">
      <c r="A5874" s="58" t="inlineStr">
        <is>
          <t>RT20250530-05873</t>
        </is>
      </c>
      <c r="B5874" s="59" t="inlineStr">
        <is>
          <t>2025-05-30</t>
        </is>
      </c>
      <c r="C5874" s="60" t="inlineStr">
        <is>
          <t>Polar Beverage S-258</t>
        </is>
      </c>
      <c r="D5874" s="58" t="inlineStr">
        <is>
          <t>Grocery</t>
        </is>
      </c>
      <c r="E5874" s="58" t="inlineStr">
        <is>
          <t>West</t>
        </is>
      </c>
      <c r="F5874" s="61" t="n">
        <v>8</v>
      </c>
      <c r="G5874" s="62" t="n">
        <v>13.61</v>
      </c>
      <c r="H5874" s="63" t="n">
        <v>0.08400000000000001</v>
      </c>
      <c r="I5874" s="62" t="n">
        <v>9.869999999999999</v>
      </c>
      <c r="J5874" s="58" t="inlineStr">
        <is>
          <t>Store</t>
        </is>
      </c>
      <c r="K5874" s="62">
        <f>F5874*(G5874-H5874)</f>
        <v/>
      </c>
      <c r="L5874" s="62">
        <f>K5874-(F5874*I5874)</f>
        <v/>
      </c>
      <c r="M5874" s="64">
        <f>L5874/K5874</f>
        <v/>
      </c>
    </row>
    <row r="5875">
      <c r="A5875" s="58" t="inlineStr">
        <is>
          <t>RT20250530-05874</t>
        </is>
      </c>
      <c r="B5875" s="59" t="inlineStr">
        <is>
          <t>2025-05-30</t>
        </is>
      </c>
      <c r="C5875" s="60" t="inlineStr">
        <is>
          <t>Falcon Accessorie S-195</t>
        </is>
      </c>
      <c r="D5875" s="58" t="inlineStr">
        <is>
          <t>Apparel</t>
        </is>
      </c>
      <c r="E5875" s="58" t="inlineStr">
        <is>
          <t>South</t>
        </is>
      </c>
      <c r="F5875" s="61" t="n">
        <v>4</v>
      </c>
      <c r="G5875" s="62" t="n">
        <v>87.39</v>
      </c>
      <c r="H5875" s="63" t="n">
        <v>0.067</v>
      </c>
      <c r="I5875" s="62" t="n">
        <v>41.54</v>
      </c>
      <c r="J5875" s="58" t="inlineStr">
        <is>
          <t>Store</t>
        </is>
      </c>
      <c r="K5875" s="62">
        <f>F5875*(G5875-H5875)</f>
        <v/>
      </c>
      <c r="L5875" s="62">
        <f>K5875-(F5875*I5875)</f>
        <v/>
      </c>
      <c r="M5875" s="64">
        <f>L5875/K5875</f>
        <v/>
      </c>
    </row>
    <row r="5876">
      <c r="A5876" s="58" t="inlineStr">
        <is>
          <t>RT20250530-05875</t>
        </is>
      </c>
      <c r="B5876" s="59" t="inlineStr">
        <is>
          <t>2025-05-30</t>
        </is>
      </c>
      <c r="C5876" s="60" t="inlineStr">
        <is>
          <t>Aurora Printer Plus-991</t>
        </is>
      </c>
      <c r="D5876" s="58" t="inlineStr">
        <is>
          <t>Office</t>
        </is>
      </c>
      <c r="E5876" s="58" t="inlineStr">
        <is>
          <t>South</t>
        </is>
      </c>
      <c r="F5876" s="61" t="n">
        <v>1</v>
      </c>
      <c r="G5876" s="62" t="n">
        <v>480.83</v>
      </c>
      <c r="H5876" s="63" t="n">
        <v>0.056</v>
      </c>
      <c r="I5876" s="62" t="n">
        <v>370.82</v>
      </c>
      <c r="J5876" s="58" t="inlineStr">
        <is>
          <t>Phone</t>
        </is>
      </c>
      <c r="K5876" s="62">
        <f>F5876*(G5876-H5876)</f>
        <v/>
      </c>
      <c r="L5876" s="62">
        <f>K5876-(F5876*I5876)</f>
        <v/>
      </c>
      <c r="M5876" s="64">
        <f>L5876/K5876</f>
        <v/>
      </c>
    </row>
    <row r="5877">
      <c r="A5877" s="58" t="inlineStr">
        <is>
          <t>RT20250530-05876</t>
        </is>
      </c>
      <c r="B5877" s="59" t="inlineStr">
        <is>
          <t>2025-05-30</t>
        </is>
      </c>
      <c r="C5877" s="60" t="inlineStr">
        <is>
          <t>Polar Decor X-935</t>
        </is>
      </c>
      <c r="D5877" s="58" t="inlineStr">
        <is>
          <t>Home</t>
        </is>
      </c>
      <c r="E5877" s="58" t="inlineStr">
        <is>
          <t>East</t>
        </is>
      </c>
      <c r="F5877" s="61" t="n">
        <v>2</v>
      </c>
      <c r="G5877" s="62" t="n">
        <v>310.59</v>
      </c>
      <c r="H5877" s="63" t="n">
        <v>0.064</v>
      </c>
      <c r="I5877" s="62" t="n">
        <v>201.17</v>
      </c>
      <c r="J5877" s="58" t="inlineStr">
        <is>
          <t>Store</t>
        </is>
      </c>
      <c r="K5877" s="62">
        <f>F5877*(G5877-H5877)</f>
        <v/>
      </c>
      <c r="L5877" s="62">
        <f>K5877-(F5877*I5877)</f>
        <v/>
      </c>
      <c r="M5877" s="64">
        <f>L5877/K5877</f>
        <v/>
      </c>
    </row>
    <row r="5878">
      <c r="A5878" s="58" t="inlineStr">
        <is>
          <t>RT20250530-05877</t>
        </is>
      </c>
      <c r="B5878" s="59" t="inlineStr">
        <is>
          <t>2025-05-30</t>
        </is>
      </c>
      <c r="C5878" s="60" t="inlineStr">
        <is>
          <t>Falcon Cycling Pro-499</t>
        </is>
      </c>
      <c r="D5878" s="58" t="inlineStr">
        <is>
          <t>Sports</t>
        </is>
      </c>
      <c r="E5878" s="58" t="inlineStr">
        <is>
          <t>Central</t>
        </is>
      </c>
      <c r="F5878" s="61" t="n">
        <v>2</v>
      </c>
      <c r="G5878" s="62" t="n">
        <v>633.46</v>
      </c>
      <c r="H5878" s="63" t="n">
        <v>0.064</v>
      </c>
      <c r="I5878" s="62" t="n">
        <v>410.8</v>
      </c>
      <c r="J5878" s="58" t="inlineStr">
        <is>
          <t>Store</t>
        </is>
      </c>
      <c r="K5878" s="62">
        <f>F5878*(G5878-H5878)</f>
        <v/>
      </c>
      <c r="L5878" s="62">
        <f>K5878-(F5878*I5878)</f>
        <v/>
      </c>
      <c r="M5878" s="64">
        <f>L5878/K5878</f>
        <v/>
      </c>
    </row>
    <row r="5879">
      <c r="A5879" s="58" t="inlineStr">
        <is>
          <t>RT20250530-05878</t>
        </is>
      </c>
      <c r="B5879" s="59" t="inlineStr">
        <is>
          <t>2025-05-30</t>
        </is>
      </c>
      <c r="C5879" s="60" t="inlineStr">
        <is>
          <t>Orion Kid Max-640</t>
        </is>
      </c>
      <c r="D5879" s="58" t="inlineStr">
        <is>
          <t>Apparel</t>
        </is>
      </c>
      <c r="E5879" s="58" t="inlineStr">
        <is>
          <t>East</t>
        </is>
      </c>
      <c r="F5879" s="61" t="n">
        <v>3</v>
      </c>
      <c r="G5879" s="62" t="n">
        <v>121.99</v>
      </c>
      <c r="H5879" s="63" t="n">
        <v>0.08400000000000001</v>
      </c>
      <c r="I5879" s="62" t="n">
        <v>71.73</v>
      </c>
      <c r="J5879" s="58" t="inlineStr">
        <is>
          <t>Online</t>
        </is>
      </c>
      <c r="K5879" s="62">
        <f>F5879*(G5879-H5879)</f>
        <v/>
      </c>
      <c r="L5879" s="62">
        <f>K5879-(F5879*I5879)</f>
        <v/>
      </c>
      <c r="M5879" s="64">
        <f>L5879/K5879</f>
        <v/>
      </c>
    </row>
    <row r="5880">
      <c r="A5880" s="58" t="inlineStr">
        <is>
          <t>RT20250530-05879</t>
        </is>
      </c>
      <c r="B5880" s="59" t="inlineStr">
        <is>
          <t>2025-05-30</t>
        </is>
      </c>
      <c r="C5880" s="60" t="inlineStr">
        <is>
          <t>Polar Cycling X-649</t>
        </is>
      </c>
      <c r="D5880" s="58" t="inlineStr">
        <is>
          <t>Sports</t>
        </is>
      </c>
      <c r="E5880" s="58" t="inlineStr">
        <is>
          <t>West</t>
        </is>
      </c>
      <c r="F5880" s="61" t="n">
        <v>1</v>
      </c>
      <c r="G5880" s="62" t="n">
        <v>483.93</v>
      </c>
      <c r="H5880" s="63" t="n">
        <v>0.105</v>
      </c>
      <c r="I5880" s="62" t="n">
        <v>355.74</v>
      </c>
      <c r="J5880" s="58" t="inlineStr">
        <is>
          <t>Online</t>
        </is>
      </c>
      <c r="K5880" s="62">
        <f>F5880*(G5880-H5880)</f>
        <v/>
      </c>
      <c r="L5880" s="62">
        <f>K5880-(F5880*I5880)</f>
        <v/>
      </c>
      <c r="M5880" s="64">
        <f>L5880/K5880</f>
        <v/>
      </c>
    </row>
    <row r="5881">
      <c r="A5881" s="58" t="inlineStr">
        <is>
          <t>RT20250530-05880</t>
        </is>
      </c>
      <c r="B5881" s="59" t="inlineStr">
        <is>
          <t>2025-05-30</t>
        </is>
      </c>
      <c r="C5881" s="60" t="inlineStr">
        <is>
          <t>Aurora Bedding Max-175</t>
        </is>
      </c>
      <c r="D5881" s="58" t="inlineStr">
        <is>
          <t>Home</t>
        </is>
      </c>
      <c r="E5881" s="58" t="inlineStr">
        <is>
          <t>East</t>
        </is>
      </c>
      <c r="F5881" s="61" t="n">
        <v>3</v>
      </c>
      <c r="G5881" s="62" t="n">
        <v>621.1</v>
      </c>
      <c r="H5881" s="63" t="n">
        <v>0.021</v>
      </c>
      <c r="I5881" s="62" t="n">
        <v>411.52</v>
      </c>
      <c r="J5881" s="58" t="inlineStr">
        <is>
          <t>Phone</t>
        </is>
      </c>
      <c r="K5881" s="62">
        <f>F5881*(G5881-H5881)</f>
        <v/>
      </c>
      <c r="L5881" s="62">
        <f>K5881-(F5881*I5881)</f>
        <v/>
      </c>
      <c r="M5881" s="64">
        <f>L5881/K5881</f>
        <v/>
      </c>
    </row>
    <row r="5882">
      <c r="A5882" s="58" t="inlineStr">
        <is>
          <t>RT20250530-05881</t>
        </is>
      </c>
      <c r="B5882" s="59" t="inlineStr">
        <is>
          <t>2025-05-30</t>
        </is>
      </c>
      <c r="C5882" s="60" t="inlineStr">
        <is>
          <t>Orion Men X-928</t>
        </is>
      </c>
      <c r="D5882" s="58" t="inlineStr">
        <is>
          <t>Apparel</t>
        </is>
      </c>
      <c r="E5882" s="58" t="inlineStr">
        <is>
          <t>North</t>
        </is>
      </c>
      <c r="F5882" s="61" t="n">
        <v>3</v>
      </c>
      <c r="G5882" s="62" t="n">
        <v>123.7</v>
      </c>
      <c r="H5882" s="63" t="n">
        <v>0.055</v>
      </c>
      <c r="I5882" s="62" t="n">
        <v>63.62</v>
      </c>
      <c r="J5882" s="58" t="inlineStr">
        <is>
          <t>Phone</t>
        </is>
      </c>
      <c r="K5882" s="62">
        <f>F5882*(G5882-H5882)</f>
        <v/>
      </c>
      <c r="L5882" s="62">
        <f>K5882-(F5882*I5882)</f>
        <v/>
      </c>
      <c r="M5882" s="64">
        <f>L5882/K5882</f>
        <v/>
      </c>
    </row>
    <row r="5883">
      <c r="A5883" s="58" t="inlineStr">
        <is>
          <t>RT20250530-05882</t>
        </is>
      </c>
      <c r="B5883" s="59" t="inlineStr">
        <is>
          <t>2025-05-30</t>
        </is>
      </c>
      <c r="C5883" s="60" t="inlineStr">
        <is>
          <t>Solace Kid S-384</t>
        </is>
      </c>
      <c r="D5883" s="58" t="inlineStr">
        <is>
          <t>Apparel</t>
        </is>
      </c>
      <c r="E5883" s="58" t="inlineStr">
        <is>
          <t>South</t>
        </is>
      </c>
      <c r="F5883" s="61" t="n">
        <v>1</v>
      </c>
      <c r="G5883" s="62" t="n">
        <v>106.14</v>
      </c>
      <c r="H5883" s="63" t="n">
        <v>0.022</v>
      </c>
      <c r="I5883" s="62" t="n">
        <v>61.29</v>
      </c>
      <c r="J5883" s="58" t="inlineStr">
        <is>
          <t>Online</t>
        </is>
      </c>
      <c r="K5883" s="62">
        <f>F5883*(G5883-H5883)</f>
        <v/>
      </c>
      <c r="L5883" s="62">
        <f>K5883-(F5883*I5883)</f>
        <v/>
      </c>
      <c r="M5883" s="64">
        <f>L5883/K5883</f>
        <v/>
      </c>
    </row>
    <row r="5884">
      <c r="A5884" s="58" t="inlineStr">
        <is>
          <t>RT20250530-05883</t>
        </is>
      </c>
      <c r="B5884" s="59" t="inlineStr">
        <is>
          <t>2025-05-30</t>
        </is>
      </c>
      <c r="C5884" s="60" t="inlineStr">
        <is>
          <t>Orion Laptop S-350</t>
        </is>
      </c>
      <c r="D5884" s="58" t="inlineStr">
        <is>
          <t>Electronics</t>
        </is>
      </c>
      <c r="E5884" s="58" t="inlineStr">
        <is>
          <t>South</t>
        </is>
      </c>
      <c r="F5884" s="61" t="n">
        <v>1</v>
      </c>
      <c r="G5884" s="62" t="n">
        <v>1352.31</v>
      </c>
      <c r="H5884" s="63" t="n">
        <v>0.08599999999999999</v>
      </c>
      <c r="I5884" s="62" t="n">
        <v>1104.64</v>
      </c>
      <c r="J5884" s="58" t="inlineStr">
        <is>
          <t>Store</t>
        </is>
      </c>
      <c r="K5884" s="62">
        <f>F5884*(G5884-H5884)</f>
        <v/>
      </c>
      <c r="L5884" s="62">
        <f>K5884-(F5884*I5884)</f>
        <v/>
      </c>
      <c r="M5884" s="64">
        <f>L5884/K5884</f>
        <v/>
      </c>
    </row>
    <row r="5885">
      <c r="A5885" s="58" t="inlineStr">
        <is>
          <t>RT20250530-05884</t>
        </is>
      </c>
      <c r="B5885" s="59" t="inlineStr">
        <is>
          <t>2025-05-30</t>
        </is>
      </c>
      <c r="C5885" s="60" t="inlineStr">
        <is>
          <t>Aurora Wearable Lite-704</t>
        </is>
      </c>
      <c r="D5885" s="58" t="inlineStr">
        <is>
          <t>Electronics</t>
        </is>
      </c>
      <c r="E5885" s="58" t="inlineStr">
        <is>
          <t>West</t>
        </is>
      </c>
      <c r="F5885" s="61" t="n">
        <v>1</v>
      </c>
      <c r="G5885" s="62" t="n">
        <v>1712.77</v>
      </c>
      <c r="H5885" s="63" t="n">
        <v>0.08699999999999999</v>
      </c>
      <c r="I5885" s="62" t="n">
        <v>1440.59</v>
      </c>
      <c r="J5885" s="58" t="inlineStr">
        <is>
          <t>Online</t>
        </is>
      </c>
      <c r="K5885" s="62">
        <f>F5885*(G5885-H5885)</f>
        <v/>
      </c>
      <c r="L5885" s="62">
        <f>K5885-(F5885*I5885)</f>
        <v/>
      </c>
      <c r="M5885" s="64">
        <f>L5885/K5885</f>
        <v/>
      </c>
    </row>
    <row r="5886">
      <c r="A5886" s="58" t="inlineStr">
        <is>
          <t>RT20250530-05885</t>
        </is>
      </c>
      <c r="B5886" s="59" t="inlineStr">
        <is>
          <t>2025-05-30</t>
        </is>
      </c>
      <c r="C5886" s="60" t="inlineStr">
        <is>
          <t>Vertex Supplie Pro-786</t>
        </is>
      </c>
      <c r="D5886" s="58" t="inlineStr">
        <is>
          <t>Office</t>
        </is>
      </c>
      <c r="E5886" s="58" t="inlineStr">
        <is>
          <t>West</t>
        </is>
      </c>
      <c r="F5886" s="61" t="n">
        <v>3</v>
      </c>
      <c r="G5886" s="62" t="n">
        <v>413.51</v>
      </c>
      <c r="H5886" s="63" t="n">
        <v>0</v>
      </c>
      <c r="I5886" s="62" t="n">
        <v>296.4</v>
      </c>
      <c r="J5886" s="58" t="inlineStr">
        <is>
          <t>Store</t>
        </is>
      </c>
      <c r="K5886" s="62">
        <f>F5886*(G5886-H5886)</f>
        <v/>
      </c>
      <c r="L5886" s="62">
        <f>K5886-(F5886*I5886)</f>
        <v/>
      </c>
      <c r="M5886" s="64">
        <f>L5886/K5886</f>
        <v/>
      </c>
    </row>
    <row r="5887">
      <c r="A5887" s="58" t="inlineStr">
        <is>
          <t>RT20250530-05886</t>
        </is>
      </c>
      <c r="B5887" s="59" t="inlineStr">
        <is>
          <t>2025-05-30</t>
        </is>
      </c>
      <c r="C5887" s="60" t="inlineStr">
        <is>
          <t>Solace Kitchen Pro-999</t>
        </is>
      </c>
      <c r="D5887" s="58" t="inlineStr">
        <is>
          <t>Home</t>
        </is>
      </c>
      <c r="E5887" s="58" t="inlineStr">
        <is>
          <t>Central</t>
        </is>
      </c>
      <c r="F5887" s="61" t="n">
        <v>3</v>
      </c>
      <c r="G5887" s="62" t="n">
        <v>364.23</v>
      </c>
      <c r="H5887" s="63" t="n">
        <v>0.044</v>
      </c>
      <c r="I5887" s="62" t="n">
        <v>262.57</v>
      </c>
      <c r="J5887" s="58" t="inlineStr">
        <is>
          <t>Store</t>
        </is>
      </c>
      <c r="K5887" s="62">
        <f>F5887*(G5887-H5887)</f>
        <v/>
      </c>
      <c r="L5887" s="62">
        <f>K5887-(F5887*I5887)</f>
        <v/>
      </c>
      <c r="M5887" s="64">
        <f>L5887/K5887</f>
        <v/>
      </c>
    </row>
    <row r="5888">
      <c r="A5888" s="58" t="inlineStr">
        <is>
          <t>RT20250530-05887</t>
        </is>
      </c>
      <c r="B5888" s="59" t="inlineStr">
        <is>
          <t>2025-05-30</t>
        </is>
      </c>
      <c r="C5888" s="60" t="inlineStr">
        <is>
          <t>Vertex Headphone Pro-801</t>
        </is>
      </c>
      <c r="D5888" s="58" t="inlineStr">
        <is>
          <t>Electronics</t>
        </is>
      </c>
      <c r="E5888" s="58" t="inlineStr">
        <is>
          <t>West</t>
        </is>
      </c>
      <c r="F5888" s="61" t="n">
        <v>2</v>
      </c>
      <c r="G5888" s="62" t="n">
        <v>1206.39</v>
      </c>
      <c r="H5888" s="63" t="n">
        <v>0.08699999999999999</v>
      </c>
      <c r="I5888" s="62" t="n">
        <v>969.08</v>
      </c>
      <c r="J5888" s="58" t="inlineStr">
        <is>
          <t>Online</t>
        </is>
      </c>
      <c r="K5888" s="62">
        <f>F5888*(G5888-H5888)</f>
        <v/>
      </c>
      <c r="L5888" s="62">
        <f>K5888-(F5888*I5888)</f>
        <v/>
      </c>
      <c r="M5888" s="64">
        <f>L5888/K5888</f>
        <v/>
      </c>
    </row>
    <row r="5889">
      <c r="A5889" s="58" t="inlineStr">
        <is>
          <t>RT20250530-05888</t>
        </is>
      </c>
      <c r="B5889" s="59" t="inlineStr">
        <is>
          <t>2025-05-30</t>
        </is>
      </c>
      <c r="C5889" s="60" t="inlineStr">
        <is>
          <t>Falcon Household Pro-865</t>
        </is>
      </c>
      <c r="D5889" s="58" t="inlineStr">
        <is>
          <t>Grocery</t>
        </is>
      </c>
      <c r="E5889" s="58" t="inlineStr">
        <is>
          <t>South</t>
        </is>
      </c>
      <c r="F5889" s="61" t="n">
        <v>5</v>
      </c>
      <c r="G5889" s="62" t="n">
        <v>10.49</v>
      </c>
      <c r="H5889" s="63" t="n">
        <v>0.047</v>
      </c>
      <c r="I5889" s="62" t="n">
        <v>7.75</v>
      </c>
      <c r="J5889" s="58" t="inlineStr">
        <is>
          <t>Online</t>
        </is>
      </c>
      <c r="K5889" s="62">
        <f>F5889*(G5889-H5889)</f>
        <v/>
      </c>
      <c r="L5889" s="62">
        <f>K5889-(F5889*I5889)</f>
        <v/>
      </c>
      <c r="M5889" s="64">
        <f>L5889/K5889</f>
        <v/>
      </c>
    </row>
    <row r="5890">
      <c r="A5890" s="58" t="inlineStr">
        <is>
          <t>RT20250530-05889</t>
        </is>
      </c>
      <c r="B5890" s="59" t="inlineStr">
        <is>
          <t>2025-05-30</t>
        </is>
      </c>
      <c r="C5890" s="60" t="inlineStr">
        <is>
          <t>Falcon Household Plus-172</t>
        </is>
      </c>
      <c r="D5890" s="58" t="inlineStr">
        <is>
          <t>Grocery</t>
        </is>
      </c>
      <c r="E5890" s="58" t="inlineStr">
        <is>
          <t>West</t>
        </is>
      </c>
      <c r="F5890" s="61" t="n">
        <v>3</v>
      </c>
      <c r="G5890" s="62" t="n">
        <v>23.3</v>
      </c>
      <c r="H5890" s="63" t="n">
        <v>0.063</v>
      </c>
      <c r="I5890" s="62" t="n">
        <v>15.78</v>
      </c>
      <c r="J5890" s="58" t="inlineStr">
        <is>
          <t>Online</t>
        </is>
      </c>
      <c r="K5890" s="62">
        <f>F5890*(G5890-H5890)</f>
        <v/>
      </c>
      <c r="L5890" s="62">
        <f>K5890-(F5890*I5890)</f>
        <v/>
      </c>
      <c r="M5890" s="64">
        <f>L5890/K5890</f>
        <v/>
      </c>
    </row>
    <row r="5891">
      <c r="A5891" s="58" t="inlineStr">
        <is>
          <t>RT20250530-05890</t>
        </is>
      </c>
      <c r="B5891" s="59" t="inlineStr">
        <is>
          <t>2025-05-30</t>
        </is>
      </c>
      <c r="C5891" s="60" t="inlineStr">
        <is>
          <t>Polar Beverage S-258</t>
        </is>
      </c>
      <c r="D5891" s="58" t="inlineStr">
        <is>
          <t>Grocery</t>
        </is>
      </c>
      <c r="E5891" s="58" t="inlineStr">
        <is>
          <t>West</t>
        </is>
      </c>
      <c r="F5891" s="61" t="n">
        <v>8</v>
      </c>
      <c r="G5891" s="62" t="n">
        <v>13.91</v>
      </c>
      <c r="H5891" s="63" t="n">
        <v>0.08500000000000001</v>
      </c>
      <c r="I5891" s="62" t="n">
        <v>9.73</v>
      </c>
      <c r="J5891" s="58" t="inlineStr">
        <is>
          <t>Online</t>
        </is>
      </c>
      <c r="K5891" s="62">
        <f>F5891*(G5891-H5891)</f>
        <v/>
      </c>
      <c r="L5891" s="62">
        <f>K5891-(F5891*I5891)</f>
        <v/>
      </c>
      <c r="M5891" s="64">
        <f>L5891/K5891</f>
        <v/>
      </c>
    </row>
    <row r="5892">
      <c r="A5892" s="58" t="inlineStr">
        <is>
          <t>RT20250530-05891</t>
        </is>
      </c>
      <c r="B5892" s="59" t="inlineStr">
        <is>
          <t>2025-05-30</t>
        </is>
      </c>
      <c r="C5892" s="60" t="inlineStr">
        <is>
          <t>Falcon Bedding S-674</t>
        </is>
      </c>
      <c r="D5892" s="58" t="inlineStr">
        <is>
          <t>Home</t>
        </is>
      </c>
      <c r="E5892" s="58" t="inlineStr">
        <is>
          <t>East</t>
        </is>
      </c>
      <c r="F5892" s="61" t="n">
        <v>2</v>
      </c>
      <c r="G5892" s="62" t="n">
        <v>612.4</v>
      </c>
      <c r="H5892" s="63" t="n">
        <v>0.08699999999999999</v>
      </c>
      <c r="I5892" s="62" t="n">
        <v>442.76</v>
      </c>
      <c r="J5892" s="58" t="inlineStr">
        <is>
          <t>Online</t>
        </is>
      </c>
      <c r="K5892" s="62">
        <f>F5892*(G5892-H5892)</f>
        <v/>
      </c>
      <c r="L5892" s="62">
        <f>K5892-(F5892*I5892)</f>
        <v/>
      </c>
      <c r="M5892" s="64">
        <f>L5892/K5892</f>
        <v/>
      </c>
    </row>
    <row r="5893">
      <c r="A5893" s="58" t="inlineStr">
        <is>
          <t>RT20250530-05892</t>
        </is>
      </c>
      <c r="B5893" s="59" t="inlineStr">
        <is>
          <t>2025-05-30</t>
        </is>
      </c>
      <c r="C5893" s="60" t="inlineStr">
        <is>
          <t>Metro Laptop Plus-376</t>
        </is>
      </c>
      <c r="D5893" s="58" t="inlineStr">
        <is>
          <t>Electronics</t>
        </is>
      </c>
      <c r="E5893" s="58" t="inlineStr">
        <is>
          <t>East</t>
        </is>
      </c>
      <c r="F5893" s="61" t="n">
        <v>2</v>
      </c>
      <c r="G5893" s="62" t="n">
        <v>1206.35</v>
      </c>
      <c r="H5893" s="63" t="n">
        <v>0.046</v>
      </c>
      <c r="I5893" s="62" t="n">
        <v>1024.35</v>
      </c>
      <c r="J5893" s="58" t="inlineStr">
        <is>
          <t>Online</t>
        </is>
      </c>
      <c r="K5893" s="62">
        <f>F5893*(G5893-H5893)</f>
        <v/>
      </c>
      <c r="L5893" s="62">
        <f>K5893-(F5893*I5893)</f>
        <v/>
      </c>
      <c r="M5893" s="64">
        <f>L5893/K5893</f>
        <v/>
      </c>
    </row>
    <row r="5894">
      <c r="A5894" s="58" t="inlineStr">
        <is>
          <t>RT20250530-05893</t>
        </is>
      </c>
      <c r="B5894" s="59" t="inlineStr">
        <is>
          <t>2025-05-30</t>
        </is>
      </c>
      <c r="C5894" s="60" t="inlineStr">
        <is>
          <t>Aurora Kid Plus-151</t>
        </is>
      </c>
      <c r="D5894" s="58" t="inlineStr">
        <is>
          <t>Apparel</t>
        </is>
      </c>
      <c r="E5894" s="58" t="inlineStr">
        <is>
          <t>Central</t>
        </is>
      </c>
      <c r="F5894" s="61" t="n">
        <v>4</v>
      </c>
      <c r="G5894" s="62" t="n">
        <v>114.22</v>
      </c>
      <c r="H5894" s="63" t="n">
        <v>0.06</v>
      </c>
      <c r="I5894" s="62" t="n">
        <v>64.59</v>
      </c>
      <c r="J5894" s="58" t="inlineStr">
        <is>
          <t>Online</t>
        </is>
      </c>
      <c r="K5894" s="62">
        <f>F5894*(G5894-H5894)</f>
        <v/>
      </c>
      <c r="L5894" s="62">
        <f>K5894-(F5894*I5894)</f>
        <v/>
      </c>
      <c r="M5894" s="64">
        <f>L5894/K5894</f>
        <v/>
      </c>
    </row>
    <row r="5895">
      <c r="A5895" s="58" t="inlineStr">
        <is>
          <t>RT20250530-05894</t>
        </is>
      </c>
      <c r="B5895" s="59" t="inlineStr">
        <is>
          <t>2025-05-30</t>
        </is>
      </c>
      <c r="C5895" s="60" t="inlineStr">
        <is>
          <t>Aurora Wearable Lite-162</t>
        </is>
      </c>
      <c r="D5895" s="58" t="inlineStr">
        <is>
          <t>Electronics</t>
        </is>
      </c>
      <c r="E5895" s="58" t="inlineStr">
        <is>
          <t>West</t>
        </is>
      </c>
      <c r="F5895" s="61" t="n">
        <v>2</v>
      </c>
      <c r="G5895" s="62" t="n">
        <v>1538.53</v>
      </c>
      <c r="H5895" s="63" t="n">
        <v>0.052</v>
      </c>
      <c r="I5895" s="62" t="n">
        <v>1187.21</v>
      </c>
      <c r="J5895" s="58" t="inlineStr">
        <is>
          <t>Online</t>
        </is>
      </c>
      <c r="K5895" s="62">
        <f>F5895*(G5895-H5895)</f>
        <v/>
      </c>
      <c r="L5895" s="62">
        <f>K5895-(F5895*I5895)</f>
        <v/>
      </c>
      <c r="M5895" s="64">
        <f>L5895/K5895</f>
        <v/>
      </c>
    </row>
    <row r="5896">
      <c r="A5896" s="58" t="inlineStr">
        <is>
          <t>RT20250530-05895</t>
        </is>
      </c>
      <c r="B5896" s="59" t="inlineStr">
        <is>
          <t>2025-05-30</t>
        </is>
      </c>
      <c r="C5896" s="60" t="inlineStr">
        <is>
          <t>Falcon Household Pro-865</t>
        </is>
      </c>
      <c r="D5896" s="58" t="inlineStr">
        <is>
          <t>Grocery</t>
        </is>
      </c>
      <c r="E5896" s="58" t="inlineStr">
        <is>
          <t>East</t>
        </is>
      </c>
      <c r="F5896" s="61" t="n">
        <v>2</v>
      </c>
      <c r="G5896" s="62" t="n">
        <v>10.5</v>
      </c>
      <c r="H5896" s="63" t="n">
        <v>0.06</v>
      </c>
      <c r="I5896" s="62" t="n">
        <v>7.84</v>
      </c>
      <c r="J5896" s="58" t="inlineStr">
        <is>
          <t>Store</t>
        </is>
      </c>
      <c r="K5896" s="62">
        <f>F5896*(G5896-H5896)</f>
        <v/>
      </c>
      <c r="L5896" s="62">
        <f>K5896-(F5896*I5896)</f>
        <v/>
      </c>
      <c r="M5896" s="64">
        <f>L5896/K5896</f>
        <v/>
      </c>
    </row>
    <row r="5897">
      <c r="A5897" s="58" t="inlineStr">
        <is>
          <t>RT20250530-05896</t>
        </is>
      </c>
      <c r="B5897" s="59" t="inlineStr">
        <is>
          <t>2025-05-30</t>
        </is>
      </c>
      <c r="C5897" s="60" t="inlineStr">
        <is>
          <t>Aurora Wearable Lite-704</t>
        </is>
      </c>
      <c r="D5897" s="58" t="inlineStr">
        <is>
          <t>Electronics</t>
        </is>
      </c>
      <c r="E5897" s="58" t="inlineStr">
        <is>
          <t>East</t>
        </is>
      </c>
      <c r="F5897" s="61" t="n">
        <v>1</v>
      </c>
      <c r="G5897" s="62" t="n">
        <v>1804.99</v>
      </c>
      <c r="H5897" s="63" t="n">
        <v>0.109</v>
      </c>
      <c r="I5897" s="62" t="n">
        <v>1477.41</v>
      </c>
      <c r="J5897" s="58" t="inlineStr">
        <is>
          <t>Online</t>
        </is>
      </c>
      <c r="K5897" s="62">
        <f>F5897*(G5897-H5897)</f>
        <v/>
      </c>
      <c r="L5897" s="62">
        <f>K5897-(F5897*I5897)</f>
        <v/>
      </c>
      <c r="M5897" s="64">
        <f>L5897/K5897</f>
        <v/>
      </c>
    </row>
    <row r="5898">
      <c r="A5898" s="58" t="inlineStr">
        <is>
          <t>RT20250530-05897</t>
        </is>
      </c>
      <c r="B5898" s="59" t="inlineStr">
        <is>
          <t>2025-05-30</t>
        </is>
      </c>
      <c r="C5898" s="60" t="inlineStr">
        <is>
          <t>Vertex Headphone Pro-801</t>
        </is>
      </c>
      <c r="D5898" s="58" t="inlineStr">
        <is>
          <t>Electronics</t>
        </is>
      </c>
      <c r="E5898" s="58" t="inlineStr">
        <is>
          <t>Central</t>
        </is>
      </c>
      <c r="F5898" s="61" t="n">
        <v>1</v>
      </c>
      <c r="G5898" s="62" t="n">
        <v>1189.71</v>
      </c>
      <c r="H5898" s="63" t="n">
        <v>0.06</v>
      </c>
      <c r="I5898" s="62" t="n">
        <v>978.5700000000001</v>
      </c>
      <c r="J5898" s="58" t="inlineStr">
        <is>
          <t>Online</t>
        </is>
      </c>
      <c r="K5898" s="62">
        <f>F5898*(G5898-H5898)</f>
        <v/>
      </c>
      <c r="L5898" s="62">
        <f>K5898-(F5898*I5898)</f>
        <v/>
      </c>
      <c r="M5898" s="64">
        <f>L5898/K5898</f>
        <v/>
      </c>
    </row>
    <row r="5899">
      <c r="A5899" s="58" t="inlineStr">
        <is>
          <t>RT20250531-05898</t>
        </is>
      </c>
      <c r="B5899" s="59" t="inlineStr">
        <is>
          <t>2025-05-31</t>
        </is>
      </c>
      <c r="C5899" s="60" t="inlineStr">
        <is>
          <t>Nimbus Cycling Plus-911</t>
        </is>
      </c>
      <c r="D5899" s="58" t="inlineStr">
        <is>
          <t>Sports</t>
        </is>
      </c>
      <c r="E5899" s="58" t="inlineStr">
        <is>
          <t>East</t>
        </is>
      </c>
      <c r="F5899" s="61" t="n">
        <v>2</v>
      </c>
      <c r="G5899" s="62" t="n">
        <v>671.62</v>
      </c>
      <c r="H5899" s="63" t="n">
        <v>0.03</v>
      </c>
      <c r="I5899" s="62" t="n">
        <v>387.93</v>
      </c>
      <c r="J5899" s="58" t="inlineStr">
        <is>
          <t>Online</t>
        </is>
      </c>
      <c r="K5899" s="62">
        <f>F5899*(G5899-H5899)</f>
        <v/>
      </c>
      <c r="L5899" s="62">
        <f>K5899-(F5899*I5899)</f>
        <v/>
      </c>
      <c r="M5899" s="64">
        <f>L5899/K5899</f>
        <v/>
      </c>
    </row>
    <row r="5900">
      <c r="A5900" s="58" t="inlineStr">
        <is>
          <t>RT20250531-05899</t>
        </is>
      </c>
      <c r="B5900" s="59" t="inlineStr">
        <is>
          <t>2025-05-31</t>
        </is>
      </c>
      <c r="C5900" s="60" t="inlineStr">
        <is>
          <t>Metro Printer X-294</t>
        </is>
      </c>
      <c r="D5900" s="58" t="inlineStr">
        <is>
          <t>Office</t>
        </is>
      </c>
      <c r="E5900" s="58" t="inlineStr">
        <is>
          <t>West</t>
        </is>
      </c>
      <c r="F5900" s="61" t="n">
        <v>2</v>
      </c>
      <c r="G5900" s="62" t="n">
        <v>567.4400000000001</v>
      </c>
      <c r="H5900" s="63" t="n">
        <v>0.002</v>
      </c>
      <c r="I5900" s="62" t="n">
        <v>410.14</v>
      </c>
      <c r="J5900" s="58" t="inlineStr">
        <is>
          <t>Store</t>
        </is>
      </c>
      <c r="K5900" s="62">
        <f>F5900*(G5900-H5900)</f>
        <v/>
      </c>
      <c r="L5900" s="62">
        <f>K5900-(F5900*I5900)</f>
        <v/>
      </c>
      <c r="M5900" s="64">
        <f>L5900/K5900</f>
        <v/>
      </c>
    </row>
    <row r="5901">
      <c r="A5901" s="58" t="inlineStr">
        <is>
          <t>RT20250531-05900</t>
        </is>
      </c>
      <c r="B5901" s="59" t="inlineStr">
        <is>
          <t>2025-05-31</t>
        </is>
      </c>
      <c r="C5901" s="60" t="inlineStr">
        <is>
          <t>Polar Beverage S-258</t>
        </is>
      </c>
      <c r="D5901" s="58" t="inlineStr">
        <is>
          <t>Grocery</t>
        </is>
      </c>
      <c r="E5901" s="58" t="inlineStr">
        <is>
          <t>Central</t>
        </is>
      </c>
      <c r="F5901" s="61" t="n">
        <v>8</v>
      </c>
      <c r="G5901" s="62" t="n">
        <v>12.97</v>
      </c>
      <c r="H5901" s="63" t="n">
        <v>0.08400000000000001</v>
      </c>
      <c r="I5901" s="62" t="n">
        <v>9.81</v>
      </c>
      <c r="J5901" s="58" t="inlineStr">
        <is>
          <t>Online</t>
        </is>
      </c>
      <c r="K5901" s="62">
        <f>F5901*(G5901-H5901)</f>
        <v/>
      </c>
      <c r="L5901" s="62">
        <f>K5901-(F5901*I5901)</f>
        <v/>
      </c>
      <c r="M5901" s="64">
        <f>L5901/K5901</f>
        <v/>
      </c>
    </row>
    <row r="5902">
      <c r="A5902" s="58" t="inlineStr">
        <is>
          <t>RT20250531-05901</t>
        </is>
      </c>
      <c r="B5902" s="59" t="inlineStr">
        <is>
          <t>2025-05-31</t>
        </is>
      </c>
      <c r="C5902" s="60" t="inlineStr">
        <is>
          <t>Metro Laptop Plus-376</t>
        </is>
      </c>
      <c r="D5902" s="58" t="inlineStr">
        <is>
          <t>Electronics</t>
        </is>
      </c>
      <c r="E5902" s="58" t="inlineStr">
        <is>
          <t>East</t>
        </is>
      </c>
      <c r="F5902" s="61" t="n">
        <v>2</v>
      </c>
      <c r="G5902" s="62" t="n">
        <v>1352.37</v>
      </c>
      <c r="H5902" s="63" t="n">
        <v>0.08599999999999999</v>
      </c>
      <c r="I5902" s="62" t="n">
        <v>1042.9</v>
      </c>
      <c r="J5902" s="58" t="inlineStr">
        <is>
          <t>Online</t>
        </is>
      </c>
      <c r="K5902" s="62">
        <f>F5902*(G5902-H5902)</f>
        <v/>
      </c>
      <c r="L5902" s="62">
        <f>K5902-(F5902*I5902)</f>
        <v/>
      </c>
      <c r="M5902" s="64">
        <f>L5902/K5902</f>
        <v/>
      </c>
    </row>
    <row r="5903">
      <c r="A5903" s="58" t="inlineStr">
        <is>
          <t>RT20250531-05902</t>
        </is>
      </c>
      <c r="B5903" s="59" t="inlineStr">
        <is>
          <t>2025-05-31</t>
        </is>
      </c>
      <c r="C5903" s="60" t="inlineStr">
        <is>
          <t>Falcon Storage X-734</t>
        </is>
      </c>
      <c r="D5903" s="58" t="inlineStr">
        <is>
          <t>Office</t>
        </is>
      </c>
      <c r="E5903" s="58" t="inlineStr">
        <is>
          <t>Central</t>
        </is>
      </c>
      <c r="F5903" s="61" t="n">
        <v>3</v>
      </c>
      <c r="G5903" s="62" t="n">
        <v>443.54</v>
      </c>
      <c r="H5903" s="63" t="n">
        <v>0.065</v>
      </c>
      <c r="I5903" s="62" t="n">
        <v>276.5</v>
      </c>
      <c r="J5903" s="58" t="inlineStr">
        <is>
          <t>Online</t>
        </is>
      </c>
      <c r="K5903" s="62">
        <f>F5903*(G5903-H5903)</f>
        <v/>
      </c>
      <c r="L5903" s="62">
        <f>K5903-(F5903*I5903)</f>
        <v/>
      </c>
      <c r="M5903" s="64">
        <f>L5903/K5903</f>
        <v/>
      </c>
    </row>
    <row r="5904">
      <c r="A5904" s="58" t="inlineStr">
        <is>
          <t>RT20250531-05903</t>
        </is>
      </c>
      <c r="B5904" s="59" t="inlineStr">
        <is>
          <t>2025-05-31</t>
        </is>
      </c>
      <c r="C5904" s="60" t="inlineStr">
        <is>
          <t>Polar Bedding Lite-243</t>
        </is>
      </c>
      <c r="D5904" s="58" t="inlineStr">
        <is>
          <t>Home</t>
        </is>
      </c>
      <c r="E5904" s="58" t="inlineStr">
        <is>
          <t>Central</t>
        </is>
      </c>
      <c r="F5904" s="61" t="n">
        <v>2</v>
      </c>
      <c r="G5904" s="62" t="n">
        <v>441.45</v>
      </c>
      <c r="H5904" s="63" t="n">
        <v>0.036</v>
      </c>
      <c r="I5904" s="62" t="n">
        <v>325.77</v>
      </c>
      <c r="J5904" s="58" t="inlineStr">
        <is>
          <t>Phone</t>
        </is>
      </c>
      <c r="K5904" s="62">
        <f>F5904*(G5904-H5904)</f>
        <v/>
      </c>
      <c r="L5904" s="62">
        <f>K5904-(F5904*I5904)</f>
        <v/>
      </c>
      <c r="M5904" s="64">
        <f>L5904/K5904</f>
        <v/>
      </c>
    </row>
    <row r="5905">
      <c r="A5905" s="58" t="inlineStr">
        <is>
          <t>RT20250531-05904</t>
        </is>
      </c>
      <c r="B5905" s="59" t="inlineStr">
        <is>
          <t>2025-05-31</t>
        </is>
      </c>
      <c r="C5905" s="60" t="inlineStr">
        <is>
          <t>Solace Headphone Pro-344</t>
        </is>
      </c>
      <c r="D5905" s="58" t="inlineStr">
        <is>
          <t>Electronics</t>
        </is>
      </c>
      <c r="E5905" s="58" t="inlineStr">
        <is>
          <t>East</t>
        </is>
      </c>
      <c r="F5905" s="61" t="n">
        <v>1</v>
      </c>
      <c r="G5905" s="62" t="n">
        <v>1378.37</v>
      </c>
      <c r="H5905" s="63" t="n">
        <v>0.065</v>
      </c>
      <c r="I5905" s="62" t="n">
        <v>1079.08</v>
      </c>
      <c r="J5905" s="58" t="inlineStr">
        <is>
          <t>Store</t>
        </is>
      </c>
      <c r="K5905" s="62">
        <f>F5905*(G5905-H5905)</f>
        <v/>
      </c>
      <c r="L5905" s="62">
        <f>K5905-(F5905*I5905)</f>
        <v/>
      </c>
      <c r="M5905" s="64">
        <f>L5905/K5905</f>
        <v/>
      </c>
    </row>
    <row r="5906">
      <c r="A5906" s="58" t="inlineStr">
        <is>
          <t>RT20250531-05905</t>
        </is>
      </c>
      <c r="B5906" s="59" t="inlineStr">
        <is>
          <t>2025-05-31</t>
        </is>
      </c>
      <c r="C5906" s="60" t="inlineStr">
        <is>
          <t>Metro Smartphone Max-773</t>
        </is>
      </c>
      <c r="D5906" s="58" t="inlineStr">
        <is>
          <t>Electronics</t>
        </is>
      </c>
      <c r="E5906" s="58" t="inlineStr">
        <is>
          <t>East</t>
        </is>
      </c>
      <c r="F5906" s="61" t="n">
        <v>1</v>
      </c>
      <c r="G5906" s="62" t="n">
        <v>1290.59</v>
      </c>
      <c r="H5906" s="63" t="n">
        <v>0.003</v>
      </c>
      <c r="I5906" s="62" t="n">
        <v>1144.18</v>
      </c>
      <c r="J5906" s="58" t="inlineStr">
        <is>
          <t>Online</t>
        </is>
      </c>
      <c r="K5906" s="62">
        <f>F5906*(G5906-H5906)</f>
        <v/>
      </c>
      <c r="L5906" s="62">
        <f>K5906-(F5906*I5906)</f>
        <v/>
      </c>
      <c r="M5906" s="64">
        <f>L5906/K5906</f>
        <v/>
      </c>
    </row>
    <row r="5907">
      <c r="A5907" s="58" t="inlineStr">
        <is>
          <t>RT20250531-05906</t>
        </is>
      </c>
      <c r="B5907" s="59" t="inlineStr">
        <is>
          <t>2025-05-31</t>
        </is>
      </c>
      <c r="C5907" s="60" t="inlineStr">
        <is>
          <t>Solace Kitchen Pro-999</t>
        </is>
      </c>
      <c r="D5907" s="58" t="inlineStr">
        <is>
          <t>Home</t>
        </is>
      </c>
      <c r="E5907" s="58" t="inlineStr">
        <is>
          <t>East</t>
        </is>
      </c>
      <c r="F5907" s="61" t="n">
        <v>3</v>
      </c>
      <c r="G5907" s="62" t="n">
        <v>414.83</v>
      </c>
      <c r="H5907" s="63" t="n">
        <v>0.104</v>
      </c>
      <c r="I5907" s="62" t="n">
        <v>272.61</v>
      </c>
      <c r="J5907" s="58" t="inlineStr">
        <is>
          <t>Online</t>
        </is>
      </c>
      <c r="K5907" s="62">
        <f>F5907*(G5907-H5907)</f>
        <v/>
      </c>
      <c r="L5907" s="62">
        <f>K5907-(F5907*I5907)</f>
        <v/>
      </c>
      <c r="M5907" s="64">
        <f>L5907/K5907</f>
        <v/>
      </c>
    </row>
    <row r="5908">
      <c r="A5908" s="58" t="inlineStr">
        <is>
          <t>RT20250531-05907</t>
        </is>
      </c>
      <c r="B5908" s="59" t="inlineStr">
        <is>
          <t>2025-05-31</t>
        </is>
      </c>
      <c r="C5908" s="60" t="inlineStr">
        <is>
          <t>Vertex Decor Pro-618</t>
        </is>
      </c>
      <c r="D5908" s="58" t="inlineStr">
        <is>
          <t>Home</t>
        </is>
      </c>
      <c r="E5908" s="58" t="inlineStr">
        <is>
          <t>South</t>
        </is>
      </c>
      <c r="F5908" s="61" t="n">
        <v>3</v>
      </c>
      <c r="G5908" s="62" t="n">
        <v>539.38</v>
      </c>
      <c r="H5908" s="63" t="n">
        <v>0</v>
      </c>
      <c r="I5908" s="62" t="n">
        <v>383.72</v>
      </c>
      <c r="J5908" s="58" t="inlineStr">
        <is>
          <t>Store</t>
        </is>
      </c>
      <c r="K5908" s="62">
        <f>F5908*(G5908-H5908)</f>
        <v/>
      </c>
      <c r="L5908" s="62">
        <f>K5908-(F5908*I5908)</f>
        <v/>
      </c>
      <c r="M5908" s="64">
        <f>L5908/K5908</f>
        <v/>
      </c>
    </row>
    <row r="5909">
      <c r="A5909" s="58" t="inlineStr">
        <is>
          <t>RT20250531-05908</t>
        </is>
      </c>
      <c r="B5909" s="59" t="inlineStr">
        <is>
          <t>2025-05-31</t>
        </is>
      </c>
      <c r="C5909" s="60" t="inlineStr">
        <is>
          <t>Vertex Supplie Pro-786</t>
        </is>
      </c>
      <c r="D5909" s="58" t="inlineStr">
        <is>
          <t>Office</t>
        </is>
      </c>
      <c r="E5909" s="58" t="inlineStr">
        <is>
          <t>Central</t>
        </is>
      </c>
      <c r="F5909" s="61" t="n">
        <v>3</v>
      </c>
      <c r="G5909" s="62" t="n">
        <v>383.86</v>
      </c>
      <c r="H5909" s="63" t="n">
        <v>0.047</v>
      </c>
      <c r="I5909" s="62" t="n">
        <v>291.79</v>
      </c>
      <c r="J5909" s="58" t="inlineStr">
        <is>
          <t>Store</t>
        </is>
      </c>
      <c r="K5909" s="62">
        <f>F5909*(G5909-H5909)</f>
        <v/>
      </c>
      <c r="L5909" s="62">
        <f>K5909-(F5909*I5909)</f>
        <v/>
      </c>
      <c r="M5909" s="64">
        <f>L5909/K5909</f>
        <v/>
      </c>
    </row>
    <row r="5910">
      <c r="A5910" s="58" t="inlineStr">
        <is>
          <t>RT20250531-05909</t>
        </is>
      </c>
      <c r="B5910" s="59" t="inlineStr">
        <is>
          <t>2025-05-31</t>
        </is>
      </c>
      <c r="C5910" s="60" t="inlineStr">
        <is>
          <t>Falcon Household Plus-172</t>
        </is>
      </c>
      <c r="D5910" s="58" t="inlineStr">
        <is>
          <t>Grocery</t>
        </is>
      </c>
      <c r="E5910" s="58" t="inlineStr">
        <is>
          <t>West</t>
        </is>
      </c>
      <c r="F5910" s="61" t="n">
        <v>1</v>
      </c>
      <c r="G5910" s="62" t="n">
        <v>23.7</v>
      </c>
      <c r="H5910" s="63" t="n">
        <v>0.114</v>
      </c>
      <c r="I5910" s="62" t="n">
        <v>15.9</v>
      </c>
      <c r="J5910" s="58" t="inlineStr">
        <is>
          <t>Store</t>
        </is>
      </c>
      <c r="K5910" s="62">
        <f>F5910*(G5910-H5910)</f>
        <v/>
      </c>
      <c r="L5910" s="62">
        <f>K5910-(F5910*I5910)</f>
        <v/>
      </c>
      <c r="M5910" s="64">
        <f>L5910/K5910</f>
        <v/>
      </c>
    </row>
    <row r="5911">
      <c r="A5911" s="58" t="inlineStr">
        <is>
          <t>RT20250531-05910</t>
        </is>
      </c>
      <c r="B5911" s="59" t="inlineStr">
        <is>
          <t>2025-05-31</t>
        </is>
      </c>
      <c r="C5911" s="60" t="inlineStr">
        <is>
          <t>Nimbus Women Lite-814</t>
        </is>
      </c>
      <c r="D5911" s="58" t="inlineStr">
        <is>
          <t>Apparel</t>
        </is>
      </c>
      <c r="E5911" s="58" t="inlineStr">
        <is>
          <t>South</t>
        </is>
      </c>
      <c r="F5911" s="61" t="n">
        <v>2</v>
      </c>
      <c r="G5911" s="62" t="n">
        <v>156.84</v>
      </c>
      <c r="H5911" s="63" t="n">
        <v>0.044</v>
      </c>
      <c r="I5911" s="62" t="n">
        <v>83.31</v>
      </c>
      <c r="J5911" s="58" t="inlineStr">
        <is>
          <t>Store</t>
        </is>
      </c>
      <c r="K5911" s="62">
        <f>F5911*(G5911-H5911)</f>
        <v/>
      </c>
      <c r="L5911" s="62">
        <f>K5911-(F5911*I5911)</f>
        <v/>
      </c>
      <c r="M5911" s="64">
        <f>L5911/K5911</f>
        <v/>
      </c>
    </row>
    <row r="5912">
      <c r="A5912" s="58" t="inlineStr">
        <is>
          <t>RT20250531-05911</t>
        </is>
      </c>
      <c r="B5912" s="59" t="inlineStr">
        <is>
          <t>2025-05-31</t>
        </is>
      </c>
      <c r="C5912" s="60" t="inlineStr">
        <is>
          <t>Polar Men Pro-246</t>
        </is>
      </c>
      <c r="D5912" s="58" t="inlineStr">
        <is>
          <t>Apparel</t>
        </is>
      </c>
      <c r="E5912" s="58" t="inlineStr">
        <is>
          <t>North</t>
        </is>
      </c>
      <c r="F5912" s="61" t="n">
        <v>1</v>
      </c>
      <c r="G5912" s="62" t="n">
        <v>125.81</v>
      </c>
      <c r="H5912" s="63" t="n">
        <v>0.019</v>
      </c>
      <c r="I5912" s="62" t="n">
        <v>75.45999999999999</v>
      </c>
      <c r="J5912" s="58" t="inlineStr">
        <is>
          <t>Online</t>
        </is>
      </c>
      <c r="K5912" s="62">
        <f>F5912*(G5912-H5912)</f>
        <v/>
      </c>
      <c r="L5912" s="62">
        <f>K5912-(F5912*I5912)</f>
        <v/>
      </c>
      <c r="M5912" s="64">
        <f>L5912/K5912</f>
        <v/>
      </c>
    </row>
    <row r="5913">
      <c r="A5913" s="58" t="inlineStr">
        <is>
          <t>RT20250531-05912</t>
        </is>
      </c>
      <c r="B5913" s="59" t="inlineStr">
        <is>
          <t>2025-05-31</t>
        </is>
      </c>
      <c r="C5913" s="60" t="inlineStr">
        <is>
          <t>Solace Kitchen Pro-999</t>
        </is>
      </c>
      <c r="D5913" s="58" t="inlineStr">
        <is>
          <t>Home</t>
        </is>
      </c>
      <c r="E5913" s="58" t="inlineStr">
        <is>
          <t>South</t>
        </is>
      </c>
      <c r="F5913" s="61" t="n">
        <v>3</v>
      </c>
      <c r="G5913" s="62" t="n">
        <v>400.28</v>
      </c>
      <c r="H5913" s="63" t="n">
        <v>0.027</v>
      </c>
      <c r="I5913" s="62" t="n">
        <v>262.79</v>
      </c>
      <c r="J5913" s="58" t="inlineStr">
        <is>
          <t>Store</t>
        </is>
      </c>
      <c r="K5913" s="62">
        <f>F5913*(G5913-H5913)</f>
        <v/>
      </c>
      <c r="L5913" s="62">
        <f>K5913-(F5913*I5913)</f>
        <v/>
      </c>
      <c r="M5913" s="64">
        <f>L5913/K5913</f>
        <v/>
      </c>
    </row>
    <row r="5914">
      <c r="A5914" s="58" t="inlineStr">
        <is>
          <t>RT20250531-05913</t>
        </is>
      </c>
      <c r="B5914" s="59" t="inlineStr">
        <is>
          <t>2025-05-31</t>
        </is>
      </c>
      <c r="C5914" s="60" t="inlineStr">
        <is>
          <t>Orion Kitchen Pro-568</t>
        </is>
      </c>
      <c r="D5914" s="58" t="inlineStr">
        <is>
          <t>Home</t>
        </is>
      </c>
      <c r="E5914" s="58" t="inlineStr">
        <is>
          <t>East</t>
        </is>
      </c>
      <c r="F5914" s="61" t="n">
        <v>1</v>
      </c>
      <c r="G5914" s="62" t="n">
        <v>444.93</v>
      </c>
      <c r="H5914" s="63" t="n">
        <v>0.073</v>
      </c>
      <c r="I5914" s="62" t="n">
        <v>311.35</v>
      </c>
      <c r="J5914" s="58" t="inlineStr">
        <is>
          <t>Store</t>
        </is>
      </c>
      <c r="K5914" s="62">
        <f>F5914*(G5914-H5914)</f>
        <v/>
      </c>
      <c r="L5914" s="62">
        <f>K5914-(F5914*I5914)</f>
        <v/>
      </c>
      <c r="M5914" s="64">
        <f>L5914/K5914</f>
        <v/>
      </c>
    </row>
    <row r="5915">
      <c r="A5915" s="58" t="inlineStr">
        <is>
          <t>RT20250531-05914</t>
        </is>
      </c>
      <c r="B5915" s="59" t="inlineStr">
        <is>
          <t>2025-05-31</t>
        </is>
      </c>
      <c r="C5915" s="60" t="inlineStr">
        <is>
          <t>Vertex Appliance S-159</t>
        </is>
      </c>
      <c r="D5915" s="58" t="inlineStr">
        <is>
          <t>Home</t>
        </is>
      </c>
      <c r="E5915" s="58" t="inlineStr">
        <is>
          <t>Central</t>
        </is>
      </c>
      <c r="F5915" s="61" t="n">
        <v>1</v>
      </c>
      <c r="G5915" s="62" t="n">
        <v>386.56</v>
      </c>
      <c r="H5915" s="63" t="n">
        <v>0.103</v>
      </c>
      <c r="I5915" s="62" t="n">
        <v>293.11</v>
      </c>
      <c r="J5915" s="58" t="inlineStr">
        <is>
          <t>Online</t>
        </is>
      </c>
      <c r="K5915" s="62">
        <f>F5915*(G5915-H5915)</f>
        <v/>
      </c>
      <c r="L5915" s="62">
        <f>K5915-(F5915*I5915)</f>
        <v/>
      </c>
      <c r="M5915" s="64">
        <f>L5915/K5915</f>
        <v/>
      </c>
    </row>
    <row r="5916">
      <c r="A5916" s="58" t="inlineStr">
        <is>
          <t>RT20250531-05915</t>
        </is>
      </c>
      <c r="B5916" s="59" t="inlineStr">
        <is>
          <t>2025-05-31</t>
        </is>
      </c>
      <c r="C5916" s="60" t="inlineStr">
        <is>
          <t>Falcon Bedding S-674</t>
        </is>
      </c>
      <c r="D5916" s="58" t="inlineStr">
        <is>
          <t>Home</t>
        </is>
      </c>
      <c r="E5916" s="58" t="inlineStr">
        <is>
          <t>East</t>
        </is>
      </c>
      <c r="F5916" s="61" t="n">
        <v>2</v>
      </c>
      <c r="G5916" s="62" t="n">
        <v>580.55</v>
      </c>
      <c r="H5916" s="63" t="n">
        <v>0.034</v>
      </c>
      <c r="I5916" s="62" t="n">
        <v>440.54</v>
      </c>
      <c r="J5916" s="58" t="inlineStr">
        <is>
          <t>Online</t>
        </is>
      </c>
      <c r="K5916" s="62">
        <f>F5916*(G5916-H5916)</f>
        <v/>
      </c>
      <c r="L5916" s="62">
        <f>K5916-(F5916*I5916)</f>
        <v/>
      </c>
      <c r="M5916" s="64">
        <f>L5916/K5916</f>
        <v/>
      </c>
    </row>
    <row r="5917">
      <c r="A5917" s="58" t="inlineStr">
        <is>
          <t>RT20250531-05916</t>
        </is>
      </c>
      <c r="B5917" s="59" t="inlineStr">
        <is>
          <t>2025-05-31</t>
        </is>
      </c>
      <c r="C5917" s="60" t="inlineStr">
        <is>
          <t>Falcon Household Pro-865</t>
        </is>
      </c>
      <c r="D5917" s="58" t="inlineStr">
        <is>
          <t>Grocery</t>
        </is>
      </c>
      <c r="E5917" s="58" t="inlineStr">
        <is>
          <t>East</t>
        </is>
      </c>
      <c r="F5917" s="61" t="n">
        <v>2</v>
      </c>
      <c r="G5917" s="62" t="n">
        <v>11.28</v>
      </c>
      <c r="H5917" s="63" t="n">
        <v>0.043</v>
      </c>
      <c r="I5917" s="62" t="n">
        <v>7.66</v>
      </c>
      <c r="J5917" s="58" t="inlineStr">
        <is>
          <t>Store</t>
        </is>
      </c>
      <c r="K5917" s="62">
        <f>F5917*(G5917-H5917)</f>
        <v/>
      </c>
      <c r="L5917" s="62">
        <f>K5917-(F5917*I5917)</f>
        <v/>
      </c>
      <c r="M5917" s="64">
        <f>L5917/K5917</f>
        <v/>
      </c>
    </row>
    <row r="5918">
      <c r="A5918" s="58" t="inlineStr">
        <is>
          <t>RT20250531-05917</t>
        </is>
      </c>
      <c r="B5918" s="59" t="inlineStr">
        <is>
          <t>2025-05-31</t>
        </is>
      </c>
      <c r="C5918" s="60" t="inlineStr">
        <is>
          <t>Polar Women S-662</t>
        </is>
      </c>
      <c r="D5918" s="58" t="inlineStr">
        <is>
          <t>Apparel</t>
        </is>
      </c>
      <c r="E5918" s="58" t="inlineStr">
        <is>
          <t>West</t>
        </is>
      </c>
      <c r="F5918" s="61" t="n">
        <v>3</v>
      </c>
      <c r="G5918" s="62" t="n">
        <v>178.47</v>
      </c>
      <c r="H5918" s="63" t="n">
        <v>0.073</v>
      </c>
      <c r="I5918" s="62" t="n">
        <v>96.56999999999999</v>
      </c>
      <c r="J5918" s="58" t="inlineStr">
        <is>
          <t>Online</t>
        </is>
      </c>
      <c r="K5918" s="62">
        <f>F5918*(G5918-H5918)</f>
        <v/>
      </c>
      <c r="L5918" s="62">
        <f>K5918-(F5918*I5918)</f>
        <v/>
      </c>
      <c r="M5918" s="64">
        <f>L5918/K5918</f>
        <v/>
      </c>
    </row>
    <row r="5919">
      <c r="A5919" s="58" t="inlineStr">
        <is>
          <t>RT20250531-05918</t>
        </is>
      </c>
      <c r="B5919" s="59" t="inlineStr">
        <is>
          <t>2025-05-31</t>
        </is>
      </c>
      <c r="C5919" s="60" t="inlineStr">
        <is>
          <t>Aurora Printer Plus-723</t>
        </is>
      </c>
      <c r="D5919" s="58" t="inlineStr">
        <is>
          <t>Office</t>
        </is>
      </c>
      <c r="E5919" s="58" t="inlineStr">
        <is>
          <t>Central</t>
        </is>
      </c>
      <c r="F5919" s="61" t="n">
        <v>1</v>
      </c>
      <c r="G5919" s="62" t="n">
        <v>282.36</v>
      </c>
      <c r="H5919" s="63" t="n">
        <v>0.102</v>
      </c>
      <c r="I5919" s="62" t="n">
        <v>190.44</v>
      </c>
      <c r="J5919" s="58" t="inlineStr">
        <is>
          <t>Store</t>
        </is>
      </c>
      <c r="K5919" s="62">
        <f>F5919*(G5919-H5919)</f>
        <v/>
      </c>
      <c r="L5919" s="62">
        <f>K5919-(F5919*I5919)</f>
        <v/>
      </c>
      <c r="M5919" s="64">
        <f>L5919/K5919</f>
        <v/>
      </c>
    </row>
    <row r="5920">
      <c r="A5920" s="58" t="inlineStr">
        <is>
          <t>RT20250531-05919</t>
        </is>
      </c>
      <c r="B5920" s="59" t="inlineStr">
        <is>
          <t>2025-05-31</t>
        </is>
      </c>
      <c r="C5920" s="60" t="inlineStr">
        <is>
          <t>Falcon Beverage Max-702</t>
        </is>
      </c>
      <c r="D5920" s="58" t="inlineStr">
        <is>
          <t>Grocery</t>
        </is>
      </c>
      <c r="E5920" s="58" t="inlineStr">
        <is>
          <t>North</t>
        </is>
      </c>
      <c r="F5920" s="61" t="n">
        <v>4</v>
      </c>
      <c r="G5920" s="62" t="n">
        <v>27.4</v>
      </c>
      <c r="H5920" s="63" t="n">
        <v>0.052</v>
      </c>
      <c r="I5920" s="62" t="n">
        <v>19.95</v>
      </c>
      <c r="J5920" s="58" t="inlineStr">
        <is>
          <t>Phone</t>
        </is>
      </c>
      <c r="K5920" s="62">
        <f>F5920*(G5920-H5920)</f>
        <v/>
      </c>
      <c r="L5920" s="62">
        <f>K5920-(F5920*I5920)</f>
        <v/>
      </c>
      <c r="M5920" s="64">
        <f>L5920/K5920</f>
        <v/>
      </c>
    </row>
    <row r="5921">
      <c r="A5921" s="58" t="inlineStr">
        <is>
          <t>RT20250531-05920</t>
        </is>
      </c>
      <c r="B5921" s="59" t="inlineStr">
        <is>
          <t>2025-05-31</t>
        </is>
      </c>
      <c r="C5921" s="60" t="inlineStr">
        <is>
          <t>Vertex Pantry Pro-165</t>
        </is>
      </c>
      <c r="D5921" s="58" t="inlineStr">
        <is>
          <t>Grocery</t>
        </is>
      </c>
      <c r="E5921" s="58" t="inlineStr">
        <is>
          <t>Central</t>
        </is>
      </c>
      <c r="F5921" s="61" t="n">
        <v>5</v>
      </c>
      <c r="G5921" s="62" t="n">
        <v>15.8</v>
      </c>
      <c r="H5921" s="63" t="n">
        <v>0.03</v>
      </c>
      <c r="I5921" s="62" t="n">
        <v>12.04</v>
      </c>
      <c r="J5921" s="58" t="inlineStr">
        <is>
          <t>Online</t>
        </is>
      </c>
      <c r="K5921" s="62">
        <f>F5921*(G5921-H5921)</f>
        <v/>
      </c>
      <c r="L5921" s="62">
        <f>K5921-(F5921*I5921)</f>
        <v/>
      </c>
      <c r="M5921" s="64">
        <f>L5921/K5921</f>
        <v/>
      </c>
    </row>
    <row r="5922">
      <c r="A5922" s="58" t="inlineStr">
        <is>
          <t>RT20250531-05921</t>
        </is>
      </c>
      <c r="B5922" s="59" t="inlineStr">
        <is>
          <t>2025-05-31</t>
        </is>
      </c>
      <c r="C5922" s="60" t="inlineStr">
        <is>
          <t>Metro Accessorie Max-316</t>
        </is>
      </c>
      <c r="D5922" s="58" t="inlineStr">
        <is>
          <t>Apparel</t>
        </is>
      </c>
      <c r="E5922" s="58" t="inlineStr">
        <is>
          <t>East</t>
        </is>
      </c>
      <c r="F5922" s="61" t="n">
        <v>1</v>
      </c>
      <c r="G5922" s="62" t="n">
        <v>152.94</v>
      </c>
      <c r="H5922" s="63" t="n">
        <v>0.027</v>
      </c>
      <c r="I5922" s="62" t="n">
        <v>89.91</v>
      </c>
      <c r="J5922" s="58" t="inlineStr">
        <is>
          <t>Online</t>
        </is>
      </c>
      <c r="K5922" s="62">
        <f>F5922*(G5922-H5922)</f>
        <v/>
      </c>
      <c r="L5922" s="62">
        <f>K5922-(F5922*I5922)</f>
        <v/>
      </c>
      <c r="M5922" s="64">
        <f>L5922/K5922</f>
        <v/>
      </c>
    </row>
    <row r="5923">
      <c r="A5923" s="58" t="inlineStr">
        <is>
          <t>RT20250531-05922</t>
        </is>
      </c>
      <c r="B5923" s="59" t="inlineStr">
        <is>
          <t>2025-05-31</t>
        </is>
      </c>
      <c r="C5923" s="60" t="inlineStr">
        <is>
          <t>Orion Beverage Plus-949</t>
        </is>
      </c>
      <c r="D5923" s="58" t="inlineStr">
        <is>
          <t>Grocery</t>
        </is>
      </c>
      <c r="E5923" s="58" t="inlineStr">
        <is>
          <t>South</t>
        </is>
      </c>
      <c r="F5923" s="61" t="n">
        <v>4</v>
      </c>
      <c r="G5923" s="62" t="n">
        <v>16.95</v>
      </c>
      <c r="H5923" s="63" t="n">
        <v>0.045</v>
      </c>
      <c r="I5923" s="62" t="n">
        <v>13.2</v>
      </c>
      <c r="J5923" s="58" t="inlineStr">
        <is>
          <t>Online</t>
        </is>
      </c>
      <c r="K5923" s="62">
        <f>F5923*(G5923-H5923)</f>
        <v/>
      </c>
      <c r="L5923" s="62">
        <f>K5923-(F5923*I5923)</f>
        <v/>
      </c>
      <c r="M5923" s="64">
        <f>L5923/K5923</f>
        <v/>
      </c>
    </row>
    <row r="5924">
      <c r="A5924" s="58" t="inlineStr">
        <is>
          <t>RT20250531-05923</t>
        </is>
      </c>
      <c r="B5924" s="59" t="inlineStr">
        <is>
          <t>2025-05-31</t>
        </is>
      </c>
      <c r="C5924" s="60" t="inlineStr">
        <is>
          <t>Orion Kid Max-640</t>
        </is>
      </c>
      <c r="D5924" s="58" t="inlineStr">
        <is>
          <t>Apparel</t>
        </is>
      </c>
      <c r="E5924" s="58" t="inlineStr">
        <is>
          <t>North</t>
        </is>
      </c>
      <c r="F5924" s="61" t="n">
        <v>2</v>
      </c>
      <c r="G5924" s="62" t="n">
        <v>122.1</v>
      </c>
      <c r="H5924" s="63" t="n">
        <v>0.054</v>
      </c>
      <c r="I5924" s="62" t="n">
        <v>70.04000000000001</v>
      </c>
      <c r="J5924" s="58" t="inlineStr">
        <is>
          <t>Online</t>
        </is>
      </c>
      <c r="K5924" s="62">
        <f>F5924*(G5924-H5924)</f>
        <v/>
      </c>
      <c r="L5924" s="62">
        <f>K5924-(F5924*I5924)</f>
        <v/>
      </c>
      <c r="M5924" s="64">
        <f>L5924/K5924</f>
        <v/>
      </c>
    </row>
    <row r="5925">
      <c r="A5925" s="58" t="inlineStr">
        <is>
          <t>RT20250531-05924</t>
        </is>
      </c>
      <c r="B5925" s="59" t="inlineStr">
        <is>
          <t>2025-05-31</t>
        </is>
      </c>
      <c r="C5925" s="60" t="inlineStr">
        <is>
          <t>Solace Kitchen Pro-510</t>
        </is>
      </c>
      <c r="D5925" s="58" t="inlineStr">
        <is>
          <t>Home</t>
        </is>
      </c>
      <c r="E5925" s="58" t="inlineStr">
        <is>
          <t>East</t>
        </is>
      </c>
      <c r="F5925" s="61" t="n">
        <v>1</v>
      </c>
      <c r="G5925" s="62" t="n">
        <v>476.54</v>
      </c>
      <c r="H5925" s="63" t="n">
        <v>0.068</v>
      </c>
      <c r="I5925" s="62" t="n">
        <v>311.48</v>
      </c>
      <c r="J5925" s="58" t="inlineStr">
        <is>
          <t>Phone</t>
        </is>
      </c>
      <c r="K5925" s="62">
        <f>F5925*(G5925-H5925)</f>
        <v/>
      </c>
      <c r="L5925" s="62">
        <f>K5925-(F5925*I5925)</f>
        <v/>
      </c>
      <c r="M5925" s="64">
        <f>L5925/K5925</f>
        <v/>
      </c>
    </row>
    <row r="5926">
      <c r="A5926" s="58" t="inlineStr">
        <is>
          <t>RT20250531-05925</t>
        </is>
      </c>
      <c r="B5926" s="59" t="inlineStr">
        <is>
          <t>2025-05-31</t>
        </is>
      </c>
      <c r="C5926" s="60" t="inlineStr">
        <is>
          <t>Nimbus Women Plus-352</t>
        </is>
      </c>
      <c r="D5926" s="58" t="inlineStr">
        <is>
          <t>Apparel</t>
        </is>
      </c>
      <c r="E5926" s="58" t="inlineStr">
        <is>
          <t>West</t>
        </is>
      </c>
      <c r="F5926" s="61" t="n">
        <v>1</v>
      </c>
      <c r="G5926" s="62" t="n">
        <v>56.22</v>
      </c>
      <c r="H5926" s="63" t="n">
        <v>0.073</v>
      </c>
      <c r="I5926" s="62" t="n">
        <v>33.1</v>
      </c>
      <c r="J5926" s="58" t="inlineStr">
        <is>
          <t>Store</t>
        </is>
      </c>
      <c r="K5926" s="62">
        <f>F5926*(G5926-H5926)</f>
        <v/>
      </c>
      <c r="L5926" s="62">
        <f>K5926-(F5926*I5926)</f>
        <v/>
      </c>
      <c r="M5926" s="64">
        <f>L5926/K5926</f>
        <v/>
      </c>
    </row>
    <row r="5927">
      <c r="A5927" s="58" t="inlineStr">
        <is>
          <t>RT20250531-05926</t>
        </is>
      </c>
      <c r="B5927" s="59" t="inlineStr">
        <is>
          <t>2025-05-31</t>
        </is>
      </c>
      <c r="C5927" s="60" t="inlineStr">
        <is>
          <t>Metro Smartphone Max-773</t>
        </is>
      </c>
      <c r="D5927" s="58" t="inlineStr">
        <is>
          <t>Electronics</t>
        </is>
      </c>
      <c r="E5927" s="58" t="inlineStr">
        <is>
          <t>Central</t>
        </is>
      </c>
      <c r="F5927" s="61" t="n">
        <v>1</v>
      </c>
      <c r="G5927" s="62" t="n">
        <v>1497.52</v>
      </c>
      <c r="H5927" s="63" t="n">
        <v>0.075</v>
      </c>
      <c r="I5927" s="62" t="n">
        <v>1123.97</v>
      </c>
      <c r="J5927" s="58" t="inlineStr">
        <is>
          <t>Store</t>
        </is>
      </c>
      <c r="K5927" s="62">
        <f>F5927*(G5927-H5927)</f>
        <v/>
      </c>
      <c r="L5927" s="62">
        <f>K5927-(F5927*I5927)</f>
        <v/>
      </c>
      <c r="M5927" s="64">
        <f>L5927/K5927</f>
        <v/>
      </c>
    </row>
    <row r="5928">
      <c r="A5928" s="58" t="inlineStr">
        <is>
          <t>RT20250531-05927</t>
        </is>
      </c>
      <c r="B5928" s="59" t="inlineStr">
        <is>
          <t>2025-05-31</t>
        </is>
      </c>
      <c r="C5928" s="60" t="inlineStr">
        <is>
          <t>Orion Fragrance Lite-785</t>
        </is>
      </c>
      <c r="D5928" s="58" t="inlineStr">
        <is>
          <t>Beauty</t>
        </is>
      </c>
      <c r="E5928" s="58" t="inlineStr">
        <is>
          <t>Central</t>
        </is>
      </c>
      <c r="F5928" s="61" t="n">
        <v>3</v>
      </c>
      <c r="G5928" s="62" t="n">
        <v>44.57</v>
      </c>
      <c r="H5928" s="63" t="n">
        <v>0.03</v>
      </c>
      <c r="I5928" s="62" t="n">
        <v>27.34</v>
      </c>
      <c r="J5928" s="58" t="inlineStr">
        <is>
          <t>Store</t>
        </is>
      </c>
      <c r="K5928" s="62">
        <f>F5928*(G5928-H5928)</f>
        <v/>
      </c>
      <c r="L5928" s="62">
        <f>K5928-(F5928*I5928)</f>
        <v/>
      </c>
      <c r="M5928" s="64">
        <f>L5928/K5928</f>
        <v/>
      </c>
    </row>
    <row r="5929">
      <c r="A5929" s="58" t="inlineStr">
        <is>
          <t>RT20250531-05928</t>
        </is>
      </c>
      <c r="B5929" s="59" t="inlineStr">
        <is>
          <t>2025-05-31</t>
        </is>
      </c>
      <c r="C5929" s="60" t="inlineStr">
        <is>
          <t>Solace Kid S-384</t>
        </is>
      </c>
      <c r="D5929" s="58" t="inlineStr">
        <is>
          <t>Apparel</t>
        </is>
      </c>
      <c r="E5929" s="58" t="inlineStr">
        <is>
          <t>East</t>
        </is>
      </c>
      <c r="F5929" s="61" t="n">
        <v>1</v>
      </c>
      <c r="G5929" s="62" t="n">
        <v>115.14</v>
      </c>
      <c r="H5929" s="63" t="n">
        <v>0.08500000000000001</v>
      </c>
      <c r="I5929" s="62" t="n">
        <v>62.26</v>
      </c>
      <c r="J5929" s="58" t="inlineStr">
        <is>
          <t>Store</t>
        </is>
      </c>
      <c r="K5929" s="62">
        <f>F5929*(G5929-H5929)</f>
        <v/>
      </c>
      <c r="L5929" s="62">
        <f>K5929-(F5929*I5929)</f>
        <v/>
      </c>
      <c r="M5929" s="64">
        <f>L5929/K5929</f>
        <v/>
      </c>
    </row>
    <row r="5930">
      <c r="A5930" s="58" t="inlineStr">
        <is>
          <t>RT20250531-05929</t>
        </is>
      </c>
      <c r="B5930" s="59" t="inlineStr">
        <is>
          <t>2025-05-31</t>
        </is>
      </c>
      <c r="C5930" s="60" t="inlineStr">
        <is>
          <t>Nimbus Women Lite-814</t>
        </is>
      </c>
      <c r="D5930" s="58" t="inlineStr">
        <is>
          <t>Apparel</t>
        </is>
      </c>
      <c r="E5930" s="58" t="inlineStr">
        <is>
          <t>South</t>
        </is>
      </c>
      <c r="F5930" s="61" t="n">
        <v>2</v>
      </c>
      <c r="G5930" s="62" t="n">
        <v>161.81</v>
      </c>
      <c r="H5930" s="63" t="n">
        <v>0.059</v>
      </c>
      <c r="I5930" s="62" t="n">
        <v>83.11</v>
      </c>
      <c r="J5930" s="58" t="inlineStr">
        <is>
          <t>Store</t>
        </is>
      </c>
      <c r="K5930" s="62">
        <f>F5930*(G5930-H5930)</f>
        <v/>
      </c>
      <c r="L5930" s="62">
        <f>K5930-(F5930*I5930)</f>
        <v/>
      </c>
      <c r="M5930" s="64">
        <f>L5930/K5930</f>
        <v/>
      </c>
    </row>
    <row r="5931">
      <c r="A5931" s="58" t="inlineStr">
        <is>
          <t>RT20250531-05930</t>
        </is>
      </c>
      <c r="B5931" s="59" t="inlineStr">
        <is>
          <t>2025-05-31</t>
        </is>
      </c>
      <c r="C5931" s="60" t="inlineStr">
        <is>
          <t>Vertex Skincare Pro-891</t>
        </is>
      </c>
      <c r="D5931" s="58" t="inlineStr">
        <is>
          <t>Beauty</t>
        </is>
      </c>
      <c r="E5931" s="58" t="inlineStr">
        <is>
          <t>North</t>
        </is>
      </c>
      <c r="F5931" s="61" t="n">
        <v>3</v>
      </c>
      <c r="G5931" s="62" t="n">
        <v>141.58</v>
      </c>
      <c r="H5931" s="63" t="n">
        <v>0.114</v>
      </c>
      <c r="I5931" s="62" t="n">
        <v>87.41</v>
      </c>
      <c r="J5931" s="58" t="inlineStr">
        <is>
          <t>Online</t>
        </is>
      </c>
      <c r="K5931" s="62">
        <f>F5931*(G5931-H5931)</f>
        <v/>
      </c>
      <c r="L5931" s="62">
        <f>K5931-(F5931*I5931)</f>
        <v/>
      </c>
      <c r="M5931" s="64">
        <f>L5931/K5931</f>
        <v/>
      </c>
    </row>
    <row r="5932">
      <c r="A5932" s="58" t="inlineStr">
        <is>
          <t>RT20250531-05931</t>
        </is>
      </c>
      <c r="B5932" s="59" t="inlineStr">
        <is>
          <t>2025-05-31</t>
        </is>
      </c>
      <c r="C5932" s="60" t="inlineStr">
        <is>
          <t>Polar Outdoor Lite-318</t>
        </is>
      </c>
      <c r="D5932" s="58" t="inlineStr">
        <is>
          <t>Sports</t>
        </is>
      </c>
      <c r="E5932" s="58" t="inlineStr">
        <is>
          <t>North</t>
        </is>
      </c>
      <c r="F5932" s="61" t="n">
        <v>1</v>
      </c>
      <c r="G5932" s="62" t="n">
        <v>656.67</v>
      </c>
      <c r="H5932" s="63" t="n">
        <v>0.048</v>
      </c>
      <c r="I5932" s="62" t="n">
        <v>454.95</v>
      </c>
      <c r="J5932" s="58" t="inlineStr">
        <is>
          <t>Store</t>
        </is>
      </c>
      <c r="K5932" s="62">
        <f>F5932*(G5932-H5932)</f>
        <v/>
      </c>
      <c r="L5932" s="62">
        <f>K5932-(F5932*I5932)</f>
        <v/>
      </c>
      <c r="M5932" s="64">
        <f>L5932/K5932</f>
        <v/>
      </c>
    </row>
    <row r="5933">
      <c r="A5933" s="58" t="inlineStr">
        <is>
          <t>RT20250531-05932</t>
        </is>
      </c>
      <c r="B5933" s="59" t="inlineStr">
        <is>
          <t>2025-05-31</t>
        </is>
      </c>
      <c r="C5933" s="60" t="inlineStr">
        <is>
          <t>Aurora Smartphone Plus-125</t>
        </is>
      </c>
      <c r="D5933" s="58" t="inlineStr">
        <is>
          <t>Electronics</t>
        </is>
      </c>
      <c r="E5933" s="58" t="inlineStr">
        <is>
          <t>West</t>
        </is>
      </c>
      <c r="F5933" s="61" t="n">
        <v>2</v>
      </c>
      <c r="G5933" s="62" t="n">
        <v>1629.17</v>
      </c>
      <c r="H5933" s="63" t="n">
        <v>0.034</v>
      </c>
      <c r="I5933" s="62" t="n">
        <v>1200.31</v>
      </c>
      <c r="J5933" s="58" t="inlineStr">
        <is>
          <t>Online</t>
        </is>
      </c>
      <c r="K5933" s="62">
        <f>F5933*(G5933-H5933)</f>
        <v/>
      </c>
      <c r="L5933" s="62">
        <f>K5933-(F5933*I5933)</f>
        <v/>
      </c>
      <c r="M5933" s="64">
        <f>L5933/K5933</f>
        <v/>
      </c>
    </row>
    <row r="5934">
      <c r="A5934" s="58" t="inlineStr">
        <is>
          <t>RT20250531-05933</t>
        </is>
      </c>
      <c r="B5934" s="59" t="inlineStr">
        <is>
          <t>2025-05-31</t>
        </is>
      </c>
      <c r="C5934" s="60" t="inlineStr">
        <is>
          <t>Orion Kid Max-864</t>
        </is>
      </c>
      <c r="D5934" s="58" t="inlineStr">
        <is>
          <t>Apparel</t>
        </is>
      </c>
      <c r="E5934" s="58" t="inlineStr">
        <is>
          <t>North</t>
        </is>
      </c>
      <c r="F5934" s="61" t="n">
        <v>3</v>
      </c>
      <c r="G5934" s="62" t="n">
        <v>83.05</v>
      </c>
      <c r="H5934" s="63" t="n">
        <v>0.131</v>
      </c>
      <c r="I5934" s="62" t="n">
        <v>46</v>
      </c>
      <c r="J5934" s="58" t="inlineStr">
        <is>
          <t>Online</t>
        </is>
      </c>
      <c r="K5934" s="62">
        <f>F5934*(G5934-H5934)</f>
        <v/>
      </c>
      <c r="L5934" s="62">
        <f>K5934-(F5934*I5934)</f>
        <v/>
      </c>
      <c r="M5934" s="64">
        <f>L5934/K5934</f>
        <v/>
      </c>
    </row>
    <row r="5935">
      <c r="A5935" s="58" t="inlineStr">
        <is>
          <t>RT20250531-05934</t>
        </is>
      </c>
      <c r="B5935" s="59" t="inlineStr">
        <is>
          <t>2025-05-31</t>
        </is>
      </c>
      <c r="C5935" s="60" t="inlineStr">
        <is>
          <t>Polar Outdoor X-193</t>
        </is>
      </c>
      <c r="D5935" s="58" t="inlineStr">
        <is>
          <t>Sports</t>
        </is>
      </c>
      <c r="E5935" s="58" t="inlineStr">
        <is>
          <t>Central</t>
        </is>
      </c>
      <c r="F5935" s="61" t="n">
        <v>1</v>
      </c>
      <c r="G5935" s="62" t="n">
        <v>637.35</v>
      </c>
      <c r="H5935" s="63" t="n">
        <v>0.07000000000000001</v>
      </c>
      <c r="I5935" s="62" t="n">
        <v>468.88</v>
      </c>
      <c r="J5935" s="58" t="inlineStr">
        <is>
          <t>Online</t>
        </is>
      </c>
      <c r="K5935" s="62">
        <f>F5935*(G5935-H5935)</f>
        <v/>
      </c>
      <c r="L5935" s="62">
        <f>K5935-(F5935*I5935)</f>
        <v/>
      </c>
      <c r="M5935" s="64">
        <f>L5935/K5935</f>
        <v/>
      </c>
    </row>
    <row r="5936">
      <c r="A5936" s="58" t="inlineStr">
        <is>
          <t>RT20250531-05935</t>
        </is>
      </c>
      <c r="B5936" s="59" t="inlineStr">
        <is>
          <t>2025-05-31</t>
        </is>
      </c>
      <c r="C5936" s="60" t="inlineStr">
        <is>
          <t>Metro Smartphone Max-773</t>
        </is>
      </c>
      <c r="D5936" s="58" t="inlineStr">
        <is>
          <t>Electronics</t>
        </is>
      </c>
      <c r="E5936" s="58" t="inlineStr">
        <is>
          <t>West</t>
        </is>
      </c>
      <c r="F5936" s="61" t="n">
        <v>2</v>
      </c>
      <c r="G5936" s="62" t="n">
        <v>1180.52</v>
      </c>
      <c r="H5936" s="63" t="n">
        <v>0.054</v>
      </c>
      <c r="I5936" s="62" t="n">
        <v>1084.24</v>
      </c>
      <c r="J5936" s="58" t="inlineStr">
        <is>
          <t>Online</t>
        </is>
      </c>
      <c r="K5936" s="62">
        <f>F5936*(G5936-H5936)</f>
        <v/>
      </c>
      <c r="L5936" s="62">
        <f>K5936-(F5936*I5936)</f>
        <v/>
      </c>
      <c r="M5936" s="64">
        <f>L5936/K5936</f>
        <v/>
      </c>
    </row>
    <row r="5937">
      <c r="A5937" s="58" t="inlineStr">
        <is>
          <t>RT20250531-05936</t>
        </is>
      </c>
      <c r="B5937" s="59" t="inlineStr">
        <is>
          <t>2025-05-31</t>
        </is>
      </c>
      <c r="C5937" s="60" t="inlineStr">
        <is>
          <t>Metro Beverage Max-490</t>
        </is>
      </c>
      <c r="D5937" s="58" t="inlineStr">
        <is>
          <t>Grocery</t>
        </is>
      </c>
      <c r="E5937" s="58" t="inlineStr">
        <is>
          <t>West</t>
        </is>
      </c>
      <c r="F5937" s="61" t="n">
        <v>1</v>
      </c>
      <c r="G5937" s="62" t="n">
        <v>11.04</v>
      </c>
      <c r="H5937" s="63" t="n">
        <v>0.07099999999999999</v>
      </c>
      <c r="I5937" s="62" t="n">
        <v>8.27</v>
      </c>
      <c r="J5937" s="58" t="inlineStr">
        <is>
          <t>Online</t>
        </is>
      </c>
      <c r="K5937" s="62">
        <f>F5937*(G5937-H5937)</f>
        <v/>
      </c>
      <c r="L5937" s="62">
        <f>K5937-(F5937*I5937)</f>
        <v/>
      </c>
      <c r="M5937" s="64">
        <f>L5937/K5937</f>
        <v/>
      </c>
    </row>
    <row r="5938">
      <c r="A5938" s="58" t="inlineStr">
        <is>
          <t>RT20250531-05937</t>
        </is>
      </c>
      <c r="B5938" s="59" t="inlineStr">
        <is>
          <t>2025-05-31</t>
        </is>
      </c>
      <c r="C5938" s="60" t="inlineStr">
        <is>
          <t>Aurora Bedding Plus-187</t>
        </is>
      </c>
      <c r="D5938" s="58" t="inlineStr">
        <is>
          <t>Home</t>
        </is>
      </c>
      <c r="E5938" s="58" t="inlineStr">
        <is>
          <t>West</t>
        </is>
      </c>
      <c r="F5938" s="61" t="n">
        <v>2</v>
      </c>
      <c r="G5938" s="62" t="n">
        <v>309.44</v>
      </c>
      <c r="H5938" s="63" t="n">
        <v>0.028</v>
      </c>
      <c r="I5938" s="62" t="n">
        <v>208.51</v>
      </c>
      <c r="J5938" s="58" t="inlineStr">
        <is>
          <t>Online</t>
        </is>
      </c>
      <c r="K5938" s="62">
        <f>F5938*(G5938-H5938)</f>
        <v/>
      </c>
      <c r="L5938" s="62">
        <f>K5938-(F5938*I5938)</f>
        <v/>
      </c>
      <c r="M5938" s="64">
        <f>L5938/K5938</f>
        <v/>
      </c>
    </row>
    <row r="5939">
      <c r="A5939" s="58" t="inlineStr">
        <is>
          <t>RT20250531-05938</t>
        </is>
      </c>
      <c r="B5939" s="59" t="inlineStr">
        <is>
          <t>2025-05-31</t>
        </is>
      </c>
      <c r="C5939" s="60" t="inlineStr">
        <is>
          <t>Polar Wearable X-119</t>
        </is>
      </c>
      <c r="D5939" s="58" t="inlineStr">
        <is>
          <t>Electronics</t>
        </is>
      </c>
      <c r="E5939" s="58" t="inlineStr">
        <is>
          <t>West</t>
        </is>
      </c>
      <c r="F5939" s="61" t="n">
        <v>1</v>
      </c>
      <c r="G5939" s="62" t="n">
        <v>1708.17</v>
      </c>
      <c r="H5939" s="63" t="n">
        <v>0.051</v>
      </c>
      <c r="I5939" s="62" t="n">
        <v>1323.84</v>
      </c>
      <c r="J5939" s="58" t="inlineStr">
        <is>
          <t>Store</t>
        </is>
      </c>
      <c r="K5939" s="62">
        <f>F5939*(G5939-H5939)</f>
        <v/>
      </c>
      <c r="L5939" s="62">
        <f>K5939-(F5939*I5939)</f>
        <v/>
      </c>
      <c r="M5939" s="64">
        <f>L5939/K5939</f>
        <v/>
      </c>
    </row>
    <row r="5940">
      <c r="A5940" s="58" t="inlineStr">
        <is>
          <t>RT20250531-05939</t>
        </is>
      </c>
      <c r="B5940" s="59" t="inlineStr">
        <is>
          <t>2025-05-31</t>
        </is>
      </c>
      <c r="C5940" s="60" t="inlineStr">
        <is>
          <t>Solace Bedding Plus-317</t>
        </is>
      </c>
      <c r="D5940" s="58" t="inlineStr">
        <is>
          <t>Home</t>
        </is>
      </c>
      <c r="E5940" s="58" t="inlineStr">
        <is>
          <t>West</t>
        </is>
      </c>
      <c r="F5940" s="61" t="n">
        <v>3</v>
      </c>
      <c r="G5940" s="62" t="n">
        <v>597.09</v>
      </c>
      <c r="H5940" s="63" t="n">
        <v>0.108</v>
      </c>
      <c r="I5940" s="62" t="n">
        <v>388.33</v>
      </c>
      <c r="J5940" s="58" t="inlineStr">
        <is>
          <t>Store</t>
        </is>
      </c>
      <c r="K5940" s="62">
        <f>F5940*(G5940-H5940)</f>
        <v/>
      </c>
      <c r="L5940" s="62">
        <f>K5940-(F5940*I5940)</f>
        <v/>
      </c>
      <c r="M5940" s="64">
        <f>L5940/K5940</f>
        <v/>
      </c>
    </row>
    <row r="5941">
      <c r="A5941" s="58" t="inlineStr">
        <is>
          <t>RT20250531-05940</t>
        </is>
      </c>
      <c r="B5941" s="59" t="inlineStr">
        <is>
          <t>2025-05-31</t>
        </is>
      </c>
      <c r="C5941" s="60" t="inlineStr">
        <is>
          <t>Aurora Kid Plus-151</t>
        </is>
      </c>
      <c r="D5941" s="58" t="inlineStr">
        <is>
          <t>Apparel</t>
        </is>
      </c>
      <c r="E5941" s="58" t="inlineStr">
        <is>
          <t>East</t>
        </is>
      </c>
      <c r="F5941" s="61" t="n">
        <v>2</v>
      </c>
      <c r="G5941" s="62" t="n">
        <v>95.78</v>
      </c>
      <c r="H5941" s="63" t="n">
        <v>0.06</v>
      </c>
      <c r="I5941" s="62" t="n">
        <v>62.81</v>
      </c>
      <c r="J5941" s="58" t="inlineStr">
        <is>
          <t>Store</t>
        </is>
      </c>
      <c r="K5941" s="62">
        <f>F5941*(G5941-H5941)</f>
        <v/>
      </c>
      <c r="L5941" s="62">
        <f>K5941-(F5941*I5941)</f>
        <v/>
      </c>
      <c r="M5941" s="64">
        <f>L5941/K5941</f>
        <v/>
      </c>
    </row>
    <row r="5942">
      <c r="A5942" s="58" t="inlineStr">
        <is>
          <t>RT20250531-05941</t>
        </is>
      </c>
      <c r="B5942" s="59" t="inlineStr">
        <is>
          <t>2025-05-31</t>
        </is>
      </c>
      <c r="C5942" s="60" t="inlineStr">
        <is>
          <t>Vertex Pantry Pro-165</t>
        </is>
      </c>
      <c r="D5942" s="58" t="inlineStr">
        <is>
          <t>Grocery</t>
        </is>
      </c>
      <c r="E5942" s="58" t="inlineStr">
        <is>
          <t>East</t>
        </is>
      </c>
      <c r="F5942" s="61" t="n">
        <v>5</v>
      </c>
      <c r="G5942" s="62" t="n">
        <v>16.46</v>
      </c>
      <c r="H5942" s="63" t="n">
        <v>0.101</v>
      </c>
      <c r="I5942" s="62" t="n">
        <v>11.53</v>
      </c>
      <c r="J5942" s="58" t="inlineStr">
        <is>
          <t>Online</t>
        </is>
      </c>
      <c r="K5942" s="62">
        <f>F5942*(G5942-H5942)</f>
        <v/>
      </c>
      <c r="L5942" s="62">
        <f>K5942-(F5942*I5942)</f>
        <v/>
      </c>
      <c r="M5942" s="64">
        <f>L5942/K5942</f>
        <v/>
      </c>
    </row>
    <row r="5943">
      <c r="A5943" s="58" t="inlineStr">
        <is>
          <t>RT20250531-05942</t>
        </is>
      </c>
      <c r="B5943" s="59" t="inlineStr">
        <is>
          <t>2025-05-31</t>
        </is>
      </c>
      <c r="C5943" s="60" t="inlineStr">
        <is>
          <t>Nimbus Women Lite-814</t>
        </is>
      </c>
      <c r="D5943" s="58" t="inlineStr">
        <is>
          <t>Apparel</t>
        </is>
      </c>
      <c r="E5943" s="58" t="inlineStr">
        <is>
          <t>South</t>
        </is>
      </c>
      <c r="F5943" s="61" t="n">
        <v>3</v>
      </c>
      <c r="G5943" s="62" t="n">
        <v>155.68</v>
      </c>
      <c r="H5943" s="63" t="n">
        <v>0.11</v>
      </c>
      <c r="I5943" s="62" t="n">
        <v>84.27</v>
      </c>
      <c r="J5943" s="58" t="inlineStr">
        <is>
          <t>Store</t>
        </is>
      </c>
      <c r="K5943" s="62">
        <f>F5943*(G5943-H5943)</f>
        <v/>
      </c>
      <c r="L5943" s="62">
        <f>K5943-(F5943*I5943)</f>
        <v/>
      </c>
      <c r="M5943" s="64">
        <f>L5943/K5943</f>
        <v/>
      </c>
    </row>
    <row r="5944">
      <c r="A5944" s="58" t="inlineStr">
        <is>
          <t>RT20250531-05943</t>
        </is>
      </c>
      <c r="B5944" s="59" t="inlineStr">
        <is>
          <t>2025-05-31</t>
        </is>
      </c>
      <c r="C5944" s="60" t="inlineStr">
        <is>
          <t>Polar Outdoor X-193</t>
        </is>
      </c>
      <c r="D5944" s="58" t="inlineStr">
        <is>
          <t>Sports</t>
        </is>
      </c>
      <c r="E5944" s="58" t="inlineStr">
        <is>
          <t>Central</t>
        </is>
      </c>
      <c r="F5944" s="61" t="n">
        <v>3</v>
      </c>
      <c r="G5944" s="62" t="n">
        <v>611.91</v>
      </c>
      <c r="H5944" s="63" t="n">
        <v>0.06900000000000001</v>
      </c>
      <c r="I5944" s="62" t="n">
        <v>456.88</v>
      </c>
      <c r="J5944" s="58" t="inlineStr">
        <is>
          <t>Online</t>
        </is>
      </c>
      <c r="K5944" s="62">
        <f>F5944*(G5944-H5944)</f>
        <v/>
      </c>
      <c r="L5944" s="62">
        <f>K5944-(F5944*I5944)</f>
        <v/>
      </c>
      <c r="M5944" s="64">
        <f>L5944/K5944</f>
        <v/>
      </c>
    </row>
    <row r="5945">
      <c r="A5945" s="58" t="inlineStr">
        <is>
          <t>RT20250531-05944</t>
        </is>
      </c>
      <c r="B5945" s="59" t="inlineStr">
        <is>
          <t>2025-05-31</t>
        </is>
      </c>
      <c r="C5945" s="60" t="inlineStr">
        <is>
          <t>Falcon Bedding S-674</t>
        </is>
      </c>
      <c r="D5945" s="58" t="inlineStr">
        <is>
          <t>Home</t>
        </is>
      </c>
      <c r="E5945" s="58" t="inlineStr">
        <is>
          <t>West</t>
        </is>
      </c>
      <c r="F5945" s="61" t="n">
        <v>2</v>
      </c>
      <c r="G5945" s="62" t="n">
        <v>614.5</v>
      </c>
      <c r="H5945" s="63" t="n">
        <v>0.056</v>
      </c>
      <c r="I5945" s="62" t="n">
        <v>463.49</v>
      </c>
      <c r="J5945" s="58" t="inlineStr">
        <is>
          <t>Online</t>
        </is>
      </c>
      <c r="K5945" s="62">
        <f>F5945*(G5945-H5945)</f>
        <v/>
      </c>
      <c r="L5945" s="62">
        <f>K5945-(F5945*I5945)</f>
        <v/>
      </c>
      <c r="M5945" s="64">
        <f>L5945/K5945</f>
        <v/>
      </c>
    </row>
    <row r="5946">
      <c r="A5946" s="58" t="inlineStr">
        <is>
          <t>RT20250531-05945</t>
        </is>
      </c>
      <c r="B5946" s="59" t="inlineStr">
        <is>
          <t>2025-05-31</t>
        </is>
      </c>
      <c r="C5946" s="60" t="inlineStr">
        <is>
          <t>Nimbus Women Plus-352</t>
        </is>
      </c>
      <c r="D5946" s="58" t="inlineStr">
        <is>
          <t>Apparel</t>
        </is>
      </c>
      <c r="E5946" s="58" t="inlineStr">
        <is>
          <t>East</t>
        </is>
      </c>
      <c r="F5946" s="61" t="n">
        <v>2</v>
      </c>
      <c r="G5946" s="62" t="n">
        <v>49.99</v>
      </c>
      <c r="H5946" s="63" t="n">
        <v>0.039</v>
      </c>
      <c r="I5946" s="62" t="n">
        <v>31.98</v>
      </c>
      <c r="J5946" s="58" t="inlineStr">
        <is>
          <t>Phone</t>
        </is>
      </c>
      <c r="K5946" s="62">
        <f>F5946*(G5946-H5946)</f>
        <v/>
      </c>
      <c r="L5946" s="62">
        <f>K5946-(F5946*I5946)</f>
        <v/>
      </c>
      <c r="M5946" s="64">
        <f>L5946/K5946</f>
        <v/>
      </c>
    </row>
    <row r="5947">
      <c r="A5947" s="58" t="inlineStr">
        <is>
          <t>RT20250531-05946</t>
        </is>
      </c>
      <c r="B5947" s="59" t="inlineStr">
        <is>
          <t>2025-05-31</t>
        </is>
      </c>
      <c r="C5947" s="60" t="inlineStr">
        <is>
          <t>Aurora Team Sport Plus-256</t>
        </is>
      </c>
      <c r="D5947" s="58" t="inlineStr">
        <is>
          <t>Sports</t>
        </is>
      </c>
      <c r="E5947" s="58" t="inlineStr">
        <is>
          <t>West</t>
        </is>
      </c>
      <c r="F5947" s="61" t="n">
        <v>1</v>
      </c>
      <c r="G5947" s="62" t="n">
        <v>635.25</v>
      </c>
      <c r="H5947" s="63" t="n">
        <v>0.013</v>
      </c>
      <c r="I5947" s="62" t="n">
        <v>413</v>
      </c>
      <c r="J5947" s="58" t="inlineStr">
        <is>
          <t>Online</t>
        </is>
      </c>
      <c r="K5947" s="62">
        <f>F5947*(G5947-H5947)</f>
        <v/>
      </c>
      <c r="L5947" s="62">
        <f>K5947-(F5947*I5947)</f>
        <v/>
      </c>
      <c r="M5947" s="64">
        <f>L5947/K5947</f>
        <v/>
      </c>
    </row>
    <row r="5948">
      <c r="A5948" s="58" t="inlineStr">
        <is>
          <t>RT20250531-05947</t>
        </is>
      </c>
      <c r="B5948" s="59" t="inlineStr">
        <is>
          <t>2025-05-31</t>
        </is>
      </c>
      <c r="C5948" s="60" t="inlineStr">
        <is>
          <t>Falcon Household Plus-796</t>
        </is>
      </c>
      <c r="D5948" s="58" t="inlineStr">
        <is>
          <t>Grocery</t>
        </is>
      </c>
      <c r="E5948" s="58" t="inlineStr">
        <is>
          <t>Central</t>
        </is>
      </c>
      <c r="F5948" s="61" t="n">
        <v>5</v>
      </c>
      <c r="G5948" s="62" t="n">
        <v>25.14</v>
      </c>
      <c r="H5948" s="63" t="n">
        <v>0.013</v>
      </c>
      <c r="I5948" s="62" t="n">
        <v>17.66</v>
      </c>
      <c r="J5948" s="58" t="inlineStr">
        <is>
          <t>Store</t>
        </is>
      </c>
      <c r="K5948" s="62">
        <f>F5948*(G5948-H5948)</f>
        <v/>
      </c>
      <c r="L5948" s="62">
        <f>K5948-(F5948*I5948)</f>
        <v/>
      </c>
      <c r="M5948" s="64">
        <f>L5948/K5948</f>
        <v/>
      </c>
    </row>
    <row r="5949">
      <c r="A5949" s="58" t="inlineStr">
        <is>
          <t>RT20250531-05948</t>
        </is>
      </c>
      <c r="B5949" s="59" t="inlineStr">
        <is>
          <t>2025-05-31</t>
        </is>
      </c>
      <c r="C5949" s="60" t="inlineStr">
        <is>
          <t>Solace Team Sport Max-548</t>
        </is>
      </c>
      <c r="D5949" s="58" t="inlineStr">
        <is>
          <t>Sports</t>
        </is>
      </c>
      <c r="E5949" s="58" t="inlineStr">
        <is>
          <t>Central</t>
        </is>
      </c>
      <c r="F5949" s="61" t="n">
        <v>3</v>
      </c>
      <c r="G5949" s="62" t="n">
        <v>728.0700000000001</v>
      </c>
      <c r="H5949" s="63" t="n">
        <v>0.048</v>
      </c>
      <c r="I5949" s="62" t="n">
        <v>474.2</v>
      </c>
      <c r="J5949" s="58" t="inlineStr">
        <is>
          <t>Online</t>
        </is>
      </c>
      <c r="K5949" s="62">
        <f>F5949*(G5949-H5949)</f>
        <v/>
      </c>
      <c r="L5949" s="62">
        <f>K5949-(F5949*I5949)</f>
        <v/>
      </c>
      <c r="M5949" s="64">
        <f>L5949/K5949</f>
        <v/>
      </c>
    </row>
    <row r="5950">
      <c r="A5950" s="58" t="inlineStr">
        <is>
          <t>RT20250531-05949</t>
        </is>
      </c>
      <c r="B5950" s="59" t="inlineStr">
        <is>
          <t>2025-05-31</t>
        </is>
      </c>
      <c r="C5950" s="60" t="inlineStr">
        <is>
          <t>Solace Kitchen Pro-510</t>
        </is>
      </c>
      <c r="D5950" s="58" t="inlineStr">
        <is>
          <t>Home</t>
        </is>
      </c>
      <c r="E5950" s="58" t="inlineStr">
        <is>
          <t>Central</t>
        </is>
      </c>
      <c r="F5950" s="61" t="n">
        <v>1</v>
      </c>
      <c r="G5950" s="62" t="n">
        <v>434.03</v>
      </c>
      <c r="H5950" s="63" t="n">
        <v>0.025</v>
      </c>
      <c r="I5950" s="62" t="n">
        <v>302.48</v>
      </c>
      <c r="J5950" s="58" t="inlineStr">
        <is>
          <t>Store</t>
        </is>
      </c>
      <c r="K5950" s="62">
        <f>F5950*(G5950-H5950)</f>
        <v/>
      </c>
      <c r="L5950" s="62">
        <f>K5950-(F5950*I5950)</f>
        <v/>
      </c>
      <c r="M5950" s="64">
        <f>L5950/K5950</f>
        <v/>
      </c>
    </row>
    <row r="5951">
      <c r="A5951" s="58" t="inlineStr">
        <is>
          <t>RT20250531-05950</t>
        </is>
      </c>
      <c r="B5951" s="59" t="inlineStr">
        <is>
          <t>2025-05-31</t>
        </is>
      </c>
      <c r="C5951" s="60" t="inlineStr">
        <is>
          <t>Aurora Storage Lite-774</t>
        </is>
      </c>
      <c r="D5951" s="58" t="inlineStr">
        <is>
          <t>Office</t>
        </is>
      </c>
      <c r="E5951" s="58" t="inlineStr">
        <is>
          <t>Central</t>
        </is>
      </c>
      <c r="F5951" s="61" t="n">
        <v>3</v>
      </c>
      <c r="G5951" s="62" t="n">
        <v>329.83</v>
      </c>
      <c r="H5951" s="63" t="n">
        <v>0.049</v>
      </c>
      <c r="I5951" s="62" t="n">
        <v>238.94</v>
      </c>
      <c r="J5951" s="58" t="inlineStr">
        <is>
          <t>Store</t>
        </is>
      </c>
      <c r="K5951" s="62">
        <f>F5951*(G5951-H5951)</f>
        <v/>
      </c>
      <c r="L5951" s="62">
        <f>K5951-(F5951*I5951)</f>
        <v/>
      </c>
      <c r="M5951" s="64">
        <f>L5951/K5951</f>
        <v/>
      </c>
    </row>
    <row r="5952">
      <c r="A5952" s="58" t="inlineStr">
        <is>
          <t>RT20250531-05951</t>
        </is>
      </c>
      <c r="B5952" s="59" t="inlineStr">
        <is>
          <t>2025-05-31</t>
        </is>
      </c>
      <c r="C5952" s="60" t="inlineStr">
        <is>
          <t>Falcon Headphone Pro-713</t>
        </is>
      </c>
      <c r="D5952" s="58" t="inlineStr">
        <is>
          <t>Electronics</t>
        </is>
      </c>
      <c r="E5952" s="58" t="inlineStr">
        <is>
          <t>East</t>
        </is>
      </c>
      <c r="F5952" s="61" t="n">
        <v>2</v>
      </c>
      <c r="G5952" s="62" t="n">
        <v>1480.34</v>
      </c>
      <c r="H5952" s="63" t="n">
        <v>0.029</v>
      </c>
      <c r="I5952" s="62" t="n">
        <v>1156.55</v>
      </c>
      <c r="J5952" s="58" t="inlineStr">
        <is>
          <t>Online</t>
        </is>
      </c>
      <c r="K5952" s="62">
        <f>F5952*(G5952-H5952)</f>
        <v/>
      </c>
      <c r="L5952" s="62">
        <f>K5952-(F5952*I5952)</f>
        <v/>
      </c>
      <c r="M5952" s="64">
        <f>L5952/K5952</f>
        <v/>
      </c>
    </row>
    <row r="5953">
      <c r="A5953" s="58" t="inlineStr">
        <is>
          <t>RT20250531-05952</t>
        </is>
      </c>
      <c r="B5953" s="59" t="inlineStr">
        <is>
          <t>2025-05-31</t>
        </is>
      </c>
      <c r="C5953" s="60" t="inlineStr">
        <is>
          <t>Vertex Printer Max-692</t>
        </is>
      </c>
      <c r="D5953" s="58" t="inlineStr">
        <is>
          <t>Office</t>
        </is>
      </c>
      <c r="E5953" s="58" t="inlineStr">
        <is>
          <t>West</t>
        </is>
      </c>
      <c r="F5953" s="61" t="n">
        <v>2</v>
      </c>
      <c r="G5953" s="62" t="n">
        <v>161.2</v>
      </c>
      <c r="H5953" s="63" t="n">
        <v>0.103</v>
      </c>
      <c r="I5953" s="62" t="n">
        <v>121.56</v>
      </c>
      <c r="J5953" s="58" t="inlineStr">
        <is>
          <t>Online</t>
        </is>
      </c>
      <c r="K5953" s="62">
        <f>F5953*(G5953-H5953)</f>
        <v/>
      </c>
      <c r="L5953" s="62">
        <f>K5953-(F5953*I5953)</f>
        <v/>
      </c>
      <c r="M5953" s="64">
        <f>L5953/K5953</f>
        <v/>
      </c>
    </row>
    <row r="5954">
      <c r="A5954" s="58" t="inlineStr">
        <is>
          <t>RT20250531-05953</t>
        </is>
      </c>
      <c r="B5954" s="59" t="inlineStr">
        <is>
          <t>2025-05-31</t>
        </is>
      </c>
      <c r="C5954" s="60" t="inlineStr">
        <is>
          <t>Metro Printer X-294</t>
        </is>
      </c>
      <c r="D5954" s="58" t="inlineStr">
        <is>
          <t>Office</t>
        </is>
      </c>
      <c r="E5954" s="58" t="inlineStr">
        <is>
          <t>East</t>
        </is>
      </c>
      <c r="F5954" s="61" t="n">
        <v>1</v>
      </c>
      <c r="G5954" s="62" t="n">
        <v>594.55</v>
      </c>
      <c r="H5954" s="63" t="n">
        <v>0.058</v>
      </c>
      <c r="I5954" s="62" t="n">
        <v>420.46</v>
      </c>
      <c r="J5954" s="58" t="inlineStr">
        <is>
          <t>Online</t>
        </is>
      </c>
      <c r="K5954" s="62">
        <f>F5954*(G5954-H5954)</f>
        <v/>
      </c>
      <c r="L5954" s="62">
        <f>K5954-(F5954*I5954)</f>
        <v/>
      </c>
      <c r="M5954" s="64">
        <f>L5954/K5954</f>
        <v/>
      </c>
    </row>
    <row r="5955">
      <c r="A5955" s="58" t="inlineStr">
        <is>
          <t>RT20250531-05954</t>
        </is>
      </c>
      <c r="B5955" s="59" t="inlineStr">
        <is>
          <t>2025-05-31</t>
        </is>
      </c>
      <c r="C5955" s="60" t="inlineStr">
        <is>
          <t>Vertex Skincare Pro-891</t>
        </is>
      </c>
      <c r="D5955" s="58" t="inlineStr">
        <is>
          <t>Beauty</t>
        </is>
      </c>
      <c r="E5955" s="58" t="inlineStr">
        <is>
          <t>North</t>
        </is>
      </c>
      <c r="F5955" s="61" t="n">
        <v>5</v>
      </c>
      <c r="G5955" s="62" t="n">
        <v>144.71</v>
      </c>
      <c r="H5955" s="63" t="n">
        <v>0.034</v>
      </c>
      <c r="I5955" s="62" t="n">
        <v>86.3</v>
      </c>
      <c r="J5955" s="58" t="inlineStr">
        <is>
          <t>Online</t>
        </is>
      </c>
      <c r="K5955" s="62">
        <f>F5955*(G5955-H5955)</f>
        <v/>
      </c>
      <c r="L5955" s="62">
        <f>K5955-(F5955*I5955)</f>
        <v/>
      </c>
      <c r="M5955" s="64">
        <f>L5955/K5955</f>
        <v/>
      </c>
    </row>
    <row r="5956">
      <c r="A5956" s="58" t="inlineStr">
        <is>
          <t>RT20250531-05955</t>
        </is>
      </c>
      <c r="B5956" s="59" t="inlineStr">
        <is>
          <t>2025-05-31</t>
        </is>
      </c>
      <c r="C5956" s="60" t="inlineStr">
        <is>
          <t>Orion Fragrance Lite-785</t>
        </is>
      </c>
      <c r="D5956" s="58" t="inlineStr">
        <is>
          <t>Beauty</t>
        </is>
      </c>
      <c r="E5956" s="58" t="inlineStr">
        <is>
          <t>Central</t>
        </is>
      </c>
      <c r="F5956" s="61" t="n">
        <v>5</v>
      </c>
      <c r="G5956" s="62" t="n">
        <v>43.88</v>
      </c>
      <c r="H5956" s="63" t="n">
        <v>0.019</v>
      </c>
      <c r="I5956" s="62" t="n">
        <v>27.6</v>
      </c>
      <c r="J5956" s="58" t="inlineStr">
        <is>
          <t>Store</t>
        </is>
      </c>
      <c r="K5956" s="62">
        <f>F5956*(G5956-H5956)</f>
        <v/>
      </c>
      <c r="L5956" s="62">
        <f>K5956-(F5956*I5956)</f>
        <v/>
      </c>
      <c r="M5956" s="64">
        <f>L5956/K5956</f>
        <v/>
      </c>
    </row>
    <row r="5957">
      <c r="A5957" s="58" t="inlineStr">
        <is>
          <t>RT20250531-05956</t>
        </is>
      </c>
      <c r="B5957" s="59" t="inlineStr">
        <is>
          <t>2025-05-31</t>
        </is>
      </c>
      <c r="C5957" s="60" t="inlineStr">
        <is>
          <t>Solace Kitchen X-919</t>
        </is>
      </c>
      <c r="D5957" s="58" t="inlineStr">
        <is>
          <t>Home</t>
        </is>
      </c>
      <c r="E5957" s="58" t="inlineStr">
        <is>
          <t>East</t>
        </is>
      </c>
      <c r="F5957" s="61" t="n">
        <v>2</v>
      </c>
      <c r="G5957" s="62" t="n">
        <v>377.47</v>
      </c>
      <c r="H5957" s="63" t="n">
        <v>0.118</v>
      </c>
      <c r="I5957" s="62" t="n">
        <v>264.81</v>
      </c>
      <c r="J5957" s="58" t="inlineStr">
        <is>
          <t>Online</t>
        </is>
      </c>
      <c r="K5957" s="62">
        <f>F5957*(G5957-H5957)</f>
        <v/>
      </c>
      <c r="L5957" s="62">
        <f>K5957-(F5957*I5957)</f>
        <v/>
      </c>
      <c r="M5957" s="64">
        <f>L5957/K5957</f>
        <v/>
      </c>
    </row>
    <row r="5958">
      <c r="A5958" s="58" t="inlineStr">
        <is>
          <t>RT20250601-05957</t>
        </is>
      </c>
      <c r="B5958" s="59" t="inlineStr">
        <is>
          <t>2025-06-01</t>
        </is>
      </c>
      <c r="C5958" s="60" t="inlineStr">
        <is>
          <t>Solace Kitchen X-919</t>
        </is>
      </c>
      <c r="D5958" s="58" t="inlineStr">
        <is>
          <t>Home</t>
        </is>
      </c>
      <c r="E5958" s="58" t="inlineStr">
        <is>
          <t>East</t>
        </is>
      </c>
      <c r="F5958" s="61" t="n">
        <v>1</v>
      </c>
      <c r="G5958" s="62" t="n">
        <v>378.94</v>
      </c>
      <c r="H5958" s="63" t="n">
        <v>0.052</v>
      </c>
      <c r="I5958" s="62" t="n">
        <v>263</v>
      </c>
      <c r="J5958" s="58" t="inlineStr">
        <is>
          <t>Online</t>
        </is>
      </c>
      <c r="K5958" s="62">
        <f>F5958*(G5958-H5958)</f>
        <v/>
      </c>
      <c r="L5958" s="62">
        <f>K5958-(F5958*I5958)</f>
        <v/>
      </c>
      <c r="M5958" s="64">
        <f>L5958/K5958</f>
        <v/>
      </c>
    </row>
    <row r="5959">
      <c r="A5959" s="58" t="inlineStr">
        <is>
          <t>RT20250601-05958</t>
        </is>
      </c>
      <c r="B5959" s="59" t="inlineStr">
        <is>
          <t>2025-06-01</t>
        </is>
      </c>
      <c r="C5959" s="60" t="inlineStr">
        <is>
          <t>Metro Wearable Plus-234</t>
        </is>
      </c>
      <c r="D5959" s="58" t="inlineStr">
        <is>
          <t>Electronics</t>
        </is>
      </c>
      <c r="E5959" s="58" t="inlineStr">
        <is>
          <t>South</t>
        </is>
      </c>
      <c r="F5959" s="61" t="n">
        <v>2</v>
      </c>
      <c r="G5959" s="62" t="n">
        <v>1413.88</v>
      </c>
      <c r="H5959" s="63" t="n">
        <v>0.11</v>
      </c>
      <c r="I5959" s="62" t="n">
        <v>1191.96</v>
      </c>
      <c r="J5959" s="58" t="inlineStr">
        <is>
          <t>Store</t>
        </is>
      </c>
      <c r="K5959" s="62">
        <f>F5959*(G5959-H5959)</f>
        <v/>
      </c>
      <c r="L5959" s="62">
        <f>K5959-(F5959*I5959)</f>
        <v/>
      </c>
      <c r="M5959" s="64">
        <f>L5959/K5959</f>
        <v/>
      </c>
    </row>
    <row r="5960">
      <c r="A5960" s="58" t="inlineStr">
        <is>
          <t>RT20250601-05959</t>
        </is>
      </c>
      <c r="B5960" s="59" t="inlineStr">
        <is>
          <t>2025-06-01</t>
        </is>
      </c>
      <c r="C5960" s="60" t="inlineStr">
        <is>
          <t>Aurora Makeup Pro-489</t>
        </is>
      </c>
      <c r="D5960" s="58" t="inlineStr">
        <is>
          <t>Beauty</t>
        </is>
      </c>
      <c r="E5960" s="58" t="inlineStr">
        <is>
          <t>South</t>
        </is>
      </c>
      <c r="F5960" s="61" t="n">
        <v>5</v>
      </c>
      <c r="G5960" s="62" t="n">
        <v>103.09</v>
      </c>
      <c r="H5960" s="63" t="n">
        <v>0.074</v>
      </c>
      <c r="I5960" s="62" t="n">
        <v>63.29</v>
      </c>
      <c r="J5960" s="58" t="inlineStr">
        <is>
          <t>Online</t>
        </is>
      </c>
      <c r="K5960" s="62">
        <f>F5960*(G5960-H5960)</f>
        <v/>
      </c>
      <c r="L5960" s="62">
        <f>K5960-(F5960*I5960)</f>
        <v/>
      </c>
      <c r="M5960" s="64">
        <f>L5960/K5960</f>
        <v/>
      </c>
    </row>
    <row r="5961">
      <c r="A5961" s="58" t="inlineStr">
        <is>
          <t>RT20250601-05960</t>
        </is>
      </c>
      <c r="B5961" s="59" t="inlineStr">
        <is>
          <t>2025-06-01</t>
        </is>
      </c>
      <c r="C5961" s="60" t="inlineStr">
        <is>
          <t>Orion Snack X-322</t>
        </is>
      </c>
      <c r="D5961" s="58" t="inlineStr">
        <is>
          <t>Grocery</t>
        </is>
      </c>
      <c r="E5961" s="58" t="inlineStr">
        <is>
          <t>East</t>
        </is>
      </c>
      <c r="F5961" s="61" t="n">
        <v>4</v>
      </c>
      <c r="G5961" s="62" t="n">
        <v>12.98</v>
      </c>
      <c r="H5961" s="63" t="n">
        <v>0.075</v>
      </c>
      <c r="I5961" s="62" t="n">
        <v>10.26</v>
      </c>
      <c r="J5961" s="58" t="inlineStr">
        <is>
          <t>Online</t>
        </is>
      </c>
      <c r="K5961" s="62">
        <f>F5961*(G5961-H5961)</f>
        <v/>
      </c>
      <c r="L5961" s="62">
        <f>K5961-(F5961*I5961)</f>
        <v/>
      </c>
      <c r="M5961" s="64">
        <f>L5961/K5961</f>
        <v/>
      </c>
    </row>
    <row r="5962">
      <c r="A5962" s="58" t="inlineStr">
        <is>
          <t>RT20250601-05961</t>
        </is>
      </c>
      <c r="B5962" s="59" t="inlineStr">
        <is>
          <t>2025-06-01</t>
        </is>
      </c>
      <c r="C5962" s="60" t="inlineStr">
        <is>
          <t>Solace Snack S-691</t>
        </is>
      </c>
      <c r="D5962" s="58" t="inlineStr">
        <is>
          <t>Grocery</t>
        </is>
      </c>
      <c r="E5962" s="58" t="inlineStr">
        <is>
          <t>East</t>
        </is>
      </c>
      <c r="F5962" s="61" t="n">
        <v>1</v>
      </c>
      <c r="G5962" s="62" t="n">
        <v>11.02</v>
      </c>
      <c r="H5962" s="63" t="n">
        <v>0.097</v>
      </c>
      <c r="I5962" s="62" t="n">
        <v>7</v>
      </c>
      <c r="J5962" s="58" t="inlineStr">
        <is>
          <t>Store</t>
        </is>
      </c>
      <c r="K5962" s="62">
        <f>F5962*(G5962-H5962)</f>
        <v/>
      </c>
      <c r="L5962" s="62">
        <f>K5962-(F5962*I5962)</f>
        <v/>
      </c>
      <c r="M5962" s="64">
        <f>L5962/K5962</f>
        <v/>
      </c>
    </row>
    <row r="5963">
      <c r="A5963" s="58" t="inlineStr">
        <is>
          <t>RT20250601-05962</t>
        </is>
      </c>
      <c r="B5963" s="59" t="inlineStr">
        <is>
          <t>2025-06-01</t>
        </is>
      </c>
      <c r="C5963" s="60" t="inlineStr">
        <is>
          <t>Vertex Smartphone Lite-267</t>
        </is>
      </c>
      <c r="D5963" s="58" t="inlineStr">
        <is>
          <t>Electronics</t>
        </is>
      </c>
      <c r="E5963" s="58" t="inlineStr">
        <is>
          <t>West</t>
        </is>
      </c>
      <c r="F5963" s="61" t="n">
        <v>2</v>
      </c>
      <c r="G5963" s="62" t="n">
        <v>936.65</v>
      </c>
      <c r="H5963" s="63" t="n">
        <v>0.095</v>
      </c>
      <c r="I5963" s="62" t="n">
        <v>822.98</v>
      </c>
      <c r="J5963" s="58" t="inlineStr">
        <is>
          <t>Online</t>
        </is>
      </c>
      <c r="K5963" s="62">
        <f>F5963*(G5963-H5963)</f>
        <v/>
      </c>
      <c r="L5963" s="62">
        <f>K5963-(F5963*I5963)</f>
        <v/>
      </c>
      <c r="M5963" s="64">
        <f>L5963/K5963</f>
        <v/>
      </c>
    </row>
    <row r="5964">
      <c r="A5964" s="58" t="inlineStr">
        <is>
          <t>RT20250601-05963</t>
        </is>
      </c>
      <c r="B5964" s="59" t="inlineStr">
        <is>
          <t>2025-06-01</t>
        </is>
      </c>
      <c r="C5964" s="60" t="inlineStr">
        <is>
          <t>Polar Pantry Lite-392</t>
        </is>
      </c>
      <c r="D5964" s="58" t="inlineStr">
        <is>
          <t>Grocery</t>
        </is>
      </c>
      <c r="E5964" s="58" t="inlineStr">
        <is>
          <t>Central</t>
        </is>
      </c>
      <c r="F5964" s="61" t="n">
        <v>4</v>
      </c>
      <c r="G5964" s="62" t="n">
        <v>5.81</v>
      </c>
      <c r="H5964" s="63" t="n">
        <v>0.032</v>
      </c>
      <c r="I5964" s="62" t="n">
        <v>4.6</v>
      </c>
      <c r="J5964" s="58" t="inlineStr">
        <is>
          <t>Store</t>
        </is>
      </c>
      <c r="K5964" s="62">
        <f>F5964*(G5964-H5964)</f>
        <v/>
      </c>
      <c r="L5964" s="62">
        <f>K5964-(F5964*I5964)</f>
        <v/>
      </c>
      <c r="M5964" s="64">
        <f>L5964/K5964</f>
        <v/>
      </c>
    </row>
    <row r="5965">
      <c r="A5965" s="58" t="inlineStr">
        <is>
          <t>RT20250601-05964</t>
        </is>
      </c>
      <c r="B5965" s="59" t="inlineStr">
        <is>
          <t>2025-06-01</t>
        </is>
      </c>
      <c r="C5965" s="60" t="inlineStr">
        <is>
          <t>Orion Men X-928</t>
        </is>
      </c>
      <c r="D5965" s="58" t="inlineStr">
        <is>
          <t>Apparel</t>
        </is>
      </c>
      <c r="E5965" s="58" t="inlineStr">
        <is>
          <t>East</t>
        </is>
      </c>
      <c r="F5965" s="61" t="n">
        <v>3</v>
      </c>
      <c r="G5965" s="62" t="n">
        <v>103.71</v>
      </c>
      <c r="H5965" s="63" t="n">
        <v>0.029</v>
      </c>
      <c r="I5965" s="62" t="n">
        <v>60.63</v>
      </c>
      <c r="J5965" s="58" t="inlineStr">
        <is>
          <t>Store</t>
        </is>
      </c>
      <c r="K5965" s="62">
        <f>F5965*(G5965-H5965)</f>
        <v/>
      </c>
      <c r="L5965" s="62">
        <f>K5965-(F5965*I5965)</f>
        <v/>
      </c>
      <c r="M5965" s="64">
        <f>L5965/K5965</f>
        <v/>
      </c>
    </row>
    <row r="5966">
      <c r="A5966" s="58" t="inlineStr">
        <is>
          <t>RT20250601-05965</t>
        </is>
      </c>
      <c r="B5966" s="59" t="inlineStr">
        <is>
          <t>2025-06-01</t>
        </is>
      </c>
      <c r="C5966" s="60" t="inlineStr">
        <is>
          <t>Metro Smartphone Max-773</t>
        </is>
      </c>
      <c r="D5966" s="58" t="inlineStr">
        <is>
          <t>Electronics</t>
        </is>
      </c>
      <c r="E5966" s="58" t="inlineStr">
        <is>
          <t>Central</t>
        </is>
      </c>
      <c r="F5966" s="61" t="n">
        <v>1</v>
      </c>
      <c r="G5966" s="62" t="n">
        <v>1501.76</v>
      </c>
      <c r="H5966" s="63" t="n">
        <v>0.062</v>
      </c>
      <c r="I5966" s="62" t="n">
        <v>1095.17</v>
      </c>
      <c r="J5966" s="58" t="inlineStr">
        <is>
          <t>Store</t>
        </is>
      </c>
      <c r="K5966" s="62">
        <f>F5966*(G5966-H5966)</f>
        <v/>
      </c>
      <c r="L5966" s="62">
        <f>K5966-(F5966*I5966)</f>
        <v/>
      </c>
      <c r="M5966" s="64">
        <f>L5966/K5966</f>
        <v/>
      </c>
    </row>
    <row r="5967">
      <c r="A5967" s="58" t="inlineStr">
        <is>
          <t>RT20250601-05966</t>
        </is>
      </c>
      <c r="B5967" s="59" t="inlineStr">
        <is>
          <t>2025-06-01</t>
        </is>
      </c>
      <c r="C5967" s="60" t="inlineStr">
        <is>
          <t>Orion Team Sport X-926</t>
        </is>
      </c>
      <c r="D5967" s="58" t="inlineStr">
        <is>
          <t>Sports</t>
        </is>
      </c>
      <c r="E5967" s="58" t="inlineStr">
        <is>
          <t>South</t>
        </is>
      </c>
      <c r="F5967" s="61" t="n">
        <v>3</v>
      </c>
      <c r="G5967" s="62" t="n">
        <v>320.81</v>
      </c>
      <c r="H5967" s="63" t="n">
        <v>0.074</v>
      </c>
      <c r="I5967" s="62" t="n">
        <v>218.08</v>
      </c>
      <c r="J5967" s="58" t="inlineStr">
        <is>
          <t>Online</t>
        </is>
      </c>
      <c r="K5967" s="62">
        <f>F5967*(G5967-H5967)</f>
        <v/>
      </c>
      <c r="L5967" s="62">
        <f>K5967-(F5967*I5967)</f>
        <v/>
      </c>
      <c r="M5967" s="64">
        <f>L5967/K5967</f>
        <v/>
      </c>
    </row>
    <row r="5968">
      <c r="A5968" s="58" t="inlineStr">
        <is>
          <t>RT20250601-05967</t>
        </is>
      </c>
      <c r="B5968" s="59" t="inlineStr">
        <is>
          <t>2025-06-01</t>
        </is>
      </c>
      <c r="C5968" s="60" t="inlineStr">
        <is>
          <t>Aurora Appliance Lite-109</t>
        </is>
      </c>
      <c r="D5968" s="58" t="inlineStr">
        <is>
          <t>Home</t>
        </is>
      </c>
      <c r="E5968" s="58" t="inlineStr">
        <is>
          <t>South</t>
        </is>
      </c>
      <c r="F5968" s="61" t="n">
        <v>1</v>
      </c>
      <c r="G5968" s="62" t="n">
        <v>293.29</v>
      </c>
      <c r="H5968" s="63" t="n">
        <v>0.027</v>
      </c>
      <c r="I5968" s="62" t="n">
        <v>207.28</v>
      </c>
      <c r="J5968" s="58" t="inlineStr">
        <is>
          <t>Store</t>
        </is>
      </c>
      <c r="K5968" s="62">
        <f>F5968*(G5968-H5968)</f>
        <v/>
      </c>
      <c r="L5968" s="62">
        <f>K5968-(F5968*I5968)</f>
        <v/>
      </c>
      <c r="M5968" s="64">
        <f>L5968/K5968</f>
        <v/>
      </c>
    </row>
    <row r="5969">
      <c r="A5969" s="58" t="inlineStr">
        <is>
          <t>RT20250601-05968</t>
        </is>
      </c>
      <c r="B5969" s="59" t="inlineStr">
        <is>
          <t>2025-06-01</t>
        </is>
      </c>
      <c r="C5969" s="60" t="inlineStr">
        <is>
          <t>Aurora Bedding Max-175</t>
        </is>
      </c>
      <c r="D5969" s="58" t="inlineStr">
        <is>
          <t>Home</t>
        </is>
      </c>
      <c r="E5969" s="58" t="inlineStr">
        <is>
          <t>South</t>
        </is>
      </c>
      <c r="F5969" s="61" t="n">
        <v>2</v>
      </c>
      <c r="G5969" s="62" t="n">
        <v>580.03</v>
      </c>
      <c r="H5969" s="63" t="n">
        <v>0.08</v>
      </c>
      <c r="I5969" s="62" t="n">
        <v>423.19</v>
      </c>
      <c r="J5969" s="58" t="inlineStr">
        <is>
          <t>Online</t>
        </is>
      </c>
      <c r="K5969" s="62">
        <f>F5969*(G5969-H5969)</f>
        <v/>
      </c>
      <c r="L5969" s="62">
        <f>K5969-(F5969*I5969)</f>
        <v/>
      </c>
      <c r="M5969" s="64">
        <f>L5969/K5969</f>
        <v/>
      </c>
    </row>
    <row r="5970">
      <c r="A5970" s="58" t="inlineStr">
        <is>
          <t>RT20250601-05969</t>
        </is>
      </c>
      <c r="B5970" s="59" t="inlineStr">
        <is>
          <t>2025-06-01</t>
        </is>
      </c>
      <c r="C5970" s="60" t="inlineStr">
        <is>
          <t>Nimbus Fitnes Lite-516</t>
        </is>
      </c>
      <c r="D5970" s="58" t="inlineStr">
        <is>
          <t>Sports</t>
        </is>
      </c>
      <c r="E5970" s="58" t="inlineStr">
        <is>
          <t>East</t>
        </is>
      </c>
      <c r="F5970" s="61" t="n">
        <v>3</v>
      </c>
      <c r="G5970" s="62" t="n">
        <v>737.11</v>
      </c>
      <c r="H5970" s="63" t="n">
        <v>0.061</v>
      </c>
      <c r="I5970" s="62" t="n">
        <v>481.4</v>
      </c>
      <c r="J5970" s="58" t="inlineStr">
        <is>
          <t>Store</t>
        </is>
      </c>
      <c r="K5970" s="62">
        <f>F5970*(G5970-H5970)</f>
        <v/>
      </c>
      <c r="L5970" s="62">
        <f>K5970-(F5970*I5970)</f>
        <v/>
      </c>
      <c r="M5970" s="64">
        <f>L5970/K5970</f>
        <v/>
      </c>
    </row>
    <row r="5971">
      <c r="A5971" s="58" t="inlineStr">
        <is>
          <t>RT20250601-05970</t>
        </is>
      </c>
      <c r="B5971" s="59" t="inlineStr">
        <is>
          <t>2025-06-01</t>
        </is>
      </c>
      <c r="C5971" s="60" t="inlineStr">
        <is>
          <t>Orion Storage Plus-961</t>
        </is>
      </c>
      <c r="D5971" s="58" t="inlineStr">
        <is>
          <t>Office</t>
        </is>
      </c>
      <c r="E5971" s="58" t="inlineStr">
        <is>
          <t>West</t>
        </is>
      </c>
      <c r="F5971" s="61" t="n">
        <v>3</v>
      </c>
      <c r="G5971" s="62" t="n">
        <v>590.88</v>
      </c>
      <c r="H5971" s="63" t="n">
        <v>0.005</v>
      </c>
      <c r="I5971" s="62" t="n">
        <v>368.39</v>
      </c>
      <c r="J5971" s="58" t="inlineStr">
        <is>
          <t>Store</t>
        </is>
      </c>
      <c r="K5971" s="62">
        <f>F5971*(G5971-H5971)</f>
        <v/>
      </c>
      <c r="L5971" s="62">
        <f>K5971-(F5971*I5971)</f>
        <v/>
      </c>
      <c r="M5971" s="64">
        <f>L5971/K5971</f>
        <v/>
      </c>
    </row>
    <row r="5972">
      <c r="A5972" s="58" t="inlineStr">
        <is>
          <t>RT20250601-05971</t>
        </is>
      </c>
      <c r="B5972" s="59" t="inlineStr">
        <is>
          <t>2025-06-01</t>
        </is>
      </c>
      <c r="C5972" s="60" t="inlineStr">
        <is>
          <t>Falcon Storage X-734</t>
        </is>
      </c>
      <c r="D5972" s="58" t="inlineStr">
        <is>
          <t>Office</t>
        </is>
      </c>
      <c r="E5972" s="58" t="inlineStr">
        <is>
          <t>East</t>
        </is>
      </c>
      <c r="F5972" s="61" t="n">
        <v>2</v>
      </c>
      <c r="G5972" s="62" t="n">
        <v>426.02</v>
      </c>
      <c r="H5972" s="63" t="n">
        <v>0.042</v>
      </c>
      <c r="I5972" s="62" t="n">
        <v>277.85</v>
      </c>
      <c r="J5972" s="58" t="inlineStr">
        <is>
          <t>Store</t>
        </is>
      </c>
      <c r="K5972" s="62">
        <f>F5972*(G5972-H5972)</f>
        <v/>
      </c>
      <c r="L5972" s="62">
        <f>K5972-(F5972*I5972)</f>
        <v/>
      </c>
      <c r="M5972" s="64">
        <f>L5972/K5972</f>
        <v/>
      </c>
    </row>
    <row r="5973">
      <c r="A5973" s="58" t="inlineStr">
        <is>
          <t>RT20250601-05972</t>
        </is>
      </c>
      <c r="B5973" s="59" t="inlineStr">
        <is>
          <t>2025-06-01</t>
        </is>
      </c>
      <c r="C5973" s="60" t="inlineStr">
        <is>
          <t>Metro Fragrance Lite-261</t>
        </is>
      </c>
      <c r="D5973" s="58" t="inlineStr">
        <is>
          <t>Beauty</t>
        </is>
      </c>
      <c r="E5973" s="58" t="inlineStr">
        <is>
          <t>East</t>
        </is>
      </c>
      <c r="F5973" s="61" t="n">
        <v>2</v>
      </c>
      <c r="G5973" s="62" t="n">
        <v>86.86</v>
      </c>
      <c r="H5973" s="63" t="n">
        <v>0.008</v>
      </c>
      <c r="I5973" s="62" t="n">
        <v>56.12</v>
      </c>
      <c r="J5973" s="58" t="inlineStr">
        <is>
          <t>Online</t>
        </is>
      </c>
      <c r="K5973" s="62">
        <f>F5973*(G5973-H5973)</f>
        <v/>
      </c>
      <c r="L5973" s="62">
        <f>K5973-(F5973*I5973)</f>
        <v/>
      </c>
      <c r="M5973" s="64">
        <f>L5973/K5973</f>
        <v/>
      </c>
    </row>
    <row r="5974">
      <c r="A5974" s="58" t="inlineStr">
        <is>
          <t>RT20250601-05973</t>
        </is>
      </c>
      <c r="B5974" s="59" t="inlineStr">
        <is>
          <t>2025-06-01</t>
        </is>
      </c>
      <c r="C5974" s="60" t="inlineStr">
        <is>
          <t>Solace Fitnes S-324</t>
        </is>
      </c>
      <c r="D5974" s="58" t="inlineStr">
        <is>
          <t>Sports</t>
        </is>
      </c>
      <c r="E5974" s="58" t="inlineStr">
        <is>
          <t>Central</t>
        </is>
      </c>
      <c r="F5974" s="61" t="n">
        <v>1</v>
      </c>
      <c r="G5974" s="62" t="n">
        <v>819.1900000000001</v>
      </c>
      <c r="H5974" s="63" t="n">
        <v>0.01</v>
      </c>
      <c r="I5974" s="62" t="n">
        <v>517.0700000000001</v>
      </c>
      <c r="J5974" s="58" t="inlineStr">
        <is>
          <t>Online</t>
        </is>
      </c>
      <c r="K5974" s="62">
        <f>F5974*(G5974-H5974)</f>
        <v/>
      </c>
      <c r="L5974" s="62">
        <f>K5974-(F5974*I5974)</f>
        <v/>
      </c>
      <c r="M5974" s="64">
        <f>L5974/K5974</f>
        <v/>
      </c>
    </row>
    <row r="5975">
      <c r="A5975" s="58" t="inlineStr">
        <is>
          <t>RT20250601-05974</t>
        </is>
      </c>
      <c r="B5975" s="59" t="inlineStr">
        <is>
          <t>2025-06-01</t>
        </is>
      </c>
      <c r="C5975" s="60" t="inlineStr">
        <is>
          <t>Solace Smartphone Lite-533</t>
        </is>
      </c>
      <c r="D5975" s="58" t="inlineStr">
        <is>
          <t>Electronics</t>
        </is>
      </c>
      <c r="E5975" s="58" t="inlineStr">
        <is>
          <t>North</t>
        </is>
      </c>
      <c r="F5975" s="61" t="n">
        <v>2</v>
      </c>
      <c r="G5975" s="62" t="n">
        <v>1129.27</v>
      </c>
      <c r="H5975" s="63" t="n">
        <v>0</v>
      </c>
      <c r="I5975" s="62" t="n">
        <v>921.4400000000001</v>
      </c>
      <c r="J5975" s="58" t="inlineStr">
        <is>
          <t>Online</t>
        </is>
      </c>
      <c r="K5975" s="62">
        <f>F5975*(G5975-H5975)</f>
        <v/>
      </c>
      <c r="L5975" s="62">
        <f>K5975-(F5975*I5975)</f>
        <v/>
      </c>
      <c r="M5975" s="64">
        <f>L5975/K5975</f>
        <v/>
      </c>
    </row>
    <row r="5976">
      <c r="A5976" s="58" t="inlineStr">
        <is>
          <t>RT20250601-05975</t>
        </is>
      </c>
      <c r="B5976" s="59" t="inlineStr">
        <is>
          <t>2025-06-01</t>
        </is>
      </c>
      <c r="C5976" s="60" t="inlineStr">
        <is>
          <t>Orion Snack X-322</t>
        </is>
      </c>
      <c r="D5976" s="58" t="inlineStr">
        <is>
          <t>Grocery</t>
        </is>
      </c>
      <c r="E5976" s="58" t="inlineStr">
        <is>
          <t>Central</t>
        </is>
      </c>
      <c r="F5976" s="61" t="n">
        <v>7</v>
      </c>
      <c r="G5976" s="62" t="n">
        <v>14.24</v>
      </c>
      <c r="H5976" s="63" t="n">
        <v>0.008</v>
      </c>
      <c r="I5976" s="62" t="n">
        <v>10.18</v>
      </c>
      <c r="J5976" s="58" t="inlineStr">
        <is>
          <t>Online</t>
        </is>
      </c>
      <c r="K5976" s="62">
        <f>F5976*(G5976-H5976)</f>
        <v/>
      </c>
      <c r="L5976" s="62">
        <f>K5976-(F5976*I5976)</f>
        <v/>
      </c>
      <c r="M5976" s="64">
        <f>L5976/K5976</f>
        <v/>
      </c>
    </row>
    <row r="5977">
      <c r="A5977" s="58" t="inlineStr">
        <is>
          <t>RT20250601-05976</t>
        </is>
      </c>
      <c r="B5977" s="59" t="inlineStr">
        <is>
          <t>2025-06-01</t>
        </is>
      </c>
      <c r="C5977" s="60" t="inlineStr">
        <is>
          <t>Falcon Bedding S-674</t>
        </is>
      </c>
      <c r="D5977" s="58" t="inlineStr">
        <is>
          <t>Home</t>
        </is>
      </c>
      <c r="E5977" s="58" t="inlineStr">
        <is>
          <t>East</t>
        </is>
      </c>
      <c r="F5977" s="61" t="n">
        <v>1</v>
      </c>
      <c r="G5977" s="62" t="n">
        <v>701.8</v>
      </c>
      <c r="H5977" s="63" t="n">
        <v>0.099</v>
      </c>
      <c r="I5977" s="62" t="n">
        <v>451.5</v>
      </c>
      <c r="J5977" s="58" t="inlineStr">
        <is>
          <t>Online</t>
        </is>
      </c>
      <c r="K5977" s="62">
        <f>F5977*(G5977-H5977)</f>
        <v/>
      </c>
      <c r="L5977" s="62">
        <f>K5977-(F5977*I5977)</f>
        <v/>
      </c>
      <c r="M5977" s="64">
        <f>L5977/K5977</f>
        <v/>
      </c>
    </row>
    <row r="5978">
      <c r="A5978" s="58" t="inlineStr">
        <is>
          <t>RT20250601-05977</t>
        </is>
      </c>
      <c r="B5978" s="59" t="inlineStr">
        <is>
          <t>2025-06-01</t>
        </is>
      </c>
      <c r="C5978" s="60" t="inlineStr">
        <is>
          <t>Solace Headphone Pro-344</t>
        </is>
      </c>
      <c r="D5978" s="58" t="inlineStr">
        <is>
          <t>Electronics</t>
        </is>
      </c>
      <c r="E5978" s="58" t="inlineStr">
        <is>
          <t>North</t>
        </is>
      </c>
      <c r="F5978" s="61" t="n">
        <v>2</v>
      </c>
      <c r="G5978" s="62" t="n">
        <v>1384.47</v>
      </c>
      <c r="H5978" s="63" t="n">
        <v>0.083</v>
      </c>
      <c r="I5978" s="62" t="n">
        <v>1079.23</v>
      </c>
      <c r="J5978" s="58" t="inlineStr">
        <is>
          <t>Online</t>
        </is>
      </c>
      <c r="K5978" s="62">
        <f>F5978*(G5978-H5978)</f>
        <v/>
      </c>
      <c r="L5978" s="62">
        <f>K5978-(F5978*I5978)</f>
        <v/>
      </c>
      <c r="M5978" s="64">
        <f>L5978/K5978</f>
        <v/>
      </c>
    </row>
    <row r="5979">
      <c r="A5979" s="58" t="inlineStr">
        <is>
          <t>RT20250601-05978</t>
        </is>
      </c>
      <c r="B5979" s="59" t="inlineStr">
        <is>
          <t>2025-06-01</t>
        </is>
      </c>
      <c r="C5979" s="60" t="inlineStr">
        <is>
          <t>Aurora Wearable Lite-704</t>
        </is>
      </c>
      <c r="D5979" s="58" t="inlineStr">
        <is>
          <t>Electronics</t>
        </is>
      </c>
      <c r="E5979" s="58" t="inlineStr">
        <is>
          <t>Central</t>
        </is>
      </c>
      <c r="F5979" s="61" t="n">
        <v>2</v>
      </c>
      <c r="G5979" s="62" t="n">
        <v>1764.7</v>
      </c>
      <c r="H5979" s="63" t="n">
        <v>0.032</v>
      </c>
      <c r="I5979" s="62" t="n">
        <v>1415.05</v>
      </c>
      <c r="J5979" s="58" t="inlineStr">
        <is>
          <t>Online</t>
        </is>
      </c>
      <c r="K5979" s="62">
        <f>F5979*(G5979-H5979)</f>
        <v/>
      </c>
      <c r="L5979" s="62">
        <f>K5979-(F5979*I5979)</f>
        <v/>
      </c>
      <c r="M5979" s="64">
        <f>L5979/K5979</f>
        <v/>
      </c>
    </row>
    <row r="5980">
      <c r="A5980" s="58" t="inlineStr">
        <is>
          <t>RT20250601-05979</t>
        </is>
      </c>
      <c r="B5980" s="59" t="inlineStr">
        <is>
          <t>2025-06-01</t>
        </is>
      </c>
      <c r="C5980" s="60" t="inlineStr">
        <is>
          <t>Falcon Skincare X-334</t>
        </is>
      </c>
      <c r="D5980" s="58" t="inlineStr">
        <is>
          <t>Beauty</t>
        </is>
      </c>
      <c r="E5980" s="58" t="inlineStr">
        <is>
          <t>North</t>
        </is>
      </c>
      <c r="F5980" s="61" t="n">
        <v>2</v>
      </c>
      <c r="G5980" s="62" t="n">
        <v>98.01000000000001</v>
      </c>
      <c r="H5980" s="63" t="n">
        <v>0.08400000000000001</v>
      </c>
      <c r="I5980" s="62" t="n">
        <v>61.93</v>
      </c>
      <c r="J5980" s="58" t="inlineStr">
        <is>
          <t>Phone</t>
        </is>
      </c>
      <c r="K5980" s="62">
        <f>F5980*(G5980-H5980)</f>
        <v/>
      </c>
      <c r="L5980" s="62">
        <f>K5980-(F5980*I5980)</f>
        <v/>
      </c>
      <c r="M5980" s="64">
        <f>L5980/K5980</f>
        <v/>
      </c>
    </row>
    <row r="5981">
      <c r="A5981" s="58" t="inlineStr">
        <is>
          <t>RT20250601-05980</t>
        </is>
      </c>
      <c r="B5981" s="59" t="inlineStr">
        <is>
          <t>2025-06-01</t>
        </is>
      </c>
      <c r="C5981" s="60" t="inlineStr">
        <is>
          <t>Polar Wearable X-119</t>
        </is>
      </c>
      <c r="D5981" s="58" t="inlineStr">
        <is>
          <t>Electronics</t>
        </is>
      </c>
      <c r="E5981" s="58" t="inlineStr">
        <is>
          <t>North</t>
        </is>
      </c>
      <c r="F5981" s="61" t="n">
        <v>2</v>
      </c>
      <c r="G5981" s="62" t="n">
        <v>1864.02</v>
      </c>
      <c r="H5981" s="63" t="n">
        <v>0.008</v>
      </c>
      <c r="I5981" s="62" t="n">
        <v>1323.08</v>
      </c>
      <c r="J5981" s="58" t="inlineStr">
        <is>
          <t>Store</t>
        </is>
      </c>
      <c r="K5981" s="62">
        <f>F5981*(G5981-H5981)</f>
        <v/>
      </c>
      <c r="L5981" s="62">
        <f>K5981-(F5981*I5981)</f>
        <v/>
      </c>
      <c r="M5981" s="64">
        <f>L5981/K5981</f>
        <v/>
      </c>
    </row>
    <row r="5982">
      <c r="A5982" s="58" t="inlineStr">
        <is>
          <t>RT20250601-05981</t>
        </is>
      </c>
      <c r="B5982" s="59" t="inlineStr">
        <is>
          <t>2025-06-01</t>
        </is>
      </c>
      <c r="C5982" s="60" t="inlineStr">
        <is>
          <t>Vertex Smartphone Pro-256</t>
        </is>
      </c>
      <c r="D5982" s="58" t="inlineStr">
        <is>
          <t>Electronics</t>
        </is>
      </c>
      <c r="E5982" s="58" t="inlineStr">
        <is>
          <t>West</t>
        </is>
      </c>
      <c r="F5982" s="61" t="n">
        <v>2</v>
      </c>
      <c r="G5982" s="62" t="n">
        <v>1010.84</v>
      </c>
      <c r="H5982" s="63" t="n">
        <v>0.081</v>
      </c>
      <c r="I5982" s="62" t="n">
        <v>901.9</v>
      </c>
      <c r="J5982" s="58" t="inlineStr">
        <is>
          <t>Online</t>
        </is>
      </c>
      <c r="K5982" s="62">
        <f>F5982*(G5982-H5982)</f>
        <v/>
      </c>
      <c r="L5982" s="62">
        <f>K5982-(F5982*I5982)</f>
        <v/>
      </c>
      <c r="M5982" s="64">
        <f>L5982/K5982</f>
        <v/>
      </c>
    </row>
    <row r="5983">
      <c r="A5983" s="58" t="inlineStr">
        <is>
          <t>RT20250601-05982</t>
        </is>
      </c>
      <c r="B5983" s="59" t="inlineStr">
        <is>
          <t>2025-06-01</t>
        </is>
      </c>
      <c r="C5983" s="60" t="inlineStr">
        <is>
          <t>Vertex Accessorie Pro-881</t>
        </is>
      </c>
      <c r="D5983" s="58" t="inlineStr">
        <is>
          <t>Apparel</t>
        </is>
      </c>
      <c r="E5983" s="58" t="inlineStr">
        <is>
          <t>South</t>
        </is>
      </c>
      <c r="F5983" s="61" t="n">
        <v>4</v>
      </c>
      <c r="G5983" s="62" t="n">
        <v>100.77</v>
      </c>
      <c r="H5983" s="63" t="n">
        <v>0.08400000000000001</v>
      </c>
      <c r="I5983" s="62" t="n">
        <v>61.94</v>
      </c>
      <c r="J5983" s="58" t="inlineStr">
        <is>
          <t>Online</t>
        </is>
      </c>
      <c r="K5983" s="62">
        <f>F5983*(G5983-H5983)</f>
        <v/>
      </c>
      <c r="L5983" s="62">
        <f>K5983-(F5983*I5983)</f>
        <v/>
      </c>
      <c r="M5983" s="64">
        <f>L5983/K5983</f>
        <v/>
      </c>
    </row>
    <row r="5984">
      <c r="A5984" s="58" t="inlineStr">
        <is>
          <t>RT20250601-05983</t>
        </is>
      </c>
      <c r="B5984" s="59" t="inlineStr">
        <is>
          <t>2025-06-01</t>
        </is>
      </c>
      <c r="C5984" s="60" t="inlineStr">
        <is>
          <t>Solace Snack S-691</t>
        </is>
      </c>
      <c r="D5984" s="58" t="inlineStr">
        <is>
          <t>Grocery</t>
        </is>
      </c>
      <c r="E5984" s="58" t="inlineStr">
        <is>
          <t>North</t>
        </is>
      </c>
      <c r="F5984" s="61" t="n">
        <v>6</v>
      </c>
      <c r="G5984" s="62" t="n">
        <v>9.34</v>
      </c>
      <c r="H5984" s="63" t="n">
        <v>0.065</v>
      </c>
      <c r="I5984" s="62" t="n">
        <v>7.19</v>
      </c>
      <c r="J5984" s="58" t="inlineStr">
        <is>
          <t>Online</t>
        </is>
      </c>
      <c r="K5984" s="62">
        <f>F5984*(G5984-H5984)</f>
        <v/>
      </c>
      <c r="L5984" s="62">
        <f>K5984-(F5984*I5984)</f>
        <v/>
      </c>
      <c r="M5984" s="64">
        <f>L5984/K5984</f>
        <v/>
      </c>
    </row>
    <row r="5985">
      <c r="A5985" s="58" t="inlineStr">
        <is>
          <t>RT20250601-05984</t>
        </is>
      </c>
      <c r="B5985" s="59" t="inlineStr">
        <is>
          <t>2025-06-01</t>
        </is>
      </c>
      <c r="C5985" s="60" t="inlineStr">
        <is>
          <t>Vertex Supplie X-513</t>
        </is>
      </c>
      <c r="D5985" s="58" t="inlineStr">
        <is>
          <t>Office</t>
        </is>
      </c>
      <c r="E5985" s="58" t="inlineStr">
        <is>
          <t>South</t>
        </is>
      </c>
      <c r="F5985" s="61" t="n">
        <v>2</v>
      </c>
      <c r="G5985" s="62" t="n">
        <v>375.03</v>
      </c>
      <c r="H5985" s="63" t="n">
        <v>0.017</v>
      </c>
      <c r="I5985" s="62" t="n">
        <v>271.7</v>
      </c>
      <c r="J5985" s="58" t="inlineStr">
        <is>
          <t>Online</t>
        </is>
      </c>
      <c r="K5985" s="62">
        <f>F5985*(G5985-H5985)</f>
        <v/>
      </c>
      <c r="L5985" s="62">
        <f>K5985-(F5985*I5985)</f>
        <v/>
      </c>
      <c r="M5985" s="64">
        <f>L5985/K5985</f>
        <v/>
      </c>
    </row>
    <row r="5986">
      <c r="A5986" s="58" t="inlineStr">
        <is>
          <t>RT20250601-05985</t>
        </is>
      </c>
      <c r="B5986" s="59" t="inlineStr">
        <is>
          <t>2025-06-01</t>
        </is>
      </c>
      <c r="C5986" s="60" t="inlineStr">
        <is>
          <t>Falcon Team Sport Lite-268</t>
        </is>
      </c>
      <c r="D5986" s="58" t="inlineStr">
        <is>
          <t>Sports</t>
        </is>
      </c>
      <c r="E5986" s="58" t="inlineStr">
        <is>
          <t>East</t>
        </is>
      </c>
      <c r="F5986" s="61" t="n">
        <v>1</v>
      </c>
      <c r="G5986" s="62" t="n">
        <v>713.6</v>
      </c>
      <c r="H5986" s="63" t="n">
        <v>0.092</v>
      </c>
      <c r="I5986" s="62" t="n">
        <v>427.4</v>
      </c>
      <c r="J5986" s="58" t="inlineStr">
        <is>
          <t>Store</t>
        </is>
      </c>
      <c r="K5986" s="62">
        <f>F5986*(G5986-H5986)</f>
        <v/>
      </c>
      <c r="L5986" s="62">
        <f>K5986-(F5986*I5986)</f>
        <v/>
      </c>
      <c r="M5986" s="64">
        <f>L5986/K5986</f>
        <v/>
      </c>
    </row>
    <row r="5987">
      <c r="A5987" s="58" t="inlineStr">
        <is>
          <t>RT20250601-05986</t>
        </is>
      </c>
      <c r="B5987" s="59" t="inlineStr">
        <is>
          <t>2025-06-01</t>
        </is>
      </c>
      <c r="C5987" s="60" t="inlineStr">
        <is>
          <t>Polar Fragrance Pro-750</t>
        </is>
      </c>
      <c r="D5987" s="58" t="inlineStr">
        <is>
          <t>Beauty</t>
        </is>
      </c>
      <c r="E5987" s="58" t="inlineStr">
        <is>
          <t>East</t>
        </is>
      </c>
      <c r="F5987" s="61" t="n">
        <v>5</v>
      </c>
      <c r="G5987" s="62" t="n">
        <v>57.97</v>
      </c>
      <c r="H5987" s="63" t="n">
        <v>0.074</v>
      </c>
      <c r="I5987" s="62" t="n">
        <v>36.73</v>
      </c>
      <c r="J5987" s="58" t="inlineStr">
        <is>
          <t>Online</t>
        </is>
      </c>
      <c r="K5987" s="62">
        <f>F5987*(G5987-H5987)</f>
        <v/>
      </c>
      <c r="L5987" s="62">
        <f>K5987-(F5987*I5987)</f>
        <v/>
      </c>
      <c r="M5987" s="64">
        <f>L5987/K5987</f>
        <v/>
      </c>
    </row>
    <row r="5988">
      <c r="A5988" s="58" t="inlineStr">
        <is>
          <t>RT20250601-05987</t>
        </is>
      </c>
      <c r="B5988" s="59" t="inlineStr">
        <is>
          <t>2025-06-01</t>
        </is>
      </c>
      <c r="C5988" s="60" t="inlineStr">
        <is>
          <t>Aurora Wearable Lite-704</t>
        </is>
      </c>
      <c r="D5988" s="58" t="inlineStr">
        <is>
          <t>Electronics</t>
        </is>
      </c>
      <c r="E5988" s="58" t="inlineStr">
        <is>
          <t>East</t>
        </is>
      </c>
      <c r="F5988" s="61" t="n">
        <v>1</v>
      </c>
      <c r="G5988" s="62" t="n">
        <v>1811.03</v>
      </c>
      <c r="H5988" s="63" t="n">
        <v>0.063</v>
      </c>
      <c r="I5988" s="62" t="n">
        <v>1486.93</v>
      </c>
      <c r="J5988" s="58" t="inlineStr">
        <is>
          <t>Online</t>
        </is>
      </c>
      <c r="K5988" s="62">
        <f>F5988*(G5988-H5988)</f>
        <v/>
      </c>
      <c r="L5988" s="62">
        <f>K5988-(F5988*I5988)</f>
        <v/>
      </c>
      <c r="M5988" s="64">
        <f>L5988/K5988</f>
        <v/>
      </c>
    </row>
    <row r="5989">
      <c r="A5989" s="58" t="inlineStr">
        <is>
          <t>RT20250601-05988</t>
        </is>
      </c>
      <c r="B5989" s="59" t="inlineStr">
        <is>
          <t>2025-06-01</t>
        </is>
      </c>
      <c r="C5989" s="60" t="inlineStr">
        <is>
          <t>Falcon Storage X-734</t>
        </is>
      </c>
      <c r="D5989" s="58" t="inlineStr">
        <is>
          <t>Office</t>
        </is>
      </c>
      <c r="E5989" s="58" t="inlineStr">
        <is>
          <t>East</t>
        </is>
      </c>
      <c r="F5989" s="61" t="n">
        <v>1</v>
      </c>
      <c r="G5989" s="62" t="n">
        <v>356.67</v>
      </c>
      <c r="H5989" s="63" t="n">
        <v>0.026</v>
      </c>
      <c r="I5989" s="62" t="n">
        <v>278.36</v>
      </c>
      <c r="J5989" s="58" t="inlineStr">
        <is>
          <t>Online</t>
        </is>
      </c>
      <c r="K5989" s="62">
        <f>F5989*(G5989-H5989)</f>
        <v/>
      </c>
      <c r="L5989" s="62">
        <f>K5989-(F5989*I5989)</f>
        <v/>
      </c>
      <c r="M5989" s="64">
        <f>L5989/K5989</f>
        <v/>
      </c>
    </row>
    <row r="5990">
      <c r="A5990" s="58" t="inlineStr">
        <is>
          <t>RT20250601-05989</t>
        </is>
      </c>
      <c r="B5990" s="59" t="inlineStr">
        <is>
          <t>2025-06-01</t>
        </is>
      </c>
      <c r="C5990" s="60" t="inlineStr">
        <is>
          <t>Polar Men Pro-246</t>
        </is>
      </c>
      <c r="D5990" s="58" t="inlineStr">
        <is>
          <t>Apparel</t>
        </is>
      </c>
      <c r="E5990" s="58" t="inlineStr">
        <is>
          <t>West</t>
        </is>
      </c>
      <c r="F5990" s="61" t="n">
        <v>1</v>
      </c>
      <c r="G5990" s="62" t="n">
        <v>120.03</v>
      </c>
      <c r="H5990" s="63" t="n">
        <v>0.11</v>
      </c>
      <c r="I5990" s="62" t="n">
        <v>76.17</v>
      </c>
      <c r="J5990" s="58" t="inlineStr">
        <is>
          <t>Online</t>
        </is>
      </c>
      <c r="K5990" s="62">
        <f>F5990*(G5990-H5990)</f>
        <v/>
      </c>
      <c r="L5990" s="62">
        <f>K5990-(F5990*I5990)</f>
        <v/>
      </c>
      <c r="M5990" s="64">
        <f>L5990/K5990</f>
        <v/>
      </c>
    </row>
    <row r="5991">
      <c r="A5991" s="58" t="inlineStr">
        <is>
          <t>RT20250601-05990</t>
        </is>
      </c>
      <c r="B5991" s="59" t="inlineStr">
        <is>
          <t>2025-06-01</t>
        </is>
      </c>
      <c r="C5991" s="60" t="inlineStr">
        <is>
          <t>Aurora Household Plus-146</t>
        </is>
      </c>
      <c r="D5991" s="58" t="inlineStr">
        <is>
          <t>Grocery</t>
        </is>
      </c>
      <c r="E5991" s="58" t="inlineStr">
        <is>
          <t>Central</t>
        </is>
      </c>
      <c r="F5991" s="61" t="n">
        <v>4</v>
      </c>
      <c r="G5991" s="62" t="n">
        <v>6.45</v>
      </c>
      <c r="H5991" s="63" t="n">
        <v>0.049</v>
      </c>
      <c r="I5991" s="62" t="n">
        <v>4.5</v>
      </c>
      <c r="J5991" s="58" t="inlineStr">
        <is>
          <t>Online</t>
        </is>
      </c>
      <c r="K5991" s="62">
        <f>F5991*(G5991-H5991)</f>
        <v/>
      </c>
      <c r="L5991" s="62">
        <f>K5991-(F5991*I5991)</f>
        <v/>
      </c>
      <c r="M5991" s="64">
        <f>L5991/K5991</f>
        <v/>
      </c>
    </row>
    <row r="5992">
      <c r="A5992" s="58" t="inlineStr">
        <is>
          <t>RT20250601-05991</t>
        </is>
      </c>
      <c r="B5992" s="59" t="inlineStr">
        <is>
          <t>2025-06-01</t>
        </is>
      </c>
      <c r="C5992" s="60" t="inlineStr">
        <is>
          <t>Aurora Appliance Lite-109</t>
        </is>
      </c>
      <c r="D5992" s="58" t="inlineStr">
        <is>
          <t>Home</t>
        </is>
      </c>
      <c r="E5992" s="58" t="inlineStr">
        <is>
          <t>West</t>
        </is>
      </c>
      <c r="F5992" s="61" t="n">
        <v>2</v>
      </c>
      <c r="G5992" s="62" t="n">
        <v>336.49</v>
      </c>
      <c r="H5992" s="63" t="n">
        <v>0.068</v>
      </c>
      <c r="I5992" s="62" t="n">
        <v>208.65</v>
      </c>
      <c r="J5992" s="58" t="inlineStr">
        <is>
          <t>Online</t>
        </is>
      </c>
      <c r="K5992" s="62">
        <f>F5992*(G5992-H5992)</f>
        <v/>
      </c>
      <c r="L5992" s="62">
        <f>K5992-(F5992*I5992)</f>
        <v/>
      </c>
      <c r="M5992" s="64">
        <f>L5992/K5992</f>
        <v/>
      </c>
    </row>
    <row r="5993">
      <c r="A5993" s="58" t="inlineStr">
        <is>
          <t>RT20250601-05992</t>
        </is>
      </c>
      <c r="B5993" s="59" t="inlineStr">
        <is>
          <t>2025-06-01</t>
        </is>
      </c>
      <c r="C5993" s="60" t="inlineStr">
        <is>
          <t>Falcon Cycling Pro-499</t>
        </is>
      </c>
      <c r="D5993" s="58" t="inlineStr">
        <is>
          <t>Sports</t>
        </is>
      </c>
      <c r="E5993" s="58" t="inlineStr">
        <is>
          <t>North</t>
        </is>
      </c>
      <c r="F5993" s="61" t="n">
        <v>1</v>
      </c>
      <c r="G5993" s="62" t="n">
        <v>581.9</v>
      </c>
      <c r="H5993" s="63" t="n">
        <v>0.051</v>
      </c>
      <c r="I5993" s="62" t="n">
        <v>411.08</v>
      </c>
      <c r="J5993" s="58" t="inlineStr">
        <is>
          <t>Online</t>
        </is>
      </c>
      <c r="K5993" s="62">
        <f>F5993*(G5993-H5993)</f>
        <v/>
      </c>
      <c r="L5993" s="62">
        <f>K5993-(F5993*I5993)</f>
        <v/>
      </c>
      <c r="M5993" s="64">
        <f>L5993/K5993</f>
        <v/>
      </c>
    </row>
    <row r="5994">
      <c r="A5994" s="58" t="inlineStr">
        <is>
          <t>RT20250601-05993</t>
        </is>
      </c>
      <c r="B5994" s="59" t="inlineStr">
        <is>
          <t>2025-06-01</t>
        </is>
      </c>
      <c r="C5994" s="60" t="inlineStr">
        <is>
          <t>Metro Pantry X-710</t>
        </is>
      </c>
      <c r="D5994" s="58" t="inlineStr">
        <is>
          <t>Grocery</t>
        </is>
      </c>
      <c r="E5994" s="58" t="inlineStr">
        <is>
          <t>North</t>
        </is>
      </c>
      <c r="F5994" s="61" t="n">
        <v>2</v>
      </c>
      <c r="G5994" s="62" t="n">
        <v>4.82</v>
      </c>
      <c r="H5994" s="63" t="n">
        <v>0.057</v>
      </c>
      <c r="I5994" s="62" t="n">
        <v>4.1</v>
      </c>
      <c r="J5994" s="58" t="inlineStr">
        <is>
          <t>Store</t>
        </is>
      </c>
      <c r="K5994" s="62">
        <f>F5994*(G5994-H5994)</f>
        <v/>
      </c>
      <c r="L5994" s="62">
        <f>K5994-(F5994*I5994)</f>
        <v/>
      </c>
      <c r="M5994" s="64">
        <f>L5994/K5994</f>
        <v/>
      </c>
    </row>
    <row r="5995">
      <c r="A5995" s="58" t="inlineStr">
        <is>
          <t>RT20250601-05994</t>
        </is>
      </c>
      <c r="B5995" s="59" t="inlineStr">
        <is>
          <t>2025-06-01</t>
        </is>
      </c>
      <c r="C5995" s="60" t="inlineStr">
        <is>
          <t>Aurora Makeup S-626</t>
        </is>
      </c>
      <c r="D5995" s="58" t="inlineStr">
        <is>
          <t>Beauty</t>
        </is>
      </c>
      <c r="E5995" s="58" t="inlineStr">
        <is>
          <t>Central</t>
        </is>
      </c>
      <c r="F5995" s="61" t="n">
        <v>2</v>
      </c>
      <c r="G5995" s="62" t="n">
        <v>101.88</v>
      </c>
      <c r="H5995" s="63" t="n">
        <v>0.037</v>
      </c>
      <c r="I5995" s="62" t="n">
        <v>64.94</v>
      </c>
      <c r="J5995" s="58" t="inlineStr">
        <is>
          <t>Phone</t>
        </is>
      </c>
      <c r="K5995" s="62">
        <f>F5995*(G5995-H5995)</f>
        <v/>
      </c>
      <c r="L5995" s="62">
        <f>K5995-(F5995*I5995)</f>
        <v/>
      </c>
      <c r="M5995" s="64">
        <f>L5995/K5995</f>
        <v/>
      </c>
    </row>
    <row r="5996">
      <c r="A5996" s="58" t="inlineStr">
        <is>
          <t>RT20250601-05995</t>
        </is>
      </c>
      <c r="B5996" s="59" t="inlineStr">
        <is>
          <t>2025-06-01</t>
        </is>
      </c>
      <c r="C5996" s="60" t="inlineStr">
        <is>
          <t>Orion Kid Max-864</t>
        </is>
      </c>
      <c r="D5996" s="58" t="inlineStr">
        <is>
          <t>Apparel</t>
        </is>
      </c>
      <c r="E5996" s="58" t="inlineStr">
        <is>
          <t>North</t>
        </is>
      </c>
      <c r="F5996" s="61" t="n">
        <v>4</v>
      </c>
      <c r="G5996" s="62" t="n">
        <v>83.63</v>
      </c>
      <c r="H5996" s="63" t="n">
        <v>0.004</v>
      </c>
      <c r="I5996" s="62" t="n">
        <v>44.92</v>
      </c>
      <c r="J5996" s="58" t="inlineStr">
        <is>
          <t>Store</t>
        </is>
      </c>
      <c r="K5996" s="62">
        <f>F5996*(G5996-H5996)</f>
        <v/>
      </c>
      <c r="L5996" s="62">
        <f>K5996-(F5996*I5996)</f>
        <v/>
      </c>
      <c r="M5996" s="64">
        <f>L5996/K5996</f>
        <v/>
      </c>
    </row>
    <row r="5997">
      <c r="A5997" s="58" t="inlineStr">
        <is>
          <t>RT20250601-05996</t>
        </is>
      </c>
      <c r="B5997" s="59" t="inlineStr">
        <is>
          <t>2025-06-01</t>
        </is>
      </c>
      <c r="C5997" s="60" t="inlineStr">
        <is>
          <t>Polar Fragrance Pro-750</t>
        </is>
      </c>
      <c r="D5997" s="58" t="inlineStr">
        <is>
          <t>Beauty</t>
        </is>
      </c>
      <c r="E5997" s="58" t="inlineStr">
        <is>
          <t>East</t>
        </is>
      </c>
      <c r="F5997" s="61" t="n">
        <v>2</v>
      </c>
      <c r="G5997" s="62" t="n">
        <v>55.4</v>
      </c>
      <c r="H5997" s="63" t="n">
        <v>0.08</v>
      </c>
      <c r="I5997" s="62" t="n">
        <v>37.86</v>
      </c>
      <c r="J5997" s="58" t="inlineStr">
        <is>
          <t>Online</t>
        </is>
      </c>
      <c r="K5997" s="62">
        <f>F5997*(G5997-H5997)</f>
        <v/>
      </c>
      <c r="L5997" s="62">
        <f>K5997-(F5997*I5997)</f>
        <v/>
      </c>
      <c r="M5997" s="64">
        <f>L5997/K5997</f>
        <v/>
      </c>
    </row>
    <row r="5998">
      <c r="A5998" s="58" t="inlineStr">
        <is>
          <t>RT20250601-05997</t>
        </is>
      </c>
      <c r="B5998" s="59" t="inlineStr">
        <is>
          <t>2025-06-01</t>
        </is>
      </c>
      <c r="C5998" s="60" t="inlineStr">
        <is>
          <t>Vertex Appliance S-159</t>
        </is>
      </c>
      <c r="D5998" s="58" t="inlineStr">
        <is>
          <t>Home</t>
        </is>
      </c>
      <c r="E5998" s="58" t="inlineStr">
        <is>
          <t>East</t>
        </is>
      </c>
      <c r="F5998" s="61" t="n">
        <v>1</v>
      </c>
      <c r="G5998" s="62" t="n">
        <v>412.28</v>
      </c>
      <c r="H5998" s="63" t="n">
        <v>0.075</v>
      </c>
      <c r="I5998" s="62" t="n">
        <v>298.87</v>
      </c>
      <c r="J5998" s="58" t="inlineStr">
        <is>
          <t>Store</t>
        </is>
      </c>
      <c r="K5998" s="62">
        <f>F5998*(G5998-H5998)</f>
        <v/>
      </c>
      <c r="L5998" s="62">
        <f>K5998-(F5998*I5998)</f>
        <v/>
      </c>
      <c r="M5998" s="64">
        <f>L5998/K5998</f>
        <v/>
      </c>
    </row>
    <row r="5999">
      <c r="A5999" s="58" t="inlineStr">
        <is>
          <t>RT20250601-05998</t>
        </is>
      </c>
      <c r="B5999" s="59" t="inlineStr">
        <is>
          <t>2025-06-01</t>
        </is>
      </c>
      <c r="C5999" s="60" t="inlineStr">
        <is>
          <t>Polar Women S-662</t>
        </is>
      </c>
      <c r="D5999" s="58" t="inlineStr">
        <is>
          <t>Apparel</t>
        </is>
      </c>
      <c r="E5999" s="58" t="inlineStr">
        <is>
          <t>East</t>
        </is>
      </c>
      <c r="F5999" s="61" t="n">
        <v>3</v>
      </c>
      <c r="G5999" s="62" t="n">
        <v>190.19</v>
      </c>
      <c r="H5999" s="63" t="n">
        <v>0.049</v>
      </c>
      <c r="I5999" s="62" t="n">
        <v>99.65000000000001</v>
      </c>
      <c r="J5999" s="58" t="inlineStr">
        <is>
          <t>Online</t>
        </is>
      </c>
      <c r="K5999" s="62">
        <f>F5999*(G5999-H5999)</f>
        <v/>
      </c>
      <c r="L5999" s="62">
        <f>K5999-(F5999*I5999)</f>
        <v/>
      </c>
      <c r="M5999" s="64">
        <f>L5999/K5999</f>
        <v/>
      </c>
    </row>
    <row r="6000">
      <c r="A6000" s="58" t="inlineStr">
        <is>
          <t>RT20250601-05999</t>
        </is>
      </c>
      <c r="B6000" s="59" t="inlineStr">
        <is>
          <t>2025-06-01</t>
        </is>
      </c>
      <c r="C6000" s="60" t="inlineStr">
        <is>
          <t>Falcon Cycling Pro-499</t>
        </is>
      </c>
      <c r="D6000" s="58" t="inlineStr">
        <is>
          <t>Sports</t>
        </is>
      </c>
      <c r="E6000" s="58" t="inlineStr">
        <is>
          <t>West</t>
        </is>
      </c>
      <c r="F6000" s="61" t="n">
        <v>3</v>
      </c>
      <c r="G6000" s="62" t="n">
        <v>587.65</v>
      </c>
      <c r="H6000" s="63" t="n">
        <v>0.054</v>
      </c>
      <c r="I6000" s="62" t="n">
        <v>413.5</v>
      </c>
      <c r="J6000" s="58" t="inlineStr">
        <is>
          <t>Store</t>
        </is>
      </c>
      <c r="K6000" s="62">
        <f>F6000*(G6000-H6000)</f>
        <v/>
      </c>
      <c r="L6000" s="62">
        <f>K6000-(F6000*I6000)</f>
        <v/>
      </c>
      <c r="M6000" s="64">
        <f>L6000/K6000</f>
        <v/>
      </c>
    </row>
    <row r="6001">
      <c r="A6001" s="58" t="inlineStr">
        <is>
          <t>RT20250602-06000</t>
        </is>
      </c>
      <c r="B6001" s="59" t="inlineStr">
        <is>
          <t>2025-06-02</t>
        </is>
      </c>
      <c r="C6001" s="60" t="inlineStr">
        <is>
          <t>Falcon Wearable X-334</t>
        </is>
      </c>
      <c r="D6001" s="58" t="inlineStr">
        <is>
          <t>Electronics</t>
        </is>
      </c>
      <c r="E6001" s="58" t="inlineStr">
        <is>
          <t>East</t>
        </is>
      </c>
      <c r="F6001" s="61" t="n">
        <v>1</v>
      </c>
      <c r="G6001" s="62" t="n">
        <v>1574.96</v>
      </c>
      <c r="H6001" s="63" t="n">
        <v>0.037</v>
      </c>
      <c r="I6001" s="62" t="n">
        <v>1472.51</v>
      </c>
      <c r="J6001" s="58" t="inlineStr">
        <is>
          <t>Online</t>
        </is>
      </c>
      <c r="K6001" s="62">
        <f>F6001*(G6001-H6001)</f>
        <v/>
      </c>
      <c r="L6001" s="62">
        <f>K6001-(F6001*I6001)</f>
        <v/>
      </c>
      <c r="M6001" s="64">
        <f>L6001/K6001</f>
        <v/>
      </c>
    </row>
    <row r="6002">
      <c r="A6002" s="58" t="inlineStr">
        <is>
          <t>RT20250602-06001</t>
        </is>
      </c>
      <c r="B6002" s="59" t="inlineStr">
        <is>
          <t>2025-06-02</t>
        </is>
      </c>
      <c r="C6002" s="60" t="inlineStr">
        <is>
          <t>Polar Cycling X-649</t>
        </is>
      </c>
      <c r="D6002" s="58" t="inlineStr">
        <is>
          <t>Sports</t>
        </is>
      </c>
      <c r="E6002" s="58" t="inlineStr">
        <is>
          <t>East</t>
        </is>
      </c>
      <c r="F6002" s="61" t="n">
        <v>3</v>
      </c>
      <c r="G6002" s="62" t="n">
        <v>604.7</v>
      </c>
      <c r="H6002" s="63" t="n">
        <v>0.102</v>
      </c>
      <c r="I6002" s="62" t="n">
        <v>355.36</v>
      </c>
      <c r="J6002" s="58" t="inlineStr">
        <is>
          <t>Online</t>
        </is>
      </c>
      <c r="K6002" s="62">
        <f>F6002*(G6002-H6002)</f>
        <v/>
      </c>
      <c r="L6002" s="62">
        <f>K6002-(F6002*I6002)</f>
        <v/>
      </c>
      <c r="M6002" s="64">
        <f>L6002/K6002</f>
        <v/>
      </c>
    </row>
    <row r="6003">
      <c r="A6003" s="58" t="inlineStr">
        <is>
          <t>RT20250602-06002</t>
        </is>
      </c>
      <c r="B6003" s="59" t="inlineStr">
        <is>
          <t>2025-06-02</t>
        </is>
      </c>
      <c r="C6003" s="60" t="inlineStr">
        <is>
          <t>Falcon Kitchen X-130</t>
        </is>
      </c>
      <c r="D6003" s="58" t="inlineStr">
        <is>
          <t>Home</t>
        </is>
      </c>
      <c r="E6003" s="58" t="inlineStr">
        <is>
          <t>East</t>
        </is>
      </c>
      <c r="F6003" s="61" t="n">
        <v>2</v>
      </c>
      <c r="G6003" s="62" t="n">
        <v>445.77</v>
      </c>
      <c r="H6003" s="63" t="n">
        <v>0.021</v>
      </c>
      <c r="I6003" s="62" t="n">
        <v>294.53</v>
      </c>
      <c r="J6003" s="58" t="inlineStr">
        <is>
          <t>Store</t>
        </is>
      </c>
      <c r="K6003" s="62">
        <f>F6003*(G6003-H6003)</f>
        <v/>
      </c>
      <c r="L6003" s="62">
        <f>K6003-(F6003*I6003)</f>
        <v/>
      </c>
      <c r="M6003" s="64">
        <f>L6003/K6003</f>
        <v/>
      </c>
    </row>
    <row r="6004">
      <c r="A6004" s="58" t="inlineStr">
        <is>
          <t>RT20250602-06003</t>
        </is>
      </c>
      <c r="B6004" s="59" t="inlineStr">
        <is>
          <t>2025-06-02</t>
        </is>
      </c>
      <c r="C6004" s="60" t="inlineStr">
        <is>
          <t>Vertex Supplie Pro-786</t>
        </is>
      </c>
      <c r="D6004" s="58" t="inlineStr">
        <is>
          <t>Office</t>
        </is>
      </c>
      <c r="E6004" s="58" t="inlineStr">
        <is>
          <t>West</t>
        </is>
      </c>
      <c r="F6004" s="61" t="n">
        <v>2</v>
      </c>
      <c r="G6004" s="62" t="n">
        <v>429.38</v>
      </c>
      <c r="H6004" s="63" t="n">
        <v>0.08699999999999999</v>
      </c>
      <c r="I6004" s="62" t="n">
        <v>294.82</v>
      </c>
      <c r="J6004" s="58" t="inlineStr">
        <is>
          <t>Store</t>
        </is>
      </c>
      <c r="K6004" s="62">
        <f>F6004*(G6004-H6004)</f>
        <v/>
      </c>
      <c r="L6004" s="62">
        <f>K6004-(F6004*I6004)</f>
        <v/>
      </c>
      <c r="M6004" s="64">
        <f>L6004/K6004</f>
        <v/>
      </c>
    </row>
    <row r="6005">
      <c r="A6005" s="58" t="inlineStr">
        <is>
          <t>RT20250602-06004</t>
        </is>
      </c>
      <c r="B6005" s="59" t="inlineStr">
        <is>
          <t>2025-06-02</t>
        </is>
      </c>
      <c r="C6005" s="60" t="inlineStr">
        <is>
          <t>Falcon Household Plus-172</t>
        </is>
      </c>
      <c r="D6005" s="58" t="inlineStr">
        <is>
          <t>Grocery</t>
        </is>
      </c>
      <c r="E6005" s="58" t="inlineStr">
        <is>
          <t>East</t>
        </is>
      </c>
      <c r="F6005" s="61" t="n">
        <v>4</v>
      </c>
      <c r="G6005" s="62" t="n">
        <v>18.33</v>
      </c>
      <c r="H6005" s="63" t="n">
        <v>0.034</v>
      </c>
      <c r="I6005" s="62" t="n">
        <v>16.07</v>
      </c>
      <c r="J6005" s="58" t="inlineStr">
        <is>
          <t>Online</t>
        </is>
      </c>
      <c r="K6005" s="62">
        <f>F6005*(G6005-H6005)</f>
        <v/>
      </c>
      <c r="L6005" s="62">
        <f>K6005-(F6005*I6005)</f>
        <v/>
      </c>
      <c r="M6005" s="64">
        <f>L6005/K6005</f>
        <v/>
      </c>
    </row>
    <row r="6006">
      <c r="A6006" s="58" t="inlineStr">
        <is>
          <t>RT20250602-06005</t>
        </is>
      </c>
      <c r="B6006" s="59" t="inlineStr">
        <is>
          <t>2025-06-02</t>
        </is>
      </c>
      <c r="C6006" s="60" t="inlineStr">
        <is>
          <t>Vertex Smartphone Lite-267</t>
        </is>
      </c>
      <c r="D6006" s="58" t="inlineStr">
        <is>
          <t>Electronics</t>
        </is>
      </c>
      <c r="E6006" s="58" t="inlineStr">
        <is>
          <t>Central</t>
        </is>
      </c>
      <c r="F6006" s="61" t="n">
        <v>1</v>
      </c>
      <c r="G6006" s="62" t="n">
        <v>1279.07</v>
      </c>
      <c r="H6006" s="63" t="n">
        <v>0.113</v>
      </c>
      <c r="I6006" s="62" t="n">
        <v>994.15</v>
      </c>
      <c r="J6006" s="58" t="inlineStr">
        <is>
          <t>Online</t>
        </is>
      </c>
      <c r="K6006" s="62">
        <f>F6006*(G6006-H6006)</f>
        <v/>
      </c>
      <c r="L6006" s="62">
        <f>K6006-(F6006*I6006)</f>
        <v/>
      </c>
      <c r="M6006" s="64">
        <f>L6006/K6006</f>
        <v/>
      </c>
    </row>
    <row r="6007">
      <c r="A6007" s="58" t="inlineStr">
        <is>
          <t>RT20250602-06006</t>
        </is>
      </c>
      <c r="B6007" s="59" t="inlineStr">
        <is>
          <t>2025-06-02</t>
        </is>
      </c>
      <c r="C6007" s="60" t="inlineStr">
        <is>
          <t>Vertex Appliance Max-338</t>
        </is>
      </c>
      <c r="D6007" s="58" t="inlineStr">
        <is>
          <t>Home</t>
        </is>
      </c>
      <c r="E6007" s="58" t="inlineStr">
        <is>
          <t>East</t>
        </is>
      </c>
      <c r="F6007" s="61" t="n">
        <v>1</v>
      </c>
      <c r="G6007" s="62" t="n">
        <v>389.09</v>
      </c>
      <c r="H6007" s="63" t="n">
        <v>0.082</v>
      </c>
      <c r="I6007" s="62" t="n">
        <v>288.82</v>
      </c>
      <c r="J6007" s="58" t="inlineStr">
        <is>
          <t>Phone</t>
        </is>
      </c>
      <c r="K6007" s="62">
        <f>F6007*(G6007-H6007)</f>
        <v/>
      </c>
      <c r="L6007" s="62">
        <f>K6007-(F6007*I6007)</f>
        <v/>
      </c>
      <c r="M6007" s="64">
        <f>L6007/K6007</f>
        <v/>
      </c>
    </row>
    <row r="6008">
      <c r="A6008" s="58" t="inlineStr">
        <is>
          <t>RT20250602-06007</t>
        </is>
      </c>
      <c r="B6008" s="59" t="inlineStr">
        <is>
          <t>2025-06-02</t>
        </is>
      </c>
      <c r="C6008" s="60" t="inlineStr">
        <is>
          <t>Metro Accessorie Lite-697</t>
        </is>
      </c>
      <c r="D6008" s="58" t="inlineStr">
        <is>
          <t>Apparel</t>
        </is>
      </c>
      <c r="E6008" s="58" t="inlineStr">
        <is>
          <t>East</t>
        </is>
      </c>
      <c r="F6008" s="61" t="n">
        <v>3</v>
      </c>
      <c r="G6008" s="62" t="n">
        <v>152.29</v>
      </c>
      <c r="H6008" s="63" t="n">
        <v>0.052</v>
      </c>
      <c r="I6008" s="62" t="n">
        <v>77.78</v>
      </c>
      <c r="J6008" s="58" t="inlineStr">
        <is>
          <t>Store</t>
        </is>
      </c>
      <c r="K6008" s="62">
        <f>F6008*(G6008-H6008)</f>
        <v/>
      </c>
      <c r="L6008" s="62">
        <f>K6008-(F6008*I6008)</f>
        <v/>
      </c>
      <c r="M6008" s="64">
        <f>L6008/K6008</f>
        <v/>
      </c>
    </row>
    <row r="6009">
      <c r="A6009" s="58" t="inlineStr">
        <is>
          <t>RT20250602-06008</t>
        </is>
      </c>
      <c r="B6009" s="59" t="inlineStr">
        <is>
          <t>2025-06-02</t>
        </is>
      </c>
      <c r="C6009" s="60" t="inlineStr">
        <is>
          <t>Falcon Bedding S-674</t>
        </is>
      </c>
      <c r="D6009" s="58" t="inlineStr">
        <is>
          <t>Home</t>
        </is>
      </c>
      <c r="E6009" s="58" t="inlineStr">
        <is>
          <t>West</t>
        </is>
      </c>
      <c r="F6009" s="61" t="n">
        <v>3</v>
      </c>
      <c r="G6009" s="62" t="n">
        <v>651.36</v>
      </c>
      <c r="H6009" s="63" t="n">
        <v>0.114</v>
      </c>
      <c r="I6009" s="62" t="n">
        <v>459.74</v>
      </c>
      <c r="J6009" s="58" t="inlineStr">
        <is>
          <t>Online</t>
        </is>
      </c>
      <c r="K6009" s="62">
        <f>F6009*(G6009-H6009)</f>
        <v/>
      </c>
      <c r="L6009" s="62">
        <f>K6009-(F6009*I6009)</f>
        <v/>
      </c>
      <c r="M6009" s="64">
        <f>L6009/K6009</f>
        <v/>
      </c>
    </row>
    <row r="6010">
      <c r="A6010" s="58" t="inlineStr">
        <is>
          <t>RT20250602-06009</t>
        </is>
      </c>
      <c r="B6010" s="59" t="inlineStr">
        <is>
          <t>2025-06-02</t>
        </is>
      </c>
      <c r="C6010" s="60" t="inlineStr">
        <is>
          <t>Metro Pantry X-710</t>
        </is>
      </c>
      <c r="D6010" s="58" t="inlineStr">
        <is>
          <t>Grocery</t>
        </is>
      </c>
      <c r="E6010" s="58" t="inlineStr">
        <is>
          <t>Central</t>
        </is>
      </c>
      <c r="F6010" s="61" t="n">
        <v>1</v>
      </c>
      <c r="G6010" s="62" t="n">
        <v>5.11</v>
      </c>
      <c r="H6010" s="63" t="n">
        <v>0.034</v>
      </c>
      <c r="I6010" s="62" t="n">
        <v>4.23</v>
      </c>
      <c r="J6010" s="58" t="inlineStr">
        <is>
          <t>Online</t>
        </is>
      </c>
      <c r="K6010" s="62">
        <f>F6010*(G6010-H6010)</f>
        <v/>
      </c>
      <c r="L6010" s="62">
        <f>K6010-(F6010*I6010)</f>
        <v/>
      </c>
      <c r="M6010" s="64">
        <f>L6010/K6010</f>
        <v/>
      </c>
    </row>
    <row r="6011">
      <c r="A6011" s="58" t="inlineStr">
        <is>
          <t>RT20250602-06010</t>
        </is>
      </c>
      <c r="B6011" s="59" t="inlineStr">
        <is>
          <t>2025-06-02</t>
        </is>
      </c>
      <c r="C6011" s="60" t="inlineStr">
        <is>
          <t>Orion Laptop S-350</t>
        </is>
      </c>
      <c r="D6011" s="58" t="inlineStr">
        <is>
          <t>Electronics</t>
        </is>
      </c>
      <c r="E6011" s="58" t="inlineStr">
        <is>
          <t>South</t>
        </is>
      </c>
      <c r="F6011" s="61" t="n">
        <v>2</v>
      </c>
      <c r="G6011" s="62" t="n">
        <v>1382.72</v>
      </c>
      <c r="H6011" s="63" t="n">
        <v>0.063</v>
      </c>
      <c r="I6011" s="62" t="n">
        <v>1056.56</v>
      </c>
      <c r="J6011" s="58" t="inlineStr">
        <is>
          <t>Online</t>
        </is>
      </c>
      <c r="K6011" s="62">
        <f>F6011*(G6011-H6011)</f>
        <v/>
      </c>
      <c r="L6011" s="62">
        <f>K6011-(F6011*I6011)</f>
        <v/>
      </c>
      <c r="M6011" s="64">
        <f>L6011/K6011</f>
        <v/>
      </c>
    </row>
    <row r="6012">
      <c r="A6012" s="58" t="inlineStr">
        <is>
          <t>RT20250602-06011</t>
        </is>
      </c>
      <c r="B6012" s="59" t="inlineStr">
        <is>
          <t>2025-06-02</t>
        </is>
      </c>
      <c r="C6012" s="60" t="inlineStr">
        <is>
          <t>Orion Storage Plus-961</t>
        </is>
      </c>
      <c r="D6012" s="58" t="inlineStr">
        <is>
          <t>Office</t>
        </is>
      </c>
      <c r="E6012" s="58" t="inlineStr">
        <is>
          <t>East</t>
        </is>
      </c>
      <c r="F6012" s="61" t="n">
        <v>1</v>
      </c>
      <c r="G6012" s="62" t="n">
        <v>548</v>
      </c>
      <c r="H6012" s="63" t="n">
        <v>0.082</v>
      </c>
      <c r="I6012" s="62" t="n">
        <v>372.64</v>
      </c>
      <c r="J6012" s="58" t="inlineStr">
        <is>
          <t>Online</t>
        </is>
      </c>
      <c r="K6012" s="62">
        <f>F6012*(G6012-H6012)</f>
        <v/>
      </c>
      <c r="L6012" s="62">
        <f>K6012-(F6012*I6012)</f>
        <v/>
      </c>
      <c r="M6012" s="64">
        <f>L6012/K6012</f>
        <v/>
      </c>
    </row>
    <row r="6013">
      <c r="A6013" s="58" t="inlineStr">
        <is>
          <t>RT20250602-06012</t>
        </is>
      </c>
      <c r="B6013" s="59" t="inlineStr">
        <is>
          <t>2025-06-02</t>
        </is>
      </c>
      <c r="C6013" s="60" t="inlineStr">
        <is>
          <t>Falcon Kitchen X-130</t>
        </is>
      </c>
      <c r="D6013" s="58" t="inlineStr">
        <is>
          <t>Home</t>
        </is>
      </c>
      <c r="E6013" s="58" t="inlineStr">
        <is>
          <t>East</t>
        </is>
      </c>
      <c r="F6013" s="61" t="n">
        <v>2</v>
      </c>
      <c r="G6013" s="62" t="n">
        <v>377.96</v>
      </c>
      <c r="H6013" s="63" t="n">
        <v>0.041</v>
      </c>
      <c r="I6013" s="62" t="n">
        <v>286.23</v>
      </c>
      <c r="J6013" s="58" t="inlineStr">
        <is>
          <t>Online</t>
        </is>
      </c>
      <c r="K6013" s="62">
        <f>F6013*(G6013-H6013)</f>
        <v/>
      </c>
      <c r="L6013" s="62">
        <f>K6013-(F6013*I6013)</f>
        <v/>
      </c>
      <c r="M6013" s="64">
        <f>L6013/K6013</f>
        <v/>
      </c>
    </row>
    <row r="6014">
      <c r="A6014" s="58" t="inlineStr">
        <is>
          <t>RT20250602-06013</t>
        </is>
      </c>
      <c r="B6014" s="59" t="inlineStr">
        <is>
          <t>2025-06-02</t>
        </is>
      </c>
      <c r="C6014" s="60" t="inlineStr">
        <is>
          <t>Falcon Storage X-734</t>
        </is>
      </c>
      <c r="D6014" s="58" t="inlineStr">
        <is>
          <t>Office</t>
        </is>
      </c>
      <c r="E6014" s="58" t="inlineStr">
        <is>
          <t>Central</t>
        </is>
      </c>
      <c r="F6014" s="61" t="n">
        <v>1</v>
      </c>
      <c r="G6014" s="62" t="n">
        <v>423.59</v>
      </c>
      <c r="H6014" s="63" t="n">
        <v>0.08799999999999999</v>
      </c>
      <c r="I6014" s="62" t="n">
        <v>275.81</v>
      </c>
      <c r="J6014" s="58" t="inlineStr">
        <is>
          <t>Store</t>
        </is>
      </c>
      <c r="K6014" s="62">
        <f>F6014*(G6014-H6014)</f>
        <v/>
      </c>
      <c r="L6014" s="62">
        <f>K6014-(F6014*I6014)</f>
        <v/>
      </c>
      <c r="M6014" s="64">
        <f>L6014/K6014</f>
        <v/>
      </c>
    </row>
    <row r="6015">
      <c r="A6015" s="58" t="inlineStr">
        <is>
          <t>RT20250602-06014</t>
        </is>
      </c>
      <c r="B6015" s="59" t="inlineStr">
        <is>
          <t>2025-06-02</t>
        </is>
      </c>
      <c r="C6015" s="60" t="inlineStr">
        <is>
          <t>Orion Storage Plus-961</t>
        </is>
      </c>
      <c r="D6015" s="58" t="inlineStr">
        <is>
          <t>Office</t>
        </is>
      </c>
      <c r="E6015" s="58" t="inlineStr">
        <is>
          <t>North</t>
        </is>
      </c>
      <c r="F6015" s="61" t="n">
        <v>2</v>
      </c>
      <c r="G6015" s="62" t="n">
        <v>488.14</v>
      </c>
      <c r="H6015" s="63" t="n">
        <v>0.073</v>
      </c>
      <c r="I6015" s="62" t="n">
        <v>373.78</v>
      </c>
      <c r="J6015" s="58" t="inlineStr">
        <is>
          <t>Online</t>
        </is>
      </c>
      <c r="K6015" s="62">
        <f>F6015*(G6015-H6015)</f>
        <v/>
      </c>
      <c r="L6015" s="62">
        <f>K6015-(F6015*I6015)</f>
        <v/>
      </c>
      <c r="M6015" s="64">
        <f>L6015/K6015</f>
        <v/>
      </c>
    </row>
    <row r="6016">
      <c r="A6016" s="58" t="inlineStr">
        <is>
          <t>RT20250602-06015</t>
        </is>
      </c>
      <c r="B6016" s="59" t="inlineStr">
        <is>
          <t>2025-06-02</t>
        </is>
      </c>
      <c r="C6016" s="60" t="inlineStr">
        <is>
          <t>Falcon Accessorie S-195</t>
        </is>
      </c>
      <c r="D6016" s="58" t="inlineStr">
        <is>
          <t>Apparel</t>
        </is>
      </c>
      <c r="E6016" s="58" t="inlineStr">
        <is>
          <t>East</t>
        </is>
      </c>
      <c r="F6016" s="61" t="n">
        <v>4</v>
      </c>
      <c r="G6016" s="62" t="n">
        <v>85.84999999999999</v>
      </c>
      <c r="H6016" s="63" t="n">
        <v>0.041</v>
      </c>
      <c r="I6016" s="62" t="n">
        <v>41.52</v>
      </c>
      <c r="J6016" s="58" t="inlineStr">
        <is>
          <t>Store</t>
        </is>
      </c>
      <c r="K6016" s="62">
        <f>F6016*(G6016-H6016)</f>
        <v/>
      </c>
      <c r="L6016" s="62">
        <f>K6016-(F6016*I6016)</f>
        <v/>
      </c>
      <c r="M6016" s="64">
        <f>L6016/K6016</f>
        <v/>
      </c>
    </row>
    <row r="6017">
      <c r="A6017" s="58" t="inlineStr">
        <is>
          <t>RT20250602-06016</t>
        </is>
      </c>
      <c r="B6017" s="59" t="inlineStr">
        <is>
          <t>2025-06-02</t>
        </is>
      </c>
      <c r="C6017" s="60" t="inlineStr">
        <is>
          <t>Vertex Decor Pro-618</t>
        </is>
      </c>
      <c r="D6017" s="58" t="inlineStr">
        <is>
          <t>Home</t>
        </is>
      </c>
      <c r="E6017" s="58" t="inlineStr">
        <is>
          <t>Central</t>
        </is>
      </c>
      <c r="F6017" s="61" t="n">
        <v>2</v>
      </c>
      <c r="G6017" s="62" t="n">
        <v>577.45</v>
      </c>
      <c r="H6017" s="63" t="n">
        <v>0.07000000000000001</v>
      </c>
      <c r="I6017" s="62" t="n">
        <v>380.67</v>
      </c>
      <c r="J6017" s="58" t="inlineStr">
        <is>
          <t>Online</t>
        </is>
      </c>
      <c r="K6017" s="62">
        <f>F6017*(G6017-H6017)</f>
        <v/>
      </c>
      <c r="L6017" s="62">
        <f>K6017-(F6017*I6017)</f>
        <v/>
      </c>
      <c r="M6017" s="64">
        <f>L6017/K6017</f>
        <v/>
      </c>
    </row>
    <row r="6018">
      <c r="A6018" s="58" t="inlineStr">
        <is>
          <t>RT20250602-06017</t>
        </is>
      </c>
      <c r="B6018" s="59" t="inlineStr">
        <is>
          <t>2025-06-02</t>
        </is>
      </c>
      <c r="C6018" s="60" t="inlineStr">
        <is>
          <t>Vertex Accessorie Pro-881</t>
        </is>
      </c>
      <c r="D6018" s="58" t="inlineStr">
        <is>
          <t>Apparel</t>
        </is>
      </c>
      <c r="E6018" s="58" t="inlineStr">
        <is>
          <t>Central</t>
        </is>
      </c>
      <c r="F6018" s="61" t="n">
        <v>3</v>
      </c>
      <c r="G6018" s="62" t="n">
        <v>110</v>
      </c>
      <c r="H6018" s="63" t="n">
        <v>0.059</v>
      </c>
      <c r="I6018" s="62" t="n">
        <v>61.06</v>
      </c>
      <c r="J6018" s="58" t="inlineStr">
        <is>
          <t>Store</t>
        </is>
      </c>
      <c r="K6018" s="62">
        <f>F6018*(G6018-H6018)</f>
        <v/>
      </c>
      <c r="L6018" s="62">
        <f>K6018-(F6018*I6018)</f>
        <v/>
      </c>
      <c r="M6018" s="64">
        <f>L6018/K6018</f>
        <v/>
      </c>
    </row>
    <row r="6019">
      <c r="A6019" s="58" t="inlineStr">
        <is>
          <t>RT20250602-06018</t>
        </is>
      </c>
      <c r="B6019" s="59" t="inlineStr">
        <is>
          <t>2025-06-02</t>
        </is>
      </c>
      <c r="C6019" s="60" t="inlineStr">
        <is>
          <t>Metro Outdoor Plus-787</t>
        </is>
      </c>
      <c r="D6019" s="58" t="inlineStr">
        <is>
          <t>Sports</t>
        </is>
      </c>
      <c r="E6019" s="58" t="inlineStr">
        <is>
          <t>South</t>
        </is>
      </c>
      <c r="F6019" s="61" t="n">
        <v>2</v>
      </c>
      <c r="G6019" s="62" t="n">
        <v>580.6900000000001</v>
      </c>
      <c r="H6019" s="63" t="n">
        <v>0.107</v>
      </c>
      <c r="I6019" s="62" t="n">
        <v>347.22</v>
      </c>
      <c r="J6019" s="58" t="inlineStr">
        <is>
          <t>Store</t>
        </is>
      </c>
      <c r="K6019" s="62">
        <f>F6019*(G6019-H6019)</f>
        <v/>
      </c>
      <c r="L6019" s="62">
        <f>K6019-(F6019*I6019)</f>
        <v/>
      </c>
      <c r="M6019" s="64">
        <f>L6019/K6019</f>
        <v/>
      </c>
    </row>
    <row r="6020">
      <c r="A6020" s="58" t="inlineStr">
        <is>
          <t>RT20250602-06019</t>
        </is>
      </c>
      <c r="B6020" s="59" t="inlineStr">
        <is>
          <t>2025-06-02</t>
        </is>
      </c>
      <c r="C6020" s="60" t="inlineStr">
        <is>
          <t>Solace Makeup Pro-214</t>
        </is>
      </c>
      <c r="D6020" s="58" t="inlineStr">
        <is>
          <t>Beauty</t>
        </is>
      </c>
      <c r="E6020" s="58" t="inlineStr">
        <is>
          <t>West</t>
        </is>
      </c>
      <c r="F6020" s="61" t="n">
        <v>1</v>
      </c>
      <c r="G6020" s="62" t="n">
        <v>111.44</v>
      </c>
      <c r="H6020" s="63" t="n">
        <v>0.076</v>
      </c>
      <c r="I6020" s="62" t="n">
        <v>66.06999999999999</v>
      </c>
      <c r="J6020" s="58" t="inlineStr">
        <is>
          <t>Store</t>
        </is>
      </c>
      <c r="K6020" s="62">
        <f>F6020*(G6020-H6020)</f>
        <v/>
      </c>
      <c r="L6020" s="62">
        <f>K6020-(F6020*I6020)</f>
        <v/>
      </c>
      <c r="M6020" s="64">
        <f>L6020/K6020</f>
        <v/>
      </c>
    </row>
    <row r="6021">
      <c r="A6021" s="58" t="inlineStr">
        <is>
          <t>RT20250602-06020</t>
        </is>
      </c>
      <c r="B6021" s="59" t="inlineStr">
        <is>
          <t>2025-06-02</t>
        </is>
      </c>
      <c r="C6021" s="60" t="inlineStr">
        <is>
          <t>Orion Kitchen Pro-568</t>
        </is>
      </c>
      <c r="D6021" s="58" t="inlineStr">
        <is>
          <t>Home</t>
        </is>
      </c>
      <c r="E6021" s="58" t="inlineStr">
        <is>
          <t>West</t>
        </is>
      </c>
      <c r="F6021" s="61" t="n">
        <v>3</v>
      </c>
      <c r="G6021" s="62" t="n">
        <v>464.23</v>
      </c>
      <c r="H6021" s="63" t="n">
        <v>0.023</v>
      </c>
      <c r="I6021" s="62" t="n">
        <v>300.67</v>
      </c>
      <c r="J6021" s="58" t="inlineStr">
        <is>
          <t>Store</t>
        </is>
      </c>
      <c r="K6021" s="62">
        <f>F6021*(G6021-H6021)</f>
        <v/>
      </c>
      <c r="L6021" s="62">
        <f>K6021-(F6021*I6021)</f>
        <v/>
      </c>
      <c r="M6021" s="64">
        <f>L6021/K6021</f>
        <v/>
      </c>
    </row>
    <row r="6022">
      <c r="A6022" s="58" t="inlineStr">
        <is>
          <t>RT20250602-06021</t>
        </is>
      </c>
      <c r="B6022" s="59" t="inlineStr">
        <is>
          <t>2025-06-02</t>
        </is>
      </c>
      <c r="C6022" s="60" t="inlineStr">
        <is>
          <t>Nimbus Decor Lite-385</t>
        </is>
      </c>
      <c r="D6022" s="58" t="inlineStr">
        <is>
          <t>Home</t>
        </is>
      </c>
      <c r="E6022" s="58" t="inlineStr">
        <is>
          <t>Central</t>
        </is>
      </c>
      <c r="F6022" s="61" t="n">
        <v>2</v>
      </c>
      <c r="G6022" s="62" t="n">
        <v>627.1799999999999</v>
      </c>
      <c r="H6022" s="63" t="n">
        <v>0.089</v>
      </c>
      <c r="I6022" s="62" t="n">
        <v>389.46</v>
      </c>
      <c r="J6022" s="58" t="inlineStr">
        <is>
          <t>Store</t>
        </is>
      </c>
      <c r="K6022" s="62">
        <f>F6022*(G6022-H6022)</f>
        <v/>
      </c>
      <c r="L6022" s="62">
        <f>K6022-(F6022*I6022)</f>
        <v/>
      </c>
      <c r="M6022" s="64">
        <f>L6022/K6022</f>
        <v/>
      </c>
    </row>
    <row r="6023">
      <c r="A6023" s="58" t="inlineStr">
        <is>
          <t>RT20250602-06022</t>
        </is>
      </c>
      <c r="B6023" s="59" t="inlineStr">
        <is>
          <t>2025-06-02</t>
        </is>
      </c>
      <c r="C6023" s="60" t="inlineStr">
        <is>
          <t>Polar Fragrance Pro-750</t>
        </is>
      </c>
      <c r="D6023" s="58" t="inlineStr">
        <is>
          <t>Beauty</t>
        </is>
      </c>
      <c r="E6023" s="58" t="inlineStr">
        <is>
          <t>West</t>
        </is>
      </c>
      <c r="F6023" s="61" t="n">
        <v>3</v>
      </c>
      <c r="G6023" s="62" t="n">
        <v>62.51</v>
      </c>
      <c r="H6023" s="63" t="n">
        <v>0.063</v>
      </c>
      <c r="I6023" s="62" t="n">
        <v>36.29</v>
      </c>
      <c r="J6023" s="58" t="inlineStr">
        <is>
          <t>Phone</t>
        </is>
      </c>
      <c r="K6023" s="62">
        <f>F6023*(G6023-H6023)</f>
        <v/>
      </c>
      <c r="L6023" s="62">
        <f>K6023-(F6023*I6023)</f>
        <v/>
      </c>
      <c r="M6023" s="64">
        <f>L6023/K6023</f>
        <v/>
      </c>
    </row>
    <row r="6024">
      <c r="A6024" s="58" t="inlineStr">
        <is>
          <t>RT20250602-06023</t>
        </is>
      </c>
      <c r="B6024" s="59" t="inlineStr">
        <is>
          <t>2025-06-02</t>
        </is>
      </c>
      <c r="C6024" s="60" t="inlineStr">
        <is>
          <t>Vertex Decor Pro-618</t>
        </is>
      </c>
      <c r="D6024" s="58" t="inlineStr">
        <is>
          <t>Home</t>
        </is>
      </c>
      <c r="E6024" s="58" t="inlineStr">
        <is>
          <t>West</t>
        </is>
      </c>
      <c r="F6024" s="61" t="n">
        <v>1</v>
      </c>
      <c r="G6024" s="62" t="n">
        <v>614.47</v>
      </c>
      <c r="H6024" s="63" t="n">
        <v>0.097</v>
      </c>
      <c r="I6024" s="62" t="n">
        <v>375.32</v>
      </c>
      <c r="J6024" s="58" t="inlineStr">
        <is>
          <t>Store</t>
        </is>
      </c>
      <c r="K6024" s="62">
        <f>F6024*(G6024-H6024)</f>
        <v/>
      </c>
      <c r="L6024" s="62">
        <f>K6024-(F6024*I6024)</f>
        <v/>
      </c>
      <c r="M6024" s="64">
        <f>L6024/K6024</f>
        <v/>
      </c>
    </row>
    <row r="6025">
      <c r="A6025" s="58" t="inlineStr">
        <is>
          <t>RT20250602-06024</t>
        </is>
      </c>
      <c r="B6025" s="59" t="inlineStr">
        <is>
          <t>2025-06-02</t>
        </is>
      </c>
      <c r="C6025" s="60" t="inlineStr">
        <is>
          <t>Polar Cycling X-649</t>
        </is>
      </c>
      <c r="D6025" s="58" t="inlineStr">
        <is>
          <t>Sports</t>
        </is>
      </c>
      <c r="E6025" s="58" t="inlineStr">
        <is>
          <t>East</t>
        </is>
      </c>
      <c r="F6025" s="61" t="n">
        <v>2</v>
      </c>
      <c r="G6025" s="62" t="n">
        <v>621.99</v>
      </c>
      <c r="H6025" s="63" t="n">
        <v>0.074</v>
      </c>
      <c r="I6025" s="62" t="n">
        <v>351.95</v>
      </c>
      <c r="J6025" s="58" t="inlineStr">
        <is>
          <t>Online</t>
        </is>
      </c>
      <c r="K6025" s="62">
        <f>F6025*(G6025-H6025)</f>
        <v/>
      </c>
      <c r="L6025" s="62">
        <f>K6025-(F6025*I6025)</f>
        <v/>
      </c>
      <c r="M6025" s="64">
        <f>L6025/K6025</f>
        <v/>
      </c>
    </row>
    <row r="6026">
      <c r="A6026" s="58" t="inlineStr">
        <is>
          <t>RT20250602-06025</t>
        </is>
      </c>
      <c r="B6026" s="59" t="inlineStr">
        <is>
          <t>2025-06-02</t>
        </is>
      </c>
      <c r="C6026" s="60" t="inlineStr">
        <is>
          <t>Polar Wearable X-119</t>
        </is>
      </c>
      <c r="D6026" s="58" t="inlineStr">
        <is>
          <t>Electronics</t>
        </is>
      </c>
      <c r="E6026" s="58" t="inlineStr">
        <is>
          <t>West</t>
        </is>
      </c>
      <c r="F6026" s="61" t="n">
        <v>1</v>
      </c>
      <c r="G6026" s="62" t="n">
        <v>1616.62</v>
      </c>
      <c r="H6026" s="63" t="n">
        <v>0</v>
      </c>
      <c r="I6026" s="62" t="n">
        <v>1334.16</v>
      </c>
      <c r="J6026" s="58" t="inlineStr">
        <is>
          <t>Online</t>
        </is>
      </c>
      <c r="K6026" s="62">
        <f>F6026*(G6026-H6026)</f>
        <v/>
      </c>
      <c r="L6026" s="62">
        <f>K6026-(F6026*I6026)</f>
        <v/>
      </c>
      <c r="M6026" s="64">
        <f>L6026/K6026</f>
        <v/>
      </c>
    </row>
    <row r="6027">
      <c r="A6027" s="58" t="inlineStr">
        <is>
          <t>RT20250602-06026</t>
        </is>
      </c>
      <c r="B6027" s="59" t="inlineStr">
        <is>
          <t>2025-06-02</t>
        </is>
      </c>
      <c r="C6027" s="60" t="inlineStr">
        <is>
          <t>Polar Cycling X-649</t>
        </is>
      </c>
      <c r="D6027" s="58" t="inlineStr">
        <is>
          <t>Sports</t>
        </is>
      </c>
      <c r="E6027" s="58" t="inlineStr">
        <is>
          <t>Central</t>
        </is>
      </c>
      <c r="F6027" s="61" t="n">
        <v>1</v>
      </c>
      <c r="G6027" s="62" t="n">
        <v>554.71</v>
      </c>
      <c r="H6027" s="63" t="n">
        <v>0.048</v>
      </c>
      <c r="I6027" s="62" t="n">
        <v>355.2</v>
      </c>
      <c r="J6027" s="58" t="inlineStr">
        <is>
          <t>Online</t>
        </is>
      </c>
      <c r="K6027" s="62">
        <f>F6027*(G6027-H6027)</f>
        <v/>
      </c>
      <c r="L6027" s="62">
        <f>K6027-(F6027*I6027)</f>
        <v/>
      </c>
      <c r="M6027" s="64">
        <f>L6027/K6027</f>
        <v/>
      </c>
    </row>
    <row r="6028">
      <c r="A6028" s="58" t="inlineStr">
        <is>
          <t>RT20250602-06027</t>
        </is>
      </c>
      <c r="B6028" s="59" t="inlineStr">
        <is>
          <t>2025-06-02</t>
        </is>
      </c>
      <c r="C6028" s="60" t="inlineStr">
        <is>
          <t>Aurora Skincare Max-798</t>
        </is>
      </c>
      <c r="D6028" s="58" t="inlineStr">
        <is>
          <t>Beauty</t>
        </is>
      </c>
      <c r="E6028" s="58" t="inlineStr">
        <is>
          <t>South</t>
        </is>
      </c>
      <c r="F6028" s="61" t="n">
        <v>1</v>
      </c>
      <c r="G6028" s="62" t="n">
        <v>105.22</v>
      </c>
      <c r="H6028" s="63" t="n">
        <v>0.08599999999999999</v>
      </c>
      <c r="I6028" s="62" t="n">
        <v>70.3</v>
      </c>
      <c r="J6028" s="58" t="inlineStr">
        <is>
          <t>Phone</t>
        </is>
      </c>
      <c r="K6028" s="62">
        <f>F6028*(G6028-H6028)</f>
        <v/>
      </c>
      <c r="L6028" s="62">
        <f>K6028-(F6028*I6028)</f>
        <v/>
      </c>
      <c r="M6028" s="64">
        <f>L6028/K6028</f>
        <v/>
      </c>
    </row>
    <row r="6029">
      <c r="A6029" s="58" t="inlineStr">
        <is>
          <t>RT20250602-06028</t>
        </is>
      </c>
      <c r="B6029" s="59" t="inlineStr">
        <is>
          <t>2025-06-02</t>
        </is>
      </c>
      <c r="C6029" s="60" t="inlineStr">
        <is>
          <t>Polar Wearable X-119</t>
        </is>
      </c>
      <c r="D6029" s="58" t="inlineStr">
        <is>
          <t>Electronics</t>
        </is>
      </c>
      <c r="E6029" s="58" t="inlineStr">
        <is>
          <t>South</t>
        </is>
      </c>
      <c r="F6029" s="61" t="n">
        <v>2</v>
      </c>
      <c r="G6029" s="62" t="n">
        <v>1823.7</v>
      </c>
      <c r="H6029" s="63" t="n">
        <v>0.028</v>
      </c>
      <c r="I6029" s="62" t="n">
        <v>1317.66</v>
      </c>
      <c r="J6029" s="58" t="inlineStr">
        <is>
          <t>Online</t>
        </is>
      </c>
      <c r="K6029" s="62">
        <f>F6029*(G6029-H6029)</f>
        <v/>
      </c>
      <c r="L6029" s="62">
        <f>K6029-(F6029*I6029)</f>
        <v/>
      </c>
      <c r="M6029" s="64">
        <f>L6029/K6029</f>
        <v/>
      </c>
    </row>
    <row r="6030">
      <c r="A6030" s="58" t="inlineStr">
        <is>
          <t>RT20250602-06029</t>
        </is>
      </c>
      <c r="B6030" s="59" t="inlineStr">
        <is>
          <t>2025-06-02</t>
        </is>
      </c>
      <c r="C6030" s="60" t="inlineStr">
        <is>
          <t>Metro Laptop Plus-376</t>
        </is>
      </c>
      <c r="D6030" s="58" t="inlineStr">
        <is>
          <t>Electronics</t>
        </is>
      </c>
      <c r="E6030" s="58" t="inlineStr">
        <is>
          <t>East</t>
        </is>
      </c>
      <c r="F6030" s="61" t="n">
        <v>1</v>
      </c>
      <c r="G6030" s="62" t="n">
        <v>1480.67</v>
      </c>
      <c r="H6030" s="63" t="n">
        <v>0.04</v>
      </c>
      <c r="I6030" s="62" t="n">
        <v>1061.77</v>
      </c>
      <c r="J6030" s="58" t="inlineStr">
        <is>
          <t>Store</t>
        </is>
      </c>
      <c r="K6030" s="62">
        <f>F6030*(G6030-H6030)</f>
        <v/>
      </c>
      <c r="L6030" s="62">
        <f>K6030-(F6030*I6030)</f>
        <v/>
      </c>
      <c r="M6030" s="64">
        <f>L6030/K6030</f>
        <v/>
      </c>
    </row>
    <row r="6031">
      <c r="A6031" s="58" t="inlineStr">
        <is>
          <t>RT20250602-06030</t>
        </is>
      </c>
      <c r="B6031" s="59" t="inlineStr">
        <is>
          <t>2025-06-02</t>
        </is>
      </c>
      <c r="C6031" s="60" t="inlineStr">
        <is>
          <t>Aurora Bedding Max-175</t>
        </is>
      </c>
      <c r="D6031" s="58" t="inlineStr">
        <is>
          <t>Home</t>
        </is>
      </c>
      <c r="E6031" s="58" t="inlineStr">
        <is>
          <t>East</t>
        </is>
      </c>
      <c r="F6031" s="61" t="n">
        <v>1</v>
      </c>
      <c r="G6031" s="62" t="n">
        <v>600.48</v>
      </c>
      <c r="H6031" s="63" t="n">
        <v>0.06900000000000001</v>
      </c>
      <c r="I6031" s="62" t="n">
        <v>418.99</v>
      </c>
      <c r="J6031" s="58" t="inlineStr">
        <is>
          <t>Online</t>
        </is>
      </c>
      <c r="K6031" s="62">
        <f>F6031*(G6031-H6031)</f>
        <v/>
      </c>
      <c r="L6031" s="62">
        <f>K6031-(F6031*I6031)</f>
        <v/>
      </c>
      <c r="M6031" s="64">
        <f>L6031/K6031</f>
        <v/>
      </c>
    </row>
    <row r="6032">
      <c r="A6032" s="58" t="inlineStr">
        <is>
          <t>RT20250602-06031</t>
        </is>
      </c>
      <c r="B6032" s="59" t="inlineStr">
        <is>
          <t>2025-06-02</t>
        </is>
      </c>
      <c r="C6032" s="60" t="inlineStr">
        <is>
          <t>Aurora Makeup S-626</t>
        </is>
      </c>
      <c r="D6032" s="58" t="inlineStr">
        <is>
          <t>Beauty</t>
        </is>
      </c>
      <c r="E6032" s="58" t="inlineStr">
        <is>
          <t>North</t>
        </is>
      </c>
      <c r="F6032" s="61" t="n">
        <v>1</v>
      </c>
      <c r="G6032" s="62" t="n">
        <v>87.03</v>
      </c>
      <c r="H6032" s="63" t="n">
        <v>0.051</v>
      </c>
      <c r="I6032" s="62" t="n">
        <v>63.56</v>
      </c>
      <c r="J6032" s="58" t="inlineStr">
        <is>
          <t>Online</t>
        </is>
      </c>
      <c r="K6032" s="62">
        <f>F6032*(G6032-H6032)</f>
        <v/>
      </c>
      <c r="L6032" s="62">
        <f>K6032-(F6032*I6032)</f>
        <v/>
      </c>
      <c r="M6032" s="64">
        <f>L6032/K6032</f>
        <v/>
      </c>
    </row>
    <row r="6033">
      <c r="A6033" s="58" t="inlineStr">
        <is>
          <t>RT20250602-06032</t>
        </is>
      </c>
      <c r="B6033" s="59" t="inlineStr">
        <is>
          <t>2025-06-02</t>
        </is>
      </c>
      <c r="C6033" s="60" t="inlineStr">
        <is>
          <t>Falcon Household Plus-172</t>
        </is>
      </c>
      <c r="D6033" s="58" t="inlineStr">
        <is>
          <t>Grocery</t>
        </is>
      </c>
      <c r="E6033" s="58" t="inlineStr">
        <is>
          <t>East</t>
        </is>
      </c>
      <c r="F6033" s="61" t="n">
        <v>7</v>
      </c>
      <c r="G6033" s="62" t="n">
        <v>17.98</v>
      </c>
      <c r="H6033" s="63" t="n">
        <v>0.063</v>
      </c>
      <c r="I6033" s="62" t="n">
        <v>16.26</v>
      </c>
      <c r="J6033" s="58" t="inlineStr">
        <is>
          <t>Online</t>
        </is>
      </c>
      <c r="K6033" s="62">
        <f>F6033*(G6033-H6033)</f>
        <v/>
      </c>
      <c r="L6033" s="62">
        <f>K6033-(F6033*I6033)</f>
        <v/>
      </c>
      <c r="M6033" s="64">
        <f>L6033/K6033</f>
        <v/>
      </c>
    </row>
    <row r="6034">
      <c r="A6034" s="58" t="inlineStr">
        <is>
          <t>RT20250602-06033</t>
        </is>
      </c>
      <c r="B6034" s="59" t="inlineStr">
        <is>
          <t>2025-06-02</t>
        </is>
      </c>
      <c r="C6034" s="60" t="inlineStr">
        <is>
          <t>Polar Wearable X-119</t>
        </is>
      </c>
      <c r="D6034" s="58" t="inlineStr">
        <is>
          <t>Electronics</t>
        </is>
      </c>
      <c r="E6034" s="58" t="inlineStr">
        <is>
          <t>South</t>
        </is>
      </c>
      <c r="F6034" s="61" t="n">
        <v>1</v>
      </c>
      <c r="G6034" s="62" t="n">
        <v>1587.8</v>
      </c>
      <c r="H6034" s="63" t="n">
        <v>0.06900000000000001</v>
      </c>
      <c r="I6034" s="62" t="n">
        <v>1303.75</v>
      </c>
      <c r="J6034" s="58" t="inlineStr">
        <is>
          <t>Online</t>
        </is>
      </c>
      <c r="K6034" s="62">
        <f>F6034*(G6034-H6034)</f>
        <v/>
      </c>
      <c r="L6034" s="62">
        <f>K6034-(F6034*I6034)</f>
        <v/>
      </c>
      <c r="M6034" s="64">
        <f>L6034/K6034</f>
        <v/>
      </c>
    </row>
    <row r="6035">
      <c r="A6035" s="58" t="inlineStr">
        <is>
          <t>RT20250602-06034</t>
        </is>
      </c>
      <c r="B6035" s="59" t="inlineStr">
        <is>
          <t>2025-06-02</t>
        </is>
      </c>
      <c r="C6035" s="60" t="inlineStr">
        <is>
          <t>Vertex Printer Max-692</t>
        </is>
      </c>
      <c r="D6035" s="58" t="inlineStr">
        <is>
          <t>Office</t>
        </is>
      </c>
      <c r="E6035" s="58" t="inlineStr">
        <is>
          <t>South</t>
        </is>
      </c>
      <c r="F6035" s="61" t="n">
        <v>3</v>
      </c>
      <c r="G6035" s="62" t="n">
        <v>167.21</v>
      </c>
      <c r="H6035" s="63" t="n">
        <v>0.076</v>
      </c>
      <c r="I6035" s="62" t="n">
        <v>120.11</v>
      </c>
      <c r="J6035" s="58" t="inlineStr">
        <is>
          <t>Online</t>
        </is>
      </c>
      <c r="K6035" s="62">
        <f>F6035*(G6035-H6035)</f>
        <v/>
      </c>
      <c r="L6035" s="62">
        <f>K6035-(F6035*I6035)</f>
        <v/>
      </c>
      <c r="M6035" s="64">
        <f>L6035/K6035</f>
        <v/>
      </c>
    </row>
    <row r="6036">
      <c r="A6036" s="58" t="inlineStr">
        <is>
          <t>RT20250602-06035</t>
        </is>
      </c>
      <c r="B6036" s="59" t="inlineStr">
        <is>
          <t>2025-06-02</t>
        </is>
      </c>
      <c r="C6036" s="60" t="inlineStr">
        <is>
          <t>Falcon Cycling Pro-499</t>
        </is>
      </c>
      <c r="D6036" s="58" t="inlineStr">
        <is>
          <t>Sports</t>
        </is>
      </c>
      <c r="E6036" s="58" t="inlineStr">
        <is>
          <t>West</t>
        </is>
      </c>
      <c r="F6036" s="61" t="n">
        <v>2</v>
      </c>
      <c r="G6036" s="62" t="n">
        <v>703.53</v>
      </c>
      <c r="H6036" s="63" t="n">
        <v>0.028</v>
      </c>
      <c r="I6036" s="62" t="n">
        <v>404.78</v>
      </c>
      <c r="J6036" s="58" t="inlineStr">
        <is>
          <t>Store</t>
        </is>
      </c>
      <c r="K6036" s="62">
        <f>F6036*(G6036-H6036)</f>
        <v/>
      </c>
      <c r="L6036" s="62">
        <f>K6036-(F6036*I6036)</f>
        <v/>
      </c>
      <c r="M6036" s="64">
        <f>L6036/K6036</f>
        <v/>
      </c>
    </row>
    <row r="6037">
      <c r="A6037" s="58" t="inlineStr">
        <is>
          <t>RT20250602-06036</t>
        </is>
      </c>
      <c r="B6037" s="59" t="inlineStr">
        <is>
          <t>2025-06-02</t>
        </is>
      </c>
      <c r="C6037" s="60" t="inlineStr">
        <is>
          <t>Orion Supplie S-612</t>
        </is>
      </c>
      <c r="D6037" s="58" t="inlineStr">
        <is>
          <t>Office</t>
        </is>
      </c>
      <c r="E6037" s="58" t="inlineStr">
        <is>
          <t>West</t>
        </is>
      </c>
      <c r="F6037" s="61" t="n">
        <v>3</v>
      </c>
      <c r="G6037" s="62" t="n">
        <v>473.21</v>
      </c>
      <c r="H6037" s="63" t="n">
        <v>0.056</v>
      </c>
      <c r="I6037" s="62" t="n">
        <v>331.74</v>
      </c>
      <c r="J6037" s="58" t="inlineStr">
        <is>
          <t>Online</t>
        </is>
      </c>
      <c r="K6037" s="62">
        <f>F6037*(G6037-H6037)</f>
        <v/>
      </c>
      <c r="L6037" s="62">
        <f>K6037-(F6037*I6037)</f>
        <v/>
      </c>
      <c r="M6037" s="64">
        <f>L6037/K6037</f>
        <v/>
      </c>
    </row>
    <row r="6038">
      <c r="A6038" s="58" t="inlineStr">
        <is>
          <t>RT20250602-06037</t>
        </is>
      </c>
      <c r="B6038" s="59" t="inlineStr">
        <is>
          <t>2025-06-02</t>
        </is>
      </c>
      <c r="C6038" s="60" t="inlineStr">
        <is>
          <t>Aurora Printer Plus-723</t>
        </is>
      </c>
      <c r="D6038" s="58" t="inlineStr">
        <is>
          <t>Office</t>
        </is>
      </c>
      <c r="E6038" s="58" t="inlineStr">
        <is>
          <t>West</t>
        </is>
      </c>
      <c r="F6038" s="61" t="n">
        <v>1</v>
      </c>
      <c r="G6038" s="62" t="n">
        <v>268.18</v>
      </c>
      <c r="H6038" s="63" t="n">
        <v>0.021</v>
      </c>
      <c r="I6038" s="62" t="n">
        <v>186.15</v>
      </c>
      <c r="J6038" s="58" t="inlineStr">
        <is>
          <t>Online</t>
        </is>
      </c>
      <c r="K6038" s="62">
        <f>F6038*(G6038-H6038)</f>
        <v/>
      </c>
      <c r="L6038" s="62">
        <f>K6038-(F6038*I6038)</f>
        <v/>
      </c>
      <c r="M6038" s="64">
        <f>L6038/K6038</f>
        <v/>
      </c>
    </row>
    <row r="6039">
      <c r="A6039" s="58" t="inlineStr">
        <is>
          <t>RT20250603-06038</t>
        </is>
      </c>
      <c r="B6039" s="59" t="inlineStr">
        <is>
          <t>2025-06-03</t>
        </is>
      </c>
      <c r="C6039" s="60" t="inlineStr">
        <is>
          <t>Aurora Makeup S-626</t>
        </is>
      </c>
      <c r="D6039" s="58" t="inlineStr">
        <is>
          <t>Beauty</t>
        </is>
      </c>
      <c r="E6039" s="58" t="inlineStr">
        <is>
          <t>North</t>
        </is>
      </c>
      <c r="F6039" s="61" t="n">
        <v>5</v>
      </c>
      <c r="G6039" s="62" t="n">
        <v>108</v>
      </c>
      <c r="H6039" s="63" t="n">
        <v>0.092</v>
      </c>
      <c r="I6039" s="62" t="n">
        <v>62.59</v>
      </c>
      <c r="J6039" s="58" t="inlineStr">
        <is>
          <t>Online</t>
        </is>
      </c>
      <c r="K6039" s="62">
        <f>F6039*(G6039-H6039)</f>
        <v/>
      </c>
      <c r="L6039" s="62">
        <f>K6039-(F6039*I6039)</f>
        <v/>
      </c>
      <c r="M6039" s="64">
        <f>L6039/K6039</f>
        <v/>
      </c>
    </row>
    <row r="6040">
      <c r="A6040" s="58" t="inlineStr">
        <is>
          <t>RT20250603-06039</t>
        </is>
      </c>
      <c r="B6040" s="59" t="inlineStr">
        <is>
          <t>2025-06-03</t>
        </is>
      </c>
      <c r="C6040" s="60" t="inlineStr">
        <is>
          <t>Orion Team Sport X-926</t>
        </is>
      </c>
      <c r="D6040" s="58" t="inlineStr">
        <is>
          <t>Sports</t>
        </is>
      </c>
      <c r="E6040" s="58" t="inlineStr">
        <is>
          <t>East</t>
        </is>
      </c>
      <c r="F6040" s="61" t="n">
        <v>1</v>
      </c>
      <c r="G6040" s="62" t="n">
        <v>313.94</v>
      </c>
      <c r="H6040" s="63" t="n">
        <v>0.095</v>
      </c>
      <c r="I6040" s="62" t="n">
        <v>217.45</v>
      </c>
      <c r="J6040" s="58" t="inlineStr">
        <is>
          <t>Online</t>
        </is>
      </c>
      <c r="K6040" s="62">
        <f>F6040*(G6040-H6040)</f>
        <v/>
      </c>
      <c r="L6040" s="62">
        <f>K6040-(F6040*I6040)</f>
        <v/>
      </c>
      <c r="M6040" s="64">
        <f>L6040/K6040</f>
        <v/>
      </c>
    </row>
    <row r="6041">
      <c r="A6041" s="58" t="inlineStr">
        <is>
          <t>RT20250603-06040</t>
        </is>
      </c>
      <c r="B6041" s="59" t="inlineStr">
        <is>
          <t>2025-06-03</t>
        </is>
      </c>
      <c r="C6041" s="60" t="inlineStr">
        <is>
          <t>Vertex Printer Max-692</t>
        </is>
      </c>
      <c r="D6041" s="58" t="inlineStr">
        <is>
          <t>Office</t>
        </is>
      </c>
      <c r="E6041" s="58" t="inlineStr">
        <is>
          <t>East</t>
        </is>
      </c>
      <c r="F6041" s="61" t="n">
        <v>3</v>
      </c>
      <c r="G6041" s="62" t="n">
        <v>169.56</v>
      </c>
      <c r="H6041" s="63" t="n">
        <v>0.025</v>
      </c>
      <c r="I6041" s="62" t="n">
        <v>124.61</v>
      </c>
      <c r="J6041" s="58" t="inlineStr">
        <is>
          <t>Store</t>
        </is>
      </c>
      <c r="K6041" s="62">
        <f>F6041*(G6041-H6041)</f>
        <v/>
      </c>
      <c r="L6041" s="62">
        <f>K6041-(F6041*I6041)</f>
        <v/>
      </c>
      <c r="M6041" s="64">
        <f>L6041/K6041</f>
        <v/>
      </c>
    </row>
    <row r="6042">
      <c r="A6042" s="58" t="inlineStr">
        <is>
          <t>RT20250603-06041</t>
        </is>
      </c>
      <c r="B6042" s="59" t="inlineStr">
        <is>
          <t>2025-06-03</t>
        </is>
      </c>
      <c r="C6042" s="60" t="inlineStr">
        <is>
          <t>Polar Women Max-927</t>
        </is>
      </c>
      <c r="D6042" s="58" t="inlineStr">
        <is>
          <t>Apparel</t>
        </is>
      </c>
      <c r="E6042" s="58" t="inlineStr">
        <is>
          <t>Central</t>
        </is>
      </c>
      <c r="F6042" s="61" t="n">
        <v>2</v>
      </c>
      <c r="G6042" s="62" t="n">
        <v>115.9</v>
      </c>
      <c r="H6042" s="63" t="n">
        <v>0.074</v>
      </c>
      <c r="I6042" s="62" t="n">
        <v>65.34</v>
      </c>
      <c r="J6042" s="58" t="inlineStr">
        <is>
          <t>Store</t>
        </is>
      </c>
      <c r="K6042" s="62">
        <f>F6042*(G6042-H6042)</f>
        <v/>
      </c>
      <c r="L6042" s="62">
        <f>K6042-(F6042*I6042)</f>
        <v/>
      </c>
      <c r="M6042" s="64">
        <f>L6042/K6042</f>
        <v/>
      </c>
    </row>
    <row r="6043">
      <c r="A6043" s="58" t="inlineStr">
        <is>
          <t>RT20250603-06042</t>
        </is>
      </c>
      <c r="B6043" s="59" t="inlineStr">
        <is>
          <t>2025-06-03</t>
        </is>
      </c>
      <c r="C6043" s="60" t="inlineStr">
        <is>
          <t>Aurora Printer Plus-991</t>
        </is>
      </c>
      <c r="D6043" s="58" t="inlineStr">
        <is>
          <t>Office</t>
        </is>
      </c>
      <c r="E6043" s="58" t="inlineStr">
        <is>
          <t>South</t>
        </is>
      </c>
      <c r="F6043" s="61" t="n">
        <v>1</v>
      </c>
      <c r="G6043" s="62" t="n">
        <v>601.73</v>
      </c>
      <c r="H6043" s="63" t="n">
        <v>0.063</v>
      </c>
      <c r="I6043" s="62" t="n">
        <v>364.34</v>
      </c>
      <c r="J6043" s="58" t="inlineStr">
        <is>
          <t>Online</t>
        </is>
      </c>
      <c r="K6043" s="62">
        <f>F6043*(G6043-H6043)</f>
        <v/>
      </c>
      <c r="L6043" s="62">
        <f>K6043-(F6043*I6043)</f>
        <v/>
      </c>
      <c r="M6043" s="64">
        <f>L6043/K6043</f>
        <v/>
      </c>
    </row>
    <row r="6044">
      <c r="A6044" s="58" t="inlineStr">
        <is>
          <t>RT20250603-06043</t>
        </is>
      </c>
      <c r="B6044" s="59" t="inlineStr">
        <is>
          <t>2025-06-03</t>
        </is>
      </c>
      <c r="C6044" s="60" t="inlineStr">
        <is>
          <t>Vertex Supplie Pro-786</t>
        </is>
      </c>
      <c r="D6044" s="58" t="inlineStr">
        <is>
          <t>Office</t>
        </is>
      </c>
      <c r="E6044" s="58" t="inlineStr">
        <is>
          <t>North</t>
        </is>
      </c>
      <c r="F6044" s="61" t="n">
        <v>2</v>
      </c>
      <c r="G6044" s="62" t="n">
        <v>413.44</v>
      </c>
      <c r="H6044" s="63" t="n">
        <v>0.038</v>
      </c>
      <c r="I6044" s="62" t="n">
        <v>296.56</v>
      </c>
      <c r="J6044" s="58" t="inlineStr">
        <is>
          <t>Online</t>
        </is>
      </c>
      <c r="K6044" s="62">
        <f>F6044*(G6044-H6044)</f>
        <v/>
      </c>
      <c r="L6044" s="62">
        <f>K6044-(F6044*I6044)</f>
        <v/>
      </c>
      <c r="M6044" s="64">
        <f>L6044/K6044</f>
        <v/>
      </c>
    </row>
    <row r="6045">
      <c r="A6045" s="58" t="inlineStr">
        <is>
          <t>RT20250603-06044</t>
        </is>
      </c>
      <c r="B6045" s="59" t="inlineStr">
        <is>
          <t>2025-06-03</t>
        </is>
      </c>
      <c r="C6045" s="60" t="inlineStr">
        <is>
          <t>Polar Decor X-935</t>
        </is>
      </c>
      <c r="D6045" s="58" t="inlineStr">
        <is>
          <t>Home</t>
        </is>
      </c>
      <c r="E6045" s="58" t="inlineStr">
        <is>
          <t>Central</t>
        </is>
      </c>
      <c r="F6045" s="61" t="n">
        <v>3</v>
      </c>
      <c r="G6045" s="62" t="n">
        <v>293.6</v>
      </c>
      <c r="H6045" s="63" t="n">
        <v>0.03</v>
      </c>
      <c r="I6045" s="62" t="n">
        <v>203.88</v>
      </c>
      <c r="J6045" s="58" t="inlineStr">
        <is>
          <t>Online</t>
        </is>
      </c>
      <c r="K6045" s="62">
        <f>F6045*(G6045-H6045)</f>
        <v/>
      </c>
      <c r="L6045" s="62">
        <f>K6045-(F6045*I6045)</f>
        <v/>
      </c>
      <c r="M6045" s="64">
        <f>L6045/K6045</f>
        <v/>
      </c>
    </row>
    <row r="6046">
      <c r="A6046" s="58" t="inlineStr">
        <is>
          <t>RT20250603-06045</t>
        </is>
      </c>
      <c r="B6046" s="59" t="inlineStr">
        <is>
          <t>2025-06-03</t>
        </is>
      </c>
      <c r="C6046" s="60" t="inlineStr">
        <is>
          <t>Falcon Skincare X-334</t>
        </is>
      </c>
      <c r="D6046" s="58" t="inlineStr">
        <is>
          <t>Beauty</t>
        </is>
      </c>
      <c r="E6046" s="58" t="inlineStr">
        <is>
          <t>East</t>
        </is>
      </c>
      <c r="F6046" s="61" t="n">
        <v>1</v>
      </c>
      <c r="G6046" s="62" t="n">
        <v>96.86</v>
      </c>
      <c r="H6046" s="63" t="n">
        <v>0.092</v>
      </c>
      <c r="I6046" s="62" t="n">
        <v>65.48</v>
      </c>
      <c r="J6046" s="58" t="inlineStr">
        <is>
          <t>Online</t>
        </is>
      </c>
      <c r="K6046" s="62">
        <f>F6046*(G6046-H6046)</f>
        <v/>
      </c>
      <c r="L6046" s="62">
        <f>K6046-(F6046*I6046)</f>
        <v/>
      </c>
      <c r="M6046" s="64">
        <f>L6046/K6046</f>
        <v/>
      </c>
    </row>
    <row r="6047">
      <c r="A6047" s="58" t="inlineStr">
        <is>
          <t>RT20250603-06046</t>
        </is>
      </c>
      <c r="B6047" s="59" t="inlineStr">
        <is>
          <t>2025-06-03</t>
        </is>
      </c>
      <c r="C6047" s="60" t="inlineStr">
        <is>
          <t>Falcon Skincare Max-151</t>
        </is>
      </c>
      <c r="D6047" s="58" t="inlineStr">
        <is>
          <t>Beauty</t>
        </is>
      </c>
      <c r="E6047" s="58" t="inlineStr">
        <is>
          <t>Central</t>
        </is>
      </c>
      <c r="F6047" s="61" t="n">
        <v>5</v>
      </c>
      <c r="G6047" s="62" t="n">
        <v>85.38</v>
      </c>
      <c r="H6047" s="63" t="n">
        <v>0.124</v>
      </c>
      <c r="I6047" s="62" t="n">
        <v>57.76</v>
      </c>
      <c r="J6047" s="58" t="inlineStr">
        <is>
          <t>Online</t>
        </is>
      </c>
      <c r="K6047" s="62">
        <f>F6047*(G6047-H6047)</f>
        <v/>
      </c>
      <c r="L6047" s="62">
        <f>K6047-(F6047*I6047)</f>
        <v/>
      </c>
      <c r="M6047" s="64">
        <f>L6047/K6047</f>
        <v/>
      </c>
    </row>
    <row r="6048">
      <c r="A6048" s="58" t="inlineStr">
        <is>
          <t>RT20250603-06047</t>
        </is>
      </c>
      <c r="B6048" s="59" t="inlineStr">
        <is>
          <t>2025-06-03</t>
        </is>
      </c>
      <c r="C6048" s="60" t="inlineStr">
        <is>
          <t>Solace Laptop S-367</t>
        </is>
      </c>
      <c r="D6048" s="58" t="inlineStr">
        <is>
          <t>Electronics</t>
        </is>
      </c>
      <c r="E6048" s="58" t="inlineStr">
        <is>
          <t>South</t>
        </is>
      </c>
      <c r="F6048" s="61" t="n">
        <v>1</v>
      </c>
      <c r="G6048" s="62" t="n">
        <v>2179.19</v>
      </c>
      <c r="H6048" s="63" t="n">
        <v>0.053</v>
      </c>
      <c r="I6048" s="62" t="n">
        <v>1594.08</v>
      </c>
      <c r="J6048" s="58" t="inlineStr">
        <is>
          <t>Store</t>
        </is>
      </c>
      <c r="K6048" s="62">
        <f>F6048*(G6048-H6048)</f>
        <v/>
      </c>
      <c r="L6048" s="62">
        <f>K6048-(F6048*I6048)</f>
        <v/>
      </c>
      <c r="M6048" s="64">
        <f>L6048/K6048</f>
        <v/>
      </c>
    </row>
    <row r="6049">
      <c r="A6049" s="58" t="inlineStr">
        <is>
          <t>RT20250603-06048</t>
        </is>
      </c>
      <c r="B6049" s="59" t="inlineStr">
        <is>
          <t>2025-06-03</t>
        </is>
      </c>
      <c r="C6049" s="60" t="inlineStr">
        <is>
          <t>Falcon Household Pro-865</t>
        </is>
      </c>
      <c r="D6049" s="58" t="inlineStr">
        <is>
          <t>Grocery</t>
        </is>
      </c>
      <c r="E6049" s="58" t="inlineStr">
        <is>
          <t>Central</t>
        </is>
      </c>
      <c r="F6049" s="61" t="n">
        <v>3</v>
      </c>
      <c r="G6049" s="62" t="n">
        <v>10.69</v>
      </c>
      <c r="H6049" s="63" t="n">
        <v>0.006</v>
      </c>
      <c r="I6049" s="62" t="n">
        <v>7.82</v>
      </c>
      <c r="J6049" s="58" t="inlineStr">
        <is>
          <t>Online</t>
        </is>
      </c>
      <c r="K6049" s="62">
        <f>F6049*(G6049-H6049)</f>
        <v/>
      </c>
      <c r="L6049" s="62">
        <f>K6049-(F6049*I6049)</f>
        <v/>
      </c>
      <c r="M6049" s="64">
        <f>L6049/K6049</f>
        <v/>
      </c>
    </row>
    <row r="6050">
      <c r="A6050" s="58" t="inlineStr">
        <is>
          <t>RT20250603-06049</t>
        </is>
      </c>
      <c r="B6050" s="59" t="inlineStr">
        <is>
          <t>2025-06-03</t>
        </is>
      </c>
      <c r="C6050" s="60" t="inlineStr">
        <is>
          <t>Orion Snack X-322</t>
        </is>
      </c>
      <c r="D6050" s="58" t="inlineStr">
        <is>
          <t>Grocery</t>
        </is>
      </c>
      <c r="E6050" s="58" t="inlineStr">
        <is>
          <t>East</t>
        </is>
      </c>
      <c r="F6050" s="61" t="n">
        <v>8</v>
      </c>
      <c r="G6050" s="62" t="n">
        <v>13.32</v>
      </c>
      <c r="H6050" s="63" t="n">
        <v>0.037</v>
      </c>
      <c r="I6050" s="62" t="n">
        <v>10.06</v>
      </c>
      <c r="J6050" s="58" t="inlineStr">
        <is>
          <t>Online</t>
        </is>
      </c>
      <c r="K6050" s="62">
        <f>F6050*(G6050-H6050)</f>
        <v/>
      </c>
      <c r="L6050" s="62">
        <f>K6050-(F6050*I6050)</f>
        <v/>
      </c>
      <c r="M6050" s="64">
        <f>L6050/K6050</f>
        <v/>
      </c>
    </row>
    <row r="6051">
      <c r="A6051" s="58" t="inlineStr">
        <is>
          <t>RT20250603-06050</t>
        </is>
      </c>
      <c r="B6051" s="59" t="inlineStr">
        <is>
          <t>2025-06-03</t>
        </is>
      </c>
      <c r="C6051" s="60" t="inlineStr">
        <is>
          <t>Polar Snack Pro-641</t>
        </is>
      </c>
      <c r="D6051" s="58" t="inlineStr">
        <is>
          <t>Grocery</t>
        </is>
      </c>
      <c r="E6051" s="58" t="inlineStr">
        <is>
          <t>East</t>
        </is>
      </c>
      <c r="F6051" s="61" t="n">
        <v>8</v>
      </c>
      <c r="G6051" s="62" t="n">
        <v>13.39</v>
      </c>
      <c r="H6051" s="63" t="n">
        <v>0.08799999999999999</v>
      </c>
      <c r="I6051" s="62" t="n">
        <v>9.359999999999999</v>
      </c>
      <c r="J6051" s="58" t="inlineStr">
        <is>
          <t>Online</t>
        </is>
      </c>
      <c r="K6051" s="62">
        <f>F6051*(G6051-H6051)</f>
        <v/>
      </c>
      <c r="L6051" s="62">
        <f>K6051-(F6051*I6051)</f>
        <v/>
      </c>
      <c r="M6051" s="64">
        <f>L6051/K6051</f>
        <v/>
      </c>
    </row>
    <row r="6052">
      <c r="A6052" s="58" t="inlineStr">
        <is>
          <t>RT20250603-06051</t>
        </is>
      </c>
      <c r="B6052" s="59" t="inlineStr">
        <is>
          <t>2025-06-03</t>
        </is>
      </c>
      <c r="C6052" s="60" t="inlineStr">
        <is>
          <t>Nimbus Fitnes Lite-516</t>
        </is>
      </c>
      <c r="D6052" s="58" t="inlineStr">
        <is>
          <t>Sports</t>
        </is>
      </c>
      <c r="E6052" s="58" t="inlineStr">
        <is>
          <t>Central</t>
        </is>
      </c>
      <c r="F6052" s="61" t="n">
        <v>2</v>
      </c>
      <c r="G6052" s="62" t="n">
        <v>731.03</v>
      </c>
      <c r="H6052" s="63" t="n">
        <v>0.074</v>
      </c>
      <c r="I6052" s="62" t="n">
        <v>467.84</v>
      </c>
      <c r="J6052" s="58" t="inlineStr">
        <is>
          <t>Online</t>
        </is>
      </c>
      <c r="K6052" s="62">
        <f>F6052*(G6052-H6052)</f>
        <v/>
      </c>
      <c r="L6052" s="62">
        <f>K6052-(F6052*I6052)</f>
        <v/>
      </c>
      <c r="M6052" s="64">
        <f>L6052/K6052</f>
        <v/>
      </c>
    </row>
    <row r="6053">
      <c r="A6053" s="58" t="inlineStr">
        <is>
          <t>RT20250603-06052</t>
        </is>
      </c>
      <c r="B6053" s="59" t="inlineStr">
        <is>
          <t>2025-06-03</t>
        </is>
      </c>
      <c r="C6053" s="60" t="inlineStr">
        <is>
          <t>Solace Headphone Pro-344</t>
        </is>
      </c>
      <c r="D6053" s="58" t="inlineStr">
        <is>
          <t>Electronics</t>
        </is>
      </c>
      <c r="E6053" s="58" t="inlineStr">
        <is>
          <t>West</t>
        </is>
      </c>
      <c r="F6053" s="61" t="n">
        <v>2</v>
      </c>
      <c r="G6053" s="62" t="n">
        <v>1271.94</v>
      </c>
      <c r="H6053" s="63" t="n">
        <v>0.042</v>
      </c>
      <c r="I6053" s="62" t="n">
        <v>1063.59</v>
      </c>
      <c r="J6053" s="58" t="inlineStr">
        <is>
          <t>Store</t>
        </is>
      </c>
      <c r="K6053" s="62">
        <f>F6053*(G6053-H6053)</f>
        <v/>
      </c>
      <c r="L6053" s="62">
        <f>K6053-(F6053*I6053)</f>
        <v/>
      </c>
      <c r="M6053" s="64">
        <f>L6053/K6053</f>
        <v/>
      </c>
    </row>
    <row r="6054">
      <c r="A6054" s="58" t="inlineStr">
        <is>
          <t>RT20250603-06053</t>
        </is>
      </c>
      <c r="B6054" s="59" t="inlineStr">
        <is>
          <t>2025-06-03</t>
        </is>
      </c>
      <c r="C6054" s="60" t="inlineStr">
        <is>
          <t>Nimbus Cycling Plus-911</t>
        </is>
      </c>
      <c r="D6054" s="58" t="inlineStr">
        <is>
          <t>Sports</t>
        </is>
      </c>
      <c r="E6054" s="58" t="inlineStr">
        <is>
          <t>West</t>
        </is>
      </c>
      <c r="F6054" s="61" t="n">
        <v>1</v>
      </c>
      <c r="G6054" s="62" t="n">
        <v>642.77</v>
      </c>
      <c r="H6054" s="63" t="n">
        <v>0.065</v>
      </c>
      <c r="I6054" s="62" t="n">
        <v>398.77</v>
      </c>
      <c r="J6054" s="58" t="inlineStr">
        <is>
          <t>Store</t>
        </is>
      </c>
      <c r="K6054" s="62">
        <f>F6054*(G6054-H6054)</f>
        <v/>
      </c>
      <c r="L6054" s="62">
        <f>K6054-(F6054*I6054)</f>
        <v/>
      </c>
      <c r="M6054" s="64">
        <f>L6054/K6054</f>
        <v/>
      </c>
    </row>
    <row r="6055">
      <c r="A6055" s="58" t="inlineStr">
        <is>
          <t>RT20250603-06054</t>
        </is>
      </c>
      <c r="B6055" s="59" t="inlineStr">
        <is>
          <t>2025-06-03</t>
        </is>
      </c>
      <c r="C6055" s="60" t="inlineStr">
        <is>
          <t>Polar Pantry Lite-392</t>
        </is>
      </c>
      <c r="D6055" s="58" t="inlineStr">
        <is>
          <t>Grocery</t>
        </is>
      </c>
      <c r="E6055" s="58" t="inlineStr">
        <is>
          <t>East</t>
        </is>
      </c>
      <c r="F6055" s="61" t="n">
        <v>6</v>
      </c>
      <c r="G6055" s="62" t="n">
        <v>6.82</v>
      </c>
      <c r="H6055" s="63" t="n">
        <v>0.095</v>
      </c>
      <c r="I6055" s="62" t="n">
        <v>4.49</v>
      </c>
      <c r="J6055" s="58" t="inlineStr">
        <is>
          <t>Store</t>
        </is>
      </c>
      <c r="K6055" s="62">
        <f>F6055*(G6055-H6055)</f>
        <v/>
      </c>
      <c r="L6055" s="62">
        <f>K6055-(F6055*I6055)</f>
        <v/>
      </c>
      <c r="M6055" s="64">
        <f>L6055/K6055</f>
        <v/>
      </c>
    </row>
    <row r="6056">
      <c r="A6056" s="58" t="inlineStr">
        <is>
          <t>RT20250603-06055</t>
        </is>
      </c>
      <c r="B6056" s="59" t="inlineStr">
        <is>
          <t>2025-06-03</t>
        </is>
      </c>
      <c r="C6056" s="60" t="inlineStr">
        <is>
          <t>Aurora Wearable Lite-162</t>
        </is>
      </c>
      <c r="D6056" s="58" t="inlineStr">
        <is>
          <t>Electronics</t>
        </is>
      </c>
      <c r="E6056" s="58" t="inlineStr">
        <is>
          <t>Central</t>
        </is>
      </c>
      <c r="F6056" s="61" t="n">
        <v>1</v>
      </c>
      <c r="G6056" s="62" t="n">
        <v>1482.75</v>
      </c>
      <c r="H6056" s="63" t="n">
        <v>0.042</v>
      </c>
      <c r="I6056" s="62" t="n">
        <v>1188.34</v>
      </c>
      <c r="J6056" s="58" t="inlineStr">
        <is>
          <t>Online</t>
        </is>
      </c>
      <c r="K6056" s="62">
        <f>F6056*(G6056-H6056)</f>
        <v/>
      </c>
      <c r="L6056" s="62">
        <f>K6056-(F6056*I6056)</f>
        <v/>
      </c>
      <c r="M6056" s="64">
        <f>L6056/K6056</f>
        <v/>
      </c>
    </row>
    <row r="6057">
      <c r="A6057" s="58" t="inlineStr">
        <is>
          <t>RT20250603-06056</t>
        </is>
      </c>
      <c r="B6057" s="59" t="inlineStr">
        <is>
          <t>2025-06-03</t>
        </is>
      </c>
      <c r="C6057" s="60" t="inlineStr">
        <is>
          <t>Vertex Men X-995</t>
        </is>
      </c>
      <c r="D6057" s="58" t="inlineStr">
        <is>
          <t>Apparel</t>
        </is>
      </c>
      <c r="E6057" s="58" t="inlineStr">
        <is>
          <t>West</t>
        </is>
      </c>
      <c r="F6057" s="61" t="n">
        <v>1</v>
      </c>
      <c r="G6057" s="62" t="n">
        <v>110.95</v>
      </c>
      <c r="H6057" s="63" t="n">
        <v>0.08400000000000001</v>
      </c>
      <c r="I6057" s="62" t="n">
        <v>56.41</v>
      </c>
      <c r="J6057" s="58" t="inlineStr">
        <is>
          <t>Store</t>
        </is>
      </c>
      <c r="K6057" s="62">
        <f>F6057*(G6057-H6057)</f>
        <v/>
      </c>
      <c r="L6057" s="62">
        <f>K6057-(F6057*I6057)</f>
        <v/>
      </c>
      <c r="M6057" s="64">
        <f>L6057/K6057</f>
        <v/>
      </c>
    </row>
    <row r="6058">
      <c r="A6058" s="58" t="inlineStr">
        <is>
          <t>RT20250603-06057</t>
        </is>
      </c>
      <c r="B6058" s="59" t="inlineStr">
        <is>
          <t>2025-06-03</t>
        </is>
      </c>
      <c r="C6058" s="60" t="inlineStr">
        <is>
          <t>Falcon Headphone Pro-713</t>
        </is>
      </c>
      <c r="D6058" s="58" t="inlineStr">
        <is>
          <t>Electronics</t>
        </is>
      </c>
      <c r="E6058" s="58" t="inlineStr">
        <is>
          <t>East</t>
        </is>
      </c>
      <c r="F6058" s="61" t="n">
        <v>1</v>
      </c>
      <c r="G6058" s="62" t="n">
        <v>1588.5</v>
      </c>
      <c r="H6058" s="63" t="n">
        <v>0.065</v>
      </c>
      <c r="I6058" s="62" t="n">
        <v>1154.36</v>
      </c>
      <c r="J6058" s="58" t="inlineStr">
        <is>
          <t>Online</t>
        </is>
      </c>
      <c r="K6058" s="62">
        <f>F6058*(G6058-H6058)</f>
        <v/>
      </c>
      <c r="L6058" s="62">
        <f>K6058-(F6058*I6058)</f>
        <v/>
      </c>
      <c r="M6058" s="64">
        <f>L6058/K6058</f>
        <v/>
      </c>
    </row>
    <row r="6059">
      <c r="A6059" s="58" t="inlineStr">
        <is>
          <t>RT20250603-06058</t>
        </is>
      </c>
      <c r="B6059" s="59" t="inlineStr">
        <is>
          <t>2025-06-03</t>
        </is>
      </c>
      <c r="C6059" s="60" t="inlineStr">
        <is>
          <t>Nimbus Fitnes Lite-516</t>
        </is>
      </c>
      <c r="D6059" s="58" t="inlineStr">
        <is>
          <t>Sports</t>
        </is>
      </c>
      <c r="E6059" s="58" t="inlineStr">
        <is>
          <t>West</t>
        </is>
      </c>
      <c r="F6059" s="61" t="n">
        <v>2</v>
      </c>
      <c r="G6059" s="62" t="n">
        <v>692.21</v>
      </c>
      <c r="H6059" s="63" t="n">
        <v>0.073</v>
      </c>
      <c r="I6059" s="62" t="n">
        <v>484.88</v>
      </c>
      <c r="J6059" s="58" t="inlineStr">
        <is>
          <t>Store</t>
        </is>
      </c>
      <c r="K6059" s="62">
        <f>F6059*(G6059-H6059)</f>
        <v/>
      </c>
      <c r="L6059" s="62">
        <f>K6059-(F6059*I6059)</f>
        <v/>
      </c>
      <c r="M6059" s="64">
        <f>L6059/K6059</f>
        <v/>
      </c>
    </row>
    <row r="6060">
      <c r="A6060" s="58" t="inlineStr">
        <is>
          <t>RT20250603-06059</t>
        </is>
      </c>
      <c r="B6060" s="59" t="inlineStr">
        <is>
          <t>2025-06-03</t>
        </is>
      </c>
      <c r="C6060" s="60" t="inlineStr">
        <is>
          <t>Aurora Fitnes Lite-194</t>
        </is>
      </c>
      <c r="D6060" s="58" t="inlineStr">
        <is>
          <t>Sports</t>
        </is>
      </c>
      <c r="E6060" s="58" t="inlineStr">
        <is>
          <t>East</t>
        </is>
      </c>
      <c r="F6060" s="61" t="n">
        <v>1</v>
      </c>
      <c r="G6060" s="62" t="n">
        <v>741.66</v>
      </c>
      <c r="H6060" s="63" t="n">
        <v>0.08</v>
      </c>
      <c r="I6060" s="62" t="n">
        <v>470.57</v>
      </c>
      <c r="J6060" s="58" t="inlineStr">
        <is>
          <t>Store</t>
        </is>
      </c>
      <c r="K6060" s="62">
        <f>F6060*(G6060-H6060)</f>
        <v/>
      </c>
      <c r="L6060" s="62">
        <f>K6060-(F6060*I6060)</f>
        <v/>
      </c>
      <c r="M6060" s="64">
        <f>L6060/K6060</f>
        <v/>
      </c>
    </row>
    <row r="6061">
      <c r="A6061" s="58" t="inlineStr">
        <is>
          <t>RT20250603-06060</t>
        </is>
      </c>
      <c r="B6061" s="59" t="inlineStr">
        <is>
          <t>2025-06-03</t>
        </is>
      </c>
      <c r="C6061" s="60" t="inlineStr">
        <is>
          <t>Polar Outdoor Lite-318</t>
        </is>
      </c>
      <c r="D6061" s="58" t="inlineStr">
        <is>
          <t>Sports</t>
        </is>
      </c>
      <c r="E6061" s="58" t="inlineStr">
        <is>
          <t>West</t>
        </is>
      </c>
      <c r="F6061" s="61" t="n">
        <v>2</v>
      </c>
      <c r="G6061" s="62" t="n">
        <v>696.1799999999999</v>
      </c>
      <c r="H6061" s="63" t="n">
        <v>0.003</v>
      </c>
      <c r="I6061" s="62" t="n">
        <v>470.13</v>
      </c>
      <c r="J6061" s="58" t="inlineStr">
        <is>
          <t>Store</t>
        </is>
      </c>
      <c r="K6061" s="62">
        <f>F6061*(G6061-H6061)</f>
        <v/>
      </c>
      <c r="L6061" s="62">
        <f>K6061-(F6061*I6061)</f>
        <v/>
      </c>
      <c r="M6061" s="64">
        <f>L6061/K6061</f>
        <v/>
      </c>
    </row>
    <row r="6062">
      <c r="A6062" s="58" t="inlineStr">
        <is>
          <t>RT20250603-06061</t>
        </is>
      </c>
      <c r="B6062" s="59" t="inlineStr">
        <is>
          <t>2025-06-03</t>
        </is>
      </c>
      <c r="C6062" s="60" t="inlineStr">
        <is>
          <t>Orion Beverage Plus-949</t>
        </is>
      </c>
      <c r="D6062" s="58" t="inlineStr">
        <is>
          <t>Grocery</t>
        </is>
      </c>
      <c r="E6062" s="58" t="inlineStr">
        <is>
          <t>Central</t>
        </is>
      </c>
      <c r="F6062" s="61" t="n">
        <v>5</v>
      </c>
      <c r="G6062" s="62" t="n">
        <v>19.24</v>
      </c>
      <c r="H6062" s="63" t="n">
        <v>0.016</v>
      </c>
      <c r="I6062" s="62" t="n">
        <v>13.66</v>
      </c>
      <c r="J6062" s="58" t="inlineStr">
        <is>
          <t>Store</t>
        </is>
      </c>
      <c r="K6062" s="62">
        <f>F6062*(G6062-H6062)</f>
        <v/>
      </c>
      <c r="L6062" s="62">
        <f>K6062-(F6062*I6062)</f>
        <v/>
      </c>
      <c r="M6062" s="64">
        <f>L6062/K6062</f>
        <v/>
      </c>
    </row>
    <row r="6063">
      <c r="A6063" s="58" t="inlineStr">
        <is>
          <t>RT20250603-06062</t>
        </is>
      </c>
      <c r="B6063" s="59" t="inlineStr">
        <is>
          <t>2025-06-03</t>
        </is>
      </c>
      <c r="C6063" s="60" t="inlineStr">
        <is>
          <t>Polar Bedding Lite-243</t>
        </is>
      </c>
      <c r="D6063" s="58" t="inlineStr">
        <is>
          <t>Home</t>
        </is>
      </c>
      <c r="E6063" s="58" t="inlineStr">
        <is>
          <t>South</t>
        </is>
      </c>
      <c r="F6063" s="61" t="n">
        <v>3</v>
      </c>
      <c r="G6063" s="62" t="n">
        <v>466.03</v>
      </c>
      <c r="H6063" s="63" t="n">
        <v>0.046</v>
      </c>
      <c r="I6063" s="62" t="n">
        <v>317.35</v>
      </c>
      <c r="J6063" s="58" t="inlineStr">
        <is>
          <t>Store</t>
        </is>
      </c>
      <c r="K6063" s="62">
        <f>F6063*(G6063-H6063)</f>
        <v/>
      </c>
      <c r="L6063" s="62">
        <f>K6063-(F6063*I6063)</f>
        <v/>
      </c>
      <c r="M6063" s="64">
        <f>L6063/K6063</f>
        <v/>
      </c>
    </row>
    <row r="6064">
      <c r="A6064" s="58" t="inlineStr">
        <is>
          <t>RT20250603-06063</t>
        </is>
      </c>
      <c r="B6064" s="59" t="inlineStr">
        <is>
          <t>2025-06-03</t>
        </is>
      </c>
      <c r="C6064" s="60" t="inlineStr">
        <is>
          <t>Aurora Fragrance S-971</t>
        </is>
      </c>
      <c r="D6064" s="58" t="inlineStr">
        <is>
          <t>Beauty</t>
        </is>
      </c>
      <c r="E6064" s="58" t="inlineStr">
        <is>
          <t>North</t>
        </is>
      </c>
      <c r="F6064" s="61" t="n">
        <v>1</v>
      </c>
      <c r="G6064" s="62" t="n">
        <v>108.6</v>
      </c>
      <c r="H6064" s="63" t="n">
        <v>0.082</v>
      </c>
      <c r="I6064" s="62" t="n">
        <v>65.64</v>
      </c>
      <c r="J6064" s="58" t="inlineStr">
        <is>
          <t>Online</t>
        </is>
      </c>
      <c r="K6064" s="62">
        <f>F6064*(G6064-H6064)</f>
        <v/>
      </c>
      <c r="L6064" s="62">
        <f>K6064-(F6064*I6064)</f>
        <v/>
      </c>
      <c r="M6064" s="64">
        <f>L6064/K6064</f>
        <v/>
      </c>
    </row>
    <row r="6065">
      <c r="A6065" s="58" t="inlineStr">
        <is>
          <t>RT20250603-06064</t>
        </is>
      </c>
      <c r="B6065" s="59" t="inlineStr">
        <is>
          <t>2025-06-03</t>
        </is>
      </c>
      <c r="C6065" s="60" t="inlineStr">
        <is>
          <t>Vertex Appliance Max-338</t>
        </is>
      </c>
      <c r="D6065" s="58" t="inlineStr">
        <is>
          <t>Home</t>
        </is>
      </c>
      <c r="E6065" s="58" t="inlineStr">
        <is>
          <t>East</t>
        </is>
      </c>
      <c r="F6065" s="61" t="n">
        <v>2</v>
      </c>
      <c r="G6065" s="62" t="n">
        <v>398.25</v>
      </c>
      <c r="H6065" s="63" t="n">
        <v>0.076</v>
      </c>
      <c r="I6065" s="62" t="n">
        <v>283</v>
      </c>
      <c r="J6065" s="58" t="inlineStr">
        <is>
          <t>Store</t>
        </is>
      </c>
      <c r="K6065" s="62">
        <f>F6065*(G6065-H6065)</f>
        <v/>
      </c>
      <c r="L6065" s="62">
        <f>K6065-(F6065*I6065)</f>
        <v/>
      </c>
      <c r="M6065" s="64">
        <f>L6065/K6065</f>
        <v/>
      </c>
    </row>
    <row r="6066">
      <c r="A6066" s="58" t="inlineStr">
        <is>
          <t>RT20250603-06065</t>
        </is>
      </c>
      <c r="B6066" s="59" t="inlineStr">
        <is>
          <t>2025-06-03</t>
        </is>
      </c>
      <c r="C6066" s="60" t="inlineStr">
        <is>
          <t>Falcon Household Plus-796</t>
        </is>
      </c>
      <c r="D6066" s="58" t="inlineStr">
        <is>
          <t>Grocery</t>
        </is>
      </c>
      <c r="E6066" s="58" t="inlineStr">
        <is>
          <t>East</t>
        </is>
      </c>
      <c r="F6066" s="61" t="n">
        <v>8</v>
      </c>
      <c r="G6066" s="62" t="n">
        <v>25.43</v>
      </c>
      <c r="H6066" s="63" t="n">
        <v>0.058</v>
      </c>
      <c r="I6066" s="62" t="n">
        <v>17.53</v>
      </c>
      <c r="J6066" s="58" t="inlineStr">
        <is>
          <t>Store</t>
        </is>
      </c>
      <c r="K6066" s="62">
        <f>F6066*(G6066-H6066)</f>
        <v/>
      </c>
      <c r="L6066" s="62">
        <f>K6066-(F6066*I6066)</f>
        <v/>
      </c>
      <c r="M6066" s="64">
        <f>L6066/K6066</f>
        <v/>
      </c>
    </row>
    <row r="6067">
      <c r="A6067" s="58" t="inlineStr">
        <is>
          <t>RT20250603-06066</t>
        </is>
      </c>
      <c r="B6067" s="59" t="inlineStr">
        <is>
          <t>2025-06-03</t>
        </is>
      </c>
      <c r="C6067" s="60" t="inlineStr">
        <is>
          <t>Orion Kitchen Pro-568</t>
        </is>
      </c>
      <c r="D6067" s="58" t="inlineStr">
        <is>
          <t>Home</t>
        </is>
      </c>
      <c r="E6067" s="58" t="inlineStr">
        <is>
          <t>West</t>
        </is>
      </c>
      <c r="F6067" s="61" t="n">
        <v>3</v>
      </c>
      <c r="G6067" s="62" t="n">
        <v>486.48</v>
      </c>
      <c r="H6067" s="63" t="n">
        <v>0.116</v>
      </c>
      <c r="I6067" s="62" t="n">
        <v>309.57</v>
      </c>
      <c r="J6067" s="58" t="inlineStr">
        <is>
          <t>Store</t>
        </is>
      </c>
      <c r="K6067" s="62">
        <f>F6067*(G6067-H6067)</f>
        <v/>
      </c>
      <c r="L6067" s="62">
        <f>K6067-(F6067*I6067)</f>
        <v/>
      </c>
      <c r="M6067" s="64">
        <f>L6067/K6067</f>
        <v/>
      </c>
    </row>
    <row r="6068">
      <c r="A6068" s="58" t="inlineStr">
        <is>
          <t>RT20250603-06067</t>
        </is>
      </c>
      <c r="B6068" s="59" t="inlineStr">
        <is>
          <t>2025-06-03</t>
        </is>
      </c>
      <c r="C6068" s="60" t="inlineStr">
        <is>
          <t>Nimbus Furniture Pro-479</t>
        </is>
      </c>
      <c r="D6068" s="58" t="inlineStr">
        <is>
          <t>Office</t>
        </is>
      </c>
      <c r="E6068" s="58" t="inlineStr">
        <is>
          <t>East</t>
        </is>
      </c>
      <c r="F6068" s="61" t="n">
        <v>1</v>
      </c>
      <c r="G6068" s="62" t="n">
        <v>293.27</v>
      </c>
      <c r="H6068" s="63" t="n">
        <v>0.037</v>
      </c>
      <c r="I6068" s="62" t="n">
        <v>236.55</v>
      </c>
      <c r="J6068" s="58" t="inlineStr">
        <is>
          <t>Online</t>
        </is>
      </c>
      <c r="K6068" s="62">
        <f>F6068*(G6068-H6068)</f>
        <v/>
      </c>
      <c r="L6068" s="62">
        <f>K6068-(F6068*I6068)</f>
        <v/>
      </c>
      <c r="M6068" s="64">
        <f>L6068/K6068</f>
        <v/>
      </c>
    </row>
    <row r="6069">
      <c r="A6069" s="58" t="inlineStr">
        <is>
          <t>RT20250603-06068</t>
        </is>
      </c>
      <c r="B6069" s="59" t="inlineStr">
        <is>
          <t>2025-06-03</t>
        </is>
      </c>
      <c r="C6069" s="60" t="inlineStr">
        <is>
          <t>Orion Haircare Plus-887</t>
        </is>
      </c>
      <c r="D6069" s="58" t="inlineStr">
        <is>
          <t>Beauty</t>
        </is>
      </c>
      <c r="E6069" s="58" t="inlineStr">
        <is>
          <t>East</t>
        </is>
      </c>
      <c r="F6069" s="61" t="n">
        <v>1</v>
      </c>
      <c r="G6069" s="62" t="n">
        <v>44.34</v>
      </c>
      <c r="H6069" s="63" t="n">
        <v>0.024</v>
      </c>
      <c r="I6069" s="62" t="n">
        <v>31.2</v>
      </c>
      <c r="J6069" s="58" t="inlineStr">
        <is>
          <t>Store</t>
        </is>
      </c>
      <c r="K6069" s="62">
        <f>F6069*(G6069-H6069)</f>
        <v/>
      </c>
      <c r="L6069" s="62">
        <f>K6069-(F6069*I6069)</f>
        <v/>
      </c>
      <c r="M6069" s="64">
        <f>L6069/K6069</f>
        <v/>
      </c>
    </row>
    <row r="6070">
      <c r="A6070" s="58" t="inlineStr">
        <is>
          <t>RT20250603-06069</t>
        </is>
      </c>
      <c r="B6070" s="59" t="inlineStr">
        <is>
          <t>2025-06-03</t>
        </is>
      </c>
      <c r="C6070" s="60" t="inlineStr">
        <is>
          <t>Polar Women Max-927</t>
        </is>
      </c>
      <c r="D6070" s="58" t="inlineStr">
        <is>
          <t>Apparel</t>
        </is>
      </c>
      <c r="E6070" s="58" t="inlineStr">
        <is>
          <t>West</t>
        </is>
      </c>
      <c r="F6070" s="61" t="n">
        <v>1</v>
      </c>
      <c r="G6070" s="62" t="n">
        <v>117.72</v>
      </c>
      <c r="H6070" s="63" t="n">
        <v>0.048</v>
      </c>
      <c r="I6070" s="62" t="n">
        <v>66.47</v>
      </c>
      <c r="J6070" s="58" t="inlineStr">
        <is>
          <t>Store</t>
        </is>
      </c>
      <c r="K6070" s="62">
        <f>F6070*(G6070-H6070)</f>
        <v/>
      </c>
      <c r="L6070" s="62">
        <f>K6070-(F6070*I6070)</f>
        <v/>
      </c>
      <c r="M6070" s="64">
        <f>L6070/K6070</f>
        <v/>
      </c>
    </row>
    <row r="6071">
      <c r="A6071" s="58" t="inlineStr">
        <is>
          <t>RT20250603-06070</t>
        </is>
      </c>
      <c r="B6071" s="59" t="inlineStr">
        <is>
          <t>2025-06-03</t>
        </is>
      </c>
      <c r="C6071" s="60" t="inlineStr">
        <is>
          <t>Orion Fragrance Lite-785</t>
        </is>
      </c>
      <c r="D6071" s="58" t="inlineStr">
        <is>
          <t>Beauty</t>
        </is>
      </c>
      <c r="E6071" s="58" t="inlineStr">
        <is>
          <t>Central</t>
        </is>
      </c>
      <c r="F6071" s="61" t="n">
        <v>1</v>
      </c>
      <c r="G6071" s="62" t="n">
        <v>43.43</v>
      </c>
      <c r="H6071" s="63" t="n">
        <v>0.101</v>
      </c>
      <c r="I6071" s="62" t="n">
        <v>26.15</v>
      </c>
      <c r="J6071" s="58" t="inlineStr">
        <is>
          <t>Store</t>
        </is>
      </c>
      <c r="K6071" s="62">
        <f>F6071*(G6071-H6071)</f>
        <v/>
      </c>
      <c r="L6071" s="62">
        <f>K6071-(F6071*I6071)</f>
        <v/>
      </c>
      <c r="M6071" s="64">
        <f>L6071/K6071</f>
        <v/>
      </c>
    </row>
    <row r="6072">
      <c r="A6072" s="58" t="inlineStr">
        <is>
          <t>RT20250603-06071</t>
        </is>
      </c>
      <c r="B6072" s="59" t="inlineStr">
        <is>
          <t>2025-06-03</t>
        </is>
      </c>
      <c r="C6072" s="60" t="inlineStr">
        <is>
          <t>Vertex Appliance Max-338</t>
        </is>
      </c>
      <c r="D6072" s="58" t="inlineStr">
        <is>
          <t>Home</t>
        </is>
      </c>
      <c r="E6072" s="58" t="inlineStr">
        <is>
          <t>West</t>
        </is>
      </c>
      <c r="F6072" s="61" t="n">
        <v>2</v>
      </c>
      <c r="G6072" s="62" t="n">
        <v>474.56</v>
      </c>
      <c r="H6072" s="63" t="n">
        <v>0.11</v>
      </c>
      <c r="I6072" s="62" t="n">
        <v>294.85</v>
      </c>
      <c r="J6072" s="58" t="inlineStr">
        <is>
          <t>Store</t>
        </is>
      </c>
      <c r="K6072" s="62">
        <f>F6072*(G6072-H6072)</f>
        <v/>
      </c>
      <c r="L6072" s="62">
        <f>K6072-(F6072*I6072)</f>
        <v/>
      </c>
      <c r="M6072" s="64">
        <f>L6072/K6072</f>
        <v/>
      </c>
    </row>
    <row r="6073">
      <c r="A6073" s="58" t="inlineStr">
        <is>
          <t>RT20250603-06072</t>
        </is>
      </c>
      <c r="B6073" s="59" t="inlineStr">
        <is>
          <t>2025-06-03</t>
        </is>
      </c>
      <c r="C6073" s="60" t="inlineStr">
        <is>
          <t>Metro Beverage Max-490</t>
        </is>
      </c>
      <c r="D6073" s="58" t="inlineStr">
        <is>
          <t>Grocery</t>
        </is>
      </c>
      <c r="E6073" s="58" t="inlineStr">
        <is>
          <t>West</t>
        </is>
      </c>
      <c r="F6073" s="61" t="n">
        <v>2</v>
      </c>
      <c r="G6073" s="62" t="n">
        <v>10.94</v>
      </c>
      <c r="H6073" s="63" t="n">
        <v>0.136</v>
      </c>
      <c r="I6073" s="62" t="n">
        <v>8.08</v>
      </c>
      <c r="J6073" s="58" t="inlineStr">
        <is>
          <t>Online</t>
        </is>
      </c>
      <c r="K6073" s="62">
        <f>F6073*(G6073-H6073)</f>
        <v/>
      </c>
      <c r="L6073" s="62">
        <f>K6073-(F6073*I6073)</f>
        <v/>
      </c>
      <c r="M6073" s="64">
        <f>L6073/K6073</f>
        <v/>
      </c>
    </row>
    <row r="6074">
      <c r="A6074" s="58" t="inlineStr">
        <is>
          <t>RT20250603-06073</t>
        </is>
      </c>
      <c r="B6074" s="59" t="inlineStr">
        <is>
          <t>2025-06-03</t>
        </is>
      </c>
      <c r="C6074" s="60" t="inlineStr">
        <is>
          <t>Aurora Household Plus-146</t>
        </is>
      </c>
      <c r="D6074" s="58" t="inlineStr">
        <is>
          <t>Grocery</t>
        </is>
      </c>
      <c r="E6074" s="58" t="inlineStr">
        <is>
          <t>Central</t>
        </is>
      </c>
      <c r="F6074" s="61" t="n">
        <v>4</v>
      </c>
      <c r="G6074" s="62" t="n">
        <v>5.22</v>
      </c>
      <c r="H6074" s="63" t="n">
        <v>0.077</v>
      </c>
      <c r="I6074" s="62" t="n">
        <v>4.49</v>
      </c>
      <c r="J6074" s="58" t="inlineStr">
        <is>
          <t>Store</t>
        </is>
      </c>
      <c r="K6074" s="62">
        <f>F6074*(G6074-H6074)</f>
        <v/>
      </c>
      <c r="L6074" s="62">
        <f>K6074-(F6074*I6074)</f>
        <v/>
      </c>
      <c r="M6074" s="64">
        <f>L6074/K6074</f>
        <v/>
      </c>
    </row>
    <row r="6075">
      <c r="A6075" s="58" t="inlineStr">
        <is>
          <t>RT20250604-06074</t>
        </is>
      </c>
      <c r="B6075" s="59" t="inlineStr">
        <is>
          <t>2025-06-04</t>
        </is>
      </c>
      <c r="C6075" s="60" t="inlineStr">
        <is>
          <t>Aurora Team Sport Plus-256</t>
        </is>
      </c>
      <c r="D6075" s="58" t="inlineStr">
        <is>
          <t>Sports</t>
        </is>
      </c>
      <c r="E6075" s="58" t="inlineStr">
        <is>
          <t>East</t>
        </is>
      </c>
      <c r="F6075" s="61" t="n">
        <v>2</v>
      </c>
      <c r="G6075" s="62" t="n">
        <v>667.02</v>
      </c>
      <c r="H6075" s="63" t="n">
        <v>0.108</v>
      </c>
      <c r="I6075" s="62" t="n">
        <v>415.36</v>
      </c>
      <c r="J6075" s="58" t="inlineStr">
        <is>
          <t>Store</t>
        </is>
      </c>
      <c r="K6075" s="62">
        <f>F6075*(G6075-H6075)</f>
        <v/>
      </c>
      <c r="L6075" s="62">
        <f>K6075-(F6075*I6075)</f>
        <v/>
      </c>
      <c r="M6075" s="64">
        <f>L6075/K6075</f>
        <v/>
      </c>
    </row>
    <row r="6076">
      <c r="A6076" s="58" t="inlineStr">
        <is>
          <t>RT20250604-06075</t>
        </is>
      </c>
      <c r="B6076" s="59" t="inlineStr">
        <is>
          <t>2025-06-04</t>
        </is>
      </c>
      <c r="C6076" s="60" t="inlineStr">
        <is>
          <t>Solace Fitnes S-324</t>
        </is>
      </c>
      <c r="D6076" s="58" t="inlineStr">
        <is>
          <t>Sports</t>
        </is>
      </c>
      <c r="E6076" s="58" t="inlineStr">
        <is>
          <t>West</t>
        </is>
      </c>
      <c r="F6076" s="61" t="n">
        <v>1</v>
      </c>
      <c r="G6076" s="62" t="n">
        <v>793.72</v>
      </c>
      <c r="H6076" s="63" t="n">
        <v>0.076</v>
      </c>
      <c r="I6076" s="62" t="n">
        <v>534.66</v>
      </c>
      <c r="J6076" s="58" t="inlineStr">
        <is>
          <t>Store</t>
        </is>
      </c>
      <c r="K6076" s="62">
        <f>F6076*(G6076-H6076)</f>
        <v/>
      </c>
      <c r="L6076" s="62">
        <f>K6076-(F6076*I6076)</f>
        <v/>
      </c>
      <c r="M6076" s="64">
        <f>L6076/K6076</f>
        <v/>
      </c>
    </row>
    <row r="6077">
      <c r="A6077" s="58" t="inlineStr">
        <is>
          <t>RT20250604-06076</t>
        </is>
      </c>
      <c r="B6077" s="59" t="inlineStr">
        <is>
          <t>2025-06-04</t>
        </is>
      </c>
      <c r="C6077" s="60" t="inlineStr">
        <is>
          <t>Falcon Household Plus-796</t>
        </is>
      </c>
      <c r="D6077" s="58" t="inlineStr">
        <is>
          <t>Grocery</t>
        </is>
      </c>
      <c r="E6077" s="58" t="inlineStr">
        <is>
          <t>Central</t>
        </is>
      </c>
      <c r="F6077" s="61" t="n">
        <v>7</v>
      </c>
      <c r="G6077" s="62" t="n">
        <v>27.19</v>
      </c>
      <c r="H6077" s="63" t="n">
        <v>0.079</v>
      </c>
      <c r="I6077" s="62" t="n">
        <v>17.9</v>
      </c>
      <c r="J6077" s="58" t="inlineStr">
        <is>
          <t>Store</t>
        </is>
      </c>
      <c r="K6077" s="62">
        <f>F6077*(G6077-H6077)</f>
        <v/>
      </c>
      <c r="L6077" s="62">
        <f>K6077-(F6077*I6077)</f>
        <v/>
      </c>
      <c r="M6077" s="64">
        <f>L6077/K6077</f>
        <v/>
      </c>
    </row>
    <row r="6078">
      <c r="A6078" s="58" t="inlineStr">
        <is>
          <t>RT20250604-06077</t>
        </is>
      </c>
      <c r="B6078" s="59" t="inlineStr">
        <is>
          <t>2025-06-04</t>
        </is>
      </c>
      <c r="C6078" s="60" t="inlineStr">
        <is>
          <t>Orion Snack X-322</t>
        </is>
      </c>
      <c r="D6078" s="58" t="inlineStr">
        <is>
          <t>Grocery</t>
        </is>
      </c>
      <c r="E6078" s="58" t="inlineStr">
        <is>
          <t>West</t>
        </is>
      </c>
      <c r="F6078" s="61" t="n">
        <v>5</v>
      </c>
      <c r="G6078" s="62" t="n">
        <v>13.01</v>
      </c>
      <c r="H6078" s="63" t="n">
        <v>0.078</v>
      </c>
      <c r="I6078" s="62" t="n">
        <v>10.03</v>
      </c>
      <c r="J6078" s="58" t="inlineStr">
        <is>
          <t>Store</t>
        </is>
      </c>
      <c r="K6078" s="62">
        <f>F6078*(G6078-H6078)</f>
        <v/>
      </c>
      <c r="L6078" s="62">
        <f>K6078-(F6078*I6078)</f>
        <v/>
      </c>
      <c r="M6078" s="64">
        <f>L6078/K6078</f>
        <v/>
      </c>
    </row>
    <row r="6079">
      <c r="A6079" s="58" t="inlineStr">
        <is>
          <t>RT20250604-06078</t>
        </is>
      </c>
      <c r="B6079" s="59" t="inlineStr">
        <is>
          <t>2025-06-04</t>
        </is>
      </c>
      <c r="C6079" s="60" t="inlineStr">
        <is>
          <t>Aurora Skincare Max-798</t>
        </is>
      </c>
      <c r="D6079" s="58" t="inlineStr">
        <is>
          <t>Beauty</t>
        </is>
      </c>
      <c r="E6079" s="58" t="inlineStr">
        <is>
          <t>East</t>
        </is>
      </c>
      <c r="F6079" s="61" t="n">
        <v>2</v>
      </c>
      <c r="G6079" s="62" t="n">
        <v>112.81</v>
      </c>
      <c r="H6079" s="63" t="n">
        <v>0.076</v>
      </c>
      <c r="I6079" s="62" t="n">
        <v>68.41</v>
      </c>
      <c r="J6079" s="58" t="inlineStr">
        <is>
          <t>Online</t>
        </is>
      </c>
      <c r="K6079" s="62">
        <f>F6079*(G6079-H6079)</f>
        <v/>
      </c>
      <c r="L6079" s="62">
        <f>K6079-(F6079*I6079)</f>
        <v/>
      </c>
      <c r="M6079" s="64">
        <f>L6079/K6079</f>
        <v/>
      </c>
    </row>
    <row r="6080">
      <c r="A6080" s="58" t="inlineStr">
        <is>
          <t>RT20250604-06079</t>
        </is>
      </c>
      <c r="B6080" s="59" t="inlineStr">
        <is>
          <t>2025-06-04</t>
        </is>
      </c>
      <c r="C6080" s="60" t="inlineStr">
        <is>
          <t>Vertex Accessorie Pro-881</t>
        </is>
      </c>
      <c r="D6080" s="58" t="inlineStr">
        <is>
          <t>Apparel</t>
        </is>
      </c>
      <c r="E6080" s="58" t="inlineStr">
        <is>
          <t>South</t>
        </is>
      </c>
      <c r="F6080" s="61" t="n">
        <v>3</v>
      </c>
      <c r="G6080" s="62" t="n">
        <v>120.78</v>
      </c>
      <c r="H6080" s="63" t="n">
        <v>0.057</v>
      </c>
      <c r="I6080" s="62" t="n">
        <v>61.28</v>
      </c>
      <c r="J6080" s="58" t="inlineStr">
        <is>
          <t>Store</t>
        </is>
      </c>
      <c r="K6080" s="62">
        <f>F6080*(G6080-H6080)</f>
        <v/>
      </c>
      <c r="L6080" s="62">
        <f>K6080-(F6080*I6080)</f>
        <v/>
      </c>
      <c r="M6080" s="64">
        <f>L6080/K6080</f>
        <v/>
      </c>
    </row>
    <row r="6081">
      <c r="A6081" s="58" t="inlineStr">
        <is>
          <t>RT20250604-06080</t>
        </is>
      </c>
      <c r="B6081" s="59" t="inlineStr">
        <is>
          <t>2025-06-04</t>
        </is>
      </c>
      <c r="C6081" s="60" t="inlineStr">
        <is>
          <t>Vertex Men X-995</t>
        </is>
      </c>
      <c r="D6081" s="58" t="inlineStr">
        <is>
          <t>Apparel</t>
        </is>
      </c>
      <c r="E6081" s="58" t="inlineStr">
        <is>
          <t>East</t>
        </is>
      </c>
      <c r="F6081" s="61" t="n">
        <v>4</v>
      </c>
      <c r="G6081" s="62" t="n">
        <v>99.51000000000001</v>
      </c>
      <c r="H6081" s="63" t="n">
        <v>0.008</v>
      </c>
      <c r="I6081" s="62" t="n">
        <v>59.03</v>
      </c>
      <c r="J6081" s="58" t="inlineStr">
        <is>
          <t>Online</t>
        </is>
      </c>
      <c r="K6081" s="62">
        <f>F6081*(G6081-H6081)</f>
        <v/>
      </c>
      <c r="L6081" s="62">
        <f>K6081-(F6081*I6081)</f>
        <v/>
      </c>
      <c r="M6081" s="64">
        <f>L6081/K6081</f>
        <v/>
      </c>
    </row>
    <row r="6082">
      <c r="A6082" s="58" t="inlineStr">
        <is>
          <t>RT20250604-06081</t>
        </is>
      </c>
      <c r="B6082" s="59" t="inlineStr">
        <is>
          <t>2025-06-04</t>
        </is>
      </c>
      <c r="C6082" s="60" t="inlineStr">
        <is>
          <t>Falcon Storage X-734</t>
        </is>
      </c>
      <c r="D6082" s="58" t="inlineStr">
        <is>
          <t>Office</t>
        </is>
      </c>
      <c r="E6082" s="58" t="inlineStr">
        <is>
          <t>South</t>
        </is>
      </c>
      <c r="F6082" s="61" t="n">
        <v>2</v>
      </c>
      <c r="G6082" s="62" t="n">
        <v>382.73</v>
      </c>
      <c r="H6082" s="63" t="n">
        <v>0.031</v>
      </c>
      <c r="I6082" s="62" t="n">
        <v>281.49</v>
      </c>
      <c r="J6082" s="58" t="inlineStr">
        <is>
          <t>Online</t>
        </is>
      </c>
      <c r="K6082" s="62">
        <f>F6082*(G6082-H6082)</f>
        <v/>
      </c>
      <c r="L6082" s="62">
        <f>K6082-(F6082*I6082)</f>
        <v/>
      </c>
      <c r="M6082" s="64">
        <f>L6082/K6082</f>
        <v/>
      </c>
    </row>
    <row r="6083">
      <c r="A6083" s="58" t="inlineStr">
        <is>
          <t>RT20250604-06082</t>
        </is>
      </c>
      <c r="B6083" s="59" t="inlineStr">
        <is>
          <t>2025-06-04</t>
        </is>
      </c>
      <c r="C6083" s="60" t="inlineStr">
        <is>
          <t>Metro Accessorie Lite-697</t>
        </is>
      </c>
      <c r="D6083" s="58" t="inlineStr">
        <is>
          <t>Apparel</t>
        </is>
      </c>
      <c r="E6083" s="58" t="inlineStr">
        <is>
          <t>West</t>
        </is>
      </c>
      <c r="F6083" s="61" t="n">
        <v>2</v>
      </c>
      <c r="G6083" s="62" t="n">
        <v>159.21</v>
      </c>
      <c r="H6083" s="63" t="n">
        <v>0.079</v>
      </c>
      <c r="I6083" s="62" t="n">
        <v>74.73</v>
      </c>
      <c r="J6083" s="58" t="inlineStr">
        <is>
          <t>Store</t>
        </is>
      </c>
      <c r="K6083" s="62">
        <f>F6083*(G6083-H6083)</f>
        <v/>
      </c>
      <c r="L6083" s="62">
        <f>K6083-(F6083*I6083)</f>
        <v/>
      </c>
      <c r="M6083" s="64">
        <f>L6083/K6083</f>
        <v/>
      </c>
    </row>
    <row r="6084">
      <c r="A6084" s="58" t="inlineStr">
        <is>
          <t>RT20250604-06083</t>
        </is>
      </c>
      <c r="B6084" s="59" t="inlineStr">
        <is>
          <t>2025-06-04</t>
        </is>
      </c>
      <c r="C6084" s="60" t="inlineStr">
        <is>
          <t>Metro Accessorie Lite-697</t>
        </is>
      </c>
      <c r="D6084" s="58" t="inlineStr">
        <is>
          <t>Apparel</t>
        </is>
      </c>
      <c r="E6084" s="58" t="inlineStr">
        <is>
          <t>Central</t>
        </is>
      </c>
      <c r="F6084" s="61" t="n">
        <v>3</v>
      </c>
      <c r="G6084" s="62" t="n">
        <v>144.71</v>
      </c>
      <c r="H6084" s="63" t="n">
        <v>0.077</v>
      </c>
      <c r="I6084" s="62" t="n">
        <v>78.64</v>
      </c>
      <c r="J6084" s="58" t="inlineStr">
        <is>
          <t>Phone</t>
        </is>
      </c>
      <c r="K6084" s="62">
        <f>F6084*(G6084-H6084)</f>
        <v/>
      </c>
      <c r="L6084" s="62">
        <f>K6084-(F6084*I6084)</f>
        <v/>
      </c>
      <c r="M6084" s="64">
        <f>L6084/K6084</f>
        <v/>
      </c>
    </row>
    <row r="6085">
      <c r="A6085" s="58" t="inlineStr">
        <is>
          <t>RT20250604-06084</t>
        </is>
      </c>
      <c r="B6085" s="59" t="inlineStr">
        <is>
          <t>2025-06-04</t>
        </is>
      </c>
      <c r="C6085" s="60" t="inlineStr">
        <is>
          <t>Metro Beverage Max-490</t>
        </is>
      </c>
      <c r="D6085" s="58" t="inlineStr">
        <is>
          <t>Grocery</t>
        </is>
      </c>
      <c r="E6085" s="58" t="inlineStr">
        <is>
          <t>West</t>
        </is>
      </c>
      <c r="F6085" s="61" t="n">
        <v>7</v>
      </c>
      <c r="G6085" s="62" t="n">
        <v>10.66</v>
      </c>
      <c r="H6085" s="63" t="n">
        <v>0.115</v>
      </c>
      <c r="I6085" s="62" t="n">
        <v>8.380000000000001</v>
      </c>
      <c r="J6085" s="58" t="inlineStr">
        <is>
          <t>Online</t>
        </is>
      </c>
      <c r="K6085" s="62">
        <f>F6085*(G6085-H6085)</f>
        <v/>
      </c>
      <c r="L6085" s="62">
        <f>K6085-(F6085*I6085)</f>
        <v/>
      </c>
      <c r="M6085" s="64">
        <f>L6085/K6085</f>
        <v/>
      </c>
    </row>
    <row r="6086">
      <c r="A6086" s="58" t="inlineStr">
        <is>
          <t>RT20250604-06085</t>
        </is>
      </c>
      <c r="B6086" s="59" t="inlineStr">
        <is>
          <t>2025-06-04</t>
        </is>
      </c>
      <c r="C6086" s="60" t="inlineStr">
        <is>
          <t>Polar Laptop Plus-984</t>
        </is>
      </c>
      <c r="D6086" s="58" t="inlineStr">
        <is>
          <t>Electronics</t>
        </is>
      </c>
      <c r="E6086" s="58" t="inlineStr">
        <is>
          <t>Central</t>
        </is>
      </c>
      <c r="F6086" s="61" t="n">
        <v>2</v>
      </c>
      <c r="G6086" s="62" t="n">
        <v>1136.33</v>
      </c>
      <c r="H6086" s="63" t="n">
        <v>0.038</v>
      </c>
      <c r="I6086" s="62" t="n">
        <v>1001.13</v>
      </c>
      <c r="J6086" s="58" t="inlineStr">
        <is>
          <t>Online</t>
        </is>
      </c>
      <c r="K6086" s="62">
        <f>F6086*(G6086-H6086)</f>
        <v/>
      </c>
      <c r="L6086" s="62">
        <f>K6086-(F6086*I6086)</f>
        <v/>
      </c>
      <c r="M6086" s="64">
        <f>L6086/K6086</f>
        <v/>
      </c>
    </row>
    <row r="6087">
      <c r="A6087" s="58" t="inlineStr">
        <is>
          <t>RT20250604-06086</t>
        </is>
      </c>
      <c r="B6087" s="59" t="inlineStr">
        <is>
          <t>2025-06-04</t>
        </is>
      </c>
      <c r="C6087" s="60" t="inlineStr">
        <is>
          <t>Falcon Household Plus-796</t>
        </is>
      </c>
      <c r="D6087" s="58" t="inlineStr">
        <is>
          <t>Grocery</t>
        </is>
      </c>
      <c r="E6087" s="58" t="inlineStr">
        <is>
          <t>East</t>
        </is>
      </c>
      <c r="F6087" s="61" t="n">
        <v>4</v>
      </c>
      <c r="G6087" s="62" t="n">
        <v>27.71</v>
      </c>
      <c r="H6087" s="63" t="n">
        <v>0.091</v>
      </c>
      <c r="I6087" s="62" t="n">
        <v>17.34</v>
      </c>
      <c r="J6087" s="58" t="inlineStr">
        <is>
          <t>Online</t>
        </is>
      </c>
      <c r="K6087" s="62">
        <f>F6087*(G6087-H6087)</f>
        <v/>
      </c>
      <c r="L6087" s="62">
        <f>K6087-(F6087*I6087)</f>
        <v/>
      </c>
      <c r="M6087" s="64">
        <f>L6087/K6087</f>
        <v/>
      </c>
    </row>
    <row r="6088">
      <c r="A6088" s="58" t="inlineStr">
        <is>
          <t>RT20250604-06087</t>
        </is>
      </c>
      <c r="B6088" s="59" t="inlineStr">
        <is>
          <t>2025-06-04</t>
        </is>
      </c>
      <c r="C6088" s="60" t="inlineStr">
        <is>
          <t>Aurora Makeup Pro-489</t>
        </is>
      </c>
      <c r="D6088" s="58" t="inlineStr">
        <is>
          <t>Beauty</t>
        </is>
      </c>
      <c r="E6088" s="58" t="inlineStr">
        <is>
          <t>Central</t>
        </is>
      </c>
      <c r="F6088" s="61" t="n">
        <v>3</v>
      </c>
      <c r="G6088" s="62" t="n">
        <v>94.44</v>
      </c>
      <c r="H6088" s="63" t="n">
        <v>0.11</v>
      </c>
      <c r="I6088" s="62" t="n">
        <v>64.22</v>
      </c>
      <c r="J6088" s="58" t="inlineStr">
        <is>
          <t>Online</t>
        </is>
      </c>
      <c r="K6088" s="62">
        <f>F6088*(G6088-H6088)</f>
        <v/>
      </c>
      <c r="L6088" s="62">
        <f>K6088-(F6088*I6088)</f>
        <v/>
      </c>
      <c r="M6088" s="64">
        <f>L6088/K6088</f>
        <v/>
      </c>
    </row>
    <row r="6089">
      <c r="A6089" s="58" t="inlineStr">
        <is>
          <t>RT20250604-06088</t>
        </is>
      </c>
      <c r="B6089" s="59" t="inlineStr">
        <is>
          <t>2025-06-04</t>
        </is>
      </c>
      <c r="C6089" s="60" t="inlineStr">
        <is>
          <t>Vertex Printer Max-692</t>
        </is>
      </c>
      <c r="D6089" s="58" t="inlineStr">
        <is>
          <t>Office</t>
        </is>
      </c>
      <c r="E6089" s="58" t="inlineStr">
        <is>
          <t>West</t>
        </is>
      </c>
      <c r="F6089" s="61" t="n">
        <v>1</v>
      </c>
      <c r="G6089" s="62" t="n">
        <v>194.26</v>
      </c>
      <c r="H6089" s="63" t="n">
        <v>0.067</v>
      </c>
      <c r="I6089" s="62" t="n">
        <v>121.79</v>
      </c>
      <c r="J6089" s="58" t="inlineStr">
        <is>
          <t>Online</t>
        </is>
      </c>
      <c r="K6089" s="62">
        <f>F6089*(G6089-H6089)</f>
        <v/>
      </c>
      <c r="L6089" s="62">
        <f>K6089-(F6089*I6089)</f>
        <v/>
      </c>
      <c r="M6089" s="64">
        <f>L6089/K6089</f>
        <v/>
      </c>
    </row>
    <row r="6090">
      <c r="A6090" s="58" t="inlineStr">
        <is>
          <t>RT20250604-06089</t>
        </is>
      </c>
      <c r="B6090" s="59" t="inlineStr">
        <is>
          <t>2025-06-04</t>
        </is>
      </c>
      <c r="C6090" s="60" t="inlineStr">
        <is>
          <t>Orion Haircare Plus-887</t>
        </is>
      </c>
      <c r="D6090" s="58" t="inlineStr">
        <is>
          <t>Beauty</t>
        </is>
      </c>
      <c r="E6090" s="58" t="inlineStr">
        <is>
          <t>West</t>
        </is>
      </c>
      <c r="F6090" s="61" t="n">
        <v>3</v>
      </c>
      <c r="G6090" s="62" t="n">
        <v>52.77</v>
      </c>
      <c r="H6090" s="63" t="n">
        <v>0.075</v>
      </c>
      <c r="I6090" s="62" t="n">
        <v>31.83</v>
      </c>
      <c r="J6090" s="58" t="inlineStr">
        <is>
          <t>Online</t>
        </is>
      </c>
      <c r="K6090" s="62">
        <f>F6090*(G6090-H6090)</f>
        <v/>
      </c>
      <c r="L6090" s="62">
        <f>K6090-(F6090*I6090)</f>
        <v/>
      </c>
      <c r="M6090" s="64">
        <f>L6090/K6090</f>
        <v/>
      </c>
    </row>
    <row r="6091">
      <c r="A6091" s="58" t="inlineStr">
        <is>
          <t>RT20250604-06090</t>
        </is>
      </c>
      <c r="B6091" s="59" t="inlineStr">
        <is>
          <t>2025-06-04</t>
        </is>
      </c>
      <c r="C6091" s="60" t="inlineStr">
        <is>
          <t>Orion Supplie S-612</t>
        </is>
      </c>
      <c r="D6091" s="58" t="inlineStr">
        <is>
          <t>Office</t>
        </is>
      </c>
      <c r="E6091" s="58" t="inlineStr">
        <is>
          <t>Central</t>
        </is>
      </c>
      <c r="F6091" s="61" t="n">
        <v>3</v>
      </c>
      <c r="G6091" s="62" t="n">
        <v>533.9</v>
      </c>
      <c r="H6091" s="63" t="n">
        <v>0.094</v>
      </c>
      <c r="I6091" s="62" t="n">
        <v>346.17</v>
      </c>
      <c r="J6091" s="58" t="inlineStr">
        <is>
          <t>Store</t>
        </is>
      </c>
      <c r="K6091" s="62">
        <f>F6091*(G6091-H6091)</f>
        <v/>
      </c>
      <c r="L6091" s="62">
        <f>K6091-(F6091*I6091)</f>
        <v/>
      </c>
      <c r="M6091" s="64">
        <f>L6091/K6091</f>
        <v/>
      </c>
    </row>
    <row r="6092">
      <c r="A6092" s="58" t="inlineStr">
        <is>
          <t>RT20250604-06091</t>
        </is>
      </c>
      <c r="B6092" s="59" t="inlineStr">
        <is>
          <t>2025-06-04</t>
        </is>
      </c>
      <c r="C6092" s="60" t="inlineStr">
        <is>
          <t>Metro Printer X-294</t>
        </is>
      </c>
      <c r="D6092" s="58" t="inlineStr">
        <is>
          <t>Office</t>
        </is>
      </c>
      <c r="E6092" s="58" t="inlineStr">
        <is>
          <t>South</t>
        </is>
      </c>
      <c r="F6092" s="61" t="n">
        <v>1</v>
      </c>
      <c r="G6092" s="62" t="n">
        <v>559.3200000000001</v>
      </c>
      <c r="H6092" s="63" t="n">
        <v>0.077</v>
      </c>
      <c r="I6092" s="62" t="n">
        <v>409.03</v>
      </c>
      <c r="J6092" s="58" t="inlineStr">
        <is>
          <t>Online</t>
        </is>
      </c>
      <c r="K6092" s="62">
        <f>F6092*(G6092-H6092)</f>
        <v/>
      </c>
      <c r="L6092" s="62">
        <f>K6092-(F6092*I6092)</f>
        <v/>
      </c>
      <c r="M6092" s="64">
        <f>L6092/K6092</f>
        <v/>
      </c>
    </row>
    <row r="6093">
      <c r="A6093" s="58" t="inlineStr">
        <is>
          <t>RT20250604-06092</t>
        </is>
      </c>
      <c r="B6093" s="59" t="inlineStr">
        <is>
          <t>2025-06-04</t>
        </is>
      </c>
      <c r="C6093" s="60" t="inlineStr">
        <is>
          <t>Orion Team Sport X-926</t>
        </is>
      </c>
      <c r="D6093" s="58" t="inlineStr">
        <is>
          <t>Sports</t>
        </is>
      </c>
      <c r="E6093" s="58" t="inlineStr">
        <is>
          <t>South</t>
        </is>
      </c>
      <c r="F6093" s="61" t="n">
        <v>3</v>
      </c>
      <c r="G6093" s="62" t="n">
        <v>357.39</v>
      </c>
      <c r="H6093" s="63" t="n">
        <v>0.098</v>
      </c>
      <c r="I6093" s="62" t="n">
        <v>210.98</v>
      </c>
      <c r="J6093" s="58" t="inlineStr">
        <is>
          <t>Phone</t>
        </is>
      </c>
      <c r="K6093" s="62">
        <f>F6093*(G6093-H6093)</f>
        <v/>
      </c>
      <c r="L6093" s="62">
        <f>K6093-(F6093*I6093)</f>
        <v/>
      </c>
      <c r="M6093" s="64">
        <f>L6093/K6093</f>
        <v/>
      </c>
    </row>
    <row r="6094">
      <c r="A6094" s="58" t="inlineStr">
        <is>
          <t>RT20250604-06093</t>
        </is>
      </c>
      <c r="B6094" s="59" t="inlineStr">
        <is>
          <t>2025-06-04</t>
        </is>
      </c>
      <c r="C6094" s="60" t="inlineStr">
        <is>
          <t>Vertex Fitnes Pro-830</t>
        </is>
      </c>
      <c r="D6094" s="58" t="inlineStr">
        <is>
          <t>Sports</t>
        </is>
      </c>
      <c r="E6094" s="58" t="inlineStr">
        <is>
          <t>East</t>
        </is>
      </c>
      <c r="F6094" s="61" t="n">
        <v>3</v>
      </c>
      <c r="G6094" s="62" t="n">
        <v>809.13</v>
      </c>
      <c r="H6094" s="63" t="n">
        <v>0.08</v>
      </c>
      <c r="I6094" s="62" t="n">
        <v>470.38</v>
      </c>
      <c r="J6094" s="58" t="inlineStr">
        <is>
          <t>Store</t>
        </is>
      </c>
      <c r="K6094" s="62">
        <f>F6094*(G6094-H6094)</f>
        <v/>
      </c>
      <c r="L6094" s="62">
        <f>K6094-(F6094*I6094)</f>
        <v/>
      </c>
      <c r="M6094" s="64">
        <f>L6094/K6094</f>
        <v/>
      </c>
    </row>
    <row r="6095">
      <c r="A6095" s="58" t="inlineStr">
        <is>
          <t>RT20250604-06094</t>
        </is>
      </c>
      <c r="B6095" s="59" t="inlineStr">
        <is>
          <t>2025-06-04</t>
        </is>
      </c>
      <c r="C6095" s="60" t="inlineStr">
        <is>
          <t>Vertex Headphone Pro-801</t>
        </is>
      </c>
      <c r="D6095" s="58" t="inlineStr">
        <is>
          <t>Electronics</t>
        </is>
      </c>
      <c r="E6095" s="58" t="inlineStr">
        <is>
          <t>West</t>
        </is>
      </c>
      <c r="F6095" s="61" t="n">
        <v>2</v>
      </c>
      <c r="G6095" s="62" t="n">
        <v>1388.02</v>
      </c>
      <c r="H6095" s="63" t="n">
        <v>0.11</v>
      </c>
      <c r="I6095" s="62" t="n">
        <v>954.47</v>
      </c>
      <c r="J6095" s="58" t="inlineStr">
        <is>
          <t>Store</t>
        </is>
      </c>
      <c r="K6095" s="62">
        <f>F6095*(G6095-H6095)</f>
        <v/>
      </c>
      <c r="L6095" s="62">
        <f>K6095-(F6095*I6095)</f>
        <v/>
      </c>
      <c r="M6095" s="64">
        <f>L6095/K6095</f>
        <v/>
      </c>
    </row>
    <row r="6096">
      <c r="A6096" s="58" t="inlineStr">
        <is>
          <t>RT20250604-06095</t>
        </is>
      </c>
      <c r="B6096" s="59" t="inlineStr">
        <is>
          <t>2025-06-04</t>
        </is>
      </c>
      <c r="C6096" s="60" t="inlineStr">
        <is>
          <t>Polar Decor X-935</t>
        </is>
      </c>
      <c r="D6096" s="58" t="inlineStr">
        <is>
          <t>Home</t>
        </is>
      </c>
      <c r="E6096" s="58" t="inlineStr">
        <is>
          <t>North</t>
        </is>
      </c>
      <c r="F6096" s="61" t="n">
        <v>1</v>
      </c>
      <c r="G6096" s="62" t="n">
        <v>321.9</v>
      </c>
      <c r="H6096" s="63" t="n">
        <v>0.051</v>
      </c>
      <c r="I6096" s="62" t="n">
        <v>204.66</v>
      </c>
      <c r="J6096" s="58" t="inlineStr">
        <is>
          <t>Online</t>
        </is>
      </c>
      <c r="K6096" s="62">
        <f>F6096*(G6096-H6096)</f>
        <v/>
      </c>
      <c r="L6096" s="62">
        <f>K6096-(F6096*I6096)</f>
        <v/>
      </c>
      <c r="M6096" s="64">
        <f>L6096/K6096</f>
        <v/>
      </c>
    </row>
    <row r="6097">
      <c r="A6097" s="58" t="inlineStr">
        <is>
          <t>RT20250604-06096</t>
        </is>
      </c>
      <c r="B6097" s="59" t="inlineStr">
        <is>
          <t>2025-06-04</t>
        </is>
      </c>
      <c r="C6097" s="60" t="inlineStr">
        <is>
          <t>Vertex Appliance S-296</t>
        </is>
      </c>
      <c r="D6097" s="58" t="inlineStr">
        <is>
          <t>Home</t>
        </is>
      </c>
      <c r="E6097" s="58" t="inlineStr">
        <is>
          <t>South</t>
        </is>
      </c>
      <c r="F6097" s="61" t="n">
        <v>1</v>
      </c>
      <c r="G6097" s="62" t="n">
        <v>511.32</v>
      </c>
      <c r="H6097" s="63" t="n">
        <v>0.07099999999999999</v>
      </c>
      <c r="I6097" s="62" t="n">
        <v>352.67</v>
      </c>
      <c r="J6097" s="58" t="inlineStr">
        <is>
          <t>Online</t>
        </is>
      </c>
      <c r="K6097" s="62">
        <f>F6097*(G6097-H6097)</f>
        <v/>
      </c>
      <c r="L6097" s="62">
        <f>K6097-(F6097*I6097)</f>
        <v/>
      </c>
      <c r="M6097" s="64">
        <f>L6097/K6097</f>
        <v/>
      </c>
    </row>
    <row r="6098">
      <c r="A6098" s="58" t="inlineStr">
        <is>
          <t>RT20250604-06097</t>
        </is>
      </c>
      <c r="B6098" s="59" t="inlineStr">
        <is>
          <t>2025-06-04</t>
        </is>
      </c>
      <c r="C6098" s="60" t="inlineStr">
        <is>
          <t>Aurora Printer Plus-991</t>
        </is>
      </c>
      <c r="D6098" s="58" t="inlineStr">
        <is>
          <t>Office</t>
        </is>
      </c>
      <c r="E6098" s="58" t="inlineStr">
        <is>
          <t>Central</t>
        </is>
      </c>
      <c r="F6098" s="61" t="n">
        <v>2</v>
      </c>
      <c r="G6098" s="62" t="n">
        <v>509.89</v>
      </c>
      <c r="H6098" s="63" t="n">
        <v>0.052</v>
      </c>
      <c r="I6098" s="62" t="n">
        <v>363.66</v>
      </c>
      <c r="J6098" s="58" t="inlineStr">
        <is>
          <t>Store</t>
        </is>
      </c>
      <c r="K6098" s="62">
        <f>F6098*(G6098-H6098)</f>
        <v/>
      </c>
      <c r="L6098" s="62">
        <f>K6098-(F6098*I6098)</f>
        <v/>
      </c>
      <c r="M6098" s="64">
        <f>L6098/K6098</f>
        <v/>
      </c>
    </row>
    <row r="6099">
      <c r="A6099" s="58" t="inlineStr">
        <is>
          <t>RT20250604-06098</t>
        </is>
      </c>
      <c r="B6099" s="59" t="inlineStr">
        <is>
          <t>2025-06-04</t>
        </is>
      </c>
      <c r="C6099" s="60" t="inlineStr">
        <is>
          <t>Falcon Bedding S-674</t>
        </is>
      </c>
      <c r="D6099" s="58" t="inlineStr">
        <is>
          <t>Home</t>
        </is>
      </c>
      <c r="E6099" s="58" t="inlineStr">
        <is>
          <t>South</t>
        </is>
      </c>
      <c r="F6099" s="61" t="n">
        <v>2</v>
      </c>
      <c r="G6099" s="62" t="n">
        <v>662.55</v>
      </c>
      <c r="H6099" s="63" t="n">
        <v>0.045</v>
      </c>
      <c r="I6099" s="62" t="n">
        <v>440.06</v>
      </c>
      <c r="J6099" s="58" t="inlineStr">
        <is>
          <t>Online</t>
        </is>
      </c>
      <c r="K6099" s="62">
        <f>F6099*(G6099-H6099)</f>
        <v/>
      </c>
      <c r="L6099" s="62">
        <f>K6099-(F6099*I6099)</f>
        <v/>
      </c>
      <c r="M6099" s="64">
        <f>L6099/K6099</f>
        <v/>
      </c>
    </row>
    <row r="6100">
      <c r="A6100" s="58" t="inlineStr">
        <is>
          <t>RT20250604-06099</t>
        </is>
      </c>
      <c r="B6100" s="59" t="inlineStr">
        <is>
          <t>2025-06-04</t>
        </is>
      </c>
      <c r="C6100" s="60" t="inlineStr">
        <is>
          <t>Nimbus Makeup Max-158</t>
        </is>
      </c>
      <c r="D6100" s="58" t="inlineStr">
        <is>
          <t>Beauty</t>
        </is>
      </c>
      <c r="E6100" s="58" t="inlineStr">
        <is>
          <t>East</t>
        </is>
      </c>
      <c r="F6100" s="61" t="n">
        <v>4</v>
      </c>
      <c r="G6100" s="62" t="n">
        <v>155.39</v>
      </c>
      <c r="H6100" s="63" t="n">
        <v>0.076</v>
      </c>
      <c r="I6100" s="62" t="n">
        <v>97.73999999999999</v>
      </c>
      <c r="J6100" s="58" t="inlineStr">
        <is>
          <t>Online</t>
        </is>
      </c>
      <c r="K6100" s="62">
        <f>F6100*(G6100-H6100)</f>
        <v/>
      </c>
      <c r="L6100" s="62">
        <f>K6100-(F6100*I6100)</f>
        <v/>
      </c>
      <c r="M6100" s="64">
        <f>L6100/K6100</f>
        <v/>
      </c>
    </row>
    <row r="6101">
      <c r="A6101" s="58" t="inlineStr">
        <is>
          <t>RT20250604-06100</t>
        </is>
      </c>
      <c r="B6101" s="59" t="inlineStr">
        <is>
          <t>2025-06-04</t>
        </is>
      </c>
      <c r="C6101" s="60" t="inlineStr">
        <is>
          <t>Orion Fragrance Lite-785</t>
        </is>
      </c>
      <c r="D6101" s="58" t="inlineStr">
        <is>
          <t>Beauty</t>
        </is>
      </c>
      <c r="E6101" s="58" t="inlineStr">
        <is>
          <t>South</t>
        </is>
      </c>
      <c r="F6101" s="61" t="n">
        <v>3</v>
      </c>
      <c r="G6101" s="62" t="n">
        <v>46.04</v>
      </c>
      <c r="H6101" s="63" t="n">
        <v>0.116</v>
      </c>
      <c r="I6101" s="62" t="n">
        <v>26.28</v>
      </c>
      <c r="J6101" s="58" t="inlineStr">
        <is>
          <t>Store</t>
        </is>
      </c>
      <c r="K6101" s="62">
        <f>F6101*(G6101-H6101)</f>
        <v/>
      </c>
      <c r="L6101" s="62">
        <f>K6101-(F6101*I6101)</f>
        <v/>
      </c>
      <c r="M6101" s="64">
        <f>L6101/K6101</f>
        <v/>
      </c>
    </row>
    <row r="6102">
      <c r="A6102" s="58" t="inlineStr">
        <is>
          <t>RT20250604-06101</t>
        </is>
      </c>
      <c r="B6102" s="59" t="inlineStr">
        <is>
          <t>2025-06-04</t>
        </is>
      </c>
      <c r="C6102" s="60" t="inlineStr">
        <is>
          <t>Aurora Team Sport Plus-256</t>
        </is>
      </c>
      <c r="D6102" s="58" t="inlineStr">
        <is>
          <t>Sports</t>
        </is>
      </c>
      <c r="E6102" s="58" t="inlineStr">
        <is>
          <t>East</t>
        </is>
      </c>
      <c r="F6102" s="61" t="n">
        <v>3</v>
      </c>
      <c r="G6102" s="62" t="n">
        <v>650.22</v>
      </c>
      <c r="H6102" s="63" t="n">
        <v>0.026</v>
      </c>
      <c r="I6102" s="62" t="n">
        <v>416.94</v>
      </c>
      <c r="J6102" s="58" t="inlineStr">
        <is>
          <t>Online</t>
        </is>
      </c>
      <c r="K6102" s="62">
        <f>F6102*(G6102-H6102)</f>
        <v/>
      </c>
      <c r="L6102" s="62">
        <f>K6102-(F6102*I6102)</f>
        <v/>
      </c>
      <c r="M6102" s="64">
        <f>L6102/K6102</f>
        <v/>
      </c>
    </row>
    <row r="6103">
      <c r="A6103" s="58" t="inlineStr">
        <is>
          <t>RT20250604-06102</t>
        </is>
      </c>
      <c r="B6103" s="59" t="inlineStr">
        <is>
          <t>2025-06-04</t>
        </is>
      </c>
      <c r="C6103" s="60" t="inlineStr">
        <is>
          <t>Orion Storage Plus-961</t>
        </is>
      </c>
      <c r="D6103" s="58" t="inlineStr">
        <is>
          <t>Office</t>
        </is>
      </c>
      <c r="E6103" s="58" t="inlineStr">
        <is>
          <t>East</t>
        </is>
      </c>
      <c r="F6103" s="61" t="n">
        <v>2</v>
      </c>
      <c r="G6103" s="62" t="n">
        <v>541.1799999999999</v>
      </c>
      <c r="H6103" s="63" t="n">
        <v>0.047</v>
      </c>
      <c r="I6103" s="62" t="n">
        <v>358.86</v>
      </c>
      <c r="J6103" s="58" t="inlineStr">
        <is>
          <t>Store</t>
        </is>
      </c>
      <c r="K6103" s="62">
        <f>F6103*(G6103-H6103)</f>
        <v/>
      </c>
      <c r="L6103" s="62">
        <f>K6103-(F6103*I6103)</f>
        <v/>
      </c>
      <c r="M6103" s="64">
        <f>L6103/K6103</f>
        <v/>
      </c>
    </row>
    <row r="6104">
      <c r="A6104" s="58" t="inlineStr">
        <is>
          <t>RT20250604-06103</t>
        </is>
      </c>
      <c r="B6104" s="59" t="inlineStr">
        <is>
          <t>2025-06-04</t>
        </is>
      </c>
      <c r="C6104" s="60" t="inlineStr">
        <is>
          <t>Vertex Accessorie Pro-881</t>
        </is>
      </c>
      <c r="D6104" s="58" t="inlineStr">
        <is>
          <t>Apparel</t>
        </is>
      </c>
      <c r="E6104" s="58" t="inlineStr">
        <is>
          <t>North</t>
        </is>
      </c>
      <c r="F6104" s="61" t="n">
        <v>4</v>
      </c>
      <c r="G6104" s="62" t="n">
        <v>107.21</v>
      </c>
      <c r="H6104" s="63" t="n">
        <v>0</v>
      </c>
      <c r="I6104" s="62" t="n">
        <v>63.33</v>
      </c>
      <c r="J6104" s="58" t="inlineStr">
        <is>
          <t>Online</t>
        </is>
      </c>
      <c r="K6104" s="62">
        <f>F6104*(G6104-H6104)</f>
        <v/>
      </c>
      <c r="L6104" s="62">
        <f>K6104-(F6104*I6104)</f>
        <v/>
      </c>
      <c r="M6104" s="64">
        <f>L6104/K6104</f>
        <v/>
      </c>
    </row>
    <row r="6105">
      <c r="A6105" s="58" t="inlineStr">
        <is>
          <t>RT20250604-06104</t>
        </is>
      </c>
      <c r="B6105" s="59" t="inlineStr">
        <is>
          <t>2025-06-04</t>
        </is>
      </c>
      <c r="C6105" s="60" t="inlineStr">
        <is>
          <t>Falcon Beverage Max-702</t>
        </is>
      </c>
      <c r="D6105" s="58" t="inlineStr">
        <is>
          <t>Grocery</t>
        </is>
      </c>
      <c r="E6105" s="58" t="inlineStr">
        <is>
          <t>South</t>
        </is>
      </c>
      <c r="F6105" s="61" t="n">
        <v>5</v>
      </c>
      <c r="G6105" s="62" t="n">
        <v>26.48</v>
      </c>
      <c r="H6105" s="63" t="n">
        <v>0.077</v>
      </c>
      <c r="I6105" s="62" t="n">
        <v>19.58</v>
      </c>
      <c r="J6105" s="58" t="inlineStr">
        <is>
          <t>Online</t>
        </is>
      </c>
      <c r="K6105" s="62">
        <f>F6105*(G6105-H6105)</f>
        <v/>
      </c>
      <c r="L6105" s="62">
        <f>K6105-(F6105*I6105)</f>
        <v/>
      </c>
      <c r="M6105" s="64">
        <f>L6105/K6105</f>
        <v/>
      </c>
    </row>
    <row r="6106">
      <c r="A6106" s="58" t="inlineStr">
        <is>
          <t>RT20250604-06105</t>
        </is>
      </c>
      <c r="B6106" s="59" t="inlineStr">
        <is>
          <t>2025-06-04</t>
        </is>
      </c>
      <c r="C6106" s="60" t="inlineStr">
        <is>
          <t>Vertex Accessorie Pro-881</t>
        </is>
      </c>
      <c r="D6106" s="58" t="inlineStr">
        <is>
          <t>Apparel</t>
        </is>
      </c>
      <c r="E6106" s="58" t="inlineStr">
        <is>
          <t>East</t>
        </is>
      </c>
      <c r="F6106" s="61" t="n">
        <v>4</v>
      </c>
      <c r="G6106" s="62" t="n">
        <v>125.35</v>
      </c>
      <c r="H6106" s="63" t="n">
        <v>0.1</v>
      </c>
      <c r="I6106" s="62" t="n">
        <v>63.42</v>
      </c>
      <c r="J6106" s="58" t="inlineStr">
        <is>
          <t>Phone</t>
        </is>
      </c>
      <c r="K6106" s="62">
        <f>F6106*(G6106-H6106)</f>
        <v/>
      </c>
      <c r="L6106" s="62">
        <f>K6106-(F6106*I6106)</f>
        <v/>
      </c>
      <c r="M6106" s="64">
        <f>L6106/K6106</f>
        <v/>
      </c>
    </row>
    <row r="6107">
      <c r="A6107" s="58" t="inlineStr">
        <is>
          <t>RT20250604-06106</t>
        </is>
      </c>
      <c r="B6107" s="59" t="inlineStr">
        <is>
          <t>2025-06-04</t>
        </is>
      </c>
      <c r="C6107" s="60" t="inlineStr">
        <is>
          <t>Polar Men Pro-246</t>
        </is>
      </c>
      <c r="D6107" s="58" t="inlineStr">
        <is>
          <t>Apparel</t>
        </is>
      </c>
      <c r="E6107" s="58" t="inlineStr">
        <is>
          <t>Central</t>
        </is>
      </c>
      <c r="F6107" s="61" t="n">
        <v>3</v>
      </c>
      <c r="G6107" s="62" t="n">
        <v>140.95</v>
      </c>
      <c r="H6107" s="63" t="n">
        <v>0.08400000000000001</v>
      </c>
      <c r="I6107" s="62" t="n">
        <v>76.91</v>
      </c>
      <c r="J6107" s="58" t="inlineStr">
        <is>
          <t>Store</t>
        </is>
      </c>
      <c r="K6107" s="62">
        <f>F6107*(G6107-H6107)</f>
        <v/>
      </c>
      <c r="L6107" s="62">
        <f>K6107-(F6107*I6107)</f>
        <v/>
      </c>
      <c r="M6107" s="64">
        <f>L6107/K6107</f>
        <v/>
      </c>
    </row>
    <row r="6108">
      <c r="A6108" s="58" t="inlineStr">
        <is>
          <t>RT20250604-06107</t>
        </is>
      </c>
      <c r="B6108" s="59" t="inlineStr">
        <is>
          <t>2025-06-04</t>
        </is>
      </c>
      <c r="C6108" s="60" t="inlineStr">
        <is>
          <t>Solace Headphone Pro-344</t>
        </is>
      </c>
      <c r="D6108" s="58" t="inlineStr">
        <is>
          <t>Electronics</t>
        </is>
      </c>
      <c r="E6108" s="58" t="inlineStr">
        <is>
          <t>West</t>
        </is>
      </c>
      <c r="F6108" s="61" t="n">
        <v>1</v>
      </c>
      <c r="G6108" s="62" t="n">
        <v>1380.26</v>
      </c>
      <c r="H6108" s="63" t="n">
        <v>0.122</v>
      </c>
      <c r="I6108" s="62" t="n">
        <v>1093.62</v>
      </c>
      <c r="J6108" s="58" t="inlineStr">
        <is>
          <t>Online</t>
        </is>
      </c>
      <c r="K6108" s="62">
        <f>F6108*(G6108-H6108)</f>
        <v/>
      </c>
      <c r="L6108" s="62">
        <f>K6108-(F6108*I6108)</f>
        <v/>
      </c>
      <c r="M6108" s="64">
        <f>L6108/K6108</f>
        <v/>
      </c>
    </row>
    <row r="6109">
      <c r="A6109" s="58" t="inlineStr">
        <is>
          <t>RT20250604-06108</t>
        </is>
      </c>
      <c r="B6109" s="59" t="inlineStr">
        <is>
          <t>2025-06-04</t>
        </is>
      </c>
      <c r="C6109" s="60" t="inlineStr">
        <is>
          <t>Orion Laptop S-350</t>
        </is>
      </c>
      <c r="D6109" s="58" t="inlineStr">
        <is>
          <t>Electronics</t>
        </is>
      </c>
      <c r="E6109" s="58" t="inlineStr">
        <is>
          <t>South</t>
        </is>
      </c>
      <c r="F6109" s="61" t="n">
        <v>2</v>
      </c>
      <c r="G6109" s="62" t="n">
        <v>1334.29</v>
      </c>
      <c r="H6109" s="63" t="n">
        <v>0.093</v>
      </c>
      <c r="I6109" s="62" t="n">
        <v>1091.59</v>
      </c>
      <c r="J6109" s="58" t="inlineStr">
        <is>
          <t>Store</t>
        </is>
      </c>
      <c r="K6109" s="62">
        <f>F6109*(G6109-H6109)</f>
        <v/>
      </c>
      <c r="L6109" s="62">
        <f>K6109-(F6109*I6109)</f>
        <v/>
      </c>
      <c r="M6109" s="64">
        <f>L6109/K6109</f>
        <v/>
      </c>
    </row>
    <row r="6110">
      <c r="A6110" s="58" t="inlineStr">
        <is>
          <t>RT20250604-06109</t>
        </is>
      </c>
      <c r="B6110" s="59" t="inlineStr">
        <is>
          <t>2025-06-04</t>
        </is>
      </c>
      <c r="C6110" s="60" t="inlineStr">
        <is>
          <t>Orion Supplie S-612</t>
        </is>
      </c>
      <c r="D6110" s="58" t="inlineStr">
        <is>
          <t>Office</t>
        </is>
      </c>
      <c r="E6110" s="58" t="inlineStr">
        <is>
          <t>East</t>
        </is>
      </c>
      <c r="F6110" s="61" t="n">
        <v>3</v>
      </c>
      <c r="G6110" s="62" t="n">
        <v>421.2</v>
      </c>
      <c r="H6110" s="63" t="n">
        <v>0.029</v>
      </c>
      <c r="I6110" s="62" t="n">
        <v>338.13</v>
      </c>
      <c r="J6110" s="58" t="inlineStr">
        <is>
          <t>Store</t>
        </is>
      </c>
      <c r="K6110" s="62">
        <f>F6110*(G6110-H6110)</f>
        <v/>
      </c>
      <c r="L6110" s="62">
        <f>K6110-(F6110*I6110)</f>
        <v/>
      </c>
      <c r="M6110" s="64">
        <f>L6110/K6110</f>
        <v/>
      </c>
    </row>
    <row r="6111">
      <c r="A6111" s="58" t="inlineStr">
        <is>
          <t>RT20250604-06110</t>
        </is>
      </c>
      <c r="B6111" s="59" t="inlineStr">
        <is>
          <t>2025-06-04</t>
        </is>
      </c>
      <c r="C6111" s="60" t="inlineStr">
        <is>
          <t>Polar Cycling S-223</t>
        </is>
      </c>
      <c r="D6111" s="58" t="inlineStr">
        <is>
          <t>Sports</t>
        </is>
      </c>
      <c r="E6111" s="58" t="inlineStr">
        <is>
          <t>West</t>
        </is>
      </c>
      <c r="F6111" s="61" t="n">
        <v>1</v>
      </c>
      <c r="G6111" s="62" t="n">
        <v>879.27</v>
      </c>
      <c r="H6111" s="63" t="n">
        <v>0.124</v>
      </c>
      <c r="I6111" s="62" t="n">
        <v>630.27</v>
      </c>
      <c r="J6111" s="58" t="inlineStr">
        <is>
          <t>Online</t>
        </is>
      </c>
      <c r="K6111" s="62">
        <f>F6111*(G6111-H6111)</f>
        <v/>
      </c>
      <c r="L6111" s="62">
        <f>K6111-(F6111*I6111)</f>
        <v/>
      </c>
      <c r="M6111" s="64">
        <f>L6111/K6111</f>
        <v/>
      </c>
    </row>
    <row r="6112">
      <c r="A6112" s="58" t="inlineStr">
        <is>
          <t>RT20250604-06111</t>
        </is>
      </c>
      <c r="B6112" s="59" t="inlineStr">
        <is>
          <t>2025-06-04</t>
        </is>
      </c>
      <c r="C6112" s="60" t="inlineStr">
        <is>
          <t>Polar Cycling X-649</t>
        </is>
      </c>
      <c r="D6112" s="58" t="inlineStr">
        <is>
          <t>Sports</t>
        </is>
      </c>
      <c r="E6112" s="58" t="inlineStr">
        <is>
          <t>West</t>
        </is>
      </c>
      <c r="F6112" s="61" t="n">
        <v>2</v>
      </c>
      <c r="G6112" s="62" t="n">
        <v>578.27</v>
      </c>
      <c r="H6112" s="63" t="n">
        <v>0</v>
      </c>
      <c r="I6112" s="62" t="n">
        <v>352.55</v>
      </c>
      <c r="J6112" s="58" t="inlineStr">
        <is>
          <t>Online</t>
        </is>
      </c>
      <c r="K6112" s="62">
        <f>F6112*(G6112-H6112)</f>
        <v/>
      </c>
      <c r="L6112" s="62">
        <f>K6112-(F6112*I6112)</f>
        <v/>
      </c>
      <c r="M6112" s="64">
        <f>L6112/K6112</f>
        <v/>
      </c>
    </row>
    <row r="6113">
      <c r="A6113" s="58" t="inlineStr">
        <is>
          <t>RT20250604-06112</t>
        </is>
      </c>
      <c r="B6113" s="59" t="inlineStr">
        <is>
          <t>2025-06-04</t>
        </is>
      </c>
      <c r="C6113" s="60" t="inlineStr">
        <is>
          <t>Falcon Headphone Plus-789</t>
        </is>
      </c>
      <c r="D6113" s="58" t="inlineStr">
        <is>
          <t>Electronics</t>
        </is>
      </c>
      <c r="E6113" s="58" t="inlineStr">
        <is>
          <t>Central</t>
        </is>
      </c>
      <c r="F6113" s="61" t="n">
        <v>1</v>
      </c>
      <c r="G6113" s="62" t="n">
        <v>1632.08</v>
      </c>
      <c r="H6113" s="63" t="n">
        <v>0.074</v>
      </c>
      <c r="I6113" s="62" t="n">
        <v>1304.71</v>
      </c>
      <c r="J6113" s="58" t="inlineStr">
        <is>
          <t>Online</t>
        </is>
      </c>
      <c r="K6113" s="62">
        <f>F6113*(G6113-H6113)</f>
        <v/>
      </c>
      <c r="L6113" s="62">
        <f>K6113-(F6113*I6113)</f>
        <v/>
      </c>
      <c r="M6113" s="64">
        <f>L6113/K6113</f>
        <v/>
      </c>
    </row>
    <row r="6114">
      <c r="A6114" s="58" t="inlineStr">
        <is>
          <t>RT20250605-06113</t>
        </is>
      </c>
      <c r="B6114" s="59" t="inlineStr">
        <is>
          <t>2025-06-05</t>
        </is>
      </c>
      <c r="C6114" s="60" t="inlineStr">
        <is>
          <t>Falcon Headphone Plus-789</t>
        </is>
      </c>
      <c r="D6114" s="58" t="inlineStr">
        <is>
          <t>Electronics</t>
        </is>
      </c>
      <c r="E6114" s="58" t="inlineStr">
        <is>
          <t>West</t>
        </is>
      </c>
      <c r="F6114" s="61" t="n">
        <v>2</v>
      </c>
      <c r="G6114" s="62" t="n">
        <v>1553.56</v>
      </c>
      <c r="H6114" s="63" t="n">
        <v>0.05</v>
      </c>
      <c r="I6114" s="62" t="n">
        <v>1319.32</v>
      </c>
      <c r="J6114" s="58" t="inlineStr">
        <is>
          <t>Online</t>
        </is>
      </c>
      <c r="K6114" s="62">
        <f>F6114*(G6114-H6114)</f>
        <v/>
      </c>
      <c r="L6114" s="62">
        <f>K6114-(F6114*I6114)</f>
        <v/>
      </c>
      <c r="M6114" s="64">
        <f>L6114/K6114</f>
        <v/>
      </c>
    </row>
    <row r="6115">
      <c r="A6115" s="58" t="inlineStr">
        <is>
          <t>RT20250605-06114</t>
        </is>
      </c>
      <c r="B6115" s="59" t="inlineStr">
        <is>
          <t>2025-06-05</t>
        </is>
      </c>
      <c r="C6115" s="60" t="inlineStr">
        <is>
          <t>Polar Outdoor Lite-318</t>
        </is>
      </c>
      <c r="D6115" s="58" t="inlineStr">
        <is>
          <t>Sports</t>
        </is>
      </c>
      <c r="E6115" s="58" t="inlineStr">
        <is>
          <t>South</t>
        </is>
      </c>
      <c r="F6115" s="61" t="n">
        <v>1</v>
      </c>
      <c r="G6115" s="62" t="n">
        <v>704.91</v>
      </c>
      <c r="H6115" s="63" t="n">
        <v>0.121</v>
      </c>
      <c r="I6115" s="62" t="n">
        <v>478.55</v>
      </c>
      <c r="J6115" s="58" t="inlineStr">
        <is>
          <t>Online</t>
        </is>
      </c>
      <c r="K6115" s="62">
        <f>F6115*(G6115-H6115)</f>
        <v/>
      </c>
      <c r="L6115" s="62">
        <f>K6115-(F6115*I6115)</f>
        <v/>
      </c>
      <c r="M6115" s="64">
        <f>L6115/K6115</f>
        <v/>
      </c>
    </row>
    <row r="6116">
      <c r="A6116" s="58" t="inlineStr">
        <is>
          <t>RT20250605-06115</t>
        </is>
      </c>
      <c r="B6116" s="59" t="inlineStr">
        <is>
          <t>2025-06-05</t>
        </is>
      </c>
      <c r="C6116" s="60" t="inlineStr">
        <is>
          <t>Falcon Kitchen X-130</t>
        </is>
      </c>
      <c r="D6116" s="58" t="inlineStr">
        <is>
          <t>Home</t>
        </is>
      </c>
      <c r="E6116" s="58" t="inlineStr">
        <is>
          <t>North</t>
        </is>
      </c>
      <c r="F6116" s="61" t="n">
        <v>1</v>
      </c>
      <c r="G6116" s="62" t="n">
        <v>402.86</v>
      </c>
      <c r="H6116" s="63" t="n">
        <v>0.038</v>
      </c>
      <c r="I6116" s="62" t="n">
        <v>281.78</v>
      </c>
      <c r="J6116" s="58" t="inlineStr">
        <is>
          <t>Online</t>
        </is>
      </c>
      <c r="K6116" s="62">
        <f>F6116*(G6116-H6116)</f>
        <v/>
      </c>
      <c r="L6116" s="62">
        <f>K6116-(F6116*I6116)</f>
        <v/>
      </c>
      <c r="M6116" s="64">
        <f>L6116/K6116</f>
        <v/>
      </c>
    </row>
    <row r="6117">
      <c r="A6117" s="58" t="inlineStr">
        <is>
          <t>RT20250605-06116</t>
        </is>
      </c>
      <c r="B6117" s="59" t="inlineStr">
        <is>
          <t>2025-06-05</t>
        </is>
      </c>
      <c r="C6117" s="60" t="inlineStr">
        <is>
          <t>Polar Cycling X-649</t>
        </is>
      </c>
      <c r="D6117" s="58" t="inlineStr">
        <is>
          <t>Sports</t>
        </is>
      </c>
      <c r="E6117" s="58" t="inlineStr">
        <is>
          <t>West</t>
        </is>
      </c>
      <c r="F6117" s="61" t="n">
        <v>3</v>
      </c>
      <c r="G6117" s="62" t="n">
        <v>521.74</v>
      </c>
      <c r="H6117" s="63" t="n">
        <v>0</v>
      </c>
      <c r="I6117" s="62" t="n">
        <v>354.52</v>
      </c>
      <c r="J6117" s="58" t="inlineStr">
        <is>
          <t>Online</t>
        </is>
      </c>
      <c r="K6117" s="62">
        <f>F6117*(G6117-H6117)</f>
        <v/>
      </c>
      <c r="L6117" s="62">
        <f>K6117-(F6117*I6117)</f>
        <v/>
      </c>
      <c r="M6117" s="64">
        <f>L6117/K6117</f>
        <v/>
      </c>
    </row>
    <row r="6118">
      <c r="A6118" s="58" t="inlineStr">
        <is>
          <t>RT20250605-06117</t>
        </is>
      </c>
      <c r="B6118" s="59" t="inlineStr">
        <is>
          <t>2025-06-05</t>
        </is>
      </c>
      <c r="C6118" s="60" t="inlineStr">
        <is>
          <t>Metro Accessorie Max-316</t>
        </is>
      </c>
      <c r="D6118" s="58" t="inlineStr">
        <is>
          <t>Apparel</t>
        </is>
      </c>
      <c r="E6118" s="58" t="inlineStr">
        <is>
          <t>East</t>
        </is>
      </c>
      <c r="F6118" s="61" t="n">
        <v>3</v>
      </c>
      <c r="G6118" s="62" t="n">
        <v>170.1</v>
      </c>
      <c r="H6118" s="63" t="n">
        <v>0.056</v>
      </c>
      <c r="I6118" s="62" t="n">
        <v>94.70999999999999</v>
      </c>
      <c r="J6118" s="58" t="inlineStr">
        <is>
          <t>Online</t>
        </is>
      </c>
      <c r="K6118" s="62">
        <f>F6118*(G6118-H6118)</f>
        <v/>
      </c>
      <c r="L6118" s="62">
        <f>K6118-(F6118*I6118)</f>
        <v/>
      </c>
      <c r="M6118" s="64">
        <f>L6118/K6118</f>
        <v/>
      </c>
    </row>
    <row r="6119">
      <c r="A6119" s="58" t="inlineStr">
        <is>
          <t>RT20250605-06118</t>
        </is>
      </c>
      <c r="B6119" s="59" t="inlineStr">
        <is>
          <t>2025-06-05</t>
        </is>
      </c>
      <c r="C6119" s="60" t="inlineStr">
        <is>
          <t>Polar Bedding Lite-243</t>
        </is>
      </c>
      <c r="D6119" s="58" t="inlineStr">
        <is>
          <t>Home</t>
        </is>
      </c>
      <c r="E6119" s="58" t="inlineStr">
        <is>
          <t>East</t>
        </is>
      </c>
      <c r="F6119" s="61" t="n">
        <v>3</v>
      </c>
      <c r="G6119" s="62" t="n">
        <v>459.51</v>
      </c>
      <c r="H6119" s="63" t="n">
        <v>0.08</v>
      </c>
      <c r="I6119" s="62" t="n">
        <v>324.41</v>
      </c>
      <c r="J6119" s="58" t="inlineStr">
        <is>
          <t>Online</t>
        </is>
      </c>
      <c r="K6119" s="62">
        <f>F6119*(G6119-H6119)</f>
        <v/>
      </c>
      <c r="L6119" s="62">
        <f>K6119-(F6119*I6119)</f>
        <v/>
      </c>
      <c r="M6119" s="64">
        <f>L6119/K6119</f>
        <v/>
      </c>
    </row>
    <row r="6120">
      <c r="A6120" s="58" t="inlineStr">
        <is>
          <t>RT20250605-06119</t>
        </is>
      </c>
      <c r="B6120" s="59" t="inlineStr">
        <is>
          <t>2025-06-05</t>
        </is>
      </c>
      <c r="C6120" s="60" t="inlineStr">
        <is>
          <t>Orion Kid Max-640</t>
        </is>
      </c>
      <c r="D6120" s="58" t="inlineStr">
        <is>
          <t>Apparel</t>
        </is>
      </c>
      <c r="E6120" s="58" t="inlineStr">
        <is>
          <t>Central</t>
        </is>
      </c>
      <c r="F6120" s="61" t="n">
        <v>4</v>
      </c>
      <c r="G6120" s="62" t="n">
        <v>134.03</v>
      </c>
      <c r="H6120" s="63" t="n">
        <v>0.075</v>
      </c>
      <c r="I6120" s="62" t="n">
        <v>68.95</v>
      </c>
      <c r="J6120" s="58" t="inlineStr">
        <is>
          <t>Store</t>
        </is>
      </c>
      <c r="K6120" s="62">
        <f>F6120*(G6120-H6120)</f>
        <v/>
      </c>
      <c r="L6120" s="62">
        <f>K6120-(F6120*I6120)</f>
        <v/>
      </c>
      <c r="M6120" s="64">
        <f>L6120/K6120</f>
        <v/>
      </c>
    </row>
    <row r="6121">
      <c r="A6121" s="58" t="inlineStr">
        <is>
          <t>RT20250605-06120</t>
        </is>
      </c>
      <c r="B6121" s="59" t="inlineStr">
        <is>
          <t>2025-06-05</t>
        </is>
      </c>
      <c r="C6121" s="60" t="inlineStr">
        <is>
          <t>Vertex Smartphone Lite-267</t>
        </is>
      </c>
      <c r="D6121" s="58" t="inlineStr">
        <is>
          <t>Electronics</t>
        </is>
      </c>
      <c r="E6121" s="58" t="inlineStr">
        <is>
          <t>South</t>
        </is>
      </c>
      <c r="F6121" s="61" t="n">
        <v>2</v>
      </c>
      <c r="G6121" s="62" t="n">
        <v>1277.68</v>
      </c>
      <c r="H6121" s="63" t="n">
        <v>0.093</v>
      </c>
      <c r="I6121" s="62" t="n">
        <v>969.66</v>
      </c>
      <c r="J6121" s="58" t="inlineStr">
        <is>
          <t>Store</t>
        </is>
      </c>
      <c r="K6121" s="62">
        <f>F6121*(G6121-H6121)</f>
        <v/>
      </c>
      <c r="L6121" s="62">
        <f>K6121-(F6121*I6121)</f>
        <v/>
      </c>
      <c r="M6121" s="64">
        <f>L6121/K6121</f>
        <v/>
      </c>
    </row>
    <row r="6122">
      <c r="A6122" s="58" t="inlineStr">
        <is>
          <t>RT20250605-06121</t>
        </is>
      </c>
      <c r="B6122" s="59" t="inlineStr">
        <is>
          <t>2025-06-05</t>
        </is>
      </c>
      <c r="C6122" s="60" t="inlineStr">
        <is>
          <t>Aurora Outdoor Pro-467</t>
        </is>
      </c>
      <c r="D6122" s="58" t="inlineStr">
        <is>
          <t>Sports</t>
        </is>
      </c>
      <c r="E6122" s="58" t="inlineStr">
        <is>
          <t>South</t>
        </is>
      </c>
      <c r="F6122" s="61" t="n">
        <v>2</v>
      </c>
      <c r="G6122" s="62" t="n">
        <v>278.48</v>
      </c>
      <c r="H6122" s="63" t="n">
        <v>0.042</v>
      </c>
      <c r="I6122" s="62" t="n">
        <v>188.98</v>
      </c>
      <c r="J6122" s="58" t="inlineStr">
        <is>
          <t>Online</t>
        </is>
      </c>
      <c r="K6122" s="62">
        <f>F6122*(G6122-H6122)</f>
        <v/>
      </c>
      <c r="L6122" s="62">
        <f>K6122-(F6122*I6122)</f>
        <v/>
      </c>
      <c r="M6122" s="64">
        <f>L6122/K6122</f>
        <v/>
      </c>
    </row>
    <row r="6123">
      <c r="A6123" s="58" t="inlineStr">
        <is>
          <t>RT20250605-06122</t>
        </is>
      </c>
      <c r="B6123" s="59" t="inlineStr">
        <is>
          <t>2025-06-05</t>
        </is>
      </c>
      <c r="C6123" s="60" t="inlineStr">
        <is>
          <t>Solace Kitchen Pro-999</t>
        </is>
      </c>
      <c r="D6123" s="58" t="inlineStr">
        <is>
          <t>Home</t>
        </is>
      </c>
      <c r="E6123" s="58" t="inlineStr">
        <is>
          <t>East</t>
        </is>
      </c>
      <c r="F6123" s="61" t="n">
        <v>2</v>
      </c>
      <c r="G6123" s="62" t="n">
        <v>387.04</v>
      </c>
      <c r="H6123" s="63" t="n">
        <v>0.037</v>
      </c>
      <c r="I6123" s="62" t="n">
        <v>273.72</v>
      </c>
      <c r="J6123" s="58" t="inlineStr">
        <is>
          <t>Store</t>
        </is>
      </c>
      <c r="K6123" s="62">
        <f>F6123*(G6123-H6123)</f>
        <v/>
      </c>
      <c r="L6123" s="62">
        <f>K6123-(F6123*I6123)</f>
        <v/>
      </c>
      <c r="M6123" s="64">
        <f>L6123/K6123</f>
        <v/>
      </c>
    </row>
    <row r="6124">
      <c r="A6124" s="58" t="inlineStr">
        <is>
          <t>RT20250605-06123</t>
        </is>
      </c>
      <c r="B6124" s="59" t="inlineStr">
        <is>
          <t>2025-06-05</t>
        </is>
      </c>
      <c r="C6124" s="60" t="inlineStr">
        <is>
          <t>Nimbus Women Lite-814</t>
        </is>
      </c>
      <c r="D6124" s="58" t="inlineStr">
        <is>
          <t>Apparel</t>
        </is>
      </c>
      <c r="E6124" s="58" t="inlineStr">
        <is>
          <t>East</t>
        </is>
      </c>
      <c r="F6124" s="61" t="n">
        <v>3</v>
      </c>
      <c r="G6124" s="62" t="n">
        <v>139.68</v>
      </c>
      <c r="H6124" s="63" t="n">
        <v>0.049</v>
      </c>
      <c r="I6124" s="62" t="n">
        <v>81.98999999999999</v>
      </c>
      <c r="J6124" s="58" t="inlineStr">
        <is>
          <t>Online</t>
        </is>
      </c>
      <c r="K6124" s="62">
        <f>F6124*(G6124-H6124)</f>
        <v/>
      </c>
      <c r="L6124" s="62">
        <f>K6124-(F6124*I6124)</f>
        <v/>
      </c>
      <c r="M6124" s="64">
        <f>L6124/K6124</f>
        <v/>
      </c>
    </row>
    <row r="6125">
      <c r="A6125" s="58" t="inlineStr">
        <is>
          <t>RT20250605-06124</t>
        </is>
      </c>
      <c r="B6125" s="59" t="inlineStr">
        <is>
          <t>2025-06-05</t>
        </is>
      </c>
      <c r="C6125" s="60" t="inlineStr">
        <is>
          <t>Aurora Makeup S-626</t>
        </is>
      </c>
      <c r="D6125" s="58" t="inlineStr">
        <is>
          <t>Beauty</t>
        </is>
      </c>
      <c r="E6125" s="58" t="inlineStr">
        <is>
          <t>East</t>
        </is>
      </c>
      <c r="F6125" s="61" t="n">
        <v>4</v>
      </c>
      <c r="G6125" s="62" t="n">
        <v>105.7</v>
      </c>
      <c r="H6125" s="63" t="n">
        <v>0.077</v>
      </c>
      <c r="I6125" s="62" t="n">
        <v>62.01</v>
      </c>
      <c r="J6125" s="58" t="inlineStr">
        <is>
          <t>Store</t>
        </is>
      </c>
      <c r="K6125" s="62">
        <f>F6125*(G6125-H6125)</f>
        <v/>
      </c>
      <c r="L6125" s="62">
        <f>K6125-(F6125*I6125)</f>
        <v/>
      </c>
      <c r="M6125" s="64">
        <f>L6125/K6125</f>
        <v/>
      </c>
    </row>
    <row r="6126">
      <c r="A6126" s="58" t="inlineStr">
        <is>
          <t>RT20250605-06125</t>
        </is>
      </c>
      <c r="B6126" s="59" t="inlineStr">
        <is>
          <t>2025-06-05</t>
        </is>
      </c>
      <c r="C6126" s="60" t="inlineStr">
        <is>
          <t>Falcon Haircare Pro-980</t>
        </is>
      </c>
      <c r="D6126" s="58" t="inlineStr">
        <is>
          <t>Beauty</t>
        </is>
      </c>
      <c r="E6126" s="58" t="inlineStr">
        <is>
          <t>East</t>
        </is>
      </c>
      <c r="F6126" s="61" t="n">
        <v>5</v>
      </c>
      <c r="G6126" s="62" t="n">
        <v>100.44</v>
      </c>
      <c r="H6126" s="63" t="n">
        <v>0.119</v>
      </c>
      <c r="I6126" s="62" t="n">
        <v>58.17</v>
      </c>
      <c r="J6126" s="58" t="inlineStr">
        <is>
          <t>Online</t>
        </is>
      </c>
      <c r="K6126" s="62">
        <f>F6126*(G6126-H6126)</f>
        <v/>
      </c>
      <c r="L6126" s="62">
        <f>K6126-(F6126*I6126)</f>
        <v/>
      </c>
      <c r="M6126" s="64">
        <f>L6126/K6126</f>
        <v/>
      </c>
    </row>
    <row r="6127">
      <c r="A6127" s="58" t="inlineStr">
        <is>
          <t>RT20250605-06126</t>
        </is>
      </c>
      <c r="B6127" s="59" t="inlineStr">
        <is>
          <t>2025-06-05</t>
        </is>
      </c>
      <c r="C6127" s="60" t="inlineStr">
        <is>
          <t>Vertex Appliance S-159</t>
        </is>
      </c>
      <c r="D6127" s="58" t="inlineStr">
        <is>
          <t>Home</t>
        </is>
      </c>
      <c r="E6127" s="58" t="inlineStr">
        <is>
          <t>East</t>
        </is>
      </c>
      <c r="F6127" s="61" t="n">
        <v>3</v>
      </c>
      <c r="G6127" s="62" t="n">
        <v>394.05</v>
      </c>
      <c r="H6127" s="63" t="n">
        <v>0.134</v>
      </c>
      <c r="I6127" s="62" t="n">
        <v>299.5</v>
      </c>
      <c r="J6127" s="58" t="inlineStr">
        <is>
          <t>Store</t>
        </is>
      </c>
      <c r="K6127" s="62">
        <f>F6127*(G6127-H6127)</f>
        <v/>
      </c>
      <c r="L6127" s="62">
        <f>K6127-(F6127*I6127)</f>
        <v/>
      </c>
      <c r="M6127" s="64">
        <f>L6127/K6127</f>
        <v/>
      </c>
    </row>
    <row r="6128">
      <c r="A6128" s="58" t="inlineStr">
        <is>
          <t>RT20250605-06127</t>
        </is>
      </c>
      <c r="B6128" s="59" t="inlineStr">
        <is>
          <t>2025-06-05</t>
        </is>
      </c>
      <c r="C6128" s="60" t="inlineStr">
        <is>
          <t>Nimbus Women Plus-352</t>
        </is>
      </c>
      <c r="D6128" s="58" t="inlineStr">
        <is>
          <t>Apparel</t>
        </is>
      </c>
      <c r="E6128" s="58" t="inlineStr">
        <is>
          <t>North</t>
        </is>
      </c>
      <c r="F6128" s="61" t="n">
        <v>3</v>
      </c>
      <c r="G6128" s="62" t="n">
        <v>50.91</v>
      </c>
      <c r="H6128" s="63" t="n">
        <v>0.044</v>
      </c>
      <c r="I6128" s="62" t="n">
        <v>32.06</v>
      </c>
      <c r="J6128" s="58" t="inlineStr">
        <is>
          <t>Online</t>
        </is>
      </c>
      <c r="K6128" s="62">
        <f>F6128*(G6128-H6128)</f>
        <v/>
      </c>
      <c r="L6128" s="62">
        <f>K6128-(F6128*I6128)</f>
        <v/>
      </c>
      <c r="M6128" s="64">
        <f>L6128/K6128</f>
        <v/>
      </c>
    </row>
    <row r="6129">
      <c r="A6129" s="58" t="inlineStr">
        <is>
          <t>RT20250605-06128</t>
        </is>
      </c>
      <c r="B6129" s="59" t="inlineStr">
        <is>
          <t>2025-06-05</t>
        </is>
      </c>
      <c r="C6129" s="60" t="inlineStr">
        <is>
          <t>Vertex Skincare Pro-891</t>
        </is>
      </c>
      <c r="D6129" s="58" t="inlineStr">
        <is>
          <t>Beauty</t>
        </is>
      </c>
      <c r="E6129" s="58" t="inlineStr">
        <is>
          <t>South</t>
        </is>
      </c>
      <c r="F6129" s="61" t="n">
        <v>3</v>
      </c>
      <c r="G6129" s="62" t="n">
        <v>151.57</v>
      </c>
      <c r="H6129" s="63" t="n">
        <v>0.074</v>
      </c>
      <c r="I6129" s="62" t="n">
        <v>88.39</v>
      </c>
      <c r="J6129" s="58" t="inlineStr">
        <is>
          <t>Online</t>
        </is>
      </c>
      <c r="K6129" s="62">
        <f>F6129*(G6129-H6129)</f>
        <v/>
      </c>
      <c r="L6129" s="62">
        <f>K6129-(F6129*I6129)</f>
        <v/>
      </c>
      <c r="M6129" s="64">
        <f>L6129/K6129</f>
        <v/>
      </c>
    </row>
    <row r="6130">
      <c r="A6130" s="58" t="inlineStr">
        <is>
          <t>RT20250605-06129</t>
        </is>
      </c>
      <c r="B6130" s="59" t="inlineStr">
        <is>
          <t>2025-06-05</t>
        </is>
      </c>
      <c r="C6130" s="60" t="inlineStr">
        <is>
          <t>Falcon Household Plus-796</t>
        </is>
      </c>
      <c r="D6130" s="58" t="inlineStr">
        <is>
          <t>Grocery</t>
        </is>
      </c>
      <c r="E6130" s="58" t="inlineStr">
        <is>
          <t>Central</t>
        </is>
      </c>
      <c r="F6130" s="61" t="n">
        <v>3</v>
      </c>
      <c r="G6130" s="62" t="n">
        <v>23.85</v>
      </c>
      <c r="H6130" s="63" t="n">
        <v>0.08400000000000001</v>
      </c>
      <c r="I6130" s="62" t="n">
        <v>17.29</v>
      </c>
      <c r="J6130" s="58" t="inlineStr">
        <is>
          <t>Phone</t>
        </is>
      </c>
      <c r="K6130" s="62">
        <f>F6130*(G6130-H6130)</f>
        <v/>
      </c>
      <c r="L6130" s="62">
        <f>K6130-(F6130*I6130)</f>
        <v/>
      </c>
      <c r="M6130" s="64">
        <f>L6130/K6130</f>
        <v/>
      </c>
    </row>
    <row r="6131">
      <c r="A6131" s="58" t="inlineStr">
        <is>
          <t>RT20250605-06130</t>
        </is>
      </c>
      <c r="B6131" s="59" t="inlineStr">
        <is>
          <t>2025-06-05</t>
        </is>
      </c>
      <c r="C6131" s="60" t="inlineStr">
        <is>
          <t>Aurora Storage Lite-774</t>
        </is>
      </c>
      <c r="D6131" s="58" t="inlineStr">
        <is>
          <t>Office</t>
        </is>
      </c>
      <c r="E6131" s="58" t="inlineStr">
        <is>
          <t>South</t>
        </is>
      </c>
      <c r="F6131" s="61" t="n">
        <v>3</v>
      </c>
      <c r="G6131" s="62" t="n">
        <v>329.01</v>
      </c>
      <c r="H6131" s="63" t="n">
        <v>0.048</v>
      </c>
      <c r="I6131" s="62" t="n">
        <v>244.08</v>
      </c>
      <c r="J6131" s="58" t="inlineStr">
        <is>
          <t>Store</t>
        </is>
      </c>
      <c r="K6131" s="62">
        <f>F6131*(G6131-H6131)</f>
        <v/>
      </c>
      <c r="L6131" s="62">
        <f>K6131-(F6131*I6131)</f>
        <v/>
      </c>
      <c r="M6131" s="64">
        <f>L6131/K6131</f>
        <v/>
      </c>
    </row>
    <row r="6132">
      <c r="A6132" s="58" t="inlineStr">
        <is>
          <t>RT20250605-06131</t>
        </is>
      </c>
      <c r="B6132" s="59" t="inlineStr">
        <is>
          <t>2025-06-05</t>
        </is>
      </c>
      <c r="C6132" s="60" t="inlineStr">
        <is>
          <t>Vertex Accessorie Pro-881</t>
        </is>
      </c>
      <c r="D6132" s="58" t="inlineStr">
        <is>
          <t>Apparel</t>
        </is>
      </c>
      <c r="E6132" s="58" t="inlineStr">
        <is>
          <t>West</t>
        </is>
      </c>
      <c r="F6132" s="61" t="n">
        <v>4</v>
      </c>
      <c r="G6132" s="62" t="n">
        <v>102.49</v>
      </c>
      <c r="H6132" s="63" t="n">
        <v>0.022</v>
      </c>
      <c r="I6132" s="62" t="n">
        <v>64.87</v>
      </c>
      <c r="J6132" s="58" t="inlineStr">
        <is>
          <t>Store</t>
        </is>
      </c>
      <c r="K6132" s="62">
        <f>F6132*(G6132-H6132)</f>
        <v/>
      </c>
      <c r="L6132" s="62">
        <f>K6132-(F6132*I6132)</f>
        <v/>
      </c>
      <c r="M6132" s="64">
        <f>L6132/K6132</f>
        <v/>
      </c>
    </row>
    <row r="6133">
      <c r="A6133" s="58" t="inlineStr">
        <is>
          <t>RT20250605-06132</t>
        </is>
      </c>
      <c r="B6133" s="59" t="inlineStr">
        <is>
          <t>2025-06-05</t>
        </is>
      </c>
      <c r="C6133" s="60" t="inlineStr">
        <is>
          <t>Polar Snack Pro-641</t>
        </is>
      </c>
      <c r="D6133" s="58" t="inlineStr">
        <is>
          <t>Grocery</t>
        </is>
      </c>
      <c r="E6133" s="58" t="inlineStr">
        <is>
          <t>Central</t>
        </is>
      </c>
      <c r="F6133" s="61" t="n">
        <v>1</v>
      </c>
      <c r="G6133" s="62" t="n">
        <v>12.25</v>
      </c>
      <c r="H6133" s="63" t="n">
        <v>0.07199999999999999</v>
      </c>
      <c r="I6133" s="62" t="n">
        <v>9.69</v>
      </c>
      <c r="J6133" s="58" t="inlineStr">
        <is>
          <t>Online</t>
        </is>
      </c>
      <c r="K6133" s="62">
        <f>F6133*(G6133-H6133)</f>
        <v/>
      </c>
      <c r="L6133" s="62">
        <f>K6133-(F6133*I6133)</f>
        <v/>
      </c>
      <c r="M6133" s="64">
        <f>L6133/K6133</f>
        <v/>
      </c>
    </row>
    <row r="6134">
      <c r="A6134" s="58" t="inlineStr">
        <is>
          <t>RT20250605-06133</t>
        </is>
      </c>
      <c r="B6134" s="59" t="inlineStr">
        <is>
          <t>2025-06-05</t>
        </is>
      </c>
      <c r="C6134" s="60" t="inlineStr">
        <is>
          <t>Aurora Household Plus-146</t>
        </is>
      </c>
      <c r="D6134" s="58" t="inlineStr">
        <is>
          <t>Grocery</t>
        </is>
      </c>
      <c r="E6134" s="58" t="inlineStr">
        <is>
          <t>East</t>
        </is>
      </c>
      <c r="F6134" s="61" t="n">
        <v>7</v>
      </c>
      <c r="G6134" s="62" t="n">
        <v>6.67</v>
      </c>
      <c r="H6134" s="63" t="n">
        <v>0</v>
      </c>
      <c r="I6134" s="62" t="n">
        <v>4.43</v>
      </c>
      <c r="J6134" s="58" t="inlineStr">
        <is>
          <t>Store</t>
        </is>
      </c>
      <c r="K6134" s="62">
        <f>F6134*(G6134-H6134)</f>
        <v/>
      </c>
      <c r="L6134" s="62">
        <f>K6134-(F6134*I6134)</f>
        <v/>
      </c>
      <c r="M6134" s="64">
        <f>L6134/K6134</f>
        <v/>
      </c>
    </row>
    <row r="6135">
      <c r="A6135" s="58" t="inlineStr">
        <is>
          <t>RT20250605-06134</t>
        </is>
      </c>
      <c r="B6135" s="59" t="inlineStr">
        <is>
          <t>2025-06-05</t>
        </is>
      </c>
      <c r="C6135" s="60" t="inlineStr">
        <is>
          <t>Solace Headphone Pro-344</t>
        </is>
      </c>
      <c r="D6135" s="58" t="inlineStr">
        <is>
          <t>Electronics</t>
        </is>
      </c>
      <c r="E6135" s="58" t="inlineStr">
        <is>
          <t>South</t>
        </is>
      </c>
      <c r="F6135" s="61" t="n">
        <v>2</v>
      </c>
      <c r="G6135" s="62" t="n">
        <v>1266.16</v>
      </c>
      <c r="H6135" s="63" t="n">
        <v>0.112</v>
      </c>
      <c r="I6135" s="62" t="n">
        <v>1078.36</v>
      </c>
      <c r="J6135" s="58" t="inlineStr">
        <is>
          <t>Online</t>
        </is>
      </c>
      <c r="K6135" s="62">
        <f>F6135*(G6135-H6135)</f>
        <v/>
      </c>
      <c r="L6135" s="62">
        <f>K6135-(F6135*I6135)</f>
        <v/>
      </c>
      <c r="M6135" s="64">
        <f>L6135/K6135</f>
        <v/>
      </c>
    </row>
    <row r="6136">
      <c r="A6136" s="58" t="inlineStr">
        <is>
          <t>RT20250605-06135</t>
        </is>
      </c>
      <c r="B6136" s="59" t="inlineStr">
        <is>
          <t>2025-06-05</t>
        </is>
      </c>
      <c r="C6136" s="60" t="inlineStr">
        <is>
          <t>Falcon Bedding S-674</t>
        </is>
      </c>
      <c r="D6136" s="58" t="inlineStr">
        <is>
          <t>Home</t>
        </is>
      </c>
      <c r="E6136" s="58" t="inlineStr">
        <is>
          <t>North</t>
        </is>
      </c>
      <c r="F6136" s="61" t="n">
        <v>2</v>
      </c>
      <c r="G6136" s="62" t="n">
        <v>578.53</v>
      </c>
      <c r="H6136" s="63" t="n">
        <v>0.05</v>
      </c>
      <c r="I6136" s="62" t="n">
        <v>459.93</v>
      </c>
      <c r="J6136" s="58" t="inlineStr">
        <is>
          <t>Online</t>
        </is>
      </c>
      <c r="K6136" s="62">
        <f>F6136*(G6136-H6136)</f>
        <v/>
      </c>
      <c r="L6136" s="62">
        <f>K6136-(F6136*I6136)</f>
        <v/>
      </c>
      <c r="M6136" s="64">
        <f>L6136/K6136</f>
        <v/>
      </c>
    </row>
    <row r="6137">
      <c r="A6137" s="58" t="inlineStr">
        <is>
          <t>RT20250605-06136</t>
        </is>
      </c>
      <c r="B6137" s="59" t="inlineStr">
        <is>
          <t>2025-06-05</t>
        </is>
      </c>
      <c r="C6137" s="60" t="inlineStr">
        <is>
          <t>Metro Decor Lite-325</t>
        </is>
      </c>
      <c r="D6137" s="58" t="inlineStr">
        <is>
          <t>Home</t>
        </is>
      </c>
      <c r="E6137" s="58" t="inlineStr">
        <is>
          <t>West</t>
        </is>
      </c>
      <c r="F6137" s="61" t="n">
        <v>1</v>
      </c>
      <c r="G6137" s="62" t="n">
        <v>549.77</v>
      </c>
      <c r="H6137" s="63" t="n">
        <v>0.081</v>
      </c>
      <c r="I6137" s="62" t="n">
        <v>382.32</v>
      </c>
      <c r="J6137" s="58" t="inlineStr">
        <is>
          <t>Store</t>
        </is>
      </c>
      <c r="K6137" s="62">
        <f>F6137*(G6137-H6137)</f>
        <v/>
      </c>
      <c r="L6137" s="62">
        <f>K6137-(F6137*I6137)</f>
        <v/>
      </c>
      <c r="M6137" s="64">
        <f>L6137/K6137</f>
        <v/>
      </c>
    </row>
    <row r="6138">
      <c r="A6138" s="58" t="inlineStr">
        <is>
          <t>RT20250605-06137</t>
        </is>
      </c>
      <c r="B6138" s="59" t="inlineStr">
        <is>
          <t>2025-06-05</t>
        </is>
      </c>
      <c r="C6138" s="60" t="inlineStr">
        <is>
          <t>Orion Kitchen Pro-568</t>
        </is>
      </c>
      <c r="D6138" s="58" t="inlineStr">
        <is>
          <t>Home</t>
        </is>
      </c>
      <c r="E6138" s="58" t="inlineStr">
        <is>
          <t>East</t>
        </is>
      </c>
      <c r="F6138" s="61" t="n">
        <v>3</v>
      </c>
      <c r="G6138" s="62" t="n">
        <v>456.57</v>
      </c>
      <c r="H6138" s="63" t="n">
        <v>0.029</v>
      </c>
      <c r="I6138" s="62" t="n">
        <v>313.41</v>
      </c>
      <c r="J6138" s="58" t="inlineStr">
        <is>
          <t>Store</t>
        </is>
      </c>
      <c r="K6138" s="62">
        <f>F6138*(G6138-H6138)</f>
        <v/>
      </c>
      <c r="L6138" s="62">
        <f>K6138-(F6138*I6138)</f>
        <v/>
      </c>
      <c r="M6138" s="64">
        <f>L6138/K6138</f>
        <v/>
      </c>
    </row>
    <row r="6139">
      <c r="A6139" s="58" t="inlineStr">
        <is>
          <t>RT20250605-06138</t>
        </is>
      </c>
      <c r="B6139" s="59" t="inlineStr">
        <is>
          <t>2025-06-05</t>
        </is>
      </c>
      <c r="C6139" s="60" t="inlineStr">
        <is>
          <t>Orion Laptop S-350</t>
        </is>
      </c>
      <c r="D6139" s="58" t="inlineStr">
        <is>
          <t>Electronics</t>
        </is>
      </c>
      <c r="E6139" s="58" t="inlineStr">
        <is>
          <t>West</t>
        </is>
      </c>
      <c r="F6139" s="61" t="n">
        <v>2</v>
      </c>
      <c r="G6139" s="62" t="n">
        <v>1608.65</v>
      </c>
      <c r="H6139" s="63" t="n">
        <v>0.05</v>
      </c>
      <c r="I6139" s="62" t="n">
        <v>1071.06</v>
      </c>
      <c r="J6139" s="58" t="inlineStr">
        <is>
          <t>Store</t>
        </is>
      </c>
      <c r="K6139" s="62">
        <f>F6139*(G6139-H6139)</f>
        <v/>
      </c>
      <c r="L6139" s="62">
        <f>K6139-(F6139*I6139)</f>
        <v/>
      </c>
      <c r="M6139" s="64">
        <f>L6139/K6139</f>
        <v/>
      </c>
    </row>
    <row r="6140">
      <c r="A6140" s="58" t="inlineStr">
        <is>
          <t>RT20250605-06139</t>
        </is>
      </c>
      <c r="B6140" s="59" t="inlineStr">
        <is>
          <t>2025-06-05</t>
        </is>
      </c>
      <c r="C6140" s="60" t="inlineStr">
        <is>
          <t>Falcon Skincare X-334</t>
        </is>
      </c>
      <c r="D6140" s="58" t="inlineStr">
        <is>
          <t>Beauty</t>
        </is>
      </c>
      <c r="E6140" s="58" t="inlineStr">
        <is>
          <t>East</t>
        </is>
      </c>
      <c r="F6140" s="61" t="n">
        <v>1</v>
      </c>
      <c r="G6140" s="62" t="n">
        <v>97.65000000000001</v>
      </c>
      <c r="H6140" s="63" t="n">
        <v>0.112</v>
      </c>
      <c r="I6140" s="62" t="n">
        <v>63.91</v>
      </c>
      <c r="J6140" s="58" t="inlineStr">
        <is>
          <t>Store</t>
        </is>
      </c>
      <c r="K6140" s="62">
        <f>F6140*(G6140-H6140)</f>
        <v/>
      </c>
      <c r="L6140" s="62">
        <f>K6140-(F6140*I6140)</f>
        <v/>
      </c>
      <c r="M6140" s="64">
        <f>L6140/K6140</f>
        <v/>
      </c>
    </row>
    <row r="6141">
      <c r="A6141" s="58" t="inlineStr">
        <is>
          <t>RT20250605-06140</t>
        </is>
      </c>
      <c r="B6141" s="59" t="inlineStr">
        <is>
          <t>2025-06-05</t>
        </is>
      </c>
      <c r="C6141" s="60" t="inlineStr">
        <is>
          <t>Polar Fragrance Pro-750</t>
        </is>
      </c>
      <c r="D6141" s="58" t="inlineStr">
        <is>
          <t>Beauty</t>
        </is>
      </c>
      <c r="E6141" s="58" t="inlineStr">
        <is>
          <t>North</t>
        </is>
      </c>
      <c r="F6141" s="61" t="n">
        <v>4</v>
      </c>
      <c r="G6141" s="62" t="n">
        <v>55.53</v>
      </c>
      <c r="H6141" s="63" t="n">
        <v>0.047</v>
      </c>
      <c r="I6141" s="62" t="n">
        <v>36.03</v>
      </c>
      <c r="J6141" s="58" t="inlineStr">
        <is>
          <t>Online</t>
        </is>
      </c>
      <c r="K6141" s="62">
        <f>F6141*(G6141-H6141)</f>
        <v/>
      </c>
      <c r="L6141" s="62">
        <f>K6141-(F6141*I6141)</f>
        <v/>
      </c>
      <c r="M6141" s="64">
        <f>L6141/K6141</f>
        <v/>
      </c>
    </row>
    <row r="6142">
      <c r="A6142" s="58" t="inlineStr">
        <is>
          <t>RT20250605-06141</t>
        </is>
      </c>
      <c r="B6142" s="59" t="inlineStr">
        <is>
          <t>2025-06-05</t>
        </is>
      </c>
      <c r="C6142" s="60" t="inlineStr">
        <is>
          <t>Orion Fragrance Lite-785</t>
        </is>
      </c>
      <c r="D6142" s="58" t="inlineStr">
        <is>
          <t>Beauty</t>
        </is>
      </c>
      <c r="E6142" s="58" t="inlineStr">
        <is>
          <t>North</t>
        </is>
      </c>
      <c r="F6142" s="61" t="n">
        <v>3</v>
      </c>
      <c r="G6142" s="62" t="n">
        <v>44.39</v>
      </c>
      <c r="H6142" s="63" t="n">
        <v>0</v>
      </c>
      <c r="I6142" s="62" t="n">
        <v>27.21</v>
      </c>
      <c r="J6142" s="58" t="inlineStr">
        <is>
          <t>Online</t>
        </is>
      </c>
      <c r="K6142" s="62">
        <f>F6142*(G6142-H6142)</f>
        <v/>
      </c>
      <c r="L6142" s="62">
        <f>K6142-(F6142*I6142)</f>
        <v/>
      </c>
      <c r="M6142" s="64">
        <f>L6142/K6142</f>
        <v/>
      </c>
    </row>
    <row r="6143">
      <c r="A6143" s="58" t="inlineStr">
        <is>
          <t>RT20250605-06142</t>
        </is>
      </c>
      <c r="B6143" s="59" t="inlineStr">
        <is>
          <t>2025-06-05</t>
        </is>
      </c>
      <c r="C6143" s="60" t="inlineStr">
        <is>
          <t>Orion Men X-928</t>
        </is>
      </c>
      <c r="D6143" s="58" t="inlineStr">
        <is>
          <t>Apparel</t>
        </is>
      </c>
      <c r="E6143" s="58" t="inlineStr">
        <is>
          <t>North</t>
        </is>
      </c>
      <c r="F6143" s="61" t="n">
        <v>4</v>
      </c>
      <c r="G6143" s="62" t="n">
        <v>112.05</v>
      </c>
      <c r="H6143" s="63" t="n">
        <v>0.08</v>
      </c>
      <c r="I6143" s="62" t="n">
        <v>64.61</v>
      </c>
      <c r="J6143" s="58" t="inlineStr">
        <is>
          <t>Store</t>
        </is>
      </c>
      <c r="K6143" s="62">
        <f>F6143*(G6143-H6143)</f>
        <v/>
      </c>
      <c r="L6143" s="62">
        <f>K6143-(F6143*I6143)</f>
        <v/>
      </c>
      <c r="M6143" s="64">
        <f>L6143/K6143</f>
        <v/>
      </c>
    </row>
    <row r="6144">
      <c r="A6144" s="58" t="inlineStr">
        <is>
          <t>RT20250605-06143</t>
        </is>
      </c>
      <c r="B6144" s="59" t="inlineStr">
        <is>
          <t>2025-06-05</t>
        </is>
      </c>
      <c r="C6144" s="60" t="inlineStr">
        <is>
          <t>Nimbus Headphone X-854</t>
        </is>
      </c>
      <c r="D6144" s="58" t="inlineStr">
        <is>
          <t>Electronics</t>
        </is>
      </c>
      <c r="E6144" s="58" t="inlineStr">
        <is>
          <t>South</t>
        </is>
      </c>
      <c r="F6144" s="61" t="n">
        <v>1</v>
      </c>
      <c r="G6144" s="62" t="n">
        <v>1370.73</v>
      </c>
      <c r="H6144" s="63" t="n">
        <v>0.053</v>
      </c>
      <c r="I6144" s="62" t="n">
        <v>1258.43</v>
      </c>
      <c r="J6144" s="58" t="inlineStr">
        <is>
          <t>Online</t>
        </is>
      </c>
      <c r="K6144" s="62">
        <f>F6144*(G6144-H6144)</f>
        <v/>
      </c>
      <c r="L6144" s="62">
        <f>K6144-(F6144*I6144)</f>
        <v/>
      </c>
      <c r="M6144" s="64">
        <f>L6144/K6144</f>
        <v/>
      </c>
    </row>
    <row r="6145">
      <c r="A6145" s="58" t="inlineStr">
        <is>
          <t>RT20250605-06144</t>
        </is>
      </c>
      <c r="B6145" s="59" t="inlineStr">
        <is>
          <t>2025-06-05</t>
        </is>
      </c>
      <c r="C6145" s="60" t="inlineStr">
        <is>
          <t>Metro Smartphone Max-773</t>
        </is>
      </c>
      <c r="D6145" s="58" t="inlineStr">
        <is>
          <t>Electronics</t>
        </is>
      </c>
      <c r="E6145" s="58" t="inlineStr">
        <is>
          <t>Central</t>
        </is>
      </c>
      <c r="F6145" s="61" t="n">
        <v>2</v>
      </c>
      <c r="G6145" s="62" t="n">
        <v>1278.14</v>
      </c>
      <c r="H6145" s="63" t="n">
        <v>0.05</v>
      </c>
      <c r="I6145" s="62" t="n">
        <v>1131.66</v>
      </c>
      <c r="J6145" s="58" t="inlineStr">
        <is>
          <t>Online</t>
        </is>
      </c>
      <c r="K6145" s="62">
        <f>F6145*(G6145-H6145)</f>
        <v/>
      </c>
      <c r="L6145" s="62">
        <f>K6145-(F6145*I6145)</f>
        <v/>
      </c>
      <c r="M6145" s="64">
        <f>L6145/K6145</f>
        <v/>
      </c>
    </row>
    <row r="6146">
      <c r="A6146" s="58" t="inlineStr">
        <is>
          <t>RT20250605-06145</t>
        </is>
      </c>
      <c r="B6146" s="59" t="inlineStr">
        <is>
          <t>2025-06-05</t>
        </is>
      </c>
      <c r="C6146" s="60" t="inlineStr">
        <is>
          <t>Polar Fragrance Pro-750</t>
        </is>
      </c>
      <c r="D6146" s="58" t="inlineStr">
        <is>
          <t>Beauty</t>
        </is>
      </c>
      <c r="E6146" s="58" t="inlineStr">
        <is>
          <t>South</t>
        </is>
      </c>
      <c r="F6146" s="61" t="n">
        <v>4</v>
      </c>
      <c r="G6146" s="62" t="n">
        <v>63.91</v>
      </c>
      <c r="H6146" s="63" t="n">
        <v>0.024</v>
      </c>
      <c r="I6146" s="62" t="n">
        <v>37.81</v>
      </c>
      <c r="J6146" s="58" t="inlineStr">
        <is>
          <t>Online</t>
        </is>
      </c>
      <c r="K6146" s="62">
        <f>F6146*(G6146-H6146)</f>
        <v/>
      </c>
      <c r="L6146" s="62">
        <f>K6146-(F6146*I6146)</f>
        <v/>
      </c>
      <c r="M6146" s="64">
        <f>L6146/K6146</f>
        <v/>
      </c>
    </row>
    <row r="6147">
      <c r="A6147" s="58" t="inlineStr">
        <is>
          <t>RT20250605-06146</t>
        </is>
      </c>
      <c r="B6147" s="59" t="inlineStr">
        <is>
          <t>2025-06-05</t>
        </is>
      </c>
      <c r="C6147" s="60" t="inlineStr">
        <is>
          <t>Vertex Appliance Max-338</t>
        </is>
      </c>
      <c r="D6147" s="58" t="inlineStr">
        <is>
          <t>Home</t>
        </is>
      </c>
      <c r="E6147" s="58" t="inlineStr">
        <is>
          <t>South</t>
        </is>
      </c>
      <c r="F6147" s="61" t="n">
        <v>1</v>
      </c>
      <c r="G6147" s="62" t="n">
        <v>456.99</v>
      </c>
      <c r="H6147" s="63" t="n">
        <v>0.073</v>
      </c>
      <c r="I6147" s="62" t="n">
        <v>285.73</v>
      </c>
      <c r="J6147" s="58" t="inlineStr">
        <is>
          <t>Store</t>
        </is>
      </c>
      <c r="K6147" s="62">
        <f>F6147*(G6147-H6147)</f>
        <v/>
      </c>
      <c r="L6147" s="62">
        <f>K6147-(F6147*I6147)</f>
        <v/>
      </c>
      <c r="M6147" s="64">
        <f>L6147/K6147</f>
        <v/>
      </c>
    </row>
    <row r="6148">
      <c r="A6148" s="58" t="inlineStr">
        <is>
          <t>RT20250605-06147</t>
        </is>
      </c>
      <c r="B6148" s="59" t="inlineStr">
        <is>
          <t>2025-06-05</t>
        </is>
      </c>
      <c r="C6148" s="60" t="inlineStr">
        <is>
          <t>Nimbus Headphone X-854</t>
        </is>
      </c>
      <c r="D6148" s="58" t="inlineStr">
        <is>
          <t>Electronics</t>
        </is>
      </c>
      <c r="E6148" s="58" t="inlineStr">
        <is>
          <t>East</t>
        </is>
      </c>
      <c r="F6148" s="61" t="n">
        <v>2</v>
      </c>
      <c r="G6148" s="62" t="n">
        <v>1578.6</v>
      </c>
      <c r="H6148" s="63" t="n">
        <v>0</v>
      </c>
      <c r="I6148" s="62" t="n">
        <v>1284.6</v>
      </c>
      <c r="J6148" s="58" t="inlineStr">
        <is>
          <t>Online</t>
        </is>
      </c>
      <c r="K6148" s="62">
        <f>F6148*(G6148-H6148)</f>
        <v/>
      </c>
      <c r="L6148" s="62">
        <f>K6148-(F6148*I6148)</f>
        <v/>
      </c>
      <c r="M6148" s="64">
        <f>L6148/K6148</f>
        <v/>
      </c>
    </row>
    <row r="6149">
      <c r="A6149" s="58" t="inlineStr">
        <is>
          <t>RT20250605-06148</t>
        </is>
      </c>
      <c r="B6149" s="59" t="inlineStr">
        <is>
          <t>2025-06-05</t>
        </is>
      </c>
      <c r="C6149" s="60" t="inlineStr">
        <is>
          <t>Falcon Household Plus-796</t>
        </is>
      </c>
      <c r="D6149" s="58" t="inlineStr">
        <is>
          <t>Grocery</t>
        </is>
      </c>
      <c r="E6149" s="58" t="inlineStr">
        <is>
          <t>North</t>
        </is>
      </c>
      <c r="F6149" s="61" t="n">
        <v>1</v>
      </c>
      <c r="G6149" s="62" t="n">
        <v>25.36</v>
      </c>
      <c r="H6149" s="63" t="n">
        <v>0.016</v>
      </c>
      <c r="I6149" s="62" t="n">
        <v>17.46</v>
      </c>
      <c r="J6149" s="58" t="inlineStr">
        <is>
          <t>Online</t>
        </is>
      </c>
      <c r="K6149" s="62">
        <f>F6149*(G6149-H6149)</f>
        <v/>
      </c>
      <c r="L6149" s="62">
        <f>K6149-(F6149*I6149)</f>
        <v/>
      </c>
      <c r="M6149" s="64">
        <f>L6149/K6149</f>
        <v/>
      </c>
    </row>
    <row r="6150">
      <c r="A6150" s="58" t="inlineStr">
        <is>
          <t>RT20250605-06149</t>
        </is>
      </c>
      <c r="B6150" s="59" t="inlineStr">
        <is>
          <t>2025-06-05</t>
        </is>
      </c>
      <c r="C6150" s="60" t="inlineStr">
        <is>
          <t>Falcon Beverage Max-702</t>
        </is>
      </c>
      <c r="D6150" s="58" t="inlineStr">
        <is>
          <t>Grocery</t>
        </is>
      </c>
      <c r="E6150" s="58" t="inlineStr">
        <is>
          <t>South</t>
        </is>
      </c>
      <c r="F6150" s="61" t="n">
        <v>5</v>
      </c>
      <c r="G6150" s="62" t="n">
        <v>26.29</v>
      </c>
      <c r="H6150" s="63" t="n">
        <v>0.044</v>
      </c>
      <c r="I6150" s="62" t="n">
        <v>20.42</v>
      </c>
      <c r="J6150" s="58" t="inlineStr">
        <is>
          <t>Store</t>
        </is>
      </c>
      <c r="K6150" s="62">
        <f>F6150*(G6150-H6150)</f>
        <v/>
      </c>
      <c r="L6150" s="62">
        <f>K6150-(F6150*I6150)</f>
        <v/>
      </c>
      <c r="M6150" s="64">
        <f>L6150/K6150</f>
        <v/>
      </c>
    </row>
    <row r="6151">
      <c r="A6151" s="58" t="inlineStr">
        <is>
          <t>RT20250605-06150</t>
        </is>
      </c>
      <c r="B6151" s="59" t="inlineStr">
        <is>
          <t>2025-06-05</t>
        </is>
      </c>
      <c r="C6151" s="60" t="inlineStr">
        <is>
          <t>Falcon Skincare Max-151</t>
        </is>
      </c>
      <c r="D6151" s="58" t="inlineStr">
        <is>
          <t>Beauty</t>
        </is>
      </c>
      <c r="E6151" s="58" t="inlineStr">
        <is>
          <t>East</t>
        </is>
      </c>
      <c r="F6151" s="61" t="n">
        <v>3</v>
      </c>
      <c r="G6151" s="62" t="n">
        <v>98.47</v>
      </c>
      <c r="H6151" s="63" t="n">
        <v>0.04</v>
      </c>
      <c r="I6151" s="62" t="n">
        <v>58.99</v>
      </c>
      <c r="J6151" s="58" t="inlineStr">
        <is>
          <t>Online</t>
        </is>
      </c>
      <c r="K6151" s="62">
        <f>F6151*(G6151-H6151)</f>
        <v/>
      </c>
      <c r="L6151" s="62">
        <f>K6151-(F6151*I6151)</f>
        <v/>
      </c>
      <c r="M6151" s="64">
        <f>L6151/K6151</f>
        <v/>
      </c>
    </row>
    <row r="6152">
      <c r="A6152" s="58" t="inlineStr">
        <is>
          <t>RT20250605-06151</t>
        </is>
      </c>
      <c r="B6152" s="59" t="inlineStr">
        <is>
          <t>2025-06-05</t>
        </is>
      </c>
      <c r="C6152" s="60" t="inlineStr">
        <is>
          <t>Metro Decor Lite-325</t>
        </is>
      </c>
      <c r="D6152" s="58" t="inlineStr">
        <is>
          <t>Home</t>
        </is>
      </c>
      <c r="E6152" s="58" t="inlineStr">
        <is>
          <t>South</t>
        </is>
      </c>
      <c r="F6152" s="61" t="n">
        <v>2</v>
      </c>
      <c r="G6152" s="62" t="n">
        <v>556.62</v>
      </c>
      <c r="H6152" s="63" t="n">
        <v>0.08599999999999999</v>
      </c>
      <c r="I6152" s="62" t="n">
        <v>383.28</v>
      </c>
      <c r="J6152" s="58" t="inlineStr">
        <is>
          <t>Online</t>
        </is>
      </c>
      <c r="K6152" s="62">
        <f>F6152*(G6152-H6152)</f>
        <v/>
      </c>
      <c r="L6152" s="62">
        <f>K6152-(F6152*I6152)</f>
        <v/>
      </c>
      <c r="M6152" s="64">
        <f>L6152/K6152</f>
        <v/>
      </c>
    </row>
    <row r="6153">
      <c r="A6153" s="58" t="inlineStr">
        <is>
          <t>RT20250605-06152</t>
        </is>
      </c>
      <c r="B6153" s="59" t="inlineStr">
        <is>
          <t>2025-06-05</t>
        </is>
      </c>
      <c r="C6153" s="60" t="inlineStr">
        <is>
          <t>Metro Beverage Max-490</t>
        </is>
      </c>
      <c r="D6153" s="58" t="inlineStr">
        <is>
          <t>Grocery</t>
        </is>
      </c>
      <c r="E6153" s="58" t="inlineStr">
        <is>
          <t>West</t>
        </is>
      </c>
      <c r="F6153" s="61" t="n">
        <v>1</v>
      </c>
      <c r="G6153" s="62" t="n">
        <v>10.69</v>
      </c>
      <c r="H6153" s="63" t="n">
        <v>0.113</v>
      </c>
      <c r="I6153" s="62" t="n">
        <v>7.97</v>
      </c>
      <c r="J6153" s="58" t="inlineStr">
        <is>
          <t>Store</t>
        </is>
      </c>
      <c r="K6153" s="62">
        <f>F6153*(G6153-H6153)</f>
        <v/>
      </c>
      <c r="L6153" s="62">
        <f>K6153-(F6153*I6153)</f>
        <v/>
      </c>
      <c r="M6153" s="64">
        <f>L6153/K6153</f>
        <v/>
      </c>
    </row>
    <row r="6154">
      <c r="A6154" s="58" t="inlineStr">
        <is>
          <t>RT20250605-06153</t>
        </is>
      </c>
      <c r="B6154" s="59" t="inlineStr">
        <is>
          <t>2025-06-05</t>
        </is>
      </c>
      <c r="C6154" s="60" t="inlineStr">
        <is>
          <t>Vertex Supplie Pro-786</t>
        </is>
      </c>
      <c r="D6154" s="58" t="inlineStr">
        <is>
          <t>Office</t>
        </is>
      </c>
      <c r="E6154" s="58" t="inlineStr">
        <is>
          <t>East</t>
        </is>
      </c>
      <c r="F6154" s="61" t="n">
        <v>3</v>
      </c>
      <c r="G6154" s="62" t="n">
        <v>406.31</v>
      </c>
      <c r="H6154" s="63" t="n">
        <v>0.045</v>
      </c>
      <c r="I6154" s="62" t="n">
        <v>289.89</v>
      </c>
      <c r="J6154" s="58" t="inlineStr">
        <is>
          <t>Online</t>
        </is>
      </c>
      <c r="K6154" s="62">
        <f>F6154*(G6154-H6154)</f>
        <v/>
      </c>
      <c r="L6154" s="62">
        <f>K6154-(F6154*I6154)</f>
        <v/>
      </c>
      <c r="M6154" s="64">
        <f>L6154/K6154</f>
        <v/>
      </c>
    </row>
    <row r="6155">
      <c r="A6155" s="58" t="inlineStr">
        <is>
          <t>RT20250605-06154</t>
        </is>
      </c>
      <c r="B6155" s="59" t="inlineStr">
        <is>
          <t>2025-06-05</t>
        </is>
      </c>
      <c r="C6155" s="60" t="inlineStr">
        <is>
          <t>Nimbus Headphone X-854</t>
        </is>
      </c>
      <c r="D6155" s="58" t="inlineStr">
        <is>
          <t>Electronics</t>
        </is>
      </c>
      <c r="E6155" s="58" t="inlineStr">
        <is>
          <t>West</t>
        </is>
      </c>
      <c r="F6155" s="61" t="n">
        <v>2</v>
      </c>
      <c r="G6155" s="62" t="n">
        <v>1414.16</v>
      </c>
      <c r="H6155" s="63" t="n">
        <v>0.064</v>
      </c>
      <c r="I6155" s="62" t="n">
        <v>1285.1</v>
      </c>
      <c r="J6155" s="58" t="inlineStr">
        <is>
          <t>Online</t>
        </is>
      </c>
      <c r="K6155" s="62">
        <f>F6155*(G6155-H6155)</f>
        <v/>
      </c>
      <c r="L6155" s="62">
        <f>K6155-(F6155*I6155)</f>
        <v/>
      </c>
      <c r="M6155" s="64">
        <f>L6155/K6155</f>
        <v/>
      </c>
    </row>
    <row r="6156">
      <c r="A6156" s="58" t="inlineStr">
        <is>
          <t>RT20250605-06155</t>
        </is>
      </c>
      <c r="B6156" s="59" t="inlineStr">
        <is>
          <t>2025-06-05</t>
        </is>
      </c>
      <c r="C6156" s="60" t="inlineStr">
        <is>
          <t>Aurora Smartphone Plus-125</t>
        </is>
      </c>
      <c r="D6156" s="58" t="inlineStr">
        <is>
          <t>Electronics</t>
        </is>
      </c>
      <c r="E6156" s="58" t="inlineStr">
        <is>
          <t>East</t>
        </is>
      </c>
      <c r="F6156" s="61" t="n">
        <v>2</v>
      </c>
      <c r="G6156" s="62" t="n">
        <v>1585.52</v>
      </c>
      <c r="H6156" s="63" t="n">
        <v>0.066</v>
      </c>
      <c r="I6156" s="62" t="n">
        <v>1212.86</v>
      </c>
      <c r="J6156" s="58" t="inlineStr">
        <is>
          <t>Store</t>
        </is>
      </c>
      <c r="K6156" s="62">
        <f>F6156*(G6156-H6156)</f>
        <v/>
      </c>
      <c r="L6156" s="62">
        <f>K6156-(F6156*I6156)</f>
        <v/>
      </c>
      <c r="M6156" s="64">
        <f>L6156/K6156</f>
        <v/>
      </c>
    </row>
    <row r="6157">
      <c r="A6157" s="58" t="inlineStr">
        <is>
          <t>RT20250605-06156</t>
        </is>
      </c>
      <c r="B6157" s="59" t="inlineStr">
        <is>
          <t>2025-06-05</t>
        </is>
      </c>
      <c r="C6157" s="60" t="inlineStr">
        <is>
          <t>Solace Fitnes S-324</t>
        </is>
      </c>
      <c r="D6157" s="58" t="inlineStr">
        <is>
          <t>Sports</t>
        </is>
      </c>
      <c r="E6157" s="58" t="inlineStr">
        <is>
          <t>Central</t>
        </is>
      </c>
      <c r="F6157" s="61" t="n">
        <v>1</v>
      </c>
      <c r="G6157" s="62" t="n">
        <v>847.96</v>
      </c>
      <c r="H6157" s="63" t="n">
        <v>0.068</v>
      </c>
      <c r="I6157" s="62" t="n">
        <v>540.99</v>
      </c>
      <c r="J6157" s="58" t="inlineStr">
        <is>
          <t>Online</t>
        </is>
      </c>
      <c r="K6157" s="62">
        <f>F6157*(G6157-H6157)</f>
        <v/>
      </c>
      <c r="L6157" s="62">
        <f>K6157-(F6157*I6157)</f>
        <v/>
      </c>
      <c r="M6157" s="64">
        <f>L6157/K6157</f>
        <v/>
      </c>
    </row>
    <row r="6158">
      <c r="A6158" s="58" t="inlineStr">
        <is>
          <t>RT20250605-06157</t>
        </is>
      </c>
      <c r="B6158" s="59" t="inlineStr">
        <is>
          <t>2025-06-05</t>
        </is>
      </c>
      <c r="C6158" s="60" t="inlineStr">
        <is>
          <t>Falcon Wearable X-334</t>
        </is>
      </c>
      <c r="D6158" s="58" t="inlineStr">
        <is>
          <t>Electronics</t>
        </is>
      </c>
      <c r="E6158" s="58" t="inlineStr">
        <is>
          <t>East</t>
        </is>
      </c>
      <c r="F6158" s="61" t="n">
        <v>1</v>
      </c>
      <c r="G6158" s="62" t="n">
        <v>1857.95</v>
      </c>
      <c r="H6158" s="63" t="n">
        <v>0</v>
      </c>
      <c r="I6158" s="62" t="n">
        <v>1530.36</v>
      </c>
      <c r="J6158" s="58" t="inlineStr">
        <is>
          <t>Online</t>
        </is>
      </c>
      <c r="K6158" s="62">
        <f>F6158*(G6158-H6158)</f>
        <v/>
      </c>
      <c r="L6158" s="62">
        <f>K6158-(F6158*I6158)</f>
        <v/>
      </c>
      <c r="M6158" s="64">
        <f>L6158/K6158</f>
        <v/>
      </c>
    </row>
    <row r="6159">
      <c r="A6159" s="58" t="inlineStr">
        <is>
          <t>RT20250605-06158</t>
        </is>
      </c>
      <c r="B6159" s="59" t="inlineStr">
        <is>
          <t>2025-06-05</t>
        </is>
      </c>
      <c r="C6159" s="60" t="inlineStr">
        <is>
          <t>Aurora Bedding Plus-187</t>
        </is>
      </c>
      <c r="D6159" s="58" t="inlineStr">
        <is>
          <t>Home</t>
        </is>
      </c>
      <c r="E6159" s="58" t="inlineStr">
        <is>
          <t>West</t>
        </is>
      </c>
      <c r="F6159" s="61" t="n">
        <v>2</v>
      </c>
      <c r="G6159" s="62" t="n">
        <v>332.57</v>
      </c>
      <c r="H6159" s="63" t="n">
        <v>0.025</v>
      </c>
      <c r="I6159" s="62" t="n">
        <v>207.84</v>
      </c>
      <c r="J6159" s="58" t="inlineStr">
        <is>
          <t>Store</t>
        </is>
      </c>
      <c r="K6159" s="62">
        <f>F6159*(G6159-H6159)</f>
        <v/>
      </c>
      <c r="L6159" s="62">
        <f>K6159-(F6159*I6159)</f>
        <v/>
      </c>
      <c r="M6159" s="64">
        <f>L6159/K6159</f>
        <v/>
      </c>
    </row>
    <row r="6160">
      <c r="A6160" s="58" t="inlineStr">
        <is>
          <t>RT20250605-06159</t>
        </is>
      </c>
      <c r="B6160" s="59" t="inlineStr">
        <is>
          <t>2025-06-05</t>
        </is>
      </c>
      <c r="C6160" s="60" t="inlineStr">
        <is>
          <t>Polar Laptop Plus-984</t>
        </is>
      </c>
      <c r="D6160" s="58" t="inlineStr">
        <is>
          <t>Electronics</t>
        </is>
      </c>
      <c r="E6160" s="58" t="inlineStr">
        <is>
          <t>East</t>
        </is>
      </c>
      <c r="F6160" s="61" t="n">
        <v>1</v>
      </c>
      <c r="G6160" s="62" t="n">
        <v>1222.35</v>
      </c>
      <c r="H6160" s="63" t="n">
        <v>0.033</v>
      </c>
      <c r="I6160" s="62" t="n">
        <v>978.66</v>
      </c>
      <c r="J6160" s="58" t="inlineStr">
        <is>
          <t>Store</t>
        </is>
      </c>
      <c r="K6160" s="62">
        <f>F6160*(G6160-H6160)</f>
        <v/>
      </c>
      <c r="L6160" s="62">
        <f>K6160-(F6160*I6160)</f>
        <v/>
      </c>
      <c r="M6160" s="64">
        <f>L6160/K6160</f>
        <v/>
      </c>
    </row>
    <row r="6161">
      <c r="A6161" s="58" t="inlineStr">
        <is>
          <t>RT20250605-06160</t>
        </is>
      </c>
      <c r="B6161" s="59" t="inlineStr">
        <is>
          <t>2025-06-05</t>
        </is>
      </c>
      <c r="C6161" s="60" t="inlineStr">
        <is>
          <t>Vertex Supplie X-513</t>
        </is>
      </c>
      <c r="D6161" s="58" t="inlineStr">
        <is>
          <t>Office</t>
        </is>
      </c>
      <c r="E6161" s="58" t="inlineStr">
        <is>
          <t>West</t>
        </is>
      </c>
      <c r="F6161" s="61" t="n">
        <v>2</v>
      </c>
      <c r="G6161" s="62" t="n">
        <v>412.29</v>
      </c>
      <c r="H6161" s="63" t="n">
        <v>0.024</v>
      </c>
      <c r="I6161" s="62" t="n">
        <v>274.14</v>
      </c>
      <c r="J6161" s="58" t="inlineStr">
        <is>
          <t>Store</t>
        </is>
      </c>
      <c r="K6161" s="62">
        <f>F6161*(G6161-H6161)</f>
        <v/>
      </c>
      <c r="L6161" s="62">
        <f>K6161-(F6161*I6161)</f>
        <v/>
      </c>
      <c r="M6161" s="64">
        <f>L6161/K6161</f>
        <v/>
      </c>
    </row>
    <row r="6162">
      <c r="A6162" s="58" t="inlineStr">
        <is>
          <t>RT20250606-06161</t>
        </is>
      </c>
      <c r="B6162" s="59" t="inlineStr">
        <is>
          <t>2025-06-06</t>
        </is>
      </c>
      <c r="C6162" s="60" t="inlineStr">
        <is>
          <t>Polar Cycling X-649</t>
        </is>
      </c>
      <c r="D6162" s="58" t="inlineStr">
        <is>
          <t>Sports</t>
        </is>
      </c>
      <c r="E6162" s="58" t="inlineStr">
        <is>
          <t>West</t>
        </is>
      </c>
      <c r="F6162" s="61" t="n">
        <v>3</v>
      </c>
      <c r="G6162" s="62" t="n">
        <v>505.5</v>
      </c>
      <c r="H6162" s="63" t="n">
        <v>0.075</v>
      </c>
      <c r="I6162" s="62" t="n">
        <v>354.25</v>
      </c>
      <c r="J6162" s="58" t="inlineStr">
        <is>
          <t>Phone</t>
        </is>
      </c>
      <c r="K6162" s="62">
        <f>F6162*(G6162-H6162)</f>
        <v/>
      </c>
      <c r="L6162" s="62">
        <f>K6162-(F6162*I6162)</f>
        <v/>
      </c>
      <c r="M6162" s="64">
        <f>L6162/K6162</f>
        <v/>
      </c>
    </row>
    <row r="6163">
      <c r="A6163" s="58" t="inlineStr">
        <is>
          <t>RT20250606-06162</t>
        </is>
      </c>
      <c r="B6163" s="59" t="inlineStr">
        <is>
          <t>2025-06-06</t>
        </is>
      </c>
      <c r="C6163" s="60" t="inlineStr">
        <is>
          <t>Metro Outdoor Plus-787</t>
        </is>
      </c>
      <c r="D6163" s="58" t="inlineStr">
        <is>
          <t>Sports</t>
        </is>
      </c>
      <c r="E6163" s="58" t="inlineStr">
        <is>
          <t>Central</t>
        </is>
      </c>
      <c r="F6163" s="61" t="n">
        <v>2</v>
      </c>
      <c r="G6163" s="62" t="n">
        <v>503.94</v>
      </c>
      <c r="H6163" s="63" t="n">
        <v>0.04</v>
      </c>
      <c r="I6163" s="62" t="n">
        <v>358.71</v>
      </c>
      <c r="J6163" s="58" t="inlineStr">
        <is>
          <t>Online</t>
        </is>
      </c>
      <c r="K6163" s="62">
        <f>F6163*(G6163-H6163)</f>
        <v/>
      </c>
      <c r="L6163" s="62">
        <f>K6163-(F6163*I6163)</f>
        <v/>
      </c>
      <c r="M6163" s="64">
        <f>L6163/K6163</f>
        <v/>
      </c>
    </row>
    <row r="6164">
      <c r="A6164" s="58" t="inlineStr">
        <is>
          <t>RT20250606-06163</t>
        </is>
      </c>
      <c r="B6164" s="59" t="inlineStr">
        <is>
          <t>2025-06-06</t>
        </is>
      </c>
      <c r="C6164" s="60" t="inlineStr">
        <is>
          <t>Orion Beverage Plus-949</t>
        </is>
      </c>
      <c r="D6164" s="58" t="inlineStr">
        <is>
          <t>Grocery</t>
        </is>
      </c>
      <c r="E6164" s="58" t="inlineStr">
        <is>
          <t>North</t>
        </is>
      </c>
      <c r="F6164" s="61" t="n">
        <v>5</v>
      </c>
      <c r="G6164" s="62" t="n">
        <v>17.58</v>
      </c>
      <c r="H6164" s="63" t="n">
        <v>0</v>
      </c>
      <c r="I6164" s="62" t="n">
        <v>13.71</v>
      </c>
      <c r="J6164" s="58" t="inlineStr">
        <is>
          <t>Store</t>
        </is>
      </c>
      <c r="K6164" s="62">
        <f>F6164*(G6164-H6164)</f>
        <v/>
      </c>
      <c r="L6164" s="62">
        <f>K6164-(F6164*I6164)</f>
        <v/>
      </c>
      <c r="M6164" s="64">
        <f>L6164/K6164</f>
        <v/>
      </c>
    </row>
    <row r="6165">
      <c r="A6165" s="58" t="inlineStr">
        <is>
          <t>RT20250606-06164</t>
        </is>
      </c>
      <c r="B6165" s="59" t="inlineStr">
        <is>
          <t>2025-06-06</t>
        </is>
      </c>
      <c r="C6165" s="60" t="inlineStr">
        <is>
          <t>Vertex Decor Pro-618</t>
        </is>
      </c>
      <c r="D6165" s="58" t="inlineStr">
        <is>
          <t>Home</t>
        </is>
      </c>
      <c r="E6165" s="58" t="inlineStr">
        <is>
          <t>Central</t>
        </is>
      </c>
      <c r="F6165" s="61" t="n">
        <v>3</v>
      </c>
      <c r="G6165" s="62" t="n">
        <v>579.6799999999999</v>
      </c>
      <c r="H6165" s="63" t="n">
        <v>0.013</v>
      </c>
      <c r="I6165" s="62" t="n">
        <v>374.76</v>
      </c>
      <c r="J6165" s="58" t="inlineStr">
        <is>
          <t>Store</t>
        </is>
      </c>
      <c r="K6165" s="62">
        <f>F6165*(G6165-H6165)</f>
        <v/>
      </c>
      <c r="L6165" s="62">
        <f>K6165-(F6165*I6165)</f>
        <v/>
      </c>
      <c r="M6165" s="64">
        <f>L6165/K6165</f>
        <v/>
      </c>
    </row>
    <row r="6166">
      <c r="A6166" s="58" t="inlineStr">
        <is>
          <t>RT20250606-06165</t>
        </is>
      </c>
      <c r="B6166" s="59" t="inlineStr">
        <is>
          <t>2025-06-06</t>
        </is>
      </c>
      <c r="C6166" s="60" t="inlineStr">
        <is>
          <t>Aurora Kid Plus-151</t>
        </is>
      </c>
      <c r="D6166" s="58" t="inlineStr">
        <is>
          <t>Apparel</t>
        </is>
      </c>
      <c r="E6166" s="58" t="inlineStr">
        <is>
          <t>South</t>
        </is>
      </c>
      <c r="F6166" s="61" t="n">
        <v>1</v>
      </c>
      <c r="G6166" s="62" t="n">
        <v>119.7</v>
      </c>
      <c r="H6166" s="63" t="n">
        <v>0.061</v>
      </c>
      <c r="I6166" s="62" t="n">
        <v>63.65</v>
      </c>
      <c r="J6166" s="58" t="inlineStr">
        <is>
          <t>Store</t>
        </is>
      </c>
      <c r="K6166" s="62">
        <f>F6166*(G6166-H6166)</f>
        <v/>
      </c>
      <c r="L6166" s="62">
        <f>K6166-(F6166*I6166)</f>
        <v/>
      </c>
      <c r="M6166" s="64">
        <f>L6166/K6166</f>
        <v/>
      </c>
    </row>
    <row r="6167">
      <c r="A6167" s="58" t="inlineStr">
        <is>
          <t>RT20250606-06166</t>
        </is>
      </c>
      <c r="B6167" s="59" t="inlineStr">
        <is>
          <t>2025-06-06</t>
        </is>
      </c>
      <c r="C6167" s="60" t="inlineStr">
        <is>
          <t>Aurora Haircare S-975</t>
        </is>
      </c>
      <c r="D6167" s="58" t="inlineStr">
        <is>
          <t>Beauty</t>
        </is>
      </c>
      <c r="E6167" s="58" t="inlineStr">
        <is>
          <t>North</t>
        </is>
      </c>
      <c r="F6167" s="61" t="n">
        <v>5</v>
      </c>
      <c r="G6167" s="62" t="n">
        <v>83.23</v>
      </c>
      <c r="H6167" s="63" t="n">
        <v>0.102</v>
      </c>
      <c r="I6167" s="62" t="n">
        <v>60.01</v>
      </c>
      <c r="J6167" s="58" t="inlineStr">
        <is>
          <t>Online</t>
        </is>
      </c>
      <c r="K6167" s="62">
        <f>F6167*(G6167-H6167)</f>
        <v/>
      </c>
      <c r="L6167" s="62">
        <f>K6167-(F6167*I6167)</f>
        <v/>
      </c>
      <c r="M6167" s="64">
        <f>L6167/K6167</f>
        <v/>
      </c>
    </row>
    <row r="6168">
      <c r="A6168" s="58" t="inlineStr">
        <is>
          <t>RT20250606-06167</t>
        </is>
      </c>
      <c r="B6168" s="59" t="inlineStr">
        <is>
          <t>2025-06-06</t>
        </is>
      </c>
      <c r="C6168" s="60" t="inlineStr">
        <is>
          <t>Vertex Appliance S-296</t>
        </is>
      </c>
      <c r="D6168" s="58" t="inlineStr">
        <is>
          <t>Home</t>
        </is>
      </c>
      <c r="E6168" s="58" t="inlineStr">
        <is>
          <t>West</t>
        </is>
      </c>
      <c r="F6168" s="61" t="n">
        <v>3</v>
      </c>
      <c r="G6168" s="62" t="n">
        <v>485.48</v>
      </c>
      <c r="H6168" s="63" t="n">
        <v>0.02</v>
      </c>
      <c r="I6168" s="62" t="n">
        <v>355.3</v>
      </c>
      <c r="J6168" s="58" t="inlineStr">
        <is>
          <t>Store</t>
        </is>
      </c>
      <c r="K6168" s="62">
        <f>F6168*(G6168-H6168)</f>
        <v/>
      </c>
      <c r="L6168" s="62">
        <f>K6168-(F6168*I6168)</f>
        <v/>
      </c>
      <c r="M6168" s="64">
        <f>L6168/K6168</f>
        <v/>
      </c>
    </row>
    <row r="6169">
      <c r="A6169" s="58" t="inlineStr">
        <is>
          <t>RT20250606-06168</t>
        </is>
      </c>
      <c r="B6169" s="59" t="inlineStr">
        <is>
          <t>2025-06-06</t>
        </is>
      </c>
      <c r="C6169" s="60" t="inlineStr">
        <is>
          <t>Vertex Appliance S-296</t>
        </is>
      </c>
      <c r="D6169" s="58" t="inlineStr">
        <is>
          <t>Home</t>
        </is>
      </c>
      <c r="E6169" s="58" t="inlineStr">
        <is>
          <t>West</t>
        </is>
      </c>
      <c r="F6169" s="61" t="n">
        <v>2</v>
      </c>
      <c r="G6169" s="62" t="n">
        <v>466.66</v>
      </c>
      <c r="H6169" s="63" t="n">
        <v>0.082</v>
      </c>
      <c r="I6169" s="62" t="n">
        <v>346.86</v>
      </c>
      <c r="J6169" s="58" t="inlineStr">
        <is>
          <t>Online</t>
        </is>
      </c>
      <c r="K6169" s="62">
        <f>F6169*(G6169-H6169)</f>
        <v/>
      </c>
      <c r="L6169" s="62">
        <f>K6169-(F6169*I6169)</f>
        <v/>
      </c>
      <c r="M6169" s="64">
        <f>L6169/K6169</f>
        <v/>
      </c>
    </row>
    <row r="6170">
      <c r="A6170" s="58" t="inlineStr">
        <is>
          <t>RT20250606-06169</t>
        </is>
      </c>
      <c r="B6170" s="59" t="inlineStr">
        <is>
          <t>2025-06-06</t>
        </is>
      </c>
      <c r="C6170" s="60" t="inlineStr">
        <is>
          <t>Metro Wearable Plus-234</t>
        </is>
      </c>
      <c r="D6170" s="58" t="inlineStr">
        <is>
          <t>Electronics</t>
        </is>
      </c>
      <c r="E6170" s="58" t="inlineStr">
        <is>
          <t>West</t>
        </is>
      </c>
      <c r="F6170" s="61" t="n">
        <v>2</v>
      </c>
      <c r="G6170" s="62" t="n">
        <v>1328.98</v>
      </c>
      <c r="H6170" s="63" t="n">
        <v>0.048</v>
      </c>
      <c r="I6170" s="62" t="n">
        <v>1181.98</v>
      </c>
      <c r="J6170" s="58" t="inlineStr">
        <is>
          <t>Online</t>
        </is>
      </c>
      <c r="K6170" s="62">
        <f>F6170*(G6170-H6170)</f>
        <v/>
      </c>
      <c r="L6170" s="62">
        <f>K6170-(F6170*I6170)</f>
        <v/>
      </c>
      <c r="M6170" s="64">
        <f>L6170/K6170</f>
        <v/>
      </c>
    </row>
    <row r="6171">
      <c r="A6171" s="58" t="inlineStr">
        <is>
          <t>RT20250606-06170</t>
        </is>
      </c>
      <c r="B6171" s="59" t="inlineStr">
        <is>
          <t>2025-06-06</t>
        </is>
      </c>
      <c r="C6171" s="60" t="inlineStr">
        <is>
          <t>Solace Headphone Pro-344</t>
        </is>
      </c>
      <c r="D6171" s="58" t="inlineStr">
        <is>
          <t>Electronics</t>
        </is>
      </c>
      <c r="E6171" s="58" t="inlineStr">
        <is>
          <t>North</t>
        </is>
      </c>
      <c r="F6171" s="61" t="n">
        <v>2</v>
      </c>
      <c r="G6171" s="62" t="n">
        <v>1493.57</v>
      </c>
      <c r="H6171" s="63" t="n">
        <v>0</v>
      </c>
      <c r="I6171" s="62" t="n">
        <v>1075.18</v>
      </c>
      <c r="J6171" s="58" t="inlineStr">
        <is>
          <t>Online</t>
        </is>
      </c>
      <c r="K6171" s="62">
        <f>F6171*(G6171-H6171)</f>
        <v/>
      </c>
      <c r="L6171" s="62">
        <f>K6171-(F6171*I6171)</f>
        <v/>
      </c>
      <c r="M6171" s="64">
        <f>L6171/K6171</f>
        <v/>
      </c>
    </row>
    <row r="6172">
      <c r="A6172" s="58" t="inlineStr">
        <is>
          <t>RT20250606-06171</t>
        </is>
      </c>
      <c r="B6172" s="59" t="inlineStr">
        <is>
          <t>2025-06-06</t>
        </is>
      </c>
      <c r="C6172" s="60" t="inlineStr">
        <is>
          <t>Solace Kitchen Pro-999</t>
        </is>
      </c>
      <c r="D6172" s="58" t="inlineStr">
        <is>
          <t>Home</t>
        </is>
      </c>
      <c r="E6172" s="58" t="inlineStr">
        <is>
          <t>East</t>
        </is>
      </c>
      <c r="F6172" s="61" t="n">
        <v>3</v>
      </c>
      <c r="G6172" s="62" t="n">
        <v>409.06</v>
      </c>
      <c r="H6172" s="63" t="n">
        <v>0.073</v>
      </c>
      <c r="I6172" s="62" t="n">
        <v>268.98</v>
      </c>
      <c r="J6172" s="58" t="inlineStr">
        <is>
          <t>Store</t>
        </is>
      </c>
      <c r="K6172" s="62">
        <f>F6172*(G6172-H6172)</f>
        <v/>
      </c>
      <c r="L6172" s="62">
        <f>K6172-(F6172*I6172)</f>
        <v/>
      </c>
      <c r="M6172" s="64">
        <f>L6172/K6172</f>
        <v/>
      </c>
    </row>
    <row r="6173">
      <c r="A6173" s="58" t="inlineStr">
        <is>
          <t>RT20250606-06172</t>
        </is>
      </c>
      <c r="B6173" s="59" t="inlineStr">
        <is>
          <t>2025-06-06</t>
        </is>
      </c>
      <c r="C6173" s="60" t="inlineStr">
        <is>
          <t>Polar Women S-662</t>
        </is>
      </c>
      <c r="D6173" s="58" t="inlineStr">
        <is>
          <t>Apparel</t>
        </is>
      </c>
      <c r="E6173" s="58" t="inlineStr">
        <is>
          <t>West</t>
        </is>
      </c>
      <c r="F6173" s="61" t="n">
        <v>4</v>
      </c>
      <c r="G6173" s="62" t="n">
        <v>189.61</v>
      </c>
      <c r="H6173" s="63" t="n">
        <v>0.068</v>
      </c>
      <c r="I6173" s="62" t="n">
        <v>98.86</v>
      </c>
      <c r="J6173" s="58" t="inlineStr">
        <is>
          <t>Store</t>
        </is>
      </c>
      <c r="K6173" s="62">
        <f>F6173*(G6173-H6173)</f>
        <v/>
      </c>
      <c r="L6173" s="62">
        <f>K6173-(F6173*I6173)</f>
        <v/>
      </c>
      <c r="M6173" s="64">
        <f>L6173/K6173</f>
        <v/>
      </c>
    </row>
    <row r="6174">
      <c r="A6174" s="58" t="inlineStr">
        <is>
          <t>RT20250606-06173</t>
        </is>
      </c>
      <c r="B6174" s="59" t="inlineStr">
        <is>
          <t>2025-06-06</t>
        </is>
      </c>
      <c r="C6174" s="60" t="inlineStr">
        <is>
          <t>Nimbus Women Lite-814</t>
        </is>
      </c>
      <c r="D6174" s="58" t="inlineStr">
        <is>
          <t>Apparel</t>
        </is>
      </c>
      <c r="E6174" s="58" t="inlineStr">
        <is>
          <t>West</t>
        </is>
      </c>
      <c r="F6174" s="61" t="n">
        <v>2</v>
      </c>
      <c r="G6174" s="62" t="n">
        <v>144.74</v>
      </c>
      <c r="H6174" s="63" t="n">
        <v>0.092</v>
      </c>
      <c r="I6174" s="62" t="n">
        <v>84.92</v>
      </c>
      <c r="J6174" s="58" t="inlineStr">
        <is>
          <t>Store</t>
        </is>
      </c>
      <c r="K6174" s="62">
        <f>F6174*(G6174-H6174)</f>
        <v/>
      </c>
      <c r="L6174" s="62">
        <f>K6174-(F6174*I6174)</f>
        <v/>
      </c>
      <c r="M6174" s="64">
        <f>L6174/K6174</f>
        <v/>
      </c>
    </row>
    <row r="6175">
      <c r="A6175" s="58" t="inlineStr">
        <is>
          <t>RT20250606-06174</t>
        </is>
      </c>
      <c r="B6175" s="59" t="inlineStr">
        <is>
          <t>2025-06-06</t>
        </is>
      </c>
      <c r="C6175" s="60" t="inlineStr">
        <is>
          <t>Falcon Cycling Pro-499</t>
        </is>
      </c>
      <c r="D6175" s="58" t="inlineStr">
        <is>
          <t>Sports</t>
        </is>
      </c>
      <c r="E6175" s="58" t="inlineStr">
        <is>
          <t>South</t>
        </is>
      </c>
      <c r="F6175" s="61" t="n">
        <v>2</v>
      </c>
      <c r="G6175" s="62" t="n">
        <v>633.59</v>
      </c>
      <c r="H6175" s="63" t="n">
        <v>0.079</v>
      </c>
      <c r="I6175" s="62" t="n">
        <v>410.35</v>
      </c>
      <c r="J6175" s="58" t="inlineStr">
        <is>
          <t>Online</t>
        </is>
      </c>
      <c r="K6175" s="62">
        <f>F6175*(G6175-H6175)</f>
        <v/>
      </c>
      <c r="L6175" s="62">
        <f>K6175-(F6175*I6175)</f>
        <v/>
      </c>
      <c r="M6175" s="64">
        <f>L6175/K6175</f>
        <v/>
      </c>
    </row>
    <row r="6176">
      <c r="A6176" s="58" t="inlineStr">
        <is>
          <t>RT20250606-06175</t>
        </is>
      </c>
      <c r="B6176" s="59" t="inlineStr">
        <is>
          <t>2025-06-06</t>
        </is>
      </c>
      <c r="C6176" s="60" t="inlineStr">
        <is>
          <t>Aurora Kid Plus-151</t>
        </is>
      </c>
      <c r="D6176" s="58" t="inlineStr">
        <is>
          <t>Apparel</t>
        </is>
      </c>
      <c r="E6176" s="58" t="inlineStr">
        <is>
          <t>South</t>
        </is>
      </c>
      <c r="F6176" s="61" t="n">
        <v>3</v>
      </c>
      <c r="G6176" s="62" t="n">
        <v>113.5</v>
      </c>
      <c r="H6176" s="63" t="n">
        <v>0.098</v>
      </c>
      <c r="I6176" s="62" t="n">
        <v>65.33</v>
      </c>
      <c r="J6176" s="58" t="inlineStr">
        <is>
          <t>Online</t>
        </is>
      </c>
      <c r="K6176" s="62">
        <f>F6176*(G6176-H6176)</f>
        <v/>
      </c>
      <c r="L6176" s="62">
        <f>K6176-(F6176*I6176)</f>
        <v/>
      </c>
      <c r="M6176" s="64">
        <f>L6176/K6176</f>
        <v/>
      </c>
    </row>
    <row r="6177">
      <c r="A6177" s="58" t="inlineStr">
        <is>
          <t>RT20250606-06176</t>
        </is>
      </c>
      <c r="B6177" s="59" t="inlineStr">
        <is>
          <t>2025-06-06</t>
        </is>
      </c>
      <c r="C6177" s="60" t="inlineStr">
        <is>
          <t>Aurora Furniture X-709</t>
        </is>
      </c>
      <c r="D6177" s="58" t="inlineStr">
        <is>
          <t>Office</t>
        </is>
      </c>
      <c r="E6177" s="58" t="inlineStr">
        <is>
          <t>East</t>
        </is>
      </c>
      <c r="F6177" s="61" t="n">
        <v>1</v>
      </c>
      <c r="G6177" s="62" t="n">
        <v>465.78</v>
      </c>
      <c r="H6177" s="63" t="n">
        <v>0</v>
      </c>
      <c r="I6177" s="62" t="n">
        <v>312.96</v>
      </c>
      <c r="J6177" s="58" t="inlineStr">
        <is>
          <t>Store</t>
        </is>
      </c>
      <c r="K6177" s="62">
        <f>F6177*(G6177-H6177)</f>
        <v/>
      </c>
      <c r="L6177" s="62">
        <f>K6177-(F6177*I6177)</f>
        <v/>
      </c>
      <c r="M6177" s="64">
        <f>L6177/K6177</f>
        <v/>
      </c>
    </row>
    <row r="6178">
      <c r="A6178" s="58" t="inlineStr">
        <is>
          <t>RT20250606-06177</t>
        </is>
      </c>
      <c r="B6178" s="59" t="inlineStr">
        <is>
          <t>2025-06-06</t>
        </is>
      </c>
      <c r="C6178" s="60" t="inlineStr">
        <is>
          <t>Orion Fragrance Lite-785</t>
        </is>
      </c>
      <c r="D6178" s="58" t="inlineStr">
        <is>
          <t>Beauty</t>
        </is>
      </c>
      <c r="E6178" s="58" t="inlineStr">
        <is>
          <t>West</t>
        </is>
      </c>
      <c r="F6178" s="61" t="n">
        <v>5</v>
      </c>
      <c r="G6178" s="62" t="n">
        <v>42.32</v>
      </c>
      <c r="H6178" s="63" t="n">
        <v>0.034</v>
      </c>
      <c r="I6178" s="62" t="n">
        <v>26.51</v>
      </c>
      <c r="J6178" s="58" t="inlineStr">
        <is>
          <t>Phone</t>
        </is>
      </c>
      <c r="K6178" s="62">
        <f>F6178*(G6178-H6178)</f>
        <v/>
      </c>
      <c r="L6178" s="62">
        <f>K6178-(F6178*I6178)</f>
        <v/>
      </c>
      <c r="M6178" s="64">
        <f>L6178/K6178</f>
        <v/>
      </c>
    </row>
    <row r="6179">
      <c r="A6179" s="58" t="inlineStr">
        <is>
          <t>RT20250606-06178</t>
        </is>
      </c>
      <c r="B6179" s="59" t="inlineStr">
        <is>
          <t>2025-06-06</t>
        </is>
      </c>
      <c r="C6179" s="60" t="inlineStr">
        <is>
          <t>Aurora Furniture X-709</t>
        </is>
      </c>
      <c r="D6179" s="58" t="inlineStr">
        <is>
          <t>Office</t>
        </is>
      </c>
      <c r="E6179" s="58" t="inlineStr">
        <is>
          <t>South</t>
        </is>
      </c>
      <c r="F6179" s="61" t="n">
        <v>2</v>
      </c>
      <c r="G6179" s="62" t="n">
        <v>436.51</v>
      </c>
      <c r="H6179" s="63" t="n">
        <v>0.082</v>
      </c>
      <c r="I6179" s="62" t="n">
        <v>315.12</v>
      </c>
      <c r="J6179" s="58" t="inlineStr">
        <is>
          <t>Store</t>
        </is>
      </c>
      <c r="K6179" s="62">
        <f>F6179*(G6179-H6179)</f>
        <v/>
      </c>
      <c r="L6179" s="62">
        <f>K6179-(F6179*I6179)</f>
        <v/>
      </c>
      <c r="M6179" s="64">
        <f>L6179/K6179</f>
        <v/>
      </c>
    </row>
    <row r="6180">
      <c r="A6180" s="58" t="inlineStr">
        <is>
          <t>RT20250606-06179</t>
        </is>
      </c>
      <c r="B6180" s="59" t="inlineStr">
        <is>
          <t>2025-06-06</t>
        </is>
      </c>
      <c r="C6180" s="60" t="inlineStr">
        <is>
          <t>Orion Haircare Plus-887</t>
        </is>
      </c>
      <c r="D6180" s="58" t="inlineStr">
        <is>
          <t>Beauty</t>
        </is>
      </c>
      <c r="E6180" s="58" t="inlineStr">
        <is>
          <t>West</t>
        </is>
      </c>
      <c r="F6180" s="61" t="n">
        <v>4</v>
      </c>
      <c r="G6180" s="62" t="n">
        <v>46.84</v>
      </c>
      <c r="H6180" s="63" t="n">
        <v>0.06900000000000001</v>
      </c>
      <c r="I6180" s="62" t="n">
        <v>29.98</v>
      </c>
      <c r="J6180" s="58" t="inlineStr">
        <is>
          <t>Store</t>
        </is>
      </c>
      <c r="K6180" s="62">
        <f>F6180*(G6180-H6180)</f>
        <v/>
      </c>
      <c r="L6180" s="62">
        <f>K6180-(F6180*I6180)</f>
        <v/>
      </c>
      <c r="M6180" s="64">
        <f>L6180/K6180</f>
        <v/>
      </c>
    </row>
    <row r="6181">
      <c r="A6181" s="58" t="inlineStr">
        <is>
          <t>RT20250606-06180</t>
        </is>
      </c>
      <c r="B6181" s="59" t="inlineStr">
        <is>
          <t>2025-06-06</t>
        </is>
      </c>
      <c r="C6181" s="60" t="inlineStr">
        <is>
          <t>Orion Men X-928</t>
        </is>
      </c>
      <c r="D6181" s="58" t="inlineStr">
        <is>
          <t>Apparel</t>
        </is>
      </c>
      <c r="E6181" s="58" t="inlineStr">
        <is>
          <t>East</t>
        </is>
      </c>
      <c r="F6181" s="61" t="n">
        <v>2</v>
      </c>
      <c r="G6181" s="62" t="n">
        <v>114.51</v>
      </c>
      <c r="H6181" s="63" t="n">
        <v>0.07000000000000001</v>
      </c>
      <c r="I6181" s="62" t="n">
        <v>62.45</v>
      </c>
      <c r="J6181" s="58" t="inlineStr">
        <is>
          <t>Online</t>
        </is>
      </c>
      <c r="K6181" s="62">
        <f>F6181*(G6181-H6181)</f>
        <v/>
      </c>
      <c r="L6181" s="62">
        <f>K6181-(F6181*I6181)</f>
        <v/>
      </c>
      <c r="M6181" s="64">
        <f>L6181/K6181</f>
        <v/>
      </c>
    </row>
    <row r="6182">
      <c r="A6182" s="58" t="inlineStr">
        <is>
          <t>RT20250606-06181</t>
        </is>
      </c>
      <c r="B6182" s="59" t="inlineStr">
        <is>
          <t>2025-06-06</t>
        </is>
      </c>
      <c r="C6182" s="60" t="inlineStr">
        <is>
          <t>Nimbus Furniture Pro-479</t>
        </is>
      </c>
      <c r="D6182" s="58" t="inlineStr">
        <is>
          <t>Office</t>
        </is>
      </c>
      <c r="E6182" s="58" t="inlineStr">
        <is>
          <t>West</t>
        </is>
      </c>
      <c r="F6182" s="61" t="n">
        <v>2</v>
      </c>
      <c r="G6182" s="62" t="n">
        <v>382.78</v>
      </c>
      <c r="H6182" s="63" t="n">
        <v>0.09</v>
      </c>
      <c r="I6182" s="62" t="n">
        <v>237.3</v>
      </c>
      <c r="J6182" s="58" t="inlineStr">
        <is>
          <t>Store</t>
        </is>
      </c>
      <c r="K6182" s="62">
        <f>F6182*(G6182-H6182)</f>
        <v/>
      </c>
      <c r="L6182" s="62">
        <f>K6182-(F6182*I6182)</f>
        <v/>
      </c>
      <c r="M6182" s="64">
        <f>L6182/K6182</f>
        <v/>
      </c>
    </row>
    <row r="6183">
      <c r="A6183" s="58" t="inlineStr">
        <is>
          <t>RT20250606-06182</t>
        </is>
      </c>
      <c r="B6183" s="59" t="inlineStr">
        <is>
          <t>2025-06-06</t>
        </is>
      </c>
      <c r="C6183" s="60" t="inlineStr">
        <is>
          <t>Vertex Snack S-702</t>
        </is>
      </c>
      <c r="D6183" s="58" t="inlineStr">
        <is>
          <t>Grocery</t>
        </is>
      </c>
      <c r="E6183" s="58" t="inlineStr">
        <is>
          <t>South</t>
        </is>
      </c>
      <c r="F6183" s="61" t="n">
        <v>6</v>
      </c>
      <c r="G6183" s="62" t="n">
        <v>2.12</v>
      </c>
      <c r="H6183" s="63" t="n">
        <v>0.021</v>
      </c>
      <c r="I6183" s="62" t="n">
        <v>1.46</v>
      </c>
      <c r="J6183" s="58" t="inlineStr">
        <is>
          <t>Online</t>
        </is>
      </c>
      <c r="K6183" s="62">
        <f>F6183*(G6183-H6183)</f>
        <v/>
      </c>
      <c r="L6183" s="62">
        <f>K6183-(F6183*I6183)</f>
        <v/>
      </c>
      <c r="M6183" s="64">
        <f>L6183/K6183</f>
        <v/>
      </c>
    </row>
    <row r="6184">
      <c r="A6184" s="58" t="inlineStr">
        <is>
          <t>RT20250606-06183</t>
        </is>
      </c>
      <c r="B6184" s="59" t="inlineStr">
        <is>
          <t>2025-06-06</t>
        </is>
      </c>
      <c r="C6184" s="60" t="inlineStr">
        <is>
          <t>Orion Storage Plus-961</t>
        </is>
      </c>
      <c r="D6184" s="58" t="inlineStr">
        <is>
          <t>Office</t>
        </is>
      </c>
      <c r="E6184" s="58" t="inlineStr">
        <is>
          <t>South</t>
        </is>
      </c>
      <c r="F6184" s="61" t="n">
        <v>1</v>
      </c>
      <c r="G6184" s="62" t="n">
        <v>461.98</v>
      </c>
      <c r="H6184" s="63" t="n">
        <v>0.081</v>
      </c>
      <c r="I6184" s="62" t="n">
        <v>363.73</v>
      </c>
      <c r="J6184" s="58" t="inlineStr">
        <is>
          <t>Online</t>
        </is>
      </c>
      <c r="K6184" s="62">
        <f>F6184*(G6184-H6184)</f>
        <v/>
      </c>
      <c r="L6184" s="62">
        <f>K6184-(F6184*I6184)</f>
        <v/>
      </c>
      <c r="M6184" s="64">
        <f>L6184/K6184</f>
        <v/>
      </c>
    </row>
    <row r="6185">
      <c r="A6185" s="58" t="inlineStr">
        <is>
          <t>RT20250606-06184</t>
        </is>
      </c>
      <c r="B6185" s="59" t="inlineStr">
        <is>
          <t>2025-06-06</t>
        </is>
      </c>
      <c r="C6185" s="60" t="inlineStr">
        <is>
          <t>Metro Beverage Max-490</t>
        </is>
      </c>
      <c r="D6185" s="58" t="inlineStr">
        <is>
          <t>Grocery</t>
        </is>
      </c>
      <c r="E6185" s="58" t="inlineStr">
        <is>
          <t>East</t>
        </is>
      </c>
      <c r="F6185" s="61" t="n">
        <v>2</v>
      </c>
      <c r="G6185" s="62" t="n">
        <v>11.26</v>
      </c>
      <c r="H6185" s="63" t="n">
        <v>0.02</v>
      </c>
      <c r="I6185" s="62" t="n">
        <v>8.220000000000001</v>
      </c>
      <c r="J6185" s="58" t="inlineStr">
        <is>
          <t>Online</t>
        </is>
      </c>
      <c r="K6185" s="62">
        <f>F6185*(G6185-H6185)</f>
        <v/>
      </c>
      <c r="L6185" s="62">
        <f>K6185-(F6185*I6185)</f>
        <v/>
      </c>
      <c r="M6185" s="64">
        <f>L6185/K6185</f>
        <v/>
      </c>
    </row>
    <row r="6186">
      <c r="A6186" s="58" t="inlineStr">
        <is>
          <t>RT20250606-06185</t>
        </is>
      </c>
      <c r="B6186" s="59" t="inlineStr">
        <is>
          <t>2025-06-06</t>
        </is>
      </c>
      <c r="C6186" s="60" t="inlineStr">
        <is>
          <t>Vertex Snack S-702</t>
        </is>
      </c>
      <c r="D6186" s="58" t="inlineStr">
        <is>
          <t>Grocery</t>
        </is>
      </c>
      <c r="E6186" s="58" t="inlineStr">
        <is>
          <t>East</t>
        </is>
      </c>
      <c r="F6186" s="61" t="n">
        <v>2</v>
      </c>
      <c r="G6186" s="62" t="n">
        <v>1.94</v>
      </c>
      <c r="H6186" s="63" t="n">
        <v>0.06</v>
      </c>
      <c r="I6186" s="62" t="n">
        <v>1.51</v>
      </c>
      <c r="J6186" s="58" t="inlineStr">
        <is>
          <t>Online</t>
        </is>
      </c>
      <c r="K6186" s="62">
        <f>F6186*(G6186-H6186)</f>
        <v/>
      </c>
      <c r="L6186" s="62">
        <f>K6186-(F6186*I6186)</f>
        <v/>
      </c>
      <c r="M6186" s="64">
        <f>L6186/K6186</f>
        <v/>
      </c>
    </row>
    <row r="6187">
      <c r="A6187" s="58" t="inlineStr">
        <is>
          <t>RT20250606-06186</t>
        </is>
      </c>
      <c r="B6187" s="59" t="inlineStr">
        <is>
          <t>2025-06-06</t>
        </is>
      </c>
      <c r="C6187" s="60" t="inlineStr">
        <is>
          <t>Vertex Appliance S-159</t>
        </is>
      </c>
      <c r="D6187" s="58" t="inlineStr">
        <is>
          <t>Home</t>
        </is>
      </c>
      <c r="E6187" s="58" t="inlineStr">
        <is>
          <t>West</t>
        </is>
      </c>
      <c r="F6187" s="61" t="n">
        <v>2</v>
      </c>
      <c r="G6187" s="62" t="n">
        <v>423.09</v>
      </c>
      <c r="H6187" s="63" t="n">
        <v>0.123</v>
      </c>
      <c r="I6187" s="62" t="n">
        <v>290.7</v>
      </c>
      <c r="J6187" s="58" t="inlineStr">
        <is>
          <t>Online</t>
        </is>
      </c>
      <c r="K6187" s="62">
        <f>F6187*(G6187-H6187)</f>
        <v/>
      </c>
      <c r="L6187" s="62">
        <f>K6187-(F6187*I6187)</f>
        <v/>
      </c>
      <c r="M6187" s="64">
        <f>L6187/K6187</f>
        <v/>
      </c>
    </row>
    <row r="6188">
      <c r="A6188" s="58" t="inlineStr">
        <is>
          <t>RT20250606-06187</t>
        </is>
      </c>
      <c r="B6188" s="59" t="inlineStr">
        <is>
          <t>2025-06-06</t>
        </is>
      </c>
      <c r="C6188" s="60" t="inlineStr">
        <is>
          <t>Aurora Fragrance S-971</t>
        </is>
      </c>
      <c r="D6188" s="58" t="inlineStr">
        <is>
          <t>Beauty</t>
        </is>
      </c>
      <c r="E6188" s="58" t="inlineStr">
        <is>
          <t>South</t>
        </is>
      </c>
      <c r="F6188" s="61" t="n">
        <v>1</v>
      </c>
      <c r="G6188" s="62" t="n">
        <v>120.9</v>
      </c>
      <c r="H6188" s="63" t="n">
        <v>0.119</v>
      </c>
      <c r="I6188" s="62" t="n">
        <v>66.23</v>
      </c>
      <c r="J6188" s="58" t="inlineStr">
        <is>
          <t>Store</t>
        </is>
      </c>
      <c r="K6188" s="62">
        <f>F6188*(G6188-H6188)</f>
        <v/>
      </c>
      <c r="L6188" s="62">
        <f>K6188-(F6188*I6188)</f>
        <v/>
      </c>
      <c r="M6188" s="64">
        <f>L6188/K6188</f>
        <v/>
      </c>
    </row>
    <row r="6189">
      <c r="A6189" s="58" t="inlineStr">
        <is>
          <t>RT20250606-06188</t>
        </is>
      </c>
      <c r="B6189" s="59" t="inlineStr">
        <is>
          <t>2025-06-06</t>
        </is>
      </c>
      <c r="C6189" s="60" t="inlineStr">
        <is>
          <t>Falcon Wearable X-334</t>
        </is>
      </c>
      <c r="D6189" s="58" t="inlineStr">
        <is>
          <t>Electronics</t>
        </is>
      </c>
      <c r="E6189" s="58" t="inlineStr">
        <is>
          <t>East</t>
        </is>
      </c>
      <c r="F6189" s="61" t="n">
        <v>1</v>
      </c>
      <c r="G6189" s="62" t="n">
        <v>2145.57</v>
      </c>
      <c r="H6189" s="63" t="n">
        <v>0.08</v>
      </c>
      <c r="I6189" s="62" t="n">
        <v>1546.81</v>
      </c>
      <c r="J6189" s="58" t="inlineStr">
        <is>
          <t>Online</t>
        </is>
      </c>
      <c r="K6189" s="62">
        <f>F6189*(G6189-H6189)</f>
        <v/>
      </c>
      <c r="L6189" s="62">
        <f>K6189-(F6189*I6189)</f>
        <v/>
      </c>
      <c r="M6189" s="64">
        <f>L6189/K6189</f>
        <v/>
      </c>
    </row>
    <row r="6190">
      <c r="A6190" s="58" t="inlineStr">
        <is>
          <t>RT20250606-06189</t>
        </is>
      </c>
      <c r="B6190" s="59" t="inlineStr">
        <is>
          <t>2025-06-06</t>
        </is>
      </c>
      <c r="C6190" s="60" t="inlineStr">
        <is>
          <t>Vertex Printer Max-692</t>
        </is>
      </c>
      <c r="D6190" s="58" t="inlineStr">
        <is>
          <t>Office</t>
        </is>
      </c>
      <c r="E6190" s="58" t="inlineStr">
        <is>
          <t>Central</t>
        </is>
      </c>
      <c r="F6190" s="61" t="n">
        <v>1</v>
      </c>
      <c r="G6190" s="62" t="n">
        <v>173.22</v>
      </c>
      <c r="H6190" s="63" t="n">
        <v>0.092</v>
      </c>
      <c r="I6190" s="62" t="n">
        <v>126.28</v>
      </c>
      <c r="J6190" s="58" t="inlineStr">
        <is>
          <t>Online</t>
        </is>
      </c>
      <c r="K6190" s="62">
        <f>F6190*(G6190-H6190)</f>
        <v/>
      </c>
      <c r="L6190" s="62">
        <f>K6190-(F6190*I6190)</f>
        <v/>
      </c>
      <c r="M6190" s="64">
        <f>L6190/K6190</f>
        <v/>
      </c>
    </row>
    <row r="6191">
      <c r="A6191" s="58" t="inlineStr">
        <is>
          <t>RT20250606-06190</t>
        </is>
      </c>
      <c r="B6191" s="59" t="inlineStr">
        <is>
          <t>2025-06-06</t>
        </is>
      </c>
      <c r="C6191" s="60" t="inlineStr">
        <is>
          <t>Aurora Bedding Plus-187</t>
        </is>
      </c>
      <c r="D6191" s="58" t="inlineStr">
        <is>
          <t>Home</t>
        </is>
      </c>
      <c r="E6191" s="58" t="inlineStr">
        <is>
          <t>West</t>
        </is>
      </c>
      <c r="F6191" s="61" t="n">
        <v>2</v>
      </c>
      <c r="G6191" s="62" t="n">
        <v>316.79</v>
      </c>
      <c r="H6191" s="63" t="n">
        <v>0.036</v>
      </c>
      <c r="I6191" s="62" t="n">
        <v>208.63</v>
      </c>
      <c r="J6191" s="58" t="inlineStr">
        <is>
          <t>Store</t>
        </is>
      </c>
      <c r="K6191" s="62">
        <f>F6191*(G6191-H6191)</f>
        <v/>
      </c>
      <c r="L6191" s="62">
        <f>K6191-(F6191*I6191)</f>
        <v/>
      </c>
      <c r="M6191" s="64">
        <f>L6191/K6191</f>
        <v/>
      </c>
    </row>
    <row r="6192">
      <c r="A6192" s="58" t="inlineStr">
        <is>
          <t>RT20250606-06191</t>
        </is>
      </c>
      <c r="B6192" s="59" t="inlineStr">
        <is>
          <t>2025-06-06</t>
        </is>
      </c>
      <c r="C6192" s="60" t="inlineStr">
        <is>
          <t>Polar Women S-662</t>
        </is>
      </c>
      <c r="D6192" s="58" t="inlineStr">
        <is>
          <t>Apparel</t>
        </is>
      </c>
      <c r="E6192" s="58" t="inlineStr">
        <is>
          <t>West</t>
        </is>
      </c>
      <c r="F6192" s="61" t="n">
        <v>3</v>
      </c>
      <c r="G6192" s="62" t="n">
        <v>185.33</v>
      </c>
      <c r="H6192" s="63" t="n">
        <v>0.028</v>
      </c>
      <c r="I6192" s="62" t="n">
        <v>100.13</v>
      </c>
      <c r="J6192" s="58" t="inlineStr">
        <is>
          <t>Store</t>
        </is>
      </c>
      <c r="K6192" s="62">
        <f>F6192*(G6192-H6192)</f>
        <v/>
      </c>
      <c r="L6192" s="62">
        <f>K6192-(F6192*I6192)</f>
        <v/>
      </c>
      <c r="M6192" s="64">
        <f>L6192/K6192</f>
        <v/>
      </c>
    </row>
    <row r="6193">
      <c r="A6193" s="58" t="inlineStr">
        <is>
          <t>RT20250606-06192</t>
        </is>
      </c>
      <c r="B6193" s="59" t="inlineStr">
        <is>
          <t>2025-06-06</t>
        </is>
      </c>
      <c r="C6193" s="60" t="inlineStr">
        <is>
          <t>Vertex Appliance S-296</t>
        </is>
      </c>
      <c r="D6193" s="58" t="inlineStr">
        <is>
          <t>Home</t>
        </is>
      </c>
      <c r="E6193" s="58" t="inlineStr">
        <is>
          <t>West</t>
        </is>
      </c>
      <c r="F6193" s="61" t="n">
        <v>1</v>
      </c>
      <c r="G6193" s="62" t="n">
        <v>437.83</v>
      </c>
      <c r="H6193" s="63" t="n">
        <v>0.077</v>
      </c>
      <c r="I6193" s="62" t="n">
        <v>346.99</v>
      </c>
      <c r="J6193" s="58" t="inlineStr">
        <is>
          <t>Online</t>
        </is>
      </c>
      <c r="K6193" s="62">
        <f>F6193*(G6193-H6193)</f>
        <v/>
      </c>
      <c r="L6193" s="62">
        <f>K6193-(F6193*I6193)</f>
        <v/>
      </c>
      <c r="M6193" s="64">
        <f>L6193/K6193</f>
        <v/>
      </c>
    </row>
    <row r="6194">
      <c r="A6194" s="58" t="inlineStr">
        <is>
          <t>RT20250606-06193</t>
        </is>
      </c>
      <c r="B6194" s="59" t="inlineStr">
        <is>
          <t>2025-06-06</t>
        </is>
      </c>
      <c r="C6194" s="60" t="inlineStr">
        <is>
          <t>Falcon Skincare X-334</t>
        </is>
      </c>
      <c r="D6194" s="58" t="inlineStr">
        <is>
          <t>Beauty</t>
        </is>
      </c>
      <c r="E6194" s="58" t="inlineStr">
        <is>
          <t>South</t>
        </is>
      </c>
      <c r="F6194" s="61" t="n">
        <v>1</v>
      </c>
      <c r="G6194" s="62" t="n">
        <v>104.99</v>
      </c>
      <c r="H6194" s="63" t="n">
        <v>0.059</v>
      </c>
      <c r="I6194" s="62" t="n">
        <v>63.38</v>
      </c>
      <c r="J6194" s="58" t="inlineStr">
        <is>
          <t>Store</t>
        </is>
      </c>
      <c r="K6194" s="62">
        <f>F6194*(G6194-H6194)</f>
        <v/>
      </c>
      <c r="L6194" s="62">
        <f>K6194-(F6194*I6194)</f>
        <v/>
      </c>
      <c r="M6194" s="64">
        <f>L6194/K6194</f>
        <v/>
      </c>
    </row>
    <row r="6195">
      <c r="A6195" s="58" t="inlineStr">
        <is>
          <t>RT20250606-06194</t>
        </is>
      </c>
      <c r="B6195" s="59" t="inlineStr">
        <is>
          <t>2025-06-06</t>
        </is>
      </c>
      <c r="C6195" s="60" t="inlineStr">
        <is>
          <t>Aurora Furniture X-709</t>
        </is>
      </c>
      <c r="D6195" s="58" t="inlineStr">
        <is>
          <t>Office</t>
        </is>
      </c>
      <c r="E6195" s="58" t="inlineStr">
        <is>
          <t>Central</t>
        </is>
      </c>
      <c r="F6195" s="61" t="n">
        <v>1</v>
      </c>
      <c r="G6195" s="62" t="n">
        <v>415.88</v>
      </c>
      <c r="H6195" s="63" t="n">
        <v>0.048</v>
      </c>
      <c r="I6195" s="62" t="n">
        <v>315.6</v>
      </c>
      <c r="J6195" s="58" t="inlineStr">
        <is>
          <t>Online</t>
        </is>
      </c>
      <c r="K6195" s="62">
        <f>F6195*(G6195-H6195)</f>
        <v/>
      </c>
      <c r="L6195" s="62">
        <f>K6195-(F6195*I6195)</f>
        <v/>
      </c>
      <c r="M6195" s="64">
        <f>L6195/K6195</f>
        <v/>
      </c>
    </row>
    <row r="6196">
      <c r="A6196" s="58" t="inlineStr">
        <is>
          <t>RT20250606-06195</t>
        </is>
      </c>
      <c r="B6196" s="59" t="inlineStr">
        <is>
          <t>2025-06-06</t>
        </is>
      </c>
      <c r="C6196" s="60" t="inlineStr">
        <is>
          <t>Falcon Haircare Pro-980</t>
        </is>
      </c>
      <c r="D6196" s="58" t="inlineStr">
        <is>
          <t>Beauty</t>
        </is>
      </c>
      <c r="E6196" s="58" t="inlineStr">
        <is>
          <t>Central</t>
        </is>
      </c>
      <c r="F6196" s="61" t="n">
        <v>3</v>
      </c>
      <c r="G6196" s="62" t="n">
        <v>80.01000000000001</v>
      </c>
      <c r="H6196" s="63" t="n">
        <v>0.03</v>
      </c>
      <c r="I6196" s="62" t="n">
        <v>57.32</v>
      </c>
      <c r="J6196" s="58" t="inlineStr">
        <is>
          <t>Online</t>
        </is>
      </c>
      <c r="K6196" s="62">
        <f>F6196*(G6196-H6196)</f>
        <v/>
      </c>
      <c r="L6196" s="62">
        <f>K6196-(F6196*I6196)</f>
        <v/>
      </c>
      <c r="M6196" s="64">
        <f>L6196/K6196</f>
        <v/>
      </c>
    </row>
    <row r="6197">
      <c r="A6197" s="58" t="inlineStr">
        <is>
          <t>RT20250606-06196</t>
        </is>
      </c>
      <c r="B6197" s="59" t="inlineStr">
        <is>
          <t>2025-06-06</t>
        </is>
      </c>
      <c r="C6197" s="60" t="inlineStr">
        <is>
          <t>Solace Fitnes S-324</t>
        </is>
      </c>
      <c r="D6197" s="58" t="inlineStr">
        <is>
          <t>Sports</t>
        </is>
      </c>
      <c r="E6197" s="58" t="inlineStr">
        <is>
          <t>East</t>
        </is>
      </c>
      <c r="F6197" s="61" t="n">
        <v>3</v>
      </c>
      <c r="G6197" s="62" t="n">
        <v>825.6799999999999</v>
      </c>
      <c r="H6197" s="63" t="n">
        <v>0.029</v>
      </c>
      <c r="I6197" s="62" t="n">
        <v>526.9</v>
      </c>
      <c r="J6197" s="58" t="inlineStr">
        <is>
          <t>Online</t>
        </is>
      </c>
      <c r="K6197" s="62">
        <f>F6197*(G6197-H6197)</f>
        <v/>
      </c>
      <c r="L6197" s="62">
        <f>K6197-(F6197*I6197)</f>
        <v/>
      </c>
      <c r="M6197" s="64">
        <f>L6197/K6197</f>
        <v/>
      </c>
    </row>
    <row r="6198">
      <c r="A6198" s="58" t="inlineStr">
        <is>
          <t>RT20250606-06197</t>
        </is>
      </c>
      <c r="B6198" s="59" t="inlineStr">
        <is>
          <t>2025-06-06</t>
        </is>
      </c>
      <c r="C6198" s="60" t="inlineStr">
        <is>
          <t>Nimbus Fitnes Lite-516</t>
        </is>
      </c>
      <c r="D6198" s="58" t="inlineStr">
        <is>
          <t>Sports</t>
        </is>
      </c>
      <c r="E6198" s="58" t="inlineStr">
        <is>
          <t>South</t>
        </is>
      </c>
      <c r="F6198" s="61" t="n">
        <v>2</v>
      </c>
      <c r="G6198" s="62" t="n">
        <v>706.7</v>
      </c>
      <c r="H6198" s="63" t="n">
        <v>0.07199999999999999</v>
      </c>
      <c r="I6198" s="62" t="n">
        <v>466.29</v>
      </c>
      <c r="J6198" s="58" t="inlineStr">
        <is>
          <t>Store</t>
        </is>
      </c>
      <c r="K6198" s="62">
        <f>F6198*(G6198-H6198)</f>
        <v/>
      </c>
      <c r="L6198" s="62">
        <f>K6198-(F6198*I6198)</f>
        <v/>
      </c>
      <c r="M6198" s="64">
        <f>L6198/K6198</f>
        <v/>
      </c>
    </row>
    <row r="6199">
      <c r="A6199" s="58" t="inlineStr">
        <is>
          <t>RT20250606-06198</t>
        </is>
      </c>
      <c r="B6199" s="59" t="inlineStr">
        <is>
          <t>2025-06-06</t>
        </is>
      </c>
      <c r="C6199" s="60" t="inlineStr">
        <is>
          <t>Aurora Bedding Max-175</t>
        </is>
      </c>
      <c r="D6199" s="58" t="inlineStr">
        <is>
          <t>Home</t>
        </is>
      </c>
      <c r="E6199" s="58" t="inlineStr">
        <is>
          <t>West</t>
        </is>
      </c>
      <c r="F6199" s="61" t="n">
        <v>2</v>
      </c>
      <c r="G6199" s="62" t="n">
        <v>552.5700000000001</v>
      </c>
      <c r="H6199" s="63" t="n">
        <v>0.1</v>
      </c>
      <c r="I6199" s="62" t="n">
        <v>404.91</v>
      </c>
      <c r="J6199" s="58" t="inlineStr">
        <is>
          <t>Online</t>
        </is>
      </c>
      <c r="K6199" s="62">
        <f>F6199*(G6199-H6199)</f>
        <v/>
      </c>
      <c r="L6199" s="62">
        <f>K6199-(F6199*I6199)</f>
        <v/>
      </c>
      <c r="M6199" s="64">
        <f>L6199/K6199</f>
        <v/>
      </c>
    </row>
    <row r="6200">
      <c r="A6200" s="58" t="inlineStr">
        <is>
          <t>RT20250606-06199</t>
        </is>
      </c>
      <c r="B6200" s="59" t="inlineStr">
        <is>
          <t>2025-06-06</t>
        </is>
      </c>
      <c r="C6200" s="60" t="inlineStr">
        <is>
          <t>Orion Laptop S-350</t>
        </is>
      </c>
      <c r="D6200" s="58" t="inlineStr">
        <is>
          <t>Electronics</t>
        </is>
      </c>
      <c r="E6200" s="58" t="inlineStr">
        <is>
          <t>Central</t>
        </is>
      </c>
      <c r="F6200" s="61" t="n">
        <v>2</v>
      </c>
      <c r="G6200" s="62" t="n">
        <v>1408.63</v>
      </c>
      <c r="H6200" s="63" t="n">
        <v>0.08500000000000001</v>
      </c>
      <c r="I6200" s="62" t="n">
        <v>1092.9</v>
      </c>
      <c r="J6200" s="58" t="inlineStr">
        <is>
          <t>Store</t>
        </is>
      </c>
      <c r="K6200" s="62">
        <f>F6200*(G6200-H6200)</f>
        <v/>
      </c>
      <c r="L6200" s="62">
        <f>K6200-(F6200*I6200)</f>
        <v/>
      </c>
      <c r="M6200" s="64">
        <f>L6200/K6200</f>
        <v/>
      </c>
    </row>
    <row r="6201">
      <c r="A6201" s="58" t="inlineStr">
        <is>
          <t>RT20250606-06200</t>
        </is>
      </c>
      <c r="B6201" s="59" t="inlineStr">
        <is>
          <t>2025-06-06</t>
        </is>
      </c>
      <c r="C6201" s="60" t="inlineStr">
        <is>
          <t>Vertex Decor Pro-618</t>
        </is>
      </c>
      <c r="D6201" s="58" t="inlineStr">
        <is>
          <t>Home</t>
        </is>
      </c>
      <c r="E6201" s="58" t="inlineStr">
        <is>
          <t>Central</t>
        </is>
      </c>
      <c r="F6201" s="61" t="n">
        <v>3</v>
      </c>
      <c r="G6201" s="62" t="n">
        <v>507.35</v>
      </c>
      <c r="H6201" s="63" t="n">
        <v>0.024</v>
      </c>
      <c r="I6201" s="62" t="n">
        <v>367.8</v>
      </c>
      <c r="J6201" s="58" t="inlineStr">
        <is>
          <t>Online</t>
        </is>
      </c>
      <c r="K6201" s="62">
        <f>F6201*(G6201-H6201)</f>
        <v/>
      </c>
      <c r="L6201" s="62">
        <f>K6201-(F6201*I6201)</f>
        <v/>
      </c>
      <c r="M6201" s="64">
        <f>L6201/K6201</f>
        <v/>
      </c>
    </row>
    <row r="6202">
      <c r="A6202" s="58" t="inlineStr">
        <is>
          <t>RT20250606-06201</t>
        </is>
      </c>
      <c r="B6202" s="59" t="inlineStr">
        <is>
          <t>2025-06-06</t>
        </is>
      </c>
      <c r="C6202" s="60" t="inlineStr">
        <is>
          <t>Vertex Decor Pro-618</t>
        </is>
      </c>
      <c r="D6202" s="58" t="inlineStr">
        <is>
          <t>Home</t>
        </is>
      </c>
      <c r="E6202" s="58" t="inlineStr">
        <is>
          <t>West</t>
        </is>
      </c>
      <c r="F6202" s="61" t="n">
        <v>3</v>
      </c>
      <c r="G6202" s="62" t="n">
        <v>542.7</v>
      </c>
      <c r="H6202" s="63" t="n">
        <v>0.022</v>
      </c>
      <c r="I6202" s="62" t="n">
        <v>381.48</v>
      </c>
      <c r="J6202" s="58" t="inlineStr">
        <is>
          <t>Online</t>
        </is>
      </c>
      <c r="K6202" s="62">
        <f>F6202*(G6202-H6202)</f>
        <v/>
      </c>
      <c r="L6202" s="62">
        <f>K6202-(F6202*I6202)</f>
        <v/>
      </c>
      <c r="M6202" s="64">
        <f>L6202/K6202</f>
        <v/>
      </c>
    </row>
    <row r="6203">
      <c r="A6203" s="58" t="inlineStr">
        <is>
          <t>RT20250606-06202</t>
        </is>
      </c>
      <c r="B6203" s="59" t="inlineStr">
        <is>
          <t>2025-06-06</t>
        </is>
      </c>
      <c r="C6203" s="60" t="inlineStr">
        <is>
          <t>Polar Pantry Lite-392</t>
        </is>
      </c>
      <c r="D6203" s="58" t="inlineStr">
        <is>
          <t>Grocery</t>
        </is>
      </c>
      <c r="E6203" s="58" t="inlineStr">
        <is>
          <t>Central</t>
        </is>
      </c>
      <c r="F6203" s="61" t="n">
        <v>4</v>
      </c>
      <c r="G6203" s="62" t="n">
        <v>6</v>
      </c>
      <c r="H6203" s="63" t="n">
        <v>0</v>
      </c>
      <c r="I6203" s="62" t="n">
        <v>4.57</v>
      </c>
      <c r="J6203" s="58" t="inlineStr">
        <is>
          <t>Online</t>
        </is>
      </c>
      <c r="K6203" s="62">
        <f>F6203*(G6203-H6203)</f>
        <v/>
      </c>
      <c r="L6203" s="62">
        <f>K6203-(F6203*I6203)</f>
        <v/>
      </c>
      <c r="M6203" s="64">
        <f>L6203/K6203</f>
        <v/>
      </c>
    </row>
    <row r="6204">
      <c r="A6204" s="58" t="inlineStr">
        <is>
          <t>RT20250606-06203</t>
        </is>
      </c>
      <c r="B6204" s="59" t="inlineStr">
        <is>
          <t>2025-06-06</t>
        </is>
      </c>
      <c r="C6204" s="60" t="inlineStr">
        <is>
          <t>Polar Snack Pro-641</t>
        </is>
      </c>
      <c r="D6204" s="58" t="inlineStr">
        <is>
          <t>Grocery</t>
        </is>
      </c>
      <c r="E6204" s="58" t="inlineStr">
        <is>
          <t>Central</t>
        </is>
      </c>
      <c r="F6204" s="61" t="n">
        <v>3</v>
      </c>
      <c r="G6204" s="62" t="n">
        <v>11.89</v>
      </c>
      <c r="H6204" s="63" t="n">
        <v>0.096</v>
      </c>
      <c r="I6204" s="62" t="n">
        <v>9.390000000000001</v>
      </c>
      <c r="J6204" s="58" t="inlineStr">
        <is>
          <t>Online</t>
        </is>
      </c>
      <c r="K6204" s="62">
        <f>F6204*(G6204-H6204)</f>
        <v/>
      </c>
      <c r="L6204" s="62">
        <f>K6204-(F6204*I6204)</f>
        <v/>
      </c>
      <c r="M6204" s="64">
        <f>L6204/K6204</f>
        <v/>
      </c>
    </row>
    <row r="6205">
      <c r="A6205" s="58" t="inlineStr">
        <is>
          <t>RT20250606-06204</t>
        </is>
      </c>
      <c r="B6205" s="59" t="inlineStr">
        <is>
          <t>2025-06-06</t>
        </is>
      </c>
      <c r="C6205" s="60" t="inlineStr">
        <is>
          <t>Vertex Supplie X-513</t>
        </is>
      </c>
      <c r="D6205" s="58" t="inlineStr">
        <is>
          <t>Office</t>
        </is>
      </c>
      <c r="E6205" s="58" t="inlineStr">
        <is>
          <t>East</t>
        </is>
      </c>
      <c r="F6205" s="61" t="n">
        <v>2</v>
      </c>
      <c r="G6205" s="62" t="n">
        <v>383.82</v>
      </c>
      <c r="H6205" s="63" t="n">
        <v>0.102</v>
      </c>
      <c r="I6205" s="62" t="n">
        <v>279.66</v>
      </c>
      <c r="J6205" s="58" t="inlineStr">
        <is>
          <t>Online</t>
        </is>
      </c>
      <c r="K6205" s="62">
        <f>F6205*(G6205-H6205)</f>
        <v/>
      </c>
      <c r="L6205" s="62">
        <f>K6205-(F6205*I6205)</f>
        <v/>
      </c>
      <c r="M6205" s="64">
        <f>L6205/K6205</f>
        <v/>
      </c>
    </row>
    <row r="6206">
      <c r="A6206" s="58" t="inlineStr">
        <is>
          <t>RT20250606-06205</t>
        </is>
      </c>
      <c r="B6206" s="59" t="inlineStr">
        <is>
          <t>2025-06-06</t>
        </is>
      </c>
      <c r="C6206" s="60" t="inlineStr">
        <is>
          <t>Solace Makeup Pro-214</t>
        </is>
      </c>
      <c r="D6206" s="58" t="inlineStr">
        <is>
          <t>Beauty</t>
        </is>
      </c>
      <c r="E6206" s="58" t="inlineStr">
        <is>
          <t>East</t>
        </is>
      </c>
      <c r="F6206" s="61" t="n">
        <v>1</v>
      </c>
      <c r="G6206" s="62" t="n">
        <v>105.48</v>
      </c>
      <c r="H6206" s="63" t="n">
        <v>0.097</v>
      </c>
      <c r="I6206" s="62" t="n">
        <v>67.8</v>
      </c>
      <c r="J6206" s="58" t="inlineStr">
        <is>
          <t>Phone</t>
        </is>
      </c>
      <c r="K6206" s="62">
        <f>F6206*(G6206-H6206)</f>
        <v/>
      </c>
      <c r="L6206" s="62">
        <f>K6206-(F6206*I6206)</f>
        <v/>
      </c>
      <c r="M6206" s="64">
        <f>L6206/K6206</f>
        <v/>
      </c>
    </row>
    <row r="6207">
      <c r="A6207" s="58" t="inlineStr">
        <is>
          <t>RT20250606-06206</t>
        </is>
      </c>
      <c r="B6207" s="59" t="inlineStr">
        <is>
          <t>2025-06-06</t>
        </is>
      </c>
      <c r="C6207" s="60" t="inlineStr">
        <is>
          <t>Polar Decor Plus-505</t>
        </is>
      </c>
      <c r="D6207" s="58" t="inlineStr">
        <is>
          <t>Home</t>
        </is>
      </c>
      <c r="E6207" s="58" t="inlineStr">
        <is>
          <t>Central</t>
        </is>
      </c>
      <c r="F6207" s="61" t="n">
        <v>2</v>
      </c>
      <c r="G6207" s="62" t="n">
        <v>277.57</v>
      </c>
      <c r="H6207" s="63" t="n">
        <v>0.043</v>
      </c>
      <c r="I6207" s="62" t="n">
        <v>194.12</v>
      </c>
      <c r="J6207" s="58" t="inlineStr">
        <is>
          <t>Store</t>
        </is>
      </c>
      <c r="K6207" s="62">
        <f>F6207*(G6207-H6207)</f>
        <v/>
      </c>
      <c r="L6207" s="62">
        <f>K6207-(F6207*I6207)</f>
        <v/>
      </c>
      <c r="M6207" s="64">
        <f>L6207/K6207</f>
        <v/>
      </c>
    </row>
    <row r="6208">
      <c r="A6208" s="58" t="inlineStr">
        <is>
          <t>RT20250606-06207</t>
        </is>
      </c>
      <c r="B6208" s="59" t="inlineStr">
        <is>
          <t>2025-06-06</t>
        </is>
      </c>
      <c r="C6208" s="60" t="inlineStr">
        <is>
          <t>Vertex Smartphone Lite-267</t>
        </is>
      </c>
      <c r="D6208" s="58" t="inlineStr">
        <is>
          <t>Electronics</t>
        </is>
      </c>
      <c r="E6208" s="58" t="inlineStr">
        <is>
          <t>South</t>
        </is>
      </c>
      <c r="F6208" s="61" t="n">
        <v>1</v>
      </c>
      <c r="G6208" s="62" t="n">
        <v>1207.78</v>
      </c>
      <c r="H6208" s="63" t="n">
        <v>0.059</v>
      </c>
      <c r="I6208" s="62" t="n">
        <v>976.46</v>
      </c>
      <c r="J6208" s="58" t="inlineStr">
        <is>
          <t>Store</t>
        </is>
      </c>
      <c r="K6208" s="62">
        <f>F6208*(G6208-H6208)</f>
        <v/>
      </c>
      <c r="L6208" s="62">
        <f>K6208-(F6208*I6208)</f>
        <v/>
      </c>
      <c r="M6208" s="64">
        <f>L6208/K6208</f>
        <v/>
      </c>
    </row>
    <row r="6209">
      <c r="A6209" s="58" t="inlineStr">
        <is>
          <t>RT20250606-06208</t>
        </is>
      </c>
      <c r="B6209" s="59" t="inlineStr">
        <is>
          <t>2025-06-06</t>
        </is>
      </c>
      <c r="C6209" s="60" t="inlineStr">
        <is>
          <t>Aurora Appliance Lite-109</t>
        </is>
      </c>
      <c r="D6209" s="58" t="inlineStr">
        <is>
          <t>Home</t>
        </is>
      </c>
      <c r="E6209" s="58" t="inlineStr">
        <is>
          <t>South</t>
        </is>
      </c>
      <c r="F6209" s="61" t="n">
        <v>1</v>
      </c>
      <c r="G6209" s="62" t="n">
        <v>325.08</v>
      </c>
      <c r="H6209" s="63" t="n">
        <v>0.093</v>
      </c>
      <c r="I6209" s="62" t="n">
        <v>203.92</v>
      </c>
      <c r="J6209" s="58" t="inlineStr">
        <is>
          <t>Online</t>
        </is>
      </c>
      <c r="K6209" s="62">
        <f>F6209*(G6209-H6209)</f>
        <v/>
      </c>
      <c r="L6209" s="62">
        <f>K6209-(F6209*I6209)</f>
        <v/>
      </c>
      <c r="M6209" s="64">
        <f>L6209/K6209</f>
        <v/>
      </c>
    </row>
    <row r="6210">
      <c r="A6210" s="58" t="inlineStr">
        <is>
          <t>RT20250606-06209</t>
        </is>
      </c>
      <c r="B6210" s="59" t="inlineStr">
        <is>
          <t>2025-06-06</t>
        </is>
      </c>
      <c r="C6210" s="60" t="inlineStr">
        <is>
          <t>Orion Men X-928</t>
        </is>
      </c>
      <c r="D6210" s="58" t="inlineStr">
        <is>
          <t>Apparel</t>
        </is>
      </c>
      <c r="E6210" s="58" t="inlineStr">
        <is>
          <t>West</t>
        </is>
      </c>
      <c r="F6210" s="61" t="n">
        <v>2</v>
      </c>
      <c r="G6210" s="62" t="n">
        <v>100.41</v>
      </c>
      <c r="H6210" s="63" t="n">
        <v>0.063</v>
      </c>
      <c r="I6210" s="62" t="n">
        <v>62.88</v>
      </c>
      <c r="J6210" s="58" t="inlineStr">
        <is>
          <t>Online</t>
        </is>
      </c>
      <c r="K6210" s="62">
        <f>F6210*(G6210-H6210)</f>
        <v/>
      </c>
      <c r="L6210" s="62">
        <f>K6210-(F6210*I6210)</f>
        <v/>
      </c>
      <c r="M6210" s="64">
        <f>L6210/K6210</f>
        <v/>
      </c>
    </row>
    <row r="6211">
      <c r="A6211" s="58" t="inlineStr">
        <is>
          <t>RT20250606-06210</t>
        </is>
      </c>
      <c r="B6211" s="59" t="inlineStr">
        <is>
          <t>2025-06-06</t>
        </is>
      </c>
      <c r="C6211" s="60" t="inlineStr">
        <is>
          <t>Vertex Snack S-702</t>
        </is>
      </c>
      <c r="D6211" s="58" t="inlineStr">
        <is>
          <t>Grocery</t>
        </is>
      </c>
      <c r="E6211" s="58" t="inlineStr">
        <is>
          <t>North</t>
        </is>
      </c>
      <c r="F6211" s="61" t="n">
        <v>7</v>
      </c>
      <c r="G6211" s="62" t="n">
        <v>1.99</v>
      </c>
      <c r="H6211" s="63" t="n">
        <v>0.043</v>
      </c>
      <c r="I6211" s="62" t="n">
        <v>1.48</v>
      </c>
      <c r="J6211" s="58" t="inlineStr">
        <is>
          <t>Store</t>
        </is>
      </c>
      <c r="K6211" s="62">
        <f>F6211*(G6211-H6211)</f>
        <v/>
      </c>
      <c r="L6211" s="62">
        <f>K6211-(F6211*I6211)</f>
        <v/>
      </c>
      <c r="M6211" s="64">
        <f>L6211/K6211</f>
        <v/>
      </c>
    </row>
    <row r="6212">
      <c r="A6212" s="58" t="inlineStr">
        <is>
          <t>RT20250606-06211</t>
        </is>
      </c>
      <c r="B6212" s="59" t="inlineStr">
        <is>
          <t>2025-06-06</t>
        </is>
      </c>
      <c r="C6212" s="60" t="inlineStr">
        <is>
          <t>Solace Bedding Plus-317</t>
        </is>
      </c>
      <c r="D6212" s="58" t="inlineStr">
        <is>
          <t>Home</t>
        </is>
      </c>
      <c r="E6212" s="58" t="inlineStr">
        <is>
          <t>South</t>
        </is>
      </c>
      <c r="F6212" s="61" t="n">
        <v>1</v>
      </c>
      <c r="G6212" s="62" t="n">
        <v>630.87</v>
      </c>
      <c r="H6212" s="63" t="n">
        <v>0.037</v>
      </c>
      <c r="I6212" s="62" t="n">
        <v>379.58</v>
      </c>
      <c r="J6212" s="58" t="inlineStr">
        <is>
          <t>Phone</t>
        </is>
      </c>
      <c r="K6212" s="62">
        <f>F6212*(G6212-H6212)</f>
        <v/>
      </c>
      <c r="L6212" s="62">
        <f>K6212-(F6212*I6212)</f>
        <v/>
      </c>
      <c r="M6212" s="64">
        <f>L6212/K6212</f>
        <v/>
      </c>
    </row>
    <row r="6213">
      <c r="A6213" s="58" t="inlineStr">
        <is>
          <t>RT20250606-06212</t>
        </is>
      </c>
      <c r="B6213" s="59" t="inlineStr">
        <is>
          <t>2025-06-06</t>
        </is>
      </c>
      <c r="C6213" s="60" t="inlineStr">
        <is>
          <t>Polar Women Max-927</t>
        </is>
      </c>
      <c r="D6213" s="58" t="inlineStr">
        <is>
          <t>Apparel</t>
        </is>
      </c>
      <c r="E6213" s="58" t="inlineStr">
        <is>
          <t>North</t>
        </is>
      </c>
      <c r="F6213" s="61" t="n">
        <v>3</v>
      </c>
      <c r="G6213" s="62" t="n">
        <v>128.4</v>
      </c>
      <c r="H6213" s="63" t="n">
        <v>0.034</v>
      </c>
      <c r="I6213" s="62" t="n">
        <v>63.78</v>
      </c>
      <c r="J6213" s="58" t="inlineStr">
        <is>
          <t>Store</t>
        </is>
      </c>
      <c r="K6213" s="62">
        <f>F6213*(G6213-H6213)</f>
        <v/>
      </c>
      <c r="L6213" s="62">
        <f>K6213-(F6213*I6213)</f>
        <v/>
      </c>
      <c r="M6213" s="64">
        <f>L6213/K6213</f>
        <v/>
      </c>
    </row>
    <row r="6214">
      <c r="A6214" s="58" t="inlineStr">
        <is>
          <t>RT20250606-06213</t>
        </is>
      </c>
      <c r="B6214" s="59" t="inlineStr">
        <is>
          <t>2025-06-06</t>
        </is>
      </c>
      <c r="C6214" s="60" t="inlineStr">
        <is>
          <t>Orion Kitchen Pro-568</t>
        </is>
      </c>
      <c r="D6214" s="58" t="inlineStr">
        <is>
          <t>Home</t>
        </is>
      </c>
      <c r="E6214" s="58" t="inlineStr">
        <is>
          <t>South</t>
        </is>
      </c>
      <c r="F6214" s="61" t="n">
        <v>2</v>
      </c>
      <c r="G6214" s="62" t="n">
        <v>405.24</v>
      </c>
      <c r="H6214" s="63" t="n">
        <v>0.032</v>
      </c>
      <c r="I6214" s="62" t="n">
        <v>311.75</v>
      </c>
      <c r="J6214" s="58" t="inlineStr">
        <is>
          <t>Store</t>
        </is>
      </c>
      <c r="K6214" s="62">
        <f>F6214*(G6214-H6214)</f>
        <v/>
      </c>
      <c r="L6214" s="62">
        <f>K6214-(F6214*I6214)</f>
        <v/>
      </c>
      <c r="M6214" s="64">
        <f>L6214/K6214</f>
        <v/>
      </c>
    </row>
    <row r="6215">
      <c r="A6215" s="58" t="inlineStr">
        <is>
          <t>RT20250606-06214</t>
        </is>
      </c>
      <c r="B6215" s="59" t="inlineStr">
        <is>
          <t>2025-06-06</t>
        </is>
      </c>
      <c r="C6215" s="60" t="inlineStr">
        <is>
          <t>Polar Bedding Lite-243</t>
        </is>
      </c>
      <c r="D6215" s="58" t="inlineStr">
        <is>
          <t>Home</t>
        </is>
      </c>
      <c r="E6215" s="58" t="inlineStr">
        <is>
          <t>Central</t>
        </is>
      </c>
      <c r="F6215" s="61" t="n">
        <v>3</v>
      </c>
      <c r="G6215" s="62" t="n">
        <v>434.18</v>
      </c>
      <c r="H6215" s="63" t="n">
        <v>0.06900000000000001</v>
      </c>
      <c r="I6215" s="62" t="n">
        <v>323.67</v>
      </c>
      <c r="J6215" s="58" t="inlineStr">
        <is>
          <t>Store</t>
        </is>
      </c>
      <c r="K6215" s="62">
        <f>F6215*(G6215-H6215)</f>
        <v/>
      </c>
      <c r="L6215" s="62">
        <f>K6215-(F6215*I6215)</f>
        <v/>
      </c>
      <c r="M6215" s="64">
        <f>L6215/K6215</f>
        <v/>
      </c>
    </row>
    <row r="6216">
      <c r="A6216" s="58" t="inlineStr">
        <is>
          <t>RT20250606-06215</t>
        </is>
      </c>
      <c r="B6216" s="59" t="inlineStr">
        <is>
          <t>2025-06-06</t>
        </is>
      </c>
      <c r="C6216" s="60" t="inlineStr">
        <is>
          <t>Polar Outdoor Lite-318</t>
        </is>
      </c>
      <c r="D6216" s="58" t="inlineStr">
        <is>
          <t>Sports</t>
        </is>
      </c>
      <c r="E6216" s="58" t="inlineStr">
        <is>
          <t>East</t>
        </is>
      </c>
      <c r="F6216" s="61" t="n">
        <v>2</v>
      </c>
      <c r="G6216" s="62" t="n">
        <v>704.5599999999999</v>
      </c>
      <c r="H6216" s="63" t="n">
        <v>0.099</v>
      </c>
      <c r="I6216" s="62" t="n">
        <v>459.2</v>
      </c>
      <c r="J6216" s="58" t="inlineStr">
        <is>
          <t>Store</t>
        </is>
      </c>
      <c r="K6216" s="62">
        <f>F6216*(G6216-H6216)</f>
        <v/>
      </c>
      <c r="L6216" s="62">
        <f>K6216-(F6216*I6216)</f>
        <v/>
      </c>
      <c r="M6216" s="64">
        <f>L6216/K6216</f>
        <v/>
      </c>
    </row>
    <row r="6217">
      <c r="A6217" s="58" t="inlineStr">
        <is>
          <t>RT20250606-06216</t>
        </is>
      </c>
      <c r="B6217" s="59" t="inlineStr">
        <is>
          <t>2025-06-06</t>
        </is>
      </c>
      <c r="C6217" s="60" t="inlineStr">
        <is>
          <t>Metro Smartphone Max-773</t>
        </is>
      </c>
      <c r="D6217" s="58" t="inlineStr">
        <is>
          <t>Electronics</t>
        </is>
      </c>
      <c r="E6217" s="58" t="inlineStr">
        <is>
          <t>South</t>
        </is>
      </c>
      <c r="F6217" s="61" t="n">
        <v>1</v>
      </c>
      <c r="G6217" s="62" t="n">
        <v>1393.09</v>
      </c>
      <c r="H6217" s="63" t="n">
        <v>0.025</v>
      </c>
      <c r="I6217" s="62" t="n">
        <v>1107</v>
      </c>
      <c r="J6217" s="58" t="inlineStr">
        <is>
          <t>Online</t>
        </is>
      </c>
      <c r="K6217" s="62">
        <f>F6217*(G6217-H6217)</f>
        <v/>
      </c>
      <c r="L6217" s="62">
        <f>K6217-(F6217*I6217)</f>
        <v/>
      </c>
      <c r="M6217" s="64">
        <f>L6217/K6217</f>
        <v/>
      </c>
    </row>
    <row r="6218">
      <c r="A6218" s="58" t="inlineStr">
        <is>
          <t>RT20250606-06217</t>
        </is>
      </c>
      <c r="B6218" s="59" t="inlineStr">
        <is>
          <t>2025-06-06</t>
        </is>
      </c>
      <c r="C6218" s="60" t="inlineStr">
        <is>
          <t>Falcon Beverage Max-702</t>
        </is>
      </c>
      <c r="D6218" s="58" t="inlineStr">
        <is>
          <t>Grocery</t>
        </is>
      </c>
      <c r="E6218" s="58" t="inlineStr">
        <is>
          <t>South</t>
        </is>
      </c>
      <c r="F6218" s="61" t="n">
        <v>3</v>
      </c>
      <c r="G6218" s="62" t="n">
        <v>28.26</v>
      </c>
      <c r="H6218" s="63" t="n">
        <v>0.017</v>
      </c>
      <c r="I6218" s="62" t="n">
        <v>20.49</v>
      </c>
      <c r="J6218" s="58" t="inlineStr">
        <is>
          <t>Online</t>
        </is>
      </c>
      <c r="K6218" s="62">
        <f>F6218*(G6218-H6218)</f>
        <v/>
      </c>
      <c r="L6218" s="62">
        <f>K6218-(F6218*I6218)</f>
        <v/>
      </c>
      <c r="M6218" s="64">
        <f>L6218/K6218</f>
        <v/>
      </c>
    </row>
    <row r="6219">
      <c r="A6219" s="58" t="inlineStr">
        <is>
          <t>RT20250606-06218</t>
        </is>
      </c>
      <c r="B6219" s="59" t="inlineStr">
        <is>
          <t>2025-06-06</t>
        </is>
      </c>
      <c r="C6219" s="60" t="inlineStr">
        <is>
          <t>Aurora Furniture X-709</t>
        </is>
      </c>
      <c r="D6219" s="58" t="inlineStr">
        <is>
          <t>Office</t>
        </is>
      </c>
      <c r="E6219" s="58" t="inlineStr">
        <is>
          <t>East</t>
        </is>
      </c>
      <c r="F6219" s="61" t="n">
        <v>3</v>
      </c>
      <c r="G6219" s="62" t="n">
        <v>382.52</v>
      </c>
      <c r="H6219" s="63" t="n">
        <v>0.119</v>
      </c>
      <c r="I6219" s="62" t="n">
        <v>307.7</v>
      </c>
      <c r="J6219" s="58" t="inlineStr">
        <is>
          <t>Online</t>
        </is>
      </c>
      <c r="K6219" s="62">
        <f>F6219*(G6219-H6219)</f>
        <v/>
      </c>
      <c r="L6219" s="62">
        <f>K6219-(F6219*I6219)</f>
        <v/>
      </c>
      <c r="M6219" s="64">
        <f>L6219/K6219</f>
        <v/>
      </c>
    </row>
    <row r="6220">
      <c r="A6220" s="58" t="inlineStr">
        <is>
          <t>RT20250606-06219</t>
        </is>
      </c>
      <c r="B6220" s="59" t="inlineStr">
        <is>
          <t>2025-06-06</t>
        </is>
      </c>
      <c r="C6220" s="60" t="inlineStr">
        <is>
          <t>Polar Snack Pro-641</t>
        </is>
      </c>
      <c r="D6220" s="58" t="inlineStr">
        <is>
          <t>Grocery</t>
        </is>
      </c>
      <c r="E6220" s="58" t="inlineStr">
        <is>
          <t>Central</t>
        </is>
      </c>
      <c r="F6220" s="61" t="n">
        <v>4</v>
      </c>
      <c r="G6220" s="62" t="n">
        <v>13.59</v>
      </c>
      <c r="H6220" s="63" t="n">
        <v>0.063</v>
      </c>
      <c r="I6220" s="62" t="n">
        <v>9.73</v>
      </c>
      <c r="J6220" s="58" t="inlineStr">
        <is>
          <t>Online</t>
        </is>
      </c>
      <c r="K6220" s="62">
        <f>F6220*(G6220-H6220)</f>
        <v/>
      </c>
      <c r="L6220" s="62">
        <f>K6220-(F6220*I6220)</f>
        <v/>
      </c>
      <c r="M6220" s="64">
        <f>L6220/K6220</f>
        <v/>
      </c>
    </row>
    <row r="6221">
      <c r="A6221" s="58" t="inlineStr">
        <is>
          <t>RT20250606-06220</t>
        </is>
      </c>
      <c r="B6221" s="59" t="inlineStr">
        <is>
          <t>2025-06-06</t>
        </is>
      </c>
      <c r="C6221" s="60" t="inlineStr">
        <is>
          <t>Falcon Kitchen X-130</t>
        </is>
      </c>
      <c r="D6221" s="58" t="inlineStr">
        <is>
          <t>Home</t>
        </is>
      </c>
      <c r="E6221" s="58" t="inlineStr">
        <is>
          <t>South</t>
        </is>
      </c>
      <c r="F6221" s="61" t="n">
        <v>1</v>
      </c>
      <c r="G6221" s="62" t="n">
        <v>444.26</v>
      </c>
      <c r="H6221" s="63" t="n">
        <v>0.033</v>
      </c>
      <c r="I6221" s="62" t="n">
        <v>294.65</v>
      </c>
      <c r="J6221" s="58" t="inlineStr">
        <is>
          <t>Phone</t>
        </is>
      </c>
      <c r="K6221" s="62">
        <f>F6221*(G6221-H6221)</f>
        <v/>
      </c>
      <c r="L6221" s="62">
        <f>K6221-(F6221*I6221)</f>
        <v/>
      </c>
      <c r="M6221" s="64">
        <f>L6221/K6221</f>
        <v/>
      </c>
    </row>
    <row r="6222">
      <c r="A6222" s="58" t="inlineStr">
        <is>
          <t>RT20250606-06221</t>
        </is>
      </c>
      <c r="B6222" s="59" t="inlineStr">
        <is>
          <t>2025-06-06</t>
        </is>
      </c>
      <c r="C6222" s="60" t="inlineStr">
        <is>
          <t>Solace Kitchen Pro-999</t>
        </is>
      </c>
      <c r="D6222" s="58" t="inlineStr">
        <is>
          <t>Home</t>
        </is>
      </c>
      <c r="E6222" s="58" t="inlineStr">
        <is>
          <t>North</t>
        </is>
      </c>
      <c r="F6222" s="61" t="n">
        <v>3</v>
      </c>
      <c r="G6222" s="62" t="n">
        <v>389.78</v>
      </c>
      <c r="H6222" s="63" t="n">
        <v>0.08</v>
      </c>
      <c r="I6222" s="62" t="n">
        <v>265.21</v>
      </c>
      <c r="J6222" s="58" t="inlineStr">
        <is>
          <t>Online</t>
        </is>
      </c>
      <c r="K6222" s="62">
        <f>F6222*(G6222-H6222)</f>
        <v/>
      </c>
      <c r="L6222" s="62">
        <f>K6222-(F6222*I6222)</f>
        <v/>
      </c>
      <c r="M6222" s="64">
        <f>L6222/K6222</f>
        <v/>
      </c>
    </row>
    <row r="6223">
      <c r="A6223" s="58" t="inlineStr">
        <is>
          <t>RT20250607-06222</t>
        </is>
      </c>
      <c r="B6223" s="59" t="inlineStr">
        <is>
          <t>2025-06-07</t>
        </is>
      </c>
      <c r="C6223" s="60" t="inlineStr">
        <is>
          <t>Aurora Skincare Max-798</t>
        </is>
      </c>
      <c r="D6223" s="58" t="inlineStr">
        <is>
          <t>Beauty</t>
        </is>
      </c>
      <c r="E6223" s="58" t="inlineStr">
        <is>
          <t>East</t>
        </is>
      </c>
      <c r="F6223" s="61" t="n">
        <v>2</v>
      </c>
      <c r="G6223" s="62" t="n">
        <v>110.17</v>
      </c>
      <c r="H6223" s="63" t="n">
        <v>0.091</v>
      </c>
      <c r="I6223" s="62" t="n">
        <v>66.75</v>
      </c>
      <c r="J6223" s="58" t="inlineStr">
        <is>
          <t>Store</t>
        </is>
      </c>
      <c r="K6223" s="62">
        <f>F6223*(G6223-H6223)</f>
        <v/>
      </c>
      <c r="L6223" s="62">
        <f>K6223-(F6223*I6223)</f>
        <v/>
      </c>
      <c r="M6223" s="64">
        <f>L6223/K6223</f>
        <v/>
      </c>
    </row>
    <row r="6224">
      <c r="A6224" s="58" t="inlineStr">
        <is>
          <t>RT20250607-06223</t>
        </is>
      </c>
      <c r="B6224" s="59" t="inlineStr">
        <is>
          <t>2025-06-07</t>
        </is>
      </c>
      <c r="C6224" s="60" t="inlineStr">
        <is>
          <t>Falcon Household Plus-172</t>
        </is>
      </c>
      <c r="D6224" s="58" t="inlineStr">
        <is>
          <t>Grocery</t>
        </is>
      </c>
      <c r="E6224" s="58" t="inlineStr">
        <is>
          <t>North</t>
        </is>
      </c>
      <c r="F6224" s="61" t="n">
        <v>1</v>
      </c>
      <c r="G6224" s="62" t="n">
        <v>20.11</v>
      </c>
      <c r="H6224" s="63" t="n">
        <v>0.049</v>
      </c>
      <c r="I6224" s="62" t="n">
        <v>16.51</v>
      </c>
      <c r="J6224" s="58" t="inlineStr">
        <is>
          <t>Online</t>
        </is>
      </c>
      <c r="K6224" s="62">
        <f>F6224*(G6224-H6224)</f>
        <v/>
      </c>
      <c r="L6224" s="62">
        <f>K6224-(F6224*I6224)</f>
        <v/>
      </c>
      <c r="M6224" s="64">
        <f>L6224/K6224</f>
        <v/>
      </c>
    </row>
    <row r="6225">
      <c r="A6225" s="58" t="inlineStr">
        <is>
          <t>RT20250607-06224</t>
        </is>
      </c>
      <c r="B6225" s="59" t="inlineStr">
        <is>
          <t>2025-06-07</t>
        </is>
      </c>
      <c r="C6225" s="60" t="inlineStr">
        <is>
          <t>Polar Women S-662</t>
        </is>
      </c>
      <c r="D6225" s="58" t="inlineStr">
        <is>
          <t>Apparel</t>
        </is>
      </c>
      <c r="E6225" s="58" t="inlineStr">
        <is>
          <t>North</t>
        </is>
      </c>
      <c r="F6225" s="61" t="n">
        <v>2</v>
      </c>
      <c r="G6225" s="62" t="n">
        <v>168.79</v>
      </c>
      <c r="H6225" s="63" t="n">
        <v>0.04</v>
      </c>
      <c r="I6225" s="62" t="n">
        <v>101.68</v>
      </c>
      <c r="J6225" s="58" t="inlineStr">
        <is>
          <t>Online</t>
        </is>
      </c>
      <c r="K6225" s="62">
        <f>F6225*(G6225-H6225)</f>
        <v/>
      </c>
      <c r="L6225" s="62">
        <f>K6225-(F6225*I6225)</f>
        <v/>
      </c>
      <c r="M6225" s="64">
        <f>L6225/K6225</f>
        <v/>
      </c>
    </row>
    <row r="6226">
      <c r="A6226" s="58" t="inlineStr">
        <is>
          <t>RT20250607-06225</t>
        </is>
      </c>
      <c r="B6226" s="59" t="inlineStr">
        <is>
          <t>2025-06-07</t>
        </is>
      </c>
      <c r="C6226" s="60" t="inlineStr">
        <is>
          <t>Metro Laptop Plus-376</t>
        </is>
      </c>
      <c r="D6226" s="58" t="inlineStr">
        <is>
          <t>Electronics</t>
        </is>
      </c>
      <c r="E6226" s="58" t="inlineStr">
        <is>
          <t>East</t>
        </is>
      </c>
      <c r="F6226" s="61" t="n">
        <v>1</v>
      </c>
      <c r="G6226" s="62" t="n">
        <v>1288.1</v>
      </c>
      <c r="H6226" s="63" t="n">
        <v>0.092</v>
      </c>
      <c r="I6226" s="62" t="n">
        <v>1038.41</v>
      </c>
      <c r="J6226" s="58" t="inlineStr">
        <is>
          <t>Online</t>
        </is>
      </c>
      <c r="K6226" s="62">
        <f>F6226*(G6226-H6226)</f>
        <v/>
      </c>
      <c r="L6226" s="62">
        <f>K6226-(F6226*I6226)</f>
        <v/>
      </c>
      <c r="M6226" s="64">
        <f>L6226/K6226</f>
        <v/>
      </c>
    </row>
    <row r="6227">
      <c r="A6227" s="58" t="inlineStr">
        <is>
          <t>RT20250607-06226</t>
        </is>
      </c>
      <c r="B6227" s="59" t="inlineStr">
        <is>
          <t>2025-06-07</t>
        </is>
      </c>
      <c r="C6227" s="60" t="inlineStr">
        <is>
          <t>Solace Makeup Pro-214</t>
        </is>
      </c>
      <c r="D6227" s="58" t="inlineStr">
        <is>
          <t>Beauty</t>
        </is>
      </c>
      <c r="E6227" s="58" t="inlineStr">
        <is>
          <t>West</t>
        </is>
      </c>
      <c r="F6227" s="61" t="n">
        <v>2</v>
      </c>
      <c r="G6227" s="62" t="n">
        <v>114.26</v>
      </c>
      <c r="H6227" s="63" t="n">
        <v>0.083</v>
      </c>
      <c r="I6227" s="62" t="n">
        <v>67.81</v>
      </c>
      <c r="J6227" s="58" t="inlineStr">
        <is>
          <t>Store</t>
        </is>
      </c>
      <c r="K6227" s="62">
        <f>F6227*(G6227-H6227)</f>
        <v/>
      </c>
      <c r="L6227" s="62">
        <f>K6227-(F6227*I6227)</f>
        <v/>
      </c>
      <c r="M6227" s="64">
        <f>L6227/K6227</f>
        <v/>
      </c>
    </row>
    <row r="6228">
      <c r="A6228" s="58" t="inlineStr">
        <is>
          <t>RT20250607-06227</t>
        </is>
      </c>
      <c r="B6228" s="59" t="inlineStr">
        <is>
          <t>2025-06-07</t>
        </is>
      </c>
      <c r="C6228" s="60" t="inlineStr">
        <is>
          <t>Vertex Smartphone Pro-256</t>
        </is>
      </c>
      <c r="D6228" s="58" t="inlineStr">
        <is>
          <t>Electronics</t>
        </is>
      </c>
      <c r="E6228" s="58" t="inlineStr">
        <is>
          <t>Central</t>
        </is>
      </c>
      <c r="F6228" s="61" t="n">
        <v>2</v>
      </c>
      <c r="G6228" s="62" t="n">
        <v>1309.22</v>
      </c>
      <c r="H6228" s="63" t="n">
        <v>0.033</v>
      </c>
      <c r="I6228" s="62" t="n">
        <v>929.91</v>
      </c>
      <c r="J6228" s="58" t="inlineStr">
        <is>
          <t>Store</t>
        </is>
      </c>
      <c r="K6228" s="62">
        <f>F6228*(G6228-H6228)</f>
        <v/>
      </c>
      <c r="L6228" s="62">
        <f>K6228-(F6228*I6228)</f>
        <v/>
      </c>
      <c r="M6228" s="64">
        <f>L6228/K6228</f>
        <v/>
      </c>
    </row>
    <row r="6229">
      <c r="A6229" s="58" t="inlineStr">
        <is>
          <t>RT20250607-06228</t>
        </is>
      </c>
      <c r="B6229" s="59" t="inlineStr">
        <is>
          <t>2025-06-07</t>
        </is>
      </c>
      <c r="C6229" s="60" t="inlineStr">
        <is>
          <t>Polar Supplie Lite-348</t>
        </is>
      </c>
      <c r="D6229" s="58" t="inlineStr">
        <is>
          <t>Office</t>
        </is>
      </c>
      <c r="E6229" s="58" t="inlineStr">
        <is>
          <t>South</t>
        </is>
      </c>
      <c r="F6229" s="61" t="n">
        <v>3</v>
      </c>
      <c r="G6229" s="62" t="n">
        <v>402.79</v>
      </c>
      <c r="H6229" s="63" t="n">
        <v>0.106</v>
      </c>
      <c r="I6229" s="62" t="n">
        <v>320.95</v>
      </c>
      <c r="J6229" s="58" t="inlineStr">
        <is>
          <t>Online</t>
        </is>
      </c>
      <c r="K6229" s="62">
        <f>F6229*(G6229-H6229)</f>
        <v/>
      </c>
      <c r="L6229" s="62">
        <f>K6229-(F6229*I6229)</f>
        <v/>
      </c>
      <c r="M6229" s="64">
        <f>L6229/K6229</f>
        <v/>
      </c>
    </row>
    <row r="6230">
      <c r="A6230" s="58" t="inlineStr">
        <is>
          <t>RT20250607-06229</t>
        </is>
      </c>
      <c r="B6230" s="59" t="inlineStr">
        <is>
          <t>2025-06-07</t>
        </is>
      </c>
      <c r="C6230" s="60" t="inlineStr">
        <is>
          <t>Aurora Fitnes Lite-194</t>
        </is>
      </c>
      <c r="D6230" s="58" t="inlineStr">
        <is>
          <t>Sports</t>
        </is>
      </c>
      <c r="E6230" s="58" t="inlineStr">
        <is>
          <t>West</t>
        </is>
      </c>
      <c r="F6230" s="61" t="n">
        <v>3</v>
      </c>
      <c r="G6230" s="62" t="n">
        <v>727.73</v>
      </c>
      <c r="H6230" s="63" t="n">
        <v>0.08</v>
      </c>
      <c r="I6230" s="62" t="n">
        <v>455.62</v>
      </c>
      <c r="J6230" s="58" t="inlineStr">
        <is>
          <t>Store</t>
        </is>
      </c>
      <c r="K6230" s="62">
        <f>F6230*(G6230-H6230)</f>
        <v/>
      </c>
      <c r="L6230" s="62">
        <f>K6230-(F6230*I6230)</f>
        <v/>
      </c>
      <c r="M6230" s="64">
        <f>L6230/K6230</f>
        <v/>
      </c>
    </row>
    <row r="6231">
      <c r="A6231" s="58" t="inlineStr">
        <is>
          <t>RT20250607-06230</t>
        </is>
      </c>
      <c r="B6231" s="59" t="inlineStr">
        <is>
          <t>2025-06-07</t>
        </is>
      </c>
      <c r="C6231" s="60" t="inlineStr">
        <is>
          <t>Falcon Household Plus-796</t>
        </is>
      </c>
      <c r="D6231" s="58" t="inlineStr">
        <is>
          <t>Grocery</t>
        </is>
      </c>
      <c r="E6231" s="58" t="inlineStr">
        <is>
          <t>East</t>
        </is>
      </c>
      <c r="F6231" s="61" t="n">
        <v>6</v>
      </c>
      <c r="G6231" s="62" t="n">
        <v>25.3</v>
      </c>
      <c r="H6231" s="63" t="n">
        <v>0.067</v>
      </c>
      <c r="I6231" s="62" t="n">
        <v>17.56</v>
      </c>
      <c r="J6231" s="58" t="inlineStr">
        <is>
          <t>Store</t>
        </is>
      </c>
      <c r="K6231" s="62">
        <f>F6231*(G6231-H6231)</f>
        <v/>
      </c>
      <c r="L6231" s="62">
        <f>K6231-(F6231*I6231)</f>
        <v/>
      </c>
      <c r="M6231" s="64">
        <f>L6231/K6231</f>
        <v/>
      </c>
    </row>
    <row r="6232">
      <c r="A6232" s="58" t="inlineStr">
        <is>
          <t>RT20250607-06231</t>
        </is>
      </c>
      <c r="B6232" s="59" t="inlineStr">
        <is>
          <t>2025-06-07</t>
        </is>
      </c>
      <c r="C6232" s="60" t="inlineStr">
        <is>
          <t>Polar Laptop Plus-984</t>
        </is>
      </c>
      <c r="D6232" s="58" t="inlineStr">
        <is>
          <t>Electronics</t>
        </is>
      </c>
      <c r="E6232" s="58" t="inlineStr">
        <is>
          <t>East</t>
        </is>
      </c>
      <c r="F6232" s="61" t="n">
        <v>2</v>
      </c>
      <c r="G6232" s="62" t="n">
        <v>1272.68</v>
      </c>
      <c r="H6232" s="63" t="n">
        <v>0.095</v>
      </c>
      <c r="I6232" s="62" t="n">
        <v>990.12</v>
      </c>
      <c r="J6232" s="58" t="inlineStr">
        <is>
          <t>Store</t>
        </is>
      </c>
      <c r="K6232" s="62">
        <f>F6232*(G6232-H6232)</f>
        <v/>
      </c>
      <c r="L6232" s="62">
        <f>K6232-(F6232*I6232)</f>
        <v/>
      </c>
      <c r="M6232" s="64">
        <f>L6232/K6232</f>
        <v/>
      </c>
    </row>
    <row r="6233">
      <c r="A6233" s="58" t="inlineStr">
        <is>
          <t>RT20250607-06232</t>
        </is>
      </c>
      <c r="B6233" s="59" t="inlineStr">
        <is>
          <t>2025-06-07</t>
        </is>
      </c>
      <c r="C6233" s="60" t="inlineStr">
        <is>
          <t>Aurora Fitnes Lite-194</t>
        </is>
      </c>
      <c r="D6233" s="58" t="inlineStr">
        <is>
          <t>Sports</t>
        </is>
      </c>
      <c r="E6233" s="58" t="inlineStr">
        <is>
          <t>Central</t>
        </is>
      </c>
      <c r="F6233" s="61" t="n">
        <v>1</v>
      </c>
      <c r="G6233" s="62" t="n">
        <v>652.03</v>
      </c>
      <c r="H6233" s="63" t="n">
        <v>0.046</v>
      </c>
      <c r="I6233" s="62" t="n">
        <v>470.36</v>
      </c>
      <c r="J6233" s="58" t="inlineStr">
        <is>
          <t>Online</t>
        </is>
      </c>
      <c r="K6233" s="62">
        <f>F6233*(G6233-H6233)</f>
        <v/>
      </c>
      <c r="L6233" s="62">
        <f>K6233-(F6233*I6233)</f>
        <v/>
      </c>
      <c r="M6233" s="64">
        <f>L6233/K6233</f>
        <v/>
      </c>
    </row>
    <row r="6234">
      <c r="A6234" s="58" t="inlineStr">
        <is>
          <t>RT20250607-06233</t>
        </is>
      </c>
      <c r="B6234" s="59" t="inlineStr">
        <is>
          <t>2025-06-07</t>
        </is>
      </c>
      <c r="C6234" s="60" t="inlineStr">
        <is>
          <t>Aurora Household Plus-146</t>
        </is>
      </c>
      <c r="D6234" s="58" t="inlineStr">
        <is>
          <t>Grocery</t>
        </is>
      </c>
      <c r="E6234" s="58" t="inlineStr">
        <is>
          <t>East</t>
        </is>
      </c>
      <c r="F6234" s="61" t="n">
        <v>7</v>
      </c>
      <c r="G6234" s="62" t="n">
        <v>6.74</v>
      </c>
      <c r="H6234" s="63" t="n">
        <v>0.052</v>
      </c>
      <c r="I6234" s="62" t="n">
        <v>4.61</v>
      </c>
      <c r="J6234" s="58" t="inlineStr">
        <is>
          <t>Store</t>
        </is>
      </c>
      <c r="K6234" s="62">
        <f>F6234*(G6234-H6234)</f>
        <v/>
      </c>
      <c r="L6234" s="62">
        <f>K6234-(F6234*I6234)</f>
        <v/>
      </c>
      <c r="M6234" s="64">
        <f>L6234/K6234</f>
        <v/>
      </c>
    </row>
    <row r="6235">
      <c r="A6235" s="58" t="inlineStr">
        <is>
          <t>RT20250607-06234</t>
        </is>
      </c>
      <c r="B6235" s="59" t="inlineStr">
        <is>
          <t>2025-06-07</t>
        </is>
      </c>
      <c r="C6235" s="60" t="inlineStr">
        <is>
          <t>Metro Accessorie Lite-697</t>
        </is>
      </c>
      <c r="D6235" s="58" t="inlineStr">
        <is>
          <t>Apparel</t>
        </is>
      </c>
      <c r="E6235" s="58" t="inlineStr">
        <is>
          <t>Central</t>
        </is>
      </c>
      <c r="F6235" s="61" t="n">
        <v>4</v>
      </c>
      <c r="G6235" s="62" t="n">
        <v>139.79</v>
      </c>
      <c r="H6235" s="63" t="n">
        <v>0.06</v>
      </c>
      <c r="I6235" s="62" t="n">
        <v>76.81999999999999</v>
      </c>
      <c r="J6235" s="58" t="inlineStr">
        <is>
          <t>Online</t>
        </is>
      </c>
      <c r="K6235" s="62">
        <f>F6235*(G6235-H6235)</f>
        <v/>
      </c>
      <c r="L6235" s="62">
        <f>K6235-(F6235*I6235)</f>
        <v/>
      </c>
      <c r="M6235" s="64">
        <f>L6235/K6235</f>
        <v/>
      </c>
    </row>
    <row r="6236">
      <c r="A6236" s="58" t="inlineStr">
        <is>
          <t>RT20250607-06235</t>
        </is>
      </c>
      <c r="B6236" s="59" t="inlineStr">
        <is>
          <t>2025-06-07</t>
        </is>
      </c>
      <c r="C6236" s="60" t="inlineStr">
        <is>
          <t>Aurora Kid Plus-151</t>
        </is>
      </c>
      <c r="D6236" s="58" t="inlineStr">
        <is>
          <t>Apparel</t>
        </is>
      </c>
      <c r="E6236" s="58" t="inlineStr">
        <is>
          <t>East</t>
        </is>
      </c>
      <c r="F6236" s="61" t="n">
        <v>1</v>
      </c>
      <c r="G6236" s="62" t="n">
        <v>107.93</v>
      </c>
      <c r="H6236" s="63" t="n">
        <v>0.057</v>
      </c>
      <c r="I6236" s="62" t="n">
        <v>64.31999999999999</v>
      </c>
      <c r="J6236" s="58" t="inlineStr">
        <is>
          <t>Online</t>
        </is>
      </c>
      <c r="K6236" s="62">
        <f>F6236*(G6236-H6236)</f>
        <v/>
      </c>
      <c r="L6236" s="62">
        <f>K6236-(F6236*I6236)</f>
        <v/>
      </c>
      <c r="M6236" s="64">
        <f>L6236/K6236</f>
        <v/>
      </c>
    </row>
    <row r="6237">
      <c r="A6237" s="58" t="inlineStr">
        <is>
          <t>RT20250607-06236</t>
        </is>
      </c>
      <c r="B6237" s="59" t="inlineStr">
        <is>
          <t>2025-06-07</t>
        </is>
      </c>
      <c r="C6237" s="60" t="inlineStr">
        <is>
          <t>Metro Smartphone Max-773</t>
        </is>
      </c>
      <c r="D6237" s="58" t="inlineStr">
        <is>
          <t>Electronics</t>
        </is>
      </c>
      <c r="E6237" s="58" t="inlineStr">
        <is>
          <t>North</t>
        </is>
      </c>
      <c r="F6237" s="61" t="n">
        <v>2</v>
      </c>
      <c r="G6237" s="62" t="n">
        <v>1501.37</v>
      </c>
      <c r="H6237" s="63" t="n">
        <v>0.075</v>
      </c>
      <c r="I6237" s="62" t="n">
        <v>1130.46</v>
      </c>
      <c r="J6237" s="58" t="inlineStr">
        <is>
          <t>Store</t>
        </is>
      </c>
      <c r="K6237" s="62">
        <f>F6237*(G6237-H6237)</f>
        <v/>
      </c>
      <c r="L6237" s="62">
        <f>K6237-(F6237*I6237)</f>
        <v/>
      </c>
      <c r="M6237" s="64">
        <f>L6237/K6237</f>
        <v/>
      </c>
    </row>
    <row r="6238">
      <c r="A6238" s="58" t="inlineStr">
        <is>
          <t>RT20250607-06237</t>
        </is>
      </c>
      <c r="B6238" s="59" t="inlineStr">
        <is>
          <t>2025-06-07</t>
        </is>
      </c>
      <c r="C6238" s="60" t="inlineStr">
        <is>
          <t>Aurora Makeup S-626</t>
        </is>
      </c>
      <c r="D6238" s="58" t="inlineStr">
        <is>
          <t>Beauty</t>
        </is>
      </c>
      <c r="E6238" s="58" t="inlineStr">
        <is>
          <t>West</t>
        </is>
      </c>
      <c r="F6238" s="61" t="n">
        <v>5</v>
      </c>
      <c r="G6238" s="62" t="n">
        <v>105.05</v>
      </c>
      <c r="H6238" s="63" t="n">
        <v>0.041</v>
      </c>
      <c r="I6238" s="62" t="n">
        <v>62.5</v>
      </c>
      <c r="J6238" s="58" t="inlineStr">
        <is>
          <t>Online</t>
        </is>
      </c>
      <c r="K6238" s="62">
        <f>F6238*(G6238-H6238)</f>
        <v/>
      </c>
      <c r="L6238" s="62">
        <f>K6238-(F6238*I6238)</f>
        <v/>
      </c>
      <c r="M6238" s="64">
        <f>L6238/K6238</f>
        <v/>
      </c>
    </row>
    <row r="6239">
      <c r="A6239" s="58" t="inlineStr">
        <is>
          <t>RT20250607-06238</t>
        </is>
      </c>
      <c r="B6239" s="59" t="inlineStr">
        <is>
          <t>2025-06-07</t>
        </is>
      </c>
      <c r="C6239" s="60" t="inlineStr">
        <is>
          <t>Nimbus Women Plus-352</t>
        </is>
      </c>
      <c r="D6239" s="58" t="inlineStr">
        <is>
          <t>Apparel</t>
        </is>
      </c>
      <c r="E6239" s="58" t="inlineStr">
        <is>
          <t>West</t>
        </is>
      </c>
      <c r="F6239" s="61" t="n">
        <v>2</v>
      </c>
      <c r="G6239" s="62" t="n">
        <v>53.24</v>
      </c>
      <c r="H6239" s="63" t="n">
        <v>0.033</v>
      </c>
      <c r="I6239" s="62" t="n">
        <v>32.68</v>
      </c>
      <c r="J6239" s="58" t="inlineStr">
        <is>
          <t>Online</t>
        </is>
      </c>
      <c r="K6239" s="62">
        <f>F6239*(G6239-H6239)</f>
        <v/>
      </c>
      <c r="L6239" s="62">
        <f>K6239-(F6239*I6239)</f>
        <v/>
      </c>
      <c r="M6239" s="64">
        <f>L6239/K6239</f>
        <v/>
      </c>
    </row>
    <row r="6240">
      <c r="A6240" s="58" t="inlineStr">
        <is>
          <t>RT20250607-06239</t>
        </is>
      </c>
      <c r="B6240" s="59" t="inlineStr">
        <is>
          <t>2025-06-07</t>
        </is>
      </c>
      <c r="C6240" s="60" t="inlineStr">
        <is>
          <t>Falcon Bedding S-674</t>
        </is>
      </c>
      <c r="D6240" s="58" t="inlineStr">
        <is>
          <t>Home</t>
        </is>
      </c>
      <c r="E6240" s="58" t="inlineStr">
        <is>
          <t>Central</t>
        </is>
      </c>
      <c r="F6240" s="61" t="n">
        <v>2</v>
      </c>
      <c r="G6240" s="62" t="n">
        <v>642.0700000000001</v>
      </c>
      <c r="H6240" s="63" t="n">
        <v>0.08</v>
      </c>
      <c r="I6240" s="62" t="n">
        <v>445.16</v>
      </c>
      <c r="J6240" s="58" t="inlineStr">
        <is>
          <t>Online</t>
        </is>
      </c>
      <c r="K6240" s="62">
        <f>F6240*(G6240-H6240)</f>
        <v/>
      </c>
      <c r="L6240" s="62">
        <f>K6240-(F6240*I6240)</f>
        <v/>
      </c>
      <c r="M6240" s="64">
        <f>L6240/K6240</f>
        <v/>
      </c>
    </row>
    <row r="6241">
      <c r="A6241" s="58" t="inlineStr">
        <is>
          <t>RT20250607-06240</t>
        </is>
      </c>
      <c r="B6241" s="59" t="inlineStr">
        <is>
          <t>2025-06-07</t>
        </is>
      </c>
      <c r="C6241" s="60" t="inlineStr">
        <is>
          <t>Solace Fitnes S-324</t>
        </is>
      </c>
      <c r="D6241" s="58" t="inlineStr">
        <is>
          <t>Sports</t>
        </is>
      </c>
      <c r="E6241" s="58" t="inlineStr">
        <is>
          <t>West</t>
        </is>
      </c>
      <c r="F6241" s="61" t="n">
        <v>3</v>
      </c>
      <c r="G6241" s="62" t="n">
        <v>856.15</v>
      </c>
      <c r="H6241" s="63" t="n">
        <v>0.044</v>
      </c>
      <c r="I6241" s="62" t="n">
        <v>534.91</v>
      </c>
      <c r="J6241" s="58" t="inlineStr">
        <is>
          <t>Store</t>
        </is>
      </c>
      <c r="K6241" s="62">
        <f>F6241*(G6241-H6241)</f>
        <v/>
      </c>
      <c r="L6241" s="62">
        <f>K6241-(F6241*I6241)</f>
        <v/>
      </c>
      <c r="M6241" s="64">
        <f>L6241/K6241</f>
        <v/>
      </c>
    </row>
    <row r="6242">
      <c r="A6242" s="58" t="inlineStr">
        <is>
          <t>RT20250607-06241</t>
        </is>
      </c>
      <c r="B6242" s="59" t="inlineStr">
        <is>
          <t>2025-06-07</t>
        </is>
      </c>
      <c r="C6242" s="60" t="inlineStr">
        <is>
          <t>Vertex Fitnes Pro-830</t>
        </is>
      </c>
      <c r="D6242" s="58" t="inlineStr">
        <is>
          <t>Sports</t>
        </is>
      </c>
      <c r="E6242" s="58" t="inlineStr">
        <is>
          <t>South</t>
        </is>
      </c>
      <c r="F6242" s="61" t="n">
        <v>2</v>
      </c>
      <c r="G6242" s="62" t="n">
        <v>713.8200000000001</v>
      </c>
      <c r="H6242" s="63" t="n">
        <v>0.017</v>
      </c>
      <c r="I6242" s="62" t="n">
        <v>469.61</v>
      </c>
      <c r="J6242" s="58" t="inlineStr">
        <is>
          <t>Online</t>
        </is>
      </c>
      <c r="K6242" s="62">
        <f>F6242*(G6242-H6242)</f>
        <v/>
      </c>
      <c r="L6242" s="62">
        <f>K6242-(F6242*I6242)</f>
        <v/>
      </c>
      <c r="M6242" s="64">
        <f>L6242/K6242</f>
        <v/>
      </c>
    </row>
    <row r="6243">
      <c r="A6243" s="58" t="inlineStr">
        <is>
          <t>RT20250607-06242</t>
        </is>
      </c>
      <c r="B6243" s="59" t="inlineStr">
        <is>
          <t>2025-06-07</t>
        </is>
      </c>
      <c r="C6243" s="60" t="inlineStr">
        <is>
          <t>Polar Bedding Lite-243</t>
        </is>
      </c>
      <c r="D6243" s="58" t="inlineStr">
        <is>
          <t>Home</t>
        </is>
      </c>
      <c r="E6243" s="58" t="inlineStr">
        <is>
          <t>West</t>
        </is>
      </c>
      <c r="F6243" s="61" t="n">
        <v>2</v>
      </c>
      <c r="G6243" s="62" t="n">
        <v>494.5</v>
      </c>
      <c r="H6243" s="63" t="n">
        <v>0.113</v>
      </c>
      <c r="I6243" s="62" t="n">
        <v>327.81</v>
      </c>
      <c r="J6243" s="58" t="inlineStr">
        <is>
          <t>Online</t>
        </is>
      </c>
      <c r="K6243" s="62">
        <f>F6243*(G6243-H6243)</f>
        <v/>
      </c>
      <c r="L6243" s="62">
        <f>K6243-(F6243*I6243)</f>
        <v/>
      </c>
      <c r="M6243" s="64">
        <f>L6243/K6243</f>
        <v/>
      </c>
    </row>
    <row r="6244">
      <c r="A6244" s="58" t="inlineStr">
        <is>
          <t>RT20250607-06243</t>
        </is>
      </c>
      <c r="B6244" s="59" t="inlineStr">
        <is>
          <t>2025-06-07</t>
        </is>
      </c>
      <c r="C6244" s="60" t="inlineStr">
        <is>
          <t>Aurora Makeup S-626</t>
        </is>
      </c>
      <c r="D6244" s="58" t="inlineStr">
        <is>
          <t>Beauty</t>
        </is>
      </c>
      <c r="E6244" s="58" t="inlineStr">
        <is>
          <t>West</t>
        </is>
      </c>
      <c r="F6244" s="61" t="n">
        <v>2</v>
      </c>
      <c r="G6244" s="62" t="n">
        <v>103.46</v>
      </c>
      <c r="H6244" s="63" t="n">
        <v>0.054</v>
      </c>
      <c r="I6244" s="62" t="n">
        <v>62.13</v>
      </c>
      <c r="J6244" s="58" t="inlineStr">
        <is>
          <t>Online</t>
        </is>
      </c>
      <c r="K6244" s="62">
        <f>F6244*(G6244-H6244)</f>
        <v/>
      </c>
      <c r="L6244" s="62">
        <f>K6244-(F6244*I6244)</f>
        <v/>
      </c>
      <c r="M6244" s="64">
        <f>L6244/K6244</f>
        <v/>
      </c>
    </row>
    <row r="6245">
      <c r="A6245" s="58" t="inlineStr">
        <is>
          <t>RT20250607-06244</t>
        </is>
      </c>
      <c r="B6245" s="59" t="inlineStr">
        <is>
          <t>2025-06-07</t>
        </is>
      </c>
      <c r="C6245" s="60" t="inlineStr">
        <is>
          <t>Nimbus Cycling Plus-911</t>
        </is>
      </c>
      <c r="D6245" s="58" t="inlineStr">
        <is>
          <t>Sports</t>
        </is>
      </c>
      <c r="E6245" s="58" t="inlineStr">
        <is>
          <t>South</t>
        </is>
      </c>
      <c r="F6245" s="61" t="n">
        <v>1</v>
      </c>
      <c r="G6245" s="62" t="n">
        <v>606.01</v>
      </c>
      <c r="H6245" s="63" t="n">
        <v>0.067</v>
      </c>
      <c r="I6245" s="62" t="n">
        <v>391.93</v>
      </c>
      <c r="J6245" s="58" t="inlineStr">
        <is>
          <t>Online</t>
        </is>
      </c>
      <c r="K6245" s="62">
        <f>F6245*(G6245-H6245)</f>
        <v/>
      </c>
      <c r="L6245" s="62">
        <f>K6245-(F6245*I6245)</f>
        <v/>
      </c>
      <c r="M6245" s="64">
        <f>L6245/K6245</f>
        <v/>
      </c>
    </row>
    <row r="6246">
      <c r="A6246" s="58" t="inlineStr">
        <is>
          <t>RT20250607-06245</t>
        </is>
      </c>
      <c r="B6246" s="59" t="inlineStr">
        <is>
          <t>2025-06-07</t>
        </is>
      </c>
      <c r="C6246" s="60" t="inlineStr">
        <is>
          <t>Polar Laptop Plus-984</t>
        </is>
      </c>
      <c r="D6246" s="58" t="inlineStr">
        <is>
          <t>Electronics</t>
        </is>
      </c>
      <c r="E6246" s="58" t="inlineStr">
        <is>
          <t>East</t>
        </is>
      </c>
      <c r="F6246" s="61" t="n">
        <v>2</v>
      </c>
      <c r="G6246" s="62" t="n">
        <v>1218.15</v>
      </c>
      <c r="H6246" s="63" t="n">
        <v>0.08699999999999999</v>
      </c>
      <c r="I6246" s="62" t="n">
        <v>992.99</v>
      </c>
      <c r="J6246" s="58" t="inlineStr">
        <is>
          <t>Store</t>
        </is>
      </c>
      <c r="K6246" s="62">
        <f>F6246*(G6246-H6246)</f>
        <v/>
      </c>
      <c r="L6246" s="62">
        <f>K6246-(F6246*I6246)</f>
        <v/>
      </c>
      <c r="M6246" s="64">
        <f>L6246/K6246</f>
        <v/>
      </c>
    </row>
    <row r="6247">
      <c r="A6247" s="58" t="inlineStr">
        <is>
          <t>RT20250607-06246</t>
        </is>
      </c>
      <c r="B6247" s="59" t="inlineStr">
        <is>
          <t>2025-06-07</t>
        </is>
      </c>
      <c r="C6247" s="60" t="inlineStr">
        <is>
          <t>Solace Kitchen X-919</t>
        </is>
      </c>
      <c r="D6247" s="58" t="inlineStr">
        <is>
          <t>Home</t>
        </is>
      </c>
      <c r="E6247" s="58" t="inlineStr">
        <is>
          <t>West</t>
        </is>
      </c>
      <c r="F6247" s="61" t="n">
        <v>2</v>
      </c>
      <c r="G6247" s="62" t="n">
        <v>408.87</v>
      </c>
      <c r="H6247" s="63" t="n">
        <v>0.051</v>
      </c>
      <c r="I6247" s="62" t="n">
        <v>259.96</v>
      </c>
      <c r="J6247" s="58" t="inlineStr">
        <is>
          <t>Store</t>
        </is>
      </c>
      <c r="K6247" s="62">
        <f>F6247*(G6247-H6247)</f>
        <v/>
      </c>
      <c r="L6247" s="62">
        <f>K6247-(F6247*I6247)</f>
        <v/>
      </c>
      <c r="M6247" s="64">
        <f>L6247/K6247</f>
        <v/>
      </c>
    </row>
    <row r="6248">
      <c r="A6248" s="58" t="inlineStr">
        <is>
          <t>RT20250607-06247</t>
        </is>
      </c>
      <c r="B6248" s="59" t="inlineStr">
        <is>
          <t>2025-06-07</t>
        </is>
      </c>
      <c r="C6248" s="60" t="inlineStr">
        <is>
          <t>Vertex Smartphone Pro-256</t>
        </is>
      </c>
      <c r="D6248" s="58" t="inlineStr">
        <is>
          <t>Electronics</t>
        </is>
      </c>
      <c r="E6248" s="58" t="inlineStr">
        <is>
          <t>West</t>
        </is>
      </c>
      <c r="F6248" s="61" t="n">
        <v>1</v>
      </c>
      <c r="G6248" s="62" t="n">
        <v>1164.24</v>
      </c>
      <c r="H6248" s="63" t="n">
        <v>0.016</v>
      </c>
      <c r="I6248" s="62" t="n">
        <v>923.16</v>
      </c>
      <c r="J6248" s="58" t="inlineStr">
        <is>
          <t>Online</t>
        </is>
      </c>
      <c r="K6248" s="62">
        <f>F6248*(G6248-H6248)</f>
        <v/>
      </c>
      <c r="L6248" s="62">
        <f>K6248-(F6248*I6248)</f>
        <v/>
      </c>
      <c r="M6248" s="64">
        <f>L6248/K6248</f>
        <v/>
      </c>
    </row>
    <row r="6249">
      <c r="A6249" s="58" t="inlineStr">
        <is>
          <t>RT20250607-06248</t>
        </is>
      </c>
      <c r="B6249" s="59" t="inlineStr">
        <is>
          <t>2025-06-07</t>
        </is>
      </c>
      <c r="C6249" s="60" t="inlineStr">
        <is>
          <t>Polar Fragrance Pro-750</t>
        </is>
      </c>
      <c r="D6249" s="58" t="inlineStr">
        <is>
          <t>Beauty</t>
        </is>
      </c>
      <c r="E6249" s="58" t="inlineStr">
        <is>
          <t>East</t>
        </is>
      </c>
      <c r="F6249" s="61" t="n">
        <v>3</v>
      </c>
      <c r="G6249" s="62" t="n">
        <v>68.34</v>
      </c>
      <c r="H6249" s="63" t="n">
        <v>0.064</v>
      </c>
      <c r="I6249" s="62" t="n">
        <v>35.72</v>
      </c>
      <c r="J6249" s="58" t="inlineStr">
        <is>
          <t>Online</t>
        </is>
      </c>
      <c r="K6249" s="62">
        <f>F6249*(G6249-H6249)</f>
        <v/>
      </c>
      <c r="L6249" s="62">
        <f>K6249-(F6249*I6249)</f>
        <v/>
      </c>
      <c r="M6249" s="64">
        <f>L6249/K6249</f>
        <v/>
      </c>
    </row>
    <row r="6250">
      <c r="A6250" s="58" t="inlineStr">
        <is>
          <t>RT20250607-06249</t>
        </is>
      </c>
      <c r="B6250" s="59" t="inlineStr">
        <is>
          <t>2025-06-07</t>
        </is>
      </c>
      <c r="C6250" s="60" t="inlineStr">
        <is>
          <t>Metro Beverage Max-490</t>
        </is>
      </c>
      <c r="D6250" s="58" t="inlineStr">
        <is>
          <t>Grocery</t>
        </is>
      </c>
      <c r="E6250" s="58" t="inlineStr">
        <is>
          <t>West</t>
        </is>
      </c>
      <c r="F6250" s="61" t="n">
        <v>5</v>
      </c>
      <c r="G6250" s="62" t="n">
        <v>10.31</v>
      </c>
      <c r="H6250" s="63" t="n">
        <v>0.073</v>
      </c>
      <c r="I6250" s="62" t="n">
        <v>8.01</v>
      </c>
      <c r="J6250" s="58" t="inlineStr">
        <is>
          <t>Online</t>
        </is>
      </c>
      <c r="K6250" s="62">
        <f>F6250*(G6250-H6250)</f>
        <v/>
      </c>
      <c r="L6250" s="62">
        <f>K6250-(F6250*I6250)</f>
        <v/>
      </c>
      <c r="M6250" s="64">
        <f>L6250/K6250</f>
        <v/>
      </c>
    </row>
    <row r="6251">
      <c r="A6251" s="58" t="inlineStr">
        <is>
          <t>RT20250607-06250</t>
        </is>
      </c>
      <c r="B6251" s="59" t="inlineStr">
        <is>
          <t>2025-06-07</t>
        </is>
      </c>
      <c r="C6251" s="60" t="inlineStr">
        <is>
          <t>Orion Storage Plus-961</t>
        </is>
      </c>
      <c r="D6251" s="58" t="inlineStr">
        <is>
          <t>Office</t>
        </is>
      </c>
      <c r="E6251" s="58" t="inlineStr">
        <is>
          <t>South</t>
        </is>
      </c>
      <c r="F6251" s="61" t="n">
        <v>1</v>
      </c>
      <c r="G6251" s="62" t="n">
        <v>534.52</v>
      </c>
      <c r="H6251" s="63" t="n">
        <v>0.098</v>
      </c>
      <c r="I6251" s="62" t="n">
        <v>358.84</v>
      </c>
      <c r="J6251" s="58" t="inlineStr">
        <is>
          <t>Online</t>
        </is>
      </c>
      <c r="K6251" s="62">
        <f>F6251*(G6251-H6251)</f>
        <v/>
      </c>
      <c r="L6251" s="62">
        <f>K6251-(F6251*I6251)</f>
        <v/>
      </c>
      <c r="M6251" s="64">
        <f>L6251/K6251</f>
        <v/>
      </c>
    </row>
    <row r="6252">
      <c r="A6252" s="58" t="inlineStr">
        <is>
          <t>RT20250607-06251</t>
        </is>
      </c>
      <c r="B6252" s="59" t="inlineStr">
        <is>
          <t>2025-06-07</t>
        </is>
      </c>
      <c r="C6252" s="60" t="inlineStr">
        <is>
          <t>Nimbus Storage Plus-646</t>
        </is>
      </c>
      <c r="D6252" s="58" t="inlineStr">
        <is>
          <t>Office</t>
        </is>
      </c>
      <c r="E6252" s="58" t="inlineStr">
        <is>
          <t>East</t>
        </is>
      </c>
      <c r="F6252" s="61" t="n">
        <v>2</v>
      </c>
      <c r="G6252" s="62" t="n">
        <v>423.2</v>
      </c>
      <c r="H6252" s="63" t="n">
        <v>0.027</v>
      </c>
      <c r="I6252" s="62" t="n">
        <v>310.92</v>
      </c>
      <c r="J6252" s="58" t="inlineStr">
        <is>
          <t>Online</t>
        </is>
      </c>
      <c r="K6252" s="62">
        <f>F6252*(G6252-H6252)</f>
        <v/>
      </c>
      <c r="L6252" s="62">
        <f>K6252-(F6252*I6252)</f>
        <v/>
      </c>
      <c r="M6252" s="64">
        <f>L6252/K6252</f>
        <v/>
      </c>
    </row>
    <row r="6253">
      <c r="A6253" s="58" t="inlineStr">
        <is>
          <t>RT20250607-06252</t>
        </is>
      </c>
      <c r="B6253" s="59" t="inlineStr">
        <is>
          <t>2025-06-07</t>
        </is>
      </c>
      <c r="C6253" s="60" t="inlineStr">
        <is>
          <t>Solace Fitnes S-324</t>
        </is>
      </c>
      <c r="D6253" s="58" t="inlineStr">
        <is>
          <t>Sports</t>
        </is>
      </c>
      <c r="E6253" s="58" t="inlineStr">
        <is>
          <t>West</t>
        </is>
      </c>
      <c r="F6253" s="61" t="n">
        <v>3</v>
      </c>
      <c r="G6253" s="62" t="n">
        <v>763.99</v>
      </c>
      <c r="H6253" s="63" t="n">
        <v>0.061</v>
      </c>
      <c r="I6253" s="62" t="n">
        <v>535.9400000000001</v>
      </c>
      <c r="J6253" s="58" t="inlineStr">
        <is>
          <t>Online</t>
        </is>
      </c>
      <c r="K6253" s="62">
        <f>F6253*(G6253-H6253)</f>
        <v/>
      </c>
      <c r="L6253" s="62">
        <f>K6253-(F6253*I6253)</f>
        <v/>
      </c>
      <c r="M6253" s="64">
        <f>L6253/K6253</f>
        <v/>
      </c>
    </row>
    <row r="6254">
      <c r="A6254" s="58" t="inlineStr">
        <is>
          <t>RT20250607-06253</t>
        </is>
      </c>
      <c r="B6254" s="59" t="inlineStr">
        <is>
          <t>2025-06-07</t>
        </is>
      </c>
      <c r="C6254" s="60" t="inlineStr">
        <is>
          <t>Aurora Team Sport Plus-256</t>
        </is>
      </c>
      <c r="D6254" s="58" t="inlineStr">
        <is>
          <t>Sports</t>
        </is>
      </c>
      <c r="E6254" s="58" t="inlineStr">
        <is>
          <t>Central</t>
        </is>
      </c>
      <c r="F6254" s="61" t="n">
        <v>2</v>
      </c>
      <c r="G6254" s="62" t="n">
        <v>650.41</v>
      </c>
      <c r="H6254" s="63" t="n">
        <v>0.042</v>
      </c>
      <c r="I6254" s="62" t="n">
        <v>406.37</v>
      </c>
      <c r="J6254" s="58" t="inlineStr">
        <is>
          <t>Store</t>
        </is>
      </c>
      <c r="K6254" s="62">
        <f>F6254*(G6254-H6254)</f>
        <v/>
      </c>
      <c r="L6254" s="62">
        <f>K6254-(F6254*I6254)</f>
        <v/>
      </c>
      <c r="M6254" s="64">
        <f>L6254/K6254</f>
        <v/>
      </c>
    </row>
    <row r="6255">
      <c r="A6255" s="58" t="inlineStr">
        <is>
          <t>RT20250607-06254</t>
        </is>
      </c>
      <c r="B6255" s="59" t="inlineStr">
        <is>
          <t>2025-06-07</t>
        </is>
      </c>
      <c r="C6255" s="60" t="inlineStr">
        <is>
          <t>Vertex Snack S-702</t>
        </is>
      </c>
      <c r="D6255" s="58" t="inlineStr">
        <is>
          <t>Grocery</t>
        </is>
      </c>
      <c r="E6255" s="58" t="inlineStr">
        <is>
          <t>Central</t>
        </is>
      </c>
      <c r="F6255" s="61" t="n">
        <v>8</v>
      </c>
      <c r="G6255" s="62" t="n">
        <v>1.84</v>
      </c>
      <c r="H6255" s="63" t="n">
        <v>0.049</v>
      </c>
      <c r="I6255" s="62" t="n">
        <v>1.47</v>
      </c>
      <c r="J6255" s="58" t="inlineStr">
        <is>
          <t>Online</t>
        </is>
      </c>
      <c r="K6255" s="62">
        <f>F6255*(G6255-H6255)</f>
        <v/>
      </c>
      <c r="L6255" s="62">
        <f>K6255-(F6255*I6255)</f>
        <v/>
      </c>
      <c r="M6255" s="64">
        <f>L6255/K6255</f>
        <v/>
      </c>
    </row>
    <row r="6256">
      <c r="A6256" s="58" t="inlineStr">
        <is>
          <t>RT20250607-06255</t>
        </is>
      </c>
      <c r="B6256" s="59" t="inlineStr">
        <is>
          <t>2025-06-07</t>
        </is>
      </c>
      <c r="C6256" s="60" t="inlineStr">
        <is>
          <t>Polar Haircare Max-614</t>
        </is>
      </c>
      <c r="D6256" s="58" t="inlineStr">
        <is>
          <t>Beauty</t>
        </is>
      </c>
      <c r="E6256" s="58" t="inlineStr">
        <is>
          <t>North</t>
        </is>
      </c>
      <c r="F6256" s="61" t="n">
        <v>4</v>
      </c>
      <c r="G6256" s="62" t="n">
        <v>99.81</v>
      </c>
      <c r="H6256" s="63" t="n">
        <v>0.063</v>
      </c>
      <c r="I6256" s="62" t="n">
        <v>68.63</v>
      </c>
      <c r="J6256" s="58" t="inlineStr">
        <is>
          <t>Online</t>
        </is>
      </c>
      <c r="K6256" s="62">
        <f>F6256*(G6256-H6256)</f>
        <v/>
      </c>
      <c r="L6256" s="62">
        <f>K6256-(F6256*I6256)</f>
        <v/>
      </c>
      <c r="M6256" s="64">
        <f>L6256/K6256</f>
        <v/>
      </c>
    </row>
    <row r="6257">
      <c r="A6257" s="58" t="inlineStr">
        <is>
          <t>RT20250607-06256</t>
        </is>
      </c>
      <c r="B6257" s="59" t="inlineStr">
        <is>
          <t>2025-06-07</t>
        </is>
      </c>
      <c r="C6257" s="60" t="inlineStr">
        <is>
          <t>Falcon Accessorie S-195</t>
        </is>
      </c>
      <c r="D6257" s="58" t="inlineStr">
        <is>
          <t>Apparel</t>
        </is>
      </c>
      <c r="E6257" s="58" t="inlineStr">
        <is>
          <t>Central</t>
        </is>
      </c>
      <c r="F6257" s="61" t="n">
        <v>1</v>
      </c>
      <c r="G6257" s="62" t="n">
        <v>75.14</v>
      </c>
      <c r="H6257" s="63" t="n">
        <v>0.074</v>
      </c>
      <c r="I6257" s="62" t="n">
        <v>43.46</v>
      </c>
      <c r="J6257" s="58" t="inlineStr">
        <is>
          <t>Store</t>
        </is>
      </c>
      <c r="K6257" s="62">
        <f>F6257*(G6257-H6257)</f>
        <v/>
      </c>
      <c r="L6257" s="62">
        <f>K6257-(F6257*I6257)</f>
        <v/>
      </c>
      <c r="M6257" s="64">
        <f>L6257/K6257</f>
        <v/>
      </c>
    </row>
    <row r="6258">
      <c r="A6258" s="58" t="inlineStr">
        <is>
          <t>RT20250607-06257</t>
        </is>
      </c>
      <c r="B6258" s="59" t="inlineStr">
        <is>
          <t>2025-06-07</t>
        </is>
      </c>
      <c r="C6258" s="60" t="inlineStr">
        <is>
          <t>Orion Laptop S-350</t>
        </is>
      </c>
      <c r="D6258" s="58" t="inlineStr">
        <is>
          <t>Electronics</t>
        </is>
      </c>
      <c r="E6258" s="58" t="inlineStr">
        <is>
          <t>North</t>
        </is>
      </c>
      <c r="F6258" s="61" t="n">
        <v>2</v>
      </c>
      <c r="G6258" s="62" t="n">
        <v>1345.81</v>
      </c>
      <c r="H6258" s="63" t="n">
        <v>0.082</v>
      </c>
      <c r="I6258" s="62" t="n">
        <v>1103.9</v>
      </c>
      <c r="J6258" s="58" t="inlineStr">
        <is>
          <t>Online</t>
        </is>
      </c>
      <c r="K6258" s="62">
        <f>F6258*(G6258-H6258)</f>
        <v/>
      </c>
      <c r="L6258" s="62">
        <f>K6258-(F6258*I6258)</f>
        <v/>
      </c>
      <c r="M6258" s="64">
        <f>L6258/K6258</f>
        <v/>
      </c>
    </row>
    <row r="6259">
      <c r="A6259" s="58" t="inlineStr">
        <is>
          <t>RT20250607-06258</t>
        </is>
      </c>
      <c r="B6259" s="59" t="inlineStr">
        <is>
          <t>2025-06-07</t>
        </is>
      </c>
      <c r="C6259" s="60" t="inlineStr">
        <is>
          <t>Vertex Appliance Max-338</t>
        </is>
      </c>
      <c r="D6259" s="58" t="inlineStr">
        <is>
          <t>Home</t>
        </is>
      </c>
      <c r="E6259" s="58" t="inlineStr">
        <is>
          <t>South</t>
        </is>
      </c>
      <c r="F6259" s="61" t="n">
        <v>2</v>
      </c>
      <c r="G6259" s="62" t="n">
        <v>400.81</v>
      </c>
      <c r="H6259" s="63" t="n">
        <v>0.015</v>
      </c>
      <c r="I6259" s="62" t="n">
        <v>291.65</v>
      </c>
      <c r="J6259" s="58" t="inlineStr">
        <is>
          <t>Online</t>
        </is>
      </c>
      <c r="K6259" s="62">
        <f>F6259*(G6259-H6259)</f>
        <v/>
      </c>
      <c r="L6259" s="62">
        <f>K6259-(F6259*I6259)</f>
        <v/>
      </c>
      <c r="M6259" s="64">
        <f>L6259/K6259</f>
        <v/>
      </c>
    </row>
    <row r="6260">
      <c r="A6260" s="58" t="inlineStr">
        <is>
          <t>RT20250607-06259</t>
        </is>
      </c>
      <c r="B6260" s="59" t="inlineStr">
        <is>
          <t>2025-06-07</t>
        </is>
      </c>
      <c r="C6260" s="60" t="inlineStr">
        <is>
          <t>Nimbus Storage Plus-646</t>
        </is>
      </c>
      <c r="D6260" s="58" t="inlineStr">
        <is>
          <t>Office</t>
        </is>
      </c>
      <c r="E6260" s="58" t="inlineStr">
        <is>
          <t>East</t>
        </is>
      </c>
      <c r="F6260" s="61" t="n">
        <v>3</v>
      </c>
      <c r="G6260" s="62" t="n">
        <v>476.37</v>
      </c>
      <c r="H6260" s="63" t="n">
        <v>0.098</v>
      </c>
      <c r="I6260" s="62" t="n">
        <v>316.82</v>
      </c>
      <c r="J6260" s="58" t="inlineStr">
        <is>
          <t>Online</t>
        </is>
      </c>
      <c r="K6260" s="62">
        <f>F6260*(G6260-H6260)</f>
        <v/>
      </c>
      <c r="L6260" s="62">
        <f>K6260-(F6260*I6260)</f>
        <v/>
      </c>
      <c r="M6260" s="64">
        <f>L6260/K6260</f>
        <v/>
      </c>
    </row>
    <row r="6261">
      <c r="A6261" s="58" t="inlineStr">
        <is>
          <t>RT20250607-06260</t>
        </is>
      </c>
      <c r="B6261" s="59" t="inlineStr">
        <is>
          <t>2025-06-07</t>
        </is>
      </c>
      <c r="C6261" s="60" t="inlineStr">
        <is>
          <t>Aurora Fitnes Lite-194</t>
        </is>
      </c>
      <c r="D6261" s="58" t="inlineStr">
        <is>
          <t>Sports</t>
        </is>
      </c>
      <c r="E6261" s="58" t="inlineStr">
        <is>
          <t>North</t>
        </is>
      </c>
      <c r="F6261" s="61" t="n">
        <v>1</v>
      </c>
      <c r="G6261" s="62" t="n">
        <v>717.12</v>
      </c>
      <c r="H6261" s="63" t="n">
        <v>0.078</v>
      </c>
      <c r="I6261" s="62" t="n">
        <v>477.47</v>
      </c>
      <c r="J6261" s="58" t="inlineStr">
        <is>
          <t>Online</t>
        </is>
      </c>
      <c r="K6261" s="62">
        <f>F6261*(G6261-H6261)</f>
        <v/>
      </c>
      <c r="L6261" s="62">
        <f>K6261-(F6261*I6261)</f>
        <v/>
      </c>
      <c r="M6261" s="64">
        <f>L6261/K6261</f>
        <v/>
      </c>
    </row>
    <row r="6262">
      <c r="A6262" s="58" t="inlineStr">
        <is>
          <t>RT20250607-06261</t>
        </is>
      </c>
      <c r="B6262" s="59" t="inlineStr">
        <is>
          <t>2025-06-07</t>
        </is>
      </c>
      <c r="C6262" s="60" t="inlineStr">
        <is>
          <t>Falcon Haircare Pro-980</t>
        </is>
      </c>
      <c r="D6262" s="58" t="inlineStr">
        <is>
          <t>Beauty</t>
        </is>
      </c>
      <c r="E6262" s="58" t="inlineStr">
        <is>
          <t>West</t>
        </is>
      </c>
      <c r="F6262" s="61" t="n">
        <v>5</v>
      </c>
      <c r="G6262" s="62" t="n">
        <v>93.13</v>
      </c>
      <c r="H6262" s="63" t="n">
        <v>0.095</v>
      </c>
      <c r="I6262" s="62" t="n">
        <v>55.21</v>
      </c>
      <c r="J6262" s="58" t="inlineStr">
        <is>
          <t>Online</t>
        </is>
      </c>
      <c r="K6262" s="62">
        <f>F6262*(G6262-H6262)</f>
        <v/>
      </c>
      <c r="L6262" s="62">
        <f>K6262-(F6262*I6262)</f>
        <v/>
      </c>
      <c r="M6262" s="64">
        <f>L6262/K6262</f>
        <v/>
      </c>
    </row>
    <row r="6263">
      <c r="A6263" s="58" t="inlineStr">
        <is>
          <t>RT20250607-06262</t>
        </is>
      </c>
      <c r="B6263" s="59" t="inlineStr">
        <is>
          <t>2025-06-07</t>
        </is>
      </c>
      <c r="C6263" s="60" t="inlineStr">
        <is>
          <t>Polar Beverage S-258</t>
        </is>
      </c>
      <c r="D6263" s="58" t="inlineStr">
        <is>
          <t>Grocery</t>
        </is>
      </c>
      <c r="E6263" s="58" t="inlineStr">
        <is>
          <t>East</t>
        </is>
      </c>
      <c r="F6263" s="61" t="n">
        <v>8</v>
      </c>
      <c r="G6263" s="62" t="n">
        <v>12.77</v>
      </c>
      <c r="H6263" s="63" t="n">
        <v>0.021</v>
      </c>
      <c r="I6263" s="62" t="n">
        <v>9.75</v>
      </c>
      <c r="J6263" s="58" t="inlineStr">
        <is>
          <t>Online</t>
        </is>
      </c>
      <c r="K6263" s="62">
        <f>F6263*(G6263-H6263)</f>
        <v/>
      </c>
      <c r="L6263" s="62">
        <f>K6263-(F6263*I6263)</f>
        <v/>
      </c>
      <c r="M6263" s="64">
        <f>L6263/K6263</f>
        <v/>
      </c>
    </row>
    <row r="6264">
      <c r="A6264" s="58" t="inlineStr">
        <is>
          <t>RT20250607-06263</t>
        </is>
      </c>
      <c r="B6264" s="59" t="inlineStr">
        <is>
          <t>2025-06-07</t>
        </is>
      </c>
      <c r="C6264" s="60" t="inlineStr">
        <is>
          <t>Polar Decor Plus-505</t>
        </is>
      </c>
      <c r="D6264" s="58" t="inlineStr">
        <is>
          <t>Home</t>
        </is>
      </c>
      <c r="E6264" s="58" t="inlineStr">
        <is>
          <t>East</t>
        </is>
      </c>
      <c r="F6264" s="61" t="n">
        <v>3</v>
      </c>
      <c r="G6264" s="62" t="n">
        <v>298.48</v>
      </c>
      <c r="H6264" s="63" t="n">
        <v>0.093</v>
      </c>
      <c r="I6264" s="62" t="n">
        <v>202.98</v>
      </c>
      <c r="J6264" s="58" t="inlineStr">
        <is>
          <t>Online</t>
        </is>
      </c>
      <c r="K6264" s="62">
        <f>F6264*(G6264-H6264)</f>
        <v/>
      </c>
      <c r="L6264" s="62">
        <f>K6264-(F6264*I6264)</f>
        <v/>
      </c>
      <c r="M6264" s="64">
        <f>L6264/K6264</f>
        <v/>
      </c>
    </row>
    <row r="6265">
      <c r="A6265" s="58" t="inlineStr">
        <is>
          <t>RT20250607-06264</t>
        </is>
      </c>
      <c r="B6265" s="59" t="inlineStr">
        <is>
          <t>2025-06-07</t>
        </is>
      </c>
      <c r="C6265" s="60" t="inlineStr">
        <is>
          <t>Orion Laptop S-350</t>
        </is>
      </c>
      <c r="D6265" s="58" t="inlineStr">
        <is>
          <t>Electronics</t>
        </is>
      </c>
      <c r="E6265" s="58" t="inlineStr">
        <is>
          <t>East</t>
        </is>
      </c>
      <c r="F6265" s="61" t="n">
        <v>2</v>
      </c>
      <c r="G6265" s="62" t="n">
        <v>1505.24</v>
      </c>
      <c r="H6265" s="63" t="n">
        <v>0.114</v>
      </c>
      <c r="I6265" s="62" t="n">
        <v>1069.02</v>
      </c>
      <c r="J6265" s="58" t="inlineStr">
        <is>
          <t>Online</t>
        </is>
      </c>
      <c r="K6265" s="62">
        <f>F6265*(G6265-H6265)</f>
        <v/>
      </c>
      <c r="L6265" s="62">
        <f>K6265-(F6265*I6265)</f>
        <v/>
      </c>
      <c r="M6265" s="64">
        <f>L6265/K6265</f>
        <v/>
      </c>
    </row>
    <row r="6266">
      <c r="A6266" s="58" t="inlineStr">
        <is>
          <t>RT20250607-06265</t>
        </is>
      </c>
      <c r="B6266" s="59" t="inlineStr">
        <is>
          <t>2025-06-07</t>
        </is>
      </c>
      <c r="C6266" s="60" t="inlineStr">
        <is>
          <t>Polar Bedding Lite-243</t>
        </is>
      </c>
      <c r="D6266" s="58" t="inlineStr">
        <is>
          <t>Home</t>
        </is>
      </c>
      <c r="E6266" s="58" t="inlineStr">
        <is>
          <t>North</t>
        </is>
      </c>
      <c r="F6266" s="61" t="n">
        <v>2</v>
      </c>
      <c r="G6266" s="62" t="n">
        <v>547.3</v>
      </c>
      <c r="H6266" s="63" t="n">
        <v>0.041</v>
      </c>
      <c r="I6266" s="62" t="n">
        <v>314.33</v>
      </c>
      <c r="J6266" s="58" t="inlineStr">
        <is>
          <t>Store</t>
        </is>
      </c>
      <c r="K6266" s="62">
        <f>F6266*(G6266-H6266)</f>
        <v/>
      </c>
      <c r="L6266" s="62">
        <f>K6266-(F6266*I6266)</f>
        <v/>
      </c>
      <c r="M6266" s="64">
        <f>L6266/K6266</f>
        <v/>
      </c>
    </row>
    <row r="6267">
      <c r="A6267" s="58" t="inlineStr">
        <is>
          <t>RT20250607-06266</t>
        </is>
      </c>
      <c r="B6267" s="59" t="inlineStr">
        <is>
          <t>2025-06-07</t>
        </is>
      </c>
      <c r="C6267" s="60" t="inlineStr">
        <is>
          <t>Polar Supplie Lite-348</t>
        </is>
      </c>
      <c r="D6267" s="58" t="inlineStr">
        <is>
          <t>Office</t>
        </is>
      </c>
      <c r="E6267" s="58" t="inlineStr">
        <is>
          <t>Central</t>
        </is>
      </c>
      <c r="F6267" s="61" t="n">
        <v>3</v>
      </c>
      <c r="G6267" s="62" t="n">
        <v>415.11</v>
      </c>
      <c r="H6267" s="63" t="n">
        <v>0.06</v>
      </c>
      <c r="I6267" s="62" t="n">
        <v>318.8</v>
      </c>
      <c r="J6267" s="58" t="inlineStr">
        <is>
          <t>Online</t>
        </is>
      </c>
      <c r="K6267" s="62">
        <f>F6267*(G6267-H6267)</f>
        <v/>
      </c>
      <c r="L6267" s="62">
        <f>K6267-(F6267*I6267)</f>
        <v/>
      </c>
      <c r="M6267" s="64">
        <f>L6267/K6267</f>
        <v/>
      </c>
    </row>
    <row r="6268">
      <c r="A6268" s="58" t="inlineStr">
        <is>
          <t>RT20250607-06267</t>
        </is>
      </c>
      <c r="B6268" s="59" t="inlineStr">
        <is>
          <t>2025-06-07</t>
        </is>
      </c>
      <c r="C6268" s="60" t="inlineStr">
        <is>
          <t>Orion Supplie S-612</t>
        </is>
      </c>
      <c r="D6268" s="58" t="inlineStr">
        <is>
          <t>Office</t>
        </is>
      </c>
      <c r="E6268" s="58" t="inlineStr">
        <is>
          <t>East</t>
        </is>
      </c>
      <c r="F6268" s="61" t="n">
        <v>3</v>
      </c>
      <c r="G6268" s="62" t="n">
        <v>481.77</v>
      </c>
      <c r="H6268" s="63" t="n">
        <v>0.082</v>
      </c>
      <c r="I6268" s="62" t="n">
        <v>337.85</v>
      </c>
      <c r="J6268" s="58" t="inlineStr">
        <is>
          <t>Online</t>
        </is>
      </c>
      <c r="K6268" s="62">
        <f>F6268*(G6268-H6268)</f>
        <v/>
      </c>
      <c r="L6268" s="62">
        <f>K6268-(F6268*I6268)</f>
        <v/>
      </c>
      <c r="M6268" s="64">
        <f>L6268/K6268</f>
        <v/>
      </c>
    </row>
    <row r="6269">
      <c r="A6269" s="58" t="inlineStr">
        <is>
          <t>RT20250607-06268</t>
        </is>
      </c>
      <c r="B6269" s="59" t="inlineStr">
        <is>
          <t>2025-06-07</t>
        </is>
      </c>
      <c r="C6269" s="60" t="inlineStr">
        <is>
          <t>Falcon Wearable X-334</t>
        </is>
      </c>
      <c r="D6269" s="58" t="inlineStr">
        <is>
          <t>Electronics</t>
        </is>
      </c>
      <c r="E6269" s="58" t="inlineStr">
        <is>
          <t>North</t>
        </is>
      </c>
      <c r="F6269" s="61" t="n">
        <v>2</v>
      </c>
      <c r="G6269" s="62" t="n">
        <v>2139.28</v>
      </c>
      <c r="H6269" s="63" t="n">
        <v>0.036</v>
      </c>
      <c r="I6269" s="62" t="n">
        <v>1528.07</v>
      </c>
      <c r="J6269" s="58" t="inlineStr">
        <is>
          <t>Store</t>
        </is>
      </c>
      <c r="K6269" s="62">
        <f>F6269*(G6269-H6269)</f>
        <v/>
      </c>
      <c r="L6269" s="62">
        <f>K6269-(F6269*I6269)</f>
        <v/>
      </c>
      <c r="M6269" s="64">
        <f>L6269/K6269</f>
        <v/>
      </c>
    </row>
    <row r="6270">
      <c r="A6270" s="58" t="inlineStr">
        <is>
          <t>RT20250607-06269</t>
        </is>
      </c>
      <c r="B6270" s="59" t="inlineStr">
        <is>
          <t>2025-06-07</t>
        </is>
      </c>
      <c r="C6270" s="60" t="inlineStr">
        <is>
          <t>Aurora Team Sport Plus-256</t>
        </is>
      </c>
      <c r="D6270" s="58" t="inlineStr">
        <is>
          <t>Sports</t>
        </is>
      </c>
      <c r="E6270" s="58" t="inlineStr">
        <is>
          <t>East</t>
        </is>
      </c>
      <c r="F6270" s="61" t="n">
        <v>3</v>
      </c>
      <c r="G6270" s="62" t="n">
        <v>623.9400000000001</v>
      </c>
      <c r="H6270" s="63" t="n">
        <v>0.061</v>
      </c>
      <c r="I6270" s="62" t="n">
        <v>426.18</v>
      </c>
      <c r="J6270" s="58" t="inlineStr">
        <is>
          <t>Online</t>
        </is>
      </c>
      <c r="K6270" s="62">
        <f>F6270*(G6270-H6270)</f>
        <v/>
      </c>
      <c r="L6270" s="62">
        <f>K6270-(F6270*I6270)</f>
        <v/>
      </c>
      <c r="M6270" s="64">
        <f>L6270/K6270</f>
        <v/>
      </c>
    </row>
    <row r="6271">
      <c r="A6271" s="58" t="inlineStr">
        <is>
          <t>RT20250607-06270</t>
        </is>
      </c>
      <c r="B6271" s="59" t="inlineStr">
        <is>
          <t>2025-06-07</t>
        </is>
      </c>
      <c r="C6271" s="60" t="inlineStr">
        <is>
          <t>Nimbus Furniture Pro-479</t>
        </is>
      </c>
      <c r="D6271" s="58" t="inlineStr">
        <is>
          <t>Office</t>
        </is>
      </c>
      <c r="E6271" s="58" t="inlineStr">
        <is>
          <t>Central</t>
        </is>
      </c>
      <c r="F6271" s="61" t="n">
        <v>1</v>
      </c>
      <c r="G6271" s="62" t="n">
        <v>349.53</v>
      </c>
      <c r="H6271" s="63" t="n">
        <v>0</v>
      </c>
      <c r="I6271" s="62" t="n">
        <v>234.8</v>
      </c>
      <c r="J6271" s="58" t="inlineStr">
        <is>
          <t>Online</t>
        </is>
      </c>
      <c r="K6271" s="62">
        <f>F6271*(G6271-H6271)</f>
        <v/>
      </c>
      <c r="L6271" s="62">
        <f>K6271-(F6271*I6271)</f>
        <v/>
      </c>
      <c r="M6271" s="64">
        <f>L6271/K6271</f>
        <v/>
      </c>
    </row>
    <row r="6272">
      <c r="A6272" s="58" t="inlineStr">
        <is>
          <t>RT20250608-06271</t>
        </is>
      </c>
      <c r="B6272" s="59" t="inlineStr">
        <is>
          <t>2025-06-08</t>
        </is>
      </c>
      <c r="C6272" s="60" t="inlineStr">
        <is>
          <t>Aurora Haircare S-975</t>
        </is>
      </c>
      <c r="D6272" s="58" t="inlineStr">
        <is>
          <t>Beauty</t>
        </is>
      </c>
      <c r="E6272" s="58" t="inlineStr">
        <is>
          <t>Central</t>
        </is>
      </c>
      <c r="F6272" s="61" t="n">
        <v>3</v>
      </c>
      <c r="G6272" s="62" t="n">
        <v>97.45999999999999</v>
      </c>
      <c r="H6272" s="63" t="n">
        <v>0.019</v>
      </c>
      <c r="I6272" s="62" t="n">
        <v>56.84</v>
      </c>
      <c r="J6272" s="58" t="inlineStr">
        <is>
          <t>Online</t>
        </is>
      </c>
      <c r="K6272" s="62">
        <f>F6272*(G6272-H6272)</f>
        <v/>
      </c>
      <c r="L6272" s="62">
        <f>K6272-(F6272*I6272)</f>
        <v/>
      </c>
      <c r="M6272" s="64">
        <f>L6272/K6272</f>
        <v/>
      </c>
    </row>
    <row r="6273">
      <c r="A6273" s="58" t="inlineStr">
        <is>
          <t>RT20250608-06272</t>
        </is>
      </c>
      <c r="B6273" s="59" t="inlineStr">
        <is>
          <t>2025-06-08</t>
        </is>
      </c>
      <c r="C6273" s="60" t="inlineStr">
        <is>
          <t>Falcon Headphone Plus-789</t>
        </is>
      </c>
      <c r="D6273" s="58" t="inlineStr">
        <is>
          <t>Electronics</t>
        </is>
      </c>
      <c r="E6273" s="58" t="inlineStr">
        <is>
          <t>East</t>
        </is>
      </c>
      <c r="F6273" s="61" t="n">
        <v>2</v>
      </c>
      <c r="G6273" s="62" t="n">
        <v>1671.37</v>
      </c>
      <c r="H6273" s="63" t="n">
        <v>0.101</v>
      </c>
      <c r="I6273" s="62" t="n">
        <v>1336.87</v>
      </c>
      <c r="J6273" s="58" t="inlineStr">
        <is>
          <t>Store</t>
        </is>
      </c>
      <c r="K6273" s="62">
        <f>F6273*(G6273-H6273)</f>
        <v/>
      </c>
      <c r="L6273" s="62">
        <f>K6273-(F6273*I6273)</f>
        <v/>
      </c>
      <c r="M6273" s="64">
        <f>L6273/K6273</f>
        <v/>
      </c>
    </row>
    <row r="6274">
      <c r="A6274" s="58" t="inlineStr">
        <is>
          <t>RT20250608-06273</t>
        </is>
      </c>
      <c r="B6274" s="59" t="inlineStr">
        <is>
          <t>2025-06-08</t>
        </is>
      </c>
      <c r="C6274" s="60" t="inlineStr">
        <is>
          <t>Solace Laptop S-367</t>
        </is>
      </c>
      <c r="D6274" s="58" t="inlineStr">
        <is>
          <t>Electronics</t>
        </is>
      </c>
      <c r="E6274" s="58" t="inlineStr">
        <is>
          <t>South</t>
        </is>
      </c>
      <c r="F6274" s="61" t="n">
        <v>2</v>
      </c>
      <c r="G6274" s="62" t="n">
        <v>1865.83</v>
      </c>
      <c r="H6274" s="63" t="n">
        <v>0.02</v>
      </c>
      <c r="I6274" s="62" t="n">
        <v>1529.13</v>
      </c>
      <c r="J6274" s="58" t="inlineStr">
        <is>
          <t>Phone</t>
        </is>
      </c>
      <c r="K6274" s="62">
        <f>F6274*(G6274-H6274)</f>
        <v/>
      </c>
      <c r="L6274" s="62">
        <f>K6274-(F6274*I6274)</f>
        <v/>
      </c>
      <c r="M6274" s="64">
        <f>L6274/K6274</f>
        <v/>
      </c>
    </row>
    <row r="6275">
      <c r="A6275" s="58" t="inlineStr">
        <is>
          <t>RT20250608-06274</t>
        </is>
      </c>
      <c r="B6275" s="59" t="inlineStr">
        <is>
          <t>2025-06-08</t>
        </is>
      </c>
      <c r="C6275" s="60" t="inlineStr">
        <is>
          <t>Orion Beverage Plus-949</t>
        </is>
      </c>
      <c r="D6275" s="58" t="inlineStr">
        <is>
          <t>Grocery</t>
        </is>
      </c>
      <c r="E6275" s="58" t="inlineStr">
        <is>
          <t>East</t>
        </is>
      </c>
      <c r="F6275" s="61" t="n">
        <v>8</v>
      </c>
      <c r="G6275" s="62" t="n">
        <v>17.15</v>
      </c>
      <c r="H6275" s="63" t="n">
        <v>0.032</v>
      </c>
      <c r="I6275" s="62" t="n">
        <v>13.91</v>
      </c>
      <c r="J6275" s="58" t="inlineStr">
        <is>
          <t>Online</t>
        </is>
      </c>
      <c r="K6275" s="62">
        <f>F6275*(G6275-H6275)</f>
        <v/>
      </c>
      <c r="L6275" s="62">
        <f>K6275-(F6275*I6275)</f>
        <v/>
      </c>
      <c r="M6275" s="64">
        <f>L6275/K6275</f>
        <v/>
      </c>
    </row>
    <row r="6276">
      <c r="A6276" s="58" t="inlineStr">
        <is>
          <t>RT20250608-06275</t>
        </is>
      </c>
      <c r="B6276" s="59" t="inlineStr">
        <is>
          <t>2025-06-08</t>
        </is>
      </c>
      <c r="C6276" s="60" t="inlineStr">
        <is>
          <t>Aurora Makeup S-626</t>
        </is>
      </c>
      <c r="D6276" s="58" t="inlineStr">
        <is>
          <t>Beauty</t>
        </is>
      </c>
      <c r="E6276" s="58" t="inlineStr">
        <is>
          <t>West</t>
        </is>
      </c>
      <c r="F6276" s="61" t="n">
        <v>4</v>
      </c>
      <c r="G6276" s="62" t="n">
        <v>100.83</v>
      </c>
      <c r="H6276" s="63" t="n">
        <v>0.075</v>
      </c>
      <c r="I6276" s="62" t="n">
        <v>64.18000000000001</v>
      </c>
      <c r="J6276" s="58" t="inlineStr">
        <is>
          <t>Store</t>
        </is>
      </c>
      <c r="K6276" s="62">
        <f>F6276*(G6276-H6276)</f>
        <v/>
      </c>
      <c r="L6276" s="62">
        <f>K6276-(F6276*I6276)</f>
        <v/>
      </c>
      <c r="M6276" s="64">
        <f>L6276/K6276</f>
        <v/>
      </c>
    </row>
    <row r="6277">
      <c r="A6277" s="58" t="inlineStr">
        <is>
          <t>RT20250608-06276</t>
        </is>
      </c>
      <c r="B6277" s="59" t="inlineStr">
        <is>
          <t>2025-06-08</t>
        </is>
      </c>
      <c r="C6277" s="60" t="inlineStr">
        <is>
          <t>Vertex Skincare Pro-891</t>
        </is>
      </c>
      <c r="D6277" s="58" t="inlineStr">
        <is>
          <t>Beauty</t>
        </is>
      </c>
      <c r="E6277" s="58" t="inlineStr">
        <is>
          <t>West</t>
        </is>
      </c>
      <c r="F6277" s="61" t="n">
        <v>1</v>
      </c>
      <c r="G6277" s="62" t="n">
        <v>152.04</v>
      </c>
      <c r="H6277" s="63" t="n">
        <v>0.014</v>
      </c>
      <c r="I6277" s="62" t="n">
        <v>87.28</v>
      </c>
      <c r="J6277" s="58" t="inlineStr">
        <is>
          <t>Online</t>
        </is>
      </c>
      <c r="K6277" s="62">
        <f>F6277*(G6277-H6277)</f>
        <v/>
      </c>
      <c r="L6277" s="62">
        <f>K6277-(F6277*I6277)</f>
        <v/>
      </c>
      <c r="M6277" s="64">
        <f>L6277/K6277</f>
        <v/>
      </c>
    </row>
    <row r="6278">
      <c r="A6278" s="58" t="inlineStr">
        <is>
          <t>RT20250608-06277</t>
        </is>
      </c>
      <c r="B6278" s="59" t="inlineStr">
        <is>
          <t>2025-06-08</t>
        </is>
      </c>
      <c r="C6278" s="60" t="inlineStr">
        <is>
          <t>Aurora Outdoor Pro-467</t>
        </is>
      </c>
      <c r="D6278" s="58" t="inlineStr">
        <is>
          <t>Sports</t>
        </is>
      </c>
      <c r="E6278" s="58" t="inlineStr">
        <is>
          <t>West</t>
        </is>
      </c>
      <c r="F6278" s="61" t="n">
        <v>2</v>
      </c>
      <c r="G6278" s="62" t="n">
        <v>245.62</v>
      </c>
      <c r="H6278" s="63" t="n">
        <v>0.043</v>
      </c>
      <c r="I6278" s="62" t="n">
        <v>189.72</v>
      </c>
      <c r="J6278" s="58" t="inlineStr">
        <is>
          <t>Online</t>
        </is>
      </c>
      <c r="K6278" s="62">
        <f>F6278*(G6278-H6278)</f>
        <v/>
      </c>
      <c r="L6278" s="62">
        <f>K6278-(F6278*I6278)</f>
        <v/>
      </c>
      <c r="M6278" s="64">
        <f>L6278/K6278</f>
        <v/>
      </c>
    </row>
    <row r="6279">
      <c r="A6279" s="58" t="inlineStr">
        <is>
          <t>RT20250608-06278</t>
        </is>
      </c>
      <c r="B6279" s="59" t="inlineStr">
        <is>
          <t>2025-06-08</t>
        </is>
      </c>
      <c r="C6279" s="60" t="inlineStr">
        <is>
          <t>Nimbus Cycling Plus-911</t>
        </is>
      </c>
      <c r="D6279" s="58" t="inlineStr">
        <is>
          <t>Sports</t>
        </is>
      </c>
      <c r="E6279" s="58" t="inlineStr">
        <is>
          <t>North</t>
        </is>
      </c>
      <c r="F6279" s="61" t="n">
        <v>3</v>
      </c>
      <c r="G6279" s="62" t="n">
        <v>547.1799999999999</v>
      </c>
      <c r="H6279" s="63" t="n">
        <v>0.053</v>
      </c>
      <c r="I6279" s="62" t="n">
        <v>389.04</v>
      </c>
      <c r="J6279" s="58" t="inlineStr">
        <is>
          <t>Online</t>
        </is>
      </c>
      <c r="K6279" s="62">
        <f>F6279*(G6279-H6279)</f>
        <v/>
      </c>
      <c r="L6279" s="62">
        <f>K6279-(F6279*I6279)</f>
        <v/>
      </c>
      <c r="M6279" s="64">
        <f>L6279/K6279</f>
        <v/>
      </c>
    </row>
    <row r="6280">
      <c r="A6280" s="58" t="inlineStr">
        <is>
          <t>RT20250608-06279</t>
        </is>
      </c>
      <c r="B6280" s="59" t="inlineStr">
        <is>
          <t>2025-06-08</t>
        </is>
      </c>
      <c r="C6280" s="60" t="inlineStr">
        <is>
          <t>Orion Snack X-322</t>
        </is>
      </c>
      <c r="D6280" s="58" t="inlineStr">
        <is>
          <t>Grocery</t>
        </is>
      </c>
      <c r="E6280" s="58" t="inlineStr">
        <is>
          <t>East</t>
        </is>
      </c>
      <c r="F6280" s="61" t="n">
        <v>6</v>
      </c>
      <c r="G6280" s="62" t="n">
        <v>12.55</v>
      </c>
      <c r="H6280" s="63" t="n">
        <v>0.031</v>
      </c>
      <c r="I6280" s="62" t="n">
        <v>9.99</v>
      </c>
      <c r="J6280" s="58" t="inlineStr">
        <is>
          <t>Online</t>
        </is>
      </c>
      <c r="K6280" s="62">
        <f>F6280*(G6280-H6280)</f>
        <v/>
      </c>
      <c r="L6280" s="62">
        <f>K6280-(F6280*I6280)</f>
        <v/>
      </c>
      <c r="M6280" s="64">
        <f>L6280/K6280</f>
        <v/>
      </c>
    </row>
    <row r="6281">
      <c r="A6281" s="58" t="inlineStr">
        <is>
          <t>RT20250608-06280</t>
        </is>
      </c>
      <c r="B6281" s="59" t="inlineStr">
        <is>
          <t>2025-06-08</t>
        </is>
      </c>
      <c r="C6281" s="60" t="inlineStr">
        <is>
          <t>Falcon Skincare Max-151</t>
        </is>
      </c>
      <c r="D6281" s="58" t="inlineStr">
        <is>
          <t>Beauty</t>
        </is>
      </c>
      <c r="E6281" s="58" t="inlineStr">
        <is>
          <t>East</t>
        </is>
      </c>
      <c r="F6281" s="61" t="n">
        <v>1</v>
      </c>
      <c r="G6281" s="62" t="n">
        <v>92.13</v>
      </c>
      <c r="H6281" s="63" t="n">
        <v>0.04</v>
      </c>
      <c r="I6281" s="62" t="n">
        <v>57.75</v>
      </c>
      <c r="J6281" s="58" t="inlineStr">
        <is>
          <t>Online</t>
        </is>
      </c>
      <c r="K6281" s="62">
        <f>F6281*(G6281-H6281)</f>
        <v/>
      </c>
      <c r="L6281" s="62">
        <f>K6281-(F6281*I6281)</f>
        <v/>
      </c>
      <c r="M6281" s="64">
        <f>L6281/K6281</f>
        <v/>
      </c>
    </row>
    <row r="6282">
      <c r="A6282" s="58" t="inlineStr">
        <is>
          <t>RT20250608-06281</t>
        </is>
      </c>
      <c r="B6282" s="59" t="inlineStr">
        <is>
          <t>2025-06-08</t>
        </is>
      </c>
      <c r="C6282" s="60" t="inlineStr">
        <is>
          <t>Solace Kitchen X-919</t>
        </is>
      </c>
      <c r="D6282" s="58" t="inlineStr">
        <is>
          <t>Home</t>
        </is>
      </c>
      <c r="E6282" s="58" t="inlineStr">
        <is>
          <t>West</t>
        </is>
      </c>
      <c r="F6282" s="61" t="n">
        <v>2</v>
      </c>
      <c r="G6282" s="62" t="n">
        <v>422.1</v>
      </c>
      <c r="H6282" s="63" t="n">
        <v>0.028</v>
      </c>
      <c r="I6282" s="62" t="n">
        <v>264.57</v>
      </c>
      <c r="J6282" s="58" t="inlineStr">
        <is>
          <t>Online</t>
        </is>
      </c>
      <c r="K6282" s="62">
        <f>F6282*(G6282-H6282)</f>
        <v/>
      </c>
      <c r="L6282" s="62">
        <f>K6282-(F6282*I6282)</f>
        <v/>
      </c>
      <c r="M6282" s="64">
        <f>L6282/K6282</f>
        <v/>
      </c>
    </row>
    <row r="6283">
      <c r="A6283" s="58" t="inlineStr">
        <is>
          <t>RT20250608-06282</t>
        </is>
      </c>
      <c r="B6283" s="59" t="inlineStr">
        <is>
          <t>2025-06-08</t>
        </is>
      </c>
      <c r="C6283" s="60" t="inlineStr">
        <is>
          <t>Solace Kitchen Pro-999</t>
        </is>
      </c>
      <c r="D6283" s="58" t="inlineStr">
        <is>
          <t>Home</t>
        </is>
      </c>
      <c r="E6283" s="58" t="inlineStr">
        <is>
          <t>East</t>
        </is>
      </c>
      <c r="F6283" s="61" t="n">
        <v>2</v>
      </c>
      <c r="G6283" s="62" t="n">
        <v>395.41</v>
      </c>
      <c r="H6283" s="63" t="n">
        <v>0.059</v>
      </c>
      <c r="I6283" s="62" t="n">
        <v>268.95</v>
      </c>
      <c r="J6283" s="58" t="inlineStr">
        <is>
          <t>Store</t>
        </is>
      </c>
      <c r="K6283" s="62">
        <f>F6283*(G6283-H6283)</f>
        <v/>
      </c>
      <c r="L6283" s="62">
        <f>K6283-(F6283*I6283)</f>
        <v/>
      </c>
      <c r="M6283" s="64">
        <f>L6283/K6283</f>
        <v/>
      </c>
    </row>
    <row r="6284">
      <c r="A6284" s="58" t="inlineStr">
        <is>
          <t>RT20250608-06283</t>
        </is>
      </c>
      <c r="B6284" s="59" t="inlineStr">
        <is>
          <t>2025-06-08</t>
        </is>
      </c>
      <c r="C6284" s="60" t="inlineStr">
        <is>
          <t>Falcon Cycling Pro-499</t>
        </is>
      </c>
      <c r="D6284" s="58" t="inlineStr">
        <is>
          <t>Sports</t>
        </is>
      </c>
      <c r="E6284" s="58" t="inlineStr">
        <is>
          <t>Central</t>
        </is>
      </c>
      <c r="F6284" s="61" t="n">
        <v>1</v>
      </c>
      <c r="G6284" s="62" t="n">
        <v>610.01</v>
      </c>
      <c r="H6284" s="63" t="n">
        <v>0.068</v>
      </c>
      <c r="I6284" s="62" t="n">
        <v>398.56</v>
      </c>
      <c r="J6284" s="58" t="inlineStr">
        <is>
          <t>Store</t>
        </is>
      </c>
      <c r="K6284" s="62">
        <f>F6284*(G6284-H6284)</f>
        <v/>
      </c>
      <c r="L6284" s="62">
        <f>K6284-(F6284*I6284)</f>
        <v/>
      </c>
      <c r="M6284" s="64">
        <f>L6284/K6284</f>
        <v/>
      </c>
    </row>
    <row r="6285">
      <c r="A6285" s="58" t="inlineStr">
        <is>
          <t>RT20250608-06284</t>
        </is>
      </c>
      <c r="B6285" s="59" t="inlineStr">
        <is>
          <t>2025-06-08</t>
        </is>
      </c>
      <c r="C6285" s="60" t="inlineStr">
        <is>
          <t>Vertex Furniture S-652</t>
        </is>
      </c>
      <c r="D6285" s="58" t="inlineStr">
        <is>
          <t>Office</t>
        </is>
      </c>
      <c r="E6285" s="58" t="inlineStr">
        <is>
          <t>West</t>
        </is>
      </c>
      <c r="F6285" s="61" t="n">
        <v>3</v>
      </c>
      <c r="G6285" s="62" t="n">
        <v>357.65</v>
      </c>
      <c r="H6285" s="63" t="n">
        <v>0.055</v>
      </c>
      <c r="I6285" s="62" t="n">
        <v>264.86</v>
      </c>
      <c r="J6285" s="58" t="inlineStr">
        <is>
          <t>Online</t>
        </is>
      </c>
      <c r="K6285" s="62">
        <f>F6285*(G6285-H6285)</f>
        <v/>
      </c>
      <c r="L6285" s="62">
        <f>K6285-(F6285*I6285)</f>
        <v/>
      </c>
      <c r="M6285" s="64">
        <f>L6285/K6285</f>
        <v/>
      </c>
    </row>
    <row r="6286">
      <c r="A6286" s="58" t="inlineStr">
        <is>
          <t>RT20250608-06285</t>
        </is>
      </c>
      <c r="B6286" s="59" t="inlineStr">
        <is>
          <t>2025-06-08</t>
        </is>
      </c>
      <c r="C6286" s="60" t="inlineStr">
        <is>
          <t>Vertex Fitnes Pro-830</t>
        </is>
      </c>
      <c r="D6286" s="58" t="inlineStr">
        <is>
          <t>Sports</t>
        </is>
      </c>
      <c r="E6286" s="58" t="inlineStr">
        <is>
          <t>East</t>
        </is>
      </c>
      <c r="F6286" s="61" t="n">
        <v>1</v>
      </c>
      <c r="G6286" s="62" t="n">
        <v>686.66</v>
      </c>
      <c r="H6286" s="63" t="n">
        <v>0.041</v>
      </c>
      <c r="I6286" s="62" t="n">
        <v>493.88</v>
      </c>
      <c r="J6286" s="58" t="inlineStr">
        <is>
          <t>Store</t>
        </is>
      </c>
      <c r="K6286" s="62">
        <f>F6286*(G6286-H6286)</f>
        <v/>
      </c>
      <c r="L6286" s="62">
        <f>K6286-(F6286*I6286)</f>
        <v/>
      </c>
      <c r="M6286" s="64">
        <f>L6286/K6286</f>
        <v/>
      </c>
    </row>
    <row r="6287">
      <c r="A6287" s="58" t="inlineStr">
        <is>
          <t>RT20250608-06286</t>
        </is>
      </c>
      <c r="B6287" s="59" t="inlineStr">
        <is>
          <t>2025-06-08</t>
        </is>
      </c>
      <c r="C6287" s="60" t="inlineStr">
        <is>
          <t>Metro Accessorie Max-316</t>
        </is>
      </c>
      <c r="D6287" s="58" t="inlineStr">
        <is>
          <t>Apparel</t>
        </is>
      </c>
      <c r="E6287" s="58" t="inlineStr">
        <is>
          <t>Central</t>
        </is>
      </c>
      <c r="F6287" s="61" t="n">
        <v>3</v>
      </c>
      <c r="G6287" s="62" t="n">
        <v>175.97</v>
      </c>
      <c r="H6287" s="63" t="n">
        <v>0.034</v>
      </c>
      <c r="I6287" s="62" t="n">
        <v>92.64</v>
      </c>
      <c r="J6287" s="58" t="inlineStr">
        <is>
          <t>Online</t>
        </is>
      </c>
      <c r="K6287" s="62">
        <f>F6287*(G6287-H6287)</f>
        <v/>
      </c>
      <c r="L6287" s="62">
        <f>K6287-(F6287*I6287)</f>
        <v/>
      </c>
      <c r="M6287" s="64">
        <f>L6287/K6287</f>
        <v/>
      </c>
    </row>
    <row r="6288">
      <c r="A6288" s="58" t="inlineStr">
        <is>
          <t>RT20250608-06287</t>
        </is>
      </c>
      <c r="B6288" s="59" t="inlineStr">
        <is>
          <t>2025-06-08</t>
        </is>
      </c>
      <c r="C6288" s="60" t="inlineStr">
        <is>
          <t>Aurora Fitnes Lite-194</t>
        </is>
      </c>
      <c r="D6288" s="58" t="inlineStr">
        <is>
          <t>Sports</t>
        </is>
      </c>
      <c r="E6288" s="58" t="inlineStr">
        <is>
          <t>West</t>
        </is>
      </c>
      <c r="F6288" s="61" t="n">
        <v>3</v>
      </c>
      <c r="G6288" s="62" t="n">
        <v>663.33</v>
      </c>
      <c r="H6288" s="63" t="n">
        <v>0.081</v>
      </c>
      <c r="I6288" s="62" t="n">
        <v>463.11</v>
      </c>
      <c r="J6288" s="58" t="inlineStr">
        <is>
          <t>Online</t>
        </is>
      </c>
      <c r="K6288" s="62">
        <f>F6288*(G6288-H6288)</f>
        <v/>
      </c>
      <c r="L6288" s="62">
        <f>K6288-(F6288*I6288)</f>
        <v/>
      </c>
      <c r="M6288" s="64">
        <f>L6288/K6288</f>
        <v/>
      </c>
    </row>
    <row r="6289">
      <c r="A6289" s="58" t="inlineStr">
        <is>
          <t>RT20250608-06288</t>
        </is>
      </c>
      <c r="B6289" s="59" t="inlineStr">
        <is>
          <t>2025-06-08</t>
        </is>
      </c>
      <c r="C6289" s="60" t="inlineStr">
        <is>
          <t>Falcon Skincare Max-151</t>
        </is>
      </c>
      <c r="D6289" s="58" t="inlineStr">
        <is>
          <t>Beauty</t>
        </is>
      </c>
      <c r="E6289" s="58" t="inlineStr">
        <is>
          <t>South</t>
        </is>
      </c>
      <c r="F6289" s="61" t="n">
        <v>4</v>
      </c>
      <c r="G6289" s="62" t="n">
        <v>97.42</v>
      </c>
      <c r="H6289" s="63" t="n">
        <v>0.11</v>
      </c>
      <c r="I6289" s="62" t="n">
        <v>58.5</v>
      </c>
      <c r="J6289" s="58" t="inlineStr">
        <is>
          <t>Store</t>
        </is>
      </c>
      <c r="K6289" s="62">
        <f>F6289*(G6289-H6289)</f>
        <v/>
      </c>
      <c r="L6289" s="62">
        <f>K6289-(F6289*I6289)</f>
        <v/>
      </c>
      <c r="M6289" s="64">
        <f>L6289/K6289</f>
        <v/>
      </c>
    </row>
    <row r="6290">
      <c r="A6290" s="58" t="inlineStr">
        <is>
          <t>RT20250608-06289</t>
        </is>
      </c>
      <c r="B6290" s="59" t="inlineStr">
        <is>
          <t>2025-06-08</t>
        </is>
      </c>
      <c r="C6290" s="60" t="inlineStr">
        <is>
          <t>Aurora Printer Plus-723</t>
        </is>
      </c>
      <c r="D6290" s="58" t="inlineStr">
        <is>
          <t>Office</t>
        </is>
      </c>
      <c r="E6290" s="58" t="inlineStr">
        <is>
          <t>East</t>
        </is>
      </c>
      <c r="F6290" s="61" t="n">
        <v>2</v>
      </c>
      <c r="G6290" s="62" t="n">
        <v>274.52</v>
      </c>
      <c r="H6290" s="63" t="n">
        <v>0.08500000000000001</v>
      </c>
      <c r="I6290" s="62" t="n">
        <v>187.26</v>
      </c>
      <c r="J6290" s="58" t="inlineStr">
        <is>
          <t>Online</t>
        </is>
      </c>
      <c r="K6290" s="62">
        <f>F6290*(G6290-H6290)</f>
        <v/>
      </c>
      <c r="L6290" s="62">
        <f>K6290-(F6290*I6290)</f>
        <v/>
      </c>
      <c r="M6290" s="64">
        <f>L6290/K6290</f>
        <v/>
      </c>
    </row>
    <row r="6291">
      <c r="A6291" s="58" t="inlineStr">
        <is>
          <t>RT20250608-06290</t>
        </is>
      </c>
      <c r="B6291" s="59" t="inlineStr">
        <is>
          <t>2025-06-08</t>
        </is>
      </c>
      <c r="C6291" s="60" t="inlineStr">
        <is>
          <t>Polar Haircare Max-614</t>
        </is>
      </c>
      <c r="D6291" s="58" t="inlineStr">
        <is>
          <t>Beauty</t>
        </is>
      </c>
      <c r="E6291" s="58" t="inlineStr">
        <is>
          <t>South</t>
        </is>
      </c>
      <c r="F6291" s="61" t="n">
        <v>3</v>
      </c>
      <c r="G6291" s="62" t="n">
        <v>113.15</v>
      </c>
      <c r="H6291" s="63" t="n">
        <v>0.082</v>
      </c>
      <c r="I6291" s="62" t="n">
        <v>69.77</v>
      </c>
      <c r="J6291" s="58" t="inlineStr">
        <is>
          <t>Online</t>
        </is>
      </c>
      <c r="K6291" s="62">
        <f>F6291*(G6291-H6291)</f>
        <v/>
      </c>
      <c r="L6291" s="62">
        <f>K6291-(F6291*I6291)</f>
        <v/>
      </c>
      <c r="M6291" s="64">
        <f>L6291/K6291</f>
        <v/>
      </c>
    </row>
    <row r="6292">
      <c r="A6292" s="58" t="inlineStr">
        <is>
          <t>RT20250608-06291</t>
        </is>
      </c>
      <c r="B6292" s="59" t="inlineStr">
        <is>
          <t>2025-06-08</t>
        </is>
      </c>
      <c r="C6292" s="60" t="inlineStr">
        <is>
          <t>Solace Kid S-384</t>
        </is>
      </c>
      <c r="D6292" s="58" t="inlineStr">
        <is>
          <t>Apparel</t>
        </is>
      </c>
      <c r="E6292" s="58" t="inlineStr">
        <is>
          <t>Central</t>
        </is>
      </c>
      <c r="F6292" s="61" t="n">
        <v>2</v>
      </c>
      <c r="G6292" s="62" t="n">
        <v>105.83</v>
      </c>
      <c r="H6292" s="63" t="n">
        <v>0.022</v>
      </c>
      <c r="I6292" s="62" t="n">
        <v>64.12</v>
      </c>
      <c r="J6292" s="58" t="inlineStr">
        <is>
          <t>Online</t>
        </is>
      </c>
      <c r="K6292" s="62">
        <f>F6292*(G6292-H6292)</f>
        <v/>
      </c>
      <c r="L6292" s="62">
        <f>K6292-(F6292*I6292)</f>
        <v/>
      </c>
      <c r="M6292" s="64">
        <f>L6292/K6292</f>
        <v/>
      </c>
    </row>
    <row r="6293">
      <c r="A6293" s="58" t="inlineStr">
        <is>
          <t>RT20250608-06292</t>
        </is>
      </c>
      <c r="B6293" s="59" t="inlineStr">
        <is>
          <t>2025-06-08</t>
        </is>
      </c>
      <c r="C6293" s="60" t="inlineStr">
        <is>
          <t>Solace Team Sport Max-548</t>
        </is>
      </c>
      <c r="D6293" s="58" t="inlineStr">
        <is>
          <t>Sports</t>
        </is>
      </c>
      <c r="E6293" s="58" t="inlineStr">
        <is>
          <t>West</t>
        </is>
      </c>
      <c r="F6293" s="61" t="n">
        <v>2</v>
      </c>
      <c r="G6293" s="62" t="n">
        <v>696.28</v>
      </c>
      <c r="H6293" s="63" t="n">
        <v>0.064</v>
      </c>
      <c r="I6293" s="62" t="n">
        <v>468.28</v>
      </c>
      <c r="J6293" s="58" t="inlineStr">
        <is>
          <t>Phone</t>
        </is>
      </c>
      <c r="K6293" s="62">
        <f>F6293*(G6293-H6293)</f>
        <v/>
      </c>
      <c r="L6293" s="62">
        <f>K6293-(F6293*I6293)</f>
        <v/>
      </c>
      <c r="M6293" s="64">
        <f>L6293/K6293</f>
        <v/>
      </c>
    </row>
    <row r="6294">
      <c r="A6294" s="58" t="inlineStr">
        <is>
          <t>RT20250608-06293</t>
        </is>
      </c>
      <c r="B6294" s="59" t="inlineStr">
        <is>
          <t>2025-06-08</t>
        </is>
      </c>
      <c r="C6294" s="60" t="inlineStr">
        <is>
          <t>Falcon Team Sport Lite-268</t>
        </is>
      </c>
      <c r="D6294" s="58" t="inlineStr">
        <is>
          <t>Sports</t>
        </is>
      </c>
      <c r="E6294" s="58" t="inlineStr">
        <is>
          <t>Central</t>
        </is>
      </c>
      <c r="F6294" s="61" t="n">
        <v>1</v>
      </c>
      <c r="G6294" s="62" t="n">
        <v>678.29</v>
      </c>
      <c r="H6294" s="63" t="n">
        <v>0</v>
      </c>
      <c r="I6294" s="62" t="n">
        <v>427.96</v>
      </c>
      <c r="J6294" s="58" t="inlineStr">
        <is>
          <t>Store</t>
        </is>
      </c>
      <c r="K6294" s="62">
        <f>F6294*(G6294-H6294)</f>
        <v/>
      </c>
      <c r="L6294" s="62">
        <f>K6294-(F6294*I6294)</f>
        <v/>
      </c>
      <c r="M6294" s="64">
        <f>L6294/K6294</f>
        <v/>
      </c>
    </row>
    <row r="6295">
      <c r="A6295" s="58" t="inlineStr">
        <is>
          <t>RT20250608-06294</t>
        </is>
      </c>
      <c r="B6295" s="59" t="inlineStr">
        <is>
          <t>2025-06-08</t>
        </is>
      </c>
      <c r="C6295" s="60" t="inlineStr">
        <is>
          <t>Vertex Appliance S-159</t>
        </is>
      </c>
      <c r="D6295" s="58" t="inlineStr">
        <is>
          <t>Home</t>
        </is>
      </c>
      <c r="E6295" s="58" t="inlineStr">
        <is>
          <t>East</t>
        </is>
      </c>
      <c r="F6295" s="61" t="n">
        <v>3</v>
      </c>
      <c r="G6295" s="62" t="n">
        <v>398.84</v>
      </c>
      <c r="H6295" s="63" t="n">
        <v>0.049</v>
      </c>
      <c r="I6295" s="62" t="n">
        <v>300.39</v>
      </c>
      <c r="J6295" s="58" t="inlineStr">
        <is>
          <t>Online</t>
        </is>
      </c>
      <c r="K6295" s="62">
        <f>F6295*(G6295-H6295)</f>
        <v/>
      </c>
      <c r="L6295" s="62">
        <f>K6295-(F6295*I6295)</f>
        <v/>
      </c>
      <c r="M6295" s="64">
        <f>L6295/K6295</f>
        <v/>
      </c>
    </row>
    <row r="6296">
      <c r="A6296" s="58" t="inlineStr">
        <is>
          <t>RT20250608-06295</t>
        </is>
      </c>
      <c r="B6296" s="59" t="inlineStr">
        <is>
          <t>2025-06-08</t>
        </is>
      </c>
      <c r="C6296" s="60" t="inlineStr">
        <is>
          <t>Falcon Headphone Plus-789</t>
        </is>
      </c>
      <c r="D6296" s="58" t="inlineStr">
        <is>
          <t>Electronics</t>
        </is>
      </c>
      <c r="E6296" s="58" t="inlineStr">
        <is>
          <t>West</t>
        </is>
      </c>
      <c r="F6296" s="61" t="n">
        <v>2</v>
      </c>
      <c r="G6296" s="62" t="n">
        <v>1541.08</v>
      </c>
      <c r="H6296" s="63" t="n">
        <v>0.101</v>
      </c>
      <c r="I6296" s="62" t="n">
        <v>1337.83</v>
      </c>
      <c r="J6296" s="58" t="inlineStr">
        <is>
          <t>Online</t>
        </is>
      </c>
      <c r="K6296" s="62">
        <f>F6296*(G6296-H6296)</f>
        <v/>
      </c>
      <c r="L6296" s="62">
        <f>K6296-(F6296*I6296)</f>
        <v/>
      </c>
      <c r="M6296" s="64">
        <f>L6296/K6296</f>
        <v/>
      </c>
    </row>
    <row r="6297">
      <c r="A6297" s="58" t="inlineStr">
        <is>
          <t>RT20250608-06296</t>
        </is>
      </c>
      <c r="B6297" s="59" t="inlineStr">
        <is>
          <t>2025-06-08</t>
        </is>
      </c>
      <c r="C6297" s="60" t="inlineStr">
        <is>
          <t>Orion Haircare Plus-887</t>
        </is>
      </c>
      <c r="D6297" s="58" t="inlineStr">
        <is>
          <t>Beauty</t>
        </is>
      </c>
      <c r="E6297" s="58" t="inlineStr">
        <is>
          <t>South</t>
        </is>
      </c>
      <c r="F6297" s="61" t="n">
        <v>5</v>
      </c>
      <c r="G6297" s="62" t="n">
        <v>51.55</v>
      </c>
      <c r="H6297" s="63" t="n">
        <v>0.06</v>
      </c>
      <c r="I6297" s="62" t="n">
        <v>30.61</v>
      </c>
      <c r="J6297" s="58" t="inlineStr">
        <is>
          <t>Online</t>
        </is>
      </c>
      <c r="K6297" s="62">
        <f>F6297*(G6297-H6297)</f>
        <v/>
      </c>
      <c r="L6297" s="62">
        <f>K6297-(F6297*I6297)</f>
        <v/>
      </c>
      <c r="M6297" s="64">
        <f>L6297/K6297</f>
        <v/>
      </c>
    </row>
    <row r="6298">
      <c r="A6298" s="58" t="inlineStr">
        <is>
          <t>RT20250608-06297</t>
        </is>
      </c>
      <c r="B6298" s="59" t="inlineStr">
        <is>
          <t>2025-06-08</t>
        </is>
      </c>
      <c r="C6298" s="60" t="inlineStr">
        <is>
          <t>Polar Women Max-927</t>
        </is>
      </c>
      <c r="D6298" s="58" t="inlineStr">
        <is>
          <t>Apparel</t>
        </is>
      </c>
      <c r="E6298" s="58" t="inlineStr">
        <is>
          <t>North</t>
        </is>
      </c>
      <c r="F6298" s="61" t="n">
        <v>2</v>
      </c>
      <c r="G6298" s="62" t="n">
        <v>115.56</v>
      </c>
      <c r="H6298" s="63" t="n">
        <v>0.033</v>
      </c>
      <c r="I6298" s="62" t="n">
        <v>64.31</v>
      </c>
      <c r="J6298" s="58" t="inlineStr">
        <is>
          <t>Store</t>
        </is>
      </c>
      <c r="K6298" s="62">
        <f>F6298*(G6298-H6298)</f>
        <v/>
      </c>
      <c r="L6298" s="62">
        <f>K6298-(F6298*I6298)</f>
        <v/>
      </c>
      <c r="M6298" s="64">
        <f>L6298/K6298</f>
        <v/>
      </c>
    </row>
    <row r="6299">
      <c r="A6299" s="58" t="inlineStr">
        <is>
          <t>RT20250608-06298</t>
        </is>
      </c>
      <c r="B6299" s="59" t="inlineStr">
        <is>
          <t>2025-06-08</t>
        </is>
      </c>
      <c r="C6299" s="60" t="inlineStr">
        <is>
          <t>Polar Women Max-927</t>
        </is>
      </c>
      <c r="D6299" s="58" t="inlineStr">
        <is>
          <t>Apparel</t>
        </is>
      </c>
      <c r="E6299" s="58" t="inlineStr">
        <is>
          <t>West</t>
        </is>
      </c>
      <c r="F6299" s="61" t="n">
        <v>1</v>
      </c>
      <c r="G6299" s="62" t="n">
        <v>101.4</v>
      </c>
      <c r="H6299" s="63" t="n">
        <v>0.08</v>
      </c>
      <c r="I6299" s="62" t="n">
        <v>66.84</v>
      </c>
      <c r="J6299" s="58" t="inlineStr">
        <is>
          <t>Store</t>
        </is>
      </c>
      <c r="K6299" s="62">
        <f>F6299*(G6299-H6299)</f>
        <v/>
      </c>
      <c r="L6299" s="62">
        <f>K6299-(F6299*I6299)</f>
        <v/>
      </c>
      <c r="M6299" s="64">
        <f>L6299/K6299</f>
        <v/>
      </c>
    </row>
    <row r="6300">
      <c r="A6300" s="58" t="inlineStr">
        <is>
          <t>RT20250608-06299</t>
        </is>
      </c>
      <c r="B6300" s="59" t="inlineStr">
        <is>
          <t>2025-06-08</t>
        </is>
      </c>
      <c r="C6300" s="60" t="inlineStr">
        <is>
          <t>Solace Kitchen Pro-510</t>
        </is>
      </c>
      <c r="D6300" s="58" t="inlineStr">
        <is>
          <t>Home</t>
        </is>
      </c>
      <c r="E6300" s="58" t="inlineStr">
        <is>
          <t>East</t>
        </is>
      </c>
      <c r="F6300" s="61" t="n">
        <v>3</v>
      </c>
      <c r="G6300" s="62" t="n">
        <v>498.23</v>
      </c>
      <c r="H6300" s="63" t="n">
        <v>0.056</v>
      </c>
      <c r="I6300" s="62" t="n">
        <v>314.43</v>
      </c>
      <c r="J6300" s="58" t="inlineStr">
        <is>
          <t>Store</t>
        </is>
      </c>
      <c r="K6300" s="62">
        <f>F6300*(G6300-H6300)</f>
        <v/>
      </c>
      <c r="L6300" s="62">
        <f>K6300-(F6300*I6300)</f>
        <v/>
      </c>
      <c r="M6300" s="64">
        <f>L6300/K6300</f>
        <v/>
      </c>
    </row>
    <row r="6301">
      <c r="A6301" s="58" t="inlineStr">
        <is>
          <t>RT20250608-06300</t>
        </is>
      </c>
      <c r="B6301" s="59" t="inlineStr">
        <is>
          <t>2025-06-08</t>
        </is>
      </c>
      <c r="C6301" s="60" t="inlineStr">
        <is>
          <t>Vertex Printer Max-692</t>
        </is>
      </c>
      <c r="D6301" s="58" t="inlineStr">
        <is>
          <t>Office</t>
        </is>
      </c>
      <c r="E6301" s="58" t="inlineStr">
        <is>
          <t>West</t>
        </is>
      </c>
      <c r="F6301" s="61" t="n">
        <v>2</v>
      </c>
      <c r="G6301" s="62" t="n">
        <v>163.82</v>
      </c>
      <c r="H6301" s="63" t="n">
        <v>0.1</v>
      </c>
      <c r="I6301" s="62" t="n">
        <v>120.24</v>
      </c>
      <c r="J6301" s="58" t="inlineStr">
        <is>
          <t>Online</t>
        </is>
      </c>
      <c r="K6301" s="62">
        <f>F6301*(G6301-H6301)</f>
        <v/>
      </c>
      <c r="L6301" s="62">
        <f>K6301-(F6301*I6301)</f>
        <v/>
      </c>
      <c r="M6301" s="64">
        <f>L6301/K6301</f>
        <v/>
      </c>
    </row>
    <row r="6302">
      <c r="A6302" s="58" t="inlineStr">
        <is>
          <t>RT20250608-06301</t>
        </is>
      </c>
      <c r="B6302" s="59" t="inlineStr">
        <is>
          <t>2025-06-08</t>
        </is>
      </c>
      <c r="C6302" s="60" t="inlineStr">
        <is>
          <t>Polar Fragrance Pro-750</t>
        </is>
      </c>
      <c r="D6302" s="58" t="inlineStr">
        <is>
          <t>Beauty</t>
        </is>
      </c>
      <c r="E6302" s="58" t="inlineStr">
        <is>
          <t>Central</t>
        </is>
      </c>
      <c r="F6302" s="61" t="n">
        <v>3</v>
      </c>
      <c r="G6302" s="62" t="n">
        <v>55.75</v>
      </c>
      <c r="H6302" s="63" t="n">
        <v>0.034</v>
      </c>
      <c r="I6302" s="62" t="n">
        <v>37.02</v>
      </c>
      <c r="J6302" s="58" t="inlineStr">
        <is>
          <t>Online</t>
        </is>
      </c>
      <c r="K6302" s="62">
        <f>F6302*(G6302-H6302)</f>
        <v/>
      </c>
      <c r="L6302" s="62">
        <f>K6302-(F6302*I6302)</f>
        <v/>
      </c>
      <c r="M6302" s="64">
        <f>L6302/K6302</f>
        <v/>
      </c>
    </row>
    <row r="6303">
      <c r="A6303" s="58" t="inlineStr">
        <is>
          <t>RT20250608-06302</t>
        </is>
      </c>
      <c r="B6303" s="59" t="inlineStr">
        <is>
          <t>2025-06-08</t>
        </is>
      </c>
      <c r="C6303" s="60" t="inlineStr">
        <is>
          <t>Falcon Team Sport Lite-268</t>
        </is>
      </c>
      <c r="D6303" s="58" t="inlineStr">
        <is>
          <t>Sports</t>
        </is>
      </c>
      <c r="E6303" s="58" t="inlineStr">
        <is>
          <t>South</t>
        </is>
      </c>
      <c r="F6303" s="61" t="n">
        <v>2</v>
      </c>
      <c r="G6303" s="62" t="n">
        <v>643.74</v>
      </c>
      <c r="H6303" s="63" t="n">
        <v>0.101</v>
      </c>
      <c r="I6303" s="62" t="n">
        <v>442.59</v>
      </c>
      <c r="J6303" s="58" t="inlineStr">
        <is>
          <t>Store</t>
        </is>
      </c>
      <c r="K6303" s="62">
        <f>F6303*(G6303-H6303)</f>
        <v/>
      </c>
      <c r="L6303" s="62">
        <f>K6303-(F6303*I6303)</f>
        <v/>
      </c>
      <c r="M6303" s="64">
        <f>L6303/K6303</f>
        <v/>
      </c>
    </row>
    <row r="6304">
      <c r="A6304" s="58" t="inlineStr">
        <is>
          <t>RT20250608-06303</t>
        </is>
      </c>
      <c r="B6304" s="59" t="inlineStr">
        <is>
          <t>2025-06-08</t>
        </is>
      </c>
      <c r="C6304" s="60" t="inlineStr">
        <is>
          <t>Aurora Bedding Max-175</t>
        </is>
      </c>
      <c r="D6304" s="58" t="inlineStr">
        <is>
          <t>Home</t>
        </is>
      </c>
      <c r="E6304" s="58" t="inlineStr">
        <is>
          <t>East</t>
        </is>
      </c>
      <c r="F6304" s="61" t="n">
        <v>3</v>
      </c>
      <c r="G6304" s="62" t="n">
        <v>552.39</v>
      </c>
      <c r="H6304" s="63" t="n">
        <v>0.1</v>
      </c>
      <c r="I6304" s="62" t="n">
        <v>402.76</v>
      </c>
      <c r="J6304" s="58" t="inlineStr">
        <is>
          <t>Online</t>
        </is>
      </c>
      <c r="K6304" s="62">
        <f>F6304*(G6304-H6304)</f>
        <v/>
      </c>
      <c r="L6304" s="62">
        <f>K6304-(F6304*I6304)</f>
        <v/>
      </c>
      <c r="M6304" s="64">
        <f>L6304/K6304</f>
        <v/>
      </c>
    </row>
    <row r="6305">
      <c r="A6305" s="58" t="inlineStr">
        <is>
          <t>RT20250608-06304</t>
        </is>
      </c>
      <c r="B6305" s="59" t="inlineStr">
        <is>
          <t>2025-06-08</t>
        </is>
      </c>
      <c r="C6305" s="60" t="inlineStr">
        <is>
          <t>Polar Cycling S-223</t>
        </is>
      </c>
      <c r="D6305" s="58" t="inlineStr">
        <is>
          <t>Sports</t>
        </is>
      </c>
      <c r="E6305" s="58" t="inlineStr">
        <is>
          <t>East</t>
        </is>
      </c>
      <c r="F6305" s="61" t="n">
        <v>1</v>
      </c>
      <c r="G6305" s="62" t="n">
        <v>972.33</v>
      </c>
      <c r="H6305" s="63" t="n">
        <v>0.093</v>
      </c>
      <c r="I6305" s="62" t="n">
        <v>638.61</v>
      </c>
      <c r="J6305" s="58" t="inlineStr">
        <is>
          <t>Store</t>
        </is>
      </c>
      <c r="K6305" s="62">
        <f>F6305*(G6305-H6305)</f>
        <v/>
      </c>
      <c r="L6305" s="62">
        <f>K6305-(F6305*I6305)</f>
        <v/>
      </c>
      <c r="M6305" s="64">
        <f>L6305/K6305</f>
        <v/>
      </c>
    </row>
    <row r="6306">
      <c r="A6306" s="58" t="inlineStr">
        <is>
          <t>RT20250608-06305</t>
        </is>
      </c>
      <c r="B6306" s="59" t="inlineStr">
        <is>
          <t>2025-06-08</t>
        </is>
      </c>
      <c r="C6306" s="60" t="inlineStr">
        <is>
          <t>Aurora Haircare S-975</t>
        </is>
      </c>
      <c r="D6306" s="58" t="inlineStr">
        <is>
          <t>Beauty</t>
        </is>
      </c>
      <c r="E6306" s="58" t="inlineStr">
        <is>
          <t>South</t>
        </is>
      </c>
      <c r="F6306" s="61" t="n">
        <v>4</v>
      </c>
      <c r="G6306" s="62" t="n">
        <v>86.05</v>
      </c>
      <c r="H6306" s="63" t="n">
        <v>0.047</v>
      </c>
      <c r="I6306" s="62" t="n">
        <v>59.84</v>
      </c>
      <c r="J6306" s="58" t="inlineStr">
        <is>
          <t>Online</t>
        </is>
      </c>
      <c r="K6306" s="62">
        <f>F6306*(G6306-H6306)</f>
        <v/>
      </c>
      <c r="L6306" s="62">
        <f>K6306-(F6306*I6306)</f>
        <v/>
      </c>
      <c r="M6306" s="64">
        <f>L6306/K6306</f>
        <v/>
      </c>
    </row>
    <row r="6307">
      <c r="A6307" s="58" t="inlineStr">
        <is>
          <t>RT20250608-06306</t>
        </is>
      </c>
      <c r="B6307" s="59" t="inlineStr">
        <is>
          <t>2025-06-08</t>
        </is>
      </c>
      <c r="C6307" s="60" t="inlineStr">
        <is>
          <t>Orion Beverage Plus-949</t>
        </is>
      </c>
      <c r="D6307" s="58" t="inlineStr">
        <is>
          <t>Grocery</t>
        </is>
      </c>
      <c r="E6307" s="58" t="inlineStr">
        <is>
          <t>South</t>
        </is>
      </c>
      <c r="F6307" s="61" t="n">
        <v>7</v>
      </c>
      <c r="G6307" s="62" t="n">
        <v>19.71</v>
      </c>
      <c r="H6307" s="63" t="n">
        <v>0.081</v>
      </c>
      <c r="I6307" s="62" t="n">
        <v>13.7</v>
      </c>
      <c r="J6307" s="58" t="inlineStr">
        <is>
          <t>Online</t>
        </is>
      </c>
      <c r="K6307" s="62">
        <f>F6307*(G6307-H6307)</f>
        <v/>
      </c>
      <c r="L6307" s="62">
        <f>K6307-(F6307*I6307)</f>
        <v/>
      </c>
      <c r="M6307" s="64">
        <f>L6307/K6307</f>
        <v/>
      </c>
    </row>
    <row r="6308">
      <c r="A6308" s="58" t="inlineStr">
        <is>
          <t>RT20250608-06307</t>
        </is>
      </c>
      <c r="B6308" s="59" t="inlineStr">
        <is>
          <t>2025-06-08</t>
        </is>
      </c>
      <c r="C6308" s="60" t="inlineStr">
        <is>
          <t>Vertex Printer Max-692</t>
        </is>
      </c>
      <c r="D6308" s="58" t="inlineStr">
        <is>
          <t>Office</t>
        </is>
      </c>
      <c r="E6308" s="58" t="inlineStr">
        <is>
          <t>West</t>
        </is>
      </c>
      <c r="F6308" s="61" t="n">
        <v>3</v>
      </c>
      <c r="G6308" s="62" t="n">
        <v>173.34</v>
      </c>
      <c r="H6308" s="63" t="n">
        <v>0.022</v>
      </c>
      <c r="I6308" s="62" t="n">
        <v>123.94</v>
      </c>
      <c r="J6308" s="58" t="inlineStr">
        <is>
          <t>Phone</t>
        </is>
      </c>
      <c r="K6308" s="62">
        <f>F6308*(G6308-H6308)</f>
        <v/>
      </c>
      <c r="L6308" s="62">
        <f>K6308-(F6308*I6308)</f>
        <v/>
      </c>
      <c r="M6308" s="64">
        <f>L6308/K6308</f>
        <v/>
      </c>
    </row>
    <row r="6309">
      <c r="A6309" s="58" t="inlineStr">
        <is>
          <t>RT20250608-06308</t>
        </is>
      </c>
      <c r="B6309" s="59" t="inlineStr">
        <is>
          <t>2025-06-08</t>
        </is>
      </c>
      <c r="C6309" s="60" t="inlineStr">
        <is>
          <t>Aurora Team Sport Plus-256</t>
        </is>
      </c>
      <c r="D6309" s="58" t="inlineStr">
        <is>
          <t>Sports</t>
        </is>
      </c>
      <c r="E6309" s="58" t="inlineStr">
        <is>
          <t>Central</t>
        </is>
      </c>
      <c r="F6309" s="61" t="n">
        <v>3</v>
      </c>
      <c r="G6309" s="62" t="n">
        <v>648.37</v>
      </c>
      <c r="H6309" s="63" t="n">
        <v>0.039</v>
      </c>
      <c r="I6309" s="62" t="n">
        <v>416.19</v>
      </c>
      <c r="J6309" s="58" t="inlineStr">
        <is>
          <t>Online</t>
        </is>
      </c>
      <c r="K6309" s="62">
        <f>F6309*(G6309-H6309)</f>
        <v/>
      </c>
      <c r="L6309" s="62">
        <f>K6309-(F6309*I6309)</f>
        <v/>
      </c>
      <c r="M6309" s="64">
        <f>L6309/K6309</f>
        <v/>
      </c>
    </row>
    <row r="6310">
      <c r="A6310" s="58" t="inlineStr">
        <is>
          <t>RT20250608-06309</t>
        </is>
      </c>
      <c r="B6310" s="59" t="inlineStr">
        <is>
          <t>2025-06-08</t>
        </is>
      </c>
      <c r="C6310" s="60" t="inlineStr">
        <is>
          <t>Falcon Household Pro-865</t>
        </is>
      </c>
      <c r="D6310" s="58" t="inlineStr">
        <is>
          <t>Grocery</t>
        </is>
      </c>
      <c r="E6310" s="58" t="inlineStr">
        <is>
          <t>West</t>
        </is>
      </c>
      <c r="F6310" s="61" t="n">
        <v>8</v>
      </c>
      <c r="G6310" s="62" t="n">
        <v>11</v>
      </c>
      <c r="H6310" s="63" t="n">
        <v>0.058</v>
      </c>
      <c r="I6310" s="62" t="n">
        <v>7.83</v>
      </c>
      <c r="J6310" s="58" t="inlineStr">
        <is>
          <t>Store</t>
        </is>
      </c>
      <c r="K6310" s="62">
        <f>F6310*(G6310-H6310)</f>
        <v/>
      </c>
      <c r="L6310" s="62">
        <f>K6310-(F6310*I6310)</f>
        <v/>
      </c>
      <c r="M6310" s="64">
        <f>L6310/K6310</f>
        <v/>
      </c>
    </row>
    <row r="6311">
      <c r="A6311" s="58" t="inlineStr">
        <is>
          <t>RT20250608-06310</t>
        </is>
      </c>
      <c r="B6311" s="59" t="inlineStr">
        <is>
          <t>2025-06-08</t>
        </is>
      </c>
      <c r="C6311" s="60" t="inlineStr">
        <is>
          <t>Nimbus Men Plus-231</t>
        </is>
      </c>
      <c r="D6311" s="58" t="inlineStr">
        <is>
          <t>Apparel</t>
        </is>
      </c>
      <c r="E6311" s="58" t="inlineStr">
        <is>
          <t>West</t>
        </is>
      </c>
      <c r="F6311" s="61" t="n">
        <v>1</v>
      </c>
      <c r="G6311" s="62" t="n">
        <v>150.05</v>
      </c>
      <c r="H6311" s="63" t="n">
        <v>0.043</v>
      </c>
      <c r="I6311" s="62" t="n">
        <v>91</v>
      </c>
      <c r="J6311" s="58" t="inlineStr">
        <is>
          <t>Phone</t>
        </is>
      </c>
      <c r="K6311" s="62">
        <f>F6311*(G6311-H6311)</f>
        <v/>
      </c>
      <c r="L6311" s="62">
        <f>K6311-(F6311*I6311)</f>
        <v/>
      </c>
      <c r="M6311" s="64">
        <f>L6311/K6311</f>
        <v/>
      </c>
    </row>
    <row r="6312">
      <c r="A6312" s="58" t="inlineStr">
        <is>
          <t>RT20250608-06311</t>
        </is>
      </c>
      <c r="B6312" s="59" t="inlineStr">
        <is>
          <t>2025-06-08</t>
        </is>
      </c>
      <c r="C6312" s="60" t="inlineStr">
        <is>
          <t>Vertex Headphone Pro-801</t>
        </is>
      </c>
      <c r="D6312" s="58" t="inlineStr">
        <is>
          <t>Electronics</t>
        </is>
      </c>
      <c r="E6312" s="58" t="inlineStr">
        <is>
          <t>South</t>
        </is>
      </c>
      <c r="F6312" s="61" t="n">
        <v>2</v>
      </c>
      <c r="G6312" s="62" t="n">
        <v>1264.13</v>
      </c>
      <c r="H6312" s="63" t="n">
        <v>0.058</v>
      </c>
      <c r="I6312" s="62" t="n">
        <v>986.9</v>
      </c>
      <c r="J6312" s="58" t="inlineStr">
        <is>
          <t>Online</t>
        </is>
      </c>
      <c r="K6312" s="62">
        <f>F6312*(G6312-H6312)</f>
        <v/>
      </c>
      <c r="L6312" s="62">
        <f>K6312-(F6312*I6312)</f>
        <v/>
      </c>
      <c r="M6312" s="64">
        <f>L6312/K6312</f>
        <v/>
      </c>
    </row>
    <row r="6313">
      <c r="A6313" s="58" t="inlineStr">
        <is>
          <t>RT20250608-06312</t>
        </is>
      </c>
      <c r="B6313" s="59" t="inlineStr">
        <is>
          <t>2025-06-08</t>
        </is>
      </c>
      <c r="C6313" s="60" t="inlineStr">
        <is>
          <t>Falcon Skincare X-334</t>
        </is>
      </c>
      <c r="D6313" s="58" t="inlineStr">
        <is>
          <t>Beauty</t>
        </is>
      </c>
      <c r="E6313" s="58" t="inlineStr">
        <is>
          <t>Central</t>
        </is>
      </c>
      <c r="F6313" s="61" t="n">
        <v>3</v>
      </c>
      <c r="G6313" s="62" t="n">
        <v>104.65</v>
      </c>
      <c r="H6313" s="63" t="n">
        <v>0.076</v>
      </c>
      <c r="I6313" s="62" t="n">
        <v>64.94</v>
      </c>
      <c r="J6313" s="58" t="inlineStr">
        <is>
          <t>Store</t>
        </is>
      </c>
      <c r="K6313" s="62">
        <f>F6313*(G6313-H6313)</f>
        <v/>
      </c>
      <c r="L6313" s="62">
        <f>K6313-(F6313*I6313)</f>
        <v/>
      </c>
      <c r="M6313" s="64">
        <f>L6313/K6313</f>
        <v/>
      </c>
    </row>
    <row r="6314">
      <c r="A6314" s="58" t="inlineStr">
        <is>
          <t>RT20250608-06313</t>
        </is>
      </c>
      <c r="B6314" s="59" t="inlineStr">
        <is>
          <t>2025-06-08</t>
        </is>
      </c>
      <c r="C6314" s="60" t="inlineStr">
        <is>
          <t>Aurora Household Plus-146</t>
        </is>
      </c>
      <c r="D6314" s="58" t="inlineStr">
        <is>
          <t>Grocery</t>
        </is>
      </c>
      <c r="E6314" s="58" t="inlineStr">
        <is>
          <t>South</t>
        </is>
      </c>
      <c r="F6314" s="61" t="n">
        <v>4</v>
      </c>
      <c r="G6314" s="62" t="n">
        <v>6.24</v>
      </c>
      <c r="H6314" s="63" t="n">
        <v>0.08599999999999999</v>
      </c>
      <c r="I6314" s="62" t="n">
        <v>4.57</v>
      </c>
      <c r="J6314" s="58" t="inlineStr">
        <is>
          <t>Store</t>
        </is>
      </c>
      <c r="K6314" s="62">
        <f>F6314*(G6314-H6314)</f>
        <v/>
      </c>
      <c r="L6314" s="62">
        <f>K6314-(F6314*I6314)</f>
        <v/>
      </c>
      <c r="M6314" s="64">
        <f>L6314/K6314</f>
        <v/>
      </c>
    </row>
    <row r="6315">
      <c r="A6315" s="58" t="inlineStr">
        <is>
          <t>RT20250608-06314</t>
        </is>
      </c>
      <c r="B6315" s="59" t="inlineStr">
        <is>
          <t>2025-06-08</t>
        </is>
      </c>
      <c r="C6315" s="60" t="inlineStr">
        <is>
          <t>Falcon Headphone Pro-713</t>
        </is>
      </c>
      <c r="D6315" s="58" t="inlineStr">
        <is>
          <t>Electronics</t>
        </is>
      </c>
      <c r="E6315" s="58" t="inlineStr">
        <is>
          <t>South</t>
        </is>
      </c>
      <c r="F6315" s="61" t="n">
        <v>2</v>
      </c>
      <c r="G6315" s="62" t="n">
        <v>1591.3</v>
      </c>
      <c r="H6315" s="63" t="n">
        <v>0.042</v>
      </c>
      <c r="I6315" s="62" t="n">
        <v>1160.32</v>
      </c>
      <c r="J6315" s="58" t="inlineStr">
        <is>
          <t>Phone</t>
        </is>
      </c>
      <c r="K6315" s="62">
        <f>F6315*(G6315-H6315)</f>
        <v/>
      </c>
      <c r="L6315" s="62">
        <f>K6315-(F6315*I6315)</f>
        <v/>
      </c>
      <c r="M6315" s="64">
        <f>L6315/K6315</f>
        <v/>
      </c>
    </row>
    <row r="6316">
      <c r="A6316" s="58" t="inlineStr">
        <is>
          <t>RT20250608-06315</t>
        </is>
      </c>
      <c r="B6316" s="59" t="inlineStr">
        <is>
          <t>2025-06-08</t>
        </is>
      </c>
      <c r="C6316" s="60" t="inlineStr">
        <is>
          <t>Solace Fitnes S-324</t>
        </is>
      </c>
      <c r="D6316" s="58" t="inlineStr">
        <is>
          <t>Sports</t>
        </is>
      </c>
      <c r="E6316" s="58" t="inlineStr">
        <is>
          <t>South</t>
        </is>
      </c>
      <c r="F6316" s="61" t="n">
        <v>2</v>
      </c>
      <c r="G6316" s="62" t="n">
        <v>683.4299999999999</v>
      </c>
      <c r="H6316" s="63" t="n">
        <v>0.035</v>
      </c>
      <c r="I6316" s="62" t="n">
        <v>517.26</v>
      </c>
      <c r="J6316" s="58" t="inlineStr">
        <is>
          <t>Online</t>
        </is>
      </c>
      <c r="K6316" s="62">
        <f>F6316*(G6316-H6316)</f>
        <v/>
      </c>
      <c r="L6316" s="62">
        <f>K6316-(F6316*I6316)</f>
        <v/>
      </c>
      <c r="M6316" s="64">
        <f>L6316/K6316</f>
        <v/>
      </c>
    </row>
    <row r="6317">
      <c r="A6317" s="58" t="inlineStr">
        <is>
          <t>RT20250608-06316</t>
        </is>
      </c>
      <c r="B6317" s="59" t="inlineStr">
        <is>
          <t>2025-06-08</t>
        </is>
      </c>
      <c r="C6317" s="60" t="inlineStr">
        <is>
          <t>Vertex Headphone Pro-801</t>
        </is>
      </c>
      <c r="D6317" s="58" t="inlineStr">
        <is>
          <t>Electronics</t>
        </is>
      </c>
      <c r="E6317" s="58" t="inlineStr">
        <is>
          <t>West</t>
        </is>
      </c>
      <c r="F6317" s="61" t="n">
        <v>2</v>
      </c>
      <c r="G6317" s="62" t="n">
        <v>1400.18</v>
      </c>
      <c r="H6317" s="63" t="n">
        <v>0.06900000000000001</v>
      </c>
      <c r="I6317" s="62" t="n">
        <v>985.21</v>
      </c>
      <c r="J6317" s="58" t="inlineStr">
        <is>
          <t>Store</t>
        </is>
      </c>
      <c r="K6317" s="62">
        <f>F6317*(G6317-H6317)</f>
        <v/>
      </c>
      <c r="L6317" s="62">
        <f>K6317-(F6317*I6317)</f>
        <v/>
      </c>
      <c r="M6317" s="64">
        <f>L6317/K6317</f>
        <v/>
      </c>
    </row>
    <row r="6318">
      <c r="A6318" s="58" t="inlineStr">
        <is>
          <t>RT20250609-06317</t>
        </is>
      </c>
      <c r="B6318" s="59" t="inlineStr">
        <is>
          <t>2025-06-09</t>
        </is>
      </c>
      <c r="C6318" s="60" t="inlineStr">
        <is>
          <t>Aurora Printer Plus-723</t>
        </is>
      </c>
      <c r="D6318" s="58" t="inlineStr">
        <is>
          <t>Office</t>
        </is>
      </c>
      <c r="E6318" s="58" t="inlineStr">
        <is>
          <t>West</t>
        </is>
      </c>
      <c r="F6318" s="61" t="n">
        <v>1</v>
      </c>
      <c r="G6318" s="62" t="n">
        <v>234.81</v>
      </c>
      <c r="H6318" s="63" t="n">
        <v>0.008</v>
      </c>
      <c r="I6318" s="62" t="n">
        <v>186.21</v>
      </c>
      <c r="J6318" s="58" t="inlineStr">
        <is>
          <t>Store</t>
        </is>
      </c>
      <c r="K6318" s="62">
        <f>F6318*(G6318-H6318)</f>
        <v/>
      </c>
      <c r="L6318" s="62">
        <f>K6318-(F6318*I6318)</f>
        <v/>
      </c>
      <c r="M6318" s="64">
        <f>L6318/K6318</f>
        <v/>
      </c>
    </row>
    <row r="6319">
      <c r="A6319" s="58" t="inlineStr">
        <is>
          <t>RT20250609-06318</t>
        </is>
      </c>
      <c r="B6319" s="59" t="inlineStr">
        <is>
          <t>2025-06-09</t>
        </is>
      </c>
      <c r="C6319" s="60" t="inlineStr">
        <is>
          <t>Polar Cycling X-649</t>
        </is>
      </c>
      <c r="D6319" s="58" t="inlineStr">
        <is>
          <t>Sports</t>
        </is>
      </c>
      <c r="E6319" s="58" t="inlineStr">
        <is>
          <t>South</t>
        </is>
      </c>
      <c r="F6319" s="61" t="n">
        <v>2</v>
      </c>
      <c r="G6319" s="62" t="n">
        <v>502.65</v>
      </c>
      <c r="H6319" s="63" t="n">
        <v>0.056</v>
      </c>
      <c r="I6319" s="62" t="n">
        <v>356.14</v>
      </c>
      <c r="J6319" s="58" t="inlineStr">
        <is>
          <t>Store</t>
        </is>
      </c>
      <c r="K6319" s="62">
        <f>F6319*(G6319-H6319)</f>
        <v/>
      </c>
      <c r="L6319" s="62">
        <f>K6319-(F6319*I6319)</f>
        <v/>
      </c>
      <c r="M6319" s="64">
        <f>L6319/K6319</f>
        <v/>
      </c>
    </row>
    <row r="6320">
      <c r="A6320" s="58" t="inlineStr">
        <is>
          <t>RT20250609-06319</t>
        </is>
      </c>
      <c r="B6320" s="59" t="inlineStr">
        <is>
          <t>2025-06-09</t>
        </is>
      </c>
      <c r="C6320" s="60" t="inlineStr">
        <is>
          <t>Metro Pantry Max-180</t>
        </is>
      </c>
      <c r="D6320" s="58" t="inlineStr">
        <is>
          <t>Grocery</t>
        </is>
      </c>
      <c r="E6320" s="58" t="inlineStr">
        <is>
          <t>West</t>
        </is>
      </c>
      <c r="F6320" s="61" t="n">
        <v>3</v>
      </c>
      <c r="G6320" s="62" t="n">
        <v>9.06</v>
      </c>
      <c r="H6320" s="63" t="n">
        <v>0.027</v>
      </c>
      <c r="I6320" s="62" t="n">
        <v>6.78</v>
      </c>
      <c r="J6320" s="58" t="inlineStr">
        <is>
          <t>Online</t>
        </is>
      </c>
      <c r="K6320" s="62">
        <f>F6320*(G6320-H6320)</f>
        <v/>
      </c>
      <c r="L6320" s="62">
        <f>K6320-(F6320*I6320)</f>
        <v/>
      </c>
      <c r="M6320" s="64">
        <f>L6320/K6320</f>
        <v/>
      </c>
    </row>
    <row r="6321">
      <c r="A6321" s="58" t="inlineStr">
        <is>
          <t>RT20250609-06320</t>
        </is>
      </c>
      <c r="B6321" s="59" t="inlineStr">
        <is>
          <t>2025-06-09</t>
        </is>
      </c>
      <c r="C6321" s="60" t="inlineStr">
        <is>
          <t>Orion Supplie S-612</t>
        </is>
      </c>
      <c r="D6321" s="58" t="inlineStr">
        <is>
          <t>Office</t>
        </is>
      </c>
      <c r="E6321" s="58" t="inlineStr">
        <is>
          <t>Central</t>
        </is>
      </c>
      <c r="F6321" s="61" t="n">
        <v>1</v>
      </c>
      <c r="G6321" s="62" t="n">
        <v>469.35</v>
      </c>
      <c r="H6321" s="63" t="n">
        <v>0.059</v>
      </c>
      <c r="I6321" s="62" t="n">
        <v>343.88</v>
      </c>
      <c r="J6321" s="58" t="inlineStr">
        <is>
          <t>Online</t>
        </is>
      </c>
      <c r="K6321" s="62">
        <f>F6321*(G6321-H6321)</f>
        <v/>
      </c>
      <c r="L6321" s="62">
        <f>K6321-(F6321*I6321)</f>
        <v/>
      </c>
      <c r="M6321" s="64">
        <f>L6321/K6321</f>
        <v/>
      </c>
    </row>
    <row r="6322">
      <c r="A6322" s="58" t="inlineStr">
        <is>
          <t>RT20250609-06321</t>
        </is>
      </c>
      <c r="B6322" s="59" t="inlineStr">
        <is>
          <t>2025-06-09</t>
        </is>
      </c>
      <c r="C6322" s="60" t="inlineStr">
        <is>
          <t>Nimbus Makeup Max-158</t>
        </is>
      </c>
      <c r="D6322" s="58" t="inlineStr">
        <is>
          <t>Beauty</t>
        </is>
      </c>
      <c r="E6322" s="58" t="inlineStr">
        <is>
          <t>East</t>
        </is>
      </c>
      <c r="F6322" s="61" t="n">
        <v>3</v>
      </c>
      <c r="G6322" s="62" t="n">
        <v>153.33</v>
      </c>
      <c r="H6322" s="63" t="n">
        <v>0.045</v>
      </c>
      <c r="I6322" s="62" t="n">
        <v>98.31999999999999</v>
      </c>
      <c r="J6322" s="58" t="inlineStr">
        <is>
          <t>Online</t>
        </is>
      </c>
      <c r="K6322" s="62">
        <f>F6322*(G6322-H6322)</f>
        <v/>
      </c>
      <c r="L6322" s="62">
        <f>K6322-(F6322*I6322)</f>
        <v/>
      </c>
      <c r="M6322" s="64">
        <f>L6322/K6322</f>
        <v/>
      </c>
    </row>
    <row r="6323">
      <c r="A6323" s="58" t="inlineStr">
        <is>
          <t>RT20250609-06322</t>
        </is>
      </c>
      <c r="B6323" s="59" t="inlineStr">
        <is>
          <t>2025-06-09</t>
        </is>
      </c>
      <c r="C6323" s="60" t="inlineStr">
        <is>
          <t>Vertex Appliance S-159</t>
        </is>
      </c>
      <c r="D6323" s="58" t="inlineStr">
        <is>
          <t>Home</t>
        </is>
      </c>
      <c r="E6323" s="58" t="inlineStr">
        <is>
          <t>East</t>
        </is>
      </c>
      <c r="F6323" s="61" t="n">
        <v>1</v>
      </c>
      <c r="G6323" s="62" t="n">
        <v>386.36</v>
      </c>
      <c r="H6323" s="63" t="n">
        <v>0.023</v>
      </c>
      <c r="I6323" s="62" t="n">
        <v>290.61</v>
      </c>
      <c r="J6323" s="58" t="inlineStr">
        <is>
          <t>Online</t>
        </is>
      </c>
      <c r="K6323" s="62">
        <f>F6323*(G6323-H6323)</f>
        <v/>
      </c>
      <c r="L6323" s="62">
        <f>K6323-(F6323*I6323)</f>
        <v/>
      </c>
      <c r="M6323" s="64">
        <f>L6323/K6323</f>
        <v/>
      </c>
    </row>
    <row r="6324">
      <c r="A6324" s="58" t="inlineStr">
        <is>
          <t>RT20250609-06323</t>
        </is>
      </c>
      <c r="B6324" s="59" t="inlineStr">
        <is>
          <t>2025-06-09</t>
        </is>
      </c>
      <c r="C6324" s="60" t="inlineStr">
        <is>
          <t>Falcon Team Sport Lite-268</t>
        </is>
      </c>
      <c r="D6324" s="58" t="inlineStr">
        <is>
          <t>Sports</t>
        </is>
      </c>
      <c r="E6324" s="58" t="inlineStr">
        <is>
          <t>South</t>
        </is>
      </c>
      <c r="F6324" s="61" t="n">
        <v>2</v>
      </c>
      <c r="G6324" s="62" t="n">
        <v>685.26</v>
      </c>
      <c r="H6324" s="63" t="n">
        <v>0.104</v>
      </c>
      <c r="I6324" s="62" t="n">
        <v>423.35</v>
      </c>
      <c r="J6324" s="58" t="inlineStr">
        <is>
          <t>Phone</t>
        </is>
      </c>
      <c r="K6324" s="62">
        <f>F6324*(G6324-H6324)</f>
        <v/>
      </c>
      <c r="L6324" s="62">
        <f>K6324-(F6324*I6324)</f>
        <v/>
      </c>
      <c r="M6324" s="64">
        <f>L6324/K6324</f>
        <v/>
      </c>
    </row>
    <row r="6325">
      <c r="A6325" s="58" t="inlineStr">
        <is>
          <t>RT20250609-06324</t>
        </is>
      </c>
      <c r="B6325" s="59" t="inlineStr">
        <is>
          <t>2025-06-09</t>
        </is>
      </c>
      <c r="C6325" s="60" t="inlineStr">
        <is>
          <t>Vertex Decor Pro-618</t>
        </is>
      </c>
      <c r="D6325" s="58" t="inlineStr">
        <is>
          <t>Home</t>
        </is>
      </c>
      <c r="E6325" s="58" t="inlineStr">
        <is>
          <t>South</t>
        </is>
      </c>
      <c r="F6325" s="61" t="n">
        <v>1</v>
      </c>
      <c r="G6325" s="62" t="n">
        <v>546.26</v>
      </c>
      <c r="H6325" s="63" t="n">
        <v>0.06900000000000001</v>
      </c>
      <c r="I6325" s="62" t="n">
        <v>367.25</v>
      </c>
      <c r="J6325" s="58" t="inlineStr">
        <is>
          <t>Online</t>
        </is>
      </c>
      <c r="K6325" s="62">
        <f>F6325*(G6325-H6325)</f>
        <v/>
      </c>
      <c r="L6325" s="62">
        <f>K6325-(F6325*I6325)</f>
        <v/>
      </c>
      <c r="M6325" s="64">
        <f>L6325/K6325</f>
        <v/>
      </c>
    </row>
    <row r="6326">
      <c r="A6326" s="58" t="inlineStr">
        <is>
          <t>RT20250609-06325</t>
        </is>
      </c>
      <c r="B6326" s="59" t="inlineStr">
        <is>
          <t>2025-06-09</t>
        </is>
      </c>
      <c r="C6326" s="60" t="inlineStr">
        <is>
          <t>Solace Headphone Pro-344</t>
        </is>
      </c>
      <c r="D6326" s="58" t="inlineStr">
        <is>
          <t>Electronics</t>
        </is>
      </c>
      <c r="E6326" s="58" t="inlineStr">
        <is>
          <t>Central</t>
        </is>
      </c>
      <c r="F6326" s="61" t="n">
        <v>1</v>
      </c>
      <c r="G6326" s="62" t="n">
        <v>1458.66</v>
      </c>
      <c r="H6326" s="63" t="n">
        <v>0.077</v>
      </c>
      <c r="I6326" s="62" t="n">
        <v>1091.17</v>
      </c>
      <c r="J6326" s="58" t="inlineStr">
        <is>
          <t>Phone</t>
        </is>
      </c>
      <c r="K6326" s="62">
        <f>F6326*(G6326-H6326)</f>
        <v/>
      </c>
      <c r="L6326" s="62">
        <f>K6326-(F6326*I6326)</f>
        <v/>
      </c>
      <c r="M6326" s="64">
        <f>L6326/K6326</f>
        <v/>
      </c>
    </row>
    <row r="6327">
      <c r="A6327" s="58" t="inlineStr">
        <is>
          <t>RT20250609-06326</t>
        </is>
      </c>
      <c r="B6327" s="59" t="inlineStr">
        <is>
          <t>2025-06-09</t>
        </is>
      </c>
      <c r="C6327" s="60" t="inlineStr">
        <is>
          <t>Aurora Makeup Pro-489</t>
        </is>
      </c>
      <c r="D6327" s="58" t="inlineStr">
        <is>
          <t>Beauty</t>
        </is>
      </c>
      <c r="E6327" s="58" t="inlineStr">
        <is>
          <t>North</t>
        </is>
      </c>
      <c r="F6327" s="61" t="n">
        <v>3</v>
      </c>
      <c r="G6327" s="62" t="n">
        <v>108.06</v>
      </c>
      <c r="H6327" s="63" t="n">
        <v>0.101</v>
      </c>
      <c r="I6327" s="62" t="n">
        <v>65.23999999999999</v>
      </c>
      <c r="J6327" s="58" t="inlineStr">
        <is>
          <t>Store</t>
        </is>
      </c>
      <c r="K6327" s="62">
        <f>F6327*(G6327-H6327)</f>
        <v/>
      </c>
      <c r="L6327" s="62">
        <f>K6327-(F6327*I6327)</f>
        <v/>
      </c>
      <c r="M6327" s="64">
        <f>L6327/K6327</f>
        <v/>
      </c>
    </row>
    <row r="6328">
      <c r="A6328" s="58" t="inlineStr">
        <is>
          <t>RT20250609-06327</t>
        </is>
      </c>
      <c r="B6328" s="59" t="inlineStr">
        <is>
          <t>2025-06-09</t>
        </is>
      </c>
      <c r="C6328" s="60" t="inlineStr">
        <is>
          <t>Polar Men Pro-246</t>
        </is>
      </c>
      <c r="D6328" s="58" t="inlineStr">
        <is>
          <t>Apparel</t>
        </is>
      </c>
      <c r="E6328" s="58" t="inlineStr">
        <is>
          <t>South</t>
        </is>
      </c>
      <c r="F6328" s="61" t="n">
        <v>4</v>
      </c>
      <c r="G6328" s="62" t="n">
        <v>141.64</v>
      </c>
      <c r="H6328" s="63" t="n">
        <v>0.018</v>
      </c>
      <c r="I6328" s="62" t="n">
        <v>73.84999999999999</v>
      </c>
      <c r="J6328" s="58" t="inlineStr">
        <is>
          <t>Online</t>
        </is>
      </c>
      <c r="K6328" s="62">
        <f>F6328*(G6328-H6328)</f>
        <v/>
      </c>
      <c r="L6328" s="62">
        <f>K6328-(F6328*I6328)</f>
        <v/>
      </c>
      <c r="M6328" s="64">
        <f>L6328/K6328</f>
        <v/>
      </c>
    </row>
    <row r="6329">
      <c r="A6329" s="58" t="inlineStr">
        <is>
          <t>RT20250609-06328</t>
        </is>
      </c>
      <c r="B6329" s="59" t="inlineStr">
        <is>
          <t>2025-06-09</t>
        </is>
      </c>
      <c r="C6329" s="60" t="inlineStr">
        <is>
          <t>Solace Headphone Pro-344</t>
        </is>
      </c>
      <c r="D6329" s="58" t="inlineStr">
        <is>
          <t>Electronics</t>
        </is>
      </c>
      <c r="E6329" s="58" t="inlineStr">
        <is>
          <t>East</t>
        </is>
      </c>
      <c r="F6329" s="61" t="n">
        <v>1</v>
      </c>
      <c r="G6329" s="62" t="n">
        <v>1360.49</v>
      </c>
      <c r="H6329" s="63" t="n">
        <v>0.031</v>
      </c>
      <c r="I6329" s="62" t="n">
        <v>1048.34</v>
      </c>
      <c r="J6329" s="58" t="inlineStr">
        <is>
          <t>Store</t>
        </is>
      </c>
      <c r="K6329" s="62">
        <f>F6329*(G6329-H6329)</f>
        <v/>
      </c>
      <c r="L6329" s="62">
        <f>K6329-(F6329*I6329)</f>
        <v/>
      </c>
      <c r="M6329" s="64">
        <f>L6329/K6329</f>
        <v/>
      </c>
    </row>
    <row r="6330">
      <c r="A6330" s="58" t="inlineStr">
        <is>
          <t>RT20250609-06329</t>
        </is>
      </c>
      <c r="B6330" s="59" t="inlineStr">
        <is>
          <t>2025-06-09</t>
        </is>
      </c>
      <c r="C6330" s="60" t="inlineStr">
        <is>
          <t>Vertex Smartphone Lite-267</t>
        </is>
      </c>
      <c r="D6330" s="58" t="inlineStr">
        <is>
          <t>Electronics</t>
        </is>
      </c>
      <c r="E6330" s="58" t="inlineStr">
        <is>
          <t>West</t>
        </is>
      </c>
      <c r="F6330" s="61" t="n">
        <v>2</v>
      </c>
      <c r="G6330" s="62" t="n">
        <v>1331.1</v>
      </c>
      <c r="H6330" s="63" t="n">
        <v>0.004</v>
      </c>
      <c r="I6330" s="62" t="n">
        <v>986.99</v>
      </c>
      <c r="J6330" s="58" t="inlineStr">
        <is>
          <t>Store</t>
        </is>
      </c>
      <c r="K6330" s="62">
        <f>F6330*(G6330-H6330)</f>
        <v/>
      </c>
      <c r="L6330" s="62">
        <f>K6330-(F6330*I6330)</f>
        <v/>
      </c>
      <c r="M6330" s="64">
        <f>L6330/K6330</f>
        <v/>
      </c>
    </row>
    <row r="6331">
      <c r="A6331" s="58" t="inlineStr">
        <is>
          <t>RT20250609-06330</t>
        </is>
      </c>
      <c r="B6331" s="59" t="inlineStr">
        <is>
          <t>2025-06-09</t>
        </is>
      </c>
      <c r="C6331" s="60" t="inlineStr">
        <is>
          <t>Aurora Bedding Max-175</t>
        </is>
      </c>
      <c r="D6331" s="58" t="inlineStr">
        <is>
          <t>Home</t>
        </is>
      </c>
      <c r="E6331" s="58" t="inlineStr">
        <is>
          <t>Central</t>
        </is>
      </c>
      <c r="F6331" s="61" t="n">
        <v>1</v>
      </c>
      <c r="G6331" s="62" t="n">
        <v>640.41</v>
      </c>
      <c r="H6331" s="63" t="n">
        <v>0.043</v>
      </c>
      <c r="I6331" s="62" t="n">
        <v>402.82</v>
      </c>
      <c r="J6331" s="58" t="inlineStr">
        <is>
          <t>Online</t>
        </is>
      </c>
      <c r="K6331" s="62">
        <f>F6331*(G6331-H6331)</f>
        <v/>
      </c>
      <c r="L6331" s="62">
        <f>K6331-(F6331*I6331)</f>
        <v/>
      </c>
      <c r="M6331" s="64">
        <f>L6331/K6331</f>
        <v/>
      </c>
    </row>
    <row r="6332">
      <c r="A6332" s="58" t="inlineStr">
        <is>
          <t>RT20250609-06331</t>
        </is>
      </c>
      <c r="B6332" s="59" t="inlineStr">
        <is>
          <t>2025-06-09</t>
        </is>
      </c>
      <c r="C6332" s="60" t="inlineStr">
        <is>
          <t>Aurora Appliance Max-316</t>
        </is>
      </c>
      <c r="D6332" s="58" t="inlineStr">
        <is>
          <t>Home</t>
        </is>
      </c>
      <c r="E6332" s="58" t="inlineStr">
        <is>
          <t>East</t>
        </is>
      </c>
      <c r="F6332" s="61" t="n">
        <v>1</v>
      </c>
      <c r="G6332" s="62" t="n">
        <v>322.77</v>
      </c>
      <c r="H6332" s="63" t="n">
        <v>0.053</v>
      </c>
      <c r="I6332" s="62" t="n">
        <v>214.1</v>
      </c>
      <c r="J6332" s="58" t="inlineStr">
        <is>
          <t>Store</t>
        </is>
      </c>
      <c r="K6332" s="62">
        <f>F6332*(G6332-H6332)</f>
        <v/>
      </c>
      <c r="L6332" s="62">
        <f>K6332-(F6332*I6332)</f>
        <v/>
      </c>
      <c r="M6332" s="64">
        <f>L6332/K6332</f>
        <v/>
      </c>
    </row>
    <row r="6333">
      <c r="A6333" s="58" t="inlineStr">
        <is>
          <t>RT20250609-06332</t>
        </is>
      </c>
      <c r="B6333" s="59" t="inlineStr">
        <is>
          <t>2025-06-09</t>
        </is>
      </c>
      <c r="C6333" s="60" t="inlineStr">
        <is>
          <t>Aurora Makeup S-626</t>
        </is>
      </c>
      <c r="D6333" s="58" t="inlineStr">
        <is>
          <t>Beauty</t>
        </is>
      </c>
      <c r="E6333" s="58" t="inlineStr">
        <is>
          <t>East</t>
        </is>
      </c>
      <c r="F6333" s="61" t="n">
        <v>2</v>
      </c>
      <c r="G6333" s="62" t="n">
        <v>107.82</v>
      </c>
      <c r="H6333" s="63" t="n">
        <v>0.093</v>
      </c>
      <c r="I6333" s="62" t="n">
        <v>62.95</v>
      </c>
      <c r="J6333" s="58" t="inlineStr">
        <is>
          <t>Store</t>
        </is>
      </c>
      <c r="K6333" s="62">
        <f>F6333*(G6333-H6333)</f>
        <v/>
      </c>
      <c r="L6333" s="62">
        <f>K6333-(F6333*I6333)</f>
        <v/>
      </c>
      <c r="M6333" s="64">
        <f>L6333/K6333</f>
        <v/>
      </c>
    </row>
    <row r="6334">
      <c r="A6334" s="58" t="inlineStr">
        <is>
          <t>RT20250609-06333</t>
        </is>
      </c>
      <c r="B6334" s="59" t="inlineStr">
        <is>
          <t>2025-06-09</t>
        </is>
      </c>
      <c r="C6334" s="60" t="inlineStr">
        <is>
          <t>Vertex Pantry Pro-165</t>
        </is>
      </c>
      <c r="D6334" s="58" t="inlineStr">
        <is>
          <t>Grocery</t>
        </is>
      </c>
      <c r="E6334" s="58" t="inlineStr">
        <is>
          <t>East</t>
        </is>
      </c>
      <c r="F6334" s="61" t="n">
        <v>8</v>
      </c>
      <c r="G6334" s="62" t="n">
        <v>16.83</v>
      </c>
      <c r="H6334" s="63" t="n">
        <v>0.068</v>
      </c>
      <c r="I6334" s="62" t="n">
        <v>11.45</v>
      </c>
      <c r="J6334" s="58" t="inlineStr">
        <is>
          <t>Online</t>
        </is>
      </c>
      <c r="K6334" s="62">
        <f>F6334*(G6334-H6334)</f>
        <v/>
      </c>
      <c r="L6334" s="62">
        <f>K6334-(F6334*I6334)</f>
        <v/>
      </c>
      <c r="M6334" s="64">
        <f>L6334/K6334</f>
        <v/>
      </c>
    </row>
    <row r="6335">
      <c r="A6335" s="58" t="inlineStr">
        <is>
          <t>RT20250609-06334</t>
        </is>
      </c>
      <c r="B6335" s="59" t="inlineStr">
        <is>
          <t>2025-06-09</t>
        </is>
      </c>
      <c r="C6335" s="60" t="inlineStr">
        <is>
          <t>Falcon Bedding S-674</t>
        </is>
      </c>
      <c r="D6335" s="58" t="inlineStr">
        <is>
          <t>Home</t>
        </is>
      </c>
      <c r="E6335" s="58" t="inlineStr">
        <is>
          <t>West</t>
        </is>
      </c>
      <c r="F6335" s="61" t="n">
        <v>3</v>
      </c>
      <c r="G6335" s="62" t="n">
        <v>607.73</v>
      </c>
      <c r="H6335" s="63" t="n">
        <v>0.043</v>
      </c>
      <c r="I6335" s="62" t="n">
        <v>462.83</v>
      </c>
      <c r="J6335" s="58" t="inlineStr">
        <is>
          <t>Online</t>
        </is>
      </c>
      <c r="K6335" s="62">
        <f>F6335*(G6335-H6335)</f>
        <v/>
      </c>
      <c r="L6335" s="62">
        <f>K6335-(F6335*I6335)</f>
        <v/>
      </c>
      <c r="M6335" s="64">
        <f>L6335/K6335</f>
        <v/>
      </c>
    </row>
    <row r="6336">
      <c r="A6336" s="58" t="inlineStr">
        <is>
          <t>RT20250609-06335</t>
        </is>
      </c>
      <c r="B6336" s="59" t="inlineStr">
        <is>
          <t>2025-06-09</t>
        </is>
      </c>
      <c r="C6336" s="60" t="inlineStr">
        <is>
          <t>Vertex Fitnes Pro-830</t>
        </is>
      </c>
      <c r="D6336" s="58" t="inlineStr">
        <is>
          <t>Sports</t>
        </is>
      </c>
      <c r="E6336" s="58" t="inlineStr">
        <is>
          <t>West</t>
        </is>
      </c>
      <c r="F6336" s="61" t="n">
        <v>2</v>
      </c>
      <c r="G6336" s="62" t="n">
        <v>690.85</v>
      </c>
      <c r="H6336" s="63" t="n">
        <v>0</v>
      </c>
      <c r="I6336" s="62" t="n">
        <v>489.2</v>
      </c>
      <c r="J6336" s="58" t="inlineStr">
        <is>
          <t>Online</t>
        </is>
      </c>
      <c r="K6336" s="62">
        <f>F6336*(G6336-H6336)</f>
        <v/>
      </c>
      <c r="L6336" s="62">
        <f>K6336-(F6336*I6336)</f>
        <v/>
      </c>
      <c r="M6336" s="64">
        <f>L6336/K6336</f>
        <v/>
      </c>
    </row>
    <row r="6337">
      <c r="A6337" s="58" t="inlineStr">
        <is>
          <t>RT20250609-06336</t>
        </is>
      </c>
      <c r="B6337" s="59" t="inlineStr">
        <is>
          <t>2025-06-09</t>
        </is>
      </c>
      <c r="C6337" s="60" t="inlineStr">
        <is>
          <t>Falcon Team Sport Lite-268</t>
        </is>
      </c>
      <c r="D6337" s="58" t="inlineStr">
        <is>
          <t>Sports</t>
        </is>
      </c>
      <c r="E6337" s="58" t="inlineStr">
        <is>
          <t>East</t>
        </is>
      </c>
      <c r="F6337" s="61" t="n">
        <v>2</v>
      </c>
      <c r="G6337" s="62" t="n">
        <v>671.3099999999999</v>
      </c>
      <c r="H6337" s="63" t="n">
        <v>0.03</v>
      </c>
      <c r="I6337" s="62" t="n">
        <v>445.26</v>
      </c>
      <c r="J6337" s="58" t="inlineStr">
        <is>
          <t>Online</t>
        </is>
      </c>
      <c r="K6337" s="62">
        <f>F6337*(G6337-H6337)</f>
        <v/>
      </c>
      <c r="L6337" s="62">
        <f>K6337-(F6337*I6337)</f>
        <v/>
      </c>
      <c r="M6337" s="64">
        <f>L6337/K6337</f>
        <v/>
      </c>
    </row>
    <row r="6338">
      <c r="A6338" s="58" t="inlineStr">
        <is>
          <t>RT20250609-06337</t>
        </is>
      </c>
      <c r="B6338" s="59" t="inlineStr">
        <is>
          <t>2025-06-09</t>
        </is>
      </c>
      <c r="C6338" s="60" t="inlineStr">
        <is>
          <t>Nimbus Laptop Max-652</t>
        </is>
      </c>
      <c r="D6338" s="58" t="inlineStr">
        <is>
          <t>Electronics</t>
        </is>
      </c>
      <c r="E6338" s="58" t="inlineStr">
        <is>
          <t>South</t>
        </is>
      </c>
      <c r="F6338" s="61" t="n">
        <v>1</v>
      </c>
      <c r="G6338" s="62" t="n">
        <v>1328.55</v>
      </c>
      <c r="H6338" s="63" t="n">
        <v>0.048</v>
      </c>
      <c r="I6338" s="62" t="n">
        <v>1046.19</v>
      </c>
      <c r="J6338" s="58" t="inlineStr">
        <is>
          <t>Store</t>
        </is>
      </c>
      <c r="K6338" s="62">
        <f>F6338*(G6338-H6338)</f>
        <v/>
      </c>
      <c r="L6338" s="62">
        <f>K6338-(F6338*I6338)</f>
        <v/>
      </c>
      <c r="M6338" s="64">
        <f>L6338/K6338</f>
        <v/>
      </c>
    </row>
    <row r="6339">
      <c r="A6339" s="58" t="inlineStr">
        <is>
          <t>RT20250609-06338</t>
        </is>
      </c>
      <c r="B6339" s="59" t="inlineStr">
        <is>
          <t>2025-06-09</t>
        </is>
      </c>
      <c r="C6339" s="60" t="inlineStr">
        <is>
          <t>Aurora Fragrance S-971</t>
        </is>
      </c>
      <c r="D6339" s="58" t="inlineStr">
        <is>
          <t>Beauty</t>
        </is>
      </c>
      <c r="E6339" s="58" t="inlineStr">
        <is>
          <t>South</t>
        </is>
      </c>
      <c r="F6339" s="61" t="n">
        <v>5</v>
      </c>
      <c r="G6339" s="62" t="n">
        <v>105.62</v>
      </c>
      <c r="H6339" s="63" t="n">
        <v>0.029</v>
      </c>
      <c r="I6339" s="62" t="n">
        <v>66.05</v>
      </c>
      <c r="J6339" s="58" t="inlineStr">
        <is>
          <t>Store</t>
        </is>
      </c>
      <c r="K6339" s="62">
        <f>F6339*(G6339-H6339)</f>
        <v/>
      </c>
      <c r="L6339" s="62">
        <f>K6339-(F6339*I6339)</f>
        <v/>
      </c>
      <c r="M6339" s="64">
        <f>L6339/K6339</f>
        <v/>
      </c>
    </row>
    <row r="6340">
      <c r="A6340" s="58" t="inlineStr">
        <is>
          <t>RT20250609-06339</t>
        </is>
      </c>
      <c r="B6340" s="59" t="inlineStr">
        <is>
          <t>2025-06-09</t>
        </is>
      </c>
      <c r="C6340" s="60" t="inlineStr">
        <is>
          <t>Aurora Wearable Lite-704</t>
        </is>
      </c>
      <c r="D6340" s="58" t="inlineStr">
        <is>
          <t>Electronics</t>
        </is>
      </c>
      <c r="E6340" s="58" t="inlineStr">
        <is>
          <t>North</t>
        </is>
      </c>
      <c r="F6340" s="61" t="n">
        <v>2</v>
      </c>
      <c r="G6340" s="62" t="n">
        <v>1972.11</v>
      </c>
      <c r="H6340" s="63" t="n">
        <v>0.08</v>
      </c>
      <c r="I6340" s="62" t="n">
        <v>1466.27</v>
      </c>
      <c r="J6340" s="58" t="inlineStr">
        <is>
          <t>Store</t>
        </is>
      </c>
      <c r="K6340" s="62">
        <f>F6340*(G6340-H6340)</f>
        <v/>
      </c>
      <c r="L6340" s="62">
        <f>K6340-(F6340*I6340)</f>
        <v/>
      </c>
      <c r="M6340" s="64">
        <f>L6340/K6340</f>
        <v/>
      </c>
    </row>
    <row r="6341">
      <c r="A6341" s="58" t="inlineStr">
        <is>
          <t>RT20250609-06340</t>
        </is>
      </c>
      <c r="B6341" s="59" t="inlineStr">
        <is>
          <t>2025-06-09</t>
        </is>
      </c>
      <c r="C6341" s="60" t="inlineStr">
        <is>
          <t>Aurora Furniture X-709</t>
        </is>
      </c>
      <c r="D6341" s="58" t="inlineStr">
        <is>
          <t>Office</t>
        </is>
      </c>
      <c r="E6341" s="58" t="inlineStr">
        <is>
          <t>East</t>
        </is>
      </c>
      <c r="F6341" s="61" t="n">
        <v>1</v>
      </c>
      <c r="G6341" s="62" t="n">
        <v>418</v>
      </c>
      <c r="H6341" s="63" t="n">
        <v>0.055</v>
      </c>
      <c r="I6341" s="62" t="n">
        <v>315.07</v>
      </c>
      <c r="J6341" s="58" t="inlineStr">
        <is>
          <t>Online</t>
        </is>
      </c>
      <c r="K6341" s="62">
        <f>F6341*(G6341-H6341)</f>
        <v/>
      </c>
      <c r="L6341" s="62">
        <f>K6341-(F6341*I6341)</f>
        <v/>
      </c>
      <c r="M6341" s="64">
        <f>L6341/K6341</f>
        <v/>
      </c>
    </row>
    <row r="6342">
      <c r="A6342" s="58" t="inlineStr">
        <is>
          <t>RT20250609-06341</t>
        </is>
      </c>
      <c r="B6342" s="59" t="inlineStr">
        <is>
          <t>2025-06-09</t>
        </is>
      </c>
      <c r="C6342" s="60" t="inlineStr">
        <is>
          <t>Vertex Fitnes Pro-830</t>
        </is>
      </c>
      <c r="D6342" s="58" t="inlineStr">
        <is>
          <t>Sports</t>
        </is>
      </c>
      <c r="E6342" s="58" t="inlineStr">
        <is>
          <t>Central</t>
        </is>
      </c>
      <c r="F6342" s="61" t="n">
        <v>1</v>
      </c>
      <c r="G6342" s="62" t="n">
        <v>760.73</v>
      </c>
      <c r="H6342" s="63" t="n">
        <v>0.053</v>
      </c>
      <c r="I6342" s="62" t="n">
        <v>486.2</v>
      </c>
      <c r="J6342" s="58" t="inlineStr">
        <is>
          <t>Phone</t>
        </is>
      </c>
      <c r="K6342" s="62">
        <f>F6342*(G6342-H6342)</f>
        <v/>
      </c>
      <c r="L6342" s="62">
        <f>K6342-(F6342*I6342)</f>
        <v/>
      </c>
      <c r="M6342" s="64">
        <f>L6342/K6342</f>
        <v/>
      </c>
    </row>
    <row r="6343">
      <c r="A6343" s="58" t="inlineStr">
        <is>
          <t>RT20250610-06342</t>
        </is>
      </c>
      <c r="B6343" s="59" t="inlineStr">
        <is>
          <t>2025-06-10</t>
        </is>
      </c>
      <c r="C6343" s="60" t="inlineStr">
        <is>
          <t>Aurora Appliance Lite-109</t>
        </is>
      </c>
      <c r="D6343" s="58" t="inlineStr">
        <is>
          <t>Home</t>
        </is>
      </c>
      <c r="E6343" s="58" t="inlineStr">
        <is>
          <t>North</t>
        </is>
      </c>
      <c r="F6343" s="61" t="n">
        <v>1</v>
      </c>
      <c r="G6343" s="62" t="n">
        <v>320.1</v>
      </c>
      <c r="H6343" s="63" t="n">
        <v>0</v>
      </c>
      <c r="I6343" s="62" t="n">
        <v>209.43</v>
      </c>
      <c r="J6343" s="58" t="inlineStr">
        <is>
          <t>Phone</t>
        </is>
      </c>
      <c r="K6343" s="62">
        <f>F6343*(G6343-H6343)</f>
        <v/>
      </c>
      <c r="L6343" s="62">
        <f>K6343-(F6343*I6343)</f>
        <v/>
      </c>
      <c r="M6343" s="64">
        <f>L6343/K6343</f>
        <v/>
      </c>
    </row>
    <row r="6344">
      <c r="A6344" s="58" t="inlineStr">
        <is>
          <t>RT20250610-06343</t>
        </is>
      </c>
      <c r="B6344" s="59" t="inlineStr">
        <is>
          <t>2025-06-10</t>
        </is>
      </c>
      <c r="C6344" s="60" t="inlineStr">
        <is>
          <t>Polar Outdoor Lite-318</t>
        </is>
      </c>
      <c r="D6344" s="58" t="inlineStr">
        <is>
          <t>Sports</t>
        </is>
      </c>
      <c r="E6344" s="58" t="inlineStr">
        <is>
          <t>East</t>
        </is>
      </c>
      <c r="F6344" s="61" t="n">
        <v>3</v>
      </c>
      <c r="G6344" s="62" t="n">
        <v>654.66</v>
      </c>
      <c r="H6344" s="63" t="n">
        <v>0.07099999999999999</v>
      </c>
      <c r="I6344" s="62" t="n">
        <v>456.97</v>
      </c>
      <c r="J6344" s="58" t="inlineStr">
        <is>
          <t>Store</t>
        </is>
      </c>
      <c r="K6344" s="62">
        <f>F6344*(G6344-H6344)</f>
        <v/>
      </c>
      <c r="L6344" s="62">
        <f>K6344-(F6344*I6344)</f>
        <v/>
      </c>
      <c r="M6344" s="64">
        <f>L6344/K6344</f>
        <v/>
      </c>
    </row>
    <row r="6345">
      <c r="A6345" s="58" t="inlineStr">
        <is>
          <t>RT20250610-06344</t>
        </is>
      </c>
      <c r="B6345" s="59" t="inlineStr">
        <is>
          <t>2025-06-10</t>
        </is>
      </c>
      <c r="C6345" s="60" t="inlineStr">
        <is>
          <t>Falcon Accessorie S-195</t>
        </is>
      </c>
      <c r="D6345" s="58" t="inlineStr">
        <is>
          <t>Apparel</t>
        </is>
      </c>
      <c r="E6345" s="58" t="inlineStr">
        <is>
          <t>South</t>
        </is>
      </c>
      <c r="F6345" s="61" t="n">
        <v>3</v>
      </c>
      <c r="G6345" s="62" t="n">
        <v>77.3</v>
      </c>
      <c r="H6345" s="63" t="n">
        <v>0.064</v>
      </c>
      <c r="I6345" s="62" t="n">
        <v>42.48</v>
      </c>
      <c r="J6345" s="58" t="inlineStr">
        <is>
          <t>Online</t>
        </is>
      </c>
      <c r="K6345" s="62">
        <f>F6345*(G6345-H6345)</f>
        <v/>
      </c>
      <c r="L6345" s="62">
        <f>K6345-(F6345*I6345)</f>
        <v/>
      </c>
      <c r="M6345" s="64">
        <f>L6345/K6345</f>
        <v/>
      </c>
    </row>
    <row r="6346">
      <c r="A6346" s="58" t="inlineStr">
        <is>
          <t>RT20250610-06345</t>
        </is>
      </c>
      <c r="B6346" s="59" t="inlineStr">
        <is>
          <t>2025-06-10</t>
        </is>
      </c>
      <c r="C6346" s="60" t="inlineStr">
        <is>
          <t>Falcon Accessorie S-195</t>
        </is>
      </c>
      <c r="D6346" s="58" t="inlineStr">
        <is>
          <t>Apparel</t>
        </is>
      </c>
      <c r="E6346" s="58" t="inlineStr">
        <is>
          <t>North</t>
        </is>
      </c>
      <c r="F6346" s="61" t="n">
        <v>2</v>
      </c>
      <c r="G6346" s="62" t="n">
        <v>81.45999999999999</v>
      </c>
      <c r="H6346" s="63" t="n">
        <v>0.047</v>
      </c>
      <c r="I6346" s="62" t="n">
        <v>41.97</v>
      </c>
      <c r="J6346" s="58" t="inlineStr">
        <is>
          <t>Store</t>
        </is>
      </c>
      <c r="K6346" s="62">
        <f>F6346*(G6346-H6346)</f>
        <v/>
      </c>
      <c r="L6346" s="62">
        <f>K6346-(F6346*I6346)</f>
        <v/>
      </c>
      <c r="M6346" s="64">
        <f>L6346/K6346</f>
        <v/>
      </c>
    </row>
    <row r="6347">
      <c r="A6347" s="58" t="inlineStr">
        <is>
          <t>RT20250610-06346</t>
        </is>
      </c>
      <c r="B6347" s="59" t="inlineStr">
        <is>
          <t>2025-06-10</t>
        </is>
      </c>
      <c r="C6347" s="60" t="inlineStr">
        <is>
          <t>Vertex Smartphone Pro-256</t>
        </is>
      </c>
      <c r="D6347" s="58" t="inlineStr">
        <is>
          <t>Electronics</t>
        </is>
      </c>
      <c r="E6347" s="58" t="inlineStr">
        <is>
          <t>North</t>
        </is>
      </c>
      <c r="F6347" s="61" t="n">
        <v>2</v>
      </c>
      <c r="G6347" s="62" t="n">
        <v>1192.91</v>
      </c>
      <c r="H6347" s="63" t="n">
        <v>0.012</v>
      </c>
      <c r="I6347" s="62" t="n">
        <v>905.97</v>
      </c>
      <c r="J6347" s="58" t="inlineStr">
        <is>
          <t>Store</t>
        </is>
      </c>
      <c r="K6347" s="62">
        <f>F6347*(G6347-H6347)</f>
        <v/>
      </c>
      <c r="L6347" s="62">
        <f>K6347-(F6347*I6347)</f>
        <v/>
      </c>
      <c r="M6347" s="64">
        <f>L6347/K6347</f>
        <v/>
      </c>
    </row>
    <row r="6348">
      <c r="A6348" s="58" t="inlineStr">
        <is>
          <t>RT20250610-06347</t>
        </is>
      </c>
      <c r="B6348" s="59" t="inlineStr">
        <is>
          <t>2025-06-10</t>
        </is>
      </c>
      <c r="C6348" s="60" t="inlineStr">
        <is>
          <t>Aurora Makeup Pro-489</t>
        </is>
      </c>
      <c r="D6348" s="58" t="inlineStr">
        <is>
          <t>Beauty</t>
        </is>
      </c>
      <c r="E6348" s="58" t="inlineStr">
        <is>
          <t>West</t>
        </is>
      </c>
      <c r="F6348" s="61" t="n">
        <v>3</v>
      </c>
      <c r="G6348" s="62" t="n">
        <v>100.73</v>
      </c>
      <c r="H6348" s="63" t="n">
        <v>0.075</v>
      </c>
      <c r="I6348" s="62" t="n">
        <v>61.92</v>
      </c>
      <c r="J6348" s="58" t="inlineStr">
        <is>
          <t>Online</t>
        </is>
      </c>
      <c r="K6348" s="62">
        <f>F6348*(G6348-H6348)</f>
        <v/>
      </c>
      <c r="L6348" s="62">
        <f>K6348-(F6348*I6348)</f>
        <v/>
      </c>
      <c r="M6348" s="64">
        <f>L6348/K6348</f>
        <v/>
      </c>
    </row>
    <row r="6349">
      <c r="A6349" s="58" t="inlineStr">
        <is>
          <t>RT20250610-06348</t>
        </is>
      </c>
      <c r="B6349" s="59" t="inlineStr">
        <is>
          <t>2025-06-10</t>
        </is>
      </c>
      <c r="C6349" s="60" t="inlineStr">
        <is>
          <t>Falcon Skincare Max-151</t>
        </is>
      </c>
      <c r="D6349" s="58" t="inlineStr">
        <is>
          <t>Beauty</t>
        </is>
      </c>
      <c r="E6349" s="58" t="inlineStr">
        <is>
          <t>West</t>
        </is>
      </c>
      <c r="F6349" s="61" t="n">
        <v>3</v>
      </c>
      <c r="G6349" s="62" t="n">
        <v>99.81</v>
      </c>
      <c r="H6349" s="63" t="n">
        <v>0.044</v>
      </c>
      <c r="I6349" s="62" t="n">
        <v>57.84</v>
      </c>
      <c r="J6349" s="58" t="inlineStr">
        <is>
          <t>Store</t>
        </is>
      </c>
      <c r="K6349" s="62">
        <f>F6349*(G6349-H6349)</f>
        <v/>
      </c>
      <c r="L6349" s="62">
        <f>K6349-(F6349*I6349)</f>
        <v/>
      </c>
      <c r="M6349" s="64">
        <f>L6349/K6349</f>
        <v/>
      </c>
    </row>
    <row r="6350">
      <c r="A6350" s="58" t="inlineStr">
        <is>
          <t>RT20250610-06349</t>
        </is>
      </c>
      <c r="B6350" s="59" t="inlineStr">
        <is>
          <t>2025-06-10</t>
        </is>
      </c>
      <c r="C6350" s="60" t="inlineStr">
        <is>
          <t>Falcon Household Pro-865</t>
        </is>
      </c>
      <c r="D6350" s="58" t="inlineStr">
        <is>
          <t>Grocery</t>
        </is>
      </c>
      <c r="E6350" s="58" t="inlineStr">
        <is>
          <t>Central</t>
        </is>
      </c>
      <c r="F6350" s="61" t="n">
        <v>7</v>
      </c>
      <c r="G6350" s="62" t="n">
        <v>10.91</v>
      </c>
      <c r="H6350" s="63" t="n">
        <v>0</v>
      </c>
      <c r="I6350" s="62" t="n">
        <v>7.76</v>
      </c>
      <c r="J6350" s="58" t="inlineStr">
        <is>
          <t>Online</t>
        </is>
      </c>
      <c r="K6350" s="62">
        <f>F6350*(G6350-H6350)</f>
        <v/>
      </c>
      <c r="L6350" s="62">
        <f>K6350-(F6350*I6350)</f>
        <v/>
      </c>
      <c r="M6350" s="64">
        <f>L6350/K6350</f>
        <v/>
      </c>
    </row>
    <row r="6351">
      <c r="A6351" s="58" t="inlineStr">
        <is>
          <t>RT20250610-06350</t>
        </is>
      </c>
      <c r="B6351" s="59" t="inlineStr">
        <is>
          <t>2025-06-10</t>
        </is>
      </c>
      <c r="C6351" s="60" t="inlineStr">
        <is>
          <t>Orion Haircare Plus-887</t>
        </is>
      </c>
      <c r="D6351" s="58" t="inlineStr">
        <is>
          <t>Beauty</t>
        </is>
      </c>
      <c r="E6351" s="58" t="inlineStr">
        <is>
          <t>South</t>
        </is>
      </c>
      <c r="F6351" s="61" t="n">
        <v>3</v>
      </c>
      <c r="G6351" s="62" t="n">
        <v>51.49</v>
      </c>
      <c r="H6351" s="63" t="n">
        <v>0.08</v>
      </c>
      <c r="I6351" s="62" t="n">
        <v>30.21</v>
      </c>
      <c r="J6351" s="58" t="inlineStr">
        <is>
          <t>Store</t>
        </is>
      </c>
      <c r="K6351" s="62">
        <f>F6351*(G6351-H6351)</f>
        <v/>
      </c>
      <c r="L6351" s="62">
        <f>K6351-(F6351*I6351)</f>
        <v/>
      </c>
      <c r="M6351" s="64">
        <f>L6351/K6351</f>
        <v/>
      </c>
    </row>
    <row r="6352">
      <c r="A6352" s="58" t="inlineStr">
        <is>
          <t>RT20250610-06351</t>
        </is>
      </c>
      <c r="B6352" s="59" t="inlineStr">
        <is>
          <t>2025-06-10</t>
        </is>
      </c>
      <c r="C6352" s="60" t="inlineStr">
        <is>
          <t>Nimbus Cycling Plus-911</t>
        </is>
      </c>
      <c r="D6352" s="58" t="inlineStr">
        <is>
          <t>Sports</t>
        </is>
      </c>
      <c r="E6352" s="58" t="inlineStr">
        <is>
          <t>Central</t>
        </is>
      </c>
      <c r="F6352" s="61" t="n">
        <v>3</v>
      </c>
      <c r="G6352" s="62" t="n">
        <v>665.79</v>
      </c>
      <c r="H6352" s="63" t="n">
        <v>0.044</v>
      </c>
      <c r="I6352" s="62" t="n">
        <v>404.58</v>
      </c>
      <c r="J6352" s="58" t="inlineStr">
        <is>
          <t>Online</t>
        </is>
      </c>
      <c r="K6352" s="62">
        <f>F6352*(G6352-H6352)</f>
        <v/>
      </c>
      <c r="L6352" s="62">
        <f>K6352-(F6352*I6352)</f>
        <v/>
      </c>
      <c r="M6352" s="64">
        <f>L6352/K6352</f>
        <v/>
      </c>
    </row>
    <row r="6353">
      <c r="A6353" s="58" t="inlineStr">
        <is>
          <t>RT20250610-06352</t>
        </is>
      </c>
      <c r="B6353" s="59" t="inlineStr">
        <is>
          <t>2025-06-10</t>
        </is>
      </c>
      <c r="C6353" s="60" t="inlineStr">
        <is>
          <t>Orion Kitchen Pro-568</t>
        </is>
      </c>
      <c r="D6353" s="58" t="inlineStr">
        <is>
          <t>Home</t>
        </is>
      </c>
      <c r="E6353" s="58" t="inlineStr">
        <is>
          <t>Central</t>
        </is>
      </c>
      <c r="F6353" s="61" t="n">
        <v>3</v>
      </c>
      <c r="G6353" s="62" t="n">
        <v>457.05</v>
      </c>
      <c r="H6353" s="63" t="n">
        <v>0.041</v>
      </c>
      <c r="I6353" s="62" t="n">
        <v>309.2</v>
      </c>
      <c r="J6353" s="58" t="inlineStr">
        <is>
          <t>Online</t>
        </is>
      </c>
      <c r="K6353" s="62">
        <f>F6353*(G6353-H6353)</f>
        <v/>
      </c>
      <c r="L6353" s="62">
        <f>K6353-(F6353*I6353)</f>
        <v/>
      </c>
      <c r="M6353" s="64">
        <f>L6353/K6353</f>
        <v/>
      </c>
    </row>
    <row r="6354">
      <c r="A6354" s="58" t="inlineStr">
        <is>
          <t>RT20250610-06353</t>
        </is>
      </c>
      <c r="B6354" s="59" t="inlineStr">
        <is>
          <t>2025-06-10</t>
        </is>
      </c>
      <c r="C6354" s="60" t="inlineStr">
        <is>
          <t>Polar Snack Pro-641</t>
        </is>
      </c>
      <c r="D6354" s="58" t="inlineStr">
        <is>
          <t>Grocery</t>
        </is>
      </c>
      <c r="E6354" s="58" t="inlineStr">
        <is>
          <t>Central</t>
        </is>
      </c>
      <c r="F6354" s="61" t="n">
        <v>4</v>
      </c>
      <c r="G6354" s="62" t="n">
        <v>12.46</v>
      </c>
      <c r="H6354" s="63" t="n">
        <v>0.013</v>
      </c>
      <c r="I6354" s="62" t="n">
        <v>9.67</v>
      </c>
      <c r="J6354" s="58" t="inlineStr">
        <is>
          <t>Online</t>
        </is>
      </c>
      <c r="K6354" s="62">
        <f>F6354*(G6354-H6354)</f>
        <v/>
      </c>
      <c r="L6354" s="62">
        <f>K6354-(F6354*I6354)</f>
        <v/>
      </c>
      <c r="M6354" s="64">
        <f>L6354/K6354</f>
        <v/>
      </c>
    </row>
    <row r="6355">
      <c r="A6355" s="58" t="inlineStr">
        <is>
          <t>RT20250610-06354</t>
        </is>
      </c>
      <c r="B6355" s="59" t="inlineStr">
        <is>
          <t>2025-06-10</t>
        </is>
      </c>
      <c r="C6355" s="60" t="inlineStr">
        <is>
          <t>Solace Snack S-691</t>
        </is>
      </c>
      <c r="D6355" s="58" t="inlineStr">
        <is>
          <t>Grocery</t>
        </is>
      </c>
      <c r="E6355" s="58" t="inlineStr">
        <is>
          <t>South</t>
        </is>
      </c>
      <c r="F6355" s="61" t="n">
        <v>7</v>
      </c>
      <c r="G6355" s="62" t="n">
        <v>10.78</v>
      </c>
      <c r="H6355" s="63" t="n">
        <v>0.06900000000000001</v>
      </c>
      <c r="I6355" s="62" t="n">
        <v>7.06</v>
      </c>
      <c r="J6355" s="58" t="inlineStr">
        <is>
          <t>Store</t>
        </is>
      </c>
      <c r="K6355" s="62">
        <f>F6355*(G6355-H6355)</f>
        <v/>
      </c>
      <c r="L6355" s="62">
        <f>K6355-(F6355*I6355)</f>
        <v/>
      </c>
      <c r="M6355" s="64">
        <f>L6355/K6355</f>
        <v/>
      </c>
    </row>
    <row r="6356">
      <c r="A6356" s="58" t="inlineStr">
        <is>
          <t>RT20250610-06355</t>
        </is>
      </c>
      <c r="B6356" s="59" t="inlineStr">
        <is>
          <t>2025-06-10</t>
        </is>
      </c>
      <c r="C6356" s="60" t="inlineStr">
        <is>
          <t>Polar Wearable X-119</t>
        </is>
      </c>
      <c r="D6356" s="58" t="inlineStr">
        <is>
          <t>Electronics</t>
        </is>
      </c>
      <c r="E6356" s="58" t="inlineStr">
        <is>
          <t>East</t>
        </is>
      </c>
      <c r="F6356" s="61" t="n">
        <v>2</v>
      </c>
      <c r="G6356" s="62" t="n">
        <v>1834.85</v>
      </c>
      <c r="H6356" s="63" t="n">
        <v>0.077</v>
      </c>
      <c r="I6356" s="62" t="n">
        <v>1310.47</v>
      </c>
      <c r="J6356" s="58" t="inlineStr">
        <is>
          <t>Store</t>
        </is>
      </c>
      <c r="K6356" s="62">
        <f>F6356*(G6356-H6356)</f>
        <v/>
      </c>
      <c r="L6356" s="62">
        <f>K6356-(F6356*I6356)</f>
        <v/>
      </c>
      <c r="M6356" s="64">
        <f>L6356/K6356</f>
        <v/>
      </c>
    </row>
    <row r="6357">
      <c r="A6357" s="58" t="inlineStr">
        <is>
          <t>RT20250610-06356</t>
        </is>
      </c>
      <c r="B6357" s="59" t="inlineStr">
        <is>
          <t>2025-06-10</t>
        </is>
      </c>
      <c r="C6357" s="60" t="inlineStr">
        <is>
          <t>Falcon Haircare Pro-980</t>
        </is>
      </c>
      <c r="D6357" s="58" t="inlineStr">
        <is>
          <t>Beauty</t>
        </is>
      </c>
      <c r="E6357" s="58" t="inlineStr">
        <is>
          <t>South</t>
        </is>
      </c>
      <c r="F6357" s="61" t="n">
        <v>2</v>
      </c>
      <c r="G6357" s="62" t="n">
        <v>97.16</v>
      </c>
      <c r="H6357" s="63" t="n">
        <v>0.037</v>
      </c>
      <c r="I6357" s="62" t="n">
        <v>58.56</v>
      </c>
      <c r="J6357" s="58" t="inlineStr">
        <is>
          <t>Store</t>
        </is>
      </c>
      <c r="K6357" s="62">
        <f>F6357*(G6357-H6357)</f>
        <v/>
      </c>
      <c r="L6357" s="62">
        <f>K6357-(F6357*I6357)</f>
        <v/>
      </c>
      <c r="M6357" s="64">
        <f>L6357/K6357</f>
        <v/>
      </c>
    </row>
    <row r="6358">
      <c r="A6358" s="58" t="inlineStr">
        <is>
          <t>RT20250610-06357</t>
        </is>
      </c>
      <c r="B6358" s="59" t="inlineStr">
        <is>
          <t>2025-06-10</t>
        </is>
      </c>
      <c r="C6358" s="60" t="inlineStr">
        <is>
          <t>Nimbus Decor Lite-385</t>
        </is>
      </c>
      <c r="D6358" s="58" t="inlineStr">
        <is>
          <t>Home</t>
        </is>
      </c>
      <c r="E6358" s="58" t="inlineStr">
        <is>
          <t>West</t>
        </is>
      </c>
      <c r="F6358" s="61" t="n">
        <v>1</v>
      </c>
      <c r="G6358" s="62" t="n">
        <v>676.72</v>
      </c>
      <c r="H6358" s="63" t="n">
        <v>0.09</v>
      </c>
      <c r="I6358" s="62" t="n">
        <v>402.34</v>
      </c>
      <c r="J6358" s="58" t="inlineStr">
        <is>
          <t>Phone</t>
        </is>
      </c>
      <c r="K6358" s="62">
        <f>F6358*(G6358-H6358)</f>
        <v/>
      </c>
      <c r="L6358" s="62">
        <f>K6358-(F6358*I6358)</f>
        <v/>
      </c>
      <c r="M6358" s="64">
        <f>L6358/K6358</f>
        <v/>
      </c>
    </row>
    <row r="6359">
      <c r="A6359" s="58" t="inlineStr">
        <is>
          <t>RT20250610-06358</t>
        </is>
      </c>
      <c r="B6359" s="59" t="inlineStr">
        <is>
          <t>2025-06-10</t>
        </is>
      </c>
      <c r="C6359" s="60" t="inlineStr">
        <is>
          <t>Orion Haircare Plus-887</t>
        </is>
      </c>
      <c r="D6359" s="58" t="inlineStr">
        <is>
          <t>Beauty</t>
        </is>
      </c>
      <c r="E6359" s="58" t="inlineStr">
        <is>
          <t>East</t>
        </is>
      </c>
      <c r="F6359" s="61" t="n">
        <v>1</v>
      </c>
      <c r="G6359" s="62" t="n">
        <v>51.48</v>
      </c>
      <c r="H6359" s="63" t="n">
        <v>0.052</v>
      </c>
      <c r="I6359" s="62" t="n">
        <v>31.44</v>
      </c>
      <c r="J6359" s="58" t="inlineStr">
        <is>
          <t>Online</t>
        </is>
      </c>
      <c r="K6359" s="62">
        <f>F6359*(G6359-H6359)</f>
        <v/>
      </c>
      <c r="L6359" s="62">
        <f>K6359-(F6359*I6359)</f>
        <v/>
      </c>
      <c r="M6359" s="64">
        <f>L6359/K6359</f>
        <v/>
      </c>
    </row>
    <row r="6360">
      <c r="A6360" s="58" t="inlineStr">
        <is>
          <t>RT20250610-06359</t>
        </is>
      </c>
      <c r="B6360" s="59" t="inlineStr">
        <is>
          <t>2025-06-10</t>
        </is>
      </c>
      <c r="C6360" s="60" t="inlineStr">
        <is>
          <t>Polar Bedding Lite-243</t>
        </is>
      </c>
      <c r="D6360" s="58" t="inlineStr">
        <is>
          <t>Home</t>
        </is>
      </c>
      <c r="E6360" s="58" t="inlineStr">
        <is>
          <t>East</t>
        </is>
      </c>
      <c r="F6360" s="61" t="n">
        <v>2</v>
      </c>
      <c r="G6360" s="62" t="n">
        <v>462.59</v>
      </c>
      <c r="H6360" s="63" t="n">
        <v>0.105</v>
      </c>
      <c r="I6360" s="62" t="n">
        <v>326.58</v>
      </c>
      <c r="J6360" s="58" t="inlineStr">
        <is>
          <t>Store</t>
        </is>
      </c>
      <c r="K6360" s="62">
        <f>F6360*(G6360-H6360)</f>
        <v/>
      </c>
      <c r="L6360" s="62">
        <f>K6360-(F6360*I6360)</f>
        <v/>
      </c>
      <c r="M6360" s="64">
        <f>L6360/K6360</f>
        <v/>
      </c>
    </row>
    <row r="6361">
      <c r="A6361" s="58" t="inlineStr">
        <is>
          <t>RT20250610-06360</t>
        </is>
      </c>
      <c r="B6361" s="59" t="inlineStr">
        <is>
          <t>2025-06-10</t>
        </is>
      </c>
      <c r="C6361" s="60" t="inlineStr">
        <is>
          <t>Aurora Wearable Lite-704</t>
        </is>
      </c>
      <c r="D6361" s="58" t="inlineStr">
        <is>
          <t>Electronics</t>
        </is>
      </c>
      <c r="E6361" s="58" t="inlineStr">
        <is>
          <t>Central</t>
        </is>
      </c>
      <c r="F6361" s="61" t="n">
        <v>1</v>
      </c>
      <c r="G6361" s="62" t="n">
        <v>1878.13</v>
      </c>
      <c r="H6361" s="63" t="n">
        <v>0.08599999999999999</v>
      </c>
      <c r="I6361" s="62" t="n">
        <v>1436.6</v>
      </c>
      <c r="J6361" s="58" t="inlineStr">
        <is>
          <t>Online</t>
        </is>
      </c>
      <c r="K6361" s="62">
        <f>F6361*(G6361-H6361)</f>
        <v/>
      </c>
      <c r="L6361" s="62">
        <f>K6361-(F6361*I6361)</f>
        <v/>
      </c>
      <c r="M6361" s="64">
        <f>L6361/K6361</f>
        <v/>
      </c>
    </row>
    <row r="6362">
      <c r="A6362" s="58" t="inlineStr">
        <is>
          <t>RT20250610-06361</t>
        </is>
      </c>
      <c r="B6362" s="59" t="inlineStr">
        <is>
          <t>2025-06-10</t>
        </is>
      </c>
      <c r="C6362" s="60" t="inlineStr">
        <is>
          <t>Metro Pantry Max-180</t>
        </is>
      </c>
      <c r="D6362" s="58" t="inlineStr">
        <is>
          <t>Grocery</t>
        </is>
      </c>
      <c r="E6362" s="58" t="inlineStr">
        <is>
          <t>Central</t>
        </is>
      </c>
      <c r="F6362" s="61" t="n">
        <v>2</v>
      </c>
      <c r="G6362" s="62" t="n">
        <v>8.859999999999999</v>
      </c>
      <c r="H6362" s="63" t="n">
        <v>0.099</v>
      </c>
      <c r="I6362" s="62" t="n">
        <v>6.63</v>
      </c>
      <c r="J6362" s="58" t="inlineStr">
        <is>
          <t>Store</t>
        </is>
      </c>
      <c r="K6362" s="62">
        <f>F6362*(G6362-H6362)</f>
        <v/>
      </c>
      <c r="L6362" s="62">
        <f>K6362-(F6362*I6362)</f>
        <v/>
      </c>
      <c r="M6362" s="64">
        <f>L6362/K6362</f>
        <v/>
      </c>
    </row>
    <row r="6363">
      <c r="A6363" s="58" t="inlineStr">
        <is>
          <t>RT20250610-06362</t>
        </is>
      </c>
      <c r="B6363" s="59" t="inlineStr">
        <is>
          <t>2025-06-10</t>
        </is>
      </c>
      <c r="C6363" s="60" t="inlineStr">
        <is>
          <t>Orion Snack X-322</t>
        </is>
      </c>
      <c r="D6363" s="58" t="inlineStr">
        <is>
          <t>Grocery</t>
        </is>
      </c>
      <c r="E6363" s="58" t="inlineStr">
        <is>
          <t>South</t>
        </is>
      </c>
      <c r="F6363" s="61" t="n">
        <v>5</v>
      </c>
      <c r="G6363" s="62" t="n">
        <v>13.56</v>
      </c>
      <c r="H6363" s="63" t="n">
        <v>0.029</v>
      </c>
      <c r="I6363" s="62" t="n">
        <v>10.39</v>
      </c>
      <c r="J6363" s="58" t="inlineStr">
        <is>
          <t>Online</t>
        </is>
      </c>
      <c r="K6363" s="62">
        <f>F6363*(G6363-H6363)</f>
        <v/>
      </c>
      <c r="L6363" s="62">
        <f>K6363-(F6363*I6363)</f>
        <v/>
      </c>
      <c r="M6363" s="64">
        <f>L6363/K6363</f>
        <v/>
      </c>
    </row>
    <row r="6364">
      <c r="A6364" s="58" t="inlineStr">
        <is>
          <t>RT20250610-06363</t>
        </is>
      </c>
      <c r="B6364" s="59" t="inlineStr">
        <is>
          <t>2025-06-10</t>
        </is>
      </c>
      <c r="C6364" s="60" t="inlineStr">
        <is>
          <t>Polar Bedding Lite-243</t>
        </is>
      </c>
      <c r="D6364" s="58" t="inlineStr">
        <is>
          <t>Home</t>
        </is>
      </c>
      <c r="E6364" s="58" t="inlineStr">
        <is>
          <t>South</t>
        </is>
      </c>
      <c r="F6364" s="61" t="n">
        <v>3</v>
      </c>
      <c r="G6364" s="62" t="n">
        <v>576.8</v>
      </c>
      <c r="H6364" s="63" t="n">
        <v>0.051</v>
      </c>
      <c r="I6364" s="62" t="n">
        <v>325.06</v>
      </c>
      <c r="J6364" s="58" t="inlineStr">
        <is>
          <t>Phone</t>
        </is>
      </c>
      <c r="K6364" s="62">
        <f>F6364*(G6364-H6364)</f>
        <v/>
      </c>
      <c r="L6364" s="62">
        <f>K6364-(F6364*I6364)</f>
        <v/>
      </c>
      <c r="M6364" s="64">
        <f>L6364/K6364</f>
        <v/>
      </c>
    </row>
    <row r="6365">
      <c r="A6365" s="58" t="inlineStr">
        <is>
          <t>RT20250610-06364</t>
        </is>
      </c>
      <c r="B6365" s="59" t="inlineStr">
        <is>
          <t>2025-06-10</t>
        </is>
      </c>
      <c r="C6365" s="60" t="inlineStr">
        <is>
          <t>Aurora Printer Plus-723</t>
        </is>
      </c>
      <c r="D6365" s="58" t="inlineStr">
        <is>
          <t>Office</t>
        </is>
      </c>
      <c r="E6365" s="58" t="inlineStr">
        <is>
          <t>East</t>
        </is>
      </c>
      <c r="F6365" s="61" t="n">
        <v>3</v>
      </c>
      <c r="G6365" s="62" t="n">
        <v>270.5</v>
      </c>
      <c r="H6365" s="63" t="n">
        <v>0.032</v>
      </c>
      <c r="I6365" s="62" t="n">
        <v>186.21</v>
      </c>
      <c r="J6365" s="58" t="inlineStr">
        <is>
          <t>Online</t>
        </is>
      </c>
      <c r="K6365" s="62">
        <f>F6365*(G6365-H6365)</f>
        <v/>
      </c>
      <c r="L6365" s="62">
        <f>K6365-(F6365*I6365)</f>
        <v/>
      </c>
      <c r="M6365" s="64">
        <f>L6365/K6365</f>
        <v/>
      </c>
    </row>
    <row r="6366">
      <c r="A6366" s="58" t="inlineStr">
        <is>
          <t>RT20250610-06365</t>
        </is>
      </c>
      <c r="B6366" s="59" t="inlineStr">
        <is>
          <t>2025-06-10</t>
        </is>
      </c>
      <c r="C6366" s="60" t="inlineStr">
        <is>
          <t>Falcon Household Pro-865</t>
        </is>
      </c>
      <c r="D6366" s="58" t="inlineStr">
        <is>
          <t>Grocery</t>
        </is>
      </c>
      <c r="E6366" s="58" t="inlineStr">
        <is>
          <t>Central</t>
        </is>
      </c>
      <c r="F6366" s="61" t="n">
        <v>2</v>
      </c>
      <c r="G6366" s="62" t="n">
        <v>10.63</v>
      </c>
      <c r="H6366" s="63" t="n">
        <v>0.06900000000000001</v>
      </c>
      <c r="I6366" s="62" t="n">
        <v>7.69</v>
      </c>
      <c r="J6366" s="58" t="inlineStr">
        <is>
          <t>Store</t>
        </is>
      </c>
      <c r="K6366" s="62">
        <f>F6366*(G6366-H6366)</f>
        <v/>
      </c>
      <c r="L6366" s="62">
        <f>K6366-(F6366*I6366)</f>
        <v/>
      </c>
      <c r="M6366" s="64">
        <f>L6366/K6366</f>
        <v/>
      </c>
    </row>
    <row r="6367">
      <c r="A6367" s="58" t="inlineStr">
        <is>
          <t>RT20250610-06366</t>
        </is>
      </c>
      <c r="B6367" s="59" t="inlineStr">
        <is>
          <t>2025-06-10</t>
        </is>
      </c>
      <c r="C6367" s="60" t="inlineStr">
        <is>
          <t>Orion Fragrance Lite-785</t>
        </is>
      </c>
      <c r="D6367" s="58" t="inlineStr">
        <is>
          <t>Beauty</t>
        </is>
      </c>
      <c r="E6367" s="58" t="inlineStr">
        <is>
          <t>South</t>
        </is>
      </c>
      <c r="F6367" s="61" t="n">
        <v>5</v>
      </c>
      <c r="G6367" s="62" t="n">
        <v>48.16</v>
      </c>
      <c r="H6367" s="63" t="n">
        <v>0.078</v>
      </c>
      <c r="I6367" s="62" t="n">
        <v>27.58</v>
      </c>
      <c r="J6367" s="58" t="inlineStr">
        <is>
          <t>Store</t>
        </is>
      </c>
      <c r="K6367" s="62">
        <f>F6367*(G6367-H6367)</f>
        <v/>
      </c>
      <c r="L6367" s="62">
        <f>K6367-(F6367*I6367)</f>
        <v/>
      </c>
      <c r="M6367" s="64">
        <f>L6367/K6367</f>
        <v/>
      </c>
    </row>
    <row r="6368">
      <c r="A6368" s="58" t="inlineStr">
        <is>
          <t>RT20250610-06367</t>
        </is>
      </c>
      <c r="B6368" s="59" t="inlineStr">
        <is>
          <t>2025-06-10</t>
        </is>
      </c>
      <c r="C6368" s="60" t="inlineStr">
        <is>
          <t>Nimbus Storage Plus-646</t>
        </is>
      </c>
      <c r="D6368" s="58" t="inlineStr">
        <is>
          <t>Office</t>
        </is>
      </c>
      <c r="E6368" s="58" t="inlineStr">
        <is>
          <t>South</t>
        </is>
      </c>
      <c r="F6368" s="61" t="n">
        <v>2</v>
      </c>
      <c r="G6368" s="62" t="n">
        <v>454.13</v>
      </c>
      <c r="H6368" s="63" t="n">
        <v>0.035</v>
      </c>
      <c r="I6368" s="62" t="n">
        <v>321.07</v>
      </c>
      <c r="J6368" s="58" t="inlineStr">
        <is>
          <t>Store</t>
        </is>
      </c>
      <c r="K6368" s="62">
        <f>F6368*(G6368-H6368)</f>
        <v/>
      </c>
      <c r="L6368" s="62">
        <f>K6368-(F6368*I6368)</f>
        <v/>
      </c>
      <c r="M6368" s="64">
        <f>L6368/K6368</f>
        <v/>
      </c>
    </row>
    <row r="6369">
      <c r="A6369" s="58" t="inlineStr">
        <is>
          <t>RT20250610-06368</t>
        </is>
      </c>
      <c r="B6369" s="59" t="inlineStr">
        <is>
          <t>2025-06-10</t>
        </is>
      </c>
      <c r="C6369" s="60" t="inlineStr">
        <is>
          <t>Aurora Appliance Max-316</t>
        </is>
      </c>
      <c r="D6369" s="58" t="inlineStr">
        <is>
          <t>Home</t>
        </is>
      </c>
      <c r="E6369" s="58" t="inlineStr">
        <is>
          <t>South</t>
        </is>
      </c>
      <c r="F6369" s="61" t="n">
        <v>1</v>
      </c>
      <c r="G6369" s="62" t="n">
        <v>350.57</v>
      </c>
      <c r="H6369" s="63" t="n">
        <v>0.039</v>
      </c>
      <c r="I6369" s="62" t="n">
        <v>209.36</v>
      </c>
      <c r="J6369" s="58" t="inlineStr">
        <is>
          <t>Online</t>
        </is>
      </c>
      <c r="K6369" s="62">
        <f>F6369*(G6369-H6369)</f>
        <v/>
      </c>
      <c r="L6369" s="62">
        <f>K6369-(F6369*I6369)</f>
        <v/>
      </c>
      <c r="M6369" s="64">
        <f>L6369/K6369</f>
        <v/>
      </c>
    </row>
    <row r="6370">
      <c r="A6370" s="58" t="inlineStr">
        <is>
          <t>RT20250610-06369</t>
        </is>
      </c>
      <c r="B6370" s="59" t="inlineStr">
        <is>
          <t>2025-06-10</t>
        </is>
      </c>
      <c r="C6370" s="60" t="inlineStr">
        <is>
          <t>Solace Headphone Pro-344</t>
        </is>
      </c>
      <c r="D6370" s="58" t="inlineStr">
        <is>
          <t>Electronics</t>
        </is>
      </c>
      <c r="E6370" s="58" t="inlineStr">
        <is>
          <t>South</t>
        </is>
      </c>
      <c r="F6370" s="61" t="n">
        <v>2</v>
      </c>
      <c r="G6370" s="62" t="n">
        <v>1280.25</v>
      </c>
      <c r="H6370" s="63" t="n">
        <v>0.042</v>
      </c>
      <c r="I6370" s="62" t="n">
        <v>1088.29</v>
      </c>
      <c r="J6370" s="58" t="inlineStr">
        <is>
          <t>Store</t>
        </is>
      </c>
      <c r="K6370" s="62">
        <f>F6370*(G6370-H6370)</f>
        <v/>
      </c>
      <c r="L6370" s="62">
        <f>K6370-(F6370*I6370)</f>
        <v/>
      </c>
      <c r="M6370" s="64">
        <f>L6370/K6370</f>
        <v/>
      </c>
    </row>
    <row r="6371">
      <c r="A6371" s="58" t="inlineStr">
        <is>
          <t>RT20250610-06370</t>
        </is>
      </c>
      <c r="B6371" s="59" t="inlineStr">
        <is>
          <t>2025-06-10</t>
        </is>
      </c>
      <c r="C6371" s="60" t="inlineStr">
        <is>
          <t>Solace Headphone Pro-344</t>
        </is>
      </c>
      <c r="D6371" s="58" t="inlineStr">
        <is>
          <t>Electronics</t>
        </is>
      </c>
      <c r="E6371" s="58" t="inlineStr">
        <is>
          <t>South</t>
        </is>
      </c>
      <c r="F6371" s="61" t="n">
        <v>2</v>
      </c>
      <c r="G6371" s="62" t="n">
        <v>1208.78</v>
      </c>
      <c r="H6371" s="63" t="n">
        <v>0.06900000000000001</v>
      </c>
      <c r="I6371" s="62" t="n">
        <v>1075.07</v>
      </c>
      <c r="J6371" s="58" t="inlineStr">
        <is>
          <t>Online</t>
        </is>
      </c>
      <c r="K6371" s="62">
        <f>F6371*(G6371-H6371)</f>
        <v/>
      </c>
      <c r="L6371" s="62">
        <f>K6371-(F6371*I6371)</f>
        <v/>
      </c>
      <c r="M6371" s="64">
        <f>L6371/K6371</f>
        <v/>
      </c>
    </row>
    <row r="6372">
      <c r="A6372" s="58" t="inlineStr">
        <is>
          <t>RT20250610-06371</t>
        </is>
      </c>
      <c r="B6372" s="59" t="inlineStr">
        <is>
          <t>2025-06-10</t>
        </is>
      </c>
      <c r="C6372" s="60" t="inlineStr">
        <is>
          <t>Metro Decor Lite-325</t>
        </is>
      </c>
      <c r="D6372" s="58" t="inlineStr">
        <is>
          <t>Home</t>
        </is>
      </c>
      <c r="E6372" s="58" t="inlineStr">
        <is>
          <t>Central</t>
        </is>
      </c>
      <c r="F6372" s="61" t="n">
        <v>3</v>
      </c>
      <c r="G6372" s="62" t="n">
        <v>566.59</v>
      </c>
      <c r="H6372" s="63" t="n">
        <v>0.063</v>
      </c>
      <c r="I6372" s="62" t="n">
        <v>383.38</v>
      </c>
      <c r="J6372" s="58" t="inlineStr">
        <is>
          <t>Store</t>
        </is>
      </c>
      <c r="K6372" s="62">
        <f>F6372*(G6372-H6372)</f>
        <v/>
      </c>
      <c r="L6372" s="62">
        <f>K6372-(F6372*I6372)</f>
        <v/>
      </c>
      <c r="M6372" s="64">
        <f>L6372/K6372</f>
        <v/>
      </c>
    </row>
    <row r="6373">
      <c r="A6373" s="58" t="inlineStr">
        <is>
          <t>RT20250610-06372</t>
        </is>
      </c>
      <c r="B6373" s="59" t="inlineStr">
        <is>
          <t>2025-06-10</t>
        </is>
      </c>
      <c r="C6373" s="60" t="inlineStr">
        <is>
          <t>Falcon Headphone Plus-789</t>
        </is>
      </c>
      <c r="D6373" s="58" t="inlineStr">
        <is>
          <t>Electronics</t>
        </is>
      </c>
      <c r="E6373" s="58" t="inlineStr">
        <is>
          <t>East</t>
        </is>
      </c>
      <c r="F6373" s="61" t="n">
        <v>1</v>
      </c>
      <c r="G6373" s="62" t="n">
        <v>1606.56</v>
      </c>
      <c r="H6373" s="63" t="n">
        <v>0.043</v>
      </c>
      <c r="I6373" s="62" t="n">
        <v>1328.49</v>
      </c>
      <c r="J6373" s="58" t="inlineStr">
        <is>
          <t>Online</t>
        </is>
      </c>
      <c r="K6373" s="62">
        <f>F6373*(G6373-H6373)</f>
        <v/>
      </c>
      <c r="L6373" s="62">
        <f>K6373-(F6373*I6373)</f>
        <v/>
      </c>
      <c r="M6373" s="64">
        <f>L6373/K6373</f>
        <v/>
      </c>
    </row>
    <row r="6374">
      <c r="A6374" s="58" t="inlineStr">
        <is>
          <t>RT20250610-06373</t>
        </is>
      </c>
      <c r="B6374" s="59" t="inlineStr">
        <is>
          <t>2025-06-10</t>
        </is>
      </c>
      <c r="C6374" s="60" t="inlineStr">
        <is>
          <t>Vertex Appliance S-296</t>
        </is>
      </c>
      <c r="D6374" s="58" t="inlineStr">
        <is>
          <t>Home</t>
        </is>
      </c>
      <c r="E6374" s="58" t="inlineStr">
        <is>
          <t>South</t>
        </is>
      </c>
      <c r="F6374" s="61" t="n">
        <v>1</v>
      </c>
      <c r="G6374" s="62" t="n">
        <v>560.49</v>
      </c>
      <c r="H6374" s="63" t="n">
        <v>0.02</v>
      </c>
      <c r="I6374" s="62" t="n">
        <v>363.15</v>
      </c>
      <c r="J6374" s="58" t="inlineStr">
        <is>
          <t>Store</t>
        </is>
      </c>
      <c r="K6374" s="62">
        <f>F6374*(G6374-H6374)</f>
        <v/>
      </c>
      <c r="L6374" s="62">
        <f>K6374-(F6374*I6374)</f>
        <v/>
      </c>
      <c r="M6374" s="64">
        <f>L6374/K6374</f>
        <v/>
      </c>
    </row>
    <row r="6375">
      <c r="A6375" s="58" t="inlineStr">
        <is>
          <t>RT20250610-06374</t>
        </is>
      </c>
      <c r="B6375" s="59" t="inlineStr">
        <is>
          <t>2025-06-10</t>
        </is>
      </c>
      <c r="C6375" s="60" t="inlineStr">
        <is>
          <t>Vertex Snack S-702</t>
        </is>
      </c>
      <c r="D6375" s="58" t="inlineStr">
        <is>
          <t>Grocery</t>
        </is>
      </c>
      <c r="E6375" s="58" t="inlineStr">
        <is>
          <t>Central</t>
        </is>
      </c>
      <c r="F6375" s="61" t="n">
        <v>4</v>
      </c>
      <c r="G6375" s="62" t="n">
        <v>1.81</v>
      </c>
      <c r="H6375" s="63" t="n">
        <v>0.097</v>
      </c>
      <c r="I6375" s="62" t="n">
        <v>1.49</v>
      </c>
      <c r="J6375" s="58" t="inlineStr">
        <is>
          <t>Store</t>
        </is>
      </c>
      <c r="K6375" s="62">
        <f>F6375*(G6375-H6375)</f>
        <v/>
      </c>
      <c r="L6375" s="62">
        <f>K6375-(F6375*I6375)</f>
        <v/>
      </c>
      <c r="M6375" s="64">
        <f>L6375/K6375</f>
        <v/>
      </c>
    </row>
    <row r="6376">
      <c r="A6376" s="58" t="inlineStr">
        <is>
          <t>RT20250610-06375</t>
        </is>
      </c>
      <c r="B6376" s="59" t="inlineStr">
        <is>
          <t>2025-06-10</t>
        </is>
      </c>
      <c r="C6376" s="60" t="inlineStr">
        <is>
          <t>Nimbus Fitnes Lite-516</t>
        </is>
      </c>
      <c r="D6376" s="58" t="inlineStr">
        <is>
          <t>Sports</t>
        </is>
      </c>
      <c r="E6376" s="58" t="inlineStr">
        <is>
          <t>West</t>
        </is>
      </c>
      <c r="F6376" s="61" t="n">
        <v>3</v>
      </c>
      <c r="G6376" s="62" t="n">
        <v>681.11</v>
      </c>
      <c r="H6376" s="63" t="n">
        <v>0.048</v>
      </c>
      <c r="I6376" s="62" t="n">
        <v>479.25</v>
      </c>
      <c r="J6376" s="58" t="inlineStr">
        <is>
          <t>Online</t>
        </is>
      </c>
      <c r="K6376" s="62">
        <f>F6376*(G6376-H6376)</f>
        <v/>
      </c>
      <c r="L6376" s="62">
        <f>K6376-(F6376*I6376)</f>
        <v/>
      </c>
      <c r="M6376" s="64">
        <f>L6376/K6376</f>
        <v/>
      </c>
    </row>
    <row r="6377">
      <c r="A6377" s="58" t="inlineStr">
        <is>
          <t>RT20250610-06376</t>
        </is>
      </c>
      <c r="B6377" s="59" t="inlineStr">
        <is>
          <t>2025-06-10</t>
        </is>
      </c>
      <c r="C6377" s="60" t="inlineStr">
        <is>
          <t>Polar Wearable X-119</t>
        </is>
      </c>
      <c r="D6377" s="58" t="inlineStr">
        <is>
          <t>Electronics</t>
        </is>
      </c>
      <c r="E6377" s="58" t="inlineStr">
        <is>
          <t>South</t>
        </is>
      </c>
      <c r="F6377" s="61" t="n">
        <v>2</v>
      </c>
      <c r="G6377" s="62" t="n">
        <v>1718.16</v>
      </c>
      <c r="H6377" s="63" t="n">
        <v>0.044</v>
      </c>
      <c r="I6377" s="62" t="n">
        <v>1338.76</v>
      </c>
      <c r="J6377" s="58" t="inlineStr">
        <is>
          <t>Online</t>
        </is>
      </c>
      <c r="K6377" s="62">
        <f>F6377*(G6377-H6377)</f>
        <v/>
      </c>
      <c r="L6377" s="62">
        <f>K6377-(F6377*I6377)</f>
        <v/>
      </c>
      <c r="M6377" s="64">
        <f>L6377/K6377</f>
        <v/>
      </c>
    </row>
    <row r="6378">
      <c r="A6378" s="58" t="inlineStr">
        <is>
          <t>RT20250610-06377</t>
        </is>
      </c>
      <c r="B6378" s="59" t="inlineStr">
        <is>
          <t>2025-06-10</t>
        </is>
      </c>
      <c r="C6378" s="60" t="inlineStr">
        <is>
          <t>Polar Fragrance Pro-750</t>
        </is>
      </c>
      <c r="D6378" s="58" t="inlineStr">
        <is>
          <t>Beauty</t>
        </is>
      </c>
      <c r="E6378" s="58" t="inlineStr">
        <is>
          <t>South</t>
        </is>
      </c>
      <c r="F6378" s="61" t="n">
        <v>2</v>
      </c>
      <c r="G6378" s="62" t="n">
        <v>64.59999999999999</v>
      </c>
      <c r="H6378" s="63" t="n">
        <v>0.018</v>
      </c>
      <c r="I6378" s="62" t="n">
        <v>36.63</v>
      </c>
      <c r="J6378" s="58" t="inlineStr">
        <is>
          <t>Online</t>
        </is>
      </c>
      <c r="K6378" s="62">
        <f>F6378*(G6378-H6378)</f>
        <v/>
      </c>
      <c r="L6378" s="62">
        <f>K6378-(F6378*I6378)</f>
        <v/>
      </c>
      <c r="M6378" s="64">
        <f>L6378/K6378</f>
        <v/>
      </c>
    </row>
    <row r="6379">
      <c r="A6379" s="58" t="inlineStr">
        <is>
          <t>RT20250610-06378</t>
        </is>
      </c>
      <c r="B6379" s="59" t="inlineStr">
        <is>
          <t>2025-06-10</t>
        </is>
      </c>
      <c r="C6379" s="60" t="inlineStr">
        <is>
          <t>Nimbus Cycling Plus-911</t>
        </is>
      </c>
      <c r="D6379" s="58" t="inlineStr">
        <is>
          <t>Sports</t>
        </is>
      </c>
      <c r="E6379" s="58" t="inlineStr">
        <is>
          <t>North</t>
        </is>
      </c>
      <c r="F6379" s="61" t="n">
        <v>2</v>
      </c>
      <c r="G6379" s="62" t="n">
        <v>560.12</v>
      </c>
      <c r="H6379" s="63" t="n">
        <v>0.065</v>
      </c>
      <c r="I6379" s="62" t="n">
        <v>406.47</v>
      </c>
      <c r="J6379" s="58" t="inlineStr">
        <is>
          <t>Online</t>
        </is>
      </c>
      <c r="K6379" s="62">
        <f>F6379*(G6379-H6379)</f>
        <v/>
      </c>
      <c r="L6379" s="62">
        <f>K6379-(F6379*I6379)</f>
        <v/>
      </c>
      <c r="M6379" s="64">
        <f>L6379/K6379</f>
        <v/>
      </c>
    </row>
    <row r="6380">
      <c r="A6380" s="58" t="inlineStr">
        <is>
          <t>RT20250610-06379</t>
        </is>
      </c>
      <c r="B6380" s="59" t="inlineStr">
        <is>
          <t>2025-06-10</t>
        </is>
      </c>
      <c r="C6380" s="60" t="inlineStr">
        <is>
          <t>Aurora Haircare S-975</t>
        </is>
      </c>
      <c r="D6380" s="58" t="inlineStr">
        <is>
          <t>Beauty</t>
        </is>
      </c>
      <c r="E6380" s="58" t="inlineStr">
        <is>
          <t>West</t>
        </is>
      </c>
      <c r="F6380" s="61" t="n">
        <v>1</v>
      </c>
      <c r="G6380" s="62" t="n">
        <v>89.19</v>
      </c>
      <c r="H6380" s="63" t="n">
        <v>0.034</v>
      </c>
      <c r="I6380" s="62" t="n">
        <v>58.34</v>
      </c>
      <c r="J6380" s="58" t="inlineStr">
        <is>
          <t>Online</t>
        </is>
      </c>
      <c r="K6380" s="62">
        <f>F6380*(G6380-H6380)</f>
        <v/>
      </c>
      <c r="L6380" s="62">
        <f>K6380-(F6380*I6380)</f>
        <v/>
      </c>
      <c r="M6380" s="64">
        <f>L6380/K6380</f>
        <v/>
      </c>
    </row>
    <row r="6381">
      <c r="A6381" s="58" t="inlineStr">
        <is>
          <t>RT20250610-06380</t>
        </is>
      </c>
      <c r="B6381" s="59" t="inlineStr">
        <is>
          <t>2025-06-10</t>
        </is>
      </c>
      <c r="C6381" s="60" t="inlineStr">
        <is>
          <t>Aurora Outdoor Pro-467</t>
        </is>
      </c>
      <c r="D6381" s="58" t="inlineStr">
        <is>
          <t>Sports</t>
        </is>
      </c>
      <c r="E6381" s="58" t="inlineStr">
        <is>
          <t>North</t>
        </is>
      </c>
      <c r="F6381" s="61" t="n">
        <v>1</v>
      </c>
      <c r="G6381" s="62" t="n">
        <v>260.92</v>
      </c>
      <c r="H6381" s="63" t="n">
        <v>0.045</v>
      </c>
      <c r="I6381" s="62" t="n">
        <v>187.2</v>
      </c>
      <c r="J6381" s="58" t="inlineStr">
        <is>
          <t>Online</t>
        </is>
      </c>
      <c r="K6381" s="62">
        <f>F6381*(G6381-H6381)</f>
        <v/>
      </c>
      <c r="L6381" s="62">
        <f>K6381-(F6381*I6381)</f>
        <v/>
      </c>
      <c r="M6381" s="64">
        <f>L6381/K6381</f>
        <v/>
      </c>
    </row>
    <row r="6382">
      <c r="A6382" s="58" t="inlineStr">
        <is>
          <t>RT20250610-06381</t>
        </is>
      </c>
      <c r="B6382" s="59" t="inlineStr">
        <is>
          <t>2025-06-10</t>
        </is>
      </c>
      <c r="C6382" s="60" t="inlineStr">
        <is>
          <t>Aurora Wearable Lite-162</t>
        </is>
      </c>
      <c r="D6382" s="58" t="inlineStr">
        <is>
          <t>Electronics</t>
        </is>
      </c>
      <c r="E6382" s="58" t="inlineStr">
        <is>
          <t>Central</t>
        </is>
      </c>
      <c r="F6382" s="61" t="n">
        <v>1</v>
      </c>
      <c r="G6382" s="62" t="n">
        <v>1323.22</v>
      </c>
      <c r="H6382" s="63" t="n">
        <v>0.055</v>
      </c>
      <c r="I6382" s="62" t="n">
        <v>1158.53</v>
      </c>
      <c r="J6382" s="58" t="inlineStr">
        <is>
          <t>Online</t>
        </is>
      </c>
      <c r="K6382" s="62">
        <f>F6382*(G6382-H6382)</f>
        <v/>
      </c>
      <c r="L6382" s="62">
        <f>K6382-(F6382*I6382)</f>
        <v/>
      </c>
      <c r="M6382" s="64">
        <f>L6382/K6382</f>
        <v/>
      </c>
    </row>
    <row r="6383">
      <c r="A6383" s="58" t="inlineStr">
        <is>
          <t>RT20250611-06382</t>
        </is>
      </c>
      <c r="B6383" s="59" t="inlineStr">
        <is>
          <t>2025-06-11</t>
        </is>
      </c>
      <c r="C6383" s="60" t="inlineStr">
        <is>
          <t>Polar Fragrance Pro-750</t>
        </is>
      </c>
      <c r="D6383" s="58" t="inlineStr">
        <is>
          <t>Beauty</t>
        </is>
      </c>
      <c r="E6383" s="58" t="inlineStr">
        <is>
          <t>South</t>
        </is>
      </c>
      <c r="F6383" s="61" t="n">
        <v>2</v>
      </c>
      <c r="G6383" s="62" t="n">
        <v>60.58</v>
      </c>
      <c r="H6383" s="63" t="n">
        <v>0.056</v>
      </c>
      <c r="I6383" s="62" t="n">
        <v>35.81</v>
      </c>
      <c r="J6383" s="58" t="inlineStr">
        <is>
          <t>Online</t>
        </is>
      </c>
      <c r="K6383" s="62">
        <f>F6383*(G6383-H6383)</f>
        <v/>
      </c>
      <c r="L6383" s="62">
        <f>K6383-(F6383*I6383)</f>
        <v/>
      </c>
      <c r="M6383" s="64">
        <f>L6383/K6383</f>
        <v/>
      </c>
    </row>
    <row r="6384">
      <c r="A6384" s="58" t="inlineStr">
        <is>
          <t>RT20250611-06383</t>
        </is>
      </c>
      <c r="B6384" s="59" t="inlineStr">
        <is>
          <t>2025-06-11</t>
        </is>
      </c>
      <c r="C6384" s="60" t="inlineStr">
        <is>
          <t>Orion Storage Plus-961</t>
        </is>
      </c>
      <c r="D6384" s="58" t="inlineStr">
        <is>
          <t>Office</t>
        </is>
      </c>
      <c r="E6384" s="58" t="inlineStr">
        <is>
          <t>East</t>
        </is>
      </c>
      <c r="F6384" s="61" t="n">
        <v>2</v>
      </c>
      <c r="G6384" s="62" t="n">
        <v>561.87</v>
      </c>
      <c r="H6384" s="63" t="n">
        <v>0.076</v>
      </c>
      <c r="I6384" s="62" t="n">
        <v>357.66</v>
      </c>
      <c r="J6384" s="58" t="inlineStr">
        <is>
          <t>Store</t>
        </is>
      </c>
      <c r="K6384" s="62">
        <f>F6384*(G6384-H6384)</f>
        <v/>
      </c>
      <c r="L6384" s="62">
        <f>K6384-(F6384*I6384)</f>
        <v/>
      </c>
      <c r="M6384" s="64">
        <f>L6384/K6384</f>
        <v/>
      </c>
    </row>
    <row r="6385">
      <c r="A6385" s="58" t="inlineStr">
        <is>
          <t>RT20250611-06384</t>
        </is>
      </c>
      <c r="B6385" s="59" t="inlineStr">
        <is>
          <t>2025-06-11</t>
        </is>
      </c>
      <c r="C6385" s="60" t="inlineStr">
        <is>
          <t>Vertex Pantry Pro-165</t>
        </is>
      </c>
      <c r="D6385" s="58" t="inlineStr">
        <is>
          <t>Grocery</t>
        </is>
      </c>
      <c r="E6385" s="58" t="inlineStr">
        <is>
          <t>Central</t>
        </is>
      </c>
      <c r="F6385" s="61" t="n">
        <v>8</v>
      </c>
      <c r="G6385" s="62" t="n">
        <v>15.82</v>
      </c>
      <c r="H6385" s="63" t="n">
        <v>0.062</v>
      </c>
      <c r="I6385" s="62" t="n">
        <v>11.9</v>
      </c>
      <c r="J6385" s="58" t="inlineStr">
        <is>
          <t>Online</t>
        </is>
      </c>
      <c r="K6385" s="62">
        <f>F6385*(G6385-H6385)</f>
        <v/>
      </c>
      <c r="L6385" s="62">
        <f>K6385-(F6385*I6385)</f>
        <v/>
      </c>
      <c r="M6385" s="64">
        <f>L6385/K6385</f>
        <v/>
      </c>
    </row>
    <row r="6386">
      <c r="A6386" s="58" t="inlineStr">
        <is>
          <t>RT20250611-06385</t>
        </is>
      </c>
      <c r="B6386" s="59" t="inlineStr">
        <is>
          <t>2025-06-11</t>
        </is>
      </c>
      <c r="C6386" s="60" t="inlineStr">
        <is>
          <t>Polar Decor X-935</t>
        </is>
      </c>
      <c r="D6386" s="58" t="inlineStr">
        <is>
          <t>Home</t>
        </is>
      </c>
      <c r="E6386" s="58" t="inlineStr">
        <is>
          <t>East</t>
        </is>
      </c>
      <c r="F6386" s="61" t="n">
        <v>3</v>
      </c>
      <c r="G6386" s="62" t="n">
        <v>259.12</v>
      </c>
      <c r="H6386" s="63" t="n">
        <v>0.066</v>
      </c>
      <c r="I6386" s="62" t="n">
        <v>206.83</v>
      </c>
      <c r="J6386" s="58" t="inlineStr">
        <is>
          <t>Online</t>
        </is>
      </c>
      <c r="K6386" s="62">
        <f>F6386*(G6386-H6386)</f>
        <v/>
      </c>
      <c r="L6386" s="62">
        <f>K6386-(F6386*I6386)</f>
        <v/>
      </c>
      <c r="M6386" s="64">
        <f>L6386/K6386</f>
        <v/>
      </c>
    </row>
    <row r="6387">
      <c r="A6387" s="58" t="inlineStr">
        <is>
          <t>RT20250611-06386</t>
        </is>
      </c>
      <c r="B6387" s="59" t="inlineStr">
        <is>
          <t>2025-06-11</t>
        </is>
      </c>
      <c r="C6387" s="60" t="inlineStr">
        <is>
          <t>Orion Supplie S-612</t>
        </is>
      </c>
      <c r="D6387" s="58" t="inlineStr">
        <is>
          <t>Office</t>
        </is>
      </c>
      <c r="E6387" s="58" t="inlineStr">
        <is>
          <t>South</t>
        </is>
      </c>
      <c r="F6387" s="61" t="n">
        <v>3</v>
      </c>
      <c r="G6387" s="62" t="n">
        <v>431.72</v>
      </c>
      <c r="H6387" s="63" t="n">
        <v>0.015</v>
      </c>
      <c r="I6387" s="62" t="n">
        <v>337.42</v>
      </c>
      <c r="J6387" s="58" t="inlineStr">
        <is>
          <t>Online</t>
        </is>
      </c>
      <c r="K6387" s="62">
        <f>F6387*(G6387-H6387)</f>
        <v/>
      </c>
      <c r="L6387" s="62">
        <f>K6387-(F6387*I6387)</f>
        <v/>
      </c>
      <c r="M6387" s="64">
        <f>L6387/K6387</f>
        <v/>
      </c>
    </row>
    <row r="6388">
      <c r="A6388" s="58" t="inlineStr">
        <is>
          <t>RT20250611-06387</t>
        </is>
      </c>
      <c r="B6388" s="59" t="inlineStr">
        <is>
          <t>2025-06-11</t>
        </is>
      </c>
      <c r="C6388" s="60" t="inlineStr">
        <is>
          <t>Polar Beverage S-258</t>
        </is>
      </c>
      <c r="D6388" s="58" t="inlineStr">
        <is>
          <t>Grocery</t>
        </is>
      </c>
      <c r="E6388" s="58" t="inlineStr">
        <is>
          <t>West</t>
        </is>
      </c>
      <c r="F6388" s="61" t="n">
        <v>5</v>
      </c>
      <c r="G6388" s="62" t="n">
        <v>13.97</v>
      </c>
      <c r="H6388" s="63" t="n">
        <v>0.028</v>
      </c>
      <c r="I6388" s="62" t="n">
        <v>9.619999999999999</v>
      </c>
      <c r="J6388" s="58" t="inlineStr">
        <is>
          <t>Store</t>
        </is>
      </c>
      <c r="K6388" s="62">
        <f>F6388*(G6388-H6388)</f>
        <v/>
      </c>
      <c r="L6388" s="62">
        <f>K6388-(F6388*I6388)</f>
        <v/>
      </c>
      <c r="M6388" s="64">
        <f>L6388/K6388</f>
        <v/>
      </c>
    </row>
    <row r="6389">
      <c r="A6389" s="58" t="inlineStr">
        <is>
          <t>RT20250611-06388</t>
        </is>
      </c>
      <c r="B6389" s="59" t="inlineStr">
        <is>
          <t>2025-06-11</t>
        </is>
      </c>
      <c r="C6389" s="60" t="inlineStr">
        <is>
          <t>Nimbus Men Plus-231</t>
        </is>
      </c>
      <c r="D6389" s="58" t="inlineStr">
        <is>
          <t>Apparel</t>
        </is>
      </c>
      <c r="E6389" s="58" t="inlineStr">
        <is>
          <t>Central</t>
        </is>
      </c>
      <c r="F6389" s="61" t="n">
        <v>2</v>
      </c>
      <c r="G6389" s="62" t="n">
        <v>180.87</v>
      </c>
      <c r="H6389" s="63" t="n">
        <v>0.081</v>
      </c>
      <c r="I6389" s="62" t="n">
        <v>90.61</v>
      </c>
      <c r="J6389" s="58" t="inlineStr">
        <is>
          <t>Online</t>
        </is>
      </c>
      <c r="K6389" s="62">
        <f>F6389*(G6389-H6389)</f>
        <v/>
      </c>
      <c r="L6389" s="62">
        <f>K6389-(F6389*I6389)</f>
        <v/>
      </c>
      <c r="M6389" s="64">
        <f>L6389/K6389</f>
        <v/>
      </c>
    </row>
    <row r="6390">
      <c r="A6390" s="58" t="inlineStr">
        <is>
          <t>RT20250611-06389</t>
        </is>
      </c>
      <c r="B6390" s="59" t="inlineStr">
        <is>
          <t>2025-06-11</t>
        </is>
      </c>
      <c r="C6390" s="60" t="inlineStr">
        <is>
          <t>Falcon Beverage Max-702</t>
        </is>
      </c>
      <c r="D6390" s="58" t="inlineStr">
        <is>
          <t>Grocery</t>
        </is>
      </c>
      <c r="E6390" s="58" t="inlineStr">
        <is>
          <t>North</t>
        </is>
      </c>
      <c r="F6390" s="61" t="n">
        <v>4</v>
      </c>
      <c r="G6390" s="62" t="n">
        <v>24.65</v>
      </c>
      <c r="H6390" s="63" t="n">
        <v>0.059</v>
      </c>
      <c r="I6390" s="62" t="n">
        <v>20.26</v>
      </c>
      <c r="J6390" s="58" t="inlineStr">
        <is>
          <t>Online</t>
        </is>
      </c>
      <c r="K6390" s="62">
        <f>F6390*(G6390-H6390)</f>
        <v/>
      </c>
      <c r="L6390" s="62">
        <f>K6390-(F6390*I6390)</f>
        <v/>
      </c>
      <c r="M6390" s="64">
        <f>L6390/K6390</f>
        <v/>
      </c>
    </row>
    <row r="6391">
      <c r="A6391" s="58" t="inlineStr">
        <is>
          <t>RT20250611-06390</t>
        </is>
      </c>
      <c r="B6391" s="59" t="inlineStr">
        <is>
          <t>2025-06-11</t>
        </is>
      </c>
      <c r="C6391" s="60" t="inlineStr">
        <is>
          <t>Polar Beverage S-258</t>
        </is>
      </c>
      <c r="D6391" s="58" t="inlineStr">
        <is>
          <t>Grocery</t>
        </is>
      </c>
      <c r="E6391" s="58" t="inlineStr">
        <is>
          <t>East</t>
        </is>
      </c>
      <c r="F6391" s="61" t="n">
        <v>7</v>
      </c>
      <c r="G6391" s="62" t="n">
        <v>12.92</v>
      </c>
      <c r="H6391" s="63" t="n">
        <v>0.04</v>
      </c>
      <c r="I6391" s="62" t="n">
        <v>9.800000000000001</v>
      </c>
      <c r="J6391" s="58" t="inlineStr">
        <is>
          <t>Online</t>
        </is>
      </c>
      <c r="K6391" s="62">
        <f>F6391*(G6391-H6391)</f>
        <v/>
      </c>
      <c r="L6391" s="62">
        <f>K6391-(F6391*I6391)</f>
        <v/>
      </c>
      <c r="M6391" s="64">
        <f>L6391/K6391</f>
        <v/>
      </c>
    </row>
    <row r="6392">
      <c r="A6392" s="58" t="inlineStr">
        <is>
          <t>RT20250611-06391</t>
        </is>
      </c>
      <c r="B6392" s="59" t="inlineStr">
        <is>
          <t>2025-06-11</t>
        </is>
      </c>
      <c r="C6392" s="60" t="inlineStr">
        <is>
          <t>Vertex Smartphone Lite-267</t>
        </is>
      </c>
      <c r="D6392" s="58" t="inlineStr">
        <is>
          <t>Electronics</t>
        </is>
      </c>
      <c r="E6392" s="58" t="inlineStr">
        <is>
          <t>East</t>
        </is>
      </c>
      <c r="F6392" s="61" t="n">
        <v>2</v>
      </c>
      <c r="G6392" s="62" t="n">
        <v>1410.34</v>
      </c>
      <c r="H6392" s="63" t="n">
        <v>0.07099999999999999</v>
      </c>
      <c r="I6392" s="62" t="n">
        <v>965.66</v>
      </c>
      <c r="J6392" s="58" t="inlineStr">
        <is>
          <t>Store</t>
        </is>
      </c>
      <c r="K6392" s="62">
        <f>F6392*(G6392-H6392)</f>
        <v/>
      </c>
      <c r="L6392" s="62">
        <f>K6392-(F6392*I6392)</f>
        <v/>
      </c>
      <c r="M6392" s="64">
        <f>L6392/K6392</f>
        <v/>
      </c>
    </row>
    <row r="6393">
      <c r="A6393" s="58" t="inlineStr">
        <is>
          <t>RT20250611-06392</t>
        </is>
      </c>
      <c r="B6393" s="59" t="inlineStr">
        <is>
          <t>2025-06-11</t>
        </is>
      </c>
      <c r="C6393" s="60" t="inlineStr">
        <is>
          <t>Metro Pantry X-710</t>
        </is>
      </c>
      <c r="D6393" s="58" t="inlineStr">
        <is>
          <t>Grocery</t>
        </is>
      </c>
      <c r="E6393" s="58" t="inlineStr">
        <is>
          <t>East</t>
        </is>
      </c>
      <c r="F6393" s="61" t="n">
        <v>7</v>
      </c>
      <c r="G6393" s="62" t="n">
        <v>5.69</v>
      </c>
      <c r="H6393" s="63" t="n">
        <v>0.109</v>
      </c>
      <c r="I6393" s="62" t="n">
        <v>4.23</v>
      </c>
      <c r="J6393" s="58" t="inlineStr">
        <is>
          <t>Online</t>
        </is>
      </c>
      <c r="K6393" s="62">
        <f>F6393*(G6393-H6393)</f>
        <v/>
      </c>
      <c r="L6393" s="62">
        <f>K6393-(F6393*I6393)</f>
        <v/>
      </c>
      <c r="M6393" s="64">
        <f>L6393/K6393</f>
        <v/>
      </c>
    </row>
    <row r="6394">
      <c r="A6394" s="58" t="inlineStr">
        <is>
          <t>RT20250611-06393</t>
        </is>
      </c>
      <c r="B6394" s="59" t="inlineStr">
        <is>
          <t>2025-06-11</t>
        </is>
      </c>
      <c r="C6394" s="60" t="inlineStr">
        <is>
          <t>Falcon Beverage Max-702</t>
        </is>
      </c>
      <c r="D6394" s="58" t="inlineStr">
        <is>
          <t>Grocery</t>
        </is>
      </c>
      <c r="E6394" s="58" t="inlineStr">
        <is>
          <t>South</t>
        </is>
      </c>
      <c r="F6394" s="61" t="n">
        <v>1</v>
      </c>
      <c r="G6394" s="62" t="n">
        <v>27.01</v>
      </c>
      <c r="H6394" s="63" t="n">
        <v>0.096</v>
      </c>
      <c r="I6394" s="62" t="n">
        <v>20.21</v>
      </c>
      <c r="J6394" s="58" t="inlineStr">
        <is>
          <t>Online</t>
        </is>
      </c>
      <c r="K6394" s="62">
        <f>F6394*(G6394-H6394)</f>
        <v/>
      </c>
      <c r="L6394" s="62">
        <f>K6394-(F6394*I6394)</f>
        <v/>
      </c>
      <c r="M6394" s="64">
        <f>L6394/K6394</f>
        <v/>
      </c>
    </row>
    <row r="6395">
      <c r="A6395" s="58" t="inlineStr">
        <is>
          <t>RT20250611-06394</t>
        </is>
      </c>
      <c r="B6395" s="59" t="inlineStr">
        <is>
          <t>2025-06-11</t>
        </is>
      </c>
      <c r="C6395" s="60" t="inlineStr">
        <is>
          <t>Polar Decor X-935</t>
        </is>
      </c>
      <c r="D6395" s="58" t="inlineStr">
        <is>
          <t>Home</t>
        </is>
      </c>
      <c r="E6395" s="58" t="inlineStr">
        <is>
          <t>West</t>
        </is>
      </c>
      <c r="F6395" s="61" t="n">
        <v>1</v>
      </c>
      <c r="G6395" s="62" t="n">
        <v>255.64</v>
      </c>
      <c r="H6395" s="63" t="n">
        <v>0.059</v>
      </c>
      <c r="I6395" s="62" t="n">
        <v>196.11</v>
      </c>
      <c r="J6395" s="58" t="inlineStr">
        <is>
          <t>Online</t>
        </is>
      </c>
      <c r="K6395" s="62">
        <f>F6395*(G6395-H6395)</f>
        <v/>
      </c>
      <c r="L6395" s="62">
        <f>K6395-(F6395*I6395)</f>
        <v/>
      </c>
      <c r="M6395" s="64">
        <f>L6395/K6395</f>
        <v/>
      </c>
    </row>
    <row r="6396">
      <c r="A6396" s="58" t="inlineStr">
        <is>
          <t>RT20250611-06395</t>
        </is>
      </c>
      <c r="B6396" s="59" t="inlineStr">
        <is>
          <t>2025-06-11</t>
        </is>
      </c>
      <c r="C6396" s="60" t="inlineStr">
        <is>
          <t>Metro Pantry X-710</t>
        </is>
      </c>
      <c r="D6396" s="58" t="inlineStr">
        <is>
          <t>Grocery</t>
        </is>
      </c>
      <c r="E6396" s="58" t="inlineStr">
        <is>
          <t>Central</t>
        </is>
      </c>
      <c r="F6396" s="61" t="n">
        <v>1</v>
      </c>
      <c r="G6396" s="62" t="n">
        <v>5.18</v>
      </c>
      <c r="H6396" s="63" t="n">
        <v>0.039</v>
      </c>
      <c r="I6396" s="62" t="n">
        <v>4.13</v>
      </c>
      <c r="J6396" s="58" t="inlineStr">
        <is>
          <t>Online</t>
        </is>
      </c>
      <c r="K6396" s="62">
        <f>F6396*(G6396-H6396)</f>
        <v/>
      </c>
      <c r="L6396" s="62">
        <f>K6396-(F6396*I6396)</f>
        <v/>
      </c>
      <c r="M6396" s="64">
        <f>L6396/K6396</f>
        <v/>
      </c>
    </row>
    <row r="6397">
      <c r="A6397" s="58" t="inlineStr">
        <is>
          <t>RT20250611-06396</t>
        </is>
      </c>
      <c r="B6397" s="59" t="inlineStr">
        <is>
          <t>2025-06-11</t>
        </is>
      </c>
      <c r="C6397" s="60" t="inlineStr">
        <is>
          <t>Orion Beverage Plus-949</t>
        </is>
      </c>
      <c r="D6397" s="58" t="inlineStr">
        <is>
          <t>Grocery</t>
        </is>
      </c>
      <c r="E6397" s="58" t="inlineStr">
        <is>
          <t>West</t>
        </is>
      </c>
      <c r="F6397" s="61" t="n">
        <v>3</v>
      </c>
      <c r="G6397" s="62" t="n">
        <v>18.24</v>
      </c>
      <c r="H6397" s="63" t="n">
        <v>0.077</v>
      </c>
      <c r="I6397" s="62" t="n">
        <v>13.27</v>
      </c>
      <c r="J6397" s="58" t="inlineStr">
        <is>
          <t>Online</t>
        </is>
      </c>
      <c r="K6397" s="62">
        <f>F6397*(G6397-H6397)</f>
        <v/>
      </c>
      <c r="L6397" s="62">
        <f>K6397-(F6397*I6397)</f>
        <v/>
      </c>
      <c r="M6397" s="64">
        <f>L6397/K6397</f>
        <v/>
      </c>
    </row>
    <row r="6398">
      <c r="A6398" s="58" t="inlineStr">
        <is>
          <t>RT20250611-06397</t>
        </is>
      </c>
      <c r="B6398" s="59" t="inlineStr">
        <is>
          <t>2025-06-11</t>
        </is>
      </c>
      <c r="C6398" s="60" t="inlineStr">
        <is>
          <t>Polar Men Pro-246</t>
        </is>
      </c>
      <c r="D6398" s="58" t="inlineStr">
        <is>
          <t>Apparel</t>
        </is>
      </c>
      <c r="E6398" s="58" t="inlineStr">
        <is>
          <t>West</t>
        </is>
      </c>
      <c r="F6398" s="61" t="n">
        <v>4</v>
      </c>
      <c r="G6398" s="62" t="n">
        <v>157.71</v>
      </c>
      <c r="H6398" s="63" t="n">
        <v>0.03</v>
      </c>
      <c r="I6398" s="62" t="n">
        <v>76.19</v>
      </c>
      <c r="J6398" s="58" t="inlineStr">
        <is>
          <t>Store</t>
        </is>
      </c>
      <c r="K6398" s="62">
        <f>F6398*(G6398-H6398)</f>
        <v/>
      </c>
      <c r="L6398" s="62">
        <f>K6398-(F6398*I6398)</f>
        <v/>
      </c>
      <c r="M6398" s="64">
        <f>L6398/K6398</f>
        <v/>
      </c>
    </row>
    <row r="6399">
      <c r="A6399" s="58" t="inlineStr">
        <is>
          <t>RT20250611-06398</t>
        </is>
      </c>
      <c r="B6399" s="59" t="inlineStr">
        <is>
          <t>2025-06-11</t>
        </is>
      </c>
      <c r="C6399" s="60" t="inlineStr">
        <is>
          <t>Falcon Headphone Plus-789</t>
        </is>
      </c>
      <c r="D6399" s="58" t="inlineStr">
        <is>
          <t>Electronics</t>
        </is>
      </c>
      <c r="E6399" s="58" t="inlineStr">
        <is>
          <t>West</t>
        </is>
      </c>
      <c r="F6399" s="61" t="n">
        <v>1</v>
      </c>
      <c r="G6399" s="62" t="n">
        <v>1764.74</v>
      </c>
      <c r="H6399" s="63" t="n">
        <v>0.096</v>
      </c>
      <c r="I6399" s="62" t="n">
        <v>1347.83</v>
      </c>
      <c r="J6399" s="58" t="inlineStr">
        <is>
          <t>Store</t>
        </is>
      </c>
      <c r="K6399" s="62">
        <f>F6399*(G6399-H6399)</f>
        <v/>
      </c>
      <c r="L6399" s="62">
        <f>K6399-(F6399*I6399)</f>
        <v/>
      </c>
      <c r="M6399" s="64">
        <f>L6399/K6399</f>
        <v/>
      </c>
    </row>
    <row r="6400">
      <c r="A6400" s="58" t="inlineStr">
        <is>
          <t>RT20250611-06399</t>
        </is>
      </c>
      <c r="B6400" s="59" t="inlineStr">
        <is>
          <t>2025-06-11</t>
        </is>
      </c>
      <c r="C6400" s="60" t="inlineStr">
        <is>
          <t>Orion Snack X-322</t>
        </is>
      </c>
      <c r="D6400" s="58" t="inlineStr">
        <is>
          <t>Grocery</t>
        </is>
      </c>
      <c r="E6400" s="58" t="inlineStr">
        <is>
          <t>East</t>
        </is>
      </c>
      <c r="F6400" s="61" t="n">
        <v>3</v>
      </c>
      <c r="G6400" s="62" t="n">
        <v>12.74</v>
      </c>
      <c r="H6400" s="63" t="n">
        <v>0.025</v>
      </c>
      <c r="I6400" s="62" t="n">
        <v>10.06</v>
      </c>
      <c r="J6400" s="58" t="inlineStr">
        <is>
          <t>Online</t>
        </is>
      </c>
      <c r="K6400" s="62">
        <f>F6400*(G6400-H6400)</f>
        <v/>
      </c>
      <c r="L6400" s="62">
        <f>K6400-(F6400*I6400)</f>
        <v/>
      </c>
      <c r="M6400" s="64">
        <f>L6400/K6400</f>
        <v/>
      </c>
    </row>
    <row r="6401">
      <c r="A6401" s="58" t="inlineStr">
        <is>
          <t>RT20250611-06400</t>
        </is>
      </c>
      <c r="B6401" s="59" t="inlineStr">
        <is>
          <t>2025-06-11</t>
        </is>
      </c>
      <c r="C6401" s="60" t="inlineStr">
        <is>
          <t>Nimbus Women Plus-352</t>
        </is>
      </c>
      <c r="D6401" s="58" t="inlineStr">
        <is>
          <t>Apparel</t>
        </is>
      </c>
      <c r="E6401" s="58" t="inlineStr">
        <is>
          <t>East</t>
        </is>
      </c>
      <c r="F6401" s="61" t="n">
        <v>1</v>
      </c>
      <c r="G6401" s="62" t="n">
        <v>57.08</v>
      </c>
      <c r="H6401" s="63" t="n">
        <v>0.049</v>
      </c>
      <c r="I6401" s="62" t="n">
        <v>32.05</v>
      </c>
      <c r="J6401" s="58" t="inlineStr">
        <is>
          <t>Online</t>
        </is>
      </c>
      <c r="K6401" s="62">
        <f>F6401*(G6401-H6401)</f>
        <v/>
      </c>
      <c r="L6401" s="62">
        <f>K6401-(F6401*I6401)</f>
        <v/>
      </c>
      <c r="M6401" s="64">
        <f>L6401/K6401</f>
        <v/>
      </c>
    </row>
    <row r="6402">
      <c r="A6402" s="58" t="inlineStr">
        <is>
          <t>RT20250611-06401</t>
        </is>
      </c>
      <c r="B6402" s="59" t="inlineStr">
        <is>
          <t>2025-06-11</t>
        </is>
      </c>
      <c r="C6402" s="60" t="inlineStr">
        <is>
          <t>Polar Fragrance Pro-750</t>
        </is>
      </c>
      <c r="D6402" s="58" t="inlineStr">
        <is>
          <t>Beauty</t>
        </is>
      </c>
      <c r="E6402" s="58" t="inlineStr">
        <is>
          <t>East</t>
        </is>
      </c>
      <c r="F6402" s="61" t="n">
        <v>1</v>
      </c>
      <c r="G6402" s="62" t="n">
        <v>66.59</v>
      </c>
      <c r="H6402" s="63" t="n">
        <v>0.076</v>
      </c>
      <c r="I6402" s="62" t="n">
        <v>36.22</v>
      </c>
      <c r="J6402" s="58" t="inlineStr">
        <is>
          <t>Store</t>
        </is>
      </c>
      <c r="K6402" s="62">
        <f>F6402*(G6402-H6402)</f>
        <v/>
      </c>
      <c r="L6402" s="62">
        <f>K6402-(F6402*I6402)</f>
        <v/>
      </c>
      <c r="M6402" s="64">
        <f>L6402/K6402</f>
        <v/>
      </c>
    </row>
    <row r="6403">
      <c r="A6403" s="58" t="inlineStr">
        <is>
          <t>RT20250611-06402</t>
        </is>
      </c>
      <c r="B6403" s="59" t="inlineStr">
        <is>
          <t>2025-06-11</t>
        </is>
      </c>
      <c r="C6403" s="60" t="inlineStr">
        <is>
          <t>Aurora Skincare Max-798</t>
        </is>
      </c>
      <c r="D6403" s="58" t="inlineStr">
        <is>
          <t>Beauty</t>
        </is>
      </c>
      <c r="E6403" s="58" t="inlineStr">
        <is>
          <t>South</t>
        </is>
      </c>
      <c r="F6403" s="61" t="n">
        <v>4</v>
      </c>
      <c r="G6403" s="62" t="n">
        <v>113.76</v>
      </c>
      <c r="H6403" s="63" t="n">
        <v>0.076</v>
      </c>
      <c r="I6403" s="62" t="n">
        <v>70.23</v>
      </c>
      <c r="J6403" s="58" t="inlineStr">
        <is>
          <t>Online</t>
        </is>
      </c>
      <c r="K6403" s="62">
        <f>F6403*(G6403-H6403)</f>
        <v/>
      </c>
      <c r="L6403" s="62">
        <f>K6403-(F6403*I6403)</f>
        <v/>
      </c>
      <c r="M6403" s="64">
        <f>L6403/K6403</f>
        <v/>
      </c>
    </row>
    <row r="6404">
      <c r="A6404" s="58" t="inlineStr">
        <is>
          <t>RT20250611-06403</t>
        </is>
      </c>
      <c r="B6404" s="59" t="inlineStr">
        <is>
          <t>2025-06-11</t>
        </is>
      </c>
      <c r="C6404" s="60" t="inlineStr">
        <is>
          <t>Orion Team Sport X-926</t>
        </is>
      </c>
      <c r="D6404" s="58" t="inlineStr">
        <is>
          <t>Sports</t>
        </is>
      </c>
      <c r="E6404" s="58" t="inlineStr">
        <is>
          <t>Central</t>
        </is>
      </c>
      <c r="F6404" s="61" t="n">
        <v>3</v>
      </c>
      <c r="G6404" s="62" t="n">
        <v>320.61</v>
      </c>
      <c r="H6404" s="63" t="n">
        <v>0.067</v>
      </c>
      <c r="I6404" s="62" t="n">
        <v>209.98</v>
      </c>
      <c r="J6404" s="58" t="inlineStr">
        <is>
          <t>Online</t>
        </is>
      </c>
      <c r="K6404" s="62">
        <f>F6404*(G6404-H6404)</f>
        <v/>
      </c>
      <c r="L6404" s="62">
        <f>K6404-(F6404*I6404)</f>
        <v/>
      </c>
      <c r="M6404" s="64">
        <f>L6404/K6404</f>
        <v/>
      </c>
    </row>
    <row r="6405">
      <c r="A6405" s="58" t="inlineStr">
        <is>
          <t>RT20250611-06404</t>
        </is>
      </c>
      <c r="B6405" s="59" t="inlineStr">
        <is>
          <t>2025-06-11</t>
        </is>
      </c>
      <c r="C6405" s="60" t="inlineStr">
        <is>
          <t>Solace Fitnes S-324</t>
        </is>
      </c>
      <c r="D6405" s="58" t="inlineStr">
        <is>
          <t>Sports</t>
        </is>
      </c>
      <c r="E6405" s="58" t="inlineStr">
        <is>
          <t>Central</t>
        </is>
      </c>
      <c r="F6405" s="61" t="n">
        <v>3</v>
      </c>
      <c r="G6405" s="62" t="n">
        <v>780.08</v>
      </c>
      <c r="H6405" s="63" t="n">
        <v>0.078</v>
      </c>
      <c r="I6405" s="62" t="n">
        <v>542.55</v>
      </c>
      <c r="J6405" s="58" t="inlineStr">
        <is>
          <t>Store</t>
        </is>
      </c>
      <c r="K6405" s="62">
        <f>F6405*(G6405-H6405)</f>
        <v/>
      </c>
      <c r="L6405" s="62">
        <f>K6405-(F6405*I6405)</f>
        <v/>
      </c>
      <c r="M6405" s="64">
        <f>L6405/K6405</f>
        <v/>
      </c>
    </row>
    <row r="6406">
      <c r="A6406" s="58" t="inlineStr">
        <is>
          <t>RT20250611-06405</t>
        </is>
      </c>
      <c r="B6406" s="59" t="inlineStr">
        <is>
          <t>2025-06-11</t>
        </is>
      </c>
      <c r="C6406" s="60" t="inlineStr">
        <is>
          <t>Aurora Skincare Max-798</t>
        </is>
      </c>
      <c r="D6406" s="58" t="inlineStr">
        <is>
          <t>Beauty</t>
        </is>
      </c>
      <c r="E6406" s="58" t="inlineStr">
        <is>
          <t>West</t>
        </is>
      </c>
      <c r="F6406" s="61" t="n">
        <v>1</v>
      </c>
      <c r="G6406" s="62" t="n">
        <v>111.35</v>
      </c>
      <c r="H6406" s="63" t="n">
        <v>0.06900000000000001</v>
      </c>
      <c r="I6406" s="62" t="n">
        <v>67.06</v>
      </c>
      <c r="J6406" s="58" t="inlineStr">
        <is>
          <t>Phone</t>
        </is>
      </c>
      <c r="K6406" s="62">
        <f>F6406*(G6406-H6406)</f>
        <v/>
      </c>
      <c r="L6406" s="62">
        <f>K6406-(F6406*I6406)</f>
        <v/>
      </c>
      <c r="M6406" s="64">
        <f>L6406/K6406</f>
        <v/>
      </c>
    </row>
    <row r="6407">
      <c r="A6407" s="58" t="inlineStr">
        <is>
          <t>RT20250611-06406</t>
        </is>
      </c>
      <c r="B6407" s="59" t="inlineStr">
        <is>
          <t>2025-06-11</t>
        </is>
      </c>
      <c r="C6407" s="60" t="inlineStr">
        <is>
          <t>Polar Outdoor X-193</t>
        </is>
      </c>
      <c r="D6407" s="58" t="inlineStr">
        <is>
          <t>Sports</t>
        </is>
      </c>
      <c r="E6407" s="58" t="inlineStr">
        <is>
          <t>West</t>
        </is>
      </c>
      <c r="F6407" s="61" t="n">
        <v>1</v>
      </c>
      <c r="G6407" s="62" t="n">
        <v>716.55</v>
      </c>
      <c r="H6407" s="63" t="n">
        <v>0.016</v>
      </c>
      <c r="I6407" s="62" t="n">
        <v>448.14</v>
      </c>
      <c r="J6407" s="58" t="inlineStr">
        <is>
          <t>Online</t>
        </is>
      </c>
      <c r="K6407" s="62">
        <f>F6407*(G6407-H6407)</f>
        <v/>
      </c>
      <c r="L6407" s="62">
        <f>K6407-(F6407*I6407)</f>
        <v/>
      </c>
      <c r="M6407" s="64">
        <f>L6407/K6407</f>
        <v/>
      </c>
    </row>
    <row r="6408">
      <c r="A6408" s="58" t="inlineStr">
        <is>
          <t>RT20250611-06407</t>
        </is>
      </c>
      <c r="B6408" s="59" t="inlineStr">
        <is>
          <t>2025-06-11</t>
        </is>
      </c>
      <c r="C6408" s="60" t="inlineStr">
        <is>
          <t>Aurora Fragrance S-971</t>
        </is>
      </c>
      <c r="D6408" s="58" t="inlineStr">
        <is>
          <t>Beauty</t>
        </is>
      </c>
      <c r="E6408" s="58" t="inlineStr">
        <is>
          <t>East</t>
        </is>
      </c>
      <c r="F6408" s="61" t="n">
        <v>3</v>
      </c>
      <c r="G6408" s="62" t="n">
        <v>96.81</v>
      </c>
      <c r="H6408" s="63" t="n">
        <v>0.04</v>
      </c>
      <c r="I6408" s="62" t="n">
        <v>63.18</v>
      </c>
      <c r="J6408" s="58" t="inlineStr">
        <is>
          <t>Online</t>
        </is>
      </c>
      <c r="K6408" s="62">
        <f>F6408*(G6408-H6408)</f>
        <v/>
      </c>
      <c r="L6408" s="62">
        <f>K6408-(F6408*I6408)</f>
        <v/>
      </c>
      <c r="M6408" s="64">
        <f>L6408/K6408</f>
        <v/>
      </c>
    </row>
    <row r="6409">
      <c r="A6409" s="58" t="inlineStr">
        <is>
          <t>RT20250611-06408</t>
        </is>
      </c>
      <c r="B6409" s="59" t="inlineStr">
        <is>
          <t>2025-06-11</t>
        </is>
      </c>
      <c r="C6409" s="60" t="inlineStr">
        <is>
          <t>Solace Team Sport Max-548</t>
        </is>
      </c>
      <c r="D6409" s="58" t="inlineStr">
        <is>
          <t>Sports</t>
        </is>
      </c>
      <c r="E6409" s="58" t="inlineStr">
        <is>
          <t>South</t>
        </is>
      </c>
      <c r="F6409" s="61" t="n">
        <v>2</v>
      </c>
      <c r="G6409" s="62" t="n">
        <v>674.92</v>
      </c>
      <c r="H6409" s="63" t="n">
        <v>0.055</v>
      </c>
      <c r="I6409" s="62" t="n">
        <v>476.69</v>
      </c>
      <c r="J6409" s="58" t="inlineStr">
        <is>
          <t>Online</t>
        </is>
      </c>
      <c r="K6409" s="62">
        <f>F6409*(G6409-H6409)</f>
        <v/>
      </c>
      <c r="L6409" s="62">
        <f>K6409-(F6409*I6409)</f>
        <v/>
      </c>
      <c r="M6409" s="64">
        <f>L6409/K6409</f>
        <v/>
      </c>
    </row>
    <row r="6410">
      <c r="A6410" s="58" t="inlineStr">
        <is>
          <t>RT20250611-06409</t>
        </is>
      </c>
      <c r="B6410" s="59" t="inlineStr">
        <is>
          <t>2025-06-11</t>
        </is>
      </c>
      <c r="C6410" s="60" t="inlineStr">
        <is>
          <t>Vertex Smartphone Pro-256</t>
        </is>
      </c>
      <c r="D6410" s="58" t="inlineStr">
        <is>
          <t>Electronics</t>
        </is>
      </c>
      <c r="E6410" s="58" t="inlineStr">
        <is>
          <t>Central</t>
        </is>
      </c>
      <c r="F6410" s="61" t="n">
        <v>1</v>
      </c>
      <c r="G6410" s="62" t="n">
        <v>1109.67</v>
      </c>
      <c r="H6410" s="63" t="n">
        <v>0.08599999999999999</v>
      </c>
      <c r="I6410" s="62" t="n">
        <v>898.67</v>
      </c>
      <c r="J6410" s="58" t="inlineStr">
        <is>
          <t>Online</t>
        </is>
      </c>
      <c r="K6410" s="62">
        <f>F6410*(G6410-H6410)</f>
        <v/>
      </c>
      <c r="L6410" s="62">
        <f>K6410-(F6410*I6410)</f>
        <v/>
      </c>
      <c r="M6410" s="64">
        <f>L6410/K6410</f>
        <v/>
      </c>
    </row>
    <row r="6411">
      <c r="A6411" s="58" t="inlineStr">
        <is>
          <t>RT20250611-06410</t>
        </is>
      </c>
      <c r="B6411" s="59" t="inlineStr">
        <is>
          <t>2025-06-11</t>
        </is>
      </c>
      <c r="C6411" s="60" t="inlineStr">
        <is>
          <t>Metro Accessorie Lite-697</t>
        </is>
      </c>
      <c r="D6411" s="58" t="inlineStr">
        <is>
          <t>Apparel</t>
        </is>
      </c>
      <c r="E6411" s="58" t="inlineStr">
        <is>
          <t>North</t>
        </is>
      </c>
      <c r="F6411" s="61" t="n">
        <v>3</v>
      </c>
      <c r="G6411" s="62" t="n">
        <v>129.47</v>
      </c>
      <c r="H6411" s="63" t="n">
        <v>0.02</v>
      </c>
      <c r="I6411" s="62" t="n">
        <v>76.09999999999999</v>
      </c>
      <c r="J6411" s="58" t="inlineStr">
        <is>
          <t>Store</t>
        </is>
      </c>
      <c r="K6411" s="62">
        <f>F6411*(G6411-H6411)</f>
        <v/>
      </c>
      <c r="L6411" s="62">
        <f>K6411-(F6411*I6411)</f>
        <v/>
      </c>
      <c r="M6411" s="64">
        <f>L6411/K6411</f>
        <v/>
      </c>
    </row>
    <row r="6412">
      <c r="A6412" s="58" t="inlineStr">
        <is>
          <t>RT20250611-06411</t>
        </is>
      </c>
      <c r="B6412" s="59" t="inlineStr">
        <is>
          <t>2025-06-11</t>
        </is>
      </c>
      <c r="C6412" s="60" t="inlineStr">
        <is>
          <t>Polar Haircare Max-614</t>
        </is>
      </c>
      <c r="D6412" s="58" t="inlineStr">
        <is>
          <t>Beauty</t>
        </is>
      </c>
      <c r="E6412" s="58" t="inlineStr">
        <is>
          <t>South</t>
        </is>
      </c>
      <c r="F6412" s="61" t="n">
        <v>3</v>
      </c>
      <c r="G6412" s="62" t="n">
        <v>102.06</v>
      </c>
      <c r="H6412" s="63" t="n">
        <v>0.068</v>
      </c>
      <c r="I6412" s="62" t="n">
        <v>70.98999999999999</v>
      </c>
      <c r="J6412" s="58" t="inlineStr">
        <is>
          <t>Online</t>
        </is>
      </c>
      <c r="K6412" s="62">
        <f>F6412*(G6412-H6412)</f>
        <v/>
      </c>
      <c r="L6412" s="62">
        <f>K6412-(F6412*I6412)</f>
        <v/>
      </c>
      <c r="M6412" s="64">
        <f>L6412/K6412</f>
        <v/>
      </c>
    </row>
    <row r="6413">
      <c r="A6413" s="58" t="inlineStr">
        <is>
          <t>RT20250611-06412</t>
        </is>
      </c>
      <c r="B6413" s="59" t="inlineStr">
        <is>
          <t>2025-06-11</t>
        </is>
      </c>
      <c r="C6413" s="60" t="inlineStr">
        <is>
          <t>Orion Team Sport X-926</t>
        </is>
      </c>
      <c r="D6413" s="58" t="inlineStr">
        <is>
          <t>Sports</t>
        </is>
      </c>
      <c r="E6413" s="58" t="inlineStr">
        <is>
          <t>North</t>
        </is>
      </c>
      <c r="F6413" s="61" t="n">
        <v>1</v>
      </c>
      <c r="G6413" s="62" t="n">
        <v>339.19</v>
      </c>
      <c r="H6413" s="63" t="n">
        <v>0.08500000000000001</v>
      </c>
      <c r="I6413" s="62" t="n">
        <v>217.92</v>
      </c>
      <c r="J6413" s="58" t="inlineStr">
        <is>
          <t>Online</t>
        </is>
      </c>
      <c r="K6413" s="62">
        <f>F6413*(G6413-H6413)</f>
        <v/>
      </c>
      <c r="L6413" s="62">
        <f>K6413-(F6413*I6413)</f>
        <v/>
      </c>
      <c r="M6413" s="64">
        <f>L6413/K6413</f>
        <v/>
      </c>
    </row>
    <row r="6414">
      <c r="A6414" s="58" t="inlineStr">
        <is>
          <t>RT20250611-06413</t>
        </is>
      </c>
      <c r="B6414" s="59" t="inlineStr">
        <is>
          <t>2025-06-11</t>
        </is>
      </c>
      <c r="C6414" s="60" t="inlineStr">
        <is>
          <t>Orion Kid Max-864</t>
        </is>
      </c>
      <c r="D6414" s="58" t="inlineStr">
        <is>
          <t>Apparel</t>
        </is>
      </c>
      <c r="E6414" s="58" t="inlineStr">
        <is>
          <t>South</t>
        </is>
      </c>
      <c r="F6414" s="61" t="n">
        <v>4</v>
      </c>
      <c r="G6414" s="62" t="n">
        <v>83.69</v>
      </c>
      <c r="H6414" s="63" t="n">
        <v>0.054</v>
      </c>
      <c r="I6414" s="62" t="n">
        <v>45.32</v>
      </c>
      <c r="J6414" s="58" t="inlineStr">
        <is>
          <t>Online</t>
        </is>
      </c>
      <c r="K6414" s="62">
        <f>F6414*(G6414-H6414)</f>
        <v/>
      </c>
      <c r="L6414" s="62">
        <f>K6414-(F6414*I6414)</f>
        <v/>
      </c>
      <c r="M6414" s="64">
        <f>L6414/K6414</f>
        <v/>
      </c>
    </row>
    <row r="6415">
      <c r="A6415" s="58" t="inlineStr">
        <is>
          <t>RT20250611-06414</t>
        </is>
      </c>
      <c r="B6415" s="59" t="inlineStr">
        <is>
          <t>2025-06-11</t>
        </is>
      </c>
      <c r="C6415" s="60" t="inlineStr">
        <is>
          <t>Orion Snack X-322</t>
        </is>
      </c>
      <c r="D6415" s="58" t="inlineStr">
        <is>
          <t>Grocery</t>
        </is>
      </c>
      <c r="E6415" s="58" t="inlineStr">
        <is>
          <t>West</t>
        </is>
      </c>
      <c r="F6415" s="61" t="n">
        <v>5</v>
      </c>
      <c r="G6415" s="62" t="n">
        <v>13.17</v>
      </c>
      <c r="H6415" s="63" t="n">
        <v>0.048</v>
      </c>
      <c r="I6415" s="62" t="n">
        <v>10.14</v>
      </c>
      <c r="J6415" s="58" t="inlineStr">
        <is>
          <t>Store</t>
        </is>
      </c>
      <c r="K6415" s="62">
        <f>F6415*(G6415-H6415)</f>
        <v/>
      </c>
      <c r="L6415" s="62">
        <f>K6415-(F6415*I6415)</f>
        <v/>
      </c>
      <c r="M6415" s="64">
        <f>L6415/K6415</f>
        <v/>
      </c>
    </row>
    <row r="6416">
      <c r="A6416" s="58" t="inlineStr">
        <is>
          <t>RT20250611-06415</t>
        </is>
      </c>
      <c r="B6416" s="59" t="inlineStr">
        <is>
          <t>2025-06-11</t>
        </is>
      </c>
      <c r="C6416" s="60" t="inlineStr">
        <is>
          <t>Vertex Supplie Pro-786</t>
        </is>
      </c>
      <c r="D6416" s="58" t="inlineStr">
        <is>
          <t>Office</t>
        </is>
      </c>
      <c r="E6416" s="58" t="inlineStr">
        <is>
          <t>South</t>
        </is>
      </c>
      <c r="F6416" s="61" t="n">
        <v>2</v>
      </c>
      <c r="G6416" s="62" t="n">
        <v>406.96</v>
      </c>
      <c r="H6416" s="63" t="n">
        <v>0.075</v>
      </c>
      <c r="I6416" s="62" t="n">
        <v>300.33</v>
      </c>
      <c r="J6416" s="58" t="inlineStr">
        <is>
          <t>Online</t>
        </is>
      </c>
      <c r="K6416" s="62">
        <f>F6416*(G6416-H6416)</f>
        <v/>
      </c>
      <c r="L6416" s="62">
        <f>K6416-(F6416*I6416)</f>
        <v/>
      </c>
      <c r="M6416" s="64">
        <f>L6416/K6416</f>
        <v/>
      </c>
    </row>
    <row r="6417">
      <c r="A6417" s="58" t="inlineStr">
        <is>
          <t>RT20250611-06416</t>
        </is>
      </c>
      <c r="B6417" s="59" t="inlineStr">
        <is>
          <t>2025-06-11</t>
        </is>
      </c>
      <c r="C6417" s="60" t="inlineStr">
        <is>
          <t>Nimbus Decor Lite-385</t>
        </is>
      </c>
      <c r="D6417" s="58" t="inlineStr">
        <is>
          <t>Home</t>
        </is>
      </c>
      <c r="E6417" s="58" t="inlineStr">
        <is>
          <t>West</t>
        </is>
      </c>
      <c r="F6417" s="61" t="n">
        <v>1</v>
      </c>
      <c r="G6417" s="62" t="n">
        <v>570.23</v>
      </c>
      <c r="H6417" s="63" t="n">
        <v>0.061</v>
      </c>
      <c r="I6417" s="62" t="n">
        <v>389.19</v>
      </c>
      <c r="J6417" s="58" t="inlineStr">
        <is>
          <t>Online</t>
        </is>
      </c>
      <c r="K6417" s="62">
        <f>F6417*(G6417-H6417)</f>
        <v/>
      </c>
      <c r="L6417" s="62">
        <f>K6417-(F6417*I6417)</f>
        <v/>
      </c>
      <c r="M6417" s="64">
        <f>L6417/K6417</f>
        <v/>
      </c>
    </row>
    <row r="6418">
      <c r="A6418" s="58" t="inlineStr">
        <is>
          <t>RT20250611-06417</t>
        </is>
      </c>
      <c r="B6418" s="59" t="inlineStr">
        <is>
          <t>2025-06-11</t>
        </is>
      </c>
      <c r="C6418" s="60" t="inlineStr">
        <is>
          <t>Falcon Headphone Plus-789</t>
        </is>
      </c>
      <c r="D6418" s="58" t="inlineStr">
        <is>
          <t>Electronics</t>
        </is>
      </c>
      <c r="E6418" s="58" t="inlineStr">
        <is>
          <t>East</t>
        </is>
      </c>
      <c r="F6418" s="61" t="n">
        <v>2</v>
      </c>
      <c r="G6418" s="62" t="n">
        <v>2025.86</v>
      </c>
      <c r="H6418" s="63" t="n">
        <v>0.025</v>
      </c>
      <c r="I6418" s="62" t="n">
        <v>1301.18</v>
      </c>
      <c r="J6418" s="58" t="inlineStr">
        <is>
          <t>Store</t>
        </is>
      </c>
      <c r="K6418" s="62">
        <f>F6418*(G6418-H6418)</f>
        <v/>
      </c>
      <c r="L6418" s="62">
        <f>K6418-(F6418*I6418)</f>
        <v/>
      </c>
      <c r="M6418" s="64">
        <f>L6418/K6418</f>
        <v/>
      </c>
    </row>
    <row r="6419">
      <c r="A6419" s="58" t="inlineStr">
        <is>
          <t>RT20250611-06418</t>
        </is>
      </c>
      <c r="B6419" s="59" t="inlineStr">
        <is>
          <t>2025-06-11</t>
        </is>
      </c>
      <c r="C6419" s="60" t="inlineStr">
        <is>
          <t>Vertex Decor Pro-618</t>
        </is>
      </c>
      <c r="D6419" s="58" t="inlineStr">
        <is>
          <t>Home</t>
        </is>
      </c>
      <c r="E6419" s="58" t="inlineStr">
        <is>
          <t>North</t>
        </is>
      </c>
      <c r="F6419" s="61" t="n">
        <v>2</v>
      </c>
      <c r="G6419" s="62" t="n">
        <v>498.58</v>
      </c>
      <c r="H6419" s="63" t="n">
        <v>0.039</v>
      </c>
      <c r="I6419" s="62" t="n">
        <v>366.85</v>
      </c>
      <c r="J6419" s="58" t="inlineStr">
        <is>
          <t>Store</t>
        </is>
      </c>
      <c r="K6419" s="62">
        <f>F6419*(G6419-H6419)</f>
        <v/>
      </c>
      <c r="L6419" s="62">
        <f>K6419-(F6419*I6419)</f>
        <v/>
      </c>
      <c r="M6419" s="64">
        <f>L6419/K6419</f>
        <v/>
      </c>
    </row>
    <row r="6420">
      <c r="A6420" s="58" t="inlineStr">
        <is>
          <t>RT20250611-06419</t>
        </is>
      </c>
      <c r="B6420" s="59" t="inlineStr">
        <is>
          <t>2025-06-11</t>
        </is>
      </c>
      <c r="C6420" s="60" t="inlineStr">
        <is>
          <t>Falcon Haircare Pro-980</t>
        </is>
      </c>
      <c r="D6420" s="58" t="inlineStr">
        <is>
          <t>Beauty</t>
        </is>
      </c>
      <c r="E6420" s="58" t="inlineStr">
        <is>
          <t>West</t>
        </is>
      </c>
      <c r="F6420" s="61" t="n">
        <v>2</v>
      </c>
      <c r="G6420" s="62" t="n">
        <v>89.26000000000001</v>
      </c>
      <c r="H6420" s="63" t="n">
        <v>0.014</v>
      </c>
      <c r="I6420" s="62" t="n">
        <v>55.67</v>
      </c>
      <c r="J6420" s="58" t="inlineStr">
        <is>
          <t>Online</t>
        </is>
      </c>
      <c r="K6420" s="62">
        <f>F6420*(G6420-H6420)</f>
        <v/>
      </c>
      <c r="L6420" s="62">
        <f>K6420-(F6420*I6420)</f>
        <v/>
      </c>
      <c r="M6420" s="64">
        <f>L6420/K6420</f>
        <v/>
      </c>
    </row>
    <row r="6421">
      <c r="A6421" s="58" t="inlineStr">
        <is>
          <t>RT20250611-06420</t>
        </is>
      </c>
      <c r="B6421" s="59" t="inlineStr">
        <is>
          <t>2025-06-11</t>
        </is>
      </c>
      <c r="C6421" s="60" t="inlineStr">
        <is>
          <t>Metro Outdoor Plus-787</t>
        </is>
      </c>
      <c r="D6421" s="58" t="inlineStr">
        <is>
          <t>Sports</t>
        </is>
      </c>
      <c r="E6421" s="58" t="inlineStr">
        <is>
          <t>West</t>
        </is>
      </c>
      <c r="F6421" s="61" t="n">
        <v>1</v>
      </c>
      <c r="G6421" s="62" t="n">
        <v>551.11</v>
      </c>
      <c r="H6421" s="63" t="n">
        <v>0.058</v>
      </c>
      <c r="I6421" s="62" t="n">
        <v>345.82</v>
      </c>
      <c r="J6421" s="58" t="inlineStr">
        <is>
          <t>Store</t>
        </is>
      </c>
      <c r="K6421" s="62">
        <f>F6421*(G6421-H6421)</f>
        <v/>
      </c>
      <c r="L6421" s="62">
        <f>K6421-(F6421*I6421)</f>
        <v/>
      </c>
      <c r="M6421" s="64">
        <f>L6421/K6421</f>
        <v/>
      </c>
    </row>
    <row r="6422">
      <c r="A6422" s="58" t="inlineStr">
        <is>
          <t>RT20250611-06421</t>
        </is>
      </c>
      <c r="B6422" s="59" t="inlineStr">
        <is>
          <t>2025-06-11</t>
        </is>
      </c>
      <c r="C6422" s="60" t="inlineStr">
        <is>
          <t>Nimbus Laptop Max-652</t>
        </is>
      </c>
      <c r="D6422" s="58" t="inlineStr">
        <is>
          <t>Electronics</t>
        </is>
      </c>
      <c r="E6422" s="58" t="inlineStr">
        <is>
          <t>West</t>
        </is>
      </c>
      <c r="F6422" s="61" t="n">
        <v>1</v>
      </c>
      <c r="G6422" s="62" t="n">
        <v>1450.44</v>
      </c>
      <c r="H6422" s="63" t="n">
        <v>0.015</v>
      </c>
      <c r="I6422" s="62" t="n">
        <v>1034.26</v>
      </c>
      <c r="J6422" s="58" t="inlineStr">
        <is>
          <t>Store</t>
        </is>
      </c>
      <c r="K6422" s="62">
        <f>F6422*(G6422-H6422)</f>
        <v/>
      </c>
      <c r="L6422" s="62">
        <f>K6422-(F6422*I6422)</f>
        <v/>
      </c>
      <c r="M6422" s="64">
        <f>L6422/K6422</f>
        <v/>
      </c>
    </row>
    <row r="6423">
      <c r="A6423" s="58" t="inlineStr">
        <is>
          <t>RT20250611-06422</t>
        </is>
      </c>
      <c r="B6423" s="59" t="inlineStr">
        <is>
          <t>2025-06-11</t>
        </is>
      </c>
      <c r="C6423" s="60" t="inlineStr">
        <is>
          <t>Orion Supplie S-612</t>
        </is>
      </c>
      <c r="D6423" s="58" t="inlineStr">
        <is>
          <t>Office</t>
        </is>
      </c>
      <c r="E6423" s="58" t="inlineStr">
        <is>
          <t>Central</t>
        </is>
      </c>
      <c r="F6423" s="61" t="n">
        <v>3</v>
      </c>
      <c r="G6423" s="62" t="n">
        <v>460.77</v>
      </c>
      <c r="H6423" s="63" t="n">
        <v>0.052</v>
      </c>
      <c r="I6423" s="62" t="n">
        <v>342.68</v>
      </c>
      <c r="J6423" s="58" t="inlineStr">
        <is>
          <t>Online</t>
        </is>
      </c>
      <c r="K6423" s="62">
        <f>F6423*(G6423-H6423)</f>
        <v/>
      </c>
      <c r="L6423" s="62">
        <f>K6423-(F6423*I6423)</f>
        <v/>
      </c>
      <c r="M6423" s="64">
        <f>L6423/K6423</f>
        <v/>
      </c>
    </row>
    <row r="6424">
      <c r="A6424" s="58" t="inlineStr">
        <is>
          <t>RT20250611-06423</t>
        </is>
      </c>
      <c r="B6424" s="59" t="inlineStr">
        <is>
          <t>2025-06-11</t>
        </is>
      </c>
      <c r="C6424" s="60" t="inlineStr">
        <is>
          <t>Aurora Skincare Max-798</t>
        </is>
      </c>
      <c r="D6424" s="58" t="inlineStr">
        <is>
          <t>Beauty</t>
        </is>
      </c>
      <c r="E6424" s="58" t="inlineStr">
        <is>
          <t>Central</t>
        </is>
      </c>
      <c r="F6424" s="61" t="n">
        <v>3</v>
      </c>
      <c r="G6424" s="62" t="n">
        <v>122.85</v>
      </c>
      <c r="H6424" s="63" t="n">
        <v>0.103</v>
      </c>
      <c r="I6424" s="62" t="n">
        <v>68.95999999999999</v>
      </c>
      <c r="J6424" s="58" t="inlineStr">
        <is>
          <t>Store</t>
        </is>
      </c>
      <c r="K6424" s="62">
        <f>F6424*(G6424-H6424)</f>
        <v/>
      </c>
      <c r="L6424" s="62">
        <f>K6424-(F6424*I6424)</f>
        <v/>
      </c>
      <c r="M6424" s="64">
        <f>L6424/K6424</f>
        <v/>
      </c>
    </row>
    <row r="6425">
      <c r="A6425" s="58" t="inlineStr">
        <is>
          <t>RT20250611-06424</t>
        </is>
      </c>
      <c r="B6425" s="59" t="inlineStr">
        <is>
          <t>2025-06-11</t>
        </is>
      </c>
      <c r="C6425" s="60" t="inlineStr">
        <is>
          <t>Polar Wearable X-119</t>
        </is>
      </c>
      <c r="D6425" s="58" t="inlineStr">
        <is>
          <t>Electronics</t>
        </is>
      </c>
      <c r="E6425" s="58" t="inlineStr">
        <is>
          <t>West</t>
        </is>
      </c>
      <c r="F6425" s="61" t="n">
        <v>2</v>
      </c>
      <c r="G6425" s="62" t="n">
        <v>1635.57</v>
      </c>
      <c r="H6425" s="63" t="n">
        <v>0.06900000000000001</v>
      </c>
      <c r="I6425" s="62" t="n">
        <v>1347.52</v>
      </c>
      <c r="J6425" s="58" t="inlineStr">
        <is>
          <t>Store</t>
        </is>
      </c>
      <c r="K6425" s="62">
        <f>F6425*(G6425-H6425)</f>
        <v/>
      </c>
      <c r="L6425" s="62">
        <f>K6425-(F6425*I6425)</f>
        <v/>
      </c>
      <c r="M6425" s="64">
        <f>L6425/K6425</f>
        <v/>
      </c>
    </row>
    <row r="6426">
      <c r="A6426" s="58" t="inlineStr">
        <is>
          <t>RT20250611-06425</t>
        </is>
      </c>
      <c r="B6426" s="59" t="inlineStr">
        <is>
          <t>2025-06-11</t>
        </is>
      </c>
      <c r="C6426" s="60" t="inlineStr">
        <is>
          <t>Solace Team Sport Max-548</t>
        </is>
      </c>
      <c r="D6426" s="58" t="inlineStr">
        <is>
          <t>Sports</t>
        </is>
      </c>
      <c r="E6426" s="58" t="inlineStr">
        <is>
          <t>West</t>
        </is>
      </c>
      <c r="F6426" s="61" t="n">
        <v>3</v>
      </c>
      <c r="G6426" s="62" t="n">
        <v>768.05</v>
      </c>
      <c r="H6426" s="63" t="n">
        <v>0.043</v>
      </c>
      <c r="I6426" s="62" t="n">
        <v>486.79</v>
      </c>
      <c r="J6426" s="58" t="inlineStr">
        <is>
          <t>Online</t>
        </is>
      </c>
      <c r="K6426" s="62">
        <f>F6426*(G6426-H6426)</f>
        <v/>
      </c>
      <c r="L6426" s="62">
        <f>K6426-(F6426*I6426)</f>
        <v/>
      </c>
      <c r="M6426" s="64">
        <f>L6426/K6426</f>
        <v/>
      </c>
    </row>
    <row r="6427">
      <c r="A6427" s="58" t="inlineStr">
        <is>
          <t>RT20250611-06426</t>
        </is>
      </c>
      <c r="B6427" s="59" t="inlineStr">
        <is>
          <t>2025-06-11</t>
        </is>
      </c>
      <c r="C6427" s="60" t="inlineStr">
        <is>
          <t>Orion Haircare Plus-887</t>
        </is>
      </c>
      <c r="D6427" s="58" t="inlineStr">
        <is>
          <t>Beauty</t>
        </is>
      </c>
      <c r="E6427" s="58" t="inlineStr">
        <is>
          <t>West</t>
        </is>
      </c>
      <c r="F6427" s="61" t="n">
        <v>2</v>
      </c>
      <c r="G6427" s="62" t="n">
        <v>45.68</v>
      </c>
      <c r="H6427" s="63" t="n">
        <v>0.07099999999999999</v>
      </c>
      <c r="I6427" s="62" t="n">
        <v>30.38</v>
      </c>
      <c r="J6427" s="58" t="inlineStr">
        <is>
          <t>Online</t>
        </is>
      </c>
      <c r="K6427" s="62">
        <f>F6427*(G6427-H6427)</f>
        <v/>
      </c>
      <c r="L6427" s="62">
        <f>K6427-(F6427*I6427)</f>
        <v/>
      </c>
      <c r="M6427" s="64">
        <f>L6427/K6427</f>
        <v/>
      </c>
    </row>
    <row r="6428">
      <c r="A6428" s="58" t="inlineStr">
        <is>
          <t>RT20250611-06427</t>
        </is>
      </c>
      <c r="B6428" s="59" t="inlineStr">
        <is>
          <t>2025-06-11</t>
        </is>
      </c>
      <c r="C6428" s="60" t="inlineStr">
        <is>
          <t>Metro Printer X-294</t>
        </is>
      </c>
      <c r="D6428" s="58" t="inlineStr">
        <is>
          <t>Office</t>
        </is>
      </c>
      <c r="E6428" s="58" t="inlineStr">
        <is>
          <t>East</t>
        </is>
      </c>
      <c r="F6428" s="61" t="n">
        <v>1</v>
      </c>
      <c r="G6428" s="62" t="n">
        <v>566.8099999999999</v>
      </c>
      <c r="H6428" s="63" t="n">
        <v>0.007</v>
      </c>
      <c r="I6428" s="62" t="n">
        <v>399.69</v>
      </c>
      <c r="J6428" s="58" t="inlineStr">
        <is>
          <t>Online</t>
        </is>
      </c>
      <c r="K6428" s="62">
        <f>F6428*(G6428-H6428)</f>
        <v/>
      </c>
      <c r="L6428" s="62">
        <f>K6428-(F6428*I6428)</f>
        <v/>
      </c>
      <c r="M6428" s="64">
        <f>L6428/K6428</f>
        <v/>
      </c>
    </row>
    <row r="6429">
      <c r="A6429" s="58" t="inlineStr">
        <is>
          <t>RT20250611-06428</t>
        </is>
      </c>
      <c r="B6429" s="59" t="inlineStr">
        <is>
          <t>2025-06-11</t>
        </is>
      </c>
      <c r="C6429" s="60" t="inlineStr">
        <is>
          <t>Falcon Beverage Max-702</t>
        </is>
      </c>
      <c r="D6429" s="58" t="inlineStr">
        <is>
          <t>Grocery</t>
        </is>
      </c>
      <c r="E6429" s="58" t="inlineStr">
        <is>
          <t>South</t>
        </is>
      </c>
      <c r="F6429" s="61" t="n">
        <v>3</v>
      </c>
      <c r="G6429" s="62" t="n">
        <v>26.14</v>
      </c>
      <c r="H6429" s="63" t="n">
        <v>0.018</v>
      </c>
      <c r="I6429" s="62" t="n">
        <v>19.93</v>
      </c>
      <c r="J6429" s="58" t="inlineStr">
        <is>
          <t>Online</t>
        </is>
      </c>
      <c r="K6429" s="62">
        <f>F6429*(G6429-H6429)</f>
        <v/>
      </c>
      <c r="L6429" s="62">
        <f>K6429-(F6429*I6429)</f>
        <v/>
      </c>
      <c r="M6429" s="64">
        <f>L6429/K6429</f>
        <v/>
      </c>
    </row>
    <row r="6430">
      <c r="A6430" s="58" t="inlineStr">
        <is>
          <t>RT20250611-06429</t>
        </is>
      </c>
      <c r="B6430" s="59" t="inlineStr">
        <is>
          <t>2025-06-11</t>
        </is>
      </c>
      <c r="C6430" s="60" t="inlineStr">
        <is>
          <t>Metro Wearable Plus-234</t>
        </is>
      </c>
      <c r="D6430" s="58" t="inlineStr">
        <is>
          <t>Electronics</t>
        </is>
      </c>
      <c r="E6430" s="58" t="inlineStr">
        <is>
          <t>West</t>
        </is>
      </c>
      <c r="F6430" s="61" t="n">
        <v>1</v>
      </c>
      <c r="G6430" s="62" t="n">
        <v>1500.18</v>
      </c>
      <c r="H6430" s="63" t="n">
        <v>0.078</v>
      </c>
      <c r="I6430" s="62" t="n">
        <v>1154.89</v>
      </c>
      <c r="J6430" s="58" t="inlineStr">
        <is>
          <t>Online</t>
        </is>
      </c>
      <c r="K6430" s="62">
        <f>F6430*(G6430-H6430)</f>
        <v/>
      </c>
      <c r="L6430" s="62">
        <f>K6430-(F6430*I6430)</f>
        <v/>
      </c>
      <c r="M6430" s="64">
        <f>L6430/K6430</f>
        <v/>
      </c>
    </row>
    <row r="6431">
      <c r="A6431" s="58" t="inlineStr">
        <is>
          <t>RT20250611-06430</t>
        </is>
      </c>
      <c r="B6431" s="59" t="inlineStr">
        <is>
          <t>2025-06-11</t>
        </is>
      </c>
      <c r="C6431" s="60" t="inlineStr">
        <is>
          <t>Aurora Fitnes Lite-194</t>
        </is>
      </c>
      <c r="D6431" s="58" t="inlineStr">
        <is>
          <t>Sports</t>
        </is>
      </c>
      <c r="E6431" s="58" t="inlineStr">
        <is>
          <t>North</t>
        </is>
      </c>
      <c r="F6431" s="61" t="n">
        <v>2</v>
      </c>
      <c r="G6431" s="62" t="n">
        <v>697.3099999999999</v>
      </c>
      <c r="H6431" s="63" t="n">
        <v>0.094</v>
      </c>
      <c r="I6431" s="62" t="n">
        <v>471.33</v>
      </c>
      <c r="J6431" s="58" t="inlineStr">
        <is>
          <t>Store</t>
        </is>
      </c>
      <c r="K6431" s="62">
        <f>F6431*(G6431-H6431)</f>
        <v/>
      </c>
      <c r="L6431" s="62">
        <f>K6431-(F6431*I6431)</f>
        <v/>
      </c>
      <c r="M6431" s="64">
        <f>L6431/K6431</f>
        <v/>
      </c>
    </row>
    <row r="6432">
      <c r="A6432" s="58" t="inlineStr">
        <is>
          <t>RT20250611-06431</t>
        </is>
      </c>
      <c r="B6432" s="59" t="inlineStr">
        <is>
          <t>2025-06-11</t>
        </is>
      </c>
      <c r="C6432" s="60" t="inlineStr">
        <is>
          <t>Falcon Kitchen X-130</t>
        </is>
      </c>
      <c r="D6432" s="58" t="inlineStr">
        <is>
          <t>Home</t>
        </is>
      </c>
      <c r="E6432" s="58" t="inlineStr">
        <is>
          <t>South</t>
        </is>
      </c>
      <c r="F6432" s="61" t="n">
        <v>3</v>
      </c>
      <c r="G6432" s="62" t="n">
        <v>439.14</v>
      </c>
      <c r="H6432" s="63" t="n">
        <v>0.059</v>
      </c>
      <c r="I6432" s="62" t="n">
        <v>287.89</v>
      </c>
      <c r="J6432" s="58" t="inlineStr">
        <is>
          <t>Store</t>
        </is>
      </c>
      <c r="K6432" s="62">
        <f>F6432*(G6432-H6432)</f>
        <v/>
      </c>
      <c r="L6432" s="62">
        <f>K6432-(F6432*I6432)</f>
        <v/>
      </c>
      <c r="M6432" s="64">
        <f>L6432/K6432</f>
        <v/>
      </c>
    </row>
    <row r="6433">
      <c r="A6433" s="58" t="inlineStr">
        <is>
          <t>RT20250611-06432</t>
        </is>
      </c>
      <c r="B6433" s="59" t="inlineStr">
        <is>
          <t>2025-06-11</t>
        </is>
      </c>
      <c r="C6433" s="60" t="inlineStr">
        <is>
          <t>Nimbus Women Plus-352</t>
        </is>
      </c>
      <c r="D6433" s="58" t="inlineStr">
        <is>
          <t>Apparel</t>
        </is>
      </c>
      <c r="E6433" s="58" t="inlineStr">
        <is>
          <t>East</t>
        </is>
      </c>
      <c r="F6433" s="61" t="n">
        <v>2</v>
      </c>
      <c r="G6433" s="62" t="n">
        <v>57.27</v>
      </c>
      <c r="H6433" s="63" t="n">
        <v>0.053</v>
      </c>
      <c r="I6433" s="62" t="n">
        <v>32.18</v>
      </c>
      <c r="J6433" s="58" t="inlineStr">
        <is>
          <t>Online</t>
        </is>
      </c>
      <c r="K6433" s="62">
        <f>F6433*(G6433-H6433)</f>
        <v/>
      </c>
      <c r="L6433" s="62">
        <f>K6433-(F6433*I6433)</f>
        <v/>
      </c>
      <c r="M6433" s="64">
        <f>L6433/K6433</f>
        <v/>
      </c>
    </row>
    <row r="6434">
      <c r="A6434" s="58" t="inlineStr">
        <is>
          <t>RT20250612-06433</t>
        </is>
      </c>
      <c r="B6434" s="59" t="inlineStr">
        <is>
          <t>2025-06-12</t>
        </is>
      </c>
      <c r="C6434" s="60" t="inlineStr">
        <is>
          <t>Falcon Headphone Pro-713</t>
        </is>
      </c>
      <c r="D6434" s="58" t="inlineStr">
        <is>
          <t>Electronics</t>
        </is>
      </c>
      <c r="E6434" s="58" t="inlineStr">
        <is>
          <t>Central</t>
        </is>
      </c>
      <c r="F6434" s="61" t="n">
        <v>2</v>
      </c>
      <c r="G6434" s="62" t="n">
        <v>1595.57</v>
      </c>
      <c r="H6434" s="63" t="n">
        <v>0.033</v>
      </c>
      <c r="I6434" s="62" t="n">
        <v>1187.81</v>
      </c>
      <c r="J6434" s="58" t="inlineStr">
        <is>
          <t>Store</t>
        </is>
      </c>
      <c r="K6434" s="62">
        <f>F6434*(G6434-H6434)</f>
        <v/>
      </c>
      <c r="L6434" s="62">
        <f>K6434-(F6434*I6434)</f>
        <v/>
      </c>
      <c r="M6434" s="64">
        <f>L6434/K6434</f>
        <v/>
      </c>
    </row>
    <row r="6435">
      <c r="A6435" s="58" t="inlineStr">
        <is>
          <t>RT20250612-06434</t>
        </is>
      </c>
      <c r="B6435" s="59" t="inlineStr">
        <is>
          <t>2025-06-12</t>
        </is>
      </c>
      <c r="C6435" s="60" t="inlineStr">
        <is>
          <t>Polar Beverage S-258</t>
        </is>
      </c>
      <c r="D6435" s="58" t="inlineStr">
        <is>
          <t>Grocery</t>
        </is>
      </c>
      <c r="E6435" s="58" t="inlineStr">
        <is>
          <t>East</t>
        </is>
      </c>
      <c r="F6435" s="61" t="n">
        <v>2</v>
      </c>
      <c r="G6435" s="62" t="n">
        <v>12.7</v>
      </c>
      <c r="H6435" s="63" t="n">
        <v>0.042</v>
      </c>
      <c r="I6435" s="62" t="n">
        <v>9.470000000000001</v>
      </c>
      <c r="J6435" s="58" t="inlineStr">
        <is>
          <t>Online</t>
        </is>
      </c>
      <c r="K6435" s="62">
        <f>F6435*(G6435-H6435)</f>
        <v/>
      </c>
      <c r="L6435" s="62">
        <f>K6435-(F6435*I6435)</f>
        <v/>
      </c>
      <c r="M6435" s="64">
        <f>L6435/K6435</f>
        <v/>
      </c>
    </row>
    <row r="6436">
      <c r="A6436" s="58" t="inlineStr">
        <is>
          <t>RT20250612-06435</t>
        </is>
      </c>
      <c r="B6436" s="59" t="inlineStr">
        <is>
          <t>2025-06-12</t>
        </is>
      </c>
      <c r="C6436" s="60" t="inlineStr">
        <is>
          <t>Orion Haircare Plus-887</t>
        </is>
      </c>
      <c r="D6436" s="58" t="inlineStr">
        <is>
          <t>Beauty</t>
        </is>
      </c>
      <c r="E6436" s="58" t="inlineStr">
        <is>
          <t>North</t>
        </is>
      </c>
      <c r="F6436" s="61" t="n">
        <v>3</v>
      </c>
      <c r="G6436" s="62" t="n">
        <v>45.47</v>
      </c>
      <c r="H6436" s="63" t="n">
        <v>0.105</v>
      </c>
      <c r="I6436" s="62" t="n">
        <v>30.4</v>
      </c>
      <c r="J6436" s="58" t="inlineStr">
        <is>
          <t>Store</t>
        </is>
      </c>
      <c r="K6436" s="62">
        <f>F6436*(G6436-H6436)</f>
        <v/>
      </c>
      <c r="L6436" s="62">
        <f>K6436-(F6436*I6436)</f>
        <v/>
      </c>
      <c r="M6436" s="64">
        <f>L6436/K6436</f>
        <v/>
      </c>
    </row>
    <row r="6437">
      <c r="A6437" s="58" t="inlineStr">
        <is>
          <t>RT20250612-06436</t>
        </is>
      </c>
      <c r="B6437" s="59" t="inlineStr">
        <is>
          <t>2025-06-12</t>
        </is>
      </c>
      <c r="C6437" s="60" t="inlineStr">
        <is>
          <t>Polar Beverage S-258</t>
        </is>
      </c>
      <c r="D6437" s="58" t="inlineStr">
        <is>
          <t>Grocery</t>
        </is>
      </c>
      <c r="E6437" s="58" t="inlineStr">
        <is>
          <t>East</t>
        </is>
      </c>
      <c r="F6437" s="61" t="n">
        <v>1</v>
      </c>
      <c r="G6437" s="62" t="n">
        <v>13.39</v>
      </c>
      <c r="H6437" s="63" t="n">
        <v>0.055</v>
      </c>
      <c r="I6437" s="62" t="n">
        <v>9.699999999999999</v>
      </c>
      <c r="J6437" s="58" t="inlineStr">
        <is>
          <t>Online</t>
        </is>
      </c>
      <c r="K6437" s="62">
        <f>F6437*(G6437-H6437)</f>
        <v/>
      </c>
      <c r="L6437" s="62">
        <f>K6437-(F6437*I6437)</f>
        <v/>
      </c>
      <c r="M6437" s="64">
        <f>L6437/K6437</f>
        <v/>
      </c>
    </row>
    <row r="6438">
      <c r="A6438" s="58" t="inlineStr">
        <is>
          <t>RT20250612-06437</t>
        </is>
      </c>
      <c r="B6438" s="59" t="inlineStr">
        <is>
          <t>2025-06-12</t>
        </is>
      </c>
      <c r="C6438" s="60" t="inlineStr">
        <is>
          <t>Polar Decor X-935</t>
        </is>
      </c>
      <c r="D6438" s="58" t="inlineStr">
        <is>
          <t>Home</t>
        </is>
      </c>
      <c r="E6438" s="58" t="inlineStr">
        <is>
          <t>North</t>
        </is>
      </c>
      <c r="F6438" s="61" t="n">
        <v>3</v>
      </c>
      <c r="G6438" s="62" t="n">
        <v>301.06</v>
      </c>
      <c r="H6438" s="63" t="n">
        <v>0.078</v>
      </c>
      <c r="I6438" s="62" t="n">
        <v>202.55</v>
      </c>
      <c r="J6438" s="58" t="inlineStr">
        <is>
          <t>Phone</t>
        </is>
      </c>
      <c r="K6438" s="62">
        <f>F6438*(G6438-H6438)</f>
        <v/>
      </c>
      <c r="L6438" s="62">
        <f>K6438-(F6438*I6438)</f>
        <v/>
      </c>
      <c r="M6438" s="64">
        <f>L6438/K6438</f>
        <v/>
      </c>
    </row>
    <row r="6439">
      <c r="A6439" s="58" t="inlineStr">
        <is>
          <t>RT20250612-06438</t>
        </is>
      </c>
      <c r="B6439" s="59" t="inlineStr">
        <is>
          <t>2025-06-12</t>
        </is>
      </c>
      <c r="C6439" s="60" t="inlineStr">
        <is>
          <t>Aurora Outdoor Pro-467</t>
        </is>
      </c>
      <c r="D6439" s="58" t="inlineStr">
        <is>
          <t>Sports</t>
        </is>
      </c>
      <c r="E6439" s="58" t="inlineStr">
        <is>
          <t>Central</t>
        </is>
      </c>
      <c r="F6439" s="61" t="n">
        <v>2</v>
      </c>
      <c r="G6439" s="62" t="n">
        <v>300.31</v>
      </c>
      <c r="H6439" s="63" t="n">
        <v>0.059</v>
      </c>
      <c r="I6439" s="62" t="n">
        <v>187.47</v>
      </c>
      <c r="J6439" s="58" t="inlineStr">
        <is>
          <t>Online</t>
        </is>
      </c>
      <c r="K6439" s="62">
        <f>F6439*(G6439-H6439)</f>
        <v/>
      </c>
      <c r="L6439" s="62">
        <f>K6439-(F6439*I6439)</f>
        <v/>
      </c>
      <c r="M6439" s="64">
        <f>L6439/K6439</f>
        <v/>
      </c>
    </row>
    <row r="6440">
      <c r="A6440" s="58" t="inlineStr">
        <is>
          <t>RT20250612-06439</t>
        </is>
      </c>
      <c r="B6440" s="59" t="inlineStr">
        <is>
          <t>2025-06-12</t>
        </is>
      </c>
      <c r="C6440" s="60" t="inlineStr">
        <is>
          <t>Aurora Fragrance S-971</t>
        </is>
      </c>
      <c r="D6440" s="58" t="inlineStr">
        <is>
          <t>Beauty</t>
        </is>
      </c>
      <c r="E6440" s="58" t="inlineStr">
        <is>
          <t>West</t>
        </is>
      </c>
      <c r="F6440" s="61" t="n">
        <v>4</v>
      </c>
      <c r="G6440" s="62" t="n">
        <v>115.05</v>
      </c>
      <c r="H6440" s="63" t="n">
        <v>0.077</v>
      </c>
      <c r="I6440" s="62" t="n">
        <v>66.8</v>
      </c>
      <c r="J6440" s="58" t="inlineStr">
        <is>
          <t>Store</t>
        </is>
      </c>
      <c r="K6440" s="62">
        <f>F6440*(G6440-H6440)</f>
        <v/>
      </c>
      <c r="L6440" s="62">
        <f>K6440-(F6440*I6440)</f>
        <v/>
      </c>
      <c r="M6440" s="64">
        <f>L6440/K6440</f>
        <v/>
      </c>
    </row>
    <row r="6441">
      <c r="A6441" s="58" t="inlineStr">
        <is>
          <t>RT20250612-06440</t>
        </is>
      </c>
      <c r="B6441" s="59" t="inlineStr">
        <is>
          <t>2025-06-12</t>
        </is>
      </c>
      <c r="C6441" s="60" t="inlineStr">
        <is>
          <t>Aurora Household Plus-146</t>
        </is>
      </c>
      <c r="D6441" s="58" t="inlineStr">
        <is>
          <t>Grocery</t>
        </is>
      </c>
      <c r="E6441" s="58" t="inlineStr">
        <is>
          <t>East</t>
        </is>
      </c>
      <c r="F6441" s="61" t="n">
        <v>1</v>
      </c>
      <c r="G6441" s="62" t="n">
        <v>6.27</v>
      </c>
      <c r="H6441" s="63" t="n">
        <v>0.083</v>
      </c>
      <c r="I6441" s="62" t="n">
        <v>4.47</v>
      </c>
      <c r="J6441" s="58" t="inlineStr">
        <is>
          <t>Online</t>
        </is>
      </c>
      <c r="K6441" s="62">
        <f>F6441*(G6441-H6441)</f>
        <v/>
      </c>
      <c r="L6441" s="62">
        <f>K6441-(F6441*I6441)</f>
        <v/>
      </c>
      <c r="M6441" s="64">
        <f>L6441/K6441</f>
        <v/>
      </c>
    </row>
    <row r="6442">
      <c r="A6442" s="58" t="inlineStr">
        <is>
          <t>RT20250612-06441</t>
        </is>
      </c>
      <c r="B6442" s="59" t="inlineStr">
        <is>
          <t>2025-06-12</t>
        </is>
      </c>
      <c r="C6442" s="60" t="inlineStr">
        <is>
          <t>Aurora Wearable Lite-704</t>
        </is>
      </c>
      <c r="D6442" s="58" t="inlineStr">
        <is>
          <t>Electronics</t>
        </is>
      </c>
      <c r="E6442" s="58" t="inlineStr">
        <is>
          <t>Central</t>
        </is>
      </c>
      <c r="F6442" s="61" t="n">
        <v>1</v>
      </c>
      <c r="G6442" s="62" t="n">
        <v>1824.04</v>
      </c>
      <c r="H6442" s="63" t="n">
        <v>0.097</v>
      </c>
      <c r="I6442" s="62" t="n">
        <v>1466.03</v>
      </c>
      <c r="J6442" s="58" t="inlineStr">
        <is>
          <t>Store</t>
        </is>
      </c>
      <c r="K6442" s="62">
        <f>F6442*(G6442-H6442)</f>
        <v/>
      </c>
      <c r="L6442" s="62">
        <f>K6442-(F6442*I6442)</f>
        <v/>
      </c>
      <c r="M6442" s="64">
        <f>L6442/K6442</f>
        <v/>
      </c>
    </row>
    <row r="6443">
      <c r="A6443" s="58" t="inlineStr">
        <is>
          <t>RT20250612-06442</t>
        </is>
      </c>
      <c r="B6443" s="59" t="inlineStr">
        <is>
          <t>2025-06-12</t>
        </is>
      </c>
      <c r="C6443" s="60" t="inlineStr">
        <is>
          <t>Nimbus Laptop Max-652</t>
        </is>
      </c>
      <c r="D6443" s="58" t="inlineStr">
        <is>
          <t>Electronics</t>
        </is>
      </c>
      <c r="E6443" s="58" t="inlineStr">
        <is>
          <t>East</t>
        </is>
      </c>
      <c r="F6443" s="61" t="n">
        <v>2</v>
      </c>
      <c r="G6443" s="62" t="n">
        <v>1335.45</v>
      </c>
      <c r="H6443" s="63" t="n">
        <v>0.08599999999999999</v>
      </c>
      <c r="I6443" s="62" t="n">
        <v>1024.98</v>
      </c>
      <c r="J6443" s="58" t="inlineStr">
        <is>
          <t>Online</t>
        </is>
      </c>
      <c r="K6443" s="62">
        <f>F6443*(G6443-H6443)</f>
        <v/>
      </c>
      <c r="L6443" s="62">
        <f>K6443-(F6443*I6443)</f>
        <v/>
      </c>
      <c r="M6443" s="64">
        <f>L6443/K6443</f>
        <v/>
      </c>
    </row>
    <row r="6444">
      <c r="A6444" s="58" t="inlineStr">
        <is>
          <t>RT20250612-06443</t>
        </is>
      </c>
      <c r="B6444" s="59" t="inlineStr">
        <is>
          <t>2025-06-12</t>
        </is>
      </c>
      <c r="C6444" s="60" t="inlineStr">
        <is>
          <t>Orion Kid Max-864</t>
        </is>
      </c>
      <c r="D6444" s="58" t="inlineStr">
        <is>
          <t>Apparel</t>
        </is>
      </c>
      <c r="E6444" s="58" t="inlineStr">
        <is>
          <t>East</t>
        </is>
      </c>
      <c r="F6444" s="61" t="n">
        <v>2</v>
      </c>
      <c r="G6444" s="62" t="n">
        <v>79.36</v>
      </c>
      <c r="H6444" s="63" t="n">
        <v>0.065</v>
      </c>
      <c r="I6444" s="62" t="n">
        <v>44.38</v>
      </c>
      <c r="J6444" s="58" t="inlineStr">
        <is>
          <t>Online</t>
        </is>
      </c>
      <c r="K6444" s="62">
        <f>F6444*(G6444-H6444)</f>
        <v/>
      </c>
      <c r="L6444" s="62">
        <f>K6444-(F6444*I6444)</f>
        <v/>
      </c>
      <c r="M6444" s="64">
        <f>L6444/K6444</f>
        <v/>
      </c>
    </row>
    <row r="6445">
      <c r="A6445" s="58" t="inlineStr">
        <is>
          <t>RT20250612-06444</t>
        </is>
      </c>
      <c r="B6445" s="59" t="inlineStr">
        <is>
          <t>2025-06-12</t>
        </is>
      </c>
      <c r="C6445" s="60" t="inlineStr">
        <is>
          <t>Falcon Household Plus-796</t>
        </is>
      </c>
      <c r="D6445" s="58" t="inlineStr">
        <is>
          <t>Grocery</t>
        </is>
      </c>
      <c r="E6445" s="58" t="inlineStr">
        <is>
          <t>West</t>
        </is>
      </c>
      <c r="F6445" s="61" t="n">
        <v>3</v>
      </c>
      <c r="G6445" s="62" t="n">
        <v>22.13</v>
      </c>
      <c r="H6445" s="63" t="n">
        <v>0.03</v>
      </c>
      <c r="I6445" s="62" t="n">
        <v>17.04</v>
      </c>
      <c r="J6445" s="58" t="inlineStr">
        <is>
          <t>Online</t>
        </is>
      </c>
      <c r="K6445" s="62">
        <f>F6445*(G6445-H6445)</f>
        <v/>
      </c>
      <c r="L6445" s="62">
        <f>K6445-(F6445*I6445)</f>
        <v/>
      </c>
      <c r="M6445" s="64">
        <f>L6445/K6445</f>
        <v/>
      </c>
    </row>
    <row r="6446">
      <c r="A6446" s="58" t="inlineStr">
        <is>
          <t>RT20250612-06445</t>
        </is>
      </c>
      <c r="B6446" s="59" t="inlineStr">
        <is>
          <t>2025-06-12</t>
        </is>
      </c>
      <c r="C6446" s="60" t="inlineStr">
        <is>
          <t>Orion Snack X-322</t>
        </is>
      </c>
      <c r="D6446" s="58" t="inlineStr">
        <is>
          <t>Grocery</t>
        </is>
      </c>
      <c r="E6446" s="58" t="inlineStr">
        <is>
          <t>East</t>
        </is>
      </c>
      <c r="F6446" s="61" t="n">
        <v>8</v>
      </c>
      <c r="G6446" s="62" t="n">
        <v>13.62</v>
      </c>
      <c r="H6446" s="63" t="n">
        <v>0.079</v>
      </c>
      <c r="I6446" s="62" t="n">
        <v>9.859999999999999</v>
      </c>
      <c r="J6446" s="58" t="inlineStr">
        <is>
          <t>Phone</t>
        </is>
      </c>
      <c r="K6446" s="62">
        <f>F6446*(G6446-H6446)</f>
        <v/>
      </c>
      <c r="L6446" s="62">
        <f>K6446-(F6446*I6446)</f>
        <v/>
      </c>
      <c r="M6446" s="64">
        <f>L6446/K6446</f>
        <v/>
      </c>
    </row>
    <row r="6447">
      <c r="A6447" s="58" t="inlineStr">
        <is>
          <t>RT20250612-06446</t>
        </is>
      </c>
      <c r="B6447" s="59" t="inlineStr">
        <is>
          <t>2025-06-12</t>
        </is>
      </c>
      <c r="C6447" s="60" t="inlineStr">
        <is>
          <t>Orion Kid Max-640</t>
        </is>
      </c>
      <c r="D6447" s="58" t="inlineStr">
        <is>
          <t>Apparel</t>
        </is>
      </c>
      <c r="E6447" s="58" t="inlineStr">
        <is>
          <t>West</t>
        </is>
      </c>
      <c r="F6447" s="61" t="n">
        <v>4</v>
      </c>
      <c r="G6447" s="62" t="n">
        <v>119</v>
      </c>
      <c r="H6447" s="63" t="n">
        <v>0.015</v>
      </c>
      <c r="I6447" s="62" t="n">
        <v>73.20999999999999</v>
      </c>
      <c r="J6447" s="58" t="inlineStr">
        <is>
          <t>Online</t>
        </is>
      </c>
      <c r="K6447" s="62">
        <f>F6447*(G6447-H6447)</f>
        <v/>
      </c>
      <c r="L6447" s="62">
        <f>K6447-(F6447*I6447)</f>
        <v/>
      </c>
      <c r="M6447" s="64">
        <f>L6447/K6447</f>
        <v/>
      </c>
    </row>
    <row r="6448">
      <c r="A6448" s="58" t="inlineStr">
        <is>
          <t>RT20250612-06447</t>
        </is>
      </c>
      <c r="B6448" s="59" t="inlineStr">
        <is>
          <t>2025-06-12</t>
        </is>
      </c>
      <c r="C6448" s="60" t="inlineStr">
        <is>
          <t>Polar Outdoor X-193</t>
        </is>
      </c>
      <c r="D6448" s="58" t="inlineStr">
        <is>
          <t>Sports</t>
        </is>
      </c>
      <c r="E6448" s="58" t="inlineStr">
        <is>
          <t>South</t>
        </is>
      </c>
      <c r="F6448" s="61" t="n">
        <v>2</v>
      </c>
      <c r="G6448" s="62" t="n">
        <v>753.65</v>
      </c>
      <c r="H6448" s="63" t="n">
        <v>0.026</v>
      </c>
      <c r="I6448" s="62" t="n">
        <v>444.81</v>
      </c>
      <c r="J6448" s="58" t="inlineStr">
        <is>
          <t>Store</t>
        </is>
      </c>
      <c r="K6448" s="62">
        <f>F6448*(G6448-H6448)</f>
        <v/>
      </c>
      <c r="L6448" s="62">
        <f>K6448-(F6448*I6448)</f>
        <v/>
      </c>
      <c r="M6448" s="64">
        <f>L6448/K6448</f>
        <v/>
      </c>
    </row>
    <row r="6449">
      <c r="A6449" s="58" t="inlineStr">
        <is>
          <t>RT20250612-06448</t>
        </is>
      </c>
      <c r="B6449" s="59" t="inlineStr">
        <is>
          <t>2025-06-12</t>
        </is>
      </c>
      <c r="C6449" s="60" t="inlineStr">
        <is>
          <t>Aurora Household Plus-146</t>
        </is>
      </c>
      <c r="D6449" s="58" t="inlineStr">
        <is>
          <t>Grocery</t>
        </is>
      </c>
      <c r="E6449" s="58" t="inlineStr">
        <is>
          <t>South</t>
        </is>
      </c>
      <c r="F6449" s="61" t="n">
        <v>1</v>
      </c>
      <c r="G6449" s="62" t="n">
        <v>6.13</v>
      </c>
      <c r="H6449" s="63" t="n">
        <v>0.11</v>
      </c>
      <c r="I6449" s="62" t="n">
        <v>4.52</v>
      </c>
      <c r="J6449" s="58" t="inlineStr">
        <is>
          <t>Online</t>
        </is>
      </c>
      <c r="K6449" s="62">
        <f>F6449*(G6449-H6449)</f>
        <v/>
      </c>
      <c r="L6449" s="62">
        <f>K6449-(F6449*I6449)</f>
        <v/>
      </c>
      <c r="M6449" s="64">
        <f>L6449/K6449</f>
        <v/>
      </c>
    </row>
    <row r="6450">
      <c r="A6450" s="58" t="inlineStr">
        <is>
          <t>RT20250612-06449</t>
        </is>
      </c>
      <c r="B6450" s="59" t="inlineStr">
        <is>
          <t>2025-06-12</t>
        </is>
      </c>
      <c r="C6450" s="60" t="inlineStr">
        <is>
          <t>Orion Beverage Plus-949</t>
        </is>
      </c>
      <c r="D6450" s="58" t="inlineStr">
        <is>
          <t>Grocery</t>
        </is>
      </c>
      <c r="E6450" s="58" t="inlineStr">
        <is>
          <t>East</t>
        </is>
      </c>
      <c r="F6450" s="61" t="n">
        <v>4</v>
      </c>
      <c r="G6450" s="62" t="n">
        <v>22.58</v>
      </c>
      <c r="H6450" s="63" t="n">
        <v>0.055</v>
      </c>
      <c r="I6450" s="62" t="n">
        <v>13.41</v>
      </c>
      <c r="J6450" s="58" t="inlineStr">
        <is>
          <t>Store</t>
        </is>
      </c>
      <c r="K6450" s="62">
        <f>F6450*(G6450-H6450)</f>
        <v/>
      </c>
      <c r="L6450" s="62">
        <f>K6450-(F6450*I6450)</f>
        <v/>
      </c>
      <c r="M6450" s="64">
        <f>L6450/K6450</f>
        <v/>
      </c>
    </row>
    <row r="6451">
      <c r="A6451" s="58" t="inlineStr">
        <is>
          <t>RT20250612-06450</t>
        </is>
      </c>
      <c r="B6451" s="59" t="inlineStr">
        <is>
          <t>2025-06-12</t>
        </is>
      </c>
      <c r="C6451" s="60" t="inlineStr">
        <is>
          <t>Nimbus Decor Lite-385</t>
        </is>
      </c>
      <c r="D6451" s="58" t="inlineStr">
        <is>
          <t>Home</t>
        </is>
      </c>
      <c r="E6451" s="58" t="inlineStr">
        <is>
          <t>Central</t>
        </is>
      </c>
      <c r="F6451" s="61" t="n">
        <v>3</v>
      </c>
      <c r="G6451" s="62" t="n">
        <v>615.5599999999999</v>
      </c>
      <c r="H6451" s="63" t="n">
        <v>0.031</v>
      </c>
      <c r="I6451" s="62" t="n">
        <v>391.73</v>
      </c>
      <c r="J6451" s="58" t="inlineStr">
        <is>
          <t>Online</t>
        </is>
      </c>
      <c r="K6451" s="62">
        <f>F6451*(G6451-H6451)</f>
        <v/>
      </c>
      <c r="L6451" s="62">
        <f>K6451-(F6451*I6451)</f>
        <v/>
      </c>
      <c r="M6451" s="64">
        <f>L6451/K6451</f>
        <v/>
      </c>
    </row>
    <row r="6452">
      <c r="A6452" s="58" t="inlineStr">
        <is>
          <t>RT20250612-06451</t>
        </is>
      </c>
      <c r="B6452" s="59" t="inlineStr">
        <is>
          <t>2025-06-12</t>
        </is>
      </c>
      <c r="C6452" s="60" t="inlineStr">
        <is>
          <t>Solace Headphone Pro-344</t>
        </is>
      </c>
      <c r="D6452" s="58" t="inlineStr">
        <is>
          <t>Electronics</t>
        </is>
      </c>
      <c r="E6452" s="58" t="inlineStr">
        <is>
          <t>South</t>
        </is>
      </c>
      <c r="F6452" s="61" t="n">
        <v>2</v>
      </c>
      <c r="G6452" s="62" t="n">
        <v>1262.82</v>
      </c>
      <c r="H6452" s="63" t="n">
        <v>0.111</v>
      </c>
      <c r="I6452" s="62" t="n">
        <v>1074.99</v>
      </c>
      <c r="J6452" s="58" t="inlineStr">
        <is>
          <t>Online</t>
        </is>
      </c>
      <c r="K6452" s="62">
        <f>F6452*(G6452-H6452)</f>
        <v/>
      </c>
      <c r="L6452" s="62">
        <f>K6452-(F6452*I6452)</f>
        <v/>
      </c>
      <c r="M6452" s="64">
        <f>L6452/K6452</f>
        <v/>
      </c>
    </row>
    <row r="6453">
      <c r="A6453" s="58" t="inlineStr">
        <is>
          <t>RT20250612-06452</t>
        </is>
      </c>
      <c r="B6453" s="59" t="inlineStr">
        <is>
          <t>2025-06-12</t>
        </is>
      </c>
      <c r="C6453" s="60" t="inlineStr">
        <is>
          <t>Polar Laptop Plus-984</t>
        </is>
      </c>
      <c r="D6453" s="58" t="inlineStr">
        <is>
          <t>Electronics</t>
        </is>
      </c>
      <c r="E6453" s="58" t="inlineStr">
        <is>
          <t>East</t>
        </is>
      </c>
      <c r="F6453" s="61" t="n">
        <v>2</v>
      </c>
      <c r="G6453" s="62" t="n">
        <v>1350.24</v>
      </c>
      <c r="H6453" s="63" t="n">
        <v>0.098</v>
      </c>
      <c r="I6453" s="62" t="n">
        <v>983.05</v>
      </c>
      <c r="J6453" s="58" t="inlineStr">
        <is>
          <t>Online</t>
        </is>
      </c>
      <c r="K6453" s="62">
        <f>F6453*(G6453-H6453)</f>
        <v/>
      </c>
      <c r="L6453" s="62">
        <f>K6453-(F6453*I6453)</f>
        <v/>
      </c>
      <c r="M6453" s="64">
        <f>L6453/K6453</f>
        <v/>
      </c>
    </row>
    <row r="6454">
      <c r="A6454" s="58" t="inlineStr">
        <is>
          <t>RT20250612-06453</t>
        </is>
      </c>
      <c r="B6454" s="59" t="inlineStr">
        <is>
          <t>2025-06-12</t>
        </is>
      </c>
      <c r="C6454" s="60" t="inlineStr">
        <is>
          <t>Falcon Beverage Max-702</t>
        </is>
      </c>
      <c r="D6454" s="58" t="inlineStr">
        <is>
          <t>Grocery</t>
        </is>
      </c>
      <c r="E6454" s="58" t="inlineStr">
        <is>
          <t>North</t>
        </is>
      </c>
      <c r="F6454" s="61" t="n">
        <v>2</v>
      </c>
      <c r="G6454" s="62" t="n">
        <v>27.24</v>
      </c>
      <c r="H6454" s="63" t="n">
        <v>0.055</v>
      </c>
      <c r="I6454" s="62" t="n">
        <v>20.52</v>
      </c>
      <c r="J6454" s="58" t="inlineStr">
        <is>
          <t>Online</t>
        </is>
      </c>
      <c r="K6454" s="62">
        <f>F6454*(G6454-H6454)</f>
        <v/>
      </c>
      <c r="L6454" s="62">
        <f>K6454-(F6454*I6454)</f>
        <v/>
      </c>
      <c r="M6454" s="64">
        <f>L6454/K6454</f>
        <v/>
      </c>
    </row>
    <row r="6455">
      <c r="A6455" s="58" t="inlineStr">
        <is>
          <t>RT20250612-06454</t>
        </is>
      </c>
      <c r="B6455" s="59" t="inlineStr">
        <is>
          <t>2025-06-12</t>
        </is>
      </c>
      <c r="C6455" s="60" t="inlineStr">
        <is>
          <t>Nimbus Women Lite-814</t>
        </is>
      </c>
      <c r="D6455" s="58" t="inlineStr">
        <is>
          <t>Apparel</t>
        </is>
      </c>
      <c r="E6455" s="58" t="inlineStr">
        <is>
          <t>West</t>
        </is>
      </c>
      <c r="F6455" s="61" t="n">
        <v>2</v>
      </c>
      <c r="G6455" s="62" t="n">
        <v>138.2</v>
      </c>
      <c r="H6455" s="63" t="n">
        <v>0.025</v>
      </c>
      <c r="I6455" s="62" t="n">
        <v>82.61</v>
      </c>
      <c r="J6455" s="58" t="inlineStr">
        <is>
          <t>Online</t>
        </is>
      </c>
      <c r="K6455" s="62">
        <f>F6455*(G6455-H6455)</f>
        <v/>
      </c>
      <c r="L6455" s="62">
        <f>K6455-(F6455*I6455)</f>
        <v/>
      </c>
      <c r="M6455" s="64">
        <f>L6455/K6455</f>
        <v/>
      </c>
    </row>
    <row r="6456">
      <c r="A6456" s="58" t="inlineStr">
        <is>
          <t>RT20250612-06455</t>
        </is>
      </c>
      <c r="B6456" s="59" t="inlineStr">
        <is>
          <t>2025-06-12</t>
        </is>
      </c>
      <c r="C6456" s="60" t="inlineStr">
        <is>
          <t>Vertex Accessorie Pro-881</t>
        </is>
      </c>
      <c r="D6456" s="58" t="inlineStr">
        <is>
          <t>Apparel</t>
        </is>
      </c>
      <c r="E6456" s="58" t="inlineStr">
        <is>
          <t>East</t>
        </is>
      </c>
      <c r="F6456" s="61" t="n">
        <v>1</v>
      </c>
      <c r="G6456" s="62" t="n">
        <v>105.72</v>
      </c>
      <c r="H6456" s="63" t="n">
        <v>0.076</v>
      </c>
      <c r="I6456" s="62" t="n">
        <v>61.34</v>
      </c>
      <c r="J6456" s="58" t="inlineStr">
        <is>
          <t>Online</t>
        </is>
      </c>
      <c r="K6456" s="62">
        <f>F6456*(G6456-H6456)</f>
        <v/>
      </c>
      <c r="L6456" s="62">
        <f>K6456-(F6456*I6456)</f>
        <v/>
      </c>
      <c r="M6456" s="64">
        <f>L6456/K6456</f>
        <v/>
      </c>
    </row>
    <row r="6457">
      <c r="A6457" s="58" t="inlineStr">
        <is>
          <t>RT20250612-06456</t>
        </is>
      </c>
      <c r="B6457" s="59" t="inlineStr">
        <is>
          <t>2025-06-12</t>
        </is>
      </c>
      <c r="C6457" s="60" t="inlineStr">
        <is>
          <t>Nimbus Women Plus-352</t>
        </is>
      </c>
      <c r="D6457" s="58" t="inlineStr">
        <is>
          <t>Apparel</t>
        </is>
      </c>
      <c r="E6457" s="58" t="inlineStr">
        <is>
          <t>East</t>
        </is>
      </c>
      <c r="F6457" s="61" t="n">
        <v>3</v>
      </c>
      <c r="G6457" s="62" t="n">
        <v>56.1</v>
      </c>
      <c r="H6457" s="63" t="n">
        <v>0.098</v>
      </c>
      <c r="I6457" s="62" t="n">
        <v>33.31</v>
      </c>
      <c r="J6457" s="58" t="inlineStr">
        <is>
          <t>Store</t>
        </is>
      </c>
      <c r="K6457" s="62">
        <f>F6457*(G6457-H6457)</f>
        <v/>
      </c>
      <c r="L6457" s="62">
        <f>K6457-(F6457*I6457)</f>
        <v/>
      </c>
      <c r="M6457" s="64">
        <f>L6457/K6457</f>
        <v/>
      </c>
    </row>
    <row r="6458">
      <c r="A6458" s="58" t="inlineStr">
        <is>
          <t>RT20250612-06457</t>
        </is>
      </c>
      <c r="B6458" s="59" t="inlineStr">
        <is>
          <t>2025-06-12</t>
        </is>
      </c>
      <c r="C6458" s="60" t="inlineStr">
        <is>
          <t>Nimbus Makeup Max-158</t>
        </is>
      </c>
      <c r="D6458" s="58" t="inlineStr">
        <is>
          <t>Beauty</t>
        </is>
      </c>
      <c r="E6458" s="58" t="inlineStr">
        <is>
          <t>East</t>
        </is>
      </c>
      <c r="F6458" s="61" t="n">
        <v>2</v>
      </c>
      <c r="G6458" s="62" t="n">
        <v>154.93</v>
      </c>
      <c r="H6458" s="63" t="n">
        <v>0.05</v>
      </c>
      <c r="I6458" s="62" t="n">
        <v>98.73999999999999</v>
      </c>
      <c r="J6458" s="58" t="inlineStr">
        <is>
          <t>Online</t>
        </is>
      </c>
      <c r="K6458" s="62">
        <f>F6458*(G6458-H6458)</f>
        <v/>
      </c>
      <c r="L6458" s="62">
        <f>K6458-(F6458*I6458)</f>
        <v/>
      </c>
      <c r="M6458" s="64">
        <f>L6458/K6458</f>
        <v/>
      </c>
    </row>
    <row r="6459">
      <c r="A6459" s="58" t="inlineStr">
        <is>
          <t>RT20250612-06458</t>
        </is>
      </c>
      <c r="B6459" s="59" t="inlineStr">
        <is>
          <t>2025-06-12</t>
        </is>
      </c>
      <c r="C6459" s="60" t="inlineStr">
        <is>
          <t>Aurora Kid Plus-151</t>
        </is>
      </c>
      <c r="D6459" s="58" t="inlineStr">
        <is>
          <t>Apparel</t>
        </is>
      </c>
      <c r="E6459" s="58" t="inlineStr">
        <is>
          <t>North</t>
        </is>
      </c>
      <c r="F6459" s="61" t="n">
        <v>4</v>
      </c>
      <c r="G6459" s="62" t="n">
        <v>103.43</v>
      </c>
      <c r="H6459" s="63" t="n">
        <v>0.025</v>
      </c>
      <c r="I6459" s="62" t="n">
        <v>62.58</v>
      </c>
      <c r="J6459" s="58" t="inlineStr">
        <is>
          <t>Online</t>
        </is>
      </c>
      <c r="K6459" s="62">
        <f>F6459*(G6459-H6459)</f>
        <v/>
      </c>
      <c r="L6459" s="62">
        <f>K6459-(F6459*I6459)</f>
        <v/>
      </c>
      <c r="M6459" s="64">
        <f>L6459/K6459</f>
        <v/>
      </c>
    </row>
    <row r="6460">
      <c r="A6460" s="58" t="inlineStr">
        <is>
          <t>RT20250612-06459</t>
        </is>
      </c>
      <c r="B6460" s="59" t="inlineStr">
        <is>
          <t>2025-06-12</t>
        </is>
      </c>
      <c r="C6460" s="60" t="inlineStr">
        <is>
          <t>Falcon Household Pro-865</t>
        </is>
      </c>
      <c r="D6460" s="58" t="inlineStr">
        <is>
          <t>Grocery</t>
        </is>
      </c>
      <c r="E6460" s="58" t="inlineStr">
        <is>
          <t>Central</t>
        </is>
      </c>
      <c r="F6460" s="61" t="n">
        <v>8</v>
      </c>
      <c r="G6460" s="62" t="n">
        <v>11.55</v>
      </c>
      <c r="H6460" s="63" t="n">
        <v>0.07199999999999999</v>
      </c>
      <c r="I6460" s="62" t="n">
        <v>7.67</v>
      </c>
      <c r="J6460" s="58" t="inlineStr">
        <is>
          <t>Store</t>
        </is>
      </c>
      <c r="K6460" s="62">
        <f>F6460*(G6460-H6460)</f>
        <v/>
      </c>
      <c r="L6460" s="62">
        <f>K6460-(F6460*I6460)</f>
        <v/>
      </c>
      <c r="M6460" s="64">
        <f>L6460/K6460</f>
        <v/>
      </c>
    </row>
    <row r="6461">
      <c r="A6461" s="58" t="inlineStr">
        <is>
          <t>RT20250612-06460</t>
        </is>
      </c>
      <c r="B6461" s="59" t="inlineStr">
        <is>
          <t>2025-06-12</t>
        </is>
      </c>
      <c r="C6461" s="60" t="inlineStr">
        <is>
          <t>Polar Haircare Max-614</t>
        </is>
      </c>
      <c r="D6461" s="58" t="inlineStr">
        <is>
          <t>Beauty</t>
        </is>
      </c>
      <c r="E6461" s="58" t="inlineStr">
        <is>
          <t>East</t>
        </is>
      </c>
      <c r="F6461" s="61" t="n">
        <v>1</v>
      </c>
      <c r="G6461" s="62" t="n">
        <v>114.62</v>
      </c>
      <c r="H6461" s="63" t="n">
        <v>0.047</v>
      </c>
      <c r="I6461" s="62" t="n">
        <v>67.79000000000001</v>
      </c>
      <c r="J6461" s="58" t="inlineStr">
        <is>
          <t>Store</t>
        </is>
      </c>
      <c r="K6461" s="62">
        <f>F6461*(G6461-H6461)</f>
        <v/>
      </c>
      <c r="L6461" s="62">
        <f>K6461-(F6461*I6461)</f>
        <v/>
      </c>
      <c r="M6461" s="64">
        <f>L6461/K6461</f>
        <v/>
      </c>
    </row>
    <row r="6462">
      <c r="A6462" s="58" t="inlineStr">
        <is>
          <t>RT20250612-06461</t>
        </is>
      </c>
      <c r="B6462" s="59" t="inlineStr">
        <is>
          <t>2025-06-12</t>
        </is>
      </c>
      <c r="C6462" s="60" t="inlineStr">
        <is>
          <t>Vertex Snack S-702</t>
        </is>
      </c>
      <c r="D6462" s="58" t="inlineStr">
        <is>
          <t>Grocery</t>
        </is>
      </c>
      <c r="E6462" s="58" t="inlineStr">
        <is>
          <t>East</t>
        </is>
      </c>
      <c r="F6462" s="61" t="n">
        <v>2</v>
      </c>
      <c r="G6462" s="62" t="n">
        <v>2.08</v>
      </c>
      <c r="H6462" s="63" t="n">
        <v>0.036</v>
      </c>
      <c r="I6462" s="62" t="n">
        <v>1.49</v>
      </c>
      <c r="J6462" s="58" t="inlineStr">
        <is>
          <t>Store</t>
        </is>
      </c>
      <c r="K6462" s="62">
        <f>F6462*(G6462-H6462)</f>
        <v/>
      </c>
      <c r="L6462" s="62">
        <f>K6462-(F6462*I6462)</f>
        <v/>
      </c>
      <c r="M6462" s="64">
        <f>L6462/K6462</f>
        <v/>
      </c>
    </row>
    <row r="6463">
      <c r="A6463" s="58" t="inlineStr">
        <is>
          <t>RT20250612-06462</t>
        </is>
      </c>
      <c r="B6463" s="59" t="inlineStr">
        <is>
          <t>2025-06-12</t>
        </is>
      </c>
      <c r="C6463" s="60" t="inlineStr">
        <is>
          <t>Falcon Household Pro-865</t>
        </is>
      </c>
      <c r="D6463" s="58" t="inlineStr">
        <is>
          <t>Grocery</t>
        </is>
      </c>
      <c r="E6463" s="58" t="inlineStr">
        <is>
          <t>South</t>
        </is>
      </c>
      <c r="F6463" s="61" t="n">
        <v>3</v>
      </c>
      <c r="G6463" s="62" t="n">
        <v>11.53</v>
      </c>
      <c r="H6463" s="63" t="n">
        <v>0.11</v>
      </c>
      <c r="I6463" s="62" t="n">
        <v>7.82</v>
      </c>
      <c r="J6463" s="58" t="inlineStr">
        <is>
          <t>Store</t>
        </is>
      </c>
      <c r="K6463" s="62">
        <f>F6463*(G6463-H6463)</f>
        <v/>
      </c>
      <c r="L6463" s="62">
        <f>K6463-(F6463*I6463)</f>
        <v/>
      </c>
      <c r="M6463" s="64">
        <f>L6463/K6463</f>
        <v/>
      </c>
    </row>
    <row r="6464">
      <c r="A6464" s="58" t="inlineStr">
        <is>
          <t>RT20250612-06463</t>
        </is>
      </c>
      <c r="B6464" s="59" t="inlineStr">
        <is>
          <t>2025-06-12</t>
        </is>
      </c>
      <c r="C6464" s="60" t="inlineStr">
        <is>
          <t>Polar Women Max-927</t>
        </is>
      </c>
      <c r="D6464" s="58" t="inlineStr">
        <is>
          <t>Apparel</t>
        </is>
      </c>
      <c r="E6464" s="58" t="inlineStr">
        <is>
          <t>East</t>
        </is>
      </c>
      <c r="F6464" s="61" t="n">
        <v>2</v>
      </c>
      <c r="G6464" s="62" t="n">
        <v>116.18</v>
      </c>
      <c r="H6464" s="63" t="n">
        <v>0.089</v>
      </c>
      <c r="I6464" s="62" t="n">
        <v>63.51</v>
      </c>
      <c r="J6464" s="58" t="inlineStr">
        <is>
          <t>Online</t>
        </is>
      </c>
      <c r="K6464" s="62">
        <f>F6464*(G6464-H6464)</f>
        <v/>
      </c>
      <c r="L6464" s="62">
        <f>K6464-(F6464*I6464)</f>
        <v/>
      </c>
      <c r="M6464" s="64">
        <f>L6464/K6464</f>
        <v/>
      </c>
    </row>
    <row r="6465">
      <c r="A6465" s="58" t="inlineStr">
        <is>
          <t>RT20250612-06464</t>
        </is>
      </c>
      <c r="B6465" s="59" t="inlineStr">
        <is>
          <t>2025-06-12</t>
        </is>
      </c>
      <c r="C6465" s="60" t="inlineStr">
        <is>
          <t>Metro Accessorie Max-316</t>
        </is>
      </c>
      <c r="D6465" s="58" t="inlineStr">
        <is>
          <t>Apparel</t>
        </is>
      </c>
      <c r="E6465" s="58" t="inlineStr">
        <is>
          <t>West</t>
        </is>
      </c>
      <c r="F6465" s="61" t="n">
        <v>2</v>
      </c>
      <c r="G6465" s="62" t="n">
        <v>166.5</v>
      </c>
      <c r="H6465" s="63" t="n">
        <v>0.116</v>
      </c>
      <c r="I6465" s="62" t="n">
        <v>92.84999999999999</v>
      </c>
      <c r="J6465" s="58" t="inlineStr">
        <is>
          <t>Online</t>
        </is>
      </c>
      <c r="K6465" s="62">
        <f>F6465*(G6465-H6465)</f>
        <v/>
      </c>
      <c r="L6465" s="62">
        <f>K6465-(F6465*I6465)</f>
        <v/>
      </c>
      <c r="M6465" s="64">
        <f>L6465/K6465</f>
        <v/>
      </c>
    </row>
    <row r="6466">
      <c r="A6466" s="58" t="inlineStr">
        <is>
          <t>RT20250612-06465</t>
        </is>
      </c>
      <c r="B6466" s="59" t="inlineStr">
        <is>
          <t>2025-06-12</t>
        </is>
      </c>
      <c r="C6466" s="60" t="inlineStr">
        <is>
          <t>Aurora Furniture X-709</t>
        </is>
      </c>
      <c r="D6466" s="58" t="inlineStr">
        <is>
          <t>Office</t>
        </is>
      </c>
      <c r="E6466" s="58" t="inlineStr">
        <is>
          <t>West</t>
        </is>
      </c>
      <c r="F6466" s="61" t="n">
        <v>1</v>
      </c>
      <c r="G6466" s="62" t="n">
        <v>500.77</v>
      </c>
      <c r="H6466" s="63" t="n">
        <v>0.065</v>
      </c>
      <c r="I6466" s="62" t="n">
        <v>312.3</v>
      </c>
      <c r="J6466" s="58" t="inlineStr">
        <is>
          <t>Store</t>
        </is>
      </c>
      <c r="K6466" s="62">
        <f>F6466*(G6466-H6466)</f>
        <v/>
      </c>
      <c r="L6466" s="62">
        <f>K6466-(F6466*I6466)</f>
        <v/>
      </c>
      <c r="M6466" s="64">
        <f>L6466/K6466</f>
        <v/>
      </c>
    </row>
    <row r="6467">
      <c r="A6467" s="58" t="inlineStr">
        <is>
          <t>RT20250612-06466</t>
        </is>
      </c>
      <c r="B6467" s="59" t="inlineStr">
        <is>
          <t>2025-06-12</t>
        </is>
      </c>
      <c r="C6467" s="60" t="inlineStr">
        <is>
          <t>Vertex Appliance Max-338</t>
        </is>
      </c>
      <c r="D6467" s="58" t="inlineStr">
        <is>
          <t>Home</t>
        </is>
      </c>
      <c r="E6467" s="58" t="inlineStr">
        <is>
          <t>Central</t>
        </is>
      </c>
      <c r="F6467" s="61" t="n">
        <v>2</v>
      </c>
      <c r="G6467" s="62" t="n">
        <v>416.01</v>
      </c>
      <c r="H6467" s="63" t="n">
        <v>0.042</v>
      </c>
      <c r="I6467" s="62" t="n">
        <v>280.91</v>
      </c>
      <c r="J6467" s="58" t="inlineStr">
        <is>
          <t>Store</t>
        </is>
      </c>
      <c r="K6467" s="62">
        <f>F6467*(G6467-H6467)</f>
        <v/>
      </c>
      <c r="L6467" s="62">
        <f>K6467-(F6467*I6467)</f>
        <v/>
      </c>
      <c r="M6467" s="64">
        <f>L6467/K6467</f>
        <v/>
      </c>
    </row>
    <row r="6468">
      <c r="A6468" s="58" t="inlineStr">
        <is>
          <t>RT20250613-06467</t>
        </is>
      </c>
      <c r="B6468" s="59" t="inlineStr">
        <is>
          <t>2025-06-13</t>
        </is>
      </c>
      <c r="C6468" s="60" t="inlineStr">
        <is>
          <t>Falcon Headphone Plus-789</t>
        </is>
      </c>
      <c r="D6468" s="58" t="inlineStr">
        <is>
          <t>Electronics</t>
        </is>
      </c>
      <c r="E6468" s="58" t="inlineStr">
        <is>
          <t>South</t>
        </is>
      </c>
      <c r="F6468" s="61" t="n">
        <v>1</v>
      </c>
      <c r="G6468" s="62" t="n">
        <v>1482.89</v>
      </c>
      <c r="H6468" s="63" t="n">
        <v>0.07099999999999999</v>
      </c>
      <c r="I6468" s="62" t="n">
        <v>1320.62</v>
      </c>
      <c r="J6468" s="58" t="inlineStr">
        <is>
          <t>Online</t>
        </is>
      </c>
      <c r="K6468" s="62">
        <f>F6468*(G6468-H6468)</f>
        <v/>
      </c>
      <c r="L6468" s="62">
        <f>K6468-(F6468*I6468)</f>
        <v/>
      </c>
      <c r="M6468" s="64">
        <f>L6468/K6468</f>
        <v/>
      </c>
    </row>
    <row r="6469">
      <c r="A6469" s="58" t="inlineStr">
        <is>
          <t>RT20250613-06468</t>
        </is>
      </c>
      <c r="B6469" s="59" t="inlineStr">
        <is>
          <t>2025-06-13</t>
        </is>
      </c>
      <c r="C6469" s="60" t="inlineStr">
        <is>
          <t>Polar Beverage S-258</t>
        </is>
      </c>
      <c r="D6469" s="58" t="inlineStr">
        <is>
          <t>Grocery</t>
        </is>
      </c>
      <c r="E6469" s="58" t="inlineStr">
        <is>
          <t>North</t>
        </is>
      </c>
      <c r="F6469" s="61" t="n">
        <v>1</v>
      </c>
      <c r="G6469" s="62" t="n">
        <v>12.36</v>
      </c>
      <c r="H6469" s="63" t="n">
        <v>0.081</v>
      </c>
      <c r="I6469" s="62" t="n">
        <v>9.630000000000001</v>
      </c>
      <c r="J6469" s="58" t="inlineStr">
        <is>
          <t>Online</t>
        </is>
      </c>
      <c r="K6469" s="62">
        <f>F6469*(G6469-H6469)</f>
        <v/>
      </c>
      <c r="L6469" s="62">
        <f>K6469-(F6469*I6469)</f>
        <v/>
      </c>
      <c r="M6469" s="64">
        <f>L6469/K6469</f>
        <v/>
      </c>
    </row>
    <row r="6470">
      <c r="A6470" s="58" t="inlineStr">
        <is>
          <t>RT20250613-06469</t>
        </is>
      </c>
      <c r="B6470" s="59" t="inlineStr">
        <is>
          <t>2025-06-13</t>
        </is>
      </c>
      <c r="C6470" s="60" t="inlineStr">
        <is>
          <t>Orion Supplie S-612</t>
        </is>
      </c>
      <c r="D6470" s="58" t="inlineStr">
        <is>
          <t>Office</t>
        </is>
      </c>
      <c r="E6470" s="58" t="inlineStr">
        <is>
          <t>South</t>
        </is>
      </c>
      <c r="F6470" s="61" t="n">
        <v>2</v>
      </c>
      <c r="G6470" s="62" t="n">
        <v>455.35</v>
      </c>
      <c r="H6470" s="63" t="n">
        <v>0.024</v>
      </c>
      <c r="I6470" s="62" t="n">
        <v>341.88</v>
      </c>
      <c r="J6470" s="58" t="inlineStr">
        <is>
          <t>Online</t>
        </is>
      </c>
      <c r="K6470" s="62">
        <f>F6470*(G6470-H6470)</f>
        <v/>
      </c>
      <c r="L6470" s="62">
        <f>K6470-(F6470*I6470)</f>
        <v/>
      </c>
      <c r="M6470" s="64">
        <f>L6470/K6470</f>
        <v/>
      </c>
    </row>
    <row r="6471">
      <c r="A6471" s="58" t="inlineStr">
        <is>
          <t>RT20250613-06470</t>
        </is>
      </c>
      <c r="B6471" s="59" t="inlineStr">
        <is>
          <t>2025-06-13</t>
        </is>
      </c>
      <c r="C6471" s="60" t="inlineStr">
        <is>
          <t>Orion Snack X-322</t>
        </is>
      </c>
      <c r="D6471" s="58" t="inlineStr">
        <is>
          <t>Grocery</t>
        </is>
      </c>
      <c r="E6471" s="58" t="inlineStr">
        <is>
          <t>East</t>
        </is>
      </c>
      <c r="F6471" s="61" t="n">
        <v>8</v>
      </c>
      <c r="G6471" s="62" t="n">
        <v>13.2</v>
      </c>
      <c r="H6471" s="63" t="n">
        <v>0.019</v>
      </c>
      <c r="I6471" s="62" t="n">
        <v>9.890000000000001</v>
      </c>
      <c r="J6471" s="58" t="inlineStr">
        <is>
          <t>Store</t>
        </is>
      </c>
      <c r="K6471" s="62">
        <f>F6471*(G6471-H6471)</f>
        <v/>
      </c>
      <c r="L6471" s="62">
        <f>K6471-(F6471*I6471)</f>
        <v/>
      </c>
      <c r="M6471" s="64">
        <f>L6471/K6471</f>
        <v/>
      </c>
    </row>
    <row r="6472">
      <c r="A6472" s="58" t="inlineStr">
        <is>
          <t>RT20250613-06471</t>
        </is>
      </c>
      <c r="B6472" s="59" t="inlineStr">
        <is>
          <t>2025-06-13</t>
        </is>
      </c>
      <c r="C6472" s="60" t="inlineStr">
        <is>
          <t>Metro Printer X-294</t>
        </is>
      </c>
      <c r="D6472" s="58" t="inlineStr">
        <is>
          <t>Office</t>
        </is>
      </c>
      <c r="E6472" s="58" t="inlineStr">
        <is>
          <t>West</t>
        </is>
      </c>
      <c r="F6472" s="61" t="n">
        <v>1</v>
      </c>
      <c r="G6472" s="62" t="n">
        <v>602.87</v>
      </c>
      <c r="H6472" s="63" t="n">
        <v>0.05</v>
      </c>
      <c r="I6472" s="62" t="n">
        <v>415.07</v>
      </c>
      <c r="J6472" s="58" t="inlineStr">
        <is>
          <t>Store</t>
        </is>
      </c>
      <c r="K6472" s="62">
        <f>F6472*(G6472-H6472)</f>
        <v/>
      </c>
      <c r="L6472" s="62">
        <f>K6472-(F6472*I6472)</f>
        <v/>
      </c>
      <c r="M6472" s="64">
        <f>L6472/K6472</f>
        <v/>
      </c>
    </row>
    <row r="6473">
      <c r="A6473" s="58" t="inlineStr">
        <is>
          <t>RT20250613-06472</t>
        </is>
      </c>
      <c r="B6473" s="59" t="inlineStr">
        <is>
          <t>2025-06-13</t>
        </is>
      </c>
      <c r="C6473" s="60" t="inlineStr">
        <is>
          <t>Aurora Fitnes Lite-194</t>
        </is>
      </c>
      <c r="D6473" s="58" t="inlineStr">
        <is>
          <t>Sports</t>
        </is>
      </c>
      <c r="E6473" s="58" t="inlineStr">
        <is>
          <t>South</t>
        </is>
      </c>
      <c r="F6473" s="61" t="n">
        <v>2</v>
      </c>
      <c r="G6473" s="62" t="n">
        <v>679.1900000000001</v>
      </c>
      <c r="H6473" s="63" t="n">
        <v>0.08400000000000001</v>
      </c>
      <c r="I6473" s="62" t="n">
        <v>459.2</v>
      </c>
      <c r="J6473" s="58" t="inlineStr">
        <is>
          <t>Store</t>
        </is>
      </c>
      <c r="K6473" s="62">
        <f>F6473*(G6473-H6473)</f>
        <v/>
      </c>
      <c r="L6473" s="62">
        <f>K6473-(F6473*I6473)</f>
        <v/>
      </c>
      <c r="M6473" s="64">
        <f>L6473/K6473</f>
        <v/>
      </c>
    </row>
    <row r="6474">
      <c r="A6474" s="58" t="inlineStr">
        <is>
          <t>RT20250613-06473</t>
        </is>
      </c>
      <c r="B6474" s="59" t="inlineStr">
        <is>
          <t>2025-06-13</t>
        </is>
      </c>
      <c r="C6474" s="60" t="inlineStr">
        <is>
          <t>Falcon Cycling Pro-499</t>
        </is>
      </c>
      <c r="D6474" s="58" t="inlineStr">
        <is>
          <t>Sports</t>
        </is>
      </c>
      <c r="E6474" s="58" t="inlineStr">
        <is>
          <t>West</t>
        </is>
      </c>
      <c r="F6474" s="61" t="n">
        <v>2</v>
      </c>
      <c r="G6474" s="62" t="n">
        <v>617.54</v>
      </c>
      <c r="H6474" s="63" t="n">
        <v>0.035</v>
      </c>
      <c r="I6474" s="62" t="n">
        <v>401.02</v>
      </c>
      <c r="J6474" s="58" t="inlineStr">
        <is>
          <t>Store</t>
        </is>
      </c>
      <c r="K6474" s="62">
        <f>F6474*(G6474-H6474)</f>
        <v/>
      </c>
      <c r="L6474" s="62">
        <f>K6474-(F6474*I6474)</f>
        <v/>
      </c>
      <c r="M6474" s="64">
        <f>L6474/K6474</f>
        <v/>
      </c>
    </row>
    <row r="6475">
      <c r="A6475" s="58" t="inlineStr">
        <is>
          <t>RT20250613-06474</t>
        </is>
      </c>
      <c r="B6475" s="59" t="inlineStr">
        <is>
          <t>2025-06-13</t>
        </is>
      </c>
      <c r="C6475" s="60" t="inlineStr">
        <is>
          <t>Polar Bedding Lite-243</t>
        </is>
      </c>
      <c r="D6475" s="58" t="inlineStr">
        <is>
          <t>Home</t>
        </is>
      </c>
      <c r="E6475" s="58" t="inlineStr">
        <is>
          <t>East</t>
        </is>
      </c>
      <c r="F6475" s="61" t="n">
        <v>2</v>
      </c>
      <c r="G6475" s="62" t="n">
        <v>531.02</v>
      </c>
      <c r="H6475" s="63" t="n">
        <v>0.142</v>
      </c>
      <c r="I6475" s="62" t="n">
        <v>316.12</v>
      </c>
      <c r="J6475" s="58" t="inlineStr">
        <is>
          <t>Online</t>
        </is>
      </c>
      <c r="K6475" s="62">
        <f>F6475*(G6475-H6475)</f>
        <v/>
      </c>
      <c r="L6475" s="62">
        <f>K6475-(F6475*I6475)</f>
        <v/>
      </c>
      <c r="M6475" s="64">
        <f>L6475/K6475</f>
        <v/>
      </c>
    </row>
    <row r="6476">
      <c r="A6476" s="58" t="inlineStr">
        <is>
          <t>RT20250613-06475</t>
        </is>
      </c>
      <c r="B6476" s="59" t="inlineStr">
        <is>
          <t>2025-06-13</t>
        </is>
      </c>
      <c r="C6476" s="60" t="inlineStr">
        <is>
          <t>Polar Decor X-935</t>
        </is>
      </c>
      <c r="D6476" s="58" t="inlineStr">
        <is>
          <t>Home</t>
        </is>
      </c>
      <c r="E6476" s="58" t="inlineStr">
        <is>
          <t>West</t>
        </is>
      </c>
      <c r="F6476" s="61" t="n">
        <v>3</v>
      </c>
      <c r="G6476" s="62" t="n">
        <v>324.99</v>
      </c>
      <c r="H6476" s="63" t="n">
        <v>0.023</v>
      </c>
      <c r="I6476" s="62" t="n">
        <v>196.41</v>
      </c>
      <c r="J6476" s="58" t="inlineStr">
        <is>
          <t>Online</t>
        </is>
      </c>
      <c r="K6476" s="62">
        <f>F6476*(G6476-H6476)</f>
        <v/>
      </c>
      <c r="L6476" s="62">
        <f>K6476-(F6476*I6476)</f>
        <v/>
      </c>
      <c r="M6476" s="64">
        <f>L6476/K6476</f>
        <v/>
      </c>
    </row>
    <row r="6477">
      <c r="A6477" s="58" t="inlineStr">
        <is>
          <t>RT20250613-06476</t>
        </is>
      </c>
      <c r="B6477" s="59" t="inlineStr">
        <is>
          <t>2025-06-13</t>
        </is>
      </c>
      <c r="C6477" s="60" t="inlineStr">
        <is>
          <t>Polar Cycling S-223</t>
        </is>
      </c>
      <c r="D6477" s="58" t="inlineStr">
        <is>
          <t>Sports</t>
        </is>
      </c>
      <c r="E6477" s="58" t="inlineStr">
        <is>
          <t>North</t>
        </is>
      </c>
      <c r="F6477" s="61" t="n">
        <v>3</v>
      </c>
      <c r="G6477" s="62" t="n">
        <v>892.48</v>
      </c>
      <c r="H6477" s="63" t="n">
        <v>0.06900000000000001</v>
      </c>
      <c r="I6477" s="62" t="n">
        <v>640.9299999999999</v>
      </c>
      <c r="J6477" s="58" t="inlineStr">
        <is>
          <t>Online</t>
        </is>
      </c>
      <c r="K6477" s="62">
        <f>F6477*(G6477-H6477)</f>
        <v/>
      </c>
      <c r="L6477" s="62">
        <f>K6477-(F6477*I6477)</f>
        <v/>
      </c>
      <c r="M6477" s="64">
        <f>L6477/K6477</f>
        <v/>
      </c>
    </row>
    <row r="6478">
      <c r="A6478" s="58" t="inlineStr">
        <is>
          <t>RT20250613-06477</t>
        </is>
      </c>
      <c r="B6478" s="59" t="inlineStr">
        <is>
          <t>2025-06-13</t>
        </is>
      </c>
      <c r="C6478" s="60" t="inlineStr">
        <is>
          <t>Aurora Team Sport Plus-256</t>
        </is>
      </c>
      <c r="D6478" s="58" t="inlineStr">
        <is>
          <t>Sports</t>
        </is>
      </c>
      <c r="E6478" s="58" t="inlineStr">
        <is>
          <t>West</t>
        </is>
      </c>
      <c r="F6478" s="61" t="n">
        <v>3</v>
      </c>
      <c r="G6478" s="62" t="n">
        <v>680.65</v>
      </c>
      <c r="H6478" s="63" t="n">
        <v>0.073</v>
      </c>
      <c r="I6478" s="62" t="n">
        <v>412.73</v>
      </c>
      <c r="J6478" s="58" t="inlineStr">
        <is>
          <t>Store</t>
        </is>
      </c>
      <c r="K6478" s="62">
        <f>F6478*(G6478-H6478)</f>
        <v/>
      </c>
      <c r="L6478" s="62">
        <f>K6478-(F6478*I6478)</f>
        <v/>
      </c>
      <c r="M6478" s="64">
        <f>L6478/K6478</f>
        <v/>
      </c>
    </row>
    <row r="6479">
      <c r="A6479" s="58" t="inlineStr">
        <is>
          <t>RT20250613-06478</t>
        </is>
      </c>
      <c r="B6479" s="59" t="inlineStr">
        <is>
          <t>2025-06-13</t>
        </is>
      </c>
      <c r="C6479" s="60" t="inlineStr">
        <is>
          <t>Aurora Haircare S-975</t>
        </is>
      </c>
      <c r="D6479" s="58" t="inlineStr">
        <is>
          <t>Beauty</t>
        </is>
      </c>
      <c r="E6479" s="58" t="inlineStr">
        <is>
          <t>East</t>
        </is>
      </c>
      <c r="F6479" s="61" t="n">
        <v>2</v>
      </c>
      <c r="G6479" s="62" t="n">
        <v>98.02</v>
      </c>
      <c r="H6479" s="63" t="n">
        <v>0.099</v>
      </c>
      <c r="I6479" s="62" t="n">
        <v>56.44</v>
      </c>
      <c r="J6479" s="58" t="inlineStr">
        <is>
          <t>Store</t>
        </is>
      </c>
      <c r="K6479" s="62">
        <f>F6479*(G6479-H6479)</f>
        <v/>
      </c>
      <c r="L6479" s="62">
        <f>K6479-(F6479*I6479)</f>
        <v/>
      </c>
      <c r="M6479" s="64">
        <f>L6479/K6479</f>
        <v/>
      </c>
    </row>
    <row r="6480">
      <c r="A6480" s="58" t="inlineStr">
        <is>
          <t>RT20250613-06479</t>
        </is>
      </c>
      <c r="B6480" s="59" t="inlineStr">
        <is>
          <t>2025-06-13</t>
        </is>
      </c>
      <c r="C6480" s="60" t="inlineStr">
        <is>
          <t>Aurora Appliance Lite-109</t>
        </is>
      </c>
      <c r="D6480" s="58" t="inlineStr">
        <is>
          <t>Home</t>
        </is>
      </c>
      <c r="E6480" s="58" t="inlineStr">
        <is>
          <t>West</t>
        </is>
      </c>
      <c r="F6480" s="61" t="n">
        <v>3</v>
      </c>
      <c r="G6480" s="62" t="n">
        <v>291.88</v>
      </c>
      <c r="H6480" s="63" t="n">
        <v>0.091</v>
      </c>
      <c r="I6480" s="62" t="n">
        <v>202.2</v>
      </c>
      <c r="J6480" s="58" t="inlineStr">
        <is>
          <t>Phone</t>
        </is>
      </c>
      <c r="K6480" s="62">
        <f>F6480*(G6480-H6480)</f>
        <v/>
      </c>
      <c r="L6480" s="62">
        <f>K6480-(F6480*I6480)</f>
        <v/>
      </c>
      <c r="M6480" s="64">
        <f>L6480/K6480</f>
        <v/>
      </c>
    </row>
    <row r="6481">
      <c r="A6481" s="58" t="inlineStr">
        <is>
          <t>RT20250613-06480</t>
        </is>
      </c>
      <c r="B6481" s="59" t="inlineStr">
        <is>
          <t>2025-06-13</t>
        </is>
      </c>
      <c r="C6481" s="60" t="inlineStr">
        <is>
          <t>Aurora Smartphone Plus-125</t>
        </is>
      </c>
      <c r="D6481" s="58" t="inlineStr">
        <is>
          <t>Electronics</t>
        </is>
      </c>
      <c r="E6481" s="58" t="inlineStr">
        <is>
          <t>Central</t>
        </is>
      </c>
      <c r="F6481" s="61" t="n">
        <v>1</v>
      </c>
      <c r="G6481" s="62" t="n">
        <v>1691.97</v>
      </c>
      <c r="H6481" s="63" t="n">
        <v>0.038</v>
      </c>
      <c r="I6481" s="62" t="n">
        <v>1203.26</v>
      </c>
      <c r="J6481" s="58" t="inlineStr">
        <is>
          <t>Online</t>
        </is>
      </c>
      <c r="K6481" s="62">
        <f>F6481*(G6481-H6481)</f>
        <v/>
      </c>
      <c r="L6481" s="62">
        <f>K6481-(F6481*I6481)</f>
        <v/>
      </c>
      <c r="M6481" s="64">
        <f>L6481/K6481</f>
        <v/>
      </c>
    </row>
    <row r="6482">
      <c r="A6482" s="58" t="inlineStr">
        <is>
          <t>RT20250613-06481</t>
        </is>
      </c>
      <c r="B6482" s="59" t="inlineStr">
        <is>
          <t>2025-06-13</t>
        </is>
      </c>
      <c r="C6482" s="60" t="inlineStr">
        <is>
          <t>Nimbus Makeup Max-158</t>
        </is>
      </c>
      <c r="D6482" s="58" t="inlineStr">
        <is>
          <t>Beauty</t>
        </is>
      </c>
      <c r="E6482" s="58" t="inlineStr">
        <is>
          <t>South</t>
        </is>
      </c>
      <c r="F6482" s="61" t="n">
        <v>5</v>
      </c>
      <c r="G6482" s="62" t="n">
        <v>165.48</v>
      </c>
      <c r="H6482" s="63" t="n">
        <v>0.073</v>
      </c>
      <c r="I6482" s="62" t="n">
        <v>92.88</v>
      </c>
      <c r="J6482" s="58" t="inlineStr">
        <is>
          <t>Store</t>
        </is>
      </c>
      <c r="K6482" s="62">
        <f>F6482*(G6482-H6482)</f>
        <v/>
      </c>
      <c r="L6482" s="62">
        <f>K6482-(F6482*I6482)</f>
        <v/>
      </c>
      <c r="M6482" s="64">
        <f>L6482/K6482</f>
        <v/>
      </c>
    </row>
    <row r="6483">
      <c r="A6483" s="58" t="inlineStr">
        <is>
          <t>RT20250613-06482</t>
        </is>
      </c>
      <c r="B6483" s="59" t="inlineStr">
        <is>
          <t>2025-06-13</t>
        </is>
      </c>
      <c r="C6483" s="60" t="inlineStr">
        <is>
          <t>Vertex Headphone Pro-801</t>
        </is>
      </c>
      <c r="D6483" s="58" t="inlineStr">
        <is>
          <t>Electronics</t>
        </is>
      </c>
      <c r="E6483" s="58" t="inlineStr">
        <is>
          <t>East</t>
        </is>
      </c>
      <c r="F6483" s="61" t="n">
        <v>2</v>
      </c>
      <c r="G6483" s="62" t="n">
        <v>1330.31</v>
      </c>
      <c r="H6483" s="63" t="n">
        <v>0.038</v>
      </c>
      <c r="I6483" s="62" t="n">
        <v>991.59</v>
      </c>
      <c r="J6483" s="58" t="inlineStr">
        <is>
          <t>Online</t>
        </is>
      </c>
      <c r="K6483" s="62">
        <f>F6483*(G6483-H6483)</f>
        <v/>
      </c>
      <c r="L6483" s="62">
        <f>K6483-(F6483*I6483)</f>
        <v/>
      </c>
      <c r="M6483" s="64">
        <f>L6483/K6483</f>
        <v/>
      </c>
    </row>
    <row r="6484">
      <c r="A6484" s="58" t="inlineStr">
        <is>
          <t>RT20250613-06483</t>
        </is>
      </c>
      <c r="B6484" s="59" t="inlineStr">
        <is>
          <t>2025-06-13</t>
        </is>
      </c>
      <c r="C6484" s="60" t="inlineStr">
        <is>
          <t>Polar Haircare Max-614</t>
        </is>
      </c>
      <c r="D6484" s="58" t="inlineStr">
        <is>
          <t>Beauty</t>
        </is>
      </c>
      <c r="E6484" s="58" t="inlineStr">
        <is>
          <t>West</t>
        </is>
      </c>
      <c r="F6484" s="61" t="n">
        <v>5</v>
      </c>
      <c r="G6484" s="62" t="n">
        <v>101.87</v>
      </c>
      <c r="H6484" s="63" t="n">
        <v>0.054</v>
      </c>
      <c r="I6484" s="62" t="n">
        <v>69.41</v>
      </c>
      <c r="J6484" s="58" t="inlineStr">
        <is>
          <t>Online</t>
        </is>
      </c>
      <c r="K6484" s="62">
        <f>F6484*(G6484-H6484)</f>
        <v/>
      </c>
      <c r="L6484" s="62">
        <f>K6484-(F6484*I6484)</f>
        <v/>
      </c>
      <c r="M6484" s="64">
        <f>L6484/K6484</f>
        <v/>
      </c>
    </row>
    <row r="6485">
      <c r="A6485" s="58" t="inlineStr">
        <is>
          <t>RT20250613-06484</t>
        </is>
      </c>
      <c r="B6485" s="59" t="inlineStr">
        <is>
          <t>2025-06-13</t>
        </is>
      </c>
      <c r="C6485" s="60" t="inlineStr">
        <is>
          <t>Vertex Appliance Max-338</t>
        </is>
      </c>
      <c r="D6485" s="58" t="inlineStr">
        <is>
          <t>Home</t>
        </is>
      </c>
      <c r="E6485" s="58" t="inlineStr">
        <is>
          <t>Central</t>
        </is>
      </c>
      <c r="F6485" s="61" t="n">
        <v>2</v>
      </c>
      <c r="G6485" s="62" t="n">
        <v>458.33</v>
      </c>
      <c r="H6485" s="63" t="n">
        <v>0.017</v>
      </c>
      <c r="I6485" s="62" t="n">
        <v>294.08</v>
      </c>
      <c r="J6485" s="58" t="inlineStr">
        <is>
          <t>Online</t>
        </is>
      </c>
      <c r="K6485" s="62">
        <f>F6485*(G6485-H6485)</f>
        <v/>
      </c>
      <c r="L6485" s="62">
        <f>K6485-(F6485*I6485)</f>
        <v/>
      </c>
      <c r="M6485" s="64">
        <f>L6485/K6485</f>
        <v/>
      </c>
    </row>
    <row r="6486">
      <c r="A6486" s="58" t="inlineStr">
        <is>
          <t>RT20250613-06485</t>
        </is>
      </c>
      <c r="B6486" s="59" t="inlineStr">
        <is>
          <t>2025-06-13</t>
        </is>
      </c>
      <c r="C6486" s="60" t="inlineStr">
        <is>
          <t>Falcon Furniture Plus-839</t>
        </is>
      </c>
      <c r="D6486" s="58" t="inlineStr">
        <is>
          <t>Office</t>
        </is>
      </c>
      <c r="E6486" s="58" t="inlineStr">
        <is>
          <t>Central</t>
        </is>
      </c>
      <c r="F6486" s="61" t="n">
        <v>1</v>
      </c>
      <c r="G6486" s="62" t="n">
        <v>336.73</v>
      </c>
      <c r="H6486" s="63" t="n">
        <v>0.079</v>
      </c>
      <c r="I6486" s="62" t="n">
        <v>233.89</v>
      </c>
      <c r="J6486" s="58" t="inlineStr">
        <is>
          <t>Store</t>
        </is>
      </c>
      <c r="K6486" s="62">
        <f>F6486*(G6486-H6486)</f>
        <v/>
      </c>
      <c r="L6486" s="62">
        <f>K6486-(F6486*I6486)</f>
        <v/>
      </c>
      <c r="M6486" s="64">
        <f>L6486/K6486</f>
        <v/>
      </c>
    </row>
    <row r="6487">
      <c r="A6487" s="58" t="inlineStr">
        <is>
          <t>RT20250613-06486</t>
        </is>
      </c>
      <c r="B6487" s="59" t="inlineStr">
        <is>
          <t>2025-06-13</t>
        </is>
      </c>
      <c r="C6487" s="60" t="inlineStr">
        <is>
          <t>Polar Pantry Lite-392</t>
        </is>
      </c>
      <c r="D6487" s="58" t="inlineStr">
        <is>
          <t>Grocery</t>
        </is>
      </c>
      <c r="E6487" s="58" t="inlineStr">
        <is>
          <t>North</t>
        </is>
      </c>
      <c r="F6487" s="61" t="n">
        <v>1</v>
      </c>
      <c r="G6487" s="62" t="n">
        <v>6.32</v>
      </c>
      <c r="H6487" s="63" t="n">
        <v>0.097</v>
      </c>
      <c r="I6487" s="62" t="n">
        <v>4.57</v>
      </c>
      <c r="J6487" s="58" t="inlineStr">
        <is>
          <t>Store</t>
        </is>
      </c>
      <c r="K6487" s="62">
        <f>F6487*(G6487-H6487)</f>
        <v/>
      </c>
      <c r="L6487" s="62">
        <f>K6487-(F6487*I6487)</f>
        <v/>
      </c>
      <c r="M6487" s="64">
        <f>L6487/K6487</f>
        <v/>
      </c>
    </row>
    <row r="6488">
      <c r="A6488" s="58" t="inlineStr">
        <is>
          <t>RT20250613-06487</t>
        </is>
      </c>
      <c r="B6488" s="59" t="inlineStr">
        <is>
          <t>2025-06-13</t>
        </is>
      </c>
      <c r="C6488" s="60" t="inlineStr">
        <is>
          <t>Falcon Accessorie S-195</t>
        </is>
      </c>
      <c r="D6488" s="58" t="inlineStr">
        <is>
          <t>Apparel</t>
        </is>
      </c>
      <c r="E6488" s="58" t="inlineStr">
        <is>
          <t>East</t>
        </is>
      </c>
      <c r="F6488" s="61" t="n">
        <v>1</v>
      </c>
      <c r="G6488" s="62" t="n">
        <v>73.05</v>
      </c>
      <c r="H6488" s="63" t="n">
        <v>0.049</v>
      </c>
      <c r="I6488" s="62" t="n">
        <v>43.57</v>
      </c>
      <c r="J6488" s="58" t="inlineStr">
        <is>
          <t>Online</t>
        </is>
      </c>
      <c r="K6488" s="62">
        <f>F6488*(G6488-H6488)</f>
        <v/>
      </c>
      <c r="L6488" s="62">
        <f>K6488-(F6488*I6488)</f>
        <v/>
      </c>
      <c r="M6488" s="64">
        <f>L6488/K6488</f>
        <v/>
      </c>
    </row>
    <row r="6489">
      <c r="A6489" s="58" t="inlineStr">
        <is>
          <t>RT20250613-06488</t>
        </is>
      </c>
      <c r="B6489" s="59" t="inlineStr">
        <is>
          <t>2025-06-13</t>
        </is>
      </c>
      <c r="C6489" s="60" t="inlineStr">
        <is>
          <t>Falcon Skincare Max-151</t>
        </is>
      </c>
      <c r="D6489" s="58" t="inlineStr">
        <is>
          <t>Beauty</t>
        </is>
      </c>
      <c r="E6489" s="58" t="inlineStr">
        <is>
          <t>West</t>
        </is>
      </c>
      <c r="F6489" s="61" t="n">
        <v>2</v>
      </c>
      <c r="G6489" s="62" t="n">
        <v>102.95</v>
      </c>
      <c r="H6489" s="63" t="n">
        <v>0.044</v>
      </c>
      <c r="I6489" s="62" t="n">
        <v>60.93</v>
      </c>
      <c r="J6489" s="58" t="inlineStr">
        <is>
          <t>Store</t>
        </is>
      </c>
      <c r="K6489" s="62">
        <f>F6489*(G6489-H6489)</f>
        <v/>
      </c>
      <c r="L6489" s="62">
        <f>K6489-(F6489*I6489)</f>
        <v/>
      </c>
      <c r="M6489" s="64">
        <f>L6489/K6489</f>
        <v/>
      </c>
    </row>
    <row r="6490">
      <c r="A6490" s="58" t="inlineStr">
        <is>
          <t>RT20250613-06489</t>
        </is>
      </c>
      <c r="B6490" s="59" t="inlineStr">
        <is>
          <t>2025-06-13</t>
        </is>
      </c>
      <c r="C6490" s="60" t="inlineStr">
        <is>
          <t>Vertex Appliance S-296</t>
        </is>
      </c>
      <c r="D6490" s="58" t="inlineStr">
        <is>
          <t>Home</t>
        </is>
      </c>
      <c r="E6490" s="58" t="inlineStr">
        <is>
          <t>South</t>
        </is>
      </c>
      <c r="F6490" s="61" t="n">
        <v>3</v>
      </c>
      <c r="G6490" s="62" t="n">
        <v>540.13</v>
      </c>
      <c r="H6490" s="63" t="n">
        <v>0.042</v>
      </c>
      <c r="I6490" s="62" t="n">
        <v>360.13</v>
      </c>
      <c r="J6490" s="58" t="inlineStr">
        <is>
          <t>Online</t>
        </is>
      </c>
      <c r="K6490" s="62">
        <f>F6490*(G6490-H6490)</f>
        <v/>
      </c>
      <c r="L6490" s="62">
        <f>K6490-(F6490*I6490)</f>
        <v/>
      </c>
      <c r="M6490" s="64">
        <f>L6490/K6490</f>
        <v/>
      </c>
    </row>
    <row r="6491">
      <c r="A6491" s="58" t="inlineStr">
        <is>
          <t>RT20250613-06490</t>
        </is>
      </c>
      <c r="B6491" s="59" t="inlineStr">
        <is>
          <t>2025-06-13</t>
        </is>
      </c>
      <c r="C6491" s="60" t="inlineStr">
        <is>
          <t>Aurora Bedding Plus-187</t>
        </is>
      </c>
      <c r="D6491" s="58" t="inlineStr">
        <is>
          <t>Home</t>
        </is>
      </c>
      <c r="E6491" s="58" t="inlineStr">
        <is>
          <t>South</t>
        </is>
      </c>
      <c r="F6491" s="61" t="n">
        <v>2</v>
      </c>
      <c r="G6491" s="62" t="n">
        <v>301</v>
      </c>
      <c r="H6491" s="63" t="n">
        <v>0.013</v>
      </c>
      <c r="I6491" s="62" t="n">
        <v>206.86</v>
      </c>
      <c r="J6491" s="58" t="inlineStr">
        <is>
          <t>Store</t>
        </is>
      </c>
      <c r="K6491" s="62">
        <f>F6491*(G6491-H6491)</f>
        <v/>
      </c>
      <c r="L6491" s="62">
        <f>K6491-(F6491*I6491)</f>
        <v/>
      </c>
      <c r="M6491" s="64">
        <f>L6491/K6491</f>
        <v/>
      </c>
    </row>
    <row r="6492">
      <c r="A6492" s="58" t="inlineStr">
        <is>
          <t>RT20250613-06491</t>
        </is>
      </c>
      <c r="B6492" s="59" t="inlineStr">
        <is>
          <t>2025-06-13</t>
        </is>
      </c>
      <c r="C6492" s="60" t="inlineStr">
        <is>
          <t>Polar Wearable X-119</t>
        </is>
      </c>
      <c r="D6492" s="58" t="inlineStr">
        <is>
          <t>Electronics</t>
        </is>
      </c>
      <c r="E6492" s="58" t="inlineStr">
        <is>
          <t>South</t>
        </is>
      </c>
      <c r="F6492" s="61" t="n">
        <v>2</v>
      </c>
      <c r="G6492" s="62" t="n">
        <v>1685</v>
      </c>
      <c r="H6492" s="63" t="n">
        <v>0.06900000000000001</v>
      </c>
      <c r="I6492" s="62" t="n">
        <v>1300.84</v>
      </c>
      <c r="J6492" s="58" t="inlineStr">
        <is>
          <t>Store</t>
        </is>
      </c>
      <c r="K6492" s="62">
        <f>F6492*(G6492-H6492)</f>
        <v/>
      </c>
      <c r="L6492" s="62">
        <f>K6492-(F6492*I6492)</f>
        <v/>
      </c>
      <c r="M6492" s="64">
        <f>L6492/K6492</f>
        <v/>
      </c>
    </row>
    <row r="6493">
      <c r="A6493" s="58" t="inlineStr">
        <is>
          <t>RT20250613-06492</t>
        </is>
      </c>
      <c r="B6493" s="59" t="inlineStr">
        <is>
          <t>2025-06-13</t>
        </is>
      </c>
      <c r="C6493" s="60" t="inlineStr">
        <is>
          <t>Nimbus Storage Plus-646</t>
        </is>
      </c>
      <c r="D6493" s="58" t="inlineStr">
        <is>
          <t>Office</t>
        </is>
      </c>
      <c r="E6493" s="58" t="inlineStr">
        <is>
          <t>West</t>
        </is>
      </c>
      <c r="F6493" s="61" t="n">
        <v>3</v>
      </c>
      <c r="G6493" s="62" t="n">
        <v>407.27</v>
      </c>
      <c r="H6493" s="63" t="n">
        <v>0.066</v>
      </c>
      <c r="I6493" s="62" t="n">
        <v>321.31</v>
      </c>
      <c r="J6493" s="58" t="inlineStr">
        <is>
          <t>Online</t>
        </is>
      </c>
      <c r="K6493" s="62">
        <f>F6493*(G6493-H6493)</f>
        <v/>
      </c>
      <c r="L6493" s="62">
        <f>K6493-(F6493*I6493)</f>
        <v/>
      </c>
      <c r="M6493" s="64">
        <f>L6493/K6493</f>
        <v/>
      </c>
    </row>
    <row r="6494">
      <c r="A6494" s="58" t="inlineStr">
        <is>
          <t>RT20250613-06493</t>
        </is>
      </c>
      <c r="B6494" s="59" t="inlineStr">
        <is>
          <t>2025-06-13</t>
        </is>
      </c>
      <c r="C6494" s="60" t="inlineStr">
        <is>
          <t>Metro Decor Lite-325</t>
        </is>
      </c>
      <c r="D6494" s="58" t="inlineStr">
        <is>
          <t>Home</t>
        </is>
      </c>
      <c r="E6494" s="58" t="inlineStr">
        <is>
          <t>North</t>
        </is>
      </c>
      <c r="F6494" s="61" t="n">
        <v>1</v>
      </c>
      <c r="G6494" s="62" t="n">
        <v>562.3200000000001</v>
      </c>
      <c r="H6494" s="63" t="n">
        <v>0.106</v>
      </c>
      <c r="I6494" s="62" t="n">
        <v>378.64</v>
      </c>
      <c r="J6494" s="58" t="inlineStr">
        <is>
          <t>Store</t>
        </is>
      </c>
      <c r="K6494" s="62">
        <f>F6494*(G6494-H6494)</f>
        <v/>
      </c>
      <c r="L6494" s="62">
        <f>K6494-(F6494*I6494)</f>
        <v/>
      </c>
      <c r="M6494" s="64">
        <f>L6494/K6494</f>
        <v/>
      </c>
    </row>
    <row r="6495">
      <c r="A6495" s="58" t="inlineStr">
        <is>
          <t>RT20250613-06494</t>
        </is>
      </c>
      <c r="B6495" s="59" t="inlineStr">
        <is>
          <t>2025-06-13</t>
        </is>
      </c>
      <c r="C6495" s="60" t="inlineStr">
        <is>
          <t>Orion Snack X-322</t>
        </is>
      </c>
      <c r="D6495" s="58" t="inlineStr">
        <is>
          <t>Grocery</t>
        </is>
      </c>
      <c r="E6495" s="58" t="inlineStr">
        <is>
          <t>Central</t>
        </is>
      </c>
      <c r="F6495" s="61" t="n">
        <v>2</v>
      </c>
      <c r="G6495" s="62" t="n">
        <v>14.72</v>
      </c>
      <c r="H6495" s="63" t="n">
        <v>0.129</v>
      </c>
      <c r="I6495" s="62" t="n">
        <v>10.31</v>
      </c>
      <c r="J6495" s="58" t="inlineStr">
        <is>
          <t>Store</t>
        </is>
      </c>
      <c r="K6495" s="62">
        <f>F6495*(G6495-H6495)</f>
        <v/>
      </c>
      <c r="L6495" s="62">
        <f>K6495-(F6495*I6495)</f>
        <v/>
      </c>
      <c r="M6495" s="64">
        <f>L6495/K6495</f>
        <v/>
      </c>
    </row>
    <row r="6496">
      <c r="A6496" s="58" t="inlineStr">
        <is>
          <t>RT20250614-06495</t>
        </is>
      </c>
      <c r="B6496" s="59" t="inlineStr">
        <is>
          <t>2025-06-14</t>
        </is>
      </c>
      <c r="C6496" s="60" t="inlineStr">
        <is>
          <t>Nimbus Men Plus-231</t>
        </is>
      </c>
      <c r="D6496" s="58" t="inlineStr">
        <is>
          <t>Apparel</t>
        </is>
      </c>
      <c r="E6496" s="58" t="inlineStr">
        <is>
          <t>Central</t>
        </is>
      </c>
      <c r="F6496" s="61" t="n">
        <v>2</v>
      </c>
      <c r="G6496" s="62" t="n">
        <v>149.5</v>
      </c>
      <c r="H6496" s="63" t="n">
        <v>0.034</v>
      </c>
      <c r="I6496" s="62" t="n">
        <v>88.14</v>
      </c>
      <c r="J6496" s="58" t="inlineStr">
        <is>
          <t>Store</t>
        </is>
      </c>
      <c r="K6496" s="62">
        <f>F6496*(G6496-H6496)</f>
        <v/>
      </c>
      <c r="L6496" s="62">
        <f>K6496-(F6496*I6496)</f>
        <v/>
      </c>
      <c r="M6496" s="64">
        <f>L6496/K6496</f>
        <v/>
      </c>
    </row>
    <row r="6497">
      <c r="A6497" s="58" t="inlineStr">
        <is>
          <t>RT20250614-06496</t>
        </is>
      </c>
      <c r="B6497" s="59" t="inlineStr">
        <is>
          <t>2025-06-14</t>
        </is>
      </c>
      <c r="C6497" s="60" t="inlineStr">
        <is>
          <t>Vertex Men X-995</t>
        </is>
      </c>
      <c r="D6497" s="58" t="inlineStr">
        <is>
          <t>Apparel</t>
        </is>
      </c>
      <c r="E6497" s="58" t="inlineStr">
        <is>
          <t>East</t>
        </is>
      </c>
      <c r="F6497" s="61" t="n">
        <v>4</v>
      </c>
      <c r="G6497" s="62" t="n">
        <v>98.95999999999999</v>
      </c>
      <c r="H6497" s="63" t="n">
        <v>0.095</v>
      </c>
      <c r="I6497" s="62" t="n">
        <v>57.74</v>
      </c>
      <c r="J6497" s="58" t="inlineStr">
        <is>
          <t>Online</t>
        </is>
      </c>
      <c r="K6497" s="62">
        <f>F6497*(G6497-H6497)</f>
        <v/>
      </c>
      <c r="L6497" s="62">
        <f>K6497-(F6497*I6497)</f>
        <v/>
      </c>
      <c r="M6497" s="64">
        <f>L6497/K6497</f>
        <v/>
      </c>
    </row>
    <row r="6498">
      <c r="A6498" s="58" t="inlineStr">
        <is>
          <t>RT20250614-06497</t>
        </is>
      </c>
      <c r="B6498" s="59" t="inlineStr">
        <is>
          <t>2025-06-14</t>
        </is>
      </c>
      <c r="C6498" s="60" t="inlineStr">
        <is>
          <t>Metro Accessorie Max-316</t>
        </is>
      </c>
      <c r="D6498" s="58" t="inlineStr">
        <is>
          <t>Apparel</t>
        </is>
      </c>
      <c r="E6498" s="58" t="inlineStr">
        <is>
          <t>Central</t>
        </is>
      </c>
      <c r="F6498" s="61" t="n">
        <v>1</v>
      </c>
      <c r="G6498" s="62" t="n">
        <v>176.56</v>
      </c>
      <c r="H6498" s="63" t="n">
        <v>0.01</v>
      </c>
      <c r="I6498" s="62" t="n">
        <v>89.81</v>
      </c>
      <c r="J6498" s="58" t="inlineStr">
        <is>
          <t>Phone</t>
        </is>
      </c>
      <c r="K6498" s="62">
        <f>F6498*(G6498-H6498)</f>
        <v/>
      </c>
      <c r="L6498" s="62">
        <f>K6498-(F6498*I6498)</f>
        <v/>
      </c>
      <c r="M6498" s="64">
        <f>L6498/K6498</f>
        <v/>
      </c>
    </row>
    <row r="6499">
      <c r="A6499" s="58" t="inlineStr">
        <is>
          <t>RT20250614-06498</t>
        </is>
      </c>
      <c r="B6499" s="59" t="inlineStr">
        <is>
          <t>2025-06-14</t>
        </is>
      </c>
      <c r="C6499" s="60" t="inlineStr">
        <is>
          <t>Falcon Headphone Plus-789</t>
        </is>
      </c>
      <c r="D6499" s="58" t="inlineStr">
        <is>
          <t>Electronics</t>
        </is>
      </c>
      <c r="E6499" s="58" t="inlineStr">
        <is>
          <t>Central</t>
        </is>
      </c>
      <c r="F6499" s="61" t="n">
        <v>1</v>
      </c>
      <c r="G6499" s="62" t="n">
        <v>1727.23</v>
      </c>
      <c r="H6499" s="63" t="n">
        <v>0.076</v>
      </c>
      <c r="I6499" s="62" t="n">
        <v>1312.42</v>
      </c>
      <c r="J6499" s="58" t="inlineStr">
        <is>
          <t>Store</t>
        </is>
      </c>
      <c r="K6499" s="62">
        <f>F6499*(G6499-H6499)</f>
        <v/>
      </c>
      <c r="L6499" s="62">
        <f>K6499-(F6499*I6499)</f>
        <v/>
      </c>
      <c r="M6499" s="64">
        <f>L6499/K6499</f>
        <v/>
      </c>
    </row>
    <row r="6500">
      <c r="A6500" s="58" t="inlineStr">
        <is>
          <t>RT20250614-06499</t>
        </is>
      </c>
      <c r="B6500" s="59" t="inlineStr">
        <is>
          <t>2025-06-14</t>
        </is>
      </c>
      <c r="C6500" s="60" t="inlineStr">
        <is>
          <t>Solace Makeup Pro-214</t>
        </is>
      </c>
      <c r="D6500" s="58" t="inlineStr">
        <is>
          <t>Beauty</t>
        </is>
      </c>
      <c r="E6500" s="58" t="inlineStr">
        <is>
          <t>East</t>
        </is>
      </c>
      <c r="F6500" s="61" t="n">
        <v>4</v>
      </c>
      <c r="G6500" s="62" t="n">
        <v>113.6</v>
      </c>
      <c r="H6500" s="63" t="n">
        <v>0.063</v>
      </c>
      <c r="I6500" s="62" t="n">
        <v>66.37</v>
      </c>
      <c r="J6500" s="58" t="inlineStr">
        <is>
          <t>Store</t>
        </is>
      </c>
      <c r="K6500" s="62">
        <f>F6500*(G6500-H6500)</f>
        <v/>
      </c>
      <c r="L6500" s="62">
        <f>K6500-(F6500*I6500)</f>
        <v/>
      </c>
      <c r="M6500" s="64">
        <f>L6500/K6500</f>
        <v/>
      </c>
    </row>
    <row r="6501">
      <c r="A6501" s="58" t="inlineStr">
        <is>
          <t>RT20250614-06500</t>
        </is>
      </c>
      <c r="B6501" s="59" t="inlineStr">
        <is>
          <t>2025-06-14</t>
        </is>
      </c>
      <c r="C6501" s="60" t="inlineStr">
        <is>
          <t>Solace Kitchen X-919</t>
        </is>
      </c>
      <c r="D6501" s="58" t="inlineStr">
        <is>
          <t>Home</t>
        </is>
      </c>
      <c r="E6501" s="58" t="inlineStr">
        <is>
          <t>South</t>
        </is>
      </c>
      <c r="F6501" s="61" t="n">
        <v>2</v>
      </c>
      <c r="G6501" s="62" t="n">
        <v>368.39</v>
      </c>
      <c r="H6501" s="63" t="n">
        <v>0.052</v>
      </c>
      <c r="I6501" s="62" t="n">
        <v>254.13</v>
      </c>
      <c r="J6501" s="58" t="inlineStr">
        <is>
          <t>Store</t>
        </is>
      </c>
      <c r="K6501" s="62">
        <f>F6501*(G6501-H6501)</f>
        <v/>
      </c>
      <c r="L6501" s="62">
        <f>K6501-(F6501*I6501)</f>
        <v/>
      </c>
      <c r="M6501" s="64">
        <f>L6501/K6501</f>
        <v/>
      </c>
    </row>
    <row r="6502">
      <c r="A6502" s="58" t="inlineStr">
        <is>
          <t>RT20250614-06501</t>
        </is>
      </c>
      <c r="B6502" s="59" t="inlineStr">
        <is>
          <t>2025-06-14</t>
        </is>
      </c>
      <c r="C6502" s="60" t="inlineStr">
        <is>
          <t>Aurora Haircare S-975</t>
        </is>
      </c>
      <c r="D6502" s="58" t="inlineStr">
        <is>
          <t>Beauty</t>
        </is>
      </c>
      <c r="E6502" s="58" t="inlineStr">
        <is>
          <t>Central</t>
        </is>
      </c>
      <c r="F6502" s="61" t="n">
        <v>5</v>
      </c>
      <c r="G6502" s="62" t="n">
        <v>91.13</v>
      </c>
      <c r="H6502" s="63" t="n">
        <v>0.078</v>
      </c>
      <c r="I6502" s="62" t="n">
        <v>58.53</v>
      </c>
      <c r="J6502" s="58" t="inlineStr">
        <is>
          <t>Online</t>
        </is>
      </c>
      <c r="K6502" s="62">
        <f>F6502*(G6502-H6502)</f>
        <v/>
      </c>
      <c r="L6502" s="62">
        <f>K6502-(F6502*I6502)</f>
        <v/>
      </c>
      <c r="M6502" s="64">
        <f>L6502/K6502</f>
        <v/>
      </c>
    </row>
    <row r="6503">
      <c r="A6503" s="58" t="inlineStr">
        <is>
          <t>RT20250614-06502</t>
        </is>
      </c>
      <c r="B6503" s="59" t="inlineStr">
        <is>
          <t>2025-06-14</t>
        </is>
      </c>
      <c r="C6503" s="60" t="inlineStr">
        <is>
          <t>Vertex Supplie Pro-786</t>
        </is>
      </c>
      <c r="D6503" s="58" t="inlineStr">
        <is>
          <t>Office</t>
        </is>
      </c>
      <c r="E6503" s="58" t="inlineStr">
        <is>
          <t>South</t>
        </is>
      </c>
      <c r="F6503" s="61" t="n">
        <v>2</v>
      </c>
      <c r="G6503" s="62" t="n">
        <v>346.56</v>
      </c>
      <c r="H6503" s="63" t="n">
        <v>0.082</v>
      </c>
      <c r="I6503" s="62" t="n">
        <v>296.31</v>
      </c>
      <c r="J6503" s="58" t="inlineStr">
        <is>
          <t>Online</t>
        </is>
      </c>
      <c r="K6503" s="62">
        <f>F6503*(G6503-H6503)</f>
        <v/>
      </c>
      <c r="L6503" s="62">
        <f>K6503-(F6503*I6503)</f>
        <v/>
      </c>
      <c r="M6503" s="64">
        <f>L6503/K6503</f>
        <v/>
      </c>
    </row>
    <row r="6504">
      <c r="A6504" s="58" t="inlineStr">
        <is>
          <t>RT20250614-06503</t>
        </is>
      </c>
      <c r="B6504" s="59" t="inlineStr">
        <is>
          <t>2025-06-14</t>
        </is>
      </c>
      <c r="C6504" s="60" t="inlineStr">
        <is>
          <t>Solace Fitnes S-324</t>
        </is>
      </c>
      <c r="D6504" s="58" t="inlineStr">
        <is>
          <t>Sports</t>
        </is>
      </c>
      <c r="E6504" s="58" t="inlineStr">
        <is>
          <t>East</t>
        </is>
      </c>
      <c r="F6504" s="61" t="n">
        <v>3</v>
      </c>
      <c r="G6504" s="62" t="n">
        <v>835.3</v>
      </c>
      <c r="H6504" s="63" t="n">
        <v>0.08500000000000001</v>
      </c>
      <c r="I6504" s="62" t="n">
        <v>514.33</v>
      </c>
      <c r="J6504" s="58" t="inlineStr">
        <is>
          <t>Online</t>
        </is>
      </c>
      <c r="K6504" s="62">
        <f>F6504*(G6504-H6504)</f>
        <v/>
      </c>
      <c r="L6504" s="62">
        <f>K6504-(F6504*I6504)</f>
        <v/>
      </c>
      <c r="M6504" s="64">
        <f>L6504/K6504</f>
        <v/>
      </c>
    </row>
    <row r="6505">
      <c r="A6505" s="58" t="inlineStr">
        <is>
          <t>RT20250614-06504</t>
        </is>
      </c>
      <c r="B6505" s="59" t="inlineStr">
        <is>
          <t>2025-06-14</t>
        </is>
      </c>
      <c r="C6505" s="60" t="inlineStr">
        <is>
          <t>Polar Women Max-927</t>
        </is>
      </c>
      <c r="D6505" s="58" t="inlineStr">
        <is>
          <t>Apparel</t>
        </is>
      </c>
      <c r="E6505" s="58" t="inlineStr">
        <is>
          <t>South</t>
        </is>
      </c>
      <c r="F6505" s="61" t="n">
        <v>1</v>
      </c>
      <c r="G6505" s="62" t="n">
        <v>116.3</v>
      </c>
      <c r="H6505" s="63" t="n">
        <v>0.08</v>
      </c>
      <c r="I6505" s="62" t="n">
        <v>67.5</v>
      </c>
      <c r="J6505" s="58" t="inlineStr">
        <is>
          <t>Online</t>
        </is>
      </c>
      <c r="K6505" s="62">
        <f>F6505*(G6505-H6505)</f>
        <v/>
      </c>
      <c r="L6505" s="62">
        <f>K6505-(F6505*I6505)</f>
        <v/>
      </c>
      <c r="M6505" s="64">
        <f>L6505/K6505</f>
        <v/>
      </c>
    </row>
    <row r="6506">
      <c r="A6506" s="58" t="inlineStr">
        <is>
          <t>RT20250614-06505</t>
        </is>
      </c>
      <c r="B6506" s="59" t="inlineStr">
        <is>
          <t>2025-06-14</t>
        </is>
      </c>
      <c r="C6506" s="60" t="inlineStr">
        <is>
          <t>Aurora Fitnes Lite-194</t>
        </is>
      </c>
      <c r="D6506" s="58" t="inlineStr">
        <is>
          <t>Sports</t>
        </is>
      </c>
      <c r="E6506" s="58" t="inlineStr">
        <is>
          <t>West</t>
        </is>
      </c>
      <c r="F6506" s="61" t="n">
        <v>1</v>
      </c>
      <c r="G6506" s="62" t="n">
        <v>675.4400000000001</v>
      </c>
      <c r="H6506" s="63" t="n">
        <v>0.073</v>
      </c>
      <c r="I6506" s="62" t="n">
        <v>461.27</v>
      </c>
      <c r="J6506" s="58" t="inlineStr">
        <is>
          <t>Store</t>
        </is>
      </c>
      <c r="K6506" s="62">
        <f>F6506*(G6506-H6506)</f>
        <v/>
      </c>
      <c r="L6506" s="62">
        <f>K6506-(F6506*I6506)</f>
        <v/>
      </c>
      <c r="M6506" s="64">
        <f>L6506/K6506</f>
        <v/>
      </c>
    </row>
    <row r="6507">
      <c r="A6507" s="58" t="inlineStr">
        <is>
          <t>RT20250614-06506</t>
        </is>
      </c>
      <c r="B6507" s="59" t="inlineStr">
        <is>
          <t>2025-06-14</t>
        </is>
      </c>
      <c r="C6507" s="60" t="inlineStr">
        <is>
          <t>Polar Bedding Lite-243</t>
        </is>
      </c>
      <c r="D6507" s="58" t="inlineStr">
        <is>
          <t>Home</t>
        </is>
      </c>
      <c r="E6507" s="58" t="inlineStr">
        <is>
          <t>East</t>
        </is>
      </c>
      <c r="F6507" s="61" t="n">
        <v>2</v>
      </c>
      <c r="G6507" s="62" t="n">
        <v>447.6</v>
      </c>
      <c r="H6507" s="63" t="n">
        <v>0.039</v>
      </c>
      <c r="I6507" s="62" t="n">
        <v>314.67</v>
      </c>
      <c r="J6507" s="58" t="inlineStr">
        <is>
          <t>Store</t>
        </is>
      </c>
      <c r="K6507" s="62">
        <f>F6507*(G6507-H6507)</f>
        <v/>
      </c>
      <c r="L6507" s="62">
        <f>K6507-(F6507*I6507)</f>
        <v/>
      </c>
      <c r="M6507" s="64">
        <f>L6507/K6507</f>
        <v/>
      </c>
    </row>
    <row r="6508">
      <c r="A6508" s="58" t="inlineStr">
        <is>
          <t>RT20250614-06507</t>
        </is>
      </c>
      <c r="B6508" s="59" t="inlineStr">
        <is>
          <t>2025-06-14</t>
        </is>
      </c>
      <c r="C6508" s="60" t="inlineStr">
        <is>
          <t>Metro Accessorie Max-316</t>
        </is>
      </c>
      <c r="D6508" s="58" t="inlineStr">
        <is>
          <t>Apparel</t>
        </is>
      </c>
      <c r="E6508" s="58" t="inlineStr">
        <is>
          <t>Central</t>
        </is>
      </c>
      <c r="F6508" s="61" t="n">
        <v>1</v>
      </c>
      <c r="G6508" s="62" t="n">
        <v>162.76</v>
      </c>
      <c r="H6508" s="63" t="n">
        <v>0.109</v>
      </c>
      <c r="I6508" s="62" t="n">
        <v>92.3</v>
      </c>
      <c r="J6508" s="58" t="inlineStr">
        <is>
          <t>Online</t>
        </is>
      </c>
      <c r="K6508" s="62">
        <f>F6508*(G6508-H6508)</f>
        <v/>
      </c>
      <c r="L6508" s="62">
        <f>K6508-(F6508*I6508)</f>
        <v/>
      </c>
      <c r="M6508" s="64">
        <f>L6508/K6508</f>
        <v/>
      </c>
    </row>
    <row r="6509">
      <c r="A6509" s="58" t="inlineStr">
        <is>
          <t>RT20250614-06508</t>
        </is>
      </c>
      <c r="B6509" s="59" t="inlineStr">
        <is>
          <t>2025-06-14</t>
        </is>
      </c>
      <c r="C6509" s="60" t="inlineStr">
        <is>
          <t>Polar Beverage S-258</t>
        </is>
      </c>
      <c r="D6509" s="58" t="inlineStr">
        <is>
          <t>Grocery</t>
        </is>
      </c>
      <c r="E6509" s="58" t="inlineStr">
        <is>
          <t>Central</t>
        </is>
      </c>
      <c r="F6509" s="61" t="n">
        <v>1</v>
      </c>
      <c r="G6509" s="62" t="n">
        <v>14.03</v>
      </c>
      <c r="H6509" s="63" t="n">
        <v>0.083</v>
      </c>
      <c r="I6509" s="62" t="n">
        <v>9.449999999999999</v>
      </c>
      <c r="J6509" s="58" t="inlineStr">
        <is>
          <t>Store</t>
        </is>
      </c>
      <c r="K6509" s="62">
        <f>F6509*(G6509-H6509)</f>
        <v/>
      </c>
      <c r="L6509" s="62">
        <f>K6509-(F6509*I6509)</f>
        <v/>
      </c>
      <c r="M6509" s="64">
        <f>L6509/K6509</f>
        <v/>
      </c>
    </row>
    <row r="6510">
      <c r="A6510" s="58" t="inlineStr">
        <is>
          <t>RT20250614-06509</t>
        </is>
      </c>
      <c r="B6510" s="59" t="inlineStr">
        <is>
          <t>2025-06-14</t>
        </is>
      </c>
      <c r="C6510" s="60" t="inlineStr">
        <is>
          <t>Falcon Household Pro-865</t>
        </is>
      </c>
      <c r="D6510" s="58" t="inlineStr">
        <is>
          <t>Grocery</t>
        </is>
      </c>
      <c r="E6510" s="58" t="inlineStr">
        <is>
          <t>North</t>
        </is>
      </c>
      <c r="F6510" s="61" t="n">
        <v>5</v>
      </c>
      <c r="G6510" s="62" t="n">
        <v>11.54</v>
      </c>
      <c r="H6510" s="63" t="n">
        <v>0.08799999999999999</v>
      </c>
      <c r="I6510" s="62" t="n">
        <v>7.78</v>
      </c>
      <c r="J6510" s="58" t="inlineStr">
        <is>
          <t>Store</t>
        </is>
      </c>
      <c r="K6510" s="62">
        <f>F6510*(G6510-H6510)</f>
        <v/>
      </c>
      <c r="L6510" s="62">
        <f>K6510-(F6510*I6510)</f>
        <v/>
      </c>
      <c r="M6510" s="64">
        <f>L6510/K6510</f>
        <v/>
      </c>
    </row>
    <row r="6511">
      <c r="A6511" s="58" t="inlineStr">
        <is>
          <t>RT20250614-06510</t>
        </is>
      </c>
      <c r="B6511" s="59" t="inlineStr">
        <is>
          <t>2025-06-14</t>
        </is>
      </c>
      <c r="C6511" s="60" t="inlineStr">
        <is>
          <t>Polar Snack Pro-641</t>
        </is>
      </c>
      <c r="D6511" s="58" t="inlineStr">
        <is>
          <t>Grocery</t>
        </is>
      </c>
      <c r="E6511" s="58" t="inlineStr">
        <is>
          <t>East</t>
        </is>
      </c>
      <c r="F6511" s="61" t="n">
        <v>8</v>
      </c>
      <c r="G6511" s="62" t="n">
        <v>13.69</v>
      </c>
      <c r="H6511" s="63" t="n">
        <v>0.055</v>
      </c>
      <c r="I6511" s="62" t="n">
        <v>9.77</v>
      </c>
      <c r="J6511" s="58" t="inlineStr">
        <is>
          <t>Store</t>
        </is>
      </c>
      <c r="K6511" s="62">
        <f>F6511*(G6511-H6511)</f>
        <v/>
      </c>
      <c r="L6511" s="62">
        <f>K6511-(F6511*I6511)</f>
        <v/>
      </c>
      <c r="M6511" s="64">
        <f>L6511/K6511</f>
        <v/>
      </c>
    </row>
    <row r="6512">
      <c r="A6512" s="58" t="inlineStr">
        <is>
          <t>RT20250614-06511</t>
        </is>
      </c>
      <c r="B6512" s="59" t="inlineStr">
        <is>
          <t>2025-06-14</t>
        </is>
      </c>
      <c r="C6512" s="60" t="inlineStr">
        <is>
          <t>Vertex Smartphone Lite-267</t>
        </is>
      </c>
      <c r="D6512" s="58" t="inlineStr">
        <is>
          <t>Electronics</t>
        </is>
      </c>
      <c r="E6512" s="58" t="inlineStr">
        <is>
          <t>North</t>
        </is>
      </c>
      <c r="F6512" s="61" t="n">
        <v>1</v>
      </c>
      <c r="G6512" s="62" t="n">
        <v>1041.54</v>
      </c>
      <c r="H6512" s="63" t="n">
        <v>0.03</v>
      </c>
      <c r="I6512" s="62" t="n">
        <v>959</v>
      </c>
      <c r="J6512" s="58" t="inlineStr">
        <is>
          <t>Online</t>
        </is>
      </c>
      <c r="K6512" s="62">
        <f>F6512*(G6512-H6512)</f>
        <v/>
      </c>
      <c r="L6512" s="62">
        <f>K6512-(F6512*I6512)</f>
        <v/>
      </c>
      <c r="M6512" s="64">
        <f>L6512/K6512</f>
        <v/>
      </c>
    </row>
    <row r="6513">
      <c r="A6513" s="58" t="inlineStr">
        <is>
          <t>RT20250614-06512</t>
        </is>
      </c>
      <c r="B6513" s="59" t="inlineStr">
        <is>
          <t>2025-06-14</t>
        </is>
      </c>
      <c r="C6513" s="60" t="inlineStr">
        <is>
          <t>Falcon Headphone Pro-713</t>
        </is>
      </c>
      <c r="D6513" s="58" t="inlineStr">
        <is>
          <t>Electronics</t>
        </is>
      </c>
      <c r="E6513" s="58" t="inlineStr">
        <is>
          <t>East</t>
        </is>
      </c>
      <c r="F6513" s="61" t="n">
        <v>1</v>
      </c>
      <c r="G6513" s="62" t="n">
        <v>1395.11</v>
      </c>
      <c r="H6513" s="63" t="n">
        <v>0.091</v>
      </c>
      <c r="I6513" s="62" t="n">
        <v>1166.59</v>
      </c>
      <c r="J6513" s="58" t="inlineStr">
        <is>
          <t>Online</t>
        </is>
      </c>
      <c r="K6513" s="62">
        <f>F6513*(G6513-H6513)</f>
        <v/>
      </c>
      <c r="L6513" s="62">
        <f>K6513-(F6513*I6513)</f>
        <v/>
      </c>
      <c r="M6513" s="64">
        <f>L6513/K6513</f>
        <v/>
      </c>
    </row>
    <row r="6514">
      <c r="A6514" s="58" t="inlineStr">
        <is>
          <t>RT20250614-06513</t>
        </is>
      </c>
      <c r="B6514" s="59" t="inlineStr">
        <is>
          <t>2025-06-14</t>
        </is>
      </c>
      <c r="C6514" s="60" t="inlineStr">
        <is>
          <t>Polar Wearable X-119</t>
        </is>
      </c>
      <c r="D6514" s="58" t="inlineStr">
        <is>
          <t>Electronics</t>
        </is>
      </c>
      <c r="E6514" s="58" t="inlineStr">
        <is>
          <t>Central</t>
        </is>
      </c>
      <c r="F6514" s="61" t="n">
        <v>2</v>
      </c>
      <c r="G6514" s="62" t="n">
        <v>1730.56</v>
      </c>
      <c r="H6514" s="63" t="n">
        <v>0.073</v>
      </c>
      <c r="I6514" s="62" t="n">
        <v>1348.5</v>
      </c>
      <c r="J6514" s="58" t="inlineStr">
        <is>
          <t>Online</t>
        </is>
      </c>
      <c r="K6514" s="62">
        <f>F6514*(G6514-H6514)</f>
        <v/>
      </c>
      <c r="L6514" s="62">
        <f>K6514-(F6514*I6514)</f>
        <v/>
      </c>
      <c r="M6514" s="64">
        <f>L6514/K6514</f>
        <v/>
      </c>
    </row>
    <row r="6515">
      <c r="A6515" s="58" t="inlineStr">
        <is>
          <t>RT20250614-06514</t>
        </is>
      </c>
      <c r="B6515" s="59" t="inlineStr">
        <is>
          <t>2025-06-14</t>
        </is>
      </c>
      <c r="C6515" s="60" t="inlineStr">
        <is>
          <t>Solace Team Sport Max-548</t>
        </is>
      </c>
      <c r="D6515" s="58" t="inlineStr">
        <is>
          <t>Sports</t>
        </is>
      </c>
      <c r="E6515" s="58" t="inlineStr">
        <is>
          <t>North</t>
        </is>
      </c>
      <c r="F6515" s="61" t="n">
        <v>1</v>
      </c>
      <c r="G6515" s="62" t="n">
        <v>634.97</v>
      </c>
      <c r="H6515" s="63" t="n">
        <v>0.098</v>
      </c>
      <c r="I6515" s="62" t="n">
        <v>475.25</v>
      </c>
      <c r="J6515" s="58" t="inlineStr">
        <is>
          <t>Online</t>
        </is>
      </c>
      <c r="K6515" s="62">
        <f>F6515*(G6515-H6515)</f>
        <v/>
      </c>
      <c r="L6515" s="62">
        <f>K6515-(F6515*I6515)</f>
        <v/>
      </c>
      <c r="M6515" s="64">
        <f>L6515/K6515</f>
        <v/>
      </c>
    </row>
    <row r="6516">
      <c r="A6516" s="58" t="inlineStr">
        <is>
          <t>RT20250614-06515</t>
        </is>
      </c>
      <c r="B6516" s="59" t="inlineStr">
        <is>
          <t>2025-06-14</t>
        </is>
      </c>
      <c r="C6516" s="60" t="inlineStr">
        <is>
          <t>Polar Beverage S-258</t>
        </is>
      </c>
      <c r="D6516" s="58" t="inlineStr">
        <is>
          <t>Grocery</t>
        </is>
      </c>
      <c r="E6516" s="58" t="inlineStr">
        <is>
          <t>East</t>
        </is>
      </c>
      <c r="F6516" s="61" t="n">
        <v>1</v>
      </c>
      <c r="G6516" s="62" t="n">
        <v>13.09</v>
      </c>
      <c r="H6516" s="63" t="n">
        <v>0.096</v>
      </c>
      <c r="I6516" s="62" t="n">
        <v>9.640000000000001</v>
      </c>
      <c r="J6516" s="58" t="inlineStr">
        <is>
          <t>Store</t>
        </is>
      </c>
      <c r="K6516" s="62">
        <f>F6516*(G6516-H6516)</f>
        <v/>
      </c>
      <c r="L6516" s="62">
        <f>K6516-(F6516*I6516)</f>
        <v/>
      </c>
      <c r="M6516" s="64">
        <f>L6516/K6516</f>
        <v/>
      </c>
    </row>
    <row r="6517">
      <c r="A6517" s="58" t="inlineStr">
        <is>
          <t>RT20250614-06516</t>
        </is>
      </c>
      <c r="B6517" s="59" t="inlineStr">
        <is>
          <t>2025-06-14</t>
        </is>
      </c>
      <c r="C6517" s="60" t="inlineStr">
        <is>
          <t>Nimbus Storage Plus-646</t>
        </is>
      </c>
      <c r="D6517" s="58" t="inlineStr">
        <is>
          <t>Office</t>
        </is>
      </c>
      <c r="E6517" s="58" t="inlineStr">
        <is>
          <t>Central</t>
        </is>
      </c>
      <c r="F6517" s="61" t="n">
        <v>2</v>
      </c>
      <c r="G6517" s="62" t="n">
        <v>495.51</v>
      </c>
      <c r="H6517" s="63" t="n">
        <v>0.051</v>
      </c>
      <c r="I6517" s="62" t="n">
        <v>322.54</v>
      </c>
      <c r="J6517" s="58" t="inlineStr">
        <is>
          <t>Online</t>
        </is>
      </c>
      <c r="K6517" s="62">
        <f>F6517*(G6517-H6517)</f>
        <v/>
      </c>
      <c r="L6517" s="62">
        <f>K6517-(F6517*I6517)</f>
        <v/>
      </c>
      <c r="M6517" s="64">
        <f>L6517/K6517</f>
        <v/>
      </c>
    </row>
    <row r="6518">
      <c r="A6518" s="58" t="inlineStr">
        <is>
          <t>RT20250614-06517</t>
        </is>
      </c>
      <c r="B6518" s="59" t="inlineStr">
        <is>
          <t>2025-06-14</t>
        </is>
      </c>
      <c r="C6518" s="60" t="inlineStr">
        <is>
          <t>Aurora Makeup S-626</t>
        </is>
      </c>
      <c r="D6518" s="58" t="inlineStr">
        <is>
          <t>Beauty</t>
        </is>
      </c>
      <c r="E6518" s="58" t="inlineStr">
        <is>
          <t>South</t>
        </is>
      </c>
      <c r="F6518" s="61" t="n">
        <v>1</v>
      </c>
      <c r="G6518" s="62" t="n">
        <v>110.32</v>
      </c>
      <c r="H6518" s="63" t="n">
        <v>0.091</v>
      </c>
      <c r="I6518" s="62" t="n">
        <v>65.65000000000001</v>
      </c>
      <c r="J6518" s="58" t="inlineStr">
        <is>
          <t>Store</t>
        </is>
      </c>
      <c r="K6518" s="62">
        <f>F6518*(G6518-H6518)</f>
        <v/>
      </c>
      <c r="L6518" s="62">
        <f>K6518-(F6518*I6518)</f>
        <v/>
      </c>
      <c r="M6518" s="64">
        <f>L6518/K6518</f>
        <v/>
      </c>
    </row>
    <row r="6519">
      <c r="A6519" s="58" t="inlineStr">
        <is>
          <t>RT20250614-06518</t>
        </is>
      </c>
      <c r="B6519" s="59" t="inlineStr">
        <is>
          <t>2025-06-14</t>
        </is>
      </c>
      <c r="C6519" s="60" t="inlineStr">
        <is>
          <t>Orion Haircare Plus-887</t>
        </is>
      </c>
      <c r="D6519" s="58" t="inlineStr">
        <is>
          <t>Beauty</t>
        </is>
      </c>
      <c r="E6519" s="58" t="inlineStr">
        <is>
          <t>West</t>
        </is>
      </c>
      <c r="F6519" s="61" t="n">
        <v>4</v>
      </c>
      <c r="G6519" s="62" t="n">
        <v>48.32</v>
      </c>
      <c r="H6519" s="63" t="n">
        <v>0.08599999999999999</v>
      </c>
      <c r="I6519" s="62" t="n">
        <v>30.76</v>
      </c>
      <c r="J6519" s="58" t="inlineStr">
        <is>
          <t>Online</t>
        </is>
      </c>
      <c r="K6519" s="62">
        <f>F6519*(G6519-H6519)</f>
        <v/>
      </c>
      <c r="L6519" s="62">
        <f>K6519-(F6519*I6519)</f>
        <v/>
      </c>
      <c r="M6519" s="64">
        <f>L6519/K6519</f>
        <v/>
      </c>
    </row>
    <row r="6520">
      <c r="A6520" s="58" t="inlineStr">
        <is>
          <t>RT20250614-06519</t>
        </is>
      </c>
      <c r="B6520" s="59" t="inlineStr">
        <is>
          <t>2025-06-14</t>
        </is>
      </c>
      <c r="C6520" s="60" t="inlineStr">
        <is>
          <t>Polar Cycling X-649</t>
        </is>
      </c>
      <c r="D6520" s="58" t="inlineStr">
        <is>
          <t>Sports</t>
        </is>
      </c>
      <c r="E6520" s="58" t="inlineStr">
        <is>
          <t>North</t>
        </is>
      </c>
      <c r="F6520" s="61" t="n">
        <v>2</v>
      </c>
      <c r="G6520" s="62" t="n">
        <v>578.9299999999999</v>
      </c>
      <c r="H6520" s="63" t="n">
        <v>0.054</v>
      </c>
      <c r="I6520" s="62" t="n">
        <v>369.97</v>
      </c>
      <c r="J6520" s="58" t="inlineStr">
        <is>
          <t>Store</t>
        </is>
      </c>
      <c r="K6520" s="62">
        <f>F6520*(G6520-H6520)</f>
        <v/>
      </c>
      <c r="L6520" s="62">
        <f>K6520-(F6520*I6520)</f>
        <v/>
      </c>
      <c r="M6520" s="64">
        <f>L6520/K6520</f>
        <v/>
      </c>
    </row>
    <row r="6521">
      <c r="A6521" s="58" t="inlineStr">
        <is>
          <t>RT20250614-06520</t>
        </is>
      </c>
      <c r="B6521" s="59" t="inlineStr">
        <is>
          <t>2025-06-14</t>
        </is>
      </c>
      <c r="C6521" s="60" t="inlineStr">
        <is>
          <t>Aurora Wearable Lite-704</t>
        </is>
      </c>
      <c r="D6521" s="58" t="inlineStr">
        <is>
          <t>Electronics</t>
        </is>
      </c>
      <c r="E6521" s="58" t="inlineStr">
        <is>
          <t>West</t>
        </is>
      </c>
      <c r="F6521" s="61" t="n">
        <v>1</v>
      </c>
      <c r="G6521" s="62" t="n">
        <v>1840.97</v>
      </c>
      <c r="H6521" s="63" t="n">
        <v>0.039</v>
      </c>
      <c r="I6521" s="62" t="n">
        <v>1441.74</v>
      </c>
      <c r="J6521" s="58" t="inlineStr">
        <is>
          <t>Online</t>
        </is>
      </c>
      <c r="K6521" s="62">
        <f>F6521*(G6521-H6521)</f>
        <v/>
      </c>
      <c r="L6521" s="62">
        <f>K6521-(F6521*I6521)</f>
        <v/>
      </c>
      <c r="M6521" s="64">
        <f>L6521/K6521</f>
        <v/>
      </c>
    </row>
    <row r="6522">
      <c r="A6522" s="58" t="inlineStr">
        <is>
          <t>RT20250614-06521</t>
        </is>
      </c>
      <c r="B6522" s="59" t="inlineStr">
        <is>
          <t>2025-06-14</t>
        </is>
      </c>
      <c r="C6522" s="60" t="inlineStr">
        <is>
          <t>Orion Snack X-322</t>
        </is>
      </c>
      <c r="D6522" s="58" t="inlineStr">
        <is>
          <t>Grocery</t>
        </is>
      </c>
      <c r="E6522" s="58" t="inlineStr">
        <is>
          <t>East</t>
        </is>
      </c>
      <c r="F6522" s="61" t="n">
        <v>6</v>
      </c>
      <c r="G6522" s="62" t="n">
        <v>14.67</v>
      </c>
      <c r="H6522" s="63" t="n">
        <v>0.064</v>
      </c>
      <c r="I6522" s="62" t="n">
        <v>9.98</v>
      </c>
      <c r="J6522" s="58" t="inlineStr">
        <is>
          <t>Online</t>
        </is>
      </c>
      <c r="K6522" s="62">
        <f>F6522*(G6522-H6522)</f>
        <v/>
      </c>
      <c r="L6522" s="62">
        <f>K6522-(F6522*I6522)</f>
        <v/>
      </c>
      <c r="M6522" s="64">
        <f>L6522/K6522</f>
        <v/>
      </c>
    </row>
    <row r="6523">
      <c r="A6523" s="58" t="inlineStr">
        <is>
          <t>RT20250614-06522</t>
        </is>
      </c>
      <c r="B6523" s="59" t="inlineStr">
        <is>
          <t>2025-06-14</t>
        </is>
      </c>
      <c r="C6523" s="60" t="inlineStr">
        <is>
          <t>Orion Men X-928</t>
        </is>
      </c>
      <c r="D6523" s="58" t="inlineStr">
        <is>
          <t>Apparel</t>
        </is>
      </c>
      <c r="E6523" s="58" t="inlineStr">
        <is>
          <t>East</t>
        </is>
      </c>
      <c r="F6523" s="61" t="n">
        <v>1</v>
      </c>
      <c r="G6523" s="62" t="n">
        <v>107.55</v>
      </c>
      <c r="H6523" s="63" t="n">
        <v>0.119</v>
      </c>
      <c r="I6523" s="62" t="n">
        <v>63.05</v>
      </c>
      <c r="J6523" s="58" t="inlineStr">
        <is>
          <t>Online</t>
        </is>
      </c>
      <c r="K6523" s="62">
        <f>F6523*(G6523-H6523)</f>
        <v/>
      </c>
      <c r="L6523" s="62">
        <f>K6523-(F6523*I6523)</f>
        <v/>
      </c>
      <c r="M6523" s="64">
        <f>L6523/K6523</f>
        <v/>
      </c>
    </row>
    <row r="6524">
      <c r="A6524" s="58" t="inlineStr">
        <is>
          <t>RT20250614-06523</t>
        </is>
      </c>
      <c r="B6524" s="59" t="inlineStr">
        <is>
          <t>2025-06-14</t>
        </is>
      </c>
      <c r="C6524" s="60" t="inlineStr">
        <is>
          <t>Vertex Supplie Pro-786</t>
        </is>
      </c>
      <c r="D6524" s="58" t="inlineStr">
        <is>
          <t>Office</t>
        </is>
      </c>
      <c r="E6524" s="58" t="inlineStr">
        <is>
          <t>Central</t>
        </is>
      </c>
      <c r="F6524" s="61" t="n">
        <v>2</v>
      </c>
      <c r="G6524" s="62" t="n">
        <v>420.41</v>
      </c>
      <c r="H6524" s="63" t="n">
        <v>0.08400000000000001</v>
      </c>
      <c r="I6524" s="62" t="n">
        <v>300.38</v>
      </c>
      <c r="J6524" s="58" t="inlineStr">
        <is>
          <t>Online</t>
        </is>
      </c>
      <c r="K6524" s="62">
        <f>F6524*(G6524-H6524)</f>
        <v/>
      </c>
      <c r="L6524" s="62">
        <f>K6524-(F6524*I6524)</f>
        <v/>
      </c>
      <c r="M6524" s="64">
        <f>L6524/K6524</f>
        <v/>
      </c>
    </row>
    <row r="6525">
      <c r="A6525" s="58" t="inlineStr">
        <is>
          <t>RT20250614-06524</t>
        </is>
      </c>
      <c r="B6525" s="59" t="inlineStr">
        <is>
          <t>2025-06-14</t>
        </is>
      </c>
      <c r="C6525" s="60" t="inlineStr">
        <is>
          <t>Aurora Haircare S-975</t>
        </is>
      </c>
      <c r="D6525" s="58" t="inlineStr">
        <is>
          <t>Beauty</t>
        </is>
      </c>
      <c r="E6525" s="58" t="inlineStr">
        <is>
          <t>East</t>
        </is>
      </c>
      <c r="F6525" s="61" t="n">
        <v>3</v>
      </c>
      <c r="G6525" s="62" t="n">
        <v>96.18000000000001</v>
      </c>
      <c r="H6525" s="63" t="n">
        <v>0.032</v>
      </c>
      <c r="I6525" s="62" t="n">
        <v>56.72</v>
      </c>
      <c r="J6525" s="58" t="inlineStr">
        <is>
          <t>Store</t>
        </is>
      </c>
      <c r="K6525" s="62">
        <f>F6525*(G6525-H6525)</f>
        <v/>
      </c>
      <c r="L6525" s="62">
        <f>K6525-(F6525*I6525)</f>
        <v/>
      </c>
      <c r="M6525" s="64">
        <f>L6525/K6525</f>
        <v/>
      </c>
    </row>
    <row r="6526">
      <c r="A6526" s="58" t="inlineStr">
        <is>
          <t>RT20250614-06525</t>
        </is>
      </c>
      <c r="B6526" s="59" t="inlineStr">
        <is>
          <t>2025-06-14</t>
        </is>
      </c>
      <c r="C6526" s="60" t="inlineStr">
        <is>
          <t>Aurora Kid Plus-151</t>
        </is>
      </c>
      <c r="D6526" s="58" t="inlineStr">
        <is>
          <t>Apparel</t>
        </is>
      </c>
      <c r="E6526" s="58" t="inlineStr">
        <is>
          <t>East</t>
        </is>
      </c>
      <c r="F6526" s="61" t="n">
        <v>1</v>
      </c>
      <c r="G6526" s="62" t="n">
        <v>114.63</v>
      </c>
      <c r="H6526" s="63" t="n">
        <v>0.04</v>
      </c>
      <c r="I6526" s="62" t="n">
        <v>66.40000000000001</v>
      </c>
      <c r="J6526" s="58" t="inlineStr">
        <is>
          <t>Online</t>
        </is>
      </c>
      <c r="K6526" s="62">
        <f>F6526*(G6526-H6526)</f>
        <v/>
      </c>
      <c r="L6526" s="62">
        <f>K6526-(F6526*I6526)</f>
        <v/>
      </c>
      <c r="M6526" s="64">
        <f>L6526/K6526</f>
        <v/>
      </c>
    </row>
    <row r="6527">
      <c r="A6527" s="58" t="inlineStr">
        <is>
          <t>RT20250614-06526</t>
        </is>
      </c>
      <c r="B6527" s="59" t="inlineStr">
        <is>
          <t>2025-06-14</t>
        </is>
      </c>
      <c r="C6527" s="60" t="inlineStr">
        <is>
          <t>Falcon Haircare Pro-980</t>
        </is>
      </c>
      <c r="D6527" s="58" t="inlineStr">
        <is>
          <t>Beauty</t>
        </is>
      </c>
      <c r="E6527" s="58" t="inlineStr">
        <is>
          <t>South</t>
        </is>
      </c>
      <c r="F6527" s="61" t="n">
        <v>4</v>
      </c>
      <c r="G6527" s="62" t="n">
        <v>100.22</v>
      </c>
      <c r="H6527" s="63" t="n">
        <v>0.035</v>
      </c>
      <c r="I6527" s="62" t="n">
        <v>57.58</v>
      </c>
      <c r="J6527" s="58" t="inlineStr">
        <is>
          <t>Online</t>
        </is>
      </c>
      <c r="K6527" s="62">
        <f>F6527*(G6527-H6527)</f>
        <v/>
      </c>
      <c r="L6527" s="62">
        <f>K6527-(F6527*I6527)</f>
        <v/>
      </c>
      <c r="M6527" s="64">
        <f>L6527/K6527</f>
        <v/>
      </c>
    </row>
    <row r="6528">
      <c r="A6528" s="58" t="inlineStr">
        <is>
          <t>RT20250614-06527</t>
        </is>
      </c>
      <c r="B6528" s="59" t="inlineStr">
        <is>
          <t>2025-06-14</t>
        </is>
      </c>
      <c r="C6528" s="60" t="inlineStr">
        <is>
          <t>Vertex Fitnes Pro-830</t>
        </is>
      </c>
      <c r="D6528" s="58" t="inlineStr">
        <is>
          <t>Sports</t>
        </is>
      </c>
      <c r="E6528" s="58" t="inlineStr">
        <is>
          <t>South</t>
        </is>
      </c>
      <c r="F6528" s="61" t="n">
        <v>3</v>
      </c>
      <c r="G6528" s="62" t="n">
        <v>645.87</v>
      </c>
      <c r="H6528" s="63" t="n">
        <v>0</v>
      </c>
      <c r="I6528" s="62" t="n">
        <v>484.48</v>
      </c>
      <c r="J6528" s="58" t="inlineStr">
        <is>
          <t>Online</t>
        </is>
      </c>
      <c r="K6528" s="62">
        <f>F6528*(G6528-H6528)</f>
        <v/>
      </c>
      <c r="L6528" s="62">
        <f>K6528-(F6528*I6528)</f>
        <v/>
      </c>
      <c r="M6528" s="64">
        <f>L6528/K6528</f>
        <v/>
      </c>
    </row>
    <row r="6529">
      <c r="A6529" s="58" t="inlineStr">
        <is>
          <t>RT20250614-06528</t>
        </is>
      </c>
      <c r="B6529" s="59" t="inlineStr">
        <is>
          <t>2025-06-14</t>
        </is>
      </c>
      <c r="C6529" s="60" t="inlineStr">
        <is>
          <t>Aurora Makeup S-626</t>
        </is>
      </c>
      <c r="D6529" s="58" t="inlineStr">
        <is>
          <t>Beauty</t>
        </is>
      </c>
      <c r="E6529" s="58" t="inlineStr">
        <is>
          <t>West</t>
        </is>
      </c>
      <c r="F6529" s="61" t="n">
        <v>2</v>
      </c>
      <c r="G6529" s="62" t="n">
        <v>107.15</v>
      </c>
      <c r="H6529" s="63" t="n">
        <v>0.038</v>
      </c>
      <c r="I6529" s="62" t="n">
        <v>63.32</v>
      </c>
      <c r="J6529" s="58" t="inlineStr">
        <is>
          <t>Online</t>
        </is>
      </c>
      <c r="K6529" s="62">
        <f>F6529*(G6529-H6529)</f>
        <v/>
      </c>
      <c r="L6529" s="62">
        <f>K6529-(F6529*I6529)</f>
        <v/>
      </c>
      <c r="M6529" s="64">
        <f>L6529/K6529</f>
        <v/>
      </c>
    </row>
    <row r="6530">
      <c r="A6530" s="58" t="inlineStr">
        <is>
          <t>RT20250614-06529</t>
        </is>
      </c>
      <c r="B6530" s="59" t="inlineStr">
        <is>
          <t>2025-06-14</t>
        </is>
      </c>
      <c r="C6530" s="60" t="inlineStr">
        <is>
          <t>Metro Pantry Max-180</t>
        </is>
      </c>
      <c r="D6530" s="58" t="inlineStr">
        <is>
          <t>Grocery</t>
        </is>
      </c>
      <c r="E6530" s="58" t="inlineStr">
        <is>
          <t>South</t>
        </is>
      </c>
      <c r="F6530" s="61" t="n">
        <v>8</v>
      </c>
      <c r="G6530" s="62" t="n">
        <v>8.41</v>
      </c>
      <c r="H6530" s="63" t="n">
        <v>0.018</v>
      </c>
      <c r="I6530" s="62" t="n">
        <v>6.5</v>
      </c>
      <c r="J6530" s="58" t="inlineStr">
        <is>
          <t>Store</t>
        </is>
      </c>
      <c r="K6530" s="62">
        <f>F6530*(G6530-H6530)</f>
        <v/>
      </c>
      <c r="L6530" s="62">
        <f>K6530-(F6530*I6530)</f>
        <v/>
      </c>
      <c r="M6530" s="64">
        <f>L6530/K6530</f>
        <v/>
      </c>
    </row>
    <row r="6531">
      <c r="A6531" s="58" t="inlineStr">
        <is>
          <t>RT20250614-06530</t>
        </is>
      </c>
      <c r="B6531" s="59" t="inlineStr">
        <is>
          <t>2025-06-14</t>
        </is>
      </c>
      <c r="C6531" s="60" t="inlineStr">
        <is>
          <t>Solace Smartphone Lite-533</t>
        </is>
      </c>
      <c r="D6531" s="58" t="inlineStr">
        <is>
          <t>Electronics</t>
        </is>
      </c>
      <c r="E6531" s="58" t="inlineStr">
        <is>
          <t>West</t>
        </is>
      </c>
      <c r="F6531" s="61" t="n">
        <v>1</v>
      </c>
      <c r="G6531" s="62" t="n">
        <v>1141.84</v>
      </c>
      <c r="H6531" s="63" t="n">
        <v>0.099</v>
      </c>
      <c r="I6531" s="62" t="n">
        <v>908.65</v>
      </c>
      <c r="J6531" s="58" t="inlineStr">
        <is>
          <t>Online</t>
        </is>
      </c>
      <c r="K6531" s="62">
        <f>F6531*(G6531-H6531)</f>
        <v/>
      </c>
      <c r="L6531" s="62">
        <f>K6531-(F6531*I6531)</f>
        <v/>
      </c>
      <c r="M6531" s="64">
        <f>L6531/K6531</f>
        <v/>
      </c>
    </row>
    <row r="6532">
      <c r="A6532" s="58" t="inlineStr">
        <is>
          <t>RT20250614-06531</t>
        </is>
      </c>
      <c r="B6532" s="59" t="inlineStr">
        <is>
          <t>2025-06-14</t>
        </is>
      </c>
      <c r="C6532" s="60" t="inlineStr">
        <is>
          <t>Falcon Household Plus-796</t>
        </is>
      </c>
      <c r="D6532" s="58" t="inlineStr">
        <is>
          <t>Grocery</t>
        </is>
      </c>
      <c r="E6532" s="58" t="inlineStr">
        <is>
          <t>West</t>
        </is>
      </c>
      <c r="F6532" s="61" t="n">
        <v>6</v>
      </c>
      <c r="G6532" s="62" t="n">
        <v>20.71</v>
      </c>
      <c r="H6532" s="63" t="n">
        <v>0.073</v>
      </c>
      <c r="I6532" s="62" t="n">
        <v>17.05</v>
      </c>
      <c r="J6532" s="58" t="inlineStr">
        <is>
          <t>Online</t>
        </is>
      </c>
      <c r="K6532" s="62">
        <f>F6532*(G6532-H6532)</f>
        <v/>
      </c>
      <c r="L6532" s="62">
        <f>K6532-(F6532*I6532)</f>
        <v/>
      </c>
      <c r="M6532" s="64">
        <f>L6532/K6532</f>
        <v/>
      </c>
    </row>
    <row r="6533">
      <c r="A6533" s="58" t="inlineStr">
        <is>
          <t>RT20250614-06532</t>
        </is>
      </c>
      <c r="B6533" s="59" t="inlineStr">
        <is>
          <t>2025-06-14</t>
        </is>
      </c>
      <c r="C6533" s="60" t="inlineStr">
        <is>
          <t>Metro Printer X-294</t>
        </is>
      </c>
      <c r="D6533" s="58" t="inlineStr">
        <is>
          <t>Office</t>
        </is>
      </c>
      <c r="E6533" s="58" t="inlineStr">
        <is>
          <t>East</t>
        </is>
      </c>
      <c r="F6533" s="61" t="n">
        <v>1</v>
      </c>
      <c r="G6533" s="62" t="n">
        <v>588.6</v>
      </c>
      <c r="H6533" s="63" t="n">
        <v>0.054</v>
      </c>
      <c r="I6533" s="62" t="n">
        <v>407.29</v>
      </c>
      <c r="J6533" s="58" t="inlineStr">
        <is>
          <t>Online</t>
        </is>
      </c>
      <c r="K6533" s="62">
        <f>F6533*(G6533-H6533)</f>
        <v/>
      </c>
      <c r="L6533" s="62">
        <f>K6533-(F6533*I6533)</f>
        <v/>
      </c>
      <c r="M6533" s="64">
        <f>L6533/K6533</f>
        <v/>
      </c>
    </row>
    <row r="6534">
      <c r="A6534" s="58" t="inlineStr">
        <is>
          <t>RT20250614-06533</t>
        </is>
      </c>
      <c r="B6534" s="59" t="inlineStr">
        <is>
          <t>2025-06-14</t>
        </is>
      </c>
      <c r="C6534" s="60" t="inlineStr">
        <is>
          <t>Solace Kid S-384</t>
        </is>
      </c>
      <c r="D6534" s="58" t="inlineStr">
        <is>
          <t>Apparel</t>
        </is>
      </c>
      <c r="E6534" s="58" t="inlineStr">
        <is>
          <t>North</t>
        </is>
      </c>
      <c r="F6534" s="61" t="n">
        <v>2</v>
      </c>
      <c r="G6534" s="62" t="n">
        <v>119.7</v>
      </c>
      <c r="H6534" s="63" t="n">
        <v>0.103</v>
      </c>
      <c r="I6534" s="62" t="n">
        <v>63.55</v>
      </c>
      <c r="J6534" s="58" t="inlineStr">
        <is>
          <t>Phone</t>
        </is>
      </c>
      <c r="K6534" s="62">
        <f>F6534*(G6534-H6534)</f>
        <v/>
      </c>
      <c r="L6534" s="62">
        <f>K6534-(F6534*I6534)</f>
        <v/>
      </c>
      <c r="M6534" s="64">
        <f>L6534/K6534</f>
        <v/>
      </c>
    </row>
    <row r="6535">
      <c r="A6535" s="58" t="inlineStr">
        <is>
          <t>RT20250614-06534</t>
        </is>
      </c>
      <c r="B6535" s="59" t="inlineStr">
        <is>
          <t>2025-06-14</t>
        </is>
      </c>
      <c r="C6535" s="60" t="inlineStr">
        <is>
          <t>Polar Women Max-927</t>
        </is>
      </c>
      <c r="D6535" s="58" t="inlineStr">
        <is>
          <t>Apparel</t>
        </is>
      </c>
      <c r="E6535" s="58" t="inlineStr">
        <is>
          <t>East</t>
        </is>
      </c>
      <c r="F6535" s="61" t="n">
        <v>4</v>
      </c>
      <c r="G6535" s="62" t="n">
        <v>96.56</v>
      </c>
      <c r="H6535" s="63" t="n">
        <v>0.103</v>
      </c>
      <c r="I6535" s="62" t="n">
        <v>66.89</v>
      </c>
      <c r="J6535" s="58" t="inlineStr">
        <is>
          <t>Online</t>
        </is>
      </c>
      <c r="K6535" s="62">
        <f>F6535*(G6535-H6535)</f>
        <v/>
      </c>
      <c r="L6535" s="62">
        <f>K6535-(F6535*I6535)</f>
        <v/>
      </c>
      <c r="M6535" s="64">
        <f>L6535/K6535</f>
        <v/>
      </c>
    </row>
    <row r="6536">
      <c r="A6536" s="58" t="inlineStr">
        <is>
          <t>RT20250614-06535</t>
        </is>
      </c>
      <c r="B6536" s="59" t="inlineStr">
        <is>
          <t>2025-06-14</t>
        </is>
      </c>
      <c r="C6536" s="60" t="inlineStr">
        <is>
          <t>Metro Pantry Max-180</t>
        </is>
      </c>
      <c r="D6536" s="58" t="inlineStr">
        <is>
          <t>Grocery</t>
        </is>
      </c>
      <c r="E6536" s="58" t="inlineStr">
        <is>
          <t>East</t>
        </is>
      </c>
      <c r="F6536" s="61" t="n">
        <v>2</v>
      </c>
      <c r="G6536" s="62" t="n">
        <v>9.41</v>
      </c>
      <c r="H6536" s="63" t="n">
        <v>0.027</v>
      </c>
      <c r="I6536" s="62" t="n">
        <v>6.54</v>
      </c>
      <c r="J6536" s="58" t="inlineStr">
        <is>
          <t>Online</t>
        </is>
      </c>
      <c r="K6536" s="62">
        <f>F6536*(G6536-H6536)</f>
        <v/>
      </c>
      <c r="L6536" s="62">
        <f>K6536-(F6536*I6536)</f>
        <v/>
      </c>
      <c r="M6536" s="64">
        <f>L6536/K6536</f>
        <v/>
      </c>
    </row>
    <row r="6537">
      <c r="A6537" s="58" t="inlineStr">
        <is>
          <t>RT20250614-06536</t>
        </is>
      </c>
      <c r="B6537" s="59" t="inlineStr">
        <is>
          <t>2025-06-14</t>
        </is>
      </c>
      <c r="C6537" s="60" t="inlineStr">
        <is>
          <t>Polar Cycling X-649</t>
        </is>
      </c>
      <c r="D6537" s="58" t="inlineStr">
        <is>
          <t>Sports</t>
        </is>
      </c>
      <c r="E6537" s="58" t="inlineStr">
        <is>
          <t>East</t>
        </is>
      </c>
      <c r="F6537" s="61" t="n">
        <v>1</v>
      </c>
      <c r="G6537" s="62" t="n">
        <v>559.8099999999999</v>
      </c>
      <c r="H6537" s="63" t="n">
        <v>0.061</v>
      </c>
      <c r="I6537" s="62" t="n">
        <v>360.97</v>
      </c>
      <c r="J6537" s="58" t="inlineStr">
        <is>
          <t>Online</t>
        </is>
      </c>
      <c r="K6537" s="62">
        <f>F6537*(G6537-H6537)</f>
        <v/>
      </c>
      <c r="L6537" s="62">
        <f>K6537-(F6537*I6537)</f>
        <v/>
      </c>
      <c r="M6537" s="64">
        <f>L6537/K6537</f>
        <v/>
      </c>
    </row>
    <row r="6538">
      <c r="A6538" s="58" t="inlineStr">
        <is>
          <t>RT20250614-06537</t>
        </is>
      </c>
      <c r="B6538" s="59" t="inlineStr">
        <is>
          <t>2025-06-14</t>
        </is>
      </c>
      <c r="C6538" s="60" t="inlineStr">
        <is>
          <t>Aurora Storage Lite-774</t>
        </is>
      </c>
      <c r="D6538" s="58" t="inlineStr">
        <is>
          <t>Office</t>
        </is>
      </c>
      <c r="E6538" s="58" t="inlineStr">
        <is>
          <t>North</t>
        </is>
      </c>
      <c r="F6538" s="61" t="n">
        <v>3</v>
      </c>
      <c r="G6538" s="62" t="n">
        <v>316.09</v>
      </c>
      <c r="H6538" s="63" t="n">
        <v>0.074</v>
      </c>
      <c r="I6538" s="62" t="n">
        <v>244.52</v>
      </c>
      <c r="J6538" s="58" t="inlineStr">
        <is>
          <t>Online</t>
        </is>
      </c>
      <c r="K6538" s="62">
        <f>F6538*(G6538-H6538)</f>
        <v/>
      </c>
      <c r="L6538" s="62">
        <f>K6538-(F6538*I6538)</f>
        <v/>
      </c>
      <c r="M6538" s="64">
        <f>L6538/K6538</f>
        <v/>
      </c>
    </row>
    <row r="6539">
      <c r="A6539" s="58" t="inlineStr">
        <is>
          <t>RT20250614-06538</t>
        </is>
      </c>
      <c r="B6539" s="59" t="inlineStr">
        <is>
          <t>2025-06-14</t>
        </is>
      </c>
      <c r="C6539" s="60" t="inlineStr">
        <is>
          <t>Nimbus Makeup Max-158</t>
        </is>
      </c>
      <c r="D6539" s="58" t="inlineStr">
        <is>
          <t>Beauty</t>
        </is>
      </c>
      <c r="E6539" s="58" t="inlineStr">
        <is>
          <t>East</t>
        </is>
      </c>
      <c r="F6539" s="61" t="n">
        <v>3</v>
      </c>
      <c r="G6539" s="62" t="n">
        <v>158.29</v>
      </c>
      <c r="H6539" s="63" t="n">
        <v>0.092</v>
      </c>
      <c r="I6539" s="62" t="n">
        <v>97.39</v>
      </c>
      <c r="J6539" s="58" t="inlineStr">
        <is>
          <t>Store</t>
        </is>
      </c>
      <c r="K6539" s="62">
        <f>F6539*(G6539-H6539)</f>
        <v/>
      </c>
      <c r="L6539" s="62">
        <f>K6539-(F6539*I6539)</f>
        <v/>
      </c>
      <c r="M6539" s="64">
        <f>L6539/K6539</f>
        <v/>
      </c>
    </row>
    <row r="6540">
      <c r="A6540" s="58" t="inlineStr">
        <is>
          <t>RT20250614-06539</t>
        </is>
      </c>
      <c r="B6540" s="59" t="inlineStr">
        <is>
          <t>2025-06-14</t>
        </is>
      </c>
      <c r="C6540" s="60" t="inlineStr">
        <is>
          <t>Falcon Headphone Pro-713</t>
        </is>
      </c>
      <c r="D6540" s="58" t="inlineStr">
        <is>
          <t>Electronics</t>
        </is>
      </c>
      <c r="E6540" s="58" t="inlineStr">
        <is>
          <t>East</t>
        </is>
      </c>
      <c r="F6540" s="61" t="n">
        <v>2</v>
      </c>
      <c r="G6540" s="62" t="n">
        <v>1363.81</v>
      </c>
      <c r="H6540" s="63" t="n">
        <v>0.073</v>
      </c>
      <c r="I6540" s="62" t="n">
        <v>1188.43</v>
      </c>
      <c r="J6540" s="58" t="inlineStr">
        <is>
          <t>Online</t>
        </is>
      </c>
      <c r="K6540" s="62">
        <f>F6540*(G6540-H6540)</f>
        <v/>
      </c>
      <c r="L6540" s="62">
        <f>K6540-(F6540*I6540)</f>
        <v/>
      </c>
      <c r="M6540" s="64">
        <f>L6540/K6540</f>
        <v/>
      </c>
    </row>
    <row r="6541">
      <c r="A6541" s="58" t="inlineStr">
        <is>
          <t>RT20250614-06540</t>
        </is>
      </c>
      <c r="B6541" s="59" t="inlineStr">
        <is>
          <t>2025-06-14</t>
        </is>
      </c>
      <c r="C6541" s="60" t="inlineStr">
        <is>
          <t>Falcon Storage X-734</t>
        </is>
      </c>
      <c r="D6541" s="58" t="inlineStr">
        <is>
          <t>Office</t>
        </is>
      </c>
      <c r="E6541" s="58" t="inlineStr">
        <is>
          <t>South</t>
        </is>
      </c>
      <c r="F6541" s="61" t="n">
        <v>1</v>
      </c>
      <c r="G6541" s="62" t="n">
        <v>403.82</v>
      </c>
      <c r="H6541" s="63" t="n">
        <v>0.032</v>
      </c>
      <c r="I6541" s="62" t="n">
        <v>280.8</v>
      </c>
      <c r="J6541" s="58" t="inlineStr">
        <is>
          <t>Store</t>
        </is>
      </c>
      <c r="K6541" s="62">
        <f>F6541*(G6541-H6541)</f>
        <v/>
      </c>
      <c r="L6541" s="62">
        <f>K6541-(F6541*I6541)</f>
        <v/>
      </c>
      <c r="M6541" s="64">
        <f>L6541/K6541</f>
        <v/>
      </c>
    </row>
    <row r="6542">
      <c r="A6542" s="58" t="inlineStr">
        <is>
          <t>RT20250614-06541</t>
        </is>
      </c>
      <c r="B6542" s="59" t="inlineStr">
        <is>
          <t>2025-06-14</t>
        </is>
      </c>
      <c r="C6542" s="60" t="inlineStr">
        <is>
          <t>Polar Bedding Lite-243</t>
        </is>
      </c>
      <c r="D6542" s="58" t="inlineStr">
        <is>
          <t>Home</t>
        </is>
      </c>
      <c r="E6542" s="58" t="inlineStr">
        <is>
          <t>West</t>
        </is>
      </c>
      <c r="F6542" s="61" t="n">
        <v>1</v>
      </c>
      <c r="G6542" s="62" t="n">
        <v>479.53</v>
      </c>
      <c r="H6542" s="63" t="n">
        <v>0.059</v>
      </c>
      <c r="I6542" s="62" t="n">
        <v>326.99</v>
      </c>
      <c r="J6542" s="58" t="inlineStr">
        <is>
          <t>Online</t>
        </is>
      </c>
      <c r="K6542" s="62">
        <f>F6542*(G6542-H6542)</f>
        <v/>
      </c>
      <c r="L6542" s="62">
        <f>K6542-(F6542*I6542)</f>
        <v/>
      </c>
      <c r="M6542" s="64">
        <f>L6542/K6542</f>
        <v/>
      </c>
    </row>
    <row r="6543">
      <c r="A6543" s="58" t="inlineStr">
        <is>
          <t>RT20250614-06542</t>
        </is>
      </c>
      <c r="B6543" s="59" t="inlineStr">
        <is>
          <t>2025-06-14</t>
        </is>
      </c>
      <c r="C6543" s="60" t="inlineStr">
        <is>
          <t>Nimbus Cycling Plus-911</t>
        </is>
      </c>
      <c r="D6543" s="58" t="inlineStr">
        <is>
          <t>Sports</t>
        </is>
      </c>
      <c r="E6543" s="58" t="inlineStr">
        <is>
          <t>East</t>
        </is>
      </c>
      <c r="F6543" s="61" t="n">
        <v>3</v>
      </c>
      <c r="G6543" s="62" t="n">
        <v>695.46</v>
      </c>
      <c r="H6543" s="63" t="n">
        <v>0.111</v>
      </c>
      <c r="I6543" s="62" t="n">
        <v>404.31</v>
      </c>
      <c r="J6543" s="58" t="inlineStr">
        <is>
          <t>Store</t>
        </is>
      </c>
      <c r="K6543" s="62">
        <f>F6543*(G6543-H6543)</f>
        <v/>
      </c>
      <c r="L6543" s="62">
        <f>K6543-(F6543*I6543)</f>
        <v/>
      </c>
      <c r="M6543" s="64">
        <f>L6543/K6543</f>
        <v/>
      </c>
    </row>
    <row r="6544">
      <c r="A6544" s="58" t="inlineStr">
        <is>
          <t>RT20250614-06543</t>
        </is>
      </c>
      <c r="B6544" s="59" t="inlineStr">
        <is>
          <t>2025-06-14</t>
        </is>
      </c>
      <c r="C6544" s="60" t="inlineStr">
        <is>
          <t>Metro Decor Lite-325</t>
        </is>
      </c>
      <c r="D6544" s="58" t="inlineStr">
        <is>
          <t>Home</t>
        </is>
      </c>
      <c r="E6544" s="58" t="inlineStr">
        <is>
          <t>North</t>
        </is>
      </c>
      <c r="F6544" s="61" t="n">
        <v>2</v>
      </c>
      <c r="G6544" s="62" t="n">
        <v>585.21</v>
      </c>
      <c r="H6544" s="63" t="n">
        <v>0.08599999999999999</v>
      </c>
      <c r="I6544" s="62" t="n">
        <v>377.49</v>
      </c>
      <c r="J6544" s="58" t="inlineStr">
        <is>
          <t>Store</t>
        </is>
      </c>
      <c r="K6544" s="62">
        <f>F6544*(G6544-H6544)</f>
        <v/>
      </c>
      <c r="L6544" s="62">
        <f>K6544-(F6544*I6544)</f>
        <v/>
      </c>
      <c r="M6544" s="64">
        <f>L6544/K6544</f>
        <v/>
      </c>
    </row>
    <row r="6545">
      <c r="A6545" s="58" t="inlineStr">
        <is>
          <t>RT20250614-06544</t>
        </is>
      </c>
      <c r="B6545" s="59" t="inlineStr">
        <is>
          <t>2025-06-14</t>
        </is>
      </c>
      <c r="C6545" s="60" t="inlineStr">
        <is>
          <t>Falcon Beverage Max-702</t>
        </is>
      </c>
      <c r="D6545" s="58" t="inlineStr">
        <is>
          <t>Grocery</t>
        </is>
      </c>
      <c r="E6545" s="58" t="inlineStr">
        <is>
          <t>West</t>
        </is>
      </c>
      <c r="F6545" s="61" t="n">
        <v>6</v>
      </c>
      <c r="G6545" s="62" t="n">
        <v>26.51</v>
      </c>
      <c r="H6545" s="63" t="n">
        <v>0.09</v>
      </c>
      <c r="I6545" s="62" t="n">
        <v>19.93</v>
      </c>
      <c r="J6545" s="58" t="inlineStr">
        <is>
          <t>Online</t>
        </is>
      </c>
      <c r="K6545" s="62">
        <f>F6545*(G6545-H6545)</f>
        <v/>
      </c>
      <c r="L6545" s="62">
        <f>K6545-(F6545*I6545)</f>
        <v/>
      </c>
      <c r="M6545" s="64">
        <f>L6545/K6545</f>
        <v/>
      </c>
    </row>
    <row r="6546">
      <c r="A6546" s="58" t="inlineStr">
        <is>
          <t>RT20250614-06545</t>
        </is>
      </c>
      <c r="B6546" s="59" t="inlineStr">
        <is>
          <t>2025-06-14</t>
        </is>
      </c>
      <c r="C6546" s="60" t="inlineStr">
        <is>
          <t>Aurora Makeup Pro-489</t>
        </is>
      </c>
      <c r="D6546" s="58" t="inlineStr">
        <is>
          <t>Beauty</t>
        </is>
      </c>
      <c r="E6546" s="58" t="inlineStr">
        <is>
          <t>East</t>
        </is>
      </c>
      <c r="F6546" s="61" t="n">
        <v>1</v>
      </c>
      <c r="G6546" s="62" t="n">
        <v>116.97</v>
      </c>
      <c r="H6546" s="63" t="n">
        <v>0.065</v>
      </c>
      <c r="I6546" s="62" t="n">
        <v>63.38</v>
      </c>
      <c r="J6546" s="58" t="inlineStr">
        <is>
          <t>Store</t>
        </is>
      </c>
      <c r="K6546" s="62">
        <f>F6546*(G6546-H6546)</f>
        <v/>
      </c>
      <c r="L6546" s="62">
        <f>K6546-(F6546*I6546)</f>
        <v/>
      </c>
      <c r="M6546" s="64">
        <f>L6546/K6546</f>
        <v/>
      </c>
    </row>
    <row r="6547">
      <c r="A6547" s="58" t="inlineStr">
        <is>
          <t>RT20250614-06546</t>
        </is>
      </c>
      <c r="B6547" s="59" t="inlineStr">
        <is>
          <t>2025-06-14</t>
        </is>
      </c>
      <c r="C6547" s="60" t="inlineStr">
        <is>
          <t>Vertex Pantry Pro-165</t>
        </is>
      </c>
      <c r="D6547" s="58" t="inlineStr">
        <is>
          <t>Grocery</t>
        </is>
      </c>
      <c r="E6547" s="58" t="inlineStr">
        <is>
          <t>North</t>
        </is>
      </c>
      <c r="F6547" s="61" t="n">
        <v>2</v>
      </c>
      <c r="G6547" s="62" t="n">
        <v>14.3</v>
      </c>
      <c r="H6547" s="63" t="n">
        <v>0.08400000000000001</v>
      </c>
      <c r="I6547" s="62" t="n">
        <v>11.84</v>
      </c>
      <c r="J6547" s="58" t="inlineStr">
        <is>
          <t>Online</t>
        </is>
      </c>
      <c r="K6547" s="62">
        <f>F6547*(G6547-H6547)</f>
        <v/>
      </c>
      <c r="L6547" s="62">
        <f>K6547-(F6547*I6547)</f>
        <v/>
      </c>
      <c r="M6547" s="64">
        <f>L6547/K6547</f>
        <v/>
      </c>
    </row>
    <row r="6548">
      <c r="A6548" s="58" t="inlineStr">
        <is>
          <t>RT20250614-06547</t>
        </is>
      </c>
      <c r="B6548" s="59" t="inlineStr">
        <is>
          <t>2025-06-14</t>
        </is>
      </c>
      <c r="C6548" s="60" t="inlineStr">
        <is>
          <t>Orion Beverage Plus-949</t>
        </is>
      </c>
      <c r="D6548" s="58" t="inlineStr">
        <is>
          <t>Grocery</t>
        </is>
      </c>
      <c r="E6548" s="58" t="inlineStr">
        <is>
          <t>South</t>
        </is>
      </c>
      <c r="F6548" s="61" t="n">
        <v>5</v>
      </c>
      <c r="G6548" s="62" t="n">
        <v>14.46</v>
      </c>
      <c r="H6548" s="63" t="n">
        <v>0.054</v>
      </c>
      <c r="I6548" s="62" t="n">
        <v>13.28</v>
      </c>
      <c r="J6548" s="58" t="inlineStr">
        <is>
          <t>Online</t>
        </is>
      </c>
      <c r="K6548" s="62">
        <f>F6548*(G6548-H6548)</f>
        <v/>
      </c>
      <c r="L6548" s="62">
        <f>K6548-(F6548*I6548)</f>
        <v/>
      </c>
      <c r="M6548" s="64">
        <f>L6548/K6548</f>
        <v/>
      </c>
    </row>
    <row r="6549">
      <c r="A6549" s="58" t="inlineStr">
        <is>
          <t>RT20250614-06548</t>
        </is>
      </c>
      <c r="B6549" s="59" t="inlineStr">
        <is>
          <t>2025-06-14</t>
        </is>
      </c>
      <c r="C6549" s="60" t="inlineStr">
        <is>
          <t>Aurora Outdoor Pro-467</t>
        </is>
      </c>
      <c r="D6549" s="58" t="inlineStr">
        <is>
          <t>Sports</t>
        </is>
      </c>
      <c r="E6549" s="58" t="inlineStr">
        <is>
          <t>Central</t>
        </is>
      </c>
      <c r="F6549" s="61" t="n">
        <v>3</v>
      </c>
      <c r="G6549" s="62" t="n">
        <v>284.81</v>
      </c>
      <c r="H6549" s="63" t="n">
        <v>0.07000000000000001</v>
      </c>
      <c r="I6549" s="62" t="n">
        <v>192.69</v>
      </c>
      <c r="J6549" s="58" t="inlineStr">
        <is>
          <t>Online</t>
        </is>
      </c>
      <c r="K6549" s="62">
        <f>F6549*(G6549-H6549)</f>
        <v/>
      </c>
      <c r="L6549" s="62">
        <f>K6549-(F6549*I6549)</f>
        <v/>
      </c>
      <c r="M6549" s="64">
        <f>L6549/K6549</f>
        <v/>
      </c>
    </row>
    <row r="6550">
      <c r="A6550" s="58" t="inlineStr">
        <is>
          <t>RT20250614-06549</t>
        </is>
      </c>
      <c r="B6550" s="59" t="inlineStr">
        <is>
          <t>2025-06-14</t>
        </is>
      </c>
      <c r="C6550" s="60" t="inlineStr">
        <is>
          <t>Vertex Supplie Pro-786</t>
        </is>
      </c>
      <c r="D6550" s="58" t="inlineStr">
        <is>
          <t>Office</t>
        </is>
      </c>
      <c r="E6550" s="58" t="inlineStr">
        <is>
          <t>East</t>
        </is>
      </c>
      <c r="F6550" s="61" t="n">
        <v>2</v>
      </c>
      <c r="G6550" s="62" t="n">
        <v>383.2</v>
      </c>
      <c r="H6550" s="63" t="n">
        <v>0.024</v>
      </c>
      <c r="I6550" s="62" t="n">
        <v>294.3</v>
      </c>
      <c r="J6550" s="58" t="inlineStr">
        <is>
          <t>Store</t>
        </is>
      </c>
      <c r="K6550" s="62">
        <f>F6550*(G6550-H6550)</f>
        <v/>
      </c>
      <c r="L6550" s="62">
        <f>K6550-(F6550*I6550)</f>
        <v/>
      </c>
      <c r="M6550" s="64">
        <f>L6550/K6550</f>
        <v/>
      </c>
    </row>
    <row r="6551">
      <c r="A6551" s="58" t="inlineStr">
        <is>
          <t>RT20250614-06550</t>
        </is>
      </c>
      <c r="B6551" s="59" t="inlineStr">
        <is>
          <t>2025-06-14</t>
        </is>
      </c>
      <c r="C6551" s="60" t="inlineStr">
        <is>
          <t>Aurora Appliance Max-316</t>
        </is>
      </c>
      <c r="D6551" s="58" t="inlineStr">
        <is>
          <t>Home</t>
        </is>
      </c>
      <c r="E6551" s="58" t="inlineStr">
        <is>
          <t>Central</t>
        </is>
      </c>
      <c r="F6551" s="61" t="n">
        <v>3</v>
      </c>
      <c r="G6551" s="62" t="n">
        <v>303.11</v>
      </c>
      <c r="H6551" s="63" t="n">
        <v>0.074</v>
      </c>
      <c r="I6551" s="62" t="n">
        <v>212.89</v>
      </c>
      <c r="J6551" s="58" t="inlineStr">
        <is>
          <t>Phone</t>
        </is>
      </c>
      <c r="K6551" s="62">
        <f>F6551*(G6551-H6551)</f>
        <v/>
      </c>
      <c r="L6551" s="62">
        <f>K6551-(F6551*I6551)</f>
        <v/>
      </c>
      <c r="M6551" s="64">
        <f>L6551/K6551</f>
        <v/>
      </c>
    </row>
    <row r="6552">
      <c r="A6552" s="58" t="inlineStr">
        <is>
          <t>RT20250615-06551</t>
        </is>
      </c>
      <c r="B6552" s="59" t="inlineStr">
        <is>
          <t>2025-06-15</t>
        </is>
      </c>
      <c r="C6552" s="60" t="inlineStr">
        <is>
          <t>Metro Pantry X-710</t>
        </is>
      </c>
      <c r="D6552" s="58" t="inlineStr">
        <is>
          <t>Grocery</t>
        </is>
      </c>
      <c r="E6552" s="58" t="inlineStr">
        <is>
          <t>East</t>
        </is>
      </c>
      <c r="F6552" s="61" t="n">
        <v>2</v>
      </c>
      <c r="G6552" s="62" t="n">
        <v>5.2</v>
      </c>
      <c r="H6552" s="63" t="n">
        <v>0.06</v>
      </c>
      <c r="I6552" s="62" t="n">
        <v>4.27</v>
      </c>
      <c r="J6552" s="58" t="inlineStr">
        <is>
          <t>Online</t>
        </is>
      </c>
      <c r="K6552" s="62">
        <f>F6552*(G6552-H6552)</f>
        <v/>
      </c>
      <c r="L6552" s="62">
        <f>K6552-(F6552*I6552)</f>
        <v/>
      </c>
      <c r="M6552" s="64">
        <f>L6552/K6552</f>
        <v/>
      </c>
    </row>
    <row r="6553">
      <c r="A6553" s="58" t="inlineStr">
        <is>
          <t>RT20250615-06552</t>
        </is>
      </c>
      <c r="B6553" s="59" t="inlineStr">
        <is>
          <t>2025-06-15</t>
        </is>
      </c>
      <c r="C6553" s="60" t="inlineStr">
        <is>
          <t>Aurora Furniture X-709</t>
        </is>
      </c>
      <c r="D6553" s="58" t="inlineStr">
        <is>
          <t>Office</t>
        </is>
      </c>
      <c r="E6553" s="58" t="inlineStr">
        <is>
          <t>West</t>
        </is>
      </c>
      <c r="F6553" s="61" t="n">
        <v>3</v>
      </c>
      <c r="G6553" s="62" t="n">
        <v>433.37</v>
      </c>
      <c r="H6553" s="63" t="n">
        <v>0.07099999999999999</v>
      </c>
      <c r="I6553" s="62" t="n">
        <v>309.68</v>
      </c>
      <c r="J6553" s="58" t="inlineStr">
        <is>
          <t>Online</t>
        </is>
      </c>
      <c r="K6553" s="62">
        <f>F6553*(G6553-H6553)</f>
        <v/>
      </c>
      <c r="L6553" s="62">
        <f>K6553-(F6553*I6553)</f>
        <v/>
      </c>
      <c r="M6553" s="64">
        <f>L6553/K6553</f>
        <v/>
      </c>
    </row>
    <row r="6554">
      <c r="A6554" s="58" t="inlineStr">
        <is>
          <t>RT20250615-06553</t>
        </is>
      </c>
      <c r="B6554" s="59" t="inlineStr">
        <is>
          <t>2025-06-15</t>
        </is>
      </c>
      <c r="C6554" s="60" t="inlineStr">
        <is>
          <t>Aurora Makeup S-626</t>
        </is>
      </c>
      <c r="D6554" s="58" t="inlineStr">
        <is>
          <t>Beauty</t>
        </is>
      </c>
      <c r="E6554" s="58" t="inlineStr">
        <is>
          <t>Central</t>
        </is>
      </c>
      <c r="F6554" s="61" t="n">
        <v>3</v>
      </c>
      <c r="G6554" s="62" t="n">
        <v>110.37</v>
      </c>
      <c r="H6554" s="63" t="n">
        <v>0.045</v>
      </c>
      <c r="I6554" s="62" t="n">
        <v>63.19</v>
      </c>
      <c r="J6554" s="58" t="inlineStr">
        <is>
          <t>Store</t>
        </is>
      </c>
      <c r="K6554" s="62">
        <f>F6554*(G6554-H6554)</f>
        <v/>
      </c>
      <c r="L6554" s="62">
        <f>K6554-(F6554*I6554)</f>
        <v/>
      </c>
      <c r="M6554" s="64">
        <f>L6554/K6554</f>
        <v/>
      </c>
    </row>
    <row r="6555">
      <c r="A6555" s="58" t="inlineStr">
        <is>
          <t>RT20250615-06554</t>
        </is>
      </c>
      <c r="B6555" s="59" t="inlineStr">
        <is>
          <t>2025-06-15</t>
        </is>
      </c>
      <c r="C6555" s="60" t="inlineStr">
        <is>
          <t>Aurora Makeup S-626</t>
        </is>
      </c>
      <c r="D6555" s="58" t="inlineStr">
        <is>
          <t>Beauty</t>
        </is>
      </c>
      <c r="E6555" s="58" t="inlineStr">
        <is>
          <t>South</t>
        </is>
      </c>
      <c r="F6555" s="61" t="n">
        <v>4</v>
      </c>
      <c r="G6555" s="62" t="n">
        <v>105.84</v>
      </c>
      <c r="H6555" s="63" t="n">
        <v>0.106</v>
      </c>
      <c r="I6555" s="62" t="n">
        <v>63.03</v>
      </c>
      <c r="J6555" s="58" t="inlineStr">
        <is>
          <t>Online</t>
        </is>
      </c>
      <c r="K6555" s="62">
        <f>F6555*(G6555-H6555)</f>
        <v/>
      </c>
      <c r="L6555" s="62">
        <f>K6555-(F6555*I6555)</f>
        <v/>
      </c>
      <c r="M6555" s="64">
        <f>L6555/K6555</f>
        <v/>
      </c>
    </row>
    <row r="6556">
      <c r="A6556" s="58" t="inlineStr">
        <is>
          <t>RT20250615-06555</t>
        </is>
      </c>
      <c r="B6556" s="59" t="inlineStr">
        <is>
          <t>2025-06-15</t>
        </is>
      </c>
      <c r="C6556" s="60" t="inlineStr">
        <is>
          <t>Falcon Headphone Pro-713</t>
        </is>
      </c>
      <c r="D6556" s="58" t="inlineStr">
        <is>
          <t>Electronics</t>
        </is>
      </c>
      <c r="E6556" s="58" t="inlineStr">
        <is>
          <t>East</t>
        </is>
      </c>
      <c r="F6556" s="61" t="n">
        <v>2</v>
      </c>
      <c r="G6556" s="62" t="n">
        <v>1505.44</v>
      </c>
      <c r="H6556" s="63" t="n">
        <v>0.08400000000000001</v>
      </c>
      <c r="I6556" s="62" t="n">
        <v>1198.02</v>
      </c>
      <c r="J6556" s="58" t="inlineStr">
        <is>
          <t>Store</t>
        </is>
      </c>
      <c r="K6556" s="62">
        <f>F6556*(G6556-H6556)</f>
        <v/>
      </c>
      <c r="L6556" s="62">
        <f>K6556-(F6556*I6556)</f>
        <v/>
      </c>
      <c r="M6556" s="64">
        <f>L6556/K6556</f>
        <v/>
      </c>
    </row>
    <row r="6557">
      <c r="A6557" s="58" t="inlineStr">
        <is>
          <t>RT20250615-06556</t>
        </is>
      </c>
      <c r="B6557" s="59" t="inlineStr">
        <is>
          <t>2025-06-15</t>
        </is>
      </c>
      <c r="C6557" s="60" t="inlineStr">
        <is>
          <t>Polar Bedding Lite-243</t>
        </is>
      </c>
      <c r="D6557" s="58" t="inlineStr">
        <is>
          <t>Home</t>
        </is>
      </c>
      <c r="E6557" s="58" t="inlineStr">
        <is>
          <t>West</t>
        </is>
      </c>
      <c r="F6557" s="61" t="n">
        <v>2</v>
      </c>
      <c r="G6557" s="62" t="n">
        <v>476.92</v>
      </c>
      <c r="H6557" s="63" t="n">
        <v>0.106</v>
      </c>
      <c r="I6557" s="62" t="n">
        <v>317.83</v>
      </c>
      <c r="J6557" s="58" t="inlineStr">
        <is>
          <t>Store</t>
        </is>
      </c>
      <c r="K6557" s="62">
        <f>F6557*(G6557-H6557)</f>
        <v/>
      </c>
      <c r="L6557" s="62">
        <f>K6557-(F6557*I6557)</f>
        <v/>
      </c>
      <c r="M6557" s="64">
        <f>L6557/K6557</f>
        <v/>
      </c>
    </row>
    <row r="6558">
      <c r="A6558" s="58" t="inlineStr">
        <is>
          <t>RT20250615-06557</t>
        </is>
      </c>
      <c r="B6558" s="59" t="inlineStr">
        <is>
          <t>2025-06-15</t>
        </is>
      </c>
      <c r="C6558" s="60" t="inlineStr">
        <is>
          <t>Aurora Smartphone Plus-125</t>
        </is>
      </c>
      <c r="D6558" s="58" t="inlineStr">
        <is>
          <t>Electronics</t>
        </is>
      </c>
      <c r="E6558" s="58" t="inlineStr">
        <is>
          <t>South</t>
        </is>
      </c>
      <c r="F6558" s="61" t="n">
        <v>2</v>
      </c>
      <c r="G6558" s="62" t="n">
        <v>1499.31</v>
      </c>
      <c r="H6558" s="63" t="n">
        <v>0.07000000000000001</v>
      </c>
      <c r="I6558" s="62" t="n">
        <v>1218.4</v>
      </c>
      <c r="J6558" s="58" t="inlineStr">
        <is>
          <t>Online</t>
        </is>
      </c>
      <c r="K6558" s="62">
        <f>F6558*(G6558-H6558)</f>
        <v/>
      </c>
      <c r="L6558" s="62">
        <f>K6558-(F6558*I6558)</f>
        <v/>
      </c>
      <c r="M6558" s="64">
        <f>L6558/K6558</f>
        <v/>
      </c>
    </row>
    <row r="6559">
      <c r="A6559" s="58" t="inlineStr">
        <is>
          <t>RT20250615-06558</t>
        </is>
      </c>
      <c r="B6559" s="59" t="inlineStr">
        <is>
          <t>2025-06-15</t>
        </is>
      </c>
      <c r="C6559" s="60" t="inlineStr">
        <is>
          <t>Falcon Headphone Pro-713</t>
        </is>
      </c>
      <c r="D6559" s="58" t="inlineStr">
        <is>
          <t>Electronics</t>
        </is>
      </c>
      <c r="E6559" s="58" t="inlineStr">
        <is>
          <t>East</t>
        </is>
      </c>
      <c r="F6559" s="61" t="n">
        <v>1</v>
      </c>
      <c r="G6559" s="62" t="n">
        <v>1553.8</v>
      </c>
      <c r="H6559" s="63" t="n">
        <v>0.062</v>
      </c>
      <c r="I6559" s="62" t="n">
        <v>1163.13</v>
      </c>
      <c r="J6559" s="58" t="inlineStr">
        <is>
          <t>Store</t>
        </is>
      </c>
      <c r="K6559" s="62">
        <f>F6559*(G6559-H6559)</f>
        <v/>
      </c>
      <c r="L6559" s="62">
        <f>K6559-(F6559*I6559)</f>
        <v/>
      </c>
      <c r="M6559" s="64">
        <f>L6559/K6559</f>
        <v/>
      </c>
    </row>
    <row r="6560">
      <c r="A6560" s="58" t="inlineStr">
        <is>
          <t>RT20250615-06559</t>
        </is>
      </c>
      <c r="B6560" s="59" t="inlineStr">
        <is>
          <t>2025-06-15</t>
        </is>
      </c>
      <c r="C6560" s="60" t="inlineStr">
        <is>
          <t>Falcon Headphone Plus-789</t>
        </is>
      </c>
      <c r="D6560" s="58" t="inlineStr">
        <is>
          <t>Electronics</t>
        </is>
      </c>
      <c r="E6560" s="58" t="inlineStr">
        <is>
          <t>West</t>
        </is>
      </c>
      <c r="F6560" s="61" t="n">
        <v>1</v>
      </c>
      <c r="G6560" s="62" t="n">
        <v>1370.72</v>
      </c>
      <c r="H6560" s="63" t="n">
        <v>0.035</v>
      </c>
      <c r="I6560" s="62" t="n">
        <v>1284.22</v>
      </c>
      <c r="J6560" s="58" t="inlineStr">
        <is>
          <t>Online</t>
        </is>
      </c>
      <c r="K6560" s="62">
        <f>F6560*(G6560-H6560)</f>
        <v/>
      </c>
      <c r="L6560" s="62">
        <f>K6560-(F6560*I6560)</f>
        <v/>
      </c>
      <c r="M6560" s="64">
        <f>L6560/K6560</f>
        <v/>
      </c>
    </row>
    <row r="6561">
      <c r="A6561" s="58" t="inlineStr">
        <is>
          <t>RT20250615-06560</t>
        </is>
      </c>
      <c r="B6561" s="59" t="inlineStr">
        <is>
          <t>2025-06-15</t>
        </is>
      </c>
      <c r="C6561" s="60" t="inlineStr">
        <is>
          <t>Polar Women S-662</t>
        </is>
      </c>
      <c r="D6561" s="58" t="inlineStr">
        <is>
          <t>Apparel</t>
        </is>
      </c>
      <c r="E6561" s="58" t="inlineStr">
        <is>
          <t>East</t>
        </is>
      </c>
      <c r="F6561" s="61" t="n">
        <v>1</v>
      </c>
      <c r="G6561" s="62" t="n">
        <v>180.5</v>
      </c>
      <c r="H6561" s="63" t="n">
        <v>0.079</v>
      </c>
      <c r="I6561" s="62" t="n">
        <v>96.52</v>
      </c>
      <c r="J6561" s="58" t="inlineStr">
        <is>
          <t>Store</t>
        </is>
      </c>
      <c r="K6561" s="62">
        <f>F6561*(G6561-H6561)</f>
        <v/>
      </c>
      <c r="L6561" s="62">
        <f>K6561-(F6561*I6561)</f>
        <v/>
      </c>
      <c r="M6561" s="64">
        <f>L6561/K6561</f>
        <v/>
      </c>
    </row>
    <row r="6562">
      <c r="A6562" s="58" t="inlineStr">
        <is>
          <t>RT20250615-06561</t>
        </is>
      </c>
      <c r="B6562" s="59" t="inlineStr">
        <is>
          <t>2025-06-15</t>
        </is>
      </c>
      <c r="C6562" s="60" t="inlineStr">
        <is>
          <t>Orion Kid Max-864</t>
        </is>
      </c>
      <c r="D6562" s="58" t="inlineStr">
        <is>
          <t>Apparel</t>
        </is>
      </c>
      <c r="E6562" s="58" t="inlineStr">
        <is>
          <t>South</t>
        </is>
      </c>
      <c r="F6562" s="61" t="n">
        <v>3</v>
      </c>
      <c r="G6562" s="62" t="n">
        <v>84.64</v>
      </c>
      <c r="H6562" s="63" t="n">
        <v>0.096</v>
      </c>
      <c r="I6562" s="62" t="n">
        <v>46.76</v>
      </c>
      <c r="J6562" s="58" t="inlineStr">
        <is>
          <t>Store</t>
        </is>
      </c>
      <c r="K6562" s="62">
        <f>F6562*(G6562-H6562)</f>
        <v/>
      </c>
      <c r="L6562" s="62">
        <f>K6562-(F6562*I6562)</f>
        <v/>
      </c>
      <c r="M6562" s="64">
        <f>L6562/K6562</f>
        <v/>
      </c>
    </row>
    <row r="6563">
      <c r="A6563" s="58" t="inlineStr">
        <is>
          <t>RT20250615-06562</t>
        </is>
      </c>
      <c r="B6563" s="59" t="inlineStr">
        <is>
          <t>2025-06-15</t>
        </is>
      </c>
      <c r="C6563" s="60" t="inlineStr">
        <is>
          <t>Aurora Makeup S-626</t>
        </is>
      </c>
      <c r="D6563" s="58" t="inlineStr">
        <is>
          <t>Beauty</t>
        </is>
      </c>
      <c r="E6563" s="58" t="inlineStr">
        <is>
          <t>East</t>
        </is>
      </c>
      <c r="F6563" s="61" t="n">
        <v>1</v>
      </c>
      <c r="G6563" s="62" t="n">
        <v>105.2</v>
      </c>
      <c r="H6563" s="63" t="n">
        <v>0.062</v>
      </c>
      <c r="I6563" s="62" t="n">
        <v>64.37</v>
      </c>
      <c r="J6563" s="58" t="inlineStr">
        <is>
          <t>Store</t>
        </is>
      </c>
      <c r="K6563" s="62">
        <f>F6563*(G6563-H6563)</f>
        <v/>
      </c>
      <c r="L6563" s="62">
        <f>K6563-(F6563*I6563)</f>
        <v/>
      </c>
      <c r="M6563" s="64">
        <f>L6563/K6563</f>
        <v/>
      </c>
    </row>
    <row r="6564">
      <c r="A6564" s="58" t="inlineStr">
        <is>
          <t>RT20250615-06563</t>
        </is>
      </c>
      <c r="B6564" s="59" t="inlineStr">
        <is>
          <t>2025-06-15</t>
        </is>
      </c>
      <c r="C6564" s="60" t="inlineStr">
        <is>
          <t>Nimbus Women Lite-814</t>
        </is>
      </c>
      <c r="D6564" s="58" t="inlineStr">
        <is>
          <t>Apparel</t>
        </is>
      </c>
      <c r="E6564" s="58" t="inlineStr">
        <is>
          <t>East</t>
        </is>
      </c>
      <c r="F6564" s="61" t="n">
        <v>4</v>
      </c>
      <c r="G6564" s="62" t="n">
        <v>149.11</v>
      </c>
      <c r="H6564" s="63" t="n">
        <v>0.067</v>
      </c>
      <c r="I6564" s="62" t="n">
        <v>80.73</v>
      </c>
      <c r="J6564" s="58" t="inlineStr">
        <is>
          <t>Store</t>
        </is>
      </c>
      <c r="K6564" s="62">
        <f>F6564*(G6564-H6564)</f>
        <v/>
      </c>
      <c r="L6564" s="62">
        <f>K6564-(F6564*I6564)</f>
        <v/>
      </c>
      <c r="M6564" s="64">
        <f>L6564/K6564</f>
        <v/>
      </c>
    </row>
    <row r="6565">
      <c r="A6565" s="58" t="inlineStr">
        <is>
          <t>RT20250615-06564</t>
        </is>
      </c>
      <c r="B6565" s="59" t="inlineStr">
        <is>
          <t>2025-06-15</t>
        </is>
      </c>
      <c r="C6565" s="60" t="inlineStr">
        <is>
          <t>Solace Laptop S-367</t>
        </is>
      </c>
      <c r="D6565" s="58" t="inlineStr">
        <is>
          <t>Electronics</t>
        </is>
      </c>
      <c r="E6565" s="58" t="inlineStr">
        <is>
          <t>West</t>
        </is>
      </c>
      <c r="F6565" s="61" t="n">
        <v>2</v>
      </c>
      <c r="G6565" s="62" t="n">
        <v>1901.14</v>
      </c>
      <c r="H6565" s="63" t="n">
        <v>0.093</v>
      </c>
      <c r="I6565" s="62" t="n">
        <v>1541.95</v>
      </c>
      <c r="J6565" s="58" t="inlineStr">
        <is>
          <t>Store</t>
        </is>
      </c>
      <c r="K6565" s="62">
        <f>F6565*(G6565-H6565)</f>
        <v/>
      </c>
      <c r="L6565" s="62">
        <f>K6565-(F6565*I6565)</f>
        <v/>
      </c>
      <c r="M6565" s="64">
        <f>L6565/K6565</f>
        <v/>
      </c>
    </row>
    <row r="6566">
      <c r="A6566" s="58" t="inlineStr">
        <is>
          <t>RT20250615-06565</t>
        </is>
      </c>
      <c r="B6566" s="59" t="inlineStr">
        <is>
          <t>2025-06-15</t>
        </is>
      </c>
      <c r="C6566" s="60" t="inlineStr">
        <is>
          <t>Aurora Kid Plus-151</t>
        </is>
      </c>
      <c r="D6566" s="58" t="inlineStr">
        <is>
          <t>Apparel</t>
        </is>
      </c>
      <c r="E6566" s="58" t="inlineStr">
        <is>
          <t>West</t>
        </is>
      </c>
      <c r="F6566" s="61" t="n">
        <v>4</v>
      </c>
      <c r="G6566" s="62" t="n">
        <v>98.70999999999999</v>
      </c>
      <c r="H6566" s="63" t="n">
        <v>0.094</v>
      </c>
      <c r="I6566" s="62" t="n">
        <v>62.9</v>
      </c>
      <c r="J6566" s="58" t="inlineStr">
        <is>
          <t>Online</t>
        </is>
      </c>
      <c r="K6566" s="62">
        <f>F6566*(G6566-H6566)</f>
        <v/>
      </c>
      <c r="L6566" s="62">
        <f>K6566-(F6566*I6566)</f>
        <v/>
      </c>
      <c r="M6566" s="64">
        <f>L6566/K6566</f>
        <v/>
      </c>
    </row>
    <row r="6567">
      <c r="A6567" s="58" t="inlineStr">
        <is>
          <t>RT20250615-06566</t>
        </is>
      </c>
      <c r="B6567" s="59" t="inlineStr">
        <is>
          <t>2025-06-15</t>
        </is>
      </c>
      <c r="C6567" s="60" t="inlineStr">
        <is>
          <t>Polar Outdoor X-193</t>
        </is>
      </c>
      <c r="D6567" s="58" t="inlineStr">
        <is>
          <t>Sports</t>
        </is>
      </c>
      <c r="E6567" s="58" t="inlineStr">
        <is>
          <t>Central</t>
        </is>
      </c>
      <c r="F6567" s="61" t="n">
        <v>2</v>
      </c>
      <c r="G6567" s="62" t="n">
        <v>673.37</v>
      </c>
      <c r="H6567" s="63" t="n">
        <v>0.052</v>
      </c>
      <c r="I6567" s="62" t="n">
        <v>448.12</v>
      </c>
      <c r="J6567" s="58" t="inlineStr">
        <is>
          <t>Online</t>
        </is>
      </c>
      <c r="K6567" s="62">
        <f>F6567*(G6567-H6567)</f>
        <v/>
      </c>
      <c r="L6567" s="62">
        <f>K6567-(F6567*I6567)</f>
        <v/>
      </c>
      <c r="M6567" s="64">
        <f>L6567/K6567</f>
        <v/>
      </c>
    </row>
    <row r="6568">
      <c r="A6568" s="58" t="inlineStr">
        <is>
          <t>RT20250615-06567</t>
        </is>
      </c>
      <c r="B6568" s="59" t="inlineStr">
        <is>
          <t>2025-06-15</t>
        </is>
      </c>
      <c r="C6568" s="60" t="inlineStr">
        <is>
          <t>Metro Beverage Max-490</t>
        </is>
      </c>
      <c r="D6568" s="58" t="inlineStr">
        <is>
          <t>Grocery</t>
        </is>
      </c>
      <c r="E6568" s="58" t="inlineStr">
        <is>
          <t>West</t>
        </is>
      </c>
      <c r="F6568" s="61" t="n">
        <v>5</v>
      </c>
      <c r="G6568" s="62" t="n">
        <v>10.44</v>
      </c>
      <c r="H6568" s="63" t="n">
        <v>0.077</v>
      </c>
      <c r="I6568" s="62" t="n">
        <v>7.96</v>
      </c>
      <c r="J6568" s="58" t="inlineStr">
        <is>
          <t>Online</t>
        </is>
      </c>
      <c r="K6568" s="62">
        <f>F6568*(G6568-H6568)</f>
        <v/>
      </c>
      <c r="L6568" s="62">
        <f>K6568-(F6568*I6568)</f>
        <v/>
      </c>
      <c r="M6568" s="64">
        <f>L6568/K6568</f>
        <v/>
      </c>
    </row>
    <row r="6569">
      <c r="A6569" s="58" t="inlineStr">
        <is>
          <t>RT20250615-06568</t>
        </is>
      </c>
      <c r="B6569" s="59" t="inlineStr">
        <is>
          <t>2025-06-15</t>
        </is>
      </c>
      <c r="C6569" s="60" t="inlineStr">
        <is>
          <t>Aurora Bedding Plus-187</t>
        </is>
      </c>
      <c r="D6569" s="58" t="inlineStr">
        <is>
          <t>Home</t>
        </is>
      </c>
      <c r="E6569" s="58" t="inlineStr">
        <is>
          <t>East</t>
        </is>
      </c>
      <c r="F6569" s="61" t="n">
        <v>2</v>
      </c>
      <c r="G6569" s="62" t="n">
        <v>289.7</v>
      </c>
      <c r="H6569" s="63" t="n">
        <v>0.022</v>
      </c>
      <c r="I6569" s="62" t="n">
        <v>214.52</v>
      </c>
      <c r="J6569" s="58" t="inlineStr">
        <is>
          <t>Online</t>
        </is>
      </c>
      <c r="K6569" s="62">
        <f>F6569*(G6569-H6569)</f>
        <v/>
      </c>
      <c r="L6569" s="62">
        <f>K6569-(F6569*I6569)</f>
        <v/>
      </c>
      <c r="M6569" s="64">
        <f>L6569/K6569</f>
        <v/>
      </c>
    </row>
    <row r="6570">
      <c r="A6570" s="58" t="inlineStr">
        <is>
          <t>RT20250615-06569</t>
        </is>
      </c>
      <c r="B6570" s="59" t="inlineStr">
        <is>
          <t>2025-06-15</t>
        </is>
      </c>
      <c r="C6570" s="60" t="inlineStr">
        <is>
          <t>Falcon Household Plus-172</t>
        </is>
      </c>
      <c r="D6570" s="58" t="inlineStr">
        <is>
          <t>Grocery</t>
        </is>
      </c>
      <c r="E6570" s="58" t="inlineStr">
        <is>
          <t>South</t>
        </is>
      </c>
      <c r="F6570" s="61" t="n">
        <v>3</v>
      </c>
      <c r="G6570" s="62" t="n">
        <v>23.13</v>
      </c>
      <c r="H6570" s="63" t="n">
        <v>0.033</v>
      </c>
      <c r="I6570" s="62" t="n">
        <v>15.99</v>
      </c>
      <c r="J6570" s="58" t="inlineStr">
        <is>
          <t>Store</t>
        </is>
      </c>
      <c r="K6570" s="62">
        <f>F6570*(G6570-H6570)</f>
        <v/>
      </c>
      <c r="L6570" s="62">
        <f>K6570-(F6570*I6570)</f>
        <v/>
      </c>
      <c r="M6570" s="64">
        <f>L6570/K6570</f>
        <v/>
      </c>
    </row>
    <row r="6571">
      <c r="A6571" s="58" t="inlineStr">
        <is>
          <t>RT20250615-06570</t>
        </is>
      </c>
      <c r="B6571" s="59" t="inlineStr">
        <is>
          <t>2025-06-15</t>
        </is>
      </c>
      <c r="C6571" s="60" t="inlineStr">
        <is>
          <t>Metro Outdoor Plus-787</t>
        </is>
      </c>
      <c r="D6571" s="58" t="inlineStr">
        <is>
          <t>Sports</t>
        </is>
      </c>
      <c r="E6571" s="58" t="inlineStr">
        <is>
          <t>East</t>
        </is>
      </c>
      <c r="F6571" s="61" t="n">
        <v>2</v>
      </c>
      <c r="G6571" s="62" t="n">
        <v>530.24</v>
      </c>
      <c r="H6571" s="63" t="n">
        <v>0.036</v>
      </c>
      <c r="I6571" s="62" t="n">
        <v>354.34</v>
      </c>
      <c r="J6571" s="58" t="inlineStr">
        <is>
          <t>Online</t>
        </is>
      </c>
      <c r="K6571" s="62">
        <f>F6571*(G6571-H6571)</f>
        <v/>
      </c>
      <c r="L6571" s="62">
        <f>K6571-(F6571*I6571)</f>
        <v/>
      </c>
      <c r="M6571" s="64">
        <f>L6571/K6571</f>
        <v/>
      </c>
    </row>
    <row r="6572">
      <c r="A6572" s="58" t="inlineStr">
        <is>
          <t>RT20250615-06571</t>
        </is>
      </c>
      <c r="B6572" s="59" t="inlineStr">
        <is>
          <t>2025-06-15</t>
        </is>
      </c>
      <c r="C6572" s="60" t="inlineStr">
        <is>
          <t>Orion Supplie S-612</t>
        </is>
      </c>
      <c r="D6572" s="58" t="inlineStr">
        <is>
          <t>Office</t>
        </is>
      </c>
      <c r="E6572" s="58" t="inlineStr">
        <is>
          <t>East</t>
        </is>
      </c>
      <c r="F6572" s="61" t="n">
        <v>1</v>
      </c>
      <c r="G6572" s="62" t="n">
        <v>468.63</v>
      </c>
      <c r="H6572" s="63" t="n">
        <v>0.078</v>
      </c>
      <c r="I6572" s="62" t="n">
        <v>330.62</v>
      </c>
      <c r="J6572" s="58" t="inlineStr">
        <is>
          <t>Online</t>
        </is>
      </c>
      <c r="K6572" s="62">
        <f>F6572*(G6572-H6572)</f>
        <v/>
      </c>
      <c r="L6572" s="62">
        <f>K6572-(F6572*I6572)</f>
        <v/>
      </c>
      <c r="M6572" s="64">
        <f>L6572/K6572</f>
        <v/>
      </c>
    </row>
    <row r="6573">
      <c r="A6573" s="58" t="inlineStr">
        <is>
          <t>RT20250615-06572</t>
        </is>
      </c>
      <c r="B6573" s="59" t="inlineStr">
        <is>
          <t>2025-06-15</t>
        </is>
      </c>
      <c r="C6573" s="60" t="inlineStr">
        <is>
          <t>Aurora Printer Plus-723</t>
        </is>
      </c>
      <c r="D6573" s="58" t="inlineStr">
        <is>
          <t>Office</t>
        </is>
      </c>
      <c r="E6573" s="58" t="inlineStr">
        <is>
          <t>East</t>
        </is>
      </c>
      <c r="F6573" s="61" t="n">
        <v>3</v>
      </c>
      <c r="G6573" s="62" t="n">
        <v>246.86</v>
      </c>
      <c r="H6573" s="63" t="n">
        <v>0.05</v>
      </c>
      <c r="I6573" s="62" t="n">
        <v>187.88</v>
      </c>
      <c r="J6573" s="58" t="inlineStr">
        <is>
          <t>Store</t>
        </is>
      </c>
      <c r="K6573" s="62">
        <f>F6573*(G6573-H6573)</f>
        <v/>
      </c>
      <c r="L6573" s="62">
        <f>K6573-(F6573*I6573)</f>
        <v/>
      </c>
      <c r="M6573" s="64">
        <f>L6573/K6573</f>
        <v/>
      </c>
    </row>
    <row r="6574">
      <c r="A6574" s="58" t="inlineStr">
        <is>
          <t>RT20250615-06573</t>
        </is>
      </c>
      <c r="B6574" s="59" t="inlineStr">
        <is>
          <t>2025-06-15</t>
        </is>
      </c>
      <c r="C6574" s="60" t="inlineStr">
        <is>
          <t>Solace Kitchen Pro-510</t>
        </is>
      </c>
      <c r="D6574" s="58" t="inlineStr">
        <is>
          <t>Home</t>
        </is>
      </c>
      <c r="E6574" s="58" t="inlineStr">
        <is>
          <t>South</t>
        </is>
      </c>
      <c r="F6574" s="61" t="n">
        <v>1</v>
      </c>
      <c r="G6574" s="62" t="n">
        <v>465.34</v>
      </c>
      <c r="H6574" s="63" t="n">
        <v>0.027</v>
      </c>
      <c r="I6574" s="62" t="n">
        <v>315.45</v>
      </c>
      <c r="J6574" s="58" t="inlineStr">
        <is>
          <t>Online</t>
        </is>
      </c>
      <c r="K6574" s="62">
        <f>F6574*(G6574-H6574)</f>
        <v/>
      </c>
      <c r="L6574" s="62">
        <f>K6574-(F6574*I6574)</f>
        <v/>
      </c>
      <c r="M6574" s="64">
        <f>L6574/K6574</f>
        <v/>
      </c>
    </row>
    <row r="6575">
      <c r="A6575" s="58" t="inlineStr">
        <is>
          <t>RT20250615-06574</t>
        </is>
      </c>
      <c r="B6575" s="59" t="inlineStr">
        <is>
          <t>2025-06-15</t>
        </is>
      </c>
      <c r="C6575" s="60" t="inlineStr">
        <is>
          <t>Solace Team Sport Max-548</t>
        </is>
      </c>
      <c r="D6575" s="58" t="inlineStr">
        <is>
          <t>Sports</t>
        </is>
      </c>
      <c r="E6575" s="58" t="inlineStr">
        <is>
          <t>South</t>
        </is>
      </c>
      <c r="F6575" s="61" t="n">
        <v>1</v>
      </c>
      <c r="G6575" s="62" t="n">
        <v>664.3</v>
      </c>
      <c r="H6575" s="63" t="n">
        <v>0.008</v>
      </c>
      <c r="I6575" s="62" t="n">
        <v>484.8</v>
      </c>
      <c r="J6575" s="58" t="inlineStr">
        <is>
          <t>Phone</t>
        </is>
      </c>
      <c r="K6575" s="62">
        <f>F6575*(G6575-H6575)</f>
        <v/>
      </c>
      <c r="L6575" s="62">
        <f>K6575-(F6575*I6575)</f>
        <v/>
      </c>
      <c r="M6575" s="64">
        <f>L6575/K6575</f>
        <v/>
      </c>
    </row>
    <row r="6576">
      <c r="A6576" s="58" t="inlineStr">
        <is>
          <t>RT20250615-06575</t>
        </is>
      </c>
      <c r="B6576" s="59" t="inlineStr">
        <is>
          <t>2025-06-15</t>
        </is>
      </c>
      <c r="C6576" s="60" t="inlineStr">
        <is>
          <t>Aurora Outdoor Pro-467</t>
        </is>
      </c>
      <c r="D6576" s="58" t="inlineStr">
        <is>
          <t>Sports</t>
        </is>
      </c>
      <c r="E6576" s="58" t="inlineStr">
        <is>
          <t>Central</t>
        </is>
      </c>
      <c r="F6576" s="61" t="n">
        <v>2</v>
      </c>
      <c r="G6576" s="62" t="n">
        <v>287.62</v>
      </c>
      <c r="H6576" s="63" t="n">
        <v>0.026</v>
      </c>
      <c r="I6576" s="62" t="n">
        <v>185.74</v>
      </c>
      <c r="J6576" s="58" t="inlineStr">
        <is>
          <t>Store</t>
        </is>
      </c>
      <c r="K6576" s="62">
        <f>F6576*(G6576-H6576)</f>
        <v/>
      </c>
      <c r="L6576" s="62">
        <f>K6576-(F6576*I6576)</f>
        <v/>
      </c>
      <c r="M6576" s="64">
        <f>L6576/K6576</f>
        <v/>
      </c>
    </row>
    <row r="6577">
      <c r="A6577" s="58" t="inlineStr">
        <is>
          <t>RT20250615-06576</t>
        </is>
      </c>
      <c r="B6577" s="59" t="inlineStr">
        <is>
          <t>2025-06-15</t>
        </is>
      </c>
      <c r="C6577" s="60" t="inlineStr">
        <is>
          <t>Vertex Furniture S-652</t>
        </is>
      </c>
      <c r="D6577" s="58" t="inlineStr">
        <is>
          <t>Office</t>
        </is>
      </c>
      <c r="E6577" s="58" t="inlineStr">
        <is>
          <t>Central</t>
        </is>
      </c>
      <c r="F6577" s="61" t="n">
        <v>1</v>
      </c>
      <c r="G6577" s="62" t="n">
        <v>346.59</v>
      </c>
      <c r="H6577" s="63" t="n">
        <v>0.073</v>
      </c>
      <c r="I6577" s="62" t="n">
        <v>269.04</v>
      </c>
      <c r="J6577" s="58" t="inlineStr">
        <is>
          <t>Online</t>
        </is>
      </c>
      <c r="K6577" s="62">
        <f>F6577*(G6577-H6577)</f>
        <v/>
      </c>
      <c r="L6577" s="62">
        <f>K6577-(F6577*I6577)</f>
        <v/>
      </c>
      <c r="M6577" s="64">
        <f>L6577/K6577</f>
        <v/>
      </c>
    </row>
    <row r="6578">
      <c r="A6578" s="58" t="inlineStr">
        <is>
          <t>RT20250615-06577</t>
        </is>
      </c>
      <c r="B6578" s="59" t="inlineStr">
        <is>
          <t>2025-06-15</t>
        </is>
      </c>
      <c r="C6578" s="60" t="inlineStr">
        <is>
          <t>Aurora Printer Plus-991</t>
        </is>
      </c>
      <c r="D6578" s="58" t="inlineStr">
        <is>
          <t>Office</t>
        </is>
      </c>
      <c r="E6578" s="58" t="inlineStr">
        <is>
          <t>North</t>
        </is>
      </c>
      <c r="F6578" s="61" t="n">
        <v>2</v>
      </c>
      <c r="G6578" s="62" t="n">
        <v>510.14</v>
      </c>
      <c r="H6578" s="63" t="n">
        <v>0.081</v>
      </c>
      <c r="I6578" s="62" t="n">
        <v>368.6</v>
      </c>
      <c r="J6578" s="58" t="inlineStr">
        <is>
          <t>Online</t>
        </is>
      </c>
      <c r="K6578" s="62">
        <f>F6578*(G6578-H6578)</f>
        <v/>
      </c>
      <c r="L6578" s="62">
        <f>K6578-(F6578*I6578)</f>
        <v/>
      </c>
      <c r="M6578" s="64">
        <f>L6578/K6578</f>
        <v/>
      </c>
    </row>
    <row r="6579">
      <c r="A6579" s="58" t="inlineStr">
        <is>
          <t>RT20250615-06578</t>
        </is>
      </c>
      <c r="B6579" s="59" t="inlineStr">
        <is>
          <t>2025-06-15</t>
        </is>
      </c>
      <c r="C6579" s="60" t="inlineStr">
        <is>
          <t>Nimbus Cycling Plus-911</t>
        </is>
      </c>
      <c r="D6579" s="58" t="inlineStr">
        <is>
          <t>Sports</t>
        </is>
      </c>
      <c r="E6579" s="58" t="inlineStr">
        <is>
          <t>Central</t>
        </is>
      </c>
      <c r="F6579" s="61" t="n">
        <v>2</v>
      </c>
      <c r="G6579" s="62" t="n">
        <v>571.24</v>
      </c>
      <c r="H6579" s="63" t="n">
        <v>0.056</v>
      </c>
      <c r="I6579" s="62" t="n">
        <v>400.13</v>
      </c>
      <c r="J6579" s="58" t="inlineStr">
        <is>
          <t>Online</t>
        </is>
      </c>
      <c r="K6579" s="62">
        <f>F6579*(G6579-H6579)</f>
        <v/>
      </c>
      <c r="L6579" s="62">
        <f>K6579-(F6579*I6579)</f>
        <v/>
      </c>
      <c r="M6579" s="64">
        <f>L6579/K6579</f>
        <v/>
      </c>
    </row>
    <row r="6580">
      <c r="A6580" s="58" t="inlineStr">
        <is>
          <t>RT20250615-06579</t>
        </is>
      </c>
      <c r="B6580" s="59" t="inlineStr">
        <is>
          <t>2025-06-15</t>
        </is>
      </c>
      <c r="C6580" s="60" t="inlineStr">
        <is>
          <t>Vertex Accessorie Pro-881</t>
        </is>
      </c>
      <c r="D6580" s="58" t="inlineStr">
        <is>
          <t>Apparel</t>
        </is>
      </c>
      <c r="E6580" s="58" t="inlineStr">
        <is>
          <t>East</t>
        </is>
      </c>
      <c r="F6580" s="61" t="n">
        <v>2</v>
      </c>
      <c r="G6580" s="62" t="n">
        <v>111.78</v>
      </c>
      <c r="H6580" s="63" t="n">
        <v>0.037</v>
      </c>
      <c r="I6580" s="62" t="n">
        <v>63.54</v>
      </c>
      <c r="J6580" s="58" t="inlineStr">
        <is>
          <t>Online</t>
        </is>
      </c>
      <c r="K6580" s="62">
        <f>F6580*(G6580-H6580)</f>
        <v/>
      </c>
      <c r="L6580" s="62">
        <f>K6580-(F6580*I6580)</f>
        <v/>
      </c>
      <c r="M6580" s="64">
        <f>L6580/K6580</f>
        <v/>
      </c>
    </row>
    <row r="6581">
      <c r="A6581" s="58" t="inlineStr">
        <is>
          <t>RT20250615-06580</t>
        </is>
      </c>
      <c r="B6581" s="59" t="inlineStr">
        <is>
          <t>2025-06-15</t>
        </is>
      </c>
      <c r="C6581" s="60" t="inlineStr">
        <is>
          <t>Polar Men Pro-246</t>
        </is>
      </c>
      <c r="D6581" s="58" t="inlineStr">
        <is>
          <t>Apparel</t>
        </is>
      </c>
      <c r="E6581" s="58" t="inlineStr">
        <is>
          <t>West</t>
        </is>
      </c>
      <c r="F6581" s="61" t="n">
        <v>1</v>
      </c>
      <c r="G6581" s="62" t="n">
        <v>138.44</v>
      </c>
      <c r="H6581" s="63" t="n">
        <v>0.03</v>
      </c>
      <c r="I6581" s="62" t="n">
        <v>75.27</v>
      </c>
      <c r="J6581" s="58" t="inlineStr">
        <is>
          <t>Online</t>
        </is>
      </c>
      <c r="K6581" s="62">
        <f>F6581*(G6581-H6581)</f>
        <v/>
      </c>
      <c r="L6581" s="62">
        <f>K6581-(F6581*I6581)</f>
        <v/>
      </c>
      <c r="M6581" s="64">
        <f>L6581/K6581</f>
        <v/>
      </c>
    </row>
    <row r="6582">
      <c r="A6582" s="58" t="inlineStr">
        <is>
          <t>RT20250615-06581</t>
        </is>
      </c>
      <c r="B6582" s="59" t="inlineStr">
        <is>
          <t>2025-06-15</t>
        </is>
      </c>
      <c r="C6582" s="60" t="inlineStr">
        <is>
          <t>Nimbus Decor Lite-385</t>
        </is>
      </c>
      <c r="D6582" s="58" t="inlineStr">
        <is>
          <t>Home</t>
        </is>
      </c>
      <c r="E6582" s="58" t="inlineStr">
        <is>
          <t>West</t>
        </is>
      </c>
      <c r="F6582" s="61" t="n">
        <v>3</v>
      </c>
      <c r="G6582" s="62" t="n">
        <v>553.96</v>
      </c>
      <c r="H6582" s="63" t="n">
        <v>0.041</v>
      </c>
      <c r="I6582" s="62" t="n">
        <v>405.13</v>
      </c>
      <c r="J6582" s="58" t="inlineStr">
        <is>
          <t>Online</t>
        </is>
      </c>
      <c r="K6582" s="62">
        <f>F6582*(G6582-H6582)</f>
        <v/>
      </c>
      <c r="L6582" s="62">
        <f>K6582-(F6582*I6582)</f>
        <v/>
      </c>
      <c r="M6582" s="64">
        <f>L6582/K6582</f>
        <v/>
      </c>
    </row>
    <row r="6583">
      <c r="A6583" s="58" t="inlineStr">
        <is>
          <t>RT20250615-06582</t>
        </is>
      </c>
      <c r="B6583" s="59" t="inlineStr">
        <is>
          <t>2025-06-15</t>
        </is>
      </c>
      <c r="C6583" s="60" t="inlineStr">
        <is>
          <t>Aurora Appliance Lite-109</t>
        </is>
      </c>
      <c r="D6583" s="58" t="inlineStr">
        <is>
          <t>Home</t>
        </is>
      </c>
      <c r="E6583" s="58" t="inlineStr">
        <is>
          <t>East</t>
        </is>
      </c>
      <c r="F6583" s="61" t="n">
        <v>1</v>
      </c>
      <c r="G6583" s="62" t="n">
        <v>318.99</v>
      </c>
      <c r="H6583" s="63" t="n">
        <v>0.059</v>
      </c>
      <c r="I6583" s="62" t="n">
        <v>207.07</v>
      </c>
      <c r="J6583" s="58" t="inlineStr">
        <is>
          <t>Store</t>
        </is>
      </c>
      <c r="K6583" s="62">
        <f>F6583*(G6583-H6583)</f>
        <v/>
      </c>
      <c r="L6583" s="62">
        <f>K6583-(F6583*I6583)</f>
        <v/>
      </c>
      <c r="M6583" s="64">
        <f>L6583/K6583</f>
        <v/>
      </c>
    </row>
    <row r="6584">
      <c r="A6584" s="58" t="inlineStr">
        <is>
          <t>RT20250615-06583</t>
        </is>
      </c>
      <c r="B6584" s="59" t="inlineStr">
        <is>
          <t>2025-06-15</t>
        </is>
      </c>
      <c r="C6584" s="60" t="inlineStr">
        <is>
          <t>Falcon Accessorie S-195</t>
        </is>
      </c>
      <c r="D6584" s="58" t="inlineStr">
        <is>
          <t>Apparel</t>
        </is>
      </c>
      <c r="E6584" s="58" t="inlineStr">
        <is>
          <t>East</t>
        </is>
      </c>
      <c r="F6584" s="61" t="n">
        <v>1</v>
      </c>
      <c r="G6584" s="62" t="n">
        <v>81.28</v>
      </c>
      <c r="H6584" s="63" t="n">
        <v>0.022</v>
      </c>
      <c r="I6584" s="62" t="n">
        <v>42.01</v>
      </c>
      <c r="J6584" s="58" t="inlineStr">
        <is>
          <t>Online</t>
        </is>
      </c>
      <c r="K6584" s="62">
        <f>F6584*(G6584-H6584)</f>
        <v/>
      </c>
      <c r="L6584" s="62">
        <f>K6584-(F6584*I6584)</f>
        <v/>
      </c>
      <c r="M6584" s="64">
        <f>L6584/K6584</f>
        <v/>
      </c>
    </row>
    <row r="6585">
      <c r="A6585" s="58" t="inlineStr">
        <is>
          <t>RT20250615-06584</t>
        </is>
      </c>
      <c r="B6585" s="59" t="inlineStr">
        <is>
          <t>2025-06-15</t>
        </is>
      </c>
      <c r="C6585" s="60" t="inlineStr">
        <is>
          <t>Polar Haircare Max-614</t>
        </is>
      </c>
      <c r="D6585" s="58" t="inlineStr">
        <is>
          <t>Beauty</t>
        </is>
      </c>
      <c r="E6585" s="58" t="inlineStr">
        <is>
          <t>East</t>
        </is>
      </c>
      <c r="F6585" s="61" t="n">
        <v>5</v>
      </c>
      <c r="G6585" s="62" t="n">
        <v>108.86</v>
      </c>
      <c r="H6585" s="63" t="n">
        <v>0.04</v>
      </c>
      <c r="I6585" s="62" t="n">
        <v>68.87</v>
      </c>
      <c r="J6585" s="58" t="inlineStr">
        <is>
          <t>Store</t>
        </is>
      </c>
      <c r="K6585" s="62">
        <f>F6585*(G6585-H6585)</f>
        <v/>
      </c>
      <c r="L6585" s="62">
        <f>K6585-(F6585*I6585)</f>
        <v/>
      </c>
      <c r="M6585" s="64">
        <f>L6585/K6585</f>
        <v/>
      </c>
    </row>
    <row r="6586">
      <c r="A6586" s="58" t="inlineStr">
        <is>
          <t>RT20250615-06585</t>
        </is>
      </c>
      <c r="B6586" s="59" t="inlineStr">
        <is>
          <t>2025-06-15</t>
        </is>
      </c>
      <c r="C6586" s="60" t="inlineStr">
        <is>
          <t>Orion Supplie S-612</t>
        </is>
      </c>
      <c r="D6586" s="58" t="inlineStr">
        <is>
          <t>Office</t>
        </is>
      </c>
      <c r="E6586" s="58" t="inlineStr">
        <is>
          <t>Central</t>
        </is>
      </c>
      <c r="F6586" s="61" t="n">
        <v>3</v>
      </c>
      <c r="G6586" s="62" t="n">
        <v>469.01</v>
      </c>
      <c r="H6586" s="63" t="n">
        <v>0.032</v>
      </c>
      <c r="I6586" s="62" t="n">
        <v>340.66</v>
      </c>
      <c r="J6586" s="58" t="inlineStr">
        <is>
          <t>Online</t>
        </is>
      </c>
      <c r="K6586" s="62">
        <f>F6586*(G6586-H6586)</f>
        <v/>
      </c>
      <c r="L6586" s="62">
        <f>K6586-(F6586*I6586)</f>
        <v/>
      </c>
      <c r="M6586" s="64">
        <f>L6586/K6586</f>
        <v/>
      </c>
    </row>
    <row r="6587">
      <c r="A6587" s="58" t="inlineStr">
        <is>
          <t>RT20250615-06586</t>
        </is>
      </c>
      <c r="B6587" s="59" t="inlineStr">
        <is>
          <t>2025-06-15</t>
        </is>
      </c>
      <c r="C6587" s="60" t="inlineStr">
        <is>
          <t>Orion Men X-928</t>
        </is>
      </c>
      <c r="D6587" s="58" t="inlineStr">
        <is>
          <t>Apparel</t>
        </is>
      </c>
      <c r="E6587" s="58" t="inlineStr">
        <is>
          <t>East</t>
        </is>
      </c>
      <c r="F6587" s="61" t="n">
        <v>4</v>
      </c>
      <c r="G6587" s="62" t="n">
        <v>113.78</v>
      </c>
      <c r="H6587" s="63" t="n">
        <v>0.047</v>
      </c>
      <c r="I6587" s="62" t="n">
        <v>60.54</v>
      </c>
      <c r="J6587" s="58" t="inlineStr">
        <is>
          <t>Online</t>
        </is>
      </c>
      <c r="K6587" s="62">
        <f>F6587*(G6587-H6587)</f>
        <v/>
      </c>
      <c r="L6587" s="62">
        <f>K6587-(F6587*I6587)</f>
        <v/>
      </c>
      <c r="M6587" s="64">
        <f>L6587/K6587</f>
        <v/>
      </c>
    </row>
    <row r="6588">
      <c r="A6588" s="58" t="inlineStr">
        <is>
          <t>RT20250615-06587</t>
        </is>
      </c>
      <c r="B6588" s="59" t="inlineStr">
        <is>
          <t>2025-06-15</t>
        </is>
      </c>
      <c r="C6588" s="60" t="inlineStr">
        <is>
          <t>Falcon Beverage Max-702</t>
        </is>
      </c>
      <c r="D6588" s="58" t="inlineStr">
        <is>
          <t>Grocery</t>
        </is>
      </c>
      <c r="E6588" s="58" t="inlineStr">
        <is>
          <t>West</t>
        </is>
      </c>
      <c r="F6588" s="61" t="n">
        <v>4</v>
      </c>
      <c r="G6588" s="62" t="n">
        <v>25.09</v>
      </c>
      <c r="H6588" s="63" t="n">
        <v>0.082</v>
      </c>
      <c r="I6588" s="62" t="n">
        <v>19.94</v>
      </c>
      <c r="J6588" s="58" t="inlineStr">
        <is>
          <t>Online</t>
        </is>
      </c>
      <c r="K6588" s="62">
        <f>F6588*(G6588-H6588)</f>
        <v/>
      </c>
      <c r="L6588" s="62">
        <f>K6588-(F6588*I6588)</f>
        <v/>
      </c>
      <c r="M6588" s="64">
        <f>L6588/K6588</f>
        <v/>
      </c>
    </row>
    <row r="6589">
      <c r="A6589" s="58" t="inlineStr">
        <is>
          <t>RT20250615-06588</t>
        </is>
      </c>
      <c r="B6589" s="59" t="inlineStr">
        <is>
          <t>2025-06-15</t>
        </is>
      </c>
      <c r="C6589" s="60" t="inlineStr">
        <is>
          <t>Vertex Smartphone Lite-267</t>
        </is>
      </c>
      <c r="D6589" s="58" t="inlineStr">
        <is>
          <t>Electronics</t>
        </is>
      </c>
      <c r="E6589" s="58" t="inlineStr">
        <is>
          <t>East</t>
        </is>
      </c>
      <c r="F6589" s="61" t="n">
        <v>2</v>
      </c>
      <c r="G6589" s="62" t="n">
        <v>1204.02</v>
      </c>
      <c r="H6589" s="63" t="n">
        <v>0.08</v>
      </c>
      <c r="I6589" s="62" t="n">
        <v>957.58</v>
      </c>
      <c r="J6589" s="58" t="inlineStr">
        <is>
          <t>Store</t>
        </is>
      </c>
      <c r="K6589" s="62">
        <f>F6589*(G6589-H6589)</f>
        <v/>
      </c>
      <c r="L6589" s="62">
        <f>K6589-(F6589*I6589)</f>
        <v/>
      </c>
      <c r="M6589" s="64">
        <f>L6589/K6589</f>
        <v/>
      </c>
    </row>
    <row r="6590">
      <c r="A6590" s="58" t="inlineStr">
        <is>
          <t>RT20250616-06589</t>
        </is>
      </c>
      <c r="B6590" s="59" t="inlineStr">
        <is>
          <t>2025-06-16</t>
        </is>
      </c>
      <c r="C6590" s="60" t="inlineStr">
        <is>
          <t>Solace Team Sport Max-548</t>
        </is>
      </c>
      <c r="D6590" s="58" t="inlineStr">
        <is>
          <t>Sports</t>
        </is>
      </c>
      <c r="E6590" s="58" t="inlineStr">
        <is>
          <t>Central</t>
        </is>
      </c>
      <c r="F6590" s="61" t="n">
        <v>2</v>
      </c>
      <c r="G6590" s="62" t="n">
        <v>692.2</v>
      </c>
      <c r="H6590" s="63" t="n">
        <v>0.053</v>
      </c>
      <c r="I6590" s="62" t="n">
        <v>484.25</v>
      </c>
      <c r="J6590" s="58" t="inlineStr">
        <is>
          <t>Online</t>
        </is>
      </c>
      <c r="K6590" s="62">
        <f>F6590*(G6590-H6590)</f>
        <v/>
      </c>
      <c r="L6590" s="62">
        <f>K6590-(F6590*I6590)</f>
        <v/>
      </c>
      <c r="M6590" s="64">
        <f>L6590/K6590</f>
        <v/>
      </c>
    </row>
    <row r="6591">
      <c r="A6591" s="58" t="inlineStr">
        <is>
          <t>RT20250616-06590</t>
        </is>
      </c>
      <c r="B6591" s="59" t="inlineStr">
        <is>
          <t>2025-06-16</t>
        </is>
      </c>
      <c r="C6591" s="60" t="inlineStr">
        <is>
          <t>Nimbus Makeup Max-158</t>
        </is>
      </c>
      <c r="D6591" s="58" t="inlineStr">
        <is>
          <t>Beauty</t>
        </is>
      </c>
      <c r="E6591" s="58" t="inlineStr">
        <is>
          <t>East</t>
        </is>
      </c>
      <c r="F6591" s="61" t="n">
        <v>5</v>
      </c>
      <c r="G6591" s="62" t="n">
        <v>150.96</v>
      </c>
      <c r="H6591" s="63" t="n">
        <v>0.042</v>
      </c>
      <c r="I6591" s="62" t="n">
        <v>94.05</v>
      </c>
      <c r="J6591" s="58" t="inlineStr">
        <is>
          <t>Store</t>
        </is>
      </c>
      <c r="K6591" s="62">
        <f>F6591*(G6591-H6591)</f>
        <v/>
      </c>
      <c r="L6591" s="62">
        <f>K6591-(F6591*I6591)</f>
        <v/>
      </c>
      <c r="M6591" s="64">
        <f>L6591/K6591</f>
        <v/>
      </c>
    </row>
    <row r="6592">
      <c r="A6592" s="58" t="inlineStr">
        <is>
          <t>RT20250616-06591</t>
        </is>
      </c>
      <c r="B6592" s="59" t="inlineStr">
        <is>
          <t>2025-06-16</t>
        </is>
      </c>
      <c r="C6592" s="60" t="inlineStr">
        <is>
          <t>Vertex Smartphone Pro-256</t>
        </is>
      </c>
      <c r="D6592" s="58" t="inlineStr">
        <is>
          <t>Electronics</t>
        </is>
      </c>
      <c r="E6592" s="58" t="inlineStr">
        <is>
          <t>West</t>
        </is>
      </c>
      <c r="F6592" s="61" t="n">
        <v>2</v>
      </c>
      <c r="G6592" s="62" t="n">
        <v>1152.89</v>
      </c>
      <c r="H6592" s="63" t="n">
        <v>0.042</v>
      </c>
      <c r="I6592" s="62" t="n">
        <v>922.71</v>
      </c>
      <c r="J6592" s="58" t="inlineStr">
        <is>
          <t>Online</t>
        </is>
      </c>
      <c r="K6592" s="62">
        <f>F6592*(G6592-H6592)</f>
        <v/>
      </c>
      <c r="L6592" s="62">
        <f>K6592-(F6592*I6592)</f>
        <v/>
      </c>
      <c r="M6592" s="64">
        <f>L6592/K6592</f>
        <v/>
      </c>
    </row>
    <row r="6593">
      <c r="A6593" s="58" t="inlineStr">
        <is>
          <t>RT20250616-06592</t>
        </is>
      </c>
      <c r="B6593" s="59" t="inlineStr">
        <is>
          <t>2025-06-16</t>
        </is>
      </c>
      <c r="C6593" s="60" t="inlineStr">
        <is>
          <t>Nimbus Women Plus-352</t>
        </is>
      </c>
      <c r="D6593" s="58" t="inlineStr">
        <is>
          <t>Apparel</t>
        </is>
      </c>
      <c r="E6593" s="58" t="inlineStr">
        <is>
          <t>South</t>
        </is>
      </c>
      <c r="F6593" s="61" t="n">
        <v>4</v>
      </c>
      <c r="G6593" s="62" t="n">
        <v>62.64</v>
      </c>
      <c r="H6593" s="63" t="n">
        <v>0.068</v>
      </c>
      <c r="I6593" s="62" t="n">
        <v>33.4</v>
      </c>
      <c r="J6593" s="58" t="inlineStr">
        <is>
          <t>Online</t>
        </is>
      </c>
      <c r="K6593" s="62">
        <f>F6593*(G6593-H6593)</f>
        <v/>
      </c>
      <c r="L6593" s="62">
        <f>K6593-(F6593*I6593)</f>
        <v/>
      </c>
      <c r="M6593" s="64">
        <f>L6593/K6593</f>
        <v/>
      </c>
    </row>
    <row r="6594">
      <c r="A6594" s="58" t="inlineStr">
        <is>
          <t>RT20250616-06593</t>
        </is>
      </c>
      <c r="B6594" s="59" t="inlineStr">
        <is>
          <t>2025-06-16</t>
        </is>
      </c>
      <c r="C6594" s="60" t="inlineStr">
        <is>
          <t>Orion Laptop S-350</t>
        </is>
      </c>
      <c r="D6594" s="58" t="inlineStr">
        <is>
          <t>Electronics</t>
        </is>
      </c>
      <c r="E6594" s="58" t="inlineStr">
        <is>
          <t>South</t>
        </is>
      </c>
      <c r="F6594" s="61" t="n">
        <v>1</v>
      </c>
      <c r="G6594" s="62" t="n">
        <v>1293.48</v>
      </c>
      <c r="H6594" s="63" t="n">
        <v>0.036</v>
      </c>
      <c r="I6594" s="62" t="n">
        <v>1065.21</v>
      </c>
      <c r="J6594" s="58" t="inlineStr">
        <is>
          <t>Online</t>
        </is>
      </c>
      <c r="K6594" s="62">
        <f>F6594*(G6594-H6594)</f>
        <v/>
      </c>
      <c r="L6594" s="62">
        <f>K6594-(F6594*I6594)</f>
        <v/>
      </c>
      <c r="M6594" s="64">
        <f>L6594/K6594</f>
        <v/>
      </c>
    </row>
    <row r="6595">
      <c r="A6595" s="58" t="inlineStr">
        <is>
          <t>RT20250616-06594</t>
        </is>
      </c>
      <c r="B6595" s="59" t="inlineStr">
        <is>
          <t>2025-06-16</t>
        </is>
      </c>
      <c r="C6595" s="60" t="inlineStr">
        <is>
          <t>Polar Decor X-935</t>
        </is>
      </c>
      <c r="D6595" s="58" t="inlineStr">
        <is>
          <t>Home</t>
        </is>
      </c>
      <c r="E6595" s="58" t="inlineStr">
        <is>
          <t>West</t>
        </is>
      </c>
      <c r="F6595" s="61" t="n">
        <v>1</v>
      </c>
      <c r="G6595" s="62" t="n">
        <v>297.61</v>
      </c>
      <c r="H6595" s="63" t="n">
        <v>0.056</v>
      </c>
      <c r="I6595" s="62" t="n">
        <v>202.45</v>
      </c>
      <c r="J6595" s="58" t="inlineStr">
        <is>
          <t>Online</t>
        </is>
      </c>
      <c r="K6595" s="62">
        <f>F6595*(G6595-H6595)</f>
        <v/>
      </c>
      <c r="L6595" s="62">
        <f>K6595-(F6595*I6595)</f>
        <v/>
      </c>
      <c r="M6595" s="64">
        <f>L6595/K6595</f>
        <v/>
      </c>
    </row>
    <row r="6596">
      <c r="A6596" s="58" t="inlineStr">
        <is>
          <t>RT20250616-06595</t>
        </is>
      </c>
      <c r="B6596" s="59" t="inlineStr">
        <is>
          <t>2025-06-16</t>
        </is>
      </c>
      <c r="C6596" s="60" t="inlineStr">
        <is>
          <t>Metro Accessorie Max-316</t>
        </is>
      </c>
      <c r="D6596" s="58" t="inlineStr">
        <is>
          <t>Apparel</t>
        </is>
      </c>
      <c r="E6596" s="58" t="inlineStr">
        <is>
          <t>East</t>
        </is>
      </c>
      <c r="F6596" s="61" t="n">
        <v>2</v>
      </c>
      <c r="G6596" s="62" t="n">
        <v>160.14</v>
      </c>
      <c r="H6596" s="63" t="n">
        <v>0.067</v>
      </c>
      <c r="I6596" s="62" t="n">
        <v>93.34</v>
      </c>
      <c r="J6596" s="58" t="inlineStr">
        <is>
          <t>Online</t>
        </is>
      </c>
      <c r="K6596" s="62">
        <f>F6596*(G6596-H6596)</f>
        <v/>
      </c>
      <c r="L6596" s="62">
        <f>K6596-(F6596*I6596)</f>
        <v/>
      </c>
      <c r="M6596" s="64">
        <f>L6596/K6596</f>
        <v/>
      </c>
    </row>
    <row r="6597">
      <c r="A6597" s="58" t="inlineStr">
        <is>
          <t>RT20250616-06596</t>
        </is>
      </c>
      <c r="B6597" s="59" t="inlineStr">
        <is>
          <t>2025-06-16</t>
        </is>
      </c>
      <c r="C6597" s="60" t="inlineStr">
        <is>
          <t>Falcon Haircare Pro-980</t>
        </is>
      </c>
      <c r="D6597" s="58" t="inlineStr">
        <is>
          <t>Beauty</t>
        </is>
      </c>
      <c r="E6597" s="58" t="inlineStr">
        <is>
          <t>East</t>
        </is>
      </c>
      <c r="F6597" s="61" t="n">
        <v>2</v>
      </c>
      <c r="G6597" s="62" t="n">
        <v>102.38</v>
      </c>
      <c r="H6597" s="63" t="n">
        <v>0.032</v>
      </c>
      <c r="I6597" s="62" t="n">
        <v>56.01</v>
      </c>
      <c r="J6597" s="58" t="inlineStr">
        <is>
          <t>Store</t>
        </is>
      </c>
      <c r="K6597" s="62">
        <f>F6597*(G6597-H6597)</f>
        <v/>
      </c>
      <c r="L6597" s="62">
        <f>K6597-(F6597*I6597)</f>
        <v/>
      </c>
      <c r="M6597" s="64">
        <f>L6597/K6597</f>
        <v/>
      </c>
    </row>
    <row r="6598">
      <c r="A6598" s="58" t="inlineStr">
        <is>
          <t>RT20250616-06597</t>
        </is>
      </c>
      <c r="B6598" s="59" t="inlineStr">
        <is>
          <t>2025-06-16</t>
        </is>
      </c>
      <c r="C6598" s="60" t="inlineStr">
        <is>
          <t>Nimbus Fitnes Lite-516</t>
        </is>
      </c>
      <c r="D6598" s="58" t="inlineStr">
        <is>
          <t>Sports</t>
        </is>
      </c>
      <c r="E6598" s="58" t="inlineStr">
        <is>
          <t>North</t>
        </is>
      </c>
      <c r="F6598" s="61" t="n">
        <v>3</v>
      </c>
      <c r="G6598" s="62" t="n">
        <v>732.4299999999999</v>
      </c>
      <c r="H6598" s="63" t="n">
        <v>0.093</v>
      </c>
      <c r="I6598" s="62" t="n">
        <v>484.73</v>
      </c>
      <c r="J6598" s="58" t="inlineStr">
        <is>
          <t>Phone</t>
        </is>
      </c>
      <c r="K6598" s="62">
        <f>F6598*(G6598-H6598)</f>
        <v/>
      </c>
      <c r="L6598" s="62">
        <f>K6598-(F6598*I6598)</f>
        <v/>
      </c>
      <c r="M6598" s="64">
        <f>L6598/K6598</f>
        <v/>
      </c>
    </row>
    <row r="6599">
      <c r="A6599" s="58" t="inlineStr">
        <is>
          <t>RT20250616-06598</t>
        </is>
      </c>
      <c r="B6599" s="59" t="inlineStr">
        <is>
          <t>2025-06-16</t>
        </is>
      </c>
      <c r="C6599" s="60" t="inlineStr">
        <is>
          <t>Aurora Smartphone Plus-125</t>
        </is>
      </c>
      <c r="D6599" s="58" t="inlineStr">
        <is>
          <t>Electronics</t>
        </is>
      </c>
      <c r="E6599" s="58" t="inlineStr">
        <is>
          <t>South</t>
        </is>
      </c>
      <c r="F6599" s="61" t="n">
        <v>1</v>
      </c>
      <c r="G6599" s="62" t="n">
        <v>1510.59</v>
      </c>
      <c r="H6599" s="63" t="n">
        <v>0.083</v>
      </c>
      <c r="I6599" s="62" t="n">
        <v>1194.82</v>
      </c>
      <c r="J6599" s="58" t="inlineStr">
        <is>
          <t>Online</t>
        </is>
      </c>
      <c r="K6599" s="62">
        <f>F6599*(G6599-H6599)</f>
        <v/>
      </c>
      <c r="L6599" s="62">
        <f>K6599-(F6599*I6599)</f>
        <v/>
      </c>
      <c r="M6599" s="64">
        <f>L6599/K6599</f>
        <v/>
      </c>
    </row>
    <row r="6600">
      <c r="A6600" s="58" t="inlineStr">
        <is>
          <t>RT20250616-06599</t>
        </is>
      </c>
      <c r="B6600" s="59" t="inlineStr">
        <is>
          <t>2025-06-16</t>
        </is>
      </c>
      <c r="C6600" s="60" t="inlineStr">
        <is>
          <t>Aurora Smartphone Plus-125</t>
        </is>
      </c>
      <c r="D6600" s="58" t="inlineStr">
        <is>
          <t>Electronics</t>
        </is>
      </c>
      <c r="E6600" s="58" t="inlineStr">
        <is>
          <t>Central</t>
        </is>
      </c>
      <c r="F6600" s="61" t="n">
        <v>1</v>
      </c>
      <c r="G6600" s="62" t="n">
        <v>1430.24</v>
      </c>
      <c r="H6600" s="63" t="n">
        <v>0.067</v>
      </c>
      <c r="I6600" s="62" t="n">
        <v>1190.63</v>
      </c>
      <c r="J6600" s="58" t="inlineStr">
        <is>
          <t>Phone</t>
        </is>
      </c>
      <c r="K6600" s="62">
        <f>F6600*(G6600-H6600)</f>
        <v/>
      </c>
      <c r="L6600" s="62">
        <f>K6600-(F6600*I6600)</f>
        <v/>
      </c>
      <c r="M6600" s="64">
        <f>L6600/K6600</f>
        <v/>
      </c>
    </row>
    <row r="6601">
      <c r="A6601" s="58" t="inlineStr">
        <is>
          <t>RT20250616-06600</t>
        </is>
      </c>
      <c r="B6601" s="59" t="inlineStr">
        <is>
          <t>2025-06-16</t>
        </is>
      </c>
      <c r="C6601" s="60" t="inlineStr">
        <is>
          <t>Metro Beverage Max-490</t>
        </is>
      </c>
      <c r="D6601" s="58" t="inlineStr">
        <is>
          <t>Grocery</t>
        </is>
      </c>
      <c r="E6601" s="58" t="inlineStr">
        <is>
          <t>South</t>
        </is>
      </c>
      <c r="F6601" s="61" t="n">
        <v>4</v>
      </c>
      <c r="G6601" s="62" t="n">
        <v>11.27</v>
      </c>
      <c r="H6601" s="63" t="n">
        <v>0.091</v>
      </c>
      <c r="I6601" s="62" t="n">
        <v>8.31</v>
      </c>
      <c r="J6601" s="58" t="inlineStr">
        <is>
          <t>Online</t>
        </is>
      </c>
      <c r="K6601" s="62">
        <f>F6601*(G6601-H6601)</f>
        <v/>
      </c>
      <c r="L6601" s="62">
        <f>K6601-(F6601*I6601)</f>
        <v/>
      </c>
      <c r="M6601" s="64">
        <f>L6601/K6601</f>
        <v/>
      </c>
    </row>
    <row r="6602">
      <c r="A6602" s="58" t="inlineStr">
        <is>
          <t>RT20250616-06601</t>
        </is>
      </c>
      <c r="B6602" s="59" t="inlineStr">
        <is>
          <t>2025-06-16</t>
        </is>
      </c>
      <c r="C6602" s="60" t="inlineStr">
        <is>
          <t>Vertex Printer Max-692</t>
        </is>
      </c>
      <c r="D6602" s="58" t="inlineStr">
        <is>
          <t>Office</t>
        </is>
      </c>
      <c r="E6602" s="58" t="inlineStr">
        <is>
          <t>North</t>
        </is>
      </c>
      <c r="F6602" s="61" t="n">
        <v>1</v>
      </c>
      <c r="G6602" s="62" t="n">
        <v>176.63</v>
      </c>
      <c r="H6602" s="63" t="n">
        <v>0.032</v>
      </c>
      <c r="I6602" s="62" t="n">
        <v>121.37</v>
      </c>
      <c r="J6602" s="58" t="inlineStr">
        <is>
          <t>Online</t>
        </is>
      </c>
      <c r="K6602" s="62">
        <f>F6602*(G6602-H6602)</f>
        <v/>
      </c>
      <c r="L6602" s="62">
        <f>K6602-(F6602*I6602)</f>
        <v/>
      </c>
      <c r="M6602" s="64">
        <f>L6602/K6602</f>
        <v/>
      </c>
    </row>
    <row r="6603">
      <c r="A6603" s="58" t="inlineStr">
        <is>
          <t>RT20250616-06602</t>
        </is>
      </c>
      <c r="B6603" s="59" t="inlineStr">
        <is>
          <t>2025-06-16</t>
        </is>
      </c>
      <c r="C6603" s="60" t="inlineStr">
        <is>
          <t>Nimbus Laptop Max-652</t>
        </is>
      </c>
      <c r="D6603" s="58" t="inlineStr">
        <is>
          <t>Electronics</t>
        </is>
      </c>
      <c r="E6603" s="58" t="inlineStr">
        <is>
          <t>North</t>
        </is>
      </c>
      <c r="F6603" s="61" t="n">
        <v>2</v>
      </c>
      <c r="G6603" s="62" t="n">
        <v>1361.16</v>
      </c>
      <c r="H6603" s="63" t="n">
        <v>0.053</v>
      </c>
      <c r="I6603" s="62" t="n">
        <v>1040.44</v>
      </c>
      <c r="J6603" s="58" t="inlineStr">
        <is>
          <t>Online</t>
        </is>
      </c>
      <c r="K6603" s="62">
        <f>F6603*(G6603-H6603)</f>
        <v/>
      </c>
      <c r="L6603" s="62">
        <f>K6603-(F6603*I6603)</f>
        <v/>
      </c>
      <c r="M6603" s="64">
        <f>L6603/K6603</f>
        <v/>
      </c>
    </row>
    <row r="6604">
      <c r="A6604" s="58" t="inlineStr">
        <is>
          <t>RT20250616-06603</t>
        </is>
      </c>
      <c r="B6604" s="59" t="inlineStr">
        <is>
          <t>2025-06-16</t>
        </is>
      </c>
      <c r="C6604" s="60" t="inlineStr">
        <is>
          <t>Falcon Headphone Pro-713</t>
        </is>
      </c>
      <c r="D6604" s="58" t="inlineStr">
        <is>
          <t>Electronics</t>
        </is>
      </c>
      <c r="E6604" s="58" t="inlineStr">
        <is>
          <t>East</t>
        </is>
      </c>
      <c r="F6604" s="61" t="n">
        <v>2</v>
      </c>
      <c r="G6604" s="62" t="n">
        <v>1532.56</v>
      </c>
      <c r="H6604" s="63" t="n">
        <v>0.031</v>
      </c>
      <c r="I6604" s="62" t="n">
        <v>1191.77</v>
      </c>
      <c r="J6604" s="58" t="inlineStr">
        <is>
          <t>Store</t>
        </is>
      </c>
      <c r="K6604" s="62">
        <f>F6604*(G6604-H6604)</f>
        <v/>
      </c>
      <c r="L6604" s="62">
        <f>K6604-(F6604*I6604)</f>
        <v/>
      </c>
      <c r="M6604" s="64">
        <f>L6604/K6604</f>
        <v/>
      </c>
    </row>
    <row r="6605">
      <c r="A6605" s="58" t="inlineStr">
        <is>
          <t>RT20250616-06604</t>
        </is>
      </c>
      <c r="B6605" s="59" t="inlineStr">
        <is>
          <t>2025-06-16</t>
        </is>
      </c>
      <c r="C6605" s="60" t="inlineStr">
        <is>
          <t>Falcon Headphone Pro-713</t>
        </is>
      </c>
      <c r="D6605" s="58" t="inlineStr">
        <is>
          <t>Electronics</t>
        </is>
      </c>
      <c r="E6605" s="58" t="inlineStr">
        <is>
          <t>East</t>
        </is>
      </c>
      <c r="F6605" s="61" t="n">
        <v>2</v>
      </c>
      <c r="G6605" s="62" t="n">
        <v>1444.52</v>
      </c>
      <c r="H6605" s="63" t="n">
        <v>0.099</v>
      </c>
      <c r="I6605" s="62" t="n">
        <v>1175.77</v>
      </c>
      <c r="J6605" s="58" t="inlineStr">
        <is>
          <t>Online</t>
        </is>
      </c>
      <c r="K6605" s="62">
        <f>F6605*(G6605-H6605)</f>
        <v/>
      </c>
      <c r="L6605" s="62">
        <f>K6605-(F6605*I6605)</f>
        <v/>
      </c>
      <c r="M6605" s="64">
        <f>L6605/K6605</f>
        <v/>
      </c>
    </row>
    <row r="6606">
      <c r="A6606" s="58" t="inlineStr">
        <is>
          <t>RT20250616-06605</t>
        </is>
      </c>
      <c r="B6606" s="59" t="inlineStr">
        <is>
          <t>2025-06-16</t>
        </is>
      </c>
      <c r="C6606" s="60" t="inlineStr">
        <is>
          <t>Metro Pantry Max-180</t>
        </is>
      </c>
      <c r="D6606" s="58" t="inlineStr">
        <is>
          <t>Grocery</t>
        </is>
      </c>
      <c r="E6606" s="58" t="inlineStr">
        <is>
          <t>West</t>
        </is>
      </c>
      <c r="F6606" s="61" t="n">
        <v>8</v>
      </c>
      <c r="G6606" s="62" t="n">
        <v>9.15</v>
      </c>
      <c r="H6606" s="63" t="n">
        <v>0.039</v>
      </c>
      <c r="I6606" s="62" t="n">
        <v>6.6</v>
      </c>
      <c r="J6606" s="58" t="inlineStr">
        <is>
          <t>Store</t>
        </is>
      </c>
      <c r="K6606" s="62">
        <f>F6606*(G6606-H6606)</f>
        <v/>
      </c>
      <c r="L6606" s="62">
        <f>K6606-(F6606*I6606)</f>
        <v/>
      </c>
      <c r="M6606" s="64">
        <f>L6606/K6606</f>
        <v/>
      </c>
    </row>
    <row r="6607">
      <c r="A6607" s="58" t="inlineStr">
        <is>
          <t>RT20250616-06606</t>
        </is>
      </c>
      <c r="B6607" s="59" t="inlineStr">
        <is>
          <t>2025-06-16</t>
        </is>
      </c>
      <c r="C6607" s="60" t="inlineStr">
        <is>
          <t>Nimbus Cycling Plus-911</t>
        </is>
      </c>
      <c r="D6607" s="58" t="inlineStr">
        <is>
          <t>Sports</t>
        </is>
      </c>
      <c r="E6607" s="58" t="inlineStr">
        <is>
          <t>North</t>
        </is>
      </c>
      <c r="F6607" s="61" t="n">
        <v>3</v>
      </c>
      <c r="G6607" s="62" t="n">
        <v>590.96</v>
      </c>
      <c r="H6607" s="63" t="n">
        <v>0.08699999999999999</v>
      </c>
      <c r="I6607" s="62" t="n">
        <v>387.98</v>
      </c>
      <c r="J6607" s="58" t="inlineStr">
        <is>
          <t>Online</t>
        </is>
      </c>
      <c r="K6607" s="62">
        <f>F6607*(G6607-H6607)</f>
        <v/>
      </c>
      <c r="L6607" s="62">
        <f>K6607-(F6607*I6607)</f>
        <v/>
      </c>
      <c r="M6607" s="64">
        <f>L6607/K6607</f>
        <v/>
      </c>
    </row>
    <row r="6608">
      <c r="A6608" s="58" t="inlineStr">
        <is>
          <t>RT20250616-06607</t>
        </is>
      </c>
      <c r="B6608" s="59" t="inlineStr">
        <is>
          <t>2025-06-16</t>
        </is>
      </c>
      <c r="C6608" s="60" t="inlineStr">
        <is>
          <t>Polar Women Max-927</t>
        </is>
      </c>
      <c r="D6608" s="58" t="inlineStr">
        <is>
          <t>Apparel</t>
        </is>
      </c>
      <c r="E6608" s="58" t="inlineStr">
        <is>
          <t>South</t>
        </is>
      </c>
      <c r="F6608" s="61" t="n">
        <v>3</v>
      </c>
      <c r="G6608" s="62" t="n">
        <v>119.26</v>
      </c>
      <c r="H6608" s="63" t="n">
        <v>0.052</v>
      </c>
      <c r="I6608" s="62" t="n">
        <v>63.36</v>
      </c>
      <c r="J6608" s="58" t="inlineStr">
        <is>
          <t>Online</t>
        </is>
      </c>
      <c r="K6608" s="62">
        <f>F6608*(G6608-H6608)</f>
        <v/>
      </c>
      <c r="L6608" s="62">
        <f>K6608-(F6608*I6608)</f>
        <v/>
      </c>
      <c r="M6608" s="64">
        <f>L6608/K6608</f>
        <v/>
      </c>
    </row>
    <row r="6609">
      <c r="A6609" s="58" t="inlineStr">
        <is>
          <t>RT20250616-06608</t>
        </is>
      </c>
      <c r="B6609" s="59" t="inlineStr">
        <is>
          <t>2025-06-16</t>
        </is>
      </c>
      <c r="C6609" s="60" t="inlineStr">
        <is>
          <t>Falcon Storage X-734</t>
        </is>
      </c>
      <c r="D6609" s="58" t="inlineStr">
        <is>
          <t>Office</t>
        </is>
      </c>
      <c r="E6609" s="58" t="inlineStr">
        <is>
          <t>East</t>
        </is>
      </c>
      <c r="F6609" s="61" t="n">
        <v>2</v>
      </c>
      <c r="G6609" s="62" t="n">
        <v>379.2</v>
      </c>
      <c r="H6609" s="63" t="n">
        <v>0.107</v>
      </c>
      <c r="I6609" s="62" t="n">
        <v>275.98</v>
      </c>
      <c r="J6609" s="58" t="inlineStr">
        <is>
          <t>Store</t>
        </is>
      </c>
      <c r="K6609" s="62">
        <f>F6609*(G6609-H6609)</f>
        <v/>
      </c>
      <c r="L6609" s="62">
        <f>K6609-(F6609*I6609)</f>
        <v/>
      </c>
      <c r="M6609" s="64">
        <f>L6609/K6609</f>
        <v/>
      </c>
    </row>
    <row r="6610">
      <c r="A6610" s="58" t="inlineStr">
        <is>
          <t>RT20250616-06609</t>
        </is>
      </c>
      <c r="B6610" s="59" t="inlineStr">
        <is>
          <t>2025-06-16</t>
        </is>
      </c>
      <c r="C6610" s="60" t="inlineStr">
        <is>
          <t>Solace Laptop S-367</t>
        </is>
      </c>
      <c r="D6610" s="58" t="inlineStr">
        <is>
          <t>Electronics</t>
        </is>
      </c>
      <c r="E6610" s="58" t="inlineStr">
        <is>
          <t>North</t>
        </is>
      </c>
      <c r="F6610" s="61" t="n">
        <v>1</v>
      </c>
      <c r="G6610" s="62" t="n">
        <v>2066.53</v>
      </c>
      <c r="H6610" s="63" t="n">
        <v>0.07199999999999999</v>
      </c>
      <c r="I6610" s="62" t="n">
        <v>1522.43</v>
      </c>
      <c r="J6610" s="58" t="inlineStr">
        <is>
          <t>Online</t>
        </is>
      </c>
      <c r="K6610" s="62">
        <f>F6610*(G6610-H6610)</f>
        <v/>
      </c>
      <c r="L6610" s="62">
        <f>K6610-(F6610*I6610)</f>
        <v/>
      </c>
      <c r="M6610" s="64">
        <f>L6610/K6610</f>
        <v/>
      </c>
    </row>
    <row r="6611">
      <c r="A6611" s="58" t="inlineStr">
        <is>
          <t>RT20250616-06610</t>
        </is>
      </c>
      <c r="B6611" s="59" t="inlineStr">
        <is>
          <t>2025-06-16</t>
        </is>
      </c>
      <c r="C6611" s="60" t="inlineStr">
        <is>
          <t>Polar Decor X-935</t>
        </is>
      </c>
      <c r="D6611" s="58" t="inlineStr">
        <is>
          <t>Home</t>
        </is>
      </c>
      <c r="E6611" s="58" t="inlineStr">
        <is>
          <t>East</t>
        </is>
      </c>
      <c r="F6611" s="61" t="n">
        <v>1</v>
      </c>
      <c r="G6611" s="62" t="n">
        <v>272.7</v>
      </c>
      <c r="H6611" s="63" t="n">
        <v>0.05</v>
      </c>
      <c r="I6611" s="62" t="n">
        <v>206.29</v>
      </c>
      <c r="J6611" s="58" t="inlineStr">
        <is>
          <t>Online</t>
        </is>
      </c>
      <c r="K6611" s="62">
        <f>F6611*(G6611-H6611)</f>
        <v/>
      </c>
      <c r="L6611" s="62">
        <f>K6611-(F6611*I6611)</f>
        <v/>
      </c>
      <c r="M6611" s="64">
        <f>L6611/K6611</f>
        <v/>
      </c>
    </row>
    <row r="6612">
      <c r="A6612" s="58" t="inlineStr">
        <is>
          <t>RT20250616-06611</t>
        </is>
      </c>
      <c r="B6612" s="59" t="inlineStr">
        <is>
          <t>2025-06-16</t>
        </is>
      </c>
      <c r="C6612" s="60" t="inlineStr">
        <is>
          <t>Falcon Headphone Pro-713</t>
        </is>
      </c>
      <c r="D6612" s="58" t="inlineStr">
        <is>
          <t>Electronics</t>
        </is>
      </c>
      <c r="E6612" s="58" t="inlineStr">
        <is>
          <t>East</t>
        </is>
      </c>
      <c r="F6612" s="61" t="n">
        <v>2</v>
      </c>
      <c r="G6612" s="62" t="n">
        <v>1629.02</v>
      </c>
      <c r="H6612" s="63" t="n">
        <v>0.06</v>
      </c>
      <c r="I6612" s="62" t="n">
        <v>1213.99</v>
      </c>
      <c r="J6612" s="58" t="inlineStr">
        <is>
          <t>Online</t>
        </is>
      </c>
      <c r="K6612" s="62">
        <f>F6612*(G6612-H6612)</f>
        <v/>
      </c>
      <c r="L6612" s="62">
        <f>K6612-(F6612*I6612)</f>
        <v/>
      </c>
      <c r="M6612" s="64">
        <f>L6612/K6612</f>
        <v/>
      </c>
    </row>
    <row r="6613">
      <c r="A6613" s="58" t="inlineStr">
        <is>
          <t>RT20250616-06612</t>
        </is>
      </c>
      <c r="B6613" s="59" t="inlineStr">
        <is>
          <t>2025-06-16</t>
        </is>
      </c>
      <c r="C6613" s="60" t="inlineStr">
        <is>
          <t>Polar Outdoor X-193</t>
        </is>
      </c>
      <c r="D6613" s="58" t="inlineStr">
        <is>
          <t>Sports</t>
        </is>
      </c>
      <c r="E6613" s="58" t="inlineStr">
        <is>
          <t>East</t>
        </is>
      </c>
      <c r="F6613" s="61" t="n">
        <v>3</v>
      </c>
      <c r="G6613" s="62" t="n">
        <v>694.33</v>
      </c>
      <c r="H6613" s="63" t="n">
        <v>0.098</v>
      </c>
      <c r="I6613" s="62" t="n">
        <v>454.07</v>
      </c>
      <c r="J6613" s="58" t="inlineStr">
        <is>
          <t>Online</t>
        </is>
      </c>
      <c r="K6613" s="62">
        <f>F6613*(G6613-H6613)</f>
        <v/>
      </c>
      <c r="L6613" s="62">
        <f>K6613-(F6613*I6613)</f>
        <v/>
      </c>
      <c r="M6613" s="64">
        <f>L6613/K6613</f>
        <v/>
      </c>
    </row>
    <row r="6614">
      <c r="A6614" s="58" t="inlineStr">
        <is>
          <t>RT20250616-06613</t>
        </is>
      </c>
      <c r="B6614" s="59" t="inlineStr">
        <is>
          <t>2025-06-16</t>
        </is>
      </c>
      <c r="C6614" s="60" t="inlineStr">
        <is>
          <t>Nimbus Women Plus-352</t>
        </is>
      </c>
      <c r="D6614" s="58" t="inlineStr">
        <is>
          <t>Apparel</t>
        </is>
      </c>
      <c r="E6614" s="58" t="inlineStr">
        <is>
          <t>East</t>
        </is>
      </c>
      <c r="F6614" s="61" t="n">
        <v>3</v>
      </c>
      <c r="G6614" s="62" t="n">
        <v>59.58</v>
      </c>
      <c r="H6614" s="63" t="n">
        <v>0.043</v>
      </c>
      <c r="I6614" s="62" t="n">
        <v>33.03</v>
      </c>
      <c r="J6614" s="58" t="inlineStr">
        <is>
          <t>Store</t>
        </is>
      </c>
      <c r="K6614" s="62">
        <f>F6614*(G6614-H6614)</f>
        <v/>
      </c>
      <c r="L6614" s="62">
        <f>K6614-(F6614*I6614)</f>
        <v/>
      </c>
      <c r="M6614" s="64">
        <f>L6614/K6614</f>
        <v/>
      </c>
    </row>
    <row r="6615">
      <c r="A6615" s="58" t="inlineStr">
        <is>
          <t>RT20250616-06614</t>
        </is>
      </c>
      <c r="B6615" s="59" t="inlineStr">
        <is>
          <t>2025-06-16</t>
        </is>
      </c>
      <c r="C6615" s="60" t="inlineStr">
        <is>
          <t>Aurora Bedding Plus-187</t>
        </is>
      </c>
      <c r="D6615" s="58" t="inlineStr">
        <is>
          <t>Home</t>
        </is>
      </c>
      <c r="E6615" s="58" t="inlineStr">
        <is>
          <t>South</t>
        </is>
      </c>
      <c r="F6615" s="61" t="n">
        <v>3</v>
      </c>
      <c r="G6615" s="62" t="n">
        <v>284.43</v>
      </c>
      <c r="H6615" s="63" t="n">
        <v>0</v>
      </c>
      <c r="I6615" s="62" t="n">
        <v>205.72</v>
      </c>
      <c r="J6615" s="58" t="inlineStr">
        <is>
          <t>Store</t>
        </is>
      </c>
      <c r="K6615" s="62">
        <f>F6615*(G6615-H6615)</f>
        <v/>
      </c>
      <c r="L6615" s="62">
        <f>K6615-(F6615*I6615)</f>
        <v/>
      </c>
      <c r="M6615" s="64">
        <f>L6615/K6615</f>
        <v/>
      </c>
    </row>
    <row r="6616">
      <c r="A6616" s="58" t="inlineStr">
        <is>
          <t>RT20250616-06615</t>
        </is>
      </c>
      <c r="B6616" s="59" t="inlineStr">
        <is>
          <t>2025-06-16</t>
        </is>
      </c>
      <c r="C6616" s="60" t="inlineStr">
        <is>
          <t>Aurora Fitnes Lite-194</t>
        </is>
      </c>
      <c r="D6616" s="58" t="inlineStr">
        <is>
          <t>Sports</t>
        </is>
      </c>
      <c r="E6616" s="58" t="inlineStr">
        <is>
          <t>East</t>
        </is>
      </c>
      <c r="F6616" s="61" t="n">
        <v>2</v>
      </c>
      <c r="G6616" s="62" t="n">
        <v>702.01</v>
      </c>
      <c r="H6616" s="63" t="n">
        <v>0.068</v>
      </c>
      <c r="I6616" s="62" t="n">
        <v>453.79</v>
      </c>
      <c r="J6616" s="58" t="inlineStr">
        <is>
          <t>Online</t>
        </is>
      </c>
      <c r="K6616" s="62">
        <f>F6616*(G6616-H6616)</f>
        <v/>
      </c>
      <c r="L6616" s="62">
        <f>K6616-(F6616*I6616)</f>
        <v/>
      </c>
      <c r="M6616" s="64">
        <f>L6616/K6616</f>
        <v/>
      </c>
    </row>
    <row r="6617">
      <c r="A6617" s="58" t="inlineStr">
        <is>
          <t>RT20250617-06616</t>
        </is>
      </c>
      <c r="B6617" s="59" t="inlineStr">
        <is>
          <t>2025-06-17</t>
        </is>
      </c>
      <c r="C6617" s="60" t="inlineStr">
        <is>
          <t>Solace Kitchen Pro-999</t>
        </is>
      </c>
      <c r="D6617" s="58" t="inlineStr">
        <is>
          <t>Home</t>
        </is>
      </c>
      <c r="E6617" s="58" t="inlineStr">
        <is>
          <t>North</t>
        </is>
      </c>
      <c r="F6617" s="61" t="n">
        <v>1</v>
      </c>
      <c r="G6617" s="62" t="n">
        <v>401.65</v>
      </c>
      <c r="H6617" s="63" t="n">
        <v>0.042</v>
      </c>
      <c r="I6617" s="62" t="n">
        <v>269.61</v>
      </c>
      <c r="J6617" s="58" t="inlineStr">
        <is>
          <t>Online</t>
        </is>
      </c>
      <c r="K6617" s="62">
        <f>F6617*(G6617-H6617)</f>
        <v/>
      </c>
      <c r="L6617" s="62">
        <f>K6617-(F6617*I6617)</f>
        <v/>
      </c>
      <c r="M6617" s="64">
        <f>L6617/K6617</f>
        <v/>
      </c>
    </row>
    <row r="6618">
      <c r="A6618" s="58" t="inlineStr">
        <is>
          <t>RT20250617-06617</t>
        </is>
      </c>
      <c r="B6618" s="59" t="inlineStr">
        <is>
          <t>2025-06-17</t>
        </is>
      </c>
      <c r="C6618" s="60" t="inlineStr">
        <is>
          <t>Aurora Outdoor Pro-467</t>
        </is>
      </c>
      <c r="D6618" s="58" t="inlineStr">
        <is>
          <t>Sports</t>
        </is>
      </c>
      <c r="E6618" s="58" t="inlineStr">
        <is>
          <t>Central</t>
        </is>
      </c>
      <c r="F6618" s="61" t="n">
        <v>2</v>
      </c>
      <c r="G6618" s="62" t="n">
        <v>268.84</v>
      </c>
      <c r="H6618" s="63" t="n">
        <v>0.045</v>
      </c>
      <c r="I6618" s="62" t="n">
        <v>190.49</v>
      </c>
      <c r="J6618" s="58" t="inlineStr">
        <is>
          <t>Online</t>
        </is>
      </c>
      <c r="K6618" s="62">
        <f>F6618*(G6618-H6618)</f>
        <v/>
      </c>
      <c r="L6618" s="62">
        <f>K6618-(F6618*I6618)</f>
        <v/>
      </c>
      <c r="M6618" s="64">
        <f>L6618/K6618</f>
        <v/>
      </c>
    </row>
    <row r="6619">
      <c r="A6619" s="58" t="inlineStr">
        <is>
          <t>RT20250617-06618</t>
        </is>
      </c>
      <c r="B6619" s="59" t="inlineStr">
        <is>
          <t>2025-06-17</t>
        </is>
      </c>
      <c r="C6619" s="60" t="inlineStr">
        <is>
          <t>Nimbus Headphone X-854</t>
        </is>
      </c>
      <c r="D6619" s="58" t="inlineStr">
        <is>
          <t>Electronics</t>
        </is>
      </c>
      <c r="E6619" s="58" t="inlineStr">
        <is>
          <t>South</t>
        </is>
      </c>
      <c r="F6619" s="61" t="n">
        <v>2</v>
      </c>
      <c r="G6619" s="62" t="n">
        <v>1576.81</v>
      </c>
      <c r="H6619" s="63" t="n">
        <v>0.044</v>
      </c>
      <c r="I6619" s="62" t="n">
        <v>1273.78</v>
      </c>
      <c r="J6619" s="58" t="inlineStr">
        <is>
          <t>Online</t>
        </is>
      </c>
      <c r="K6619" s="62">
        <f>F6619*(G6619-H6619)</f>
        <v/>
      </c>
      <c r="L6619" s="62">
        <f>K6619-(F6619*I6619)</f>
        <v/>
      </c>
      <c r="M6619" s="64">
        <f>L6619/K6619</f>
        <v/>
      </c>
    </row>
    <row r="6620">
      <c r="A6620" s="58" t="inlineStr">
        <is>
          <t>RT20250617-06619</t>
        </is>
      </c>
      <c r="B6620" s="59" t="inlineStr">
        <is>
          <t>2025-06-17</t>
        </is>
      </c>
      <c r="C6620" s="60" t="inlineStr">
        <is>
          <t>Falcon Furniture Plus-839</t>
        </is>
      </c>
      <c r="D6620" s="58" t="inlineStr">
        <is>
          <t>Office</t>
        </is>
      </c>
      <c r="E6620" s="58" t="inlineStr">
        <is>
          <t>West</t>
        </is>
      </c>
      <c r="F6620" s="61" t="n">
        <v>3</v>
      </c>
      <c r="G6620" s="62" t="n">
        <v>260.51</v>
      </c>
      <c r="H6620" s="63" t="n">
        <v>0.044</v>
      </c>
      <c r="I6620" s="62" t="n">
        <v>232.87</v>
      </c>
      <c r="J6620" s="58" t="inlineStr">
        <is>
          <t>Online</t>
        </is>
      </c>
      <c r="K6620" s="62">
        <f>F6620*(G6620-H6620)</f>
        <v/>
      </c>
      <c r="L6620" s="62">
        <f>K6620-(F6620*I6620)</f>
        <v/>
      </c>
      <c r="M6620" s="64">
        <f>L6620/K6620</f>
        <v/>
      </c>
    </row>
    <row r="6621">
      <c r="A6621" s="58" t="inlineStr">
        <is>
          <t>RT20250617-06620</t>
        </is>
      </c>
      <c r="B6621" s="59" t="inlineStr">
        <is>
          <t>2025-06-17</t>
        </is>
      </c>
      <c r="C6621" s="60" t="inlineStr">
        <is>
          <t>Aurora Makeup S-626</t>
        </is>
      </c>
      <c r="D6621" s="58" t="inlineStr">
        <is>
          <t>Beauty</t>
        </is>
      </c>
      <c r="E6621" s="58" t="inlineStr">
        <is>
          <t>West</t>
        </is>
      </c>
      <c r="F6621" s="61" t="n">
        <v>4</v>
      </c>
      <c r="G6621" s="62" t="n">
        <v>114.05</v>
      </c>
      <c r="H6621" s="63" t="n">
        <v>0.096</v>
      </c>
      <c r="I6621" s="62" t="n">
        <v>64.29000000000001</v>
      </c>
      <c r="J6621" s="58" t="inlineStr">
        <is>
          <t>Store</t>
        </is>
      </c>
      <c r="K6621" s="62">
        <f>F6621*(G6621-H6621)</f>
        <v/>
      </c>
      <c r="L6621" s="62">
        <f>K6621-(F6621*I6621)</f>
        <v/>
      </c>
      <c r="M6621" s="64">
        <f>L6621/K6621</f>
        <v/>
      </c>
    </row>
    <row r="6622">
      <c r="A6622" s="58" t="inlineStr">
        <is>
          <t>RT20250617-06621</t>
        </is>
      </c>
      <c r="B6622" s="59" t="inlineStr">
        <is>
          <t>2025-06-17</t>
        </is>
      </c>
      <c r="C6622" s="60" t="inlineStr">
        <is>
          <t>Metro Outdoor Plus-787</t>
        </is>
      </c>
      <c r="D6622" s="58" t="inlineStr">
        <is>
          <t>Sports</t>
        </is>
      </c>
      <c r="E6622" s="58" t="inlineStr">
        <is>
          <t>Central</t>
        </is>
      </c>
      <c r="F6622" s="61" t="n">
        <v>3</v>
      </c>
      <c r="G6622" s="62" t="n">
        <v>580.5</v>
      </c>
      <c r="H6622" s="63" t="n">
        <v>0.06</v>
      </c>
      <c r="I6622" s="62" t="n">
        <v>352.28</v>
      </c>
      <c r="J6622" s="58" t="inlineStr">
        <is>
          <t>Store</t>
        </is>
      </c>
      <c r="K6622" s="62">
        <f>F6622*(G6622-H6622)</f>
        <v/>
      </c>
      <c r="L6622" s="62">
        <f>K6622-(F6622*I6622)</f>
        <v/>
      </c>
      <c r="M6622" s="64">
        <f>L6622/K6622</f>
        <v/>
      </c>
    </row>
    <row r="6623">
      <c r="A6623" s="58" t="inlineStr">
        <is>
          <t>RT20250617-06622</t>
        </is>
      </c>
      <c r="B6623" s="59" t="inlineStr">
        <is>
          <t>2025-06-17</t>
        </is>
      </c>
      <c r="C6623" s="60" t="inlineStr">
        <is>
          <t>Falcon Headphone Pro-713</t>
        </is>
      </c>
      <c r="D6623" s="58" t="inlineStr">
        <is>
          <t>Electronics</t>
        </is>
      </c>
      <c r="E6623" s="58" t="inlineStr">
        <is>
          <t>South</t>
        </is>
      </c>
      <c r="F6623" s="61" t="n">
        <v>2</v>
      </c>
      <c r="G6623" s="62" t="n">
        <v>1397.38</v>
      </c>
      <c r="H6623" s="63" t="n">
        <v>0.093</v>
      </c>
      <c r="I6623" s="62" t="n">
        <v>1196.78</v>
      </c>
      <c r="J6623" s="58" t="inlineStr">
        <is>
          <t>Online</t>
        </is>
      </c>
      <c r="K6623" s="62">
        <f>F6623*(G6623-H6623)</f>
        <v/>
      </c>
      <c r="L6623" s="62">
        <f>K6623-(F6623*I6623)</f>
        <v/>
      </c>
      <c r="M6623" s="64">
        <f>L6623/K6623</f>
        <v/>
      </c>
    </row>
    <row r="6624">
      <c r="A6624" s="58" t="inlineStr">
        <is>
          <t>RT20250617-06623</t>
        </is>
      </c>
      <c r="B6624" s="59" t="inlineStr">
        <is>
          <t>2025-06-17</t>
        </is>
      </c>
      <c r="C6624" s="60" t="inlineStr">
        <is>
          <t>Falcon Storage X-734</t>
        </is>
      </c>
      <c r="D6624" s="58" t="inlineStr">
        <is>
          <t>Office</t>
        </is>
      </c>
      <c r="E6624" s="58" t="inlineStr">
        <is>
          <t>Central</t>
        </is>
      </c>
      <c r="F6624" s="61" t="n">
        <v>3</v>
      </c>
      <c r="G6624" s="62" t="n">
        <v>394.83</v>
      </c>
      <c r="H6624" s="63" t="n">
        <v>0.021</v>
      </c>
      <c r="I6624" s="62" t="n">
        <v>279.77</v>
      </c>
      <c r="J6624" s="58" t="inlineStr">
        <is>
          <t>Online</t>
        </is>
      </c>
      <c r="K6624" s="62">
        <f>F6624*(G6624-H6624)</f>
        <v/>
      </c>
      <c r="L6624" s="62">
        <f>K6624-(F6624*I6624)</f>
        <v/>
      </c>
      <c r="M6624" s="64">
        <f>L6624/K6624</f>
        <v/>
      </c>
    </row>
    <row r="6625">
      <c r="A6625" s="58" t="inlineStr">
        <is>
          <t>RT20250617-06624</t>
        </is>
      </c>
      <c r="B6625" s="59" t="inlineStr">
        <is>
          <t>2025-06-17</t>
        </is>
      </c>
      <c r="C6625" s="60" t="inlineStr">
        <is>
          <t>Falcon Kitchen X-130</t>
        </is>
      </c>
      <c r="D6625" s="58" t="inlineStr">
        <is>
          <t>Home</t>
        </is>
      </c>
      <c r="E6625" s="58" t="inlineStr">
        <is>
          <t>North</t>
        </is>
      </c>
      <c r="F6625" s="61" t="n">
        <v>1</v>
      </c>
      <c r="G6625" s="62" t="n">
        <v>376.15</v>
      </c>
      <c r="H6625" s="63" t="n">
        <v>0.063</v>
      </c>
      <c r="I6625" s="62" t="n">
        <v>293.6</v>
      </c>
      <c r="J6625" s="58" t="inlineStr">
        <is>
          <t>Store</t>
        </is>
      </c>
      <c r="K6625" s="62">
        <f>F6625*(G6625-H6625)</f>
        <v/>
      </c>
      <c r="L6625" s="62">
        <f>K6625-(F6625*I6625)</f>
        <v/>
      </c>
      <c r="M6625" s="64">
        <f>L6625/K6625</f>
        <v/>
      </c>
    </row>
    <row r="6626">
      <c r="A6626" s="58" t="inlineStr">
        <is>
          <t>RT20250617-06625</t>
        </is>
      </c>
      <c r="B6626" s="59" t="inlineStr">
        <is>
          <t>2025-06-17</t>
        </is>
      </c>
      <c r="C6626" s="60" t="inlineStr">
        <is>
          <t>Vertex Decor Pro-618</t>
        </is>
      </c>
      <c r="D6626" s="58" t="inlineStr">
        <is>
          <t>Home</t>
        </is>
      </c>
      <c r="E6626" s="58" t="inlineStr">
        <is>
          <t>South</t>
        </is>
      </c>
      <c r="F6626" s="61" t="n">
        <v>1</v>
      </c>
      <c r="G6626" s="62" t="n">
        <v>466.7</v>
      </c>
      <c r="H6626" s="63" t="n">
        <v>0.054</v>
      </c>
      <c r="I6626" s="62" t="n">
        <v>375.51</v>
      </c>
      <c r="J6626" s="58" t="inlineStr">
        <is>
          <t>Online</t>
        </is>
      </c>
      <c r="K6626" s="62">
        <f>F6626*(G6626-H6626)</f>
        <v/>
      </c>
      <c r="L6626" s="62">
        <f>K6626-(F6626*I6626)</f>
        <v/>
      </c>
      <c r="M6626" s="64">
        <f>L6626/K6626</f>
        <v/>
      </c>
    </row>
    <row r="6627">
      <c r="A6627" s="58" t="inlineStr">
        <is>
          <t>RT20250617-06626</t>
        </is>
      </c>
      <c r="B6627" s="59" t="inlineStr">
        <is>
          <t>2025-06-17</t>
        </is>
      </c>
      <c r="C6627" s="60" t="inlineStr">
        <is>
          <t>Vertex Supplie X-513</t>
        </is>
      </c>
      <c r="D6627" s="58" t="inlineStr">
        <is>
          <t>Office</t>
        </is>
      </c>
      <c r="E6627" s="58" t="inlineStr">
        <is>
          <t>East</t>
        </is>
      </c>
      <c r="F6627" s="61" t="n">
        <v>1</v>
      </c>
      <c r="G6627" s="62" t="n">
        <v>421.32</v>
      </c>
      <c r="H6627" s="63" t="n">
        <v>0.031</v>
      </c>
      <c r="I6627" s="62" t="n">
        <v>276.42</v>
      </c>
      <c r="J6627" s="58" t="inlineStr">
        <is>
          <t>Store</t>
        </is>
      </c>
      <c r="K6627" s="62">
        <f>F6627*(G6627-H6627)</f>
        <v/>
      </c>
      <c r="L6627" s="62">
        <f>K6627-(F6627*I6627)</f>
        <v/>
      </c>
      <c r="M6627" s="64">
        <f>L6627/K6627</f>
        <v/>
      </c>
    </row>
    <row r="6628">
      <c r="A6628" s="58" t="inlineStr">
        <is>
          <t>RT20250617-06627</t>
        </is>
      </c>
      <c r="B6628" s="59" t="inlineStr">
        <is>
          <t>2025-06-17</t>
        </is>
      </c>
      <c r="C6628" s="60" t="inlineStr">
        <is>
          <t>Nimbus Fitnes Lite-516</t>
        </is>
      </c>
      <c r="D6628" s="58" t="inlineStr">
        <is>
          <t>Sports</t>
        </is>
      </c>
      <c r="E6628" s="58" t="inlineStr">
        <is>
          <t>East</t>
        </is>
      </c>
      <c r="F6628" s="61" t="n">
        <v>2</v>
      </c>
      <c r="G6628" s="62" t="n">
        <v>709.65</v>
      </c>
      <c r="H6628" s="63" t="n">
        <v>0.013</v>
      </c>
      <c r="I6628" s="62" t="n">
        <v>458.02</v>
      </c>
      <c r="J6628" s="58" t="inlineStr">
        <is>
          <t>Store</t>
        </is>
      </c>
      <c r="K6628" s="62">
        <f>F6628*(G6628-H6628)</f>
        <v/>
      </c>
      <c r="L6628" s="62">
        <f>K6628-(F6628*I6628)</f>
        <v/>
      </c>
      <c r="M6628" s="64">
        <f>L6628/K6628</f>
        <v/>
      </c>
    </row>
    <row r="6629">
      <c r="A6629" s="58" t="inlineStr">
        <is>
          <t>RT20250617-06628</t>
        </is>
      </c>
      <c r="B6629" s="59" t="inlineStr">
        <is>
          <t>2025-06-17</t>
        </is>
      </c>
      <c r="C6629" s="60" t="inlineStr">
        <is>
          <t>Metro Smartphone Max-773</t>
        </is>
      </c>
      <c r="D6629" s="58" t="inlineStr">
        <is>
          <t>Electronics</t>
        </is>
      </c>
      <c r="E6629" s="58" t="inlineStr">
        <is>
          <t>East</t>
        </is>
      </c>
      <c r="F6629" s="61" t="n">
        <v>2</v>
      </c>
      <c r="G6629" s="62" t="n">
        <v>1476.42</v>
      </c>
      <c r="H6629" s="63" t="n">
        <v>0.107</v>
      </c>
      <c r="I6629" s="62" t="n">
        <v>1144.09</v>
      </c>
      <c r="J6629" s="58" t="inlineStr">
        <is>
          <t>Online</t>
        </is>
      </c>
      <c r="K6629" s="62">
        <f>F6629*(G6629-H6629)</f>
        <v/>
      </c>
      <c r="L6629" s="62">
        <f>K6629-(F6629*I6629)</f>
        <v/>
      </c>
      <c r="M6629" s="64">
        <f>L6629/K6629</f>
        <v/>
      </c>
    </row>
    <row r="6630">
      <c r="A6630" s="58" t="inlineStr">
        <is>
          <t>RT20250617-06629</t>
        </is>
      </c>
      <c r="B6630" s="59" t="inlineStr">
        <is>
          <t>2025-06-17</t>
        </is>
      </c>
      <c r="C6630" s="60" t="inlineStr">
        <is>
          <t>Polar Beverage S-258</t>
        </is>
      </c>
      <c r="D6630" s="58" t="inlineStr">
        <is>
          <t>Grocery</t>
        </is>
      </c>
      <c r="E6630" s="58" t="inlineStr">
        <is>
          <t>East</t>
        </is>
      </c>
      <c r="F6630" s="61" t="n">
        <v>2</v>
      </c>
      <c r="G6630" s="62" t="n">
        <v>12.45</v>
      </c>
      <c r="H6630" s="63" t="n">
        <v>0.037</v>
      </c>
      <c r="I6630" s="62" t="n">
        <v>9.65</v>
      </c>
      <c r="J6630" s="58" t="inlineStr">
        <is>
          <t>Phone</t>
        </is>
      </c>
      <c r="K6630" s="62">
        <f>F6630*(G6630-H6630)</f>
        <v/>
      </c>
      <c r="L6630" s="62">
        <f>K6630-(F6630*I6630)</f>
        <v/>
      </c>
      <c r="M6630" s="64">
        <f>L6630/K6630</f>
        <v/>
      </c>
    </row>
    <row r="6631">
      <c r="A6631" s="58" t="inlineStr">
        <is>
          <t>RT20250617-06630</t>
        </is>
      </c>
      <c r="B6631" s="59" t="inlineStr">
        <is>
          <t>2025-06-17</t>
        </is>
      </c>
      <c r="C6631" s="60" t="inlineStr">
        <is>
          <t>Aurora Outdoor Pro-467</t>
        </is>
      </c>
      <c r="D6631" s="58" t="inlineStr">
        <is>
          <t>Sports</t>
        </is>
      </c>
      <c r="E6631" s="58" t="inlineStr">
        <is>
          <t>South</t>
        </is>
      </c>
      <c r="F6631" s="61" t="n">
        <v>2</v>
      </c>
      <c r="G6631" s="62" t="n">
        <v>289.78</v>
      </c>
      <c r="H6631" s="63" t="n">
        <v>0.06</v>
      </c>
      <c r="I6631" s="62" t="n">
        <v>185.07</v>
      </c>
      <c r="J6631" s="58" t="inlineStr">
        <is>
          <t>Online</t>
        </is>
      </c>
      <c r="K6631" s="62">
        <f>F6631*(G6631-H6631)</f>
        <v/>
      </c>
      <c r="L6631" s="62">
        <f>K6631-(F6631*I6631)</f>
        <v/>
      </c>
      <c r="M6631" s="64">
        <f>L6631/K6631</f>
        <v/>
      </c>
    </row>
    <row r="6632">
      <c r="A6632" s="58" t="inlineStr">
        <is>
          <t>RT20250617-06631</t>
        </is>
      </c>
      <c r="B6632" s="59" t="inlineStr">
        <is>
          <t>2025-06-17</t>
        </is>
      </c>
      <c r="C6632" s="60" t="inlineStr">
        <is>
          <t>Metro Printer X-294</t>
        </is>
      </c>
      <c r="D6632" s="58" t="inlineStr">
        <is>
          <t>Office</t>
        </is>
      </c>
      <c r="E6632" s="58" t="inlineStr">
        <is>
          <t>South</t>
        </is>
      </c>
      <c r="F6632" s="61" t="n">
        <v>2</v>
      </c>
      <c r="G6632" s="62" t="n">
        <v>623.26</v>
      </c>
      <c r="H6632" s="63" t="n">
        <v>0.041</v>
      </c>
      <c r="I6632" s="62" t="n">
        <v>404</v>
      </c>
      <c r="J6632" s="58" t="inlineStr">
        <is>
          <t>Online</t>
        </is>
      </c>
      <c r="K6632" s="62">
        <f>F6632*(G6632-H6632)</f>
        <v/>
      </c>
      <c r="L6632" s="62">
        <f>K6632-(F6632*I6632)</f>
        <v/>
      </c>
      <c r="M6632" s="64">
        <f>L6632/K6632</f>
        <v/>
      </c>
    </row>
    <row r="6633">
      <c r="A6633" s="58" t="inlineStr">
        <is>
          <t>RT20250617-06632</t>
        </is>
      </c>
      <c r="B6633" s="59" t="inlineStr">
        <is>
          <t>2025-06-17</t>
        </is>
      </c>
      <c r="C6633" s="60" t="inlineStr">
        <is>
          <t>Aurora Household Plus-146</t>
        </is>
      </c>
      <c r="D6633" s="58" t="inlineStr">
        <is>
          <t>Grocery</t>
        </is>
      </c>
      <c r="E6633" s="58" t="inlineStr">
        <is>
          <t>West</t>
        </is>
      </c>
      <c r="F6633" s="61" t="n">
        <v>7</v>
      </c>
      <c r="G6633" s="62" t="n">
        <v>5.87</v>
      </c>
      <c r="H6633" s="63" t="n">
        <v>0.124</v>
      </c>
      <c r="I6633" s="62" t="n">
        <v>4.57</v>
      </c>
      <c r="J6633" s="58" t="inlineStr">
        <is>
          <t>Online</t>
        </is>
      </c>
      <c r="K6633" s="62">
        <f>F6633*(G6633-H6633)</f>
        <v/>
      </c>
      <c r="L6633" s="62">
        <f>K6633-(F6633*I6633)</f>
        <v/>
      </c>
      <c r="M6633" s="64">
        <f>L6633/K6633</f>
        <v/>
      </c>
    </row>
    <row r="6634">
      <c r="A6634" s="58" t="inlineStr">
        <is>
          <t>RT20250617-06633</t>
        </is>
      </c>
      <c r="B6634" s="59" t="inlineStr">
        <is>
          <t>2025-06-17</t>
        </is>
      </c>
      <c r="C6634" s="60" t="inlineStr">
        <is>
          <t>Metro Pantry Max-180</t>
        </is>
      </c>
      <c r="D6634" s="58" t="inlineStr">
        <is>
          <t>Grocery</t>
        </is>
      </c>
      <c r="E6634" s="58" t="inlineStr">
        <is>
          <t>West</t>
        </is>
      </c>
      <c r="F6634" s="61" t="n">
        <v>7</v>
      </c>
      <c r="G6634" s="62" t="n">
        <v>9.210000000000001</v>
      </c>
      <c r="H6634" s="63" t="n">
        <v>0.042</v>
      </c>
      <c r="I6634" s="62" t="n">
        <v>6.62</v>
      </c>
      <c r="J6634" s="58" t="inlineStr">
        <is>
          <t>Store</t>
        </is>
      </c>
      <c r="K6634" s="62">
        <f>F6634*(G6634-H6634)</f>
        <v/>
      </c>
      <c r="L6634" s="62">
        <f>K6634-(F6634*I6634)</f>
        <v/>
      </c>
      <c r="M6634" s="64">
        <f>L6634/K6634</f>
        <v/>
      </c>
    </row>
    <row r="6635">
      <c r="A6635" s="58" t="inlineStr">
        <is>
          <t>RT20250617-06634</t>
        </is>
      </c>
      <c r="B6635" s="59" t="inlineStr">
        <is>
          <t>2025-06-17</t>
        </is>
      </c>
      <c r="C6635" s="60" t="inlineStr">
        <is>
          <t>Nimbus Laptop Max-652</t>
        </is>
      </c>
      <c r="D6635" s="58" t="inlineStr">
        <is>
          <t>Electronics</t>
        </is>
      </c>
      <c r="E6635" s="58" t="inlineStr">
        <is>
          <t>East</t>
        </is>
      </c>
      <c r="F6635" s="61" t="n">
        <v>2</v>
      </c>
      <c r="G6635" s="62" t="n">
        <v>1383.21</v>
      </c>
      <c r="H6635" s="63" t="n">
        <v>0.094</v>
      </c>
      <c r="I6635" s="62" t="n">
        <v>1050.45</v>
      </c>
      <c r="J6635" s="58" t="inlineStr">
        <is>
          <t>Store</t>
        </is>
      </c>
      <c r="K6635" s="62">
        <f>F6635*(G6635-H6635)</f>
        <v/>
      </c>
      <c r="L6635" s="62">
        <f>K6635-(F6635*I6635)</f>
        <v/>
      </c>
      <c r="M6635" s="64">
        <f>L6635/K6635</f>
        <v/>
      </c>
    </row>
    <row r="6636">
      <c r="A6636" s="58" t="inlineStr">
        <is>
          <t>RT20250617-06635</t>
        </is>
      </c>
      <c r="B6636" s="59" t="inlineStr">
        <is>
          <t>2025-06-17</t>
        </is>
      </c>
      <c r="C6636" s="60" t="inlineStr">
        <is>
          <t>Metro Pantry Max-180</t>
        </is>
      </c>
      <c r="D6636" s="58" t="inlineStr">
        <is>
          <t>Grocery</t>
        </is>
      </c>
      <c r="E6636" s="58" t="inlineStr">
        <is>
          <t>North</t>
        </is>
      </c>
      <c r="F6636" s="61" t="n">
        <v>7</v>
      </c>
      <c r="G6636" s="62" t="n">
        <v>8.73</v>
      </c>
      <c r="H6636" s="63" t="n">
        <v>0.062</v>
      </c>
      <c r="I6636" s="62" t="n">
        <v>6.64</v>
      </c>
      <c r="J6636" s="58" t="inlineStr">
        <is>
          <t>Online</t>
        </is>
      </c>
      <c r="K6636" s="62">
        <f>F6636*(G6636-H6636)</f>
        <v/>
      </c>
      <c r="L6636" s="62">
        <f>K6636-(F6636*I6636)</f>
        <v/>
      </c>
      <c r="M6636" s="64">
        <f>L6636/K6636</f>
        <v/>
      </c>
    </row>
    <row r="6637">
      <c r="A6637" s="58" t="inlineStr">
        <is>
          <t>RT20250617-06636</t>
        </is>
      </c>
      <c r="B6637" s="59" t="inlineStr">
        <is>
          <t>2025-06-17</t>
        </is>
      </c>
      <c r="C6637" s="60" t="inlineStr">
        <is>
          <t>Polar Laptop Plus-984</t>
        </is>
      </c>
      <c r="D6637" s="58" t="inlineStr">
        <is>
          <t>Electronics</t>
        </is>
      </c>
      <c r="E6637" s="58" t="inlineStr">
        <is>
          <t>Central</t>
        </is>
      </c>
      <c r="F6637" s="61" t="n">
        <v>2</v>
      </c>
      <c r="G6637" s="62" t="n">
        <v>1240.2</v>
      </c>
      <c r="H6637" s="63" t="n">
        <v>0.109</v>
      </c>
      <c r="I6637" s="62" t="n">
        <v>985.1799999999999</v>
      </c>
      <c r="J6637" s="58" t="inlineStr">
        <is>
          <t>Store</t>
        </is>
      </c>
      <c r="K6637" s="62">
        <f>F6637*(G6637-H6637)</f>
        <v/>
      </c>
      <c r="L6637" s="62">
        <f>K6637-(F6637*I6637)</f>
        <v/>
      </c>
      <c r="M6637" s="64">
        <f>L6637/K6637</f>
        <v/>
      </c>
    </row>
    <row r="6638">
      <c r="A6638" s="58" t="inlineStr">
        <is>
          <t>RT20250617-06637</t>
        </is>
      </c>
      <c r="B6638" s="59" t="inlineStr">
        <is>
          <t>2025-06-17</t>
        </is>
      </c>
      <c r="C6638" s="60" t="inlineStr">
        <is>
          <t>Aurora Team Sport Plus-256</t>
        </is>
      </c>
      <c r="D6638" s="58" t="inlineStr">
        <is>
          <t>Sports</t>
        </is>
      </c>
      <c r="E6638" s="58" t="inlineStr">
        <is>
          <t>East</t>
        </is>
      </c>
      <c r="F6638" s="61" t="n">
        <v>2</v>
      </c>
      <c r="G6638" s="62" t="n">
        <v>693.4</v>
      </c>
      <c r="H6638" s="63" t="n">
        <v>0.075</v>
      </c>
      <c r="I6638" s="62" t="n">
        <v>409.03</v>
      </c>
      <c r="J6638" s="58" t="inlineStr">
        <is>
          <t>Store</t>
        </is>
      </c>
      <c r="K6638" s="62">
        <f>F6638*(G6638-H6638)</f>
        <v/>
      </c>
      <c r="L6638" s="62">
        <f>K6638-(F6638*I6638)</f>
        <v/>
      </c>
      <c r="M6638" s="64">
        <f>L6638/K6638</f>
        <v/>
      </c>
    </row>
    <row r="6639">
      <c r="A6639" s="58" t="inlineStr">
        <is>
          <t>RT20250617-06638</t>
        </is>
      </c>
      <c r="B6639" s="59" t="inlineStr">
        <is>
          <t>2025-06-17</t>
        </is>
      </c>
      <c r="C6639" s="60" t="inlineStr">
        <is>
          <t>Polar Laptop Plus-984</t>
        </is>
      </c>
      <c r="D6639" s="58" t="inlineStr">
        <is>
          <t>Electronics</t>
        </is>
      </c>
      <c r="E6639" s="58" t="inlineStr">
        <is>
          <t>West</t>
        </is>
      </c>
      <c r="F6639" s="61" t="n">
        <v>1</v>
      </c>
      <c r="G6639" s="62" t="n">
        <v>1173</v>
      </c>
      <c r="H6639" s="63" t="n">
        <v>0.045</v>
      </c>
      <c r="I6639" s="62" t="n">
        <v>1005.12</v>
      </c>
      <c r="J6639" s="58" t="inlineStr">
        <is>
          <t>Online</t>
        </is>
      </c>
      <c r="K6639" s="62">
        <f>F6639*(G6639-H6639)</f>
        <v/>
      </c>
      <c r="L6639" s="62">
        <f>K6639-(F6639*I6639)</f>
        <v/>
      </c>
      <c r="M6639" s="64">
        <f>L6639/K6639</f>
        <v/>
      </c>
    </row>
    <row r="6640">
      <c r="A6640" s="58" t="inlineStr">
        <is>
          <t>RT20250617-06639</t>
        </is>
      </c>
      <c r="B6640" s="59" t="inlineStr">
        <is>
          <t>2025-06-17</t>
        </is>
      </c>
      <c r="C6640" s="60" t="inlineStr">
        <is>
          <t>Orion Haircare Plus-887</t>
        </is>
      </c>
      <c r="D6640" s="58" t="inlineStr">
        <is>
          <t>Beauty</t>
        </is>
      </c>
      <c r="E6640" s="58" t="inlineStr">
        <is>
          <t>South</t>
        </is>
      </c>
      <c r="F6640" s="61" t="n">
        <v>4</v>
      </c>
      <c r="G6640" s="62" t="n">
        <v>56.74</v>
      </c>
      <c r="H6640" s="63" t="n">
        <v>0.06900000000000001</v>
      </c>
      <c r="I6640" s="62" t="n">
        <v>31.44</v>
      </c>
      <c r="J6640" s="58" t="inlineStr">
        <is>
          <t>Store</t>
        </is>
      </c>
      <c r="K6640" s="62">
        <f>F6640*(G6640-H6640)</f>
        <v/>
      </c>
      <c r="L6640" s="62">
        <f>K6640-(F6640*I6640)</f>
        <v/>
      </c>
      <c r="M6640" s="64">
        <f>L6640/K6640</f>
        <v/>
      </c>
    </row>
    <row r="6641">
      <c r="A6641" s="58" t="inlineStr">
        <is>
          <t>RT20250617-06640</t>
        </is>
      </c>
      <c r="B6641" s="59" t="inlineStr">
        <is>
          <t>2025-06-17</t>
        </is>
      </c>
      <c r="C6641" s="60" t="inlineStr">
        <is>
          <t>Aurora Makeup S-626</t>
        </is>
      </c>
      <c r="D6641" s="58" t="inlineStr">
        <is>
          <t>Beauty</t>
        </is>
      </c>
      <c r="E6641" s="58" t="inlineStr">
        <is>
          <t>East</t>
        </is>
      </c>
      <c r="F6641" s="61" t="n">
        <v>3</v>
      </c>
      <c r="G6641" s="62" t="n">
        <v>93.15000000000001</v>
      </c>
      <c r="H6641" s="63" t="n">
        <v>0.048</v>
      </c>
      <c r="I6641" s="62" t="n">
        <v>63.37</v>
      </c>
      <c r="J6641" s="58" t="inlineStr">
        <is>
          <t>Online</t>
        </is>
      </c>
      <c r="K6641" s="62">
        <f>F6641*(G6641-H6641)</f>
        <v/>
      </c>
      <c r="L6641" s="62">
        <f>K6641-(F6641*I6641)</f>
        <v/>
      </c>
      <c r="M6641" s="64">
        <f>L6641/K6641</f>
        <v/>
      </c>
    </row>
    <row r="6642">
      <c r="A6642" s="58" t="inlineStr">
        <is>
          <t>RT20250617-06641</t>
        </is>
      </c>
      <c r="B6642" s="59" t="inlineStr">
        <is>
          <t>2025-06-17</t>
        </is>
      </c>
      <c r="C6642" s="60" t="inlineStr">
        <is>
          <t>Aurora Makeup S-626</t>
        </is>
      </c>
      <c r="D6642" s="58" t="inlineStr">
        <is>
          <t>Beauty</t>
        </is>
      </c>
      <c r="E6642" s="58" t="inlineStr">
        <is>
          <t>North</t>
        </is>
      </c>
      <c r="F6642" s="61" t="n">
        <v>5</v>
      </c>
      <c r="G6642" s="62" t="n">
        <v>108.49</v>
      </c>
      <c r="H6642" s="63" t="n">
        <v>0</v>
      </c>
      <c r="I6642" s="62" t="n">
        <v>64.56999999999999</v>
      </c>
      <c r="J6642" s="58" t="inlineStr">
        <is>
          <t>Online</t>
        </is>
      </c>
      <c r="K6642" s="62">
        <f>F6642*(G6642-H6642)</f>
        <v/>
      </c>
      <c r="L6642" s="62">
        <f>K6642-(F6642*I6642)</f>
        <v/>
      </c>
      <c r="M6642" s="64">
        <f>L6642/K6642</f>
        <v/>
      </c>
    </row>
    <row r="6643">
      <c r="A6643" s="58" t="inlineStr">
        <is>
          <t>RT20250617-06642</t>
        </is>
      </c>
      <c r="B6643" s="59" t="inlineStr">
        <is>
          <t>2025-06-17</t>
        </is>
      </c>
      <c r="C6643" s="60" t="inlineStr">
        <is>
          <t>Falcon Headphone Plus-789</t>
        </is>
      </c>
      <c r="D6643" s="58" t="inlineStr">
        <is>
          <t>Electronics</t>
        </is>
      </c>
      <c r="E6643" s="58" t="inlineStr">
        <is>
          <t>East</t>
        </is>
      </c>
      <c r="F6643" s="61" t="n">
        <v>1</v>
      </c>
      <c r="G6643" s="62" t="n">
        <v>1626.53</v>
      </c>
      <c r="H6643" s="63" t="n">
        <v>0.068</v>
      </c>
      <c r="I6643" s="62" t="n">
        <v>1288.6</v>
      </c>
      <c r="J6643" s="58" t="inlineStr">
        <is>
          <t>Online</t>
        </is>
      </c>
      <c r="K6643" s="62">
        <f>F6643*(G6643-H6643)</f>
        <v/>
      </c>
      <c r="L6643" s="62">
        <f>K6643-(F6643*I6643)</f>
        <v/>
      </c>
      <c r="M6643" s="64">
        <f>L6643/K6643</f>
        <v/>
      </c>
    </row>
    <row r="6644">
      <c r="A6644" s="58" t="inlineStr">
        <is>
          <t>RT20250617-06643</t>
        </is>
      </c>
      <c r="B6644" s="59" t="inlineStr">
        <is>
          <t>2025-06-17</t>
        </is>
      </c>
      <c r="C6644" s="60" t="inlineStr">
        <is>
          <t>Orion Fragrance Lite-785</t>
        </is>
      </c>
      <c r="D6644" s="58" t="inlineStr">
        <is>
          <t>Beauty</t>
        </is>
      </c>
      <c r="E6644" s="58" t="inlineStr">
        <is>
          <t>South</t>
        </is>
      </c>
      <c r="F6644" s="61" t="n">
        <v>4</v>
      </c>
      <c r="G6644" s="62" t="n">
        <v>44.11</v>
      </c>
      <c r="H6644" s="63" t="n">
        <v>0.039</v>
      </c>
      <c r="I6644" s="62" t="n">
        <v>27.14</v>
      </c>
      <c r="J6644" s="58" t="inlineStr">
        <is>
          <t>Online</t>
        </is>
      </c>
      <c r="K6644" s="62">
        <f>F6644*(G6644-H6644)</f>
        <v/>
      </c>
      <c r="L6644" s="62">
        <f>K6644-(F6644*I6644)</f>
        <v/>
      </c>
      <c r="M6644" s="64">
        <f>L6644/K6644</f>
        <v/>
      </c>
    </row>
    <row r="6645">
      <c r="A6645" s="58" t="inlineStr">
        <is>
          <t>RT20250617-06644</t>
        </is>
      </c>
      <c r="B6645" s="59" t="inlineStr">
        <is>
          <t>2025-06-17</t>
        </is>
      </c>
      <c r="C6645" s="60" t="inlineStr">
        <is>
          <t>Nimbus Furniture Pro-479</t>
        </is>
      </c>
      <c r="D6645" s="58" t="inlineStr">
        <is>
          <t>Office</t>
        </is>
      </c>
      <c r="E6645" s="58" t="inlineStr">
        <is>
          <t>East</t>
        </is>
      </c>
      <c r="F6645" s="61" t="n">
        <v>3</v>
      </c>
      <c r="G6645" s="62" t="n">
        <v>333.27</v>
      </c>
      <c r="H6645" s="63" t="n">
        <v>0.065</v>
      </c>
      <c r="I6645" s="62" t="n">
        <v>242.18</v>
      </c>
      <c r="J6645" s="58" t="inlineStr">
        <is>
          <t>Store</t>
        </is>
      </c>
      <c r="K6645" s="62">
        <f>F6645*(G6645-H6645)</f>
        <v/>
      </c>
      <c r="L6645" s="62">
        <f>K6645-(F6645*I6645)</f>
        <v/>
      </c>
      <c r="M6645" s="64">
        <f>L6645/K6645</f>
        <v/>
      </c>
    </row>
    <row r="6646">
      <c r="A6646" s="58" t="inlineStr">
        <is>
          <t>RT20250617-06645</t>
        </is>
      </c>
      <c r="B6646" s="59" t="inlineStr">
        <is>
          <t>2025-06-17</t>
        </is>
      </c>
      <c r="C6646" s="60" t="inlineStr">
        <is>
          <t>Nimbus Cycling Plus-911</t>
        </is>
      </c>
      <c r="D6646" s="58" t="inlineStr">
        <is>
          <t>Sports</t>
        </is>
      </c>
      <c r="E6646" s="58" t="inlineStr">
        <is>
          <t>East</t>
        </is>
      </c>
      <c r="F6646" s="61" t="n">
        <v>3</v>
      </c>
      <c r="G6646" s="62" t="n">
        <v>618.8099999999999</v>
      </c>
      <c r="H6646" s="63" t="n">
        <v>0.023</v>
      </c>
      <c r="I6646" s="62" t="n">
        <v>384.46</v>
      </c>
      <c r="J6646" s="58" t="inlineStr">
        <is>
          <t>Online</t>
        </is>
      </c>
      <c r="K6646" s="62">
        <f>F6646*(G6646-H6646)</f>
        <v/>
      </c>
      <c r="L6646" s="62">
        <f>K6646-(F6646*I6646)</f>
        <v/>
      </c>
      <c r="M6646" s="64">
        <f>L6646/K6646</f>
        <v/>
      </c>
    </row>
    <row r="6647">
      <c r="A6647" s="58" t="inlineStr">
        <is>
          <t>RT20250617-06646</t>
        </is>
      </c>
      <c r="B6647" s="59" t="inlineStr">
        <is>
          <t>2025-06-17</t>
        </is>
      </c>
      <c r="C6647" s="60" t="inlineStr">
        <is>
          <t>Polar Women Max-927</t>
        </is>
      </c>
      <c r="D6647" s="58" t="inlineStr">
        <is>
          <t>Apparel</t>
        </is>
      </c>
      <c r="E6647" s="58" t="inlineStr">
        <is>
          <t>West</t>
        </is>
      </c>
      <c r="F6647" s="61" t="n">
        <v>2</v>
      </c>
      <c r="G6647" s="62" t="n">
        <v>119.71</v>
      </c>
      <c r="H6647" s="63" t="n">
        <v>0.095</v>
      </c>
      <c r="I6647" s="62" t="n">
        <v>63.49</v>
      </c>
      <c r="J6647" s="58" t="inlineStr">
        <is>
          <t>Store</t>
        </is>
      </c>
      <c r="K6647" s="62">
        <f>F6647*(G6647-H6647)</f>
        <v/>
      </c>
      <c r="L6647" s="62">
        <f>K6647-(F6647*I6647)</f>
        <v/>
      </c>
      <c r="M6647" s="64">
        <f>L6647/K6647</f>
        <v/>
      </c>
    </row>
    <row r="6648">
      <c r="A6648" s="58" t="inlineStr">
        <is>
          <t>RT20250617-06647</t>
        </is>
      </c>
      <c r="B6648" s="59" t="inlineStr">
        <is>
          <t>2025-06-17</t>
        </is>
      </c>
      <c r="C6648" s="60" t="inlineStr">
        <is>
          <t>Orion Laptop S-350</t>
        </is>
      </c>
      <c r="D6648" s="58" t="inlineStr">
        <is>
          <t>Electronics</t>
        </is>
      </c>
      <c r="E6648" s="58" t="inlineStr">
        <is>
          <t>South</t>
        </is>
      </c>
      <c r="F6648" s="61" t="n">
        <v>1</v>
      </c>
      <c r="G6648" s="62" t="n">
        <v>1405.69</v>
      </c>
      <c r="H6648" s="63" t="n">
        <v>0.073</v>
      </c>
      <c r="I6648" s="62" t="n">
        <v>1053.82</v>
      </c>
      <c r="J6648" s="58" t="inlineStr">
        <is>
          <t>Store</t>
        </is>
      </c>
      <c r="K6648" s="62">
        <f>F6648*(G6648-H6648)</f>
        <v/>
      </c>
      <c r="L6648" s="62">
        <f>K6648-(F6648*I6648)</f>
        <v/>
      </c>
      <c r="M6648" s="64">
        <f>L6648/K6648</f>
        <v/>
      </c>
    </row>
    <row r="6649">
      <c r="A6649" s="58" t="inlineStr">
        <is>
          <t>RT20250617-06648</t>
        </is>
      </c>
      <c r="B6649" s="59" t="inlineStr">
        <is>
          <t>2025-06-17</t>
        </is>
      </c>
      <c r="C6649" s="60" t="inlineStr">
        <is>
          <t>Nimbus Decor Lite-385</t>
        </is>
      </c>
      <c r="D6649" s="58" t="inlineStr">
        <is>
          <t>Home</t>
        </is>
      </c>
      <c r="E6649" s="58" t="inlineStr">
        <is>
          <t>East</t>
        </is>
      </c>
      <c r="F6649" s="61" t="n">
        <v>1</v>
      </c>
      <c r="G6649" s="62" t="n">
        <v>629.7</v>
      </c>
      <c r="H6649" s="63" t="n">
        <v>0.064</v>
      </c>
      <c r="I6649" s="62" t="n">
        <v>392.17</v>
      </c>
      <c r="J6649" s="58" t="inlineStr">
        <is>
          <t>Online</t>
        </is>
      </c>
      <c r="K6649" s="62">
        <f>F6649*(G6649-H6649)</f>
        <v/>
      </c>
      <c r="L6649" s="62">
        <f>K6649-(F6649*I6649)</f>
        <v/>
      </c>
      <c r="M6649" s="64">
        <f>L6649/K6649</f>
        <v/>
      </c>
    </row>
    <row r="6650">
      <c r="A6650" s="58" t="inlineStr">
        <is>
          <t>RT20250617-06649</t>
        </is>
      </c>
      <c r="B6650" s="59" t="inlineStr">
        <is>
          <t>2025-06-17</t>
        </is>
      </c>
      <c r="C6650" s="60" t="inlineStr">
        <is>
          <t>Orion Haircare Plus-887</t>
        </is>
      </c>
      <c r="D6650" s="58" t="inlineStr">
        <is>
          <t>Beauty</t>
        </is>
      </c>
      <c r="E6650" s="58" t="inlineStr">
        <is>
          <t>South</t>
        </is>
      </c>
      <c r="F6650" s="61" t="n">
        <v>1</v>
      </c>
      <c r="G6650" s="62" t="n">
        <v>44.64</v>
      </c>
      <c r="H6650" s="63" t="n">
        <v>0.041</v>
      </c>
      <c r="I6650" s="62" t="n">
        <v>30.89</v>
      </c>
      <c r="J6650" s="58" t="inlineStr">
        <is>
          <t>Online</t>
        </is>
      </c>
      <c r="K6650" s="62">
        <f>F6650*(G6650-H6650)</f>
        <v/>
      </c>
      <c r="L6650" s="62">
        <f>K6650-(F6650*I6650)</f>
        <v/>
      </c>
      <c r="M6650" s="64">
        <f>L6650/K6650</f>
        <v/>
      </c>
    </row>
    <row r="6651">
      <c r="A6651" s="58" t="inlineStr">
        <is>
          <t>RT20250617-06650</t>
        </is>
      </c>
      <c r="B6651" s="59" t="inlineStr">
        <is>
          <t>2025-06-17</t>
        </is>
      </c>
      <c r="C6651" s="60" t="inlineStr">
        <is>
          <t>Orion Laptop S-350</t>
        </is>
      </c>
      <c r="D6651" s="58" t="inlineStr">
        <is>
          <t>Electronics</t>
        </is>
      </c>
      <c r="E6651" s="58" t="inlineStr">
        <is>
          <t>East</t>
        </is>
      </c>
      <c r="F6651" s="61" t="n">
        <v>1</v>
      </c>
      <c r="G6651" s="62" t="n">
        <v>1479</v>
      </c>
      <c r="H6651" s="63" t="n">
        <v>0.038</v>
      </c>
      <c r="I6651" s="62" t="n">
        <v>1057.26</v>
      </c>
      <c r="J6651" s="58" t="inlineStr">
        <is>
          <t>Phone</t>
        </is>
      </c>
      <c r="K6651" s="62">
        <f>F6651*(G6651-H6651)</f>
        <v/>
      </c>
      <c r="L6651" s="62">
        <f>K6651-(F6651*I6651)</f>
        <v/>
      </c>
      <c r="M6651" s="64">
        <f>L6651/K6651</f>
        <v/>
      </c>
    </row>
    <row r="6652">
      <c r="A6652" s="58" t="inlineStr">
        <is>
          <t>RT20250617-06651</t>
        </is>
      </c>
      <c r="B6652" s="59" t="inlineStr">
        <is>
          <t>2025-06-17</t>
        </is>
      </c>
      <c r="C6652" s="60" t="inlineStr">
        <is>
          <t>Aurora Appliance Lite-109</t>
        </is>
      </c>
      <c r="D6652" s="58" t="inlineStr">
        <is>
          <t>Home</t>
        </is>
      </c>
      <c r="E6652" s="58" t="inlineStr">
        <is>
          <t>South</t>
        </is>
      </c>
      <c r="F6652" s="61" t="n">
        <v>2</v>
      </c>
      <c r="G6652" s="62" t="n">
        <v>280.91</v>
      </c>
      <c r="H6652" s="63" t="n">
        <v>0.077</v>
      </c>
      <c r="I6652" s="62" t="n">
        <v>203.44</v>
      </c>
      <c r="J6652" s="58" t="inlineStr">
        <is>
          <t>Online</t>
        </is>
      </c>
      <c r="K6652" s="62">
        <f>F6652*(G6652-H6652)</f>
        <v/>
      </c>
      <c r="L6652" s="62">
        <f>K6652-(F6652*I6652)</f>
        <v/>
      </c>
      <c r="M6652" s="64">
        <f>L6652/K6652</f>
        <v/>
      </c>
    </row>
    <row r="6653">
      <c r="A6653" s="58" t="inlineStr">
        <is>
          <t>RT20250617-06652</t>
        </is>
      </c>
      <c r="B6653" s="59" t="inlineStr">
        <is>
          <t>2025-06-17</t>
        </is>
      </c>
      <c r="C6653" s="60" t="inlineStr">
        <is>
          <t>Aurora Wearable Lite-162</t>
        </is>
      </c>
      <c r="D6653" s="58" t="inlineStr">
        <is>
          <t>Electronics</t>
        </is>
      </c>
      <c r="E6653" s="58" t="inlineStr">
        <is>
          <t>West</t>
        </is>
      </c>
      <c r="F6653" s="61" t="n">
        <v>1</v>
      </c>
      <c r="G6653" s="62" t="n">
        <v>1377.78</v>
      </c>
      <c r="H6653" s="63" t="n">
        <v>0.059</v>
      </c>
      <c r="I6653" s="62" t="n">
        <v>1169.58</v>
      </c>
      <c r="J6653" s="58" t="inlineStr">
        <is>
          <t>Online</t>
        </is>
      </c>
      <c r="K6653" s="62">
        <f>F6653*(G6653-H6653)</f>
        <v/>
      </c>
      <c r="L6653" s="62">
        <f>K6653-(F6653*I6653)</f>
        <v/>
      </c>
      <c r="M6653" s="64">
        <f>L6653/K6653</f>
        <v/>
      </c>
    </row>
    <row r="6654">
      <c r="A6654" s="58" t="inlineStr">
        <is>
          <t>RT20250617-06653</t>
        </is>
      </c>
      <c r="B6654" s="59" t="inlineStr">
        <is>
          <t>2025-06-17</t>
        </is>
      </c>
      <c r="C6654" s="60" t="inlineStr">
        <is>
          <t>Falcon Skincare X-334</t>
        </is>
      </c>
      <c r="D6654" s="58" t="inlineStr">
        <is>
          <t>Beauty</t>
        </is>
      </c>
      <c r="E6654" s="58" t="inlineStr">
        <is>
          <t>Central</t>
        </is>
      </c>
      <c r="F6654" s="61" t="n">
        <v>1</v>
      </c>
      <c r="G6654" s="62" t="n">
        <v>94.59</v>
      </c>
      <c r="H6654" s="63" t="n">
        <v>0.073</v>
      </c>
      <c r="I6654" s="62" t="n">
        <v>65.54000000000001</v>
      </c>
      <c r="J6654" s="58" t="inlineStr">
        <is>
          <t>Online</t>
        </is>
      </c>
      <c r="K6654" s="62">
        <f>F6654*(G6654-H6654)</f>
        <v/>
      </c>
      <c r="L6654" s="62">
        <f>K6654-(F6654*I6654)</f>
        <v/>
      </c>
      <c r="M6654" s="64">
        <f>L6654/K6654</f>
        <v/>
      </c>
    </row>
    <row r="6655">
      <c r="A6655" s="58" t="inlineStr">
        <is>
          <t>RT20250617-06654</t>
        </is>
      </c>
      <c r="B6655" s="59" t="inlineStr">
        <is>
          <t>2025-06-17</t>
        </is>
      </c>
      <c r="C6655" s="60" t="inlineStr">
        <is>
          <t>Aurora Appliance Lite-109</t>
        </is>
      </c>
      <c r="D6655" s="58" t="inlineStr">
        <is>
          <t>Home</t>
        </is>
      </c>
      <c r="E6655" s="58" t="inlineStr">
        <is>
          <t>East</t>
        </is>
      </c>
      <c r="F6655" s="61" t="n">
        <v>2</v>
      </c>
      <c r="G6655" s="62" t="n">
        <v>317.63</v>
      </c>
      <c r="H6655" s="63" t="n">
        <v>0.113</v>
      </c>
      <c r="I6655" s="62" t="n">
        <v>199.33</v>
      </c>
      <c r="J6655" s="58" t="inlineStr">
        <is>
          <t>Store</t>
        </is>
      </c>
      <c r="K6655" s="62">
        <f>F6655*(G6655-H6655)</f>
        <v/>
      </c>
      <c r="L6655" s="62">
        <f>K6655-(F6655*I6655)</f>
        <v/>
      </c>
      <c r="M6655" s="64">
        <f>L6655/K6655</f>
        <v/>
      </c>
    </row>
    <row r="6656">
      <c r="A6656" s="58" t="inlineStr">
        <is>
          <t>RT20250617-06655</t>
        </is>
      </c>
      <c r="B6656" s="59" t="inlineStr">
        <is>
          <t>2025-06-17</t>
        </is>
      </c>
      <c r="C6656" s="60" t="inlineStr">
        <is>
          <t>Falcon Team Sport Lite-268</t>
        </is>
      </c>
      <c r="D6656" s="58" t="inlineStr">
        <is>
          <t>Sports</t>
        </is>
      </c>
      <c r="E6656" s="58" t="inlineStr">
        <is>
          <t>Central</t>
        </is>
      </c>
      <c r="F6656" s="61" t="n">
        <v>3</v>
      </c>
      <c r="G6656" s="62" t="n">
        <v>610.47</v>
      </c>
      <c r="H6656" s="63" t="n">
        <v>0.074</v>
      </c>
      <c r="I6656" s="62" t="n">
        <v>445.82</v>
      </c>
      <c r="J6656" s="58" t="inlineStr">
        <is>
          <t>Online</t>
        </is>
      </c>
      <c r="K6656" s="62">
        <f>F6656*(G6656-H6656)</f>
        <v/>
      </c>
      <c r="L6656" s="62">
        <f>K6656-(F6656*I6656)</f>
        <v/>
      </c>
      <c r="M6656" s="64">
        <f>L6656/K6656</f>
        <v/>
      </c>
    </row>
    <row r="6657">
      <c r="A6657" s="58" t="inlineStr">
        <is>
          <t>RT20250617-06656</t>
        </is>
      </c>
      <c r="B6657" s="59" t="inlineStr">
        <is>
          <t>2025-06-17</t>
        </is>
      </c>
      <c r="C6657" s="60" t="inlineStr">
        <is>
          <t>Vertex Appliance S-159</t>
        </is>
      </c>
      <c r="D6657" s="58" t="inlineStr">
        <is>
          <t>Home</t>
        </is>
      </c>
      <c r="E6657" s="58" t="inlineStr">
        <is>
          <t>Central</t>
        </is>
      </c>
      <c r="F6657" s="61" t="n">
        <v>1</v>
      </c>
      <c r="G6657" s="62" t="n">
        <v>421.04</v>
      </c>
      <c r="H6657" s="63" t="n">
        <v>0.058</v>
      </c>
      <c r="I6657" s="62" t="n">
        <v>291.5</v>
      </c>
      <c r="J6657" s="58" t="inlineStr">
        <is>
          <t>Store</t>
        </is>
      </c>
      <c r="K6657" s="62">
        <f>F6657*(G6657-H6657)</f>
        <v/>
      </c>
      <c r="L6657" s="62">
        <f>K6657-(F6657*I6657)</f>
        <v/>
      </c>
      <c r="M6657" s="64">
        <f>L6657/K6657</f>
        <v/>
      </c>
    </row>
    <row r="6658">
      <c r="A6658" s="58" t="inlineStr">
        <is>
          <t>RT20250617-06657</t>
        </is>
      </c>
      <c r="B6658" s="59" t="inlineStr">
        <is>
          <t>2025-06-17</t>
        </is>
      </c>
      <c r="C6658" s="60" t="inlineStr">
        <is>
          <t>Falcon Bedding S-674</t>
        </is>
      </c>
      <c r="D6658" s="58" t="inlineStr">
        <is>
          <t>Home</t>
        </is>
      </c>
      <c r="E6658" s="58" t="inlineStr">
        <is>
          <t>West</t>
        </is>
      </c>
      <c r="F6658" s="61" t="n">
        <v>1</v>
      </c>
      <c r="G6658" s="62" t="n">
        <v>615.2</v>
      </c>
      <c r="H6658" s="63" t="n">
        <v>0.065</v>
      </c>
      <c r="I6658" s="62" t="n">
        <v>460.13</v>
      </c>
      <c r="J6658" s="58" t="inlineStr">
        <is>
          <t>Online</t>
        </is>
      </c>
      <c r="K6658" s="62">
        <f>F6658*(G6658-H6658)</f>
        <v/>
      </c>
      <c r="L6658" s="62">
        <f>K6658-(F6658*I6658)</f>
        <v/>
      </c>
      <c r="M6658" s="64">
        <f>L6658/K6658</f>
        <v/>
      </c>
    </row>
    <row r="6659">
      <c r="A6659" s="58" t="inlineStr">
        <is>
          <t>RT20250617-06658</t>
        </is>
      </c>
      <c r="B6659" s="59" t="inlineStr">
        <is>
          <t>2025-06-17</t>
        </is>
      </c>
      <c r="C6659" s="60" t="inlineStr">
        <is>
          <t>Metro Smartphone Max-773</t>
        </is>
      </c>
      <c r="D6659" s="58" t="inlineStr">
        <is>
          <t>Electronics</t>
        </is>
      </c>
      <c r="E6659" s="58" t="inlineStr">
        <is>
          <t>West</t>
        </is>
      </c>
      <c r="F6659" s="61" t="n">
        <v>2</v>
      </c>
      <c r="G6659" s="62" t="n">
        <v>1510.5</v>
      </c>
      <c r="H6659" s="63" t="n">
        <v>0</v>
      </c>
      <c r="I6659" s="62" t="n">
        <v>1106.22</v>
      </c>
      <c r="J6659" s="58" t="inlineStr">
        <is>
          <t>Store</t>
        </is>
      </c>
      <c r="K6659" s="62">
        <f>F6659*(G6659-H6659)</f>
        <v/>
      </c>
      <c r="L6659" s="62">
        <f>K6659-(F6659*I6659)</f>
        <v/>
      </c>
      <c r="M6659" s="64">
        <f>L6659/K6659</f>
        <v/>
      </c>
    </row>
    <row r="6660">
      <c r="A6660" s="58" t="inlineStr">
        <is>
          <t>RT20250617-06659</t>
        </is>
      </c>
      <c r="B6660" s="59" t="inlineStr">
        <is>
          <t>2025-06-17</t>
        </is>
      </c>
      <c r="C6660" s="60" t="inlineStr">
        <is>
          <t>Orion Haircare Plus-887</t>
        </is>
      </c>
      <c r="D6660" s="58" t="inlineStr">
        <is>
          <t>Beauty</t>
        </is>
      </c>
      <c r="E6660" s="58" t="inlineStr">
        <is>
          <t>West</t>
        </is>
      </c>
      <c r="F6660" s="61" t="n">
        <v>4</v>
      </c>
      <c r="G6660" s="62" t="n">
        <v>52.06</v>
      </c>
      <c r="H6660" s="63" t="n">
        <v>0.07000000000000001</v>
      </c>
      <c r="I6660" s="62" t="n">
        <v>31.54</v>
      </c>
      <c r="J6660" s="58" t="inlineStr">
        <is>
          <t>Online</t>
        </is>
      </c>
      <c r="K6660" s="62">
        <f>F6660*(G6660-H6660)</f>
        <v/>
      </c>
      <c r="L6660" s="62">
        <f>K6660-(F6660*I6660)</f>
        <v/>
      </c>
      <c r="M6660" s="64">
        <f>L6660/K6660</f>
        <v/>
      </c>
    </row>
    <row r="6661">
      <c r="A6661" s="58" t="inlineStr">
        <is>
          <t>RT20250617-06660</t>
        </is>
      </c>
      <c r="B6661" s="59" t="inlineStr">
        <is>
          <t>2025-06-17</t>
        </is>
      </c>
      <c r="C6661" s="60" t="inlineStr">
        <is>
          <t>Aurora Printer Plus-991</t>
        </is>
      </c>
      <c r="D6661" s="58" t="inlineStr">
        <is>
          <t>Office</t>
        </is>
      </c>
      <c r="E6661" s="58" t="inlineStr">
        <is>
          <t>West</t>
        </is>
      </c>
      <c r="F6661" s="61" t="n">
        <v>1</v>
      </c>
      <c r="G6661" s="62" t="n">
        <v>512.65</v>
      </c>
      <c r="H6661" s="63" t="n">
        <v>0.091</v>
      </c>
      <c r="I6661" s="62" t="n">
        <v>372.35</v>
      </c>
      <c r="J6661" s="58" t="inlineStr">
        <is>
          <t>Store</t>
        </is>
      </c>
      <c r="K6661" s="62">
        <f>F6661*(G6661-H6661)</f>
        <v/>
      </c>
      <c r="L6661" s="62">
        <f>K6661-(F6661*I6661)</f>
        <v/>
      </c>
      <c r="M6661" s="64">
        <f>L6661/K6661</f>
        <v/>
      </c>
    </row>
    <row r="6662">
      <c r="A6662" s="58" t="inlineStr">
        <is>
          <t>RT20250617-06661</t>
        </is>
      </c>
      <c r="B6662" s="59" t="inlineStr">
        <is>
          <t>2025-06-17</t>
        </is>
      </c>
      <c r="C6662" s="60" t="inlineStr">
        <is>
          <t>Polar Beverage S-258</t>
        </is>
      </c>
      <c r="D6662" s="58" t="inlineStr">
        <is>
          <t>Grocery</t>
        </is>
      </c>
      <c r="E6662" s="58" t="inlineStr">
        <is>
          <t>Central</t>
        </is>
      </c>
      <c r="F6662" s="61" t="n">
        <v>3</v>
      </c>
      <c r="G6662" s="62" t="n">
        <v>12.48</v>
      </c>
      <c r="H6662" s="63" t="n">
        <v>0.052</v>
      </c>
      <c r="I6662" s="62" t="n">
        <v>9.619999999999999</v>
      </c>
      <c r="J6662" s="58" t="inlineStr">
        <is>
          <t>Store</t>
        </is>
      </c>
      <c r="K6662" s="62">
        <f>F6662*(G6662-H6662)</f>
        <v/>
      </c>
      <c r="L6662" s="62">
        <f>K6662-(F6662*I6662)</f>
        <v/>
      </c>
      <c r="M6662" s="64">
        <f>L6662/K6662</f>
        <v/>
      </c>
    </row>
    <row r="6663">
      <c r="A6663" s="58" t="inlineStr">
        <is>
          <t>RT20250617-06662</t>
        </is>
      </c>
      <c r="B6663" s="59" t="inlineStr">
        <is>
          <t>2025-06-17</t>
        </is>
      </c>
      <c r="C6663" s="60" t="inlineStr">
        <is>
          <t>Aurora Household Plus-146</t>
        </is>
      </c>
      <c r="D6663" s="58" t="inlineStr">
        <is>
          <t>Grocery</t>
        </is>
      </c>
      <c r="E6663" s="58" t="inlineStr">
        <is>
          <t>North</t>
        </is>
      </c>
      <c r="F6663" s="61" t="n">
        <v>2</v>
      </c>
      <c r="G6663" s="62" t="n">
        <v>6.03</v>
      </c>
      <c r="H6663" s="63" t="n">
        <v>0.052</v>
      </c>
      <c r="I6663" s="62" t="n">
        <v>4.55</v>
      </c>
      <c r="J6663" s="58" t="inlineStr">
        <is>
          <t>Online</t>
        </is>
      </c>
      <c r="K6663" s="62">
        <f>F6663*(G6663-H6663)</f>
        <v/>
      </c>
      <c r="L6663" s="62">
        <f>K6663-(F6663*I6663)</f>
        <v/>
      </c>
      <c r="M6663" s="64">
        <f>L6663/K6663</f>
        <v/>
      </c>
    </row>
    <row r="6664">
      <c r="A6664" s="58" t="inlineStr">
        <is>
          <t>RT20250617-06663</t>
        </is>
      </c>
      <c r="B6664" s="59" t="inlineStr">
        <is>
          <t>2025-06-17</t>
        </is>
      </c>
      <c r="C6664" s="60" t="inlineStr">
        <is>
          <t>Polar Supplie Lite-348</t>
        </is>
      </c>
      <c r="D6664" s="58" t="inlineStr">
        <is>
          <t>Office</t>
        </is>
      </c>
      <c r="E6664" s="58" t="inlineStr">
        <is>
          <t>Central</t>
        </is>
      </c>
      <c r="F6664" s="61" t="n">
        <v>2</v>
      </c>
      <c r="G6664" s="62" t="n">
        <v>441.36</v>
      </c>
      <c r="H6664" s="63" t="n">
        <v>0.047</v>
      </c>
      <c r="I6664" s="62" t="n">
        <v>311.62</v>
      </c>
      <c r="J6664" s="58" t="inlineStr">
        <is>
          <t>Store</t>
        </is>
      </c>
      <c r="K6664" s="62">
        <f>F6664*(G6664-H6664)</f>
        <v/>
      </c>
      <c r="L6664" s="62">
        <f>K6664-(F6664*I6664)</f>
        <v/>
      </c>
      <c r="M6664" s="64">
        <f>L6664/K6664</f>
        <v/>
      </c>
    </row>
    <row r="6665">
      <c r="A6665" s="58" t="inlineStr">
        <is>
          <t>RT20250617-06664</t>
        </is>
      </c>
      <c r="B6665" s="59" t="inlineStr">
        <is>
          <t>2025-06-17</t>
        </is>
      </c>
      <c r="C6665" s="60" t="inlineStr">
        <is>
          <t>Falcon Kitchen X-130</t>
        </is>
      </c>
      <c r="D6665" s="58" t="inlineStr">
        <is>
          <t>Home</t>
        </is>
      </c>
      <c r="E6665" s="58" t="inlineStr">
        <is>
          <t>Central</t>
        </is>
      </c>
      <c r="F6665" s="61" t="n">
        <v>2</v>
      </c>
      <c r="G6665" s="62" t="n">
        <v>433.42</v>
      </c>
      <c r="H6665" s="63" t="n">
        <v>0.078</v>
      </c>
      <c r="I6665" s="62" t="n">
        <v>294.57</v>
      </c>
      <c r="J6665" s="58" t="inlineStr">
        <is>
          <t>Store</t>
        </is>
      </c>
      <c r="K6665" s="62">
        <f>F6665*(G6665-H6665)</f>
        <v/>
      </c>
      <c r="L6665" s="62">
        <f>K6665-(F6665*I6665)</f>
        <v/>
      </c>
      <c r="M6665" s="64">
        <f>L6665/K6665</f>
        <v/>
      </c>
    </row>
    <row r="6666">
      <c r="A6666" s="58" t="inlineStr">
        <is>
          <t>RT20250617-06665</t>
        </is>
      </c>
      <c r="B6666" s="59" t="inlineStr">
        <is>
          <t>2025-06-17</t>
        </is>
      </c>
      <c r="C6666" s="60" t="inlineStr">
        <is>
          <t>Aurora Kid Plus-151</t>
        </is>
      </c>
      <c r="D6666" s="58" t="inlineStr">
        <is>
          <t>Apparel</t>
        </is>
      </c>
      <c r="E6666" s="58" t="inlineStr">
        <is>
          <t>Central</t>
        </is>
      </c>
      <c r="F6666" s="61" t="n">
        <v>3</v>
      </c>
      <c r="G6666" s="62" t="n">
        <v>125.2</v>
      </c>
      <c r="H6666" s="63" t="n">
        <v>0.07099999999999999</v>
      </c>
      <c r="I6666" s="62" t="n">
        <v>63.19</v>
      </c>
      <c r="J6666" s="58" t="inlineStr">
        <is>
          <t>Phone</t>
        </is>
      </c>
      <c r="K6666" s="62">
        <f>F6666*(G6666-H6666)</f>
        <v/>
      </c>
      <c r="L6666" s="62">
        <f>K6666-(F6666*I6666)</f>
        <v/>
      </c>
      <c r="M6666" s="64">
        <f>L6666/K6666</f>
        <v/>
      </c>
    </row>
    <row r="6667">
      <c r="A6667" s="58" t="inlineStr">
        <is>
          <t>RT20250617-06666</t>
        </is>
      </c>
      <c r="B6667" s="59" t="inlineStr">
        <is>
          <t>2025-06-17</t>
        </is>
      </c>
      <c r="C6667" s="60" t="inlineStr">
        <is>
          <t>Nimbus Storage Plus-646</t>
        </is>
      </c>
      <c r="D6667" s="58" t="inlineStr">
        <is>
          <t>Office</t>
        </is>
      </c>
      <c r="E6667" s="58" t="inlineStr">
        <is>
          <t>East</t>
        </is>
      </c>
      <c r="F6667" s="61" t="n">
        <v>2</v>
      </c>
      <c r="G6667" s="62" t="n">
        <v>467.03</v>
      </c>
      <c r="H6667" s="63" t="n">
        <v>0.067</v>
      </c>
      <c r="I6667" s="62" t="n">
        <v>321.83</v>
      </c>
      <c r="J6667" s="58" t="inlineStr">
        <is>
          <t>Store</t>
        </is>
      </c>
      <c r="K6667" s="62">
        <f>F6667*(G6667-H6667)</f>
        <v/>
      </c>
      <c r="L6667" s="62">
        <f>K6667-(F6667*I6667)</f>
        <v/>
      </c>
      <c r="M6667" s="64">
        <f>L6667/K6667</f>
        <v/>
      </c>
    </row>
    <row r="6668">
      <c r="A6668" s="58" t="inlineStr">
        <is>
          <t>RT20250617-06667</t>
        </is>
      </c>
      <c r="B6668" s="59" t="inlineStr">
        <is>
          <t>2025-06-17</t>
        </is>
      </c>
      <c r="C6668" s="60" t="inlineStr">
        <is>
          <t>Vertex Men X-995</t>
        </is>
      </c>
      <c r="D6668" s="58" t="inlineStr">
        <is>
          <t>Apparel</t>
        </is>
      </c>
      <c r="E6668" s="58" t="inlineStr">
        <is>
          <t>West</t>
        </is>
      </c>
      <c r="F6668" s="61" t="n">
        <v>3</v>
      </c>
      <c r="G6668" s="62" t="n">
        <v>101.22</v>
      </c>
      <c r="H6668" s="63" t="n">
        <v>0.037</v>
      </c>
      <c r="I6668" s="62" t="n">
        <v>59.23</v>
      </c>
      <c r="J6668" s="58" t="inlineStr">
        <is>
          <t>Store</t>
        </is>
      </c>
      <c r="K6668" s="62">
        <f>F6668*(G6668-H6668)</f>
        <v/>
      </c>
      <c r="L6668" s="62">
        <f>K6668-(F6668*I6668)</f>
        <v/>
      </c>
      <c r="M6668" s="64">
        <f>L6668/K6668</f>
        <v/>
      </c>
    </row>
    <row r="6669">
      <c r="A6669" s="58" t="inlineStr">
        <is>
          <t>RT20250617-06668</t>
        </is>
      </c>
      <c r="B6669" s="59" t="inlineStr">
        <is>
          <t>2025-06-17</t>
        </is>
      </c>
      <c r="C6669" s="60" t="inlineStr">
        <is>
          <t>Vertex Appliance S-296</t>
        </is>
      </c>
      <c r="D6669" s="58" t="inlineStr">
        <is>
          <t>Home</t>
        </is>
      </c>
      <c r="E6669" s="58" t="inlineStr">
        <is>
          <t>North</t>
        </is>
      </c>
      <c r="F6669" s="61" t="n">
        <v>1</v>
      </c>
      <c r="G6669" s="62" t="n">
        <v>487.13</v>
      </c>
      <c r="H6669" s="63" t="n">
        <v>0.008</v>
      </c>
      <c r="I6669" s="62" t="n">
        <v>360.17</v>
      </c>
      <c r="J6669" s="58" t="inlineStr">
        <is>
          <t>Store</t>
        </is>
      </c>
      <c r="K6669" s="62">
        <f>F6669*(G6669-H6669)</f>
        <v/>
      </c>
      <c r="L6669" s="62">
        <f>K6669-(F6669*I6669)</f>
        <v/>
      </c>
      <c r="M6669" s="64">
        <f>L6669/K6669</f>
        <v/>
      </c>
    </row>
    <row r="6670">
      <c r="A6670" s="58" t="inlineStr">
        <is>
          <t>RT20250618-06669</t>
        </is>
      </c>
      <c r="B6670" s="59" t="inlineStr">
        <is>
          <t>2025-06-18</t>
        </is>
      </c>
      <c r="C6670" s="60" t="inlineStr">
        <is>
          <t>Falcon Household Plus-172</t>
        </is>
      </c>
      <c r="D6670" s="58" t="inlineStr">
        <is>
          <t>Grocery</t>
        </is>
      </c>
      <c r="E6670" s="58" t="inlineStr">
        <is>
          <t>East</t>
        </is>
      </c>
      <c r="F6670" s="61" t="n">
        <v>8</v>
      </c>
      <c r="G6670" s="62" t="n">
        <v>21.89</v>
      </c>
      <c r="H6670" s="63" t="n">
        <v>0.117</v>
      </c>
      <c r="I6670" s="62" t="n">
        <v>16.49</v>
      </c>
      <c r="J6670" s="58" t="inlineStr">
        <is>
          <t>Online</t>
        </is>
      </c>
      <c r="K6670" s="62">
        <f>F6670*(G6670-H6670)</f>
        <v/>
      </c>
      <c r="L6670" s="62">
        <f>K6670-(F6670*I6670)</f>
        <v/>
      </c>
      <c r="M6670" s="64">
        <f>L6670/K6670</f>
        <v/>
      </c>
    </row>
    <row r="6671">
      <c r="A6671" s="58" t="inlineStr">
        <is>
          <t>RT20250618-06670</t>
        </is>
      </c>
      <c r="B6671" s="59" t="inlineStr">
        <is>
          <t>2025-06-18</t>
        </is>
      </c>
      <c r="C6671" s="60" t="inlineStr">
        <is>
          <t>Metro Accessorie Max-316</t>
        </is>
      </c>
      <c r="D6671" s="58" t="inlineStr">
        <is>
          <t>Apparel</t>
        </is>
      </c>
      <c r="E6671" s="58" t="inlineStr">
        <is>
          <t>West</t>
        </is>
      </c>
      <c r="F6671" s="61" t="n">
        <v>1</v>
      </c>
      <c r="G6671" s="62" t="n">
        <v>168.85</v>
      </c>
      <c r="H6671" s="63" t="n">
        <v>0.043</v>
      </c>
      <c r="I6671" s="62" t="n">
        <v>95.5</v>
      </c>
      <c r="J6671" s="58" t="inlineStr">
        <is>
          <t>Online</t>
        </is>
      </c>
      <c r="K6671" s="62">
        <f>F6671*(G6671-H6671)</f>
        <v/>
      </c>
      <c r="L6671" s="62">
        <f>K6671-(F6671*I6671)</f>
        <v/>
      </c>
      <c r="M6671" s="64">
        <f>L6671/K6671</f>
        <v/>
      </c>
    </row>
    <row r="6672">
      <c r="A6672" s="58" t="inlineStr">
        <is>
          <t>RT20250618-06671</t>
        </is>
      </c>
      <c r="B6672" s="59" t="inlineStr">
        <is>
          <t>2025-06-18</t>
        </is>
      </c>
      <c r="C6672" s="60" t="inlineStr">
        <is>
          <t>Vertex Supplie X-513</t>
        </is>
      </c>
      <c r="D6672" s="58" t="inlineStr">
        <is>
          <t>Office</t>
        </is>
      </c>
      <c r="E6672" s="58" t="inlineStr">
        <is>
          <t>West</t>
        </is>
      </c>
      <c r="F6672" s="61" t="n">
        <v>2</v>
      </c>
      <c r="G6672" s="62" t="n">
        <v>385.48</v>
      </c>
      <c r="H6672" s="63" t="n">
        <v>0.045</v>
      </c>
      <c r="I6672" s="62" t="n">
        <v>280.8</v>
      </c>
      <c r="J6672" s="58" t="inlineStr">
        <is>
          <t>Phone</t>
        </is>
      </c>
      <c r="K6672" s="62">
        <f>F6672*(G6672-H6672)</f>
        <v/>
      </c>
      <c r="L6672" s="62">
        <f>K6672-(F6672*I6672)</f>
        <v/>
      </c>
      <c r="M6672" s="64">
        <f>L6672/K6672</f>
        <v/>
      </c>
    </row>
    <row r="6673">
      <c r="A6673" s="58" t="inlineStr">
        <is>
          <t>RT20250618-06672</t>
        </is>
      </c>
      <c r="B6673" s="59" t="inlineStr">
        <is>
          <t>2025-06-18</t>
        </is>
      </c>
      <c r="C6673" s="60" t="inlineStr">
        <is>
          <t>Aurora Makeup S-626</t>
        </is>
      </c>
      <c r="D6673" s="58" t="inlineStr">
        <is>
          <t>Beauty</t>
        </is>
      </c>
      <c r="E6673" s="58" t="inlineStr">
        <is>
          <t>East</t>
        </is>
      </c>
      <c r="F6673" s="61" t="n">
        <v>3</v>
      </c>
      <c r="G6673" s="62" t="n">
        <v>112.03</v>
      </c>
      <c r="H6673" s="63" t="n">
        <v>0.037</v>
      </c>
      <c r="I6673" s="62" t="n">
        <v>63.94</v>
      </c>
      <c r="J6673" s="58" t="inlineStr">
        <is>
          <t>Store</t>
        </is>
      </c>
      <c r="K6673" s="62">
        <f>F6673*(G6673-H6673)</f>
        <v/>
      </c>
      <c r="L6673" s="62">
        <f>K6673-(F6673*I6673)</f>
        <v/>
      </c>
      <c r="M6673" s="64">
        <f>L6673/K6673</f>
        <v/>
      </c>
    </row>
    <row r="6674">
      <c r="A6674" s="58" t="inlineStr">
        <is>
          <t>RT20250618-06673</t>
        </is>
      </c>
      <c r="B6674" s="59" t="inlineStr">
        <is>
          <t>2025-06-18</t>
        </is>
      </c>
      <c r="C6674" s="60" t="inlineStr">
        <is>
          <t>Polar Outdoor X-193</t>
        </is>
      </c>
      <c r="D6674" s="58" t="inlineStr">
        <is>
          <t>Sports</t>
        </is>
      </c>
      <c r="E6674" s="58" t="inlineStr">
        <is>
          <t>West</t>
        </is>
      </c>
      <c r="F6674" s="61" t="n">
        <v>3</v>
      </c>
      <c r="G6674" s="62" t="n">
        <v>717.12</v>
      </c>
      <c r="H6674" s="63" t="n">
        <v>0.056</v>
      </c>
      <c r="I6674" s="62" t="n">
        <v>454.83</v>
      </c>
      <c r="J6674" s="58" t="inlineStr">
        <is>
          <t>Store</t>
        </is>
      </c>
      <c r="K6674" s="62">
        <f>F6674*(G6674-H6674)</f>
        <v/>
      </c>
      <c r="L6674" s="62">
        <f>K6674-(F6674*I6674)</f>
        <v/>
      </c>
      <c r="M6674" s="64">
        <f>L6674/K6674</f>
        <v/>
      </c>
    </row>
    <row r="6675">
      <c r="A6675" s="58" t="inlineStr">
        <is>
          <t>RT20250618-06674</t>
        </is>
      </c>
      <c r="B6675" s="59" t="inlineStr">
        <is>
          <t>2025-06-18</t>
        </is>
      </c>
      <c r="C6675" s="60" t="inlineStr">
        <is>
          <t>Solace Fitnes S-324</t>
        </is>
      </c>
      <c r="D6675" s="58" t="inlineStr">
        <is>
          <t>Sports</t>
        </is>
      </c>
      <c r="E6675" s="58" t="inlineStr">
        <is>
          <t>East</t>
        </is>
      </c>
      <c r="F6675" s="61" t="n">
        <v>1</v>
      </c>
      <c r="G6675" s="62" t="n">
        <v>777.61</v>
      </c>
      <c r="H6675" s="63" t="n">
        <v>0.059</v>
      </c>
      <c r="I6675" s="62" t="n">
        <v>531.13</v>
      </c>
      <c r="J6675" s="58" t="inlineStr">
        <is>
          <t>Online</t>
        </is>
      </c>
      <c r="K6675" s="62">
        <f>F6675*(G6675-H6675)</f>
        <v/>
      </c>
      <c r="L6675" s="62">
        <f>K6675-(F6675*I6675)</f>
        <v/>
      </c>
      <c r="M6675" s="64">
        <f>L6675/K6675</f>
        <v/>
      </c>
    </row>
    <row r="6676">
      <c r="A6676" s="58" t="inlineStr">
        <is>
          <t>RT20250618-06675</t>
        </is>
      </c>
      <c r="B6676" s="59" t="inlineStr">
        <is>
          <t>2025-06-18</t>
        </is>
      </c>
      <c r="C6676" s="60" t="inlineStr">
        <is>
          <t>Solace Fitnes S-324</t>
        </is>
      </c>
      <c r="D6676" s="58" t="inlineStr">
        <is>
          <t>Sports</t>
        </is>
      </c>
      <c r="E6676" s="58" t="inlineStr">
        <is>
          <t>East</t>
        </is>
      </c>
      <c r="F6676" s="61" t="n">
        <v>2</v>
      </c>
      <c r="G6676" s="62" t="n">
        <v>786.21</v>
      </c>
      <c r="H6676" s="63" t="n">
        <v>0.082</v>
      </c>
      <c r="I6676" s="62" t="n">
        <v>542.87</v>
      </c>
      <c r="J6676" s="58" t="inlineStr">
        <is>
          <t>Store</t>
        </is>
      </c>
      <c r="K6676" s="62">
        <f>F6676*(G6676-H6676)</f>
        <v/>
      </c>
      <c r="L6676" s="62">
        <f>K6676-(F6676*I6676)</f>
        <v/>
      </c>
      <c r="M6676" s="64">
        <f>L6676/K6676</f>
        <v/>
      </c>
    </row>
    <row r="6677">
      <c r="A6677" s="58" t="inlineStr">
        <is>
          <t>RT20250618-06676</t>
        </is>
      </c>
      <c r="B6677" s="59" t="inlineStr">
        <is>
          <t>2025-06-18</t>
        </is>
      </c>
      <c r="C6677" s="60" t="inlineStr">
        <is>
          <t>Nimbus Furniture Pro-479</t>
        </is>
      </c>
      <c r="D6677" s="58" t="inlineStr">
        <is>
          <t>Office</t>
        </is>
      </c>
      <c r="E6677" s="58" t="inlineStr">
        <is>
          <t>East</t>
        </is>
      </c>
      <c r="F6677" s="61" t="n">
        <v>1</v>
      </c>
      <c r="G6677" s="62" t="n">
        <v>323.2</v>
      </c>
      <c r="H6677" s="63" t="n">
        <v>0.111</v>
      </c>
      <c r="I6677" s="62" t="n">
        <v>236.39</v>
      </c>
      <c r="J6677" s="58" t="inlineStr">
        <is>
          <t>Online</t>
        </is>
      </c>
      <c r="K6677" s="62">
        <f>F6677*(G6677-H6677)</f>
        <v/>
      </c>
      <c r="L6677" s="62">
        <f>K6677-(F6677*I6677)</f>
        <v/>
      </c>
      <c r="M6677" s="64">
        <f>L6677/K6677</f>
        <v/>
      </c>
    </row>
    <row r="6678">
      <c r="A6678" s="58" t="inlineStr">
        <is>
          <t>RT20250618-06677</t>
        </is>
      </c>
      <c r="B6678" s="59" t="inlineStr">
        <is>
          <t>2025-06-18</t>
        </is>
      </c>
      <c r="C6678" s="60" t="inlineStr">
        <is>
          <t>Metro Smartphone Max-773</t>
        </is>
      </c>
      <c r="D6678" s="58" t="inlineStr">
        <is>
          <t>Electronics</t>
        </is>
      </c>
      <c r="E6678" s="58" t="inlineStr">
        <is>
          <t>South</t>
        </is>
      </c>
      <c r="F6678" s="61" t="n">
        <v>1</v>
      </c>
      <c r="G6678" s="62" t="n">
        <v>1553.36</v>
      </c>
      <c r="H6678" s="63" t="n">
        <v>0.07000000000000001</v>
      </c>
      <c r="I6678" s="62" t="n">
        <v>1145.34</v>
      </c>
      <c r="J6678" s="58" t="inlineStr">
        <is>
          <t>Online</t>
        </is>
      </c>
      <c r="K6678" s="62">
        <f>F6678*(G6678-H6678)</f>
        <v/>
      </c>
      <c r="L6678" s="62">
        <f>K6678-(F6678*I6678)</f>
        <v/>
      </c>
      <c r="M6678" s="64">
        <f>L6678/K6678</f>
        <v/>
      </c>
    </row>
    <row r="6679">
      <c r="A6679" s="58" t="inlineStr">
        <is>
          <t>RT20250618-06678</t>
        </is>
      </c>
      <c r="B6679" s="59" t="inlineStr">
        <is>
          <t>2025-06-18</t>
        </is>
      </c>
      <c r="C6679" s="60" t="inlineStr">
        <is>
          <t>Aurora Fitnes Lite-194</t>
        </is>
      </c>
      <c r="D6679" s="58" t="inlineStr">
        <is>
          <t>Sports</t>
        </is>
      </c>
      <c r="E6679" s="58" t="inlineStr">
        <is>
          <t>West</t>
        </is>
      </c>
      <c r="F6679" s="61" t="n">
        <v>2</v>
      </c>
      <c r="G6679" s="62" t="n">
        <v>713.09</v>
      </c>
      <c r="H6679" s="63" t="n">
        <v>0.037</v>
      </c>
      <c r="I6679" s="62" t="n">
        <v>456.72</v>
      </c>
      <c r="J6679" s="58" t="inlineStr">
        <is>
          <t>Online</t>
        </is>
      </c>
      <c r="K6679" s="62">
        <f>F6679*(G6679-H6679)</f>
        <v/>
      </c>
      <c r="L6679" s="62">
        <f>K6679-(F6679*I6679)</f>
        <v/>
      </c>
      <c r="M6679" s="64">
        <f>L6679/K6679</f>
        <v/>
      </c>
    </row>
    <row r="6680">
      <c r="A6680" s="58" t="inlineStr">
        <is>
          <t>RT20250618-06679</t>
        </is>
      </c>
      <c r="B6680" s="59" t="inlineStr">
        <is>
          <t>2025-06-18</t>
        </is>
      </c>
      <c r="C6680" s="60" t="inlineStr">
        <is>
          <t>Falcon Household Pro-865</t>
        </is>
      </c>
      <c r="D6680" s="58" t="inlineStr">
        <is>
          <t>Grocery</t>
        </is>
      </c>
      <c r="E6680" s="58" t="inlineStr">
        <is>
          <t>West</t>
        </is>
      </c>
      <c r="F6680" s="61" t="n">
        <v>1</v>
      </c>
      <c r="G6680" s="62" t="n">
        <v>10.82</v>
      </c>
      <c r="H6680" s="63" t="n">
        <v>0.079</v>
      </c>
      <c r="I6680" s="62" t="n">
        <v>7.61</v>
      </c>
      <c r="J6680" s="58" t="inlineStr">
        <is>
          <t>Phone</t>
        </is>
      </c>
      <c r="K6680" s="62">
        <f>F6680*(G6680-H6680)</f>
        <v/>
      </c>
      <c r="L6680" s="62">
        <f>K6680-(F6680*I6680)</f>
        <v/>
      </c>
      <c r="M6680" s="64">
        <f>L6680/K6680</f>
        <v/>
      </c>
    </row>
    <row r="6681">
      <c r="A6681" s="58" t="inlineStr">
        <is>
          <t>RT20250618-06680</t>
        </is>
      </c>
      <c r="B6681" s="59" t="inlineStr">
        <is>
          <t>2025-06-18</t>
        </is>
      </c>
      <c r="C6681" s="60" t="inlineStr">
        <is>
          <t>Metro Laptop Plus-376</t>
        </is>
      </c>
      <c r="D6681" s="58" t="inlineStr">
        <is>
          <t>Electronics</t>
        </is>
      </c>
      <c r="E6681" s="58" t="inlineStr">
        <is>
          <t>South</t>
        </is>
      </c>
      <c r="F6681" s="61" t="n">
        <v>1</v>
      </c>
      <c r="G6681" s="62" t="n">
        <v>1272.09</v>
      </c>
      <c r="H6681" s="63" t="n">
        <v>0.034</v>
      </c>
      <c r="I6681" s="62" t="n">
        <v>1045.27</v>
      </c>
      <c r="J6681" s="58" t="inlineStr">
        <is>
          <t>Online</t>
        </is>
      </c>
      <c r="K6681" s="62">
        <f>F6681*(G6681-H6681)</f>
        <v/>
      </c>
      <c r="L6681" s="62">
        <f>K6681-(F6681*I6681)</f>
        <v/>
      </c>
      <c r="M6681" s="64">
        <f>L6681/K6681</f>
        <v/>
      </c>
    </row>
    <row r="6682">
      <c r="A6682" s="58" t="inlineStr">
        <is>
          <t>RT20250618-06681</t>
        </is>
      </c>
      <c r="B6682" s="59" t="inlineStr">
        <is>
          <t>2025-06-18</t>
        </is>
      </c>
      <c r="C6682" s="60" t="inlineStr">
        <is>
          <t>Metro Printer X-294</t>
        </is>
      </c>
      <c r="D6682" s="58" t="inlineStr">
        <is>
          <t>Office</t>
        </is>
      </c>
      <c r="E6682" s="58" t="inlineStr">
        <is>
          <t>East</t>
        </is>
      </c>
      <c r="F6682" s="61" t="n">
        <v>3</v>
      </c>
      <c r="G6682" s="62" t="n">
        <v>556.0599999999999</v>
      </c>
      <c r="H6682" s="63" t="n">
        <v>0.1</v>
      </c>
      <c r="I6682" s="62" t="n">
        <v>398.89</v>
      </c>
      <c r="J6682" s="58" t="inlineStr">
        <is>
          <t>Online</t>
        </is>
      </c>
      <c r="K6682" s="62">
        <f>F6682*(G6682-H6682)</f>
        <v/>
      </c>
      <c r="L6682" s="62">
        <f>K6682-(F6682*I6682)</f>
        <v/>
      </c>
      <c r="M6682" s="64">
        <f>L6682/K6682</f>
        <v/>
      </c>
    </row>
    <row r="6683">
      <c r="A6683" s="58" t="inlineStr">
        <is>
          <t>RT20250618-06682</t>
        </is>
      </c>
      <c r="B6683" s="59" t="inlineStr">
        <is>
          <t>2025-06-18</t>
        </is>
      </c>
      <c r="C6683" s="60" t="inlineStr">
        <is>
          <t>Metro Wearable Plus-234</t>
        </is>
      </c>
      <c r="D6683" s="58" t="inlineStr">
        <is>
          <t>Electronics</t>
        </is>
      </c>
      <c r="E6683" s="58" t="inlineStr">
        <is>
          <t>South</t>
        </is>
      </c>
      <c r="F6683" s="61" t="n">
        <v>2</v>
      </c>
      <c r="G6683" s="62" t="n">
        <v>1540.11</v>
      </c>
      <c r="H6683" s="63" t="n">
        <v>0.058</v>
      </c>
      <c r="I6683" s="62" t="n">
        <v>1151.97</v>
      </c>
      <c r="J6683" s="58" t="inlineStr">
        <is>
          <t>Store</t>
        </is>
      </c>
      <c r="K6683" s="62">
        <f>F6683*(G6683-H6683)</f>
        <v/>
      </c>
      <c r="L6683" s="62">
        <f>K6683-(F6683*I6683)</f>
        <v/>
      </c>
      <c r="M6683" s="64">
        <f>L6683/K6683</f>
        <v/>
      </c>
    </row>
    <row r="6684">
      <c r="A6684" s="58" t="inlineStr">
        <is>
          <t>RT20250618-06683</t>
        </is>
      </c>
      <c r="B6684" s="59" t="inlineStr">
        <is>
          <t>2025-06-18</t>
        </is>
      </c>
      <c r="C6684" s="60" t="inlineStr">
        <is>
          <t>Polar Outdoor X-193</t>
        </is>
      </c>
      <c r="D6684" s="58" t="inlineStr">
        <is>
          <t>Sports</t>
        </is>
      </c>
      <c r="E6684" s="58" t="inlineStr">
        <is>
          <t>South</t>
        </is>
      </c>
      <c r="F6684" s="61" t="n">
        <v>1</v>
      </c>
      <c r="G6684" s="62" t="n">
        <v>637.14</v>
      </c>
      <c r="H6684" s="63" t="n">
        <v>0.046</v>
      </c>
      <c r="I6684" s="62" t="n">
        <v>468.22</v>
      </c>
      <c r="J6684" s="58" t="inlineStr">
        <is>
          <t>Store</t>
        </is>
      </c>
      <c r="K6684" s="62">
        <f>F6684*(G6684-H6684)</f>
        <v/>
      </c>
      <c r="L6684" s="62">
        <f>K6684-(F6684*I6684)</f>
        <v/>
      </c>
      <c r="M6684" s="64">
        <f>L6684/K6684</f>
        <v/>
      </c>
    </row>
    <row r="6685">
      <c r="A6685" s="58" t="inlineStr">
        <is>
          <t>RT20250619-06684</t>
        </is>
      </c>
      <c r="B6685" s="59" t="inlineStr">
        <is>
          <t>2025-06-19</t>
        </is>
      </c>
      <c r="C6685" s="60" t="inlineStr">
        <is>
          <t>Aurora Bedding Plus-187</t>
        </is>
      </c>
      <c r="D6685" s="58" t="inlineStr">
        <is>
          <t>Home</t>
        </is>
      </c>
      <c r="E6685" s="58" t="inlineStr">
        <is>
          <t>East</t>
        </is>
      </c>
      <c r="F6685" s="61" t="n">
        <v>3</v>
      </c>
      <c r="G6685" s="62" t="n">
        <v>317.39</v>
      </c>
      <c r="H6685" s="63" t="n">
        <v>0.032</v>
      </c>
      <c r="I6685" s="62" t="n">
        <v>210.25</v>
      </c>
      <c r="J6685" s="58" t="inlineStr">
        <is>
          <t>Online</t>
        </is>
      </c>
      <c r="K6685" s="62">
        <f>F6685*(G6685-H6685)</f>
        <v/>
      </c>
      <c r="L6685" s="62">
        <f>K6685-(F6685*I6685)</f>
        <v/>
      </c>
      <c r="M6685" s="64">
        <f>L6685/K6685</f>
        <v/>
      </c>
    </row>
    <row r="6686">
      <c r="A6686" s="58" t="inlineStr">
        <is>
          <t>RT20250619-06685</t>
        </is>
      </c>
      <c r="B6686" s="59" t="inlineStr">
        <is>
          <t>2025-06-19</t>
        </is>
      </c>
      <c r="C6686" s="60" t="inlineStr">
        <is>
          <t>Orion Supplie S-612</t>
        </is>
      </c>
      <c r="D6686" s="58" t="inlineStr">
        <is>
          <t>Office</t>
        </is>
      </c>
      <c r="E6686" s="58" t="inlineStr">
        <is>
          <t>South</t>
        </is>
      </c>
      <c r="F6686" s="61" t="n">
        <v>2</v>
      </c>
      <c r="G6686" s="62" t="n">
        <v>459.7</v>
      </c>
      <c r="H6686" s="63" t="n">
        <v>0.109</v>
      </c>
      <c r="I6686" s="62" t="n">
        <v>340.37</v>
      </c>
      <c r="J6686" s="58" t="inlineStr">
        <is>
          <t>Store</t>
        </is>
      </c>
      <c r="K6686" s="62">
        <f>F6686*(G6686-H6686)</f>
        <v/>
      </c>
      <c r="L6686" s="62">
        <f>K6686-(F6686*I6686)</f>
        <v/>
      </c>
      <c r="M6686" s="64">
        <f>L6686/K6686</f>
        <v/>
      </c>
    </row>
    <row r="6687">
      <c r="A6687" s="58" t="inlineStr">
        <is>
          <t>RT20250619-06686</t>
        </is>
      </c>
      <c r="B6687" s="59" t="inlineStr">
        <is>
          <t>2025-06-19</t>
        </is>
      </c>
      <c r="C6687" s="60" t="inlineStr">
        <is>
          <t>Falcon Team Sport Lite-268</t>
        </is>
      </c>
      <c r="D6687" s="58" t="inlineStr">
        <is>
          <t>Sports</t>
        </is>
      </c>
      <c r="E6687" s="58" t="inlineStr">
        <is>
          <t>West</t>
        </is>
      </c>
      <c r="F6687" s="61" t="n">
        <v>3</v>
      </c>
      <c r="G6687" s="62" t="n">
        <v>690.84</v>
      </c>
      <c r="H6687" s="63" t="n">
        <v>0.053</v>
      </c>
      <c r="I6687" s="62" t="n">
        <v>428.03</v>
      </c>
      <c r="J6687" s="58" t="inlineStr">
        <is>
          <t>Store</t>
        </is>
      </c>
      <c r="K6687" s="62">
        <f>F6687*(G6687-H6687)</f>
        <v/>
      </c>
      <c r="L6687" s="62">
        <f>K6687-(F6687*I6687)</f>
        <v/>
      </c>
      <c r="M6687" s="64">
        <f>L6687/K6687</f>
        <v/>
      </c>
    </row>
    <row r="6688">
      <c r="A6688" s="58" t="inlineStr">
        <is>
          <t>RT20250619-06687</t>
        </is>
      </c>
      <c r="B6688" s="59" t="inlineStr">
        <is>
          <t>2025-06-19</t>
        </is>
      </c>
      <c r="C6688" s="60" t="inlineStr">
        <is>
          <t>Metro Pantry X-710</t>
        </is>
      </c>
      <c r="D6688" s="58" t="inlineStr">
        <is>
          <t>Grocery</t>
        </is>
      </c>
      <c r="E6688" s="58" t="inlineStr">
        <is>
          <t>Central</t>
        </is>
      </c>
      <c r="F6688" s="61" t="n">
        <v>6</v>
      </c>
      <c r="G6688" s="62" t="n">
        <v>5.66</v>
      </c>
      <c r="H6688" s="63" t="n">
        <v>0.062</v>
      </c>
      <c r="I6688" s="62" t="n">
        <v>4.16</v>
      </c>
      <c r="J6688" s="58" t="inlineStr">
        <is>
          <t>Store</t>
        </is>
      </c>
      <c r="K6688" s="62">
        <f>F6688*(G6688-H6688)</f>
        <v/>
      </c>
      <c r="L6688" s="62">
        <f>K6688-(F6688*I6688)</f>
        <v/>
      </c>
      <c r="M6688" s="64">
        <f>L6688/K6688</f>
        <v/>
      </c>
    </row>
    <row r="6689">
      <c r="A6689" s="58" t="inlineStr">
        <is>
          <t>RT20250619-06688</t>
        </is>
      </c>
      <c r="B6689" s="59" t="inlineStr">
        <is>
          <t>2025-06-19</t>
        </is>
      </c>
      <c r="C6689" s="60" t="inlineStr">
        <is>
          <t>Vertex Snack S-702</t>
        </is>
      </c>
      <c r="D6689" s="58" t="inlineStr">
        <is>
          <t>Grocery</t>
        </is>
      </c>
      <c r="E6689" s="58" t="inlineStr">
        <is>
          <t>South</t>
        </is>
      </c>
      <c r="F6689" s="61" t="n">
        <v>1</v>
      </c>
      <c r="G6689" s="62" t="n">
        <v>1.96</v>
      </c>
      <c r="H6689" s="63" t="n">
        <v>0.075</v>
      </c>
      <c r="I6689" s="62" t="n">
        <v>1.47</v>
      </c>
      <c r="J6689" s="58" t="inlineStr">
        <is>
          <t>Store</t>
        </is>
      </c>
      <c r="K6689" s="62">
        <f>F6689*(G6689-H6689)</f>
        <v/>
      </c>
      <c r="L6689" s="62">
        <f>K6689-(F6689*I6689)</f>
        <v/>
      </c>
      <c r="M6689" s="64">
        <f>L6689/K6689</f>
        <v/>
      </c>
    </row>
    <row r="6690">
      <c r="A6690" s="58" t="inlineStr">
        <is>
          <t>RT20250619-06689</t>
        </is>
      </c>
      <c r="B6690" s="59" t="inlineStr">
        <is>
          <t>2025-06-19</t>
        </is>
      </c>
      <c r="C6690" s="60" t="inlineStr">
        <is>
          <t>Aurora Bedding Plus-187</t>
        </is>
      </c>
      <c r="D6690" s="58" t="inlineStr">
        <is>
          <t>Home</t>
        </is>
      </c>
      <c r="E6690" s="58" t="inlineStr">
        <is>
          <t>Central</t>
        </is>
      </c>
      <c r="F6690" s="61" t="n">
        <v>3</v>
      </c>
      <c r="G6690" s="62" t="n">
        <v>317.67</v>
      </c>
      <c r="H6690" s="63" t="n">
        <v>0.07099999999999999</v>
      </c>
      <c r="I6690" s="62" t="n">
        <v>214.63</v>
      </c>
      <c r="J6690" s="58" t="inlineStr">
        <is>
          <t>Store</t>
        </is>
      </c>
      <c r="K6690" s="62">
        <f>F6690*(G6690-H6690)</f>
        <v/>
      </c>
      <c r="L6690" s="62">
        <f>K6690-(F6690*I6690)</f>
        <v/>
      </c>
      <c r="M6690" s="64">
        <f>L6690/K6690</f>
        <v/>
      </c>
    </row>
    <row r="6691">
      <c r="A6691" s="58" t="inlineStr">
        <is>
          <t>RT20250619-06690</t>
        </is>
      </c>
      <c r="B6691" s="59" t="inlineStr">
        <is>
          <t>2025-06-19</t>
        </is>
      </c>
      <c r="C6691" s="60" t="inlineStr">
        <is>
          <t>Metro Pantry Max-180</t>
        </is>
      </c>
      <c r="D6691" s="58" t="inlineStr">
        <is>
          <t>Grocery</t>
        </is>
      </c>
      <c r="E6691" s="58" t="inlineStr">
        <is>
          <t>North</t>
        </is>
      </c>
      <c r="F6691" s="61" t="n">
        <v>2</v>
      </c>
      <c r="G6691" s="62" t="n">
        <v>8.59</v>
      </c>
      <c r="H6691" s="63" t="n">
        <v>0.123</v>
      </c>
      <c r="I6691" s="62" t="n">
        <v>6.55</v>
      </c>
      <c r="J6691" s="58" t="inlineStr">
        <is>
          <t>Online</t>
        </is>
      </c>
      <c r="K6691" s="62">
        <f>F6691*(G6691-H6691)</f>
        <v/>
      </c>
      <c r="L6691" s="62">
        <f>K6691-(F6691*I6691)</f>
        <v/>
      </c>
      <c r="M6691" s="64">
        <f>L6691/K6691</f>
        <v/>
      </c>
    </row>
    <row r="6692">
      <c r="A6692" s="58" t="inlineStr">
        <is>
          <t>RT20250619-06691</t>
        </is>
      </c>
      <c r="B6692" s="59" t="inlineStr">
        <is>
          <t>2025-06-19</t>
        </is>
      </c>
      <c r="C6692" s="60" t="inlineStr">
        <is>
          <t>Vertex Furniture S-652</t>
        </is>
      </c>
      <c r="D6692" s="58" t="inlineStr">
        <is>
          <t>Office</t>
        </is>
      </c>
      <c r="E6692" s="58" t="inlineStr">
        <is>
          <t>North</t>
        </is>
      </c>
      <c r="F6692" s="61" t="n">
        <v>1</v>
      </c>
      <c r="G6692" s="62" t="n">
        <v>341.18</v>
      </c>
      <c r="H6692" s="63" t="n">
        <v>0.075</v>
      </c>
      <c r="I6692" s="62" t="n">
        <v>266.19</v>
      </c>
      <c r="J6692" s="58" t="inlineStr">
        <is>
          <t>Online</t>
        </is>
      </c>
      <c r="K6692" s="62">
        <f>F6692*(G6692-H6692)</f>
        <v/>
      </c>
      <c r="L6692" s="62">
        <f>K6692-(F6692*I6692)</f>
        <v/>
      </c>
      <c r="M6692" s="64">
        <f>L6692/K6692</f>
        <v/>
      </c>
    </row>
    <row r="6693">
      <c r="A6693" s="58" t="inlineStr">
        <is>
          <t>RT20250619-06692</t>
        </is>
      </c>
      <c r="B6693" s="59" t="inlineStr">
        <is>
          <t>2025-06-19</t>
        </is>
      </c>
      <c r="C6693" s="60" t="inlineStr">
        <is>
          <t>Solace Makeup Pro-214</t>
        </is>
      </c>
      <c r="D6693" s="58" t="inlineStr">
        <is>
          <t>Beauty</t>
        </is>
      </c>
      <c r="E6693" s="58" t="inlineStr">
        <is>
          <t>East</t>
        </is>
      </c>
      <c r="F6693" s="61" t="n">
        <v>1</v>
      </c>
      <c r="G6693" s="62" t="n">
        <v>109.8</v>
      </c>
      <c r="H6693" s="63" t="n">
        <v>0.064</v>
      </c>
      <c r="I6693" s="62" t="n">
        <v>65.79000000000001</v>
      </c>
      <c r="J6693" s="58" t="inlineStr">
        <is>
          <t>Store</t>
        </is>
      </c>
      <c r="K6693" s="62">
        <f>F6693*(G6693-H6693)</f>
        <v/>
      </c>
      <c r="L6693" s="62">
        <f>K6693-(F6693*I6693)</f>
        <v/>
      </c>
      <c r="M6693" s="64">
        <f>L6693/K6693</f>
        <v/>
      </c>
    </row>
    <row r="6694">
      <c r="A6694" s="58" t="inlineStr">
        <is>
          <t>RT20250619-06693</t>
        </is>
      </c>
      <c r="B6694" s="59" t="inlineStr">
        <is>
          <t>2025-06-19</t>
        </is>
      </c>
      <c r="C6694" s="60" t="inlineStr">
        <is>
          <t>Metro Accessorie Max-316</t>
        </is>
      </c>
      <c r="D6694" s="58" t="inlineStr">
        <is>
          <t>Apparel</t>
        </is>
      </c>
      <c r="E6694" s="58" t="inlineStr">
        <is>
          <t>West</t>
        </is>
      </c>
      <c r="F6694" s="61" t="n">
        <v>1</v>
      </c>
      <c r="G6694" s="62" t="n">
        <v>169.87</v>
      </c>
      <c r="H6694" s="63" t="n">
        <v>0.114</v>
      </c>
      <c r="I6694" s="62" t="n">
        <v>93.83</v>
      </c>
      <c r="J6694" s="58" t="inlineStr">
        <is>
          <t>Phone</t>
        </is>
      </c>
      <c r="K6694" s="62">
        <f>F6694*(G6694-H6694)</f>
        <v/>
      </c>
      <c r="L6694" s="62">
        <f>K6694-(F6694*I6694)</f>
        <v/>
      </c>
      <c r="M6694" s="64">
        <f>L6694/K6694</f>
        <v/>
      </c>
    </row>
    <row r="6695">
      <c r="A6695" s="58" t="inlineStr">
        <is>
          <t>RT20250619-06694</t>
        </is>
      </c>
      <c r="B6695" s="59" t="inlineStr">
        <is>
          <t>2025-06-19</t>
        </is>
      </c>
      <c r="C6695" s="60" t="inlineStr">
        <is>
          <t>Aurora Makeup S-626</t>
        </is>
      </c>
      <c r="D6695" s="58" t="inlineStr">
        <is>
          <t>Beauty</t>
        </is>
      </c>
      <c r="E6695" s="58" t="inlineStr">
        <is>
          <t>South</t>
        </is>
      </c>
      <c r="F6695" s="61" t="n">
        <v>1</v>
      </c>
      <c r="G6695" s="62" t="n">
        <v>104.66</v>
      </c>
      <c r="H6695" s="63" t="n">
        <v>0.052</v>
      </c>
      <c r="I6695" s="62" t="n">
        <v>62.29</v>
      </c>
      <c r="J6695" s="58" t="inlineStr">
        <is>
          <t>Online</t>
        </is>
      </c>
      <c r="K6695" s="62">
        <f>F6695*(G6695-H6695)</f>
        <v/>
      </c>
      <c r="L6695" s="62">
        <f>K6695-(F6695*I6695)</f>
        <v/>
      </c>
      <c r="M6695" s="64">
        <f>L6695/K6695</f>
        <v/>
      </c>
    </row>
    <row r="6696">
      <c r="A6696" s="58" t="inlineStr">
        <is>
          <t>RT20250619-06695</t>
        </is>
      </c>
      <c r="B6696" s="59" t="inlineStr">
        <is>
          <t>2025-06-19</t>
        </is>
      </c>
      <c r="C6696" s="60" t="inlineStr">
        <is>
          <t>Orion Kitchen Pro-568</t>
        </is>
      </c>
      <c r="D6696" s="58" t="inlineStr">
        <is>
          <t>Home</t>
        </is>
      </c>
      <c r="E6696" s="58" t="inlineStr">
        <is>
          <t>Central</t>
        </is>
      </c>
      <c r="F6696" s="61" t="n">
        <v>3</v>
      </c>
      <c r="G6696" s="62" t="n">
        <v>370.89</v>
      </c>
      <c r="H6696" s="63" t="n">
        <v>0.042</v>
      </c>
      <c r="I6696" s="62" t="n">
        <v>308.27</v>
      </c>
      <c r="J6696" s="58" t="inlineStr">
        <is>
          <t>Store</t>
        </is>
      </c>
      <c r="K6696" s="62">
        <f>F6696*(G6696-H6696)</f>
        <v/>
      </c>
      <c r="L6696" s="62">
        <f>K6696-(F6696*I6696)</f>
        <v/>
      </c>
      <c r="M6696" s="64">
        <f>L6696/K6696</f>
        <v/>
      </c>
    </row>
    <row r="6697">
      <c r="A6697" s="58" t="inlineStr">
        <is>
          <t>RT20250619-06696</t>
        </is>
      </c>
      <c r="B6697" s="59" t="inlineStr">
        <is>
          <t>2025-06-19</t>
        </is>
      </c>
      <c r="C6697" s="60" t="inlineStr">
        <is>
          <t>Nimbus Women Plus-352</t>
        </is>
      </c>
      <c r="D6697" s="58" t="inlineStr">
        <is>
          <t>Apparel</t>
        </is>
      </c>
      <c r="E6697" s="58" t="inlineStr">
        <is>
          <t>East</t>
        </is>
      </c>
      <c r="F6697" s="61" t="n">
        <v>2</v>
      </c>
      <c r="G6697" s="62" t="n">
        <v>69.45999999999999</v>
      </c>
      <c r="H6697" s="63" t="n">
        <v>0.078</v>
      </c>
      <c r="I6697" s="62" t="n">
        <v>32.81</v>
      </c>
      <c r="J6697" s="58" t="inlineStr">
        <is>
          <t>Store</t>
        </is>
      </c>
      <c r="K6697" s="62">
        <f>F6697*(G6697-H6697)</f>
        <v/>
      </c>
      <c r="L6697" s="62">
        <f>K6697-(F6697*I6697)</f>
        <v/>
      </c>
      <c r="M6697" s="64">
        <f>L6697/K6697</f>
        <v/>
      </c>
    </row>
    <row r="6698">
      <c r="A6698" s="58" t="inlineStr">
        <is>
          <t>RT20250619-06697</t>
        </is>
      </c>
      <c r="B6698" s="59" t="inlineStr">
        <is>
          <t>2025-06-19</t>
        </is>
      </c>
      <c r="C6698" s="60" t="inlineStr">
        <is>
          <t>Vertex Supplie X-513</t>
        </is>
      </c>
      <c r="D6698" s="58" t="inlineStr">
        <is>
          <t>Office</t>
        </is>
      </c>
      <c r="E6698" s="58" t="inlineStr">
        <is>
          <t>Central</t>
        </is>
      </c>
      <c r="F6698" s="61" t="n">
        <v>1</v>
      </c>
      <c r="G6698" s="62" t="n">
        <v>421.87</v>
      </c>
      <c r="H6698" s="63" t="n">
        <v>0.007</v>
      </c>
      <c r="I6698" s="62" t="n">
        <v>282.27</v>
      </c>
      <c r="J6698" s="58" t="inlineStr">
        <is>
          <t>Store</t>
        </is>
      </c>
      <c r="K6698" s="62">
        <f>F6698*(G6698-H6698)</f>
        <v/>
      </c>
      <c r="L6698" s="62">
        <f>K6698-(F6698*I6698)</f>
        <v/>
      </c>
      <c r="M6698" s="64">
        <f>L6698/K6698</f>
        <v/>
      </c>
    </row>
    <row r="6699">
      <c r="A6699" s="58" t="inlineStr">
        <is>
          <t>RT20250619-06698</t>
        </is>
      </c>
      <c r="B6699" s="59" t="inlineStr">
        <is>
          <t>2025-06-19</t>
        </is>
      </c>
      <c r="C6699" s="60" t="inlineStr">
        <is>
          <t>Aurora Household Plus-146</t>
        </is>
      </c>
      <c r="D6699" s="58" t="inlineStr">
        <is>
          <t>Grocery</t>
        </is>
      </c>
      <c r="E6699" s="58" t="inlineStr">
        <is>
          <t>East</t>
        </is>
      </c>
      <c r="F6699" s="61" t="n">
        <v>5</v>
      </c>
      <c r="G6699" s="62" t="n">
        <v>5.97</v>
      </c>
      <c r="H6699" s="63" t="n">
        <v>0.075</v>
      </c>
      <c r="I6699" s="62" t="n">
        <v>4.51</v>
      </c>
      <c r="J6699" s="58" t="inlineStr">
        <is>
          <t>Phone</t>
        </is>
      </c>
      <c r="K6699" s="62">
        <f>F6699*(G6699-H6699)</f>
        <v/>
      </c>
      <c r="L6699" s="62">
        <f>K6699-(F6699*I6699)</f>
        <v/>
      </c>
      <c r="M6699" s="64">
        <f>L6699/K6699</f>
        <v/>
      </c>
    </row>
    <row r="6700">
      <c r="A6700" s="58" t="inlineStr">
        <is>
          <t>RT20250619-06699</t>
        </is>
      </c>
      <c r="B6700" s="59" t="inlineStr">
        <is>
          <t>2025-06-19</t>
        </is>
      </c>
      <c r="C6700" s="60" t="inlineStr">
        <is>
          <t>Falcon Storage X-734</t>
        </is>
      </c>
      <c r="D6700" s="58" t="inlineStr">
        <is>
          <t>Office</t>
        </is>
      </c>
      <c r="E6700" s="58" t="inlineStr">
        <is>
          <t>West</t>
        </is>
      </c>
      <c r="F6700" s="61" t="n">
        <v>1</v>
      </c>
      <c r="G6700" s="62" t="n">
        <v>352.81</v>
      </c>
      <c r="H6700" s="63" t="n">
        <v>0.063</v>
      </c>
      <c r="I6700" s="62" t="n">
        <v>286.04</v>
      </c>
      <c r="J6700" s="58" t="inlineStr">
        <is>
          <t>Online</t>
        </is>
      </c>
      <c r="K6700" s="62">
        <f>F6700*(G6700-H6700)</f>
        <v/>
      </c>
      <c r="L6700" s="62">
        <f>K6700-(F6700*I6700)</f>
        <v/>
      </c>
      <c r="M6700" s="64">
        <f>L6700/K6700</f>
        <v/>
      </c>
    </row>
    <row r="6701">
      <c r="A6701" s="58" t="inlineStr">
        <is>
          <t>RT20250619-06700</t>
        </is>
      </c>
      <c r="B6701" s="59" t="inlineStr">
        <is>
          <t>2025-06-19</t>
        </is>
      </c>
      <c r="C6701" s="60" t="inlineStr">
        <is>
          <t>Polar Cycling X-649</t>
        </is>
      </c>
      <c r="D6701" s="58" t="inlineStr">
        <is>
          <t>Sports</t>
        </is>
      </c>
      <c r="E6701" s="58" t="inlineStr">
        <is>
          <t>East</t>
        </is>
      </c>
      <c r="F6701" s="61" t="n">
        <v>2</v>
      </c>
      <c r="G6701" s="62" t="n">
        <v>588.23</v>
      </c>
      <c r="H6701" s="63" t="n">
        <v>0.034</v>
      </c>
      <c r="I6701" s="62" t="n">
        <v>356.05</v>
      </c>
      <c r="J6701" s="58" t="inlineStr">
        <is>
          <t>Online</t>
        </is>
      </c>
      <c r="K6701" s="62">
        <f>F6701*(G6701-H6701)</f>
        <v/>
      </c>
      <c r="L6701" s="62">
        <f>K6701-(F6701*I6701)</f>
        <v/>
      </c>
      <c r="M6701" s="64">
        <f>L6701/K6701</f>
        <v/>
      </c>
    </row>
    <row r="6702">
      <c r="A6702" s="58" t="inlineStr">
        <is>
          <t>RT20250619-06701</t>
        </is>
      </c>
      <c r="B6702" s="59" t="inlineStr">
        <is>
          <t>2025-06-19</t>
        </is>
      </c>
      <c r="C6702" s="60" t="inlineStr">
        <is>
          <t>Orion Kitchen Pro-568</t>
        </is>
      </c>
      <c r="D6702" s="58" t="inlineStr">
        <is>
          <t>Home</t>
        </is>
      </c>
      <c r="E6702" s="58" t="inlineStr">
        <is>
          <t>West</t>
        </is>
      </c>
      <c r="F6702" s="61" t="n">
        <v>2</v>
      </c>
      <c r="G6702" s="62" t="n">
        <v>438.39</v>
      </c>
      <c r="H6702" s="63" t="n">
        <v>0.092</v>
      </c>
      <c r="I6702" s="62" t="n">
        <v>306.31</v>
      </c>
      <c r="J6702" s="58" t="inlineStr">
        <is>
          <t>Store</t>
        </is>
      </c>
      <c r="K6702" s="62">
        <f>F6702*(G6702-H6702)</f>
        <v/>
      </c>
      <c r="L6702" s="62">
        <f>K6702-(F6702*I6702)</f>
        <v/>
      </c>
      <c r="M6702" s="64">
        <f>L6702/K6702</f>
        <v/>
      </c>
    </row>
    <row r="6703">
      <c r="A6703" s="58" t="inlineStr">
        <is>
          <t>RT20250619-06702</t>
        </is>
      </c>
      <c r="B6703" s="59" t="inlineStr">
        <is>
          <t>2025-06-19</t>
        </is>
      </c>
      <c r="C6703" s="60" t="inlineStr">
        <is>
          <t>Vertex Men X-995</t>
        </is>
      </c>
      <c r="D6703" s="58" t="inlineStr">
        <is>
          <t>Apparel</t>
        </is>
      </c>
      <c r="E6703" s="58" t="inlineStr">
        <is>
          <t>West</t>
        </is>
      </c>
      <c r="F6703" s="61" t="n">
        <v>3</v>
      </c>
      <c r="G6703" s="62" t="n">
        <v>97.83</v>
      </c>
      <c r="H6703" s="63" t="n">
        <v>0.037</v>
      </c>
      <c r="I6703" s="62" t="n">
        <v>57.46</v>
      </c>
      <c r="J6703" s="58" t="inlineStr">
        <is>
          <t>Online</t>
        </is>
      </c>
      <c r="K6703" s="62">
        <f>F6703*(G6703-H6703)</f>
        <v/>
      </c>
      <c r="L6703" s="62">
        <f>K6703-(F6703*I6703)</f>
        <v/>
      </c>
      <c r="M6703" s="64">
        <f>L6703/K6703</f>
        <v/>
      </c>
    </row>
    <row r="6704">
      <c r="A6704" s="58" t="inlineStr">
        <is>
          <t>RT20250619-06703</t>
        </is>
      </c>
      <c r="B6704" s="59" t="inlineStr">
        <is>
          <t>2025-06-19</t>
        </is>
      </c>
      <c r="C6704" s="60" t="inlineStr">
        <is>
          <t>Solace Team Sport Max-548</t>
        </is>
      </c>
      <c r="D6704" s="58" t="inlineStr">
        <is>
          <t>Sports</t>
        </is>
      </c>
      <c r="E6704" s="58" t="inlineStr">
        <is>
          <t>East</t>
        </is>
      </c>
      <c r="F6704" s="61" t="n">
        <v>1</v>
      </c>
      <c r="G6704" s="62" t="n">
        <v>785.78</v>
      </c>
      <c r="H6704" s="63" t="n">
        <v>0.059</v>
      </c>
      <c r="I6704" s="62" t="n">
        <v>480.08</v>
      </c>
      <c r="J6704" s="58" t="inlineStr">
        <is>
          <t>Online</t>
        </is>
      </c>
      <c r="K6704" s="62">
        <f>F6704*(G6704-H6704)</f>
        <v/>
      </c>
      <c r="L6704" s="62">
        <f>K6704-(F6704*I6704)</f>
        <v/>
      </c>
      <c r="M6704" s="64">
        <f>L6704/K6704</f>
        <v/>
      </c>
    </row>
    <row r="6705">
      <c r="A6705" s="58" t="inlineStr">
        <is>
          <t>RT20250619-06704</t>
        </is>
      </c>
      <c r="B6705" s="59" t="inlineStr">
        <is>
          <t>2025-06-19</t>
        </is>
      </c>
      <c r="C6705" s="60" t="inlineStr">
        <is>
          <t>Aurora Fitnes Lite-194</t>
        </is>
      </c>
      <c r="D6705" s="58" t="inlineStr">
        <is>
          <t>Sports</t>
        </is>
      </c>
      <c r="E6705" s="58" t="inlineStr">
        <is>
          <t>West</t>
        </is>
      </c>
      <c r="F6705" s="61" t="n">
        <v>1</v>
      </c>
      <c r="G6705" s="62" t="n">
        <v>672.88</v>
      </c>
      <c r="H6705" s="63" t="n">
        <v>0.012</v>
      </c>
      <c r="I6705" s="62" t="n">
        <v>459.66</v>
      </c>
      <c r="J6705" s="58" t="inlineStr">
        <is>
          <t>Store</t>
        </is>
      </c>
      <c r="K6705" s="62">
        <f>F6705*(G6705-H6705)</f>
        <v/>
      </c>
      <c r="L6705" s="62">
        <f>K6705-(F6705*I6705)</f>
        <v/>
      </c>
      <c r="M6705" s="64">
        <f>L6705/K6705</f>
        <v/>
      </c>
    </row>
    <row r="6706">
      <c r="A6706" s="58" t="inlineStr">
        <is>
          <t>RT20250619-06705</t>
        </is>
      </c>
      <c r="B6706" s="59" t="inlineStr">
        <is>
          <t>2025-06-19</t>
        </is>
      </c>
      <c r="C6706" s="60" t="inlineStr">
        <is>
          <t>Vertex Furniture S-652</t>
        </is>
      </c>
      <c r="D6706" s="58" t="inlineStr">
        <is>
          <t>Office</t>
        </is>
      </c>
      <c r="E6706" s="58" t="inlineStr">
        <is>
          <t>East</t>
        </is>
      </c>
      <c r="F6706" s="61" t="n">
        <v>2</v>
      </c>
      <c r="G6706" s="62" t="n">
        <v>369.92</v>
      </c>
      <c r="H6706" s="63" t="n">
        <v>0.02</v>
      </c>
      <c r="I6706" s="62" t="n">
        <v>272.58</v>
      </c>
      <c r="J6706" s="58" t="inlineStr">
        <is>
          <t>Online</t>
        </is>
      </c>
      <c r="K6706" s="62">
        <f>F6706*(G6706-H6706)</f>
        <v/>
      </c>
      <c r="L6706" s="62">
        <f>K6706-(F6706*I6706)</f>
        <v/>
      </c>
      <c r="M6706" s="64">
        <f>L6706/K6706</f>
        <v/>
      </c>
    </row>
    <row r="6707">
      <c r="A6707" s="58" t="inlineStr">
        <is>
          <t>RT20250619-06706</t>
        </is>
      </c>
      <c r="B6707" s="59" t="inlineStr">
        <is>
          <t>2025-06-19</t>
        </is>
      </c>
      <c r="C6707" s="60" t="inlineStr">
        <is>
          <t>Aurora Smartphone Plus-125</t>
        </is>
      </c>
      <c r="D6707" s="58" t="inlineStr">
        <is>
          <t>Electronics</t>
        </is>
      </c>
      <c r="E6707" s="58" t="inlineStr">
        <is>
          <t>South</t>
        </is>
      </c>
      <c r="F6707" s="61" t="n">
        <v>1</v>
      </c>
      <c r="G6707" s="62" t="n">
        <v>1477.86</v>
      </c>
      <c r="H6707" s="63" t="n">
        <v>0.067</v>
      </c>
      <c r="I6707" s="62" t="n">
        <v>1211.35</v>
      </c>
      <c r="J6707" s="58" t="inlineStr">
        <is>
          <t>Online</t>
        </is>
      </c>
      <c r="K6707" s="62">
        <f>F6707*(G6707-H6707)</f>
        <v/>
      </c>
      <c r="L6707" s="62">
        <f>K6707-(F6707*I6707)</f>
        <v/>
      </c>
      <c r="M6707" s="64">
        <f>L6707/K6707</f>
        <v/>
      </c>
    </row>
    <row r="6708">
      <c r="A6708" s="58" t="inlineStr">
        <is>
          <t>RT20250619-06707</t>
        </is>
      </c>
      <c r="B6708" s="59" t="inlineStr">
        <is>
          <t>2025-06-19</t>
        </is>
      </c>
      <c r="C6708" s="60" t="inlineStr">
        <is>
          <t>Solace Smartphone Lite-533</t>
        </is>
      </c>
      <c r="D6708" s="58" t="inlineStr">
        <is>
          <t>Electronics</t>
        </is>
      </c>
      <c r="E6708" s="58" t="inlineStr">
        <is>
          <t>North</t>
        </is>
      </c>
      <c r="F6708" s="61" t="n">
        <v>1</v>
      </c>
      <c r="G6708" s="62" t="n">
        <v>1182.55</v>
      </c>
      <c r="H6708" s="63" t="n">
        <v>0.063</v>
      </c>
      <c r="I6708" s="62" t="n">
        <v>947.77</v>
      </c>
      <c r="J6708" s="58" t="inlineStr">
        <is>
          <t>Online</t>
        </is>
      </c>
      <c r="K6708" s="62">
        <f>F6708*(G6708-H6708)</f>
        <v/>
      </c>
      <c r="L6708" s="62">
        <f>K6708-(F6708*I6708)</f>
        <v/>
      </c>
      <c r="M6708" s="64">
        <f>L6708/K6708</f>
        <v/>
      </c>
    </row>
    <row r="6709">
      <c r="A6709" s="58" t="inlineStr">
        <is>
          <t>RT20250619-06708</t>
        </is>
      </c>
      <c r="B6709" s="59" t="inlineStr">
        <is>
          <t>2025-06-19</t>
        </is>
      </c>
      <c r="C6709" s="60" t="inlineStr">
        <is>
          <t>Metro Pantry Max-180</t>
        </is>
      </c>
      <c r="D6709" s="58" t="inlineStr">
        <is>
          <t>Grocery</t>
        </is>
      </c>
      <c r="E6709" s="58" t="inlineStr">
        <is>
          <t>West</t>
        </is>
      </c>
      <c r="F6709" s="61" t="n">
        <v>4</v>
      </c>
      <c r="G6709" s="62" t="n">
        <v>8.81</v>
      </c>
      <c r="H6709" s="63" t="n">
        <v>0.082</v>
      </c>
      <c r="I6709" s="62" t="n">
        <v>6.77</v>
      </c>
      <c r="J6709" s="58" t="inlineStr">
        <is>
          <t>Online</t>
        </is>
      </c>
      <c r="K6709" s="62">
        <f>F6709*(G6709-H6709)</f>
        <v/>
      </c>
      <c r="L6709" s="62">
        <f>K6709-(F6709*I6709)</f>
        <v/>
      </c>
      <c r="M6709" s="64">
        <f>L6709/K6709</f>
        <v/>
      </c>
    </row>
    <row r="6710">
      <c r="A6710" s="58" t="inlineStr">
        <is>
          <t>RT20250619-06709</t>
        </is>
      </c>
      <c r="B6710" s="59" t="inlineStr">
        <is>
          <t>2025-06-19</t>
        </is>
      </c>
      <c r="C6710" s="60" t="inlineStr">
        <is>
          <t>Aurora Fitnes Lite-194</t>
        </is>
      </c>
      <c r="D6710" s="58" t="inlineStr">
        <is>
          <t>Sports</t>
        </is>
      </c>
      <c r="E6710" s="58" t="inlineStr">
        <is>
          <t>South</t>
        </is>
      </c>
      <c r="F6710" s="61" t="n">
        <v>3</v>
      </c>
      <c r="G6710" s="62" t="n">
        <v>617.74</v>
      </c>
      <c r="H6710" s="63" t="n">
        <v>0.04</v>
      </c>
      <c r="I6710" s="62" t="n">
        <v>463.56</v>
      </c>
      <c r="J6710" s="58" t="inlineStr">
        <is>
          <t>Online</t>
        </is>
      </c>
      <c r="K6710" s="62">
        <f>F6710*(G6710-H6710)</f>
        <v/>
      </c>
      <c r="L6710" s="62">
        <f>K6710-(F6710*I6710)</f>
        <v/>
      </c>
      <c r="M6710" s="64">
        <f>L6710/K6710</f>
        <v/>
      </c>
    </row>
    <row r="6711">
      <c r="A6711" s="58" t="inlineStr">
        <is>
          <t>RT20250619-06710</t>
        </is>
      </c>
      <c r="B6711" s="59" t="inlineStr">
        <is>
          <t>2025-06-19</t>
        </is>
      </c>
      <c r="C6711" s="60" t="inlineStr">
        <is>
          <t>Polar Beverage S-258</t>
        </is>
      </c>
      <c r="D6711" s="58" t="inlineStr">
        <is>
          <t>Grocery</t>
        </is>
      </c>
      <c r="E6711" s="58" t="inlineStr">
        <is>
          <t>East</t>
        </is>
      </c>
      <c r="F6711" s="61" t="n">
        <v>7</v>
      </c>
      <c r="G6711" s="62" t="n">
        <v>12.74</v>
      </c>
      <c r="H6711" s="63" t="n">
        <v>0.054</v>
      </c>
      <c r="I6711" s="62" t="n">
        <v>9.859999999999999</v>
      </c>
      <c r="J6711" s="58" t="inlineStr">
        <is>
          <t>Store</t>
        </is>
      </c>
      <c r="K6711" s="62">
        <f>F6711*(G6711-H6711)</f>
        <v/>
      </c>
      <c r="L6711" s="62">
        <f>K6711-(F6711*I6711)</f>
        <v/>
      </c>
      <c r="M6711" s="64">
        <f>L6711/K6711</f>
        <v/>
      </c>
    </row>
    <row r="6712">
      <c r="A6712" s="58" t="inlineStr">
        <is>
          <t>RT20250619-06711</t>
        </is>
      </c>
      <c r="B6712" s="59" t="inlineStr">
        <is>
          <t>2025-06-19</t>
        </is>
      </c>
      <c r="C6712" s="60" t="inlineStr">
        <is>
          <t>Vertex Fitnes Pro-830</t>
        </is>
      </c>
      <c r="D6712" s="58" t="inlineStr">
        <is>
          <t>Sports</t>
        </is>
      </c>
      <c r="E6712" s="58" t="inlineStr">
        <is>
          <t>West</t>
        </is>
      </c>
      <c r="F6712" s="61" t="n">
        <v>2</v>
      </c>
      <c r="G6712" s="62" t="n">
        <v>606.24</v>
      </c>
      <c r="H6712" s="63" t="n">
        <v>0.042</v>
      </c>
      <c r="I6712" s="62" t="n">
        <v>465.97</v>
      </c>
      <c r="J6712" s="58" t="inlineStr">
        <is>
          <t>Phone</t>
        </is>
      </c>
      <c r="K6712" s="62">
        <f>F6712*(G6712-H6712)</f>
        <v/>
      </c>
      <c r="L6712" s="62">
        <f>K6712-(F6712*I6712)</f>
        <v/>
      </c>
      <c r="M6712" s="64">
        <f>L6712/K6712</f>
        <v/>
      </c>
    </row>
    <row r="6713">
      <c r="A6713" s="58" t="inlineStr">
        <is>
          <t>RT20250619-06712</t>
        </is>
      </c>
      <c r="B6713" s="59" t="inlineStr">
        <is>
          <t>2025-06-19</t>
        </is>
      </c>
      <c r="C6713" s="60" t="inlineStr">
        <is>
          <t>Nimbus Women Plus-352</t>
        </is>
      </c>
      <c r="D6713" s="58" t="inlineStr">
        <is>
          <t>Apparel</t>
        </is>
      </c>
      <c r="E6713" s="58" t="inlineStr">
        <is>
          <t>Central</t>
        </is>
      </c>
      <c r="F6713" s="61" t="n">
        <v>1</v>
      </c>
      <c r="G6713" s="62" t="n">
        <v>57.39</v>
      </c>
      <c r="H6713" s="63" t="n">
        <v>0.046</v>
      </c>
      <c r="I6713" s="62" t="n">
        <v>33.68</v>
      </c>
      <c r="J6713" s="58" t="inlineStr">
        <is>
          <t>Online</t>
        </is>
      </c>
      <c r="K6713" s="62">
        <f>F6713*(G6713-H6713)</f>
        <v/>
      </c>
      <c r="L6713" s="62">
        <f>K6713-(F6713*I6713)</f>
        <v/>
      </c>
      <c r="M6713" s="64">
        <f>L6713/K6713</f>
        <v/>
      </c>
    </row>
    <row r="6714">
      <c r="A6714" s="58" t="inlineStr">
        <is>
          <t>RT20250619-06713</t>
        </is>
      </c>
      <c r="B6714" s="59" t="inlineStr">
        <is>
          <t>2025-06-19</t>
        </is>
      </c>
      <c r="C6714" s="60" t="inlineStr">
        <is>
          <t>Nimbus Cycling Plus-911</t>
        </is>
      </c>
      <c r="D6714" s="58" t="inlineStr">
        <is>
          <t>Sports</t>
        </is>
      </c>
      <c r="E6714" s="58" t="inlineStr">
        <is>
          <t>South</t>
        </is>
      </c>
      <c r="F6714" s="61" t="n">
        <v>2</v>
      </c>
      <c r="G6714" s="62" t="n">
        <v>505.27</v>
      </c>
      <c r="H6714" s="63" t="n">
        <v>0.047</v>
      </c>
      <c r="I6714" s="62" t="n">
        <v>400.69</v>
      </c>
      <c r="J6714" s="58" t="inlineStr">
        <is>
          <t>Online</t>
        </is>
      </c>
      <c r="K6714" s="62">
        <f>F6714*(G6714-H6714)</f>
        <v/>
      </c>
      <c r="L6714" s="62">
        <f>K6714-(F6714*I6714)</f>
        <v/>
      </c>
      <c r="M6714" s="64">
        <f>L6714/K6714</f>
        <v/>
      </c>
    </row>
    <row r="6715">
      <c r="A6715" s="58" t="inlineStr">
        <is>
          <t>RT20250619-06714</t>
        </is>
      </c>
      <c r="B6715" s="59" t="inlineStr">
        <is>
          <t>2025-06-19</t>
        </is>
      </c>
      <c r="C6715" s="60" t="inlineStr">
        <is>
          <t>Aurora Outdoor Pro-467</t>
        </is>
      </c>
      <c r="D6715" s="58" t="inlineStr">
        <is>
          <t>Sports</t>
        </is>
      </c>
      <c r="E6715" s="58" t="inlineStr">
        <is>
          <t>Central</t>
        </is>
      </c>
      <c r="F6715" s="61" t="n">
        <v>2</v>
      </c>
      <c r="G6715" s="62" t="n">
        <v>249.77</v>
      </c>
      <c r="H6715" s="63" t="n">
        <v>0.081</v>
      </c>
      <c r="I6715" s="62" t="n">
        <v>194.24</v>
      </c>
      <c r="J6715" s="58" t="inlineStr">
        <is>
          <t>Online</t>
        </is>
      </c>
      <c r="K6715" s="62">
        <f>F6715*(G6715-H6715)</f>
        <v/>
      </c>
      <c r="L6715" s="62">
        <f>K6715-(F6715*I6715)</f>
        <v/>
      </c>
      <c r="M6715" s="64">
        <f>L6715/K6715</f>
        <v/>
      </c>
    </row>
    <row r="6716">
      <c r="A6716" s="58" t="inlineStr">
        <is>
          <t>RT20250619-06715</t>
        </is>
      </c>
      <c r="B6716" s="59" t="inlineStr">
        <is>
          <t>2025-06-19</t>
        </is>
      </c>
      <c r="C6716" s="60" t="inlineStr">
        <is>
          <t>Aurora Bedding Max-175</t>
        </is>
      </c>
      <c r="D6716" s="58" t="inlineStr">
        <is>
          <t>Home</t>
        </is>
      </c>
      <c r="E6716" s="58" t="inlineStr">
        <is>
          <t>East</t>
        </is>
      </c>
      <c r="F6716" s="61" t="n">
        <v>2</v>
      </c>
      <c r="G6716" s="62" t="n">
        <v>631.8</v>
      </c>
      <c r="H6716" s="63" t="n">
        <v>0.062</v>
      </c>
      <c r="I6716" s="62" t="n">
        <v>405.09</v>
      </c>
      <c r="J6716" s="58" t="inlineStr">
        <is>
          <t>Online</t>
        </is>
      </c>
      <c r="K6716" s="62">
        <f>F6716*(G6716-H6716)</f>
        <v/>
      </c>
      <c r="L6716" s="62">
        <f>K6716-(F6716*I6716)</f>
        <v/>
      </c>
      <c r="M6716" s="64">
        <f>L6716/K6716</f>
        <v/>
      </c>
    </row>
    <row r="6717">
      <c r="A6717" s="58" t="inlineStr">
        <is>
          <t>RT20250619-06716</t>
        </is>
      </c>
      <c r="B6717" s="59" t="inlineStr">
        <is>
          <t>2025-06-19</t>
        </is>
      </c>
      <c r="C6717" s="60" t="inlineStr">
        <is>
          <t>Orion Team Sport X-926</t>
        </is>
      </c>
      <c r="D6717" s="58" t="inlineStr">
        <is>
          <t>Sports</t>
        </is>
      </c>
      <c r="E6717" s="58" t="inlineStr">
        <is>
          <t>West</t>
        </is>
      </c>
      <c r="F6717" s="61" t="n">
        <v>2</v>
      </c>
      <c r="G6717" s="62" t="n">
        <v>326.58</v>
      </c>
      <c r="H6717" s="63" t="n">
        <v>0.035</v>
      </c>
      <c r="I6717" s="62" t="n">
        <v>211.84</v>
      </c>
      <c r="J6717" s="58" t="inlineStr">
        <is>
          <t>Online</t>
        </is>
      </c>
      <c r="K6717" s="62">
        <f>F6717*(G6717-H6717)</f>
        <v/>
      </c>
      <c r="L6717" s="62">
        <f>K6717-(F6717*I6717)</f>
        <v/>
      </c>
      <c r="M6717" s="64">
        <f>L6717/K6717</f>
        <v/>
      </c>
    </row>
    <row r="6718">
      <c r="A6718" s="58" t="inlineStr">
        <is>
          <t>RT20250619-06717</t>
        </is>
      </c>
      <c r="B6718" s="59" t="inlineStr">
        <is>
          <t>2025-06-19</t>
        </is>
      </c>
      <c r="C6718" s="60" t="inlineStr">
        <is>
          <t>Polar Outdoor X-193</t>
        </is>
      </c>
      <c r="D6718" s="58" t="inlineStr">
        <is>
          <t>Sports</t>
        </is>
      </c>
      <c r="E6718" s="58" t="inlineStr">
        <is>
          <t>East</t>
        </is>
      </c>
      <c r="F6718" s="61" t="n">
        <v>2</v>
      </c>
      <c r="G6718" s="62" t="n">
        <v>741.84</v>
      </c>
      <c r="H6718" s="63" t="n">
        <v>0.02</v>
      </c>
      <c r="I6718" s="62" t="n">
        <v>452.14</v>
      </c>
      <c r="J6718" s="58" t="inlineStr">
        <is>
          <t>Store</t>
        </is>
      </c>
      <c r="K6718" s="62">
        <f>F6718*(G6718-H6718)</f>
        <v/>
      </c>
      <c r="L6718" s="62">
        <f>K6718-(F6718*I6718)</f>
        <v/>
      </c>
      <c r="M6718" s="64">
        <f>L6718/K6718</f>
        <v/>
      </c>
    </row>
    <row r="6719">
      <c r="A6719" s="58" t="inlineStr">
        <is>
          <t>RT20250619-06718</t>
        </is>
      </c>
      <c r="B6719" s="59" t="inlineStr">
        <is>
          <t>2025-06-19</t>
        </is>
      </c>
      <c r="C6719" s="60" t="inlineStr">
        <is>
          <t>Nimbus Furniture Pro-479</t>
        </is>
      </c>
      <c r="D6719" s="58" t="inlineStr">
        <is>
          <t>Office</t>
        </is>
      </c>
      <c r="E6719" s="58" t="inlineStr">
        <is>
          <t>East</t>
        </is>
      </c>
      <c r="F6719" s="61" t="n">
        <v>2</v>
      </c>
      <c r="G6719" s="62" t="n">
        <v>336.07</v>
      </c>
      <c r="H6719" s="63" t="n">
        <v>0.039</v>
      </c>
      <c r="I6719" s="62" t="n">
        <v>237.95</v>
      </c>
      <c r="J6719" s="58" t="inlineStr">
        <is>
          <t>Online</t>
        </is>
      </c>
      <c r="K6719" s="62">
        <f>F6719*(G6719-H6719)</f>
        <v/>
      </c>
      <c r="L6719" s="62">
        <f>K6719-(F6719*I6719)</f>
        <v/>
      </c>
      <c r="M6719" s="64">
        <f>L6719/K6719</f>
        <v/>
      </c>
    </row>
    <row r="6720">
      <c r="A6720" s="58" t="inlineStr">
        <is>
          <t>RT20250619-06719</t>
        </is>
      </c>
      <c r="B6720" s="59" t="inlineStr">
        <is>
          <t>2025-06-19</t>
        </is>
      </c>
      <c r="C6720" s="60" t="inlineStr">
        <is>
          <t>Solace Bedding Plus-317</t>
        </is>
      </c>
      <c r="D6720" s="58" t="inlineStr">
        <is>
          <t>Home</t>
        </is>
      </c>
      <c r="E6720" s="58" t="inlineStr">
        <is>
          <t>West</t>
        </is>
      </c>
      <c r="F6720" s="61" t="n">
        <v>2</v>
      </c>
      <c r="G6720" s="62" t="n">
        <v>561.59</v>
      </c>
      <c r="H6720" s="63" t="n">
        <v>0.065</v>
      </c>
      <c r="I6720" s="62" t="n">
        <v>390.7</v>
      </c>
      <c r="J6720" s="58" t="inlineStr">
        <is>
          <t>Online</t>
        </is>
      </c>
      <c r="K6720" s="62">
        <f>F6720*(G6720-H6720)</f>
        <v/>
      </c>
      <c r="L6720" s="62">
        <f>K6720-(F6720*I6720)</f>
        <v/>
      </c>
      <c r="M6720" s="64">
        <f>L6720/K6720</f>
        <v/>
      </c>
    </row>
    <row r="6721">
      <c r="A6721" s="58" t="inlineStr">
        <is>
          <t>RT20250619-06720</t>
        </is>
      </c>
      <c r="B6721" s="59" t="inlineStr">
        <is>
          <t>2025-06-19</t>
        </is>
      </c>
      <c r="C6721" s="60" t="inlineStr">
        <is>
          <t>Orion Laptop S-350</t>
        </is>
      </c>
      <c r="D6721" s="58" t="inlineStr">
        <is>
          <t>Electronics</t>
        </is>
      </c>
      <c r="E6721" s="58" t="inlineStr">
        <is>
          <t>South</t>
        </is>
      </c>
      <c r="F6721" s="61" t="n">
        <v>2</v>
      </c>
      <c r="G6721" s="62" t="n">
        <v>1364.87</v>
      </c>
      <c r="H6721" s="63" t="n">
        <v>0.133</v>
      </c>
      <c r="I6721" s="62" t="n">
        <v>1082.89</v>
      </c>
      <c r="J6721" s="58" t="inlineStr">
        <is>
          <t>Store</t>
        </is>
      </c>
      <c r="K6721" s="62">
        <f>F6721*(G6721-H6721)</f>
        <v/>
      </c>
      <c r="L6721" s="62">
        <f>K6721-(F6721*I6721)</f>
        <v/>
      </c>
      <c r="M6721" s="64">
        <f>L6721/K6721</f>
        <v/>
      </c>
    </row>
    <row r="6722">
      <c r="A6722" s="58" t="inlineStr">
        <is>
          <t>RT20250619-06721</t>
        </is>
      </c>
      <c r="B6722" s="59" t="inlineStr">
        <is>
          <t>2025-06-19</t>
        </is>
      </c>
      <c r="C6722" s="60" t="inlineStr">
        <is>
          <t>Aurora Team Sport Plus-256</t>
        </is>
      </c>
      <c r="D6722" s="58" t="inlineStr">
        <is>
          <t>Sports</t>
        </is>
      </c>
      <c r="E6722" s="58" t="inlineStr">
        <is>
          <t>Central</t>
        </is>
      </c>
      <c r="F6722" s="61" t="n">
        <v>1</v>
      </c>
      <c r="G6722" s="62" t="n">
        <v>590.4299999999999</v>
      </c>
      <c r="H6722" s="63" t="n">
        <v>0.05</v>
      </c>
      <c r="I6722" s="62" t="n">
        <v>414.13</v>
      </c>
      <c r="J6722" s="58" t="inlineStr">
        <is>
          <t>Phone</t>
        </is>
      </c>
      <c r="K6722" s="62">
        <f>F6722*(G6722-H6722)</f>
        <v/>
      </c>
      <c r="L6722" s="62">
        <f>K6722-(F6722*I6722)</f>
        <v/>
      </c>
      <c r="M6722" s="64">
        <f>L6722/K6722</f>
        <v/>
      </c>
    </row>
    <row r="6723">
      <c r="A6723" s="58" t="inlineStr">
        <is>
          <t>RT20250619-06722</t>
        </is>
      </c>
      <c r="B6723" s="59" t="inlineStr">
        <is>
          <t>2025-06-19</t>
        </is>
      </c>
      <c r="C6723" s="60" t="inlineStr">
        <is>
          <t>Polar Wearable X-119</t>
        </is>
      </c>
      <c r="D6723" s="58" t="inlineStr">
        <is>
          <t>Electronics</t>
        </is>
      </c>
      <c r="E6723" s="58" t="inlineStr">
        <is>
          <t>East</t>
        </is>
      </c>
      <c r="F6723" s="61" t="n">
        <v>2</v>
      </c>
      <c r="G6723" s="62" t="n">
        <v>1850.53</v>
      </c>
      <c r="H6723" s="63" t="n">
        <v>0.068</v>
      </c>
      <c r="I6723" s="62" t="n">
        <v>1298.41</v>
      </c>
      <c r="J6723" s="58" t="inlineStr">
        <is>
          <t>Online</t>
        </is>
      </c>
      <c r="K6723" s="62">
        <f>F6723*(G6723-H6723)</f>
        <v/>
      </c>
      <c r="L6723" s="62">
        <f>K6723-(F6723*I6723)</f>
        <v/>
      </c>
      <c r="M6723" s="64">
        <f>L6723/K6723</f>
        <v/>
      </c>
    </row>
    <row r="6724">
      <c r="A6724" s="58" t="inlineStr">
        <is>
          <t>RT20250619-06723</t>
        </is>
      </c>
      <c r="B6724" s="59" t="inlineStr">
        <is>
          <t>2025-06-19</t>
        </is>
      </c>
      <c r="C6724" s="60" t="inlineStr">
        <is>
          <t>Polar Women Max-927</t>
        </is>
      </c>
      <c r="D6724" s="58" t="inlineStr">
        <is>
          <t>Apparel</t>
        </is>
      </c>
      <c r="E6724" s="58" t="inlineStr">
        <is>
          <t>East</t>
        </is>
      </c>
      <c r="F6724" s="61" t="n">
        <v>2</v>
      </c>
      <c r="G6724" s="62" t="n">
        <v>111.29</v>
      </c>
      <c r="H6724" s="63" t="n">
        <v>0.081</v>
      </c>
      <c r="I6724" s="62" t="n">
        <v>65.88</v>
      </c>
      <c r="J6724" s="58" t="inlineStr">
        <is>
          <t>Phone</t>
        </is>
      </c>
      <c r="K6724" s="62">
        <f>F6724*(G6724-H6724)</f>
        <v/>
      </c>
      <c r="L6724" s="62">
        <f>K6724-(F6724*I6724)</f>
        <v/>
      </c>
      <c r="M6724" s="64">
        <f>L6724/K6724</f>
        <v/>
      </c>
    </row>
    <row r="6725">
      <c r="A6725" s="58" t="inlineStr">
        <is>
          <t>RT20250619-06724</t>
        </is>
      </c>
      <c r="B6725" s="59" t="inlineStr">
        <is>
          <t>2025-06-19</t>
        </is>
      </c>
      <c r="C6725" s="60" t="inlineStr">
        <is>
          <t>Polar Men Pro-246</t>
        </is>
      </c>
      <c r="D6725" s="58" t="inlineStr">
        <is>
          <t>Apparel</t>
        </is>
      </c>
      <c r="E6725" s="58" t="inlineStr">
        <is>
          <t>West</t>
        </is>
      </c>
      <c r="F6725" s="61" t="n">
        <v>2</v>
      </c>
      <c r="G6725" s="62" t="n">
        <v>142.64</v>
      </c>
      <c r="H6725" s="63" t="n">
        <v>0.07000000000000001</v>
      </c>
      <c r="I6725" s="62" t="n">
        <v>74.48</v>
      </c>
      <c r="J6725" s="58" t="inlineStr">
        <is>
          <t>Store</t>
        </is>
      </c>
      <c r="K6725" s="62">
        <f>F6725*(G6725-H6725)</f>
        <v/>
      </c>
      <c r="L6725" s="62">
        <f>K6725-(F6725*I6725)</f>
        <v/>
      </c>
      <c r="M6725" s="64">
        <f>L6725/K6725</f>
        <v/>
      </c>
    </row>
    <row r="6726">
      <c r="A6726" s="58" t="inlineStr">
        <is>
          <t>RT20250619-06725</t>
        </is>
      </c>
      <c r="B6726" s="59" t="inlineStr">
        <is>
          <t>2025-06-19</t>
        </is>
      </c>
      <c r="C6726" s="60" t="inlineStr">
        <is>
          <t>Metro Accessorie Max-316</t>
        </is>
      </c>
      <c r="D6726" s="58" t="inlineStr">
        <is>
          <t>Apparel</t>
        </is>
      </c>
      <c r="E6726" s="58" t="inlineStr">
        <is>
          <t>South</t>
        </is>
      </c>
      <c r="F6726" s="61" t="n">
        <v>3</v>
      </c>
      <c r="G6726" s="62" t="n">
        <v>160.58</v>
      </c>
      <c r="H6726" s="63" t="n">
        <v>0.045</v>
      </c>
      <c r="I6726" s="62" t="n">
        <v>95.37</v>
      </c>
      <c r="J6726" s="58" t="inlineStr">
        <is>
          <t>Online</t>
        </is>
      </c>
      <c r="K6726" s="62">
        <f>F6726*(G6726-H6726)</f>
        <v/>
      </c>
      <c r="L6726" s="62">
        <f>K6726-(F6726*I6726)</f>
        <v/>
      </c>
      <c r="M6726" s="64">
        <f>L6726/K6726</f>
        <v/>
      </c>
    </row>
    <row r="6727">
      <c r="A6727" s="58" t="inlineStr">
        <is>
          <t>RT20250619-06726</t>
        </is>
      </c>
      <c r="B6727" s="59" t="inlineStr">
        <is>
          <t>2025-06-19</t>
        </is>
      </c>
      <c r="C6727" s="60" t="inlineStr">
        <is>
          <t>Polar Decor Plus-505</t>
        </is>
      </c>
      <c r="D6727" s="58" t="inlineStr">
        <is>
          <t>Home</t>
        </is>
      </c>
      <c r="E6727" s="58" t="inlineStr">
        <is>
          <t>Central</t>
        </is>
      </c>
      <c r="F6727" s="61" t="n">
        <v>1</v>
      </c>
      <c r="G6727" s="62" t="n">
        <v>295.8</v>
      </c>
      <c r="H6727" s="63" t="n">
        <v>0.026</v>
      </c>
      <c r="I6727" s="62" t="n">
        <v>196</v>
      </c>
      <c r="J6727" s="58" t="inlineStr">
        <is>
          <t>Online</t>
        </is>
      </c>
      <c r="K6727" s="62">
        <f>F6727*(G6727-H6727)</f>
        <v/>
      </c>
      <c r="L6727" s="62">
        <f>K6727-(F6727*I6727)</f>
        <v/>
      </c>
      <c r="M6727" s="64">
        <f>L6727/K6727</f>
        <v/>
      </c>
    </row>
    <row r="6728">
      <c r="A6728" s="58" t="inlineStr">
        <is>
          <t>RT20250620-06727</t>
        </is>
      </c>
      <c r="B6728" s="59" t="inlineStr">
        <is>
          <t>2025-06-20</t>
        </is>
      </c>
      <c r="C6728" s="60" t="inlineStr">
        <is>
          <t>Polar Pantry Lite-392</t>
        </is>
      </c>
      <c r="D6728" s="58" t="inlineStr">
        <is>
          <t>Grocery</t>
        </is>
      </c>
      <c r="E6728" s="58" t="inlineStr">
        <is>
          <t>West</t>
        </is>
      </c>
      <c r="F6728" s="61" t="n">
        <v>4</v>
      </c>
      <c r="G6728" s="62" t="n">
        <v>6.03</v>
      </c>
      <c r="H6728" s="63" t="n">
        <v>0.047</v>
      </c>
      <c r="I6728" s="62" t="n">
        <v>4.54</v>
      </c>
      <c r="J6728" s="58" t="inlineStr">
        <is>
          <t>Online</t>
        </is>
      </c>
      <c r="K6728" s="62">
        <f>F6728*(G6728-H6728)</f>
        <v/>
      </c>
      <c r="L6728" s="62">
        <f>K6728-(F6728*I6728)</f>
        <v/>
      </c>
      <c r="M6728" s="64">
        <f>L6728/K6728</f>
        <v/>
      </c>
    </row>
    <row r="6729">
      <c r="A6729" s="58" t="inlineStr">
        <is>
          <t>RT20250620-06728</t>
        </is>
      </c>
      <c r="B6729" s="59" t="inlineStr">
        <is>
          <t>2025-06-20</t>
        </is>
      </c>
      <c r="C6729" s="60" t="inlineStr">
        <is>
          <t>Polar Pantry Lite-392</t>
        </is>
      </c>
      <c r="D6729" s="58" t="inlineStr">
        <is>
          <t>Grocery</t>
        </is>
      </c>
      <c r="E6729" s="58" t="inlineStr">
        <is>
          <t>Central</t>
        </is>
      </c>
      <c r="F6729" s="61" t="n">
        <v>4</v>
      </c>
      <c r="G6729" s="62" t="n">
        <v>6.37</v>
      </c>
      <c r="H6729" s="63" t="n">
        <v>0.056</v>
      </c>
      <c r="I6729" s="62" t="n">
        <v>4.49</v>
      </c>
      <c r="J6729" s="58" t="inlineStr">
        <is>
          <t>Phone</t>
        </is>
      </c>
      <c r="K6729" s="62">
        <f>F6729*(G6729-H6729)</f>
        <v/>
      </c>
      <c r="L6729" s="62">
        <f>K6729-(F6729*I6729)</f>
        <v/>
      </c>
      <c r="M6729" s="64">
        <f>L6729/K6729</f>
        <v/>
      </c>
    </row>
    <row r="6730">
      <c r="A6730" s="58" t="inlineStr">
        <is>
          <t>RT20250620-06729</t>
        </is>
      </c>
      <c r="B6730" s="59" t="inlineStr">
        <is>
          <t>2025-06-20</t>
        </is>
      </c>
      <c r="C6730" s="60" t="inlineStr">
        <is>
          <t>Polar Decor X-935</t>
        </is>
      </c>
      <c r="D6730" s="58" t="inlineStr">
        <is>
          <t>Home</t>
        </is>
      </c>
      <c r="E6730" s="58" t="inlineStr">
        <is>
          <t>Central</t>
        </is>
      </c>
      <c r="F6730" s="61" t="n">
        <v>2</v>
      </c>
      <c r="G6730" s="62" t="n">
        <v>300.7</v>
      </c>
      <c r="H6730" s="63" t="n">
        <v>0.043</v>
      </c>
      <c r="I6730" s="62" t="n">
        <v>198.25</v>
      </c>
      <c r="J6730" s="58" t="inlineStr">
        <is>
          <t>Store</t>
        </is>
      </c>
      <c r="K6730" s="62">
        <f>F6730*(G6730-H6730)</f>
        <v/>
      </c>
      <c r="L6730" s="62">
        <f>K6730-(F6730*I6730)</f>
        <v/>
      </c>
      <c r="M6730" s="64">
        <f>L6730/K6730</f>
        <v/>
      </c>
    </row>
    <row r="6731">
      <c r="A6731" s="58" t="inlineStr">
        <is>
          <t>RT20250620-06730</t>
        </is>
      </c>
      <c r="B6731" s="59" t="inlineStr">
        <is>
          <t>2025-06-20</t>
        </is>
      </c>
      <c r="C6731" s="60" t="inlineStr">
        <is>
          <t>Polar Beverage S-258</t>
        </is>
      </c>
      <c r="D6731" s="58" t="inlineStr">
        <is>
          <t>Grocery</t>
        </is>
      </c>
      <c r="E6731" s="58" t="inlineStr">
        <is>
          <t>East</t>
        </is>
      </c>
      <c r="F6731" s="61" t="n">
        <v>4</v>
      </c>
      <c r="G6731" s="62" t="n">
        <v>12.94</v>
      </c>
      <c r="H6731" s="63" t="n">
        <v>0.025</v>
      </c>
      <c r="I6731" s="62" t="n">
        <v>9.48</v>
      </c>
      <c r="J6731" s="58" t="inlineStr">
        <is>
          <t>Online</t>
        </is>
      </c>
      <c r="K6731" s="62">
        <f>F6731*(G6731-H6731)</f>
        <v/>
      </c>
      <c r="L6731" s="62">
        <f>K6731-(F6731*I6731)</f>
        <v/>
      </c>
      <c r="M6731" s="64">
        <f>L6731/K6731</f>
        <v/>
      </c>
    </row>
    <row r="6732">
      <c r="A6732" s="58" t="inlineStr">
        <is>
          <t>RT20250620-06731</t>
        </is>
      </c>
      <c r="B6732" s="59" t="inlineStr">
        <is>
          <t>2025-06-20</t>
        </is>
      </c>
      <c r="C6732" s="60" t="inlineStr">
        <is>
          <t>Polar Cycling S-223</t>
        </is>
      </c>
      <c r="D6732" s="58" t="inlineStr">
        <is>
          <t>Sports</t>
        </is>
      </c>
      <c r="E6732" s="58" t="inlineStr">
        <is>
          <t>West</t>
        </is>
      </c>
      <c r="F6732" s="61" t="n">
        <v>3</v>
      </c>
      <c r="G6732" s="62" t="n">
        <v>916.12</v>
      </c>
      <c r="H6732" s="63" t="n">
        <v>0.033</v>
      </c>
      <c r="I6732" s="62" t="n">
        <v>631.99</v>
      </c>
      <c r="J6732" s="58" t="inlineStr">
        <is>
          <t>Phone</t>
        </is>
      </c>
      <c r="K6732" s="62">
        <f>F6732*(G6732-H6732)</f>
        <v/>
      </c>
      <c r="L6732" s="62">
        <f>K6732-(F6732*I6732)</f>
        <v/>
      </c>
      <c r="M6732" s="64">
        <f>L6732/K6732</f>
        <v/>
      </c>
    </row>
    <row r="6733">
      <c r="A6733" s="58" t="inlineStr">
        <is>
          <t>RT20250620-06732</t>
        </is>
      </c>
      <c r="B6733" s="59" t="inlineStr">
        <is>
          <t>2025-06-20</t>
        </is>
      </c>
      <c r="C6733" s="60" t="inlineStr">
        <is>
          <t>Orion Kid Max-640</t>
        </is>
      </c>
      <c r="D6733" s="58" t="inlineStr">
        <is>
          <t>Apparel</t>
        </is>
      </c>
      <c r="E6733" s="58" t="inlineStr">
        <is>
          <t>East</t>
        </is>
      </c>
      <c r="F6733" s="61" t="n">
        <v>1</v>
      </c>
      <c r="G6733" s="62" t="n">
        <v>136.23</v>
      </c>
      <c r="H6733" s="63" t="n">
        <v>0.064</v>
      </c>
      <c r="I6733" s="62" t="n">
        <v>73.27</v>
      </c>
      <c r="J6733" s="58" t="inlineStr">
        <is>
          <t>Store</t>
        </is>
      </c>
      <c r="K6733" s="62">
        <f>F6733*(G6733-H6733)</f>
        <v/>
      </c>
      <c r="L6733" s="62">
        <f>K6733-(F6733*I6733)</f>
        <v/>
      </c>
      <c r="M6733" s="64">
        <f>L6733/K6733</f>
        <v/>
      </c>
    </row>
    <row r="6734">
      <c r="A6734" s="58" t="inlineStr">
        <is>
          <t>RT20250620-06733</t>
        </is>
      </c>
      <c r="B6734" s="59" t="inlineStr">
        <is>
          <t>2025-06-20</t>
        </is>
      </c>
      <c r="C6734" s="60" t="inlineStr">
        <is>
          <t>Aurora Skincare Max-798</t>
        </is>
      </c>
      <c r="D6734" s="58" t="inlineStr">
        <is>
          <t>Beauty</t>
        </is>
      </c>
      <c r="E6734" s="58" t="inlineStr">
        <is>
          <t>Central</t>
        </is>
      </c>
      <c r="F6734" s="61" t="n">
        <v>2</v>
      </c>
      <c r="G6734" s="62" t="n">
        <v>111.98</v>
      </c>
      <c r="H6734" s="63" t="n">
        <v>0.116</v>
      </c>
      <c r="I6734" s="62" t="n">
        <v>68.39</v>
      </c>
      <c r="J6734" s="58" t="inlineStr">
        <is>
          <t>Online</t>
        </is>
      </c>
      <c r="K6734" s="62">
        <f>F6734*(G6734-H6734)</f>
        <v/>
      </c>
      <c r="L6734" s="62">
        <f>K6734-(F6734*I6734)</f>
        <v/>
      </c>
      <c r="M6734" s="64">
        <f>L6734/K6734</f>
        <v/>
      </c>
    </row>
    <row r="6735">
      <c r="A6735" s="58" t="inlineStr">
        <is>
          <t>RT20250620-06734</t>
        </is>
      </c>
      <c r="B6735" s="59" t="inlineStr">
        <is>
          <t>2025-06-20</t>
        </is>
      </c>
      <c r="C6735" s="60" t="inlineStr">
        <is>
          <t>Falcon Bedding S-674</t>
        </is>
      </c>
      <c r="D6735" s="58" t="inlineStr">
        <is>
          <t>Home</t>
        </is>
      </c>
      <c r="E6735" s="58" t="inlineStr">
        <is>
          <t>South</t>
        </is>
      </c>
      <c r="F6735" s="61" t="n">
        <v>1</v>
      </c>
      <c r="G6735" s="62" t="n">
        <v>627.33</v>
      </c>
      <c r="H6735" s="63" t="n">
        <v>0.099</v>
      </c>
      <c r="I6735" s="62" t="n">
        <v>449</v>
      </c>
      <c r="J6735" s="58" t="inlineStr">
        <is>
          <t>Online</t>
        </is>
      </c>
      <c r="K6735" s="62">
        <f>F6735*(G6735-H6735)</f>
        <v/>
      </c>
      <c r="L6735" s="62">
        <f>K6735-(F6735*I6735)</f>
        <v/>
      </c>
      <c r="M6735" s="64">
        <f>L6735/K6735</f>
        <v/>
      </c>
    </row>
    <row r="6736">
      <c r="A6736" s="58" t="inlineStr">
        <is>
          <t>RT20250620-06735</t>
        </is>
      </c>
      <c r="B6736" s="59" t="inlineStr">
        <is>
          <t>2025-06-20</t>
        </is>
      </c>
      <c r="C6736" s="60" t="inlineStr">
        <is>
          <t>Falcon Headphone Plus-789</t>
        </is>
      </c>
      <c r="D6736" s="58" t="inlineStr">
        <is>
          <t>Electronics</t>
        </is>
      </c>
      <c r="E6736" s="58" t="inlineStr">
        <is>
          <t>East</t>
        </is>
      </c>
      <c r="F6736" s="61" t="n">
        <v>1</v>
      </c>
      <c r="G6736" s="62" t="n">
        <v>1792.45</v>
      </c>
      <c r="H6736" s="63" t="n">
        <v>0.047</v>
      </c>
      <c r="I6736" s="62" t="n">
        <v>1328.22</v>
      </c>
      <c r="J6736" s="58" t="inlineStr">
        <is>
          <t>Store</t>
        </is>
      </c>
      <c r="K6736" s="62">
        <f>F6736*(G6736-H6736)</f>
        <v/>
      </c>
      <c r="L6736" s="62">
        <f>K6736-(F6736*I6736)</f>
        <v/>
      </c>
      <c r="M6736" s="64">
        <f>L6736/K6736</f>
        <v/>
      </c>
    </row>
    <row r="6737">
      <c r="A6737" s="58" t="inlineStr">
        <is>
          <t>RT20250620-06736</t>
        </is>
      </c>
      <c r="B6737" s="59" t="inlineStr">
        <is>
          <t>2025-06-20</t>
        </is>
      </c>
      <c r="C6737" s="60" t="inlineStr">
        <is>
          <t>Metro Wearable Plus-234</t>
        </is>
      </c>
      <c r="D6737" s="58" t="inlineStr">
        <is>
          <t>Electronics</t>
        </is>
      </c>
      <c r="E6737" s="58" t="inlineStr">
        <is>
          <t>East</t>
        </is>
      </c>
      <c r="F6737" s="61" t="n">
        <v>2</v>
      </c>
      <c r="G6737" s="62" t="n">
        <v>1421.22</v>
      </c>
      <c r="H6737" s="63" t="n">
        <v>0.079</v>
      </c>
      <c r="I6737" s="62" t="n">
        <v>1175.39</v>
      </c>
      <c r="J6737" s="58" t="inlineStr">
        <is>
          <t>Store</t>
        </is>
      </c>
      <c r="K6737" s="62">
        <f>F6737*(G6737-H6737)</f>
        <v/>
      </c>
      <c r="L6737" s="62">
        <f>K6737-(F6737*I6737)</f>
        <v/>
      </c>
      <c r="M6737" s="64">
        <f>L6737/K6737</f>
        <v/>
      </c>
    </row>
    <row r="6738">
      <c r="A6738" s="58" t="inlineStr">
        <is>
          <t>RT20250620-06737</t>
        </is>
      </c>
      <c r="B6738" s="59" t="inlineStr">
        <is>
          <t>2025-06-20</t>
        </is>
      </c>
      <c r="C6738" s="60" t="inlineStr">
        <is>
          <t>Polar Haircare Max-614</t>
        </is>
      </c>
      <c r="D6738" s="58" t="inlineStr">
        <is>
          <t>Beauty</t>
        </is>
      </c>
      <c r="E6738" s="58" t="inlineStr">
        <is>
          <t>Central</t>
        </is>
      </c>
      <c r="F6738" s="61" t="n">
        <v>2</v>
      </c>
      <c r="G6738" s="62" t="n">
        <v>110.84</v>
      </c>
      <c r="H6738" s="63" t="n">
        <v>0.097</v>
      </c>
      <c r="I6738" s="62" t="n">
        <v>70.06</v>
      </c>
      <c r="J6738" s="58" t="inlineStr">
        <is>
          <t>Online</t>
        </is>
      </c>
      <c r="K6738" s="62">
        <f>F6738*(G6738-H6738)</f>
        <v/>
      </c>
      <c r="L6738" s="62">
        <f>K6738-(F6738*I6738)</f>
        <v/>
      </c>
      <c r="M6738" s="64">
        <f>L6738/K6738</f>
        <v/>
      </c>
    </row>
    <row r="6739">
      <c r="A6739" s="58" t="inlineStr">
        <is>
          <t>RT20250620-06738</t>
        </is>
      </c>
      <c r="B6739" s="59" t="inlineStr">
        <is>
          <t>2025-06-20</t>
        </is>
      </c>
      <c r="C6739" s="60" t="inlineStr">
        <is>
          <t>Falcon Haircare Pro-980</t>
        </is>
      </c>
      <c r="D6739" s="58" t="inlineStr">
        <is>
          <t>Beauty</t>
        </is>
      </c>
      <c r="E6739" s="58" t="inlineStr">
        <is>
          <t>Central</t>
        </is>
      </c>
      <c r="F6739" s="61" t="n">
        <v>2</v>
      </c>
      <c r="G6739" s="62" t="n">
        <v>84.86</v>
      </c>
      <c r="H6739" s="63" t="n">
        <v>0.096</v>
      </c>
      <c r="I6739" s="62" t="n">
        <v>56.14</v>
      </c>
      <c r="J6739" s="58" t="inlineStr">
        <is>
          <t>Store</t>
        </is>
      </c>
      <c r="K6739" s="62">
        <f>F6739*(G6739-H6739)</f>
        <v/>
      </c>
      <c r="L6739" s="62">
        <f>K6739-(F6739*I6739)</f>
        <v/>
      </c>
      <c r="M6739" s="64">
        <f>L6739/K6739</f>
        <v/>
      </c>
    </row>
    <row r="6740">
      <c r="A6740" s="58" t="inlineStr">
        <is>
          <t>RT20250620-06739</t>
        </is>
      </c>
      <c r="B6740" s="59" t="inlineStr">
        <is>
          <t>2025-06-20</t>
        </is>
      </c>
      <c r="C6740" s="60" t="inlineStr">
        <is>
          <t>Vertex Pantry Pro-165</t>
        </is>
      </c>
      <c r="D6740" s="58" t="inlineStr">
        <is>
          <t>Grocery</t>
        </is>
      </c>
      <c r="E6740" s="58" t="inlineStr">
        <is>
          <t>East</t>
        </is>
      </c>
      <c r="F6740" s="61" t="n">
        <v>7</v>
      </c>
      <c r="G6740" s="62" t="n">
        <v>13.91</v>
      </c>
      <c r="H6740" s="63" t="n">
        <v>0.105</v>
      </c>
      <c r="I6740" s="62" t="n">
        <v>11.85</v>
      </c>
      <c r="J6740" s="58" t="inlineStr">
        <is>
          <t>Store</t>
        </is>
      </c>
      <c r="K6740" s="62">
        <f>F6740*(G6740-H6740)</f>
        <v/>
      </c>
      <c r="L6740" s="62">
        <f>K6740-(F6740*I6740)</f>
        <v/>
      </c>
      <c r="M6740" s="64">
        <f>L6740/K6740</f>
        <v/>
      </c>
    </row>
    <row r="6741">
      <c r="A6741" s="58" t="inlineStr">
        <is>
          <t>RT20250620-06740</t>
        </is>
      </c>
      <c r="B6741" s="59" t="inlineStr">
        <is>
          <t>2025-06-20</t>
        </is>
      </c>
      <c r="C6741" s="60" t="inlineStr">
        <is>
          <t>Aurora Fragrance S-971</t>
        </is>
      </c>
      <c r="D6741" s="58" t="inlineStr">
        <is>
          <t>Beauty</t>
        </is>
      </c>
      <c r="E6741" s="58" t="inlineStr">
        <is>
          <t>Central</t>
        </is>
      </c>
      <c r="F6741" s="61" t="n">
        <v>3</v>
      </c>
      <c r="G6741" s="62" t="n">
        <v>115.43</v>
      </c>
      <c r="H6741" s="63" t="n">
        <v>0.08</v>
      </c>
      <c r="I6741" s="62" t="n">
        <v>63.39</v>
      </c>
      <c r="J6741" s="58" t="inlineStr">
        <is>
          <t>Store</t>
        </is>
      </c>
      <c r="K6741" s="62">
        <f>F6741*(G6741-H6741)</f>
        <v/>
      </c>
      <c r="L6741" s="62">
        <f>K6741-(F6741*I6741)</f>
        <v/>
      </c>
      <c r="M6741" s="64">
        <f>L6741/K6741</f>
        <v/>
      </c>
    </row>
    <row r="6742">
      <c r="A6742" s="58" t="inlineStr">
        <is>
          <t>RT20250620-06741</t>
        </is>
      </c>
      <c r="B6742" s="59" t="inlineStr">
        <is>
          <t>2025-06-20</t>
        </is>
      </c>
      <c r="C6742" s="60" t="inlineStr">
        <is>
          <t>Polar Women Max-927</t>
        </is>
      </c>
      <c r="D6742" s="58" t="inlineStr">
        <is>
          <t>Apparel</t>
        </is>
      </c>
      <c r="E6742" s="58" t="inlineStr">
        <is>
          <t>North</t>
        </is>
      </c>
      <c r="F6742" s="61" t="n">
        <v>3</v>
      </c>
      <c r="G6742" s="62" t="n">
        <v>110.88</v>
      </c>
      <c r="H6742" s="63" t="n">
        <v>0.052</v>
      </c>
      <c r="I6742" s="62" t="n">
        <v>66.31</v>
      </c>
      <c r="J6742" s="58" t="inlineStr">
        <is>
          <t>Online</t>
        </is>
      </c>
      <c r="K6742" s="62">
        <f>F6742*(G6742-H6742)</f>
        <v/>
      </c>
      <c r="L6742" s="62">
        <f>K6742-(F6742*I6742)</f>
        <v/>
      </c>
      <c r="M6742" s="64">
        <f>L6742/K6742</f>
        <v/>
      </c>
    </row>
    <row r="6743">
      <c r="A6743" s="58" t="inlineStr">
        <is>
          <t>RT20250620-06742</t>
        </is>
      </c>
      <c r="B6743" s="59" t="inlineStr">
        <is>
          <t>2025-06-20</t>
        </is>
      </c>
      <c r="C6743" s="60" t="inlineStr">
        <is>
          <t>Metro Beverage Max-490</t>
        </is>
      </c>
      <c r="D6743" s="58" t="inlineStr">
        <is>
          <t>Grocery</t>
        </is>
      </c>
      <c r="E6743" s="58" t="inlineStr">
        <is>
          <t>Central</t>
        </is>
      </c>
      <c r="F6743" s="61" t="n">
        <v>5</v>
      </c>
      <c r="G6743" s="62" t="n">
        <v>10.36</v>
      </c>
      <c r="H6743" s="63" t="n">
        <v>0.144</v>
      </c>
      <c r="I6743" s="62" t="n">
        <v>8.039999999999999</v>
      </c>
      <c r="J6743" s="58" t="inlineStr">
        <is>
          <t>Online</t>
        </is>
      </c>
      <c r="K6743" s="62">
        <f>F6743*(G6743-H6743)</f>
        <v/>
      </c>
      <c r="L6743" s="62">
        <f>K6743-(F6743*I6743)</f>
        <v/>
      </c>
      <c r="M6743" s="64">
        <f>L6743/K6743</f>
        <v/>
      </c>
    </row>
    <row r="6744">
      <c r="A6744" s="58" t="inlineStr">
        <is>
          <t>RT20250620-06743</t>
        </is>
      </c>
      <c r="B6744" s="59" t="inlineStr">
        <is>
          <t>2025-06-20</t>
        </is>
      </c>
      <c r="C6744" s="60" t="inlineStr">
        <is>
          <t>Metro Wearable Plus-234</t>
        </is>
      </c>
      <c r="D6744" s="58" t="inlineStr">
        <is>
          <t>Electronics</t>
        </is>
      </c>
      <c r="E6744" s="58" t="inlineStr">
        <is>
          <t>North</t>
        </is>
      </c>
      <c r="F6744" s="61" t="n">
        <v>1</v>
      </c>
      <c r="G6744" s="62" t="n">
        <v>1633.68</v>
      </c>
      <c r="H6744" s="63" t="n">
        <v>0.103</v>
      </c>
      <c r="I6744" s="62" t="n">
        <v>1201.77</v>
      </c>
      <c r="J6744" s="58" t="inlineStr">
        <is>
          <t>Online</t>
        </is>
      </c>
      <c r="K6744" s="62">
        <f>F6744*(G6744-H6744)</f>
        <v/>
      </c>
      <c r="L6744" s="62">
        <f>K6744-(F6744*I6744)</f>
        <v/>
      </c>
      <c r="M6744" s="64">
        <f>L6744/K6744</f>
        <v/>
      </c>
    </row>
    <row r="6745">
      <c r="A6745" s="58" t="inlineStr">
        <is>
          <t>RT20250620-06744</t>
        </is>
      </c>
      <c r="B6745" s="59" t="inlineStr">
        <is>
          <t>2025-06-20</t>
        </is>
      </c>
      <c r="C6745" s="60" t="inlineStr">
        <is>
          <t>Metro Wearable Plus-234</t>
        </is>
      </c>
      <c r="D6745" s="58" t="inlineStr">
        <is>
          <t>Electronics</t>
        </is>
      </c>
      <c r="E6745" s="58" t="inlineStr">
        <is>
          <t>North</t>
        </is>
      </c>
      <c r="F6745" s="61" t="n">
        <v>2</v>
      </c>
      <c r="G6745" s="62" t="n">
        <v>1542.7</v>
      </c>
      <c r="H6745" s="63" t="n">
        <v>0.05</v>
      </c>
      <c r="I6745" s="62" t="n">
        <v>1163.89</v>
      </c>
      <c r="J6745" s="58" t="inlineStr">
        <is>
          <t>Online</t>
        </is>
      </c>
      <c r="K6745" s="62">
        <f>F6745*(G6745-H6745)</f>
        <v/>
      </c>
      <c r="L6745" s="62">
        <f>K6745-(F6745*I6745)</f>
        <v/>
      </c>
      <c r="M6745" s="64">
        <f>L6745/K6745</f>
        <v/>
      </c>
    </row>
    <row r="6746">
      <c r="A6746" s="58" t="inlineStr">
        <is>
          <t>RT20250620-06745</t>
        </is>
      </c>
      <c r="B6746" s="59" t="inlineStr">
        <is>
          <t>2025-06-20</t>
        </is>
      </c>
      <c r="C6746" s="60" t="inlineStr">
        <is>
          <t>Falcon Skincare Max-151</t>
        </is>
      </c>
      <c r="D6746" s="58" t="inlineStr">
        <is>
          <t>Beauty</t>
        </is>
      </c>
      <c r="E6746" s="58" t="inlineStr">
        <is>
          <t>South</t>
        </is>
      </c>
      <c r="F6746" s="61" t="n">
        <v>2</v>
      </c>
      <c r="G6746" s="62" t="n">
        <v>102.68</v>
      </c>
      <c r="H6746" s="63" t="n">
        <v>0.035</v>
      </c>
      <c r="I6746" s="62" t="n">
        <v>58.79</v>
      </c>
      <c r="J6746" s="58" t="inlineStr">
        <is>
          <t>Online</t>
        </is>
      </c>
      <c r="K6746" s="62">
        <f>F6746*(G6746-H6746)</f>
        <v/>
      </c>
      <c r="L6746" s="62">
        <f>K6746-(F6746*I6746)</f>
        <v/>
      </c>
      <c r="M6746" s="64">
        <f>L6746/K6746</f>
        <v/>
      </c>
    </row>
    <row r="6747">
      <c r="A6747" s="58" t="inlineStr">
        <is>
          <t>RT20250620-06746</t>
        </is>
      </c>
      <c r="B6747" s="59" t="inlineStr">
        <is>
          <t>2025-06-20</t>
        </is>
      </c>
      <c r="C6747" s="60" t="inlineStr">
        <is>
          <t>Falcon Storage X-734</t>
        </is>
      </c>
      <c r="D6747" s="58" t="inlineStr">
        <is>
          <t>Office</t>
        </is>
      </c>
      <c r="E6747" s="58" t="inlineStr">
        <is>
          <t>West</t>
        </is>
      </c>
      <c r="F6747" s="61" t="n">
        <v>3</v>
      </c>
      <c r="G6747" s="62" t="n">
        <v>439.06</v>
      </c>
      <c r="H6747" s="63" t="n">
        <v>0.018</v>
      </c>
      <c r="I6747" s="62" t="n">
        <v>290.54</v>
      </c>
      <c r="J6747" s="58" t="inlineStr">
        <is>
          <t>Online</t>
        </is>
      </c>
      <c r="K6747" s="62">
        <f>F6747*(G6747-H6747)</f>
        <v/>
      </c>
      <c r="L6747" s="62">
        <f>K6747-(F6747*I6747)</f>
        <v/>
      </c>
      <c r="M6747" s="64">
        <f>L6747/K6747</f>
        <v/>
      </c>
    </row>
    <row r="6748">
      <c r="A6748" s="58" t="inlineStr">
        <is>
          <t>RT20250620-06747</t>
        </is>
      </c>
      <c r="B6748" s="59" t="inlineStr">
        <is>
          <t>2025-06-20</t>
        </is>
      </c>
      <c r="C6748" s="60" t="inlineStr">
        <is>
          <t>Solace Makeup Pro-214</t>
        </is>
      </c>
      <c r="D6748" s="58" t="inlineStr">
        <is>
          <t>Beauty</t>
        </is>
      </c>
      <c r="E6748" s="58" t="inlineStr">
        <is>
          <t>East</t>
        </is>
      </c>
      <c r="F6748" s="61" t="n">
        <v>1</v>
      </c>
      <c r="G6748" s="62" t="n">
        <v>106.74</v>
      </c>
      <c r="H6748" s="63" t="n">
        <v>0.055</v>
      </c>
      <c r="I6748" s="62" t="n">
        <v>67.23</v>
      </c>
      <c r="J6748" s="58" t="inlineStr">
        <is>
          <t>Online</t>
        </is>
      </c>
      <c r="K6748" s="62">
        <f>F6748*(G6748-H6748)</f>
        <v/>
      </c>
      <c r="L6748" s="62">
        <f>K6748-(F6748*I6748)</f>
        <v/>
      </c>
      <c r="M6748" s="64">
        <f>L6748/K6748</f>
        <v/>
      </c>
    </row>
    <row r="6749">
      <c r="A6749" s="58" t="inlineStr">
        <is>
          <t>RT20250620-06748</t>
        </is>
      </c>
      <c r="B6749" s="59" t="inlineStr">
        <is>
          <t>2025-06-20</t>
        </is>
      </c>
      <c r="C6749" s="60" t="inlineStr">
        <is>
          <t>Vertex Appliance S-159</t>
        </is>
      </c>
      <c r="D6749" s="58" t="inlineStr">
        <is>
          <t>Home</t>
        </is>
      </c>
      <c r="E6749" s="58" t="inlineStr">
        <is>
          <t>East</t>
        </is>
      </c>
      <c r="F6749" s="61" t="n">
        <v>1</v>
      </c>
      <c r="G6749" s="62" t="n">
        <v>397.59</v>
      </c>
      <c r="H6749" s="63" t="n">
        <v>0.061</v>
      </c>
      <c r="I6749" s="62" t="n">
        <v>287.45</v>
      </c>
      <c r="J6749" s="58" t="inlineStr">
        <is>
          <t>Store</t>
        </is>
      </c>
      <c r="K6749" s="62">
        <f>F6749*(G6749-H6749)</f>
        <v/>
      </c>
      <c r="L6749" s="62">
        <f>K6749-(F6749*I6749)</f>
        <v/>
      </c>
      <c r="M6749" s="64">
        <f>L6749/K6749</f>
        <v/>
      </c>
    </row>
    <row r="6750">
      <c r="A6750" s="58" t="inlineStr">
        <is>
          <t>RT20250620-06749</t>
        </is>
      </c>
      <c r="B6750" s="59" t="inlineStr">
        <is>
          <t>2025-06-20</t>
        </is>
      </c>
      <c r="C6750" s="60" t="inlineStr">
        <is>
          <t>Nimbus Cycling Plus-911</t>
        </is>
      </c>
      <c r="D6750" s="58" t="inlineStr">
        <is>
          <t>Sports</t>
        </is>
      </c>
      <c r="E6750" s="58" t="inlineStr">
        <is>
          <t>East</t>
        </is>
      </c>
      <c r="F6750" s="61" t="n">
        <v>3</v>
      </c>
      <c r="G6750" s="62" t="n">
        <v>558.08</v>
      </c>
      <c r="H6750" s="63" t="n">
        <v>0.1</v>
      </c>
      <c r="I6750" s="62" t="n">
        <v>404.19</v>
      </c>
      <c r="J6750" s="58" t="inlineStr">
        <is>
          <t>Online</t>
        </is>
      </c>
      <c r="K6750" s="62">
        <f>F6750*(G6750-H6750)</f>
        <v/>
      </c>
      <c r="L6750" s="62">
        <f>K6750-(F6750*I6750)</f>
        <v/>
      </c>
      <c r="M6750" s="64">
        <f>L6750/K6750</f>
        <v/>
      </c>
    </row>
    <row r="6751">
      <c r="A6751" s="58" t="inlineStr">
        <is>
          <t>RT20250620-06750</t>
        </is>
      </c>
      <c r="B6751" s="59" t="inlineStr">
        <is>
          <t>2025-06-20</t>
        </is>
      </c>
      <c r="C6751" s="60" t="inlineStr">
        <is>
          <t>Nimbus Headphone X-854</t>
        </is>
      </c>
      <c r="D6751" s="58" t="inlineStr">
        <is>
          <t>Electronics</t>
        </is>
      </c>
      <c r="E6751" s="58" t="inlineStr">
        <is>
          <t>West</t>
        </is>
      </c>
      <c r="F6751" s="61" t="n">
        <v>2</v>
      </c>
      <c r="G6751" s="62" t="n">
        <v>1439.89</v>
      </c>
      <c r="H6751" s="63" t="n">
        <v>0.078</v>
      </c>
      <c r="I6751" s="62" t="n">
        <v>1269.12</v>
      </c>
      <c r="J6751" s="58" t="inlineStr">
        <is>
          <t>Online</t>
        </is>
      </c>
      <c r="K6751" s="62">
        <f>F6751*(G6751-H6751)</f>
        <v/>
      </c>
      <c r="L6751" s="62">
        <f>K6751-(F6751*I6751)</f>
        <v/>
      </c>
      <c r="M6751" s="64">
        <f>L6751/K6751</f>
        <v/>
      </c>
    </row>
    <row r="6752">
      <c r="A6752" s="58" t="inlineStr">
        <is>
          <t>RT20250620-06751</t>
        </is>
      </c>
      <c r="B6752" s="59" t="inlineStr">
        <is>
          <t>2025-06-20</t>
        </is>
      </c>
      <c r="C6752" s="60" t="inlineStr">
        <is>
          <t>Nimbus Men Plus-231</t>
        </is>
      </c>
      <c r="D6752" s="58" t="inlineStr">
        <is>
          <t>Apparel</t>
        </is>
      </c>
      <c r="E6752" s="58" t="inlineStr">
        <is>
          <t>East</t>
        </is>
      </c>
      <c r="F6752" s="61" t="n">
        <v>3</v>
      </c>
      <c r="G6752" s="62" t="n">
        <v>161.95</v>
      </c>
      <c r="H6752" s="63" t="n">
        <v>0.08599999999999999</v>
      </c>
      <c r="I6752" s="62" t="n">
        <v>91.33</v>
      </c>
      <c r="J6752" s="58" t="inlineStr">
        <is>
          <t>Store</t>
        </is>
      </c>
      <c r="K6752" s="62">
        <f>F6752*(G6752-H6752)</f>
        <v/>
      </c>
      <c r="L6752" s="62">
        <f>K6752-(F6752*I6752)</f>
        <v/>
      </c>
      <c r="M6752" s="64">
        <f>L6752/K6752</f>
        <v/>
      </c>
    </row>
    <row r="6753">
      <c r="A6753" s="58" t="inlineStr">
        <is>
          <t>RT20250620-06752</t>
        </is>
      </c>
      <c r="B6753" s="59" t="inlineStr">
        <is>
          <t>2025-06-20</t>
        </is>
      </c>
      <c r="C6753" s="60" t="inlineStr">
        <is>
          <t>Nimbus Makeup Max-158</t>
        </is>
      </c>
      <c r="D6753" s="58" t="inlineStr">
        <is>
          <t>Beauty</t>
        </is>
      </c>
      <c r="E6753" s="58" t="inlineStr">
        <is>
          <t>Central</t>
        </is>
      </c>
      <c r="F6753" s="61" t="n">
        <v>5</v>
      </c>
      <c r="G6753" s="62" t="n">
        <v>157.64</v>
      </c>
      <c r="H6753" s="63" t="n">
        <v>0.026</v>
      </c>
      <c r="I6753" s="62" t="n">
        <v>93.98999999999999</v>
      </c>
      <c r="J6753" s="58" t="inlineStr">
        <is>
          <t>Store</t>
        </is>
      </c>
      <c r="K6753" s="62">
        <f>F6753*(G6753-H6753)</f>
        <v/>
      </c>
      <c r="L6753" s="62">
        <f>K6753-(F6753*I6753)</f>
        <v/>
      </c>
      <c r="M6753" s="64">
        <f>L6753/K6753</f>
        <v/>
      </c>
    </row>
    <row r="6754">
      <c r="A6754" s="58" t="inlineStr">
        <is>
          <t>RT20250620-06753</t>
        </is>
      </c>
      <c r="B6754" s="59" t="inlineStr">
        <is>
          <t>2025-06-20</t>
        </is>
      </c>
      <c r="C6754" s="60" t="inlineStr">
        <is>
          <t>Vertex Smartphone Lite-267</t>
        </is>
      </c>
      <c r="D6754" s="58" t="inlineStr">
        <is>
          <t>Electronics</t>
        </is>
      </c>
      <c r="E6754" s="58" t="inlineStr">
        <is>
          <t>North</t>
        </is>
      </c>
      <c r="F6754" s="61" t="n">
        <v>2</v>
      </c>
      <c r="G6754" s="62" t="n">
        <v>1270.04</v>
      </c>
      <c r="H6754" s="63" t="n">
        <v>0.061</v>
      </c>
      <c r="I6754" s="62" t="n">
        <v>957.66</v>
      </c>
      <c r="J6754" s="58" t="inlineStr">
        <is>
          <t>Online</t>
        </is>
      </c>
      <c r="K6754" s="62">
        <f>F6754*(G6754-H6754)</f>
        <v/>
      </c>
      <c r="L6754" s="62">
        <f>K6754-(F6754*I6754)</f>
        <v/>
      </c>
      <c r="M6754" s="64">
        <f>L6754/K6754</f>
        <v/>
      </c>
    </row>
    <row r="6755">
      <c r="A6755" s="58" t="inlineStr">
        <is>
          <t>RT20250620-06754</t>
        </is>
      </c>
      <c r="B6755" s="59" t="inlineStr">
        <is>
          <t>2025-06-20</t>
        </is>
      </c>
      <c r="C6755" s="60" t="inlineStr">
        <is>
          <t>Vertex Pantry Pro-165</t>
        </is>
      </c>
      <c r="D6755" s="58" t="inlineStr">
        <is>
          <t>Grocery</t>
        </is>
      </c>
      <c r="E6755" s="58" t="inlineStr">
        <is>
          <t>East</t>
        </is>
      </c>
      <c r="F6755" s="61" t="n">
        <v>3</v>
      </c>
      <c r="G6755" s="62" t="n">
        <v>17.01</v>
      </c>
      <c r="H6755" s="63" t="n">
        <v>0.117</v>
      </c>
      <c r="I6755" s="62" t="n">
        <v>11.53</v>
      </c>
      <c r="J6755" s="58" t="inlineStr">
        <is>
          <t>Store</t>
        </is>
      </c>
      <c r="K6755" s="62">
        <f>F6755*(G6755-H6755)</f>
        <v/>
      </c>
      <c r="L6755" s="62">
        <f>K6755-(F6755*I6755)</f>
        <v/>
      </c>
      <c r="M6755" s="64">
        <f>L6755/K6755</f>
        <v/>
      </c>
    </row>
    <row r="6756">
      <c r="A6756" s="58" t="inlineStr">
        <is>
          <t>RT20250620-06755</t>
        </is>
      </c>
      <c r="B6756" s="59" t="inlineStr">
        <is>
          <t>2025-06-20</t>
        </is>
      </c>
      <c r="C6756" s="60" t="inlineStr">
        <is>
          <t>Polar Fragrance Pro-750</t>
        </is>
      </c>
      <c r="D6756" s="58" t="inlineStr">
        <is>
          <t>Beauty</t>
        </is>
      </c>
      <c r="E6756" s="58" t="inlineStr">
        <is>
          <t>South</t>
        </is>
      </c>
      <c r="F6756" s="61" t="n">
        <v>1</v>
      </c>
      <c r="G6756" s="62" t="n">
        <v>61.72</v>
      </c>
      <c r="H6756" s="63" t="n">
        <v>0.042</v>
      </c>
      <c r="I6756" s="62" t="n">
        <v>37.58</v>
      </c>
      <c r="J6756" s="58" t="inlineStr">
        <is>
          <t>Online</t>
        </is>
      </c>
      <c r="K6756" s="62">
        <f>F6756*(G6756-H6756)</f>
        <v/>
      </c>
      <c r="L6756" s="62">
        <f>K6756-(F6756*I6756)</f>
        <v/>
      </c>
      <c r="M6756" s="64">
        <f>L6756/K6756</f>
        <v/>
      </c>
    </row>
    <row r="6757">
      <c r="A6757" s="58" t="inlineStr">
        <is>
          <t>RT20250620-06756</t>
        </is>
      </c>
      <c r="B6757" s="59" t="inlineStr">
        <is>
          <t>2025-06-20</t>
        </is>
      </c>
      <c r="C6757" s="60" t="inlineStr">
        <is>
          <t>Aurora Haircare S-975</t>
        </is>
      </c>
      <c r="D6757" s="58" t="inlineStr">
        <is>
          <t>Beauty</t>
        </is>
      </c>
      <c r="E6757" s="58" t="inlineStr">
        <is>
          <t>Central</t>
        </is>
      </c>
      <c r="F6757" s="61" t="n">
        <v>1</v>
      </c>
      <c r="G6757" s="62" t="n">
        <v>91.69</v>
      </c>
      <c r="H6757" s="63" t="n">
        <v>0.038</v>
      </c>
      <c r="I6757" s="62" t="n">
        <v>58.5</v>
      </c>
      <c r="J6757" s="58" t="inlineStr">
        <is>
          <t>Store</t>
        </is>
      </c>
      <c r="K6757" s="62">
        <f>F6757*(G6757-H6757)</f>
        <v/>
      </c>
      <c r="L6757" s="62">
        <f>K6757-(F6757*I6757)</f>
        <v/>
      </c>
      <c r="M6757" s="64">
        <f>L6757/K6757</f>
        <v/>
      </c>
    </row>
    <row r="6758">
      <c r="A6758" s="58" t="inlineStr">
        <is>
          <t>RT20250620-06757</t>
        </is>
      </c>
      <c r="B6758" s="59" t="inlineStr">
        <is>
          <t>2025-06-20</t>
        </is>
      </c>
      <c r="C6758" s="60" t="inlineStr">
        <is>
          <t>Vertex Skincare Pro-891</t>
        </is>
      </c>
      <c r="D6758" s="58" t="inlineStr">
        <is>
          <t>Beauty</t>
        </is>
      </c>
      <c r="E6758" s="58" t="inlineStr">
        <is>
          <t>East</t>
        </is>
      </c>
      <c r="F6758" s="61" t="n">
        <v>1</v>
      </c>
      <c r="G6758" s="62" t="n">
        <v>139.83</v>
      </c>
      <c r="H6758" s="63" t="n">
        <v>0.038</v>
      </c>
      <c r="I6758" s="62" t="n">
        <v>89.41</v>
      </c>
      <c r="J6758" s="58" t="inlineStr">
        <is>
          <t>Online</t>
        </is>
      </c>
      <c r="K6758" s="62">
        <f>F6758*(G6758-H6758)</f>
        <v/>
      </c>
      <c r="L6758" s="62">
        <f>K6758-(F6758*I6758)</f>
        <v/>
      </c>
      <c r="M6758" s="64">
        <f>L6758/K6758</f>
        <v/>
      </c>
    </row>
    <row r="6759">
      <c r="A6759" s="58" t="inlineStr">
        <is>
          <t>RT20250620-06758</t>
        </is>
      </c>
      <c r="B6759" s="59" t="inlineStr">
        <is>
          <t>2025-06-20</t>
        </is>
      </c>
      <c r="C6759" s="60" t="inlineStr">
        <is>
          <t>Vertex Decor Pro-618</t>
        </is>
      </c>
      <c r="D6759" s="58" t="inlineStr">
        <is>
          <t>Home</t>
        </is>
      </c>
      <c r="E6759" s="58" t="inlineStr">
        <is>
          <t>East</t>
        </is>
      </c>
      <c r="F6759" s="61" t="n">
        <v>1</v>
      </c>
      <c r="G6759" s="62" t="n">
        <v>640.17</v>
      </c>
      <c r="H6759" s="63" t="n">
        <v>0.021</v>
      </c>
      <c r="I6759" s="62" t="n">
        <v>387.72</v>
      </c>
      <c r="J6759" s="58" t="inlineStr">
        <is>
          <t>Online</t>
        </is>
      </c>
      <c r="K6759" s="62">
        <f>F6759*(G6759-H6759)</f>
        <v/>
      </c>
      <c r="L6759" s="62">
        <f>K6759-(F6759*I6759)</f>
        <v/>
      </c>
      <c r="M6759" s="64">
        <f>L6759/K6759</f>
        <v/>
      </c>
    </row>
    <row r="6760">
      <c r="A6760" s="58" t="inlineStr">
        <is>
          <t>RT20250620-06759</t>
        </is>
      </c>
      <c r="B6760" s="59" t="inlineStr">
        <is>
          <t>2025-06-20</t>
        </is>
      </c>
      <c r="C6760" s="60" t="inlineStr">
        <is>
          <t>Aurora Fragrance S-971</t>
        </is>
      </c>
      <c r="D6760" s="58" t="inlineStr">
        <is>
          <t>Beauty</t>
        </is>
      </c>
      <c r="E6760" s="58" t="inlineStr">
        <is>
          <t>East</t>
        </is>
      </c>
      <c r="F6760" s="61" t="n">
        <v>2</v>
      </c>
      <c r="G6760" s="62" t="n">
        <v>97.67</v>
      </c>
      <c r="H6760" s="63" t="n">
        <v>0.057</v>
      </c>
      <c r="I6760" s="62" t="n">
        <v>67.01000000000001</v>
      </c>
      <c r="J6760" s="58" t="inlineStr">
        <is>
          <t>Online</t>
        </is>
      </c>
      <c r="K6760" s="62">
        <f>F6760*(G6760-H6760)</f>
        <v/>
      </c>
      <c r="L6760" s="62">
        <f>K6760-(F6760*I6760)</f>
        <v/>
      </c>
      <c r="M6760" s="64">
        <f>L6760/K6760</f>
        <v/>
      </c>
    </row>
    <row r="6761">
      <c r="A6761" s="58" t="inlineStr">
        <is>
          <t>RT20250620-06760</t>
        </is>
      </c>
      <c r="B6761" s="59" t="inlineStr">
        <is>
          <t>2025-06-20</t>
        </is>
      </c>
      <c r="C6761" s="60" t="inlineStr">
        <is>
          <t>Vertex Appliance Max-338</t>
        </is>
      </c>
      <c r="D6761" s="58" t="inlineStr">
        <is>
          <t>Home</t>
        </is>
      </c>
      <c r="E6761" s="58" t="inlineStr">
        <is>
          <t>East</t>
        </is>
      </c>
      <c r="F6761" s="61" t="n">
        <v>2</v>
      </c>
      <c r="G6761" s="62" t="n">
        <v>356.88</v>
      </c>
      <c r="H6761" s="63" t="n">
        <v>0.046</v>
      </c>
      <c r="I6761" s="62" t="n">
        <v>292.72</v>
      </c>
      <c r="J6761" s="58" t="inlineStr">
        <is>
          <t>Store</t>
        </is>
      </c>
      <c r="K6761" s="62">
        <f>F6761*(G6761-H6761)</f>
        <v/>
      </c>
      <c r="L6761" s="62">
        <f>K6761-(F6761*I6761)</f>
        <v/>
      </c>
      <c r="M6761" s="64">
        <f>L6761/K6761</f>
        <v/>
      </c>
    </row>
    <row r="6762">
      <c r="A6762" s="58" t="inlineStr">
        <is>
          <t>RT20250620-06761</t>
        </is>
      </c>
      <c r="B6762" s="59" t="inlineStr">
        <is>
          <t>2025-06-20</t>
        </is>
      </c>
      <c r="C6762" s="60" t="inlineStr">
        <is>
          <t>Polar Bedding Lite-243</t>
        </is>
      </c>
      <c r="D6762" s="58" t="inlineStr">
        <is>
          <t>Home</t>
        </is>
      </c>
      <c r="E6762" s="58" t="inlineStr">
        <is>
          <t>East</t>
        </is>
      </c>
      <c r="F6762" s="61" t="n">
        <v>2</v>
      </c>
      <c r="G6762" s="62" t="n">
        <v>456.4</v>
      </c>
      <c r="H6762" s="63" t="n">
        <v>0.051</v>
      </c>
      <c r="I6762" s="62" t="n">
        <v>315.23</v>
      </c>
      <c r="J6762" s="58" t="inlineStr">
        <is>
          <t>Online</t>
        </is>
      </c>
      <c r="K6762" s="62">
        <f>F6762*(G6762-H6762)</f>
        <v/>
      </c>
      <c r="L6762" s="62">
        <f>K6762-(F6762*I6762)</f>
        <v/>
      </c>
      <c r="M6762" s="64">
        <f>L6762/K6762</f>
        <v/>
      </c>
    </row>
    <row r="6763">
      <c r="A6763" s="58" t="inlineStr">
        <is>
          <t>RT20250620-06762</t>
        </is>
      </c>
      <c r="B6763" s="59" t="inlineStr">
        <is>
          <t>2025-06-20</t>
        </is>
      </c>
      <c r="C6763" s="60" t="inlineStr">
        <is>
          <t>Orion Team Sport X-926</t>
        </is>
      </c>
      <c r="D6763" s="58" t="inlineStr">
        <is>
          <t>Sports</t>
        </is>
      </c>
      <c r="E6763" s="58" t="inlineStr">
        <is>
          <t>West</t>
        </is>
      </c>
      <c r="F6763" s="61" t="n">
        <v>2</v>
      </c>
      <c r="G6763" s="62" t="n">
        <v>331.13</v>
      </c>
      <c r="H6763" s="63" t="n">
        <v>0.08599999999999999</v>
      </c>
      <c r="I6763" s="62" t="n">
        <v>212.49</v>
      </c>
      <c r="J6763" s="58" t="inlineStr">
        <is>
          <t>Store</t>
        </is>
      </c>
      <c r="K6763" s="62">
        <f>F6763*(G6763-H6763)</f>
        <v/>
      </c>
      <c r="L6763" s="62">
        <f>K6763-(F6763*I6763)</f>
        <v/>
      </c>
      <c r="M6763" s="64">
        <f>L6763/K6763</f>
        <v/>
      </c>
    </row>
    <row r="6764">
      <c r="A6764" s="58" t="inlineStr">
        <is>
          <t>RT20250620-06763</t>
        </is>
      </c>
      <c r="B6764" s="59" t="inlineStr">
        <is>
          <t>2025-06-20</t>
        </is>
      </c>
      <c r="C6764" s="60" t="inlineStr">
        <is>
          <t>Orion Kid Max-640</t>
        </is>
      </c>
      <c r="D6764" s="58" t="inlineStr">
        <is>
          <t>Apparel</t>
        </is>
      </c>
      <c r="E6764" s="58" t="inlineStr">
        <is>
          <t>West</t>
        </is>
      </c>
      <c r="F6764" s="61" t="n">
        <v>2</v>
      </c>
      <c r="G6764" s="62" t="n">
        <v>134.01</v>
      </c>
      <c r="H6764" s="63" t="n">
        <v>0.039</v>
      </c>
      <c r="I6764" s="62" t="n">
        <v>71.70999999999999</v>
      </c>
      <c r="J6764" s="58" t="inlineStr">
        <is>
          <t>Store</t>
        </is>
      </c>
      <c r="K6764" s="62">
        <f>F6764*(G6764-H6764)</f>
        <v/>
      </c>
      <c r="L6764" s="62">
        <f>K6764-(F6764*I6764)</f>
        <v/>
      </c>
      <c r="M6764" s="64">
        <f>L6764/K6764</f>
        <v/>
      </c>
    </row>
    <row r="6765">
      <c r="A6765" s="58" t="inlineStr">
        <is>
          <t>RT20250620-06764</t>
        </is>
      </c>
      <c r="B6765" s="59" t="inlineStr">
        <is>
          <t>2025-06-20</t>
        </is>
      </c>
      <c r="C6765" s="60" t="inlineStr">
        <is>
          <t>Metro Beverage Max-490</t>
        </is>
      </c>
      <c r="D6765" s="58" t="inlineStr">
        <is>
          <t>Grocery</t>
        </is>
      </c>
      <c r="E6765" s="58" t="inlineStr">
        <is>
          <t>West</t>
        </is>
      </c>
      <c r="F6765" s="61" t="n">
        <v>6</v>
      </c>
      <c r="G6765" s="62" t="n">
        <v>10.1</v>
      </c>
      <c r="H6765" s="63" t="n">
        <v>0.064</v>
      </c>
      <c r="I6765" s="62" t="n">
        <v>8.18</v>
      </c>
      <c r="J6765" s="58" t="inlineStr">
        <is>
          <t>Online</t>
        </is>
      </c>
      <c r="K6765" s="62">
        <f>F6765*(G6765-H6765)</f>
        <v/>
      </c>
      <c r="L6765" s="62">
        <f>K6765-(F6765*I6765)</f>
        <v/>
      </c>
      <c r="M6765" s="64">
        <f>L6765/K6765</f>
        <v/>
      </c>
    </row>
    <row r="6766">
      <c r="A6766" s="58" t="inlineStr">
        <is>
          <t>RT20250620-06765</t>
        </is>
      </c>
      <c r="B6766" s="59" t="inlineStr">
        <is>
          <t>2025-06-20</t>
        </is>
      </c>
      <c r="C6766" s="60" t="inlineStr">
        <is>
          <t>Orion Kid Max-864</t>
        </is>
      </c>
      <c r="D6766" s="58" t="inlineStr">
        <is>
          <t>Apparel</t>
        </is>
      </c>
      <c r="E6766" s="58" t="inlineStr">
        <is>
          <t>West</t>
        </is>
      </c>
      <c r="F6766" s="61" t="n">
        <v>4</v>
      </c>
      <c r="G6766" s="62" t="n">
        <v>76.58</v>
      </c>
      <c r="H6766" s="63" t="n">
        <v>0.031</v>
      </c>
      <c r="I6766" s="62" t="n">
        <v>44.95</v>
      </c>
      <c r="J6766" s="58" t="inlineStr">
        <is>
          <t>Phone</t>
        </is>
      </c>
      <c r="K6766" s="62">
        <f>F6766*(G6766-H6766)</f>
        <v/>
      </c>
      <c r="L6766" s="62">
        <f>K6766-(F6766*I6766)</f>
        <v/>
      </c>
      <c r="M6766" s="64">
        <f>L6766/K6766</f>
        <v/>
      </c>
    </row>
    <row r="6767">
      <c r="A6767" s="58" t="inlineStr">
        <is>
          <t>RT20250620-06766</t>
        </is>
      </c>
      <c r="B6767" s="59" t="inlineStr">
        <is>
          <t>2025-06-20</t>
        </is>
      </c>
      <c r="C6767" s="60" t="inlineStr">
        <is>
          <t>Orion Haircare Plus-887</t>
        </is>
      </c>
      <c r="D6767" s="58" t="inlineStr">
        <is>
          <t>Beauty</t>
        </is>
      </c>
      <c r="E6767" s="58" t="inlineStr">
        <is>
          <t>West</t>
        </is>
      </c>
      <c r="F6767" s="61" t="n">
        <v>3</v>
      </c>
      <c r="G6767" s="62" t="n">
        <v>50.62</v>
      </c>
      <c r="H6767" s="63" t="n">
        <v>0.076</v>
      </c>
      <c r="I6767" s="62" t="n">
        <v>30.22</v>
      </c>
      <c r="J6767" s="58" t="inlineStr">
        <is>
          <t>Online</t>
        </is>
      </c>
      <c r="K6767" s="62">
        <f>F6767*(G6767-H6767)</f>
        <v/>
      </c>
      <c r="L6767" s="62">
        <f>K6767-(F6767*I6767)</f>
        <v/>
      </c>
      <c r="M6767" s="64">
        <f>L6767/K6767</f>
        <v/>
      </c>
    </row>
    <row r="6768">
      <c r="A6768" s="58" t="inlineStr">
        <is>
          <t>RT20250620-06767</t>
        </is>
      </c>
      <c r="B6768" s="59" t="inlineStr">
        <is>
          <t>2025-06-20</t>
        </is>
      </c>
      <c r="C6768" s="60" t="inlineStr">
        <is>
          <t>Nimbus Storage Plus-646</t>
        </is>
      </c>
      <c r="D6768" s="58" t="inlineStr">
        <is>
          <t>Office</t>
        </is>
      </c>
      <c r="E6768" s="58" t="inlineStr">
        <is>
          <t>South</t>
        </is>
      </c>
      <c r="F6768" s="61" t="n">
        <v>3</v>
      </c>
      <c r="G6768" s="62" t="n">
        <v>452.17</v>
      </c>
      <c r="H6768" s="63" t="n">
        <v>0.06</v>
      </c>
      <c r="I6768" s="62" t="n">
        <v>313.61</v>
      </c>
      <c r="J6768" s="58" t="inlineStr">
        <is>
          <t>Store</t>
        </is>
      </c>
      <c r="K6768" s="62">
        <f>F6768*(G6768-H6768)</f>
        <v/>
      </c>
      <c r="L6768" s="62">
        <f>K6768-(F6768*I6768)</f>
        <v/>
      </c>
      <c r="M6768" s="64">
        <f>L6768/K6768</f>
        <v/>
      </c>
    </row>
    <row r="6769">
      <c r="A6769" s="58" t="inlineStr">
        <is>
          <t>RT20250620-06768</t>
        </is>
      </c>
      <c r="B6769" s="59" t="inlineStr">
        <is>
          <t>2025-06-20</t>
        </is>
      </c>
      <c r="C6769" s="60" t="inlineStr">
        <is>
          <t>Falcon Headphone Pro-713</t>
        </is>
      </c>
      <c r="D6769" s="58" t="inlineStr">
        <is>
          <t>Electronics</t>
        </is>
      </c>
      <c r="E6769" s="58" t="inlineStr">
        <is>
          <t>Central</t>
        </is>
      </c>
      <c r="F6769" s="61" t="n">
        <v>2</v>
      </c>
      <c r="G6769" s="62" t="n">
        <v>1475.62</v>
      </c>
      <c r="H6769" s="63" t="n">
        <v>0.022</v>
      </c>
      <c r="I6769" s="62" t="n">
        <v>1194.18</v>
      </c>
      <c r="J6769" s="58" t="inlineStr">
        <is>
          <t>Online</t>
        </is>
      </c>
      <c r="K6769" s="62">
        <f>F6769*(G6769-H6769)</f>
        <v/>
      </c>
      <c r="L6769" s="62">
        <f>K6769-(F6769*I6769)</f>
        <v/>
      </c>
      <c r="M6769" s="64">
        <f>L6769/K6769</f>
        <v/>
      </c>
    </row>
    <row r="6770">
      <c r="A6770" s="58" t="inlineStr">
        <is>
          <t>RT20250620-06769</t>
        </is>
      </c>
      <c r="B6770" s="59" t="inlineStr">
        <is>
          <t>2025-06-20</t>
        </is>
      </c>
      <c r="C6770" s="60" t="inlineStr">
        <is>
          <t>Aurora Furniture X-709</t>
        </is>
      </c>
      <c r="D6770" s="58" t="inlineStr">
        <is>
          <t>Office</t>
        </is>
      </c>
      <c r="E6770" s="58" t="inlineStr">
        <is>
          <t>North</t>
        </is>
      </c>
      <c r="F6770" s="61" t="n">
        <v>3</v>
      </c>
      <c r="G6770" s="62" t="n">
        <v>425.34</v>
      </c>
      <c r="H6770" s="63" t="n">
        <v>0.056</v>
      </c>
      <c r="I6770" s="62" t="n">
        <v>300.3</v>
      </c>
      <c r="J6770" s="58" t="inlineStr">
        <is>
          <t>Phone</t>
        </is>
      </c>
      <c r="K6770" s="62">
        <f>F6770*(G6770-H6770)</f>
        <v/>
      </c>
      <c r="L6770" s="62">
        <f>K6770-(F6770*I6770)</f>
        <v/>
      </c>
      <c r="M6770" s="64">
        <f>L6770/K6770</f>
        <v/>
      </c>
    </row>
    <row r="6771">
      <c r="A6771" s="58" t="inlineStr">
        <is>
          <t>RT20250620-06770</t>
        </is>
      </c>
      <c r="B6771" s="59" t="inlineStr">
        <is>
          <t>2025-06-20</t>
        </is>
      </c>
      <c r="C6771" s="60" t="inlineStr">
        <is>
          <t>Vertex Furniture S-652</t>
        </is>
      </c>
      <c r="D6771" s="58" t="inlineStr">
        <is>
          <t>Office</t>
        </is>
      </c>
      <c r="E6771" s="58" t="inlineStr">
        <is>
          <t>West</t>
        </is>
      </c>
      <c r="F6771" s="61" t="n">
        <v>2</v>
      </c>
      <c r="G6771" s="62" t="n">
        <v>340.44</v>
      </c>
      <c r="H6771" s="63" t="n">
        <v>0.129</v>
      </c>
      <c r="I6771" s="62" t="n">
        <v>268.1</v>
      </c>
      <c r="J6771" s="58" t="inlineStr">
        <is>
          <t>Online</t>
        </is>
      </c>
      <c r="K6771" s="62">
        <f>F6771*(G6771-H6771)</f>
        <v/>
      </c>
      <c r="L6771" s="62">
        <f>K6771-(F6771*I6771)</f>
        <v/>
      </c>
      <c r="M6771" s="64">
        <f>L6771/K6771</f>
        <v/>
      </c>
    </row>
    <row r="6772">
      <c r="A6772" s="58" t="inlineStr">
        <is>
          <t>RT20250620-06771</t>
        </is>
      </c>
      <c r="B6772" s="59" t="inlineStr">
        <is>
          <t>2025-06-20</t>
        </is>
      </c>
      <c r="C6772" s="60" t="inlineStr">
        <is>
          <t>Solace Fitnes S-324</t>
        </is>
      </c>
      <c r="D6772" s="58" t="inlineStr">
        <is>
          <t>Sports</t>
        </is>
      </c>
      <c r="E6772" s="58" t="inlineStr">
        <is>
          <t>South</t>
        </is>
      </c>
      <c r="F6772" s="61" t="n">
        <v>2</v>
      </c>
      <c r="G6772" s="62" t="n">
        <v>702.46</v>
      </c>
      <c r="H6772" s="63" t="n">
        <v>0.079</v>
      </c>
      <c r="I6772" s="62" t="n">
        <v>540.55</v>
      </c>
      <c r="J6772" s="58" t="inlineStr">
        <is>
          <t>Online</t>
        </is>
      </c>
      <c r="K6772" s="62">
        <f>F6772*(G6772-H6772)</f>
        <v/>
      </c>
      <c r="L6772" s="62">
        <f>K6772-(F6772*I6772)</f>
        <v/>
      </c>
      <c r="M6772" s="64">
        <f>L6772/K6772</f>
        <v/>
      </c>
    </row>
    <row r="6773">
      <c r="A6773" s="58" t="inlineStr">
        <is>
          <t>RT20250620-06772</t>
        </is>
      </c>
      <c r="B6773" s="59" t="inlineStr">
        <is>
          <t>2025-06-20</t>
        </is>
      </c>
      <c r="C6773" s="60" t="inlineStr">
        <is>
          <t>Orion Men X-928</t>
        </is>
      </c>
      <c r="D6773" s="58" t="inlineStr">
        <is>
          <t>Apparel</t>
        </is>
      </c>
      <c r="E6773" s="58" t="inlineStr">
        <is>
          <t>South</t>
        </is>
      </c>
      <c r="F6773" s="61" t="n">
        <v>1</v>
      </c>
      <c r="G6773" s="62" t="n">
        <v>118.16</v>
      </c>
      <c r="H6773" s="63" t="n">
        <v>0.015</v>
      </c>
      <c r="I6773" s="62" t="n">
        <v>62.77</v>
      </c>
      <c r="J6773" s="58" t="inlineStr">
        <is>
          <t>Online</t>
        </is>
      </c>
      <c r="K6773" s="62">
        <f>F6773*(G6773-H6773)</f>
        <v/>
      </c>
      <c r="L6773" s="62">
        <f>K6773-(F6773*I6773)</f>
        <v/>
      </c>
      <c r="M6773" s="64">
        <f>L6773/K6773</f>
        <v/>
      </c>
    </row>
    <row r="6774">
      <c r="A6774" s="58" t="inlineStr">
        <is>
          <t>RT20250620-06773</t>
        </is>
      </c>
      <c r="B6774" s="59" t="inlineStr">
        <is>
          <t>2025-06-20</t>
        </is>
      </c>
      <c r="C6774" s="60" t="inlineStr">
        <is>
          <t>Falcon Kitchen X-130</t>
        </is>
      </c>
      <c r="D6774" s="58" t="inlineStr">
        <is>
          <t>Home</t>
        </is>
      </c>
      <c r="E6774" s="58" t="inlineStr">
        <is>
          <t>Central</t>
        </is>
      </c>
      <c r="F6774" s="61" t="n">
        <v>3</v>
      </c>
      <c r="G6774" s="62" t="n">
        <v>471.66</v>
      </c>
      <c r="H6774" s="63" t="n">
        <v>0.06900000000000001</v>
      </c>
      <c r="I6774" s="62" t="n">
        <v>286.98</v>
      </c>
      <c r="J6774" s="58" t="inlineStr">
        <is>
          <t>Phone</t>
        </is>
      </c>
      <c r="K6774" s="62">
        <f>F6774*(G6774-H6774)</f>
        <v/>
      </c>
      <c r="L6774" s="62">
        <f>K6774-(F6774*I6774)</f>
        <v/>
      </c>
      <c r="M6774" s="64">
        <f>L6774/K6774</f>
        <v/>
      </c>
    </row>
    <row r="6775">
      <c r="A6775" s="58" t="inlineStr">
        <is>
          <t>RT20250620-06774</t>
        </is>
      </c>
      <c r="B6775" s="59" t="inlineStr">
        <is>
          <t>2025-06-20</t>
        </is>
      </c>
      <c r="C6775" s="60" t="inlineStr">
        <is>
          <t>Nimbus Fitnes Lite-516</t>
        </is>
      </c>
      <c r="D6775" s="58" t="inlineStr">
        <is>
          <t>Sports</t>
        </is>
      </c>
      <c r="E6775" s="58" t="inlineStr">
        <is>
          <t>South</t>
        </is>
      </c>
      <c r="F6775" s="61" t="n">
        <v>2</v>
      </c>
      <c r="G6775" s="62" t="n">
        <v>803.49</v>
      </c>
      <c r="H6775" s="63" t="n">
        <v>0.07099999999999999</v>
      </c>
      <c r="I6775" s="62" t="n">
        <v>485.53</v>
      </c>
      <c r="J6775" s="58" t="inlineStr">
        <is>
          <t>Store</t>
        </is>
      </c>
      <c r="K6775" s="62">
        <f>F6775*(G6775-H6775)</f>
        <v/>
      </c>
      <c r="L6775" s="62">
        <f>K6775-(F6775*I6775)</f>
        <v/>
      </c>
      <c r="M6775" s="64">
        <f>L6775/K6775</f>
        <v/>
      </c>
    </row>
    <row r="6776">
      <c r="A6776" s="58" t="inlineStr">
        <is>
          <t>RT20250620-06775</t>
        </is>
      </c>
      <c r="B6776" s="59" t="inlineStr">
        <is>
          <t>2025-06-20</t>
        </is>
      </c>
      <c r="C6776" s="60" t="inlineStr">
        <is>
          <t>Polar Haircare Max-614</t>
        </is>
      </c>
      <c r="D6776" s="58" t="inlineStr">
        <is>
          <t>Beauty</t>
        </is>
      </c>
      <c r="E6776" s="58" t="inlineStr">
        <is>
          <t>West</t>
        </is>
      </c>
      <c r="F6776" s="61" t="n">
        <v>3</v>
      </c>
      <c r="G6776" s="62" t="n">
        <v>109.91</v>
      </c>
      <c r="H6776" s="63" t="n">
        <v>0.044</v>
      </c>
      <c r="I6776" s="62" t="n">
        <v>70.25</v>
      </c>
      <c r="J6776" s="58" t="inlineStr">
        <is>
          <t>Store</t>
        </is>
      </c>
      <c r="K6776" s="62">
        <f>F6776*(G6776-H6776)</f>
        <v/>
      </c>
      <c r="L6776" s="62">
        <f>K6776-(F6776*I6776)</f>
        <v/>
      </c>
      <c r="M6776" s="64">
        <f>L6776/K6776</f>
        <v/>
      </c>
    </row>
    <row r="6777">
      <c r="A6777" s="58" t="inlineStr">
        <is>
          <t>RT20250620-06776</t>
        </is>
      </c>
      <c r="B6777" s="59" t="inlineStr">
        <is>
          <t>2025-06-20</t>
        </is>
      </c>
      <c r="C6777" s="60" t="inlineStr">
        <is>
          <t>Aurora Household Plus-146</t>
        </is>
      </c>
      <c r="D6777" s="58" t="inlineStr">
        <is>
          <t>Grocery</t>
        </is>
      </c>
      <c r="E6777" s="58" t="inlineStr">
        <is>
          <t>Central</t>
        </is>
      </c>
      <c r="F6777" s="61" t="n">
        <v>4</v>
      </c>
      <c r="G6777" s="62" t="n">
        <v>5.7</v>
      </c>
      <c r="H6777" s="63" t="n">
        <v>0.07199999999999999</v>
      </c>
      <c r="I6777" s="62" t="n">
        <v>4.55</v>
      </c>
      <c r="J6777" s="58" t="inlineStr">
        <is>
          <t>Store</t>
        </is>
      </c>
      <c r="K6777" s="62">
        <f>F6777*(G6777-H6777)</f>
        <v/>
      </c>
      <c r="L6777" s="62">
        <f>K6777-(F6777*I6777)</f>
        <v/>
      </c>
      <c r="M6777" s="64">
        <f>L6777/K6777</f>
        <v/>
      </c>
    </row>
    <row r="6778">
      <c r="A6778" s="58" t="inlineStr">
        <is>
          <t>RT20250620-06777</t>
        </is>
      </c>
      <c r="B6778" s="59" t="inlineStr">
        <is>
          <t>2025-06-20</t>
        </is>
      </c>
      <c r="C6778" s="60" t="inlineStr">
        <is>
          <t>Aurora Storage Lite-774</t>
        </is>
      </c>
      <c r="D6778" s="58" t="inlineStr">
        <is>
          <t>Office</t>
        </is>
      </c>
      <c r="E6778" s="58" t="inlineStr">
        <is>
          <t>North</t>
        </is>
      </c>
      <c r="F6778" s="61" t="n">
        <v>1</v>
      </c>
      <c r="G6778" s="62" t="n">
        <v>294.73</v>
      </c>
      <c r="H6778" s="63" t="n">
        <v>0.092</v>
      </c>
      <c r="I6778" s="62" t="n">
        <v>248.4</v>
      </c>
      <c r="J6778" s="58" t="inlineStr">
        <is>
          <t>Online</t>
        </is>
      </c>
      <c r="K6778" s="62">
        <f>F6778*(G6778-H6778)</f>
        <v/>
      </c>
      <c r="L6778" s="62">
        <f>K6778-(F6778*I6778)</f>
        <v/>
      </c>
      <c r="M6778" s="64">
        <f>L6778/K6778</f>
        <v/>
      </c>
    </row>
    <row r="6779">
      <c r="A6779" s="58" t="inlineStr">
        <is>
          <t>RT20250620-06778</t>
        </is>
      </c>
      <c r="B6779" s="59" t="inlineStr">
        <is>
          <t>2025-06-20</t>
        </is>
      </c>
      <c r="C6779" s="60" t="inlineStr">
        <is>
          <t>Nimbus Women Plus-352</t>
        </is>
      </c>
      <c r="D6779" s="58" t="inlineStr">
        <is>
          <t>Apparel</t>
        </is>
      </c>
      <c r="E6779" s="58" t="inlineStr">
        <is>
          <t>East</t>
        </is>
      </c>
      <c r="F6779" s="61" t="n">
        <v>3</v>
      </c>
      <c r="G6779" s="62" t="n">
        <v>56.41</v>
      </c>
      <c r="H6779" s="63" t="n">
        <v>0.042</v>
      </c>
      <c r="I6779" s="62" t="n">
        <v>33.01</v>
      </c>
      <c r="J6779" s="58" t="inlineStr">
        <is>
          <t>Online</t>
        </is>
      </c>
      <c r="K6779" s="62">
        <f>F6779*(G6779-H6779)</f>
        <v/>
      </c>
      <c r="L6779" s="62">
        <f>K6779-(F6779*I6779)</f>
        <v/>
      </c>
      <c r="M6779" s="64">
        <f>L6779/K6779</f>
        <v/>
      </c>
    </row>
    <row r="6780">
      <c r="A6780" s="58" t="inlineStr">
        <is>
          <t>RT20250620-06779</t>
        </is>
      </c>
      <c r="B6780" s="59" t="inlineStr">
        <is>
          <t>2025-06-20</t>
        </is>
      </c>
      <c r="C6780" s="60" t="inlineStr">
        <is>
          <t>Nimbus Cycling Plus-911</t>
        </is>
      </c>
      <c r="D6780" s="58" t="inlineStr">
        <is>
          <t>Sports</t>
        </is>
      </c>
      <c r="E6780" s="58" t="inlineStr">
        <is>
          <t>South</t>
        </is>
      </c>
      <c r="F6780" s="61" t="n">
        <v>1</v>
      </c>
      <c r="G6780" s="62" t="n">
        <v>530.8200000000001</v>
      </c>
      <c r="H6780" s="63" t="n">
        <v>0.06900000000000001</v>
      </c>
      <c r="I6780" s="62" t="n">
        <v>383.82</v>
      </c>
      <c r="J6780" s="58" t="inlineStr">
        <is>
          <t>Online</t>
        </is>
      </c>
      <c r="K6780" s="62">
        <f>F6780*(G6780-H6780)</f>
        <v/>
      </c>
      <c r="L6780" s="62">
        <f>K6780-(F6780*I6780)</f>
        <v/>
      </c>
      <c r="M6780" s="64">
        <f>L6780/K6780</f>
        <v/>
      </c>
    </row>
    <row r="6781">
      <c r="A6781" s="58" t="inlineStr">
        <is>
          <t>RT20250620-06780</t>
        </is>
      </c>
      <c r="B6781" s="59" t="inlineStr">
        <is>
          <t>2025-06-20</t>
        </is>
      </c>
      <c r="C6781" s="60" t="inlineStr">
        <is>
          <t>Metro Smartphone Max-773</t>
        </is>
      </c>
      <c r="D6781" s="58" t="inlineStr">
        <is>
          <t>Electronics</t>
        </is>
      </c>
      <c r="E6781" s="58" t="inlineStr">
        <is>
          <t>East</t>
        </is>
      </c>
      <c r="F6781" s="61" t="n">
        <v>2</v>
      </c>
      <c r="G6781" s="62" t="n">
        <v>1340.16</v>
      </c>
      <c r="H6781" s="63" t="n">
        <v>0.059</v>
      </c>
      <c r="I6781" s="62" t="n">
        <v>1102.33</v>
      </c>
      <c r="J6781" s="58" t="inlineStr">
        <is>
          <t>Online</t>
        </is>
      </c>
      <c r="K6781" s="62">
        <f>F6781*(G6781-H6781)</f>
        <v/>
      </c>
      <c r="L6781" s="62">
        <f>K6781-(F6781*I6781)</f>
        <v/>
      </c>
      <c r="M6781" s="64">
        <f>L6781/K6781</f>
        <v/>
      </c>
    </row>
    <row r="6782">
      <c r="A6782" s="58" t="inlineStr">
        <is>
          <t>RT20250620-06781</t>
        </is>
      </c>
      <c r="B6782" s="59" t="inlineStr">
        <is>
          <t>2025-06-20</t>
        </is>
      </c>
      <c r="C6782" s="60" t="inlineStr">
        <is>
          <t>Polar Haircare Max-614</t>
        </is>
      </c>
      <c r="D6782" s="58" t="inlineStr">
        <is>
          <t>Beauty</t>
        </is>
      </c>
      <c r="E6782" s="58" t="inlineStr">
        <is>
          <t>Central</t>
        </is>
      </c>
      <c r="F6782" s="61" t="n">
        <v>1</v>
      </c>
      <c r="G6782" s="62" t="n">
        <v>117.67</v>
      </c>
      <c r="H6782" s="63" t="n">
        <v>0.007</v>
      </c>
      <c r="I6782" s="62" t="n">
        <v>69.87</v>
      </c>
      <c r="J6782" s="58" t="inlineStr">
        <is>
          <t>Store</t>
        </is>
      </c>
      <c r="K6782" s="62">
        <f>F6782*(G6782-H6782)</f>
        <v/>
      </c>
      <c r="L6782" s="62">
        <f>K6782-(F6782*I6782)</f>
        <v/>
      </c>
      <c r="M6782" s="64">
        <f>L6782/K6782</f>
        <v/>
      </c>
    </row>
    <row r="6783">
      <c r="A6783" s="58" t="inlineStr">
        <is>
          <t>RT20250620-06782</t>
        </is>
      </c>
      <c r="B6783" s="59" t="inlineStr">
        <is>
          <t>2025-06-20</t>
        </is>
      </c>
      <c r="C6783" s="60" t="inlineStr">
        <is>
          <t>Vertex Decor Pro-618</t>
        </is>
      </c>
      <c r="D6783" s="58" t="inlineStr">
        <is>
          <t>Home</t>
        </is>
      </c>
      <c r="E6783" s="58" t="inlineStr">
        <is>
          <t>Central</t>
        </is>
      </c>
      <c r="F6783" s="61" t="n">
        <v>2</v>
      </c>
      <c r="G6783" s="62" t="n">
        <v>517.9</v>
      </c>
      <c r="H6783" s="63" t="n">
        <v>0.08699999999999999</v>
      </c>
      <c r="I6783" s="62" t="n">
        <v>370.44</v>
      </c>
      <c r="J6783" s="58" t="inlineStr">
        <is>
          <t>Online</t>
        </is>
      </c>
      <c r="K6783" s="62">
        <f>F6783*(G6783-H6783)</f>
        <v/>
      </c>
      <c r="L6783" s="62">
        <f>K6783-(F6783*I6783)</f>
        <v/>
      </c>
      <c r="M6783" s="64">
        <f>L6783/K6783</f>
        <v/>
      </c>
    </row>
    <row r="6784">
      <c r="A6784" s="58" t="inlineStr">
        <is>
          <t>RT20250620-06783</t>
        </is>
      </c>
      <c r="B6784" s="59" t="inlineStr">
        <is>
          <t>2025-06-20</t>
        </is>
      </c>
      <c r="C6784" s="60" t="inlineStr">
        <is>
          <t>Falcon Beverage Max-702</t>
        </is>
      </c>
      <c r="D6784" s="58" t="inlineStr">
        <is>
          <t>Grocery</t>
        </is>
      </c>
      <c r="E6784" s="58" t="inlineStr">
        <is>
          <t>South</t>
        </is>
      </c>
      <c r="F6784" s="61" t="n">
        <v>4</v>
      </c>
      <c r="G6784" s="62" t="n">
        <v>28.02</v>
      </c>
      <c r="H6784" s="63" t="n">
        <v>0.061</v>
      </c>
      <c r="I6784" s="62" t="n">
        <v>20.26</v>
      </c>
      <c r="J6784" s="58" t="inlineStr">
        <is>
          <t>Phone</t>
        </is>
      </c>
      <c r="K6784" s="62">
        <f>F6784*(G6784-H6784)</f>
        <v/>
      </c>
      <c r="L6784" s="62">
        <f>K6784-(F6784*I6784)</f>
        <v/>
      </c>
      <c r="M6784" s="64">
        <f>L6784/K6784</f>
        <v/>
      </c>
    </row>
    <row r="6785">
      <c r="A6785" s="58" t="inlineStr">
        <is>
          <t>RT20250620-06784</t>
        </is>
      </c>
      <c r="B6785" s="59" t="inlineStr">
        <is>
          <t>2025-06-20</t>
        </is>
      </c>
      <c r="C6785" s="60" t="inlineStr">
        <is>
          <t>Solace Kid S-384</t>
        </is>
      </c>
      <c r="D6785" s="58" t="inlineStr">
        <is>
          <t>Apparel</t>
        </is>
      </c>
      <c r="E6785" s="58" t="inlineStr">
        <is>
          <t>Central</t>
        </is>
      </c>
      <c r="F6785" s="61" t="n">
        <v>3</v>
      </c>
      <c r="G6785" s="62" t="n">
        <v>110.09</v>
      </c>
      <c r="H6785" s="63" t="n">
        <v>0.082</v>
      </c>
      <c r="I6785" s="62" t="n">
        <v>63.95</v>
      </c>
      <c r="J6785" s="58" t="inlineStr">
        <is>
          <t>Store</t>
        </is>
      </c>
      <c r="K6785" s="62">
        <f>F6785*(G6785-H6785)</f>
        <v/>
      </c>
      <c r="L6785" s="62">
        <f>K6785-(F6785*I6785)</f>
        <v/>
      </c>
      <c r="M6785" s="64">
        <f>L6785/K6785</f>
        <v/>
      </c>
    </row>
    <row r="6786">
      <c r="A6786" s="58" t="inlineStr">
        <is>
          <t>RT20250620-06785</t>
        </is>
      </c>
      <c r="B6786" s="59" t="inlineStr">
        <is>
          <t>2025-06-20</t>
        </is>
      </c>
      <c r="C6786" s="60" t="inlineStr">
        <is>
          <t>Vertex Appliance Max-338</t>
        </is>
      </c>
      <c r="D6786" s="58" t="inlineStr">
        <is>
          <t>Home</t>
        </is>
      </c>
      <c r="E6786" s="58" t="inlineStr">
        <is>
          <t>West</t>
        </is>
      </c>
      <c r="F6786" s="61" t="n">
        <v>1</v>
      </c>
      <c r="G6786" s="62" t="n">
        <v>395.38</v>
      </c>
      <c r="H6786" s="63" t="n">
        <v>0.104</v>
      </c>
      <c r="I6786" s="62" t="n">
        <v>295.51</v>
      </c>
      <c r="J6786" s="58" t="inlineStr">
        <is>
          <t>Phone</t>
        </is>
      </c>
      <c r="K6786" s="62">
        <f>F6786*(G6786-H6786)</f>
        <v/>
      </c>
      <c r="L6786" s="62">
        <f>K6786-(F6786*I6786)</f>
        <v/>
      </c>
      <c r="M6786" s="64">
        <f>L6786/K6786</f>
        <v/>
      </c>
    </row>
    <row r="6787">
      <c r="A6787" s="58" t="inlineStr">
        <is>
          <t>RT20250620-06786</t>
        </is>
      </c>
      <c r="B6787" s="59" t="inlineStr">
        <is>
          <t>2025-06-20</t>
        </is>
      </c>
      <c r="C6787" s="60" t="inlineStr">
        <is>
          <t>Aurora Storage Lite-774</t>
        </is>
      </c>
      <c r="D6787" s="58" t="inlineStr">
        <is>
          <t>Office</t>
        </is>
      </c>
      <c r="E6787" s="58" t="inlineStr">
        <is>
          <t>North</t>
        </is>
      </c>
      <c r="F6787" s="61" t="n">
        <v>1</v>
      </c>
      <c r="G6787" s="62" t="n">
        <v>307.03</v>
      </c>
      <c r="H6787" s="63" t="n">
        <v>0.055</v>
      </c>
      <c r="I6787" s="62" t="n">
        <v>240.13</v>
      </c>
      <c r="J6787" s="58" t="inlineStr">
        <is>
          <t>Online</t>
        </is>
      </c>
      <c r="K6787" s="62">
        <f>F6787*(G6787-H6787)</f>
        <v/>
      </c>
      <c r="L6787" s="62">
        <f>K6787-(F6787*I6787)</f>
        <v/>
      </c>
      <c r="M6787" s="64">
        <f>L6787/K6787</f>
        <v/>
      </c>
    </row>
    <row r="6788">
      <c r="A6788" s="58" t="inlineStr">
        <is>
          <t>RT20250620-06787</t>
        </is>
      </c>
      <c r="B6788" s="59" t="inlineStr">
        <is>
          <t>2025-06-20</t>
        </is>
      </c>
      <c r="C6788" s="60" t="inlineStr">
        <is>
          <t>Falcon Bedding S-674</t>
        </is>
      </c>
      <c r="D6788" s="58" t="inlineStr">
        <is>
          <t>Home</t>
        </is>
      </c>
      <c r="E6788" s="58" t="inlineStr">
        <is>
          <t>North</t>
        </is>
      </c>
      <c r="F6788" s="61" t="n">
        <v>2</v>
      </c>
      <c r="G6788" s="62" t="n">
        <v>641.01</v>
      </c>
      <c r="H6788" s="63" t="n">
        <v>0.05</v>
      </c>
      <c r="I6788" s="62" t="n">
        <v>464.53</v>
      </c>
      <c r="J6788" s="58" t="inlineStr">
        <is>
          <t>Online</t>
        </is>
      </c>
      <c r="K6788" s="62">
        <f>F6788*(G6788-H6788)</f>
        <v/>
      </c>
      <c r="L6788" s="62">
        <f>K6788-(F6788*I6788)</f>
        <v/>
      </c>
      <c r="M6788" s="64">
        <f>L6788/K6788</f>
        <v/>
      </c>
    </row>
    <row r="6789">
      <c r="A6789" s="58" t="inlineStr">
        <is>
          <t>RT20250620-06788</t>
        </is>
      </c>
      <c r="B6789" s="59" t="inlineStr">
        <is>
          <t>2025-06-20</t>
        </is>
      </c>
      <c r="C6789" s="60" t="inlineStr">
        <is>
          <t>Metro Accessorie Max-316</t>
        </is>
      </c>
      <c r="D6789" s="58" t="inlineStr">
        <is>
          <t>Apparel</t>
        </is>
      </c>
      <c r="E6789" s="58" t="inlineStr">
        <is>
          <t>Central</t>
        </is>
      </c>
      <c r="F6789" s="61" t="n">
        <v>2</v>
      </c>
      <c r="G6789" s="62" t="n">
        <v>192.67</v>
      </c>
      <c r="H6789" s="63" t="n">
        <v>0.075</v>
      </c>
      <c r="I6789" s="62" t="n">
        <v>89.75</v>
      </c>
      <c r="J6789" s="58" t="inlineStr">
        <is>
          <t>Store</t>
        </is>
      </c>
      <c r="K6789" s="62">
        <f>F6789*(G6789-H6789)</f>
        <v/>
      </c>
      <c r="L6789" s="62">
        <f>K6789-(F6789*I6789)</f>
        <v/>
      </c>
      <c r="M6789" s="64">
        <f>L6789/K6789</f>
        <v/>
      </c>
    </row>
    <row r="6790">
      <c r="A6790" s="58" t="inlineStr">
        <is>
          <t>RT20250621-06789</t>
        </is>
      </c>
      <c r="B6790" s="59" t="inlineStr">
        <is>
          <t>2025-06-21</t>
        </is>
      </c>
      <c r="C6790" s="60" t="inlineStr">
        <is>
          <t>Nimbus Storage Plus-646</t>
        </is>
      </c>
      <c r="D6790" s="58" t="inlineStr">
        <is>
          <t>Office</t>
        </is>
      </c>
      <c r="E6790" s="58" t="inlineStr">
        <is>
          <t>East</t>
        </is>
      </c>
      <c r="F6790" s="61" t="n">
        <v>1</v>
      </c>
      <c r="G6790" s="62" t="n">
        <v>434.18</v>
      </c>
      <c r="H6790" s="63" t="n">
        <v>0.028</v>
      </c>
      <c r="I6790" s="62" t="n">
        <v>325.59</v>
      </c>
      <c r="J6790" s="58" t="inlineStr">
        <is>
          <t>Store</t>
        </is>
      </c>
      <c r="K6790" s="62">
        <f>F6790*(G6790-H6790)</f>
        <v/>
      </c>
      <c r="L6790" s="62">
        <f>K6790-(F6790*I6790)</f>
        <v/>
      </c>
      <c r="M6790" s="64">
        <f>L6790/K6790</f>
        <v/>
      </c>
    </row>
    <row r="6791">
      <c r="A6791" s="58" t="inlineStr">
        <is>
          <t>RT20250621-06790</t>
        </is>
      </c>
      <c r="B6791" s="59" t="inlineStr">
        <is>
          <t>2025-06-21</t>
        </is>
      </c>
      <c r="C6791" s="60" t="inlineStr">
        <is>
          <t>Solace Team Sport Max-548</t>
        </is>
      </c>
      <c r="D6791" s="58" t="inlineStr">
        <is>
          <t>Sports</t>
        </is>
      </c>
      <c r="E6791" s="58" t="inlineStr">
        <is>
          <t>South</t>
        </is>
      </c>
      <c r="F6791" s="61" t="n">
        <v>2</v>
      </c>
      <c r="G6791" s="62" t="n">
        <v>787.3</v>
      </c>
      <c r="H6791" s="63" t="n">
        <v>0.082</v>
      </c>
      <c r="I6791" s="62" t="n">
        <v>493.77</v>
      </c>
      <c r="J6791" s="58" t="inlineStr">
        <is>
          <t>Online</t>
        </is>
      </c>
      <c r="K6791" s="62">
        <f>F6791*(G6791-H6791)</f>
        <v/>
      </c>
      <c r="L6791" s="62">
        <f>K6791-(F6791*I6791)</f>
        <v/>
      </c>
      <c r="M6791" s="64">
        <f>L6791/K6791</f>
        <v/>
      </c>
    </row>
    <row r="6792">
      <c r="A6792" s="58" t="inlineStr">
        <is>
          <t>RT20250621-06791</t>
        </is>
      </c>
      <c r="B6792" s="59" t="inlineStr">
        <is>
          <t>2025-06-21</t>
        </is>
      </c>
      <c r="C6792" s="60" t="inlineStr">
        <is>
          <t>Aurora Appliance Lite-109</t>
        </is>
      </c>
      <c r="D6792" s="58" t="inlineStr">
        <is>
          <t>Home</t>
        </is>
      </c>
      <c r="E6792" s="58" t="inlineStr">
        <is>
          <t>South</t>
        </is>
      </c>
      <c r="F6792" s="61" t="n">
        <v>2</v>
      </c>
      <c r="G6792" s="62" t="n">
        <v>280.55</v>
      </c>
      <c r="H6792" s="63" t="n">
        <v>0.073</v>
      </c>
      <c r="I6792" s="62" t="n">
        <v>205.84</v>
      </c>
      <c r="J6792" s="58" t="inlineStr">
        <is>
          <t>Online</t>
        </is>
      </c>
      <c r="K6792" s="62">
        <f>F6792*(G6792-H6792)</f>
        <v/>
      </c>
      <c r="L6792" s="62">
        <f>K6792-(F6792*I6792)</f>
        <v/>
      </c>
      <c r="M6792" s="64">
        <f>L6792/K6792</f>
        <v/>
      </c>
    </row>
    <row r="6793">
      <c r="A6793" s="58" t="inlineStr">
        <is>
          <t>RT20250621-06792</t>
        </is>
      </c>
      <c r="B6793" s="59" t="inlineStr">
        <is>
          <t>2025-06-21</t>
        </is>
      </c>
      <c r="C6793" s="60" t="inlineStr">
        <is>
          <t>Orion Team Sport X-926</t>
        </is>
      </c>
      <c r="D6793" s="58" t="inlineStr">
        <is>
          <t>Sports</t>
        </is>
      </c>
      <c r="E6793" s="58" t="inlineStr">
        <is>
          <t>West</t>
        </is>
      </c>
      <c r="F6793" s="61" t="n">
        <v>3</v>
      </c>
      <c r="G6793" s="62" t="n">
        <v>308.02</v>
      </c>
      <c r="H6793" s="63" t="n">
        <v>0.06</v>
      </c>
      <c r="I6793" s="62" t="n">
        <v>219.72</v>
      </c>
      <c r="J6793" s="58" t="inlineStr">
        <is>
          <t>Store</t>
        </is>
      </c>
      <c r="K6793" s="62">
        <f>F6793*(G6793-H6793)</f>
        <v/>
      </c>
      <c r="L6793" s="62">
        <f>K6793-(F6793*I6793)</f>
        <v/>
      </c>
      <c r="M6793" s="64">
        <f>L6793/K6793</f>
        <v/>
      </c>
    </row>
    <row r="6794">
      <c r="A6794" s="58" t="inlineStr">
        <is>
          <t>RT20250621-06793</t>
        </is>
      </c>
      <c r="B6794" s="59" t="inlineStr">
        <is>
          <t>2025-06-21</t>
        </is>
      </c>
      <c r="C6794" s="60" t="inlineStr">
        <is>
          <t>Nimbus Furniture Pro-479</t>
        </is>
      </c>
      <c r="D6794" s="58" t="inlineStr">
        <is>
          <t>Office</t>
        </is>
      </c>
      <c r="E6794" s="58" t="inlineStr">
        <is>
          <t>Central</t>
        </is>
      </c>
      <c r="F6794" s="61" t="n">
        <v>1</v>
      </c>
      <c r="G6794" s="62" t="n">
        <v>336.57</v>
      </c>
      <c r="H6794" s="63" t="n">
        <v>0.05</v>
      </c>
      <c r="I6794" s="62" t="n">
        <v>234.92</v>
      </c>
      <c r="J6794" s="58" t="inlineStr">
        <is>
          <t>Store</t>
        </is>
      </c>
      <c r="K6794" s="62">
        <f>F6794*(G6794-H6794)</f>
        <v/>
      </c>
      <c r="L6794" s="62">
        <f>K6794-(F6794*I6794)</f>
        <v/>
      </c>
      <c r="M6794" s="64">
        <f>L6794/K6794</f>
        <v/>
      </c>
    </row>
    <row r="6795">
      <c r="A6795" s="58" t="inlineStr">
        <is>
          <t>RT20250621-06794</t>
        </is>
      </c>
      <c r="B6795" s="59" t="inlineStr">
        <is>
          <t>2025-06-21</t>
        </is>
      </c>
      <c r="C6795" s="60" t="inlineStr">
        <is>
          <t>Polar Women Max-927</t>
        </is>
      </c>
      <c r="D6795" s="58" t="inlineStr">
        <is>
          <t>Apparel</t>
        </is>
      </c>
      <c r="E6795" s="58" t="inlineStr">
        <is>
          <t>South</t>
        </is>
      </c>
      <c r="F6795" s="61" t="n">
        <v>1</v>
      </c>
      <c r="G6795" s="62" t="n">
        <v>110.91</v>
      </c>
      <c r="H6795" s="63" t="n">
        <v>0.133</v>
      </c>
      <c r="I6795" s="62" t="n">
        <v>65.31</v>
      </c>
      <c r="J6795" s="58" t="inlineStr">
        <is>
          <t>Online</t>
        </is>
      </c>
      <c r="K6795" s="62">
        <f>F6795*(G6795-H6795)</f>
        <v/>
      </c>
      <c r="L6795" s="62">
        <f>K6795-(F6795*I6795)</f>
        <v/>
      </c>
      <c r="M6795" s="64">
        <f>L6795/K6795</f>
        <v/>
      </c>
    </row>
    <row r="6796">
      <c r="A6796" s="58" t="inlineStr">
        <is>
          <t>RT20250621-06795</t>
        </is>
      </c>
      <c r="B6796" s="59" t="inlineStr">
        <is>
          <t>2025-06-21</t>
        </is>
      </c>
      <c r="C6796" s="60" t="inlineStr">
        <is>
          <t>Aurora Smartphone Plus-125</t>
        </is>
      </c>
      <c r="D6796" s="58" t="inlineStr">
        <is>
          <t>Electronics</t>
        </is>
      </c>
      <c r="E6796" s="58" t="inlineStr">
        <is>
          <t>East</t>
        </is>
      </c>
      <c r="F6796" s="61" t="n">
        <v>2</v>
      </c>
      <c r="G6796" s="62" t="n">
        <v>1665.61</v>
      </c>
      <c r="H6796" s="63" t="n">
        <v>0.12</v>
      </c>
      <c r="I6796" s="62" t="n">
        <v>1245.87</v>
      </c>
      <c r="J6796" s="58" t="inlineStr">
        <is>
          <t>Store</t>
        </is>
      </c>
      <c r="K6796" s="62">
        <f>F6796*(G6796-H6796)</f>
        <v/>
      </c>
      <c r="L6796" s="62">
        <f>K6796-(F6796*I6796)</f>
        <v/>
      </c>
      <c r="M6796" s="64">
        <f>L6796/K6796</f>
        <v/>
      </c>
    </row>
    <row r="6797">
      <c r="A6797" s="58" t="inlineStr">
        <is>
          <t>RT20250621-06796</t>
        </is>
      </c>
      <c r="B6797" s="59" t="inlineStr">
        <is>
          <t>2025-06-21</t>
        </is>
      </c>
      <c r="C6797" s="60" t="inlineStr">
        <is>
          <t>Solace Headphone Pro-344</t>
        </is>
      </c>
      <c r="D6797" s="58" t="inlineStr">
        <is>
          <t>Electronics</t>
        </is>
      </c>
      <c r="E6797" s="58" t="inlineStr">
        <is>
          <t>South</t>
        </is>
      </c>
      <c r="F6797" s="61" t="n">
        <v>1</v>
      </c>
      <c r="G6797" s="62" t="n">
        <v>1344.6</v>
      </c>
      <c r="H6797" s="63" t="n">
        <v>0.03</v>
      </c>
      <c r="I6797" s="62" t="n">
        <v>1042.04</v>
      </c>
      <c r="J6797" s="58" t="inlineStr">
        <is>
          <t>Store</t>
        </is>
      </c>
      <c r="K6797" s="62">
        <f>F6797*(G6797-H6797)</f>
        <v/>
      </c>
      <c r="L6797" s="62">
        <f>K6797-(F6797*I6797)</f>
        <v/>
      </c>
      <c r="M6797" s="64">
        <f>L6797/K6797</f>
        <v/>
      </c>
    </row>
    <row r="6798">
      <c r="A6798" s="58" t="inlineStr">
        <is>
          <t>RT20250621-06797</t>
        </is>
      </c>
      <c r="B6798" s="59" t="inlineStr">
        <is>
          <t>2025-06-21</t>
        </is>
      </c>
      <c r="C6798" s="60" t="inlineStr">
        <is>
          <t>Vertex Fitnes Pro-830</t>
        </is>
      </c>
      <c r="D6798" s="58" t="inlineStr">
        <is>
          <t>Sports</t>
        </is>
      </c>
      <c r="E6798" s="58" t="inlineStr">
        <is>
          <t>Central</t>
        </is>
      </c>
      <c r="F6798" s="61" t="n">
        <v>2</v>
      </c>
      <c r="G6798" s="62" t="n">
        <v>751.4</v>
      </c>
      <c r="H6798" s="63" t="n">
        <v>0.06</v>
      </c>
      <c r="I6798" s="62" t="n">
        <v>472.8</v>
      </c>
      <c r="J6798" s="58" t="inlineStr">
        <is>
          <t>Store</t>
        </is>
      </c>
      <c r="K6798" s="62">
        <f>F6798*(G6798-H6798)</f>
        <v/>
      </c>
      <c r="L6798" s="62">
        <f>K6798-(F6798*I6798)</f>
        <v/>
      </c>
      <c r="M6798" s="64">
        <f>L6798/K6798</f>
        <v/>
      </c>
    </row>
    <row r="6799">
      <c r="A6799" s="58" t="inlineStr">
        <is>
          <t>RT20250621-06798</t>
        </is>
      </c>
      <c r="B6799" s="59" t="inlineStr">
        <is>
          <t>2025-06-21</t>
        </is>
      </c>
      <c r="C6799" s="60" t="inlineStr">
        <is>
          <t>Polar Women Max-927</t>
        </is>
      </c>
      <c r="D6799" s="58" t="inlineStr">
        <is>
          <t>Apparel</t>
        </is>
      </c>
      <c r="E6799" s="58" t="inlineStr">
        <is>
          <t>West</t>
        </is>
      </c>
      <c r="F6799" s="61" t="n">
        <v>4</v>
      </c>
      <c r="G6799" s="62" t="n">
        <v>119.94</v>
      </c>
      <c r="H6799" s="63" t="n">
        <v>0.08799999999999999</v>
      </c>
      <c r="I6799" s="62" t="n">
        <v>66.83</v>
      </c>
      <c r="J6799" s="58" t="inlineStr">
        <is>
          <t>Online</t>
        </is>
      </c>
      <c r="K6799" s="62">
        <f>F6799*(G6799-H6799)</f>
        <v/>
      </c>
      <c r="L6799" s="62">
        <f>K6799-(F6799*I6799)</f>
        <v/>
      </c>
      <c r="M6799" s="64">
        <f>L6799/K6799</f>
        <v/>
      </c>
    </row>
    <row r="6800">
      <c r="A6800" s="58" t="inlineStr">
        <is>
          <t>RT20250621-06799</t>
        </is>
      </c>
      <c r="B6800" s="59" t="inlineStr">
        <is>
          <t>2025-06-21</t>
        </is>
      </c>
      <c r="C6800" s="60" t="inlineStr">
        <is>
          <t>Metro Decor Lite-325</t>
        </is>
      </c>
      <c r="D6800" s="58" t="inlineStr">
        <is>
          <t>Home</t>
        </is>
      </c>
      <c r="E6800" s="58" t="inlineStr">
        <is>
          <t>East</t>
        </is>
      </c>
      <c r="F6800" s="61" t="n">
        <v>1</v>
      </c>
      <c r="G6800" s="62" t="n">
        <v>475.66</v>
      </c>
      <c r="H6800" s="63" t="n">
        <v>0.122</v>
      </c>
      <c r="I6800" s="62" t="n">
        <v>386.33</v>
      </c>
      <c r="J6800" s="58" t="inlineStr">
        <is>
          <t>Online</t>
        </is>
      </c>
      <c r="K6800" s="62">
        <f>F6800*(G6800-H6800)</f>
        <v/>
      </c>
      <c r="L6800" s="62">
        <f>K6800-(F6800*I6800)</f>
        <v/>
      </c>
      <c r="M6800" s="64">
        <f>L6800/K6800</f>
        <v/>
      </c>
    </row>
    <row r="6801">
      <c r="A6801" s="58" t="inlineStr">
        <is>
          <t>RT20250621-06800</t>
        </is>
      </c>
      <c r="B6801" s="59" t="inlineStr">
        <is>
          <t>2025-06-21</t>
        </is>
      </c>
      <c r="C6801" s="60" t="inlineStr">
        <is>
          <t>Polar Supplie Lite-348</t>
        </is>
      </c>
      <c r="D6801" s="58" t="inlineStr">
        <is>
          <t>Office</t>
        </is>
      </c>
      <c r="E6801" s="58" t="inlineStr">
        <is>
          <t>South</t>
        </is>
      </c>
      <c r="F6801" s="61" t="n">
        <v>1</v>
      </c>
      <c r="G6801" s="62" t="n">
        <v>443.28</v>
      </c>
      <c r="H6801" s="63" t="n">
        <v>0.077</v>
      </c>
      <c r="I6801" s="62" t="n">
        <v>312.24</v>
      </c>
      <c r="J6801" s="58" t="inlineStr">
        <is>
          <t>Online</t>
        </is>
      </c>
      <c r="K6801" s="62">
        <f>F6801*(G6801-H6801)</f>
        <v/>
      </c>
      <c r="L6801" s="62">
        <f>K6801-(F6801*I6801)</f>
        <v/>
      </c>
      <c r="M6801" s="64">
        <f>L6801/K6801</f>
        <v/>
      </c>
    </row>
    <row r="6802">
      <c r="A6802" s="58" t="inlineStr">
        <is>
          <t>RT20250621-06801</t>
        </is>
      </c>
      <c r="B6802" s="59" t="inlineStr">
        <is>
          <t>2025-06-21</t>
        </is>
      </c>
      <c r="C6802" s="60" t="inlineStr">
        <is>
          <t>Metro Printer X-294</t>
        </is>
      </c>
      <c r="D6802" s="58" t="inlineStr">
        <is>
          <t>Office</t>
        </is>
      </c>
      <c r="E6802" s="58" t="inlineStr">
        <is>
          <t>East</t>
        </is>
      </c>
      <c r="F6802" s="61" t="n">
        <v>1</v>
      </c>
      <c r="G6802" s="62" t="n">
        <v>627.1799999999999</v>
      </c>
      <c r="H6802" s="63" t="n">
        <v>0.036</v>
      </c>
      <c r="I6802" s="62" t="n">
        <v>413.64</v>
      </c>
      <c r="J6802" s="58" t="inlineStr">
        <is>
          <t>Online</t>
        </is>
      </c>
      <c r="K6802" s="62">
        <f>F6802*(G6802-H6802)</f>
        <v/>
      </c>
      <c r="L6802" s="62">
        <f>K6802-(F6802*I6802)</f>
        <v/>
      </c>
      <c r="M6802" s="64">
        <f>L6802/K6802</f>
        <v/>
      </c>
    </row>
    <row r="6803">
      <c r="A6803" s="58" t="inlineStr">
        <is>
          <t>RT20250621-06802</t>
        </is>
      </c>
      <c r="B6803" s="59" t="inlineStr">
        <is>
          <t>2025-06-21</t>
        </is>
      </c>
      <c r="C6803" s="60" t="inlineStr">
        <is>
          <t>Polar Outdoor X-193</t>
        </is>
      </c>
      <c r="D6803" s="58" t="inlineStr">
        <is>
          <t>Sports</t>
        </is>
      </c>
      <c r="E6803" s="58" t="inlineStr">
        <is>
          <t>East</t>
        </is>
      </c>
      <c r="F6803" s="61" t="n">
        <v>3</v>
      </c>
      <c r="G6803" s="62" t="n">
        <v>668.01</v>
      </c>
      <c r="H6803" s="63" t="n">
        <v>0.048</v>
      </c>
      <c r="I6803" s="62" t="n">
        <v>456.68</v>
      </c>
      <c r="J6803" s="58" t="inlineStr">
        <is>
          <t>Store</t>
        </is>
      </c>
      <c r="K6803" s="62">
        <f>F6803*(G6803-H6803)</f>
        <v/>
      </c>
      <c r="L6803" s="62">
        <f>K6803-(F6803*I6803)</f>
        <v/>
      </c>
      <c r="M6803" s="64">
        <f>L6803/K6803</f>
        <v/>
      </c>
    </row>
    <row r="6804">
      <c r="A6804" s="58" t="inlineStr">
        <is>
          <t>RT20250621-06803</t>
        </is>
      </c>
      <c r="B6804" s="59" t="inlineStr">
        <is>
          <t>2025-06-21</t>
        </is>
      </c>
      <c r="C6804" s="60" t="inlineStr">
        <is>
          <t>Nimbus Laptop Max-652</t>
        </is>
      </c>
      <c r="D6804" s="58" t="inlineStr">
        <is>
          <t>Electronics</t>
        </is>
      </c>
      <c r="E6804" s="58" t="inlineStr">
        <is>
          <t>Central</t>
        </is>
      </c>
      <c r="F6804" s="61" t="n">
        <v>1</v>
      </c>
      <c r="G6804" s="62" t="n">
        <v>1441.64</v>
      </c>
      <c r="H6804" s="63" t="n">
        <v>0.032</v>
      </c>
      <c r="I6804" s="62" t="n">
        <v>1052.77</v>
      </c>
      <c r="J6804" s="58" t="inlineStr">
        <is>
          <t>Store</t>
        </is>
      </c>
      <c r="K6804" s="62">
        <f>F6804*(G6804-H6804)</f>
        <v/>
      </c>
      <c r="L6804" s="62">
        <f>K6804-(F6804*I6804)</f>
        <v/>
      </c>
      <c r="M6804" s="64">
        <f>L6804/K6804</f>
        <v/>
      </c>
    </row>
    <row r="6805">
      <c r="A6805" s="58" t="inlineStr">
        <is>
          <t>RT20250621-06804</t>
        </is>
      </c>
      <c r="B6805" s="59" t="inlineStr">
        <is>
          <t>2025-06-21</t>
        </is>
      </c>
      <c r="C6805" s="60" t="inlineStr">
        <is>
          <t>Vertex Accessorie Pro-881</t>
        </is>
      </c>
      <c r="D6805" s="58" t="inlineStr">
        <is>
          <t>Apparel</t>
        </is>
      </c>
      <c r="E6805" s="58" t="inlineStr">
        <is>
          <t>South</t>
        </is>
      </c>
      <c r="F6805" s="61" t="n">
        <v>3</v>
      </c>
      <c r="G6805" s="62" t="n">
        <v>106.39</v>
      </c>
      <c r="H6805" s="63" t="n">
        <v>0.027</v>
      </c>
      <c r="I6805" s="62" t="n">
        <v>62.3</v>
      </c>
      <c r="J6805" s="58" t="inlineStr">
        <is>
          <t>Online</t>
        </is>
      </c>
      <c r="K6805" s="62">
        <f>F6805*(G6805-H6805)</f>
        <v/>
      </c>
      <c r="L6805" s="62">
        <f>K6805-(F6805*I6805)</f>
        <v/>
      </c>
      <c r="M6805" s="64">
        <f>L6805/K6805</f>
        <v/>
      </c>
    </row>
    <row r="6806">
      <c r="A6806" s="58" t="inlineStr">
        <is>
          <t>RT20250621-06805</t>
        </is>
      </c>
      <c r="B6806" s="59" t="inlineStr">
        <is>
          <t>2025-06-21</t>
        </is>
      </c>
      <c r="C6806" s="60" t="inlineStr">
        <is>
          <t>Polar Wearable X-119</t>
        </is>
      </c>
      <c r="D6806" s="58" t="inlineStr">
        <is>
          <t>Electronics</t>
        </is>
      </c>
      <c r="E6806" s="58" t="inlineStr">
        <is>
          <t>South</t>
        </is>
      </c>
      <c r="F6806" s="61" t="n">
        <v>2</v>
      </c>
      <c r="G6806" s="62" t="n">
        <v>1857.3</v>
      </c>
      <c r="H6806" s="63" t="n">
        <v>0.068</v>
      </c>
      <c r="I6806" s="62" t="n">
        <v>1304.03</v>
      </c>
      <c r="J6806" s="58" t="inlineStr">
        <is>
          <t>Store</t>
        </is>
      </c>
      <c r="K6806" s="62">
        <f>F6806*(G6806-H6806)</f>
        <v/>
      </c>
      <c r="L6806" s="62">
        <f>K6806-(F6806*I6806)</f>
        <v/>
      </c>
      <c r="M6806" s="64">
        <f>L6806/K6806</f>
        <v/>
      </c>
    </row>
    <row r="6807">
      <c r="A6807" s="58" t="inlineStr">
        <is>
          <t>RT20250621-06806</t>
        </is>
      </c>
      <c r="B6807" s="59" t="inlineStr">
        <is>
          <t>2025-06-21</t>
        </is>
      </c>
      <c r="C6807" s="60" t="inlineStr">
        <is>
          <t>Polar Women Max-927</t>
        </is>
      </c>
      <c r="D6807" s="58" t="inlineStr">
        <is>
          <t>Apparel</t>
        </is>
      </c>
      <c r="E6807" s="58" t="inlineStr">
        <is>
          <t>North</t>
        </is>
      </c>
      <c r="F6807" s="61" t="n">
        <v>3</v>
      </c>
      <c r="G6807" s="62" t="n">
        <v>118.51</v>
      </c>
      <c r="H6807" s="63" t="n">
        <v>0.1</v>
      </c>
      <c r="I6807" s="62" t="n">
        <v>66.98</v>
      </c>
      <c r="J6807" s="58" t="inlineStr">
        <is>
          <t>Store</t>
        </is>
      </c>
      <c r="K6807" s="62">
        <f>F6807*(G6807-H6807)</f>
        <v/>
      </c>
      <c r="L6807" s="62">
        <f>K6807-(F6807*I6807)</f>
        <v/>
      </c>
      <c r="M6807" s="64">
        <f>L6807/K6807</f>
        <v/>
      </c>
    </row>
    <row r="6808">
      <c r="A6808" s="58" t="inlineStr">
        <is>
          <t>RT20250621-06807</t>
        </is>
      </c>
      <c r="B6808" s="59" t="inlineStr">
        <is>
          <t>2025-06-21</t>
        </is>
      </c>
      <c r="C6808" s="60" t="inlineStr">
        <is>
          <t>Metro Pantry X-710</t>
        </is>
      </c>
      <c r="D6808" s="58" t="inlineStr">
        <is>
          <t>Grocery</t>
        </is>
      </c>
      <c r="E6808" s="58" t="inlineStr">
        <is>
          <t>North</t>
        </is>
      </c>
      <c r="F6808" s="61" t="n">
        <v>2</v>
      </c>
      <c r="G6808" s="62" t="n">
        <v>5.41</v>
      </c>
      <c r="H6808" s="63" t="n">
        <v>0.089</v>
      </c>
      <c r="I6808" s="62" t="n">
        <v>4.24</v>
      </c>
      <c r="J6808" s="58" t="inlineStr">
        <is>
          <t>Store</t>
        </is>
      </c>
      <c r="K6808" s="62">
        <f>F6808*(G6808-H6808)</f>
        <v/>
      </c>
      <c r="L6808" s="62">
        <f>K6808-(F6808*I6808)</f>
        <v/>
      </c>
      <c r="M6808" s="64">
        <f>L6808/K6808</f>
        <v/>
      </c>
    </row>
    <row r="6809">
      <c r="A6809" s="58" t="inlineStr">
        <is>
          <t>RT20250621-06808</t>
        </is>
      </c>
      <c r="B6809" s="59" t="inlineStr">
        <is>
          <t>2025-06-21</t>
        </is>
      </c>
      <c r="C6809" s="60" t="inlineStr">
        <is>
          <t>Nimbus Makeup Max-158</t>
        </is>
      </c>
      <c r="D6809" s="58" t="inlineStr">
        <is>
          <t>Beauty</t>
        </is>
      </c>
      <c r="E6809" s="58" t="inlineStr">
        <is>
          <t>West</t>
        </is>
      </c>
      <c r="F6809" s="61" t="n">
        <v>2</v>
      </c>
      <c r="G6809" s="62" t="n">
        <v>150.81</v>
      </c>
      <c r="H6809" s="63" t="n">
        <v>0.059</v>
      </c>
      <c r="I6809" s="62" t="n">
        <v>97.95</v>
      </c>
      <c r="J6809" s="58" t="inlineStr">
        <is>
          <t>Store</t>
        </is>
      </c>
      <c r="K6809" s="62">
        <f>F6809*(G6809-H6809)</f>
        <v/>
      </c>
      <c r="L6809" s="62">
        <f>K6809-(F6809*I6809)</f>
        <v/>
      </c>
      <c r="M6809" s="64">
        <f>L6809/K6809</f>
        <v/>
      </c>
    </row>
    <row r="6810">
      <c r="A6810" s="58" t="inlineStr">
        <is>
          <t>RT20250621-06809</t>
        </is>
      </c>
      <c r="B6810" s="59" t="inlineStr">
        <is>
          <t>2025-06-21</t>
        </is>
      </c>
      <c r="C6810" s="60" t="inlineStr">
        <is>
          <t>Aurora Printer Plus-723</t>
        </is>
      </c>
      <c r="D6810" s="58" t="inlineStr">
        <is>
          <t>Office</t>
        </is>
      </c>
      <c r="E6810" s="58" t="inlineStr">
        <is>
          <t>Central</t>
        </is>
      </c>
      <c r="F6810" s="61" t="n">
        <v>3</v>
      </c>
      <c r="G6810" s="62" t="n">
        <v>261.33</v>
      </c>
      <c r="H6810" s="63" t="n">
        <v>0</v>
      </c>
      <c r="I6810" s="62" t="n">
        <v>185.27</v>
      </c>
      <c r="J6810" s="58" t="inlineStr">
        <is>
          <t>Online</t>
        </is>
      </c>
      <c r="K6810" s="62">
        <f>F6810*(G6810-H6810)</f>
        <v/>
      </c>
      <c r="L6810" s="62">
        <f>K6810-(F6810*I6810)</f>
        <v/>
      </c>
      <c r="M6810" s="64">
        <f>L6810/K6810</f>
        <v/>
      </c>
    </row>
    <row r="6811">
      <c r="A6811" s="58" t="inlineStr">
        <is>
          <t>RT20250621-06810</t>
        </is>
      </c>
      <c r="B6811" s="59" t="inlineStr">
        <is>
          <t>2025-06-21</t>
        </is>
      </c>
      <c r="C6811" s="60" t="inlineStr">
        <is>
          <t>Solace Makeup Pro-214</t>
        </is>
      </c>
      <c r="D6811" s="58" t="inlineStr">
        <is>
          <t>Beauty</t>
        </is>
      </c>
      <c r="E6811" s="58" t="inlineStr">
        <is>
          <t>North</t>
        </is>
      </c>
      <c r="F6811" s="61" t="n">
        <v>1</v>
      </c>
      <c r="G6811" s="62" t="n">
        <v>119.6</v>
      </c>
      <c r="H6811" s="63" t="n">
        <v>0.057</v>
      </c>
      <c r="I6811" s="62" t="n">
        <v>67.23999999999999</v>
      </c>
      <c r="J6811" s="58" t="inlineStr">
        <is>
          <t>Store</t>
        </is>
      </c>
      <c r="K6811" s="62">
        <f>F6811*(G6811-H6811)</f>
        <v/>
      </c>
      <c r="L6811" s="62">
        <f>K6811-(F6811*I6811)</f>
        <v/>
      </c>
      <c r="M6811" s="64">
        <f>L6811/K6811</f>
        <v/>
      </c>
    </row>
    <row r="6812">
      <c r="A6812" s="58" t="inlineStr">
        <is>
          <t>RT20250621-06811</t>
        </is>
      </c>
      <c r="B6812" s="59" t="inlineStr">
        <is>
          <t>2025-06-21</t>
        </is>
      </c>
      <c r="C6812" s="60" t="inlineStr">
        <is>
          <t>Polar Pantry Lite-392</t>
        </is>
      </c>
      <c r="D6812" s="58" t="inlineStr">
        <is>
          <t>Grocery</t>
        </is>
      </c>
      <c r="E6812" s="58" t="inlineStr">
        <is>
          <t>South</t>
        </is>
      </c>
      <c r="F6812" s="61" t="n">
        <v>3</v>
      </c>
      <c r="G6812" s="62" t="n">
        <v>6.27</v>
      </c>
      <c r="H6812" s="63" t="n">
        <v>0.11</v>
      </c>
      <c r="I6812" s="62" t="n">
        <v>4.57</v>
      </c>
      <c r="J6812" s="58" t="inlineStr">
        <is>
          <t>Online</t>
        </is>
      </c>
      <c r="K6812" s="62">
        <f>F6812*(G6812-H6812)</f>
        <v/>
      </c>
      <c r="L6812" s="62">
        <f>K6812-(F6812*I6812)</f>
        <v/>
      </c>
      <c r="M6812" s="64">
        <f>L6812/K6812</f>
        <v/>
      </c>
    </row>
    <row r="6813">
      <c r="A6813" s="58" t="inlineStr">
        <is>
          <t>RT20250621-06812</t>
        </is>
      </c>
      <c r="B6813" s="59" t="inlineStr">
        <is>
          <t>2025-06-21</t>
        </is>
      </c>
      <c r="C6813" s="60" t="inlineStr">
        <is>
          <t>Polar Decor X-935</t>
        </is>
      </c>
      <c r="D6813" s="58" t="inlineStr">
        <is>
          <t>Home</t>
        </is>
      </c>
      <c r="E6813" s="58" t="inlineStr">
        <is>
          <t>North</t>
        </is>
      </c>
      <c r="F6813" s="61" t="n">
        <v>3</v>
      </c>
      <c r="G6813" s="62" t="n">
        <v>284.5</v>
      </c>
      <c r="H6813" s="63" t="n">
        <v>0.09</v>
      </c>
      <c r="I6813" s="62" t="n">
        <v>199.79</v>
      </c>
      <c r="J6813" s="58" t="inlineStr">
        <is>
          <t>Online</t>
        </is>
      </c>
      <c r="K6813" s="62">
        <f>F6813*(G6813-H6813)</f>
        <v/>
      </c>
      <c r="L6813" s="62">
        <f>K6813-(F6813*I6813)</f>
        <v/>
      </c>
      <c r="M6813" s="64">
        <f>L6813/K6813</f>
        <v/>
      </c>
    </row>
    <row r="6814">
      <c r="A6814" s="58" t="inlineStr">
        <is>
          <t>RT20250621-06813</t>
        </is>
      </c>
      <c r="B6814" s="59" t="inlineStr">
        <is>
          <t>2025-06-21</t>
        </is>
      </c>
      <c r="C6814" s="60" t="inlineStr">
        <is>
          <t>Vertex Pantry Pro-165</t>
        </is>
      </c>
      <c r="D6814" s="58" t="inlineStr">
        <is>
          <t>Grocery</t>
        </is>
      </c>
      <c r="E6814" s="58" t="inlineStr">
        <is>
          <t>Central</t>
        </is>
      </c>
      <c r="F6814" s="61" t="n">
        <v>4</v>
      </c>
      <c r="G6814" s="62" t="n">
        <v>15.9</v>
      </c>
      <c r="H6814" s="63" t="n">
        <v>0.08500000000000001</v>
      </c>
      <c r="I6814" s="62" t="n">
        <v>11.68</v>
      </c>
      <c r="J6814" s="58" t="inlineStr">
        <is>
          <t>Online</t>
        </is>
      </c>
      <c r="K6814" s="62">
        <f>F6814*(G6814-H6814)</f>
        <v/>
      </c>
      <c r="L6814" s="62">
        <f>K6814-(F6814*I6814)</f>
        <v/>
      </c>
      <c r="M6814" s="64">
        <f>L6814/K6814</f>
        <v/>
      </c>
    </row>
    <row r="6815">
      <c r="A6815" s="58" t="inlineStr">
        <is>
          <t>RT20250621-06814</t>
        </is>
      </c>
      <c r="B6815" s="59" t="inlineStr">
        <is>
          <t>2025-06-21</t>
        </is>
      </c>
      <c r="C6815" s="60" t="inlineStr">
        <is>
          <t>Solace Laptop S-367</t>
        </is>
      </c>
      <c r="D6815" s="58" t="inlineStr">
        <is>
          <t>Electronics</t>
        </is>
      </c>
      <c r="E6815" s="58" t="inlineStr">
        <is>
          <t>West</t>
        </is>
      </c>
      <c r="F6815" s="61" t="n">
        <v>2</v>
      </c>
      <c r="G6815" s="62" t="n">
        <v>1918.39</v>
      </c>
      <c r="H6815" s="63" t="n">
        <v>0.056</v>
      </c>
      <c r="I6815" s="62" t="n">
        <v>1557.94</v>
      </c>
      <c r="J6815" s="58" t="inlineStr">
        <is>
          <t>Online</t>
        </is>
      </c>
      <c r="K6815" s="62">
        <f>F6815*(G6815-H6815)</f>
        <v/>
      </c>
      <c r="L6815" s="62">
        <f>K6815-(F6815*I6815)</f>
        <v/>
      </c>
      <c r="M6815" s="64">
        <f>L6815/K6815</f>
        <v/>
      </c>
    </row>
    <row r="6816">
      <c r="A6816" s="58" t="inlineStr">
        <is>
          <t>RT20250621-06815</t>
        </is>
      </c>
      <c r="B6816" s="59" t="inlineStr">
        <is>
          <t>2025-06-21</t>
        </is>
      </c>
      <c r="C6816" s="60" t="inlineStr">
        <is>
          <t>Polar Women S-662</t>
        </is>
      </c>
      <c r="D6816" s="58" t="inlineStr">
        <is>
          <t>Apparel</t>
        </is>
      </c>
      <c r="E6816" s="58" t="inlineStr">
        <is>
          <t>East</t>
        </is>
      </c>
      <c r="F6816" s="61" t="n">
        <v>1</v>
      </c>
      <c r="G6816" s="62" t="n">
        <v>201.38</v>
      </c>
      <c r="H6816" s="63" t="n">
        <v>0.035</v>
      </c>
      <c r="I6816" s="62" t="n">
        <v>98.76000000000001</v>
      </c>
      <c r="J6816" s="58" t="inlineStr">
        <is>
          <t>Online</t>
        </is>
      </c>
      <c r="K6816" s="62">
        <f>F6816*(G6816-H6816)</f>
        <v/>
      </c>
      <c r="L6816" s="62">
        <f>K6816-(F6816*I6816)</f>
        <v/>
      </c>
      <c r="M6816" s="64">
        <f>L6816/K6816</f>
        <v/>
      </c>
    </row>
    <row r="6817">
      <c r="A6817" s="58" t="inlineStr">
        <is>
          <t>RT20250621-06816</t>
        </is>
      </c>
      <c r="B6817" s="59" t="inlineStr">
        <is>
          <t>2025-06-21</t>
        </is>
      </c>
      <c r="C6817" s="60" t="inlineStr">
        <is>
          <t>Aurora Storage Lite-774</t>
        </is>
      </c>
      <c r="D6817" s="58" t="inlineStr">
        <is>
          <t>Office</t>
        </is>
      </c>
      <c r="E6817" s="58" t="inlineStr">
        <is>
          <t>East</t>
        </is>
      </c>
      <c r="F6817" s="61" t="n">
        <v>2</v>
      </c>
      <c r="G6817" s="62" t="n">
        <v>356.07</v>
      </c>
      <c r="H6817" s="63" t="n">
        <v>0.08699999999999999</v>
      </c>
      <c r="I6817" s="62" t="n">
        <v>236.28</v>
      </c>
      <c r="J6817" s="58" t="inlineStr">
        <is>
          <t>Store</t>
        </is>
      </c>
      <c r="K6817" s="62">
        <f>F6817*(G6817-H6817)</f>
        <v/>
      </c>
      <c r="L6817" s="62">
        <f>K6817-(F6817*I6817)</f>
        <v/>
      </c>
      <c r="M6817" s="64">
        <f>L6817/K6817</f>
        <v/>
      </c>
    </row>
    <row r="6818">
      <c r="A6818" s="58" t="inlineStr">
        <is>
          <t>RT20250621-06817</t>
        </is>
      </c>
      <c r="B6818" s="59" t="inlineStr">
        <is>
          <t>2025-06-21</t>
        </is>
      </c>
      <c r="C6818" s="60" t="inlineStr">
        <is>
          <t>Metro Printer X-294</t>
        </is>
      </c>
      <c r="D6818" s="58" t="inlineStr">
        <is>
          <t>Office</t>
        </is>
      </c>
      <c r="E6818" s="58" t="inlineStr">
        <is>
          <t>North</t>
        </is>
      </c>
      <c r="F6818" s="61" t="n">
        <v>1</v>
      </c>
      <c r="G6818" s="62" t="n">
        <v>586.8200000000001</v>
      </c>
      <c r="H6818" s="63" t="n">
        <v>0.032</v>
      </c>
      <c r="I6818" s="62" t="n">
        <v>414.61</v>
      </c>
      <c r="J6818" s="58" t="inlineStr">
        <is>
          <t>Online</t>
        </is>
      </c>
      <c r="K6818" s="62">
        <f>F6818*(G6818-H6818)</f>
        <v/>
      </c>
      <c r="L6818" s="62">
        <f>K6818-(F6818*I6818)</f>
        <v/>
      </c>
      <c r="M6818" s="64">
        <f>L6818/K6818</f>
        <v/>
      </c>
    </row>
    <row r="6819">
      <c r="A6819" s="58" t="inlineStr">
        <is>
          <t>RT20250621-06818</t>
        </is>
      </c>
      <c r="B6819" s="59" t="inlineStr">
        <is>
          <t>2025-06-21</t>
        </is>
      </c>
      <c r="C6819" s="60" t="inlineStr">
        <is>
          <t>Solace Laptop S-367</t>
        </is>
      </c>
      <c r="D6819" s="58" t="inlineStr">
        <is>
          <t>Electronics</t>
        </is>
      </c>
      <c r="E6819" s="58" t="inlineStr">
        <is>
          <t>West</t>
        </is>
      </c>
      <c r="F6819" s="61" t="n">
        <v>2</v>
      </c>
      <c r="G6819" s="62" t="n">
        <v>1843.44</v>
      </c>
      <c r="H6819" s="63" t="n">
        <v>0.079</v>
      </c>
      <c r="I6819" s="62" t="n">
        <v>1524.14</v>
      </c>
      <c r="J6819" s="58" t="inlineStr">
        <is>
          <t>Online</t>
        </is>
      </c>
      <c r="K6819" s="62">
        <f>F6819*(G6819-H6819)</f>
        <v/>
      </c>
      <c r="L6819" s="62">
        <f>K6819-(F6819*I6819)</f>
        <v/>
      </c>
      <c r="M6819" s="64">
        <f>L6819/K6819</f>
        <v/>
      </c>
    </row>
    <row r="6820">
      <c r="A6820" s="58" t="inlineStr">
        <is>
          <t>RT20250621-06819</t>
        </is>
      </c>
      <c r="B6820" s="59" t="inlineStr">
        <is>
          <t>2025-06-21</t>
        </is>
      </c>
      <c r="C6820" s="60" t="inlineStr">
        <is>
          <t>Aurora Appliance Lite-109</t>
        </is>
      </c>
      <c r="D6820" s="58" t="inlineStr">
        <is>
          <t>Home</t>
        </is>
      </c>
      <c r="E6820" s="58" t="inlineStr">
        <is>
          <t>East</t>
        </is>
      </c>
      <c r="F6820" s="61" t="n">
        <v>1</v>
      </c>
      <c r="G6820" s="62" t="n">
        <v>301.94</v>
      </c>
      <c r="H6820" s="63" t="n">
        <v>0.08500000000000001</v>
      </c>
      <c r="I6820" s="62" t="n">
        <v>203.38</v>
      </c>
      <c r="J6820" s="58" t="inlineStr">
        <is>
          <t>Online</t>
        </is>
      </c>
      <c r="K6820" s="62">
        <f>F6820*(G6820-H6820)</f>
        <v/>
      </c>
      <c r="L6820" s="62">
        <f>K6820-(F6820*I6820)</f>
        <v/>
      </c>
      <c r="M6820" s="64">
        <f>L6820/K6820</f>
        <v/>
      </c>
    </row>
    <row r="6821">
      <c r="A6821" s="58" t="inlineStr">
        <is>
          <t>RT20250621-06820</t>
        </is>
      </c>
      <c r="B6821" s="59" t="inlineStr">
        <is>
          <t>2025-06-21</t>
        </is>
      </c>
      <c r="C6821" s="60" t="inlineStr">
        <is>
          <t>Polar Wearable X-119</t>
        </is>
      </c>
      <c r="D6821" s="58" t="inlineStr">
        <is>
          <t>Electronics</t>
        </is>
      </c>
      <c r="E6821" s="58" t="inlineStr">
        <is>
          <t>North</t>
        </is>
      </c>
      <c r="F6821" s="61" t="n">
        <v>2</v>
      </c>
      <c r="G6821" s="62" t="n">
        <v>1842.19</v>
      </c>
      <c r="H6821" s="63" t="n">
        <v>0.094</v>
      </c>
      <c r="I6821" s="62" t="n">
        <v>1345.88</v>
      </c>
      <c r="J6821" s="58" t="inlineStr">
        <is>
          <t>Online</t>
        </is>
      </c>
      <c r="K6821" s="62">
        <f>F6821*(G6821-H6821)</f>
        <v/>
      </c>
      <c r="L6821" s="62">
        <f>K6821-(F6821*I6821)</f>
        <v/>
      </c>
      <c r="M6821" s="64">
        <f>L6821/K6821</f>
        <v/>
      </c>
    </row>
    <row r="6822">
      <c r="A6822" s="58" t="inlineStr">
        <is>
          <t>RT20250621-06821</t>
        </is>
      </c>
      <c r="B6822" s="59" t="inlineStr">
        <is>
          <t>2025-06-21</t>
        </is>
      </c>
      <c r="C6822" s="60" t="inlineStr">
        <is>
          <t>Polar Decor Plus-505</t>
        </is>
      </c>
      <c r="D6822" s="58" t="inlineStr">
        <is>
          <t>Home</t>
        </is>
      </c>
      <c r="E6822" s="58" t="inlineStr">
        <is>
          <t>North</t>
        </is>
      </c>
      <c r="F6822" s="61" t="n">
        <v>1</v>
      </c>
      <c r="G6822" s="62" t="n">
        <v>307.31</v>
      </c>
      <c r="H6822" s="63" t="n">
        <v>0.073</v>
      </c>
      <c r="I6822" s="62" t="n">
        <v>201.03</v>
      </c>
      <c r="J6822" s="58" t="inlineStr">
        <is>
          <t>Online</t>
        </is>
      </c>
      <c r="K6822" s="62">
        <f>F6822*(G6822-H6822)</f>
        <v/>
      </c>
      <c r="L6822" s="62">
        <f>K6822-(F6822*I6822)</f>
        <v/>
      </c>
      <c r="M6822" s="64">
        <f>L6822/K6822</f>
        <v/>
      </c>
    </row>
    <row r="6823">
      <c r="A6823" s="58" t="inlineStr">
        <is>
          <t>RT20250621-06822</t>
        </is>
      </c>
      <c r="B6823" s="59" t="inlineStr">
        <is>
          <t>2025-06-21</t>
        </is>
      </c>
      <c r="C6823" s="60" t="inlineStr">
        <is>
          <t>Vertex Furniture S-652</t>
        </is>
      </c>
      <c r="D6823" s="58" t="inlineStr">
        <is>
          <t>Office</t>
        </is>
      </c>
      <c r="E6823" s="58" t="inlineStr">
        <is>
          <t>South</t>
        </is>
      </c>
      <c r="F6823" s="61" t="n">
        <v>2</v>
      </c>
      <c r="G6823" s="62" t="n">
        <v>351.39</v>
      </c>
      <c r="H6823" s="63" t="n">
        <v>0.024</v>
      </c>
      <c r="I6823" s="62" t="n">
        <v>264.01</v>
      </c>
      <c r="J6823" s="58" t="inlineStr">
        <is>
          <t>Store</t>
        </is>
      </c>
      <c r="K6823" s="62">
        <f>F6823*(G6823-H6823)</f>
        <v/>
      </c>
      <c r="L6823" s="62">
        <f>K6823-(F6823*I6823)</f>
        <v/>
      </c>
      <c r="M6823" s="64">
        <f>L6823/K6823</f>
        <v/>
      </c>
    </row>
    <row r="6824">
      <c r="A6824" s="58" t="inlineStr">
        <is>
          <t>RT20250621-06823</t>
        </is>
      </c>
      <c r="B6824" s="59" t="inlineStr">
        <is>
          <t>2025-06-21</t>
        </is>
      </c>
      <c r="C6824" s="60" t="inlineStr">
        <is>
          <t>Orion Kitchen Pro-568</t>
        </is>
      </c>
      <c r="D6824" s="58" t="inlineStr">
        <is>
          <t>Home</t>
        </is>
      </c>
      <c r="E6824" s="58" t="inlineStr">
        <is>
          <t>Central</t>
        </is>
      </c>
      <c r="F6824" s="61" t="n">
        <v>1</v>
      </c>
      <c r="G6824" s="62" t="n">
        <v>444.46</v>
      </c>
      <c r="H6824" s="63" t="n">
        <v>0.08599999999999999</v>
      </c>
      <c r="I6824" s="62" t="n">
        <v>298.13</v>
      </c>
      <c r="J6824" s="58" t="inlineStr">
        <is>
          <t>Online</t>
        </is>
      </c>
      <c r="K6824" s="62">
        <f>F6824*(G6824-H6824)</f>
        <v/>
      </c>
      <c r="L6824" s="62">
        <f>K6824-(F6824*I6824)</f>
        <v/>
      </c>
      <c r="M6824" s="64">
        <f>L6824/K6824</f>
        <v/>
      </c>
    </row>
    <row r="6825">
      <c r="A6825" s="58" t="inlineStr">
        <is>
          <t>RT20250621-06824</t>
        </is>
      </c>
      <c r="B6825" s="59" t="inlineStr">
        <is>
          <t>2025-06-21</t>
        </is>
      </c>
      <c r="C6825" s="60" t="inlineStr">
        <is>
          <t>Nimbus Men Plus-231</t>
        </is>
      </c>
      <c r="D6825" s="58" t="inlineStr">
        <is>
          <t>Apparel</t>
        </is>
      </c>
      <c r="E6825" s="58" t="inlineStr">
        <is>
          <t>East</t>
        </is>
      </c>
      <c r="F6825" s="61" t="n">
        <v>1</v>
      </c>
      <c r="G6825" s="62" t="n">
        <v>142.68</v>
      </c>
      <c r="H6825" s="63" t="n">
        <v>0.014</v>
      </c>
      <c r="I6825" s="62" t="n">
        <v>87.16</v>
      </c>
      <c r="J6825" s="58" t="inlineStr">
        <is>
          <t>Online</t>
        </is>
      </c>
      <c r="K6825" s="62">
        <f>F6825*(G6825-H6825)</f>
        <v/>
      </c>
      <c r="L6825" s="62">
        <f>K6825-(F6825*I6825)</f>
        <v/>
      </c>
      <c r="M6825" s="64">
        <f>L6825/K6825</f>
        <v/>
      </c>
    </row>
    <row r="6826">
      <c r="A6826" s="58" t="inlineStr">
        <is>
          <t>RT20250621-06825</t>
        </is>
      </c>
      <c r="B6826" s="59" t="inlineStr">
        <is>
          <t>2025-06-21</t>
        </is>
      </c>
      <c r="C6826" s="60" t="inlineStr">
        <is>
          <t>Falcon Haircare Pro-980</t>
        </is>
      </c>
      <c r="D6826" s="58" t="inlineStr">
        <is>
          <t>Beauty</t>
        </is>
      </c>
      <c r="E6826" s="58" t="inlineStr">
        <is>
          <t>South</t>
        </is>
      </c>
      <c r="F6826" s="61" t="n">
        <v>4</v>
      </c>
      <c r="G6826" s="62" t="n">
        <v>99.12</v>
      </c>
      <c r="H6826" s="63" t="n">
        <v>0.053</v>
      </c>
      <c r="I6826" s="62" t="n">
        <v>58.35</v>
      </c>
      <c r="J6826" s="58" t="inlineStr">
        <is>
          <t>Phone</t>
        </is>
      </c>
      <c r="K6826" s="62">
        <f>F6826*(G6826-H6826)</f>
        <v/>
      </c>
      <c r="L6826" s="62">
        <f>K6826-(F6826*I6826)</f>
        <v/>
      </c>
      <c r="M6826" s="64">
        <f>L6826/K6826</f>
        <v/>
      </c>
    </row>
    <row r="6827">
      <c r="A6827" s="58" t="inlineStr">
        <is>
          <t>RT20250621-06826</t>
        </is>
      </c>
      <c r="B6827" s="59" t="inlineStr">
        <is>
          <t>2025-06-21</t>
        </is>
      </c>
      <c r="C6827" s="60" t="inlineStr">
        <is>
          <t>Solace Fitnes S-324</t>
        </is>
      </c>
      <c r="D6827" s="58" t="inlineStr">
        <is>
          <t>Sports</t>
        </is>
      </c>
      <c r="E6827" s="58" t="inlineStr">
        <is>
          <t>East</t>
        </is>
      </c>
      <c r="F6827" s="61" t="n">
        <v>3</v>
      </c>
      <c r="G6827" s="62" t="n">
        <v>774.62</v>
      </c>
      <c r="H6827" s="63" t="n">
        <v>0.07199999999999999</v>
      </c>
      <c r="I6827" s="62" t="n">
        <v>521.47</v>
      </c>
      <c r="J6827" s="58" t="inlineStr">
        <is>
          <t>Store</t>
        </is>
      </c>
      <c r="K6827" s="62">
        <f>F6827*(G6827-H6827)</f>
        <v/>
      </c>
      <c r="L6827" s="62">
        <f>K6827-(F6827*I6827)</f>
        <v/>
      </c>
      <c r="M6827" s="64">
        <f>L6827/K6827</f>
        <v/>
      </c>
    </row>
    <row r="6828">
      <c r="A6828" s="58" t="inlineStr">
        <is>
          <t>RT20250621-06827</t>
        </is>
      </c>
      <c r="B6828" s="59" t="inlineStr">
        <is>
          <t>2025-06-21</t>
        </is>
      </c>
      <c r="C6828" s="60" t="inlineStr">
        <is>
          <t>Metro Fragrance Lite-261</t>
        </is>
      </c>
      <c r="D6828" s="58" t="inlineStr">
        <is>
          <t>Beauty</t>
        </is>
      </c>
      <c r="E6828" s="58" t="inlineStr">
        <is>
          <t>North</t>
        </is>
      </c>
      <c r="F6828" s="61" t="n">
        <v>1</v>
      </c>
      <c r="G6828" s="62" t="n">
        <v>82.63</v>
      </c>
      <c r="H6828" s="63" t="n">
        <v>0.026</v>
      </c>
      <c r="I6828" s="62" t="n">
        <v>54.17</v>
      </c>
      <c r="J6828" s="58" t="inlineStr">
        <is>
          <t>Online</t>
        </is>
      </c>
      <c r="K6828" s="62">
        <f>F6828*(G6828-H6828)</f>
        <v/>
      </c>
      <c r="L6828" s="62">
        <f>K6828-(F6828*I6828)</f>
        <v/>
      </c>
      <c r="M6828" s="64">
        <f>L6828/K6828</f>
        <v/>
      </c>
    </row>
    <row r="6829">
      <c r="A6829" s="58" t="inlineStr">
        <is>
          <t>RT20250621-06828</t>
        </is>
      </c>
      <c r="B6829" s="59" t="inlineStr">
        <is>
          <t>2025-06-21</t>
        </is>
      </c>
      <c r="C6829" s="60" t="inlineStr">
        <is>
          <t>Aurora Kid Plus-151</t>
        </is>
      </c>
      <c r="D6829" s="58" t="inlineStr">
        <is>
          <t>Apparel</t>
        </is>
      </c>
      <c r="E6829" s="58" t="inlineStr">
        <is>
          <t>East</t>
        </is>
      </c>
      <c r="F6829" s="61" t="n">
        <v>4</v>
      </c>
      <c r="G6829" s="62" t="n">
        <v>133.32</v>
      </c>
      <c r="H6829" s="63" t="n">
        <v>0.064</v>
      </c>
      <c r="I6829" s="62" t="n">
        <v>66.03</v>
      </c>
      <c r="J6829" s="58" t="inlineStr">
        <is>
          <t>Store</t>
        </is>
      </c>
      <c r="K6829" s="62">
        <f>F6829*(G6829-H6829)</f>
        <v/>
      </c>
      <c r="L6829" s="62">
        <f>K6829-(F6829*I6829)</f>
        <v/>
      </c>
      <c r="M6829" s="64">
        <f>L6829/K6829</f>
        <v/>
      </c>
    </row>
    <row r="6830">
      <c r="A6830" s="58" t="inlineStr">
        <is>
          <t>RT20250622-06829</t>
        </is>
      </c>
      <c r="B6830" s="59" t="inlineStr">
        <is>
          <t>2025-06-22</t>
        </is>
      </c>
      <c r="C6830" s="60" t="inlineStr">
        <is>
          <t>Solace Team Sport Max-548</t>
        </is>
      </c>
      <c r="D6830" s="58" t="inlineStr">
        <is>
          <t>Sports</t>
        </is>
      </c>
      <c r="E6830" s="58" t="inlineStr">
        <is>
          <t>Central</t>
        </is>
      </c>
      <c r="F6830" s="61" t="n">
        <v>3</v>
      </c>
      <c r="G6830" s="62" t="n">
        <v>750.75</v>
      </c>
      <c r="H6830" s="63" t="n">
        <v>0.043</v>
      </c>
      <c r="I6830" s="62" t="n">
        <v>475.85</v>
      </c>
      <c r="J6830" s="58" t="inlineStr">
        <is>
          <t>Store</t>
        </is>
      </c>
      <c r="K6830" s="62">
        <f>F6830*(G6830-H6830)</f>
        <v/>
      </c>
      <c r="L6830" s="62">
        <f>K6830-(F6830*I6830)</f>
        <v/>
      </c>
      <c r="M6830" s="64">
        <f>L6830/K6830</f>
        <v/>
      </c>
    </row>
    <row r="6831">
      <c r="A6831" s="58" t="inlineStr">
        <is>
          <t>RT20250622-06830</t>
        </is>
      </c>
      <c r="B6831" s="59" t="inlineStr">
        <is>
          <t>2025-06-22</t>
        </is>
      </c>
      <c r="C6831" s="60" t="inlineStr">
        <is>
          <t>Aurora Outdoor Pro-467</t>
        </is>
      </c>
      <c r="D6831" s="58" t="inlineStr">
        <is>
          <t>Sports</t>
        </is>
      </c>
      <c r="E6831" s="58" t="inlineStr">
        <is>
          <t>Central</t>
        </is>
      </c>
      <c r="F6831" s="61" t="n">
        <v>1</v>
      </c>
      <c r="G6831" s="62" t="n">
        <v>287.36</v>
      </c>
      <c r="H6831" s="63" t="n">
        <v>0.022</v>
      </c>
      <c r="I6831" s="62" t="n">
        <v>186.73</v>
      </c>
      <c r="J6831" s="58" t="inlineStr">
        <is>
          <t>Online</t>
        </is>
      </c>
      <c r="K6831" s="62">
        <f>F6831*(G6831-H6831)</f>
        <v/>
      </c>
      <c r="L6831" s="62">
        <f>K6831-(F6831*I6831)</f>
        <v/>
      </c>
      <c r="M6831" s="64">
        <f>L6831/K6831</f>
        <v/>
      </c>
    </row>
    <row r="6832">
      <c r="A6832" s="58" t="inlineStr">
        <is>
          <t>RT20250622-06831</t>
        </is>
      </c>
      <c r="B6832" s="59" t="inlineStr">
        <is>
          <t>2025-06-22</t>
        </is>
      </c>
      <c r="C6832" s="60" t="inlineStr">
        <is>
          <t>Metro Beverage Max-490</t>
        </is>
      </c>
      <c r="D6832" s="58" t="inlineStr">
        <is>
          <t>Grocery</t>
        </is>
      </c>
      <c r="E6832" s="58" t="inlineStr">
        <is>
          <t>West</t>
        </is>
      </c>
      <c r="F6832" s="61" t="n">
        <v>4</v>
      </c>
      <c r="G6832" s="62" t="n">
        <v>10.75</v>
      </c>
      <c r="H6832" s="63" t="n">
        <v>0.093</v>
      </c>
      <c r="I6832" s="62" t="n">
        <v>8.199999999999999</v>
      </c>
      <c r="J6832" s="58" t="inlineStr">
        <is>
          <t>Store</t>
        </is>
      </c>
      <c r="K6832" s="62">
        <f>F6832*(G6832-H6832)</f>
        <v/>
      </c>
      <c r="L6832" s="62">
        <f>K6832-(F6832*I6832)</f>
        <v/>
      </c>
      <c r="M6832" s="64">
        <f>L6832/K6832</f>
        <v/>
      </c>
    </row>
    <row r="6833">
      <c r="A6833" s="58" t="inlineStr">
        <is>
          <t>RT20250622-06832</t>
        </is>
      </c>
      <c r="B6833" s="59" t="inlineStr">
        <is>
          <t>2025-06-22</t>
        </is>
      </c>
      <c r="C6833" s="60" t="inlineStr">
        <is>
          <t>Falcon Accessorie S-195</t>
        </is>
      </c>
      <c r="D6833" s="58" t="inlineStr">
        <is>
          <t>Apparel</t>
        </is>
      </c>
      <c r="E6833" s="58" t="inlineStr">
        <is>
          <t>North</t>
        </is>
      </c>
      <c r="F6833" s="61" t="n">
        <v>3</v>
      </c>
      <c r="G6833" s="62" t="n">
        <v>65.84999999999999</v>
      </c>
      <c r="H6833" s="63" t="n">
        <v>0.055</v>
      </c>
      <c r="I6833" s="62" t="n">
        <v>42.9</v>
      </c>
      <c r="J6833" s="58" t="inlineStr">
        <is>
          <t>Online</t>
        </is>
      </c>
      <c r="K6833" s="62">
        <f>F6833*(G6833-H6833)</f>
        <v/>
      </c>
      <c r="L6833" s="62">
        <f>K6833-(F6833*I6833)</f>
        <v/>
      </c>
      <c r="M6833" s="64">
        <f>L6833/K6833</f>
        <v/>
      </c>
    </row>
    <row r="6834">
      <c r="A6834" s="58" t="inlineStr">
        <is>
          <t>RT20250622-06833</t>
        </is>
      </c>
      <c r="B6834" s="59" t="inlineStr">
        <is>
          <t>2025-06-22</t>
        </is>
      </c>
      <c r="C6834" s="60" t="inlineStr">
        <is>
          <t>Vertex Pantry Pro-165</t>
        </is>
      </c>
      <c r="D6834" s="58" t="inlineStr">
        <is>
          <t>Grocery</t>
        </is>
      </c>
      <c r="E6834" s="58" t="inlineStr">
        <is>
          <t>East</t>
        </is>
      </c>
      <c r="F6834" s="61" t="n">
        <v>2</v>
      </c>
      <c r="G6834" s="62" t="n">
        <v>15.99</v>
      </c>
      <c r="H6834" s="63" t="n">
        <v>0.048</v>
      </c>
      <c r="I6834" s="62" t="n">
        <v>12.03</v>
      </c>
      <c r="J6834" s="58" t="inlineStr">
        <is>
          <t>Online</t>
        </is>
      </c>
      <c r="K6834" s="62">
        <f>F6834*(G6834-H6834)</f>
        <v/>
      </c>
      <c r="L6834" s="62">
        <f>K6834-(F6834*I6834)</f>
        <v/>
      </c>
      <c r="M6834" s="64">
        <f>L6834/K6834</f>
        <v/>
      </c>
    </row>
    <row r="6835">
      <c r="A6835" s="58" t="inlineStr">
        <is>
          <t>RT20250622-06834</t>
        </is>
      </c>
      <c r="B6835" s="59" t="inlineStr">
        <is>
          <t>2025-06-22</t>
        </is>
      </c>
      <c r="C6835" s="60" t="inlineStr">
        <is>
          <t>Aurora Bedding Max-175</t>
        </is>
      </c>
      <c r="D6835" s="58" t="inlineStr">
        <is>
          <t>Home</t>
        </is>
      </c>
      <c r="E6835" s="58" t="inlineStr">
        <is>
          <t>North</t>
        </is>
      </c>
      <c r="F6835" s="61" t="n">
        <v>3</v>
      </c>
      <c r="G6835" s="62" t="n">
        <v>626.1</v>
      </c>
      <c r="H6835" s="63" t="n">
        <v>0.062</v>
      </c>
      <c r="I6835" s="62" t="n">
        <v>416.25</v>
      </c>
      <c r="J6835" s="58" t="inlineStr">
        <is>
          <t>Online</t>
        </is>
      </c>
      <c r="K6835" s="62">
        <f>F6835*(G6835-H6835)</f>
        <v/>
      </c>
      <c r="L6835" s="62">
        <f>K6835-(F6835*I6835)</f>
        <v/>
      </c>
      <c r="M6835" s="64">
        <f>L6835/K6835</f>
        <v/>
      </c>
    </row>
    <row r="6836">
      <c r="A6836" s="58" t="inlineStr">
        <is>
          <t>RT20250622-06835</t>
        </is>
      </c>
      <c r="B6836" s="59" t="inlineStr">
        <is>
          <t>2025-06-22</t>
        </is>
      </c>
      <c r="C6836" s="60" t="inlineStr">
        <is>
          <t>Polar Supplie Lite-348</t>
        </is>
      </c>
      <c r="D6836" s="58" t="inlineStr">
        <is>
          <t>Office</t>
        </is>
      </c>
      <c r="E6836" s="58" t="inlineStr">
        <is>
          <t>East</t>
        </is>
      </c>
      <c r="F6836" s="61" t="n">
        <v>2</v>
      </c>
      <c r="G6836" s="62" t="n">
        <v>421.81</v>
      </c>
      <c r="H6836" s="63" t="n">
        <v>0.077</v>
      </c>
      <c r="I6836" s="62" t="n">
        <v>321.78</v>
      </c>
      <c r="J6836" s="58" t="inlineStr">
        <is>
          <t>Online</t>
        </is>
      </c>
      <c r="K6836" s="62">
        <f>F6836*(G6836-H6836)</f>
        <v/>
      </c>
      <c r="L6836" s="62">
        <f>K6836-(F6836*I6836)</f>
        <v/>
      </c>
      <c r="M6836" s="64">
        <f>L6836/K6836</f>
        <v/>
      </c>
    </row>
    <row r="6837">
      <c r="A6837" s="58" t="inlineStr">
        <is>
          <t>RT20250622-06836</t>
        </is>
      </c>
      <c r="B6837" s="59" t="inlineStr">
        <is>
          <t>2025-06-22</t>
        </is>
      </c>
      <c r="C6837" s="60" t="inlineStr">
        <is>
          <t>Polar Pantry Lite-392</t>
        </is>
      </c>
      <c r="D6837" s="58" t="inlineStr">
        <is>
          <t>Grocery</t>
        </is>
      </c>
      <c r="E6837" s="58" t="inlineStr">
        <is>
          <t>South</t>
        </is>
      </c>
      <c r="F6837" s="61" t="n">
        <v>8</v>
      </c>
      <c r="G6837" s="62" t="n">
        <v>6.66</v>
      </c>
      <c r="H6837" s="63" t="n">
        <v>0.04</v>
      </c>
      <c r="I6837" s="62" t="n">
        <v>4.58</v>
      </c>
      <c r="J6837" s="58" t="inlineStr">
        <is>
          <t>Store</t>
        </is>
      </c>
      <c r="K6837" s="62">
        <f>F6837*(G6837-H6837)</f>
        <v/>
      </c>
      <c r="L6837" s="62">
        <f>K6837-(F6837*I6837)</f>
        <v/>
      </c>
      <c r="M6837" s="64">
        <f>L6837/K6837</f>
        <v/>
      </c>
    </row>
    <row r="6838">
      <c r="A6838" s="58" t="inlineStr">
        <is>
          <t>RT20250622-06837</t>
        </is>
      </c>
      <c r="B6838" s="59" t="inlineStr">
        <is>
          <t>2025-06-22</t>
        </is>
      </c>
      <c r="C6838" s="60" t="inlineStr">
        <is>
          <t>Nimbus Laptop Max-652</t>
        </is>
      </c>
      <c r="D6838" s="58" t="inlineStr">
        <is>
          <t>Electronics</t>
        </is>
      </c>
      <c r="E6838" s="58" t="inlineStr">
        <is>
          <t>North</t>
        </is>
      </c>
      <c r="F6838" s="61" t="n">
        <v>2</v>
      </c>
      <c r="G6838" s="62" t="n">
        <v>1272.24</v>
      </c>
      <c r="H6838" s="63" t="n">
        <v>0.079</v>
      </c>
      <c r="I6838" s="62" t="n">
        <v>1042.11</v>
      </c>
      <c r="J6838" s="58" t="inlineStr">
        <is>
          <t>Online</t>
        </is>
      </c>
      <c r="K6838" s="62">
        <f>F6838*(G6838-H6838)</f>
        <v/>
      </c>
      <c r="L6838" s="62">
        <f>K6838-(F6838*I6838)</f>
        <v/>
      </c>
      <c r="M6838" s="64">
        <f>L6838/K6838</f>
        <v/>
      </c>
    </row>
    <row r="6839">
      <c r="A6839" s="58" t="inlineStr">
        <is>
          <t>RT20250622-06838</t>
        </is>
      </c>
      <c r="B6839" s="59" t="inlineStr">
        <is>
          <t>2025-06-22</t>
        </is>
      </c>
      <c r="C6839" s="60" t="inlineStr">
        <is>
          <t>Falcon Kitchen X-130</t>
        </is>
      </c>
      <c r="D6839" s="58" t="inlineStr">
        <is>
          <t>Home</t>
        </is>
      </c>
      <c r="E6839" s="58" t="inlineStr">
        <is>
          <t>East</t>
        </is>
      </c>
      <c r="F6839" s="61" t="n">
        <v>3</v>
      </c>
      <c r="G6839" s="62" t="n">
        <v>401.08</v>
      </c>
      <c r="H6839" s="63" t="n">
        <v>0.109</v>
      </c>
      <c r="I6839" s="62" t="n">
        <v>288.27</v>
      </c>
      <c r="J6839" s="58" t="inlineStr">
        <is>
          <t>Online</t>
        </is>
      </c>
      <c r="K6839" s="62">
        <f>F6839*(G6839-H6839)</f>
        <v/>
      </c>
      <c r="L6839" s="62">
        <f>K6839-(F6839*I6839)</f>
        <v/>
      </c>
      <c r="M6839" s="64">
        <f>L6839/K6839</f>
        <v/>
      </c>
    </row>
    <row r="6840">
      <c r="A6840" s="58" t="inlineStr">
        <is>
          <t>RT20250622-06839</t>
        </is>
      </c>
      <c r="B6840" s="59" t="inlineStr">
        <is>
          <t>2025-06-22</t>
        </is>
      </c>
      <c r="C6840" s="60" t="inlineStr">
        <is>
          <t>Metro Beverage Max-490</t>
        </is>
      </c>
      <c r="D6840" s="58" t="inlineStr">
        <is>
          <t>Grocery</t>
        </is>
      </c>
      <c r="E6840" s="58" t="inlineStr">
        <is>
          <t>East</t>
        </is>
      </c>
      <c r="F6840" s="61" t="n">
        <v>6</v>
      </c>
      <c r="G6840" s="62" t="n">
        <v>10.72</v>
      </c>
      <c r="H6840" s="63" t="n">
        <v>0.066</v>
      </c>
      <c r="I6840" s="62" t="n">
        <v>8.16</v>
      </c>
      <c r="J6840" s="58" t="inlineStr">
        <is>
          <t>Store</t>
        </is>
      </c>
      <c r="K6840" s="62">
        <f>F6840*(G6840-H6840)</f>
        <v/>
      </c>
      <c r="L6840" s="62">
        <f>K6840-(F6840*I6840)</f>
        <v/>
      </c>
      <c r="M6840" s="64">
        <f>L6840/K6840</f>
        <v/>
      </c>
    </row>
    <row r="6841">
      <c r="A6841" s="58" t="inlineStr">
        <is>
          <t>RT20250622-06840</t>
        </is>
      </c>
      <c r="B6841" s="59" t="inlineStr">
        <is>
          <t>2025-06-22</t>
        </is>
      </c>
      <c r="C6841" s="60" t="inlineStr">
        <is>
          <t>Solace Bedding Plus-317</t>
        </is>
      </c>
      <c r="D6841" s="58" t="inlineStr">
        <is>
          <t>Home</t>
        </is>
      </c>
      <c r="E6841" s="58" t="inlineStr">
        <is>
          <t>Central</t>
        </is>
      </c>
      <c r="F6841" s="61" t="n">
        <v>1</v>
      </c>
      <c r="G6841" s="62" t="n">
        <v>614.63</v>
      </c>
      <c r="H6841" s="63" t="n">
        <v>0.083</v>
      </c>
      <c r="I6841" s="62" t="n">
        <v>375.32</v>
      </c>
      <c r="J6841" s="58" t="inlineStr">
        <is>
          <t>Online</t>
        </is>
      </c>
      <c r="K6841" s="62">
        <f>F6841*(G6841-H6841)</f>
        <v/>
      </c>
      <c r="L6841" s="62">
        <f>K6841-(F6841*I6841)</f>
        <v/>
      </c>
      <c r="M6841" s="64">
        <f>L6841/K6841</f>
        <v/>
      </c>
    </row>
    <row r="6842">
      <c r="A6842" s="58" t="inlineStr">
        <is>
          <t>RT20250622-06841</t>
        </is>
      </c>
      <c r="B6842" s="59" t="inlineStr">
        <is>
          <t>2025-06-22</t>
        </is>
      </c>
      <c r="C6842" s="60" t="inlineStr">
        <is>
          <t>Falcon Cycling Pro-499</t>
        </is>
      </c>
      <c r="D6842" s="58" t="inlineStr">
        <is>
          <t>Sports</t>
        </is>
      </c>
      <c r="E6842" s="58" t="inlineStr">
        <is>
          <t>South</t>
        </is>
      </c>
      <c r="F6842" s="61" t="n">
        <v>1</v>
      </c>
      <c r="G6842" s="62" t="n">
        <v>593.47</v>
      </c>
      <c r="H6842" s="63" t="n">
        <v>0.044</v>
      </c>
      <c r="I6842" s="62" t="n">
        <v>399.34</v>
      </c>
      <c r="J6842" s="58" t="inlineStr">
        <is>
          <t>Store</t>
        </is>
      </c>
      <c r="K6842" s="62">
        <f>F6842*(G6842-H6842)</f>
        <v/>
      </c>
      <c r="L6842" s="62">
        <f>K6842-(F6842*I6842)</f>
        <v/>
      </c>
      <c r="M6842" s="64">
        <f>L6842/K6842</f>
        <v/>
      </c>
    </row>
    <row r="6843">
      <c r="A6843" s="58" t="inlineStr">
        <is>
          <t>RT20250622-06842</t>
        </is>
      </c>
      <c r="B6843" s="59" t="inlineStr">
        <is>
          <t>2025-06-22</t>
        </is>
      </c>
      <c r="C6843" s="60" t="inlineStr">
        <is>
          <t>Solace Laptop S-367</t>
        </is>
      </c>
      <c r="D6843" s="58" t="inlineStr">
        <is>
          <t>Electronics</t>
        </is>
      </c>
      <c r="E6843" s="58" t="inlineStr">
        <is>
          <t>East</t>
        </is>
      </c>
      <c r="F6843" s="61" t="n">
        <v>2</v>
      </c>
      <c r="G6843" s="62" t="n">
        <v>2014.74</v>
      </c>
      <c r="H6843" s="63" t="n">
        <v>0.065</v>
      </c>
      <c r="I6843" s="62" t="n">
        <v>1560.36</v>
      </c>
      <c r="J6843" s="58" t="inlineStr">
        <is>
          <t>Store</t>
        </is>
      </c>
      <c r="K6843" s="62">
        <f>F6843*(G6843-H6843)</f>
        <v/>
      </c>
      <c r="L6843" s="62">
        <f>K6843-(F6843*I6843)</f>
        <v/>
      </c>
      <c r="M6843" s="64">
        <f>L6843/K6843</f>
        <v/>
      </c>
    </row>
    <row r="6844">
      <c r="A6844" s="58" t="inlineStr">
        <is>
          <t>RT20250622-06843</t>
        </is>
      </c>
      <c r="B6844" s="59" t="inlineStr">
        <is>
          <t>2025-06-22</t>
        </is>
      </c>
      <c r="C6844" s="60" t="inlineStr">
        <is>
          <t>Vertex Supplie Pro-786</t>
        </is>
      </c>
      <c r="D6844" s="58" t="inlineStr">
        <is>
          <t>Office</t>
        </is>
      </c>
      <c r="E6844" s="58" t="inlineStr">
        <is>
          <t>North</t>
        </is>
      </c>
      <c r="F6844" s="61" t="n">
        <v>1</v>
      </c>
      <c r="G6844" s="62" t="n">
        <v>394.54</v>
      </c>
      <c r="H6844" s="63" t="n">
        <v>0.07000000000000001</v>
      </c>
      <c r="I6844" s="62" t="n">
        <v>302.05</v>
      </c>
      <c r="J6844" s="58" t="inlineStr">
        <is>
          <t>Online</t>
        </is>
      </c>
      <c r="K6844" s="62">
        <f>F6844*(G6844-H6844)</f>
        <v/>
      </c>
      <c r="L6844" s="62">
        <f>K6844-(F6844*I6844)</f>
        <v/>
      </c>
      <c r="M6844" s="64">
        <f>L6844/K6844</f>
        <v/>
      </c>
    </row>
    <row r="6845">
      <c r="A6845" s="58" t="inlineStr">
        <is>
          <t>RT20250622-06844</t>
        </is>
      </c>
      <c r="B6845" s="59" t="inlineStr">
        <is>
          <t>2025-06-22</t>
        </is>
      </c>
      <c r="C6845" s="60" t="inlineStr">
        <is>
          <t>Falcon Cycling Pro-499</t>
        </is>
      </c>
      <c r="D6845" s="58" t="inlineStr">
        <is>
          <t>Sports</t>
        </is>
      </c>
      <c r="E6845" s="58" t="inlineStr">
        <is>
          <t>North</t>
        </is>
      </c>
      <c r="F6845" s="61" t="n">
        <v>3</v>
      </c>
      <c r="G6845" s="62" t="n">
        <v>596.1</v>
      </c>
      <c r="H6845" s="63" t="n">
        <v>0.043</v>
      </c>
      <c r="I6845" s="62" t="n">
        <v>397.44</v>
      </c>
      <c r="J6845" s="58" t="inlineStr">
        <is>
          <t>Store</t>
        </is>
      </c>
      <c r="K6845" s="62">
        <f>F6845*(G6845-H6845)</f>
        <v/>
      </c>
      <c r="L6845" s="62">
        <f>K6845-(F6845*I6845)</f>
        <v/>
      </c>
      <c r="M6845" s="64">
        <f>L6845/K6845</f>
        <v/>
      </c>
    </row>
    <row r="6846">
      <c r="A6846" s="58" t="inlineStr">
        <is>
          <t>RT20250622-06845</t>
        </is>
      </c>
      <c r="B6846" s="59" t="inlineStr">
        <is>
          <t>2025-06-22</t>
        </is>
      </c>
      <c r="C6846" s="60" t="inlineStr">
        <is>
          <t>Solace Laptop S-367</t>
        </is>
      </c>
      <c r="D6846" s="58" t="inlineStr">
        <is>
          <t>Electronics</t>
        </is>
      </c>
      <c r="E6846" s="58" t="inlineStr">
        <is>
          <t>West</t>
        </is>
      </c>
      <c r="F6846" s="61" t="n">
        <v>1</v>
      </c>
      <c r="G6846" s="62" t="n">
        <v>1922.17</v>
      </c>
      <c r="H6846" s="63" t="n">
        <v>0.036</v>
      </c>
      <c r="I6846" s="62" t="n">
        <v>1597.49</v>
      </c>
      <c r="J6846" s="58" t="inlineStr">
        <is>
          <t>Online</t>
        </is>
      </c>
      <c r="K6846" s="62">
        <f>F6846*(G6846-H6846)</f>
        <v/>
      </c>
      <c r="L6846" s="62">
        <f>K6846-(F6846*I6846)</f>
        <v/>
      </c>
      <c r="M6846" s="64">
        <f>L6846/K6846</f>
        <v/>
      </c>
    </row>
    <row r="6847">
      <c r="A6847" s="58" t="inlineStr">
        <is>
          <t>RT20250622-06846</t>
        </is>
      </c>
      <c r="B6847" s="59" t="inlineStr">
        <is>
          <t>2025-06-22</t>
        </is>
      </c>
      <c r="C6847" s="60" t="inlineStr">
        <is>
          <t>Orion Men X-928</t>
        </is>
      </c>
      <c r="D6847" s="58" t="inlineStr">
        <is>
          <t>Apparel</t>
        </is>
      </c>
      <c r="E6847" s="58" t="inlineStr">
        <is>
          <t>Central</t>
        </is>
      </c>
      <c r="F6847" s="61" t="n">
        <v>3</v>
      </c>
      <c r="G6847" s="62" t="n">
        <v>96.89</v>
      </c>
      <c r="H6847" s="63" t="n">
        <v>0.102</v>
      </c>
      <c r="I6847" s="62" t="n">
        <v>62.2</v>
      </c>
      <c r="J6847" s="58" t="inlineStr">
        <is>
          <t>Online</t>
        </is>
      </c>
      <c r="K6847" s="62">
        <f>F6847*(G6847-H6847)</f>
        <v/>
      </c>
      <c r="L6847" s="62">
        <f>K6847-(F6847*I6847)</f>
        <v/>
      </c>
      <c r="M6847" s="64">
        <f>L6847/K6847</f>
        <v/>
      </c>
    </row>
    <row r="6848">
      <c r="A6848" s="58" t="inlineStr">
        <is>
          <t>RT20250622-06847</t>
        </is>
      </c>
      <c r="B6848" s="59" t="inlineStr">
        <is>
          <t>2025-06-22</t>
        </is>
      </c>
      <c r="C6848" s="60" t="inlineStr">
        <is>
          <t>Aurora Printer Plus-991</t>
        </is>
      </c>
      <c r="D6848" s="58" t="inlineStr">
        <is>
          <t>Office</t>
        </is>
      </c>
      <c r="E6848" s="58" t="inlineStr">
        <is>
          <t>Central</t>
        </is>
      </c>
      <c r="F6848" s="61" t="n">
        <v>3</v>
      </c>
      <c r="G6848" s="62" t="n">
        <v>503.04</v>
      </c>
      <c r="H6848" s="63" t="n">
        <v>0.076</v>
      </c>
      <c r="I6848" s="62" t="n">
        <v>374.31</v>
      </c>
      <c r="J6848" s="58" t="inlineStr">
        <is>
          <t>Store</t>
        </is>
      </c>
      <c r="K6848" s="62">
        <f>F6848*(G6848-H6848)</f>
        <v/>
      </c>
      <c r="L6848" s="62">
        <f>K6848-(F6848*I6848)</f>
        <v/>
      </c>
      <c r="M6848" s="64">
        <f>L6848/K6848</f>
        <v/>
      </c>
    </row>
    <row r="6849">
      <c r="A6849" s="58" t="inlineStr">
        <is>
          <t>RT20250622-06848</t>
        </is>
      </c>
      <c r="B6849" s="59" t="inlineStr">
        <is>
          <t>2025-06-22</t>
        </is>
      </c>
      <c r="C6849" s="60" t="inlineStr">
        <is>
          <t>Aurora Haircare S-975</t>
        </is>
      </c>
      <c r="D6849" s="58" t="inlineStr">
        <is>
          <t>Beauty</t>
        </is>
      </c>
      <c r="E6849" s="58" t="inlineStr">
        <is>
          <t>South</t>
        </is>
      </c>
      <c r="F6849" s="61" t="n">
        <v>4</v>
      </c>
      <c r="G6849" s="62" t="n">
        <v>105.46</v>
      </c>
      <c r="H6849" s="63" t="n">
        <v>0.081</v>
      </c>
      <c r="I6849" s="62" t="n">
        <v>59.18</v>
      </c>
      <c r="J6849" s="58" t="inlineStr">
        <is>
          <t>Store</t>
        </is>
      </c>
      <c r="K6849" s="62">
        <f>F6849*(G6849-H6849)</f>
        <v/>
      </c>
      <c r="L6849" s="62">
        <f>K6849-(F6849*I6849)</f>
        <v/>
      </c>
      <c r="M6849" s="64">
        <f>L6849/K6849</f>
        <v/>
      </c>
    </row>
    <row r="6850">
      <c r="A6850" s="58" t="inlineStr">
        <is>
          <t>RT20250622-06849</t>
        </is>
      </c>
      <c r="B6850" s="59" t="inlineStr">
        <is>
          <t>2025-06-22</t>
        </is>
      </c>
      <c r="C6850" s="60" t="inlineStr">
        <is>
          <t>Polar Supplie Lite-348</t>
        </is>
      </c>
      <c r="D6850" s="58" t="inlineStr">
        <is>
          <t>Office</t>
        </is>
      </c>
      <c r="E6850" s="58" t="inlineStr">
        <is>
          <t>South</t>
        </is>
      </c>
      <c r="F6850" s="61" t="n">
        <v>1</v>
      </c>
      <c r="G6850" s="62" t="n">
        <v>476.96</v>
      </c>
      <c r="H6850" s="63" t="n">
        <v>0.093</v>
      </c>
      <c r="I6850" s="62" t="n">
        <v>317.77</v>
      </c>
      <c r="J6850" s="58" t="inlineStr">
        <is>
          <t>Store</t>
        </is>
      </c>
      <c r="K6850" s="62">
        <f>F6850*(G6850-H6850)</f>
        <v/>
      </c>
      <c r="L6850" s="62">
        <f>K6850-(F6850*I6850)</f>
        <v/>
      </c>
      <c r="M6850" s="64">
        <f>L6850/K6850</f>
        <v/>
      </c>
    </row>
    <row r="6851">
      <c r="A6851" s="58" t="inlineStr">
        <is>
          <t>RT20250622-06850</t>
        </is>
      </c>
      <c r="B6851" s="59" t="inlineStr">
        <is>
          <t>2025-06-22</t>
        </is>
      </c>
      <c r="C6851" s="60" t="inlineStr">
        <is>
          <t>Solace Laptop S-367</t>
        </is>
      </c>
      <c r="D6851" s="58" t="inlineStr">
        <is>
          <t>Electronics</t>
        </is>
      </c>
      <c r="E6851" s="58" t="inlineStr">
        <is>
          <t>North</t>
        </is>
      </c>
      <c r="F6851" s="61" t="n">
        <v>2</v>
      </c>
      <c r="G6851" s="62" t="n">
        <v>1919.89</v>
      </c>
      <c r="H6851" s="63" t="n">
        <v>0.077</v>
      </c>
      <c r="I6851" s="62" t="n">
        <v>1596.82</v>
      </c>
      <c r="J6851" s="58" t="inlineStr">
        <is>
          <t>Online</t>
        </is>
      </c>
      <c r="K6851" s="62">
        <f>F6851*(G6851-H6851)</f>
        <v/>
      </c>
      <c r="L6851" s="62">
        <f>K6851-(F6851*I6851)</f>
        <v/>
      </c>
      <c r="M6851" s="64">
        <f>L6851/K6851</f>
        <v/>
      </c>
    </row>
    <row r="6852">
      <c r="A6852" s="58" t="inlineStr">
        <is>
          <t>RT20250622-06851</t>
        </is>
      </c>
      <c r="B6852" s="59" t="inlineStr">
        <is>
          <t>2025-06-22</t>
        </is>
      </c>
      <c r="C6852" s="60" t="inlineStr">
        <is>
          <t>Polar Fragrance Pro-750</t>
        </is>
      </c>
      <c r="D6852" s="58" t="inlineStr">
        <is>
          <t>Beauty</t>
        </is>
      </c>
      <c r="E6852" s="58" t="inlineStr">
        <is>
          <t>West</t>
        </is>
      </c>
      <c r="F6852" s="61" t="n">
        <v>2</v>
      </c>
      <c r="G6852" s="62" t="n">
        <v>58.2</v>
      </c>
      <c r="H6852" s="63" t="n">
        <v>0.083</v>
      </c>
      <c r="I6852" s="62" t="n">
        <v>36.1</v>
      </c>
      <c r="J6852" s="58" t="inlineStr">
        <is>
          <t>Online</t>
        </is>
      </c>
      <c r="K6852" s="62">
        <f>F6852*(G6852-H6852)</f>
        <v/>
      </c>
      <c r="L6852" s="62">
        <f>K6852-(F6852*I6852)</f>
        <v/>
      </c>
      <c r="M6852" s="64">
        <f>L6852/K6852</f>
        <v/>
      </c>
    </row>
    <row r="6853">
      <c r="A6853" s="58" t="inlineStr">
        <is>
          <t>RT20250622-06852</t>
        </is>
      </c>
      <c r="B6853" s="59" t="inlineStr">
        <is>
          <t>2025-06-22</t>
        </is>
      </c>
      <c r="C6853" s="60" t="inlineStr">
        <is>
          <t>Nimbus Men Plus-231</t>
        </is>
      </c>
      <c r="D6853" s="58" t="inlineStr">
        <is>
          <t>Apparel</t>
        </is>
      </c>
      <c r="E6853" s="58" t="inlineStr">
        <is>
          <t>West</t>
        </is>
      </c>
      <c r="F6853" s="61" t="n">
        <v>1</v>
      </c>
      <c r="G6853" s="62" t="n">
        <v>170.68</v>
      </c>
      <c r="H6853" s="63" t="n">
        <v>0.04</v>
      </c>
      <c r="I6853" s="62" t="n">
        <v>86.8</v>
      </c>
      <c r="J6853" s="58" t="inlineStr">
        <is>
          <t>Store</t>
        </is>
      </c>
      <c r="K6853" s="62">
        <f>F6853*(G6853-H6853)</f>
        <v/>
      </c>
      <c r="L6853" s="62">
        <f>K6853-(F6853*I6853)</f>
        <v/>
      </c>
      <c r="M6853" s="64">
        <f>L6853/K6853</f>
        <v/>
      </c>
    </row>
    <row r="6854">
      <c r="A6854" s="58" t="inlineStr">
        <is>
          <t>RT20250622-06853</t>
        </is>
      </c>
      <c r="B6854" s="59" t="inlineStr">
        <is>
          <t>2025-06-22</t>
        </is>
      </c>
      <c r="C6854" s="60" t="inlineStr">
        <is>
          <t>Metro Outdoor Plus-787</t>
        </is>
      </c>
      <c r="D6854" s="58" t="inlineStr">
        <is>
          <t>Sports</t>
        </is>
      </c>
      <c r="E6854" s="58" t="inlineStr">
        <is>
          <t>East</t>
        </is>
      </c>
      <c r="F6854" s="61" t="n">
        <v>3</v>
      </c>
      <c r="G6854" s="62" t="n">
        <v>517.64</v>
      </c>
      <c r="H6854" s="63" t="n">
        <v>0.152</v>
      </c>
      <c r="I6854" s="62" t="n">
        <v>353.68</v>
      </c>
      <c r="J6854" s="58" t="inlineStr">
        <is>
          <t>Online</t>
        </is>
      </c>
      <c r="K6854" s="62">
        <f>F6854*(G6854-H6854)</f>
        <v/>
      </c>
      <c r="L6854" s="62">
        <f>K6854-(F6854*I6854)</f>
        <v/>
      </c>
      <c r="M6854" s="64">
        <f>L6854/K6854</f>
        <v/>
      </c>
    </row>
    <row r="6855">
      <c r="A6855" s="58" t="inlineStr">
        <is>
          <t>RT20250622-06854</t>
        </is>
      </c>
      <c r="B6855" s="59" t="inlineStr">
        <is>
          <t>2025-06-22</t>
        </is>
      </c>
      <c r="C6855" s="60" t="inlineStr">
        <is>
          <t>Aurora Printer Plus-991</t>
        </is>
      </c>
      <c r="D6855" s="58" t="inlineStr">
        <is>
          <t>Office</t>
        </is>
      </c>
      <c r="E6855" s="58" t="inlineStr">
        <is>
          <t>Central</t>
        </is>
      </c>
      <c r="F6855" s="61" t="n">
        <v>2</v>
      </c>
      <c r="G6855" s="62" t="n">
        <v>554.62</v>
      </c>
      <c r="H6855" s="63" t="n">
        <v>0.058</v>
      </c>
      <c r="I6855" s="62" t="n">
        <v>375.06</v>
      </c>
      <c r="J6855" s="58" t="inlineStr">
        <is>
          <t>Online</t>
        </is>
      </c>
      <c r="K6855" s="62">
        <f>F6855*(G6855-H6855)</f>
        <v/>
      </c>
      <c r="L6855" s="62">
        <f>K6855-(F6855*I6855)</f>
        <v/>
      </c>
      <c r="M6855" s="64">
        <f>L6855/K6855</f>
        <v/>
      </c>
    </row>
    <row r="6856">
      <c r="A6856" s="58" t="inlineStr">
        <is>
          <t>RT20250622-06855</t>
        </is>
      </c>
      <c r="B6856" s="59" t="inlineStr">
        <is>
          <t>2025-06-22</t>
        </is>
      </c>
      <c r="C6856" s="60" t="inlineStr">
        <is>
          <t>Orion Haircare Plus-887</t>
        </is>
      </c>
      <c r="D6856" s="58" t="inlineStr">
        <is>
          <t>Beauty</t>
        </is>
      </c>
      <c r="E6856" s="58" t="inlineStr">
        <is>
          <t>Central</t>
        </is>
      </c>
      <c r="F6856" s="61" t="n">
        <v>2</v>
      </c>
      <c r="G6856" s="62" t="n">
        <v>52.4</v>
      </c>
      <c r="H6856" s="63" t="n">
        <v>0.046</v>
      </c>
      <c r="I6856" s="62" t="n">
        <v>30.11</v>
      </c>
      <c r="J6856" s="58" t="inlineStr">
        <is>
          <t>Online</t>
        </is>
      </c>
      <c r="K6856" s="62">
        <f>F6856*(G6856-H6856)</f>
        <v/>
      </c>
      <c r="L6856" s="62">
        <f>K6856-(F6856*I6856)</f>
        <v/>
      </c>
      <c r="M6856" s="64">
        <f>L6856/K6856</f>
        <v/>
      </c>
    </row>
    <row r="6857">
      <c r="A6857" s="58" t="inlineStr">
        <is>
          <t>RT20250622-06856</t>
        </is>
      </c>
      <c r="B6857" s="59" t="inlineStr">
        <is>
          <t>2025-06-22</t>
        </is>
      </c>
      <c r="C6857" s="60" t="inlineStr">
        <is>
          <t>Solace Makeup Pro-214</t>
        </is>
      </c>
      <c r="D6857" s="58" t="inlineStr">
        <is>
          <t>Beauty</t>
        </is>
      </c>
      <c r="E6857" s="58" t="inlineStr">
        <is>
          <t>West</t>
        </is>
      </c>
      <c r="F6857" s="61" t="n">
        <v>5</v>
      </c>
      <c r="G6857" s="62" t="n">
        <v>112.11</v>
      </c>
      <c r="H6857" s="63" t="n">
        <v>0.082</v>
      </c>
      <c r="I6857" s="62" t="n">
        <v>68.39</v>
      </c>
      <c r="J6857" s="58" t="inlineStr">
        <is>
          <t>Store</t>
        </is>
      </c>
      <c r="K6857" s="62">
        <f>F6857*(G6857-H6857)</f>
        <v/>
      </c>
      <c r="L6857" s="62">
        <f>K6857-(F6857*I6857)</f>
        <v/>
      </c>
      <c r="M6857" s="64">
        <f>L6857/K6857</f>
        <v/>
      </c>
    </row>
    <row r="6858">
      <c r="A6858" s="58" t="inlineStr">
        <is>
          <t>RT20250622-06857</t>
        </is>
      </c>
      <c r="B6858" s="59" t="inlineStr">
        <is>
          <t>2025-06-22</t>
        </is>
      </c>
      <c r="C6858" s="60" t="inlineStr">
        <is>
          <t>Polar Cycling S-223</t>
        </is>
      </c>
      <c r="D6858" s="58" t="inlineStr">
        <is>
          <t>Sports</t>
        </is>
      </c>
      <c r="E6858" s="58" t="inlineStr">
        <is>
          <t>East</t>
        </is>
      </c>
      <c r="F6858" s="61" t="n">
        <v>1</v>
      </c>
      <c r="G6858" s="62" t="n">
        <v>964.46</v>
      </c>
      <c r="H6858" s="63" t="n">
        <v>0.02</v>
      </c>
      <c r="I6858" s="62" t="n">
        <v>642.71</v>
      </c>
      <c r="J6858" s="58" t="inlineStr">
        <is>
          <t>Online</t>
        </is>
      </c>
      <c r="K6858" s="62">
        <f>F6858*(G6858-H6858)</f>
        <v/>
      </c>
      <c r="L6858" s="62">
        <f>K6858-(F6858*I6858)</f>
        <v/>
      </c>
      <c r="M6858" s="64">
        <f>L6858/K6858</f>
        <v/>
      </c>
    </row>
    <row r="6859">
      <c r="A6859" s="58" t="inlineStr">
        <is>
          <t>RT20250622-06858</t>
        </is>
      </c>
      <c r="B6859" s="59" t="inlineStr">
        <is>
          <t>2025-06-22</t>
        </is>
      </c>
      <c r="C6859" s="60" t="inlineStr">
        <is>
          <t>Polar Women S-662</t>
        </is>
      </c>
      <c r="D6859" s="58" t="inlineStr">
        <is>
          <t>Apparel</t>
        </is>
      </c>
      <c r="E6859" s="58" t="inlineStr">
        <is>
          <t>West</t>
        </is>
      </c>
      <c r="F6859" s="61" t="n">
        <v>1</v>
      </c>
      <c r="G6859" s="62" t="n">
        <v>186.45</v>
      </c>
      <c r="H6859" s="63" t="n">
        <v>0.131</v>
      </c>
      <c r="I6859" s="62" t="n">
        <v>97.28</v>
      </c>
      <c r="J6859" s="58" t="inlineStr">
        <is>
          <t>Online</t>
        </is>
      </c>
      <c r="K6859" s="62">
        <f>F6859*(G6859-H6859)</f>
        <v/>
      </c>
      <c r="L6859" s="62">
        <f>K6859-(F6859*I6859)</f>
        <v/>
      </c>
      <c r="M6859" s="64">
        <f>L6859/K6859</f>
        <v/>
      </c>
    </row>
    <row r="6860">
      <c r="A6860" s="58" t="inlineStr">
        <is>
          <t>RT20250622-06859</t>
        </is>
      </c>
      <c r="B6860" s="59" t="inlineStr">
        <is>
          <t>2025-06-22</t>
        </is>
      </c>
      <c r="C6860" s="60" t="inlineStr">
        <is>
          <t>Metro Smartphone Max-773</t>
        </is>
      </c>
      <c r="D6860" s="58" t="inlineStr">
        <is>
          <t>Electronics</t>
        </is>
      </c>
      <c r="E6860" s="58" t="inlineStr">
        <is>
          <t>East</t>
        </is>
      </c>
      <c r="F6860" s="61" t="n">
        <v>1</v>
      </c>
      <c r="G6860" s="62" t="n">
        <v>1154.67</v>
      </c>
      <c r="H6860" s="63" t="n">
        <v>0.045</v>
      </c>
      <c r="I6860" s="62" t="n">
        <v>1070.59</v>
      </c>
      <c r="J6860" s="58" t="inlineStr">
        <is>
          <t>Online</t>
        </is>
      </c>
      <c r="K6860" s="62">
        <f>F6860*(G6860-H6860)</f>
        <v/>
      </c>
      <c r="L6860" s="62">
        <f>K6860-(F6860*I6860)</f>
        <v/>
      </c>
      <c r="M6860" s="64">
        <f>L6860/K6860</f>
        <v/>
      </c>
    </row>
    <row r="6861">
      <c r="A6861" s="58" t="inlineStr">
        <is>
          <t>RT20250622-06860</t>
        </is>
      </c>
      <c r="B6861" s="59" t="inlineStr">
        <is>
          <t>2025-06-22</t>
        </is>
      </c>
      <c r="C6861" s="60" t="inlineStr">
        <is>
          <t>Nimbus Women Lite-814</t>
        </is>
      </c>
      <c r="D6861" s="58" t="inlineStr">
        <is>
          <t>Apparel</t>
        </is>
      </c>
      <c r="E6861" s="58" t="inlineStr">
        <is>
          <t>North</t>
        </is>
      </c>
      <c r="F6861" s="61" t="n">
        <v>2</v>
      </c>
      <c r="G6861" s="62" t="n">
        <v>153.22</v>
      </c>
      <c r="H6861" s="63" t="n">
        <v>0.074</v>
      </c>
      <c r="I6861" s="62" t="n">
        <v>84.48</v>
      </c>
      <c r="J6861" s="58" t="inlineStr">
        <is>
          <t>Store</t>
        </is>
      </c>
      <c r="K6861" s="62">
        <f>F6861*(G6861-H6861)</f>
        <v/>
      </c>
      <c r="L6861" s="62">
        <f>K6861-(F6861*I6861)</f>
        <v/>
      </c>
      <c r="M6861" s="64">
        <f>L6861/K6861</f>
        <v/>
      </c>
    </row>
    <row r="6862">
      <c r="A6862" s="58" t="inlineStr">
        <is>
          <t>RT20250622-06861</t>
        </is>
      </c>
      <c r="B6862" s="59" t="inlineStr">
        <is>
          <t>2025-06-22</t>
        </is>
      </c>
      <c r="C6862" s="60" t="inlineStr">
        <is>
          <t>Vertex Appliance Max-338</t>
        </is>
      </c>
      <c r="D6862" s="58" t="inlineStr">
        <is>
          <t>Home</t>
        </is>
      </c>
      <c r="E6862" s="58" t="inlineStr">
        <is>
          <t>West</t>
        </is>
      </c>
      <c r="F6862" s="61" t="n">
        <v>1</v>
      </c>
      <c r="G6862" s="62" t="n">
        <v>347.92</v>
      </c>
      <c r="H6862" s="63" t="n">
        <v>0.06</v>
      </c>
      <c r="I6862" s="62" t="n">
        <v>295.47</v>
      </c>
      <c r="J6862" s="58" t="inlineStr">
        <is>
          <t>Online</t>
        </is>
      </c>
      <c r="K6862" s="62">
        <f>F6862*(G6862-H6862)</f>
        <v/>
      </c>
      <c r="L6862" s="62">
        <f>K6862-(F6862*I6862)</f>
        <v/>
      </c>
      <c r="M6862" s="64">
        <f>L6862/K6862</f>
        <v/>
      </c>
    </row>
    <row r="6863">
      <c r="A6863" s="58" t="inlineStr">
        <is>
          <t>RT20250622-06862</t>
        </is>
      </c>
      <c r="B6863" s="59" t="inlineStr">
        <is>
          <t>2025-06-22</t>
        </is>
      </c>
      <c r="C6863" s="60" t="inlineStr">
        <is>
          <t>Falcon Furniture Plus-839</t>
        </is>
      </c>
      <c r="D6863" s="58" t="inlineStr">
        <is>
          <t>Office</t>
        </is>
      </c>
      <c r="E6863" s="58" t="inlineStr">
        <is>
          <t>Central</t>
        </is>
      </c>
      <c r="F6863" s="61" t="n">
        <v>3</v>
      </c>
      <c r="G6863" s="62" t="n">
        <v>302.3</v>
      </c>
      <c r="H6863" s="63" t="n">
        <v>0.041</v>
      </c>
      <c r="I6863" s="62" t="n">
        <v>223.18</v>
      </c>
      <c r="J6863" s="58" t="inlineStr">
        <is>
          <t>Store</t>
        </is>
      </c>
      <c r="K6863" s="62">
        <f>F6863*(G6863-H6863)</f>
        <v/>
      </c>
      <c r="L6863" s="62">
        <f>K6863-(F6863*I6863)</f>
        <v/>
      </c>
      <c r="M6863" s="64">
        <f>L6863/K6863</f>
        <v/>
      </c>
    </row>
    <row r="6864">
      <c r="A6864" s="58" t="inlineStr">
        <is>
          <t>RT20250622-06863</t>
        </is>
      </c>
      <c r="B6864" s="59" t="inlineStr">
        <is>
          <t>2025-06-22</t>
        </is>
      </c>
      <c r="C6864" s="60" t="inlineStr">
        <is>
          <t>Metro Outdoor Plus-787</t>
        </is>
      </c>
      <c r="D6864" s="58" t="inlineStr">
        <is>
          <t>Sports</t>
        </is>
      </c>
      <c r="E6864" s="58" t="inlineStr">
        <is>
          <t>East</t>
        </is>
      </c>
      <c r="F6864" s="61" t="n">
        <v>1</v>
      </c>
      <c r="G6864" s="62" t="n">
        <v>521.41</v>
      </c>
      <c r="H6864" s="63" t="n">
        <v>0.039</v>
      </c>
      <c r="I6864" s="62" t="n">
        <v>351.92</v>
      </c>
      <c r="J6864" s="58" t="inlineStr">
        <is>
          <t>Store</t>
        </is>
      </c>
      <c r="K6864" s="62">
        <f>F6864*(G6864-H6864)</f>
        <v/>
      </c>
      <c r="L6864" s="62">
        <f>K6864-(F6864*I6864)</f>
        <v/>
      </c>
      <c r="M6864" s="64">
        <f>L6864/K6864</f>
        <v/>
      </c>
    </row>
    <row r="6865">
      <c r="A6865" s="58" t="inlineStr">
        <is>
          <t>RT20250622-06864</t>
        </is>
      </c>
      <c r="B6865" s="59" t="inlineStr">
        <is>
          <t>2025-06-22</t>
        </is>
      </c>
      <c r="C6865" s="60" t="inlineStr">
        <is>
          <t>Nimbus Headphone X-854</t>
        </is>
      </c>
      <c r="D6865" s="58" t="inlineStr">
        <is>
          <t>Electronics</t>
        </is>
      </c>
      <c r="E6865" s="58" t="inlineStr">
        <is>
          <t>North</t>
        </is>
      </c>
      <c r="F6865" s="61" t="n">
        <v>2</v>
      </c>
      <c r="G6865" s="62" t="n">
        <v>1682.98</v>
      </c>
      <c r="H6865" s="63" t="n">
        <v>0.028</v>
      </c>
      <c r="I6865" s="62" t="n">
        <v>1276.56</v>
      </c>
      <c r="J6865" s="58" t="inlineStr">
        <is>
          <t>Store</t>
        </is>
      </c>
      <c r="K6865" s="62">
        <f>F6865*(G6865-H6865)</f>
        <v/>
      </c>
      <c r="L6865" s="62">
        <f>K6865-(F6865*I6865)</f>
        <v/>
      </c>
      <c r="M6865" s="64">
        <f>L6865/K6865</f>
        <v/>
      </c>
    </row>
    <row r="6866">
      <c r="A6866" s="58" t="inlineStr">
        <is>
          <t>RT20250622-06865</t>
        </is>
      </c>
      <c r="B6866" s="59" t="inlineStr">
        <is>
          <t>2025-06-22</t>
        </is>
      </c>
      <c r="C6866" s="60" t="inlineStr">
        <is>
          <t>Aurora Printer Plus-723</t>
        </is>
      </c>
      <c r="D6866" s="58" t="inlineStr">
        <is>
          <t>Office</t>
        </is>
      </c>
      <c r="E6866" s="58" t="inlineStr">
        <is>
          <t>East</t>
        </is>
      </c>
      <c r="F6866" s="61" t="n">
        <v>2</v>
      </c>
      <c r="G6866" s="62" t="n">
        <v>263.48</v>
      </c>
      <c r="H6866" s="63" t="n">
        <v>0.035</v>
      </c>
      <c r="I6866" s="62" t="n">
        <v>187.83</v>
      </c>
      <c r="J6866" s="58" t="inlineStr">
        <is>
          <t>Online</t>
        </is>
      </c>
      <c r="K6866" s="62">
        <f>F6866*(G6866-H6866)</f>
        <v/>
      </c>
      <c r="L6866" s="62">
        <f>K6866-(F6866*I6866)</f>
        <v/>
      </c>
      <c r="M6866" s="64">
        <f>L6866/K6866</f>
        <v/>
      </c>
    </row>
    <row r="6867">
      <c r="A6867" s="58" t="inlineStr">
        <is>
          <t>RT20250622-06866</t>
        </is>
      </c>
      <c r="B6867" s="59" t="inlineStr">
        <is>
          <t>2025-06-22</t>
        </is>
      </c>
      <c r="C6867" s="60" t="inlineStr">
        <is>
          <t>Aurora Bedding Max-175</t>
        </is>
      </c>
      <c r="D6867" s="58" t="inlineStr">
        <is>
          <t>Home</t>
        </is>
      </c>
      <c r="E6867" s="58" t="inlineStr">
        <is>
          <t>West</t>
        </is>
      </c>
      <c r="F6867" s="61" t="n">
        <v>1</v>
      </c>
      <c r="G6867" s="62" t="n">
        <v>611.86</v>
      </c>
      <c r="H6867" s="63" t="n">
        <v>0.076</v>
      </c>
      <c r="I6867" s="62" t="n">
        <v>409.04</v>
      </c>
      <c r="J6867" s="58" t="inlineStr">
        <is>
          <t>Online</t>
        </is>
      </c>
      <c r="K6867" s="62">
        <f>F6867*(G6867-H6867)</f>
        <v/>
      </c>
      <c r="L6867" s="62">
        <f>K6867-(F6867*I6867)</f>
        <v/>
      </c>
      <c r="M6867" s="64">
        <f>L6867/K6867</f>
        <v/>
      </c>
    </row>
    <row r="6868">
      <c r="A6868" s="58" t="inlineStr">
        <is>
          <t>RT20250622-06867</t>
        </is>
      </c>
      <c r="B6868" s="59" t="inlineStr">
        <is>
          <t>2025-06-22</t>
        </is>
      </c>
      <c r="C6868" s="60" t="inlineStr">
        <is>
          <t>Solace Makeup Pro-214</t>
        </is>
      </c>
      <c r="D6868" s="58" t="inlineStr">
        <is>
          <t>Beauty</t>
        </is>
      </c>
      <c r="E6868" s="58" t="inlineStr">
        <is>
          <t>East</t>
        </is>
      </c>
      <c r="F6868" s="61" t="n">
        <v>4</v>
      </c>
      <c r="G6868" s="62" t="n">
        <v>117.02</v>
      </c>
      <c r="H6868" s="63" t="n">
        <v>0.068</v>
      </c>
      <c r="I6868" s="62" t="n">
        <v>68.91</v>
      </c>
      <c r="J6868" s="58" t="inlineStr">
        <is>
          <t>Store</t>
        </is>
      </c>
      <c r="K6868" s="62">
        <f>F6868*(G6868-H6868)</f>
        <v/>
      </c>
      <c r="L6868" s="62">
        <f>K6868-(F6868*I6868)</f>
        <v/>
      </c>
      <c r="M6868" s="64">
        <f>L6868/K6868</f>
        <v/>
      </c>
    </row>
    <row r="6869">
      <c r="A6869" s="58" t="inlineStr">
        <is>
          <t>RT20250622-06868</t>
        </is>
      </c>
      <c r="B6869" s="59" t="inlineStr">
        <is>
          <t>2025-06-22</t>
        </is>
      </c>
      <c r="C6869" s="60" t="inlineStr">
        <is>
          <t>Falcon Skincare X-334</t>
        </is>
      </c>
      <c r="D6869" s="58" t="inlineStr">
        <is>
          <t>Beauty</t>
        </is>
      </c>
      <c r="E6869" s="58" t="inlineStr">
        <is>
          <t>Central</t>
        </is>
      </c>
      <c r="F6869" s="61" t="n">
        <v>1</v>
      </c>
      <c r="G6869" s="62" t="n">
        <v>104.27</v>
      </c>
      <c r="H6869" s="63" t="n">
        <v>0.068</v>
      </c>
      <c r="I6869" s="62" t="n">
        <v>62.03</v>
      </c>
      <c r="J6869" s="58" t="inlineStr">
        <is>
          <t>Phone</t>
        </is>
      </c>
      <c r="K6869" s="62">
        <f>F6869*(G6869-H6869)</f>
        <v/>
      </c>
      <c r="L6869" s="62">
        <f>K6869-(F6869*I6869)</f>
        <v/>
      </c>
      <c r="M6869" s="64">
        <f>L6869/K6869</f>
        <v/>
      </c>
    </row>
    <row r="6870">
      <c r="A6870" s="58" t="inlineStr">
        <is>
          <t>RT20250623-06869</t>
        </is>
      </c>
      <c r="B6870" s="59" t="inlineStr">
        <is>
          <t>2025-06-23</t>
        </is>
      </c>
      <c r="C6870" s="60" t="inlineStr">
        <is>
          <t>Nimbus Storage Plus-646</t>
        </is>
      </c>
      <c r="D6870" s="58" t="inlineStr">
        <is>
          <t>Office</t>
        </is>
      </c>
      <c r="E6870" s="58" t="inlineStr">
        <is>
          <t>North</t>
        </is>
      </c>
      <c r="F6870" s="61" t="n">
        <v>1</v>
      </c>
      <c r="G6870" s="62" t="n">
        <v>431.99</v>
      </c>
      <c r="H6870" s="63" t="n">
        <v>0.075</v>
      </c>
      <c r="I6870" s="62" t="n">
        <v>322.28</v>
      </c>
      <c r="J6870" s="58" t="inlineStr">
        <is>
          <t>Phone</t>
        </is>
      </c>
      <c r="K6870" s="62">
        <f>F6870*(G6870-H6870)</f>
        <v/>
      </c>
      <c r="L6870" s="62">
        <f>K6870-(F6870*I6870)</f>
        <v/>
      </c>
      <c r="M6870" s="64">
        <f>L6870/K6870</f>
        <v/>
      </c>
    </row>
    <row r="6871">
      <c r="A6871" s="58" t="inlineStr">
        <is>
          <t>RT20250623-06870</t>
        </is>
      </c>
      <c r="B6871" s="59" t="inlineStr">
        <is>
          <t>2025-06-23</t>
        </is>
      </c>
      <c r="C6871" s="60" t="inlineStr">
        <is>
          <t>Aurora Bedding Max-175</t>
        </is>
      </c>
      <c r="D6871" s="58" t="inlineStr">
        <is>
          <t>Home</t>
        </is>
      </c>
      <c r="E6871" s="58" t="inlineStr">
        <is>
          <t>West</t>
        </is>
      </c>
      <c r="F6871" s="61" t="n">
        <v>1</v>
      </c>
      <c r="G6871" s="62" t="n">
        <v>543.1</v>
      </c>
      <c r="H6871" s="63" t="n">
        <v>0.08400000000000001</v>
      </c>
      <c r="I6871" s="62" t="n">
        <v>411.3</v>
      </c>
      <c r="J6871" s="58" t="inlineStr">
        <is>
          <t>Store</t>
        </is>
      </c>
      <c r="K6871" s="62">
        <f>F6871*(G6871-H6871)</f>
        <v/>
      </c>
      <c r="L6871" s="62">
        <f>K6871-(F6871*I6871)</f>
        <v/>
      </c>
      <c r="M6871" s="64">
        <f>L6871/K6871</f>
        <v/>
      </c>
    </row>
    <row r="6872">
      <c r="A6872" s="58" t="inlineStr">
        <is>
          <t>RT20250623-06871</t>
        </is>
      </c>
      <c r="B6872" s="59" t="inlineStr">
        <is>
          <t>2025-06-23</t>
        </is>
      </c>
      <c r="C6872" s="60" t="inlineStr">
        <is>
          <t>Falcon Accessorie S-195</t>
        </is>
      </c>
      <c r="D6872" s="58" t="inlineStr">
        <is>
          <t>Apparel</t>
        </is>
      </c>
      <c r="E6872" s="58" t="inlineStr">
        <is>
          <t>South</t>
        </is>
      </c>
      <c r="F6872" s="61" t="n">
        <v>1</v>
      </c>
      <c r="G6872" s="62" t="n">
        <v>77.37</v>
      </c>
      <c r="H6872" s="63" t="n">
        <v>0.049</v>
      </c>
      <c r="I6872" s="62" t="n">
        <v>42.68</v>
      </c>
      <c r="J6872" s="58" t="inlineStr">
        <is>
          <t>Phone</t>
        </is>
      </c>
      <c r="K6872" s="62">
        <f>F6872*(G6872-H6872)</f>
        <v/>
      </c>
      <c r="L6872" s="62">
        <f>K6872-(F6872*I6872)</f>
        <v/>
      </c>
      <c r="M6872" s="64">
        <f>L6872/K6872</f>
        <v/>
      </c>
    </row>
    <row r="6873">
      <c r="A6873" s="58" t="inlineStr">
        <is>
          <t>RT20250623-06872</t>
        </is>
      </c>
      <c r="B6873" s="59" t="inlineStr">
        <is>
          <t>2025-06-23</t>
        </is>
      </c>
      <c r="C6873" s="60" t="inlineStr">
        <is>
          <t>Vertex Skincare Pro-891</t>
        </is>
      </c>
      <c r="D6873" s="58" t="inlineStr">
        <is>
          <t>Beauty</t>
        </is>
      </c>
      <c r="E6873" s="58" t="inlineStr">
        <is>
          <t>West</t>
        </is>
      </c>
      <c r="F6873" s="61" t="n">
        <v>2</v>
      </c>
      <c r="G6873" s="62" t="n">
        <v>147.11</v>
      </c>
      <c r="H6873" s="63" t="n">
        <v>0.07099999999999999</v>
      </c>
      <c r="I6873" s="62" t="n">
        <v>89.48</v>
      </c>
      <c r="J6873" s="58" t="inlineStr">
        <is>
          <t>Online</t>
        </is>
      </c>
      <c r="K6873" s="62">
        <f>F6873*(G6873-H6873)</f>
        <v/>
      </c>
      <c r="L6873" s="62">
        <f>K6873-(F6873*I6873)</f>
        <v/>
      </c>
      <c r="M6873" s="64">
        <f>L6873/K6873</f>
        <v/>
      </c>
    </row>
    <row r="6874">
      <c r="A6874" s="58" t="inlineStr">
        <is>
          <t>RT20250623-06873</t>
        </is>
      </c>
      <c r="B6874" s="59" t="inlineStr">
        <is>
          <t>2025-06-23</t>
        </is>
      </c>
      <c r="C6874" s="60" t="inlineStr">
        <is>
          <t>Vertex Snack S-702</t>
        </is>
      </c>
      <c r="D6874" s="58" t="inlineStr">
        <is>
          <t>Grocery</t>
        </is>
      </c>
      <c r="E6874" s="58" t="inlineStr">
        <is>
          <t>North</t>
        </is>
      </c>
      <c r="F6874" s="61" t="n">
        <v>8</v>
      </c>
      <c r="G6874" s="62" t="n">
        <v>2.11</v>
      </c>
      <c r="H6874" s="63" t="n">
        <v>0.115</v>
      </c>
      <c r="I6874" s="62" t="n">
        <v>1.5</v>
      </c>
      <c r="J6874" s="58" t="inlineStr">
        <is>
          <t>Online</t>
        </is>
      </c>
      <c r="K6874" s="62">
        <f>F6874*(G6874-H6874)</f>
        <v/>
      </c>
      <c r="L6874" s="62">
        <f>K6874-(F6874*I6874)</f>
        <v/>
      </c>
      <c r="M6874" s="64">
        <f>L6874/K6874</f>
        <v/>
      </c>
    </row>
    <row r="6875">
      <c r="A6875" s="58" t="inlineStr">
        <is>
          <t>RT20250623-06874</t>
        </is>
      </c>
      <c r="B6875" s="59" t="inlineStr">
        <is>
          <t>2025-06-23</t>
        </is>
      </c>
      <c r="C6875" s="60" t="inlineStr">
        <is>
          <t>Aurora Printer Plus-723</t>
        </is>
      </c>
      <c r="D6875" s="58" t="inlineStr">
        <is>
          <t>Office</t>
        </is>
      </c>
      <c r="E6875" s="58" t="inlineStr">
        <is>
          <t>East</t>
        </is>
      </c>
      <c r="F6875" s="61" t="n">
        <v>1</v>
      </c>
      <c r="G6875" s="62" t="n">
        <v>258.26</v>
      </c>
      <c r="H6875" s="63" t="n">
        <v>0.08599999999999999</v>
      </c>
      <c r="I6875" s="62" t="n">
        <v>187.09</v>
      </c>
      <c r="J6875" s="58" t="inlineStr">
        <is>
          <t>Online</t>
        </is>
      </c>
      <c r="K6875" s="62">
        <f>F6875*(G6875-H6875)</f>
        <v/>
      </c>
      <c r="L6875" s="62">
        <f>K6875-(F6875*I6875)</f>
        <v/>
      </c>
      <c r="M6875" s="64">
        <f>L6875/K6875</f>
        <v/>
      </c>
    </row>
    <row r="6876">
      <c r="A6876" s="58" t="inlineStr">
        <is>
          <t>RT20250623-06875</t>
        </is>
      </c>
      <c r="B6876" s="59" t="inlineStr">
        <is>
          <t>2025-06-23</t>
        </is>
      </c>
      <c r="C6876" s="60" t="inlineStr">
        <is>
          <t>Aurora Storage Lite-774</t>
        </is>
      </c>
      <c r="D6876" s="58" t="inlineStr">
        <is>
          <t>Office</t>
        </is>
      </c>
      <c r="E6876" s="58" t="inlineStr">
        <is>
          <t>East</t>
        </is>
      </c>
      <c r="F6876" s="61" t="n">
        <v>3</v>
      </c>
      <c r="G6876" s="62" t="n">
        <v>324.22</v>
      </c>
      <c r="H6876" s="63" t="n">
        <v>0.062</v>
      </c>
      <c r="I6876" s="62" t="n">
        <v>234.93</v>
      </c>
      <c r="J6876" s="58" t="inlineStr">
        <is>
          <t>Online</t>
        </is>
      </c>
      <c r="K6876" s="62">
        <f>F6876*(G6876-H6876)</f>
        <v/>
      </c>
      <c r="L6876" s="62">
        <f>K6876-(F6876*I6876)</f>
        <v/>
      </c>
      <c r="M6876" s="64">
        <f>L6876/K6876</f>
        <v/>
      </c>
    </row>
    <row r="6877">
      <c r="A6877" s="58" t="inlineStr">
        <is>
          <t>RT20250623-06876</t>
        </is>
      </c>
      <c r="B6877" s="59" t="inlineStr">
        <is>
          <t>2025-06-23</t>
        </is>
      </c>
      <c r="C6877" s="60" t="inlineStr">
        <is>
          <t>Aurora Smartphone Plus-125</t>
        </is>
      </c>
      <c r="D6877" s="58" t="inlineStr">
        <is>
          <t>Electronics</t>
        </is>
      </c>
      <c r="E6877" s="58" t="inlineStr">
        <is>
          <t>East</t>
        </is>
      </c>
      <c r="F6877" s="61" t="n">
        <v>2</v>
      </c>
      <c r="G6877" s="62" t="n">
        <v>1391.15</v>
      </c>
      <c r="H6877" s="63" t="n">
        <v>0.051</v>
      </c>
      <c r="I6877" s="62" t="n">
        <v>1247.82</v>
      </c>
      <c r="J6877" s="58" t="inlineStr">
        <is>
          <t>Online</t>
        </is>
      </c>
      <c r="K6877" s="62">
        <f>F6877*(G6877-H6877)</f>
        <v/>
      </c>
      <c r="L6877" s="62">
        <f>K6877-(F6877*I6877)</f>
        <v/>
      </c>
      <c r="M6877" s="64">
        <f>L6877/K6877</f>
        <v/>
      </c>
    </row>
    <row r="6878">
      <c r="A6878" s="58" t="inlineStr">
        <is>
          <t>RT20250623-06877</t>
        </is>
      </c>
      <c r="B6878" s="59" t="inlineStr">
        <is>
          <t>2025-06-23</t>
        </is>
      </c>
      <c r="C6878" s="60" t="inlineStr">
        <is>
          <t>Orion Snack X-322</t>
        </is>
      </c>
      <c r="D6878" s="58" t="inlineStr">
        <is>
          <t>Grocery</t>
        </is>
      </c>
      <c r="E6878" s="58" t="inlineStr">
        <is>
          <t>Central</t>
        </is>
      </c>
      <c r="F6878" s="61" t="n">
        <v>4</v>
      </c>
      <c r="G6878" s="62" t="n">
        <v>12.37</v>
      </c>
      <c r="H6878" s="63" t="n">
        <v>0.038</v>
      </c>
      <c r="I6878" s="62" t="n">
        <v>10.19</v>
      </c>
      <c r="J6878" s="58" t="inlineStr">
        <is>
          <t>Online</t>
        </is>
      </c>
      <c r="K6878" s="62">
        <f>F6878*(G6878-H6878)</f>
        <v/>
      </c>
      <c r="L6878" s="62">
        <f>K6878-(F6878*I6878)</f>
        <v/>
      </c>
      <c r="M6878" s="64">
        <f>L6878/K6878</f>
        <v/>
      </c>
    </row>
    <row r="6879">
      <c r="A6879" s="58" t="inlineStr">
        <is>
          <t>RT20250623-06878</t>
        </is>
      </c>
      <c r="B6879" s="59" t="inlineStr">
        <is>
          <t>2025-06-23</t>
        </is>
      </c>
      <c r="C6879" s="60" t="inlineStr">
        <is>
          <t>Polar Decor X-935</t>
        </is>
      </c>
      <c r="D6879" s="58" t="inlineStr">
        <is>
          <t>Home</t>
        </is>
      </c>
      <c r="E6879" s="58" t="inlineStr">
        <is>
          <t>East</t>
        </is>
      </c>
      <c r="F6879" s="61" t="n">
        <v>1</v>
      </c>
      <c r="G6879" s="62" t="n">
        <v>323.25</v>
      </c>
      <c r="H6879" s="63" t="n">
        <v>0.101</v>
      </c>
      <c r="I6879" s="62" t="n">
        <v>197.21</v>
      </c>
      <c r="J6879" s="58" t="inlineStr">
        <is>
          <t>Phone</t>
        </is>
      </c>
      <c r="K6879" s="62">
        <f>F6879*(G6879-H6879)</f>
        <v/>
      </c>
      <c r="L6879" s="62">
        <f>K6879-(F6879*I6879)</f>
        <v/>
      </c>
      <c r="M6879" s="64">
        <f>L6879/K6879</f>
        <v/>
      </c>
    </row>
    <row r="6880">
      <c r="A6880" s="58" t="inlineStr">
        <is>
          <t>RT20250623-06879</t>
        </is>
      </c>
      <c r="B6880" s="59" t="inlineStr">
        <is>
          <t>2025-06-23</t>
        </is>
      </c>
      <c r="C6880" s="60" t="inlineStr">
        <is>
          <t>Polar Decor X-935</t>
        </is>
      </c>
      <c r="D6880" s="58" t="inlineStr">
        <is>
          <t>Home</t>
        </is>
      </c>
      <c r="E6880" s="58" t="inlineStr">
        <is>
          <t>North</t>
        </is>
      </c>
      <c r="F6880" s="61" t="n">
        <v>3</v>
      </c>
      <c r="G6880" s="62" t="n">
        <v>274.21</v>
      </c>
      <c r="H6880" s="63" t="n">
        <v>0.068</v>
      </c>
      <c r="I6880" s="62" t="n">
        <v>200.94</v>
      </c>
      <c r="J6880" s="58" t="inlineStr">
        <is>
          <t>Online</t>
        </is>
      </c>
      <c r="K6880" s="62">
        <f>F6880*(G6880-H6880)</f>
        <v/>
      </c>
      <c r="L6880" s="62">
        <f>K6880-(F6880*I6880)</f>
        <v/>
      </c>
      <c r="M6880" s="64">
        <f>L6880/K6880</f>
        <v/>
      </c>
    </row>
    <row r="6881">
      <c r="A6881" s="58" t="inlineStr">
        <is>
          <t>RT20250623-06880</t>
        </is>
      </c>
      <c r="B6881" s="59" t="inlineStr">
        <is>
          <t>2025-06-23</t>
        </is>
      </c>
      <c r="C6881" s="60" t="inlineStr">
        <is>
          <t>Polar Bedding Lite-243</t>
        </is>
      </c>
      <c r="D6881" s="58" t="inlineStr">
        <is>
          <t>Home</t>
        </is>
      </c>
      <c r="E6881" s="58" t="inlineStr">
        <is>
          <t>East</t>
        </is>
      </c>
      <c r="F6881" s="61" t="n">
        <v>2</v>
      </c>
      <c r="G6881" s="62" t="n">
        <v>461.28</v>
      </c>
      <c r="H6881" s="63" t="n">
        <v>0.02</v>
      </c>
      <c r="I6881" s="62" t="n">
        <v>312.4</v>
      </c>
      <c r="J6881" s="58" t="inlineStr">
        <is>
          <t>Store</t>
        </is>
      </c>
      <c r="K6881" s="62">
        <f>F6881*(G6881-H6881)</f>
        <v/>
      </c>
      <c r="L6881" s="62">
        <f>K6881-(F6881*I6881)</f>
        <v/>
      </c>
      <c r="M6881" s="64">
        <f>L6881/K6881</f>
        <v/>
      </c>
    </row>
    <row r="6882">
      <c r="A6882" s="58" t="inlineStr">
        <is>
          <t>RT20250623-06881</t>
        </is>
      </c>
      <c r="B6882" s="59" t="inlineStr">
        <is>
          <t>2025-06-23</t>
        </is>
      </c>
      <c r="C6882" s="60" t="inlineStr">
        <is>
          <t>Solace Kitchen X-919</t>
        </is>
      </c>
      <c r="D6882" s="58" t="inlineStr">
        <is>
          <t>Home</t>
        </is>
      </c>
      <c r="E6882" s="58" t="inlineStr">
        <is>
          <t>Central</t>
        </is>
      </c>
      <c r="F6882" s="61" t="n">
        <v>2</v>
      </c>
      <c r="G6882" s="62" t="n">
        <v>413.31</v>
      </c>
      <c r="H6882" s="63" t="n">
        <v>0.099</v>
      </c>
      <c r="I6882" s="62" t="n">
        <v>255.03</v>
      </c>
      <c r="J6882" s="58" t="inlineStr">
        <is>
          <t>Online</t>
        </is>
      </c>
      <c r="K6882" s="62">
        <f>F6882*(G6882-H6882)</f>
        <v/>
      </c>
      <c r="L6882" s="62">
        <f>K6882-(F6882*I6882)</f>
        <v/>
      </c>
      <c r="M6882" s="64">
        <f>L6882/K6882</f>
        <v/>
      </c>
    </row>
    <row r="6883">
      <c r="A6883" s="58" t="inlineStr">
        <is>
          <t>RT20250623-06882</t>
        </is>
      </c>
      <c r="B6883" s="59" t="inlineStr">
        <is>
          <t>2025-06-23</t>
        </is>
      </c>
      <c r="C6883" s="60" t="inlineStr">
        <is>
          <t>Orion Kid Max-864</t>
        </is>
      </c>
      <c r="D6883" s="58" t="inlineStr">
        <is>
          <t>Apparel</t>
        </is>
      </c>
      <c r="E6883" s="58" t="inlineStr">
        <is>
          <t>East</t>
        </is>
      </c>
      <c r="F6883" s="61" t="n">
        <v>2</v>
      </c>
      <c r="G6883" s="62" t="n">
        <v>82.12</v>
      </c>
      <c r="H6883" s="63" t="n">
        <v>0.024</v>
      </c>
      <c r="I6883" s="62" t="n">
        <v>45.26</v>
      </c>
      <c r="J6883" s="58" t="inlineStr">
        <is>
          <t>Online</t>
        </is>
      </c>
      <c r="K6883" s="62">
        <f>F6883*(G6883-H6883)</f>
        <v/>
      </c>
      <c r="L6883" s="62">
        <f>K6883-(F6883*I6883)</f>
        <v/>
      </c>
      <c r="M6883" s="64">
        <f>L6883/K6883</f>
        <v/>
      </c>
    </row>
    <row r="6884">
      <c r="A6884" s="58" t="inlineStr">
        <is>
          <t>RT20250623-06883</t>
        </is>
      </c>
      <c r="B6884" s="59" t="inlineStr">
        <is>
          <t>2025-06-23</t>
        </is>
      </c>
      <c r="C6884" s="60" t="inlineStr">
        <is>
          <t>Vertex Appliance S-159</t>
        </is>
      </c>
      <c r="D6884" s="58" t="inlineStr">
        <is>
          <t>Home</t>
        </is>
      </c>
      <c r="E6884" s="58" t="inlineStr">
        <is>
          <t>North</t>
        </is>
      </c>
      <c r="F6884" s="61" t="n">
        <v>3</v>
      </c>
      <c r="G6884" s="62" t="n">
        <v>404.62</v>
      </c>
      <c r="H6884" s="63" t="n">
        <v>0.066</v>
      </c>
      <c r="I6884" s="62" t="n">
        <v>291.25</v>
      </c>
      <c r="J6884" s="58" t="inlineStr">
        <is>
          <t>Store</t>
        </is>
      </c>
      <c r="K6884" s="62">
        <f>F6884*(G6884-H6884)</f>
        <v/>
      </c>
      <c r="L6884" s="62">
        <f>K6884-(F6884*I6884)</f>
        <v/>
      </c>
      <c r="M6884" s="64">
        <f>L6884/K6884</f>
        <v/>
      </c>
    </row>
    <row r="6885">
      <c r="A6885" s="58" t="inlineStr">
        <is>
          <t>RT20250623-06884</t>
        </is>
      </c>
      <c r="B6885" s="59" t="inlineStr">
        <is>
          <t>2025-06-23</t>
        </is>
      </c>
      <c r="C6885" s="60" t="inlineStr">
        <is>
          <t>Vertex Men X-995</t>
        </is>
      </c>
      <c r="D6885" s="58" t="inlineStr">
        <is>
          <t>Apparel</t>
        </is>
      </c>
      <c r="E6885" s="58" t="inlineStr">
        <is>
          <t>South</t>
        </is>
      </c>
      <c r="F6885" s="61" t="n">
        <v>3</v>
      </c>
      <c r="G6885" s="62" t="n">
        <v>105.72</v>
      </c>
      <c r="H6885" s="63" t="n">
        <v>0.058</v>
      </c>
      <c r="I6885" s="62" t="n">
        <v>57.86</v>
      </c>
      <c r="J6885" s="58" t="inlineStr">
        <is>
          <t>Online</t>
        </is>
      </c>
      <c r="K6885" s="62">
        <f>F6885*(G6885-H6885)</f>
        <v/>
      </c>
      <c r="L6885" s="62">
        <f>K6885-(F6885*I6885)</f>
        <v/>
      </c>
      <c r="M6885" s="64">
        <f>L6885/K6885</f>
        <v/>
      </c>
    </row>
    <row r="6886">
      <c r="A6886" s="58" t="inlineStr">
        <is>
          <t>RT20250623-06885</t>
        </is>
      </c>
      <c r="B6886" s="59" t="inlineStr">
        <is>
          <t>2025-06-23</t>
        </is>
      </c>
      <c r="C6886" s="60" t="inlineStr">
        <is>
          <t>Polar Decor Plus-505</t>
        </is>
      </c>
      <c r="D6886" s="58" t="inlineStr">
        <is>
          <t>Home</t>
        </is>
      </c>
      <c r="E6886" s="58" t="inlineStr">
        <is>
          <t>North</t>
        </is>
      </c>
      <c r="F6886" s="61" t="n">
        <v>1</v>
      </c>
      <c r="G6886" s="62" t="n">
        <v>268.11</v>
      </c>
      <c r="H6886" s="63" t="n">
        <v>0.051</v>
      </c>
      <c r="I6886" s="62" t="n">
        <v>203.56</v>
      </c>
      <c r="J6886" s="58" t="inlineStr">
        <is>
          <t>Store</t>
        </is>
      </c>
      <c r="K6886" s="62">
        <f>F6886*(G6886-H6886)</f>
        <v/>
      </c>
      <c r="L6886" s="62">
        <f>K6886-(F6886*I6886)</f>
        <v/>
      </c>
      <c r="M6886" s="64">
        <f>L6886/K6886</f>
        <v/>
      </c>
    </row>
    <row r="6887">
      <c r="A6887" s="58" t="inlineStr">
        <is>
          <t>RT20250623-06886</t>
        </is>
      </c>
      <c r="B6887" s="59" t="inlineStr">
        <is>
          <t>2025-06-23</t>
        </is>
      </c>
      <c r="C6887" s="60" t="inlineStr">
        <is>
          <t>Vertex Smartphone Lite-267</t>
        </is>
      </c>
      <c r="D6887" s="58" t="inlineStr">
        <is>
          <t>Electronics</t>
        </is>
      </c>
      <c r="E6887" s="58" t="inlineStr">
        <is>
          <t>South</t>
        </is>
      </c>
      <c r="F6887" s="61" t="n">
        <v>1</v>
      </c>
      <c r="G6887" s="62" t="n">
        <v>1221.51</v>
      </c>
      <c r="H6887" s="63" t="n">
        <v>0.13</v>
      </c>
      <c r="I6887" s="62" t="n">
        <v>978.85</v>
      </c>
      <c r="J6887" s="58" t="inlineStr">
        <is>
          <t>Online</t>
        </is>
      </c>
      <c r="K6887" s="62">
        <f>F6887*(G6887-H6887)</f>
        <v/>
      </c>
      <c r="L6887" s="62">
        <f>K6887-(F6887*I6887)</f>
        <v/>
      </c>
      <c r="M6887" s="64">
        <f>L6887/K6887</f>
        <v/>
      </c>
    </row>
    <row r="6888">
      <c r="A6888" s="58" t="inlineStr">
        <is>
          <t>RT20250623-06887</t>
        </is>
      </c>
      <c r="B6888" s="59" t="inlineStr">
        <is>
          <t>2025-06-23</t>
        </is>
      </c>
      <c r="C6888" s="60" t="inlineStr">
        <is>
          <t>Polar Haircare Max-614</t>
        </is>
      </c>
      <c r="D6888" s="58" t="inlineStr">
        <is>
          <t>Beauty</t>
        </is>
      </c>
      <c r="E6888" s="58" t="inlineStr">
        <is>
          <t>South</t>
        </is>
      </c>
      <c r="F6888" s="61" t="n">
        <v>5</v>
      </c>
      <c r="G6888" s="62" t="n">
        <v>113.98</v>
      </c>
      <c r="H6888" s="63" t="n">
        <v>0.044</v>
      </c>
      <c r="I6888" s="62" t="n">
        <v>67.84999999999999</v>
      </c>
      <c r="J6888" s="58" t="inlineStr">
        <is>
          <t>Store</t>
        </is>
      </c>
      <c r="K6888" s="62">
        <f>F6888*(G6888-H6888)</f>
        <v/>
      </c>
      <c r="L6888" s="62">
        <f>K6888-(F6888*I6888)</f>
        <v/>
      </c>
      <c r="M6888" s="64">
        <f>L6888/K6888</f>
        <v/>
      </c>
    </row>
    <row r="6889">
      <c r="A6889" s="58" t="inlineStr">
        <is>
          <t>RT20250623-06888</t>
        </is>
      </c>
      <c r="B6889" s="59" t="inlineStr">
        <is>
          <t>2025-06-23</t>
        </is>
      </c>
      <c r="C6889" s="60" t="inlineStr">
        <is>
          <t>Nimbus Men Plus-231</t>
        </is>
      </c>
      <c r="D6889" s="58" t="inlineStr">
        <is>
          <t>Apparel</t>
        </is>
      </c>
      <c r="E6889" s="58" t="inlineStr">
        <is>
          <t>East</t>
        </is>
      </c>
      <c r="F6889" s="61" t="n">
        <v>2</v>
      </c>
      <c r="G6889" s="62" t="n">
        <v>155.58</v>
      </c>
      <c r="H6889" s="63" t="n">
        <v>0.064</v>
      </c>
      <c r="I6889" s="62" t="n">
        <v>88.28</v>
      </c>
      <c r="J6889" s="58" t="inlineStr">
        <is>
          <t>Online</t>
        </is>
      </c>
      <c r="K6889" s="62">
        <f>F6889*(G6889-H6889)</f>
        <v/>
      </c>
      <c r="L6889" s="62">
        <f>K6889-(F6889*I6889)</f>
        <v/>
      </c>
      <c r="M6889" s="64">
        <f>L6889/K6889</f>
        <v/>
      </c>
    </row>
    <row r="6890">
      <c r="A6890" s="58" t="inlineStr">
        <is>
          <t>RT20250623-06889</t>
        </is>
      </c>
      <c r="B6890" s="59" t="inlineStr">
        <is>
          <t>2025-06-23</t>
        </is>
      </c>
      <c r="C6890" s="60" t="inlineStr">
        <is>
          <t>Aurora Bedding Plus-187</t>
        </is>
      </c>
      <c r="D6890" s="58" t="inlineStr">
        <is>
          <t>Home</t>
        </is>
      </c>
      <c r="E6890" s="58" t="inlineStr">
        <is>
          <t>South</t>
        </is>
      </c>
      <c r="F6890" s="61" t="n">
        <v>3</v>
      </c>
      <c r="G6890" s="62" t="n">
        <v>306.31</v>
      </c>
      <c r="H6890" s="63" t="n">
        <v>0.039</v>
      </c>
      <c r="I6890" s="62" t="n">
        <v>209.79</v>
      </c>
      <c r="J6890" s="58" t="inlineStr">
        <is>
          <t>Online</t>
        </is>
      </c>
      <c r="K6890" s="62">
        <f>F6890*(G6890-H6890)</f>
        <v/>
      </c>
      <c r="L6890" s="62">
        <f>K6890-(F6890*I6890)</f>
        <v/>
      </c>
      <c r="M6890" s="64">
        <f>L6890/K6890</f>
        <v/>
      </c>
    </row>
    <row r="6891">
      <c r="A6891" s="58" t="inlineStr">
        <is>
          <t>RT20250623-06890</t>
        </is>
      </c>
      <c r="B6891" s="59" t="inlineStr">
        <is>
          <t>2025-06-23</t>
        </is>
      </c>
      <c r="C6891" s="60" t="inlineStr">
        <is>
          <t>Falcon Kitchen X-130</t>
        </is>
      </c>
      <c r="D6891" s="58" t="inlineStr">
        <is>
          <t>Home</t>
        </is>
      </c>
      <c r="E6891" s="58" t="inlineStr">
        <is>
          <t>South</t>
        </is>
      </c>
      <c r="F6891" s="61" t="n">
        <v>3</v>
      </c>
      <c r="G6891" s="62" t="n">
        <v>422.56</v>
      </c>
      <c r="H6891" s="63" t="n">
        <v>0.059</v>
      </c>
      <c r="I6891" s="62" t="n">
        <v>290.3</v>
      </c>
      <c r="J6891" s="58" t="inlineStr">
        <is>
          <t>Online</t>
        </is>
      </c>
      <c r="K6891" s="62">
        <f>F6891*(G6891-H6891)</f>
        <v/>
      </c>
      <c r="L6891" s="62">
        <f>K6891-(F6891*I6891)</f>
        <v/>
      </c>
      <c r="M6891" s="64">
        <f>L6891/K6891</f>
        <v/>
      </c>
    </row>
    <row r="6892">
      <c r="A6892" s="58" t="inlineStr">
        <is>
          <t>RT20250623-06891</t>
        </is>
      </c>
      <c r="B6892" s="59" t="inlineStr">
        <is>
          <t>2025-06-23</t>
        </is>
      </c>
      <c r="C6892" s="60" t="inlineStr">
        <is>
          <t>Falcon Accessorie S-195</t>
        </is>
      </c>
      <c r="D6892" s="58" t="inlineStr">
        <is>
          <t>Apparel</t>
        </is>
      </c>
      <c r="E6892" s="58" t="inlineStr">
        <is>
          <t>West</t>
        </is>
      </c>
      <c r="F6892" s="61" t="n">
        <v>3</v>
      </c>
      <c r="G6892" s="62" t="n">
        <v>76.36</v>
      </c>
      <c r="H6892" s="63" t="n">
        <v>0.089</v>
      </c>
      <c r="I6892" s="62" t="n">
        <v>41.6</v>
      </c>
      <c r="J6892" s="58" t="inlineStr">
        <is>
          <t>Store</t>
        </is>
      </c>
      <c r="K6892" s="62">
        <f>F6892*(G6892-H6892)</f>
        <v/>
      </c>
      <c r="L6892" s="62">
        <f>K6892-(F6892*I6892)</f>
        <v/>
      </c>
      <c r="M6892" s="64">
        <f>L6892/K6892</f>
        <v/>
      </c>
    </row>
    <row r="6893">
      <c r="A6893" s="58" t="inlineStr">
        <is>
          <t>RT20250623-06892</t>
        </is>
      </c>
      <c r="B6893" s="59" t="inlineStr">
        <is>
          <t>2025-06-23</t>
        </is>
      </c>
      <c r="C6893" s="60" t="inlineStr">
        <is>
          <t>Nimbus Men Plus-231</t>
        </is>
      </c>
      <c r="D6893" s="58" t="inlineStr">
        <is>
          <t>Apparel</t>
        </is>
      </c>
      <c r="E6893" s="58" t="inlineStr">
        <is>
          <t>East</t>
        </is>
      </c>
      <c r="F6893" s="61" t="n">
        <v>3</v>
      </c>
      <c r="G6893" s="62" t="n">
        <v>150.01</v>
      </c>
      <c r="H6893" s="63" t="n">
        <v>0.066</v>
      </c>
      <c r="I6893" s="62" t="n">
        <v>90.84999999999999</v>
      </c>
      <c r="J6893" s="58" t="inlineStr">
        <is>
          <t>Online</t>
        </is>
      </c>
      <c r="K6893" s="62">
        <f>F6893*(G6893-H6893)</f>
        <v/>
      </c>
      <c r="L6893" s="62">
        <f>K6893-(F6893*I6893)</f>
        <v/>
      </c>
      <c r="M6893" s="64">
        <f>L6893/K6893</f>
        <v/>
      </c>
    </row>
    <row r="6894">
      <c r="A6894" s="58" t="inlineStr">
        <is>
          <t>RT20250623-06893</t>
        </is>
      </c>
      <c r="B6894" s="59" t="inlineStr">
        <is>
          <t>2025-06-23</t>
        </is>
      </c>
      <c r="C6894" s="60" t="inlineStr">
        <is>
          <t>Falcon Accessorie S-195</t>
        </is>
      </c>
      <c r="D6894" s="58" t="inlineStr">
        <is>
          <t>Apparel</t>
        </is>
      </c>
      <c r="E6894" s="58" t="inlineStr">
        <is>
          <t>South</t>
        </is>
      </c>
      <c r="F6894" s="61" t="n">
        <v>4</v>
      </c>
      <c r="G6894" s="62" t="n">
        <v>69.78</v>
      </c>
      <c r="H6894" s="63" t="n">
        <v>0.04</v>
      </c>
      <c r="I6894" s="62" t="n">
        <v>41.81</v>
      </c>
      <c r="J6894" s="58" t="inlineStr">
        <is>
          <t>Online</t>
        </is>
      </c>
      <c r="K6894" s="62">
        <f>F6894*(G6894-H6894)</f>
        <v/>
      </c>
      <c r="L6894" s="62">
        <f>K6894-(F6894*I6894)</f>
        <v/>
      </c>
      <c r="M6894" s="64">
        <f>L6894/K6894</f>
        <v/>
      </c>
    </row>
    <row r="6895">
      <c r="A6895" s="58" t="inlineStr">
        <is>
          <t>RT20250623-06894</t>
        </is>
      </c>
      <c r="B6895" s="59" t="inlineStr">
        <is>
          <t>2025-06-23</t>
        </is>
      </c>
      <c r="C6895" s="60" t="inlineStr">
        <is>
          <t>Polar Fragrance Pro-750</t>
        </is>
      </c>
      <c r="D6895" s="58" t="inlineStr">
        <is>
          <t>Beauty</t>
        </is>
      </c>
      <c r="E6895" s="58" t="inlineStr">
        <is>
          <t>South</t>
        </is>
      </c>
      <c r="F6895" s="61" t="n">
        <v>2</v>
      </c>
      <c r="G6895" s="62" t="n">
        <v>56.18</v>
      </c>
      <c r="H6895" s="63" t="n">
        <v>0.027</v>
      </c>
      <c r="I6895" s="62" t="n">
        <v>36.41</v>
      </c>
      <c r="J6895" s="58" t="inlineStr">
        <is>
          <t>Online</t>
        </is>
      </c>
      <c r="K6895" s="62">
        <f>F6895*(G6895-H6895)</f>
        <v/>
      </c>
      <c r="L6895" s="62">
        <f>K6895-(F6895*I6895)</f>
        <v/>
      </c>
      <c r="M6895" s="64">
        <f>L6895/K6895</f>
        <v/>
      </c>
    </row>
    <row r="6896">
      <c r="A6896" s="58" t="inlineStr">
        <is>
          <t>RT20250623-06895</t>
        </is>
      </c>
      <c r="B6896" s="59" t="inlineStr">
        <is>
          <t>2025-06-23</t>
        </is>
      </c>
      <c r="C6896" s="60" t="inlineStr">
        <is>
          <t>Vertex Supplie Pro-786</t>
        </is>
      </c>
      <c r="D6896" s="58" t="inlineStr">
        <is>
          <t>Office</t>
        </is>
      </c>
      <c r="E6896" s="58" t="inlineStr">
        <is>
          <t>North</t>
        </is>
      </c>
      <c r="F6896" s="61" t="n">
        <v>1</v>
      </c>
      <c r="G6896" s="62" t="n">
        <v>375.43</v>
      </c>
      <c r="H6896" s="63" t="n">
        <v>0.065</v>
      </c>
      <c r="I6896" s="62" t="n">
        <v>297.61</v>
      </c>
      <c r="J6896" s="58" t="inlineStr">
        <is>
          <t>Online</t>
        </is>
      </c>
      <c r="K6896" s="62">
        <f>F6896*(G6896-H6896)</f>
        <v/>
      </c>
      <c r="L6896" s="62">
        <f>K6896-(F6896*I6896)</f>
        <v/>
      </c>
      <c r="M6896" s="64">
        <f>L6896/K6896</f>
        <v/>
      </c>
    </row>
    <row r="6897">
      <c r="A6897" s="58" t="inlineStr">
        <is>
          <t>RT20250623-06896</t>
        </is>
      </c>
      <c r="B6897" s="59" t="inlineStr">
        <is>
          <t>2025-06-23</t>
        </is>
      </c>
      <c r="C6897" s="60" t="inlineStr">
        <is>
          <t>Nimbus Fitnes Lite-516</t>
        </is>
      </c>
      <c r="D6897" s="58" t="inlineStr">
        <is>
          <t>Sports</t>
        </is>
      </c>
      <c r="E6897" s="58" t="inlineStr">
        <is>
          <t>East</t>
        </is>
      </c>
      <c r="F6897" s="61" t="n">
        <v>2</v>
      </c>
      <c r="G6897" s="62" t="n">
        <v>701.42</v>
      </c>
      <c r="H6897" s="63" t="n">
        <v>0.016</v>
      </c>
      <c r="I6897" s="62" t="n">
        <v>480.86</v>
      </c>
      <c r="J6897" s="58" t="inlineStr">
        <is>
          <t>Online</t>
        </is>
      </c>
      <c r="K6897" s="62">
        <f>F6897*(G6897-H6897)</f>
        <v/>
      </c>
      <c r="L6897" s="62">
        <f>K6897-(F6897*I6897)</f>
        <v/>
      </c>
      <c r="M6897" s="64">
        <f>L6897/K6897</f>
        <v/>
      </c>
    </row>
    <row r="6898">
      <c r="A6898" s="58" t="inlineStr">
        <is>
          <t>RT20250623-06897</t>
        </is>
      </c>
      <c r="B6898" s="59" t="inlineStr">
        <is>
          <t>2025-06-23</t>
        </is>
      </c>
      <c r="C6898" s="60" t="inlineStr">
        <is>
          <t>Aurora Haircare S-975</t>
        </is>
      </c>
      <c r="D6898" s="58" t="inlineStr">
        <is>
          <t>Beauty</t>
        </is>
      </c>
      <c r="E6898" s="58" t="inlineStr">
        <is>
          <t>South</t>
        </is>
      </c>
      <c r="F6898" s="61" t="n">
        <v>3</v>
      </c>
      <c r="G6898" s="62" t="n">
        <v>84.03</v>
      </c>
      <c r="H6898" s="63" t="n">
        <v>0.061</v>
      </c>
      <c r="I6898" s="62" t="n">
        <v>59.12</v>
      </c>
      <c r="J6898" s="58" t="inlineStr">
        <is>
          <t>Store</t>
        </is>
      </c>
      <c r="K6898" s="62">
        <f>F6898*(G6898-H6898)</f>
        <v/>
      </c>
      <c r="L6898" s="62">
        <f>K6898-(F6898*I6898)</f>
        <v/>
      </c>
      <c r="M6898" s="64">
        <f>L6898/K6898</f>
        <v/>
      </c>
    </row>
    <row r="6899">
      <c r="A6899" s="58" t="inlineStr">
        <is>
          <t>RT20250623-06898</t>
        </is>
      </c>
      <c r="B6899" s="59" t="inlineStr">
        <is>
          <t>2025-06-23</t>
        </is>
      </c>
      <c r="C6899" s="60" t="inlineStr">
        <is>
          <t>Solace Fitnes S-324</t>
        </is>
      </c>
      <c r="D6899" s="58" t="inlineStr">
        <is>
          <t>Sports</t>
        </is>
      </c>
      <c r="E6899" s="58" t="inlineStr">
        <is>
          <t>East</t>
        </is>
      </c>
      <c r="F6899" s="61" t="n">
        <v>3</v>
      </c>
      <c r="G6899" s="62" t="n">
        <v>746.91</v>
      </c>
      <c r="H6899" s="63" t="n">
        <v>0.06</v>
      </c>
      <c r="I6899" s="62" t="n">
        <v>527.37</v>
      </c>
      <c r="J6899" s="58" t="inlineStr">
        <is>
          <t>Online</t>
        </is>
      </c>
      <c r="K6899" s="62">
        <f>F6899*(G6899-H6899)</f>
        <v/>
      </c>
      <c r="L6899" s="62">
        <f>K6899-(F6899*I6899)</f>
        <v/>
      </c>
      <c r="M6899" s="64">
        <f>L6899/K6899</f>
        <v/>
      </c>
    </row>
    <row r="6900">
      <c r="A6900" s="58" t="inlineStr">
        <is>
          <t>RT20250624-06899</t>
        </is>
      </c>
      <c r="B6900" s="59" t="inlineStr">
        <is>
          <t>2025-06-24</t>
        </is>
      </c>
      <c r="C6900" s="60" t="inlineStr">
        <is>
          <t>Falcon Headphone Plus-789</t>
        </is>
      </c>
      <c r="D6900" s="58" t="inlineStr">
        <is>
          <t>Electronics</t>
        </is>
      </c>
      <c r="E6900" s="58" t="inlineStr">
        <is>
          <t>North</t>
        </is>
      </c>
      <c r="F6900" s="61" t="n">
        <v>2</v>
      </c>
      <c r="G6900" s="62" t="n">
        <v>1456.39</v>
      </c>
      <c r="H6900" s="63" t="n">
        <v>0.045</v>
      </c>
      <c r="I6900" s="62" t="n">
        <v>1317.33</v>
      </c>
      <c r="J6900" s="58" t="inlineStr">
        <is>
          <t>Online</t>
        </is>
      </c>
      <c r="K6900" s="62">
        <f>F6900*(G6900-H6900)</f>
        <v/>
      </c>
      <c r="L6900" s="62">
        <f>K6900-(F6900*I6900)</f>
        <v/>
      </c>
      <c r="M6900" s="64">
        <f>L6900/K6900</f>
        <v/>
      </c>
    </row>
    <row r="6901">
      <c r="A6901" s="58" t="inlineStr">
        <is>
          <t>RT20250624-06900</t>
        </is>
      </c>
      <c r="B6901" s="59" t="inlineStr">
        <is>
          <t>2025-06-24</t>
        </is>
      </c>
      <c r="C6901" s="60" t="inlineStr">
        <is>
          <t>Vertex Fitnes Pro-830</t>
        </is>
      </c>
      <c r="D6901" s="58" t="inlineStr">
        <is>
          <t>Sports</t>
        </is>
      </c>
      <c r="E6901" s="58" t="inlineStr">
        <is>
          <t>North</t>
        </is>
      </c>
      <c r="F6901" s="61" t="n">
        <v>1</v>
      </c>
      <c r="G6901" s="62" t="n">
        <v>618.35</v>
      </c>
      <c r="H6901" s="63" t="n">
        <v>0.037</v>
      </c>
      <c r="I6901" s="62" t="n">
        <v>467.81</v>
      </c>
      <c r="J6901" s="58" t="inlineStr">
        <is>
          <t>Online</t>
        </is>
      </c>
      <c r="K6901" s="62">
        <f>F6901*(G6901-H6901)</f>
        <v/>
      </c>
      <c r="L6901" s="62">
        <f>K6901-(F6901*I6901)</f>
        <v/>
      </c>
      <c r="M6901" s="64">
        <f>L6901/K6901</f>
        <v/>
      </c>
    </row>
    <row r="6902">
      <c r="A6902" s="58" t="inlineStr">
        <is>
          <t>RT20250624-06901</t>
        </is>
      </c>
      <c r="B6902" s="59" t="inlineStr">
        <is>
          <t>2025-06-24</t>
        </is>
      </c>
      <c r="C6902" s="60" t="inlineStr">
        <is>
          <t>Solace Kitchen Pro-510</t>
        </is>
      </c>
      <c r="D6902" s="58" t="inlineStr">
        <is>
          <t>Home</t>
        </is>
      </c>
      <c r="E6902" s="58" t="inlineStr">
        <is>
          <t>North</t>
        </is>
      </c>
      <c r="F6902" s="61" t="n">
        <v>1</v>
      </c>
      <c r="G6902" s="62" t="n">
        <v>504.37</v>
      </c>
      <c r="H6902" s="63" t="n">
        <v>0.053</v>
      </c>
      <c r="I6902" s="62" t="n">
        <v>309.68</v>
      </c>
      <c r="J6902" s="58" t="inlineStr">
        <is>
          <t>Online</t>
        </is>
      </c>
      <c r="K6902" s="62">
        <f>F6902*(G6902-H6902)</f>
        <v/>
      </c>
      <c r="L6902" s="62">
        <f>K6902-(F6902*I6902)</f>
        <v/>
      </c>
      <c r="M6902" s="64">
        <f>L6902/K6902</f>
        <v/>
      </c>
    </row>
    <row r="6903">
      <c r="A6903" s="58" t="inlineStr">
        <is>
          <t>RT20250624-06902</t>
        </is>
      </c>
      <c r="B6903" s="59" t="inlineStr">
        <is>
          <t>2025-06-24</t>
        </is>
      </c>
      <c r="C6903" s="60" t="inlineStr">
        <is>
          <t>Vertex Men X-995</t>
        </is>
      </c>
      <c r="D6903" s="58" t="inlineStr">
        <is>
          <t>Apparel</t>
        </is>
      </c>
      <c r="E6903" s="58" t="inlineStr">
        <is>
          <t>North</t>
        </is>
      </c>
      <c r="F6903" s="61" t="n">
        <v>4</v>
      </c>
      <c r="G6903" s="62" t="n">
        <v>101.75</v>
      </c>
      <c r="H6903" s="63" t="n">
        <v>0.003</v>
      </c>
      <c r="I6903" s="62" t="n">
        <v>56.23</v>
      </c>
      <c r="J6903" s="58" t="inlineStr">
        <is>
          <t>Store</t>
        </is>
      </c>
      <c r="K6903" s="62">
        <f>F6903*(G6903-H6903)</f>
        <v/>
      </c>
      <c r="L6903" s="62">
        <f>K6903-(F6903*I6903)</f>
        <v/>
      </c>
      <c r="M6903" s="64">
        <f>L6903/K6903</f>
        <v/>
      </c>
    </row>
    <row r="6904">
      <c r="A6904" s="58" t="inlineStr">
        <is>
          <t>RT20250624-06903</t>
        </is>
      </c>
      <c r="B6904" s="59" t="inlineStr">
        <is>
          <t>2025-06-24</t>
        </is>
      </c>
      <c r="C6904" s="60" t="inlineStr">
        <is>
          <t>Vertex Supplie X-513</t>
        </is>
      </c>
      <c r="D6904" s="58" t="inlineStr">
        <is>
          <t>Office</t>
        </is>
      </c>
      <c r="E6904" s="58" t="inlineStr">
        <is>
          <t>Central</t>
        </is>
      </c>
      <c r="F6904" s="61" t="n">
        <v>1</v>
      </c>
      <c r="G6904" s="62" t="n">
        <v>343.32</v>
      </c>
      <c r="H6904" s="63" t="n">
        <v>0</v>
      </c>
      <c r="I6904" s="62" t="n">
        <v>275.13</v>
      </c>
      <c r="J6904" s="58" t="inlineStr">
        <is>
          <t>Online</t>
        </is>
      </c>
      <c r="K6904" s="62">
        <f>F6904*(G6904-H6904)</f>
        <v/>
      </c>
      <c r="L6904" s="62">
        <f>K6904-(F6904*I6904)</f>
        <v/>
      </c>
      <c r="M6904" s="64">
        <f>L6904/K6904</f>
        <v/>
      </c>
    </row>
    <row r="6905">
      <c r="A6905" s="58" t="inlineStr">
        <is>
          <t>RT20250624-06904</t>
        </is>
      </c>
      <c r="B6905" s="59" t="inlineStr">
        <is>
          <t>2025-06-24</t>
        </is>
      </c>
      <c r="C6905" s="60" t="inlineStr">
        <is>
          <t>Orion Kitchen Pro-568</t>
        </is>
      </c>
      <c r="D6905" s="58" t="inlineStr">
        <is>
          <t>Home</t>
        </is>
      </c>
      <c r="E6905" s="58" t="inlineStr">
        <is>
          <t>West</t>
        </is>
      </c>
      <c r="F6905" s="61" t="n">
        <v>2</v>
      </c>
      <c r="G6905" s="62" t="n">
        <v>473.96</v>
      </c>
      <c r="H6905" s="63" t="n">
        <v>0.051</v>
      </c>
      <c r="I6905" s="62" t="n">
        <v>299.69</v>
      </c>
      <c r="J6905" s="58" t="inlineStr">
        <is>
          <t>Store</t>
        </is>
      </c>
      <c r="K6905" s="62">
        <f>F6905*(G6905-H6905)</f>
        <v/>
      </c>
      <c r="L6905" s="62">
        <f>K6905-(F6905*I6905)</f>
        <v/>
      </c>
      <c r="M6905" s="64">
        <f>L6905/K6905</f>
        <v/>
      </c>
    </row>
    <row r="6906">
      <c r="A6906" s="58" t="inlineStr">
        <is>
          <t>RT20250624-06905</t>
        </is>
      </c>
      <c r="B6906" s="59" t="inlineStr">
        <is>
          <t>2025-06-24</t>
        </is>
      </c>
      <c r="C6906" s="60" t="inlineStr">
        <is>
          <t>Vertex Skincare Pro-891</t>
        </is>
      </c>
      <c r="D6906" s="58" t="inlineStr">
        <is>
          <t>Beauty</t>
        </is>
      </c>
      <c r="E6906" s="58" t="inlineStr">
        <is>
          <t>South</t>
        </is>
      </c>
      <c r="F6906" s="61" t="n">
        <v>4</v>
      </c>
      <c r="G6906" s="62" t="n">
        <v>137.83</v>
      </c>
      <c r="H6906" s="63" t="n">
        <v>0.048</v>
      </c>
      <c r="I6906" s="62" t="n">
        <v>89.5</v>
      </c>
      <c r="J6906" s="58" t="inlineStr">
        <is>
          <t>Store</t>
        </is>
      </c>
      <c r="K6906" s="62">
        <f>F6906*(G6906-H6906)</f>
        <v/>
      </c>
      <c r="L6906" s="62">
        <f>K6906-(F6906*I6906)</f>
        <v/>
      </c>
      <c r="M6906" s="64">
        <f>L6906/K6906</f>
        <v/>
      </c>
    </row>
    <row r="6907">
      <c r="A6907" s="58" t="inlineStr">
        <is>
          <t>RT20250624-06906</t>
        </is>
      </c>
      <c r="B6907" s="59" t="inlineStr">
        <is>
          <t>2025-06-24</t>
        </is>
      </c>
      <c r="C6907" s="60" t="inlineStr">
        <is>
          <t>Polar Outdoor Lite-318</t>
        </is>
      </c>
      <c r="D6907" s="58" t="inlineStr">
        <is>
          <t>Sports</t>
        </is>
      </c>
      <c r="E6907" s="58" t="inlineStr">
        <is>
          <t>North</t>
        </is>
      </c>
      <c r="F6907" s="61" t="n">
        <v>2</v>
      </c>
      <c r="G6907" s="62" t="n">
        <v>774.9400000000001</v>
      </c>
      <c r="H6907" s="63" t="n">
        <v>0.04</v>
      </c>
      <c r="I6907" s="62" t="n">
        <v>479.54</v>
      </c>
      <c r="J6907" s="58" t="inlineStr">
        <is>
          <t>Store</t>
        </is>
      </c>
      <c r="K6907" s="62">
        <f>F6907*(G6907-H6907)</f>
        <v/>
      </c>
      <c r="L6907" s="62">
        <f>K6907-(F6907*I6907)</f>
        <v/>
      </c>
      <c r="M6907" s="64">
        <f>L6907/K6907</f>
        <v/>
      </c>
    </row>
    <row r="6908">
      <c r="A6908" s="58" t="inlineStr">
        <is>
          <t>RT20250624-06907</t>
        </is>
      </c>
      <c r="B6908" s="59" t="inlineStr">
        <is>
          <t>2025-06-24</t>
        </is>
      </c>
      <c r="C6908" s="60" t="inlineStr">
        <is>
          <t>Falcon Wearable X-334</t>
        </is>
      </c>
      <c r="D6908" s="58" t="inlineStr">
        <is>
          <t>Electronics</t>
        </is>
      </c>
      <c r="E6908" s="58" t="inlineStr">
        <is>
          <t>West</t>
        </is>
      </c>
      <c r="F6908" s="61" t="n">
        <v>1</v>
      </c>
      <c r="G6908" s="62" t="n">
        <v>1819.86</v>
      </c>
      <c r="H6908" s="63" t="n">
        <v>0.019</v>
      </c>
      <c r="I6908" s="62" t="n">
        <v>1532.25</v>
      </c>
      <c r="J6908" s="58" t="inlineStr">
        <is>
          <t>Online</t>
        </is>
      </c>
      <c r="K6908" s="62">
        <f>F6908*(G6908-H6908)</f>
        <v/>
      </c>
      <c r="L6908" s="62">
        <f>K6908-(F6908*I6908)</f>
        <v/>
      </c>
      <c r="M6908" s="64">
        <f>L6908/K6908</f>
        <v/>
      </c>
    </row>
    <row r="6909">
      <c r="A6909" s="58" t="inlineStr">
        <is>
          <t>RT20250624-06908</t>
        </is>
      </c>
      <c r="B6909" s="59" t="inlineStr">
        <is>
          <t>2025-06-24</t>
        </is>
      </c>
      <c r="C6909" s="60" t="inlineStr">
        <is>
          <t>Polar Decor Plus-505</t>
        </is>
      </c>
      <c r="D6909" s="58" t="inlineStr">
        <is>
          <t>Home</t>
        </is>
      </c>
      <c r="E6909" s="58" t="inlineStr">
        <is>
          <t>West</t>
        </is>
      </c>
      <c r="F6909" s="61" t="n">
        <v>1</v>
      </c>
      <c r="G6909" s="62" t="n">
        <v>264.97</v>
      </c>
      <c r="H6909" s="63" t="n">
        <v>0.021</v>
      </c>
      <c r="I6909" s="62" t="n">
        <v>197.95</v>
      </c>
      <c r="J6909" s="58" t="inlineStr">
        <is>
          <t>Store</t>
        </is>
      </c>
      <c r="K6909" s="62">
        <f>F6909*(G6909-H6909)</f>
        <v/>
      </c>
      <c r="L6909" s="62">
        <f>K6909-(F6909*I6909)</f>
        <v/>
      </c>
      <c r="M6909" s="64">
        <f>L6909/K6909</f>
        <v/>
      </c>
    </row>
    <row r="6910">
      <c r="A6910" s="58" t="inlineStr">
        <is>
          <t>RT20250624-06909</t>
        </is>
      </c>
      <c r="B6910" s="59" t="inlineStr">
        <is>
          <t>2025-06-24</t>
        </is>
      </c>
      <c r="C6910" s="60" t="inlineStr">
        <is>
          <t>Aurora Fitnes Lite-194</t>
        </is>
      </c>
      <c r="D6910" s="58" t="inlineStr">
        <is>
          <t>Sports</t>
        </is>
      </c>
      <c r="E6910" s="58" t="inlineStr">
        <is>
          <t>West</t>
        </is>
      </c>
      <c r="F6910" s="61" t="n">
        <v>2</v>
      </c>
      <c r="G6910" s="62" t="n">
        <v>732.58</v>
      </c>
      <c r="H6910" s="63" t="n">
        <v>0.07199999999999999</v>
      </c>
      <c r="I6910" s="62" t="n">
        <v>462.85</v>
      </c>
      <c r="J6910" s="58" t="inlineStr">
        <is>
          <t>Store</t>
        </is>
      </c>
      <c r="K6910" s="62">
        <f>F6910*(G6910-H6910)</f>
        <v/>
      </c>
      <c r="L6910" s="62">
        <f>K6910-(F6910*I6910)</f>
        <v/>
      </c>
      <c r="M6910" s="64">
        <f>L6910/K6910</f>
        <v/>
      </c>
    </row>
    <row r="6911">
      <c r="A6911" s="58" t="inlineStr">
        <is>
          <t>RT20250624-06910</t>
        </is>
      </c>
      <c r="B6911" s="59" t="inlineStr">
        <is>
          <t>2025-06-24</t>
        </is>
      </c>
      <c r="C6911" s="60" t="inlineStr">
        <is>
          <t>Nimbus Men Plus-231</t>
        </is>
      </c>
      <c r="D6911" s="58" t="inlineStr">
        <is>
          <t>Apparel</t>
        </is>
      </c>
      <c r="E6911" s="58" t="inlineStr">
        <is>
          <t>West</t>
        </is>
      </c>
      <c r="F6911" s="61" t="n">
        <v>1</v>
      </c>
      <c r="G6911" s="62" t="n">
        <v>173.48</v>
      </c>
      <c r="H6911" s="63" t="n">
        <v>0.036</v>
      </c>
      <c r="I6911" s="62" t="n">
        <v>88.09999999999999</v>
      </c>
      <c r="J6911" s="58" t="inlineStr">
        <is>
          <t>Online</t>
        </is>
      </c>
      <c r="K6911" s="62">
        <f>F6911*(G6911-H6911)</f>
        <v/>
      </c>
      <c r="L6911" s="62">
        <f>K6911-(F6911*I6911)</f>
        <v/>
      </c>
      <c r="M6911" s="64">
        <f>L6911/K6911</f>
        <v/>
      </c>
    </row>
    <row r="6912">
      <c r="A6912" s="58" t="inlineStr">
        <is>
          <t>RT20250624-06911</t>
        </is>
      </c>
      <c r="B6912" s="59" t="inlineStr">
        <is>
          <t>2025-06-24</t>
        </is>
      </c>
      <c r="C6912" s="60" t="inlineStr">
        <is>
          <t>Nimbus Laptop Max-652</t>
        </is>
      </c>
      <c r="D6912" s="58" t="inlineStr">
        <is>
          <t>Electronics</t>
        </is>
      </c>
      <c r="E6912" s="58" t="inlineStr">
        <is>
          <t>South</t>
        </is>
      </c>
      <c r="F6912" s="61" t="n">
        <v>1</v>
      </c>
      <c r="G6912" s="62" t="n">
        <v>1134.11</v>
      </c>
      <c r="H6912" s="63" t="n">
        <v>0.008999999999999999</v>
      </c>
      <c r="I6912" s="62" t="n">
        <v>1051.83</v>
      </c>
      <c r="J6912" s="58" t="inlineStr">
        <is>
          <t>Online</t>
        </is>
      </c>
      <c r="K6912" s="62">
        <f>F6912*(G6912-H6912)</f>
        <v/>
      </c>
      <c r="L6912" s="62">
        <f>K6912-(F6912*I6912)</f>
        <v/>
      </c>
      <c r="M6912" s="64">
        <f>L6912/K6912</f>
        <v/>
      </c>
    </row>
    <row r="6913">
      <c r="A6913" s="58" t="inlineStr">
        <is>
          <t>RT20250624-06912</t>
        </is>
      </c>
      <c r="B6913" s="59" t="inlineStr">
        <is>
          <t>2025-06-24</t>
        </is>
      </c>
      <c r="C6913" s="60" t="inlineStr">
        <is>
          <t>Polar Haircare Max-614</t>
        </is>
      </c>
      <c r="D6913" s="58" t="inlineStr">
        <is>
          <t>Beauty</t>
        </is>
      </c>
      <c r="E6913" s="58" t="inlineStr">
        <is>
          <t>Central</t>
        </is>
      </c>
      <c r="F6913" s="61" t="n">
        <v>5</v>
      </c>
      <c r="G6913" s="62" t="n">
        <v>108.18</v>
      </c>
      <c r="H6913" s="63" t="n">
        <v>0.094</v>
      </c>
      <c r="I6913" s="62" t="n">
        <v>71.67</v>
      </c>
      <c r="J6913" s="58" t="inlineStr">
        <is>
          <t>Online</t>
        </is>
      </c>
      <c r="K6913" s="62">
        <f>F6913*(G6913-H6913)</f>
        <v/>
      </c>
      <c r="L6913" s="62">
        <f>K6913-(F6913*I6913)</f>
        <v/>
      </c>
      <c r="M6913" s="64">
        <f>L6913/K6913</f>
        <v/>
      </c>
    </row>
    <row r="6914">
      <c r="A6914" s="58" t="inlineStr">
        <is>
          <t>RT20250624-06913</t>
        </is>
      </c>
      <c r="B6914" s="59" t="inlineStr">
        <is>
          <t>2025-06-24</t>
        </is>
      </c>
      <c r="C6914" s="60" t="inlineStr">
        <is>
          <t>Aurora Smartphone Plus-125</t>
        </is>
      </c>
      <c r="D6914" s="58" t="inlineStr">
        <is>
          <t>Electronics</t>
        </is>
      </c>
      <c r="E6914" s="58" t="inlineStr">
        <is>
          <t>Central</t>
        </is>
      </c>
      <c r="F6914" s="61" t="n">
        <v>2</v>
      </c>
      <c r="G6914" s="62" t="n">
        <v>1568.62</v>
      </c>
      <c r="H6914" s="63" t="n">
        <v>0.061</v>
      </c>
      <c r="I6914" s="62" t="n">
        <v>1193.76</v>
      </c>
      <c r="J6914" s="58" t="inlineStr">
        <is>
          <t>Store</t>
        </is>
      </c>
      <c r="K6914" s="62">
        <f>F6914*(G6914-H6914)</f>
        <v/>
      </c>
      <c r="L6914" s="62">
        <f>K6914-(F6914*I6914)</f>
        <v/>
      </c>
      <c r="M6914" s="64">
        <f>L6914/K6914</f>
        <v/>
      </c>
    </row>
    <row r="6915">
      <c r="A6915" s="58" t="inlineStr">
        <is>
          <t>RT20250624-06914</t>
        </is>
      </c>
      <c r="B6915" s="59" t="inlineStr">
        <is>
          <t>2025-06-24</t>
        </is>
      </c>
      <c r="C6915" s="60" t="inlineStr">
        <is>
          <t>Falcon Cycling Pro-499</t>
        </is>
      </c>
      <c r="D6915" s="58" t="inlineStr">
        <is>
          <t>Sports</t>
        </is>
      </c>
      <c r="E6915" s="58" t="inlineStr">
        <is>
          <t>North</t>
        </is>
      </c>
      <c r="F6915" s="61" t="n">
        <v>2</v>
      </c>
      <c r="G6915" s="62" t="n">
        <v>578.78</v>
      </c>
      <c r="H6915" s="63" t="n">
        <v>0.063</v>
      </c>
      <c r="I6915" s="62" t="n">
        <v>395.49</v>
      </c>
      <c r="J6915" s="58" t="inlineStr">
        <is>
          <t>Online</t>
        </is>
      </c>
      <c r="K6915" s="62">
        <f>F6915*(G6915-H6915)</f>
        <v/>
      </c>
      <c r="L6915" s="62">
        <f>K6915-(F6915*I6915)</f>
        <v/>
      </c>
      <c r="M6915" s="64">
        <f>L6915/K6915</f>
        <v/>
      </c>
    </row>
    <row r="6916">
      <c r="A6916" s="58" t="inlineStr">
        <is>
          <t>RT20250624-06915</t>
        </is>
      </c>
      <c r="B6916" s="59" t="inlineStr">
        <is>
          <t>2025-06-24</t>
        </is>
      </c>
      <c r="C6916" s="60" t="inlineStr">
        <is>
          <t>Vertex Smartphone Lite-267</t>
        </is>
      </c>
      <c r="D6916" s="58" t="inlineStr">
        <is>
          <t>Electronics</t>
        </is>
      </c>
      <c r="E6916" s="58" t="inlineStr">
        <is>
          <t>Central</t>
        </is>
      </c>
      <c r="F6916" s="61" t="n">
        <v>2</v>
      </c>
      <c r="G6916" s="62" t="n">
        <v>1021.56</v>
      </c>
      <c r="H6916" s="63" t="n">
        <v>0</v>
      </c>
      <c r="I6916" s="62" t="n">
        <v>964.88</v>
      </c>
      <c r="J6916" s="58" t="inlineStr">
        <is>
          <t>Online</t>
        </is>
      </c>
      <c r="K6916" s="62">
        <f>F6916*(G6916-H6916)</f>
        <v/>
      </c>
      <c r="L6916" s="62">
        <f>K6916-(F6916*I6916)</f>
        <v/>
      </c>
      <c r="M6916" s="64">
        <f>L6916/K6916</f>
        <v/>
      </c>
    </row>
    <row r="6917">
      <c r="A6917" s="58" t="inlineStr">
        <is>
          <t>RT20250624-06916</t>
        </is>
      </c>
      <c r="B6917" s="59" t="inlineStr">
        <is>
          <t>2025-06-24</t>
        </is>
      </c>
      <c r="C6917" s="60" t="inlineStr">
        <is>
          <t>Vertex Headphone Pro-801</t>
        </is>
      </c>
      <c r="D6917" s="58" t="inlineStr">
        <is>
          <t>Electronics</t>
        </is>
      </c>
      <c r="E6917" s="58" t="inlineStr">
        <is>
          <t>East</t>
        </is>
      </c>
      <c r="F6917" s="61" t="n">
        <v>1</v>
      </c>
      <c r="G6917" s="62" t="n">
        <v>1328.36</v>
      </c>
      <c r="H6917" s="63" t="n">
        <v>0.039</v>
      </c>
      <c r="I6917" s="62" t="n">
        <v>996.53</v>
      </c>
      <c r="J6917" s="58" t="inlineStr">
        <is>
          <t>Store</t>
        </is>
      </c>
      <c r="K6917" s="62">
        <f>F6917*(G6917-H6917)</f>
        <v/>
      </c>
      <c r="L6917" s="62">
        <f>K6917-(F6917*I6917)</f>
        <v/>
      </c>
      <c r="M6917" s="64">
        <f>L6917/K6917</f>
        <v/>
      </c>
    </row>
    <row r="6918">
      <c r="A6918" s="58" t="inlineStr">
        <is>
          <t>RT20250624-06917</t>
        </is>
      </c>
      <c r="B6918" s="59" t="inlineStr">
        <is>
          <t>2025-06-24</t>
        </is>
      </c>
      <c r="C6918" s="60" t="inlineStr">
        <is>
          <t>Metro Beverage Max-490</t>
        </is>
      </c>
      <c r="D6918" s="58" t="inlineStr">
        <is>
          <t>Grocery</t>
        </is>
      </c>
      <c r="E6918" s="58" t="inlineStr">
        <is>
          <t>North</t>
        </is>
      </c>
      <c r="F6918" s="61" t="n">
        <v>8</v>
      </c>
      <c r="G6918" s="62" t="n">
        <v>11.48</v>
      </c>
      <c r="H6918" s="63" t="n">
        <v>0.08400000000000001</v>
      </c>
      <c r="I6918" s="62" t="n">
        <v>8.15</v>
      </c>
      <c r="J6918" s="58" t="inlineStr">
        <is>
          <t>Store</t>
        </is>
      </c>
      <c r="K6918" s="62">
        <f>F6918*(G6918-H6918)</f>
        <v/>
      </c>
      <c r="L6918" s="62">
        <f>K6918-(F6918*I6918)</f>
        <v/>
      </c>
      <c r="M6918" s="64">
        <f>L6918/K6918</f>
        <v/>
      </c>
    </row>
    <row r="6919">
      <c r="A6919" s="58" t="inlineStr">
        <is>
          <t>RT20250624-06918</t>
        </is>
      </c>
      <c r="B6919" s="59" t="inlineStr">
        <is>
          <t>2025-06-24</t>
        </is>
      </c>
      <c r="C6919" s="60" t="inlineStr">
        <is>
          <t>Polar Bedding Lite-243</t>
        </is>
      </c>
      <c r="D6919" s="58" t="inlineStr">
        <is>
          <t>Home</t>
        </is>
      </c>
      <c r="E6919" s="58" t="inlineStr">
        <is>
          <t>Central</t>
        </is>
      </c>
      <c r="F6919" s="61" t="n">
        <v>3</v>
      </c>
      <c r="G6919" s="62" t="n">
        <v>487.01</v>
      </c>
      <c r="H6919" s="63" t="n">
        <v>0.03</v>
      </c>
      <c r="I6919" s="62" t="n">
        <v>327.2</v>
      </c>
      <c r="J6919" s="58" t="inlineStr">
        <is>
          <t>Store</t>
        </is>
      </c>
      <c r="K6919" s="62">
        <f>F6919*(G6919-H6919)</f>
        <v/>
      </c>
      <c r="L6919" s="62">
        <f>K6919-(F6919*I6919)</f>
        <v/>
      </c>
      <c r="M6919" s="64">
        <f>L6919/K6919</f>
        <v/>
      </c>
    </row>
    <row r="6920">
      <c r="A6920" s="58" t="inlineStr">
        <is>
          <t>RT20250624-06919</t>
        </is>
      </c>
      <c r="B6920" s="59" t="inlineStr">
        <is>
          <t>2025-06-24</t>
        </is>
      </c>
      <c r="C6920" s="60" t="inlineStr">
        <is>
          <t>Vertex Appliance Max-338</t>
        </is>
      </c>
      <c r="D6920" s="58" t="inlineStr">
        <is>
          <t>Home</t>
        </is>
      </c>
      <c r="E6920" s="58" t="inlineStr">
        <is>
          <t>Central</t>
        </is>
      </c>
      <c r="F6920" s="61" t="n">
        <v>2</v>
      </c>
      <c r="G6920" s="62" t="n">
        <v>463.85</v>
      </c>
      <c r="H6920" s="63" t="n">
        <v>0.038</v>
      </c>
      <c r="I6920" s="62" t="n">
        <v>281.03</v>
      </c>
      <c r="J6920" s="58" t="inlineStr">
        <is>
          <t>Phone</t>
        </is>
      </c>
      <c r="K6920" s="62">
        <f>F6920*(G6920-H6920)</f>
        <v/>
      </c>
      <c r="L6920" s="62">
        <f>K6920-(F6920*I6920)</f>
        <v/>
      </c>
      <c r="M6920" s="64">
        <f>L6920/K6920</f>
        <v/>
      </c>
    </row>
    <row r="6921">
      <c r="A6921" s="58" t="inlineStr">
        <is>
          <t>RT20250624-06920</t>
        </is>
      </c>
      <c r="B6921" s="59" t="inlineStr">
        <is>
          <t>2025-06-24</t>
        </is>
      </c>
      <c r="C6921" s="60" t="inlineStr">
        <is>
          <t>Aurora Bedding Max-175</t>
        </is>
      </c>
      <c r="D6921" s="58" t="inlineStr">
        <is>
          <t>Home</t>
        </is>
      </c>
      <c r="E6921" s="58" t="inlineStr">
        <is>
          <t>East</t>
        </is>
      </c>
      <c r="F6921" s="61" t="n">
        <v>3</v>
      </c>
      <c r="G6921" s="62" t="n">
        <v>569.76</v>
      </c>
      <c r="H6921" s="63" t="n">
        <v>0.016</v>
      </c>
      <c r="I6921" s="62" t="n">
        <v>411.68</v>
      </c>
      <c r="J6921" s="58" t="inlineStr">
        <is>
          <t>Store</t>
        </is>
      </c>
      <c r="K6921" s="62">
        <f>F6921*(G6921-H6921)</f>
        <v/>
      </c>
      <c r="L6921" s="62">
        <f>K6921-(F6921*I6921)</f>
        <v/>
      </c>
      <c r="M6921" s="64">
        <f>L6921/K6921</f>
        <v/>
      </c>
    </row>
    <row r="6922">
      <c r="A6922" s="58" t="inlineStr">
        <is>
          <t>RT20250624-06921</t>
        </is>
      </c>
      <c r="B6922" s="59" t="inlineStr">
        <is>
          <t>2025-06-24</t>
        </is>
      </c>
      <c r="C6922" s="60" t="inlineStr">
        <is>
          <t>Aurora Bedding Plus-187</t>
        </is>
      </c>
      <c r="D6922" s="58" t="inlineStr">
        <is>
          <t>Home</t>
        </is>
      </c>
      <c r="E6922" s="58" t="inlineStr">
        <is>
          <t>East</t>
        </is>
      </c>
      <c r="F6922" s="61" t="n">
        <v>2</v>
      </c>
      <c r="G6922" s="62" t="n">
        <v>294.4</v>
      </c>
      <c r="H6922" s="63" t="n">
        <v>0.053</v>
      </c>
      <c r="I6922" s="62" t="n">
        <v>211.04</v>
      </c>
      <c r="J6922" s="58" t="inlineStr">
        <is>
          <t>Online</t>
        </is>
      </c>
      <c r="K6922" s="62">
        <f>F6922*(G6922-H6922)</f>
        <v/>
      </c>
      <c r="L6922" s="62">
        <f>K6922-(F6922*I6922)</f>
        <v/>
      </c>
      <c r="M6922" s="64">
        <f>L6922/K6922</f>
        <v/>
      </c>
    </row>
    <row r="6923">
      <c r="A6923" s="58" t="inlineStr">
        <is>
          <t>RT20250624-06922</t>
        </is>
      </c>
      <c r="B6923" s="59" t="inlineStr">
        <is>
          <t>2025-06-24</t>
        </is>
      </c>
      <c r="C6923" s="60" t="inlineStr">
        <is>
          <t>Falcon Cycling Pro-499</t>
        </is>
      </c>
      <c r="D6923" s="58" t="inlineStr">
        <is>
          <t>Sports</t>
        </is>
      </c>
      <c r="E6923" s="58" t="inlineStr">
        <is>
          <t>East</t>
        </is>
      </c>
      <c r="F6923" s="61" t="n">
        <v>1</v>
      </c>
      <c r="G6923" s="62" t="n">
        <v>554.51</v>
      </c>
      <c r="H6923" s="63" t="n">
        <v>0.062</v>
      </c>
      <c r="I6923" s="62" t="n">
        <v>398.85</v>
      </c>
      <c r="J6923" s="58" t="inlineStr">
        <is>
          <t>Online</t>
        </is>
      </c>
      <c r="K6923" s="62">
        <f>F6923*(G6923-H6923)</f>
        <v/>
      </c>
      <c r="L6923" s="62">
        <f>K6923-(F6923*I6923)</f>
        <v/>
      </c>
      <c r="M6923" s="64">
        <f>L6923/K6923</f>
        <v/>
      </c>
    </row>
    <row r="6924">
      <c r="A6924" s="58" t="inlineStr">
        <is>
          <t>RT20250624-06923</t>
        </is>
      </c>
      <c r="B6924" s="59" t="inlineStr">
        <is>
          <t>2025-06-24</t>
        </is>
      </c>
      <c r="C6924" s="60" t="inlineStr">
        <is>
          <t>Solace Makeup Pro-214</t>
        </is>
      </c>
      <c r="D6924" s="58" t="inlineStr">
        <is>
          <t>Beauty</t>
        </is>
      </c>
      <c r="E6924" s="58" t="inlineStr">
        <is>
          <t>West</t>
        </is>
      </c>
      <c r="F6924" s="61" t="n">
        <v>1</v>
      </c>
      <c r="G6924" s="62" t="n">
        <v>117.67</v>
      </c>
      <c r="H6924" s="63" t="n">
        <v>0.034</v>
      </c>
      <c r="I6924" s="62" t="n">
        <v>68.11</v>
      </c>
      <c r="J6924" s="58" t="inlineStr">
        <is>
          <t>Phone</t>
        </is>
      </c>
      <c r="K6924" s="62">
        <f>F6924*(G6924-H6924)</f>
        <v/>
      </c>
      <c r="L6924" s="62">
        <f>K6924-(F6924*I6924)</f>
        <v/>
      </c>
      <c r="M6924" s="64">
        <f>L6924/K6924</f>
        <v/>
      </c>
    </row>
    <row r="6925">
      <c r="A6925" s="58" t="inlineStr">
        <is>
          <t>RT20250624-06924</t>
        </is>
      </c>
      <c r="B6925" s="59" t="inlineStr">
        <is>
          <t>2025-06-24</t>
        </is>
      </c>
      <c r="C6925" s="60" t="inlineStr">
        <is>
          <t>Orion Kitchen Pro-568</t>
        </is>
      </c>
      <c r="D6925" s="58" t="inlineStr">
        <is>
          <t>Home</t>
        </is>
      </c>
      <c r="E6925" s="58" t="inlineStr">
        <is>
          <t>East</t>
        </is>
      </c>
      <c r="F6925" s="61" t="n">
        <v>3</v>
      </c>
      <c r="G6925" s="62" t="n">
        <v>368.81</v>
      </c>
      <c r="H6925" s="63" t="n">
        <v>0.028</v>
      </c>
      <c r="I6925" s="62" t="n">
        <v>303.59</v>
      </c>
      <c r="J6925" s="58" t="inlineStr">
        <is>
          <t>Online</t>
        </is>
      </c>
      <c r="K6925" s="62">
        <f>F6925*(G6925-H6925)</f>
        <v/>
      </c>
      <c r="L6925" s="62">
        <f>K6925-(F6925*I6925)</f>
        <v/>
      </c>
      <c r="M6925" s="64">
        <f>L6925/K6925</f>
        <v/>
      </c>
    </row>
    <row r="6926">
      <c r="A6926" s="58" t="inlineStr">
        <is>
          <t>RT20250624-06925</t>
        </is>
      </c>
      <c r="B6926" s="59" t="inlineStr">
        <is>
          <t>2025-06-24</t>
        </is>
      </c>
      <c r="C6926" s="60" t="inlineStr">
        <is>
          <t>Falcon Skincare X-334</t>
        </is>
      </c>
      <c r="D6926" s="58" t="inlineStr">
        <is>
          <t>Beauty</t>
        </is>
      </c>
      <c r="E6926" s="58" t="inlineStr">
        <is>
          <t>East</t>
        </is>
      </c>
      <c r="F6926" s="61" t="n">
        <v>3</v>
      </c>
      <c r="G6926" s="62" t="n">
        <v>107.3</v>
      </c>
      <c r="H6926" s="63" t="n">
        <v>0.035</v>
      </c>
      <c r="I6926" s="62" t="n">
        <v>63.46</v>
      </c>
      <c r="J6926" s="58" t="inlineStr">
        <is>
          <t>Online</t>
        </is>
      </c>
      <c r="K6926" s="62">
        <f>F6926*(G6926-H6926)</f>
        <v/>
      </c>
      <c r="L6926" s="62">
        <f>K6926-(F6926*I6926)</f>
        <v/>
      </c>
      <c r="M6926" s="64">
        <f>L6926/K6926</f>
        <v/>
      </c>
    </row>
    <row r="6927">
      <c r="A6927" s="58" t="inlineStr">
        <is>
          <t>RT20250624-06926</t>
        </is>
      </c>
      <c r="B6927" s="59" t="inlineStr">
        <is>
          <t>2025-06-24</t>
        </is>
      </c>
      <c r="C6927" s="60" t="inlineStr">
        <is>
          <t>Polar Beverage S-258</t>
        </is>
      </c>
      <c r="D6927" s="58" t="inlineStr">
        <is>
          <t>Grocery</t>
        </is>
      </c>
      <c r="E6927" s="58" t="inlineStr">
        <is>
          <t>East</t>
        </is>
      </c>
      <c r="F6927" s="61" t="n">
        <v>5</v>
      </c>
      <c r="G6927" s="62" t="n">
        <v>13.7</v>
      </c>
      <c r="H6927" s="63" t="n">
        <v>0.021</v>
      </c>
      <c r="I6927" s="62" t="n">
        <v>9.49</v>
      </c>
      <c r="J6927" s="58" t="inlineStr">
        <is>
          <t>Store</t>
        </is>
      </c>
      <c r="K6927" s="62">
        <f>F6927*(G6927-H6927)</f>
        <v/>
      </c>
      <c r="L6927" s="62">
        <f>K6927-(F6927*I6927)</f>
        <v/>
      </c>
      <c r="M6927" s="64">
        <f>L6927/K6927</f>
        <v/>
      </c>
    </row>
    <row r="6928">
      <c r="A6928" s="58" t="inlineStr">
        <is>
          <t>RT20250624-06927</t>
        </is>
      </c>
      <c r="B6928" s="59" t="inlineStr">
        <is>
          <t>2025-06-24</t>
        </is>
      </c>
      <c r="C6928" s="60" t="inlineStr">
        <is>
          <t>Aurora Bedding Max-175</t>
        </is>
      </c>
      <c r="D6928" s="58" t="inlineStr">
        <is>
          <t>Home</t>
        </is>
      </c>
      <c r="E6928" s="58" t="inlineStr">
        <is>
          <t>West</t>
        </is>
      </c>
      <c r="F6928" s="61" t="n">
        <v>3</v>
      </c>
      <c r="G6928" s="62" t="n">
        <v>547.75</v>
      </c>
      <c r="H6928" s="63" t="n">
        <v>0.058</v>
      </c>
      <c r="I6928" s="62" t="n">
        <v>417.55</v>
      </c>
      <c r="J6928" s="58" t="inlineStr">
        <is>
          <t>Online</t>
        </is>
      </c>
      <c r="K6928" s="62">
        <f>F6928*(G6928-H6928)</f>
        <v/>
      </c>
      <c r="L6928" s="62">
        <f>K6928-(F6928*I6928)</f>
        <v/>
      </c>
      <c r="M6928" s="64">
        <f>L6928/K6928</f>
        <v/>
      </c>
    </row>
    <row r="6929">
      <c r="A6929" s="58" t="inlineStr">
        <is>
          <t>RT20250624-06928</t>
        </is>
      </c>
      <c r="B6929" s="59" t="inlineStr">
        <is>
          <t>2025-06-24</t>
        </is>
      </c>
      <c r="C6929" s="60" t="inlineStr">
        <is>
          <t>Orion Kid Max-640</t>
        </is>
      </c>
      <c r="D6929" s="58" t="inlineStr">
        <is>
          <t>Apparel</t>
        </is>
      </c>
      <c r="E6929" s="58" t="inlineStr">
        <is>
          <t>West</t>
        </is>
      </c>
      <c r="F6929" s="61" t="n">
        <v>2</v>
      </c>
      <c r="G6929" s="62" t="n">
        <v>114.06</v>
      </c>
      <c r="H6929" s="63" t="n">
        <v>0.094</v>
      </c>
      <c r="I6929" s="62" t="n">
        <v>70.89</v>
      </c>
      <c r="J6929" s="58" t="inlineStr">
        <is>
          <t>Online</t>
        </is>
      </c>
      <c r="K6929" s="62">
        <f>F6929*(G6929-H6929)</f>
        <v/>
      </c>
      <c r="L6929" s="62">
        <f>K6929-(F6929*I6929)</f>
        <v/>
      </c>
      <c r="M6929" s="64">
        <f>L6929/K6929</f>
        <v/>
      </c>
    </row>
    <row r="6930">
      <c r="A6930" s="58" t="inlineStr">
        <is>
          <t>RT20250624-06929</t>
        </is>
      </c>
      <c r="B6930" s="59" t="inlineStr">
        <is>
          <t>2025-06-24</t>
        </is>
      </c>
      <c r="C6930" s="60" t="inlineStr">
        <is>
          <t>Falcon Accessorie S-195</t>
        </is>
      </c>
      <c r="D6930" s="58" t="inlineStr">
        <is>
          <t>Apparel</t>
        </is>
      </c>
      <c r="E6930" s="58" t="inlineStr">
        <is>
          <t>Central</t>
        </is>
      </c>
      <c r="F6930" s="61" t="n">
        <v>2</v>
      </c>
      <c r="G6930" s="62" t="n">
        <v>65.78</v>
      </c>
      <c r="H6930" s="63" t="n">
        <v>0.022</v>
      </c>
      <c r="I6930" s="62" t="n">
        <v>42.26</v>
      </c>
      <c r="J6930" s="58" t="inlineStr">
        <is>
          <t>Online</t>
        </is>
      </c>
      <c r="K6930" s="62">
        <f>F6930*(G6930-H6930)</f>
        <v/>
      </c>
      <c r="L6930" s="62">
        <f>K6930-(F6930*I6930)</f>
        <v/>
      </c>
      <c r="M6930" s="64">
        <f>L6930/K6930</f>
        <v/>
      </c>
    </row>
    <row r="6931">
      <c r="A6931" s="58" t="inlineStr">
        <is>
          <t>RT20250624-06930</t>
        </is>
      </c>
      <c r="B6931" s="59" t="inlineStr">
        <is>
          <t>2025-06-24</t>
        </is>
      </c>
      <c r="C6931" s="60" t="inlineStr">
        <is>
          <t>Metro Outdoor Plus-787</t>
        </is>
      </c>
      <c r="D6931" s="58" t="inlineStr">
        <is>
          <t>Sports</t>
        </is>
      </c>
      <c r="E6931" s="58" t="inlineStr">
        <is>
          <t>West</t>
        </is>
      </c>
      <c r="F6931" s="61" t="n">
        <v>3</v>
      </c>
      <c r="G6931" s="62" t="n">
        <v>583.67</v>
      </c>
      <c r="H6931" s="63" t="n">
        <v>0.091</v>
      </c>
      <c r="I6931" s="62" t="n">
        <v>351.43</v>
      </c>
      <c r="J6931" s="58" t="inlineStr">
        <is>
          <t>Phone</t>
        </is>
      </c>
      <c r="K6931" s="62">
        <f>F6931*(G6931-H6931)</f>
        <v/>
      </c>
      <c r="L6931" s="62">
        <f>K6931-(F6931*I6931)</f>
        <v/>
      </c>
      <c r="M6931" s="64">
        <f>L6931/K6931</f>
        <v/>
      </c>
    </row>
    <row r="6932">
      <c r="A6932" s="58" t="inlineStr">
        <is>
          <t>RT20250624-06931</t>
        </is>
      </c>
      <c r="B6932" s="59" t="inlineStr">
        <is>
          <t>2025-06-24</t>
        </is>
      </c>
      <c r="C6932" s="60" t="inlineStr">
        <is>
          <t>Aurora Makeup Pro-489</t>
        </is>
      </c>
      <c r="D6932" s="58" t="inlineStr">
        <is>
          <t>Beauty</t>
        </is>
      </c>
      <c r="E6932" s="58" t="inlineStr">
        <is>
          <t>West</t>
        </is>
      </c>
      <c r="F6932" s="61" t="n">
        <v>2</v>
      </c>
      <c r="G6932" s="62" t="n">
        <v>110.88</v>
      </c>
      <c r="H6932" s="63" t="n">
        <v>0.03</v>
      </c>
      <c r="I6932" s="62" t="n">
        <v>64.73999999999999</v>
      </c>
      <c r="J6932" s="58" t="inlineStr">
        <is>
          <t>Online</t>
        </is>
      </c>
      <c r="K6932" s="62">
        <f>F6932*(G6932-H6932)</f>
        <v/>
      </c>
      <c r="L6932" s="62">
        <f>K6932-(F6932*I6932)</f>
        <v/>
      </c>
      <c r="M6932" s="64">
        <f>L6932/K6932</f>
        <v/>
      </c>
    </row>
    <row r="6933">
      <c r="A6933" s="58" t="inlineStr">
        <is>
          <t>RT20250624-06932</t>
        </is>
      </c>
      <c r="B6933" s="59" t="inlineStr">
        <is>
          <t>2025-06-24</t>
        </is>
      </c>
      <c r="C6933" s="60" t="inlineStr">
        <is>
          <t>Aurora Bedding Max-175</t>
        </is>
      </c>
      <c r="D6933" s="58" t="inlineStr">
        <is>
          <t>Home</t>
        </is>
      </c>
      <c r="E6933" s="58" t="inlineStr">
        <is>
          <t>East</t>
        </is>
      </c>
      <c r="F6933" s="61" t="n">
        <v>3</v>
      </c>
      <c r="G6933" s="62" t="n">
        <v>615.3200000000001</v>
      </c>
      <c r="H6933" s="63" t="n">
        <v>0.065</v>
      </c>
      <c r="I6933" s="62" t="n">
        <v>416.36</v>
      </c>
      <c r="J6933" s="58" t="inlineStr">
        <is>
          <t>Store</t>
        </is>
      </c>
      <c r="K6933" s="62">
        <f>F6933*(G6933-H6933)</f>
        <v/>
      </c>
      <c r="L6933" s="62">
        <f>K6933-(F6933*I6933)</f>
        <v/>
      </c>
      <c r="M6933" s="64">
        <f>L6933/K6933</f>
        <v/>
      </c>
    </row>
    <row r="6934">
      <c r="A6934" s="58" t="inlineStr">
        <is>
          <t>RT20250624-06933</t>
        </is>
      </c>
      <c r="B6934" s="59" t="inlineStr">
        <is>
          <t>2025-06-24</t>
        </is>
      </c>
      <c r="C6934" s="60" t="inlineStr">
        <is>
          <t>Orion Team Sport X-926</t>
        </is>
      </c>
      <c r="D6934" s="58" t="inlineStr">
        <is>
          <t>Sports</t>
        </is>
      </c>
      <c r="E6934" s="58" t="inlineStr">
        <is>
          <t>South</t>
        </is>
      </c>
      <c r="F6934" s="61" t="n">
        <v>3</v>
      </c>
      <c r="G6934" s="62" t="n">
        <v>311.2</v>
      </c>
      <c r="H6934" s="63" t="n">
        <v>0.076</v>
      </c>
      <c r="I6934" s="62" t="n">
        <v>214.98</v>
      </c>
      <c r="J6934" s="58" t="inlineStr">
        <is>
          <t>Online</t>
        </is>
      </c>
      <c r="K6934" s="62">
        <f>F6934*(G6934-H6934)</f>
        <v/>
      </c>
      <c r="L6934" s="62">
        <f>K6934-(F6934*I6934)</f>
        <v/>
      </c>
      <c r="M6934" s="64">
        <f>L6934/K6934</f>
        <v/>
      </c>
    </row>
    <row r="6935">
      <c r="A6935" s="58" t="inlineStr">
        <is>
          <t>RT20250624-06934</t>
        </is>
      </c>
      <c r="B6935" s="59" t="inlineStr">
        <is>
          <t>2025-06-24</t>
        </is>
      </c>
      <c r="C6935" s="60" t="inlineStr">
        <is>
          <t>Vertex Men X-995</t>
        </is>
      </c>
      <c r="D6935" s="58" t="inlineStr">
        <is>
          <t>Apparel</t>
        </is>
      </c>
      <c r="E6935" s="58" t="inlineStr">
        <is>
          <t>West</t>
        </is>
      </c>
      <c r="F6935" s="61" t="n">
        <v>1</v>
      </c>
      <c r="G6935" s="62" t="n">
        <v>108.6</v>
      </c>
      <c r="H6935" s="63" t="n">
        <v>0.056</v>
      </c>
      <c r="I6935" s="62" t="n">
        <v>56.49</v>
      </c>
      <c r="J6935" s="58" t="inlineStr">
        <is>
          <t>Online</t>
        </is>
      </c>
      <c r="K6935" s="62">
        <f>F6935*(G6935-H6935)</f>
        <v/>
      </c>
      <c r="L6935" s="62">
        <f>K6935-(F6935*I6935)</f>
        <v/>
      </c>
      <c r="M6935" s="64">
        <f>L6935/K6935</f>
        <v/>
      </c>
    </row>
    <row r="6936">
      <c r="A6936" s="58" t="inlineStr">
        <is>
          <t>RT20250624-06935</t>
        </is>
      </c>
      <c r="B6936" s="59" t="inlineStr">
        <is>
          <t>2025-06-24</t>
        </is>
      </c>
      <c r="C6936" s="60" t="inlineStr">
        <is>
          <t>Orion Laptop S-350</t>
        </is>
      </c>
      <c r="D6936" s="58" t="inlineStr">
        <is>
          <t>Electronics</t>
        </is>
      </c>
      <c r="E6936" s="58" t="inlineStr">
        <is>
          <t>Central</t>
        </is>
      </c>
      <c r="F6936" s="61" t="n">
        <v>2</v>
      </c>
      <c r="G6936" s="62" t="n">
        <v>1282.52</v>
      </c>
      <c r="H6936" s="63" t="n">
        <v>0.076</v>
      </c>
      <c r="I6936" s="62" t="n">
        <v>1071.29</v>
      </c>
      <c r="J6936" s="58" t="inlineStr">
        <is>
          <t>Phone</t>
        </is>
      </c>
      <c r="K6936" s="62">
        <f>F6936*(G6936-H6936)</f>
        <v/>
      </c>
      <c r="L6936" s="62">
        <f>K6936-(F6936*I6936)</f>
        <v/>
      </c>
      <c r="M6936" s="64">
        <f>L6936/K6936</f>
        <v/>
      </c>
    </row>
    <row r="6937">
      <c r="A6937" s="58" t="inlineStr">
        <is>
          <t>RT20250624-06936</t>
        </is>
      </c>
      <c r="B6937" s="59" t="inlineStr">
        <is>
          <t>2025-06-24</t>
        </is>
      </c>
      <c r="C6937" s="60" t="inlineStr">
        <is>
          <t>Orion Kid Max-640</t>
        </is>
      </c>
      <c r="D6937" s="58" t="inlineStr">
        <is>
          <t>Apparel</t>
        </is>
      </c>
      <c r="E6937" s="58" t="inlineStr">
        <is>
          <t>East</t>
        </is>
      </c>
      <c r="F6937" s="61" t="n">
        <v>4</v>
      </c>
      <c r="G6937" s="62" t="n">
        <v>124.56</v>
      </c>
      <c r="H6937" s="63" t="n">
        <v>0.08500000000000001</v>
      </c>
      <c r="I6937" s="62" t="n">
        <v>70.33</v>
      </c>
      <c r="J6937" s="58" t="inlineStr">
        <is>
          <t>Online</t>
        </is>
      </c>
      <c r="K6937" s="62">
        <f>F6937*(G6937-H6937)</f>
        <v/>
      </c>
      <c r="L6937" s="62">
        <f>K6937-(F6937*I6937)</f>
        <v/>
      </c>
      <c r="M6937" s="64">
        <f>L6937/K6937</f>
        <v/>
      </c>
    </row>
    <row r="6938">
      <c r="A6938" s="58" t="inlineStr">
        <is>
          <t>RT20250624-06937</t>
        </is>
      </c>
      <c r="B6938" s="59" t="inlineStr">
        <is>
          <t>2025-06-24</t>
        </is>
      </c>
      <c r="C6938" s="60" t="inlineStr">
        <is>
          <t>Vertex Furniture S-652</t>
        </is>
      </c>
      <c r="D6938" s="58" t="inlineStr">
        <is>
          <t>Office</t>
        </is>
      </c>
      <c r="E6938" s="58" t="inlineStr">
        <is>
          <t>East</t>
        </is>
      </c>
      <c r="F6938" s="61" t="n">
        <v>2</v>
      </c>
      <c r="G6938" s="62" t="n">
        <v>382.86</v>
      </c>
      <c r="H6938" s="63" t="n">
        <v>0.099</v>
      </c>
      <c r="I6938" s="62" t="n">
        <v>260.05</v>
      </c>
      <c r="J6938" s="58" t="inlineStr">
        <is>
          <t>Online</t>
        </is>
      </c>
      <c r="K6938" s="62">
        <f>F6938*(G6938-H6938)</f>
        <v/>
      </c>
      <c r="L6938" s="62">
        <f>K6938-(F6938*I6938)</f>
        <v/>
      </c>
      <c r="M6938" s="64">
        <f>L6938/K6938</f>
        <v/>
      </c>
    </row>
    <row r="6939">
      <c r="A6939" s="58" t="inlineStr">
        <is>
          <t>RT20250624-06938</t>
        </is>
      </c>
      <c r="B6939" s="59" t="inlineStr">
        <is>
          <t>2025-06-24</t>
        </is>
      </c>
      <c r="C6939" s="60" t="inlineStr">
        <is>
          <t>Nimbus Fitnes Lite-516</t>
        </is>
      </c>
      <c r="D6939" s="58" t="inlineStr">
        <is>
          <t>Sports</t>
        </is>
      </c>
      <c r="E6939" s="58" t="inlineStr">
        <is>
          <t>East</t>
        </is>
      </c>
      <c r="F6939" s="61" t="n">
        <v>2</v>
      </c>
      <c r="G6939" s="62" t="n">
        <v>702.59</v>
      </c>
      <c r="H6939" s="63" t="n">
        <v>0.1</v>
      </c>
      <c r="I6939" s="62" t="n">
        <v>462.04</v>
      </c>
      <c r="J6939" s="58" t="inlineStr">
        <is>
          <t>Online</t>
        </is>
      </c>
      <c r="K6939" s="62">
        <f>F6939*(G6939-H6939)</f>
        <v/>
      </c>
      <c r="L6939" s="62">
        <f>K6939-(F6939*I6939)</f>
        <v/>
      </c>
      <c r="M6939" s="64">
        <f>L6939/K6939</f>
        <v/>
      </c>
    </row>
    <row r="6940">
      <c r="A6940" s="58" t="inlineStr">
        <is>
          <t>RT20250624-06939</t>
        </is>
      </c>
      <c r="B6940" s="59" t="inlineStr">
        <is>
          <t>2025-06-24</t>
        </is>
      </c>
      <c r="C6940" s="60" t="inlineStr">
        <is>
          <t>Aurora Smartphone Plus-125</t>
        </is>
      </c>
      <c r="D6940" s="58" t="inlineStr">
        <is>
          <t>Electronics</t>
        </is>
      </c>
      <c r="E6940" s="58" t="inlineStr">
        <is>
          <t>East</t>
        </is>
      </c>
      <c r="F6940" s="61" t="n">
        <v>1</v>
      </c>
      <c r="G6940" s="62" t="n">
        <v>1653.81</v>
      </c>
      <c r="H6940" s="63" t="n">
        <v>0.08599999999999999</v>
      </c>
      <c r="I6940" s="62" t="n">
        <v>1208.96</v>
      </c>
      <c r="J6940" s="58" t="inlineStr">
        <is>
          <t>Store</t>
        </is>
      </c>
      <c r="K6940" s="62">
        <f>F6940*(G6940-H6940)</f>
        <v/>
      </c>
      <c r="L6940" s="62">
        <f>K6940-(F6940*I6940)</f>
        <v/>
      </c>
      <c r="M6940" s="64">
        <f>L6940/K6940</f>
        <v/>
      </c>
    </row>
    <row r="6941">
      <c r="A6941" s="58" t="inlineStr">
        <is>
          <t>RT20250625-06940</t>
        </is>
      </c>
      <c r="B6941" s="59" t="inlineStr">
        <is>
          <t>2025-06-25</t>
        </is>
      </c>
      <c r="C6941" s="60" t="inlineStr">
        <is>
          <t>Vertex Appliance S-159</t>
        </is>
      </c>
      <c r="D6941" s="58" t="inlineStr">
        <is>
          <t>Home</t>
        </is>
      </c>
      <c r="E6941" s="58" t="inlineStr">
        <is>
          <t>Central</t>
        </is>
      </c>
      <c r="F6941" s="61" t="n">
        <v>1</v>
      </c>
      <c r="G6941" s="62" t="n">
        <v>420.06</v>
      </c>
      <c r="H6941" s="63" t="n">
        <v>0.043</v>
      </c>
      <c r="I6941" s="62" t="n">
        <v>287.46</v>
      </c>
      <c r="J6941" s="58" t="inlineStr">
        <is>
          <t>Online</t>
        </is>
      </c>
      <c r="K6941" s="62">
        <f>F6941*(G6941-H6941)</f>
        <v/>
      </c>
      <c r="L6941" s="62">
        <f>K6941-(F6941*I6941)</f>
        <v/>
      </c>
      <c r="M6941" s="64">
        <f>L6941/K6941</f>
        <v/>
      </c>
    </row>
    <row r="6942">
      <c r="A6942" s="58" t="inlineStr">
        <is>
          <t>RT20250625-06941</t>
        </is>
      </c>
      <c r="B6942" s="59" t="inlineStr">
        <is>
          <t>2025-06-25</t>
        </is>
      </c>
      <c r="C6942" s="60" t="inlineStr">
        <is>
          <t>Metro Laptop Plus-376</t>
        </is>
      </c>
      <c r="D6942" s="58" t="inlineStr">
        <is>
          <t>Electronics</t>
        </is>
      </c>
      <c r="E6942" s="58" t="inlineStr">
        <is>
          <t>East</t>
        </is>
      </c>
      <c r="F6942" s="61" t="n">
        <v>1</v>
      </c>
      <c r="G6942" s="62" t="n">
        <v>1352.08</v>
      </c>
      <c r="H6942" s="63" t="n">
        <v>0.016</v>
      </c>
      <c r="I6942" s="62" t="n">
        <v>1028.11</v>
      </c>
      <c r="J6942" s="58" t="inlineStr">
        <is>
          <t>Online</t>
        </is>
      </c>
      <c r="K6942" s="62">
        <f>F6942*(G6942-H6942)</f>
        <v/>
      </c>
      <c r="L6942" s="62">
        <f>K6942-(F6942*I6942)</f>
        <v/>
      </c>
      <c r="M6942" s="64">
        <f>L6942/K6942</f>
        <v/>
      </c>
    </row>
    <row r="6943">
      <c r="A6943" s="58" t="inlineStr">
        <is>
          <t>RT20250625-06942</t>
        </is>
      </c>
      <c r="B6943" s="59" t="inlineStr">
        <is>
          <t>2025-06-25</t>
        </is>
      </c>
      <c r="C6943" s="60" t="inlineStr">
        <is>
          <t>Polar Fragrance Pro-750</t>
        </is>
      </c>
      <c r="D6943" s="58" t="inlineStr">
        <is>
          <t>Beauty</t>
        </is>
      </c>
      <c r="E6943" s="58" t="inlineStr">
        <is>
          <t>West</t>
        </is>
      </c>
      <c r="F6943" s="61" t="n">
        <v>1</v>
      </c>
      <c r="G6943" s="62" t="n">
        <v>58.57</v>
      </c>
      <c r="H6943" s="63" t="n">
        <v>0.061</v>
      </c>
      <c r="I6943" s="62" t="n">
        <v>36.39</v>
      </c>
      <c r="J6943" s="58" t="inlineStr">
        <is>
          <t>Online</t>
        </is>
      </c>
      <c r="K6943" s="62">
        <f>F6943*(G6943-H6943)</f>
        <v/>
      </c>
      <c r="L6943" s="62">
        <f>K6943-(F6943*I6943)</f>
        <v/>
      </c>
      <c r="M6943" s="64">
        <f>L6943/K6943</f>
        <v/>
      </c>
    </row>
    <row r="6944">
      <c r="A6944" s="58" t="inlineStr">
        <is>
          <t>RT20250625-06943</t>
        </is>
      </c>
      <c r="B6944" s="59" t="inlineStr">
        <is>
          <t>2025-06-25</t>
        </is>
      </c>
      <c r="C6944" s="60" t="inlineStr">
        <is>
          <t>Solace Laptop S-367</t>
        </is>
      </c>
      <c r="D6944" s="58" t="inlineStr">
        <is>
          <t>Electronics</t>
        </is>
      </c>
      <c r="E6944" s="58" t="inlineStr">
        <is>
          <t>North</t>
        </is>
      </c>
      <c r="F6944" s="61" t="n">
        <v>1</v>
      </c>
      <c r="G6944" s="62" t="n">
        <v>2088.71</v>
      </c>
      <c r="H6944" s="63" t="n">
        <v>0.083</v>
      </c>
      <c r="I6944" s="62" t="n">
        <v>1564.74</v>
      </c>
      <c r="J6944" s="58" t="inlineStr">
        <is>
          <t>Online</t>
        </is>
      </c>
      <c r="K6944" s="62">
        <f>F6944*(G6944-H6944)</f>
        <v/>
      </c>
      <c r="L6944" s="62">
        <f>K6944-(F6944*I6944)</f>
        <v/>
      </c>
      <c r="M6944" s="64">
        <f>L6944/K6944</f>
        <v/>
      </c>
    </row>
    <row r="6945">
      <c r="A6945" s="58" t="inlineStr">
        <is>
          <t>RT20250625-06944</t>
        </is>
      </c>
      <c r="B6945" s="59" t="inlineStr">
        <is>
          <t>2025-06-25</t>
        </is>
      </c>
      <c r="C6945" s="60" t="inlineStr">
        <is>
          <t>Aurora Bedding Max-175</t>
        </is>
      </c>
      <c r="D6945" s="58" t="inlineStr">
        <is>
          <t>Home</t>
        </is>
      </c>
      <c r="E6945" s="58" t="inlineStr">
        <is>
          <t>North</t>
        </is>
      </c>
      <c r="F6945" s="61" t="n">
        <v>3</v>
      </c>
      <c r="G6945" s="62" t="n">
        <v>613.36</v>
      </c>
      <c r="H6945" s="63" t="n">
        <v>0.104</v>
      </c>
      <c r="I6945" s="62" t="n">
        <v>402.58</v>
      </c>
      <c r="J6945" s="58" t="inlineStr">
        <is>
          <t>Online</t>
        </is>
      </c>
      <c r="K6945" s="62">
        <f>F6945*(G6945-H6945)</f>
        <v/>
      </c>
      <c r="L6945" s="62">
        <f>K6945-(F6945*I6945)</f>
        <v/>
      </c>
      <c r="M6945" s="64">
        <f>L6945/K6945</f>
        <v/>
      </c>
    </row>
    <row r="6946">
      <c r="A6946" s="58" t="inlineStr">
        <is>
          <t>RT20250625-06945</t>
        </is>
      </c>
      <c r="B6946" s="59" t="inlineStr">
        <is>
          <t>2025-06-25</t>
        </is>
      </c>
      <c r="C6946" s="60" t="inlineStr">
        <is>
          <t>Orion Storage Plus-961</t>
        </is>
      </c>
      <c r="D6946" s="58" t="inlineStr">
        <is>
          <t>Office</t>
        </is>
      </c>
      <c r="E6946" s="58" t="inlineStr">
        <is>
          <t>West</t>
        </is>
      </c>
      <c r="F6946" s="61" t="n">
        <v>3</v>
      </c>
      <c r="G6946" s="62" t="n">
        <v>512.15</v>
      </c>
      <c r="H6946" s="63" t="n">
        <v>0.099</v>
      </c>
      <c r="I6946" s="62" t="n">
        <v>363.62</v>
      </c>
      <c r="J6946" s="58" t="inlineStr">
        <is>
          <t>Online</t>
        </is>
      </c>
      <c r="K6946" s="62">
        <f>F6946*(G6946-H6946)</f>
        <v/>
      </c>
      <c r="L6946" s="62">
        <f>K6946-(F6946*I6946)</f>
        <v/>
      </c>
      <c r="M6946" s="64">
        <f>L6946/K6946</f>
        <v/>
      </c>
    </row>
    <row r="6947">
      <c r="A6947" s="58" t="inlineStr">
        <is>
          <t>RT20250625-06946</t>
        </is>
      </c>
      <c r="B6947" s="59" t="inlineStr">
        <is>
          <t>2025-06-25</t>
        </is>
      </c>
      <c r="C6947" s="60" t="inlineStr">
        <is>
          <t>Vertex Supplie X-513</t>
        </is>
      </c>
      <c r="D6947" s="58" t="inlineStr">
        <is>
          <t>Office</t>
        </is>
      </c>
      <c r="E6947" s="58" t="inlineStr">
        <is>
          <t>East</t>
        </is>
      </c>
      <c r="F6947" s="61" t="n">
        <v>3</v>
      </c>
      <c r="G6947" s="62" t="n">
        <v>387.54</v>
      </c>
      <c r="H6947" s="63" t="n">
        <v>0.01</v>
      </c>
      <c r="I6947" s="62" t="n">
        <v>277.9</v>
      </c>
      <c r="J6947" s="58" t="inlineStr">
        <is>
          <t>Online</t>
        </is>
      </c>
      <c r="K6947" s="62">
        <f>F6947*(G6947-H6947)</f>
        <v/>
      </c>
      <c r="L6947" s="62">
        <f>K6947-(F6947*I6947)</f>
        <v/>
      </c>
      <c r="M6947" s="64">
        <f>L6947/K6947</f>
        <v/>
      </c>
    </row>
    <row r="6948">
      <c r="A6948" s="58" t="inlineStr">
        <is>
          <t>RT20250625-06947</t>
        </is>
      </c>
      <c r="B6948" s="59" t="inlineStr">
        <is>
          <t>2025-06-25</t>
        </is>
      </c>
      <c r="C6948" s="60" t="inlineStr">
        <is>
          <t>Orion Kid Max-640</t>
        </is>
      </c>
      <c r="D6948" s="58" t="inlineStr">
        <is>
          <t>Apparel</t>
        </is>
      </c>
      <c r="E6948" s="58" t="inlineStr">
        <is>
          <t>South</t>
        </is>
      </c>
      <c r="F6948" s="61" t="n">
        <v>4</v>
      </c>
      <c r="G6948" s="62" t="n">
        <v>129.89</v>
      </c>
      <c r="H6948" s="63" t="n">
        <v>0.08400000000000001</v>
      </c>
      <c r="I6948" s="62" t="n">
        <v>70.66</v>
      </c>
      <c r="J6948" s="58" t="inlineStr">
        <is>
          <t>Store</t>
        </is>
      </c>
      <c r="K6948" s="62">
        <f>F6948*(G6948-H6948)</f>
        <v/>
      </c>
      <c r="L6948" s="62">
        <f>K6948-(F6948*I6948)</f>
        <v/>
      </c>
      <c r="M6948" s="64">
        <f>L6948/K6948</f>
        <v/>
      </c>
    </row>
    <row r="6949">
      <c r="A6949" s="58" t="inlineStr">
        <is>
          <t>RT20250625-06948</t>
        </is>
      </c>
      <c r="B6949" s="59" t="inlineStr">
        <is>
          <t>2025-06-25</t>
        </is>
      </c>
      <c r="C6949" s="60" t="inlineStr">
        <is>
          <t>Falcon Household Plus-172</t>
        </is>
      </c>
      <c r="D6949" s="58" t="inlineStr">
        <is>
          <t>Grocery</t>
        </is>
      </c>
      <c r="E6949" s="58" t="inlineStr">
        <is>
          <t>South</t>
        </is>
      </c>
      <c r="F6949" s="61" t="n">
        <v>5</v>
      </c>
      <c r="G6949" s="62" t="n">
        <v>23.1</v>
      </c>
      <c r="H6949" s="63" t="n">
        <v>0.019</v>
      </c>
      <c r="I6949" s="62" t="n">
        <v>16.1</v>
      </c>
      <c r="J6949" s="58" t="inlineStr">
        <is>
          <t>Online</t>
        </is>
      </c>
      <c r="K6949" s="62">
        <f>F6949*(G6949-H6949)</f>
        <v/>
      </c>
      <c r="L6949" s="62">
        <f>K6949-(F6949*I6949)</f>
        <v/>
      </c>
      <c r="M6949" s="64">
        <f>L6949/K6949</f>
        <v/>
      </c>
    </row>
    <row r="6950">
      <c r="A6950" s="58" t="inlineStr">
        <is>
          <t>RT20250625-06949</t>
        </is>
      </c>
      <c r="B6950" s="59" t="inlineStr">
        <is>
          <t>2025-06-25</t>
        </is>
      </c>
      <c r="C6950" s="60" t="inlineStr">
        <is>
          <t>Aurora Printer Plus-991</t>
        </is>
      </c>
      <c r="D6950" s="58" t="inlineStr">
        <is>
          <t>Office</t>
        </is>
      </c>
      <c r="E6950" s="58" t="inlineStr">
        <is>
          <t>West</t>
        </is>
      </c>
      <c r="F6950" s="61" t="n">
        <v>1</v>
      </c>
      <c r="G6950" s="62" t="n">
        <v>465.3</v>
      </c>
      <c r="H6950" s="63" t="n">
        <v>0.063</v>
      </c>
      <c r="I6950" s="62" t="n">
        <v>377.21</v>
      </c>
      <c r="J6950" s="58" t="inlineStr">
        <is>
          <t>Online</t>
        </is>
      </c>
      <c r="K6950" s="62">
        <f>F6950*(G6950-H6950)</f>
        <v/>
      </c>
      <c r="L6950" s="62">
        <f>K6950-(F6950*I6950)</f>
        <v/>
      </c>
      <c r="M6950" s="64">
        <f>L6950/K6950</f>
        <v/>
      </c>
    </row>
    <row r="6951">
      <c r="A6951" s="58" t="inlineStr">
        <is>
          <t>RT20250625-06950</t>
        </is>
      </c>
      <c r="B6951" s="59" t="inlineStr">
        <is>
          <t>2025-06-25</t>
        </is>
      </c>
      <c r="C6951" s="60" t="inlineStr">
        <is>
          <t>Vertex Printer Max-692</t>
        </is>
      </c>
      <c r="D6951" s="58" t="inlineStr">
        <is>
          <t>Office</t>
        </is>
      </c>
      <c r="E6951" s="58" t="inlineStr">
        <is>
          <t>East</t>
        </is>
      </c>
      <c r="F6951" s="61" t="n">
        <v>1</v>
      </c>
      <c r="G6951" s="62" t="n">
        <v>172.93</v>
      </c>
      <c r="H6951" s="63" t="n">
        <v>0.102</v>
      </c>
      <c r="I6951" s="62" t="n">
        <v>125.22</v>
      </c>
      <c r="J6951" s="58" t="inlineStr">
        <is>
          <t>Store</t>
        </is>
      </c>
      <c r="K6951" s="62">
        <f>F6951*(G6951-H6951)</f>
        <v/>
      </c>
      <c r="L6951" s="62">
        <f>K6951-(F6951*I6951)</f>
        <v/>
      </c>
      <c r="M6951" s="64">
        <f>L6951/K6951</f>
        <v/>
      </c>
    </row>
    <row r="6952">
      <c r="A6952" s="58" t="inlineStr">
        <is>
          <t>RT20250625-06951</t>
        </is>
      </c>
      <c r="B6952" s="59" t="inlineStr">
        <is>
          <t>2025-06-25</t>
        </is>
      </c>
      <c r="C6952" s="60" t="inlineStr">
        <is>
          <t>Falcon Kitchen X-130</t>
        </is>
      </c>
      <c r="D6952" s="58" t="inlineStr">
        <is>
          <t>Home</t>
        </is>
      </c>
      <c r="E6952" s="58" t="inlineStr">
        <is>
          <t>Central</t>
        </is>
      </c>
      <c r="F6952" s="61" t="n">
        <v>2</v>
      </c>
      <c r="G6952" s="62" t="n">
        <v>390.32</v>
      </c>
      <c r="H6952" s="63" t="n">
        <v>0.115</v>
      </c>
      <c r="I6952" s="62" t="n">
        <v>294.92</v>
      </c>
      <c r="J6952" s="58" t="inlineStr">
        <is>
          <t>Online</t>
        </is>
      </c>
      <c r="K6952" s="62">
        <f>F6952*(G6952-H6952)</f>
        <v/>
      </c>
      <c r="L6952" s="62">
        <f>K6952-(F6952*I6952)</f>
        <v/>
      </c>
      <c r="M6952" s="64">
        <f>L6952/K6952</f>
        <v/>
      </c>
    </row>
    <row r="6953">
      <c r="A6953" s="58" t="inlineStr">
        <is>
          <t>RT20250625-06952</t>
        </is>
      </c>
      <c r="B6953" s="59" t="inlineStr">
        <is>
          <t>2025-06-25</t>
        </is>
      </c>
      <c r="C6953" s="60" t="inlineStr">
        <is>
          <t>Nimbus Storage Plus-646</t>
        </is>
      </c>
      <c r="D6953" s="58" t="inlineStr">
        <is>
          <t>Office</t>
        </is>
      </c>
      <c r="E6953" s="58" t="inlineStr">
        <is>
          <t>South</t>
        </is>
      </c>
      <c r="F6953" s="61" t="n">
        <v>1</v>
      </c>
      <c r="G6953" s="62" t="n">
        <v>439.23</v>
      </c>
      <c r="H6953" s="63" t="n">
        <v>0.016</v>
      </c>
      <c r="I6953" s="62" t="n">
        <v>320.66</v>
      </c>
      <c r="J6953" s="58" t="inlineStr">
        <is>
          <t>Online</t>
        </is>
      </c>
      <c r="K6953" s="62">
        <f>F6953*(G6953-H6953)</f>
        <v/>
      </c>
      <c r="L6953" s="62">
        <f>K6953-(F6953*I6953)</f>
        <v/>
      </c>
      <c r="M6953" s="64">
        <f>L6953/K6953</f>
        <v/>
      </c>
    </row>
    <row r="6954">
      <c r="A6954" s="58" t="inlineStr">
        <is>
          <t>RT20250625-06953</t>
        </is>
      </c>
      <c r="B6954" s="59" t="inlineStr">
        <is>
          <t>2025-06-25</t>
        </is>
      </c>
      <c r="C6954" s="60" t="inlineStr">
        <is>
          <t>Falcon Skincare X-334</t>
        </is>
      </c>
      <c r="D6954" s="58" t="inlineStr">
        <is>
          <t>Beauty</t>
        </is>
      </c>
      <c r="E6954" s="58" t="inlineStr">
        <is>
          <t>Central</t>
        </is>
      </c>
      <c r="F6954" s="61" t="n">
        <v>4</v>
      </c>
      <c r="G6954" s="62" t="n">
        <v>108.62</v>
      </c>
      <c r="H6954" s="63" t="n">
        <v>0.065</v>
      </c>
      <c r="I6954" s="62" t="n">
        <v>63.36</v>
      </c>
      <c r="J6954" s="58" t="inlineStr">
        <is>
          <t>Online</t>
        </is>
      </c>
      <c r="K6954" s="62">
        <f>F6954*(G6954-H6954)</f>
        <v/>
      </c>
      <c r="L6954" s="62">
        <f>K6954-(F6954*I6954)</f>
        <v/>
      </c>
      <c r="M6954" s="64">
        <f>L6954/K6954</f>
        <v/>
      </c>
    </row>
    <row r="6955">
      <c r="A6955" s="58" t="inlineStr">
        <is>
          <t>RT20250625-06954</t>
        </is>
      </c>
      <c r="B6955" s="59" t="inlineStr">
        <is>
          <t>2025-06-25</t>
        </is>
      </c>
      <c r="C6955" s="60" t="inlineStr">
        <is>
          <t>Metro Smartphone Max-773</t>
        </is>
      </c>
      <c r="D6955" s="58" t="inlineStr">
        <is>
          <t>Electronics</t>
        </is>
      </c>
      <c r="E6955" s="58" t="inlineStr">
        <is>
          <t>East</t>
        </is>
      </c>
      <c r="F6955" s="61" t="n">
        <v>1</v>
      </c>
      <c r="G6955" s="62" t="n">
        <v>1362.61</v>
      </c>
      <c r="H6955" s="63" t="n">
        <v>0.076</v>
      </c>
      <c r="I6955" s="62" t="n">
        <v>1138.25</v>
      </c>
      <c r="J6955" s="58" t="inlineStr">
        <is>
          <t>Online</t>
        </is>
      </c>
      <c r="K6955" s="62">
        <f>F6955*(G6955-H6955)</f>
        <v/>
      </c>
      <c r="L6955" s="62">
        <f>K6955-(F6955*I6955)</f>
        <v/>
      </c>
      <c r="M6955" s="64">
        <f>L6955/K6955</f>
        <v/>
      </c>
    </row>
    <row r="6956">
      <c r="A6956" s="58" t="inlineStr">
        <is>
          <t>RT20250625-06955</t>
        </is>
      </c>
      <c r="B6956" s="59" t="inlineStr">
        <is>
          <t>2025-06-25</t>
        </is>
      </c>
      <c r="C6956" s="60" t="inlineStr">
        <is>
          <t>Orion Kid Max-864</t>
        </is>
      </c>
      <c r="D6956" s="58" t="inlineStr">
        <is>
          <t>Apparel</t>
        </is>
      </c>
      <c r="E6956" s="58" t="inlineStr">
        <is>
          <t>East</t>
        </is>
      </c>
      <c r="F6956" s="61" t="n">
        <v>4</v>
      </c>
      <c r="G6956" s="62" t="n">
        <v>67.67</v>
      </c>
      <c r="H6956" s="63" t="n">
        <v>0.02</v>
      </c>
      <c r="I6956" s="62" t="n">
        <v>44.21</v>
      </c>
      <c r="J6956" s="58" t="inlineStr">
        <is>
          <t>Online</t>
        </is>
      </c>
      <c r="K6956" s="62">
        <f>F6956*(G6956-H6956)</f>
        <v/>
      </c>
      <c r="L6956" s="62">
        <f>K6956-(F6956*I6956)</f>
        <v/>
      </c>
      <c r="M6956" s="64">
        <f>L6956/K6956</f>
        <v/>
      </c>
    </row>
    <row r="6957">
      <c r="A6957" s="58" t="inlineStr">
        <is>
          <t>RT20250625-06956</t>
        </is>
      </c>
      <c r="B6957" s="59" t="inlineStr">
        <is>
          <t>2025-06-25</t>
        </is>
      </c>
      <c r="C6957" s="60" t="inlineStr">
        <is>
          <t>Aurora Printer Plus-723</t>
        </is>
      </c>
      <c r="D6957" s="58" t="inlineStr">
        <is>
          <t>Office</t>
        </is>
      </c>
      <c r="E6957" s="58" t="inlineStr">
        <is>
          <t>South</t>
        </is>
      </c>
      <c r="F6957" s="61" t="n">
        <v>2</v>
      </c>
      <c r="G6957" s="62" t="n">
        <v>269.66</v>
      </c>
      <c r="H6957" s="63" t="n">
        <v>0.076</v>
      </c>
      <c r="I6957" s="62" t="n">
        <v>192.12</v>
      </c>
      <c r="J6957" s="58" t="inlineStr">
        <is>
          <t>Online</t>
        </is>
      </c>
      <c r="K6957" s="62">
        <f>F6957*(G6957-H6957)</f>
        <v/>
      </c>
      <c r="L6957" s="62">
        <f>K6957-(F6957*I6957)</f>
        <v/>
      </c>
      <c r="M6957" s="64">
        <f>L6957/K6957</f>
        <v/>
      </c>
    </row>
    <row r="6958">
      <c r="A6958" s="58" t="inlineStr">
        <is>
          <t>RT20250625-06957</t>
        </is>
      </c>
      <c r="B6958" s="59" t="inlineStr">
        <is>
          <t>2025-06-25</t>
        </is>
      </c>
      <c r="C6958" s="60" t="inlineStr">
        <is>
          <t>Metro Accessorie Max-316</t>
        </is>
      </c>
      <c r="D6958" s="58" t="inlineStr">
        <is>
          <t>Apparel</t>
        </is>
      </c>
      <c r="E6958" s="58" t="inlineStr">
        <is>
          <t>West</t>
        </is>
      </c>
      <c r="F6958" s="61" t="n">
        <v>1</v>
      </c>
      <c r="G6958" s="62" t="n">
        <v>161.51</v>
      </c>
      <c r="H6958" s="63" t="n">
        <v>0.079</v>
      </c>
      <c r="I6958" s="62" t="n">
        <v>90.94</v>
      </c>
      <c r="J6958" s="58" t="inlineStr">
        <is>
          <t>Online</t>
        </is>
      </c>
      <c r="K6958" s="62">
        <f>F6958*(G6958-H6958)</f>
        <v/>
      </c>
      <c r="L6958" s="62">
        <f>K6958-(F6958*I6958)</f>
        <v/>
      </c>
      <c r="M6958" s="64">
        <f>L6958/K6958</f>
        <v/>
      </c>
    </row>
    <row r="6959">
      <c r="A6959" s="58" t="inlineStr">
        <is>
          <t>RT20250625-06958</t>
        </is>
      </c>
      <c r="B6959" s="59" t="inlineStr">
        <is>
          <t>2025-06-25</t>
        </is>
      </c>
      <c r="C6959" s="60" t="inlineStr">
        <is>
          <t>Aurora Storage Lite-774</t>
        </is>
      </c>
      <c r="D6959" s="58" t="inlineStr">
        <is>
          <t>Office</t>
        </is>
      </c>
      <c r="E6959" s="58" t="inlineStr">
        <is>
          <t>East</t>
        </is>
      </c>
      <c r="F6959" s="61" t="n">
        <v>3</v>
      </c>
      <c r="G6959" s="62" t="n">
        <v>329.81</v>
      </c>
      <c r="H6959" s="63" t="n">
        <v>0.043</v>
      </c>
      <c r="I6959" s="62" t="n">
        <v>242.49</v>
      </c>
      <c r="J6959" s="58" t="inlineStr">
        <is>
          <t>Phone</t>
        </is>
      </c>
      <c r="K6959" s="62">
        <f>F6959*(G6959-H6959)</f>
        <v/>
      </c>
      <c r="L6959" s="62">
        <f>K6959-(F6959*I6959)</f>
        <v/>
      </c>
      <c r="M6959" s="64">
        <f>L6959/K6959</f>
        <v/>
      </c>
    </row>
    <row r="6960">
      <c r="A6960" s="58" t="inlineStr">
        <is>
          <t>RT20250625-06959</t>
        </is>
      </c>
      <c r="B6960" s="59" t="inlineStr">
        <is>
          <t>2025-06-25</t>
        </is>
      </c>
      <c r="C6960" s="60" t="inlineStr">
        <is>
          <t>Orion Supplie S-612</t>
        </is>
      </c>
      <c r="D6960" s="58" t="inlineStr">
        <is>
          <t>Office</t>
        </is>
      </c>
      <c r="E6960" s="58" t="inlineStr">
        <is>
          <t>East</t>
        </is>
      </c>
      <c r="F6960" s="61" t="n">
        <v>1</v>
      </c>
      <c r="G6960" s="62" t="n">
        <v>504.76</v>
      </c>
      <c r="H6960" s="63" t="n">
        <v>0.06</v>
      </c>
      <c r="I6960" s="62" t="n">
        <v>344.74</v>
      </c>
      <c r="J6960" s="58" t="inlineStr">
        <is>
          <t>Store</t>
        </is>
      </c>
      <c r="K6960" s="62">
        <f>F6960*(G6960-H6960)</f>
        <v/>
      </c>
      <c r="L6960" s="62">
        <f>K6960-(F6960*I6960)</f>
        <v/>
      </c>
      <c r="M6960" s="64">
        <f>L6960/K6960</f>
        <v/>
      </c>
    </row>
    <row r="6961">
      <c r="A6961" s="58" t="inlineStr">
        <is>
          <t>RT20250625-06960</t>
        </is>
      </c>
      <c r="B6961" s="59" t="inlineStr">
        <is>
          <t>2025-06-25</t>
        </is>
      </c>
      <c r="C6961" s="60" t="inlineStr">
        <is>
          <t>Falcon Household Plus-796</t>
        </is>
      </c>
      <c r="D6961" s="58" t="inlineStr">
        <is>
          <t>Grocery</t>
        </is>
      </c>
      <c r="E6961" s="58" t="inlineStr">
        <is>
          <t>East</t>
        </is>
      </c>
      <c r="F6961" s="61" t="n">
        <v>1</v>
      </c>
      <c r="G6961" s="62" t="n">
        <v>23.99</v>
      </c>
      <c r="H6961" s="63" t="n">
        <v>0.061</v>
      </c>
      <c r="I6961" s="62" t="n">
        <v>17.42</v>
      </c>
      <c r="J6961" s="58" t="inlineStr">
        <is>
          <t>Online</t>
        </is>
      </c>
      <c r="K6961" s="62">
        <f>F6961*(G6961-H6961)</f>
        <v/>
      </c>
      <c r="L6961" s="62">
        <f>K6961-(F6961*I6961)</f>
        <v/>
      </c>
      <c r="M6961" s="64">
        <f>L6961/K6961</f>
        <v/>
      </c>
    </row>
    <row r="6962">
      <c r="A6962" s="58" t="inlineStr">
        <is>
          <t>RT20250625-06961</t>
        </is>
      </c>
      <c r="B6962" s="59" t="inlineStr">
        <is>
          <t>2025-06-25</t>
        </is>
      </c>
      <c r="C6962" s="60" t="inlineStr">
        <is>
          <t>Polar Snack Pro-641</t>
        </is>
      </c>
      <c r="D6962" s="58" t="inlineStr">
        <is>
          <t>Grocery</t>
        </is>
      </c>
      <c r="E6962" s="58" t="inlineStr">
        <is>
          <t>South</t>
        </is>
      </c>
      <c r="F6962" s="61" t="n">
        <v>4</v>
      </c>
      <c r="G6962" s="62" t="n">
        <v>13.48</v>
      </c>
      <c r="H6962" s="63" t="n">
        <v>0.107</v>
      </c>
      <c r="I6962" s="62" t="n">
        <v>9.699999999999999</v>
      </c>
      <c r="J6962" s="58" t="inlineStr">
        <is>
          <t>Store</t>
        </is>
      </c>
      <c r="K6962" s="62">
        <f>F6962*(G6962-H6962)</f>
        <v/>
      </c>
      <c r="L6962" s="62">
        <f>K6962-(F6962*I6962)</f>
        <v/>
      </c>
      <c r="M6962" s="64">
        <f>L6962/K6962</f>
        <v/>
      </c>
    </row>
    <row r="6963">
      <c r="A6963" s="58" t="inlineStr">
        <is>
          <t>RT20250625-06962</t>
        </is>
      </c>
      <c r="B6963" s="59" t="inlineStr">
        <is>
          <t>2025-06-25</t>
        </is>
      </c>
      <c r="C6963" s="60" t="inlineStr">
        <is>
          <t>Vertex Smartphone Pro-256</t>
        </is>
      </c>
      <c r="D6963" s="58" t="inlineStr">
        <is>
          <t>Electronics</t>
        </is>
      </c>
      <c r="E6963" s="58" t="inlineStr">
        <is>
          <t>South</t>
        </is>
      </c>
      <c r="F6963" s="61" t="n">
        <v>2</v>
      </c>
      <c r="G6963" s="62" t="n">
        <v>1322.9</v>
      </c>
      <c r="H6963" s="63" t="n">
        <v>0.013</v>
      </c>
      <c r="I6963" s="62" t="n">
        <v>938.23</v>
      </c>
      <c r="J6963" s="58" t="inlineStr">
        <is>
          <t>Store</t>
        </is>
      </c>
      <c r="K6963" s="62">
        <f>F6963*(G6963-H6963)</f>
        <v/>
      </c>
      <c r="L6963" s="62">
        <f>K6963-(F6963*I6963)</f>
        <v/>
      </c>
      <c r="M6963" s="64">
        <f>L6963/K6963</f>
        <v/>
      </c>
    </row>
    <row r="6964">
      <c r="A6964" s="58" t="inlineStr">
        <is>
          <t>RT20250625-06963</t>
        </is>
      </c>
      <c r="B6964" s="59" t="inlineStr">
        <is>
          <t>2025-06-25</t>
        </is>
      </c>
      <c r="C6964" s="60" t="inlineStr">
        <is>
          <t>Falcon Household Pro-865</t>
        </is>
      </c>
      <c r="D6964" s="58" t="inlineStr">
        <is>
          <t>Grocery</t>
        </is>
      </c>
      <c r="E6964" s="58" t="inlineStr">
        <is>
          <t>South</t>
        </is>
      </c>
      <c r="F6964" s="61" t="n">
        <v>1</v>
      </c>
      <c r="G6964" s="62" t="n">
        <v>10.03</v>
      </c>
      <c r="H6964" s="63" t="n">
        <v>0.076</v>
      </c>
      <c r="I6964" s="62" t="n">
        <v>7.88</v>
      </c>
      <c r="J6964" s="58" t="inlineStr">
        <is>
          <t>Store</t>
        </is>
      </c>
      <c r="K6964" s="62">
        <f>F6964*(G6964-H6964)</f>
        <v/>
      </c>
      <c r="L6964" s="62">
        <f>K6964-(F6964*I6964)</f>
        <v/>
      </c>
      <c r="M6964" s="64">
        <f>L6964/K6964</f>
        <v/>
      </c>
    </row>
    <row r="6965">
      <c r="A6965" s="58" t="inlineStr">
        <is>
          <t>RT20250625-06964</t>
        </is>
      </c>
      <c r="B6965" s="59" t="inlineStr">
        <is>
          <t>2025-06-25</t>
        </is>
      </c>
      <c r="C6965" s="60" t="inlineStr">
        <is>
          <t>Orion Team Sport X-926</t>
        </is>
      </c>
      <c r="D6965" s="58" t="inlineStr">
        <is>
          <t>Sports</t>
        </is>
      </c>
      <c r="E6965" s="58" t="inlineStr">
        <is>
          <t>Central</t>
        </is>
      </c>
      <c r="F6965" s="61" t="n">
        <v>1</v>
      </c>
      <c r="G6965" s="62" t="n">
        <v>315.07</v>
      </c>
      <c r="H6965" s="63" t="n">
        <v>0.063</v>
      </c>
      <c r="I6965" s="62" t="n">
        <v>212.86</v>
      </c>
      <c r="J6965" s="58" t="inlineStr">
        <is>
          <t>Phone</t>
        </is>
      </c>
      <c r="K6965" s="62">
        <f>F6965*(G6965-H6965)</f>
        <v/>
      </c>
      <c r="L6965" s="62">
        <f>K6965-(F6965*I6965)</f>
        <v/>
      </c>
      <c r="M6965" s="64">
        <f>L6965/K6965</f>
        <v/>
      </c>
    </row>
    <row r="6966">
      <c r="A6966" s="58" t="inlineStr">
        <is>
          <t>RT20250625-06965</t>
        </is>
      </c>
      <c r="B6966" s="59" t="inlineStr">
        <is>
          <t>2025-06-25</t>
        </is>
      </c>
      <c r="C6966" s="60" t="inlineStr">
        <is>
          <t>Falcon Headphone Plus-789</t>
        </is>
      </c>
      <c r="D6966" s="58" t="inlineStr">
        <is>
          <t>Electronics</t>
        </is>
      </c>
      <c r="E6966" s="58" t="inlineStr">
        <is>
          <t>East</t>
        </is>
      </c>
      <c r="F6966" s="61" t="n">
        <v>2</v>
      </c>
      <c r="G6966" s="62" t="n">
        <v>1949.04</v>
      </c>
      <c r="H6966" s="63" t="n">
        <v>0.058</v>
      </c>
      <c r="I6966" s="62" t="n">
        <v>1339.29</v>
      </c>
      <c r="J6966" s="58" t="inlineStr">
        <is>
          <t>Phone</t>
        </is>
      </c>
      <c r="K6966" s="62">
        <f>F6966*(G6966-H6966)</f>
        <v/>
      </c>
      <c r="L6966" s="62">
        <f>K6966-(F6966*I6966)</f>
        <v/>
      </c>
      <c r="M6966" s="64">
        <f>L6966/K6966</f>
        <v/>
      </c>
    </row>
    <row r="6967">
      <c r="A6967" s="58" t="inlineStr">
        <is>
          <t>RT20250625-06966</t>
        </is>
      </c>
      <c r="B6967" s="59" t="inlineStr">
        <is>
          <t>2025-06-25</t>
        </is>
      </c>
      <c r="C6967" s="60" t="inlineStr">
        <is>
          <t>Aurora Outdoor Pro-467</t>
        </is>
      </c>
      <c r="D6967" s="58" t="inlineStr">
        <is>
          <t>Sports</t>
        </is>
      </c>
      <c r="E6967" s="58" t="inlineStr">
        <is>
          <t>West</t>
        </is>
      </c>
      <c r="F6967" s="61" t="n">
        <v>3</v>
      </c>
      <c r="G6967" s="62" t="n">
        <v>311.28</v>
      </c>
      <c r="H6967" s="63" t="n">
        <v>0.057</v>
      </c>
      <c r="I6967" s="62" t="n">
        <v>184.69</v>
      </c>
      <c r="J6967" s="58" t="inlineStr">
        <is>
          <t>Store</t>
        </is>
      </c>
      <c r="K6967" s="62">
        <f>F6967*(G6967-H6967)</f>
        <v/>
      </c>
      <c r="L6967" s="62">
        <f>K6967-(F6967*I6967)</f>
        <v/>
      </c>
      <c r="M6967" s="64">
        <f>L6967/K6967</f>
        <v/>
      </c>
    </row>
    <row r="6968">
      <c r="A6968" s="58" t="inlineStr">
        <is>
          <t>RT20250625-06967</t>
        </is>
      </c>
      <c r="B6968" s="59" t="inlineStr">
        <is>
          <t>2025-06-25</t>
        </is>
      </c>
      <c r="C6968" s="60" t="inlineStr">
        <is>
          <t>Solace Kitchen Pro-510</t>
        </is>
      </c>
      <c r="D6968" s="58" t="inlineStr">
        <is>
          <t>Home</t>
        </is>
      </c>
      <c r="E6968" s="58" t="inlineStr">
        <is>
          <t>Central</t>
        </is>
      </c>
      <c r="F6968" s="61" t="n">
        <v>3</v>
      </c>
      <c r="G6968" s="62" t="n">
        <v>415.01</v>
      </c>
      <c r="H6968" s="63" t="n">
        <v>0.083</v>
      </c>
      <c r="I6968" s="62" t="n">
        <v>310.12</v>
      </c>
      <c r="J6968" s="58" t="inlineStr">
        <is>
          <t>Store</t>
        </is>
      </c>
      <c r="K6968" s="62">
        <f>F6968*(G6968-H6968)</f>
        <v/>
      </c>
      <c r="L6968" s="62">
        <f>K6968-(F6968*I6968)</f>
        <v/>
      </c>
      <c r="M6968" s="64">
        <f>L6968/K6968</f>
        <v/>
      </c>
    </row>
    <row r="6969">
      <c r="A6969" s="58" t="inlineStr">
        <is>
          <t>RT20250625-06968</t>
        </is>
      </c>
      <c r="B6969" s="59" t="inlineStr">
        <is>
          <t>2025-06-25</t>
        </is>
      </c>
      <c r="C6969" s="60" t="inlineStr">
        <is>
          <t>Solace Smartphone Lite-533</t>
        </is>
      </c>
      <c r="D6969" s="58" t="inlineStr">
        <is>
          <t>Electronics</t>
        </is>
      </c>
      <c r="E6969" s="58" t="inlineStr">
        <is>
          <t>East</t>
        </is>
      </c>
      <c r="F6969" s="61" t="n">
        <v>1</v>
      </c>
      <c r="G6969" s="62" t="n">
        <v>1158.87</v>
      </c>
      <c r="H6969" s="63" t="n">
        <v>0.021</v>
      </c>
      <c r="I6969" s="62" t="n">
        <v>933.71</v>
      </c>
      <c r="J6969" s="58" t="inlineStr">
        <is>
          <t>Online</t>
        </is>
      </c>
      <c r="K6969" s="62">
        <f>F6969*(G6969-H6969)</f>
        <v/>
      </c>
      <c r="L6969" s="62">
        <f>K6969-(F6969*I6969)</f>
        <v/>
      </c>
      <c r="M6969" s="64">
        <f>L6969/K6969</f>
        <v/>
      </c>
    </row>
    <row r="6970">
      <c r="A6970" s="58" t="inlineStr">
        <is>
          <t>RT20250625-06969</t>
        </is>
      </c>
      <c r="B6970" s="59" t="inlineStr">
        <is>
          <t>2025-06-25</t>
        </is>
      </c>
      <c r="C6970" s="60" t="inlineStr">
        <is>
          <t>Solace Kitchen X-919</t>
        </is>
      </c>
      <c r="D6970" s="58" t="inlineStr">
        <is>
          <t>Home</t>
        </is>
      </c>
      <c r="E6970" s="58" t="inlineStr">
        <is>
          <t>East</t>
        </is>
      </c>
      <c r="F6970" s="61" t="n">
        <v>2</v>
      </c>
      <c r="G6970" s="62" t="n">
        <v>318.44</v>
      </c>
      <c r="H6970" s="63" t="n">
        <v>0.018</v>
      </c>
      <c r="I6970" s="62" t="n">
        <v>267.49</v>
      </c>
      <c r="J6970" s="58" t="inlineStr">
        <is>
          <t>Online</t>
        </is>
      </c>
      <c r="K6970" s="62">
        <f>F6970*(G6970-H6970)</f>
        <v/>
      </c>
      <c r="L6970" s="62">
        <f>K6970-(F6970*I6970)</f>
        <v/>
      </c>
      <c r="M6970" s="64">
        <f>L6970/K6970</f>
        <v/>
      </c>
    </row>
    <row r="6971">
      <c r="A6971" s="58" t="inlineStr">
        <is>
          <t>RT20250625-06970</t>
        </is>
      </c>
      <c r="B6971" s="59" t="inlineStr">
        <is>
          <t>2025-06-25</t>
        </is>
      </c>
      <c r="C6971" s="60" t="inlineStr">
        <is>
          <t>Polar Decor Plus-505</t>
        </is>
      </c>
      <c r="D6971" s="58" t="inlineStr">
        <is>
          <t>Home</t>
        </is>
      </c>
      <c r="E6971" s="58" t="inlineStr">
        <is>
          <t>North</t>
        </is>
      </c>
      <c r="F6971" s="61" t="n">
        <v>1</v>
      </c>
      <c r="G6971" s="62" t="n">
        <v>314.7</v>
      </c>
      <c r="H6971" s="63" t="n">
        <v>0.089</v>
      </c>
      <c r="I6971" s="62" t="n">
        <v>194.12</v>
      </c>
      <c r="J6971" s="58" t="inlineStr">
        <is>
          <t>Online</t>
        </is>
      </c>
      <c r="K6971" s="62">
        <f>F6971*(G6971-H6971)</f>
        <v/>
      </c>
      <c r="L6971" s="62">
        <f>K6971-(F6971*I6971)</f>
        <v/>
      </c>
      <c r="M6971" s="64">
        <f>L6971/K6971</f>
        <v/>
      </c>
    </row>
    <row r="6972">
      <c r="A6972" s="58" t="inlineStr">
        <is>
          <t>RT20250625-06971</t>
        </is>
      </c>
      <c r="B6972" s="59" t="inlineStr">
        <is>
          <t>2025-06-25</t>
        </is>
      </c>
      <c r="C6972" s="60" t="inlineStr">
        <is>
          <t>Metro Smartphone Max-773</t>
        </is>
      </c>
      <c r="D6972" s="58" t="inlineStr">
        <is>
          <t>Electronics</t>
        </is>
      </c>
      <c r="E6972" s="58" t="inlineStr">
        <is>
          <t>North</t>
        </is>
      </c>
      <c r="F6972" s="61" t="n">
        <v>1</v>
      </c>
      <c r="G6972" s="62" t="n">
        <v>1697.54</v>
      </c>
      <c r="H6972" s="63" t="n">
        <v>0.078</v>
      </c>
      <c r="I6972" s="62" t="n">
        <v>1129.03</v>
      </c>
      <c r="J6972" s="58" t="inlineStr">
        <is>
          <t>Store</t>
        </is>
      </c>
      <c r="K6972" s="62">
        <f>F6972*(G6972-H6972)</f>
        <v/>
      </c>
      <c r="L6972" s="62">
        <f>K6972-(F6972*I6972)</f>
        <v/>
      </c>
      <c r="M6972" s="64">
        <f>L6972/K6972</f>
        <v/>
      </c>
    </row>
    <row r="6973">
      <c r="A6973" s="58" t="inlineStr">
        <is>
          <t>RT20250625-06972</t>
        </is>
      </c>
      <c r="B6973" s="59" t="inlineStr">
        <is>
          <t>2025-06-25</t>
        </is>
      </c>
      <c r="C6973" s="60" t="inlineStr">
        <is>
          <t>Metro Smartphone Max-773</t>
        </is>
      </c>
      <c r="D6973" s="58" t="inlineStr">
        <is>
          <t>Electronics</t>
        </is>
      </c>
      <c r="E6973" s="58" t="inlineStr">
        <is>
          <t>Central</t>
        </is>
      </c>
      <c r="F6973" s="61" t="n">
        <v>1</v>
      </c>
      <c r="G6973" s="62" t="n">
        <v>1450.29</v>
      </c>
      <c r="H6973" s="63" t="n">
        <v>0.07199999999999999</v>
      </c>
      <c r="I6973" s="62" t="n">
        <v>1120.45</v>
      </c>
      <c r="J6973" s="58" t="inlineStr">
        <is>
          <t>Store</t>
        </is>
      </c>
      <c r="K6973" s="62">
        <f>F6973*(G6973-H6973)</f>
        <v/>
      </c>
      <c r="L6973" s="62">
        <f>K6973-(F6973*I6973)</f>
        <v/>
      </c>
      <c r="M6973" s="64">
        <f>L6973/K6973</f>
        <v/>
      </c>
    </row>
    <row r="6974">
      <c r="A6974" s="58" t="inlineStr">
        <is>
          <t>RT20250625-06973</t>
        </is>
      </c>
      <c r="B6974" s="59" t="inlineStr">
        <is>
          <t>2025-06-25</t>
        </is>
      </c>
      <c r="C6974" s="60" t="inlineStr">
        <is>
          <t>Falcon Skincare Max-151</t>
        </is>
      </c>
      <c r="D6974" s="58" t="inlineStr">
        <is>
          <t>Beauty</t>
        </is>
      </c>
      <c r="E6974" s="58" t="inlineStr">
        <is>
          <t>South</t>
        </is>
      </c>
      <c r="F6974" s="61" t="n">
        <v>5</v>
      </c>
      <c r="G6974" s="62" t="n">
        <v>95.01000000000001</v>
      </c>
      <c r="H6974" s="63" t="n">
        <v>0.046</v>
      </c>
      <c r="I6974" s="62" t="n">
        <v>60.06</v>
      </c>
      <c r="J6974" s="58" t="inlineStr">
        <is>
          <t>Store</t>
        </is>
      </c>
      <c r="K6974" s="62">
        <f>F6974*(G6974-H6974)</f>
        <v/>
      </c>
      <c r="L6974" s="62">
        <f>K6974-(F6974*I6974)</f>
        <v/>
      </c>
      <c r="M6974" s="64">
        <f>L6974/K6974</f>
        <v/>
      </c>
    </row>
    <row r="6975">
      <c r="A6975" s="58" t="inlineStr">
        <is>
          <t>RT20250625-06974</t>
        </is>
      </c>
      <c r="B6975" s="59" t="inlineStr">
        <is>
          <t>2025-06-25</t>
        </is>
      </c>
      <c r="C6975" s="60" t="inlineStr">
        <is>
          <t>Falcon Beverage Max-702</t>
        </is>
      </c>
      <c r="D6975" s="58" t="inlineStr">
        <is>
          <t>Grocery</t>
        </is>
      </c>
      <c r="E6975" s="58" t="inlineStr">
        <is>
          <t>West</t>
        </is>
      </c>
      <c r="F6975" s="61" t="n">
        <v>2</v>
      </c>
      <c r="G6975" s="62" t="n">
        <v>26.69</v>
      </c>
      <c r="H6975" s="63" t="n">
        <v>0.073</v>
      </c>
      <c r="I6975" s="62" t="n">
        <v>20.04</v>
      </c>
      <c r="J6975" s="58" t="inlineStr">
        <is>
          <t>Online</t>
        </is>
      </c>
      <c r="K6975" s="62">
        <f>F6975*(G6975-H6975)</f>
        <v/>
      </c>
      <c r="L6975" s="62">
        <f>K6975-(F6975*I6975)</f>
        <v/>
      </c>
      <c r="M6975" s="64">
        <f>L6975/K6975</f>
        <v/>
      </c>
    </row>
    <row r="6976">
      <c r="A6976" s="58" t="inlineStr">
        <is>
          <t>RT20250625-06975</t>
        </is>
      </c>
      <c r="B6976" s="59" t="inlineStr">
        <is>
          <t>2025-06-25</t>
        </is>
      </c>
      <c r="C6976" s="60" t="inlineStr">
        <is>
          <t>Polar Women Max-927</t>
        </is>
      </c>
      <c r="D6976" s="58" t="inlineStr">
        <is>
          <t>Apparel</t>
        </is>
      </c>
      <c r="E6976" s="58" t="inlineStr">
        <is>
          <t>Central</t>
        </is>
      </c>
      <c r="F6976" s="61" t="n">
        <v>2</v>
      </c>
      <c r="G6976" s="62" t="n">
        <v>120.24</v>
      </c>
      <c r="H6976" s="63" t="n">
        <v>0.08699999999999999</v>
      </c>
      <c r="I6976" s="62" t="n">
        <v>67.19</v>
      </c>
      <c r="J6976" s="58" t="inlineStr">
        <is>
          <t>Store</t>
        </is>
      </c>
      <c r="K6976" s="62">
        <f>F6976*(G6976-H6976)</f>
        <v/>
      </c>
      <c r="L6976" s="62">
        <f>K6976-(F6976*I6976)</f>
        <v/>
      </c>
      <c r="M6976" s="64">
        <f>L6976/K6976</f>
        <v/>
      </c>
    </row>
    <row r="6977">
      <c r="A6977" s="58" t="inlineStr">
        <is>
          <t>RT20250625-06976</t>
        </is>
      </c>
      <c r="B6977" s="59" t="inlineStr">
        <is>
          <t>2025-06-25</t>
        </is>
      </c>
      <c r="C6977" s="60" t="inlineStr">
        <is>
          <t>Aurora Appliance Lite-109</t>
        </is>
      </c>
      <c r="D6977" s="58" t="inlineStr">
        <is>
          <t>Home</t>
        </is>
      </c>
      <c r="E6977" s="58" t="inlineStr">
        <is>
          <t>West</t>
        </is>
      </c>
      <c r="F6977" s="61" t="n">
        <v>3</v>
      </c>
      <c r="G6977" s="62" t="n">
        <v>293.87</v>
      </c>
      <c r="H6977" s="63" t="n">
        <v>0.05</v>
      </c>
      <c r="I6977" s="62" t="n">
        <v>202.84</v>
      </c>
      <c r="J6977" s="58" t="inlineStr">
        <is>
          <t>Store</t>
        </is>
      </c>
      <c r="K6977" s="62">
        <f>F6977*(G6977-H6977)</f>
        <v/>
      </c>
      <c r="L6977" s="62">
        <f>K6977-(F6977*I6977)</f>
        <v/>
      </c>
      <c r="M6977" s="64">
        <f>L6977/K6977</f>
        <v/>
      </c>
    </row>
    <row r="6978">
      <c r="A6978" s="58" t="inlineStr">
        <is>
          <t>RT20250625-06977</t>
        </is>
      </c>
      <c r="B6978" s="59" t="inlineStr">
        <is>
          <t>2025-06-25</t>
        </is>
      </c>
      <c r="C6978" s="60" t="inlineStr">
        <is>
          <t>Vertex Smartphone Pro-256</t>
        </is>
      </c>
      <c r="D6978" s="58" t="inlineStr">
        <is>
          <t>Electronics</t>
        </is>
      </c>
      <c r="E6978" s="58" t="inlineStr">
        <is>
          <t>West</t>
        </is>
      </c>
      <c r="F6978" s="61" t="n">
        <v>2</v>
      </c>
      <c r="G6978" s="62" t="n">
        <v>1216.65</v>
      </c>
      <c r="H6978" s="63" t="n">
        <v>0.063</v>
      </c>
      <c r="I6978" s="62" t="n">
        <v>901.01</v>
      </c>
      <c r="J6978" s="58" t="inlineStr">
        <is>
          <t>Store</t>
        </is>
      </c>
      <c r="K6978" s="62">
        <f>F6978*(G6978-H6978)</f>
        <v/>
      </c>
      <c r="L6978" s="62">
        <f>K6978-(F6978*I6978)</f>
        <v/>
      </c>
      <c r="M6978" s="64">
        <f>L6978/K6978</f>
        <v/>
      </c>
    </row>
    <row r="6979">
      <c r="A6979" s="58" t="inlineStr">
        <is>
          <t>RT20250625-06978</t>
        </is>
      </c>
      <c r="B6979" s="59" t="inlineStr">
        <is>
          <t>2025-06-25</t>
        </is>
      </c>
      <c r="C6979" s="60" t="inlineStr">
        <is>
          <t>Falcon Household Plus-172</t>
        </is>
      </c>
      <c r="D6979" s="58" t="inlineStr">
        <is>
          <t>Grocery</t>
        </is>
      </c>
      <c r="E6979" s="58" t="inlineStr">
        <is>
          <t>Central</t>
        </is>
      </c>
      <c r="F6979" s="61" t="n">
        <v>2</v>
      </c>
      <c r="G6979" s="62" t="n">
        <v>20.08</v>
      </c>
      <c r="H6979" s="63" t="n">
        <v>0.064</v>
      </c>
      <c r="I6979" s="62" t="n">
        <v>16.14</v>
      </c>
      <c r="J6979" s="58" t="inlineStr">
        <is>
          <t>Online</t>
        </is>
      </c>
      <c r="K6979" s="62">
        <f>F6979*(G6979-H6979)</f>
        <v/>
      </c>
      <c r="L6979" s="62">
        <f>K6979-(F6979*I6979)</f>
        <v/>
      </c>
      <c r="M6979" s="64">
        <f>L6979/K6979</f>
        <v/>
      </c>
    </row>
    <row r="6980">
      <c r="A6980" s="58" t="inlineStr">
        <is>
          <t>RT20250625-06979</t>
        </is>
      </c>
      <c r="B6980" s="59" t="inlineStr">
        <is>
          <t>2025-06-25</t>
        </is>
      </c>
      <c r="C6980" s="60" t="inlineStr">
        <is>
          <t>Solace Kitchen X-919</t>
        </is>
      </c>
      <c r="D6980" s="58" t="inlineStr">
        <is>
          <t>Home</t>
        </is>
      </c>
      <c r="E6980" s="58" t="inlineStr">
        <is>
          <t>West</t>
        </is>
      </c>
      <c r="F6980" s="61" t="n">
        <v>1</v>
      </c>
      <c r="G6980" s="62" t="n">
        <v>421.62</v>
      </c>
      <c r="H6980" s="63" t="n">
        <v>0.063</v>
      </c>
      <c r="I6980" s="62" t="n">
        <v>257.17</v>
      </c>
      <c r="J6980" s="58" t="inlineStr">
        <is>
          <t>Store</t>
        </is>
      </c>
      <c r="K6980" s="62">
        <f>F6980*(G6980-H6980)</f>
        <v/>
      </c>
      <c r="L6980" s="62">
        <f>K6980-(F6980*I6980)</f>
        <v/>
      </c>
      <c r="M6980" s="64">
        <f>L6980/K6980</f>
        <v/>
      </c>
    </row>
    <row r="6981">
      <c r="A6981" s="58" t="inlineStr">
        <is>
          <t>RT20250625-06980</t>
        </is>
      </c>
      <c r="B6981" s="59" t="inlineStr">
        <is>
          <t>2025-06-25</t>
        </is>
      </c>
      <c r="C6981" s="60" t="inlineStr">
        <is>
          <t>Falcon Storage X-734</t>
        </is>
      </c>
      <c r="D6981" s="58" t="inlineStr">
        <is>
          <t>Office</t>
        </is>
      </c>
      <c r="E6981" s="58" t="inlineStr">
        <is>
          <t>Central</t>
        </is>
      </c>
      <c r="F6981" s="61" t="n">
        <v>1</v>
      </c>
      <c r="G6981" s="62" t="n">
        <v>351.57</v>
      </c>
      <c r="H6981" s="63" t="n">
        <v>0.043</v>
      </c>
      <c r="I6981" s="62" t="n">
        <v>276.2</v>
      </c>
      <c r="J6981" s="58" t="inlineStr">
        <is>
          <t>Online</t>
        </is>
      </c>
      <c r="K6981" s="62">
        <f>F6981*(G6981-H6981)</f>
        <v/>
      </c>
      <c r="L6981" s="62">
        <f>K6981-(F6981*I6981)</f>
        <v/>
      </c>
      <c r="M6981" s="64">
        <f>L6981/K6981</f>
        <v/>
      </c>
    </row>
    <row r="6982">
      <c r="A6982" s="58" t="inlineStr">
        <is>
          <t>RT20250625-06981</t>
        </is>
      </c>
      <c r="B6982" s="59" t="inlineStr">
        <is>
          <t>2025-06-25</t>
        </is>
      </c>
      <c r="C6982" s="60" t="inlineStr">
        <is>
          <t>Aurora Wearable Lite-704</t>
        </is>
      </c>
      <c r="D6982" s="58" t="inlineStr">
        <is>
          <t>Electronics</t>
        </is>
      </c>
      <c r="E6982" s="58" t="inlineStr">
        <is>
          <t>South</t>
        </is>
      </c>
      <c r="F6982" s="61" t="n">
        <v>2</v>
      </c>
      <c r="G6982" s="62" t="n">
        <v>1990.49</v>
      </c>
      <c r="H6982" s="63" t="n">
        <v>0.08500000000000001</v>
      </c>
      <c r="I6982" s="62" t="n">
        <v>1431.73</v>
      </c>
      <c r="J6982" s="58" t="inlineStr">
        <is>
          <t>Online</t>
        </is>
      </c>
      <c r="K6982" s="62">
        <f>F6982*(G6982-H6982)</f>
        <v/>
      </c>
      <c r="L6982" s="62">
        <f>K6982-(F6982*I6982)</f>
        <v/>
      </c>
      <c r="M6982" s="64">
        <f>L6982/K6982</f>
        <v/>
      </c>
    </row>
    <row r="6983">
      <c r="A6983" s="58" t="inlineStr">
        <is>
          <t>RT20250625-06982</t>
        </is>
      </c>
      <c r="B6983" s="59" t="inlineStr">
        <is>
          <t>2025-06-25</t>
        </is>
      </c>
      <c r="C6983" s="60" t="inlineStr">
        <is>
          <t>Aurora Kid Plus-151</t>
        </is>
      </c>
      <c r="D6983" s="58" t="inlineStr">
        <is>
          <t>Apparel</t>
        </is>
      </c>
      <c r="E6983" s="58" t="inlineStr">
        <is>
          <t>South</t>
        </is>
      </c>
      <c r="F6983" s="61" t="n">
        <v>4</v>
      </c>
      <c r="G6983" s="62" t="n">
        <v>120.66</v>
      </c>
      <c r="H6983" s="63" t="n">
        <v>0.026</v>
      </c>
      <c r="I6983" s="62" t="n">
        <v>64.11</v>
      </c>
      <c r="J6983" s="58" t="inlineStr">
        <is>
          <t>Online</t>
        </is>
      </c>
      <c r="K6983" s="62">
        <f>F6983*(G6983-H6983)</f>
        <v/>
      </c>
      <c r="L6983" s="62">
        <f>K6983-(F6983*I6983)</f>
        <v/>
      </c>
      <c r="M6983" s="64">
        <f>L6983/K6983</f>
        <v/>
      </c>
    </row>
    <row r="6984">
      <c r="A6984" s="58" t="inlineStr">
        <is>
          <t>RT20250625-06983</t>
        </is>
      </c>
      <c r="B6984" s="59" t="inlineStr">
        <is>
          <t>2025-06-25</t>
        </is>
      </c>
      <c r="C6984" s="60" t="inlineStr">
        <is>
          <t>Aurora Bedding Plus-187</t>
        </is>
      </c>
      <c r="D6984" s="58" t="inlineStr">
        <is>
          <t>Home</t>
        </is>
      </c>
      <c r="E6984" s="58" t="inlineStr">
        <is>
          <t>West</t>
        </is>
      </c>
      <c r="F6984" s="61" t="n">
        <v>1</v>
      </c>
      <c r="G6984" s="62" t="n">
        <v>308.75</v>
      </c>
      <c r="H6984" s="63" t="n">
        <v>0.035</v>
      </c>
      <c r="I6984" s="62" t="n">
        <v>212.61</v>
      </c>
      <c r="J6984" s="58" t="inlineStr">
        <is>
          <t>Phone</t>
        </is>
      </c>
      <c r="K6984" s="62">
        <f>F6984*(G6984-H6984)</f>
        <v/>
      </c>
      <c r="L6984" s="62">
        <f>K6984-(F6984*I6984)</f>
        <v/>
      </c>
      <c r="M6984" s="64">
        <f>L6984/K6984</f>
        <v/>
      </c>
    </row>
    <row r="6985">
      <c r="A6985" s="58" t="inlineStr">
        <is>
          <t>RT20250625-06984</t>
        </is>
      </c>
      <c r="B6985" s="59" t="inlineStr">
        <is>
          <t>2025-06-25</t>
        </is>
      </c>
      <c r="C6985" s="60" t="inlineStr">
        <is>
          <t>Aurora Fitnes Lite-194</t>
        </is>
      </c>
      <c r="D6985" s="58" t="inlineStr">
        <is>
          <t>Sports</t>
        </is>
      </c>
      <c r="E6985" s="58" t="inlineStr">
        <is>
          <t>East</t>
        </is>
      </c>
      <c r="F6985" s="61" t="n">
        <v>1</v>
      </c>
      <c r="G6985" s="62" t="n">
        <v>702</v>
      </c>
      <c r="H6985" s="63" t="n">
        <v>0.052</v>
      </c>
      <c r="I6985" s="62" t="n">
        <v>472.58</v>
      </c>
      <c r="J6985" s="58" t="inlineStr">
        <is>
          <t>Store</t>
        </is>
      </c>
      <c r="K6985" s="62">
        <f>F6985*(G6985-H6985)</f>
        <v/>
      </c>
      <c r="L6985" s="62">
        <f>K6985-(F6985*I6985)</f>
        <v/>
      </c>
      <c r="M6985" s="64">
        <f>L6985/K6985</f>
        <v/>
      </c>
    </row>
    <row r="6986">
      <c r="A6986" s="58" t="inlineStr">
        <is>
          <t>RT20250625-06985</t>
        </is>
      </c>
      <c r="B6986" s="59" t="inlineStr">
        <is>
          <t>2025-06-25</t>
        </is>
      </c>
      <c r="C6986" s="60" t="inlineStr">
        <is>
          <t>Orion Fragrance Lite-785</t>
        </is>
      </c>
      <c r="D6986" s="58" t="inlineStr">
        <is>
          <t>Beauty</t>
        </is>
      </c>
      <c r="E6986" s="58" t="inlineStr">
        <is>
          <t>South</t>
        </is>
      </c>
      <c r="F6986" s="61" t="n">
        <v>3</v>
      </c>
      <c r="G6986" s="62" t="n">
        <v>42.54</v>
      </c>
      <c r="H6986" s="63" t="n">
        <v>0.077</v>
      </c>
      <c r="I6986" s="62" t="n">
        <v>27.25</v>
      </c>
      <c r="J6986" s="58" t="inlineStr">
        <is>
          <t>Online</t>
        </is>
      </c>
      <c r="K6986" s="62">
        <f>F6986*(G6986-H6986)</f>
        <v/>
      </c>
      <c r="L6986" s="62">
        <f>K6986-(F6986*I6986)</f>
        <v/>
      </c>
      <c r="M6986" s="64">
        <f>L6986/K6986</f>
        <v/>
      </c>
    </row>
    <row r="6987">
      <c r="A6987" s="58" t="inlineStr">
        <is>
          <t>RT20250625-06986</t>
        </is>
      </c>
      <c r="B6987" s="59" t="inlineStr">
        <is>
          <t>2025-06-25</t>
        </is>
      </c>
      <c r="C6987" s="60" t="inlineStr">
        <is>
          <t>Solace Laptop S-367</t>
        </is>
      </c>
      <c r="D6987" s="58" t="inlineStr">
        <is>
          <t>Electronics</t>
        </is>
      </c>
      <c r="E6987" s="58" t="inlineStr">
        <is>
          <t>East</t>
        </is>
      </c>
      <c r="F6987" s="61" t="n">
        <v>2</v>
      </c>
      <c r="G6987" s="62" t="n">
        <v>2137.83</v>
      </c>
      <c r="H6987" s="63" t="n">
        <v>0.053</v>
      </c>
      <c r="I6987" s="62" t="n">
        <v>1568.99</v>
      </c>
      <c r="J6987" s="58" t="inlineStr">
        <is>
          <t>Store</t>
        </is>
      </c>
      <c r="K6987" s="62">
        <f>F6987*(G6987-H6987)</f>
        <v/>
      </c>
      <c r="L6987" s="62">
        <f>K6987-(F6987*I6987)</f>
        <v/>
      </c>
      <c r="M6987" s="64">
        <f>L6987/K6987</f>
        <v/>
      </c>
    </row>
    <row r="6988">
      <c r="A6988" s="58" t="inlineStr">
        <is>
          <t>RT20250625-06987</t>
        </is>
      </c>
      <c r="B6988" s="59" t="inlineStr">
        <is>
          <t>2025-06-25</t>
        </is>
      </c>
      <c r="C6988" s="60" t="inlineStr">
        <is>
          <t>Metro Laptop Plus-376</t>
        </is>
      </c>
      <c r="D6988" s="58" t="inlineStr">
        <is>
          <t>Electronics</t>
        </is>
      </c>
      <c r="E6988" s="58" t="inlineStr">
        <is>
          <t>East</t>
        </is>
      </c>
      <c r="F6988" s="61" t="n">
        <v>1</v>
      </c>
      <c r="G6988" s="62" t="n">
        <v>1452.2</v>
      </c>
      <c r="H6988" s="63" t="n">
        <v>0.065</v>
      </c>
      <c r="I6988" s="62" t="n">
        <v>1040.99</v>
      </c>
      <c r="J6988" s="58" t="inlineStr">
        <is>
          <t>Online</t>
        </is>
      </c>
      <c r="K6988" s="62">
        <f>F6988*(G6988-H6988)</f>
        <v/>
      </c>
      <c r="L6988" s="62">
        <f>K6988-(F6988*I6988)</f>
        <v/>
      </c>
      <c r="M6988" s="64">
        <f>L6988/K6988</f>
        <v/>
      </c>
    </row>
    <row r="6989">
      <c r="A6989" s="58" t="inlineStr">
        <is>
          <t>RT20250625-06988</t>
        </is>
      </c>
      <c r="B6989" s="59" t="inlineStr">
        <is>
          <t>2025-06-25</t>
        </is>
      </c>
      <c r="C6989" s="60" t="inlineStr">
        <is>
          <t>Vertex Pantry Pro-165</t>
        </is>
      </c>
      <c r="D6989" s="58" t="inlineStr">
        <is>
          <t>Grocery</t>
        </is>
      </c>
      <c r="E6989" s="58" t="inlineStr">
        <is>
          <t>East</t>
        </is>
      </c>
      <c r="F6989" s="61" t="n">
        <v>6</v>
      </c>
      <c r="G6989" s="62" t="n">
        <v>16.55</v>
      </c>
      <c r="H6989" s="63" t="n">
        <v>0.097</v>
      </c>
      <c r="I6989" s="62" t="n">
        <v>11.72</v>
      </c>
      <c r="J6989" s="58" t="inlineStr">
        <is>
          <t>Store</t>
        </is>
      </c>
      <c r="K6989" s="62">
        <f>F6989*(G6989-H6989)</f>
        <v/>
      </c>
      <c r="L6989" s="62">
        <f>K6989-(F6989*I6989)</f>
        <v/>
      </c>
      <c r="M6989" s="64">
        <f>L6989/K6989</f>
        <v/>
      </c>
    </row>
    <row r="6990">
      <c r="A6990" s="58" t="inlineStr">
        <is>
          <t>RT20250625-06989</t>
        </is>
      </c>
      <c r="B6990" s="59" t="inlineStr">
        <is>
          <t>2025-06-25</t>
        </is>
      </c>
      <c r="C6990" s="60" t="inlineStr">
        <is>
          <t>Metro Laptop Plus-376</t>
        </is>
      </c>
      <c r="D6990" s="58" t="inlineStr">
        <is>
          <t>Electronics</t>
        </is>
      </c>
      <c r="E6990" s="58" t="inlineStr">
        <is>
          <t>West</t>
        </is>
      </c>
      <c r="F6990" s="61" t="n">
        <v>1</v>
      </c>
      <c r="G6990" s="62" t="n">
        <v>1292.13</v>
      </c>
      <c r="H6990" s="63" t="n">
        <v>0.078</v>
      </c>
      <c r="I6990" s="62" t="n">
        <v>1032.2</v>
      </c>
      <c r="J6990" s="58" t="inlineStr">
        <is>
          <t>Phone</t>
        </is>
      </c>
      <c r="K6990" s="62">
        <f>F6990*(G6990-H6990)</f>
        <v/>
      </c>
      <c r="L6990" s="62">
        <f>K6990-(F6990*I6990)</f>
        <v/>
      </c>
      <c r="M6990" s="64">
        <f>L6990/K6990</f>
        <v/>
      </c>
    </row>
    <row r="6991">
      <c r="A6991" s="58" t="inlineStr">
        <is>
          <t>RT20250626-06990</t>
        </is>
      </c>
      <c r="B6991" s="59" t="inlineStr">
        <is>
          <t>2025-06-26</t>
        </is>
      </c>
      <c r="C6991" s="60" t="inlineStr">
        <is>
          <t>Aurora Wearable Lite-162</t>
        </is>
      </c>
      <c r="D6991" s="58" t="inlineStr">
        <is>
          <t>Electronics</t>
        </is>
      </c>
      <c r="E6991" s="58" t="inlineStr">
        <is>
          <t>South</t>
        </is>
      </c>
      <c r="F6991" s="61" t="n">
        <v>2</v>
      </c>
      <c r="G6991" s="62" t="n">
        <v>1496.15</v>
      </c>
      <c r="H6991" s="63" t="n">
        <v>0.108</v>
      </c>
      <c r="I6991" s="62" t="n">
        <v>1200.74</v>
      </c>
      <c r="J6991" s="58" t="inlineStr">
        <is>
          <t>Store</t>
        </is>
      </c>
      <c r="K6991" s="62">
        <f>F6991*(G6991-H6991)</f>
        <v/>
      </c>
      <c r="L6991" s="62">
        <f>K6991-(F6991*I6991)</f>
        <v/>
      </c>
      <c r="M6991" s="64">
        <f>L6991/K6991</f>
        <v/>
      </c>
    </row>
    <row r="6992">
      <c r="A6992" s="58" t="inlineStr">
        <is>
          <t>RT20250626-06991</t>
        </is>
      </c>
      <c r="B6992" s="59" t="inlineStr">
        <is>
          <t>2025-06-26</t>
        </is>
      </c>
      <c r="C6992" s="60" t="inlineStr">
        <is>
          <t>Vertex Appliance S-159</t>
        </is>
      </c>
      <c r="D6992" s="58" t="inlineStr">
        <is>
          <t>Home</t>
        </is>
      </c>
      <c r="E6992" s="58" t="inlineStr">
        <is>
          <t>East</t>
        </is>
      </c>
      <c r="F6992" s="61" t="n">
        <v>2</v>
      </c>
      <c r="G6992" s="62" t="n">
        <v>497.53</v>
      </c>
      <c r="H6992" s="63" t="n">
        <v>0.08699999999999999</v>
      </c>
      <c r="I6992" s="62" t="n">
        <v>290.79</v>
      </c>
      <c r="J6992" s="58" t="inlineStr">
        <is>
          <t>Store</t>
        </is>
      </c>
      <c r="K6992" s="62">
        <f>F6992*(G6992-H6992)</f>
        <v/>
      </c>
      <c r="L6992" s="62">
        <f>K6992-(F6992*I6992)</f>
        <v/>
      </c>
      <c r="M6992" s="64">
        <f>L6992/K6992</f>
        <v/>
      </c>
    </row>
    <row r="6993">
      <c r="A6993" s="58" t="inlineStr">
        <is>
          <t>RT20250626-06992</t>
        </is>
      </c>
      <c r="B6993" s="59" t="inlineStr">
        <is>
          <t>2025-06-26</t>
        </is>
      </c>
      <c r="C6993" s="60" t="inlineStr">
        <is>
          <t>Solace Laptop S-367</t>
        </is>
      </c>
      <c r="D6993" s="58" t="inlineStr">
        <is>
          <t>Electronics</t>
        </is>
      </c>
      <c r="E6993" s="58" t="inlineStr">
        <is>
          <t>Central</t>
        </is>
      </c>
      <c r="F6993" s="61" t="n">
        <v>1</v>
      </c>
      <c r="G6993" s="62" t="n">
        <v>2065.06</v>
      </c>
      <c r="H6993" s="63" t="n">
        <v>0.014</v>
      </c>
      <c r="I6993" s="62" t="n">
        <v>1571.16</v>
      </c>
      <c r="J6993" s="58" t="inlineStr">
        <is>
          <t>Online</t>
        </is>
      </c>
      <c r="K6993" s="62">
        <f>F6993*(G6993-H6993)</f>
        <v/>
      </c>
      <c r="L6993" s="62">
        <f>K6993-(F6993*I6993)</f>
        <v/>
      </c>
      <c r="M6993" s="64">
        <f>L6993/K6993</f>
        <v/>
      </c>
    </row>
    <row r="6994">
      <c r="A6994" s="58" t="inlineStr">
        <is>
          <t>RT20250626-06993</t>
        </is>
      </c>
      <c r="B6994" s="59" t="inlineStr">
        <is>
          <t>2025-06-26</t>
        </is>
      </c>
      <c r="C6994" s="60" t="inlineStr">
        <is>
          <t>Polar Fragrance Pro-750</t>
        </is>
      </c>
      <c r="D6994" s="58" t="inlineStr">
        <is>
          <t>Beauty</t>
        </is>
      </c>
      <c r="E6994" s="58" t="inlineStr">
        <is>
          <t>East</t>
        </is>
      </c>
      <c r="F6994" s="61" t="n">
        <v>3</v>
      </c>
      <c r="G6994" s="62" t="n">
        <v>65.79000000000001</v>
      </c>
      <c r="H6994" s="63" t="n">
        <v>0.04</v>
      </c>
      <c r="I6994" s="62" t="n">
        <v>37.79</v>
      </c>
      <c r="J6994" s="58" t="inlineStr">
        <is>
          <t>Store</t>
        </is>
      </c>
      <c r="K6994" s="62">
        <f>F6994*(G6994-H6994)</f>
        <v/>
      </c>
      <c r="L6994" s="62">
        <f>K6994-(F6994*I6994)</f>
        <v/>
      </c>
      <c r="M6994" s="64">
        <f>L6994/K6994</f>
        <v/>
      </c>
    </row>
    <row r="6995">
      <c r="A6995" s="58" t="inlineStr">
        <is>
          <t>RT20250626-06994</t>
        </is>
      </c>
      <c r="B6995" s="59" t="inlineStr">
        <is>
          <t>2025-06-26</t>
        </is>
      </c>
      <c r="C6995" s="60" t="inlineStr">
        <is>
          <t>Vertex Smartphone Lite-267</t>
        </is>
      </c>
      <c r="D6995" s="58" t="inlineStr">
        <is>
          <t>Electronics</t>
        </is>
      </c>
      <c r="E6995" s="58" t="inlineStr">
        <is>
          <t>North</t>
        </is>
      </c>
      <c r="F6995" s="61" t="n">
        <v>1</v>
      </c>
      <c r="G6995" s="62" t="n">
        <v>1413.19</v>
      </c>
      <c r="H6995" s="63" t="n">
        <v>0.08599999999999999</v>
      </c>
      <c r="I6995" s="62" t="n">
        <v>956.8099999999999</v>
      </c>
      <c r="J6995" s="58" t="inlineStr">
        <is>
          <t>Store</t>
        </is>
      </c>
      <c r="K6995" s="62">
        <f>F6995*(G6995-H6995)</f>
        <v/>
      </c>
      <c r="L6995" s="62">
        <f>K6995-(F6995*I6995)</f>
        <v/>
      </c>
      <c r="M6995" s="64">
        <f>L6995/K6995</f>
        <v/>
      </c>
    </row>
    <row r="6996">
      <c r="A6996" s="58" t="inlineStr">
        <is>
          <t>RT20250626-06995</t>
        </is>
      </c>
      <c r="B6996" s="59" t="inlineStr">
        <is>
          <t>2025-06-26</t>
        </is>
      </c>
      <c r="C6996" s="60" t="inlineStr">
        <is>
          <t>Metro Laptop Plus-376</t>
        </is>
      </c>
      <c r="D6996" s="58" t="inlineStr">
        <is>
          <t>Electronics</t>
        </is>
      </c>
      <c r="E6996" s="58" t="inlineStr">
        <is>
          <t>East</t>
        </is>
      </c>
      <c r="F6996" s="61" t="n">
        <v>1</v>
      </c>
      <c r="G6996" s="62" t="n">
        <v>1286.38</v>
      </c>
      <c r="H6996" s="63" t="n">
        <v>0.07199999999999999</v>
      </c>
      <c r="I6996" s="62" t="n">
        <v>1056.49</v>
      </c>
      <c r="J6996" s="58" t="inlineStr">
        <is>
          <t>Online</t>
        </is>
      </c>
      <c r="K6996" s="62">
        <f>F6996*(G6996-H6996)</f>
        <v/>
      </c>
      <c r="L6996" s="62">
        <f>K6996-(F6996*I6996)</f>
        <v/>
      </c>
      <c r="M6996" s="64">
        <f>L6996/K6996</f>
        <v/>
      </c>
    </row>
    <row r="6997">
      <c r="A6997" s="58" t="inlineStr">
        <is>
          <t>RT20250626-06996</t>
        </is>
      </c>
      <c r="B6997" s="59" t="inlineStr">
        <is>
          <t>2025-06-26</t>
        </is>
      </c>
      <c r="C6997" s="60" t="inlineStr">
        <is>
          <t>Vertex Smartphone Lite-267</t>
        </is>
      </c>
      <c r="D6997" s="58" t="inlineStr">
        <is>
          <t>Electronics</t>
        </is>
      </c>
      <c r="E6997" s="58" t="inlineStr">
        <is>
          <t>East</t>
        </is>
      </c>
      <c r="F6997" s="61" t="n">
        <v>2</v>
      </c>
      <c r="G6997" s="62" t="n">
        <v>1214.69</v>
      </c>
      <c r="H6997" s="63" t="n">
        <v>0.08699999999999999</v>
      </c>
      <c r="I6997" s="62" t="n">
        <v>996.53</v>
      </c>
      <c r="J6997" s="58" t="inlineStr">
        <is>
          <t>Online</t>
        </is>
      </c>
      <c r="K6997" s="62">
        <f>F6997*(G6997-H6997)</f>
        <v/>
      </c>
      <c r="L6997" s="62">
        <f>K6997-(F6997*I6997)</f>
        <v/>
      </c>
      <c r="M6997" s="64">
        <f>L6997/K6997</f>
        <v/>
      </c>
    </row>
    <row r="6998">
      <c r="A6998" s="58" t="inlineStr">
        <is>
          <t>RT20250626-06997</t>
        </is>
      </c>
      <c r="B6998" s="59" t="inlineStr">
        <is>
          <t>2025-06-26</t>
        </is>
      </c>
      <c r="C6998" s="60" t="inlineStr">
        <is>
          <t>Vertex Headphone Pro-801</t>
        </is>
      </c>
      <c r="D6998" s="58" t="inlineStr">
        <is>
          <t>Electronics</t>
        </is>
      </c>
      <c r="E6998" s="58" t="inlineStr">
        <is>
          <t>North</t>
        </is>
      </c>
      <c r="F6998" s="61" t="n">
        <v>2</v>
      </c>
      <c r="G6998" s="62" t="n">
        <v>1150.72</v>
      </c>
      <c r="H6998" s="63" t="n">
        <v>0.06900000000000001</v>
      </c>
      <c r="I6998" s="62" t="n">
        <v>980.28</v>
      </c>
      <c r="J6998" s="58" t="inlineStr">
        <is>
          <t>Store</t>
        </is>
      </c>
      <c r="K6998" s="62">
        <f>F6998*(G6998-H6998)</f>
        <v/>
      </c>
      <c r="L6998" s="62">
        <f>K6998-(F6998*I6998)</f>
        <v/>
      </c>
      <c r="M6998" s="64">
        <f>L6998/K6998</f>
        <v/>
      </c>
    </row>
    <row r="6999">
      <c r="A6999" s="58" t="inlineStr">
        <is>
          <t>RT20250626-06998</t>
        </is>
      </c>
      <c r="B6999" s="59" t="inlineStr">
        <is>
          <t>2025-06-26</t>
        </is>
      </c>
      <c r="C6999" s="60" t="inlineStr">
        <is>
          <t>Polar Wearable X-119</t>
        </is>
      </c>
      <c r="D6999" s="58" t="inlineStr">
        <is>
          <t>Electronics</t>
        </is>
      </c>
      <c r="E6999" s="58" t="inlineStr">
        <is>
          <t>South</t>
        </is>
      </c>
      <c r="F6999" s="61" t="n">
        <v>1</v>
      </c>
      <c r="G6999" s="62" t="n">
        <v>1535.49</v>
      </c>
      <c r="H6999" s="63" t="n">
        <v>0.035</v>
      </c>
      <c r="I6999" s="62" t="n">
        <v>1300.95</v>
      </c>
      <c r="J6999" s="58" t="inlineStr">
        <is>
          <t>Online</t>
        </is>
      </c>
      <c r="K6999" s="62">
        <f>F6999*(G6999-H6999)</f>
        <v/>
      </c>
      <c r="L6999" s="62">
        <f>K6999-(F6999*I6999)</f>
        <v/>
      </c>
      <c r="M6999" s="64">
        <f>L6999/K6999</f>
        <v/>
      </c>
    </row>
    <row r="7000">
      <c r="A7000" s="58" t="inlineStr">
        <is>
          <t>RT20250626-06999</t>
        </is>
      </c>
      <c r="B7000" s="59" t="inlineStr">
        <is>
          <t>2025-06-26</t>
        </is>
      </c>
      <c r="C7000" s="60" t="inlineStr">
        <is>
          <t>Nimbus Decor Lite-385</t>
        </is>
      </c>
      <c r="D7000" s="58" t="inlineStr">
        <is>
          <t>Home</t>
        </is>
      </c>
      <c r="E7000" s="58" t="inlineStr">
        <is>
          <t>South</t>
        </is>
      </c>
      <c r="F7000" s="61" t="n">
        <v>1</v>
      </c>
      <c r="G7000" s="62" t="n">
        <v>657.74</v>
      </c>
      <c r="H7000" s="63" t="n">
        <v>0.021</v>
      </c>
      <c r="I7000" s="62" t="n">
        <v>405.99</v>
      </c>
      <c r="J7000" s="58" t="inlineStr">
        <is>
          <t>Store</t>
        </is>
      </c>
      <c r="K7000" s="62">
        <f>F7000*(G7000-H7000)</f>
        <v/>
      </c>
      <c r="L7000" s="62">
        <f>K7000-(F7000*I7000)</f>
        <v/>
      </c>
      <c r="M7000" s="64">
        <f>L7000/K7000</f>
        <v/>
      </c>
    </row>
    <row r="7001">
      <c r="A7001" s="58" t="inlineStr">
        <is>
          <t>RT20250626-07000</t>
        </is>
      </c>
      <c r="B7001" s="59" t="inlineStr">
        <is>
          <t>2025-06-26</t>
        </is>
      </c>
      <c r="C7001" s="60" t="inlineStr">
        <is>
          <t>Vertex Decor Pro-618</t>
        </is>
      </c>
      <c r="D7001" s="58" t="inlineStr">
        <is>
          <t>Home</t>
        </is>
      </c>
      <c r="E7001" s="58" t="inlineStr">
        <is>
          <t>South</t>
        </is>
      </c>
      <c r="F7001" s="61" t="n">
        <v>3</v>
      </c>
      <c r="G7001" s="62" t="n">
        <v>493.67</v>
      </c>
      <c r="H7001" s="63" t="n">
        <v>0.083</v>
      </c>
      <c r="I7001" s="62" t="n">
        <v>384.82</v>
      </c>
      <c r="J7001" s="58" t="inlineStr">
        <is>
          <t>Online</t>
        </is>
      </c>
      <c r="K7001" s="62">
        <f>F7001*(G7001-H7001)</f>
        <v/>
      </c>
      <c r="L7001" s="62">
        <f>K7001-(F7001*I7001)</f>
        <v/>
      </c>
      <c r="M7001" s="64">
        <f>L7001/K7001</f>
        <v/>
      </c>
    </row>
    <row r="7002">
      <c r="A7002" s="58" t="inlineStr">
        <is>
          <t>RT20250626-07001</t>
        </is>
      </c>
      <c r="B7002" s="59" t="inlineStr">
        <is>
          <t>2025-06-26</t>
        </is>
      </c>
      <c r="C7002" s="60" t="inlineStr">
        <is>
          <t>Falcon Wearable X-334</t>
        </is>
      </c>
      <c r="D7002" s="58" t="inlineStr">
        <is>
          <t>Electronics</t>
        </is>
      </c>
      <c r="E7002" s="58" t="inlineStr">
        <is>
          <t>Central</t>
        </is>
      </c>
      <c r="F7002" s="61" t="n">
        <v>2</v>
      </c>
      <c r="G7002" s="62" t="n">
        <v>1803.72</v>
      </c>
      <c r="H7002" s="63" t="n">
        <v>0.034</v>
      </c>
      <c r="I7002" s="62" t="n">
        <v>1539.46</v>
      </c>
      <c r="J7002" s="58" t="inlineStr">
        <is>
          <t>Online</t>
        </is>
      </c>
      <c r="K7002" s="62">
        <f>F7002*(G7002-H7002)</f>
        <v/>
      </c>
      <c r="L7002" s="62">
        <f>K7002-(F7002*I7002)</f>
        <v/>
      </c>
      <c r="M7002" s="64">
        <f>L7002/K7002</f>
        <v/>
      </c>
    </row>
    <row r="7003">
      <c r="A7003" s="58" t="inlineStr">
        <is>
          <t>RT20250626-07002</t>
        </is>
      </c>
      <c r="B7003" s="59" t="inlineStr">
        <is>
          <t>2025-06-26</t>
        </is>
      </c>
      <c r="C7003" s="60" t="inlineStr">
        <is>
          <t>Orion Men X-928</t>
        </is>
      </c>
      <c r="D7003" s="58" t="inlineStr">
        <is>
          <t>Apparel</t>
        </is>
      </c>
      <c r="E7003" s="58" t="inlineStr">
        <is>
          <t>Central</t>
        </is>
      </c>
      <c r="F7003" s="61" t="n">
        <v>2</v>
      </c>
      <c r="G7003" s="62" t="n">
        <v>98.64</v>
      </c>
      <c r="H7003" s="63" t="n">
        <v>0.045</v>
      </c>
      <c r="I7003" s="62" t="n">
        <v>63.22</v>
      </c>
      <c r="J7003" s="58" t="inlineStr">
        <is>
          <t>Online</t>
        </is>
      </c>
      <c r="K7003" s="62">
        <f>F7003*(G7003-H7003)</f>
        <v/>
      </c>
      <c r="L7003" s="62">
        <f>K7003-(F7003*I7003)</f>
        <v/>
      </c>
      <c r="M7003" s="64">
        <f>L7003/K7003</f>
        <v/>
      </c>
    </row>
    <row r="7004">
      <c r="A7004" s="58" t="inlineStr">
        <is>
          <t>RT20250626-07003</t>
        </is>
      </c>
      <c r="B7004" s="59" t="inlineStr">
        <is>
          <t>2025-06-26</t>
        </is>
      </c>
      <c r="C7004" s="60" t="inlineStr">
        <is>
          <t>Solace Kitchen X-919</t>
        </is>
      </c>
      <c r="D7004" s="58" t="inlineStr">
        <is>
          <t>Home</t>
        </is>
      </c>
      <c r="E7004" s="58" t="inlineStr">
        <is>
          <t>Central</t>
        </is>
      </c>
      <c r="F7004" s="61" t="n">
        <v>2</v>
      </c>
      <c r="G7004" s="62" t="n">
        <v>375.83</v>
      </c>
      <c r="H7004" s="63" t="n">
        <v>0.064</v>
      </c>
      <c r="I7004" s="62" t="n">
        <v>260.65</v>
      </c>
      <c r="J7004" s="58" t="inlineStr">
        <is>
          <t>Store</t>
        </is>
      </c>
      <c r="K7004" s="62">
        <f>F7004*(G7004-H7004)</f>
        <v/>
      </c>
      <c r="L7004" s="62">
        <f>K7004-(F7004*I7004)</f>
        <v/>
      </c>
      <c r="M7004" s="64">
        <f>L7004/K7004</f>
        <v/>
      </c>
    </row>
    <row r="7005">
      <c r="A7005" s="58" t="inlineStr">
        <is>
          <t>RT20250626-07004</t>
        </is>
      </c>
      <c r="B7005" s="59" t="inlineStr">
        <is>
          <t>2025-06-26</t>
        </is>
      </c>
      <c r="C7005" s="60" t="inlineStr">
        <is>
          <t>Orion Haircare Plus-887</t>
        </is>
      </c>
      <c r="D7005" s="58" t="inlineStr">
        <is>
          <t>Beauty</t>
        </is>
      </c>
      <c r="E7005" s="58" t="inlineStr">
        <is>
          <t>North</t>
        </is>
      </c>
      <c r="F7005" s="61" t="n">
        <v>1</v>
      </c>
      <c r="G7005" s="62" t="n">
        <v>54.86</v>
      </c>
      <c r="H7005" s="63" t="n">
        <v>0.068</v>
      </c>
      <c r="I7005" s="62" t="n">
        <v>31.87</v>
      </c>
      <c r="J7005" s="58" t="inlineStr">
        <is>
          <t>Online</t>
        </is>
      </c>
      <c r="K7005" s="62">
        <f>F7005*(G7005-H7005)</f>
        <v/>
      </c>
      <c r="L7005" s="62">
        <f>K7005-(F7005*I7005)</f>
        <v/>
      </c>
      <c r="M7005" s="64">
        <f>L7005/K7005</f>
        <v/>
      </c>
    </row>
    <row r="7006">
      <c r="A7006" s="58" t="inlineStr">
        <is>
          <t>RT20250626-07005</t>
        </is>
      </c>
      <c r="B7006" s="59" t="inlineStr">
        <is>
          <t>2025-06-26</t>
        </is>
      </c>
      <c r="C7006" s="60" t="inlineStr">
        <is>
          <t>Falcon Kitchen X-130</t>
        </is>
      </c>
      <c r="D7006" s="58" t="inlineStr">
        <is>
          <t>Home</t>
        </is>
      </c>
      <c r="E7006" s="58" t="inlineStr">
        <is>
          <t>East</t>
        </is>
      </c>
      <c r="F7006" s="61" t="n">
        <v>1</v>
      </c>
      <c r="G7006" s="62" t="n">
        <v>431.19</v>
      </c>
      <c r="H7006" s="63" t="n">
        <v>0.035</v>
      </c>
      <c r="I7006" s="62" t="n">
        <v>290.81</v>
      </c>
      <c r="J7006" s="58" t="inlineStr">
        <is>
          <t>Store</t>
        </is>
      </c>
      <c r="K7006" s="62">
        <f>F7006*(G7006-H7006)</f>
        <v/>
      </c>
      <c r="L7006" s="62">
        <f>K7006-(F7006*I7006)</f>
        <v/>
      </c>
      <c r="M7006" s="64">
        <f>L7006/K7006</f>
        <v/>
      </c>
    </row>
    <row r="7007">
      <c r="A7007" s="58" t="inlineStr">
        <is>
          <t>RT20250626-07006</t>
        </is>
      </c>
      <c r="B7007" s="59" t="inlineStr">
        <is>
          <t>2025-06-26</t>
        </is>
      </c>
      <c r="C7007" s="60" t="inlineStr">
        <is>
          <t>Polar Decor X-935</t>
        </is>
      </c>
      <c r="D7007" s="58" t="inlineStr">
        <is>
          <t>Home</t>
        </is>
      </c>
      <c r="E7007" s="58" t="inlineStr">
        <is>
          <t>South</t>
        </is>
      </c>
      <c r="F7007" s="61" t="n">
        <v>2</v>
      </c>
      <c r="G7007" s="62" t="n">
        <v>328.7</v>
      </c>
      <c r="H7007" s="63" t="n">
        <v>0.056</v>
      </c>
      <c r="I7007" s="62" t="n">
        <v>206.78</v>
      </c>
      <c r="J7007" s="58" t="inlineStr">
        <is>
          <t>Store</t>
        </is>
      </c>
      <c r="K7007" s="62">
        <f>F7007*(G7007-H7007)</f>
        <v/>
      </c>
      <c r="L7007" s="62">
        <f>K7007-(F7007*I7007)</f>
        <v/>
      </c>
      <c r="M7007" s="64">
        <f>L7007/K7007</f>
        <v/>
      </c>
    </row>
    <row r="7008">
      <c r="A7008" s="58" t="inlineStr">
        <is>
          <t>RT20250626-07007</t>
        </is>
      </c>
      <c r="B7008" s="59" t="inlineStr">
        <is>
          <t>2025-06-26</t>
        </is>
      </c>
      <c r="C7008" s="60" t="inlineStr">
        <is>
          <t>Metro Pantry Max-180</t>
        </is>
      </c>
      <c r="D7008" s="58" t="inlineStr">
        <is>
          <t>Grocery</t>
        </is>
      </c>
      <c r="E7008" s="58" t="inlineStr">
        <is>
          <t>Central</t>
        </is>
      </c>
      <c r="F7008" s="61" t="n">
        <v>7</v>
      </c>
      <c r="G7008" s="62" t="n">
        <v>8.41</v>
      </c>
      <c r="H7008" s="63" t="n">
        <v>0.077</v>
      </c>
      <c r="I7008" s="62" t="n">
        <v>6.54</v>
      </c>
      <c r="J7008" s="58" t="inlineStr">
        <is>
          <t>Online</t>
        </is>
      </c>
      <c r="K7008" s="62">
        <f>F7008*(G7008-H7008)</f>
        <v/>
      </c>
      <c r="L7008" s="62">
        <f>K7008-(F7008*I7008)</f>
        <v/>
      </c>
      <c r="M7008" s="64">
        <f>L7008/K7008</f>
        <v/>
      </c>
    </row>
    <row r="7009">
      <c r="A7009" s="58" t="inlineStr">
        <is>
          <t>RT20250626-07008</t>
        </is>
      </c>
      <c r="B7009" s="59" t="inlineStr">
        <is>
          <t>2025-06-26</t>
        </is>
      </c>
      <c r="C7009" s="60" t="inlineStr">
        <is>
          <t>Polar Bedding Lite-243</t>
        </is>
      </c>
      <c r="D7009" s="58" t="inlineStr">
        <is>
          <t>Home</t>
        </is>
      </c>
      <c r="E7009" s="58" t="inlineStr">
        <is>
          <t>South</t>
        </is>
      </c>
      <c r="F7009" s="61" t="n">
        <v>1</v>
      </c>
      <c r="G7009" s="62" t="n">
        <v>472.93</v>
      </c>
      <c r="H7009" s="63" t="n">
        <v>0.06</v>
      </c>
      <c r="I7009" s="62" t="n">
        <v>309.27</v>
      </c>
      <c r="J7009" s="58" t="inlineStr">
        <is>
          <t>Online</t>
        </is>
      </c>
      <c r="K7009" s="62">
        <f>F7009*(G7009-H7009)</f>
        <v/>
      </c>
      <c r="L7009" s="62">
        <f>K7009-(F7009*I7009)</f>
        <v/>
      </c>
      <c r="M7009" s="64">
        <f>L7009/K7009</f>
        <v/>
      </c>
    </row>
    <row r="7010">
      <c r="A7010" s="58" t="inlineStr">
        <is>
          <t>RT20250626-07009</t>
        </is>
      </c>
      <c r="B7010" s="59" t="inlineStr">
        <is>
          <t>2025-06-26</t>
        </is>
      </c>
      <c r="C7010" s="60" t="inlineStr">
        <is>
          <t>Polar Outdoor Lite-318</t>
        </is>
      </c>
      <c r="D7010" s="58" t="inlineStr">
        <is>
          <t>Sports</t>
        </is>
      </c>
      <c r="E7010" s="58" t="inlineStr">
        <is>
          <t>East</t>
        </is>
      </c>
      <c r="F7010" s="61" t="n">
        <v>2</v>
      </c>
      <c r="G7010" s="62" t="n">
        <v>623.95</v>
      </c>
      <c r="H7010" s="63" t="n">
        <v>0.07199999999999999</v>
      </c>
      <c r="I7010" s="62" t="n">
        <v>476.12</v>
      </c>
      <c r="J7010" s="58" t="inlineStr">
        <is>
          <t>Online</t>
        </is>
      </c>
      <c r="K7010" s="62">
        <f>F7010*(G7010-H7010)</f>
        <v/>
      </c>
      <c r="L7010" s="62">
        <f>K7010-(F7010*I7010)</f>
        <v/>
      </c>
      <c r="M7010" s="64">
        <f>L7010/K7010</f>
        <v/>
      </c>
    </row>
    <row r="7011">
      <c r="A7011" s="58" t="inlineStr">
        <is>
          <t>RT20250626-07010</t>
        </is>
      </c>
      <c r="B7011" s="59" t="inlineStr">
        <is>
          <t>2025-06-26</t>
        </is>
      </c>
      <c r="C7011" s="60" t="inlineStr">
        <is>
          <t>Solace Laptop S-367</t>
        </is>
      </c>
      <c r="D7011" s="58" t="inlineStr">
        <is>
          <t>Electronics</t>
        </is>
      </c>
      <c r="E7011" s="58" t="inlineStr">
        <is>
          <t>South</t>
        </is>
      </c>
      <c r="F7011" s="61" t="n">
        <v>2</v>
      </c>
      <c r="G7011" s="62" t="n">
        <v>2061.44</v>
      </c>
      <c r="H7011" s="63" t="n">
        <v>0.07000000000000001</v>
      </c>
      <c r="I7011" s="62" t="n">
        <v>1545.78</v>
      </c>
      <c r="J7011" s="58" t="inlineStr">
        <is>
          <t>Online</t>
        </is>
      </c>
      <c r="K7011" s="62">
        <f>F7011*(G7011-H7011)</f>
        <v/>
      </c>
      <c r="L7011" s="62">
        <f>K7011-(F7011*I7011)</f>
        <v/>
      </c>
      <c r="M7011" s="64">
        <f>L7011/K7011</f>
        <v/>
      </c>
    </row>
    <row r="7012">
      <c r="A7012" s="58" t="inlineStr">
        <is>
          <t>RT20250626-07011</t>
        </is>
      </c>
      <c r="B7012" s="59" t="inlineStr">
        <is>
          <t>2025-06-26</t>
        </is>
      </c>
      <c r="C7012" s="60" t="inlineStr">
        <is>
          <t>Vertex Snack S-702</t>
        </is>
      </c>
      <c r="D7012" s="58" t="inlineStr">
        <is>
          <t>Grocery</t>
        </is>
      </c>
      <c r="E7012" s="58" t="inlineStr">
        <is>
          <t>West</t>
        </is>
      </c>
      <c r="F7012" s="61" t="n">
        <v>2</v>
      </c>
      <c r="G7012" s="62" t="n">
        <v>1.93</v>
      </c>
      <c r="H7012" s="63" t="n">
        <v>0.081</v>
      </c>
      <c r="I7012" s="62" t="n">
        <v>1.48</v>
      </c>
      <c r="J7012" s="58" t="inlineStr">
        <is>
          <t>Online</t>
        </is>
      </c>
      <c r="K7012" s="62">
        <f>F7012*(G7012-H7012)</f>
        <v/>
      </c>
      <c r="L7012" s="62">
        <f>K7012-(F7012*I7012)</f>
        <v/>
      </c>
      <c r="M7012" s="64">
        <f>L7012/K7012</f>
        <v/>
      </c>
    </row>
    <row r="7013">
      <c r="A7013" s="58" t="inlineStr">
        <is>
          <t>RT20250626-07012</t>
        </is>
      </c>
      <c r="B7013" s="59" t="inlineStr">
        <is>
          <t>2025-06-26</t>
        </is>
      </c>
      <c r="C7013" s="60" t="inlineStr">
        <is>
          <t>Solace Kitchen Pro-510</t>
        </is>
      </c>
      <c r="D7013" s="58" t="inlineStr">
        <is>
          <t>Home</t>
        </is>
      </c>
      <c r="E7013" s="58" t="inlineStr">
        <is>
          <t>West</t>
        </is>
      </c>
      <c r="F7013" s="61" t="n">
        <v>2</v>
      </c>
      <c r="G7013" s="62" t="n">
        <v>459.99</v>
      </c>
      <c r="H7013" s="63" t="n">
        <v>0.078</v>
      </c>
      <c r="I7013" s="62" t="n">
        <v>307.9</v>
      </c>
      <c r="J7013" s="58" t="inlineStr">
        <is>
          <t>Store</t>
        </is>
      </c>
      <c r="K7013" s="62">
        <f>F7013*(G7013-H7013)</f>
        <v/>
      </c>
      <c r="L7013" s="62">
        <f>K7013-(F7013*I7013)</f>
        <v/>
      </c>
      <c r="M7013" s="64">
        <f>L7013/K7013</f>
        <v/>
      </c>
    </row>
    <row r="7014">
      <c r="A7014" s="58" t="inlineStr">
        <is>
          <t>RT20250626-07013</t>
        </is>
      </c>
      <c r="B7014" s="59" t="inlineStr">
        <is>
          <t>2025-06-26</t>
        </is>
      </c>
      <c r="C7014" s="60" t="inlineStr">
        <is>
          <t>Metro Wearable Plus-234</t>
        </is>
      </c>
      <c r="D7014" s="58" t="inlineStr">
        <is>
          <t>Electronics</t>
        </is>
      </c>
      <c r="E7014" s="58" t="inlineStr">
        <is>
          <t>East</t>
        </is>
      </c>
      <c r="F7014" s="61" t="n">
        <v>2</v>
      </c>
      <c r="G7014" s="62" t="n">
        <v>1504.98</v>
      </c>
      <c r="H7014" s="63" t="n">
        <v>0.061</v>
      </c>
      <c r="I7014" s="62" t="n">
        <v>1157.25</v>
      </c>
      <c r="J7014" s="58" t="inlineStr">
        <is>
          <t>Store</t>
        </is>
      </c>
      <c r="K7014" s="62">
        <f>F7014*(G7014-H7014)</f>
        <v/>
      </c>
      <c r="L7014" s="62">
        <f>K7014-(F7014*I7014)</f>
        <v/>
      </c>
      <c r="M7014" s="64">
        <f>L7014/K7014</f>
        <v/>
      </c>
    </row>
    <row r="7015">
      <c r="A7015" s="58" t="inlineStr">
        <is>
          <t>RT20250626-07014</t>
        </is>
      </c>
      <c r="B7015" s="59" t="inlineStr">
        <is>
          <t>2025-06-26</t>
        </is>
      </c>
      <c r="C7015" s="60" t="inlineStr">
        <is>
          <t>Solace Team Sport Max-548</t>
        </is>
      </c>
      <c r="D7015" s="58" t="inlineStr">
        <is>
          <t>Sports</t>
        </is>
      </c>
      <c r="E7015" s="58" t="inlineStr">
        <is>
          <t>North</t>
        </is>
      </c>
      <c r="F7015" s="61" t="n">
        <v>1</v>
      </c>
      <c r="G7015" s="62" t="n">
        <v>753.77</v>
      </c>
      <c r="H7015" s="63" t="n">
        <v>0.054</v>
      </c>
      <c r="I7015" s="62" t="n">
        <v>491.19</v>
      </c>
      <c r="J7015" s="58" t="inlineStr">
        <is>
          <t>Online</t>
        </is>
      </c>
      <c r="K7015" s="62">
        <f>F7015*(G7015-H7015)</f>
        <v/>
      </c>
      <c r="L7015" s="62">
        <f>K7015-(F7015*I7015)</f>
        <v/>
      </c>
      <c r="M7015" s="64">
        <f>L7015/K7015</f>
        <v/>
      </c>
    </row>
    <row r="7016">
      <c r="A7016" s="58" t="inlineStr">
        <is>
          <t>RT20250626-07015</t>
        </is>
      </c>
      <c r="B7016" s="59" t="inlineStr">
        <is>
          <t>2025-06-26</t>
        </is>
      </c>
      <c r="C7016" s="60" t="inlineStr">
        <is>
          <t>Falcon Team Sport Lite-268</t>
        </is>
      </c>
      <c r="D7016" s="58" t="inlineStr">
        <is>
          <t>Sports</t>
        </is>
      </c>
      <c r="E7016" s="58" t="inlineStr">
        <is>
          <t>North</t>
        </is>
      </c>
      <c r="F7016" s="61" t="n">
        <v>3</v>
      </c>
      <c r="G7016" s="62" t="n">
        <v>650.35</v>
      </c>
      <c r="H7016" s="63" t="n">
        <v>0.064</v>
      </c>
      <c r="I7016" s="62" t="n">
        <v>431.61</v>
      </c>
      <c r="J7016" s="58" t="inlineStr">
        <is>
          <t>Store</t>
        </is>
      </c>
      <c r="K7016" s="62">
        <f>F7016*(G7016-H7016)</f>
        <v/>
      </c>
      <c r="L7016" s="62">
        <f>K7016-(F7016*I7016)</f>
        <v/>
      </c>
      <c r="M7016" s="64">
        <f>L7016/K7016</f>
        <v/>
      </c>
    </row>
    <row r="7017">
      <c r="A7017" s="58" t="inlineStr">
        <is>
          <t>RT20250626-07016</t>
        </is>
      </c>
      <c r="B7017" s="59" t="inlineStr">
        <is>
          <t>2025-06-26</t>
        </is>
      </c>
      <c r="C7017" s="60" t="inlineStr">
        <is>
          <t>Metro Pantry Max-180</t>
        </is>
      </c>
      <c r="D7017" s="58" t="inlineStr">
        <is>
          <t>Grocery</t>
        </is>
      </c>
      <c r="E7017" s="58" t="inlineStr">
        <is>
          <t>South</t>
        </is>
      </c>
      <c r="F7017" s="61" t="n">
        <v>2</v>
      </c>
      <c r="G7017" s="62" t="n">
        <v>8.19</v>
      </c>
      <c r="H7017" s="63" t="n">
        <v>0.06900000000000001</v>
      </c>
      <c r="I7017" s="62" t="n">
        <v>6.7</v>
      </c>
      <c r="J7017" s="58" t="inlineStr">
        <is>
          <t>Online</t>
        </is>
      </c>
      <c r="K7017" s="62">
        <f>F7017*(G7017-H7017)</f>
        <v/>
      </c>
      <c r="L7017" s="62">
        <f>K7017-(F7017*I7017)</f>
        <v/>
      </c>
      <c r="M7017" s="64">
        <f>L7017/K7017</f>
        <v/>
      </c>
    </row>
    <row r="7018">
      <c r="A7018" s="58" t="inlineStr">
        <is>
          <t>RT20250626-07017</t>
        </is>
      </c>
      <c r="B7018" s="59" t="inlineStr">
        <is>
          <t>2025-06-26</t>
        </is>
      </c>
      <c r="C7018" s="60" t="inlineStr">
        <is>
          <t>Nimbus Makeup Max-158</t>
        </is>
      </c>
      <c r="D7018" s="58" t="inlineStr">
        <is>
          <t>Beauty</t>
        </is>
      </c>
      <c r="E7018" s="58" t="inlineStr">
        <is>
          <t>Central</t>
        </is>
      </c>
      <c r="F7018" s="61" t="n">
        <v>3</v>
      </c>
      <c r="G7018" s="62" t="n">
        <v>139.57</v>
      </c>
      <c r="H7018" s="63" t="n">
        <v>0.059</v>
      </c>
      <c r="I7018" s="62" t="n">
        <v>93.06999999999999</v>
      </c>
      <c r="J7018" s="58" t="inlineStr">
        <is>
          <t>Store</t>
        </is>
      </c>
      <c r="K7018" s="62">
        <f>F7018*(G7018-H7018)</f>
        <v/>
      </c>
      <c r="L7018" s="62">
        <f>K7018-(F7018*I7018)</f>
        <v/>
      </c>
      <c r="M7018" s="64">
        <f>L7018/K7018</f>
        <v/>
      </c>
    </row>
    <row r="7019">
      <c r="A7019" s="58" t="inlineStr">
        <is>
          <t>RT20250626-07018</t>
        </is>
      </c>
      <c r="B7019" s="59" t="inlineStr">
        <is>
          <t>2025-06-26</t>
        </is>
      </c>
      <c r="C7019" s="60" t="inlineStr">
        <is>
          <t>Polar Supplie Lite-348</t>
        </is>
      </c>
      <c r="D7019" s="58" t="inlineStr">
        <is>
          <t>Office</t>
        </is>
      </c>
      <c r="E7019" s="58" t="inlineStr">
        <is>
          <t>East</t>
        </is>
      </c>
      <c r="F7019" s="61" t="n">
        <v>2</v>
      </c>
      <c r="G7019" s="62" t="n">
        <v>411.62</v>
      </c>
      <c r="H7019" s="63" t="n">
        <v>0.035</v>
      </c>
      <c r="I7019" s="62" t="n">
        <v>316.97</v>
      </c>
      <c r="J7019" s="58" t="inlineStr">
        <is>
          <t>Online</t>
        </is>
      </c>
      <c r="K7019" s="62">
        <f>F7019*(G7019-H7019)</f>
        <v/>
      </c>
      <c r="L7019" s="62">
        <f>K7019-(F7019*I7019)</f>
        <v/>
      </c>
      <c r="M7019" s="64">
        <f>L7019/K7019</f>
        <v/>
      </c>
    </row>
    <row r="7020">
      <c r="A7020" s="58" t="inlineStr">
        <is>
          <t>RT20250626-07019</t>
        </is>
      </c>
      <c r="B7020" s="59" t="inlineStr">
        <is>
          <t>2025-06-26</t>
        </is>
      </c>
      <c r="C7020" s="60" t="inlineStr">
        <is>
          <t>Metro Outdoor Plus-787</t>
        </is>
      </c>
      <c r="D7020" s="58" t="inlineStr">
        <is>
          <t>Sports</t>
        </is>
      </c>
      <c r="E7020" s="58" t="inlineStr">
        <is>
          <t>East</t>
        </is>
      </c>
      <c r="F7020" s="61" t="n">
        <v>1</v>
      </c>
      <c r="G7020" s="62" t="n">
        <v>527.95</v>
      </c>
      <c r="H7020" s="63" t="n">
        <v>0.034</v>
      </c>
      <c r="I7020" s="62" t="n">
        <v>349.75</v>
      </c>
      <c r="J7020" s="58" t="inlineStr">
        <is>
          <t>Online</t>
        </is>
      </c>
      <c r="K7020" s="62">
        <f>F7020*(G7020-H7020)</f>
        <v/>
      </c>
      <c r="L7020" s="62">
        <f>K7020-(F7020*I7020)</f>
        <v/>
      </c>
      <c r="M7020" s="64">
        <f>L7020/K7020</f>
        <v/>
      </c>
    </row>
    <row r="7021">
      <c r="A7021" s="58" t="inlineStr">
        <is>
          <t>RT20250626-07020</t>
        </is>
      </c>
      <c r="B7021" s="59" t="inlineStr">
        <is>
          <t>2025-06-26</t>
        </is>
      </c>
      <c r="C7021" s="60" t="inlineStr">
        <is>
          <t>Falcon Skincare Max-151</t>
        </is>
      </c>
      <c r="D7021" s="58" t="inlineStr">
        <is>
          <t>Beauty</t>
        </is>
      </c>
      <c r="E7021" s="58" t="inlineStr">
        <is>
          <t>East</t>
        </is>
      </c>
      <c r="F7021" s="61" t="n">
        <v>2</v>
      </c>
      <c r="G7021" s="62" t="n">
        <v>110.7</v>
      </c>
      <c r="H7021" s="63" t="n">
        <v>0.108</v>
      </c>
      <c r="I7021" s="62" t="n">
        <v>61.03</v>
      </c>
      <c r="J7021" s="58" t="inlineStr">
        <is>
          <t>Store</t>
        </is>
      </c>
      <c r="K7021" s="62">
        <f>F7021*(G7021-H7021)</f>
        <v/>
      </c>
      <c r="L7021" s="62">
        <f>K7021-(F7021*I7021)</f>
        <v/>
      </c>
      <c r="M7021" s="64">
        <f>L7021/K7021</f>
        <v/>
      </c>
    </row>
    <row r="7022">
      <c r="A7022" s="58" t="inlineStr">
        <is>
          <t>RT20250626-07021</t>
        </is>
      </c>
      <c r="B7022" s="59" t="inlineStr">
        <is>
          <t>2025-06-26</t>
        </is>
      </c>
      <c r="C7022" s="60" t="inlineStr">
        <is>
          <t>Metro Outdoor Plus-787</t>
        </is>
      </c>
      <c r="D7022" s="58" t="inlineStr">
        <is>
          <t>Sports</t>
        </is>
      </c>
      <c r="E7022" s="58" t="inlineStr">
        <is>
          <t>West</t>
        </is>
      </c>
      <c r="F7022" s="61" t="n">
        <v>2</v>
      </c>
      <c r="G7022" s="62" t="n">
        <v>559.59</v>
      </c>
      <c r="H7022" s="63" t="n">
        <v>0.106</v>
      </c>
      <c r="I7022" s="62" t="n">
        <v>362</v>
      </c>
      <c r="J7022" s="58" t="inlineStr">
        <is>
          <t>Online</t>
        </is>
      </c>
      <c r="K7022" s="62">
        <f>F7022*(G7022-H7022)</f>
        <v/>
      </c>
      <c r="L7022" s="62">
        <f>K7022-(F7022*I7022)</f>
        <v/>
      </c>
      <c r="M7022" s="64">
        <f>L7022/K7022</f>
        <v/>
      </c>
    </row>
    <row r="7023">
      <c r="A7023" s="58" t="inlineStr">
        <is>
          <t>RT20250627-07022</t>
        </is>
      </c>
      <c r="B7023" s="59" t="inlineStr">
        <is>
          <t>2025-06-27</t>
        </is>
      </c>
      <c r="C7023" s="60" t="inlineStr">
        <is>
          <t>Metro Beverage Max-490</t>
        </is>
      </c>
      <c r="D7023" s="58" t="inlineStr">
        <is>
          <t>Grocery</t>
        </is>
      </c>
      <c r="E7023" s="58" t="inlineStr">
        <is>
          <t>East</t>
        </is>
      </c>
      <c r="F7023" s="61" t="n">
        <v>8</v>
      </c>
      <c r="G7023" s="62" t="n">
        <v>10.85</v>
      </c>
      <c r="H7023" s="63" t="n">
        <v>0.074</v>
      </c>
      <c r="I7023" s="62" t="n">
        <v>7.97</v>
      </c>
      <c r="J7023" s="58" t="inlineStr">
        <is>
          <t>Online</t>
        </is>
      </c>
      <c r="K7023" s="62">
        <f>F7023*(G7023-H7023)</f>
        <v/>
      </c>
      <c r="L7023" s="62">
        <f>K7023-(F7023*I7023)</f>
        <v/>
      </c>
      <c r="M7023" s="64">
        <f>L7023/K7023</f>
        <v/>
      </c>
    </row>
    <row r="7024">
      <c r="A7024" s="58" t="inlineStr">
        <is>
          <t>RT20250627-07023</t>
        </is>
      </c>
      <c r="B7024" s="59" t="inlineStr">
        <is>
          <t>2025-06-27</t>
        </is>
      </c>
      <c r="C7024" s="60" t="inlineStr">
        <is>
          <t>Nimbus Headphone X-854</t>
        </is>
      </c>
      <c r="D7024" s="58" t="inlineStr">
        <is>
          <t>Electronics</t>
        </is>
      </c>
      <c r="E7024" s="58" t="inlineStr">
        <is>
          <t>East</t>
        </is>
      </c>
      <c r="F7024" s="61" t="n">
        <v>2</v>
      </c>
      <c r="G7024" s="62" t="n">
        <v>1766.32</v>
      </c>
      <c r="H7024" s="63" t="n">
        <v>0.06900000000000001</v>
      </c>
      <c r="I7024" s="62" t="n">
        <v>1253.24</v>
      </c>
      <c r="J7024" s="58" t="inlineStr">
        <is>
          <t>Store</t>
        </is>
      </c>
      <c r="K7024" s="62">
        <f>F7024*(G7024-H7024)</f>
        <v/>
      </c>
      <c r="L7024" s="62">
        <f>K7024-(F7024*I7024)</f>
        <v/>
      </c>
      <c r="M7024" s="64">
        <f>L7024/K7024</f>
        <v/>
      </c>
    </row>
    <row r="7025">
      <c r="A7025" s="58" t="inlineStr">
        <is>
          <t>RT20250627-07024</t>
        </is>
      </c>
      <c r="B7025" s="59" t="inlineStr">
        <is>
          <t>2025-06-27</t>
        </is>
      </c>
      <c r="C7025" s="60" t="inlineStr">
        <is>
          <t>Polar Snack Pro-641</t>
        </is>
      </c>
      <c r="D7025" s="58" t="inlineStr">
        <is>
          <t>Grocery</t>
        </is>
      </c>
      <c r="E7025" s="58" t="inlineStr">
        <is>
          <t>East</t>
        </is>
      </c>
      <c r="F7025" s="61" t="n">
        <v>7</v>
      </c>
      <c r="G7025" s="62" t="n">
        <v>12.61</v>
      </c>
      <c r="H7025" s="63" t="n">
        <v>0.059</v>
      </c>
      <c r="I7025" s="62" t="n">
        <v>9.630000000000001</v>
      </c>
      <c r="J7025" s="58" t="inlineStr">
        <is>
          <t>Online</t>
        </is>
      </c>
      <c r="K7025" s="62">
        <f>F7025*(G7025-H7025)</f>
        <v/>
      </c>
      <c r="L7025" s="62">
        <f>K7025-(F7025*I7025)</f>
        <v/>
      </c>
      <c r="M7025" s="64">
        <f>L7025/K7025</f>
        <v/>
      </c>
    </row>
    <row r="7026">
      <c r="A7026" s="58" t="inlineStr">
        <is>
          <t>RT20250627-07025</t>
        </is>
      </c>
      <c r="B7026" s="59" t="inlineStr">
        <is>
          <t>2025-06-27</t>
        </is>
      </c>
      <c r="C7026" s="60" t="inlineStr">
        <is>
          <t>Vertex Appliance S-296</t>
        </is>
      </c>
      <c r="D7026" s="58" t="inlineStr">
        <is>
          <t>Home</t>
        </is>
      </c>
      <c r="E7026" s="58" t="inlineStr">
        <is>
          <t>Central</t>
        </is>
      </c>
      <c r="F7026" s="61" t="n">
        <v>3</v>
      </c>
      <c r="G7026" s="62" t="n">
        <v>525.91</v>
      </c>
      <c r="H7026" s="63" t="n">
        <v>0.041</v>
      </c>
      <c r="I7026" s="62" t="n">
        <v>345.89</v>
      </c>
      <c r="J7026" s="58" t="inlineStr">
        <is>
          <t>Store</t>
        </is>
      </c>
      <c r="K7026" s="62">
        <f>F7026*(G7026-H7026)</f>
        <v/>
      </c>
      <c r="L7026" s="62">
        <f>K7026-(F7026*I7026)</f>
        <v/>
      </c>
      <c r="M7026" s="64">
        <f>L7026/K7026</f>
        <v/>
      </c>
    </row>
    <row r="7027">
      <c r="A7027" s="58" t="inlineStr">
        <is>
          <t>RT20250627-07026</t>
        </is>
      </c>
      <c r="B7027" s="59" t="inlineStr">
        <is>
          <t>2025-06-27</t>
        </is>
      </c>
      <c r="C7027" s="60" t="inlineStr">
        <is>
          <t>Falcon Accessorie S-195</t>
        </is>
      </c>
      <c r="D7027" s="58" t="inlineStr">
        <is>
          <t>Apparel</t>
        </is>
      </c>
      <c r="E7027" s="58" t="inlineStr">
        <is>
          <t>South</t>
        </is>
      </c>
      <c r="F7027" s="61" t="n">
        <v>2</v>
      </c>
      <c r="G7027" s="62" t="n">
        <v>73.64</v>
      </c>
      <c r="H7027" s="63" t="n">
        <v>0.07099999999999999</v>
      </c>
      <c r="I7027" s="62" t="n">
        <v>41.44</v>
      </c>
      <c r="J7027" s="58" t="inlineStr">
        <is>
          <t>Store</t>
        </is>
      </c>
      <c r="K7027" s="62">
        <f>F7027*(G7027-H7027)</f>
        <v/>
      </c>
      <c r="L7027" s="62">
        <f>K7027-(F7027*I7027)</f>
        <v/>
      </c>
      <c r="M7027" s="64">
        <f>L7027/K7027</f>
        <v/>
      </c>
    </row>
    <row r="7028">
      <c r="A7028" s="58" t="inlineStr">
        <is>
          <t>RT20250627-07027</t>
        </is>
      </c>
      <c r="B7028" s="59" t="inlineStr">
        <is>
          <t>2025-06-27</t>
        </is>
      </c>
      <c r="C7028" s="60" t="inlineStr">
        <is>
          <t>Aurora Printer Plus-723</t>
        </is>
      </c>
      <c r="D7028" s="58" t="inlineStr">
        <is>
          <t>Office</t>
        </is>
      </c>
      <c r="E7028" s="58" t="inlineStr">
        <is>
          <t>South</t>
        </is>
      </c>
      <c r="F7028" s="61" t="n">
        <v>3</v>
      </c>
      <c r="G7028" s="62" t="n">
        <v>240.99</v>
      </c>
      <c r="H7028" s="63" t="n">
        <v>0.025</v>
      </c>
      <c r="I7028" s="62" t="n">
        <v>188.81</v>
      </c>
      <c r="J7028" s="58" t="inlineStr">
        <is>
          <t>Store</t>
        </is>
      </c>
      <c r="K7028" s="62">
        <f>F7028*(G7028-H7028)</f>
        <v/>
      </c>
      <c r="L7028" s="62">
        <f>K7028-(F7028*I7028)</f>
        <v/>
      </c>
      <c r="M7028" s="64">
        <f>L7028/K7028</f>
        <v/>
      </c>
    </row>
    <row r="7029">
      <c r="A7029" s="58" t="inlineStr">
        <is>
          <t>RT20250627-07028</t>
        </is>
      </c>
      <c r="B7029" s="59" t="inlineStr">
        <is>
          <t>2025-06-27</t>
        </is>
      </c>
      <c r="C7029" s="60" t="inlineStr">
        <is>
          <t>Metro Pantry X-710</t>
        </is>
      </c>
      <c r="D7029" s="58" t="inlineStr">
        <is>
          <t>Grocery</t>
        </is>
      </c>
      <c r="E7029" s="58" t="inlineStr">
        <is>
          <t>South</t>
        </is>
      </c>
      <c r="F7029" s="61" t="n">
        <v>8</v>
      </c>
      <c r="G7029" s="62" t="n">
        <v>5.55</v>
      </c>
      <c r="H7029" s="63" t="n">
        <v>0.08400000000000001</v>
      </c>
      <c r="I7029" s="62" t="n">
        <v>4.09</v>
      </c>
      <c r="J7029" s="58" t="inlineStr">
        <is>
          <t>Store</t>
        </is>
      </c>
      <c r="K7029" s="62">
        <f>F7029*(G7029-H7029)</f>
        <v/>
      </c>
      <c r="L7029" s="62">
        <f>K7029-(F7029*I7029)</f>
        <v/>
      </c>
      <c r="M7029" s="64">
        <f>L7029/K7029</f>
        <v/>
      </c>
    </row>
    <row r="7030">
      <c r="A7030" s="58" t="inlineStr">
        <is>
          <t>RT20250627-07029</t>
        </is>
      </c>
      <c r="B7030" s="59" t="inlineStr">
        <is>
          <t>2025-06-27</t>
        </is>
      </c>
      <c r="C7030" s="60" t="inlineStr">
        <is>
          <t>Falcon Household Pro-865</t>
        </is>
      </c>
      <c r="D7030" s="58" t="inlineStr">
        <is>
          <t>Grocery</t>
        </is>
      </c>
      <c r="E7030" s="58" t="inlineStr">
        <is>
          <t>East</t>
        </is>
      </c>
      <c r="F7030" s="61" t="n">
        <v>7</v>
      </c>
      <c r="G7030" s="62" t="n">
        <v>11.96</v>
      </c>
      <c r="H7030" s="63" t="n">
        <v>0.008</v>
      </c>
      <c r="I7030" s="62" t="n">
        <v>7.92</v>
      </c>
      <c r="J7030" s="58" t="inlineStr">
        <is>
          <t>Phone</t>
        </is>
      </c>
      <c r="K7030" s="62">
        <f>F7030*(G7030-H7030)</f>
        <v/>
      </c>
      <c r="L7030" s="62">
        <f>K7030-(F7030*I7030)</f>
        <v/>
      </c>
      <c r="M7030" s="64">
        <f>L7030/K7030</f>
        <v/>
      </c>
    </row>
    <row r="7031">
      <c r="A7031" s="58" t="inlineStr">
        <is>
          <t>RT20250627-07030</t>
        </is>
      </c>
      <c r="B7031" s="59" t="inlineStr">
        <is>
          <t>2025-06-27</t>
        </is>
      </c>
      <c r="C7031" s="60" t="inlineStr">
        <is>
          <t>Aurora Skincare Max-798</t>
        </is>
      </c>
      <c r="D7031" s="58" t="inlineStr">
        <is>
          <t>Beauty</t>
        </is>
      </c>
      <c r="E7031" s="58" t="inlineStr">
        <is>
          <t>Central</t>
        </is>
      </c>
      <c r="F7031" s="61" t="n">
        <v>2</v>
      </c>
      <c r="G7031" s="62" t="n">
        <v>106.48</v>
      </c>
      <c r="H7031" s="63" t="n">
        <v>0.006</v>
      </c>
      <c r="I7031" s="62" t="n">
        <v>68.87</v>
      </c>
      <c r="J7031" s="58" t="inlineStr">
        <is>
          <t>Store</t>
        </is>
      </c>
      <c r="K7031" s="62">
        <f>F7031*(G7031-H7031)</f>
        <v/>
      </c>
      <c r="L7031" s="62">
        <f>K7031-(F7031*I7031)</f>
        <v/>
      </c>
      <c r="M7031" s="64">
        <f>L7031/K7031</f>
        <v/>
      </c>
    </row>
    <row r="7032">
      <c r="A7032" s="58" t="inlineStr">
        <is>
          <t>RT20250627-07031</t>
        </is>
      </c>
      <c r="B7032" s="59" t="inlineStr">
        <is>
          <t>2025-06-27</t>
        </is>
      </c>
      <c r="C7032" s="60" t="inlineStr">
        <is>
          <t>Polar Fragrance Pro-750</t>
        </is>
      </c>
      <c r="D7032" s="58" t="inlineStr">
        <is>
          <t>Beauty</t>
        </is>
      </c>
      <c r="E7032" s="58" t="inlineStr">
        <is>
          <t>South</t>
        </is>
      </c>
      <c r="F7032" s="61" t="n">
        <v>2</v>
      </c>
      <c r="G7032" s="62" t="n">
        <v>54.45</v>
      </c>
      <c r="H7032" s="63" t="n">
        <v>0.08</v>
      </c>
      <c r="I7032" s="62" t="n">
        <v>38.02</v>
      </c>
      <c r="J7032" s="58" t="inlineStr">
        <is>
          <t>Online</t>
        </is>
      </c>
      <c r="K7032" s="62">
        <f>F7032*(G7032-H7032)</f>
        <v/>
      </c>
      <c r="L7032" s="62">
        <f>K7032-(F7032*I7032)</f>
        <v/>
      </c>
      <c r="M7032" s="64">
        <f>L7032/K7032</f>
        <v/>
      </c>
    </row>
    <row r="7033">
      <c r="A7033" s="58" t="inlineStr">
        <is>
          <t>RT20250627-07032</t>
        </is>
      </c>
      <c r="B7033" s="59" t="inlineStr">
        <is>
          <t>2025-06-27</t>
        </is>
      </c>
      <c r="C7033" s="60" t="inlineStr">
        <is>
          <t>Aurora Appliance Lite-109</t>
        </is>
      </c>
      <c r="D7033" s="58" t="inlineStr">
        <is>
          <t>Home</t>
        </is>
      </c>
      <c r="E7033" s="58" t="inlineStr">
        <is>
          <t>Central</t>
        </is>
      </c>
      <c r="F7033" s="61" t="n">
        <v>3</v>
      </c>
      <c r="G7033" s="62" t="n">
        <v>306.96</v>
      </c>
      <c r="H7033" s="63" t="n">
        <v>0</v>
      </c>
      <c r="I7033" s="62" t="n">
        <v>198.09</v>
      </c>
      <c r="J7033" s="58" t="inlineStr">
        <is>
          <t>Store</t>
        </is>
      </c>
      <c r="K7033" s="62">
        <f>F7033*(G7033-H7033)</f>
        <v/>
      </c>
      <c r="L7033" s="62">
        <f>K7033-(F7033*I7033)</f>
        <v/>
      </c>
      <c r="M7033" s="64">
        <f>L7033/K7033</f>
        <v/>
      </c>
    </row>
    <row r="7034">
      <c r="A7034" s="58" t="inlineStr">
        <is>
          <t>RT20250627-07033</t>
        </is>
      </c>
      <c r="B7034" s="59" t="inlineStr">
        <is>
          <t>2025-06-27</t>
        </is>
      </c>
      <c r="C7034" s="60" t="inlineStr">
        <is>
          <t>Vertex Headphone Pro-801</t>
        </is>
      </c>
      <c r="D7034" s="58" t="inlineStr">
        <is>
          <t>Electronics</t>
        </is>
      </c>
      <c r="E7034" s="58" t="inlineStr">
        <is>
          <t>East</t>
        </is>
      </c>
      <c r="F7034" s="61" t="n">
        <v>1</v>
      </c>
      <c r="G7034" s="62" t="n">
        <v>1392.37</v>
      </c>
      <c r="H7034" s="63" t="n">
        <v>0.067</v>
      </c>
      <c r="I7034" s="62" t="n">
        <v>990.73</v>
      </c>
      <c r="J7034" s="58" t="inlineStr">
        <is>
          <t>Online</t>
        </is>
      </c>
      <c r="K7034" s="62">
        <f>F7034*(G7034-H7034)</f>
        <v/>
      </c>
      <c r="L7034" s="62">
        <f>K7034-(F7034*I7034)</f>
        <v/>
      </c>
      <c r="M7034" s="64">
        <f>L7034/K7034</f>
        <v/>
      </c>
    </row>
    <row r="7035">
      <c r="A7035" s="58" t="inlineStr">
        <is>
          <t>RT20250627-07034</t>
        </is>
      </c>
      <c r="B7035" s="59" t="inlineStr">
        <is>
          <t>2025-06-27</t>
        </is>
      </c>
      <c r="C7035" s="60" t="inlineStr">
        <is>
          <t>Aurora Fitnes Lite-194</t>
        </is>
      </c>
      <c r="D7035" s="58" t="inlineStr">
        <is>
          <t>Sports</t>
        </is>
      </c>
      <c r="E7035" s="58" t="inlineStr">
        <is>
          <t>East</t>
        </is>
      </c>
      <c r="F7035" s="61" t="n">
        <v>2</v>
      </c>
      <c r="G7035" s="62" t="n">
        <v>630.53</v>
      </c>
      <c r="H7035" s="63" t="n">
        <v>0.067</v>
      </c>
      <c r="I7035" s="62" t="n">
        <v>452.13</v>
      </c>
      <c r="J7035" s="58" t="inlineStr">
        <is>
          <t>Store</t>
        </is>
      </c>
      <c r="K7035" s="62">
        <f>F7035*(G7035-H7035)</f>
        <v/>
      </c>
      <c r="L7035" s="62">
        <f>K7035-(F7035*I7035)</f>
        <v/>
      </c>
      <c r="M7035" s="64">
        <f>L7035/K7035</f>
        <v/>
      </c>
    </row>
    <row r="7036">
      <c r="A7036" s="58" t="inlineStr">
        <is>
          <t>RT20250627-07035</t>
        </is>
      </c>
      <c r="B7036" s="59" t="inlineStr">
        <is>
          <t>2025-06-27</t>
        </is>
      </c>
      <c r="C7036" s="60" t="inlineStr">
        <is>
          <t>Aurora Wearable Lite-704</t>
        </is>
      </c>
      <c r="D7036" s="58" t="inlineStr">
        <is>
          <t>Electronics</t>
        </is>
      </c>
      <c r="E7036" s="58" t="inlineStr">
        <is>
          <t>North</t>
        </is>
      </c>
      <c r="F7036" s="61" t="n">
        <v>1</v>
      </c>
      <c r="G7036" s="62" t="n">
        <v>2168.03</v>
      </c>
      <c r="H7036" s="63" t="n">
        <v>0.044</v>
      </c>
      <c r="I7036" s="62" t="n">
        <v>1433.58</v>
      </c>
      <c r="J7036" s="58" t="inlineStr">
        <is>
          <t>Online</t>
        </is>
      </c>
      <c r="K7036" s="62">
        <f>F7036*(G7036-H7036)</f>
        <v/>
      </c>
      <c r="L7036" s="62">
        <f>K7036-(F7036*I7036)</f>
        <v/>
      </c>
      <c r="M7036" s="64">
        <f>L7036/K7036</f>
        <v/>
      </c>
    </row>
    <row r="7037">
      <c r="A7037" s="58" t="inlineStr">
        <is>
          <t>RT20250627-07036</t>
        </is>
      </c>
      <c r="B7037" s="59" t="inlineStr">
        <is>
          <t>2025-06-27</t>
        </is>
      </c>
      <c r="C7037" s="60" t="inlineStr">
        <is>
          <t>Orion Snack X-322</t>
        </is>
      </c>
      <c r="D7037" s="58" t="inlineStr">
        <is>
          <t>Grocery</t>
        </is>
      </c>
      <c r="E7037" s="58" t="inlineStr">
        <is>
          <t>West</t>
        </is>
      </c>
      <c r="F7037" s="61" t="n">
        <v>5</v>
      </c>
      <c r="G7037" s="62" t="n">
        <v>15.15</v>
      </c>
      <c r="H7037" s="63" t="n">
        <v>0.08</v>
      </c>
      <c r="I7037" s="62" t="n">
        <v>9.93</v>
      </c>
      <c r="J7037" s="58" t="inlineStr">
        <is>
          <t>Online</t>
        </is>
      </c>
      <c r="K7037" s="62">
        <f>F7037*(G7037-H7037)</f>
        <v/>
      </c>
      <c r="L7037" s="62">
        <f>K7037-(F7037*I7037)</f>
        <v/>
      </c>
      <c r="M7037" s="64">
        <f>L7037/K7037</f>
        <v/>
      </c>
    </row>
    <row r="7038">
      <c r="A7038" s="58" t="inlineStr">
        <is>
          <t>RT20250627-07037</t>
        </is>
      </c>
      <c r="B7038" s="59" t="inlineStr">
        <is>
          <t>2025-06-27</t>
        </is>
      </c>
      <c r="C7038" s="60" t="inlineStr">
        <is>
          <t>Solace Laptop S-367</t>
        </is>
      </c>
      <c r="D7038" s="58" t="inlineStr">
        <is>
          <t>Electronics</t>
        </is>
      </c>
      <c r="E7038" s="58" t="inlineStr">
        <is>
          <t>Central</t>
        </is>
      </c>
      <c r="F7038" s="61" t="n">
        <v>1</v>
      </c>
      <c r="G7038" s="62" t="n">
        <v>2289.99</v>
      </c>
      <c r="H7038" s="63" t="n">
        <v>0.037</v>
      </c>
      <c r="I7038" s="62" t="n">
        <v>1557.49</v>
      </c>
      <c r="J7038" s="58" t="inlineStr">
        <is>
          <t>Store</t>
        </is>
      </c>
      <c r="K7038" s="62">
        <f>F7038*(G7038-H7038)</f>
        <v/>
      </c>
      <c r="L7038" s="62">
        <f>K7038-(F7038*I7038)</f>
        <v/>
      </c>
      <c r="M7038" s="64">
        <f>L7038/K7038</f>
        <v/>
      </c>
    </row>
    <row r="7039">
      <c r="A7039" s="58" t="inlineStr">
        <is>
          <t>RT20250627-07038</t>
        </is>
      </c>
      <c r="B7039" s="59" t="inlineStr">
        <is>
          <t>2025-06-27</t>
        </is>
      </c>
      <c r="C7039" s="60" t="inlineStr">
        <is>
          <t>Solace Smartphone Lite-533</t>
        </is>
      </c>
      <c r="D7039" s="58" t="inlineStr">
        <is>
          <t>Electronics</t>
        </is>
      </c>
      <c r="E7039" s="58" t="inlineStr">
        <is>
          <t>South</t>
        </is>
      </c>
      <c r="F7039" s="61" t="n">
        <v>2</v>
      </c>
      <c r="G7039" s="62" t="n">
        <v>1191.44</v>
      </c>
      <c r="H7039" s="63" t="n">
        <v>0.102</v>
      </c>
      <c r="I7039" s="62" t="n">
        <v>914.23</v>
      </c>
      <c r="J7039" s="58" t="inlineStr">
        <is>
          <t>Online</t>
        </is>
      </c>
      <c r="K7039" s="62">
        <f>F7039*(G7039-H7039)</f>
        <v/>
      </c>
      <c r="L7039" s="62">
        <f>K7039-(F7039*I7039)</f>
        <v/>
      </c>
      <c r="M7039" s="64">
        <f>L7039/K7039</f>
        <v/>
      </c>
    </row>
    <row r="7040">
      <c r="A7040" s="58" t="inlineStr">
        <is>
          <t>RT20250627-07039</t>
        </is>
      </c>
      <c r="B7040" s="59" t="inlineStr">
        <is>
          <t>2025-06-27</t>
        </is>
      </c>
      <c r="C7040" s="60" t="inlineStr">
        <is>
          <t>Solace Snack S-691</t>
        </is>
      </c>
      <c r="D7040" s="58" t="inlineStr">
        <is>
          <t>Grocery</t>
        </is>
      </c>
      <c r="E7040" s="58" t="inlineStr">
        <is>
          <t>Central</t>
        </is>
      </c>
      <c r="F7040" s="61" t="n">
        <v>6</v>
      </c>
      <c r="G7040" s="62" t="n">
        <v>10.95</v>
      </c>
      <c r="H7040" s="63" t="n">
        <v>0.067</v>
      </c>
      <c r="I7040" s="62" t="n">
        <v>6.99</v>
      </c>
      <c r="J7040" s="58" t="inlineStr">
        <is>
          <t>Store</t>
        </is>
      </c>
      <c r="K7040" s="62">
        <f>F7040*(G7040-H7040)</f>
        <v/>
      </c>
      <c r="L7040" s="62">
        <f>K7040-(F7040*I7040)</f>
        <v/>
      </c>
      <c r="M7040" s="64">
        <f>L7040/K7040</f>
        <v/>
      </c>
    </row>
    <row r="7041">
      <c r="A7041" s="58" t="inlineStr">
        <is>
          <t>RT20250627-07040</t>
        </is>
      </c>
      <c r="B7041" s="59" t="inlineStr">
        <is>
          <t>2025-06-27</t>
        </is>
      </c>
      <c r="C7041" s="60" t="inlineStr">
        <is>
          <t>Metro Accessorie Lite-697</t>
        </is>
      </c>
      <c r="D7041" s="58" t="inlineStr">
        <is>
          <t>Apparel</t>
        </is>
      </c>
      <c r="E7041" s="58" t="inlineStr">
        <is>
          <t>East</t>
        </is>
      </c>
      <c r="F7041" s="61" t="n">
        <v>3</v>
      </c>
      <c r="G7041" s="62" t="n">
        <v>135.05</v>
      </c>
      <c r="H7041" s="63" t="n">
        <v>0.077</v>
      </c>
      <c r="I7041" s="62" t="n">
        <v>74.37</v>
      </c>
      <c r="J7041" s="58" t="inlineStr">
        <is>
          <t>Store</t>
        </is>
      </c>
      <c r="K7041" s="62">
        <f>F7041*(G7041-H7041)</f>
        <v/>
      </c>
      <c r="L7041" s="62">
        <f>K7041-(F7041*I7041)</f>
        <v/>
      </c>
      <c r="M7041" s="64">
        <f>L7041/K7041</f>
        <v/>
      </c>
    </row>
    <row r="7042">
      <c r="A7042" s="58" t="inlineStr">
        <is>
          <t>RT20250627-07041</t>
        </is>
      </c>
      <c r="B7042" s="59" t="inlineStr">
        <is>
          <t>2025-06-27</t>
        </is>
      </c>
      <c r="C7042" s="60" t="inlineStr">
        <is>
          <t>Vertex Appliance Max-338</t>
        </is>
      </c>
      <c r="D7042" s="58" t="inlineStr">
        <is>
          <t>Home</t>
        </is>
      </c>
      <c r="E7042" s="58" t="inlineStr">
        <is>
          <t>South</t>
        </is>
      </c>
      <c r="F7042" s="61" t="n">
        <v>1</v>
      </c>
      <c r="G7042" s="62" t="n">
        <v>410.33</v>
      </c>
      <c r="H7042" s="63" t="n">
        <v>0.056</v>
      </c>
      <c r="I7042" s="62" t="n">
        <v>282.49</v>
      </c>
      <c r="J7042" s="58" t="inlineStr">
        <is>
          <t>Online</t>
        </is>
      </c>
      <c r="K7042" s="62">
        <f>F7042*(G7042-H7042)</f>
        <v/>
      </c>
      <c r="L7042" s="62">
        <f>K7042-(F7042*I7042)</f>
        <v/>
      </c>
      <c r="M7042" s="64">
        <f>L7042/K7042</f>
        <v/>
      </c>
    </row>
    <row r="7043">
      <c r="A7043" s="58" t="inlineStr">
        <is>
          <t>RT20250627-07042</t>
        </is>
      </c>
      <c r="B7043" s="59" t="inlineStr">
        <is>
          <t>2025-06-27</t>
        </is>
      </c>
      <c r="C7043" s="60" t="inlineStr">
        <is>
          <t>Vertex Skincare Pro-891</t>
        </is>
      </c>
      <c r="D7043" s="58" t="inlineStr">
        <is>
          <t>Beauty</t>
        </is>
      </c>
      <c r="E7043" s="58" t="inlineStr">
        <is>
          <t>West</t>
        </is>
      </c>
      <c r="F7043" s="61" t="n">
        <v>4</v>
      </c>
      <c r="G7043" s="62" t="n">
        <v>143.46</v>
      </c>
      <c r="H7043" s="63" t="n">
        <v>0.043</v>
      </c>
      <c r="I7043" s="62" t="n">
        <v>87.81999999999999</v>
      </c>
      <c r="J7043" s="58" t="inlineStr">
        <is>
          <t>Store</t>
        </is>
      </c>
      <c r="K7043" s="62">
        <f>F7043*(G7043-H7043)</f>
        <v/>
      </c>
      <c r="L7043" s="62">
        <f>K7043-(F7043*I7043)</f>
        <v/>
      </c>
      <c r="M7043" s="64">
        <f>L7043/K7043</f>
        <v/>
      </c>
    </row>
    <row r="7044">
      <c r="A7044" s="58" t="inlineStr">
        <is>
          <t>RT20250627-07043</t>
        </is>
      </c>
      <c r="B7044" s="59" t="inlineStr">
        <is>
          <t>2025-06-27</t>
        </is>
      </c>
      <c r="C7044" s="60" t="inlineStr">
        <is>
          <t>Orion Laptop S-350</t>
        </is>
      </c>
      <c r="D7044" s="58" t="inlineStr">
        <is>
          <t>Electronics</t>
        </is>
      </c>
      <c r="E7044" s="58" t="inlineStr">
        <is>
          <t>Central</t>
        </is>
      </c>
      <c r="F7044" s="61" t="n">
        <v>1</v>
      </c>
      <c r="G7044" s="62" t="n">
        <v>1534.18</v>
      </c>
      <c r="H7044" s="63" t="n">
        <v>0</v>
      </c>
      <c r="I7044" s="62" t="n">
        <v>1097.33</v>
      </c>
      <c r="J7044" s="58" t="inlineStr">
        <is>
          <t>Store</t>
        </is>
      </c>
      <c r="K7044" s="62">
        <f>F7044*(G7044-H7044)</f>
        <v/>
      </c>
      <c r="L7044" s="62">
        <f>K7044-(F7044*I7044)</f>
        <v/>
      </c>
      <c r="M7044" s="64">
        <f>L7044/K7044</f>
        <v/>
      </c>
    </row>
    <row r="7045">
      <c r="A7045" s="58" t="inlineStr">
        <is>
          <t>RT20250627-07044</t>
        </is>
      </c>
      <c r="B7045" s="59" t="inlineStr">
        <is>
          <t>2025-06-27</t>
        </is>
      </c>
      <c r="C7045" s="60" t="inlineStr">
        <is>
          <t>Nimbus Headphone X-854</t>
        </is>
      </c>
      <c r="D7045" s="58" t="inlineStr">
        <is>
          <t>Electronics</t>
        </is>
      </c>
      <c r="E7045" s="58" t="inlineStr">
        <is>
          <t>East</t>
        </is>
      </c>
      <c r="F7045" s="61" t="n">
        <v>1</v>
      </c>
      <c r="G7045" s="62" t="n">
        <v>1548.73</v>
      </c>
      <c r="H7045" s="63" t="n">
        <v>0.029</v>
      </c>
      <c r="I7045" s="62" t="n">
        <v>1249.62</v>
      </c>
      <c r="J7045" s="58" t="inlineStr">
        <is>
          <t>Online</t>
        </is>
      </c>
      <c r="K7045" s="62">
        <f>F7045*(G7045-H7045)</f>
        <v/>
      </c>
      <c r="L7045" s="62">
        <f>K7045-(F7045*I7045)</f>
        <v/>
      </c>
      <c r="M7045" s="64">
        <f>L7045/K7045</f>
        <v/>
      </c>
    </row>
    <row r="7046">
      <c r="A7046" s="58" t="inlineStr">
        <is>
          <t>RT20250627-07045</t>
        </is>
      </c>
      <c r="B7046" s="59" t="inlineStr">
        <is>
          <t>2025-06-27</t>
        </is>
      </c>
      <c r="C7046" s="60" t="inlineStr">
        <is>
          <t>Vertex Supplie Pro-786</t>
        </is>
      </c>
      <c r="D7046" s="58" t="inlineStr">
        <is>
          <t>Office</t>
        </is>
      </c>
      <c r="E7046" s="58" t="inlineStr">
        <is>
          <t>Central</t>
        </is>
      </c>
      <c r="F7046" s="61" t="n">
        <v>2</v>
      </c>
      <c r="G7046" s="62" t="n">
        <v>391.57</v>
      </c>
      <c r="H7046" s="63" t="n">
        <v>0.027</v>
      </c>
      <c r="I7046" s="62" t="n">
        <v>296.56</v>
      </c>
      <c r="J7046" s="58" t="inlineStr">
        <is>
          <t>Online</t>
        </is>
      </c>
      <c r="K7046" s="62">
        <f>F7046*(G7046-H7046)</f>
        <v/>
      </c>
      <c r="L7046" s="62">
        <f>K7046-(F7046*I7046)</f>
        <v/>
      </c>
      <c r="M7046" s="64">
        <f>L7046/K7046</f>
        <v/>
      </c>
    </row>
    <row r="7047">
      <c r="A7047" s="58" t="inlineStr">
        <is>
          <t>RT20250627-07046</t>
        </is>
      </c>
      <c r="B7047" s="59" t="inlineStr">
        <is>
          <t>2025-06-27</t>
        </is>
      </c>
      <c r="C7047" s="60" t="inlineStr">
        <is>
          <t>Vertex Appliance Max-338</t>
        </is>
      </c>
      <c r="D7047" s="58" t="inlineStr">
        <is>
          <t>Home</t>
        </is>
      </c>
      <c r="E7047" s="58" t="inlineStr">
        <is>
          <t>East</t>
        </is>
      </c>
      <c r="F7047" s="61" t="n">
        <v>2</v>
      </c>
      <c r="G7047" s="62" t="n">
        <v>463.9</v>
      </c>
      <c r="H7047" s="63" t="n">
        <v>0</v>
      </c>
      <c r="I7047" s="62" t="n">
        <v>282.45</v>
      </c>
      <c r="J7047" s="58" t="inlineStr">
        <is>
          <t>Store</t>
        </is>
      </c>
      <c r="K7047" s="62">
        <f>F7047*(G7047-H7047)</f>
        <v/>
      </c>
      <c r="L7047" s="62">
        <f>K7047-(F7047*I7047)</f>
        <v/>
      </c>
      <c r="M7047" s="64">
        <f>L7047/K7047</f>
        <v/>
      </c>
    </row>
    <row r="7048">
      <c r="A7048" s="58" t="inlineStr">
        <is>
          <t>RT20250627-07047</t>
        </is>
      </c>
      <c r="B7048" s="59" t="inlineStr">
        <is>
          <t>2025-06-27</t>
        </is>
      </c>
      <c r="C7048" s="60" t="inlineStr">
        <is>
          <t>Solace Team Sport Max-548</t>
        </is>
      </c>
      <c r="D7048" s="58" t="inlineStr">
        <is>
          <t>Sports</t>
        </is>
      </c>
      <c r="E7048" s="58" t="inlineStr">
        <is>
          <t>Central</t>
        </is>
      </c>
      <c r="F7048" s="61" t="n">
        <v>1</v>
      </c>
      <c r="G7048" s="62" t="n">
        <v>763.51</v>
      </c>
      <c r="H7048" s="63" t="n">
        <v>0.056</v>
      </c>
      <c r="I7048" s="62" t="n">
        <v>491.82</v>
      </c>
      <c r="J7048" s="58" t="inlineStr">
        <is>
          <t>Store</t>
        </is>
      </c>
      <c r="K7048" s="62">
        <f>F7048*(G7048-H7048)</f>
        <v/>
      </c>
      <c r="L7048" s="62">
        <f>K7048-(F7048*I7048)</f>
        <v/>
      </c>
      <c r="M7048" s="64">
        <f>L7048/K7048</f>
        <v/>
      </c>
    </row>
    <row r="7049">
      <c r="A7049" s="58" t="inlineStr">
        <is>
          <t>RT20250627-07048</t>
        </is>
      </c>
      <c r="B7049" s="59" t="inlineStr">
        <is>
          <t>2025-06-27</t>
        </is>
      </c>
      <c r="C7049" s="60" t="inlineStr">
        <is>
          <t>Nimbus Men Plus-231</t>
        </is>
      </c>
      <c r="D7049" s="58" t="inlineStr">
        <is>
          <t>Apparel</t>
        </is>
      </c>
      <c r="E7049" s="58" t="inlineStr">
        <is>
          <t>South</t>
        </is>
      </c>
      <c r="F7049" s="61" t="n">
        <v>2</v>
      </c>
      <c r="G7049" s="62" t="n">
        <v>154.06</v>
      </c>
      <c r="H7049" s="63" t="n">
        <v>0.051</v>
      </c>
      <c r="I7049" s="62" t="n">
        <v>86.91</v>
      </c>
      <c r="J7049" s="58" t="inlineStr">
        <is>
          <t>Online</t>
        </is>
      </c>
      <c r="K7049" s="62">
        <f>F7049*(G7049-H7049)</f>
        <v/>
      </c>
      <c r="L7049" s="62">
        <f>K7049-(F7049*I7049)</f>
        <v/>
      </c>
      <c r="M7049" s="64">
        <f>L7049/K7049</f>
        <v/>
      </c>
    </row>
    <row r="7050">
      <c r="A7050" s="58" t="inlineStr">
        <is>
          <t>RT20250627-07049</t>
        </is>
      </c>
      <c r="B7050" s="59" t="inlineStr">
        <is>
          <t>2025-06-27</t>
        </is>
      </c>
      <c r="C7050" s="60" t="inlineStr">
        <is>
          <t>Metro Accessorie Max-316</t>
        </is>
      </c>
      <c r="D7050" s="58" t="inlineStr">
        <is>
          <t>Apparel</t>
        </is>
      </c>
      <c r="E7050" s="58" t="inlineStr">
        <is>
          <t>Central</t>
        </is>
      </c>
      <c r="F7050" s="61" t="n">
        <v>4</v>
      </c>
      <c r="G7050" s="62" t="n">
        <v>171.9</v>
      </c>
      <c r="H7050" s="63" t="n">
        <v>0.056</v>
      </c>
      <c r="I7050" s="62" t="n">
        <v>95.34</v>
      </c>
      <c r="J7050" s="58" t="inlineStr">
        <is>
          <t>Online</t>
        </is>
      </c>
      <c r="K7050" s="62">
        <f>F7050*(G7050-H7050)</f>
        <v/>
      </c>
      <c r="L7050" s="62">
        <f>K7050-(F7050*I7050)</f>
        <v/>
      </c>
      <c r="M7050" s="64">
        <f>L7050/K7050</f>
        <v/>
      </c>
    </row>
    <row r="7051">
      <c r="A7051" s="58" t="inlineStr">
        <is>
          <t>RT20250627-07050</t>
        </is>
      </c>
      <c r="B7051" s="59" t="inlineStr">
        <is>
          <t>2025-06-27</t>
        </is>
      </c>
      <c r="C7051" s="60" t="inlineStr">
        <is>
          <t>Aurora Kid Plus-151</t>
        </is>
      </c>
      <c r="D7051" s="58" t="inlineStr">
        <is>
          <t>Apparel</t>
        </is>
      </c>
      <c r="E7051" s="58" t="inlineStr">
        <is>
          <t>Central</t>
        </is>
      </c>
      <c r="F7051" s="61" t="n">
        <v>1</v>
      </c>
      <c r="G7051" s="62" t="n">
        <v>115.48</v>
      </c>
      <c r="H7051" s="63" t="n">
        <v>0.057</v>
      </c>
      <c r="I7051" s="62" t="n">
        <v>62.98</v>
      </c>
      <c r="J7051" s="58" t="inlineStr">
        <is>
          <t>Online</t>
        </is>
      </c>
      <c r="K7051" s="62">
        <f>F7051*(G7051-H7051)</f>
        <v/>
      </c>
      <c r="L7051" s="62">
        <f>K7051-(F7051*I7051)</f>
        <v/>
      </c>
      <c r="M7051" s="64">
        <f>L7051/K7051</f>
        <v/>
      </c>
    </row>
    <row r="7052">
      <c r="A7052" s="58" t="inlineStr">
        <is>
          <t>RT20250627-07051</t>
        </is>
      </c>
      <c r="B7052" s="59" t="inlineStr">
        <is>
          <t>2025-06-27</t>
        </is>
      </c>
      <c r="C7052" s="60" t="inlineStr">
        <is>
          <t>Metro Wearable Plus-234</t>
        </is>
      </c>
      <c r="D7052" s="58" t="inlineStr">
        <is>
          <t>Electronics</t>
        </is>
      </c>
      <c r="E7052" s="58" t="inlineStr">
        <is>
          <t>West</t>
        </is>
      </c>
      <c r="F7052" s="61" t="n">
        <v>1</v>
      </c>
      <c r="G7052" s="62" t="n">
        <v>1488.61</v>
      </c>
      <c r="H7052" s="63" t="n">
        <v>0.035</v>
      </c>
      <c r="I7052" s="62" t="n">
        <v>1163.39</v>
      </c>
      <c r="J7052" s="58" t="inlineStr">
        <is>
          <t>Online</t>
        </is>
      </c>
      <c r="K7052" s="62">
        <f>F7052*(G7052-H7052)</f>
        <v/>
      </c>
      <c r="L7052" s="62">
        <f>K7052-(F7052*I7052)</f>
        <v/>
      </c>
      <c r="M7052" s="64">
        <f>L7052/K7052</f>
        <v/>
      </c>
    </row>
    <row r="7053">
      <c r="A7053" s="58" t="inlineStr">
        <is>
          <t>RT20250627-07052</t>
        </is>
      </c>
      <c r="B7053" s="59" t="inlineStr">
        <is>
          <t>2025-06-27</t>
        </is>
      </c>
      <c r="C7053" s="60" t="inlineStr">
        <is>
          <t>Aurora Bedding Max-175</t>
        </is>
      </c>
      <c r="D7053" s="58" t="inlineStr">
        <is>
          <t>Home</t>
        </is>
      </c>
      <c r="E7053" s="58" t="inlineStr">
        <is>
          <t>East</t>
        </is>
      </c>
      <c r="F7053" s="61" t="n">
        <v>2</v>
      </c>
      <c r="G7053" s="62" t="n">
        <v>566.4400000000001</v>
      </c>
      <c r="H7053" s="63" t="n">
        <v>0.156</v>
      </c>
      <c r="I7053" s="62" t="n">
        <v>401.72</v>
      </c>
      <c r="J7053" s="58" t="inlineStr">
        <is>
          <t>Online</t>
        </is>
      </c>
      <c r="K7053" s="62">
        <f>F7053*(G7053-H7053)</f>
        <v/>
      </c>
      <c r="L7053" s="62">
        <f>K7053-(F7053*I7053)</f>
        <v/>
      </c>
      <c r="M7053" s="64">
        <f>L7053/K7053</f>
        <v/>
      </c>
    </row>
    <row r="7054">
      <c r="A7054" s="58" t="inlineStr">
        <is>
          <t>RT20250627-07053</t>
        </is>
      </c>
      <c r="B7054" s="59" t="inlineStr">
        <is>
          <t>2025-06-27</t>
        </is>
      </c>
      <c r="C7054" s="60" t="inlineStr">
        <is>
          <t>Nimbus Fitnes Lite-516</t>
        </is>
      </c>
      <c r="D7054" s="58" t="inlineStr">
        <is>
          <t>Sports</t>
        </is>
      </c>
      <c r="E7054" s="58" t="inlineStr">
        <is>
          <t>South</t>
        </is>
      </c>
      <c r="F7054" s="61" t="n">
        <v>1</v>
      </c>
      <c r="G7054" s="62" t="n">
        <v>714.77</v>
      </c>
      <c r="H7054" s="63" t="n">
        <v>0.034</v>
      </c>
      <c r="I7054" s="62" t="n">
        <v>460.04</v>
      </c>
      <c r="J7054" s="58" t="inlineStr">
        <is>
          <t>Online</t>
        </is>
      </c>
      <c r="K7054" s="62">
        <f>F7054*(G7054-H7054)</f>
        <v/>
      </c>
      <c r="L7054" s="62">
        <f>K7054-(F7054*I7054)</f>
        <v/>
      </c>
      <c r="M7054" s="64">
        <f>L7054/K7054</f>
        <v/>
      </c>
    </row>
    <row r="7055">
      <c r="A7055" s="58" t="inlineStr">
        <is>
          <t>RT20250627-07054</t>
        </is>
      </c>
      <c r="B7055" s="59" t="inlineStr">
        <is>
          <t>2025-06-27</t>
        </is>
      </c>
      <c r="C7055" s="60" t="inlineStr">
        <is>
          <t>Nimbus Furniture Pro-479</t>
        </is>
      </c>
      <c r="D7055" s="58" t="inlineStr">
        <is>
          <t>Office</t>
        </is>
      </c>
      <c r="E7055" s="58" t="inlineStr">
        <is>
          <t>North</t>
        </is>
      </c>
      <c r="F7055" s="61" t="n">
        <v>1</v>
      </c>
      <c r="G7055" s="62" t="n">
        <v>337.93</v>
      </c>
      <c r="H7055" s="63" t="n">
        <v>0.053</v>
      </c>
      <c r="I7055" s="62" t="n">
        <v>236.79</v>
      </c>
      <c r="J7055" s="58" t="inlineStr">
        <is>
          <t>Online</t>
        </is>
      </c>
      <c r="K7055" s="62">
        <f>F7055*(G7055-H7055)</f>
        <v/>
      </c>
      <c r="L7055" s="62">
        <f>K7055-(F7055*I7055)</f>
        <v/>
      </c>
      <c r="M7055" s="64">
        <f>L7055/K7055</f>
        <v/>
      </c>
    </row>
    <row r="7056">
      <c r="A7056" s="58" t="inlineStr">
        <is>
          <t>RT20250627-07055</t>
        </is>
      </c>
      <c r="B7056" s="59" t="inlineStr">
        <is>
          <t>2025-06-27</t>
        </is>
      </c>
      <c r="C7056" s="60" t="inlineStr">
        <is>
          <t>Falcon Cycling Pro-499</t>
        </is>
      </c>
      <c r="D7056" s="58" t="inlineStr">
        <is>
          <t>Sports</t>
        </is>
      </c>
      <c r="E7056" s="58" t="inlineStr">
        <is>
          <t>Central</t>
        </is>
      </c>
      <c r="F7056" s="61" t="n">
        <v>2</v>
      </c>
      <c r="G7056" s="62" t="n">
        <v>672.72</v>
      </c>
      <c r="H7056" s="63" t="n">
        <v>0.033</v>
      </c>
      <c r="I7056" s="62" t="n">
        <v>401.98</v>
      </c>
      <c r="J7056" s="58" t="inlineStr">
        <is>
          <t>Online</t>
        </is>
      </c>
      <c r="K7056" s="62">
        <f>F7056*(G7056-H7056)</f>
        <v/>
      </c>
      <c r="L7056" s="62">
        <f>K7056-(F7056*I7056)</f>
        <v/>
      </c>
      <c r="M7056" s="64">
        <f>L7056/K7056</f>
        <v/>
      </c>
    </row>
    <row r="7057">
      <c r="A7057" s="58" t="inlineStr">
        <is>
          <t>RT20250627-07056</t>
        </is>
      </c>
      <c r="B7057" s="59" t="inlineStr">
        <is>
          <t>2025-06-27</t>
        </is>
      </c>
      <c r="C7057" s="60" t="inlineStr">
        <is>
          <t>Polar Outdoor X-193</t>
        </is>
      </c>
      <c r="D7057" s="58" t="inlineStr">
        <is>
          <t>Sports</t>
        </is>
      </c>
      <c r="E7057" s="58" t="inlineStr">
        <is>
          <t>Central</t>
        </is>
      </c>
      <c r="F7057" s="61" t="n">
        <v>3</v>
      </c>
      <c r="G7057" s="62" t="n">
        <v>742.35</v>
      </c>
      <c r="H7057" s="63" t="n">
        <v>0.06900000000000001</v>
      </c>
      <c r="I7057" s="62" t="n">
        <v>460.36</v>
      </c>
      <c r="J7057" s="58" t="inlineStr">
        <is>
          <t>Online</t>
        </is>
      </c>
      <c r="K7057" s="62">
        <f>F7057*(G7057-H7057)</f>
        <v/>
      </c>
      <c r="L7057" s="62">
        <f>K7057-(F7057*I7057)</f>
        <v/>
      </c>
      <c r="M7057" s="64">
        <f>L7057/K7057</f>
        <v/>
      </c>
    </row>
    <row r="7058">
      <c r="A7058" s="58" t="inlineStr">
        <is>
          <t>RT20250627-07057</t>
        </is>
      </c>
      <c r="B7058" s="59" t="inlineStr">
        <is>
          <t>2025-06-27</t>
        </is>
      </c>
      <c r="C7058" s="60" t="inlineStr">
        <is>
          <t>Vertex Furniture S-652</t>
        </is>
      </c>
      <c r="D7058" s="58" t="inlineStr">
        <is>
          <t>Office</t>
        </is>
      </c>
      <c r="E7058" s="58" t="inlineStr">
        <is>
          <t>North</t>
        </is>
      </c>
      <c r="F7058" s="61" t="n">
        <v>1</v>
      </c>
      <c r="G7058" s="62" t="n">
        <v>350.75</v>
      </c>
      <c r="H7058" s="63" t="n">
        <v>0.083</v>
      </c>
      <c r="I7058" s="62" t="n">
        <v>270.13</v>
      </c>
      <c r="J7058" s="58" t="inlineStr">
        <is>
          <t>Online</t>
        </is>
      </c>
      <c r="K7058" s="62">
        <f>F7058*(G7058-H7058)</f>
        <v/>
      </c>
      <c r="L7058" s="62">
        <f>K7058-(F7058*I7058)</f>
        <v/>
      </c>
      <c r="M7058" s="64">
        <f>L7058/K7058</f>
        <v/>
      </c>
    </row>
    <row r="7059">
      <c r="A7059" s="58" t="inlineStr">
        <is>
          <t>RT20250627-07058</t>
        </is>
      </c>
      <c r="B7059" s="59" t="inlineStr">
        <is>
          <t>2025-06-27</t>
        </is>
      </c>
      <c r="C7059" s="60" t="inlineStr">
        <is>
          <t>Aurora Printer Plus-991</t>
        </is>
      </c>
      <c r="D7059" s="58" t="inlineStr">
        <is>
          <t>Office</t>
        </is>
      </c>
      <c r="E7059" s="58" t="inlineStr">
        <is>
          <t>North</t>
        </is>
      </c>
      <c r="F7059" s="61" t="n">
        <v>2</v>
      </c>
      <c r="G7059" s="62" t="n">
        <v>422.36</v>
      </c>
      <c r="H7059" s="63" t="n">
        <v>0.047</v>
      </c>
      <c r="I7059" s="62" t="n">
        <v>369.89</v>
      </c>
      <c r="J7059" s="58" t="inlineStr">
        <is>
          <t>Online</t>
        </is>
      </c>
      <c r="K7059" s="62">
        <f>F7059*(G7059-H7059)</f>
        <v/>
      </c>
      <c r="L7059" s="62">
        <f>K7059-(F7059*I7059)</f>
        <v/>
      </c>
      <c r="M7059" s="64">
        <f>L7059/K7059</f>
        <v/>
      </c>
    </row>
    <row r="7060">
      <c r="A7060" s="58" t="inlineStr">
        <is>
          <t>RT20250627-07059</t>
        </is>
      </c>
      <c r="B7060" s="59" t="inlineStr">
        <is>
          <t>2025-06-27</t>
        </is>
      </c>
      <c r="C7060" s="60" t="inlineStr">
        <is>
          <t>Solace Headphone Pro-344</t>
        </is>
      </c>
      <c r="D7060" s="58" t="inlineStr">
        <is>
          <t>Electronics</t>
        </is>
      </c>
      <c r="E7060" s="58" t="inlineStr">
        <is>
          <t>East</t>
        </is>
      </c>
      <c r="F7060" s="61" t="n">
        <v>2</v>
      </c>
      <c r="G7060" s="62" t="n">
        <v>1321.95</v>
      </c>
      <c r="H7060" s="63" t="n">
        <v>0.041</v>
      </c>
      <c r="I7060" s="62" t="n">
        <v>1065.4</v>
      </c>
      <c r="J7060" s="58" t="inlineStr">
        <is>
          <t>Online</t>
        </is>
      </c>
      <c r="K7060" s="62">
        <f>F7060*(G7060-H7060)</f>
        <v/>
      </c>
      <c r="L7060" s="62">
        <f>K7060-(F7060*I7060)</f>
        <v/>
      </c>
      <c r="M7060" s="64">
        <f>L7060/K7060</f>
        <v/>
      </c>
    </row>
    <row r="7061">
      <c r="A7061" s="58" t="inlineStr">
        <is>
          <t>RT20250627-07060</t>
        </is>
      </c>
      <c r="B7061" s="59" t="inlineStr">
        <is>
          <t>2025-06-27</t>
        </is>
      </c>
      <c r="C7061" s="60" t="inlineStr">
        <is>
          <t>Aurora Skincare Max-798</t>
        </is>
      </c>
      <c r="D7061" s="58" t="inlineStr">
        <is>
          <t>Beauty</t>
        </is>
      </c>
      <c r="E7061" s="58" t="inlineStr">
        <is>
          <t>South</t>
        </is>
      </c>
      <c r="F7061" s="61" t="n">
        <v>1</v>
      </c>
      <c r="G7061" s="62" t="n">
        <v>118.04</v>
      </c>
      <c r="H7061" s="63" t="n">
        <v>0.126</v>
      </c>
      <c r="I7061" s="62" t="n">
        <v>69.45999999999999</v>
      </c>
      <c r="J7061" s="58" t="inlineStr">
        <is>
          <t>Online</t>
        </is>
      </c>
      <c r="K7061" s="62">
        <f>F7061*(G7061-H7061)</f>
        <v/>
      </c>
      <c r="L7061" s="62">
        <f>K7061-(F7061*I7061)</f>
        <v/>
      </c>
      <c r="M7061" s="64">
        <f>L7061/K7061</f>
        <v/>
      </c>
    </row>
    <row r="7062">
      <c r="A7062" s="58" t="inlineStr">
        <is>
          <t>RT20250627-07061</t>
        </is>
      </c>
      <c r="B7062" s="59" t="inlineStr">
        <is>
          <t>2025-06-27</t>
        </is>
      </c>
      <c r="C7062" s="60" t="inlineStr">
        <is>
          <t>Aurora Printer Plus-723</t>
        </is>
      </c>
      <c r="D7062" s="58" t="inlineStr">
        <is>
          <t>Office</t>
        </is>
      </c>
      <c r="E7062" s="58" t="inlineStr">
        <is>
          <t>North</t>
        </is>
      </c>
      <c r="F7062" s="61" t="n">
        <v>2</v>
      </c>
      <c r="G7062" s="62" t="n">
        <v>265.88</v>
      </c>
      <c r="H7062" s="63" t="n">
        <v>0.057</v>
      </c>
      <c r="I7062" s="62" t="n">
        <v>188.05</v>
      </c>
      <c r="J7062" s="58" t="inlineStr">
        <is>
          <t>Store</t>
        </is>
      </c>
      <c r="K7062" s="62">
        <f>F7062*(G7062-H7062)</f>
        <v/>
      </c>
      <c r="L7062" s="62">
        <f>K7062-(F7062*I7062)</f>
        <v/>
      </c>
      <c r="M7062" s="64">
        <f>L7062/K7062</f>
        <v/>
      </c>
    </row>
    <row r="7063">
      <c r="A7063" s="58" t="inlineStr">
        <is>
          <t>RT20250627-07062</t>
        </is>
      </c>
      <c r="B7063" s="59" t="inlineStr">
        <is>
          <t>2025-06-27</t>
        </is>
      </c>
      <c r="C7063" s="60" t="inlineStr">
        <is>
          <t>Aurora Appliance Max-316</t>
        </is>
      </c>
      <c r="D7063" s="58" t="inlineStr">
        <is>
          <t>Home</t>
        </is>
      </c>
      <c r="E7063" s="58" t="inlineStr">
        <is>
          <t>North</t>
        </is>
      </c>
      <c r="F7063" s="61" t="n">
        <v>2</v>
      </c>
      <c r="G7063" s="62" t="n">
        <v>312.84</v>
      </c>
      <c r="H7063" s="63" t="n">
        <v>0.027</v>
      </c>
      <c r="I7063" s="62" t="n">
        <v>215.78</v>
      </c>
      <c r="J7063" s="58" t="inlineStr">
        <is>
          <t>Store</t>
        </is>
      </c>
      <c r="K7063" s="62">
        <f>F7063*(G7063-H7063)</f>
        <v/>
      </c>
      <c r="L7063" s="62">
        <f>K7063-(F7063*I7063)</f>
        <v/>
      </c>
      <c r="M7063" s="64">
        <f>L7063/K7063</f>
        <v/>
      </c>
    </row>
    <row r="7064">
      <c r="A7064" s="58" t="inlineStr">
        <is>
          <t>RT20250627-07063</t>
        </is>
      </c>
      <c r="B7064" s="59" t="inlineStr">
        <is>
          <t>2025-06-27</t>
        </is>
      </c>
      <c r="C7064" s="60" t="inlineStr">
        <is>
          <t>Polar Supplie Lite-348</t>
        </is>
      </c>
      <c r="D7064" s="58" t="inlineStr">
        <is>
          <t>Office</t>
        </is>
      </c>
      <c r="E7064" s="58" t="inlineStr">
        <is>
          <t>South</t>
        </is>
      </c>
      <c r="F7064" s="61" t="n">
        <v>2</v>
      </c>
      <c r="G7064" s="62" t="n">
        <v>488.45</v>
      </c>
      <c r="H7064" s="63" t="n">
        <v>0.066</v>
      </c>
      <c r="I7064" s="62" t="n">
        <v>321.9</v>
      </c>
      <c r="J7064" s="58" t="inlineStr">
        <is>
          <t>Store</t>
        </is>
      </c>
      <c r="K7064" s="62">
        <f>F7064*(G7064-H7064)</f>
        <v/>
      </c>
      <c r="L7064" s="62">
        <f>K7064-(F7064*I7064)</f>
        <v/>
      </c>
      <c r="M7064" s="64">
        <f>L7064/K7064</f>
        <v/>
      </c>
    </row>
    <row r="7065">
      <c r="A7065" s="58" t="inlineStr">
        <is>
          <t>RT20250627-07064</t>
        </is>
      </c>
      <c r="B7065" s="59" t="inlineStr">
        <is>
          <t>2025-06-27</t>
        </is>
      </c>
      <c r="C7065" s="60" t="inlineStr">
        <is>
          <t>Aurora Fitnes Lite-194</t>
        </is>
      </c>
      <c r="D7065" s="58" t="inlineStr">
        <is>
          <t>Sports</t>
        </is>
      </c>
      <c r="E7065" s="58" t="inlineStr">
        <is>
          <t>East</t>
        </is>
      </c>
      <c r="F7065" s="61" t="n">
        <v>3</v>
      </c>
      <c r="G7065" s="62" t="n">
        <v>631.73</v>
      </c>
      <c r="H7065" s="63" t="n">
        <v>0.066</v>
      </c>
      <c r="I7065" s="62" t="n">
        <v>474.84</v>
      </c>
      <c r="J7065" s="58" t="inlineStr">
        <is>
          <t>Online</t>
        </is>
      </c>
      <c r="K7065" s="62">
        <f>F7065*(G7065-H7065)</f>
        <v/>
      </c>
      <c r="L7065" s="62">
        <f>K7065-(F7065*I7065)</f>
        <v/>
      </c>
      <c r="M7065" s="64">
        <f>L7065/K7065</f>
        <v/>
      </c>
    </row>
    <row r="7066">
      <c r="A7066" s="58" t="inlineStr">
        <is>
          <t>RT20250627-07065</t>
        </is>
      </c>
      <c r="B7066" s="59" t="inlineStr">
        <is>
          <t>2025-06-27</t>
        </is>
      </c>
      <c r="C7066" s="60" t="inlineStr">
        <is>
          <t>Polar Outdoor Lite-318</t>
        </is>
      </c>
      <c r="D7066" s="58" t="inlineStr">
        <is>
          <t>Sports</t>
        </is>
      </c>
      <c r="E7066" s="58" t="inlineStr">
        <is>
          <t>North</t>
        </is>
      </c>
      <c r="F7066" s="61" t="n">
        <v>2</v>
      </c>
      <c r="G7066" s="62" t="n">
        <v>661.6</v>
      </c>
      <c r="H7066" s="63" t="n">
        <v>0.081</v>
      </c>
      <c r="I7066" s="62" t="n">
        <v>474.52</v>
      </c>
      <c r="J7066" s="58" t="inlineStr">
        <is>
          <t>Store</t>
        </is>
      </c>
      <c r="K7066" s="62">
        <f>F7066*(G7066-H7066)</f>
        <v/>
      </c>
      <c r="L7066" s="62">
        <f>K7066-(F7066*I7066)</f>
        <v/>
      </c>
      <c r="M7066" s="64">
        <f>L7066/K7066</f>
        <v/>
      </c>
    </row>
    <row r="7067">
      <c r="A7067" s="58" t="inlineStr">
        <is>
          <t>RT20250627-07066</t>
        </is>
      </c>
      <c r="B7067" s="59" t="inlineStr">
        <is>
          <t>2025-06-27</t>
        </is>
      </c>
      <c r="C7067" s="60" t="inlineStr">
        <is>
          <t>Aurora Storage Lite-774</t>
        </is>
      </c>
      <c r="D7067" s="58" t="inlineStr">
        <is>
          <t>Office</t>
        </is>
      </c>
      <c r="E7067" s="58" t="inlineStr">
        <is>
          <t>East</t>
        </is>
      </c>
      <c r="F7067" s="61" t="n">
        <v>3</v>
      </c>
      <c r="G7067" s="62" t="n">
        <v>342.68</v>
      </c>
      <c r="H7067" s="63" t="n">
        <v>0.076</v>
      </c>
      <c r="I7067" s="62" t="n">
        <v>244.17</v>
      </c>
      <c r="J7067" s="58" t="inlineStr">
        <is>
          <t>Store</t>
        </is>
      </c>
      <c r="K7067" s="62">
        <f>F7067*(G7067-H7067)</f>
        <v/>
      </c>
      <c r="L7067" s="62">
        <f>K7067-(F7067*I7067)</f>
        <v/>
      </c>
      <c r="M7067" s="64">
        <f>L7067/K7067</f>
        <v/>
      </c>
    </row>
    <row r="7068">
      <c r="A7068" s="58" t="inlineStr">
        <is>
          <t>RT20250627-07067</t>
        </is>
      </c>
      <c r="B7068" s="59" t="inlineStr">
        <is>
          <t>2025-06-27</t>
        </is>
      </c>
      <c r="C7068" s="60" t="inlineStr">
        <is>
          <t>Falcon Beverage Max-702</t>
        </is>
      </c>
      <c r="D7068" s="58" t="inlineStr">
        <is>
          <t>Grocery</t>
        </is>
      </c>
      <c r="E7068" s="58" t="inlineStr">
        <is>
          <t>West</t>
        </is>
      </c>
      <c r="F7068" s="61" t="n">
        <v>8</v>
      </c>
      <c r="G7068" s="62" t="n">
        <v>29.23</v>
      </c>
      <c r="H7068" s="63" t="n">
        <v>0.033</v>
      </c>
      <c r="I7068" s="62" t="n">
        <v>19.63</v>
      </c>
      <c r="J7068" s="58" t="inlineStr">
        <is>
          <t>Store</t>
        </is>
      </c>
      <c r="K7068" s="62">
        <f>F7068*(G7068-H7068)</f>
        <v/>
      </c>
      <c r="L7068" s="62">
        <f>K7068-(F7068*I7068)</f>
        <v/>
      </c>
      <c r="M7068" s="64">
        <f>L7068/K7068</f>
        <v/>
      </c>
    </row>
    <row r="7069">
      <c r="A7069" s="58" t="inlineStr">
        <is>
          <t>RT20250627-07068</t>
        </is>
      </c>
      <c r="B7069" s="59" t="inlineStr">
        <is>
          <t>2025-06-27</t>
        </is>
      </c>
      <c r="C7069" s="60" t="inlineStr">
        <is>
          <t>Solace Headphone Pro-344</t>
        </is>
      </c>
      <c r="D7069" s="58" t="inlineStr">
        <is>
          <t>Electronics</t>
        </is>
      </c>
      <c r="E7069" s="58" t="inlineStr">
        <is>
          <t>West</t>
        </is>
      </c>
      <c r="F7069" s="61" t="n">
        <v>2</v>
      </c>
      <c r="G7069" s="62" t="n">
        <v>1280.33</v>
      </c>
      <c r="H7069" s="63" t="n">
        <v>0.089</v>
      </c>
      <c r="I7069" s="62" t="n">
        <v>1064.16</v>
      </c>
      <c r="J7069" s="58" t="inlineStr">
        <is>
          <t>Store</t>
        </is>
      </c>
      <c r="K7069" s="62">
        <f>F7069*(G7069-H7069)</f>
        <v/>
      </c>
      <c r="L7069" s="62">
        <f>K7069-(F7069*I7069)</f>
        <v/>
      </c>
      <c r="M7069" s="64">
        <f>L7069/K7069</f>
        <v/>
      </c>
    </row>
    <row r="7070">
      <c r="A7070" s="58" t="inlineStr">
        <is>
          <t>RT20250627-07069</t>
        </is>
      </c>
      <c r="B7070" s="59" t="inlineStr">
        <is>
          <t>2025-06-27</t>
        </is>
      </c>
      <c r="C7070" s="60" t="inlineStr">
        <is>
          <t>Falcon Storage X-734</t>
        </is>
      </c>
      <c r="D7070" s="58" t="inlineStr">
        <is>
          <t>Office</t>
        </is>
      </c>
      <c r="E7070" s="58" t="inlineStr">
        <is>
          <t>Central</t>
        </is>
      </c>
      <c r="F7070" s="61" t="n">
        <v>2</v>
      </c>
      <c r="G7070" s="62" t="n">
        <v>329.66</v>
      </c>
      <c r="H7070" s="63" t="n">
        <v>0.082</v>
      </c>
      <c r="I7070" s="62" t="n">
        <v>288.08</v>
      </c>
      <c r="J7070" s="58" t="inlineStr">
        <is>
          <t>Online</t>
        </is>
      </c>
      <c r="K7070" s="62">
        <f>F7070*(G7070-H7070)</f>
        <v/>
      </c>
      <c r="L7070" s="62">
        <f>K7070-(F7070*I7070)</f>
        <v/>
      </c>
      <c r="M7070" s="64">
        <f>L7070/K7070</f>
        <v/>
      </c>
    </row>
    <row r="7071">
      <c r="A7071" s="58" t="inlineStr">
        <is>
          <t>RT20250627-07070</t>
        </is>
      </c>
      <c r="B7071" s="59" t="inlineStr">
        <is>
          <t>2025-06-27</t>
        </is>
      </c>
      <c r="C7071" s="60" t="inlineStr">
        <is>
          <t>Polar Wearable X-119</t>
        </is>
      </c>
      <c r="D7071" s="58" t="inlineStr">
        <is>
          <t>Electronics</t>
        </is>
      </c>
      <c r="E7071" s="58" t="inlineStr">
        <is>
          <t>Central</t>
        </is>
      </c>
      <c r="F7071" s="61" t="n">
        <v>2</v>
      </c>
      <c r="G7071" s="62" t="n">
        <v>1957.86</v>
      </c>
      <c r="H7071" s="63" t="n">
        <v>0.1</v>
      </c>
      <c r="I7071" s="62" t="n">
        <v>1353.5</v>
      </c>
      <c r="J7071" s="58" t="inlineStr">
        <is>
          <t>Phone</t>
        </is>
      </c>
      <c r="K7071" s="62">
        <f>F7071*(G7071-H7071)</f>
        <v/>
      </c>
      <c r="L7071" s="62">
        <f>K7071-(F7071*I7071)</f>
        <v/>
      </c>
      <c r="M7071" s="64">
        <f>L7071/K7071</f>
        <v/>
      </c>
    </row>
    <row r="7072">
      <c r="A7072" s="58" t="inlineStr">
        <is>
          <t>RT20250627-07071</t>
        </is>
      </c>
      <c r="B7072" s="59" t="inlineStr">
        <is>
          <t>2025-06-27</t>
        </is>
      </c>
      <c r="C7072" s="60" t="inlineStr">
        <is>
          <t>Polar Outdoor X-193</t>
        </is>
      </c>
      <c r="D7072" s="58" t="inlineStr">
        <is>
          <t>Sports</t>
        </is>
      </c>
      <c r="E7072" s="58" t="inlineStr">
        <is>
          <t>East</t>
        </is>
      </c>
      <c r="F7072" s="61" t="n">
        <v>1</v>
      </c>
      <c r="G7072" s="62" t="n">
        <v>682.09</v>
      </c>
      <c r="H7072" s="63" t="n">
        <v>0.065</v>
      </c>
      <c r="I7072" s="62" t="n">
        <v>463.43</v>
      </c>
      <c r="J7072" s="58" t="inlineStr">
        <is>
          <t>Online</t>
        </is>
      </c>
      <c r="K7072" s="62">
        <f>F7072*(G7072-H7072)</f>
        <v/>
      </c>
      <c r="L7072" s="62">
        <f>K7072-(F7072*I7072)</f>
        <v/>
      </c>
      <c r="M7072" s="64">
        <f>L7072/K7072</f>
        <v/>
      </c>
    </row>
    <row r="7073">
      <c r="A7073" s="58" t="inlineStr">
        <is>
          <t>RT20250627-07072</t>
        </is>
      </c>
      <c r="B7073" s="59" t="inlineStr">
        <is>
          <t>2025-06-27</t>
        </is>
      </c>
      <c r="C7073" s="60" t="inlineStr">
        <is>
          <t>Polar Women S-662</t>
        </is>
      </c>
      <c r="D7073" s="58" t="inlineStr">
        <is>
          <t>Apparel</t>
        </is>
      </c>
      <c r="E7073" s="58" t="inlineStr">
        <is>
          <t>West</t>
        </is>
      </c>
      <c r="F7073" s="61" t="n">
        <v>3</v>
      </c>
      <c r="G7073" s="62" t="n">
        <v>200.39</v>
      </c>
      <c r="H7073" s="63" t="n">
        <v>0.031</v>
      </c>
      <c r="I7073" s="62" t="n">
        <v>97.08</v>
      </c>
      <c r="J7073" s="58" t="inlineStr">
        <is>
          <t>Online</t>
        </is>
      </c>
      <c r="K7073" s="62">
        <f>F7073*(G7073-H7073)</f>
        <v/>
      </c>
      <c r="L7073" s="62">
        <f>K7073-(F7073*I7073)</f>
        <v/>
      </c>
      <c r="M7073" s="64">
        <f>L7073/K7073</f>
        <v/>
      </c>
    </row>
    <row r="7074">
      <c r="A7074" s="58" t="inlineStr">
        <is>
          <t>RT20250627-07073</t>
        </is>
      </c>
      <c r="B7074" s="59" t="inlineStr">
        <is>
          <t>2025-06-27</t>
        </is>
      </c>
      <c r="C7074" s="60" t="inlineStr">
        <is>
          <t>Solace Kid S-384</t>
        </is>
      </c>
      <c r="D7074" s="58" t="inlineStr">
        <is>
          <t>Apparel</t>
        </is>
      </c>
      <c r="E7074" s="58" t="inlineStr">
        <is>
          <t>East</t>
        </is>
      </c>
      <c r="F7074" s="61" t="n">
        <v>1</v>
      </c>
      <c r="G7074" s="62" t="n">
        <v>131.71</v>
      </c>
      <c r="H7074" s="63" t="n">
        <v>0.051</v>
      </c>
      <c r="I7074" s="62" t="n">
        <v>63.14</v>
      </c>
      <c r="J7074" s="58" t="inlineStr">
        <is>
          <t>Store</t>
        </is>
      </c>
      <c r="K7074" s="62">
        <f>F7074*(G7074-H7074)</f>
        <v/>
      </c>
      <c r="L7074" s="62">
        <f>K7074-(F7074*I7074)</f>
        <v/>
      </c>
      <c r="M7074" s="64">
        <f>L7074/K7074</f>
        <v/>
      </c>
    </row>
    <row r="7075">
      <c r="A7075" s="58" t="inlineStr">
        <is>
          <t>RT20250627-07074</t>
        </is>
      </c>
      <c r="B7075" s="59" t="inlineStr">
        <is>
          <t>2025-06-27</t>
        </is>
      </c>
      <c r="C7075" s="60" t="inlineStr">
        <is>
          <t>Falcon Team Sport Lite-268</t>
        </is>
      </c>
      <c r="D7075" s="58" t="inlineStr">
        <is>
          <t>Sports</t>
        </is>
      </c>
      <c r="E7075" s="58" t="inlineStr">
        <is>
          <t>Central</t>
        </is>
      </c>
      <c r="F7075" s="61" t="n">
        <v>3</v>
      </c>
      <c r="G7075" s="62" t="n">
        <v>787.21</v>
      </c>
      <c r="H7075" s="63" t="n">
        <v>0.003</v>
      </c>
      <c r="I7075" s="62" t="n">
        <v>441.67</v>
      </c>
      <c r="J7075" s="58" t="inlineStr">
        <is>
          <t>Store</t>
        </is>
      </c>
      <c r="K7075" s="62">
        <f>F7075*(G7075-H7075)</f>
        <v/>
      </c>
      <c r="L7075" s="62">
        <f>K7075-(F7075*I7075)</f>
        <v/>
      </c>
      <c r="M7075" s="64">
        <f>L7075/K7075</f>
        <v/>
      </c>
    </row>
    <row r="7076">
      <c r="A7076" s="58" t="inlineStr">
        <is>
          <t>RT20250627-07075</t>
        </is>
      </c>
      <c r="B7076" s="59" t="inlineStr">
        <is>
          <t>2025-06-27</t>
        </is>
      </c>
      <c r="C7076" s="60" t="inlineStr">
        <is>
          <t>Polar Women Max-927</t>
        </is>
      </c>
      <c r="D7076" s="58" t="inlineStr">
        <is>
          <t>Apparel</t>
        </is>
      </c>
      <c r="E7076" s="58" t="inlineStr">
        <is>
          <t>East</t>
        </is>
      </c>
      <c r="F7076" s="61" t="n">
        <v>3</v>
      </c>
      <c r="G7076" s="62" t="n">
        <v>108.39</v>
      </c>
      <c r="H7076" s="63" t="n">
        <v>0.041</v>
      </c>
      <c r="I7076" s="62" t="n">
        <v>66.68000000000001</v>
      </c>
      <c r="J7076" s="58" t="inlineStr">
        <is>
          <t>Online</t>
        </is>
      </c>
      <c r="K7076" s="62">
        <f>F7076*(G7076-H7076)</f>
        <v/>
      </c>
      <c r="L7076" s="62">
        <f>K7076-(F7076*I7076)</f>
        <v/>
      </c>
      <c r="M7076" s="64">
        <f>L7076/K7076</f>
        <v/>
      </c>
    </row>
    <row r="7077">
      <c r="A7077" s="58" t="inlineStr">
        <is>
          <t>RT20250627-07076</t>
        </is>
      </c>
      <c r="B7077" s="59" t="inlineStr">
        <is>
          <t>2025-06-27</t>
        </is>
      </c>
      <c r="C7077" s="60" t="inlineStr">
        <is>
          <t>Solace Bedding Plus-317</t>
        </is>
      </c>
      <c r="D7077" s="58" t="inlineStr">
        <is>
          <t>Home</t>
        </is>
      </c>
      <c r="E7077" s="58" t="inlineStr">
        <is>
          <t>North</t>
        </is>
      </c>
      <c r="F7077" s="61" t="n">
        <v>1</v>
      </c>
      <c r="G7077" s="62" t="n">
        <v>498.92</v>
      </c>
      <c r="H7077" s="63" t="n">
        <v>0.097</v>
      </c>
      <c r="I7077" s="62" t="n">
        <v>375.15</v>
      </c>
      <c r="J7077" s="58" t="inlineStr">
        <is>
          <t>Store</t>
        </is>
      </c>
      <c r="K7077" s="62">
        <f>F7077*(G7077-H7077)</f>
        <v/>
      </c>
      <c r="L7077" s="62">
        <f>K7077-(F7077*I7077)</f>
        <v/>
      </c>
      <c r="M7077" s="64">
        <f>L7077/K7077</f>
        <v/>
      </c>
    </row>
    <row r="7078">
      <c r="A7078" s="58" t="inlineStr">
        <is>
          <t>RT20250627-07077</t>
        </is>
      </c>
      <c r="B7078" s="59" t="inlineStr">
        <is>
          <t>2025-06-27</t>
        </is>
      </c>
      <c r="C7078" s="60" t="inlineStr">
        <is>
          <t>Nimbus Women Lite-814</t>
        </is>
      </c>
      <c r="D7078" s="58" t="inlineStr">
        <is>
          <t>Apparel</t>
        </is>
      </c>
      <c r="E7078" s="58" t="inlineStr">
        <is>
          <t>Central</t>
        </is>
      </c>
      <c r="F7078" s="61" t="n">
        <v>4</v>
      </c>
      <c r="G7078" s="62" t="n">
        <v>150.04</v>
      </c>
      <c r="H7078" s="63" t="n">
        <v>0.047</v>
      </c>
      <c r="I7078" s="62" t="n">
        <v>81.38</v>
      </c>
      <c r="J7078" s="58" t="inlineStr">
        <is>
          <t>Online</t>
        </is>
      </c>
      <c r="K7078" s="62">
        <f>F7078*(G7078-H7078)</f>
        <v/>
      </c>
      <c r="L7078" s="62">
        <f>K7078-(F7078*I7078)</f>
        <v/>
      </c>
      <c r="M7078" s="64">
        <f>L7078/K7078</f>
        <v/>
      </c>
    </row>
    <row r="7079">
      <c r="A7079" s="58" t="inlineStr">
        <is>
          <t>RT20250627-07078</t>
        </is>
      </c>
      <c r="B7079" s="59" t="inlineStr">
        <is>
          <t>2025-06-27</t>
        </is>
      </c>
      <c r="C7079" s="60" t="inlineStr">
        <is>
          <t>Nimbus Furniture Pro-479</t>
        </is>
      </c>
      <c r="D7079" s="58" t="inlineStr">
        <is>
          <t>Office</t>
        </is>
      </c>
      <c r="E7079" s="58" t="inlineStr">
        <is>
          <t>West</t>
        </is>
      </c>
      <c r="F7079" s="61" t="n">
        <v>2</v>
      </c>
      <c r="G7079" s="62" t="n">
        <v>346.03</v>
      </c>
      <c r="H7079" s="63" t="n">
        <v>0.123</v>
      </c>
      <c r="I7079" s="62" t="n">
        <v>233.93</v>
      </c>
      <c r="J7079" s="58" t="inlineStr">
        <is>
          <t>Store</t>
        </is>
      </c>
      <c r="K7079" s="62">
        <f>F7079*(G7079-H7079)</f>
        <v/>
      </c>
      <c r="L7079" s="62">
        <f>K7079-(F7079*I7079)</f>
        <v/>
      </c>
      <c r="M7079" s="64">
        <f>L7079/K7079</f>
        <v/>
      </c>
    </row>
    <row r="7080">
      <c r="A7080" s="58" t="inlineStr">
        <is>
          <t>RT20250627-07079</t>
        </is>
      </c>
      <c r="B7080" s="59" t="inlineStr">
        <is>
          <t>2025-06-27</t>
        </is>
      </c>
      <c r="C7080" s="60" t="inlineStr">
        <is>
          <t>Polar Cycling S-223</t>
        </is>
      </c>
      <c r="D7080" s="58" t="inlineStr">
        <is>
          <t>Sports</t>
        </is>
      </c>
      <c r="E7080" s="58" t="inlineStr">
        <is>
          <t>East</t>
        </is>
      </c>
      <c r="F7080" s="61" t="n">
        <v>2</v>
      </c>
      <c r="G7080" s="62" t="n">
        <v>904.3</v>
      </c>
      <c r="H7080" s="63" t="n">
        <v>0.073</v>
      </c>
      <c r="I7080" s="62" t="n">
        <v>633.26</v>
      </c>
      <c r="J7080" s="58" t="inlineStr">
        <is>
          <t>Online</t>
        </is>
      </c>
      <c r="K7080" s="62">
        <f>F7080*(G7080-H7080)</f>
        <v/>
      </c>
      <c r="L7080" s="62">
        <f>K7080-(F7080*I7080)</f>
        <v/>
      </c>
      <c r="M7080" s="64">
        <f>L7080/K7080</f>
        <v/>
      </c>
    </row>
    <row r="7081">
      <c r="A7081" s="58" t="inlineStr">
        <is>
          <t>RT20250627-07080</t>
        </is>
      </c>
      <c r="B7081" s="59" t="inlineStr">
        <is>
          <t>2025-06-27</t>
        </is>
      </c>
      <c r="C7081" s="60" t="inlineStr">
        <is>
          <t>Solace Kid S-384</t>
        </is>
      </c>
      <c r="D7081" s="58" t="inlineStr">
        <is>
          <t>Apparel</t>
        </is>
      </c>
      <c r="E7081" s="58" t="inlineStr">
        <is>
          <t>North</t>
        </is>
      </c>
      <c r="F7081" s="61" t="n">
        <v>4</v>
      </c>
      <c r="G7081" s="62" t="n">
        <v>118.23</v>
      </c>
      <c r="H7081" s="63" t="n">
        <v>0.095</v>
      </c>
      <c r="I7081" s="62" t="n">
        <v>62.68</v>
      </c>
      <c r="J7081" s="58" t="inlineStr">
        <is>
          <t>Online</t>
        </is>
      </c>
      <c r="K7081" s="62">
        <f>F7081*(G7081-H7081)</f>
        <v/>
      </c>
      <c r="L7081" s="62">
        <f>K7081-(F7081*I7081)</f>
        <v/>
      </c>
      <c r="M7081" s="64">
        <f>L7081/K7081</f>
        <v/>
      </c>
    </row>
    <row r="7082">
      <c r="A7082" s="58" t="inlineStr">
        <is>
          <t>RT20250627-07081</t>
        </is>
      </c>
      <c r="B7082" s="59" t="inlineStr">
        <is>
          <t>2025-06-27</t>
        </is>
      </c>
      <c r="C7082" s="60" t="inlineStr">
        <is>
          <t>Nimbus Women Lite-814</t>
        </is>
      </c>
      <c r="D7082" s="58" t="inlineStr">
        <is>
          <t>Apparel</t>
        </is>
      </c>
      <c r="E7082" s="58" t="inlineStr">
        <is>
          <t>North</t>
        </is>
      </c>
      <c r="F7082" s="61" t="n">
        <v>1</v>
      </c>
      <c r="G7082" s="62" t="n">
        <v>158.41</v>
      </c>
      <c r="H7082" s="63" t="n">
        <v>0.079</v>
      </c>
      <c r="I7082" s="62" t="n">
        <v>84.73</v>
      </c>
      <c r="J7082" s="58" t="inlineStr">
        <is>
          <t>Online</t>
        </is>
      </c>
      <c r="K7082" s="62">
        <f>F7082*(G7082-H7082)</f>
        <v/>
      </c>
      <c r="L7082" s="62">
        <f>K7082-(F7082*I7082)</f>
        <v/>
      </c>
      <c r="M7082" s="64">
        <f>L7082/K7082</f>
        <v/>
      </c>
    </row>
    <row r="7083">
      <c r="A7083" s="58" t="inlineStr">
        <is>
          <t>RT20250627-07082</t>
        </is>
      </c>
      <c r="B7083" s="59" t="inlineStr">
        <is>
          <t>2025-06-27</t>
        </is>
      </c>
      <c r="C7083" s="60" t="inlineStr">
        <is>
          <t>Aurora Outdoor Pro-467</t>
        </is>
      </c>
      <c r="D7083" s="58" t="inlineStr">
        <is>
          <t>Sports</t>
        </is>
      </c>
      <c r="E7083" s="58" t="inlineStr">
        <is>
          <t>West</t>
        </is>
      </c>
      <c r="F7083" s="61" t="n">
        <v>2</v>
      </c>
      <c r="G7083" s="62" t="n">
        <v>278.06</v>
      </c>
      <c r="H7083" s="63" t="n">
        <v>0.026</v>
      </c>
      <c r="I7083" s="62" t="n">
        <v>188.08</v>
      </c>
      <c r="J7083" s="58" t="inlineStr">
        <is>
          <t>Online</t>
        </is>
      </c>
      <c r="K7083" s="62">
        <f>F7083*(G7083-H7083)</f>
        <v/>
      </c>
      <c r="L7083" s="62">
        <f>K7083-(F7083*I7083)</f>
        <v/>
      </c>
      <c r="M7083" s="64">
        <f>L7083/K7083</f>
        <v/>
      </c>
    </row>
    <row r="7084">
      <c r="A7084" s="58" t="inlineStr">
        <is>
          <t>RT20250627-07083</t>
        </is>
      </c>
      <c r="B7084" s="59" t="inlineStr">
        <is>
          <t>2025-06-27</t>
        </is>
      </c>
      <c r="C7084" s="60" t="inlineStr">
        <is>
          <t>Falcon Household Plus-172</t>
        </is>
      </c>
      <c r="D7084" s="58" t="inlineStr">
        <is>
          <t>Grocery</t>
        </is>
      </c>
      <c r="E7084" s="58" t="inlineStr">
        <is>
          <t>West</t>
        </is>
      </c>
      <c r="F7084" s="61" t="n">
        <v>4</v>
      </c>
      <c r="G7084" s="62" t="n">
        <v>19.9</v>
      </c>
      <c r="H7084" s="63" t="n">
        <v>0.093</v>
      </c>
      <c r="I7084" s="62" t="n">
        <v>16.06</v>
      </c>
      <c r="J7084" s="58" t="inlineStr">
        <is>
          <t>Online</t>
        </is>
      </c>
      <c r="K7084" s="62">
        <f>F7084*(G7084-H7084)</f>
        <v/>
      </c>
      <c r="L7084" s="62">
        <f>K7084-(F7084*I7084)</f>
        <v/>
      </c>
      <c r="M7084" s="64">
        <f>L7084/K7084</f>
        <v/>
      </c>
    </row>
    <row r="7085">
      <c r="A7085" s="58" t="inlineStr">
        <is>
          <t>RT20250627-07084</t>
        </is>
      </c>
      <c r="B7085" s="59" t="inlineStr">
        <is>
          <t>2025-06-27</t>
        </is>
      </c>
      <c r="C7085" s="60" t="inlineStr">
        <is>
          <t>Falcon Accessorie S-195</t>
        </is>
      </c>
      <c r="D7085" s="58" t="inlineStr">
        <is>
          <t>Apparel</t>
        </is>
      </c>
      <c r="E7085" s="58" t="inlineStr">
        <is>
          <t>East</t>
        </is>
      </c>
      <c r="F7085" s="61" t="n">
        <v>4</v>
      </c>
      <c r="G7085" s="62" t="n">
        <v>76.97</v>
      </c>
      <c r="H7085" s="63" t="n">
        <v>0.074</v>
      </c>
      <c r="I7085" s="62" t="n">
        <v>42.42</v>
      </c>
      <c r="J7085" s="58" t="inlineStr">
        <is>
          <t>Store</t>
        </is>
      </c>
      <c r="K7085" s="62">
        <f>F7085*(G7085-H7085)</f>
        <v/>
      </c>
      <c r="L7085" s="62">
        <f>K7085-(F7085*I7085)</f>
        <v/>
      </c>
      <c r="M7085" s="64">
        <f>L7085/K7085</f>
        <v/>
      </c>
    </row>
    <row r="7086">
      <c r="A7086" s="58" t="inlineStr">
        <is>
          <t>RT20250627-07085</t>
        </is>
      </c>
      <c r="B7086" s="59" t="inlineStr">
        <is>
          <t>2025-06-27</t>
        </is>
      </c>
      <c r="C7086" s="60" t="inlineStr">
        <is>
          <t>Aurora Printer Plus-991</t>
        </is>
      </c>
      <c r="D7086" s="58" t="inlineStr">
        <is>
          <t>Office</t>
        </is>
      </c>
      <c r="E7086" s="58" t="inlineStr">
        <is>
          <t>South</t>
        </is>
      </c>
      <c r="F7086" s="61" t="n">
        <v>2</v>
      </c>
      <c r="G7086" s="62" t="n">
        <v>509.39</v>
      </c>
      <c r="H7086" s="63" t="n">
        <v>0.08599999999999999</v>
      </c>
      <c r="I7086" s="62" t="n">
        <v>375.53</v>
      </c>
      <c r="J7086" s="58" t="inlineStr">
        <is>
          <t>Online</t>
        </is>
      </c>
      <c r="K7086" s="62">
        <f>F7086*(G7086-H7086)</f>
        <v/>
      </c>
      <c r="L7086" s="62">
        <f>K7086-(F7086*I7086)</f>
        <v/>
      </c>
      <c r="M7086" s="64">
        <f>L7086/K7086</f>
        <v/>
      </c>
    </row>
    <row r="7087">
      <c r="A7087" s="58" t="inlineStr">
        <is>
          <t>RT20250627-07086</t>
        </is>
      </c>
      <c r="B7087" s="59" t="inlineStr">
        <is>
          <t>2025-06-27</t>
        </is>
      </c>
      <c r="C7087" s="60" t="inlineStr">
        <is>
          <t>Vertex Accessorie Pro-881</t>
        </is>
      </c>
      <c r="D7087" s="58" t="inlineStr">
        <is>
          <t>Apparel</t>
        </is>
      </c>
      <c r="E7087" s="58" t="inlineStr">
        <is>
          <t>Central</t>
        </is>
      </c>
      <c r="F7087" s="61" t="n">
        <v>2</v>
      </c>
      <c r="G7087" s="62" t="n">
        <v>118.99</v>
      </c>
      <c r="H7087" s="63" t="n">
        <v>0.021</v>
      </c>
      <c r="I7087" s="62" t="n">
        <v>60.91</v>
      </c>
      <c r="J7087" s="58" t="inlineStr">
        <is>
          <t>Online</t>
        </is>
      </c>
      <c r="K7087" s="62">
        <f>F7087*(G7087-H7087)</f>
        <v/>
      </c>
      <c r="L7087" s="62">
        <f>K7087-(F7087*I7087)</f>
        <v/>
      </c>
      <c r="M7087" s="64">
        <f>L7087/K7087</f>
        <v/>
      </c>
    </row>
    <row r="7088">
      <c r="A7088" s="58" t="inlineStr">
        <is>
          <t>RT20250627-07087</t>
        </is>
      </c>
      <c r="B7088" s="59" t="inlineStr">
        <is>
          <t>2025-06-27</t>
        </is>
      </c>
      <c r="C7088" s="60" t="inlineStr">
        <is>
          <t>Nimbus Women Lite-814</t>
        </is>
      </c>
      <c r="D7088" s="58" t="inlineStr">
        <is>
          <t>Apparel</t>
        </is>
      </c>
      <c r="E7088" s="58" t="inlineStr">
        <is>
          <t>North</t>
        </is>
      </c>
      <c r="F7088" s="61" t="n">
        <v>4</v>
      </c>
      <c r="G7088" s="62" t="n">
        <v>155.14</v>
      </c>
      <c r="H7088" s="63" t="n">
        <v>0.064</v>
      </c>
      <c r="I7088" s="62" t="n">
        <v>85.55</v>
      </c>
      <c r="J7088" s="58" t="inlineStr">
        <is>
          <t>Online</t>
        </is>
      </c>
      <c r="K7088" s="62">
        <f>F7088*(G7088-H7088)</f>
        <v/>
      </c>
      <c r="L7088" s="62">
        <f>K7088-(F7088*I7088)</f>
        <v/>
      </c>
      <c r="M7088" s="64">
        <f>L7088/K7088</f>
        <v/>
      </c>
    </row>
    <row r="7089">
      <c r="A7089" s="58" t="inlineStr">
        <is>
          <t>RT20250628-07088</t>
        </is>
      </c>
      <c r="B7089" s="59" t="inlineStr">
        <is>
          <t>2025-06-28</t>
        </is>
      </c>
      <c r="C7089" s="60" t="inlineStr">
        <is>
          <t>Polar Women Max-927</t>
        </is>
      </c>
      <c r="D7089" s="58" t="inlineStr">
        <is>
          <t>Apparel</t>
        </is>
      </c>
      <c r="E7089" s="58" t="inlineStr">
        <is>
          <t>Central</t>
        </is>
      </c>
      <c r="F7089" s="61" t="n">
        <v>3</v>
      </c>
      <c r="G7089" s="62" t="n">
        <v>114.7</v>
      </c>
      <c r="H7089" s="63" t="n">
        <v>0.046</v>
      </c>
      <c r="I7089" s="62" t="n">
        <v>67.48</v>
      </c>
      <c r="J7089" s="58" t="inlineStr">
        <is>
          <t>Online</t>
        </is>
      </c>
      <c r="K7089" s="62">
        <f>F7089*(G7089-H7089)</f>
        <v/>
      </c>
      <c r="L7089" s="62">
        <f>K7089-(F7089*I7089)</f>
        <v/>
      </c>
      <c r="M7089" s="64">
        <f>L7089/K7089</f>
        <v/>
      </c>
    </row>
    <row r="7090">
      <c r="A7090" s="58" t="inlineStr">
        <is>
          <t>RT20250628-07089</t>
        </is>
      </c>
      <c r="B7090" s="59" t="inlineStr">
        <is>
          <t>2025-06-28</t>
        </is>
      </c>
      <c r="C7090" s="60" t="inlineStr">
        <is>
          <t>Aurora Makeup Pro-489</t>
        </is>
      </c>
      <c r="D7090" s="58" t="inlineStr">
        <is>
          <t>Beauty</t>
        </is>
      </c>
      <c r="E7090" s="58" t="inlineStr">
        <is>
          <t>East</t>
        </is>
      </c>
      <c r="F7090" s="61" t="n">
        <v>4</v>
      </c>
      <c r="G7090" s="62" t="n">
        <v>101.99</v>
      </c>
      <c r="H7090" s="63" t="n">
        <v>0.068</v>
      </c>
      <c r="I7090" s="62" t="n">
        <v>62.95</v>
      </c>
      <c r="J7090" s="58" t="inlineStr">
        <is>
          <t>Online</t>
        </is>
      </c>
      <c r="K7090" s="62">
        <f>F7090*(G7090-H7090)</f>
        <v/>
      </c>
      <c r="L7090" s="62">
        <f>K7090-(F7090*I7090)</f>
        <v/>
      </c>
      <c r="M7090" s="64">
        <f>L7090/K7090</f>
        <v/>
      </c>
    </row>
    <row r="7091">
      <c r="A7091" s="58" t="inlineStr">
        <is>
          <t>RT20250628-07090</t>
        </is>
      </c>
      <c r="B7091" s="59" t="inlineStr">
        <is>
          <t>2025-06-28</t>
        </is>
      </c>
      <c r="C7091" s="60" t="inlineStr">
        <is>
          <t>Nimbus Headphone X-854</t>
        </is>
      </c>
      <c r="D7091" s="58" t="inlineStr">
        <is>
          <t>Electronics</t>
        </is>
      </c>
      <c r="E7091" s="58" t="inlineStr">
        <is>
          <t>East</t>
        </is>
      </c>
      <c r="F7091" s="61" t="n">
        <v>2</v>
      </c>
      <c r="G7091" s="62" t="n">
        <v>1759.32</v>
      </c>
      <c r="H7091" s="63" t="n">
        <v>0.08</v>
      </c>
      <c r="I7091" s="62" t="n">
        <v>1253.61</v>
      </c>
      <c r="J7091" s="58" t="inlineStr">
        <is>
          <t>Online</t>
        </is>
      </c>
      <c r="K7091" s="62">
        <f>F7091*(G7091-H7091)</f>
        <v/>
      </c>
      <c r="L7091" s="62">
        <f>K7091-(F7091*I7091)</f>
        <v/>
      </c>
      <c r="M7091" s="64">
        <f>L7091/K7091</f>
        <v/>
      </c>
    </row>
    <row r="7092">
      <c r="A7092" s="58" t="inlineStr">
        <is>
          <t>RT20250628-07091</t>
        </is>
      </c>
      <c r="B7092" s="59" t="inlineStr">
        <is>
          <t>2025-06-28</t>
        </is>
      </c>
      <c r="C7092" s="60" t="inlineStr">
        <is>
          <t>Aurora Fragrance S-971</t>
        </is>
      </c>
      <c r="D7092" s="58" t="inlineStr">
        <is>
          <t>Beauty</t>
        </is>
      </c>
      <c r="E7092" s="58" t="inlineStr">
        <is>
          <t>Central</t>
        </is>
      </c>
      <c r="F7092" s="61" t="n">
        <v>4</v>
      </c>
      <c r="G7092" s="62" t="n">
        <v>114.98</v>
      </c>
      <c r="H7092" s="63" t="n">
        <v>0.042</v>
      </c>
      <c r="I7092" s="62" t="n">
        <v>67.3</v>
      </c>
      <c r="J7092" s="58" t="inlineStr">
        <is>
          <t>Online</t>
        </is>
      </c>
      <c r="K7092" s="62">
        <f>F7092*(G7092-H7092)</f>
        <v/>
      </c>
      <c r="L7092" s="62">
        <f>K7092-(F7092*I7092)</f>
        <v/>
      </c>
      <c r="M7092" s="64">
        <f>L7092/K7092</f>
        <v/>
      </c>
    </row>
    <row r="7093">
      <c r="A7093" s="58" t="inlineStr">
        <is>
          <t>RT20250628-07092</t>
        </is>
      </c>
      <c r="B7093" s="59" t="inlineStr">
        <is>
          <t>2025-06-28</t>
        </is>
      </c>
      <c r="C7093" s="60" t="inlineStr">
        <is>
          <t>Aurora Bedding Plus-187</t>
        </is>
      </c>
      <c r="D7093" s="58" t="inlineStr">
        <is>
          <t>Home</t>
        </is>
      </c>
      <c r="E7093" s="58" t="inlineStr">
        <is>
          <t>South</t>
        </is>
      </c>
      <c r="F7093" s="61" t="n">
        <v>1</v>
      </c>
      <c r="G7093" s="62" t="n">
        <v>326.57</v>
      </c>
      <c r="H7093" s="63" t="n">
        <v>0.076</v>
      </c>
      <c r="I7093" s="62" t="n">
        <v>211.94</v>
      </c>
      <c r="J7093" s="58" t="inlineStr">
        <is>
          <t>Store</t>
        </is>
      </c>
      <c r="K7093" s="62">
        <f>F7093*(G7093-H7093)</f>
        <v/>
      </c>
      <c r="L7093" s="62">
        <f>K7093-(F7093*I7093)</f>
        <v/>
      </c>
      <c r="M7093" s="64">
        <f>L7093/K7093</f>
        <v/>
      </c>
    </row>
    <row r="7094">
      <c r="A7094" s="58" t="inlineStr">
        <is>
          <t>RT20250628-07093</t>
        </is>
      </c>
      <c r="B7094" s="59" t="inlineStr">
        <is>
          <t>2025-06-28</t>
        </is>
      </c>
      <c r="C7094" s="60" t="inlineStr">
        <is>
          <t>Metro Outdoor Plus-787</t>
        </is>
      </c>
      <c r="D7094" s="58" t="inlineStr">
        <is>
          <t>Sports</t>
        </is>
      </c>
      <c r="E7094" s="58" t="inlineStr">
        <is>
          <t>West</t>
        </is>
      </c>
      <c r="F7094" s="61" t="n">
        <v>1</v>
      </c>
      <c r="G7094" s="62" t="n">
        <v>573.7</v>
      </c>
      <c r="H7094" s="63" t="n">
        <v>0.004</v>
      </c>
      <c r="I7094" s="62" t="n">
        <v>342.13</v>
      </c>
      <c r="J7094" s="58" t="inlineStr">
        <is>
          <t>Online</t>
        </is>
      </c>
      <c r="K7094" s="62">
        <f>F7094*(G7094-H7094)</f>
        <v/>
      </c>
      <c r="L7094" s="62">
        <f>K7094-(F7094*I7094)</f>
        <v/>
      </c>
      <c r="M7094" s="64">
        <f>L7094/K7094</f>
        <v/>
      </c>
    </row>
    <row r="7095">
      <c r="A7095" s="58" t="inlineStr">
        <is>
          <t>RT20250628-07094</t>
        </is>
      </c>
      <c r="B7095" s="59" t="inlineStr">
        <is>
          <t>2025-06-28</t>
        </is>
      </c>
      <c r="C7095" s="60" t="inlineStr">
        <is>
          <t>Nimbus Laptop Max-652</t>
        </is>
      </c>
      <c r="D7095" s="58" t="inlineStr">
        <is>
          <t>Electronics</t>
        </is>
      </c>
      <c r="E7095" s="58" t="inlineStr">
        <is>
          <t>North</t>
        </is>
      </c>
      <c r="F7095" s="61" t="n">
        <v>2</v>
      </c>
      <c r="G7095" s="62" t="n">
        <v>1341.48</v>
      </c>
      <c r="H7095" s="63" t="n">
        <v>0.083</v>
      </c>
      <c r="I7095" s="62" t="n">
        <v>1016.37</v>
      </c>
      <c r="J7095" s="58" t="inlineStr">
        <is>
          <t>Store</t>
        </is>
      </c>
      <c r="K7095" s="62">
        <f>F7095*(G7095-H7095)</f>
        <v/>
      </c>
      <c r="L7095" s="62">
        <f>K7095-(F7095*I7095)</f>
        <v/>
      </c>
      <c r="M7095" s="64">
        <f>L7095/K7095</f>
        <v/>
      </c>
    </row>
    <row r="7096">
      <c r="A7096" s="58" t="inlineStr">
        <is>
          <t>RT20250628-07095</t>
        </is>
      </c>
      <c r="B7096" s="59" t="inlineStr">
        <is>
          <t>2025-06-28</t>
        </is>
      </c>
      <c r="C7096" s="60" t="inlineStr">
        <is>
          <t>Vertex Headphone Pro-801</t>
        </is>
      </c>
      <c r="D7096" s="58" t="inlineStr">
        <is>
          <t>Electronics</t>
        </is>
      </c>
      <c r="E7096" s="58" t="inlineStr">
        <is>
          <t>East</t>
        </is>
      </c>
      <c r="F7096" s="61" t="n">
        <v>2</v>
      </c>
      <c r="G7096" s="62" t="n">
        <v>1280.19</v>
      </c>
      <c r="H7096" s="63" t="n">
        <v>0.08500000000000001</v>
      </c>
      <c r="I7096" s="62" t="n">
        <v>959.72</v>
      </c>
      <c r="J7096" s="58" t="inlineStr">
        <is>
          <t>Online</t>
        </is>
      </c>
      <c r="K7096" s="62">
        <f>F7096*(G7096-H7096)</f>
        <v/>
      </c>
      <c r="L7096" s="62">
        <f>K7096-(F7096*I7096)</f>
        <v/>
      </c>
      <c r="M7096" s="64">
        <f>L7096/K7096</f>
        <v/>
      </c>
    </row>
    <row r="7097">
      <c r="A7097" s="58" t="inlineStr">
        <is>
          <t>RT20250628-07096</t>
        </is>
      </c>
      <c r="B7097" s="59" t="inlineStr">
        <is>
          <t>2025-06-28</t>
        </is>
      </c>
      <c r="C7097" s="60" t="inlineStr">
        <is>
          <t>Nimbus Laptop Max-652</t>
        </is>
      </c>
      <c r="D7097" s="58" t="inlineStr">
        <is>
          <t>Electronics</t>
        </is>
      </c>
      <c r="E7097" s="58" t="inlineStr">
        <is>
          <t>West</t>
        </is>
      </c>
      <c r="F7097" s="61" t="n">
        <v>2</v>
      </c>
      <c r="G7097" s="62" t="n">
        <v>1367</v>
      </c>
      <c r="H7097" s="63" t="n">
        <v>0.059</v>
      </c>
      <c r="I7097" s="62" t="n">
        <v>1064.95</v>
      </c>
      <c r="J7097" s="58" t="inlineStr">
        <is>
          <t>Store</t>
        </is>
      </c>
      <c r="K7097" s="62">
        <f>F7097*(G7097-H7097)</f>
        <v/>
      </c>
      <c r="L7097" s="62">
        <f>K7097-(F7097*I7097)</f>
        <v/>
      </c>
      <c r="M7097" s="64">
        <f>L7097/K7097</f>
        <v/>
      </c>
    </row>
    <row r="7098">
      <c r="A7098" s="58" t="inlineStr">
        <is>
          <t>RT20250628-07097</t>
        </is>
      </c>
      <c r="B7098" s="59" t="inlineStr">
        <is>
          <t>2025-06-28</t>
        </is>
      </c>
      <c r="C7098" s="60" t="inlineStr">
        <is>
          <t>Aurora Makeup S-626</t>
        </is>
      </c>
      <c r="D7098" s="58" t="inlineStr">
        <is>
          <t>Beauty</t>
        </is>
      </c>
      <c r="E7098" s="58" t="inlineStr">
        <is>
          <t>Central</t>
        </is>
      </c>
      <c r="F7098" s="61" t="n">
        <v>4</v>
      </c>
      <c r="G7098" s="62" t="n">
        <v>117.6</v>
      </c>
      <c r="H7098" s="63" t="n">
        <v>0.024</v>
      </c>
      <c r="I7098" s="62" t="n">
        <v>63.4</v>
      </c>
      <c r="J7098" s="58" t="inlineStr">
        <is>
          <t>Store</t>
        </is>
      </c>
      <c r="K7098" s="62">
        <f>F7098*(G7098-H7098)</f>
        <v/>
      </c>
      <c r="L7098" s="62">
        <f>K7098-(F7098*I7098)</f>
        <v/>
      </c>
      <c r="M7098" s="64">
        <f>L7098/K7098</f>
        <v/>
      </c>
    </row>
    <row r="7099">
      <c r="A7099" s="58" t="inlineStr">
        <is>
          <t>RT20250628-07098</t>
        </is>
      </c>
      <c r="B7099" s="59" t="inlineStr">
        <is>
          <t>2025-06-28</t>
        </is>
      </c>
      <c r="C7099" s="60" t="inlineStr">
        <is>
          <t>Vertex Appliance S-296</t>
        </is>
      </c>
      <c r="D7099" s="58" t="inlineStr">
        <is>
          <t>Home</t>
        </is>
      </c>
      <c r="E7099" s="58" t="inlineStr">
        <is>
          <t>North</t>
        </is>
      </c>
      <c r="F7099" s="61" t="n">
        <v>1</v>
      </c>
      <c r="G7099" s="62" t="n">
        <v>573.83</v>
      </c>
      <c r="H7099" s="63" t="n">
        <v>0.107</v>
      </c>
      <c r="I7099" s="62" t="n">
        <v>365.32</v>
      </c>
      <c r="J7099" s="58" t="inlineStr">
        <is>
          <t>Online</t>
        </is>
      </c>
      <c r="K7099" s="62">
        <f>F7099*(G7099-H7099)</f>
        <v/>
      </c>
      <c r="L7099" s="62">
        <f>K7099-(F7099*I7099)</f>
        <v/>
      </c>
      <c r="M7099" s="64">
        <f>L7099/K7099</f>
        <v/>
      </c>
    </row>
    <row r="7100">
      <c r="A7100" s="58" t="inlineStr">
        <is>
          <t>RT20250628-07099</t>
        </is>
      </c>
      <c r="B7100" s="59" t="inlineStr">
        <is>
          <t>2025-06-28</t>
        </is>
      </c>
      <c r="C7100" s="60" t="inlineStr">
        <is>
          <t>Vertex Furniture S-652</t>
        </is>
      </c>
      <c r="D7100" s="58" t="inlineStr">
        <is>
          <t>Office</t>
        </is>
      </c>
      <c r="E7100" s="58" t="inlineStr">
        <is>
          <t>Central</t>
        </is>
      </c>
      <c r="F7100" s="61" t="n">
        <v>3</v>
      </c>
      <c r="G7100" s="62" t="n">
        <v>396.37</v>
      </c>
      <c r="H7100" s="63" t="n">
        <v>0.052</v>
      </c>
      <c r="I7100" s="62" t="n">
        <v>273.11</v>
      </c>
      <c r="J7100" s="58" t="inlineStr">
        <is>
          <t>Store</t>
        </is>
      </c>
      <c r="K7100" s="62">
        <f>F7100*(G7100-H7100)</f>
        <v/>
      </c>
      <c r="L7100" s="62">
        <f>K7100-(F7100*I7100)</f>
        <v/>
      </c>
      <c r="M7100" s="64">
        <f>L7100/K7100</f>
        <v/>
      </c>
    </row>
    <row r="7101">
      <c r="A7101" s="58" t="inlineStr">
        <is>
          <t>RT20250628-07100</t>
        </is>
      </c>
      <c r="B7101" s="59" t="inlineStr">
        <is>
          <t>2025-06-28</t>
        </is>
      </c>
      <c r="C7101" s="60" t="inlineStr">
        <is>
          <t>Solace Kid S-384</t>
        </is>
      </c>
      <c r="D7101" s="58" t="inlineStr">
        <is>
          <t>Apparel</t>
        </is>
      </c>
      <c r="E7101" s="58" t="inlineStr">
        <is>
          <t>South</t>
        </is>
      </c>
      <c r="F7101" s="61" t="n">
        <v>4</v>
      </c>
      <c r="G7101" s="62" t="n">
        <v>115.43</v>
      </c>
      <c r="H7101" s="63" t="n">
        <v>0.08699999999999999</v>
      </c>
      <c r="I7101" s="62" t="n">
        <v>62.65</v>
      </c>
      <c r="J7101" s="58" t="inlineStr">
        <is>
          <t>Store</t>
        </is>
      </c>
      <c r="K7101" s="62">
        <f>F7101*(G7101-H7101)</f>
        <v/>
      </c>
      <c r="L7101" s="62">
        <f>K7101-(F7101*I7101)</f>
        <v/>
      </c>
      <c r="M7101" s="64">
        <f>L7101/K7101</f>
        <v/>
      </c>
    </row>
    <row r="7102">
      <c r="A7102" s="58" t="inlineStr">
        <is>
          <t>RT20250628-07101</t>
        </is>
      </c>
      <c r="B7102" s="59" t="inlineStr">
        <is>
          <t>2025-06-28</t>
        </is>
      </c>
      <c r="C7102" s="60" t="inlineStr">
        <is>
          <t>Vertex Decor Pro-618</t>
        </is>
      </c>
      <c r="D7102" s="58" t="inlineStr">
        <is>
          <t>Home</t>
        </is>
      </c>
      <c r="E7102" s="58" t="inlineStr">
        <is>
          <t>East</t>
        </is>
      </c>
      <c r="F7102" s="61" t="n">
        <v>3</v>
      </c>
      <c r="G7102" s="62" t="n">
        <v>551.66</v>
      </c>
      <c r="H7102" s="63" t="n">
        <v>0.07099999999999999</v>
      </c>
      <c r="I7102" s="62" t="n">
        <v>380.83</v>
      </c>
      <c r="J7102" s="58" t="inlineStr">
        <is>
          <t>Online</t>
        </is>
      </c>
      <c r="K7102" s="62">
        <f>F7102*(G7102-H7102)</f>
        <v/>
      </c>
      <c r="L7102" s="62">
        <f>K7102-(F7102*I7102)</f>
        <v/>
      </c>
      <c r="M7102" s="64">
        <f>L7102/K7102</f>
        <v/>
      </c>
    </row>
    <row r="7103">
      <c r="A7103" s="58" t="inlineStr">
        <is>
          <t>RT20250628-07102</t>
        </is>
      </c>
      <c r="B7103" s="59" t="inlineStr">
        <is>
          <t>2025-06-28</t>
        </is>
      </c>
      <c r="C7103" s="60" t="inlineStr">
        <is>
          <t>Vertex Smartphone Pro-256</t>
        </is>
      </c>
      <c r="D7103" s="58" t="inlineStr">
        <is>
          <t>Electronics</t>
        </is>
      </c>
      <c r="E7103" s="58" t="inlineStr">
        <is>
          <t>East</t>
        </is>
      </c>
      <c r="F7103" s="61" t="n">
        <v>1</v>
      </c>
      <c r="G7103" s="62" t="n">
        <v>1169.25</v>
      </c>
      <c r="H7103" s="63" t="n">
        <v>0.02</v>
      </c>
      <c r="I7103" s="62" t="n">
        <v>935.51</v>
      </c>
      <c r="J7103" s="58" t="inlineStr">
        <is>
          <t>Online</t>
        </is>
      </c>
      <c r="K7103" s="62">
        <f>F7103*(G7103-H7103)</f>
        <v/>
      </c>
      <c r="L7103" s="62">
        <f>K7103-(F7103*I7103)</f>
        <v/>
      </c>
      <c r="M7103" s="64">
        <f>L7103/K7103</f>
        <v/>
      </c>
    </row>
    <row r="7104">
      <c r="A7104" s="58" t="inlineStr">
        <is>
          <t>RT20250628-07103</t>
        </is>
      </c>
      <c r="B7104" s="59" t="inlineStr">
        <is>
          <t>2025-06-28</t>
        </is>
      </c>
      <c r="C7104" s="60" t="inlineStr">
        <is>
          <t>Polar Supplie Lite-348</t>
        </is>
      </c>
      <c r="D7104" s="58" t="inlineStr">
        <is>
          <t>Office</t>
        </is>
      </c>
      <c r="E7104" s="58" t="inlineStr">
        <is>
          <t>East</t>
        </is>
      </c>
      <c r="F7104" s="61" t="n">
        <v>2</v>
      </c>
      <c r="G7104" s="62" t="n">
        <v>403.76</v>
      </c>
      <c r="H7104" s="63" t="n">
        <v>0.034</v>
      </c>
      <c r="I7104" s="62" t="n">
        <v>306.74</v>
      </c>
      <c r="J7104" s="58" t="inlineStr">
        <is>
          <t>Online</t>
        </is>
      </c>
      <c r="K7104" s="62">
        <f>F7104*(G7104-H7104)</f>
        <v/>
      </c>
      <c r="L7104" s="62">
        <f>K7104-(F7104*I7104)</f>
        <v/>
      </c>
      <c r="M7104" s="64">
        <f>L7104/K7104</f>
        <v/>
      </c>
    </row>
    <row r="7105">
      <c r="A7105" s="58" t="inlineStr">
        <is>
          <t>RT20250628-07104</t>
        </is>
      </c>
      <c r="B7105" s="59" t="inlineStr">
        <is>
          <t>2025-06-28</t>
        </is>
      </c>
      <c r="C7105" s="60" t="inlineStr">
        <is>
          <t>Vertex Pantry Pro-165</t>
        </is>
      </c>
      <c r="D7105" s="58" t="inlineStr">
        <is>
          <t>Grocery</t>
        </is>
      </c>
      <c r="E7105" s="58" t="inlineStr">
        <is>
          <t>South</t>
        </is>
      </c>
      <c r="F7105" s="61" t="n">
        <v>8</v>
      </c>
      <c r="G7105" s="62" t="n">
        <v>14.45</v>
      </c>
      <c r="H7105" s="63" t="n">
        <v>0.065</v>
      </c>
      <c r="I7105" s="62" t="n">
        <v>11.81</v>
      </c>
      <c r="J7105" s="58" t="inlineStr">
        <is>
          <t>Online</t>
        </is>
      </c>
      <c r="K7105" s="62">
        <f>F7105*(G7105-H7105)</f>
        <v/>
      </c>
      <c r="L7105" s="62">
        <f>K7105-(F7105*I7105)</f>
        <v/>
      </c>
      <c r="M7105" s="64">
        <f>L7105/K7105</f>
        <v/>
      </c>
    </row>
    <row r="7106">
      <c r="A7106" s="58" t="inlineStr">
        <is>
          <t>RT20250628-07105</t>
        </is>
      </c>
      <c r="B7106" s="59" t="inlineStr">
        <is>
          <t>2025-06-28</t>
        </is>
      </c>
      <c r="C7106" s="60" t="inlineStr">
        <is>
          <t>Polar Supplie Lite-348</t>
        </is>
      </c>
      <c r="D7106" s="58" t="inlineStr">
        <is>
          <t>Office</t>
        </is>
      </c>
      <c r="E7106" s="58" t="inlineStr">
        <is>
          <t>Central</t>
        </is>
      </c>
      <c r="F7106" s="61" t="n">
        <v>2</v>
      </c>
      <c r="G7106" s="62" t="n">
        <v>434.78</v>
      </c>
      <c r="H7106" s="63" t="n">
        <v>0.044</v>
      </c>
      <c r="I7106" s="62" t="n">
        <v>320.35</v>
      </c>
      <c r="J7106" s="58" t="inlineStr">
        <is>
          <t>Online</t>
        </is>
      </c>
      <c r="K7106" s="62">
        <f>F7106*(G7106-H7106)</f>
        <v/>
      </c>
      <c r="L7106" s="62">
        <f>K7106-(F7106*I7106)</f>
        <v/>
      </c>
      <c r="M7106" s="64">
        <f>L7106/K7106</f>
        <v/>
      </c>
    </row>
    <row r="7107">
      <c r="A7107" s="58" t="inlineStr">
        <is>
          <t>RT20250628-07106</t>
        </is>
      </c>
      <c r="B7107" s="59" t="inlineStr">
        <is>
          <t>2025-06-28</t>
        </is>
      </c>
      <c r="C7107" s="60" t="inlineStr">
        <is>
          <t>Aurora Kid Plus-151</t>
        </is>
      </c>
      <c r="D7107" s="58" t="inlineStr">
        <is>
          <t>Apparel</t>
        </is>
      </c>
      <c r="E7107" s="58" t="inlineStr">
        <is>
          <t>East</t>
        </is>
      </c>
      <c r="F7107" s="61" t="n">
        <v>3</v>
      </c>
      <c r="G7107" s="62" t="n">
        <v>124.56</v>
      </c>
      <c r="H7107" s="63" t="n">
        <v>0.057</v>
      </c>
      <c r="I7107" s="62" t="n">
        <v>64.91</v>
      </c>
      <c r="J7107" s="58" t="inlineStr">
        <is>
          <t>Store</t>
        </is>
      </c>
      <c r="K7107" s="62">
        <f>F7107*(G7107-H7107)</f>
        <v/>
      </c>
      <c r="L7107" s="62">
        <f>K7107-(F7107*I7107)</f>
        <v/>
      </c>
      <c r="M7107" s="64">
        <f>L7107/K7107</f>
        <v/>
      </c>
    </row>
    <row r="7108">
      <c r="A7108" s="58" t="inlineStr">
        <is>
          <t>RT20250628-07107</t>
        </is>
      </c>
      <c r="B7108" s="59" t="inlineStr">
        <is>
          <t>2025-06-28</t>
        </is>
      </c>
      <c r="C7108" s="60" t="inlineStr">
        <is>
          <t>Metro Laptop Plus-376</t>
        </is>
      </c>
      <c r="D7108" s="58" t="inlineStr">
        <is>
          <t>Electronics</t>
        </is>
      </c>
      <c r="E7108" s="58" t="inlineStr">
        <is>
          <t>East</t>
        </is>
      </c>
      <c r="F7108" s="61" t="n">
        <v>1</v>
      </c>
      <c r="G7108" s="62" t="n">
        <v>1369.34</v>
      </c>
      <c r="H7108" s="63" t="n">
        <v>0.082</v>
      </c>
      <c r="I7108" s="62" t="n">
        <v>1055.66</v>
      </c>
      <c r="J7108" s="58" t="inlineStr">
        <is>
          <t>Store</t>
        </is>
      </c>
      <c r="K7108" s="62">
        <f>F7108*(G7108-H7108)</f>
        <v/>
      </c>
      <c r="L7108" s="62">
        <f>K7108-(F7108*I7108)</f>
        <v/>
      </c>
      <c r="M7108" s="64">
        <f>L7108/K7108</f>
        <v/>
      </c>
    </row>
    <row r="7109">
      <c r="A7109" s="58" t="inlineStr">
        <is>
          <t>RT20250628-07108</t>
        </is>
      </c>
      <c r="B7109" s="59" t="inlineStr">
        <is>
          <t>2025-06-28</t>
        </is>
      </c>
      <c r="C7109" s="60" t="inlineStr">
        <is>
          <t>Orion Kitchen Pro-568</t>
        </is>
      </c>
      <c r="D7109" s="58" t="inlineStr">
        <is>
          <t>Home</t>
        </is>
      </c>
      <c r="E7109" s="58" t="inlineStr">
        <is>
          <t>East</t>
        </is>
      </c>
      <c r="F7109" s="61" t="n">
        <v>3</v>
      </c>
      <c r="G7109" s="62" t="n">
        <v>416.55</v>
      </c>
      <c r="H7109" s="63" t="n">
        <v>0.129</v>
      </c>
      <c r="I7109" s="62" t="n">
        <v>305.59</v>
      </c>
      <c r="J7109" s="58" t="inlineStr">
        <is>
          <t>Phone</t>
        </is>
      </c>
      <c r="K7109" s="62">
        <f>F7109*(G7109-H7109)</f>
        <v/>
      </c>
      <c r="L7109" s="62">
        <f>K7109-(F7109*I7109)</f>
        <v/>
      </c>
      <c r="M7109" s="64">
        <f>L7109/K7109</f>
        <v/>
      </c>
    </row>
    <row r="7110">
      <c r="A7110" s="58" t="inlineStr">
        <is>
          <t>RT20250628-07109</t>
        </is>
      </c>
      <c r="B7110" s="59" t="inlineStr">
        <is>
          <t>2025-06-28</t>
        </is>
      </c>
      <c r="C7110" s="60" t="inlineStr">
        <is>
          <t>Nimbus Headphone X-854</t>
        </is>
      </c>
      <c r="D7110" s="58" t="inlineStr">
        <is>
          <t>Electronics</t>
        </is>
      </c>
      <c r="E7110" s="58" t="inlineStr">
        <is>
          <t>West</t>
        </is>
      </c>
      <c r="F7110" s="61" t="n">
        <v>1</v>
      </c>
      <c r="G7110" s="62" t="n">
        <v>1833.92</v>
      </c>
      <c r="H7110" s="63" t="n">
        <v>0.064</v>
      </c>
      <c r="I7110" s="62" t="n">
        <v>1278.55</v>
      </c>
      <c r="J7110" s="58" t="inlineStr">
        <is>
          <t>Store</t>
        </is>
      </c>
      <c r="K7110" s="62">
        <f>F7110*(G7110-H7110)</f>
        <v/>
      </c>
      <c r="L7110" s="62">
        <f>K7110-(F7110*I7110)</f>
        <v/>
      </c>
      <c r="M7110" s="64">
        <f>L7110/K7110</f>
        <v/>
      </c>
    </row>
    <row r="7111">
      <c r="A7111" s="58" t="inlineStr">
        <is>
          <t>RT20250628-07110</t>
        </is>
      </c>
      <c r="B7111" s="59" t="inlineStr">
        <is>
          <t>2025-06-28</t>
        </is>
      </c>
      <c r="C7111" s="60" t="inlineStr">
        <is>
          <t>Aurora Fragrance S-971</t>
        </is>
      </c>
      <c r="D7111" s="58" t="inlineStr">
        <is>
          <t>Beauty</t>
        </is>
      </c>
      <c r="E7111" s="58" t="inlineStr">
        <is>
          <t>Central</t>
        </is>
      </c>
      <c r="F7111" s="61" t="n">
        <v>4</v>
      </c>
      <c r="G7111" s="62" t="n">
        <v>119.19</v>
      </c>
      <c r="H7111" s="63" t="n">
        <v>0.06900000000000001</v>
      </c>
      <c r="I7111" s="62" t="n">
        <v>63.18</v>
      </c>
      <c r="J7111" s="58" t="inlineStr">
        <is>
          <t>Online</t>
        </is>
      </c>
      <c r="K7111" s="62">
        <f>F7111*(G7111-H7111)</f>
        <v/>
      </c>
      <c r="L7111" s="62">
        <f>K7111-(F7111*I7111)</f>
        <v/>
      </c>
      <c r="M7111" s="64">
        <f>L7111/K7111</f>
        <v/>
      </c>
    </row>
    <row r="7112">
      <c r="A7112" s="58" t="inlineStr">
        <is>
          <t>RT20250628-07111</t>
        </is>
      </c>
      <c r="B7112" s="59" t="inlineStr">
        <is>
          <t>2025-06-28</t>
        </is>
      </c>
      <c r="C7112" s="60" t="inlineStr">
        <is>
          <t>Polar Women S-662</t>
        </is>
      </c>
      <c r="D7112" s="58" t="inlineStr">
        <is>
          <t>Apparel</t>
        </is>
      </c>
      <c r="E7112" s="58" t="inlineStr">
        <is>
          <t>North</t>
        </is>
      </c>
      <c r="F7112" s="61" t="n">
        <v>2</v>
      </c>
      <c r="G7112" s="62" t="n">
        <v>169.77</v>
      </c>
      <c r="H7112" s="63" t="n">
        <v>0.037</v>
      </c>
      <c r="I7112" s="62" t="n">
        <v>103.11</v>
      </c>
      <c r="J7112" s="58" t="inlineStr">
        <is>
          <t>Online</t>
        </is>
      </c>
      <c r="K7112" s="62">
        <f>F7112*(G7112-H7112)</f>
        <v/>
      </c>
      <c r="L7112" s="62">
        <f>K7112-(F7112*I7112)</f>
        <v/>
      </c>
      <c r="M7112" s="64">
        <f>L7112/K7112</f>
        <v/>
      </c>
    </row>
    <row r="7113">
      <c r="A7113" s="58" t="inlineStr">
        <is>
          <t>RT20250628-07112</t>
        </is>
      </c>
      <c r="B7113" s="59" t="inlineStr">
        <is>
          <t>2025-06-28</t>
        </is>
      </c>
      <c r="C7113" s="60" t="inlineStr">
        <is>
          <t>Nimbus Laptop Max-652</t>
        </is>
      </c>
      <c r="D7113" s="58" t="inlineStr">
        <is>
          <t>Electronics</t>
        </is>
      </c>
      <c r="E7113" s="58" t="inlineStr">
        <is>
          <t>East</t>
        </is>
      </c>
      <c r="F7113" s="61" t="n">
        <v>1</v>
      </c>
      <c r="G7113" s="62" t="n">
        <v>1386.7</v>
      </c>
      <c r="H7113" s="63" t="n">
        <v>0.052</v>
      </c>
      <c r="I7113" s="62" t="n">
        <v>1051.36</v>
      </c>
      <c r="J7113" s="58" t="inlineStr">
        <is>
          <t>Online</t>
        </is>
      </c>
      <c r="K7113" s="62">
        <f>F7113*(G7113-H7113)</f>
        <v/>
      </c>
      <c r="L7113" s="62">
        <f>K7113-(F7113*I7113)</f>
        <v/>
      </c>
      <c r="M7113" s="64">
        <f>L7113/K7113</f>
        <v/>
      </c>
    </row>
    <row r="7114">
      <c r="A7114" s="58" t="inlineStr">
        <is>
          <t>RT20250628-07113</t>
        </is>
      </c>
      <c r="B7114" s="59" t="inlineStr">
        <is>
          <t>2025-06-28</t>
        </is>
      </c>
      <c r="C7114" s="60" t="inlineStr">
        <is>
          <t>Solace Headphone Pro-344</t>
        </is>
      </c>
      <c r="D7114" s="58" t="inlineStr">
        <is>
          <t>Electronics</t>
        </is>
      </c>
      <c r="E7114" s="58" t="inlineStr">
        <is>
          <t>East</t>
        </is>
      </c>
      <c r="F7114" s="61" t="n">
        <v>2</v>
      </c>
      <c r="G7114" s="62" t="n">
        <v>1357.91</v>
      </c>
      <c r="H7114" s="63" t="n">
        <v>0.097</v>
      </c>
      <c r="I7114" s="62" t="n">
        <v>1040.42</v>
      </c>
      <c r="J7114" s="58" t="inlineStr">
        <is>
          <t>Online</t>
        </is>
      </c>
      <c r="K7114" s="62">
        <f>F7114*(G7114-H7114)</f>
        <v/>
      </c>
      <c r="L7114" s="62">
        <f>K7114-(F7114*I7114)</f>
        <v/>
      </c>
      <c r="M7114" s="64">
        <f>L7114/K7114</f>
        <v/>
      </c>
    </row>
    <row r="7115">
      <c r="A7115" s="58" t="inlineStr">
        <is>
          <t>RT20250628-07114</t>
        </is>
      </c>
      <c r="B7115" s="59" t="inlineStr">
        <is>
          <t>2025-06-28</t>
        </is>
      </c>
      <c r="C7115" s="60" t="inlineStr">
        <is>
          <t>Polar Cycling X-649</t>
        </is>
      </c>
      <c r="D7115" s="58" t="inlineStr">
        <is>
          <t>Sports</t>
        </is>
      </c>
      <c r="E7115" s="58" t="inlineStr">
        <is>
          <t>Central</t>
        </is>
      </c>
      <c r="F7115" s="61" t="n">
        <v>3</v>
      </c>
      <c r="G7115" s="62" t="n">
        <v>648.05</v>
      </c>
      <c r="H7115" s="63" t="n">
        <v>0.098</v>
      </c>
      <c r="I7115" s="62" t="n">
        <v>366.68</v>
      </c>
      <c r="J7115" s="58" t="inlineStr">
        <is>
          <t>Store</t>
        </is>
      </c>
      <c r="K7115" s="62">
        <f>F7115*(G7115-H7115)</f>
        <v/>
      </c>
      <c r="L7115" s="62">
        <f>K7115-(F7115*I7115)</f>
        <v/>
      </c>
      <c r="M7115" s="64">
        <f>L7115/K7115</f>
        <v/>
      </c>
    </row>
    <row r="7116">
      <c r="A7116" s="58" t="inlineStr">
        <is>
          <t>RT20250628-07115</t>
        </is>
      </c>
      <c r="B7116" s="59" t="inlineStr">
        <is>
          <t>2025-06-28</t>
        </is>
      </c>
      <c r="C7116" s="60" t="inlineStr">
        <is>
          <t>Metro Pantry X-710</t>
        </is>
      </c>
      <c r="D7116" s="58" t="inlineStr">
        <is>
          <t>Grocery</t>
        </is>
      </c>
      <c r="E7116" s="58" t="inlineStr">
        <is>
          <t>West</t>
        </is>
      </c>
      <c r="F7116" s="61" t="n">
        <v>7</v>
      </c>
      <c r="G7116" s="62" t="n">
        <v>4.14</v>
      </c>
      <c r="H7116" s="63" t="n">
        <v>0.096</v>
      </c>
      <c r="I7116" s="62" t="n">
        <v>3.63</v>
      </c>
      <c r="J7116" s="58" t="inlineStr">
        <is>
          <t>Online</t>
        </is>
      </c>
      <c r="K7116" s="62">
        <f>F7116*(G7116-H7116)</f>
        <v/>
      </c>
      <c r="L7116" s="62">
        <f>K7116-(F7116*I7116)</f>
        <v/>
      </c>
      <c r="M7116" s="64">
        <f>L7116/K7116</f>
        <v/>
      </c>
    </row>
    <row r="7117">
      <c r="A7117" s="58" t="inlineStr">
        <is>
          <t>RT20250628-07116</t>
        </is>
      </c>
      <c r="B7117" s="59" t="inlineStr">
        <is>
          <t>2025-06-28</t>
        </is>
      </c>
      <c r="C7117" s="60" t="inlineStr">
        <is>
          <t>Aurora Bedding Max-175</t>
        </is>
      </c>
      <c r="D7117" s="58" t="inlineStr">
        <is>
          <t>Home</t>
        </is>
      </c>
      <c r="E7117" s="58" t="inlineStr">
        <is>
          <t>Central</t>
        </is>
      </c>
      <c r="F7117" s="61" t="n">
        <v>2</v>
      </c>
      <c r="G7117" s="62" t="n">
        <v>670.62</v>
      </c>
      <c r="H7117" s="63" t="n">
        <v>0.07099999999999999</v>
      </c>
      <c r="I7117" s="62" t="n">
        <v>422.01</v>
      </c>
      <c r="J7117" s="58" t="inlineStr">
        <is>
          <t>Store</t>
        </is>
      </c>
      <c r="K7117" s="62">
        <f>F7117*(G7117-H7117)</f>
        <v/>
      </c>
      <c r="L7117" s="62">
        <f>K7117-(F7117*I7117)</f>
        <v/>
      </c>
      <c r="M7117" s="64">
        <f>L7117/K7117</f>
        <v/>
      </c>
    </row>
    <row r="7118">
      <c r="A7118" s="58" t="inlineStr">
        <is>
          <t>RT20250628-07117</t>
        </is>
      </c>
      <c r="B7118" s="59" t="inlineStr">
        <is>
          <t>2025-06-28</t>
        </is>
      </c>
      <c r="C7118" s="60" t="inlineStr">
        <is>
          <t>Polar Haircare Max-614</t>
        </is>
      </c>
      <c r="D7118" s="58" t="inlineStr">
        <is>
          <t>Beauty</t>
        </is>
      </c>
      <c r="E7118" s="58" t="inlineStr">
        <is>
          <t>North</t>
        </is>
      </c>
      <c r="F7118" s="61" t="n">
        <v>4</v>
      </c>
      <c r="G7118" s="62" t="n">
        <v>90.43000000000001</v>
      </c>
      <c r="H7118" s="63" t="n">
        <v>0.064</v>
      </c>
      <c r="I7118" s="62" t="n">
        <v>71.45999999999999</v>
      </c>
      <c r="J7118" s="58" t="inlineStr">
        <is>
          <t>Online</t>
        </is>
      </c>
      <c r="K7118" s="62">
        <f>F7118*(G7118-H7118)</f>
        <v/>
      </c>
      <c r="L7118" s="62">
        <f>K7118-(F7118*I7118)</f>
        <v/>
      </c>
      <c r="M7118" s="64">
        <f>L7118/K7118</f>
        <v/>
      </c>
    </row>
    <row r="7119">
      <c r="A7119" s="58" t="inlineStr">
        <is>
          <t>RT20250628-07118</t>
        </is>
      </c>
      <c r="B7119" s="59" t="inlineStr">
        <is>
          <t>2025-06-28</t>
        </is>
      </c>
      <c r="C7119" s="60" t="inlineStr">
        <is>
          <t>Orion Supplie S-612</t>
        </is>
      </c>
      <c r="D7119" s="58" t="inlineStr">
        <is>
          <t>Office</t>
        </is>
      </c>
      <c r="E7119" s="58" t="inlineStr">
        <is>
          <t>East</t>
        </is>
      </c>
      <c r="F7119" s="61" t="n">
        <v>3</v>
      </c>
      <c r="G7119" s="62" t="n">
        <v>464.87</v>
      </c>
      <c r="H7119" s="63" t="n">
        <v>0.091</v>
      </c>
      <c r="I7119" s="62" t="n">
        <v>336.09</v>
      </c>
      <c r="J7119" s="58" t="inlineStr">
        <is>
          <t>Online</t>
        </is>
      </c>
      <c r="K7119" s="62">
        <f>F7119*(G7119-H7119)</f>
        <v/>
      </c>
      <c r="L7119" s="62">
        <f>K7119-(F7119*I7119)</f>
        <v/>
      </c>
      <c r="M7119" s="64">
        <f>L7119/K7119</f>
        <v/>
      </c>
    </row>
    <row r="7120">
      <c r="A7120" s="58" t="inlineStr">
        <is>
          <t>RT20250628-07119</t>
        </is>
      </c>
      <c r="B7120" s="59" t="inlineStr">
        <is>
          <t>2025-06-28</t>
        </is>
      </c>
      <c r="C7120" s="60" t="inlineStr">
        <is>
          <t>Vertex Supplie X-513</t>
        </is>
      </c>
      <c r="D7120" s="58" t="inlineStr">
        <is>
          <t>Office</t>
        </is>
      </c>
      <c r="E7120" s="58" t="inlineStr">
        <is>
          <t>West</t>
        </is>
      </c>
      <c r="F7120" s="61" t="n">
        <v>3</v>
      </c>
      <c r="G7120" s="62" t="n">
        <v>396.64</v>
      </c>
      <c r="H7120" s="63" t="n">
        <v>0.023</v>
      </c>
      <c r="I7120" s="62" t="n">
        <v>274.99</v>
      </c>
      <c r="J7120" s="58" t="inlineStr">
        <is>
          <t>Store</t>
        </is>
      </c>
      <c r="K7120" s="62">
        <f>F7120*(G7120-H7120)</f>
        <v/>
      </c>
      <c r="L7120" s="62">
        <f>K7120-(F7120*I7120)</f>
        <v/>
      </c>
      <c r="M7120" s="64">
        <f>L7120/K7120</f>
        <v/>
      </c>
    </row>
    <row r="7121">
      <c r="A7121" s="58" t="inlineStr">
        <is>
          <t>RT20250628-07120</t>
        </is>
      </c>
      <c r="B7121" s="59" t="inlineStr">
        <is>
          <t>2025-06-28</t>
        </is>
      </c>
      <c r="C7121" s="60" t="inlineStr">
        <is>
          <t>Vertex Smartphone Lite-267</t>
        </is>
      </c>
      <c r="D7121" s="58" t="inlineStr">
        <is>
          <t>Electronics</t>
        </is>
      </c>
      <c r="E7121" s="58" t="inlineStr">
        <is>
          <t>West</t>
        </is>
      </c>
      <c r="F7121" s="61" t="n">
        <v>1</v>
      </c>
      <c r="G7121" s="62" t="n">
        <v>1427.98</v>
      </c>
      <c r="H7121" s="63" t="n">
        <v>0.068</v>
      </c>
      <c r="I7121" s="62" t="n">
        <v>974.98</v>
      </c>
      <c r="J7121" s="58" t="inlineStr">
        <is>
          <t>Store</t>
        </is>
      </c>
      <c r="K7121" s="62">
        <f>F7121*(G7121-H7121)</f>
        <v/>
      </c>
      <c r="L7121" s="62">
        <f>K7121-(F7121*I7121)</f>
        <v/>
      </c>
      <c r="M7121" s="64">
        <f>L7121/K7121</f>
        <v/>
      </c>
    </row>
    <row r="7122">
      <c r="A7122" s="58" t="inlineStr">
        <is>
          <t>RT20250628-07121</t>
        </is>
      </c>
      <c r="B7122" s="59" t="inlineStr">
        <is>
          <t>2025-06-28</t>
        </is>
      </c>
      <c r="C7122" s="60" t="inlineStr">
        <is>
          <t>Nimbus Storage Plus-646</t>
        </is>
      </c>
      <c r="D7122" s="58" t="inlineStr">
        <is>
          <t>Office</t>
        </is>
      </c>
      <c r="E7122" s="58" t="inlineStr">
        <is>
          <t>Central</t>
        </is>
      </c>
      <c r="F7122" s="61" t="n">
        <v>2</v>
      </c>
      <c r="G7122" s="62" t="n">
        <v>395.9</v>
      </c>
      <c r="H7122" s="63" t="n">
        <v>0.046</v>
      </c>
      <c r="I7122" s="62" t="n">
        <v>325.47</v>
      </c>
      <c r="J7122" s="58" t="inlineStr">
        <is>
          <t>Online</t>
        </is>
      </c>
      <c r="K7122" s="62">
        <f>F7122*(G7122-H7122)</f>
        <v/>
      </c>
      <c r="L7122" s="62">
        <f>K7122-(F7122*I7122)</f>
        <v/>
      </c>
      <c r="M7122" s="64">
        <f>L7122/K7122</f>
        <v/>
      </c>
    </row>
    <row r="7123">
      <c r="A7123" s="58" t="inlineStr">
        <is>
          <t>RT20250628-07122</t>
        </is>
      </c>
      <c r="B7123" s="59" t="inlineStr">
        <is>
          <t>2025-06-28</t>
        </is>
      </c>
      <c r="C7123" s="60" t="inlineStr">
        <is>
          <t>Vertex Men X-995</t>
        </is>
      </c>
      <c r="D7123" s="58" t="inlineStr">
        <is>
          <t>Apparel</t>
        </is>
      </c>
      <c r="E7123" s="58" t="inlineStr">
        <is>
          <t>West</t>
        </is>
      </c>
      <c r="F7123" s="61" t="n">
        <v>1</v>
      </c>
      <c r="G7123" s="62" t="n">
        <v>105.16</v>
      </c>
      <c r="H7123" s="63" t="n">
        <v>0.092</v>
      </c>
      <c r="I7123" s="62" t="n">
        <v>59.08</v>
      </c>
      <c r="J7123" s="58" t="inlineStr">
        <is>
          <t>Store</t>
        </is>
      </c>
      <c r="K7123" s="62">
        <f>F7123*(G7123-H7123)</f>
        <v/>
      </c>
      <c r="L7123" s="62">
        <f>K7123-(F7123*I7123)</f>
        <v/>
      </c>
      <c r="M7123" s="64">
        <f>L7123/K7123</f>
        <v/>
      </c>
    </row>
    <row r="7124">
      <c r="A7124" s="58" t="inlineStr">
        <is>
          <t>RT20250628-07123</t>
        </is>
      </c>
      <c r="B7124" s="59" t="inlineStr">
        <is>
          <t>2025-06-28</t>
        </is>
      </c>
      <c r="C7124" s="60" t="inlineStr">
        <is>
          <t>Polar Bedding Lite-243</t>
        </is>
      </c>
      <c r="D7124" s="58" t="inlineStr">
        <is>
          <t>Home</t>
        </is>
      </c>
      <c r="E7124" s="58" t="inlineStr">
        <is>
          <t>East</t>
        </is>
      </c>
      <c r="F7124" s="61" t="n">
        <v>2</v>
      </c>
      <c r="G7124" s="62" t="n">
        <v>485.16</v>
      </c>
      <c r="H7124" s="63" t="n">
        <v>0.083</v>
      </c>
      <c r="I7124" s="62" t="n">
        <v>325.31</v>
      </c>
      <c r="J7124" s="58" t="inlineStr">
        <is>
          <t>Store</t>
        </is>
      </c>
      <c r="K7124" s="62">
        <f>F7124*(G7124-H7124)</f>
        <v/>
      </c>
      <c r="L7124" s="62">
        <f>K7124-(F7124*I7124)</f>
        <v/>
      </c>
      <c r="M7124" s="64">
        <f>L7124/K7124</f>
        <v/>
      </c>
    </row>
    <row r="7125">
      <c r="A7125" s="58" t="inlineStr">
        <is>
          <t>RT20250628-07124</t>
        </is>
      </c>
      <c r="B7125" s="59" t="inlineStr">
        <is>
          <t>2025-06-28</t>
        </is>
      </c>
      <c r="C7125" s="60" t="inlineStr">
        <is>
          <t>Aurora Bedding Max-175</t>
        </is>
      </c>
      <c r="D7125" s="58" t="inlineStr">
        <is>
          <t>Home</t>
        </is>
      </c>
      <c r="E7125" s="58" t="inlineStr">
        <is>
          <t>South</t>
        </is>
      </c>
      <c r="F7125" s="61" t="n">
        <v>2</v>
      </c>
      <c r="G7125" s="62" t="n">
        <v>614.34</v>
      </c>
      <c r="H7125" s="63" t="n">
        <v>0.068</v>
      </c>
      <c r="I7125" s="62" t="n">
        <v>410.82</v>
      </c>
      <c r="J7125" s="58" t="inlineStr">
        <is>
          <t>Online</t>
        </is>
      </c>
      <c r="K7125" s="62">
        <f>F7125*(G7125-H7125)</f>
        <v/>
      </c>
      <c r="L7125" s="62">
        <f>K7125-(F7125*I7125)</f>
        <v/>
      </c>
      <c r="M7125" s="64">
        <f>L7125/K7125</f>
        <v/>
      </c>
    </row>
    <row r="7126">
      <c r="A7126" s="58" t="inlineStr">
        <is>
          <t>RT20250628-07125</t>
        </is>
      </c>
      <c r="B7126" s="59" t="inlineStr">
        <is>
          <t>2025-06-28</t>
        </is>
      </c>
      <c r="C7126" s="60" t="inlineStr">
        <is>
          <t>Solace Fitnes S-324</t>
        </is>
      </c>
      <c r="D7126" s="58" t="inlineStr">
        <is>
          <t>Sports</t>
        </is>
      </c>
      <c r="E7126" s="58" t="inlineStr">
        <is>
          <t>South</t>
        </is>
      </c>
      <c r="F7126" s="61" t="n">
        <v>3</v>
      </c>
      <c r="G7126" s="62" t="n">
        <v>750.1900000000001</v>
      </c>
      <c r="H7126" s="63" t="n">
        <v>0.142</v>
      </c>
      <c r="I7126" s="62" t="n">
        <v>543.22</v>
      </c>
      <c r="J7126" s="58" t="inlineStr">
        <is>
          <t>Online</t>
        </is>
      </c>
      <c r="K7126" s="62">
        <f>F7126*(G7126-H7126)</f>
        <v/>
      </c>
      <c r="L7126" s="62">
        <f>K7126-(F7126*I7126)</f>
        <v/>
      </c>
      <c r="M7126" s="64">
        <f>L7126/K7126</f>
        <v/>
      </c>
    </row>
    <row r="7127">
      <c r="A7127" s="58" t="inlineStr">
        <is>
          <t>RT20250628-07126</t>
        </is>
      </c>
      <c r="B7127" s="59" t="inlineStr">
        <is>
          <t>2025-06-28</t>
        </is>
      </c>
      <c r="C7127" s="60" t="inlineStr">
        <is>
          <t>Aurora Team Sport Plus-256</t>
        </is>
      </c>
      <c r="D7127" s="58" t="inlineStr">
        <is>
          <t>Sports</t>
        </is>
      </c>
      <c r="E7127" s="58" t="inlineStr">
        <is>
          <t>West</t>
        </is>
      </c>
      <c r="F7127" s="61" t="n">
        <v>3</v>
      </c>
      <c r="G7127" s="62" t="n">
        <v>586.8200000000001</v>
      </c>
      <c r="H7127" s="63" t="n">
        <v>0.045</v>
      </c>
      <c r="I7127" s="62" t="n">
        <v>423.27</v>
      </c>
      <c r="J7127" s="58" t="inlineStr">
        <is>
          <t>Store</t>
        </is>
      </c>
      <c r="K7127" s="62">
        <f>F7127*(G7127-H7127)</f>
        <v/>
      </c>
      <c r="L7127" s="62">
        <f>K7127-(F7127*I7127)</f>
        <v/>
      </c>
      <c r="M7127" s="64">
        <f>L7127/K7127</f>
        <v/>
      </c>
    </row>
    <row r="7128">
      <c r="A7128" s="58" t="inlineStr">
        <is>
          <t>RT20250628-07127</t>
        </is>
      </c>
      <c r="B7128" s="59" t="inlineStr">
        <is>
          <t>2025-06-28</t>
        </is>
      </c>
      <c r="C7128" s="60" t="inlineStr">
        <is>
          <t>Nimbus Women Plus-352</t>
        </is>
      </c>
      <c r="D7128" s="58" t="inlineStr">
        <is>
          <t>Apparel</t>
        </is>
      </c>
      <c r="E7128" s="58" t="inlineStr">
        <is>
          <t>North</t>
        </is>
      </c>
      <c r="F7128" s="61" t="n">
        <v>3</v>
      </c>
      <c r="G7128" s="62" t="n">
        <v>58.37</v>
      </c>
      <c r="H7128" s="63" t="n">
        <v>0.058</v>
      </c>
      <c r="I7128" s="62" t="n">
        <v>33.84</v>
      </c>
      <c r="J7128" s="58" t="inlineStr">
        <is>
          <t>Store</t>
        </is>
      </c>
      <c r="K7128" s="62">
        <f>F7128*(G7128-H7128)</f>
        <v/>
      </c>
      <c r="L7128" s="62">
        <f>K7128-(F7128*I7128)</f>
        <v/>
      </c>
      <c r="M7128" s="64">
        <f>L7128/K7128</f>
        <v/>
      </c>
    </row>
    <row r="7129">
      <c r="A7129" s="58" t="inlineStr">
        <is>
          <t>RT20250628-07128</t>
        </is>
      </c>
      <c r="B7129" s="59" t="inlineStr">
        <is>
          <t>2025-06-28</t>
        </is>
      </c>
      <c r="C7129" s="60" t="inlineStr">
        <is>
          <t>Polar Women S-662</t>
        </is>
      </c>
      <c r="D7129" s="58" t="inlineStr">
        <is>
          <t>Apparel</t>
        </is>
      </c>
      <c r="E7129" s="58" t="inlineStr">
        <is>
          <t>East</t>
        </is>
      </c>
      <c r="F7129" s="61" t="n">
        <v>3</v>
      </c>
      <c r="G7129" s="62" t="n">
        <v>169.2</v>
      </c>
      <c r="H7129" s="63" t="n">
        <v>0.07099999999999999</v>
      </c>
      <c r="I7129" s="62" t="n">
        <v>102.97</v>
      </c>
      <c r="J7129" s="58" t="inlineStr">
        <is>
          <t>Online</t>
        </is>
      </c>
      <c r="K7129" s="62">
        <f>F7129*(G7129-H7129)</f>
        <v/>
      </c>
      <c r="L7129" s="62">
        <f>K7129-(F7129*I7129)</f>
        <v/>
      </c>
      <c r="M7129" s="64">
        <f>L7129/K7129</f>
        <v/>
      </c>
    </row>
    <row r="7130">
      <c r="A7130" s="58" t="inlineStr">
        <is>
          <t>RT20250628-07129</t>
        </is>
      </c>
      <c r="B7130" s="59" t="inlineStr">
        <is>
          <t>2025-06-28</t>
        </is>
      </c>
      <c r="C7130" s="60" t="inlineStr">
        <is>
          <t>Metro Accessorie Max-316</t>
        </is>
      </c>
      <c r="D7130" s="58" t="inlineStr">
        <is>
          <t>Apparel</t>
        </is>
      </c>
      <c r="E7130" s="58" t="inlineStr">
        <is>
          <t>East</t>
        </is>
      </c>
      <c r="F7130" s="61" t="n">
        <v>4</v>
      </c>
      <c r="G7130" s="62" t="n">
        <v>146.13</v>
      </c>
      <c r="H7130" s="63" t="n">
        <v>0.024</v>
      </c>
      <c r="I7130" s="62" t="n">
        <v>94.34999999999999</v>
      </c>
      <c r="J7130" s="58" t="inlineStr">
        <is>
          <t>Store</t>
        </is>
      </c>
      <c r="K7130" s="62">
        <f>F7130*(G7130-H7130)</f>
        <v/>
      </c>
      <c r="L7130" s="62">
        <f>K7130-(F7130*I7130)</f>
        <v/>
      </c>
      <c r="M7130" s="64">
        <f>L7130/K7130</f>
        <v/>
      </c>
    </row>
    <row r="7131">
      <c r="A7131" s="58" t="inlineStr">
        <is>
          <t>RT20250628-07130</t>
        </is>
      </c>
      <c r="B7131" s="59" t="inlineStr">
        <is>
          <t>2025-06-28</t>
        </is>
      </c>
      <c r="C7131" s="60" t="inlineStr">
        <is>
          <t>Nimbus Makeup Max-158</t>
        </is>
      </c>
      <c r="D7131" s="58" t="inlineStr">
        <is>
          <t>Beauty</t>
        </is>
      </c>
      <c r="E7131" s="58" t="inlineStr">
        <is>
          <t>West</t>
        </is>
      </c>
      <c r="F7131" s="61" t="n">
        <v>4</v>
      </c>
      <c r="G7131" s="62" t="n">
        <v>165.18</v>
      </c>
      <c r="H7131" s="63" t="n">
        <v>0.102</v>
      </c>
      <c r="I7131" s="62" t="n">
        <v>97.12</v>
      </c>
      <c r="J7131" s="58" t="inlineStr">
        <is>
          <t>Store</t>
        </is>
      </c>
      <c r="K7131" s="62">
        <f>F7131*(G7131-H7131)</f>
        <v/>
      </c>
      <c r="L7131" s="62">
        <f>K7131-(F7131*I7131)</f>
        <v/>
      </c>
      <c r="M7131" s="64">
        <f>L7131/K7131</f>
        <v/>
      </c>
    </row>
    <row r="7132">
      <c r="A7132" s="58" t="inlineStr">
        <is>
          <t>RT20250628-07131</t>
        </is>
      </c>
      <c r="B7132" s="59" t="inlineStr">
        <is>
          <t>2025-06-28</t>
        </is>
      </c>
      <c r="C7132" s="60" t="inlineStr">
        <is>
          <t>Metro Pantry X-710</t>
        </is>
      </c>
      <c r="D7132" s="58" t="inlineStr">
        <is>
          <t>Grocery</t>
        </is>
      </c>
      <c r="E7132" s="58" t="inlineStr">
        <is>
          <t>West</t>
        </is>
      </c>
      <c r="F7132" s="61" t="n">
        <v>2</v>
      </c>
      <c r="G7132" s="62" t="n">
        <v>6.62</v>
      </c>
      <c r="H7132" s="63" t="n">
        <v>0.08699999999999999</v>
      </c>
      <c r="I7132" s="62" t="n">
        <v>4.12</v>
      </c>
      <c r="J7132" s="58" t="inlineStr">
        <is>
          <t>Phone</t>
        </is>
      </c>
      <c r="K7132" s="62">
        <f>F7132*(G7132-H7132)</f>
        <v/>
      </c>
      <c r="L7132" s="62">
        <f>K7132-(F7132*I7132)</f>
        <v/>
      </c>
      <c r="M7132" s="64">
        <f>L7132/K7132</f>
        <v/>
      </c>
    </row>
    <row r="7133">
      <c r="A7133" s="58" t="inlineStr">
        <is>
          <t>RT20250628-07132</t>
        </is>
      </c>
      <c r="B7133" s="59" t="inlineStr">
        <is>
          <t>2025-06-28</t>
        </is>
      </c>
      <c r="C7133" s="60" t="inlineStr">
        <is>
          <t>Falcon Household Pro-865</t>
        </is>
      </c>
      <c r="D7133" s="58" t="inlineStr">
        <is>
          <t>Grocery</t>
        </is>
      </c>
      <c r="E7133" s="58" t="inlineStr">
        <is>
          <t>South</t>
        </is>
      </c>
      <c r="F7133" s="61" t="n">
        <v>4</v>
      </c>
      <c r="G7133" s="62" t="n">
        <v>8.6</v>
      </c>
      <c r="H7133" s="63" t="n">
        <v>0.08500000000000001</v>
      </c>
      <c r="I7133" s="62" t="n">
        <v>7.54</v>
      </c>
      <c r="J7133" s="58" t="inlineStr">
        <is>
          <t>Online</t>
        </is>
      </c>
      <c r="K7133" s="62">
        <f>F7133*(G7133-H7133)</f>
        <v/>
      </c>
      <c r="L7133" s="62">
        <f>K7133-(F7133*I7133)</f>
        <v/>
      </c>
      <c r="M7133" s="64">
        <f>L7133/K7133</f>
        <v/>
      </c>
    </row>
    <row r="7134">
      <c r="A7134" s="58" t="inlineStr">
        <is>
          <t>RT20250628-07133</t>
        </is>
      </c>
      <c r="B7134" s="59" t="inlineStr">
        <is>
          <t>2025-06-28</t>
        </is>
      </c>
      <c r="C7134" s="60" t="inlineStr">
        <is>
          <t>Polar Women Max-927</t>
        </is>
      </c>
      <c r="D7134" s="58" t="inlineStr">
        <is>
          <t>Apparel</t>
        </is>
      </c>
      <c r="E7134" s="58" t="inlineStr">
        <is>
          <t>East</t>
        </is>
      </c>
      <c r="F7134" s="61" t="n">
        <v>4</v>
      </c>
      <c r="G7134" s="62" t="n">
        <v>117.27</v>
      </c>
      <c r="H7134" s="63" t="n">
        <v>0.026</v>
      </c>
      <c r="I7134" s="62" t="n">
        <v>66.84999999999999</v>
      </c>
      <c r="J7134" s="58" t="inlineStr">
        <is>
          <t>Online</t>
        </is>
      </c>
      <c r="K7134" s="62">
        <f>F7134*(G7134-H7134)</f>
        <v/>
      </c>
      <c r="L7134" s="62">
        <f>K7134-(F7134*I7134)</f>
        <v/>
      </c>
      <c r="M7134" s="64">
        <f>L7134/K7134</f>
        <v/>
      </c>
    </row>
    <row r="7135">
      <c r="A7135" s="58" t="inlineStr">
        <is>
          <t>RT20250628-07134</t>
        </is>
      </c>
      <c r="B7135" s="59" t="inlineStr">
        <is>
          <t>2025-06-28</t>
        </is>
      </c>
      <c r="C7135" s="60" t="inlineStr">
        <is>
          <t>Vertex Headphone Pro-801</t>
        </is>
      </c>
      <c r="D7135" s="58" t="inlineStr">
        <is>
          <t>Electronics</t>
        </is>
      </c>
      <c r="E7135" s="58" t="inlineStr">
        <is>
          <t>West</t>
        </is>
      </c>
      <c r="F7135" s="61" t="n">
        <v>1</v>
      </c>
      <c r="G7135" s="62" t="n">
        <v>1079.61</v>
      </c>
      <c r="H7135" s="63" t="n">
        <v>0.05</v>
      </c>
      <c r="I7135" s="62" t="n">
        <v>995.76</v>
      </c>
      <c r="J7135" s="58" t="inlineStr">
        <is>
          <t>Online</t>
        </is>
      </c>
      <c r="K7135" s="62">
        <f>F7135*(G7135-H7135)</f>
        <v/>
      </c>
      <c r="L7135" s="62">
        <f>K7135-(F7135*I7135)</f>
        <v/>
      </c>
      <c r="M7135" s="64">
        <f>L7135/K7135</f>
        <v/>
      </c>
    </row>
    <row r="7136">
      <c r="A7136" s="58" t="inlineStr">
        <is>
          <t>RT20250628-07135</t>
        </is>
      </c>
      <c r="B7136" s="59" t="inlineStr">
        <is>
          <t>2025-06-28</t>
        </is>
      </c>
      <c r="C7136" s="60" t="inlineStr">
        <is>
          <t>Orion Snack X-322</t>
        </is>
      </c>
      <c r="D7136" s="58" t="inlineStr">
        <is>
          <t>Grocery</t>
        </is>
      </c>
      <c r="E7136" s="58" t="inlineStr">
        <is>
          <t>West</t>
        </is>
      </c>
      <c r="F7136" s="61" t="n">
        <v>1</v>
      </c>
      <c r="G7136" s="62" t="n">
        <v>13.13</v>
      </c>
      <c r="H7136" s="63" t="n">
        <v>0.023</v>
      </c>
      <c r="I7136" s="62" t="n">
        <v>9.99</v>
      </c>
      <c r="J7136" s="58" t="inlineStr">
        <is>
          <t>Store</t>
        </is>
      </c>
      <c r="K7136" s="62">
        <f>F7136*(G7136-H7136)</f>
        <v/>
      </c>
      <c r="L7136" s="62">
        <f>K7136-(F7136*I7136)</f>
        <v/>
      </c>
      <c r="M7136" s="64">
        <f>L7136/K7136</f>
        <v/>
      </c>
    </row>
    <row r="7137">
      <c r="A7137" s="58" t="inlineStr">
        <is>
          <t>RT20250628-07136</t>
        </is>
      </c>
      <c r="B7137" s="59" t="inlineStr">
        <is>
          <t>2025-06-28</t>
        </is>
      </c>
      <c r="C7137" s="60" t="inlineStr">
        <is>
          <t>Aurora Haircare S-975</t>
        </is>
      </c>
      <c r="D7137" s="58" t="inlineStr">
        <is>
          <t>Beauty</t>
        </is>
      </c>
      <c r="E7137" s="58" t="inlineStr">
        <is>
          <t>North</t>
        </is>
      </c>
      <c r="F7137" s="61" t="n">
        <v>2</v>
      </c>
      <c r="G7137" s="62" t="n">
        <v>98.67</v>
      </c>
      <c r="H7137" s="63" t="n">
        <v>0.063</v>
      </c>
      <c r="I7137" s="62" t="n">
        <v>59.16</v>
      </c>
      <c r="J7137" s="58" t="inlineStr">
        <is>
          <t>Online</t>
        </is>
      </c>
      <c r="K7137" s="62">
        <f>F7137*(G7137-H7137)</f>
        <v/>
      </c>
      <c r="L7137" s="62">
        <f>K7137-(F7137*I7137)</f>
        <v/>
      </c>
      <c r="M7137" s="64">
        <f>L7137/K7137</f>
        <v/>
      </c>
    </row>
    <row r="7138">
      <c r="A7138" s="58" t="inlineStr">
        <is>
          <t>RT20250628-07137</t>
        </is>
      </c>
      <c r="B7138" s="59" t="inlineStr">
        <is>
          <t>2025-06-28</t>
        </is>
      </c>
      <c r="C7138" s="60" t="inlineStr">
        <is>
          <t>Polar Outdoor Lite-318</t>
        </is>
      </c>
      <c r="D7138" s="58" t="inlineStr">
        <is>
          <t>Sports</t>
        </is>
      </c>
      <c r="E7138" s="58" t="inlineStr">
        <is>
          <t>South</t>
        </is>
      </c>
      <c r="F7138" s="61" t="n">
        <v>1</v>
      </c>
      <c r="G7138" s="62" t="n">
        <v>747.72</v>
      </c>
      <c r="H7138" s="63" t="n">
        <v>0.108</v>
      </c>
      <c r="I7138" s="62" t="n">
        <v>460.47</v>
      </c>
      <c r="J7138" s="58" t="inlineStr">
        <is>
          <t>Store</t>
        </is>
      </c>
      <c r="K7138" s="62">
        <f>F7138*(G7138-H7138)</f>
        <v/>
      </c>
      <c r="L7138" s="62">
        <f>K7138-(F7138*I7138)</f>
        <v/>
      </c>
      <c r="M7138" s="64">
        <f>L7138/K7138</f>
        <v/>
      </c>
    </row>
    <row r="7139">
      <c r="A7139" s="58" t="inlineStr">
        <is>
          <t>RT20250628-07138</t>
        </is>
      </c>
      <c r="B7139" s="59" t="inlineStr">
        <is>
          <t>2025-06-28</t>
        </is>
      </c>
      <c r="C7139" s="60" t="inlineStr">
        <is>
          <t>Metro Fragrance Lite-261</t>
        </is>
      </c>
      <c r="D7139" s="58" t="inlineStr">
        <is>
          <t>Beauty</t>
        </is>
      </c>
      <c r="E7139" s="58" t="inlineStr">
        <is>
          <t>North</t>
        </is>
      </c>
      <c r="F7139" s="61" t="n">
        <v>3</v>
      </c>
      <c r="G7139" s="62" t="n">
        <v>81.31999999999999</v>
      </c>
      <c r="H7139" s="63" t="n">
        <v>0.012</v>
      </c>
      <c r="I7139" s="62" t="n">
        <v>55.51</v>
      </c>
      <c r="J7139" s="58" t="inlineStr">
        <is>
          <t>Online</t>
        </is>
      </c>
      <c r="K7139" s="62">
        <f>F7139*(G7139-H7139)</f>
        <v/>
      </c>
      <c r="L7139" s="62">
        <f>K7139-(F7139*I7139)</f>
        <v/>
      </c>
      <c r="M7139" s="64">
        <f>L7139/K7139</f>
        <v/>
      </c>
    </row>
    <row r="7140">
      <c r="A7140" s="58" t="inlineStr">
        <is>
          <t>RT20250628-07139</t>
        </is>
      </c>
      <c r="B7140" s="59" t="inlineStr">
        <is>
          <t>2025-06-28</t>
        </is>
      </c>
      <c r="C7140" s="60" t="inlineStr">
        <is>
          <t>Solace Bedding Plus-317</t>
        </is>
      </c>
      <c r="D7140" s="58" t="inlineStr">
        <is>
          <t>Home</t>
        </is>
      </c>
      <c r="E7140" s="58" t="inlineStr">
        <is>
          <t>Central</t>
        </is>
      </c>
      <c r="F7140" s="61" t="n">
        <v>3</v>
      </c>
      <c r="G7140" s="62" t="n">
        <v>562.3200000000001</v>
      </c>
      <c r="H7140" s="63" t="n">
        <v>0.055</v>
      </c>
      <c r="I7140" s="62" t="n">
        <v>394.56</v>
      </c>
      <c r="J7140" s="58" t="inlineStr">
        <is>
          <t>Online</t>
        </is>
      </c>
      <c r="K7140" s="62">
        <f>F7140*(G7140-H7140)</f>
        <v/>
      </c>
      <c r="L7140" s="62">
        <f>K7140-(F7140*I7140)</f>
        <v/>
      </c>
      <c r="M7140" s="64">
        <f>L7140/K7140</f>
        <v/>
      </c>
    </row>
    <row r="7141">
      <c r="A7141" s="58" t="inlineStr">
        <is>
          <t>RT20250628-07140</t>
        </is>
      </c>
      <c r="B7141" s="59" t="inlineStr">
        <is>
          <t>2025-06-28</t>
        </is>
      </c>
      <c r="C7141" s="60" t="inlineStr">
        <is>
          <t>Metro Pantry X-710</t>
        </is>
      </c>
      <c r="D7141" s="58" t="inlineStr">
        <is>
          <t>Grocery</t>
        </is>
      </c>
      <c r="E7141" s="58" t="inlineStr">
        <is>
          <t>East</t>
        </is>
      </c>
      <c r="F7141" s="61" t="n">
        <v>5</v>
      </c>
      <c r="G7141" s="62" t="n">
        <v>5.94</v>
      </c>
      <c r="H7141" s="63" t="n">
        <v>0.075</v>
      </c>
      <c r="I7141" s="62" t="n">
        <v>4.12</v>
      </c>
      <c r="J7141" s="58" t="inlineStr">
        <is>
          <t>Phone</t>
        </is>
      </c>
      <c r="K7141" s="62">
        <f>F7141*(G7141-H7141)</f>
        <v/>
      </c>
      <c r="L7141" s="62">
        <f>K7141-(F7141*I7141)</f>
        <v/>
      </c>
      <c r="M7141" s="64">
        <f>L7141/K7141</f>
        <v/>
      </c>
    </row>
    <row r="7142">
      <c r="A7142" s="58" t="inlineStr">
        <is>
          <t>RT20250628-07141</t>
        </is>
      </c>
      <c r="B7142" s="59" t="inlineStr">
        <is>
          <t>2025-06-28</t>
        </is>
      </c>
      <c r="C7142" s="60" t="inlineStr">
        <is>
          <t>Vertex Smartphone Pro-256</t>
        </is>
      </c>
      <c r="D7142" s="58" t="inlineStr">
        <is>
          <t>Electronics</t>
        </is>
      </c>
      <c r="E7142" s="58" t="inlineStr">
        <is>
          <t>West</t>
        </is>
      </c>
      <c r="F7142" s="61" t="n">
        <v>2</v>
      </c>
      <c r="G7142" s="62" t="n">
        <v>1122.84</v>
      </c>
      <c r="H7142" s="63" t="n">
        <v>0.045</v>
      </c>
      <c r="I7142" s="62" t="n">
        <v>907.52</v>
      </c>
      <c r="J7142" s="58" t="inlineStr">
        <is>
          <t>Phone</t>
        </is>
      </c>
      <c r="K7142" s="62">
        <f>F7142*(G7142-H7142)</f>
        <v/>
      </c>
      <c r="L7142" s="62">
        <f>K7142-(F7142*I7142)</f>
        <v/>
      </c>
      <c r="M7142" s="64">
        <f>L7142/K7142</f>
        <v/>
      </c>
    </row>
    <row r="7143">
      <c r="A7143" s="58" t="inlineStr">
        <is>
          <t>RT20250628-07142</t>
        </is>
      </c>
      <c r="B7143" s="59" t="inlineStr">
        <is>
          <t>2025-06-28</t>
        </is>
      </c>
      <c r="C7143" s="60" t="inlineStr">
        <is>
          <t>Solace Fitnes S-324</t>
        </is>
      </c>
      <c r="D7143" s="58" t="inlineStr">
        <is>
          <t>Sports</t>
        </is>
      </c>
      <c r="E7143" s="58" t="inlineStr">
        <is>
          <t>West</t>
        </is>
      </c>
      <c r="F7143" s="61" t="n">
        <v>1</v>
      </c>
      <c r="G7143" s="62" t="n">
        <v>869.79</v>
      </c>
      <c r="H7143" s="63" t="n">
        <v>0.099</v>
      </c>
      <c r="I7143" s="62" t="n">
        <v>527.77</v>
      </c>
      <c r="J7143" s="58" t="inlineStr">
        <is>
          <t>Store</t>
        </is>
      </c>
      <c r="K7143" s="62">
        <f>F7143*(G7143-H7143)</f>
        <v/>
      </c>
      <c r="L7143" s="62">
        <f>K7143-(F7143*I7143)</f>
        <v/>
      </c>
      <c r="M7143" s="64">
        <f>L7143/K7143</f>
        <v/>
      </c>
    </row>
    <row r="7144">
      <c r="A7144" s="58" t="inlineStr">
        <is>
          <t>RT20250628-07143</t>
        </is>
      </c>
      <c r="B7144" s="59" t="inlineStr">
        <is>
          <t>2025-06-28</t>
        </is>
      </c>
      <c r="C7144" s="60" t="inlineStr">
        <is>
          <t>Polar Laptop Plus-984</t>
        </is>
      </c>
      <c r="D7144" s="58" t="inlineStr">
        <is>
          <t>Electronics</t>
        </is>
      </c>
      <c r="E7144" s="58" t="inlineStr">
        <is>
          <t>East</t>
        </is>
      </c>
      <c r="F7144" s="61" t="n">
        <v>1</v>
      </c>
      <c r="G7144" s="62" t="n">
        <v>1406.41</v>
      </c>
      <c r="H7144" s="63" t="n">
        <v>0.065</v>
      </c>
      <c r="I7144" s="62" t="n">
        <v>973.63</v>
      </c>
      <c r="J7144" s="58" t="inlineStr">
        <is>
          <t>Store</t>
        </is>
      </c>
      <c r="K7144" s="62">
        <f>F7144*(G7144-H7144)</f>
        <v/>
      </c>
      <c r="L7144" s="62">
        <f>K7144-(F7144*I7144)</f>
        <v/>
      </c>
      <c r="M7144" s="64">
        <f>L7144/K7144</f>
        <v/>
      </c>
    </row>
    <row r="7145">
      <c r="A7145" s="58" t="inlineStr">
        <is>
          <t>RT20250628-07144</t>
        </is>
      </c>
      <c r="B7145" s="59" t="inlineStr">
        <is>
          <t>2025-06-28</t>
        </is>
      </c>
      <c r="C7145" s="60" t="inlineStr">
        <is>
          <t>Nimbus Laptop Max-652</t>
        </is>
      </c>
      <c r="D7145" s="58" t="inlineStr">
        <is>
          <t>Electronics</t>
        </is>
      </c>
      <c r="E7145" s="58" t="inlineStr">
        <is>
          <t>East</t>
        </is>
      </c>
      <c r="F7145" s="61" t="n">
        <v>2</v>
      </c>
      <c r="G7145" s="62" t="n">
        <v>1390.57</v>
      </c>
      <c r="H7145" s="63" t="n">
        <v>0.008999999999999999</v>
      </c>
      <c r="I7145" s="62" t="n">
        <v>1014.57</v>
      </c>
      <c r="J7145" s="58" t="inlineStr">
        <is>
          <t>Store</t>
        </is>
      </c>
      <c r="K7145" s="62">
        <f>F7145*(G7145-H7145)</f>
        <v/>
      </c>
      <c r="L7145" s="62">
        <f>K7145-(F7145*I7145)</f>
        <v/>
      </c>
      <c r="M7145" s="64">
        <f>L7145/K7145</f>
        <v/>
      </c>
    </row>
    <row r="7146">
      <c r="A7146" s="58" t="inlineStr">
        <is>
          <t>RT20250628-07145</t>
        </is>
      </c>
      <c r="B7146" s="59" t="inlineStr">
        <is>
          <t>2025-06-28</t>
        </is>
      </c>
      <c r="C7146" s="60" t="inlineStr">
        <is>
          <t>Aurora Haircare S-975</t>
        </is>
      </c>
      <c r="D7146" s="58" t="inlineStr">
        <is>
          <t>Beauty</t>
        </is>
      </c>
      <c r="E7146" s="58" t="inlineStr">
        <is>
          <t>East</t>
        </is>
      </c>
      <c r="F7146" s="61" t="n">
        <v>1</v>
      </c>
      <c r="G7146" s="62" t="n">
        <v>98.70999999999999</v>
      </c>
      <c r="H7146" s="63" t="n">
        <v>0.082</v>
      </c>
      <c r="I7146" s="62" t="n">
        <v>58.72</v>
      </c>
      <c r="J7146" s="58" t="inlineStr">
        <is>
          <t>Store</t>
        </is>
      </c>
      <c r="K7146" s="62">
        <f>F7146*(G7146-H7146)</f>
        <v/>
      </c>
      <c r="L7146" s="62">
        <f>K7146-(F7146*I7146)</f>
        <v/>
      </c>
      <c r="M7146" s="64">
        <f>L7146/K7146</f>
        <v/>
      </c>
    </row>
    <row r="7147">
      <c r="A7147" s="58" t="inlineStr">
        <is>
          <t>RT20250628-07146</t>
        </is>
      </c>
      <c r="B7147" s="59" t="inlineStr">
        <is>
          <t>2025-06-28</t>
        </is>
      </c>
      <c r="C7147" s="60" t="inlineStr">
        <is>
          <t>Nimbus Men Plus-231</t>
        </is>
      </c>
      <c r="D7147" s="58" t="inlineStr">
        <is>
          <t>Apparel</t>
        </is>
      </c>
      <c r="E7147" s="58" t="inlineStr">
        <is>
          <t>East</t>
        </is>
      </c>
      <c r="F7147" s="61" t="n">
        <v>3</v>
      </c>
      <c r="G7147" s="62" t="n">
        <v>159.21</v>
      </c>
      <c r="H7147" s="63" t="n">
        <v>0.093</v>
      </c>
      <c r="I7147" s="62" t="n">
        <v>88.48</v>
      </c>
      <c r="J7147" s="58" t="inlineStr">
        <is>
          <t>Store</t>
        </is>
      </c>
      <c r="K7147" s="62">
        <f>F7147*(G7147-H7147)</f>
        <v/>
      </c>
      <c r="L7147" s="62">
        <f>K7147-(F7147*I7147)</f>
        <v/>
      </c>
      <c r="M7147" s="64">
        <f>L7147/K7147</f>
        <v/>
      </c>
    </row>
    <row r="7148">
      <c r="A7148" s="58" t="inlineStr">
        <is>
          <t>RT20250628-07147</t>
        </is>
      </c>
      <c r="B7148" s="59" t="inlineStr">
        <is>
          <t>2025-06-28</t>
        </is>
      </c>
      <c r="C7148" s="60" t="inlineStr">
        <is>
          <t>Aurora Bedding Max-175</t>
        </is>
      </c>
      <c r="D7148" s="58" t="inlineStr">
        <is>
          <t>Home</t>
        </is>
      </c>
      <c r="E7148" s="58" t="inlineStr">
        <is>
          <t>East</t>
        </is>
      </c>
      <c r="F7148" s="61" t="n">
        <v>1</v>
      </c>
      <c r="G7148" s="62" t="n">
        <v>609.53</v>
      </c>
      <c r="H7148" s="63" t="n">
        <v>0</v>
      </c>
      <c r="I7148" s="62" t="n">
        <v>418.97</v>
      </c>
      <c r="J7148" s="58" t="inlineStr">
        <is>
          <t>Store</t>
        </is>
      </c>
      <c r="K7148" s="62">
        <f>F7148*(G7148-H7148)</f>
        <v/>
      </c>
      <c r="L7148" s="62">
        <f>K7148-(F7148*I7148)</f>
        <v/>
      </c>
      <c r="M7148" s="64">
        <f>L7148/K7148</f>
        <v/>
      </c>
    </row>
    <row r="7149">
      <c r="A7149" s="58" t="inlineStr">
        <is>
          <t>RT20250628-07148</t>
        </is>
      </c>
      <c r="B7149" s="59" t="inlineStr">
        <is>
          <t>2025-06-28</t>
        </is>
      </c>
      <c r="C7149" s="60" t="inlineStr">
        <is>
          <t>Metro Decor Lite-325</t>
        </is>
      </c>
      <c r="D7149" s="58" t="inlineStr">
        <is>
          <t>Home</t>
        </is>
      </c>
      <c r="E7149" s="58" t="inlineStr">
        <is>
          <t>West</t>
        </is>
      </c>
      <c r="F7149" s="61" t="n">
        <v>1</v>
      </c>
      <c r="G7149" s="62" t="n">
        <v>512.0599999999999</v>
      </c>
      <c r="H7149" s="63" t="n">
        <v>0.044</v>
      </c>
      <c r="I7149" s="62" t="n">
        <v>376.4</v>
      </c>
      <c r="J7149" s="58" t="inlineStr">
        <is>
          <t>Store</t>
        </is>
      </c>
      <c r="K7149" s="62">
        <f>F7149*(G7149-H7149)</f>
        <v/>
      </c>
      <c r="L7149" s="62">
        <f>K7149-(F7149*I7149)</f>
        <v/>
      </c>
      <c r="M7149" s="64">
        <f>L7149/K7149</f>
        <v/>
      </c>
    </row>
    <row r="7150">
      <c r="A7150" s="58" t="inlineStr">
        <is>
          <t>RT20250628-07149</t>
        </is>
      </c>
      <c r="B7150" s="59" t="inlineStr">
        <is>
          <t>2025-06-28</t>
        </is>
      </c>
      <c r="C7150" s="60" t="inlineStr">
        <is>
          <t>Metro Smartphone Max-773</t>
        </is>
      </c>
      <c r="D7150" s="58" t="inlineStr">
        <is>
          <t>Electronics</t>
        </is>
      </c>
      <c r="E7150" s="58" t="inlineStr">
        <is>
          <t>East</t>
        </is>
      </c>
      <c r="F7150" s="61" t="n">
        <v>2</v>
      </c>
      <c r="G7150" s="62" t="n">
        <v>1306.48</v>
      </c>
      <c r="H7150" s="63" t="n">
        <v>0.04</v>
      </c>
      <c r="I7150" s="62" t="n">
        <v>1142.82</v>
      </c>
      <c r="J7150" s="58" t="inlineStr">
        <is>
          <t>Online</t>
        </is>
      </c>
      <c r="K7150" s="62">
        <f>F7150*(G7150-H7150)</f>
        <v/>
      </c>
      <c r="L7150" s="62">
        <f>K7150-(F7150*I7150)</f>
        <v/>
      </c>
      <c r="M7150" s="64">
        <f>L7150/K7150</f>
        <v/>
      </c>
    </row>
    <row r="7151">
      <c r="A7151" s="58" t="inlineStr">
        <is>
          <t>RT20250628-07150</t>
        </is>
      </c>
      <c r="B7151" s="59" t="inlineStr">
        <is>
          <t>2025-06-28</t>
        </is>
      </c>
      <c r="C7151" s="60" t="inlineStr">
        <is>
          <t>Aurora Smartphone Plus-125</t>
        </is>
      </c>
      <c r="D7151" s="58" t="inlineStr">
        <is>
          <t>Electronics</t>
        </is>
      </c>
      <c r="E7151" s="58" t="inlineStr">
        <is>
          <t>North</t>
        </is>
      </c>
      <c r="F7151" s="61" t="n">
        <v>2</v>
      </c>
      <c r="G7151" s="62" t="n">
        <v>1290.18</v>
      </c>
      <c r="H7151" s="63" t="n">
        <v>0.033</v>
      </c>
      <c r="I7151" s="62" t="n">
        <v>1211.27</v>
      </c>
      <c r="J7151" s="58" t="inlineStr">
        <is>
          <t>Online</t>
        </is>
      </c>
      <c r="K7151" s="62">
        <f>F7151*(G7151-H7151)</f>
        <v/>
      </c>
      <c r="L7151" s="62">
        <f>K7151-(F7151*I7151)</f>
        <v/>
      </c>
      <c r="M7151" s="64">
        <f>L7151/K7151</f>
        <v/>
      </c>
    </row>
    <row r="7152">
      <c r="A7152" s="58" t="inlineStr">
        <is>
          <t>RT20250628-07151</t>
        </is>
      </c>
      <c r="B7152" s="59" t="inlineStr">
        <is>
          <t>2025-06-28</t>
        </is>
      </c>
      <c r="C7152" s="60" t="inlineStr">
        <is>
          <t>Aurora Outdoor Pro-467</t>
        </is>
      </c>
      <c r="D7152" s="58" t="inlineStr">
        <is>
          <t>Sports</t>
        </is>
      </c>
      <c r="E7152" s="58" t="inlineStr">
        <is>
          <t>East</t>
        </is>
      </c>
      <c r="F7152" s="61" t="n">
        <v>3</v>
      </c>
      <c r="G7152" s="62" t="n">
        <v>297.08</v>
      </c>
      <c r="H7152" s="63" t="n">
        <v>0.073</v>
      </c>
      <c r="I7152" s="62" t="n">
        <v>185.13</v>
      </c>
      <c r="J7152" s="58" t="inlineStr">
        <is>
          <t>Online</t>
        </is>
      </c>
      <c r="K7152" s="62">
        <f>F7152*(G7152-H7152)</f>
        <v/>
      </c>
      <c r="L7152" s="62">
        <f>K7152-(F7152*I7152)</f>
        <v/>
      </c>
      <c r="M7152" s="64">
        <f>L7152/K7152</f>
        <v/>
      </c>
    </row>
    <row r="7153">
      <c r="A7153" s="58" t="inlineStr">
        <is>
          <t>RT20250628-07152</t>
        </is>
      </c>
      <c r="B7153" s="59" t="inlineStr">
        <is>
          <t>2025-06-28</t>
        </is>
      </c>
      <c r="C7153" s="60" t="inlineStr">
        <is>
          <t>Polar Laptop Plus-984</t>
        </is>
      </c>
      <c r="D7153" s="58" t="inlineStr">
        <is>
          <t>Electronics</t>
        </is>
      </c>
      <c r="E7153" s="58" t="inlineStr">
        <is>
          <t>East</t>
        </is>
      </c>
      <c r="F7153" s="61" t="n">
        <v>2</v>
      </c>
      <c r="G7153" s="62" t="n">
        <v>1355.83</v>
      </c>
      <c r="H7153" s="63" t="n">
        <v>0.076</v>
      </c>
      <c r="I7153" s="62" t="n">
        <v>996.4299999999999</v>
      </c>
      <c r="J7153" s="58" t="inlineStr">
        <is>
          <t>Online</t>
        </is>
      </c>
      <c r="K7153" s="62">
        <f>F7153*(G7153-H7153)</f>
        <v/>
      </c>
      <c r="L7153" s="62">
        <f>K7153-(F7153*I7153)</f>
        <v/>
      </c>
      <c r="M7153" s="64">
        <f>L7153/K7153</f>
        <v/>
      </c>
    </row>
    <row r="7154">
      <c r="A7154" s="58" t="inlineStr">
        <is>
          <t>RT20250628-07153</t>
        </is>
      </c>
      <c r="B7154" s="59" t="inlineStr">
        <is>
          <t>2025-06-28</t>
        </is>
      </c>
      <c r="C7154" s="60" t="inlineStr">
        <is>
          <t>Vertex Appliance Max-338</t>
        </is>
      </c>
      <c r="D7154" s="58" t="inlineStr">
        <is>
          <t>Home</t>
        </is>
      </c>
      <c r="E7154" s="58" t="inlineStr">
        <is>
          <t>Central</t>
        </is>
      </c>
      <c r="F7154" s="61" t="n">
        <v>2</v>
      </c>
      <c r="G7154" s="62" t="n">
        <v>342.98</v>
      </c>
      <c r="H7154" s="63" t="n">
        <v>0.05</v>
      </c>
      <c r="I7154" s="62" t="n">
        <v>294.98</v>
      </c>
      <c r="J7154" s="58" t="inlineStr">
        <is>
          <t>Online</t>
        </is>
      </c>
      <c r="K7154" s="62">
        <f>F7154*(G7154-H7154)</f>
        <v/>
      </c>
      <c r="L7154" s="62">
        <f>K7154-(F7154*I7154)</f>
        <v/>
      </c>
      <c r="M7154" s="64">
        <f>L7154/K7154</f>
        <v/>
      </c>
    </row>
    <row r="7155">
      <c r="A7155" s="58" t="inlineStr">
        <is>
          <t>RT20250628-07154</t>
        </is>
      </c>
      <c r="B7155" s="59" t="inlineStr">
        <is>
          <t>2025-06-28</t>
        </is>
      </c>
      <c r="C7155" s="60" t="inlineStr">
        <is>
          <t>Polar Decor X-935</t>
        </is>
      </c>
      <c r="D7155" s="58" t="inlineStr">
        <is>
          <t>Home</t>
        </is>
      </c>
      <c r="E7155" s="58" t="inlineStr">
        <is>
          <t>North</t>
        </is>
      </c>
      <c r="F7155" s="61" t="n">
        <v>1</v>
      </c>
      <c r="G7155" s="62" t="n">
        <v>295.17</v>
      </c>
      <c r="H7155" s="63" t="n">
        <v>0.034</v>
      </c>
      <c r="I7155" s="62" t="n">
        <v>204.82</v>
      </c>
      <c r="J7155" s="58" t="inlineStr">
        <is>
          <t>Store</t>
        </is>
      </c>
      <c r="K7155" s="62">
        <f>F7155*(G7155-H7155)</f>
        <v/>
      </c>
      <c r="L7155" s="62">
        <f>K7155-(F7155*I7155)</f>
        <v/>
      </c>
      <c r="M7155" s="64">
        <f>L7155/K7155</f>
        <v/>
      </c>
    </row>
    <row r="7156">
      <c r="A7156" s="58" t="inlineStr">
        <is>
          <t>RT20250628-07155</t>
        </is>
      </c>
      <c r="B7156" s="59" t="inlineStr">
        <is>
          <t>2025-06-28</t>
        </is>
      </c>
      <c r="C7156" s="60" t="inlineStr">
        <is>
          <t>Solace Headphone Pro-344</t>
        </is>
      </c>
      <c r="D7156" s="58" t="inlineStr">
        <is>
          <t>Electronics</t>
        </is>
      </c>
      <c r="E7156" s="58" t="inlineStr">
        <is>
          <t>Central</t>
        </is>
      </c>
      <c r="F7156" s="61" t="n">
        <v>2</v>
      </c>
      <c r="G7156" s="62" t="n">
        <v>1410.4</v>
      </c>
      <c r="H7156" s="63" t="n">
        <v>0.068</v>
      </c>
      <c r="I7156" s="62" t="n">
        <v>1091.63</v>
      </c>
      <c r="J7156" s="58" t="inlineStr">
        <is>
          <t>Store</t>
        </is>
      </c>
      <c r="K7156" s="62">
        <f>F7156*(G7156-H7156)</f>
        <v/>
      </c>
      <c r="L7156" s="62">
        <f>K7156-(F7156*I7156)</f>
        <v/>
      </c>
      <c r="M7156" s="64">
        <f>L7156/K7156</f>
        <v/>
      </c>
    </row>
    <row r="7157">
      <c r="A7157" s="58" t="inlineStr">
        <is>
          <t>RT20250628-07156</t>
        </is>
      </c>
      <c r="B7157" s="59" t="inlineStr">
        <is>
          <t>2025-06-28</t>
        </is>
      </c>
      <c r="C7157" s="60" t="inlineStr">
        <is>
          <t>Polar Cycling X-649</t>
        </is>
      </c>
      <c r="D7157" s="58" t="inlineStr">
        <is>
          <t>Sports</t>
        </is>
      </c>
      <c r="E7157" s="58" t="inlineStr">
        <is>
          <t>East</t>
        </is>
      </c>
      <c r="F7157" s="61" t="n">
        <v>2</v>
      </c>
      <c r="G7157" s="62" t="n">
        <v>526.51</v>
      </c>
      <c r="H7157" s="63" t="n">
        <v>0.104</v>
      </c>
      <c r="I7157" s="62" t="n">
        <v>352.72</v>
      </c>
      <c r="J7157" s="58" t="inlineStr">
        <is>
          <t>Store</t>
        </is>
      </c>
      <c r="K7157" s="62">
        <f>F7157*(G7157-H7157)</f>
        <v/>
      </c>
      <c r="L7157" s="62">
        <f>K7157-(F7157*I7157)</f>
        <v/>
      </c>
      <c r="M7157" s="64">
        <f>L7157/K7157</f>
        <v/>
      </c>
    </row>
    <row r="7158">
      <c r="A7158" s="58" t="inlineStr">
        <is>
          <t>RT20250629-07157</t>
        </is>
      </c>
      <c r="B7158" s="59" t="inlineStr">
        <is>
          <t>2025-06-29</t>
        </is>
      </c>
      <c r="C7158" s="60" t="inlineStr">
        <is>
          <t>Solace Kitchen Pro-510</t>
        </is>
      </c>
      <c r="D7158" s="58" t="inlineStr">
        <is>
          <t>Home</t>
        </is>
      </c>
      <c r="E7158" s="58" t="inlineStr">
        <is>
          <t>East</t>
        </is>
      </c>
      <c r="F7158" s="61" t="n">
        <v>3</v>
      </c>
      <c r="G7158" s="62" t="n">
        <v>467.77</v>
      </c>
      <c r="H7158" s="63" t="n">
        <v>0.08400000000000001</v>
      </c>
      <c r="I7158" s="62" t="n">
        <v>311.76</v>
      </c>
      <c r="J7158" s="58" t="inlineStr">
        <is>
          <t>Online</t>
        </is>
      </c>
      <c r="K7158" s="62">
        <f>F7158*(G7158-H7158)</f>
        <v/>
      </c>
      <c r="L7158" s="62">
        <f>K7158-(F7158*I7158)</f>
        <v/>
      </c>
      <c r="M7158" s="64">
        <f>L7158/K7158</f>
        <v/>
      </c>
    </row>
    <row r="7159">
      <c r="A7159" s="58" t="inlineStr">
        <is>
          <t>RT20250629-07158</t>
        </is>
      </c>
      <c r="B7159" s="59" t="inlineStr">
        <is>
          <t>2025-06-29</t>
        </is>
      </c>
      <c r="C7159" s="60" t="inlineStr">
        <is>
          <t>Aurora Wearable Lite-162</t>
        </is>
      </c>
      <c r="D7159" s="58" t="inlineStr">
        <is>
          <t>Electronics</t>
        </is>
      </c>
      <c r="E7159" s="58" t="inlineStr">
        <is>
          <t>West</t>
        </is>
      </c>
      <c r="F7159" s="61" t="n">
        <v>2</v>
      </c>
      <c r="G7159" s="62" t="n">
        <v>1505.81</v>
      </c>
      <c r="H7159" s="63" t="n">
        <v>0.104</v>
      </c>
      <c r="I7159" s="62" t="n">
        <v>1181.56</v>
      </c>
      <c r="J7159" s="58" t="inlineStr">
        <is>
          <t>Online</t>
        </is>
      </c>
      <c r="K7159" s="62">
        <f>F7159*(G7159-H7159)</f>
        <v/>
      </c>
      <c r="L7159" s="62">
        <f>K7159-(F7159*I7159)</f>
        <v/>
      </c>
      <c r="M7159" s="64">
        <f>L7159/K7159</f>
        <v/>
      </c>
    </row>
    <row r="7160">
      <c r="A7160" s="58" t="inlineStr">
        <is>
          <t>RT20250629-07159</t>
        </is>
      </c>
      <c r="B7160" s="59" t="inlineStr">
        <is>
          <t>2025-06-29</t>
        </is>
      </c>
      <c r="C7160" s="60" t="inlineStr">
        <is>
          <t>Nimbus Storage Plus-646</t>
        </is>
      </c>
      <c r="D7160" s="58" t="inlineStr">
        <is>
          <t>Office</t>
        </is>
      </c>
      <c r="E7160" s="58" t="inlineStr">
        <is>
          <t>East</t>
        </is>
      </c>
      <c r="F7160" s="61" t="n">
        <v>1</v>
      </c>
      <c r="G7160" s="62" t="n">
        <v>439.06</v>
      </c>
      <c r="H7160" s="63" t="n">
        <v>0.091</v>
      </c>
      <c r="I7160" s="62" t="n">
        <v>311.8</v>
      </c>
      <c r="J7160" s="58" t="inlineStr">
        <is>
          <t>Store</t>
        </is>
      </c>
      <c r="K7160" s="62">
        <f>F7160*(G7160-H7160)</f>
        <v/>
      </c>
      <c r="L7160" s="62">
        <f>K7160-(F7160*I7160)</f>
        <v/>
      </c>
      <c r="M7160" s="64">
        <f>L7160/K7160</f>
        <v/>
      </c>
    </row>
    <row r="7161">
      <c r="A7161" s="58" t="inlineStr">
        <is>
          <t>RT20250629-07160</t>
        </is>
      </c>
      <c r="B7161" s="59" t="inlineStr">
        <is>
          <t>2025-06-29</t>
        </is>
      </c>
      <c r="C7161" s="60" t="inlineStr">
        <is>
          <t>Polar Cycling S-223</t>
        </is>
      </c>
      <c r="D7161" s="58" t="inlineStr">
        <is>
          <t>Sports</t>
        </is>
      </c>
      <c r="E7161" s="58" t="inlineStr">
        <is>
          <t>South</t>
        </is>
      </c>
      <c r="F7161" s="61" t="n">
        <v>3</v>
      </c>
      <c r="G7161" s="62" t="n">
        <v>1024.06</v>
      </c>
      <c r="H7161" s="63" t="n">
        <v>0.031</v>
      </c>
      <c r="I7161" s="62" t="n">
        <v>641.08</v>
      </c>
      <c r="J7161" s="58" t="inlineStr">
        <is>
          <t>Store</t>
        </is>
      </c>
      <c r="K7161" s="62">
        <f>F7161*(G7161-H7161)</f>
        <v/>
      </c>
      <c r="L7161" s="62">
        <f>K7161-(F7161*I7161)</f>
        <v/>
      </c>
      <c r="M7161" s="64">
        <f>L7161/K7161</f>
        <v/>
      </c>
    </row>
    <row r="7162">
      <c r="A7162" s="58" t="inlineStr">
        <is>
          <t>RT20250629-07161</t>
        </is>
      </c>
      <c r="B7162" s="59" t="inlineStr">
        <is>
          <t>2025-06-29</t>
        </is>
      </c>
      <c r="C7162" s="60" t="inlineStr">
        <is>
          <t>Orion Men X-928</t>
        </is>
      </c>
      <c r="D7162" s="58" t="inlineStr">
        <is>
          <t>Apparel</t>
        </is>
      </c>
      <c r="E7162" s="58" t="inlineStr">
        <is>
          <t>South</t>
        </is>
      </c>
      <c r="F7162" s="61" t="n">
        <v>4</v>
      </c>
      <c r="G7162" s="62" t="n">
        <v>120.99</v>
      </c>
      <c r="H7162" s="63" t="n">
        <v>0.065</v>
      </c>
      <c r="I7162" s="62" t="n">
        <v>64.86</v>
      </c>
      <c r="J7162" s="58" t="inlineStr">
        <is>
          <t>Store</t>
        </is>
      </c>
      <c r="K7162" s="62">
        <f>F7162*(G7162-H7162)</f>
        <v/>
      </c>
      <c r="L7162" s="62">
        <f>K7162-(F7162*I7162)</f>
        <v/>
      </c>
      <c r="M7162" s="64">
        <f>L7162/K7162</f>
        <v/>
      </c>
    </row>
    <row r="7163">
      <c r="A7163" s="58" t="inlineStr">
        <is>
          <t>RT20250629-07162</t>
        </is>
      </c>
      <c r="B7163" s="59" t="inlineStr">
        <is>
          <t>2025-06-29</t>
        </is>
      </c>
      <c r="C7163" s="60" t="inlineStr">
        <is>
          <t>Polar Pantry Lite-392</t>
        </is>
      </c>
      <c r="D7163" s="58" t="inlineStr">
        <is>
          <t>Grocery</t>
        </is>
      </c>
      <c r="E7163" s="58" t="inlineStr">
        <is>
          <t>Central</t>
        </is>
      </c>
      <c r="F7163" s="61" t="n">
        <v>1</v>
      </c>
      <c r="G7163" s="62" t="n">
        <v>6.49</v>
      </c>
      <c r="H7163" s="63" t="n">
        <v>0.061</v>
      </c>
      <c r="I7163" s="62" t="n">
        <v>4.44</v>
      </c>
      <c r="J7163" s="58" t="inlineStr">
        <is>
          <t>Online</t>
        </is>
      </c>
      <c r="K7163" s="62">
        <f>F7163*(G7163-H7163)</f>
        <v/>
      </c>
      <c r="L7163" s="62">
        <f>K7163-(F7163*I7163)</f>
        <v/>
      </c>
      <c r="M7163" s="64">
        <f>L7163/K7163</f>
        <v/>
      </c>
    </row>
    <row r="7164">
      <c r="A7164" s="58" t="inlineStr">
        <is>
          <t>RT20250629-07163</t>
        </is>
      </c>
      <c r="B7164" s="59" t="inlineStr">
        <is>
          <t>2025-06-29</t>
        </is>
      </c>
      <c r="C7164" s="60" t="inlineStr">
        <is>
          <t>Orion Fragrance Lite-785</t>
        </is>
      </c>
      <c r="D7164" s="58" t="inlineStr">
        <is>
          <t>Beauty</t>
        </is>
      </c>
      <c r="E7164" s="58" t="inlineStr">
        <is>
          <t>North</t>
        </is>
      </c>
      <c r="F7164" s="61" t="n">
        <v>3</v>
      </c>
      <c r="G7164" s="62" t="n">
        <v>45.05</v>
      </c>
      <c r="H7164" s="63" t="n">
        <v>0.001</v>
      </c>
      <c r="I7164" s="62" t="n">
        <v>27.15</v>
      </c>
      <c r="J7164" s="58" t="inlineStr">
        <is>
          <t>Online</t>
        </is>
      </c>
      <c r="K7164" s="62">
        <f>F7164*(G7164-H7164)</f>
        <v/>
      </c>
      <c r="L7164" s="62">
        <f>K7164-(F7164*I7164)</f>
        <v/>
      </c>
      <c r="M7164" s="64">
        <f>L7164/K7164</f>
        <v/>
      </c>
    </row>
    <row r="7165">
      <c r="A7165" s="58" t="inlineStr">
        <is>
          <t>RT20250629-07164</t>
        </is>
      </c>
      <c r="B7165" s="59" t="inlineStr">
        <is>
          <t>2025-06-29</t>
        </is>
      </c>
      <c r="C7165" s="60" t="inlineStr">
        <is>
          <t>Metro Fragrance Lite-261</t>
        </is>
      </c>
      <c r="D7165" s="58" t="inlineStr">
        <is>
          <t>Beauty</t>
        </is>
      </c>
      <c r="E7165" s="58" t="inlineStr">
        <is>
          <t>West</t>
        </is>
      </c>
      <c r="F7165" s="61" t="n">
        <v>3</v>
      </c>
      <c r="G7165" s="62" t="n">
        <v>86.02</v>
      </c>
      <c r="H7165" s="63" t="n">
        <v>0.073</v>
      </c>
      <c r="I7165" s="62" t="n">
        <v>54.39</v>
      </c>
      <c r="J7165" s="58" t="inlineStr">
        <is>
          <t>Online</t>
        </is>
      </c>
      <c r="K7165" s="62">
        <f>F7165*(G7165-H7165)</f>
        <v/>
      </c>
      <c r="L7165" s="62">
        <f>K7165-(F7165*I7165)</f>
        <v/>
      </c>
      <c r="M7165" s="64">
        <f>L7165/K7165</f>
        <v/>
      </c>
    </row>
    <row r="7166">
      <c r="A7166" s="58" t="inlineStr">
        <is>
          <t>RT20250629-07165</t>
        </is>
      </c>
      <c r="B7166" s="59" t="inlineStr">
        <is>
          <t>2025-06-29</t>
        </is>
      </c>
      <c r="C7166" s="60" t="inlineStr">
        <is>
          <t>Solace Snack S-691</t>
        </is>
      </c>
      <c r="D7166" s="58" t="inlineStr">
        <is>
          <t>Grocery</t>
        </is>
      </c>
      <c r="E7166" s="58" t="inlineStr">
        <is>
          <t>Central</t>
        </is>
      </c>
      <c r="F7166" s="61" t="n">
        <v>2</v>
      </c>
      <c r="G7166" s="62" t="n">
        <v>10.59</v>
      </c>
      <c r="H7166" s="63" t="n">
        <v>0.043</v>
      </c>
      <c r="I7166" s="62" t="n">
        <v>7.27</v>
      </c>
      <c r="J7166" s="58" t="inlineStr">
        <is>
          <t>Online</t>
        </is>
      </c>
      <c r="K7166" s="62">
        <f>F7166*(G7166-H7166)</f>
        <v/>
      </c>
      <c r="L7166" s="62">
        <f>K7166-(F7166*I7166)</f>
        <v/>
      </c>
      <c r="M7166" s="64">
        <f>L7166/K7166</f>
        <v/>
      </c>
    </row>
    <row r="7167">
      <c r="A7167" s="58" t="inlineStr">
        <is>
          <t>RT20250629-07166</t>
        </is>
      </c>
      <c r="B7167" s="59" t="inlineStr">
        <is>
          <t>2025-06-29</t>
        </is>
      </c>
      <c r="C7167" s="60" t="inlineStr">
        <is>
          <t>Solace Headphone Pro-344</t>
        </is>
      </c>
      <c r="D7167" s="58" t="inlineStr">
        <is>
          <t>Electronics</t>
        </is>
      </c>
      <c r="E7167" s="58" t="inlineStr">
        <is>
          <t>Central</t>
        </is>
      </c>
      <c r="F7167" s="61" t="n">
        <v>1</v>
      </c>
      <c r="G7167" s="62" t="n">
        <v>1295.9</v>
      </c>
      <c r="H7167" s="63" t="n">
        <v>0.077</v>
      </c>
      <c r="I7167" s="62" t="n">
        <v>1042.01</v>
      </c>
      <c r="J7167" s="58" t="inlineStr">
        <is>
          <t>Store</t>
        </is>
      </c>
      <c r="K7167" s="62">
        <f>F7167*(G7167-H7167)</f>
        <v/>
      </c>
      <c r="L7167" s="62">
        <f>K7167-(F7167*I7167)</f>
        <v/>
      </c>
      <c r="M7167" s="64">
        <f>L7167/K7167</f>
        <v/>
      </c>
    </row>
    <row r="7168">
      <c r="A7168" s="58" t="inlineStr">
        <is>
          <t>RT20250629-07167</t>
        </is>
      </c>
      <c r="B7168" s="59" t="inlineStr">
        <is>
          <t>2025-06-29</t>
        </is>
      </c>
      <c r="C7168" s="60" t="inlineStr">
        <is>
          <t>Falcon Household Plus-172</t>
        </is>
      </c>
      <c r="D7168" s="58" t="inlineStr">
        <is>
          <t>Grocery</t>
        </is>
      </c>
      <c r="E7168" s="58" t="inlineStr">
        <is>
          <t>South</t>
        </is>
      </c>
      <c r="F7168" s="61" t="n">
        <v>7</v>
      </c>
      <c r="G7168" s="62" t="n">
        <v>22.61</v>
      </c>
      <c r="H7168" s="63" t="n">
        <v>0.079</v>
      </c>
      <c r="I7168" s="62" t="n">
        <v>16.31</v>
      </c>
      <c r="J7168" s="58" t="inlineStr">
        <is>
          <t>Online</t>
        </is>
      </c>
      <c r="K7168" s="62">
        <f>F7168*(G7168-H7168)</f>
        <v/>
      </c>
      <c r="L7168" s="62">
        <f>K7168-(F7168*I7168)</f>
        <v/>
      </c>
      <c r="M7168" s="64">
        <f>L7168/K7168</f>
        <v/>
      </c>
    </row>
    <row r="7169">
      <c r="A7169" s="58" t="inlineStr">
        <is>
          <t>RT20250629-07168</t>
        </is>
      </c>
      <c r="B7169" s="59" t="inlineStr">
        <is>
          <t>2025-06-29</t>
        </is>
      </c>
      <c r="C7169" s="60" t="inlineStr">
        <is>
          <t>Vertex Pantry Pro-165</t>
        </is>
      </c>
      <c r="D7169" s="58" t="inlineStr">
        <is>
          <t>Grocery</t>
        </is>
      </c>
      <c r="E7169" s="58" t="inlineStr">
        <is>
          <t>East</t>
        </is>
      </c>
      <c r="F7169" s="61" t="n">
        <v>3</v>
      </c>
      <c r="G7169" s="62" t="n">
        <v>15.74</v>
      </c>
      <c r="H7169" s="63" t="n">
        <v>0.111</v>
      </c>
      <c r="I7169" s="62" t="n">
        <v>11.88</v>
      </c>
      <c r="J7169" s="58" t="inlineStr">
        <is>
          <t>Store</t>
        </is>
      </c>
      <c r="K7169" s="62">
        <f>F7169*(G7169-H7169)</f>
        <v/>
      </c>
      <c r="L7169" s="62">
        <f>K7169-(F7169*I7169)</f>
        <v/>
      </c>
      <c r="M7169" s="64">
        <f>L7169/K7169</f>
        <v/>
      </c>
    </row>
    <row r="7170">
      <c r="A7170" s="58" t="inlineStr">
        <is>
          <t>RT20250629-07169</t>
        </is>
      </c>
      <c r="B7170" s="59" t="inlineStr">
        <is>
          <t>2025-06-29</t>
        </is>
      </c>
      <c r="C7170" s="60" t="inlineStr">
        <is>
          <t>Metro Pantry X-710</t>
        </is>
      </c>
      <c r="D7170" s="58" t="inlineStr">
        <is>
          <t>Grocery</t>
        </is>
      </c>
      <c r="E7170" s="58" t="inlineStr">
        <is>
          <t>South</t>
        </is>
      </c>
      <c r="F7170" s="61" t="n">
        <v>5</v>
      </c>
      <c r="G7170" s="62" t="n">
        <v>5.68</v>
      </c>
      <c r="H7170" s="63" t="n">
        <v>0.063</v>
      </c>
      <c r="I7170" s="62" t="n">
        <v>4.29</v>
      </c>
      <c r="J7170" s="58" t="inlineStr">
        <is>
          <t>Online</t>
        </is>
      </c>
      <c r="K7170" s="62">
        <f>F7170*(G7170-H7170)</f>
        <v/>
      </c>
      <c r="L7170" s="62">
        <f>K7170-(F7170*I7170)</f>
        <v/>
      </c>
      <c r="M7170" s="64">
        <f>L7170/K7170</f>
        <v/>
      </c>
    </row>
    <row r="7171">
      <c r="A7171" s="58" t="inlineStr">
        <is>
          <t>RT20250629-07170</t>
        </is>
      </c>
      <c r="B7171" s="59" t="inlineStr">
        <is>
          <t>2025-06-29</t>
        </is>
      </c>
      <c r="C7171" s="60" t="inlineStr">
        <is>
          <t>Nimbus Headphone X-854</t>
        </is>
      </c>
      <c r="D7171" s="58" t="inlineStr">
        <is>
          <t>Electronics</t>
        </is>
      </c>
      <c r="E7171" s="58" t="inlineStr">
        <is>
          <t>East</t>
        </is>
      </c>
      <c r="F7171" s="61" t="n">
        <v>1</v>
      </c>
      <c r="G7171" s="62" t="n">
        <v>1687.13</v>
      </c>
      <c r="H7171" s="63" t="n">
        <v>0.046</v>
      </c>
      <c r="I7171" s="62" t="n">
        <v>1263.77</v>
      </c>
      <c r="J7171" s="58" t="inlineStr">
        <is>
          <t>Store</t>
        </is>
      </c>
      <c r="K7171" s="62">
        <f>F7171*(G7171-H7171)</f>
        <v/>
      </c>
      <c r="L7171" s="62">
        <f>K7171-(F7171*I7171)</f>
        <v/>
      </c>
      <c r="M7171" s="64">
        <f>L7171/K7171</f>
        <v/>
      </c>
    </row>
    <row r="7172">
      <c r="A7172" s="58" t="inlineStr">
        <is>
          <t>RT20250629-07171</t>
        </is>
      </c>
      <c r="B7172" s="59" t="inlineStr">
        <is>
          <t>2025-06-29</t>
        </is>
      </c>
      <c r="C7172" s="60" t="inlineStr">
        <is>
          <t>Vertex Supplie X-513</t>
        </is>
      </c>
      <c r="D7172" s="58" t="inlineStr">
        <is>
          <t>Office</t>
        </is>
      </c>
      <c r="E7172" s="58" t="inlineStr">
        <is>
          <t>East</t>
        </is>
      </c>
      <c r="F7172" s="61" t="n">
        <v>1</v>
      </c>
      <c r="G7172" s="62" t="n">
        <v>390.47</v>
      </c>
      <c r="H7172" s="63" t="n">
        <v>0.08</v>
      </c>
      <c r="I7172" s="62" t="n">
        <v>272.51</v>
      </c>
      <c r="J7172" s="58" t="inlineStr">
        <is>
          <t>Online</t>
        </is>
      </c>
      <c r="K7172" s="62">
        <f>F7172*(G7172-H7172)</f>
        <v/>
      </c>
      <c r="L7172" s="62">
        <f>K7172-(F7172*I7172)</f>
        <v/>
      </c>
      <c r="M7172" s="64">
        <f>L7172/K7172</f>
        <v/>
      </c>
    </row>
    <row r="7173">
      <c r="A7173" s="58" t="inlineStr">
        <is>
          <t>RT20250629-07172</t>
        </is>
      </c>
      <c r="B7173" s="59" t="inlineStr">
        <is>
          <t>2025-06-29</t>
        </is>
      </c>
      <c r="C7173" s="60" t="inlineStr">
        <is>
          <t>Solace Kitchen Pro-510</t>
        </is>
      </c>
      <c r="D7173" s="58" t="inlineStr">
        <is>
          <t>Home</t>
        </is>
      </c>
      <c r="E7173" s="58" t="inlineStr">
        <is>
          <t>Central</t>
        </is>
      </c>
      <c r="F7173" s="61" t="n">
        <v>2</v>
      </c>
      <c r="G7173" s="62" t="n">
        <v>456.38</v>
      </c>
      <c r="H7173" s="63" t="n">
        <v>0.033</v>
      </c>
      <c r="I7173" s="62" t="n">
        <v>300.77</v>
      </c>
      <c r="J7173" s="58" t="inlineStr">
        <is>
          <t>Store</t>
        </is>
      </c>
      <c r="K7173" s="62">
        <f>F7173*(G7173-H7173)</f>
        <v/>
      </c>
      <c r="L7173" s="62">
        <f>K7173-(F7173*I7173)</f>
        <v/>
      </c>
      <c r="M7173" s="64">
        <f>L7173/K7173</f>
        <v/>
      </c>
    </row>
    <row r="7174">
      <c r="A7174" s="58" t="inlineStr">
        <is>
          <t>RT20250629-07173</t>
        </is>
      </c>
      <c r="B7174" s="59" t="inlineStr">
        <is>
          <t>2025-06-29</t>
        </is>
      </c>
      <c r="C7174" s="60" t="inlineStr">
        <is>
          <t>Metro Accessorie Max-316</t>
        </is>
      </c>
      <c r="D7174" s="58" t="inlineStr">
        <is>
          <t>Apparel</t>
        </is>
      </c>
      <c r="E7174" s="58" t="inlineStr">
        <is>
          <t>East</t>
        </is>
      </c>
      <c r="F7174" s="61" t="n">
        <v>4</v>
      </c>
      <c r="G7174" s="62" t="n">
        <v>181.87</v>
      </c>
      <c r="H7174" s="63" t="n">
        <v>0.049</v>
      </c>
      <c r="I7174" s="62" t="n">
        <v>95.55</v>
      </c>
      <c r="J7174" s="58" t="inlineStr">
        <is>
          <t>Online</t>
        </is>
      </c>
      <c r="K7174" s="62">
        <f>F7174*(G7174-H7174)</f>
        <v/>
      </c>
      <c r="L7174" s="62">
        <f>K7174-(F7174*I7174)</f>
        <v/>
      </c>
      <c r="M7174" s="64">
        <f>L7174/K7174</f>
        <v/>
      </c>
    </row>
    <row r="7175">
      <c r="A7175" s="58" t="inlineStr">
        <is>
          <t>RT20250629-07174</t>
        </is>
      </c>
      <c r="B7175" s="59" t="inlineStr">
        <is>
          <t>2025-06-29</t>
        </is>
      </c>
      <c r="C7175" s="60" t="inlineStr">
        <is>
          <t>Solace Makeup Pro-214</t>
        </is>
      </c>
      <c r="D7175" s="58" t="inlineStr">
        <is>
          <t>Beauty</t>
        </is>
      </c>
      <c r="E7175" s="58" t="inlineStr">
        <is>
          <t>West</t>
        </is>
      </c>
      <c r="F7175" s="61" t="n">
        <v>1</v>
      </c>
      <c r="G7175" s="62" t="n">
        <v>123.17</v>
      </c>
      <c r="H7175" s="63" t="n">
        <v>0.02</v>
      </c>
      <c r="I7175" s="62" t="n">
        <v>66.12</v>
      </c>
      <c r="J7175" s="58" t="inlineStr">
        <is>
          <t>Store</t>
        </is>
      </c>
      <c r="K7175" s="62">
        <f>F7175*(G7175-H7175)</f>
        <v/>
      </c>
      <c r="L7175" s="62">
        <f>K7175-(F7175*I7175)</f>
        <v/>
      </c>
      <c r="M7175" s="64">
        <f>L7175/K7175</f>
        <v/>
      </c>
    </row>
    <row r="7176">
      <c r="A7176" s="58" t="inlineStr">
        <is>
          <t>RT20250629-07175</t>
        </is>
      </c>
      <c r="B7176" s="59" t="inlineStr">
        <is>
          <t>2025-06-29</t>
        </is>
      </c>
      <c r="C7176" s="60" t="inlineStr">
        <is>
          <t>Aurora Printer Plus-723</t>
        </is>
      </c>
      <c r="D7176" s="58" t="inlineStr">
        <is>
          <t>Office</t>
        </is>
      </c>
      <c r="E7176" s="58" t="inlineStr">
        <is>
          <t>East</t>
        </is>
      </c>
      <c r="F7176" s="61" t="n">
        <v>3</v>
      </c>
      <c r="G7176" s="62" t="n">
        <v>238.89</v>
      </c>
      <c r="H7176" s="63" t="n">
        <v>0.051</v>
      </c>
      <c r="I7176" s="62" t="n">
        <v>188.13</v>
      </c>
      <c r="J7176" s="58" t="inlineStr">
        <is>
          <t>Online</t>
        </is>
      </c>
      <c r="K7176" s="62">
        <f>F7176*(G7176-H7176)</f>
        <v/>
      </c>
      <c r="L7176" s="62">
        <f>K7176-(F7176*I7176)</f>
        <v/>
      </c>
      <c r="M7176" s="64">
        <f>L7176/K7176</f>
        <v/>
      </c>
    </row>
    <row r="7177">
      <c r="A7177" s="58" t="inlineStr">
        <is>
          <t>RT20250629-07176</t>
        </is>
      </c>
      <c r="B7177" s="59" t="inlineStr">
        <is>
          <t>2025-06-29</t>
        </is>
      </c>
      <c r="C7177" s="60" t="inlineStr">
        <is>
          <t>Metro Accessorie Max-316</t>
        </is>
      </c>
      <c r="D7177" s="58" t="inlineStr">
        <is>
          <t>Apparel</t>
        </is>
      </c>
      <c r="E7177" s="58" t="inlineStr">
        <is>
          <t>South</t>
        </is>
      </c>
      <c r="F7177" s="61" t="n">
        <v>2</v>
      </c>
      <c r="G7177" s="62" t="n">
        <v>160.42</v>
      </c>
      <c r="H7177" s="63" t="n">
        <v>0.079</v>
      </c>
      <c r="I7177" s="62" t="n">
        <v>92.03</v>
      </c>
      <c r="J7177" s="58" t="inlineStr">
        <is>
          <t>Online</t>
        </is>
      </c>
      <c r="K7177" s="62">
        <f>F7177*(G7177-H7177)</f>
        <v/>
      </c>
      <c r="L7177" s="62">
        <f>K7177-(F7177*I7177)</f>
        <v/>
      </c>
      <c r="M7177" s="64">
        <f>L7177/K7177</f>
        <v/>
      </c>
    </row>
    <row r="7178">
      <c r="A7178" s="58" t="inlineStr">
        <is>
          <t>RT20250629-07177</t>
        </is>
      </c>
      <c r="B7178" s="59" t="inlineStr">
        <is>
          <t>2025-06-29</t>
        </is>
      </c>
      <c r="C7178" s="60" t="inlineStr">
        <is>
          <t>Aurora Fragrance S-971</t>
        </is>
      </c>
      <c r="D7178" s="58" t="inlineStr">
        <is>
          <t>Beauty</t>
        </is>
      </c>
      <c r="E7178" s="58" t="inlineStr">
        <is>
          <t>North</t>
        </is>
      </c>
      <c r="F7178" s="61" t="n">
        <v>2</v>
      </c>
      <c r="G7178" s="62" t="n">
        <v>113.67</v>
      </c>
      <c r="H7178" s="63" t="n">
        <v>0.024</v>
      </c>
      <c r="I7178" s="62" t="n">
        <v>64.22</v>
      </c>
      <c r="J7178" s="58" t="inlineStr">
        <is>
          <t>Online</t>
        </is>
      </c>
      <c r="K7178" s="62">
        <f>F7178*(G7178-H7178)</f>
        <v/>
      </c>
      <c r="L7178" s="62">
        <f>K7178-(F7178*I7178)</f>
        <v/>
      </c>
      <c r="M7178" s="64">
        <f>L7178/K7178</f>
        <v/>
      </c>
    </row>
    <row r="7179">
      <c r="A7179" s="58" t="inlineStr">
        <is>
          <t>RT20250629-07178</t>
        </is>
      </c>
      <c r="B7179" s="59" t="inlineStr">
        <is>
          <t>2025-06-29</t>
        </is>
      </c>
      <c r="C7179" s="60" t="inlineStr">
        <is>
          <t>Metro Laptop Plus-376</t>
        </is>
      </c>
      <c r="D7179" s="58" t="inlineStr">
        <is>
          <t>Electronics</t>
        </is>
      </c>
      <c r="E7179" s="58" t="inlineStr">
        <is>
          <t>East</t>
        </is>
      </c>
      <c r="F7179" s="61" t="n">
        <v>2</v>
      </c>
      <c r="G7179" s="62" t="n">
        <v>1366.8</v>
      </c>
      <c r="H7179" s="63" t="n">
        <v>0.022</v>
      </c>
      <c r="I7179" s="62" t="n">
        <v>1052.08</v>
      </c>
      <c r="J7179" s="58" t="inlineStr">
        <is>
          <t>Store</t>
        </is>
      </c>
      <c r="K7179" s="62">
        <f>F7179*(G7179-H7179)</f>
        <v/>
      </c>
      <c r="L7179" s="62">
        <f>K7179-(F7179*I7179)</f>
        <v/>
      </c>
      <c r="M7179" s="64">
        <f>L7179/K7179</f>
        <v/>
      </c>
    </row>
    <row r="7180">
      <c r="A7180" s="58" t="inlineStr">
        <is>
          <t>RT20250629-07179</t>
        </is>
      </c>
      <c r="B7180" s="59" t="inlineStr">
        <is>
          <t>2025-06-29</t>
        </is>
      </c>
      <c r="C7180" s="60" t="inlineStr">
        <is>
          <t>Falcon Household Plus-172</t>
        </is>
      </c>
      <c r="D7180" s="58" t="inlineStr">
        <is>
          <t>Grocery</t>
        </is>
      </c>
      <c r="E7180" s="58" t="inlineStr">
        <is>
          <t>East</t>
        </is>
      </c>
      <c r="F7180" s="61" t="n">
        <v>2</v>
      </c>
      <c r="G7180" s="62" t="n">
        <v>21.46</v>
      </c>
      <c r="H7180" s="63" t="n">
        <v>0.074</v>
      </c>
      <c r="I7180" s="62" t="n">
        <v>15.89</v>
      </c>
      <c r="J7180" s="58" t="inlineStr">
        <is>
          <t>Online</t>
        </is>
      </c>
      <c r="K7180" s="62">
        <f>F7180*(G7180-H7180)</f>
        <v/>
      </c>
      <c r="L7180" s="62">
        <f>K7180-(F7180*I7180)</f>
        <v/>
      </c>
      <c r="M7180" s="64">
        <f>L7180/K7180</f>
        <v/>
      </c>
    </row>
    <row r="7181">
      <c r="A7181" s="58" t="inlineStr">
        <is>
          <t>RT20250629-07180</t>
        </is>
      </c>
      <c r="B7181" s="59" t="inlineStr">
        <is>
          <t>2025-06-29</t>
        </is>
      </c>
      <c r="C7181" s="60" t="inlineStr">
        <is>
          <t>Falcon Beverage Max-702</t>
        </is>
      </c>
      <c r="D7181" s="58" t="inlineStr">
        <is>
          <t>Grocery</t>
        </is>
      </c>
      <c r="E7181" s="58" t="inlineStr">
        <is>
          <t>North</t>
        </is>
      </c>
      <c r="F7181" s="61" t="n">
        <v>2</v>
      </c>
      <c r="G7181" s="62" t="n">
        <v>23.88</v>
      </c>
      <c r="H7181" s="63" t="n">
        <v>0.059</v>
      </c>
      <c r="I7181" s="62" t="n">
        <v>19.69</v>
      </c>
      <c r="J7181" s="58" t="inlineStr">
        <is>
          <t>Online</t>
        </is>
      </c>
      <c r="K7181" s="62">
        <f>F7181*(G7181-H7181)</f>
        <v/>
      </c>
      <c r="L7181" s="62">
        <f>K7181-(F7181*I7181)</f>
        <v/>
      </c>
      <c r="M7181" s="64">
        <f>L7181/K7181</f>
        <v/>
      </c>
    </row>
    <row r="7182">
      <c r="A7182" s="58" t="inlineStr">
        <is>
          <t>RT20250629-07181</t>
        </is>
      </c>
      <c r="B7182" s="59" t="inlineStr">
        <is>
          <t>2025-06-29</t>
        </is>
      </c>
      <c r="C7182" s="60" t="inlineStr">
        <is>
          <t>Aurora Skincare Max-798</t>
        </is>
      </c>
      <c r="D7182" s="58" t="inlineStr">
        <is>
          <t>Beauty</t>
        </is>
      </c>
      <c r="E7182" s="58" t="inlineStr">
        <is>
          <t>East</t>
        </is>
      </c>
      <c r="F7182" s="61" t="n">
        <v>5</v>
      </c>
      <c r="G7182" s="62" t="n">
        <v>120.27</v>
      </c>
      <c r="H7182" s="63" t="n">
        <v>0.073</v>
      </c>
      <c r="I7182" s="62" t="n">
        <v>66.76000000000001</v>
      </c>
      <c r="J7182" s="58" t="inlineStr">
        <is>
          <t>Online</t>
        </is>
      </c>
      <c r="K7182" s="62">
        <f>F7182*(G7182-H7182)</f>
        <v/>
      </c>
      <c r="L7182" s="62">
        <f>K7182-(F7182*I7182)</f>
        <v/>
      </c>
      <c r="M7182" s="64">
        <f>L7182/K7182</f>
        <v/>
      </c>
    </row>
    <row r="7183">
      <c r="A7183" s="58" t="inlineStr">
        <is>
          <t>RT20250629-07182</t>
        </is>
      </c>
      <c r="B7183" s="59" t="inlineStr">
        <is>
          <t>2025-06-29</t>
        </is>
      </c>
      <c r="C7183" s="60" t="inlineStr">
        <is>
          <t>Metro Decor Lite-325</t>
        </is>
      </c>
      <c r="D7183" s="58" t="inlineStr">
        <is>
          <t>Home</t>
        </is>
      </c>
      <c r="E7183" s="58" t="inlineStr">
        <is>
          <t>East</t>
        </is>
      </c>
      <c r="F7183" s="61" t="n">
        <v>3</v>
      </c>
      <c r="G7183" s="62" t="n">
        <v>497.64</v>
      </c>
      <c r="H7183" s="63" t="n">
        <v>0.07099999999999999</v>
      </c>
      <c r="I7183" s="62" t="n">
        <v>372.07</v>
      </c>
      <c r="J7183" s="58" t="inlineStr">
        <is>
          <t>Online</t>
        </is>
      </c>
      <c r="K7183" s="62">
        <f>F7183*(G7183-H7183)</f>
        <v/>
      </c>
      <c r="L7183" s="62">
        <f>K7183-(F7183*I7183)</f>
        <v/>
      </c>
      <c r="M7183" s="64">
        <f>L7183/K7183</f>
        <v/>
      </c>
    </row>
    <row r="7184">
      <c r="A7184" s="58" t="inlineStr">
        <is>
          <t>RT20250629-07183</t>
        </is>
      </c>
      <c r="B7184" s="59" t="inlineStr">
        <is>
          <t>2025-06-29</t>
        </is>
      </c>
      <c r="C7184" s="60" t="inlineStr">
        <is>
          <t>Falcon Team Sport Lite-268</t>
        </is>
      </c>
      <c r="D7184" s="58" t="inlineStr">
        <is>
          <t>Sports</t>
        </is>
      </c>
      <c r="E7184" s="58" t="inlineStr">
        <is>
          <t>Central</t>
        </is>
      </c>
      <c r="F7184" s="61" t="n">
        <v>1</v>
      </c>
      <c r="G7184" s="62" t="n">
        <v>675.58</v>
      </c>
      <c r="H7184" s="63" t="n">
        <v>0</v>
      </c>
      <c r="I7184" s="62" t="n">
        <v>428.94</v>
      </c>
      <c r="J7184" s="58" t="inlineStr">
        <is>
          <t>Store</t>
        </is>
      </c>
      <c r="K7184" s="62">
        <f>F7184*(G7184-H7184)</f>
        <v/>
      </c>
      <c r="L7184" s="62">
        <f>K7184-(F7184*I7184)</f>
        <v/>
      </c>
      <c r="M7184" s="64">
        <f>L7184/K7184</f>
        <v/>
      </c>
    </row>
    <row r="7185">
      <c r="A7185" s="58" t="inlineStr">
        <is>
          <t>RT20250629-07184</t>
        </is>
      </c>
      <c r="B7185" s="59" t="inlineStr">
        <is>
          <t>2025-06-29</t>
        </is>
      </c>
      <c r="C7185" s="60" t="inlineStr">
        <is>
          <t>Polar Outdoor X-193</t>
        </is>
      </c>
      <c r="D7185" s="58" t="inlineStr">
        <is>
          <t>Sports</t>
        </is>
      </c>
      <c r="E7185" s="58" t="inlineStr">
        <is>
          <t>West</t>
        </is>
      </c>
      <c r="F7185" s="61" t="n">
        <v>2</v>
      </c>
      <c r="G7185" s="62" t="n">
        <v>696.92</v>
      </c>
      <c r="H7185" s="63" t="n">
        <v>0.035</v>
      </c>
      <c r="I7185" s="62" t="n">
        <v>462.77</v>
      </c>
      <c r="J7185" s="58" t="inlineStr">
        <is>
          <t>Online</t>
        </is>
      </c>
      <c r="K7185" s="62">
        <f>F7185*(G7185-H7185)</f>
        <v/>
      </c>
      <c r="L7185" s="62">
        <f>K7185-(F7185*I7185)</f>
        <v/>
      </c>
      <c r="M7185" s="64">
        <f>L7185/K7185</f>
        <v/>
      </c>
    </row>
    <row r="7186">
      <c r="A7186" s="58" t="inlineStr">
        <is>
          <t>RT20250629-07185</t>
        </is>
      </c>
      <c r="B7186" s="59" t="inlineStr">
        <is>
          <t>2025-06-29</t>
        </is>
      </c>
      <c r="C7186" s="60" t="inlineStr">
        <is>
          <t>Orion Kitchen Pro-568</t>
        </is>
      </c>
      <c r="D7186" s="58" t="inlineStr">
        <is>
          <t>Home</t>
        </is>
      </c>
      <c r="E7186" s="58" t="inlineStr">
        <is>
          <t>East</t>
        </is>
      </c>
      <c r="F7186" s="61" t="n">
        <v>2</v>
      </c>
      <c r="G7186" s="62" t="n">
        <v>481.6</v>
      </c>
      <c r="H7186" s="63" t="n">
        <v>0.078</v>
      </c>
      <c r="I7186" s="62" t="n">
        <v>297.98</v>
      </c>
      <c r="J7186" s="58" t="inlineStr">
        <is>
          <t>Online</t>
        </is>
      </c>
      <c r="K7186" s="62">
        <f>F7186*(G7186-H7186)</f>
        <v/>
      </c>
      <c r="L7186" s="62">
        <f>K7186-(F7186*I7186)</f>
        <v/>
      </c>
      <c r="M7186" s="64">
        <f>L7186/K7186</f>
        <v/>
      </c>
    </row>
    <row r="7187">
      <c r="A7187" s="58" t="inlineStr">
        <is>
          <t>RT20250629-07186</t>
        </is>
      </c>
      <c r="B7187" s="59" t="inlineStr">
        <is>
          <t>2025-06-29</t>
        </is>
      </c>
      <c r="C7187" s="60" t="inlineStr">
        <is>
          <t>Nimbus Women Lite-814</t>
        </is>
      </c>
      <c r="D7187" s="58" t="inlineStr">
        <is>
          <t>Apparel</t>
        </is>
      </c>
      <c r="E7187" s="58" t="inlineStr">
        <is>
          <t>West</t>
        </is>
      </c>
      <c r="F7187" s="61" t="n">
        <v>3</v>
      </c>
      <c r="G7187" s="62" t="n">
        <v>146.82</v>
      </c>
      <c r="H7187" s="63" t="n">
        <v>0.043</v>
      </c>
      <c r="I7187" s="62" t="n">
        <v>81.62</v>
      </c>
      <c r="J7187" s="58" t="inlineStr">
        <is>
          <t>Store</t>
        </is>
      </c>
      <c r="K7187" s="62">
        <f>F7187*(G7187-H7187)</f>
        <v/>
      </c>
      <c r="L7187" s="62">
        <f>K7187-(F7187*I7187)</f>
        <v/>
      </c>
      <c r="M7187" s="64">
        <f>L7187/K7187</f>
        <v/>
      </c>
    </row>
    <row r="7188">
      <c r="A7188" s="58" t="inlineStr">
        <is>
          <t>RT20250629-07187</t>
        </is>
      </c>
      <c r="B7188" s="59" t="inlineStr">
        <is>
          <t>2025-06-29</t>
        </is>
      </c>
      <c r="C7188" s="60" t="inlineStr">
        <is>
          <t>Falcon Bedding S-674</t>
        </is>
      </c>
      <c r="D7188" s="58" t="inlineStr">
        <is>
          <t>Home</t>
        </is>
      </c>
      <c r="E7188" s="58" t="inlineStr">
        <is>
          <t>Central</t>
        </is>
      </c>
      <c r="F7188" s="61" t="n">
        <v>1</v>
      </c>
      <c r="G7188" s="62" t="n">
        <v>620.39</v>
      </c>
      <c r="H7188" s="63" t="n">
        <v>0.001</v>
      </c>
      <c r="I7188" s="62" t="n">
        <v>449.13</v>
      </c>
      <c r="J7188" s="58" t="inlineStr">
        <is>
          <t>Store</t>
        </is>
      </c>
      <c r="K7188" s="62">
        <f>F7188*(G7188-H7188)</f>
        <v/>
      </c>
      <c r="L7188" s="62">
        <f>K7188-(F7188*I7188)</f>
        <v/>
      </c>
      <c r="M7188" s="64">
        <f>L7188/K7188</f>
        <v/>
      </c>
    </row>
    <row r="7189">
      <c r="A7189" s="58" t="inlineStr">
        <is>
          <t>RT20250629-07188</t>
        </is>
      </c>
      <c r="B7189" s="59" t="inlineStr">
        <is>
          <t>2025-06-29</t>
        </is>
      </c>
      <c r="C7189" s="60" t="inlineStr">
        <is>
          <t>Nimbus Makeup Max-158</t>
        </is>
      </c>
      <c r="D7189" s="58" t="inlineStr">
        <is>
          <t>Beauty</t>
        </is>
      </c>
      <c r="E7189" s="58" t="inlineStr">
        <is>
          <t>West</t>
        </is>
      </c>
      <c r="F7189" s="61" t="n">
        <v>2</v>
      </c>
      <c r="G7189" s="62" t="n">
        <v>134.07</v>
      </c>
      <c r="H7189" s="63" t="n">
        <v>0.031</v>
      </c>
      <c r="I7189" s="62" t="n">
        <v>96.04000000000001</v>
      </c>
      <c r="J7189" s="58" t="inlineStr">
        <is>
          <t>Online</t>
        </is>
      </c>
      <c r="K7189" s="62">
        <f>F7189*(G7189-H7189)</f>
        <v/>
      </c>
      <c r="L7189" s="62">
        <f>K7189-(F7189*I7189)</f>
        <v/>
      </c>
      <c r="M7189" s="64">
        <f>L7189/K7189</f>
        <v/>
      </c>
    </row>
    <row r="7190">
      <c r="A7190" s="58" t="inlineStr">
        <is>
          <t>RT20250630-07189</t>
        </is>
      </c>
      <c r="B7190" s="59" t="inlineStr">
        <is>
          <t>2025-06-30</t>
        </is>
      </c>
      <c r="C7190" s="60" t="inlineStr">
        <is>
          <t>Falcon Headphone Pro-713</t>
        </is>
      </c>
      <c r="D7190" s="58" t="inlineStr">
        <is>
          <t>Electronics</t>
        </is>
      </c>
      <c r="E7190" s="58" t="inlineStr">
        <is>
          <t>South</t>
        </is>
      </c>
      <c r="F7190" s="61" t="n">
        <v>1</v>
      </c>
      <c r="G7190" s="62" t="n">
        <v>1531.33</v>
      </c>
      <c r="H7190" s="63" t="n">
        <v>0.047</v>
      </c>
      <c r="I7190" s="62" t="n">
        <v>1189.21</v>
      </c>
      <c r="J7190" s="58" t="inlineStr">
        <is>
          <t>Store</t>
        </is>
      </c>
      <c r="K7190" s="62">
        <f>F7190*(G7190-H7190)</f>
        <v/>
      </c>
      <c r="L7190" s="62">
        <f>K7190-(F7190*I7190)</f>
        <v/>
      </c>
      <c r="M7190" s="64">
        <f>L7190/K7190</f>
        <v/>
      </c>
    </row>
    <row r="7191">
      <c r="A7191" s="58" t="inlineStr">
        <is>
          <t>RT20250630-07190</t>
        </is>
      </c>
      <c r="B7191" s="59" t="inlineStr">
        <is>
          <t>2025-06-30</t>
        </is>
      </c>
      <c r="C7191" s="60" t="inlineStr">
        <is>
          <t>Polar Women S-662</t>
        </is>
      </c>
      <c r="D7191" s="58" t="inlineStr">
        <is>
          <t>Apparel</t>
        </is>
      </c>
      <c r="E7191" s="58" t="inlineStr">
        <is>
          <t>Central</t>
        </is>
      </c>
      <c r="F7191" s="61" t="n">
        <v>3</v>
      </c>
      <c r="G7191" s="62" t="n">
        <v>168.28</v>
      </c>
      <c r="H7191" s="63" t="n">
        <v>0.057</v>
      </c>
      <c r="I7191" s="62" t="n">
        <v>98.41</v>
      </c>
      <c r="J7191" s="58" t="inlineStr">
        <is>
          <t>Online</t>
        </is>
      </c>
      <c r="K7191" s="62">
        <f>F7191*(G7191-H7191)</f>
        <v/>
      </c>
      <c r="L7191" s="62">
        <f>K7191-(F7191*I7191)</f>
        <v/>
      </c>
      <c r="M7191" s="64">
        <f>L7191/K7191</f>
        <v/>
      </c>
    </row>
    <row r="7192">
      <c r="A7192" s="58" t="inlineStr">
        <is>
          <t>RT20250630-07191</t>
        </is>
      </c>
      <c r="B7192" s="59" t="inlineStr">
        <is>
          <t>2025-06-30</t>
        </is>
      </c>
      <c r="C7192" s="60" t="inlineStr">
        <is>
          <t>Vertex Supplie X-513</t>
        </is>
      </c>
      <c r="D7192" s="58" t="inlineStr">
        <is>
          <t>Office</t>
        </is>
      </c>
      <c r="E7192" s="58" t="inlineStr">
        <is>
          <t>West</t>
        </is>
      </c>
      <c r="F7192" s="61" t="n">
        <v>3</v>
      </c>
      <c r="G7192" s="62" t="n">
        <v>394.59</v>
      </c>
      <c r="H7192" s="63" t="n">
        <v>0.046</v>
      </c>
      <c r="I7192" s="62" t="n">
        <v>279.27</v>
      </c>
      <c r="J7192" s="58" t="inlineStr">
        <is>
          <t>Online</t>
        </is>
      </c>
      <c r="K7192" s="62">
        <f>F7192*(G7192-H7192)</f>
        <v/>
      </c>
      <c r="L7192" s="62">
        <f>K7192-(F7192*I7192)</f>
        <v/>
      </c>
      <c r="M7192" s="64">
        <f>L7192/K7192</f>
        <v/>
      </c>
    </row>
    <row r="7193">
      <c r="A7193" s="58" t="inlineStr">
        <is>
          <t>RT20250630-07192</t>
        </is>
      </c>
      <c r="B7193" s="59" t="inlineStr">
        <is>
          <t>2025-06-30</t>
        </is>
      </c>
      <c r="C7193" s="60" t="inlineStr">
        <is>
          <t>Metro Accessorie Lite-697</t>
        </is>
      </c>
      <c r="D7193" s="58" t="inlineStr">
        <is>
          <t>Apparel</t>
        </is>
      </c>
      <c r="E7193" s="58" t="inlineStr">
        <is>
          <t>West</t>
        </is>
      </c>
      <c r="F7193" s="61" t="n">
        <v>4</v>
      </c>
      <c r="G7193" s="62" t="n">
        <v>124.52</v>
      </c>
      <c r="H7193" s="63" t="n">
        <v>0.032</v>
      </c>
      <c r="I7193" s="62" t="n">
        <v>76.64</v>
      </c>
      <c r="J7193" s="58" t="inlineStr">
        <is>
          <t>Online</t>
        </is>
      </c>
      <c r="K7193" s="62">
        <f>F7193*(G7193-H7193)</f>
        <v/>
      </c>
      <c r="L7193" s="62">
        <f>K7193-(F7193*I7193)</f>
        <v/>
      </c>
      <c r="M7193" s="64">
        <f>L7193/K7193</f>
        <v/>
      </c>
    </row>
    <row r="7194">
      <c r="A7194" s="58" t="inlineStr">
        <is>
          <t>RT20250630-07193</t>
        </is>
      </c>
      <c r="B7194" s="59" t="inlineStr">
        <is>
          <t>2025-06-30</t>
        </is>
      </c>
      <c r="C7194" s="60" t="inlineStr">
        <is>
          <t>Vertex Headphone Pro-801</t>
        </is>
      </c>
      <c r="D7194" s="58" t="inlineStr">
        <is>
          <t>Electronics</t>
        </is>
      </c>
      <c r="E7194" s="58" t="inlineStr">
        <is>
          <t>South</t>
        </is>
      </c>
      <c r="F7194" s="61" t="n">
        <v>2</v>
      </c>
      <c r="G7194" s="62" t="n">
        <v>1286.79</v>
      </c>
      <c r="H7194" s="63" t="n">
        <v>0.067</v>
      </c>
      <c r="I7194" s="62" t="n">
        <v>971.16</v>
      </c>
      <c r="J7194" s="58" t="inlineStr">
        <is>
          <t>Store</t>
        </is>
      </c>
      <c r="K7194" s="62">
        <f>F7194*(G7194-H7194)</f>
        <v/>
      </c>
      <c r="L7194" s="62">
        <f>K7194-(F7194*I7194)</f>
        <v/>
      </c>
      <c r="M7194" s="64">
        <f>L7194/K7194</f>
        <v/>
      </c>
    </row>
    <row r="7195">
      <c r="A7195" s="58" t="inlineStr">
        <is>
          <t>RT20250630-07194</t>
        </is>
      </c>
      <c r="B7195" s="59" t="inlineStr">
        <is>
          <t>2025-06-30</t>
        </is>
      </c>
      <c r="C7195" s="60" t="inlineStr">
        <is>
          <t>Polar Outdoor X-193</t>
        </is>
      </c>
      <c r="D7195" s="58" t="inlineStr">
        <is>
          <t>Sports</t>
        </is>
      </c>
      <c r="E7195" s="58" t="inlineStr">
        <is>
          <t>South</t>
        </is>
      </c>
      <c r="F7195" s="61" t="n">
        <v>1</v>
      </c>
      <c r="G7195" s="62" t="n">
        <v>724.6</v>
      </c>
      <c r="H7195" s="63" t="n">
        <v>0.041</v>
      </c>
      <c r="I7195" s="62" t="n">
        <v>455.73</v>
      </c>
      <c r="J7195" s="58" t="inlineStr">
        <is>
          <t>Online</t>
        </is>
      </c>
      <c r="K7195" s="62">
        <f>F7195*(G7195-H7195)</f>
        <v/>
      </c>
      <c r="L7195" s="62">
        <f>K7195-(F7195*I7195)</f>
        <v/>
      </c>
      <c r="M7195" s="64">
        <f>L7195/K7195</f>
        <v/>
      </c>
    </row>
    <row r="7196">
      <c r="A7196" s="58" t="inlineStr">
        <is>
          <t>RT20250630-07195</t>
        </is>
      </c>
      <c r="B7196" s="59" t="inlineStr">
        <is>
          <t>2025-06-30</t>
        </is>
      </c>
      <c r="C7196" s="60" t="inlineStr">
        <is>
          <t>Vertex Printer Max-692</t>
        </is>
      </c>
      <c r="D7196" s="58" t="inlineStr">
        <is>
          <t>Office</t>
        </is>
      </c>
      <c r="E7196" s="58" t="inlineStr">
        <is>
          <t>Central</t>
        </is>
      </c>
      <c r="F7196" s="61" t="n">
        <v>2</v>
      </c>
      <c r="G7196" s="62" t="n">
        <v>160.6</v>
      </c>
      <c r="H7196" s="63" t="n">
        <v>0.041</v>
      </c>
      <c r="I7196" s="62" t="n">
        <v>120.98</v>
      </c>
      <c r="J7196" s="58" t="inlineStr">
        <is>
          <t>Online</t>
        </is>
      </c>
      <c r="K7196" s="62">
        <f>F7196*(G7196-H7196)</f>
        <v/>
      </c>
      <c r="L7196" s="62">
        <f>K7196-(F7196*I7196)</f>
        <v/>
      </c>
      <c r="M7196" s="64">
        <f>L7196/K7196</f>
        <v/>
      </c>
    </row>
    <row r="7197">
      <c r="A7197" s="58" t="inlineStr">
        <is>
          <t>RT20250630-07196</t>
        </is>
      </c>
      <c r="B7197" s="59" t="inlineStr">
        <is>
          <t>2025-06-30</t>
        </is>
      </c>
      <c r="C7197" s="60" t="inlineStr">
        <is>
          <t>Polar Haircare Max-614</t>
        </is>
      </c>
      <c r="D7197" s="58" t="inlineStr">
        <is>
          <t>Beauty</t>
        </is>
      </c>
      <c r="E7197" s="58" t="inlineStr">
        <is>
          <t>North</t>
        </is>
      </c>
      <c r="F7197" s="61" t="n">
        <v>1</v>
      </c>
      <c r="G7197" s="62" t="n">
        <v>117.54</v>
      </c>
      <c r="H7197" s="63" t="n">
        <v>0.078</v>
      </c>
      <c r="I7197" s="62" t="n">
        <v>70.23999999999999</v>
      </c>
      <c r="J7197" s="58" t="inlineStr">
        <is>
          <t>Store</t>
        </is>
      </c>
      <c r="K7197" s="62">
        <f>F7197*(G7197-H7197)</f>
        <v/>
      </c>
      <c r="L7197" s="62">
        <f>K7197-(F7197*I7197)</f>
        <v/>
      </c>
      <c r="M7197" s="64">
        <f>L7197/K7197</f>
        <v/>
      </c>
    </row>
    <row r="7198">
      <c r="A7198" s="58" t="inlineStr">
        <is>
          <t>RT20250630-07197</t>
        </is>
      </c>
      <c r="B7198" s="59" t="inlineStr">
        <is>
          <t>2025-06-30</t>
        </is>
      </c>
      <c r="C7198" s="60" t="inlineStr">
        <is>
          <t>Solace Makeup Pro-214</t>
        </is>
      </c>
      <c r="D7198" s="58" t="inlineStr">
        <is>
          <t>Beauty</t>
        </is>
      </c>
      <c r="E7198" s="58" t="inlineStr">
        <is>
          <t>Central</t>
        </is>
      </c>
      <c r="F7198" s="61" t="n">
        <v>1</v>
      </c>
      <c r="G7198" s="62" t="n">
        <v>108.08</v>
      </c>
      <c r="H7198" s="63" t="n">
        <v>0.041</v>
      </c>
      <c r="I7198" s="62" t="n">
        <v>67.58</v>
      </c>
      <c r="J7198" s="58" t="inlineStr">
        <is>
          <t>Store</t>
        </is>
      </c>
      <c r="K7198" s="62">
        <f>F7198*(G7198-H7198)</f>
        <v/>
      </c>
      <c r="L7198" s="62">
        <f>K7198-(F7198*I7198)</f>
        <v/>
      </c>
      <c r="M7198" s="64">
        <f>L7198/K7198</f>
        <v/>
      </c>
    </row>
    <row r="7199">
      <c r="A7199" s="58" t="inlineStr">
        <is>
          <t>RT20250630-07198</t>
        </is>
      </c>
      <c r="B7199" s="59" t="inlineStr">
        <is>
          <t>2025-06-30</t>
        </is>
      </c>
      <c r="C7199" s="60" t="inlineStr">
        <is>
          <t>Aurora Printer Plus-991</t>
        </is>
      </c>
      <c r="D7199" s="58" t="inlineStr">
        <is>
          <t>Office</t>
        </is>
      </c>
      <c r="E7199" s="58" t="inlineStr">
        <is>
          <t>West</t>
        </is>
      </c>
      <c r="F7199" s="61" t="n">
        <v>1</v>
      </c>
      <c r="G7199" s="62" t="n">
        <v>517.64</v>
      </c>
      <c r="H7199" s="63" t="n">
        <v>0.047</v>
      </c>
      <c r="I7199" s="62" t="n">
        <v>366.73</v>
      </c>
      <c r="J7199" s="58" t="inlineStr">
        <is>
          <t>Online</t>
        </is>
      </c>
      <c r="K7199" s="62">
        <f>F7199*(G7199-H7199)</f>
        <v/>
      </c>
      <c r="L7199" s="62">
        <f>K7199-(F7199*I7199)</f>
        <v/>
      </c>
      <c r="M7199" s="64">
        <f>L7199/K7199</f>
        <v/>
      </c>
    </row>
    <row r="7200">
      <c r="A7200" s="58" t="inlineStr">
        <is>
          <t>RT20250630-07199</t>
        </is>
      </c>
      <c r="B7200" s="59" t="inlineStr">
        <is>
          <t>2025-06-30</t>
        </is>
      </c>
      <c r="C7200" s="60" t="inlineStr">
        <is>
          <t>Solace Headphone Pro-344</t>
        </is>
      </c>
      <c r="D7200" s="58" t="inlineStr">
        <is>
          <t>Electronics</t>
        </is>
      </c>
      <c r="E7200" s="58" t="inlineStr">
        <is>
          <t>West</t>
        </is>
      </c>
      <c r="F7200" s="61" t="n">
        <v>1</v>
      </c>
      <c r="G7200" s="62" t="n">
        <v>1302.73</v>
      </c>
      <c r="H7200" s="63" t="n">
        <v>0.06</v>
      </c>
      <c r="I7200" s="62" t="n">
        <v>1083.41</v>
      </c>
      <c r="J7200" s="58" t="inlineStr">
        <is>
          <t>Online</t>
        </is>
      </c>
      <c r="K7200" s="62">
        <f>F7200*(G7200-H7200)</f>
        <v/>
      </c>
      <c r="L7200" s="62">
        <f>K7200-(F7200*I7200)</f>
        <v/>
      </c>
      <c r="M7200" s="64">
        <f>L7200/K7200</f>
        <v/>
      </c>
    </row>
    <row r="7201">
      <c r="A7201" s="58" t="inlineStr">
        <is>
          <t>RT20250630-07200</t>
        </is>
      </c>
      <c r="B7201" s="59" t="inlineStr">
        <is>
          <t>2025-06-30</t>
        </is>
      </c>
      <c r="C7201" s="60" t="inlineStr">
        <is>
          <t>Solace Snack S-691</t>
        </is>
      </c>
      <c r="D7201" s="58" t="inlineStr">
        <is>
          <t>Grocery</t>
        </is>
      </c>
      <c r="E7201" s="58" t="inlineStr">
        <is>
          <t>North</t>
        </is>
      </c>
      <c r="F7201" s="61" t="n">
        <v>2</v>
      </c>
      <c r="G7201" s="62" t="n">
        <v>10.83</v>
      </c>
      <c r="H7201" s="63" t="n">
        <v>0.054</v>
      </c>
      <c r="I7201" s="62" t="n">
        <v>7.25</v>
      </c>
      <c r="J7201" s="58" t="inlineStr">
        <is>
          <t>Online</t>
        </is>
      </c>
      <c r="K7201" s="62">
        <f>F7201*(G7201-H7201)</f>
        <v/>
      </c>
      <c r="L7201" s="62">
        <f>K7201-(F7201*I7201)</f>
        <v/>
      </c>
      <c r="M7201" s="64">
        <f>L7201/K7201</f>
        <v/>
      </c>
    </row>
    <row r="7202">
      <c r="A7202" s="58" t="inlineStr">
        <is>
          <t>RT20250630-07201</t>
        </is>
      </c>
      <c r="B7202" s="59" t="inlineStr">
        <is>
          <t>2025-06-30</t>
        </is>
      </c>
      <c r="C7202" s="60" t="inlineStr">
        <is>
          <t>Aurora Kid Plus-151</t>
        </is>
      </c>
      <c r="D7202" s="58" t="inlineStr">
        <is>
          <t>Apparel</t>
        </is>
      </c>
      <c r="E7202" s="58" t="inlineStr">
        <is>
          <t>Central</t>
        </is>
      </c>
      <c r="F7202" s="61" t="n">
        <v>2</v>
      </c>
      <c r="G7202" s="62" t="n">
        <v>106.98</v>
      </c>
      <c r="H7202" s="63" t="n">
        <v>0.039</v>
      </c>
      <c r="I7202" s="62" t="n">
        <v>65.27</v>
      </c>
      <c r="J7202" s="58" t="inlineStr">
        <is>
          <t>Online</t>
        </is>
      </c>
      <c r="K7202" s="62">
        <f>F7202*(G7202-H7202)</f>
        <v/>
      </c>
      <c r="L7202" s="62">
        <f>K7202-(F7202*I7202)</f>
        <v/>
      </c>
      <c r="M7202" s="64">
        <f>L7202/K7202</f>
        <v/>
      </c>
    </row>
    <row r="7203">
      <c r="A7203" s="58" t="inlineStr">
        <is>
          <t>RT20250630-07202</t>
        </is>
      </c>
      <c r="B7203" s="59" t="inlineStr">
        <is>
          <t>2025-06-30</t>
        </is>
      </c>
      <c r="C7203" s="60" t="inlineStr">
        <is>
          <t>Falcon Headphone Pro-713</t>
        </is>
      </c>
      <c r="D7203" s="58" t="inlineStr">
        <is>
          <t>Electronics</t>
        </is>
      </c>
      <c r="E7203" s="58" t="inlineStr">
        <is>
          <t>East</t>
        </is>
      </c>
      <c r="F7203" s="61" t="n">
        <v>2</v>
      </c>
      <c r="G7203" s="62" t="n">
        <v>1507.89</v>
      </c>
      <c r="H7203" s="63" t="n">
        <v>0.049</v>
      </c>
      <c r="I7203" s="62" t="n">
        <v>1159.16</v>
      </c>
      <c r="J7203" s="58" t="inlineStr">
        <is>
          <t>Store</t>
        </is>
      </c>
      <c r="K7203" s="62">
        <f>F7203*(G7203-H7203)</f>
        <v/>
      </c>
      <c r="L7203" s="62">
        <f>K7203-(F7203*I7203)</f>
        <v/>
      </c>
      <c r="M7203" s="64">
        <f>L7203/K7203</f>
        <v/>
      </c>
    </row>
    <row r="7204">
      <c r="A7204" s="58" t="inlineStr">
        <is>
          <t>RT20250630-07203</t>
        </is>
      </c>
      <c r="B7204" s="59" t="inlineStr">
        <is>
          <t>2025-06-30</t>
        </is>
      </c>
      <c r="C7204" s="60" t="inlineStr">
        <is>
          <t>Orion Men X-928</t>
        </is>
      </c>
      <c r="D7204" s="58" t="inlineStr">
        <is>
          <t>Apparel</t>
        </is>
      </c>
      <c r="E7204" s="58" t="inlineStr">
        <is>
          <t>East</t>
        </is>
      </c>
      <c r="F7204" s="61" t="n">
        <v>2</v>
      </c>
      <c r="G7204" s="62" t="n">
        <v>118.26</v>
      </c>
      <c r="H7204" s="63" t="n">
        <v>0.093</v>
      </c>
      <c r="I7204" s="62" t="n">
        <v>63.79</v>
      </c>
      <c r="J7204" s="58" t="inlineStr">
        <is>
          <t>Online</t>
        </is>
      </c>
      <c r="K7204" s="62">
        <f>F7204*(G7204-H7204)</f>
        <v/>
      </c>
      <c r="L7204" s="62">
        <f>K7204-(F7204*I7204)</f>
        <v/>
      </c>
      <c r="M7204" s="64">
        <f>L7204/K7204</f>
        <v/>
      </c>
    </row>
    <row r="7205">
      <c r="A7205" s="58" t="inlineStr">
        <is>
          <t>RT20250630-07204</t>
        </is>
      </c>
      <c r="B7205" s="59" t="inlineStr">
        <is>
          <t>2025-06-30</t>
        </is>
      </c>
      <c r="C7205" s="60" t="inlineStr">
        <is>
          <t>Aurora Outdoor Pro-467</t>
        </is>
      </c>
      <c r="D7205" s="58" t="inlineStr">
        <is>
          <t>Sports</t>
        </is>
      </c>
      <c r="E7205" s="58" t="inlineStr">
        <is>
          <t>East</t>
        </is>
      </c>
      <c r="F7205" s="61" t="n">
        <v>1</v>
      </c>
      <c r="G7205" s="62" t="n">
        <v>309.41</v>
      </c>
      <c r="H7205" s="63" t="n">
        <v>0.039</v>
      </c>
      <c r="I7205" s="62" t="n">
        <v>193.62</v>
      </c>
      <c r="J7205" s="58" t="inlineStr">
        <is>
          <t>Phone</t>
        </is>
      </c>
      <c r="K7205" s="62">
        <f>F7205*(G7205-H7205)</f>
        <v/>
      </c>
      <c r="L7205" s="62">
        <f>K7205-(F7205*I7205)</f>
        <v/>
      </c>
      <c r="M7205" s="64">
        <f>L7205/K7205</f>
        <v/>
      </c>
    </row>
    <row r="7206">
      <c r="A7206" s="58" t="inlineStr">
        <is>
          <t>RT20250630-07205</t>
        </is>
      </c>
      <c r="B7206" s="59" t="inlineStr">
        <is>
          <t>2025-06-30</t>
        </is>
      </c>
      <c r="C7206" s="60" t="inlineStr">
        <is>
          <t>Orion Kid Max-640</t>
        </is>
      </c>
      <c r="D7206" s="58" t="inlineStr">
        <is>
          <t>Apparel</t>
        </is>
      </c>
      <c r="E7206" s="58" t="inlineStr">
        <is>
          <t>Central</t>
        </is>
      </c>
      <c r="F7206" s="61" t="n">
        <v>2</v>
      </c>
      <c r="G7206" s="62" t="n">
        <v>118.2</v>
      </c>
      <c r="H7206" s="63" t="n">
        <v>0.051</v>
      </c>
      <c r="I7206" s="62" t="n">
        <v>69.37</v>
      </c>
      <c r="J7206" s="58" t="inlineStr">
        <is>
          <t>Online</t>
        </is>
      </c>
      <c r="K7206" s="62">
        <f>F7206*(G7206-H7206)</f>
        <v/>
      </c>
      <c r="L7206" s="62">
        <f>K7206-(F7206*I7206)</f>
        <v/>
      </c>
      <c r="M7206" s="64">
        <f>L7206/K7206</f>
        <v/>
      </c>
    </row>
    <row r="7207">
      <c r="A7207" s="58" t="inlineStr">
        <is>
          <t>RT20250630-07206</t>
        </is>
      </c>
      <c r="B7207" s="59" t="inlineStr">
        <is>
          <t>2025-06-30</t>
        </is>
      </c>
      <c r="C7207" s="60" t="inlineStr">
        <is>
          <t>Aurora Smartphone Plus-125</t>
        </is>
      </c>
      <c r="D7207" s="58" t="inlineStr">
        <is>
          <t>Electronics</t>
        </is>
      </c>
      <c r="E7207" s="58" t="inlineStr">
        <is>
          <t>West</t>
        </is>
      </c>
      <c r="F7207" s="61" t="n">
        <v>2</v>
      </c>
      <c r="G7207" s="62" t="n">
        <v>1599.85</v>
      </c>
      <c r="H7207" s="63" t="n">
        <v>0.101</v>
      </c>
      <c r="I7207" s="62" t="n">
        <v>1231.28</v>
      </c>
      <c r="J7207" s="58" t="inlineStr">
        <is>
          <t>Store</t>
        </is>
      </c>
      <c r="K7207" s="62">
        <f>F7207*(G7207-H7207)</f>
        <v/>
      </c>
      <c r="L7207" s="62">
        <f>K7207-(F7207*I7207)</f>
        <v/>
      </c>
      <c r="M7207" s="64">
        <f>L7207/K7207</f>
        <v/>
      </c>
    </row>
    <row r="7208">
      <c r="A7208" s="58" t="inlineStr">
        <is>
          <t>RT20250630-07207</t>
        </is>
      </c>
      <c r="B7208" s="59" t="inlineStr">
        <is>
          <t>2025-06-30</t>
        </is>
      </c>
      <c r="C7208" s="60" t="inlineStr">
        <is>
          <t>Vertex Men X-995</t>
        </is>
      </c>
      <c r="D7208" s="58" t="inlineStr">
        <is>
          <t>Apparel</t>
        </is>
      </c>
      <c r="E7208" s="58" t="inlineStr">
        <is>
          <t>East</t>
        </is>
      </c>
      <c r="F7208" s="61" t="n">
        <v>2</v>
      </c>
      <c r="G7208" s="62" t="n">
        <v>106.57</v>
      </c>
      <c r="H7208" s="63" t="n">
        <v>0.046</v>
      </c>
      <c r="I7208" s="62" t="n">
        <v>58.99</v>
      </c>
      <c r="J7208" s="58" t="inlineStr">
        <is>
          <t>Store</t>
        </is>
      </c>
      <c r="K7208" s="62">
        <f>F7208*(G7208-H7208)</f>
        <v/>
      </c>
      <c r="L7208" s="62">
        <f>K7208-(F7208*I7208)</f>
        <v/>
      </c>
      <c r="M7208" s="64">
        <f>L7208/K7208</f>
        <v/>
      </c>
    </row>
    <row r="7209">
      <c r="A7209" s="58" t="inlineStr">
        <is>
          <t>RT20250630-07208</t>
        </is>
      </c>
      <c r="B7209" s="59" t="inlineStr">
        <is>
          <t>2025-06-30</t>
        </is>
      </c>
      <c r="C7209" s="60" t="inlineStr">
        <is>
          <t>Orion Laptop S-350</t>
        </is>
      </c>
      <c r="D7209" s="58" t="inlineStr">
        <is>
          <t>Electronics</t>
        </is>
      </c>
      <c r="E7209" s="58" t="inlineStr">
        <is>
          <t>East</t>
        </is>
      </c>
      <c r="F7209" s="61" t="n">
        <v>1</v>
      </c>
      <c r="G7209" s="62" t="n">
        <v>1354.92</v>
      </c>
      <c r="H7209" s="63" t="n">
        <v>0.016</v>
      </c>
      <c r="I7209" s="62" t="n">
        <v>1105.38</v>
      </c>
      <c r="J7209" s="58" t="inlineStr">
        <is>
          <t>Online</t>
        </is>
      </c>
      <c r="K7209" s="62">
        <f>F7209*(G7209-H7209)</f>
        <v/>
      </c>
      <c r="L7209" s="62">
        <f>K7209-(F7209*I7209)</f>
        <v/>
      </c>
      <c r="M7209" s="64">
        <f>L7209/K7209</f>
        <v/>
      </c>
    </row>
    <row r="7210">
      <c r="A7210" s="58" t="inlineStr">
        <is>
          <t>RT20250630-07209</t>
        </is>
      </c>
      <c r="B7210" s="59" t="inlineStr">
        <is>
          <t>2025-06-30</t>
        </is>
      </c>
      <c r="C7210" s="60" t="inlineStr">
        <is>
          <t>Orion Snack X-322</t>
        </is>
      </c>
      <c r="D7210" s="58" t="inlineStr">
        <is>
          <t>Grocery</t>
        </is>
      </c>
      <c r="E7210" s="58" t="inlineStr">
        <is>
          <t>West</t>
        </is>
      </c>
      <c r="F7210" s="61" t="n">
        <v>1</v>
      </c>
      <c r="G7210" s="62" t="n">
        <v>13.35</v>
      </c>
      <c r="H7210" s="63" t="n">
        <v>0.019</v>
      </c>
      <c r="I7210" s="62" t="n">
        <v>10.13</v>
      </c>
      <c r="J7210" s="58" t="inlineStr">
        <is>
          <t>Online</t>
        </is>
      </c>
      <c r="K7210" s="62">
        <f>F7210*(G7210-H7210)</f>
        <v/>
      </c>
      <c r="L7210" s="62">
        <f>K7210-(F7210*I7210)</f>
        <v/>
      </c>
      <c r="M7210" s="64">
        <f>L7210/K7210</f>
        <v/>
      </c>
    </row>
    <row r="7211">
      <c r="A7211" s="58" t="inlineStr">
        <is>
          <t>RT20250630-07210</t>
        </is>
      </c>
      <c r="B7211" s="59" t="inlineStr">
        <is>
          <t>2025-06-30</t>
        </is>
      </c>
      <c r="C7211" s="60" t="inlineStr">
        <is>
          <t>Polar Outdoor X-193</t>
        </is>
      </c>
      <c r="D7211" s="58" t="inlineStr">
        <is>
          <t>Sports</t>
        </is>
      </c>
      <c r="E7211" s="58" t="inlineStr">
        <is>
          <t>North</t>
        </is>
      </c>
      <c r="F7211" s="61" t="n">
        <v>3</v>
      </c>
      <c r="G7211" s="62" t="n">
        <v>734.47</v>
      </c>
      <c r="H7211" s="63" t="n">
        <v>0.002</v>
      </c>
      <c r="I7211" s="62" t="n">
        <v>468.97</v>
      </c>
      <c r="J7211" s="58" t="inlineStr">
        <is>
          <t>Online</t>
        </is>
      </c>
      <c r="K7211" s="62">
        <f>F7211*(G7211-H7211)</f>
        <v/>
      </c>
      <c r="L7211" s="62">
        <f>K7211-(F7211*I7211)</f>
        <v/>
      </c>
      <c r="M7211" s="64">
        <f>L7211/K7211</f>
        <v/>
      </c>
    </row>
    <row r="7212">
      <c r="A7212" s="58" t="inlineStr">
        <is>
          <t>RT20250630-07211</t>
        </is>
      </c>
      <c r="B7212" s="59" t="inlineStr">
        <is>
          <t>2025-06-30</t>
        </is>
      </c>
      <c r="C7212" s="60" t="inlineStr">
        <is>
          <t>Orion Fragrance Lite-785</t>
        </is>
      </c>
      <c r="D7212" s="58" t="inlineStr">
        <is>
          <t>Beauty</t>
        </is>
      </c>
      <c r="E7212" s="58" t="inlineStr">
        <is>
          <t>East</t>
        </is>
      </c>
      <c r="F7212" s="61" t="n">
        <v>5</v>
      </c>
      <c r="G7212" s="62" t="n">
        <v>37.42</v>
      </c>
      <c r="H7212" s="63" t="n">
        <v>0.042</v>
      </c>
      <c r="I7212" s="62" t="n">
        <v>27.26</v>
      </c>
      <c r="J7212" s="58" t="inlineStr">
        <is>
          <t>Online</t>
        </is>
      </c>
      <c r="K7212" s="62">
        <f>F7212*(G7212-H7212)</f>
        <v/>
      </c>
      <c r="L7212" s="62">
        <f>K7212-(F7212*I7212)</f>
        <v/>
      </c>
      <c r="M7212" s="64">
        <f>L7212/K7212</f>
        <v/>
      </c>
    </row>
    <row r="7213">
      <c r="A7213" s="58" t="inlineStr">
        <is>
          <t>RT20250630-07212</t>
        </is>
      </c>
      <c r="B7213" s="59" t="inlineStr">
        <is>
          <t>2025-06-30</t>
        </is>
      </c>
      <c r="C7213" s="60" t="inlineStr">
        <is>
          <t>Solace Fitnes S-324</t>
        </is>
      </c>
      <c r="D7213" s="58" t="inlineStr">
        <is>
          <t>Sports</t>
        </is>
      </c>
      <c r="E7213" s="58" t="inlineStr">
        <is>
          <t>South</t>
        </is>
      </c>
      <c r="F7213" s="61" t="n">
        <v>1</v>
      </c>
      <c r="G7213" s="62" t="n">
        <v>760.0700000000001</v>
      </c>
      <c r="H7213" s="63" t="n">
        <v>0.011</v>
      </c>
      <c r="I7213" s="62" t="n">
        <v>530.33</v>
      </c>
      <c r="J7213" s="58" t="inlineStr">
        <is>
          <t>Online</t>
        </is>
      </c>
      <c r="K7213" s="62">
        <f>F7213*(G7213-H7213)</f>
        <v/>
      </c>
      <c r="L7213" s="62">
        <f>K7213-(F7213*I7213)</f>
        <v/>
      </c>
      <c r="M7213" s="64">
        <f>L7213/K7213</f>
        <v/>
      </c>
    </row>
    <row r="7214">
      <c r="A7214" s="58" t="inlineStr">
        <is>
          <t>RT20250630-07213</t>
        </is>
      </c>
      <c r="B7214" s="59" t="inlineStr">
        <is>
          <t>2025-06-30</t>
        </is>
      </c>
      <c r="C7214" s="60" t="inlineStr">
        <is>
          <t>Orion Storage Plus-961</t>
        </is>
      </c>
      <c r="D7214" s="58" t="inlineStr">
        <is>
          <t>Office</t>
        </is>
      </c>
      <c r="E7214" s="58" t="inlineStr">
        <is>
          <t>North</t>
        </is>
      </c>
      <c r="F7214" s="61" t="n">
        <v>1</v>
      </c>
      <c r="G7214" s="62" t="n">
        <v>454.93</v>
      </c>
      <c r="H7214" s="63" t="n">
        <v>0</v>
      </c>
      <c r="I7214" s="62" t="n">
        <v>373.2</v>
      </c>
      <c r="J7214" s="58" t="inlineStr">
        <is>
          <t>Online</t>
        </is>
      </c>
      <c r="K7214" s="62">
        <f>F7214*(G7214-H7214)</f>
        <v/>
      </c>
      <c r="L7214" s="62">
        <f>K7214-(F7214*I7214)</f>
        <v/>
      </c>
      <c r="M7214" s="64">
        <f>L7214/K7214</f>
        <v/>
      </c>
    </row>
    <row r="7215">
      <c r="A7215" s="58" t="inlineStr">
        <is>
          <t>RT20250630-07214</t>
        </is>
      </c>
      <c r="B7215" s="59" t="inlineStr">
        <is>
          <t>2025-06-30</t>
        </is>
      </c>
      <c r="C7215" s="60" t="inlineStr">
        <is>
          <t>Vertex Supplie Pro-786</t>
        </is>
      </c>
      <c r="D7215" s="58" t="inlineStr">
        <is>
          <t>Office</t>
        </is>
      </c>
      <c r="E7215" s="58" t="inlineStr">
        <is>
          <t>East</t>
        </is>
      </c>
      <c r="F7215" s="61" t="n">
        <v>3</v>
      </c>
      <c r="G7215" s="62" t="n">
        <v>406.45</v>
      </c>
      <c r="H7215" s="63" t="n">
        <v>0.065</v>
      </c>
      <c r="I7215" s="62" t="n">
        <v>300.84</v>
      </c>
      <c r="J7215" s="58" t="inlineStr">
        <is>
          <t>Store</t>
        </is>
      </c>
      <c r="K7215" s="62">
        <f>F7215*(G7215-H7215)</f>
        <v/>
      </c>
      <c r="L7215" s="62">
        <f>K7215-(F7215*I7215)</f>
        <v/>
      </c>
      <c r="M7215" s="64">
        <f>L7215/K7215</f>
        <v/>
      </c>
    </row>
    <row r="7216">
      <c r="A7216" s="58" t="inlineStr">
        <is>
          <t>RT20250630-07215</t>
        </is>
      </c>
      <c r="B7216" s="59" t="inlineStr">
        <is>
          <t>2025-06-30</t>
        </is>
      </c>
      <c r="C7216" s="60" t="inlineStr">
        <is>
          <t>Aurora Haircare S-975</t>
        </is>
      </c>
      <c r="D7216" s="58" t="inlineStr">
        <is>
          <t>Beauty</t>
        </is>
      </c>
      <c r="E7216" s="58" t="inlineStr">
        <is>
          <t>West</t>
        </is>
      </c>
      <c r="F7216" s="61" t="n">
        <v>5</v>
      </c>
      <c r="G7216" s="62" t="n">
        <v>100.42</v>
      </c>
      <c r="H7216" s="63" t="n">
        <v>0.056</v>
      </c>
      <c r="I7216" s="62" t="n">
        <v>59.57</v>
      </c>
      <c r="J7216" s="58" t="inlineStr">
        <is>
          <t>Store</t>
        </is>
      </c>
      <c r="K7216" s="62">
        <f>F7216*(G7216-H7216)</f>
        <v/>
      </c>
      <c r="L7216" s="62">
        <f>K7216-(F7216*I7216)</f>
        <v/>
      </c>
      <c r="M7216" s="64">
        <f>L7216/K7216</f>
        <v/>
      </c>
    </row>
    <row r="7217">
      <c r="A7217" s="58" t="inlineStr">
        <is>
          <t>RT20250630-07216</t>
        </is>
      </c>
      <c r="B7217" s="59" t="inlineStr">
        <is>
          <t>2025-06-30</t>
        </is>
      </c>
      <c r="C7217" s="60" t="inlineStr">
        <is>
          <t>Falcon Furniture Plus-839</t>
        </is>
      </c>
      <c r="D7217" s="58" t="inlineStr">
        <is>
          <t>Office</t>
        </is>
      </c>
      <c r="E7217" s="58" t="inlineStr">
        <is>
          <t>West</t>
        </is>
      </c>
      <c r="F7217" s="61" t="n">
        <v>1</v>
      </c>
      <c r="G7217" s="62" t="n">
        <v>333.56</v>
      </c>
      <c r="H7217" s="63" t="n">
        <v>0.049</v>
      </c>
      <c r="I7217" s="62" t="n">
        <v>224.59</v>
      </c>
      <c r="J7217" s="58" t="inlineStr">
        <is>
          <t>Store</t>
        </is>
      </c>
      <c r="K7217" s="62">
        <f>F7217*(G7217-H7217)</f>
        <v/>
      </c>
      <c r="L7217" s="62">
        <f>K7217-(F7217*I7217)</f>
        <v/>
      </c>
      <c r="M7217" s="64">
        <f>L7217/K7217</f>
        <v/>
      </c>
    </row>
    <row r="7218">
      <c r="A7218" s="58" t="inlineStr">
        <is>
          <t>RT20250630-07217</t>
        </is>
      </c>
      <c r="B7218" s="59" t="inlineStr">
        <is>
          <t>2025-06-30</t>
        </is>
      </c>
      <c r="C7218" s="60" t="inlineStr">
        <is>
          <t>Orion Kid Max-864</t>
        </is>
      </c>
      <c r="D7218" s="58" t="inlineStr">
        <is>
          <t>Apparel</t>
        </is>
      </c>
      <c r="E7218" s="58" t="inlineStr">
        <is>
          <t>South</t>
        </is>
      </c>
      <c r="F7218" s="61" t="n">
        <v>3</v>
      </c>
      <c r="G7218" s="62" t="n">
        <v>85.01000000000001</v>
      </c>
      <c r="H7218" s="63" t="n">
        <v>0.013</v>
      </c>
      <c r="I7218" s="62" t="n">
        <v>46.87</v>
      </c>
      <c r="J7218" s="58" t="inlineStr">
        <is>
          <t>Store</t>
        </is>
      </c>
      <c r="K7218" s="62">
        <f>F7218*(G7218-H7218)</f>
        <v/>
      </c>
      <c r="L7218" s="62">
        <f>K7218-(F7218*I7218)</f>
        <v/>
      </c>
      <c r="M7218" s="64">
        <f>L7218/K7218</f>
        <v/>
      </c>
    </row>
    <row r="7219">
      <c r="A7219" s="58" t="inlineStr">
        <is>
          <t>RT20250701-07218</t>
        </is>
      </c>
      <c r="B7219" s="59" t="inlineStr">
        <is>
          <t>2025-07-01</t>
        </is>
      </c>
      <c r="C7219" s="60" t="inlineStr">
        <is>
          <t>Aurora Appliance Max-316</t>
        </is>
      </c>
      <c r="D7219" s="58" t="inlineStr">
        <is>
          <t>Home</t>
        </is>
      </c>
      <c r="E7219" s="58" t="inlineStr">
        <is>
          <t>South</t>
        </is>
      </c>
      <c r="F7219" s="61" t="n">
        <v>1</v>
      </c>
      <c r="G7219" s="62" t="n">
        <v>333.74</v>
      </c>
      <c r="H7219" s="63" t="n">
        <v>0.06900000000000001</v>
      </c>
      <c r="I7219" s="62" t="n">
        <v>217.07</v>
      </c>
      <c r="J7219" s="58" t="inlineStr">
        <is>
          <t>Online</t>
        </is>
      </c>
      <c r="K7219" s="62">
        <f>F7219*(G7219-H7219)</f>
        <v/>
      </c>
      <c r="L7219" s="62">
        <f>K7219-(F7219*I7219)</f>
        <v/>
      </c>
      <c r="M7219" s="64">
        <f>L7219/K7219</f>
        <v/>
      </c>
    </row>
    <row r="7220">
      <c r="A7220" s="58" t="inlineStr">
        <is>
          <t>RT20250701-07219</t>
        </is>
      </c>
      <c r="B7220" s="59" t="inlineStr">
        <is>
          <t>2025-07-01</t>
        </is>
      </c>
      <c r="C7220" s="60" t="inlineStr">
        <is>
          <t>Vertex Men X-995</t>
        </is>
      </c>
      <c r="D7220" s="58" t="inlineStr">
        <is>
          <t>Apparel</t>
        </is>
      </c>
      <c r="E7220" s="58" t="inlineStr">
        <is>
          <t>South</t>
        </is>
      </c>
      <c r="F7220" s="61" t="n">
        <v>3</v>
      </c>
      <c r="G7220" s="62" t="n">
        <v>94.79000000000001</v>
      </c>
      <c r="H7220" s="63" t="n">
        <v>0.103</v>
      </c>
      <c r="I7220" s="62" t="n">
        <v>58.65</v>
      </c>
      <c r="J7220" s="58" t="inlineStr">
        <is>
          <t>Online</t>
        </is>
      </c>
      <c r="K7220" s="62">
        <f>F7220*(G7220-H7220)</f>
        <v/>
      </c>
      <c r="L7220" s="62">
        <f>K7220-(F7220*I7220)</f>
        <v/>
      </c>
      <c r="M7220" s="64">
        <f>L7220/K7220</f>
        <v/>
      </c>
    </row>
    <row r="7221">
      <c r="A7221" s="58" t="inlineStr">
        <is>
          <t>RT20250701-07220</t>
        </is>
      </c>
      <c r="B7221" s="59" t="inlineStr">
        <is>
          <t>2025-07-01</t>
        </is>
      </c>
      <c r="C7221" s="60" t="inlineStr">
        <is>
          <t>Falcon Accessorie S-195</t>
        </is>
      </c>
      <c r="D7221" s="58" t="inlineStr">
        <is>
          <t>Apparel</t>
        </is>
      </c>
      <c r="E7221" s="58" t="inlineStr">
        <is>
          <t>West</t>
        </is>
      </c>
      <c r="F7221" s="61" t="n">
        <v>2</v>
      </c>
      <c r="G7221" s="62" t="n">
        <v>71.55</v>
      </c>
      <c r="H7221" s="63" t="n">
        <v>0.08500000000000001</v>
      </c>
      <c r="I7221" s="62" t="n">
        <v>42.11</v>
      </c>
      <c r="J7221" s="58" t="inlineStr">
        <is>
          <t>Online</t>
        </is>
      </c>
      <c r="K7221" s="62">
        <f>F7221*(G7221-H7221)</f>
        <v/>
      </c>
      <c r="L7221" s="62">
        <f>K7221-(F7221*I7221)</f>
        <v/>
      </c>
      <c r="M7221" s="64">
        <f>L7221/K7221</f>
        <v/>
      </c>
    </row>
    <row r="7222">
      <c r="A7222" s="58" t="inlineStr">
        <is>
          <t>RT20250701-07221</t>
        </is>
      </c>
      <c r="B7222" s="59" t="inlineStr">
        <is>
          <t>2025-07-01</t>
        </is>
      </c>
      <c r="C7222" s="60" t="inlineStr">
        <is>
          <t>Aurora Team Sport Plus-256</t>
        </is>
      </c>
      <c r="D7222" s="58" t="inlineStr">
        <is>
          <t>Sports</t>
        </is>
      </c>
      <c r="E7222" s="58" t="inlineStr">
        <is>
          <t>North</t>
        </is>
      </c>
      <c r="F7222" s="61" t="n">
        <v>1</v>
      </c>
      <c r="G7222" s="62" t="n">
        <v>750.91</v>
      </c>
      <c r="H7222" s="63" t="n">
        <v>0.073</v>
      </c>
      <c r="I7222" s="62" t="n">
        <v>431.16</v>
      </c>
      <c r="J7222" s="58" t="inlineStr">
        <is>
          <t>Phone</t>
        </is>
      </c>
      <c r="K7222" s="62">
        <f>F7222*(G7222-H7222)</f>
        <v/>
      </c>
      <c r="L7222" s="62">
        <f>K7222-(F7222*I7222)</f>
        <v/>
      </c>
      <c r="M7222" s="64">
        <f>L7222/K7222</f>
        <v/>
      </c>
    </row>
    <row r="7223">
      <c r="A7223" s="58" t="inlineStr">
        <is>
          <t>RT20250701-07222</t>
        </is>
      </c>
      <c r="B7223" s="59" t="inlineStr">
        <is>
          <t>2025-07-01</t>
        </is>
      </c>
      <c r="C7223" s="60" t="inlineStr">
        <is>
          <t>Falcon Household Pro-865</t>
        </is>
      </c>
      <c r="D7223" s="58" t="inlineStr">
        <is>
          <t>Grocery</t>
        </is>
      </c>
      <c r="E7223" s="58" t="inlineStr">
        <is>
          <t>North</t>
        </is>
      </c>
      <c r="F7223" s="61" t="n">
        <v>8</v>
      </c>
      <c r="G7223" s="62" t="n">
        <v>11.16</v>
      </c>
      <c r="H7223" s="63" t="n">
        <v>0.14</v>
      </c>
      <c r="I7223" s="62" t="n">
        <v>7.9</v>
      </c>
      <c r="J7223" s="58" t="inlineStr">
        <is>
          <t>Online</t>
        </is>
      </c>
      <c r="K7223" s="62">
        <f>F7223*(G7223-H7223)</f>
        <v/>
      </c>
      <c r="L7223" s="62">
        <f>K7223-(F7223*I7223)</f>
        <v/>
      </c>
      <c r="M7223" s="64">
        <f>L7223/K7223</f>
        <v/>
      </c>
    </row>
    <row r="7224">
      <c r="A7224" s="58" t="inlineStr">
        <is>
          <t>RT20250701-07223</t>
        </is>
      </c>
      <c r="B7224" s="59" t="inlineStr">
        <is>
          <t>2025-07-01</t>
        </is>
      </c>
      <c r="C7224" s="60" t="inlineStr">
        <is>
          <t>Falcon Storage X-734</t>
        </is>
      </c>
      <c r="D7224" s="58" t="inlineStr">
        <is>
          <t>Office</t>
        </is>
      </c>
      <c r="E7224" s="58" t="inlineStr">
        <is>
          <t>East</t>
        </is>
      </c>
      <c r="F7224" s="61" t="n">
        <v>2</v>
      </c>
      <c r="G7224" s="62" t="n">
        <v>413.93</v>
      </c>
      <c r="H7224" s="63" t="n">
        <v>0.108</v>
      </c>
      <c r="I7224" s="62" t="n">
        <v>282.9</v>
      </c>
      <c r="J7224" s="58" t="inlineStr">
        <is>
          <t>Store</t>
        </is>
      </c>
      <c r="K7224" s="62">
        <f>F7224*(G7224-H7224)</f>
        <v/>
      </c>
      <c r="L7224" s="62">
        <f>K7224-(F7224*I7224)</f>
        <v/>
      </c>
      <c r="M7224" s="64">
        <f>L7224/K7224</f>
        <v/>
      </c>
    </row>
    <row r="7225">
      <c r="A7225" s="58" t="inlineStr">
        <is>
          <t>RT20250701-07224</t>
        </is>
      </c>
      <c r="B7225" s="59" t="inlineStr">
        <is>
          <t>2025-07-01</t>
        </is>
      </c>
      <c r="C7225" s="60" t="inlineStr">
        <is>
          <t>Orion Kid Max-864</t>
        </is>
      </c>
      <c r="D7225" s="58" t="inlineStr">
        <is>
          <t>Apparel</t>
        </is>
      </c>
      <c r="E7225" s="58" t="inlineStr">
        <is>
          <t>South</t>
        </is>
      </c>
      <c r="F7225" s="61" t="n">
        <v>1</v>
      </c>
      <c r="G7225" s="62" t="n">
        <v>81.88</v>
      </c>
      <c r="H7225" s="63" t="n">
        <v>0.022</v>
      </c>
      <c r="I7225" s="62" t="n">
        <v>46.61</v>
      </c>
      <c r="J7225" s="58" t="inlineStr">
        <is>
          <t>Store</t>
        </is>
      </c>
      <c r="K7225" s="62">
        <f>F7225*(G7225-H7225)</f>
        <v/>
      </c>
      <c r="L7225" s="62">
        <f>K7225-(F7225*I7225)</f>
        <v/>
      </c>
      <c r="M7225" s="64">
        <f>L7225/K7225</f>
        <v/>
      </c>
    </row>
    <row r="7226">
      <c r="A7226" s="58" t="inlineStr">
        <is>
          <t>RT20250701-07225</t>
        </is>
      </c>
      <c r="B7226" s="59" t="inlineStr">
        <is>
          <t>2025-07-01</t>
        </is>
      </c>
      <c r="C7226" s="60" t="inlineStr">
        <is>
          <t>Falcon Beverage Max-702</t>
        </is>
      </c>
      <c r="D7226" s="58" t="inlineStr">
        <is>
          <t>Grocery</t>
        </is>
      </c>
      <c r="E7226" s="58" t="inlineStr">
        <is>
          <t>Central</t>
        </is>
      </c>
      <c r="F7226" s="61" t="n">
        <v>3</v>
      </c>
      <c r="G7226" s="62" t="n">
        <v>24.74</v>
      </c>
      <c r="H7226" s="63" t="n">
        <v>0.067</v>
      </c>
      <c r="I7226" s="62" t="n">
        <v>20.54</v>
      </c>
      <c r="J7226" s="58" t="inlineStr">
        <is>
          <t>Online</t>
        </is>
      </c>
      <c r="K7226" s="62">
        <f>F7226*(G7226-H7226)</f>
        <v/>
      </c>
      <c r="L7226" s="62">
        <f>K7226-(F7226*I7226)</f>
        <v/>
      </c>
      <c r="M7226" s="64">
        <f>L7226/K7226</f>
        <v/>
      </c>
    </row>
    <row r="7227">
      <c r="A7227" s="58" t="inlineStr">
        <is>
          <t>RT20250701-07226</t>
        </is>
      </c>
      <c r="B7227" s="59" t="inlineStr">
        <is>
          <t>2025-07-01</t>
        </is>
      </c>
      <c r="C7227" s="60" t="inlineStr">
        <is>
          <t>Falcon Beverage Max-702</t>
        </is>
      </c>
      <c r="D7227" s="58" t="inlineStr">
        <is>
          <t>Grocery</t>
        </is>
      </c>
      <c r="E7227" s="58" t="inlineStr">
        <is>
          <t>East</t>
        </is>
      </c>
      <c r="F7227" s="61" t="n">
        <v>5</v>
      </c>
      <c r="G7227" s="62" t="n">
        <v>25.25</v>
      </c>
      <c r="H7227" s="63" t="n">
        <v>0.07099999999999999</v>
      </c>
      <c r="I7227" s="62" t="n">
        <v>20.32</v>
      </c>
      <c r="J7227" s="58" t="inlineStr">
        <is>
          <t>Store</t>
        </is>
      </c>
      <c r="K7227" s="62">
        <f>F7227*(G7227-H7227)</f>
        <v/>
      </c>
      <c r="L7227" s="62">
        <f>K7227-(F7227*I7227)</f>
        <v/>
      </c>
      <c r="M7227" s="64">
        <f>L7227/K7227</f>
        <v/>
      </c>
    </row>
    <row r="7228">
      <c r="A7228" s="58" t="inlineStr">
        <is>
          <t>RT20250701-07227</t>
        </is>
      </c>
      <c r="B7228" s="59" t="inlineStr">
        <is>
          <t>2025-07-01</t>
        </is>
      </c>
      <c r="C7228" s="60" t="inlineStr">
        <is>
          <t>Polar Cycling X-649</t>
        </is>
      </c>
      <c r="D7228" s="58" t="inlineStr">
        <is>
          <t>Sports</t>
        </is>
      </c>
      <c r="E7228" s="58" t="inlineStr">
        <is>
          <t>Central</t>
        </is>
      </c>
      <c r="F7228" s="61" t="n">
        <v>3</v>
      </c>
      <c r="G7228" s="62" t="n">
        <v>515.1</v>
      </c>
      <c r="H7228" s="63" t="n">
        <v>0.017</v>
      </c>
      <c r="I7228" s="62" t="n">
        <v>352.73</v>
      </c>
      <c r="J7228" s="58" t="inlineStr">
        <is>
          <t>Online</t>
        </is>
      </c>
      <c r="K7228" s="62">
        <f>F7228*(G7228-H7228)</f>
        <v/>
      </c>
      <c r="L7228" s="62">
        <f>K7228-(F7228*I7228)</f>
        <v/>
      </c>
      <c r="M7228" s="64">
        <f>L7228/K7228</f>
        <v/>
      </c>
    </row>
    <row r="7229">
      <c r="A7229" s="58" t="inlineStr">
        <is>
          <t>RT20250701-07228</t>
        </is>
      </c>
      <c r="B7229" s="59" t="inlineStr">
        <is>
          <t>2025-07-01</t>
        </is>
      </c>
      <c r="C7229" s="60" t="inlineStr">
        <is>
          <t>Nimbus Decor Lite-385</t>
        </is>
      </c>
      <c r="D7229" s="58" t="inlineStr">
        <is>
          <t>Home</t>
        </is>
      </c>
      <c r="E7229" s="58" t="inlineStr">
        <is>
          <t>East</t>
        </is>
      </c>
      <c r="F7229" s="61" t="n">
        <v>2</v>
      </c>
      <c r="G7229" s="62" t="n">
        <v>641.6</v>
      </c>
      <c r="H7229" s="63" t="n">
        <v>0.09</v>
      </c>
      <c r="I7229" s="62" t="n">
        <v>388.02</v>
      </c>
      <c r="J7229" s="58" t="inlineStr">
        <is>
          <t>Online</t>
        </is>
      </c>
      <c r="K7229" s="62">
        <f>F7229*(G7229-H7229)</f>
        <v/>
      </c>
      <c r="L7229" s="62">
        <f>K7229-(F7229*I7229)</f>
        <v/>
      </c>
      <c r="M7229" s="64">
        <f>L7229/K7229</f>
        <v/>
      </c>
    </row>
    <row r="7230">
      <c r="A7230" s="58" t="inlineStr">
        <is>
          <t>RT20250701-07229</t>
        </is>
      </c>
      <c r="B7230" s="59" t="inlineStr">
        <is>
          <t>2025-07-01</t>
        </is>
      </c>
      <c r="C7230" s="60" t="inlineStr">
        <is>
          <t>Metro Laptop Plus-376</t>
        </is>
      </c>
      <c r="D7230" s="58" t="inlineStr">
        <is>
          <t>Electronics</t>
        </is>
      </c>
      <c r="E7230" s="58" t="inlineStr">
        <is>
          <t>Central</t>
        </is>
      </c>
      <c r="F7230" s="61" t="n">
        <v>1</v>
      </c>
      <c r="G7230" s="62" t="n">
        <v>1084.16</v>
      </c>
      <c r="H7230" s="63" t="n">
        <v>0.017</v>
      </c>
      <c r="I7230" s="62" t="n">
        <v>1034.69</v>
      </c>
      <c r="J7230" s="58" t="inlineStr">
        <is>
          <t>Online</t>
        </is>
      </c>
      <c r="K7230" s="62">
        <f>F7230*(G7230-H7230)</f>
        <v/>
      </c>
      <c r="L7230" s="62">
        <f>K7230-(F7230*I7230)</f>
        <v/>
      </c>
      <c r="M7230" s="64">
        <f>L7230/K7230</f>
        <v/>
      </c>
    </row>
    <row r="7231">
      <c r="A7231" s="58" t="inlineStr">
        <is>
          <t>RT20250701-07230</t>
        </is>
      </c>
      <c r="B7231" s="59" t="inlineStr">
        <is>
          <t>2025-07-01</t>
        </is>
      </c>
      <c r="C7231" s="60" t="inlineStr">
        <is>
          <t>Nimbus Cycling Plus-911</t>
        </is>
      </c>
      <c r="D7231" s="58" t="inlineStr">
        <is>
          <t>Sports</t>
        </is>
      </c>
      <c r="E7231" s="58" t="inlineStr">
        <is>
          <t>South</t>
        </is>
      </c>
      <c r="F7231" s="61" t="n">
        <v>1</v>
      </c>
      <c r="G7231" s="62" t="n">
        <v>593.46</v>
      </c>
      <c r="H7231" s="63" t="n">
        <v>0.093</v>
      </c>
      <c r="I7231" s="62" t="n">
        <v>385.66</v>
      </c>
      <c r="J7231" s="58" t="inlineStr">
        <is>
          <t>Online</t>
        </is>
      </c>
      <c r="K7231" s="62">
        <f>F7231*(G7231-H7231)</f>
        <v/>
      </c>
      <c r="L7231" s="62">
        <f>K7231-(F7231*I7231)</f>
        <v/>
      </c>
      <c r="M7231" s="64">
        <f>L7231/K7231</f>
        <v/>
      </c>
    </row>
    <row r="7232">
      <c r="A7232" s="58" t="inlineStr">
        <is>
          <t>RT20250701-07231</t>
        </is>
      </c>
      <c r="B7232" s="59" t="inlineStr">
        <is>
          <t>2025-07-01</t>
        </is>
      </c>
      <c r="C7232" s="60" t="inlineStr">
        <is>
          <t>Aurora Printer Plus-991</t>
        </is>
      </c>
      <c r="D7232" s="58" t="inlineStr">
        <is>
          <t>Office</t>
        </is>
      </c>
      <c r="E7232" s="58" t="inlineStr">
        <is>
          <t>South</t>
        </is>
      </c>
      <c r="F7232" s="61" t="n">
        <v>3</v>
      </c>
      <c r="G7232" s="62" t="n">
        <v>491.08</v>
      </c>
      <c r="H7232" s="63" t="n">
        <v>0.114</v>
      </c>
      <c r="I7232" s="62" t="n">
        <v>372.49</v>
      </c>
      <c r="J7232" s="58" t="inlineStr">
        <is>
          <t>Store</t>
        </is>
      </c>
      <c r="K7232" s="62">
        <f>F7232*(G7232-H7232)</f>
        <v/>
      </c>
      <c r="L7232" s="62">
        <f>K7232-(F7232*I7232)</f>
        <v/>
      </c>
      <c r="M7232" s="64">
        <f>L7232/K7232</f>
        <v/>
      </c>
    </row>
    <row r="7233">
      <c r="A7233" s="58" t="inlineStr">
        <is>
          <t>RT20250701-07232</t>
        </is>
      </c>
      <c r="B7233" s="59" t="inlineStr">
        <is>
          <t>2025-07-01</t>
        </is>
      </c>
      <c r="C7233" s="60" t="inlineStr">
        <is>
          <t>Aurora Skincare Max-798</t>
        </is>
      </c>
      <c r="D7233" s="58" t="inlineStr">
        <is>
          <t>Beauty</t>
        </is>
      </c>
      <c r="E7233" s="58" t="inlineStr">
        <is>
          <t>East</t>
        </is>
      </c>
      <c r="F7233" s="61" t="n">
        <v>1</v>
      </c>
      <c r="G7233" s="62" t="n">
        <v>124.28</v>
      </c>
      <c r="H7233" s="63" t="n">
        <v>0.08500000000000001</v>
      </c>
      <c r="I7233" s="62" t="n">
        <v>70.28</v>
      </c>
      <c r="J7233" s="58" t="inlineStr">
        <is>
          <t>Online</t>
        </is>
      </c>
      <c r="K7233" s="62">
        <f>F7233*(G7233-H7233)</f>
        <v/>
      </c>
      <c r="L7233" s="62">
        <f>K7233-(F7233*I7233)</f>
        <v/>
      </c>
      <c r="M7233" s="64">
        <f>L7233/K7233</f>
        <v/>
      </c>
    </row>
    <row r="7234">
      <c r="A7234" s="58" t="inlineStr">
        <is>
          <t>RT20250701-07233</t>
        </is>
      </c>
      <c r="B7234" s="59" t="inlineStr">
        <is>
          <t>2025-07-01</t>
        </is>
      </c>
      <c r="C7234" s="60" t="inlineStr">
        <is>
          <t>Falcon Skincare Max-151</t>
        </is>
      </c>
      <c r="D7234" s="58" t="inlineStr">
        <is>
          <t>Beauty</t>
        </is>
      </c>
      <c r="E7234" s="58" t="inlineStr">
        <is>
          <t>Central</t>
        </is>
      </c>
      <c r="F7234" s="61" t="n">
        <v>4</v>
      </c>
      <c r="G7234" s="62" t="n">
        <v>98.63</v>
      </c>
      <c r="H7234" s="63" t="n">
        <v>0.08599999999999999</v>
      </c>
      <c r="I7234" s="62" t="n">
        <v>60.89</v>
      </c>
      <c r="J7234" s="58" t="inlineStr">
        <is>
          <t>Store</t>
        </is>
      </c>
      <c r="K7234" s="62">
        <f>F7234*(G7234-H7234)</f>
        <v/>
      </c>
      <c r="L7234" s="62">
        <f>K7234-(F7234*I7234)</f>
        <v/>
      </c>
      <c r="M7234" s="64">
        <f>L7234/K7234</f>
        <v/>
      </c>
    </row>
    <row r="7235">
      <c r="A7235" s="58" t="inlineStr">
        <is>
          <t>RT20250701-07234</t>
        </is>
      </c>
      <c r="B7235" s="59" t="inlineStr">
        <is>
          <t>2025-07-01</t>
        </is>
      </c>
      <c r="C7235" s="60" t="inlineStr">
        <is>
          <t>Metro Decor Lite-325</t>
        </is>
      </c>
      <c r="D7235" s="58" t="inlineStr">
        <is>
          <t>Home</t>
        </is>
      </c>
      <c r="E7235" s="58" t="inlineStr">
        <is>
          <t>North</t>
        </is>
      </c>
      <c r="F7235" s="61" t="n">
        <v>2</v>
      </c>
      <c r="G7235" s="62" t="n">
        <v>584.01</v>
      </c>
      <c r="H7235" s="63" t="n">
        <v>0.035</v>
      </c>
      <c r="I7235" s="62" t="n">
        <v>384.51</v>
      </c>
      <c r="J7235" s="58" t="inlineStr">
        <is>
          <t>Online</t>
        </is>
      </c>
      <c r="K7235" s="62">
        <f>F7235*(G7235-H7235)</f>
        <v/>
      </c>
      <c r="L7235" s="62">
        <f>K7235-(F7235*I7235)</f>
        <v/>
      </c>
      <c r="M7235" s="64">
        <f>L7235/K7235</f>
        <v/>
      </c>
    </row>
    <row r="7236">
      <c r="A7236" s="58" t="inlineStr">
        <is>
          <t>RT20250701-07235</t>
        </is>
      </c>
      <c r="B7236" s="59" t="inlineStr">
        <is>
          <t>2025-07-01</t>
        </is>
      </c>
      <c r="C7236" s="60" t="inlineStr">
        <is>
          <t>Vertex Skincare Pro-891</t>
        </is>
      </c>
      <c r="D7236" s="58" t="inlineStr">
        <is>
          <t>Beauty</t>
        </is>
      </c>
      <c r="E7236" s="58" t="inlineStr">
        <is>
          <t>East</t>
        </is>
      </c>
      <c r="F7236" s="61" t="n">
        <v>2</v>
      </c>
      <c r="G7236" s="62" t="n">
        <v>145.76</v>
      </c>
      <c r="H7236" s="63" t="n">
        <v>0.099</v>
      </c>
      <c r="I7236" s="62" t="n">
        <v>89.39</v>
      </c>
      <c r="J7236" s="58" t="inlineStr">
        <is>
          <t>Store</t>
        </is>
      </c>
      <c r="K7236" s="62">
        <f>F7236*(G7236-H7236)</f>
        <v/>
      </c>
      <c r="L7236" s="62">
        <f>K7236-(F7236*I7236)</f>
        <v/>
      </c>
      <c r="M7236" s="64">
        <f>L7236/K7236</f>
        <v/>
      </c>
    </row>
    <row r="7237">
      <c r="A7237" s="58" t="inlineStr">
        <is>
          <t>RT20250701-07236</t>
        </is>
      </c>
      <c r="B7237" s="59" t="inlineStr">
        <is>
          <t>2025-07-01</t>
        </is>
      </c>
      <c r="C7237" s="60" t="inlineStr">
        <is>
          <t>Aurora Fragrance S-971</t>
        </is>
      </c>
      <c r="D7237" s="58" t="inlineStr">
        <is>
          <t>Beauty</t>
        </is>
      </c>
      <c r="E7237" s="58" t="inlineStr">
        <is>
          <t>West</t>
        </is>
      </c>
      <c r="F7237" s="61" t="n">
        <v>1</v>
      </c>
      <c r="G7237" s="62" t="n">
        <v>110.23</v>
      </c>
      <c r="H7237" s="63" t="n">
        <v>0.073</v>
      </c>
      <c r="I7237" s="62" t="n">
        <v>65.76000000000001</v>
      </c>
      <c r="J7237" s="58" t="inlineStr">
        <is>
          <t>Store</t>
        </is>
      </c>
      <c r="K7237" s="62">
        <f>F7237*(G7237-H7237)</f>
        <v/>
      </c>
      <c r="L7237" s="62">
        <f>K7237-(F7237*I7237)</f>
        <v/>
      </c>
      <c r="M7237" s="64">
        <f>L7237/K7237</f>
        <v/>
      </c>
    </row>
    <row r="7238">
      <c r="A7238" s="58" t="inlineStr">
        <is>
          <t>RT20250701-07237</t>
        </is>
      </c>
      <c r="B7238" s="59" t="inlineStr">
        <is>
          <t>2025-07-01</t>
        </is>
      </c>
      <c r="C7238" s="60" t="inlineStr">
        <is>
          <t>Vertex Headphone Pro-801</t>
        </is>
      </c>
      <c r="D7238" s="58" t="inlineStr">
        <is>
          <t>Electronics</t>
        </is>
      </c>
      <c r="E7238" s="58" t="inlineStr">
        <is>
          <t>Central</t>
        </is>
      </c>
      <c r="F7238" s="61" t="n">
        <v>2</v>
      </c>
      <c r="G7238" s="62" t="n">
        <v>1143.7</v>
      </c>
      <c r="H7238" s="63" t="n">
        <v>0.007</v>
      </c>
      <c r="I7238" s="62" t="n">
        <v>969.99</v>
      </c>
      <c r="J7238" s="58" t="inlineStr">
        <is>
          <t>Phone</t>
        </is>
      </c>
      <c r="K7238" s="62">
        <f>F7238*(G7238-H7238)</f>
        <v/>
      </c>
      <c r="L7238" s="62">
        <f>K7238-(F7238*I7238)</f>
        <v/>
      </c>
      <c r="M7238" s="64">
        <f>L7238/K7238</f>
        <v/>
      </c>
    </row>
    <row r="7239">
      <c r="A7239" s="58" t="inlineStr">
        <is>
          <t>RT20250701-07238</t>
        </is>
      </c>
      <c r="B7239" s="59" t="inlineStr">
        <is>
          <t>2025-07-01</t>
        </is>
      </c>
      <c r="C7239" s="60" t="inlineStr">
        <is>
          <t>Aurora Makeup S-626</t>
        </is>
      </c>
      <c r="D7239" s="58" t="inlineStr">
        <is>
          <t>Beauty</t>
        </is>
      </c>
      <c r="E7239" s="58" t="inlineStr">
        <is>
          <t>West</t>
        </is>
      </c>
      <c r="F7239" s="61" t="n">
        <v>1</v>
      </c>
      <c r="G7239" s="62" t="n">
        <v>100.61</v>
      </c>
      <c r="H7239" s="63" t="n">
        <v>0.038</v>
      </c>
      <c r="I7239" s="62" t="n">
        <v>65.84999999999999</v>
      </c>
      <c r="J7239" s="58" t="inlineStr">
        <is>
          <t>Store</t>
        </is>
      </c>
      <c r="K7239" s="62">
        <f>F7239*(G7239-H7239)</f>
        <v/>
      </c>
      <c r="L7239" s="62">
        <f>K7239-(F7239*I7239)</f>
        <v/>
      </c>
      <c r="M7239" s="64">
        <f>L7239/K7239</f>
        <v/>
      </c>
    </row>
    <row r="7240">
      <c r="A7240" s="58" t="inlineStr">
        <is>
          <t>RT20250701-07239</t>
        </is>
      </c>
      <c r="B7240" s="59" t="inlineStr">
        <is>
          <t>2025-07-01</t>
        </is>
      </c>
      <c r="C7240" s="60" t="inlineStr">
        <is>
          <t>Polar Snack Pro-641</t>
        </is>
      </c>
      <c r="D7240" s="58" t="inlineStr">
        <is>
          <t>Grocery</t>
        </is>
      </c>
      <c r="E7240" s="58" t="inlineStr">
        <is>
          <t>North</t>
        </is>
      </c>
      <c r="F7240" s="61" t="n">
        <v>8</v>
      </c>
      <c r="G7240" s="62" t="n">
        <v>12.83</v>
      </c>
      <c r="H7240" s="63" t="n">
        <v>0.04</v>
      </c>
      <c r="I7240" s="62" t="n">
        <v>9.42</v>
      </c>
      <c r="J7240" s="58" t="inlineStr">
        <is>
          <t>Store</t>
        </is>
      </c>
      <c r="K7240" s="62">
        <f>F7240*(G7240-H7240)</f>
        <v/>
      </c>
      <c r="L7240" s="62">
        <f>K7240-(F7240*I7240)</f>
        <v/>
      </c>
      <c r="M7240" s="64">
        <f>L7240/K7240</f>
        <v/>
      </c>
    </row>
    <row r="7241">
      <c r="A7241" s="58" t="inlineStr">
        <is>
          <t>RT20250701-07240</t>
        </is>
      </c>
      <c r="B7241" s="59" t="inlineStr">
        <is>
          <t>2025-07-01</t>
        </is>
      </c>
      <c r="C7241" s="60" t="inlineStr">
        <is>
          <t>Solace Kitchen Pro-510</t>
        </is>
      </c>
      <c r="D7241" s="58" t="inlineStr">
        <is>
          <t>Home</t>
        </is>
      </c>
      <c r="E7241" s="58" t="inlineStr">
        <is>
          <t>Central</t>
        </is>
      </c>
      <c r="F7241" s="61" t="n">
        <v>1</v>
      </c>
      <c r="G7241" s="62" t="n">
        <v>452.05</v>
      </c>
      <c r="H7241" s="63" t="n">
        <v>0.079</v>
      </c>
      <c r="I7241" s="62" t="n">
        <v>311.58</v>
      </c>
      <c r="J7241" s="58" t="inlineStr">
        <is>
          <t>Store</t>
        </is>
      </c>
      <c r="K7241" s="62">
        <f>F7241*(G7241-H7241)</f>
        <v/>
      </c>
      <c r="L7241" s="62">
        <f>K7241-(F7241*I7241)</f>
        <v/>
      </c>
      <c r="M7241" s="64">
        <f>L7241/K7241</f>
        <v/>
      </c>
    </row>
    <row r="7242">
      <c r="A7242" s="58" t="inlineStr">
        <is>
          <t>RT20250701-07241</t>
        </is>
      </c>
      <c r="B7242" s="59" t="inlineStr">
        <is>
          <t>2025-07-01</t>
        </is>
      </c>
      <c r="C7242" s="60" t="inlineStr">
        <is>
          <t>Polar Outdoor X-193</t>
        </is>
      </c>
      <c r="D7242" s="58" t="inlineStr">
        <is>
          <t>Sports</t>
        </is>
      </c>
      <c r="E7242" s="58" t="inlineStr">
        <is>
          <t>Central</t>
        </is>
      </c>
      <c r="F7242" s="61" t="n">
        <v>2</v>
      </c>
      <c r="G7242" s="62" t="n">
        <v>751.83</v>
      </c>
      <c r="H7242" s="63" t="n">
        <v>0.102</v>
      </c>
      <c r="I7242" s="62" t="n">
        <v>459.37</v>
      </c>
      <c r="J7242" s="58" t="inlineStr">
        <is>
          <t>Store</t>
        </is>
      </c>
      <c r="K7242" s="62">
        <f>F7242*(G7242-H7242)</f>
        <v/>
      </c>
      <c r="L7242" s="62">
        <f>K7242-(F7242*I7242)</f>
        <v/>
      </c>
      <c r="M7242" s="64">
        <f>L7242/K7242</f>
        <v/>
      </c>
    </row>
    <row r="7243">
      <c r="A7243" s="58" t="inlineStr">
        <is>
          <t>RT20250701-07242</t>
        </is>
      </c>
      <c r="B7243" s="59" t="inlineStr">
        <is>
          <t>2025-07-01</t>
        </is>
      </c>
      <c r="C7243" s="60" t="inlineStr">
        <is>
          <t>Polar Decor Plus-505</t>
        </is>
      </c>
      <c r="D7243" s="58" t="inlineStr">
        <is>
          <t>Home</t>
        </is>
      </c>
      <c r="E7243" s="58" t="inlineStr">
        <is>
          <t>North</t>
        </is>
      </c>
      <c r="F7243" s="61" t="n">
        <v>3</v>
      </c>
      <c r="G7243" s="62" t="n">
        <v>308.76</v>
      </c>
      <c r="H7243" s="63" t="n">
        <v>0.083</v>
      </c>
      <c r="I7243" s="62" t="n">
        <v>197.29</v>
      </c>
      <c r="J7243" s="58" t="inlineStr">
        <is>
          <t>Store</t>
        </is>
      </c>
      <c r="K7243" s="62">
        <f>F7243*(G7243-H7243)</f>
        <v/>
      </c>
      <c r="L7243" s="62">
        <f>K7243-(F7243*I7243)</f>
        <v/>
      </c>
      <c r="M7243" s="64">
        <f>L7243/K7243</f>
        <v/>
      </c>
    </row>
    <row r="7244">
      <c r="A7244" s="58" t="inlineStr">
        <is>
          <t>RT20250701-07243</t>
        </is>
      </c>
      <c r="B7244" s="59" t="inlineStr">
        <is>
          <t>2025-07-01</t>
        </is>
      </c>
      <c r="C7244" s="60" t="inlineStr">
        <is>
          <t>Nimbus Storage Plus-646</t>
        </is>
      </c>
      <c r="D7244" s="58" t="inlineStr">
        <is>
          <t>Office</t>
        </is>
      </c>
      <c r="E7244" s="58" t="inlineStr">
        <is>
          <t>North</t>
        </is>
      </c>
      <c r="F7244" s="61" t="n">
        <v>3</v>
      </c>
      <c r="G7244" s="62" t="n">
        <v>425.98</v>
      </c>
      <c r="H7244" s="63" t="n">
        <v>0.027</v>
      </c>
      <c r="I7244" s="62" t="n">
        <v>318.97</v>
      </c>
      <c r="J7244" s="58" t="inlineStr">
        <is>
          <t>Store</t>
        </is>
      </c>
      <c r="K7244" s="62">
        <f>F7244*(G7244-H7244)</f>
        <v/>
      </c>
      <c r="L7244" s="62">
        <f>K7244-(F7244*I7244)</f>
        <v/>
      </c>
      <c r="M7244" s="64">
        <f>L7244/K7244</f>
        <v/>
      </c>
    </row>
    <row r="7245">
      <c r="A7245" s="58" t="inlineStr">
        <is>
          <t>RT20250701-07244</t>
        </is>
      </c>
      <c r="B7245" s="59" t="inlineStr">
        <is>
          <t>2025-07-01</t>
        </is>
      </c>
      <c r="C7245" s="60" t="inlineStr">
        <is>
          <t>Aurora Bedding Max-175</t>
        </is>
      </c>
      <c r="D7245" s="58" t="inlineStr">
        <is>
          <t>Home</t>
        </is>
      </c>
      <c r="E7245" s="58" t="inlineStr">
        <is>
          <t>East</t>
        </is>
      </c>
      <c r="F7245" s="61" t="n">
        <v>3</v>
      </c>
      <c r="G7245" s="62" t="n">
        <v>573.3200000000001</v>
      </c>
      <c r="H7245" s="63" t="n">
        <v>0.07199999999999999</v>
      </c>
      <c r="I7245" s="62" t="n">
        <v>421.45</v>
      </c>
      <c r="J7245" s="58" t="inlineStr">
        <is>
          <t>Online</t>
        </is>
      </c>
      <c r="K7245" s="62">
        <f>F7245*(G7245-H7245)</f>
        <v/>
      </c>
      <c r="L7245" s="62">
        <f>K7245-(F7245*I7245)</f>
        <v/>
      </c>
      <c r="M7245" s="64">
        <f>L7245/K7245</f>
        <v/>
      </c>
    </row>
    <row r="7246">
      <c r="A7246" s="58" t="inlineStr">
        <is>
          <t>RT20250701-07245</t>
        </is>
      </c>
      <c r="B7246" s="59" t="inlineStr">
        <is>
          <t>2025-07-01</t>
        </is>
      </c>
      <c r="C7246" s="60" t="inlineStr">
        <is>
          <t>Polar Laptop Plus-984</t>
        </is>
      </c>
      <c r="D7246" s="58" t="inlineStr">
        <is>
          <t>Electronics</t>
        </is>
      </c>
      <c r="E7246" s="58" t="inlineStr">
        <is>
          <t>East</t>
        </is>
      </c>
      <c r="F7246" s="61" t="n">
        <v>1</v>
      </c>
      <c r="G7246" s="62" t="n">
        <v>1200.8</v>
      </c>
      <c r="H7246" s="63" t="n">
        <v>0.067</v>
      </c>
      <c r="I7246" s="62" t="n">
        <v>979.21</v>
      </c>
      <c r="J7246" s="58" t="inlineStr">
        <is>
          <t>Store</t>
        </is>
      </c>
      <c r="K7246" s="62">
        <f>F7246*(G7246-H7246)</f>
        <v/>
      </c>
      <c r="L7246" s="62">
        <f>K7246-(F7246*I7246)</f>
        <v/>
      </c>
      <c r="M7246" s="64">
        <f>L7246/K7246</f>
        <v/>
      </c>
    </row>
    <row r="7247">
      <c r="A7247" s="58" t="inlineStr">
        <is>
          <t>RT20250701-07246</t>
        </is>
      </c>
      <c r="B7247" s="59" t="inlineStr">
        <is>
          <t>2025-07-01</t>
        </is>
      </c>
      <c r="C7247" s="60" t="inlineStr">
        <is>
          <t>Aurora Makeup S-626</t>
        </is>
      </c>
      <c r="D7247" s="58" t="inlineStr">
        <is>
          <t>Beauty</t>
        </is>
      </c>
      <c r="E7247" s="58" t="inlineStr">
        <is>
          <t>Central</t>
        </is>
      </c>
      <c r="F7247" s="61" t="n">
        <v>1</v>
      </c>
      <c r="G7247" s="62" t="n">
        <v>93.77</v>
      </c>
      <c r="H7247" s="63" t="n">
        <v>0.036</v>
      </c>
      <c r="I7247" s="62" t="n">
        <v>63.61</v>
      </c>
      <c r="J7247" s="58" t="inlineStr">
        <is>
          <t>Store</t>
        </is>
      </c>
      <c r="K7247" s="62">
        <f>F7247*(G7247-H7247)</f>
        <v/>
      </c>
      <c r="L7247" s="62">
        <f>K7247-(F7247*I7247)</f>
        <v/>
      </c>
      <c r="M7247" s="64">
        <f>L7247/K7247</f>
        <v/>
      </c>
    </row>
    <row r="7248">
      <c r="A7248" s="58" t="inlineStr">
        <is>
          <t>RT20250701-07247</t>
        </is>
      </c>
      <c r="B7248" s="59" t="inlineStr">
        <is>
          <t>2025-07-01</t>
        </is>
      </c>
      <c r="C7248" s="60" t="inlineStr">
        <is>
          <t>Nimbus Decor Lite-385</t>
        </is>
      </c>
      <c r="D7248" s="58" t="inlineStr">
        <is>
          <t>Home</t>
        </is>
      </c>
      <c r="E7248" s="58" t="inlineStr">
        <is>
          <t>Central</t>
        </is>
      </c>
      <c r="F7248" s="61" t="n">
        <v>2</v>
      </c>
      <c r="G7248" s="62" t="n">
        <v>590</v>
      </c>
      <c r="H7248" s="63" t="n">
        <v>0.052</v>
      </c>
      <c r="I7248" s="62" t="n">
        <v>401.86</v>
      </c>
      <c r="J7248" s="58" t="inlineStr">
        <is>
          <t>Online</t>
        </is>
      </c>
      <c r="K7248" s="62">
        <f>F7248*(G7248-H7248)</f>
        <v/>
      </c>
      <c r="L7248" s="62">
        <f>K7248-(F7248*I7248)</f>
        <v/>
      </c>
      <c r="M7248" s="64">
        <f>L7248/K7248</f>
        <v/>
      </c>
    </row>
    <row r="7249">
      <c r="A7249" s="58" t="inlineStr">
        <is>
          <t>RT20250701-07248</t>
        </is>
      </c>
      <c r="B7249" s="59" t="inlineStr">
        <is>
          <t>2025-07-01</t>
        </is>
      </c>
      <c r="C7249" s="60" t="inlineStr">
        <is>
          <t>Vertex Headphone Pro-801</t>
        </is>
      </c>
      <c r="D7249" s="58" t="inlineStr">
        <is>
          <t>Electronics</t>
        </is>
      </c>
      <c r="E7249" s="58" t="inlineStr">
        <is>
          <t>Central</t>
        </is>
      </c>
      <c r="F7249" s="61" t="n">
        <v>1</v>
      </c>
      <c r="G7249" s="62" t="n">
        <v>1152.98</v>
      </c>
      <c r="H7249" s="63" t="n">
        <v>0.002</v>
      </c>
      <c r="I7249" s="62" t="n">
        <v>987.97</v>
      </c>
      <c r="J7249" s="58" t="inlineStr">
        <is>
          <t>Online</t>
        </is>
      </c>
      <c r="K7249" s="62">
        <f>F7249*(G7249-H7249)</f>
        <v/>
      </c>
      <c r="L7249" s="62">
        <f>K7249-(F7249*I7249)</f>
        <v/>
      </c>
      <c r="M7249" s="64">
        <f>L7249/K7249</f>
        <v/>
      </c>
    </row>
    <row r="7250">
      <c r="A7250" s="58" t="inlineStr">
        <is>
          <t>RT20250701-07249</t>
        </is>
      </c>
      <c r="B7250" s="59" t="inlineStr">
        <is>
          <t>2025-07-01</t>
        </is>
      </c>
      <c r="C7250" s="60" t="inlineStr">
        <is>
          <t>Vertex Skincare Pro-891</t>
        </is>
      </c>
      <c r="D7250" s="58" t="inlineStr">
        <is>
          <t>Beauty</t>
        </is>
      </c>
      <c r="E7250" s="58" t="inlineStr">
        <is>
          <t>North</t>
        </is>
      </c>
      <c r="F7250" s="61" t="n">
        <v>1</v>
      </c>
      <c r="G7250" s="62" t="n">
        <v>147.7</v>
      </c>
      <c r="H7250" s="63" t="n">
        <v>0.09</v>
      </c>
      <c r="I7250" s="62" t="n">
        <v>88.27</v>
      </c>
      <c r="J7250" s="58" t="inlineStr">
        <is>
          <t>Store</t>
        </is>
      </c>
      <c r="K7250" s="62">
        <f>F7250*(G7250-H7250)</f>
        <v/>
      </c>
      <c r="L7250" s="62">
        <f>K7250-(F7250*I7250)</f>
        <v/>
      </c>
      <c r="M7250" s="64">
        <f>L7250/K7250</f>
        <v/>
      </c>
    </row>
    <row r="7251">
      <c r="A7251" s="58" t="inlineStr">
        <is>
          <t>RT20250701-07250</t>
        </is>
      </c>
      <c r="B7251" s="59" t="inlineStr">
        <is>
          <t>2025-07-01</t>
        </is>
      </c>
      <c r="C7251" s="60" t="inlineStr">
        <is>
          <t>Metro Printer X-294</t>
        </is>
      </c>
      <c r="D7251" s="58" t="inlineStr">
        <is>
          <t>Office</t>
        </is>
      </c>
      <c r="E7251" s="58" t="inlineStr">
        <is>
          <t>Central</t>
        </is>
      </c>
      <c r="F7251" s="61" t="n">
        <v>1</v>
      </c>
      <c r="G7251" s="62" t="n">
        <v>605.13</v>
      </c>
      <c r="H7251" s="63" t="n">
        <v>0.033</v>
      </c>
      <c r="I7251" s="62" t="n">
        <v>410.95</v>
      </c>
      <c r="J7251" s="58" t="inlineStr">
        <is>
          <t>Store</t>
        </is>
      </c>
      <c r="K7251" s="62">
        <f>F7251*(G7251-H7251)</f>
        <v/>
      </c>
      <c r="L7251" s="62">
        <f>K7251-(F7251*I7251)</f>
        <v/>
      </c>
      <c r="M7251" s="64">
        <f>L7251/K7251</f>
        <v/>
      </c>
    </row>
    <row r="7252">
      <c r="A7252" s="58" t="inlineStr">
        <is>
          <t>RT20250701-07251</t>
        </is>
      </c>
      <c r="B7252" s="59" t="inlineStr">
        <is>
          <t>2025-07-01</t>
        </is>
      </c>
      <c r="C7252" s="60" t="inlineStr">
        <is>
          <t>Polar Wearable X-119</t>
        </is>
      </c>
      <c r="D7252" s="58" t="inlineStr">
        <is>
          <t>Electronics</t>
        </is>
      </c>
      <c r="E7252" s="58" t="inlineStr">
        <is>
          <t>South</t>
        </is>
      </c>
      <c r="F7252" s="61" t="n">
        <v>1</v>
      </c>
      <c r="G7252" s="62" t="n">
        <v>1730.58</v>
      </c>
      <c r="H7252" s="63" t="n">
        <v>0.048</v>
      </c>
      <c r="I7252" s="62" t="n">
        <v>1325.22</v>
      </c>
      <c r="J7252" s="58" t="inlineStr">
        <is>
          <t>Phone</t>
        </is>
      </c>
      <c r="K7252" s="62">
        <f>F7252*(G7252-H7252)</f>
        <v/>
      </c>
      <c r="L7252" s="62">
        <f>K7252-(F7252*I7252)</f>
        <v/>
      </c>
      <c r="M7252" s="64">
        <f>L7252/K7252</f>
        <v/>
      </c>
    </row>
    <row r="7253">
      <c r="A7253" s="58" t="inlineStr">
        <is>
          <t>RT20250701-07252</t>
        </is>
      </c>
      <c r="B7253" s="59" t="inlineStr">
        <is>
          <t>2025-07-01</t>
        </is>
      </c>
      <c r="C7253" s="60" t="inlineStr">
        <is>
          <t>Vertex Accessorie Pro-881</t>
        </is>
      </c>
      <c r="D7253" s="58" t="inlineStr">
        <is>
          <t>Apparel</t>
        </is>
      </c>
      <c r="E7253" s="58" t="inlineStr">
        <is>
          <t>South</t>
        </is>
      </c>
      <c r="F7253" s="61" t="n">
        <v>3</v>
      </c>
      <c r="G7253" s="62" t="n">
        <v>115.96</v>
      </c>
      <c r="H7253" s="63" t="n">
        <v>0.07099999999999999</v>
      </c>
      <c r="I7253" s="62" t="n">
        <v>61.11</v>
      </c>
      <c r="J7253" s="58" t="inlineStr">
        <is>
          <t>Online</t>
        </is>
      </c>
      <c r="K7253" s="62">
        <f>F7253*(G7253-H7253)</f>
        <v/>
      </c>
      <c r="L7253" s="62">
        <f>K7253-(F7253*I7253)</f>
        <v/>
      </c>
      <c r="M7253" s="64">
        <f>L7253/K7253</f>
        <v/>
      </c>
    </row>
    <row r="7254">
      <c r="A7254" s="58" t="inlineStr">
        <is>
          <t>RT20250701-07253</t>
        </is>
      </c>
      <c r="B7254" s="59" t="inlineStr">
        <is>
          <t>2025-07-01</t>
        </is>
      </c>
      <c r="C7254" s="60" t="inlineStr">
        <is>
          <t>Orion Laptop S-350</t>
        </is>
      </c>
      <c r="D7254" s="58" t="inlineStr">
        <is>
          <t>Electronics</t>
        </is>
      </c>
      <c r="E7254" s="58" t="inlineStr">
        <is>
          <t>South</t>
        </is>
      </c>
      <c r="F7254" s="61" t="n">
        <v>2</v>
      </c>
      <c r="G7254" s="62" t="n">
        <v>1444.28</v>
      </c>
      <c r="H7254" s="63" t="n">
        <v>0.031</v>
      </c>
      <c r="I7254" s="62" t="n">
        <v>1058.2</v>
      </c>
      <c r="J7254" s="58" t="inlineStr">
        <is>
          <t>Store</t>
        </is>
      </c>
      <c r="K7254" s="62">
        <f>F7254*(G7254-H7254)</f>
        <v/>
      </c>
      <c r="L7254" s="62">
        <f>K7254-(F7254*I7254)</f>
        <v/>
      </c>
      <c r="M7254" s="64">
        <f>L7254/K7254</f>
        <v/>
      </c>
    </row>
    <row r="7255">
      <c r="A7255" s="58" t="inlineStr">
        <is>
          <t>RT20250701-07254</t>
        </is>
      </c>
      <c r="B7255" s="59" t="inlineStr">
        <is>
          <t>2025-07-01</t>
        </is>
      </c>
      <c r="C7255" s="60" t="inlineStr">
        <is>
          <t>Falcon Household Pro-865</t>
        </is>
      </c>
      <c r="D7255" s="58" t="inlineStr">
        <is>
          <t>Grocery</t>
        </is>
      </c>
      <c r="E7255" s="58" t="inlineStr">
        <is>
          <t>East</t>
        </is>
      </c>
      <c r="F7255" s="61" t="n">
        <v>8</v>
      </c>
      <c r="G7255" s="62" t="n">
        <v>9.93</v>
      </c>
      <c r="H7255" s="63" t="n">
        <v>0.064</v>
      </c>
      <c r="I7255" s="62" t="n">
        <v>7.92</v>
      </c>
      <c r="J7255" s="58" t="inlineStr">
        <is>
          <t>Store</t>
        </is>
      </c>
      <c r="K7255" s="62">
        <f>F7255*(G7255-H7255)</f>
        <v/>
      </c>
      <c r="L7255" s="62">
        <f>K7255-(F7255*I7255)</f>
        <v/>
      </c>
      <c r="M7255" s="64">
        <f>L7255/K7255</f>
        <v/>
      </c>
    </row>
    <row r="7256">
      <c r="A7256" s="58" t="inlineStr">
        <is>
          <t>RT20250701-07255</t>
        </is>
      </c>
      <c r="B7256" s="59" t="inlineStr">
        <is>
          <t>2025-07-01</t>
        </is>
      </c>
      <c r="C7256" s="60" t="inlineStr">
        <is>
          <t>Metro Fragrance Lite-261</t>
        </is>
      </c>
      <c r="D7256" s="58" t="inlineStr">
        <is>
          <t>Beauty</t>
        </is>
      </c>
      <c r="E7256" s="58" t="inlineStr">
        <is>
          <t>North</t>
        </is>
      </c>
      <c r="F7256" s="61" t="n">
        <v>5</v>
      </c>
      <c r="G7256" s="62" t="n">
        <v>86.03</v>
      </c>
      <c r="H7256" s="63" t="n">
        <v>0.06900000000000001</v>
      </c>
      <c r="I7256" s="62" t="n">
        <v>55.07</v>
      </c>
      <c r="J7256" s="58" t="inlineStr">
        <is>
          <t>Online</t>
        </is>
      </c>
      <c r="K7256" s="62">
        <f>F7256*(G7256-H7256)</f>
        <v/>
      </c>
      <c r="L7256" s="62">
        <f>K7256-(F7256*I7256)</f>
        <v/>
      </c>
      <c r="M7256" s="64">
        <f>L7256/K7256</f>
        <v/>
      </c>
    </row>
    <row r="7257">
      <c r="A7257" s="58" t="inlineStr">
        <is>
          <t>RT20250702-07256</t>
        </is>
      </c>
      <c r="B7257" s="59" t="inlineStr">
        <is>
          <t>2025-07-02</t>
        </is>
      </c>
      <c r="C7257" s="60" t="inlineStr">
        <is>
          <t>Vertex Supplie Pro-786</t>
        </is>
      </c>
      <c r="D7257" s="58" t="inlineStr">
        <is>
          <t>Office</t>
        </is>
      </c>
      <c r="E7257" s="58" t="inlineStr">
        <is>
          <t>South</t>
        </is>
      </c>
      <c r="F7257" s="61" t="n">
        <v>2</v>
      </c>
      <c r="G7257" s="62" t="n">
        <v>398.8</v>
      </c>
      <c r="H7257" s="63" t="n">
        <v>0.06900000000000001</v>
      </c>
      <c r="I7257" s="62" t="n">
        <v>289.95</v>
      </c>
      <c r="J7257" s="58" t="inlineStr">
        <is>
          <t>Online</t>
        </is>
      </c>
      <c r="K7257" s="62">
        <f>F7257*(G7257-H7257)</f>
        <v/>
      </c>
      <c r="L7257" s="62">
        <f>K7257-(F7257*I7257)</f>
        <v/>
      </c>
      <c r="M7257" s="64">
        <f>L7257/K7257</f>
        <v/>
      </c>
    </row>
    <row r="7258">
      <c r="A7258" s="58" t="inlineStr">
        <is>
          <t>RT20250702-07257</t>
        </is>
      </c>
      <c r="B7258" s="59" t="inlineStr">
        <is>
          <t>2025-07-02</t>
        </is>
      </c>
      <c r="C7258" s="60" t="inlineStr">
        <is>
          <t>Aurora Team Sport Plus-256</t>
        </is>
      </c>
      <c r="D7258" s="58" t="inlineStr">
        <is>
          <t>Sports</t>
        </is>
      </c>
      <c r="E7258" s="58" t="inlineStr">
        <is>
          <t>Central</t>
        </is>
      </c>
      <c r="F7258" s="61" t="n">
        <v>3</v>
      </c>
      <c r="G7258" s="62" t="n">
        <v>651.27</v>
      </c>
      <c r="H7258" s="63" t="n">
        <v>0.06900000000000001</v>
      </c>
      <c r="I7258" s="62" t="n">
        <v>425.67</v>
      </c>
      <c r="J7258" s="58" t="inlineStr">
        <is>
          <t>Online</t>
        </is>
      </c>
      <c r="K7258" s="62">
        <f>F7258*(G7258-H7258)</f>
        <v/>
      </c>
      <c r="L7258" s="62">
        <f>K7258-(F7258*I7258)</f>
        <v/>
      </c>
      <c r="M7258" s="64">
        <f>L7258/K7258</f>
        <v/>
      </c>
    </row>
    <row r="7259">
      <c r="A7259" s="58" t="inlineStr">
        <is>
          <t>RT20250702-07258</t>
        </is>
      </c>
      <c r="B7259" s="59" t="inlineStr">
        <is>
          <t>2025-07-02</t>
        </is>
      </c>
      <c r="C7259" s="60" t="inlineStr">
        <is>
          <t>Falcon Cycling Pro-499</t>
        </is>
      </c>
      <c r="D7259" s="58" t="inlineStr">
        <is>
          <t>Sports</t>
        </is>
      </c>
      <c r="E7259" s="58" t="inlineStr">
        <is>
          <t>Central</t>
        </is>
      </c>
      <c r="F7259" s="61" t="n">
        <v>3</v>
      </c>
      <c r="G7259" s="62" t="n">
        <v>642</v>
      </c>
      <c r="H7259" s="63" t="n">
        <v>0.029</v>
      </c>
      <c r="I7259" s="62" t="n">
        <v>400.01</v>
      </c>
      <c r="J7259" s="58" t="inlineStr">
        <is>
          <t>Online</t>
        </is>
      </c>
      <c r="K7259" s="62">
        <f>F7259*(G7259-H7259)</f>
        <v/>
      </c>
      <c r="L7259" s="62">
        <f>K7259-(F7259*I7259)</f>
        <v/>
      </c>
      <c r="M7259" s="64">
        <f>L7259/K7259</f>
        <v/>
      </c>
    </row>
    <row r="7260">
      <c r="A7260" s="58" t="inlineStr">
        <is>
          <t>RT20250702-07259</t>
        </is>
      </c>
      <c r="B7260" s="59" t="inlineStr">
        <is>
          <t>2025-07-02</t>
        </is>
      </c>
      <c r="C7260" s="60" t="inlineStr">
        <is>
          <t>Aurora Appliance Max-316</t>
        </is>
      </c>
      <c r="D7260" s="58" t="inlineStr">
        <is>
          <t>Home</t>
        </is>
      </c>
      <c r="E7260" s="58" t="inlineStr">
        <is>
          <t>Central</t>
        </is>
      </c>
      <c r="F7260" s="61" t="n">
        <v>2</v>
      </c>
      <c r="G7260" s="62" t="n">
        <v>323.71</v>
      </c>
      <c r="H7260" s="63" t="n">
        <v>0.092</v>
      </c>
      <c r="I7260" s="62" t="n">
        <v>218.46</v>
      </c>
      <c r="J7260" s="58" t="inlineStr">
        <is>
          <t>Online</t>
        </is>
      </c>
      <c r="K7260" s="62">
        <f>F7260*(G7260-H7260)</f>
        <v/>
      </c>
      <c r="L7260" s="62">
        <f>K7260-(F7260*I7260)</f>
        <v/>
      </c>
      <c r="M7260" s="64">
        <f>L7260/K7260</f>
        <v/>
      </c>
    </row>
    <row r="7261">
      <c r="A7261" s="58" t="inlineStr">
        <is>
          <t>RT20250702-07260</t>
        </is>
      </c>
      <c r="B7261" s="59" t="inlineStr">
        <is>
          <t>2025-07-02</t>
        </is>
      </c>
      <c r="C7261" s="60" t="inlineStr">
        <is>
          <t>Orion Haircare Plus-887</t>
        </is>
      </c>
      <c r="D7261" s="58" t="inlineStr">
        <is>
          <t>Beauty</t>
        </is>
      </c>
      <c r="E7261" s="58" t="inlineStr">
        <is>
          <t>West</t>
        </is>
      </c>
      <c r="F7261" s="61" t="n">
        <v>4</v>
      </c>
      <c r="G7261" s="62" t="n">
        <v>47.45</v>
      </c>
      <c r="H7261" s="63" t="n">
        <v>0.06</v>
      </c>
      <c r="I7261" s="62" t="n">
        <v>31.51</v>
      </c>
      <c r="J7261" s="58" t="inlineStr">
        <is>
          <t>Store</t>
        </is>
      </c>
      <c r="K7261" s="62">
        <f>F7261*(G7261-H7261)</f>
        <v/>
      </c>
      <c r="L7261" s="62">
        <f>K7261-(F7261*I7261)</f>
        <v/>
      </c>
      <c r="M7261" s="64">
        <f>L7261/K7261</f>
        <v/>
      </c>
    </row>
    <row r="7262">
      <c r="A7262" s="58" t="inlineStr">
        <is>
          <t>RT20250702-07261</t>
        </is>
      </c>
      <c r="B7262" s="59" t="inlineStr">
        <is>
          <t>2025-07-02</t>
        </is>
      </c>
      <c r="C7262" s="60" t="inlineStr">
        <is>
          <t>Vertex Appliance Max-338</t>
        </is>
      </c>
      <c r="D7262" s="58" t="inlineStr">
        <is>
          <t>Home</t>
        </is>
      </c>
      <c r="E7262" s="58" t="inlineStr">
        <is>
          <t>Central</t>
        </is>
      </c>
      <c r="F7262" s="61" t="n">
        <v>2</v>
      </c>
      <c r="G7262" s="62" t="n">
        <v>476.84</v>
      </c>
      <c r="H7262" s="63" t="n">
        <v>0.025</v>
      </c>
      <c r="I7262" s="62" t="n">
        <v>288.87</v>
      </c>
      <c r="J7262" s="58" t="inlineStr">
        <is>
          <t>Online</t>
        </is>
      </c>
      <c r="K7262" s="62">
        <f>F7262*(G7262-H7262)</f>
        <v/>
      </c>
      <c r="L7262" s="62">
        <f>K7262-(F7262*I7262)</f>
        <v/>
      </c>
      <c r="M7262" s="64">
        <f>L7262/K7262</f>
        <v/>
      </c>
    </row>
    <row r="7263">
      <c r="A7263" s="58" t="inlineStr">
        <is>
          <t>RT20250702-07262</t>
        </is>
      </c>
      <c r="B7263" s="59" t="inlineStr">
        <is>
          <t>2025-07-02</t>
        </is>
      </c>
      <c r="C7263" s="60" t="inlineStr">
        <is>
          <t>Metro Fragrance Lite-261</t>
        </is>
      </c>
      <c r="D7263" s="58" t="inlineStr">
        <is>
          <t>Beauty</t>
        </is>
      </c>
      <c r="E7263" s="58" t="inlineStr">
        <is>
          <t>East</t>
        </is>
      </c>
      <c r="F7263" s="61" t="n">
        <v>5</v>
      </c>
      <c r="G7263" s="62" t="n">
        <v>94.19</v>
      </c>
      <c r="H7263" s="63" t="n">
        <v>0.031</v>
      </c>
      <c r="I7263" s="62" t="n">
        <v>56.81</v>
      </c>
      <c r="J7263" s="58" t="inlineStr">
        <is>
          <t>Store</t>
        </is>
      </c>
      <c r="K7263" s="62">
        <f>F7263*(G7263-H7263)</f>
        <v/>
      </c>
      <c r="L7263" s="62">
        <f>K7263-(F7263*I7263)</f>
        <v/>
      </c>
      <c r="M7263" s="64">
        <f>L7263/K7263</f>
        <v/>
      </c>
    </row>
    <row r="7264">
      <c r="A7264" s="58" t="inlineStr">
        <is>
          <t>RT20250702-07263</t>
        </is>
      </c>
      <c r="B7264" s="59" t="inlineStr">
        <is>
          <t>2025-07-02</t>
        </is>
      </c>
      <c r="C7264" s="60" t="inlineStr">
        <is>
          <t>Aurora Bedding Plus-187</t>
        </is>
      </c>
      <c r="D7264" s="58" t="inlineStr">
        <is>
          <t>Home</t>
        </is>
      </c>
      <c r="E7264" s="58" t="inlineStr">
        <is>
          <t>South</t>
        </is>
      </c>
      <c r="F7264" s="61" t="n">
        <v>2</v>
      </c>
      <c r="G7264" s="62" t="n">
        <v>300.9</v>
      </c>
      <c r="H7264" s="63" t="n">
        <v>0.045</v>
      </c>
      <c r="I7264" s="62" t="n">
        <v>208.51</v>
      </c>
      <c r="J7264" s="58" t="inlineStr">
        <is>
          <t>Online</t>
        </is>
      </c>
      <c r="K7264" s="62">
        <f>F7264*(G7264-H7264)</f>
        <v/>
      </c>
      <c r="L7264" s="62">
        <f>K7264-(F7264*I7264)</f>
        <v/>
      </c>
      <c r="M7264" s="64">
        <f>L7264/K7264</f>
        <v/>
      </c>
    </row>
    <row r="7265">
      <c r="A7265" s="58" t="inlineStr">
        <is>
          <t>RT20250702-07264</t>
        </is>
      </c>
      <c r="B7265" s="59" t="inlineStr">
        <is>
          <t>2025-07-02</t>
        </is>
      </c>
      <c r="C7265" s="60" t="inlineStr">
        <is>
          <t>Orion Beverage Plus-949</t>
        </is>
      </c>
      <c r="D7265" s="58" t="inlineStr">
        <is>
          <t>Grocery</t>
        </is>
      </c>
      <c r="E7265" s="58" t="inlineStr">
        <is>
          <t>Central</t>
        </is>
      </c>
      <c r="F7265" s="61" t="n">
        <v>1</v>
      </c>
      <c r="G7265" s="62" t="n">
        <v>16.48</v>
      </c>
      <c r="H7265" s="63" t="n">
        <v>0.042</v>
      </c>
      <c r="I7265" s="62" t="n">
        <v>13.47</v>
      </c>
      <c r="J7265" s="58" t="inlineStr">
        <is>
          <t>Online</t>
        </is>
      </c>
      <c r="K7265" s="62">
        <f>F7265*(G7265-H7265)</f>
        <v/>
      </c>
      <c r="L7265" s="62">
        <f>K7265-(F7265*I7265)</f>
        <v/>
      </c>
      <c r="M7265" s="64">
        <f>L7265/K7265</f>
        <v/>
      </c>
    </row>
    <row r="7266">
      <c r="A7266" s="58" t="inlineStr">
        <is>
          <t>RT20250702-07265</t>
        </is>
      </c>
      <c r="B7266" s="59" t="inlineStr">
        <is>
          <t>2025-07-02</t>
        </is>
      </c>
      <c r="C7266" s="60" t="inlineStr">
        <is>
          <t>Falcon Accessorie S-195</t>
        </is>
      </c>
      <c r="D7266" s="58" t="inlineStr">
        <is>
          <t>Apparel</t>
        </is>
      </c>
      <c r="E7266" s="58" t="inlineStr">
        <is>
          <t>Central</t>
        </is>
      </c>
      <c r="F7266" s="61" t="n">
        <v>2</v>
      </c>
      <c r="G7266" s="62" t="n">
        <v>77.48999999999999</v>
      </c>
      <c r="H7266" s="63" t="n">
        <v>0.064</v>
      </c>
      <c r="I7266" s="62" t="n">
        <v>42.28</v>
      </c>
      <c r="J7266" s="58" t="inlineStr">
        <is>
          <t>Store</t>
        </is>
      </c>
      <c r="K7266" s="62">
        <f>F7266*(G7266-H7266)</f>
        <v/>
      </c>
      <c r="L7266" s="62">
        <f>K7266-(F7266*I7266)</f>
        <v/>
      </c>
      <c r="M7266" s="64">
        <f>L7266/K7266</f>
        <v/>
      </c>
    </row>
    <row r="7267">
      <c r="A7267" s="58" t="inlineStr">
        <is>
          <t>RT20250702-07266</t>
        </is>
      </c>
      <c r="B7267" s="59" t="inlineStr">
        <is>
          <t>2025-07-02</t>
        </is>
      </c>
      <c r="C7267" s="60" t="inlineStr">
        <is>
          <t>Orion Snack X-322</t>
        </is>
      </c>
      <c r="D7267" s="58" t="inlineStr">
        <is>
          <t>Grocery</t>
        </is>
      </c>
      <c r="E7267" s="58" t="inlineStr">
        <is>
          <t>Central</t>
        </is>
      </c>
      <c r="F7267" s="61" t="n">
        <v>5</v>
      </c>
      <c r="G7267" s="62" t="n">
        <v>13.75</v>
      </c>
      <c r="H7267" s="63" t="n">
        <v>0.065</v>
      </c>
      <c r="I7267" s="62" t="n">
        <v>10.37</v>
      </c>
      <c r="J7267" s="58" t="inlineStr">
        <is>
          <t>Store</t>
        </is>
      </c>
      <c r="K7267" s="62">
        <f>F7267*(G7267-H7267)</f>
        <v/>
      </c>
      <c r="L7267" s="62">
        <f>K7267-(F7267*I7267)</f>
        <v/>
      </c>
      <c r="M7267" s="64">
        <f>L7267/K7267</f>
        <v/>
      </c>
    </row>
    <row r="7268">
      <c r="A7268" s="58" t="inlineStr">
        <is>
          <t>RT20250702-07267</t>
        </is>
      </c>
      <c r="B7268" s="59" t="inlineStr">
        <is>
          <t>2025-07-02</t>
        </is>
      </c>
      <c r="C7268" s="60" t="inlineStr">
        <is>
          <t>Falcon Headphone Plus-789</t>
        </is>
      </c>
      <c r="D7268" s="58" t="inlineStr">
        <is>
          <t>Electronics</t>
        </is>
      </c>
      <c r="E7268" s="58" t="inlineStr">
        <is>
          <t>Central</t>
        </is>
      </c>
      <c r="F7268" s="61" t="n">
        <v>2</v>
      </c>
      <c r="G7268" s="62" t="n">
        <v>2073.61</v>
      </c>
      <c r="H7268" s="63" t="n">
        <v>0.021</v>
      </c>
      <c r="I7268" s="62" t="n">
        <v>1303.39</v>
      </c>
      <c r="J7268" s="58" t="inlineStr">
        <is>
          <t>Store</t>
        </is>
      </c>
      <c r="K7268" s="62">
        <f>F7268*(G7268-H7268)</f>
        <v/>
      </c>
      <c r="L7268" s="62">
        <f>K7268-(F7268*I7268)</f>
        <v/>
      </c>
      <c r="M7268" s="64">
        <f>L7268/K7268</f>
        <v/>
      </c>
    </row>
    <row r="7269">
      <c r="A7269" s="58" t="inlineStr">
        <is>
          <t>RT20250702-07268</t>
        </is>
      </c>
      <c r="B7269" s="59" t="inlineStr">
        <is>
          <t>2025-07-02</t>
        </is>
      </c>
      <c r="C7269" s="60" t="inlineStr">
        <is>
          <t>Falcon Haircare Pro-980</t>
        </is>
      </c>
      <c r="D7269" s="58" t="inlineStr">
        <is>
          <t>Beauty</t>
        </is>
      </c>
      <c r="E7269" s="58" t="inlineStr">
        <is>
          <t>Central</t>
        </is>
      </c>
      <c r="F7269" s="61" t="n">
        <v>4</v>
      </c>
      <c r="G7269" s="62" t="n">
        <v>91.73999999999999</v>
      </c>
      <c r="H7269" s="63" t="n">
        <v>0.079</v>
      </c>
      <c r="I7269" s="62" t="n">
        <v>57.08</v>
      </c>
      <c r="J7269" s="58" t="inlineStr">
        <is>
          <t>Online</t>
        </is>
      </c>
      <c r="K7269" s="62">
        <f>F7269*(G7269-H7269)</f>
        <v/>
      </c>
      <c r="L7269" s="62">
        <f>K7269-(F7269*I7269)</f>
        <v/>
      </c>
      <c r="M7269" s="64">
        <f>L7269/K7269</f>
        <v/>
      </c>
    </row>
    <row r="7270">
      <c r="A7270" s="58" t="inlineStr">
        <is>
          <t>RT20250702-07269</t>
        </is>
      </c>
      <c r="B7270" s="59" t="inlineStr">
        <is>
          <t>2025-07-02</t>
        </is>
      </c>
      <c r="C7270" s="60" t="inlineStr">
        <is>
          <t>Aurora Appliance Lite-109</t>
        </is>
      </c>
      <c r="D7270" s="58" t="inlineStr">
        <is>
          <t>Home</t>
        </is>
      </c>
      <c r="E7270" s="58" t="inlineStr">
        <is>
          <t>North</t>
        </is>
      </c>
      <c r="F7270" s="61" t="n">
        <v>3</v>
      </c>
      <c r="G7270" s="62" t="n">
        <v>281.19</v>
      </c>
      <c r="H7270" s="63" t="n">
        <v>0.043</v>
      </c>
      <c r="I7270" s="62" t="n">
        <v>199.34</v>
      </c>
      <c r="J7270" s="58" t="inlineStr">
        <is>
          <t>Online</t>
        </is>
      </c>
      <c r="K7270" s="62">
        <f>F7270*(G7270-H7270)</f>
        <v/>
      </c>
      <c r="L7270" s="62">
        <f>K7270-(F7270*I7270)</f>
        <v/>
      </c>
      <c r="M7270" s="64">
        <f>L7270/K7270</f>
        <v/>
      </c>
    </row>
    <row r="7271">
      <c r="A7271" s="58" t="inlineStr">
        <is>
          <t>RT20250702-07270</t>
        </is>
      </c>
      <c r="B7271" s="59" t="inlineStr">
        <is>
          <t>2025-07-02</t>
        </is>
      </c>
      <c r="C7271" s="60" t="inlineStr">
        <is>
          <t>Falcon Kitchen X-130</t>
        </is>
      </c>
      <c r="D7271" s="58" t="inlineStr">
        <is>
          <t>Home</t>
        </is>
      </c>
      <c r="E7271" s="58" t="inlineStr">
        <is>
          <t>East</t>
        </is>
      </c>
      <c r="F7271" s="61" t="n">
        <v>3</v>
      </c>
      <c r="G7271" s="62" t="n">
        <v>462.82</v>
      </c>
      <c r="H7271" s="63" t="n">
        <v>0.102</v>
      </c>
      <c r="I7271" s="62" t="n">
        <v>293.92</v>
      </c>
      <c r="J7271" s="58" t="inlineStr">
        <is>
          <t>Online</t>
        </is>
      </c>
      <c r="K7271" s="62">
        <f>F7271*(G7271-H7271)</f>
        <v/>
      </c>
      <c r="L7271" s="62">
        <f>K7271-(F7271*I7271)</f>
        <v/>
      </c>
      <c r="M7271" s="64">
        <f>L7271/K7271</f>
        <v/>
      </c>
    </row>
    <row r="7272">
      <c r="A7272" s="58" t="inlineStr">
        <is>
          <t>RT20250702-07271</t>
        </is>
      </c>
      <c r="B7272" s="59" t="inlineStr">
        <is>
          <t>2025-07-02</t>
        </is>
      </c>
      <c r="C7272" s="60" t="inlineStr">
        <is>
          <t>Aurora Smartphone Plus-125</t>
        </is>
      </c>
      <c r="D7272" s="58" t="inlineStr">
        <is>
          <t>Electronics</t>
        </is>
      </c>
      <c r="E7272" s="58" t="inlineStr">
        <is>
          <t>West</t>
        </is>
      </c>
      <c r="F7272" s="61" t="n">
        <v>1</v>
      </c>
      <c r="G7272" s="62" t="n">
        <v>1749.74</v>
      </c>
      <c r="H7272" s="63" t="n">
        <v>0.058</v>
      </c>
      <c r="I7272" s="62" t="n">
        <v>1247.06</v>
      </c>
      <c r="J7272" s="58" t="inlineStr">
        <is>
          <t>Store</t>
        </is>
      </c>
      <c r="K7272" s="62">
        <f>F7272*(G7272-H7272)</f>
        <v/>
      </c>
      <c r="L7272" s="62">
        <f>K7272-(F7272*I7272)</f>
        <v/>
      </c>
      <c r="M7272" s="64">
        <f>L7272/K7272</f>
        <v/>
      </c>
    </row>
    <row r="7273">
      <c r="A7273" s="58" t="inlineStr">
        <is>
          <t>RT20250702-07272</t>
        </is>
      </c>
      <c r="B7273" s="59" t="inlineStr">
        <is>
          <t>2025-07-02</t>
        </is>
      </c>
      <c r="C7273" s="60" t="inlineStr">
        <is>
          <t>Aurora Storage Lite-774</t>
        </is>
      </c>
      <c r="D7273" s="58" t="inlineStr">
        <is>
          <t>Office</t>
        </is>
      </c>
      <c r="E7273" s="58" t="inlineStr">
        <is>
          <t>South</t>
        </is>
      </c>
      <c r="F7273" s="61" t="n">
        <v>1</v>
      </c>
      <c r="G7273" s="62" t="n">
        <v>316.1</v>
      </c>
      <c r="H7273" s="63" t="n">
        <v>0.079</v>
      </c>
      <c r="I7273" s="62" t="n">
        <v>237.68</v>
      </c>
      <c r="J7273" s="58" t="inlineStr">
        <is>
          <t>Store</t>
        </is>
      </c>
      <c r="K7273" s="62">
        <f>F7273*(G7273-H7273)</f>
        <v/>
      </c>
      <c r="L7273" s="62">
        <f>K7273-(F7273*I7273)</f>
        <v/>
      </c>
      <c r="M7273" s="64">
        <f>L7273/K7273</f>
        <v/>
      </c>
    </row>
    <row r="7274">
      <c r="A7274" s="58" t="inlineStr">
        <is>
          <t>RT20250702-07273</t>
        </is>
      </c>
      <c r="B7274" s="59" t="inlineStr">
        <is>
          <t>2025-07-02</t>
        </is>
      </c>
      <c r="C7274" s="60" t="inlineStr">
        <is>
          <t>Polar Laptop Plus-984</t>
        </is>
      </c>
      <c r="D7274" s="58" t="inlineStr">
        <is>
          <t>Electronics</t>
        </is>
      </c>
      <c r="E7274" s="58" t="inlineStr">
        <is>
          <t>Central</t>
        </is>
      </c>
      <c r="F7274" s="61" t="n">
        <v>1</v>
      </c>
      <c r="G7274" s="62" t="n">
        <v>1329.31</v>
      </c>
      <c r="H7274" s="63" t="n">
        <v>0.097</v>
      </c>
      <c r="I7274" s="62" t="n">
        <v>977.3200000000001</v>
      </c>
      <c r="J7274" s="58" t="inlineStr">
        <is>
          <t>Online</t>
        </is>
      </c>
      <c r="K7274" s="62">
        <f>F7274*(G7274-H7274)</f>
        <v/>
      </c>
      <c r="L7274" s="62">
        <f>K7274-(F7274*I7274)</f>
        <v/>
      </c>
      <c r="M7274" s="64">
        <f>L7274/K7274</f>
        <v/>
      </c>
    </row>
    <row r="7275">
      <c r="A7275" s="58" t="inlineStr">
        <is>
          <t>RT20250702-07274</t>
        </is>
      </c>
      <c r="B7275" s="59" t="inlineStr">
        <is>
          <t>2025-07-02</t>
        </is>
      </c>
      <c r="C7275" s="60" t="inlineStr">
        <is>
          <t>Falcon Headphone Plus-789</t>
        </is>
      </c>
      <c r="D7275" s="58" t="inlineStr">
        <is>
          <t>Electronics</t>
        </is>
      </c>
      <c r="E7275" s="58" t="inlineStr">
        <is>
          <t>East</t>
        </is>
      </c>
      <c r="F7275" s="61" t="n">
        <v>2</v>
      </c>
      <c r="G7275" s="62" t="n">
        <v>1782.21</v>
      </c>
      <c r="H7275" s="63" t="n">
        <v>0.015</v>
      </c>
      <c r="I7275" s="62" t="n">
        <v>1336.62</v>
      </c>
      <c r="J7275" s="58" t="inlineStr">
        <is>
          <t>Store</t>
        </is>
      </c>
      <c r="K7275" s="62">
        <f>F7275*(G7275-H7275)</f>
        <v/>
      </c>
      <c r="L7275" s="62">
        <f>K7275-(F7275*I7275)</f>
        <v/>
      </c>
      <c r="M7275" s="64">
        <f>L7275/K7275</f>
        <v/>
      </c>
    </row>
    <row r="7276">
      <c r="A7276" s="58" t="inlineStr">
        <is>
          <t>RT20250702-07275</t>
        </is>
      </c>
      <c r="B7276" s="59" t="inlineStr">
        <is>
          <t>2025-07-02</t>
        </is>
      </c>
      <c r="C7276" s="60" t="inlineStr">
        <is>
          <t>Vertex Accessorie Pro-881</t>
        </is>
      </c>
      <c r="D7276" s="58" t="inlineStr">
        <is>
          <t>Apparel</t>
        </is>
      </c>
      <c r="E7276" s="58" t="inlineStr">
        <is>
          <t>North</t>
        </is>
      </c>
      <c r="F7276" s="61" t="n">
        <v>2</v>
      </c>
      <c r="G7276" s="62" t="n">
        <v>110.57</v>
      </c>
      <c r="H7276" s="63" t="n">
        <v>0.035</v>
      </c>
      <c r="I7276" s="62" t="n">
        <v>64.43000000000001</v>
      </c>
      <c r="J7276" s="58" t="inlineStr">
        <is>
          <t>Online</t>
        </is>
      </c>
      <c r="K7276" s="62">
        <f>F7276*(G7276-H7276)</f>
        <v/>
      </c>
      <c r="L7276" s="62">
        <f>K7276-(F7276*I7276)</f>
        <v/>
      </c>
      <c r="M7276" s="64">
        <f>L7276/K7276</f>
        <v/>
      </c>
    </row>
    <row r="7277">
      <c r="A7277" s="58" t="inlineStr">
        <is>
          <t>RT20250702-07276</t>
        </is>
      </c>
      <c r="B7277" s="59" t="inlineStr">
        <is>
          <t>2025-07-02</t>
        </is>
      </c>
      <c r="C7277" s="60" t="inlineStr">
        <is>
          <t>Falcon Team Sport Lite-268</t>
        </is>
      </c>
      <c r="D7277" s="58" t="inlineStr">
        <is>
          <t>Sports</t>
        </is>
      </c>
      <c r="E7277" s="58" t="inlineStr">
        <is>
          <t>North</t>
        </is>
      </c>
      <c r="F7277" s="61" t="n">
        <v>2</v>
      </c>
      <c r="G7277" s="62" t="n">
        <v>614.29</v>
      </c>
      <c r="H7277" s="63" t="n">
        <v>0.07199999999999999</v>
      </c>
      <c r="I7277" s="62" t="n">
        <v>430.41</v>
      </c>
      <c r="J7277" s="58" t="inlineStr">
        <is>
          <t>Online</t>
        </is>
      </c>
      <c r="K7277" s="62">
        <f>F7277*(G7277-H7277)</f>
        <v/>
      </c>
      <c r="L7277" s="62">
        <f>K7277-(F7277*I7277)</f>
        <v/>
      </c>
      <c r="M7277" s="64">
        <f>L7277/K7277</f>
        <v/>
      </c>
    </row>
    <row r="7278">
      <c r="A7278" s="58" t="inlineStr">
        <is>
          <t>RT20250702-07277</t>
        </is>
      </c>
      <c r="B7278" s="59" t="inlineStr">
        <is>
          <t>2025-07-02</t>
        </is>
      </c>
      <c r="C7278" s="60" t="inlineStr">
        <is>
          <t>Vertex Appliance Max-338</t>
        </is>
      </c>
      <c r="D7278" s="58" t="inlineStr">
        <is>
          <t>Home</t>
        </is>
      </c>
      <c r="E7278" s="58" t="inlineStr">
        <is>
          <t>East</t>
        </is>
      </c>
      <c r="F7278" s="61" t="n">
        <v>1</v>
      </c>
      <c r="G7278" s="62" t="n">
        <v>450.2</v>
      </c>
      <c r="H7278" s="63" t="n">
        <v>0.055</v>
      </c>
      <c r="I7278" s="62" t="n">
        <v>291.34</v>
      </c>
      <c r="J7278" s="58" t="inlineStr">
        <is>
          <t>Store</t>
        </is>
      </c>
      <c r="K7278" s="62">
        <f>F7278*(G7278-H7278)</f>
        <v/>
      </c>
      <c r="L7278" s="62">
        <f>K7278-(F7278*I7278)</f>
        <v/>
      </c>
      <c r="M7278" s="64">
        <f>L7278/K7278</f>
        <v/>
      </c>
    </row>
    <row r="7279">
      <c r="A7279" s="58" t="inlineStr">
        <is>
          <t>RT20250702-07278</t>
        </is>
      </c>
      <c r="B7279" s="59" t="inlineStr">
        <is>
          <t>2025-07-02</t>
        </is>
      </c>
      <c r="C7279" s="60" t="inlineStr">
        <is>
          <t>Vertex Smartphone Pro-256</t>
        </is>
      </c>
      <c r="D7279" s="58" t="inlineStr">
        <is>
          <t>Electronics</t>
        </is>
      </c>
      <c r="E7279" s="58" t="inlineStr">
        <is>
          <t>East</t>
        </is>
      </c>
      <c r="F7279" s="61" t="n">
        <v>1</v>
      </c>
      <c r="G7279" s="62" t="n">
        <v>1298.75</v>
      </c>
      <c r="H7279" s="63" t="n">
        <v>0.067</v>
      </c>
      <c r="I7279" s="62" t="n">
        <v>917.59</v>
      </c>
      <c r="J7279" s="58" t="inlineStr">
        <is>
          <t>Online</t>
        </is>
      </c>
      <c r="K7279" s="62">
        <f>F7279*(G7279-H7279)</f>
        <v/>
      </c>
      <c r="L7279" s="62">
        <f>K7279-(F7279*I7279)</f>
        <v/>
      </c>
      <c r="M7279" s="64">
        <f>L7279/K7279</f>
        <v/>
      </c>
    </row>
    <row r="7280">
      <c r="A7280" s="58" t="inlineStr">
        <is>
          <t>RT20250702-07279</t>
        </is>
      </c>
      <c r="B7280" s="59" t="inlineStr">
        <is>
          <t>2025-07-02</t>
        </is>
      </c>
      <c r="C7280" s="60" t="inlineStr">
        <is>
          <t>Nimbus Cycling Plus-911</t>
        </is>
      </c>
      <c r="D7280" s="58" t="inlineStr">
        <is>
          <t>Sports</t>
        </is>
      </c>
      <c r="E7280" s="58" t="inlineStr">
        <is>
          <t>Central</t>
        </is>
      </c>
      <c r="F7280" s="61" t="n">
        <v>3</v>
      </c>
      <c r="G7280" s="62" t="n">
        <v>590.63</v>
      </c>
      <c r="H7280" s="63" t="n">
        <v>0.07099999999999999</v>
      </c>
      <c r="I7280" s="62" t="n">
        <v>384.95</v>
      </c>
      <c r="J7280" s="58" t="inlineStr">
        <is>
          <t>Online</t>
        </is>
      </c>
      <c r="K7280" s="62">
        <f>F7280*(G7280-H7280)</f>
        <v/>
      </c>
      <c r="L7280" s="62">
        <f>K7280-(F7280*I7280)</f>
        <v/>
      </c>
      <c r="M7280" s="64">
        <f>L7280/K7280</f>
        <v/>
      </c>
    </row>
    <row r="7281">
      <c r="A7281" s="58" t="inlineStr">
        <is>
          <t>RT20250702-07280</t>
        </is>
      </c>
      <c r="B7281" s="59" t="inlineStr">
        <is>
          <t>2025-07-02</t>
        </is>
      </c>
      <c r="C7281" s="60" t="inlineStr">
        <is>
          <t>Metro Accessorie Lite-697</t>
        </is>
      </c>
      <c r="D7281" s="58" t="inlineStr">
        <is>
          <t>Apparel</t>
        </is>
      </c>
      <c r="E7281" s="58" t="inlineStr">
        <is>
          <t>Central</t>
        </is>
      </c>
      <c r="F7281" s="61" t="n">
        <v>3</v>
      </c>
      <c r="G7281" s="62" t="n">
        <v>148.3</v>
      </c>
      <c r="H7281" s="63" t="n">
        <v>0.037</v>
      </c>
      <c r="I7281" s="62" t="n">
        <v>75.91</v>
      </c>
      <c r="J7281" s="58" t="inlineStr">
        <is>
          <t>Store</t>
        </is>
      </c>
      <c r="K7281" s="62">
        <f>F7281*(G7281-H7281)</f>
        <v/>
      </c>
      <c r="L7281" s="62">
        <f>K7281-(F7281*I7281)</f>
        <v/>
      </c>
      <c r="M7281" s="64">
        <f>L7281/K7281</f>
        <v/>
      </c>
    </row>
    <row r="7282">
      <c r="A7282" s="58" t="inlineStr">
        <is>
          <t>RT20250702-07281</t>
        </is>
      </c>
      <c r="B7282" s="59" t="inlineStr">
        <is>
          <t>2025-07-02</t>
        </is>
      </c>
      <c r="C7282" s="60" t="inlineStr">
        <is>
          <t>Metro Accessorie Lite-697</t>
        </is>
      </c>
      <c r="D7282" s="58" t="inlineStr">
        <is>
          <t>Apparel</t>
        </is>
      </c>
      <c r="E7282" s="58" t="inlineStr">
        <is>
          <t>East</t>
        </is>
      </c>
      <c r="F7282" s="61" t="n">
        <v>3</v>
      </c>
      <c r="G7282" s="62" t="n">
        <v>132.24</v>
      </c>
      <c r="H7282" s="63" t="n">
        <v>0.065</v>
      </c>
      <c r="I7282" s="62" t="n">
        <v>74.73999999999999</v>
      </c>
      <c r="J7282" s="58" t="inlineStr">
        <is>
          <t>Store</t>
        </is>
      </c>
      <c r="K7282" s="62">
        <f>F7282*(G7282-H7282)</f>
        <v/>
      </c>
      <c r="L7282" s="62">
        <f>K7282-(F7282*I7282)</f>
        <v/>
      </c>
      <c r="M7282" s="64">
        <f>L7282/K7282</f>
        <v/>
      </c>
    </row>
    <row r="7283">
      <c r="A7283" s="58" t="inlineStr">
        <is>
          <t>RT20250702-07282</t>
        </is>
      </c>
      <c r="B7283" s="59" t="inlineStr">
        <is>
          <t>2025-07-02</t>
        </is>
      </c>
      <c r="C7283" s="60" t="inlineStr">
        <is>
          <t>Metro Smartphone Max-773</t>
        </is>
      </c>
      <c r="D7283" s="58" t="inlineStr">
        <is>
          <t>Electronics</t>
        </is>
      </c>
      <c r="E7283" s="58" t="inlineStr">
        <is>
          <t>North</t>
        </is>
      </c>
      <c r="F7283" s="61" t="n">
        <v>2</v>
      </c>
      <c r="G7283" s="62" t="n">
        <v>1341.62</v>
      </c>
      <c r="H7283" s="63" t="n">
        <v>0.051</v>
      </c>
      <c r="I7283" s="62" t="n">
        <v>1136.5</v>
      </c>
      <c r="J7283" s="58" t="inlineStr">
        <is>
          <t>Online</t>
        </is>
      </c>
      <c r="K7283" s="62">
        <f>F7283*(G7283-H7283)</f>
        <v/>
      </c>
      <c r="L7283" s="62">
        <f>K7283-(F7283*I7283)</f>
        <v/>
      </c>
      <c r="M7283" s="64">
        <f>L7283/K7283</f>
        <v/>
      </c>
    </row>
    <row r="7284">
      <c r="A7284" s="58" t="inlineStr">
        <is>
          <t>RT20250702-07283</t>
        </is>
      </c>
      <c r="B7284" s="59" t="inlineStr">
        <is>
          <t>2025-07-02</t>
        </is>
      </c>
      <c r="C7284" s="60" t="inlineStr">
        <is>
          <t>Nimbus Makeup Max-158</t>
        </is>
      </c>
      <c r="D7284" s="58" t="inlineStr">
        <is>
          <t>Beauty</t>
        </is>
      </c>
      <c r="E7284" s="58" t="inlineStr">
        <is>
          <t>South</t>
        </is>
      </c>
      <c r="F7284" s="61" t="n">
        <v>5</v>
      </c>
      <c r="G7284" s="62" t="n">
        <v>150.56</v>
      </c>
      <c r="H7284" s="63" t="n">
        <v>0.05</v>
      </c>
      <c r="I7284" s="62" t="n">
        <v>95.01000000000001</v>
      </c>
      <c r="J7284" s="58" t="inlineStr">
        <is>
          <t>Store</t>
        </is>
      </c>
      <c r="K7284" s="62">
        <f>F7284*(G7284-H7284)</f>
        <v/>
      </c>
      <c r="L7284" s="62">
        <f>K7284-(F7284*I7284)</f>
        <v/>
      </c>
      <c r="M7284" s="64">
        <f>L7284/K7284</f>
        <v/>
      </c>
    </row>
    <row r="7285">
      <c r="A7285" s="58" t="inlineStr">
        <is>
          <t>RT20250702-07284</t>
        </is>
      </c>
      <c r="B7285" s="59" t="inlineStr">
        <is>
          <t>2025-07-02</t>
        </is>
      </c>
      <c r="C7285" s="60" t="inlineStr">
        <is>
          <t>Falcon Team Sport Lite-268</t>
        </is>
      </c>
      <c r="D7285" s="58" t="inlineStr">
        <is>
          <t>Sports</t>
        </is>
      </c>
      <c r="E7285" s="58" t="inlineStr">
        <is>
          <t>North</t>
        </is>
      </c>
      <c r="F7285" s="61" t="n">
        <v>1</v>
      </c>
      <c r="G7285" s="62" t="n">
        <v>658.4</v>
      </c>
      <c r="H7285" s="63" t="n">
        <v>0.06900000000000001</v>
      </c>
      <c r="I7285" s="62" t="n">
        <v>422.35</v>
      </c>
      <c r="J7285" s="58" t="inlineStr">
        <is>
          <t>Store</t>
        </is>
      </c>
      <c r="K7285" s="62">
        <f>F7285*(G7285-H7285)</f>
        <v/>
      </c>
      <c r="L7285" s="62">
        <f>K7285-(F7285*I7285)</f>
        <v/>
      </c>
      <c r="M7285" s="64">
        <f>L7285/K7285</f>
        <v/>
      </c>
    </row>
    <row r="7286">
      <c r="A7286" s="58" t="inlineStr">
        <is>
          <t>RT20250702-07285</t>
        </is>
      </c>
      <c r="B7286" s="59" t="inlineStr">
        <is>
          <t>2025-07-02</t>
        </is>
      </c>
      <c r="C7286" s="60" t="inlineStr">
        <is>
          <t>Vertex Accessorie Pro-881</t>
        </is>
      </c>
      <c r="D7286" s="58" t="inlineStr">
        <is>
          <t>Apparel</t>
        </is>
      </c>
      <c r="E7286" s="58" t="inlineStr">
        <is>
          <t>West</t>
        </is>
      </c>
      <c r="F7286" s="61" t="n">
        <v>2</v>
      </c>
      <c r="G7286" s="62" t="n">
        <v>124.62</v>
      </c>
      <c r="H7286" s="63" t="n">
        <v>0.057</v>
      </c>
      <c r="I7286" s="62" t="n">
        <v>61.15</v>
      </c>
      <c r="J7286" s="58" t="inlineStr">
        <is>
          <t>Online</t>
        </is>
      </c>
      <c r="K7286" s="62">
        <f>F7286*(G7286-H7286)</f>
        <v/>
      </c>
      <c r="L7286" s="62">
        <f>K7286-(F7286*I7286)</f>
        <v/>
      </c>
      <c r="M7286" s="64">
        <f>L7286/K7286</f>
        <v/>
      </c>
    </row>
    <row r="7287">
      <c r="A7287" s="58" t="inlineStr">
        <is>
          <t>RT20250702-07286</t>
        </is>
      </c>
      <c r="B7287" s="59" t="inlineStr">
        <is>
          <t>2025-07-02</t>
        </is>
      </c>
      <c r="C7287" s="60" t="inlineStr">
        <is>
          <t>Polar Cycling X-649</t>
        </is>
      </c>
      <c r="D7287" s="58" t="inlineStr">
        <is>
          <t>Sports</t>
        </is>
      </c>
      <c r="E7287" s="58" t="inlineStr">
        <is>
          <t>South</t>
        </is>
      </c>
      <c r="F7287" s="61" t="n">
        <v>2</v>
      </c>
      <c r="G7287" s="62" t="n">
        <v>555.99</v>
      </c>
      <c r="H7287" s="63" t="n">
        <v>0.038</v>
      </c>
      <c r="I7287" s="62" t="n">
        <v>358.13</v>
      </c>
      <c r="J7287" s="58" t="inlineStr">
        <is>
          <t>Online</t>
        </is>
      </c>
      <c r="K7287" s="62">
        <f>F7287*(G7287-H7287)</f>
        <v/>
      </c>
      <c r="L7287" s="62">
        <f>K7287-(F7287*I7287)</f>
        <v/>
      </c>
      <c r="M7287" s="64">
        <f>L7287/K7287</f>
        <v/>
      </c>
    </row>
    <row r="7288">
      <c r="A7288" s="58" t="inlineStr">
        <is>
          <t>RT20250702-07287</t>
        </is>
      </c>
      <c r="B7288" s="59" t="inlineStr">
        <is>
          <t>2025-07-02</t>
        </is>
      </c>
      <c r="C7288" s="60" t="inlineStr">
        <is>
          <t>Aurora Outdoor Pro-467</t>
        </is>
      </c>
      <c r="D7288" s="58" t="inlineStr">
        <is>
          <t>Sports</t>
        </is>
      </c>
      <c r="E7288" s="58" t="inlineStr">
        <is>
          <t>South</t>
        </is>
      </c>
      <c r="F7288" s="61" t="n">
        <v>2</v>
      </c>
      <c r="G7288" s="62" t="n">
        <v>288.12</v>
      </c>
      <c r="H7288" s="63" t="n">
        <v>0.06</v>
      </c>
      <c r="I7288" s="62" t="n">
        <v>188.33</v>
      </c>
      <c r="J7288" s="58" t="inlineStr">
        <is>
          <t>Store</t>
        </is>
      </c>
      <c r="K7288" s="62">
        <f>F7288*(G7288-H7288)</f>
        <v/>
      </c>
      <c r="L7288" s="62">
        <f>K7288-(F7288*I7288)</f>
        <v/>
      </c>
      <c r="M7288" s="64">
        <f>L7288/K7288</f>
        <v/>
      </c>
    </row>
    <row r="7289">
      <c r="A7289" s="58" t="inlineStr">
        <is>
          <t>RT20250702-07288</t>
        </is>
      </c>
      <c r="B7289" s="59" t="inlineStr">
        <is>
          <t>2025-07-02</t>
        </is>
      </c>
      <c r="C7289" s="60" t="inlineStr">
        <is>
          <t>Orion Snack X-322</t>
        </is>
      </c>
      <c r="D7289" s="58" t="inlineStr">
        <is>
          <t>Grocery</t>
        </is>
      </c>
      <c r="E7289" s="58" t="inlineStr">
        <is>
          <t>West</t>
        </is>
      </c>
      <c r="F7289" s="61" t="n">
        <v>4</v>
      </c>
      <c r="G7289" s="62" t="n">
        <v>11.6</v>
      </c>
      <c r="H7289" s="63" t="n">
        <v>0.111</v>
      </c>
      <c r="I7289" s="62" t="n">
        <v>10.02</v>
      </c>
      <c r="J7289" s="58" t="inlineStr">
        <is>
          <t>Online</t>
        </is>
      </c>
      <c r="K7289" s="62">
        <f>F7289*(G7289-H7289)</f>
        <v/>
      </c>
      <c r="L7289" s="62">
        <f>K7289-(F7289*I7289)</f>
        <v/>
      </c>
      <c r="M7289" s="64">
        <f>L7289/K7289</f>
        <v/>
      </c>
    </row>
    <row r="7290">
      <c r="A7290" s="58" t="inlineStr">
        <is>
          <t>RT20250702-07289</t>
        </is>
      </c>
      <c r="B7290" s="59" t="inlineStr">
        <is>
          <t>2025-07-02</t>
        </is>
      </c>
      <c r="C7290" s="60" t="inlineStr">
        <is>
          <t>Aurora Team Sport Plus-256</t>
        </is>
      </c>
      <c r="D7290" s="58" t="inlineStr">
        <is>
          <t>Sports</t>
        </is>
      </c>
      <c r="E7290" s="58" t="inlineStr">
        <is>
          <t>Central</t>
        </is>
      </c>
      <c r="F7290" s="61" t="n">
        <v>2</v>
      </c>
      <c r="G7290" s="62" t="n">
        <v>688.61</v>
      </c>
      <c r="H7290" s="63" t="n">
        <v>0.094</v>
      </c>
      <c r="I7290" s="62" t="n">
        <v>421.65</v>
      </c>
      <c r="J7290" s="58" t="inlineStr">
        <is>
          <t>Store</t>
        </is>
      </c>
      <c r="K7290" s="62">
        <f>F7290*(G7290-H7290)</f>
        <v/>
      </c>
      <c r="L7290" s="62">
        <f>K7290-(F7290*I7290)</f>
        <v/>
      </c>
      <c r="M7290" s="64">
        <f>L7290/K7290</f>
        <v/>
      </c>
    </row>
    <row r="7291">
      <c r="A7291" s="58" t="inlineStr">
        <is>
          <t>RT20250702-07290</t>
        </is>
      </c>
      <c r="B7291" s="59" t="inlineStr">
        <is>
          <t>2025-07-02</t>
        </is>
      </c>
      <c r="C7291" s="60" t="inlineStr">
        <is>
          <t>Vertex Fitnes Pro-830</t>
        </is>
      </c>
      <c r="D7291" s="58" t="inlineStr">
        <is>
          <t>Sports</t>
        </is>
      </c>
      <c r="E7291" s="58" t="inlineStr">
        <is>
          <t>South</t>
        </is>
      </c>
      <c r="F7291" s="61" t="n">
        <v>3</v>
      </c>
      <c r="G7291" s="62" t="n">
        <v>702.2</v>
      </c>
      <c r="H7291" s="63" t="n">
        <v>0.099</v>
      </c>
      <c r="I7291" s="62" t="n">
        <v>466.4</v>
      </c>
      <c r="J7291" s="58" t="inlineStr">
        <is>
          <t>Online</t>
        </is>
      </c>
      <c r="K7291" s="62">
        <f>F7291*(G7291-H7291)</f>
        <v/>
      </c>
      <c r="L7291" s="62">
        <f>K7291-(F7291*I7291)</f>
        <v/>
      </c>
      <c r="M7291" s="64">
        <f>L7291/K7291</f>
        <v/>
      </c>
    </row>
    <row r="7292">
      <c r="A7292" s="58" t="inlineStr">
        <is>
          <t>RT20250702-07291</t>
        </is>
      </c>
      <c r="B7292" s="59" t="inlineStr">
        <is>
          <t>2025-07-02</t>
        </is>
      </c>
      <c r="C7292" s="60" t="inlineStr">
        <is>
          <t>Metro Accessorie Lite-697</t>
        </is>
      </c>
      <c r="D7292" s="58" t="inlineStr">
        <is>
          <t>Apparel</t>
        </is>
      </c>
      <c r="E7292" s="58" t="inlineStr">
        <is>
          <t>South</t>
        </is>
      </c>
      <c r="F7292" s="61" t="n">
        <v>3</v>
      </c>
      <c r="G7292" s="62" t="n">
        <v>136.1</v>
      </c>
      <c r="H7292" s="63" t="n">
        <v>0.116</v>
      </c>
      <c r="I7292" s="62" t="n">
        <v>74.06</v>
      </c>
      <c r="J7292" s="58" t="inlineStr">
        <is>
          <t>Store</t>
        </is>
      </c>
      <c r="K7292" s="62">
        <f>F7292*(G7292-H7292)</f>
        <v/>
      </c>
      <c r="L7292" s="62">
        <f>K7292-(F7292*I7292)</f>
        <v/>
      </c>
      <c r="M7292" s="64">
        <f>L7292/K7292</f>
        <v/>
      </c>
    </row>
    <row r="7293">
      <c r="A7293" s="58" t="inlineStr">
        <is>
          <t>RT20250702-07292</t>
        </is>
      </c>
      <c r="B7293" s="59" t="inlineStr">
        <is>
          <t>2025-07-02</t>
        </is>
      </c>
      <c r="C7293" s="60" t="inlineStr">
        <is>
          <t>Orion Haircare Plus-887</t>
        </is>
      </c>
      <c r="D7293" s="58" t="inlineStr">
        <is>
          <t>Beauty</t>
        </is>
      </c>
      <c r="E7293" s="58" t="inlineStr">
        <is>
          <t>South</t>
        </is>
      </c>
      <c r="F7293" s="61" t="n">
        <v>5</v>
      </c>
      <c r="G7293" s="62" t="n">
        <v>48.88</v>
      </c>
      <c r="H7293" s="63" t="n">
        <v>0.052</v>
      </c>
      <c r="I7293" s="62" t="n">
        <v>30.82</v>
      </c>
      <c r="J7293" s="58" t="inlineStr">
        <is>
          <t>Online</t>
        </is>
      </c>
      <c r="K7293" s="62">
        <f>F7293*(G7293-H7293)</f>
        <v/>
      </c>
      <c r="L7293" s="62">
        <f>K7293-(F7293*I7293)</f>
        <v/>
      </c>
      <c r="M7293" s="64">
        <f>L7293/K7293</f>
        <v/>
      </c>
    </row>
    <row r="7294">
      <c r="A7294" s="58" t="inlineStr">
        <is>
          <t>RT20250702-07293</t>
        </is>
      </c>
      <c r="B7294" s="59" t="inlineStr">
        <is>
          <t>2025-07-02</t>
        </is>
      </c>
      <c r="C7294" s="60" t="inlineStr">
        <is>
          <t>Polar Outdoor Lite-318</t>
        </is>
      </c>
      <c r="D7294" s="58" t="inlineStr">
        <is>
          <t>Sports</t>
        </is>
      </c>
      <c r="E7294" s="58" t="inlineStr">
        <is>
          <t>North</t>
        </is>
      </c>
      <c r="F7294" s="61" t="n">
        <v>3</v>
      </c>
      <c r="G7294" s="62" t="n">
        <v>651.98</v>
      </c>
      <c r="H7294" s="63" t="n">
        <v>0.067</v>
      </c>
      <c r="I7294" s="62" t="n">
        <v>457.14</v>
      </c>
      <c r="J7294" s="58" t="inlineStr">
        <is>
          <t>Online</t>
        </is>
      </c>
      <c r="K7294" s="62">
        <f>F7294*(G7294-H7294)</f>
        <v/>
      </c>
      <c r="L7294" s="62">
        <f>K7294-(F7294*I7294)</f>
        <v/>
      </c>
      <c r="M7294" s="64">
        <f>L7294/K7294</f>
        <v/>
      </c>
    </row>
    <row r="7295">
      <c r="A7295" s="58" t="inlineStr">
        <is>
          <t>RT20250702-07294</t>
        </is>
      </c>
      <c r="B7295" s="59" t="inlineStr">
        <is>
          <t>2025-07-02</t>
        </is>
      </c>
      <c r="C7295" s="60" t="inlineStr">
        <is>
          <t>Vertex Printer Max-692</t>
        </is>
      </c>
      <c r="D7295" s="58" t="inlineStr">
        <is>
          <t>Office</t>
        </is>
      </c>
      <c r="E7295" s="58" t="inlineStr">
        <is>
          <t>Central</t>
        </is>
      </c>
      <c r="F7295" s="61" t="n">
        <v>2</v>
      </c>
      <c r="G7295" s="62" t="n">
        <v>176.63</v>
      </c>
      <c r="H7295" s="63" t="n">
        <v>0.042</v>
      </c>
      <c r="I7295" s="62" t="n">
        <v>121.73</v>
      </c>
      <c r="J7295" s="58" t="inlineStr">
        <is>
          <t>Online</t>
        </is>
      </c>
      <c r="K7295" s="62">
        <f>F7295*(G7295-H7295)</f>
        <v/>
      </c>
      <c r="L7295" s="62">
        <f>K7295-(F7295*I7295)</f>
        <v/>
      </c>
      <c r="M7295" s="64">
        <f>L7295/K7295</f>
        <v/>
      </c>
    </row>
    <row r="7296">
      <c r="A7296" s="58" t="inlineStr">
        <is>
          <t>RT20250702-07295</t>
        </is>
      </c>
      <c r="B7296" s="59" t="inlineStr">
        <is>
          <t>2025-07-02</t>
        </is>
      </c>
      <c r="C7296" s="60" t="inlineStr">
        <is>
          <t>Polar Outdoor X-193</t>
        </is>
      </c>
      <c r="D7296" s="58" t="inlineStr">
        <is>
          <t>Sports</t>
        </is>
      </c>
      <c r="E7296" s="58" t="inlineStr">
        <is>
          <t>Central</t>
        </is>
      </c>
      <c r="F7296" s="61" t="n">
        <v>2</v>
      </c>
      <c r="G7296" s="62" t="n">
        <v>711.67</v>
      </c>
      <c r="H7296" s="63" t="n">
        <v>0.063</v>
      </c>
      <c r="I7296" s="62" t="n">
        <v>447.44</v>
      </c>
      <c r="J7296" s="58" t="inlineStr">
        <is>
          <t>Store</t>
        </is>
      </c>
      <c r="K7296" s="62">
        <f>F7296*(G7296-H7296)</f>
        <v/>
      </c>
      <c r="L7296" s="62">
        <f>K7296-(F7296*I7296)</f>
        <v/>
      </c>
      <c r="M7296" s="64">
        <f>L7296/K7296</f>
        <v/>
      </c>
    </row>
    <row r="7297">
      <c r="A7297" s="58" t="inlineStr">
        <is>
          <t>RT20250703-07296</t>
        </is>
      </c>
      <c r="B7297" s="59" t="inlineStr">
        <is>
          <t>2025-07-03</t>
        </is>
      </c>
      <c r="C7297" s="60" t="inlineStr">
        <is>
          <t>Falcon Furniture Plus-839</t>
        </is>
      </c>
      <c r="D7297" s="58" t="inlineStr">
        <is>
          <t>Office</t>
        </is>
      </c>
      <c r="E7297" s="58" t="inlineStr">
        <is>
          <t>South</t>
        </is>
      </c>
      <c r="F7297" s="61" t="n">
        <v>1</v>
      </c>
      <c r="G7297" s="62" t="n">
        <v>329.51</v>
      </c>
      <c r="H7297" s="63" t="n">
        <v>0.041</v>
      </c>
      <c r="I7297" s="62" t="n">
        <v>231.14</v>
      </c>
      <c r="J7297" s="58" t="inlineStr">
        <is>
          <t>Online</t>
        </is>
      </c>
      <c r="K7297" s="62">
        <f>F7297*(G7297-H7297)</f>
        <v/>
      </c>
      <c r="L7297" s="62">
        <f>K7297-(F7297*I7297)</f>
        <v/>
      </c>
      <c r="M7297" s="64">
        <f>L7297/K7297</f>
        <v/>
      </c>
    </row>
    <row r="7298">
      <c r="A7298" s="58" t="inlineStr">
        <is>
          <t>RT20250703-07297</t>
        </is>
      </c>
      <c r="B7298" s="59" t="inlineStr">
        <is>
          <t>2025-07-03</t>
        </is>
      </c>
      <c r="C7298" s="60" t="inlineStr">
        <is>
          <t>Vertex Snack S-702</t>
        </is>
      </c>
      <c r="D7298" s="58" t="inlineStr">
        <is>
          <t>Grocery</t>
        </is>
      </c>
      <c r="E7298" s="58" t="inlineStr">
        <is>
          <t>South</t>
        </is>
      </c>
      <c r="F7298" s="61" t="n">
        <v>2</v>
      </c>
      <c r="G7298" s="62" t="n">
        <v>1.85</v>
      </c>
      <c r="H7298" s="63" t="n">
        <v>0.077</v>
      </c>
      <c r="I7298" s="62" t="n">
        <v>1.51</v>
      </c>
      <c r="J7298" s="58" t="inlineStr">
        <is>
          <t>Online</t>
        </is>
      </c>
      <c r="K7298" s="62">
        <f>F7298*(G7298-H7298)</f>
        <v/>
      </c>
      <c r="L7298" s="62">
        <f>K7298-(F7298*I7298)</f>
        <v/>
      </c>
      <c r="M7298" s="64">
        <f>L7298/K7298</f>
        <v/>
      </c>
    </row>
    <row r="7299">
      <c r="A7299" s="58" t="inlineStr">
        <is>
          <t>RT20250703-07298</t>
        </is>
      </c>
      <c r="B7299" s="59" t="inlineStr">
        <is>
          <t>2025-07-03</t>
        </is>
      </c>
      <c r="C7299" s="60" t="inlineStr">
        <is>
          <t>Falcon Household Plus-172</t>
        </is>
      </c>
      <c r="D7299" s="58" t="inlineStr">
        <is>
          <t>Grocery</t>
        </is>
      </c>
      <c r="E7299" s="58" t="inlineStr">
        <is>
          <t>East</t>
        </is>
      </c>
      <c r="F7299" s="61" t="n">
        <v>7</v>
      </c>
      <c r="G7299" s="62" t="n">
        <v>20.66</v>
      </c>
      <c r="H7299" s="63" t="n">
        <v>0.082</v>
      </c>
      <c r="I7299" s="62" t="n">
        <v>15.9</v>
      </c>
      <c r="J7299" s="58" t="inlineStr">
        <is>
          <t>Online</t>
        </is>
      </c>
      <c r="K7299" s="62">
        <f>F7299*(G7299-H7299)</f>
        <v/>
      </c>
      <c r="L7299" s="62">
        <f>K7299-(F7299*I7299)</f>
        <v/>
      </c>
      <c r="M7299" s="64">
        <f>L7299/K7299</f>
        <v/>
      </c>
    </row>
    <row r="7300">
      <c r="A7300" s="58" t="inlineStr">
        <is>
          <t>RT20250703-07299</t>
        </is>
      </c>
      <c r="B7300" s="59" t="inlineStr">
        <is>
          <t>2025-07-03</t>
        </is>
      </c>
      <c r="C7300" s="60" t="inlineStr">
        <is>
          <t>Metro Accessorie Lite-697</t>
        </is>
      </c>
      <c r="D7300" s="58" t="inlineStr">
        <is>
          <t>Apparel</t>
        </is>
      </c>
      <c r="E7300" s="58" t="inlineStr">
        <is>
          <t>East</t>
        </is>
      </c>
      <c r="F7300" s="61" t="n">
        <v>1</v>
      </c>
      <c r="G7300" s="62" t="n">
        <v>156.39</v>
      </c>
      <c r="H7300" s="63" t="n">
        <v>0.09</v>
      </c>
      <c r="I7300" s="62" t="n">
        <v>78.70999999999999</v>
      </c>
      <c r="J7300" s="58" t="inlineStr">
        <is>
          <t>Store</t>
        </is>
      </c>
      <c r="K7300" s="62">
        <f>F7300*(G7300-H7300)</f>
        <v/>
      </c>
      <c r="L7300" s="62">
        <f>K7300-(F7300*I7300)</f>
        <v/>
      </c>
      <c r="M7300" s="64">
        <f>L7300/K7300</f>
        <v/>
      </c>
    </row>
    <row r="7301">
      <c r="A7301" s="58" t="inlineStr">
        <is>
          <t>RT20250703-07300</t>
        </is>
      </c>
      <c r="B7301" s="59" t="inlineStr">
        <is>
          <t>2025-07-03</t>
        </is>
      </c>
      <c r="C7301" s="60" t="inlineStr">
        <is>
          <t>Nimbus Furniture Pro-479</t>
        </is>
      </c>
      <c r="D7301" s="58" t="inlineStr">
        <is>
          <t>Office</t>
        </is>
      </c>
      <c r="E7301" s="58" t="inlineStr">
        <is>
          <t>South</t>
        </is>
      </c>
      <c r="F7301" s="61" t="n">
        <v>2</v>
      </c>
      <c r="G7301" s="62" t="n">
        <v>330.56</v>
      </c>
      <c r="H7301" s="63" t="n">
        <v>0.021</v>
      </c>
      <c r="I7301" s="62" t="n">
        <v>234.62</v>
      </c>
      <c r="J7301" s="58" t="inlineStr">
        <is>
          <t>Store</t>
        </is>
      </c>
      <c r="K7301" s="62">
        <f>F7301*(G7301-H7301)</f>
        <v/>
      </c>
      <c r="L7301" s="62">
        <f>K7301-(F7301*I7301)</f>
        <v/>
      </c>
      <c r="M7301" s="64">
        <f>L7301/K7301</f>
        <v/>
      </c>
    </row>
    <row r="7302">
      <c r="A7302" s="58" t="inlineStr">
        <is>
          <t>RT20250703-07301</t>
        </is>
      </c>
      <c r="B7302" s="59" t="inlineStr">
        <is>
          <t>2025-07-03</t>
        </is>
      </c>
      <c r="C7302" s="60" t="inlineStr">
        <is>
          <t>Vertex Skincare Pro-891</t>
        </is>
      </c>
      <c r="D7302" s="58" t="inlineStr">
        <is>
          <t>Beauty</t>
        </is>
      </c>
      <c r="E7302" s="58" t="inlineStr">
        <is>
          <t>East</t>
        </is>
      </c>
      <c r="F7302" s="61" t="n">
        <v>4</v>
      </c>
      <c r="G7302" s="62" t="n">
        <v>154.06</v>
      </c>
      <c r="H7302" s="63" t="n">
        <v>0.066</v>
      </c>
      <c r="I7302" s="62" t="n">
        <v>90.29000000000001</v>
      </c>
      <c r="J7302" s="58" t="inlineStr">
        <is>
          <t>Phone</t>
        </is>
      </c>
      <c r="K7302" s="62">
        <f>F7302*(G7302-H7302)</f>
        <v/>
      </c>
      <c r="L7302" s="62">
        <f>K7302-(F7302*I7302)</f>
        <v/>
      </c>
      <c r="M7302" s="64">
        <f>L7302/K7302</f>
        <v/>
      </c>
    </row>
    <row r="7303">
      <c r="A7303" s="58" t="inlineStr">
        <is>
          <t>RT20250703-07302</t>
        </is>
      </c>
      <c r="B7303" s="59" t="inlineStr">
        <is>
          <t>2025-07-03</t>
        </is>
      </c>
      <c r="C7303" s="60" t="inlineStr">
        <is>
          <t>Nimbus Decor Lite-385</t>
        </is>
      </c>
      <c r="D7303" s="58" t="inlineStr">
        <is>
          <t>Home</t>
        </is>
      </c>
      <c r="E7303" s="58" t="inlineStr">
        <is>
          <t>West</t>
        </is>
      </c>
      <c r="F7303" s="61" t="n">
        <v>1</v>
      </c>
      <c r="G7303" s="62" t="n">
        <v>519.51</v>
      </c>
      <c r="H7303" s="63" t="n">
        <v>0.075</v>
      </c>
      <c r="I7303" s="62" t="n">
        <v>389.19</v>
      </c>
      <c r="J7303" s="58" t="inlineStr">
        <is>
          <t>Online</t>
        </is>
      </c>
      <c r="K7303" s="62">
        <f>F7303*(G7303-H7303)</f>
        <v/>
      </c>
      <c r="L7303" s="62">
        <f>K7303-(F7303*I7303)</f>
        <v/>
      </c>
      <c r="M7303" s="64">
        <f>L7303/K7303</f>
        <v/>
      </c>
    </row>
    <row r="7304">
      <c r="A7304" s="58" t="inlineStr">
        <is>
          <t>RT20250703-07303</t>
        </is>
      </c>
      <c r="B7304" s="59" t="inlineStr">
        <is>
          <t>2025-07-03</t>
        </is>
      </c>
      <c r="C7304" s="60" t="inlineStr">
        <is>
          <t>Vertex Accessorie Pro-881</t>
        </is>
      </c>
      <c r="D7304" s="58" t="inlineStr">
        <is>
          <t>Apparel</t>
        </is>
      </c>
      <c r="E7304" s="58" t="inlineStr">
        <is>
          <t>Central</t>
        </is>
      </c>
      <c r="F7304" s="61" t="n">
        <v>4</v>
      </c>
      <c r="G7304" s="62" t="n">
        <v>116.88</v>
      </c>
      <c r="H7304" s="63" t="n">
        <v>0.095</v>
      </c>
      <c r="I7304" s="62" t="n">
        <v>63.53</v>
      </c>
      <c r="J7304" s="58" t="inlineStr">
        <is>
          <t>Online</t>
        </is>
      </c>
      <c r="K7304" s="62">
        <f>F7304*(G7304-H7304)</f>
        <v/>
      </c>
      <c r="L7304" s="62">
        <f>K7304-(F7304*I7304)</f>
        <v/>
      </c>
      <c r="M7304" s="64">
        <f>L7304/K7304</f>
        <v/>
      </c>
    </row>
    <row r="7305">
      <c r="A7305" s="58" t="inlineStr">
        <is>
          <t>RT20250703-07304</t>
        </is>
      </c>
      <c r="B7305" s="59" t="inlineStr">
        <is>
          <t>2025-07-03</t>
        </is>
      </c>
      <c r="C7305" s="60" t="inlineStr">
        <is>
          <t>Solace Kitchen Pro-510</t>
        </is>
      </c>
      <c r="D7305" s="58" t="inlineStr">
        <is>
          <t>Home</t>
        </is>
      </c>
      <c r="E7305" s="58" t="inlineStr">
        <is>
          <t>Central</t>
        </is>
      </c>
      <c r="F7305" s="61" t="n">
        <v>1</v>
      </c>
      <c r="G7305" s="62" t="n">
        <v>459.86</v>
      </c>
      <c r="H7305" s="63" t="n">
        <v>0.08</v>
      </c>
      <c r="I7305" s="62" t="n">
        <v>303.49</v>
      </c>
      <c r="J7305" s="58" t="inlineStr">
        <is>
          <t>Online</t>
        </is>
      </c>
      <c r="K7305" s="62">
        <f>F7305*(G7305-H7305)</f>
        <v/>
      </c>
      <c r="L7305" s="62">
        <f>K7305-(F7305*I7305)</f>
        <v/>
      </c>
      <c r="M7305" s="64">
        <f>L7305/K7305</f>
        <v/>
      </c>
    </row>
    <row r="7306">
      <c r="A7306" s="58" t="inlineStr">
        <is>
          <t>RT20250703-07305</t>
        </is>
      </c>
      <c r="B7306" s="59" t="inlineStr">
        <is>
          <t>2025-07-03</t>
        </is>
      </c>
      <c r="C7306" s="60" t="inlineStr">
        <is>
          <t>Solace Laptop S-367</t>
        </is>
      </c>
      <c r="D7306" s="58" t="inlineStr">
        <is>
          <t>Electronics</t>
        </is>
      </c>
      <c r="E7306" s="58" t="inlineStr">
        <is>
          <t>North</t>
        </is>
      </c>
      <c r="F7306" s="61" t="n">
        <v>2</v>
      </c>
      <c r="G7306" s="62" t="n">
        <v>1943.8</v>
      </c>
      <c r="H7306" s="63" t="n">
        <v>0.079</v>
      </c>
      <c r="I7306" s="62" t="n">
        <v>1527.47</v>
      </c>
      <c r="J7306" s="58" t="inlineStr">
        <is>
          <t>Online</t>
        </is>
      </c>
      <c r="K7306" s="62">
        <f>F7306*(G7306-H7306)</f>
        <v/>
      </c>
      <c r="L7306" s="62">
        <f>K7306-(F7306*I7306)</f>
        <v/>
      </c>
      <c r="M7306" s="64">
        <f>L7306/K7306</f>
        <v/>
      </c>
    </row>
    <row r="7307">
      <c r="A7307" s="58" t="inlineStr">
        <is>
          <t>RT20250703-07306</t>
        </is>
      </c>
      <c r="B7307" s="59" t="inlineStr">
        <is>
          <t>2025-07-03</t>
        </is>
      </c>
      <c r="C7307" s="60" t="inlineStr">
        <is>
          <t>Polar Haircare Max-614</t>
        </is>
      </c>
      <c r="D7307" s="58" t="inlineStr">
        <is>
          <t>Beauty</t>
        </is>
      </c>
      <c r="E7307" s="58" t="inlineStr">
        <is>
          <t>West</t>
        </is>
      </c>
      <c r="F7307" s="61" t="n">
        <v>2</v>
      </c>
      <c r="G7307" s="62" t="n">
        <v>120.27</v>
      </c>
      <c r="H7307" s="63" t="n">
        <v>0.073</v>
      </c>
      <c r="I7307" s="62" t="n">
        <v>69.20999999999999</v>
      </c>
      <c r="J7307" s="58" t="inlineStr">
        <is>
          <t>Online</t>
        </is>
      </c>
      <c r="K7307" s="62">
        <f>F7307*(G7307-H7307)</f>
        <v/>
      </c>
      <c r="L7307" s="62">
        <f>K7307-(F7307*I7307)</f>
        <v/>
      </c>
      <c r="M7307" s="64">
        <f>L7307/K7307</f>
        <v/>
      </c>
    </row>
    <row r="7308">
      <c r="A7308" s="58" t="inlineStr">
        <is>
          <t>RT20250703-07307</t>
        </is>
      </c>
      <c r="B7308" s="59" t="inlineStr">
        <is>
          <t>2025-07-03</t>
        </is>
      </c>
      <c r="C7308" s="60" t="inlineStr">
        <is>
          <t>Aurora Wearable Lite-704</t>
        </is>
      </c>
      <c r="D7308" s="58" t="inlineStr">
        <is>
          <t>Electronics</t>
        </is>
      </c>
      <c r="E7308" s="58" t="inlineStr">
        <is>
          <t>Central</t>
        </is>
      </c>
      <c r="F7308" s="61" t="n">
        <v>2</v>
      </c>
      <c r="G7308" s="62" t="n">
        <v>1826.74</v>
      </c>
      <c r="H7308" s="63" t="n">
        <v>0.089</v>
      </c>
      <c r="I7308" s="62" t="n">
        <v>1454.17</v>
      </c>
      <c r="J7308" s="58" t="inlineStr">
        <is>
          <t>Online</t>
        </is>
      </c>
      <c r="K7308" s="62">
        <f>F7308*(G7308-H7308)</f>
        <v/>
      </c>
      <c r="L7308" s="62">
        <f>K7308-(F7308*I7308)</f>
        <v/>
      </c>
      <c r="M7308" s="64">
        <f>L7308/K7308</f>
        <v/>
      </c>
    </row>
    <row r="7309">
      <c r="A7309" s="58" t="inlineStr">
        <is>
          <t>RT20250703-07308</t>
        </is>
      </c>
      <c r="B7309" s="59" t="inlineStr">
        <is>
          <t>2025-07-03</t>
        </is>
      </c>
      <c r="C7309" s="60" t="inlineStr">
        <is>
          <t>Aurora Smartphone Plus-125</t>
        </is>
      </c>
      <c r="D7309" s="58" t="inlineStr">
        <is>
          <t>Electronics</t>
        </is>
      </c>
      <c r="E7309" s="58" t="inlineStr">
        <is>
          <t>Central</t>
        </is>
      </c>
      <c r="F7309" s="61" t="n">
        <v>1</v>
      </c>
      <c r="G7309" s="62" t="n">
        <v>1229.17</v>
      </c>
      <c r="H7309" s="63" t="n">
        <v>0.089</v>
      </c>
      <c r="I7309" s="62" t="n">
        <v>1087.16</v>
      </c>
      <c r="J7309" s="58" t="inlineStr">
        <is>
          <t>Online</t>
        </is>
      </c>
      <c r="K7309" s="62">
        <f>F7309*(G7309-H7309)</f>
        <v/>
      </c>
      <c r="L7309" s="62">
        <f>K7309-(F7309*I7309)</f>
        <v/>
      </c>
      <c r="M7309" s="64">
        <f>L7309/K7309</f>
        <v/>
      </c>
    </row>
    <row r="7310">
      <c r="A7310" s="58" t="inlineStr">
        <is>
          <t>RT20250703-07309</t>
        </is>
      </c>
      <c r="B7310" s="59" t="inlineStr">
        <is>
          <t>2025-07-03</t>
        </is>
      </c>
      <c r="C7310" s="60" t="inlineStr">
        <is>
          <t>Polar Women Max-927</t>
        </is>
      </c>
      <c r="D7310" s="58" t="inlineStr">
        <is>
          <t>Apparel</t>
        </is>
      </c>
      <c r="E7310" s="58" t="inlineStr">
        <is>
          <t>West</t>
        </is>
      </c>
      <c r="F7310" s="61" t="n">
        <v>3</v>
      </c>
      <c r="G7310" s="62" t="n">
        <v>109.01</v>
      </c>
      <c r="H7310" s="63" t="n">
        <v>0.013</v>
      </c>
      <c r="I7310" s="62" t="n">
        <v>65.2</v>
      </c>
      <c r="J7310" s="58" t="inlineStr">
        <is>
          <t>Online</t>
        </is>
      </c>
      <c r="K7310" s="62">
        <f>F7310*(G7310-H7310)</f>
        <v/>
      </c>
      <c r="L7310" s="62">
        <f>K7310-(F7310*I7310)</f>
        <v/>
      </c>
      <c r="M7310" s="64">
        <f>L7310/K7310</f>
        <v/>
      </c>
    </row>
    <row r="7311">
      <c r="A7311" s="58" t="inlineStr">
        <is>
          <t>RT20250703-07310</t>
        </is>
      </c>
      <c r="B7311" s="59" t="inlineStr">
        <is>
          <t>2025-07-03</t>
        </is>
      </c>
      <c r="C7311" s="60" t="inlineStr">
        <is>
          <t>Aurora Wearable Lite-704</t>
        </is>
      </c>
      <c r="D7311" s="58" t="inlineStr">
        <is>
          <t>Electronics</t>
        </is>
      </c>
      <c r="E7311" s="58" t="inlineStr">
        <is>
          <t>North</t>
        </is>
      </c>
      <c r="F7311" s="61" t="n">
        <v>1</v>
      </c>
      <c r="G7311" s="62" t="n">
        <v>1794.45</v>
      </c>
      <c r="H7311" s="63" t="n">
        <v>0.056</v>
      </c>
      <c r="I7311" s="62" t="n">
        <v>1433.87</v>
      </c>
      <c r="J7311" s="58" t="inlineStr">
        <is>
          <t>Online</t>
        </is>
      </c>
      <c r="K7311" s="62">
        <f>F7311*(G7311-H7311)</f>
        <v/>
      </c>
      <c r="L7311" s="62">
        <f>K7311-(F7311*I7311)</f>
        <v/>
      </c>
      <c r="M7311" s="64">
        <f>L7311/K7311</f>
        <v/>
      </c>
    </row>
    <row r="7312">
      <c r="A7312" s="58" t="inlineStr">
        <is>
          <t>RT20250703-07311</t>
        </is>
      </c>
      <c r="B7312" s="59" t="inlineStr">
        <is>
          <t>2025-07-03</t>
        </is>
      </c>
      <c r="C7312" s="60" t="inlineStr">
        <is>
          <t>Polar Snack Pro-641</t>
        </is>
      </c>
      <c r="D7312" s="58" t="inlineStr">
        <is>
          <t>Grocery</t>
        </is>
      </c>
      <c r="E7312" s="58" t="inlineStr">
        <is>
          <t>East</t>
        </is>
      </c>
      <c r="F7312" s="61" t="n">
        <v>1</v>
      </c>
      <c r="G7312" s="62" t="n">
        <v>11.64</v>
      </c>
      <c r="H7312" s="63" t="n">
        <v>0.055</v>
      </c>
      <c r="I7312" s="62" t="n">
        <v>9.550000000000001</v>
      </c>
      <c r="J7312" s="58" t="inlineStr">
        <is>
          <t>Online</t>
        </is>
      </c>
      <c r="K7312" s="62">
        <f>F7312*(G7312-H7312)</f>
        <v/>
      </c>
      <c r="L7312" s="62">
        <f>K7312-(F7312*I7312)</f>
        <v/>
      </c>
      <c r="M7312" s="64">
        <f>L7312/K7312</f>
        <v/>
      </c>
    </row>
    <row r="7313">
      <c r="A7313" s="58" t="inlineStr">
        <is>
          <t>RT20250703-07312</t>
        </is>
      </c>
      <c r="B7313" s="59" t="inlineStr">
        <is>
          <t>2025-07-03</t>
        </is>
      </c>
      <c r="C7313" s="60" t="inlineStr">
        <is>
          <t>Nimbus Laptop Max-652</t>
        </is>
      </c>
      <c r="D7313" s="58" t="inlineStr">
        <is>
          <t>Electronics</t>
        </is>
      </c>
      <c r="E7313" s="58" t="inlineStr">
        <is>
          <t>West</t>
        </is>
      </c>
      <c r="F7313" s="61" t="n">
        <v>1</v>
      </c>
      <c r="G7313" s="62" t="n">
        <v>1229.26</v>
      </c>
      <c r="H7313" s="63" t="n">
        <v>0.065</v>
      </c>
      <c r="I7313" s="62" t="n">
        <v>1049.43</v>
      </c>
      <c r="J7313" s="58" t="inlineStr">
        <is>
          <t>Online</t>
        </is>
      </c>
      <c r="K7313" s="62">
        <f>F7313*(G7313-H7313)</f>
        <v/>
      </c>
      <c r="L7313" s="62">
        <f>K7313-(F7313*I7313)</f>
        <v/>
      </c>
      <c r="M7313" s="64">
        <f>L7313/K7313</f>
        <v/>
      </c>
    </row>
    <row r="7314">
      <c r="A7314" s="58" t="inlineStr">
        <is>
          <t>RT20250703-07313</t>
        </is>
      </c>
      <c r="B7314" s="59" t="inlineStr">
        <is>
          <t>2025-07-03</t>
        </is>
      </c>
      <c r="C7314" s="60" t="inlineStr">
        <is>
          <t>Solace Makeup Pro-214</t>
        </is>
      </c>
      <c r="D7314" s="58" t="inlineStr">
        <is>
          <t>Beauty</t>
        </is>
      </c>
      <c r="E7314" s="58" t="inlineStr">
        <is>
          <t>West</t>
        </is>
      </c>
      <c r="F7314" s="61" t="n">
        <v>3</v>
      </c>
      <c r="G7314" s="62" t="n">
        <v>103.88</v>
      </c>
      <c r="H7314" s="63" t="n">
        <v>0.07000000000000001</v>
      </c>
      <c r="I7314" s="62" t="n">
        <v>68.02</v>
      </c>
      <c r="J7314" s="58" t="inlineStr">
        <is>
          <t>Online</t>
        </is>
      </c>
      <c r="K7314" s="62">
        <f>F7314*(G7314-H7314)</f>
        <v/>
      </c>
      <c r="L7314" s="62">
        <f>K7314-(F7314*I7314)</f>
        <v/>
      </c>
      <c r="M7314" s="64">
        <f>L7314/K7314</f>
        <v/>
      </c>
    </row>
    <row r="7315">
      <c r="A7315" s="58" t="inlineStr">
        <is>
          <t>RT20250703-07314</t>
        </is>
      </c>
      <c r="B7315" s="59" t="inlineStr">
        <is>
          <t>2025-07-03</t>
        </is>
      </c>
      <c r="C7315" s="60" t="inlineStr">
        <is>
          <t>Aurora Makeup Pro-489</t>
        </is>
      </c>
      <c r="D7315" s="58" t="inlineStr">
        <is>
          <t>Beauty</t>
        </is>
      </c>
      <c r="E7315" s="58" t="inlineStr">
        <is>
          <t>North</t>
        </is>
      </c>
      <c r="F7315" s="61" t="n">
        <v>2</v>
      </c>
      <c r="G7315" s="62" t="n">
        <v>100.63</v>
      </c>
      <c r="H7315" s="63" t="n">
        <v>0.055</v>
      </c>
      <c r="I7315" s="62" t="n">
        <v>63.17</v>
      </c>
      <c r="J7315" s="58" t="inlineStr">
        <is>
          <t>Online</t>
        </is>
      </c>
      <c r="K7315" s="62">
        <f>F7315*(G7315-H7315)</f>
        <v/>
      </c>
      <c r="L7315" s="62">
        <f>K7315-(F7315*I7315)</f>
        <v/>
      </c>
      <c r="M7315" s="64">
        <f>L7315/K7315</f>
        <v/>
      </c>
    </row>
    <row r="7316">
      <c r="A7316" s="58" t="inlineStr">
        <is>
          <t>RT20250703-07315</t>
        </is>
      </c>
      <c r="B7316" s="59" t="inlineStr">
        <is>
          <t>2025-07-03</t>
        </is>
      </c>
      <c r="C7316" s="60" t="inlineStr">
        <is>
          <t>Solace Snack S-691</t>
        </is>
      </c>
      <c r="D7316" s="58" t="inlineStr">
        <is>
          <t>Grocery</t>
        </is>
      </c>
      <c r="E7316" s="58" t="inlineStr">
        <is>
          <t>East</t>
        </is>
      </c>
      <c r="F7316" s="61" t="n">
        <v>3</v>
      </c>
      <c r="G7316" s="62" t="n">
        <v>9.57</v>
      </c>
      <c r="H7316" s="63" t="n">
        <v>0.054</v>
      </c>
      <c r="I7316" s="62" t="n">
        <v>7.24</v>
      </c>
      <c r="J7316" s="58" t="inlineStr">
        <is>
          <t>Online</t>
        </is>
      </c>
      <c r="K7316" s="62">
        <f>F7316*(G7316-H7316)</f>
        <v/>
      </c>
      <c r="L7316" s="62">
        <f>K7316-(F7316*I7316)</f>
        <v/>
      </c>
      <c r="M7316" s="64">
        <f>L7316/K7316</f>
        <v/>
      </c>
    </row>
    <row r="7317">
      <c r="A7317" s="58" t="inlineStr">
        <is>
          <t>RT20250703-07316</t>
        </is>
      </c>
      <c r="B7317" s="59" t="inlineStr">
        <is>
          <t>2025-07-03</t>
        </is>
      </c>
      <c r="C7317" s="60" t="inlineStr">
        <is>
          <t>Aurora Furniture X-709</t>
        </is>
      </c>
      <c r="D7317" s="58" t="inlineStr">
        <is>
          <t>Office</t>
        </is>
      </c>
      <c r="E7317" s="58" t="inlineStr">
        <is>
          <t>South</t>
        </is>
      </c>
      <c r="F7317" s="61" t="n">
        <v>3</v>
      </c>
      <c r="G7317" s="62" t="n">
        <v>461.09</v>
      </c>
      <c r="H7317" s="63" t="n">
        <v>0.054</v>
      </c>
      <c r="I7317" s="62" t="n">
        <v>310.09</v>
      </c>
      <c r="J7317" s="58" t="inlineStr">
        <is>
          <t>Store</t>
        </is>
      </c>
      <c r="K7317" s="62">
        <f>F7317*(G7317-H7317)</f>
        <v/>
      </c>
      <c r="L7317" s="62">
        <f>K7317-(F7317*I7317)</f>
        <v/>
      </c>
      <c r="M7317" s="64">
        <f>L7317/K7317</f>
        <v/>
      </c>
    </row>
    <row r="7318">
      <c r="A7318" s="58" t="inlineStr">
        <is>
          <t>RT20250703-07317</t>
        </is>
      </c>
      <c r="B7318" s="59" t="inlineStr">
        <is>
          <t>2025-07-03</t>
        </is>
      </c>
      <c r="C7318" s="60" t="inlineStr">
        <is>
          <t>Solace Smartphone Lite-533</t>
        </is>
      </c>
      <c r="D7318" s="58" t="inlineStr">
        <is>
          <t>Electronics</t>
        </is>
      </c>
      <c r="E7318" s="58" t="inlineStr">
        <is>
          <t>Central</t>
        </is>
      </c>
      <c r="F7318" s="61" t="n">
        <v>2</v>
      </c>
      <c r="G7318" s="62" t="n">
        <v>1251.84</v>
      </c>
      <c r="H7318" s="63" t="n">
        <v>0.137</v>
      </c>
      <c r="I7318" s="62" t="n">
        <v>929.38</v>
      </c>
      <c r="J7318" s="58" t="inlineStr">
        <is>
          <t>Online</t>
        </is>
      </c>
      <c r="K7318" s="62">
        <f>F7318*(G7318-H7318)</f>
        <v/>
      </c>
      <c r="L7318" s="62">
        <f>K7318-(F7318*I7318)</f>
        <v/>
      </c>
      <c r="M7318" s="64">
        <f>L7318/K7318</f>
        <v/>
      </c>
    </row>
    <row r="7319">
      <c r="A7319" s="58" t="inlineStr">
        <is>
          <t>RT20250703-07318</t>
        </is>
      </c>
      <c r="B7319" s="59" t="inlineStr">
        <is>
          <t>2025-07-03</t>
        </is>
      </c>
      <c r="C7319" s="60" t="inlineStr">
        <is>
          <t>Metro Laptop Plus-376</t>
        </is>
      </c>
      <c r="D7319" s="58" t="inlineStr">
        <is>
          <t>Electronics</t>
        </is>
      </c>
      <c r="E7319" s="58" t="inlineStr">
        <is>
          <t>Central</t>
        </is>
      </c>
      <c r="F7319" s="61" t="n">
        <v>1</v>
      </c>
      <c r="G7319" s="62" t="n">
        <v>1302.34</v>
      </c>
      <c r="H7319" s="63" t="n">
        <v>0.08599999999999999</v>
      </c>
      <c r="I7319" s="62" t="n">
        <v>1042.89</v>
      </c>
      <c r="J7319" s="58" t="inlineStr">
        <is>
          <t>Online</t>
        </is>
      </c>
      <c r="K7319" s="62">
        <f>F7319*(G7319-H7319)</f>
        <v/>
      </c>
      <c r="L7319" s="62">
        <f>K7319-(F7319*I7319)</f>
        <v/>
      </c>
      <c r="M7319" s="64">
        <f>L7319/K7319</f>
        <v/>
      </c>
    </row>
    <row r="7320">
      <c r="A7320" s="58" t="inlineStr">
        <is>
          <t>RT20250703-07319</t>
        </is>
      </c>
      <c r="B7320" s="59" t="inlineStr">
        <is>
          <t>2025-07-03</t>
        </is>
      </c>
      <c r="C7320" s="60" t="inlineStr">
        <is>
          <t>Polar Beverage S-258</t>
        </is>
      </c>
      <c r="D7320" s="58" t="inlineStr">
        <is>
          <t>Grocery</t>
        </is>
      </c>
      <c r="E7320" s="58" t="inlineStr">
        <is>
          <t>South</t>
        </is>
      </c>
      <c r="F7320" s="61" t="n">
        <v>3</v>
      </c>
      <c r="G7320" s="62" t="n">
        <v>15.36</v>
      </c>
      <c r="H7320" s="63" t="n">
        <v>0.065</v>
      </c>
      <c r="I7320" s="62" t="n">
        <v>9.57</v>
      </c>
      <c r="J7320" s="58" t="inlineStr">
        <is>
          <t>Store</t>
        </is>
      </c>
      <c r="K7320" s="62">
        <f>F7320*(G7320-H7320)</f>
        <v/>
      </c>
      <c r="L7320" s="62">
        <f>K7320-(F7320*I7320)</f>
        <v/>
      </c>
      <c r="M7320" s="64">
        <f>L7320/K7320</f>
        <v/>
      </c>
    </row>
    <row r="7321">
      <c r="A7321" s="58" t="inlineStr">
        <is>
          <t>RT20250703-07320</t>
        </is>
      </c>
      <c r="B7321" s="59" t="inlineStr">
        <is>
          <t>2025-07-03</t>
        </is>
      </c>
      <c r="C7321" s="60" t="inlineStr">
        <is>
          <t>Orion Fragrance Lite-785</t>
        </is>
      </c>
      <c r="D7321" s="58" t="inlineStr">
        <is>
          <t>Beauty</t>
        </is>
      </c>
      <c r="E7321" s="58" t="inlineStr">
        <is>
          <t>South</t>
        </is>
      </c>
      <c r="F7321" s="61" t="n">
        <v>4</v>
      </c>
      <c r="G7321" s="62" t="n">
        <v>48.82</v>
      </c>
      <c r="H7321" s="63" t="n">
        <v>0.047</v>
      </c>
      <c r="I7321" s="62" t="n">
        <v>27.36</v>
      </c>
      <c r="J7321" s="58" t="inlineStr">
        <is>
          <t>Store</t>
        </is>
      </c>
      <c r="K7321" s="62">
        <f>F7321*(G7321-H7321)</f>
        <v/>
      </c>
      <c r="L7321" s="62">
        <f>K7321-(F7321*I7321)</f>
        <v/>
      </c>
      <c r="M7321" s="64">
        <f>L7321/K7321</f>
        <v/>
      </c>
    </row>
    <row r="7322">
      <c r="A7322" s="58" t="inlineStr">
        <is>
          <t>RT20250703-07321</t>
        </is>
      </c>
      <c r="B7322" s="59" t="inlineStr">
        <is>
          <t>2025-07-03</t>
        </is>
      </c>
      <c r="C7322" s="60" t="inlineStr">
        <is>
          <t>Falcon Haircare Pro-980</t>
        </is>
      </c>
      <c r="D7322" s="58" t="inlineStr">
        <is>
          <t>Beauty</t>
        </is>
      </c>
      <c r="E7322" s="58" t="inlineStr">
        <is>
          <t>South</t>
        </is>
      </c>
      <c r="F7322" s="61" t="n">
        <v>4</v>
      </c>
      <c r="G7322" s="62" t="n">
        <v>102.52</v>
      </c>
      <c r="H7322" s="63" t="n">
        <v>0.065</v>
      </c>
      <c r="I7322" s="62" t="n">
        <v>57.98</v>
      </c>
      <c r="J7322" s="58" t="inlineStr">
        <is>
          <t>Phone</t>
        </is>
      </c>
      <c r="K7322" s="62">
        <f>F7322*(G7322-H7322)</f>
        <v/>
      </c>
      <c r="L7322" s="62">
        <f>K7322-(F7322*I7322)</f>
        <v/>
      </c>
      <c r="M7322" s="64">
        <f>L7322/K7322</f>
        <v/>
      </c>
    </row>
    <row r="7323">
      <c r="A7323" s="58" t="inlineStr">
        <is>
          <t>RT20250703-07322</t>
        </is>
      </c>
      <c r="B7323" s="59" t="inlineStr">
        <is>
          <t>2025-07-03</t>
        </is>
      </c>
      <c r="C7323" s="60" t="inlineStr">
        <is>
          <t>Orion Beverage Plus-949</t>
        </is>
      </c>
      <c r="D7323" s="58" t="inlineStr">
        <is>
          <t>Grocery</t>
        </is>
      </c>
      <c r="E7323" s="58" t="inlineStr">
        <is>
          <t>Central</t>
        </is>
      </c>
      <c r="F7323" s="61" t="n">
        <v>2</v>
      </c>
      <c r="G7323" s="62" t="n">
        <v>16.82</v>
      </c>
      <c r="H7323" s="63" t="n">
        <v>0.091</v>
      </c>
      <c r="I7323" s="62" t="n">
        <v>13.38</v>
      </c>
      <c r="J7323" s="58" t="inlineStr">
        <is>
          <t>Store</t>
        </is>
      </c>
      <c r="K7323" s="62">
        <f>F7323*(G7323-H7323)</f>
        <v/>
      </c>
      <c r="L7323" s="62">
        <f>K7323-(F7323*I7323)</f>
        <v/>
      </c>
      <c r="M7323" s="64">
        <f>L7323/K7323</f>
        <v/>
      </c>
    </row>
    <row r="7324">
      <c r="A7324" s="58" t="inlineStr">
        <is>
          <t>RT20250703-07323</t>
        </is>
      </c>
      <c r="B7324" s="59" t="inlineStr">
        <is>
          <t>2025-07-03</t>
        </is>
      </c>
      <c r="C7324" s="60" t="inlineStr">
        <is>
          <t>Polar Outdoor X-193</t>
        </is>
      </c>
      <c r="D7324" s="58" t="inlineStr">
        <is>
          <t>Sports</t>
        </is>
      </c>
      <c r="E7324" s="58" t="inlineStr">
        <is>
          <t>East</t>
        </is>
      </c>
      <c r="F7324" s="61" t="n">
        <v>2</v>
      </c>
      <c r="G7324" s="62" t="n">
        <v>682.34</v>
      </c>
      <c r="H7324" s="63" t="n">
        <v>0.019</v>
      </c>
      <c r="I7324" s="62" t="n">
        <v>458.65</v>
      </c>
      <c r="J7324" s="58" t="inlineStr">
        <is>
          <t>Store</t>
        </is>
      </c>
      <c r="K7324" s="62">
        <f>F7324*(G7324-H7324)</f>
        <v/>
      </c>
      <c r="L7324" s="62">
        <f>K7324-(F7324*I7324)</f>
        <v/>
      </c>
      <c r="M7324" s="64">
        <f>L7324/K7324</f>
        <v/>
      </c>
    </row>
    <row r="7325">
      <c r="A7325" s="58" t="inlineStr">
        <is>
          <t>RT20250703-07324</t>
        </is>
      </c>
      <c r="B7325" s="59" t="inlineStr">
        <is>
          <t>2025-07-03</t>
        </is>
      </c>
      <c r="C7325" s="60" t="inlineStr">
        <is>
          <t>Nimbus Women Lite-814</t>
        </is>
      </c>
      <c r="D7325" s="58" t="inlineStr">
        <is>
          <t>Apparel</t>
        </is>
      </c>
      <c r="E7325" s="58" t="inlineStr">
        <is>
          <t>East</t>
        </is>
      </c>
      <c r="F7325" s="61" t="n">
        <v>3</v>
      </c>
      <c r="G7325" s="62" t="n">
        <v>142.02</v>
      </c>
      <c r="H7325" s="63" t="n">
        <v>0.082</v>
      </c>
      <c r="I7325" s="62" t="n">
        <v>80.93000000000001</v>
      </c>
      <c r="J7325" s="58" t="inlineStr">
        <is>
          <t>Store</t>
        </is>
      </c>
      <c r="K7325" s="62">
        <f>F7325*(G7325-H7325)</f>
        <v/>
      </c>
      <c r="L7325" s="62">
        <f>K7325-(F7325*I7325)</f>
        <v/>
      </c>
      <c r="M7325" s="64">
        <f>L7325/K7325</f>
        <v/>
      </c>
    </row>
    <row r="7326">
      <c r="A7326" s="58" t="inlineStr">
        <is>
          <t>RT20250703-07325</t>
        </is>
      </c>
      <c r="B7326" s="59" t="inlineStr">
        <is>
          <t>2025-07-03</t>
        </is>
      </c>
      <c r="C7326" s="60" t="inlineStr">
        <is>
          <t>Falcon Storage X-734</t>
        </is>
      </c>
      <c r="D7326" s="58" t="inlineStr">
        <is>
          <t>Office</t>
        </is>
      </c>
      <c r="E7326" s="58" t="inlineStr">
        <is>
          <t>Central</t>
        </is>
      </c>
      <c r="F7326" s="61" t="n">
        <v>3</v>
      </c>
      <c r="G7326" s="62" t="n">
        <v>382.96</v>
      </c>
      <c r="H7326" s="63" t="n">
        <v>0.082</v>
      </c>
      <c r="I7326" s="62" t="n">
        <v>291.02</v>
      </c>
      <c r="J7326" s="58" t="inlineStr">
        <is>
          <t>Online</t>
        </is>
      </c>
      <c r="K7326" s="62">
        <f>F7326*(G7326-H7326)</f>
        <v/>
      </c>
      <c r="L7326" s="62">
        <f>K7326-(F7326*I7326)</f>
        <v/>
      </c>
      <c r="M7326" s="64">
        <f>L7326/K7326</f>
        <v/>
      </c>
    </row>
    <row r="7327">
      <c r="A7327" s="58" t="inlineStr">
        <is>
          <t>RT20250703-07326</t>
        </is>
      </c>
      <c r="B7327" s="59" t="inlineStr">
        <is>
          <t>2025-07-03</t>
        </is>
      </c>
      <c r="C7327" s="60" t="inlineStr">
        <is>
          <t>Aurora Fitnes Lite-194</t>
        </is>
      </c>
      <c r="D7327" s="58" t="inlineStr">
        <is>
          <t>Sports</t>
        </is>
      </c>
      <c r="E7327" s="58" t="inlineStr">
        <is>
          <t>South</t>
        </is>
      </c>
      <c r="F7327" s="61" t="n">
        <v>1</v>
      </c>
      <c r="G7327" s="62" t="n">
        <v>770.52</v>
      </c>
      <c r="H7327" s="63" t="n">
        <v>0.054</v>
      </c>
      <c r="I7327" s="62" t="n">
        <v>450.67</v>
      </c>
      <c r="J7327" s="58" t="inlineStr">
        <is>
          <t>Online</t>
        </is>
      </c>
      <c r="K7327" s="62">
        <f>F7327*(G7327-H7327)</f>
        <v/>
      </c>
      <c r="L7327" s="62">
        <f>K7327-(F7327*I7327)</f>
        <v/>
      </c>
      <c r="M7327" s="64">
        <f>L7327/K7327</f>
        <v/>
      </c>
    </row>
    <row r="7328">
      <c r="A7328" s="58" t="inlineStr">
        <is>
          <t>RT20250703-07327</t>
        </is>
      </c>
      <c r="B7328" s="59" t="inlineStr">
        <is>
          <t>2025-07-03</t>
        </is>
      </c>
      <c r="C7328" s="60" t="inlineStr">
        <is>
          <t>Falcon Cycling Pro-499</t>
        </is>
      </c>
      <c r="D7328" s="58" t="inlineStr">
        <is>
          <t>Sports</t>
        </is>
      </c>
      <c r="E7328" s="58" t="inlineStr">
        <is>
          <t>West</t>
        </is>
      </c>
      <c r="F7328" s="61" t="n">
        <v>2</v>
      </c>
      <c r="G7328" s="62" t="n">
        <v>638.92</v>
      </c>
      <c r="H7328" s="63" t="n">
        <v>0.026</v>
      </c>
      <c r="I7328" s="62" t="n">
        <v>410.23</v>
      </c>
      <c r="J7328" s="58" t="inlineStr">
        <is>
          <t>Online</t>
        </is>
      </c>
      <c r="K7328" s="62">
        <f>F7328*(G7328-H7328)</f>
        <v/>
      </c>
      <c r="L7328" s="62">
        <f>K7328-(F7328*I7328)</f>
        <v/>
      </c>
      <c r="M7328" s="64">
        <f>L7328/K7328</f>
        <v/>
      </c>
    </row>
    <row r="7329">
      <c r="A7329" s="58" t="inlineStr">
        <is>
          <t>RT20250703-07328</t>
        </is>
      </c>
      <c r="B7329" s="59" t="inlineStr">
        <is>
          <t>2025-07-03</t>
        </is>
      </c>
      <c r="C7329" s="60" t="inlineStr">
        <is>
          <t>Polar Outdoor Lite-318</t>
        </is>
      </c>
      <c r="D7329" s="58" t="inlineStr">
        <is>
          <t>Sports</t>
        </is>
      </c>
      <c r="E7329" s="58" t="inlineStr">
        <is>
          <t>East</t>
        </is>
      </c>
      <c r="F7329" s="61" t="n">
        <v>1</v>
      </c>
      <c r="G7329" s="62" t="n">
        <v>713.4</v>
      </c>
      <c r="H7329" s="63" t="n">
        <v>0.031</v>
      </c>
      <c r="I7329" s="62" t="n">
        <v>468.76</v>
      </c>
      <c r="J7329" s="58" t="inlineStr">
        <is>
          <t>Store</t>
        </is>
      </c>
      <c r="K7329" s="62">
        <f>F7329*(G7329-H7329)</f>
        <v/>
      </c>
      <c r="L7329" s="62">
        <f>K7329-(F7329*I7329)</f>
        <v/>
      </c>
      <c r="M7329" s="64">
        <f>L7329/K7329</f>
        <v/>
      </c>
    </row>
    <row r="7330">
      <c r="A7330" s="58" t="inlineStr">
        <is>
          <t>RT20250703-07329</t>
        </is>
      </c>
      <c r="B7330" s="59" t="inlineStr">
        <is>
          <t>2025-07-03</t>
        </is>
      </c>
      <c r="C7330" s="60" t="inlineStr">
        <is>
          <t>Aurora Kid Plus-151</t>
        </is>
      </c>
      <c r="D7330" s="58" t="inlineStr">
        <is>
          <t>Apparel</t>
        </is>
      </c>
      <c r="E7330" s="58" t="inlineStr">
        <is>
          <t>West</t>
        </is>
      </c>
      <c r="F7330" s="61" t="n">
        <v>2</v>
      </c>
      <c r="G7330" s="62" t="n">
        <v>133.09</v>
      </c>
      <c r="H7330" s="63" t="n">
        <v>0.049</v>
      </c>
      <c r="I7330" s="62" t="n">
        <v>64.37</v>
      </c>
      <c r="J7330" s="58" t="inlineStr">
        <is>
          <t>Store</t>
        </is>
      </c>
      <c r="K7330" s="62">
        <f>F7330*(G7330-H7330)</f>
        <v/>
      </c>
      <c r="L7330" s="62">
        <f>K7330-(F7330*I7330)</f>
        <v/>
      </c>
      <c r="M7330" s="64">
        <f>L7330/K7330</f>
        <v/>
      </c>
    </row>
    <row r="7331">
      <c r="A7331" s="58" t="inlineStr">
        <is>
          <t>RT20250703-07330</t>
        </is>
      </c>
      <c r="B7331" s="59" t="inlineStr">
        <is>
          <t>2025-07-03</t>
        </is>
      </c>
      <c r="C7331" s="60" t="inlineStr">
        <is>
          <t>Falcon Household Pro-865</t>
        </is>
      </c>
      <c r="D7331" s="58" t="inlineStr">
        <is>
          <t>Grocery</t>
        </is>
      </c>
      <c r="E7331" s="58" t="inlineStr">
        <is>
          <t>East</t>
        </is>
      </c>
      <c r="F7331" s="61" t="n">
        <v>3</v>
      </c>
      <c r="G7331" s="62" t="n">
        <v>10.79</v>
      </c>
      <c r="H7331" s="63" t="n">
        <v>0.041</v>
      </c>
      <c r="I7331" s="62" t="n">
        <v>7.83</v>
      </c>
      <c r="J7331" s="58" t="inlineStr">
        <is>
          <t>Store</t>
        </is>
      </c>
      <c r="K7331" s="62">
        <f>F7331*(G7331-H7331)</f>
        <v/>
      </c>
      <c r="L7331" s="62">
        <f>K7331-(F7331*I7331)</f>
        <v/>
      </c>
      <c r="M7331" s="64">
        <f>L7331/K7331</f>
        <v/>
      </c>
    </row>
    <row r="7332">
      <c r="A7332" s="58" t="inlineStr">
        <is>
          <t>RT20250703-07331</t>
        </is>
      </c>
      <c r="B7332" s="59" t="inlineStr">
        <is>
          <t>2025-07-03</t>
        </is>
      </c>
      <c r="C7332" s="60" t="inlineStr">
        <is>
          <t>Aurora Printer Plus-723</t>
        </is>
      </c>
      <c r="D7332" s="58" t="inlineStr">
        <is>
          <t>Office</t>
        </is>
      </c>
      <c r="E7332" s="58" t="inlineStr">
        <is>
          <t>West</t>
        </is>
      </c>
      <c r="F7332" s="61" t="n">
        <v>2</v>
      </c>
      <c r="G7332" s="62" t="n">
        <v>246.67</v>
      </c>
      <c r="H7332" s="63" t="n">
        <v>0.104</v>
      </c>
      <c r="I7332" s="62" t="n">
        <v>184.61</v>
      </c>
      <c r="J7332" s="58" t="inlineStr">
        <is>
          <t>Online</t>
        </is>
      </c>
      <c r="K7332" s="62">
        <f>F7332*(G7332-H7332)</f>
        <v/>
      </c>
      <c r="L7332" s="62">
        <f>K7332-(F7332*I7332)</f>
        <v/>
      </c>
      <c r="M7332" s="64">
        <f>L7332/K7332</f>
        <v/>
      </c>
    </row>
    <row r="7333">
      <c r="A7333" s="58" t="inlineStr">
        <is>
          <t>RT20250703-07332</t>
        </is>
      </c>
      <c r="B7333" s="59" t="inlineStr">
        <is>
          <t>2025-07-03</t>
        </is>
      </c>
      <c r="C7333" s="60" t="inlineStr">
        <is>
          <t>Aurora Fragrance S-971</t>
        </is>
      </c>
      <c r="D7333" s="58" t="inlineStr">
        <is>
          <t>Beauty</t>
        </is>
      </c>
      <c r="E7333" s="58" t="inlineStr">
        <is>
          <t>South</t>
        </is>
      </c>
      <c r="F7333" s="61" t="n">
        <v>2</v>
      </c>
      <c r="G7333" s="62" t="n">
        <v>102.09</v>
      </c>
      <c r="H7333" s="63" t="n">
        <v>0.078</v>
      </c>
      <c r="I7333" s="62" t="n">
        <v>66.5</v>
      </c>
      <c r="J7333" s="58" t="inlineStr">
        <is>
          <t>Online</t>
        </is>
      </c>
      <c r="K7333" s="62">
        <f>F7333*(G7333-H7333)</f>
        <v/>
      </c>
      <c r="L7333" s="62">
        <f>K7333-(F7333*I7333)</f>
        <v/>
      </c>
      <c r="M7333" s="64">
        <f>L7333/K7333</f>
        <v/>
      </c>
    </row>
    <row r="7334">
      <c r="A7334" s="58" t="inlineStr">
        <is>
          <t>RT20250703-07333</t>
        </is>
      </c>
      <c r="B7334" s="59" t="inlineStr">
        <is>
          <t>2025-07-03</t>
        </is>
      </c>
      <c r="C7334" s="60" t="inlineStr">
        <is>
          <t>Metro Laptop Plus-376</t>
        </is>
      </c>
      <c r="D7334" s="58" t="inlineStr">
        <is>
          <t>Electronics</t>
        </is>
      </c>
      <c r="E7334" s="58" t="inlineStr">
        <is>
          <t>East</t>
        </is>
      </c>
      <c r="F7334" s="61" t="n">
        <v>2</v>
      </c>
      <c r="G7334" s="62" t="n">
        <v>1181.71</v>
      </c>
      <c r="H7334" s="63" t="n">
        <v>0.07000000000000001</v>
      </c>
      <c r="I7334" s="62" t="n">
        <v>1063.31</v>
      </c>
      <c r="J7334" s="58" t="inlineStr">
        <is>
          <t>Phone</t>
        </is>
      </c>
      <c r="K7334" s="62">
        <f>F7334*(G7334-H7334)</f>
        <v/>
      </c>
      <c r="L7334" s="62">
        <f>K7334-(F7334*I7334)</f>
        <v/>
      </c>
      <c r="M7334" s="64">
        <f>L7334/K7334</f>
        <v/>
      </c>
    </row>
    <row r="7335">
      <c r="A7335" s="58" t="inlineStr">
        <is>
          <t>RT20250703-07334</t>
        </is>
      </c>
      <c r="B7335" s="59" t="inlineStr">
        <is>
          <t>2025-07-03</t>
        </is>
      </c>
      <c r="C7335" s="60" t="inlineStr">
        <is>
          <t>Orion Kitchen Pro-568</t>
        </is>
      </c>
      <c r="D7335" s="58" t="inlineStr">
        <is>
          <t>Home</t>
        </is>
      </c>
      <c r="E7335" s="58" t="inlineStr">
        <is>
          <t>South</t>
        </is>
      </c>
      <c r="F7335" s="61" t="n">
        <v>1</v>
      </c>
      <c r="G7335" s="62" t="n">
        <v>468.17</v>
      </c>
      <c r="H7335" s="63" t="n">
        <v>0.083</v>
      </c>
      <c r="I7335" s="62" t="n">
        <v>299.54</v>
      </c>
      <c r="J7335" s="58" t="inlineStr">
        <is>
          <t>Store</t>
        </is>
      </c>
      <c r="K7335" s="62">
        <f>F7335*(G7335-H7335)</f>
        <v/>
      </c>
      <c r="L7335" s="62">
        <f>K7335-(F7335*I7335)</f>
        <v/>
      </c>
      <c r="M7335" s="64">
        <f>L7335/K7335</f>
        <v/>
      </c>
    </row>
    <row r="7336">
      <c r="A7336" s="58" t="inlineStr">
        <is>
          <t>RT20250703-07335</t>
        </is>
      </c>
      <c r="B7336" s="59" t="inlineStr">
        <is>
          <t>2025-07-03</t>
        </is>
      </c>
      <c r="C7336" s="60" t="inlineStr">
        <is>
          <t>Metro Smartphone Max-773</t>
        </is>
      </c>
      <c r="D7336" s="58" t="inlineStr">
        <is>
          <t>Electronics</t>
        </is>
      </c>
      <c r="E7336" s="58" t="inlineStr">
        <is>
          <t>East</t>
        </is>
      </c>
      <c r="F7336" s="61" t="n">
        <v>2</v>
      </c>
      <c r="G7336" s="62" t="n">
        <v>1433.21</v>
      </c>
      <c r="H7336" s="63" t="n">
        <v>0.121</v>
      </c>
      <c r="I7336" s="62" t="n">
        <v>1101.46</v>
      </c>
      <c r="J7336" s="58" t="inlineStr">
        <is>
          <t>Online</t>
        </is>
      </c>
      <c r="K7336" s="62">
        <f>F7336*(G7336-H7336)</f>
        <v/>
      </c>
      <c r="L7336" s="62">
        <f>K7336-(F7336*I7336)</f>
        <v/>
      </c>
      <c r="M7336" s="64">
        <f>L7336/K7336</f>
        <v/>
      </c>
    </row>
    <row r="7337">
      <c r="A7337" s="58" t="inlineStr">
        <is>
          <t>RT20250703-07336</t>
        </is>
      </c>
      <c r="B7337" s="59" t="inlineStr">
        <is>
          <t>2025-07-03</t>
        </is>
      </c>
      <c r="C7337" s="60" t="inlineStr">
        <is>
          <t>Nimbus Decor Lite-385</t>
        </is>
      </c>
      <c r="D7337" s="58" t="inlineStr">
        <is>
          <t>Home</t>
        </is>
      </c>
      <c r="E7337" s="58" t="inlineStr">
        <is>
          <t>West</t>
        </is>
      </c>
      <c r="F7337" s="61" t="n">
        <v>1</v>
      </c>
      <c r="G7337" s="62" t="n">
        <v>538.3099999999999</v>
      </c>
      <c r="H7337" s="63" t="n">
        <v>0</v>
      </c>
      <c r="I7337" s="62" t="n">
        <v>387.2</v>
      </c>
      <c r="J7337" s="58" t="inlineStr">
        <is>
          <t>Online</t>
        </is>
      </c>
      <c r="K7337" s="62">
        <f>F7337*(G7337-H7337)</f>
        <v/>
      </c>
      <c r="L7337" s="62">
        <f>K7337-(F7337*I7337)</f>
        <v/>
      </c>
      <c r="M7337" s="64">
        <f>L7337/K7337</f>
        <v/>
      </c>
    </row>
    <row r="7338">
      <c r="A7338" s="58" t="inlineStr">
        <is>
          <t>RT20250703-07337</t>
        </is>
      </c>
      <c r="B7338" s="59" t="inlineStr">
        <is>
          <t>2025-07-03</t>
        </is>
      </c>
      <c r="C7338" s="60" t="inlineStr">
        <is>
          <t>Falcon Kitchen X-130</t>
        </is>
      </c>
      <c r="D7338" s="58" t="inlineStr">
        <is>
          <t>Home</t>
        </is>
      </c>
      <c r="E7338" s="58" t="inlineStr">
        <is>
          <t>West</t>
        </is>
      </c>
      <c r="F7338" s="61" t="n">
        <v>2</v>
      </c>
      <c r="G7338" s="62" t="n">
        <v>440</v>
      </c>
      <c r="H7338" s="63" t="n">
        <v>0.067</v>
      </c>
      <c r="I7338" s="62" t="n">
        <v>293.9</v>
      </c>
      <c r="J7338" s="58" t="inlineStr">
        <is>
          <t>Store</t>
        </is>
      </c>
      <c r="K7338" s="62">
        <f>F7338*(G7338-H7338)</f>
        <v/>
      </c>
      <c r="L7338" s="62">
        <f>K7338-(F7338*I7338)</f>
        <v/>
      </c>
      <c r="M7338" s="64">
        <f>L7338/K7338</f>
        <v/>
      </c>
    </row>
    <row r="7339">
      <c r="A7339" s="58" t="inlineStr">
        <is>
          <t>RT20250703-07338</t>
        </is>
      </c>
      <c r="B7339" s="59" t="inlineStr">
        <is>
          <t>2025-07-03</t>
        </is>
      </c>
      <c r="C7339" s="60" t="inlineStr">
        <is>
          <t>Polar Cycling X-649</t>
        </is>
      </c>
      <c r="D7339" s="58" t="inlineStr">
        <is>
          <t>Sports</t>
        </is>
      </c>
      <c r="E7339" s="58" t="inlineStr">
        <is>
          <t>South</t>
        </is>
      </c>
      <c r="F7339" s="61" t="n">
        <v>3</v>
      </c>
      <c r="G7339" s="62" t="n">
        <v>586.95</v>
      </c>
      <c r="H7339" s="63" t="n">
        <v>0.048</v>
      </c>
      <c r="I7339" s="62" t="n">
        <v>359.69</v>
      </c>
      <c r="J7339" s="58" t="inlineStr">
        <is>
          <t>Online</t>
        </is>
      </c>
      <c r="K7339" s="62">
        <f>F7339*(G7339-H7339)</f>
        <v/>
      </c>
      <c r="L7339" s="62">
        <f>K7339-(F7339*I7339)</f>
        <v/>
      </c>
      <c r="M7339" s="64">
        <f>L7339/K7339</f>
        <v/>
      </c>
    </row>
    <row r="7340">
      <c r="A7340" s="58" t="inlineStr">
        <is>
          <t>RT20250703-07339</t>
        </is>
      </c>
      <c r="B7340" s="59" t="inlineStr">
        <is>
          <t>2025-07-03</t>
        </is>
      </c>
      <c r="C7340" s="60" t="inlineStr">
        <is>
          <t>Aurora Appliance Lite-109</t>
        </is>
      </c>
      <c r="D7340" s="58" t="inlineStr">
        <is>
          <t>Home</t>
        </is>
      </c>
      <c r="E7340" s="58" t="inlineStr">
        <is>
          <t>West</t>
        </is>
      </c>
      <c r="F7340" s="61" t="n">
        <v>3</v>
      </c>
      <c r="G7340" s="62" t="n">
        <v>288.89</v>
      </c>
      <c r="H7340" s="63" t="n">
        <v>0.046</v>
      </c>
      <c r="I7340" s="62" t="n">
        <v>206.2</v>
      </c>
      <c r="J7340" s="58" t="inlineStr">
        <is>
          <t>Online</t>
        </is>
      </c>
      <c r="K7340" s="62">
        <f>F7340*(G7340-H7340)</f>
        <v/>
      </c>
      <c r="L7340" s="62">
        <f>K7340-(F7340*I7340)</f>
        <v/>
      </c>
      <c r="M7340" s="64">
        <f>L7340/K7340</f>
        <v/>
      </c>
    </row>
    <row r="7341">
      <c r="A7341" s="58" t="inlineStr">
        <is>
          <t>RT20250703-07340</t>
        </is>
      </c>
      <c r="B7341" s="59" t="inlineStr">
        <is>
          <t>2025-07-03</t>
        </is>
      </c>
      <c r="C7341" s="60" t="inlineStr">
        <is>
          <t>Orion Snack X-322</t>
        </is>
      </c>
      <c r="D7341" s="58" t="inlineStr">
        <is>
          <t>Grocery</t>
        </is>
      </c>
      <c r="E7341" s="58" t="inlineStr">
        <is>
          <t>South</t>
        </is>
      </c>
      <c r="F7341" s="61" t="n">
        <v>3</v>
      </c>
      <c r="G7341" s="62" t="n">
        <v>13.98</v>
      </c>
      <c r="H7341" s="63" t="n">
        <v>0.041</v>
      </c>
      <c r="I7341" s="62" t="n">
        <v>10.37</v>
      </c>
      <c r="J7341" s="58" t="inlineStr">
        <is>
          <t>Online</t>
        </is>
      </c>
      <c r="K7341" s="62">
        <f>F7341*(G7341-H7341)</f>
        <v/>
      </c>
      <c r="L7341" s="62">
        <f>K7341-(F7341*I7341)</f>
        <v/>
      </c>
      <c r="M7341" s="64">
        <f>L7341/K7341</f>
        <v/>
      </c>
    </row>
    <row r="7342">
      <c r="A7342" s="58" t="inlineStr">
        <is>
          <t>RT20250703-07341</t>
        </is>
      </c>
      <c r="B7342" s="59" t="inlineStr">
        <is>
          <t>2025-07-03</t>
        </is>
      </c>
      <c r="C7342" s="60" t="inlineStr">
        <is>
          <t>Orion Team Sport X-926</t>
        </is>
      </c>
      <c r="D7342" s="58" t="inlineStr">
        <is>
          <t>Sports</t>
        </is>
      </c>
      <c r="E7342" s="58" t="inlineStr">
        <is>
          <t>East</t>
        </is>
      </c>
      <c r="F7342" s="61" t="n">
        <v>3</v>
      </c>
      <c r="G7342" s="62" t="n">
        <v>319.1</v>
      </c>
      <c r="H7342" s="63" t="n">
        <v>0.06</v>
      </c>
      <c r="I7342" s="62" t="n">
        <v>208.52</v>
      </c>
      <c r="J7342" s="58" t="inlineStr">
        <is>
          <t>Online</t>
        </is>
      </c>
      <c r="K7342" s="62">
        <f>F7342*(G7342-H7342)</f>
        <v/>
      </c>
      <c r="L7342" s="62">
        <f>K7342-(F7342*I7342)</f>
        <v/>
      </c>
      <c r="M7342" s="64">
        <f>L7342/K7342</f>
        <v/>
      </c>
    </row>
    <row r="7343">
      <c r="A7343" s="58" t="inlineStr">
        <is>
          <t>RT20250703-07342</t>
        </is>
      </c>
      <c r="B7343" s="59" t="inlineStr">
        <is>
          <t>2025-07-03</t>
        </is>
      </c>
      <c r="C7343" s="60" t="inlineStr">
        <is>
          <t>Orion Kitchen Pro-568</t>
        </is>
      </c>
      <c r="D7343" s="58" t="inlineStr">
        <is>
          <t>Home</t>
        </is>
      </c>
      <c r="E7343" s="58" t="inlineStr">
        <is>
          <t>South</t>
        </is>
      </c>
      <c r="F7343" s="61" t="n">
        <v>3</v>
      </c>
      <c r="G7343" s="62" t="n">
        <v>456.35</v>
      </c>
      <c r="H7343" s="63" t="n">
        <v>0.04</v>
      </c>
      <c r="I7343" s="62" t="n">
        <v>315.6</v>
      </c>
      <c r="J7343" s="58" t="inlineStr">
        <is>
          <t>Online</t>
        </is>
      </c>
      <c r="K7343" s="62">
        <f>F7343*(G7343-H7343)</f>
        <v/>
      </c>
      <c r="L7343" s="62">
        <f>K7343-(F7343*I7343)</f>
        <v/>
      </c>
      <c r="M7343" s="64">
        <f>L7343/K7343</f>
        <v/>
      </c>
    </row>
    <row r="7344">
      <c r="A7344" s="58" t="inlineStr">
        <is>
          <t>RT20250703-07343</t>
        </is>
      </c>
      <c r="B7344" s="59" t="inlineStr">
        <is>
          <t>2025-07-03</t>
        </is>
      </c>
      <c r="C7344" s="60" t="inlineStr">
        <is>
          <t>Falcon Team Sport Lite-268</t>
        </is>
      </c>
      <c r="D7344" s="58" t="inlineStr">
        <is>
          <t>Sports</t>
        </is>
      </c>
      <c r="E7344" s="58" t="inlineStr">
        <is>
          <t>West</t>
        </is>
      </c>
      <c r="F7344" s="61" t="n">
        <v>3</v>
      </c>
      <c r="G7344" s="62" t="n">
        <v>518.77</v>
      </c>
      <c r="H7344" s="63" t="n">
        <v>0.042</v>
      </c>
      <c r="I7344" s="62" t="n">
        <v>425.6</v>
      </c>
      <c r="J7344" s="58" t="inlineStr">
        <is>
          <t>Store</t>
        </is>
      </c>
      <c r="K7344" s="62">
        <f>F7344*(G7344-H7344)</f>
        <v/>
      </c>
      <c r="L7344" s="62">
        <f>K7344-(F7344*I7344)</f>
        <v/>
      </c>
      <c r="M7344" s="64">
        <f>L7344/K7344</f>
        <v/>
      </c>
    </row>
    <row r="7345">
      <c r="A7345" s="58" t="inlineStr">
        <is>
          <t>RT20250703-07344</t>
        </is>
      </c>
      <c r="B7345" s="59" t="inlineStr">
        <is>
          <t>2025-07-03</t>
        </is>
      </c>
      <c r="C7345" s="60" t="inlineStr">
        <is>
          <t>Vertex Smartphone Lite-267</t>
        </is>
      </c>
      <c r="D7345" s="58" t="inlineStr">
        <is>
          <t>Electronics</t>
        </is>
      </c>
      <c r="E7345" s="58" t="inlineStr">
        <is>
          <t>North</t>
        </is>
      </c>
      <c r="F7345" s="61" t="n">
        <v>1</v>
      </c>
      <c r="G7345" s="62" t="n">
        <v>1144.16</v>
      </c>
      <c r="H7345" s="63" t="n">
        <v>0</v>
      </c>
      <c r="I7345" s="62" t="n">
        <v>993.8200000000001</v>
      </c>
      <c r="J7345" s="58" t="inlineStr">
        <is>
          <t>Online</t>
        </is>
      </c>
      <c r="K7345" s="62">
        <f>F7345*(G7345-H7345)</f>
        <v/>
      </c>
      <c r="L7345" s="62">
        <f>K7345-(F7345*I7345)</f>
        <v/>
      </c>
      <c r="M7345" s="64">
        <f>L7345/K7345</f>
        <v/>
      </c>
    </row>
    <row r="7346">
      <c r="A7346" s="58" t="inlineStr">
        <is>
          <t>RT20250703-07345</t>
        </is>
      </c>
      <c r="B7346" s="59" t="inlineStr">
        <is>
          <t>2025-07-03</t>
        </is>
      </c>
      <c r="C7346" s="60" t="inlineStr">
        <is>
          <t>Polar Decor Plus-505</t>
        </is>
      </c>
      <c r="D7346" s="58" t="inlineStr">
        <is>
          <t>Home</t>
        </is>
      </c>
      <c r="E7346" s="58" t="inlineStr">
        <is>
          <t>Central</t>
        </is>
      </c>
      <c r="F7346" s="61" t="n">
        <v>1</v>
      </c>
      <c r="G7346" s="62" t="n">
        <v>299.14</v>
      </c>
      <c r="H7346" s="63" t="n">
        <v>0.08400000000000001</v>
      </c>
      <c r="I7346" s="62" t="n">
        <v>198.25</v>
      </c>
      <c r="J7346" s="58" t="inlineStr">
        <is>
          <t>Online</t>
        </is>
      </c>
      <c r="K7346" s="62">
        <f>F7346*(G7346-H7346)</f>
        <v/>
      </c>
      <c r="L7346" s="62">
        <f>K7346-(F7346*I7346)</f>
        <v/>
      </c>
      <c r="M7346" s="64">
        <f>L7346/K7346</f>
        <v/>
      </c>
    </row>
    <row r="7347">
      <c r="A7347" s="58" t="inlineStr">
        <is>
          <t>RT20250703-07346</t>
        </is>
      </c>
      <c r="B7347" s="59" t="inlineStr">
        <is>
          <t>2025-07-03</t>
        </is>
      </c>
      <c r="C7347" s="60" t="inlineStr">
        <is>
          <t>Solace Smartphone Lite-533</t>
        </is>
      </c>
      <c r="D7347" s="58" t="inlineStr">
        <is>
          <t>Electronics</t>
        </is>
      </c>
      <c r="E7347" s="58" t="inlineStr">
        <is>
          <t>South</t>
        </is>
      </c>
      <c r="F7347" s="61" t="n">
        <v>1</v>
      </c>
      <c r="G7347" s="62" t="n">
        <v>1177.21</v>
      </c>
      <c r="H7347" s="63" t="n">
        <v>0.077</v>
      </c>
      <c r="I7347" s="62" t="n">
        <v>944.76</v>
      </c>
      <c r="J7347" s="58" t="inlineStr">
        <is>
          <t>Online</t>
        </is>
      </c>
      <c r="K7347" s="62">
        <f>F7347*(G7347-H7347)</f>
        <v/>
      </c>
      <c r="L7347" s="62">
        <f>K7347-(F7347*I7347)</f>
        <v/>
      </c>
      <c r="M7347" s="64">
        <f>L7347/K7347</f>
        <v/>
      </c>
    </row>
    <row r="7348">
      <c r="A7348" s="58" t="inlineStr">
        <is>
          <t>RT20250703-07347</t>
        </is>
      </c>
      <c r="B7348" s="59" t="inlineStr">
        <is>
          <t>2025-07-03</t>
        </is>
      </c>
      <c r="C7348" s="60" t="inlineStr">
        <is>
          <t>Aurora Fragrance S-971</t>
        </is>
      </c>
      <c r="D7348" s="58" t="inlineStr">
        <is>
          <t>Beauty</t>
        </is>
      </c>
      <c r="E7348" s="58" t="inlineStr">
        <is>
          <t>East</t>
        </is>
      </c>
      <c r="F7348" s="61" t="n">
        <v>4</v>
      </c>
      <c r="G7348" s="62" t="n">
        <v>95.92</v>
      </c>
      <c r="H7348" s="63" t="n">
        <v>0.08699999999999999</v>
      </c>
      <c r="I7348" s="62" t="n">
        <v>63.56</v>
      </c>
      <c r="J7348" s="58" t="inlineStr">
        <is>
          <t>Store</t>
        </is>
      </c>
      <c r="K7348" s="62">
        <f>F7348*(G7348-H7348)</f>
        <v/>
      </c>
      <c r="L7348" s="62">
        <f>K7348-(F7348*I7348)</f>
        <v/>
      </c>
      <c r="M7348" s="64">
        <f>L7348/K7348</f>
        <v/>
      </c>
    </row>
    <row r="7349">
      <c r="A7349" s="58" t="inlineStr">
        <is>
          <t>RT20250703-07348</t>
        </is>
      </c>
      <c r="B7349" s="59" t="inlineStr">
        <is>
          <t>2025-07-03</t>
        </is>
      </c>
      <c r="C7349" s="60" t="inlineStr">
        <is>
          <t>Polar Fragrance Pro-750</t>
        </is>
      </c>
      <c r="D7349" s="58" t="inlineStr">
        <is>
          <t>Beauty</t>
        </is>
      </c>
      <c r="E7349" s="58" t="inlineStr">
        <is>
          <t>West</t>
        </is>
      </c>
      <c r="F7349" s="61" t="n">
        <v>1</v>
      </c>
      <c r="G7349" s="62" t="n">
        <v>47.4</v>
      </c>
      <c r="H7349" s="63" t="n">
        <v>0.059</v>
      </c>
      <c r="I7349" s="62" t="n">
        <v>36.43</v>
      </c>
      <c r="J7349" s="58" t="inlineStr">
        <is>
          <t>Online</t>
        </is>
      </c>
      <c r="K7349" s="62">
        <f>F7349*(G7349-H7349)</f>
        <v/>
      </c>
      <c r="L7349" s="62">
        <f>K7349-(F7349*I7349)</f>
        <v/>
      </c>
      <c r="M7349" s="64">
        <f>L7349/K7349</f>
        <v/>
      </c>
    </row>
    <row r="7350">
      <c r="A7350" s="58" t="inlineStr">
        <is>
          <t>RT20250703-07349</t>
        </is>
      </c>
      <c r="B7350" s="59" t="inlineStr">
        <is>
          <t>2025-07-03</t>
        </is>
      </c>
      <c r="C7350" s="60" t="inlineStr">
        <is>
          <t>Nimbus Decor Lite-385</t>
        </is>
      </c>
      <c r="D7350" s="58" t="inlineStr">
        <is>
          <t>Home</t>
        </is>
      </c>
      <c r="E7350" s="58" t="inlineStr">
        <is>
          <t>East</t>
        </is>
      </c>
      <c r="F7350" s="61" t="n">
        <v>3</v>
      </c>
      <c r="G7350" s="62" t="n">
        <v>624.79</v>
      </c>
      <c r="H7350" s="63" t="n">
        <v>0.03</v>
      </c>
      <c r="I7350" s="62" t="n">
        <v>392.69</v>
      </c>
      <c r="J7350" s="58" t="inlineStr">
        <is>
          <t>Online</t>
        </is>
      </c>
      <c r="K7350" s="62">
        <f>F7350*(G7350-H7350)</f>
        <v/>
      </c>
      <c r="L7350" s="62">
        <f>K7350-(F7350*I7350)</f>
        <v/>
      </c>
      <c r="M7350" s="64">
        <f>L7350/K7350</f>
        <v/>
      </c>
    </row>
    <row r="7351">
      <c r="A7351" s="58" t="inlineStr">
        <is>
          <t>RT20250704-07350</t>
        </is>
      </c>
      <c r="B7351" s="59" t="inlineStr">
        <is>
          <t>2025-07-04</t>
        </is>
      </c>
      <c r="C7351" s="60" t="inlineStr">
        <is>
          <t>Polar Wearable X-119</t>
        </is>
      </c>
      <c r="D7351" s="58" t="inlineStr">
        <is>
          <t>Electronics</t>
        </is>
      </c>
      <c r="E7351" s="58" t="inlineStr">
        <is>
          <t>South</t>
        </is>
      </c>
      <c r="F7351" s="61" t="n">
        <v>2</v>
      </c>
      <c r="G7351" s="62" t="n">
        <v>1663.9</v>
      </c>
      <c r="H7351" s="63" t="n">
        <v>0.049</v>
      </c>
      <c r="I7351" s="62" t="n">
        <v>1333.79</v>
      </c>
      <c r="J7351" s="58" t="inlineStr">
        <is>
          <t>Online</t>
        </is>
      </c>
      <c r="K7351" s="62">
        <f>F7351*(G7351-H7351)</f>
        <v/>
      </c>
      <c r="L7351" s="62">
        <f>K7351-(F7351*I7351)</f>
        <v/>
      </c>
      <c r="M7351" s="64">
        <f>L7351/K7351</f>
        <v/>
      </c>
    </row>
    <row r="7352">
      <c r="A7352" s="58" t="inlineStr">
        <is>
          <t>RT20250704-07351</t>
        </is>
      </c>
      <c r="B7352" s="59" t="inlineStr">
        <is>
          <t>2025-07-04</t>
        </is>
      </c>
      <c r="C7352" s="60" t="inlineStr">
        <is>
          <t>Polar Outdoor X-193</t>
        </is>
      </c>
      <c r="D7352" s="58" t="inlineStr">
        <is>
          <t>Sports</t>
        </is>
      </c>
      <c r="E7352" s="58" t="inlineStr">
        <is>
          <t>Central</t>
        </is>
      </c>
      <c r="F7352" s="61" t="n">
        <v>1</v>
      </c>
      <c r="G7352" s="62" t="n">
        <v>746.8099999999999</v>
      </c>
      <c r="H7352" s="63" t="n">
        <v>0.091</v>
      </c>
      <c r="I7352" s="62" t="n">
        <v>461.09</v>
      </c>
      <c r="J7352" s="58" t="inlineStr">
        <is>
          <t>Store</t>
        </is>
      </c>
      <c r="K7352" s="62">
        <f>F7352*(G7352-H7352)</f>
        <v/>
      </c>
      <c r="L7352" s="62">
        <f>K7352-(F7352*I7352)</f>
        <v/>
      </c>
      <c r="M7352" s="64">
        <f>L7352/K7352</f>
        <v/>
      </c>
    </row>
    <row r="7353">
      <c r="A7353" s="58" t="inlineStr">
        <is>
          <t>RT20250704-07352</t>
        </is>
      </c>
      <c r="B7353" s="59" t="inlineStr">
        <is>
          <t>2025-07-04</t>
        </is>
      </c>
      <c r="C7353" s="60" t="inlineStr">
        <is>
          <t>Falcon Wearable X-334</t>
        </is>
      </c>
      <c r="D7353" s="58" t="inlineStr">
        <is>
          <t>Electronics</t>
        </is>
      </c>
      <c r="E7353" s="58" t="inlineStr">
        <is>
          <t>South</t>
        </is>
      </c>
      <c r="F7353" s="61" t="n">
        <v>1</v>
      </c>
      <c r="G7353" s="62" t="n">
        <v>2204.92</v>
      </c>
      <c r="H7353" s="63" t="n">
        <v>0.043</v>
      </c>
      <c r="I7353" s="62" t="n">
        <v>1487.92</v>
      </c>
      <c r="J7353" s="58" t="inlineStr">
        <is>
          <t>Store</t>
        </is>
      </c>
      <c r="K7353" s="62">
        <f>F7353*(G7353-H7353)</f>
        <v/>
      </c>
      <c r="L7353" s="62">
        <f>K7353-(F7353*I7353)</f>
        <v/>
      </c>
      <c r="M7353" s="64">
        <f>L7353/K7353</f>
        <v/>
      </c>
    </row>
    <row r="7354">
      <c r="A7354" s="58" t="inlineStr">
        <is>
          <t>RT20250704-07353</t>
        </is>
      </c>
      <c r="B7354" s="59" t="inlineStr">
        <is>
          <t>2025-07-04</t>
        </is>
      </c>
      <c r="C7354" s="60" t="inlineStr">
        <is>
          <t>Nimbus Makeup Max-158</t>
        </is>
      </c>
      <c r="D7354" s="58" t="inlineStr">
        <is>
          <t>Beauty</t>
        </is>
      </c>
      <c r="E7354" s="58" t="inlineStr">
        <is>
          <t>West</t>
        </is>
      </c>
      <c r="F7354" s="61" t="n">
        <v>1</v>
      </c>
      <c r="G7354" s="62" t="n">
        <v>186.09</v>
      </c>
      <c r="H7354" s="63" t="n">
        <v>0.037</v>
      </c>
      <c r="I7354" s="62" t="n">
        <v>96.62</v>
      </c>
      <c r="J7354" s="58" t="inlineStr">
        <is>
          <t>Online</t>
        </is>
      </c>
      <c r="K7354" s="62">
        <f>F7354*(G7354-H7354)</f>
        <v/>
      </c>
      <c r="L7354" s="62">
        <f>K7354-(F7354*I7354)</f>
        <v/>
      </c>
      <c r="M7354" s="64">
        <f>L7354/K7354</f>
        <v/>
      </c>
    </row>
    <row r="7355">
      <c r="A7355" s="58" t="inlineStr">
        <is>
          <t>RT20250704-07354</t>
        </is>
      </c>
      <c r="B7355" s="59" t="inlineStr">
        <is>
          <t>2025-07-04</t>
        </is>
      </c>
      <c r="C7355" s="60" t="inlineStr">
        <is>
          <t>Polar Bedding Lite-243</t>
        </is>
      </c>
      <c r="D7355" s="58" t="inlineStr">
        <is>
          <t>Home</t>
        </is>
      </c>
      <c r="E7355" s="58" t="inlineStr">
        <is>
          <t>South</t>
        </is>
      </c>
      <c r="F7355" s="61" t="n">
        <v>3</v>
      </c>
      <c r="G7355" s="62" t="n">
        <v>471.29</v>
      </c>
      <c r="H7355" s="63" t="n">
        <v>0.059</v>
      </c>
      <c r="I7355" s="62" t="n">
        <v>316.08</v>
      </c>
      <c r="J7355" s="58" t="inlineStr">
        <is>
          <t>Online</t>
        </is>
      </c>
      <c r="K7355" s="62">
        <f>F7355*(G7355-H7355)</f>
        <v/>
      </c>
      <c r="L7355" s="62">
        <f>K7355-(F7355*I7355)</f>
        <v/>
      </c>
      <c r="M7355" s="64">
        <f>L7355/K7355</f>
        <v/>
      </c>
    </row>
    <row r="7356">
      <c r="A7356" s="58" t="inlineStr">
        <is>
          <t>RT20250704-07355</t>
        </is>
      </c>
      <c r="B7356" s="59" t="inlineStr">
        <is>
          <t>2025-07-04</t>
        </is>
      </c>
      <c r="C7356" s="60" t="inlineStr">
        <is>
          <t>Polar Cycling S-223</t>
        </is>
      </c>
      <c r="D7356" s="58" t="inlineStr">
        <is>
          <t>Sports</t>
        </is>
      </c>
      <c r="E7356" s="58" t="inlineStr">
        <is>
          <t>South</t>
        </is>
      </c>
      <c r="F7356" s="61" t="n">
        <v>2</v>
      </c>
      <c r="G7356" s="62" t="n">
        <v>865.47</v>
      </c>
      <c r="H7356" s="63" t="n">
        <v>0.051</v>
      </c>
      <c r="I7356" s="62" t="n">
        <v>621.25</v>
      </c>
      <c r="J7356" s="58" t="inlineStr">
        <is>
          <t>Store</t>
        </is>
      </c>
      <c r="K7356" s="62">
        <f>F7356*(G7356-H7356)</f>
        <v/>
      </c>
      <c r="L7356" s="62">
        <f>K7356-(F7356*I7356)</f>
        <v/>
      </c>
      <c r="M7356" s="64">
        <f>L7356/K7356</f>
        <v/>
      </c>
    </row>
    <row r="7357">
      <c r="A7357" s="58" t="inlineStr">
        <is>
          <t>RT20250704-07356</t>
        </is>
      </c>
      <c r="B7357" s="59" t="inlineStr">
        <is>
          <t>2025-07-04</t>
        </is>
      </c>
      <c r="C7357" s="60" t="inlineStr">
        <is>
          <t>Polar Snack Pro-641</t>
        </is>
      </c>
      <c r="D7357" s="58" t="inlineStr">
        <is>
          <t>Grocery</t>
        </is>
      </c>
      <c r="E7357" s="58" t="inlineStr">
        <is>
          <t>South</t>
        </is>
      </c>
      <c r="F7357" s="61" t="n">
        <v>8</v>
      </c>
      <c r="G7357" s="62" t="n">
        <v>14.01</v>
      </c>
      <c r="H7357" s="63" t="n">
        <v>0.048</v>
      </c>
      <c r="I7357" s="62" t="n">
        <v>9.42</v>
      </c>
      <c r="J7357" s="58" t="inlineStr">
        <is>
          <t>Store</t>
        </is>
      </c>
      <c r="K7357" s="62">
        <f>F7357*(G7357-H7357)</f>
        <v/>
      </c>
      <c r="L7357" s="62">
        <f>K7357-(F7357*I7357)</f>
        <v/>
      </c>
      <c r="M7357" s="64">
        <f>L7357/K7357</f>
        <v/>
      </c>
    </row>
    <row r="7358">
      <c r="A7358" s="58" t="inlineStr">
        <is>
          <t>RT20250704-07357</t>
        </is>
      </c>
      <c r="B7358" s="59" t="inlineStr">
        <is>
          <t>2025-07-04</t>
        </is>
      </c>
      <c r="C7358" s="60" t="inlineStr">
        <is>
          <t>Falcon Haircare Pro-980</t>
        </is>
      </c>
      <c r="D7358" s="58" t="inlineStr">
        <is>
          <t>Beauty</t>
        </is>
      </c>
      <c r="E7358" s="58" t="inlineStr">
        <is>
          <t>Central</t>
        </is>
      </c>
      <c r="F7358" s="61" t="n">
        <v>1</v>
      </c>
      <c r="G7358" s="62" t="n">
        <v>99.84999999999999</v>
      </c>
      <c r="H7358" s="63" t="n">
        <v>0.033</v>
      </c>
      <c r="I7358" s="62" t="n">
        <v>56.44</v>
      </c>
      <c r="J7358" s="58" t="inlineStr">
        <is>
          <t>Store</t>
        </is>
      </c>
      <c r="K7358" s="62">
        <f>F7358*(G7358-H7358)</f>
        <v/>
      </c>
      <c r="L7358" s="62">
        <f>K7358-(F7358*I7358)</f>
        <v/>
      </c>
      <c r="M7358" s="64">
        <f>L7358/K7358</f>
        <v/>
      </c>
    </row>
    <row r="7359">
      <c r="A7359" s="58" t="inlineStr">
        <is>
          <t>RT20250704-07358</t>
        </is>
      </c>
      <c r="B7359" s="59" t="inlineStr">
        <is>
          <t>2025-07-04</t>
        </is>
      </c>
      <c r="C7359" s="60" t="inlineStr">
        <is>
          <t>Vertex Fitnes Pro-830</t>
        </is>
      </c>
      <c r="D7359" s="58" t="inlineStr">
        <is>
          <t>Sports</t>
        </is>
      </c>
      <c r="E7359" s="58" t="inlineStr">
        <is>
          <t>East</t>
        </is>
      </c>
      <c r="F7359" s="61" t="n">
        <v>3</v>
      </c>
      <c r="G7359" s="62" t="n">
        <v>622.86</v>
      </c>
      <c r="H7359" s="63" t="n">
        <v>0.058</v>
      </c>
      <c r="I7359" s="62" t="n">
        <v>476.12</v>
      </c>
      <c r="J7359" s="58" t="inlineStr">
        <is>
          <t>Online</t>
        </is>
      </c>
      <c r="K7359" s="62">
        <f>F7359*(G7359-H7359)</f>
        <v/>
      </c>
      <c r="L7359" s="62">
        <f>K7359-(F7359*I7359)</f>
        <v/>
      </c>
      <c r="M7359" s="64">
        <f>L7359/K7359</f>
        <v/>
      </c>
    </row>
    <row r="7360">
      <c r="A7360" s="58" t="inlineStr">
        <is>
          <t>RT20250704-07359</t>
        </is>
      </c>
      <c r="B7360" s="59" t="inlineStr">
        <is>
          <t>2025-07-04</t>
        </is>
      </c>
      <c r="C7360" s="60" t="inlineStr">
        <is>
          <t>Polar Bedding Lite-243</t>
        </is>
      </c>
      <c r="D7360" s="58" t="inlineStr">
        <is>
          <t>Home</t>
        </is>
      </c>
      <c r="E7360" s="58" t="inlineStr">
        <is>
          <t>Central</t>
        </is>
      </c>
      <c r="F7360" s="61" t="n">
        <v>2</v>
      </c>
      <c r="G7360" s="62" t="n">
        <v>463.63</v>
      </c>
      <c r="H7360" s="63" t="n">
        <v>0.052</v>
      </c>
      <c r="I7360" s="62" t="n">
        <v>319.03</v>
      </c>
      <c r="J7360" s="58" t="inlineStr">
        <is>
          <t>Phone</t>
        </is>
      </c>
      <c r="K7360" s="62">
        <f>F7360*(G7360-H7360)</f>
        <v/>
      </c>
      <c r="L7360" s="62">
        <f>K7360-(F7360*I7360)</f>
        <v/>
      </c>
      <c r="M7360" s="64">
        <f>L7360/K7360</f>
        <v/>
      </c>
    </row>
    <row r="7361">
      <c r="A7361" s="58" t="inlineStr">
        <is>
          <t>RT20250704-07360</t>
        </is>
      </c>
      <c r="B7361" s="59" t="inlineStr">
        <is>
          <t>2025-07-04</t>
        </is>
      </c>
      <c r="C7361" s="60" t="inlineStr">
        <is>
          <t>Falcon Beverage Max-702</t>
        </is>
      </c>
      <c r="D7361" s="58" t="inlineStr">
        <is>
          <t>Grocery</t>
        </is>
      </c>
      <c r="E7361" s="58" t="inlineStr">
        <is>
          <t>East</t>
        </is>
      </c>
      <c r="F7361" s="61" t="n">
        <v>6</v>
      </c>
      <c r="G7361" s="62" t="n">
        <v>25.55</v>
      </c>
      <c r="H7361" s="63" t="n">
        <v>0.058</v>
      </c>
      <c r="I7361" s="62" t="n">
        <v>20.49</v>
      </c>
      <c r="J7361" s="58" t="inlineStr">
        <is>
          <t>Online</t>
        </is>
      </c>
      <c r="K7361" s="62">
        <f>F7361*(G7361-H7361)</f>
        <v/>
      </c>
      <c r="L7361" s="62">
        <f>K7361-(F7361*I7361)</f>
        <v/>
      </c>
      <c r="M7361" s="64">
        <f>L7361/K7361</f>
        <v/>
      </c>
    </row>
    <row r="7362">
      <c r="A7362" s="58" t="inlineStr">
        <is>
          <t>RT20250704-07361</t>
        </is>
      </c>
      <c r="B7362" s="59" t="inlineStr">
        <is>
          <t>2025-07-04</t>
        </is>
      </c>
      <c r="C7362" s="60" t="inlineStr">
        <is>
          <t>Metro Fragrance Lite-261</t>
        </is>
      </c>
      <c r="D7362" s="58" t="inlineStr">
        <is>
          <t>Beauty</t>
        </is>
      </c>
      <c r="E7362" s="58" t="inlineStr">
        <is>
          <t>North</t>
        </is>
      </c>
      <c r="F7362" s="61" t="n">
        <v>4</v>
      </c>
      <c r="G7362" s="62" t="n">
        <v>99.73999999999999</v>
      </c>
      <c r="H7362" s="63" t="n">
        <v>0.08400000000000001</v>
      </c>
      <c r="I7362" s="62" t="n">
        <v>56.54</v>
      </c>
      <c r="J7362" s="58" t="inlineStr">
        <is>
          <t>Online</t>
        </is>
      </c>
      <c r="K7362" s="62">
        <f>F7362*(G7362-H7362)</f>
        <v/>
      </c>
      <c r="L7362" s="62">
        <f>K7362-(F7362*I7362)</f>
        <v/>
      </c>
      <c r="M7362" s="64">
        <f>L7362/K7362</f>
        <v/>
      </c>
    </row>
    <row r="7363">
      <c r="A7363" s="58" t="inlineStr">
        <is>
          <t>RT20250704-07362</t>
        </is>
      </c>
      <c r="B7363" s="59" t="inlineStr">
        <is>
          <t>2025-07-04</t>
        </is>
      </c>
      <c r="C7363" s="60" t="inlineStr">
        <is>
          <t>Falcon Accessorie S-195</t>
        </is>
      </c>
      <c r="D7363" s="58" t="inlineStr">
        <is>
          <t>Apparel</t>
        </is>
      </c>
      <c r="E7363" s="58" t="inlineStr">
        <is>
          <t>North</t>
        </is>
      </c>
      <c r="F7363" s="61" t="n">
        <v>4</v>
      </c>
      <c r="G7363" s="62" t="n">
        <v>74.03</v>
      </c>
      <c r="H7363" s="63" t="n">
        <v>0.066</v>
      </c>
      <c r="I7363" s="62" t="n">
        <v>41.21</v>
      </c>
      <c r="J7363" s="58" t="inlineStr">
        <is>
          <t>Store</t>
        </is>
      </c>
      <c r="K7363" s="62">
        <f>F7363*(G7363-H7363)</f>
        <v/>
      </c>
      <c r="L7363" s="62">
        <f>K7363-(F7363*I7363)</f>
        <v/>
      </c>
      <c r="M7363" s="64">
        <f>L7363/K7363</f>
        <v/>
      </c>
    </row>
    <row r="7364">
      <c r="A7364" s="58" t="inlineStr">
        <is>
          <t>RT20250704-07363</t>
        </is>
      </c>
      <c r="B7364" s="59" t="inlineStr">
        <is>
          <t>2025-07-04</t>
        </is>
      </c>
      <c r="C7364" s="60" t="inlineStr">
        <is>
          <t>Aurora Bedding Plus-187</t>
        </is>
      </c>
      <c r="D7364" s="58" t="inlineStr">
        <is>
          <t>Home</t>
        </is>
      </c>
      <c r="E7364" s="58" t="inlineStr">
        <is>
          <t>East</t>
        </is>
      </c>
      <c r="F7364" s="61" t="n">
        <v>2</v>
      </c>
      <c r="G7364" s="62" t="n">
        <v>303.6</v>
      </c>
      <c r="H7364" s="63" t="n">
        <v>0.08500000000000001</v>
      </c>
      <c r="I7364" s="62" t="n">
        <v>205.17</v>
      </c>
      <c r="J7364" s="58" t="inlineStr">
        <is>
          <t>Online</t>
        </is>
      </c>
      <c r="K7364" s="62">
        <f>F7364*(G7364-H7364)</f>
        <v/>
      </c>
      <c r="L7364" s="62">
        <f>K7364-(F7364*I7364)</f>
        <v/>
      </c>
      <c r="M7364" s="64">
        <f>L7364/K7364</f>
        <v/>
      </c>
    </row>
    <row r="7365">
      <c r="A7365" s="58" t="inlineStr">
        <is>
          <t>RT20250704-07364</t>
        </is>
      </c>
      <c r="B7365" s="59" t="inlineStr">
        <is>
          <t>2025-07-04</t>
        </is>
      </c>
      <c r="C7365" s="60" t="inlineStr">
        <is>
          <t>Metro Outdoor Plus-787</t>
        </is>
      </c>
      <c r="D7365" s="58" t="inlineStr">
        <is>
          <t>Sports</t>
        </is>
      </c>
      <c r="E7365" s="58" t="inlineStr">
        <is>
          <t>South</t>
        </is>
      </c>
      <c r="F7365" s="61" t="n">
        <v>1</v>
      </c>
      <c r="G7365" s="62" t="n">
        <v>573.15</v>
      </c>
      <c r="H7365" s="63" t="n">
        <v>0</v>
      </c>
      <c r="I7365" s="62" t="n">
        <v>352.46</v>
      </c>
      <c r="J7365" s="58" t="inlineStr">
        <is>
          <t>Store</t>
        </is>
      </c>
      <c r="K7365" s="62">
        <f>F7365*(G7365-H7365)</f>
        <v/>
      </c>
      <c r="L7365" s="62">
        <f>K7365-(F7365*I7365)</f>
        <v/>
      </c>
      <c r="M7365" s="64">
        <f>L7365/K7365</f>
        <v/>
      </c>
    </row>
    <row r="7366">
      <c r="A7366" s="58" t="inlineStr">
        <is>
          <t>RT20250704-07365</t>
        </is>
      </c>
      <c r="B7366" s="59" t="inlineStr">
        <is>
          <t>2025-07-04</t>
        </is>
      </c>
      <c r="C7366" s="60" t="inlineStr">
        <is>
          <t>Polar Outdoor X-193</t>
        </is>
      </c>
      <c r="D7366" s="58" t="inlineStr">
        <is>
          <t>Sports</t>
        </is>
      </c>
      <c r="E7366" s="58" t="inlineStr">
        <is>
          <t>Central</t>
        </is>
      </c>
      <c r="F7366" s="61" t="n">
        <v>3</v>
      </c>
      <c r="G7366" s="62" t="n">
        <v>636.91</v>
      </c>
      <c r="H7366" s="63" t="n">
        <v>0.031</v>
      </c>
      <c r="I7366" s="62" t="n">
        <v>443.57</v>
      </c>
      <c r="J7366" s="58" t="inlineStr">
        <is>
          <t>Store</t>
        </is>
      </c>
      <c r="K7366" s="62">
        <f>F7366*(G7366-H7366)</f>
        <v/>
      </c>
      <c r="L7366" s="62">
        <f>K7366-(F7366*I7366)</f>
        <v/>
      </c>
      <c r="M7366" s="64">
        <f>L7366/K7366</f>
        <v/>
      </c>
    </row>
    <row r="7367">
      <c r="A7367" s="58" t="inlineStr">
        <is>
          <t>RT20250704-07366</t>
        </is>
      </c>
      <c r="B7367" s="59" t="inlineStr">
        <is>
          <t>2025-07-04</t>
        </is>
      </c>
      <c r="C7367" s="60" t="inlineStr">
        <is>
          <t>Polar Snack Pro-641</t>
        </is>
      </c>
      <c r="D7367" s="58" t="inlineStr">
        <is>
          <t>Grocery</t>
        </is>
      </c>
      <c r="E7367" s="58" t="inlineStr">
        <is>
          <t>South</t>
        </is>
      </c>
      <c r="F7367" s="61" t="n">
        <v>8</v>
      </c>
      <c r="G7367" s="62" t="n">
        <v>11.76</v>
      </c>
      <c r="H7367" s="63" t="n">
        <v>0.038</v>
      </c>
      <c r="I7367" s="62" t="n">
        <v>9.4</v>
      </c>
      <c r="J7367" s="58" t="inlineStr">
        <is>
          <t>Online</t>
        </is>
      </c>
      <c r="K7367" s="62">
        <f>F7367*(G7367-H7367)</f>
        <v/>
      </c>
      <c r="L7367" s="62">
        <f>K7367-(F7367*I7367)</f>
        <v/>
      </c>
      <c r="M7367" s="64">
        <f>L7367/K7367</f>
        <v/>
      </c>
    </row>
    <row r="7368">
      <c r="A7368" s="58" t="inlineStr">
        <is>
          <t>RT20250704-07367</t>
        </is>
      </c>
      <c r="B7368" s="59" t="inlineStr">
        <is>
          <t>2025-07-04</t>
        </is>
      </c>
      <c r="C7368" s="60" t="inlineStr">
        <is>
          <t>Polar Women S-662</t>
        </is>
      </c>
      <c r="D7368" s="58" t="inlineStr">
        <is>
          <t>Apparel</t>
        </is>
      </c>
      <c r="E7368" s="58" t="inlineStr">
        <is>
          <t>Central</t>
        </is>
      </c>
      <c r="F7368" s="61" t="n">
        <v>1</v>
      </c>
      <c r="G7368" s="62" t="n">
        <v>165.48</v>
      </c>
      <c r="H7368" s="63" t="n">
        <v>0.013</v>
      </c>
      <c r="I7368" s="62" t="n">
        <v>101.94</v>
      </c>
      <c r="J7368" s="58" t="inlineStr">
        <is>
          <t>Online</t>
        </is>
      </c>
      <c r="K7368" s="62">
        <f>F7368*(G7368-H7368)</f>
        <v/>
      </c>
      <c r="L7368" s="62">
        <f>K7368-(F7368*I7368)</f>
        <v/>
      </c>
      <c r="M7368" s="64">
        <f>L7368/K7368</f>
        <v/>
      </c>
    </row>
    <row r="7369">
      <c r="A7369" s="58" t="inlineStr">
        <is>
          <t>RT20250704-07368</t>
        </is>
      </c>
      <c r="B7369" s="59" t="inlineStr">
        <is>
          <t>2025-07-04</t>
        </is>
      </c>
      <c r="C7369" s="60" t="inlineStr">
        <is>
          <t>Nimbus Furniture Pro-479</t>
        </is>
      </c>
      <c r="D7369" s="58" t="inlineStr">
        <is>
          <t>Office</t>
        </is>
      </c>
      <c r="E7369" s="58" t="inlineStr">
        <is>
          <t>East</t>
        </is>
      </c>
      <c r="F7369" s="61" t="n">
        <v>2</v>
      </c>
      <c r="G7369" s="62" t="n">
        <v>312.32</v>
      </c>
      <c r="H7369" s="63" t="n">
        <v>0.04</v>
      </c>
      <c r="I7369" s="62" t="n">
        <v>243.49</v>
      </c>
      <c r="J7369" s="58" t="inlineStr">
        <is>
          <t>Online</t>
        </is>
      </c>
      <c r="K7369" s="62">
        <f>F7369*(G7369-H7369)</f>
        <v/>
      </c>
      <c r="L7369" s="62">
        <f>K7369-(F7369*I7369)</f>
        <v/>
      </c>
      <c r="M7369" s="64">
        <f>L7369/K7369</f>
        <v/>
      </c>
    </row>
    <row r="7370">
      <c r="A7370" s="58" t="inlineStr">
        <is>
          <t>RT20250704-07369</t>
        </is>
      </c>
      <c r="B7370" s="59" t="inlineStr">
        <is>
          <t>2025-07-04</t>
        </is>
      </c>
      <c r="C7370" s="60" t="inlineStr">
        <is>
          <t>Orion Kid Max-864</t>
        </is>
      </c>
      <c r="D7370" s="58" t="inlineStr">
        <is>
          <t>Apparel</t>
        </is>
      </c>
      <c r="E7370" s="58" t="inlineStr">
        <is>
          <t>North</t>
        </is>
      </c>
      <c r="F7370" s="61" t="n">
        <v>2</v>
      </c>
      <c r="G7370" s="62" t="n">
        <v>69.43000000000001</v>
      </c>
      <c r="H7370" s="63" t="n">
        <v>0.027</v>
      </c>
      <c r="I7370" s="62" t="n">
        <v>46.27</v>
      </c>
      <c r="J7370" s="58" t="inlineStr">
        <is>
          <t>Phone</t>
        </is>
      </c>
      <c r="K7370" s="62">
        <f>F7370*(G7370-H7370)</f>
        <v/>
      </c>
      <c r="L7370" s="62">
        <f>K7370-(F7370*I7370)</f>
        <v/>
      </c>
      <c r="M7370" s="64">
        <f>L7370/K7370</f>
        <v/>
      </c>
    </row>
    <row r="7371">
      <c r="A7371" s="58" t="inlineStr">
        <is>
          <t>RT20250704-07370</t>
        </is>
      </c>
      <c r="B7371" s="59" t="inlineStr">
        <is>
          <t>2025-07-04</t>
        </is>
      </c>
      <c r="C7371" s="60" t="inlineStr">
        <is>
          <t>Solace Kid S-384</t>
        </is>
      </c>
      <c r="D7371" s="58" t="inlineStr">
        <is>
          <t>Apparel</t>
        </is>
      </c>
      <c r="E7371" s="58" t="inlineStr">
        <is>
          <t>East</t>
        </is>
      </c>
      <c r="F7371" s="61" t="n">
        <v>1</v>
      </c>
      <c r="G7371" s="62" t="n">
        <v>104.38</v>
      </c>
      <c r="H7371" s="63" t="n">
        <v>0.118</v>
      </c>
      <c r="I7371" s="62" t="n">
        <v>60.8</v>
      </c>
      <c r="J7371" s="58" t="inlineStr">
        <is>
          <t>Store</t>
        </is>
      </c>
      <c r="K7371" s="62">
        <f>F7371*(G7371-H7371)</f>
        <v/>
      </c>
      <c r="L7371" s="62">
        <f>K7371-(F7371*I7371)</f>
        <v/>
      </c>
      <c r="M7371" s="64">
        <f>L7371/K7371</f>
        <v/>
      </c>
    </row>
    <row r="7372">
      <c r="A7372" s="58" t="inlineStr">
        <is>
          <t>RT20250704-07371</t>
        </is>
      </c>
      <c r="B7372" s="59" t="inlineStr">
        <is>
          <t>2025-07-04</t>
        </is>
      </c>
      <c r="C7372" s="60" t="inlineStr">
        <is>
          <t>Nimbus Men Plus-231</t>
        </is>
      </c>
      <c r="D7372" s="58" t="inlineStr">
        <is>
          <t>Apparel</t>
        </is>
      </c>
      <c r="E7372" s="58" t="inlineStr">
        <is>
          <t>Central</t>
        </is>
      </c>
      <c r="F7372" s="61" t="n">
        <v>1</v>
      </c>
      <c r="G7372" s="62" t="n">
        <v>135</v>
      </c>
      <c r="H7372" s="63" t="n">
        <v>0.043</v>
      </c>
      <c r="I7372" s="62" t="n">
        <v>86.11</v>
      </c>
      <c r="J7372" s="58" t="inlineStr">
        <is>
          <t>Store</t>
        </is>
      </c>
      <c r="K7372" s="62">
        <f>F7372*(G7372-H7372)</f>
        <v/>
      </c>
      <c r="L7372" s="62">
        <f>K7372-(F7372*I7372)</f>
        <v/>
      </c>
      <c r="M7372" s="64">
        <f>L7372/K7372</f>
        <v/>
      </c>
    </row>
    <row r="7373">
      <c r="A7373" s="58" t="inlineStr">
        <is>
          <t>RT20250704-07372</t>
        </is>
      </c>
      <c r="B7373" s="59" t="inlineStr">
        <is>
          <t>2025-07-04</t>
        </is>
      </c>
      <c r="C7373" s="60" t="inlineStr">
        <is>
          <t>Solace Team Sport Max-548</t>
        </is>
      </c>
      <c r="D7373" s="58" t="inlineStr">
        <is>
          <t>Sports</t>
        </is>
      </c>
      <c r="E7373" s="58" t="inlineStr">
        <is>
          <t>West</t>
        </is>
      </c>
      <c r="F7373" s="61" t="n">
        <v>2</v>
      </c>
      <c r="G7373" s="62" t="n">
        <v>734.03</v>
      </c>
      <c r="H7373" s="63" t="n">
        <v>0.093</v>
      </c>
      <c r="I7373" s="62" t="n">
        <v>466.69</v>
      </c>
      <c r="J7373" s="58" t="inlineStr">
        <is>
          <t>Store</t>
        </is>
      </c>
      <c r="K7373" s="62">
        <f>F7373*(G7373-H7373)</f>
        <v/>
      </c>
      <c r="L7373" s="62">
        <f>K7373-(F7373*I7373)</f>
        <v/>
      </c>
      <c r="M7373" s="64">
        <f>L7373/K7373</f>
        <v/>
      </c>
    </row>
    <row r="7374">
      <c r="A7374" s="58" t="inlineStr">
        <is>
          <t>RT20250704-07373</t>
        </is>
      </c>
      <c r="B7374" s="59" t="inlineStr">
        <is>
          <t>2025-07-04</t>
        </is>
      </c>
      <c r="C7374" s="60" t="inlineStr">
        <is>
          <t>Vertex Furniture S-652</t>
        </is>
      </c>
      <c r="D7374" s="58" t="inlineStr">
        <is>
          <t>Office</t>
        </is>
      </c>
      <c r="E7374" s="58" t="inlineStr">
        <is>
          <t>South</t>
        </is>
      </c>
      <c r="F7374" s="61" t="n">
        <v>1</v>
      </c>
      <c r="G7374" s="62" t="n">
        <v>358.8</v>
      </c>
      <c r="H7374" s="63" t="n">
        <v>0.13</v>
      </c>
      <c r="I7374" s="62" t="n">
        <v>271.4</v>
      </c>
      <c r="J7374" s="58" t="inlineStr">
        <is>
          <t>Online</t>
        </is>
      </c>
      <c r="K7374" s="62">
        <f>F7374*(G7374-H7374)</f>
        <v/>
      </c>
      <c r="L7374" s="62">
        <f>K7374-(F7374*I7374)</f>
        <v/>
      </c>
      <c r="M7374" s="64">
        <f>L7374/K7374</f>
        <v/>
      </c>
    </row>
    <row r="7375">
      <c r="A7375" s="58" t="inlineStr">
        <is>
          <t>RT20250704-07374</t>
        </is>
      </c>
      <c r="B7375" s="59" t="inlineStr">
        <is>
          <t>2025-07-04</t>
        </is>
      </c>
      <c r="C7375" s="60" t="inlineStr">
        <is>
          <t>Orion Kid Max-640</t>
        </is>
      </c>
      <c r="D7375" s="58" t="inlineStr">
        <is>
          <t>Apparel</t>
        </is>
      </c>
      <c r="E7375" s="58" t="inlineStr">
        <is>
          <t>North</t>
        </is>
      </c>
      <c r="F7375" s="61" t="n">
        <v>3</v>
      </c>
      <c r="G7375" s="62" t="n">
        <v>114.84</v>
      </c>
      <c r="H7375" s="63" t="n">
        <v>0.023</v>
      </c>
      <c r="I7375" s="62" t="n">
        <v>69.45999999999999</v>
      </c>
      <c r="J7375" s="58" t="inlineStr">
        <is>
          <t>Online</t>
        </is>
      </c>
      <c r="K7375" s="62">
        <f>F7375*(G7375-H7375)</f>
        <v/>
      </c>
      <c r="L7375" s="62">
        <f>K7375-(F7375*I7375)</f>
        <v/>
      </c>
      <c r="M7375" s="64">
        <f>L7375/K7375</f>
        <v/>
      </c>
    </row>
    <row r="7376">
      <c r="A7376" s="58" t="inlineStr">
        <is>
          <t>RT20250704-07375</t>
        </is>
      </c>
      <c r="B7376" s="59" t="inlineStr">
        <is>
          <t>2025-07-04</t>
        </is>
      </c>
      <c r="C7376" s="60" t="inlineStr">
        <is>
          <t>Polar Haircare Max-614</t>
        </is>
      </c>
      <c r="D7376" s="58" t="inlineStr">
        <is>
          <t>Beauty</t>
        </is>
      </c>
      <c r="E7376" s="58" t="inlineStr">
        <is>
          <t>South</t>
        </is>
      </c>
      <c r="F7376" s="61" t="n">
        <v>2</v>
      </c>
      <c r="G7376" s="62" t="n">
        <v>109.53</v>
      </c>
      <c r="H7376" s="63" t="n">
        <v>0.066</v>
      </c>
      <c r="I7376" s="62" t="n">
        <v>68.61</v>
      </c>
      <c r="J7376" s="58" t="inlineStr">
        <is>
          <t>Online</t>
        </is>
      </c>
      <c r="K7376" s="62">
        <f>F7376*(G7376-H7376)</f>
        <v/>
      </c>
      <c r="L7376" s="62">
        <f>K7376-(F7376*I7376)</f>
        <v/>
      </c>
      <c r="M7376" s="64">
        <f>L7376/K7376</f>
        <v/>
      </c>
    </row>
    <row r="7377">
      <c r="A7377" s="58" t="inlineStr">
        <is>
          <t>RT20250704-07376</t>
        </is>
      </c>
      <c r="B7377" s="59" t="inlineStr">
        <is>
          <t>2025-07-04</t>
        </is>
      </c>
      <c r="C7377" s="60" t="inlineStr">
        <is>
          <t>Nimbus Women Plus-352</t>
        </is>
      </c>
      <c r="D7377" s="58" t="inlineStr">
        <is>
          <t>Apparel</t>
        </is>
      </c>
      <c r="E7377" s="58" t="inlineStr">
        <is>
          <t>West</t>
        </is>
      </c>
      <c r="F7377" s="61" t="n">
        <v>3</v>
      </c>
      <c r="G7377" s="62" t="n">
        <v>55.04</v>
      </c>
      <c r="H7377" s="63" t="n">
        <v>0.036</v>
      </c>
      <c r="I7377" s="62" t="n">
        <v>32.79</v>
      </c>
      <c r="J7377" s="58" t="inlineStr">
        <is>
          <t>Store</t>
        </is>
      </c>
      <c r="K7377" s="62">
        <f>F7377*(G7377-H7377)</f>
        <v/>
      </c>
      <c r="L7377" s="62">
        <f>K7377-(F7377*I7377)</f>
        <v/>
      </c>
      <c r="M7377" s="64">
        <f>L7377/K7377</f>
        <v/>
      </c>
    </row>
    <row r="7378">
      <c r="A7378" s="58" t="inlineStr">
        <is>
          <t>RT20250704-07377</t>
        </is>
      </c>
      <c r="B7378" s="59" t="inlineStr">
        <is>
          <t>2025-07-04</t>
        </is>
      </c>
      <c r="C7378" s="60" t="inlineStr">
        <is>
          <t>Falcon Household Plus-796</t>
        </is>
      </c>
      <c r="D7378" s="58" t="inlineStr">
        <is>
          <t>Grocery</t>
        </is>
      </c>
      <c r="E7378" s="58" t="inlineStr">
        <is>
          <t>East</t>
        </is>
      </c>
      <c r="F7378" s="61" t="n">
        <v>4</v>
      </c>
      <c r="G7378" s="62" t="n">
        <v>24.56</v>
      </c>
      <c r="H7378" s="63" t="n">
        <v>0.077</v>
      </c>
      <c r="I7378" s="62" t="n">
        <v>17.7</v>
      </c>
      <c r="J7378" s="58" t="inlineStr">
        <is>
          <t>Store</t>
        </is>
      </c>
      <c r="K7378" s="62">
        <f>F7378*(G7378-H7378)</f>
        <v/>
      </c>
      <c r="L7378" s="62">
        <f>K7378-(F7378*I7378)</f>
        <v/>
      </c>
      <c r="M7378" s="64">
        <f>L7378/K7378</f>
        <v/>
      </c>
    </row>
    <row r="7379">
      <c r="A7379" s="58" t="inlineStr">
        <is>
          <t>RT20250704-07378</t>
        </is>
      </c>
      <c r="B7379" s="59" t="inlineStr">
        <is>
          <t>2025-07-04</t>
        </is>
      </c>
      <c r="C7379" s="60" t="inlineStr">
        <is>
          <t>Orion Laptop S-350</t>
        </is>
      </c>
      <c r="D7379" s="58" t="inlineStr">
        <is>
          <t>Electronics</t>
        </is>
      </c>
      <c r="E7379" s="58" t="inlineStr">
        <is>
          <t>West</t>
        </is>
      </c>
      <c r="F7379" s="61" t="n">
        <v>1</v>
      </c>
      <c r="G7379" s="62" t="n">
        <v>1268.88</v>
      </c>
      <c r="H7379" s="63" t="n">
        <v>0.074</v>
      </c>
      <c r="I7379" s="62" t="n">
        <v>1070.92</v>
      </c>
      <c r="J7379" s="58" t="inlineStr">
        <is>
          <t>Online</t>
        </is>
      </c>
      <c r="K7379" s="62">
        <f>F7379*(G7379-H7379)</f>
        <v/>
      </c>
      <c r="L7379" s="62">
        <f>K7379-(F7379*I7379)</f>
        <v/>
      </c>
      <c r="M7379" s="64">
        <f>L7379/K7379</f>
        <v/>
      </c>
    </row>
    <row r="7380">
      <c r="A7380" s="58" t="inlineStr">
        <is>
          <t>RT20250704-07379</t>
        </is>
      </c>
      <c r="B7380" s="59" t="inlineStr">
        <is>
          <t>2025-07-04</t>
        </is>
      </c>
      <c r="C7380" s="60" t="inlineStr">
        <is>
          <t>Metro Printer X-294</t>
        </is>
      </c>
      <c r="D7380" s="58" t="inlineStr">
        <is>
          <t>Office</t>
        </is>
      </c>
      <c r="E7380" s="58" t="inlineStr">
        <is>
          <t>Central</t>
        </is>
      </c>
      <c r="F7380" s="61" t="n">
        <v>2</v>
      </c>
      <c r="G7380" s="62" t="n">
        <v>515.4</v>
      </c>
      <c r="H7380" s="63" t="n">
        <v>0.033</v>
      </c>
      <c r="I7380" s="62" t="n">
        <v>408</v>
      </c>
      <c r="J7380" s="58" t="inlineStr">
        <is>
          <t>Online</t>
        </is>
      </c>
      <c r="K7380" s="62">
        <f>F7380*(G7380-H7380)</f>
        <v/>
      </c>
      <c r="L7380" s="62">
        <f>K7380-(F7380*I7380)</f>
        <v/>
      </c>
      <c r="M7380" s="64">
        <f>L7380/K7380</f>
        <v/>
      </c>
    </row>
    <row r="7381">
      <c r="A7381" s="58" t="inlineStr">
        <is>
          <t>RT20250704-07380</t>
        </is>
      </c>
      <c r="B7381" s="59" t="inlineStr">
        <is>
          <t>2025-07-04</t>
        </is>
      </c>
      <c r="C7381" s="60" t="inlineStr">
        <is>
          <t>Vertex Smartphone Lite-267</t>
        </is>
      </c>
      <c r="D7381" s="58" t="inlineStr">
        <is>
          <t>Electronics</t>
        </is>
      </c>
      <c r="E7381" s="58" t="inlineStr">
        <is>
          <t>South</t>
        </is>
      </c>
      <c r="F7381" s="61" t="n">
        <v>1</v>
      </c>
      <c r="G7381" s="62" t="n">
        <v>1188.67</v>
      </c>
      <c r="H7381" s="63" t="n">
        <v>0.112</v>
      </c>
      <c r="I7381" s="62" t="n">
        <v>956.63</v>
      </c>
      <c r="J7381" s="58" t="inlineStr">
        <is>
          <t>Online</t>
        </is>
      </c>
      <c r="K7381" s="62">
        <f>F7381*(G7381-H7381)</f>
        <v/>
      </c>
      <c r="L7381" s="62">
        <f>K7381-(F7381*I7381)</f>
        <v/>
      </c>
      <c r="M7381" s="64">
        <f>L7381/K7381</f>
        <v/>
      </c>
    </row>
    <row r="7382">
      <c r="A7382" s="58" t="inlineStr">
        <is>
          <t>RT20250704-07381</t>
        </is>
      </c>
      <c r="B7382" s="59" t="inlineStr">
        <is>
          <t>2025-07-04</t>
        </is>
      </c>
      <c r="C7382" s="60" t="inlineStr">
        <is>
          <t>Falcon Haircare Pro-980</t>
        </is>
      </c>
      <c r="D7382" s="58" t="inlineStr">
        <is>
          <t>Beauty</t>
        </is>
      </c>
      <c r="E7382" s="58" t="inlineStr">
        <is>
          <t>Central</t>
        </is>
      </c>
      <c r="F7382" s="61" t="n">
        <v>1</v>
      </c>
      <c r="G7382" s="62" t="n">
        <v>89.02</v>
      </c>
      <c r="H7382" s="63" t="n">
        <v>0.037</v>
      </c>
      <c r="I7382" s="62" t="n">
        <v>57.36</v>
      </c>
      <c r="J7382" s="58" t="inlineStr">
        <is>
          <t>Online</t>
        </is>
      </c>
      <c r="K7382" s="62">
        <f>F7382*(G7382-H7382)</f>
        <v/>
      </c>
      <c r="L7382" s="62">
        <f>K7382-(F7382*I7382)</f>
        <v/>
      </c>
      <c r="M7382" s="64">
        <f>L7382/K7382</f>
        <v/>
      </c>
    </row>
    <row r="7383">
      <c r="A7383" s="58" t="inlineStr">
        <is>
          <t>RT20250704-07382</t>
        </is>
      </c>
      <c r="B7383" s="59" t="inlineStr">
        <is>
          <t>2025-07-04</t>
        </is>
      </c>
      <c r="C7383" s="60" t="inlineStr">
        <is>
          <t>Metro Laptop Plus-376</t>
        </is>
      </c>
      <c r="D7383" s="58" t="inlineStr">
        <is>
          <t>Electronics</t>
        </is>
      </c>
      <c r="E7383" s="58" t="inlineStr">
        <is>
          <t>East</t>
        </is>
      </c>
      <c r="F7383" s="61" t="n">
        <v>2</v>
      </c>
      <c r="G7383" s="62" t="n">
        <v>1247.63</v>
      </c>
      <c r="H7383" s="63" t="n">
        <v>0.022</v>
      </c>
      <c r="I7383" s="62" t="n">
        <v>1017.86</v>
      </c>
      <c r="J7383" s="58" t="inlineStr">
        <is>
          <t>Phone</t>
        </is>
      </c>
      <c r="K7383" s="62">
        <f>F7383*(G7383-H7383)</f>
        <v/>
      </c>
      <c r="L7383" s="62">
        <f>K7383-(F7383*I7383)</f>
        <v/>
      </c>
      <c r="M7383" s="64">
        <f>L7383/K7383</f>
        <v/>
      </c>
    </row>
    <row r="7384">
      <c r="A7384" s="58" t="inlineStr">
        <is>
          <t>RT20250704-07383</t>
        </is>
      </c>
      <c r="B7384" s="59" t="inlineStr">
        <is>
          <t>2025-07-04</t>
        </is>
      </c>
      <c r="C7384" s="60" t="inlineStr">
        <is>
          <t>Polar Wearable X-119</t>
        </is>
      </c>
      <c r="D7384" s="58" t="inlineStr">
        <is>
          <t>Electronics</t>
        </is>
      </c>
      <c r="E7384" s="58" t="inlineStr">
        <is>
          <t>Central</t>
        </is>
      </c>
      <c r="F7384" s="61" t="n">
        <v>1</v>
      </c>
      <c r="G7384" s="62" t="n">
        <v>1657.3</v>
      </c>
      <c r="H7384" s="63" t="n">
        <v>0.03</v>
      </c>
      <c r="I7384" s="62" t="n">
        <v>1311.47</v>
      </c>
      <c r="J7384" s="58" t="inlineStr">
        <is>
          <t>Store</t>
        </is>
      </c>
      <c r="K7384" s="62">
        <f>F7384*(G7384-H7384)</f>
        <v/>
      </c>
      <c r="L7384" s="62">
        <f>K7384-(F7384*I7384)</f>
        <v/>
      </c>
      <c r="M7384" s="64">
        <f>L7384/K7384</f>
        <v/>
      </c>
    </row>
    <row r="7385">
      <c r="A7385" s="58" t="inlineStr">
        <is>
          <t>RT20250704-07384</t>
        </is>
      </c>
      <c r="B7385" s="59" t="inlineStr">
        <is>
          <t>2025-07-04</t>
        </is>
      </c>
      <c r="C7385" s="60" t="inlineStr">
        <is>
          <t>Falcon Skincare Max-151</t>
        </is>
      </c>
      <c r="D7385" s="58" t="inlineStr">
        <is>
          <t>Beauty</t>
        </is>
      </c>
      <c r="E7385" s="58" t="inlineStr">
        <is>
          <t>East</t>
        </is>
      </c>
      <c r="F7385" s="61" t="n">
        <v>2</v>
      </c>
      <c r="G7385" s="62" t="n">
        <v>98.84999999999999</v>
      </c>
      <c r="H7385" s="63" t="n">
        <v>0.07199999999999999</v>
      </c>
      <c r="I7385" s="62" t="n">
        <v>57.86</v>
      </c>
      <c r="J7385" s="58" t="inlineStr">
        <is>
          <t>Online</t>
        </is>
      </c>
      <c r="K7385" s="62">
        <f>F7385*(G7385-H7385)</f>
        <v/>
      </c>
      <c r="L7385" s="62">
        <f>K7385-(F7385*I7385)</f>
        <v/>
      </c>
      <c r="M7385" s="64">
        <f>L7385/K7385</f>
        <v/>
      </c>
    </row>
    <row r="7386">
      <c r="A7386" s="58" t="inlineStr">
        <is>
          <t>RT20250704-07385</t>
        </is>
      </c>
      <c r="B7386" s="59" t="inlineStr">
        <is>
          <t>2025-07-04</t>
        </is>
      </c>
      <c r="C7386" s="60" t="inlineStr">
        <is>
          <t>Solace Snack S-691</t>
        </is>
      </c>
      <c r="D7386" s="58" t="inlineStr">
        <is>
          <t>Grocery</t>
        </is>
      </c>
      <c r="E7386" s="58" t="inlineStr">
        <is>
          <t>South</t>
        </is>
      </c>
      <c r="F7386" s="61" t="n">
        <v>7</v>
      </c>
      <c r="G7386" s="62" t="n">
        <v>9.51</v>
      </c>
      <c r="H7386" s="63" t="n">
        <v>0.049</v>
      </c>
      <c r="I7386" s="62" t="n">
        <v>7.12</v>
      </c>
      <c r="J7386" s="58" t="inlineStr">
        <is>
          <t>Store</t>
        </is>
      </c>
      <c r="K7386" s="62">
        <f>F7386*(G7386-H7386)</f>
        <v/>
      </c>
      <c r="L7386" s="62">
        <f>K7386-(F7386*I7386)</f>
        <v/>
      </c>
      <c r="M7386" s="64">
        <f>L7386/K7386</f>
        <v/>
      </c>
    </row>
    <row r="7387">
      <c r="A7387" s="58" t="inlineStr">
        <is>
          <t>RT20250704-07386</t>
        </is>
      </c>
      <c r="B7387" s="59" t="inlineStr">
        <is>
          <t>2025-07-04</t>
        </is>
      </c>
      <c r="C7387" s="60" t="inlineStr">
        <is>
          <t>Metro Decor Lite-325</t>
        </is>
      </c>
      <c r="D7387" s="58" t="inlineStr">
        <is>
          <t>Home</t>
        </is>
      </c>
      <c r="E7387" s="58" t="inlineStr">
        <is>
          <t>Central</t>
        </is>
      </c>
      <c r="F7387" s="61" t="n">
        <v>3</v>
      </c>
      <c r="G7387" s="62" t="n">
        <v>523.22</v>
      </c>
      <c r="H7387" s="63" t="n">
        <v>0.011</v>
      </c>
      <c r="I7387" s="62" t="n">
        <v>377.7</v>
      </c>
      <c r="J7387" s="58" t="inlineStr">
        <is>
          <t>Online</t>
        </is>
      </c>
      <c r="K7387" s="62">
        <f>F7387*(G7387-H7387)</f>
        <v/>
      </c>
      <c r="L7387" s="62">
        <f>K7387-(F7387*I7387)</f>
        <v/>
      </c>
      <c r="M7387" s="64">
        <f>L7387/K7387</f>
        <v/>
      </c>
    </row>
    <row r="7388">
      <c r="A7388" s="58" t="inlineStr">
        <is>
          <t>RT20250704-07387</t>
        </is>
      </c>
      <c r="B7388" s="59" t="inlineStr">
        <is>
          <t>2025-07-04</t>
        </is>
      </c>
      <c r="C7388" s="60" t="inlineStr">
        <is>
          <t>Aurora Skincare Max-798</t>
        </is>
      </c>
      <c r="D7388" s="58" t="inlineStr">
        <is>
          <t>Beauty</t>
        </is>
      </c>
      <c r="E7388" s="58" t="inlineStr">
        <is>
          <t>East</t>
        </is>
      </c>
      <c r="F7388" s="61" t="n">
        <v>5</v>
      </c>
      <c r="G7388" s="62" t="n">
        <v>107.29</v>
      </c>
      <c r="H7388" s="63" t="n">
        <v>0.047</v>
      </c>
      <c r="I7388" s="62" t="n">
        <v>69.17</v>
      </c>
      <c r="J7388" s="58" t="inlineStr">
        <is>
          <t>Online</t>
        </is>
      </c>
      <c r="K7388" s="62">
        <f>F7388*(G7388-H7388)</f>
        <v/>
      </c>
      <c r="L7388" s="62">
        <f>K7388-(F7388*I7388)</f>
        <v/>
      </c>
      <c r="M7388" s="64">
        <f>L7388/K7388</f>
        <v/>
      </c>
    </row>
    <row r="7389">
      <c r="A7389" s="58" t="inlineStr">
        <is>
          <t>RT20250704-07388</t>
        </is>
      </c>
      <c r="B7389" s="59" t="inlineStr">
        <is>
          <t>2025-07-04</t>
        </is>
      </c>
      <c r="C7389" s="60" t="inlineStr">
        <is>
          <t>Falcon Cycling Pro-499</t>
        </is>
      </c>
      <c r="D7389" s="58" t="inlineStr">
        <is>
          <t>Sports</t>
        </is>
      </c>
      <c r="E7389" s="58" t="inlineStr">
        <is>
          <t>Central</t>
        </is>
      </c>
      <c r="F7389" s="61" t="n">
        <v>2</v>
      </c>
      <c r="G7389" s="62" t="n">
        <v>627.64</v>
      </c>
      <c r="H7389" s="63" t="n">
        <v>0.07000000000000001</v>
      </c>
      <c r="I7389" s="62" t="n">
        <v>392.51</v>
      </c>
      <c r="J7389" s="58" t="inlineStr">
        <is>
          <t>Store</t>
        </is>
      </c>
      <c r="K7389" s="62">
        <f>F7389*(G7389-H7389)</f>
        <v/>
      </c>
      <c r="L7389" s="62">
        <f>K7389-(F7389*I7389)</f>
        <v/>
      </c>
      <c r="M7389" s="64">
        <f>L7389/K7389</f>
        <v/>
      </c>
    </row>
    <row r="7390">
      <c r="A7390" s="58" t="inlineStr">
        <is>
          <t>RT20250704-07389</t>
        </is>
      </c>
      <c r="B7390" s="59" t="inlineStr">
        <is>
          <t>2025-07-04</t>
        </is>
      </c>
      <c r="C7390" s="60" t="inlineStr">
        <is>
          <t>Nimbus Men Plus-231</t>
        </is>
      </c>
      <c r="D7390" s="58" t="inlineStr">
        <is>
          <t>Apparel</t>
        </is>
      </c>
      <c r="E7390" s="58" t="inlineStr">
        <is>
          <t>East</t>
        </is>
      </c>
      <c r="F7390" s="61" t="n">
        <v>4</v>
      </c>
      <c r="G7390" s="62" t="n">
        <v>151.97</v>
      </c>
      <c r="H7390" s="63" t="n">
        <v>0.066</v>
      </c>
      <c r="I7390" s="62" t="n">
        <v>88.04000000000001</v>
      </c>
      <c r="J7390" s="58" t="inlineStr">
        <is>
          <t>Store</t>
        </is>
      </c>
      <c r="K7390" s="62">
        <f>F7390*(G7390-H7390)</f>
        <v/>
      </c>
      <c r="L7390" s="62">
        <f>K7390-(F7390*I7390)</f>
        <v/>
      </c>
      <c r="M7390" s="64">
        <f>L7390/K7390</f>
        <v/>
      </c>
    </row>
    <row r="7391">
      <c r="A7391" s="58" t="inlineStr">
        <is>
          <t>RT20250704-07390</t>
        </is>
      </c>
      <c r="B7391" s="59" t="inlineStr">
        <is>
          <t>2025-07-04</t>
        </is>
      </c>
      <c r="C7391" s="60" t="inlineStr">
        <is>
          <t>Aurora Haircare S-975</t>
        </is>
      </c>
      <c r="D7391" s="58" t="inlineStr">
        <is>
          <t>Beauty</t>
        </is>
      </c>
      <c r="E7391" s="58" t="inlineStr">
        <is>
          <t>West</t>
        </is>
      </c>
      <c r="F7391" s="61" t="n">
        <v>2</v>
      </c>
      <c r="G7391" s="62" t="n">
        <v>98.81999999999999</v>
      </c>
      <c r="H7391" s="63" t="n">
        <v>0.058</v>
      </c>
      <c r="I7391" s="62" t="n">
        <v>58.73</v>
      </c>
      <c r="J7391" s="58" t="inlineStr">
        <is>
          <t>Online</t>
        </is>
      </c>
      <c r="K7391" s="62">
        <f>F7391*(G7391-H7391)</f>
        <v/>
      </c>
      <c r="L7391" s="62">
        <f>K7391-(F7391*I7391)</f>
        <v/>
      </c>
      <c r="M7391" s="64">
        <f>L7391/K7391</f>
        <v/>
      </c>
    </row>
    <row r="7392">
      <c r="A7392" s="58" t="inlineStr">
        <is>
          <t>RT20250704-07391</t>
        </is>
      </c>
      <c r="B7392" s="59" t="inlineStr">
        <is>
          <t>2025-07-04</t>
        </is>
      </c>
      <c r="C7392" s="60" t="inlineStr">
        <is>
          <t>Aurora Bedding Max-175</t>
        </is>
      </c>
      <c r="D7392" s="58" t="inlineStr">
        <is>
          <t>Home</t>
        </is>
      </c>
      <c r="E7392" s="58" t="inlineStr">
        <is>
          <t>West</t>
        </is>
      </c>
      <c r="F7392" s="61" t="n">
        <v>2</v>
      </c>
      <c r="G7392" s="62" t="n">
        <v>553.66</v>
      </c>
      <c r="H7392" s="63" t="n">
        <v>0.04</v>
      </c>
      <c r="I7392" s="62" t="n">
        <v>421.38</v>
      </c>
      <c r="J7392" s="58" t="inlineStr">
        <is>
          <t>Store</t>
        </is>
      </c>
      <c r="K7392" s="62">
        <f>F7392*(G7392-H7392)</f>
        <v/>
      </c>
      <c r="L7392" s="62">
        <f>K7392-(F7392*I7392)</f>
        <v/>
      </c>
      <c r="M7392" s="64">
        <f>L7392/K7392</f>
        <v/>
      </c>
    </row>
    <row r="7393">
      <c r="A7393" s="58" t="inlineStr">
        <is>
          <t>RT20250704-07392</t>
        </is>
      </c>
      <c r="B7393" s="59" t="inlineStr">
        <is>
          <t>2025-07-04</t>
        </is>
      </c>
      <c r="C7393" s="60" t="inlineStr">
        <is>
          <t>Aurora Appliance Lite-109</t>
        </is>
      </c>
      <c r="D7393" s="58" t="inlineStr">
        <is>
          <t>Home</t>
        </is>
      </c>
      <c r="E7393" s="58" t="inlineStr">
        <is>
          <t>East</t>
        </is>
      </c>
      <c r="F7393" s="61" t="n">
        <v>1</v>
      </c>
      <c r="G7393" s="62" t="n">
        <v>296.99</v>
      </c>
      <c r="H7393" s="63" t="n">
        <v>0.051</v>
      </c>
      <c r="I7393" s="62" t="n">
        <v>206</v>
      </c>
      <c r="J7393" s="58" t="inlineStr">
        <is>
          <t>Store</t>
        </is>
      </c>
      <c r="K7393" s="62">
        <f>F7393*(G7393-H7393)</f>
        <v/>
      </c>
      <c r="L7393" s="62">
        <f>K7393-(F7393*I7393)</f>
        <v/>
      </c>
      <c r="M7393" s="64">
        <f>L7393/K7393</f>
        <v/>
      </c>
    </row>
    <row r="7394">
      <c r="A7394" s="58" t="inlineStr">
        <is>
          <t>RT20250704-07393</t>
        </is>
      </c>
      <c r="B7394" s="59" t="inlineStr">
        <is>
          <t>2025-07-04</t>
        </is>
      </c>
      <c r="C7394" s="60" t="inlineStr">
        <is>
          <t>Aurora Bedding Plus-187</t>
        </is>
      </c>
      <c r="D7394" s="58" t="inlineStr">
        <is>
          <t>Home</t>
        </is>
      </c>
      <c r="E7394" s="58" t="inlineStr">
        <is>
          <t>North</t>
        </is>
      </c>
      <c r="F7394" s="61" t="n">
        <v>2</v>
      </c>
      <c r="G7394" s="62" t="n">
        <v>281.96</v>
      </c>
      <c r="H7394" s="63" t="n">
        <v>0.065</v>
      </c>
      <c r="I7394" s="62" t="n">
        <v>206.72</v>
      </c>
      <c r="J7394" s="58" t="inlineStr">
        <is>
          <t>Online</t>
        </is>
      </c>
      <c r="K7394" s="62">
        <f>F7394*(G7394-H7394)</f>
        <v/>
      </c>
      <c r="L7394" s="62">
        <f>K7394-(F7394*I7394)</f>
        <v/>
      </c>
      <c r="M7394" s="64">
        <f>L7394/K7394</f>
        <v/>
      </c>
    </row>
    <row r="7395">
      <c r="A7395" s="58" t="inlineStr">
        <is>
          <t>RT20250704-07394</t>
        </is>
      </c>
      <c r="B7395" s="59" t="inlineStr">
        <is>
          <t>2025-07-04</t>
        </is>
      </c>
      <c r="C7395" s="60" t="inlineStr">
        <is>
          <t>Aurora Printer Plus-723</t>
        </is>
      </c>
      <c r="D7395" s="58" t="inlineStr">
        <is>
          <t>Office</t>
        </is>
      </c>
      <c r="E7395" s="58" t="inlineStr">
        <is>
          <t>West</t>
        </is>
      </c>
      <c r="F7395" s="61" t="n">
        <v>3</v>
      </c>
      <c r="G7395" s="62" t="n">
        <v>270.09</v>
      </c>
      <c r="H7395" s="63" t="n">
        <v>0.102</v>
      </c>
      <c r="I7395" s="62" t="n">
        <v>186.65</v>
      </c>
      <c r="J7395" s="58" t="inlineStr">
        <is>
          <t>Store</t>
        </is>
      </c>
      <c r="K7395" s="62">
        <f>F7395*(G7395-H7395)</f>
        <v/>
      </c>
      <c r="L7395" s="62">
        <f>K7395-(F7395*I7395)</f>
        <v/>
      </c>
      <c r="M7395" s="64">
        <f>L7395/K7395</f>
        <v/>
      </c>
    </row>
    <row r="7396">
      <c r="A7396" s="58" t="inlineStr">
        <is>
          <t>RT20250704-07395</t>
        </is>
      </c>
      <c r="B7396" s="59" t="inlineStr">
        <is>
          <t>2025-07-04</t>
        </is>
      </c>
      <c r="C7396" s="60" t="inlineStr">
        <is>
          <t>Aurora Haircare S-975</t>
        </is>
      </c>
      <c r="D7396" s="58" t="inlineStr">
        <is>
          <t>Beauty</t>
        </is>
      </c>
      <c r="E7396" s="58" t="inlineStr">
        <is>
          <t>West</t>
        </is>
      </c>
      <c r="F7396" s="61" t="n">
        <v>2</v>
      </c>
      <c r="G7396" s="62" t="n">
        <v>85.12</v>
      </c>
      <c r="H7396" s="63" t="n">
        <v>0.083</v>
      </c>
      <c r="I7396" s="62" t="n">
        <v>58.06</v>
      </c>
      <c r="J7396" s="58" t="inlineStr">
        <is>
          <t>Online</t>
        </is>
      </c>
      <c r="K7396" s="62">
        <f>F7396*(G7396-H7396)</f>
        <v/>
      </c>
      <c r="L7396" s="62">
        <f>K7396-(F7396*I7396)</f>
        <v/>
      </c>
      <c r="M7396" s="64">
        <f>L7396/K7396</f>
        <v/>
      </c>
    </row>
    <row r="7397">
      <c r="A7397" s="58" t="inlineStr">
        <is>
          <t>RT20250704-07396</t>
        </is>
      </c>
      <c r="B7397" s="59" t="inlineStr">
        <is>
          <t>2025-07-04</t>
        </is>
      </c>
      <c r="C7397" s="60" t="inlineStr">
        <is>
          <t>Aurora Haircare S-975</t>
        </is>
      </c>
      <c r="D7397" s="58" t="inlineStr">
        <is>
          <t>Beauty</t>
        </is>
      </c>
      <c r="E7397" s="58" t="inlineStr">
        <is>
          <t>East</t>
        </is>
      </c>
      <c r="F7397" s="61" t="n">
        <v>4</v>
      </c>
      <c r="G7397" s="62" t="n">
        <v>90.91</v>
      </c>
      <c r="H7397" s="63" t="n">
        <v>0.031</v>
      </c>
      <c r="I7397" s="62" t="n">
        <v>56.79</v>
      </c>
      <c r="J7397" s="58" t="inlineStr">
        <is>
          <t>Online</t>
        </is>
      </c>
      <c r="K7397" s="62">
        <f>F7397*(G7397-H7397)</f>
        <v/>
      </c>
      <c r="L7397" s="62">
        <f>K7397-(F7397*I7397)</f>
        <v/>
      </c>
      <c r="M7397" s="64">
        <f>L7397/K7397</f>
        <v/>
      </c>
    </row>
    <row r="7398">
      <c r="A7398" s="58" t="inlineStr">
        <is>
          <t>RT20250704-07397</t>
        </is>
      </c>
      <c r="B7398" s="59" t="inlineStr">
        <is>
          <t>2025-07-04</t>
        </is>
      </c>
      <c r="C7398" s="60" t="inlineStr">
        <is>
          <t>Solace Fitnes S-324</t>
        </is>
      </c>
      <c r="D7398" s="58" t="inlineStr">
        <is>
          <t>Sports</t>
        </is>
      </c>
      <c r="E7398" s="58" t="inlineStr">
        <is>
          <t>South</t>
        </is>
      </c>
      <c r="F7398" s="61" t="n">
        <v>2</v>
      </c>
      <c r="G7398" s="62" t="n">
        <v>727.9299999999999</v>
      </c>
      <c r="H7398" s="63" t="n">
        <v>0.012</v>
      </c>
      <c r="I7398" s="62" t="n">
        <v>541.55</v>
      </c>
      <c r="J7398" s="58" t="inlineStr">
        <is>
          <t>Online</t>
        </is>
      </c>
      <c r="K7398" s="62">
        <f>F7398*(G7398-H7398)</f>
        <v/>
      </c>
      <c r="L7398" s="62">
        <f>K7398-(F7398*I7398)</f>
        <v/>
      </c>
      <c r="M7398" s="64">
        <f>L7398/K7398</f>
        <v/>
      </c>
    </row>
    <row r="7399">
      <c r="A7399" s="58" t="inlineStr">
        <is>
          <t>RT20250704-07398</t>
        </is>
      </c>
      <c r="B7399" s="59" t="inlineStr">
        <is>
          <t>2025-07-04</t>
        </is>
      </c>
      <c r="C7399" s="60" t="inlineStr">
        <is>
          <t>Metro Fragrance Lite-261</t>
        </is>
      </c>
      <c r="D7399" s="58" t="inlineStr">
        <is>
          <t>Beauty</t>
        </is>
      </c>
      <c r="E7399" s="58" t="inlineStr">
        <is>
          <t>West</t>
        </is>
      </c>
      <c r="F7399" s="61" t="n">
        <v>1</v>
      </c>
      <c r="G7399" s="62" t="n">
        <v>97.28</v>
      </c>
      <c r="H7399" s="63" t="n">
        <v>0.037</v>
      </c>
      <c r="I7399" s="62" t="n">
        <v>54.09</v>
      </c>
      <c r="J7399" s="58" t="inlineStr">
        <is>
          <t>Online</t>
        </is>
      </c>
      <c r="K7399" s="62">
        <f>F7399*(G7399-H7399)</f>
        <v/>
      </c>
      <c r="L7399" s="62">
        <f>K7399-(F7399*I7399)</f>
        <v/>
      </c>
      <c r="M7399" s="64">
        <f>L7399/K7399</f>
        <v/>
      </c>
    </row>
    <row r="7400">
      <c r="A7400" s="58" t="inlineStr">
        <is>
          <t>RT20250704-07399</t>
        </is>
      </c>
      <c r="B7400" s="59" t="inlineStr">
        <is>
          <t>2025-07-04</t>
        </is>
      </c>
      <c r="C7400" s="60" t="inlineStr">
        <is>
          <t>Vertex Supplie Pro-786</t>
        </is>
      </c>
      <c r="D7400" s="58" t="inlineStr">
        <is>
          <t>Office</t>
        </is>
      </c>
      <c r="E7400" s="58" t="inlineStr">
        <is>
          <t>Central</t>
        </is>
      </c>
      <c r="F7400" s="61" t="n">
        <v>2</v>
      </c>
      <c r="G7400" s="62" t="n">
        <v>430.53</v>
      </c>
      <c r="H7400" s="63" t="n">
        <v>0.083</v>
      </c>
      <c r="I7400" s="62" t="n">
        <v>300.3</v>
      </c>
      <c r="J7400" s="58" t="inlineStr">
        <is>
          <t>Store</t>
        </is>
      </c>
      <c r="K7400" s="62">
        <f>F7400*(G7400-H7400)</f>
        <v/>
      </c>
      <c r="L7400" s="62">
        <f>K7400-(F7400*I7400)</f>
        <v/>
      </c>
      <c r="M7400" s="64">
        <f>L7400/K7400</f>
        <v/>
      </c>
    </row>
    <row r="7401">
      <c r="A7401" s="58" t="inlineStr">
        <is>
          <t>RT20250704-07400</t>
        </is>
      </c>
      <c r="B7401" s="59" t="inlineStr">
        <is>
          <t>2025-07-04</t>
        </is>
      </c>
      <c r="C7401" s="60" t="inlineStr">
        <is>
          <t>Metro Printer X-294</t>
        </is>
      </c>
      <c r="D7401" s="58" t="inlineStr">
        <is>
          <t>Office</t>
        </is>
      </c>
      <c r="E7401" s="58" t="inlineStr">
        <is>
          <t>Central</t>
        </is>
      </c>
      <c r="F7401" s="61" t="n">
        <v>2</v>
      </c>
      <c r="G7401" s="62" t="n">
        <v>573.1900000000001</v>
      </c>
      <c r="H7401" s="63" t="n">
        <v>0.065</v>
      </c>
      <c r="I7401" s="62" t="n">
        <v>413.23</v>
      </c>
      <c r="J7401" s="58" t="inlineStr">
        <is>
          <t>Online</t>
        </is>
      </c>
      <c r="K7401" s="62">
        <f>F7401*(G7401-H7401)</f>
        <v/>
      </c>
      <c r="L7401" s="62">
        <f>K7401-(F7401*I7401)</f>
        <v/>
      </c>
      <c r="M7401" s="64">
        <f>L7401/K7401</f>
        <v/>
      </c>
    </row>
    <row r="7402">
      <c r="A7402" s="58" t="inlineStr">
        <is>
          <t>RT20250704-07401</t>
        </is>
      </c>
      <c r="B7402" s="59" t="inlineStr">
        <is>
          <t>2025-07-04</t>
        </is>
      </c>
      <c r="C7402" s="60" t="inlineStr">
        <is>
          <t>Nimbus Headphone X-854</t>
        </is>
      </c>
      <c r="D7402" s="58" t="inlineStr">
        <is>
          <t>Electronics</t>
        </is>
      </c>
      <c r="E7402" s="58" t="inlineStr">
        <is>
          <t>South</t>
        </is>
      </c>
      <c r="F7402" s="61" t="n">
        <v>2</v>
      </c>
      <c r="G7402" s="62" t="n">
        <v>1588.05</v>
      </c>
      <c r="H7402" s="63" t="n">
        <v>0.068</v>
      </c>
      <c r="I7402" s="62" t="n">
        <v>1265.71</v>
      </c>
      <c r="J7402" s="58" t="inlineStr">
        <is>
          <t>Store</t>
        </is>
      </c>
      <c r="K7402" s="62">
        <f>F7402*(G7402-H7402)</f>
        <v/>
      </c>
      <c r="L7402" s="62">
        <f>K7402-(F7402*I7402)</f>
        <v/>
      </c>
      <c r="M7402" s="64">
        <f>L7402/K7402</f>
        <v/>
      </c>
    </row>
    <row r="7403">
      <c r="A7403" s="58" t="inlineStr">
        <is>
          <t>RT20250705-07402</t>
        </is>
      </c>
      <c r="B7403" s="59" t="inlineStr">
        <is>
          <t>2025-07-05</t>
        </is>
      </c>
      <c r="C7403" s="60" t="inlineStr">
        <is>
          <t>Solace Smartphone Lite-533</t>
        </is>
      </c>
      <c r="D7403" s="58" t="inlineStr">
        <is>
          <t>Electronics</t>
        </is>
      </c>
      <c r="E7403" s="58" t="inlineStr">
        <is>
          <t>Central</t>
        </is>
      </c>
      <c r="F7403" s="61" t="n">
        <v>2</v>
      </c>
      <c r="G7403" s="62" t="n">
        <v>1226.72</v>
      </c>
      <c r="H7403" s="63" t="n">
        <v>0.075</v>
      </c>
      <c r="I7403" s="62" t="n">
        <v>918.04</v>
      </c>
      <c r="J7403" s="58" t="inlineStr">
        <is>
          <t>Online</t>
        </is>
      </c>
      <c r="K7403" s="62">
        <f>F7403*(G7403-H7403)</f>
        <v/>
      </c>
      <c r="L7403" s="62">
        <f>K7403-(F7403*I7403)</f>
        <v/>
      </c>
      <c r="M7403" s="64">
        <f>L7403/K7403</f>
        <v/>
      </c>
    </row>
    <row r="7404">
      <c r="A7404" s="58" t="inlineStr">
        <is>
          <t>RT20250705-07403</t>
        </is>
      </c>
      <c r="B7404" s="59" t="inlineStr">
        <is>
          <t>2025-07-05</t>
        </is>
      </c>
      <c r="C7404" s="60" t="inlineStr">
        <is>
          <t>Aurora Fragrance S-971</t>
        </is>
      </c>
      <c r="D7404" s="58" t="inlineStr">
        <is>
          <t>Beauty</t>
        </is>
      </c>
      <c r="E7404" s="58" t="inlineStr">
        <is>
          <t>East</t>
        </is>
      </c>
      <c r="F7404" s="61" t="n">
        <v>1</v>
      </c>
      <c r="G7404" s="62" t="n">
        <v>111.58</v>
      </c>
      <c r="H7404" s="63" t="n">
        <v>0.033</v>
      </c>
      <c r="I7404" s="62" t="n">
        <v>64.11</v>
      </c>
      <c r="J7404" s="58" t="inlineStr">
        <is>
          <t>Store</t>
        </is>
      </c>
      <c r="K7404" s="62">
        <f>F7404*(G7404-H7404)</f>
        <v/>
      </c>
      <c r="L7404" s="62">
        <f>K7404-(F7404*I7404)</f>
        <v/>
      </c>
      <c r="M7404" s="64">
        <f>L7404/K7404</f>
        <v/>
      </c>
    </row>
    <row r="7405">
      <c r="A7405" s="58" t="inlineStr">
        <is>
          <t>RT20250705-07404</t>
        </is>
      </c>
      <c r="B7405" s="59" t="inlineStr">
        <is>
          <t>2025-07-05</t>
        </is>
      </c>
      <c r="C7405" s="60" t="inlineStr">
        <is>
          <t>Orion Snack X-322</t>
        </is>
      </c>
      <c r="D7405" s="58" t="inlineStr">
        <is>
          <t>Grocery</t>
        </is>
      </c>
      <c r="E7405" s="58" t="inlineStr">
        <is>
          <t>West</t>
        </is>
      </c>
      <c r="F7405" s="61" t="n">
        <v>7</v>
      </c>
      <c r="G7405" s="62" t="n">
        <v>13.58</v>
      </c>
      <c r="H7405" s="63" t="n">
        <v>0.065</v>
      </c>
      <c r="I7405" s="62" t="n">
        <v>10.12</v>
      </c>
      <c r="J7405" s="58" t="inlineStr">
        <is>
          <t>Store</t>
        </is>
      </c>
      <c r="K7405" s="62">
        <f>F7405*(G7405-H7405)</f>
        <v/>
      </c>
      <c r="L7405" s="62">
        <f>K7405-(F7405*I7405)</f>
        <v/>
      </c>
      <c r="M7405" s="64">
        <f>L7405/K7405</f>
        <v/>
      </c>
    </row>
    <row r="7406">
      <c r="A7406" s="58" t="inlineStr">
        <is>
          <t>RT20250705-07405</t>
        </is>
      </c>
      <c r="B7406" s="59" t="inlineStr">
        <is>
          <t>2025-07-05</t>
        </is>
      </c>
      <c r="C7406" s="60" t="inlineStr">
        <is>
          <t>Polar Snack Pro-641</t>
        </is>
      </c>
      <c r="D7406" s="58" t="inlineStr">
        <is>
          <t>Grocery</t>
        </is>
      </c>
      <c r="E7406" s="58" t="inlineStr">
        <is>
          <t>Central</t>
        </is>
      </c>
      <c r="F7406" s="61" t="n">
        <v>1</v>
      </c>
      <c r="G7406" s="62" t="n">
        <v>13.83</v>
      </c>
      <c r="H7406" s="63" t="n">
        <v>0.06900000000000001</v>
      </c>
      <c r="I7406" s="62" t="n">
        <v>9.699999999999999</v>
      </c>
      <c r="J7406" s="58" t="inlineStr">
        <is>
          <t>Store</t>
        </is>
      </c>
      <c r="K7406" s="62">
        <f>F7406*(G7406-H7406)</f>
        <v/>
      </c>
      <c r="L7406" s="62">
        <f>K7406-(F7406*I7406)</f>
        <v/>
      </c>
      <c r="M7406" s="64">
        <f>L7406/K7406</f>
        <v/>
      </c>
    </row>
    <row r="7407">
      <c r="A7407" s="58" t="inlineStr">
        <is>
          <t>RT20250705-07406</t>
        </is>
      </c>
      <c r="B7407" s="59" t="inlineStr">
        <is>
          <t>2025-07-05</t>
        </is>
      </c>
      <c r="C7407" s="60" t="inlineStr">
        <is>
          <t>Vertex Pantry Pro-165</t>
        </is>
      </c>
      <c r="D7407" s="58" t="inlineStr">
        <is>
          <t>Grocery</t>
        </is>
      </c>
      <c r="E7407" s="58" t="inlineStr">
        <is>
          <t>Central</t>
        </is>
      </c>
      <c r="F7407" s="61" t="n">
        <v>8</v>
      </c>
      <c r="G7407" s="62" t="n">
        <v>13.54</v>
      </c>
      <c r="H7407" s="63" t="n">
        <v>0.037</v>
      </c>
      <c r="I7407" s="62" t="n">
        <v>11.74</v>
      </c>
      <c r="J7407" s="58" t="inlineStr">
        <is>
          <t>Online</t>
        </is>
      </c>
      <c r="K7407" s="62">
        <f>F7407*(G7407-H7407)</f>
        <v/>
      </c>
      <c r="L7407" s="62">
        <f>K7407-(F7407*I7407)</f>
        <v/>
      </c>
      <c r="M7407" s="64">
        <f>L7407/K7407</f>
        <v/>
      </c>
    </row>
    <row r="7408">
      <c r="A7408" s="58" t="inlineStr">
        <is>
          <t>RT20250705-07407</t>
        </is>
      </c>
      <c r="B7408" s="59" t="inlineStr">
        <is>
          <t>2025-07-05</t>
        </is>
      </c>
      <c r="C7408" s="60" t="inlineStr">
        <is>
          <t>Vertex Supplie X-513</t>
        </is>
      </c>
      <c r="D7408" s="58" t="inlineStr">
        <is>
          <t>Office</t>
        </is>
      </c>
      <c r="E7408" s="58" t="inlineStr">
        <is>
          <t>West</t>
        </is>
      </c>
      <c r="F7408" s="61" t="n">
        <v>3</v>
      </c>
      <c r="G7408" s="62" t="n">
        <v>404.27</v>
      </c>
      <c r="H7408" s="63" t="n">
        <v>0.103</v>
      </c>
      <c r="I7408" s="62" t="n">
        <v>271.35</v>
      </c>
      <c r="J7408" s="58" t="inlineStr">
        <is>
          <t>Online</t>
        </is>
      </c>
      <c r="K7408" s="62">
        <f>F7408*(G7408-H7408)</f>
        <v/>
      </c>
      <c r="L7408" s="62">
        <f>K7408-(F7408*I7408)</f>
        <v/>
      </c>
      <c r="M7408" s="64">
        <f>L7408/K7408</f>
        <v/>
      </c>
    </row>
    <row r="7409">
      <c r="A7409" s="58" t="inlineStr">
        <is>
          <t>RT20250705-07408</t>
        </is>
      </c>
      <c r="B7409" s="59" t="inlineStr">
        <is>
          <t>2025-07-05</t>
        </is>
      </c>
      <c r="C7409" s="60" t="inlineStr">
        <is>
          <t>Metro Smartphone Max-773</t>
        </is>
      </c>
      <c r="D7409" s="58" t="inlineStr">
        <is>
          <t>Electronics</t>
        </is>
      </c>
      <c r="E7409" s="58" t="inlineStr">
        <is>
          <t>West</t>
        </is>
      </c>
      <c r="F7409" s="61" t="n">
        <v>1</v>
      </c>
      <c r="G7409" s="62" t="n">
        <v>1481.69</v>
      </c>
      <c r="H7409" s="63" t="n">
        <v>0.08500000000000001</v>
      </c>
      <c r="I7409" s="62" t="n">
        <v>1133.41</v>
      </c>
      <c r="J7409" s="58" t="inlineStr">
        <is>
          <t>Store</t>
        </is>
      </c>
      <c r="K7409" s="62">
        <f>F7409*(G7409-H7409)</f>
        <v/>
      </c>
      <c r="L7409" s="62">
        <f>K7409-(F7409*I7409)</f>
        <v/>
      </c>
      <c r="M7409" s="64">
        <f>L7409/K7409</f>
        <v/>
      </c>
    </row>
    <row r="7410">
      <c r="A7410" s="58" t="inlineStr">
        <is>
          <t>RT20250705-07409</t>
        </is>
      </c>
      <c r="B7410" s="59" t="inlineStr">
        <is>
          <t>2025-07-05</t>
        </is>
      </c>
      <c r="C7410" s="60" t="inlineStr">
        <is>
          <t>Falcon Skincare Max-151</t>
        </is>
      </c>
      <c r="D7410" s="58" t="inlineStr">
        <is>
          <t>Beauty</t>
        </is>
      </c>
      <c r="E7410" s="58" t="inlineStr">
        <is>
          <t>South</t>
        </is>
      </c>
      <c r="F7410" s="61" t="n">
        <v>1</v>
      </c>
      <c r="G7410" s="62" t="n">
        <v>94.06999999999999</v>
      </c>
      <c r="H7410" s="63" t="n">
        <v>0.008999999999999999</v>
      </c>
      <c r="I7410" s="62" t="n">
        <v>59.57</v>
      </c>
      <c r="J7410" s="58" t="inlineStr">
        <is>
          <t>Store</t>
        </is>
      </c>
      <c r="K7410" s="62">
        <f>F7410*(G7410-H7410)</f>
        <v/>
      </c>
      <c r="L7410" s="62">
        <f>K7410-(F7410*I7410)</f>
        <v/>
      </c>
      <c r="M7410" s="64">
        <f>L7410/K7410</f>
        <v/>
      </c>
    </row>
    <row r="7411">
      <c r="A7411" s="58" t="inlineStr">
        <is>
          <t>RT20250705-07410</t>
        </is>
      </c>
      <c r="B7411" s="59" t="inlineStr">
        <is>
          <t>2025-07-05</t>
        </is>
      </c>
      <c r="C7411" s="60" t="inlineStr">
        <is>
          <t>Aurora Wearable Lite-162</t>
        </is>
      </c>
      <c r="D7411" s="58" t="inlineStr">
        <is>
          <t>Electronics</t>
        </is>
      </c>
      <c r="E7411" s="58" t="inlineStr">
        <is>
          <t>West</t>
        </is>
      </c>
      <c r="F7411" s="61" t="n">
        <v>1</v>
      </c>
      <c r="G7411" s="62" t="n">
        <v>1460.18</v>
      </c>
      <c r="H7411" s="63" t="n">
        <v>0.004</v>
      </c>
      <c r="I7411" s="62" t="n">
        <v>1203.64</v>
      </c>
      <c r="J7411" s="58" t="inlineStr">
        <is>
          <t>Online</t>
        </is>
      </c>
      <c r="K7411" s="62">
        <f>F7411*(G7411-H7411)</f>
        <v/>
      </c>
      <c r="L7411" s="62">
        <f>K7411-(F7411*I7411)</f>
        <v/>
      </c>
      <c r="M7411" s="64">
        <f>L7411/K7411</f>
        <v/>
      </c>
    </row>
    <row r="7412">
      <c r="A7412" s="58" t="inlineStr">
        <is>
          <t>RT20250705-07411</t>
        </is>
      </c>
      <c r="B7412" s="59" t="inlineStr">
        <is>
          <t>2025-07-05</t>
        </is>
      </c>
      <c r="C7412" s="60" t="inlineStr">
        <is>
          <t>Solace Laptop S-367</t>
        </is>
      </c>
      <c r="D7412" s="58" t="inlineStr">
        <is>
          <t>Electronics</t>
        </is>
      </c>
      <c r="E7412" s="58" t="inlineStr">
        <is>
          <t>East</t>
        </is>
      </c>
      <c r="F7412" s="61" t="n">
        <v>1</v>
      </c>
      <c r="G7412" s="62" t="n">
        <v>2239.79</v>
      </c>
      <c r="H7412" s="63" t="n">
        <v>0.066</v>
      </c>
      <c r="I7412" s="62" t="n">
        <v>1588.96</v>
      </c>
      <c r="J7412" s="58" t="inlineStr">
        <is>
          <t>Store</t>
        </is>
      </c>
      <c r="K7412" s="62">
        <f>F7412*(G7412-H7412)</f>
        <v/>
      </c>
      <c r="L7412" s="62">
        <f>K7412-(F7412*I7412)</f>
        <v/>
      </c>
      <c r="M7412" s="64">
        <f>L7412/K7412</f>
        <v/>
      </c>
    </row>
    <row r="7413">
      <c r="A7413" s="58" t="inlineStr">
        <is>
          <t>RT20250705-07412</t>
        </is>
      </c>
      <c r="B7413" s="59" t="inlineStr">
        <is>
          <t>2025-07-05</t>
        </is>
      </c>
      <c r="C7413" s="60" t="inlineStr">
        <is>
          <t>Metro Pantry Max-180</t>
        </is>
      </c>
      <c r="D7413" s="58" t="inlineStr">
        <is>
          <t>Grocery</t>
        </is>
      </c>
      <c r="E7413" s="58" t="inlineStr">
        <is>
          <t>West</t>
        </is>
      </c>
      <c r="F7413" s="61" t="n">
        <v>3</v>
      </c>
      <c r="G7413" s="62" t="n">
        <v>8.710000000000001</v>
      </c>
      <c r="H7413" s="63" t="n">
        <v>0.07099999999999999</v>
      </c>
      <c r="I7413" s="62" t="n">
        <v>6.71</v>
      </c>
      <c r="J7413" s="58" t="inlineStr">
        <is>
          <t>Online</t>
        </is>
      </c>
      <c r="K7413" s="62">
        <f>F7413*(G7413-H7413)</f>
        <v/>
      </c>
      <c r="L7413" s="62">
        <f>K7413-(F7413*I7413)</f>
        <v/>
      </c>
      <c r="M7413" s="64">
        <f>L7413/K7413</f>
        <v/>
      </c>
    </row>
    <row r="7414">
      <c r="A7414" s="58" t="inlineStr">
        <is>
          <t>RT20250705-07413</t>
        </is>
      </c>
      <c r="B7414" s="59" t="inlineStr">
        <is>
          <t>2025-07-05</t>
        </is>
      </c>
      <c r="C7414" s="60" t="inlineStr">
        <is>
          <t>Vertex Appliance Max-338</t>
        </is>
      </c>
      <c r="D7414" s="58" t="inlineStr">
        <is>
          <t>Home</t>
        </is>
      </c>
      <c r="E7414" s="58" t="inlineStr">
        <is>
          <t>East</t>
        </is>
      </c>
      <c r="F7414" s="61" t="n">
        <v>1</v>
      </c>
      <c r="G7414" s="62" t="n">
        <v>407.97</v>
      </c>
      <c r="H7414" s="63" t="n">
        <v>0.06900000000000001</v>
      </c>
      <c r="I7414" s="62" t="n">
        <v>281.31</v>
      </c>
      <c r="J7414" s="58" t="inlineStr">
        <is>
          <t>Store</t>
        </is>
      </c>
      <c r="K7414" s="62">
        <f>F7414*(G7414-H7414)</f>
        <v/>
      </c>
      <c r="L7414" s="62">
        <f>K7414-(F7414*I7414)</f>
        <v/>
      </c>
      <c r="M7414" s="64">
        <f>L7414/K7414</f>
        <v/>
      </c>
    </row>
    <row r="7415">
      <c r="A7415" s="58" t="inlineStr">
        <is>
          <t>RT20250705-07414</t>
        </is>
      </c>
      <c r="B7415" s="59" t="inlineStr">
        <is>
          <t>2025-07-05</t>
        </is>
      </c>
      <c r="C7415" s="60" t="inlineStr">
        <is>
          <t>Vertex Accessorie Pro-881</t>
        </is>
      </c>
      <c r="D7415" s="58" t="inlineStr">
        <is>
          <t>Apparel</t>
        </is>
      </c>
      <c r="E7415" s="58" t="inlineStr">
        <is>
          <t>Central</t>
        </is>
      </c>
      <c r="F7415" s="61" t="n">
        <v>3</v>
      </c>
      <c r="G7415" s="62" t="n">
        <v>104.7</v>
      </c>
      <c r="H7415" s="63" t="n">
        <v>0.098</v>
      </c>
      <c r="I7415" s="62" t="n">
        <v>63.92</v>
      </c>
      <c r="J7415" s="58" t="inlineStr">
        <is>
          <t>Online</t>
        </is>
      </c>
      <c r="K7415" s="62">
        <f>F7415*(G7415-H7415)</f>
        <v/>
      </c>
      <c r="L7415" s="62">
        <f>K7415-(F7415*I7415)</f>
        <v/>
      </c>
      <c r="M7415" s="64">
        <f>L7415/K7415</f>
        <v/>
      </c>
    </row>
    <row r="7416">
      <c r="A7416" s="58" t="inlineStr">
        <is>
          <t>RT20250705-07415</t>
        </is>
      </c>
      <c r="B7416" s="59" t="inlineStr">
        <is>
          <t>2025-07-05</t>
        </is>
      </c>
      <c r="C7416" s="60" t="inlineStr">
        <is>
          <t>Nimbus Women Plus-352</t>
        </is>
      </c>
      <c r="D7416" s="58" t="inlineStr">
        <is>
          <t>Apparel</t>
        </is>
      </c>
      <c r="E7416" s="58" t="inlineStr">
        <is>
          <t>Central</t>
        </is>
      </c>
      <c r="F7416" s="61" t="n">
        <v>1</v>
      </c>
      <c r="G7416" s="62" t="n">
        <v>61.76</v>
      </c>
      <c r="H7416" s="63" t="n">
        <v>0.077</v>
      </c>
      <c r="I7416" s="62" t="n">
        <v>31.66</v>
      </c>
      <c r="J7416" s="58" t="inlineStr">
        <is>
          <t>Online</t>
        </is>
      </c>
      <c r="K7416" s="62">
        <f>F7416*(G7416-H7416)</f>
        <v/>
      </c>
      <c r="L7416" s="62">
        <f>K7416-(F7416*I7416)</f>
        <v/>
      </c>
      <c r="M7416" s="64">
        <f>L7416/K7416</f>
        <v/>
      </c>
    </row>
    <row r="7417">
      <c r="A7417" s="58" t="inlineStr">
        <is>
          <t>RT20250705-07416</t>
        </is>
      </c>
      <c r="B7417" s="59" t="inlineStr">
        <is>
          <t>2025-07-05</t>
        </is>
      </c>
      <c r="C7417" s="60" t="inlineStr">
        <is>
          <t>Solace Headphone Pro-344</t>
        </is>
      </c>
      <c r="D7417" s="58" t="inlineStr">
        <is>
          <t>Electronics</t>
        </is>
      </c>
      <c r="E7417" s="58" t="inlineStr">
        <is>
          <t>North</t>
        </is>
      </c>
      <c r="F7417" s="61" t="n">
        <v>1</v>
      </c>
      <c r="G7417" s="62" t="n">
        <v>1571.03</v>
      </c>
      <c r="H7417" s="63" t="n">
        <v>0.08799999999999999</v>
      </c>
      <c r="I7417" s="62" t="n">
        <v>1070.69</v>
      </c>
      <c r="J7417" s="58" t="inlineStr">
        <is>
          <t>Phone</t>
        </is>
      </c>
      <c r="K7417" s="62">
        <f>F7417*(G7417-H7417)</f>
        <v/>
      </c>
      <c r="L7417" s="62">
        <f>K7417-(F7417*I7417)</f>
        <v/>
      </c>
      <c r="M7417" s="64">
        <f>L7417/K7417</f>
        <v/>
      </c>
    </row>
    <row r="7418">
      <c r="A7418" s="58" t="inlineStr">
        <is>
          <t>RT20250705-07417</t>
        </is>
      </c>
      <c r="B7418" s="59" t="inlineStr">
        <is>
          <t>2025-07-05</t>
        </is>
      </c>
      <c r="C7418" s="60" t="inlineStr">
        <is>
          <t>Vertex Snack S-702</t>
        </is>
      </c>
      <c r="D7418" s="58" t="inlineStr">
        <is>
          <t>Grocery</t>
        </is>
      </c>
      <c r="E7418" s="58" t="inlineStr">
        <is>
          <t>East</t>
        </is>
      </c>
      <c r="F7418" s="61" t="n">
        <v>2</v>
      </c>
      <c r="G7418" s="62" t="n">
        <v>2.22</v>
      </c>
      <c r="H7418" s="63" t="n">
        <v>0.062</v>
      </c>
      <c r="I7418" s="62" t="n">
        <v>1.44</v>
      </c>
      <c r="J7418" s="58" t="inlineStr">
        <is>
          <t>Store</t>
        </is>
      </c>
      <c r="K7418" s="62">
        <f>F7418*(G7418-H7418)</f>
        <v/>
      </c>
      <c r="L7418" s="62">
        <f>K7418-(F7418*I7418)</f>
        <v/>
      </c>
      <c r="M7418" s="64">
        <f>L7418/K7418</f>
        <v/>
      </c>
    </row>
    <row r="7419">
      <c r="A7419" s="58" t="inlineStr">
        <is>
          <t>RT20250705-07418</t>
        </is>
      </c>
      <c r="B7419" s="59" t="inlineStr">
        <is>
          <t>2025-07-05</t>
        </is>
      </c>
      <c r="C7419" s="60" t="inlineStr">
        <is>
          <t>Falcon Team Sport Lite-268</t>
        </is>
      </c>
      <c r="D7419" s="58" t="inlineStr">
        <is>
          <t>Sports</t>
        </is>
      </c>
      <c r="E7419" s="58" t="inlineStr">
        <is>
          <t>South</t>
        </is>
      </c>
      <c r="F7419" s="61" t="n">
        <v>1</v>
      </c>
      <c r="G7419" s="62" t="n">
        <v>661.6799999999999</v>
      </c>
      <c r="H7419" s="63" t="n">
        <v>0.107</v>
      </c>
      <c r="I7419" s="62" t="n">
        <v>443.24</v>
      </c>
      <c r="J7419" s="58" t="inlineStr">
        <is>
          <t>Online</t>
        </is>
      </c>
      <c r="K7419" s="62">
        <f>F7419*(G7419-H7419)</f>
        <v/>
      </c>
      <c r="L7419" s="62">
        <f>K7419-(F7419*I7419)</f>
        <v/>
      </c>
      <c r="M7419" s="64">
        <f>L7419/K7419</f>
        <v/>
      </c>
    </row>
    <row r="7420">
      <c r="A7420" s="58" t="inlineStr">
        <is>
          <t>RT20250705-07419</t>
        </is>
      </c>
      <c r="B7420" s="59" t="inlineStr">
        <is>
          <t>2025-07-05</t>
        </is>
      </c>
      <c r="C7420" s="60" t="inlineStr">
        <is>
          <t>Polar Bedding Lite-243</t>
        </is>
      </c>
      <c r="D7420" s="58" t="inlineStr">
        <is>
          <t>Home</t>
        </is>
      </c>
      <c r="E7420" s="58" t="inlineStr">
        <is>
          <t>Central</t>
        </is>
      </c>
      <c r="F7420" s="61" t="n">
        <v>2</v>
      </c>
      <c r="G7420" s="62" t="n">
        <v>463.17</v>
      </c>
      <c r="H7420" s="63" t="n">
        <v>0.07199999999999999</v>
      </c>
      <c r="I7420" s="62" t="n">
        <v>309.92</v>
      </c>
      <c r="J7420" s="58" t="inlineStr">
        <is>
          <t>Online</t>
        </is>
      </c>
      <c r="K7420" s="62">
        <f>F7420*(G7420-H7420)</f>
        <v/>
      </c>
      <c r="L7420" s="62">
        <f>K7420-(F7420*I7420)</f>
        <v/>
      </c>
      <c r="M7420" s="64">
        <f>L7420/K7420</f>
        <v/>
      </c>
    </row>
    <row r="7421">
      <c r="A7421" s="58" t="inlineStr">
        <is>
          <t>RT20250705-07420</t>
        </is>
      </c>
      <c r="B7421" s="59" t="inlineStr">
        <is>
          <t>2025-07-05</t>
        </is>
      </c>
      <c r="C7421" s="60" t="inlineStr">
        <is>
          <t>Metro Accessorie Max-316</t>
        </is>
      </c>
      <c r="D7421" s="58" t="inlineStr">
        <is>
          <t>Apparel</t>
        </is>
      </c>
      <c r="E7421" s="58" t="inlineStr">
        <is>
          <t>East</t>
        </is>
      </c>
      <c r="F7421" s="61" t="n">
        <v>3</v>
      </c>
      <c r="G7421" s="62" t="n">
        <v>170.05</v>
      </c>
      <c r="H7421" s="63" t="n">
        <v>0.077</v>
      </c>
      <c r="I7421" s="62" t="n">
        <v>90.42</v>
      </c>
      <c r="J7421" s="58" t="inlineStr">
        <is>
          <t>Store</t>
        </is>
      </c>
      <c r="K7421" s="62">
        <f>F7421*(G7421-H7421)</f>
        <v/>
      </c>
      <c r="L7421" s="62">
        <f>K7421-(F7421*I7421)</f>
        <v/>
      </c>
      <c r="M7421" s="64">
        <f>L7421/K7421</f>
        <v/>
      </c>
    </row>
    <row r="7422">
      <c r="A7422" s="58" t="inlineStr">
        <is>
          <t>RT20250705-07421</t>
        </is>
      </c>
      <c r="B7422" s="59" t="inlineStr">
        <is>
          <t>2025-07-05</t>
        </is>
      </c>
      <c r="C7422" s="60" t="inlineStr">
        <is>
          <t>Aurora Haircare S-975</t>
        </is>
      </c>
      <c r="D7422" s="58" t="inlineStr">
        <is>
          <t>Beauty</t>
        </is>
      </c>
      <c r="E7422" s="58" t="inlineStr">
        <is>
          <t>South</t>
        </is>
      </c>
      <c r="F7422" s="61" t="n">
        <v>5</v>
      </c>
      <c r="G7422" s="62" t="n">
        <v>80.39</v>
      </c>
      <c r="H7422" s="63" t="n">
        <v>0.098</v>
      </c>
      <c r="I7422" s="62" t="n">
        <v>59.15</v>
      </c>
      <c r="J7422" s="58" t="inlineStr">
        <is>
          <t>Online</t>
        </is>
      </c>
      <c r="K7422" s="62">
        <f>F7422*(G7422-H7422)</f>
        <v/>
      </c>
      <c r="L7422" s="62">
        <f>K7422-(F7422*I7422)</f>
        <v/>
      </c>
      <c r="M7422" s="64">
        <f>L7422/K7422</f>
        <v/>
      </c>
    </row>
    <row r="7423">
      <c r="A7423" s="58" t="inlineStr">
        <is>
          <t>RT20250705-07422</t>
        </is>
      </c>
      <c r="B7423" s="59" t="inlineStr">
        <is>
          <t>2025-07-05</t>
        </is>
      </c>
      <c r="C7423" s="60" t="inlineStr">
        <is>
          <t>Vertex Fitnes Pro-830</t>
        </is>
      </c>
      <c r="D7423" s="58" t="inlineStr">
        <is>
          <t>Sports</t>
        </is>
      </c>
      <c r="E7423" s="58" t="inlineStr">
        <is>
          <t>North</t>
        </is>
      </c>
      <c r="F7423" s="61" t="n">
        <v>2</v>
      </c>
      <c r="G7423" s="62" t="n">
        <v>740.33</v>
      </c>
      <c r="H7423" s="63" t="n">
        <v>0.053</v>
      </c>
      <c r="I7423" s="62" t="n">
        <v>477.72</v>
      </c>
      <c r="J7423" s="58" t="inlineStr">
        <is>
          <t>Online</t>
        </is>
      </c>
      <c r="K7423" s="62">
        <f>F7423*(G7423-H7423)</f>
        <v/>
      </c>
      <c r="L7423" s="62">
        <f>K7423-(F7423*I7423)</f>
        <v/>
      </c>
      <c r="M7423" s="64">
        <f>L7423/K7423</f>
        <v/>
      </c>
    </row>
    <row r="7424">
      <c r="A7424" s="58" t="inlineStr">
        <is>
          <t>RT20250705-07423</t>
        </is>
      </c>
      <c r="B7424" s="59" t="inlineStr">
        <is>
          <t>2025-07-05</t>
        </is>
      </c>
      <c r="C7424" s="60" t="inlineStr">
        <is>
          <t>Falcon Headphone Pro-713</t>
        </is>
      </c>
      <c r="D7424" s="58" t="inlineStr">
        <is>
          <t>Electronics</t>
        </is>
      </c>
      <c r="E7424" s="58" t="inlineStr">
        <is>
          <t>South</t>
        </is>
      </c>
      <c r="F7424" s="61" t="n">
        <v>1</v>
      </c>
      <c r="G7424" s="62" t="n">
        <v>1609.28</v>
      </c>
      <c r="H7424" s="63" t="n">
        <v>0.05</v>
      </c>
      <c r="I7424" s="62" t="n">
        <v>1213.09</v>
      </c>
      <c r="J7424" s="58" t="inlineStr">
        <is>
          <t>Online</t>
        </is>
      </c>
      <c r="K7424" s="62">
        <f>F7424*(G7424-H7424)</f>
        <v/>
      </c>
      <c r="L7424" s="62">
        <f>K7424-(F7424*I7424)</f>
        <v/>
      </c>
      <c r="M7424" s="64">
        <f>L7424/K7424</f>
        <v/>
      </c>
    </row>
    <row r="7425">
      <c r="A7425" s="58" t="inlineStr">
        <is>
          <t>RT20250705-07424</t>
        </is>
      </c>
      <c r="B7425" s="59" t="inlineStr">
        <is>
          <t>2025-07-05</t>
        </is>
      </c>
      <c r="C7425" s="60" t="inlineStr">
        <is>
          <t>Metro Outdoor Plus-787</t>
        </is>
      </c>
      <c r="D7425" s="58" t="inlineStr">
        <is>
          <t>Sports</t>
        </is>
      </c>
      <c r="E7425" s="58" t="inlineStr">
        <is>
          <t>Central</t>
        </is>
      </c>
      <c r="F7425" s="61" t="n">
        <v>1</v>
      </c>
      <c r="G7425" s="62" t="n">
        <v>520.54</v>
      </c>
      <c r="H7425" s="63" t="n">
        <v>0.042</v>
      </c>
      <c r="I7425" s="62" t="n">
        <v>349.88</v>
      </c>
      <c r="J7425" s="58" t="inlineStr">
        <is>
          <t>Online</t>
        </is>
      </c>
      <c r="K7425" s="62">
        <f>F7425*(G7425-H7425)</f>
        <v/>
      </c>
      <c r="L7425" s="62">
        <f>K7425-(F7425*I7425)</f>
        <v/>
      </c>
      <c r="M7425" s="64">
        <f>L7425/K7425</f>
        <v/>
      </c>
    </row>
    <row r="7426">
      <c r="A7426" s="58" t="inlineStr">
        <is>
          <t>RT20250705-07425</t>
        </is>
      </c>
      <c r="B7426" s="59" t="inlineStr">
        <is>
          <t>2025-07-05</t>
        </is>
      </c>
      <c r="C7426" s="60" t="inlineStr">
        <is>
          <t>Aurora Wearable Lite-704</t>
        </is>
      </c>
      <c r="D7426" s="58" t="inlineStr">
        <is>
          <t>Electronics</t>
        </is>
      </c>
      <c r="E7426" s="58" t="inlineStr">
        <is>
          <t>North</t>
        </is>
      </c>
      <c r="F7426" s="61" t="n">
        <v>1</v>
      </c>
      <c r="G7426" s="62" t="n">
        <v>1793.02</v>
      </c>
      <c r="H7426" s="63" t="n">
        <v>0.078</v>
      </c>
      <c r="I7426" s="62" t="n">
        <v>1469.77</v>
      </c>
      <c r="J7426" s="58" t="inlineStr">
        <is>
          <t>Store</t>
        </is>
      </c>
      <c r="K7426" s="62">
        <f>F7426*(G7426-H7426)</f>
        <v/>
      </c>
      <c r="L7426" s="62">
        <f>K7426-(F7426*I7426)</f>
        <v/>
      </c>
      <c r="M7426" s="64">
        <f>L7426/K7426</f>
        <v/>
      </c>
    </row>
    <row r="7427">
      <c r="A7427" s="58" t="inlineStr">
        <is>
          <t>RT20250705-07426</t>
        </is>
      </c>
      <c r="B7427" s="59" t="inlineStr">
        <is>
          <t>2025-07-05</t>
        </is>
      </c>
      <c r="C7427" s="60" t="inlineStr">
        <is>
          <t>Falcon Skincare X-334</t>
        </is>
      </c>
      <c r="D7427" s="58" t="inlineStr">
        <is>
          <t>Beauty</t>
        </is>
      </c>
      <c r="E7427" s="58" t="inlineStr">
        <is>
          <t>Central</t>
        </is>
      </c>
      <c r="F7427" s="61" t="n">
        <v>1</v>
      </c>
      <c r="G7427" s="62" t="n">
        <v>103.38</v>
      </c>
      <c r="H7427" s="63" t="n">
        <v>0.042</v>
      </c>
      <c r="I7427" s="62" t="n">
        <v>63.29</v>
      </c>
      <c r="J7427" s="58" t="inlineStr">
        <is>
          <t>Store</t>
        </is>
      </c>
      <c r="K7427" s="62">
        <f>F7427*(G7427-H7427)</f>
        <v/>
      </c>
      <c r="L7427" s="62">
        <f>K7427-(F7427*I7427)</f>
        <v/>
      </c>
      <c r="M7427" s="64">
        <f>L7427/K7427</f>
        <v/>
      </c>
    </row>
    <row r="7428">
      <c r="A7428" s="58" t="inlineStr">
        <is>
          <t>RT20250705-07427</t>
        </is>
      </c>
      <c r="B7428" s="59" t="inlineStr">
        <is>
          <t>2025-07-05</t>
        </is>
      </c>
      <c r="C7428" s="60" t="inlineStr">
        <is>
          <t>Polar Beverage S-258</t>
        </is>
      </c>
      <c r="D7428" s="58" t="inlineStr">
        <is>
          <t>Grocery</t>
        </is>
      </c>
      <c r="E7428" s="58" t="inlineStr">
        <is>
          <t>East</t>
        </is>
      </c>
      <c r="F7428" s="61" t="n">
        <v>5</v>
      </c>
      <c r="G7428" s="62" t="n">
        <v>13.59</v>
      </c>
      <c r="H7428" s="63" t="n">
        <v>0.107</v>
      </c>
      <c r="I7428" s="62" t="n">
        <v>9.869999999999999</v>
      </c>
      <c r="J7428" s="58" t="inlineStr">
        <is>
          <t>Store</t>
        </is>
      </c>
      <c r="K7428" s="62">
        <f>F7428*(G7428-H7428)</f>
        <v/>
      </c>
      <c r="L7428" s="62">
        <f>K7428-(F7428*I7428)</f>
        <v/>
      </c>
      <c r="M7428" s="64">
        <f>L7428/K7428</f>
        <v/>
      </c>
    </row>
    <row r="7429">
      <c r="A7429" s="58" t="inlineStr">
        <is>
          <t>RT20250705-07428</t>
        </is>
      </c>
      <c r="B7429" s="59" t="inlineStr">
        <is>
          <t>2025-07-05</t>
        </is>
      </c>
      <c r="C7429" s="60" t="inlineStr">
        <is>
          <t>Vertex Men X-995</t>
        </is>
      </c>
      <c r="D7429" s="58" t="inlineStr">
        <is>
          <t>Apparel</t>
        </is>
      </c>
      <c r="E7429" s="58" t="inlineStr">
        <is>
          <t>Central</t>
        </is>
      </c>
      <c r="F7429" s="61" t="n">
        <v>4</v>
      </c>
      <c r="G7429" s="62" t="n">
        <v>113.25</v>
      </c>
      <c r="H7429" s="63" t="n">
        <v>0.068</v>
      </c>
      <c r="I7429" s="62" t="n">
        <v>56.7</v>
      </c>
      <c r="J7429" s="58" t="inlineStr">
        <is>
          <t>Store</t>
        </is>
      </c>
      <c r="K7429" s="62">
        <f>F7429*(G7429-H7429)</f>
        <v/>
      </c>
      <c r="L7429" s="62">
        <f>K7429-(F7429*I7429)</f>
        <v/>
      </c>
      <c r="M7429" s="64">
        <f>L7429/K7429</f>
        <v/>
      </c>
    </row>
    <row r="7430">
      <c r="A7430" s="58" t="inlineStr">
        <is>
          <t>RT20250705-07429</t>
        </is>
      </c>
      <c r="B7430" s="59" t="inlineStr">
        <is>
          <t>2025-07-05</t>
        </is>
      </c>
      <c r="C7430" s="60" t="inlineStr">
        <is>
          <t>Vertex Furniture S-652</t>
        </is>
      </c>
      <c r="D7430" s="58" t="inlineStr">
        <is>
          <t>Office</t>
        </is>
      </c>
      <c r="E7430" s="58" t="inlineStr">
        <is>
          <t>West</t>
        </is>
      </c>
      <c r="F7430" s="61" t="n">
        <v>3</v>
      </c>
      <c r="G7430" s="62" t="n">
        <v>348.02</v>
      </c>
      <c r="H7430" s="63" t="n">
        <v>0.089</v>
      </c>
      <c r="I7430" s="62" t="n">
        <v>264.85</v>
      </c>
      <c r="J7430" s="58" t="inlineStr">
        <is>
          <t>Store</t>
        </is>
      </c>
      <c r="K7430" s="62">
        <f>F7430*(G7430-H7430)</f>
        <v/>
      </c>
      <c r="L7430" s="62">
        <f>K7430-(F7430*I7430)</f>
        <v/>
      </c>
      <c r="M7430" s="64">
        <f>L7430/K7430</f>
        <v/>
      </c>
    </row>
    <row r="7431">
      <c r="A7431" s="58" t="inlineStr">
        <is>
          <t>RT20250705-07430</t>
        </is>
      </c>
      <c r="B7431" s="59" t="inlineStr">
        <is>
          <t>2025-07-05</t>
        </is>
      </c>
      <c r="C7431" s="60" t="inlineStr">
        <is>
          <t>Nimbus Furniture Pro-479</t>
        </is>
      </c>
      <c r="D7431" s="58" t="inlineStr">
        <is>
          <t>Office</t>
        </is>
      </c>
      <c r="E7431" s="58" t="inlineStr">
        <is>
          <t>South</t>
        </is>
      </c>
      <c r="F7431" s="61" t="n">
        <v>1</v>
      </c>
      <c r="G7431" s="62" t="n">
        <v>309.02</v>
      </c>
      <c r="H7431" s="63" t="n">
        <v>0.08799999999999999</v>
      </c>
      <c r="I7431" s="62" t="n">
        <v>237.44</v>
      </c>
      <c r="J7431" s="58" t="inlineStr">
        <is>
          <t>Store</t>
        </is>
      </c>
      <c r="K7431" s="62">
        <f>F7431*(G7431-H7431)</f>
        <v/>
      </c>
      <c r="L7431" s="62">
        <f>K7431-(F7431*I7431)</f>
        <v/>
      </c>
      <c r="M7431" s="64">
        <f>L7431/K7431</f>
        <v/>
      </c>
    </row>
    <row r="7432">
      <c r="A7432" s="58" t="inlineStr">
        <is>
          <t>RT20250705-07431</t>
        </is>
      </c>
      <c r="B7432" s="59" t="inlineStr">
        <is>
          <t>2025-07-05</t>
        </is>
      </c>
      <c r="C7432" s="60" t="inlineStr">
        <is>
          <t>Aurora Haircare S-975</t>
        </is>
      </c>
      <c r="D7432" s="58" t="inlineStr">
        <is>
          <t>Beauty</t>
        </is>
      </c>
      <c r="E7432" s="58" t="inlineStr">
        <is>
          <t>South</t>
        </is>
      </c>
      <c r="F7432" s="61" t="n">
        <v>1</v>
      </c>
      <c r="G7432" s="62" t="n">
        <v>96.97</v>
      </c>
      <c r="H7432" s="63" t="n">
        <v>0.026</v>
      </c>
      <c r="I7432" s="62" t="n">
        <v>58.9</v>
      </c>
      <c r="J7432" s="58" t="inlineStr">
        <is>
          <t>Store</t>
        </is>
      </c>
      <c r="K7432" s="62">
        <f>F7432*(G7432-H7432)</f>
        <v/>
      </c>
      <c r="L7432" s="62">
        <f>K7432-(F7432*I7432)</f>
        <v/>
      </c>
      <c r="M7432" s="64">
        <f>L7432/K7432</f>
        <v/>
      </c>
    </row>
    <row r="7433">
      <c r="A7433" s="58" t="inlineStr">
        <is>
          <t>RT20250705-07432</t>
        </is>
      </c>
      <c r="B7433" s="59" t="inlineStr">
        <is>
          <t>2025-07-05</t>
        </is>
      </c>
      <c r="C7433" s="60" t="inlineStr">
        <is>
          <t>Solace Makeup Pro-214</t>
        </is>
      </c>
      <c r="D7433" s="58" t="inlineStr">
        <is>
          <t>Beauty</t>
        </is>
      </c>
      <c r="E7433" s="58" t="inlineStr">
        <is>
          <t>West</t>
        </is>
      </c>
      <c r="F7433" s="61" t="n">
        <v>4</v>
      </c>
      <c r="G7433" s="62" t="n">
        <v>110.38</v>
      </c>
      <c r="H7433" s="63" t="n">
        <v>0.063</v>
      </c>
      <c r="I7433" s="62" t="n">
        <v>66.91</v>
      </c>
      <c r="J7433" s="58" t="inlineStr">
        <is>
          <t>Store</t>
        </is>
      </c>
      <c r="K7433" s="62">
        <f>F7433*(G7433-H7433)</f>
        <v/>
      </c>
      <c r="L7433" s="62">
        <f>K7433-(F7433*I7433)</f>
        <v/>
      </c>
      <c r="M7433" s="64">
        <f>L7433/K7433</f>
        <v/>
      </c>
    </row>
    <row r="7434">
      <c r="A7434" s="58" t="inlineStr">
        <is>
          <t>RT20250705-07433</t>
        </is>
      </c>
      <c r="B7434" s="59" t="inlineStr">
        <is>
          <t>2025-07-05</t>
        </is>
      </c>
      <c r="C7434" s="60" t="inlineStr">
        <is>
          <t>Metro Smartphone Max-773</t>
        </is>
      </c>
      <c r="D7434" s="58" t="inlineStr">
        <is>
          <t>Electronics</t>
        </is>
      </c>
      <c r="E7434" s="58" t="inlineStr">
        <is>
          <t>West</t>
        </is>
      </c>
      <c r="F7434" s="61" t="n">
        <v>2</v>
      </c>
      <c r="G7434" s="62" t="n">
        <v>1503.96</v>
      </c>
      <c r="H7434" s="63" t="n">
        <v>0.061</v>
      </c>
      <c r="I7434" s="62" t="n">
        <v>1100.33</v>
      </c>
      <c r="J7434" s="58" t="inlineStr">
        <is>
          <t>Online</t>
        </is>
      </c>
      <c r="K7434" s="62">
        <f>F7434*(G7434-H7434)</f>
        <v/>
      </c>
      <c r="L7434" s="62">
        <f>K7434-(F7434*I7434)</f>
        <v/>
      </c>
      <c r="M7434" s="64">
        <f>L7434/K7434</f>
        <v/>
      </c>
    </row>
    <row r="7435">
      <c r="A7435" s="58" t="inlineStr">
        <is>
          <t>RT20250705-07434</t>
        </is>
      </c>
      <c r="B7435" s="59" t="inlineStr">
        <is>
          <t>2025-07-05</t>
        </is>
      </c>
      <c r="C7435" s="60" t="inlineStr">
        <is>
          <t>Aurora Smartphone Plus-125</t>
        </is>
      </c>
      <c r="D7435" s="58" t="inlineStr">
        <is>
          <t>Electronics</t>
        </is>
      </c>
      <c r="E7435" s="58" t="inlineStr">
        <is>
          <t>East</t>
        </is>
      </c>
      <c r="F7435" s="61" t="n">
        <v>2</v>
      </c>
      <c r="G7435" s="62" t="n">
        <v>1490.51</v>
      </c>
      <c r="H7435" s="63" t="n">
        <v>0.05</v>
      </c>
      <c r="I7435" s="62" t="n">
        <v>1204.29</v>
      </c>
      <c r="J7435" s="58" t="inlineStr">
        <is>
          <t>Store</t>
        </is>
      </c>
      <c r="K7435" s="62">
        <f>F7435*(G7435-H7435)</f>
        <v/>
      </c>
      <c r="L7435" s="62">
        <f>K7435-(F7435*I7435)</f>
        <v/>
      </c>
      <c r="M7435" s="64">
        <f>L7435/K7435</f>
        <v/>
      </c>
    </row>
    <row r="7436">
      <c r="A7436" s="58" t="inlineStr">
        <is>
          <t>RT20250705-07435</t>
        </is>
      </c>
      <c r="B7436" s="59" t="inlineStr">
        <is>
          <t>2025-07-05</t>
        </is>
      </c>
      <c r="C7436" s="60" t="inlineStr">
        <is>
          <t>Polar Fragrance Pro-750</t>
        </is>
      </c>
      <c r="D7436" s="58" t="inlineStr">
        <is>
          <t>Beauty</t>
        </is>
      </c>
      <c r="E7436" s="58" t="inlineStr">
        <is>
          <t>East</t>
        </is>
      </c>
      <c r="F7436" s="61" t="n">
        <v>5</v>
      </c>
      <c r="G7436" s="62" t="n">
        <v>58.33</v>
      </c>
      <c r="H7436" s="63" t="n">
        <v>0.061</v>
      </c>
      <c r="I7436" s="62" t="n">
        <v>36.79</v>
      </c>
      <c r="J7436" s="58" t="inlineStr">
        <is>
          <t>Store</t>
        </is>
      </c>
      <c r="K7436" s="62">
        <f>F7436*(G7436-H7436)</f>
        <v/>
      </c>
      <c r="L7436" s="62">
        <f>K7436-(F7436*I7436)</f>
        <v/>
      </c>
      <c r="M7436" s="64">
        <f>L7436/K7436</f>
        <v/>
      </c>
    </row>
    <row r="7437">
      <c r="A7437" s="58" t="inlineStr">
        <is>
          <t>RT20250705-07436</t>
        </is>
      </c>
      <c r="B7437" s="59" t="inlineStr">
        <is>
          <t>2025-07-05</t>
        </is>
      </c>
      <c r="C7437" s="60" t="inlineStr">
        <is>
          <t>Aurora Haircare S-975</t>
        </is>
      </c>
      <c r="D7437" s="58" t="inlineStr">
        <is>
          <t>Beauty</t>
        </is>
      </c>
      <c r="E7437" s="58" t="inlineStr">
        <is>
          <t>East</t>
        </is>
      </c>
      <c r="F7437" s="61" t="n">
        <v>3</v>
      </c>
      <c r="G7437" s="62" t="n">
        <v>89.83</v>
      </c>
      <c r="H7437" s="63" t="n">
        <v>0.034</v>
      </c>
      <c r="I7437" s="62" t="n">
        <v>58.28</v>
      </c>
      <c r="J7437" s="58" t="inlineStr">
        <is>
          <t>Store</t>
        </is>
      </c>
      <c r="K7437" s="62">
        <f>F7437*(G7437-H7437)</f>
        <v/>
      </c>
      <c r="L7437" s="62">
        <f>K7437-(F7437*I7437)</f>
        <v/>
      </c>
      <c r="M7437" s="64">
        <f>L7437/K7437</f>
        <v/>
      </c>
    </row>
    <row r="7438">
      <c r="A7438" s="58" t="inlineStr">
        <is>
          <t>RT20250705-07437</t>
        </is>
      </c>
      <c r="B7438" s="59" t="inlineStr">
        <is>
          <t>2025-07-05</t>
        </is>
      </c>
      <c r="C7438" s="60" t="inlineStr">
        <is>
          <t>Metro Pantry Max-180</t>
        </is>
      </c>
      <c r="D7438" s="58" t="inlineStr">
        <is>
          <t>Grocery</t>
        </is>
      </c>
      <c r="E7438" s="58" t="inlineStr">
        <is>
          <t>South</t>
        </is>
      </c>
      <c r="F7438" s="61" t="n">
        <v>4</v>
      </c>
      <c r="G7438" s="62" t="n">
        <v>9.16</v>
      </c>
      <c r="H7438" s="63" t="n">
        <v>0.058</v>
      </c>
      <c r="I7438" s="62" t="n">
        <v>6.73</v>
      </c>
      <c r="J7438" s="58" t="inlineStr">
        <is>
          <t>Online</t>
        </is>
      </c>
      <c r="K7438" s="62">
        <f>F7438*(G7438-H7438)</f>
        <v/>
      </c>
      <c r="L7438" s="62">
        <f>K7438-(F7438*I7438)</f>
        <v/>
      </c>
      <c r="M7438" s="64">
        <f>L7438/K7438</f>
        <v/>
      </c>
    </row>
    <row r="7439">
      <c r="A7439" s="58" t="inlineStr">
        <is>
          <t>RT20250705-07438</t>
        </is>
      </c>
      <c r="B7439" s="59" t="inlineStr">
        <is>
          <t>2025-07-05</t>
        </is>
      </c>
      <c r="C7439" s="60" t="inlineStr">
        <is>
          <t>Orion Haircare Plus-887</t>
        </is>
      </c>
      <c r="D7439" s="58" t="inlineStr">
        <is>
          <t>Beauty</t>
        </is>
      </c>
      <c r="E7439" s="58" t="inlineStr">
        <is>
          <t>East</t>
        </is>
      </c>
      <c r="F7439" s="61" t="n">
        <v>3</v>
      </c>
      <c r="G7439" s="62" t="n">
        <v>47.66</v>
      </c>
      <c r="H7439" s="63" t="n">
        <v>0.022</v>
      </c>
      <c r="I7439" s="62" t="n">
        <v>30.71</v>
      </c>
      <c r="J7439" s="58" t="inlineStr">
        <is>
          <t>Online</t>
        </is>
      </c>
      <c r="K7439" s="62">
        <f>F7439*(G7439-H7439)</f>
        <v/>
      </c>
      <c r="L7439" s="62">
        <f>K7439-(F7439*I7439)</f>
        <v/>
      </c>
      <c r="M7439" s="64">
        <f>L7439/K7439</f>
        <v/>
      </c>
    </row>
    <row r="7440">
      <c r="A7440" s="58" t="inlineStr">
        <is>
          <t>RT20250705-07439</t>
        </is>
      </c>
      <c r="B7440" s="59" t="inlineStr">
        <is>
          <t>2025-07-05</t>
        </is>
      </c>
      <c r="C7440" s="60" t="inlineStr">
        <is>
          <t>Aurora Skincare Max-798</t>
        </is>
      </c>
      <c r="D7440" s="58" t="inlineStr">
        <is>
          <t>Beauty</t>
        </is>
      </c>
      <c r="E7440" s="58" t="inlineStr">
        <is>
          <t>West</t>
        </is>
      </c>
      <c r="F7440" s="61" t="n">
        <v>2</v>
      </c>
      <c r="G7440" s="62" t="n">
        <v>105.9</v>
      </c>
      <c r="H7440" s="63" t="n">
        <v>0.055</v>
      </c>
      <c r="I7440" s="62" t="n">
        <v>69.69</v>
      </c>
      <c r="J7440" s="58" t="inlineStr">
        <is>
          <t>Online</t>
        </is>
      </c>
      <c r="K7440" s="62">
        <f>F7440*(G7440-H7440)</f>
        <v/>
      </c>
      <c r="L7440" s="62">
        <f>K7440-(F7440*I7440)</f>
        <v/>
      </c>
      <c r="M7440" s="64">
        <f>L7440/K7440</f>
        <v/>
      </c>
    </row>
    <row r="7441">
      <c r="A7441" s="58" t="inlineStr">
        <is>
          <t>RT20250705-07440</t>
        </is>
      </c>
      <c r="B7441" s="59" t="inlineStr">
        <is>
          <t>2025-07-05</t>
        </is>
      </c>
      <c r="C7441" s="60" t="inlineStr">
        <is>
          <t>Orion Storage Plus-961</t>
        </is>
      </c>
      <c r="D7441" s="58" t="inlineStr">
        <is>
          <t>Office</t>
        </is>
      </c>
      <c r="E7441" s="58" t="inlineStr">
        <is>
          <t>East</t>
        </is>
      </c>
      <c r="F7441" s="61" t="n">
        <v>3</v>
      </c>
      <c r="G7441" s="62" t="n">
        <v>558.23</v>
      </c>
      <c r="H7441" s="63" t="n">
        <v>0.08</v>
      </c>
      <c r="I7441" s="62" t="n">
        <v>371.88</v>
      </c>
      <c r="J7441" s="58" t="inlineStr">
        <is>
          <t>Store</t>
        </is>
      </c>
      <c r="K7441" s="62">
        <f>F7441*(G7441-H7441)</f>
        <v/>
      </c>
      <c r="L7441" s="62">
        <f>K7441-(F7441*I7441)</f>
        <v/>
      </c>
      <c r="M7441" s="64">
        <f>L7441/K7441</f>
        <v/>
      </c>
    </row>
    <row r="7442">
      <c r="A7442" s="58" t="inlineStr">
        <is>
          <t>RT20250705-07441</t>
        </is>
      </c>
      <c r="B7442" s="59" t="inlineStr">
        <is>
          <t>2025-07-05</t>
        </is>
      </c>
      <c r="C7442" s="60" t="inlineStr">
        <is>
          <t>Orion Fragrance Lite-785</t>
        </is>
      </c>
      <c r="D7442" s="58" t="inlineStr">
        <is>
          <t>Beauty</t>
        </is>
      </c>
      <c r="E7442" s="58" t="inlineStr">
        <is>
          <t>Central</t>
        </is>
      </c>
      <c r="F7442" s="61" t="n">
        <v>4</v>
      </c>
      <c r="G7442" s="62" t="n">
        <v>45.08</v>
      </c>
      <c r="H7442" s="63" t="n">
        <v>0.024</v>
      </c>
      <c r="I7442" s="62" t="n">
        <v>26.91</v>
      </c>
      <c r="J7442" s="58" t="inlineStr">
        <is>
          <t>Online</t>
        </is>
      </c>
      <c r="K7442" s="62">
        <f>F7442*(G7442-H7442)</f>
        <v/>
      </c>
      <c r="L7442" s="62">
        <f>K7442-(F7442*I7442)</f>
        <v/>
      </c>
      <c r="M7442" s="64">
        <f>L7442/K7442</f>
        <v/>
      </c>
    </row>
    <row r="7443">
      <c r="A7443" s="58" t="inlineStr">
        <is>
          <t>RT20250705-07442</t>
        </is>
      </c>
      <c r="B7443" s="59" t="inlineStr">
        <is>
          <t>2025-07-05</t>
        </is>
      </c>
      <c r="C7443" s="60" t="inlineStr">
        <is>
          <t>Aurora Printer Plus-991</t>
        </is>
      </c>
      <c r="D7443" s="58" t="inlineStr">
        <is>
          <t>Office</t>
        </is>
      </c>
      <c r="E7443" s="58" t="inlineStr">
        <is>
          <t>East</t>
        </is>
      </c>
      <c r="F7443" s="61" t="n">
        <v>1</v>
      </c>
      <c r="G7443" s="62" t="n">
        <v>549.03</v>
      </c>
      <c r="H7443" s="63" t="n">
        <v>0.025</v>
      </c>
      <c r="I7443" s="62" t="n">
        <v>382.19</v>
      </c>
      <c r="J7443" s="58" t="inlineStr">
        <is>
          <t>Phone</t>
        </is>
      </c>
      <c r="K7443" s="62">
        <f>F7443*(G7443-H7443)</f>
        <v/>
      </c>
      <c r="L7443" s="62">
        <f>K7443-(F7443*I7443)</f>
        <v/>
      </c>
      <c r="M7443" s="64">
        <f>L7443/K7443</f>
        <v/>
      </c>
    </row>
    <row r="7444">
      <c r="A7444" s="58" t="inlineStr">
        <is>
          <t>RT20250705-07443</t>
        </is>
      </c>
      <c r="B7444" s="59" t="inlineStr">
        <is>
          <t>2025-07-05</t>
        </is>
      </c>
      <c r="C7444" s="60" t="inlineStr">
        <is>
          <t>Aurora Appliance Lite-109</t>
        </is>
      </c>
      <c r="D7444" s="58" t="inlineStr">
        <is>
          <t>Home</t>
        </is>
      </c>
      <c r="E7444" s="58" t="inlineStr">
        <is>
          <t>Central</t>
        </is>
      </c>
      <c r="F7444" s="61" t="n">
        <v>2</v>
      </c>
      <c r="G7444" s="62" t="n">
        <v>325.91</v>
      </c>
      <c r="H7444" s="63" t="n">
        <v>0.045</v>
      </c>
      <c r="I7444" s="62" t="n">
        <v>206.92</v>
      </c>
      <c r="J7444" s="58" t="inlineStr">
        <is>
          <t>Store</t>
        </is>
      </c>
      <c r="K7444" s="62">
        <f>F7444*(G7444-H7444)</f>
        <v/>
      </c>
      <c r="L7444" s="62">
        <f>K7444-(F7444*I7444)</f>
        <v/>
      </c>
      <c r="M7444" s="64">
        <f>L7444/K7444</f>
        <v/>
      </c>
    </row>
    <row r="7445">
      <c r="A7445" s="58" t="inlineStr">
        <is>
          <t>RT20250705-07444</t>
        </is>
      </c>
      <c r="B7445" s="59" t="inlineStr">
        <is>
          <t>2025-07-05</t>
        </is>
      </c>
      <c r="C7445" s="60" t="inlineStr">
        <is>
          <t>Vertex Smartphone Pro-256</t>
        </is>
      </c>
      <c r="D7445" s="58" t="inlineStr">
        <is>
          <t>Electronics</t>
        </is>
      </c>
      <c r="E7445" s="58" t="inlineStr">
        <is>
          <t>South</t>
        </is>
      </c>
      <c r="F7445" s="61" t="n">
        <v>2</v>
      </c>
      <c r="G7445" s="62" t="n">
        <v>1102.28</v>
      </c>
      <c r="H7445" s="63" t="n">
        <v>0.073</v>
      </c>
      <c r="I7445" s="62" t="n">
        <v>912.24</v>
      </c>
      <c r="J7445" s="58" t="inlineStr">
        <is>
          <t>Store</t>
        </is>
      </c>
      <c r="K7445" s="62">
        <f>F7445*(G7445-H7445)</f>
        <v/>
      </c>
      <c r="L7445" s="62">
        <f>K7445-(F7445*I7445)</f>
        <v/>
      </c>
      <c r="M7445" s="64">
        <f>L7445/K7445</f>
        <v/>
      </c>
    </row>
    <row r="7446">
      <c r="A7446" s="58" t="inlineStr">
        <is>
          <t>RT20250705-07445</t>
        </is>
      </c>
      <c r="B7446" s="59" t="inlineStr">
        <is>
          <t>2025-07-05</t>
        </is>
      </c>
      <c r="C7446" s="60" t="inlineStr">
        <is>
          <t>Aurora Appliance Lite-109</t>
        </is>
      </c>
      <c r="D7446" s="58" t="inlineStr">
        <is>
          <t>Home</t>
        </is>
      </c>
      <c r="E7446" s="58" t="inlineStr">
        <is>
          <t>South</t>
        </is>
      </c>
      <c r="F7446" s="61" t="n">
        <v>1</v>
      </c>
      <c r="G7446" s="62" t="n">
        <v>307.68</v>
      </c>
      <c r="H7446" s="63" t="n">
        <v>0.058</v>
      </c>
      <c r="I7446" s="62" t="n">
        <v>200.74</v>
      </c>
      <c r="J7446" s="58" t="inlineStr">
        <is>
          <t>Online</t>
        </is>
      </c>
      <c r="K7446" s="62">
        <f>F7446*(G7446-H7446)</f>
        <v/>
      </c>
      <c r="L7446" s="62">
        <f>K7446-(F7446*I7446)</f>
        <v/>
      </c>
      <c r="M7446" s="64">
        <f>L7446/K7446</f>
        <v/>
      </c>
    </row>
    <row r="7447">
      <c r="A7447" s="58" t="inlineStr">
        <is>
          <t>RT20250705-07446</t>
        </is>
      </c>
      <c r="B7447" s="59" t="inlineStr">
        <is>
          <t>2025-07-05</t>
        </is>
      </c>
      <c r="C7447" s="60" t="inlineStr">
        <is>
          <t>Aurora Outdoor Pro-467</t>
        </is>
      </c>
      <c r="D7447" s="58" t="inlineStr">
        <is>
          <t>Sports</t>
        </is>
      </c>
      <c r="E7447" s="58" t="inlineStr">
        <is>
          <t>South</t>
        </is>
      </c>
      <c r="F7447" s="61" t="n">
        <v>1</v>
      </c>
      <c r="G7447" s="62" t="n">
        <v>299.32</v>
      </c>
      <c r="H7447" s="63" t="n">
        <v>0.06</v>
      </c>
      <c r="I7447" s="62" t="n">
        <v>191.1</v>
      </c>
      <c r="J7447" s="58" t="inlineStr">
        <is>
          <t>Online</t>
        </is>
      </c>
      <c r="K7447" s="62">
        <f>F7447*(G7447-H7447)</f>
        <v/>
      </c>
      <c r="L7447" s="62">
        <f>K7447-(F7447*I7447)</f>
        <v/>
      </c>
      <c r="M7447" s="64">
        <f>L7447/K7447</f>
        <v/>
      </c>
    </row>
    <row r="7448">
      <c r="A7448" s="58" t="inlineStr">
        <is>
          <t>RT20250705-07447</t>
        </is>
      </c>
      <c r="B7448" s="59" t="inlineStr">
        <is>
          <t>2025-07-05</t>
        </is>
      </c>
      <c r="C7448" s="60" t="inlineStr">
        <is>
          <t>Vertex Accessorie Pro-881</t>
        </is>
      </c>
      <c r="D7448" s="58" t="inlineStr">
        <is>
          <t>Apparel</t>
        </is>
      </c>
      <c r="E7448" s="58" t="inlineStr">
        <is>
          <t>South</t>
        </is>
      </c>
      <c r="F7448" s="61" t="n">
        <v>4</v>
      </c>
      <c r="G7448" s="62" t="n">
        <v>106.77</v>
      </c>
      <c r="H7448" s="63" t="n">
        <v>0.06</v>
      </c>
      <c r="I7448" s="62" t="n">
        <v>64.43000000000001</v>
      </c>
      <c r="J7448" s="58" t="inlineStr">
        <is>
          <t>Store</t>
        </is>
      </c>
      <c r="K7448" s="62">
        <f>F7448*(G7448-H7448)</f>
        <v/>
      </c>
      <c r="L7448" s="62">
        <f>K7448-(F7448*I7448)</f>
        <v/>
      </c>
      <c r="M7448" s="64">
        <f>L7448/K7448</f>
        <v/>
      </c>
    </row>
    <row r="7449">
      <c r="A7449" s="58" t="inlineStr">
        <is>
          <t>RT20250705-07448</t>
        </is>
      </c>
      <c r="B7449" s="59" t="inlineStr">
        <is>
          <t>2025-07-05</t>
        </is>
      </c>
      <c r="C7449" s="60" t="inlineStr">
        <is>
          <t>Nimbus Laptop Max-652</t>
        </is>
      </c>
      <c r="D7449" s="58" t="inlineStr">
        <is>
          <t>Electronics</t>
        </is>
      </c>
      <c r="E7449" s="58" t="inlineStr">
        <is>
          <t>East</t>
        </is>
      </c>
      <c r="F7449" s="61" t="n">
        <v>1</v>
      </c>
      <c r="G7449" s="62" t="n">
        <v>1317.17</v>
      </c>
      <c r="H7449" s="63" t="n">
        <v>0.058</v>
      </c>
      <c r="I7449" s="62" t="n">
        <v>1032.47</v>
      </c>
      <c r="J7449" s="58" t="inlineStr">
        <is>
          <t>Online</t>
        </is>
      </c>
      <c r="K7449" s="62">
        <f>F7449*(G7449-H7449)</f>
        <v/>
      </c>
      <c r="L7449" s="62">
        <f>K7449-(F7449*I7449)</f>
        <v/>
      </c>
      <c r="M7449" s="64">
        <f>L7449/K7449</f>
        <v/>
      </c>
    </row>
    <row r="7450">
      <c r="A7450" s="58" t="inlineStr">
        <is>
          <t>RT20250705-07449</t>
        </is>
      </c>
      <c r="B7450" s="59" t="inlineStr">
        <is>
          <t>2025-07-05</t>
        </is>
      </c>
      <c r="C7450" s="60" t="inlineStr">
        <is>
          <t>Vertex Printer Max-692</t>
        </is>
      </c>
      <c r="D7450" s="58" t="inlineStr">
        <is>
          <t>Office</t>
        </is>
      </c>
      <c r="E7450" s="58" t="inlineStr">
        <is>
          <t>East</t>
        </is>
      </c>
      <c r="F7450" s="61" t="n">
        <v>2</v>
      </c>
      <c r="G7450" s="62" t="n">
        <v>159.56</v>
      </c>
      <c r="H7450" s="63" t="n">
        <v>0.106</v>
      </c>
      <c r="I7450" s="62" t="n">
        <v>125.13</v>
      </c>
      <c r="J7450" s="58" t="inlineStr">
        <is>
          <t>Store</t>
        </is>
      </c>
      <c r="K7450" s="62">
        <f>F7450*(G7450-H7450)</f>
        <v/>
      </c>
      <c r="L7450" s="62">
        <f>K7450-(F7450*I7450)</f>
        <v/>
      </c>
      <c r="M7450" s="64">
        <f>L7450/K7450</f>
        <v/>
      </c>
    </row>
    <row r="7451">
      <c r="A7451" s="58" t="inlineStr">
        <is>
          <t>RT20250705-07450</t>
        </is>
      </c>
      <c r="B7451" s="59" t="inlineStr">
        <is>
          <t>2025-07-05</t>
        </is>
      </c>
      <c r="C7451" s="60" t="inlineStr">
        <is>
          <t>Polar Cycling S-223</t>
        </is>
      </c>
      <c r="D7451" s="58" t="inlineStr">
        <is>
          <t>Sports</t>
        </is>
      </c>
      <c r="E7451" s="58" t="inlineStr">
        <is>
          <t>South</t>
        </is>
      </c>
      <c r="F7451" s="61" t="n">
        <v>2</v>
      </c>
      <c r="G7451" s="62" t="n">
        <v>1025.39</v>
      </c>
      <c r="H7451" s="63" t="n">
        <v>0.08</v>
      </c>
      <c r="I7451" s="62" t="n">
        <v>640.87</v>
      </c>
      <c r="J7451" s="58" t="inlineStr">
        <is>
          <t>Online</t>
        </is>
      </c>
      <c r="K7451" s="62">
        <f>F7451*(G7451-H7451)</f>
        <v/>
      </c>
      <c r="L7451" s="62">
        <f>K7451-(F7451*I7451)</f>
        <v/>
      </c>
      <c r="M7451" s="64">
        <f>L7451/K7451</f>
        <v/>
      </c>
    </row>
    <row r="7452">
      <c r="A7452" s="58" t="inlineStr">
        <is>
          <t>RT20250705-07451</t>
        </is>
      </c>
      <c r="B7452" s="59" t="inlineStr">
        <is>
          <t>2025-07-05</t>
        </is>
      </c>
      <c r="C7452" s="60" t="inlineStr">
        <is>
          <t>Orion Supplie S-612</t>
        </is>
      </c>
      <c r="D7452" s="58" t="inlineStr">
        <is>
          <t>Office</t>
        </is>
      </c>
      <c r="E7452" s="58" t="inlineStr">
        <is>
          <t>North</t>
        </is>
      </c>
      <c r="F7452" s="61" t="n">
        <v>1</v>
      </c>
      <c r="G7452" s="62" t="n">
        <v>471.94</v>
      </c>
      <c r="H7452" s="63" t="n">
        <v>0.001</v>
      </c>
      <c r="I7452" s="62" t="n">
        <v>335.71</v>
      </c>
      <c r="J7452" s="58" t="inlineStr">
        <is>
          <t>Store</t>
        </is>
      </c>
      <c r="K7452" s="62">
        <f>F7452*(G7452-H7452)</f>
        <v/>
      </c>
      <c r="L7452" s="62">
        <f>K7452-(F7452*I7452)</f>
        <v/>
      </c>
      <c r="M7452" s="64">
        <f>L7452/K7452</f>
        <v/>
      </c>
    </row>
    <row r="7453">
      <c r="A7453" s="58" t="inlineStr">
        <is>
          <t>RT20250705-07452</t>
        </is>
      </c>
      <c r="B7453" s="59" t="inlineStr">
        <is>
          <t>2025-07-05</t>
        </is>
      </c>
      <c r="C7453" s="60" t="inlineStr">
        <is>
          <t>Orion Laptop S-350</t>
        </is>
      </c>
      <c r="D7453" s="58" t="inlineStr">
        <is>
          <t>Electronics</t>
        </is>
      </c>
      <c r="E7453" s="58" t="inlineStr">
        <is>
          <t>South</t>
        </is>
      </c>
      <c r="F7453" s="61" t="n">
        <v>2</v>
      </c>
      <c r="G7453" s="62" t="n">
        <v>1283.53</v>
      </c>
      <c r="H7453" s="63" t="n">
        <v>0.09</v>
      </c>
      <c r="I7453" s="62" t="n">
        <v>1065.41</v>
      </c>
      <c r="J7453" s="58" t="inlineStr">
        <is>
          <t>Online</t>
        </is>
      </c>
      <c r="K7453" s="62">
        <f>F7453*(G7453-H7453)</f>
        <v/>
      </c>
      <c r="L7453" s="62">
        <f>K7453-(F7453*I7453)</f>
        <v/>
      </c>
      <c r="M7453" s="64">
        <f>L7453/K7453</f>
        <v/>
      </c>
    </row>
    <row r="7454">
      <c r="A7454" s="58" t="inlineStr">
        <is>
          <t>RT20250705-07453</t>
        </is>
      </c>
      <c r="B7454" s="59" t="inlineStr">
        <is>
          <t>2025-07-05</t>
        </is>
      </c>
      <c r="C7454" s="60" t="inlineStr">
        <is>
          <t>Aurora Wearable Lite-162</t>
        </is>
      </c>
      <c r="D7454" s="58" t="inlineStr">
        <is>
          <t>Electronics</t>
        </is>
      </c>
      <c r="E7454" s="58" t="inlineStr">
        <is>
          <t>South</t>
        </is>
      </c>
      <c r="F7454" s="61" t="n">
        <v>2</v>
      </c>
      <c r="G7454" s="62" t="n">
        <v>1440.17</v>
      </c>
      <c r="H7454" s="63" t="n">
        <v>0.102</v>
      </c>
      <c r="I7454" s="62" t="n">
        <v>1208.57</v>
      </c>
      <c r="J7454" s="58" t="inlineStr">
        <is>
          <t>Online</t>
        </is>
      </c>
      <c r="K7454" s="62">
        <f>F7454*(G7454-H7454)</f>
        <v/>
      </c>
      <c r="L7454" s="62">
        <f>K7454-(F7454*I7454)</f>
        <v/>
      </c>
      <c r="M7454" s="64">
        <f>L7454/K7454</f>
        <v/>
      </c>
    </row>
    <row r="7455">
      <c r="A7455" s="58" t="inlineStr">
        <is>
          <t>RT20250705-07454</t>
        </is>
      </c>
      <c r="B7455" s="59" t="inlineStr">
        <is>
          <t>2025-07-05</t>
        </is>
      </c>
      <c r="C7455" s="60" t="inlineStr">
        <is>
          <t>Solace Laptop S-367</t>
        </is>
      </c>
      <c r="D7455" s="58" t="inlineStr">
        <is>
          <t>Electronics</t>
        </is>
      </c>
      <c r="E7455" s="58" t="inlineStr">
        <is>
          <t>South</t>
        </is>
      </c>
      <c r="F7455" s="61" t="n">
        <v>1</v>
      </c>
      <c r="G7455" s="62" t="n">
        <v>2042.11</v>
      </c>
      <c r="H7455" s="63" t="n">
        <v>0.062</v>
      </c>
      <c r="I7455" s="62" t="n">
        <v>1586.24</v>
      </c>
      <c r="J7455" s="58" t="inlineStr">
        <is>
          <t>Online</t>
        </is>
      </c>
      <c r="K7455" s="62">
        <f>F7455*(G7455-H7455)</f>
        <v/>
      </c>
      <c r="L7455" s="62">
        <f>K7455-(F7455*I7455)</f>
        <v/>
      </c>
      <c r="M7455" s="64">
        <f>L7455/K7455</f>
        <v/>
      </c>
    </row>
    <row r="7456">
      <c r="A7456" s="58" t="inlineStr">
        <is>
          <t>RT20250705-07455</t>
        </is>
      </c>
      <c r="B7456" s="59" t="inlineStr">
        <is>
          <t>2025-07-05</t>
        </is>
      </c>
      <c r="C7456" s="60" t="inlineStr">
        <is>
          <t>Nimbus Cycling Plus-911</t>
        </is>
      </c>
      <c r="D7456" s="58" t="inlineStr">
        <is>
          <t>Sports</t>
        </is>
      </c>
      <c r="E7456" s="58" t="inlineStr">
        <is>
          <t>South</t>
        </is>
      </c>
      <c r="F7456" s="61" t="n">
        <v>1</v>
      </c>
      <c r="G7456" s="62" t="n">
        <v>490.15</v>
      </c>
      <c r="H7456" s="63" t="n">
        <v>0.045</v>
      </c>
      <c r="I7456" s="62" t="n">
        <v>388.29</v>
      </c>
      <c r="J7456" s="58" t="inlineStr">
        <is>
          <t>Online</t>
        </is>
      </c>
      <c r="K7456" s="62">
        <f>F7456*(G7456-H7456)</f>
        <v/>
      </c>
      <c r="L7456" s="62">
        <f>K7456-(F7456*I7456)</f>
        <v/>
      </c>
      <c r="M7456" s="64">
        <f>L7456/K7456</f>
        <v/>
      </c>
    </row>
    <row r="7457">
      <c r="A7457" s="58" t="inlineStr">
        <is>
          <t>RT20250706-07456</t>
        </is>
      </c>
      <c r="B7457" s="59" t="inlineStr">
        <is>
          <t>2025-07-06</t>
        </is>
      </c>
      <c r="C7457" s="60" t="inlineStr">
        <is>
          <t>Aurora Furniture X-709</t>
        </is>
      </c>
      <c r="D7457" s="58" t="inlineStr">
        <is>
          <t>Office</t>
        </is>
      </c>
      <c r="E7457" s="58" t="inlineStr">
        <is>
          <t>West</t>
        </is>
      </c>
      <c r="F7457" s="61" t="n">
        <v>2</v>
      </c>
      <c r="G7457" s="62" t="n">
        <v>467.74</v>
      </c>
      <c r="H7457" s="63" t="n">
        <v>0.048</v>
      </c>
      <c r="I7457" s="62" t="n">
        <v>309.9</v>
      </c>
      <c r="J7457" s="58" t="inlineStr">
        <is>
          <t>Store</t>
        </is>
      </c>
      <c r="K7457" s="62">
        <f>F7457*(G7457-H7457)</f>
        <v/>
      </c>
      <c r="L7457" s="62">
        <f>K7457-(F7457*I7457)</f>
        <v/>
      </c>
      <c r="M7457" s="64">
        <f>L7457/K7457</f>
        <v/>
      </c>
    </row>
    <row r="7458">
      <c r="A7458" s="58" t="inlineStr">
        <is>
          <t>RT20250706-07457</t>
        </is>
      </c>
      <c r="B7458" s="59" t="inlineStr">
        <is>
          <t>2025-07-06</t>
        </is>
      </c>
      <c r="C7458" s="60" t="inlineStr">
        <is>
          <t>Aurora Wearable Lite-704</t>
        </is>
      </c>
      <c r="D7458" s="58" t="inlineStr">
        <is>
          <t>Electronics</t>
        </is>
      </c>
      <c r="E7458" s="58" t="inlineStr">
        <is>
          <t>Central</t>
        </is>
      </c>
      <c r="F7458" s="61" t="n">
        <v>2</v>
      </c>
      <c r="G7458" s="62" t="n">
        <v>1806.93</v>
      </c>
      <c r="H7458" s="63" t="n">
        <v>0.117</v>
      </c>
      <c r="I7458" s="62" t="n">
        <v>1448.24</v>
      </c>
      <c r="J7458" s="58" t="inlineStr">
        <is>
          <t>Online</t>
        </is>
      </c>
      <c r="K7458" s="62">
        <f>F7458*(G7458-H7458)</f>
        <v/>
      </c>
      <c r="L7458" s="62">
        <f>K7458-(F7458*I7458)</f>
        <v/>
      </c>
      <c r="M7458" s="64">
        <f>L7458/K7458</f>
        <v/>
      </c>
    </row>
    <row r="7459">
      <c r="A7459" s="58" t="inlineStr">
        <is>
          <t>RT20250706-07458</t>
        </is>
      </c>
      <c r="B7459" s="59" t="inlineStr">
        <is>
          <t>2025-07-06</t>
        </is>
      </c>
      <c r="C7459" s="60" t="inlineStr">
        <is>
          <t>Solace Kitchen X-919</t>
        </is>
      </c>
      <c r="D7459" s="58" t="inlineStr">
        <is>
          <t>Home</t>
        </is>
      </c>
      <c r="E7459" s="58" t="inlineStr">
        <is>
          <t>South</t>
        </is>
      </c>
      <c r="F7459" s="61" t="n">
        <v>2</v>
      </c>
      <c r="G7459" s="62" t="n">
        <v>397.41</v>
      </c>
      <c r="H7459" s="63" t="n">
        <v>0</v>
      </c>
      <c r="I7459" s="62" t="n">
        <v>262.64</v>
      </c>
      <c r="J7459" s="58" t="inlineStr">
        <is>
          <t>Store</t>
        </is>
      </c>
      <c r="K7459" s="62">
        <f>F7459*(G7459-H7459)</f>
        <v/>
      </c>
      <c r="L7459" s="62">
        <f>K7459-(F7459*I7459)</f>
        <v/>
      </c>
      <c r="M7459" s="64">
        <f>L7459/K7459</f>
        <v/>
      </c>
    </row>
    <row r="7460">
      <c r="A7460" s="58" t="inlineStr">
        <is>
          <t>RT20250706-07459</t>
        </is>
      </c>
      <c r="B7460" s="59" t="inlineStr">
        <is>
          <t>2025-07-06</t>
        </is>
      </c>
      <c r="C7460" s="60" t="inlineStr">
        <is>
          <t>Polar Women Max-927</t>
        </is>
      </c>
      <c r="D7460" s="58" t="inlineStr">
        <is>
          <t>Apparel</t>
        </is>
      </c>
      <c r="E7460" s="58" t="inlineStr">
        <is>
          <t>East</t>
        </is>
      </c>
      <c r="F7460" s="61" t="n">
        <v>4</v>
      </c>
      <c r="G7460" s="62" t="n">
        <v>121.05</v>
      </c>
      <c r="H7460" s="63" t="n">
        <v>0.074</v>
      </c>
      <c r="I7460" s="62" t="n">
        <v>65.31</v>
      </c>
      <c r="J7460" s="58" t="inlineStr">
        <is>
          <t>Store</t>
        </is>
      </c>
      <c r="K7460" s="62">
        <f>F7460*(G7460-H7460)</f>
        <v/>
      </c>
      <c r="L7460" s="62">
        <f>K7460-(F7460*I7460)</f>
        <v/>
      </c>
      <c r="M7460" s="64">
        <f>L7460/K7460</f>
        <v/>
      </c>
    </row>
    <row r="7461">
      <c r="A7461" s="58" t="inlineStr">
        <is>
          <t>RT20250706-07460</t>
        </is>
      </c>
      <c r="B7461" s="59" t="inlineStr">
        <is>
          <t>2025-07-06</t>
        </is>
      </c>
      <c r="C7461" s="60" t="inlineStr">
        <is>
          <t>Aurora Smartphone Plus-125</t>
        </is>
      </c>
      <c r="D7461" s="58" t="inlineStr">
        <is>
          <t>Electronics</t>
        </is>
      </c>
      <c r="E7461" s="58" t="inlineStr">
        <is>
          <t>West</t>
        </is>
      </c>
      <c r="F7461" s="61" t="n">
        <v>1</v>
      </c>
      <c r="G7461" s="62" t="n">
        <v>1694.46</v>
      </c>
      <c r="H7461" s="63" t="n">
        <v>0.043</v>
      </c>
      <c r="I7461" s="62" t="n">
        <v>1190.83</v>
      </c>
      <c r="J7461" s="58" t="inlineStr">
        <is>
          <t>Online</t>
        </is>
      </c>
      <c r="K7461" s="62">
        <f>F7461*(G7461-H7461)</f>
        <v/>
      </c>
      <c r="L7461" s="62">
        <f>K7461-(F7461*I7461)</f>
        <v/>
      </c>
      <c r="M7461" s="64">
        <f>L7461/K7461</f>
        <v/>
      </c>
    </row>
    <row r="7462">
      <c r="A7462" s="58" t="inlineStr">
        <is>
          <t>RT20250706-07461</t>
        </is>
      </c>
      <c r="B7462" s="59" t="inlineStr">
        <is>
          <t>2025-07-06</t>
        </is>
      </c>
      <c r="C7462" s="60" t="inlineStr">
        <is>
          <t>Aurora Team Sport Plus-256</t>
        </is>
      </c>
      <c r="D7462" s="58" t="inlineStr">
        <is>
          <t>Sports</t>
        </is>
      </c>
      <c r="E7462" s="58" t="inlineStr">
        <is>
          <t>Central</t>
        </is>
      </c>
      <c r="F7462" s="61" t="n">
        <v>2</v>
      </c>
      <c r="G7462" s="62" t="n">
        <v>562.35</v>
      </c>
      <c r="H7462" s="63" t="n">
        <v>0.093</v>
      </c>
      <c r="I7462" s="62" t="n">
        <v>420.12</v>
      </c>
      <c r="J7462" s="58" t="inlineStr">
        <is>
          <t>Online</t>
        </is>
      </c>
      <c r="K7462" s="62">
        <f>F7462*(G7462-H7462)</f>
        <v/>
      </c>
      <c r="L7462" s="62">
        <f>K7462-(F7462*I7462)</f>
        <v/>
      </c>
      <c r="M7462" s="64">
        <f>L7462/K7462</f>
        <v/>
      </c>
    </row>
    <row r="7463">
      <c r="A7463" s="58" t="inlineStr">
        <is>
          <t>RT20250706-07462</t>
        </is>
      </c>
      <c r="B7463" s="59" t="inlineStr">
        <is>
          <t>2025-07-06</t>
        </is>
      </c>
      <c r="C7463" s="60" t="inlineStr">
        <is>
          <t>Nimbus Cycling Plus-911</t>
        </is>
      </c>
      <c r="D7463" s="58" t="inlineStr">
        <is>
          <t>Sports</t>
        </is>
      </c>
      <c r="E7463" s="58" t="inlineStr">
        <is>
          <t>South</t>
        </is>
      </c>
      <c r="F7463" s="61" t="n">
        <v>3</v>
      </c>
      <c r="G7463" s="62" t="n">
        <v>610.35</v>
      </c>
      <c r="H7463" s="63" t="n">
        <v>0.052</v>
      </c>
      <c r="I7463" s="62" t="n">
        <v>384.31</v>
      </c>
      <c r="J7463" s="58" t="inlineStr">
        <is>
          <t>Phone</t>
        </is>
      </c>
      <c r="K7463" s="62">
        <f>F7463*(G7463-H7463)</f>
        <v/>
      </c>
      <c r="L7463" s="62">
        <f>K7463-(F7463*I7463)</f>
        <v/>
      </c>
      <c r="M7463" s="64">
        <f>L7463/K7463</f>
        <v/>
      </c>
    </row>
    <row r="7464">
      <c r="A7464" s="58" t="inlineStr">
        <is>
          <t>RT20250706-07463</t>
        </is>
      </c>
      <c r="B7464" s="59" t="inlineStr">
        <is>
          <t>2025-07-06</t>
        </is>
      </c>
      <c r="C7464" s="60" t="inlineStr">
        <is>
          <t>Aurora Appliance Lite-109</t>
        </is>
      </c>
      <c r="D7464" s="58" t="inlineStr">
        <is>
          <t>Home</t>
        </is>
      </c>
      <c r="E7464" s="58" t="inlineStr">
        <is>
          <t>Central</t>
        </is>
      </c>
      <c r="F7464" s="61" t="n">
        <v>1</v>
      </c>
      <c r="G7464" s="62" t="n">
        <v>268.36</v>
      </c>
      <c r="H7464" s="63" t="n">
        <v>0.064</v>
      </c>
      <c r="I7464" s="62" t="n">
        <v>202.18</v>
      </c>
      <c r="J7464" s="58" t="inlineStr">
        <is>
          <t>Online</t>
        </is>
      </c>
      <c r="K7464" s="62">
        <f>F7464*(G7464-H7464)</f>
        <v/>
      </c>
      <c r="L7464" s="62">
        <f>K7464-(F7464*I7464)</f>
        <v/>
      </c>
      <c r="M7464" s="64">
        <f>L7464/K7464</f>
        <v/>
      </c>
    </row>
    <row r="7465">
      <c r="A7465" s="58" t="inlineStr">
        <is>
          <t>RT20250706-07464</t>
        </is>
      </c>
      <c r="B7465" s="59" t="inlineStr">
        <is>
          <t>2025-07-06</t>
        </is>
      </c>
      <c r="C7465" s="60" t="inlineStr">
        <is>
          <t>Nimbus Headphone X-854</t>
        </is>
      </c>
      <c r="D7465" s="58" t="inlineStr">
        <is>
          <t>Electronics</t>
        </is>
      </c>
      <c r="E7465" s="58" t="inlineStr">
        <is>
          <t>West</t>
        </is>
      </c>
      <c r="F7465" s="61" t="n">
        <v>2</v>
      </c>
      <c r="G7465" s="62" t="n">
        <v>1590.7</v>
      </c>
      <c r="H7465" s="63" t="n">
        <v>0.008999999999999999</v>
      </c>
      <c r="I7465" s="62" t="n">
        <v>1250.7</v>
      </c>
      <c r="J7465" s="58" t="inlineStr">
        <is>
          <t>Online</t>
        </is>
      </c>
      <c r="K7465" s="62">
        <f>F7465*(G7465-H7465)</f>
        <v/>
      </c>
      <c r="L7465" s="62">
        <f>K7465-(F7465*I7465)</f>
        <v/>
      </c>
      <c r="M7465" s="64">
        <f>L7465/K7465</f>
        <v/>
      </c>
    </row>
    <row r="7466">
      <c r="A7466" s="58" t="inlineStr">
        <is>
          <t>RT20250706-07465</t>
        </is>
      </c>
      <c r="B7466" s="59" t="inlineStr">
        <is>
          <t>2025-07-06</t>
        </is>
      </c>
      <c r="C7466" s="60" t="inlineStr">
        <is>
          <t>Polar Cycling X-649</t>
        </is>
      </c>
      <c r="D7466" s="58" t="inlineStr">
        <is>
          <t>Sports</t>
        </is>
      </c>
      <c r="E7466" s="58" t="inlineStr">
        <is>
          <t>Central</t>
        </is>
      </c>
      <c r="F7466" s="61" t="n">
        <v>1</v>
      </c>
      <c r="G7466" s="62" t="n">
        <v>566.75</v>
      </c>
      <c r="H7466" s="63" t="n">
        <v>0.08</v>
      </c>
      <c r="I7466" s="62" t="n">
        <v>360.22</v>
      </c>
      <c r="J7466" s="58" t="inlineStr">
        <is>
          <t>Store</t>
        </is>
      </c>
      <c r="K7466" s="62">
        <f>F7466*(G7466-H7466)</f>
        <v/>
      </c>
      <c r="L7466" s="62">
        <f>K7466-(F7466*I7466)</f>
        <v/>
      </c>
      <c r="M7466" s="64">
        <f>L7466/K7466</f>
        <v/>
      </c>
    </row>
    <row r="7467">
      <c r="A7467" s="58" t="inlineStr">
        <is>
          <t>RT20250706-07466</t>
        </is>
      </c>
      <c r="B7467" s="59" t="inlineStr">
        <is>
          <t>2025-07-06</t>
        </is>
      </c>
      <c r="C7467" s="60" t="inlineStr">
        <is>
          <t>Solace Fitnes S-324</t>
        </is>
      </c>
      <c r="D7467" s="58" t="inlineStr">
        <is>
          <t>Sports</t>
        </is>
      </c>
      <c r="E7467" s="58" t="inlineStr">
        <is>
          <t>East</t>
        </is>
      </c>
      <c r="F7467" s="61" t="n">
        <v>1</v>
      </c>
      <c r="G7467" s="62" t="n">
        <v>733.04</v>
      </c>
      <c r="H7467" s="63" t="n">
        <v>0.035</v>
      </c>
      <c r="I7467" s="62" t="n">
        <v>523.55</v>
      </c>
      <c r="J7467" s="58" t="inlineStr">
        <is>
          <t>Online</t>
        </is>
      </c>
      <c r="K7467" s="62">
        <f>F7467*(G7467-H7467)</f>
        <v/>
      </c>
      <c r="L7467" s="62">
        <f>K7467-(F7467*I7467)</f>
        <v/>
      </c>
      <c r="M7467" s="64">
        <f>L7467/K7467</f>
        <v/>
      </c>
    </row>
    <row r="7468">
      <c r="A7468" s="58" t="inlineStr">
        <is>
          <t>RT20250706-07467</t>
        </is>
      </c>
      <c r="B7468" s="59" t="inlineStr">
        <is>
          <t>2025-07-06</t>
        </is>
      </c>
      <c r="C7468" s="60" t="inlineStr">
        <is>
          <t>Falcon Team Sport Lite-268</t>
        </is>
      </c>
      <c r="D7468" s="58" t="inlineStr">
        <is>
          <t>Sports</t>
        </is>
      </c>
      <c r="E7468" s="58" t="inlineStr">
        <is>
          <t>Central</t>
        </is>
      </c>
      <c r="F7468" s="61" t="n">
        <v>3</v>
      </c>
      <c r="G7468" s="62" t="n">
        <v>622.95</v>
      </c>
      <c r="H7468" s="63" t="n">
        <v>0.03</v>
      </c>
      <c r="I7468" s="62" t="n">
        <v>434.53</v>
      </c>
      <c r="J7468" s="58" t="inlineStr">
        <is>
          <t>Online</t>
        </is>
      </c>
      <c r="K7468" s="62">
        <f>F7468*(G7468-H7468)</f>
        <v/>
      </c>
      <c r="L7468" s="62">
        <f>K7468-(F7468*I7468)</f>
        <v/>
      </c>
      <c r="M7468" s="64">
        <f>L7468/K7468</f>
        <v/>
      </c>
    </row>
    <row r="7469">
      <c r="A7469" s="58" t="inlineStr">
        <is>
          <t>RT20250706-07468</t>
        </is>
      </c>
      <c r="B7469" s="59" t="inlineStr">
        <is>
          <t>2025-07-06</t>
        </is>
      </c>
      <c r="C7469" s="60" t="inlineStr">
        <is>
          <t>Solace Kitchen X-919</t>
        </is>
      </c>
      <c r="D7469" s="58" t="inlineStr">
        <is>
          <t>Home</t>
        </is>
      </c>
      <c r="E7469" s="58" t="inlineStr">
        <is>
          <t>Central</t>
        </is>
      </c>
      <c r="F7469" s="61" t="n">
        <v>1</v>
      </c>
      <c r="G7469" s="62" t="n">
        <v>341.9</v>
      </c>
      <c r="H7469" s="63" t="n">
        <v>0.077</v>
      </c>
      <c r="I7469" s="62" t="n">
        <v>261.73</v>
      </c>
      <c r="J7469" s="58" t="inlineStr">
        <is>
          <t>Online</t>
        </is>
      </c>
      <c r="K7469" s="62">
        <f>F7469*(G7469-H7469)</f>
        <v/>
      </c>
      <c r="L7469" s="62">
        <f>K7469-(F7469*I7469)</f>
        <v/>
      </c>
      <c r="M7469" s="64">
        <f>L7469/K7469</f>
        <v/>
      </c>
    </row>
    <row r="7470">
      <c r="A7470" s="58" t="inlineStr">
        <is>
          <t>RT20250706-07469</t>
        </is>
      </c>
      <c r="B7470" s="59" t="inlineStr">
        <is>
          <t>2025-07-06</t>
        </is>
      </c>
      <c r="C7470" s="60" t="inlineStr">
        <is>
          <t>Orion Kitchen Pro-568</t>
        </is>
      </c>
      <c r="D7470" s="58" t="inlineStr">
        <is>
          <t>Home</t>
        </is>
      </c>
      <c r="E7470" s="58" t="inlineStr">
        <is>
          <t>Central</t>
        </is>
      </c>
      <c r="F7470" s="61" t="n">
        <v>3</v>
      </c>
      <c r="G7470" s="62" t="n">
        <v>473.49</v>
      </c>
      <c r="H7470" s="63" t="n">
        <v>0.08</v>
      </c>
      <c r="I7470" s="62" t="n">
        <v>308.01</v>
      </c>
      <c r="J7470" s="58" t="inlineStr">
        <is>
          <t>Store</t>
        </is>
      </c>
      <c r="K7470" s="62">
        <f>F7470*(G7470-H7470)</f>
        <v/>
      </c>
      <c r="L7470" s="62">
        <f>K7470-(F7470*I7470)</f>
        <v/>
      </c>
      <c r="M7470" s="64">
        <f>L7470/K7470</f>
        <v/>
      </c>
    </row>
    <row r="7471">
      <c r="A7471" s="58" t="inlineStr">
        <is>
          <t>RT20250706-07470</t>
        </is>
      </c>
      <c r="B7471" s="59" t="inlineStr">
        <is>
          <t>2025-07-06</t>
        </is>
      </c>
      <c r="C7471" s="60" t="inlineStr">
        <is>
          <t>Polar Bedding Lite-243</t>
        </is>
      </c>
      <c r="D7471" s="58" t="inlineStr">
        <is>
          <t>Home</t>
        </is>
      </c>
      <c r="E7471" s="58" t="inlineStr">
        <is>
          <t>East</t>
        </is>
      </c>
      <c r="F7471" s="61" t="n">
        <v>3</v>
      </c>
      <c r="G7471" s="62" t="n">
        <v>430.12</v>
      </c>
      <c r="H7471" s="63" t="n">
        <v>0.033</v>
      </c>
      <c r="I7471" s="62" t="n">
        <v>324.65</v>
      </c>
      <c r="J7471" s="58" t="inlineStr">
        <is>
          <t>Online</t>
        </is>
      </c>
      <c r="K7471" s="62">
        <f>F7471*(G7471-H7471)</f>
        <v/>
      </c>
      <c r="L7471" s="62">
        <f>K7471-(F7471*I7471)</f>
        <v/>
      </c>
      <c r="M7471" s="64">
        <f>L7471/K7471</f>
        <v/>
      </c>
    </row>
    <row r="7472">
      <c r="A7472" s="58" t="inlineStr">
        <is>
          <t>RT20250706-07471</t>
        </is>
      </c>
      <c r="B7472" s="59" t="inlineStr">
        <is>
          <t>2025-07-06</t>
        </is>
      </c>
      <c r="C7472" s="60" t="inlineStr">
        <is>
          <t>Nimbus Makeup Max-158</t>
        </is>
      </c>
      <c r="D7472" s="58" t="inlineStr">
        <is>
          <t>Beauty</t>
        </is>
      </c>
      <c r="E7472" s="58" t="inlineStr">
        <is>
          <t>West</t>
        </is>
      </c>
      <c r="F7472" s="61" t="n">
        <v>4</v>
      </c>
      <c r="G7472" s="62" t="n">
        <v>151.43</v>
      </c>
      <c r="H7472" s="63" t="n">
        <v>0.034</v>
      </c>
      <c r="I7472" s="62" t="n">
        <v>93.01000000000001</v>
      </c>
      <c r="J7472" s="58" t="inlineStr">
        <is>
          <t>Online</t>
        </is>
      </c>
      <c r="K7472" s="62">
        <f>F7472*(G7472-H7472)</f>
        <v/>
      </c>
      <c r="L7472" s="62">
        <f>K7472-(F7472*I7472)</f>
        <v/>
      </c>
      <c r="M7472" s="64">
        <f>L7472/K7472</f>
        <v/>
      </c>
    </row>
    <row r="7473">
      <c r="A7473" s="58" t="inlineStr">
        <is>
          <t>RT20250706-07472</t>
        </is>
      </c>
      <c r="B7473" s="59" t="inlineStr">
        <is>
          <t>2025-07-06</t>
        </is>
      </c>
      <c r="C7473" s="60" t="inlineStr">
        <is>
          <t>Falcon Team Sport Lite-268</t>
        </is>
      </c>
      <c r="D7473" s="58" t="inlineStr">
        <is>
          <t>Sports</t>
        </is>
      </c>
      <c r="E7473" s="58" t="inlineStr">
        <is>
          <t>Central</t>
        </is>
      </c>
      <c r="F7473" s="61" t="n">
        <v>3</v>
      </c>
      <c r="G7473" s="62" t="n">
        <v>629.79</v>
      </c>
      <c r="H7473" s="63" t="n">
        <v>0.079</v>
      </c>
      <c r="I7473" s="62" t="n">
        <v>427.61</v>
      </c>
      <c r="J7473" s="58" t="inlineStr">
        <is>
          <t>Store</t>
        </is>
      </c>
      <c r="K7473" s="62">
        <f>F7473*(G7473-H7473)</f>
        <v/>
      </c>
      <c r="L7473" s="62">
        <f>K7473-(F7473*I7473)</f>
        <v/>
      </c>
      <c r="M7473" s="64">
        <f>L7473/K7473</f>
        <v/>
      </c>
    </row>
    <row r="7474">
      <c r="A7474" s="58" t="inlineStr">
        <is>
          <t>RT20250706-07473</t>
        </is>
      </c>
      <c r="B7474" s="59" t="inlineStr">
        <is>
          <t>2025-07-06</t>
        </is>
      </c>
      <c r="C7474" s="60" t="inlineStr">
        <is>
          <t>Vertex Supplie Pro-786</t>
        </is>
      </c>
      <c r="D7474" s="58" t="inlineStr">
        <is>
          <t>Office</t>
        </is>
      </c>
      <c r="E7474" s="58" t="inlineStr">
        <is>
          <t>Central</t>
        </is>
      </c>
      <c r="F7474" s="61" t="n">
        <v>1</v>
      </c>
      <c r="G7474" s="62" t="n">
        <v>361.69</v>
      </c>
      <c r="H7474" s="63" t="n">
        <v>0.047</v>
      </c>
      <c r="I7474" s="62" t="n">
        <v>295.07</v>
      </c>
      <c r="J7474" s="58" t="inlineStr">
        <is>
          <t>Online</t>
        </is>
      </c>
      <c r="K7474" s="62">
        <f>F7474*(G7474-H7474)</f>
        <v/>
      </c>
      <c r="L7474" s="62">
        <f>K7474-(F7474*I7474)</f>
        <v/>
      </c>
      <c r="M7474" s="64">
        <f>L7474/K7474</f>
        <v/>
      </c>
    </row>
    <row r="7475">
      <c r="A7475" s="58" t="inlineStr">
        <is>
          <t>RT20250706-07474</t>
        </is>
      </c>
      <c r="B7475" s="59" t="inlineStr">
        <is>
          <t>2025-07-06</t>
        </is>
      </c>
      <c r="C7475" s="60" t="inlineStr">
        <is>
          <t>Nimbus Laptop Max-652</t>
        </is>
      </c>
      <c r="D7475" s="58" t="inlineStr">
        <is>
          <t>Electronics</t>
        </is>
      </c>
      <c r="E7475" s="58" t="inlineStr">
        <is>
          <t>East</t>
        </is>
      </c>
      <c r="F7475" s="61" t="n">
        <v>1</v>
      </c>
      <c r="G7475" s="62" t="n">
        <v>1379.55</v>
      </c>
      <c r="H7475" s="63" t="n">
        <v>0.056</v>
      </c>
      <c r="I7475" s="62" t="n">
        <v>1043.32</v>
      </c>
      <c r="J7475" s="58" t="inlineStr">
        <is>
          <t>Store</t>
        </is>
      </c>
      <c r="K7475" s="62">
        <f>F7475*(G7475-H7475)</f>
        <v/>
      </c>
      <c r="L7475" s="62">
        <f>K7475-(F7475*I7475)</f>
        <v/>
      </c>
      <c r="M7475" s="64">
        <f>L7475/K7475</f>
        <v/>
      </c>
    </row>
    <row r="7476">
      <c r="A7476" s="58" t="inlineStr">
        <is>
          <t>RT20250706-07475</t>
        </is>
      </c>
      <c r="B7476" s="59" t="inlineStr">
        <is>
          <t>2025-07-06</t>
        </is>
      </c>
      <c r="C7476" s="60" t="inlineStr">
        <is>
          <t>Vertex Furniture S-652</t>
        </is>
      </c>
      <c r="D7476" s="58" t="inlineStr">
        <is>
          <t>Office</t>
        </is>
      </c>
      <c r="E7476" s="58" t="inlineStr">
        <is>
          <t>East</t>
        </is>
      </c>
      <c r="F7476" s="61" t="n">
        <v>1</v>
      </c>
      <c r="G7476" s="62" t="n">
        <v>386.95</v>
      </c>
      <c r="H7476" s="63" t="n">
        <v>0.024</v>
      </c>
      <c r="I7476" s="62" t="n">
        <v>273.2</v>
      </c>
      <c r="J7476" s="58" t="inlineStr">
        <is>
          <t>Online</t>
        </is>
      </c>
      <c r="K7476" s="62">
        <f>F7476*(G7476-H7476)</f>
        <v/>
      </c>
      <c r="L7476" s="62">
        <f>K7476-(F7476*I7476)</f>
        <v/>
      </c>
      <c r="M7476" s="64">
        <f>L7476/K7476</f>
        <v/>
      </c>
    </row>
    <row r="7477">
      <c r="A7477" s="58" t="inlineStr">
        <is>
          <t>RT20250706-07476</t>
        </is>
      </c>
      <c r="B7477" s="59" t="inlineStr">
        <is>
          <t>2025-07-06</t>
        </is>
      </c>
      <c r="C7477" s="60" t="inlineStr">
        <is>
          <t>Vertex Appliance Max-338</t>
        </is>
      </c>
      <c r="D7477" s="58" t="inlineStr">
        <is>
          <t>Home</t>
        </is>
      </c>
      <c r="E7477" s="58" t="inlineStr">
        <is>
          <t>West</t>
        </is>
      </c>
      <c r="F7477" s="61" t="n">
        <v>3</v>
      </c>
      <c r="G7477" s="62" t="n">
        <v>433.03</v>
      </c>
      <c r="H7477" s="63" t="n">
        <v>0.073</v>
      </c>
      <c r="I7477" s="62" t="n">
        <v>283.1</v>
      </c>
      <c r="J7477" s="58" t="inlineStr">
        <is>
          <t>Online</t>
        </is>
      </c>
      <c r="K7477" s="62">
        <f>F7477*(G7477-H7477)</f>
        <v/>
      </c>
      <c r="L7477" s="62">
        <f>K7477-(F7477*I7477)</f>
        <v/>
      </c>
      <c r="M7477" s="64">
        <f>L7477/K7477</f>
        <v/>
      </c>
    </row>
    <row r="7478">
      <c r="A7478" s="58" t="inlineStr">
        <is>
          <t>RT20250706-07477</t>
        </is>
      </c>
      <c r="B7478" s="59" t="inlineStr">
        <is>
          <t>2025-07-06</t>
        </is>
      </c>
      <c r="C7478" s="60" t="inlineStr">
        <is>
          <t>Polar Pantry Lite-392</t>
        </is>
      </c>
      <c r="D7478" s="58" t="inlineStr">
        <is>
          <t>Grocery</t>
        </is>
      </c>
      <c r="E7478" s="58" t="inlineStr">
        <is>
          <t>West</t>
        </is>
      </c>
      <c r="F7478" s="61" t="n">
        <v>3</v>
      </c>
      <c r="G7478" s="62" t="n">
        <v>5.67</v>
      </c>
      <c r="H7478" s="63" t="n">
        <v>0.064</v>
      </c>
      <c r="I7478" s="62" t="n">
        <v>4.51</v>
      </c>
      <c r="J7478" s="58" t="inlineStr">
        <is>
          <t>Online</t>
        </is>
      </c>
      <c r="K7478" s="62">
        <f>F7478*(G7478-H7478)</f>
        <v/>
      </c>
      <c r="L7478" s="62">
        <f>K7478-(F7478*I7478)</f>
        <v/>
      </c>
      <c r="M7478" s="64">
        <f>L7478/K7478</f>
        <v/>
      </c>
    </row>
    <row r="7479">
      <c r="A7479" s="58" t="inlineStr">
        <is>
          <t>RT20250706-07478</t>
        </is>
      </c>
      <c r="B7479" s="59" t="inlineStr">
        <is>
          <t>2025-07-06</t>
        </is>
      </c>
      <c r="C7479" s="60" t="inlineStr">
        <is>
          <t>Aurora Furniture X-709</t>
        </is>
      </c>
      <c r="D7479" s="58" t="inlineStr">
        <is>
          <t>Office</t>
        </is>
      </c>
      <c r="E7479" s="58" t="inlineStr">
        <is>
          <t>East</t>
        </is>
      </c>
      <c r="F7479" s="61" t="n">
        <v>3</v>
      </c>
      <c r="G7479" s="62" t="n">
        <v>429.86</v>
      </c>
      <c r="H7479" s="63" t="n">
        <v>0.044</v>
      </c>
      <c r="I7479" s="62" t="n">
        <v>306.66</v>
      </c>
      <c r="J7479" s="58" t="inlineStr">
        <is>
          <t>Store</t>
        </is>
      </c>
      <c r="K7479" s="62">
        <f>F7479*(G7479-H7479)</f>
        <v/>
      </c>
      <c r="L7479" s="62">
        <f>K7479-(F7479*I7479)</f>
        <v/>
      </c>
      <c r="M7479" s="64">
        <f>L7479/K7479</f>
        <v/>
      </c>
    </row>
    <row r="7480">
      <c r="A7480" s="58" t="inlineStr">
        <is>
          <t>RT20250706-07479</t>
        </is>
      </c>
      <c r="B7480" s="59" t="inlineStr">
        <is>
          <t>2025-07-06</t>
        </is>
      </c>
      <c r="C7480" s="60" t="inlineStr">
        <is>
          <t>Aurora Fitnes Lite-194</t>
        </is>
      </c>
      <c r="D7480" s="58" t="inlineStr">
        <is>
          <t>Sports</t>
        </is>
      </c>
      <c r="E7480" s="58" t="inlineStr">
        <is>
          <t>West</t>
        </is>
      </c>
      <c r="F7480" s="61" t="n">
        <v>1</v>
      </c>
      <c r="G7480" s="62" t="n">
        <v>739.61</v>
      </c>
      <c r="H7480" s="63" t="n">
        <v>0.033</v>
      </c>
      <c r="I7480" s="62" t="n">
        <v>474.26</v>
      </c>
      <c r="J7480" s="58" t="inlineStr">
        <is>
          <t>Store</t>
        </is>
      </c>
      <c r="K7480" s="62">
        <f>F7480*(G7480-H7480)</f>
        <v/>
      </c>
      <c r="L7480" s="62">
        <f>K7480-(F7480*I7480)</f>
        <v/>
      </c>
      <c r="M7480" s="64">
        <f>L7480/K7480</f>
        <v/>
      </c>
    </row>
    <row r="7481">
      <c r="A7481" s="58" t="inlineStr">
        <is>
          <t>RT20250706-07480</t>
        </is>
      </c>
      <c r="B7481" s="59" t="inlineStr">
        <is>
          <t>2025-07-06</t>
        </is>
      </c>
      <c r="C7481" s="60" t="inlineStr">
        <is>
          <t>Aurora Team Sport Plus-256</t>
        </is>
      </c>
      <c r="D7481" s="58" t="inlineStr">
        <is>
          <t>Sports</t>
        </is>
      </c>
      <c r="E7481" s="58" t="inlineStr">
        <is>
          <t>North</t>
        </is>
      </c>
      <c r="F7481" s="61" t="n">
        <v>1</v>
      </c>
      <c r="G7481" s="62" t="n">
        <v>637.35</v>
      </c>
      <c r="H7481" s="63" t="n">
        <v>0.059</v>
      </c>
      <c r="I7481" s="62" t="n">
        <v>416.87</v>
      </c>
      <c r="J7481" s="58" t="inlineStr">
        <is>
          <t>Online</t>
        </is>
      </c>
      <c r="K7481" s="62">
        <f>F7481*(G7481-H7481)</f>
        <v/>
      </c>
      <c r="L7481" s="62">
        <f>K7481-(F7481*I7481)</f>
        <v/>
      </c>
      <c r="M7481" s="64">
        <f>L7481/K7481</f>
        <v/>
      </c>
    </row>
    <row r="7482">
      <c r="A7482" s="58" t="inlineStr">
        <is>
          <t>RT20250706-07481</t>
        </is>
      </c>
      <c r="B7482" s="59" t="inlineStr">
        <is>
          <t>2025-07-06</t>
        </is>
      </c>
      <c r="C7482" s="60" t="inlineStr">
        <is>
          <t>Orion Supplie S-612</t>
        </is>
      </c>
      <c r="D7482" s="58" t="inlineStr">
        <is>
          <t>Office</t>
        </is>
      </c>
      <c r="E7482" s="58" t="inlineStr">
        <is>
          <t>South</t>
        </is>
      </c>
      <c r="F7482" s="61" t="n">
        <v>3</v>
      </c>
      <c r="G7482" s="62" t="n">
        <v>380.52</v>
      </c>
      <c r="H7482" s="63" t="n">
        <v>0.056</v>
      </c>
      <c r="I7482" s="62" t="n">
        <v>345.47</v>
      </c>
      <c r="J7482" s="58" t="inlineStr">
        <is>
          <t>Online</t>
        </is>
      </c>
      <c r="K7482" s="62">
        <f>F7482*(G7482-H7482)</f>
        <v/>
      </c>
      <c r="L7482" s="62">
        <f>K7482-(F7482*I7482)</f>
        <v/>
      </c>
      <c r="M7482" s="64">
        <f>L7482/K7482</f>
        <v/>
      </c>
    </row>
    <row r="7483">
      <c r="A7483" s="58" t="inlineStr">
        <is>
          <t>RT20250706-07482</t>
        </is>
      </c>
      <c r="B7483" s="59" t="inlineStr">
        <is>
          <t>2025-07-06</t>
        </is>
      </c>
      <c r="C7483" s="60" t="inlineStr">
        <is>
          <t>Nimbus Makeup Max-158</t>
        </is>
      </c>
      <c r="D7483" s="58" t="inlineStr">
        <is>
          <t>Beauty</t>
        </is>
      </c>
      <c r="E7483" s="58" t="inlineStr">
        <is>
          <t>East</t>
        </is>
      </c>
      <c r="F7483" s="61" t="n">
        <v>5</v>
      </c>
      <c r="G7483" s="62" t="n">
        <v>149.62</v>
      </c>
      <c r="H7483" s="63" t="n">
        <v>0.074</v>
      </c>
      <c r="I7483" s="62" t="n">
        <v>95.66</v>
      </c>
      <c r="J7483" s="58" t="inlineStr">
        <is>
          <t>Online</t>
        </is>
      </c>
      <c r="K7483" s="62">
        <f>F7483*(G7483-H7483)</f>
        <v/>
      </c>
      <c r="L7483" s="62">
        <f>K7483-(F7483*I7483)</f>
        <v/>
      </c>
      <c r="M7483" s="64">
        <f>L7483/K7483</f>
        <v/>
      </c>
    </row>
    <row r="7484">
      <c r="A7484" s="58" t="inlineStr">
        <is>
          <t>RT20250706-07483</t>
        </is>
      </c>
      <c r="B7484" s="59" t="inlineStr">
        <is>
          <t>2025-07-06</t>
        </is>
      </c>
      <c r="C7484" s="60" t="inlineStr">
        <is>
          <t>Vertex Supplie Pro-786</t>
        </is>
      </c>
      <c r="D7484" s="58" t="inlineStr">
        <is>
          <t>Office</t>
        </is>
      </c>
      <c r="E7484" s="58" t="inlineStr">
        <is>
          <t>South</t>
        </is>
      </c>
      <c r="F7484" s="61" t="n">
        <v>3</v>
      </c>
      <c r="G7484" s="62" t="n">
        <v>440.6</v>
      </c>
      <c r="H7484" s="63" t="n">
        <v>0.053</v>
      </c>
      <c r="I7484" s="62" t="n">
        <v>300.22</v>
      </c>
      <c r="J7484" s="58" t="inlineStr">
        <is>
          <t>Online</t>
        </is>
      </c>
      <c r="K7484" s="62">
        <f>F7484*(G7484-H7484)</f>
        <v/>
      </c>
      <c r="L7484" s="62">
        <f>K7484-(F7484*I7484)</f>
        <v/>
      </c>
      <c r="M7484" s="64">
        <f>L7484/K7484</f>
        <v/>
      </c>
    </row>
    <row r="7485">
      <c r="A7485" s="58" t="inlineStr">
        <is>
          <t>RT20250706-07484</t>
        </is>
      </c>
      <c r="B7485" s="59" t="inlineStr">
        <is>
          <t>2025-07-06</t>
        </is>
      </c>
      <c r="C7485" s="60" t="inlineStr">
        <is>
          <t>Vertex Smartphone Lite-267</t>
        </is>
      </c>
      <c r="D7485" s="58" t="inlineStr">
        <is>
          <t>Electronics</t>
        </is>
      </c>
      <c r="E7485" s="58" t="inlineStr">
        <is>
          <t>South</t>
        </is>
      </c>
      <c r="F7485" s="61" t="n">
        <v>1</v>
      </c>
      <c r="G7485" s="62" t="n">
        <v>1217.37</v>
      </c>
      <c r="H7485" s="63" t="n">
        <v>0.045</v>
      </c>
      <c r="I7485" s="62" t="n">
        <v>961.5700000000001</v>
      </c>
      <c r="J7485" s="58" t="inlineStr">
        <is>
          <t>Online</t>
        </is>
      </c>
      <c r="K7485" s="62">
        <f>F7485*(G7485-H7485)</f>
        <v/>
      </c>
      <c r="L7485" s="62">
        <f>K7485-(F7485*I7485)</f>
        <v/>
      </c>
      <c r="M7485" s="64">
        <f>L7485/K7485</f>
        <v/>
      </c>
    </row>
    <row r="7486">
      <c r="A7486" s="58" t="inlineStr">
        <is>
          <t>RT20250706-07485</t>
        </is>
      </c>
      <c r="B7486" s="59" t="inlineStr">
        <is>
          <t>2025-07-06</t>
        </is>
      </c>
      <c r="C7486" s="60" t="inlineStr">
        <is>
          <t>Solace Headphone Pro-344</t>
        </is>
      </c>
      <c r="D7486" s="58" t="inlineStr">
        <is>
          <t>Electronics</t>
        </is>
      </c>
      <c r="E7486" s="58" t="inlineStr">
        <is>
          <t>South</t>
        </is>
      </c>
      <c r="F7486" s="61" t="n">
        <v>1</v>
      </c>
      <c r="G7486" s="62" t="n">
        <v>1343.99</v>
      </c>
      <c r="H7486" s="63" t="n">
        <v>0.073</v>
      </c>
      <c r="I7486" s="62" t="n">
        <v>1069.64</v>
      </c>
      <c r="J7486" s="58" t="inlineStr">
        <is>
          <t>Store</t>
        </is>
      </c>
      <c r="K7486" s="62">
        <f>F7486*(G7486-H7486)</f>
        <v/>
      </c>
      <c r="L7486" s="62">
        <f>K7486-(F7486*I7486)</f>
        <v/>
      </c>
      <c r="M7486" s="64">
        <f>L7486/K7486</f>
        <v/>
      </c>
    </row>
    <row r="7487">
      <c r="A7487" s="58" t="inlineStr">
        <is>
          <t>RT20250706-07486</t>
        </is>
      </c>
      <c r="B7487" s="59" t="inlineStr">
        <is>
          <t>2025-07-06</t>
        </is>
      </c>
      <c r="C7487" s="60" t="inlineStr">
        <is>
          <t>Polar Women S-662</t>
        </is>
      </c>
      <c r="D7487" s="58" t="inlineStr">
        <is>
          <t>Apparel</t>
        </is>
      </c>
      <c r="E7487" s="58" t="inlineStr">
        <is>
          <t>Central</t>
        </is>
      </c>
      <c r="F7487" s="61" t="n">
        <v>1</v>
      </c>
      <c r="G7487" s="62" t="n">
        <v>173.17</v>
      </c>
      <c r="H7487" s="63" t="n">
        <v>0.036</v>
      </c>
      <c r="I7487" s="62" t="n">
        <v>100.32</v>
      </c>
      <c r="J7487" s="58" t="inlineStr">
        <is>
          <t>Online</t>
        </is>
      </c>
      <c r="K7487" s="62">
        <f>F7487*(G7487-H7487)</f>
        <v/>
      </c>
      <c r="L7487" s="62">
        <f>K7487-(F7487*I7487)</f>
        <v/>
      </c>
      <c r="M7487" s="64">
        <f>L7487/K7487</f>
        <v/>
      </c>
    </row>
    <row r="7488">
      <c r="A7488" s="58" t="inlineStr">
        <is>
          <t>RT20250706-07487</t>
        </is>
      </c>
      <c r="B7488" s="59" t="inlineStr">
        <is>
          <t>2025-07-06</t>
        </is>
      </c>
      <c r="C7488" s="60" t="inlineStr">
        <is>
          <t>Falcon Kitchen X-130</t>
        </is>
      </c>
      <c r="D7488" s="58" t="inlineStr">
        <is>
          <t>Home</t>
        </is>
      </c>
      <c r="E7488" s="58" t="inlineStr">
        <is>
          <t>South</t>
        </is>
      </c>
      <c r="F7488" s="61" t="n">
        <v>1</v>
      </c>
      <c r="G7488" s="62" t="n">
        <v>385.14</v>
      </c>
      <c r="H7488" s="63" t="n">
        <v>0.015</v>
      </c>
      <c r="I7488" s="62" t="n">
        <v>283.57</v>
      </c>
      <c r="J7488" s="58" t="inlineStr">
        <is>
          <t>Store</t>
        </is>
      </c>
      <c r="K7488" s="62">
        <f>F7488*(G7488-H7488)</f>
        <v/>
      </c>
      <c r="L7488" s="62">
        <f>K7488-(F7488*I7488)</f>
        <v/>
      </c>
      <c r="M7488" s="64">
        <f>L7488/K7488</f>
        <v/>
      </c>
    </row>
    <row r="7489">
      <c r="A7489" s="58" t="inlineStr">
        <is>
          <t>RT20250706-07488</t>
        </is>
      </c>
      <c r="B7489" s="59" t="inlineStr">
        <is>
          <t>2025-07-06</t>
        </is>
      </c>
      <c r="C7489" s="60" t="inlineStr">
        <is>
          <t>Aurora Appliance Max-316</t>
        </is>
      </c>
      <c r="D7489" s="58" t="inlineStr">
        <is>
          <t>Home</t>
        </is>
      </c>
      <c r="E7489" s="58" t="inlineStr">
        <is>
          <t>East</t>
        </is>
      </c>
      <c r="F7489" s="61" t="n">
        <v>2</v>
      </c>
      <c r="G7489" s="62" t="n">
        <v>319.59</v>
      </c>
      <c r="H7489" s="63" t="n">
        <v>0.041</v>
      </c>
      <c r="I7489" s="62" t="n">
        <v>219.86</v>
      </c>
      <c r="J7489" s="58" t="inlineStr">
        <is>
          <t>Online</t>
        </is>
      </c>
      <c r="K7489" s="62">
        <f>F7489*(G7489-H7489)</f>
        <v/>
      </c>
      <c r="L7489" s="62">
        <f>K7489-(F7489*I7489)</f>
        <v/>
      </c>
      <c r="M7489" s="64">
        <f>L7489/K7489</f>
        <v/>
      </c>
    </row>
    <row r="7490">
      <c r="A7490" s="58" t="inlineStr">
        <is>
          <t>RT20250706-07489</t>
        </is>
      </c>
      <c r="B7490" s="59" t="inlineStr">
        <is>
          <t>2025-07-06</t>
        </is>
      </c>
      <c r="C7490" s="60" t="inlineStr">
        <is>
          <t>Aurora Appliance Max-316</t>
        </is>
      </c>
      <c r="D7490" s="58" t="inlineStr">
        <is>
          <t>Home</t>
        </is>
      </c>
      <c r="E7490" s="58" t="inlineStr">
        <is>
          <t>West</t>
        </is>
      </c>
      <c r="F7490" s="61" t="n">
        <v>2</v>
      </c>
      <c r="G7490" s="62" t="n">
        <v>338.02</v>
      </c>
      <c r="H7490" s="63" t="n">
        <v>0.055</v>
      </c>
      <c r="I7490" s="62" t="n">
        <v>208.49</v>
      </c>
      <c r="J7490" s="58" t="inlineStr">
        <is>
          <t>Store</t>
        </is>
      </c>
      <c r="K7490" s="62">
        <f>F7490*(G7490-H7490)</f>
        <v/>
      </c>
      <c r="L7490" s="62">
        <f>K7490-(F7490*I7490)</f>
        <v/>
      </c>
      <c r="M7490" s="64">
        <f>L7490/K7490</f>
        <v/>
      </c>
    </row>
    <row r="7491">
      <c r="A7491" s="58" t="inlineStr">
        <is>
          <t>RT20250706-07490</t>
        </is>
      </c>
      <c r="B7491" s="59" t="inlineStr">
        <is>
          <t>2025-07-06</t>
        </is>
      </c>
      <c r="C7491" s="60" t="inlineStr">
        <is>
          <t>Falcon Storage X-734</t>
        </is>
      </c>
      <c r="D7491" s="58" t="inlineStr">
        <is>
          <t>Office</t>
        </is>
      </c>
      <c r="E7491" s="58" t="inlineStr">
        <is>
          <t>South</t>
        </is>
      </c>
      <c r="F7491" s="61" t="n">
        <v>2</v>
      </c>
      <c r="G7491" s="62" t="n">
        <v>406.2</v>
      </c>
      <c r="H7491" s="63" t="n">
        <v>0.07099999999999999</v>
      </c>
      <c r="I7491" s="62" t="n">
        <v>284.66</v>
      </c>
      <c r="J7491" s="58" t="inlineStr">
        <is>
          <t>Online</t>
        </is>
      </c>
      <c r="K7491" s="62">
        <f>F7491*(G7491-H7491)</f>
        <v/>
      </c>
      <c r="L7491" s="62">
        <f>K7491-(F7491*I7491)</f>
        <v/>
      </c>
      <c r="M7491" s="64">
        <f>L7491/K7491</f>
        <v/>
      </c>
    </row>
    <row r="7492">
      <c r="A7492" s="58" t="inlineStr">
        <is>
          <t>RT20250706-07491</t>
        </is>
      </c>
      <c r="B7492" s="59" t="inlineStr">
        <is>
          <t>2025-07-06</t>
        </is>
      </c>
      <c r="C7492" s="60" t="inlineStr">
        <is>
          <t>Nimbus Makeup Max-158</t>
        </is>
      </c>
      <c r="D7492" s="58" t="inlineStr">
        <is>
          <t>Beauty</t>
        </is>
      </c>
      <c r="E7492" s="58" t="inlineStr">
        <is>
          <t>Central</t>
        </is>
      </c>
      <c r="F7492" s="61" t="n">
        <v>1</v>
      </c>
      <c r="G7492" s="62" t="n">
        <v>153.14</v>
      </c>
      <c r="H7492" s="63" t="n">
        <v>0.059</v>
      </c>
      <c r="I7492" s="62" t="n">
        <v>95.77</v>
      </c>
      <c r="J7492" s="58" t="inlineStr">
        <is>
          <t>Online</t>
        </is>
      </c>
      <c r="K7492" s="62">
        <f>F7492*(G7492-H7492)</f>
        <v/>
      </c>
      <c r="L7492" s="62">
        <f>K7492-(F7492*I7492)</f>
        <v/>
      </c>
      <c r="M7492" s="64">
        <f>L7492/K7492</f>
        <v/>
      </c>
    </row>
    <row r="7493">
      <c r="A7493" s="58" t="inlineStr">
        <is>
          <t>RT20250706-07492</t>
        </is>
      </c>
      <c r="B7493" s="59" t="inlineStr">
        <is>
          <t>2025-07-06</t>
        </is>
      </c>
      <c r="C7493" s="60" t="inlineStr">
        <is>
          <t>Aurora Kid Plus-151</t>
        </is>
      </c>
      <c r="D7493" s="58" t="inlineStr">
        <is>
          <t>Apparel</t>
        </is>
      </c>
      <c r="E7493" s="58" t="inlineStr">
        <is>
          <t>East</t>
        </is>
      </c>
      <c r="F7493" s="61" t="n">
        <v>2</v>
      </c>
      <c r="G7493" s="62" t="n">
        <v>117.89</v>
      </c>
      <c r="H7493" s="63" t="n">
        <v>0.025</v>
      </c>
      <c r="I7493" s="62" t="n">
        <v>65.44</v>
      </c>
      <c r="J7493" s="58" t="inlineStr">
        <is>
          <t>Store</t>
        </is>
      </c>
      <c r="K7493" s="62">
        <f>F7493*(G7493-H7493)</f>
        <v/>
      </c>
      <c r="L7493" s="62">
        <f>K7493-(F7493*I7493)</f>
        <v/>
      </c>
      <c r="M7493" s="64">
        <f>L7493/K7493</f>
        <v/>
      </c>
    </row>
    <row r="7494">
      <c r="A7494" s="58" t="inlineStr">
        <is>
          <t>RT20250706-07493</t>
        </is>
      </c>
      <c r="B7494" s="59" t="inlineStr">
        <is>
          <t>2025-07-06</t>
        </is>
      </c>
      <c r="C7494" s="60" t="inlineStr">
        <is>
          <t>Solace Makeup Pro-214</t>
        </is>
      </c>
      <c r="D7494" s="58" t="inlineStr">
        <is>
          <t>Beauty</t>
        </is>
      </c>
      <c r="E7494" s="58" t="inlineStr">
        <is>
          <t>East</t>
        </is>
      </c>
      <c r="F7494" s="61" t="n">
        <v>1</v>
      </c>
      <c r="G7494" s="62" t="n">
        <v>113.09</v>
      </c>
      <c r="H7494" s="63" t="n">
        <v>0.076</v>
      </c>
      <c r="I7494" s="62" t="n">
        <v>66.76000000000001</v>
      </c>
      <c r="J7494" s="58" t="inlineStr">
        <is>
          <t>Online</t>
        </is>
      </c>
      <c r="K7494" s="62">
        <f>F7494*(G7494-H7494)</f>
        <v/>
      </c>
      <c r="L7494" s="62">
        <f>K7494-(F7494*I7494)</f>
        <v/>
      </c>
      <c r="M7494" s="64">
        <f>L7494/K7494</f>
        <v/>
      </c>
    </row>
    <row r="7495">
      <c r="A7495" s="58" t="inlineStr">
        <is>
          <t>RT20250706-07494</t>
        </is>
      </c>
      <c r="B7495" s="59" t="inlineStr">
        <is>
          <t>2025-07-06</t>
        </is>
      </c>
      <c r="C7495" s="60" t="inlineStr">
        <is>
          <t>Aurora Haircare S-975</t>
        </is>
      </c>
      <c r="D7495" s="58" t="inlineStr">
        <is>
          <t>Beauty</t>
        </is>
      </c>
      <c r="E7495" s="58" t="inlineStr">
        <is>
          <t>East</t>
        </is>
      </c>
      <c r="F7495" s="61" t="n">
        <v>1</v>
      </c>
      <c r="G7495" s="62" t="n">
        <v>97.47</v>
      </c>
      <c r="H7495" s="63" t="n">
        <v>0.038</v>
      </c>
      <c r="I7495" s="62" t="n">
        <v>59.74</v>
      </c>
      <c r="J7495" s="58" t="inlineStr">
        <is>
          <t>Online</t>
        </is>
      </c>
      <c r="K7495" s="62">
        <f>F7495*(G7495-H7495)</f>
        <v/>
      </c>
      <c r="L7495" s="62">
        <f>K7495-(F7495*I7495)</f>
        <v/>
      </c>
      <c r="M7495" s="64">
        <f>L7495/K7495</f>
        <v/>
      </c>
    </row>
    <row r="7496">
      <c r="A7496" s="58" t="inlineStr">
        <is>
          <t>RT20250706-07495</t>
        </is>
      </c>
      <c r="B7496" s="59" t="inlineStr">
        <is>
          <t>2025-07-06</t>
        </is>
      </c>
      <c r="C7496" s="60" t="inlineStr">
        <is>
          <t>Falcon Headphone Plus-789</t>
        </is>
      </c>
      <c r="D7496" s="58" t="inlineStr">
        <is>
          <t>Electronics</t>
        </is>
      </c>
      <c r="E7496" s="58" t="inlineStr">
        <is>
          <t>South</t>
        </is>
      </c>
      <c r="F7496" s="61" t="n">
        <v>1</v>
      </c>
      <c r="G7496" s="62" t="n">
        <v>1826.62</v>
      </c>
      <c r="H7496" s="63" t="n">
        <v>0.049</v>
      </c>
      <c r="I7496" s="62" t="n">
        <v>1329.25</v>
      </c>
      <c r="J7496" s="58" t="inlineStr">
        <is>
          <t>Online</t>
        </is>
      </c>
      <c r="K7496" s="62">
        <f>F7496*(G7496-H7496)</f>
        <v/>
      </c>
      <c r="L7496" s="62">
        <f>K7496-(F7496*I7496)</f>
        <v/>
      </c>
      <c r="M7496" s="64">
        <f>L7496/K7496</f>
        <v/>
      </c>
    </row>
    <row r="7497">
      <c r="A7497" s="58" t="inlineStr">
        <is>
          <t>RT20250706-07496</t>
        </is>
      </c>
      <c r="B7497" s="59" t="inlineStr">
        <is>
          <t>2025-07-06</t>
        </is>
      </c>
      <c r="C7497" s="60" t="inlineStr">
        <is>
          <t>Polar Outdoor Lite-318</t>
        </is>
      </c>
      <c r="D7497" s="58" t="inlineStr">
        <is>
          <t>Sports</t>
        </is>
      </c>
      <c r="E7497" s="58" t="inlineStr">
        <is>
          <t>South</t>
        </is>
      </c>
      <c r="F7497" s="61" t="n">
        <v>2</v>
      </c>
      <c r="G7497" s="62" t="n">
        <v>638.7</v>
      </c>
      <c r="H7497" s="63" t="n">
        <v>0.102</v>
      </c>
      <c r="I7497" s="62" t="n">
        <v>466.46</v>
      </c>
      <c r="J7497" s="58" t="inlineStr">
        <is>
          <t>Online</t>
        </is>
      </c>
      <c r="K7497" s="62">
        <f>F7497*(G7497-H7497)</f>
        <v/>
      </c>
      <c r="L7497" s="62">
        <f>K7497-(F7497*I7497)</f>
        <v/>
      </c>
      <c r="M7497" s="64">
        <f>L7497/K7497</f>
        <v/>
      </c>
    </row>
    <row r="7498">
      <c r="A7498" s="58" t="inlineStr">
        <is>
          <t>RT20250706-07497</t>
        </is>
      </c>
      <c r="B7498" s="59" t="inlineStr">
        <is>
          <t>2025-07-06</t>
        </is>
      </c>
      <c r="C7498" s="60" t="inlineStr">
        <is>
          <t>Orion Beverage Plus-949</t>
        </is>
      </c>
      <c r="D7498" s="58" t="inlineStr">
        <is>
          <t>Grocery</t>
        </is>
      </c>
      <c r="E7498" s="58" t="inlineStr">
        <is>
          <t>East</t>
        </is>
      </c>
      <c r="F7498" s="61" t="n">
        <v>7</v>
      </c>
      <c r="G7498" s="62" t="n">
        <v>16.75</v>
      </c>
      <c r="H7498" s="63" t="n">
        <v>0.068</v>
      </c>
      <c r="I7498" s="62" t="n">
        <v>13.43</v>
      </c>
      <c r="J7498" s="58" t="inlineStr">
        <is>
          <t>Online</t>
        </is>
      </c>
      <c r="K7498" s="62">
        <f>F7498*(G7498-H7498)</f>
        <v/>
      </c>
      <c r="L7498" s="62">
        <f>K7498-(F7498*I7498)</f>
        <v/>
      </c>
      <c r="M7498" s="64">
        <f>L7498/K7498</f>
        <v/>
      </c>
    </row>
    <row r="7499">
      <c r="A7499" s="58" t="inlineStr">
        <is>
          <t>RT20250706-07498</t>
        </is>
      </c>
      <c r="B7499" s="59" t="inlineStr">
        <is>
          <t>2025-07-06</t>
        </is>
      </c>
      <c r="C7499" s="60" t="inlineStr">
        <is>
          <t>Polar Haircare Max-614</t>
        </is>
      </c>
      <c r="D7499" s="58" t="inlineStr">
        <is>
          <t>Beauty</t>
        </is>
      </c>
      <c r="E7499" s="58" t="inlineStr">
        <is>
          <t>West</t>
        </is>
      </c>
      <c r="F7499" s="61" t="n">
        <v>5</v>
      </c>
      <c r="G7499" s="62" t="n">
        <v>111.34</v>
      </c>
      <c r="H7499" s="63" t="n">
        <v>0.016</v>
      </c>
      <c r="I7499" s="62" t="n">
        <v>70.88</v>
      </c>
      <c r="J7499" s="58" t="inlineStr">
        <is>
          <t>Store</t>
        </is>
      </c>
      <c r="K7499" s="62">
        <f>F7499*(G7499-H7499)</f>
        <v/>
      </c>
      <c r="L7499" s="62">
        <f>K7499-(F7499*I7499)</f>
        <v/>
      </c>
      <c r="M7499" s="64">
        <f>L7499/K7499</f>
        <v/>
      </c>
    </row>
    <row r="7500">
      <c r="A7500" s="58" t="inlineStr">
        <is>
          <t>RT20250706-07499</t>
        </is>
      </c>
      <c r="B7500" s="59" t="inlineStr">
        <is>
          <t>2025-07-06</t>
        </is>
      </c>
      <c r="C7500" s="60" t="inlineStr">
        <is>
          <t>Metro Pantry X-710</t>
        </is>
      </c>
      <c r="D7500" s="58" t="inlineStr">
        <is>
          <t>Grocery</t>
        </is>
      </c>
      <c r="E7500" s="58" t="inlineStr">
        <is>
          <t>North</t>
        </is>
      </c>
      <c r="F7500" s="61" t="n">
        <v>8</v>
      </c>
      <c r="G7500" s="62" t="n">
        <v>5.18</v>
      </c>
      <c r="H7500" s="63" t="n">
        <v>0.098</v>
      </c>
      <c r="I7500" s="62" t="n">
        <v>4.25</v>
      </c>
      <c r="J7500" s="58" t="inlineStr">
        <is>
          <t>Online</t>
        </is>
      </c>
      <c r="K7500" s="62">
        <f>F7500*(G7500-H7500)</f>
        <v/>
      </c>
      <c r="L7500" s="62">
        <f>K7500-(F7500*I7500)</f>
        <v/>
      </c>
      <c r="M7500" s="64">
        <f>L7500/K7500</f>
        <v/>
      </c>
    </row>
    <row r="7501">
      <c r="A7501" s="58" t="inlineStr">
        <is>
          <t>RT20250706-07500</t>
        </is>
      </c>
      <c r="B7501" s="59" t="inlineStr">
        <is>
          <t>2025-07-06</t>
        </is>
      </c>
      <c r="C7501" s="60" t="inlineStr">
        <is>
          <t>Vertex Accessorie Pro-881</t>
        </is>
      </c>
      <c r="D7501" s="58" t="inlineStr">
        <is>
          <t>Apparel</t>
        </is>
      </c>
      <c r="E7501" s="58" t="inlineStr">
        <is>
          <t>East</t>
        </is>
      </c>
      <c r="F7501" s="61" t="n">
        <v>1</v>
      </c>
      <c r="G7501" s="62" t="n">
        <v>110.04</v>
      </c>
      <c r="H7501" s="63" t="n">
        <v>0.045</v>
      </c>
      <c r="I7501" s="62" t="n">
        <v>60.93</v>
      </c>
      <c r="J7501" s="58" t="inlineStr">
        <is>
          <t>Online</t>
        </is>
      </c>
      <c r="K7501" s="62">
        <f>F7501*(G7501-H7501)</f>
        <v/>
      </c>
      <c r="L7501" s="62">
        <f>K7501-(F7501*I7501)</f>
        <v/>
      </c>
      <c r="M7501" s="64">
        <f>L7501/K7501</f>
        <v/>
      </c>
    </row>
    <row r="7502">
      <c r="A7502" s="58" t="inlineStr">
        <is>
          <t>RT20250706-07501</t>
        </is>
      </c>
      <c r="B7502" s="59" t="inlineStr">
        <is>
          <t>2025-07-06</t>
        </is>
      </c>
      <c r="C7502" s="60" t="inlineStr">
        <is>
          <t>Falcon Skincare Max-151</t>
        </is>
      </c>
      <c r="D7502" s="58" t="inlineStr">
        <is>
          <t>Beauty</t>
        </is>
      </c>
      <c r="E7502" s="58" t="inlineStr">
        <is>
          <t>North</t>
        </is>
      </c>
      <c r="F7502" s="61" t="n">
        <v>3</v>
      </c>
      <c r="G7502" s="62" t="n">
        <v>93.40000000000001</v>
      </c>
      <c r="H7502" s="63" t="n">
        <v>0.028</v>
      </c>
      <c r="I7502" s="62" t="n">
        <v>57.78</v>
      </c>
      <c r="J7502" s="58" t="inlineStr">
        <is>
          <t>Online</t>
        </is>
      </c>
      <c r="K7502" s="62">
        <f>F7502*(G7502-H7502)</f>
        <v/>
      </c>
      <c r="L7502" s="62">
        <f>K7502-(F7502*I7502)</f>
        <v/>
      </c>
      <c r="M7502" s="64">
        <f>L7502/K7502</f>
        <v/>
      </c>
    </row>
    <row r="7503">
      <c r="A7503" s="58" t="inlineStr">
        <is>
          <t>RT20250706-07502</t>
        </is>
      </c>
      <c r="B7503" s="59" t="inlineStr">
        <is>
          <t>2025-07-06</t>
        </is>
      </c>
      <c r="C7503" s="60" t="inlineStr">
        <is>
          <t>Vertex Supplie X-513</t>
        </is>
      </c>
      <c r="D7503" s="58" t="inlineStr">
        <is>
          <t>Office</t>
        </is>
      </c>
      <c r="E7503" s="58" t="inlineStr">
        <is>
          <t>North</t>
        </is>
      </c>
      <c r="F7503" s="61" t="n">
        <v>2</v>
      </c>
      <c r="G7503" s="62" t="n">
        <v>362.87</v>
      </c>
      <c r="H7503" s="63" t="n">
        <v>0.083</v>
      </c>
      <c r="I7503" s="62" t="n">
        <v>278.99</v>
      </c>
      <c r="J7503" s="58" t="inlineStr">
        <is>
          <t>Online</t>
        </is>
      </c>
      <c r="K7503" s="62">
        <f>F7503*(G7503-H7503)</f>
        <v/>
      </c>
      <c r="L7503" s="62">
        <f>K7503-(F7503*I7503)</f>
        <v/>
      </c>
      <c r="M7503" s="64">
        <f>L7503/K7503</f>
        <v/>
      </c>
    </row>
    <row r="7504">
      <c r="A7504" s="58" t="inlineStr">
        <is>
          <t>RT20250706-07503</t>
        </is>
      </c>
      <c r="B7504" s="59" t="inlineStr">
        <is>
          <t>2025-07-06</t>
        </is>
      </c>
      <c r="C7504" s="60" t="inlineStr">
        <is>
          <t>Polar Cycling S-223</t>
        </is>
      </c>
      <c r="D7504" s="58" t="inlineStr">
        <is>
          <t>Sports</t>
        </is>
      </c>
      <c r="E7504" s="58" t="inlineStr">
        <is>
          <t>West</t>
        </is>
      </c>
      <c r="F7504" s="61" t="n">
        <v>2</v>
      </c>
      <c r="G7504" s="62" t="n">
        <v>946.53</v>
      </c>
      <c r="H7504" s="63" t="n">
        <v>0.059</v>
      </c>
      <c r="I7504" s="62" t="n">
        <v>618.08</v>
      </c>
      <c r="J7504" s="58" t="inlineStr">
        <is>
          <t>Online</t>
        </is>
      </c>
      <c r="K7504" s="62">
        <f>F7504*(G7504-H7504)</f>
        <v/>
      </c>
      <c r="L7504" s="62">
        <f>K7504-(F7504*I7504)</f>
        <v/>
      </c>
      <c r="M7504" s="64">
        <f>L7504/K7504</f>
        <v/>
      </c>
    </row>
    <row r="7505">
      <c r="A7505" s="58" t="inlineStr">
        <is>
          <t>RT20250706-07504</t>
        </is>
      </c>
      <c r="B7505" s="59" t="inlineStr">
        <is>
          <t>2025-07-06</t>
        </is>
      </c>
      <c r="C7505" s="60" t="inlineStr">
        <is>
          <t>Falcon Headphone Pro-713</t>
        </is>
      </c>
      <c r="D7505" s="58" t="inlineStr">
        <is>
          <t>Electronics</t>
        </is>
      </c>
      <c r="E7505" s="58" t="inlineStr">
        <is>
          <t>East</t>
        </is>
      </c>
      <c r="F7505" s="61" t="n">
        <v>2</v>
      </c>
      <c r="G7505" s="62" t="n">
        <v>1465.8</v>
      </c>
      <c r="H7505" s="63" t="n">
        <v>0.013</v>
      </c>
      <c r="I7505" s="62" t="n">
        <v>1178.3</v>
      </c>
      <c r="J7505" s="58" t="inlineStr">
        <is>
          <t>Online</t>
        </is>
      </c>
      <c r="K7505" s="62">
        <f>F7505*(G7505-H7505)</f>
        <v/>
      </c>
      <c r="L7505" s="62">
        <f>K7505-(F7505*I7505)</f>
        <v/>
      </c>
      <c r="M7505" s="64">
        <f>L7505/K7505</f>
        <v/>
      </c>
    </row>
    <row r="7506">
      <c r="A7506" s="58" t="inlineStr">
        <is>
          <t>RT20250706-07505</t>
        </is>
      </c>
      <c r="B7506" s="59" t="inlineStr">
        <is>
          <t>2025-07-06</t>
        </is>
      </c>
      <c r="C7506" s="60" t="inlineStr">
        <is>
          <t>Metro Pantry Max-180</t>
        </is>
      </c>
      <c r="D7506" s="58" t="inlineStr">
        <is>
          <t>Grocery</t>
        </is>
      </c>
      <c r="E7506" s="58" t="inlineStr">
        <is>
          <t>West</t>
        </is>
      </c>
      <c r="F7506" s="61" t="n">
        <v>8</v>
      </c>
      <c r="G7506" s="62" t="n">
        <v>8.699999999999999</v>
      </c>
      <c r="H7506" s="63" t="n">
        <v>0.083</v>
      </c>
      <c r="I7506" s="62" t="n">
        <v>6.75</v>
      </c>
      <c r="J7506" s="58" t="inlineStr">
        <is>
          <t>Online</t>
        </is>
      </c>
      <c r="K7506" s="62">
        <f>F7506*(G7506-H7506)</f>
        <v/>
      </c>
      <c r="L7506" s="62">
        <f>K7506-(F7506*I7506)</f>
        <v/>
      </c>
      <c r="M7506" s="64">
        <f>L7506/K7506</f>
        <v/>
      </c>
    </row>
    <row r="7507">
      <c r="A7507" s="58" t="inlineStr">
        <is>
          <t>RT20250707-07506</t>
        </is>
      </c>
      <c r="B7507" s="59" t="inlineStr">
        <is>
          <t>2025-07-07</t>
        </is>
      </c>
      <c r="C7507" s="60" t="inlineStr">
        <is>
          <t>Vertex Supplie Pro-786</t>
        </is>
      </c>
      <c r="D7507" s="58" t="inlineStr">
        <is>
          <t>Office</t>
        </is>
      </c>
      <c r="E7507" s="58" t="inlineStr">
        <is>
          <t>Central</t>
        </is>
      </c>
      <c r="F7507" s="61" t="n">
        <v>1</v>
      </c>
      <c r="G7507" s="62" t="n">
        <v>403.51</v>
      </c>
      <c r="H7507" s="63" t="n">
        <v>0</v>
      </c>
      <c r="I7507" s="62" t="n">
        <v>291.39</v>
      </c>
      <c r="J7507" s="58" t="inlineStr">
        <is>
          <t>Online</t>
        </is>
      </c>
      <c r="K7507" s="62">
        <f>F7507*(G7507-H7507)</f>
        <v/>
      </c>
      <c r="L7507" s="62">
        <f>K7507-(F7507*I7507)</f>
        <v/>
      </c>
      <c r="M7507" s="64">
        <f>L7507/K7507</f>
        <v/>
      </c>
    </row>
    <row r="7508">
      <c r="A7508" s="58" t="inlineStr">
        <is>
          <t>RT20250707-07507</t>
        </is>
      </c>
      <c r="B7508" s="59" t="inlineStr">
        <is>
          <t>2025-07-07</t>
        </is>
      </c>
      <c r="C7508" s="60" t="inlineStr">
        <is>
          <t>Falcon Team Sport Lite-268</t>
        </is>
      </c>
      <c r="D7508" s="58" t="inlineStr">
        <is>
          <t>Sports</t>
        </is>
      </c>
      <c r="E7508" s="58" t="inlineStr">
        <is>
          <t>West</t>
        </is>
      </c>
      <c r="F7508" s="61" t="n">
        <v>1</v>
      </c>
      <c r="G7508" s="62" t="n">
        <v>724.11</v>
      </c>
      <c r="H7508" s="63" t="n">
        <v>0.105</v>
      </c>
      <c r="I7508" s="62" t="n">
        <v>429.9</v>
      </c>
      <c r="J7508" s="58" t="inlineStr">
        <is>
          <t>Store</t>
        </is>
      </c>
      <c r="K7508" s="62">
        <f>F7508*(G7508-H7508)</f>
        <v/>
      </c>
      <c r="L7508" s="62">
        <f>K7508-(F7508*I7508)</f>
        <v/>
      </c>
      <c r="M7508" s="64">
        <f>L7508/K7508</f>
        <v/>
      </c>
    </row>
    <row r="7509">
      <c r="A7509" s="58" t="inlineStr">
        <is>
          <t>RT20250707-07508</t>
        </is>
      </c>
      <c r="B7509" s="59" t="inlineStr">
        <is>
          <t>2025-07-07</t>
        </is>
      </c>
      <c r="C7509" s="60" t="inlineStr">
        <is>
          <t>Aurora Smartphone Plus-125</t>
        </is>
      </c>
      <c r="D7509" s="58" t="inlineStr">
        <is>
          <t>Electronics</t>
        </is>
      </c>
      <c r="E7509" s="58" t="inlineStr">
        <is>
          <t>South</t>
        </is>
      </c>
      <c r="F7509" s="61" t="n">
        <v>1</v>
      </c>
      <c r="G7509" s="62" t="n">
        <v>1759.54</v>
      </c>
      <c r="H7509" s="63" t="n">
        <v>0.015</v>
      </c>
      <c r="I7509" s="62" t="n">
        <v>1248.73</v>
      </c>
      <c r="J7509" s="58" t="inlineStr">
        <is>
          <t>Store</t>
        </is>
      </c>
      <c r="K7509" s="62">
        <f>F7509*(G7509-H7509)</f>
        <v/>
      </c>
      <c r="L7509" s="62">
        <f>K7509-(F7509*I7509)</f>
        <v/>
      </c>
      <c r="M7509" s="64">
        <f>L7509/K7509</f>
        <v/>
      </c>
    </row>
    <row r="7510">
      <c r="A7510" s="58" t="inlineStr">
        <is>
          <t>RT20250707-07509</t>
        </is>
      </c>
      <c r="B7510" s="59" t="inlineStr">
        <is>
          <t>2025-07-07</t>
        </is>
      </c>
      <c r="C7510" s="60" t="inlineStr">
        <is>
          <t>Metro Accessorie Lite-697</t>
        </is>
      </c>
      <c r="D7510" s="58" t="inlineStr">
        <is>
          <t>Apparel</t>
        </is>
      </c>
      <c r="E7510" s="58" t="inlineStr">
        <is>
          <t>West</t>
        </is>
      </c>
      <c r="F7510" s="61" t="n">
        <v>2</v>
      </c>
      <c r="G7510" s="62" t="n">
        <v>146.96</v>
      </c>
      <c r="H7510" s="63" t="n">
        <v>0</v>
      </c>
      <c r="I7510" s="62" t="n">
        <v>76.28</v>
      </c>
      <c r="J7510" s="58" t="inlineStr">
        <is>
          <t>Store</t>
        </is>
      </c>
      <c r="K7510" s="62">
        <f>F7510*(G7510-H7510)</f>
        <v/>
      </c>
      <c r="L7510" s="62">
        <f>K7510-(F7510*I7510)</f>
        <v/>
      </c>
      <c r="M7510" s="64">
        <f>L7510/K7510</f>
        <v/>
      </c>
    </row>
    <row r="7511">
      <c r="A7511" s="58" t="inlineStr">
        <is>
          <t>RT20250707-07510</t>
        </is>
      </c>
      <c r="B7511" s="59" t="inlineStr">
        <is>
          <t>2025-07-07</t>
        </is>
      </c>
      <c r="C7511" s="60" t="inlineStr">
        <is>
          <t>Polar Men Pro-246</t>
        </is>
      </c>
      <c r="D7511" s="58" t="inlineStr">
        <is>
          <t>Apparel</t>
        </is>
      </c>
      <c r="E7511" s="58" t="inlineStr">
        <is>
          <t>Central</t>
        </is>
      </c>
      <c r="F7511" s="61" t="n">
        <v>2</v>
      </c>
      <c r="G7511" s="62" t="n">
        <v>142.54</v>
      </c>
      <c r="H7511" s="63" t="n">
        <v>0.058</v>
      </c>
      <c r="I7511" s="62" t="n">
        <v>77.09999999999999</v>
      </c>
      <c r="J7511" s="58" t="inlineStr">
        <is>
          <t>Online</t>
        </is>
      </c>
      <c r="K7511" s="62">
        <f>F7511*(G7511-H7511)</f>
        <v/>
      </c>
      <c r="L7511" s="62">
        <f>K7511-(F7511*I7511)</f>
        <v/>
      </c>
      <c r="M7511" s="64">
        <f>L7511/K7511</f>
        <v/>
      </c>
    </row>
    <row r="7512">
      <c r="A7512" s="58" t="inlineStr">
        <is>
          <t>RT20250707-07511</t>
        </is>
      </c>
      <c r="B7512" s="59" t="inlineStr">
        <is>
          <t>2025-07-07</t>
        </is>
      </c>
      <c r="C7512" s="60" t="inlineStr">
        <is>
          <t>Vertex Accessorie Pro-881</t>
        </is>
      </c>
      <c r="D7512" s="58" t="inlineStr">
        <is>
          <t>Apparel</t>
        </is>
      </c>
      <c r="E7512" s="58" t="inlineStr">
        <is>
          <t>East</t>
        </is>
      </c>
      <c r="F7512" s="61" t="n">
        <v>1</v>
      </c>
      <c r="G7512" s="62" t="n">
        <v>110.33</v>
      </c>
      <c r="H7512" s="63" t="n">
        <v>0.08500000000000001</v>
      </c>
      <c r="I7512" s="62" t="n">
        <v>63.96</v>
      </c>
      <c r="J7512" s="58" t="inlineStr">
        <is>
          <t>Phone</t>
        </is>
      </c>
      <c r="K7512" s="62">
        <f>F7512*(G7512-H7512)</f>
        <v/>
      </c>
      <c r="L7512" s="62">
        <f>K7512-(F7512*I7512)</f>
        <v/>
      </c>
      <c r="M7512" s="64">
        <f>L7512/K7512</f>
        <v/>
      </c>
    </row>
    <row r="7513">
      <c r="A7513" s="58" t="inlineStr">
        <is>
          <t>RT20250707-07512</t>
        </is>
      </c>
      <c r="B7513" s="59" t="inlineStr">
        <is>
          <t>2025-07-07</t>
        </is>
      </c>
      <c r="C7513" s="60" t="inlineStr">
        <is>
          <t>Vertex Supplie Pro-786</t>
        </is>
      </c>
      <c r="D7513" s="58" t="inlineStr">
        <is>
          <t>Office</t>
        </is>
      </c>
      <c r="E7513" s="58" t="inlineStr">
        <is>
          <t>South</t>
        </is>
      </c>
      <c r="F7513" s="61" t="n">
        <v>2</v>
      </c>
      <c r="G7513" s="62" t="n">
        <v>421.15</v>
      </c>
      <c r="H7513" s="63" t="n">
        <v>0.035</v>
      </c>
      <c r="I7513" s="62" t="n">
        <v>298.06</v>
      </c>
      <c r="J7513" s="58" t="inlineStr">
        <is>
          <t>Phone</t>
        </is>
      </c>
      <c r="K7513" s="62">
        <f>F7513*(G7513-H7513)</f>
        <v/>
      </c>
      <c r="L7513" s="62">
        <f>K7513-(F7513*I7513)</f>
        <v/>
      </c>
      <c r="M7513" s="64">
        <f>L7513/K7513</f>
        <v/>
      </c>
    </row>
    <row r="7514">
      <c r="A7514" s="58" t="inlineStr">
        <is>
          <t>RT20250707-07513</t>
        </is>
      </c>
      <c r="B7514" s="59" t="inlineStr">
        <is>
          <t>2025-07-07</t>
        </is>
      </c>
      <c r="C7514" s="60" t="inlineStr">
        <is>
          <t>Orion Snack X-322</t>
        </is>
      </c>
      <c r="D7514" s="58" t="inlineStr">
        <is>
          <t>Grocery</t>
        </is>
      </c>
      <c r="E7514" s="58" t="inlineStr">
        <is>
          <t>North</t>
        </is>
      </c>
      <c r="F7514" s="61" t="n">
        <v>7</v>
      </c>
      <c r="G7514" s="62" t="n">
        <v>14</v>
      </c>
      <c r="H7514" s="63" t="n">
        <v>0.093</v>
      </c>
      <c r="I7514" s="62" t="n">
        <v>10.15</v>
      </c>
      <c r="J7514" s="58" t="inlineStr">
        <is>
          <t>Online</t>
        </is>
      </c>
      <c r="K7514" s="62">
        <f>F7514*(G7514-H7514)</f>
        <v/>
      </c>
      <c r="L7514" s="62">
        <f>K7514-(F7514*I7514)</f>
        <v/>
      </c>
      <c r="M7514" s="64">
        <f>L7514/K7514</f>
        <v/>
      </c>
    </row>
    <row r="7515">
      <c r="A7515" s="58" t="inlineStr">
        <is>
          <t>RT20250707-07514</t>
        </is>
      </c>
      <c r="B7515" s="59" t="inlineStr">
        <is>
          <t>2025-07-07</t>
        </is>
      </c>
      <c r="C7515" s="60" t="inlineStr">
        <is>
          <t>Vertex Printer Max-692</t>
        </is>
      </c>
      <c r="D7515" s="58" t="inlineStr">
        <is>
          <t>Office</t>
        </is>
      </c>
      <c r="E7515" s="58" t="inlineStr">
        <is>
          <t>West</t>
        </is>
      </c>
      <c r="F7515" s="61" t="n">
        <v>2</v>
      </c>
      <c r="G7515" s="62" t="n">
        <v>179.32</v>
      </c>
      <c r="H7515" s="63" t="n">
        <v>0.08500000000000001</v>
      </c>
      <c r="I7515" s="62" t="n">
        <v>125.35</v>
      </c>
      <c r="J7515" s="58" t="inlineStr">
        <is>
          <t>Online</t>
        </is>
      </c>
      <c r="K7515" s="62">
        <f>F7515*(G7515-H7515)</f>
        <v/>
      </c>
      <c r="L7515" s="62">
        <f>K7515-(F7515*I7515)</f>
        <v/>
      </c>
      <c r="M7515" s="64">
        <f>L7515/K7515</f>
        <v/>
      </c>
    </row>
    <row r="7516">
      <c r="A7516" s="58" t="inlineStr">
        <is>
          <t>RT20250707-07515</t>
        </is>
      </c>
      <c r="B7516" s="59" t="inlineStr">
        <is>
          <t>2025-07-07</t>
        </is>
      </c>
      <c r="C7516" s="60" t="inlineStr">
        <is>
          <t>Aurora Wearable Lite-162</t>
        </is>
      </c>
      <c r="D7516" s="58" t="inlineStr">
        <is>
          <t>Electronics</t>
        </is>
      </c>
      <c r="E7516" s="58" t="inlineStr">
        <is>
          <t>South</t>
        </is>
      </c>
      <c r="F7516" s="61" t="n">
        <v>1</v>
      </c>
      <c r="G7516" s="62" t="n">
        <v>1432.69</v>
      </c>
      <c r="H7516" s="63" t="n">
        <v>0.044</v>
      </c>
      <c r="I7516" s="62" t="n">
        <v>1213.41</v>
      </c>
      <c r="J7516" s="58" t="inlineStr">
        <is>
          <t>Store</t>
        </is>
      </c>
      <c r="K7516" s="62">
        <f>F7516*(G7516-H7516)</f>
        <v/>
      </c>
      <c r="L7516" s="62">
        <f>K7516-(F7516*I7516)</f>
        <v/>
      </c>
      <c r="M7516" s="64">
        <f>L7516/K7516</f>
        <v/>
      </c>
    </row>
    <row r="7517">
      <c r="A7517" s="58" t="inlineStr">
        <is>
          <t>RT20250707-07516</t>
        </is>
      </c>
      <c r="B7517" s="59" t="inlineStr">
        <is>
          <t>2025-07-07</t>
        </is>
      </c>
      <c r="C7517" s="60" t="inlineStr">
        <is>
          <t>Falcon Beverage Max-702</t>
        </is>
      </c>
      <c r="D7517" s="58" t="inlineStr">
        <is>
          <t>Grocery</t>
        </is>
      </c>
      <c r="E7517" s="58" t="inlineStr">
        <is>
          <t>East</t>
        </is>
      </c>
      <c r="F7517" s="61" t="n">
        <v>8</v>
      </c>
      <c r="G7517" s="62" t="n">
        <v>29.13</v>
      </c>
      <c r="H7517" s="63" t="n">
        <v>0.023</v>
      </c>
      <c r="I7517" s="62" t="n">
        <v>20.47</v>
      </c>
      <c r="J7517" s="58" t="inlineStr">
        <is>
          <t>Store</t>
        </is>
      </c>
      <c r="K7517" s="62">
        <f>F7517*(G7517-H7517)</f>
        <v/>
      </c>
      <c r="L7517" s="62">
        <f>K7517-(F7517*I7517)</f>
        <v/>
      </c>
      <c r="M7517" s="64">
        <f>L7517/K7517</f>
        <v/>
      </c>
    </row>
    <row r="7518">
      <c r="A7518" s="58" t="inlineStr">
        <is>
          <t>RT20250707-07517</t>
        </is>
      </c>
      <c r="B7518" s="59" t="inlineStr">
        <is>
          <t>2025-07-07</t>
        </is>
      </c>
      <c r="C7518" s="60" t="inlineStr">
        <is>
          <t>Falcon Beverage Max-702</t>
        </is>
      </c>
      <c r="D7518" s="58" t="inlineStr">
        <is>
          <t>Grocery</t>
        </is>
      </c>
      <c r="E7518" s="58" t="inlineStr">
        <is>
          <t>West</t>
        </is>
      </c>
      <c r="F7518" s="61" t="n">
        <v>2</v>
      </c>
      <c r="G7518" s="62" t="n">
        <v>29.19</v>
      </c>
      <c r="H7518" s="63" t="n">
        <v>0.045</v>
      </c>
      <c r="I7518" s="62" t="n">
        <v>20.28</v>
      </c>
      <c r="J7518" s="58" t="inlineStr">
        <is>
          <t>Online</t>
        </is>
      </c>
      <c r="K7518" s="62">
        <f>F7518*(G7518-H7518)</f>
        <v/>
      </c>
      <c r="L7518" s="62">
        <f>K7518-(F7518*I7518)</f>
        <v/>
      </c>
      <c r="M7518" s="64">
        <f>L7518/K7518</f>
        <v/>
      </c>
    </row>
    <row r="7519">
      <c r="A7519" s="58" t="inlineStr">
        <is>
          <t>RT20250707-07518</t>
        </is>
      </c>
      <c r="B7519" s="59" t="inlineStr">
        <is>
          <t>2025-07-07</t>
        </is>
      </c>
      <c r="C7519" s="60" t="inlineStr">
        <is>
          <t>Polar Pantry Lite-392</t>
        </is>
      </c>
      <c r="D7519" s="58" t="inlineStr">
        <is>
          <t>Grocery</t>
        </is>
      </c>
      <c r="E7519" s="58" t="inlineStr">
        <is>
          <t>Central</t>
        </is>
      </c>
      <c r="F7519" s="61" t="n">
        <v>5</v>
      </c>
      <c r="G7519" s="62" t="n">
        <v>6.17</v>
      </c>
      <c r="H7519" s="63" t="n">
        <v>0.024</v>
      </c>
      <c r="I7519" s="62" t="n">
        <v>4.65</v>
      </c>
      <c r="J7519" s="58" t="inlineStr">
        <is>
          <t>Online</t>
        </is>
      </c>
      <c r="K7519" s="62">
        <f>F7519*(G7519-H7519)</f>
        <v/>
      </c>
      <c r="L7519" s="62">
        <f>K7519-(F7519*I7519)</f>
        <v/>
      </c>
      <c r="M7519" s="64">
        <f>L7519/K7519</f>
        <v/>
      </c>
    </row>
    <row r="7520">
      <c r="A7520" s="58" t="inlineStr">
        <is>
          <t>RT20250707-07519</t>
        </is>
      </c>
      <c r="B7520" s="59" t="inlineStr">
        <is>
          <t>2025-07-07</t>
        </is>
      </c>
      <c r="C7520" s="60" t="inlineStr">
        <is>
          <t>Polar Haircare Max-614</t>
        </is>
      </c>
      <c r="D7520" s="58" t="inlineStr">
        <is>
          <t>Beauty</t>
        </is>
      </c>
      <c r="E7520" s="58" t="inlineStr">
        <is>
          <t>South</t>
        </is>
      </c>
      <c r="F7520" s="61" t="n">
        <v>3</v>
      </c>
      <c r="G7520" s="62" t="n">
        <v>111.4</v>
      </c>
      <c r="H7520" s="63" t="n">
        <v>0.08799999999999999</v>
      </c>
      <c r="I7520" s="62" t="n">
        <v>68.45</v>
      </c>
      <c r="J7520" s="58" t="inlineStr">
        <is>
          <t>Online</t>
        </is>
      </c>
      <c r="K7520" s="62">
        <f>F7520*(G7520-H7520)</f>
        <v/>
      </c>
      <c r="L7520" s="62">
        <f>K7520-(F7520*I7520)</f>
        <v/>
      </c>
      <c r="M7520" s="64">
        <f>L7520/K7520</f>
        <v/>
      </c>
    </row>
    <row r="7521">
      <c r="A7521" s="58" t="inlineStr">
        <is>
          <t>RT20250707-07520</t>
        </is>
      </c>
      <c r="B7521" s="59" t="inlineStr">
        <is>
          <t>2025-07-07</t>
        </is>
      </c>
      <c r="C7521" s="60" t="inlineStr">
        <is>
          <t>Orion Kitchen Pro-568</t>
        </is>
      </c>
      <c r="D7521" s="58" t="inlineStr">
        <is>
          <t>Home</t>
        </is>
      </c>
      <c r="E7521" s="58" t="inlineStr">
        <is>
          <t>South</t>
        </is>
      </c>
      <c r="F7521" s="61" t="n">
        <v>3</v>
      </c>
      <c r="G7521" s="62" t="n">
        <v>462.05</v>
      </c>
      <c r="H7521" s="63" t="n">
        <v>0.022</v>
      </c>
      <c r="I7521" s="62" t="n">
        <v>298.85</v>
      </c>
      <c r="J7521" s="58" t="inlineStr">
        <is>
          <t>Store</t>
        </is>
      </c>
      <c r="K7521" s="62">
        <f>F7521*(G7521-H7521)</f>
        <v/>
      </c>
      <c r="L7521" s="62">
        <f>K7521-(F7521*I7521)</f>
        <v/>
      </c>
      <c r="M7521" s="64">
        <f>L7521/K7521</f>
        <v/>
      </c>
    </row>
    <row r="7522">
      <c r="A7522" s="58" t="inlineStr">
        <is>
          <t>RT20250707-07521</t>
        </is>
      </c>
      <c r="B7522" s="59" t="inlineStr">
        <is>
          <t>2025-07-07</t>
        </is>
      </c>
      <c r="C7522" s="60" t="inlineStr">
        <is>
          <t>Falcon Household Plus-172</t>
        </is>
      </c>
      <c r="D7522" s="58" t="inlineStr">
        <is>
          <t>Grocery</t>
        </is>
      </c>
      <c r="E7522" s="58" t="inlineStr">
        <is>
          <t>South</t>
        </is>
      </c>
      <c r="F7522" s="61" t="n">
        <v>6</v>
      </c>
      <c r="G7522" s="62" t="n">
        <v>21.96</v>
      </c>
      <c r="H7522" s="63" t="n">
        <v>0.053</v>
      </c>
      <c r="I7522" s="62" t="n">
        <v>16.26</v>
      </c>
      <c r="J7522" s="58" t="inlineStr">
        <is>
          <t>Store</t>
        </is>
      </c>
      <c r="K7522" s="62">
        <f>F7522*(G7522-H7522)</f>
        <v/>
      </c>
      <c r="L7522" s="62">
        <f>K7522-(F7522*I7522)</f>
        <v/>
      </c>
      <c r="M7522" s="64">
        <f>L7522/K7522</f>
        <v/>
      </c>
    </row>
    <row r="7523">
      <c r="A7523" s="58" t="inlineStr">
        <is>
          <t>RT20250707-07522</t>
        </is>
      </c>
      <c r="B7523" s="59" t="inlineStr">
        <is>
          <t>2025-07-07</t>
        </is>
      </c>
      <c r="C7523" s="60" t="inlineStr">
        <is>
          <t>Solace Kid S-384</t>
        </is>
      </c>
      <c r="D7523" s="58" t="inlineStr">
        <is>
          <t>Apparel</t>
        </is>
      </c>
      <c r="E7523" s="58" t="inlineStr">
        <is>
          <t>South</t>
        </is>
      </c>
      <c r="F7523" s="61" t="n">
        <v>3</v>
      </c>
      <c r="G7523" s="62" t="n">
        <v>117.54</v>
      </c>
      <c r="H7523" s="63" t="n">
        <v>0.056</v>
      </c>
      <c r="I7523" s="62" t="n">
        <v>61.92</v>
      </c>
      <c r="J7523" s="58" t="inlineStr">
        <is>
          <t>Online</t>
        </is>
      </c>
      <c r="K7523" s="62">
        <f>F7523*(G7523-H7523)</f>
        <v/>
      </c>
      <c r="L7523" s="62">
        <f>K7523-(F7523*I7523)</f>
        <v/>
      </c>
      <c r="M7523" s="64">
        <f>L7523/K7523</f>
        <v/>
      </c>
    </row>
    <row r="7524">
      <c r="A7524" s="58" t="inlineStr">
        <is>
          <t>RT20250707-07523</t>
        </is>
      </c>
      <c r="B7524" s="59" t="inlineStr">
        <is>
          <t>2025-07-07</t>
        </is>
      </c>
      <c r="C7524" s="60" t="inlineStr">
        <is>
          <t>Polar Outdoor X-193</t>
        </is>
      </c>
      <c r="D7524" s="58" t="inlineStr">
        <is>
          <t>Sports</t>
        </is>
      </c>
      <c r="E7524" s="58" t="inlineStr">
        <is>
          <t>East</t>
        </is>
      </c>
      <c r="F7524" s="61" t="n">
        <v>1</v>
      </c>
      <c r="G7524" s="62" t="n">
        <v>662.88</v>
      </c>
      <c r="H7524" s="63" t="n">
        <v>0.023</v>
      </c>
      <c r="I7524" s="62" t="n">
        <v>442.26</v>
      </c>
      <c r="J7524" s="58" t="inlineStr">
        <is>
          <t>Online</t>
        </is>
      </c>
      <c r="K7524" s="62">
        <f>F7524*(G7524-H7524)</f>
        <v/>
      </c>
      <c r="L7524" s="62">
        <f>K7524-(F7524*I7524)</f>
        <v/>
      </c>
      <c r="M7524" s="64">
        <f>L7524/K7524</f>
        <v/>
      </c>
    </row>
    <row r="7525">
      <c r="A7525" s="58" t="inlineStr">
        <is>
          <t>RT20250707-07524</t>
        </is>
      </c>
      <c r="B7525" s="59" t="inlineStr">
        <is>
          <t>2025-07-07</t>
        </is>
      </c>
      <c r="C7525" s="60" t="inlineStr">
        <is>
          <t>Aurora Furniture X-709</t>
        </is>
      </c>
      <c r="D7525" s="58" t="inlineStr">
        <is>
          <t>Office</t>
        </is>
      </c>
      <c r="E7525" s="58" t="inlineStr">
        <is>
          <t>East</t>
        </is>
      </c>
      <c r="F7525" s="61" t="n">
        <v>1</v>
      </c>
      <c r="G7525" s="62" t="n">
        <v>382.59</v>
      </c>
      <c r="H7525" s="63" t="n">
        <v>0.065</v>
      </c>
      <c r="I7525" s="62" t="n">
        <v>300.99</v>
      </c>
      <c r="J7525" s="58" t="inlineStr">
        <is>
          <t>Online</t>
        </is>
      </c>
      <c r="K7525" s="62">
        <f>F7525*(G7525-H7525)</f>
        <v/>
      </c>
      <c r="L7525" s="62">
        <f>K7525-(F7525*I7525)</f>
        <v/>
      </c>
      <c r="M7525" s="64">
        <f>L7525/K7525</f>
        <v/>
      </c>
    </row>
    <row r="7526">
      <c r="A7526" s="58" t="inlineStr">
        <is>
          <t>RT20250707-07525</t>
        </is>
      </c>
      <c r="B7526" s="59" t="inlineStr">
        <is>
          <t>2025-07-07</t>
        </is>
      </c>
      <c r="C7526" s="60" t="inlineStr">
        <is>
          <t>Solace Bedding Plus-317</t>
        </is>
      </c>
      <c r="D7526" s="58" t="inlineStr">
        <is>
          <t>Home</t>
        </is>
      </c>
      <c r="E7526" s="58" t="inlineStr">
        <is>
          <t>Central</t>
        </is>
      </c>
      <c r="F7526" s="61" t="n">
        <v>2</v>
      </c>
      <c r="G7526" s="62" t="n">
        <v>550.78</v>
      </c>
      <c r="H7526" s="63" t="n">
        <v>0.049</v>
      </c>
      <c r="I7526" s="62" t="n">
        <v>388.4</v>
      </c>
      <c r="J7526" s="58" t="inlineStr">
        <is>
          <t>Online</t>
        </is>
      </c>
      <c r="K7526" s="62">
        <f>F7526*(G7526-H7526)</f>
        <v/>
      </c>
      <c r="L7526" s="62">
        <f>K7526-(F7526*I7526)</f>
        <v/>
      </c>
      <c r="M7526" s="64">
        <f>L7526/K7526</f>
        <v/>
      </c>
    </row>
    <row r="7527">
      <c r="A7527" s="58" t="inlineStr">
        <is>
          <t>RT20250707-07526</t>
        </is>
      </c>
      <c r="B7527" s="59" t="inlineStr">
        <is>
          <t>2025-07-07</t>
        </is>
      </c>
      <c r="C7527" s="60" t="inlineStr">
        <is>
          <t>Polar Haircare Max-614</t>
        </is>
      </c>
      <c r="D7527" s="58" t="inlineStr">
        <is>
          <t>Beauty</t>
        </is>
      </c>
      <c r="E7527" s="58" t="inlineStr">
        <is>
          <t>East</t>
        </is>
      </c>
      <c r="F7527" s="61" t="n">
        <v>5</v>
      </c>
      <c r="G7527" s="62" t="n">
        <v>101.8</v>
      </c>
      <c r="H7527" s="63" t="n">
        <v>0.037</v>
      </c>
      <c r="I7527" s="62" t="n">
        <v>69.03</v>
      </c>
      <c r="J7527" s="58" t="inlineStr">
        <is>
          <t>Online</t>
        </is>
      </c>
      <c r="K7527" s="62">
        <f>F7527*(G7527-H7527)</f>
        <v/>
      </c>
      <c r="L7527" s="62">
        <f>K7527-(F7527*I7527)</f>
        <v/>
      </c>
      <c r="M7527" s="64">
        <f>L7527/K7527</f>
        <v/>
      </c>
    </row>
    <row r="7528">
      <c r="A7528" s="58" t="inlineStr">
        <is>
          <t>RT20250707-07527</t>
        </is>
      </c>
      <c r="B7528" s="59" t="inlineStr">
        <is>
          <t>2025-07-07</t>
        </is>
      </c>
      <c r="C7528" s="60" t="inlineStr">
        <is>
          <t>Falcon Wearable X-334</t>
        </is>
      </c>
      <c r="D7528" s="58" t="inlineStr">
        <is>
          <t>Electronics</t>
        </is>
      </c>
      <c r="E7528" s="58" t="inlineStr">
        <is>
          <t>West</t>
        </is>
      </c>
      <c r="F7528" s="61" t="n">
        <v>1</v>
      </c>
      <c r="G7528" s="62" t="n">
        <v>1923.44</v>
      </c>
      <c r="H7528" s="63" t="n">
        <v>0.092</v>
      </c>
      <c r="I7528" s="62" t="n">
        <v>1501.6</v>
      </c>
      <c r="J7528" s="58" t="inlineStr">
        <is>
          <t>Store</t>
        </is>
      </c>
      <c r="K7528" s="62">
        <f>F7528*(G7528-H7528)</f>
        <v/>
      </c>
      <c r="L7528" s="62">
        <f>K7528-(F7528*I7528)</f>
        <v/>
      </c>
      <c r="M7528" s="64">
        <f>L7528/K7528</f>
        <v/>
      </c>
    </row>
    <row r="7529">
      <c r="A7529" s="58" t="inlineStr">
        <is>
          <t>RT20250707-07528</t>
        </is>
      </c>
      <c r="B7529" s="59" t="inlineStr">
        <is>
          <t>2025-07-07</t>
        </is>
      </c>
      <c r="C7529" s="60" t="inlineStr">
        <is>
          <t>Polar Outdoor Lite-318</t>
        </is>
      </c>
      <c r="D7529" s="58" t="inlineStr">
        <is>
          <t>Sports</t>
        </is>
      </c>
      <c r="E7529" s="58" t="inlineStr">
        <is>
          <t>Central</t>
        </is>
      </c>
      <c r="F7529" s="61" t="n">
        <v>1</v>
      </c>
      <c r="G7529" s="62" t="n">
        <v>802.64</v>
      </c>
      <c r="H7529" s="63" t="n">
        <v>0.091</v>
      </c>
      <c r="I7529" s="62" t="n">
        <v>454.43</v>
      </c>
      <c r="J7529" s="58" t="inlineStr">
        <is>
          <t>Online</t>
        </is>
      </c>
      <c r="K7529" s="62">
        <f>F7529*(G7529-H7529)</f>
        <v/>
      </c>
      <c r="L7529" s="62">
        <f>K7529-(F7529*I7529)</f>
        <v/>
      </c>
      <c r="M7529" s="64">
        <f>L7529/K7529</f>
        <v/>
      </c>
    </row>
    <row r="7530">
      <c r="A7530" s="58" t="inlineStr">
        <is>
          <t>RT20250707-07529</t>
        </is>
      </c>
      <c r="B7530" s="59" t="inlineStr">
        <is>
          <t>2025-07-07</t>
        </is>
      </c>
      <c r="C7530" s="60" t="inlineStr">
        <is>
          <t>Solace Makeup Pro-214</t>
        </is>
      </c>
      <c r="D7530" s="58" t="inlineStr">
        <is>
          <t>Beauty</t>
        </is>
      </c>
      <c r="E7530" s="58" t="inlineStr">
        <is>
          <t>Central</t>
        </is>
      </c>
      <c r="F7530" s="61" t="n">
        <v>3</v>
      </c>
      <c r="G7530" s="62" t="n">
        <v>109.47</v>
      </c>
      <c r="H7530" s="63" t="n">
        <v>0.08</v>
      </c>
      <c r="I7530" s="62" t="n">
        <v>67.95999999999999</v>
      </c>
      <c r="J7530" s="58" t="inlineStr">
        <is>
          <t>Phone</t>
        </is>
      </c>
      <c r="K7530" s="62">
        <f>F7530*(G7530-H7530)</f>
        <v/>
      </c>
      <c r="L7530" s="62">
        <f>K7530-(F7530*I7530)</f>
        <v/>
      </c>
      <c r="M7530" s="64">
        <f>L7530/K7530</f>
        <v/>
      </c>
    </row>
    <row r="7531">
      <c r="A7531" s="58" t="inlineStr">
        <is>
          <t>RT20250707-07530</t>
        </is>
      </c>
      <c r="B7531" s="59" t="inlineStr">
        <is>
          <t>2025-07-07</t>
        </is>
      </c>
      <c r="C7531" s="60" t="inlineStr">
        <is>
          <t>Vertex Pantry Pro-165</t>
        </is>
      </c>
      <c r="D7531" s="58" t="inlineStr">
        <is>
          <t>Grocery</t>
        </is>
      </c>
      <c r="E7531" s="58" t="inlineStr">
        <is>
          <t>West</t>
        </is>
      </c>
      <c r="F7531" s="61" t="n">
        <v>8</v>
      </c>
      <c r="G7531" s="62" t="n">
        <v>16.69</v>
      </c>
      <c r="H7531" s="63" t="n">
        <v>0.026</v>
      </c>
      <c r="I7531" s="62" t="n">
        <v>11.77</v>
      </c>
      <c r="J7531" s="58" t="inlineStr">
        <is>
          <t>Online</t>
        </is>
      </c>
      <c r="K7531" s="62">
        <f>F7531*(G7531-H7531)</f>
        <v/>
      </c>
      <c r="L7531" s="62">
        <f>K7531-(F7531*I7531)</f>
        <v/>
      </c>
      <c r="M7531" s="64">
        <f>L7531/K7531</f>
        <v/>
      </c>
    </row>
    <row r="7532">
      <c r="A7532" s="58" t="inlineStr">
        <is>
          <t>RT20250707-07531</t>
        </is>
      </c>
      <c r="B7532" s="59" t="inlineStr">
        <is>
          <t>2025-07-07</t>
        </is>
      </c>
      <c r="C7532" s="60" t="inlineStr">
        <is>
          <t>Metro Decor Lite-325</t>
        </is>
      </c>
      <c r="D7532" s="58" t="inlineStr">
        <is>
          <t>Home</t>
        </is>
      </c>
      <c r="E7532" s="58" t="inlineStr">
        <is>
          <t>South</t>
        </is>
      </c>
      <c r="F7532" s="61" t="n">
        <v>3</v>
      </c>
      <c r="G7532" s="62" t="n">
        <v>543.49</v>
      </c>
      <c r="H7532" s="63" t="n">
        <v>0.091</v>
      </c>
      <c r="I7532" s="62" t="n">
        <v>377.65</v>
      </c>
      <c r="J7532" s="58" t="inlineStr">
        <is>
          <t>Phone</t>
        </is>
      </c>
      <c r="K7532" s="62">
        <f>F7532*(G7532-H7532)</f>
        <v/>
      </c>
      <c r="L7532" s="62">
        <f>K7532-(F7532*I7532)</f>
        <v/>
      </c>
      <c r="M7532" s="64">
        <f>L7532/K7532</f>
        <v/>
      </c>
    </row>
    <row r="7533">
      <c r="A7533" s="58" t="inlineStr">
        <is>
          <t>RT20250708-07532</t>
        </is>
      </c>
      <c r="B7533" s="59" t="inlineStr">
        <is>
          <t>2025-07-08</t>
        </is>
      </c>
      <c r="C7533" s="60" t="inlineStr">
        <is>
          <t>Aurora Wearable Lite-704</t>
        </is>
      </c>
      <c r="D7533" s="58" t="inlineStr">
        <is>
          <t>Electronics</t>
        </is>
      </c>
      <c r="E7533" s="58" t="inlineStr">
        <is>
          <t>South</t>
        </is>
      </c>
      <c r="F7533" s="61" t="n">
        <v>2</v>
      </c>
      <c r="G7533" s="62" t="n">
        <v>2021.31</v>
      </c>
      <c r="H7533" s="63" t="n">
        <v>0.057</v>
      </c>
      <c r="I7533" s="62" t="n">
        <v>1484.02</v>
      </c>
      <c r="J7533" s="58" t="inlineStr">
        <is>
          <t>Store</t>
        </is>
      </c>
      <c r="K7533" s="62">
        <f>F7533*(G7533-H7533)</f>
        <v/>
      </c>
      <c r="L7533" s="62">
        <f>K7533-(F7533*I7533)</f>
        <v/>
      </c>
      <c r="M7533" s="64">
        <f>L7533/K7533</f>
        <v/>
      </c>
    </row>
    <row r="7534">
      <c r="A7534" s="58" t="inlineStr">
        <is>
          <t>RT20250708-07533</t>
        </is>
      </c>
      <c r="B7534" s="59" t="inlineStr">
        <is>
          <t>2025-07-08</t>
        </is>
      </c>
      <c r="C7534" s="60" t="inlineStr">
        <is>
          <t>Vertex Headphone Pro-801</t>
        </is>
      </c>
      <c r="D7534" s="58" t="inlineStr">
        <is>
          <t>Electronics</t>
        </is>
      </c>
      <c r="E7534" s="58" t="inlineStr">
        <is>
          <t>North</t>
        </is>
      </c>
      <c r="F7534" s="61" t="n">
        <v>1</v>
      </c>
      <c r="G7534" s="62" t="n">
        <v>1230.3</v>
      </c>
      <c r="H7534" s="63" t="n">
        <v>0.018</v>
      </c>
      <c r="I7534" s="62" t="n">
        <v>998.42</v>
      </c>
      <c r="J7534" s="58" t="inlineStr">
        <is>
          <t>Online</t>
        </is>
      </c>
      <c r="K7534" s="62">
        <f>F7534*(G7534-H7534)</f>
        <v/>
      </c>
      <c r="L7534" s="62">
        <f>K7534-(F7534*I7534)</f>
        <v/>
      </c>
      <c r="M7534" s="64">
        <f>L7534/K7534</f>
        <v/>
      </c>
    </row>
    <row r="7535">
      <c r="A7535" s="58" t="inlineStr">
        <is>
          <t>RT20250708-07534</t>
        </is>
      </c>
      <c r="B7535" s="59" t="inlineStr">
        <is>
          <t>2025-07-08</t>
        </is>
      </c>
      <c r="C7535" s="60" t="inlineStr">
        <is>
          <t>Vertex Appliance Max-338</t>
        </is>
      </c>
      <c r="D7535" s="58" t="inlineStr">
        <is>
          <t>Home</t>
        </is>
      </c>
      <c r="E7535" s="58" t="inlineStr">
        <is>
          <t>West</t>
        </is>
      </c>
      <c r="F7535" s="61" t="n">
        <v>3</v>
      </c>
      <c r="G7535" s="62" t="n">
        <v>420.49</v>
      </c>
      <c r="H7535" s="63" t="n">
        <v>0.036</v>
      </c>
      <c r="I7535" s="62" t="n">
        <v>284.89</v>
      </c>
      <c r="J7535" s="58" t="inlineStr">
        <is>
          <t>Store</t>
        </is>
      </c>
      <c r="K7535" s="62">
        <f>F7535*(G7535-H7535)</f>
        <v/>
      </c>
      <c r="L7535" s="62">
        <f>K7535-(F7535*I7535)</f>
        <v/>
      </c>
      <c r="M7535" s="64">
        <f>L7535/K7535</f>
        <v/>
      </c>
    </row>
    <row r="7536">
      <c r="A7536" s="58" t="inlineStr">
        <is>
          <t>RT20250708-07535</t>
        </is>
      </c>
      <c r="B7536" s="59" t="inlineStr">
        <is>
          <t>2025-07-08</t>
        </is>
      </c>
      <c r="C7536" s="60" t="inlineStr">
        <is>
          <t>Solace Kid S-384</t>
        </is>
      </c>
      <c r="D7536" s="58" t="inlineStr">
        <is>
          <t>Apparel</t>
        </is>
      </c>
      <c r="E7536" s="58" t="inlineStr">
        <is>
          <t>East</t>
        </is>
      </c>
      <c r="F7536" s="61" t="n">
        <v>2</v>
      </c>
      <c r="G7536" s="62" t="n">
        <v>113.61</v>
      </c>
      <c r="H7536" s="63" t="n">
        <v>0.083</v>
      </c>
      <c r="I7536" s="62" t="n">
        <v>62.2</v>
      </c>
      <c r="J7536" s="58" t="inlineStr">
        <is>
          <t>Store</t>
        </is>
      </c>
      <c r="K7536" s="62">
        <f>F7536*(G7536-H7536)</f>
        <v/>
      </c>
      <c r="L7536" s="62">
        <f>K7536-(F7536*I7536)</f>
        <v/>
      </c>
      <c r="M7536" s="64">
        <f>L7536/K7536</f>
        <v/>
      </c>
    </row>
    <row r="7537">
      <c r="A7537" s="58" t="inlineStr">
        <is>
          <t>RT20250708-07536</t>
        </is>
      </c>
      <c r="B7537" s="59" t="inlineStr">
        <is>
          <t>2025-07-08</t>
        </is>
      </c>
      <c r="C7537" s="60" t="inlineStr">
        <is>
          <t>Vertex Decor Pro-618</t>
        </is>
      </c>
      <c r="D7537" s="58" t="inlineStr">
        <is>
          <t>Home</t>
        </is>
      </c>
      <c r="E7537" s="58" t="inlineStr">
        <is>
          <t>South</t>
        </is>
      </c>
      <c r="F7537" s="61" t="n">
        <v>1</v>
      </c>
      <c r="G7537" s="62" t="n">
        <v>461.08</v>
      </c>
      <c r="H7537" s="63" t="n">
        <v>0.067</v>
      </c>
      <c r="I7537" s="62" t="n">
        <v>371.76</v>
      </c>
      <c r="J7537" s="58" t="inlineStr">
        <is>
          <t>Store</t>
        </is>
      </c>
      <c r="K7537" s="62">
        <f>F7537*(G7537-H7537)</f>
        <v/>
      </c>
      <c r="L7537" s="62">
        <f>K7537-(F7537*I7537)</f>
        <v/>
      </c>
      <c r="M7537" s="64">
        <f>L7537/K7537</f>
        <v/>
      </c>
    </row>
    <row r="7538">
      <c r="A7538" s="58" t="inlineStr">
        <is>
          <t>RT20250708-07537</t>
        </is>
      </c>
      <c r="B7538" s="59" t="inlineStr">
        <is>
          <t>2025-07-08</t>
        </is>
      </c>
      <c r="C7538" s="60" t="inlineStr">
        <is>
          <t>Polar Cycling X-649</t>
        </is>
      </c>
      <c r="D7538" s="58" t="inlineStr">
        <is>
          <t>Sports</t>
        </is>
      </c>
      <c r="E7538" s="58" t="inlineStr">
        <is>
          <t>South</t>
        </is>
      </c>
      <c r="F7538" s="61" t="n">
        <v>2</v>
      </c>
      <c r="G7538" s="62" t="n">
        <v>595.95</v>
      </c>
      <c r="H7538" s="63" t="n">
        <v>0.027</v>
      </c>
      <c r="I7538" s="62" t="n">
        <v>364.35</v>
      </c>
      <c r="J7538" s="58" t="inlineStr">
        <is>
          <t>Online</t>
        </is>
      </c>
      <c r="K7538" s="62">
        <f>F7538*(G7538-H7538)</f>
        <v/>
      </c>
      <c r="L7538" s="62">
        <f>K7538-(F7538*I7538)</f>
        <v/>
      </c>
      <c r="M7538" s="64">
        <f>L7538/K7538</f>
        <v/>
      </c>
    </row>
    <row r="7539">
      <c r="A7539" s="58" t="inlineStr">
        <is>
          <t>RT20250708-07538</t>
        </is>
      </c>
      <c r="B7539" s="59" t="inlineStr">
        <is>
          <t>2025-07-08</t>
        </is>
      </c>
      <c r="C7539" s="60" t="inlineStr">
        <is>
          <t>Vertex Supplie Pro-786</t>
        </is>
      </c>
      <c r="D7539" s="58" t="inlineStr">
        <is>
          <t>Office</t>
        </is>
      </c>
      <c r="E7539" s="58" t="inlineStr">
        <is>
          <t>South</t>
        </is>
      </c>
      <c r="F7539" s="61" t="n">
        <v>1</v>
      </c>
      <c r="G7539" s="62" t="n">
        <v>381.4</v>
      </c>
      <c r="H7539" s="63" t="n">
        <v>0.055</v>
      </c>
      <c r="I7539" s="62" t="n">
        <v>287.15</v>
      </c>
      <c r="J7539" s="58" t="inlineStr">
        <is>
          <t>Online</t>
        </is>
      </c>
      <c r="K7539" s="62">
        <f>F7539*(G7539-H7539)</f>
        <v/>
      </c>
      <c r="L7539" s="62">
        <f>K7539-(F7539*I7539)</f>
        <v/>
      </c>
      <c r="M7539" s="64">
        <f>L7539/K7539</f>
        <v/>
      </c>
    </row>
    <row r="7540">
      <c r="A7540" s="58" t="inlineStr">
        <is>
          <t>RT20250708-07539</t>
        </is>
      </c>
      <c r="B7540" s="59" t="inlineStr">
        <is>
          <t>2025-07-08</t>
        </is>
      </c>
      <c r="C7540" s="60" t="inlineStr">
        <is>
          <t>Metro Wearable Plus-234</t>
        </is>
      </c>
      <c r="D7540" s="58" t="inlineStr">
        <is>
          <t>Electronics</t>
        </is>
      </c>
      <c r="E7540" s="58" t="inlineStr">
        <is>
          <t>East</t>
        </is>
      </c>
      <c r="F7540" s="61" t="n">
        <v>1</v>
      </c>
      <c r="G7540" s="62" t="n">
        <v>1524.6</v>
      </c>
      <c r="H7540" s="63" t="n">
        <v>0.08500000000000001</v>
      </c>
      <c r="I7540" s="62" t="n">
        <v>1171.19</v>
      </c>
      <c r="J7540" s="58" t="inlineStr">
        <is>
          <t>Store</t>
        </is>
      </c>
      <c r="K7540" s="62">
        <f>F7540*(G7540-H7540)</f>
        <v/>
      </c>
      <c r="L7540" s="62">
        <f>K7540-(F7540*I7540)</f>
        <v/>
      </c>
      <c r="M7540" s="64">
        <f>L7540/K7540</f>
        <v/>
      </c>
    </row>
    <row r="7541">
      <c r="A7541" s="58" t="inlineStr">
        <is>
          <t>RT20250708-07540</t>
        </is>
      </c>
      <c r="B7541" s="59" t="inlineStr">
        <is>
          <t>2025-07-08</t>
        </is>
      </c>
      <c r="C7541" s="60" t="inlineStr">
        <is>
          <t>Aurora Makeup S-626</t>
        </is>
      </c>
      <c r="D7541" s="58" t="inlineStr">
        <is>
          <t>Beauty</t>
        </is>
      </c>
      <c r="E7541" s="58" t="inlineStr">
        <is>
          <t>North</t>
        </is>
      </c>
      <c r="F7541" s="61" t="n">
        <v>2</v>
      </c>
      <c r="G7541" s="62" t="n">
        <v>106.78</v>
      </c>
      <c r="H7541" s="63" t="n">
        <v>0.037</v>
      </c>
      <c r="I7541" s="62" t="n">
        <v>65.13</v>
      </c>
      <c r="J7541" s="58" t="inlineStr">
        <is>
          <t>Store</t>
        </is>
      </c>
      <c r="K7541" s="62">
        <f>F7541*(G7541-H7541)</f>
        <v/>
      </c>
      <c r="L7541" s="62">
        <f>K7541-(F7541*I7541)</f>
        <v/>
      </c>
      <c r="M7541" s="64">
        <f>L7541/K7541</f>
        <v/>
      </c>
    </row>
    <row r="7542">
      <c r="A7542" s="58" t="inlineStr">
        <is>
          <t>RT20250708-07541</t>
        </is>
      </c>
      <c r="B7542" s="59" t="inlineStr">
        <is>
          <t>2025-07-08</t>
        </is>
      </c>
      <c r="C7542" s="60" t="inlineStr">
        <is>
          <t>Falcon Accessorie S-195</t>
        </is>
      </c>
      <c r="D7542" s="58" t="inlineStr">
        <is>
          <t>Apparel</t>
        </is>
      </c>
      <c r="E7542" s="58" t="inlineStr">
        <is>
          <t>East</t>
        </is>
      </c>
      <c r="F7542" s="61" t="n">
        <v>4</v>
      </c>
      <c r="G7542" s="62" t="n">
        <v>81.67</v>
      </c>
      <c r="H7542" s="63" t="n">
        <v>0.068</v>
      </c>
      <c r="I7542" s="62" t="n">
        <v>42.8</v>
      </c>
      <c r="J7542" s="58" t="inlineStr">
        <is>
          <t>Online</t>
        </is>
      </c>
      <c r="K7542" s="62">
        <f>F7542*(G7542-H7542)</f>
        <v/>
      </c>
      <c r="L7542" s="62">
        <f>K7542-(F7542*I7542)</f>
        <v/>
      </c>
      <c r="M7542" s="64">
        <f>L7542/K7542</f>
        <v/>
      </c>
    </row>
    <row r="7543">
      <c r="A7543" s="58" t="inlineStr">
        <is>
          <t>RT20250708-07542</t>
        </is>
      </c>
      <c r="B7543" s="59" t="inlineStr">
        <is>
          <t>2025-07-08</t>
        </is>
      </c>
      <c r="C7543" s="60" t="inlineStr">
        <is>
          <t>Metro Wearable Plus-234</t>
        </is>
      </c>
      <c r="D7543" s="58" t="inlineStr">
        <is>
          <t>Electronics</t>
        </is>
      </c>
      <c r="E7543" s="58" t="inlineStr">
        <is>
          <t>South</t>
        </is>
      </c>
      <c r="F7543" s="61" t="n">
        <v>1</v>
      </c>
      <c r="G7543" s="62" t="n">
        <v>1393.25</v>
      </c>
      <c r="H7543" s="63" t="n">
        <v>0.06900000000000001</v>
      </c>
      <c r="I7543" s="62" t="n">
        <v>1156.48</v>
      </c>
      <c r="J7543" s="58" t="inlineStr">
        <is>
          <t>Online</t>
        </is>
      </c>
      <c r="K7543" s="62">
        <f>F7543*(G7543-H7543)</f>
        <v/>
      </c>
      <c r="L7543" s="62">
        <f>K7543-(F7543*I7543)</f>
        <v/>
      </c>
      <c r="M7543" s="64">
        <f>L7543/K7543</f>
        <v/>
      </c>
    </row>
    <row r="7544">
      <c r="A7544" s="58" t="inlineStr">
        <is>
          <t>RT20250708-07543</t>
        </is>
      </c>
      <c r="B7544" s="59" t="inlineStr">
        <is>
          <t>2025-07-08</t>
        </is>
      </c>
      <c r="C7544" s="60" t="inlineStr">
        <is>
          <t>Aurora Wearable Lite-162</t>
        </is>
      </c>
      <c r="D7544" s="58" t="inlineStr">
        <is>
          <t>Electronics</t>
        </is>
      </c>
      <c r="E7544" s="58" t="inlineStr">
        <is>
          <t>Central</t>
        </is>
      </c>
      <c r="F7544" s="61" t="n">
        <v>1</v>
      </c>
      <c r="G7544" s="62" t="n">
        <v>1457.54</v>
      </c>
      <c r="H7544" s="63" t="n">
        <v>0.065</v>
      </c>
      <c r="I7544" s="62" t="n">
        <v>1200.9</v>
      </c>
      <c r="J7544" s="58" t="inlineStr">
        <is>
          <t>Store</t>
        </is>
      </c>
      <c r="K7544" s="62">
        <f>F7544*(G7544-H7544)</f>
        <v/>
      </c>
      <c r="L7544" s="62">
        <f>K7544-(F7544*I7544)</f>
        <v/>
      </c>
      <c r="M7544" s="64">
        <f>L7544/K7544</f>
        <v/>
      </c>
    </row>
    <row r="7545">
      <c r="A7545" s="58" t="inlineStr">
        <is>
          <t>RT20250708-07544</t>
        </is>
      </c>
      <c r="B7545" s="59" t="inlineStr">
        <is>
          <t>2025-07-08</t>
        </is>
      </c>
      <c r="C7545" s="60" t="inlineStr">
        <is>
          <t>Vertex Appliance S-296</t>
        </is>
      </c>
      <c r="D7545" s="58" t="inlineStr">
        <is>
          <t>Home</t>
        </is>
      </c>
      <c r="E7545" s="58" t="inlineStr">
        <is>
          <t>Central</t>
        </is>
      </c>
      <c r="F7545" s="61" t="n">
        <v>3</v>
      </c>
      <c r="G7545" s="62" t="n">
        <v>499.99</v>
      </c>
      <c r="H7545" s="63" t="n">
        <v>0.05</v>
      </c>
      <c r="I7545" s="62" t="n">
        <v>355.22</v>
      </c>
      <c r="J7545" s="58" t="inlineStr">
        <is>
          <t>Store</t>
        </is>
      </c>
      <c r="K7545" s="62">
        <f>F7545*(G7545-H7545)</f>
        <v/>
      </c>
      <c r="L7545" s="62">
        <f>K7545-(F7545*I7545)</f>
        <v/>
      </c>
      <c r="M7545" s="64">
        <f>L7545/K7545</f>
        <v/>
      </c>
    </row>
    <row r="7546">
      <c r="A7546" s="58" t="inlineStr">
        <is>
          <t>RT20250708-07545</t>
        </is>
      </c>
      <c r="B7546" s="59" t="inlineStr">
        <is>
          <t>2025-07-08</t>
        </is>
      </c>
      <c r="C7546" s="60" t="inlineStr">
        <is>
          <t>Nimbus Furniture Pro-479</t>
        </is>
      </c>
      <c r="D7546" s="58" t="inlineStr">
        <is>
          <t>Office</t>
        </is>
      </c>
      <c r="E7546" s="58" t="inlineStr">
        <is>
          <t>Central</t>
        </is>
      </c>
      <c r="F7546" s="61" t="n">
        <v>1</v>
      </c>
      <c r="G7546" s="62" t="n">
        <v>324.45</v>
      </c>
      <c r="H7546" s="63" t="n">
        <v>0.019</v>
      </c>
      <c r="I7546" s="62" t="n">
        <v>243.18</v>
      </c>
      <c r="J7546" s="58" t="inlineStr">
        <is>
          <t>Online</t>
        </is>
      </c>
      <c r="K7546" s="62">
        <f>F7546*(G7546-H7546)</f>
        <v/>
      </c>
      <c r="L7546" s="62">
        <f>K7546-(F7546*I7546)</f>
        <v/>
      </c>
      <c r="M7546" s="64">
        <f>L7546/K7546</f>
        <v/>
      </c>
    </row>
    <row r="7547">
      <c r="A7547" s="58" t="inlineStr">
        <is>
          <t>RT20250708-07546</t>
        </is>
      </c>
      <c r="B7547" s="59" t="inlineStr">
        <is>
          <t>2025-07-08</t>
        </is>
      </c>
      <c r="C7547" s="60" t="inlineStr">
        <is>
          <t>Vertex Furniture S-652</t>
        </is>
      </c>
      <c r="D7547" s="58" t="inlineStr">
        <is>
          <t>Office</t>
        </is>
      </c>
      <c r="E7547" s="58" t="inlineStr">
        <is>
          <t>North</t>
        </is>
      </c>
      <c r="F7547" s="61" t="n">
        <v>3</v>
      </c>
      <c r="G7547" s="62" t="n">
        <v>422.67</v>
      </c>
      <c r="H7547" s="63" t="n">
        <v>0.064</v>
      </c>
      <c r="I7547" s="62" t="n">
        <v>269.1</v>
      </c>
      <c r="J7547" s="58" t="inlineStr">
        <is>
          <t>Store</t>
        </is>
      </c>
      <c r="K7547" s="62">
        <f>F7547*(G7547-H7547)</f>
        <v/>
      </c>
      <c r="L7547" s="62">
        <f>K7547-(F7547*I7547)</f>
        <v/>
      </c>
      <c r="M7547" s="64">
        <f>L7547/K7547</f>
        <v/>
      </c>
    </row>
    <row r="7548">
      <c r="A7548" s="58" t="inlineStr">
        <is>
          <t>RT20250708-07547</t>
        </is>
      </c>
      <c r="B7548" s="59" t="inlineStr">
        <is>
          <t>2025-07-08</t>
        </is>
      </c>
      <c r="C7548" s="60" t="inlineStr">
        <is>
          <t>Falcon Headphone Plus-789</t>
        </is>
      </c>
      <c r="D7548" s="58" t="inlineStr">
        <is>
          <t>Electronics</t>
        </is>
      </c>
      <c r="E7548" s="58" t="inlineStr">
        <is>
          <t>Central</t>
        </is>
      </c>
      <c r="F7548" s="61" t="n">
        <v>1</v>
      </c>
      <c r="G7548" s="62" t="n">
        <v>1660.24</v>
      </c>
      <c r="H7548" s="63" t="n">
        <v>0</v>
      </c>
      <c r="I7548" s="62" t="n">
        <v>1306.65</v>
      </c>
      <c r="J7548" s="58" t="inlineStr">
        <is>
          <t>Online</t>
        </is>
      </c>
      <c r="K7548" s="62">
        <f>F7548*(G7548-H7548)</f>
        <v/>
      </c>
      <c r="L7548" s="62">
        <f>K7548-(F7548*I7548)</f>
        <v/>
      </c>
      <c r="M7548" s="64">
        <f>L7548/K7548</f>
        <v/>
      </c>
    </row>
    <row r="7549">
      <c r="A7549" s="58" t="inlineStr">
        <is>
          <t>RT20250708-07548</t>
        </is>
      </c>
      <c r="B7549" s="59" t="inlineStr">
        <is>
          <t>2025-07-08</t>
        </is>
      </c>
      <c r="C7549" s="60" t="inlineStr">
        <is>
          <t>Vertex Men X-995</t>
        </is>
      </c>
      <c r="D7549" s="58" t="inlineStr">
        <is>
          <t>Apparel</t>
        </is>
      </c>
      <c r="E7549" s="58" t="inlineStr">
        <is>
          <t>West</t>
        </is>
      </c>
      <c r="F7549" s="61" t="n">
        <v>4</v>
      </c>
      <c r="G7549" s="62" t="n">
        <v>115.7</v>
      </c>
      <c r="H7549" s="63" t="n">
        <v>0.102</v>
      </c>
      <c r="I7549" s="62" t="n">
        <v>56.69</v>
      </c>
      <c r="J7549" s="58" t="inlineStr">
        <is>
          <t>Online</t>
        </is>
      </c>
      <c r="K7549" s="62">
        <f>F7549*(G7549-H7549)</f>
        <v/>
      </c>
      <c r="L7549" s="62">
        <f>K7549-(F7549*I7549)</f>
        <v/>
      </c>
      <c r="M7549" s="64">
        <f>L7549/K7549</f>
        <v/>
      </c>
    </row>
    <row r="7550">
      <c r="A7550" s="58" t="inlineStr">
        <is>
          <t>RT20250708-07549</t>
        </is>
      </c>
      <c r="B7550" s="59" t="inlineStr">
        <is>
          <t>2025-07-08</t>
        </is>
      </c>
      <c r="C7550" s="60" t="inlineStr">
        <is>
          <t>Aurora Smartphone Plus-125</t>
        </is>
      </c>
      <c r="D7550" s="58" t="inlineStr">
        <is>
          <t>Electronics</t>
        </is>
      </c>
      <c r="E7550" s="58" t="inlineStr">
        <is>
          <t>Central</t>
        </is>
      </c>
      <c r="F7550" s="61" t="n">
        <v>2</v>
      </c>
      <c r="G7550" s="62" t="n">
        <v>1659.11</v>
      </c>
      <c r="H7550" s="63" t="n">
        <v>0.044</v>
      </c>
      <c r="I7550" s="62" t="n">
        <v>1245.3</v>
      </c>
      <c r="J7550" s="58" t="inlineStr">
        <is>
          <t>Online</t>
        </is>
      </c>
      <c r="K7550" s="62">
        <f>F7550*(G7550-H7550)</f>
        <v/>
      </c>
      <c r="L7550" s="62">
        <f>K7550-(F7550*I7550)</f>
        <v/>
      </c>
      <c r="M7550" s="64">
        <f>L7550/K7550</f>
        <v/>
      </c>
    </row>
    <row r="7551">
      <c r="A7551" s="58" t="inlineStr">
        <is>
          <t>RT20250708-07550</t>
        </is>
      </c>
      <c r="B7551" s="59" t="inlineStr">
        <is>
          <t>2025-07-08</t>
        </is>
      </c>
      <c r="C7551" s="60" t="inlineStr">
        <is>
          <t>Falcon Haircare Pro-980</t>
        </is>
      </c>
      <c r="D7551" s="58" t="inlineStr">
        <is>
          <t>Beauty</t>
        </is>
      </c>
      <c r="E7551" s="58" t="inlineStr">
        <is>
          <t>Central</t>
        </is>
      </c>
      <c r="F7551" s="61" t="n">
        <v>1</v>
      </c>
      <c r="G7551" s="62" t="n">
        <v>82.66</v>
      </c>
      <c r="H7551" s="63" t="n">
        <v>0.032</v>
      </c>
      <c r="I7551" s="62" t="n">
        <v>56.65</v>
      </c>
      <c r="J7551" s="58" t="inlineStr">
        <is>
          <t>Store</t>
        </is>
      </c>
      <c r="K7551" s="62">
        <f>F7551*(G7551-H7551)</f>
        <v/>
      </c>
      <c r="L7551" s="62">
        <f>K7551-(F7551*I7551)</f>
        <v/>
      </c>
      <c r="M7551" s="64">
        <f>L7551/K7551</f>
        <v/>
      </c>
    </row>
    <row r="7552">
      <c r="A7552" s="58" t="inlineStr">
        <is>
          <t>RT20250708-07551</t>
        </is>
      </c>
      <c r="B7552" s="59" t="inlineStr">
        <is>
          <t>2025-07-08</t>
        </is>
      </c>
      <c r="C7552" s="60" t="inlineStr">
        <is>
          <t>Falcon Headphone Pro-713</t>
        </is>
      </c>
      <c r="D7552" s="58" t="inlineStr">
        <is>
          <t>Electronics</t>
        </is>
      </c>
      <c r="E7552" s="58" t="inlineStr">
        <is>
          <t>West</t>
        </is>
      </c>
      <c r="F7552" s="61" t="n">
        <v>2</v>
      </c>
      <c r="G7552" s="62" t="n">
        <v>1554.04</v>
      </c>
      <c r="H7552" s="63" t="n">
        <v>0.058</v>
      </c>
      <c r="I7552" s="62" t="n">
        <v>1197.64</v>
      </c>
      <c r="J7552" s="58" t="inlineStr">
        <is>
          <t>Store</t>
        </is>
      </c>
      <c r="K7552" s="62">
        <f>F7552*(G7552-H7552)</f>
        <v/>
      </c>
      <c r="L7552" s="62">
        <f>K7552-(F7552*I7552)</f>
        <v/>
      </c>
      <c r="M7552" s="64">
        <f>L7552/K7552</f>
        <v/>
      </c>
    </row>
    <row r="7553">
      <c r="A7553" s="58" t="inlineStr">
        <is>
          <t>RT20250708-07552</t>
        </is>
      </c>
      <c r="B7553" s="59" t="inlineStr">
        <is>
          <t>2025-07-08</t>
        </is>
      </c>
      <c r="C7553" s="60" t="inlineStr">
        <is>
          <t>Nimbus Decor Lite-385</t>
        </is>
      </c>
      <c r="D7553" s="58" t="inlineStr">
        <is>
          <t>Home</t>
        </is>
      </c>
      <c r="E7553" s="58" t="inlineStr">
        <is>
          <t>Central</t>
        </is>
      </c>
      <c r="F7553" s="61" t="n">
        <v>3</v>
      </c>
      <c r="G7553" s="62" t="n">
        <v>552.48</v>
      </c>
      <c r="H7553" s="63" t="n">
        <v>0.029</v>
      </c>
      <c r="I7553" s="62" t="n">
        <v>400.77</v>
      </c>
      <c r="J7553" s="58" t="inlineStr">
        <is>
          <t>Online</t>
        </is>
      </c>
      <c r="K7553" s="62">
        <f>F7553*(G7553-H7553)</f>
        <v/>
      </c>
      <c r="L7553" s="62">
        <f>K7553-(F7553*I7553)</f>
        <v/>
      </c>
      <c r="M7553" s="64">
        <f>L7553/K7553</f>
        <v/>
      </c>
    </row>
    <row r="7554">
      <c r="A7554" s="58" t="inlineStr">
        <is>
          <t>RT20250708-07553</t>
        </is>
      </c>
      <c r="B7554" s="59" t="inlineStr">
        <is>
          <t>2025-07-08</t>
        </is>
      </c>
      <c r="C7554" s="60" t="inlineStr">
        <is>
          <t>Aurora Appliance Max-316</t>
        </is>
      </c>
      <c r="D7554" s="58" t="inlineStr">
        <is>
          <t>Home</t>
        </is>
      </c>
      <c r="E7554" s="58" t="inlineStr">
        <is>
          <t>East</t>
        </is>
      </c>
      <c r="F7554" s="61" t="n">
        <v>2</v>
      </c>
      <c r="G7554" s="62" t="n">
        <v>285.56</v>
      </c>
      <c r="H7554" s="63" t="n">
        <v>0.034</v>
      </c>
      <c r="I7554" s="62" t="n">
        <v>220.27</v>
      </c>
      <c r="J7554" s="58" t="inlineStr">
        <is>
          <t>Online</t>
        </is>
      </c>
      <c r="K7554" s="62">
        <f>F7554*(G7554-H7554)</f>
        <v/>
      </c>
      <c r="L7554" s="62">
        <f>K7554-(F7554*I7554)</f>
        <v/>
      </c>
      <c r="M7554" s="64">
        <f>L7554/K7554</f>
        <v/>
      </c>
    </row>
    <row r="7555">
      <c r="A7555" s="58" t="inlineStr">
        <is>
          <t>RT20250708-07554</t>
        </is>
      </c>
      <c r="B7555" s="59" t="inlineStr">
        <is>
          <t>2025-07-08</t>
        </is>
      </c>
      <c r="C7555" s="60" t="inlineStr">
        <is>
          <t>Polar Wearable X-119</t>
        </is>
      </c>
      <c r="D7555" s="58" t="inlineStr">
        <is>
          <t>Electronics</t>
        </is>
      </c>
      <c r="E7555" s="58" t="inlineStr">
        <is>
          <t>West</t>
        </is>
      </c>
      <c r="F7555" s="61" t="n">
        <v>2</v>
      </c>
      <c r="G7555" s="62" t="n">
        <v>1652.31</v>
      </c>
      <c r="H7555" s="63" t="n">
        <v>0.093</v>
      </c>
      <c r="I7555" s="62" t="n">
        <v>1342.24</v>
      </c>
      <c r="J7555" s="58" t="inlineStr">
        <is>
          <t>Online</t>
        </is>
      </c>
      <c r="K7555" s="62">
        <f>F7555*(G7555-H7555)</f>
        <v/>
      </c>
      <c r="L7555" s="62">
        <f>K7555-(F7555*I7555)</f>
        <v/>
      </c>
      <c r="M7555" s="64">
        <f>L7555/K7555</f>
        <v/>
      </c>
    </row>
    <row r="7556">
      <c r="A7556" s="58" t="inlineStr">
        <is>
          <t>RT20250708-07555</t>
        </is>
      </c>
      <c r="B7556" s="59" t="inlineStr">
        <is>
          <t>2025-07-08</t>
        </is>
      </c>
      <c r="C7556" s="60" t="inlineStr">
        <is>
          <t>Metro Decor Lite-325</t>
        </is>
      </c>
      <c r="D7556" s="58" t="inlineStr">
        <is>
          <t>Home</t>
        </is>
      </c>
      <c r="E7556" s="58" t="inlineStr">
        <is>
          <t>South</t>
        </is>
      </c>
      <c r="F7556" s="61" t="n">
        <v>1</v>
      </c>
      <c r="G7556" s="62" t="n">
        <v>507.23</v>
      </c>
      <c r="H7556" s="63" t="n">
        <v>0.08699999999999999</v>
      </c>
      <c r="I7556" s="62" t="n">
        <v>385.42</v>
      </c>
      <c r="J7556" s="58" t="inlineStr">
        <is>
          <t>Store</t>
        </is>
      </c>
      <c r="K7556" s="62">
        <f>F7556*(G7556-H7556)</f>
        <v/>
      </c>
      <c r="L7556" s="62">
        <f>K7556-(F7556*I7556)</f>
        <v/>
      </c>
      <c r="M7556" s="64">
        <f>L7556/K7556</f>
        <v/>
      </c>
    </row>
    <row r="7557">
      <c r="A7557" s="58" t="inlineStr">
        <is>
          <t>RT20250708-07556</t>
        </is>
      </c>
      <c r="B7557" s="59" t="inlineStr">
        <is>
          <t>2025-07-08</t>
        </is>
      </c>
      <c r="C7557" s="60" t="inlineStr">
        <is>
          <t>Polar Supplie Lite-348</t>
        </is>
      </c>
      <c r="D7557" s="58" t="inlineStr">
        <is>
          <t>Office</t>
        </is>
      </c>
      <c r="E7557" s="58" t="inlineStr">
        <is>
          <t>East</t>
        </is>
      </c>
      <c r="F7557" s="61" t="n">
        <v>2</v>
      </c>
      <c r="G7557" s="62" t="n">
        <v>385.59</v>
      </c>
      <c r="H7557" s="63" t="n">
        <v>0.022</v>
      </c>
      <c r="I7557" s="62" t="n">
        <v>311.31</v>
      </c>
      <c r="J7557" s="58" t="inlineStr">
        <is>
          <t>Online</t>
        </is>
      </c>
      <c r="K7557" s="62">
        <f>F7557*(G7557-H7557)</f>
        <v/>
      </c>
      <c r="L7557" s="62">
        <f>K7557-(F7557*I7557)</f>
        <v/>
      </c>
      <c r="M7557" s="64">
        <f>L7557/K7557</f>
        <v/>
      </c>
    </row>
    <row r="7558">
      <c r="A7558" s="58" t="inlineStr">
        <is>
          <t>RT20250708-07557</t>
        </is>
      </c>
      <c r="B7558" s="59" t="inlineStr">
        <is>
          <t>2025-07-08</t>
        </is>
      </c>
      <c r="C7558" s="60" t="inlineStr">
        <is>
          <t>Aurora Appliance Max-316</t>
        </is>
      </c>
      <c r="D7558" s="58" t="inlineStr">
        <is>
          <t>Home</t>
        </is>
      </c>
      <c r="E7558" s="58" t="inlineStr">
        <is>
          <t>East</t>
        </is>
      </c>
      <c r="F7558" s="61" t="n">
        <v>2</v>
      </c>
      <c r="G7558" s="62" t="n">
        <v>334.4</v>
      </c>
      <c r="H7558" s="63" t="n">
        <v>0.075</v>
      </c>
      <c r="I7558" s="62" t="n">
        <v>208.09</v>
      </c>
      <c r="J7558" s="58" t="inlineStr">
        <is>
          <t>Store</t>
        </is>
      </c>
      <c r="K7558" s="62">
        <f>F7558*(G7558-H7558)</f>
        <v/>
      </c>
      <c r="L7558" s="62">
        <f>K7558-(F7558*I7558)</f>
        <v/>
      </c>
      <c r="M7558" s="64">
        <f>L7558/K7558</f>
        <v/>
      </c>
    </row>
    <row r="7559">
      <c r="A7559" s="58" t="inlineStr">
        <is>
          <t>RT20250708-07558</t>
        </is>
      </c>
      <c r="B7559" s="59" t="inlineStr">
        <is>
          <t>2025-07-08</t>
        </is>
      </c>
      <c r="C7559" s="60" t="inlineStr">
        <is>
          <t>Solace Kitchen Pro-999</t>
        </is>
      </c>
      <c r="D7559" s="58" t="inlineStr">
        <is>
          <t>Home</t>
        </is>
      </c>
      <c r="E7559" s="58" t="inlineStr">
        <is>
          <t>East</t>
        </is>
      </c>
      <c r="F7559" s="61" t="n">
        <v>3</v>
      </c>
      <c r="G7559" s="62" t="n">
        <v>398.89</v>
      </c>
      <c r="H7559" s="63" t="n">
        <v>0.052</v>
      </c>
      <c r="I7559" s="62" t="n">
        <v>267.71</v>
      </c>
      <c r="J7559" s="58" t="inlineStr">
        <is>
          <t>Online</t>
        </is>
      </c>
      <c r="K7559" s="62">
        <f>F7559*(G7559-H7559)</f>
        <v/>
      </c>
      <c r="L7559" s="62">
        <f>K7559-(F7559*I7559)</f>
        <v/>
      </c>
      <c r="M7559" s="64">
        <f>L7559/K7559</f>
        <v/>
      </c>
    </row>
    <row r="7560">
      <c r="A7560" s="58" t="inlineStr">
        <is>
          <t>RT20250708-07559</t>
        </is>
      </c>
      <c r="B7560" s="59" t="inlineStr">
        <is>
          <t>2025-07-08</t>
        </is>
      </c>
      <c r="C7560" s="60" t="inlineStr">
        <is>
          <t>Aurora Makeup Pro-489</t>
        </is>
      </c>
      <c r="D7560" s="58" t="inlineStr">
        <is>
          <t>Beauty</t>
        </is>
      </c>
      <c r="E7560" s="58" t="inlineStr">
        <is>
          <t>East</t>
        </is>
      </c>
      <c r="F7560" s="61" t="n">
        <v>1</v>
      </c>
      <c r="G7560" s="62" t="n">
        <v>111.04</v>
      </c>
      <c r="H7560" s="63" t="n">
        <v>0.042</v>
      </c>
      <c r="I7560" s="62" t="n">
        <v>63.67</v>
      </c>
      <c r="J7560" s="58" t="inlineStr">
        <is>
          <t>Store</t>
        </is>
      </c>
      <c r="K7560" s="62">
        <f>F7560*(G7560-H7560)</f>
        <v/>
      </c>
      <c r="L7560" s="62">
        <f>K7560-(F7560*I7560)</f>
        <v/>
      </c>
      <c r="M7560" s="64">
        <f>L7560/K7560</f>
        <v/>
      </c>
    </row>
    <row r="7561">
      <c r="A7561" s="58" t="inlineStr">
        <is>
          <t>RT20250708-07560</t>
        </is>
      </c>
      <c r="B7561" s="59" t="inlineStr">
        <is>
          <t>2025-07-08</t>
        </is>
      </c>
      <c r="C7561" s="60" t="inlineStr">
        <is>
          <t>Metro Accessorie Lite-697</t>
        </is>
      </c>
      <c r="D7561" s="58" t="inlineStr">
        <is>
          <t>Apparel</t>
        </is>
      </c>
      <c r="E7561" s="58" t="inlineStr">
        <is>
          <t>South</t>
        </is>
      </c>
      <c r="F7561" s="61" t="n">
        <v>2</v>
      </c>
      <c r="G7561" s="62" t="n">
        <v>155.85</v>
      </c>
      <c r="H7561" s="63" t="n">
        <v>0.027</v>
      </c>
      <c r="I7561" s="62" t="n">
        <v>78.29000000000001</v>
      </c>
      <c r="J7561" s="58" t="inlineStr">
        <is>
          <t>Store</t>
        </is>
      </c>
      <c r="K7561" s="62">
        <f>F7561*(G7561-H7561)</f>
        <v/>
      </c>
      <c r="L7561" s="62">
        <f>K7561-(F7561*I7561)</f>
        <v/>
      </c>
      <c r="M7561" s="64">
        <f>L7561/K7561</f>
        <v/>
      </c>
    </row>
    <row r="7562">
      <c r="A7562" s="58" t="inlineStr">
        <is>
          <t>RT20250708-07561</t>
        </is>
      </c>
      <c r="B7562" s="59" t="inlineStr">
        <is>
          <t>2025-07-08</t>
        </is>
      </c>
      <c r="C7562" s="60" t="inlineStr">
        <is>
          <t>Polar Pantry Lite-392</t>
        </is>
      </c>
      <c r="D7562" s="58" t="inlineStr">
        <is>
          <t>Grocery</t>
        </is>
      </c>
      <c r="E7562" s="58" t="inlineStr">
        <is>
          <t>West</t>
        </is>
      </c>
      <c r="F7562" s="61" t="n">
        <v>8</v>
      </c>
      <c r="G7562" s="62" t="n">
        <v>7.11</v>
      </c>
      <c r="H7562" s="63" t="n">
        <v>0.041</v>
      </c>
      <c r="I7562" s="62" t="n">
        <v>4.64</v>
      </c>
      <c r="J7562" s="58" t="inlineStr">
        <is>
          <t>Store</t>
        </is>
      </c>
      <c r="K7562" s="62">
        <f>F7562*(G7562-H7562)</f>
        <v/>
      </c>
      <c r="L7562" s="62">
        <f>K7562-(F7562*I7562)</f>
        <v/>
      </c>
      <c r="M7562" s="64">
        <f>L7562/K7562</f>
        <v/>
      </c>
    </row>
    <row r="7563">
      <c r="A7563" s="58" t="inlineStr">
        <is>
          <t>RT20250708-07562</t>
        </is>
      </c>
      <c r="B7563" s="59" t="inlineStr">
        <is>
          <t>2025-07-08</t>
        </is>
      </c>
      <c r="C7563" s="60" t="inlineStr">
        <is>
          <t>Vertex Appliance S-296</t>
        </is>
      </c>
      <c r="D7563" s="58" t="inlineStr">
        <is>
          <t>Home</t>
        </is>
      </c>
      <c r="E7563" s="58" t="inlineStr">
        <is>
          <t>East</t>
        </is>
      </c>
      <c r="F7563" s="61" t="n">
        <v>3</v>
      </c>
      <c r="G7563" s="62" t="n">
        <v>478.19</v>
      </c>
      <c r="H7563" s="63" t="n">
        <v>0</v>
      </c>
      <c r="I7563" s="62" t="n">
        <v>363.61</v>
      </c>
      <c r="J7563" s="58" t="inlineStr">
        <is>
          <t>Online</t>
        </is>
      </c>
      <c r="K7563" s="62">
        <f>F7563*(G7563-H7563)</f>
        <v/>
      </c>
      <c r="L7563" s="62">
        <f>K7563-(F7563*I7563)</f>
        <v/>
      </c>
      <c r="M7563" s="64">
        <f>L7563/K7563</f>
        <v/>
      </c>
    </row>
    <row r="7564">
      <c r="A7564" s="58" t="inlineStr">
        <is>
          <t>RT20250708-07563</t>
        </is>
      </c>
      <c r="B7564" s="59" t="inlineStr">
        <is>
          <t>2025-07-08</t>
        </is>
      </c>
      <c r="C7564" s="60" t="inlineStr">
        <is>
          <t>Vertex Accessorie Pro-881</t>
        </is>
      </c>
      <c r="D7564" s="58" t="inlineStr">
        <is>
          <t>Apparel</t>
        </is>
      </c>
      <c r="E7564" s="58" t="inlineStr">
        <is>
          <t>East</t>
        </is>
      </c>
      <c r="F7564" s="61" t="n">
        <v>2</v>
      </c>
      <c r="G7564" s="62" t="n">
        <v>103.15</v>
      </c>
      <c r="H7564" s="63" t="n">
        <v>0.013</v>
      </c>
      <c r="I7564" s="62" t="n">
        <v>64.11</v>
      </c>
      <c r="J7564" s="58" t="inlineStr">
        <is>
          <t>Store</t>
        </is>
      </c>
      <c r="K7564" s="62">
        <f>F7564*(G7564-H7564)</f>
        <v/>
      </c>
      <c r="L7564" s="62">
        <f>K7564-(F7564*I7564)</f>
        <v/>
      </c>
      <c r="M7564" s="64">
        <f>L7564/K7564</f>
        <v/>
      </c>
    </row>
    <row r="7565">
      <c r="A7565" s="58" t="inlineStr">
        <is>
          <t>RT20250708-07564</t>
        </is>
      </c>
      <c r="B7565" s="59" t="inlineStr">
        <is>
          <t>2025-07-08</t>
        </is>
      </c>
      <c r="C7565" s="60" t="inlineStr">
        <is>
          <t>Aurora Printer Plus-723</t>
        </is>
      </c>
      <c r="D7565" s="58" t="inlineStr">
        <is>
          <t>Office</t>
        </is>
      </c>
      <c r="E7565" s="58" t="inlineStr">
        <is>
          <t>North</t>
        </is>
      </c>
      <c r="F7565" s="61" t="n">
        <v>2</v>
      </c>
      <c r="G7565" s="62" t="n">
        <v>240.39</v>
      </c>
      <c r="H7565" s="63" t="n">
        <v>0.08500000000000001</v>
      </c>
      <c r="I7565" s="62" t="n">
        <v>192.62</v>
      </c>
      <c r="J7565" s="58" t="inlineStr">
        <is>
          <t>Phone</t>
        </is>
      </c>
      <c r="K7565" s="62">
        <f>F7565*(G7565-H7565)</f>
        <v/>
      </c>
      <c r="L7565" s="62">
        <f>K7565-(F7565*I7565)</f>
        <v/>
      </c>
      <c r="M7565" s="64">
        <f>L7565/K7565</f>
        <v/>
      </c>
    </row>
    <row r="7566">
      <c r="A7566" s="58" t="inlineStr">
        <is>
          <t>RT20250708-07565</t>
        </is>
      </c>
      <c r="B7566" s="59" t="inlineStr">
        <is>
          <t>2025-07-08</t>
        </is>
      </c>
      <c r="C7566" s="60" t="inlineStr">
        <is>
          <t>Aurora Skincare Max-798</t>
        </is>
      </c>
      <c r="D7566" s="58" t="inlineStr">
        <is>
          <t>Beauty</t>
        </is>
      </c>
      <c r="E7566" s="58" t="inlineStr">
        <is>
          <t>Central</t>
        </is>
      </c>
      <c r="F7566" s="61" t="n">
        <v>5</v>
      </c>
      <c r="G7566" s="62" t="n">
        <v>100.33</v>
      </c>
      <c r="H7566" s="63" t="n">
        <v>0.077</v>
      </c>
      <c r="I7566" s="62" t="n">
        <v>66.78</v>
      </c>
      <c r="J7566" s="58" t="inlineStr">
        <is>
          <t>Online</t>
        </is>
      </c>
      <c r="K7566" s="62">
        <f>F7566*(G7566-H7566)</f>
        <v/>
      </c>
      <c r="L7566" s="62">
        <f>K7566-(F7566*I7566)</f>
        <v/>
      </c>
      <c r="M7566" s="64">
        <f>L7566/K7566</f>
        <v/>
      </c>
    </row>
    <row r="7567">
      <c r="A7567" s="58" t="inlineStr">
        <is>
          <t>RT20250708-07566</t>
        </is>
      </c>
      <c r="B7567" s="59" t="inlineStr">
        <is>
          <t>2025-07-08</t>
        </is>
      </c>
      <c r="C7567" s="60" t="inlineStr">
        <is>
          <t>Metro Accessorie Max-316</t>
        </is>
      </c>
      <c r="D7567" s="58" t="inlineStr">
        <is>
          <t>Apparel</t>
        </is>
      </c>
      <c r="E7567" s="58" t="inlineStr">
        <is>
          <t>West</t>
        </is>
      </c>
      <c r="F7567" s="61" t="n">
        <v>4</v>
      </c>
      <c r="G7567" s="62" t="n">
        <v>162.03</v>
      </c>
      <c r="H7567" s="63" t="n">
        <v>0.07000000000000001</v>
      </c>
      <c r="I7567" s="62" t="n">
        <v>90.09</v>
      </c>
      <c r="J7567" s="58" t="inlineStr">
        <is>
          <t>Online</t>
        </is>
      </c>
      <c r="K7567" s="62">
        <f>F7567*(G7567-H7567)</f>
        <v/>
      </c>
      <c r="L7567" s="62">
        <f>K7567-(F7567*I7567)</f>
        <v/>
      </c>
      <c r="M7567" s="64">
        <f>L7567/K7567</f>
        <v/>
      </c>
    </row>
    <row r="7568">
      <c r="A7568" s="58" t="inlineStr">
        <is>
          <t>RT20250708-07567</t>
        </is>
      </c>
      <c r="B7568" s="59" t="inlineStr">
        <is>
          <t>2025-07-08</t>
        </is>
      </c>
      <c r="C7568" s="60" t="inlineStr">
        <is>
          <t>Metro Pantry Max-180</t>
        </is>
      </c>
      <c r="D7568" s="58" t="inlineStr">
        <is>
          <t>Grocery</t>
        </is>
      </c>
      <c r="E7568" s="58" t="inlineStr">
        <is>
          <t>West</t>
        </is>
      </c>
      <c r="F7568" s="61" t="n">
        <v>2</v>
      </c>
      <c r="G7568" s="62" t="n">
        <v>9.91</v>
      </c>
      <c r="H7568" s="63" t="n">
        <v>0.021</v>
      </c>
      <c r="I7568" s="62" t="n">
        <v>6.61</v>
      </c>
      <c r="J7568" s="58" t="inlineStr">
        <is>
          <t>Store</t>
        </is>
      </c>
      <c r="K7568" s="62">
        <f>F7568*(G7568-H7568)</f>
        <v/>
      </c>
      <c r="L7568" s="62">
        <f>K7568-(F7568*I7568)</f>
        <v/>
      </c>
      <c r="M7568" s="64">
        <f>L7568/K7568</f>
        <v/>
      </c>
    </row>
    <row r="7569">
      <c r="A7569" s="58" t="inlineStr">
        <is>
          <t>RT20250708-07568</t>
        </is>
      </c>
      <c r="B7569" s="59" t="inlineStr">
        <is>
          <t>2025-07-08</t>
        </is>
      </c>
      <c r="C7569" s="60" t="inlineStr">
        <is>
          <t>Solace Headphone Pro-344</t>
        </is>
      </c>
      <c r="D7569" s="58" t="inlineStr">
        <is>
          <t>Electronics</t>
        </is>
      </c>
      <c r="E7569" s="58" t="inlineStr">
        <is>
          <t>East</t>
        </is>
      </c>
      <c r="F7569" s="61" t="n">
        <v>1</v>
      </c>
      <c r="G7569" s="62" t="n">
        <v>1255.21</v>
      </c>
      <c r="H7569" s="63" t="n">
        <v>0.078</v>
      </c>
      <c r="I7569" s="62" t="n">
        <v>1049.15</v>
      </c>
      <c r="J7569" s="58" t="inlineStr">
        <is>
          <t>Store</t>
        </is>
      </c>
      <c r="K7569" s="62">
        <f>F7569*(G7569-H7569)</f>
        <v/>
      </c>
      <c r="L7569" s="62">
        <f>K7569-(F7569*I7569)</f>
        <v/>
      </c>
      <c r="M7569" s="64">
        <f>L7569/K7569</f>
        <v/>
      </c>
    </row>
    <row r="7570">
      <c r="A7570" s="58" t="inlineStr">
        <is>
          <t>RT20250708-07569</t>
        </is>
      </c>
      <c r="B7570" s="59" t="inlineStr">
        <is>
          <t>2025-07-08</t>
        </is>
      </c>
      <c r="C7570" s="60" t="inlineStr">
        <is>
          <t>Nimbus Furniture Pro-479</t>
        </is>
      </c>
      <c r="D7570" s="58" t="inlineStr">
        <is>
          <t>Office</t>
        </is>
      </c>
      <c r="E7570" s="58" t="inlineStr">
        <is>
          <t>Central</t>
        </is>
      </c>
      <c r="F7570" s="61" t="n">
        <v>2</v>
      </c>
      <c r="G7570" s="62" t="n">
        <v>358.02</v>
      </c>
      <c r="H7570" s="63" t="n">
        <v>0.037</v>
      </c>
      <c r="I7570" s="62" t="n">
        <v>241.53</v>
      </c>
      <c r="J7570" s="58" t="inlineStr">
        <is>
          <t>Online</t>
        </is>
      </c>
      <c r="K7570" s="62">
        <f>F7570*(G7570-H7570)</f>
        <v/>
      </c>
      <c r="L7570" s="62">
        <f>K7570-(F7570*I7570)</f>
        <v/>
      </c>
      <c r="M7570" s="64">
        <f>L7570/K7570</f>
        <v/>
      </c>
    </row>
    <row r="7571">
      <c r="A7571" s="58" t="inlineStr">
        <is>
          <t>RT20250708-07570</t>
        </is>
      </c>
      <c r="B7571" s="59" t="inlineStr">
        <is>
          <t>2025-07-08</t>
        </is>
      </c>
      <c r="C7571" s="60" t="inlineStr">
        <is>
          <t>Nimbus Cycling Plus-911</t>
        </is>
      </c>
      <c r="D7571" s="58" t="inlineStr">
        <is>
          <t>Sports</t>
        </is>
      </c>
      <c r="E7571" s="58" t="inlineStr">
        <is>
          <t>South</t>
        </is>
      </c>
      <c r="F7571" s="61" t="n">
        <v>3</v>
      </c>
      <c r="G7571" s="62" t="n">
        <v>561.21</v>
      </c>
      <c r="H7571" s="63" t="n">
        <v>0.016</v>
      </c>
      <c r="I7571" s="62" t="n">
        <v>387.56</v>
      </c>
      <c r="J7571" s="58" t="inlineStr">
        <is>
          <t>Online</t>
        </is>
      </c>
      <c r="K7571" s="62">
        <f>F7571*(G7571-H7571)</f>
        <v/>
      </c>
      <c r="L7571" s="62">
        <f>K7571-(F7571*I7571)</f>
        <v/>
      </c>
      <c r="M7571" s="64">
        <f>L7571/K7571</f>
        <v/>
      </c>
    </row>
    <row r="7572">
      <c r="A7572" s="58" t="inlineStr">
        <is>
          <t>RT20250708-07571</t>
        </is>
      </c>
      <c r="B7572" s="59" t="inlineStr">
        <is>
          <t>2025-07-08</t>
        </is>
      </c>
      <c r="C7572" s="60" t="inlineStr">
        <is>
          <t>Polar Outdoor Lite-318</t>
        </is>
      </c>
      <c r="D7572" s="58" t="inlineStr">
        <is>
          <t>Sports</t>
        </is>
      </c>
      <c r="E7572" s="58" t="inlineStr">
        <is>
          <t>East</t>
        </is>
      </c>
      <c r="F7572" s="61" t="n">
        <v>2</v>
      </c>
      <c r="G7572" s="62" t="n">
        <v>647.1799999999999</v>
      </c>
      <c r="H7572" s="63" t="n">
        <v>0.078</v>
      </c>
      <c r="I7572" s="62" t="n">
        <v>460.14</v>
      </c>
      <c r="J7572" s="58" t="inlineStr">
        <is>
          <t>Online</t>
        </is>
      </c>
      <c r="K7572" s="62">
        <f>F7572*(G7572-H7572)</f>
        <v/>
      </c>
      <c r="L7572" s="62">
        <f>K7572-(F7572*I7572)</f>
        <v/>
      </c>
      <c r="M7572" s="64">
        <f>L7572/K7572</f>
        <v/>
      </c>
    </row>
    <row r="7573">
      <c r="A7573" s="58" t="inlineStr">
        <is>
          <t>RT20250708-07572</t>
        </is>
      </c>
      <c r="B7573" s="59" t="inlineStr">
        <is>
          <t>2025-07-08</t>
        </is>
      </c>
      <c r="C7573" s="60" t="inlineStr">
        <is>
          <t>Nimbus Makeup Max-158</t>
        </is>
      </c>
      <c r="D7573" s="58" t="inlineStr">
        <is>
          <t>Beauty</t>
        </is>
      </c>
      <c r="E7573" s="58" t="inlineStr">
        <is>
          <t>South</t>
        </is>
      </c>
      <c r="F7573" s="61" t="n">
        <v>3</v>
      </c>
      <c r="G7573" s="62" t="n">
        <v>154.55</v>
      </c>
      <c r="H7573" s="63" t="n">
        <v>0.09</v>
      </c>
      <c r="I7573" s="62" t="n">
        <v>95.55</v>
      </c>
      <c r="J7573" s="58" t="inlineStr">
        <is>
          <t>Store</t>
        </is>
      </c>
      <c r="K7573" s="62">
        <f>F7573*(G7573-H7573)</f>
        <v/>
      </c>
      <c r="L7573" s="62">
        <f>K7573-(F7573*I7573)</f>
        <v/>
      </c>
      <c r="M7573" s="64">
        <f>L7573/K7573</f>
        <v/>
      </c>
    </row>
    <row r="7574">
      <c r="A7574" s="58" t="inlineStr">
        <is>
          <t>RT20250708-07573</t>
        </is>
      </c>
      <c r="B7574" s="59" t="inlineStr">
        <is>
          <t>2025-07-08</t>
        </is>
      </c>
      <c r="C7574" s="60" t="inlineStr">
        <is>
          <t>Vertex Furniture S-652</t>
        </is>
      </c>
      <c r="D7574" s="58" t="inlineStr">
        <is>
          <t>Office</t>
        </is>
      </c>
      <c r="E7574" s="58" t="inlineStr">
        <is>
          <t>East</t>
        </is>
      </c>
      <c r="F7574" s="61" t="n">
        <v>2</v>
      </c>
      <c r="G7574" s="62" t="n">
        <v>341.37</v>
      </c>
      <c r="H7574" s="63" t="n">
        <v>0.073</v>
      </c>
      <c r="I7574" s="62" t="n">
        <v>271.77</v>
      </c>
      <c r="J7574" s="58" t="inlineStr">
        <is>
          <t>Online</t>
        </is>
      </c>
      <c r="K7574" s="62">
        <f>F7574*(G7574-H7574)</f>
        <v/>
      </c>
      <c r="L7574" s="62">
        <f>K7574-(F7574*I7574)</f>
        <v/>
      </c>
      <c r="M7574" s="64">
        <f>L7574/K7574</f>
        <v/>
      </c>
    </row>
    <row r="7575">
      <c r="A7575" s="58" t="inlineStr">
        <is>
          <t>RT20250708-07574</t>
        </is>
      </c>
      <c r="B7575" s="59" t="inlineStr">
        <is>
          <t>2025-07-08</t>
        </is>
      </c>
      <c r="C7575" s="60" t="inlineStr">
        <is>
          <t>Nimbus Men Plus-231</t>
        </is>
      </c>
      <c r="D7575" s="58" t="inlineStr">
        <is>
          <t>Apparel</t>
        </is>
      </c>
      <c r="E7575" s="58" t="inlineStr">
        <is>
          <t>East</t>
        </is>
      </c>
      <c r="F7575" s="61" t="n">
        <v>2</v>
      </c>
      <c r="G7575" s="62" t="n">
        <v>138.38</v>
      </c>
      <c r="H7575" s="63" t="n">
        <v>0.074</v>
      </c>
      <c r="I7575" s="62" t="n">
        <v>91.75</v>
      </c>
      <c r="J7575" s="58" t="inlineStr">
        <is>
          <t>Online</t>
        </is>
      </c>
      <c r="K7575" s="62">
        <f>F7575*(G7575-H7575)</f>
        <v/>
      </c>
      <c r="L7575" s="62">
        <f>K7575-(F7575*I7575)</f>
        <v/>
      </c>
      <c r="M7575" s="64">
        <f>L7575/K7575</f>
        <v/>
      </c>
    </row>
    <row r="7576">
      <c r="A7576" s="58" t="inlineStr">
        <is>
          <t>RT20250708-07575</t>
        </is>
      </c>
      <c r="B7576" s="59" t="inlineStr">
        <is>
          <t>2025-07-08</t>
        </is>
      </c>
      <c r="C7576" s="60" t="inlineStr">
        <is>
          <t>Falcon Haircare Pro-980</t>
        </is>
      </c>
      <c r="D7576" s="58" t="inlineStr">
        <is>
          <t>Beauty</t>
        </is>
      </c>
      <c r="E7576" s="58" t="inlineStr">
        <is>
          <t>West</t>
        </is>
      </c>
      <c r="F7576" s="61" t="n">
        <v>3</v>
      </c>
      <c r="G7576" s="62" t="n">
        <v>93.87</v>
      </c>
      <c r="H7576" s="63" t="n">
        <v>0.065</v>
      </c>
      <c r="I7576" s="62" t="n">
        <v>56.05</v>
      </c>
      <c r="J7576" s="58" t="inlineStr">
        <is>
          <t>Online</t>
        </is>
      </c>
      <c r="K7576" s="62">
        <f>F7576*(G7576-H7576)</f>
        <v/>
      </c>
      <c r="L7576" s="62">
        <f>K7576-(F7576*I7576)</f>
        <v/>
      </c>
      <c r="M7576" s="64">
        <f>L7576/K7576</f>
        <v/>
      </c>
    </row>
    <row r="7577">
      <c r="A7577" s="58" t="inlineStr">
        <is>
          <t>RT20250708-07576</t>
        </is>
      </c>
      <c r="B7577" s="59" t="inlineStr">
        <is>
          <t>2025-07-08</t>
        </is>
      </c>
      <c r="C7577" s="60" t="inlineStr">
        <is>
          <t>Vertex Smartphone Lite-267</t>
        </is>
      </c>
      <c r="D7577" s="58" t="inlineStr">
        <is>
          <t>Electronics</t>
        </is>
      </c>
      <c r="E7577" s="58" t="inlineStr">
        <is>
          <t>South</t>
        </is>
      </c>
      <c r="F7577" s="61" t="n">
        <v>1</v>
      </c>
      <c r="G7577" s="62" t="n">
        <v>1223.95</v>
      </c>
      <c r="H7577" s="63" t="n">
        <v>0.081</v>
      </c>
      <c r="I7577" s="62" t="n">
        <v>952.62</v>
      </c>
      <c r="J7577" s="58" t="inlineStr">
        <is>
          <t>Online</t>
        </is>
      </c>
      <c r="K7577" s="62">
        <f>F7577*(G7577-H7577)</f>
        <v/>
      </c>
      <c r="L7577" s="62">
        <f>K7577-(F7577*I7577)</f>
        <v/>
      </c>
      <c r="M7577" s="64">
        <f>L7577/K7577</f>
        <v/>
      </c>
    </row>
    <row r="7578">
      <c r="A7578" s="58" t="inlineStr">
        <is>
          <t>RT20250708-07577</t>
        </is>
      </c>
      <c r="B7578" s="59" t="inlineStr">
        <is>
          <t>2025-07-08</t>
        </is>
      </c>
      <c r="C7578" s="60" t="inlineStr">
        <is>
          <t>Aurora Smartphone Plus-125</t>
        </is>
      </c>
      <c r="D7578" s="58" t="inlineStr">
        <is>
          <t>Electronics</t>
        </is>
      </c>
      <c r="E7578" s="58" t="inlineStr">
        <is>
          <t>West</t>
        </is>
      </c>
      <c r="F7578" s="61" t="n">
        <v>2</v>
      </c>
      <c r="G7578" s="62" t="n">
        <v>1561.32</v>
      </c>
      <c r="H7578" s="63" t="n">
        <v>0.081</v>
      </c>
      <c r="I7578" s="62" t="n">
        <v>1228.9</v>
      </c>
      <c r="J7578" s="58" t="inlineStr">
        <is>
          <t>Online</t>
        </is>
      </c>
      <c r="K7578" s="62">
        <f>F7578*(G7578-H7578)</f>
        <v/>
      </c>
      <c r="L7578" s="62">
        <f>K7578-(F7578*I7578)</f>
        <v/>
      </c>
      <c r="M7578" s="64">
        <f>L7578/K7578</f>
        <v/>
      </c>
    </row>
    <row r="7579">
      <c r="A7579" s="58" t="inlineStr">
        <is>
          <t>RT20250708-07578</t>
        </is>
      </c>
      <c r="B7579" s="59" t="inlineStr">
        <is>
          <t>2025-07-08</t>
        </is>
      </c>
      <c r="C7579" s="60" t="inlineStr">
        <is>
          <t>Falcon Skincare Max-151</t>
        </is>
      </c>
      <c r="D7579" s="58" t="inlineStr">
        <is>
          <t>Beauty</t>
        </is>
      </c>
      <c r="E7579" s="58" t="inlineStr">
        <is>
          <t>East</t>
        </is>
      </c>
      <c r="F7579" s="61" t="n">
        <v>4</v>
      </c>
      <c r="G7579" s="62" t="n">
        <v>99.18000000000001</v>
      </c>
      <c r="H7579" s="63" t="n">
        <v>0.066</v>
      </c>
      <c r="I7579" s="62" t="n">
        <v>58.58</v>
      </c>
      <c r="J7579" s="58" t="inlineStr">
        <is>
          <t>Store</t>
        </is>
      </c>
      <c r="K7579" s="62">
        <f>F7579*(G7579-H7579)</f>
        <v/>
      </c>
      <c r="L7579" s="62">
        <f>K7579-(F7579*I7579)</f>
        <v/>
      </c>
      <c r="M7579" s="64">
        <f>L7579/K7579</f>
        <v/>
      </c>
    </row>
    <row r="7580">
      <c r="A7580" s="58" t="inlineStr">
        <is>
          <t>RT20250709-07579</t>
        </is>
      </c>
      <c r="B7580" s="59" t="inlineStr">
        <is>
          <t>2025-07-09</t>
        </is>
      </c>
      <c r="C7580" s="60" t="inlineStr">
        <is>
          <t>Nimbus Men Plus-231</t>
        </is>
      </c>
      <c r="D7580" s="58" t="inlineStr">
        <is>
          <t>Apparel</t>
        </is>
      </c>
      <c r="E7580" s="58" t="inlineStr">
        <is>
          <t>West</t>
        </is>
      </c>
      <c r="F7580" s="61" t="n">
        <v>4</v>
      </c>
      <c r="G7580" s="62" t="n">
        <v>167.37</v>
      </c>
      <c r="H7580" s="63" t="n">
        <v>0.06900000000000001</v>
      </c>
      <c r="I7580" s="62" t="n">
        <v>90.23999999999999</v>
      </c>
      <c r="J7580" s="58" t="inlineStr">
        <is>
          <t>Phone</t>
        </is>
      </c>
      <c r="K7580" s="62">
        <f>F7580*(G7580-H7580)</f>
        <v/>
      </c>
      <c r="L7580" s="62">
        <f>K7580-(F7580*I7580)</f>
        <v/>
      </c>
      <c r="M7580" s="64">
        <f>L7580/K7580</f>
        <v/>
      </c>
    </row>
    <row r="7581">
      <c r="A7581" s="58" t="inlineStr">
        <is>
          <t>RT20250709-07580</t>
        </is>
      </c>
      <c r="B7581" s="59" t="inlineStr">
        <is>
          <t>2025-07-09</t>
        </is>
      </c>
      <c r="C7581" s="60" t="inlineStr">
        <is>
          <t>Aurora Outdoor Pro-467</t>
        </is>
      </c>
      <c r="D7581" s="58" t="inlineStr">
        <is>
          <t>Sports</t>
        </is>
      </c>
      <c r="E7581" s="58" t="inlineStr">
        <is>
          <t>North</t>
        </is>
      </c>
      <c r="F7581" s="61" t="n">
        <v>3</v>
      </c>
      <c r="G7581" s="62" t="n">
        <v>308.41</v>
      </c>
      <c r="H7581" s="63" t="n">
        <v>0.033</v>
      </c>
      <c r="I7581" s="62" t="n">
        <v>189.36</v>
      </c>
      <c r="J7581" s="58" t="inlineStr">
        <is>
          <t>Store</t>
        </is>
      </c>
      <c r="K7581" s="62">
        <f>F7581*(G7581-H7581)</f>
        <v/>
      </c>
      <c r="L7581" s="62">
        <f>K7581-(F7581*I7581)</f>
        <v/>
      </c>
      <c r="M7581" s="64">
        <f>L7581/K7581</f>
        <v/>
      </c>
    </row>
    <row r="7582">
      <c r="A7582" s="58" t="inlineStr">
        <is>
          <t>RT20250709-07581</t>
        </is>
      </c>
      <c r="B7582" s="59" t="inlineStr">
        <is>
          <t>2025-07-09</t>
        </is>
      </c>
      <c r="C7582" s="60" t="inlineStr">
        <is>
          <t>Metro Decor Lite-325</t>
        </is>
      </c>
      <c r="D7582" s="58" t="inlineStr">
        <is>
          <t>Home</t>
        </is>
      </c>
      <c r="E7582" s="58" t="inlineStr">
        <is>
          <t>Central</t>
        </is>
      </c>
      <c r="F7582" s="61" t="n">
        <v>1</v>
      </c>
      <c r="G7582" s="62" t="n">
        <v>559.58</v>
      </c>
      <c r="H7582" s="63" t="n">
        <v>0.063</v>
      </c>
      <c r="I7582" s="62" t="n">
        <v>379.81</v>
      </c>
      <c r="J7582" s="58" t="inlineStr">
        <is>
          <t>Online</t>
        </is>
      </c>
      <c r="K7582" s="62">
        <f>F7582*(G7582-H7582)</f>
        <v/>
      </c>
      <c r="L7582" s="62">
        <f>K7582-(F7582*I7582)</f>
        <v/>
      </c>
      <c r="M7582" s="64">
        <f>L7582/K7582</f>
        <v/>
      </c>
    </row>
    <row r="7583">
      <c r="A7583" s="58" t="inlineStr">
        <is>
          <t>RT20250709-07582</t>
        </is>
      </c>
      <c r="B7583" s="59" t="inlineStr">
        <is>
          <t>2025-07-09</t>
        </is>
      </c>
      <c r="C7583" s="60" t="inlineStr">
        <is>
          <t>Vertex Men X-995</t>
        </is>
      </c>
      <c r="D7583" s="58" t="inlineStr">
        <is>
          <t>Apparel</t>
        </is>
      </c>
      <c r="E7583" s="58" t="inlineStr">
        <is>
          <t>South</t>
        </is>
      </c>
      <c r="F7583" s="61" t="n">
        <v>1</v>
      </c>
      <c r="G7583" s="62" t="n">
        <v>101.8</v>
      </c>
      <c r="H7583" s="63" t="n">
        <v>0.066</v>
      </c>
      <c r="I7583" s="62" t="n">
        <v>58.73</v>
      </c>
      <c r="J7583" s="58" t="inlineStr">
        <is>
          <t>Online</t>
        </is>
      </c>
      <c r="K7583" s="62">
        <f>F7583*(G7583-H7583)</f>
        <v/>
      </c>
      <c r="L7583" s="62">
        <f>K7583-(F7583*I7583)</f>
        <v/>
      </c>
      <c r="M7583" s="64">
        <f>L7583/K7583</f>
        <v/>
      </c>
    </row>
    <row r="7584">
      <c r="A7584" s="58" t="inlineStr">
        <is>
          <t>RT20250709-07583</t>
        </is>
      </c>
      <c r="B7584" s="59" t="inlineStr">
        <is>
          <t>2025-07-09</t>
        </is>
      </c>
      <c r="C7584" s="60" t="inlineStr">
        <is>
          <t>Nimbus Storage Plus-646</t>
        </is>
      </c>
      <c r="D7584" s="58" t="inlineStr">
        <is>
          <t>Office</t>
        </is>
      </c>
      <c r="E7584" s="58" t="inlineStr">
        <is>
          <t>East</t>
        </is>
      </c>
      <c r="F7584" s="61" t="n">
        <v>1</v>
      </c>
      <c r="G7584" s="62" t="n">
        <v>472.99</v>
      </c>
      <c r="H7584" s="63" t="n">
        <v>0.019</v>
      </c>
      <c r="I7584" s="62" t="n">
        <v>309.75</v>
      </c>
      <c r="J7584" s="58" t="inlineStr">
        <is>
          <t>Store</t>
        </is>
      </c>
      <c r="K7584" s="62">
        <f>F7584*(G7584-H7584)</f>
        <v/>
      </c>
      <c r="L7584" s="62">
        <f>K7584-(F7584*I7584)</f>
        <v/>
      </c>
      <c r="M7584" s="64">
        <f>L7584/K7584</f>
        <v/>
      </c>
    </row>
    <row r="7585">
      <c r="A7585" s="58" t="inlineStr">
        <is>
          <t>RT20250709-07584</t>
        </is>
      </c>
      <c r="B7585" s="59" t="inlineStr">
        <is>
          <t>2025-07-09</t>
        </is>
      </c>
      <c r="C7585" s="60" t="inlineStr">
        <is>
          <t>Aurora Fragrance S-971</t>
        </is>
      </c>
      <c r="D7585" s="58" t="inlineStr">
        <is>
          <t>Beauty</t>
        </is>
      </c>
      <c r="E7585" s="58" t="inlineStr">
        <is>
          <t>West</t>
        </is>
      </c>
      <c r="F7585" s="61" t="n">
        <v>5</v>
      </c>
      <c r="G7585" s="62" t="n">
        <v>110.22</v>
      </c>
      <c r="H7585" s="63" t="n">
        <v>0.097</v>
      </c>
      <c r="I7585" s="62" t="n">
        <v>64</v>
      </c>
      <c r="J7585" s="58" t="inlineStr">
        <is>
          <t>Store</t>
        </is>
      </c>
      <c r="K7585" s="62">
        <f>F7585*(G7585-H7585)</f>
        <v/>
      </c>
      <c r="L7585" s="62">
        <f>K7585-(F7585*I7585)</f>
        <v/>
      </c>
      <c r="M7585" s="64">
        <f>L7585/K7585</f>
        <v/>
      </c>
    </row>
    <row r="7586">
      <c r="A7586" s="58" t="inlineStr">
        <is>
          <t>RT20250709-07585</t>
        </is>
      </c>
      <c r="B7586" s="59" t="inlineStr">
        <is>
          <t>2025-07-09</t>
        </is>
      </c>
      <c r="C7586" s="60" t="inlineStr">
        <is>
          <t>Falcon Kitchen X-130</t>
        </is>
      </c>
      <c r="D7586" s="58" t="inlineStr">
        <is>
          <t>Home</t>
        </is>
      </c>
      <c r="E7586" s="58" t="inlineStr">
        <is>
          <t>West</t>
        </is>
      </c>
      <c r="F7586" s="61" t="n">
        <v>2</v>
      </c>
      <c r="G7586" s="62" t="n">
        <v>355.86</v>
      </c>
      <c r="H7586" s="63" t="n">
        <v>0.035</v>
      </c>
      <c r="I7586" s="62" t="n">
        <v>289.31</v>
      </c>
      <c r="J7586" s="58" t="inlineStr">
        <is>
          <t>Online</t>
        </is>
      </c>
      <c r="K7586" s="62">
        <f>F7586*(G7586-H7586)</f>
        <v/>
      </c>
      <c r="L7586" s="62">
        <f>K7586-(F7586*I7586)</f>
        <v/>
      </c>
      <c r="M7586" s="64">
        <f>L7586/K7586</f>
        <v/>
      </c>
    </row>
    <row r="7587">
      <c r="A7587" s="58" t="inlineStr">
        <is>
          <t>RT20250709-07586</t>
        </is>
      </c>
      <c r="B7587" s="59" t="inlineStr">
        <is>
          <t>2025-07-09</t>
        </is>
      </c>
      <c r="C7587" s="60" t="inlineStr">
        <is>
          <t>Falcon Kitchen X-130</t>
        </is>
      </c>
      <c r="D7587" s="58" t="inlineStr">
        <is>
          <t>Home</t>
        </is>
      </c>
      <c r="E7587" s="58" t="inlineStr">
        <is>
          <t>West</t>
        </is>
      </c>
      <c r="F7587" s="61" t="n">
        <v>1</v>
      </c>
      <c r="G7587" s="62" t="n">
        <v>382.79</v>
      </c>
      <c r="H7587" s="63" t="n">
        <v>0.022</v>
      </c>
      <c r="I7587" s="62" t="n">
        <v>281.82</v>
      </c>
      <c r="J7587" s="58" t="inlineStr">
        <is>
          <t>Online</t>
        </is>
      </c>
      <c r="K7587" s="62">
        <f>F7587*(G7587-H7587)</f>
        <v/>
      </c>
      <c r="L7587" s="62">
        <f>K7587-(F7587*I7587)</f>
        <v/>
      </c>
      <c r="M7587" s="64">
        <f>L7587/K7587</f>
        <v/>
      </c>
    </row>
    <row r="7588">
      <c r="A7588" s="58" t="inlineStr">
        <is>
          <t>RT20250709-07587</t>
        </is>
      </c>
      <c r="B7588" s="59" t="inlineStr">
        <is>
          <t>2025-07-09</t>
        </is>
      </c>
      <c r="C7588" s="60" t="inlineStr">
        <is>
          <t>Solace Kitchen X-919</t>
        </is>
      </c>
      <c r="D7588" s="58" t="inlineStr">
        <is>
          <t>Home</t>
        </is>
      </c>
      <c r="E7588" s="58" t="inlineStr">
        <is>
          <t>East</t>
        </is>
      </c>
      <c r="F7588" s="61" t="n">
        <v>3</v>
      </c>
      <c r="G7588" s="62" t="n">
        <v>414.71</v>
      </c>
      <c r="H7588" s="63" t="n">
        <v>0.07199999999999999</v>
      </c>
      <c r="I7588" s="62" t="n">
        <v>265.3</v>
      </c>
      <c r="J7588" s="58" t="inlineStr">
        <is>
          <t>Online</t>
        </is>
      </c>
      <c r="K7588" s="62">
        <f>F7588*(G7588-H7588)</f>
        <v/>
      </c>
      <c r="L7588" s="62">
        <f>K7588-(F7588*I7588)</f>
        <v/>
      </c>
      <c r="M7588" s="64">
        <f>L7588/K7588</f>
        <v/>
      </c>
    </row>
    <row r="7589">
      <c r="A7589" s="58" t="inlineStr">
        <is>
          <t>RT20250709-07588</t>
        </is>
      </c>
      <c r="B7589" s="59" t="inlineStr">
        <is>
          <t>2025-07-09</t>
        </is>
      </c>
      <c r="C7589" s="60" t="inlineStr">
        <is>
          <t>Solace Smartphone Lite-533</t>
        </is>
      </c>
      <c r="D7589" s="58" t="inlineStr">
        <is>
          <t>Electronics</t>
        </is>
      </c>
      <c r="E7589" s="58" t="inlineStr">
        <is>
          <t>South</t>
        </is>
      </c>
      <c r="F7589" s="61" t="n">
        <v>1</v>
      </c>
      <c r="G7589" s="62" t="n">
        <v>1207.22</v>
      </c>
      <c r="H7589" s="63" t="n">
        <v>0.107</v>
      </c>
      <c r="I7589" s="62" t="n">
        <v>946.47</v>
      </c>
      <c r="J7589" s="58" t="inlineStr">
        <is>
          <t>Store</t>
        </is>
      </c>
      <c r="K7589" s="62">
        <f>F7589*(G7589-H7589)</f>
        <v/>
      </c>
      <c r="L7589" s="62">
        <f>K7589-(F7589*I7589)</f>
        <v/>
      </c>
      <c r="M7589" s="64">
        <f>L7589/K7589</f>
        <v/>
      </c>
    </row>
    <row r="7590">
      <c r="A7590" s="58" t="inlineStr">
        <is>
          <t>RT20250709-07589</t>
        </is>
      </c>
      <c r="B7590" s="59" t="inlineStr">
        <is>
          <t>2025-07-09</t>
        </is>
      </c>
      <c r="C7590" s="60" t="inlineStr">
        <is>
          <t>Metro Accessorie Max-316</t>
        </is>
      </c>
      <c r="D7590" s="58" t="inlineStr">
        <is>
          <t>Apparel</t>
        </is>
      </c>
      <c r="E7590" s="58" t="inlineStr">
        <is>
          <t>South</t>
        </is>
      </c>
      <c r="F7590" s="61" t="n">
        <v>2</v>
      </c>
      <c r="G7590" s="62" t="n">
        <v>165.53</v>
      </c>
      <c r="H7590" s="63" t="n">
        <v>0.13</v>
      </c>
      <c r="I7590" s="62" t="n">
        <v>89.93000000000001</v>
      </c>
      <c r="J7590" s="58" t="inlineStr">
        <is>
          <t>Online</t>
        </is>
      </c>
      <c r="K7590" s="62">
        <f>F7590*(G7590-H7590)</f>
        <v/>
      </c>
      <c r="L7590" s="62">
        <f>K7590-(F7590*I7590)</f>
        <v/>
      </c>
      <c r="M7590" s="64">
        <f>L7590/K7590</f>
        <v/>
      </c>
    </row>
    <row r="7591">
      <c r="A7591" s="58" t="inlineStr">
        <is>
          <t>RT20250709-07590</t>
        </is>
      </c>
      <c r="B7591" s="59" t="inlineStr">
        <is>
          <t>2025-07-09</t>
        </is>
      </c>
      <c r="C7591" s="60" t="inlineStr">
        <is>
          <t>Vertex Smartphone Pro-256</t>
        </is>
      </c>
      <c r="D7591" s="58" t="inlineStr">
        <is>
          <t>Electronics</t>
        </is>
      </c>
      <c r="E7591" s="58" t="inlineStr">
        <is>
          <t>North</t>
        </is>
      </c>
      <c r="F7591" s="61" t="n">
        <v>1</v>
      </c>
      <c r="G7591" s="62" t="n">
        <v>1249.42</v>
      </c>
      <c r="H7591" s="63" t="n">
        <v>0.066</v>
      </c>
      <c r="I7591" s="62" t="n">
        <v>926.48</v>
      </c>
      <c r="J7591" s="58" t="inlineStr">
        <is>
          <t>Online</t>
        </is>
      </c>
      <c r="K7591" s="62">
        <f>F7591*(G7591-H7591)</f>
        <v/>
      </c>
      <c r="L7591" s="62">
        <f>K7591-(F7591*I7591)</f>
        <v/>
      </c>
      <c r="M7591" s="64">
        <f>L7591/K7591</f>
        <v/>
      </c>
    </row>
    <row r="7592">
      <c r="A7592" s="58" t="inlineStr">
        <is>
          <t>RT20250709-07591</t>
        </is>
      </c>
      <c r="B7592" s="59" t="inlineStr">
        <is>
          <t>2025-07-09</t>
        </is>
      </c>
      <c r="C7592" s="60" t="inlineStr">
        <is>
          <t>Polar Haircare Max-614</t>
        </is>
      </c>
      <c r="D7592" s="58" t="inlineStr">
        <is>
          <t>Beauty</t>
        </is>
      </c>
      <c r="E7592" s="58" t="inlineStr">
        <is>
          <t>South</t>
        </is>
      </c>
      <c r="F7592" s="61" t="n">
        <v>4</v>
      </c>
      <c r="G7592" s="62" t="n">
        <v>122.9</v>
      </c>
      <c r="H7592" s="63" t="n">
        <v>0.029</v>
      </c>
      <c r="I7592" s="62" t="n">
        <v>69.34999999999999</v>
      </c>
      <c r="J7592" s="58" t="inlineStr">
        <is>
          <t>Store</t>
        </is>
      </c>
      <c r="K7592" s="62">
        <f>F7592*(G7592-H7592)</f>
        <v/>
      </c>
      <c r="L7592" s="62">
        <f>K7592-(F7592*I7592)</f>
        <v/>
      </c>
      <c r="M7592" s="64">
        <f>L7592/K7592</f>
        <v/>
      </c>
    </row>
    <row r="7593">
      <c r="A7593" s="58" t="inlineStr">
        <is>
          <t>RT20250709-07592</t>
        </is>
      </c>
      <c r="B7593" s="59" t="inlineStr">
        <is>
          <t>2025-07-09</t>
        </is>
      </c>
      <c r="C7593" s="60" t="inlineStr">
        <is>
          <t>Aurora Household Plus-146</t>
        </is>
      </c>
      <c r="D7593" s="58" t="inlineStr">
        <is>
          <t>Grocery</t>
        </is>
      </c>
      <c r="E7593" s="58" t="inlineStr">
        <is>
          <t>South</t>
        </is>
      </c>
      <c r="F7593" s="61" t="n">
        <v>2</v>
      </c>
      <c r="G7593" s="62" t="n">
        <v>5.75</v>
      </c>
      <c r="H7593" s="63" t="n">
        <v>0.031</v>
      </c>
      <c r="I7593" s="62" t="n">
        <v>4.44</v>
      </c>
      <c r="J7593" s="58" t="inlineStr">
        <is>
          <t>Store</t>
        </is>
      </c>
      <c r="K7593" s="62">
        <f>F7593*(G7593-H7593)</f>
        <v/>
      </c>
      <c r="L7593" s="62">
        <f>K7593-(F7593*I7593)</f>
        <v/>
      </c>
      <c r="M7593" s="64">
        <f>L7593/K7593</f>
        <v/>
      </c>
    </row>
    <row r="7594">
      <c r="A7594" s="58" t="inlineStr">
        <is>
          <t>RT20250709-07593</t>
        </is>
      </c>
      <c r="B7594" s="59" t="inlineStr">
        <is>
          <t>2025-07-09</t>
        </is>
      </c>
      <c r="C7594" s="60" t="inlineStr">
        <is>
          <t>Orion Haircare Plus-887</t>
        </is>
      </c>
      <c r="D7594" s="58" t="inlineStr">
        <is>
          <t>Beauty</t>
        </is>
      </c>
      <c r="E7594" s="58" t="inlineStr">
        <is>
          <t>East</t>
        </is>
      </c>
      <c r="F7594" s="61" t="n">
        <v>3</v>
      </c>
      <c r="G7594" s="62" t="n">
        <v>45.67</v>
      </c>
      <c r="H7594" s="63" t="n">
        <v>0.063</v>
      </c>
      <c r="I7594" s="62" t="n">
        <v>31.73</v>
      </c>
      <c r="J7594" s="58" t="inlineStr">
        <is>
          <t>Store</t>
        </is>
      </c>
      <c r="K7594" s="62">
        <f>F7594*(G7594-H7594)</f>
        <v/>
      </c>
      <c r="L7594" s="62">
        <f>K7594-(F7594*I7594)</f>
        <v/>
      </c>
      <c r="M7594" s="64">
        <f>L7594/K7594</f>
        <v/>
      </c>
    </row>
    <row r="7595">
      <c r="A7595" s="58" t="inlineStr">
        <is>
          <t>RT20250709-07594</t>
        </is>
      </c>
      <c r="B7595" s="59" t="inlineStr">
        <is>
          <t>2025-07-09</t>
        </is>
      </c>
      <c r="C7595" s="60" t="inlineStr">
        <is>
          <t>Vertex Appliance S-296</t>
        </is>
      </c>
      <c r="D7595" s="58" t="inlineStr">
        <is>
          <t>Home</t>
        </is>
      </c>
      <c r="E7595" s="58" t="inlineStr">
        <is>
          <t>West</t>
        </is>
      </c>
      <c r="F7595" s="61" t="n">
        <v>2</v>
      </c>
      <c r="G7595" s="62" t="n">
        <v>442.33</v>
      </c>
      <c r="H7595" s="63" t="n">
        <v>0.067</v>
      </c>
      <c r="I7595" s="62" t="n">
        <v>365.77</v>
      </c>
      <c r="J7595" s="58" t="inlineStr">
        <is>
          <t>Online</t>
        </is>
      </c>
      <c r="K7595" s="62">
        <f>F7595*(G7595-H7595)</f>
        <v/>
      </c>
      <c r="L7595" s="62">
        <f>K7595-(F7595*I7595)</f>
        <v/>
      </c>
      <c r="M7595" s="64">
        <f>L7595/K7595</f>
        <v/>
      </c>
    </row>
    <row r="7596">
      <c r="A7596" s="58" t="inlineStr">
        <is>
          <t>RT20250709-07595</t>
        </is>
      </c>
      <c r="B7596" s="59" t="inlineStr">
        <is>
          <t>2025-07-09</t>
        </is>
      </c>
      <c r="C7596" s="60" t="inlineStr">
        <is>
          <t>Falcon Bedding S-674</t>
        </is>
      </c>
      <c r="D7596" s="58" t="inlineStr">
        <is>
          <t>Home</t>
        </is>
      </c>
      <c r="E7596" s="58" t="inlineStr">
        <is>
          <t>West</t>
        </is>
      </c>
      <c r="F7596" s="61" t="n">
        <v>2</v>
      </c>
      <c r="G7596" s="62" t="n">
        <v>688.24</v>
      </c>
      <c r="H7596" s="63" t="n">
        <v>0.08799999999999999</v>
      </c>
      <c r="I7596" s="62" t="n">
        <v>446.67</v>
      </c>
      <c r="J7596" s="58" t="inlineStr">
        <is>
          <t>Store</t>
        </is>
      </c>
      <c r="K7596" s="62">
        <f>F7596*(G7596-H7596)</f>
        <v/>
      </c>
      <c r="L7596" s="62">
        <f>K7596-(F7596*I7596)</f>
        <v/>
      </c>
      <c r="M7596" s="64">
        <f>L7596/K7596</f>
        <v/>
      </c>
    </row>
    <row r="7597">
      <c r="A7597" s="58" t="inlineStr">
        <is>
          <t>RT20250709-07596</t>
        </is>
      </c>
      <c r="B7597" s="59" t="inlineStr">
        <is>
          <t>2025-07-09</t>
        </is>
      </c>
      <c r="C7597" s="60" t="inlineStr">
        <is>
          <t>Polar Women Max-927</t>
        </is>
      </c>
      <c r="D7597" s="58" t="inlineStr">
        <is>
          <t>Apparel</t>
        </is>
      </c>
      <c r="E7597" s="58" t="inlineStr">
        <is>
          <t>Central</t>
        </is>
      </c>
      <c r="F7597" s="61" t="n">
        <v>4</v>
      </c>
      <c r="G7597" s="62" t="n">
        <v>131.64</v>
      </c>
      <c r="H7597" s="63" t="n">
        <v>0.028</v>
      </c>
      <c r="I7597" s="62" t="n">
        <v>64.98999999999999</v>
      </c>
      <c r="J7597" s="58" t="inlineStr">
        <is>
          <t>Store</t>
        </is>
      </c>
      <c r="K7597" s="62">
        <f>F7597*(G7597-H7597)</f>
        <v/>
      </c>
      <c r="L7597" s="62">
        <f>K7597-(F7597*I7597)</f>
        <v/>
      </c>
      <c r="M7597" s="64">
        <f>L7597/K7597</f>
        <v/>
      </c>
    </row>
    <row r="7598">
      <c r="A7598" s="58" t="inlineStr">
        <is>
          <t>RT20250709-07597</t>
        </is>
      </c>
      <c r="B7598" s="59" t="inlineStr">
        <is>
          <t>2025-07-09</t>
        </is>
      </c>
      <c r="C7598" s="60" t="inlineStr">
        <is>
          <t>Aurora Appliance Max-316</t>
        </is>
      </c>
      <c r="D7598" s="58" t="inlineStr">
        <is>
          <t>Home</t>
        </is>
      </c>
      <c r="E7598" s="58" t="inlineStr">
        <is>
          <t>South</t>
        </is>
      </c>
      <c r="F7598" s="61" t="n">
        <v>2</v>
      </c>
      <c r="G7598" s="62" t="n">
        <v>346.28</v>
      </c>
      <c r="H7598" s="63" t="n">
        <v>0.074</v>
      </c>
      <c r="I7598" s="62" t="n">
        <v>218.51</v>
      </c>
      <c r="J7598" s="58" t="inlineStr">
        <is>
          <t>Store</t>
        </is>
      </c>
      <c r="K7598" s="62">
        <f>F7598*(G7598-H7598)</f>
        <v/>
      </c>
      <c r="L7598" s="62">
        <f>K7598-(F7598*I7598)</f>
        <v/>
      </c>
      <c r="M7598" s="64">
        <f>L7598/K7598</f>
        <v/>
      </c>
    </row>
    <row r="7599">
      <c r="A7599" s="58" t="inlineStr">
        <is>
          <t>RT20250709-07598</t>
        </is>
      </c>
      <c r="B7599" s="59" t="inlineStr">
        <is>
          <t>2025-07-09</t>
        </is>
      </c>
      <c r="C7599" s="60" t="inlineStr">
        <is>
          <t>Falcon Headphone Plus-789</t>
        </is>
      </c>
      <c r="D7599" s="58" t="inlineStr">
        <is>
          <t>Electronics</t>
        </is>
      </c>
      <c r="E7599" s="58" t="inlineStr">
        <is>
          <t>East</t>
        </is>
      </c>
      <c r="F7599" s="61" t="n">
        <v>2</v>
      </c>
      <c r="G7599" s="62" t="n">
        <v>1791.22</v>
      </c>
      <c r="H7599" s="63" t="n">
        <v>0.041</v>
      </c>
      <c r="I7599" s="62" t="n">
        <v>1295.26</v>
      </c>
      <c r="J7599" s="58" t="inlineStr">
        <is>
          <t>Store</t>
        </is>
      </c>
      <c r="K7599" s="62">
        <f>F7599*(G7599-H7599)</f>
        <v/>
      </c>
      <c r="L7599" s="62">
        <f>K7599-(F7599*I7599)</f>
        <v/>
      </c>
      <c r="M7599" s="64">
        <f>L7599/K7599</f>
        <v/>
      </c>
    </row>
    <row r="7600">
      <c r="A7600" s="58" t="inlineStr">
        <is>
          <t>RT20250709-07599</t>
        </is>
      </c>
      <c r="B7600" s="59" t="inlineStr">
        <is>
          <t>2025-07-09</t>
        </is>
      </c>
      <c r="C7600" s="60" t="inlineStr">
        <is>
          <t>Falcon Storage X-734</t>
        </is>
      </c>
      <c r="D7600" s="58" t="inlineStr">
        <is>
          <t>Office</t>
        </is>
      </c>
      <c r="E7600" s="58" t="inlineStr">
        <is>
          <t>North</t>
        </is>
      </c>
      <c r="F7600" s="61" t="n">
        <v>2</v>
      </c>
      <c r="G7600" s="62" t="n">
        <v>350.58</v>
      </c>
      <c r="H7600" s="63" t="n">
        <v>0.114</v>
      </c>
      <c r="I7600" s="62" t="n">
        <v>285.05</v>
      </c>
      <c r="J7600" s="58" t="inlineStr">
        <is>
          <t>Online</t>
        </is>
      </c>
      <c r="K7600" s="62">
        <f>F7600*(G7600-H7600)</f>
        <v/>
      </c>
      <c r="L7600" s="62">
        <f>K7600-(F7600*I7600)</f>
        <v/>
      </c>
      <c r="M7600" s="64">
        <f>L7600/K7600</f>
        <v/>
      </c>
    </row>
    <row r="7601">
      <c r="A7601" s="58" t="inlineStr">
        <is>
          <t>RT20250709-07600</t>
        </is>
      </c>
      <c r="B7601" s="59" t="inlineStr">
        <is>
          <t>2025-07-09</t>
        </is>
      </c>
      <c r="C7601" s="60" t="inlineStr">
        <is>
          <t>Aurora Wearable Lite-704</t>
        </is>
      </c>
      <c r="D7601" s="58" t="inlineStr">
        <is>
          <t>Electronics</t>
        </is>
      </c>
      <c r="E7601" s="58" t="inlineStr">
        <is>
          <t>South</t>
        </is>
      </c>
      <c r="F7601" s="61" t="n">
        <v>1</v>
      </c>
      <c r="G7601" s="62" t="n">
        <v>1877.59</v>
      </c>
      <c r="H7601" s="63" t="n">
        <v>0</v>
      </c>
      <c r="I7601" s="62" t="n">
        <v>1470.86</v>
      </c>
      <c r="J7601" s="58" t="inlineStr">
        <is>
          <t>Phone</t>
        </is>
      </c>
      <c r="K7601" s="62">
        <f>F7601*(G7601-H7601)</f>
        <v/>
      </c>
      <c r="L7601" s="62">
        <f>K7601-(F7601*I7601)</f>
        <v/>
      </c>
      <c r="M7601" s="64">
        <f>L7601/K7601</f>
        <v/>
      </c>
    </row>
    <row r="7602">
      <c r="A7602" s="58" t="inlineStr">
        <is>
          <t>RT20250709-07601</t>
        </is>
      </c>
      <c r="B7602" s="59" t="inlineStr">
        <is>
          <t>2025-07-09</t>
        </is>
      </c>
      <c r="C7602" s="60" t="inlineStr">
        <is>
          <t>Aurora Fragrance S-971</t>
        </is>
      </c>
      <c r="D7602" s="58" t="inlineStr">
        <is>
          <t>Beauty</t>
        </is>
      </c>
      <c r="E7602" s="58" t="inlineStr">
        <is>
          <t>Central</t>
        </is>
      </c>
      <c r="F7602" s="61" t="n">
        <v>2</v>
      </c>
      <c r="G7602" s="62" t="n">
        <v>107.93</v>
      </c>
      <c r="H7602" s="63" t="n">
        <v>0.028</v>
      </c>
      <c r="I7602" s="62" t="n">
        <v>66.52</v>
      </c>
      <c r="J7602" s="58" t="inlineStr">
        <is>
          <t>Online</t>
        </is>
      </c>
      <c r="K7602" s="62">
        <f>F7602*(G7602-H7602)</f>
        <v/>
      </c>
      <c r="L7602" s="62">
        <f>K7602-(F7602*I7602)</f>
        <v/>
      </c>
      <c r="M7602" s="64">
        <f>L7602/K7602</f>
        <v/>
      </c>
    </row>
    <row r="7603">
      <c r="A7603" s="58" t="inlineStr">
        <is>
          <t>RT20250709-07602</t>
        </is>
      </c>
      <c r="B7603" s="59" t="inlineStr">
        <is>
          <t>2025-07-09</t>
        </is>
      </c>
      <c r="C7603" s="60" t="inlineStr">
        <is>
          <t>Aurora Fitnes Lite-194</t>
        </is>
      </c>
      <c r="D7603" s="58" t="inlineStr">
        <is>
          <t>Sports</t>
        </is>
      </c>
      <c r="E7603" s="58" t="inlineStr">
        <is>
          <t>East</t>
        </is>
      </c>
      <c r="F7603" s="61" t="n">
        <v>1</v>
      </c>
      <c r="G7603" s="62" t="n">
        <v>735.1900000000001</v>
      </c>
      <c r="H7603" s="63" t="n">
        <v>0.057</v>
      </c>
      <c r="I7603" s="62" t="n">
        <v>459.03</v>
      </c>
      <c r="J7603" s="58" t="inlineStr">
        <is>
          <t>Store</t>
        </is>
      </c>
      <c r="K7603" s="62">
        <f>F7603*(G7603-H7603)</f>
        <v/>
      </c>
      <c r="L7603" s="62">
        <f>K7603-(F7603*I7603)</f>
        <v/>
      </c>
      <c r="M7603" s="64">
        <f>L7603/K7603</f>
        <v/>
      </c>
    </row>
    <row r="7604">
      <c r="A7604" s="58" t="inlineStr">
        <is>
          <t>RT20250709-07603</t>
        </is>
      </c>
      <c r="B7604" s="59" t="inlineStr">
        <is>
          <t>2025-07-09</t>
        </is>
      </c>
      <c r="C7604" s="60" t="inlineStr">
        <is>
          <t>Falcon Furniture Plus-839</t>
        </is>
      </c>
      <c r="D7604" s="58" t="inlineStr">
        <is>
          <t>Office</t>
        </is>
      </c>
      <c r="E7604" s="58" t="inlineStr">
        <is>
          <t>South</t>
        </is>
      </c>
      <c r="F7604" s="61" t="n">
        <v>3</v>
      </c>
      <c r="G7604" s="62" t="n">
        <v>318.96</v>
      </c>
      <c r="H7604" s="63" t="n">
        <v>0.082</v>
      </c>
      <c r="I7604" s="62" t="n">
        <v>226.09</v>
      </c>
      <c r="J7604" s="58" t="inlineStr">
        <is>
          <t>Online</t>
        </is>
      </c>
      <c r="K7604" s="62">
        <f>F7604*(G7604-H7604)</f>
        <v/>
      </c>
      <c r="L7604" s="62">
        <f>K7604-(F7604*I7604)</f>
        <v/>
      </c>
      <c r="M7604" s="64">
        <f>L7604/K7604</f>
        <v/>
      </c>
    </row>
    <row r="7605">
      <c r="A7605" s="58" t="inlineStr">
        <is>
          <t>RT20250709-07604</t>
        </is>
      </c>
      <c r="B7605" s="59" t="inlineStr">
        <is>
          <t>2025-07-09</t>
        </is>
      </c>
      <c r="C7605" s="60" t="inlineStr">
        <is>
          <t>Aurora Appliance Max-316</t>
        </is>
      </c>
      <c r="D7605" s="58" t="inlineStr">
        <is>
          <t>Home</t>
        </is>
      </c>
      <c r="E7605" s="58" t="inlineStr">
        <is>
          <t>West</t>
        </is>
      </c>
      <c r="F7605" s="61" t="n">
        <v>1</v>
      </c>
      <c r="G7605" s="62" t="n">
        <v>316.38</v>
      </c>
      <c r="H7605" s="63" t="n">
        <v>0.04</v>
      </c>
      <c r="I7605" s="62" t="n">
        <v>215.28</v>
      </c>
      <c r="J7605" s="58" t="inlineStr">
        <is>
          <t>Store</t>
        </is>
      </c>
      <c r="K7605" s="62">
        <f>F7605*(G7605-H7605)</f>
        <v/>
      </c>
      <c r="L7605" s="62">
        <f>K7605-(F7605*I7605)</f>
        <v/>
      </c>
      <c r="M7605" s="64">
        <f>L7605/K7605</f>
        <v/>
      </c>
    </row>
    <row r="7606">
      <c r="A7606" s="58" t="inlineStr">
        <is>
          <t>RT20250709-07605</t>
        </is>
      </c>
      <c r="B7606" s="59" t="inlineStr">
        <is>
          <t>2025-07-09</t>
        </is>
      </c>
      <c r="C7606" s="60" t="inlineStr">
        <is>
          <t>Polar Supplie Lite-348</t>
        </is>
      </c>
      <c r="D7606" s="58" t="inlineStr">
        <is>
          <t>Office</t>
        </is>
      </c>
      <c r="E7606" s="58" t="inlineStr">
        <is>
          <t>North</t>
        </is>
      </c>
      <c r="F7606" s="61" t="n">
        <v>1</v>
      </c>
      <c r="G7606" s="62" t="n">
        <v>416.75</v>
      </c>
      <c r="H7606" s="63" t="n">
        <v>0.024</v>
      </c>
      <c r="I7606" s="62" t="n">
        <v>313.14</v>
      </c>
      <c r="J7606" s="58" t="inlineStr">
        <is>
          <t>Online</t>
        </is>
      </c>
      <c r="K7606" s="62">
        <f>F7606*(G7606-H7606)</f>
        <v/>
      </c>
      <c r="L7606" s="62">
        <f>K7606-(F7606*I7606)</f>
        <v/>
      </c>
      <c r="M7606" s="64">
        <f>L7606/K7606</f>
        <v/>
      </c>
    </row>
    <row r="7607">
      <c r="A7607" s="58" t="inlineStr">
        <is>
          <t>RT20250710-07606</t>
        </is>
      </c>
      <c r="B7607" s="59" t="inlineStr">
        <is>
          <t>2025-07-10</t>
        </is>
      </c>
      <c r="C7607" s="60" t="inlineStr">
        <is>
          <t>Solace Smartphone Lite-533</t>
        </is>
      </c>
      <c r="D7607" s="58" t="inlineStr">
        <is>
          <t>Electronics</t>
        </is>
      </c>
      <c r="E7607" s="58" t="inlineStr">
        <is>
          <t>South</t>
        </is>
      </c>
      <c r="F7607" s="61" t="n">
        <v>2</v>
      </c>
      <c r="G7607" s="62" t="n">
        <v>1184.22</v>
      </c>
      <c r="H7607" s="63" t="n">
        <v>0.041</v>
      </c>
      <c r="I7607" s="62" t="n">
        <v>938.24</v>
      </c>
      <c r="J7607" s="58" t="inlineStr">
        <is>
          <t>Online</t>
        </is>
      </c>
      <c r="K7607" s="62">
        <f>F7607*(G7607-H7607)</f>
        <v/>
      </c>
      <c r="L7607" s="62">
        <f>K7607-(F7607*I7607)</f>
        <v/>
      </c>
      <c r="M7607" s="64">
        <f>L7607/K7607</f>
        <v/>
      </c>
    </row>
    <row r="7608">
      <c r="A7608" s="58" t="inlineStr">
        <is>
          <t>RT20250710-07607</t>
        </is>
      </c>
      <c r="B7608" s="59" t="inlineStr">
        <is>
          <t>2025-07-10</t>
        </is>
      </c>
      <c r="C7608" s="60" t="inlineStr">
        <is>
          <t>Polar Wearable X-119</t>
        </is>
      </c>
      <c r="D7608" s="58" t="inlineStr">
        <is>
          <t>Electronics</t>
        </is>
      </c>
      <c r="E7608" s="58" t="inlineStr">
        <is>
          <t>Central</t>
        </is>
      </c>
      <c r="F7608" s="61" t="n">
        <v>2</v>
      </c>
      <c r="G7608" s="62" t="n">
        <v>1700.58</v>
      </c>
      <c r="H7608" s="63" t="n">
        <v>0.07199999999999999</v>
      </c>
      <c r="I7608" s="62" t="n">
        <v>1308.01</v>
      </c>
      <c r="J7608" s="58" t="inlineStr">
        <is>
          <t>Store</t>
        </is>
      </c>
      <c r="K7608" s="62">
        <f>F7608*(G7608-H7608)</f>
        <v/>
      </c>
      <c r="L7608" s="62">
        <f>K7608-(F7608*I7608)</f>
        <v/>
      </c>
      <c r="M7608" s="64">
        <f>L7608/K7608</f>
        <v/>
      </c>
    </row>
    <row r="7609">
      <c r="A7609" s="58" t="inlineStr">
        <is>
          <t>RT20250710-07608</t>
        </is>
      </c>
      <c r="B7609" s="59" t="inlineStr">
        <is>
          <t>2025-07-10</t>
        </is>
      </c>
      <c r="C7609" s="60" t="inlineStr">
        <is>
          <t>Nimbus Women Plus-352</t>
        </is>
      </c>
      <c r="D7609" s="58" t="inlineStr">
        <is>
          <t>Apparel</t>
        </is>
      </c>
      <c r="E7609" s="58" t="inlineStr">
        <is>
          <t>South</t>
        </is>
      </c>
      <c r="F7609" s="61" t="n">
        <v>2</v>
      </c>
      <c r="G7609" s="62" t="n">
        <v>60.3</v>
      </c>
      <c r="H7609" s="63" t="n">
        <v>0.05</v>
      </c>
      <c r="I7609" s="62" t="n">
        <v>33.49</v>
      </c>
      <c r="J7609" s="58" t="inlineStr">
        <is>
          <t>Store</t>
        </is>
      </c>
      <c r="K7609" s="62">
        <f>F7609*(G7609-H7609)</f>
        <v/>
      </c>
      <c r="L7609" s="62">
        <f>K7609-(F7609*I7609)</f>
        <v/>
      </c>
      <c r="M7609" s="64">
        <f>L7609/K7609</f>
        <v/>
      </c>
    </row>
    <row r="7610">
      <c r="A7610" s="58" t="inlineStr">
        <is>
          <t>RT20250710-07609</t>
        </is>
      </c>
      <c r="B7610" s="59" t="inlineStr">
        <is>
          <t>2025-07-10</t>
        </is>
      </c>
      <c r="C7610" s="60" t="inlineStr">
        <is>
          <t>Aurora Bedding Max-175</t>
        </is>
      </c>
      <c r="D7610" s="58" t="inlineStr">
        <is>
          <t>Home</t>
        </is>
      </c>
      <c r="E7610" s="58" t="inlineStr">
        <is>
          <t>Central</t>
        </is>
      </c>
      <c r="F7610" s="61" t="n">
        <v>3</v>
      </c>
      <c r="G7610" s="62" t="n">
        <v>647.83</v>
      </c>
      <c r="H7610" s="63" t="n">
        <v>0.034</v>
      </c>
      <c r="I7610" s="62" t="n">
        <v>401.29</v>
      </c>
      <c r="J7610" s="58" t="inlineStr">
        <is>
          <t>Online</t>
        </is>
      </c>
      <c r="K7610" s="62">
        <f>F7610*(G7610-H7610)</f>
        <v/>
      </c>
      <c r="L7610" s="62">
        <f>K7610-(F7610*I7610)</f>
        <v/>
      </c>
      <c r="M7610" s="64">
        <f>L7610/K7610</f>
        <v/>
      </c>
    </row>
    <row r="7611">
      <c r="A7611" s="58" t="inlineStr">
        <is>
          <t>RT20250710-07610</t>
        </is>
      </c>
      <c r="B7611" s="59" t="inlineStr">
        <is>
          <t>2025-07-10</t>
        </is>
      </c>
      <c r="C7611" s="60" t="inlineStr">
        <is>
          <t>Aurora Fitnes Lite-194</t>
        </is>
      </c>
      <c r="D7611" s="58" t="inlineStr">
        <is>
          <t>Sports</t>
        </is>
      </c>
      <c r="E7611" s="58" t="inlineStr">
        <is>
          <t>Central</t>
        </is>
      </c>
      <c r="F7611" s="61" t="n">
        <v>3</v>
      </c>
      <c r="G7611" s="62" t="n">
        <v>667.22</v>
      </c>
      <c r="H7611" s="63" t="n">
        <v>0.08</v>
      </c>
      <c r="I7611" s="62" t="n">
        <v>475.88</v>
      </c>
      <c r="J7611" s="58" t="inlineStr">
        <is>
          <t>Online</t>
        </is>
      </c>
      <c r="K7611" s="62">
        <f>F7611*(G7611-H7611)</f>
        <v/>
      </c>
      <c r="L7611" s="62">
        <f>K7611-(F7611*I7611)</f>
        <v/>
      </c>
      <c r="M7611" s="64">
        <f>L7611/K7611</f>
        <v/>
      </c>
    </row>
    <row r="7612">
      <c r="A7612" s="58" t="inlineStr">
        <is>
          <t>RT20250710-07611</t>
        </is>
      </c>
      <c r="B7612" s="59" t="inlineStr">
        <is>
          <t>2025-07-10</t>
        </is>
      </c>
      <c r="C7612" s="60" t="inlineStr">
        <is>
          <t>Nimbus Women Plus-352</t>
        </is>
      </c>
      <c r="D7612" s="58" t="inlineStr">
        <is>
          <t>Apparel</t>
        </is>
      </c>
      <c r="E7612" s="58" t="inlineStr">
        <is>
          <t>East</t>
        </is>
      </c>
      <c r="F7612" s="61" t="n">
        <v>2</v>
      </c>
      <c r="G7612" s="62" t="n">
        <v>59.08</v>
      </c>
      <c r="H7612" s="63" t="n">
        <v>0.031</v>
      </c>
      <c r="I7612" s="62" t="n">
        <v>31.76</v>
      </c>
      <c r="J7612" s="58" t="inlineStr">
        <is>
          <t>Store</t>
        </is>
      </c>
      <c r="K7612" s="62">
        <f>F7612*(G7612-H7612)</f>
        <v/>
      </c>
      <c r="L7612" s="62">
        <f>K7612-(F7612*I7612)</f>
        <v/>
      </c>
      <c r="M7612" s="64">
        <f>L7612/K7612</f>
        <v/>
      </c>
    </row>
    <row r="7613">
      <c r="A7613" s="58" t="inlineStr">
        <is>
          <t>RT20250710-07612</t>
        </is>
      </c>
      <c r="B7613" s="59" t="inlineStr">
        <is>
          <t>2025-07-10</t>
        </is>
      </c>
      <c r="C7613" s="60" t="inlineStr">
        <is>
          <t>Falcon Storage X-734</t>
        </is>
      </c>
      <c r="D7613" s="58" t="inlineStr">
        <is>
          <t>Office</t>
        </is>
      </c>
      <c r="E7613" s="58" t="inlineStr">
        <is>
          <t>North</t>
        </is>
      </c>
      <c r="F7613" s="61" t="n">
        <v>1</v>
      </c>
      <c r="G7613" s="62" t="n">
        <v>405.96</v>
      </c>
      <c r="H7613" s="63" t="n">
        <v>0.08</v>
      </c>
      <c r="I7613" s="62" t="n">
        <v>290.47</v>
      </c>
      <c r="J7613" s="58" t="inlineStr">
        <is>
          <t>Online</t>
        </is>
      </c>
      <c r="K7613" s="62">
        <f>F7613*(G7613-H7613)</f>
        <v/>
      </c>
      <c r="L7613" s="62">
        <f>K7613-(F7613*I7613)</f>
        <v/>
      </c>
      <c r="M7613" s="64">
        <f>L7613/K7613</f>
        <v/>
      </c>
    </row>
    <row r="7614">
      <c r="A7614" s="58" t="inlineStr">
        <is>
          <t>RT20250710-07613</t>
        </is>
      </c>
      <c r="B7614" s="59" t="inlineStr">
        <is>
          <t>2025-07-10</t>
        </is>
      </c>
      <c r="C7614" s="60" t="inlineStr">
        <is>
          <t>Solace Smartphone Lite-533</t>
        </is>
      </c>
      <c r="D7614" s="58" t="inlineStr">
        <is>
          <t>Electronics</t>
        </is>
      </c>
      <c r="E7614" s="58" t="inlineStr">
        <is>
          <t>Central</t>
        </is>
      </c>
      <c r="F7614" s="61" t="n">
        <v>2</v>
      </c>
      <c r="G7614" s="62" t="n">
        <v>1138.49</v>
      </c>
      <c r="H7614" s="63" t="n">
        <v>0.027</v>
      </c>
      <c r="I7614" s="62" t="n">
        <v>942.1</v>
      </c>
      <c r="J7614" s="58" t="inlineStr">
        <is>
          <t>Online</t>
        </is>
      </c>
      <c r="K7614" s="62">
        <f>F7614*(G7614-H7614)</f>
        <v/>
      </c>
      <c r="L7614" s="62">
        <f>K7614-(F7614*I7614)</f>
        <v/>
      </c>
      <c r="M7614" s="64">
        <f>L7614/K7614</f>
        <v/>
      </c>
    </row>
    <row r="7615">
      <c r="A7615" s="58" t="inlineStr">
        <is>
          <t>RT20250710-07614</t>
        </is>
      </c>
      <c r="B7615" s="59" t="inlineStr">
        <is>
          <t>2025-07-10</t>
        </is>
      </c>
      <c r="C7615" s="60" t="inlineStr">
        <is>
          <t>Vertex Furniture S-652</t>
        </is>
      </c>
      <c r="D7615" s="58" t="inlineStr">
        <is>
          <t>Office</t>
        </is>
      </c>
      <c r="E7615" s="58" t="inlineStr">
        <is>
          <t>Central</t>
        </is>
      </c>
      <c r="F7615" s="61" t="n">
        <v>2</v>
      </c>
      <c r="G7615" s="62" t="n">
        <v>355.25</v>
      </c>
      <c r="H7615" s="63" t="n">
        <v>0.047</v>
      </c>
      <c r="I7615" s="62" t="n">
        <v>268.15</v>
      </c>
      <c r="J7615" s="58" t="inlineStr">
        <is>
          <t>Online</t>
        </is>
      </c>
      <c r="K7615" s="62">
        <f>F7615*(G7615-H7615)</f>
        <v/>
      </c>
      <c r="L7615" s="62">
        <f>K7615-(F7615*I7615)</f>
        <v/>
      </c>
      <c r="M7615" s="64">
        <f>L7615/K7615</f>
        <v/>
      </c>
    </row>
    <row r="7616">
      <c r="A7616" s="58" t="inlineStr">
        <is>
          <t>RT20250710-07615</t>
        </is>
      </c>
      <c r="B7616" s="59" t="inlineStr">
        <is>
          <t>2025-07-10</t>
        </is>
      </c>
      <c r="C7616" s="60" t="inlineStr">
        <is>
          <t>Orion Beverage Plus-949</t>
        </is>
      </c>
      <c r="D7616" s="58" t="inlineStr">
        <is>
          <t>Grocery</t>
        </is>
      </c>
      <c r="E7616" s="58" t="inlineStr">
        <is>
          <t>East</t>
        </is>
      </c>
      <c r="F7616" s="61" t="n">
        <v>3</v>
      </c>
      <c r="G7616" s="62" t="n">
        <v>18.8</v>
      </c>
      <c r="H7616" s="63" t="n">
        <v>0.023</v>
      </c>
      <c r="I7616" s="62" t="n">
        <v>13.22</v>
      </c>
      <c r="J7616" s="58" t="inlineStr">
        <is>
          <t>Store</t>
        </is>
      </c>
      <c r="K7616" s="62">
        <f>F7616*(G7616-H7616)</f>
        <v/>
      </c>
      <c r="L7616" s="62">
        <f>K7616-(F7616*I7616)</f>
        <v/>
      </c>
      <c r="M7616" s="64">
        <f>L7616/K7616</f>
        <v/>
      </c>
    </row>
    <row r="7617">
      <c r="A7617" s="58" t="inlineStr">
        <is>
          <t>RT20250710-07616</t>
        </is>
      </c>
      <c r="B7617" s="59" t="inlineStr">
        <is>
          <t>2025-07-10</t>
        </is>
      </c>
      <c r="C7617" s="60" t="inlineStr">
        <is>
          <t>Orion Supplie S-612</t>
        </is>
      </c>
      <c r="D7617" s="58" t="inlineStr">
        <is>
          <t>Office</t>
        </is>
      </c>
      <c r="E7617" s="58" t="inlineStr">
        <is>
          <t>North</t>
        </is>
      </c>
      <c r="F7617" s="61" t="n">
        <v>2</v>
      </c>
      <c r="G7617" s="62" t="n">
        <v>472.63</v>
      </c>
      <c r="H7617" s="63" t="n">
        <v>0.043</v>
      </c>
      <c r="I7617" s="62" t="n">
        <v>338.6</v>
      </c>
      <c r="J7617" s="58" t="inlineStr">
        <is>
          <t>Phone</t>
        </is>
      </c>
      <c r="K7617" s="62">
        <f>F7617*(G7617-H7617)</f>
        <v/>
      </c>
      <c r="L7617" s="62">
        <f>K7617-(F7617*I7617)</f>
        <v/>
      </c>
      <c r="M7617" s="64">
        <f>L7617/K7617</f>
        <v/>
      </c>
    </row>
    <row r="7618">
      <c r="A7618" s="58" t="inlineStr">
        <is>
          <t>RT20250710-07617</t>
        </is>
      </c>
      <c r="B7618" s="59" t="inlineStr">
        <is>
          <t>2025-07-10</t>
        </is>
      </c>
      <c r="C7618" s="60" t="inlineStr">
        <is>
          <t>Metro Beverage Max-490</t>
        </is>
      </c>
      <c r="D7618" s="58" t="inlineStr">
        <is>
          <t>Grocery</t>
        </is>
      </c>
      <c r="E7618" s="58" t="inlineStr">
        <is>
          <t>North</t>
        </is>
      </c>
      <c r="F7618" s="61" t="n">
        <v>4</v>
      </c>
      <c r="G7618" s="62" t="n">
        <v>11.24</v>
      </c>
      <c r="H7618" s="63" t="n">
        <v>0.047</v>
      </c>
      <c r="I7618" s="62" t="n">
        <v>8.220000000000001</v>
      </c>
      <c r="J7618" s="58" t="inlineStr">
        <is>
          <t>Online</t>
        </is>
      </c>
      <c r="K7618" s="62">
        <f>F7618*(G7618-H7618)</f>
        <v/>
      </c>
      <c r="L7618" s="62">
        <f>K7618-(F7618*I7618)</f>
        <v/>
      </c>
      <c r="M7618" s="64">
        <f>L7618/K7618</f>
        <v/>
      </c>
    </row>
    <row r="7619">
      <c r="A7619" s="58" t="inlineStr">
        <is>
          <t>RT20250710-07618</t>
        </is>
      </c>
      <c r="B7619" s="59" t="inlineStr">
        <is>
          <t>2025-07-10</t>
        </is>
      </c>
      <c r="C7619" s="60" t="inlineStr">
        <is>
          <t>Falcon Skincare X-334</t>
        </is>
      </c>
      <c r="D7619" s="58" t="inlineStr">
        <is>
          <t>Beauty</t>
        </is>
      </c>
      <c r="E7619" s="58" t="inlineStr">
        <is>
          <t>East</t>
        </is>
      </c>
      <c r="F7619" s="61" t="n">
        <v>5</v>
      </c>
      <c r="G7619" s="62" t="n">
        <v>106.01</v>
      </c>
      <c r="H7619" s="63" t="n">
        <v>0.041</v>
      </c>
      <c r="I7619" s="62" t="n">
        <v>65.39</v>
      </c>
      <c r="J7619" s="58" t="inlineStr">
        <is>
          <t>Online</t>
        </is>
      </c>
      <c r="K7619" s="62">
        <f>F7619*(G7619-H7619)</f>
        <v/>
      </c>
      <c r="L7619" s="62">
        <f>K7619-(F7619*I7619)</f>
        <v/>
      </c>
      <c r="M7619" s="64">
        <f>L7619/K7619</f>
        <v/>
      </c>
    </row>
    <row r="7620">
      <c r="A7620" s="58" t="inlineStr">
        <is>
          <t>RT20250710-07619</t>
        </is>
      </c>
      <c r="B7620" s="59" t="inlineStr">
        <is>
          <t>2025-07-10</t>
        </is>
      </c>
      <c r="C7620" s="60" t="inlineStr">
        <is>
          <t>Polar Haircare Max-614</t>
        </is>
      </c>
      <c r="D7620" s="58" t="inlineStr">
        <is>
          <t>Beauty</t>
        </is>
      </c>
      <c r="E7620" s="58" t="inlineStr">
        <is>
          <t>South</t>
        </is>
      </c>
      <c r="F7620" s="61" t="n">
        <v>1</v>
      </c>
      <c r="G7620" s="62" t="n">
        <v>120.21</v>
      </c>
      <c r="H7620" s="63" t="n">
        <v>0</v>
      </c>
      <c r="I7620" s="62" t="n">
        <v>70.7</v>
      </c>
      <c r="J7620" s="58" t="inlineStr">
        <is>
          <t>Store</t>
        </is>
      </c>
      <c r="K7620" s="62">
        <f>F7620*(G7620-H7620)</f>
        <v/>
      </c>
      <c r="L7620" s="62">
        <f>K7620-(F7620*I7620)</f>
        <v/>
      </c>
      <c r="M7620" s="64">
        <f>L7620/K7620</f>
        <v/>
      </c>
    </row>
    <row r="7621">
      <c r="A7621" s="58" t="inlineStr">
        <is>
          <t>RT20250710-07620</t>
        </is>
      </c>
      <c r="B7621" s="59" t="inlineStr">
        <is>
          <t>2025-07-10</t>
        </is>
      </c>
      <c r="C7621" s="60" t="inlineStr">
        <is>
          <t>Orion Laptop S-350</t>
        </is>
      </c>
      <c r="D7621" s="58" t="inlineStr">
        <is>
          <t>Electronics</t>
        </is>
      </c>
      <c r="E7621" s="58" t="inlineStr">
        <is>
          <t>North</t>
        </is>
      </c>
      <c r="F7621" s="61" t="n">
        <v>2</v>
      </c>
      <c r="G7621" s="62" t="n">
        <v>1401.14</v>
      </c>
      <c r="H7621" s="63" t="n">
        <v>0.08500000000000001</v>
      </c>
      <c r="I7621" s="62" t="n">
        <v>1092.9</v>
      </c>
      <c r="J7621" s="58" t="inlineStr">
        <is>
          <t>Store</t>
        </is>
      </c>
      <c r="K7621" s="62">
        <f>F7621*(G7621-H7621)</f>
        <v/>
      </c>
      <c r="L7621" s="62">
        <f>K7621-(F7621*I7621)</f>
        <v/>
      </c>
      <c r="M7621" s="64">
        <f>L7621/K7621</f>
        <v/>
      </c>
    </row>
    <row r="7622">
      <c r="A7622" s="58" t="inlineStr">
        <is>
          <t>RT20250710-07621</t>
        </is>
      </c>
      <c r="B7622" s="59" t="inlineStr">
        <is>
          <t>2025-07-10</t>
        </is>
      </c>
      <c r="C7622" s="60" t="inlineStr">
        <is>
          <t>Orion Supplie S-612</t>
        </is>
      </c>
      <c r="D7622" s="58" t="inlineStr">
        <is>
          <t>Office</t>
        </is>
      </c>
      <c r="E7622" s="58" t="inlineStr">
        <is>
          <t>Central</t>
        </is>
      </c>
      <c r="F7622" s="61" t="n">
        <v>3</v>
      </c>
      <c r="G7622" s="62" t="n">
        <v>412.98</v>
      </c>
      <c r="H7622" s="63" t="n">
        <v>0.029</v>
      </c>
      <c r="I7622" s="62" t="n">
        <v>338.68</v>
      </c>
      <c r="J7622" s="58" t="inlineStr">
        <is>
          <t>Online</t>
        </is>
      </c>
      <c r="K7622" s="62">
        <f>F7622*(G7622-H7622)</f>
        <v/>
      </c>
      <c r="L7622" s="62">
        <f>K7622-(F7622*I7622)</f>
        <v/>
      </c>
      <c r="M7622" s="64">
        <f>L7622/K7622</f>
        <v/>
      </c>
    </row>
    <row r="7623">
      <c r="A7623" s="58" t="inlineStr">
        <is>
          <t>RT20250710-07622</t>
        </is>
      </c>
      <c r="B7623" s="59" t="inlineStr">
        <is>
          <t>2025-07-10</t>
        </is>
      </c>
      <c r="C7623" s="60" t="inlineStr">
        <is>
          <t>Polar Decor Plus-505</t>
        </is>
      </c>
      <c r="D7623" s="58" t="inlineStr">
        <is>
          <t>Home</t>
        </is>
      </c>
      <c r="E7623" s="58" t="inlineStr">
        <is>
          <t>East</t>
        </is>
      </c>
      <c r="F7623" s="61" t="n">
        <v>2</v>
      </c>
      <c r="G7623" s="62" t="n">
        <v>260.87</v>
      </c>
      <c r="H7623" s="63" t="n">
        <v>0.076</v>
      </c>
      <c r="I7623" s="62" t="n">
        <v>195.24</v>
      </c>
      <c r="J7623" s="58" t="inlineStr">
        <is>
          <t>Store</t>
        </is>
      </c>
      <c r="K7623" s="62">
        <f>F7623*(G7623-H7623)</f>
        <v/>
      </c>
      <c r="L7623" s="62">
        <f>K7623-(F7623*I7623)</f>
        <v/>
      </c>
      <c r="M7623" s="64">
        <f>L7623/K7623</f>
        <v/>
      </c>
    </row>
    <row r="7624">
      <c r="A7624" s="58" t="inlineStr">
        <is>
          <t>RT20250710-07623</t>
        </is>
      </c>
      <c r="B7624" s="59" t="inlineStr">
        <is>
          <t>2025-07-10</t>
        </is>
      </c>
      <c r="C7624" s="60" t="inlineStr">
        <is>
          <t>Polar Fragrance Pro-750</t>
        </is>
      </c>
      <c r="D7624" s="58" t="inlineStr">
        <is>
          <t>Beauty</t>
        </is>
      </c>
      <c r="E7624" s="58" t="inlineStr">
        <is>
          <t>East</t>
        </is>
      </c>
      <c r="F7624" s="61" t="n">
        <v>2</v>
      </c>
      <c r="G7624" s="62" t="n">
        <v>61.94</v>
      </c>
      <c r="H7624" s="63" t="n">
        <v>0.113</v>
      </c>
      <c r="I7624" s="62" t="n">
        <v>37.02</v>
      </c>
      <c r="J7624" s="58" t="inlineStr">
        <is>
          <t>Online</t>
        </is>
      </c>
      <c r="K7624" s="62">
        <f>F7624*(G7624-H7624)</f>
        <v/>
      </c>
      <c r="L7624" s="62">
        <f>K7624-(F7624*I7624)</f>
        <v/>
      </c>
      <c r="M7624" s="64">
        <f>L7624/K7624</f>
        <v/>
      </c>
    </row>
    <row r="7625">
      <c r="A7625" s="58" t="inlineStr">
        <is>
          <t>RT20250710-07624</t>
        </is>
      </c>
      <c r="B7625" s="59" t="inlineStr">
        <is>
          <t>2025-07-10</t>
        </is>
      </c>
      <c r="C7625" s="60" t="inlineStr">
        <is>
          <t>Polar Bedding Lite-243</t>
        </is>
      </c>
      <c r="D7625" s="58" t="inlineStr">
        <is>
          <t>Home</t>
        </is>
      </c>
      <c r="E7625" s="58" t="inlineStr">
        <is>
          <t>North</t>
        </is>
      </c>
      <c r="F7625" s="61" t="n">
        <v>3</v>
      </c>
      <c r="G7625" s="62" t="n">
        <v>416.22</v>
      </c>
      <c r="H7625" s="63" t="n">
        <v>0.031</v>
      </c>
      <c r="I7625" s="62" t="n">
        <v>320.53</v>
      </c>
      <c r="J7625" s="58" t="inlineStr">
        <is>
          <t>Store</t>
        </is>
      </c>
      <c r="K7625" s="62">
        <f>F7625*(G7625-H7625)</f>
        <v/>
      </c>
      <c r="L7625" s="62">
        <f>K7625-(F7625*I7625)</f>
        <v/>
      </c>
      <c r="M7625" s="64">
        <f>L7625/K7625</f>
        <v/>
      </c>
    </row>
    <row r="7626">
      <c r="A7626" s="58" t="inlineStr">
        <is>
          <t>RT20250710-07625</t>
        </is>
      </c>
      <c r="B7626" s="59" t="inlineStr">
        <is>
          <t>2025-07-10</t>
        </is>
      </c>
      <c r="C7626" s="60" t="inlineStr">
        <is>
          <t>Aurora Household Plus-146</t>
        </is>
      </c>
      <c r="D7626" s="58" t="inlineStr">
        <is>
          <t>Grocery</t>
        </is>
      </c>
      <c r="E7626" s="58" t="inlineStr">
        <is>
          <t>South</t>
        </is>
      </c>
      <c r="F7626" s="61" t="n">
        <v>8</v>
      </c>
      <c r="G7626" s="62" t="n">
        <v>6.29</v>
      </c>
      <c r="H7626" s="63" t="n">
        <v>0.013</v>
      </c>
      <c r="I7626" s="62" t="n">
        <v>4.58</v>
      </c>
      <c r="J7626" s="58" t="inlineStr">
        <is>
          <t>Online</t>
        </is>
      </c>
      <c r="K7626" s="62">
        <f>F7626*(G7626-H7626)</f>
        <v/>
      </c>
      <c r="L7626" s="62">
        <f>K7626-(F7626*I7626)</f>
        <v/>
      </c>
      <c r="M7626" s="64">
        <f>L7626/K7626</f>
        <v/>
      </c>
    </row>
    <row r="7627">
      <c r="A7627" s="58" t="inlineStr">
        <is>
          <t>RT20250710-07626</t>
        </is>
      </c>
      <c r="B7627" s="59" t="inlineStr">
        <is>
          <t>2025-07-10</t>
        </is>
      </c>
      <c r="C7627" s="60" t="inlineStr">
        <is>
          <t>Vertex Fitnes Pro-830</t>
        </is>
      </c>
      <c r="D7627" s="58" t="inlineStr">
        <is>
          <t>Sports</t>
        </is>
      </c>
      <c r="E7627" s="58" t="inlineStr">
        <is>
          <t>East</t>
        </is>
      </c>
      <c r="F7627" s="61" t="n">
        <v>2</v>
      </c>
      <c r="G7627" s="62" t="n">
        <v>695.14</v>
      </c>
      <c r="H7627" s="63" t="n">
        <v>0.031</v>
      </c>
      <c r="I7627" s="62" t="n">
        <v>479.64</v>
      </c>
      <c r="J7627" s="58" t="inlineStr">
        <is>
          <t>Store</t>
        </is>
      </c>
      <c r="K7627" s="62">
        <f>F7627*(G7627-H7627)</f>
        <v/>
      </c>
      <c r="L7627" s="62">
        <f>K7627-(F7627*I7627)</f>
        <v/>
      </c>
      <c r="M7627" s="64">
        <f>L7627/K7627</f>
        <v/>
      </c>
    </row>
    <row r="7628">
      <c r="A7628" s="58" t="inlineStr">
        <is>
          <t>RT20250710-07627</t>
        </is>
      </c>
      <c r="B7628" s="59" t="inlineStr">
        <is>
          <t>2025-07-10</t>
        </is>
      </c>
      <c r="C7628" s="60" t="inlineStr">
        <is>
          <t>Solace Team Sport Max-548</t>
        </is>
      </c>
      <c r="D7628" s="58" t="inlineStr">
        <is>
          <t>Sports</t>
        </is>
      </c>
      <c r="E7628" s="58" t="inlineStr">
        <is>
          <t>North</t>
        </is>
      </c>
      <c r="F7628" s="61" t="n">
        <v>1</v>
      </c>
      <c r="G7628" s="62" t="n">
        <v>699.28</v>
      </c>
      <c r="H7628" s="63" t="n">
        <v>0.013</v>
      </c>
      <c r="I7628" s="62" t="n">
        <v>489.43</v>
      </c>
      <c r="J7628" s="58" t="inlineStr">
        <is>
          <t>Store</t>
        </is>
      </c>
      <c r="K7628" s="62">
        <f>F7628*(G7628-H7628)</f>
        <v/>
      </c>
      <c r="L7628" s="62">
        <f>K7628-(F7628*I7628)</f>
        <v/>
      </c>
      <c r="M7628" s="64">
        <f>L7628/K7628</f>
        <v/>
      </c>
    </row>
    <row r="7629">
      <c r="A7629" s="58" t="inlineStr">
        <is>
          <t>RT20250710-07628</t>
        </is>
      </c>
      <c r="B7629" s="59" t="inlineStr">
        <is>
          <t>2025-07-10</t>
        </is>
      </c>
      <c r="C7629" s="60" t="inlineStr">
        <is>
          <t>Vertex Appliance Max-338</t>
        </is>
      </c>
      <c r="D7629" s="58" t="inlineStr">
        <is>
          <t>Home</t>
        </is>
      </c>
      <c r="E7629" s="58" t="inlineStr">
        <is>
          <t>Central</t>
        </is>
      </c>
      <c r="F7629" s="61" t="n">
        <v>2</v>
      </c>
      <c r="G7629" s="62" t="n">
        <v>378.81</v>
      </c>
      <c r="H7629" s="63" t="n">
        <v>0.066</v>
      </c>
      <c r="I7629" s="62" t="n">
        <v>281.77</v>
      </c>
      <c r="J7629" s="58" t="inlineStr">
        <is>
          <t>Online</t>
        </is>
      </c>
      <c r="K7629" s="62">
        <f>F7629*(G7629-H7629)</f>
        <v/>
      </c>
      <c r="L7629" s="62">
        <f>K7629-(F7629*I7629)</f>
        <v/>
      </c>
      <c r="M7629" s="64">
        <f>L7629/K7629</f>
        <v/>
      </c>
    </row>
    <row r="7630">
      <c r="A7630" s="58" t="inlineStr">
        <is>
          <t>RT20250710-07629</t>
        </is>
      </c>
      <c r="B7630" s="59" t="inlineStr">
        <is>
          <t>2025-07-10</t>
        </is>
      </c>
      <c r="C7630" s="60" t="inlineStr">
        <is>
          <t>Aurora Appliance Max-316</t>
        </is>
      </c>
      <c r="D7630" s="58" t="inlineStr">
        <is>
          <t>Home</t>
        </is>
      </c>
      <c r="E7630" s="58" t="inlineStr">
        <is>
          <t>East</t>
        </is>
      </c>
      <c r="F7630" s="61" t="n">
        <v>1</v>
      </c>
      <c r="G7630" s="62" t="n">
        <v>307.48</v>
      </c>
      <c r="H7630" s="63" t="n">
        <v>0.136</v>
      </c>
      <c r="I7630" s="62" t="n">
        <v>210.03</v>
      </c>
      <c r="J7630" s="58" t="inlineStr">
        <is>
          <t>Online</t>
        </is>
      </c>
      <c r="K7630" s="62">
        <f>F7630*(G7630-H7630)</f>
        <v/>
      </c>
      <c r="L7630" s="62">
        <f>K7630-(F7630*I7630)</f>
        <v/>
      </c>
      <c r="M7630" s="64">
        <f>L7630/K7630</f>
        <v/>
      </c>
    </row>
    <row r="7631">
      <c r="A7631" s="58" t="inlineStr">
        <is>
          <t>RT20250710-07630</t>
        </is>
      </c>
      <c r="B7631" s="59" t="inlineStr">
        <is>
          <t>2025-07-10</t>
        </is>
      </c>
      <c r="C7631" s="60" t="inlineStr">
        <is>
          <t>Polar Wearable X-119</t>
        </is>
      </c>
      <c r="D7631" s="58" t="inlineStr">
        <is>
          <t>Electronics</t>
        </is>
      </c>
      <c r="E7631" s="58" t="inlineStr">
        <is>
          <t>West</t>
        </is>
      </c>
      <c r="F7631" s="61" t="n">
        <v>1</v>
      </c>
      <c r="G7631" s="62" t="n">
        <v>1753.16</v>
      </c>
      <c r="H7631" s="63" t="n">
        <v>0.049</v>
      </c>
      <c r="I7631" s="62" t="n">
        <v>1330.36</v>
      </c>
      <c r="J7631" s="58" t="inlineStr">
        <is>
          <t>Store</t>
        </is>
      </c>
      <c r="K7631" s="62">
        <f>F7631*(G7631-H7631)</f>
        <v/>
      </c>
      <c r="L7631" s="62">
        <f>K7631-(F7631*I7631)</f>
        <v/>
      </c>
      <c r="M7631" s="64">
        <f>L7631/K7631</f>
        <v/>
      </c>
    </row>
    <row r="7632">
      <c r="A7632" s="58" t="inlineStr">
        <is>
          <t>RT20250710-07631</t>
        </is>
      </c>
      <c r="B7632" s="59" t="inlineStr">
        <is>
          <t>2025-07-10</t>
        </is>
      </c>
      <c r="C7632" s="60" t="inlineStr">
        <is>
          <t>Polar Fragrance Pro-750</t>
        </is>
      </c>
      <c r="D7632" s="58" t="inlineStr">
        <is>
          <t>Beauty</t>
        </is>
      </c>
      <c r="E7632" s="58" t="inlineStr">
        <is>
          <t>North</t>
        </is>
      </c>
      <c r="F7632" s="61" t="n">
        <v>3</v>
      </c>
      <c r="G7632" s="62" t="n">
        <v>59.76</v>
      </c>
      <c r="H7632" s="63" t="n">
        <v>0.081</v>
      </c>
      <c r="I7632" s="62" t="n">
        <v>36.51</v>
      </c>
      <c r="J7632" s="58" t="inlineStr">
        <is>
          <t>Online</t>
        </is>
      </c>
      <c r="K7632" s="62">
        <f>F7632*(G7632-H7632)</f>
        <v/>
      </c>
      <c r="L7632" s="62">
        <f>K7632-(F7632*I7632)</f>
        <v/>
      </c>
      <c r="M7632" s="64">
        <f>L7632/K7632</f>
        <v/>
      </c>
    </row>
    <row r="7633">
      <c r="A7633" s="58" t="inlineStr">
        <is>
          <t>RT20250710-07632</t>
        </is>
      </c>
      <c r="B7633" s="59" t="inlineStr">
        <is>
          <t>2025-07-10</t>
        </is>
      </c>
      <c r="C7633" s="60" t="inlineStr">
        <is>
          <t>Vertex Men X-995</t>
        </is>
      </c>
      <c r="D7633" s="58" t="inlineStr">
        <is>
          <t>Apparel</t>
        </is>
      </c>
      <c r="E7633" s="58" t="inlineStr">
        <is>
          <t>Central</t>
        </is>
      </c>
      <c r="F7633" s="61" t="n">
        <v>2</v>
      </c>
      <c r="G7633" s="62" t="n">
        <v>104.53</v>
      </c>
      <c r="H7633" s="63" t="n">
        <v>0.108</v>
      </c>
      <c r="I7633" s="62" t="n">
        <v>58.58</v>
      </c>
      <c r="J7633" s="58" t="inlineStr">
        <is>
          <t>Online</t>
        </is>
      </c>
      <c r="K7633" s="62">
        <f>F7633*(G7633-H7633)</f>
        <v/>
      </c>
      <c r="L7633" s="62">
        <f>K7633-(F7633*I7633)</f>
        <v/>
      </c>
      <c r="M7633" s="64">
        <f>L7633/K7633</f>
        <v/>
      </c>
    </row>
    <row r="7634">
      <c r="A7634" s="58" t="inlineStr">
        <is>
          <t>RT20250710-07633</t>
        </is>
      </c>
      <c r="B7634" s="59" t="inlineStr">
        <is>
          <t>2025-07-10</t>
        </is>
      </c>
      <c r="C7634" s="60" t="inlineStr">
        <is>
          <t>Vertex Headphone Pro-801</t>
        </is>
      </c>
      <c r="D7634" s="58" t="inlineStr">
        <is>
          <t>Electronics</t>
        </is>
      </c>
      <c r="E7634" s="58" t="inlineStr">
        <is>
          <t>East</t>
        </is>
      </c>
      <c r="F7634" s="61" t="n">
        <v>2</v>
      </c>
      <c r="G7634" s="62" t="n">
        <v>1245.98</v>
      </c>
      <c r="H7634" s="63" t="n">
        <v>0</v>
      </c>
      <c r="I7634" s="62" t="n">
        <v>982.1799999999999</v>
      </c>
      <c r="J7634" s="58" t="inlineStr">
        <is>
          <t>Online</t>
        </is>
      </c>
      <c r="K7634" s="62">
        <f>F7634*(G7634-H7634)</f>
        <v/>
      </c>
      <c r="L7634" s="62">
        <f>K7634-(F7634*I7634)</f>
        <v/>
      </c>
      <c r="M7634" s="64">
        <f>L7634/K7634</f>
        <v/>
      </c>
    </row>
    <row r="7635">
      <c r="A7635" s="58" t="inlineStr">
        <is>
          <t>RT20250710-07634</t>
        </is>
      </c>
      <c r="B7635" s="59" t="inlineStr">
        <is>
          <t>2025-07-10</t>
        </is>
      </c>
      <c r="C7635" s="60" t="inlineStr">
        <is>
          <t>Aurora Skincare Max-798</t>
        </is>
      </c>
      <c r="D7635" s="58" t="inlineStr">
        <is>
          <t>Beauty</t>
        </is>
      </c>
      <c r="E7635" s="58" t="inlineStr">
        <is>
          <t>West</t>
        </is>
      </c>
      <c r="F7635" s="61" t="n">
        <v>3</v>
      </c>
      <c r="G7635" s="62" t="n">
        <v>110.84</v>
      </c>
      <c r="H7635" s="63" t="n">
        <v>0.115</v>
      </c>
      <c r="I7635" s="62" t="n">
        <v>67.59999999999999</v>
      </c>
      <c r="J7635" s="58" t="inlineStr">
        <is>
          <t>Online</t>
        </is>
      </c>
      <c r="K7635" s="62">
        <f>F7635*(G7635-H7635)</f>
        <v/>
      </c>
      <c r="L7635" s="62">
        <f>K7635-(F7635*I7635)</f>
        <v/>
      </c>
      <c r="M7635" s="64">
        <f>L7635/K7635</f>
        <v/>
      </c>
    </row>
    <row r="7636">
      <c r="A7636" s="58" t="inlineStr">
        <is>
          <t>RT20250710-07635</t>
        </is>
      </c>
      <c r="B7636" s="59" t="inlineStr">
        <is>
          <t>2025-07-10</t>
        </is>
      </c>
      <c r="C7636" s="60" t="inlineStr">
        <is>
          <t>Vertex Smartphone Pro-256</t>
        </is>
      </c>
      <c r="D7636" s="58" t="inlineStr">
        <is>
          <t>Electronics</t>
        </is>
      </c>
      <c r="E7636" s="58" t="inlineStr">
        <is>
          <t>Central</t>
        </is>
      </c>
      <c r="F7636" s="61" t="n">
        <v>1</v>
      </c>
      <c r="G7636" s="62" t="n">
        <v>1205.33</v>
      </c>
      <c r="H7636" s="63" t="n">
        <v>0.031</v>
      </c>
      <c r="I7636" s="62" t="n">
        <v>930.13</v>
      </c>
      <c r="J7636" s="58" t="inlineStr">
        <is>
          <t>Online</t>
        </is>
      </c>
      <c r="K7636" s="62">
        <f>F7636*(G7636-H7636)</f>
        <v/>
      </c>
      <c r="L7636" s="62">
        <f>K7636-(F7636*I7636)</f>
        <v/>
      </c>
      <c r="M7636" s="64">
        <f>L7636/K7636</f>
        <v/>
      </c>
    </row>
    <row r="7637">
      <c r="A7637" s="58" t="inlineStr">
        <is>
          <t>RT20250710-07636</t>
        </is>
      </c>
      <c r="B7637" s="59" t="inlineStr">
        <is>
          <t>2025-07-10</t>
        </is>
      </c>
      <c r="C7637" s="60" t="inlineStr">
        <is>
          <t>Aurora Skincare Max-798</t>
        </is>
      </c>
      <c r="D7637" s="58" t="inlineStr">
        <is>
          <t>Beauty</t>
        </is>
      </c>
      <c r="E7637" s="58" t="inlineStr">
        <is>
          <t>South</t>
        </is>
      </c>
      <c r="F7637" s="61" t="n">
        <v>5</v>
      </c>
      <c r="G7637" s="62" t="n">
        <v>98</v>
      </c>
      <c r="H7637" s="63" t="n">
        <v>0.08500000000000001</v>
      </c>
      <c r="I7637" s="62" t="n">
        <v>66.59</v>
      </c>
      <c r="J7637" s="58" t="inlineStr">
        <is>
          <t>Online</t>
        </is>
      </c>
      <c r="K7637" s="62">
        <f>F7637*(G7637-H7637)</f>
        <v/>
      </c>
      <c r="L7637" s="62">
        <f>K7637-(F7637*I7637)</f>
        <v/>
      </c>
      <c r="M7637" s="64">
        <f>L7637/K7637</f>
        <v/>
      </c>
    </row>
    <row r="7638">
      <c r="A7638" s="58" t="inlineStr">
        <is>
          <t>RT20250710-07637</t>
        </is>
      </c>
      <c r="B7638" s="59" t="inlineStr">
        <is>
          <t>2025-07-10</t>
        </is>
      </c>
      <c r="C7638" s="60" t="inlineStr">
        <is>
          <t>Solace Kitchen X-919</t>
        </is>
      </c>
      <c r="D7638" s="58" t="inlineStr">
        <is>
          <t>Home</t>
        </is>
      </c>
      <c r="E7638" s="58" t="inlineStr">
        <is>
          <t>East</t>
        </is>
      </c>
      <c r="F7638" s="61" t="n">
        <v>1</v>
      </c>
      <c r="G7638" s="62" t="n">
        <v>381.58</v>
      </c>
      <c r="H7638" s="63" t="n">
        <v>0.082</v>
      </c>
      <c r="I7638" s="62" t="n">
        <v>260.13</v>
      </c>
      <c r="J7638" s="58" t="inlineStr">
        <is>
          <t>Online</t>
        </is>
      </c>
      <c r="K7638" s="62">
        <f>F7638*(G7638-H7638)</f>
        <v/>
      </c>
      <c r="L7638" s="62">
        <f>K7638-(F7638*I7638)</f>
        <v/>
      </c>
      <c r="M7638" s="64">
        <f>L7638/K7638</f>
        <v/>
      </c>
    </row>
    <row r="7639">
      <c r="A7639" s="58" t="inlineStr">
        <is>
          <t>RT20250710-07638</t>
        </is>
      </c>
      <c r="B7639" s="59" t="inlineStr">
        <is>
          <t>2025-07-10</t>
        </is>
      </c>
      <c r="C7639" s="60" t="inlineStr">
        <is>
          <t>Nimbus Storage Plus-646</t>
        </is>
      </c>
      <c r="D7639" s="58" t="inlineStr">
        <is>
          <t>Office</t>
        </is>
      </c>
      <c r="E7639" s="58" t="inlineStr">
        <is>
          <t>East</t>
        </is>
      </c>
      <c r="F7639" s="61" t="n">
        <v>1</v>
      </c>
      <c r="G7639" s="62" t="n">
        <v>408.76</v>
      </c>
      <c r="H7639" s="63" t="n">
        <v>0.08699999999999999</v>
      </c>
      <c r="I7639" s="62" t="n">
        <v>318.8</v>
      </c>
      <c r="J7639" s="58" t="inlineStr">
        <is>
          <t>Online</t>
        </is>
      </c>
      <c r="K7639" s="62">
        <f>F7639*(G7639-H7639)</f>
        <v/>
      </c>
      <c r="L7639" s="62">
        <f>K7639-(F7639*I7639)</f>
        <v/>
      </c>
      <c r="M7639" s="64">
        <f>L7639/K7639</f>
        <v/>
      </c>
    </row>
    <row r="7640">
      <c r="A7640" s="58" t="inlineStr">
        <is>
          <t>RT20250710-07639</t>
        </is>
      </c>
      <c r="B7640" s="59" t="inlineStr">
        <is>
          <t>2025-07-10</t>
        </is>
      </c>
      <c r="C7640" s="60" t="inlineStr">
        <is>
          <t>Polar Decor Plus-505</t>
        </is>
      </c>
      <c r="D7640" s="58" t="inlineStr">
        <is>
          <t>Home</t>
        </is>
      </c>
      <c r="E7640" s="58" t="inlineStr">
        <is>
          <t>East</t>
        </is>
      </c>
      <c r="F7640" s="61" t="n">
        <v>1</v>
      </c>
      <c r="G7640" s="62" t="n">
        <v>276.77</v>
      </c>
      <c r="H7640" s="63" t="n">
        <v>0.042</v>
      </c>
      <c r="I7640" s="62" t="n">
        <v>202.99</v>
      </c>
      <c r="J7640" s="58" t="inlineStr">
        <is>
          <t>Store</t>
        </is>
      </c>
      <c r="K7640" s="62">
        <f>F7640*(G7640-H7640)</f>
        <v/>
      </c>
      <c r="L7640" s="62">
        <f>K7640-(F7640*I7640)</f>
        <v/>
      </c>
      <c r="M7640" s="64">
        <f>L7640/K7640</f>
        <v/>
      </c>
    </row>
    <row r="7641">
      <c r="A7641" s="58" t="inlineStr">
        <is>
          <t>RT20250710-07640</t>
        </is>
      </c>
      <c r="B7641" s="59" t="inlineStr">
        <is>
          <t>2025-07-10</t>
        </is>
      </c>
      <c r="C7641" s="60" t="inlineStr">
        <is>
          <t>Nimbus Headphone X-854</t>
        </is>
      </c>
      <c r="D7641" s="58" t="inlineStr">
        <is>
          <t>Electronics</t>
        </is>
      </c>
      <c r="E7641" s="58" t="inlineStr">
        <is>
          <t>North</t>
        </is>
      </c>
      <c r="F7641" s="61" t="n">
        <v>2</v>
      </c>
      <c r="G7641" s="62" t="n">
        <v>1647.81</v>
      </c>
      <c r="H7641" s="63" t="n">
        <v>0.122</v>
      </c>
      <c r="I7641" s="62" t="n">
        <v>1239.18</v>
      </c>
      <c r="J7641" s="58" t="inlineStr">
        <is>
          <t>Online</t>
        </is>
      </c>
      <c r="K7641" s="62">
        <f>F7641*(G7641-H7641)</f>
        <v/>
      </c>
      <c r="L7641" s="62">
        <f>K7641-(F7641*I7641)</f>
        <v/>
      </c>
      <c r="M7641" s="64">
        <f>L7641/K7641</f>
        <v/>
      </c>
    </row>
    <row r="7642">
      <c r="A7642" s="58" t="inlineStr">
        <is>
          <t>RT20250710-07641</t>
        </is>
      </c>
      <c r="B7642" s="59" t="inlineStr">
        <is>
          <t>2025-07-10</t>
        </is>
      </c>
      <c r="C7642" s="60" t="inlineStr">
        <is>
          <t>Solace Kitchen Pro-510</t>
        </is>
      </c>
      <c r="D7642" s="58" t="inlineStr">
        <is>
          <t>Home</t>
        </is>
      </c>
      <c r="E7642" s="58" t="inlineStr">
        <is>
          <t>West</t>
        </is>
      </c>
      <c r="F7642" s="61" t="n">
        <v>3</v>
      </c>
      <c r="G7642" s="62" t="n">
        <v>520.4</v>
      </c>
      <c r="H7642" s="63" t="n">
        <v>0.07000000000000001</v>
      </c>
      <c r="I7642" s="62" t="n">
        <v>302.55</v>
      </c>
      <c r="J7642" s="58" t="inlineStr">
        <is>
          <t>Store</t>
        </is>
      </c>
      <c r="K7642" s="62">
        <f>F7642*(G7642-H7642)</f>
        <v/>
      </c>
      <c r="L7642" s="62">
        <f>K7642-(F7642*I7642)</f>
        <v/>
      </c>
      <c r="M7642" s="64">
        <f>L7642/K7642</f>
        <v/>
      </c>
    </row>
    <row r="7643">
      <c r="A7643" s="58" t="inlineStr">
        <is>
          <t>RT20250710-07642</t>
        </is>
      </c>
      <c r="B7643" s="59" t="inlineStr">
        <is>
          <t>2025-07-10</t>
        </is>
      </c>
      <c r="C7643" s="60" t="inlineStr">
        <is>
          <t>Aurora Makeup S-626</t>
        </is>
      </c>
      <c r="D7643" s="58" t="inlineStr">
        <is>
          <t>Beauty</t>
        </is>
      </c>
      <c r="E7643" s="58" t="inlineStr">
        <is>
          <t>East</t>
        </is>
      </c>
      <c r="F7643" s="61" t="n">
        <v>4</v>
      </c>
      <c r="G7643" s="62" t="n">
        <v>95.41</v>
      </c>
      <c r="H7643" s="63" t="n">
        <v>0.053</v>
      </c>
      <c r="I7643" s="62" t="n">
        <v>61.98</v>
      </c>
      <c r="J7643" s="58" t="inlineStr">
        <is>
          <t>Store</t>
        </is>
      </c>
      <c r="K7643" s="62">
        <f>F7643*(G7643-H7643)</f>
        <v/>
      </c>
      <c r="L7643" s="62">
        <f>K7643-(F7643*I7643)</f>
        <v/>
      </c>
      <c r="M7643" s="64">
        <f>L7643/K7643</f>
        <v/>
      </c>
    </row>
    <row r="7644">
      <c r="A7644" s="58" t="inlineStr">
        <is>
          <t>RT20250710-07643</t>
        </is>
      </c>
      <c r="B7644" s="59" t="inlineStr">
        <is>
          <t>2025-07-10</t>
        </is>
      </c>
      <c r="C7644" s="60" t="inlineStr">
        <is>
          <t>Orion Men X-928</t>
        </is>
      </c>
      <c r="D7644" s="58" t="inlineStr">
        <is>
          <t>Apparel</t>
        </is>
      </c>
      <c r="E7644" s="58" t="inlineStr">
        <is>
          <t>North</t>
        </is>
      </c>
      <c r="F7644" s="61" t="n">
        <v>4</v>
      </c>
      <c r="G7644" s="62" t="n">
        <v>107.07</v>
      </c>
      <c r="H7644" s="63" t="n">
        <v>0.053</v>
      </c>
      <c r="I7644" s="62" t="n">
        <v>64.79000000000001</v>
      </c>
      <c r="J7644" s="58" t="inlineStr">
        <is>
          <t>Online</t>
        </is>
      </c>
      <c r="K7644" s="62">
        <f>F7644*(G7644-H7644)</f>
        <v/>
      </c>
      <c r="L7644" s="62">
        <f>K7644-(F7644*I7644)</f>
        <v/>
      </c>
      <c r="M7644" s="64">
        <f>L7644/K7644</f>
        <v/>
      </c>
    </row>
    <row r="7645">
      <c r="A7645" s="58" t="inlineStr">
        <is>
          <t>RT20250710-07644</t>
        </is>
      </c>
      <c r="B7645" s="59" t="inlineStr">
        <is>
          <t>2025-07-10</t>
        </is>
      </c>
      <c r="C7645" s="60" t="inlineStr">
        <is>
          <t>Nimbus Headphone X-854</t>
        </is>
      </c>
      <c r="D7645" s="58" t="inlineStr">
        <is>
          <t>Electronics</t>
        </is>
      </c>
      <c r="E7645" s="58" t="inlineStr">
        <is>
          <t>East</t>
        </is>
      </c>
      <c r="F7645" s="61" t="n">
        <v>2</v>
      </c>
      <c r="G7645" s="62" t="n">
        <v>1573.15</v>
      </c>
      <c r="H7645" s="63" t="n">
        <v>0.106</v>
      </c>
      <c r="I7645" s="62" t="n">
        <v>1280.52</v>
      </c>
      <c r="J7645" s="58" t="inlineStr">
        <is>
          <t>Online</t>
        </is>
      </c>
      <c r="K7645" s="62">
        <f>F7645*(G7645-H7645)</f>
        <v/>
      </c>
      <c r="L7645" s="62">
        <f>K7645-(F7645*I7645)</f>
        <v/>
      </c>
      <c r="M7645" s="64">
        <f>L7645/K7645</f>
        <v/>
      </c>
    </row>
    <row r="7646">
      <c r="A7646" s="58" t="inlineStr">
        <is>
          <t>RT20250710-07645</t>
        </is>
      </c>
      <c r="B7646" s="59" t="inlineStr">
        <is>
          <t>2025-07-10</t>
        </is>
      </c>
      <c r="C7646" s="60" t="inlineStr">
        <is>
          <t>Solace Smartphone Lite-533</t>
        </is>
      </c>
      <c r="D7646" s="58" t="inlineStr">
        <is>
          <t>Electronics</t>
        </is>
      </c>
      <c r="E7646" s="58" t="inlineStr">
        <is>
          <t>East</t>
        </is>
      </c>
      <c r="F7646" s="61" t="n">
        <v>2</v>
      </c>
      <c r="G7646" s="62" t="n">
        <v>1319.88</v>
      </c>
      <c r="H7646" s="63" t="n">
        <v>0.046</v>
      </c>
      <c r="I7646" s="62" t="n">
        <v>910.1</v>
      </c>
      <c r="J7646" s="58" t="inlineStr">
        <is>
          <t>Online</t>
        </is>
      </c>
      <c r="K7646" s="62">
        <f>F7646*(G7646-H7646)</f>
        <v/>
      </c>
      <c r="L7646" s="62">
        <f>K7646-(F7646*I7646)</f>
        <v/>
      </c>
      <c r="M7646" s="64">
        <f>L7646/K7646</f>
        <v/>
      </c>
    </row>
    <row r="7647">
      <c r="A7647" s="58" t="inlineStr">
        <is>
          <t>RT20250710-07646</t>
        </is>
      </c>
      <c r="B7647" s="59" t="inlineStr">
        <is>
          <t>2025-07-10</t>
        </is>
      </c>
      <c r="C7647" s="60" t="inlineStr">
        <is>
          <t>Solace Bedding Plus-317</t>
        </is>
      </c>
      <c r="D7647" s="58" t="inlineStr">
        <is>
          <t>Home</t>
        </is>
      </c>
      <c r="E7647" s="58" t="inlineStr">
        <is>
          <t>East</t>
        </is>
      </c>
      <c r="F7647" s="61" t="n">
        <v>2</v>
      </c>
      <c r="G7647" s="62" t="n">
        <v>593.87</v>
      </c>
      <c r="H7647" s="63" t="n">
        <v>0.057</v>
      </c>
      <c r="I7647" s="62" t="n">
        <v>374.1</v>
      </c>
      <c r="J7647" s="58" t="inlineStr">
        <is>
          <t>Store</t>
        </is>
      </c>
      <c r="K7647" s="62">
        <f>F7647*(G7647-H7647)</f>
        <v/>
      </c>
      <c r="L7647" s="62">
        <f>K7647-(F7647*I7647)</f>
        <v/>
      </c>
      <c r="M7647" s="64">
        <f>L7647/K7647</f>
        <v/>
      </c>
    </row>
    <row r="7648">
      <c r="A7648" s="58" t="inlineStr">
        <is>
          <t>RT20250711-07647</t>
        </is>
      </c>
      <c r="B7648" s="59" t="inlineStr">
        <is>
          <t>2025-07-11</t>
        </is>
      </c>
      <c r="C7648" s="60" t="inlineStr">
        <is>
          <t>Aurora Household Plus-146</t>
        </is>
      </c>
      <c r="D7648" s="58" t="inlineStr">
        <is>
          <t>Grocery</t>
        </is>
      </c>
      <c r="E7648" s="58" t="inlineStr">
        <is>
          <t>North</t>
        </is>
      </c>
      <c r="F7648" s="61" t="n">
        <v>5</v>
      </c>
      <c r="G7648" s="62" t="n">
        <v>6.69</v>
      </c>
      <c r="H7648" s="63" t="n">
        <v>0.113</v>
      </c>
      <c r="I7648" s="62" t="n">
        <v>4.63</v>
      </c>
      <c r="J7648" s="58" t="inlineStr">
        <is>
          <t>Store</t>
        </is>
      </c>
      <c r="K7648" s="62">
        <f>F7648*(G7648-H7648)</f>
        <v/>
      </c>
      <c r="L7648" s="62">
        <f>K7648-(F7648*I7648)</f>
        <v/>
      </c>
      <c r="M7648" s="64">
        <f>L7648/K7648</f>
        <v/>
      </c>
    </row>
    <row r="7649">
      <c r="A7649" s="58" t="inlineStr">
        <is>
          <t>RT20250711-07648</t>
        </is>
      </c>
      <c r="B7649" s="59" t="inlineStr">
        <is>
          <t>2025-07-11</t>
        </is>
      </c>
      <c r="C7649" s="60" t="inlineStr">
        <is>
          <t>Aurora Skincare Max-798</t>
        </is>
      </c>
      <c r="D7649" s="58" t="inlineStr">
        <is>
          <t>Beauty</t>
        </is>
      </c>
      <c r="E7649" s="58" t="inlineStr">
        <is>
          <t>South</t>
        </is>
      </c>
      <c r="F7649" s="61" t="n">
        <v>4</v>
      </c>
      <c r="G7649" s="62" t="n">
        <v>112.28</v>
      </c>
      <c r="H7649" s="63" t="n">
        <v>0.032</v>
      </c>
      <c r="I7649" s="62" t="n">
        <v>69.56</v>
      </c>
      <c r="J7649" s="58" t="inlineStr">
        <is>
          <t>Store</t>
        </is>
      </c>
      <c r="K7649" s="62">
        <f>F7649*(G7649-H7649)</f>
        <v/>
      </c>
      <c r="L7649" s="62">
        <f>K7649-(F7649*I7649)</f>
        <v/>
      </c>
      <c r="M7649" s="64">
        <f>L7649/K7649</f>
        <v/>
      </c>
    </row>
    <row r="7650">
      <c r="A7650" s="58" t="inlineStr">
        <is>
          <t>RT20250711-07649</t>
        </is>
      </c>
      <c r="B7650" s="59" t="inlineStr">
        <is>
          <t>2025-07-11</t>
        </is>
      </c>
      <c r="C7650" s="60" t="inlineStr">
        <is>
          <t>Solace Fitnes S-324</t>
        </is>
      </c>
      <c r="D7650" s="58" t="inlineStr">
        <is>
          <t>Sports</t>
        </is>
      </c>
      <c r="E7650" s="58" t="inlineStr">
        <is>
          <t>South</t>
        </is>
      </c>
      <c r="F7650" s="61" t="n">
        <v>1</v>
      </c>
      <c r="G7650" s="62" t="n">
        <v>732.26</v>
      </c>
      <c r="H7650" s="63" t="n">
        <v>0.07099999999999999</v>
      </c>
      <c r="I7650" s="62" t="n">
        <v>536.83</v>
      </c>
      <c r="J7650" s="58" t="inlineStr">
        <is>
          <t>Online</t>
        </is>
      </c>
      <c r="K7650" s="62">
        <f>F7650*(G7650-H7650)</f>
        <v/>
      </c>
      <c r="L7650" s="62">
        <f>K7650-(F7650*I7650)</f>
        <v/>
      </c>
      <c r="M7650" s="64">
        <f>L7650/K7650</f>
        <v/>
      </c>
    </row>
    <row r="7651">
      <c r="A7651" s="58" t="inlineStr">
        <is>
          <t>RT20250711-07650</t>
        </is>
      </c>
      <c r="B7651" s="59" t="inlineStr">
        <is>
          <t>2025-07-11</t>
        </is>
      </c>
      <c r="C7651" s="60" t="inlineStr">
        <is>
          <t>Aurora Printer Plus-723</t>
        </is>
      </c>
      <c r="D7651" s="58" t="inlineStr">
        <is>
          <t>Office</t>
        </is>
      </c>
      <c r="E7651" s="58" t="inlineStr">
        <is>
          <t>Central</t>
        </is>
      </c>
      <c r="F7651" s="61" t="n">
        <v>3</v>
      </c>
      <c r="G7651" s="62" t="n">
        <v>262.17</v>
      </c>
      <c r="H7651" s="63" t="n">
        <v>0.034</v>
      </c>
      <c r="I7651" s="62" t="n">
        <v>189.74</v>
      </c>
      <c r="J7651" s="58" t="inlineStr">
        <is>
          <t>Store</t>
        </is>
      </c>
      <c r="K7651" s="62">
        <f>F7651*(G7651-H7651)</f>
        <v/>
      </c>
      <c r="L7651" s="62">
        <f>K7651-(F7651*I7651)</f>
        <v/>
      </c>
      <c r="M7651" s="64">
        <f>L7651/K7651</f>
        <v/>
      </c>
    </row>
    <row r="7652">
      <c r="A7652" s="58" t="inlineStr">
        <is>
          <t>RT20250711-07651</t>
        </is>
      </c>
      <c r="B7652" s="59" t="inlineStr">
        <is>
          <t>2025-07-11</t>
        </is>
      </c>
      <c r="C7652" s="60" t="inlineStr">
        <is>
          <t>Orion Beverage Plus-949</t>
        </is>
      </c>
      <c r="D7652" s="58" t="inlineStr">
        <is>
          <t>Grocery</t>
        </is>
      </c>
      <c r="E7652" s="58" t="inlineStr">
        <is>
          <t>East</t>
        </is>
      </c>
      <c r="F7652" s="61" t="n">
        <v>1</v>
      </c>
      <c r="G7652" s="62" t="n">
        <v>18.63</v>
      </c>
      <c r="H7652" s="63" t="n">
        <v>0.025</v>
      </c>
      <c r="I7652" s="62" t="n">
        <v>13.31</v>
      </c>
      <c r="J7652" s="58" t="inlineStr">
        <is>
          <t>Store</t>
        </is>
      </c>
      <c r="K7652" s="62">
        <f>F7652*(G7652-H7652)</f>
        <v/>
      </c>
      <c r="L7652" s="62">
        <f>K7652-(F7652*I7652)</f>
        <v/>
      </c>
      <c r="M7652" s="64">
        <f>L7652/K7652</f>
        <v/>
      </c>
    </row>
    <row r="7653">
      <c r="A7653" s="58" t="inlineStr">
        <is>
          <t>RT20250711-07652</t>
        </is>
      </c>
      <c r="B7653" s="59" t="inlineStr">
        <is>
          <t>2025-07-11</t>
        </is>
      </c>
      <c r="C7653" s="60" t="inlineStr">
        <is>
          <t>Polar Decor Plus-505</t>
        </is>
      </c>
      <c r="D7653" s="58" t="inlineStr">
        <is>
          <t>Home</t>
        </is>
      </c>
      <c r="E7653" s="58" t="inlineStr">
        <is>
          <t>West</t>
        </is>
      </c>
      <c r="F7653" s="61" t="n">
        <v>3</v>
      </c>
      <c r="G7653" s="62" t="n">
        <v>290.69</v>
      </c>
      <c r="H7653" s="63" t="n">
        <v>0.054</v>
      </c>
      <c r="I7653" s="62" t="n">
        <v>195.48</v>
      </c>
      <c r="J7653" s="58" t="inlineStr">
        <is>
          <t>Online</t>
        </is>
      </c>
      <c r="K7653" s="62">
        <f>F7653*(G7653-H7653)</f>
        <v/>
      </c>
      <c r="L7653" s="62">
        <f>K7653-(F7653*I7653)</f>
        <v/>
      </c>
      <c r="M7653" s="64">
        <f>L7653/K7653</f>
        <v/>
      </c>
    </row>
    <row r="7654">
      <c r="A7654" s="58" t="inlineStr">
        <is>
          <t>RT20250711-07653</t>
        </is>
      </c>
      <c r="B7654" s="59" t="inlineStr">
        <is>
          <t>2025-07-11</t>
        </is>
      </c>
      <c r="C7654" s="60" t="inlineStr">
        <is>
          <t>Nimbus Fitnes Lite-516</t>
        </is>
      </c>
      <c r="D7654" s="58" t="inlineStr">
        <is>
          <t>Sports</t>
        </is>
      </c>
      <c r="E7654" s="58" t="inlineStr">
        <is>
          <t>Central</t>
        </is>
      </c>
      <c r="F7654" s="61" t="n">
        <v>1</v>
      </c>
      <c r="G7654" s="62" t="n">
        <v>707.3200000000001</v>
      </c>
      <c r="H7654" s="63" t="n">
        <v>0.028</v>
      </c>
      <c r="I7654" s="62" t="n">
        <v>484.11</v>
      </c>
      <c r="J7654" s="58" t="inlineStr">
        <is>
          <t>Store</t>
        </is>
      </c>
      <c r="K7654" s="62">
        <f>F7654*(G7654-H7654)</f>
        <v/>
      </c>
      <c r="L7654" s="62">
        <f>K7654-(F7654*I7654)</f>
        <v/>
      </c>
      <c r="M7654" s="64">
        <f>L7654/K7654</f>
        <v/>
      </c>
    </row>
    <row r="7655">
      <c r="A7655" s="58" t="inlineStr">
        <is>
          <t>RT20250711-07654</t>
        </is>
      </c>
      <c r="B7655" s="59" t="inlineStr">
        <is>
          <t>2025-07-11</t>
        </is>
      </c>
      <c r="C7655" s="60" t="inlineStr">
        <is>
          <t>Nimbus Cycling Plus-911</t>
        </is>
      </c>
      <c r="D7655" s="58" t="inlineStr">
        <is>
          <t>Sports</t>
        </is>
      </c>
      <c r="E7655" s="58" t="inlineStr">
        <is>
          <t>West</t>
        </is>
      </c>
      <c r="F7655" s="61" t="n">
        <v>1</v>
      </c>
      <c r="G7655" s="62" t="n">
        <v>701.9400000000001</v>
      </c>
      <c r="H7655" s="63" t="n">
        <v>0.015</v>
      </c>
      <c r="I7655" s="62" t="n">
        <v>383.86</v>
      </c>
      <c r="J7655" s="58" t="inlineStr">
        <is>
          <t>Store</t>
        </is>
      </c>
      <c r="K7655" s="62">
        <f>F7655*(G7655-H7655)</f>
        <v/>
      </c>
      <c r="L7655" s="62">
        <f>K7655-(F7655*I7655)</f>
        <v/>
      </c>
      <c r="M7655" s="64">
        <f>L7655/K7655</f>
        <v/>
      </c>
    </row>
    <row r="7656">
      <c r="A7656" s="58" t="inlineStr">
        <is>
          <t>RT20250711-07655</t>
        </is>
      </c>
      <c r="B7656" s="59" t="inlineStr">
        <is>
          <t>2025-07-11</t>
        </is>
      </c>
      <c r="C7656" s="60" t="inlineStr">
        <is>
          <t>Vertex Appliance S-159</t>
        </is>
      </c>
      <c r="D7656" s="58" t="inlineStr">
        <is>
          <t>Home</t>
        </is>
      </c>
      <c r="E7656" s="58" t="inlineStr">
        <is>
          <t>North</t>
        </is>
      </c>
      <c r="F7656" s="61" t="n">
        <v>2</v>
      </c>
      <c r="G7656" s="62" t="n">
        <v>414.39</v>
      </c>
      <c r="H7656" s="63" t="n">
        <v>0.046</v>
      </c>
      <c r="I7656" s="62" t="n">
        <v>299.09</v>
      </c>
      <c r="J7656" s="58" t="inlineStr">
        <is>
          <t>Store</t>
        </is>
      </c>
      <c r="K7656" s="62">
        <f>F7656*(G7656-H7656)</f>
        <v/>
      </c>
      <c r="L7656" s="62">
        <f>K7656-(F7656*I7656)</f>
        <v/>
      </c>
      <c r="M7656" s="64">
        <f>L7656/K7656</f>
        <v/>
      </c>
    </row>
    <row r="7657">
      <c r="A7657" s="58" t="inlineStr">
        <is>
          <t>RT20250711-07656</t>
        </is>
      </c>
      <c r="B7657" s="59" t="inlineStr">
        <is>
          <t>2025-07-11</t>
        </is>
      </c>
      <c r="C7657" s="60" t="inlineStr">
        <is>
          <t>Aurora Storage Lite-774</t>
        </is>
      </c>
      <c r="D7657" s="58" t="inlineStr">
        <is>
          <t>Office</t>
        </is>
      </c>
      <c r="E7657" s="58" t="inlineStr">
        <is>
          <t>East</t>
        </is>
      </c>
      <c r="F7657" s="61" t="n">
        <v>3</v>
      </c>
      <c r="G7657" s="62" t="n">
        <v>356.79</v>
      </c>
      <c r="H7657" s="63" t="n">
        <v>0.107</v>
      </c>
      <c r="I7657" s="62" t="n">
        <v>236.51</v>
      </c>
      <c r="J7657" s="58" t="inlineStr">
        <is>
          <t>Store</t>
        </is>
      </c>
      <c r="K7657" s="62">
        <f>F7657*(G7657-H7657)</f>
        <v/>
      </c>
      <c r="L7657" s="62">
        <f>K7657-(F7657*I7657)</f>
        <v/>
      </c>
      <c r="M7657" s="64">
        <f>L7657/K7657</f>
        <v/>
      </c>
    </row>
    <row r="7658">
      <c r="A7658" s="58" t="inlineStr">
        <is>
          <t>RT20250711-07657</t>
        </is>
      </c>
      <c r="B7658" s="59" t="inlineStr">
        <is>
          <t>2025-07-11</t>
        </is>
      </c>
      <c r="C7658" s="60" t="inlineStr">
        <is>
          <t>Solace Laptop S-367</t>
        </is>
      </c>
      <c r="D7658" s="58" t="inlineStr">
        <is>
          <t>Electronics</t>
        </is>
      </c>
      <c r="E7658" s="58" t="inlineStr">
        <is>
          <t>West</t>
        </is>
      </c>
      <c r="F7658" s="61" t="n">
        <v>1</v>
      </c>
      <c r="G7658" s="62" t="n">
        <v>2198</v>
      </c>
      <c r="H7658" s="63" t="n">
        <v>0.09</v>
      </c>
      <c r="I7658" s="62" t="n">
        <v>1576.76</v>
      </c>
      <c r="J7658" s="58" t="inlineStr">
        <is>
          <t>Online</t>
        </is>
      </c>
      <c r="K7658" s="62">
        <f>F7658*(G7658-H7658)</f>
        <v/>
      </c>
      <c r="L7658" s="62">
        <f>K7658-(F7658*I7658)</f>
        <v/>
      </c>
      <c r="M7658" s="64">
        <f>L7658/K7658</f>
        <v/>
      </c>
    </row>
    <row r="7659">
      <c r="A7659" s="58" t="inlineStr">
        <is>
          <t>RT20250711-07658</t>
        </is>
      </c>
      <c r="B7659" s="59" t="inlineStr">
        <is>
          <t>2025-07-11</t>
        </is>
      </c>
      <c r="C7659" s="60" t="inlineStr">
        <is>
          <t>Metro Decor Lite-325</t>
        </is>
      </c>
      <c r="D7659" s="58" t="inlineStr">
        <is>
          <t>Home</t>
        </is>
      </c>
      <c r="E7659" s="58" t="inlineStr">
        <is>
          <t>West</t>
        </is>
      </c>
      <c r="F7659" s="61" t="n">
        <v>3</v>
      </c>
      <c r="G7659" s="62" t="n">
        <v>556.62</v>
      </c>
      <c r="H7659" s="63" t="n">
        <v>0.062</v>
      </c>
      <c r="I7659" s="62" t="n">
        <v>370.55</v>
      </c>
      <c r="J7659" s="58" t="inlineStr">
        <is>
          <t>Store</t>
        </is>
      </c>
      <c r="K7659" s="62">
        <f>F7659*(G7659-H7659)</f>
        <v/>
      </c>
      <c r="L7659" s="62">
        <f>K7659-(F7659*I7659)</f>
        <v/>
      </c>
      <c r="M7659" s="64">
        <f>L7659/K7659</f>
        <v/>
      </c>
    </row>
    <row r="7660">
      <c r="A7660" s="58" t="inlineStr">
        <is>
          <t>RT20250711-07659</t>
        </is>
      </c>
      <c r="B7660" s="59" t="inlineStr">
        <is>
          <t>2025-07-11</t>
        </is>
      </c>
      <c r="C7660" s="60" t="inlineStr">
        <is>
          <t>Aurora Fitnes Lite-194</t>
        </is>
      </c>
      <c r="D7660" s="58" t="inlineStr">
        <is>
          <t>Sports</t>
        </is>
      </c>
      <c r="E7660" s="58" t="inlineStr">
        <is>
          <t>Central</t>
        </is>
      </c>
      <c r="F7660" s="61" t="n">
        <v>1</v>
      </c>
      <c r="G7660" s="62" t="n">
        <v>755.05</v>
      </c>
      <c r="H7660" s="63" t="n">
        <v>0.017</v>
      </c>
      <c r="I7660" s="62" t="n">
        <v>457.63</v>
      </c>
      <c r="J7660" s="58" t="inlineStr">
        <is>
          <t>Store</t>
        </is>
      </c>
      <c r="K7660" s="62">
        <f>F7660*(G7660-H7660)</f>
        <v/>
      </c>
      <c r="L7660" s="62">
        <f>K7660-(F7660*I7660)</f>
        <v/>
      </c>
      <c r="M7660" s="64">
        <f>L7660/K7660</f>
        <v/>
      </c>
    </row>
    <row r="7661">
      <c r="A7661" s="58" t="inlineStr">
        <is>
          <t>RT20250711-07660</t>
        </is>
      </c>
      <c r="B7661" s="59" t="inlineStr">
        <is>
          <t>2025-07-11</t>
        </is>
      </c>
      <c r="C7661" s="60" t="inlineStr">
        <is>
          <t>Falcon Accessorie S-195</t>
        </is>
      </c>
      <c r="D7661" s="58" t="inlineStr">
        <is>
          <t>Apparel</t>
        </is>
      </c>
      <c r="E7661" s="58" t="inlineStr">
        <is>
          <t>East</t>
        </is>
      </c>
      <c r="F7661" s="61" t="n">
        <v>3</v>
      </c>
      <c r="G7661" s="62" t="n">
        <v>59.61</v>
      </c>
      <c r="H7661" s="63" t="n">
        <v>0.027</v>
      </c>
      <c r="I7661" s="62" t="n">
        <v>41.86</v>
      </c>
      <c r="J7661" s="58" t="inlineStr">
        <is>
          <t>Online</t>
        </is>
      </c>
      <c r="K7661" s="62">
        <f>F7661*(G7661-H7661)</f>
        <v/>
      </c>
      <c r="L7661" s="62">
        <f>K7661-(F7661*I7661)</f>
        <v/>
      </c>
      <c r="M7661" s="64">
        <f>L7661/K7661</f>
        <v/>
      </c>
    </row>
    <row r="7662">
      <c r="A7662" s="58" t="inlineStr">
        <is>
          <t>RT20250711-07661</t>
        </is>
      </c>
      <c r="B7662" s="59" t="inlineStr">
        <is>
          <t>2025-07-11</t>
        </is>
      </c>
      <c r="C7662" s="60" t="inlineStr">
        <is>
          <t>Solace Team Sport Max-548</t>
        </is>
      </c>
      <c r="D7662" s="58" t="inlineStr">
        <is>
          <t>Sports</t>
        </is>
      </c>
      <c r="E7662" s="58" t="inlineStr">
        <is>
          <t>East</t>
        </is>
      </c>
      <c r="F7662" s="61" t="n">
        <v>2</v>
      </c>
      <c r="G7662" s="62" t="n">
        <v>692.67</v>
      </c>
      <c r="H7662" s="63" t="n">
        <v>0.112</v>
      </c>
      <c r="I7662" s="62" t="n">
        <v>473.45</v>
      </c>
      <c r="J7662" s="58" t="inlineStr">
        <is>
          <t>Store</t>
        </is>
      </c>
      <c r="K7662" s="62">
        <f>F7662*(G7662-H7662)</f>
        <v/>
      </c>
      <c r="L7662" s="62">
        <f>K7662-(F7662*I7662)</f>
        <v/>
      </c>
      <c r="M7662" s="64">
        <f>L7662/K7662</f>
        <v/>
      </c>
    </row>
    <row r="7663">
      <c r="A7663" s="58" t="inlineStr">
        <is>
          <t>RT20250711-07662</t>
        </is>
      </c>
      <c r="B7663" s="59" t="inlineStr">
        <is>
          <t>2025-07-11</t>
        </is>
      </c>
      <c r="C7663" s="60" t="inlineStr">
        <is>
          <t>Aurora Makeup S-626</t>
        </is>
      </c>
      <c r="D7663" s="58" t="inlineStr">
        <is>
          <t>Beauty</t>
        </is>
      </c>
      <c r="E7663" s="58" t="inlineStr">
        <is>
          <t>South</t>
        </is>
      </c>
      <c r="F7663" s="61" t="n">
        <v>4</v>
      </c>
      <c r="G7663" s="62" t="n">
        <v>107.64</v>
      </c>
      <c r="H7663" s="63" t="n">
        <v>0.051</v>
      </c>
      <c r="I7663" s="62" t="n">
        <v>64.18000000000001</v>
      </c>
      <c r="J7663" s="58" t="inlineStr">
        <is>
          <t>Online</t>
        </is>
      </c>
      <c r="K7663" s="62">
        <f>F7663*(G7663-H7663)</f>
        <v/>
      </c>
      <c r="L7663" s="62">
        <f>K7663-(F7663*I7663)</f>
        <v/>
      </c>
      <c r="M7663" s="64">
        <f>L7663/K7663</f>
        <v/>
      </c>
    </row>
    <row r="7664">
      <c r="A7664" s="58" t="inlineStr">
        <is>
          <t>RT20250711-07663</t>
        </is>
      </c>
      <c r="B7664" s="59" t="inlineStr">
        <is>
          <t>2025-07-11</t>
        </is>
      </c>
      <c r="C7664" s="60" t="inlineStr">
        <is>
          <t>Solace Snack S-691</t>
        </is>
      </c>
      <c r="D7664" s="58" t="inlineStr">
        <is>
          <t>Grocery</t>
        </is>
      </c>
      <c r="E7664" s="58" t="inlineStr">
        <is>
          <t>West</t>
        </is>
      </c>
      <c r="F7664" s="61" t="n">
        <v>2</v>
      </c>
      <c r="G7664" s="62" t="n">
        <v>9.449999999999999</v>
      </c>
      <c r="H7664" s="63" t="n">
        <v>0.045</v>
      </c>
      <c r="I7664" s="62" t="n">
        <v>6.99</v>
      </c>
      <c r="J7664" s="58" t="inlineStr">
        <is>
          <t>Online</t>
        </is>
      </c>
      <c r="K7664" s="62">
        <f>F7664*(G7664-H7664)</f>
        <v/>
      </c>
      <c r="L7664" s="62">
        <f>K7664-(F7664*I7664)</f>
        <v/>
      </c>
      <c r="M7664" s="64">
        <f>L7664/K7664</f>
        <v/>
      </c>
    </row>
    <row r="7665">
      <c r="A7665" s="58" t="inlineStr">
        <is>
          <t>RT20250711-07664</t>
        </is>
      </c>
      <c r="B7665" s="59" t="inlineStr">
        <is>
          <t>2025-07-11</t>
        </is>
      </c>
      <c r="C7665" s="60" t="inlineStr">
        <is>
          <t>Aurora Printer Plus-991</t>
        </is>
      </c>
      <c r="D7665" s="58" t="inlineStr">
        <is>
          <t>Office</t>
        </is>
      </c>
      <c r="E7665" s="58" t="inlineStr">
        <is>
          <t>South</t>
        </is>
      </c>
      <c r="F7665" s="61" t="n">
        <v>1</v>
      </c>
      <c r="G7665" s="62" t="n">
        <v>570.5700000000001</v>
      </c>
      <c r="H7665" s="63" t="n">
        <v>0.07099999999999999</v>
      </c>
      <c r="I7665" s="62" t="n">
        <v>370.62</v>
      </c>
      <c r="J7665" s="58" t="inlineStr">
        <is>
          <t>Store</t>
        </is>
      </c>
      <c r="K7665" s="62">
        <f>F7665*(G7665-H7665)</f>
        <v/>
      </c>
      <c r="L7665" s="62">
        <f>K7665-(F7665*I7665)</f>
        <v/>
      </c>
      <c r="M7665" s="64">
        <f>L7665/K7665</f>
        <v/>
      </c>
    </row>
    <row r="7666">
      <c r="A7666" s="58" t="inlineStr">
        <is>
          <t>RT20250711-07665</t>
        </is>
      </c>
      <c r="B7666" s="59" t="inlineStr">
        <is>
          <t>2025-07-11</t>
        </is>
      </c>
      <c r="C7666" s="60" t="inlineStr">
        <is>
          <t>Orion Storage Plus-961</t>
        </is>
      </c>
      <c r="D7666" s="58" t="inlineStr">
        <is>
          <t>Office</t>
        </is>
      </c>
      <c r="E7666" s="58" t="inlineStr">
        <is>
          <t>North</t>
        </is>
      </c>
      <c r="F7666" s="61" t="n">
        <v>3</v>
      </c>
      <c r="G7666" s="62" t="n">
        <v>463.11</v>
      </c>
      <c r="H7666" s="63" t="n">
        <v>0.109</v>
      </c>
      <c r="I7666" s="62" t="n">
        <v>359.97</v>
      </c>
      <c r="J7666" s="58" t="inlineStr">
        <is>
          <t>Online</t>
        </is>
      </c>
      <c r="K7666" s="62">
        <f>F7666*(G7666-H7666)</f>
        <v/>
      </c>
      <c r="L7666" s="62">
        <f>K7666-(F7666*I7666)</f>
        <v/>
      </c>
      <c r="M7666" s="64">
        <f>L7666/K7666</f>
        <v/>
      </c>
    </row>
    <row r="7667">
      <c r="A7667" s="58" t="inlineStr">
        <is>
          <t>RT20250711-07666</t>
        </is>
      </c>
      <c r="B7667" s="59" t="inlineStr">
        <is>
          <t>2025-07-11</t>
        </is>
      </c>
      <c r="C7667" s="60" t="inlineStr">
        <is>
          <t>Orion Haircare Plus-887</t>
        </is>
      </c>
      <c r="D7667" s="58" t="inlineStr">
        <is>
          <t>Beauty</t>
        </is>
      </c>
      <c r="E7667" s="58" t="inlineStr">
        <is>
          <t>South</t>
        </is>
      </c>
      <c r="F7667" s="61" t="n">
        <v>4</v>
      </c>
      <c r="G7667" s="62" t="n">
        <v>51.38</v>
      </c>
      <c r="H7667" s="63" t="n">
        <v>0.049</v>
      </c>
      <c r="I7667" s="62" t="n">
        <v>30.46</v>
      </c>
      <c r="J7667" s="58" t="inlineStr">
        <is>
          <t>Store</t>
        </is>
      </c>
      <c r="K7667" s="62">
        <f>F7667*(G7667-H7667)</f>
        <v/>
      </c>
      <c r="L7667" s="62">
        <f>K7667-(F7667*I7667)</f>
        <v/>
      </c>
      <c r="M7667" s="64">
        <f>L7667/K7667</f>
        <v/>
      </c>
    </row>
    <row r="7668">
      <c r="A7668" s="58" t="inlineStr">
        <is>
          <t>RT20250711-07667</t>
        </is>
      </c>
      <c r="B7668" s="59" t="inlineStr">
        <is>
          <t>2025-07-11</t>
        </is>
      </c>
      <c r="C7668" s="60" t="inlineStr">
        <is>
          <t>Nimbus Laptop Max-652</t>
        </is>
      </c>
      <c r="D7668" s="58" t="inlineStr">
        <is>
          <t>Electronics</t>
        </is>
      </c>
      <c r="E7668" s="58" t="inlineStr">
        <is>
          <t>South</t>
        </is>
      </c>
      <c r="F7668" s="61" t="n">
        <v>2</v>
      </c>
      <c r="G7668" s="62" t="n">
        <v>1137.98</v>
      </c>
      <c r="H7668" s="63" t="n">
        <v>0.077</v>
      </c>
      <c r="I7668" s="62" t="n">
        <v>1019.76</v>
      </c>
      <c r="J7668" s="58" t="inlineStr">
        <is>
          <t>Online</t>
        </is>
      </c>
      <c r="K7668" s="62">
        <f>F7668*(G7668-H7668)</f>
        <v/>
      </c>
      <c r="L7668" s="62">
        <f>K7668-(F7668*I7668)</f>
        <v/>
      </c>
      <c r="M7668" s="64">
        <f>L7668/K7668</f>
        <v/>
      </c>
    </row>
    <row r="7669">
      <c r="A7669" s="58" t="inlineStr">
        <is>
          <t>RT20250711-07668</t>
        </is>
      </c>
      <c r="B7669" s="59" t="inlineStr">
        <is>
          <t>2025-07-11</t>
        </is>
      </c>
      <c r="C7669" s="60" t="inlineStr">
        <is>
          <t>Nimbus Women Lite-814</t>
        </is>
      </c>
      <c r="D7669" s="58" t="inlineStr">
        <is>
          <t>Apparel</t>
        </is>
      </c>
      <c r="E7669" s="58" t="inlineStr">
        <is>
          <t>North</t>
        </is>
      </c>
      <c r="F7669" s="61" t="n">
        <v>3</v>
      </c>
      <c r="G7669" s="62" t="n">
        <v>151.24</v>
      </c>
      <c r="H7669" s="63" t="n">
        <v>0.022</v>
      </c>
      <c r="I7669" s="62" t="n">
        <v>81.77</v>
      </c>
      <c r="J7669" s="58" t="inlineStr">
        <is>
          <t>Store</t>
        </is>
      </c>
      <c r="K7669" s="62">
        <f>F7669*(G7669-H7669)</f>
        <v/>
      </c>
      <c r="L7669" s="62">
        <f>K7669-(F7669*I7669)</f>
        <v/>
      </c>
      <c r="M7669" s="64">
        <f>L7669/K7669</f>
        <v/>
      </c>
    </row>
    <row r="7670">
      <c r="A7670" s="58" t="inlineStr">
        <is>
          <t>RT20250711-07669</t>
        </is>
      </c>
      <c r="B7670" s="59" t="inlineStr">
        <is>
          <t>2025-07-11</t>
        </is>
      </c>
      <c r="C7670" s="60" t="inlineStr">
        <is>
          <t>Orion Snack X-322</t>
        </is>
      </c>
      <c r="D7670" s="58" t="inlineStr">
        <is>
          <t>Grocery</t>
        </is>
      </c>
      <c r="E7670" s="58" t="inlineStr">
        <is>
          <t>North</t>
        </is>
      </c>
      <c r="F7670" s="61" t="n">
        <v>3</v>
      </c>
      <c r="G7670" s="62" t="n">
        <v>14.82</v>
      </c>
      <c r="H7670" s="63" t="n">
        <v>0.06900000000000001</v>
      </c>
      <c r="I7670" s="62" t="n">
        <v>10.28</v>
      </c>
      <c r="J7670" s="58" t="inlineStr">
        <is>
          <t>Online</t>
        </is>
      </c>
      <c r="K7670" s="62">
        <f>F7670*(G7670-H7670)</f>
        <v/>
      </c>
      <c r="L7670" s="62">
        <f>K7670-(F7670*I7670)</f>
        <v/>
      </c>
      <c r="M7670" s="64">
        <f>L7670/K7670</f>
        <v/>
      </c>
    </row>
    <row r="7671">
      <c r="A7671" s="58" t="inlineStr">
        <is>
          <t>RT20250711-07670</t>
        </is>
      </c>
      <c r="B7671" s="59" t="inlineStr">
        <is>
          <t>2025-07-11</t>
        </is>
      </c>
      <c r="C7671" s="60" t="inlineStr">
        <is>
          <t>Polar Fragrance Pro-750</t>
        </is>
      </c>
      <c r="D7671" s="58" t="inlineStr">
        <is>
          <t>Beauty</t>
        </is>
      </c>
      <c r="E7671" s="58" t="inlineStr">
        <is>
          <t>Central</t>
        </is>
      </c>
      <c r="F7671" s="61" t="n">
        <v>3</v>
      </c>
      <c r="G7671" s="62" t="n">
        <v>58.61</v>
      </c>
      <c r="H7671" s="63" t="n">
        <v>0.059</v>
      </c>
      <c r="I7671" s="62" t="n">
        <v>36.13</v>
      </c>
      <c r="J7671" s="58" t="inlineStr">
        <is>
          <t>Store</t>
        </is>
      </c>
      <c r="K7671" s="62">
        <f>F7671*(G7671-H7671)</f>
        <v/>
      </c>
      <c r="L7671" s="62">
        <f>K7671-(F7671*I7671)</f>
        <v/>
      </c>
      <c r="M7671" s="64">
        <f>L7671/K7671</f>
        <v/>
      </c>
    </row>
    <row r="7672">
      <c r="A7672" s="58" t="inlineStr">
        <is>
          <t>RT20250711-07671</t>
        </is>
      </c>
      <c r="B7672" s="59" t="inlineStr">
        <is>
          <t>2025-07-11</t>
        </is>
      </c>
      <c r="C7672" s="60" t="inlineStr">
        <is>
          <t>Polar Outdoor Lite-318</t>
        </is>
      </c>
      <c r="D7672" s="58" t="inlineStr">
        <is>
          <t>Sports</t>
        </is>
      </c>
      <c r="E7672" s="58" t="inlineStr">
        <is>
          <t>East</t>
        </is>
      </c>
      <c r="F7672" s="61" t="n">
        <v>3</v>
      </c>
      <c r="G7672" s="62" t="n">
        <v>614.8200000000001</v>
      </c>
      <c r="H7672" s="63" t="n">
        <v>0.012</v>
      </c>
      <c r="I7672" s="62" t="n">
        <v>476.82</v>
      </c>
      <c r="J7672" s="58" t="inlineStr">
        <is>
          <t>Store</t>
        </is>
      </c>
      <c r="K7672" s="62">
        <f>F7672*(G7672-H7672)</f>
        <v/>
      </c>
      <c r="L7672" s="62">
        <f>K7672-(F7672*I7672)</f>
        <v/>
      </c>
      <c r="M7672" s="64">
        <f>L7672/K7672</f>
        <v/>
      </c>
    </row>
    <row r="7673">
      <c r="A7673" s="58" t="inlineStr">
        <is>
          <t>RT20250711-07672</t>
        </is>
      </c>
      <c r="B7673" s="59" t="inlineStr">
        <is>
          <t>2025-07-11</t>
        </is>
      </c>
      <c r="C7673" s="60" t="inlineStr">
        <is>
          <t>Nimbus Makeup Max-158</t>
        </is>
      </c>
      <c r="D7673" s="58" t="inlineStr">
        <is>
          <t>Beauty</t>
        </is>
      </c>
      <c r="E7673" s="58" t="inlineStr">
        <is>
          <t>West</t>
        </is>
      </c>
      <c r="F7673" s="61" t="n">
        <v>1</v>
      </c>
      <c r="G7673" s="62" t="n">
        <v>164.55</v>
      </c>
      <c r="H7673" s="63" t="n">
        <v>0.028</v>
      </c>
      <c r="I7673" s="62" t="n">
        <v>98.81</v>
      </c>
      <c r="J7673" s="58" t="inlineStr">
        <is>
          <t>Online</t>
        </is>
      </c>
      <c r="K7673" s="62">
        <f>F7673*(G7673-H7673)</f>
        <v/>
      </c>
      <c r="L7673" s="62">
        <f>K7673-(F7673*I7673)</f>
        <v/>
      </c>
      <c r="M7673" s="64">
        <f>L7673/K7673</f>
        <v/>
      </c>
    </row>
    <row r="7674">
      <c r="A7674" s="58" t="inlineStr">
        <is>
          <t>RT20250711-07673</t>
        </is>
      </c>
      <c r="B7674" s="59" t="inlineStr">
        <is>
          <t>2025-07-11</t>
        </is>
      </c>
      <c r="C7674" s="60" t="inlineStr">
        <is>
          <t>Vertex Smartphone Pro-256</t>
        </is>
      </c>
      <c r="D7674" s="58" t="inlineStr">
        <is>
          <t>Electronics</t>
        </is>
      </c>
      <c r="E7674" s="58" t="inlineStr">
        <is>
          <t>East</t>
        </is>
      </c>
      <c r="F7674" s="61" t="n">
        <v>1</v>
      </c>
      <c r="G7674" s="62" t="n">
        <v>1182.56</v>
      </c>
      <c r="H7674" s="63" t="n">
        <v>0.08400000000000001</v>
      </c>
      <c r="I7674" s="62" t="n">
        <v>936.72</v>
      </c>
      <c r="J7674" s="58" t="inlineStr">
        <is>
          <t>Phone</t>
        </is>
      </c>
      <c r="K7674" s="62">
        <f>F7674*(G7674-H7674)</f>
        <v/>
      </c>
      <c r="L7674" s="62">
        <f>K7674-(F7674*I7674)</f>
        <v/>
      </c>
      <c r="M7674" s="64">
        <f>L7674/K7674</f>
        <v/>
      </c>
    </row>
    <row r="7675">
      <c r="A7675" s="58" t="inlineStr">
        <is>
          <t>RT20250711-07674</t>
        </is>
      </c>
      <c r="B7675" s="59" t="inlineStr">
        <is>
          <t>2025-07-11</t>
        </is>
      </c>
      <c r="C7675" s="60" t="inlineStr">
        <is>
          <t>Solace Kitchen X-919</t>
        </is>
      </c>
      <c r="D7675" s="58" t="inlineStr">
        <is>
          <t>Home</t>
        </is>
      </c>
      <c r="E7675" s="58" t="inlineStr">
        <is>
          <t>East</t>
        </is>
      </c>
      <c r="F7675" s="61" t="n">
        <v>3</v>
      </c>
      <c r="G7675" s="62" t="n">
        <v>366.81</v>
      </c>
      <c r="H7675" s="63" t="n">
        <v>0.074</v>
      </c>
      <c r="I7675" s="62" t="n">
        <v>258.52</v>
      </c>
      <c r="J7675" s="58" t="inlineStr">
        <is>
          <t>Online</t>
        </is>
      </c>
      <c r="K7675" s="62">
        <f>F7675*(G7675-H7675)</f>
        <v/>
      </c>
      <c r="L7675" s="62">
        <f>K7675-(F7675*I7675)</f>
        <v/>
      </c>
      <c r="M7675" s="64">
        <f>L7675/K7675</f>
        <v/>
      </c>
    </row>
    <row r="7676">
      <c r="A7676" s="58" t="inlineStr">
        <is>
          <t>RT20250712-07675</t>
        </is>
      </c>
      <c r="B7676" s="59" t="inlineStr">
        <is>
          <t>2025-07-12</t>
        </is>
      </c>
      <c r="C7676" s="60" t="inlineStr">
        <is>
          <t>Vertex Printer Max-692</t>
        </is>
      </c>
      <c r="D7676" s="58" t="inlineStr">
        <is>
          <t>Office</t>
        </is>
      </c>
      <c r="E7676" s="58" t="inlineStr">
        <is>
          <t>West</t>
        </is>
      </c>
      <c r="F7676" s="61" t="n">
        <v>2</v>
      </c>
      <c r="G7676" s="62" t="n">
        <v>178.09</v>
      </c>
      <c r="H7676" s="63" t="n">
        <v>0.09</v>
      </c>
      <c r="I7676" s="62" t="n">
        <v>122.79</v>
      </c>
      <c r="J7676" s="58" t="inlineStr">
        <is>
          <t>Online</t>
        </is>
      </c>
      <c r="K7676" s="62">
        <f>F7676*(G7676-H7676)</f>
        <v/>
      </c>
      <c r="L7676" s="62">
        <f>K7676-(F7676*I7676)</f>
        <v/>
      </c>
      <c r="M7676" s="64">
        <f>L7676/K7676</f>
        <v/>
      </c>
    </row>
    <row r="7677">
      <c r="A7677" s="58" t="inlineStr">
        <is>
          <t>RT20250712-07676</t>
        </is>
      </c>
      <c r="B7677" s="59" t="inlineStr">
        <is>
          <t>2025-07-12</t>
        </is>
      </c>
      <c r="C7677" s="60" t="inlineStr">
        <is>
          <t>Polar Outdoor Lite-318</t>
        </is>
      </c>
      <c r="D7677" s="58" t="inlineStr">
        <is>
          <t>Sports</t>
        </is>
      </c>
      <c r="E7677" s="58" t="inlineStr">
        <is>
          <t>West</t>
        </is>
      </c>
      <c r="F7677" s="61" t="n">
        <v>2</v>
      </c>
      <c r="G7677" s="62" t="n">
        <v>681.83</v>
      </c>
      <c r="H7677" s="63" t="n">
        <v>0.045</v>
      </c>
      <c r="I7677" s="62" t="n">
        <v>474.92</v>
      </c>
      <c r="J7677" s="58" t="inlineStr">
        <is>
          <t>Online</t>
        </is>
      </c>
      <c r="K7677" s="62">
        <f>F7677*(G7677-H7677)</f>
        <v/>
      </c>
      <c r="L7677" s="62">
        <f>K7677-(F7677*I7677)</f>
        <v/>
      </c>
      <c r="M7677" s="64">
        <f>L7677/K7677</f>
        <v/>
      </c>
    </row>
    <row r="7678">
      <c r="A7678" s="58" t="inlineStr">
        <is>
          <t>RT20250712-07677</t>
        </is>
      </c>
      <c r="B7678" s="59" t="inlineStr">
        <is>
          <t>2025-07-12</t>
        </is>
      </c>
      <c r="C7678" s="60" t="inlineStr">
        <is>
          <t>Vertex Headphone Pro-801</t>
        </is>
      </c>
      <c r="D7678" s="58" t="inlineStr">
        <is>
          <t>Electronics</t>
        </is>
      </c>
      <c r="E7678" s="58" t="inlineStr">
        <is>
          <t>South</t>
        </is>
      </c>
      <c r="F7678" s="61" t="n">
        <v>1</v>
      </c>
      <c r="G7678" s="62" t="n">
        <v>1232.85</v>
      </c>
      <c r="H7678" s="63" t="n">
        <v>0.054</v>
      </c>
      <c r="I7678" s="62" t="n">
        <v>969.95</v>
      </c>
      <c r="J7678" s="58" t="inlineStr">
        <is>
          <t>Online</t>
        </is>
      </c>
      <c r="K7678" s="62">
        <f>F7678*(G7678-H7678)</f>
        <v/>
      </c>
      <c r="L7678" s="62">
        <f>K7678-(F7678*I7678)</f>
        <v/>
      </c>
      <c r="M7678" s="64">
        <f>L7678/K7678</f>
        <v/>
      </c>
    </row>
    <row r="7679">
      <c r="A7679" s="58" t="inlineStr">
        <is>
          <t>RT20250712-07678</t>
        </is>
      </c>
      <c r="B7679" s="59" t="inlineStr">
        <is>
          <t>2025-07-12</t>
        </is>
      </c>
      <c r="C7679" s="60" t="inlineStr">
        <is>
          <t>Aurora Printer Plus-991</t>
        </is>
      </c>
      <c r="D7679" s="58" t="inlineStr">
        <is>
          <t>Office</t>
        </is>
      </c>
      <c r="E7679" s="58" t="inlineStr">
        <is>
          <t>East</t>
        </is>
      </c>
      <c r="F7679" s="61" t="n">
        <v>1</v>
      </c>
      <c r="G7679" s="62" t="n">
        <v>508.46</v>
      </c>
      <c r="H7679" s="63" t="n">
        <v>0.047</v>
      </c>
      <c r="I7679" s="62" t="n">
        <v>362.4</v>
      </c>
      <c r="J7679" s="58" t="inlineStr">
        <is>
          <t>Phone</t>
        </is>
      </c>
      <c r="K7679" s="62">
        <f>F7679*(G7679-H7679)</f>
        <v/>
      </c>
      <c r="L7679" s="62">
        <f>K7679-(F7679*I7679)</f>
        <v/>
      </c>
      <c r="M7679" s="64">
        <f>L7679/K7679</f>
        <v/>
      </c>
    </row>
    <row r="7680">
      <c r="A7680" s="58" t="inlineStr">
        <is>
          <t>RT20250712-07679</t>
        </is>
      </c>
      <c r="B7680" s="59" t="inlineStr">
        <is>
          <t>2025-07-12</t>
        </is>
      </c>
      <c r="C7680" s="60" t="inlineStr">
        <is>
          <t>Polar Women Max-927</t>
        </is>
      </c>
      <c r="D7680" s="58" t="inlineStr">
        <is>
          <t>Apparel</t>
        </is>
      </c>
      <c r="E7680" s="58" t="inlineStr">
        <is>
          <t>South</t>
        </is>
      </c>
      <c r="F7680" s="61" t="n">
        <v>4</v>
      </c>
      <c r="G7680" s="62" t="n">
        <v>123.56</v>
      </c>
      <c r="H7680" s="63" t="n">
        <v>0.109</v>
      </c>
      <c r="I7680" s="62" t="n">
        <v>65.47</v>
      </c>
      <c r="J7680" s="58" t="inlineStr">
        <is>
          <t>Store</t>
        </is>
      </c>
      <c r="K7680" s="62">
        <f>F7680*(G7680-H7680)</f>
        <v/>
      </c>
      <c r="L7680" s="62">
        <f>K7680-(F7680*I7680)</f>
        <v/>
      </c>
      <c r="M7680" s="64">
        <f>L7680/K7680</f>
        <v/>
      </c>
    </row>
    <row r="7681">
      <c r="A7681" s="58" t="inlineStr">
        <is>
          <t>RT20250712-07680</t>
        </is>
      </c>
      <c r="B7681" s="59" t="inlineStr">
        <is>
          <t>2025-07-12</t>
        </is>
      </c>
      <c r="C7681" s="60" t="inlineStr">
        <is>
          <t>Falcon Accessorie S-195</t>
        </is>
      </c>
      <c r="D7681" s="58" t="inlineStr">
        <is>
          <t>Apparel</t>
        </is>
      </c>
      <c r="E7681" s="58" t="inlineStr">
        <is>
          <t>East</t>
        </is>
      </c>
      <c r="F7681" s="61" t="n">
        <v>4</v>
      </c>
      <c r="G7681" s="62" t="n">
        <v>82.8</v>
      </c>
      <c r="H7681" s="63" t="n">
        <v>0.08400000000000001</v>
      </c>
      <c r="I7681" s="62" t="n">
        <v>42.5</v>
      </c>
      <c r="J7681" s="58" t="inlineStr">
        <is>
          <t>Phone</t>
        </is>
      </c>
      <c r="K7681" s="62">
        <f>F7681*(G7681-H7681)</f>
        <v/>
      </c>
      <c r="L7681" s="62">
        <f>K7681-(F7681*I7681)</f>
        <v/>
      </c>
      <c r="M7681" s="64">
        <f>L7681/K7681</f>
        <v/>
      </c>
    </row>
    <row r="7682">
      <c r="A7682" s="58" t="inlineStr">
        <is>
          <t>RT20250712-07681</t>
        </is>
      </c>
      <c r="B7682" s="59" t="inlineStr">
        <is>
          <t>2025-07-12</t>
        </is>
      </c>
      <c r="C7682" s="60" t="inlineStr">
        <is>
          <t>Orion Kid Max-640</t>
        </is>
      </c>
      <c r="D7682" s="58" t="inlineStr">
        <is>
          <t>Apparel</t>
        </is>
      </c>
      <c r="E7682" s="58" t="inlineStr">
        <is>
          <t>South</t>
        </is>
      </c>
      <c r="F7682" s="61" t="n">
        <v>1</v>
      </c>
      <c r="G7682" s="62" t="n">
        <v>121.24</v>
      </c>
      <c r="H7682" s="63" t="n">
        <v>0.002</v>
      </c>
      <c r="I7682" s="62" t="n">
        <v>72.84999999999999</v>
      </c>
      <c r="J7682" s="58" t="inlineStr">
        <is>
          <t>Online</t>
        </is>
      </c>
      <c r="K7682" s="62">
        <f>F7682*(G7682-H7682)</f>
        <v/>
      </c>
      <c r="L7682" s="62">
        <f>K7682-(F7682*I7682)</f>
        <v/>
      </c>
      <c r="M7682" s="64">
        <f>L7682/K7682</f>
        <v/>
      </c>
    </row>
    <row r="7683">
      <c r="A7683" s="58" t="inlineStr">
        <is>
          <t>RT20250712-07682</t>
        </is>
      </c>
      <c r="B7683" s="59" t="inlineStr">
        <is>
          <t>2025-07-12</t>
        </is>
      </c>
      <c r="C7683" s="60" t="inlineStr">
        <is>
          <t>Metro Beverage Max-490</t>
        </is>
      </c>
      <c r="D7683" s="58" t="inlineStr">
        <is>
          <t>Grocery</t>
        </is>
      </c>
      <c r="E7683" s="58" t="inlineStr">
        <is>
          <t>West</t>
        </is>
      </c>
      <c r="F7683" s="61" t="n">
        <v>2</v>
      </c>
      <c r="G7683" s="62" t="n">
        <v>10.92</v>
      </c>
      <c r="H7683" s="63" t="n">
        <v>0.07099999999999999</v>
      </c>
      <c r="I7683" s="62" t="n">
        <v>8.039999999999999</v>
      </c>
      <c r="J7683" s="58" t="inlineStr">
        <is>
          <t>Online</t>
        </is>
      </c>
      <c r="K7683" s="62">
        <f>F7683*(G7683-H7683)</f>
        <v/>
      </c>
      <c r="L7683" s="62">
        <f>K7683-(F7683*I7683)</f>
        <v/>
      </c>
      <c r="M7683" s="64">
        <f>L7683/K7683</f>
        <v/>
      </c>
    </row>
    <row r="7684">
      <c r="A7684" s="58" t="inlineStr">
        <is>
          <t>RT20250712-07683</t>
        </is>
      </c>
      <c r="B7684" s="59" t="inlineStr">
        <is>
          <t>2025-07-12</t>
        </is>
      </c>
      <c r="C7684" s="60" t="inlineStr">
        <is>
          <t>Vertex Printer Max-692</t>
        </is>
      </c>
      <c r="D7684" s="58" t="inlineStr">
        <is>
          <t>Office</t>
        </is>
      </c>
      <c r="E7684" s="58" t="inlineStr">
        <is>
          <t>East</t>
        </is>
      </c>
      <c r="F7684" s="61" t="n">
        <v>2</v>
      </c>
      <c r="G7684" s="62" t="n">
        <v>177.9</v>
      </c>
      <c r="H7684" s="63" t="n">
        <v>0.025</v>
      </c>
      <c r="I7684" s="62" t="n">
        <v>126.17</v>
      </c>
      <c r="J7684" s="58" t="inlineStr">
        <is>
          <t>Online</t>
        </is>
      </c>
      <c r="K7684" s="62">
        <f>F7684*(G7684-H7684)</f>
        <v/>
      </c>
      <c r="L7684" s="62">
        <f>K7684-(F7684*I7684)</f>
        <v/>
      </c>
      <c r="M7684" s="64">
        <f>L7684/K7684</f>
        <v/>
      </c>
    </row>
    <row r="7685">
      <c r="A7685" s="58" t="inlineStr">
        <is>
          <t>RT20250712-07684</t>
        </is>
      </c>
      <c r="B7685" s="59" t="inlineStr">
        <is>
          <t>2025-07-12</t>
        </is>
      </c>
      <c r="C7685" s="60" t="inlineStr">
        <is>
          <t>Falcon Headphone Pro-713</t>
        </is>
      </c>
      <c r="D7685" s="58" t="inlineStr">
        <is>
          <t>Electronics</t>
        </is>
      </c>
      <c r="E7685" s="58" t="inlineStr">
        <is>
          <t>East</t>
        </is>
      </c>
      <c r="F7685" s="61" t="n">
        <v>2</v>
      </c>
      <c r="G7685" s="62" t="n">
        <v>1435.94</v>
      </c>
      <c r="H7685" s="63" t="n">
        <v>0.068</v>
      </c>
      <c r="I7685" s="62" t="n">
        <v>1193.93</v>
      </c>
      <c r="J7685" s="58" t="inlineStr">
        <is>
          <t>Store</t>
        </is>
      </c>
      <c r="K7685" s="62">
        <f>F7685*(G7685-H7685)</f>
        <v/>
      </c>
      <c r="L7685" s="62">
        <f>K7685-(F7685*I7685)</f>
        <v/>
      </c>
      <c r="M7685" s="64">
        <f>L7685/K7685</f>
        <v/>
      </c>
    </row>
    <row r="7686">
      <c r="A7686" s="58" t="inlineStr">
        <is>
          <t>RT20250712-07685</t>
        </is>
      </c>
      <c r="B7686" s="59" t="inlineStr">
        <is>
          <t>2025-07-12</t>
        </is>
      </c>
      <c r="C7686" s="60" t="inlineStr">
        <is>
          <t>Aurora Team Sport Plus-256</t>
        </is>
      </c>
      <c r="D7686" s="58" t="inlineStr">
        <is>
          <t>Sports</t>
        </is>
      </c>
      <c r="E7686" s="58" t="inlineStr">
        <is>
          <t>East</t>
        </is>
      </c>
      <c r="F7686" s="61" t="n">
        <v>1</v>
      </c>
      <c r="G7686" s="62" t="n">
        <v>695.33</v>
      </c>
      <c r="H7686" s="63" t="n">
        <v>0.032</v>
      </c>
      <c r="I7686" s="62" t="n">
        <v>416.72</v>
      </c>
      <c r="J7686" s="58" t="inlineStr">
        <is>
          <t>Store</t>
        </is>
      </c>
      <c r="K7686" s="62">
        <f>F7686*(G7686-H7686)</f>
        <v/>
      </c>
      <c r="L7686" s="62">
        <f>K7686-(F7686*I7686)</f>
        <v/>
      </c>
      <c r="M7686" s="64">
        <f>L7686/K7686</f>
        <v/>
      </c>
    </row>
    <row r="7687">
      <c r="A7687" s="58" t="inlineStr">
        <is>
          <t>RT20250712-07686</t>
        </is>
      </c>
      <c r="B7687" s="59" t="inlineStr">
        <is>
          <t>2025-07-12</t>
        </is>
      </c>
      <c r="C7687" s="60" t="inlineStr">
        <is>
          <t>Orion Beverage Plus-949</t>
        </is>
      </c>
      <c r="D7687" s="58" t="inlineStr">
        <is>
          <t>Grocery</t>
        </is>
      </c>
      <c r="E7687" s="58" t="inlineStr">
        <is>
          <t>South</t>
        </is>
      </c>
      <c r="F7687" s="61" t="n">
        <v>2</v>
      </c>
      <c r="G7687" s="62" t="n">
        <v>19.61</v>
      </c>
      <c r="H7687" s="63" t="n">
        <v>0.073</v>
      </c>
      <c r="I7687" s="62" t="n">
        <v>13.69</v>
      </c>
      <c r="J7687" s="58" t="inlineStr">
        <is>
          <t>Online</t>
        </is>
      </c>
      <c r="K7687" s="62">
        <f>F7687*(G7687-H7687)</f>
        <v/>
      </c>
      <c r="L7687" s="62">
        <f>K7687-(F7687*I7687)</f>
        <v/>
      </c>
      <c r="M7687" s="64">
        <f>L7687/K7687</f>
        <v/>
      </c>
    </row>
    <row r="7688">
      <c r="A7688" s="58" t="inlineStr">
        <is>
          <t>RT20250712-07687</t>
        </is>
      </c>
      <c r="B7688" s="59" t="inlineStr">
        <is>
          <t>2025-07-12</t>
        </is>
      </c>
      <c r="C7688" s="60" t="inlineStr">
        <is>
          <t>Metro Pantry X-710</t>
        </is>
      </c>
      <c r="D7688" s="58" t="inlineStr">
        <is>
          <t>Grocery</t>
        </is>
      </c>
      <c r="E7688" s="58" t="inlineStr">
        <is>
          <t>South</t>
        </is>
      </c>
      <c r="F7688" s="61" t="n">
        <v>4</v>
      </c>
      <c r="G7688" s="62" t="n">
        <v>5.49</v>
      </c>
      <c r="H7688" s="63" t="n">
        <v>0.104</v>
      </c>
      <c r="I7688" s="62" t="n">
        <v>4.3</v>
      </c>
      <c r="J7688" s="58" t="inlineStr">
        <is>
          <t>Online</t>
        </is>
      </c>
      <c r="K7688" s="62">
        <f>F7688*(G7688-H7688)</f>
        <v/>
      </c>
      <c r="L7688" s="62">
        <f>K7688-(F7688*I7688)</f>
        <v/>
      </c>
      <c r="M7688" s="64">
        <f>L7688/K7688</f>
        <v/>
      </c>
    </row>
    <row r="7689">
      <c r="A7689" s="58" t="inlineStr">
        <is>
          <t>RT20250712-07688</t>
        </is>
      </c>
      <c r="B7689" s="59" t="inlineStr">
        <is>
          <t>2025-07-12</t>
        </is>
      </c>
      <c r="C7689" s="60" t="inlineStr">
        <is>
          <t>Falcon Skincare X-334</t>
        </is>
      </c>
      <c r="D7689" s="58" t="inlineStr">
        <is>
          <t>Beauty</t>
        </is>
      </c>
      <c r="E7689" s="58" t="inlineStr">
        <is>
          <t>East</t>
        </is>
      </c>
      <c r="F7689" s="61" t="n">
        <v>4</v>
      </c>
      <c r="G7689" s="62" t="n">
        <v>100.91</v>
      </c>
      <c r="H7689" s="63" t="n">
        <v>0.11</v>
      </c>
      <c r="I7689" s="62" t="n">
        <v>64.59999999999999</v>
      </c>
      <c r="J7689" s="58" t="inlineStr">
        <is>
          <t>Online</t>
        </is>
      </c>
      <c r="K7689" s="62">
        <f>F7689*(G7689-H7689)</f>
        <v/>
      </c>
      <c r="L7689" s="62">
        <f>K7689-(F7689*I7689)</f>
        <v/>
      </c>
      <c r="M7689" s="64">
        <f>L7689/K7689</f>
        <v/>
      </c>
    </row>
    <row r="7690">
      <c r="A7690" s="58" t="inlineStr">
        <is>
          <t>RT20250712-07689</t>
        </is>
      </c>
      <c r="B7690" s="59" t="inlineStr">
        <is>
          <t>2025-07-12</t>
        </is>
      </c>
      <c r="C7690" s="60" t="inlineStr">
        <is>
          <t>Polar Women Max-927</t>
        </is>
      </c>
      <c r="D7690" s="58" t="inlineStr">
        <is>
          <t>Apparel</t>
        </is>
      </c>
      <c r="E7690" s="58" t="inlineStr">
        <is>
          <t>West</t>
        </is>
      </c>
      <c r="F7690" s="61" t="n">
        <v>4</v>
      </c>
      <c r="G7690" s="62" t="n">
        <v>114.67</v>
      </c>
      <c r="H7690" s="63" t="n">
        <v>0.04</v>
      </c>
      <c r="I7690" s="62" t="n">
        <v>64.51000000000001</v>
      </c>
      <c r="J7690" s="58" t="inlineStr">
        <is>
          <t>Store</t>
        </is>
      </c>
      <c r="K7690" s="62">
        <f>F7690*(G7690-H7690)</f>
        <v/>
      </c>
      <c r="L7690" s="62">
        <f>K7690-(F7690*I7690)</f>
        <v/>
      </c>
      <c r="M7690" s="64">
        <f>L7690/K7690</f>
        <v/>
      </c>
    </row>
    <row r="7691">
      <c r="A7691" s="58" t="inlineStr">
        <is>
          <t>RT20250712-07690</t>
        </is>
      </c>
      <c r="B7691" s="59" t="inlineStr">
        <is>
          <t>2025-07-12</t>
        </is>
      </c>
      <c r="C7691" s="60" t="inlineStr">
        <is>
          <t>Orion Fragrance Lite-785</t>
        </is>
      </c>
      <c r="D7691" s="58" t="inlineStr">
        <is>
          <t>Beauty</t>
        </is>
      </c>
      <c r="E7691" s="58" t="inlineStr">
        <is>
          <t>South</t>
        </is>
      </c>
      <c r="F7691" s="61" t="n">
        <v>5</v>
      </c>
      <c r="G7691" s="62" t="n">
        <v>42.45</v>
      </c>
      <c r="H7691" s="63" t="n">
        <v>0.078</v>
      </c>
      <c r="I7691" s="62" t="n">
        <v>27.72</v>
      </c>
      <c r="J7691" s="58" t="inlineStr">
        <is>
          <t>Online</t>
        </is>
      </c>
      <c r="K7691" s="62">
        <f>F7691*(G7691-H7691)</f>
        <v/>
      </c>
      <c r="L7691" s="62">
        <f>K7691-(F7691*I7691)</f>
        <v/>
      </c>
      <c r="M7691" s="64">
        <f>L7691/K7691</f>
        <v/>
      </c>
    </row>
    <row r="7692">
      <c r="A7692" s="58" t="inlineStr">
        <is>
          <t>RT20250712-07691</t>
        </is>
      </c>
      <c r="B7692" s="59" t="inlineStr">
        <is>
          <t>2025-07-12</t>
        </is>
      </c>
      <c r="C7692" s="60" t="inlineStr">
        <is>
          <t>Metro Smartphone Max-773</t>
        </is>
      </c>
      <c r="D7692" s="58" t="inlineStr">
        <is>
          <t>Electronics</t>
        </is>
      </c>
      <c r="E7692" s="58" t="inlineStr">
        <is>
          <t>East</t>
        </is>
      </c>
      <c r="F7692" s="61" t="n">
        <v>1</v>
      </c>
      <c r="G7692" s="62" t="n">
        <v>1563.83</v>
      </c>
      <c r="H7692" s="63" t="n">
        <v>0.125</v>
      </c>
      <c r="I7692" s="62" t="n">
        <v>1140.63</v>
      </c>
      <c r="J7692" s="58" t="inlineStr">
        <is>
          <t>Store</t>
        </is>
      </c>
      <c r="K7692" s="62">
        <f>F7692*(G7692-H7692)</f>
        <v/>
      </c>
      <c r="L7692" s="62">
        <f>K7692-(F7692*I7692)</f>
        <v/>
      </c>
      <c r="M7692" s="64">
        <f>L7692/K7692</f>
        <v/>
      </c>
    </row>
    <row r="7693">
      <c r="A7693" s="58" t="inlineStr">
        <is>
          <t>RT20250712-07692</t>
        </is>
      </c>
      <c r="B7693" s="59" t="inlineStr">
        <is>
          <t>2025-07-12</t>
        </is>
      </c>
      <c r="C7693" s="60" t="inlineStr">
        <is>
          <t>Aurora Team Sport Plus-256</t>
        </is>
      </c>
      <c r="D7693" s="58" t="inlineStr">
        <is>
          <t>Sports</t>
        </is>
      </c>
      <c r="E7693" s="58" t="inlineStr">
        <is>
          <t>South</t>
        </is>
      </c>
      <c r="F7693" s="61" t="n">
        <v>3</v>
      </c>
      <c r="G7693" s="62" t="n">
        <v>642.9400000000001</v>
      </c>
      <c r="H7693" s="63" t="n">
        <v>0.025</v>
      </c>
      <c r="I7693" s="62" t="n">
        <v>424.39</v>
      </c>
      <c r="J7693" s="58" t="inlineStr">
        <is>
          <t>Store</t>
        </is>
      </c>
      <c r="K7693" s="62">
        <f>F7693*(G7693-H7693)</f>
        <v/>
      </c>
      <c r="L7693" s="62">
        <f>K7693-(F7693*I7693)</f>
        <v/>
      </c>
      <c r="M7693" s="64">
        <f>L7693/K7693</f>
        <v/>
      </c>
    </row>
    <row r="7694">
      <c r="A7694" s="58" t="inlineStr">
        <is>
          <t>RT20250712-07693</t>
        </is>
      </c>
      <c r="B7694" s="59" t="inlineStr">
        <is>
          <t>2025-07-12</t>
        </is>
      </c>
      <c r="C7694" s="60" t="inlineStr">
        <is>
          <t>Vertex Supplie Pro-786</t>
        </is>
      </c>
      <c r="D7694" s="58" t="inlineStr">
        <is>
          <t>Office</t>
        </is>
      </c>
      <c r="E7694" s="58" t="inlineStr">
        <is>
          <t>Central</t>
        </is>
      </c>
      <c r="F7694" s="61" t="n">
        <v>1</v>
      </c>
      <c r="G7694" s="62" t="n">
        <v>450.38</v>
      </c>
      <c r="H7694" s="63" t="n">
        <v>0.054</v>
      </c>
      <c r="I7694" s="62" t="n">
        <v>290.36</v>
      </c>
      <c r="J7694" s="58" t="inlineStr">
        <is>
          <t>Online</t>
        </is>
      </c>
      <c r="K7694" s="62">
        <f>F7694*(G7694-H7694)</f>
        <v/>
      </c>
      <c r="L7694" s="62">
        <f>K7694-(F7694*I7694)</f>
        <v/>
      </c>
      <c r="M7694" s="64">
        <f>L7694/K7694</f>
        <v/>
      </c>
    </row>
    <row r="7695">
      <c r="A7695" s="58" t="inlineStr">
        <is>
          <t>RT20250712-07694</t>
        </is>
      </c>
      <c r="B7695" s="59" t="inlineStr">
        <is>
          <t>2025-07-12</t>
        </is>
      </c>
      <c r="C7695" s="60" t="inlineStr">
        <is>
          <t>Metro Decor Lite-325</t>
        </is>
      </c>
      <c r="D7695" s="58" t="inlineStr">
        <is>
          <t>Home</t>
        </is>
      </c>
      <c r="E7695" s="58" t="inlineStr">
        <is>
          <t>North</t>
        </is>
      </c>
      <c r="F7695" s="61" t="n">
        <v>1</v>
      </c>
      <c r="G7695" s="62" t="n">
        <v>506.05</v>
      </c>
      <c r="H7695" s="63" t="n">
        <v>0.055</v>
      </c>
      <c r="I7695" s="62" t="n">
        <v>385.77</v>
      </c>
      <c r="J7695" s="58" t="inlineStr">
        <is>
          <t>Online</t>
        </is>
      </c>
      <c r="K7695" s="62">
        <f>F7695*(G7695-H7695)</f>
        <v/>
      </c>
      <c r="L7695" s="62">
        <f>K7695-(F7695*I7695)</f>
        <v/>
      </c>
      <c r="M7695" s="64">
        <f>L7695/K7695</f>
        <v/>
      </c>
    </row>
    <row r="7696">
      <c r="A7696" s="58" t="inlineStr">
        <is>
          <t>RT20250712-07695</t>
        </is>
      </c>
      <c r="B7696" s="59" t="inlineStr">
        <is>
          <t>2025-07-12</t>
        </is>
      </c>
      <c r="C7696" s="60" t="inlineStr">
        <is>
          <t>Aurora Kid Plus-151</t>
        </is>
      </c>
      <c r="D7696" s="58" t="inlineStr">
        <is>
          <t>Apparel</t>
        </is>
      </c>
      <c r="E7696" s="58" t="inlineStr">
        <is>
          <t>East</t>
        </is>
      </c>
      <c r="F7696" s="61" t="n">
        <v>4</v>
      </c>
      <c r="G7696" s="62" t="n">
        <v>117.44</v>
      </c>
      <c r="H7696" s="63" t="n">
        <v>0.057</v>
      </c>
      <c r="I7696" s="62" t="n">
        <v>65.48999999999999</v>
      </c>
      <c r="J7696" s="58" t="inlineStr">
        <is>
          <t>Online</t>
        </is>
      </c>
      <c r="K7696" s="62">
        <f>F7696*(G7696-H7696)</f>
        <v/>
      </c>
      <c r="L7696" s="62">
        <f>K7696-(F7696*I7696)</f>
        <v/>
      </c>
      <c r="M7696" s="64">
        <f>L7696/K7696</f>
        <v/>
      </c>
    </row>
    <row r="7697">
      <c r="A7697" s="58" t="inlineStr">
        <is>
          <t>RT20250712-07696</t>
        </is>
      </c>
      <c r="B7697" s="59" t="inlineStr">
        <is>
          <t>2025-07-12</t>
        </is>
      </c>
      <c r="C7697" s="60" t="inlineStr">
        <is>
          <t>Orion Storage Plus-961</t>
        </is>
      </c>
      <c r="D7697" s="58" t="inlineStr">
        <is>
          <t>Office</t>
        </is>
      </c>
      <c r="E7697" s="58" t="inlineStr">
        <is>
          <t>Central</t>
        </is>
      </c>
      <c r="F7697" s="61" t="n">
        <v>2</v>
      </c>
      <c r="G7697" s="62" t="n">
        <v>540.3</v>
      </c>
      <c r="H7697" s="63" t="n">
        <v>0.052</v>
      </c>
      <c r="I7697" s="62" t="n">
        <v>363.8</v>
      </c>
      <c r="J7697" s="58" t="inlineStr">
        <is>
          <t>Store</t>
        </is>
      </c>
      <c r="K7697" s="62">
        <f>F7697*(G7697-H7697)</f>
        <v/>
      </c>
      <c r="L7697" s="62">
        <f>K7697-(F7697*I7697)</f>
        <v/>
      </c>
      <c r="M7697" s="64">
        <f>L7697/K7697</f>
        <v/>
      </c>
    </row>
    <row r="7698">
      <c r="A7698" s="58" t="inlineStr">
        <is>
          <t>RT20250712-07697</t>
        </is>
      </c>
      <c r="B7698" s="59" t="inlineStr">
        <is>
          <t>2025-07-12</t>
        </is>
      </c>
      <c r="C7698" s="60" t="inlineStr">
        <is>
          <t>Aurora Haircare S-975</t>
        </is>
      </c>
      <c r="D7698" s="58" t="inlineStr">
        <is>
          <t>Beauty</t>
        </is>
      </c>
      <c r="E7698" s="58" t="inlineStr">
        <is>
          <t>West</t>
        </is>
      </c>
      <c r="F7698" s="61" t="n">
        <v>4</v>
      </c>
      <c r="G7698" s="62" t="n">
        <v>101.72</v>
      </c>
      <c r="H7698" s="63" t="n">
        <v>0.081</v>
      </c>
      <c r="I7698" s="62" t="n">
        <v>60.01</v>
      </c>
      <c r="J7698" s="58" t="inlineStr">
        <is>
          <t>Online</t>
        </is>
      </c>
      <c r="K7698" s="62">
        <f>F7698*(G7698-H7698)</f>
        <v/>
      </c>
      <c r="L7698" s="62">
        <f>K7698-(F7698*I7698)</f>
        <v/>
      </c>
      <c r="M7698" s="64">
        <f>L7698/K7698</f>
        <v/>
      </c>
    </row>
    <row r="7699">
      <c r="A7699" s="58" t="inlineStr">
        <is>
          <t>RT20250712-07698</t>
        </is>
      </c>
      <c r="B7699" s="59" t="inlineStr">
        <is>
          <t>2025-07-12</t>
        </is>
      </c>
      <c r="C7699" s="60" t="inlineStr">
        <is>
          <t>Vertex Appliance S-159</t>
        </is>
      </c>
      <c r="D7699" s="58" t="inlineStr">
        <is>
          <t>Home</t>
        </is>
      </c>
      <c r="E7699" s="58" t="inlineStr">
        <is>
          <t>South</t>
        </is>
      </c>
      <c r="F7699" s="61" t="n">
        <v>3</v>
      </c>
      <c r="G7699" s="62" t="n">
        <v>441.61</v>
      </c>
      <c r="H7699" s="63" t="n">
        <v>0.05</v>
      </c>
      <c r="I7699" s="62" t="n">
        <v>300.46</v>
      </c>
      <c r="J7699" s="58" t="inlineStr">
        <is>
          <t>Store</t>
        </is>
      </c>
      <c r="K7699" s="62">
        <f>F7699*(G7699-H7699)</f>
        <v/>
      </c>
      <c r="L7699" s="62">
        <f>K7699-(F7699*I7699)</f>
        <v/>
      </c>
      <c r="M7699" s="64">
        <f>L7699/K7699</f>
        <v/>
      </c>
    </row>
    <row r="7700">
      <c r="A7700" s="58" t="inlineStr">
        <is>
          <t>RT20250712-07699</t>
        </is>
      </c>
      <c r="B7700" s="59" t="inlineStr">
        <is>
          <t>2025-07-12</t>
        </is>
      </c>
      <c r="C7700" s="60" t="inlineStr">
        <is>
          <t>Aurora Printer Plus-991</t>
        </is>
      </c>
      <c r="D7700" s="58" t="inlineStr">
        <is>
          <t>Office</t>
        </is>
      </c>
      <c r="E7700" s="58" t="inlineStr">
        <is>
          <t>West</t>
        </is>
      </c>
      <c r="F7700" s="61" t="n">
        <v>3</v>
      </c>
      <c r="G7700" s="62" t="n">
        <v>544.6900000000001</v>
      </c>
      <c r="H7700" s="63" t="n">
        <v>0.082</v>
      </c>
      <c r="I7700" s="62" t="n">
        <v>380.13</v>
      </c>
      <c r="J7700" s="58" t="inlineStr">
        <is>
          <t>Store</t>
        </is>
      </c>
      <c r="K7700" s="62">
        <f>F7700*(G7700-H7700)</f>
        <v/>
      </c>
      <c r="L7700" s="62">
        <f>K7700-(F7700*I7700)</f>
        <v/>
      </c>
      <c r="M7700" s="64">
        <f>L7700/K7700</f>
        <v/>
      </c>
    </row>
    <row r="7701">
      <c r="A7701" s="58" t="inlineStr">
        <is>
          <t>RT20250712-07700</t>
        </is>
      </c>
      <c r="B7701" s="59" t="inlineStr">
        <is>
          <t>2025-07-12</t>
        </is>
      </c>
      <c r="C7701" s="60" t="inlineStr">
        <is>
          <t>Orion Kitchen Pro-568</t>
        </is>
      </c>
      <c r="D7701" s="58" t="inlineStr">
        <is>
          <t>Home</t>
        </is>
      </c>
      <c r="E7701" s="58" t="inlineStr">
        <is>
          <t>West</t>
        </is>
      </c>
      <c r="F7701" s="61" t="n">
        <v>1</v>
      </c>
      <c r="G7701" s="62" t="n">
        <v>466.27</v>
      </c>
      <c r="H7701" s="63" t="n">
        <v>0.08500000000000001</v>
      </c>
      <c r="I7701" s="62" t="n">
        <v>302.02</v>
      </c>
      <c r="J7701" s="58" t="inlineStr">
        <is>
          <t>Online</t>
        </is>
      </c>
      <c r="K7701" s="62">
        <f>F7701*(G7701-H7701)</f>
        <v/>
      </c>
      <c r="L7701" s="62">
        <f>K7701-(F7701*I7701)</f>
        <v/>
      </c>
      <c r="M7701" s="64">
        <f>L7701/K7701</f>
        <v/>
      </c>
    </row>
    <row r="7702">
      <c r="A7702" s="58" t="inlineStr">
        <is>
          <t>RT20250712-07701</t>
        </is>
      </c>
      <c r="B7702" s="59" t="inlineStr">
        <is>
          <t>2025-07-12</t>
        </is>
      </c>
      <c r="C7702" s="60" t="inlineStr">
        <is>
          <t>Polar Women Max-927</t>
        </is>
      </c>
      <c r="D7702" s="58" t="inlineStr">
        <is>
          <t>Apparel</t>
        </is>
      </c>
      <c r="E7702" s="58" t="inlineStr">
        <is>
          <t>West</t>
        </is>
      </c>
      <c r="F7702" s="61" t="n">
        <v>3</v>
      </c>
      <c r="G7702" s="62" t="n">
        <v>123.11</v>
      </c>
      <c r="H7702" s="63" t="n">
        <v>0.105</v>
      </c>
      <c r="I7702" s="62" t="n">
        <v>66.78</v>
      </c>
      <c r="J7702" s="58" t="inlineStr">
        <is>
          <t>Store</t>
        </is>
      </c>
      <c r="K7702" s="62">
        <f>F7702*(G7702-H7702)</f>
        <v/>
      </c>
      <c r="L7702" s="62">
        <f>K7702-(F7702*I7702)</f>
        <v/>
      </c>
      <c r="M7702" s="64">
        <f>L7702/K7702</f>
        <v/>
      </c>
    </row>
    <row r="7703">
      <c r="A7703" s="58" t="inlineStr">
        <is>
          <t>RT20250712-07702</t>
        </is>
      </c>
      <c r="B7703" s="59" t="inlineStr">
        <is>
          <t>2025-07-12</t>
        </is>
      </c>
      <c r="C7703" s="60" t="inlineStr">
        <is>
          <t>Aurora Kid Plus-151</t>
        </is>
      </c>
      <c r="D7703" s="58" t="inlineStr">
        <is>
          <t>Apparel</t>
        </is>
      </c>
      <c r="E7703" s="58" t="inlineStr">
        <is>
          <t>South</t>
        </is>
      </c>
      <c r="F7703" s="61" t="n">
        <v>3</v>
      </c>
      <c r="G7703" s="62" t="n">
        <v>116.48</v>
      </c>
      <c r="H7703" s="63" t="n">
        <v>0.028</v>
      </c>
      <c r="I7703" s="62" t="n">
        <v>62.17</v>
      </c>
      <c r="J7703" s="58" t="inlineStr">
        <is>
          <t>Online</t>
        </is>
      </c>
      <c r="K7703" s="62">
        <f>F7703*(G7703-H7703)</f>
        <v/>
      </c>
      <c r="L7703" s="62">
        <f>K7703-(F7703*I7703)</f>
        <v/>
      </c>
      <c r="M7703" s="64">
        <f>L7703/K7703</f>
        <v/>
      </c>
    </row>
    <row r="7704">
      <c r="A7704" s="58" t="inlineStr">
        <is>
          <t>RT20250712-07703</t>
        </is>
      </c>
      <c r="B7704" s="59" t="inlineStr">
        <is>
          <t>2025-07-12</t>
        </is>
      </c>
      <c r="C7704" s="60" t="inlineStr">
        <is>
          <t>Metro Fragrance Lite-261</t>
        </is>
      </c>
      <c r="D7704" s="58" t="inlineStr">
        <is>
          <t>Beauty</t>
        </is>
      </c>
      <c r="E7704" s="58" t="inlineStr">
        <is>
          <t>West</t>
        </is>
      </c>
      <c r="F7704" s="61" t="n">
        <v>1</v>
      </c>
      <c r="G7704" s="62" t="n">
        <v>84.41</v>
      </c>
      <c r="H7704" s="63" t="n">
        <v>0.027</v>
      </c>
      <c r="I7704" s="62" t="n">
        <v>54.55</v>
      </c>
      <c r="J7704" s="58" t="inlineStr">
        <is>
          <t>Online</t>
        </is>
      </c>
      <c r="K7704" s="62">
        <f>F7704*(G7704-H7704)</f>
        <v/>
      </c>
      <c r="L7704" s="62">
        <f>K7704-(F7704*I7704)</f>
        <v/>
      </c>
      <c r="M7704" s="64">
        <f>L7704/K7704</f>
        <v/>
      </c>
    </row>
    <row r="7705">
      <c r="A7705" s="58" t="inlineStr">
        <is>
          <t>RT20250712-07704</t>
        </is>
      </c>
      <c r="B7705" s="59" t="inlineStr">
        <is>
          <t>2025-07-12</t>
        </is>
      </c>
      <c r="C7705" s="60" t="inlineStr">
        <is>
          <t>Orion Team Sport X-926</t>
        </is>
      </c>
      <c r="D7705" s="58" t="inlineStr">
        <is>
          <t>Sports</t>
        </is>
      </c>
      <c r="E7705" s="58" t="inlineStr">
        <is>
          <t>East</t>
        </is>
      </c>
      <c r="F7705" s="61" t="n">
        <v>2</v>
      </c>
      <c r="G7705" s="62" t="n">
        <v>314.55</v>
      </c>
      <c r="H7705" s="63" t="n">
        <v>0.064</v>
      </c>
      <c r="I7705" s="62" t="n">
        <v>211.96</v>
      </c>
      <c r="J7705" s="58" t="inlineStr">
        <is>
          <t>Online</t>
        </is>
      </c>
      <c r="K7705" s="62">
        <f>F7705*(G7705-H7705)</f>
        <v/>
      </c>
      <c r="L7705" s="62">
        <f>K7705-(F7705*I7705)</f>
        <v/>
      </c>
      <c r="M7705" s="64">
        <f>L7705/K7705</f>
        <v/>
      </c>
    </row>
    <row r="7706">
      <c r="A7706" s="58" t="inlineStr">
        <is>
          <t>RT20250712-07705</t>
        </is>
      </c>
      <c r="B7706" s="59" t="inlineStr">
        <is>
          <t>2025-07-12</t>
        </is>
      </c>
      <c r="C7706" s="60" t="inlineStr">
        <is>
          <t>Polar Outdoor Lite-318</t>
        </is>
      </c>
      <c r="D7706" s="58" t="inlineStr">
        <is>
          <t>Sports</t>
        </is>
      </c>
      <c r="E7706" s="58" t="inlineStr">
        <is>
          <t>East</t>
        </is>
      </c>
      <c r="F7706" s="61" t="n">
        <v>2</v>
      </c>
      <c r="G7706" s="62" t="n">
        <v>758.76</v>
      </c>
      <c r="H7706" s="63" t="n">
        <v>0.053</v>
      </c>
      <c r="I7706" s="62" t="n">
        <v>473.74</v>
      </c>
      <c r="J7706" s="58" t="inlineStr">
        <is>
          <t>Store</t>
        </is>
      </c>
      <c r="K7706" s="62">
        <f>F7706*(G7706-H7706)</f>
        <v/>
      </c>
      <c r="L7706" s="62">
        <f>K7706-(F7706*I7706)</f>
        <v/>
      </c>
      <c r="M7706" s="64">
        <f>L7706/K7706</f>
        <v/>
      </c>
    </row>
    <row r="7707">
      <c r="A7707" s="58" t="inlineStr">
        <is>
          <t>RT20250712-07706</t>
        </is>
      </c>
      <c r="B7707" s="59" t="inlineStr">
        <is>
          <t>2025-07-12</t>
        </is>
      </c>
      <c r="C7707" s="60" t="inlineStr">
        <is>
          <t>Vertex Furniture S-652</t>
        </is>
      </c>
      <c r="D7707" s="58" t="inlineStr">
        <is>
          <t>Office</t>
        </is>
      </c>
      <c r="E7707" s="58" t="inlineStr">
        <is>
          <t>East</t>
        </is>
      </c>
      <c r="F7707" s="61" t="n">
        <v>3</v>
      </c>
      <c r="G7707" s="62" t="n">
        <v>413.52</v>
      </c>
      <c r="H7707" s="63" t="n">
        <v>0.002</v>
      </c>
      <c r="I7707" s="62" t="n">
        <v>269</v>
      </c>
      <c r="J7707" s="58" t="inlineStr">
        <is>
          <t>Online</t>
        </is>
      </c>
      <c r="K7707" s="62">
        <f>F7707*(G7707-H7707)</f>
        <v/>
      </c>
      <c r="L7707" s="62">
        <f>K7707-(F7707*I7707)</f>
        <v/>
      </c>
      <c r="M7707" s="64">
        <f>L7707/K7707</f>
        <v/>
      </c>
    </row>
    <row r="7708">
      <c r="A7708" s="58" t="inlineStr">
        <is>
          <t>RT20250712-07707</t>
        </is>
      </c>
      <c r="B7708" s="59" t="inlineStr">
        <is>
          <t>2025-07-12</t>
        </is>
      </c>
      <c r="C7708" s="60" t="inlineStr">
        <is>
          <t>Solace Laptop S-367</t>
        </is>
      </c>
      <c r="D7708" s="58" t="inlineStr">
        <is>
          <t>Electronics</t>
        </is>
      </c>
      <c r="E7708" s="58" t="inlineStr">
        <is>
          <t>East</t>
        </is>
      </c>
      <c r="F7708" s="61" t="n">
        <v>1</v>
      </c>
      <c r="G7708" s="62" t="n">
        <v>1908.65</v>
      </c>
      <c r="H7708" s="63" t="n">
        <v>0.079</v>
      </c>
      <c r="I7708" s="62" t="n">
        <v>1561.13</v>
      </c>
      <c r="J7708" s="58" t="inlineStr">
        <is>
          <t>Online</t>
        </is>
      </c>
      <c r="K7708" s="62">
        <f>F7708*(G7708-H7708)</f>
        <v/>
      </c>
      <c r="L7708" s="62">
        <f>K7708-(F7708*I7708)</f>
        <v/>
      </c>
      <c r="M7708" s="64">
        <f>L7708/K7708</f>
        <v/>
      </c>
    </row>
    <row r="7709">
      <c r="A7709" s="58" t="inlineStr">
        <is>
          <t>RT20250712-07708</t>
        </is>
      </c>
      <c r="B7709" s="59" t="inlineStr">
        <is>
          <t>2025-07-12</t>
        </is>
      </c>
      <c r="C7709" s="60" t="inlineStr">
        <is>
          <t>Orion Storage Plus-961</t>
        </is>
      </c>
      <c r="D7709" s="58" t="inlineStr">
        <is>
          <t>Office</t>
        </is>
      </c>
      <c r="E7709" s="58" t="inlineStr">
        <is>
          <t>North</t>
        </is>
      </c>
      <c r="F7709" s="61" t="n">
        <v>1</v>
      </c>
      <c r="G7709" s="62" t="n">
        <v>522.8099999999999</v>
      </c>
      <c r="H7709" s="63" t="n">
        <v>0</v>
      </c>
      <c r="I7709" s="62" t="n">
        <v>364.52</v>
      </c>
      <c r="J7709" s="58" t="inlineStr">
        <is>
          <t>Store</t>
        </is>
      </c>
      <c r="K7709" s="62">
        <f>F7709*(G7709-H7709)</f>
        <v/>
      </c>
      <c r="L7709" s="62">
        <f>K7709-(F7709*I7709)</f>
        <v/>
      </c>
      <c r="M7709" s="64">
        <f>L7709/K7709</f>
        <v/>
      </c>
    </row>
    <row r="7710">
      <c r="A7710" s="58" t="inlineStr">
        <is>
          <t>RT20250712-07709</t>
        </is>
      </c>
      <c r="B7710" s="59" t="inlineStr">
        <is>
          <t>2025-07-12</t>
        </is>
      </c>
      <c r="C7710" s="60" t="inlineStr">
        <is>
          <t>Falcon Skincare Max-151</t>
        </is>
      </c>
      <c r="D7710" s="58" t="inlineStr">
        <is>
          <t>Beauty</t>
        </is>
      </c>
      <c r="E7710" s="58" t="inlineStr">
        <is>
          <t>Central</t>
        </is>
      </c>
      <c r="F7710" s="61" t="n">
        <v>4</v>
      </c>
      <c r="G7710" s="62" t="n">
        <v>90.75</v>
      </c>
      <c r="H7710" s="63" t="n">
        <v>0.005</v>
      </c>
      <c r="I7710" s="62" t="n">
        <v>59.62</v>
      </c>
      <c r="J7710" s="58" t="inlineStr">
        <is>
          <t>Online</t>
        </is>
      </c>
      <c r="K7710" s="62">
        <f>F7710*(G7710-H7710)</f>
        <v/>
      </c>
      <c r="L7710" s="62">
        <f>K7710-(F7710*I7710)</f>
        <v/>
      </c>
      <c r="M7710" s="64">
        <f>L7710/K7710</f>
        <v/>
      </c>
    </row>
    <row r="7711">
      <c r="A7711" s="58" t="inlineStr">
        <is>
          <t>RT20250712-07710</t>
        </is>
      </c>
      <c r="B7711" s="59" t="inlineStr">
        <is>
          <t>2025-07-12</t>
        </is>
      </c>
      <c r="C7711" s="60" t="inlineStr">
        <is>
          <t>Falcon Household Plus-796</t>
        </is>
      </c>
      <c r="D7711" s="58" t="inlineStr">
        <is>
          <t>Grocery</t>
        </is>
      </c>
      <c r="E7711" s="58" t="inlineStr">
        <is>
          <t>East</t>
        </is>
      </c>
      <c r="F7711" s="61" t="n">
        <v>4</v>
      </c>
      <c r="G7711" s="62" t="n">
        <v>23.14</v>
      </c>
      <c r="H7711" s="63" t="n">
        <v>0.033</v>
      </c>
      <c r="I7711" s="62" t="n">
        <v>17.12</v>
      </c>
      <c r="J7711" s="58" t="inlineStr">
        <is>
          <t>Store</t>
        </is>
      </c>
      <c r="K7711" s="62">
        <f>F7711*(G7711-H7711)</f>
        <v/>
      </c>
      <c r="L7711" s="62">
        <f>K7711-(F7711*I7711)</f>
        <v/>
      </c>
      <c r="M7711" s="64">
        <f>L7711/K7711</f>
        <v/>
      </c>
    </row>
    <row r="7712">
      <c r="A7712" s="58" t="inlineStr">
        <is>
          <t>RT20250712-07711</t>
        </is>
      </c>
      <c r="B7712" s="59" t="inlineStr">
        <is>
          <t>2025-07-12</t>
        </is>
      </c>
      <c r="C7712" s="60" t="inlineStr">
        <is>
          <t>Solace Headphone Pro-344</t>
        </is>
      </c>
      <c r="D7712" s="58" t="inlineStr">
        <is>
          <t>Electronics</t>
        </is>
      </c>
      <c r="E7712" s="58" t="inlineStr">
        <is>
          <t>North</t>
        </is>
      </c>
      <c r="F7712" s="61" t="n">
        <v>2</v>
      </c>
      <c r="G7712" s="62" t="n">
        <v>1376.71</v>
      </c>
      <c r="H7712" s="63" t="n">
        <v>0.058</v>
      </c>
      <c r="I7712" s="62" t="n">
        <v>1083.39</v>
      </c>
      <c r="J7712" s="58" t="inlineStr">
        <is>
          <t>Online</t>
        </is>
      </c>
      <c r="K7712" s="62">
        <f>F7712*(G7712-H7712)</f>
        <v/>
      </c>
      <c r="L7712" s="62">
        <f>K7712-(F7712*I7712)</f>
        <v/>
      </c>
      <c r="M7712" s="64">
        <f>L7712/K7712</f>
        <v/>
      </c>
    </row>
    <row r="7713">
      <c r="A7713" s="58" t="inlineStr">
        <is>
          <t>RT20250712-07712</t>
        </is>
      </c>
      <c r="B7713" s="59" t="inlineStr">
        <is>
          <t>2025-07-12</t>
        </is>
      </c>
      <c r="C7713" s="60" t="inlineStr">
        <is>
          <t>Aurora Furniture X-709</t>
        </is>
      </c>
      <c r="D7713" s="58" t="inlineStr">
        <is>
          <t>Office</t>
        </is>
      </c>
      <c r="E7713" s="58" t="inlineStr">
        <is>
          <t>East</t>
        </is>
      </c>
      <c r="F7713" s="61" t="n">
        <v>3</v>
      </c>
      <c r="G7713" s="62" t="n">
        <v>434.27</v>
      </c>
      <c r="H7713" s="63" t="n">
        <v>0.08500000000000001</v>
      </c>
      <c r="I7713" s="62" t="n">
        <v>302.38</v>
      </c>
      <c r="J7713" s="58" t="inlineStr">
        <is>
          <t>Online</t>
        </is>
      </c>
      <c r="K7713" s="62">
        <f>F7713*(G7713-H7713)</f>
        <v/>
      </c>
      <c r="L7713" s="62">
        <f>K7713-(F7713*I7713)</f>
        <v/>
      </c>
      <c r="M7713" s="64">
        <f>L7713/K7713</f>
        <v/>
      </c>
    </row>
    <row r="7714">
      <c r="A7714" s="58" t="inlineStr">
        <is>
          <t>RT20250712-07713</t>
        </is>
      </c>
      <c r="B7714" s="59" t="inlineStr">
        <is>
          <t>2025-07-12</t>
        </is>
      </c>
      <c r="C7714" s="60" t="inlineStr">
        <is>
          <t>Nimbus Fitnes Lite-516</t>
        </is>
      </c>
      <c r="D7714" s="58" t="inlineStr">
        <is>
          <t>Sports</t>
        </is>
      </c>
      <c r="E7714" s="58" t="inlineStr">
        <is>
          <t>North</t>
        </is>
      </c>
      <c r="F7714" s="61" t="n">
        <v>3</v>
      </c>
      <c r="G7714" s="62" t="n">
        <v>761.89</v>
      </c>
      <c r="H7714" s="63" t="n">
        <v>0.081</v>
      </c>
      <c r="I7714" s="62" t="n">
        <v>482.46</v>
      </c>
      <c r="J7714" s="58" t="inlineStr">
        <is>
          <t>Online</t>
        </is>
      </c>
      <c r="K7714" s="62">
        <f>F7714*(G7714-H7714)</f>
        <v/>
      </c>
      <c r="L7714" s="62">
        <f>K7714-(F7714*I7714)</f>
        <v/>
      </c>
      <c r="M7714" s="64">
        <f>L7714/K7714</f>
        <v/>
      </c>
    </row>
    <row r="7715">
      <c r="A7715" s="58" t="inlineStr">
        <is>
          <t>RT20250712-07714</t>
        </is>
      </c>
      <c r="B7715" s="59" t="inlineStr">
        <is>
          <t>2025-07-12</t>
        </is>
      </c>
      <c r="C7715" s="60" t="inlineStr">
        <is>
          <t>Nimbus Headphone X-854</t>
        </is>
      </c>
      <c r="D7715" s="58" t="inlineStr">
        <is>
          <t>Electronics</t>
        </is>
      </c>
      <c r="E7715" s="58" t="inlineStr">
        <is>
          <t>East</t>
        </is>
      </c>
      <c r="F7715" s="61" t="n">
        <v>2</v>
      </c>
      <c r="G7715" s="62" t="n">
        <v>1592.12</v>
      </c>
      <c r="H7715" s="63" t="n">
        <v>0.031</v>
      </c>
      <c r="I7715" s="62" t="n">
        <v>1245.22</v>
      </c>
      <c r="J7715" s="58" t="inlineStr">
        <is>
          <t>Online</t>
        </is>
      </c>
      <c r="K7715" s="62">
        <f>F7715*(G7715-H7715)</f>
        <v/>
      </c>
      <c r="L7715" s="62">
        <f>K7715-(F7715*I7715)</f>
        <v/>
      </c>
      <c r="M7715" s="64">
        <f>L7715/K7715</f>
        <v/>
      </c>
    </row>
    <row r="7716">
      <c r="A7716" s="58" t="inlineStr">
        <is>
          <t>RT20250712-07715</t>
        </is>
      </c>
      <c r="B7716" s="59" t="inlineStr">
        <is>
          <t>2025-07-12</t>
        </is>
      </c>
      <c r="C7716" s="60" t="inlineStr">
        <is>
          <t>Vertex Fitnes Pro-830</t>
        </is>
      </c>
      <c r="D7716" s="58" t="inlineStr">
        <is>
          <t>Sports</t>
        </is>
      </c>
      <c r="E7716" s="58" t="inlineStr">
        <is>
          <t>Central</t>
        </is>
      </c>
      <c r="F7716" s="61" t="n">
        <v>3</v>
      </c>
      <c r="G7716" s="62" t="n">
        <v>770.1900000000001</v>
      </c>
      <c r="H7716" s="63" t="n">
        <v>0.025</v>
      </c>
      <c r="I7716" s="62" t="n">
        <v>486.51</v>
      </c>
      <c r="J7716" s="58" t="inlineStr">
        <is>
          <t>Online</t>
        </is>
      </c>
      <c r="K7716" s="62">
        <f>F7716*(G7716-H7716)</f>
        <v/>
      </c>
      <c r="L7716" s="62">
        <f>K7716-(F7716*I7716)</f>
        <v/>
      </c>
      <c r="M7716" s="64">
        <f>L7716/K7716</f>
        <v/>
      </c>
    </row>
    <row r="7717">
      <c r="A7717" s="58" t="inlineStr">
        <is>
          <t>RT20250712-07716</t>
        </is>
      </c>
      <c r="B7717" s="59" t="inlineStr">
        <is>
          <t>2025-07-12</t>
        </is>
      </c>
      <c r="C7717" s="60" t="inlineStr">
        <is>
          <t>Polar Bedding Lite-243</t>
        </is>
      </c>
      <c r="D7717" s="58" t="inlineStr">
        <is>
          <t>Home</t>
        </is>
      </c>
      <c r="E7717" s="58" t="inlineStr">
        <is>
          <t>North</t>
        </is>
      </c>
      <c r="F7717" s="61" t="n">
        <v>2</v>
      </c>
      <c r="G7717" s="62" t="n">
        <v>506.07</v>
      </c>
      <c r="H7717" s="63" t="n">
        <v>0.101</v>
      </c>
      <c r="I7717" s="62" t="n">
        <v>319.46</v>
      </c>
      <c r="J7717" s="58" t="inlineStr">
        <is>
          <t>Store</t>
        </is>
      </c>
      <c r="K7717" s="62">
        <f>F7717*(G7717-H7717)</f>
        <v/>
      </c>
      <c r="L7717" s="62">
        <f>K7717-(F7717*I7717)</f>
        <v/>
      </c>
      <c r="M7717" s="64">
        <f>L7717/K7717</f>
        <v/>
      </c>
    </row>
    <row r="7718">
      <c r="A7718" s="58" t="inlineStr">
        <is>
          <t>RT20250712-07717</t>
        </is>
      </c>
      <c r="B7718" s="59" t="inlineStr">
        <is>
          <t>2025-07-12</t>
        </is>
      </c>
      <c r="C7718" s="60" t="inlineStr">
        <is>
          <t>Metro Accessorie Lite-697</t>
        </is>
      </c>
      <c r="D7718" s="58" t="inlineStr">
        <is>
          <t>Apparel</t>
        </is>
      </c>
      <c r="E7718" s="58" t="inlineStr">
        <is>
          <t>West</t>
        </is>
      </c>
      <c r="F7718" s="61" t="n">
        <v>4</v>
      </c>
      <c r="G7718" s="62" t="n">
        <v>137.2</v>
      </c>
      <c r="H7718" s="63" t="n">
        <v>0.032</v>
      </c>
      <c r="I7718" s="62" t="n">
        <v>74.68000000000001</v>
      </c>
      <c r="J7718" s="58" t="inlineStr">
        <is>
          <t>Online</t>
        </is>
      </c>
      <c r="K7718" s="62">
        <f>F7718*(G7718-H7718)</f>
        <v/>
      </c>
      <c r="L7718" s="62">
        <f>K7718-(F7718*I7718)</f>
        <v/>
      </c>
      <c r="M7718" s="64">
        <f>L7718/K7718</f>
        <v/>
      </c>
    </row>
    <row r="7719">
      <c r="A7719" s="58" t="inlineStr">
        <is>
          <t>RT20250712-07718</t>
        </is>
      </c>
      <c r="B7719" s="59" t="inlineStr">
        <is>
          <t>2025-07-12</t>
        </is>
      </c>
      <c r="C7719" s="60" t="inlineStr">
        <is>
          <t>Polar Decor X-935</t>
        </is>
      </c>
      <c r="D7719" s="58" t="inlineStr">
        <is>
          <t>Home</t>
        </is>
      </c>
      <c r="E7719" s="58" t="inlineStr">
        <is>
          <t>East</t>
        </is>
      </c>
      <c r="F7719" s="61" t="n">
        <v>2</v>
      </c>
      <c r="G7719" s="62" t="n">
        <v>292.55</v>
      </c>
      <c r="H7719" s="63" t="n">
        <v>0.112</v>
      </c>
      <c r="I7719" s="62" t="n">
        <v>203.68</v>
      </c>
      <c r="J7719" s="58" t="inlineStr">
        <is>
          <t>Store</t>
        </is>
      </c>
      <c r="K7719" s="62">
        <f>F7719*(G7719-H7719)</f>
        <v/>
      </c>
      <c r="L7719" s="62">
        <f>K7719-(F7719*I7719)</f>
        <v/>
      </c>
      <c r="M7719" s="64">
        <f>L7719/K7719</f>
        <v/>
      </c>
    </row>
    <row r="7720">
      <c r="A7720" s="58" t="inlineStr">
        <is>
          <t>RT20250712-07719</t>
        </is>
      </c>
      <c r="B7720" s="59" t="inlineStr">
        <is>
          <t>2025-07-12</t>
        </is>
      </c>
      <c r="C7720" s="60" t="inlineStr">
        <is>
          <t>Solace Kitchen Pro-999</t>
        </is>
      </c>
      <c r="D7720" s="58" t="inlineStr">
        <is>
          <t>Home</t>
        </is>
      </c>
      <c r="E7720" s="58" t="inlineStr">
        <is>
          <t>South</t>
        </is>
      </c>
      <c r="F7720" s="61" t="n">
        <v>2</v>
      </c>
      <c r="G7720" s="62" t="n">
        <v>385.03</v>
      </c>
      <c r="H7720" s="63" t="n">
        <v>0.054</v>
      </c>
      <c r="I7720" s="62" t="n">
        <v>260.82</v>
      </c>
      <c r="J7720" s="58" t="inlineStr">
        <is>
          <t>Store</t>
        </is>
      </c>
      <c r="K7720" s="62">
        <f>F7720*(G7720-H7720)</f>
        <v/>
      </c>
      <c r="L7720" s="62">
        <f>K7720-(F7720*I7720)</f>
        <v/>
      </c>
      <c r="M7720" s="64">
        <f>L7720/K7720</f>
        <v/>
      </c>
    </row>
    <row r="7721">
      <c r="A7721" s="58" t="inlineStr">
        <is>
          <t>RT20250712-07720</t>
        </is>
      </c>
      <c r="B7721" s="59" t="inlineStr">
        <is>
          <t>2025-07-12</t>
        </is>
      </c>
      <c r="C7721" s="60" t="inlineStr">
        <is>
          <t>Vertex Supplie X-513</t>
        </is>
      </c>
      <c r="D7721" s="58" t="inlineStr">
        <is>
          <t>Office</t>
        </is>
      </c>
      <c r="E7721" s="58" t="inlineStr">
        <is>
          <t>West</t>
        </is>
      </c>
      <c r="F7721" s="61" t="n">
        <v>1</v>
      </c>
      <c r="G7721" s="62" t="n">
        <v>411.51</v>
      </c>
      <c r="H7721" s="63" t="n">
        <v>0.046</v>
      </c>
      <c r="I7721" s="62" t="n">
        <v>279.55</v>
      </c>
      <c r="J7721" s="58" t="inlineStr">
        <is>
          <t>Online</t>
        </is>
      </c>
      <c r="K7721" s="62">
        <f>F7721*(G7721-H7721)</f>
        <v/>
      </c>
      <c r="L7721" s="62">
        <f>K7721-(F7721*I7721)</f>
        <v/>
      </c>
      <c r="M7721" s="64">
        <f>L7721/K7721</f>
        <v/>
      </c>
    </row>
    <row r="7722">
      <c r="A7722" s="58" t="inlineStr">
        <is>
          <t>RT20250712-07721</t>
        </is>
      </c>
      <c r="B7722" s="59" t="inlineStr">
        <is>
          <t>2025-07-12</t>
        </is>
      </c>
      <c r="C7722" s="60" t="inlineStr">
        <is>
          <t>Vertex Skincare Pro-891</t>
        </is>
      </c>
      <c r="D7722" s="58" t="inlineStr">
        <is>
          <t>Beauty</t>
        </is>
      </c>
      <c r="E7722" s="58" t="inlineStr">
        <is>
          <t>East</t>
        </is>
      </c>
      <c r="F7722" s="61" t="n">
        <v>4</v>
      </c>
      <c r="G7722" s="62" t="n">
        <v>141.77</v>
      </c>
      <c r="H7722" s="63" t="n">
        <v>0.065</v>
      </c>
      <c r="I7722" s="62" t="n">
        <v>89.29000000000001</v>
      </c>
      <c r="J7722" s="58" t="inlineStr">
        <is>
          <t>Online</t>
        </is>
      </c>
      <c r="K7722" s="62">
        <f>F7722*(G7722-H7722)</f>
        <v/>
      </c>
      <c r="L7722" s="62">
        <f>K7722-(F7722*I7722)</f>
        <v/>
      </c>
      <c r="M7722" s="64">
        <f>L7722/K7722</f>
        <v/>
      </c>
    </row>
    <row r="7723">
      <c r="A7723" s="58" t="inlineStr">
        <is>
          <t>RT20250712-07722</t>
        </is>
      </c>
      <c r="B7723" s="59" t="inlineStr">
        <is>
          <t>2025-07-12</t>
        </is>
      </c>
      <c r="C7723" s="60" t="inlineStr">
        <is>
          <t>Vertex Accessorie Pro-881</t>
        </is>
      </c>
      <c r="D7723" s="58" t="inlineStr">
        <is>
          <t>Apparel</t>
        </is>
      </c>
      <c r="E7723" s="58" t="inlineStr">
        <is>
          <t>East</t>
        </is>
      </c>
      <c r="F7723" s="61" t="n">
        <v>4</v>
      </c>
      <c r="G7723" s="62" t="n">
        <v>97.92</v>
      </c>
      <c r="H7723" s="63" t="n">
        <v>0.045</v>
      </c>
      <c r="I7723" s="62" t="n">
        <v>62.8</v>
      </c>
      <c r="J7723" s="58" t="inlineStr">
        <is>
          <t>Online</t>
        </is>
      </c>
      <c r="K7723" s="62">
        <f>F7723*(G7723-H7723)</f>
        <v/>
      </c>
      <c r="L7723" s="62">
        <f>K7723-(F7723*I7723)</f>
        <v/>
      </c>
      <c r="M7723" s="64">
        <f>L7723/K7723</f>
        <v/>
      </c>
    </row>
    <row r="7724">
      <c r="A7724" s="58" t="inlineStr">
        <is>
          <t>RT20250712-07723</t>
        </is>
      </c>
      <c r="B7724" s="59" t="inlineStr">
        <is>
          <t>2025-07-12</t>
        </is>
      </c>
      <c r="C7724" s="60" t="inlineStr">
        <is>
          <t>Aurora Appliance Lite-109</t>
        </is>
      </c>
      <c r="D7724" s="58" t="inlineStr">
        <is>
          <t>Home</t>
        </is>
      </c>
      <c r="E7724" s="58" t="inlineStr">
        <is>
          <t>East</t>
        </is>
      </c>
      <c r="F7724" s="61" t="n">
        <v>2</v>
      </c>
      <c r="G7724" s="62" t="n">
        <v>282.01</v>
      </c>
      <c r="H7724" s="63" t="n">
        <v>0.011</v>
      </c>
      <c r="I7724" s="62" t="n">
        <v>205.15</v>
      </c>
      <c r="J7724" s="58" t="inlineStr">
        <is>
          <t>Online</t>
        </is>
      </c>
      <c r="K7724" s="62">
        <f>F7724*(G7724-H7724)</f>
        <v/>
      </c>
      <c r="L7724" s="62">
        <f>K7724-(F7724*I7724)</f>
        <v/>
      </c>
      <c r="M7724" s="64">
        <f>L7724/K7724</f>
        <v/>
      </c>
    </row>
    <row r="7725">
      <c r="A7725" s="58" t="inlineStr">
        <is>
          <t>RT20250712-07724</t>
        </is>
      </c>
      <c r="B7725" s="59" t="inlineStr">
        <is>
          <t>2025-07-12</t>
        </is>
      </c>
      <c r="C7725" s="60" t="inlineStr">
        <is>
          <t>Falcon Haircare Pro-980</t>
        </is>
      </c>
      <c r="D7725" s="58" t="inlineStr">
        <is>
          <t>Beauty</t>
        </is>
      </c>
      <c r="E7725" s="58" t="inlineStr">
        <is>
          <t>East</t>
        </is>
      </c>
      <c r="F7725" s="61" t="n">
        <v>4</v>
      </c>
      <c r="G7725" s="62" t="n">
        <v>98.42</v>
      </c>
      <c r="H7725" s="63" t="n">
        <v>0.126</v>
      </c>
      <c r="I7725" s="62" t="n">
        <v>55.22</v>
      </c>
      <c r="J7725" s="58" t="inlineStr">
        <is>
          <t>Store</t>
        </is>
      </c>
      <c r="K7725" s="62">
        <f>F7725*(G7725-H7725)</f>
        <v/>
      </c>
      <c r="L7725" s="62">
        <f>K7725-(F7725*I7725)</f>
        <v/>
      </c>
      <c r="M7725" s="64">
        <f>L7725/K7725</f>
        <v/>
      </c>
    </row>
    <row r="7726">
      <c r="A7726" s="58" t="inlineStr">
        <is>
          <t>RT20250712-07725</t>
        </is>
      </c>
      <c r="B7726" s="59" t="inlineStr">
        <is>
          <t>2025-07-12</t>
        </is>
      </c>
      <c r="C7726" s="60" t="inlineStr">
        <is>
          <t>Vertex Appliance Max-338</t>
        </is>
      </c>
      <c r="D7726" s="58" t="inlineStr">
        <is>
          <t>Home</t>
        </is>
      </c>
      <c r="E7726" s="58" t="inlineStr">
        <is>
          <t>West</t>
        </is>
      </c>
      <c r="F7726" s="61" t="n">
        <v>1</v>
      </c>
      <c r="G7726" s="62" t="n">
        <v>469.76</v>
      </c>
      <c r="H7726" s="63" t="n">
        <v>0.112</v>
      </c>
      <c r="I7726" s="62" t="n">
        <v>295.98</v>
      </c>
      <c r="J7726" s="58" t="inlineStr">
        <is>
          <t>Online</t>
        </is>
      </c>
      <c r="K7726" s="62">
        <f>F7726*(G7726-H7726)</f>
        <v/>
      </c>
      <c r="L7726" s="62">
        <f>K7726-(F7726*I7726)</f>
        <v/>
      </c>
      <c r="M7726" s="64">
        <f>L7726/K7726</f>
        <v/>
      </c>
    </row>
    <row r="7727">
      <c r="A7727" s="58" t="inlineStr">
        <is>
          <t>RT20250712-07726</t>
        </is>
      </c>
      <c r="B7727" s="59" t="inlineStr">
        <is>
          <t>2025-07-12</t>
        </is>
      </c>
      <c r="C7727" s="60" t="inlineStr">
        <is>
          <t>Vertex Furniture S-652</t>
        </is>
      </c>
      <c r="D7727" s="58" t="inlineStr">
        <is>
          <t>Office</t>
        </is>
      </c>
      <c r="E7727" s="58" t="inlineStr">
        <is>
          <t>East</t>
        </is>
      </c>
      <c r="F7727" s="61" t="n">
        <v>2</v>
      </c>
      <c r="G7727" s="62" t="n">
        <v>362.03</v>
      </c>
      <c r="H7727" s="63" t="n">
        <v>0.05</v>
      </c>
      <c r="I7727" s="62" t="n">
        <v>264.71</v>
      </c>
      <c r="J7727" s="58" t="inlineStr">
        <is>
          <t>Online</t>
        </is>
      </c>
      <c r="K7727" s="62">
        <f>F7727*(G7727-H7727)</f>
        <v/>
      </c>
      <c r="L7727" s="62">
        <f>K7727-(F7727*I7727)</f>
        <v/>
      </c>
      <c r="M7727" s="64">
        <f>L7727/K7727</f>
        <v/>
      </c>
    </row>
    <row r="7728">
      <c r="A7728" s="58" t="inlineStr">
        <is>
          <t>RT20250712-07727</t>
        </is>
      </c>
      <c r="B7728" s="59" t="inlineStr">
        <is>
          <t>2025-07-12</t>
        </is>
      </c>
      <c r="C7728" s="60" t="inlineStr">
        <is>
          <t>Aurora Skincare Max-798</t>
        </is>
      </c>
      <c r="D7728" s="58" t="inlineStr">
        <is>
          <t>Beauty</t>
        </is>
      </c>
      <c r="E7728" s="58" t="inlineStr">
        <is>
          <t>North</t>
        </is>
      </c>
      <c r="F7728" s="61" t="n">
        <v>5</v>
      </c>
      <c r="G7728" s="62" t="n">
        <v>120.31</v>
      </c>
      <c r="H7728" s="63" t="n">
        <v>0.06900000000000001</v>
      </c>
      <c r="I7728" s="62" t="n">
        <v>70.19</v>
      </c>
      <c r="J7728" s="58" t="inlineStr">
        <is>
          <t>Online</t>
        </is>
      </c>
      <c r="K7728" s="62">
        <f>F7728*(G7728-H7728)</f>
        <v/>
      </c>
      <c r="L7728" s="62">
        <f>K7728-(F7728*I7728)</f>
        <v/>
      </c>
      <c r="M7728" s="64">
        <f>L7728/K7728</f>
        <v/>
      </c>
    </row>
    <row r="7729">
      <c r="A7729" s="58" t="inlineStr">
        <is>
          <t>RT20250712-07728</t>
        </is>
      </c>
      <c r="B7729" s="59" t="inlineStr">
        <is>
          <t>2025-07-12</t>
        </is>
      </c>
      <c r="C7729" s="60" t="inlineStr">
        <is>
          <t>Polar Fragrance Pro-750</t>
        </is>
      </c>
      <c r="D7729" s="58" t="inlineStr">
        <is>
          <t>Beauty</t>
        </is>
      </c>
      <c r="E7729" s="58" t="inlineStr">
        <is>
          <t>North</t>
        </is>
      </c>
      <c r="F7729" s="61" t="n">
        <v>3</v>
      </c>
      <c r="G7729" s="62" t="n">
        <v>52.19</v>
      </c>
      <c r="H7729" s="63" t="n">
        <v>0.108</v>
      </c>
      <c r="I7729" s="62" t="n">
        <v>37.45</v>
      </c>
      <c r="J7729" s="58" t="inlineStr">
        <is>
          <t>Online</t>
        </is>
      </c>
      <c r="K7729" s="62">
        <f>F7729*(G7729-H7729)</f>
        <v/>
      </c>
      <c r="L7729" s="62">
        <f>K7729-(F7729*I7729)</f>
        <v/>
      </c>
      <c r="M7729" s="64">
        <f>L7729/K7729</f>
        <v/>
      </c>
    </row>
    <row r="7730">
      <c r="A7730" s="58" t="inlineStr">
        <is>
          <t>RT20250712-07729</t>
        </is>
      </c>
      <c r="B7730" s="59" t="inlineStr">
        <is>
          <t>2025-07-12</t>
        </is>
      </c>
      <c r="C7730" s="60" t="inlineStr">
        <is>
          <t>Falcon Wearable X-334</t>
        </is>
      </c>
      <c r="D7730" s="58" t="inlineStr">
        <is>
          <t>Electronics</t>
        </is>
      </c>
      <c r="E7730" s="58" t="inlineStr">
        <is>
          <t>Central</t>
        </is>
      </c>
      <c r="F7730" s="61" t="n">
        <v>1</v>
      </c>
      <c r="G7730" s="62" t="n">
        <v>1996.31</v>
      </c>
      <c r="H7730" s="63" t="n">
        <v>0.044</v>
      </c>
      <c r="I7730" s="62" t="n">
        <v>1506.87</v>
      </c>
      <c r="J7730" s="58" t="inlineStr">
        <is>
          <t>Online</t>
        </is>
      </c>
      <c r="K7730" s="62">
        <f>F7730*(G7730-H7730)</f>
        <v/>
      </c>
      <c r="L7730" s="62">
        <f>K7730-(F7730*I7730)</f>
        <v/>
      </c>
      <c r="M7730" s="64">
        <f>L7730/K7730</f>
        <v/>
      </c>
    </row>
    <row r="7731">
      <c r="A7731" s="58" t="inlineStr">
        <is>
          <t>RT20250712-07730</t>
        </is>
      </c>
      <c r="B7731" s="59" t="inlineStr">
        <is>
          <t>2025-07-12</t>
        </is>
      </c>
      <c r="C7731" s="60" t="inlineStr">
        <is>
          <t>Falcon Storage X-734</t>
        </is>
      </c>
      <c r="D7731" s="58" t="inlineStr">
        <is>
          <t>Office</t>
        </is>
      </c>
      <c r="E7731" s="58" t="inlineStr">
        <is>
          <t>Central</t>
        </is>
      </c>
      <c r="F7731" s="61" t="n">
        <v>1</v>
      </c>
      <c r="G7731" s="62" t="n">
        <v>361.84</v>
      </c>
      <c r="H7731" s="63" t="n">
        <v>0.042</v>
      </c>
      <c r="I7731" s="62" t="n">
        <v>290.48</v>
      </c>
      <c r="J7731" s="58" t="inlineStr">
        <is>
          <t>Online</t>
        </is>
      </c>
      <c r="K7731" s="62">
        <f>F7731*(G7731-H7731)</f>
        <v/>
      </c>
      <c r="L7731" s="62">
        <f>K7731-(F7731*I7731)</f>
        <v/>
      </c>
      <c r="M7731" s="64">
        <f>L7731/K7731</f>
        <v/>
      </c>
    </row>
    <row r="7732">
      <c r="A7732" s="58" t="inlineStr">
        <is>
          <t>RT20250712-07731</t>
        </is>
      </c>
      <c r="B7732" s="59" t="inlineStr">
        <is>
          <t>2025-07-12</t>
        </is>
      </c>
      <c r="C7732" s="60" t="inlineStr">
        <is>
          <t>Vertex Decor Pro-618</t>
        </is>
      </c>
      <c r="D7732" s="58" t="inlineStr">
        <is>
          <t>Home</t>
        </is>
      </c>
      <c r="E7732" s="58" t="inlineStr">
        <is>
          <t>West</t>
        </is>
      </c>
      <c r="F7732" s="61" t="n">
        <v>2</v>
      </c>
      <c r="G7732" s="62" t="n">
        <v>530.26</v>
      </c>
      <c r="H7732" s="63" t="n">
        <v>0.05</v>
      </c>
      <c r="I7732" s="62" t="n">
        <v>371.33</v>
      </c>
      <c r="J7732" s="58" t="inlineStr">
        <is>
          <t>Online</t>
        </is>
      </c>
      <c r="K7732" s="62">
        <f>F7732*(G7732-H7732)</f>
        <v/>
      </c>
      <c r="L7732" s="62">
        <f>K7732-(F7732*I7732)</f>
        <v/>
      </c>
      <c r="M7732" s="64">
        <f>L7732/K7732</f>
        <v/>
      </c>
    </row>
    <row r="7733">
      <c r="A7733" s="58" t="inlineStr">
        <is>
          <t>RT20250712-07732</t>
        </is>
      </c>
      <c r="B7733" s="59" t="inlineStr">
        <is>
          <t>2025-07-12</t>
        </is>
      </c>
      <c r="C7733" s="60" t="inlineStr">
        <is>
          <t>Nimbus Fitnes Lite-516</t>
        </is>
      </c>
      <c r="D7733" s="58" t="inlineStr">
        <is>
          <t>Sports</t>
        </is>
      </c>
      <c r="E7733" s="58" t="inlineStr">
        <is>
          <t>West</t>
        </is>
      </c>
      <c r="F7733" s="61" t="n">
        <v>3</v>
      </c>
      <c r="G7733" s="62" t="n">
        <v>622.42</v>
      </c>
      <c r="H7733" s="63" t="n">
        <v>0.034</v>
      </c>
      <c r="I7733" s="62" t="n">
        <v>472.27</v>
      </c>
      <c r="J7733" s="58" t="inlineStr">
        <is>
          <t>Online</t>
        </is>
      </c>
      <c r="K7733" s="62">
        <f>F7733*(G7733-H7733)</f>
        <v/>
      </c>
      <c r="L7733" s="62">
        <f>K7733-(F7733*I7733)</f>
        <v/>
      </c>
      <c r="M7733" s="64">
        <f>L7733/K7733</f>
        <v/>
      </c>
    </row>
    <row r="7734">
      <c r="A7734" s="58" t="inlineStr">
        <is>
          <t>RT20250712-07733</t>
        </is>
      </c>
      <c r="B7734" s="59" t="inlineStr">
        <is>
          <t>2025-07-12</t>
        </is>
      </c>
      <c r="C7734" s="60" t="inlineStr">
        <is>
          <t>Nimbus Men Plus-231</t>
        </is>
      </c>
      <c r="D7734" s="58" t="inlineStr">
        <is>
          <t>Apparel</t>
        </is>
      </c>
      <c r="E7734" s="58" t="inlineStr">
        <is>
          <t>East</t>
        </is>
      </c>
      <c r="F7734" s="61" t="n">
        <v>4</v>
      </c>
      <c r="G7734" s="62" t="n">
        <v>156.12</v>
      </c>
      <c r="H7734" s="63" t="n">
        <v>0.043</v>
      </c>
      <c r="I7734" s="62" t="n">
        <v>86.97</v>
      </c>
      <c r="J7734" s="58" t="inlineStr">
        <is>
          <t>Online</t>
        </is>
      </c>
      <c r="K7734" s="62">
        <f>F7734*(G7734-H7734)</f>
        <v/>
      </c>
      <c r="L7734" s="62">
        <f>K7734-(F7734*I7734)</f>
        <v/>
      </c>
      <c r="M7734" s="64">
        <f>L7734/K7734</f>
        <v/>
      </c>
    </row>
    <row r="7735">
      <c r="A7735" s="58" t="inlineStr">
        <is>
          <t>RT20250712-07734</t>
        </is>
      </c>
      <c r="B7735" s="59" t="inlineStr">
        <is>
          <t>2025-07-12</t>
        </is>
      </c>
      <c r="C7735" s="60" t="inlineStr">
        <is>
          <t>Orion Beverage Plus-949</t>
        </is>
      </c>
      <c r="D7735" s="58" t="inlineStr">
        <is>
          <t>Grocery</t>
        </is>
      </c>
      <c r="E7735" s="58" t="inlineStr">
        <is>
          <t>East</t>
        </is>
      </c>
      <c r="F7735" s="61" t="n">
        <v>8</v>
      </c>
      <c r="G7735" s="62" t="n">
        <v>16.39</v>
      </c>
      <c r="H7735" s="63" t="n">
        <v>0.031</v>
      </c>
      <c r="I7735" s="62" t="n">
        <v>13.72</v>
      </c>
      <c r="J7735" s="58" t="inlineStr">
        <is>
          <t>Online</t>
        </is>
      </c>
      <c r="K7735" s="62">
        <f>F7735*(G7735-H7735)</f>
        <v/>
      </c>
      <c r="L7735" s="62">
        <f>K7735-(F7735*I7735)</f>
        <v/>
      </c>
      <c r="M7735" s="64">
        <f>L7735/K7735</f>
        <v/>
      </c>
    </row>
    <row r="7736">
      <c r="A7736" s="58" t="inlineStr">
        <is>
          <t>RT20250712-07735</t>
        </is>
      </c>
      <c r="B7736" s="59" t="inlineStr">
        <is>
          <t>2025-07-12</t>
        </is>
      </c>
      <c r="C7736" s="60" t="inlineStr">
        <is>
          <t>Aurora Makeup Pro-489</t>
        </is>
      </c>
      <c r="D7736" s="58" t="inlineStr">
        <is>
          <t>Beauty</t>
        </is>
      </c>
      <c r="E7736" s="58" t="inlineStr">
        <is>
          <t>Central</t>
        </is>
      </c>
      <c r="F7736" s="61" t="n">
        <v>4</v>
      </c>
      <c r="G7736" s="62" t="n">
        <v>104.48</v>
      </c>
      <c r="H7736" s="63" t="n">
        <v>0.073</v>
      </c>
      <c r="I7736" s="62" t="n">
        <v>63.15</v>
      </c>
      <c r="J7736" s="58" t="inlineStr">
        <is>
          <t>Store</t>
        </is>
      </c>
      <c r="K7736" s="62">
        <f>F7736*(G7736-H7736)</f>
        <v/>
      </c>
      <c r="L7736" s="62">
        <f>K7736-(F7736*I7736)</f>
        <v/>
      </c>
      <c r="M7736" s="64">
        <f>L7736/K7736</f>
        <v/>
      </c>
    </row>
    <row r="7737">
      <c r="A7737" s="58" t="inlineStr">
        <is>
          <t>RT20250712-07736</t>
        </is>
      </c>
      <c r="B7737" s="59" t="inlineStr">
        <is>
          <t>2025-07-12</t>
        </is>
      </c>
      <c r="C7737" s="60" t="inlineStr">
        <is>
          <t>Polar Beverage S-258</t>
        </is>
      </c>
      <c r="D7737" s="58" t="inlineStr">
        <is>
          <t>Grocery</t>
        </is>
      </c>
      <c r="E7737" s="58" t="inlineStr">
        <is>
          <t>East</t>
        </is>
      </c>
      <c r="F7737" s="61" t="n">
        <v>4</v>
      </c>
      <c r="G7737" s="62" t="n">
        <v>14.93</v>
      </c>
      <c r="H7737" s="63" t="n">
        <v>0.051</v>
      </c>
      <c r="I7737" s="62" t="n">
        <v>9.52</v>
      </c>
      <c r="J7737" s="58" t="inlineStr">
        <is>
          <t>Online</t>
        </is>
      </c>
      <c r="K7737" s="62">
        <f>F7737*(G7737-H7737)</f>
        <v/>
      </c>
      <c r="L7737" s="62">
        <f>K7737-(F7737*I7737)</f>
        <v/>
      </c>
      <c r="M7737" s="64">
        <f>L7737/K7737</f>
        <v/>
      </c>
    </row>
    <row r="7738">
      <c r="A7738" s="58" t="inlineStr">
        <is>
          <t>RT20250712-07737</t>
        </is>
      </c>
      <c r="B7738" s="59" t="inlineStr">
        <is>
          <t>2025-07-12</t>
        </is>
      </c>
      <c r="C7738" s="60" t="inlineStr">
        <is>
          <t>Metro Pantry Max-180</t>
        </is>
      </c>
      <c r="D7738" s="58" t="inlineStr">
        <is>
          <t>Grocery</t>
        </is>
      </c>
      <c r="E7738" s="58" t="inlineStr">
        <is>
          <t>South</t>
        </is>
      </c>
      <c r="F7738" s="61" t="n">
        <v>1</v>
      </c>
      <c r="G7738" s="62" t="n">
        <v>9.859999999999999</v>
      </c>
      <c r="H7738" s="63" t="n">
        <v>0.067</v>
      </c>
      <c r="I7738" s="62" t="n">
        <v>6.73</v>
      </c>
      <c r="J7738" s="58" t="inlineStr">
        <is>
          <t>Store</t>
        </is>
      </c>
      <c r="K7738" s="62">
        <f>F7738*(G7738-H7738)</f>
        <v/>
      </c>
      <c r="L7738" s="62">
        <f>K7738-(F7738*I7738)</f>
        <v/>
      </c>
      <c r="M7738" s="64">
        <f>L7738/K7738</f>
        <v/>
      </c>
    </row>
    <row r="7739">
      <c r="A7739" s="58" t="inlineStr">
        <is>
          <t>RT20250712-07738</t>
        </is>
      </c>
      <c r="B7739" s="59" t="inlineStr">
        <is>
          <t>2025-07-12</t>
        </is>
      </c>
      <c r="C7739" s="60" t="inlineStr">
        <is>
          <t>Metro Pantry Max-180</t>
        </is>
      </c>
      <c r="D7739" s="58" t="inlineStr">
        <is>
          <t>Grocery</t>
        </is>
      </c>
      <c r="E7739" s="58" t="inlineStr">
        <is>
          <t>West</t>
        </is>
      </c>
      <c r="F7739" s="61" t="n">
        <v>8</v>
      </c>
      <c r="G7739" s="62" t="n">
        <v>9.35</v>
      </c>
      <c r="H7739" s="63" t="n">
        <v>0.051</v>
      </c>
      <c r="I7739" s="62" t="n">
        <v>6.58</v>
      </c>
      <c r="J7739" s="58" t="inlineStr">
        <is>
          <t>Online</t>
        </is>
      </c>
      <c r="K7739" s="62">
        <f>F7739*(G7739-H7739)</f>
        <v/>
      </c>
      <c r="L7739" s="62">
        <f>K7739-(F7739*I7739)</f>
        <v/>
      </c>
      <c r="M7739" s="64">
        <f>L7739/K7739</f>
        <v/>
      </c>
    </row>
    <row r="7740">
      <c r="A7740" s="58" t="inlineStr">
        <is>
          <t>RT20250712-07739</t>
        </is>
      </c>
      <c r="B7740" s="59" t="inlineStr">
        <is>
          <t>2025-07-12</t>
        </is>
      </c>
      <c r="C7740" s="60" t="inlineStr">
        <is>
          <t>Falcon Beverage Max-702</t>
        </is>
      </c>
      <c r="D7740" s="58" t="inlineStr">
        <is>
          <t>Grocery</t>
        </is>
      </c>
      <c r="E7740" s="58" t="inlineStr">
        <is>
          <t>West</t>
        </is>
      </c>
      <c r="F7740" s="61" t="n">
        <v>4</v>
      </c>
      <c r="G7740" s="62" t="n">
        <v>26.1</v>
      </c>
      <c r="H7740" s="63" t="n">
        <v>0.1</v>
      </c>
      <c r="I7740" s="62" t="n">
        <v>20.44</v>
      </c>
      <c r="J7740" s="58" t="inlineStr">
        <is>
          <t>Online</t>
        </is>
      </c>
      <c r="K7740" s="62">
        <f>F7740*(G7740-H7740)</f>
        <v/>
      </c>
      <c r="L7740" s="62">
        <f>K7740-(F7740*I7740)</f>
        <v/>
      </c>
      <c r="M7740" s="64">
        <f>L7740/K7740</f>
        <v/>
      </c>
    </row>
    <row r="7741">
      <c r="A7741" s="58" t="inlineStr">
        <is>
          <t>RT20250712-07740</t>
        </is>
      </c>
      <c r="B7741" s="59" t="inlineStr">
        <is>
          <t>2025-07-12</t>
        </is>
      </c>
      <c r="C7741" s="60" t="inlineStr">
        <is>
          <t>Orion Team Sport X-926</t>
        </is>
      </c>
      <c r="D7741" s="58" t="inlineStr">
        <is>
          <t>Sports</t>
        </is>
      </c>
      <c r="E7741" s="58" t="inlineStr">
        <is>
          <t>South</t>
        </is>
      </c>
      <c r="F7741" s="61" t="n">
        <v>3</v>
      </c>
      <c r="G7741" s="62" t="n">
        <v>327.33</v>
      </c>
      <c r="H7741" s="63" t="n">
        <v>0.065</v>
      </c>
      <c r="I7741" s="62" t="n">
        <v>215.13</v>
      </c>
      <c r="J7741" s="58" t="inlineStr">
        <is>
          <t>Online</t>
        </is>
      </c>
      <c r="K7741" s="62">
        <f>F7741*(G7741-H7741)</f>
        <v/>
      </c>
      <c r="L7741" s="62">
        <f>K7741-(F7741*I7741)</f>
        <v/>
      </c>
      <c r="M7741" s="64">
        <f>L7741/K7741</f>
        <v/>
      </c>
    </row>
    <row r="7742">
      <c r="A7742" s="58" t="inlineStr">
        <is>
          <t>RT20250712-07741</t>
        </is>
      </c>
      <c r="B7742" s="59" t="inlineStr">
        <is>
          <t>2025-07-12</t>
        </is>
      </c>
      <c r="C7742" s="60" t="inlineStr">
        <is>
          <t>Vertex Accessorie Pro-881</t>
        </is>
      </c>
      <c r="D7742" s="58" t="inlineStr">
        <is>
          <t>Apparel</t>
        </is>
      </c>
      <c r="E7742" s="58" t="inlineStr">
        <is>
          <t>Central</t>
        </is>
      </c>
      <c r="F7742" s="61" t="n">
        <v>4</v>
      </c>
      <c r="G7742" s="62" t="n">
        <v>108.3</v>
      </c>
      <c r="H7742" s="63" t="n">
        <v>0.082</v>
      </c>
      <c r="I7742" s="62" t="n">
        <v>64.16</v>
      </c>
      <c r="J7742" s="58" t="inlineStr">
        <is>
          <t>Online</t>
        </is>
      </c>
      <c r="K7742" s="62">
        <f>F7742*(G7742-H7742)</f>
        <v/>
      </c>
      <c r="L7742" s="62">
        <f>K7742-(F7742*I7742)</f>
        <v/>
      </c>
      <c r="M7742" s="64">
        <f>L7742/K7742</f>
        <v/>
      </c>
    </row>
    <row r="7743">
      <c r="A7743" s="58" t="inlineStr">
        <is>
          <t>RT20250713-07742</t>
        </is>
      </c>
      <c r="B7743" s="59" t="inlineStr">
        <is>
          <t>2025-07-13</t>
        </is>
      </c>
      <c r="C7743" s="60" t="inlineStr">
        <is>
          <t>Vertex Snack S-702</t>
        </is>
      </c>
      <c r="D7743" s="58" t="inlineStr">
        <is>
          <t>Grocery</t>
        </is>
      </c>
      <c r="E7743" s="58" t="inlineStr">
        <is>
          <t>Central</t>
        </is>
      </c>
      <c r="F7743" s="61" t="n">
        <v>7</v>
      </c>
      <c r="G7743" s="62" t="n">
        <v>1.8</v>
      </c>
      <c r="H7743" s="63" t="n">
        <v>0.09</v>
      </c>
      <c r="I7743" s="62" t="n">
        <v>1.45</v>
      </c>
      <c r="J7743" s="58" t="inlineStr">
        <is>
          <t>Online</t>
        </is>
      </c>
      <c r="K7743" s="62">
        <f>F7743*(G7743-H7743)</f>
        <v/>
      </c>
      <c r="L7743" s="62">
        <f>K7743-(F7743*I7743)</f>
        <v/>
      </c>
      <c r="M7743" s="64">
        <f>L7743/K7743</f>
        <v/>
      </c>
    </row>
    <row r="7744">
      <c r="A7744" s="58" t="inlineStr">
        <is>
          <t>RT20250713-07743</t>
        </is>
      </c>
      <c r="B7744" s="59" t="inlineStr">
        <is>
          <t>2025-07-13</t>
        </is>
      </c>
      <c r="C7744" s="60" t="inlineStr">
        <is>
          <t>Metro Accessorie Lite-697</t>
        </is>
      </c>
      <c r="D7744" s="58" t="inlineStr">
        <is>
          <t>Apparel</t>
        </is>
      </c>
      <c r="E7744" s="58" t="inlineStr">
        <is>
          <t>East</t>
        </is>
      </c>
      <c r="F7744" s="61" t="n">
        <v>2</v>
      </c>
      <c r="G7744" s="62" t="n">
        <v>129.74</v>
      </c>
      <c r="H7744" s="63" t="n">
        <v>0.043</v>
      </c>
      <c r="I7744" s="62" t="n">
        <v>75.06</v>
      </c>
      <c r="J7744" s="58" t="inlineStr">
        <is>
          <t>Phone</t>
        </is>
      </c>
      <c r="K7744" s="62">
        <f>F7744*(G7744-H7744)</f>
        <v/>
      </c>
      <c r="L7744" s="62">
        <f>K7744-(F7744*I7744)</f>
        <v/>
      </c>
      <c r="M7744" s="64">
        <f>L7744/K7744</f>
        <v/>
      </c>
    </row>
    <row r="7745">
      <c r="A7745" s="58" t="inlineStr">
        <is>
          <t>RT20250713-07744</t>
        </is>
      </c>
      <c r="B7745" s="59" t="inlineStr">
        <is>
          <t>2025-07-13</t>
        </is>
      </c>
      <c r="C7745" s="60" t="inlineStr">
        <is>
          <t>Polar Supplie Lite-348</t>
        </is>
      </c>
      <c r="D7745" s="58" t="inlineStr">
        <is>
          <t>Office</t>
        </is>
      </c>
      <c r="E7745" s="58" t="inlineStr">
        <is>
          <t>West</t>
        </is>
      </c>
      <c r="F7745" s="61" t="n">
        <v>1</v>
      </c>
      <c r="G7745" s="62" t="n">
        <v>430.05</v>
      </c>
      <c r="H7745" s="63" t="n">
        <v>0.06</v>
      </c>
      <c r="I7745" s="62" t="n">
        <v>308.97</v>
      </c>
      <c r="J7745" s="58" t="inlineStr">
        <is>
          <t>Online</t>
        </is>
      </c>
      <c r="K7745" s="62">
        <f>F7745*(G7745-H7745)</f>
        <v/>
      </c>
      <c r="L7745" s="62">
        <f>K7745-(F7745*I7745)</f>
        <v/>
      </c>
      <c r="M7745" s="64">
        <f>L7745/K7745</f>
        <v/>
      </c>
    </row>
    <row r="7746">
      <c r="A7746" s="58" t="inlineStr">
        <is>
          <t>RT20250713-07745</t>
        </is>
      </c>
      <c r="B7746" s="59" t="inlineStr">
        <is>
          <t>2025-07-13</t>
        </is>
      </c>
      <c r="C7746" s="60" t="inlineStr">
        <is>
          <t>Solace Kitchen Pro-999</t>
        </is>
      </c>
      <c r="D7746" s="58" t="inlineStr">
        <is>
          <t>Home</t>
        </is>
      </c>
      <c r="E7746" s="58" t="inlineStr">
        <is>
          <t>West</t>
        </is>
      </c>
      <c r="F7746" s="61" t="n">
        <v>2</v>
      </c>
      <c r="G7746" s="62" t="n">
        <v>376.68</v>
      </c>
      <c r="H7746" s="63" t="n">
        <v>0.08500000000000001</v>
      </c>
      <c r="I7746" s="62" t="n">
        <v>269.62</v>
      </c>
      <c r="J7746" s="58" t="inlineStr">
        <is>
          <t>Online</t>
        </is>
      </c>
      <c r="K7746" s="62">
        <f>F7746*(G7746-H7746)</f>
        <v/>
      </c>
      <c r="L7746" s="62">
        <f>K7746-(F7746*I7746)</f>
        <v/>
      </c>
      <c r="M7746" s="64">
        <f>L7746/K7746</f>
        <v/>
      </c>
    </row>
    <row r="7747">
      <c r="A7747" s="58" t="inlineStr">
        <is>
          <t>RT20250713-07746</t>
        </is>
      </c>
      <c r="B7747" s="59" t="inlineStr">
        <is>
          <t>2025-07-13</t>
        </is>
      </c>
      <c r="C7747" s="60" t="inlineStr">
        <is>
          <t>Solace Laptop S-367</t>
        </is>
      </c>
      <c r="D7747" s="58" t="inlineStr">
        <is>
          <t>Electronics</t>
        </is>
      </c>
      <c r="E7747" s="58" t="inlineStr">
        <is>
          <t>Central</t>
        </is>
      </c>
      <c r="F7747" s="61" t="n">
        <v>2</v>
      </c>
      <c r="G7747" s="62" t="n">
        <v>2176.75</v>
      </c>
      <c r="H7747" s="63" t="n">
        <v>0.081</v>
      </c>
      <c r="I7747" s="62" t="n">
        <v>1532.79</v>
      </c>
      <c r="J7747" s="58" t="inlineStr">
        <is>
          <t>Store</t>
        </is>
      </c>
      <c r="K7747" s="62">
        <f>F7747*(G7747-H7747)</f>
        <v/>
      </c>
      <c r="L7747" s="62">
        <f>K7747-(F7747*I7747)</f>
        <v/>
      </c>
      <c r="M7747" s="64">
        <f>L7747/K7747</f>
        <v/>
      </c>
    </row>
    <row r="7748">
      <c r="A7748" s="58" t="inlineStr">
        <is>
          <t>RT20250713-07747</t>
        </is>
      </c>
      <c r="B7748" s="59" t="inlineStr">
        <is>
          <t>2025-07-13</t>
        </is>
      </c>
      <c r="C7748" s="60" t="inlineStr">
        <is>
          <t>Orion Team Sport X-926</t>
        </is>
      </c>
      <c r="D7748" s="58" t="inlineStr">
        <is>
          <t>Sports</t>
        </is>
      </c>
      <c r="E7748" s="58" t="inlineStr">
        <is>
          <t>North</t>
        </is>
      </c>
      <c r="F7748" s="61" t="n">
        <v>3</v>
      </c>
      <c r="G7748" s="62" t="n">
        <v>300.28</v>
      </c>
      <c r="H7748" s="63" t="n">
        <v>0.07199999999999999</v>
      </c>
      <c r="I7748" s="62" t="n">
        <v>214.22</v>
      </c>
      <c r="J7748" s="58" t="inlineStr">
        <is>
          <t>Online</t>
        </is>
      </c>
      <c r="K7748" s="62">
        <f>F7748*(G7748-H7748)</f>
        <v/>
      </c>
      <c r="L7748" s="62">
        <f>K7748-(F7748*I7748)</f>
        <v/>
      </c>
      <c r="M7748" s="64">
        <f>L7748/K7748</f>
        <v/>
      </c>
    </row>
    <row r="7749">
      <c r="A7749" s="58" t="inlineStr">
        <is>
          <t>RT20250713-07748</t>
        </is>
      </c>
      <c r="B7749" s="59" t="inlineStr">
        <is>
          <t>2025-07-13</t>
        </is>
      </c>
      <c r="C7749" s="60" t="inlineStr">
        <is>
          <t>Vertex Appliance S-159</t>
        </is>
      </c>
      <c r="D7749" s="58" t="inlineStr">
        <is>
          <t>Home</t>
        </is>
      </c>
      <c r="E7749" s="58" t="inlineStr">
        <is>
          <t>Central</t>
        </is>
      </c>
      <c r="F7749" s="61" t="n">
        <v>3</v>
      </c>
      <c r="G7749" s="62" t="n">
        <v>377.98</v>
      </c>
      <c r="H7749" s="63" t="n">
        <v>0.081</v>
      </c>
      <c r="I7749" s="62" t="n">
        <v>285.52</v>
      </c>
      <c r="J7749" s="58" t="inlineStr">
        <is>
          <t>Store</t>
        </is>
      </c>
      <c r="K7749" s="62">
        <f>F7749*(G7749-H7749)</f>
        <v/>
      </c>
      <c r="L7749" s="62">
        <f>K7749-(F7749*I7749)</f>
        <v/>
      </c>
      <c r="M7749" s="64">
        <f>L7749/K7749</f>
        <v/>
      </c>
    </row>
    <row r="7750">
      <c r="A7750" s="58" t="inlineStr">
        <is>
          <t>RT20250713-07749</t>
        </is>
      </c>
      <c r="B7750" s="59" t="inlineStr">
        <is>
          <t>2025-07-13</t>
        </is>
      </c>
      <c r="C7750" s="60" t="inlineStr">
        <is>
          <t>Polar Decor X-935</t>
        </is>
      </c>
      <c r="D7750" s="58" t="inlineStr">
        <is>
          <t>Home</t>
        </is>
      </c>
      <c r="E7750" s="58" t="inlineStr">
        <is>
          <t>East</t>
        </is>
      </c>
      <c r="F7750" s="61" t="n">
        <v>3</v>
      </c>
      <c r="G7750" s="62" t="n">
        <v>307.68</v>
      </c>
      <c r="H7750" s="63" t="n">
        <v>0.049</v>
      </c>
      <c r="I7750" s="62" t="n">
        <v>199.39</v>
      </c>
      <c r="J7750" s="58" t="inlineStr">
        <is>
          <t>Online</t>
        </is>
      </c>
      <c r="K7750" s="62">
        <f>F7750*(G7750-H7750)</f>
        <v/>
      </c>
      <c r="L7750" s="62">
        <f>K7750-(F7750*I7750)</f>
        <v/>
      </c>
      <c r="M7750" s="64">
        <f>L7750/K7750</f>
        <v/>
      </c>
    </row>
    <row r="7751">
      <c r="A7751" s="58" t="inlineStr">
        <is>
          <t>RT20250713-07750</t>
        </is>
      </c>
      <c r="B7751" s="59" t="inlineStr">
        <is>
          <t>2025-07-13</t>
        </is>
      </c>
      <c r="C7751" s="60" t="inlineStr">
        <is>
          <t>Aurora Outdoor Pro-467</t>
        </is>
      </c>
      <c r="D7751" s="58" t="inlineStr">
        <is>
          <t>Sports</t>
        </is>
      </c>
      <c r="E7751" s="58" t="inlineStr">
        <is>
          <t>East</t>
        </is>
      </c>
      <c r="F7751" s="61" t="n">
        <v>1</v>
      </c>
      <c r="G7751" s="62" t="n">
        <v>275.62</v>
      </c>
      <c r="H7751" s="63" t="n">
        <v>0.011</v>
      </c>
      <c r="I7751" s="62" t="n">
        <v>188.21</v>
      </c>
      <c r="J7751" s="58" t="inlineStr">
        <is>
          <t>Store</t>
        </is>
      </c>
      <c r="K7751" s="62">
        <f>F7751*(G7751-H7751)</f>
        <v/>
      </c>
      <c r="L7751" s="62">
        <f>K7751-(F7751*I7751)</f>
        <v/>
      </c>
      <c r="M7751" s="64">
        <f>L7751/K7751</f>
        <v/>
      </c>
    </row>
    <row r="7752">
      <c r="A7752" s="58" t="inlineStr">
        <is>
          <t>RT20250713-07751</t>
        </is>
      </c>
      <c r="B7752" s="59" t="inlineStr">
        <is>
          <t>2025-07-13</t>
        </is>
      </c>
      <c r="C7752" s="60" t="inlineStr">
        <is>
          <t>Falcon Household Plus-796</t>
        </is>
      </c>
      <c r="D7752" s="58" t="inlineStr">
        <is>
          <t>Grocery</t>
        </is>
      </c>
      <c r="E7752" s="58" t="inlineStr">
        <is>
          <t>Central</t>
        </is>
      </c>
      <c r="F7752" s="61" t="n">
        <v>3</v>
      </c>
      <c r="G7752" s="62" t="n">
        <v>23.6</v>
      </c>
      <c r="H7752" s="63" t="n">
        <v>0.083</v>
      </c>
      <c r="I7752" s="62" t="n">
        <v>17.64</v>
      </c>
      <c r="J7752" s="58" t="inlineStr">
        <is>
          <t>Online</t>
        </is>
      </c>
      <c r="K7752" s="62">
        <f>F7752*(G7752-H7752)</f>
        <v/>
      </c>
      <c r="L7752" s="62">
        <f>K7752-(F7752*I7752)</f>
        <v/>
      </c>
      <c r="M7752" s="64">
        <f>L7752/K7752</f>
        <v/>
      </c>
    </row>
    <row r="7753">
      <c r="A7753" s="58" t="inlineStr">
        <is>
          <t>RT20250713-07752</t>
        </is>
      </c>
      <c r="B7753" s="59" t="inlineStr">
        <is>
          <t>2025-07-13</t>
        </is>
      </c>
      <c r="C7753" s="60" t="inlineStr">
        <is>
          <t>Polar Fragrance Pro-750</t>
        </is>
      </c>
      <c r="D7753" s="58" t="inlineStr">
        <is>
          <t>Beauty</t>
        </is>
      </c>
      <c r="E7753" s="58" t="inlineStr">
        <is>
          <t>South</t>
        </is>
      </c>
      <c r="F7753" s="61" t="n">
        <v>2</v>
      </c>
      <c r="G7753" s="62" t="n">
        <v>50.69</v>
      </c>
      <c r="H7753" s="63" t="n">
        <v>0.074</v>
      </c>
      <c r="I7753" s="62" t="n">
        <v>38.07</v>
      </c>
      <c r="J7753" s="58" t="inlineStr">
        <is>
          <t>Online</t>
        </is>
      </c>
      <c r="K7753" s="62">
        <f>F7753*(G7753-H7753)</f>
        <v/>
      </c>
      <c r="L7753" s="62">
        <f>K7753-(F7753*I7753)</f>
        <v/>
      </c>
      <c r="M7753" s="64">
        <f>L7753/K7753</f>
        <v/>
      </c>
    </row>
    <row r="7754">
      <c r="A7754" s="58" t="inlineStr">
        <is>
          <t>RT20250713-07753</t>
        </is>
      </c>
      <c r="B7754" s="59" t="inlineStr">
        <is>
          <t>2025-07-13</t>
        </is>
      </c>
      <c r="C7754" s="60" t="inlineStr">
        <is>
          <t>Solace Kid S-384</t>
        </is>
      </c>
      <c r="D7754" s="58" t="inlineStr">
        <is>
          <t>Apparel</t>
        </is>
      </c>
      <c r="E7754" s="58" t="inlineStr">
        <is>
          <t>North</t>
        </is>
      </c>
      <c r="F7754" s="61" t="n">
        <v>2</v>
      </c>
      <c r="G7754" s="62" t="n">
        <v>113.43</v>
      </c>
      <c r="H7754" s="63" t="n">
        <v>0.035</v>
      </c>
      <c r="I7754" s="62" t="n">
        <v>63.19</v>
      </c>
      <c r="J7754" s="58" t="inlineStr">
        <is>
          <t>Store</t>
        </is>
      </c>
      <c r="K7754" s="62">
        <f>F7754*(G7754-H7754)</f>
        <v/>
      </c>
      <c r="L7754" s="62">
        <f>K7754-(F7754*I7754)</f>
        <v/>
      </c>
      <c r="M7754" s="64">
        <f>L7754/K7754</f>
        <v/>
      </c>
    </row>
    <row r="7755">
      <c r="A7755" s="58" t="inlineStr">
        <is>
          <t>RT20250713-07754</t>
        </is>
      </c>
      <c r="B7755" s="59" t="inlineStr">
        <is>
          <t>2025-07-13</t>
        </is>
      </c>
      <c r="C7755" s="60" t="inlineStr">
        <is>
          <t>Aurora Furniture X-709</t>
        </is>
      </c>
      <c r="D7755" s="58" t="inlineStr">
        <is>
          <t>Office</t>
        </is>
      </c>
      <c r="E7755" s="58" t="inlineStr">
        <is>
          <t>South</t>
        </is>
      </c>
      <c r="F7755" s="61" t="n">
        <v>2</v>
      </c>
      <c r="G7755" s="62" t="n">
        <v>454.14</v>
      </c>
      <c r="H7755" s="63" t="n">
        <v>0.021</v>
      </c>
      <c r="I7755" s="62" t="n">
        <v>311.29</v>
      </c>
      <c r="J7755" s="58" t="inlineStr">
        <is>
          <t>Store</t>
        </is>
      </c>
      <c r="K7755" s="62">
        <f>F7755*(G7755-H7755)</f>
        <v/>
      </c>
      <c r="L7755" s="62">
        <f>K7755-(F7755*I7755)</f>
        <v/>
      </c>
      <c r="M7755" s="64">
        <f>L7755/K7755</f>
        <v/>
      </c>
    </row>
    <row r="7756">
      <c r="A7756" s="58" t="inlineStr">
        <is>
          <t>RT20250713-07755</t>
        </is>
      </c>
      <c r="B7756" s="59" t="inlineStr">
        <is>
          <t>2025-07-13</t>
        </is>
      </c>
      <c r="C7756" s="60" t="inlineStr">
        <is>
          <t>Nimbus Decor Lite-385</t>
        </is>
      </c>
      <c r="D7756" s="58" t="inlineStr">
        <is>
          <t>Home</t>
        </is>
      </c>
      <c r="E7756" s="58" t="inlineStr">
        <is>
          <t>East</t>
        </is>
      </c>
      <c r="F7756" s="61" t="n">
        <v>1</v>
      </c>
      <c r="G7756" s="62" t="n">
        <v>532.54</v>
      </c>
      <c r="H7756" s="63" t="n">
        <v>0.053</v>
      </c>
      <c r="I7756" s="62" t="n">
        <v>397.96</v>
      </c>
      <c r="J7756" s="58" t="inlineStr">
        <is>
          <t>Online</t>
        </is>
      </c>
      <c r="K7756" s="62">
        <f>F7756*(G7756-H7756)</f>
        <v/>
      </c>
      <c r="L7756" s="62">
        <f>K7756-(F7756*I7756)</f>
        <v/>
      </c>
      <c r="M7756" s="64">
        <f>L7756/K7756</f>
        <v/>
      </c>
    </row>
    <row r="7757">
      <c r="A7757" s="58" t="inlineStr">
        <is>
          <t>RT20250713-07756</t>
        </is>
      </c>
      <c r="B7757" s="59" t="inlineStr">
        <is>
          <t>2025-07-13</t>
        </is>
      </c>
      <c r="C7757" s="60" t="inlineStr">
        <is>
          <t>Polar Supplie Lite-348</t>
        </is>
      </c>
      <c r="D7757" s="58" t="inlineStr">
        <is>
          <t>Office</t>
        </is>
      </c>
      <c r="E7757" s="58" t="inlineStr">
        <is>
          <t>East</t>
        </is>
      </c>
      <c r="F7757" s="61" t="n">
        <v>3</v>
      </c>
      <c r="G7757" s="62" t="n">
        <v>391.26</v>
      </c>
      <c r="H7757" s="63" t="n">
        <v>0.023</v>
      </c>
      <c r="I7757" s="62" t="n">
        <v>315.67</v>
      </c>
      <c r="J7757" s="58" t="inlineStr">
        <is>
          <t>Phone</t>
        </is>
      </c>
      <c r="K7757" s="62">
        <f>F7757*(G7757-H7757)</f>
        <v/>
      </c>
      <c r="L7757" s="62">
        <f>K7757-(F7757*I7757)</f>
        <v/>
      </c>
      <c r="M7757" s="64">
        <f>L7757/K7757</f>
        <v/>
      </c>
    </row>
    <row r="7758">
      <c r="A7758" s="58" t="inlineStr">
        <is>
          <t>RT20250713-07757</t>
        </is>
      </c>
      <c r="B7758" s="59" t="inlineStr">
        <is>
          <t>2025-07-13</t>
        </is>
      </c>
      <c r="C7758" s="60" t="inlineStr">
        <is>
          <t>Aurora Printer Plus-723</t>
        </is>
      </c>
      <c r="D7758" s="58" t="inlineStr">
        <is>
          <t>Office</t>
        </is>
      </c>
      <c r="E7758" s="58" t="inlineStr">
        <is>
          <t>East</t>
        </is>
      </c>
      <c r="F7758" s="61" t="n">
        <v>1</v>
      </c>
      <c r="G7758" s="62" t="n">
        <v>258.29</v>
      </c>
      <c r="H7758" s="63" t="n">
        <v>0.034</v>
      </c>
      <c r="I7758" s="62" t="n">
        <v>191.6</v>
      </c>
      <c r="J7758" s="58" t="inlineStr">
        <is>
          <t>Store</t>
        </is>
      </c>
      <c r="K7758" s="62">
        <f>F7758*(G7758-H7758)</f>
        <v/>
      </c>
      <c r="L7758" s="62">
        <f>K7758-(F7758*I7758)</f>
        <v/>
      </c>
      <c r="M7758" s="64">
        <f>L7758/K7758</f>
        <v/>
      </c>
    </row>
    <row r="7759">
      <c r="A7759" s="58" t="inlineStr">
        <is>
          <t>RT20250713-07758</t>
        </is>
      </c>
      <c r="B7759" s="59" t="inlineStr">
        <is>
          <t>2025-07-13</t>
        </is>
      </c>
      <c r="C7759" s="60" t="inlineStr">
        <is>
          <t>Nimbus Headphone X-854</t>
        </is>
      </c>
      <c r="D7759" s="58" t="inlineStr">
        <is>
          <t>Electronics</t>
        </is>
      </c>
      <c r="E7759" s="58" t="inlineStr">
        <is>
          <t>East</t>
        </is>
      </c>
      <c r="F7759" s="61" t="n">
        <v>2</v>
      </c>
      <c r="G7759" s="62" t="n">
        <v>1599.88</v>
      </c>
      <c r="H7759" s="63" t="n">
        <v>0.05</v>
      </c>
      <c r="I7759" s="62" t="n">
        <v>1268.76</v>
      </c>
      <c r="J7759" s="58" t="inlineStr">
        <is>
          <t>Store</t>
        </is>
      </c>
      <c r="K7759" s="62">
        <f>F7759*(G7759-H7759)</f>
        <v/>
      </c>
      <c r="L7759" s="62">
        <f>K7759-(F7759*I7759)</f>
        <v/>
      </c>
      <c r="M7759" s="64">
        <f>L7759/K7759</f>
        <v/>
      </c>
    </row>
    <row r="7760">
      <c r="A7760" s="58" t="inlineStr">
        <is>
          <t>RT20250713-07759</t>
        </is>
      </c>
      <c r="B7760" s="59" t="inlineStr">
        <is>
          <t>2025-07-13</t>
        </is>
      </c>
      <c r="C7760" s="60" t="inlineStr">
        <is>
          <t>Polar Laptop Plus-984</t>
        </is>
      </c>
      <c r="D7760" s="58" t="inlineStr">
        <is>
          <t>Electronics</t>
        </is>
      </c>
      <c r="E7760" s="58" t="inlineStr">
        <is>
          <t>Central</t>
        </is>
      </c>
      <c r="F7760" s="61" t="n">
        <v>2</v>
      </c>
      <c r="G7760" s="62" t="n">
        <v>1299.76</v>
      </c>
      <c r="H7760" s="63" t="n">
        <v>0.08500000000000001</v>
      </c>
      <c r="I7760" s="62" t="n">
        <v>999.2</v>
      </c>
      <c r="J7760" s="58" t="inlineStr">
        <is>
          <t>Store</t>
        </is>
      </c>
      <c r="K7760" s="62">
        <f>F7760*(G7760-H7760)</f>
        <v/>
      </c>
      <c r="L7760" s="62">
        <f>K7760-(F7760*I7760)</f>
        <v/>
      </c>
      <c r="M7760" s="64">
        <f>L7760/K7760</f>
        <v/>
      </c>
    </row>
    <row r="7761">
      <c r="A7761" s="58" t="inlineStr">
        <is>
          <t>RT20250713-07760</t>
        </is>
      </c>
      <c r="B7761" s="59" t="inlineStr">
        <is>
          <t>2025-07-13</t>
        </is>
      </c>
      <c r="C7761" s="60" t="inlineStr">
        <is>
          <t>Polar Decor X-935</t>
        </is>
      </c>
      <c r="D7761" s="58" t="inlineStr">
        <is>
          <t>Home</t>
        </is>
      </c>
      <c r="E7761" s="58" t="inlineStr">
        <is>
          <t>West</t>
        </is>
      </c>
      <c r="F7761" s="61" t="n">
        <v>2</v>
      </c>
      <c r="G7761" s="62" t="n">
        <v>293.06</v>
      </c>
      <c r="H7761" s="63" t="n">
        <v>0.077</v>
      </c>
      <c r="I7761" s="62" t="n">
        <v>202.68</v>
      </c>
      <c r="J7761" s="58" t="inlineStr">
        <is>
          <t>Store</t>
        </is>
      </c>
      <c r="K7761" s="62">
        <f>F7761*(G7761-H7761)</f>
        <v/>
      </c>
      <c r="L7761" s="62">
        <f>K7761-(F7761*I7761)</f>
        <v/>
      </c>
      <c r="M7761" s="64">
        <f>L7761/K7761</f>
        <v/>
      </c>
    </row>
    <row r="7762">
      <c r="A7762" s="58" t="inlineStr">
        <is>
          <t>RT20250713-07761</t>
        </is>
      </c>
      <c r="B7762" s="59" t="inlineStr">
        <is>
          <t>2025-07-13</t>
        </is>
      </c>
      <c r="C7762" s="60" t="inlineStr">
        <is>
          <t>Nimbus Women Lite-814</t>
        </is>
      </c>
      <c r="D7762" s="58" t="inlineStr">
        <is>
          <t>Apparel</t>
        </is>
      </c>
      <c r="E7762" s="58" t="inlineStr">
        <is>
          <t>South</t>
        </is>
      </c>
      <c r="F7762" s="61" t="n">
        <v>1</v>
      </c>
      <c r="G7762" s="62" t="n">
        <v>150.21</v>
      </c>
      <c r="H7762" s="63" t="n">
        <v>0.068</v>
      </c>
      <c r="I7762" s="62" t="n">
        <v>82.61</v>
      </c>
      <c r="J7762" s="58" t="inlineStr">
        <is>
          <t>Store</t>
        </is>
      </c>
      <c r="K7762" s="62">
        <f>F7762*(G7762-H7762)</f>
        <v/>
      </c>
      <c r="L7762" s="62">
        <f>K7762-(F7762*I7762)</f>
        <v/>
      </c>
      <c r="M7762" s="64">
        <f>L7762/K7762</f>
        <v/>
      </c>
    </row>
    <row r="7763">
      <c r="A7763" s="58" t="inlineStr">
        <is>
          <t>RT20250713-07762</t>
        </is>
      </c>
      <c r="B7763" s="59" t="inlineStr">
        <is>
          <t>2025-07-13</t>
        </is>
      </c>
      <c r="C7763" s="60" t="inlineStr">
        <is>
          <t>Orion Fragrance Lite-785</t>
        </is>
      </c>
      <c r="D7763" s="58" t="inlineStr">
        <is>
          <t>Beauty</t>
        </is>
      </c>
      <c r="E7763" s="58" t="inlineStr">
        <is>
          <t>West</t>
        </is>
      </c>
      <c r="F7763" s="61" t="n">
        <v>3</v>
      </c>
      <c r="G7763" s="62" t="n">
        <v>43.4</v>
      </c>
      <c r="H7763" s="63" t="n">
        <v>0.075</v>
      </c>
      <c r="I7763" s="62" t="n">
        <v>26.39</v>
      </c>
      <c r="J7763" s="58" t="inlineStr">
        <is>
          <t>Store</t>
        </is>
      </c>
      <c r="K7763" s="62">
        <f>F7763*(G7763-H7763)</f>
        <v/>
      </c>
      <c r="L7763" s="62">
        <f>K7763-(F7763*I7763)</f>
        <v/>
      </c>
      <c r="M7763" s="64">
        <f>L7763/K7763</f>
        <v/>
      </c>
    </row>
    <row r="7764">
      <c r="A7764" s="58" t="inlineStr">
        <is>
          <t>RT20250713-07763</t>
        </is>
      </c>
      <c r="B7764" s="59" t="inlineStr">
        <is>
          <t>2025-07-13</t>
        </is>
      </c>
      <c r="C7764" s="60" t="inlineStr">
        <is>
          <t>Solace Kid S-384</t>
        </is>
      </c>
      <c r="D7764" s="58" t="inlineStr">
        <is>
          <t>Apparel</t>
        </is>
      </c>
      <c r="E7764" s="58" t="inlineStr">
        <is>
          <t>South</t>
        </is>
      </c>
      <c r="F7764" s="61" t="n">
        <v>1</v>
      </c>
      <c r="G7764" s="62" t="n">
        <v>101.91</v>
      </c>
      <c r="H7764" s="63" t="n">
        <v>0.076</v>
      </c>
      <c r="I7764" s="62" t="n">
        <v>61.18</v>
      </c>
      <c r="J7764" s="58" t="inlineStr">
        <is>
          <t>Store</t>
        </is>
      </c>
      <c r="K7764" s="62">
        <f>F7764*(G7764-H7764)</f>
        <v/>
      </c>
      <c r="L7764" s="62">
        <f>K7764-(F7764*I7764)</f>
        <v/>
      </c>
      <c r="M7764" s="64">
        <f>L7764/K7764</f>
        <v/>
      </c>
    </row>
    <row r="7765">
      <c r="A7765" s="58" t="inlineStr">
        <is>
          <t>RT20250713-07764</t>
        </is>
      </c>
      <c r="B7765" s="59" t="inlineStr">
        <is>
          <t>2025-07-13</t>
        </is>
      </c>
      <c r="C7765" s="60" t="inlineStr">
        <is>
          <t>Nimbus Storage Plus-646</t>
        </is>
      </c>
      <c r="D7765" s="58" t="inlineStr">
        <is>
          <t>Office</t>
        </is>
      </c>
      <c r="E7765" s="58" t="inlineStr">
        <is>
          <t>Central</t>
        </is>
      </c>
      <c r="F7765" s="61" t="n">
        <v>1</v>
      </c>
      <c r="G7765" s="62" t="n">
        <v>470.75</v>
      </c>
      <c r="H7765" s="63" t="n">
        <v>0.006</v>
      </c>
      <c r="I7765" s="62" t="n">
        <v>323.82</v>
      </c>
      <c r="J7765" s="58" t="inlineStr">
        <is>
          <t>Online</t>
        </is>
      </c>
      <c r="K7765" s="62">
        <f>F7765*(G7765-H7765)</f>
        <v/>
      </c>
      <c r="L7765" s="62">
        <f>K7765-(F7765*I7765)</f>
        <v/>
      </c>
      <c r="M7765" s="64">
        <f>L7765/K7765</f>
        <v/>
      </c>
    </row>
    <row r="7766">
      <c r="A7766" s="58" t="inlineStr">
        <is>
          <t>RT20250713-07765</t>
        </is>
      </c>
      <c r="B7766" s="59" t="inlineStr">
        <is>
          <t>2025-07-13</t>
        </is>
      </c>
      <c r="C7766" s="60" t="inlineStr">
        <is>
          <t>Metro Outdoor Plus-787</t>
        </is>
      </c>
      <c r="D7766" s="58" t="inlineStr">
        <is>
          <t>Sports</t>
        </is>
      </c>
      <c r="E7766" s="58" t="inlineStr">
        <is>
          <t>Central</t>
        </is>
      </c>
      <c r="F7766" s="61" t="n">
        <v>3</v>
      </c>
      <c r="G7766" s="62" t="n">
        <v>624.2</v>
      </c>
      <c r="H7766" s="63" t="n">
        <v>0.076</v>
      </c>
      <c r="I7766" s="62" t="n">
        <v>350.39</v>
      </c>
      <c r="J7766" s="58" t="inlineStr">
        <is>
          <t>Store</t>
        </is>
      </c>
      <c r="K7766" s="62">
        <f>F7766*(G7766-H7766)</f>
        <v/>
      </c>
      <c r="L7766" s="62">
        <f>K7766-(F7766*I7766)</f>
        <v/>
      </c>
      <c r="M7766" s="64">
        <f>L7766/K7766</f>
        <v/>
      </c>
    </row>
    <row r="7767">
      <c r="A7767" s="58" t="inlineStr">
        <is>
          <t>RT20250713-07766</t>
        </is>
      </c>
      <c r="B7767" s="59" t="inlineStr">
        <is>
          <t>2025-07-13</t>
        </is>
      </c>
      <c r="C7767" s="60" t="inlineStr">
        <is>
          <t>Polar Laptop Plus-984</t>
        </is>
      </c>
      <c r="D7767" s="58" t="inlineStr">
        <is>
          <t>Electronics</t>
        </is>
      </c>
      <c r="E7767" s="58" t="inlineStr">
        <is>
          <t>North</t>
        </is>
      </c>
      <c r="F7767" s="61" t="n">
        <v>1</v>
      </c>
      <c r="G7767" s="62" t="n">
        <v>1291.25</v>
      </c>
      <c r="H7767" s="63" t="n">
        <v>0.068</v>
      </c>
      <c r="I7767" s="62" t="n">
        <v>1002.97</v>
      </c>
      <c r="J7767" s="58" t="inlineStr">
        <is>
          <t>Online</t>
        </is>
      </c>
      <c r="K7767" s="62">
        <f>F7767*(G7767-H7767)</f>
        <v/>
      </c>
      <c r="L7767" s="62">
        <f>K7767-(F7767*I7767)</f>
        <v/>
      </c>
      <c r="M7767" s="64">
        <f>L7767/K7767</f>
        <v/>
      </c>
    </row>
    <row r="7768">
      <c r="A7768" s="58" t="inlineStr">
        <is>
          <t>RT20250713-07767</t>
        </is>
      </c>
      <c r="B7768" s="59" t="inlineStr">
        <is>
          <t>2025-07-13</t>
        </is>
      </c>
      <c r="C7768" s="60" t="inlineStr">
        <is>
          <t>Aurora Fragrance S-971</t>
        </is>
      </c>
      <c r="D7768" s="58" t="inlineStr">
        <is>
          <t>Beauty</t>
        </is>
      </c>
      <c r="E7768" s="58" t="inlineStr">
        <is>
          <t>Central</t>
        </is>
      </c>
      <c r="F7768" s="61" t="n">
        <v>4</v>
      </c>
      <c r="G7768" s="62" t="n">
        <v>102.37</v>
      </c>
      <c r="H7768" s="63" t="n">
        <v>0.015</v>
      </c>
      <c r="I7768" s="62" t="n">
        <v>65.05</v>
      </c>
      <c r="J7768" s="58" t="inlineStr">
        <is>
          <t>Online</t>
        </is>
      </c>
      <c r="K7768" s="62">
        <f>F7768*(G7768-H7768)</f>
        <v/>
      </c>
      <c r="L7768" s="62">
        <f>K7768-(F7768*I7768)</f>
        <v/>
      </c>
      <c r="M7768" s="64">
        <f>L7768/K7768</f>
        <v/>
      </c>
    </row>
    <row r="7769">
      <c r="A7769" s="58" t="inlineStr">
        <is>
          <t>RT20250713-07768</t>
        </is>
      </c>
      <c r="B7769" s="59" t="inlineStr">
        <is>
          <t>2025-07-13</t>
        </is>
      </c>
      <c r="C7769" s="60" t="inlineStr">
        <is>
          <t>Polar Decor X-935</t>
        </is>
      </c>
      <c r="D7769" s="58" t="inlineStr">
        <is>
          <t>Home</t>
        </is>
      </c>
      <c r="E7769" s="58" t="inlineStr">
        <is>
          <t>West</t>
        </is>
      </c>
      <c r="F7769" s="61" t="n">
        <v>1</v>
      </c>
      <c r="G7769" s="62" t="n">
        <v>296.32</v>
      </c>
      <c r="H7769" s="63" t="n">
        <v>0.08400000000000001</v>
      </c>
      <c r="I7769" s="62" t="n">
        <v>204.39</v>
      </c>
      <c r="J7769" s="58" t="inlineStr">
        <is>
          <t>Online</t>
        </is>
      </c>
      <c r="K7769" s="62">
        <f>F7769*(G7769-H7769)</f>
        <v/>
      </c>
      <c r="L7769" s="62">
        <f>K7769-(F7769*I7769)</f>
        <v/>
      </c>
      <c r="M7769" s="64">
        <f>L7769/K7769</f>
        <v/>
      </c>
    </row>
    <row r="7770">
      <c r="A7770" s="58" t="inlineStr">
        <is>
          <t>RT20250713-07769</t>
        </is>
      </c>
      <c r="B7770" s="59" t="inlineStr">
        <is>
          <t>2025-07-13</t>
        </is>
      </c>
      <c r="C7770" s="60" t="inlineStr">
        <is>
          <t>Vertex Fitnes Pro-830</t>
        </is>
      </c>
      <c r="D7770" s="58" t="inlineStr">
        <is>
          <t>Sports</t>
        </is>
      </c>
      <c r="E7770" s="58" t="inlineStr">
        <is>
          <t>East</t>
        </is>
      </c>
      <c r="F7770" s="61" t="n">
        <v>2</v>
      </c>
      <c r="G7770" s="62" t="n">
        <v>712.73</v>
      </c>
      <c r="H7770" s="63" t="n">
        <v>0.057</v>
      </c>
      <c r="I7770" s="62" t="n">
        <v>491.55</v>
      </c>
      <c r="J7770" s="58" t="inlineStr">
        <is>
          <t>Online</t>
        </is>
      </c>
      <c r="K7770" s="62">
        <f>F7770*(G7770-H7770)</f>
        <v/>
      </c>
      <c r="L7770" s="62">
        <f>K7770-(F7770*I7770)</f>
        <v/>
      </c>
      <c r="M7770" s="64">
        <f>L7770/K7770</f>
        <v/>
      </c>
    </row>
    <row r="7771">
      <c r="A7771" s="58" t="inlineStr">
        <is>
          <t>RT20250713-07770</t>
        </is>
      </c>
      <c r="B7771" s="59" t="inlineStr">
        <is>
          <t>2025-07-13</t>
        </is>
      </c>
      <c r="C7771" s="60" t="inlineStr">
        <is>
          <t>Solace Smartphone Lite-533</t>
        </is>
      </c>
      <c r="D7771" s="58" t="inlineStr">
        <is>
          <t>Electronics</t>
        </is>
      </c>
      <c r="E7771" s="58" t="inlineStr">
        <is>
          <t>West</t>
        </is>
      </c>
      <c r="F7771" s="61" t="n">
        <v>2</v>
      </c>
      <c r="G7771" s="62" t="n">
        <v>1285.07</v>
      </c>
      <c r="H7771" s="63" t="n">
        <v>0.09</v>
      </c>
      <c r="I7771" s="62" t="n">
        <v>914.72</v>
      </c>
      <c r="J7771" s="58" t="inlineStr">
        <is>
          <t>Online</t>
        </is>
      </c>
      <c r="K7771" s="62">
        <f>F7771*(G7771-H7771)</f>
        <v/>
      </c>
      <c r="L7771" s="62">
        <f>K7771-(F7771*I7771)</f>
        <v/>
      </c>
      <c r="M7771" s="64">
        <f>L7771/K7771</f>
        <v/>
      </c>
    </row>
    <row r="7772">
      <c r="A7772" s="58" t="inlineStr">
        <is>
          <t>RT20250713-07771</t>
        </is>
      </c>
      <c r="B7772" s="59" t="inlineStr">
        <is>
          <t>2025-07-13</t>
        </is>
      </c>
      <c r="C7772" s="60" t="inlineStr">
        <is>
          <t>Aurora Wearable Lite-704</t>
        </is>
      </c>
      <c r="D7772" s="58" t="inlineStr">
        <is>
          <t>Electronics</t>
        </is>
      </c>
      <c r="E7772" s="58" t="inlineStr">
        <is>
          <t>West</t>
        </is>
      </c>
      <c r="F7772" s="61" t="n">
        <v>1</v>
      </c>
      <c r="G7772" s="62" t="n">
        <v>1886.22</v>
      </c>
      <c r="H7772" s="63" t="n">
        <v>0.051</v>
      </c>
      <c r="I7772" s="62" t="n">
        <v>1428.9</v>
      </c>
      <c r="J7772" s="58" t="inlineStr">
        <is>
          <t>Online</t>
        </is>
      </c>
      <c r="K7772" s="62">
        <f>F7772*(G7772-H7772)</f>
        <v/>
      </c>
      <c r="L7772" s="62">
        <f>K7772-(F7772*I7772)</f>
        <v/>
      </c>
      <c r="M7772" s="64">
        <f>L7772/K7772</f>
        <v/>
      </c>
    </row>
    <row r="7773">
      <c r="A7773" s="58" t="inlineStr">
        <is>
          <t>RT20250713-07772</t>
        </is>
      </c>
      <c r="B7773" s="59" t="inlineStr">
        <is>
          <t>2025-07-13</t>
        </is>
      </c>
      <c r="C7773" s="60" t="inlineStr">
        <is>
          <t>Falcon Accessorie S-195</t>
        </is>
      </c>
      <c r="D7773" s="58" t="inlineStr">
        <is>
          <t>Apparel</t>
        </is>
      </c>
      <c r="E7773" s="58" t="inlineStr">
        <is>
          <t>East</t>
        </is>
      </c>
      <c r="F7773" s="61" t="n">
        <v>4</v>
      </c>
      <c r="G7773" s="62" t="n">
        <v>67.42</v>
      </c>
      <c r="H7773" s="63" t="n">
        <v>0.08599999999999999</v>
      </c>
      <c r="I7773" s="62" t="n">
        <v>42.41</v>
      </c>
      <c r="J7773" s="58" t="inlineStr">
        <is>
          <t>Online</t>
        </is>
      </c>
      <c r="K7773" s="62">
        <f>F7773*(G7773-H7773)</f>
        <v/>
      </c>
      <c r="L7773" s="62">
        <f>K7773-(F7773*I7773)</f>
        <v/>
      </c>
      <c r="M7773" s="64">
        <f>L7773/K7773</f>
        <v/>
      </c>
    </row>
    <row r="7774">
      <c r="A7774" s="58" t="inlineStr">
        <is>
          <t>RT20250713-07773</t>
        </is>
      </c>
      <c r="B7774" s="59" t="inlineStr">
        <is>
          <t>2025-07-13</t>
        </is>
      </c>
      <c r="C7774" s="60" t="inlineStr">
        <is>
          <t>Falcon Skincare X-334</t>
        </is>
      </c>
      <c r="D7774" s="58" t="inlineStr">
        <is>
          <t>Beauty</t>
        </is>
      </c>
      <c r="E7774" s="58" t="inlineStr">
        <is>
          <t>West</t>
        </is>
      </c>
      <c r="F7774" s="61" t="n">
        <v>3</v>
      </c>
      <c r="G7774" s="62" t="n">
        <v>106.07</v>
      </c>
      <c r="H7774" s="63" t="n">
        <v>0.119</v>
      </c>
      <c r="I7774" s="62" t="n">
        <v>61.97</v>
      </c>
      <c r="J7774" s="58" t="inlineStr">
        <is>
          <t>Online</t>
        </is>
      </c>
      <c r="K7774" s="62">
        <f>F7774*(G7774-H7774)</f>
        <v/>
      </c>
      <c r="L7774" s="62">
        <f>K7774-(F7774*I7774)</f>
        <v/>
      </c>
      <c r="M7774" s="64">
        <f>L7774/K7774</f>
        <v/>
      </c>
    </row>
    <row r="7775">
      <c r="A7775" s="58" t="inlineStr">
        <is>
          <t>RT20250713-07774</t>
        </is>
      </c>
      <c r="B7775" s="59" t="inlineStr">
        <is>
          <t>2025-07-13</t>
        </is>
      </c>
      <c r="C7775" s="60" t="inlineStr">
        <is>
          <t>Orion Laptop S-350</t>
        </is>
      </c>
      <c r="D7775" s="58" t="inlineStr">
        <is>
          <t>Electronics</t>
        </is>
      </c>
      <c r="E7775" s="58" t="inlineStr">
        <is>
          <t>North</t>
        </is>
      </c>
      <c r="F7775" s="61" t="n">
        <v>1</v>
      </c>
      <c r="G7775" s="62" t="n">
        <v>1464.5</v>
      </c>
      <c r="H7775" s="63" t="n">
        <v>0.033</v>
      </c>
      <c r="I7775" s="62" t="n">
        <v>1089.9</v>
      </c>
      <c r="J7775" s="58" t="inlineStr">
        <is>
          <t>Phone</t>
        </is>
      </c>
      <c r="K7775" s="62">
        <f>F7775*(G7775-H7775)</f>
        <v/>
      </c>
      <c r="L7775" s="62">
        <f>K7775-(F7775*I7775)</f>
        <v/>
      </c>
      <c r="M7775" s="64">
        <f>L7775/K7775</f>
        <v/>
      </c>
    </row>
    <row r="7776">
      <c r="A7776" s="58" t="inlineStr">
        <is>
          <t>RT20250713-07775</t>
        </is>
      </c>
      <c r="B7776" s="59" t="inlineStr">
        <is>
          <t>2025-07-13</t>
        </is>
      </c>
      <c r="C7776" s="60" t="inlineStr">
        <is>
          <t>Vertex Furniture S-652</t>
        </is>
      </c>
      <c r="D7776" s="58" t="inlineStr">
        <is>
          <t>Office</t>
        </is>
      </c>
      <c r="E7776" s="58" t="inlineStr">
        <is>
          <t>Central</t>
        </is>
      </c>
      <c r="F7776" s="61" t="n">
        <v>3</v>
      </c>
      <c r="G7776" s="62" t="n">
        <v>382.5</v>
      </c>
      <c r="H7776" s="63" t="n">
        <v>0.06</v>
      </c>
      <c r="I7776" s="62" t="n">
        <v>259.79</v>
      </c>
      <c r="J7776" s="58" t="inlineStr">
        <is>
          <t>Store</t>
        </is>
      </c>
      <c r="K7776" s="62">
        <f>F7776*(G7776-H7776)</f>
        <v/>
      </c>
      <c r="L7776" s="62">
        <f>K7776-(F7776*I7776)</f>
        <v/>
      </c>
      <c r="M7776" s="64">
        <f>L7776/K7776</f>
        <v/>
      </c>
    </row>
    <row r="7777">
      <c r="A7777" s="58" t="inlineStr">
        <is>
          <t>RT20250713-07776</t>
        </is>
      </c>
      <c r="B7777" s="59" t="inlineStr">
        <is>
          <t>2025-07-13</t>
        </is>
      </c>
      <c r="C7777" s="60" t="inlineStr">
        <is>
          <t>Nimbus Storage Plus-646</t>
        </is>
      </c>
      <c r="D7777" s="58" t="inlineStr">
        <is>
          <t>Office</t>
        </is>
      </c>
      <c r="E7777" s="58" t="inlineStr">
        <is>
          <t>Central</t>
        </is>
      </c>
      <c r="F7777" s="61" t="n">
        <v>1</v>
      </c>
      <c r="G7777" s="62" t="n">
        <v>453.18</v>
      </c>
      <c r="H7777" s="63" t="n">
        <v>0.04</v>
      </c>
      <c r="I7777" s="62" t="n">
        <v>320.56</v>
      </c>
      <c r="J7777" s="58" t="inlineStr">
        <is>
          <t>Store</t>
        </is>
      </c>
      <c r="K7777" s="62">
        <f>F7777*(G7777-H7777)</f>
        <v/>
      </c>
      <c r="L7777" s="62">
        <f>K7777-(F7777*I7777)</f>
        <v/>
      </c>
      <c r="M7777" s="64">
        <f>L7777/K7777</f>
        <v/>
      </c>
    </row>
    <row r="7778">
      <c r="A7778" s="58" t="inlineStr">
        <is>
          <t>RT20250713-07777</t>
        </is>
      </c>
      <c r="B7778" s="59" t="inlineStr">
        <is>
          <t>2025-07-13</t>
        </is>
      </c>
      <c r="C7778" s="60" t="inlineStr">
        <is>
          <t>Polar Pantry Lite-392</t>
        </is>
      </c>
      <c r="D7778" s="58" t="inlineStr">
        <is>
          <t>Grocery</t>
        </is>
      </c>
      <c r="E7778" s="58" t="inlineStr">
        <is>
          <t>South</t>
        </is>
      </c>
      <c r="F7778" s="61" t="n">
        <v>3</v>
      </c>
      <c r="G7778" s="62" t="n">
        <v>5.54</v>
      </c>
      <c r="H7778" s="63" t="n">
        <v>0.045</v>
      </c>
      <c r="I7778" s="62" t="n">
        <v>4.58</v>
      </c>
      <c r="J7778" s="58" t="inlineStr">
        <is>
          <t>Online</t>
        </is>
      </c>
      <c r="K7778" s="62">
        <f>F7778*(G7778-H7778)</f>
        <v/>
      </c>
      <c r="L7778" s="62">
        <f>K7778-(F7778*I7778)</f>
        <v/>
      </c>
      <c r="M7778" s="64">
        <f>L7778/K7778</f>
        <v/>
      </c>
    </row>
    <row r="7779">
      <c r="A7779" s="58" t="inlineStr">
        <is>
          <t>RT20250713-07778</t>
        </is>
      </c>
      <c r="B7779" s="59" t="inlineStr">
        <is>
          <t>2025-07-13</t>
        </is>
      </c>
      <c r="C7779" s="60" t="inlineStr">
        <is>
          <t>Falcon Skincare X-334</t>
        </is>
      </c>
      <c r="D7779" s="58" t="inlineStr">
        <is>
          <t>Beauty</t>
        </is>
      </c>
      <c r="E7779" s="58" t="inlineStr">
        <is>
          <t>East</t>
        </is>
      </c>
      <c r="F7779" s="61" t="n">
        <v>5</v>
      </c>
      <c r="G7779" s="62" t="n">
        <v>112.19</v>
      </c>
      <c r="H7779" s="63" t="n">
        <v>0.033</v>
      </c>
      <c r="I7779" s="62" t="n">
        <v>63.39</v>
      </c>
      <c r="J7779" s="58" t="inlineStr">
        <is>
          <t>Store</t>
        </is>
      </c>
      <c r="K7779" s="62">
        <f>F7779*(G7779-H7779)</f>
        <v/>
      </c>
      <c r="L7779" s="62">
        <f>K7779-(F7779*I7779)</f>
        <v/>
      </c>
      <c r="M7779" s="64">
        <f>L7779/K7779</f>
        <v/>
      </c>
    </row>
    <row r="7780">
      <c r="A7780" s="58" t="inlineStr">
        <is>
          <t>RT20250713-07779</t>
        </is>
      </c>
      <c r="B7780" s="59" t="inlineStr">
        <is>
          <t>2025-07-13</t>
        </is>
      </c>
      <c r="C7780" s="60" t="inlineStr">
        <is>
          <t>Aurora Smartphone Plus-125</t>
        </is>
      </c>
      <c r="D7780" s="58" t="inlineStr">
        <is>
          <t>Electronics</t>
        </is>
      </c>
      <c r="E7780" s="58" t="inlineStr">
        <is>
          <t>South</t>
        </is>
      </c>
      <c r="F7780" s="61" t="n">
        <v>2</v>
      </c>
      <c r="G7780" s="62" t="n">
        <v>1427.27</v>
      </c>
      <c r="H7780" s="63" t="n">
        <v>0.083</v>
      </c>
      <c r="I7780" s="62" t="n">
        <v>1218.11</v>
      </c>
      <c r="J7780" s="58" t="inlineStr">
        <is>
          <t>Online</t>
        </is>
      </c>
      <c r="K7780" s="62">
        <f>F7780*(G7780-H7780)</f>
        <v/>
      </c>
      <c r="L7780" s="62">
        <f>K7780-(F7780*I7780)</f>
        <v/>
      </c>
      <c r="M7780" s="64">
        <f>L7780/K7780</f>
        <v/>
      </c>
    </row>
    <row r="7781">
      <c r="A7781" s="58" t="inlineStr">
        <is>
          <t>RT20250713-07780</t>
        </is>
      </c>
      <c r="B7781" s="59" t="inlineStr">
        <is>
          <t>2025-07-13</t>
        </is>
      </c>
      <c r="C7781" s="60" t="inlineStr">
        <is>
          <t>Vertex Appliance S-159</t>
        </is>
      </c>
      <c r="D7781" s="58" t="inlineStr">
        <is>
          <t>Home</t>
        </is>
      </c>
      <c r="E7781" s="58" t="inlineStr">
        <is>
          <t>West</t>
        </is>
      </c>
      <c r="F7781" s="61" t="n">
        <v>1</v>
      </c>
      <c r="G7781" s="62" t="n">
        <v>432.1</v>
      </c>
      <c r="H7781" s="63" t="n">
        <v>0.052</v>
      </c>
      <c r="I7781" s="62" t="n">
        <v>294.7</v>
      </c>
      <c r="J7781" s="58" t="inlineStr">
        <is>
          <t>Phone</t>
        </is>
      </c>
      <c r="K7781" s="62">
        <f>F7781*(G7781-H7781)</f>
        <v/>
      </c>
      <c r="L7781" s="62">
        <f>K7781-(F7781*I7781)</f>
        <v/>
      </c>
      <c r="M7781" s="64">
        <f>L7781/K7781</f>
        <v/>
      </c>
    </row>
    <row r="7782">
      <c r="A7782" s="58" t="inlineStr">
        <is>
          <t>RT20250713-07781</t>
        </is>
      </c>
      <c r="B7782" s="59" t="inlineStr">
        <is>
          <t>2025-07-13</t>
        </is>
      </c>
      <c r="C7782" s="60" t="inlineStr">
        <is>
          <t>Solace Kitchen Pro-999</t>
        </is>
      </c>
      <c r="D7782" s="58" t="inlineStr">
        <is>
          <t>Home</t>
        </is>
      </c>
      <c r="E7782" s="58" t="inlineStr">
        <is>
          <t>Central</t>
        </is>
      </c>
      <c r="F7782" s="61" t="n">
        <v>3</v>
      </c>
      <c r="G7782" s="62" t="n">
        <v>396.38</v>
      </c>
      <c r="H7782" s="63" t="n">
        <v>0.062</v>
      </c>
      <c r="I7782" s="62" t="n">
        <v>266.64</v>
      </c>
      <c r="J7782" s="58" t="inlineStr">
        <is>
          <t>Online</t>
        </is>
      </c>
      <c r="K7782" s="62">
        <f>F7782*(G7782-H7782)</f>
        <v/>
      </c>
      <c r="L7782" s="62">
        <f>K7782-(F7782*I7782)</f>
        <v/>
      </c>
      <c r="M7782" s="64">
        <f>L7782/K7782</f>
        <v/>
      </c>
    </row>
    <row r="7783">
      <c r="A7783" s="58" t="inlineStr">
        <is>
          <t>RT20250713-07782</t>
        </is>
      </c>
      <c r="B7783" s="59" t="inlineStr">
        <is>
          <t>2025-07-13</t>
        </is>
      </c>
      <c r="C7783" s="60" t="inlineStr">
        <is>
          <t>Falcon Household Pro-865</t>
        </is>
      </c>
      <c r="D7783" s="58" t="inlineStr">
        <is>
          <t>Grocery</t>
        </is>
      </c>
      <c r="E7783" s="58" t="inlineStr">
        <is>
          <t>West</t>
        </is>
      </c>
      <c r="F7783" s="61" t="n">
        <v>7</v>
      </c>
      <c r="G7783" s="62" t="n">
        <v>11.93</v>
      </c>
      <c r="H7783" s="63" t="n">
        <v>0.035</v>
      </c>
      <c r="I7783" s="62" t="n">
        <v>7.6</v>
      </c>
      <c r="J7783" s="58" t="inlineStr">
        <is>
          <t>Online</t>
        </is>
      </c>
      <c r="K7783" s="62">
        <f>F7783*(G7783-H7783)</f>
        <v/>
      </c>
      <c r="L7783" s="62">
        <f>K7783-(F7783*I7783)</f>
        <v/>
      </c>
      <c r="M7783" s="64">
        <f>L7783/K7783</f>
        <v/>
      </c>
    </row>
    <row r="7784">
      <c r="A7784" s="58" t="inlineStr">
        <is>
          <t>RT20250713-07783</t>
        </is>
      </c>
      <c r="B7784" s="59" t="inlineStr">
        <is>
          <t>2025-07-13</t>
        </is>
      </c>
      <c r="C7784" s="60" t="inlineStr">
        <is>
          <t>Vertex Snack S-702</t>
        </is>
      </c>
      <c r="D7784" s="58" t="inlineStr">
        <is>
          <t>Grocery</t>
        </is>
      </c>
      <c r="E7784" s="58" t="inlineStr">
        <is>
          <t>North</t>
        </is>
      </c>
      <c r="F7784" s="61" t="n">
        <v>5</v>
      </c>
      <c r="G7784" s="62" t="n">
        <v>1.9</v>
      </c>
      <c r="H7784" s="63" t="n">
        <v>0.046</v>
      </c>
      <c r="I7784" s="62" t="n">
        <v>1.45</v>
      </c>
      <c r="J7784" s="58" t="inlineStr">
        <is>
          <t>Online</t>
        </is>
      </c>
      <c r="K7784" s="62">
        <f>F7784*(G7784-H7784)</f>
        <v/>
      </c>
      <c r="L7784" s="62">
        <f>K7784-(F7784*I7784)</f>
        <v/>
      </c>
      <c r="M7784" s="64">
        <f>L7784/K7784</f>
        <v/>
      </c>
    </row>
    <row r="7785">
      <c r="A7785" s="58" t="inlineStr">
        <is>
          <t>RT20250713-07784</t>
        </is>
      </c>
      <c r="B7785" s="59" t="inlineStr">
        <is>
          <t>2025-07-13</t>
        </is>
      </c>
      <c r="C7785" s="60" t="inlineStr">
        <is>
          <t>Metro Pantry X-710</t>
        </is>
      </c>
      <c r="D7785" s="58" t="inlineStr">
        <is>
          <t>Grocery</t>
        </is>
      </c>
      <c r="E7785" s="58" t="inlineStr">
        <is>
          <t>East</t>
        </is>
      </c>
      <c r="F7785" s="61" t="n">
        <v>8</v>
      </c>
      <c r="G7785" s="62" t="n">
        <v>5.19</v>
      </c>
      <c r="H7785" s="63" t="n">
        <v>0.08799999999999999</v>
      </c>
      <c r="I7785" s="62" t="n">
        <v>4.15</v>
      </c>
      <c r="J7785" s="58" t="inlineStr">
        <is>
          <t>Online</t>
        </is>
      </c>
      <c r="K7785" s="62">
        <f>F7785*(G7785-H7785)</f>
        <v/>
      </c>
      <c r="L7785" s="62">
        <f>K7785-(F7785*I7785)</f>
        <v/>
      </c>
      <c r="M7785" s="64">
        <f>L7785/K7785</f>
        <v/>
      </c>
    </row>
    <row r="7786">
      <c r="A7786" s="58" t="inlineStr">
        <is>
          <t>RT20250713-07785</t>
        </is>
      </c>
      <c r="B7786" s="59" t="inlineStr">
        <is>
          <t>2025-07-13</t>
        </is>
      </c>
      <c r="C7786" s="60" t="inlineStr">
        <is>
          <t>Metro Pantry X-710</t>
        </is>
      </c>
      <c r="D7786" s="58" t="inlineStr">
        <is>
          <t>Grocery</t>
        </is>
      </c>
      <c r="E7786" s="58" t="inlineStr">
        <is>
          <t>East</t>
        </is>
      </c>
      <c r="F7786" s="61" t="n">
        <v>3</v>
      </c>
      <c r="G7786" s="62" t="n">
        <v>5.4</v>
      </c>
      <c r="H7786" s="63" t="n">
        <v>0.02</v>
      </c>
      <c r="I7786" s="62" t="n">
        <v>4.2</v>
      </c>
      <c r="J7786" s="58" t="inlineStr">
        <is>
          <t>Online</t>
        </is>
      </c>
      <c r="K7786" s="62">
        <f>F7786*(G7786-H7786)</f>
        <v/>
      </c>
      <c r="L7786" s="62">
        <f>K7786-(F7786*I7786)</f>
        <v/>
      </c>
      <c r="M7786" s="64">
        <f>L7786/K7786</f>
        <v/>
      </c>
    </row>
    <row r="7787">
      <c r="A7787" s="58" t="inlineStr">
        <is>
          <t>RT20250713-07786</t>
        </is>
      </c>
      <c r="B7787" s="59" t="inlineStr">
        <is>
          <t>2025-07-13</t>
        </is>
      </c>
      <c r="C7787" s="60" t="inlineStr">
        <is>
          <t>Aurora Team Sport Plus-256</t>
        </is>
      </c>
      <c r="D7787" s="58" t="inlineStr">
        <is>
          <t>Sports</t>
        </is>
      </c>
      <c r="E7787" s="58" t="inlineStr">
        <is>
          <t>Central</t>
        </is>
      </c>
      <c r="F7787" s="61" t="n">
        <v>2</v>
      </c>
      <c r="G7787" s="62" t="n">
        <v>541.36</v>
      </c>
      <c r="H7787" s="63" t="n">
        <v>0.083</v>
      </c>
      <c r="I7787" s="62" t="n">
        <v>414.39</v>
      </c>
      <c r="J7787" s="58" t="inlineStr">
        <is>
          <t>Online</t>
        </is>
      </c>
      <c r="K7787" s="62">
        <f>F7787*(G7787-H7787)</f>
        <v/>
      </c>
      <c r="L7787" s="62">
        <f>K7787-(F7787*I7787)</f>
        <v/>
      </c>
      <c r="M7787" s="64">
        <f>L7787/K7787</f>
        <v/>
      </c>
    </row>
    <row r="7788">
      <c r="A7788" s="58" t="inlineStr">
        <is>
          <t>RT20250713-07787</t>
        </is>
      </c>
      <c r="B7788" s="59" t="inlineStr">
        <is>
          <t>2025-07-13</t>
        </is>
      </c>
      <c r="C7788" s="60" t="inlineStr">
        <is>
          <t>Nimbus Fitnes Lite-516</t>
        </is>
      </c>
      <c r="D7788" s="58" t="inlineStr">
        <is>
          <t>Sports</t>
        </is>
      </c>
      <c r="E7788" s="58" t="inlineStr">
        <is>
          <t>North</t>
        </is>
      </c>
      <c r="F7788" s="61" t="n">
        <v>2</v>
      </c>
      <c r="G7788" s="62" t="n">
        <v>699.13</v>
      </c>
      <c r="H7788" s="63" t="n">
        <v>0.112</v>
      </c>
      <c r="I7788" s="62" t="n">
        <v>460.51</v>
      </c>
      <c r="J7788" s="58" t="inlineStr">
        <is>
          <t>Store</t>
        </is>
      </c>
      <c r="K7788" s="62">
        <f>F7788*(G7788-H7788)</f>
        <v/>
      </c>
      <c r="L7788" s="62">
        <f>K7788-(F7788*I7788)</f>
        <v/>
      </c>
      <c r="M7788" s="64">
        <f>L7788/K7788</f>
        <v/>
      </c>
    </row>
    <row r="7789">
      <c r="A7789" s="58" t="inlineStr">
        <is>
          <t>RT20250713-07788</t>
        </is>
      </c>
      <c r="B7789" s="59" t="inlineStr">
        <is>
          <t>2025-07-13</t>
        </is>
      </c>
      <c r="C7789" s="60" t="inlineStr">
        <is>
          <t>Orion Men X-928</t>
        </is>
      </c>
      <c r="D7789" s="58" t="inlineStr">
        <is>
          <t>Apparel</t>
        </is>
      </c>
      <c r="E7789" s="58" t="inlineStr">
        <is>
          <t>East</t>
        </is>
      </c>
      <c r="F7789" s="61" t="n">
        <v>2</v>
      </c>
      <c r="G7789" s="62" t="n">
        <v>118.62</v>
      </c>
      <c r="H7789" s="63" t="n">
        <v>0.005</v>
      </c>
      <c r="I7789" s="62" t="n">
        <v>62.73</v>
      </c>
      <c r="J7789" s="58" t="inlineStr">
        <is>
          <t>Store</t>
        </is>
      </c>
      <c r="K7789" s="62">
        <f>F7789*(G7789-H7789)</f>
        <v/>
      </c>
      <c r="L7789" s="62">
        <f>K7789-(F7789*I7789)</f>
        <v/>
      </c>
      <c r="M7789" s="64">
        <f>L7789/K7789</f>
        <v/>
      </c>
    </row>
    <row r="7790">
      <c r="A7790" s="58" t="inlineStr">
        <is>
          <t>RT20250713-07789</t>
        </is>
      </c>
      <c r="B7790" s="59" t="inlineStr">
        <is>
          <t>2025-07-13</t>
        </is>
      </c>
      <c r="C7790" s="60" t="inlineStr">
        <is>
          <t>Metro Printer X-294</t>
        </is>
      </c>
      <c r="D7790" s="58" t="inlineStr">
        <is>
          <t>Office</t>
        </is>
      </c>
      <c r="E7790" s="58" t="inlineStr">
        <is>
          <t>South</t>
        </is>
      </c>
      <c r="F7790" s="61" t="n">
        <v>2</v>
      </c>
      <c r="G7790" s="62" t="n">
        <v>608.91</v>
      </c>
      <c r="H7790" s="63" t="n">
        <v>0.142</v>
      </c>
      <c r="I7790" s="62" t="n">
        <v>416.05</v>
      </c>
      <c r="J7790" s="58" t="inlineStr">
        <is>
          <t>Phone</t>
        </is>
      </c>
      <c r="K7790" s="62">
        <f>F7790*(G7790-H7790)</f>
        <v/>
      </c>
      <c r="L7790" s="62">
        <f>K7790-(F7790*I7790)</f>
        <v/>
      </c>
      <c r="M7790" s="64">
        <f>L7790/K7790</f>
        <v/>
      </c>
    </row>
    <row r="7791">
      <c r="A7791" s="58" t="inlineStr">
        <is>
          <t>RT20250713-07790</t>
        </is>
      </c>
      <c r="B7791" s="59" t="inlineStr">
        <is>
          <t>2025-07-13</t>
        </is>
      </c>
      <c r="C7791" s="60" t="inlineStr">
        <is>
          <t>Metro Fragrance Lite-261</t>
        </is>
      </c>
      <c r="D7791" s="58" t="inlineStr">
        <is>
          <t>Beauty</t>
        </is>
      </c>
      <c r="E7791" s="58" t="inlineStr">
        <is>
          <t>North</t>
        </is>
      </c>
      <c r="F7791" s="61" t="n">
        <v>2</v>
      </c>
      <c r="G7791" s="62" t="n">
        <v>85.36</v>
      </c>
      <c r="H7791" s="63" t="n">
        <v>0.062</v>
      </c>
      <c r="I7791" s="62" t="n">
        <v>55.7</v>
      </c>
      <c r="J7791" s="58" t="inlineStr">
        <is>
          <t>Online</t>
        </is>
      </c>
      <c r="K7791" s="62">
        <f>F7791*(G7791-H7791)</f>
        <v/>
      </c>
      <c r="L7791" s="62">
        <f>K7791-(F7791*I7791)</f>
        <v/>
      </c>
      <c r="M7791" s="64">
        <f>L7791/K7791</f>
        <v/>
      </c>
    </row>
    <row r="7792">
      <c r="A7792" s="58" t="inlineStr">
        <is>
          <t>RT20250713-07791</t>
        </is>
      </c>
      <c r="B7792" s="59" t="inlineStr">
        <is>
          <t>2025-07-13</t>
        </is>
      </c>
      <c r="C7792" s="60" t="inlineStr">
        <is>
          <t>Polar Bedding Lite-243</t>
        </is>
      </c>
      <c r="D7792" s="58" t="inlineStr">
        <is>
          <t>Home</t>
        </is>
      </c>
      <c r="E7792" s="58" t="inlineStr">
        <is>
          <t>Central</t>
        </is>
      </c>
      <c r="F7792" s="61" t="n">
        <v>1</v>
      </c>
      <c r="G7792" s="62" t="n">
        <v>462.1</v>
      </c>
      <c r="H7792" s="63" t="n">
        <v>0.044</v>
      </c>
      <c r="I7792" s="62" t="n">
        <v>315.22</v>
      </c>
      <c r="J7792" s="58" t="inlineStr">
        <is>
          <t>Store</t>
        </is>
      </c>
      <c r="K7792" s="62">
        <f>F7792*(G7792-H7792)</f>
        <v/>
      </c>
      <c r="L7792" s="62">
        <f>K7792-(F7792*I7792)</f>
        <v/>
      </c>
      <c r="M7792" s="64">
        <f>L7792/K7792</f>
        <v/>
      </c>
    </row>
    <row r="7793">
      <c r="A7793" s="58" t="inlineStr">
        <is>
          <t>RT20250714-07792</t>
        </is>
      </c>
      <c r="B7793" s="59" t="inlineStr">
        <is>
          <t>2025-07-14</t>
        </is>
      </c>
      <c r="C7793" s="60" t="inlineStr">
        <is>
          <t>Aurora Storage Lite-774</t>
        </is>
      </c>
      <c r="D7793" s="58" t="inlineStr">
        <is>
          <t>Office</t>
        </is>
      </c>
      <c r="E7793" s="58" t="inlineStr">
        <is>
          <t>Central</t>
        </is>
      </c>
      <c r="F7793" s="61" t="n">
        <v>2</v>
      </c>
      <c r="G7793" s="62" t="n">
        <v>313.5</v>
      </c>
      <c r="H7793" s="63" t="n">
        <v>0.089</v>
      </c>
      <c r="I7793" s="62" t="n">
        <v>235.52</v>
      </c>
      <c r="J7793" s="58" t="inlineStr">
        <is>
          <t>Store</t>
        </is>
      </c>
      <c r="K7793" s="62">
        <f>F7793*(G7793-H7793)</f>
        <v/>
      </c>
      <c r="L7793" s="62">
        <f>K7793-(F7793*I7793)</f>
        <v/>
      </c>
      <c r="M7793" s="64">
        <f>L7793/K7793</f>
        <v/>
      </c>
    </row>
    <row r="7794">
      <c r="A7794" s="58" t="inlineStr">
        <is>
          <t>RT20250714-07793</t>
        </is>
      </c>
      <c r="B7794" s="59" t="inlineStr">
        <is>
          <t>2025-07-14</t>
        </is>
      </c>
      <c r="C7794" s="60" t="inlineStr">
        <is>
          <t>Nimbus Cycling Plus-911</t>
        </is>
      </c>
      <c r="D7794" s="58" t="inlineStr">
        <is>
          <t>Sports</t>
        </is>
      </c>
      <c r="E7794" s="58" t="inlineStr">
        <is>
          <t>North</t>
        </is>
      </c>
      <c r="F7794" s="61" t="n">
        <v>2</v>
      </c>
      <c r="G7794" s="62" t="n">
        <v>661.08</v>
      </c>
      <c r="H7794" s="63" t="n">
        <v>0.066</v>
      </c>
      <c r="I7794" s="62" t="n">
        <v>385.42</v>
      </c>
      <c r="J7794" s="58" t="inlineStr">
        <is>
          <t>Online</t>
        </is>
      </c>
      <c r="K7794" s="62">
        <f>F7794*(G7794-H7794)</f>
        <v/>
      </c>
      <c r="L7794" s="62">
        <f>K7794-(F7794*I7794)</f>
        <v/>
      </c>
      <c r="M7794" s="64">
        <f>L7794/K7794</f>
        <v/>
      </c>
    </row>
    <row r="7795">
      <c r="A7795" s="58" t="inlineStr">
        <is>
          <t>RT20250714-07794</t>
        </is>
      </c>
      <c r="B7795" s="59" t="inlineStr">
        <is>
          <t>2025-07-14</t>
        </is>
      </c>
      <c r="C7795" s="60" t="inlineStr">
        <is>
          <t>Falcon Beverage Max-702</t>
        </is>
      </c>
      <c r="D7795" s="58" t="inlineStr">
        <is>
          <t>Grocery</t>
        </is>
      </c>
      <c r="E7795" s="58" t="inlineStr">
        <is>
          <t>East</t>
        </is>
      </c>
      <c r="F7795" s="61" t="n">
        <v>4</v>
      </c>
      <c r="G7795" s="62" t="n">
        <v>28.51</v>
      </c>
      <c r="H7795" s="63" t="n">
        <v>0</v>
      </c>
      <c r="I7795" s="62" t="n">
        <v>20.55</v>
      </c>
      <c r="J7795" s="58" t="inlineStr">
        <is>
          <t>Online</t>
        </is>
      </c>
      <c r="K7795" s="62">
        <f>F7795*(G7795-H7795)</f>
        <v/>
      </c>
      <c r="L7795" s="62">
        <f>K7795-(F7795*I7795)</f>
        <v/>
      </c>
      <c r="M7795" s="64">
        <f>L7795/K7795</f>
        <v/>
      </c>
    </row>
    <row r="7796">
      <c r="A7796" s="58" t="inlineStr">
        <is>
          <t>RT20250714-07795</t>
        </is>
      </c>
      <c r="B7796" s="59" t="inlineStr">
        <is>
          <t>2025-07-14</t>
        </is>
      </c>
      <c r="C7796" s="60" t="inlineStr">
        <is>
          <t>Polar Haircare Max-614</t>
        </is>
      </c>
      <c r="D7796" s="58" t="inlineStr">
        <is>
          <t>Beauty</t>
        </is>
      </c>
      <c r="E7796" s="58" t="inlineStr">
        <is>
          <t>South</t>
        </is>
      </c>
      <c r="F7796" s="61" t="n">
        <v>2</v>
      </c>
      <c r="G7796" s="62" t="n">
        <v>122.73</v>
      </c>
      <c r="H7796" s="63" t="n">
        <v>0.068</v>
      </c>
      <c r="I7796" s="62" t="n">
        <v>70.40000000000001</v>
      </c>
      <c r="J7796" s="58" t="inlineStr">
        <is>
          <t>Phone</t>
        </is>
      </c>
      <c r="K7796" s="62">
        <f>F7796*(G7796-H7796)</f>
        <v/>
      </c>
      <c r="L7796" s="62">
        <f>K7796-(F7796*I7796)</f>
        <v/>
      </c>
      <c r="M7796" s="64">
        <f>L7796/K7796</f>
        <v/>
      </c>
    </row>
    <row r="7797">
      <c r="A7797" s="58" t="inlineStr">
        <is>
          <t>RT20250714-07796</t>
        </is>
      </c>
      <c r="B7797" s="59" t="inlineStr">
        <is>
          <t>2025-07-14</t>
        </is>
      </c>
      <c r="C7797" s="60" t="inlineStr">
        <is>
          <t>Nimbus Laptop Max-652</t>
        </is>
      </c>
      <c r="D7797" s="58" t="inlineStr">
        <is>
          <t>Electronics</t>
        </is>
      </c>
      <c r="E7797" s="58" t="inlineStr">
        <is>
          <t>North</t>
        </is>
      </c>
      <c r="F7797" s="61" t="n">
        <v>1</v>
      </c>
      <c r="G7797" s="62" t="n">
        <v>1438.57</v>
      </c>
      <c r="H7797" s="63" t="n">
        <v>0.011</v>
      </c>
      <c r="I7797" s="62" t="n">
        <v>1044.83</v>
      </c>
      <c r="J7797" s="58" t="inlineStr">
        <is>
          <t>Online</t>
        </is>
      </c>
      <c r="K7797" s="62">
        <f>F7797*(G7797-H7797)</f>
        <v/>
      </c>
      <c r="L7797" s="62">
        <f>K7797-(F7797*I7797)</f>
        <v/>
      </c>
      <c r="M7797" s="64">
        <f>L7797/K7797</f>
        <v/>
      </c>
    </row>
    <row r="7798">
      <c r="A7798" s="58" t="inlineStr">
        <is>
          <t>RT20250714-07797</t>
        </is>
      </c>
      <c r="B7798" s="59" t="inlineStr">
        <is>
          <t>2025-07-14</t>
        </is>
      </c>
      <c r="C7798" s="60" t="inlineStr">
        <is>
          <t>Metro Printer X-294</t>
        </is>
      </c>
      <c r="D7798" s="58" t="inlineStr">
        <is>
          <t>Office</t>
        </is>
      </c>
      <c r="E7798" s="58" t="inlineStr">
        <is>
          <t>Central</t>
        </is>
      </c>
      <c r="F7798" s="61" t="n">
        <v>1</v>
      </c>
      <c r="G7798" s="62" t="n">
        <v>547.36</v>
      </c>
      <c r="H7798" s="63" t="n">
        <v>0.061</v>
      </c>
      <c r="I7798" s="62" t="n">
        <v>403.48</v>
      </c>
      <c r="J7798" s="58" t="inlineStr">
        <is>
          <t>Phone</t>
        </is>
      </c>
      <c r="K7798" s="62">
        <f>F7798*(G7798-H7798)</f>
        <v/>
      </c>
      <c r="L7798" s="62">
        <f>K7798-(F7798*I7798)</f>
        <v/>
      </c>
      <c r="M7798" s="64">
        <f>L7798/K7798</f>
        <v/>
      </c>
    </row>
    <row r="7799">
      <c r="A7799" s="58" t="inlineStr">
        <is>
          <t>RT20250714-07798</t>
        </is>
      </c>
      <c r="B7799" s="59" t="inlineStr">
        <is>
          <t>2025-07-14</t>
        </is>
      </c>
      <c r="C7799" s="60" t="inlineStr">
        <is>
          <t>Nimbus Fitnes Lite-516</t>
        </is>
      </c>
      <c r="D7799" s="58" t="inlineStr">
        <is>
          <t>Sports</t>
        </is>
      </c>
      <c r="E7799" s="58" t="inlineStr">
        <is>
          <t>South</t>
        </is>
      </c>
      <c r="F7799" s="61" t="n">
        <v>1</v>
      </c>
      <c r="G7799" s="62" t="n">
        <v>629.29</v>
      </c>
      <c r="H7799" s="63" t="n">
        <v>0.067</v>
      </c>
      <c r="I7799" s="62" t="n">
        <v>469.66</v>
      </c>
      <c r="J7799" s="58" t="inlineStr">
        <is>
          <t>Online</t>
        </is>
      </c>
      <c r="K7799" s="62">
        <f>F7799*(G7799-H7799)</f>
        <v/>
      </c>
      <c r="L7799" s="62">
        <f>K7799-(F7799*I7799)</f>
        <v/>
      </c>
      <c r="M7799" s="64">
        <f>L7799/K7799</f>
        <v/>
      </c>
    </row>
    <row r="7800">
      <c r="A7800" s="58" t="inlineStr">
        <is>
          <t>RT20250714-07799</t>
        </is>
      </c>
      <c r="B7800" s="59" t="inlineStr">
        <is>
          <t>2025-07-14</t>
        </is>
      </c>
      <c r="C7800" s="60" t="inlineStr">
        <is>
          <t>Solace Kitchen Pro-999</t>
        </is>
      </c>
      <c r="D7800" s="58" t="inlineStr">
        <is>
          <t>Home</t>
        </is>
      </c>
      <c r="E7800" s="58" t="inlineStr">
        <is>
          <t>North</t>
        </is>
      </c>
      <c r="F7800" s="61" t="n">
        <v>1</v>
      </c>
      <c r="G7800" s="62" t="n">
        <v>375.47</v>
      </c>
      <c r="H7800" s="63" t="n">
        <v>0.09</v>
      </c>
      <c r="I7800" s="62" t="n">
        <v>274</v>
      </c>
      <c r="J7800" s="58" t="inlineStr">
        <is>
          <t>Store</t>
        </is>
      </c>
      <c r="K7800" s="62">
        <f>F7800*(G7800-H7800)</f>
        <v/>
      </c>
      <c r="L7800" s="62">
        <f>K7800-(F7800*I7800)</f>
        <v/>
      </c>
      <c r="M7800" s="64">
        <f>L7800/K7800</f>
        <v/>
      </c>
    </row>
    <row r="7801">
      <c r="A7801" s="58" t="inlineStr">
        <is>
          <t>RT20250714-07800</t>
        </is>
      </c>
      <c r="B7801" s="59" t="inlineStr">
        <is>
          <t>2025-07-14</t>
        </is>
      </c>
      <c r="C7801" s="60" t="inlineStr">
        <is>
          <t>Solace Kitchen Pro-999</t>
        </is>
      </c>
      <c r="D7801" s="58" t="inlineStr">
        <is>
          <t>Home</t>
        </is>
      </c>
      <c r="E7801" s="58" t="inlineStr">
        <is>
          <t>South</t>
        </is>
      </c>
      <c r="F7801" s="61" t="n">
        <v>1</v>
      </c>
      <c r="G7801" s="62" t="n">
        <v>410.72</v>
      </c>
      <c r="H7801" s="63" t="n">
        <v>0.07000000000000001</v>
      </c>
      <c r="I7801" s="62" t="n">
        <v>271.04</v>
      </c>
      <c r="J7801" s="58" t="inlineStr">
        <is>
          <t>Store</t>
        </is>
      </c>
      <c r="K7801" s="62">
        <f>F7801*(G7801-H7801)</f>
        <v/>
      </c>
      <c r="L7801" s="62">
        <f>K7801-(F7801*I7801)</f>
        <v/>
      </c>
      <c r="M7801" s="64">
        <f>L7801/K7801</f>
        <v/>
      </c>
    </row>
    <row r="7802">
      <c r="A7802" s="58" t="inlineStr">
        <is>
          <t>RT20250714-07801</t>
        </is>
      </c>
      <c r="B7802" s="59" t="inlineStr">
        <is>
          <t>2025-07-14</t>
        </is>
      </c>
      <c r="C7802" s="60" t="inlineStr">
        <is>
          <t>Polar Cycling X-649</t>
        </is>
      </c>
      <c r="D7802" s="58" t="inlineStr">
        <is>
          <t>Sports</t>
        </is>
      </c>
      <c r="E7802" s="58" t="inlineStr">
        <is>
          <t>South</t>
        </is>
      </c>
      <c r="F7802" s="61" t="n">
        <v>3</v>
      </c>
      <c r="G7802" s="62" t="n">
        <v>547.46</v>
      </c>
      <c r="H7802" s="63" t="n">
        <v>0.039</v>
      </c>
      <c r="I7802" s="62" t="n">
        <v>357.1</v>
      </c>
      <c r="J7802" s="58" t="inlineStr">
        <is>
          <t>Online</t>
        </is>
      </c>
      <c r="K7802" s="62">
        <f>F7802*(G7802-H7802)</f>
        <v/>
      </c>
      <c r="L7802" s="62">
        <f>K7802-(F7802*I7802)</f>
        <v/>
      </c>
      <c r="M7802" s="64">
        <f>L7802/K7802</f>
        <v/>
      </c>
    </row>
    <row r="7803">
      <c r="A7803" s="58" t="inlineStr">
        <is>
          <t>RT20250714-07802</t>
        </is>
      </c>
      <c r="B7803" s="59" t="inlineStr">
        <is>
          <t>2025-07-14</t>
        </is>
      </c>
      <c r="C7803" s="60" t="inlineStr">
        <is>
          <t>Falcon Cycling Pro-499</t>
        </is>
      </c>
      <c r="D7803" s="58" t="inlineStr">
        <is>
          <t>Sports</t>
        </is>
      </c>
      <c r="E7803" s="58" t="inlineStr">
        <is>
          <t>East</t>
        </is>
      </c>
      <c r="F7803" s="61" t="n">
        <v>1</v>
      </c>
      <c r="G7803" s="62" t="n">
        <v>610.09</v>
      </c>
      <c r="H7803" s="63" t="n">
        <v>0.066</v>
      </c>
      <c r="I7803" s="62" t="n">
        <v>395.84</v>
      </c>
      <c r="J7803" s="58" t="inlineStr">
        <is>
          <t>Store</t>
        </is>
      </c>
      <c r="K7803" s="62">
        <f>F7803*(G7803-H7803)</f>
        <v/>
      </c>
      <c r="L7803" s="62">
        <f>K7803-(F7803*I7803)</f>
        <v/>
      </c>
      <c r="M7803" s="64">
        <f>L7803/K7803</f>
        <v/>
      </c>
    </row>
    <row r="7804">
      <c r="A7804" s="58" t="inlineStr">
        <is>
          <t>RT20250714-07803</t>
        </is>
      </c>
      <c r="B7804" s="59" t="inlineStr">
        <is>
          <t>2025-07-14</t>
        </is>
      </c>
      <c r="C7804" s="60" t="inlineStr">
        <is>
          <t>Aurora Printer Plus-723</t>
        </is>
      </c>
      <c r="D7804" s="58" t="inlineStr">
        <is>
          <t>Office</t>
        </is>
      </c>
      <c r="E7804" s="58" t="inlineStr">
        <is>
          <t>West</t>
        </is>
      </c>
      <c r="F7804" s="61" t="n">
        <v>2</v>
      </c>
      <c r="G7804" s="62" t="n">
        <v>275.95</v>
      </c>
      <c r="H7804" s="63" t="n">
        <v>0.06</v>
      </c>
      <c r="I7804" s="62" t="n">
        <v>182.92</v>
      </c>
      <c r="J7804" s="58" t="inlineStr">
        <is>
          <t>Store</t>
        </is>
      </c>
      <c r="K7804" s="62">
        <f>F7804*(G7804-H7804)</f>
        <v/>
      </c>
      <c r="L7804" s="62">
        <f>K7804-(F7804*I7804)</f>
        <v/>
      </c>
      <c r="M7804" s="64">
        <f>L7804/K7804</f>
        <v/>
      </c>
    </row>
    <row r="7805">
      <c r="A7805" s="58" t="inlineStr">
        <is>
          <t>RT20250714-07804</t>
        </is>
      </c>
      <c r="B7805" s="59" t="inlineStr">
        <is>
          <t>2025-07-14</t>
        </is>
      </c>
      <c r="C7805" s="60" t="inlineStr">
        <is>
          <t>Nimbus Furniture Pro-479</t>
        </is>
      </c>
      <c r="D7805" s="58" t="inlineStr">
        <is>
          <t>Office</t>
        </is>
      </c>
      <c r="E7805" s="58" t="inlineStr">
        <is>
          <t>West</t>
        </is>
      </c>
      <c r="F7805" s="61" t="n">
        <v>1</v>
      </c>
      <c r="G7805" s="62" t="n">
        <v>354.22</v>
      </c>
      <c r="H7805" s="63" t="n">
        <v>0.075</v>
      </c>
      <c r="I7805" s="62" t="n">
        <v>238.3</v>
      </c>
      <c r="J7805" s="58" t="inlineStr">
        <is>
          <t>Online</t>
        </is>
      </c>
      <c r="K7805" s="62">
        <f>F7805*(G7805-H7805)</f>
        <v/>
      </c>
      <c r="L7805" s="62">
        <f>K7805-(F7805*I7805)</f>
        <v/>
      </c>
      <c r="M7805" s="64">
        <f>L7805/K7805</f>
        <v/>
      </c>
    </row>
    <row r="7806">
      <c r="A7806" s="58" t="inlineStr">
        <is>
          <t>RT20250714-07805</t>
        </is>
      </c>
      <c r="B7806" s="59" t="inlineStr">
        <is>
          <t>2025-07-14</t>
        </is>
      </c>
      <c r="C7806" s="60" t="inlineStr">
        <is>
          <t>Polar Fragrance Pro-750</t>
        </is>
      </c>
      <c r="D7806" s="58" t="inlineStr">
        <is>
          <t>Beauty</t>
        </is>
      </c>
      <c r="E7806" s="58" t="inlineStr">
        <is>
          <t>South</t>
        </is>
      </c>
      <c r="F7806" s="61" t="n">
        <v>4</v>
      </c>
      <c r="G7806" s="62" t="n">
        <v>66.54000000000001</v>
      </c>
      <c r="H7806" s="63" t="n">
        <v>0.063</v>
      </c>
      <c r="I7806" s="62" t="n">
        <v>37.72</v>
      </c>
      <c r="J7806" s="58" t="inlineStr">
        <is>
          <t>Store</t>
        </is>
      </c>
      <c r="K7806" s="62">
        <f>F7806*(G7806-H7806)</f>
        <v/>
      </c>
      <c r="L7806" s="62">
        <f>K7806-(F7806*I7806)</f>
        <v/>
      </c>
      <c r="M7806" s="64">
        <f>L7806/K7806</f>
        <v/>
      </c>
    </row>
    <row r="7807">
      <c r="A7807" s="58" t="inlineStr">
        <is>
          <t>RT20250714-07806</t>
        </is>
      </c>
      <c r="B7807" s="59" t="inlineStr">
        <is>
          <t>2025-07-14</t>
        </is>
      </c>
      <c r="C7807" s="60" t="inlineStr">
        <is>
          <t>Aurora Makeup S-626</t>
        </is>
      </c>
      <c r="D7807" s="58" t="inlineStr">
        <is>
          <t>Beauty</t>
        </is>
      </c>
      <c r="E7807" s="58" t="inlineStr">
        <is>
          <t>West</t>
        </is>
      </c>
      <c r="F7807" s="61" t="n">
        <v>3</v>
      </c>
      <c r="G7807" s="62" t="n">
        <v>103.29</v>
      </c>
      <c r="H7807" s="63" t="n">
        <v>0.07099999999999999</v>
      </c>
      <c r="I7807" s="62" t="n">
        <v>62.14</v>
      </c>
      <c r="J7807" s="58" t="inlineStr">
        <is>
          <t>Online</t>
        </is>
      </c>
      <c r="K7807" s="62">
        <f>F7807*(G7807-H7807)</f>
        <v/>
      </c>
      <c r="L7807" s="62">
        <f>K7807-(F7807*I7807)</f>
        <v/>
      </c>
      <c r="M7807" s="64">
        <f>L7807/K7807</f>
        <v/>
      </c>
    </row>
    <row r="7808">
      <c r="A7808" s="58" t="inlineStr">
        <is>
          <t>RT20250714-07807</t>
        </is>
      </c>
      <c r="B7808" s="59" t="inlineStr">
        <is>
          <t>2025-07-14</t>
        </is>
      </c>
      <c r="C7808" s="60" t="inlineStr">
        <is>
          <t>Polar Bedding Lite-243</t>
        </is>
      </c>
      <c r="D7808" s="58" t="inlineStr">
        <is>
          <t>Home</t>
        </is>
      </c>
      <c r="E7808" s="58" t="inlineStr">
        <is>
          <t>West</t>
        </is>
      </c>
      <c r="F7808" s="61" t="n">
        <v>1</v>
      </c>
      <c r="G7808" s="62" t="n">
        <v>428.97</v>
      </c>
      <c r="H7808" s="63" t="n">
        <v>0.146</v>
      </c>
      <c r="I7808" s="62" t="n">
        <v>325.81</v>
      </c>
      <c r="J7808" s="58" t="inlineStr">
        <is>
          <t>Online</t>
        </is>
      </c>
      <c r="K7808" s="62">
        <f>F7808*(G7808-H7808)</f>
        <v/>
      </c>
      <c r="L7808" s="62">
        <f>K7808-(F7808*I7808)</f>
        <v/>
      </c>
      <c r="M7808" s="64">
        <f>L7808/K7808</f>
        <v/>
      </c>
    </row>
    <row r="7809">
      <c r="A7809" s="58" t="inlineStr">
        <is>
          <t>RT20250714-07808</t>
        </is>
      </c>
      <c r="B7809" s="59" t="inlineStr">
        <is>
          <t>2025-07-14</t>
        </is>
      </c>
      <c r="C7809" s="60" t="inlineStr">
        <is>
          <t>Aurora Makeup Pro-489</t>
        </is>
      </c>
      <c r="D7809" s="58" t="inlineStr">
        <is>
          <t>Beauty</t>
        </is>
      </c>
      <c r="E7809" s="58" t="inlineStr">
        <is>
          <t>East</t>
        </is>
      </c>
      <c r="F7809" s="61" t="n">
        <v>2</v>
      </c>
      <c r="G7809" s="62" t="n">
        <v>101</v>
      </c>
      <c r="H7809" s="63" t="n">
        <v>0.05</v>
      </c>
      <c r="I7809" s="62" t="n">
        <v>65.2</v>
      </c>
      <c r="J7809" s="58" t="inlineStr">
        <is>
          <t>Store</t>
        </is>
      </c>
      <c r="K7809" s="62">
        <f>F7809*(G7809-H7809)</f>
        <v/>
      </c>
      <c r="L7809" s="62">
        <f>K7809-(F7809*I7809)</f>
        <v/>
      </c>
      <c r="M7809" s="64">
        <f>L7809/K7809</f>
        <v/>
      </c>
    </row>
    <row r="7810">
      <c r="A7810" s="58" t="inlineStr">
        <is>
          <t>RT20250714-07809</t>
        </is>
      </c>
      <c r="B7810" s="59" t="inlineStr">
        <is>
          <t>2025-07-14</t>
        </is>
      </c>
      <c r="C7810" s="60" t="inlineStr">
        <is>
          <t>Metro Accessorie Lite-697</t>
        </is>
      </c>
      <c r="D7810" s="58" t="inlineStr">
        <is>
          <t>Apparel</t>
        </is>
      </c>
      <c r="E7810" s="58" t="inlineStr">
        <is>
          <t>East</t>
        </is>
      </c>
      <c r="F7810" s="61" t="n">
        <v>1</v>
      </c>
      <c r="G7810" s="62" t="n">
        <v>134.76</v>
      </c>
      <c r="H7810" s="63" t="n">
        <v>0.08799999999999999</v>
      </c>
      <c r="I7810" s="62" t="n">
        <v>76.56</v>
      </c>
      <c r="J7810" s="58" t="inlineStr">
        <is>
          <t>Online</t>
        </is>
      </c>
      <c r="K7810" s="62">
        <f>F7810*(G7810-H7810)</f>
        <v/>
      </c>
      <c r="L7810" s="62">
        <f>K7810-(F7810*I7810)</f>
        <v/>
      </c>
      <c r="M7810" s="64">
        <f>L7810/K7810</f>
        <v/>
      </c>
    </row>
    <row r="7811">
      <c r="A7811" s="58" t="inlineStr">
        <is>
          <t>RT20250714-07810</t>
        </is>
      </c>
      <c r="B7811" s="59" t="inlineStr">
        <is>
          <t>2025-07-14</t>
        </is>
      </c>
      <c r="C7811" s="60" t="inlineStr">
        <is>
          <t>Falcon Skincare Max-151</t>
        </is>
      </c>
      <c r="D7811" s="58" t="inlineStr">
        <is>
          <t>Beauty</t>
        </is>
      </c>
      <c r="E7811" s="58" t="inlineStr">
        <is>
          <t>West</t>
        </is>
      </c>
      <c r="F7811" s="61" t="n">
        <v>3</v>
      </c>
      <c r="G7811" s="62" t="n">
        <v>89.90000000000001</v>
      </c>
      <c r="H7811" s="63" t="n">
        <v>0.06</v>
      </c>
      <c r="I7811" s="62" t="n">
        <v>59.31</v>
      </c>
      <c r="J7811" s="58" t="inlineStr">
        <is>
          <t>Online</t>
        </is>
      </c>
      <c r="K7811" s="62">
        <f>F7811*(G7811-H7811)</f>
        <v/>
      </c>
      <c r="L7811" s="62">
        <f>K7811-(F7811*I7811)</f>
        <v/>
      </c>
      <c r="M7811" s="64">
        <f>L7811/K7811</f>
        <v/>
      </c>
    </row>
    <row r="7812">
      <c r="A7812" s="58" t="inlineStr">
        <is>
          <t>RT20250714-07811</t>
        </is>
      </c>
      <c r="B7812" s="59" t="inlineStr">
        <is>
          <t>2025-07-14</t>
        </is>
      </c>
      <c r="C7812" s="60" t="inlineStr">
        <is>
          <t>Solace Smartphone Lite-533</t>
        </is>
      </c>
      <c r="D7812" s="58" t="inlineStr">
        <is>
          <t>Electronics</t>
        </is>
      </c>
      <c r="E7812" s="58" t="inlineStr">
        <is>
          <t>East</t>
        </is>
      </c>
      <c r="F7812" s="61" t="n">
        <v>2</v>
      </c>
      <c r="G7812" s="62" t="n">
        <v>1229.06</v>
      </c>
      <c r="H7812" s="63" t="n">
        <v>0.014</v>
      </c>
      <c r="I7812" s="62" t="n">
        <v>906.14</v>
      </c>
      <c r="J7812" s="58" t="inlineStr">
        <is>
          <t>Store</t>
        </is>
      </c>
      <c r="K7812" s="62">
        <f>F7812*(G7812-H7812)</f>
        <v/>
      </c>
      <c r="L7812" s="62">
        <f>K7812-(F7812*I7812)</f>
        <v/>
      </c>
      <c r="M7812" s="64">
        <f>L7812/K7812</f>
        <v/>
      </c>
    </row>
    <row r="7813">
      <c r="A7813" s="58" t="inlineStr">
        <is>
          <t>RT20250714-07812</t>
        </is>
      </c>
      <c r="B7813" s="59" t="inlineStr">
        <is>
          <t>2025-07-14</t>
        </is>
      </c>
      <c r="C7813" s="60" t="inlineStr">
        <is>
          <t>Metro Decor Lite-325</t>
        </is>
      </c>
      <c r="D7813" s="58" t="inlineStr">
        <is>
          <t>Home</t>
        </is>
      </c>
      <c r="E7813" s="58" t="inlineStr">
        <is>
          <t>South</t>
        </is>
      </c>
      <c r="F7813" s="61" t="n">
        <v>1</v>
      </c>
      <c r="G7813" s="62" t="n">
        <v>492.33</v>
      </c>
      <c r="H7813" s="63" t="n">
        <v>0.047</v>
      </c>
      <c r="I7813" s="62" t="n">
        <v>381.03</v>
      </c>
      <c r="J7813" s="58" t="inlineStr">
        <is>
          <t>Online</t>
        </is>
      </c>
      <c r="K7813" s="62">
        <f>F7813*(G7813-H7813)</f>
        <v/>
      </c>
      <c r="L7813" s="62">
        <f>K7813-(F7813*I7813)</f>
        <v/>
      </c>
      <c r="M7813" s="64">
        <f>L7813/K7813</f>
        <v/>
      </c>
    </row>
    <row r="7814">
      <c r="A7814" s="58" t="inlineStr">
        <is>
          <t>RT20250714-07813</t>
        </is>
      </c>
      <c r="B7814" s="59" t="inlineStr">
        <is>
          <t>2025-07-14</t>
        </is>
      </c>
      <c r="C7814" s="60" t="inlineStr">
        <is>
          <t>Aurora Printer Plus-991</t>
        </is>
      </c>
      <c r="D7814" s="58" t="inlineStr">
        <is>
          <t>Office</t>
        </is>
      </c>
      <c r="E7814" s="58" t="inlineStr">
        <is>
          <t>East</t>
        </is>
      </c>
      <c r="F7814" s="61" t="n">
        <v>2</v>
      </c>
      <c r="G7814" s="62" t="n">
        <v>546.96</v>
      </c>
      <c r="H7814" s="63" t="n">
        <v>0.041</v>
      </c>
      <c r="I7814" s="62" t="n">
        <v>369.78</v>
      </c>
      <c r="J7814" s="58" t="inlineStr">
        <is>
          <t>Store</t>
        </is>
      </c>
      <c r="K7814" s="62">
        <f>F7814*(G7814-H7814)</f>
        <v/>
      </c>
      <c r="L7814" s="62">
        <f>K7814-(F7814*I7814)</f>
        <v/>
      </c>
      <c r="M7814" s="64">
        <f>L7814/K7814</f>
        <v/>
      </c>
    </row>
    <row r="7815">
      <c r="A7815" s="58" t="inlineStr">
        <is>
          <t>RT20250714-07814</t>
        </is>
      </c>
      <c r="B7815" s="59" t="inlineStr">
        <is>
          <t>2025-07-14</t>
        </is>
      </c>
      <c r="C7815" s="60" t="inlineStr">
        <is>
          <t>Aurora Team Sport Plus-256</t>
        </is>
      </c>
      <c r="D7815" s="58" t="inlineStr">
        <is>
          <t>Sports</t>
        </is>
      </c>
      <c r="E7815" s="58" t="inlineStr">
        <is>
          <t>East</t>
        </is>
      </c>
      <c r="F7815" s="61" t="n">
        <v>2</v>
      </c>
      <c r="G7815" s="62" t="n">
        <v>643.53</v>
      </c>
      <c r="H7815" s="63" t="n">
        <v>0.031</v>
      </c>
      <c r="I7815" s="62" t="n">
        <v>418.57</v>
      </c>
      <c r="J7815" s="58" t="inlineStr">
        <is>
          <t>Store</t>
        </is>
      </c>
      <c r="K7815" s="62">
        <f>F7815*(G7815-H7815)</f>
        <v/>
      </c>
      <c r="L7815" s="62">
        <f>K7815-(F7815*I7815)</f>
        <v/>
      </c>
      <c r="M7815" s="64">
        <f>L7815/K7815</f>
        <v/>
      </c>
    </row>
    <row r="7816">
      <c r="A7816" s="58" t="inlineStr">
        <is>
          <t>RT20250714-07815</t>
        </is>
      </c>
      <c r="B7816" s="59" t="inlineStr">
        <is>
          <t>2025-07-14</t>
        </is>
      </c>
      <c r="C7816" s="60" t="inlineStr">
        <is>
          <t>Aurora Fragrance S-971</t>
        </is>
      </c>
      <c r="D7816" s="58" t="inlineStr">
        <is>
          <t>Beauty</t>
        </is>
      </c>
      <c r="E7816" s="58" t="inlineStr">
        <is>
          <t>East</t>
        </is>
      </c>
      <c r="F7816" s="61" t="n">
        <v>3</v>
      </c>
      <c r="G7816" s="62" t="n">
        <v>104.9</v>
      </c>
      <c r="H7816" s="63" t="n">
        <v>0.059</v>
      </c>
      <c r="I7816" s="62" t="n">
        <v>66.56</v>
      </c>
      <c r="J7816" s="58" t="inlineStr">
        <is>
          <t>Online</t>
        </is>
      </c>
      <c r="K7816" s="62">
        <f>F7816*(G7816-H7816)</f>
        <v/>
      </c>
      <c r="L7816" s="62">
        <f>K7816-(F7816*I7816)</f>
        <v/>
      </c>
      <c r="M7816" s="64">
        <f>L7816/K7816</f>
        <v/>
      </c>
    </row>
    <row r="7817">
      <c r="A7817" s="58" t="inlineStr">
        <is>
          <t>RT20250714-07816</t>
        </is>
      </c>
      <c r="B7817" s="59" t="inlineStr">
        <is>
          <t>2025-07-14</t>
        </is>
      </c>
      <c r="C7817" s="60" t="inlineStr">
        <is>
          <t>Metro Smartphone Max-773</t>
        </is>
      </c>
      <c r="D7817" s="58" t="inlineStr">
        <is>
          <t>Electronics</t>
        </is>
      </c>
      <c r="E7817" s="58" t="inlineStr">
        <is>
          <t>South</t>
        </is>
      </c>
      <c r="F7817" s="61" t="n">
        <v>1</v>
      </c>
      <c r="G7817" s="62" t="n">
        <v>1551.4</v>
      </c>
      <c r="H7817" s="63" t="n">
        <v>0.014</v>
      </c>
      <c r="I7817" s="62" t="n">
        <v>1116.17</v>
      </c>
      <c r="J7817" s="58" t="inlineStr">
        <is>
          <t>Store</t>
        </is>
      </c>
      <c r="K7817" s="62">
        <f>F7817*(G7817-H7817)</f>
        <v/>
      </c>
      <c r="L7817" s="62">
        <f>K7817-(F7817*I7817)</f>
        <v/>
      </c>
      <c r="M7817" s="64">
        <f>L7817/K7817</f>
        <v/>
      </c>
    </row>
    <row r="7818">
      <c r="A7818" s="58" t="inlineStr">
        <is>
          <t>RT20250714-07817</t>
        </is>
      </c>
      <c r="B7818" s="59" t="inlineStr">
        <is>
          <t>2025-07-14</t>
        </is>
      </c>
      <c r="C7818" s="60" t="inlineStr">
        <is>
          <t>Vertex Printer Max-692</t>
        </is>
      </c>
      <c r="D7818" s="58" t="inlineStr">
        <is>
          <t>Office</t>
        </is>
      </c>
      <c r="E7818" s="58" t="inlineStr">
        <is>
          <t>Central</t>
        </is>
      </c>
      <c r="F7818" s="61" t="n">
        <v>3</v>
      </c>
      <c r="G7818" s="62" t="n">
        <v>178.11</v>
      </c>
      <c r="H7818" s="63" t="n">
        <v>0.094</v>
      </c>
      <c r="I7818" s="62" t="n">
        <v>123.35</v>
      </c>
      <c r="J7818" s="58" t="inlineStr">
        <is>
          <t>Store</t>
        </is>
      </c>
      <c r="K7818" s="62">
        <f>F7818*(G7818-H7818)</f>
        <v/>
      </c>
      <c r="L7818" s="62">
        <f>K7818-(F7818*I7818)</f>
        <v/>
      </c>
      <c r="M7818" s="64">
        <f>L7818/K7818</f>
        <v/>
      </c>
    </row>
    <row r="7819">
      <c r="A7819" s="58" t="inlineStr">
        <is>
          <t>RT20250714-07818</t>
        </is>
      </c>
      <c r="B7819" s="59" t="inlineStr">
        <is>
          <t>2025-07-14</t>
        </is>
      </c>
      <c r="C7819" s="60" t="inlineStr">
        <is>
          <t>Solace Headphone Pro-344</t>
        </is>
      </c>
      <c r="D7819" s="58" t="inlineStr">
        <is>
          <t>Electronics</t>
        </is>
      </c>
      <c r="E7819" s="58" t="inlineStr">
        <is>
          <t>Central</t>
        </is>
      </c>
      <c r="F7819" s="61" t="n">
        <v>2</v>
      </c>
      <c r="G7819" s="62" t="n">
        <v>1447.35</v>
      </c>
      <c r="H7819" s="63" t="n">
        <v>0.06</v>
      </c>
      <c r="I7819" s="62" t="n">
        <v>1080.78</v>
      </c>
      <c r="J7819" s="58" t="inlineStr">
        <is>
          <t>Online</t>
        </is>
      </c>
      <c r="K7819" s="62">
        <f>F7819*(G7819-H7819)</f>
        <v/>
      </c>
      <c r="L7819" s="62">
        <f>K7819-(F7819*I7819)</f>
        <v/>
      </c>
      <c r="M7819" s="64">
        <f>L7819/K7819</f>
        <v/>
      </c>
    </row>
    <row r="7820">
      <c r="A7820" s="58" t="inlineStr">
        <is>
          <t>RT20250714-07819</t>
        </is>
      </c>
      <c r="B7820" s="59" t="inlineStr">
        <is>
          <t>2025-07-14</t>
        </is>
      </c>
      <c r="C7820" s="60" t="inlineStr">
        <is>
          <t>Polar Outdoor X-193</t>
        </is>
      </c>
      <c r="D7820" s="58" t="inlineStr">
        <is>
          <t>Sports</t>
        </is>
      </c>
      <c r="E7820" s="58" t="inlineStr">
        <is>
          <t>South</t>
        </is>
      </c>
      <c r="F7820" s="61" t="n">
        <v>3</v>
      </c>
      <c r="G7820" s="62" t="n">
        <v>640.7</v>
      </c>
      <c r="H7820" s="63" t="n">
        <v>0.068</v>
      </c>
      <c r="I7820" s="62" t="n">
        <v>451.77</v>
      </c>
      <c r="J7820" s="58" t="inlineStr">
        <is>
          <t>Online</t>
        </is>
      </c>
      <c r="K7820" s="62">
        <f>F7820*(G7820-H7820)</f>
        <v/>
      </c>
      <c r="L7820" s="62">
        <f>K7820-(F7820*I7820)</f>
        <v/>
      </c>
      <c r="M7820" s="64">
        <f>L7820/K7820</f>
        <v/>
      </c>
    </row>
    <row r="7821">
      <c r="A7821" s="58" t="inlineStr">
        <is>
          <t>RT20250714-07820</t>
        </is>
      </c>
      <c r="B7821" s="59" t="inlineStr">
        <is>
          <t>2025-07-14</t>
        </is>
      </c>
      <c r="C7821" s="60" t="inlineStr">
        <is>
          <t>Aurora Printer Plus-991</t>
        </is>
      </c>
      <c r="D7821" s="58" t="inlineStr">
        <is>
          <t>Office</t>
        </is>
      </c>
      <c r="E7821" s="58" t="inlineStr">
        <is>
          <t>North</t>
        </is>
      </c>
      <c r="F7821" s="61" t="n">
        <v>1</v>
      </c>
      <c r="G7821" s="62" t="n">
        <v>445.13</v>
      </c>
      <c r="H7821" s="63" t="n">
        <v>0.133</v>
      </c>
      <c r="I7821" s="62" t="n">
        <v>371.45</v>
      </c>
      <c r="J7821" s="58" t="inlineStr">
        <is>
          <t>Online</t>
        </is>
      </c>
      <c r="K7821" s="62">
        <f>F7821*(G7821-H7821)</f>
        <v/>
      </c>
      <c r="L7821" s="62">
        <f>K7821-(F7821*I7821)</f>
        <v/>
      </c>
      <c r="M7821" s="64">
        <f>L7821/K7821</f>
        <v/>
      </c>
    </row>
    <row r="7822">
      <c r="A7822" s="58" t="inlineStr">
        <is>
          <t>RT20250714-07821</t>
        </is>
      </c>
      <c r="B7822" s="59" t="inlineStr">
        <is>
          <t>2025-07-14</t>
        </is>
      </c>
      <c r="C7822" s="60" t="inlineStr">
        <is>
          <t>Aurora Makeup S-626</t>
        </is>
      </c>
      <c r="D7822" s="58" t="inlineStr">
        <is>
          <t>Beauty</t>
        </is>
      </c>
      <c r="E7822" s="58" t="inlineStr">
        <is>
          <t>South</t>
        </is>
      </c>
      <c r="F7822" s="61" t="n">
        <v>5</v>
      </c>
      <c r="G7822" s="62" t="n">
        <v>115.69</v>
      </c>
      <c r="H7822" s="63" t="n">
        <v>0.041</v>
      </c>
      <c r="I7822" s="62" t="n">
        <v>62.19</v>
      </c>
      <c r="J7822" s="58" t="inlineStr">
        <is>
          <t>Store</t>
        </is>
      </c>
      <c r="K7822" s="62">
        <f>F7822*(G7822-H7822)</f>
        <v/>
      </c>
      <c r="L7822" s="62">
        <f>K7822-(F7822*I7822)</f>
        <v/>
      </c>
      <c r="M7822" s="64">
        <f>L7822/K7822</f>
        <v/>
      </c>
    </row>
    <row r="7823">
      <c r="A7823" s="58" t="inlineStr">
        <is>
          <t>RT20250714-07822</t>
        </is>
      </c>
      <c r="B7823" s="59" t="inlineStr">
        <is>
          <t>2025-07-14</t>
        </is>
      </c>
      <c r="C7823" s="60" t="inlineStr">
        <is>
          <t>Falcon Headphone Pro-713</t>
        </is>
      </c>
      <c r="D7823" s="58" t="inlineStr">
        <is>
          <t>Electronics</t>
        </is>
      </c>
      <c r="E7823" s="58" t="inlineStr">
        <is>
          <t>South</t>
        </is>
      </c>
      <c r="F7823" s="61" t="n">
        <v>2</v>
      </c>
      <c r="G7823" s="62" t="n">
        <v>1795.48</v>
      </c>
      <c r="H7823" s="63" t="n">
        <v>0.055</v>
      </c>
      <c r="I7823" s="62" t="n">
        <v>1155.99</v>
      </c>
      <c r="J7823" s="58" t="inlineStr">
        <is>
          <t>Store</t>
        </is>
      </c>
      <c r="K7823" s="62">
        <f>F7823*(G7823-H7823)</f>
        <v/>
      </c>
      <c r="L7823" s="62">
        <f>K7823-(F7823*I7823)</f>
        <v/>
      </c>
      <c r="M7823" s="64">
        <f>L7823/K7823</f>
        <v/>
      </c>
    </row>
    <row r="7824">
      <c r="A7824" s="58" t="inlineStr">
        <is>
          <t>RT20250714-07823</t>
        </is>
      </c>
      <c r="B7824" s="59" t="inlineStr">
        <is>
          <t>2025-07-14</t>
        </is>
      </c>
      <c r="C7824" s="60" t="inlineStr">
        <is>
          <t>Metro Wearable Plus-234</t>
        </is>
      </c>
      <c r="D7824" s="58" t="inlineStr">
        <is>
          <t>Electronics</t>
        </is>
      </c>
      <c r="E7824" s="58" t="inlineStr">
        <is>
          <t>East</t>
        </is>
      </c>
      <c r="F7824" s="61" t="n">
        <v>1</v>
      </c>
      <c r="G7824" s="62" t="n">
        <v>1532.4</v>
      </c>
      <c r="H7824" s="63" t="n">
        <v>0.006</v>
      </c>
      <c r="I7824" s="62" t="n">
        <v>1185.18</v>
      </c>
      <c r="J7824" s="58" t="inlineStr">
        <is>
          <t>Online</t>
        </is>
      </c>
      <c r="K7824" s="62">
        <f>F7824*(G7824-H7824)</f>
        <v/>
      </c>
      <c r="L7824" s="62">
        <f>K7824-(F7824*I7824)</f>
        <v/>
      </c>
      <c r="M7824" s="64">
        <f>L7824/K7824</f>
        <v/>
      </c>
    </row>
    <row r="7825">
      <c r="A7825" s="58" t="inlineStr">
        <is>
          <t>RT20250714-07824</t>
        </is>
      </c>
      <c r="B7825" s="59" t="inlineStr">
        <is>
          <t>2025-07-14</t>
        </is>
      </c>
      <c r="C7825" s="60" t="inlineStr">
        <is>
          <t>Polar Decor Plus-505</t>
        </is>
      </c>
      <c r="D7825" s="58" t="inlineStr">
        <is>
          <t>Home</t>
        </is>
      </c>
      <c r="E7825" s="58" t="inlineStr">
        <is>
          <t>West</t>
        </is>
      </c>
      <c r="F7825" s="61" t="n">
        <v>1</v>
      </c>
      <c r="G7825" s="62" t="n">
        <v>320.27</v>
      </c>
      <c r="H7825" s="63" t="n">
        <v>0.006</v>
      </c>
      <c r="I7825" s="62" t="n">
        <v>197.69</v>
      </c>
      <c r="J7825" s="58" t="inlineStr">
        <is>
          <t>Store</t>
        </is>
      </c>
      <c r="K7825" s="62">
        <f>F7825*(G7825-H7825)</f>
        <v/>
      </c>
      <c r="L7825" s="62">
        <f>K7825-(F7825*I7825)</f>
        <v/>
      </c>
      <c r="M7825" s="64">
        <f>L7825/K7825</f>
        <v/>
      </c>
    </row>
    <row r="7826">
      <c r="A7826" s="58" t="inlineStr">
        <is>
          <t>RT20250715-07825</t>
        </is>
      </c>
      <c r="B7826" s="59" t="inlineStr">
        <is>
          <t>2025-07-15</t>
        </is>
      </c>
      <c r="C7826" s="60" t="inlineStr">
        <is>
          <t>Falcon Wearable X-334</t>
        </is>
      </c>
      <c r="D7826" s="58" t="inlineStr">
        <is>
          <t>Electronics</t>
        </is>
      </c>
      <c r="E7826" s="58" t="inlineStr">
        <is>
          <t>North</t>
        </is>
      </c>
      <c r="F7826" s="61" t="n">
        <v>2</v>
      </c>
      <c r="G7826" s="62" t="n">
        <v>1970.24</v>
      </c>
      <c r="H7826" s="63" t="n">
        <v>0.052</v>
      </c>
      <c r="I7826" s="62" t="n">
        <v>1531.75</v>
      </c>
      <c r="J7826" s="58" t="inlineStr">
        <is>
          <t>Store</t>
        </is>
      </c>
      <c r="K7826" s="62">
        <f>F7826*(G7826-H7826)</f>
        <v/>
      </c>
      <c r="L7826" s="62">
        <f>K7826-(F7826*I7826)</f>
        <v/>
      </c>
      <c r="M7826" s="64">
        <f>L7826/K7826</f>
        <v/>
      </c>
    </row>
    <row r="7827">
      <c r="A7827" s="58" t="inlineStr">
        <is>
          <t>RT20250715-07826</t>
        </is>
      </c>
      <c r="B7827" s="59" t="inlineStr">
        <is>
          <t>2025-07-15</t>
        </is>
      </c>
      <c r="C7827" s="60" t="inlineStr">
        <is>
          <t>Polar Haircare Max-614</t>
        </is>
      </c>
      <c r="D7827" s="58" t="inlineStr">
        <is>
          <t>Beauty</t>
        </is>
      </c>
      <c r="E7827" s="58" t="inlineStr">
        <is>
          <t>West</t>
        </is>
      </c>
      <c r="F7827" s="61" t="n">
        <v>2</v>
      </c>
      <c r="G7827" s="62" t="n">
        <v>112.74</v>
      </c>
      <c r="H7827" s="63" t="n">
        <v>0.06</v>
      </c>
      <c r="I7827" s="62" t="n">
        <v>70.08</v>
      </c>
      <c r="J7827" s="58" t="inlineStr">
        <is>
          <t>Online</t>
        </is>
      </c>
      <c r="K7827" s="62">
        <f>F7827*(G7827-H7827)</f>
        <v/>
      </c>
      <c r="L7827" s="62">
        <f>K7827-(F7827*I7827)</f>
        <v/>
      </c>
      <c r="M7827" s="64">
        <f>L7827/K7827</f>
        <v/>
      </c>
    </row>
    <row r="7828">
      <c r="A7828" s="58" t="inlineStr">
        <is>
          <t>RT20250715-07827</t>
        </is>
      </c>
      <c r="B7828" s="59" t="inlineStr">
        <is>
          <t>2025-07-15</t>
        </is>
      </c>
      <c r="C7828" s="60" t="inlineStr">
        <is>
          <t>Polar Decor Plus-505</t>
        </is>
      </c>
      <c r="D7828" s="58" t="inlineStr">
        <is>
          <t>Home</t>
        </is>
      </c>
      <c r="E7828" s="58" t="inlineStr">
        <is>
          <t>East</t>
        </is>
      </c>
      <c r="F7828" s="61" t="n">
        <v>2</v>
      </c>
      <c r="G7828" s="62" t="n">
        <v>299.13</v>
      </c>
      <c r="H7828" s="63" t="n">
        <v>0.114</v>
      </c>
      <c r="I7828" s="62" t="n">
        <v>196.18</v>
      </c>
      <c r="J7828" s="58" t="inlineStr">
        <is>
          <t>Store</t>
        </is>
      </c>
      <c r="K7828" s="62">
        <f>F7828*(G7828-H7828)</f>
        <v/>
      </c>
      <c r="L7828" s="62">
        <f>K7828-(F7828*I7828)</f>
        <v/>
      </c>
      <c r="M7828" s="64">
        <f>L7828/K7828</f>
        <v/>
      </c>
    </row>
    <row r="7829">
      <c r="A7829" s="58" t="inlineStr">
        <is>
          <t>RT20250715-07828</t>
        </is>
      </c>
      <c r="B7829" s="59" t="inlineStr">
        <is>
          <t>2025-07-15</t>
        </is>
      </c>
      <c r="C7829" s="60" t="inlineStr">
        <is>
          <t>Vertex Decor Pro-618</t>
        </is>
      </c>
      <c r="D7829" s="58" t="inlineStr">
        <is>
          <t>Home</t>
        </is>
      </c>
      <c r="E7829" s="58" t="inlineStr">
        <is>
          <t>Central</t>
        </is>
      </c>
      <c r="F7829" s="61" t="n">
        <v>3</v>
      </c>
      <c r="G7829" s="62" t="n">
        <v>576.39</v>
      </c>
      <c r="H7829" s="63" t="n">
        <v>0.026</v>
      </c>
      <c r="I7829" s="62" t="n">
        <v>375.38</v>
      </c>
      <c r="J7829" s="58" t="inlineStr">
        <is>
          <t>Online</t>
        </is>
      </c>
      <c r="K7829" s="62">
        <f>F7829*(G7829-H7829)</f>
        <v/>
      </c>
      <c r="L7829" s="62">
        <f>K7829-(F7829*I7829)</f>
        <v/>
      </c>
      <c r="M7829" s="64">
        <f>L7829/K7829</f>
        <v/>
      </c>
    </row>
    <row r="7830">
      <c r="A7830" s="58" t="inlineStr">
        <is>
          <t>RT20250715-07829</t>
        </is>
      </c>
      <c r="B7830" s="59" t="inlineStr">
        <is>
          <t>2025-07-15</t>
        </is>
      </c>
      <c r="C7830" s="60" t="inlineStr">
        <is>
          <t>Polar Laptop Plus-984</t>
        </is>
      </c>
      <c r="D7830" s="58" t="inlineStr">
        <is>
          <t>Electronics</t>
        </is>
      </c>
      <c r="E7830" s="58" t="inlineStr">
        <is>
          <t>West</t>
        </is>
      </c>
      <c r="F7830" s="61" t="n">
        <v>1</v>
      </c>
      <c r="G7830" s="62" t="n">
        <v>1248.84</v>
      </c>
      <c r="H7830" s="63" t="n">
        <v>0.057</v>
      </c>
      <c r="I7830" s="62" t="n">
        <v>993.4299999999999</v>
      </c>
      <c r="J7830" s="58" t="inlineStr">
        <is>
          <t>Store</t>
        </is>
      </c>
      <c r="K7830" s="62">
        <f>F7830*(G7830-H7830)</f>
        <v/>
      </c>
      <c r="L7830" s="62">
        <f>K7830-(F7830*I7830)</f>
        <v/>
      </c>
      <c r="M7830" s="64">
        <f>L7830/K7830</f>
        <v/>
      </c>
    </row>
    <row r="7831">
      <c r="A7831" s="58" t="inlineStr">
        <is>
          <t>RT20250715-07830</t>
        </is>
      </c>
      <c r="B7831" s="59" t="inlineStr">
        <is>
          <t>2025-07-15</t>
        </is>
      </c>
      <c r="C7831" s="60" t="inlineStr">
        <is>
          <t>Metro Beverage Max-490</t>
        </is>
      </c>
      <c r="D7831" s="58" t="inlineStr">
        <is>
          <t>Grocery</t>
        </is>
      </c>
      <c r="E7831" s="58" t="inlineStr">
        <is>
          <t>Central</t>
        </is>
      </c>
      <c r="F7831" s="61" t="n">
        <v>1</v>
      </c>
      <c r="G7831" s="62" t="n">
        <v>11.65</v>
      </c>
      <c r="H7831" s="63" t="n">
        <v>0.037</v>
      </c>
      <c r="I7831" s="62" t="n">
        <v>8.24</v>
      </c>
      <c r="J7831" s="58" t="inlineStr">
        <is>
          <t>Online</t>
        </is>
      </c>
      <c r="K7831" s="62">
        <f>F7831*(G7831-H7831)</f>
        <v/>
      </c>
      <c r="L7831" s="62">
        <f>K7831-(F7831*I7831)</f>
        <v/>
      </c>
      <c r="M7831" s="64">
        <f>L7831/K7831</f>
        <v/>
      </c>
    </row>
    <row r="7832">
      <c r="A7832" s="58" t="inlineStr">
        <is>
          <t>RT20250715-07831</t>
        </is>
      </c>
      <c r="B7832" s="59" t="inlineStr">
        <is>
          <t>2025-07-15</t>
        </is>
      </c>
      <c r="C7832" s="60" t="inlineStr">
        <is>
          <t>Metro Pantry Max-180</t>
        </is>
      </c>
      <c r="D7832" s="58" t="inlineStr">
        <is>
          <t>Grocery</t>
        </is>
      </c>
      <c r="E7832" s="58" t="inlineStr">
        <is>
          <t>West</t>
        </is>
      </c>
      <c r="F7832" s="61" t="n">
        <v>2</v>
      </c>
      <c r="G7832" s="62" t="n">
        <v>8.52</v>
      </c>
      <c r="H7832" s="63" t="n">
        <v>0.064</v>
      </c>
      <c r="I7832" s="62" t="n">
        <v>6.75</v>
      </c>
      <c r="J7832" s="58" t="inlineStr">
        <is>
          <t>Online</t>
        </is>
      </c>
      <c r="K7832" s="62">
        <f>F7832*(G7832-H7832)</f>
        <v/>
      </c>
      <c r="L7832" s="62">
        <f>K7832-(F7832*I7832)</f>
        <v/>
      </c>
      <c r="M7832" s="64">
        <f>L7832/K7832</f>
        <v/>
      </c>
    </row>
    <row r="7833">
      <c r="A7833" s="58" t="inlineStr">
        <is>
          <t>RT20250715-07832</t>
        </is>
      </c>
      <c r="B7833" s="59" t="inlineStr">
        <is>
          <t>2025-07-15</t>
        </is>
      </c>
      <c r="C7833" s="60" t="inlineStr">
        <is>
          <t>Falcon Household Plus-172</t>
        </is>
      </c>
      <c r="D7833" s="58" t="inlineStr">
        <is>
          <t>Grocery</t>
        </is>
      </c>
      <c r="E7833" s="58" t="inlineStr">
        <is>
          <t>East</t>
        </is>
      </c>
      <c r="F7833" s="61" t="n">
        <v>5</v>
      </c>
      <c r="G7833" s="62" t="n">
        <v>20.25</v>
      </c>
      <c r="H7833" s="63" t="n">
        <v>0.022</v>
      </c>
      <c r="I7833" s="62" t="n">
        <v>16.54</v>
      </c>
      <c r="J7833" s="58" t="inlineStr">
        <is>
          <t>Store</t>
        </is>
      </c>
      <c r="K7833" s="62">
        <f>F7833*(G7833-H7833)</f>
        <v/>
      </c>
      <c r="L7833" s="62">
        <f>K7833-(F7833*I7833)</f>
        <v/>
      </c>
      <c r="M7833" s="64">
        <f>L7833/K7833</f>
        <v/>
      </c>
    </row>
    <row r="7834">
      <c r="A7834" s="58" t="inlineStr">
        <is>
          <t>RT20250715-07833</t>
        </is>
      </c>
      <c r="B7834" s="59" t="inlineStr">
        <is>
          <t>2025-07-15</t>
        </is>
      </c>
      <c r="C7834" s="60" t="inlineStr">
        <is>
          <t>Aurora Furniture X-709</t>
        </is>
      </c>
      <c r="D7834" s="58" t="inlineStr">
        <is>
          <t>Office</t>
        </is>
      </c>
      <c r="E7834" s="58" t="inlineStr">
        <is>
          <t>Central</t>
        </is>
      </c>
      <c r="F7834" s="61" t="n">
        <v>1</v>
      </c>
      <c r="G7834" s="62" t="n">
        <v>429.7</v>
      </c>
      <c r="H7834" s="63" t="n">
        <v>0.1</v>
      </c>
      <c r="I7834" s="62" t="n">
        <v>305.7</v>
      </c>
      <c r="J7834" s="58" t="inlineStr">
        <is>
          <t>Store</t>
        </is>
      </c>
      <c r="K7834" s="62">
        <f>F7834*(G7834-H7834)</f>
        <v/>
      </c>
      <c r="L7834" s="62">
        <f>K7834-(F7834*I7834)</f>
        <v/>
      </c>
      <c r="M7834" s="64">
        <f>L7834/K7834</f>
        <v/>
      </c>
    </row>
    <row r="7835">
      <c r="A7835" s="58" t="inlineStr">
        <is>
          <t>RT20250715-07834</t>
        </is>
      </c>
      <c r="B7835" s="59" t="inlineStr">
        <is>
          <t>2025-07-15</t>
        </is>
      </c>
      <c r="C7835" s="60" t="inlineStr">
        <is>
          <t>Vertex Supplie Pro-786</t>
        </is>
      </c>
      <c r="D7835" s="58" t="inlineStr">
        <is>
          <t>Office</t>
        </is>
      </c>
      <c r="E7835" s="58" t="inlineStr">
        <is>
          <t>Central</t>
        </is>
      </c>
      <c r="F7835" s="61" t="n">
        <v>1</v>
      </c>
      <c r="G7835" s="62" t="n">
        <v>389.08</v>
      </c>
      <c r="H7835" s="63" t="n">
        <v>0.02</v>
      </c>
      <c r="I7835" s="62" t="n">
        <v>288.53</v>
      </c>
      <c r="J7835" s="58" t="inlineStr">
        <is>
          <t>Store</t>
        </is>
      </c>
      <c r="K7835" s="62">
        <f>F7835*(G7835-H7835)</f>
        <v/>
      </c>
      <c r="L7835" s="62">
        <f>K7835-(F7835*I7835)</f>
        <v/>
      </c>
      <c r="M7835" s="64">
        <f>L7835/K7835</f>
        <v/>
      </c>
    </row>
    <row r="7836">
      <c r="A7836" s="58" t="inlineStr">
        <is>
          <t>RT20250715-07835</t>
        </is>
      </c>
      <c r="B7836" s="59" t="inlineStr">
        <is>
          <t>2025-07-15</t>
        </is>
      </c>
      <c r="C7836" s="60" t="inlineStr">
        <is>
          <t>Vertex Pantry Pro-165</t>
        </is>
      </c>
      <c r="D7836" s="58" t="inlineStr">
        <is>
          <t>Grocery</t>
        </is>
      </c>
      <c r="E7836" s="58" t="inlineStr">
        <is>
          <t>East</t>
        </is>
      </c>
      <c r="F7836" s="61" t="n">
        <v>2</v>
      </c>
      <c r="G7836" s="62" t="n">
        <v>17.04</v>
      </c>
      <c r="H7836" s="63" t="n">
        <v>0.093</v>
      </c>
      <c r="I7836" s="62" t="n">
        <v>11.98</v>
      </c>
      <c r="J7836" s="58" t="inlineStr">
        <is>
          <t>Store</t>
        </is>
      </c>
      <c r="K7836" s="62">
        <f>F7836*(G7836-H7836)</f>
        <v/>
      </c>
      <c r="L7836" s="62">
        <f>K7836-(F7836*I7836)</f>
        <v/>
      </c>
      <c r="M7836" s="64">
        <f>L7836/K7836</f>
        <v/>
      </c>
    </row>
    <row r="7837">
      <c r="A7837" s="58" t="inlineStr">
        <is>
          <t>RT20250715-07836</t>
        </is>
      </c>
      <c r="B7837" s="59" t="inlineStr">
        <is>
          <t>2025-07-15</t>
        </is>
      </c>
      <c r="C7837" s="60" t="inlineStr">
        <is>
          <t>Solace Kitchen X-919</t>
        </is>
      </c>
      <c r="D7837" s="58" t="inlineStr">
        <is>
          <t>Home</t>
        </is>
      </c>
      <c r="E7837" s="58" t="inlineStr">
        <is>
          <t>South</t>
        </is>
      </c>
      <c r="F7837" s="61" t="n">
        <v>2</v>
      </c>
      <c r="G7837" s="62" t="n">
        <v>400.23</v>
      </c>
      <c r="H7837" s="63" t="n">
        <v>0.074</v>
      </c>
      <c r="I7837" s="62" t="n">
        <v>259.34</v>
      </c>
      <c r="J7837" s="58" t="inlineStr">
        <is>
          <t>Store</t>
        </is>
      </c>
      <c r="K7837" s="62">
        <f>F7837*(G7837-H7837)</f>
        <v/>
      </c>
      <c r="L7837" s="62">
        <f>K7837-(F7837*I7837)</f>
        <v/>
      </c>
      <c r="M7837" s="64">
        <f>L7837/K7837</f>
        <v/>
      </c>
    </row>
    <row r="7838">
      <c r="A7838" s="58" t="inlineStr">
        <is>
          <t>RT20250715-07837</t>
        </is>
      </c>
      <c r="B7838" s="59" t="inlineStr">
        <is>
          <t>2025-07-15</t>
        </is>
      </c>
      <c r="C7838" s="60" t="inlineStr">
        <is>
          <t>Vertex Supplie Pro-786</t>
        </is>
      </c>
      <c r="D7838" s="58" t="inlineStr">
        <is>
          <t>Office</t>
        </is>
      </c>
      <c r="E7838" s="58" t="inlineStr">
        <is>
          <t>North</t>
        </is>
      </c>
      <c r="F7838" s="61" t="n">
        <v>2</v>
      </c>
      <c r="G7838" s="62" t="n">
        <v>411.09</v>
      </c>
      <c r="H7838" s="63" t="n">
        <v>0.023</v>
      </c>
      <c r="I7838" s="62" t="n">
        <v>301</v>
      </c>
      <c r="J7838" s="58" t="inlineStr">
        <is>
          <t>Online</t>
        </is>
      </c>
      <c r="K7838" s="62">
        <f>F7838*(G7838-H7838)</f>
        <v/>
      </c>
      <c r="L7838" s="62">
        <f>K7838-(F7838*I7838)</f>
        <v/>
      </c>
      <c r="M7838" s="64">
        <f>L7838/K7838</f>
        <v/>
      </c>
    </row>
    <row r="7839">
      <c r="A7839" s="58" t="inlineStr">
        <is>
          <t>RT20250715-07838</t>
        </is>
      </c>
      <c r="B7839" s="59" t="inlineStr">
        <is>
          <t>2025-07-15</t>
        </is>
      </c>
      <c r="C7839" s="60" t="inlineStr">
        <is>
          <t>Vertex Fitnes Pro-830</t>
        </is>
      </c>
      <c r="D7839" s="58" t="inlineStr">
        <is>
          <t>Sports</t>
        </is>
      </c>
      <c r="E7839" s="58" t="inlineStr">
        <is>
          <t>Central</t>
        </is>
      </c>
      <c r="F7839" s="61" t="n">
        <v>1</v>
      </c>
      <c r="G7839" s="62" t="n">
        <v>697.16</v>
      </c>
      <c r="H7839" s="63" t="n">
        <v>0.012</v>
      </c>
      <c r="I7839" s="62" t="n">
        <v>474.71</v>
      </c>
      <c r="J7839" s="58" t="inlineStr">
        <is>
          <t>Online</t>
        </is>
      </c>
      <c r="K7839" s="62">
        <f>F7839*(G7839-H7839)</f>
        <v/>
      </c>
      <c r="L7839" s="62">
        <f>K7839-(F7839*I7839)</f>
        <v/>
      </c>
      <c r="M7839" s="64">
        <f>L7839/K7839</f>
        <v/>
      </c>
    </row>
    <row r="7840">
      <c r="A7840" s="58" t="inlineStr">
        <is>
          <t>RT20250715-07839</t>
        </is>
      </c>
      <c r="B7840" s="59" t="inlineStr">
        <is>
          <t>2025-07-15</t>
        </is>
      </c>
      <c r="C7840" s="60" t="inlineStr">
        <is>
          <t>Polar Decor Plus-505</t>
        </is>
      </c>
      <c r="D7840" s="58" t="inlineStr">
        <is>
          <t>Home</t>
        </is>
      </c>
      <c r="E7840" s="58" t="inlineStr">
        <is>
          <t>East</t>
        </is>
      </c>
      <c r="F7840" s="61" t="n">
        <v>1</v>
      </c>
      <c r="G7840" s="62" t="n">
        <v>309.52</v>
      </c>
      <c r="H7840" s="63" t="n">
        <v>0.05</v>
      </c>
      <c r="I7840" s="62" t="n">
        <v>199.14</v>
      </c>
      <c r="J7840" s="58" t="inlineStr">
        <is>
          <t>Online</t>
        </is>
      </c>
      <c r="K7840" s="62">
        <f>F7840*(G7840-H7840)</f>
        <v/>
      </c>
      <c r="L7840" s="62">
        <f>K7840-(F7840*I7840)</f>
        <v/>
      </c>
      <c r="M7840" s="64">
        <f>L7840/K7840</f>
        <v/>
      </c>
    </row>
    <row r="7841">
      <c r="A7841" s="58" t="inlineStr">
        <is>
          <t>RT20250715-07840</t>
        </is>
      </c>
      <c r="B7841" s="59" t="inlineStr">
        <is>
          <t>2025-07-15</t>
        </is>
      </c>
      <c r="C7841" s="60" t="inlineStr">
        <is>
          <t>Falcon Team Sport Lite-268</t>
        </is>
      </c>
      <c r="D7841" s="58" t="inlineStr">
        <is>
          <t>Sports</t>
        </is>
      </c>
      <c r="E7841" s="58" t="inlineStr">
        <is>
          <t>Central</t>
        </is>
      </c>
      <c r="F7841" s="61" t="n">
        <v>1</v>
      </c>
      <c r="G7841" s="62" t="n">
        <v>650.03</v>
      </c>
      <c r="H7841" s="63" t="n">
        <v>0.123</v>
      </c>
      <c r="I7841" s="62" t="n">
        <v>439.2</v>
      </c>
      <c r="J7841" s="58" t="inlineStr">
        <is>
          <t>Online</t>
        </is>
      </c>
      <c r="K7841" s="62">
        <f>F7841*(G7841-H7841)</f>
        <v/>
      </c>
      <c r="L7841" s="62">
        <f>K7841-(F7841*I7841)</f>
        <v/>
      </c>
      <c r="M7841" s="64">
        <f>L7841/K7841</f>
        <v/>
      </c>
    </row>
    <row r="7842">
      <c r="A7842" s="58" t="inlineStr">
        <is>
          <t>RT20250715-07841</t>
        </is>
      </c>
      <c r="B7842" s="59" t="inlineStr">
        <is>
          <t>2025-07-15</t>
        </is>
      </c>
      <c r="C7842" s="60" t="inlineStr">
        <is>
          <t>Vertex Headphone Pro-801</t>
        </is>
      </c>
      <c r="D7842" s="58" t="inlineStr">
        <is>
          <t>Electronics</t>
        </is>
      </c>
      <c r="E7842" s="58" t="inlineStr">
        <is>
          <t>West</t>
        </is>
      </c>
      <c r="F7842" s="61" t="n">
        <v>2</v>
      </c>
      <c r="G7842" s="62" t="n">
        <v>1182.32</v>
      </c>
      <c r="H7842" s="63" t="n">
        <v>0.097</v>
      </c>
      <c r="I7842" s="62" t="n">
        <v>991.4299999999999</v>
      </c>
      <c r="J7842" s="58" t="inlineStr">
        <is>
          <t>Online</t>
        </is>
      </c>
      <c r="K7842" s="62">
        <f>F7842*(G7842-H7842)</f>
        <v/>
      </c>
      <c r="L7842" s="62">
        <f>K7842-(F7842*I7842)</f>
        <v/>
      </c>
      <c r="M7842" s="64">
        <f>L7842/K7842</f>
        <v/>
      </c>
    </row>
    <row r="7843">
      <c r="A7843" s="58" t="inlineStr">
        <is>
          <t>RT20250715-07842</t>
        </is>
      </c>
      <c r="B7843" s="59" t="inlineStr">
        <is>
          <t>2025-07-15</t>
        </is>
      </c>
      <c r="C7843" s="60" t="inlineStr">
        <is>
          <t>Aurora Printer Plus-723</t>
        </is>
      </c>
      <c r="D7843" s="58" t="inlineStr">
        <is>
          <t>Office</t>
        </is>
      </c>
      <c r="E7843" s="58" t="inlineStr">
        <is>
          <t>East</t>
        </is>
      </c>
      <c r="F7843" s="61" t="n">
        <v>2</v>
      </c>
      <c r="G7843" s="62" t="n">
        <v>235.22</v>
      </c>
      <c r="H7843" s="63" t="n">
        <v>0.029</v>
      </c>
      <c r="I7843" s="62" t="n">
        <v>186.57</v>
      </c>
      <c r="J7843" s="58" t="inlineStr">
        <is>
          <t>Online</t>
        </is>
      </c>
      <c r="K7843" s="62">
        <f>F7843*(G7843-H7843)</f>
        <v/>
      </c>
      <c r="L7843" s="62">
        <f>K7843-(F7843*I7843)</f>
        <v/>
      </c>
      <c r="M7843" s="64">
        <f>L7843/K7843</f>
        <v/>
      </c>
    </row>
    <row r="7844">
      <c r="A7844" s="58" t="inlineStr">
        <is>
          <t>RT20250715-07843</t>
        </is>
      </c>
      <c r="B7844" s="59" t="inlineStr">
        <is>
          <t>2025-07-15</t>
        </is>
      </c>
      <c r="C7844" s="60" t="inlineStr">
        <is>
          <t>Aurora Bedding Max-175</t>
        </is>
      </c>
      <c r="D7844" s="58" t="inlineStr">
        <is>
          <t>Home</t>
        </is>
      </c>
      <c r="E7844" s="58" t="inlineStr">
        <is>
          <t>Central</t>
        </is>
      </c>
      <c r="F7844" s="61" t="n">
        <v>2</v>
      </c>
      <c r="G7844" s="62" t="n">
        <v>613.8099999999999</v>
      </c>
      <c r="H7844" s="63" t="n">
        <v>0.013</v>
      </c>
      <c r="I7844" s="62" t="n">
        <v>413.43</v>
      </c>
      <c r="J7844" s="58" t="inlineStr">
        <is>
          <t>Online</t>
        </is>
      </c>
      <c r="K7844" s="62">
        <f>F7844*(G7844-H7844)</f>
        <v/>
      </c>
      <c r="L7844" s="62">
        <f>K7844-(F7844*I7844)</f>
        <v/>
      </c>
      <c r="M7844" s="64">
        <f>L7844/K7844</f>
        <v/>
      </c>
    </row>
    <row r="7845">
      <c r="A7845" s="58" t="inlineStr">
        <is>
          <t>RT20250715-07844</t>
        </is>
      </c>
      <c r="B7845" s="59" t="inlineStr">
        <is>
          <t>2025-07-15</t>
        </is>
      </c>
      <c r="C7845" s="60" t="inlineStr">
        <is>
          <t>Vertex Printer Max-692</t>
        </is>
      </c>
      <c r="D7845" s="58" t="inlineStr">
        <is>
          <t>Office</t>
        </is>
      </c>
      <c r="E7845" s="58" t="inlineStr">
        <is>
          <t>East</t>
        </is>
      </c>
      <c r="F7845" s="61" t="n">
        <v>3</v>
      </c>
      <c r="G7845" s="62" t="n">
        <v>163.3</v>
      </c>
      <c r="H7845" s="63" t="n">
        <v>0.073</v>
      </c>
      <c r="I7845" s="62" t="n">
        <v>125.64</v>
      </c>
      <c r="J7845" s="58" t="inlineStr">
        <is>
          <t>Phone</t>
        </is>
      </c>
      <c r="K7845" s="62">
        <f>F7845*(G7845-H7845)</f>
        <v/>
      </c>
      <c r="L7845" s="62">
        <f>K7845-(F7845*I7845)</f>
        <v/>
      </c>
      <c r="M7845" s="64">
        <f>L7845/K7845</f>
        <v/>
      </c>
    </row>
    <row r="7846">
      <c r="A7846" s="58" t="inlineStr">
        <is>
          <t>RT20250715-07845</t>
        </is>
      </c>
      <c r="B7846" s="59" t="inlineStr">
        <is>
          <t>2025-07-15</t>
        </is>
      </c>
      <c r="C7846" s="60" t="inlineStr">
        <is>
          <t>Falcon Furniture Plus-839</t>
        </is>
      </c>
      <c r="D7846" s="58" t="inlineStr">
        <is>
          <t>Office</t>
        </is>
      </c>
      <c r="E7846" s="58" t="inlineStr">
        <is>
          <t>West</t>
        </is>
      </c>
      <c r="F7846" s="61" t="n">
        <v>3</v>
      </c>
      <c r="G7846" s="62" t="n">
        <v>293.52</v>
      </c>
      <c r="H7846" s="63" t="n">
        <v>0.012</v>
      </c>
      <c r="I7846" s="62" t="n">
        <v>232.08</v>
      </c>
      <c r="J7846" s="58" t="inlineStr">
        <is>
          <t>Store</t>
        </is>
      </c>
      <c r="K7846" s="62">
        <f>F7846*(G7846-H7846)</f>
        <v/>
      </c>
      <c r="L7846" s="62">
        <f>K7846-(F7846*I7846)</f>
        <v/>
      </c>
      <c r="M7846" s="64">
        <f>L7846/K7846</f>
        <v/>
      </c>
    </row>
    <row r="7847">
      <c r="A7847" s="58" t="inlineStr">
        <is>
          <t>RT20250715-07846</t>
        </is>
      </c>
      <c r="B7847" s="59" t="inlineStr">
        <is>
          <t>2025-07-15</t>
        </is>
      </c>
      <c r="C7847" s="60" t="inlineStr">
        <is>
          <t>Vertex Men X-995</t>
        </is>
      </c>
      <c r="D7847" s="58" t="inlineStr">
        <is>
          <t>Apparel</t>
        </is>
      </c>
      <c r="E7847" s="58" t="inlineStr">
        <is>
          <t>South</t>
        </is>
      </c>
      <c r="F7847" s="61" t="n">
        <v>1</v>
      </c>
      <c r="G7847" s="62" t="n">
        <v>97.16</v>
      </c>
      <c r="H7847" s="63" t="n">
        <v>0.05</v>
      </c>
      <c r="I7847" s="62" t="n">
        <v>56.21</v>
      </c>
      <c r="J7847" s="58" t="inlineStr">
        <is>
          <t>Online</t>
        </is>
      </c>
      <c r="K7847" s="62">
        <f>F7847*(G7847-H7847)</f>
        <v/>
      </c>
      <c r="L7847" s="62">
        <f>K7847-(F7847*I7847)</f>
        <v/>
      </c>
      <c r="M7847" s="64">
        <f>L7847/K7847</f>
        <v/>
      </c>
    </row>
    <row r="7848">
      <c r="A7848" s="58" t="inlineStr">
        <is>
          <t>RT20250715-07847</t>
        </is>
      </c>
      <c r="B7848" s="59" t="inlineStr">
        <is>
          <t>2025-07-15</t>
        </is>
      </c>
      <c r="C7848" s="60" t="inlineStr">
        <is>
          <t>Polar Cycling S-223</t>
        </is>
      </c>
      <c r="D7848" s="58" t="inlineStr">
        <is>
          <t>Sports</t>
        </is>
      </c>
      <c r="E7848" s="58" t="inlineStr">
        <is>
          <t>Central</t>
        </is>
      </c>
      <c r="F7848" s="61" t="n">
        <v>1</v>
      </c>
      <c r="G7848" s="62" t="n">
        <v>847.5700000000001</v>
      </c>
      <c r="H7848" s="63" t="n">
        <v>0.021</v>
      </c>
      <c r="I7848" s="62" t="n">
        <v>612.49</v>
      </c>
      <c r="J7848" s="58" t="inlineStr">
        <is>
          <t>Online</t>
        </is>
      </c>
      <c r="K7848" s="62">
        <f>F7848*(G7848-H7848)</f>
        <v/>
      </c>
      <c r="L7848" s="62">
        <f>K7848-(F7848*I7848)</f>
        <v/>
      </c>
      <c r="M7848" s="64">
        <f>L7848/K7848</f>
        <v/>
      </c>
    </row>
    <row r="7849">
      <c r="A7849" s="58" t="inlineStr">
        <is>
          <t>RT20250715-07848</t>
        </is>
      </c>
      <c r="B7849" s="59" t="inlineStr">
        <is>
          <t>2025-07-15</t>
        </is>
      </c>
      <c r="C7849" s="60" t="inlineStr">
        <is>
          <t>Metro Outdoor Plus-787</t>
        </is>
      </c>
      <c r="D7849" s="58" t="inlineStr">
        <is>
          <t>Sports</t>
        </is>
      </c>
      <c r="E7849" s="58" t="inlineStr">
        <is>
          <t>Central</t>
        </is>
      </c>
      <c r="F7849" s="61" t="n">
        <v>2</v>
      </c>
      <c r="G7849" s="62" t="n">
        <v>610.92</v>
      </c>
      <c r="H7849" s="63" t="n">
        <v>0.105</v>
      </c>
      <c r="I7849" s="62" t="n">
        <v>345.48</v>
      </c>
      <c r="J7849" s="58" t="inlineStr">
        <is>
          <t>Store</t>
        </is>
      </c>
      <c r="K7849" s="62">
        <f>F7849*(G7849-H7849)</f>
        <v/>
      </c>
      <c r="L7849" s="62">
        <f>K7849-(F7849*I7849)</f>
        <v/>
      </c>
      <c r="M7849" s="64">
        <f>L7849/K7849</f>
        <v/>
      </c>
    </row>
    <row r="7850">
      <c r="A7850" s="58" t="inlineStr">
        <is>
          <t>RT20250715-07849</t>
        </is>
      </c>
      <c r="B7850" s="59" t="inlineStr">
        <is>
          <t>2025-07-15</t>
        </is>
      </c>
      <c r="C7850" s="60" t="inlineStr">
        <is>
          <t>Vertex Supplie X-513</t>
        </is>
      </c>
      <c r="D7850" s="58" t="inlineStr">
        <is>
          <t>Office</t>
        </is>
      </c>
      <c r="E7850" s="58" t="inlineStr">
        <is>
          <t>North</t>
        </is>
      </c>
      <c r="F7850" s="61" t="n">
        <v>1</v>
      </c>
      <c r="G7850" s="62" t="n">
        <v>380.68</v>
      </c>
      <c r="H7850" s="63" t="n">
        <v>0.058</v>
      </c>
      <c r="I7850" s="62" t="n">
        <v>273.38</v>
      </c>
      <c r="J7850" s="58" t="inlineStr">
        <is>
          <t>Online</t>
        </is>
      </c>
      <c r="K7850" s="62">
        <f>F7850*(G7850-H7850)</f>
        <v/>
      </c>
      <c r="L7850" s="62">
        <f>K7850-(F7850*I7850)</f>
        <v/>
      </c>
      <c r="M7850" s="64">
        <f>L7850/K7850</f>
        <v/>
      </c>
    </row>
    <row r="7851">
      <c r="A7851" s="58" t="inlineStr">
        <is>
          <t>RT20250715-07850</t>
        </is>
      </c>
      <c r="B7851" s="59" t="inlineStr">
        <is>
          <t>2025-07-15</t>
        </is>
      </c>
      <c r="C7851" s="60" t="inlineStr">
        <is>
          <t>Aurora Fitnes Lite-194</t>
        </is>
      </c>
      <c r="D7851" s="58" t="inlineStr">
        <is>
          <t>Sports</t>
        </is>
      </c>
      <c r="E7851" s="58" t="inlineStr">
        <is>
          <t>Central</t>
        </is>
      </c>
      <c r="F7851" s="61" t="n">
        <v>2</v>
      </c>
      <c r="G7851" s="62" t="n">
        <v>699.15</v>
      </c>
      <c r="H7851" s="63" t="n">
        <v>0.096</v>
      </c>
      <c r="I7851" s="62" t="n">
        <v>469.62</v>
      </c>
      <c r="J7851" s="58" t="inlineStr">
        <is>
          <t>Online</t>
        </is>
      </c>
      <c r="K7851" s="62">
        <f>F7851*(G7851-H7851)</f>
        <v/>
      </c>
      <c r="L7851" s="62">
        <f>K7851-(F7851*I7851)</f>
        <v/>
      </c>
      <c r="M7851" s="64">
        <f>L7851/K7851</f>
        <v/>
      </c>
    </row>
    <row r="7852">
      <c r="A7852" s="58" t="inlineStr">
        <is>
          <t>RT20250715-07851</t>
        </is>
      </c>
      <c r="B7852" s="59" t="inlineStr">
        <is>
          <t>2025-07-15</t>
        </is>
      </c>
      <c r="C7852" s="60" t="inlineStr">
        <is>
          <t>Polar Supplie Lite-348</t>
        </is>
      </c>
      <c r="D7852" s="58" t="inlineStr">
        <is>
          <t>Office</t>
        </is>
      </c>
      <c r="E7852" s="58" t="inlineStr">
        <is>
          <t>Central</t>
        </is>
      </c>
      <c r="F7852" s="61" t="n">
        <v>3</v>
      </c>
      <c r="G7852" s="62" t="n">
        <v>440.21</v>
      </c>
      <c r="H7852" s="63" t="n">
        <v>0.058</v>
      </c>
      <c r="I7852" s="62" t="n">
        <v>313.79</v>
      </c>
      <c r="J7852" s="58" t="inlineStr">
        <is>
          <t>Store</t>
        </is>
      </c>
      <c r="K7852" s="62">
        <f>F7852*(G7852-H7852)</f>
        <v/>
      </c>
      <c r="L7852" s="62">
        <f>K7852-(F7852*I7852)</f>
        <v/>
      </c>
      <c r="M7852" s="64">
        <f>L7852/K7852</f>
        <v/>
      </c>
    </row>
    <row r="7853">
      <c r="A7853" s="58" t="inlineStr">
        <is>
          <t>RT20250715-07852</t>
        </is>
      </c>
      <c r="B7853" s="59" t="inlineStr">
        <is>
          <t>2025-07-15</t>
        </is>
      </c>
      <c r="C7853" s="60" t="inlineStr">
        <is>
          <t>Falcon Skincare Max-151</t>
        </is>
      </c>
      <c r="D7853" s="58" t="inlineStr">
        <is>
          <t>Beauty</t>
        </is>
      </c>
      <c r="E7853" s="58" t="inlineStr">
        <is>
          <t>South</t>
        </is>
      </c>
      <c r="F7853" s="61" t="n">
        <v>2</v>
      </c>
      <c r="G7853" s="62" t="n">
        <v>96.02</v>
      </c>
      <c r="H7853" s="63" t="n">
        <v>0.026</v>
      </c>
      <c r="I7853" s="62" t="n">
        <v>58.19</v>
      </c>
      <c r="J7853" s="58" t="inlineStr">
        <is>
          <t>Online</t>
        </is>
      </c>
      <c r="K7853" s="62">
        <f>F7853*(G7853-H7853)</f>
        <v/>
      </c>
      <c r="L7853" s="62">
        <f>K7853-(F7853*I7853)</f>
        <v/>
      </c>
      <c r="M7853" s="64">
        <f>L7853/K7853</f>
        <v/>
      </c>
    </row>
    <row r="7854">
      <c r="A7854" s="58" t="inlineStr">
        <is>
          <t>RT20250715-07853</t>
        </is>
      </c>
      <c r="B7854" s="59" t="inlineStr">
        <is>
          <t>2025-07-15</t>
        </is>
      </c>
      <c r="C7854" s="60" t="inlineStr">
        <is>
          <t>Aurora Bedding Max-175</t>
        </is>
      </c>
      <c r="D7854" s="58" t="inlineStr">
        <is>
          <t>Home</t>
        </is>
      </c>
      <c r="E7854" s="58" t="inlineStr">
        <is>
          <t>East</t>
        </is>
      </c>
      <c r="F7854" s="61" t="n">
        <v>3</v>
      </c>
      <c r="G7854" s="62" t="n">
        <v>549.16</v>
      </c>
      <c r="H7854" s="63" t="n">
        <v>0.062</v>
      </c>
      <c r="I7854" s="62" t="n">
        <v>405.58</v>
      </c>
      <c r="J7854" s="58" t="inlineStr">
        <is>
          <t>Online</t>
        </is>
      </c>
      <c r="K7854" s="62">
        <f>F7854*(G7854-H7854)</f>
        <v/>
      </c>
      <c r="L7854" s="62">
        <f>K7854-(F7854*I7854)</f>
        <v/>
      </c>
      <c r="M7854" s="64">
        <f>L7854/K7854</f>
        <v/>
      </c>
    </row>
    <row r="7855">
      <c r="A7855" s="58" t="inlineStr">
        <is>
          <t>RT20250715-07854</t>
        </is>
      </c>
      <c r="B7855" s="59" t="inlineStr">
        <is>
          <t>2025-07-15</t>
        </is>
      </c>
      <c r="C7855" s="60" t="inlineStr">
        <is>
          <t>Orion Supplie S-612</t>
        </is>
      </c>
      <c r="D7855" s="58" t="inlineStr">
        <is>
          <t>Office</t>
        </is>
      </c>
      <c r="E7855" s="58" t="inlineStr">
        <is>
          <t>South</t>
        </is>
      </c>
      <c r="F7855" s="61" t="n">
        <v>3</v>
      </c>
      <c r="G7855" s="62" t="n">
        <v>536.5599999999999</v>
      </c>
      <c r="H7855" s="63" t="n">
        <v>0</v>
      </c>
      <c r="I7855" s="62" t="n">
        <v>343.85</v>
      </c>
      <c r="J7855" s="58" t="inlineStr">
        <is>
          <t>Store</t>
        </is>
      </c>
      <c r="K7855" s="62">
        <f>F7855*(G7855-H7855)</f>
        <v/>
      </c>
      <c r="L7855" s="62">
        <f>K7855-(F7855*I7855)</f>
        <v/>
      </c>
      <c r="M7855" s="64">
        <f>L7855/K7855</f>
        <v/>
      </c>
    </row>
    <row r="7856">
      <c r="A7856" s="58" t="inlineStr">
        <is>
          <t>RT20250715-07855</t>
        </is>
      </c>
      <c r="B7856" s="59" t="inlineStr">
        <is>
          <t>2025-07-15</t>
        </is>
      </c>
      <c r="C7856" s="60" t="inlineStr">
        <is>
          <t>Nimbus Storage Plus-646</t>
        </is>
      </c>
      <c r="D7856" s="58" t="inlineStr">
        <is>
          <t>Office</t>
        </is>
      </c>
      <c r="E7856" s="58" t="inlineStr">
        <is>
          <t>West</t>
        </is>
      </c>
      <c r="F7856" s="61" t="n">
        <v>1</v>
      </c>
      <c r="G7856" s="62" t="n">
        <v>499.33</v>
      </c>
      <c r="H7856" s="63" t="n">
        <v>0.038</v>
      </c>
      <c r="I7856" s="62" t="n">
        <v>313.5</v>
      </c>
      <c r="J7856" s="58" t="inlineStr">
        <is>
          <t>Store</t>
        </is>
      </c>
      <c r="K7856" s="62">
        <f>F7856*(G7856-H7856)</f>
        <v/>
      </c>
      <c r="L7856" s="62">
        <f>K7856-(F7856*I7856)</f>
        <v/>
      </c>
      <c r="M7856" s="64">
        <f>L7856/K7856</f>
        <v/>
      </c>
    </row>
    <row r="7857">
      <c r="A7857" s="58" t="inlineStr">
        <is>
          <t>RT20250715-07856</t>
        </is>
      </c>
      <c r="B7857" s="59" t="inlineStr">
        <is>
          <t>2025-07-15</t>
        </is>
      </c>
      <c r="C7857" s="60" t="inlineStr">
        <is>
          <t>Solace Headphone Pro-344</t>
        </is>
      </c>
      <c r="D7857" s="58" t="inlineStr">
        <is>
          <t>Electronics</t>
        </is>
      </c>
      <c r="E7857" s="58" t="inlineStr">
        <is>
          <t>West</t>
        </is>
      </c>
      <c r="F7857" s="61" t="n">
        <v>2</v>
      </c>
      <c r="G7857" s="62" t="n">
        <v>1256.62</v>
      </c>
      <c r="H7857" s="63" t="n">
        <v>0.091</v>
      </c>
      <c r="I7857" s="62" t="n">
        <v>1051.23</v>
      </c>
      <c r="J7857" s="58" t="inlineStr">
        <is>
          <t>Store</t>
        </is>
      </c>
      <c r="K7857" s="62">
        <f>F7857*(G7857-H7857)</f>
        <v/>
      </c>
      <c r="L7857" s="62">
        <f>K7857-(F7857*I7857)</f>
        <v/>
      </c>
      <c r="M7857" s="64">
        <f>L7857/K7857</f>
        <v/>
      </c>
    </row>
    <row r="7858">
      <c r="A7858" s="58" t="inlineStr">
        <is>
          <t>RT20250715-07857</t>
        </is>
      </c>
      <c r="B7858" s="59" t="inlineStr">
        <is>
          <t>2025-07-15</t>
        </is>
      </c>
      <c r="C7858" s="60" t="inlineStr">
        <is>
          <t>Nimbus Men Plus-231</t>
        </is>
      </c>
      <c r="D7858" s="58" t="inlineStr">
        <is>
          <t>Apparel</t>
        </is>
      </c>
      <c r="E7858" s="58" t="inlineStr">
        <is>
          <t>East</t>
        </is>
      </c>
      <c r="F7858" s="61" t="n">
        <v>3</v>
      </c>
      <c r="G7858" s="62" t="n">
        <v>161.88</v>
      </c>
      <c r="H7858" s="63" t="n">
        <v>0.037</v>
      </c>
      <c r="I7858" s="62" t="n">
        <v>90.95</v>
      </c>
      <c r="J7858" s="58" t="inlineStr">
        <is>
          <t>Online</t>
        </is>
      </c>
      <c r="K7858" s="62">
        <f>F7858*(G7858-H7858)</f>
        <v/>
      </c>
      <c r="L7858" s="62">
        <f>K7858-(F7858*I7858)</f>
        <v/>
      </c>
      <c r="M7858" s="64">
        <f>L7858/K7858</f>
        <v/>
      </c>
    </row>
    <row r="7859">
      <c r="A7859" s="58" t="inlineStr">
        <is>
          <t>RT20250715-07858</t>
        </is>
      </c>
      <c r="B7859" s="59" t="inlineStr">
        <is>
          <t>2025-07-15</t>
        </is>
      </c>
      <c r="C7859" s="60" t="inlineStr">
        <is>
          <t>Orion Snack X-322</t>
        </is>
      </c>
      <c r="D7859" s="58" t="inlineStr">
        <is>
          <t>Grocery</t>
        </is>
      </c>
      <c r="E7859" s="58" t="inlineStr">
        <is>
          <t>East</t>
        </is>
      </c>
      <c r="F7859" s="61" t="n">
        <v>6</v>
      </c>
      <c r="G7859" s="62" t="n">
        <v>14.7</v>
      </c>
      <c r="H7859" s="63" t="n">
        <v>0.082</v>
      </c>
      <c r="I7859" s="62" t="n">
        <v>9.960000000000001</v>
      </c>
      <c r="J7859" s="58" t="inlineStr">
        <is>
          <t>Store</t>
        </is>
      </c>
      <c r="K7859" s="62">
        <f>F7859*(G7859-H7859)</f>
        <v/>
      </c>
      <c r="L7859" s="62">
        <f>K7859-(F7859*I7859)</f>
        <v/>
      </c>
      <c r="M7859" s="64">
        <f>L7859/K7859</f>
        <v/>
      </c>
    </row>
    <row r="7860">
      <c r="A7860" s="58" t="inlineStr">
        <is>
          <t>RT20250715-07859</t>
        </is>
      </c>
      <c r="B7860" s="59" t="inlineStr">
        <is>
          <t>2025-07-15</t>
        </is>
      </c>
      <c r="C7860" s="60" t="inlineStr">
        <is>
          <t>Nimbus Makeup Max-158</t>
        </is>
      </c>
      <c r="D7860" s="58" t="inlineStr">
        <is>
          <t>Beauty</t>
        </is>
      </c>
      <c r="E7860" s="58" t="inlineStr">
        <is>
          <t>Central</t>
        </is>
      </c>
      <c r="F7860" s="61" t="n">
        <v>1</v>
      </c>
      <c r="G7860" s="62" t="n">
        <v>164.49</v>
      </c>
      <c r="H7860" s="63" t="n">
        <v>0.08</v>
      </c>
      <c r="I7860" s="62" t="n">
        <v>93.61</v>
      </c>
      <c r="J7860" s="58" t="inlineStr">
        <is>
          <t>Store</t>
        </is>
      </c>
      <c r="K7860" s="62">
        <f>F7860*(G7860-H7860)</f>
        <v/>
      </c>
      <c r="L7860" s="62">
        <f>K7860-(F7860*I7860)</f>
        <v/>
      </c>
      <c r="M7860" s="64">
        <f>L7860/K7860</f>
        <v/>
      </c>
    </row>
    <row r="7861">
      <c r="A7861" s="58" t="inlineStr">
        <is>
          <t>RT20250715-07860</t>
        </is>
      </c>
      <c r="B7861" s="59" t="inlineStr">
        <is>
          <t>2025-07-15</t>
        </is>
      </c>
      <c r="C7861" s="60" t="inlineStr">
        <is>
          <t>Orion Fragrance Lite-785</t>
        </is>
      </c>
      <c r="D7861" s="58" t="inlineStr">
        <is>
          <t>Beauty</t>
        </is>
      </c>
      <c r="E7861" s="58" t="inlineStr">
        <is>
          <t>North</t>
        </is>
      </c>
      <c r="F7861" s="61" t="n">
        <v>3</v>
      </c>
      <c r="G7861" s="62" t="n">
        <v>40.39</v>
      </c>
      <c r="H7861" s="63" t="n">
        <v>0.066</v>
      </c>
      <c r="I7861" s="62" t="n">
        <v>26.57</v>
      </c>
      <c r="J7861" s="58" t="inlineStr">
        <is>
          <t>Online</t>
        </is>
      </c>
      <c r="K7861" s="62">
        <f>F7861*(G7861-H7861)</f>
        <v/>
      </c>
      <c r="L7861" s="62">
        <f>K7861-(F7861*I7861)</f>
        <v/>
      </c>
      <c r="M7861" s="64">
        <f>L7861/K7861</f>
        <v/>
      </c>
    </row>
    <row r="7862">
      <c r="A7862" s="58" t="inlineStr">
        <is>
          <t>RT20250715-07861</t>
        </is>
      </c>
      <c r="B7862" s="59" t="inlineStr">
        <is>
          <t>2025-07-15</t>
        </is>
      </c>
      <c r="C7862" s="60" t="inlineStr">
        <is>
          <t>Polar Fragrance Pro-750</t>
        </is>
      </c>
      <c r="D7862" s="58" t="inlineStr">
        <is>
          <t>Beauty</t>
        </is>
      </c>
      <c r="E7862" s="58" t="inlineStr">
        <is>
          <t>North</t>
        </is>
      </c>
      <c r="F7862" s="61" t="n">
        <v>1</v>
      </c>
      <c r="G7862" s="62" t="n">
        <v>66.47</v>
      </c>
      <c r="H7862" s="63" t="n">
        <v>0.033</v>
      </c>
      <c r="I7862" s="62" t="n">
        <v>36.81</v>
      </c>
      <c r="J7862" s="58" t="inlineStr">
        <is>
          <t>Store</t>
        </is>
      </c>
      <c r="K7862" s="62">
        <f>F7862*(G7862-H7862)</f>
        <v/>
      </c>
      <c r="L7862" s="62">
        <f>K7862-(F7862*I7862)</f>
        <v/>
      </c>
      <c r="M7862" s="64">
        <f>L7862/K7862</f>
        <v/>
      </c>
    </row>
    <row r="7863">
      <c r="A7863" s="58" t="inlineStr">
        <is>
          <t>RT20250715-07862</t>
        </is>
      </c>
      <c r="B7863" s="59" t="inlineStr">
        <is>
          <t>2025-07-15</t>
        </is>
      </c>
      <c r="C7863" s="60" t="inlineStr">
        <is>
          <t>Metro Outdoor Plus-787</t>
        </is>
      </c>
      <c r="D7863" s="58" t="inlineStr">
        <is>
          <t>Sports</t>
        </is>
      </c>
      <c r="E7863" s="58" t="inlineStr">
        <is>
          <t>North</t>
        </is>
      </c>
      <c r="F7863" s="61" t="n">
        <v>1</v>
      </c>
      <c r="G7863" s="62" t="n">
        <v>568.98</v>
      </c>
      <c r="H7863" s="63" t="n">
        <v>0.08799999999999999</v>
      </c>
      <c r="I7863" s="62" t="n">
        <v>358.17</v>
      </c>
      <c r="J7863" s="58" t="inlineStr">
        <is>
          <t>Phone</t>
        </is>
      </c>
      <c r="K7863" s="62">
        <f>F7863*(G7863-H7863)</f>
        <v/>
      </c>
      <c r="L7863" s="62">
        <f>K7863-(F7863*I7863)</f>
        <v/>
      </c>
      <c r="M7863" s="64">
        <f>L7863/K7863</f>
        <v/>
      </c>
    </row>
    <row r="7864">
      <c r="A7864" s="58" t="inlineStr">
        <is>
          <t>RT20250715-07863</t>
        </is>
      </c>
      <c r="B7864" s="59" t="inlineStr">
        <is>
          <t>2025-07-15</t>
        </is>
      </c>
      <c r="C7864" s="60" t="inlineStr">
        <is>
          <t>Aurora Bedding Max-175</t>
        </is>
      </c>
      <c r="D7864" s="58" t="inlineStr">
        <is>
          <t>Home</t>
        </is>
      </c>
      <c r="E7864" s="58" t="inlineStr">
        <is>
          <t>South</t>
        </is>
      </c>
      <c r="F7864" s="61" t="n">
        <v>1</v>
      </c>
      <c r="G7864" s="62" t="n">
        <v>616.9299999999999</v>
      </c>
      <c r="H7864" s="63" t="n">
        <v>0.016</v>
      </c>
      <c r="I7864" s="62" t="n">
        <v>408.39</v>
      </c>
      <c r="J7864" s="58" t="inlineStr">
        <is>
          <t>Store</t>
        </is>
      </c>
      <c r="K7864" s="62">
        <f>F7864*(G7864-H7864)</f>
        <v/>
      </c>
      <c r="L7864" s="62">
        <f>K7864-(F7864*I7864)</f>
        <v/>
      </c>
      <c r="M7864" s="64">
        <f>L7864/K7864</f>
        <v/>
      </c>
    </row>
    <row r="7865">
      <c r="A7865" s="58" t="inlineStr">
        <is>
          <t>RT20250715-07864</t>
        </is>
      </c>
      <c r="B7865" s="59" t="inlineStr">
        <is>
          <t>2025-07-15</t>
        </is>
      </c>
      <c r="C7865" s="60" t="inlineStr">
        <is>
          <t>Solace Kid S-384</t>
        </is>
      </c>
      <c r="D7865" s="58" t="inlineStr">
        <is>
          <t>Apparel</t>
        </is>
      </c>
      <c r="E7865" s="58" t="inlineStr">
        <is>
          <t>East</t>
        </is>
      </c>
      <c r="F7865" s="61" t="n">
        <v>4</v>
      </c>
      <c r="G7865" s="62" t="n">
        <v>111.47</v>
      </c>
      <c r="H7865" s="63" t="n">
        <v>0.093</v>
      </c>
      <c r="I7865" s="62" t="n">
        <v>63.51</v>
      </c>
      <c r="J7865" s="58" t="inlineStr">
        <is>
          <t>Online</t>
        </is>
      </c>
      <c r="K7865" s="62">
        <f>F7865*(G7865-H7865)</f>
        <v/>
      </c>
      <c r="L7865" s="62">
        <f>K7865-(F7865*I7865)</f>
        <v/>
      </c>
      <c r="M7865" s="64">
        <f>L7865/K7865</f>
        <v/>
      </c>
    </row>
    <row r="7866">
      <c r="A7866" s="58" t="inlineStr">
        <is>
          <t>RT20250715-07865</t>
        </is>
      </c>
      <c r="B7866" s="59" t="inlineStr">
        <is>
          <t>2025-07-15</t>
        </is>
      </c>
      <c r="C7866" s="60" t="inlineStr">
        <is>
          <t>Metro Accessorie Max-316</t>
        </is>
      </c>
      <c r="D7866" s="58" t="inlineStr">
        <is>
          <t>Apparel</t>
        </is>
      </c>
      <c r="E7866" s="58" t="inlineStr">
        <is>
          <t>North</t>
        </is>
      </c>
      <c r="F7866" s="61" t="n">
        <v>1</v>
      </c>
      <c r="G7866" s="62" t="n">
        <v>170.59</v>
      </c>
      <c r="H7866" s="63" t="n">
        <v>0.065</v>
      </c>
      <c r="I7866" s="62" t="n">
        <v>90.19</v>
      </c>
      <c r="J7866" s="58" t="inlineStr">
        <is>
          <t>Store</t>
        </is>
      </c>
      <c r="K7866" s="62">
        <f>F7866*(G7866-H7866)</f>
        <v/>
      </c>
      <c r="L7866" s="62">
        <f>K7866-(F7866*I7866)</f>
        <v/>
      </c>
      <c r="M7866" s="64">
        <f>L7866/K7866</f>
        <v/>
      </c>
    </row>
    <row r="7867">
      <c r="A7867" s="58" t="inlineStr">
        <is>
          <t>RT20250715-07866</t>
        </is>
      </c>
      <c r="B7867" s="59" t="inlineStr">
        <is>
          <t>2025-07-15</t>
        </is>
      </c>
      <c r="C7867" s="60" t="inlineStr">
        <is>
          <t>Falcon Accessorie S-195</t>
        </is>
      </c>
      <c r="D7867" s="58" t="inlineStr">
        <is>
          <t>Apparel</t>
        </is>
      </c>
      <c r="E7867" s="58" t="inlineStr">
        <is>
          <t>West</t>
        </is>
      </c>
      <c r="F7867" s="61" t="n">
        <v>2</v>
      </c>
      <c r="G7867" s="62" t="n">
        <v>66.64</v>
      </c>
      <c r="H7867" s="63" t="n">
        <v>0.053</v>
      </c>
      <c r="I7867" s="62" t="n">
        <v>44.25</v>
      </c>
      <c r="J7867" s="58" t="inlineStr">
        <is>
          <t>Phone</t>
        </is>
      </c>
      <c r="K7867" s="62">
        <f>F7867*(G7867-H7867)</f>
        <v/>
      </c>
      <c r="L7867" s="62">
        <f>K7867-(F7867*I7867)</f>
        <v/>
      </c>
      <c r="M7867" s="64">
        <f>L7867/K7867</f>
        <v/>
      </c>
    </row>
    <row r="7868">
      <c r="A7868" s="58" t="inlineStr">
        <is>
          <t>RT20250715-07867</t>
        </is>
      </c>
      <c r="B7868" s="59" t="inlineStr">
        <is>
          <t>2025-07-15</t>
        </is>
      </c>
      <c r="C7868" s="60" t="inlineStr">
        <is>
          <t>Solace Snack S-691</t>
        </is>
      </c>
      <c r="D7868" s="58" t="inlineStr">
        <is>
          <t>Grocery</t>
        </is>
      </c>
      <c r="E7868" s="58" t="inlineStr">
        <is>
          <t>East</t>
        </is>
      </c>
      <c r="F7868" s="61" t="n">
        <v>8</v>
      </c>
      <c r="G7868" s="62" t="n">
        <v>8.880000000000001</v>
      </c>
      <c r="H7868" s="63" t="n">
        <v>0.024</v>
      </c>
      <c r="I7868" s="62" t="n">
        <v>7.04</v>
      </c>
      <c r="J7868" s="58" t="inlineStr">
        <is>
          <t>Online</t>
        </is>
      </c>
      <c r="K7868" s="62">
        <f>F7868*(G7868-H7868)</f>
        <v/>
      </c>
      <c r="L7868" s="62">
        <f>K7868-(F7868*I7868)</f>
        <v/>
      </c>
      <c r="M7868" s="64">
        <f>L7868/K7868</f>
        <v/>
      </c>
    </row>
    <row r="7869">
      <c r="A7869" s="58" t="inlineStr">
        <is>
          <t>RT20250715-07868</t>
        </is>
      </c>
      <c r="B7869" s="59" t="inlineStr">
        <is>
          <t>2025-07-15</t>
        </is>
      </c>
      <c r="C7869" s="60" t="inlineStr">
        <is>
          <t>Aurora Bedding Max-175</t>
        </is>
      </c>
      <c r="D7869" s="58" t="inlineStr">
        <is>
          <t>Home</t>
        </is>
      </c>
      <c r="E7869" s="58" t="inlineStr">
        <is>
          <t>Central</t>
        </is>
      </c>
      <c r="F7869" s="61" t="n">
        <v>1</v>
      </c>
      <c r="G7869" s="62" t="n">
        <v>592.3200000000001</v>
      </c>
      <c r="H7869" s="63" t="n">
        <v>0.081</v>
      </c>
      <c r="I7869" s="62" t="n">
        <v>422.8</v>
      </c>
      <c r="J7869" s="58" t="inlineStr">
        <is>
          <t>Online</t>
        </is>
      </c>
      <c r="K7869" s="62">
        <f>F7869*(G7869-H7869)</f>
        <v/>
      </c>
      <c r="L7869" s="62">
        <f>K7869-(F7869*I7869)</f>
        <v/>
      </c>
      <c r="M7869" s="64">
        <f>L7869/K7869</f>
        <v/>
      </c>
    </row>
    <row r="7870">
      <c r="A7870" s="58" t="inlineStr">
        <is>
          <t>RT20250715-07869</t>
        </is>
      </c>
      <c r="B7870" s="59" t="inlineStr">
        <is>
          <t>2025-07-15</t>
        </is>
      </c>
      <c r="C7870" s="60" t="inlineStr">
        <is>
          <t>Aurora Appliance Lite-109</t>
        </is>
      </c>
      <c r="D7870" s="58" t="inlineStr">
        <is>
          <t>Home</t>
        </is>
      </c>
      <c r="E7870" s="58" t="inlineStr">
        <is>
          <t>West</t>
        </is>
      </c>
      <c r="F7870" s="61" t="n">
        <v>2</v>
      </c>
      <c r="G7870" s="62" t="n">
        <v>302.96</v>
      </c>
      <c r="H7870" s="63" t="n">
        <v>0.08799999999999999</v>
      </c>
      <c r="I7870" s="62" t="n">
        <v>201.71</v>
      </c>
      <c r="J7870" s="58" t="inlineStr">
        <is>
          <t>Store</t>
        </is>
      </c>
      <c r="K7870" s="62">
        <f>F7870*(G7870-H7870)</f>
        <v/>
      </c>
      <c r="L7870" s="62">
        <f>K7870-(F7870*I7870)</f>
        <v/>
      </c>
      <c r="M7870" s="64">
        <f>L7870/K7870</f>
        <v/>
      </c>
    </row>
    <row r="7871">
      <c r="A7871" s="58" t="inlineStr">
        <is>
          <t>RT20250715-07870</t>
        </is>
      </c>
      <c r="B7871" s="59" t="inlineStr">
        <is>
          <t>2025-07-15</t>
        </is>
      </c>
      <c r="C7871" s="60" t="inlineStr">
        <is>
          <t>Orion Supplie S-612</t>
        </is>
      </c>
      <c r="D7871" s="58" t="inlineStr">
        <is>
          <t>Office</t>
        </is>
      </c>
      <c r="E7871" s="58" t="inlineStr">
        <is>
          <t>East</t>
        </is>
      </c>
      <c r="F7871" s="61" t="n">
        <v>2</v>
      </c>
      <c r="G7871" s="62" t="n">
        <v>446.63</v>
      </c>
      <c r="H7871" s="63" t="n">
        <v>0.08599999999999999</v>
      </c>
      <c r="I7871" s="62" t="n">
        <v>338.54</v>
      </c>
      <c r="J7871" s="58" t="inlineStr">
        <is>
          <t>Online</t>
        </is>
      </c>
      <c r="K7871" s="62">
        <f>F7871*(G7871-H7871)</f>
        <v/>
      </c>
      <c r="L7871" s="62">
        <f>K7871-(F7871*I7871)</f>
        <v/>
      </c>
      <c r="M7871" s="64">
        <f>L7871/K7871</f>
        <v/>
      </c>
    </row>
    <row r="7872">
      <c r="A7872" s="58" t="inlineStr">
        <is>
          <t>RT20250715-07871</t>
        </is>
      </c>
      <c r="B7872" s="59" t="inlineStr">
        <is>
          <t>2025-07-15</t>
        </is>
      </c>
      <c r="C7872" s="60" t="inlineStr">
        <is>
          <t>Vertex Furniture S-652</t>
        </is>
      </c>
      <c r="D7872" s="58" t="inlineStr">
        <is>
          <t>Office</t>
        </is>
      </c>
      <c r="E7872" s="58" t="inlineStr">
        <is>
          <t>South</t>
        </is>
      </c>
      <c r="F7872" s="61" t="n">
        <v>1</v>
      </c>
      <c r="G7872" s="62" t="n">
        <v>364.89</v>
      </c>
      <c r="H7872" s="63" t="n">
        <v>0.06</v>
      </c>
      <c r="I7872" s="62" t="n">
        <v>269.8</v>
      </c>
      <c r="J7872" s="58" t="inlineStr">
        <is>
          <t>Online</t>
        </is>
      </c>
      <c r="K7872" s="62">
        <f>F7872*(G7872-H7872)</f>
        <v/>
      </c>
      <c r="L7872" s="62">
        <f>K7872-(F7872*I7872)</f>
        <v/>
      </c>
      <c r="M7872" s="64">
        <f>L7872/K7872</f>
        <v/>
      </c>
    </row>
    <row r="7873">
      <c r="A7873" s="58" t="inlineStr">
        <is>
          <t>RT20250716-07872</t>
        </is>
      </c>
      <c r="B7873" s="59" t="inlineStr">
        <is>
          <t>2025-07-16</t>
        </is>
      </c>
      <c r="C7873" s="60" t="inlineStr">
        <is>
          <t>Nimbus Cycling Plus-911</t>
        </is>
      </c>
      <c r="D7873" s="58" t="inlineStr">
        <is>
          <t>Sports</t>
        </is>
      </c>
      <c r="E7873" s="58" t="inlineStr">
        <is>
          <t>East</t>
        </is>
      </c>
      <c r="F7873" s="61" t="n">
        <v>2</v>
      </c>
      <c r="G7873" s="62" t="n">
        <v>551.17</v>
      </c>
      <c r="H7873" s="63" t="n">
        <v>0.01</v>
      </c>
      <c r="I7873" s="62" t="n">
        <v>384.63</v>
      </c>
      <c r="J7873" s="58" t="inlineStr">
        <is>
          <t>Online</t>
        </is>
      </c>
      <c r="K7873" s="62">
        <f>F7873*(G7873-H7873)</f>
        <v/>
      </c>
      <c r="L7873" s="62">
        <f>K7873-(F7873*I7873)</f>
        <v/>
      </c>
      <c r="M7873" s="64">
        <f>L7873/K7873</f>
        <v/>
      </c>
    </row>
    <row r="7874">
      <c r="A7874" s="58" t="inlineStr">
        <is>
          <t>RT20250716-07873</t>
        </is>
      </c>
      <c r="B7874" s="59" t="inlineStr">
        <is>
          <t>2025-07-16</t>
        </is>
      </c>
      <c r="C7874" s="60" t="inlineStr">
        <is>
          <t>Vertex Printer Max-692</t>
        </is>
      </c>
      <c r="D7874" s="58" t="inlineStr">
        <is>
          <t>Office</t>
        </is>
      </c>
      <c r="E7874" s="58" t="inlineStr">
        <is>
          <t>East</t>
        </is>
      </c>
      <c r="F7874" s="61" t="n">
        <v>1</v>
      </c>
      <c r="G7874" s="62" t="n">
        <v>178.18</v>
      </c>
      <c r="H7874" s="63" t="n">
        <v>0.068</v>
      </c>
      <c r="I7874" s="62" t="n">
        <v>121.44</v>
      </c>
      <c r="J7874" s="58" t="inlineStr">
        <is>
          <t>Online</t>
        </is>
      </c>
      <c r="K7874" s="62">
        <f>F7874*(G7874-H7874)</f>
        <v/>
      </c>
      <c r="L7874" s="62">
        <f>K7874-(F7874*I7874)</f>
        <v/>
      </c>
      <c r="M7874" s="64">
        <f>L7874/K7874</f>
        <v/>
      </c>
    </row>
    <row r="7875">
      <c r="A7875" s="58" t="inlineStr">
        <is>
          <t>RT20250716-07874</t>
        </is>
      </c>
      <c r="B7875" s="59" t="inlineStr">
        <is>
          <t>2025-07-16</t>
        </is>
      </c>
      <c r="C7875" s="60" t="inlineStr">
        <is>
          <t>Vertex Men X-995</t>
        </is>
      </c>
      <c r="D7875" s="58" t="inlineStr">
        <is>
          <t>Apparel</t>
        </is>
      </c>
      <c r="E7875" s="58" t="inlineStr">
        <is>
          <t>East</t>
        </is>
      </c>
      <c r="F7875" s="61" t="n">
        <v>3</v>
      </c>
      <c r="G7875" s="62" t="n">
        <v>91.06999999999999</v>
      </c>
      <c r="H7875" s="63" t="n">
        <v>0.08400000000000001</v>
      </c>
      <c r="I7875" s="62" t="n">
        <v>58.06</v>
      </c>
      <c r="J7875" s="58" t="inlineStr">
        <is>
          <t>Online</t>
        </is>
      </c>
      <c r="K7875" s="62">
        <f>F7875*(G7875-H7875)</f>
        <v/>
      </c>
      <c r="L7875" s="62">
        <f>K7875-(F7875*I7875)</f>
        <v/>
      </c>
      <c r="M7875" s="64">
        <f>L7875/K7875</f>
        <v/>
      </c>
    </row>
    <row r="7876">
      <c r="A7876" s="58" t="inlineStr">
        <is>
          <t>RT20250716-07875</t>
        </is>
      </c>
      <c r="B7876" s="59" t="inlineStr">
        <is>
          <t>2025-07-16</t>
        </is>
      </c>
      <c r="C7876" s="60" t="inlineStr">
        <is>
          <t>Metro Laptop Plus-376</t>
        </is>
      </c>
      <c r="D7876" s="58" t="inlineStr">
        <is>
          <t>Electronics</t>
        </is>
      </c>
      <c r="E7876" s="58" t="inlineStr">
        <is>
          <t>West</t>
        </is>
      </c>
      <c r="F7876" s="61" t="n">
        <v>2</v>
      </c>
      <c r="G7876" s="62" t="n">
        <v>1260.47</v>
      </c>
      <c r="H7876" s="63" t="n">
        <v>0.013</v>
      </c>
      <c r="I7876" s="62" t="n">
        <v>1067.4</v>
      </c>
      <c r="J7876" s="58" t="inlineStr">
        <is>
          <t>Online</t>
        </is>
      </c>
      <c r="K7876" s="62">
        <f>F7876*(G7876-H7876)</f>
        <v/>
      </c>
      <c r="L7876" s="62">
        <f>K7876-(F7876*I7876)</f>
        <v/>
      </c>
      <c r="M7876" s="64">
        <f>L7876/K7876</f>
        <v/>
      </c>
    </row>
    <row r="7877">
      <c r="A7877" s="58" t="inlineStr">
        <is>
          <t>RT20250716-07876</t>
        </is>
      </c>
      <c r="B7877" s="59" t="inlineStr">
        <is>
          <t>2025-07-16</t>
        </is>
      </c>
      <c r="C7877" s="60" t="inlineStr">
        <is>
          <t>Aurora Wearable Lite-162</t>
        </is>
      </c>
      <c r="D7877" s="58" t="inlineStr">
        <is>
          <t>Electronics</t>
        </is>
      </c>
      <c r="E7877" s="58" t="inlineStr">
        <is>
          <t>Central</t>
        </is>
      </c>
      <c r="F7877" s="61" t="n">
        <v>2</v>
      </c>
      <c r="G7877" s="62" t="n">
        <v>1608.94</v>
      </c>
      <c r="H7877" s="63" t="n">
        <v>0.051</v>
      </c>
      <c r="I7877" s="62" t="n">
        <v>1178.19</v>
      </c>
      <c r="J7877" s="58" t="inlineStr">
        <is>
          <t>Online</t>
        </is>
      </c>
      <c r="K7877" s="62">
        <f>F7877*(G7877-H7877)</f>
        <v/>
      </c>
      <c r="L7877" s="62">
        <f>K7877-(F7877*I7877)</f>
        <v/>
      </c>
      <c r="M7877" s="64">
        <f>L7877/K7877</f>
        <v/>
      </c>
    </row>
    <row r="7878">
      <c r="A7878" s="58" t="inlineStr">
        <is>
          <t>RT20250716-07877</t>
        </is>
      </c>
      <c r="B7878" s="59" t="inlineStr">
        <is>
          <t>2025-07-16</t>
        </is>
      </c>
      <c r="C7878" s="60" t="inlineStr">
        <is>
          <t>Nimbus Laptop Max-652</t>
        </is>
      </c>
      <c r="D7878" s="58" t="inlineStr">
        <is>
          <t>Electronics</t>
        </is>
      </c>
      <c r="E7878" s="58" t="inlineStr">
        <is>
          <t>East</t>
        </is>
      </c>
      <c r="F7878" s="61" t="n">
        <v>2</v>
      </c>
      <c r="G7878" s="62" t="n">
        <v>1368</v>
      </c>
      <c r="H7878" s="63" t="n">
        <v>0.042</v>
      </c>
      <c r="I7878" s="62" t="n">
        <v>1059.79</v>
      </c>
      <c r="J7878" s="58" t="inlineStr">
        <is>
          <t>Store</t>
        </is>
      </c>
      <c r="K7878" s="62">
        <f>F7878*(G7878-H7878)</f>
        <v/>
      </c>
      <c r="L7878" s="62">
        <f>K7878-(F7878*I7878)</f>
        <v/>
      </c>
      <c r="M7878" s="64">
        <f>L7878/K7878</f>
        <v/>
      </c>
    </row>
    <row r="7879">
      <c r="A7879" s="58" t="inlineStr">
        <is>
          <t>RT20250716-07878</t>
        </is>
      </c>
      <c r="B7879" s="59" t="inlineStr">
        <is>
          <t>2025-07-16</t>
        </is>
      </c>
      <c r="C7879" s="60" t="inlineStr">
        <is>
          <t>Falcon Storage X-734</t>
        </is>
      </c>
      <c r="D7879" s="58" t="inlineStr">
        <is>
          <t>Office</t>
        </is>
      </c>
      <c r="E7879" s="58" t="inlineStr">
        <is>
          <t>West</t>
        </is>
      </c>
      <c r="F7879" s="61" t="n">
        <v>3</v>
      </c>
      <c r="G7879" s="62" t="n">
        <v>438.35</v>
      </c>
      <c r="H7879" s="63" t="n">
        <v>0.027</v>
      </c>
      <c r="I7879" s="62" t="n">
        <v>276.63</v>
      </c>
      <c r="J7879" s="58" t="inlineStr">
        <is>
          <t>Store</t>
        </is>
      </c>
      <c r="K7879" s="62">
        <f>F7879*(G7879-H7879)</f>
        <v/>
      </c>
      <c r="L7879" s="62">
        <f>K7879-(F7879*I7879)</f>
        <v/>
      </c>
      <c r="M7879" s="64">
        <f>L7879/K7879</f>
        <v/>
      </c>
    </row>
    <row r="7880">
      <c r="A7880" s="58" t="inlineStr">
        <is>
          <t>RT20250716-07879</t>
        </is>
      </c>
      <c r="B7880" s="59" t="inlineStr">
        <is>
          <t>2025-07-16</t>
        </is>
      </c>
      <c r="C7880" s="60" t="inlineStr">
        <is>
          <t>Solace Bedding Plus-317</t>
        </is>
      </c>
      <c r="D7880" s="58" t="inlineStr">
        <is>
          <t>Home</t>
        </is>
      </c>
      <c r="E7880" s="58" t="inlineStr">
        <is>
          <t>North</t>
        </is>
      </c>
      <c r="F7880" s="61" t="n">
        <v>3</v>
      </c>
      <c r="G7880" s="62" t="n">
        <v>565.17</v>
      </c>
      <c r="H7880" s="63" t="n">
        <v>0.049</v>
      </c>
      <c r="I7880" s="62" t="n">
        <v>386.87</v>
      </c>
      <c r="J7880" s="58" t="inlineStr">
        <is>
          <t>Store</t>
        </is>
      </c>
      <c r="K7880" s="62">
        <f>F7880*(G7880-H7880)</f>
        <v/>
      </c>
      <c r="L7880" s="62">
        <f>K7880-(F7880*I7880)</f>
        <v/>
      </c>
      <c r="M7880" s="64">
        <f>L7880/K7880</f>
        <v/>
      </c>
    </row>
    <row r="7881">
      <c r="A7881" s="58" t="inlineStr">
        <is>
          <t>RT20250716-07880</t>
        </is>
      </c>
      <c r="B7881" s="59" t="inlineStr">
        <is>
          <t>2025-07-16</t>
        </is>
      </c>
      <c r="C7881" s="60" t="inlineStr">
        <is>
          <t>Falcon Bedding S-674</t>
        </is>
      </c>
      <c r="D7881" s="58" t="inlineStr">
        <is>
          <t>Home</t>
        </is>
      </c>
      <c r="E7881" s="58" t="inlineStr">
        <is>
          <t>East</t>
        </is>
      </c>
      <c r="F7881" s="61" t="n">
        <v>2</v>
      </c>
      <c r="G7881" s="62" t="n">
        <v>592.66</v>
      </c>
      <c r="H7881" s="63" t="n">
        <v>0.053</v>
      </c>
      <c r="I7881" s="62" t="n">
        <v>446.08</v>
      </c>
      <c r="J7881" s="58" t="inlineStr">
        <is>
          <t>Online</t>
        </is>
      </c>
      <c r="K7881" s="62">
        <f>F7881*(G7881-H7881)</f>
        <v/>
      </c>
      <c r="L7881" s="62">
        <f>K7881-(F7881*I7881)</f>
        <v/>
      </c>
      <c r="M7881" s="64">
        <f>L7881/K7881</f>
        <v/>
      </c>
    </row>
    <row r="7882">
      <c r="A7882" s="58" t="inlineStr">
        <is>
          <t>RT20250716-07881</t>
        </is>
      </c>
      <c r="B7882" s="59" t="inlineStr">
        <is>
          <t>2025-07-16</t>
        </is>
      </c>
      <c r="C7882" s="60" t="inlineStr">
        <is>
          <t>Metro Fragrance Lite-261</t>
        </is>
      </c>
      <c r="D7882" s="58" t="inlineStr">
        <is>
          <t>Beauty</t>
        </is>
      </c>
      <c r="E7882" s="58" t="inlineStr">
        <is>
          <t>Central</t>
        </is>
      </c>
      <c r="F7882" s="61" t="n">
        <v>5</v>
      </c>
      <c r="G7882" s="62" t="n">
        <v>89.12</v>
      </c>
      <c r="H7882" s="63" t="n">
        <v>0.04</v>
      </c>
      <c r="I7882" s="62" t="n">
        <v>57.15</v>
      </c>
      <c r="J7882" s="58" t="inlineStr">
        <is>
          <t>Store</t>
        </is>
      </c>
      <c r="K7882" s="62">
        <f>F7882*(G7882-H7882)</f>
        <v/>
      </c>
      <c r="L7882" s="62">
        <f>K7882-(F7882*I7882)</f>
        <v/>
      </c>
      <c r="M7882" s="64">
        <f>L7882/K7882</f>
        <v/>
      </c>
    </row>
    <row r="7883">
      <c r="A7883" s="58" t="inlineStr">
        <is>
          <t>RT20250716-07882</t>
        </is>
      </c>
      <c r="B7883" s="59" t="inlineStr">
        <is>
          <t>2025-07-16</t>
        </is>
      </c>
      <c r="C7883" s="60" t="inlineStr">
        <is>
          <t>Falcon Bedding S-674</t>
        </is>
      </c>
      <c r="D7883" s="58" t="inlineStr">
        <is>
          <t>Home</t>
        </is>
      </c>
      <c r="E7883" s="58" t="inlineStr">
        <is>
          <t>Central</t>
        </is>
      </c>
      <c r="F7883" s="61" t="n">
        <v>3</v>
      </c>
      <c r="G7883" s="62" t="n">
        <v>610.67</v>
      </c>
      <c r="H7883" s="63" t="n">
        <v>0.032</v>
      </c>
      <c r="I7883" s="62" t="n">
        <v>461.72</v>
      </c>
      <c r="J7883" s="58" t="inlineStr">
        <is>
          <t>Online</t>
        </is>
      </c>
      <c r="K7883" s="62">
        <f>F7883*(G7883-H7883)</f>
        <v/>
      </c>
      <c r="L7883" s="62">
        <f>K7883-(F7883*I7883)</f>
        <v/>
      </c>
      <c r="M7883" s="64">
        <f>L7883/K7883</f>
        <v/>
      </c>
    </row>
    <row r="7884">
      <c r="A7884" s="58" t="inlineStr">
        <is>
          <t>RT20250716-07883</t>
        </is>
      </c>
      <c r="B7884" s="59" t="inlineStr">
        <is>
          <t>2025-07-16</t>
        </is>
      </c>
      <c r="C7884" s="60" t="inlineStr">
        <is>
          <t>Vertex Smartphone Pro-256</t>
        </is>
      </c>
      <c r="D7884" s="58" t="inlineStr">
        <is>
          <t>Electronics</t>
        </is>
      </c>
      <c r="E7884" s="58" t="inlineStr">
        <is>
          <t>South</t>
        </is>
      </c>
      <c r="F7884" s="61" t="n">
        <v>1</v>
      </c>
      <c r="G7884" s="62" t="n">
        <v>974.5</v>
      </c>
      <c r="H7884" s="63" t="n">
        <v>0.041</v>
      </c>
      <c r="I7884" s="62" t="n">
        <v>903.5599999999999</v>
      </c>
      <c r="J7884" s="58" t="inlineStr">
        <is>
          <t>Store</t>
        </is>
      </c>
      <c r="K7884" s="62">
        <f>F7884*(G7884-H7884)</f>
        <v/>
      </c>
      <c r="L7884" s="62">
        <f>K7884-(F7884*I7884)</f>
        <v/>
      </c>
      <c r="M7884" s="64">
        <f>L7884/K7884</f>
        <v/>
      </c>
    </row>
    <row r="7885">
      <c r="A7885" s="58" t="inlineStr">
        <is>
          <t>RT20250716-07884</t>
        </is>
      </c>
      <c r="B7885" s="59" t="inlineStr">
        <is>
          <t>2025-07-16</t>
        </is>
      </c>
      <c r="C7885" s="60" t="inlineStr">
        <is>
          <t>Falcon Bedding S-674</t>
        </is>
      </c>
      <c r="D7885" s="58" t="inlineStr">
        <is>
          <t>Home</t>
        </is>
      </c>
      <c r="E7885" s="58" t="inlineStr">
        <is>
          <t>South</t>
        </is>
      </c>
      <c r="F7885" s="61" t="n">
        <v>2</v>
      </c>
      <c r="G7885" s="62" t="n">
        <v>735.3</v>
      </c>
      <c r="H7885" s="63" t="n">
        <v>0.062</v>
      </c>
      <c r="I7885" s="62" t="n">
        <v>460.12</v>
      </c>
      <c r="J7885" s="58" t="inlineStr">
        <is>
          <t>Online</t>
        </is>
      </c>
      <c r="K7885" s="62">
        <f>F7885*(G7885-H7885)</f>
        <v/>
      </c>
      <c r="L7885" s="62">
        <f>K7885-(F7885*I7885)</f>
        <v/>
      </c>
      <c r="M7885" s="64">
        <f>L7885/K7885</f>
        <v/>
      </c>
    </row>
    <row r="7886">
      <c r="A7886" s="58" t="inlineStr">
        <is>
          <t>RT20250716-07885</t>
        </is>
      </c>
      <c r="B7886" s="59" t="inlineStr">
        <is>
          <t>2025-07-16</t>
        </is>
      </c>
      <c r="C7886" s="60" t="inlineStr">
        <is>
          <t>Falcon Household Pro-865</t>
        </is>
      </c>
      <c r="D7886" s="58" t="inlineStr">
        <is>
          <t>Grocery</t>
        </is>
      </c>
      <c r="E7886" s="58" t="inlineStr">
        <is>
          <t>Central</t>
        </is>
      </c>
      <c r="F7886" s="61" t="n">
        <v>4</v>
      </c>
      <c r="G7886" s="62" t="n">
        <v>9.94</v>
      </c>
      <c r="H7886" s="63" t="n">
        <v>0.097</v>
      </c>
      <c r="I7886" s="62" t="n">
        <v>7.7</v>
      </c>
      <c r="J7886" s="58" t="inlineStr">
        <is>
          <t>Online</t>
        </is>
      </c>
      <c r="K7886" s="62">
        <f>F7886*(G7886-H7886)</f>
        <v/>
      </c>
      <c r="L7886" s="62">
        <f>K7886-(F7886*I7886)</f>
        <v/>
      </c>
      <c r="M7886" s="64">
        <f>L7886/K7886</f>
        <v/>
      </c>
    </row>
    <row r="7887">
      <c r="A7887" s="58" t="inlineStr">
        <is>
          <t>RT20250716-07886</t>
        </is>
      </c>
      <c r="B7887" s="59" t="inlineStr">
        <is>
          <t>2025-07-16</t>
        </is>
      </c>
      <c r="C7887" s="60" t="inlineStr">
        <is>
          <t>Vertex Smartphone Lite-267</t>
        </is>
      </c>
      <c r="D7887" s="58" t="inlineStr">
        <is>
          <t>Electronics</t>
        </is>
      </c>
      <c r="E7887" s="58" t="inlineStr">
        <is>
          <t>East</t>
        </is>
      </c>
      <c r="F7887" s="61" t="n">
        <v>1</v>
      </c>
      <c r="G7887" s="62" t="n">
        <v>1214.08</v>
      </c>
      <c r="H7887" s="63" t="n">
        <v>0.076</v>
      </c>
      <c r="I7887" s="62" t="n">
        <v>966.66</v>
      </c>
      <c r="J7887" s="58" t="inlineStr">
        <is>
          <t>Online</t>
        </is>
      </c>
      <c r="K7887" s="62">
        <f>F7887*(G7887-H7887)</f>
        <v/>
      </c>
      <c r="L7887" s="62">
        <f>K7887-(F7887*I7887)</f>
        <v/>
      </c>
      <c r="M7887" s="64">
        <f>L7887/K7887</f>
        <v/>
      </c>
    </row>
    <row r="7888">
      <c r="A7888" s="58" t="inlineStr">
        <is>
          <t>RT20250716-07887</t>
        </is>
      </c>
      <c r="B7888" s="59" t="inlineStr">
        <is>
          <t>2025-07-16</t>
        </is>
      </c>
      <c r="C7888" s="60" t="inlineStr">
        <is>
          <t>Vertex Printer Max-692</t>
        </is>
      </c>
      <c r="D7888" s="58" t="inlineStr">
        <is>
          <t>Office</t>
        </is>
      </c>
      <c r="E7888" s="58" t="inlineStr">
        <is>
          <t>Central</t>
        </is>
      </c>
      <c r="F7888" s="61" t="n">
        <v>2</v>
      </c>
      <c r="G7888" s="62" t="n">
        <v>173.35</v>
      </c>
      <c r="H7888" s="63" t="n">
        <v>0.076</v>
      </c>
      <c r="I7888" s="62" t="n">
        <v>124.29</v>
      </c>
      <c r="J7888" s="58" t="inlineStr">
        <is>
          <t>Phone</t>
        </is>
      </c>
      <c r="K7888" s="62">
        <f>F7888*(G7888-H7888)</f>
        <v/>
      </c>
      <c r="L7888" s="62">
        <f>K7888-(F7888*I7888)</f>
        <v/>
      </c>
      <c r="M7888" s="64">
        <f>L7888/K7888</f>
        <v/>
      </c>
    </row>
    <row r="7889">
      <c r="A7889" s="58" t="inlineStr">
        <is>
          <t>RT20250716-07888</t>
        </is>
      </c>
      <c r="B7889" s="59" t="inlineStr">
        <is>
          <t>2025-07-16</t>
        </is>
      </c>
      <c r="C7889" s="60" t="inlineStr">
        <is>
          <t>Vertex Appliance S-296</t>
        </is>
      </c>
      <c r="D7889" s="58" t="inlineStr">
        <is>
          <t>Home</t>
        </is>
      </c>
      <c r="E7889" s="58" t="inlineStr">
        <is>
          <t>North</t>
        </is>
      </c>
      <c r="F7889" s="61" t="n">
        <v>3</v>
      </c>
      <c r="G7889" s="62" t="n">
        <v>527.62</v>
      </c>
      <c r="H7889" s="63" t="n">
        <v>0.067</v>
      </c>
      <c r="I7889" s="62" t="n">
        <v>356.9</v>
      </c>
      <c r="J7889" s="58" t="inlineStr">
        <is>
          <t>Store</t>
        </is>
      </c>
      <c r="K7889" s="62">
        <f>F7889*(G7889-H7889)</f>
        <v/>
      </c>
      <c r="L7889" s="62">
        <f>K7889-(F7889*I7889)</f>
        <v/>
      </c>
      <c r="M7889" s="64">
        <f>L7889/K7889</f>
        <v/>
      </c>
    </row>
    <row r="7890">
      <c r="A7890" s="58" t="inlineStr">
        <is>
          <t>RT20250716-07889</t>
        </is>
      </c>
      <c r="B7890" s="59" t="inlineStr">
        <is>
          <t>2025-07-16</t>
        </is>
      </c>
      <c r="C7890" s="60" t="inlineStr">
        <is>
          <t>Vertex Headphone Pro-801</t>
        </is>
      </c>
      <c r="D7890" s="58" t="inlineStr">
        <is>
          <t>Electronics</t>
        </is>
      </c>
      <c r="E7890" s="58" t="inlineStr">
        <is>
          <t>Central</t>
        </is>
      </c>
      <c r="F7890" s="61" t="n">
        <v>2</v>
      </c>
      <c r="G7890" s="62" t="n">
        <v>1287.57</v>
      </c>
      <c r="H7890" s="63" t="n">
        <v>0.048</v>
      </c>
      <c r="I7890" s="62" t="n">
        <v>967.15</v>
      </c>
      <c r="J7890" s="58" t="inlineStr">
        <is>
          <t>Store</t>
        </is>
      </c>
      <c r="K7890" s="62">
        <f>F7890*(G7890-H7890)</f>
        <v/>
      </c>
      <c r="L7890" s="62">
        <f>K7890-(F7890*I7890)</f>
        <v/>
      </c>
      <c r="M7890" s="64">
        <f>L7890/K7890</f>
        <v/>
      </c>
    </row>
    <row r="7891">
      <c r="A7891" s="58" t="inlineStr">
        <is>
          <t>RT20250716-07890</t>
        </is>
      </c>
      <c r="B7891" s="59" t="inlineStr">
        <is>
          <t>2025-07-16</t>
        </is>
      </c>
      <c r="C7891" s="60" t="inlineStr">
        <is>
          <t>Nimbus Makeup Max-158</t>
        </is>
      </c>
      <c r="D7891" s="58" t="inlineStr">
        <is>
          <t>Beauty</t>
        </is>
      </c>
      <c r="E7891" s="58" t="inlineStr">
        <is>
          <t>Central</t>
        </is>
      </c>
      <c r="F7891" s="61" t="n">
        <v>5</v>
      </c>
      <c r="G7891" s="62" t="n">
        <v>156.74</v>
      </c>
      <c r="H7891" s="63" t="n">
        <v>0.02</v>
      </c>
      <c r="I7891" s="62" t="n">
        <v>97.89</v>
      </c>
      <c r="J7891" s="58" t="inlineStr">
        <is>
          <t>Phone</t>
        </is>
      </c>
      <c r="K7891" s="62">
        <f>F7891*(G7891-H7891)</f>
        <v/>
      </c>
      <c r="L7891" s="62">
        <f>K7891-(F7891*I7891)</f>
        <v/>
      </c>
      <c r="M7891" s="64">
        <f>L7891/K7891</f>
        <v/>
      </c>
    </row>
    <row r="7892">
      <c r="A7892" s="58" t="inlineStr">
        <is>
          <t>RT20250716-07891</t>
        </is>
      </c>
      <c r="B7892" s="59" t="inlineStr">
        <is>
          <t>2025-07-16</t>
        </is>
      </c>
      <c r="C7892" s="60" t="inlineStr">
        <is>
          <t>Metro Smartphone Max-773</t>
        </is>
      </c>
      <c r="D7892" s="58" t="inlineStr">
        <is>
          <t>Electronics</t>
        </is>
      </c>
      <c r="E7892" s="58" t="inlineStr">
        <is>
          <t>Central</t>
        </is>
      </c>
      <c r="F7892" s="61" t="n">
        <v>2</v>
      </c>
      <c r="G7892" s="62" t="n">
        <v>1338.28</v>
      </c>
      <c r="H7892" s="63" t="n">
        <v>0.075</v>
      </c>
      <c r="I7892" s="62" t="n">
        <v>1137.92</v>
      </c>
      <c r="J7892" s="58" t="inlineStr">
        <is>
          <t>Store</t>
        </is>
      </c>
      <c r="K7892" s="62">
        <f>F7892*(G7892-H7892)</f>
        <v/>
      </c>
      <c r="L7892" s="62">
        <f>K7892-(F7892*I7892)</f>
        <v/>
      </c>
      <c r="M7892" s="64">
        <f>L7892/K7892</f>
        <v/>
      </c>
    </row>
    <row r="7893">
      <c r="A7893" s="58" t="inlineStr">
        <is>
          <t>RT20250716-07892</t>
        </is>
      </c>
      <c r="B7893" s="59" t="inlineStr">
        <is>
          <t>2025-07-16</t>
        </is>
      </c>
      <c r="C7893" s="60" t="inlineStr">
        <is>
          <t>Polar Outdoor X-193</t>
        </is>
      </c>
      <c r="D7893" s="58" t="inlineStr">
        <is>
          <t>Sports</t>
        </is>
      </c>
      <c r="E7893" s="58" t="inlineStr">
        <is>
          <t>Central</t>
        </is>
      </c>
      <c r="F7893" s="61" t="n">
        <v>3</v>
      </c>
      <c r="G7893" s="62" t="n">
        <v>674.91</v>
      </c>
      <c r="H7893" s="63" t="n">
        <v>0.031</v>
      </c>
      <c r="I7893" s="62" t="n">
        <v>457.22</v>
      </c>
      <c r="J7893" s="58" t="inlineStr">
        <is>
          <t>Store</t>
        </is>
      </c>
      <c r="K7893" s="62">
        <f>F7893*(G7893-H7893)</f>
        <v/>
      </c>
      <c r="L7893" s="62">
        <f>K7893-(F7893*I7893)</f>
        <v/>
      </c>
      <c r="M7893" s="64">
        <f>L7893/K7893</f>
        <v/>
      </c>
    </row>
    <row r="7894">
      <c r="A7894" s="58" t="inlineStr">
        <is>
          <t>RT20250716-07893</t>
        </is>
      </c>
      <c r="B7894" s="59" t="inlineStr">
        <is>
          <t>2025-07-16</t>
        </is>
      </c>
      <c r="C7894" s="60" t="inlineStr">
        <is>
          <t>Polar Beverage S-258</t>
        </is>
      </c>
      <c r="D7894" s="58" t="inlineStr">
        <is>
          <t>Grocery</t>
        </is>
      </c>
      <c r="E7894" s="58" t="inlineStr">
        <is>
          <t>East</t>
        </is>
      </c>
      <c r="F7894" s="61" t="n">
        <v>1</v>
      </c>
      <c r="G7894" s="62" t="n">
        <v>12.87</v>
      </c>
      <c r="H7894" s="63" t="n">
        <v>0.004</v>
      </c>
      <c r="I7894" s="62" t="n">
        <v>9.800000000000001</v>
      </c>
      <c r="J7894" s="58" t="inlineStr">
        <is>
          <t>Phone</t>
        </is>
      </c>
      <c r="K7894" s="62">
        <f>F7894*(G7894-H7894)</f>
        <v/>
      </c>
      <c r="L7894" s="62">
        <f>K7894-(F7894*I7894)</f>
        <v/>
      </c>
      <c r="M7894" s="64">
        <f>L7894/K7894</f>
        <v/>
      </c>
    </row>
    <row r="7895">
      <c r="A7895" s="58" t="inlineStr">
        <is>
          <t>RT20250716-07894</t>
        </is>
      </c>
      <c r="B7895" s="59" t="inlineStr">
        <is>
          <t>2025-07-16</t>
        </is>
      </c>
      <c r="C7895" s="60" t="inlineStr">
        <is>
          <t>Aurora Bedding Plus-187</t>
        </is>
      </c>
      <c r="D7895" s="58" t="inlineStr">
        <is>
          <t>Home</t>
        </is>
      </c>
      <c r="E7895" s="58" t="inlineStr">
        <is>
          <t>West</t>
        </is>
      </c>
      <c r="F7895" s="61" t="n">
        <v>2</v>
      </c>
      <c r="G7895" s="62" t="n">
        <v>296.19</v>
      </c>
      <c r="H7895" s="63" t="n">
        <v>0.064</v>
      </c>
      <c r="I7895" s="62" t="n">
        <v>208.26</v>
      </c>
      <c r="J7895" s="58" t="inlineStr">
        <is>
          <t>Store</t>
        </is>
      </c>
      <c r="K7895" s="62">
        <f>F7895*(G7895-H7895)</f>
        <v/>
      </c>
      <c r="L7895" s="62">
        <f>K7895-(F7895*I7895)</f>
        <v/>
      </c>
      <c r="M7895" s="64">
        <f>L7895/K7895</f>
        <v/>
      </c>
    </row>
    <row r="7896">
      <c r="A7896" s="58" t="inlineStr">
        <is>
          <t>RT20250716-07895</t>
        </is>
      </c>
      <c r="B7896" s="59" t="inlineStr">
        <is>
          <t>2025-07-16</t>
        </is>
      </c>
      <c r="C7896" s="60" t="inlineStr">
        <is>
          <t>Aurora Appliance Max-316</t>
        </is>
      </c>
      <c r="D7896" s="58" t="inlineStr">
        <is>
          <t>Home</t>
        </is>
      </c>
      <c r="E7896" s="58" t="inlineStr">
        <is>
          <t>West</t>
        </is>
      </c>
      <c r="F7896" s="61" t="n">
        <v>3</v>
      </c>
      <c r="G7896" s="62" t="n">
        <v>322.26</v>
      </c>
      <c r="H7896" s="63" t="n">
        <v>0.008999999999999999</v>
      </c>
      <c r="I7896" s="62" t="n">
        <v>215.69</v>
      </c>
      <c r="J7896" s="58" t="inlineStr">
        <is>
          <t>Store</t>
        </is>
      </c>
      <c r="K7896" s="62">
        <f>F7896*(G7896-H7896)</f>
        <v/>
      </c>
      <c r="L7896" s="62">
        <f>K7896-(F7896*I7896)</f>
        <v/>
      </c>
      <c r="M7896" s="64">
        <f>L7896/K7896</f>
        <v/>
      </c>
    </row>
    <row r="7897">
      <c r="A7897" s="58" t="inlineStr">
        <is>
          <t>RT20250716-07896</t>
        </is>
      </c>
      <c r="B7897" s="59" t="inlineStr">
        <is>
          <t>2025-07-16</t>
        </is>
      </c>
      <c r="C7897" s="60" t="inlineStr">
        <is>
          <t>Metro Smartphone Max-773</t>
        </is>
      </c>
      <c r="D7897" s="58" t="inlineStr">
        <is>
          <t>Electronics</t>
        </is>
      </c>
      <c r="E7897" s="58" t="inlineStr">
        <is>
          <t>West</t>
        </is>
      </c>
      <c r="F7897" s="61" t="n">
        <v>2</v>
      </c>
      <c r="G7897" s="62" t="n">
        <v>1457.23</v>
      </c>
      <c r="H7897" s="63" t="n">
        <v>0.06</v>
      </c>
      <c r="I7897" s="62" t="n">
        <v>1124.93</v>
      </c>
      <c r="J7897" s="58" t="inlineStr">
        <is>
          <t>Online</t>
        </is>
      </c>
      <c r="K7897" s="62">
        <f>F7897*(G7897-H7897)</f>
        <v/>
      </c>
      <c r="L7897" s="62">
        <f>K7897-(F7897*I7897)</f>
        <v/>
      </c>
      <c r="M7897" s="64">
        <f>L7897/K7897</f>
        <v/>
      </c>
    </row>
    <row r="7898">
      <c r="A7898" s="58" t="inlineStr">
        <is>
          <t>RT20250716-07897</t>
        </is>
      </c>
      <c r="B7898" s="59" t="inlineStr">
        <is>
          <t>2025-07-16</t>
        </is>
      </c>
      <c r="C7898" s="60" t="inlineStr">
        <is>
          <t>Vertex Fitnes Pro-830</t>
        </is>
      </c>
      <c r="D7898" s="58" t="inlineStr">
        <is>
          <t>Sports</t>
        </is>
      </c>
      <c r="E7898" s="58" t="inlineStr">
        <is>
          <t>South</t>
        </is>
      </c>
      <c r="F7898" s="61" t="n">
        <v>1</v>
      </c>
      <c r="G7898" s="62" t="n">
        <v>790.86</v>
      </c>
      <c r="H7898" s="63" t="n">
        <v>0.011</v>
      </c>
      <c r="I7898" s="62" t="n">
        <v>486.54</v>
      </c>
      <c r="J7898" s="58" t="inlineStr">
        <is>
          <t>Online</t>
        </is>
      </c>
      <c r="K7898" s="62">
        <f>F7898*(G7898-H7898)</f>
        <v/>
      </c>
      <c r="L7898" s="62">
        <f>K7898-(F7898*I7898)</f>
        <v/>
      </c>
      <c r="M7898" s="64">
        <f>L7898/K7898</f>
        <v/>
      </c>
    </row>
    <row r="7899">
      <c r="A7899" s="58" t="inlineStr">
        <is>
          <t>RT20250716-07898</t>
        </is>
      </c>
      <c r="B7899" s="59" t="inlineStr">
        <is>
          <t>2025-07-16</t>
        </is>
      </c>
      <c r="C7899" s="60" t="inlineStr">
        <is>
          <t>Aurora Haircare S-975</t>
        </is>
      </c>
      <c r="D7899" s="58" t="inlineStr">
        <is>
          <t>Beauty</t>
        </is>
      </c>
      <c r="E7899" s="58" t="inlineStr">
        <is>
          <t>West</t>
        </is>
      </c>
      <c r="F7899" s="61" t="n">
        <v>5</v>
      </c>
      <c r="G7899" s="62" t="n">
        <v>95.23999999999999</v>
      </c>
      <c r="H7899" s="63" t="n">
        <v>0.006</v>
      </c>
      <c r="I7899" s="62" t="n">
        <v>58.3</v>
      </c>
      <c r="J7899" s="58" t="inlineStr">
        <is>
          <t>Online</t>
        </is>
      </c>
      <c r="K7899" s="62">
        <f>F7899*(G7899-H7899)</f>
        <v/>
      </c>
      <c r="L7899" s="62">
        <f>K7899-(F7899*I7899)</f>
        <v/>
      </c>
      <c r="M7899" s="64">
        <f>L7899/K7899</f>
        <v/>
      </c>
    </row>
    <row r="7900">
      <c r="A7900" s="58" t="inlineStr">
        <is>
          <t>RT20250716-07899</t>
        </is>
      </c>
      <c r="B7900" s="59" t="inlineStr">
        <is>
          <t>2025-07-16</t>
        </is>
      </c>
      <c r="C7900" s="60" t="inlineStr">
        <is>
          <t>Falcon Kitchen X-130</t>
        </is>
      </c>
      <c r="D7900" s="58" t="inlineStr">
        <is>
          <t>Home</t>
        </is>
      </c>
      <c r="E7900" s="58" t="inlineStr">
        <is>
          <t>West</t>
        </is>
      </c>
      <c r="F7900" s="61" t="n">
        <v>2</v>
      </c>
      <c r="G7900" s="62" t="n">
        <v>455.31</v>
      </c>
      <c r="H7900" s="63" t="n">
        <v>0.118</v>
      </c>
      <c r="I7900" s="62" t="n">
        <v>296.1</v>
      </c>
      <c r="J7900" s="58" t="inlineStr">
        <is>
          <t>Store</t>
        </is>
      </c>
      <c r="K7900" s="62">
        <f>F7900*(G7900-H7900)</f>
        <v/>
      </c>
      <c r="L7900" s="62">
        <f>K7900-(F7900*I7900)</f>
        <v/>
      </c>
      <c r="M7900" s="64">
        <f>L7900/K7900</f>
        <v/>
      </c>
    </row>
    <row r="7901">
      <c r="A7901" s="58" t="inlineStr">
        <is>
          <t>RT20250716-07900</t>
        </is>
      </c>
      <c r="B7901" s="59" t="inlineStr">
        <is>
          <t>2025-07-16</t>
        </is>
      </c>
      <c r="C7901" s="60" t="inlineStr">
        <is>
          <t>Falcon Skincare Max-151</t>
        </is>
      </c>
      <c r="D7901" s="58" t="inlineStr">
        <is>
          <t>Beauty</t>
        </is>
      </c>
      <c r="E7901" s="58" t="inlineStr">
        <is>
          <t>East</t>
        </is>
      </c>
      <c r="F7901" s="61" t="n">
        <v>1</v>
      </c>
      <c r="G7901" s="62" t="n">
        <v>103.86</v>
      </c>
      <c r="H7901" s="63" t="n">
        <v>0.08400000000000001</v>
      </c>
      <c r="I7901" s="62" t="n">
        <v>60.65</v>
      </c>
      <c r="J7901" s="58" t="inlineStr">
        <is>
          <t>Store</t>
        </is>
      </c>
      <c r="K7901" s="62">
        <f>F7901*(G7901-H7901)</f>
        <v/>
      </c>
      <c r="L7901" s="62">
        <f>K7901-(F7901*I7901)</f>
        <v/>
      </c>
      <c r="M7901" s="64">
        <f>L7901/K7901</f>
        <v/>
      </c>
    </row>
    <row r="7902">
      <c r="A7902" s="58" t="inlineStr">
        <is>
          <t>RT20250716-07901</t>
        </is>
      </c>
      <c r="B7902" s="59" t="inlineStr">
        <is>
          <t>2025-07-16</t>
        </is>
      </c>
      <c r="C7902" s="60" t="inlineStr">
        <is>
          <t>Aurora Household Plus-146</t>
        </is>
      </c>
      <c r="D7902" s="58" t="inlineStr">
        <is>
          <t>Grocery</t>
        </is>
      </c>
      <c r="E7902" s="58" t="inlineStr">
        <is>
          <t>North</t>
        </is>
      </c>
      <c r="F7902" s="61" t="n">
        <v>6</v>
      </c>
      <c r="G7902" s="62" t="n">
        <v>6.26</v>
      </c>
      <c r="H7902" s="63" t="n">
        <v>0.044</v>
      </c>
      <c r="I7902" s="62" t="n">
        <v>4.53</v>
      </c>
      <c r="J7902" s="58" t="inlineStr">
        <is>
          <t>Store</t>
        </is>
      </c>
      <c r="K7902" s="62">
        <f>F7902*(G7902-H7902)</f>
        <v/>
      </c>
      <c r="L7902" s="62">
        <f>K7902-(F7902*I7902)</f>
        <v/>
      </c>
      <c r="M7902" s="64">
        <f>L7902/K7902</f>
        <v/>
      </c>
    </row>
    <row r="7903">
      <c r="A7903" s="58" t="inlineStr">
        <is>
          <t>RT20250716-07902</t>
        </is>
      </c>
      <c r="B7903" s="59" t="inlineStr">
        <is>
          <t>2025-07-16</t>
        </is>
      </c>
      <c r="C7903" s="60" t="inlineStr">
        <is>
          <t>Polar Outdoor Lite-318</t>
        </is>
      </c>
      <c r="D7903" s="58" t="inlineStr">
        <is>
          <t>Sports</t>
        </is>
      </c>
      <c r="E7903" s="58" t="inlineStr">
        <is>
          <t>East</t>
        </is>
      </c>
      <c r="F7903" s="61" t="n">
        <v>2</v>
      </c>
      <c r="G7903" s="62" t="n">
        <v>735.63</v>
      </c>
      <c r="H7903" s="63" t="n">
        <v>0.021</v>
      </c>
      <c r="I7903" s="62" t="n">
        <v>457.57</v>
      </c>
      <c r="J7903" s="58" t="inlineStr">
        <is>
          <t>Store</t>
        </is>
      </c>
      <c r="K7903" s="62">
        <f>F7903*(G7903-H7903)</f>
        <v/>
      </c>
      <c r="L7903" s="62">
        <f>K7903-(F7903*I7903)</f>
        <v/>
      </c>
      <c r="M7903" s="64">
        <f>L7903/K7903</f>
        <v/>
      </c>
    </row>
    <row r="7904">
      <c r="A7904" s="58" t="inlineStr">
        <is>
          <t>RT20250716-07903</t>
        </is>
      </c>
      <c r="B7904" s="59" t="inlineStr">
        <is>
          <t>2025-07-16</t>
        </is>
      </c>
      <c r="C7904" s="60" t="inlineStr">
        <is>
          <t>Aurora Outdoor Pro-467</t>
        </is>
      </c>
      <c r="D7904" s="58" t="inlineStr">
        <is>
          <t>Sports</t>
        </is>
      </c>
      <c r="E7904" s="58" t="inlineStr">
        <is>
          <t>West</t>
        </is>
      </c>
      <c r="F7904" s="61" t="n">
        <v>1</v>
      </c>
      <c r="G7904" s="62" t="n">
        <v>257.03</v>
      </c>
      <c r="H7904" s="63" t="n">
        <v>0.052</v>
      </c>
      <c r="I7904" s="62" t="n">
        <v>186.46</v>
      </c>
      <c r="J7904" s="58" t="inlineStr">
        <is>
          <t>Online</t>
        </is>
      </c>
      <c r="K7904" s="62">
        <f>F7904*(G7904-H7904)</f>
        <v/>
      </c>
      <c r="L7904" s="62">
        <f>K7904-(F7904*I7904)</f>
        <v/>
      </c>
      <c r="M7904" s="64">
        <f>L7904/K7904</f>
        <v/>
      </c>
    </row>
    <row r="7905">
      <c r="A7905" s="58" t="inlineStr">
        <is>
          <t>RT20250716-07904</t>
        </is>
      </c>
      <c r="B7905" s="59" t="inlineStr">
        <is>
          <t>2025-07-16</t>
        </is>
      </c>
      <c r="C7905" s="60" t="inlineStr">
        <is>
          <t>Orion Kid Max-640</t>
        </is>
      </c>
      <c r="D7905" s="58" t="inlineStr">
        <is>
          <t>Apparel</t>
        </is>
      </c>
      <c r="E7905" s="58" t="inlineStr">
        <is>
          <t>Central</t>
        </is>
      </c>
      <c r="F7905" s="61" t="n">
        <v>1</v>
      </c>
      <c r="G7905" s="62" t="n">
        <v>116.96</v>
      </c>
      <c r="H7905" s="63" t="n">
        <v>0.064</v>
      </c>
      <c r="I7905" s="62" t="n">
        <v>70.37</v>
      </c>
      <c r="J7905" s="58" t="inlineStr">
        <is>
          <t>Online</t>
        </is>
      </c>
      <c r="K7905" s="62">
        <f>F7905*(G7905-H7905)</f>
        <v/>
      </c>
      <c r="L7905" s="62">
        <f>K7905-(F7905*I7905)</f>
        <v/>
      </c>
      <c r="M7905" s="64">
        <f>L7905/K7905</f>
        <v/>
      </c>
    </row>
    <row r="7906">
      <c r="A7906" s="58" t="inlineStr">
        <is>
          <t>RT20250716-07905</t>
        </is>
      </c>
      <c r="B7906" s="59" t="inlineStr">
        <is>
          <t>2025-07-16</t>
        </is>
      </c>
      <c r="C7906" s="60" t="inlineStr">
        <is>
          <t>Aurora Kid Plus-151</t>
        </is>
      </c>
      <c r="D7906" s="58" t="inlineStr">
        <is>
          <t>Apparel</t>
        </is>
      </c>
      <c r="E7906" s="58" t="inlineStr">
        <is>
          <t>Central</t>
        </is>
      </c>
      <c r="F7906" s="61" t="n">
        <v>3</v>
      </c>
      <c r="G7906" s="62" t="n">
        <v>114.28</v>
      </c>
      <c r="H7906" s="63" t="n">
        <v>0.078</v>
      </c>
      <c r="I7906" s="62" t="n">
        <v>64.09</v>
      </c>
      <c r="J7906" s="58" t="inlineStr">
        <is>
          <t>Online</t>
        </is>
      </c>
      <c r="K7906" s="62">
        <f>F7906*(G7906-H7906)</f>
        <v/>
      </c>
      <c r="L7906" s="62">
        <f>K7906-(F7906*I7906)</f>
        <v/>
      </c>
      <c r="M7906" s="64">
        <f>L7906/K7906</f>
        <v/>
      </c>
    </row>
    <row r="7907">
      <c r="A7907" s="58" t="inlineStr">
        <is>
          <t>RT20250716-07906</t>
        </is>
      </c>
      <c r="B7907" s="59" t="inlineStr">
        <is>
          <t>2025-07-16</t>
        </is>
      </c>
      <c r="C7907" s="60" t="inlineStr">
        <is>
          <t>Aurora Skincare Max-798</t>
        </is>
      </c>
      <c r="D7907" s="58" t="inlineStr">
        <is>
          <t>Beauty</t>
        </is>
      </c>
      <c r="E7907" s="58" t="inlineStr">
        <is>
          <t>East</t>
        </is>
      </c>
      <c r="F7907" s="61" t="n">
        <v>1</v>
      </c>
      <c r="G7907" s="62" t="n">
        <v>105.79</v>
      </c>
      <c r="H7907" s="63" t="n">
        <v>0.07099999999999999</v>
      </c>
      <c r="I7907" s="62" t="n">
        <v>66.39</v>
      </c>
      <c r="J7907" s="58" t="inlineStr">
        <is>
          <t>Online</t>
        </is>
      </c>
      <c r="K7907" s="62">
        <f>F7907*(G7907-H7907)</f>
        <v/>
      </c>
      <c r="L7907" s="62">
        <f>K7907-(F7907*I7907)</f>
        <v/>
      </c>
      <c r="M7907" s="64">
        <f>L7907/K7907</f>
        <v/>
      </c>
    </row>
    <row r="7908">
      <c r="A7908" s="58" t="inlineStr">
        <is>
          <t>RT20250716-07907</t>
        </is>
      </c>
      <c r="B7908" s="59" t="inlineStr">
        <is>
          <t>2025-07-16</t>
        </is>
      </c>
      <c r="C7908" s="60" t="inlineStr">
        <is>
          <t>Vertex Printer Max-692</t>
        </is>
      </c>
      <c r="D7908" s="58" t="inlineStr">
        <is>
          <t>Office</t>
        </is>
      </c>
      <c r="E7908" s="58" t="inlineStr">
        <is>
          <t>Central</t>
        </is>
      </c>
      <c r="F7908" s="61" t="n">
        <v>3</v>
      </c>
      <c r="G7908" s="62" t="n">
        <v>191.02</v>
      </c>
      <c r="H7908" s="63" t="n">
        <v>0.062</v>
      </c>
      <c r="I7908" s="62" t="n">
        <v>123.01</v>
      </c>
      <c r="J7908" s="58" t="inlineStr">
        <is>
          <t>Online</t>
        </is>
      </c>
      <c r="K7908" s="62">
        <f>F7908*(G7908-H7908)</f>
        <v/>
      </c>
      <c r="L7908" s="62">
        <f>K7908-(F7908*I7908)</f>
        <v/>
      </c>
      <c r="M7908" s="64">
        <f>L7908/K7908</f>
        <v/>
      </c>
    </row>
    <row r="7909">
      <c r="A7909" s="58" t="inlineStr">
        <is>
          <t>RT20250716-07908</t>
        </is>
      </c>
      <c r="B7909" s="59" t="inlineStr">
        <is>
          <t>2025-07-16</t>
        </is>
      </c>
      <c r="C7909" s="60" t="inlineStr">
        <is>
          <t>Falcon Headphone Plus-789</t>
        </is>
      </c>
      <c r="D7909" s="58" t="inlineStr">
        <is>
          <t>Electronics</t>
        </is>
      </c>
      <c r="E7909" s="58" t="inlineStr">
        <is>
          <t>South</t>
        </is>
      </c>
      <c r="F7909" s="61" t="n">
        <v>1</v>
      </c>
      <c r="G7909" s="62" t="n">
        <v>1570.96</v>
      </c>
      <c r="H7909" s="63" t="n">
        <v>0.012</v>
      </c>
      <c r="I7909" s="62" t="n">
        <v>1349.18</v>
      </c>
      <c r="J7909" s="58" t="inlineStr">
        <is>
          <t>Online</t>
        </is>
      </c>
      <c r="K7909" s="62">
        <f>F7909*(G7909-H7909)</f>
        <v/>
      </c>
      <c r="L7909" s="62">
        <f>K7909-(F7909*I7909)</f>
        <v/>
      </c>
      <c r="M7909" s="64">
        <f>L7909/K7909</f>
        <v/>
      </c>
    </row>
    <row r="7910">
      <c r="A7910" s="58" t="inlineStr">
        <is>
          <t>RT20250716-07909</t>
        </is>
      </c>
      <c r="B7910" s="59" t="inlineStr">
        <is>
          <t>2025-07-16</t>
        </is>
      </c>
      <c r="C7910" s="60" t="inlineStr">
        <is>
          <t>Orion Fragrance Lite-785</t>
        </is>
      </c>
      <c r="D7910" s="58" t="inlineStr">
        <is>
          <t>Beauty</t>
        </is>
      </c>
      <c r="E7910" s="58" t="inlineStr">
        <is>
          <t>North</t>
        </is>
      </c>
      <c r="F7910" s="61" t="n">
        <v>5</v>
      </c>
      <c r="G7910" s="62" t="n">
        <v>46.48</v>
      </c>
      <c r="H7910" s="63" t="n">
        <v>0.06</v>
      </c>
      <c r="I7910" s="62" t="n">
        <v>27.34</v>
      </c>
      <c r="J7910" s="58" t="inlineStr">
        <is>
          <t>Store</t>
        </is>
      </c>
      <c r="K7910" s="62">
        <f>F7910*(G7910-H7910)</f>
        <v/>
      </c>
      <c r="L7910" s="62">
        <f>K7910-(F7910*I7910)</f>
        <v/>
      </c>
      <c r="M7910" s="64">
        <f>L7910/K7910</f>
        <v/>
      </c>
    </row>
    <row r="7911">
      <c r="A7911" s="58" t="inlineStr">
        <is>
          <t>RT20250716-07910</t>
        </is>
      </c>
      <c r="B7911" s="59" t="inlineStr">
        <is>
          <t>2025-07-16</t>
        </is>
      </c>
      <c r="C7911" s="60" t="inlineStr">
        <is>
          <t>Aurora Printer Plus-991</t>
        </is>
      </c>
      <c r="D7911" s="58" t="inlineStr">
        <is>
          <t>Office</t>
        </is>
      </c>
      <c r="E7911" s="58" t="inlineStr">
        <is>
          <t>East</t>
        </is>
      </c>
      <c r="F7911" s="61" t="n">
        <v>2</v>
      </c>
      <c r="G7911" s="62" t="n">
        <v>581.1</v>
      </c>
      <c r="H7911" s="63" t="n">
        <v>0.052</v>
      </c>
      <c r="I7911" s="62" t="n">
        <v>374.52</v>
      </c>
      <c r="J7911" s="58" t="inlineStr">
        <is>
          <t>Online</t>
        </is>
      </c>
      <c r="K7911" s="62">
        <f>F7911*(G7911-H7911)</f>
        <v/>
      </c>
      <c r="L7911" s="62">
        <f>K7911-(F7911*I7911)</f>
        <v/>
      </c>
      <c r="M7911" s="64">
        <f>L7911/K7911</f>
        <v/>
      </c>
    </row>
    <row r="7912">
      <c r="A7912" s="58" t="inlineStr">
        <is>
          <t>RT20250716-07911</t>
        </is>
      </c>
      <c r="B7912" s="59" t="inlineStr">
        <is>
          <t>2025-07-16</t>
        </is>
      </c>
      <c r="C7912" s="60" t="inlineStr">
        <is>
          <t>Vertex Appliance S-296</t>
        </is>
      </c>
      <c r="D7912" s="58" t="inlineStr">
        <is>
          <t>Home</t>
        </is>
      </c>
      <c r="E7912" s="58" t="inlineStr">
        <is>
          <t>West</t>
        </is>
      </c>
      <c r="F7912" s="61" t="n">
        <v>3</v>
      </c>
      <c r="G7912" s="62" t="n">
        <v>563.77</v>
      </c>
      <c r="H7912" s="63" t="n">
        <v>0.06900000000000001</v>
      </c>
      <c r="I7912" s="62" t="n">
        <v>354.64</v>
      </c>
      <c r="J7912" s="58" t="inlineStr">
        <is>
          <t>Store</t>
        </is>
      </c>
      <c r="K7912" s="62">
        <f>F7912*(G7912-H7912)</f>
        <v/>
      </c>
      <c r="L7912" s="62">
        <f>K7912-(F7912*I7912)</f>
        <v/>
      </c>
      <c r="M7912" s="64">
        <f>L7912/K7912</f>
        <v/>
      </c>
    </row>
    <row r="7913">
      <c r="A7913" s="58" t="inlineStr">
        <is>
          <t>RT20250716-07912</t>
        </is>
      </c>
      <c r="B7913" s="59" t="inlineStr">
        <is>
          <t>2025-07-16</t>
        </is>
      </c>
      <c r="C7913" s="60" t="inlineStr">
        <is>
          <t>Aurora Fragrance S-971</t>
        </is>
      </c>
      <c r="D7913" s="58" t="inlineStr">
        <is>
          <t>Beauty</t>
        </is>
      </c>
      <c r="E7913" s="58" t="inlineStr">
        <is>
          <t>East</t>
        </is>
      </c>
      <c r="F7913" s="61" t="n">
        <v>3</v>
      </c>
      <c r="G7913" s="62" t="n">
        <v>104.7</v>
      </c>
      <c r="H7913" s="63" t="n">
        <v>0.1</v>
      </c>
      <c r="I7913" s="62" t="n">
        <v>65.73</v>
      </c>
      <c r="J7913" s="58" t="inlineStr">
        <is>
          <t>Online</t>
        </is>
      </c>
      <c r="K7913" s="62">
        <f>F7913*(G7913-H7913)</f>
        <v/>
      </c>
      <c r="L7913" s="62">
        <f>K7913-(F7913*I7913)</f>
        <v/>
      </c>
      <c r="M7913" s="64">
        <f>L7913/K7913</f>
        <v/>
      </c>
    </row>
    <row r="7914">
      <c r="A7914" s="58" t="inlineStr">
        <is>
          <t>RT20250716-07913</t>
        </is>
      </c>
      <c r="B7914" s="59" t="inlineStr">
        <is>
          <t>2025-07-16</t>
        </is>
      </c>
      <c r="C7914" s="60" t="inlineStr">
        <is>
          <t>Aurora Fragrance S-971</t>
        </is>
      </c>
      <c r="D7914" s="58" t="inlineStr">
        <is>
          <t>Beauty</t>
        </is>
      </c>
      <c r="E7914" s="58" t="inlineStr">
        <is>
          <t>East</t>
        </is>
      </c>
      <c r="F7914" s="61" t="n">
        <v>3</v>
      </c>
      <c r="G7914" s="62" t="n">
        <v>108.59</v>
      </c>
      <c r="H7914" s="63" t="n">
        <v>0.056</v>
      </c>
      <c r="I7914" s="62" t="n">
        <v>66.33</v>
      </c>
      <c r="J7914" s="58" t="inlineStr">
        <is>
          <t>Online</t>
        </is>
      </c>
      <c r="K7914" s="62">
        <f>F7914*(G7914-H7914)</f>
        <v/>
      </c>
      <c r="L7914" s="62">
        <f>K7914-(F7914*I7914)</f>
        <v/>
      </c>
      <c r="M7914" s="64">
        <f>L7914/K7914</f>
        <v/>
      </c>
    </row>
    <row r="7915">
      <c r="A7915" s="58" t="inlineStr">
        <is>
          <t>RT20250716-07914</t>
        </is>
      </c>
      <c r="B7915" s="59" t="inlineStr">
        <is>
          <t>2025-07-16</t>
        </is>
      </c>
      <c r="C7915" s="60" t="inlineStr">
        <is>
          <t>Solace Kid S-384</t>
        </is>
      </c>
      <c r="D7915" s="58" t="inlineStr">
        <is>
          <t>Apparel</t>
        </is>
      </c>
      <c r="E7915" s="58" t="inlineStr">
        <is>
          <t>East</t>
        </is>
      </c>
      <c r="F7915" s="61" t="n">
        <v>2</v>
      </c>
      <c r="G7915" s="62" t="n">
        <v>120.12</v>
      </c>
      <c r="H7915" s="63" t="n">
        <v>0.048</v>
      </c>
      <c r="I7915" s="62" t="n">
        <v>61.59</v>
      </c>
      <c r="J7915" s="58" t="inlineStr">
        <is>
          <t>Online</t>
        </is>
      </c>
      <c r="K7915" s="62">
        <f>F7915*(G7915-H7915)</f>
        <v/>
      </c>
      <c r="L7915" s="62">
        <f>K7915-(F7915*I7915)</f>
        <v/>
      </c>
      <c r="M7915" s="64">
        <f>L7915/K7915</f>
        <v/>
      </c>
    </row>
    <row r="7916">
      <c r="A7916" s="58" t="inlineStr">
        <is>
          <t>RT20250716-07915</t>
        </is>
      </c>
      <c r="B7916" s="59" t="inlineStr">
        <is>
          <t>2025-07-16</t>
        </is>
      </c>
      <c r="C7916" s="60" t="inlineStr">
        <is>
          <t>Orion Fragrance Lite-785</t>
        </is>
      </c>
      <c r="D7916" s="58" t="inlineStr">
        <is>
          <t>Beauty</t>
        </is>
      </c>
      <c r="E7916" s="58" t="inlineStr">
        <is>
          <t>East</t>
        </is>
      </c>
      <c r="F7916" s="61" t="n">
        <v>2</v>
      </c>
      <c r="G7916" s="62" t="n">
        <v>45.42</v>
      </c>
      <c r="H7916" s="63" t="n">
        <v>0.051</v>
      </c>
      <c r="I7916" s="62" t="n">
        <v>26.64</v>
      </c>
      <c r="J7916" s="58" t="inlineStr">
        <is>
          <t>Store</t>
        </is>
      </c>
      <c r="K7916" s="62">
        <f>F7916*(G7916-H7916)</f>
        <v/>
      </c>
      <c r="L7916" s="62">
        <f>K7916-(F7916*I7916)</f>
        <v/>
      </c>
      <c r="M7916" s="64">
        <f>L7916/K7916</f>
        <v/>
      </c>
    </row>
    <row r="7917">
      <c r="A7917" s="58" t="inlineStr">
        <is>
          <t>RT20250716-07916</t>
        </is>
      </c>
      <c r="B7917" s="59" t="inlineStr">
        <is>
          <t>2025-07-16</t>
        </is>
      </c>
      <c r="C7917" s="60" t="inlineStr">
        <is>
          <t>Vertex Supplie Pro-786</t>
        </is>
      </c>
      <c r="D7917" s="58" t="inlineStr">
        <is>
          <t>Office</t>
        </is>
      </c>
      <c r="E7917" s="58" t="inlineStr">
        <is>
          <t>Central</t>
        </is>
      </c>
      <c r="F7917" s="61" t="n">
        <v>2</v>
      </c>
      <c r="G7917" s="62" t="n">
        <v>348.73</v>
      </c>
      <c r="H7917" s="63" t="n">
        <v>0.065</v>
      </c>
      <c r="I7917" s="62" t="n">
        <v>297.7</v>
      </c>
      <c r="J7917" s="58" t="inlineStr">
        <is>
          <t>Online</t>
        </is>
      </c>
      <c r="K7917" s="62">
        <f>F7917*(G7917-H7917)</f>
        <v/>
      </c>
      <c r="L7917" s="62">
        <f>K7917-(F7917*I7917)</f>
        <v/>
      </c>
      <c r="M7917" s="64">
        <f>L7917/K7917</f>
        <v/>
      </c>
    </row>
    <row r="7918">
      <c r="A7918" s="58" t="inlineStr">
        <is>
          <t>RT20250716-07917</t>
        </is>
      </c>
      <c r="B7918" s="59" t="inlineStr">
        <is>
          <t>2025-07-16</t>
        </is>
      </c>
      <c r="C7918" s="60" t="inlineStr">
        <is>
          <t>Aurora Smartphone Plus-125</t>
        </is>
      </c>
      <c r="D7918" s="58" t="inlineStr">
        <is>
          <t>Electronics</t>
        </is>
      </c>
      <c r="E7918" s="58" t="inlineStr">
        <is>
          <t>East</t>
        </is>
      </c>
      <c r="F7918" s="61" t="n">
        <v>2</v>
      </c>
      <c r="G7918" s="62" t="n">
        <v>1535.41</v>
      </c>
      <c r="H7918" s="63" t="n">
        <v>0.064</v>
      </c>
      <c r="I7918" s="62" t="n">
        <v>1219.24</v>
      </c>
      <c r="J7918" s="58" t="inlineStr">
        <is>
          <t>Online</t>
        </is>
      </c>
      <c r="K7918" s="62">
        <f>F7918*(G7918-H7918)</f>
        <v/>
      </c>
      <c r="L7918" s="62">
        <f>K7918-(F7918*I7918)</f>
        <v/>
      </c>
      <c r="M7918" s="64">
        <f>L7918/K7918</f>
        <v/>
      </c>
    </row>
    <row r="7919">
      <c r="A7919" s="58" t="inlineStr">
        <is>
          <t>RT20250716-07918</t>
        </is>
      </c>
      <c r="B7919" s="59" t="inlineStr">
        <is>
          <t>2025-07-16</t>
        </is>
      </c>
      <c r="C7919" s="60" t="inlineStr">
        <is>
          <t>Falcon Storage X-734</t>
        </is>
      </c>
      <c r="D7919" s="58" t="inlineStr">
        <is>
          <t>Office</t>
        </is>
      </c>
      <c r="E7919" s="58" t="inlineStr">
        <is>
          <t>Central</t>
        </is>
      </c>
      <c r="F7919" s="61" t="n">
        <v>3</v>
      </c>
      <c r="G7919" s="62" t="n">
        <v>363.11</v>
      </c>
      <c r="H7919" s="63" t="n">
        <v>0.124</v>
      </c>
      <c r="I7919" s="62" t="n">
        <v>281.44</v>
      </c>
      <c r="J7919" s="58" t="inlineStr">
        <is>
          <t>Online</t>
        </is>
      </c>
      <c r="K7919" s="62">
        <f>F7919*(G7919-H7919)</f>
        <v/>
      </c>
      <c r="L7919" s="62">
        <f>K7919-(F7919*I7919)</f>
        <v/>
      </c>
      <c r="M7919" s="64">
        <f>L7919/K7919</f>
        <v/>
      </c>
    </row>
    <row r="7920">
      <c r="A7920" s="58" t="inlineStr">
        <is>
          <t>RT20250716-07919</t>
        </is>
      </c>
      <c r="B7920" s="59" t="inlineStr">
        <is>
          <t>2025-07-16</t>
        </is>
      </c>
      <c r="C7920" s="60" t="inlineStr">
        <is>
          <t>Solace Kitchen Pro-510</t>
        </is>
      </c>
      <c r="D7920" s="58" t="inlineStr">
        <is>
          <t>Home</t>
        </is>
      </c>
      <c r="E7920" s="58" t="inlineStr">
        <is>
          <t>West</t>
        </is>
      </c>
      <c r="F7920" s="61" t="n">
        <v>3</v>
      </c>
      <c r="G7920" s="62" t="n">
        <v>432.68</v>
      </c>
      <c r="H7920" s="63" t="n">
        <v>0.112</v>
      </c>
      <c r="I7920" s="62" t="n">
        <v>306.98</v>
      </c>
      <c r="J7920" s="58" t="inlineStr">
        <is>
          <t>Online</t>
        </is>
      </c>
      <c r="K7920" s="62">
        <f>F7920*(G7920-H7920)</f>
        <v/>
      </c>
      <c r="L7920" s="62">
        <f>K7920-(F7920*I7920)</f>
        <v/>
      </c>
      <c r="M7920" s="64">
        <f>L7920/K7920</f>
        <v/>
      </c>
    </row>
    <row r="7921">
      <c r="A7921" s="58" t="inlineStr">
        <is>
          <t>RT20250716-07920</t>
        </is>
      </c>
      <c r="B7921" s="59" t="inlineStr">
        <is>
          <t>2025-07-16</t>
        </is>
      </c>
      <c r="C7921" s="60" t="inlineStr">
        <is>
          <t>Orion Laptop S-350</t>
        </is>
      </c>
      <c r="D7921" s="58" t="inlineStr">
        <is>
          <t>Electronics</t>
        </is>
      </c>
      <c r="E7921" s="58" t="inlineStr">
        <is>
          <t>West</t>
        </is>
      </c>
      <c r="F7921" s="61" t="n">
        <v>2</v>
      </c>
      <c r="G7921" s="62" t="n">
        <v>1462.1</v>
      </c>
      <c r="H7921" s="63" t="n">
        <v>0.081</v>
      </c>
      <c r="I7921" s="62" t="n">
        <v>1081.66</v>
      </c>
      <c r="J7921" s="58" t="inlineStr">
        <is>
          <t>Store</t>
        </is>
      </c>
      <c r="K7921" s="62">
        <f>F7921*(G7921-H7921)</f>
        <v/>
      </c>
      <c r="L7921" s="62">
        <f>K7921-(F7921*I7921)</f>
        <v/>
      </c>
      <c r="M7921" s="64">
        <f>L7921/K7921</f>
        <v/>
      </c>
    </row>
    <row r="7922">
      <c r="A7922" s="58" t="inlineStr">
        <is>
          <t>RT20250716-07921</t>
        </is>
      </c>
      <c r="B7922" s="59" t="inlineStr">
        <is>
          <t>2025-07-16</t>
        </is>
      </c>
      <c r="C7922" s="60" t="inlineStr">
        <is>
          <t>Falcon Household Plus-796</t>
        </is>
      </c>
      <c r="D7922" s="58" t="inlineStr">
        <is>
          <t>Grocery</t>
        </is>
      </c>
      <c r="E7922" s="58" t="inlineStr">
        <is>
          <t>North</t>
        </is>
      </c>
      <c r="F7922" s="61" t="n">
        <v>5</v>
      </c>
      <c r="G7922" s="62" t="n">
        <v>23.17</v>
      </c>
      <c r="H7922" s="63" t="n">
        <v>0.058</v>
      </c>
      <c r="I7922" s="62" t="n">
        <v>17.73</v>
      </c>
      <c r="J7922" s="58" t="inlineStr">
        <is>
          <t>Store</t>
        </is>
      </c>
      <c r="K7922" s="62">
        <f>F7922*(G7922-H7922)</f>
        <v/>
      </c>
      <c r="L7922" s="62">
        <f>K7922-(F7922*I7922)</f>
        <v/>
      </c>
      <c r="M7922" s="64">
        <f>L7922/K7922</f>
        <v/>
      </c>
    </row>
    <row r="7923">
      <c r="A7923" s="58" t="inlineStr">
        <is>
          <t>RT20250716-07922</t>
        </is>
      </c>
      <c r="B7923" s="59" t="inlineStr">
        <is>
          <t>2025-07-16</t>
        </is>
      </c>
      <c r="C7923" s="60" t="inlineStr">
        <is>
          <t>Vertex Accessorie Pro-881</t>
        </is>
      </c>
      <c r="D7923" s="58" t="inlineStr">
        <is>
          <t>Apparel</t>
        </is>
      </c>
      <c r="E7923" s="58" t="inlineStr">
        <is>
          <t>Central</t>
        </is>
      </c>
      <c r="F7923" s="61" t="n">
        <v>2</v>
      </c>
      <c r="G7923" s="62" t="n">
        <v>107.99</v>
      </c>
      <c r="H7923" s="63" t="n">
        <v>0.08400000000000001</v>
      </c>
      <c r="I7923" s="62" t="n">
        <v>61.13</v>
      </c>
      <c r="J7923" s="58" t="inlineStr">
        <is>
          <t>Online</t>
        </is>
      </c>
      <c r="K7923" s="62">
        <f>F7923*(G7923-H7923)</f>
        <v/>
      </c>
      <c r="L7923" s="62">
        <f>K7923-(F7923*I7923)</f>
        <v/>
      </c>
      <c r="M7923" s="64">
        <f>L7923/K7923</f>
        <v/>
      </c>
    </row>
    <row r="7924">
      <c r="A7924" s="58" t="inlineStr">
        <is>
          <t>RT20250716-07923</t>
        </is>
      </c>
      <c r="B7924" s="59" t="inlineStr">
        <is>
          <t>2025-07-16</t>
        </is>
      </c>
      <c r="C7924" s="60" t="inlineStr">
        <is>
          <t>Aurora Storage Lite-774</t>
        </is>
      </c>
      <c r="D7924" s="58" t="inlineStr">
        <is>
          <t>Office</t>
        </is>
      </c>
      <c r="E7924" s="58" t="inlineStr">
        <is>
          <t>West</t>
        </is>
      </c>
      <c r="F7924" s="61" t="n">
        <v>3</v>
      </c>
      <c r="G7924" s="62" t="n">
        <v>312.56</v>
      </c>
      <c r="H7924" s="63" t="n">
        <v>0.032</v>
      </c>
      <c r="I7924" s="62" t="n">
        <v>245.39</v>
      </c>
      <c r="J7924" s="58" t="inlineStr">
        <is>
          <t>Online</t>
        </is>
      </c>
      <c r="K7924" s="62">
        <f>F7924*(G7924-H7924)</f>
        <v/>
      </c>
      <c r="L7924" s="62">
        <f>K7924-(F7924*I7924)</f>
        <v/>
      </c>
      <c r="M7924" s="64">
        <f>L7924/K7924</f>
        <v/>
      </c>
    </row>
    <row r="7925">
      <c r="A7925" s="58" t="inlineStr">
        <is>
          <t>RT20250716-07924</t>
        </is>
      </c>
      <c r="B7925" s="59" t="inlineStr">
        <is>
          <t>2025-07-16</t>
        </is>
      </c>
      <c r="C7925" s="60" t="inlineStr">
        <is>
          <t>Falcon Skincare Max-151</t>
        </is>
      </c>
      <c r="D7925" s="58" t="inlineStr">
        <is>
          <t>Beauty</t>
        </is>
      </c>
      <c r="E7925" s="58" t="inlineStr">
        <is>
          <t>North</t>
        </is>
      </c>
      <c r="F7925" s="61" t="n">
        <v>1</v>
      </c>
      <c r="G7925" s="62" t="n">
        <v>81.97</v>
      </c>
      <c r="H7925" s="63" t="n">
        <v>0.081</v>
      </c>
      <c r="I7925" s="62" t="n">
        <v>59.36</v>
      </c>
      <c r="J7925" s="58" t="inlineStr">
        <is>
          <t>Online</t>
        </is>
      </c>
      <c r="K7925" s="62">
        <f>F7925*(G7925-H7925)</f>
        <v/>
      </c>
      <c r="L7925" s="62">
        <f>K7925-(F7925*I7925)</f>
        <v/>
      </c>
      <c r="M7925" s="64">
        <f>L7925/K7925</f>
        <v/>
      </c>
    </row>
    <row r="7926">
      <c r="A7926" s="58" t="inlineStr">
        <is>
          <t>RT20250716-07925</t>
        </is>
      </c>
      <c r="B7926" s="59" t="inlineStr">
        <is>
          <t>2025-07-16</t>
        </is>
      </c>
      <c r="C7926" s="60" t="inlineStr">
        <is>
          <t>Metro Printer X-294</t>
        </is>
      </c>
      <c r="D7926" s="58" t="inlineStr">
        <is>
          <t>Office</t>
        </is>
      </c>
      <c r="E7926" s="58" t="inlineStr">
        <is>
          <t>East</t>
        </is>
      </c>
      <c r="F7926" s="61" t="n">
        <v>2</v>
      </c>
      <c r="G7926" s="62" t="n">
        <v>542.91</v>
      </c>
      <c r="H7926" s="63" t="n">
        <v>0.038</v>
      </c>
      <c r="I7926" s="62" t="n">
        <v>404.08</v>
      </c>
      <c r="J7926" s="58" t="inlineStr">
        <is>
          <t>Store</t>
        </is>
      </c>
      <c r="K7926" s="62">
        <f>F7926*(G7926-H7926)</f>
        <v/>
      </c>
      <c r="L7926" s="62">
        <f>K7926-(F7926*I7926)</f>
        <v/>
      </c>
      <c r="M7926" s="64">
        <f>L7926/K7926</f>
        <v/>
      </c>
    </row>
    <row r="7927">
      <c r="A7927" s="58" t="inlineStr">
        <is>
          <t>RT20250716-07926</t>
        </is>
      </c>
      <c r="B7927" s="59" t="inlineStr">
        <is>
          <t>2025-07-16</t>
        </is>
      </c>
      <c r="C7927" s="60" t="inlineStr">
        <is>
          <t>Aurora Wearable Lite-162</t>
        </is>
      </c>
      <c r="D7927" s="58" t="inlineStr">
        <is>
          <t>Electronics</t>
        </is>
      </c>
      <c r="E7927" s="58" t="inlineStr">
        <is>
          <t>West</t>
        </is>
      </c>
      <c r="F7927" s="61" t="n">
        <v>2</v>
      </c>
      <c r="G7927" s="62" t="n">
        <v>1397.01</v>
      </c>
      <c r="H7927" s="63" t="n">
        <v>0.024</v>
      </c>
      <c r="I7927" s="62" t="n">
        <v>1210.77</v>
      </c>
      <c r="J7927" s="58" t="inlineStr">
        <is>
          <t>Online</t>
        </is>
      </c>
      <c r="K7927" s="62">
        <f>F7927*(G7927-H7927)</f>
        <v/>
      </c>
      <c r="L7927" s="62">
        <f>K7927-(F7927*I7927)</f>
        <v/>
      </c>
      <c r="M7927" s="64">
        <f>L7927/K7927</f>
        <v/>
      </c>
    </row>
    <row r="7928">
      <c r="A7928" s="58" t="inlineStr">
        <is>
          <t>RT20250716-07927</t>
        </is>
      </c>
      <c r="B7928" s="59" t="inlineStr">
        <is>
          <t>2025-07-16</t>
        </is>
      </c>
      <c r="C7928" s="60" t="inlineStr">
        <is>
          <t>Orion Kid Max-640</t>
        </is>
      </c>
      <c r="D7928" s="58" t="inlineStr">
        <is>
          <t>Apparel</t>
        </is>
      </c>
      <c r="E7928" s="58" t="inlineStr">
        <is>
          <t>West</t>
        </is>
      </c>
      <c r="F7928" s="61" t="n">
        <v>3</v>
      </c>
      <c r="G7928" s="62" t="n">
        <v>128.73</v>
      </c>
      <c r="H7928" s="63" t="n">
        <v>0.08</v>
      </c>
      <c r="I7928" s="62" t="n">
        <v>69.69</v>
      </c>
      <c r="J7928" s="58" t="inlineStr">
        <is>
          <t>Store</t>
        </is>
      </c>
      <c r="K7928" s="62">
        <f>F7928*(G7928-H7928)</f>
        <v/>
      </c>
      <c r="L7928" s="62">
        <f>K7928-(F7928*I7928)</f>
        <v/>
      </c>
      <c r="M7928" s="64">
        <f>L7928/K7928</f>
        <v/>
      </c>
    </row>
    <row r="7929">
      <c r="A7929" s="58" t="inlineStr">
        <is>
          <t>RT20250717-07928</t>
        </is>
      </c>
      <c r="B7929" s="59" t="inlineStr">
        <is>
          <t>2025-07-17</t>
        </is>
      </c>
      <c r="C7929" s="60" t="inlineStr">
        <is>
          <t>Metro Accessorie Max-316</t>
        </is>
      </c>
      <c r="D7929" s="58" t="inlineStr">
        <is>
          <t>Apparel</t>
        </is>
      </c>
      <c r="E7929" s="58" t="inlineStr">
        <is>
          <t>South</t>
        </is>
      </c>
      <c r="F7929" s="61" t="n">
        <v>2</v>
      </c>
      <c r="G7929" s="62" t="n">
        <v>167.01</v>
      </c>
      <c r="H7929" s="63" t="n">
        <v>0.109</v>
      </c>
      <c r="I7929" s="62" t="n">
        <v>95.22</v>
      </c>
      <c r="J7929" s="58" t="inlineStr">
        <is>
          <t>Store</t>
        </is>
      </c>
      <c r="K7929" s="62">
        <f>F7929*(G7929-H7929)</f>
        <v/>
      </c>
      <c r="L7929" s="62">
        <f>K7929-(F7929*I7929)</f>
        <v/>
      </c>
      <c r="M7929" s="64">
        <f>L7929/K7929</f>
        <v/>
      </c>
    </row>
    <row r="7930">
      <c r="A7930" s="58" t="inlineStr">
        <is>
          <t>RT20250717-07929</t>
        </is>
      </c>
      <c r="B7930" s="59" t="inlineStr">
        <is>
          <t>2025-07-17</t>
        </is>
      </c>
      <c r="C7930" s="60" t="inlineStr">
        <is>
          <t>Nimbus Men Plus-231</t>
        </is>
      </c>
      <c r="D7930" s="58" t="inlineStr">
        <is>
          <t>Apparel</t>
        </is>
      </c>
      <c r="E7930" s="58" t="inlineStr">
        <is>
          <t>North</t>
        </is>
      </c>
      <c r="F7930" s="61" t="n">
        <v>3</v>
      </c>
      <c r="G7930" s="62" t="n">
        <v>159.79</v>
      </c>
      <c r="H7930" s="63" t="n">
        <v>0.093</v>
      </c>
      <c r="I7930" s="62" t="n">
        <v>90.02</v>
      </c>
      <c r="J7930" s="58" t="inlineStr">
        <is>
          <t>Online</t>
        </is>
      </c>
      <c r="K7930" s="62">
        <f>F7930*(G7930-H7930)</f>
        <v/>
      </c>
      <c r="L7930" s="62">
        <f>K7930-(F7930*I7930)</f>
        <v/>
      </c>
      <c r="M7930" s="64">
        <f>L7930/K7930</f>
        <v/>
      </c>
    </row>
    <row r="7931">
      <c r="A7931" s="58" t="inlineStr">
        <is>
          <t>RT20250717-07930</t>
        </is>
      </c>
      <c r="B7931" s="59" t="inlineStr">
        <is>
          <t>2025-07-17</t>
        </is>
      </c>
      <c r="C7931" s="60" t="inlineStr">
        <is>
          <t>Aurora Makeup S-626</t>
        </is>
      </c>
      <c r="D7931" s="58" t="inlineStr">
        <is>
          <t>Beauty</t>
        </is>
      </c>
      <c r="E7931" s="58" t="inlineStr">
        <is>
          <t>West</t>
        </is>
      </c>
      <c r="F7931" s="61" t="n">
        <v>1</v>
      </c>
      <c r="G7931" s="62" t="n">
        <v>118.43</v>
      </c>
      <c r="H7931" s="63" t="n">
        <v>0.045</v>
      </c>
      <c r="I7931" s="62" t="n">
        <v>65.83</v>
      </c>
      <c r="J7931" s="58" t="inlineStr">
        <is>
          <t>Online</t>
        </is>
      </c>
      <c r="K7931" s="62">
        <f>F7931*(G7931-H7931)</f>
        <v/>
      </c>
      <c r="L7931" s="62">
        <f>K7931-(F7931*I7931)</f>
        <v/>
      </c>
      <c r="M7931" s="64">
        <f>L7931/K7931</f>
        <v/>
      </c>
    </row>
    <row r="7932">
      <c r="A7932" s="58" t="inlineStr">
        <is>
          <t>RT20250717-07931</t>
        </is>
      </c>
      <c r="B7932" s="59" t="inlineStr">
        <is>
          <t>2025-07-17</t>
        </is>
      </c>
      <c r="C7932" s="60" t="inlineStr">
        <is>
          <t>Falcon Household Plus-172</t>
        </is>
      </c>
      <c r="D7932" s="58" t="inlineStr">
        <is>
          <t>Grocery</t>
        </is>
      </c>
      <c r="E7932" s="58" t="inlineStr">
        <is>
          <t>North</t>
        </is>
      </c>
      <c r="F7932" s="61" t="n">
        <v>5</v>
      </c>
      <c r="G7932" s="62" t="n">
        <v>22.1</v>
      </c>
      <c r="H7932" s="63" t="n">
        <v>0.053</v>
      </c>
      <c r="I7932" s="62" t="n">
        <v>16.01</v>
      </c>
      <c r="J7932" s="58" t="inlineStr">
        <is>
          <t>Store</t>
        </is>
      </c>
      <c r="K7932" s="62">
        <f>F7932*(G7932-H7932)</f>
        <v/>
      </c>
      <c r="L7932" s="62">
        <f>K7932-(F7932*I7932)</f>
        <v/>
      </c>
      <c r="M7932" s="64">
        <f>L7932/K7932</f>
        <v/>
      </c>
    </row>
    <row r="7933">
      <c r="A7933" s="58" t="inlineStr">
        <is>
          <t>RT20250717-07932</t>
        </is>
      </c>
      <c r="B7933" s="59" t="inlineStr">
        <is>
          <t>2025-07-17</t>
        </is>
      </c>
      <c r="C7933" s="60" t="inlineStr">
        <is>
          <t>Aurora Storage Lite-774</t>
        </is>
      </c>
      <c r="D7933" s="58" t="inlineStr">
        <is>
          <t>Office</t>
        </is>
      </c>
      <c r="E7933" s="58" t="inlineStr">
        <is>
          <t>East</t>
        </is>
      </c>
      <c r="F7933" s="61" t="n">
        <v>3</v>
      </c>
      <c r="G7933" s="62" t="n">
        <v>328.05</v>
      </c>
      <c r="H7933" s="63" t="n">
        <v>0.064</v>
      </c>
      <c r="I7933" s="62" t="n">
        <v>237.69</v>
      </c>
      <c r="J7933" s="58" t="inlineStr">
        <is>
          <t>Online</t>
        </is>
      </c>
      <c r="K7933" s="62">
        <f>F7933*(G7933-H7933)</f>
        <v/>
      </c>
      <c r="L7933" s="62">
        <f>K7933-(F7933*I7933)</f>
        <v/>
      </c>
      <c r="M7933" s="64">
        <f>L7933/K7933</f>
        <v/>
      </c>
    </row>
    <row r="7934">
      <c r="A7934" s="58" t="inlineStr">
        <is>
          <t>RT20250717-07933</t>
        </is>
      </c>
      <c r="B7934" s="59" t="inlineStr">
        <is>
          <t>2025-07-17</t>
        </is>
      </c>
      <c r="C7934" s="60" t="inlineStr">
        <is>
          <t>Falcon Accessorie S-195</t>
        </is>
      </c>
      <c r="D7934" s="58" t="inlineStr">
        <is>
          <t>Apparel</t>
        </is>
      </c>
      <c r="E7934" s="58" t="inlineStr">
        <is>
          <t>South</t>
        </is>
      </c>
      <c r="F7934" s="61" t="n">
        <v>1</v>
      </c>
      <c r="G7934" s="62" t="n">
        <v>61.15</v>
      </c>
      <c r="H7934" s="63" t="n">
        <v>0.036</v>
      </c>
      <c r="I7934" s="62" t="n">
        <v>41.64</v>
      </c>
      <c r="J7934" s="58" t="inlineStr">
        <is>
          <t>Online</t>
        </is>
      </c>
      <c r="K7934" s="62">
        <f>F7934*(G7934-H7934)</f>
        <v/>
      </c>
      <c r="L7934" s="62">
        <f>K7934-(F7934*I7934)</f>
        <v/>
      </c>
      <c r="M7934" s="64">
        <f>L7934/K7934</f>
        <v/>
      </c>
    </row>
    <row r="7935">
      <c r="A7935" s="58" t="inlineStr">
        <is>
          <t>RT20250717-07934</t>
        </is>
      </c>
      <c r="B7935" s="59" t="inlineStr">
        <is>
          <t>2025-07-17</t>
        </is>
      </c>
      <c r="C7935" s="60" t="inlineStr">
        <is>
          <t>Orion Supplie S-612</t>
        </is>
      </c>
      <c r="D7935" s="58" t="inlineStr">
        <is>
          <t>Office</t>
        </is>
      </c>
      <c r="E7935" s="58" t="inlineStr">
        <is>
          <t>North</t>
        </is>
      </c>
      <c r="F7935" s="61" t="n">
        <v>3</v>
      </c>
      <c r="G7935" s="62" t="n">
        <v>526.53</v>
      </c>
      <c r="H7935" s="63" t="n">
        <v>0.06</v>
      </c>
      <c r="I7935" s="62" t="n">
        <v>331.34</v>
      </c>
      <c r="J7935" s="58" t="inlineStr">
        <is>
          <t>Store</t>
        </is>
      </c>
      <c r="K7935" s="62">
        <f>F7935*(G7935-H7935)</f>
        <v/>
      </c>
      <c r="L7935" s="62">
        <f>K7935-(F7935*I7935)</f>
        <v/>
      </c>
      <c r="M7935" s="64">
        <f>L7935/K7935</f>
        <v/>
      </c>
    </row>
    <row r="7936">
      <c r="A7936" s="58" t="inlineStr">
        <is>
          <t>RT20250717-07935</t>
        </is>
      </c>
      <c r="B7936" s="59" t="inlineStr">
        <is>
          <t>2025-07-17</t>
        </is>
      </c>
      <c r="C7936" s="60" t="inlineStr">
        <is>
          <t>Polar Fragrance Pro-750</t>
        </is>
      </c>
      <c r="D7936" s="58" t="inlineStr">
        <is>
          <t>Beauty</t>
        </is>
      </c>
      <c r="E7936" s="58" t="inlineStr">
        <is>
          <t>North</t>
        </is>
      </c>
      <c r="F7936" s="61" t="n">
        <v>5</v>
      </c>
      <c r="G7936" s="62" t="n">
        <v>61.48</v>
      </c>
      <c r="H7936" s="63" t="n">
        <v>0.056</v>
      </c>
      <c r="I7936" s="62" t="n">
        <v>36.19</v>
      </c>
      <c r="J7936" s="58" t="inlineStr">
        <is>
          <t>Store</t>
        </is>
      </c>
      <c r="K7936" s="62">
        <f>F7936*(G7936-H7936)</f>
        <v/>
      </c>
      <c r="L7936" s="62">
        <f>K7936-(F7936*I7936)</f>
        <v/>
      </c>
      <c r="M7936" s="64">
        <f>L7936/K7936</f>
        <v/>
      </c>
    </row>
    <row r="7937">
      <c r="A7937" s="58" t="inlineStr">
        <is>
          <t>RT20250717-07936</t>
        </is>
      </c>
      <c r="B7937" s="59" t="inlineStr">
        <is>
          <t>2025-07-17</t>
        </is>
      </c>
      <c r="C7937" s="60" t="inlineStr">
        <is>
          <t>Nimbus Laptop Max-652</t>
        </is>
      </c>
      <c r="D7937" s="58" t="inlineStr">
        <is>
          <t>Electronics</t>
        </is>
      </c>
      <c r="E7937" s="58" t="inlineStr">
        <is>
          <t>East</t>
        </is>
      </c>
      <c r="F7937" s="61" t="n">
        <v>2</v>
      </c>
      <c r="G7937" s="62" t="n">
        <v>1149.92</v>
      </c>
      <c r="H7937" s="63" t="n">
        <v>0.03</v>
      </c>
      <c r="I7937" s="62" t="n">
        <v>1031.04</v>
      </c>
      <c r="J7937" s="58" t="inlineStr">
        <is>
          <t>Online</t>
        </is>
      </c>
      <c r="K7937" s="62">
        <f>F7937*(G7937-H7937)</f>
        <v/>
      </c>
      <c r="L7937" s="62">
        <f>K7937-(F7937*I7937)</f>
        <v/>
      </c>
      <c r="M7937" s="64">
        <f>L7937/K7937</f>
        <v/>
      </c>
    </row>
    <row r="7938">
      <c r="A7938" s="58" t="inlineStr">
        <is>
          <t>RT20250717-07937</t>
        </is>
      </c>
      <c r="B7938" s="59" t="inlineStr">
        <is>
          <t>2025-07-17</t>
        </is>
      </c>
      <c r="C7938" s="60" t="inlineStr">
        <is>
          <t>Vertex Supplie Pro-786</t>
        </is>
      </c>
      <c r="D7938" s="58" t="inlineStr">
        <is>
          <t>Office</t>
        </is>
      </c>
      <c r="E7938" s="58" t="inlineStr">
        <is>
          <t>North</t>
        </is>
      </c>
      <c r="F7938" s="61" t="n">
        <v>3</v>
      </c>
      <c r="G7938" s="62" t="n">
        <v>451.73</v>
      </c>
      <c r="H7938" s="63" t="n">
        <v>0.064</v>
      </c>
      <c r="I7938" s="62" t="n">
        <v>289.98</v>
      </c>
      <c r="J7938" s="58" t="inlineStr">
        <is>
          <t>Online</t>
        </is>
      </c>
      <c r="K7938" s="62">
        <f>F7938*(G7938-H7938)</f>
        <v/>
      </c>
      <c r="L7938" s="62">
        <f>K7938-(F7938*I7938)</f>
        <v/>
      </c>
      <c r="M7938" s="64">
        <f>L7938/K7938</f>
        <v/>
      </c>
    </row>
    <row r="7939">
      <c r="A7939" s="58" t="inlineStr">
        <is>
          <t>RT20250717-07938</t>
        </is>
      </c>
      <c r="B7939" s="59" t="inlineStr">
        <is>
          <t>2025-07-17</t>
        </is>
      </c>
      <c r="C7939" s="60" t="inlineStr">
        <is>
          <t>Falcon Household Pro-865</t>
        </is>
      </c>
      <c r="D7939" s="58" t="inlineStr">
        <is>
          <t>Grocery</t>
        </is>
      </c>
      <c r="E7939" s="58" t="inlineStr">
        <is>
          <t>West</t>
        </is>
      </c>
      <c r="F7939" s="61" t="n">
        <v>2</v>
      </c>
      <c r="G7939" s="62" t="n">
        <v>11.79</v>
      </c>
      <c r="H7939" s="63" t="n">
        <v>0.07199999999999999</v>
      </c>
      <c r="I7939" s="62" t="n">
        <v>7.64</v>
      </c>
      <c r="J7939" s="58" t="inlineStr">
        <is>
          <t>Online</t>
        </is>
      </c>
      <c r="K7939" s="62">
        <f>F7939*(G7939-H7939)</f>
        <v/>
      </c>
      <c r="L7939" s="62">
        <f>K7939-(F7939*I7939)</f>
        <v/>
      </c>
      <c r="M7939" s="64">
        <f>L7939/K7939</f>
        <v/>
      </c>
    </row>
    <row r="7940">
      <c r="A7940" s="58" t="inlineStr">
        <is>
          <t>RT20250717-07939</t>
        </is>
      </c>
      <c r="B7940" s="59" t="inlineStr">
        <is>
          <t>2025-07-17</t>
        </is>
      </c>
      <c r="C7940" s="60" t="inlineStr">
        <is>
          <t>Metro Smartphone Max-773</t>
        </is>
      </c>
      <c r="D7940" s="58" t="inlineStr">
        <is>
          <t>Electronics</t>
        </is>
      </c>
      <c r="E7940" s="58" t="inlineStr">
        <is>
          <t>Central</t>
        </is>
      </c>
      <c r="F7940" s="61" t="n">
        <v>2</v>
      </c>
      <c r="G7940" s="62" t="n">
        <v>1381.85</v>
      </c>
      <c r="H7940" s="63" t="n">
        <v>0</v>
      </c>
      <c r="I7940" s="62" t="n">
        <v>1101</v>
      </c>
      <c r="J7940" s="58" t="inlineStr">
        <is>
          <t>Online</t>
        </is>
      </c>
      <c r="K7940" s="62">
        <f>F7940*(G7940-H7940)</f>
        <v/>
      </c>
      <c r="L7940" s="62">
        <f>K7940-(F7940*I7940)</f>
        <v/>
      </c>
      <c r="M7940" s="64">
        <f>L7940/K7940</f>
        <v/>
      </c>
    </row>
    <row r="7941">
      <c r="A7941" s="58" t="inlineStr">
        <is>
          <t>RT20250717-07940</t>
        </is>
      </c>
      <c r="B7941" s="59" t="inlineStr">
        <is>
          <t>2025-07-17</t>
        </is>
      </c>
      <c r="C7941" s="60" t="inlineStr">
        <is>
          <t>Falcon Bedding S-674</t>
        </is>
      </c>
      <c r="D7941" s="58" t="inlineStr">
        <is>
          <t>Home</t>
        </is>
      </c>
      <c r="E7941" s="58" t="inlineStr">
        <is>
          <t>East</t>
        </is>
      </c>
      <c r="F7941" s="61" t="n">
        <v>1</v>
      </c>
      <c r="G7941" s="62" t="n">
        <v>669.84</v>
      </c>
      <c r="H7941" s="63" t="n">
        <v>0.026</v>
      </c>
      <c r="I7941" s="62" t="n">
        <v>451.47</v>
      </c>
      <c r="J7941" s="58" t="inlineStr">
        <is>
          <t>Store</t>
        </is>
      </c>
      <c r="K7941" s="62">
        <f>F7941*(G7941-H7941)</f>
        <v/>
      </c>
      <c r="L7941" s="62">
        <f>K7941-(F7941*I7941)</f>
        <v/>
      </c>
      <c r="M7941" s="64">
        <f>L7941/K7941</f>
        <v/>
      </c>
    </row>
    <row r="7942">
      <c r="A7942" s="58" t="inlineStr">
        <is>
          <t>RT20250717-07941</t>
        </is>
      </c>
      <c r="B7942" s="59" t="inlineStr">
        <is>
          <t>2025-07-17</t>
        </is>
      </c>
      <c r="C7942" s="60" t="inlineStr">
        <is>
          <t>Nimbus Furniture Pro-479</t>
        </is>
      </c>
      <c r="D7942" s="58" t="inlineStr">
        <is>
          <t>Office</t>
        </is>
      </c>
      <c r="E7942" s="58" t="inlineStr">
        <is>
          <t>Central</t>
        </is>
      </c>
      <c r="F7942" s="61" t="n">
        <v>1</v>
      </c>
      <c r="G7942" s="62" t="n">
        <v>288.94</v>
      </c>
      <c r="H7942" s="63" t="n">
        <v>0.007</v>
      </c>
      <c r="I7942" s="62" t="n">
        <v>243.31</v>
      </c>
      <c r="J7942" s="58" t="inlineStr">
        <is>
          <t>Online</t>
        </is>
      </c>
      <c r="K7942" s="62">
        <f>F7942*(G7942-H7942)</f>
        <v/>
      </c>
      <c r="L7942" s="62">
        <f>K7942-(F7942*I7942)</f>
        <v/>
      </c>
      <c r="M7942" s="64">
        <f>L7942/K7942</f>
        <v/>
      </c>
    </row>
    <row r="7943">
      <c r="A7943" s="58" t="inlineStr">
        <is>
          <t>RT20250717-07942</t>
        </is>
      </c>
      <c r="B7943" s="59" t="inlineStr">
        <is>
          <t>2025-07-17</t>
        </is>
      </c>
      <c r="C7943" s="60" t="inlineStr">
        <is>
          <t>Aurora Appliance Lite-109</t>
        </is>
      </c>
      <c r="D7943" s="58" t="inlineStr">
        <is>
          <t>Home</t>
        </is>
      </c>
      <c r="E7943" s="58" t="inlineStr">
        <is>
          <t>East</t>
        </is>
      </c>
      <c r="F7943" s="61" t="n">
        <v>2</v>
      </c>
      <c r="G7943" s="62" t="n">
        <v>278.34</v>
      </c>
      <c r="H7943" s="63" t="n">
        <v>0.076</v>
      </c>
      <c r="I7943" s="62" t="n">
        <v>204.34</v>
      </c>
      <c r="J7943" s="58" t="inlineStr">
        <is>
          <t>Online</t>
        </is>
      </c>
      <c r="K7943" s="62">
        <f>F7943*(G7943-H7943)</f>
        <v/>
      </c>
      <c r="L7943" s="62">
        <f>K7943-(F7943*I7943)</f>
        <v/>
      </c>
      <c r="M7943" s="64">
        <f>L7943/K7943</f>
        <v/>
      </c>
    </row>
    <row r="7944">
      <c r="A7944" s="58" t="inlineStr">
        <is>
          <t>RT20250717-07943</t>
        </is>
      </c>
      <c r="B7944" s="59" t="inlineStr">
        <is>
          <t>2025-07-17</t>
        </is>
      </c>
      <c r="C7944" s="60" t="inlineStr">
        <is>
          <t>Polar Beverage S-258</t>
        </is>
      </c>
      <c r="D7944" s="58" t="inlineStr">
        <is>
          <t>Grocery</t>
        </is>
      </c>
      <c r="E7944" s="58" t="inlineStr">
        <is>
          <t>West</t>
        </is>
      </c>
      <c r="F7944" s="61" t="n">
        <v>5</v>
      </c>
      <c r="G7944" s="62" t="n">
        <v>12.45</v>
      </c>
      <c r="H7944" s="63" t="n">
        <v>0.07000000000000001</v>
      </c>
      <c r="I7944" s="62" t="n">
        <v>9.74</v>
      </c>
      <c r="J7944" s="58" t="inlineStr">
        <is>
          <t>Phone</t>
        </is>
      </c>
      <c r="K7944" s="62">
        <f>F7944*(G7944-H7944)</f>
        <v/>
      </c>
      <c r="L7944" s="62">
        <f>K7944-(F7944*I7944)</f>
        <v/>
      </c>
      <c r="M7944" s="64">
        <f>L7944/K7944</f>
        <v/>
      </c>
    </row>
    <row r="7945">
      <c r="A7945" s="58" t="inlineStr">
        <is>
          <t>RT20250717-07944</t>
        </is>
      </c>
      <c r="B7945" s="59" t="inlineStr">
        <is>
          <t>2025-07-17</t>
        </is>
      </c>
      <c r="C7945" s="60" t="inlineStr">
        <is>
          <t>Nimbus Storage Plus-646</t>
        </is>
      </c>
      <c r="D7945" s="58" t="inlineStr">
        <is>
          <t>Office</t>
        </is>
      </c>
      <c r="E7945" s="58" t="inlineStr">
        <is>
          <t>North</t>
        </is>
      </c>
      <c r="F7945" s="61" t="n">
        <v>1</v>
      </c>
      <c r="G7945" s="62" t="n">
        <v>402.19</v>
      </c>
      <c r="H7945" s="63" t="n">
        <v>0.028</v>
      </c>
      <c r="I7945" s="62" t="n">
        <v>308.33</v>
      </c>
      <c r="J7945" s="58" t="inlineStr">
        <is>
          <t>Online</t>
        </is>
      </c>
      <c r="K7945" s="62">
        <f>F7945*(G7945-H7945)</f>
        <v/>
      </c>
      <c r="L7945" s="62">
        <f>K7945-(F7945*I7945)</f>
        <v/>
      </c>
      <c r="M7945" s="64">
        <f>L7945/K7945</f>
        <v/>
      </c>
    </row>
    <row r="7946">
      <c r="A7946" s="58" t="inlineStr">
        <is>
          <t>RT20250717-07945</t>
        </is>
      </c>
      <c r="B7946" s="59" t="inlineStr">
        <is>
          <t>2025-07-17</t>
        </is>
      </c>
      <c r="C7946" s="60" t="inlineStr">
        <is>
          <t>Aurora Skincare Max-798</t>
        </is>
      </c>
      <c r="D7946" s="58" t="inlineStr">
        <is>
          <t>Beauty</t>
        </is>
      </c>
      <c r="E7946" s="58" t="inlineStr">
        <is>
          <t>South</t>
        </is>
      </c>
      <c r="F7946" s="61" t="n">
        <v>2</v>
      </c>
      <c r="G7946" s="62" t="n">
        <v>106.94</v>
      </c>
      <c r="H7946" s="63" t="n">
        <v>0.055</v>
      </c>
      <c r="I7946" s="62" t="n">
        <v>69.56999999999999</v>
      </c>
      <c r="J7946" s="58" t="inlineStr">
        <is>
          <t>Store</t>
        </is>
      </c>
      <c r="K7946" s="62">
        <f>F7946*(G7946-H7946)</f>
        <v/>
      </c>
      <c r="L7946" s="62">
        <f>K7946-(F7946*I7946)</f>
        <v/>
      </c>
      <c r="M7946" s="64">
        <f>L7946/K7946</f>
        <v/>
      </c>
    </row>
    <row r="7947">
      <c r="A7947" s="58" t="inlineStr">
        <is>
          <t>RT20250717-07946</t>
        </is>
      </c>
      <c r="B7947" s="59" t="inlineStr">
        <is>
          <t>2025-07-17</t>
        </is>
      </c>
      <c r="C7947" s="60" t="inlineStr">
        <is>
          <t>Polar Bedding Lite-243</t>
        </is>
      </c>
      <c r="D7947" s="58" t="inlineStr">
        <is>
          <t>Home</t>
        </is>
      </c>
      <c r="E7947" s="58" t="inlineStr">
        <is>
          <t>West</t>
        </is>
      </c>
      <c r="F7947" s="61" t="n">
        <v>3</v>
      </c>
      <c r="G7947" s="62" t="n">
        <v>382.38</v>
      </c>
      <c r="H7947" s="63" t="n">
        <v>0.057</v>
      </c>
      <c r="I7947" s="62" t="n">
        <v>324.42</v>
      </c>
      <c r="J7947" s="58" t="inlineStr">
        <is>
          <t>Online</t>
        </is>
      </c>
      <c r="K7947" s="62">
        <f>F7947*(G7947-H7947)</f>
        <v/>
      </c>
      <c r="L7947" s="62">
        <f>K7947-(F7947*I7947)</f>
        <v/>
      </c>
      <c r="M7947" s="64">
        <f>L7947/K7947</f>
        <v/>
      </c>
    </row>
    <row r="7948">
      <c r="A7948" s="58" t="inlineStr">
        <is>
          <t>RT20250717-07947</t>
        </is>
      </c>
      <c r="B7948" s="59" t="inlineStr">
        <is>
          <t>2025-07-17</t>
        </is>
      </c>
      <c r="C7948" s="60" t="inlineStr">
        <is>
          <t>Polar Cycling S-223</t>
        </is>
      </c>
      <c r="D7948" s="58" t="inlineStr">
        <is>
          <t>Sports</t>
        </is>
      </c>
      <c r="E7948" s="58" t="inlineStr">
        <is>
          <t>North</t>
        </is>
      </c>
      <c r="F7948" s="61" t="n">
        <v>2</v>
      </c>
      <c r="G7948" s="62" t="n">
        <v>944.59</v>
      </c>
      <c r="H7948" s="63" t="n">
        <v>0.057</v>
      </c>
      <c r="I7948" s="62" t="n">
        <v>632.45</v>
      </c>
      <c r="J7948" s="58" t="inlineStr">
        <is>
          <t>Store</t>
        </is>
      </c>
      <c r="K7948" s="62">
        <f>F7948*(G7948-H7948)</f>
        <v/>
      </c>
      <c r="L7948" s="62">
        <f>K7948-(F7948*I7948)</f>
        <v/>
      </c>
      <c r="M7948" s="64">
        <f>L7948/K7948</f>
        <v/>
      </c>
    </row>
    <row r="7949">
      <c r="A7949" s="58" t="inlineStr">
        <is>
          <t>RT20250717-07948</t>
        </is>
      </c>
      <c r="B7949" s="59" t="inlineStr">
        <is>
          <t>2025-07-17</t>
        </is>
      </c>
      <c r="C7949" s="60" t="inlineStr">
        <is>
          <t>Falcon Cycling Pro-499</t>
        </is>
      </c>
      <c r="D7949" s="58" t="inlineStr">
        <is>
          <t>Sports</t>
        </is>
      </c>
      <c r="E7949" s="58" t="inlineStr">
        <is>
          <t>West</t>
        </is>
      </c>
      <c r="F7949" s="61" t="n">
        <v>1</v>
      </c>
      <c r="G7949" s="62" t="n">
        <v>585.34</v>
      </c>
      <c r="H7949" s="63" t="n">
        <v>0.049</v>
      </c>
      <c r="I7949" s="62" t="n">
        <v>404.66</v>
      </c>
      <c r="J7949" s="58" t="inlineStr">
        <is>
          <t>Online</t>
        </is>
      </c>
      <c r="K7949" s="62">
        <f>F7949*(G7949-H7949)</f>
        <v/>
      </c>
      <c r="L7949" s="62">
        <f>K7949-(F7949*I7949)</f>
        <v/>
      </c>
      <c r="M7949" s="64">
        <f>L7949/K7949</f>
        <v/>
      </c>
    </row>
    <row r="7950">
      <c r="A7950" s="58" t="inlineStr">
        <is>
          <t>RT20250717-07949</t>
        </is>
      </c>
      <c r="B7950" s="59" t="inlineStr">
        <is>
          <t>2025-07-17</t>
        </is>
      </c>
      <c r="C7950" s="60" t="inlineStr">
        <is>
          <t>Falcon Headphone Plus-789</t>
        </is>
      </c>
      <c r="D7950" s="58" t="inlineStr">
        <is>
          <t>Electronics</t>
        </is>
      </c>
      <c r="E7950" s="58" t="inlineStr">
        <is>
          <t>East</t>
        </is>
      </c>
      <c r="F7950" s="61" t="n">
        <v>1</v>
      </c>
      <c r="G7950" s="62" t="n">
        <v>1734.34</v>
      </c>
      <c r="H7950" s="63" t="n">
        <v>0.126</v>
      </c>
      <c r="I7950" s="62" t="n">
        <v>1326.85</v>
      </c>
      <c r="J7950" s="58" t="inlineStr">
        <is>
          <t>Store</t>
        </is>
      </c>
      <c r="K7950" s="62">
        <f>F7950*(G7950-H7950)</f>
        <v/>
      </c>
      <c r="L7950" s="62">
        <f>K7950-(F7950*I7950)</f>
        <v/>
      </c>
      <c r="M7950" s="64">
        <f>L7950/K7950</f>
        <v/>
      </c>
    </row>
    <row r="7951">
      <c r="A7951" s="58" t="inlineStr">
        <is>
          <t>RT20250717-07950</t>
        </is>
      </c>
      <c r="B7951" s="59" t="inlineStr">
        <is>
          <t>2025-07-17</t>
        </is>
      </c>
      <c r="C7951" s="60" t="inlineStr">
        <is>
          <t>Aurora Bedding Plus-187</t>
        </is>
      </c>
      <c r="D7951" s="58" t="inlineStr">
        <is>
          <t>Home</t>
        </is>
      </c>
      <c r="E7951" s="58" t="inlineStr">
        <is>
          <t>East</t>
        </is>
      </c>
      <c r="F7951" s="61" t="n">
        <v>3</v>
      </c>
      <c r="G7951" s="62" t="n">
        <v>305.83</v>
      </c>
      <c r="H7951" s="63" t="n">
        <v>0.1</v>
      </c>
      <c r="I7951" s="62" t="n">
        <v>213.87</v>
      </c>
      <c r="J7951" s="58" t="inlineStr">
        <is>
          <t>Online</t>
        </is>
      </c>
      <c r="K7951" s="62">
        <f>F7951*(G7951-H7951)</f>
        <v/>
      </c>
      <c r="L7951" s="62">
        <f>K7951-(F7951*I7951)</f>
        <v/>
      </c>
      <c r="M7951" s="64">
        <f>L7951/K7951</f>
        <v/>
      </c>
    </row>
    <row r="7952">
      <c r="A7952" s="58" t="inlineStr">
        <is>
          <t>RT20250717-07951</t>
        </is>
      </c>
      <c r="B7952" s="59" t="inlineStr">
        <is>
          <t>2025-07-17</t>
        </is>
      </c>
      <c r="C7952" s="60" t="inlineStr">
        <is>
          <t>Polar Men Pro-246</t>
        </is>
      </c>
      <c r="D7952" s="58" t="inlineStr">
        <is>
          <t>Apparel</t>
        </is>
      </c>
      <c r="E7952" s="58" t="inlineStr">
        <is>
          <t>South</t>
        </is>
      </c>
      <c r="F7952" s="61" t="n">
        <v>3</v>
      </c>
      <c r="G7952" s="62" t="n">
        <v>134.51</v>
      </c>
      <c r="H7952" s="63" t="n">
        <v>0.04</v>
      </c>
      <c r="I7952" s="62" t="n">
        <v>77.75</v>
      </c>
      <c r="J7952" s="58" t="inlineStr">
        <is>
          <t>Online</t>
        </is>
      </c>
      <c r="K7952" s="62">
        <f>F7952*(G7952-H7952)</f>
        <v/>
      </c>
      <c r="L7952" s="62">
        <f>K7952-(F7952*I7952)</f>
        <v/>
      </c>
      <c r="M7952" s="64">
        <f>L7952/K7952</f>
        <v/>
      </c>
    </row>
    <row r="7953">
      <c r="A7953" s="58" t="inlineStr">
        <is>
          <t>RT20250717-07952</t>
        </is>
      </c>
      <c r="B7953" s="59" t="inlineStr">
        <is>
          <t>2025-07-17</t>
        </is>
      </c>
      <c r="C7953" s="60" t="inlineStr">
        <is>
          <t>Metro Beverage Max-490</t>
        </is>
      </c>
      <c r="D7953" s="58" t="inlineStr">
        <is>
          <t>Grocery</t>
        </is>
      </c>
      <c r="E7953" s="58" t="inlineStr">
        <is>
          <t>South</t>
        </is>
      </c>
      <c r="F7953" s="61" t="n">
        <v>1</v>
      </c>
      <c r="G7953" s="62" t="n">
        <v>11.18</v>
      </c>
      <c r="H7953" s="63" t="n">
        <v>0.062</v>
      </c>
      <c r="I7953" s="62" t="n">
        <v>8.039999999999999</v>
      </c>
      <c r="J7953" s="58" t="inlineStr">
        <is>
          <t>Online</t>
        </is>
      </c>
      <c r="K7953" s="62">
        <f>F7953*(G7953-H7953)</f>
        <v/>
      </c>
      <c r="L7953" s="62">
        <f>K7953-(F7953*I7953)</f>
        <v/>
      </c>
      <c r="M7953" s="64">
        <f>L7953/K7953</f>
        <v/>
      </c>
    </row>
    <row r="7954">
      <c r="A7954" s="58" t="inlineStr">
        <is>
          <t>RT20250717-07953</t>
        </is>
      </c>
      <c r="B7954" s="59" t="inlineStr">
        <is>
          <t>2025-07-17</t>
        </is>
      </c>
      <c r="C7954" s="60" t="inlineStr">
        <is>
          <t>Polar Beverage S-258</t>
        </is>
      </c>
      <c r="D7954" s="58" t="inlineStr">
        <is>
          <t>Grocery</t>
        </is>
      </c>
      <c r="E7954" s="58" t="inlineStr">
        <is>
          <t>Central</t>
        </is>
      </c>
      <c r="F7954" s="61" t="n">
        <v>6</v>
      </c>
      <c r="G7954" s="62" t="n">
        <v>13.2</v>
      </c>
      <c r="H7954" s="63" t="n">
        <v>0.095</v>
      </c>
      <c r="I7954" s="62" t="n">
        <v>9.970000000000001</v>
      </c>
      <c r="J7954" s="58" t="inlineStr">
        <is>
          <t>Online</t>
        </is>
      </c>
      <c r="K7954" s="62">
        <f>F7954*(G7954-H7954)</f>
        <v/>
      </c>
      <c r="L7954" s="62">
        <f>K7954-(F7954*I7954)</f>
        <v/>
      </c>
      <c r="M7954" s="64">
        <f>L7954/K7954</f>
        <v/>
      </c>
    </row>
    <row r="7955">
      <c r="A7955" s="58" t="inlineStr">
        <is>
          <t>RT20250717-07954</t>
        </is>
      </c>
      <c r="B7955" s="59" t="inlineStr">
        <is>
          <t>2025-07-17</t>
        </is>
      </c>
      <c r="C7955" s="60" t="inlineStr">
        <is>
          <t>Polar Outdoor Lite-318</t>
        </is>
      </c>
      <c r="D7955" s="58" t="inlineStr">
        <is>
          <t>Sports</t>
        </is>
      </c>
      <c r="E7955" s="58" t="inlineStr">
        <is>
          <t>East</t>
        </is>
      </c>
      <c r="F7955" s="61" t="n">
        <v>2</v>
      </c>
      <c r="G7955" s="62" t="n">
        <v>704.71</v>
      </c>
      <c r="H7955" s="63" t="n">
        <v>0.017</v>
      </c>
      <c r="I7955" s="62" t="n">
        <v>467.64</v>
      </c>
      <c r="J7955" s="58" t="inlineStr">
        <is>
          <t>Store</t>
        </is>
      </c>
      <c r="K7955" s="62">
        <f>F7955*(G7955-H7955)</f>
        <v/>
      </c>
      <c r="L7955" s="62">
        <f>K7955-(F7955*I7955)</f>
        <v/>
      </c>
      <c r="M7955" s="64">
        <f>L7955/K7955</f>
        <v/>
      </c>
    </row>
    <row r="7956">
      <c r="A7956" s="58" t="inlineStr">
        <is>
          <t>RT20250717-07955</t>
        </is>
      </c>
      <c r="B7956" s="59" t="inlineStr">
        <is>
          <t>2025-07-17</t>
        </is>
      </c>
      <c r="C7956" s="60" t="inlineStr">
        <is>
          <t>Aurora Fragrance S-971</t>
        </is>
      </c>
      <c r="D7956" s="58" t="inlineStr">
        <is>
          <t>Beauty</t>
        </is>
      </c>
      <c r="E7956" s="58" t="inlineStr">
        <is>
          <t>South</t>
        </is>
      </c>
      <c r="F7956" s="61" t="n">
        <v>5</v>
      </c>
      <c r="G7956" s="62" t="n">
        <v>108.07</v>
      </c>
      <c r="H7956" s="63" t="n">
        <v>0.078</v>
      </c>
      <c r="I7956" s="62" t="n">
        <v>64.04000000000001</v>
      </c>
      <c r="J7956" s="58" t="inlineStr">
        <is>
          <t>Online</t>
        </is>
      </c>
      <c r="K7956" s="62">
        <f>F7956*(G7956-H7956)</f>
        <v/>
      </c>
      <c r="L7956" s="62">
        <f>K7956-(F7956*I7956)</f>
        <v/>
      </c>
      <c r="M7956" s="64">
        <f>L7956/K7956</f>
        <v/>
      </c>
    </row>
    <row r="7957">
      <c r="A7957" s="58" t="inlineStr">
        <is>
          <t>RT20250717-07956</t>
        </is>
      </c>
      <c r="B7957" s="59" t="inlineStr">
        <is>
          <t>2025-07-17</t>
        </is>
      </c>
      <c r="C7957" s="60" t="inlineStr">
        <is>
          <t>Vertex Furniture S-652</t>
        </is>
      </c>
      <c r="D7957" s="58" t="inlineStr">
        <is>
          <t>Office</t>
        </is>
      </c>
      <c r="E7957" s="58" t="inlineStr">
        <is>
          <t>West</t>
        </is>
      </c>
      <c r="F7957" s="61" t="n">
        <v>3</v>
      </c>
      <c r="G7957" s="62" t="n">
        <v>307.29</v>
      </c>
      <c r="H7957" s="63" t="n">
        <v>0.044</v>
      </c>
      <c r="I7957" s="62" t="n">
        <v>261.8</v>
      </c>
      <c r="J7957" s="58" t="inlineStr">
        <is>
          <t>Online</t>
        </is>
      </c>
      <c r="K7957" s="62">
        <f>F7957*(G7957-H7957)</f>
        <v/>
      </c>
      <c r="L7957" s="62">
        <f>K7957-(F7957*I7957)</f>
        <v/>
      </c>
      <c r="M7957" s="64">
        <f>L7957/K7957</f>
        <v/>
      </c>
    </row>
    <row r="7958">
      <c r="A7958" s="58" t="inlineStr">
        <is>
          <t>RT20250717-07957</t>
        </is>
      </c>
      <c r="B7958" s="59" t="inlineStr">
        <is>
          <t>2025-07-17</t>
        </is>
      </c>
      <c r="C7958" s="60" t="inlineStr">
        <is>
          <t>Solace Kitchen X-919</t>
        </is>
      </c>
      <c r="D7958" s="58" t="inlineStr">
        <is>
          <t>Home</t>
        </is>
      </c>
      <c r="E7958" s="58" t="inlineStr">
        <is>
          <t>West</t>
        </is>
      </c>
      <c r="F7958" s="61" t="n">
        <v>2</v>
      </c>
      <c r="G7958" s="62" t="n">
        <v>413.13</v>
      </c>
      <c r="H7958" s="63" t="n">
        <v>0.08799999999999999</v>
      </c>
      <c r="I7958" s="62" t="n">
        <v>266.18</v>
      </c>
      <c r="J7958" s="58" t="inlineStr">
        <is>
          <t>Store</t>
        </is>
      </c>
      <c r="K7958" s="62">
        <f>F7958*(G7958-H7958)</f>
        <v/>
      </c>
      <c r="L7958" s="62">
        <f>K7958-(F7958*I7958)</f>
        <v/>
      </c>
      <c r="M7958" s="64">
        <f>L7958/K7958</f>
        <v/>
      </c>
    </row>
    <row r="7959">
      <c r="A7959" s="58" t="inlineStr">
        <is>
          <t>RT20250717-07958</t>
        </is>
      </c>
      <c r="B7959" s="59" t="inlineStr">
        <is>
          <t>2025-07-17</t>
        </is>
      </c>
      <c r="C7959" s="60" t="inlineStr">
        <is>
          <t>Orion Fragrance Lite-785</t>
        </is>
      </c>
      <c r="D7959" s="58" t="inlineStr">
        <is>
          <t>Beauty</t>
        </is>
      </c>
      <c r="E7959" s="58" t="inlineStr">
        <is>
          <t>South</t>
        </is>
      </c>
      <c r="F7959" s="61" t="n">
        <v>3</v>
      </c>
      <c r="G7959" s="62" t="n">
        <v>37.47</v>
      </c>
      <c r="H7959" s="63" t="n">
        <v>0.053</v>
      </c>
      <c r="I7959" s="62" t="n">
        <v>26.66</v>
      </c>
      <c r="J7959" s="58" t="inlineStr">
        <is>
          <t>Online</t>
        </is>
      </c>
      <c r="K7959" s="62">
        <f>F7959*(G7959-H7959)</f>
        <v/>
      </c>
      <c r="L7959" s="62">
        <f>K7959-(F7959*I7959)</f>
        <v/>
      </c>
      <c r="M7959" s="64">
        <f>L7959/K7959</f>
        <v/>
      </c>
    </row>
    <row r="7960">
      <c r="A7960" s="58" t="inlineStr">
        <is>
          <t>RT20250717-07959</t>
        </is>
      </c>
      <c r="B7960" s="59" t="inlineStr">
        <is>
          <t>2025-07-17</t>
        </is>
      </c>
      <c r="C7960" s="60" t="inlineStr">
        <is>
          <t>Solace Laptop S-367</t>
        </is>
      </c>
      <c r="D7960" s="58" t="inlineStr">
        <is>
          <t>Electronics</t>
        </is>
      </c>
      <c r="E7960" s="58" t="inlineStr">
        <is>
          <t>South</t>
        </is>
      </c>
      <c r="F7960" s="61" t="n">
        <v>2</v>
      </c>
      <c r="G7960" s="62" t="n">
        <v>1767.62</v>
      </c>
      <c r="H7960" s="63" t="n">
        <v>0.055</v>
      </c>
      <c r="I7960" s="62" t="n">
        <v>1559.5</v>
      </c>
      <c r="J7960" s="58" t="inlineStr">
        <is>
          <t>Online</t>
        </is>
      </c>
      <c r="K7960" s="62">
        <f>F7960*(G7960-H7960)</f>
        <v/>
      </c>
      <c r="L7960" s="62">
        <f>K7960-(F7960*I7960)</f>
        <v/>
      </c>
      <c r="M7960" s="64">
        <f>L7960/K7960</f>
        <v/>
      </c>
    </row>
    <row r="7961">
      <c r="A7961" s="58" t="inlineStr">
        <is>
          <t>RT20250717-07960</t>
        </is>
      </c>
      <c r="B7961" s="59" t="inlineStr">
        <is>
          <t>2025-07-17</t>
        </is>
      </c>
      <c r="C7961" s="60" t="inlineStr">
        <is>
          <t>Vertex Headphone Pro-801</t>
        </is>
      </c>
      <c r="D7961" s="58" t="inlineStr">
        <is>
          <t>Electronics</t>
        </is>
      </c>
      <c r="E7961" s="58" t="inlineStr">
        <is>
          <t>Central</t>
        </is>
      </c>
      <c r="F7961" s="61" t="n">
        <v>2</v>
      </c>
      <c r="G7961" s="62" t="n">
        <v>1250.7</v>
      </c>
      <c r="H7961" s="63" t="n">
        <v>0.007</v>
      </c>
      <c r="I7961" s="62" t="n">
        <v>998.71</v>
      </c>
      <c r="J7961" s="58" t="inlineStr">
        <is>
          <t>Phone</t>
        </is>
      </c>
      <c r="K7961" s="62">
        <f>F7961*(G7961-H7961)</f>
        <v/>
      </c>
      <c r="L7961" s="62">
        <f>K7961-(F7961*I7961)</f>
        <v/>
      </c>
      <c r="M7961" s="64">
        <f>L7961/K7961</f>
        <v/>
      </c>
    </row>
    <row r="7962">
      <c r="A7962" s="58" t="inlineStr">
        <is>
          <t>RT20250717-07961</t>
        </is>
      </c>
      <c r="B7962" s="59" t="inlineStr">
        <is>
          <t>2025-07-17</t>
        </is>
      </c>
      <c r="C7962" s="60" t="inlineStr">
        <is>
          <t>Aurora Household Plus-146</t>
        </is>
      </c>
      <c r="D7962" s="58" t="inlineStr">
        <is>
          <t>Grocery</t>
        </is>
      </c>
      <c r="E7962" s="58" t="inlineStr">
        <is>
          <t>West</t>
        </is>
      </c>
      <c r="F7962" s="61" t="n">
        <v>2</v>
      </c>
      <c r="G7962" s="62" t="n">
        <v>6.41</v>
      </c>
      <c r="H7962" s="63" t="n">
        <v>0.051</v>
      </c>
      <c r="I7962" s="62" t="n">
        <v>4.66</v>
      </c>
      <c r="J7962" s="58" t="inlineStr">
        <is>
          <t>Store</t>
        </is>
      </c>
      <c r="K7962" s="62">
        <f>F7962*(G7962-H7962)</f>
        <v/>
      </c>
      <c r="L7962" s="62">
        <f>K7962-(F7962*I7962)</f>
        <v/>
      </c>
      <c r="M7962" s="64">
        <f>L7962/K7962</f>
        <v/>
      </c>
    </row>
    <row r="7963">
      <c r="A7963" s="58" t="inlineStr">
        <is>
          <t>RT20250717-07962</t>
        </is>
      </c>
      <c r="B7963" s="59" t="inlineStr">
        <is>
          <t>2025-07-17</t>
        </is>
      </c>
      <c r="C7963" s="60" t="inlineStr">
        <is>
          <t>Falcon Accessorie S-195</t>
        </is>
      </c>
      <c r="D7963" s="58" t="inlineStr">
        <is>
          <t>Apparel</t>
        </is>
      </c>
      <c r="E7963" s="58" t="inlineStr">
        <is>
          <t>East</t>
        </is>
      </c>
      <c r="F7963" s="61" t="n">
        <v>2</v>
      </c>
      <c r="G7963" s="62" t="n">
        <v>74.01000000000001</v>
      </c>
      <c r="H7963" s="63" t="n">
        <v>0.083</v>
      </c>
      <c r="I7963" s="62" t="n">
        <v>42.1</v>
      </c>
      <c r="J7963" s="58" t="inlineStr">
        <is>
          <t>Store</t>
        </is>
      </c>
      <c r="K7963" s="62">
        <f>F7963*(G7963-H7963)</f>
        <v/>
      </c>
      <c r="L7963" s="62">
        <f>K7963-(F7963*I7963)</f>
        <v/>
      </c>
      <c r="M7963" s="64">
        <f>L7963/K7963</f>
        <v/>
      </c>
    </row>
    <row r="7964">
      <c r="A7964" s="58" t="inlineStr">
        <is>
          <t>RT20250717-07963</t>
        </is>
      </c>
      <c r="B7964" s="59" t="inlineStr">
        <is>
          <t>2025-07-17</t>
        </is>
      </c>
      <c r="C7964" s="60" t="inlineStr">
        <is>
          <t>Solace Fitnes S-324</t>
        </is>
      </c>
      <c r="D7964" s="58" t="inlineStr">
        <is>
          <t>Sports</t>
        </is>
      </c>
      <c r="E7964" s="58" t="inlineStr">
        <is>
          <t>West</t>
        </is>
      </c>
      <c r="F7964" s="61" t="n">
        <v>1</v>
      </c>
      <c r="G7964" s="62" t="n">
        <v>805.0700000000001</v>
      </c>
      <c r="H7964" s="63" t="n">
        <v>0.06</v>
      </c>
      <c r="I7964" s="62" t="n">
        <v>526.2</v>
      </c>
      <c r="J7964" s="58" t="inlineStr">
        <is>
          <t>Phone</t>
        </is>
      </c>
      <c r="K7964" s="62">
        <f>F7964*(G7964-H7964)</f>
        <v/>
      </c>
      <c r="L7964" s="62">
        <f>K7964-(F7964*I7964)</f>
        <v/>
      </c>
      <c r="M7964" s="64">
        <f>L7964/K7964</f>
        <v/>
      </c>
    </row>
    <row r="7965">
      <c r="A7965" s="58" t="inlineStr">
        <is>
          <t>RT20250717-07964</t>
        </is>
      </c>
      <c r="B7965" s="59" t="inlineStr">
        <is>
          <t>2025-07-17</t>
        </is>
      </c>
      <c r="C7965" s="60" t="inlineStr">
        <is>
          <t>Falcon Kitchen X-130</t>
        </is>
      </c>
      <c r="D7965" s="58" t="inlineStr">
        <is>
          <t>Home</t>
        </is>
      </c>
      <c r="E7965" s="58" t="inlineStr">
        <is>
          <t>West</t>
        </is>
      </c>
      <c r="F7965" s="61" t="n">
        <v>2</v>
      </c>
      <c r="G7965" s="62" t="n">
        <v>411.65</v>
      </c>
      <c r="H7965" s="63" t="n">
        <v>0.039</v>
      </c>
      <c r="I7965" s="62" t="n">
        <v>291.5</v>
      </c>
      <c r="J7965" s="58" t="inlineStr">
        <is>
          <t>Online</t>
        </is>
      </c>
      <c r="K7965" s="62">
        <f>F7965*(G7965-H7965)</f>
        <v/>
      </c>
      <c r="L7965" s="62">
        <f>K7965-(F7965*I7965)</f>
        <v/>
      </c>
      <c r="M7965" s="64">
        <f>L7965/K7965</f>
        <v/>
      </c>
    </row>
    <row r="7966">
      <c r="A7966" s="58" t="inlineStr">
        <is>
          <t>RT20250717-07965</t>
        </is>
      </c>
      <c r="B7966" s="59" t="inlineStr">
        <is>
          <t>2025-07-17</t>
        </is>
      </c>
      <c r="C7966" s="60" t="inlineStr">
        <is>
          <t>Vertex Headphone Pro-801</t>
        </is>
      </c>
      <c r="D7966" s="58" t="inlineStr">
        <is>
          <t>Electronics</t>
        </is>
      </c>
      <c r="E7966" s="58" t="inlineStr">
        <is>
          <t>East</t>
        </is>
      </c>
      <c r="F7966" s="61" t="n">
        <v>2</v>
      </c>
      <c r="G7966" s="62" t="n">
        <v>1225.14</v>
      </c>
      <c r="H7966" s="63" t="n">
        <v>0.031</v>
      </c>
      <c r="I7966" s="62" t="n">
        <v>954.86</v>
      </c>
      <c r="J7966" s="58" t="inlineStr">
        <is>
          <t>Store</t>
        </is>
      </c>
      <c r="K7966" s="62">
        <f>F7966*(G7966-H7966)</f>
        <v/>
      </c>
      <c r="L7966" s="62">
        <f>K7966-(F7966*I7966)</f>
        <v/>
      </c>
      <c r="M7966" s="64">
        <f>L7966/K7966</f>
        <v/>
      </c>
    </row>
    <row r="7967">
      <c r="A7967" s="58" t="inlineStr">
        <is>
          <t>RT20250717-07966</t>
        </is>
      </c>
      <c r="B7967" s="59" t="inlineStr">
        <is>
          <t>2025-07-17</t>
        </is>
      </c>
      <c r="C7967" s="60" t="inlineStr">
        <is>
          <t>Solace Kid S-384</t>
        </is>
      </c>
      <c r="D7967" s="58" t="inlineStr">
        <is>
          <t>Apparel</t>
        </is>
      </c>
      <c r="E7967" s="58" t="inlineStr">
        <is>
          <t>East</t>
        </is>
      </c>
      <c r="F7967" s="61" t="n">
        <v>2</v>
      </c>
      <c r="G7967" s="62" t="n">
        <v>117.59</v>
      </c>
      <c r="H7967" s="63" t="n">
        <v>0.053</v>
      </c>
      <c r="I7967" s="62" t="n">
        <v>63.86</v>
      </c>
      <c r="J7967" s="58" t="inlineStr">
        <is>
          <t>Store</t>
        </is>
      </c>
      <c r="K7967" s="62">
        <f>F7967*(G7967-H7967)</f>
        <v/>
      </c>
      <c r="L7967" s="62">
        <f>K7967-(F7967*I7967)</f>
        <v/>
      </c>
      <c r="M7967" s="64">
        <f>L7967/K7967</f>
        <v/>
      </c>
    </row>
    <row r="7968">
      <c r="A7968" s="58" t="inlineStr">
        <is>
          <t>RT20250717-07967</t>
        </is>
      </c>
      <c r="B7968" s="59" t="inlineStr">
        <is>
          <t>2025-07-17</t>
        </is>
      </c>
      <c r="C7968" s="60" t="inlineStr">
        <is>
          <t>Polar Laptop Plus-984</t>
        </is>
      </c>
      <c r="D7968" s="58" t="inlineStr">
        <is>
          <t>Electronics</t>
        </is>
      </c>
      <c r="E7968" s="58" t="inlineStr">
        <is>
          <t>South</t>
        </is>
      </c>
      <c r="F7968" s="61" t="n">
        <v>2</v>
      </c>
      <c r="G7968" s="62" t="n">
        <v>1408</v>
      </c>
      <c r="H7968" s="63" t="n">
        <v>0.047</v>
      </c>
      <c r="I7968" s="62" t="n">
        <v>1017.12</v>
      </c>
      <c r="J7968" s="58" t="inlineStr">
        <is>
          <t>Online</t>
        </is>
      </c>
      <c r="K7968" s="62">
        <f>F7968*(G7968-H7968)</f>
        <v/>
      </c>
      <c r="L7968" s="62">
        <f>K7968-(F7968*I7968)</f>
        <v/>
      </c>
      <c r="M7968" s="64">
        <f>L7968/K7968</f>
        <v/>
      </c>
    </row>
    <row r="7969">
      <c r="A7969" s="58" t="inlineStr">
        <is>
          <t>RT20250717-07968</t>
        </is>
      </c>
      <c r="B7969" s="59" t="inlineStr">
        <is>
          <t>2025-07-17</t>
        </is>
      </c>
      <c r="C7969" s="60" t="inlineStr">
        <is>
          <t>Aurora Kid Plus-151</t>
        </is>
      </c>
      <c r="D7969" s="58" t="inlineStr">
        <is>
          <t>Apparel</t>
        </is>
      </c>
      <c r="E7969" s="58" t="inlineStr">
        <is>
          <t>Central</t>
        </is>
      </c>
      <c r="F7969" s="61" t="n">
        <v>4</v>
      </c>
      <c r="G7969" s="62" t="n">
        <v>113.36</v>
      </c>
      <c r="H7969" s="63" t="n">
        <v>0.068</v>
      </c>
      <c r="I7969" s="62" t="n">
        <v>62.86</v>
      </c>
      <c r="J7969" s="58" t="inlineStr">
        <is>
          <t>Online</t>
        </is>
      </c>
      <c r="K7969" s="62">
        <f>F7969*(G7969-H7969)</f>
        <v/>
      </c>
      <c r="L7969" s="62">
        <f>K7969-(F7969*I7969)</f>
        <v/>
      </c>
      <c r="M7969" s="64">
        <f>L7969/K7969</f>
        <v/>
      </c>
    </row>
    <row r="7970">
      <c r="A7970" s="58" t="inlineStr">
        <is>
          <t>RT20250717-07969</t>
        </is>
      </c>
      <c r="B7970" s="59" t="inlineStr">
        <is>
          <t>2025-07-17</t>
        </is>
      </c>
      <c r="C7970" s="60" t="inlineStr">
        <is>
          <t>Orion Men X-928</t>
        </is>
      </c>
      <c r="D7970" s="58" t="inlineStr">
        <is>
          <t>Apparel</t>
        </is>
      </c>
      <c r="E7970" s="58" t="inlineStr">
        <is>
          <t>North</t>
        </is>
      </c>
      <c r="F7970" s="61" t="n">
        <v>3</v>
      </c>
      <c r="G7970" s="62" t="n">
        <v>105.45</v>
      </c>
      <c r="H7970" s="63" t="n">
        <v>0.094</v>
      </c>
      <c r="I7970" s="62" t="n">
        <v>62.84</v>
      </c>
      <c r="J7970" s="58" t="inlineStr">
        <is>
          <t>Online</t>
        </is>
      </c>
      <c r="K7970" s="62">
        <f>F7970*(G7970-H7970)</f>
        <v/>
      </c>
      <c r="L7970" s="62">
        <f>K7970-(F7970*I7970)</f>
        <v/>
      </c>
      <c r="M7970" s="64">
        <f>L7970/K7970</f>
        <v/>
      </c>
    </row>
    <row r="7971">
      <c r="A7971" s="58" t="inlineStr">
        <is>
          <t>RT20250717-07970</t>
        </is>
      </c>
      <c r="B7971" s="59" t="inlineStr">
        <is>
          <t>2025-07-17</t>
        </is>
      </c>
      <c r="C7971" s="60" t="inlineStr">
        <is>
          <t>Orion Haircare Plus-887</t>
        </is>
      </c>
      <c r="D7971" s="58" t="inlineStr">
        <is>
          <t>Beauty</t>
        </is>
      </c>
      <c r="E7971" s="58" t="inlineStr">
        <is>
          <t>East</t>
        </is>
      </c>
      <c r="F7971" s="61" t="n">
        <v>4</v>
      </c>
      <c r="G7971" s="62" t="n">
        <v>59.01</v>
      </c>
      <c r="H7971" s="63" t="n">
        <v>0</v>
      </c>
      <c r="I7971" s="62" t="n">
        <v>30.68</v>
      </c>
      <c r="J7971" s="58" t="inlineStr">
        <is>
          <t>Online</t>
        </is>
      </c>
      <c r="K7971" s="62">
        <f>F7971*(G7971-H7971)</f>
        <v/>
      </c>
      <c r="L7971" s="62">
        <f>K7971-(F7971*I7971)</f>
        <v/>
      </c>
      <c r="M7971" s="64">
        <f>L7971/K7971</f>
        <v/>
      </c>
    </row>
    <row r="7972">
      <c r="A7972" s="58" t="inlineStr">
        <is>
          <t>RT20250717-07971</t>
        </is>
      </c>
      <c r="B7972" s="59" t="inlineStr">
        <is>
          <t>2025-07-17</t>
        </is>
      </c>
      <c r="C7972" s="60" t="inlineStr">
        <is>
          <t>Polar Women S-662</t>
        </is>
      </c>
      <c r="D7972" s="58" t="inlineStr">
        <is>
          <t>Apparel</t>
        </is>
      </c>
      <c r="E7972" s="58" t="inlineStr">
        <is>
          <t>Central</t>
        </is>
      </c>
      <c r="F7972" s="61" t="n">
        <v>1</v>
      </c>
      <c r="G7972" s="62" t="n">
        <v>170.44</v>
      </c>
      <c r="H7972" s="63" t="n">
        <v>0.093</v>
      </c>
      <c r="I7972" s="62" t="n">
        <v>101.52</v>
      </c>
      <c r="J7972" s="58" t="inlineStr">
        <is>
          <t>Online</t>
        </is>
      </c>
      <c r="K7972" s="62">
        <f>F7972*(G7972-H7972)</f>
        <v/>
      </c>
      <c r="L7972" s="62">
        <f>K7972-(F7972*I7972)</f>
        <v/>
      </c>
      <c r="M7972" s="64">
        <f>L7972/K7972</f>
        <v/>
      </c>
    </row>
    <row r="7973">
      <c r="A7973" s="58" t="inlineStr">
        <is>
          <t>RT20250717-07972</t>
        </is>
      </c>
      <c r="B7973" s="59" t="inlineStr">
        <is>
          <t>2025-07-17</t>
        </is>
      </c>
      <c r="C7973" s="60" t="inlineStr">
        <is>
          <t>Polar Outdoor Lite-318</t>
        </is>
      </c>
      <c r="D7973" s="58" t="inlineStr">
        <is>
          <t>Sports</t>
        </is>
      </c>
      <c r="E7973" s="58" t="inlineStr">
        <is>
          <t>North</t>
        </is>
      </c>
      <c r="F7973" s="61" t="n">
        <v>3</v>
      </c>
      <c r="G7973" s="62" t="n">
        <v>714.3</v>
      </c>
      <c r="H7973" s="63" t="n">
        <v>0.051</v>
      </c>
      <c r="I7973" s="62" t="n">
        <v>472.69</v>
      </c>
      <c r="J7973" s="58" t="inlineStr">
        <is>
          <t>Online</t>
        </is>
      </c>
      <c r="K7973" s="62">
        <f>F7973*(G7973-H7973)</f>
        <v/>
      </c>
      <c r="L7973" s="62">
        <f>K7973-(F7973*I7973)</f>
        <v/>
      </c>
      <c r="M7973" s="64">
        <f>L7973/K7973</f>
        <v/>
      </c>
    </row>
    <row r="7974">
      <c r="A7974" s="58" t="inlineStr">
        <is>
          <t>RT20250717-07973</t>
        </is>
      </c>
      <c r="B7974" s="59" t="inlineStr">
        <is>
          <t>2025-07-17</t>
        </is>
      </c>
      <c r="C7974" s="60" t="inlineStr">
        <is>
          <t>Polar Men Pro-246</t>
        </is>
      </c>
      <c r="D7974" s="58" t="inlineStr">
        <is>
          <t>Apparel</t>
        </is>
      </c>
      <c r="E7974" s="58" t="inlineStr">
        <is>
          <t>Central</t>
        </is>
      </c>
      <c r="F7974" s="61" t="n">
        <v>1</v>
      </c>
      <c r="G7974" s="62" t="n">
        <v>135.53</v>
      </c>
      <c r="H7974" s="63" t="n">
        <v>0.055</v>
      </c>
      <c r="I7974" s="62" t="n">
        <v>73.98999999999999</v>
      </c>
      <c r="J7974" s="58" t="inlineStr">
        <is>
          <t>Phone</t>
        </is>
      </c>
      <c r="K7974" s="62">
        <f>F7974*(G7974-H7974)</f>
        <v/>
      </c>
      <c r="L7974" s="62">
        <f>K7974-(F7974*I7974)</f>
        <v/>
      </c>
      <c r="M7974" s="64">
        <f>L7974/K7974</f>
        <v/>
      </c>
    </row>
    <row r="7975">
      <c r="A7975" s="58" t="inlineStr">
        <is>
          <t>RT20250717-07974</t>
        </is>
      </c>
      <c r="B7975" s="59" t="inlineStr">
        <is>
          <t>2025-07-17</t>
        </is>
      </c>
      <c r="C7975" s="60" t="inlineStr">
        <is>
          <t>Aurora Haircare S-975</t>
        </is>
      </c>
      <c r="D7975" s="58" t="inlineStr">
        <is>
          <t>Beauty</t>
        </is>
      </c>
      <c r="E7975" s="58" t="inlineStr">
        <is>
          <t>Central</t>
        </is>
      </c>
      <c r="F7975" s="61" t="n">
        <v>3</v>
      </c>
      <c r="G7975" s="62" t="n">
        <v>93.16</v>
      </c>
      <c r="H7975" s="63" t="n">
        <v>0.049</v>
      </c>
      <c r="I7975" s="62" t="n">
        <v>58.28</v>
      </c>
      <c r="J7975" s="58" t="inlineStr">
        <is>
          <t>Online</t>
        </is>
      </c>
      <c r="K7975" s="62">
        <f>F7975*(G7975-H7975)</f>
        <v/>
      </c>
      <c r="L7975" s="62">
        <f>K7975-(F7975*I7975)</f>
        <v/>
      </c>
      <c r="M7975" s="64">
        <f>L7975/K7975</f>
        <v/>
      </c>
    </row>
    <row r="7976">
      <c r="A7976" s="58" t="inlineStr">
        <is>
          <t>RT20250717-07975</t>
        </is>
      </c>
      <c r="B7976" s="59" t="inlineStr">
        <is>
          <t>2025-07-17</t>
        </is>
      </c>
      <c r="C7976" s="60" t="inlineStr">
        <is>
          <t>Nimbus Headphone X-854</t>
        </is>
      </c>
      <c r="D7976" s="58" t="inlineStr">
        <is>
          <t>Electronics</t>
        </is>
      </c>
      <c r="E7976" s="58" t="inlineStr">
        <is>
          <t>East</t>
        </is>
      </c>
      <c r="F7976" s="61" t="n">
        <v>2</v>
      </c>
      <c r="G7976" s="62" t="n">
        <v>1394.98</v>
      </c>
      <c r="H7976" s="63" t="n">
        <v>0.041</v>
      </c>
      <c r="I7976" s="62" t="n">
        <v>1257.87</v>
      </c>
      <c r="J7976" s="58" t="inlineStr">
        <is>
          <t>Online</t>
        </is>
      </c>
      <c r="K7976" s="62">
        <f>F7976*(G7976-H7976)</f>
        <v/>
      </c>
      <c r="L7976" s="62">
        <f>K7976-(F7976*I7976)</f>
        <v/>
      </c>
      <c r="M7976" s="64">
        <f>L7976/K7976</f>
        <v/>
      </c>
    </row>
    <row r="7977">
      <c r="A7977" s="58" t="inlineStr">
        <is>
          <t>RT20250717-07976</t>
        </is>
      </c>
      <c r="B7977" s="59" t="inlineStr">
        <is>
          <t>2025-07-17</t>
        </is>
      </c>
      <c r="C7977" s="60" t="inlineStr">
        <is>
          <t>Vertex Smartphone Pro-256</t>
        </is>
      </c>
      <c r="D7977" s="58" t="inlineStr">
        <is>
          <t>Electronics</t>
        </is>
      </c>
      <c r="E7977" s="58" t="inlineStr">
        <is>
          <t>West</t>
        </is>
      </c>
      <c r="F7977" s="61" t="n">
        <v>1</v>
      </c>
      <c r="G7977" s="62" t="n">
        <v>1213.3</v>
      </c>
      <c r="H7977" s="63" t="n">
        <v>0.04</v>
      </c>
      <c r="I7977" s="62" t="n">
        <v>933.96</v>
      </c>
      <c r="J7977" s="58" t="inlineStr">
        <is>
          <t>Online</t>
        </is>
      </c>
      <c r="K7977" s="62">
        <f>F7977*(G7977-H7977)</f>
        <v/>
      </c>
      <c r="L7977" s="62">
        <f>K7977-(F7977*I7977)</f>
        <v/>
      </c>
      <c r="M7977" s="64">
        <f>L7977/K7977</f>
        <v/>
      </c>
    </row>
    <row r="7978">
      <c r="A7978" s="58" t="inlineStr">
        <is>
          <t>RT20250717-07977</t>
        </is>
      </c>
      <c r="B7978" s="59" t="inlineStr">
        <is>
          <t>2025-07-17</t>
        </is>
      </c>
      <c r="C7978" s="60" t="inlineStr">
        <is>
          <t>Aurora Furniture X-709</t>
        </is>
      </c>
      <c r="D7978" s="58" t="inlineStr">
        <is>
          <t>Office</t>
        </is>
      </c>
      <c r="E7978" s="58" t="inlineStr">
        <is>
          <t>Central</t>
        </is>
      </c>
      <c r="F7978" s="61" t="n">
        <v>1</v>
      </c>
      <c r="G7978" s="62" t="n">
        <v>445.59</v>
      </c>
      <c r="H7978" s="63" t="n">
        <v>0.075</v>
      </c>
      <c r="I7978" s="62" t="n">
        <v>314.81</v>
      </c>
      <c r="J7978" s="58" t="inlineStr">
        <is>
          <t>Store</t>
        </is>
      </c>
      <c r="K7978" s="62">
        <f>F7978*(G7978-H7978)</f>
        <v/>
      </c>
      <c r="L7978" s="62">
        <f>K7978-(F7978*I7978)</f>
        <v/>
      </c>
      <c r="M7978" s="64">
        <f>L7978/K7978</f>
        <v/>
      </c>
    </row>
    <row r="7979">
      <c r="A7979" s="58" t="inlineStr">
        <is>
          <t>RT20250717-07978</t>
        </is>
      </c>
      <c r="B7979" s="59" t="inlineStr">
        <is>
          <t>2025-07-17</t>
        </is>
      </c>
      <c r="C7979" s="60" t="inlineStr">
        <is>
          <t>Falcon Household Pro-865</t>
        </is>
      </c>
      <c r="D7979" s="58" t="inlineStr">
        <is>
          <t>Grocery</t>
        </is>
      </c>
      <c r="E7979" s="58" t="inlineStr">
        <is>
          <t>Central</t>
        </is>
      </c>
      <c r="F7979" s="61" t="n">
        <v>8</v>
      </c>
      <c r="G7979" s="62" t="n">
        <v>11.24</v>
      </c>
      <c r="H7979" s="63" t="n">
        <v>0.128</v>
      </c>
      <c r="I7979" s="62" t="n">
        <v>7.91</v>
      </c>
      <c r="J7979" s="58" t="inlineStr">
        <is>
          <t>Store</t>
        </is>
      </c>
      <c r="K7979" s="62">
        <f>F7979*(G7979-H7979)</f>
        <v/>
      </c>
      <c r="L7979" s="62">
        <f>K7979-(F7979*I7979)</f>
        <v/>
      </c>
      <c r="M7979" s="64">
        <f>L7979/K7979</f>
        <v/>
      </c>
    </row>
    <row r="7980">
      <c r="A7980" s="58" t="inlineStr">
        <is>
          <t>RT20250717-07979</t>
        </is>
      </c>
      <c r="B7980" s="59" t="inlineStr">
        <is>
          <t>2025-07-17</t>
        </is>
      </c>
      <c r="C7980" s="60" t="inlineStr">
        <is>
          <t>Orion Supplie S-612</t>
        </is>
      </c>
      <c r="D7980" s="58" t="inlineStr">
        <is>
          <t>Office</t>
        </is>
      </c>
      <c r="E7980" s="58" t="inlineStr">
        <is>
          <t>West</t>
        </is>
      </c>
      <c r="F7980" s="61" t="n">
        <v>3</v>
      </c>
      <c r="G7980" s="62" t="n">
        <v>488.45</v>
      </c>
      <c r="H7980" s="63" t="n">
        <v>0.082</v>
      </c>
      <c r="I7980" s="62" t="n">
        <v>338.28</v>
      </c>
      <c r="J7980" s="58" t="inlineStr">
        <is>
          <t>Store</t>
        </is>
      </c>
      <c r="K7980" s="62">
        <f>F7980*(G7980-H7980)</f>
        <v/>
      </c>
      <c r="L7980" s="62">
        <f>K7980-(F7980*I7980)</f>
        <v/>
      </c>
      <c r="M7980" s="64">
        <f>L7980/K7980</f>
        <v/>
      </c>
    </row>
    <row r="7981">
      <c r="A7981" s="58" t="inlineStr">
        <is>
          <t>RT20250717-07980</t>
        </is>
      </c>
      <c r="B7981" s="59" t="inlineStr">
        <is>
          <t>2025-07-17</t>
        </is>
      </c>
      <c r="C7981" s="60" t="inlineStr">
        <is>
          <t>Polar Beverage S-258</t>
        </is>
      </c>
      <c r="D7981" s="58" t="inlineStr">
        <is>
          <t>Grocery</t>
        </is>
      </c>
      <c r="E7981" s="58" t="inlineStr">
        <is>
          <t>South</t>
        </is>
      </c>
      <c r="F7981" s="61" t="n">
        <v>6</v>
      </c>
      <c r="G7981" s="62" t="n">
        <v>13.91</v>
      </c>
      <c r="H7981" s="63" t="n">
        <v>0.058</v>
      </c>
      <c r="I7981" s="62" t="n">
        <v>9.470000000000001</v>
      </c>
      <c r="J7981" s="58" t="inlineStr">
        <is>
          <t>Online</t>
        </is>
      </c>
      <c r="K7981" s="62">
        <f>F7981*(G7981-H7981)</f>
        <v/>
      </c>
      <c r="L7981" s="62">
        <f>K7981-(F7981*I7981)</f>
        <v/>
      </c>
      <c r="M7981" s="64">
        <f>L7981/K7981</f>
        <v/>
      </c>
    </row>
    <row r="7982">
      <c r="A7982" s="58" t="inlineStr">
        <is>
          <t>RT20250717-07981</t>
        </is>
      </c>
      <c r="B7982" s="59" t="inlineStr">
        <is>
          <t>2025-07-17</t>
        </is>
      </c>
      <c r="C7982" s="60" t="inlineStr">
        <is>
          <t>Solace Team Sport Max-548</t>
        </is>
      </c>
      <c r="D7982" s="58" t="inlineStr">
        <is>
          <t>Sports</t>
        </is>
      </c>
      <c r="E7982" s="58" t="inlineStr">
        <is>
          <t>Central</t>
        </is>
      </c>
      <c r="F7982" s="61" t="n">
        <v>1</v>
      </c>
      <c r="G7982" s="62" t="n">
        <v>695.73</v>
      </c>
      <c r="H7982" s="63" t="n">
        <v>0.051</v>
      </c>
      <c r="I7982" s="62" t="n">
        <v>482.66</v>
      </c>
      <c r="J7982" s="58" t="inlineStr">
        <is>
          <t>Online</t>
        </is>
      </c>
      <c r="K7982" s="62">
        <f>F7982*(G7982-H7982)</f>
        <v/>
      </c>
      <c r="L7982" s="62">
        <f>K7982-(F7982*I7982)</f>
        <v/>
      </c>
      <c r="M7982" s="64">
        <f>L7982/K7982</f>
        <v/>
      </c>
    </row>
    <row r="7983">
      <c r="A7983" s="58" t="inlineStr">
        <is>
          <t>RT20250717-07982</t>
        </is>
      </c>
      <c r="B7983" s="59" t="inlineStr">
        <is>
          <t>2025-07-17</t>
        </is>
      </c>
      <c r="C7983" s="60" t="inlineStr">
        <is>
          <t>Aurora Team Sport Plus-256</t>
        </is>
      </c>
      <c r="D7983" s="58" t="inlineStr">
        <is>
          <t>Sports</t>
        </is>
      </c>
      <c r="E7983" s="58" t="inlineStr">
        <is>
          <t>West</t>
        </is>
      </c>
      <c r="F7983" s="61" t="n">
        <v>2</v>
      </c>
      <c r="G7983" s="62" t="n">
        <v>595.8099999999999</v>
      </c>
      <c r="H7983" s="63" t="n">
        <v>0.068</v>
      </c>
      <c r="I7983" s="62" t="n">
        <v>420.35</v>
      </c>
      <c r="J7983" s="58" t="inlineStr">
        <is>
          <t>Online</t>
        </is>
      </c>
      <c r="K7983" s="62">
        <f>F7983*(G7983-H7983)</f>
        <v/>
      </c>
      <c r="L7983" s="62">
        <f>K7983-(F7983*I7983)</f>
        <v/>
      </c>
      <c r="M7983" s="64">
        <f>L7983/K7983</f>
        <v/>
      </c>
    </row>
    <row r="7984">
      <c r="A7984" s="58" t="inlineStr">
        <is>
          <t>RT20250717-07983</t>
        </is>
      </c>
      <c r="B7984" s="59" t="inlineStr">
        <is>
          <t>2025-07-17</t>
        </is>
      </c>
      <c r="C7984" s="60" t="inlineStr">
        <is>
          <t>Falcon Headphone Plus-789</t>
        </is>
      </c>
      <c r="D7984" s="58" t="inlineStr">
        <is>
          <t>Electronics</t>
        </is>
      </c>
      <c r="E7984" s="58" t="inlineStr">
        <is>
          <t>Central</t>
        </is>
      </c>
      <c r="F7984" s="61" t="n">
        <v>1</v>
      </c>
      <c r="G7984" s="62" t="n">
        <v>1807.29</v>
      </c>
      <c r="H7984" s="63" t="n">
        <v>0.073</v>
      </c>
      <c r="I7984" s="62" t="n">
        <v>1287</v>
      </c>
      <c r="J7984" s="58" t="inlineStr">
        <is>
          <t>Online</t>
        </is>
      </c>
      <c r="K7984" s="62">
        <f>F7984*(G7984-H7984)</f>
        <v/>
      </c>
      <c r="L7984" s="62">
        <f>K7984-(F7984*I7984)</f>
        <v/>
      </c>
      <c r="M7984" s="64">
        <f>L7984/K7984</f>
        <v/>
      </c>
    </row>
    <row r="7985">
      <c r="A7985" s="58" t="inlineStr">
        <is>
          <t>RT20250717-07984</t>
        </is>
      </c>
      <c r="B7985" s="59" t="inlineStr">
        <is>
          <t>2025-07-17</t>
        </is>
      </c>
      <c r="C7985" s="60" t="inlineStr">
        <is>
          <t>Falcon Bedding S-674</t>
        </is>
      </c>
      <c r="D7985" s="58" t="inlineStr">
        <is>
          <t>Home</t>
        </is>
      </c>
      <c r="E7985" s="58" t="inlineStr">
        <is>
          <t>East</t>
        </is>
      </c>
      <c r="F7985" s="61" t="n">
        <v>3</v>
      </c>
      <c r="G7985" s="62" t="n">
        <v>696.09</v>
      </c>
      <c r="H7985" s="63" t="n">
        <v>0.048</v>
      </c>
      <c r="I7985" s="62" t="n">
        <v>450.17</v>
      </c>
      <c r="J7985" s="58" t="inlineStr">
        <is>
          <t>Online</t>
        </is>
      </c>
      <c r="K7985" s="62">
        <f>F7985*(G7985-H7985)</f>
        <v/>
      </c>
      <c r="L7985" s="62">
        <f>K7985-(F7985*I7985)</f>
        <v/>
      </c>
      <c r="M7985" s="64">
        <f>L7985/K7985</f>
        <v/>
      </c>
    </row>
    <row r="7986">
      <c r="A7986" s="58" t="inlineStr">
        <is>
          <t>RT20250717-07985</t>
        </is>
      </c>
      <c r="B7986" s="59" t="inlineStr">
        <is>
          <t>2025-07-17</t>
        </is>
      </c>
      <c r="C7986" s="60" t="inlineStr">
        <is>
          <t>Aurora Wearable Lite-704</t>
        </is>
      </c>
      <c r="D7986" s="58" t="inlineStr">
        <is>
          <t>Electronics</t>
        </is>
      </c>
      <c r="E7986" s="58" t="inlineStr">
        <is>
          <t>South</t>
        </is>
      </c>
      <c r="F7986" s="61" t="n">
        <v>2</v>
      </c>
      <c r="G7986" s="62" t="n">
        <v>1833.32</v>
      </c>
      <c r="H7986" s="63" t="n">
        <v>0.079</v>
      </c>
      <c r="I7986" s="62" t="n">
        <v>1464.28</v>
      </c>
      <c r="J7986" s="58" t="inlineStr">
        <is>
          <t>Online</t>
        </is>
      </c>
      <c r="K7986" s="62">
        <f>F7986*(G7986-H7986)</f>
        <v/>
      </c>
      <c r="L7986" s="62">
        <f>K7986-(F7986*I7986)</f>
        <v/>
      </c>
      <c r="M7986" s="64">
        <f>L7986/K7986</f>
        <v/>
      </c>
    </row>
    <row r="7987">
      <c r="A7987" s="58" t="inlineStr">
        <is>
          <t>RT20250718-07986</t>
        </is>
      </c>
      <c r="B7987" s="59" t="inlineStr">
        <is>
          <t>2025-07-18</t>
        </is>
      </c>
      <c r="C7987" s="60" t="inlineStr">
        <is>
          <t>Orion Men X-928</t>
        </is>
      </c>
      <c r="D7987" s="58" t="inlineStr">
        <is>
          <t>Apparel</t>
        </is>
      </c>
      <c r="E7987" s="58" t="inlineStr">
        <is>
          <t>East</t>
        </is>
      </c>
      <c r="F7987" s="61" t="n">
        <v>4</v>
      </c>
      <c r="G7987" s="62" t="n">
        <v>108.25</v>
      </c>
      <c r="H7987" s="63" t="n">
        <v>0.032</v>
      </c>
      <c r="I7987" s="62" t="n">
        <v>64.25</v>
      </c>
      <c r="J7987" s="58" t="inlineStr">
        <is>
          <t>Store</t>
        </is>
      </c>
      <c r="K7987" s="62">
        <f>F7987*(G7987-H7987)</f>
        <v/>
      </c>
      <c r="L7987" s="62">
        <f>K7987-(F7987*I7987)</f>
        <v/>
      </c>
      <c r="M7987" s="64">
        <f>L7987/K7987</f>
        <v/>
      </c>
    </row>
    <row r="7988">
      <c r="A7988" s="58" t="inlineStr">
        <is>
          <t>RT20250718-07987</t>
        </is>
      </c>
      <c r="B7988" s="59" t="inlineStr">
        <is>
          <t>2025-07-18</t>
        </is>
      </c>
      <c r="C7988" s="60" t="inlineStr">
        <is>
          <t>Vertex Furniture S-652</t>
        </is>
      </c>
      <c r="D7988" s="58" t="inlineStr">
        <is>
          <t>Office</t>
        </is>
      </c>
      <c r="E7988" s="58" t="inlineStr">
        <is>
          <t>West</t>
        </is>
      </c>
      <c r="F7988" s="61" t="n">
        <v>1</v>
      </c>
      <c r="G7988" s="62" t="n">
        <v>405.84</v>
      </c>
      <c r="H7988" s="63" t="n">
        <v>0.039</v>
      </c>
      <c r="I7988" s="62" t="n">
        <v>272.13</v>
      </c>
      <c r="J7988" s="58" t="inlineStr">
        <is>
          <t>Store</t>
        </is>
      </c>
      <c r="K7988" s="62">
        <f>F7988*(G7988-H7988)</f>
        <v/>
      </c>
      <c r="L7988" s="62">
        <f>K7988-(F7988*I7988)</f>
        <v/>
      </c>
      <c r="M7988" s="64">
        <f>L7988/K7988</f>
        <v/>
      </c>
    </row>
    <row r="7989">
      <c r="A7989" s="58" t="inlineStr">
        <is>
          <t>RT20250718-07988</t>
        </is>
      </c>
      <c r="B7989" s="59" t="inlineStr">
        <is>
          <t>2025-07-18</t>
        </is>
      </c>
      <c r="C7989" s="60" t="inlineStr">
        <is>
          <t>Orion Kid Max-864</t>
        </is>
      </c>
      <c r="D7989" s="58" t="inlineStr">
        <is>
          <t>Apparel</t>
        </is>
      </c>
      <c r="E7989" s="58" t="inlineStr">
        <is>
          <t>Central</t>
        </is>
      </c>
      <c r="F7989" s="61" t="n">
        <v>1</v>
      </c>
      <c r="G7989" s="62" t="n">
        <v>79.03</v>
      </c>
      <c r="H7989" s="63" t="n">
        <v>0.049</v>
      </c>
      <c r="I7989" s="62" t="n">
        <v>46.01</v>
      </c>
      <c r="J7989" s="58" t="inlineStr">
        <is>
          <t>Store</t>
        </is>
      </c>
      <c r="K7989" s="62">
        <f>F7989*(G7989-H7989)</f>
        <v/>
      </c>
      <c r="L7989" s="62">
        <f>K7989-(F7989*I7989)</f>
        <v/>
      </c>
      <c r="M7989" s="64">
        <f>L7989/K7989</f>
        <v/>
      </c>
    </row>
    <row r="7990">
      <c r="A7990" s="58" t="inlineStr">
        <is>
          <t>RT20250718-07989</t>
        </is>
      </c>
      <c r="B7990" s="59" t="inlineStr">
        <is>
          <t>2025-07-18</t>
        </is>
      </c>
      <c r="C7990" s="60" t="inlineStr">
        <is>
          <t>Aurora Haircare S-975</t>
        </is>
      </c>
      <c r="D7990" s="58" t="inlineStr">
        <is>
          <t>Beauty</t>
        </is>
      </c>
      <c r="E7990" s="58" t="inlineStr">
        <is>
          <t>South</t>
        </is>
      </c>
      <c r="F7990" s="61" t="n">
        <v>5</v>
      </c>
      <c r="G7990" s="62" t="n">
        <v>100.44</v>
      </c>
      <c r="H7990" s="63" t="n">
        <v>0.079</v>
      </c>
      <c r="I7990" s="62" t="n">
        <v>58.72</v>
      </c>
      <c r="J7990" s="58" t="inlineStr">
        <is>
          <t>Store</t>
        </is>
      </c>
      <c r="K7990" s="62">
        <f>F7990*(G7990-H7990)</f>
        <v/>
      </c>
      <c r="L7990" s="62">
        <f>K7990-(F7990*I7990)</f>
        <v/>
      </c>
      <c r="M7990" s="64">
        <f>L7990/K7990</f>
        <v/>
      </c>
    </row>
    <row r="7991">
      <c r="A7991" s="58" t="inlineStr">
        <is>
          <t>RT20250718-07990</t>
        </is>
      </c>
      <c r="B7991" s="59" t="inlineStr">
        <is>
          <t>2025-07-18</t>
        </is>
      </c>
      <c r="C7991" s="60" t="inlineStr">
        <is>
          <t>Solace Snack S-691</t>
        </is>
      </c>
      <c r="D7991" s="58" t="inlineStr">
        <is>
          <t>Grocery</t>
        </is>
      </c>
      <c r="E7991" s="58" t="inlineStr">
        <is>
          <t>Central</t>
        </is>
      </c>
      <c r="F7991" s="61" t="n">
        <v>8</v>
      </c>
      <c r="G7991" s="62" t="n">
        <v>9.58</v>
      </c>
      <c r="H7991" s="63" t="n">
        <v>0.133</v>
      </c>
      <c r="I7991" s="62" t="n">
        <v>7.35</v>
      </c>
      <c r="J7991" s="58" t="inlineStr">
        <is>
          <t>Store</t>
        </is>
      </c>
      <c r="K7991" s="62">
        <f>F7991*(G7991-H7991)</f>
        <v/>
      </c>
      <c r="L7991" s="62">
        <f>K7991-(F7991*I7991)</f>
        <v/>
      </c>
      <c r="M7991" s="64">
        <f>L7991/K7991</f>
        <v/>
      </c>
    </row>
    <row r="7992">
      <c r="A7992" s="58" t="inlineStr">
        <is>
          <t>RT20250718-07991</t>
        </is>
      </c>
      <c r="B7992" s="59" t="inlineStr">
        <is>
          <t>2025-07-18</t>
        </is>
      </c>
      <c r="C7992" s="60" t="inlineStr">
        <is>
          <t>Vertex Furniture S-652</t>
        </is>
      </c>
      <c r="D7992" s="58" t="inlineStr">
        <is>
          <t>Office</t>
        </is>
      </c>
      <c r="E7992" s="58" t="inlineStr">
        <is>
          <t>East</t>
        </is>
      </c>
      <c r="F7992" s="61" t="n">
        <v>1</v>
      </c>
      <c r="G7992" s="62" t="n">
        <v>345.01</v>
      </c>
      <c r="H7992" s="63" t="n">
        <v>0.068</v>
      </c>
      <c r="I7992" s="62" t="n">
        <v>266.86</v>
      </c>
      <c r="J7992" s="58" t="inlineStr">
        <is>
          <t>Online</t>
        </is>
      </c>
      <c r="K7992" s="62">
        <f>F7992*(G7992-H7992)</f>
        <v/>
      </c>
      <c r="L7992" s="62">
        <f>K7992-(F7992*I7992)</f>
        <v/>
      </c>
      <c r="M7992" s="64">
        <f>L7992/K7992</f>
        <v/>
      </c>
    </row>
    <row r="7993">
      <c r="A7993" s="58" t="inlineStr">
        <is>
          <t>RT20250718-07992</t>
        </is>
      </c>
      <c r="B7993" s="59" t="inlineStr">
        <is>
          <t>2025-07-18</t>
        </is>
      </c>
      <c r="C7993" s="60" t="inlineStr">
        <is>
          <t>Falcon Household Plus-172</t>
        </is>
      </c>
      <c r="D7993" s="58" t="inlineStr">
        <is>
          <t>Grocery</t>
        </is>
      </c>
      <c r="E7993" s="58" t="inlineStr">
        <is>
          <t>North</t>
        </is>
      </c>
      <c r="F7993" s="61" t="n">
        <v>8</v>
      </c>
      <c r="G7993" s="62" t="n">
        <v>21.93</v>
      </c>
      <c r="H7993" s="63" t="n">
        <v>0.054</v>
      </c>
      <c r="I7993" s="62" t="n">
        <v>16.17</v>
      </c>
      <c r="J7993" s="58" t="inlineStr">
        <is>
          <t>Store</t>
        </is>
      </c>
      <c r="K7993" s="62">
        <f>F7993*(G7993-H7993)</f>
        <v/>
      </c>
      <c r="L7993" s="62">
        <f>K7993-(F7993*I7993)</f>
        <v/>
      </c>
      <c r="M7993" s="64">
        <f>L7993/K7993</f>
        <v/>
      </c>
    </row>
    <row r="7994">
      <c r="A7994" s="58" t="inlineStr">
        <is>
          <t>RT20250718-07993</t>
        </is>
      </c>
      <c r="B7994" s="59" t="inlineStr">
        <is>
          <t>2025-07-18</t>
        </is>
      </c>
      <c r="C7994" s="60" t="inlineStr">
        <is>
          <t>Aurora Appliance Lite-109</t>
        </is>
      </c>
      <c r="D7994" s="58" t="inlineStr">
        <is>
          <t>Home</t>
        </is>
      </c>
      <c r="E7994" s="58" t="inlineStr">
        <is>
          <t>East</t>
        </is>
      </c>
      <c r="F7994" s="61" t="n">
        <v>3</v>
      </c>
      <c r="G7994" s="62" t="n">
        <v>271.72</v>
      </c>
      <c r="H7994" s="63" t="n">
        <v>0.056</v>
      </c>
      <c r="I7994" s="62" t="n">
        <v>207.3</v>
      </c>
      <c r="J7994" s="58" t="inlineStr">
        <is>
          <t>Online</t>
        </is>
      </c>
      <c r="K7994" s="62">
        <f>F7994*(G7994-H7994)</f>
        <v/>
      </c>
      <c r="L7994" s="62">
        <f>K7994-(F7994*I7994)</f>
        <v/>
      </c>
      <c r="M7994" s="64">
        <f>L7994/K7994</f>
        <v/>
      </c>
    </row>
    <row r="7995">
      <c r="A7995" s="58" t="inlineStr">
        <is>
          <t>RT20250718-07994</t>
        </is>
      </c>
      <c r="B7995" s="59" t="inlineStr">
        <is>
          <t>2025-07-18</t>
        </is>
      </c>
      <c r="C7995" s="60" t="inlineStr">
        <is>
          <t>Orion Kitchen Pro-568</t>
        </is>
      </c>
      <c r="D7995" s="58" t="inlineStr">
        <is>
          <t>Home</t>
        </is>
      </c>
      <c r="E7995" s="58" t="inlineStr">
        <is>
          <t>Central</t>
        </is>
      </c>
      <c r="F7995" s="61" t="n">
        <v>3</v>
      </c>
      <c r="G7995" s="62" t="n">
        <v>412.83</v>
      </c>
      <c r="H7995" s="63" t="n">
        <v>0.081</v>
      </c>
      <c r="I7995" s="62" t="n">
        <v>300.11</v>
      </c>
      <c r="J7995" s="58" t="inlineStr">
        <is>
          <t>Store</t>
        </is>
      </c>
      <c r="K7995" s="62">
        <f>F7995*(G7995-H7995)</f>
        <v/>
      </c>
      <c r="L7995" s="62">
        <f>K7995-(F7995*I7995)</f>
        <v/>
      </c>
      <c r="M7995" s="64">
        <f>L7995/K7995</f>
        <v/>
      </c>
    </row>
    <row r="7996">
      <c r="A7996" s="58" t="inlineStr">
        <is>
          <t>RT20250718-07995</t>
        </is>
      </c>
      <c r="B7996" s="59" t="inlineStr">
        <is>
          <t>2025-07-18</t>
        </is>
      </c>
      <c r="C7996" s="60" t="inlineStr">
        <is>
          <t>Metro Outdoor Plus-787</t>
        </is>
      </c>
      <c r="D7996" s="58" t="inlineStr">
        <is>
          <t>Sports</t>
        </is>
      </c>
      <c r="E7996" s="58" t="inlineStr">
        <is>
          <t>West</t>
        </is>
      </c>
      <c r="F7996" s="61" t="n">
        <v>3</v>
      </c>
      <c r="G7996" s="62" t="n">
        <v>554.25</v>
      </c>
      <c r="H7996" s="63" t="n">
        <v>0.065</v>
      </c>
      <c r="I7996" s="62" t="n">
        <v>347.64</v>
      </c>
      <c r="J7996" s="58" t="inlineStr">
        <is>
          <t>Online</t>
        </is>
      </c>
      <c r="K7996" s="62">
        <f>F7996*(G7996-H7996)</f>
        <v/>
      </c>
      <c r="L7996" s="62">
        <f>K7996-(F7996*I7996)</f>
        <v/>
      </c>
      <c r="M7996" s="64">
        <f>L7996/K7996</f>
        <v/>
      </c>
    </row>
    <row r="7997">
      <c r="A7997" s="58" t="inlineStr">
        <is>
          <t>RT20250718-07996</t>
        </is>
      </c>
      <c r="B7997" s="59" t="inlineStr">
        <is>
          <t>2025-07-18</t>
        </is>
      </c>
      <c r="C7997" s="60" t="inlineStr">
        <is>
          <t>Solace Snack S-691</t>
        </is>
      </c>
      <c r="D7997" s="58" t="inlineStr">
        <is>
          <t>Grocery</t>
        </is>
      </c>
      <c r="E7997" s="58" t="inlineStr">
        <is>
          <t>South</t>
        </is>
      </c>
      <c r="F7997" s="61" t="n">
        <v>3</v>
      </c>
      <c r="G7997" s="62" t="n">
        <v>10.09</v>
      </c>
      <c r="H7997" s="63" t="n">
        <v>0.102</v>
      </c>
      <c r="I7997" s="62" t="n">
        <v>7.09</v>
      </c>
      <c r="J7997" s="58" t="inlineStr">
        <is>
          <t>Online</t>
        </is>
      </c>
      <c r="K7997" s="62">
        <f>F7997*(G7997-H7997)</f>
        <v/>
      </c>
      <c r="L7997" s="62">
        <f>K7997-(F7997*I7997)</f>
        <v/>
      </c>
      <c r="M7997" s="64">
        <f>L7997/K7997</f>
        <v/>
      </c>
    </row>
    <row r="7998">
      <c r="A7998" s="58" t="inlineStr">
        <is>
          <t>RT20250718-07997</t>
        </is>
      </c>
      <c r="B7998" s="59" t="inlineStr">
        <is>
          <t>2025-07-18</t>
        </is>
      </c>
      <c r="C7998" s="60" t="inlineStr">
        <is>
          <t>Falcon Wearable X-334</t>
        </is>
      </c>
      <c r="D7998" s="58" t="inlineStr">
        <is>
          <t>Electronics</t>
        </is>
      </c>
      <c r="E7998" s="58" t="inlineStr">
        <is>
          <t>West</t>
        </is>
      </c>
      <c r="F7998" s="61" t="n">
        <v>2</v>
      </c>
      <c r="G7998" s="62" t="n">
        <v>2100.84</v>
      </c>
      <c r="H7998" s="63" t="n">
        <v>0.01</v>
      </c>
      <c r="I7998" s="62" t="n">
        <v>1533.41</v>
      </c>
      <c r="J7998" s="58" t="inlineStr">
        <is>
          <t>Online</t>
        </is>
      </c>
      <c r="K7998" s="62">
        <f>F7998*(G7998-H7998)</f>
        <v/>
      </c>
      <c r="L7998" s="62">
        <f>K7998-(F7998*I7998)</f>
        <v/>
      </c>
      <c r="M7998" s="64">
        <f>L7998/K7998</f>
        <v/>
      </c>
    </row>
    <row r="7999">
      <c r="A7999" s="58" t="inlineStr">
        <is>
          <t>RT20250718-07998</t>
        </is>
      </c>
      <c r="B7999" s="59" t="inlineStr">
        <is>
          <t>2025-07-18</t>
        </is>
      </c>
      <c r="C7999" s="60" t="inlineStr">
        <is>
          <t>Orion Laptop S-350</t>
        </is>
      </c>
      <c r="D7999" s="58" t="inlineStr">
        <is>
          <t>Electronics</t>
        </is>
      </c>
      <c r="E7999" s="58" t="inlineStr">
        <is>
          <t>East</t>
        </is>
      </c>
      <c r="F7999" s="61" t="n">
        <v>2</v>
      </c>
      <c r="G7999" s="62" t="n">
        <v>1318.57</v>
      </c>
      <c r="H7999" s="63" t="n">
        <v>0.068</v>
      </c>
      <c r="I7999" s="62" t="n">
        <v>1064.54</v>
      </c>
      <c r="J7999" s="58" t="inlineStr">
        <is>
          <t>Online</t>
        </is>
      </c>
      <c r="K7999" s="62">
        <f>F7999*(G7999-H7999)</f>
        <v/>
      </c>
      <c r="L7999" s="62">
        <f>K7999-(F7999*I7999)</f>
        <v/>
      </c>
      <c r="M7999" s="64">
        <f>L7999/K7999</f>
        <v/>
      </c>
    </row>
    <row r="8000">
      <c r="A8000" s="58" t="inlineStr">
        <is>
          <t>RT20250718-07999</t>
        </is>
      </c>
      <c r="B8000" s="59" t="inlineStr">
        <is>
          <t>2025-07-18</t>
        </is>
      </c>
      <c r="C8000" s="60" t="inlineStr">
        <is>
          <t>Polar Cycling S-223</t>
        </is>
      </c>
      <c r="D8000" s="58" t="inlineStr">
        <is>
          <t>Sports</t>
        </is>
      </c>
      <c r="E8000" s="58" t="inlineStr">
        <is>
          <t>North</t>
        </is>
      </c>
      <c r="F8000" s="61" t="n">
        <v>1</v>
      </c>
      <c r="G8000" s="62" t="n">
        <v>949.37</v>
      </c>
      <c r="H8000" s="63" t="n">
        <v>0.091</v>
      </c>
      <c r="I8000" s="62" t="n">
        <v>621</v>
      </c>
      <c r="J8000" s="58" t="inlineStr">
        <is>
          <t>Store</t>
        </is>
      </c>
      <c r="K8000" s="62">
        <f>F8000*(G8000-H8000)</f>
        <v/>
      </c>
      <c r="L8000" s="62">
        <f>K8000-(F8000*I8000)</f>
        <v/>
      </c>
      <c r="M8000" s="64">
        <f>L8000/K8000</f>
        <v/>
      </c>
    </row>
    <row r="8001">
      <c r="A8001" s="58" t="inlineStr">
        <is>
          <t>RT20250718-08000</t>
        </is>
      </c>
      <c r="B8001" s="59" t="inlineStr">
        <is>
          <t>2025-07-18</t>
        </is>
      </c>
      <c r="C8001" s="60" t="inlineStr">
        <is>
          <t>Orion Kid Max-640</t>
        </is>
      </c>
      <c r="D8001" s="58" t="inlineStr">
        <is>
          <t>Apparel</t>
        </is>
      </c>
      <c r="E8001" s="58" t="inlineStr">
        <is>
          <t>East</t>
        </is>
      </c>
      <c r="F8001" s="61" t="n">
        <v>3</v>
      </c>
      <c r="G8001" s="62" t="n">
        <v>143.12</v>
      </c>
      <c r="H8001" s="63" t="n">
        <v>0.08599999999999999</v>
      </c>
      <c r="I8001" s="62" t="n">
        <v>71.44</v>
      </c>
      <c r="J8001" s="58" t="inlineStr">
        <is>
          <t>Store</t>
        </is>
      </c>
      <c r="K8001" s="62">
        <f>F8001*(G8001-H8001)</f>
        <v/>
      </c>
      <c r="L8001" s="62">
        <f>K8001-(F8001*I8001)</f>
        <v/>
      </c>
      <c r="M8001" s="64">
        <f>L8001/K8001</f>
        <v/>
      </c>
    </row>
    <row r="8002">
      <c r="A8002" s="58" t="inlineStr">
        <is>
          <t>RT20250718-08001</t>
        </is>
      </c>
      <c r="B8002" s="59" t="inlineStr">
        <is>
          <t>2025-07-18</t>
        </is>
      </c>
      <c r="C8002" s="60" t="inlineStr">
        <is>
          <t>Metro Laptop Plus-376</t>
        </is>
      </c>
      <c r="D8002" s="58" t="inlineStr">
        <is>
          <t>Electronics</t>
        </is>
      </c>
      <c r="E8002" s="58" t="inlineStr">
        <is>
          <t>Central</t>
        </is>
      </c>
      <c r="F8002" s="61" t="n">
        <v>1</v>
      </c>
      <c r="G8002" s="62" t="n">
        <v>1196.73</v>
      </c>
      <c r="H8002" s="63" t="n">
        <v>0.103</v>
      </c>
      <c r="I8002" s="62" t="n">
        <v>1042.21</v>
      </c>
      <c r="J8002" s="58" t="inlineStr">
        <is>
          <t>Online</t>
        </is>
      </c>
      <c r="K8002" s="62">
        <f>F8002*(G8002-H8002)</f>
        <v/>
      </c>
      <c r="L8002" s="62">
        <f>K8002-(F8002*I8002)</f>
        <v/>
      </c>
      <c r="M8002" s="64">
        <f>L8002/K8002</f>
        <v/>
      </c>
    </row>
    <row r="8003">
      <c r="A8003" s="58" t="inlineStr">
        <is>
          <t>RT20250718-08002</t>
        </is>
      </c>
      <c r="B8003" s="59" t="inlineStr">
        <is>
          <t>2025-07-18</t>
        </is>
      </c>
      <c r="C8003" s="60" t="inlineStr">
        <is>
          <t>Nimbus Headphone X-854</t>
        </is>
      </c>
      <c r="D8003" s="58" t="inlineStr">
        <is>
          <t>Electronics</t>
        </is>
      </c>
      <c r="E8003" s="58" t="inlineStr">
        <is>
          <t>East</t>
        </is>
      </c>
      <c r="F8003" s="61" t="n">
        <v>1</v>
      </c>
      <c r="G8003" s="62" t="n">
        <v>1520.85</v>
      </c>
      <c r="H8003" s="63" t="n">
        <v>0.001</v>
      </c>
      <c r="I8003" s="62" t="n">
        <v>1248.18</v>
      </c>
      <c r="J8003" s="58" t="inlineStr">
        <is>
          <t>Online</t>
        </is>
      </c>
      <c r="K8003" s="62">
        <f>F8003*(G8003-H8003)</f>
        <v/>
      </c>
      <c r="L8003" s="62">
        <f>K8003-(F8003*I8003)</f>
        <v/>
      </c>
      <c r="M8003" s="64">
        <f>L8003/K8003</f>
        <v/>
      </c>
    </row>
    <row r="8004">
      <c r="A8004" s="58" t="inlineStr">
        <is>
          <t>RT20250718-08003</t>
        </is>
      </c>
      <c r="B8004" s="59" t="inlineStr">
        <is>
          <t>2025-07-18</t>
        </is>
      </c>
      <c r="C8004" s="60" t="inlineStr">
        <is>
          <t>Vertex Snack S-702</t>
        </is>
      </c>
      <c r="D8004" s="58" t="inlineStr">
        <is>
          <t>Grocery</t>
        </is>
      </c>
      <c r="E8004" s="58" t="inlineStr">
        <is>
          <t>West</t>
        </is>
      </c>
      <c r="F8004" s="61" t="n">
        <v>2</v>
      </c>
      <c r="G8004" s="62" t="n">
        <v>1.89</v>
      </c>
      <c r="H8004" s="63" t="n">
        <v>0.091</v>
      </c>
      <c r="I8004" s="62" t="n">
        <v>1.49</v>
      </c>
      <c r="J8004" s="58" t="inlineStr">
        <is>
          <t>Store</t>
        </is>
      </c>
      <c r="K8004" s="62">
        <f>F8004*(G8004-H8004)</f>
        <v/>
      </c>
      <c r="L8004" s="62">
        <f>K8004-(F8004*I8004)</f>
        <v/>
      </c>
      <c r="M8004" s="64">
        <f>L8004/K8004</f>
        <v/>
      </c>
    </row>
    <row r="8005">
      <c r="A8005" s="58" t="inlineStr">
        <is>
          <t>RT20250718-08004</t>
        </is>
      </c>
      <c r="B8005" s="59" t="inlineStr">
        <is>
          <t>2025-07-18</t>
        </is>
      </c>
      <c r="C8005" s="60" t="inlineStr">
        <is>
          <t>Polar Supplie Lite-348</t>
        </is>
      </c>
      <c r="D8005" s="58" t="inlineStr">
        <is>
          <t>Office</t>
        </is>
      </c>
      <c r="E8005" s="58" t="inlineStr">
        <is>
          <t>East</t>
        </is>
      </c>
      <c r="F8005" s="61" t="n">
        <v>1</v>
      </c>
      <c r="G8005" s="62" t="n">
        <v>475.02</v>
      </c>
      <c r="H8005" s="63" t="n">
        <v>0.062</v>
      </c>
      <c r="I8005" s="62" t="n">
        <v>319.72</v>
      </c>
      <c r="J8005" s="58" t="inlineStr">
        <is>
          <t>Store</t>
        </is>
      </c>
      <c r="K8005" s="62">
        <f>F8005*(G8005-H8005)</f>
        <v/>
      </c>
      <c r="L8005" s="62">
        <f>K8005-(F8005*I8005)</f>
        <v/>
      </c>
      <c r="M8005" s="64">
        <f>L8005/K8005</f>
        <v/>
      </c>
    </row>
    <row r="8006">
      <c r="A8006" s="58" t="inlineStr">
        <is>
          <t>RT20250718-08005</t>
        </is>
      </c>
      <c r="B8006" s="59" t="inlineStr">
        <is>
          <t>2025-07-18</t>
        </is>
      </c>
      <c r="C8006" s="60" t="inlineStr">
        <is>
          <t>Metro Accessorie Max-316</t>
        </is>
      </c>
      <c r="D8006" s="58" t="inlineStr">
        <is>
          <t>Apparel</t>
        </is>
      </c>
      <c r="E8006" s="58" t="inlineStr">
        <is>
          <t>North</t>
        </is>
      </c>
      <c r="F8006" s="61" t="n">
        <v>4</v>
      </c>
      <c r="G8006" s="62" t="n">
        <v>158.8</v>
      </c>
      <c r="H8006" s="63" t="n">
        <v>0.025</v>
      </c>
      <c r="I8006" s="62" t="n">
        <v>92.42</v>
      </c>
      <c r="J8006" s="58" t="inlineStr">
        <is>
          <t>Online</t>
        </is>
      </c>
      <c r="K8006" s="62">
        <f>F8006*(G8006-H8006)</f>
        <v/>
      </c>
      <c r="L8006" s="62">
        <f>K8006-(F8006*I8006)</f>
        <v/>
      </c>
      <c r="M8006" s="64">
        <f>L8006/K8006</f>
        <v/>
      </c>
    </row>
    <row r="8007">
      <c r="A8007" s="58" t="inlineStr">
        <is>
          <t>RT20250718-08006</t>
        </is>
      </c>
      <c r="B8007" s="59" t="inlineStr">
        <is>
          <t>2025-07-18</t>
        </is>
      </c>
      <c r="C8007" s="60" t="inlineStr">
        <is>
          <t>Metro Outdoor Plus-787</t>
        </is>
      </c>
      <c r="D8007" s="58" t="inlineStr">
        <is>
          <t>Sports</t>
        </is>
      </c>
      <c r="E8007" s="58" t="inlineStr">
        <is>
          <t>North</t>
        </is>
      </c>
      <c r="F8007" s="61" t="n">
        <v>2</v>
      </c>
      <c r="G8007" s="62" t="n">
        <v>507.07</v>
      </c>
      <c r="H8007" s="63" t="n">
        <v>0.07099999999999999</v>
      </c>
      <c r="I8007" s="62" t="n">
        <v>348.68</v>
      </c>
      <c r="J8007" s="58" t="inlineStr">
        <is>
          <t>Online</t>
        </is>
      </c>
      <c r="K8007" s="62">
        <f>F8007*(G8007-H8007)</f>
        <v/>
      </c>
      <c r="L8007" s="62">
        <f>K8007-(F8007*I8007)</f>
        <v/>
      </c>
      <c r="M8007" s="64">
        <f>L8007/K8007</f>
        <v/>
      </c>
    </row>
    <row r="8008">
      <c r="A8008" s="58" t="inlineStr">
        <is>
          <t>RT20250718-08007</t>
        </is>
      </c>
      <c r="B8008" s="59" t="inlineStr">
        <is>
          <t>2025-07-18</t>
        </is>
      </c>
      <c r="C8008" s="60" t="inlineStr">
        <is>
          <t>Metro Fragrance Lite-261</t>
        </is>
      </c>
      <c r="D8008" s="58" t="inlineStr">
        <is>
          <t>Beauty</t>
        </is>
      </c>
      <c r="E8008" s="58" t="inlineStr">
        <is>
          <t>East</t>
        </is>
      </c>
      <c r="F8008" s="61" t="n">
        <v>4</v>
      </c>
      <c r="G8008" s="62" t="n">
        <v>97.38</v>
      </c>
      <c r="H8008" s="63" t="n">
        <v>0.047</v>
      </c>
      <c r="I8008" s="62" t="n">
        <v>56.38</v>
      </c>
      <c r="J8008" s="58" t="inlineStr">
        <is>
          <t>Store</t>
        </is>
      </c>
      <c r="K8008" s="62">
        <f>F8008*(G8008-H8008)</f>
        <v/>
      </c>
      <c r="L8008" s="62">
        <f>K8008-(F8008*I8008)</f>
        <v/>
      </c>
      <c r="M8008" s="64">
        <f>L8008/K8008</f>
        <v/>
      </c>
    </row>
    <row r="8009">
      <c r="A8009" s="58" t="inlineStr">
        <is>
          <t>RT20250718-08008</t>
        </is>
      </c>
      <c r="B8009" s="59" t="inlineStr">
        <is>
          <t>2025-07-18</t>
        </is>
      </c>
      <c r="C8009" s="60" t="inlineStr">
        <is>
          <t>Aurora Wearable Lite-704</t>
        </is>
      </c>
      <c r="D8009" s="58" t="inlineStr">
        <is>
          <t>Electronics</t>
        </is>
      </c>
      <c r="E8009" s="58" t="inlineStr">
        <is>
          <t>East</t>
        </is>
      </c>
      <c r="F8009" s="61" t="n">
        <v>1</v>
      </c>
      <c r="G8009" s="62" t="n">
        <v>1940.13</v>
      </c>
      <c r="H8009" s="63" t="n">
        <v>0.056</v>
      </c>
      <c r="I8009" s="62" t="n">
        <v>1449.35</v>
      </c>
      <c r="J8009" s="58" t="inlineStr">
        <is>
          <t>Store</t>
        </is>
      </c>
      <c r="K8009" s="62">
        <f>F8009*(G8009-H8009)</f>
        <v/>
      </c>
      <c r="L8009" s="62">
        <f>K8009-(F8009*I8009)</f>
        <v/>
      </c>
      <c r="M8009" s="64">
        <f>L8009/K8009</f>
        <v/>
      </c>
    </row>
    <row r="8010">
      <c r="A8010" s="58" t="inlineStr">
        <is>
          <t>RT20250718-08009</t>
        </is>
      </c>
      <c r="B8010" s="59" t="inlineStr">
        <is>
          <t>2025-07-18</t>
        </is>
      </c>
      <c r="C8010" s="60" t="inlineStr">
        <is>
          <t>Polar Cycling S-223</t>
        </is>
      </c>
      <c r="D8010" s="58" t="inlineStr">
        <is>
          <t>Sports</t>
        </is>
      </c>
      <c r="E8010" s="58" t="inlineStr">
        <is>
          <t>South</t>
        </is>
      </c>
      <c r="F8010" s="61" t="n">
        <v>2</v>
      </c>
      <c r="G8010" s="62" t="n">
        <v>892.09</v>
      </c>
      <c r="H8010" s="63" t="n">
        <v>0.09</v>
      </c>
      <c r="I8010" s="62" t="n">
        <v>615.14</v>
      </c>
      <c r="J8010" s="58" t="inlineStr">
        <is>
          <t>Online</t>
        </is>
      </c>
      <c r="K8010" s="62">
        <f>F8010*(G8010-H8010)</f>
        <v/>
      </c>
      <c r="L8010" s="62">
        <f>K8010-(F8010*I8010)</f>
        <v/>
      </c>
      <c r="M8010" s="64">
        <f>L8010/K8010</f>
        <v/>
      </c>
    </row>
    <row r="8011">
      <c r="A8011" s="58" t="inlineStr">
        <is>
          <t>RT20250718-08010</t>
        </is>
      </c>
      <c r="B8011" s="59" t="inlineStr">
        <is>
          <t>2025-07-18</t>
        </is>
      </c>
      <c r="C8011" s="60" t="inlineStr">
        <is>
          <t>Orion Men X-928</t>
        </is>
      </c>
      <c r="D8011" s="58" t="inlineStr">
        <is>
          <t>Apparel</t>
        </is>
      </c>
      <c r="E8011" s="58" t="inlineStr">
        <is>
          <t>South</t>
        </is>
      </c>
      <c r="F8011" s="61" t="n">
        <v>2</v>
      </c>
      <c r="G8011" s="62" t="n">
        <v>114.69</v>
      </c>
      <c r="H8011" s="63" t="n">
        <v>0</v>
      </c>
      <c r="I8011" s="62" t="n">
        <v>62.03</v>
      </c>
      <c r="J8011" s="58" t="inlineStr">
        <is>
          <t>Store</t>
        </is>
      </c>
      <c r="K8011" s="62">
        <f>F8011*(G8011-H8011)</f>
        <v/>
      </c>
      <c r="L8011" s="62">
        <f>K8011-(F8011*I8011)</f>
        <v/>
      </c>
      <c r="M8011" s="64">
        <f>L8011/K8011</f>
        <v/>
      </c>
    </row>
    <row r="8012">
      <c r="A8012" s="58" t="inlineStr">
        <is>
          <t>RT20250718-08011</t>
        </is>
      </c>
      <c r="B8012" s="59" t="inlineStr">
        <is>
          <t>2025-07-18</t>
        </is>
      </c>
      <c r="C8012" s="60" t="inlineStr">
        <is>
          <t>Nimbus Women Plus-352</t>
        </is>
      </c>
      <c r="D8012" s="58" t="inlineStr">
        <is>
          <t>Apparel</t>
        </is>
      </c>
      <c r="E8012" s="58" t="inlineStr">
        <is>
          <t>North</t>
        </is>
      </c>
      <c r="F8012" s="61" t="n">
        <v>4</v>
      </c>
      <c r="G8012" s="62" t="n">
        <v>57.75</v>
      </c>
      <c r="H8012" s="63" t="n">
        <v>0.05</v>
      </c>
      <c r="I8012" s="62" t="n">
        <v>31.68</v>
      </c>
      <c r="J8012" s="58" t="inlineStr">
        <is>
          <t>Store</t>
        </is>
      </c>
      <c r="K8012" s="62">
        <f>F8012*(G8012-H8012)</f>
        <v/>
      </c>
      <c r="L8012" s="62">
        <f>K8012-(F8012*I8012)</f>
        <v/>
      </c>
      <c r="M8012" s="64">
        <f>L8012/K8012</f>
        <v/>
      </c>
    </row>
    <row r="8013">
      <c r="A8013" s="58" t="inlineStr">
        <is>
          <t>RT20250718-08012</t>
        </is>
      </c>
      <c r="B8013" s="59" t="inlineStr">
        <is>
          <t>2025-07-18</t>
        </is>
      </c>
      <c r="C8013" s="60" t="inlineStr">
        <is>
          <t>Vertex Pantry Pro-165</t>
        </is>
      </c>
      <c r="D8013" s="58" t="inlineStr">
        <is>
          <t>Grocery</t>
        </is>
      </c>
      <c r="E8013" s="58" t="inlineStr">
        <is>
          <t>Central</t>
        </is>
      </c>
      <c r="F8013" s="61" t="n">
        <v>7</v>
      </c>
      <c r="G8013" s="62" t="n">
        <v>14.38</v>
      </c>
      <c r="H8013" s="63" t="n">
        <v>0.063</v>
      </c>
      <c r="I8013" s="62" t="n">
        <v>11.99</v>
      </c>
      <c r="J8013" s="58" t="inlineStr">
        <is>
          <t>Store</t>
        </is>
      </c>
      <c r="K8013" s="62">
        <f>F8013*(G8013-H8013)</f>
        <v/>
      </c>
      <c r="L8013" s="62">
        <f>K8013-(F8013*I8013)</f>
        <v/>
      </c>
      <c r="M8013" s="64">
        <f>L8013/K8013</f>
        <v/>
      </c>
    </row>
    <row r="8014">
      <c r="A8014" s="58" t="inlineStr">
        <is>
          <t>RT20250718-08013</t>
        </is>
      </c>
      <c r="B8014" s="59" t="inlineStr">
        <is>
          <t>2025-07-18</t>
        </is>
      </c>
      <c r="C8014" s="60" t="inlineStr">
        <is>
          <t>Polar Cycling S-223</t>
        </is>
      </c>
      <c r="D8014" s="58" t="inlineStr">
        <is>
          <t>Sports</t>
        </is>
      </c>
      <c r="E8014" s="58" t="inlineStr">
        <is>
          <t>West</t>
        </is>
      </c>
      <c r="F8014" s="61" t="n">
        <v>1</v>
      </c>
      <c r="G8014" s="62" t="n">
        <v>880.61</v>
      </c>
      <c r="H8014" s="63" t="n">
        <v>0.046</v>
      </c>
      <c r="I8014" s="62" t="n">
        <v>622.3200000000001</v>
      </c>
      <c r="J8014" s="58" t="inlineStr">
        <is>
          <t>Online</t>
        </is>
      </c>
      <c r="K8014" s="62">
        <f>F8014*(G8014-H8014)</f>
        <v/>
      </c>
      <c r="L8014" s="62">
        <f>K8014-(F8014*I8014)</f>
        <v/>
      </c>
      <c r="M8014" s="64">
        <f>L8014/K8014</f>
        <v/>
      </c>
    </row>
    <row r="8015">
      <c r="A8015" s="58" t="inlineStr">
        <is>
          <t>RT20250718-08014</t>
        </is>
      </c>
      <c r="B8015" s="59" t="inlineStr">
        <is>
          <t>2025-07-18</t>
        </is>
      </c>
      <c r="C8015" s="60" t="inlineStr">
        <is>
          <t>Vertex Headphone Pro-801</t>
        </is>
      </c>
      <c r="D8015" s="58" t="inlineStr">
        <is>
          <t>Electronics</t>
        </is>
      </c>
      <c r="E8015" s="58" t="inlineStr">
        <is>
          <t>West</t>
        </is>
      </c>
      <c r="F8015" s="61" t="n">
        <v>1</v>
      </c>
      <c r="G8015" s="62" t="n">
        <v>1341.67</v>
      </c>
      <c r="H8015" s="63" t="n">
        <v>0.063</v>
      </c>
      <c r="I8015" s="62" t="n">
        <v>996.3200000000001</v>
      </c>
      <c r="J8015" s="58" t="inlineStr">
        <is>
          <t>Store</t>
        </is>
      </c>
      <c r="K8015" s="62">
        <f>F8015*(G8015-H8015)</f>
        <v/>
      </c>
      <c r="L8015" s="62">
        <f>K8015-(F8015*I8015)</f>
        <v/>
      </c>
      <c r="M8015" s="64">
        <f>L8015/K8015</f>
        <v/>
      </c>
    </row>
    <row r="8016">
      <c r="A8016" s="58" t="inlineStr">
        <is>
          <t>RT20250718-08015</t>
        </is>
      </c>
      <c r="B8016" s="59" t="inlineStr">
        <is>
          <t>2025-07-18</t>
        </is>
      </c>
      <c r="C8016" s="60" t="inlineStr">
        <is>
          <t>Vertex Accessorie Pro-881</t>
        </is>
      </c>
      <c r="D8016" s="58" t="inlineStr">
        <is>
          <t>Apparel</t>
        </is>
      </c>
      <c r="E8016" s="58" t="inlineStr">
        <is>
          <t>South</t>
        </is>
      </c>
      <c r="F8016" s="61" t="n">
        <v>1</v>
      </c>
      <c r="G8016" s="62" t="n">
        <v>97.98</v>
      </c>
      <c r="H8016" s="63" t="n">
        <v>0.013</v>
      </c>
      <c r="I8016" s="62" t="n">
        <v>62.13</v>
      </c>
      <c r="J8016" s="58" t="inlineStr">
        <is>
          <t>Online</t>
        </is>
      </c>
      <c r="K8016" s="62">
        <f>F8016*(G8016-H8016)</f>
        <v/>
      </c>
      <c r="L8016" s="62">
        <f>K8016-(F8016*I8016)</f>
        <v/>
      </c>
      <c r="M8016" s="64">
        <f>L8016/K8016</f>
        <v/>
      </c>
    </row>
    <row r="8017">
      <c r="A8017" s="58" t="inlineStr">
        <is>
          <t>RT20250718-08016</t>
        </is>
      </c>
      <c r="B8017" s="59" t="inlineStr">
        <is>
          <t>2025-07-18</t>
        </is>
      </c>
      <c r="C8017" s="60" t="inlineStr">
        <is>
          <t>Falcon Headphone Plus-789</t>
        </is>
      </c>
      <c r="D8017" s="58" t="inlineStr">
        <is>
          <t>Electronics</t>
        </is>
      </c>
      <c r="E8017" s="58" t="inlineStr">
        <is>
          <t>East</t>
        </is>
      </c>
      <c r="F8017" s="61" t="n">
        <v>2</v>
      </c>
      <c r="G8017" s="62" t="n">
        <v>1668.32</v>
      </c>
      <c r="H8017" s="63" t="n">
        <v>0.115</v>
      </c>
      <c r="I8017" s="62" t="n">
        <v>1320.31</v>
      </c>
      <c r="J8017" s="58" t="inlineStr">
        <is>
          <t>Online</t>
        </is>
      </c>
      <c r="K8017" s="62">
        <f>F8017*(G8017-H8017)</f>
        <v/>
      </c>
      <c r="L8017" s="62">
        <f>K8017-(F8017*I8017)</f>
        <v/>
      </c>
      <c r="M8017" s="64">
        <f>L8017/K8017</f>
        <v/>
      </c>
    </row>
    <row r="8018">
      <c r="A8018" s="58" t="inlineStr">
        <is>
          <t>RT20250718-08017</t>
        </is>
      </c>
      <c r="B8018" s="59" t="inlineStr">
        <is>
          <t>2025-07-18</t>
        </is>
      </c>
      <c r="C8018" s="60" t="inlineStr">
        <is>
          <t>Metro Accessorie Lite-697</t>
        </is>
      </c>
      <c r="D8018" s="58" t="inlineStr">
        <is>
          <t>Apparel</t>
        </is>
      </c>
      <c r="E8018" s="58" t="inlineStr">
        <is>
          <t>South</t>
        </is>
      </c>
      <c r="F8018" s="61" t="n">
        <v>2</v>
      </c>
      <c r="G8018" s="62" t="n">
        <v>136.22</v>
      </c>
      <c r="H8018" s="63" t="n">
        <v>0.07199999999999999</v>
      </c>
      <c r="I8018" s="62" t="n">
        <v>77.39</v>
      </c>
      <c r="J8018" s="58" t="inlineStr">
        <is>
          <t>Phone</t>
        </is>
      </c>
      <c r="K8018" s="62">
        <f>F8018*(G8018-H8018)</f>
        <v/>
      </c>
      <c r="L8018" s="62">
        <f>K8018-(F8018*I8018)</f>
        <v/>
      </c>
      <c r="M8018" s="64">
        <f>L8018/K8018</f>
        <v/>
      </c>
    </row>
    <row r="8019">
      <c r="A8019" s="58" t="inlineStr">
        <is>
          <t>RT20250718-08018</t>
        </is>
      </c>
      <c r="B8019" s="59" t="inlineStr">
        <is>
          <t>2025-07-18</t>
        </is>
      </c>
      <c r="C8019" s="60" t="inlineStr">
        <is>
          <t>Aurora Bedding Max-175</t>
        </is>
      </c>
      <c r="D8019" s="58" t="inlineStr">
        <is>
          <t>Home</t>
        </is>
      </c>
      <c r="E8019" s="58" t="inlineStr">
        <is>
          <t>East</t>
        </is>
      </c>
      <c r="F8019" s="61" t="n">
        <v>1</v>
      </c>
      <c r="G8019" s="62" t="n">
        <v>600.49</v>
      </c>
      <c r="H8019" s="63" t="n">
        <v>0.104</v>
      </c>
      <c r="I8019" s="62" t="n">
        <v>403.36</v>
      </c>
      <c r="J8019" s="58" t="inlineStr">
        <is>
          <t>Online</t>
        </is>
      </c>
      <c r="K8019" s="62">
        <f>F8019*(G8019-H8019)</f>
        <v/>
      </c>
      <c r="L8019" s="62">
        <f>K8019-(F8019*I8019)</f>
        <v/>
      </c>
      <c r="M8019" s="64">
        <f>L8019/K8019</f>
        <v/>
      </c>
    </row>
    <row r="8020">
      <c r="A8020" s="58" t="inlineStr">
        <is>
          <t>RT20250718-08019</t>
        </is>
      </c>
      <c r="B8020" s="59" t="inlineStr">
        <is>
          <t>2025-07-18</t>
        </is>
      </c>
      <c r="C8020" s="60" t="inlineStr">
        <is>
          <t>Polar Supplie Lite-348</t>
        </is>
      </c>
      <c r="D8020" s="58" t="inlineStr">
        <is>
          <t>Office</t>
        </is>
      </c>
      <c r="E8020" s="58" t="inlineStr">
        <is>
          <t>South</t>
        </is>
      </c>
      <c r="F8020" s="61" t="n">
        <v>3</v>
      </c>
      <c r="G8020" s="62" t="n">
        <v>455.3</v>
      </c>
      <c r="H8020" s="63" t="n">
        <v>0.129</v>
      </c>
      <c r="I8020" s="62" t="n">
        <v>316.59</v>
      </c>
      <c r="J8020" s="58" t="inlineStr">
        <is>
          <t>Online</t>
        </is>
      </c>
      <c r="K8020" s="62">
        <f>F8020*(G8020-H8020)</f>
        <v/>
      </c>
      <c r="L8020" s="62">
        <f>K8020-(F8020*I8020)</f>
        <v/>
      </c>
      <c r="M8020" s="64">
        <f>L8020/K8020</f>
        <v/>
      </c>
    </row>
    <row r="8021">
      <c r="A8021" s="58" t="inlineStr">
        <is>
          <t>RT20250718-08020</t>
        </is>
      </c>
      <c r="B8021" s="59" t="inlineStr">
        <is>
          <t>2025-07-18</t>
        </is>
      </c>
      <c r="C8021" s="60" t="inlineStr">
        <is>
          <t>Aurora Bedding Max-175</t>
        </is>
      </c>
      <c r="D8021" s="58" t="inlineStr">
        <is>
          <t>Home</t>
        </is>
      </c>
      <c r="E8021" s="58" t="inlineStr">
        <is>
          <t>Central</t>
        </is>
      </c>
      <c r="F8021" s="61" t="n">
        <v>3</v>
      </c>
      <c r="G8021" s="62" t="n">
        <v>636.25</v>
      </c>
      <c r="H8021" s="63" t="n">
        <v>0.07199999999999999</v>
      </c>
      <c r="I8021" s="62" t="n">
        <v>406.15</v>
      </c>
      <c r="J8021" s="58" t="inlineStr">
        <is>
          <t>Online</t>
        </is>
      </c>
      <c r="K8021" s="62">
        <f>F8021*(G8021-H8021)</f>
        <v/>
      </c>
      <c r="L8021" s="62">
        <f>K8021-(F8021*I8021)</f>
        <v/>
      </c>
      <c r="M8021" s="64">
        <f>L8021/K8021</f>
        <v/>
      </c>
    </row>
    <row r="8022">
      <c r="A8022" s="58" t="inlineStr">
        <is>
          <t>RT20250718-08021</t>
        </is>
      </c>
      <c r="B8022" s="59" t="inlineStr">
        <is>
          <t>2025-07-18</t>
        </is>
      </c>
      <c r="C8022" s="60" t="inlineStr">
        <is>
          <t>Nimbus Headphone X-854</t>
        </is>
      </c>
      <c r="D8022" s="58" t="inlineStr">
        <is>
          <t>Electronics</t>
        </is>
      </c>
      <c r="E8022" s="58" t="inlineStr">
        <is>
          <t>East</t>
        </is>
      </c>
      <c r="F8022" s="61" t="n">
        <v>2</v>
      </c>
      <c r="G8022" s="62" t="n">
        <v>1646.73</v>
      </c>
      <c r="H8022" s="63" t="n">
        <v>0.019</v>
      </c>
      <c r="I8022" s="62" t="n">
        <v>1276.7</v>
      </c>
      <c r="J8022" s="58" t="inlineStr">
        <is>
          <t>Store</t>
        </is>
      </c>
      <c r="K8022" s="62">
        <f>F8022*(G8022-H8022)</f>
        <v/>
      </c>
      <c r="L8022" s="62">
        <f>K8022-(F8022*I8022)</f>
        <v/>
      </c>
      <c r="M8022" s="64">
        <f>L8022/K8022</f>
        <v/>
      </c>
    </row>
    <row r="8023">
      <c r="A8023" s="58" t="inlineStr">
        <is>
          <t>RT20250718-08022</t>
        </is>
      </c>
      <c r="B8023" s="59" t="inlineStr">
        <is>
          <t>2025-07-18</t>
        </is>
      </c>
      <c r="C8023" s="60" t="inlineStr">
        <is>
          <t>Aurora Printer Plus-991</t>
        </is>
      </c>
      <c r="D8023" s="58" t="inlineStr">
        <is>
          <t>Office</t>
        </is>
      </c>
      <c r="E8023" s="58" t="inlineStr">
        <is>
          <t>East</t>
        </is>
      </c>
      <c r="F8023" s="61" t="n">
        <v>3</v>
      </c>
      <c r="G8023" s="62" t="n">
        <v>582.35</v>
      </c>
      <c r="H8023" s="63" t="n">
        <v>0.09</v>
      </c>
      <c r="I8023" s="62" t="n">
        <v>377.45</v>
      </c>
      <c r="J8023" s="58" t="inlineStr">
        <is>
          <t>Store</t>
        </is>
      </c>
      <c r="K8023" s="62">
        <f>F8023*(G8023-H8023)</f>
        <v/>
      </c>
      <c r="L8023" s="62">
        <f>K8023-(F8023*I8023)</f>
        <v/>
      </c>
      <c r="M8023" s="64">
        <f>L8023/K8023</f>
        <v/>
      </c>
    </row>
    <row r="8024">
      <c r="A8024" s="58" t="inlineStr">
        <is>
          <t>RT20250718-08023</t>
        </is>
      </c>
      <c r="B8024" s="59" t="inlineStr">
        <is>
          <t>2025-07-18</t>
        </is>
      </c>
      <c r="C8024" s="60" t="inlineStr">
        <is>
          <t>Aurora Fragrance S-971</t>
        </is>
      </c>
      <c r="D8024" s="58" t="inlineStr">
        <is>
          <t>Beauty</t>
        </is>
      </c>
      <c r="E8024" s="58" t="inlineStr">
        <is>
          <t>Central</t>
        </is>
      </c>
      <c r="F8024" s="61" t="n">
        <v>5</v>
      </c>
      <c r="G8024" s="62" t="n">
        <v>109.17</v>
      </c>
      <c r="H8024" s="63" t="n">
        <v>0.022</v>
      </c>
      <c r="I8024" s="62" t="n">
        <v>65.53</v>
      </c>
      <c r="J8024" s="58" t="inlineStr">
        <is>
          <t>Online</t>
        </is>
      </c>
      <c r="K8024" s="62">
        <f>F8024*(G8024-H8024)</f>
        <v/>
      </c>
      <c r="L8024" s="62">
        <f>K8024-(F8024*I8024)</f>
        <v/>
      </c>
      <c r="M8024" s="64">
        <f>L8024/K8024</f>
        <v/>
      </c>
    </row>
    <row r="8025">
      <c r="A8025" s="58" t="inlineStr">
        <is>
          <t>RT20250718-08024</t>
        </is>
      </c>
      <c r="B8025" s="59" t="inlineStr">
        <is>
          <t>2025-07-18</t>
        </is>
      </c>
      <c r="C8025" s="60" t="inlineStr">
        <is>
          <t>Polar Decor X-935</t>
        </is>
      </c>
      <c r="D8025" s="58" t="inlineStr">
        <is>
          <t>Home</t>
        </is>
      </c>
      <c r="E8025" s="58" t="inlineStr">
        <is>
          <t>Central</t>
        </is>
      </c>
      <c r="F8025" s="61" t="n">
        <v>1</v>
      </c>
      <c r="G8025" s="62" t="n">
        <v>281.78</v>
      </c>
      <c r="H8025" s="63" t="n">
        <v>0.08</v>
      </c>
      <c r="I8025" s="62" t="n">
        <v>203.47</v>
      </c>
      <c r="J8025" s="58" t="inlineStr">
        <is>
          <t>Store</t>
        </is>
      </c>
      <c r="K8025" s="62">
        <f>F8025*(G8025-H8025)</f>
        <v/>
      </c>
      <c r="L8025" s="62">
        <f>K8025-(F8025*I8025)</f>
        <v/>
      </c>
      <c r="M8025" s="64">
        <f>L8025/K8025</f>
        <v/>
      </c>
    </row>
    <row r="8026">
      <c r="A8026" s="58" t="inlineStr">
        <is>
          <t>RT20250718-08025</t>
        </is>
      </c>
      <c r="B8026" s="59" t="inlineStr">
        <is>
          <t>2025-07-18</t>
        </is>
      </c>
      <c r="C8026" s="60" t="inlineStr">
        <is>
          <t>Falcon Cycling Pro-499</t>
        </is>
      </c>
      <c r="D8026" s="58" t="inlineStr">
        <is>
          <t>Sports</t>
        </is>
      </c>
      <c r="E8026" s="58" t="inlineStr">
        <is>
          <t>North</t>
        </is>
      </c>
      <c r="F8026" s="61" t="n">
        <v>2</v>
      </c>
      <c r="G8026" s="62" t="n">
        <v>612.64</v>
      </c>
      <c r="H8026" s="63" t="n">
        <v>0.015</v>
      </c>
      <c r="I8026" s="62" t="n">
        <v>396.02</v>
      </c>
      <c r="J8026" s="58" t="inlineStr">
        <is>
          <t>Store</t>
        </is>
      </c>
      <c r="K8026" s="62">
        <f>F8026*(G8026-H8026)</f>
        <v/>
      </c>
      <c r="L8026" s="62">
        <f>K8026-(F8026*I8026)</f>
        <v/>
      </c>
      <c r="M8026" s="64">
        <f>L8026/K8026</f>
        <v/>
      </c>
    </row>
    <row r="8027">
      <c r="A8027" s="58" t="inlineStr">
        <is>
          <t>RT20250718-08026</t>
        </is>
      </c>
      <c r="B8027" s="59" t="inlineStr">
        <is>
          <t>2025-07-18</t>
        </is>
      </c>
      <c r="C8027" s="60" t="inlineStr">
        <is>
          <t>Vertex Men X-995</t>
        </is>
      </c>
      <c r="D8027" s="58" t="inlineStr">
        <is>
          <t>Apparel</t>
        </is>
      </c>
      <c r="E8027" s="58" t="inlineStr">
        <is>
          <t>East</t>
        </is>
      </c>
      <c r="F8027" s="61" t="n">
        <v>1</v>
      </c>
      <c r="G8027" s="62" t="n">
        <v>114.19</v>
      </c>
      <c r="H8027" s="63" t="n">
        <v>0.05</v>
      </c>
      <c r="I8027" s="62" t="n">
        <v>58.48</v>
      </c>
      <c r="J8027" s="58" t="inlineStr">
        <is>
          <t>Store</t>
        </is>
      </c>
      <c r="K8027" s="62">
        <f>F8027*(G8027-H8027)</f>
        <v/>
      </c>
      <c r="L8027" s="62">
        <f>K8027-(F8027*I8027)</f>
        <v/>
      </c>
      <c r="M8027" s="64">
        <f>L8027/K8027</f>
        <v/>
      </c>
    </row>
    <row r="8028">
      <c r="A8028" s="58" t="inlineStr">
        <is>
          <t>RT20250718-08027</t>
        </is>
      </c>
      <c r="B8028" s="59" t="inlineStr">
        <is>
          <t>2025-07-18</t>
        </is>
      </c>
      <c r="C8028" s="60" t="inlineStr">
        <is>
          <t>Solace Makeup Pro-214</t>
        </is>
      </c>
      <c r="D8028" s="58" t="inlineStr">
        <is>
          <t>Beauty</t>
        </is>
      </c>
      <c r="E8028" s="58" t="inlineStr">
        <is>
          <t>East</t>
        </is>
      </c>
      <c r="F8028" s="61" t="n">
        <v>4</v>
      </c>
      <c r="G8028" s="62" t="n">
        <v>121.61</v>
      </c>
      <c r="H8028" s="63" t="n">
        <v>0.07199999999999999</v>
      </c>
      <c r="I8028" s="62" t="n">
        <v>66.51000000000001</v>
      </c>
      <c r="J8028" s="58" t="inlineStr">
        <is>
          <t>Online</t>
        </is>
      </c>
      <c r="K8028" s="62">
        <f>F8028*(G8028-H8028)</f>
        <v/>
      </c>
      <c r="L8028" s="62">
        <f>K8028-(F8028*I8028)</f>
        <v/>
      </c>
      <c r="M8028" s="64">
        <f>L8028/K8028</f>
        <v/>
      </c>
    </row>
    <row r="8029">
      <c r="A8029" s="58" t="inlineStr">
        <is>
          <t>RT20250718-08028</t>
        </is>
      </c>
      <c r="B8029" s="59" t="inlineStr">
        <is>
          <t>2025-07-18</t>
        </is>
      </c>
      <c r="C8029" s="60" t="inlineStr">
        <is>
          <t>Orion Men X-928</t>
        </is>
      </c>
      <c r="D8029" s="58" t="inlineStr">
        <is>
          <t>Apparel</t>
        </is>
      </c>
      <c r="E8029" s="58" t="inlineStr">
        <is>
          <t>Central</t>
        </is>
      </c>
      <c r="F8029" s="61" t="n">
        <v>2</v>
      </c>
      <c r="G8029" s="62" t="n">
        <v>110.66</v>
      </c>
      <c r="H8029" s="63" t="n">
        <v>0.07099999999999999</v>
      </c>
      <c r="I8029" s="62" t="n">
        <v>62.22</v>
      </c>
      <c r="J8029" s="58" t="inlineStr">
        <is>
          <t>Store</t>
        </is>
      </c>
      <c r="K8029" s="62">
        <f>F8029*(G8029-H8029)</f>
        <v/>
      </c>
      <c r="L8029" s="62">
        <f>K8029-(F8029*I8029)</f>
        <v/>
      </c>
      <c r="M8029" s="64">
        <f>L8029/K8029</f>
        <v/>
      </c>
    </row>
    <row r="8030">
      <c r="A8030" s="58" t="inlineStr">
        <is>
          <t>RT20250718-08029</t>
        </is>
      </c>
      <c r="B8030" s="59" t="inlineStr">
        <is>
          <t>2025-07-18</t>
        </is>
      </c>
      <c r="C8030" s="60" t="inlineStr">
        <is>
          <t>Aurora Appliance Lite-109</t>
        </is>
      </c>
      <c r="D8030" s="58" t="inlineStr">
        <is>
          <t>Home</t>
        </is>
      </c>
      <c r="E8030" s="58" t="inlineStr">
        <is>
          <t>South</t>
        </is>
      </c>
      <c r="F8030" s="61" t="n">
        <v>3</v>
      </c>
      <c r="G8030" s="62" t="n">
        <v>302.26</v>
      </c>
      <c r="H8030" s="63" t="n">
        <v>0.06900000000000001</v>
      </c>
      <c r="I8030" s="62" t="n">
        <v>203.17</v>
      </c>
      <c r="J8030" s="58" t="inlineStr">
        <is>
          <t>Store</t>
        </is>
      </c>
      <c r="K8030" s="62">
        <f>F8030*(G8030-H8030)</f>
        <v/>
      </c>
      <c r="L8030" s="62">
        <f>K8030-(F8030*I8030)</f>
        <v/>
      </c>
      <c r="M8030" s="64">
        <f>L8030/K8030</f>
        <v/>
      </c>
    </row>
    <row r="8031">
      <c r="A8031" s="58" t="inlineStr">
        <is>
          <t>RT20250718-08030</t>
        </is>
      </c>
      <c r="B8031" s="59" t="inlineStr">
        <is>
          <t>2025-07-18</t>
        </is>
      </c>
      <c r="C8031" s="60" t="inlineStr">
        <is>
          <t>Vertex Skincare Pro-891</t>
        </is>
      </c>
      <c r="D8031" s="58" t="inlineStr">
        <is>
          <t>Beauty</t>
        </is>
      </c>
      <c r="E8031" s="58" t="inlineStr">
        <is>
          <t>North</t>
        </is>
      </c>
      <c r="F8031" s="61" t="n">
        <v>4</v>
      </c>
      <c r="G8031" s="62" t="n">
        <v>141.49</v>
      </c>
      <c r="H8031" s="63" t="n">
        <v>0.073</v>
      </c>
      <c r="I8031" s="62" t="n">
        <v>90.48</v>
      </c>
      <c r="J8031" s="58" t="inlineStr">
        <is>
          <t>Store</t>
        </is>
      </c>
      <c r="K8031" s="62">
        <f>F8031*(G8031-H8031)</f>
        <v/>
      </c>
      <c r="L8031" s="62">
        <f>K8031-(F8031*I8031)</f>
        <v/>
      </c>
      <c r="M8031" s="64">
        <f>L8031/K8031</f>
        <v/>
      </c>
    </row>
    <row r="8032">
      <c r="A8032" s="58" t="inlineStr">
        <is>
          <t>RT20250718-08031</t>
        </is>
      </c>
      <c r="B8032" s="59" t="inlineStr">
        <is>
          <t>2025-07-18</t>
        </is>
      </c>
      <c r="C8032" s="60" t="inlineStr">
        <is>
          <t>Metro Laptop Plus-376</t>
        </is>
      </c>
      <c r="D8032" s="58" t="inlineStr">
        <is>
          <t>Electronics</t>
        </is>
      </c>
      <c r="E8032" s="58" t="inlineStr">
        <is>
          <t>West</t>
        </is>
      </c>
      <c r="F8032" s="61" t="n">
        <v>2</v>
      </c>
      <c r="G8032" s="62" t="n">
        <v>1314.75</v>
      </c>
      <c r="H8032" s="63" t="n">
        <v>0.065</v>
      </c>
      <c r="I8032" s="62" t="n">
        <v>1035.05</v>
      </c>
      <c r="J8032" s="58" t="inlineStr">
        <is>
          <t>Store</t>
        </is>
      </c>
      <c r="K8032" s="62">
        <f>F8032*(G8032-H8032)</f>
        <v/>
      </c>
      <c r="L8032" s="62">
        <f>K8032-(F8032*I8032)</f>
        <v/>
      </c>
      <c r="M8032" s="64">
        <f>L8032/K8032</f>
        <v/>
      </c>
    </row>
    <row r="8033">
      <c r="A8033" s="58" t="inlineStr">
        <is>
          <t>RT20250718-08032</t>
        </is>
      </c>
      <c r="B8033" s="59" t="inlineStr">
        <is>
          <t>2025-07-18</t>
        </is>
      </c>
      <c r="C8033" s="60" t="inlineStr">
        <is>
          <t>Falcon Household Plus-796</t>
        </is>
      </c>
      <c r="D8033" s="58" t="inlineStr">
        <is>
          <t>Grocery</t>
        </is>
      </c>
      <c r="E8033" s="58" t="inlineStr">
        <is>
          <t>Central</t>
        </is>
      </c>
      <c r="F8033" s="61" t="n">
        <v>1</v>
      </c>
      <c r="G8033" s="62" t="n">
        <v>25.4</v>
      </c>
      <c r="H8033" s="63" t="n">
        <v>0.059</v>
      </c>
      <c r="I8033" s="62" t="n">
        <v>17.66</v>
      </c>
      <c r="J8033" s="58" t="inlineStr">
        <is>
          <t>Online</t>
        </is>
      </c>
      <c r="K8033" s="62">
        <f>F8033*(G8033-H8033)</f>
        <v/>
      </c>
      <c r="L8033" s="62">
        <f>K8033-(F8033*I8033)</f>
        <v/>
      </c>
      <c r="M8033" s="64">
        <f>L8033/K8033</f>
        <v/>
      </c>
    </row>
    <row r="8034">
      <c r="A8034" s="58" t="inlineStr">
        <is>
          <t>RT20250718-08033</t>
        </is>
      </c>
      <c r="B8034" s="59" t="inlineStr">
        <is>
          <t>2025-07-18</t>
        </is>
      </c>
      <c r="C8034" s="60" t="inlineStr">
        <is>
          <t>Solace Team Sport Max-548</t>
        </is>
      </c>
      <c r="D8034" s="58" t="inlineStr">
        <is>
          <t>Sports</t>
        </is>
      </c>
      <c r="E8034" s="58" t="inlineStr">
        <is>
          <t>South</t>
        </is>
      </c>
      <c r="F8034" s="61" t="n">
        <v>2</v>
      </c>
      <c r="G8034" s="62" t="n">
        <v>786.7</v>
      </c>
      <c r="H8034" s="63" t="n">
        <v>0.068</v>
      </c>
      <c r="I8034" s="62" t="n">
        <v>477.28</v>
      </c>
      <c r="J8034" s="58" t="inlineStr">
        <is>
          <t>Store</t>
        </is>
      </c>
      <c r="K8034" s="62">
        <f>F8034*(G8034-H8034)</f>
        <v/>
      </c>
      <c r="L8034" s="62">
        <f>K8034-(F8034*I8034)</f>
        <v/>
      </c>
      <c r="M8034" s="64">
        <f>L8034/K8034</f>
        <v/>
      </c>
    </row>
    <row r="8035">
      <c r="A8035" s="58" t="inlineStr">
        <is>
          <t>RT20250718-08034</t>
        </is>
      </c>
      <c r="B8035" s="59" t="inlineStr">
        <is>
          <t>2025-07-18</t>
        </is>
      </c>
      <c r="C8035" s="60" t="inlineStr">
        <is>
          <t>Metro Pantry X-710</t>
        </is>
      </c>
      <c r="D8035" s="58" t="inlineStr">
        <is>
          <t>Grocery</t>
        </is>
      </c>
      <c r="E8035" s="58" t="inlineStr">
        <is>
          <t>East</t>
        </is>
      </c>
      <c r="F8035" s="61" t="n">
        <v>1</v>
      </c>
      <c r="G8035" s="62" t="n">
        <v>5.59</v>
      </c>
      <c r="H8035" s="63" t="n">
        <v>0.039</v>
      </c>
      <c r="I8035" s="62" t="n">
        <v>4.2</v>
      </c>
      <c r="J8035" s="58" t="inlineStr">
        <is>
          <t>Phone</t>
        </is>
      </c>
      <c r="K8035" s="62">
        <f>F8035*(G8035-H8035)</f>
        <v/>
      </c>
      <c r="L8035" s="62">
        <f>K8035-(F8035*I8035)</f>
        <v/>
      </c>
      <c r="M8035" s="64">
        <f>L8035/K8035</f>
        <v/>
      </c>
    </row>
    <row r="8036">
      <c r="A8036" s="58" t="inlineStr">
        <is>
          <t>RT20250718-08035</t>
        </is>
      </c>
      <c r="B8036" s="59" t="inlineStr">
        <is>
          <t>2025-07-18</t>
        </is>
      </c>
      <c r="C8036" s="60" t="inlineStr">
        <is>
          <t>Falcon Haircare Pro-980</t>
        </is>
      </c>
      <c r="D8036" s="58" t="inlineStr">
        <is>
          <t>Beauty</t>
        </is>
      </c>
      <c r="E8036" s="58" t="inlineStr">
        <is>
          <t>West</t>
        </is>
      </c>
      <c r="F8036" s="61" t="n">
        <v>2</v>
      </c>
      <c r="G8036" s="62" t="n">
        <v>99.7</v>
      </c>
      <c r="H8036" s="63" t="n">
        <v>0.06900000000000001</v>
      </c>
      <c r="I8036" s="62" t="n">
        <v>58.38</v>
      </c>
      <c r="J8036" s="58" t="inlineStr">
        <is>
          <t>Store</t>
        </is>
      </c>
      <c r="K8036" s="62">
        <f>F8036*(G8036-H8036)</f>
        <v/>
      </c>
      <c r="L8036" s="62">
        <f>K8036-(F8036*I8036)</f>
        <v/>
      </c>
      <c r="M8036" s="64">
        <f>L8036/K8036</f>
        <v/>
      </c>
    </row>
    <row r="8037">
      <c r="A8037" s="58" t="inlineStr">
        <is>
          <t>RT20250718-08036</t>
        </is>
      </c>
      <c r="B8037" s="59" t="inlineStr">
        <is>
          <t>2025-07-18</t>
        </is>
      </c>
      <c r="C8037" s="60" t="inlineStr">
        <is>
          <t>Orion Fragrance Lite-785</t>
        </is>
      </c>
      <c r="D8037" s="58" t="inlineStr">
        <is>
          <t>Beauty</t>
        </is>
      </c>
      <c r="E8037" s="58" t="inlineStr">
        <is>
          <t>East</t>
        </is>
      </c>
      <c r="F8037" s="61" t="n">
        <v>5</v>
      </c>
      <c r="G8037" s="62" t="n">
        <v>40.21</v>
      </c>
      <c r="H8037" s="63" t="n">
        <v>0.08599999999999999</v>
      </c>
      <c r="I8037" s="62" t="n">
        <v>26.71</v>
      </c>
      <c r="J8037" s="58" t="inlineStr">
        <is>
          <t>Online</t>
        </is>
      </c>
      <c r="K8037" s="62">
        <f>F8037*(G8037-H8037)</f>
        <v/>
      </c>
      <c r="L8037" s="62">
        <f>K8037-(F8037*I8037)</f>
        <v/>
      </c>
      <c r="M8037" s="64">
        <f>L8037/K8037</f>
        <v/>
      </c>
    </row>
    <row r="8038">
      <c r="A8038" s="58" t="inlineStr">
        <is>
          <t>RT20250718-08037</t>
        </is>
      </c>
      <c r="B8038" s="59" t="inlineStr">
        <is>
          <t>2025-07-18</t>
        </is>
      </c>
      <c r="C8038" s="60" t="inlineStr">
        <is>
          <t>Polar Fragrance Pro-750</t>
        </is>
      </c>
      <c r="D8038" s="58" t="inlineStr">
        <is>
          <t>Beauty</t>
        </is>
      </c>
      <c r="E8038" s="58" t="inlineStr">
        <is>
          <t>East</t>
        </is>
      </c>
      <c r="F8038" s="61" t="n">
        <v>4</v>
      </c>
      <c r="G8038" s="62" t="n">
        <v>60.12</v>
      </c>
      <c r="H8038" s="63" t="n">
        <v>0.096</v>
      </c>
      <c r="I8038" s="62" t="n">
        <v>35.93</v>
      </c>
      <c r="J8038" s="58" t="inlineStr">
        <is>
          <t>Online</t>
        </is>
      </c>
      <c r="K8038" s="62">
        <f>F8038*(G8038-H8038)</f>
        <v/>
      </c>
      <c r="L8038" s="62">
        <f>K8038-(F8038*I8038)</f>
        <v/>
      </c>
      <c r="M8038" s="64">
        <f>L8038/K8038</f>
        <v/>
      </c>
    </row>
    <row r="8039">
      <c r="A8039" s="58" t="inlineStr">
        <is>
          <t>RT20250718-08038</t>
        </is>
      </c>
      <c r="B8039" s="59" t="inlineStr">
        <is>
          <t>2025-07-18</t>
        </is>
      </c>
      <c r="C8039" s="60" t="inlineStr">
        <is>
          <t>Falcon Furniture Plus-839</t>
        </is>
      </c>
      <c r="D8039" s="58" t="inlineStr">
        <is>
          <t>Office</t>
        </is>
      </c>
      <c r="E8039" s="58" t="inlineStr">
        <is>
          <t>East</t>
        </is>
      </c>
      <c r="F8039" s="61" t="n">
        <v>1</v>
      </c>
      <c r="G8039" s="62" t="n">
        <v>346.27</v>
      </c>
      <c r="H8039" s="63" t="n">
        <v>0.002</v>
      </c>
      <c r="I8039" s="62" t="n">
        <v>224.77</v>
      </c>
      <c r="J8039" s="58" t="inlineStr">
        <is>
          <t>Online</t>
        </is>
      </c>
      <c r="K8039" s="62">
        <f>F8039*(G8039-H8039)</f>
        <v/>
      </c>
      <c r="L8039" s="62">
        <f>K8039-(F8039*I8039)</f>
        <v/>
      </c>
      <c r="M8039" s="64">
        <f>L8039/K8039</f>
        <v/>
      </c>
    </row>
    <row r="8040">
      <c r="A8040" s="58" t="inlineStr">
        <is>
          <t>RT20250718-08039</t>
        </is>
      </c>
      <c r="B8040" s="59" t="inlineStr">
        <is>
          <t>2025-07-18</t>
        </is>
      </c>
      <c r="C8040" s="60" t="inlineStr">
        <is>
          <t>Vertex Decor Pro-618</t>
        </is>
      </c>
      <c r="D8040" s="58" t="inlineStr">
        <is>
          <t>Home</t>
        </is>
      </c>
      <c r="E8040" s="58" t="inlineStr">
        <is>
          <t>East</t>
        </is>
      </c>
      <c r="F8040" s="61" t="n">
        <v>1</v>
      </c>
      <c r="G8040" s="62" t="n">
        <v>499.25</v>
      </c>
      <c r="H8040" s="63" t="n">
        <v>0.032</v>
      </c>
      <c r="I8040" s="62" t="n">
        <v>377.9</v>
      </c>
      <c r="J8040" s="58" t="inlineStr">
        <is>
          <t>Online</t>
        </is>
      </c>
      <c r="K8040" s="62">
        <f>F8040*(G8040-H8040)</f>
        <v/>
      </c>
      <c r="L8040" s="62">
        <f>K8040-(F8040*I8040)</f>
        <v/>
      </c>
      <c r="M8040" s="64">
        <f>L8040/K8040</f>
        <v/>
      </c>
    </row>
    <row r="8041">
      <c r="A8041" s="58" t="inlineStr">
        <is>
          <t>RT20250718-08040</t>
        </is>
      </c>
      <c r="B8041" s="59" t="inlineStr">
        <is>
          <t>2025-07-18</t>
        </is>
      </c>
      <c r="C8041" s="60" t="inlineStr">
        <is>
          <t>Falcon Household Plus-796</t>
        </is>
      </c>
      <c r="D8041" s="58" t="inlineStr">
        <is>
          <t>Grocery</t>
        </is>
      </c>
      <c r="E8041" s="58" t="inlineStr">
        <is>
          <t>North</t>
        </is>
      </c>
      <c r="F8041" s="61" t="n">
        <v>4</v>
      </c>
      <c r="G8041" s="62" t="n">
        <v>23.4</v>
      </c>
      <c r="H8041" s="63" t="n">
        <v>0.053</v>
      </c>
      <c r="I8041" s="62" t="n">
        <v>17.64</v>
      </c>
      <c r="J8041" s="58" t="inlineStr">
        <is>
          <t>Store</t>
        </is>
      </c>
      <c r="K8041" s="62">
        <f>F8041*(G8041-H8041)</f>
        <v/>
      </c>
      <c r="L8041" s="62">
        <f>K8041-(F8041*I8041)</f>
        <v/>
      </c>
      <c r="M8041" s="64">
        <f>L8041/K8041</f>
        <v/>
      </c>
    </row>
    <row r="8042">
      <c r="A8042" s="58" t="inlineStr">
        <is>
          <t>RT20250718-08041</t>
        </is>
      </c>
      <c r="B8042" s="59" t="inlineStr">
        <is>
          <t>2025-07-18</t>
        </is>
      </c>
      <c r="C8042" s="60" t="inlineStr">
        <is>
          <t>Falcon Team Sport Lite-268</t>
        </is>
      </c>
      <c r="D8042" s="58" t="inlineStr">
        <is>
          <t>Sports</t>
        </is>
      </c>
      <c r="E8042" s="58" t="inlineStr">
        <is>
          <t>North</t>
        </is>
      </c>
      <c r="F8042" s="61" t="n">
        <v>1</v>
      </c>
      <c r="G8042" s="62" t="n">
        <v>579.87</v>
      </c>
      <c r="H8042" s="63" t="n">
        <v>0.027</v>
      </c>
      <c r="I8042" s="62" t="n">
        <v>427.6</v>
      </c>
      <c r="J8042" s="58" t="inlineStr">
        <is>
          <t>Online</t>
        </is>
      </c>
      <c r="K8042" s="62">
        <f>F8042*(G8042-H8042)</f>
        <v/>
      </c>
      <c r="L8042" s="62">
        <f>K8042-(F8042*I8042)</f>
        <v/>
      </c>
      <c r="M8042" s="64">
        <f>L8042/K8042</f>
        <v/>
      </c>
    </row>
    <row r="8043">
      <c r="A8043" s="58" t="inlineStr">
        <is>
          <t>RT20250718-08042</t>
        </is>
      </c>
      <c r="B8043" s="59" t="inlineStr">
        <is>
          <t>2025-07-18</t>
        </is>
      </c>
      <c r="C8043" s="60" t="inlineStr">
        <is>
          <t>Metro Laptop Plus-376</t>
        </is>
      </c>
      <c r="D8043" s="58" t="inlineStr">
        <is>
          <t>Electronics</t>
        </is>
      </c>
      <c r="E8043" s="58" t="inlineStr">
        <is>
          <t>East</t>
        </is>
      </c>
      <c r="F8043" s="61" t="n">
        <v>2</v>
      </c>
      <c r="G8043" s="62" t="n">
        <v>1163.08</v>
      </c>
      <c r="H8043" s="63" t="n">
        <v>0</v>
      </c>
      <c r="I8043" s="62" t="n">
        <v>1021.98</v>
      </c>
      <c r="J8043" s="58" t="inlineStr">
        <is>
          <t>Online</t>
        </is>
      </c>
      <c r="K8043" s="62">
        <f>F8043*(G8043-H8043)</f>
        <v/>
      </c>
      <c r="L8043" s="62">
        <f>K8043-(F8043*I8043)</f>
        <v/>
      </c>
      <c r="M8043" s="64">
        <f>L8043/K8043</f>
        <v/>
      </c>
    </row>
    <row r="8044">
      <c r="A8044" s="58" t="inlineStr">
        <is>
          <t>RT20250718-08043</t>
        </is>
      </c>
      <c r="B8044" s="59" t="inlineStr">
        <is>
          <t>2025-07-18</t>
        </is>
      </c>
      <c r="C8044" s="60" t="inlineStr">
        <is>
          <t>Aurora Bedding Plus-187</t>
        </is>
      </c>
      <c r="D8044" s="58" t="inlineStr">
        <is>
          <t>Home</t>
        </is>
      </c>
      <c r="E8044" s="58" t="inlineStr">
        <is>
          <t>South</t>
        </is>
      </c>
      <c r="F8044" s="61" t="n">
        <v>3</v>
      </c>
      <c r="G8044" s="62" t="n">
        <v>354.14</v>
      </c>
      <c r="H8044" s="63" t="n">
        <v>0.06</v>
      </c>
      <c r="I8044" s="62" t="n">
        <v>208.1</v>
      </c>
      <c r="J8044" s="58" t="inlineStr">
        <is>
          <t>Store</t>
        </is>
      </c>
      <c r="K8044" s="62">
        <f>F8044*(G8044-H8044)</f>
        <v/>
      </c>
      <c r="L8044" s="62">
        <f>K8044-(F8044*I8044)</f>
        <v/>
      </c>
      <c r="M8044" s="64">
        <f>L8044/K8044</f>
        <v/>
      </c>
    </row>
    <row r="8045">
      <c r="A8045" s="58" t="inlineStr">
        <is>
          <t>RT20250718-08044</t>
        </is>
      </c>
      <c r="B8045" s="59" t="inlineStr">
        <is>
          <t>2025-07-18</t>
        </is>
      </c>
      <c r="C8045" s="60" t="inlineStr">
        <is>
          <t>Vertex Accessorie Pro-881</t>
        </is>
      </c>
      <c r="D8045" s="58" t="inlineStr">
        <is>
          <t>Apparel</t>
        </is>
      </c>
      <c r="E8045" s="58" t="inlineStr">
        <is>
          <t>Central</t>
        </is>
      </c>
      <c r="F8045" s="61" t="n">
        <v>1</v>
      </c>
      <c r="G8045" s="62" t="n">
        <v>116.75</v>
      </c>
      <c r="H8045" s="63" t="n">
        <v>0.066</v>
      </c>
      <c r="I8045" s="62" t="n">
        <v>62.12</v>
      </c>
      <c r="J8045" s="58" t="inlineStr">
        <is>
          <t>Store</t>
        </is>
      </c>
      <c r="K8045" s="62">
        <f>F8045*(G8045-H8045)</f>
        <v/>
      </c>
      <c r="L8045" s="62">
        <f>K8045-(F8045*I8045)</f>
        <v/>
      </c>
      <c r="M8045" s="64">
        <f>L8045/K8045</f>
        <v/>
      </c>
    </row>
    <row r="8046">
      <c r="A8046" s="58" t="inlineStr">
        <is>
          <t>RT20250718-08045</t>
        </is>
      </c>
      <c r="B8046" s="59" t="inlineStr">
        <is>
          <t>2025-07-18</t>
        </is>
      </c>
      <c r="C8046" s="60" t="inlineStr">
        <is>
          <t>Falcon Skincare Max-151</t>
        </is>
      </c>
      <c r="D8046" s="58" t="inlineStr">
        <is>
          <t>Beauty</t>
        </is>
      </c>
      <c r="E8046" s="58" t="inlineStr">
        <is>
          <t>East</t>
        </is>
      </c>
      <c r="F8046" s="61" t="n">
        <v>1</v>
      </c>
      <c r="G8046" s="62" t="n">
        <v>103.12</v>
      </c>
      <c r="H8046" s="63" t="n">
        <v>0.041</v>
      </c>
      <c r="I8046" s="62" t="n">
        <v>58.16</v>
      </c>
      <c r="J8046" s="58" t="inlineStr">
        <is>
          <t>Online</t>
        </is>
      </c>
      <c r="K8046" s="62">
        <f>F8046*(G8046-H8046)</f>
        <v/>
      </c>
      <c r="L8046" s="62">
        <f>K8046-(F8046*I8046)</f>
        <v/>
      </c>
      <c r="M8046" s="64">
        <f>L8046/K8046</f>
        <v/>
      </c>
    </row>
    <row r="8047">
      <c r="A8047" s="58" t="inlineStr">
        <is>
          <t>RT20250719-08046</t>
        </is>
      </c>
      <c r="B8047" s="59" t="inlineStr">
        <is>
          <t>2025-07-19</t>
        </is>
      </c>
      <c r="C8047" s="60" t="inlineStr">
        <is>
          <t>Aurora Smartphone Plus-125</t>
        </is>
      </c>
      <c r="D8047" s="58" t="inlineStr">
        <is>
          <t>Electronics</t>
        </is>
      </c>
      <c r="E8047" s="58" t="inlineStr">
        <is>
          <t>East</t>
        </is>
      </c>
      <c r="F8047" s="61" t="n">
        <v>1</v>
      </c>
      <c r="G8047" s="62" t="n">
        <v>1618.2</v>
      </c>
      <c r="H8047" s="63" t="n">
        <v>0.092</v>
      </c>
      <c r="I8047" s="62" t="n">
        <v>1230.68</v>
      </c>
      <c r="J8047" s="58" t="inlineStr">
        <is>
          <t>Phone</t>
        </is>
      </c>
      <c r="K8047" s="62">
        <f>F8047*(G8047-H8047)</f>
        <v/>
      </c>
      <c r="L8047" s="62">
        <f>K8047-(F8047*I8047)</f>
        <v/>
      </c>
      <c r="M8047" s="64">
        <f>L8047/K8047</f>
        <v/>
      </c>
    </row>
    <row r="8048">
      <c r="A8048" s="58" t="inlineStr">
        <is>
          <t>RT20250719-08047</t>
        </is>
      </c>
      <c r="B8048" s="59" t="inlineStr">
        <is>
          <t>2025-07-19</t>
        </is>
      </c>
      <c r="C8048" s="60" t="inlineStr">
        <is>
          <t>Vertex Men X-995</t>
        </is>
      </c>
      <c r="D8048" s="58" t="inlineStr">
        <is>
          <t>Apparel</t>
        </is>
      </c>
      <c r="E8048" s="58" t="inlineStr">
        <is>
          <t>South</t>
        </is>
      </c>
      <c r="F8048" s="61" t="n">
        <v>1</v>
      </c>
      <c r="G8048" s="62" t="n">
        <v>115.61</v>
      </c>
      <c r="H8048" s="63" t="n">
        <v>0.089</v>
      </c>
      <c r="I8048" s="62" t="n">
        <v>56.75</v>
      </c>
      <c r="J8048" s="58" t="inlineStr">
        <is>
          <t>Store</t>
        </is>
      </c>
      <c r="K8048" s="62">
        <f>F8048*(G8048-H8048)</f>
        <v/>
      </c>
      <c r="L8048" s="62">
        <f>K8048-(F8048*I8048)</f>
        <v/>
      </c>
      <c r="M8048" s="64">
        <f>L8048/K8048</f>
        <v/>
      </c>
    </row>
    <row r="8049">
      <c r="A8049" s="58" t="inlineStr">
        <is>
          <t>RT20250719-08048</t>
        </is>
      </c>
      <c r="B8049" s="59" t="inlineStr">
        <is>
          <t>2025-07-19</t>
        </is>
      </c>
      <c r="C8049" s="60" t="inlineStr">
        <is>
          <t>Metro Pantry X-710</t>
        </is>
      </c>
      <c r="D8049" s="58" t="inlineStr">
        <is>
          <t>Grocery</t>
        </is>
      </c>
      <c r="E8049" s="58" t="inlineStr">
        <is>
          <t>West</t>
        </is>
      </c>
      <c r="F8049" s="61" t="n">
        <v>8</v>
      </c>
      <c r="G8049" s="62" t="n">
        <v>5.52</v>
      </c>
      <c r="H8049" s="63" t="n">
        <v>0.078</v>
      </c>
      <c r="I8049" s="62" t="n">
        <v>4.12</v>
      </c>
      <c r="J8049" s="58" t="inlineStr">
        <is>
          <t>Online</t>
        </is>
      </c>
      <c r="K8049" s="62">
        <f>F8049*(G8049-H8049)</f>
        <v/>
      </c>
      <c r="L8049" s="62">
        <f>K8049-(F8049*I8049)</f>
        <v/>
      </c>
      <c r="M8049" s="64">
        <f>L8049/K8049</f>
        <v/>
      </c>
    </row>
    <row r="8050">
      <c r="A8050" s="58" t="inlineStr">
        <is>
          <t>RT20250719-08049</t>
        </is>
      </c>
      <c r="B8050" s="59" t="inlineStr">
        <is>
          <t>2025-07-19</t>
        </is>
      </c>
      <c r="C8050" s="60" t="inlineStr">
        <is>
          <t>Polar Laptop Plus-984</t>
        </is>
      </c>
      <c r="D8050" s="58" t="inlineStr">
        <is>
          <t>Electronics</t>
        </is>
      </c>
      <c r="E8050" s="58" t="inlineStr">
        <is>
          <t>North</t>
        </is>
      </c>
      <c r="F8050" s="61" t="n">
        <v>1</v>
      </c>
      <c r="G8050" s="62" t="n">
        <v>1297.3</v>
      </c>
      <c r="H8050" s="63" t="n">
        <v>0.047</v>
      </c>
      <c r="I8050" s="62" t="n">
        <v>1006.19</v>
      </c>
      <c r="J8050" s="58" t="inlineStr">
        <is>
          <t>Phone</t>
        </is>
      </c>
      <c r="K8050" s="62">
        <f>F8050*(G8050-H8050)</f>
        <v/>
      </c>
      <c r="L8050" s="62">
        <f>K8050-(F8050*I8050)</f>
        <v/>
      </c>
      <c r="M8050" s="64">
        <f>L8050/K8050</f>
        <v/>
      </c>
    </row>
    <row r="8051">
      <c r="A8051" s="58" t="inlineStr">
        <is>
          <t>RT20250719-08050</t>
        </is>
      </c>
      <c r="B8051" s="59" t="inlineStr">
        <is>
          <t>2025-07-19</t>
        </is>
      </c>
      <c r="C8051" s="60" t="inlineStr">
        <is>
          <t>Polar Outdoor X-193</t>
        </is>
      </c>
      <c r="D8051" s="58" t="inlineStr">
        <is>
          <t>Sports</t>
        </is>
      </c>
      <c r="E8051" s="58" t="inlineStr">
        <is>
          <t>Central</t>
        </is>
      </c>
      <c r="F8051" s="61" t="n">
        <v>2</v>
      </c>
      <c r="G8051" s="62" t="n">
        <v>706.09</v>
      </c>
      <c r="H8051" s="63" t="n">
        <v>0.141</v>
      </c>
      <c r="I8051" s="62" t="n">
        <v>459.54</v>
      </c>
      <c r="J8051" s="58" t="inlineStr">
        <is>
          <t>Phone</t>
        </is>
      </c>
      <c r="K8051" s="62">
        <f>F8051*(G8051-H8051)</f>
        <v/>
      </c>
      <c r="L8051" s="62">
        <f>K8051-(F8051*I8051)</f>
        <v/>
      </c>
      <c r="M8051" s="64">
        <f>L8051/K8051</f>
        <v/>
      </c>
    </row>
    <row r="8052">
      <c r="A8052" s="58" t="inlineStr">
        <is>
          <t>RT20250719-08051</t>
        </is>
      </c>
      <c r="B8052" s="59" t="inlineStr">
        <is>
          <t>2025-07-19</t>
        </is>
      </c>
      <c r="C8052" s="60" t="inlineStr">
        <is>
          <t>Falcon Furniture Plus-839</t>
        </is>
      </c>
      <c r="D8052" s="58" t="inlineStr">
        <is>
          <t>Office</t>
        </is>
      </c>
      <c r="E8052" s="58" t="inlineStr">
        <is>
          <t>Central</t>
        </is>
      </c>
      <c r="F8052" s="61" t="n">
        <v>1</v>
      </c>
      <c r="G8052" s="62" t="n">
        <v>299.92</v>
      </c>
      <c r="H8052" s="63" t="n">
        <v>0.043</v>
      </c>
      <c r="I8052" s="62" t="n">
        <v>225.02</v>
      </c>
      <c r="J8052" s="58" t="inlineStr">
        <is>
          <t>Online</t>
        </is>
      </c>
      <c r="K8052" s="62">
        <f>F8052*(G8052-H8052)</f>
        <v/>
      </c>
      <c r="L8052" s="62">
        <f>K8052-(F8052*I8052)</f>
        <v/>
      </c>
      <c r="M8052" s="64">
        <f>L8052/K8052</f>
        <v/>
      </c>
    </row>
    <row r="8053">
      <c r="A8053" s="58" t="inlineStr">
        <is>
          <t>RT20250719-08052</t>
        </is>
      </c>
      <c r="B8053" s="59" t="inlineStr">
        <is>
          <t>2025-07-19</t>
        </is>
      </c>
      <c r="C8053" s="60" t="inlineStr">
        <is>
          <t>Solace Headphone Pro-344</t>
        </is>
      </c>
      <c r="D8053" s="58" t="inlineStr">
        <is>
          <t>Electronics</t>
        </is>
      </c>
      <c r="E8053" s="58" t="inlineStr">
        <is>
          <t>East</t>
        </is>
      </c>
      <c r="F8053" s="61" t="n">
        <v>2</v>
      </c>
      <c r="G8053" s="62" t="n">
        <v>1394.39</v>
      </c>
      <c r="H8053" s="63" t="n">
        <v>0.091</v>
      </c>
      <c r="I8053" s="62" t="n">
        <v>1071.38</v>
      </c>
      <c r="J8053" s="58" t="inlineStr">
        <is>
          <t>Store</t>
        </is>
      </c>
      <c r="K8053" s="62">
        <f>F8053*(G8053-H8053)</f>
        <v/>
      </c>
      <c r="L8053" s="62">
        <f>K8053-(F8053*I8053)</f>
        <v/>
      </c>
      <c r="M8053" s="64">
        <f>L8053/K8053</f>
        <v/>
      </c>
    </row>
    <row r="8054">
      <c r="A8054" s="58" t="inlineStr">
        <is>
          <t>RT20250719-08053</t>
        </is>
      </c>
      <c r="B8054" s="59" t="inlineStr">
        <is>
          <t>2025-07-19</t>
        </is>
      </c>
      <c r="C8054" s="60" t="inlineStr">
        <is>
          <t>Vertex Smartphone Pro-256</t>
        </is>
      </c>
      <c r="D8054" s="58" t="inlineStr">
        <is>
          <t>Electronics</t>
        </is>
      </c>
      <c r="E8054" s="58" t="inlineStr">
        <is>
          <t>South</t>
        </is>
      </c>
      <c r="F8054" s="61" t="n">
        <v>2</v>
      </c>
      <c r="G8054" s="62" t="n">
        <v>1030.85</v>
      </c>
      <c r="H8054" s="63" t="n">
        <v>0.08500000000000001</v>
      </c>
      <c r="I8054" s="62" t="n">
        <v>915.75</v>
      </c>
      <c r="J8054" s="58" t="inlineStr">
        <is>
          <t>Online</t>
        </is>
      </c>
      <c r="K8054" s="62">
        <f>F8054*(G8054-H8054)</f>
        <v/>
      </c>
      <c r="L8054" s="62">
        <f>K8054-(F8054*I8054)</f>
        <v/>
      </c>
      <c r="M8054" s="64">
        <f>L8054/K8054</f>
        <v/>
      </c>
    </row>
    <row r="8055">
      <c r="A8055" s="58" t="inlineStr">
        <is>
          <t>RT20250719-08054</t>
        </is>
      </c>
      <c r="B8055" s="59" t="inlineStr">
        <is>
          <t>2025-07-19</t>
        </is>
      </c>
      <c r="C8055" s="60" t="inlineStr">
        <is>
          <t>Solace Bedding Plus-317</t>
        </is>
      </c>
      <c r="D8055" s="58" t="inlineStr">
        <is>
          <t>Home</t>
        </is>
      </c>
      <c r="E8055" s="58" t="inlineStr">
        <is>
          <t>East</t>
        </is>
      </c>
      <c r="F8055" s="61" t="n">
        <v>2</v>
      </c>
      <c r="G8055" s="62" t="n">
        <v>557.8099999999999</v>
      </c>
      <c r="H8055" s="63" t="n">
        <v>0.082</v>
      </c>
      <c r="I8055" s="62" t="n">
        <v>373.92</v>
      </c>
      <c r="J8055" s="58" t="inlineStr">
        <is>
          <t>Store</t>
        </is>
      </c>
      <c r="K8055" s="62">
        <f>F8055*(G8055-H8055)</f>
        <v/>
      </c>
      <c r="L8055" s="62">
        <f>K8055-(F8055*I8055)</f>
        <v/>
      </c>
      <c r="M8055" s="64">
        <f>L8055/K8055</f>
        <v/>
      </c>
    </row>
    <row r="8056">
      <c r="A8056" s="58" t="inlineStr">
        <is>
          <t>RT20250719-08055</t>
        </is>
      </c>
      <c r="B8056" s="59" t="inlineStr">
        <is>
          <t>2025-07-19</t>
        </is>
      </c>
      <c r="C8056" s="60" t="inlineStr">
        <is>
          <t>Falcon Headphone Plus-789</t>
        </is>
      </c>
      <c r="D8056" s="58" t="inlineStr">
        <is>
          <t>Electronics</t>
        </is>
      </c>
      <c r="E8056" s="58" t="inlineStr">
        <is>
          <t>East</t>
        </is>
      </c>
      <c r="F8056" s="61" t="n">
        <v>2</v>
      </c>
      <c r="G8056" s="62" t="n">
        <v>1694.05</v>
      </c>
      <c r="H8056" s="63" t="n">
        <v>0.053</v>
      </c>
      <c r="I8056" s="62" t="n">
        <v>1289.73</v>
      </c>
      <c r="J8056" s="58" t="inlineStr">
        <is>
          <t>Online</t>
        </is>
      </c>
      <c r="K8056" s="62">
        <f>F8056*(G8056-H8056)</f>
        <v/>
      </c>
      <c r="L8056" s="62">
        <f>K8056-(F8056*I8056)</f>
        <v/>
      </c>
      <c r="M8056" s="64">
        <f>L8056/K8056</f>
        <v/>
      </c>
    </row>
    <row r="8057">
      <c r="A8057" s="58" t="inlineStr">
        <is>
          <t>RT20250719-08056</t>
        </is>
      </c>
      <c r="B8057" s="59" t="inlineStr">
        <is>
          <t>2025-07-19</t>
        </is>
      </c>
      <c r="C8057" s="60" t="inlineStr">
        <is>
          <t>Falcon Haircare Pro-980</t>
        </is>
      </c>
      <c r="D8057" s="58" t="inlineStr">
        <is>
          <t>Beauty</t>
        </is>
      </c>
      <c r="E8057" s="58" t="inlineStr">
        <is>
          <t>South</t>
        </is>
      </c>
      <c r="F8057" s="61" t="n">
        <v>3</v>
      </c>
      <c r="G8057" s="62" t="n">
        <v>104.85</v>
      </c>
      <c r="H8057" s="63" t="n">
        <v>0.023</v>
      </c>
      <c r="I8057" s="62" t="n">
        <v>56.91</v>
      </c>
      <c r="J8057" s="58" t="inlineStr">
        <is>
          <t>Online</t>
        </is>
      </c>
      <c r="K8057" s="62">
        <f>F8057*(G8057-H8057)</f>
        <v/>
      </c>
      <c r="L8057" s="62">
        <f>K8057-(F8057*I8057)</f>
        <v/>
      </c>
      <c r="M8057" s="64">
        <f>L8057/K8057</f>
        <v/>
      </c>
    </row>
    <row r="8058">
      <c r="A8058" s="58" t="inlineStr">
        <is>
          <t>RT20250719-08057</t>
        </is>
      </c>
      <c r="B8058" s="59" t="inlineStr">
        <is>
          <t>2025-07-19</t>
        </is>
      </c>
      <c r="C8058" s="60" t="inlineStr">
        <is>
          <t>Solace Kid S-384</t>
        </is>
      </c>
      <c r="D8058" s="58" t="inlineStr">
        <is>
          <t>Apparel</t>
        </is>
      </c>
      <c r="E8058" s="58" t="inlineStr">
        <is>
          <t>Central</t>
        </is>
      </c>
      <c r="F8058" s="61" t="n">
        <v>3</v>
      </c>
      <c r="G8058" s="62" t="n">
        <v>101.46</v>
      </c>
      <c r="H8058" s="63" t="n">
        <v>0.061</v>
      </c>
      <c r="I8058" s="62" t="n">
        <v>62.81</v>
      </c>
      <c r="J8058" s="58" t="inlineStr">
        <is>
          <t>Online</t>
        </is>
      </c>
      <c r="K8058" s="62">
        <f>F8058*(G8058-H8058)</f>
        <v/>
      </c>
      <c r="L8058" s="62">
        <f>K8058-(F8058*I8058)</f>
        <v/>
      </c>
      <c r="M8058" s="64">
        <f>L8058/K8058</f>
        <v/>
      </c>
    </row>
    <row r="8059">
      <c r="A8059" s="58" t="inlineStr">
        <is>
          <t>RT20250719-08058</t>
        </is>
      </c>
      <c r="B8059" s="59" t="inlineStr">
        <is>
          <t>2025-07-19</t>
        </is>
      </c>
      <c r="C8059" s="60" t="inlineStr">
        <is>
          <t>Aurora Printer Plus-991</t>
        </is>
      </c>
      <c r="D8059" s="58" t="inlineStr">
        <is>
          <t>Office</t>
        </is>
      </c>
      <c r="E8059" s="58" t="inlineStr">
        <is>
          <t>West</t>
        </is>
      </c>
      <c r="F8059" s="61" t="n">
        <v>1</v>
      </c>
      <c r="G8059" s="62" t="n">
        <v>497.97</v>
      </c>
      <c r="H8059" s="63" t="n">
        <v>0.038</v>
      </c>
      <c r="I8059" s="62" t="n">
        <v>381.01</v>
      </c>
      <c r="J8059" s="58" t="inlineStr">
        <is>
          <t>Online</t>
        </is>
      </c>
      <c r="K8059" s="62">
        <f>F8059*(G8059-H8059)</f>
        <v/>
      </c>
      <c r="L8059" s="62">
        <f>K8059-(F8059*I8059)</f>
        <v/>
      </c>
      <c r="M8059" s="64">
        <f>L8059/K8059</f>
        <v/>
      </c>
    </row>
    <row r="8060">
      <c r="A8060" s="58" t="inlineStr">
        <is>
          <t>RT20250719-08059</t>
        </is>
      </c>
      <c r="B8060" s="59" t="inlineStr">
        <is>
          <t>2025-07-19</t>
        </is>
      </c>
      <c r="C8060" s="60" t="inlineStr">
        <is>
          <t>Solace Kitchen X-919</t>
        </is>
      </c>
      <c r="D8060" s="58" t="inlineStr">
        <is>
          <t>Home</t>
        </is>
      </c>
      <c r="E8060" s="58" t="inlineStr">
        <is>
          <t>South</t>
        </is>
      </c>
      <c r="F8060" s="61" t="n">
        <v>3</v>
      </c>
      <c r="G8060" s="62" t="n">
        <v>366.46</v>
      </c>
      <c r="H8060" s="63" t="n">
        <v>0.083</v>
      </c>
      <c r="I8060" s="62" t="n">
        <v>262.27</v>
      </c>
      <c r="J8060" s="58" t="inlineStr">
        <is>
          <t>Online</t>
        </is>
      </c>
      <c r="K8060" s="62">
        <f>F8060*(G8060-H8060)</f>
        <v/>
      </c>
      <c r="L8060" s="62">
        <f>K8060-(F8060*I8060)</f>
        <v/>
      </c>
      <c r="M8060" s="64">
        <f>L8060/K8060</f>
        <v/>
      </c>
    </row>
    <row r="8061">
      <c r="A8061" s="58" t="inlineStr">
        <is>
          <t>RT20250719-08060</t>
        </is>
      </c>
      <c r="B8061" s="59" t="inlineStr">
        <is>
          <t>2025-07-19</t>
        </is>
      </c>
      <c r="C8061" s="60" t="inlineStr">
        <is>
          <t>Aurora Fitnes Lite-194</t>
        </is>
      </c>
      <c r="D8061" s="58" t="inlineStr">
        <is>
          <t>Sports</t>
        </is>
      </c>
      <c r="E8061" s="58" t="inlineStr">
        <is>
          <t>Central</t>
        </is>
      </c>
      <c r="F8061" s="61" t="n">
        <v>1</v>
      </c>
      <c r="G8061" s="62" t="n">
        <v>706.24</v>
      </c>
      <c r="H8061" s="63" t="n">
        <v>0.022</v>
      </c>
      <c r="I8061" s="62" t="n">
        <v>454.44</v>
      </c>
      <c r="J8061" s="58" t="inlineStr">
        <is>
          <t>Store</t>
        </is>
      </c>
      <c r="K8061" s="62">
        <f>F8061*(G8061-H8061)</f>
        <v/>
      </c>
      <c r="L8061" s="62">
        <f>K8061-(F8061*I8061)</f>
        <v/>
      </c>
      <c r="M8061" s="64">
        <f>L8061/K8061</f>
        <v/>
      </c>
    </row>
    <row r="8062">
      <c r="A8062" s="58" t="inlineStr">
        <is>
          <t>RT20250719-08061</t>
        </is>
      </c>
      <c r="B8062" s="59" t="inlineStr">
        <is>
          <t>2025-07-19</t>
        </is>
      </c>
      <c r="C8062" s="60" t="inlineStr">
        <is>
          <t>Metro Pantry Max-180</t>
        </is>
      </c>
      <c r="D8062" s="58" t="inlineStr">
        <is>
          <t>Grocery</t>
        </is>
      </c>
      <c r="E8062" s="58" t="inlineStr">
        <is>
          <t>Central</t>
        </is>
      </c>
      <c r="F8062" s="61" t="n">
        <v>8</v>
      </c>
      <c r="G8062" s="62" t="n">
        <v>8.93</v>
      </c>
      <c r="H8062" s="63" t="n">
        <v>0.07199999999999999</v>
      </c>
      <c r="I8062" s="62" t="n">
        <v>6.64</v>
      </c>
      <c r="J8062" s="58" t="inlineStr">
        <is>
          <t>Store</t>
        </is>
      </c>
      <c r="K8062" s="62">
        <f>F8062*(G8062-H8062)</f>
        <v/>
      </c>
      <c r="L8062" s="62">
        <f>K8062-(F8062*I8062)</f>
        <v/>
      </c>
      <c r="M8062" s="64">
        <f>L8062/K8062</f>
        <v/>
      </c>
    </row>
    <row r="8063">
      <c r="A8063" s="58" t="inlineStr">
        <is>
          <t>RT20250719-08062</t>
        </is>
      </c>
      <c r="B8063" s="59" t="inlineStr">
        <is>
          <t>2025-07-19</t>
        </is>
      </c>
      <c r="C8063" s="60" t="inlineStr">
        <is>
          <t>Falcon Wearable X-334</t>
        </is>
      </c>
      <c r="D8063" s="58" t="inlineStr">
        <is>
          <t>Electronics</t>
        </is>
      </c>
      <c r="E8063" s="58" t="inlineStr">
        <is>
          <t>West</t>
        </is>
      </c>
      <c r="F8063" s="61" t="n">
        <v>2</v>
      </c>
      <c r="G8063" s="62" t="n">
        <v>1962.5</v>
      </c>
      <c r="H8063" s="63" t="n">
        <v>0.114</v>
      </c>
      <c r="I8063" s="62" t="n">
        <v>1522.79</v>
      </c>
      <c r="J8063" s="58" t="inlineStr">
        <is>
          <t>Online</t>
        </is>
      </c>
      <c r="K8063" s="62">
        <f>F8063*(G8063-H8063)</f>
        <v/>
      </c>
      <c r="L8063" s="62">
        <f>K8063-(F8063*I8063)</f>
        <v/>
      </c>
      <c r="M8063" s="64">
        <f>L8063/K8063</f>
        <v/>
      </c>
    </row>
    <row r="8064">
      <c r="A8064" s="58" t="inlineStr">
        <is>
          <t>RT20250719-08063</t>
        </is>
      </c>
      <c r="B8064" s="59" t="inlineStr">
        <is>
          <t>2025-07-19</t>
        </is>
      </c>
      <c r="C8064" s="60" t="inlineStr">
        <is>
          <t>Nimbus Decor Lite-385</t>
        </is>
      </c>
      <c r="D8064" s="58" t="inlineStr">
        <is>
          <t>Home</t>
        </is>
      </c>
      <c r="E8064" s="58" t="inlineStr">
        <is>
          <t>East</t>
        </is>
      </c>
      <c r="F8064" s="61" t="n">
        <v>1</v>
      </c>
      <c r="G8064" s="62" t="n">
        <v>621.99</v>
      </c>
      <c r="H8064" s="63" t="n">
        <v>0.057</v>
      </c>
      <c r="I8064" s="62" t="n">
        <v>400.57</v>
      </c>
      <c r="J8064" s="58" t="inlineStr">
        <is>
          <t>Online</t>
        </is>
      </c>
      <c r="K8064" s="62">
        <f>F8064*(G8064-H8064)</f>
        <v/>
      </c>
      <c r="L8064" s="62">
        <f>K8064-(F8064*I8064)</f>
        <v/>
      </c>
      <c r="M8064" s="64">
        <f>L8064/K8064</f>
        <v/>
      </c>
    </row>
    <row r="8065">
      <c r="A8065" s="58" t="inlineStr">
        <is>
          <t>RT20250719-08064</t>
        </is>
      </c>
      <c r="B8065" s="59" t="inlineStr">
        <is>
          <t>2025-07-19</t>
        </is>
      </c>
      <c r="C8065" s="60" t="inlineStr">
        <is>
          <t>Aurora Bedding Plus-187</t>
        </is>
      </c>
      <c r="D8065" s="58" t="inlineStr">
        <is>
          <t>Home</t>
        </is>
      </c>
      <c r="E8065" s="58" t="inlineStr">
        <is>
          <t>West</t>
        </is>
      </c>
      <c r="F8065" s="61" t="n">
        <v>2</v>
      </c>
      <c r="G8065" s="62" t="n">
        <v>299.66</v>
      </c>
      <c r="H8065" s="63" t="n">
        <v>0</v>
      </c>
      <c r="I8065" s="62" t="n">
        <v>209.91</v>
      </c>
      <c r="J8065" s="58" t="inlineStr">
        <is>
          <t>Online</t>
        </is>
      </c>
      <c r="K8065" s="62">
        <f>F8065*(G8065-H8065)</f>
        <v/>
      </c>
      <c r="L8065" s="62">
        <f>K8065-(F8065*I8065)</f>
        <v/>
      </c>
      <c r="M8065" s="64">
        <f>L8065/K8065</f>
        <v/>
      </c>
    </row>
    <row r="8066">
      <c r="A8066" s="58" t="inlineStr">
        <is>
          <t>RT20250719-08065</t>
        </is>
      </c>
      <c r="B8066" s="59" t="inlineStr">
        <is>
          <t>2025-07-19</t>
        </is>
      </c>
      <c r="C8066" s="60" t="inlineStr">
        <is>
          <t>Polar Outdoor Lite-318</t>
        </is>
      </c>
      <c r="D8066" s="58" t="inlineStr">
        <is>
          <t>Sports</t>
        </is>
      </c>
      <c r="E8066" s="58" t="inlineStr">
        <is>
          <t>North</t>
        </is>
      </c>
      <c r="F8066" s="61" t="n">
        <v>2</v>
      </c>
      <c r="G8066" s="62" t="n">
        <v>740.86</v>
      </c>
      <c r="H8066" s="63" t="n">
        <v>0.065</v>
      </c>
      <c r="I8066" s="62" t="n">
        <v>466.4</v>
      </c>
      <c r="J8066" s="58" t="inlineStr">
        <is>
          <t>Online</t>
        </is>
      </c>
      <c r="K8066" s="62">
        <f>F8066*(G8066-H8066)</f>
        <v/>
      </c>
      <c r="L8066" s="62">
        <f>K8066-(F8066*I8066)</f>
        <v/>
      </c>
      <c r="M8066" s="64">
        <f>L8066/K8066</f>
        <v/>
      </c>
    </row>
    <row r="8067">
      <c r="A8067" s="58" t="inlineStr">
        <is>
          <t>RT20250719-08066</t>
        </is>
      </c>
      <c r="B8067" s="59" t="inlineStr">
        <is>
          <t>2025-07-19</t>
        </is>
      </c>
      <c r="C8067" s="60" t="inlineStr">
        <is>
          <t>Falcon Skincare Max-151</t>
        </is>
      </c>
      <c r="D8067" s="58" t="inlineStr">
        <is>
          <t>Beauty</t>
        </is>
      </c>
      <c r="E8067" s="58" t="inlineStr">
        <is>
          <t>South</t>
        </is>
      </c>
      <c r="F8067" s="61" t="n">
        <v>1</v>
      </c>
      <c r="G8067" s="62" t="n">
        <v>94.54000000000001</v>
      </c>
      <c r="H8067" s="63" t="n">
        <v>0.08599999999999999</v>
      </c>
      <c r="I8067" s="62" t="n">
        <v>57.79</v>
      </c>
      <c r="J8067" s="58" t="inlineStr">
        <is>
          <t>Online</t>
        </is>
      </c>
      <c r="K8067" s="62">
        <f>F8067*(G8067-H8067)</f>
        <v/>
      </c>
      <c r="L8067" s="62">
        <f>K8067-(F8067*I8067)</f>
        <v/>
      </c>
      <c r="M8067" s="64">
        <f>L8067/K8067</f>
        <v/>
      </c>
    </row>
    <row r="8068">
      <c r="A8068" s="58" t="inlineStr">
        <is>
          <t>RT20250719-08067</t>
        </is>
      </c>
      <c r="B8068" s="59" t="inlineStr">
        <is>
          <t>2025-07-19</t>
        </is>
      </c>
      <c r="C8068" s="60" t="inlineStr">
        <is>
          <t>Aurora Printer Plus-723</t>
        </is>
      </c>
      <c r="D8068" s="58" t="inlineStr">
        <is>
          <t>Office</t>
        </is>
      </c>
      <c r="E8068" s="58" t="inlineStr">
        <is>
          <t>Central</t>
        </is>
      </c>
      <c r="F8068" s="61" t="n">
        <v>1</v>
      </c>
      <c r="G8068" s="62" t="n">
        <v>276.08</v>
      </c>
      <c r="H8068" s="63" t="n">
        <v>0.054</v>
      </c>
      <c r="I8068" s="62" t="n">
        <v>186.87</v>
      </c>
      <c r="J8068" s="58" t="inlineStr">
        <is>
          <t>Store</t>
        </is>
      </c>
      <c r="K8068" s="62">
        <f>F8068*(G8068-H8068)</f>
        <v/>
      </c>
      <c r="L8068" s="62">
        <f>K8068-(F8068*I8068)</f>
        <v/>
      </c>
      <c r="M8068" s="64">
        <f>L8068/K8068</f>
        <v/>
      </c>
    </row>
    <row r="8069">
      <c r="A8069" s="58" t="inlineStr">
        <is>
          <t>RT20250719-08068</t>
        </is>
      </c>
      <c r="B8069" s="59" t="inlineStr">
        <is>
          <t>2025-07-19</t>
        </is>
      </c>
      <c r="C8069" s="60" t="inlineStr">
        <is>
          <t>Solace Kid S-384</t>
        </is>
      </c>
      <c r="D8069" s="58" t="inlineStr">
        <is>
          <t>Apparel</t>
        </is>
      </c>
      <c r="E8069" s="58" t="inlineStr">
        <is>
          <t>Central</t>
        </is>
      </c>
      <c r="F8069" s="61" t="n">
        <v>3</v>
      </c>
      <c r="G8069" s="62" t="n">
        <v>114.1</v>
      </c>
      <c r="H8069" s="63" t="n">
        <v>0.065</v>
      </c>
      <c r="I8069" s="62" t="n">
        <v>61.35</v>
      </c>
      <c r="J8069" s="58" t="inlineStr">
        <is>
          <t>Store</t>
        </is>
      </c>
      <c r="K8069" s="62">
        <f>F8069*(G8069-H8069)</f>
        <v/>
      </c>
      <c r="L8069" s="62">
        <f>K8069-(F8069*I8069)</f>
        <v/>
      </c>
      <c r="M8069" s="64">
        <f>L8069/K8069</f>
        <v/>
      </c>
    </row>
    <row r="8070">
      <c r="A8070" s="58" t="inlineStr">
        <is>
          <t>RT20250719-08069</t>
        </is>
      </c>
      <c r="B8070" s="59" t="inlineStr">
        <is>
          <t>2025-07-19</t>
        </is>
      </c>
      <c r="C8070" s="60" t="inlineStr">
        <is>
          <t>Polar Cycling S-223</t>
        </is>
      </c>
      <c r="D8070" s="58" t="inlineStr">
        <is>
          <t>Sports</t>
        </is>
      </c>
      <c r="E8070" s="58" t="inlineStr">
        <is>
          <t>East</t>
        </is>
      </c>
      <c r="F8070" s="61" t="n">
        <v>3</v>
      </c>
      <c r="G8070" s="62" t="n">
        <v>960.85</v>
      </c>
      <c r="H8070" s="63" t="n">
        <v>0.082</v>
      </c>
      <c r="I8070" s="62" t="n">
        <v>636.99</v>
      </c>
      <c r="J8070" s="58" t="inlineStr">
        <is>
          <t>Online</t>
        </is>
      </c>
      <c r="K8070" s="62">
        <f>F8070*(G8070-H8070)</f>
        <v/>
      </c>
      <c r="L8070" s="62">
        <f>K8070-(F8070*I8070)</f>
        <v/>
      </c>
      <c r="M8070" s="64">
        <f>L8070/K8070</f>
        <v/>
      </c>
    </row>
    <row r="8071">
      <c r="A8071" s="58" t="inlineStr">
        <is>
          <t>RT20250719-08070</t>
        </is>
      </c>
      <c r="B8071" s="59" t="inlineStr">
        <is>
          <t>2025-07-19</t>
        </is>
      </c>
      <c r="C8071" s="60" t="inlineStr">
        <is>
          <t>Nimbus Laptop Max-652</t>
        </is>
      </c>
      <c r="D8071" s="58" t="inlineStr">
        <is>
          <t>Electronics</t>
        </is>
      </c>
      <c r="E8071" s="58" t="inlineStr">
        <is>
          <t>East</t>
        </is>
      </c>
      <c r="F8071" s="61" t="n">
        <v>2</v>
      </c>
      <c r="G8071" s="62" t="n">
        <v>1275.61</v>
      </c>
      <c r="H8071" s="63" t="n">
        <v>0.075</v>
      </c>
      <c r="I8071" s="62" t="n">
        <v>1041.06</v>
      </c>
      <c r="J8071" s="58" t="inlineStr">
        <is>
          <t>Online</t>
        </is>
      </c>
      <c r="K8071" s="62">
        <f>F8071*(G8071-H8071)</f>
        <v/>
      </c>
      <c r="L8071" s="62">
        <f>K8071-(F8071*I8071)</f>
        <v/>
      </c>
      <c r="M8071" s="64">
        <f>L8071/K8071</f>
        <v/>
      </c>
    </row>
    <row r="8072">
      <c r="A8072" s="58" t="inlineStr">
        <is>
          <t>RT20250719-08071</t>
        </is>
      </c>
      <c r="B8072" s="59" t="inlineStr">
        <is>
          <t>2025-07-19</t>
        </is>
      </c>
      <c r="C8072" s="60" t="inlineStr">
        <is>
          <t>Aurora Furniture X-709</t>
        </is>
      </c>
      <c r="D8072" s="58" t="inlineStr">
        <is>
          <t>Office</t>
        </is>
      </c>
      <c r="E8072" s="58" t="inlineStr">
        <is>
          <t>West</t>
        </is>
      </c>
      <c r="F8072" s="61" t="n">
        <v>3</v>
      </c>
      <c r="G8072" s="62" t="n">
        <v>444.13</v>
      </c>
      <c r="H8072" s="63" t="n">
        <v>0.077</v>
      </c>
      <c r="I8072" s="62" t="n">
        <v>311.61</v>
      </c>
      <c r="J8072" s="58" t="inlineStr">
        <is>
          <t>Store</t>
        </is>
      </c>
      <c r="K8072" s="62">
        <f>F8072*(G8072-H8072)</f>
        <v/>
      </c>
      <c r="L8072" s="62">
        <f>K8072-(F8072*I8072)</f>
        <v/>
      </c>
      <c r="M8072" s="64">
        <f>L8072/K8072</f>
        <v/>
      </c>
    </row>
    <row r="8073">
      <c r="A8073" s="58" t="inlineStr">
        <is>
          <t>RT20250719-08072</t>
        </is>
      </c>
      <c r="B8073" s="59" t="inlineStr">
        <is>
          <t>2025-07-19</t>
        </is>
      </c>
      <c r="C8073" s="60" t="inlineStr">
        <is>
          <t>Aurora Appliance Lite-109</t>
        </is>
      </c>
      <c r="D8073" s="58" t="inlineStr">
        <is>
          <t>Home</t>
        </is>
      </c>
      <c r="E8073" s="58" t="inlineStr">
        <is>
          <t>South</t>
        </is>
      </c>
      <c r="F8073" s="61" t="n">
        <v>3</v>
      </c>
      <c r="G8073" s="62" t="n">
        <v>307.06</v>
      </c>
      <c r="H8073" s="63" t="n">
        <v>0.066</v>
      </c>
      <c r="I8073" s="62" t="n">
        <v>204.96</v>
      </c>
      <c r="J8073" s="58" t="inlineStr">
        <is>
          <t>Store</t>
        </is>
      </c>
      <c r="K8073" s="62">
        <f>F8073*(G8073-H8073)</f>
        <v/>
      </c>
      <c r="L8073" s="62">
        <f>K8073-(F8073*I8073)</f>
        <v/>
      </c>
      <c r="M8073" s="64">
        <f>L8073/K8073</f>
        <v/>
      </c>
    </row>
    <row r="8074">
      <c r="A8074" s="58" t="inlineStr">
        <is>
          <t>RT20250719-08073</t>
        </is>
      </c>
      <c r="B8074" s="59" t="inlineStr">
        <is>
          <t>2025-07-19</t>
        </is>
      </c>
      <c r="C8074" s="60" t="inlineStr">
        <is>
          <t>Vertex Fitnes Pro-830</t>
        </is>
      </c>
      <c r="D8074" s="58" t="inlineStr">
        <is>
          <t>Sports</t>
        </is>
      </c>
      <c r="E8074" s="58" t="inlineStr">
        <is>
          <t>East</t>
        </is>
      </c>
      <c r="F8074" s="61" t="n">
        <v>3</v>
      </c>
      <c r="G8074" s="62" t="n">
        <v>720.21</v>
      </c>
      <c r="H8074" s="63" t="n">
        <v>0.038</v>
      </c>
      <c r="I8074" s="62" t="n">
        <v>479.24</v>
      </c>
      <c r="J8074" s="58" t="inlineStr">
        <is>
          <t>Online</t>
        </is>
      </c>
      <c r="K8074" s="62">
        <f>F8074*(G8074-H8074)</f>
        <v/>
      </c>
      <c r="L8074" s="62">
        <f>K8074-(F8074*I8074)</f>
        <v/>
      </c>
      <c r="M8074" s="64">
        <f>L8074/K8074</f>
        <v/>
      </c>
    </row>
    <row r="8075">
      <c r="A8075" s="58" t="inlineStr">
        <is>
          <t>RT20250719-08074</t>
        </is>
      </c>
      <c r="B8075" s="59" t="inlineStr">
        <is>
          <t>2025-07-19</t>
        </is>
      </c>
      <c r="C8075" s="60" t="inlineStr">
        <is>
          <t>Polar Snack Pro-641</t>
        </is>
      </c>
      <c r="D8075" s="58" t="inlineStr">
        <is>
          <t>Grocery</t>
        </is>
      </c>
      <c r="E8075" s="58" t="inlineStr">
        <is>
          <t>South</t>
        </is>
      </c>
      <c r="F8075" s="61" t="n">
        <v>6</v>
      </c>
      <c r="G8075" s="62" t="n">
        <v>12.43</v>
      </c>
      <c r="H8075" s="63" t="n">
        <v>0.063</v>
      </c>
      <c r="I8075" s="62" t="n">
        <v>9.279999999999999</v>
      </c>
      <c r="J8075" s="58" t="inlineStr">
        <is>
          <t>Store</t>
        </is>
      </c>
      <c r="K8075" s="62">
        <f>F8075*(G8075-H8075)</f>
        <v/>
      </c>
      <c r="L8075" s="62">
        <f>K8075-(F8075*I8075)</f>
        <v/>
      </c>
      <c r="M8075" s="64">
        <f>L8075/K8075</f>
        <v/>
      </c>
    </row>
    <row r="8076">
      <c r="A8076" s="58" t="inlineStr">
        <is>
          <t>RT20250719-08075</t>
        </is>
      </c>
      <c r="B8076" s="59" t="inlineStr">
        <is>
          <t>2025-07-19</t>
        </is>
      </c>
      <c r="C8076" s="60" t="inlineStr">
        <is>
          <t>Polar Pantry Lite-392</t>
        </is>
      </c>
      <c r="D8076" s="58" t="inlineStr">
        <is>
          <t>Grocery</t>
        </is>
      </c>
      <c r="E8076" s="58" t="inlineStr">
        <is>
          <t>South</t>
        </is>
      </c>
      <c r="F8076" s="61" t="n">
        <v>5</v>
      </c>
      <c r="G8076" s="62" t="n">
        <v>6.91</v>
      </c>
      <c r="H8076" s="63" t="n">
        <v>0.044</v>
      </c>
      <c r="I8076" s="62" t="n">
        <v>4.58</v>
      </c>
      <c r="J8076" s="58" t="inlineStr">
        <is>
          <t>Store</t>
        </is>
      </c>
      <c r="K8076" s="62">
        <f>F8076*(G8076-H8076)</f>
        <v/>
      </c>
      <c r="L8076" s="62">
        <f>K8076-(F8076*I8076)</f>
        <v/>
      </c>
      <c r="M8076" s="64">
        <f>L8076/K8076</f>
        <v/>
      </c>
    </row>
    <row r="8077">
      <c r="A8077" s="58" t="inlineStr">
        <is>
          <t>RT20250719-08076</t>
        </is>
      </c>
      <c r="B8077" s="59" t="inlineStr">
        <is>
          <t>2025-07-19</t>
        </is>
      </c>
      <c r="C8077" s="60" t="inlineStr">
        <is>
          <t>Aurora Household Plus-146</t>
        </is>
      </c>
      <c r="D8077" s="58" t="inlineStr">
        <is>
          <t>Grocery</t>
        </is>
      </c>
      <c r="E8077" s="58" t="inlineStr">
        <is>
          <t>East</t>
        </is>
      </c>
      <c r="F8077" s="61" t="n">
        <v>1</v>
      </c>
      <c r="G8077" s="62" t="n">
        <v>5.93</v>
      </c>
      <c r="H8077" s="63" t="n">
        <v>0.07199999999999999</v>
      </c>
      <c r="I8077" s="62" t="n">
        <v>4.47</v>
      </c>
      <c r="J8077" s="58" t="inlineStr">
        <is>
          <t>Online</t>
        </is>
      </c>
      <c r="K8077" s="62">
        <f>F8077*(G8077-H8077)</f>
        <v/>
      </c>
      <c r="L8077" s="62">
        <f>K8077-(F8077*I8077)</f>
        <v/>
      </c>
      <c r="M8077" s="64">
        <f>L8077/K8077</f>
        <v/>
      </c>
    </row>
    <row r="8078">
      <c r="A8078" s="58" t="inlineStr">
        <is>
          <t>RT20250719-08077</t>
        </is>
      </c>
      <c r="B8078" s="59" t="inlineStr">
        <is>
          <t>2025-07-19</t>
        </is>
      </c>
      <c r="C8078" s="60" t="inlineStr">
        <is>
          <t>Solace Team Sport Max-548</t>
        </is>
      </c>
      <c r="D8078" s="58" t="inlineStr">
        <is>
          <t>Sports</t>
        </is>
      </c>
      <c r="E8078" s="58" t="inlineStr">
        <is>
          <t>North</t>
        </is>
      </c>
      <c r="F8078" s="61" t="n">
        <v>1</v>
      </c>
      <c r="G8078" s="62" t="n">
        <v>703.04</v>
      </c>
      <c r="H8078" s="63" t="n">
        <v>0.021</v>
      </c>
      <c r="I8078" s="62" t="n">
        <v>487.28</v>
      </c>
      <c r="J8078" s="58" t="inlineStr">
        <is>
          <t>Online</t>
        </is>
      </c>
      <c r="K8078" s="62">
        <f>F8078*(G8078-H8078)</f>
        <v/>
      </c>
      <c r="L8078" s="62">
        <f>K8078-(F8078*I8078)</f>
        <v/>
      </c>
      <c r="M8078" s="64">
        <f>L8078/K8078</f>
        <v/>
      </c>
    </row>
    <row r="8079">
      <c r="A8079" s="58" t="inlineStr">
        <is>
          <t>RT20250719-08078</t>
        </is>
      </c>
      <c r="B8079" s="59" t="inlineStr">
        <is>
          <t>2025-07-19</t>
        </is>
      </c>
      <c r="C8079" s="60" t="inlineStr">
        <is>
          <t>Nimbus Women Lite-814</t>
        </is>
      </c>
      <c r="D8079" s="58" t="inlineStr">
        <is>
          <t>Apparel</t>
        </is>
      </c>
      <c r="E8079" s="58" t="inlineStr">
        <is>
          <t>South</t>
        </is>
      </c>
      <c r="F8079" s="61" t="n">
        <v>3</v>
      </c>
      <c r="G8079" s="62" t="n">
        <v>146.84</v>
      </c>
      <c r="H8079" s="63" t="n">
        <v>0.043</v>
      </c>
      <c r="I8079" s="62" t="n">
        <v>82.56</v>
      </c>
      <c r="J8079" s="58" t="inlineStr">
        <is>
          <t>Online</t>
        </is>
      </c>
      <c r="K8079" s="62">
        <f>F8079*(G8079-H8079)</f>
        <v/>
      </c>
      <c r="L8079" s="62">
        <f>K8079-(F8079*I8079)</f>
        <v/>
      </c>
      <c r="M8079" s="64">
        <f>L8079/K8079</f>
        <v/>
      </c>
    </row>
    <row r="8080">
      <c r="A8080" s="58" t="inlineStr">
        <is>
          <t>RT20250719-08079</t>
        </is>
      </c>
      <c r="B8080" s="59" t="inlineStr">
        <is>
          <t>2025-07-19</t>
        </is>
      </c>
      <c r="C8080" s="60" t="inlineStr">
        <is>
          <t>Polar Wearable X-119</t>
        </is>
      </c>
      <c r="D8080" s="58" t="inlineStr">
        <is>
          <t>Electronics</t>
        </is>
      </c>
      <c r="E8080" s="58" t="inlineStr">
        <is>
          <t>East</t>
        </is>
      </c>
      <c r="F8080" s="61" t="n">
        <v>1</v>
      </c>
      <c r="G8080" s="62" t="n">
        <v>1642.38</v>
      </c>
      <c r="H8080" s="63" t="n">
        <v>0.112</v>
      </c>
      <c r="I8080" s="62" t="n">
        <v>1313.88</v>
      </c>
      <c r="J8080" s="58" t="inlineStr">
        <is>
          <t>Online</t>
        </is>
      </c>
      <c r="K8080" s="62">
        <f>F8080*(G8080-H8080)</f>
        <v/>
      </c>
      <c r="L8080" s="62">
        <f>K8080-(F8080*I8080)</f>
        <v/>
      </c>
      <c r="M8080" s="64">
        <f>L8080/K8080</f>
        <v/>
      </c>
    </row>
    <row r="8081">
      <c r="A8081" s="58" t="inlineStr">
        <is>
          <t>RT20250719-08080</t>
        </is>
      </c>
      <c r="B8081" s="59" t="inlineStr">
        <is>
          <t>2025-07-19</t>
        </is>
      </c>
      <c r="C8081" s="60" t="inlineStr">
        <is>
          <t>Nimbus Women Lite-814</t>
        </is>
      </c>
      <c r="D8081" s="58" t="inlineStr">
        <is>
          <t>Apparel</t>
        </is>
      </c>
      <c r="E8081" s="58" t="inlineStr">
        <is>
          <t>North</t>
        </is>
      </c>
      <c r="F8081" s="61" t="n">
        <v>4</v>
      </c>
      <c r="G8081" s="62" t="n">
        <v>148.17</v>
      </c>
      <c r="H8081" s="63" t="n">
        <v>0</v>
      </c>
      <c r="I8081" s="62" t="n">
        <v>84.59999999999999</v>
      </c>
      <c r="J8081" s="58" t="inlineStr">
        <is>
          <t>Phone</t>
        </is>
      </c>
      <c r="K8081" s="62">
        <f>F8081*(G8081-H8081)</f>
        <v/>
      </c>
      <c r="L8081" s="62">
        <f>K8081-(F8081*I8081)</f>
        <v/>
      </c>
      <c r="M8081" s="64">
        <f>L8081/K8081</f>
        <v/>
      </c>
    </row>
    <row r="8082">
      <c r="A8082" s="58" t="inlineStr">
        <is>
          <t>RT20250719-08081</t>
        </is>
      </c>
      <c r="B8082" s="59" t="inlineStr">
        <is>
          <t>2025-07-19</t>
        </is>
      </c>
      <c r="C8082" s="60" t="inlineStr">
        <is>
          <t>Nimbus Fitnes Lite-516</t>
        </is>
      </c>
      <c r="D8082" s="58" t="inlineStr">
        <is>
          <t>Sports</t>
        </is>
      </c>
      <c r="E8082" s="58" t="inlineStr">
        <is>
          <t>South</t>
        </is>
      </c>
      <c r="F8082" s="61" t="n">
        <v>1</v>
      </c>
      <c r="G8082" s="62" t="n">
        <v>714.5700000000001</v>
      </c>
      <c r="H8082" s="63" t="n">
        <v>0.059</v>
      </c>
      <c r="I8082" s="62" t="n">
        <v>485.29</v>
      </c>
      <c r="J8082" s="58" t="inlineStr">
        <is>
          <t>Store</t>
        </is>
      </c>
      <c r="K8082" s="62">
        <f>F8082*(G8082-H8082)</f>
        <v/>
      </c>
      <c r="L8082" s="62">
        <f>K8082-(F8082*I8082)</f>
        <v/>
      </c>
      <c r="M8082" s="64">
        <f>L8082/K8082</f>
        <v/>
      </c>
    </row>
    <row r="8083">
      <c r="A8083" s="58" t="inlineStr">
        <is>
          <t>RT20250719-08082</t>
        </is>
      </c>
      <c r="B8083" s="59" t="inlineStr">
        <is>
          <t>2025-07-19</t>
        </is>
      </c>
      <c r="C8083" s="60" t="inlineStr">
        <is>
          <t>Aurora Wearable Lite-162</t>
        </is>
      </c>
      <c r="D8083" s="58" t="inlineStr">
        <is>
          <t>Electronics</t>
        </is>
      </c>
      <c r="E8083" s="58" t="inlineStr">
        <is>
          <t>West</t>
        </is>
      </c>
      <c r="F8083" s="61" t="n">
        <v>1</v>
      </c>
      <c r="G8083" s="62" t="n">
        <v>1557.03</v>
      </c>
      <c r="H8083" s="63" t="n">
        <v>0.068</v>
      </c>
      <c r="I8083" s="62" t="n">
        <v>1189.29</v>
      </c>
      <c r="J8083" s="58" t="inlineStr">
        <is>
          <t>Online</t>
        </is>
      </c>
      <c r="K8083" s="62">
        <f>F8083*(G8083-H8083)</f>
        <v/>
      </c>
      <c r="L8083" s="62">
        <f>K8083-(F8083*I8083)</f>
        <v/>
      </c>
      <c r="M8083" s="64">
        <f>L8083/K8083</f>
        <v/>
      </c>
    </row>
    <row r="8084">
      <c r="A8084" s="58" t="inlineStr">
        <is>
          <t>RT20250719-08083</t>
        </is>
      </c>
      <c r="B8084" s="59" t="inlineStr">
        <is>
          <t>2025-07-19</t>
        </is>
      </c>
      <c r="C8084" s="60" t="inlineStr">
        <is>
          <t>Vertex Fitnes Pro-830</t>
        </is>
      </c>
      <c r="D8084" s="58" t="inlineStr">
        <is>
          <t>Sports</t>
        </is>
      </c>
      <c r="E8084" s="58" t="inlineStr">
        <is>
          <t>East</t>
        </is>
      </c>
      <c r="F8084" s="61" t="n">
        <v>2</v>
      </c>
      <c r="G8084" s="62" t="n">
        <v>754.26</v>
      </c>
      <c r="H8084" s="63" t="n">
        <v>0.07000000000000001</v>
      </c>
      <c r="I8084" s="62" t="n">
        <v>470.27</v>
      </c>
      <c r="J8084" s="58" t="inlineStr">
        <is>
          <t>Store</t>
        </is>
      </c>
      <c r="K8084" s="62">
        <f>F8084*(G8084-H8084)</f>
        <v/>
      </c>
      <c r="L8084" s="62">
        <f>K8084-(F8084*I8084)</f>
        <v/>
      </c>
      <c r="M8084" s="64">
        <f>L8084/K8084</f>
        <v/>
      </c>
    </row>
    <row r="8085">
      <c r="A8085" s="58" t="inlineStr">
        <is>
          <t>RT20250719-08084</t>
        </is>
      </c>
      <c r="B8085" s="59" t="inlineStr">
        <is>
          <t>2025-07-19</t>
        </is>
      </c>
      <c r="C8085" s="60" t="inlineStr">
        <is>
          <t>Vertex Appliance S-296</t>
        </is>
      </c>
      <c r="D8085" s="58" t="inlineStr">
        <is>
          <t>Home</t>
        </is>
      </c>
      <c r="E8085" s="58" t="inlineStr">
        <is>
          <t>West</t>
        </is>
      </c>
      <c r="F8085" s="61" t="n">
        <v>3</v>
      </c>
      <c r="G8085" s="62" t="n">
        <v>548.75</v>
      </c>
      <c r="H8085" s="63" t="n">
        <v>0.04</v>
      </c>
      <c r="I8085" s="62" t="n">
        <v>356.17</v>
      </c>
      <c r="J8085" s="58" t="inlineStr">
        <is>
          <t>Phone</t>
        </is>
      </c>
      <c r="K8085" s="62">
        <f>F8085*(G8085-H8085)</f>
        <v/>
      </c>
      <c r="L8085" s="62">
        <f>K8085-(F8085*I8085)</f>
        <v/>
      </c>
      <c r="M8085" s="64">
        <f>L8085/K8085</f>
        <v/>
      </c>
    </row>
    <row r="8086">
      <c r="A8086" s="58" t="inlineStr">
        <is>
          <t>RT20250719-08085</t>
        </is>
      </c>
      <c r="B8086" s="59" t="inlineStr">
        <is>
          <t>2025-07-19</t>
        </is>
      </c>
      <c r="C8086" s="60" t="inlineStr">
        <is>
          <t>Nimbus Men Plus-231</t>
        </is>
      </c>
      <c r="D8086" s="58" t="inlineStr">
        <is>
          <t>Apparel</t>
        </is>
      </c>
      <c r="E8086" s="58" t="inlineStr">
        <is>
          <t>Central</t>
        </is>
      </c>
      <c r="F8086" s="61" t="n">
        <v>1</v>
      </c>
      <c r="G8086" s="62" t="n">
        <v>160.98</v>
      </c>
      <c r="H8086" s="63" t="n">
        <v>0.013</v>
      </c>
      <c r="I8086" s="62" t="n">
        <v>86.09</v>
      </c>
      <c r="J8086" s="58" t="inlineStr">
        <is>
          <t>Online</t>
        </is>
      </c>
      <c r="K8086" s="62">
        <f>F8086*(G8086-H8086)</f>
        <v/>
      </c>
      <c r="L8086" s="62">
        <f>K8086-(F8086*I8086)</f>
        <v/>
      </c>
      <c r="M8086" s="64">
        <f>L8086/K8086</f>
        <v/>
      </c>
    </row>
    <row r="8087">
      <c r="A8087" s="58" t="inlineStr">
        <is>
          <t>RT20250719-08086</t>
        </is>
      </c>
      <c r="B8087" s="59" t="inlineStr">
        <is>
          <t>2025-07-19</t>
        </is>
      </c>
      <c r="C8087" s="60" t="inlineStr">
        <is>
          <t>Metro Laptop Plus-376</t>
        </is>
      </c>
      <c r="D8087" s="58" t="inlineStr">
        <is>
          <t>Electronics</t>
        </is>
      </c>
      <c r="E8087" s="58" t="inlineStr">
        <is>
          <t>East</t>
        </is>
      </c>
      <c r="F8087" s="61" t="n">
        <v>2</v>
      </c>
      <c r="G8087" s="62" t="n">
        <v>1398.72</v>
      </c>
      <c r="H8087" s="63" t="n">
        <v>0.08799999999999999</v>
      </c>
      <c r="I8087" s="62" t="n">
        <v>1056.34</v>
      </c>
      <c r="J8087" s="58" t="inlineStr">
        <is>
          <t>Online</t>
        </is>
      </c>
      <c r="K8087" s="62">
        <f>F8087*(G8087-H8087)</f>
        <v/>
      </c>
      <c r="L8087" s="62">
        <f>K8087-(F8087*I8087)</f>
        <v/>
      </c>
      <c r="M8087" s="64">
        <f>L8087/K8087</f>
        <v/>
      </c>
    </row>
    <row r="8088">
      <c r="A8088" s="58" t="inlineStr">
        <is>
          <t>RT20250719-08087</t>
        </is>
      </c>
      <c r="B8088" s="59" t="inlineStr">
        <is>
          <t>2025-07-19</t>
        </is>
      </c>
      <c r="C8088" s="60" t="inlineStr">
        <is>
          <t>Aurora Fitnes Lite-194</t>
        </is>
      </c>
      <c r="D8088" s="58" t="inlineStr">
        <is>
          <t>Sports</t>
        </is>
      </c>
      <c r="E8088" s="58" t="inlineStr">
        <is>
          <t>Central</t>
        </is>
      </c>
      <c r="F8088" s="61" t="n">
        <v>3</v>
      </c>
      <c r="G8088" s="62" t="n">
        <v>702.67</v>
      </c>
      <c r="H8088" s="63" t="n">
        <v>0.054</v>
      </c>
      <c r="I8088" s="62" t="n">
        <v>450.94</v>
      </c>
      <c r="J8088" s="58" t="inlineStr">
        <is>
          <t>Store</t>
        </is>
      </c>
      <c r="K8088" s="62">
        <f>F8088*(G8088-H8088)</f>
        <v/>
      </c>
      <c r="L8088" s="62">
        <f>K8088-(F8088*I8088)</f>
        <v/>
      </c>
      <c r="M8088" s="64">
        <f>L8088/K8088</f>
        <v/>
      </c>
    </row>
    <row r="8089">
      <c r="A8089" s="58" t="inlineStr">
        <is>
          <t>RT20250719-08088</t>
        </is>
      </c>
      <c r="B8089" s="59" t="inlineStr">
        <is>
          <t>2025-07-19</t>
        </is>
      </c>
      <c r="C8089" s="60" t="inlineStr">
        <is>
          <t>Falcon Skincare X-334</t>
        </is>
      </c>
      <c r="D8089" s="58" t="inlineStr">
        <is>
          <t>Beauty</t>
        </is>
      </c>
      <c r="E8089" s="58" t="inlineStr">
        <is>
          <t>West</t>
        </is>
      </c>
      <c r="F8089" s="61" t="n">
        <v>5</v>
      </c>
      <c r="G8089" s="62" t="n">
        <v>83.06</v>
      </c>
      <c r="H8089" s="63" t="n">
        <v>0.114</v>
      </c>
      <c r="I8089" s="62" t="n">
        <v>62.31</v>
      </c>
      <c r="J8089" s="58" t="inlineStr">
        <is>
          <t>Online</t>
        </is>
      </c>
      <c r="K8089" s="62">
        <f>F8089*(G8089-H8089)</f>
        <v/>
      </c>
      <c r="L8089" s="62">
        <f>K8089-(F8089*I8089)</f>
        <v/>
      </c>
      <c r="M8089" s="64">
        <f>L8089/K8089</f>
        <v/>
      </c>
    </row>
    <row r="8090">
      <c r="A8090" s="58" t="inlineStr">
        <is>
          <t>RT20250719-08089</t>
        </is>
      </c>
      <c r="B8090" s="59" t="inlineStr">
        <is>
          <t>2025-07-19</t>
        </is>
      </c>
      <c r="C8090" s="60" t="inlineStr">
        <is>
          <t>Aurora Printer Plus-723</t>
        </is>
      </c>
      <c r="D8090" s="58" t="inlineStr">
        <is>
          <t>Office</t>
        </is>
      </c>
      <c r="E8090" s="58" t="inlineStr">
        <is>
          <t>East</t>
        </is>
      </c>
      <c r="F8090" s="61" t="n">
        <v>2</v>
      </c>
      <c r="G8090" s="62" t="n">
        <v>259</v>
      </c>
      <c r="H8090" s="63" t="n">
        <v>0.06</v>
      </c>
      <c r="I8090" s="62" t="n">
        <v>191.19</v>
      </c>
      <c r="J8090" s="58" t="inlineStr">
        <is>
          <t>Store</t>
        </is>
      </c>
      <c r="K8090" s="62">
        <f>F8090*(G8090-H8090)</f>
        <v/>
      </c>
      <c r="L8090" s="62">
        <f>K8090-(F8090*I8090)</f>
        <v/>
      </c>
      <c r="M8090" s="64">
        <f>L8090/K8090</f>
        <v/>
      </c>
    </row>
    <row r="8091">
      <c r="A8091" s="58" t="inlineStr">
        <is>
          <t>RT20250720-08090</t>
        </is>
      </c>
      <c r="B8091" s="59" t="inlineStr">
        <is>
          <t>2025-07-20</t>
        </is>
      </c>
      <c r="C8091" s="60" t="inlineStr">
        <is>
          <t>Polar Cycling S-223</t>
        </is>
      </c>
      <c r="D8091" s="58" t="inlineStr">
        <is>
          <t>Sports</t>
        </is>
      </c>
      <c r="E8091" s="58" t="inlineStr">
        <is>
          <t>East</t>
        </is>
      </c>
      <c r="F8091" s="61" t="n">
        <v>2</v>
      </c>
      <c r="G8091" s="62" t="n">
        <v>1018.85</v>
      </c>
      <c r="H8091" s="63" t="n">
        <v>0.104</v>
      </c>
      <c r="I8091" s="62" t="n">
        <v>647.23</v>
      </c>
      <c r="J8091" s="58" t="inlineStr">
        <is>
          <t>Online</t>
        </is>
      </c>
      <c r="K8091" s="62">
        <f>F8091*(G8091-H8091)</f>
        <v/>
      </c>
      <c r="L8091" s="62">
        <f>K8091-(F8091*I8091)</f>
        <v/>
      </c>
      <c r="M8091" s="64">
        <f>L8091/K8091</f>
        <v/>
      </c>
    </row>
    <row r="8092">
      <c r="A8092" s="58" t="inlineStr">
        <is>
          <t>RT20250720-08091</t>
        </is>
      </c>
      <c r="B8092" s="59" t="inlineStr">
        <is>
          <t>2025-07-20</t>
        </is>
      </c>
      <c r="C8092" s="60" t="inlineStr">
        <is>
          <t>Orion Team Sport X-926</t>
        </is>
      </c>
      <c r="D8092" s="58" t="inlineStr">
        <is>
          <t>Sports</t>
        </is>
      </c>
      <c r="E8092" s="58" t="inlineStr">
        <is>
          <t>North</t>
        </is>
      </c>
      <c r="F8092" s="61" t="n">
        <v>3</v>
      </c>
      <c r="G8092" s="62" t="n">
        <v>318.55</v>
      </c>
      <c r="H8092" s="63" t="n">
        <v>0.037</v>
      </c>
      <c r="I8092" s="62" t="n">
        <v>219.66</v>
      </c>
      <c r="J8092" s="58" t="inlineStr">
        <is>
          <t>Online</t>
        </is>
      </c>
      <c r="K8092" s="62">
        <f>F8092*(G8092-H8092)</f>
        <v/>
      </c>
      <c r="L8092" s="62">
        <f>K8092-(F8092*I8092)</f>
        <v/>
      </c>
      <c r="M8092" s="64">
        <f>L8092/K8092</f>
        <v/>
      </c>
    </row>
    <row r="8093">
      <c r="A8093" s="58" t="inlineStr">
        <is>
          <t>RT20250720-08092</t>
        </is>
      </c>
      <c r="B8093" s="59" t="inlineStr">
        <is>
          <t>2025-07-20</t>
        </is>
      </c>
      <c r="C8093" s="60" t="inlineStr">
        <is>
          <t>Orion Men X-928</t>
        </is>
      </c>
      <c r="D8093" s="58" t="inlineStr">
        <is>
          <t>Apparel</t>
        </is>
      </c>
      <c r="E8093" s="58" t="inlineStr">
        <is>
          <t>East</t>
        </is>
      </c>
      <c r="F8093" s="61" t="n">
        <v>1</v>
      </c>
      <c r="G8093" s="62" t="n">
        <v>107.27</v>
      </c>
      <c r="H8093" s="63" t="n">
        <v>0.06</v>
      </c>
      <c r="I8093" s="62" t="n">
        <v>60.86</v>
      </c>
      <c r="J8093" s="58" t="inlineStr">
        <is>
          <t>Store</t>
        </is>
      </c>
      <c r="K8093" s="62">
        <f>F8093*(G8093-H8093)</f>
        <v/>
      </c>
      <c r="L8093" s="62">
        <f>K8093-(F8093*I8093)</f>
        <v/>
      </c>
      <c r="M8093" s="64">
        <f>L8093/K8093</f>
        <v/>
      </c>
    </row>
    <row r="8094">
      <c r="A8094" s="58" t="inlineStr">
        <is>
          <t>RT20250720-08093</t>
        </is>
      </c>
      <c r="B8094" s="59" t="inlineStr">
        <is>
          <t>2025-07-20</t>
        </is>
      </c>
      <c r="C8094" s="60" t="inlineStr">
        <is>
          <t>Orion Laptop S-350</t>
        </is>
      </c>
      <c r="D8094" s="58" t="inlineStr">
        <is>
          <t>Electronics</t>
        </is>
      </c>
      <c r="E8094" s="58" t="inlineStr">
        <is>
          <t>South</t>
        </is>
      </c>
      <c r="F8094" s="61" t="n">
        <v>2</v>
      </c>
      <c r="G8094" s="62" t="n">
        <v>1418.33</v>
      </c>
      <c r="H8094" s="63" t="n">
        <v>0.068</v>
      </c>
      <c r="I8094" s="62" t="n">
        <v>1087.21</v>
      </c>
      <c r="J8094" s="58" t="inlineStr">
        <is>
          <t>Store</t>
        </is>
      </c>
      <c r="K8094" s="62">
        <f>F8094*(G8094-H8094)</f>
        <v/>
      </c>
      <c r="L8094" s="62">
        <f>K8094-(F8094*I8094)</f>
        <v/>
      </c>
      <c r="M8094" s="64">
        <f>L8094/K8094</f>
        <v/>
      </c>
    </row>
    <row r="8095">
      <c r="A8095" s="58" t="inlineStr">
        <is>
          <t>RT20250720-08094</t>
        </is>
      </c>
      <c r="B8095" s="59" t="inlineStr">
        <is>
          <t>2025-07-20</t>
        </is>
      </c>
      <c r="C8095" s="60" t="inlineStr">
        <is>
          <t>Vertex Supplie Pro-786</t>
        </is>
      </c>
      <c r="D8095" s="58" t="inlineStr">
        <is>
          <t>Office</t>
        </is>
      </c>
      <c r="E8095" s="58" t="inlineStr">
        <is>
          <t>North</t>
        </is>
      </c>
      <c r="F8095" s="61" t="n">
        <v>1</v>
      </c>
      <c r="G8095" s="62" t="n">
        <v>366.33</v>
      </c>
      <c r="H8095" s="63" t="n">
        <v>0.008</v>
      </c>
      <c r="I8095" s="62" t="n">
        <v>302.6</v>
      </c>
      <c r="J8095" s="58" t="inlineStr">
        <is>
          <t>Online</t>
        </is>
      </c>
      <c r="K8095" s="62">
        <f>F8095*(G8095-H8095)</f>
        <v/>
      </c>
      <c r="L8095" s="62">
        <f>K8095-(F8095*I8095)</f>
        <v/>
      </c>
      <c r="M8095" s="64">
        <f>L8095/K8095</f>
        <v/>
      </c>
    </row>
    <row r="8096">
      <c r="A8096" s="58" t="inlineStr">
        <is>
          <t>RT20250720-08095</t>
        </is>
      </c>
      <c r="B8096" s="59" t="inlineStr">
        <is>
          <t>2025-07-20</t>
        </is>
      </c>
      <c r="C8096" s="60" t="inlineStr">
        <is>
          <t>Falcon Accessorie S-195</t>
        </is>
      </c>
      <c r="D8096" s="58" t="inlineStr">
        <is>
          <t>Apparel</t>
        </is>
      </c>
      <c r="E8096" s="58" t="inlineStr">
        <is>
          <t>Central</t>
        </is>
      </c>
      <c r="F8096" s="61" t="n">
        <v>4</v>
      </c>
      <c r="G8096" s="62" t="n">
        <v>74.92</v>
      </c>
      <c r="H8096" s="63" t="n">
        <v>0.106</v>
      </c>
      <c r="I8096" s="62" t="n">
        <v>41.3</v>
      </c>
      <c r="J8096" s="58" t="inlineStr">
        <is>
          <t>Online</t>
        </is>
      </c>
      <c r="K8096" s="62">
        <f>F8096*(G8096-H8096)</f>
        <v/>
      </c>
      <c r="L8096" s="62">
        <f>K8096-(F8096*I8096)</f>
        <v/>
      </c>
      <c r="M8096" s="64">
        <f>L8096/K8096</f>
        <v/>
      </c>
    </row>
    <row r="8097">
      <c r="A8097" s="58" t="inlineStr">
        <is>
          <t>RT20250720-08096</t>
        </is>
      </c>
      <c r="B8097" s="59" t="inlineStr">
        <is>
          <t>2025-07-20</t>
        </is>
      </c>
      <c r="C8097" s="60" t="inlineStr">
        <is>
          <t>Polar Outdoor X-193</t>
        </is>
      </c>
      <c r="D8097" s="58" t="inlineStr">
        <is>
          <t>Sports</t>
        </is>
      </c>
      <c r="E8097" s="58" t="inlineStr">
        <is>
          <t>North</t>
        </is>
      </c>
      <c r="F8097" s="61" t="n">
        <v>1</v>
      </c>
      <c r="G8097" s="62" t="n">
        <v>682.83</v>
      </c>
      <c r="H8097" s="63" t="n">
        <v>0.077</v>
      </c>
      <c r="I8097" s="62" t="n">
        <v>465.55</v>
      </c>
      <c r="J8097" s="58" t="inlineStr">
        <is>
          <t>Store</t>
        </is>
      </c>
      <c r="K8097" s="62">
        <f>F8097*(G8097-H8097)</f>
        <v/>
      </c>
      <c r="L8097" s="62">
        <f>K8097-(F8097*I8097)</f>
        <v/>
      </c>
      <c r="M8097" s="64">
        <f>L8097/K8097</f>
        <v/>
      </c>
    </row>
    <row r="8098">
      <c r="A8098" s="58" t="inlineStr">
        <is>
          <t>RT20250720-08097</t>
        </is>
      </c>
      <c r="B8098" s="59" t="inlineStr">
        <is>
          <t>2025-07-20</t>
        </is>
      </c>
      <c r="C8098" s="60" t="inlineStr">
        <is>
          <t>Solace Kid S-384</t>
        </is>
      </c>
      <c r="D8098" s="58" t="inlineStr">
        <is>
          <t>Apparel</t>
        </is>
      </c>
      <c r="E8098" s="58" t="inlineStr">
        <is>
          <t>West</t>
        </is>
      </c>
      <c r="F8098" s="61" t="n">
        <v>1</v>
      </c>
      <c r="G8098" s="62" t="n">
        <v>111.24</v>
      </c>
      <c r="H8098" s="63" t="n">
        <v>0.107</v>
      </c>
      <c r="I8098" s="62" t="n">
        <v>60.82</v>
      </c>
      <c r="J8098" s="58" t="inlineStr">
        <is>
          <t>Online</t>
        </is>
      </c>
      <c r="K8098" s="62">
        <f>F8098*(G8098-H8098)</f>
        <v/>
      </c>
      <c r="L8098" s="62">
        <f>K8098-(F8098*I8098)</f>
        <v/>
      </c>
      <c r="M8098" s="64">
        <f>L8098/K8098</f>
        <v/>
      </c>
    </row>
    <row r="8099">
      <c r="A8099" s="58" t="inlineStr">
        <is>
          <t>RT20250720-08098</t>
        </is>
      </c>
      <c r="B8099" s="59" t="inlineStr">
        <is>
          <t>2025-07-20</t>
        </is>
      </c>
      <c r="C8099" s="60" t="inlineStr">
        <is>
          <t>Polar Laptop Plus-984</t>
        </is>
      </c>
      <c r="D8099" s="58" t="inlineStr">
        <is>
          <t>Electronics</t>
        </is>
      </c>
      <c r="E8099" s="58" t="inlineStr">
        <is>
          <t>West</t>
        </is>
      </c>
      <c r="F8099" s="61" t="n">
        <v>2</v>
      </c>
      <c r="G8099" s="62" t="n">
        <v>1486.36</v>
      </c>
      <c r="H8099" s="63" t="n">
        <v>0.062</v>
      </c>
      <c r="I8099" s="62" t="n">
        <v>1010.01</v>
      </c>
      <c r="J8099" s="58" t="inlineStr">
        <is>
          <t>Online</t>
        </is>
      </c>
      <c r="K8099" s="62">
        <f>F8099*(G8099-H8099)</f>
        <v/>
      </c>
      <c r="L8099" s="62">
        <f>K8099-(F8099*I8099)</f>
        <v/>
      </c>
      <c r="M8099" s="64">
        <f>L8099/K8099</f>
        <v/>
      </c>
    </row>
    <row r="8100">
      <c r="A8100" s="58" t="inlineStr">
        <is>
          <t>RT20250720-08099</t>
        </is>
      </c>
      <c r="B8100" s="59" t="inlineStr">
        <is>
          <t>2025-07-20</t>
        </is>
      </c>
      <c r="C8100" s="60" t="inlineStr">
        <is>
          <t>Polar Supplie Lite-348</t>
        </is>
      </c>
      <c r="D8100" s="58" t="inlineStr">
        <is>
          <t>Office</t>
        </is>
      </c>
      <c r="E8100" s="58" t="inlineStr">
        <is>
          <t>Central</t>
        </is>
      </c>
      <c r="F8100" s="61" t="n">
        <v>3</v>
      </c>
      <c r="G8100" s="62" t="n">
        <v>493.38</v>
      </c>
      <c r="H8100" s="63" t="n">
        <v>0.031</v>
      </c>
      <c r="I8100" s="62" t="n">
        <v>314.77</v>
      </c>
      <c r="J8100" s="58" t="inlineStr">
        <is>
          <t>Store</t>
        </is>
      </c>
      <c r="K8100" s="62">
        <f>F8100*(G8100-H8100)</f>
        <v/>
      </c>
      <c r="L8100" s="62">
        <f>K8100-(F8100*I8100)</f>
        <v/>
      </c>
      <c r="M8100" s="64">
        <f>L8100/K8100</f>
        <v/>
      </c>
    </row>
    <row r="8101">
      <c r="A8101" s="58" t="inlineStr">
        <is>
          <t>RT20250720-08100</t>
        </is>
      </c>
      <c r="B8101" s="59" t="inlineStr">
        <is>
          <t>2025-07-20</t>
        </is>
      </c>
      <c r="C8101" s="60" t="inlineStr">
        <is>
          <t>Vertex Furniture S-652</t>
        </is>
      </c>
      <c r="D8101" s="58" t="inlineStr">
        <is>
          <t>Office</t>
        </is>
      </c>
      <c r="E8101" s="58" t="inlineStr">
        <is>
          <t>Central</t>
        </is>
      </c>
      <c r="F8101" s="61" t="n">
        <v>1</v>
      </c>
      <c r="G8101" s="62" t="n">
        <v>380.01</v>
      </c>
      <c r="H8101" s="63" t="n">
        <v>0.083</v>
      </c>
      <c r="I8101" s="62" t="n">
        <v>272.91</v>
      </c>
      <c r="J8101" s="58" t="inlineStr">
        <is>
          <t>Online</t>
        </is>
      </c>
      <c r="K8101" s="62">
        <f>F8101*(G8101-H8101)</f>
        <v/>
      </c>
      <c r="L8101" s="62">
        <f>K8101-(F8101*I8101)</f>
        <v/>
      </c>
      <c r="M8101" s="64">
        <f>L8101/K8101</f>
        <v/>
      </c>
    </row>
    <row r="8102">
      <c r="A8102" s="58" t="inlineStr">
        <is>
          <t>RT20250720-08101</t>
        </is>
      </c>
      <c r="B8102" s="59" t="inlineStr">
        <is>
          <t>2025-07-20</t>
        </is>
      </c>
      <c r="C8102" s="60" t="inlineStr">
        <is>
          <t>Aurora Appliance Max-316</t>
        </is>
      </c>
      <c r="D8102" s="58" t="inlineStr">
        <is>
          <t>Home</t>
        </is>
      </c>
      <c r="E8102" s="58" t="inlineStr">
        <is>
          <t>Central</t>
        </is>
      </c>
      <c r="F8102" s="61" t="n">
        <v>2</v>
      </c>
      <c r="G8102" s="62" t="n">
        <v>355.57</v>
      </c>
      <c r="H8102" s="63" t="n">
        <v>0.058</v>
      </c>
      <c r="I8102" s="62" t="n">
        <v>215.09</v>
      </c>
      <c r="J8102" s="58" t="inlineStr">
        <is>
          <t>Store</t>
        </is>
      </c>
      <c r="K8102" s="62">
        <f>F8102*(G8102-H8102)</f>
        <v/>
      </c>
      <c r="L8102" s="62">
        <f>K8102-(F8102*I8102)</f>
        <v/>
      </c>
      <c r="M8102" s="64">
        <f>L8102/K8102</f>
        <v/>
      </c>
    </row>
    <row r="8103">
      <c r="A8103" s="58" t="inlineStr">
        <is>
          <t>RT20250720-08102</t>
        </is>
      </c>
      <c r="B8103" s="59" t="inlineStr">
        <is>
          <t>2025-07-20</t>
        </is>
      </c>
      <c r="C8103" s="60" t="inlineStr">
        <is>
          <t>Nimbus Decor Lite-385</t>
        </is>
      </c>
      <c r="D8103" s="58" t="inlineStr">
        <is>
          <t>Home</t>
        </is>
      </c>
      <c r="E8103" s="58" t="inlineStr">
        <is>
          <t>Central</t>
        </is>
      </c>
      <c r="F8103" s="61" t="n">
        <v>1</v>
      </c>
      <c r="G8103" s="62" t="n">
        <v>561.75</v>
      </c>
      <c r="H8103" s="63" t="n">
        <v>0.013</v>
      </c>
      <c r="I8103" s="62" t="n">
        <v>407.45</v>
      </c>
      <c r="J8103" s="58" t="inlineStr">
        <is>
          <t>Online</t>
        </is>
      </c>
      <c r="K8103" s="62">
        <f>F8103*(G8103-H8103)</f>
        <v/>
      </c>
      <c r="L8103" s="62">
        <f>K8103-(F8103*I8103)</f>
        <v/>
      </c>
      <c r="M8103" s="64">
        <f>L8103/K8103</f>
        <v/>
      </c>
    </row>
    <row r="8104">
      <c r="A8104" s="58" t="inlineStr">
        <is>
          <t>RT20250720-08103</t>
        </is>
      </c>
      <c r="B8104" s="59" t="inlineStr">
        <is>
          <t>2025-07-20</t>
        </is>
      </c>
      <c r="C8104" s="60" t="inlineStr">
        <is>
          <t>Nimbus Men Plus-231</t>
        </is>
      </c>
      <c r="D8104" s="58" t="inlineStr">
        <is>
          <t>Apparel</t>
        </is>
      </c>
      <c r="E8104" s="58" t="inlineStr">
        <is>
          <t>Central</t>
        </is>
      </c>
      <c r="F8104" s="61" t="n">
        <v>4</v>
      </c>
      <c r="G8104" s="62" t="n">
        <v>151.51</v>
      </c>
      <c r="H8104" s="63" t="n">
        <v>0.038</v>
      </c>
      <c r="I8104" s="62" t="n">
        <v>87.23999999999999</v>
      </c>
      <c r="J8104" s="58" t="inlineStr">
        <is>
          <t>Online</t>
        </is>
      </c>
      <c r="K8104" s="62">
        <f>F8104*(G8104-H8104)</f>
        <v/>
      </c>
      <c r="L8104" s="62">
        <f>K8104-(F8104*I8104)</f>
        <v/>
      </c>
      <c r="M8104" s="64">
        <f>L8104/K8104</f>
        <v/>
      </c>
    </row>
    <row r="8105">
      <c r="A8105" s="58" t="inlineStr">
        <is>
          <t>RT20250720-08104</t>
        </is>
      </c>
      <c r="B8105" s="59" t="inlineStr">
        <is>
          <t>2025-07-20</t>
        </is>
      </c>
      <c r="C8105" s="60" t="inlineStr">
        <is>
          <t>Vertex Smartphone Lite-267</t>
        </is>
      </c>
      <c r="D8105" s="58" t="inlineStr">
        <is>
          <t>Electronics</t>
        </is>
      </c>
      <c r="E8105" s="58" t="inlineStr">
        <is>
          <t>Central</t>
        </is>
      </c>
      <c r="F8105" s="61" t="n">
        <v>1</v>
      </c>
      <c r="G8105" s="62" t="n">
        <v>1354.22</v>
      </c>
      <c r="H8105" s="63" t="n">
        <v>0.08400000000000001</v>
      </c>
      <c r="I8105" s="62" t="n">
        <v>997.66</v>
      </c>
      <c r="J8105" s="58" t="inlineStr">
        <is>
          <t>Online</t>
        </is>
      </c>
      <c r="K8105" s="62">
        <f>F8105*(G8105-H8105)</f>
        <v/>
      </c>
      <c r="L8105" s="62">
        <f>K8105-(F8105*I8105)</f>
        <v/>
      </c>
      <c r="M8105" s="64">
        <f>L8105/K8105</f>
        <v/>
      </c>
    </row>
    <row r="8106">
      <c r="A8106" s="58" t="inlineStr">
        <is>
          <t>RT20250720-08105</t>
        </is>
      </c>
      <c r="B8106" s="59" t="inlineStr">
        <is>
          <t>2025-07-20</t>
        </is>
      </c>
      <c r="C8106" s="60" t="inlineStr">
        <is>
          <t>Solace Laptop S-367</t>
        </is>
      </c>
      <c r="D8106" s="58" t="inlineStr">
        <is>
          <t>Electronics</t>
        </is>
      </c>
      <c r="E8106" s="58" t="inlineStr">
        <is>
          <t>Central</t>
        </is>
      </c>
      <c r="F8106" s="61" t="n">
        <v>1</v>
      </c>
      <c r="G8106" s="62" t="n">
        <v>2198.23</v>
      </c>
      <c r="H8106" s="63" t="n">
        <v>0.077</v>
      </c>
      <c r="I8106" s="62" t="n">
        <v>1550.65</v>
      </c>
      <c r="J8106" s="58" t="inlineStr">
        <is>
          <t>Store</t>
        </is>
      </c>
      <c r="K8106" s="62">
        <f>F8106*(G8106-H8106)</f>
        <v/>
      </c>
      <c r="L8106" s="62">
        <f>K8106-(F8106*I8106)</f>
        <v/>
      </c>
      <c r="M8106" s="64">
        <f>L8106/K8106</f>
        <v/>
      </c>
    </row>
    <row r="8107">
      <c r="A8107" s="58" t="inlineStr">
        <is>
          <t>RT20250720-08106</t>
        </is>
      </c>
      <c r="B8107" s="59" t="inlineStr">
        <is>
          <t>2025-07-20</t>
        </is>
      </c>
      <c r="C8107" s="60" t="inlineStr">
        <is>
          <t>Metro Decor Lite-325</t>
        </is>
      </c>
      <c r="D8107" s="58" t="inlineStr">
        <is>
          <t>Home</t>
        </is>
      </c>
      <c r="E8107" s="58" t="inlineStr">
        <is>
          <t>Central</t>
        </is>
      </c>
      <c r="F8107" s="61" t="n">
        <v>3</v>
      </c>
      <c r="G8107" s="62" t="n">
        <v>567.73</v>
      </c>
      <c r="H8107" s="63" t="n">
        <v>0.062</v>
      </c>
      <c r="I8107" s="62" t="n">
        <v>368.12</v>
      </c>
      <c r="J8107" s="58" t="inlineStr">
        <is>
          <t>Store</t>
        </is>
      </c>
      <c r="K8107" s="62">
        <f>F8107*(G8107-H8107)</f>
        <v/>
      </c>
      <c r="L8107" s="62">
        <f>K8107-(F8107*I8107)</f>
        <v/>
      </c>
      <c r="M8107" s="64">
        <f>L8107/K8107</f>
        <v/>
      </c>
    </row>
    <row r="8108">
      <c r="A8108" s="58" t="inlineStr">
        <is>
          <t>RT20250720-08107</t>
        </is>
      </c>
      <c r="B8108" s="59" t="inlineStr">
        <is>
          <t>2025-07-20</t>
        </is>
      </c>
      <c r="C8108" s="60" t="inlineStr">
        <is>
          <t>Falcon Headphone Pro-713</t>
        </is>
      </c>
      <c r="D8108" s="58" t="inlineStr">
        <is>
          <t>Electronics</t>
        </is>
      </c>
      <c r="E8108" s="58" t="inlineStr">
        <is>
          <t>East</t>
        </is>
      </c>
      <c r="F8108" s="61" t="n">
        <v>1</v>
      </c>
      <c r="G8108" s="62" t="n">
        <v>1661.88</v>
      </c>
      <c r="H8108" s="63" t="n">
        <v>0.055</v>
      </c>
      <c r="I8108" s="62" t="n">
        <v>1170.37</v>
      </c>
      <c r="J8108" s="58" t="inlineStr">
        <is>
          <t>Online</t>
        </is>
      </c>
      <c r="K8108" s="62">
        <f>F8108*(G8108-H8108)</f>
        <v/>
      </c>
      <c r="L8108" s="62">
        <f>K8108-(F8108*I8108)</f>
        <v/>
      </c>
      <c r="M8108" s="64">
        <f>L8108/K8108</f>
        <v/>
      </c>
    </row>
    <row r="8109">
      <c r="A8109" s="58" t="inlineStr">
        <is>
          <t>RT20250720-08108</t>
        </is>
      </c>
      <c r="B8109" s="59" t="inlineStr">
        <is>
          <t>2025-07-20</t>
        </is>
      </c>
      <c r="C8109" s="60" t="inlineStr">
        <is>
          <t>Solace Smartphone Lite-533</t>
        </is>
      </c>
      <c r="D8109" s="58" t="inlineStr">
        <is>
          <t>Electronics</t>
        </is>
      </c>
      <c r="E8109" s="58" t="inlineStr">
        <is>
          <t>North</t>
        </is>
      </c>
      <c r="F8109" s="61" t="n">
        <v>1</v>
      </c>
      <c r="G8109" s="62" t="n">
        <v>1109.73</v>
      </c>
      <c r="H8109" s="63" t="n">
        <v>0.026</v>
      </c>
      <c r="I8109" s="62" t="n">
        <v>921.0700000000001</v>
      </c>
      <c r="J8109" s="58" t="inlineStr">
        <is>
          <t>Online</t>
        </is>
      </c>
      <c r="K8109" s="62">
        <f>F8109*(G8109-H8109)</f>
        <v/>
      </c>
      <c r="L8109" s="62">
        <f>K8109-(F8109*I8109)</f>
        <v/>
      </c>
      <c r="M8109" s="64">
        <f>L8109/K8109</f>
        <v/>
      </c>
    </row>
    <row r="8110">
      <c r="A8110" s="58" t="inlineStr">
        <is>
          <t>RT20250720-08109</t>
        </is>
      </c>
      <c r="B8110" s="59" t="inlineStr">
        <is>
          <t>2025-07-20</t>
        </is>
      </c>
      <c r="C8110" s="60" t="inlineStr">
        <is>
          <t>Vertex Smartphone Pro-256</t>
        </is>
      </c>
      <c r="D8110" s="58" t="inlineStr">
        <is>
          <t>Electronics</t>
        </is>
      </c>
      <c r="E8110" s="58" t="inlineStr">
        <is>
          <t>West</t>
        </is>
      </c>
      <c r="F8110" s="61" t="n">
        <v>1</v>
      </c>
      <c r="G8110" s="62" t="n">
        <v>1202.07</v>
      </c>
      <c r="H8110" s="63" t="n">
        <v>0.059</v>
      </c>
      <c r="I8110" s="62" t="n">
        <v>944.3</v>
      </c>
      <c r="J8110" s="58" t="inlineStr">
        <is>
          <t>Store</t>
        </is>
      </c>
      <c r="K8110" s="62">
        <f>F8110*(G8110-H8110)</f>
        <v/>
      </c>
      <c r="L8110" s="62">
        <f>K8110-(F8110*I8110)</f>
        <v/>
      </c>
      <c r="M8110" s="64">
        <f>L8110/K8110</f>
        <v/>
      </c>
    </row>
    <row r="8111">
      <c r="A8111" s="58" t="inlineStr">
        <is>
          <t>RT20250720-08110</t>
        </is>
      </c>
      <c r="B8111" s="59" t="inlineStr">
        <is>
          <t>2025-07-20</t>
        </is>
      </c>
      <c r="C8111" s="60" t="inlineStr">
        <is>
          <t>Polar Supplie Lite-348</t>
        </is>
      </c>
      <c r="D8111" s="58" t="inlineStr">
        <is>
          <t>Office</t>
        </is>
      </c>
      <c r="E8111" s="58" t="inlineStr">
        <is>
          <t>Central</t>
        </is>
      </c>
      <c r="F8111" s="61" t="n">
        <v>2</v>
      </c>
      <c r="G8111" s="62" t="n">
        <v>457.67</v>
      </c>
      <c r="H8111" s="63" t="n">
        <v>0.02</v>
      </c>
      <c r="I8111" s="62" t="n">
        <v>309.93</v>
      </c>
      <c r="J8111" s="58" t="inlineStr">
        <is>
          <t>Store</t>
        </is>
      </c>
      <c r="K8111" s="62">
        <f>F8111*(G8111-H8111)</f>
        <v/>
      </c>
      <c r="L8111" s="62">
        <f>K8111-(F8111*I8111)</f>
        <v/>
      </c>
      <c r="M8111" s="64">
        <f>L8111/K8111</f>
        <v/>
      </c>
    </row>
    <row r="8112">
      <c r="A8112" s="58" t="inlineStr">
        <is>
          <t>RT20250720-08111</t>
        </is>
      </c>
      <c r="B8112" s="59" t="inlineStr">
        <is>
          <t>2025-07-20</t>
        </is>
      </c>
      <c r="C8112" s="60" t="inlineStr">
        <is>
          <t>Nimbus Storage Plus-646</t>
        </is>
      </c>
      <c r="D8112" s="58" t="inlineStr">
        <is>
          <t>Office</t>
        </is>
      </c>
      <c r="E8112" s="58" t="inlineStr">
        <is>
          <t>East</t>
        </is>
      </c>
      <c r="F8112" s="61" t="n">
        <v>1</v>
      </c>
      <c r="G8112" s="62" t="n">
        <v>417.7</v>
      </c>
      <c r="H8112" s="63" t="n">
        <v>0.06900000000000001</v>
      </c>
      <c r="I8112" s="62" t="n">
        <v>323.67</v>
      </c>
      <c r="J8112" s="58" t="inlineStr">
        <is>
          <t>Store</t>
        </is>
      </c>
      <c r="K8112" s="62">
        <f>F8112*(G8112-H8112)</f>
        <v/>
      </c>
      <c r="L8112" s="62">
        <f>K8112-(F8112*I8112)</f>
        <v/>
      </c>
      <c r="M8112" s="64">
        <f>L8112/K8112</f>
        <v/>
      </c>
    </row>
    <row r="8113">
      <c r="A8113" s="58" t="inlineStr">
        <is>
          <t>RT20250720-08112</t>
        </is>
      </c>
      <c r="B8113" s="59" t="inlineStr">
        <is>
          <t>2025-07-20</t>
        </is>
      </c>
      <c r="C8113" s="60" t="inlineStr">
        <is>
          <t>Vertex Appliance S-296</t>
        </is>
      </c>
      <c r="D8113" s="58" t="inlineStr">
        <is>
          <t>Home</t>
        </is>
      </c>
      <c r="E8113" s="58" t="inlineStr">
        <is>
          <t>East</t>
        </is>
      </c>
      <c r="F8113" s="61" t="n">
        <v>3</v>
      </c>
      <c r="G8113" s="62" t="n">
        <v>474.27</v>
      </c>
      <c r="H8113" s="63" t="n">
        <v>0.038</v>
      </c>
      <c r="I8113" s="62" t="n">
        <v>349.18</v>
      </c>
      <c r="J8113" s="58" t="inlineStr">
        <is>
          <t>Phone</t>
        </is>
      </c>
      <c r="K8113" s="62">
        <f>F8113*(G8113-H8113)</f>
        <v/>
      </c>
      <c r="L8113" s="62">
        <f>K8113-(F8113*I8113)</f>
        <v/>
      </c>
      <c r="M8113" s="64">
        <f>L8113/K8113</f>
        <v/>
      </c>
    </row>
    <row r="8114">
      <c r="A8114" s="58" t="inlineStr">
        <is>
          <t>RT20250720-08113</t>
        </is>
      </c>
      <c r="B8114" s="59" t="inlineStr">
        <is>
          <t>2025-07-20</t>
        </is>
      </c>
      <c r="C8114" s="60" t="inlineStr">
        <is>
          <t>Vertex Smartphone Pro-256</t>
        </is>
      </c>
      <c r="D8114" s="58" t="inlineStr">
        <is>
          <t>Electronics</t>
        </is>
      </c>
      <c r="E8114" s="58" t="inlineStr">
        <is>
          <t>East</t>
        </is>
      </c>
      <c r="F8114" s="61" t="n">
        <v>1</v>
      </c>
      <c r="G8114" s="62" t="n">
        <v>1178.5</v>
      </c>
      <c r="H8114" s="63" t="n">
        <v>0.078</v>
      </c>
      <c r="I8114" s="62" t="n">
        <v>921.9299999999999</v>
      </c>
      <c r="J8114" s="58" t="inlineStr">
        <is>
          <t>Store</t>
        </is>
      </c>
      <c r="K8114" s="62">
        <f>F8114*(G8114-H8114)</f>
        <v/>
      </c>
      <c r="L8114" s="62">
        <f>K8114-(F8114*I8114)</f>
        <v/>
      </c>
      <c r="M8114" s="64">
        <f>L8114/K8114</f>
        <v/>
      </c>
    </row>
    <row r="8115">
      <c r="A8115" s="58" t="inlineStr">
        <is>
          <t>RT20250720-08114</t>
        </is>
      </c>
      <c r="B8115" s="59" t="inlineStr">
        <is>
          <t>2025-07-20</t>
        </is>
      </c>
      <c r="C8115" s="60" t="inlineStr">
        <is>
          <t>Nimbus Headphone X-854</t>
        </is>
      </c>
      <c r="D8115" s="58" t="inlineStr">
        <is>
          <t>Electronics</t>
        </is>
      </c>
      <c r="E8115" s="58" t="inlineStr">
        <is>
          <t>North</t>
        </is>
      </c>
      <c r="F8115" s="61" t="n">
        <v>1</v>
      </c>
      <c r="G8115" s="62" t="n">
        <v>1607.04</v>
      </c>
      <c r="H8115" s="63" t="n">
        <v>0.055</v>
      </c>
      <c r="I8115" s="62" t="n">
        <v>1282.03</v>
      </c>
      <c r="J8115" s="58" t="inlineStr">
        <is>
          <t>Online</t>
        </is>
      </c>
      <c r="K8115" s="62">
        <f>F8115*(G8115-H8115)</f>
        <v/>
      </c>
      <c r="L8115" s="62">
        <f>K8115-(F8115*I8115)</f>
        <v/>
      </c>
      <c r="M8115" s="64">
        <f>L8115/K8115</f>
        <v/>
      </c>
    </row>
    <row r="8116">
      <c r="A8116" s="58" t="inlineStr">
        <is>
          <t>RT20250720-08115</t>
        </is>
      </c>
      <c r="B8116" s="59" t="inlineStr">
        <is>
          <t>2025-07-20</t>
        </is>
      </c>
      <c r="C8116" s="60" t="inlineStr">
        <is>
          <t>Metro Pantry Max-180</t>
        </is>
      </c>
      <c r="D8116" s="58" t="inlineStr">
        <is>
          <t>Grocery</t>
        </is>
      </c>
      <c r="E8116" s="58" t="inlineStr">
        <is>
          <t>South</t>
        </is>
      </c>
      <c r="F8116" s="61" t="n">
        <v>4</v>
      </c>
      <c r="G8116" s="62" t="n">
        <v>8.880000000000001</v>
      </c>
      <c r="H8116" s="63" t="n">
        <v>0.059</v>
      </c>
      <c r="I8116" s="62" t="n">
        <v>6.75</v>
      </c>
      <c r="J8116" s="58" t="inlineStr">
        <is>
          <t>Store</t>
        </is>
      </c>
      <c r="K8116" s="62">
        <f>F8116*(G8116-H8116)</f>
        <v/>
      </c>
      <c r="L8116" s="62">
        <f>K8116-(F8116*I8116)</f>
        <v/>
      </c>
      <c r="M8116" s="64">
        <f>L8116/K8116</f>
        <v/>
      </c>
    </row>
    <row r="8117">
      <c r="A8117" s="58" t="inlineStr">
        <is>
          <t>RT20250720-08116</t>
        </is>
      </c>
      <c r="B8117" s="59" t="inlineStr">
        <is>
          <t>2025-07-20</t>
        </is>
      </c>
      <c r="C8117" s="60" t="inlineStr">
        <is>
          <t>Nimbus Storage Plus-646</t>
        </is>
      </c>
      <c r="D8117" s="58" t="inlineStr">
        <is>
          <t>Office</t>
        </is>
      </c>
      <c r="E8117" s="58" t="inlineStr">
        <is>
          <t>Central</t>
        </is>
      </c>
      <c r="F8117" s="61" t="n">
        <v>1</v>
      </c>
      <c r="G8117" s="62" t="n">
        <v>446.31</v>
      </c>
      <c r="H8117" s="63" t="n">
        <v>0.05</v>
      </c>
      <c r="I8117" s="62" t="n">
        <v>309.38</v>
      </c>
      <c r="J8117" s="58" t="inlineStr">
        <is>
          <t>Store</t>
        </is>
      </c>
      <c r="K8117" s="62">
        <f>F8117*(G8117-H8117)</f>
        <v/>
      </c>
      <c r="L8117" s="62">
        <f>K8117-(F8117*I8117)</f>
        <v/>
      </c>
      <c r="M8117" s="64">
        <f>L8117/K8117</f>
        <v/>
      </c>
    </row>
    <row r="8118">
      <c r="A8118" s="58" t="inlineStr">
        <is>
          <t>RT20250720-08117</t>
        </is>
      </c>
      <c r="B8118" s="59" t="inlineStr">
        <is>
          <t>2025-07-20</t>
        </is>
      </c>
      <c r="C8118" s="60" t="inlineStr">
        <is>
          <t>Orion Snack X-322</t>
        </is>
      </c>
      <c r="D8118" s="58" t="inlineStr">
        <is>
          <t>Grocery</t>
        </is>
      </c>
      <c r="E8118" s="58" t="inlineStr">
        <is>
          <t>East</t>
        </is>
      </c>
      <c r="F8118" s="61" t="n">
        <v>4</v>
      </c>
      <c r="G8118" s="62" t="n">
        <v>12.48</v>
      </c>
      <c r="H8118" s="63" t="n">
        <v>0.109</v>
      </c>
      <c r="I8118" s="62" t="n">
        <v>10.28</v>
      </c>
      <c r="J8118" s="58" t="inlineStr">
        <is>
          <t>Online</t>
        </is>
      </c>
      <c r="K8118" s="62">
        <f>F8118*(G8118-H8118)</f>
        <v/>
      </c>
      <c r="L8118" s="62">
        <f>K8118-(F8118*I8118)</f>
        <v/>
      </c>
      <c r="M8118" s="64">
        <f>L8118/K8118</f>
        <v/>
      </c>
    </row>
    <row r="8119">
      <c r="A8119" s="58" t="inlineStr">
        <is>
          <t>RT20250720-08118</t>
        </is>
      </c>
      <c r="B8119" s="59" t="inlineStr">
        <is>
          <t>2025-07-20</t>
        </is>
      </c>
      <c r="C8119" s="60" t="inlineStr">
        <is>
          <t>Falcon Storage X-734</t>
        </is>
      </c>
      <c r="D8119" s="58" t="inlineStr">
        <is>
          <t>Office</t>
        </is>
      </c>
      <c r="E8119" s="58" t="inlineStr">
        <is>
          <t>South</t>
        </is>
      </c>
      <c r="F8119" s="61" t="n">
        <v>2</v>
      </c>
      <c r="G8119" s="62" t="n">
        <v>397.45</v>
      </c>
      <c r="H8119" s="63" t="n">
        <v>0.043</v>
      </c>
      <c r="I8119" s="62" t="n">
        <v>289.38</v>
      </c>
      <c r="J8119" s="58" t="inlineStr">
        <is>
          <t>Online</t>
        </is>
      </c>
      <c r="K8119" s="62">
        <f>F8119*(G8119-H8119)</f>
        <v/>
      </c>
      <c r="L8119" s="62">
        <f>K8119-(F8119*I8119)</f>
        <v/>
      </c>
      <c r="M8119" s="64">
        <f>L8119/K8119</f>
        <v/>
      </c>
    </row>
    <row r="8120">
      <c r="A8120" s="58" t="inlineStr">
        <is>
          <t>RT20250720-08119</t>
        </is>
      </c>
      <c r="B8120" s="59" t="inlineStr">
        <is>
          <t>2025-07-20</t>
        </is>
      </c>
      <c r="C8120" s="60" t="inlineStr">
        <is>
          <t>Orion Laptop S-350</t>
        </is>
      </c>
      <c r="D8120" s="58" t="inlineStr">
        <is>
          <t>Electronics</t>
        </is>
      </c>
      <c r="E8120" s="58" t="inlineStr">
        <is>
          <t>East</t>
        </is>
      </c>
      <c r="F8120" s="61" t="n">
        <v>1</v>
      </c>
      <c r="G8120" s="62" t="n">
        <v>1441.23</v>
      </c>
      <c r="H8120" s="63" t="n">
        <v>0.056</v>
      </c>
      <c r="I8120" s="62" t="n">
        <v>1098.69</v>
      </c>
      <c r="J8120" s="58" t="inlineStr">
        <is>
          <t>Phone</t>
        </is>
      </c>
      <c r="K8120" s="62">
        <f>F8120*(G8120-H8120)</f>
        <v/>
      </c>
      <c r="L8120" s="62">
        <f>K8120-(F8120*I8120)</f>
        <v/>
      </c>
      <c r="M8120" s="64">
        <f>L8120/K8120</f>
        <v/>
      </c>
    </row>
    <row r="8121">
      <c r="A8121" s="58" t="inlineStr">
        <is>
          <t>RT20250720-08120</t>
        </is>
      </c>
      <c r="B8121" s="59" t="inlineStr">
        <is>
          <t>2025-07-20</t>
        </is>
      </c>
      <c r="C8121" s="60" t="inlineStr">
        <is>
          <t>Polar Cycling X-649</t>
        </is>
      </c>
      <c r="D8121" s="58" t="inlineStr">
        <is>
          <t>Sports</t>
        </is>
      </c>
      <c r="E8121" s="58" t="inlineStr">
        <is>
          <t>South</t>
        </is>
      </c>
      <c r="F8121" s="61" t="n">
        <v>1</v>
      </c>
      <c r="G8121" s="62" t="n">
        <v>539.89</v>
      </c>
      <c r="H8121" s="63" t="n">
        <v>0.06</v>
      </c>
      <c r="I8121" s="62" t="n">
        <v>362.97</v>
      </c>
      <c r="J8121" s="58" t="inlineStr">
        <is>
          <t>Online</t>
        </is>
      </c>
      <c r="K8121" s="62">
        <f>F8121*(G8121-H8121)</f>
        <v/>
      </c>
      <c r="L8121" s="62">
        <f>K8121-(F8121*I8121)</f>
        <v/>
      </c>
      <c r="M8121" s="64">
        <f>L8121/K8121</f>
        <v/>
      </c>
    </row>
    <row r="8122">
      <c r="A8122" s="58" t="inlineStr">
        <is>
          <t>RT20250720-08121</t>
        </is>
      </c>
      <c r="B8122" s="59" t="inlineStr">
        <is>
          <t>2025-07-20</t>
        </is>
      </c>
      <c r="C8122" s="60" t="inlineStr">
        <is>
          <t>Aurora Makeup S-626</t>
        </is>
      </c>
      <c r="D8122" s="58" t="inlineStr">
        <is>
          <t>Beauty</t>
        </is>
      </c>
      <c r="E8122" s="58" t="inlineStr">
        <is>
          <t>East</t>
        </is>
      </c>
      <c r="F8122" s="61" t="n">
        <v>3</v>
      </c>
      <c r="G8122" s="62" t="n">
        <v>105.96</v>
      </c>
      <c r="H8122" s="63" t="n">
        <v>0.166</v>
      </c>
      <c r="I8122" s="62" t="n">
        <v>61.82</v>
      </c>
      <c r="J8122" s="58" t="inlineStr">
        <is>
          <t>Online</t>
        </is>
      </c>
      <c r="K8122" s="62">
        <f>F8122*(G8122-H8122)</f>
        <v/>
      </c>
      <c r="L8122" s="62">
        <f>K8122-(F8122*I8122)</f>
        <v/>
      </c>
      <c r="M8122" s="64">
        <f>L8122/K8122</f>
        <v/>
      </c>
    </row>
    <row r="8123">
      <c r="A8123" s="58" t="inlineStr">
        <is>
          <t>RT20250720-08122</t>
        </is>
      </c>
      <c r="B8123" s="59" t="inlineStr">
        <is>
          <t>2025-07-20</t>
        </is>
      </c>
      <c r="C8123" s="60" t="inlineStr">
        <is>
          <t>Vertex Fitnes Pro-830</t>
        </is>
      </c>
      <c r="D8123" s="58" t="inlineStr">
        <is>
          <t>Sports</t>
        </is>
      </c>
      <c r="E8123" s="58" t="inlineStr">
        <is>
          <t>West</t>
        </is>
      </c>
      <c r="F8123" s="61" t="n">
        <v>3</v>
      </c>
      <c r="G8123" s="62" t="n">
        <v>758.84</v>
      </c>
      <c r="H8123" s="63" t="n">
        <v>0</v>
      </c>
      <c r="I8123" s="62" t="n">
        <v>466.35</v>
      </c>
      <c r="J8123" s="58" t="inlineStr">
        <is>
          <t>Online</t>
        </is>
      </c>
      <c r="K8123" s="62">
        <f>F8123*(G8123-H8123)</f>
        <v/>
      </c>
      <c r="L8123" s="62">
        <f>K8123-(F8123*I8123)</f>
        <v/>
      </c>
      <c r="M8123" s="64">
        <f>L8123/K8123</f>
        <v/>
      </c>
    </row>
    <row r="8124">
      <c r="A8124" s="58" t="inlineStr">
        <is>
          <t>RT20250720-08123</t>
        </is>
      </c>
      <c r="B8124" s="59" t="inlineStr">
        <is>
          <t>2025-07-20</t>
        </is>
      </c>
      <c r="C8124" s="60" t="inlineStr">
        <is>
          <t>Metro Wearable Plus-234</t>
        </is>
      </c>
      <c r="D8124" s="58" t="inlineStr">
        <is>
          <t>Electronics</t>
        </is>
      </c>
      <c r="E8124" s="58" t="inlineStr">
        <is>
          <t>West</t>
        </is>
      </c>
      <c r="F8124" s="61" t="n">
        <v>2</v>
      </c>
      <c r="G8124" s="62" t="n">
        <v>1488.29</v>
      </c>
      <c r="H8124" s="63" t="n">
        <v>0.048</v>
      </c>
      <c r="I8124" s="62" t="n">
        <v>1206.63</v>
      </c>
      <c r="J8124" s="58" t="inlineStr">
        <is>
          <t>Phone</t>
        </is>
      </c>
      <c r="K8124" s="62">
        <f>F8124*(G8124-H8124)</f>
        <v/>
      </c>
      <c r="L8124" s="62">
        <f>K8124-(F8124*I8124)</f>
        <v/>
      </c>
      <c r="M8124" s="64">
        <f>L8124/K8124</f>
        <v/>
      </c>
    </row>
    <row r="8125">
      <c r="A8125" s="58" t="inlineStr">
        <is>
          <t>RT20250720-08124</t>
        </is>
      </c>
      <c r="B8125" s="59" t="inlineStr">
        <is>
          <t>2025-07-20</t>
        </is>
      </c>
      <c r="C8125" s="60" t="inlineStr">
        <is>
          <t>Polar Haircare Max-614</t>
        </is>
      </c>
      <c r="D8125" s="58" t="inlineStr">
        <is>
          <t>Beauty</t>
        </is>
      </c>
      <c r="E8125" s="58" t="inlineStr">
        <is>
          <t>West</t>
        </is>
      </c>
      <c r="F8125" s="61" t="n">
        <v>3</v>
      </c>
      <c r="G8125" s="62" t="n">
        <v>103.42</v>
      </c>
      <c r="H8125" s="63" t="n">
        <v>0.048</v>
      </c>
      <c r="I8125" s="62" t="n">
        <v>67.19</v>
      </c>
      <c r="J8125" s="58" t="inlineStr">
        <is>
          <t>Online</t>
        </is>
      </c>
      <c r="K8125" s="62">
        <f>F8125*(G8125-H8125)</f>
        <v/>
      </c>
      <c r="L8125" s="62">
        <f>K8125-(F8125*I8125)</f>
        <v/>
      </c>
      <c r="M8125" s="64">
        <f>L8125/K8125</f>
        <v/>
      </c>
    </row>
    <row r="8126">
      <c r="A8126" s="58" t="inlineStr">
        <is>
          <t>RT20250720-08125</t>
        </is>
      </c>
      <c r="B8126" s="59" t="inlineStr">
        <is>
          <t>2025-07-20</t>
        </is>
      </c>
      <c r="C8126" s="60" t="inlineStr">
        <is>
          <t>Nimbus Headphone X-854</t>
        </is>
      </c>
      <c r="D8126" s="58" t="inlineStr">
        <is>
          <t>Electronics</t>
        </is>
      </c>
      <c r="E8126" s="58" t="inlineStr">
        <is>
          <t>North</t>
        </is>
      </c>
      <c r="F8126" s="61" t="n">
        <v>2</v>
      </c>
      <c r="G8126" s="62" t="n">
        <v>1791.67</v>
      </c>
      <c r="H8126" s="63" t="n">
        <v>0.037</v>
      </c>
      <c r="I8126" s="62" t="n">
        <v>1233.71</v>
      </c>
      <c r="J8126" s="58" t="inlineStr">
        <is>
          <t>Store</t>
        </is>
      </c>
      <c r="K8126" s="62">
        <f>F8126*(G8126-H8126)</f>
        <v/>
      </c>
      <c r="L8126" s="62">
        <f>K8126-(F8126*I8126)</f>
        <v/>
      </c>
      <c r="M8126" s="64">
        <f>L8126/K8126</f>
        <v/>
      </c>
    </row>
    <row r="8127">
      <c r="A8127" s="58" t="inlineStr">
        <is>
          <t>RT20250720-08126</t>
        </is>
      </c>
      <c r="B8127" s="59" t="inlineStr">
        <is>
          <t>2025-07-20</t>
        </is>
      </c>
      <c r="C8127" s="60" t="inlineStr">
        <is>
          <t>Polar Fragrance Pro-750</t>
        </is>
      </c>
      <c r="D8127" s="58" t="inlineStr">
        <is>
          <t>Beauty</t>
        </is>
      </c>
      <c r="E8127" s="58" t="inlineStr">
        <is>
          <t>East</t>
        </is>
      </c>
      <c r="F8127" s="61" t="n">
        <v>1</v>
      </c>
      <c r="G8127" s="62" t="n">
        <v>61.92</v>
      </c>
      <c r="H8127" s="63" t="n">
        <v>0.073</v>
      </c>
      <c r="I8127" s="62" t="n">
        <v>36.93</v>
      </c>
      <c r="J8127" s="58" t="inlineStr">
        <is>
          <t>Online</t>
        </is>
      </c>
      <c r="K8127" s="62">
        <f>F8127*(G8127-H8127)</f>
        <v/>
      </c>
      <c r="L8127" s="62">
        <f>K8127-(F8127*I8127)</f>
        <v/>
      </c>
      <c r="M8127" s="64">
        <f>L8127/K8127</f>
        <v/>
      </c>
    </row>
    <row r="8128">
      <c r="A8128" s="58" t="inlineStr">
        <is>
          <t>RT20250720-08127</t>
        </is>
      </c>
      <c r="B8128" s="59" t="inlineStr">
        <is>
          <t>2025-07-20</t>
        </is>
      </c>
      <c r="C8128" s="60" t="inlineStr">
        <is>
          <t>Aurora Outdoor Pro-467</t>
        </is>
      </c>
      <c r="D8128" s="58" t="inlineStr">
        <is>
          <t>Sports</t>
        </is>
      </c>
      <c r="E8128" s="58" t="inlineStr">
        <is>
          <t>Central</t>
        </is>
      </c>
      <c r="F8128" s="61" t="n">
        <v>3</v>
      </c>
      <c r="G8128" s="62" t="n">
        <v>297.45</v>
      </c>
      <c r="H8128" s="63" t="n">
        <v>0.062</v>
      </c>
      <c r="I8128" s="62" t="n">
        <v>192.53</v>
      </c>
      <c r="J8128" s="58" t="inlineStr">
        <is>
          <t>Store</t>
        </is>
      </c>
      <c r="K8128" s="62">
        <f>F8128*(G8128-H8128)</f>
        <v/>
      </c>
      <c r="L8128" s="62">
        <f>K8128-(F8128*I8128)</f>
        <v/>
      </c>
      <c r="M8128" s="64">
        <f>L8128/K8128</f>
        <v/>
      </c>
    </row>
    <row r="8129">
      <c r="A8129" s="58" t="inlineStr">
        <is>
          <t>RT20250720-08128</t>
        </is>
      </c>
      <c r="B8129" s="59" t="inlineStr">
        <is>
          <t>2025-07-20</t>
        </is>
      </c>
      <c r="C8129" s="60" t="inlineStr">
        <is>
          <t>Aurora Bedding Max-175</t>
        </is>
      </c>
      <c r="D8129" s="58" t="inlineStr">
        <is>
          <t>Home</t>
        </is>
      </c>
      <c r="E8129" s="58" t="inlineStr">
        <is>
          <t>East</t>
        </is>
      </c>
      <c r="F8129" s="61" t="n">
        <v>2</v>
      </c>
      <c r="G8129" s="62" t="n">
        <v>578.86</v>
      </c>
      <c r="H8129" s="63" t="n">
        <v>0.024</v>
      </c>
      <c r="I8129" s="62" t="n">
        <v>423.71</v>
      </c>
      <c r="J8129" s="58" t="inlineStr">
        <is>
          <t>Store</t>
        </is>
      </c>
      <c r="K8129" s="62">
        <f>F8129*(G8129-H8129)</f>
        <v/>
      </c>
      <c r="L8129" s="62">
        <f>K8129-(F8129*I8129)</f>
        <v/>
      </c>
      <c r="M8129" s="64">
        <f>L8129/K8129</f>
        <v/>
      </c>
    </row>
    <row r="8130">
      <c r="A8130" s="58" t="inlineStr">
        <is>
          <t>RT20250720-08129</t>
        </is>
      </c>
      <c r="B8130" s="59" t="inlineStr">
        <is>
          <t>2025-07-20</t>
        </is>
      </c>
      <c r="C8130" s="60" t="inlineStr">
        <is>
          <t>Solace Laptop S-367</t>
        </is>
      </c>
      <c r="D8130" s="58" t="inlineStr">
        <is>
          <t>Electronics</t>
        </is>
      </c>
      <c r="E8130" s="58" t="inlineStr">
        <is>
          <t>South</t>
        </is>
      </c>
      <c r="F8130" s="61" t="n">
        <v>1</v>
      </c>
      <c r="G8130" s="62" t="n">
        <v>1587.85</v>
      </c>
      <c r="H8130" s="63" t="n">
        <v>0.053</v>
      </c>
      <c r="I8130" s="62" t="n">
        <v>1459.9</v>
      </c>
      <c r="J8130" s="58" t="inlineStr">
        <is>
          <t>Online</t>
        </is>
      </c>
      <c r="K8130" s="62">
        <f>F8130*(G8130-H8130)</f>
        <v/>
      </c>
      <c r="L8130" s="62">
        <f>K8130-(F8130*I8130)</f>
        <v/>
      </c>
      <c r="M8130" s="64">
        <f>L8130/K8130</f>
        <v/>
      </c>
    </row>
    <row r="8131">
      <c r="A8131" s="58" t="inlineStr">
        <is>
          <t>RT20250720-08130</t>
        </is>
      </c>
      <c r="B8131" s="59" t="inlineStr">
        <is>
          <t>2025-07-20</t>
        </is>
      </c>
      <c r="C8131" s="60" t="inlineStr">
        <is>
          <t>Polar Outdoor X-193</t>
        </is>
      </c>
      <c r="D8131" s="58" t="inlineStr">
        <is>
          <t>Sports</t>
        </is>
      </c>
      <c r="E8131" s="58" t="inlineStr">
        <is>
          <t>West</t>
        </is>
      </c>
      <c r="F8131" s="61" t="n">
        <v>3</v>
      </c>
      <c r="G8131" s="62" t="n">
        <v>680.2</v>
      </c>
      <c r="H8131" s="63" t="n">
        <v>0.06</v>
      </c>
      <c r="I8131" s="62" t="n">
        <v>460.22</v>
      </c>
      <c r="J8131" s="58" t="inlineStr">
        <is>
          <t>Store</t>
        </is>
      </c>
      <c r="K8131" s="62">
        <f>F8131*(G8131-H8131)</f>
        <v/>
      </c>
      <c r="L8131" s="62">
        <f>K8131-(F8131*I8131)</f>
        <v/>
      </c>
      <c r="M8131" s="64">
        <f>L8131/K8131</f>
        <v/>
      </c>
    </row>
    <row r="8132">
      <c r="A8132" s="58" t="inlineStr">
        <is>
          <t>RT20250720-08131</t>
        </is>
      </c>
      <c r="B8132" s="59" t="inlineStr">
        <is>
          <t>2025-07-20</t>
        </is>
      </c>
      <c r="C8132" s="60" t="inlineStr">
        <is>
          <t>Falcon Skincare X-334</t>
        </is>
      </c>
      <c r="D8132" s="58" t="inlineStr">
        <is>
          <t>Beauty</t>
        </is>
      </c>
      <c r="E8132" s="58" t="inlineStr">
        <is>
          <t>Central</t>
        </is>
      </c>
      <c r="F8132" s="61" t="n">
        <v>3</v>
      </c>
      <c r="G8132" s="62" t="n">
        <v>104.11</v>
      </c>
      <c r="H8132" s="63" t="n">
        <v>0.064</v>
      </c>
      <c r="I8132" s="62" t="n">
        <v>64.90000000000001</v>
      </c>
      <c r="J8132" s="58" t="inlineStr">
        <is>
          <t>Store</t>
        </is>
      </c>
      <c r="K8132" s="62">
        <f>F8132*(G8132-H8132)</f>
        <v/>
      </c>
      <c r="L8132" s="62">
        <f>K8132-(F8132*I8132)</f>
        <v/>
      </c>
      <c r="M8132" s="64">
        <f>L8132/K8132</f>
        <v/>
      </c>
    </row>
    <row r="8133">
      <c r="A8133" s="58" t="inlineStr">
        <is>
          <t>RT20250721-08132</t>
        </is>
      </c>
      <c r="B8133" s="59" t="inlineStr">
        <is>
          <t>2025-07-21</t>
        </is>
      </c>
      <c r="C8133" s="60" t="inlineStr">
        <is>
          <t>Vertex Appliance Max-338</t>
        </is>
      </c>
      <c r="D8133" s="58" t="inlineStr">
        <is>
          <t>Home</t>
        </is>
      </c>
      <c r="E8133" s="58" t="inlineStr">
        <is>
          <t>East</t>
        </is>
      </c>
      <c r="F8133" s="61" t="n">
        <v>2</v>
      </c>
      <c r="G8133" s="62" t="n">
        <v>446.24</v>
      </c>
      <c r="H8133" s="63" t="n">
        <v>0.036</v>
      </c>
      <c r="I8133" s="62" t="n">
        <v>290.47</v>
      </c>
      <c r="J8133" s="58" t="inlineStr">
        <is>
          <t>Online</t>
        </is>
      </c>
      <c r="K8133" s="62">
        <f>F8133*(G8133-H8133)</f>
        <v/>
      </c>
      <c r="L8133" s="62">
        <f>K8133-(F8133*I8133)</f>
        <v/>
      </c>
      <c r="M8133" s="64">
        <f>L8133/K8133</f>
        <v/>
      </c>
    </row>
    <row r="8134">
      <c r="A8134" s="58" t="inlineStr">
        <is>
          <t>RT20250721-08133</t>
        </is>
      </c>
      <c r="B8134" s="59" t="inlineStr">
        <is>
          <t>2025-07-21</t>
        </is>
      </c>
      <c r="C8134" s="60" t="inlineStr">
        <is>
          <t>Metro Wearable Plus-234</t>
        </is>
      </c>
      <c r="D8134" s="58" t="inlineStr">
        <is>
          <t>Electronics</t>
        </is>
      </c>
      <c r="E8134" s="58" t="inlineStr">
        <is>
          <t>South</t>
        </is>
      </c>
      <c r="F8134" s="61" t="n">
        <v>1</v>
      </c>
      <c r="G8134" s="62" t="n">
        <v>1544.07</v>
      </c>
      <c r="H8134" s="63" t="n">
        <v>0.06</v>
      </c>
      <c r="I8134" s="62" t="n">
        <v>1198.6</v>
      </c>
      <c r="J8134" s="58" t="inlineStr">
        <is>
          <t>Online</t>
        </is>
      </c>
      <c r="K8134" s="62">
        <f>F8134*(G8134-H8134)</f>
        <v/>
      </c>
      <c r="L8134" s="62">
        <f>K8134-(F8134*I8134)</f>
        <v/>
      </c>
      <c r="M8134" s="64">
        <f>L8134/K8134</f>
        <v/>
      </c>
    </row>
    <row r="8135">
      <c r="A8135" s="58" t="inlineStr">
        <is>
          <t>RT20250721-08134</t>
        </is>
      </c>
      <c r="B8135" s="59" t="inlineStr">
        <is>
          <t>2025-07-21</t>
        </is>
      </c>
      <c r="C8135" s="60" t="inlineStr">
        <is>
          <t>Orion Men X-928</t>
        </is>
      </c>
      <c r="D8135" s="58" t="inlineStr">
        <is>
          <t>Apparel</t>
        </is>
      </c>
      <c r="E8135" s="58" t="inlineStr">
        <is>
          <t>Central</t>
        </is>
      </c>
      <c r="F8135" s="61" t="n">
        <v>1</v>
      </c>
      <c r="G8135" s="62" t="n">
        <v>110.95</v>
      </c>
      <c r="H8135" s="63" t="n">
        <v>0.061</v>
      </c>
      <c r="I8135" s="62" t="n">
        <v>62.45</v>
      </c>
      <c r="J8135" s="58" t="inlineStr">
        <is>
          <t>Online</t>
        </is>
      </c>
      <c r="K8135" s="62">
        <f>F8135*(G8135-H8135)</f>
        <v/>
      </c>
      <c r="L8135" s="62">
        <f>K8135-(F8135*I8135)</f>
        <v/>
      </c>
      <c r="M8135" s="64">
        <f>L8135/K8135</f>
        <v/>
      </c>
    </row>
    <row r="8136">
      <c r="A8136" s="58" t="inlineStr">
        <is>
          <t>RT20250721-08135</t>
        </is>
      </c>
      <c r="B8136" s="59" t="inlineStr">
        <is>
          <t>2025-07-21</t>
        </is>
      </c>
      <c r="C8136" s="60" t="inlineStr">
        <is>
          <t>Aurora Makeup S-626</t>
        </is>
      </c>
      <c r="D8136" s="58" t="inlineStr">
        <is>
          <t>Beauty</t>
        </is>
      </c>
      <c r="E8136" s="58" t="inlineStr">
        <is>
          <t>North</t>
        </is>
      </c>
      <c r="F8136" s="61" t="n">
        <v>5</v>
      </c>
      <c r="G8136" s="62" t="n">
        <v>112.01</v>
      </c>
      <c r="H8136" s="63" t="n">
        <v>0.077</v>
      </c>
      <c r="I8136" s="62" t="n">
        <v>63.94</v>
      </c>
      <c r="J8136" s="58" t="inlineStr">
        <is>
          <t>Store</t>
        </is>
      </c>
      <c r="K8136" s="62">
        <f>F8136*(G8136-H8136)</f>
        <v/>
      </c>
      <c r="L8136" s="62">
        <f>K8136-(F8136*I8136)</f>
        <v/>
      </c>
      <c r="M8136" s="64">
        <f>L8136/K8136</f>
        <v/>
      </c>
    </row>
    <row r="8137">
      <c r="A8137" s="58" t="inlineStr">
        <is>
          <t>RT20250721-08136</t>
        </is>
      </c>
      <c r="B8137" s="59" t="inlineStr">
        <is>
          <t>2025-07-21</t>
        </is>
      </c>
      <c r="C8137" s="60" t="inlineStr">
        <is>
          <t>Metro Fragrance Lite-261</t>
        </is>
      </c>
      <c r="D8137" s="58" t="inlineStr">
        <is>
          <t>Beauty</t>
        </is>
      </c>
      <c r="E8137" s="58" t="inlineStr">
        <is>
          <t>South</t>
        </is>
      </c>
      <c r="F8137" s="61" t="n">
        <v>2</v>
      </c>
      <c r="G8137" s="62" t="n">
        <v>94.28</v>
      </c>
      <c r="H8137" s="63" t="n">
        <v>0.074</v>
      </c>
      <c r="I8137" s="62" t="n">
        <v>56.39</v>
      </c>
      <c r="J8137" s="58" t="inlineStr">
        <is>
          <t>Online</t>
        </is>
      </c>
      <c r="K8137" s="62">
        <f>F8137*(G8137-H8137)</f>
        <v/>
      </c>
      <c r="L8137" s="62">
        <f>K8137-(F8137*I8137)</f>
        <v/>
      </c>
      <c r="M8137" s="64">
        <f>L8137/K8137</f>
        <v/>
      </c>
    </row>
    <row r="8138">
      <c r="A8138" s="58" t="inlineStr">
        <is>
          <t>RT20250721-08137</t>
        </is>
      </c>
      <c r="B8138" s="59" t="inlineStr">
        <is>
          <t>2025-07-21</t>
        </is>
      </c>
      <c r="C8138" s="60" t="inlineStr">
        <is>
          <t>Falcon Skincare X-334</t>
        </is>
      </c>
      <c r="D8138" s="58" t="inlineStr">
        <is>
          <t>Beauty</t>
        </is>
      </c>
      <c r="E8138" s="58" t="inlineStr">
        <is>
          <t>North</t>
        </is>
      </c>
      <c r="F8138" s="61" t="n">
        <v>1</v>
      </c>
      <c r="G8138" s="62" t="n">
        <v>108.15</v>
      </c>
      <c r="H8138" s="63" t="n">
        <v>0.1</v>
      </c>
      <c r="I8138" s="62" t="n">
        <v>64.53</v>
      </c>
      <c r="J8138" s="58" t="inlineStr">
        <is>
          <t>Online</t>
        </is>
      </c>
      <c r="K8138" s="62">
        <f>F8138*(G8138-H8138)</f>
        <v/>
      </c>
      <c r="L8138" s="62">
        <f>K8138-(F8138*I8138)</f>
        <v/>
      </c>
      <c r="M8138" s="64">
        <f>L8138/K8138</f>
        <v/>
      </c>
    </row>
    <row r="8139">
      <c r="A8139" s="58" t="inlineStr">
        <is>
          <t>RT20250721-08138</t>
        </is>
      </c>
      <c r="B8139" s="59" t="inlineStr">
        <is>
          <t>2025-07-21</t>
        </is>
      </c>
      <c r="C8139" s="60" t="inlineStr">
        <is>
          <t>Vertex Accessorie Pro-881</t>
        </is>
      </c>
      <c r="D8139" s="58" t="inlineStr">
        <is>
          <t>Apparel</t>
        </is>
      </c>
      <c r="E8139" s="58" t="inlineStr">
        <is>
          <t>East</t>
        </is>
      </c>
      <c r="F8139" s="61" t="n">
        <v>1</v>
      </c>
      <c r="G8139" s="62" t="n">
        <v>108.86</v>
      </c>
      <c r="H8139" s="63" t="n">
        <v>0.08</v>
      </c>
      <c r="I8139" s="62" t="n">
        <v>62.48</v>
      </c>
      <c r="J8139" s="58" t="inlineStr">
        <is>
          <t>Store</t>
        </is>
      </c>
      <c r="K8139" s="62">
        <f>F8139*(G8139-H8139)</f>
        <v/>
      </c>
      <c r="L8139" s="62">
        <f>K8139-(F8139*I8139)</f>
        <v/>
      </c>
      <c r="M8139" s="64">
        <f>L8139/K8139</f>
        <v/>
      </c>
    </row>
    <row r="8140">
      <c r="A8140" s="58" t="inlineStr">
        <is>
          <t>RT20250721-08139</t>
        </is>
      </c>
      <c r="B8140" s="59" t="inlineStr">
        <is>
          <t>2025-07-21</t>
        </is>
      </c>
      <c r="C8140" s="60" t="inlineStr">
        <is>
          <t>Polar Beverage S-258</t>
        </is>
      </c>
      <c r="D8140" s="58" t="inlineStr">
        <is>
          <t>Grocery</t>
        </is>
      </c>
      <c r="E8140" s="58" t="inlineStr">
        <is>
          <t>West</t>
        </is>
      </c>
      <c r="F8140" s="61" t="n">
        <v>7</v>
      </c>
      <c r="G8140" s="62" t="n">
        <v>14.27</v>
      </c>
      <c r="H8140" s="63" t="n">
        <v>0.003</v>
      </c>
      <c r="I8140" s="62" t="n">
        <v>9.94</v>
      </c>
      <c r="J8140" s="58" t="inlineStr">
        <is>
          <t>Online</t>
        </is>
      </c>
      <c r="K8140" s="62">
        <f>F8140*(G8140-H8140)</f>
        <v/>
      </c>
      <c r="L8140" s="62">
        <f>K8140-(F8140*I8140)</f>
        <v/>
      </c>
      <c r="M8140" s="64">
        <f>L8140/K8140</f>
        <v/>
      </c>
    </row>
    <row r="8141">
      <c r="A8141" s="58" t="inlineStr">
        <is>
          <t>RT20250721-08140</t>
        </is>
      </c>
      <c r="B8141" s="59" t="inlineStr">
        <is>
          <t>2025-07-21</t>
        </is>
      </c>
      <c r="C8141" s="60" t="inlineStr">
        <is>
          <t>Aurora Printer Plus-991</t>
        </is>
      </c>
      <c r="D8141" s="58" t="inlineStr">
        <is>
          <t>Office</t>
        </is>
      </c>
      <c r="E8141" s="58" t="inlineStr">
        <is>
          <t>West</t>
        </is>
      </c>
      <c r="F8141" s="61" t="n">
        <v>3</v>
      </c>
      <c r="G8141" s="62" t="n">
        <v>507.99</v>
      </c>
      <c r="H8141" s="63" t="n">
        <v>0.057</v>
      </c>
      <c r="I8141" s="62" t="n">
        <v>368.76</v>
      </c>
      <c r="J8141" s="58" t="inlineStr">
        <is>
          <t>Store</t>
        </is>
      </c>
      <c r="K8141" s="62">
        <f>F8141*(G8141-H8141)</f>
        <v/>
      </c>
      <c r="L8141" s="62">
        <f>K8141-(F8141*I8141)</f>
        <v/>
      </c>
      <c r="M8141" s="64">
        <f>L8141/K8141</f>
        <v/>
      </c>
    </row>
    <row r="8142">
      <c r="A8142" s="58" t="inlineStr">
        <is>
          <t>RT20250721-08141</t>
        </is>
      </c>
      <c r="B8142" s="59" t="inlineStr">
        <is>
          <t>2025-07-21</t>
        </is>
      </c>
      <c r="C8142" s="60" t="inlineStr">
        <is>
          <t>Aurora Wearable Lite-704</t>
        </is>
      </c>
      <c r="D8142" s="58" t="inlineStr">
        <is>
          <t>Electronics</t>
        </is>
      </c>
      <c r="E8142" s="58" t="inlineStr">
        <is>
          <t>West</t>
        </is>
      </c>
      <c r="F8142" s="61" t="n">
        <v>1</v>
      </c>
      <c r="G8142" s="62" t="n">
        <v>1941.51</v>
      </c>
      <c r="H8142" s="63" t="n">
        <v>0.073</v>
      </c>
      <c r="I8142" s="62" t="n">
        <v>1478.48</v>
      </c>
      <c r="J8142" s="58" t="inlineStr">
        <is>
          <t>Store</t>
        </is>
      </c>
      <c r="K8142" s="62">
        <f>F8142*(G8142-H8142)</f>
        <v/>
      </c>
      <c r="L8142" s="62">
        <f>K8142-(F8142*I8142)</f>
        <v/>
      </c>
      <c r="M8142" s="64">
        <f>L8142/K8142</f>
        <v/>
      </c>
    </row>
    <row r="8143">
      <c r="A8143" s="58" t="inlineStr">
        <is>
          <t>RT20250721-08142</t>
        </is>
      </c>
      <c r="B8143" s="59" t="inlineStr">
        <is>
          <t>2025-07-21</t>
        </is>
      </c>
      <c r="C8143" s="60" t="inlineStr">
        <is>
          <t>Metro Accessorie Max-316</t>
        </is>
      </c>
      <c r="D8143" s="58" t="inlineStr">
        <is>
          <t>Apparel</t>
        </is>
      </c>
      <c r="E8143" s="58" t="inlineStr">
        <is>
          <t>East</t>
        </is>
      </c>
      <c r="F8143" s="61" t="n">
        <v>1</v>
      </c>
      <c r="G8143" s="62" t="n">
        <v>175.75</v>
      </c>
      <c r="H8143" s="63" t="n">
        <v>0.114</v>
      </c>
      <c r="I8143" s="62" t="n">
        <v>92.38</v>
      </c>
      <c r="J8143" s="58" t="inlineStr">
        <is>
          <t>Store</t>
        </is>
      </c>
      <c r="K8143" s="62">
        <f>F8143*(G8143-H8143)</f>
        <v/>
      </c>
      <c r="L8143" s="62">
        <f>K8143-(F8143*I8143)</f>
        <v/>
      </c>
      <c r="M8143" s="64">
        <f>L8143/K8143</f>
        <v/>
      </c>
    </row>
    <row r="8144">
      <c r="A8144" s="58" t="inlineStr">
        <is>
          <t>RT20250721-08143</t>
        </is>
      </c>
      <c r="B8144" s="59" t="inlineStr">
        <is>
          <t>2025-07-21</t>
        </is>
      </c>
      <c r="C8144" s="60" t="inlineStr">
        <is>
          <t>Aurora Haircare S-975</t>
        </is>
      </c>
      <c r="D8144" s="58" t="inlineStr">
        <is>
          <t>Beauty</t>
        </is>
      </c>
      <c r="E8144" s="58" t="inlineStr">
        <is>
          <t>East</t>
        </is>
      </c>
      <c r="F8144" s="61" t="n">
        <v>3</v>
      </c>
      <c r="G8144" s="62" t="n">
        <v>94</v>
      </c>
      <c r="H8144" s="63" t="n">
        <v>0.118</v>
      </c>
      <c r="I8144" s="62" t="n">
        <v>58</v>
      </c>
      <c r="J8144" s="58" t="inlineStr">
        <is>
          <t>Store</t>
        </is>
      </c>
      <c r="K8144" s="62">
        <f>F8144*(G8144-H8144)</f>
        <v/>
      </c>
      <c r="L8144" s="62">
        <f>K8144-(F8144*I8144)</f>
        <v/>
      </c>
      <c r="M8144" s="64">
        <f>L8144/K8144</f>
        <v/>
      </c>
    </row>
    <row r="8145">
      <c r="A8145" s="58" t="inlineStr">
        <is>
          <t>RT20250721-08144</t>
        </is>
      </c>
      <c r="B8145" s="59" t="inlineStr">
        <is>
          <t>2025-07-21</t>
        </is>
      </c>
      <c r="C8145" s="60" t="inlineStr">
        <is>
          <t>Metro Pantry X-710</t>
        </is>
      </c>
      <c r="D8145" s="58" t="inlineStr">
        <is>
          <t>Grocery</t>
        </is>
      </c>
      <c r="E8145" s="58" t="inlineStr">
        <is>
          <t>West</t>
        </is>
      </c>
      <c r="F8145" s="61" t="n">
        <v>5</v>
      </c>
      <c r="G8145" s="62" t="n">
        <v>5.04</v>
      </c>
      <c r="H8145" s="63" t="n">
        <v>0.06900000000000001</v>
      </c>
      <c r="I8145" s="62" t="n">
        <v>4.27</v>
      </c>
      <c r="J8145" s="58" t="inlineStr">
        <is>
          <t>Store</t>
        </is>
      </c>
      <c r="K8145" s="62">
        <f>F8145*(G8145-H8145)</f>
        <v/>
      </c>
      <c r="L8145" s="62">
        <f>K8145-(F8145*I8145)</f>
        <v/>
      </c>
      <c r="M8145" s="64">
        <f>L8145/K8145</f>
        <v/>
      </c>
    </row>
    <row r="8146">
      <c r="A8146" s="58" t="inlineStr">
        <is>
          <t>RT20250721-08145</t>
        </is>
      </c>
      <c r="B8146" s="59" t="inlineStr">
        <is>
          <t>2025-07-21</t>
        </is>
      </c>
      <c r="C8146" s="60" t="inlineStr">
        <is>
          <t>Orion Team Sport X-926</t>
        </is>
      </c>
      <c r="D8146" s="58" t="inlineStr">
        <is>
          <t>Sports</t>
        </is>
      </c>
      <c r="E8146" s="58" t="inlineStr">
        <is>
          <t>North</t>
        </is>
      </c>
      <c r="F8146" s="61" t="n">
        <v>1</v>
      </c>
      <c r="G8146" s="62" t="n">
        <v>319.35</v>
      </c>
      <c r="H8146" s="63" t="n">
        <v>0.114</v>
      </c>
      <c r="I8146" s="62" t="n">
        <v>211.77</v>
      </c>
      <c r="J8146" s="58" t="inlineStr">
        <is>
          <t>Online</t>
        </is>
      </c>
      <c r="K8146" s="62">
        <f>F8146*(G8146-H8146)</f>
        <v/>
      </c>
      <c r="L8146" s="62">
        <f>K8146-(F8146*I8146)</f>
        <v/>
      </c>
      <c r="M8146" s="64">
        <f>L8146/K8146</f>
        <v/>
      </c>
    </row>
    <row r="8147">
      <c r="A8147" s="58" t="inlineStr">
        <is>
          <t>RT20250721-08146</t>
        </is>
      </c>
      <c r="B8147" s="59" t="inlineStr">
        <is>
          <t>2025-07-21</t>
        </is>
      </c>
      <c r="C8147" s="60" t="inlineStr">
        <is>
          <t>Nimbus Laptop Max-652</t>
        </is>
      </c>
      <c r="D8147" s="58" t="inlineStr">
        <is>
          <t>Electronics</t>
        </is>
      </c>
      <c r="E8147" s="58" t="inlineStr">
        <is>
          <t>North</t>
        </is>
      </c>
      <c r="F8147" s="61" t="n">
        <v>2</v>
      </c>
      <c r="G8147" s="62" t="n">
        <v>1395.86</v>
      </c>
      <c r="H8147" s="63" t="n">
        <v>0.033</v>
      </c>
      <c r="I8147" s="62" t="n">
        <v>1043.79</v>
      </c>
      <c r="J8147" s="58" t="inlineStr">
        <is>
          <t>Online</t>
        </is>
      </c>
      <c r="K8147" s="62">
        <f>F8147*(G8147-H8147)</f>
        <v/>
      </c>
      <c r="L8147" s="62">
        <f>K8147-(F8147*I8147)</f>
        <v/>
      </c>
      <c r="M8147" s="64">
        <f>L8147/K8147</f>
        <v/>
      </c>
    </row>
    <row r="8148">
      <c r="A8148" s="58" t="inlineStr">
        <is>
          <t>RT20250721-08147</t>
        </is>
      </c>
      <c r="B8148" s="59" t="inlineStr">
        <is>
          <t>2025-07-21</t>
        </is>
      </c>
      <c r="C8148" s="60" t="inlineStr">
        <is>
          <t>Polar Bedding Lite-243</t>
        </is>
      </c>
      <c r="D8148" s="58" t="inlineStr">
        <is>
          <t>Home</t>
        </is>
      </c>
      <c r="E8148" s="58" t="inlineStr">
        <is>
          <t>West</t>
        </is>
      </c>
      <c r="F8148" s="61" t="n">
        <v>1</v>
      </c>
      <c r="G8148" s="62" t="n">
        <v>483.7</v>
      </c>
      <c r="H8148" s="63" t="n">
        <v>0.057</v>
      </c>
      <c r="I8148" s="62" t="n">
        <v>327.15</v>
      </c>
      <c r="J8148" s="58" t="inlineStr">
        <is>
          <t>Store</t>
        </is>
      </c>
      <c r="K8148" s="62">
        <f>F8148*(G8148-H8148)</f>
        <v/>
      </c>
      <c r="L8148" s="62">
        <f>K8148-(F8148*I8148)</f>
        <v/>
      </c>
      <c r="M8148" s="64">
        <f>L8148/K8148</f>
        <v/>
      </c>
    </row>
    <row r="8149">
      <c r="A8149" s="58" t="inlineStr">
        <is>
          <t>RT20250721-08148</t>
        </is>
      </c>
      <c r="B8149" s="59" t="inlineStr">
        <is>
          <t>2025-07-21</t>
        </is>
      </c>
      <c r="C8149" s="60" t="inlineStr">
        <is>
          <t>Aurora Skincare Max-798</t>
        </is>
      </c>
      <c r="D8149" s="58" t="inlineStr">
        <is>
          <t>Beauty</t>
        </is>
      </c>
      <c r="E8149" s="58" t="inlineStr">
        <is>
          <t>South</t>
        </is>
      </c>
      <c r="F8149" s="61" t="n">
        <v>4</v>
      </c>
      <c r="G8149" s="62" t="n">
        <v>108.92</v>
      </c>
      <c r="H8149" s="63" t="n">
        <v>0.051</v>
      </c>
      <c r="I8149" s="62" t="n">
        <v>68.11</v>
      </c>
      <c r="J8149" s="58" t="inlineStr">
        <is>
          <t>Online</t>
        </is>
      </c>
      <c r="K8149" s="62">
        <f>F8149*(G8149-H8149)</f>
        <v/>
      </c>
      <c r="L8149" s="62">
        <f>K8149-(F8149*I8149)</f>
        <v/>
      </c>
      <c r="M8149" s="64">
        <f>L8149/K8149</f>
        <v/>
      </c>
    </row>
    <row r="8150">
      <c r="A8150" s="58" t="inlineStr">
        <is>
          <t>RT20250721-08149</t>
        </is>
      </c>
      <c r="B8150" s="59" t="inlineStr">
        <is>
          <t>2025-07-21</t>
        </is>
      </c>
      <c r="C8150" s="60" t="inlineStr">
        <is>
          <t>Aurora Fragrance S-971</t>
        </is>
      </c>
      <c r="D8150" s="58" t="inlineStr">
        <is>
          <t>Beauty</t>
        </is>
      </c>
      <c r="E8150" s="58" t="inlineStr">
        <is>
          <t>South</t>
        </is>
      </c>
      <c r="F8150" s="61" t="n">
        <v>1</v>
      </c>
      <c r="G8150" s="62" t="n">
        <v>85.56</v>
      </c>
      <c r="H8150" s="63" t="n">
        <v>0.07099999999999999</v>
      </c>
      <c r="I8150" s="62" t="n">
        <v>65</v>
      </c>
      <c r="J8150" s="58" t="inlineStr">
        <is>
          <t>Online</t>
        </is>
      </c>
      <c r="K8150" s="62">
        <f>F8150*(G8150-H8150)</f>
        <v/>
      </c>
      <c r="L8150" s="62">
        <f>K8150-(F8150*I8150)</f>
        <v/>
      </c>
      <c r="M8150" s="64">
        <f>L8150/K8150</f>
        <v/>
      </c>
    </row>
    <row r="8151">
      <c r="A8151" s="58" t="inlineStr">
        <is>
          <t>RT20250721-08150</t>
        </is>
      </c>
      <c r="B8151" s="59" t="inlineStr">
        <is>
          <t>2025-07-21</t>
        </is>
      </c>
      <c r="C8151" s="60" t="inlineStr">
        <is>
          <t>Falcon Team Sport Lite-268</t>
        </is>
      </c>
      <c r="D8151" s="58" t="inlineStr">
        <is>
          <t>Sports</t>
        </is>
      </c>
      <c r="E8151" s="58" t="inlineStr">
        <is>
          <t>East</t>
        </is>
      </c>
      <c r="F8151" s="61" t="n">
        <v>3</v>
      </c>
      <c r="G8151" s="62" t="n">
        <v>640.84</v>
      </c>
      <c r="H8151" s="63" t="n">
        <v>0.064</v>
      </c>
      <c r="I8151" s="62" t="n">
        <v>439.47</v>
      </c>
      <c r="J8151" s="58" t="inlineStr">
        <is>
          <t>Online</t>
        </is>
      </c>
      <c r="K8151" s="62">
        <f>F8151*(G8151-H8151)</f>
        <v/>
      </c>
      <c r="L8151" s="62">
        <f>K8151-(F8151*I8151)</f>
        <v/>
      </c>
      <c r="M8151" s="64">
        <f>L8151/K8151</f>
        <v/>
      </c>
    </row>
    <row r="8152">
      <c r="A8152" s="58" t="inlineStr">
        <is>
          <t>RT20250721-08151</t>
        </is>
      </c>
      <c r="B8152" s="59" t="inlineStr">
        <is>
          <t>2025-07-21</t>
        </is>
      </c>
      <c r="C8152" s="60" t="inlineStr">
        <is>
          <t>Polar Supplie Lite-348</t>
        </is>
      </c>
      <c r="D8152" s="58" t="inlineStr">
        <is>
          <t>Office</t>
        </is>
      </c>
      <c r="E8152" s="58" t="inlineStr">
        <is>
          <t>South</t>
        </is>
      </c>
      <c r="F8152" s="61" t="n">
        <v>2</v>
      </c>
      <c r="G8152" s="62" t="n">
        <v>430.46</v>
      </c>
      <c r="H8152" s="63" t="n">
        <v>0.081</v>
      </c>
      <c r="I8152" s="62" t="n">
        <v>316.51</v>
      </c>
      <c r="J8152" s="58" t="inlineStr">
        <is>
          <t>Online</t>
        </is>
      </c>
      <c r="K8152" s="62">
        <f>F8152*(G8152-H8152)</f>
        <v/>
      </c>
      <c r="L8152" s="62">
        <f>K8152-(F8152*I8152)</f>
        <v/>
      </c>
      <c r="M8152" s="64">
        <f>L8152/K8152</f>
        <v/>
      </c>
    </row>
    <row r="8153">
      <c r="A8153" s="58" t="inlineStr">
        <is>
          <t>RT20250721-08152</t>
        </is>
      </c>
      <c r="B8153" s="59" t="inlineStr">
        <is>
          <t>2025-07-21</t>
        </is>
      </c>
      <c r="C8153" s="60" t="inlineStr">
        <is>
          <t>Solace Bedding Plus-317</t>
        </is>
      </c>
      <c r="D8153" s="58" t="inlineStr">
        <is>
          <t>Home</t>
        </is>
      </c>
      <c r="E8153" s="58" t="inlineStr">
        <is>
          <t>East</t>
        </is>
      </c>
      <c r="F8153" s="61" t="n">
        <v>1</v>
      </c>
      <c r="G8153" s="62" t="n">
        <v>512.3200000000001</v>
      </c>
      <c r="H8153" s="63" t="n">
        <v>0.061</v>
      </c>
      <c r="I8153" s="62" t="n">
        <v>385.56</v>
      </c>
      <c r="J8153" s="58" t="inlineStr">
        <is>
          <t>Online</t>
        </is>
      </c>
      <c r="K8153" s="62">
        <f>F8153*(G8153-H8153)</f>
        <v/>
      </c>
      <c r="L8153" s="62">
        <f>K8153-(F8153*I8153)</f>
        <v/>
      </c>
      <c r="M8153" s="64">
        <f>L8153/K8153</f>
        <v/>
      </c>
    </row>
    <row r="8154">
      <c r="A8154" s="58" t="inlineStr">
        <is>
          <t>RT20250721-08153</t>
        </is>
      </c>
      <c r="B8154" s="59" t="inlineStr">
        <is>
          <t>2025-07-21</t>
        </is>
      </c>
      <c r="C8154" s="60" t="inlineStr">
        <is>
          <t>Orion Laptop S-350</t>
        </is>
      </c>
      <c r="D8154" s="58" t="inlineStr">
        <is>
          <t>Electronics</t>
        </is>
      </c>
      <c r="E8154" s="58" t="inlineStr">
        <is>
          <t>Central</t>
        </is>
      </c>
      <c r="F8154" s="61" t="n">
        <v>1</v>
      </c>
      <c r="G8154" s="62" t="n">
        <v>1441.29</v>
      </c>
      <c r="H8154" s="63" t="n">
        <v>0.1</v>
      </c>
      <c r="I8154" s="62" t="n">
        <v>1099.95</v>
      </c>
      <c r="J8154" s="58" t="inlineStr">
        <is>
          <t>Online</t>
        </is>
      </c>
      <c r="K8154" s="62">
        <f>F8154*(G8154-H8154)</f>
        <v/>
      </c>
      <c r="L8154" s="62">
        <f>K8154-(F8154*I8154)</f>
        <v/>
      </c>
      <c r="M8154" s="64">
        <f>L8154/K8154</f>
        <v/>
      </c>
    </row>
    <row r="8155">
      <c r="A8155" s="58" t="inlineStr">
        <is>
          <t>RT20250721-08154</t>
        </is>
      </c>
      <c r="B8155" s="59" t="inlineStr">
        <is>
          <t>2025-07-21</t>
        </is>
      </c>
      <c r="C8155" s="60" t="inlineStr">
        <is>
          <t>Falcon Headphone Plus-789</t>
        </is>
      </c>
      <c r="D8155" s="58" t="inlineStr">
        <is>
          <t>Electronics</t>
        </is>
      </c>
      <c r="E8155" s="58" t="inlineStr">
        <is>
          <t>North</t>
        </is>
      </c>
      <c r="F8155" s="61" t="n">
        <v>1</v>
      </c>
      <c r="G8155" s="62" t="n">
        <v>1788.25</v>
      </c>
      <c r="H8155" s="63" t="n">
        <v>0.07099999999999999</v>
      </c>
      <c r="I8155" s="62" t="n">
        <v>1346.13</v>
      </c>
      <c r="J8155" s="58" t="inlineStr">
        <is>
          <t>Store</t>
        </is>
      </c>
      <c r="K8155" s="62">
        <f>F8155*(G8155-H8155)</f>
        <v/>
      </c>
      <c r="L8155" s="62">
        <f>K8155-(F8155*I8155)</f>
        <v/>
      </c>
      <c r="M8155" s="64">
        <f>L8155/K8155</f>
        <v/>
      </c>
    </row>
    <row r="8156">
      <c r="A8156" s="58" t="inlineStr">
        <is>
          <t>RT20250721-08155</t>
        </is>
      </c>
      <c r="B8156" s="59" t="inlineStr">
        <is>
          <t>2025-07-21</t>
        </is>
      </c>
      <c r="C8156" s="60" t="inlineStr">
        <is>
          <t>Falcon Headphone Plus-789</t>
        </is>
      </c>
      <c r="D8156" s="58" t="inlineStr">
        <is>
          <t>Electronics</t>
        </is>
      </c>
      <c r="E8156" s="58" t="inlineStr">
        <is>
          <t>East</t>
        </is>
      </c>
      <c r="F8156" s="61" t="n">
        <v>1</v>
      </c>
      <c r="G8156" s="62" t="n">
        <v>1734.94</v>
      </c>
      <c r="H8156" s="63" t="n">
        <v>0.122</v>
      </c>
      <c r="I8156" s="62" t="n">
        <v>1338.83</v>
      </c>
      <c r="J8156" s="58" t="inlineStr">
        <is>
          <t>Online</t>
        </is>
      </c>
      <c r="K8156" s="62">
        <f>F8156*(G8156-H8156)</f>
        <v/>
      </c>
      <c r="L8156" s="62">
        <f>K8156-(F8156*I8156)</f>
        <v/>
      </c>
      <c r="M8156" s="64">
        <f>L8156/K8156</f>
        <v/>
      </c>
    </row>
    <row r="8157">
      <c r="A8157" s="58" t="inlineStr">
        <is>
          <t>RT20250721-08156</t>
        </is>
      </c>
      <c r="B8157" s="59" t="inlineStr">
        <is>
          <t>2025-07-21</t>
        </is>
      </c>
      <c r="C8157" s="60" t="inlineStr">
        <is>
          <t>Orion Kid Max-640</t>
        </is>
      </c>
      <c r="D8157" s="58" t="inlineStr">
        <is>
          <t>Apparel</t>
        </is>
      </c>
      <c r="E8157" s="58" t="inlineStr">
        <is>
          <t>Central</t>
        </is>
      </c>
      <c r="F8157" s="61" t="n">
        <v>1</v>
      </c>
      <c r="G8157" s="62" t="n">
        <v>128.26</v>
      </c>
      <c r="H8157" s="63" t="n">
        <v>0.067</v>
      </c>
      <c r="I8157" s="62" t="n">
        <v>71.05</v>
      </c>
      <c r="J8157" s="58" t="inlineStr">
        <is>
          <t>Phone</t>
        </is>
      </c>
      <c r="K8157" s="62">
        <f>F8157*(G8157-H8157)</f>
        <v/>
      </c>
      <c r="L8157" s="62">
        <f>K8157-(F8157*I8157)</f>
        <v/>
      </c>
      <c r="M8157" s="64">
        <f>L8157/K8157</f>
        <v/>
      </c>
    </row>
    <row r="8158">
      <c r="A8158" s="58" t="inlineStr">
        <is>
          <t>RT20250721-08157</t>
        </is>
      </c>
      <c r="B8158" s="59" t="inlineStr">
        <is>
          <t>2025-07-21</t>
        </is>
      </c>
      <c r="C8158" s="60" t="inlineStr">
        <is>
          <t>Vertex Pantry Pro-165</t>
        </is>
      </c>
      <c r="D8158" s="58" t="inlineStr">
        <is>
          <t>Grocery</t>
        </is>
      </c>
      <c r="E8158" s="58" t="inlineStr">
        <is>
          <t>North</t>
        </is>
      </c>
      <c r="F8158" s="61" t="n">
        <v>5</v>
      </c>
      <c r="G8158" s="62" t="n">
        <v>15.08</v>
      </c>
      <c r="H8158" s="63" t="n">
        <v>0.019</v>
      </c>
      <c r="I8158" s="62" t="n">
        <v>11.71</v>
      </c>
      <c r="J8158" s="58" t="inlineStr">
        <is>
          <t>Online</t>
        </is>
      </c>
      <c r="K8158" s="62">
        <f>F8158*(G8158-H8158)</f>
        <v/>
      </c>
      <c r="L8158" s="62">
        <f>K8158-(F8158*I8158)</f>
        <v/>
      </c>
      <c r="M8158" s="64">
        <f>L8158/K8158</f>
        <v/>
      </c>
    </row>
    <row r="8159">
      <c r="A8159" s="58" t="inlineStr">
        <is>
          <t>RT20250721-08158</t>
        </is>
      </c>
      <c r="B8159" s="59" t="inlineStr">
        <is>
          <t>2025-07-21</t>
        </is>
      </c>
      <c r="C8159" s="60" t="inlineStr">
        <is>
          <t>Polar Decor Plus-505</t>
        </is>
      </c>
      <c r="D8159" s="58" t="inlineStr">
        <is>
          <t>Home</t>
        </is>
      </c>
      <c r="E8159" s="58" t="inlineStr">
        <is>
          <t>Central</t>
        </is>
      </c>
      <c r="F8159" s="61" t="n">
        <v>1</v>
      </c>
      <c r="G8159" s="62" t="n">
        <v>274.64</v>
      </c>
      <c r="H8159" s="63" t="n">
        <v>0.006</v>
      </c>
      <c r="I8159" s="62" t="n">
        <v>204.92</v>
      </c>
      <c r="J8159" s="58" t="inlineStr">
        <is>
          <t>Store</t>
        </is>
      </c>
      <c r="K8159" s="62">
        <f>F8159*(G8159-H8159)</f>
        <v/>
      </c>
      <c r="L8159" s="62">
        <f>K8159-(F8159*I8159)</f>
        <v/>
      </c>
      <c r="M8159" s="64">
        <f>L8159/K8159</f>
        <v/>
      </c>
    </row>
    <row r="8160">
      <c r="A8160" s="58" t="inlineStr">
        <is>
          <t>RT20250721-08159</t>
        </is>
      </c>
      <c r="B8160" s="59" t="inlineStr">
        <is>
          <t>2025-07-21</t>
        </is>
      </c>
      <c r="C8160" s="60" t="inlineStr">
        <is>
          <t>Metro Fragrance Lite-261</t>
        </is>
      </c>
      <c r="D8160" s="58" t="inlineStr">
        <is>
          <t>Beauty</t>
        </is>
      </c>
      <c r="E8160" s="58" t="inlineStr">
        <is>
          <t>East</t>
        </is>
      </c>
      <c r="F8160" s="61" t="n">
        <v>5</v>
      </c>
      <c r="G8160" s="62" t="n">
        <v>89.56999999999999</v>
      </c>
      <c r="H8160" s="63" t="n">
        <v>0.108</v>
      </c>
      <c r="I8160" s="62" t="n">
        <v>54.81</v>
      </c>
      <c r="J8160" s="58" t="inlineStr">
        <is>
          <t>Online</t>
        </is>
      </c>
      <c r="K8160" s="62">
        <f>F8160*(G8160-H8160)</f>
        <v/>
      </c>
      <c r="L8160" s="62">
        <f>K8160-(F8160*I8160)</f>
        <v/>
      </c>
      <c r="M8160" s="64">
        <f>L8160/K8160</f>
        <v/>
      </c>
    </row>
    <row r="8161">
      <c r="A8161" s="58" t="inlineStr">
        <is>
          <t>RT20250721-08160</t>
        </is>
      </c>
      <c r="B8161" s="59" t="inlineStr">
        <is>
          <t>2025-07-21</t>
        </is>
      </c>
      <c r="C8161" s="60" t="inlineStr">
        <is>
          <t>Metro Wearable Plus-234</t>
        </is>
      </c>
      <c r="D8161" s="58" t="inlineStr">
        <is>
          <t>Electronics</t>
        </is>
      </c>
      <c r="E8161" s="58" t="inlineStr">
        <is>
          <t>West</t>
        </is>
      </c>
      <c r="F8161" s="61" t="n">
        <v>2</v>
      </c>
      <c r="G8161" s="62" t="n">
        <v>1447.2</v>
      </c>
      <c r="H8161" s="63" t="n">
        <v>0.038</v>
      </c>
      <c r="I8161" s="62" t="n">
        <v>1165.95</v>
      </c>
      <c r="J8161" s="58" t="inlineStr">
        <is>
          <t>Online</t>
        </is>
      </c>
      <c r="K8161" s="62">
        <f>F8161*(G8161-H8161)</f>
        <v/>
      </c>
      <c r="L8161" s="62">
        <f>K8161-(F8161*I8161)</f>
        <v/>
      </c>
      <c r="M8161" s="64">
        <f>L8161/K8161</f>
        <v/>
      </c>
    </row>
    <row r="8162">
      <c r="A8162" s="58" t="inlineStr">
        <is>
          <t>RT20250721-08161</t>
        </is>
      </c>
      <c r="B8162" s="59" t="inlineStr">
        <is>
          <t>2025-07-21</t>
        </is>
      </c>
      <c r="C8162" s="60" t="inlineStr">
        <is>
          <t>Vertex Furniture S-652</t>
        </is>
      </c>
      <c r="D8162" s="58" t="inlineStr">
        <is>
          <t>Office</t>
        </is>
      </c>
      <c r="E8162" s="58" t="inlineStr">
        <is>
          <t>South</t>
        </is>
      </c>
      <c r="F8162" s="61" t="n">
        <v>3</v>
      </c>
      <c r="G8162" s="62" t="n">
        <v>353.92</v>
      </c>
      <c r="H8162" s="63" t="n">
        <v>0.102</v>
      </c>
      <c r="I8162" s="62" t="n">
        <v>271.45</v>
      </c>
      <c r="J8162" s="58" t="inlineStr">
        <is>
          <t>Store</t>
        </is>
      </c>
      <c r="K8162" s="62">
        <f>F8162*(G8162-H8162)</f>
        <v/>
      </c>
      <c r="L8162" s="62">
        <f>K8162-(F8162*I8162)</f>
        <v/>
      </c>
      <c r="M8162" s="64">
        <f>L8162/K8162</f>
        <v/>
      </c>
    </row>
    <row r="8163">
      <c r="A8163" s="58" t="inlineStr">
        <is>
          <t>RT20250721-08162</t>
        </is>
      </c>
      <c r="B8163" s="59" t="inlineStr">
        <is>
          <t>2025-07-21</t>
        </is>
      </c>
      <c r="C8163" s="60" t="inlineStr">
        <is>
          <t>Aurora Kid Plus-151</t>
        </is>
      </c>
      <c r="D8163" s="58" t="inlineStr">
        <is>
          <t>Apparel</t>
        </is>
      </c>
      <c r="E8163" s="58" t="inlineStr">
        <is>
          <t>North</t>
        </is>
      </c>
      <c r="F8163" s="61" t="n">
        <v>2</v>
      </c>
      <c r="G8163" s="62" t="n">
        <v>124.67</v>
      </c>
      <c r="H8163" s="63" t="n">
        <v>0.024</v>
      </c>
      <c r="I8163" s="62" t="n">
        <v>64.88</v>
      </c>
      <c r="J8163" s="58" t="inlineStr">
        <is>
          <t>Online</t>
        </is>
      </c>
      <c r="K8163" s="62">
        <f>F8163*(G8163-H8163)</f>
        <v/>
      </c>
      <c r="L8163" s="62">
        <f>K8163-(F8163*I8163)</f>
        <v/>
      </c>
      <c r="M8163" s="64">
        <f>L8163/K8163</f>
        <v/>
      </c>
    </row>
    <row r="8164">
      <c r="A8164" s="58" t="inlineStr">
        <is>
          <t>RT20250721-08163</t>
        </is>
      </c>
      <c r="B8164" s="59" t="inlineStr">
        <is>
          <t>2025-07-21</t>
        </is>
      </c>
      <c r="C8164" s="60" t="inlineStr">
        <is>
          <t>Polar Decor Plus-505</t>
        </is>
      </c>
      <c r="D8164" s="58" t="inlineStr">
        <is>
          <t>Home</t>
        </is>
      </c>
      <c r="E8164" s="58" t="inlineStr">
        <is>
          <t>West</t>
        </is>
      </c>
      <c r="F8164" s="61" t="n">
        <v>2</v>
      </c>
      <c r="G8164" s="62" t="n">
        <v>310.13</v>
      </c>
      <c r="H8164" s="63" t="n">
        <v>0.07000000000000001</v>
      </c>
      <c r="I8164" s="62" t="n">
        <v>199.1</v>
      </c>
      <c r="J8164" s="58" t="inlineStr">
        <is>
          <t>Online</t>
        </is>
      </c>
      <c r="K8164" s="62">
        <f>F8164*(G8164-H8164)</f>
        <v/>
      </c>
      <c r="L8164" s="62">
        <f>K8164-(F8164*I8164)</f>
        <v/>
      </c>
      <c r="M8164" s="64">
        <f>L8164/K8164</f>
        <v/>
      </c>
    </row>
    <row r="8165">
      <c r="A8165" s="58" t="inlineStr">
        <is>
          <t>RT20250721-08164</t>
        </is>
      </c>
      <c r="B8165" s="59" t="inlineStr">
        <is>
          <t>2025-07-21</t>
        </is>
      </c>
      <c r="C8165" s="60" t="inlineStr">
        <is>
          <t>Falcon Skincare X-334</t>
        </is>
      </c>
      <c r="D8165" s="58" t="inlineStr">
        <is>
          <t>Beauty</t>
        </is>
      </c>
      <c r="E8165" s="58" t="inlineStr">
        <is>
          <t>West</t>
        </is>
      </c>
      <c r="F8165" s="61" t="n">
        <v>3</v>
      </c>
      <c r="G8165" s="62" t="n">
        <v>110.63</v>
      </c>
      <c r="H8165" s="63" t="n">
        <v>0.08500000000000001</v>
      </c>
      <c r="I8165" s="62" t="n">
        <v>62.03</v>
      </c>
      <c r="J8165" s="58" t="inlineStr">
        <is>
          <t>Store</t>
        </is>
      </c>
      <c r="K8165" s="62">
        <f>F8165*(G8165-H8165)</f>
        <v/>
      </c>
      <c r="L8165" s="62">
        <f>K8165-(F8165*I8165)</f>
        <v/>
      </c>
      <c r="M8165" s="64">
        <f>L8165/K8165</f>
        <v/>
      </c>
    </row>
    <row r="8166">
      <c r="A8166" s="58" t="inlineStr">
        <is>
          <t>RT20250721-08165</t>
        </is>
      </c>
      <c r="B8166" s="59" t="inlineStr">
        <is>
          <t>2025-07-21</t>
        </is>
      </c>
      <c r="C8166" s="60" t="inlineStr">
        <is>
          <t>Polar Cycling X-649</t>
        </is>
      </c>
      <c r="D8166" s="58" t="inlineStr">
        <is>
          <t>Sports</t>
        </is>
      </c>
      <c r="E8166" s="58" t="inlineStr">
        <is>
          <t>Central</t>
        </is>
      </c>
      <c r="F8166" s="61" t="n">
        <v>3</v>
      </c>
      <c r="G8166" s="62" t="n">
        <v>564.49</v>
      </c>
      <c r="H8166" s="63" t="n">
        <v>0.035</v>
      </c>
      <c r="I8166" s="62" t="n">
        <v>361.31</v>
      </c>
      <c r="J8166" s="58" t="inlineStr">
        <is>
          <t>Phone</t>
        </is>
      </c>
      <c r="K8166" s="62">
        <f>F8166*(G8166-H8166)</f>
        <v/>
      </c>
      <c r="L8166" s="62">
        <f>K8166-(F8166*I8166)</f>
        <v/>
      </c>
      <c r="M8166" s="64">
        <f>L8166/K8166</f>
        <v/>
      </c>
    </row>
    <row r="8167">
      <c r="A8167" s="58" t="inlineStr">
        <is>
          <t>RT20250721-08166</t>
        </is>
      </c>
      <c r="B8167" s="59" t="inlineStr">
        <is>
          <t>2025-07-21</t>
        </is>
      </c>
      <c r="C8167" s="60" t="inlineStr">
        <is>
          <t>Solace Kitchen Pro-510</t>
        </is>
      </c>
      <c r="D8167" s="58" t="inlineStr">
        <is>
          <t>Home</t>
        </is>
      </c>
      <c r="E8167" s="58" t="inlineStr">
        <is>
          <t>East</t>
        </is>
      </c>
      <c r="F8167" s="61" t="n">
        <v>3</v>
      </c>
      <c r="G8167" s="62" t="n">
        <v>445.73</v>
      </c>
      <c r="H8167" s="63" t="n">
        <v>0.042</v>
      </c>
      <c r="I8167" s="62" t="n">
        <v>312.3</v>
      </c>
      <c r="J8167" s="58" t="inlineStr">
        <is>
          <t>Store</t>
        </is>
      </c>
      <c r="K8167" s="62">
        <f>F8167*(G8167-H8167)</f>
        <v/>
      </c>
      <c r="L8167" s="62">
        <f>K8167-(F8167*I8167)</f>
        <v/>
      </c>
      <c r="M8167" s="64">
        <f>L8167/K8167</f>
        <v/>
      </c>
    </row>
    <row r="8168">
      <c r="A8168" s="58" t="inlineStr">
        <is>
          <t>RT20250721-08167</t>
        </is>
      </c>
      <c r="B8168" s="59" t="inlineStr">
        <is>
          <t>2025-07-21</t>
        </is>
      </c>
      <c r="C8168" s="60" t="inlineStr">
        <is>
          <t>Orion Kid Max-640</t>
        </is>
      </c>
      <c r="D8168" s="58" t="inlineStr">
        <is>
          <t>Apparel</t>
        </is>
      </c>
      <c r="E8168" s="58" t="inlineStr">
        <is>
          <t>South</t>
        </is>
      </c>
      <c r="F8168" s="61" t="n">
        <v>3</v>
      </c>
      <c r="G8168" s="62" t="n">
        <v>125.2</v>
      </c>
      <c r="H8168" s="63" t="n">
        <v>0.066</v>
      </c>
      <c r="I8168" s="62" t="n">
        <v>70.86</v>
      </c>
      <c r="J8168" s="58" t="inlineStr">
        <is>
          <t>Store</t>
        </is>
      </c>
      <c r="K8168" s="62">
        <f>F8168*(G8168-H8168)</f>
        <v/>
      </c>
      <c r="L8168" s="62">
        <f>K8168-(F8168*I8168)</f>
        <v/>
      </c>
      <c r="M8168" s="64">
        <f>L8168/K8168</f>
        <v/>
      </c>
    </row>
    <row r="8169">
      <c r="A8169" s="58" t="inlineStr">
        <is>
          <t>RT20250721-08168</t>
        </is>
      </c>
      <c r="B8169" s="59" t="inlineStr">
        <is>
          <t>2025-07-21</t>
        </is>
      </c>
      <c r="C8169" s="60" t="inlineStr">
        <is>
          <t>Aurora Printer Plus-991</t>
        </is>
      </c>
      <c r="D8169" s="58" t="inlineStr">
        <is>
          <t>Office</t>
        </is>
      </c>
      <c r="E8169" s="58" t="inlineStr">
        <is>
          <t>South</t>
        </is>
      </c>
      <c r="F8169" s="61" t="n">
        <v>1</v>
      </c>
      <c r="G8169" s="62" t="n">
        <v>478.82</v>
      </c>
      <c r="H8169" s="63" t="n">
        <v>0.08799999999999999</v>
      </c>
      <c r="I8169" s="62" t="n">
        <v>377.64</v>
      </c>
      <c r="J8169" s="58" t="inlineStr">
        <is>
          <t>Store</t>
        </is>
      </c>
      <c r="K8169" s="62">
        <f>F8169*(G8169-H8169)</f>
        <v/>
      </c>
      <c r="L8169" s="62">
        <f>K8169-(F8169*I8169)</f>
        <v/>
      </c>
      <c r="M8169" s="64">
        <f>L8169/K8169</f>
        <v/>
      </c>
    </row>
    <row r="8170">
      <c r="A8170" s="58" t="inlineStr">
        <is>
          <t>RT20250721-08169</t>
        </is>
      </c>
      <c r="B8170" s="59" t="inlineStr">
        <is>
          <t>2025-07-21</t>
        </is>
      </c>
      <c r="C8170" s="60" t="inlineStr">
        <is>
          <t>Orion Haircare Plus-887</t>
        </is>
      </c>
      <c r="D8170" s="58" t="inlineStr">
        <is>
          <t>Beauty</t>
        </is>
      </c>
      <c r="E8170" s="58" t="inlineStr">
        <is>
          <t>East</t>
        </is>
      </c>
      <c r="F8170" s="61" t="n">
        <v>1</v>
      </c>
      <c r="G8170" s="62" t="n">
        <v>51.5</v>
      </c>
      <c r="H8170" s="63" t="n">
        <v>0.127</v>
      </c>
      <c r="I8170" s="62" t="n">
        <v>30.38</v>
      </c>
      <c r="J8170" s="58" t="inlineStr">
        <is>
          <t>Store</t>
        </is>
      </c>
      <c r="K8170" s="62">
        <f>F8170*(G8170-H8170)</f>
        <v/>
      </c>
      <c r="L8170" s="62">
        <f>K8170-(F8170*I8170)</f>
        <v/>
      </c>
      <c r="M8170" s="64">
        <f>L8170/K8170</f>
        <v/>
      </c>
    </row>
    <row r="8171">
      <c r="A8171" s="58" t="inlineStr">
        <is>
          <t>RT20250721-08170</t>
        </is>
      </c>
      <c r="B8171" s="59" t="inlineStr">
        <is>
          <t>2025-07-21</t>
        </is>
      </c>
      <c r="C8171" s="60" t="inlineStr">
        <is>
          <t>Metro Accessorie Lite-697</t>
        </is>
      </c>
      <c r="D8171" s="58" t="inlineStr">
        <is>
          <t>Apparel</t>
        </is>
      </c>
      <c r="E8171" s="58" t="inlineStr">
        <is>
          <t>East</t>
        </is>
      </c>
      <c r="F8171" s="61" t="n">
        <v>2</v>
      </c>
      <c r="G8171" s="62" t="n">
        <v>140.96</v>
      </c>
      <c r="H8171" s="63" t="n">
        <v>0.039</v>
      </c>
      <c r="I8171" s="62" t="n">
        <v>74.31999999999999</v>
      </c>
      <c r="J8171" s="58" t="inlineStr">
        <is>
          <t>Online</t>
        </is>
      </c>
      <c r="K8171" s="62">
        <f>F8171*(G8171-H8171)</f>
        <v/>
      </c>
      <c r="L8171" s="62">
        <f>K8171-(F8171*I8171)</f>
        <v/>
      </c>
      <c r="M8171" s="64">
        <f>L8171/K8171</f>
        <v/>
      </c>
    </row>
    <row r="8172">
      <c r="A8172" s="58" t="inlineStr">
        <is>
          <t>RT20250721-08171</t>
        </is>
      </c>
      <c r="B8172" s="59" t="inlineStr">
        <is>
          <t>2025-07-21</t>
        </is>
      </c>
      <c r="C8172" s="60" t="inlineStr">
        <is>
          <t>Falcon Beverage Max-702</t>
        </is>
      </c>
      <c r="D8172" s="58" t="inlineStr">
        <is>
          <t>Grocery</t>
        </is>
      </c>
      <c r="E8172" s="58" t="inlineStr">
        <is>
          <t>East</t>
        </is>
      </c>
      <c r="F8172" s="61" t="n">
        <v>3</v>
      </c>
      <c r="G8172" s="62" t="n">
        <v>26.16</v>
      </c>
      <c r="H8172" s="63" t="n">
        <v>0.043</v>
      </c>
      <c r="I8172" s="62" t="n">
        <v>19.66</v>
      </c>
      <c r="J8172" s="58" t="inlineStr">
        <is>
          <t>Store</t>
        </is>
      </c>
      <c r="K8172" s="62">
        <f>F8172*(G8172-H8172)</f>
        <v/>
      </c>
      <c r="L8172" s="62">
        <f>K8172-(F8172*I8172)</f>
        <v/>
      </c>
      <c r="M8172" s="64">
        <f>L8172/K8172</f>
        <v/>
      </c>
    </row>
    <row r="8173">
      <c r="A8173" s="58" t="inlineStr">
        <is>
          <t>RT20250721-08172</t>
        </is>
      </c>
      <c r="B8173" s="59" t="inlineStr">
        <is>
          <t>2025-07-21</t>
        </is>
      </c>
      <c r="C8173" s="60" t="inlineStr">
        <is>
          <t>Falcon Headphone Plus-789</t>
        </is>
      </c>
      <c r="D8173" s="58" t="inlineStr">
        <is>
          <t>Electronics</t>
        </is>
      </c>
      <c r="E8173" s="58" t="inlineStr">
        <is>
          <t>North</t>
        </is>
      </c>
      <c r="F8173" s="61" t="n">
        <v>1</v>
      </c>
      <c r="G8173" s="62" t="n">
        <v>1642.65</v>
      </c>
      <c r="H8173" s="63" t="n">
        <v>0.051</v>
      </c>
      <c r="I8173" s="62" t="n">
        <v>1346.72</v>
      </c>
      <c r="J8173" s="58" t="inlineStr">
        <is>
          <t>Online</t>
        </is>
      </c>
      <c r="K8173" s="62">
        <f>F8173*(G8173-H8173)</f>
        <v/>
      </c>
      <c r="L8173" s="62">
        <f>K8173-(F8173*I8173)</f>
        <v/>
      </c>
      <c r="M8173" s="64">
        <f>L8173/K8173</f>
        <v/>
      </c>
    </row>
    <row r="8174">
      <c r="A8174" s="58" t="inlineStr">
        <is>
          <t>RT20250721-08173</t>
        </is>
      </c>
      <c r="B8174" s="59" t="inlineStr">
        <is>
          <t>2025-07-21</t>
        </is>
      </c>
      <c r="C8174" s="60" t="inlineStr">
        <is>
          <t>Aurora Household Plus-146</t>
        </is>
      </c>
      <c r="D8174" s="58" t="inlineStr">
        <is>
          <t>Grocery</t>
        </is>
      </c>
      <c r="E8174" s="58" t="inlineStr">
        <is>
          <t>North</t>
        </is>
      </c>
      <c r="F8174" s="61" t="n">
        <v>4</v>
      </c>
      <c r="G8174" s="62" t="n">
        <v>6.93</v>
      </c>
      <c r="H8174" s="63" t="n">
        <v>0.039</v>
      </c>
      <c r="I8174" s="62" t="n">
        <v>4.43</v>
      </c>
      <c r="J8174" s="58" t="inlineStr">
        <is>
          <t>Store</t>
        </is>
      </c>
      <c r="K8174" s="62">
        <f>F8174*(G8174-H8174)</f>
        <v/>
      </c>
      <c r="L8174" s="62">
        <f>K8174-(F8174*I8174)</f>
        <v/>
      </c>
      <c r="M8174" s="64">
        <f>L8174/K8174</f>
        <v/>
      </c>
    </row>
    <row r="8175">
      <c r="A8175" s="58" t="inlineStr">
        <is>
          <t>RT20250721-08174</t>
        </is>
      </c>
      <c r="B8175" s="59" t="inlineStr">
        <is>
          <t>2025-07-21</t>
        </is>
      </c>
      <c r="C8175" s="60" t="inlineStr">
        <is>
          <t>Polar Beverage S-258</t>
        </is>
      </c>
      <c r="D8175" s="58" t="inlineStr">
        <is>
          <t>Grocery</t>
        </is>
      </c>
      <c r="E8175" s="58" t="inlineStr">
        <is>
          <t>East</t>
        </is>
      </c>
      <c r="F8175" s="61" t="n">
        <v>2</v>
      </c>
      <c r="G8175" s="62" t="n">
        <v>14.01</v>
      </c>
      <c r="H8175" s="63" t="n">
        <v>0.048</v>
      </c>
      <c r="I8175" s="62" t="n">
        <v>9.66</v>
      </c>
      <c r="J8175" s="58" t="inlineStr">
        <is>
          <t>Store</t>
        </is>
      </c>
      <c r="K8175" s="62">
        <f>F8175*(G8175-H8175)</f>
        <v/>
      </c>
      <c r="L8175" s="62">
        <f>K8175-(F8175*I8175)</f>
        <v/>
      </c>
      <c r="M8175" s="64">
        <f>L8175/K8175</f>
        <v/>
      </c>
    </row>
    <row r="8176">
      <c r="A8176" s="58" t="inlineStr">
        <is>
          <t>RT20250722-08175</t>
        </is>
      </c>
      <c r="B8176" s="59" t="inlineStr">
        <is>
          <t>2025-07-22</t>
        </is>
      </c>
      <c r="C8176" s="60" t="inlineStr">
        <is>
          <t>Vertex Supplie Pro-786</t>
        </is>
      </c>
      <c r="D8176" s="58" t="inlineStr">
        <is>
          <t>Office</t>
        </is>
      </c>
      <c r="E8176" s="58" t="inlineStr">
        <is>
          <t>West</t>
        </is>
      </c>
      <c r="F8176" s="61" t="n">
        <v>1</v>
      </c>
      <c r="G8176" s="62" t="n">
        <v>430.18</v>
      </c>
      <c r="H8176" s="63" t="n">
        <v>0.114</v>
      </c>
      <c r="I8176" s="62" t="n">
        <v>300.99</v>
      </c>
      <c r="J8176" s="58" t="inlineStr">
        <is>
          <t>Store</t>
        </is>
      </c>
      <c r="K8176" s="62">
        <f>F8176*(G8176-H8176)</f>
        <v/>
      </c>
      <c r="L8176" s="62">
        <f>K8176-(F8176*I8176)</f>
        <v/>
      </c>
      <c r="M8176" s="64">
        <f>L8176/K8176</f>
        <v/>
      </c>
    </row>
    <row r="8177">
      <c r="A8177" s="58" t="inlineStr">
        <is>
          <t>RT20250722-08176</t>
        </is>
      </c>
      <c r="B8177" s="59" t="inlineStr">
        <is>
          <t>2025-07-22</t>
        </is>
      </c>
      <c r="C8177" s="60" t="inlineStr">
        <is>
          <t>Metro Pantry Max-180</t>
        </is>
      </c>
      <c r="D8177" s="58" t="inlineStr">
        <is>
          <t>Grocery</t>
        </is>
      </c>
      <c r="E8177" s="58" t="inlineStr">
        <is>
          <t>Central</t>
        </is>
      </c>
      <c r="F8177" s="61" t="n">
        <v>4</v>
      </c>
      <c r="G8177" s="62" t="n">
        <v>7.58</v>
      </c>
      <c r="H8177" s="63" t="n">
        <v>0.058</v>
      </c>
      <c r="I8177" s="62" t="n">
        <v>6.52</v>
      </c>
      <c r="J8177" s="58" t="inlineStr">
        <is>
          <t>Store</t>
        </is>
      </c>
      <c r="K8177" s="62">
        <f>F8177*(G8177-H8177)</f>
        <v/>
      </c>
      <c r="L8177" s="62">
        <f>K8177-(F8177*I8177)</f>
        <v/>
      </c>
      <c r="M8177" s="64">
        <f>L8177/K8177</f>
        <v/>
      </c>
    </row>
    <row r="8178">
      <c r="A8178" s="58" t="inlineStr">
        <is>
          <t>RT20250722-08177</t>
        </is>
      </c>
      <c r="B8178" s="59" t="inlineStr">
        <is>
          <t>2025-07-22</t>
        </is>
      </c>
      <c r="C8178" s="60" t="inlineStr">
        <is>
          <t>Vertex Supplie X-513</t>
        </is>
      </c>
      <c r="D8178" s="58" t="inlineStr">
        <is>
          <t>Office</t>
        </is>
      </c>
      <c r="E8178" s="58" t="inlineStr">
        <is>
          <t>East</t>
        </is>
      </c>
      <c r="F8178" s="61" t="n">
        <v>2</v>
      </c>
      <c r="G8178" s="62" t="n">
        <v>367.05</v>
      </c>
      <c r="H8178" s="63" t="n">
        <v>0.026</v>
      </c>
      <c r="I8178" s="62" t="n">
        <v>286.81</v>
      </c>
      <c r="J8178" s="58" t="inlineStr">
        <is>
          <t>Online</t>
        </is>
      </c>
      <c r="K8178" s="62">
        <f>F8178*(G8178-H8178)</f>
        <v/>
      </c>
      <c r="L8178" s="62">
        <f>K8178-(F8178*I8178)</f>
        <v/>
      </c>
      <c r="M8178" s="64">
        <f>L8178/K8178</f>
        <v/>
      </c>
    </row>
    <row r="8179">
      <c r="A8179" s="58" t="inlineStr">
        <is>
          <t>RT20250722-08178</t>
        </is>
      </c>
      <c r="B8179" s="59" t="inlineStr">
        <is>
          <t>2025-07-22</t>
        </is>
      </c>
      <c r="C8179" s="60" t="inlineStr">
        <is>
          <t>Solace Makeup Pro-214</t>
        </is>
      </c>
      <c r="D8179" s="58" t="inlineStr">
        <is>
          <t>Beauty</t>
        </is>
      </c>
      <c r="E8179" s="58" t="inlineStr">
        <is>
          <t>South</t>
        </is>
      </c>
      <c r="F8179" s="61" t="n">
        <v>3</v>
      </c>
      <c r="G8179" s="62" t="n">
        <v>120.43</v>
      </c>
      <c r="H8179" s="63" t="n">
        <v>0.044</v>
      </c>
      <c r="I8179" s="62" t="n">
        <v>66.5</v>
      </c>
      <c r="J8179" s="58" t="inlineStr">
        <is>
          <t>Store</t>
        </is>
      </c>
      <c r="K8179" s="62">
        <f>F8179*(G8179-H8179)</f>
        <v/>
      </c>
      <c r="L8179" s="62">
        <f>K8179-(F8179*I8179)</f>
        <v/>
      </c>
      <c r="M8179" s="64">
        <f>L8179/K8179</f>
        <v/>
      </c>
    </row>
    <row r="8180">
      <c r="A8180" s="58" t="inlineStr">
        <is>
          <t>RT20250722-08179</t>
        </is>
      </c>
      <c r="B8180" s="59" t="inlineStr">
        <is>
          <t>2025-07-22</t>
        </is>
      </c>
      <c r="C8180" s="60" t="inlineStr">
        <is>
          <t>Nimbus Laptop Max-652</t>
        </is>
      </c>
      <c r="D8180" s="58" t="inlineStr">
        <is>
          <t>Electronics</t>
        </is>
      </c>
      <c r="E8180" s="58" t="inlineStr">
        <is>
          <t>Central</t>
        </is>
      </c>
      <c r="F8180" s="61" t="n">
        <v>1</v>
      </c>
      <c r="G8180" s="62" t="n">
        <v>1484.24</v>
      </c>
      <c r="H8180" s="63" t="n">
        <v>0.056</v>
      </c>
      <c r="I8180" s="62" t="n">
        <v>1045.72</v>
      </c>
      <c r="J8180" s="58" t="inlineStr">
        <is>
          <t>Store</t>
        </is>
      </c>
      <c r="K8180" s="62">
        <f>F8180*(G8180-H8180)</f>
        <v/>
      </c>
      <c r="L8180" s="62">
        <f>K8180-(F8180*I8180)</f>
        <v/>
      </c>
      <c r="M8180" s="64">
        <f>L8180/K8180</f>
        <v/>
      </c>
    </row>
    <row r="8181">
      <c r="A8181" s="58" t="inlineStr">
        <is>
          <t>RT20250722-08180</t>
        </is>
      </c>
      <c r="B8181" s="59" t="inlineStr">
        <is>
          <t>2025-07-22</t>
        </is>
      </c>
      <c r="C8181" s="60" t="inlineStr">
        <is>
          <t>Vertex Appliance S-159</t>
        </is>
      </c>
      <c r="D8181" s="58" t="inlineStr">
        <is>
          <t>Home</t>
        </is>
      </c>
      <c r="E8181" s="58" t="inlineStr">
        <is>
          <t>Central</t>
        </is>
      </c>
      <c r="F8181" s="61" t="n">
        <v>2</v>
      </c>
      <c r="G8181" s="62" t="n">
        <v>461.95</v>
      </c>
      <c r="H8181" s="63" t="n">
        <v>0.095</v>
      </c>
      <c r="I8181" s="62" t="n">
        <v>300.4</v>
      </c>
      <c r="J8181" s="58" t="inlineStr">
        <is>
          <t>Online</t>
        </is>
      </c>
      <c r="K8181" s="62">
        <f>F8181*(G8181-H8181)</f>
        <v/>
      </c>
      <c r="L8181" s="62">
        <f>K8181-(F8181*I8181)</f>
        <v/>
      </c>
      <c r="M8181" s="64">
        <f>L8181/K8181</f>
        <v/>
      </c>
    </row>
    <row r="8182">
      <c r="A8182" s="58" t="inlineStr">
        <is>
          <t>RT20250722-08181</t>
        </is>
      </c>
      <c r="B8182" s="59" t="inlineStr">
        <is>
          <t>2025-07-22</t>
        </is>
      </c>
      <c r="C8182" s="60" t="inlineStr">
        <is>
          <t>Vertex Decor Pro-618</t>
        </is>
      </c>
      <c r="D8182" s="58" t="inlineStr">
        <is>
          <t>Home</t>
        </is>
      </c>
      <c r="E8182" s="58" t="inlineStr">
        <is>
          <t>North</t>
        </is>
      </c>
      <c r="F8182" s="61" t="n">
        <v>3</v>
      </c>
      <c r="G8182" s="62" t="n">
        <v>547.03</v>
      </c>
      <c r="H8182" s="63" t="n">
        <v>0.017</v>
      </c>
      <c r="I8182" s="62" t="n">
        <v>374.87</v>
      </c>
      <c r="J8182" s="58" t="inlineStr">
        <is>
          <t>Store</t>
        </is>
      </c>
      <c r="K8182" s="62">
        <f>F8182*(G8182-H8182)</f>
        <v/>
      </c>
      <c r="L8182" s="62">
        <f>K8182-(F8182*I8182)</f>
        <v/>
      </c>
      <c r="M8182" s="64">
        <f>L8182/K8182</f>
        <v/>
      </c>
    </row>
    <row r="8183">
      <c r="A8183" s="58" t="inlineStr">
        <is>
          <t>RT20250722-08182</t>
        </is>
      </c>
      <c r="B8183" s="59" t="inlineStr">
        <is>
          <t>2025-07-22</t>
        </is>
      </c>
      <c r="C8183" s="60" t="inlineStr">
        <is>
          <t>Solace Team Sport Max-548</t>
        </is>
      </c>
      <c r="D8183" s="58" t="inlineStr">
        <is>
          <t>Sports</t>
        </is>
      </c>
      <c r="E8183" s="58" t="inlineStr">
        <is>
          <t>East</t>
        </is>
      </c>
      <c r="F8183" s="61" t="n">
        <v>1</v>
      </c>
      <c r="G8183" s="62" t="n">
        <v>702.6900000000001</v>
      </c>
      <c r="H8183" s="63" t="n">
        <v>0.081</v>
      </c>
      <c r="I8183" s="62" t="n">
        <v>474.64</v>
      </c>
      <c r="J8183" s="58" t="inlineStr">
        <is>
          <t>Store</t>
        </is>
      </c>
      <c r="K8183" s="62">
        <f>F8183*(G8183-H8183)</f>
        <v/>
      </c>
      <c r="L8183" s="62">
        <f>K8183-(F8183*I8183)</f>
        <v/>
      </c>
      <c r="M8183" s="64">
        <f>L8183/K8183</f>
        <v/>
      </c>
    </row>
    <row r="8184">
      <c r="A8184" s="58" t="inlineStr">
        <is>
          <t>RT20250722-08183</t>
        </is>
      </c>
      <c r="B8184" s="59" t="inlineStr">
        <is>
          <t>2025-07-22</t>
        </is>
      </c>
      <c r="C8184" s="60" t="inlineStr">
        <is>
          <t>Vertex Printer Max-692</t>
        </is>
      </c>
      <c r="D8184" s="58" t="inlineStr">
        <is>
          <t>Office</t>
        </is>
      </c>
      <c r="E8184" s="58" t="inlineStr">
        <is>
          <t>North</t>
        </is>
      </c>
      <c r="F8184" s="61" t="n">
        <v>1</v>
      </c>
      <c r="G8184" s="62" t="n">
        <v>196.11</v>
      </c>
      <c r="H8184" s="63" t="n">
        <v>0.07000000000000001</v>
      </c>
      <c r="I8184" s="62" t="n">
        <v>123.28</v>
      </c>
      <c r="J8184" s="58" t="inlineStr">
        <is>
          <t>Online</t>
        </is>
      </c>
      <c r="K8184" s="62">
        <f>F8184*(G8184-H8184)</f>
        <v/>
      </c>
      <c r="L8184" s="62">
        <f>K8184-(F8184*I8184)</f>
        <v/>
      </c>
      <c r="M8184" s="64">
        <f>L8184/K8184</f>
        <v/>
      </c>
    </row>
    <row r="8185">
      <c r="A8185" s="58" t="inlineStr">
        <is>
          <t>RT20250722-08184</t>
        </is>
      </c>
      <c r="B8185" s="59" t="inlineStr">
        <is>
          <t>2025-07-22</t>
        </is>
      </c>
      <c r="C8185" s="60" t="inlineStr">
        <is>
          <t>Orion Beverage Plus-949</t>
        </is>
      </c>
      <c r="D8185" s="58" t="inlineStr">
        <is>
          <t>Grocery</t>
        </is>
      </c>
      <c r="E8185" s="58" t="inlineStr">
        <is>
          <t>West</t>
        </is>
      </c>
      <c r="F8185" s="61" t="n">
        <v>7</v>
      </c>
      <c r="G8185" s="62" t="n">
        <v>17.76</v>
      </c>
      <c r="H8185" s="63" t="n">
        <v>0.082</v>
      </c>
      <c r="I8185" s="62" t="n">
        <v>13.7</v>
      </c>
      <c r="J8185" s="58" t="inlineStr">
        <is>
          <t>Online</t>
        </is>
      </c>
      <c r="K8185" s="62">
        <f>F8185*(G8185-H8185)</f>
        <v/>
      </c>
      <c r="L8185" s="62">
        <f>K8185-(F8185*I8185)</f>
        <v/>
      </c>
      <c r="M8185" s="64">
        <f>L8185/K8185</f>
        <v/>
      </c>
    </row>
    <row r="8186">
      <c r="A8186" s="58" t="inlineStr">
        <is>
          <t>RT20250722-08185</t>
        </is>
      </c>
      <c r="B8186" s="59" t="inlineStr">
        <is>
          <t>2025-07-22</t>
        </is>
      </c>
      <c r="C8186" s="60" t="inlineStr">
        <is>
          <t>Falcon Accessorie S-195</t>
        </is>
      </c>
      <c r="D8186" s="58" t="inlineStr">
        <is>
          <t>Apparel</t>
        </is>
      </c>
      <c r="E8186" s="58" t="inlineStr">
        <is>
          <t>East</t>
        </is>
      </c>
      <c r="F8186" s="61" t="n">
        <v>2</v>
      </c>
      <c r="G8186" s="62" t="n">
        <v>78.44</v>
      </c>
      <c r="H8186" s="63" t="n">
        <v>0.053</v>
      </c>
      <c r="I8186" s="62" t="n">
        <v>44.07</v>
      </c>
      <c r="J8186" s="58" t="inlineStr">
        <is>
          <t>Store</t>
        </is>
      </c>
      <c r="K8186" s="62">
        <f>F8186*(G8186-H8186)</f>
        <v/>
      </c>
      <c r="L8186" s="62">
        <f>K8186-(F8186*I8186)</f>
        <v/>
      </c>
      <c r="M8186" s="64">
        <f>L8186/K8186</f>
        <v/>
      </c>
    </row>
    <row r="8187">
      <c r="A8187" s="58" t="inlineStr">
        <is>
          <t>RT20250722-08186</t>
        </is>
      </c>
      <c r="B8187" s="59" t="inlineStr">
        <is>
          <t>2025-07-22</t>
        </is>
      </c>
      <c r="C8187" s="60" t="inlineStr">
        <is>
          <t>Solace Bedding Plus-317</t>
        </is>
      </c>
      <c r="D8187" s="58" t="inlineStr">
        <is>
          <t>Home</t>
        </is>
      </c>
      <c r="E8187" s="58" t="inlineStr">
        <is>
          <t>West</t>
        </is>
      </c>
      <c r="F8187" s="61" t="n">
        <v>1</v>
      </c>
      <c r="G8187" s="62" t="n">
        <v>677.5</v>
      </c>
      <c r="H8187" s="63" t="n">
        <v>0.104</v>
      </c>
      <c r="I8187" s="62" t="n">
        <v>394.3</v>
      </c>
      <c r="J8187" s="58" t="inlineStr">
        <is>
          <t>Store</t>
        </is>
      </c>
      <c r="K8187" s="62">
        <f>F8187*(G8187-H8187)</f>
        <v/>
      </c>
      <c r="L8187" s="62">
        <f>K8187-(F8187*I8187)</f>
        <v/>
      </c>
      <c r="M8187" s="64">
        <f>L8187/K8187</f>
        <v/>
      </c>
    </row>
    <row r="8188">
      <c r="A8188" s="58" t="inlineStr">
        <is>
          <t>RT20250722-08187</t>
        </is>
      </c>
      <c r="B8188" s="59" t="inlineStr">
        <is>
          <t>2025-07-22</t>
        </is>
      </c>
      <c r="C8188" s="60" t="inlineStr">
        <is>
          <t>Aurora Printer Plus-723</t>
        </is>
      </c>
      <c r="D8188" s="58" t="inlineStr">
        <is>
          <t>Office</t>
        </is>
      </c>
      <c r="E8188" s="58" t="inlineStr">
        <is>
          <t>East</t>
        </is>
      </c>
      <c r="F8188" s="61" t="n">
        <v>3</v>
      </c>
      <c r="G8188" s="62" t="n">
        <v>262.27</v>
      </c>
      <c r="H8188" s="63" t="n">
        <v>0.061</v>
      </c>
      <c r="I8188" s="62" t="n">
        <v>182.82</v>
      </c>
      <c r="J8188" s="58" t="inlineStr">
        <is>
          <t>Online</t>
        </is>
      </c>
      <c r="K8188" s="62">
        <f>F8188*(G8188-H8188)</f>
        <v/>
      </c>
      <c r="L8188" s="62">
        <f>K8188-(F8188*I8188)</f>
        <v/>
      </c>
      <c r="M8188" s="64">
        <f>L8188/K8188</f>
        <v/>
      </c>
    </row>
    <row r="8189">
      <c r="A8189" s="58" t="inlineStr">
        <is>
          <t>RT20250722-08188</t>
        </is>
      </c>
      <c r="B8189" s="59" t="inlineStr">
        <is>
          <t>2025-07-22</t>
        </is>
      </c>
      <c r="C8189" s="60" t="inlineStr">
        <is>
          <t>Vertex Skincare Pro-891</t>
        </is>
      </c>
      <c r="D8189" s="58" t="inlineStr">
        <is>
          <t>Beauty</t>
        </is>
      </c>
      <c r="E8189" s="58" t="inlineStr">
        <is>
          <t>East</t>
        </is>
      </c>
      <c r="F8189" s="61" t="n">
        <v>1</v>
      </c>
      <c r="G8189" s="62" t="n">
        <v>143.4</v>
      </c>
      <c r="H8189" s="63" t="n">
        <v>0.091</v>
      </c>
      <c r="I8189" s="62" t="n">
        <v>88.28</v>
      </c>
      <c r="J8189" s="58" t="inlineStr">
        <is>
          <t>Store</t>
        </is>
      </c>
      <c r="K8189" s="62">
        <f>F8189*(G8189-H8189)</f>
        <v/>
      </c>
      <c r="L8189" s="62">
        <f>K8189-(F8189*I8189)</f>
        <v/>
      </c>
      <c r="M8189" s="64">
        <f>L8189/K8189</f>
        <v/>
      </c>
    </row>
    <row r="8190">
      <c r="A8190" s="58" t="inlineStr">
        <is>
          <t>RT20250722-08189</t>
        </is>
      </c>
      <c r="B8190" s="59" t="inlineStr">
        <is>
          <t>2025-07-22</t>
        </is>
      </c>
      <c r="C8190" s="60" t="inlineStr">
        <is>
          <t>Vertex Appliance S-296</t>
        </is>
      </c>
      <c r="D8190" s="58" t="inlineStr">
        <is>
          <t>Home</t>
        </is>
      </c>
      <c r="E8190" s="58" t="inlineStr">
        <is>
          <t>East</t>
        </is>
      </c>
      <c r="F8190" s="61" t="n">
        <v>1</v>
      </c>
      <c r="G8190" s="62" t="n">
        <v>496.56</v>
      </c>
      <c r="H8190" s="63" t="n">
        <v>0.08699999999999999</v>
      </c>
      <c r="I8190" s="62" t="n">
        <v>356.63</v>
      </c>
      <c r="J8190" s="58" t="inlineStr">
        <is>
          <t>Store</t>
        </is>
      </c>
      <c r="K8190" s="62">
        <f>F8190*(G8190-H8190)</f>
        <v/>
      </c>
      <c r="L8190" s="62">
        <f>K8190-(F8190*I8190)</f>
        <v/>
      </c>
      <c r="M8190" s="64">
        <f>L8190/K8190</f>
        <v/>
      </c>
    </row>
    <row r="8191">
      <c r="A8191" s="58" t="inlineStr">
        <is>
          <t>RT20250722-08190</t>
        </is>
      </c>
      <c r="B8191" s="59" t="inlineStr">
        <is>
          <t>2025-07-22</t>
        </is>
      </c>
      <c r="C8191" s="60" t="inlineStr">
        <is>
          <t>Falcon Accessorie S-195</t>
        </is>
      </c>
      <c r="D8191" s="58" t="inlineStr">
        <is>
          <t>Apparel</t>
        </is>
      </c>
      <c r="E8191" s="58" t="inlineStr">
        <is>
          <t>North</t>
        </is>
      </c>
      <c r="F8191" s="61" t="n">
        <v>2</v>
      </c>
      <c r="G8191" s="62" t="n">
        <v>80.14</v>
      </c>
      <c r="H8191" s="63" t="n">
        <v>0.096</v>
      </c>
      <c r="I8191" s="62" t="n">
        <v>43.62</v>
      </c>
      <c r="J8191" s="58" t="inlineStr">
        <is>
          <t>Store</t>
        </is>
      </c>
      <c r="K8191" s="62">
        <f>F8191*(G8191-H8191)</f>
        <v/>
      </c>
      <c r="L8191" s="62">
        <f>K8191-(F8191*I8191)</f>
        <v/>
      </c>
      <c r="M8191" s="64">
        <f>L8191/K8191</f>
        <v/>
      </c>
    </row>
    <row r="8192">
      <c r="A8192" s="58" t="inlineStr">
        <is>
          <t>RT20250722-08191</t>
        </is>
      </c>
      <c r="B8192" s="59" t="inlineStr">
        <is>
          <t>2025-07-22</t>
        </is>
      </c>
      <c r="C8192" s="60" t="inlineStr">
        <is>
          <t>Vertex Skincare Pro-891</t>
        </is>
      </c>
      <c r="D8192" s="58" t="inlineStr">
        <is>
          <t>Beauty</t>
        </is>
      </c>
      <c r="E8192" s="58" t="inlineStr">
        <is>
          <t>South</t>
        </is>
      </c>
      <c r="F8192" s="61" t="n">
        <v>5</v>
      </c>
      <c r="G8192" s="62" t="n">
        <v>160.24</v>
      </c>
      <c r="H8192" s="63" t="n">
        <v>0.08699999999999999</v>
      </c>
      <c r="I8192" s="62" t="n">
        <v>86.18000000000001</v>
      </c>
      <c r="J8192" s="58" t="inlineStr">
        <is>
          <t>Online</t>
        </is>
      </c>
      <c r="K8192" s="62">
        <f>F8192*(G8192-H8192)</f>
        <v/>
      </c>
      <c r="L8192" s="62">
        <f>K8192-(F8192*I8192)</f>
        <v/>
      </c>
      <c r="M8192" s="64">
        <f>L8192/K8192</f>
        <v/>
      </c>
    </row>
    <row r="8193">
      <c r="A8193" s="58" t="inlineStr">
        <is>
          <t>RT20250722-08192</t>
        </is>
      </c>
      <c r="B8193" s="59" t="inlineStr">
        <is>
          <t>2025-07-22</t>
        </is>
      </c>
      <c r="C8193" s="60" t="inlineStr">
        <is>
          <t>Aurora Haircare S-975</t>
        </is>
      </c>
      <c r="D8193" s="58" t="inlineStr">
        <is>
          <t>Beauty</t>
        </is>
      </c>
      <c r="E8193" s="58" t="inlineStr">
        <is>
          <t>West</t>
        </is>
      </c>
      <c r="F8193" s="61" t="n">
        <v>3</v>
      </c>
      <c r="G8193" s="62" t="n">
        <v>85.06</v>
      </c>
      <c r="H8193" s="63" t="n">
        <v>0.056</v>
      </c>
      <c r="I8193" s="62" t="n">
        <v>58.68</v>
      </c>
      <c r="J8193" s="58" t="inlineStr">
        <is>
          <t>Online</t>
        </is>
      </c>
      <c r="K8193" s="62">
        <f>F8193*(G8193-H8193)</f>
        <v/>
      </c>
      <c r="L8193" s="62">
        <f>K8193-(F8193*I8193)</f>
        <v/>
      </c>
      <c r="M8193" s="64">
        <f>L8193/K8193</f>
        <v/>
      </c>
    </row>
    <row r="8194">
      <c r="A8194" s="58" t="inlineStr">
        <is>
          <t>RT20250722-08193</t>
        </is>
      </c>
      <c r="B8194" s="59" t="inlineStr">
        <is>
          <t>2025-07-22</t>
        </is>
      </c>
      <c r="C8194" s="60" t="inlineStr">
        <is>
          <t>Vertex Furniture S-652</t>
        </is>
      </c>
      <c r="D8194" s="58" t="inlineStr">
        <is>
          <t>Office</t>
        </is>
      </c>
      <c r="E8194" s="58" t="inlineStr">
        <is>
          <t>East</t>
        </is>
      </c>
      <c r="F8194" s="61" t="n">
        <v>2</v>
      </c>
      <c r="G8194" s="62" t="n">
        <v>436.54</v>
      </c>
      <c r="H8194" s="63" t="n">
        <v>0.045</v>
      </c>
      <c r="I8194" s="62" t="n">
        <v>268.48</v>
      </c>
      <c r="J8194" s="58" t="inlineStr">
        <is>
          <t>Store</t>
        </is>
      </c>
      <c r="K8194" s="62">
        <f>F8194*(G8194-H8194)</f>
        <v/>
      </c>
      <c r="L8194" s="62">
        <f>K8194-(F8194*I8194)</f>
        <v/>
      </c>
      <c r="M8194" s="64">
        <f>L8194/K8194</f>
        <v/>
      </c>
    </row>
    <row r="8195">
      <c r="A8195" s="58" t="inlineStr">
        <is>
          <t>RT20250722-08194</t>
        </is>
      </c>
      <c r="B8195" s="59" t="inlineStr">
        <is>
          <t>2025-07-22</t>
        </is>
      </c>
      <c r="C8195" s="60" t="inlineStr">
        <is>
          <t>Falcon Kitchen X-130</t>
        </is>
      </c>
      <c r="D8195" s="58" t="inlineStr">
        <is>
          <t>Home</t>
        </is>
      </c>
      <c r="E8195" s="58" t="inlineStr">
        <is>
          <t>North</t>
        </is>
      </c>
      <c r="F8195" s="61" t="n">
        <v>1</v>
      </c>
      <c r="G8195" s="62" t="n">
        <v>386.36</v>
      </c>
      <c r="H8195" s="63" t="n">
        <v>0.062</v>
      </c>
      <c r="I8195" s="62" t="n">
        <v>292.88</v>
      </c>
      <c r="J8195" s="58" t="inlineStr">
        <is>
          <t>Online</t>
        </is>
      </c>
      <c r="K8195" s="62">
        <f>F8195*(G8195-H8195)</f>
        <v/>
      </c>
      <c r="L8195" s="62">
        <f>K8195-(F8195*I8195)</f>
        <v/>
      </c>
      <c r="M8195" s="64">
        <f>L8195/K8195</f>
        <v/>
      </c>
    </row>
    <row r="8196">
      <c r="A8196" s="58" t="inlineStr">
        <is>
          <t>RT20250723-08195</t>
        </is>
      </c>
      <c r="B8196" s="59" t="inlineStr">
        <is>
          <t>2025-07-23</t>
        </is>
      </c>
      <c r="C8196" s="60" t="inlineStr">
        <is>
          <t>Solace Smartphone Lite-533</t>
        </is>
      </c>
      <c r="D8196" s="58" t="inlineStr">
        <is>
          <t>Electronics</t>
        </is>
      </c>
      <c r="E8196" s="58" t="inlineStr">
        <is>
          <t>East</t>
        </is>
      </c>
      <c r="F8196" s="61" t="n">
        <v>1</v>
      </c>
      <c r="G8196" s="62" t="n">
        <v>1143.9</v>
      </c>
      <c r="H8196" s="63" t="n">
        <v>0.08699999999999999</v>
      </c>
      <c r="I8196" s="62" t="n">
        <v>935.5599999999999</v>
      </c>
      <c r="J8196" s="58" t="inlineStr">
        <is>
          <t>Store</t>
        </is>
      </c>
      <c r="K8196" s="62">
        <f>F8196*(G8196-H8196)</f>
        <v/>
      </c>
      <c r="L8196" s="62">
        <f>K8196-(F8196*I8196)</f>
        <v/>
      </c>
      <c r="M8196" s="64">
        <f>L8196/K8196</f>
        <v/>
      </c>
    </row>
    <row r="8197">
      <c r="A8197" s="58" t="inlineStr">
        <is>
          <t>RT20250723-08196</t>
        </is>
      </c>
      <c r="B8197" s="59" t="inlineStr">
        <is>
          <t>2025-07-23</t>
        </is>
      </c>
      <c r="C8197" s="60" t="inlineStr">
        <is>
          <t>Aurora Team Sport Plus-256</t>
        </is>
      </c>
      <c r="D8197" s="58" t="inlineStr">
        <is>
          <t>Sports</t>
        </is>
      </c>
      <c r="E8197" s="58" t="inlineStr">
        <is>
          <t>Central</t>
        </is>
      </c>
      <c r="F8197" s="61" t="n">
        <v>2</v>
      </c>
      <c r="G8197" s="62" t="n">
        <v>582.24</v>
      </c>
      <c r="H8197" s="63" t="n">
        <v>0.063</v>
      </c>
      <c r="I8197" s="62" t="n">
        <v>412.37</v>
      </c>
      <c r="J8197" s="58" t="inlineStr">
        <is>
          <t>Online</t>
        </is>
      </c>
      <c r="K8197" s="62">
        <f>F8197*(G8197-H8197)</f>
        <v/>
      </c>
      <c r="L8197" s="62">
        <f>K8197-(F8197*I8197)</f>
        <v/>
      </c>
      <c r="M8197" s="64">
        <f>L8197/K8197</f>
        <v/>
      </c>
    </row>
    <row r="8198">
      <c r="A8198" s="58" t="inlineStr">
        <is>
          <t>RT20250723-08197</t>
        </is>
      </c>
      <c r="B8198" s="59" t="inlineStr">
        <is>
          <t>2025-07-23</t>
        </is>
      </c>
      <c r="C8198" s="60" t="inlineStr">
        <is>
          <t>Aurora Appliance Lite-109</t>
        </is>
      </c>
      <c r="D8198" s="58" t="inlineStr">
        <is>
          <t>Home</t>
        </is>
      </c>
      <c r="E8198" s="58" t="inlineStr">
        <is>
          <t>Central</t>
        </is>
      </c>
      <c r="F8198" s="61" t="n">
        <v>1</v>
      </c>
      <c r="G8198" s="62" t="n">
        <v>299.73</v>
      </c>
      <c r="H8198" s="63" t="n">
        <v>0.012</v>
      </c>
      <c r="I8198" s="62" t="n">
        <v>201.51</v>
      </c>
      <c r="J8198" s="58" t="inlineStr">
        <is>
          <t>Online</t>
        </is>
      </c>
      <c r="K8198" s="62">
        <f>F8198*(G8198-H8198)</f>
        <v/>
      </c>
      <c r="L8198" s="62">
        <f>K8198-(F8198*I8198)</f>
        <v/>
      </c>
      <c r="M8198" s="64">
        <f>L8198/K8198</f>
        <v/>
      </c>
    </row>
    <row r="8199">
      <c r="A8199" s="58" t="inlineStr">
        <is>
          <t>RT20250723-08198</t>
        </is>
      </c>
      <c r="B8199" s="59" t="inlineStr">
        <is>
          <t>2025-07-23</t>
        </is>
      </c>
      <c r="C8199" s="60" t="inlineStr">
        <is>
          <t>Vertex Supplie X-513</t>
        </is>
      </c>
      <c r="D8199" s="58" t="inlineStr">
        <is>
          <t>Office</t>
        </is>
      </c>
      <c r="E8199" s="58" t="inlineStr">
        <is>
          <t>South</t>
        </is>
      </c>
      <c r="F8199" s="61" t="n">
        <v>1</v>
      </c>
      <c r="G8199" s="62" t="n">
        <v>379.32</v>
      </c>
      <c r="H8199" s="63" t="n">
        <v>0.079</v>
      </c>
      <c r="I8199" s="62" t="n">
        <v>272.32</v>
      </c>
      <c r="J8199" s="58" t="inlineStr">
        <is>
          <t>Online</t>
        </is>
      </c>
      <c r="K8199" s="62">
        <f>F8199*(G8199-H8199)</f>
        <v/>
      </c>
      <c r="L8199" s="62">
        <f>K8199-(F8199*I8199)</f>
        <v/>
      </c>
      <c r="M8199" s="64">
        <f>L8199/K8199</f>
        <v/>
      </c>
    </row>
    <row r="8200">
      <c r="A8200" s="58" t="inlineStr">
        <is>
          <t>RT20250723-08199</t>
        </is>
      </c>
      <c r="B8200" s="59" t="inlineStr">
        <is>
          <t>2025-07-23</t>
        </is>
      </c>
      <c r="C8200" s="60" t="inlineStr">
        <is>
          <t>Vertex Skincare Pro-891</t>
        </is>
      </c>
      <c r="D8200" s="58" t="inlineStr">
        <is>
          <t>Beauty</t>
        </is>
      </c>
      <c r="E8200" s="58" t="inlineStr">
        <is>
          <t>South</t>
        </is>
      </c>
      <c r="F8200" s="61" t="n">
        <v>1</v>
      </c>
      <c r="G8200" s="62" t="n">
        <v>156.6</v>
      </c>
      <c r="H8200" s="63" t="n">
        <v>0.052</v>
      </c>
      <c r="I8200" s="62" t="n">
        <v>87.78</v>
      </c>
      <c r="J8200" s="58" t="inlineStr">
        <is>
          <t>Store</t>
        </is>
      </c>
      <c r="K8200" s="62">
        <f>F8200*(G8200-H8200)</f>
        <v/>
      </c>
      <c r="L8200" s="62">
        <f>K8200-(F8200*I8200)</f>
        <v/>
      </c>
      <c r="M8200" s="64">
        <f>L8200/K8200</f>
        <v/>
      </c>
    </row>
    <row r="8201">
      <c r="A8201" s="58" t="inlineStr">
        <is>
          <t>RT20250723-08200</t>
        </is>
      </c>
      <c r="B8201" s="59" t="inlineStr">
        <is>
          <t>2025-07-23</t>
        </is>
      </c>
      <c r="C8201" s="60" t="inlineStr">
        <is>
          <t>Solace Snack S-691</t>
        </is>
      </c>
      <c r="D8201" s="58" t="inlineStr">
        <is>
          <t>Grocery</t>
        </is>
      </c>
      <c r="E8201" s="58" t="inlineStr">
        <is>
          <t>West</t>
        </is>
      </c>
      <c r="F8201" s="61" t="n">
        <v>8</v>
      </c>
      <c r="G8201" s="62" t="n">
        <v>8.73</v>
      </c>
      <c r="H8201" s="63" t="n">
        <v>0.096</v>
      </c>
      <c r="I8201" s="62" t="n">
        <v>7.03</v>
      </c>
      <c r="J8201" s="58" t="inlineStr">
        <is>
          <t>Online</t>
        </is>
      </c>
      <c r="K8201" s="62">
        <f>F8201*(G8201-H8201)</f>
        <v/>
      </c>
      <c r="L8201" s="62">
        <f>K8201-(F8201*I8201)</f>
        <v/>
      </c>
      <c r="M8201" s="64">
        <f>L8201/K8201</f>
        <v/>
      </c>
    </row>
    <row r="8202">
      <c r="A8202" s="58" t="inlineStr">
        <is>
          <t>RT20250723-08201</t>
        </is>
      </c>
      <c r="B8202" s="59" t="inlineStr">
        <is>
          <t>2025-07-23</t>
        </is>
      </c>
      <c r="C8202" s="60" t="inlineStr">
        <is>
          <t>Falcon Household Pro-865</t>
        </is>
      </c>
      <c r="D8202" s="58" t="inlineStr">
        <is>
          <t>Grocery</t>
        </is>
      </c>
      <c r="E8202" s="58" t="inlineStr">
        <is>
          <t>North</t>
        </is>
      </c>
      <c r="F8202" s="61" t="n">
        <v>7</v>
      </c>
      <c r="G8202" s="62" t="n">
        <v>10.57</v>
      </c>
      <c r="H8202" s="63" t="n">
        <v>0.096</v>
      </c>
      <c r="I8202" s="62" t="n">
        <v>7.73</v>
      </c>
      <c r="J8202" s="58" t="inlineStr">
        <is>
          <t>Store</t>
        </is>
      </c>
      <c r="K8202" s="62">
        <f>F8202*(G8202-H8202)</f>
        <v/>
      </c>
      <c r="L8202" s="62">
        <f>K8202-(F8202*I8202)</f>
        <v/>
      </c>
      <c r="M8202" s="64">
        <f>L8202/K8202</f>
        <v/>
      </c>
    </row>
    <row r="8203">
      <c r="A8203" s="58" t="inlineStr">
        <is>
          <t>RT20250723-08202</t>
        </is>
      </c>
      <c r="B8203" s="59" t="inlineStr">
        <is>
          <t>2025-07-23</t>
        </is>
      </c>
      <c r="C8203" s="60" t="inlineStr">
        <is>
          <t>Nimbus Women Lite-814</t>
        </is>
      </c>
      <c r="D8203" s="58" t="inlineStr">
        <is>
          <t>Apparel</t>
        </is>
      </c>
      <c r="E8203" s="58" t="inlineStr">
        <is>
          <t>West</t>
        </is>
      </c>
      <c r="F8203" s="61" t="n">
        <v>1</v>
      </c>
      <c r="G8203" s="62" t="n">
        <v>163.93</v>
      </c>
      <c r="H8203" s="63" t="n">
        <v>0.001</v>
      </c>
      <c r="I8203" s="62" t="n">
        <v>80.52</v>
      </c>
      <c r="J8203" s="58" t="inlineStr">
        <is>
          <t>Store</t>
        </is>
      </c>
      <c r="K8203" s="62">
        <f>F8203*(G8203-H8203)</f>
        <v/>
      </c>
      <c r="L8203" s="62">
        <f>K8203-(F8203*I8203)</f>
        <v/>
      </c>
      <c r="M8203" s="64">
        <f>L8203/K8203</f>
        <v/>
      </c>
    </row>
    <row r="8204">
      <c r="A8204" s="58" t="inlineStr">
        <is>
          <t>RT20250723-08203</t>
        </is>
      </c>
      <c r="B8204" s="59" t="inlineStr">
        <is>
          <t>2025-07-23</t>
        </is>
      </c>
      <c r="C8204" s="60" t="inlineStr">
        <is>
          <t>Metro Outdoor Plus-787</t>
        </is>
      </c>
      <c r="D8204" s="58" t="inlineStr">
        <is>
          <t>Sports</t>
        </is>
      </c>
      <c r="E8204" s="58" t="inlineStr">
        <is>
          <t>West</t>
        </is>
      </c>
      <c r="F8204" s="61" t="n">
        <v>2</v>
      </c>
      <c r="G8204" s="62" t="n">
        <v>507.76</v>
      </c>
      <c r="H8204" s="63" t="n">
        <v>0.09</v>
      </c>
      <c r="I8204" s="62" t="n">
        <v>355.56</v>
      </c>
      <c r="J8204" s="58" t="inlineStr">
        <is>
          <t>Online</t>
        </is>
      </c>
      <c r="K8204" s="62">
        <f>F8204*(G8204-H8204)</f>
        <v/>
      </c>
      <c r="L8204" s="62">
        <f>K8204-(F8204*I8204)</f>
        <v/>
      </c>
      <c r="M8204" s="64">
        <f>L8204/K8204</f>
        <v/>
      </c>
    </row>
    <row r="8205">
      <c r="A8205" s="58" t="inlineStr">
        <is>
          <t>RT20250723-08204</t>
        </is>
      </c>
      <c r="B8205" s="59" t="inlineStr">
        <is>
          <t>2025-07-23</t>
        </is>
      </c>
      <c r="C8205" s="60" t="inlineStr">
        <is>
          <t>Vertex Appliance Max-338</t>
        </is>
      </c>
      <c r="D8205" s="58" t="inlineStr">
        <is>
          <t>Home</t>
        </is>
      </c>
      <c r="E8205" s="58" t="inlineStr">
        <is>
          <t>South</t>
        </is>
      </c>
      <c r="F8205" s="61" t="n">
        <v>2</v>
      </c>
      <c r="G8205" s="62" t="n">
        <v>417.1</v>
      </c>
      <c r="H8205" s="63" t="n">
        <v>0.025</v>
      </c>
      <c r="I8205" s="62" t="n">
        <v>284.15</v>
      </c>
      <c r="J8205" s="58" t="inlineStr">
        <is>
          <t>Phone</t>
        </is>
      </c>
      <c r="K8205" s="62">
        <f>F8205*(G8205-H8205)</f>
        <v/>
      </c>
      <c r="L8205" s="62">
        <f>K8205-(F8205*I8205)</f>
        <v/>
      </c>
      <c r="M8205" s="64">
        <f>L8205/K8205</f>
        <v/>
      </c>
    </row>
    <row r="8206">
      <c r="A8206" s="58" t="inlineStr">
        <is>
          <t>RT20250723-08205</t>
        </is>
      </c>
      <c r="B8206" s="59" t="inlineStr">
        <is>
          <t>2025-07-23</t>
        </is>
      </c>
      <c r="C8206" s="60" t="inlineStr">
        <is>
          <t>Orion Fragrance Lite-785</t>
        </is>
      </c>
      <c r="D8206" s="58" t="inlineStr">
        <is>
          <t>Beauty</t>
        </is>
      </c>
      <c r="E8206" s="58" t="inlineStr">
        <is>
          <t>West</t>
        </is>
      </c>
      <c r="F8206" s="61" t="n">
        <v>5</v>
      </c>
      <c r="G8206" s="62" t="n">
        <v>47.41</v>
      </c>
      <c r="H8206" s="63" t="n">
        <v>0.092</v>
      </c>
      <c r="I8206" s="62" t="n">
        <v>27.22</v>
      </c>
      <c r="J8206" s="58" t="inlineStr">
        <is>
          <t>Store</t>
        </is>
      </c>
      <c r="K8206" s="62">
        <f>F8206*(G8206-H8206)</f>
        <v/>
      </c>
      <c r="L8206" s="62">
        <f>K8206-(F8206*I8206)</f>
        <v/>
      </c>
      <c r="M8206" s="64">
        <f>L8206/K8206</f>
        <v/>
      </c>
    </row>
    <row r="8207">
      <c r="A8207" s="58" t="inlineStr">
        <is>
          <t>RT20250723-08206</t>
        </is>
      </c>
      <c r="B8207" s="59" t="inlineStr">
        <is>
          <t>2025-07-23</t>
        </is>
      </c>
      <c r="C8207" s="60" t="inlineStr">
        <is>
          <t>Vertex Supplie Pro-786</t>
        </is>
      </c>
      <c r="D8207" s="58" t="inlineStr">
        <is>
          <t>Office</t>
        </is>
      </c>
      <c r="E8207" s="58" t="inlineStr">
        <is>
          <t>West</t>
        </is>
      </c>
      <c r="F8207" s="61" t="n">
        <v>3</v>
      </c>
      <c r="G8207" s="62" t="n">
        <v>430.38</v>
      </c>
      <c r="H8207" s="63" t="n">
        <v>0.058</v>
      </c>
      <c r="I8207" s="62" t="n">
        <v>303.05</v>
      </c>
      <c r="J8207" s="58" t="inlineStr">
        <is>
          <t>Store</t>
        </is>
      </c>
      <c r="K8207" s="62">
        <f>F8207*(G8207-H8207)</f>
        <v/>
      </c>
      <c r="L8207" s="62">
        <f>K8207-(F8207*I8207)</f>
        <v/>
      </c>
      <c r="M8207" s="64">
        <f>L8207/K8207</f>
        <v/>
      </c>
    </row>
    <row r="8208">
      <c r="A8208" s="58" t="inlineStr">
        <is>
          <t>RT20250723-08207</t>
        </is>
      </c>
      <c r="B8208" s="59" t="inlineStr">
        <is>
          <t>2025-07-23</t>
        </is>
      </c>
      <c r="C8208" s="60" t="inlineStr">
        <is>
          <t>Aurora Bedding Max-175</t>
        </is>
      </c>
      <c r="D8208" s="58" t="inlineStr">
        <is>
          <t>Home</t>
        </is>
      </c>
      <c r="E8208" s="58" t="inlineStr">
        <is>
          <t>East</t>
        </is>
      </c>
      <c r="F8208" s="61" t="n">
        <v>3</v>
      </c>
      <c r="G8208" s="62" t="n">
        <v>650.4400000000001</v>
      </c>
      <c r="H8208" s="63" t="n">
        <v>0.042</v>
      </c>
      <c r="I8208" s="62" t="n">
        <v>410.2</v>
      </c>
      <c r="J8208" s="58" t="inlineStr">
        <is>
          <t>Store</t>
        </is>
      </c>
      <c r="K8208" s="62">
        <f>F8208*(G8208-H8208)</f>
        <v/>
      </c>
      <c r="L8208" s="62">
        <f>K8208-(F8208*I8208)</f>
        <v/>
      </c>
      <c r="M8208" s="64">
        <f>L8208/K8208</f>
        <v/>
      </c>
    </row>
    <row r="8209">
      <c r="A8209" s="58" t="inlineStr">
        <is>
          <t>RT20250723-08208</t>
        </is>
      </c>
      <c r="B8209" s="59" t="inlineStr">
        <is>
          <t>2025-07-23</t>
        </is>
      </c>
      <c r="C8209" s="60" t="inlineStr">
        <is>
          <t>Falcon Haircare Pro-980</t>
        </is>
      </c>
      <c r="D8209" s="58" t="inlineStr">
        <is>
          <t>Beauty</t>
        </is>
      </c>
      <c r="E8209" s="58" t="inlineStr">
        <is>
          <t>East</t>
        </is>
      </c>
      <c r="F8209" s="61" t="n">
        <v>2</v>
      </c>
      <c r="G8209" s="62" t="n">
        <v>92.59</v>
      </c>
      <c r="H8209" s="63" t="n">
        <v>0.06900000000000001</v>
      </c>
      <c r="I8209" s="62" t="n">
        <v>57.4</v>
      </c>
      <c r="J8209" s="58" t="inlineStr">
        <is>
          <t>Online</t>
        </is>
      </c>
      <c r="K8209" s="62">
        <f>F8209*(G8209-H8209)</f>
        <v/>
      </c>
      <c r="L8209" s="62">
        <f>K8209-(F8209*I8209)</f>
        <v/>
      </c>
      <c r="M8209" s="64">
        <f>L8209/K8209</f>
        <v/>
      </c>
    </row>
    <row r="8210">
      <c r="A8210" s="58" t="inlineStr">
        <is>
          <t>RT20250723-08209</t>
        </is>
      </c>
      <c r="B8210" s="59" t="inlineStr">
        <is>
          <t>2025-07-23</t>
        </is>
      </c>
      <c r="C8210" s="60" t="inlineStr">
        <is>
          <t>Aurora Printer Plus-991</t>
        </is>
      </c>
      <c r="D8210" s="58" t="inlineStr">
        <is>
          <t>Office</t>
        </is>
      </c>
      <c r="E8210" s="58" t="inlineStr">
        <is>
          <t>Central</t>
        </is>
      </c>
      <c r="F8210" s="61" t="n">
        <v>2</v>
      </c>
      <c r="G8210" s="62" t="n">
        <v>595.4299999999999</v>
      </c>
      <c r="H8210" s="63" t="n">
        <v>0.052</v>
      </c>
      <c r="I8210" s="62" t="n">
        <v>370.45</v>
      </c>
      <c r="J8210" s="58" t="inlineStr">
        <is>
          <t>Online</t>
        </is>
      </c>
      <c r="K8210" s="62">
        <f>F8210*(G8210-H8210)</f>
        <v/>
      </c>
      <c r="L8210" s="62">
        <f>K8210-(F8210*I8210)</f>
        <v/>
      </c>
      <c r="M8210" s="64">
        <f>L8210/K8210</f>
        <v/>
      </c>
    </row>
    <row r="8211">
      <c r="A8211" s="58" t="inlineStr">
        <is>
          <t>RT20250723-08210</t>
        </is>
      </c>
      <c r="B8211" s="59" t="inlineStr">
        <is>
          <t>2025-07-23</t>
        </is>
      </c>
      <c r="C8211" s="60" t="inlineStr">
        <is>
          <t>Falcon Household Pro-865</t>
        </is>
      </c>
      <c r="D8211" s="58" t="inlineStr">
        <is>
          <t>Grocery</t>
        </is>
      </c>
      <c r="E8211" s="58" t="inlineStr">
        <is>
          <t>West</t>
        </is>
      </c>
      <c r="F8211" s="61" t="n">
        <v>8</v>
      </c>
      <c r="G8211" s="62" t="n">
        <v>11.52</v>
      </c>
      <c r="H8211" s="63" t="n">
        <v>0.076</v>
      </c>
      <c r="I8211" s="62" t="n">
        <v>7.58</v>
      </c>
      <c r="J8211" s="58" t="inlineStr">
        <is>
          <t>Online</t>
        </is>
      </c>
      <c r="K8211" s="62">
        <f>F8211*(G8211-H8211)</f>
        <v/>
      </c>
      <c r="L8211" s="62">
        <f>K8211-(F8211*I8211)</f>
        <v/>
      </c>
      <c r="M8211" s="64">
        <f>L8211/K8211</f>
        <v/>
      </c>
    </row>
    <row r="8212">
      <c r="A8212" s="58" t="inlineStr">
        <is>
          <t>RT20250723-08211</t>
        </is>
      </c>
      <c r="B8212" s="59" t="inlineStr">
        <is>
          <t>2025-07-23</t>
        </is>
      </c>
      <c r="C8212" s="60" t="inlineStr">
        <is>
          <t>Nimbus Fitnes Lite-516</t>
        </is>
      </c>
      <c r="D8212" s="58" t="inlineStr">
        <is>
          <t>Sports</t>
        </is>
      </c>
      <c r="E8212" s="58" t="inlineStr">
        <is>
          <t>North</t>
        </is>
      </c>
      <c r="F8212" s="61" t="n">
        <v>2</v>
      </c>
      <c r="G8212" s="62" t="n">
        <v>701.38</v>
      </c>
      <c r="H8212" s="63" t="n">
        <v>0.051</v>
      </c>
      <c r="I8212" s="62" t="n">
        <v>471.57</v>
      </c>
      <c r="J8212" s="58" t="inlineStr">
        <is>
          <t>Online</t>
        </is>
      </c>
      <c r="K8212" s="62">
        <f>F8212*(G8212-H8212)</f>
        <v/>
      </c>
      <c r="L8212" s="62">
        <f>K8212-(F8212*I8212)</f>
        <v/>
      </c>
      <c r="M8212" s="64">
        <f>L8212/K8212</f>
        <v/>
      </c>
    </row>
    <row r="8213">
      <c r="A8213" s="58" t="inlineStr">
        <is>
          <t>RT20250723-08212</t>
        </is>
      </c>
      <c r="B8213" s="59" t="inlineStr">
        <is>
          <t>2025-07-23</t>
        </is>
      </c>
      <c r="C8213" s="60" t="inlineStr">
        <is>
          <t>Aurora Smartphone Plus-125</t>
        </is>
      </c>
      <c r="D8213" s="58" t="inlineStr">
        <is>
          <t>Electronics</t>
        </is>
      </c>
      <c r="E8213" s="58" t="inlineStr">
        <is>
          <t>South</t>
        </is>
      </c>
      <c r="F8213" s="61" t="n">
        <v>1</v>
      </c>
      <c r="G8213" s="62" t="n">
        <v>1657.32</v>
      </c>
      <c r="H8213" s="63" t="n">
        <v>0.065</v>
      </c>
      <c r="I8213" s="62" t="n">
        <v>1227.64</v>
      </c>
      <c r="J8213" s="58" t="inlineStr">
        <is>
          <t>Store</t>
        </is>
      </c>
      <c r="K8213" s="62">
        <f>F8213*(G8213-H8213)</f>
        <v/>
      </c>
      <c r="L8213" s="62">
        <f>K8213-(F8213*I8213)</f>
        <v/>
      </c>
      <c r="M8213" s="64">
        <f>L8213/K8213</f>
        <v/>
      </c>
    </row>
    <row r="8214">
      <c r="A8214" s="58" t="inlineStr">
        <is>
          <t>RT20250723-08213</t>
        </is>
      </c>
      <c r="B8214" s="59" t="inlineStr">
        <is>
          <t>2025-07-23</t>
        </is>
      </c>
      <c r="C8214" s="60" t="inlineStr">
        <is>
          <t>Nimbus Furniture Pro-479</t>
        </is>
      </c>
      <c r="D8214" s="58" t="inlineStr">
        <is>
          <t>Office</t>
        </is>
      </c>
      <c r="E8214" s="58" t="inlineStr">
        <is>
          <t>South</t>
        </is>
      </c>
      <c r="F8214" s="61" t="n">
        <v>2</v>
      </c>
      <c r="G8214" s="62" t="n">
        <v>320.54</v>
      </c>
      <c r="H8214" s="63" t="n">
        <v>0.07199999999999999</v>
      </c>
      <c r="I8214" s="62" t="n">
        <v>235.51</v>
      </c>
      <c r="J8214" s="58" t="inlineStr">
        <is>
          <t>Online</t>
        </is>
      </c>
      <c r="K8214" s="62">
        <f>F8214*(G8214-H8214)</f>
        <v/>
      </c>
      <c r="L8214" s="62">
        <f>K8214-(F8214*I8214)</f>
        <v/>
      </c>
      <c r="M8214" s="64">
        <f>L8214/K8214</f>
        <v/>
      </c>
    </row>
    <row r="8215">
      <c r="A8215" s="58" t="inlineStr">
        <is>
          <t>RT20250723-08214</t>
        </is>
      </c>
      <c r="B8215" s="59" t="inlineStr">
        <is>
          <t>2025-07-23</t>
        </is>
      </c>
      <c r="C8215" s="60" t="inlineStr">
        <is>
          <t>Aurora Household Plus-146</t>
        </is>
      </c>
      <c r="D8215" s="58" t="inlineStr">
        <is>
          <t>Grocery</t>
        </is>
      </c>
      <c r="E8215" s="58" t="inlineStr">
        <is>
          <t>South</t>
        </is>
      </c>
      <c r="F8215" s="61" t="n">
        <v>4</v>
      </c>
      <c r="G8215" s="62" t="n">
        <v>5.87</v>
      </c>
      <c r="H8215" s="63" t="n">
        <v>0.045</v>
      </c>
      <c r="I8215" s="62" t="n">
        <v>4.65</v>
      </c>
      <c r="J8215" s="58" t="inlineStr">
        <is>
          <t>Online</t>
        </is>
      </c>
      <c r="K8215" s="62">
        <f>F8215*(G8215-H8215)</f>
        <v/>
      </c>
      <c r="L8215" s="62">
        <f>K8215-(F8215*I8215)</f>
        <v/>
      </c>
      <c r="M8215" s="64">
        <f>L8215/K8215</f>
        <v/>
      </c>
    </row>
    <row r="8216">
      <c r="A8216" s="58" t="inlineStr">
        <is>
          <t>RT20250723-08215</t>
        </is>
      </c>
      <c r="B8216" s="59" t="inlineStr">
        <is>
          <t>2025-07-23</t>
        </is>
      </c>
      <c r="C8216" s="60" t="inlineStr">
        <is>
          <t>Falcon Cycling Pro-499</t>
        </is>
      </c>
      <c r="D8216" s="58" t="inlineStr">
        <is>
          <t>Sports</t>
        </is>
      </c>
      <c r="E8216" s="58" t="inlineStr">
        <is>
          <t>West</t>
        </is>
      </c>
      <c r="F8216" s="61" t="n">
        <v>3</v>
      </c>
      <c r="G8216" s="62" t="n">
        <v>554.48</v>
      </c>
      <c r="H8216" s="63" t="n">
        <v>0</v>
      </c>
      <c r="I8216" s="62" t="n">
        <v>412.5</v>
      </c>
      <c r="J8216" s="58" t="inlineStr">
        <is>
          <t>Online</t>
        </is>
      </c>
      <c r="K8216" s="62">
        <f>F8216*(G8216-H8216)</f>
        <v/>
      </c>
      <c r="L8216" s="62">
        <f>K8216-(F8216*I8216)</f>
        <v/>
      </c>
      <c r="M8216" s="64">
        <f>L8216/K8216</f>
        <v/>
      </c>
    </row>
    <row r="8217">
      <c r="A8217" s="58" t="inlineStr">
        <is>
          <t>RT20250723-08216</t>
        </is>
      </c>
      <c r="B8217" s="59" t="inlineStr">
        <is>
          <t>2025-07-23</t>
        </is>
      </c>
      <c r="C8217" s="60" t="inlineStr">
        <is>
          <t>Solace Kitchen Pro-999</t>
        </is>
      </c>
      <c r="D8217" s="58" t="inlineStr">
        <is>
          <t>Home</t>
        </is>
      </c>
      <c r="E8217" s="58" t="inlineStr">
        <is>
          <t>North</t>
        </is>
      </c>
      <c r="F8217" s="61" t="n">
        <v>1</v>
      </c>
      <c r="G8217" s="62" t="n">
        <v>414.31</v>
      </c>
      <c r="H8217" s="63" t="n">
        <v>0.053</v>
      </c>
      <c r="I8217" s="62" t="n">
        <v>267.33</v>
      </c>
      <c r="J8217" s="58" t="inlineStr">
        <is>
          <t>Store</t>
        </is>
      </c>
      <c r="K8217" s="62">
        <f>F8217*(G8217-H8217)</f>
        <v/>
      </c>
      <c r="L8217" s="62">
        <f>K8217-(F8217*I8217)</f>
        <v/>
      </c>
      <c r="M8217" s="64">
        <f>L8217/K8217</f>
        <v/>
      </c>
    </row>
    <row r="8218">
      <c r="A8218" s="58" t="inlineStr">
        <is>
          <t>RT20250723-08217</t>
        </is>
      </c>
      <c r="B8218" s="59" t="inlineStr">
        <is>
          <t>2025-07-23</t>
        </is>
      </c>
      <c r="C8218" s="60" t="inlineStr">
        <is>
          <t>Vertex Smartphone Pro-256</t>
        </is>
      </c>
      <c r="D8218" s="58" t="inlineStr">
        <is>
          <t>Electronics</t>
        </is>
      </c>
      <c r="E8218" s="58" t="inlineStr">
        <is>
          <t>North</t>
        </is>
      </c>
      <c r="F8218" s="61" t="n">
        <v>1</v>
      </c>
      <c r="G8218" s="62" t="n">
        <v>1099.75</v>
      </c>
      <c r="H8218" s="63" t="n">
        <v>0.066</v>
      </c>
      <c r="I8218" s="62" t="n">
        <v>909.29</v>
      </c>
      <c r="J8218" s="58" t="inlineStr">
        <is>
          <t>Online</t>
        </is>
      </c>
      <c r="K8218" s="62">
        <f>F8218*(G8218-H8218)</f>
        <v/>
      </c>
      <c r="L8218" s="62">
        <f>K8218-(F8218*I8218)</f>
        <v/>
      </c>
      <c r="M8218" s="64">
        <f>L8218/K8218</f>
        <v/>
      </c>
    </row>
    <row r="8219">
      <c r="A8219" s="58" t="inlineStr">
        <is>
          <t>RT20250724-08218</t>
        </is>
      </c>
      <c r="B8219" s="59" t="inlineStr">
        <is>
          <t>2025-07-24</t>
        </is>
      </c>
      <c r="C8219" s="60" t="inlineStr">
        <is>
          <t>Vertex Men X-995</t>
        </is>
      </c>
      <c r="D8219" s="58" t="inlineStr">
        <is>
          <t>Apparel</t>
        </is>
      </c>
      <c r="E8219" s="58" t="inlineStr">
        <is>
          <t>West</t>
        </is>
      </c>
      <c r="F8219" s="61" t="n">
        <v>2</v>
      </c>
      <c r="G8219" s="62" t="n">
        <v>113.01</v>
      </c>
      <c r="H8219" s="63" t="n">
        <v>0.112</v>
      </c>
      <c r="I8219" s="62" t="n">
        <v>56.33</v>
      </c>
      <c r="J8219" s="58" t="inlineStr">
        <is>
          <t>Online</t>
        </is>
      </c>
      <c r="K8219" s="62">
        <f>F8219*(G8219-H8219)</f>
        <v/>
      </c>
      <c r="L8219" s="62">
        <f>K8219-(F8219*I8219)</f>
        <v/>
      </c>
      <c r="M8219" s="64">
        <f>L8219/K8219</f>
        <v/>
      </c>
    </row>
    <row r="8220">
      <c r="A8220" s="58" t="inlineStr">
        <is>
          <t>RT20250724-08219</t>
        </is>
      </c>
      <c r="B8220" s="59" t="inlineStr">
        <is>
          <t>2025-07-24</t>
        </is>
      </c>
      <c r="C8220" s="60" t="inlineStr">
        <is>
          <t>Aurora Wearable Lite-162</t>
        </is>
      </c>
      <c r="D8220" s="58" t="inlineStr">
        <is>
          <t>Electronics</t>
        </is>
      </c>
      <c r="E8220" s="58" t="inlineStr">
        <is>
          <t>South</t>
        </is>
      </c>
      <c r="F8220" s="61" t="n">
        <v>2</v>
      </c>
      <c r="G8220" s="62" t="n">
        <v>1561.68</v>
      </c>
      <c r="H8220" s="63" t="n">
        <v>0.048</v>
      </c>
      <c r="I8220" s="62" t="n">
        <v>1169.93</v>
      </c>
      <c r="J8220" s="58" t="inlineStr">
        <is>
          <t>Online</t>
        </is>
      </c>
      <c r="K8220" s="62">
        <f>F8220*(G8220-H8220)</f>
        <v/>
      </c>
      <c r="L8220" s="62">
        <f>K8220-(F8220*I8220)</f>
        <v/>
      </c>
      <c r="M8220" s="64">
        <f>L8220/K8220</f>
        <v/>
      </c>
    </row>
    <row r="8221">
      <c r="A8221" s="58" t="inlineStr">
        <is>
          <t>RT20250724-08220</t>
        </is>
      </c>
      <c r="B8221" s="59" t="inlineStr">
        <is>
          <t>2025-07-24</t>
        </is>
      </c>
      <c r="C8221" s="60" t="inlineStr">
        <is>
          <t>Polar Outdoor Lite-318</t>
        </is>
      </c>
      <c r="D8221" s="58" t="inlineStr">
        <is>
          <t>Sports</t>
        </is>
      </c>
      <c r="E8221" s="58" t="inlineStr">
        <is>
          <t>Central</t>
        </is>
      </c>
      <c r="F8221" s="61" t="n">
        <v>3</v>
      </c>
      <c r="G8221" s="62" t="n">
        <v>718.59</v>
      </c>
      <c r="H8221" s="63" t="n">
        <v>0.068</v>
      </c>
      <c r="I8221" s="62" t="n">
        <v>460.34</v>
      </c>
      <c r="J8221" s="58" t="inlineStr">
        <is>
          <t>Store</t>
        </is>
      </c>
      <c r="K8221" s="62">
        <f>F8221*(G8221-H8221)</f>
        <v/>
      </c>
      <c r="L8221" s="62">
        <f>K8221-(F8221*I8221)</f>
        <v/>
      </c>
      <c r="M8221" s="64">
        <f>L8221/K8221</f>
        <v/>
      </c>
    </row>
    <row r="8222">
      <c r="A8222" s="58" t="inlineStr">
        <is>
          <t>RT20250724-08221</t>
        </is>
      </c>
      <c r="B8222" s="59" t="inlineStr">
        <is>
          <t>2025-07-24</t>
        </is>
      </c>
      <c r="C8222" s="60" t="inlineStr">
        <is>
          <t>Metro Pantry X-710</t>
        </is>
      </c>
      <c r="D8222" s="58" t="inlineStr">
        <is>
          <t>Grocery</t>
        </is>
      </c>
      <c r="E8222" s="58" t="inlineStr">
        <is>
          <t>East</t>
        </is>
      </c>
      <c r="F8222" s="61" t="n">
        <v>3</v>
      </c>
      <c r="G8222" s="62" t="n">
        <v>4.73</v>
      </c>
      <c r="H8222" s="63" t="n">
        <v>0.029</v>
      </c>
      <c r="I8222" s="62" t="n">
        <v>4.16</v>
      </c>
      <c r="J8222" s="58" t="inlineStr">
        <is>
          <t>Online</t>
        </is>
      </c>
      <c r="K8222" s="62">
        <f>F8222*(G8222-H8222)</f>
        <v/>
      </c>
      <c r="L8222" s="62">
        <f>K8222-(F8222*I8222)</f>
        <v/>
      </c>
      <c r="M8222" s="64">
        <f>L8222/K8222</f>
        <v/>
      </c>
    </row>
    <row r="8223">
      <c r="A8223" s="58" t="inlineStr">
        <is>
          <t>RT20250724-08222</t>
        </is>
      </c>
      <c r="B8223" s="59" t="inlineStr">
        <is>
          <t>2025-07-24</t>
        </is>
      </c>
      <c r="C8223" s="60" t="inlineStr">
        <is>
          <t>Solace Kitchen Pro-999</t>
        </is>
      </c>
      <c r="D8223" s="58" t="inlineStr">
        <is>
          <t>Home</t>
        </is>
      </c>
      <c r="E8223" s="58" t="inlineStr">
        <is>
          <t>South</t>
        </is>
      </c>
      <c r="F8223" s="61" t="n">
        <v>3</v>
      </c>
      <c r="G8223" s="62" t="n">
        <v>402.71</v>
      </c>
      <c r="H8223" s="63" t="n">
        <v>0.008999999999999999</v>
      </c>
      <c r="I8223" s="62" t="n">
        <v>261.2</v>
      </c>
      <c r="J8223" s="58" t="inlineStr">
        <is>
          <t>Store</t>
        </is>
      </c>
      <c r="K8223" s="62">
        <f>F8223*(G8223-H8223)</f>
        <v/>
      </c>
      <c r="L8223" s="62">
        <f>K8223-(F8223*I8223)</f>
        <v/>
      </c>
      <c r="M8223" s="64">
        <f>L8223/K8223</f>
        <v/>
      </c>
    </row>
    <row r="8224">
      <c r="A8224" s="58" t="inlineStr">
        <is>
          <t>RT20250724-08223</t>
        </is>
      </c>
      <c r="B8224" s="59" t="inlineStr">
        <is>
          <t>2025-07-24</t>
        </is>
      </c>
      <c r="C8224" s="60" t="inlineStr">
        <is>
          <t>Falcon Skincare Max-151</t>
        </is>
      </c>
      <c r="D8224" s="58" t="inlineStr">
        <is>
          <t>Beauty</t>
        </is>
      </c>
      <c r="E8224" s="58" t="inlineStr">
        <is>
          <t>West</t>
        </is>
      </c>
      <c r="F8224" s="61" t="n">
        <v>2</v>
      </c>
      <c r="G8224" s="62" t="n">
        <v>101.06</v>
      </c>
      <c r="H8224" s="63" t="n">
        <v>0.057</v>
      </c>
      <c r="I8224" s="62" t="n">
        <v>60.98</v>
      </c>
      <c r="J8224" s="58" t="inlineStr">
        <is>
          <t>Online</t>
        </is>
      </c>
      <c r="K8224" s="62">
        <f>F8224*(G8224-H8224)</f>
        <v/>
      </c>
      <c r="L8224" s="62">
        <f>K8224-(F8224*I8224)</f>
        <v/>
      </c>
      <c r="M8224" s="64">
        <f>L8224/K8224</f>
        <v/>
      </c>
    </row>
    <row r="8225">
      <c r="A8225" s="58" t="inlineStr">
        <is>
          <t>RT20250724-08224</t>
        </is>
      </c>
      <c r="B8225" s="59" t="inlineStr">
        <is>
          <t>2025-07-24</t>
        </is>
      </c>
      <c r="C8225" s="60" t="inlineStr">
        <is>
          <t>Polar Cycling S-223</t>
        </is>
      </c>
      <c r="D8225" s="58" t="inlineStr">
        <is>
          <t>Sports</t>
        </is>
      </c>
      <c r="E8225" s="58" t="inlineStr">
        <is>
          <t>Central</t>
        </is>
      </c>
      <c r="F8225" s="61" t="n">
        <v>1</v>
      </c>
      <c r="G8225" s="62" t="n">
        <v>887.65</v>
      </c>
      <c r="H8225" s="63" t="n">
        <v>0.063</v>
      </c>
      <c r="I8225" s="62" t="n">
        <v>624.52</v>
      </c>
      <c r="J8225" s="58" t="inlineStr">
        <is>
          <t>Online</t>
        </is>
      </c>
      <c r="K8225" s="62">
        <f>F8225*(G8225-H8225)</f>
        <v/>
      </c>
      <c r="L8225" s="62">
        <f>K8225-(F8225*I8225)</f>
        <v/>
      </c>
      <c r="M8225" s="64">
        <f>L8225/K8225</f>
        <v/>
      </c>
    </row>
    <row r="8226">
      <c r="A8226" s="58" t="inlineStr">
        <is>
          <t>RT20250724-08225</t>
        </is>
      </c>
      <c r="B8226" s="59" t="inlineStr">
        <is>
          <t>2025-07-24</t>
        </is>
      </c>
      <c r="C8226" s="60" t="inlineStr">
        <is>
          <t>Aurora Haircare S-975</t>
        </is>
      </c>
      <c r="D8226" s="58" t="inlineStr">
        <is>
          <t>Beauty</t>
        </is>
      </c>
      <c r="E8226" s="58" t="inlineStr">
        <is>
          <t>East</t>
        </is>
      </c>
      <c r="F8226" s="61" t="n">
        <v>2</v>
      </c>
      <c r="G8226" s="62" t="n">
        <v>102.29</v>
      </c>
      <c r="H8226" s="63" t="n">
        <v>0.029</v>
      </c>
      <c r="I8226" s="62" t="n">
        <v>57.87</v>
      </c>
      <c r="J8226" s="58" t="inlineStr">
        <is>
          <t>Phone</t>
        </is>
      </c>
      <c r="K8226" s="62">
        <f>F8226*(G8226-H8226)</f>
        <v/>
      </c>
      <c r="L8226" s="62">
        <f>K8226-(F8226*I8226)</f>
        <v/>
      </c>
      <c r="M8226" s="64">
        <f>L8226/K8226</f>
        <v/>
      </c>
    </row>
    <row r="8227">
      <c r="A8227" s="58" t="inlineStr">
        <is>
          <t>RT20250724-08226</t>
        </is>
      </c>
      <c r="B8227" s="59" t="inlineStr">
        <is>
          <t>2025-07-24</t>
        </is>
      </c>
      <c r="C8227" s="60" t="inlineStr">
        <is>
          <t>Vertex Fitnes Pro-830</t>
        </is>
      </c>
      <c r="D8227" s="58" t="inlineStr">
        <is>
          <t>Sports</t>
        </is>
      </c>
      <c r="E8227" s="58" t="inlineStr">
        <is>
          <t>East</t>
        </is>
      </c>
      <c r="F8227" s="61" t="n">
        <v>3</v>
      </c>
      <c r="G8227" s="62" t="n">
        <v>669.87</v>
      </c>
      <c r="H8227" s="63" t="n">
        <v>0.049</v>
      </c>
      <c r="I8227" s="62" t="n">
        <v>473.12</v>
      </c>
      <c r="J8227" s="58" t="inlineStr">
        <is>
          <t>Online</t>
        </is>
      </c>
      <c r="K8227" s="62">
        <f>F8227*(G8227-H8227)</f>
        <v/>
      </c>
      <c r="L8227" s="62">
        <f>K8227-(F8227*I8227)</f>
        <v/>
      </c>
      <c r="M8227" s="64">
        <f>L8227/K8227</f>
        <v/>
      </c>
    </row>
    <row r="8228">
      <c r="A8228" s="58" t="inlineStr">
        <is>
          <t>RT20250724-08227</t>
        </is>
      </c>
      <c r="B8228" s="59" t="inlineStr">
        <is>
          <t>2025-07-24</t>
        </is>
      </c>
      <c r="C8228" s="60" t="inlineStr">
        <is>
          <t>Polar Pantry Lite-392</t>
        </is>
      </c>
      <c r="D8228" s="58" t="inlineStr">
        <is>
          <t>Grocery</t>
        </is>
      </c>
      <c r="E8228" s="58" t="inlineStr">
        <is>
          <t>South</t>
        </is>
      </c>
      <c r="F8228" s="61" t="n">
        <v>1</v>
      </c>
      <c r="G8228" s="62" t="n">
        <v>6.45</v>
      </c>
      <c r="H8228" s="63" t="n">
        <v>0.079</v>
      </c>
      <c r="I8228" s="62" t="n">
        <v>4.44</v>
      </c>
      <c r="J8228" s="58" t="inlineStr">
        <is>
          <t>Phone</t>
        </is>
      </c>
      <c r="K8228" s="62">
        <f>F8228*(G8228-H8228)</f>
        <v/>
      </c>
      <c r="L8228" s="62">
        <f>K8228-(F8228*I8228)</f>
        <v/>
      </c>
      <c r="M8228" s="64">
        <f>L8228/K8228</f>
        <v/>
      </c>
    </row>
    <row r="8229">
      <c r="A8229" s="58" t="inlineStr">
        <is>
          <t>RT20250724-08228</t>
        </is>
      </c>
      <c r="B8229" s="59" t="inlineStr">
        <is>
          <t>2025-07-24</t>
        </is>
      </c>
      <c r="C8229" s="60" t="inlineStr">
        <is>
          <t>Aurora Outdoor Pro-467</t>
        </is>
      </c>
      <c r="D8229" s="58" t="inlineStr">
        <is>
          <t>Sports</t>
        </is>
      </c>
      <c r="E8229" s="58" t="inlineStr">
        <is>
          <t>West</t>
        </is>
      </c>
      <c r="F8229" s="61" t="n">
        <v>3</v>
      </c>
      <c r="G8229" s="62" t="n">
        <v>286.73</v>
      </c>
      <c r="H8229" s="63" t="n">
        <v>0.055</v>
      </c>
      <c r="I8229" s="62" t="n">
        <v>192.14</v>
      </c>
      <c r="J8229" s="58" t="inlineStr">
        <is>
          <t>Online</t>
        </is>
      </c>
      <c r="K8229" s="62">
        <f>F8229*(G8229-H8229)</f>
        <v/>
      </c>
      <c r="L8229" s="62">
        <f>K8229-(F8229*I8229)</f>
        <v/>
      </c>
      <c r="M8229" s="64">
        <f>L8229/K8229</f>
        <v/>
      </c>
    </row>
    <row r="8230">
      <c r="A8230" s="58" t="inlineStr">
        <is>
          <t>RT20250724-08229</t>
        </is>
      </c>
      <c r="B8230" s="59" t="inlineStr">
        <is>
          <t>2025-07-24</t>
        </is>
      </c>
      <c r="C8230" s="60" t="inlineStr">
        <is>
          <t>Vertex Decor Pro-618</t>
        </is>
      </c>
      <c r="D8230" s="58" t="inlineStr">
        <is>
          <t>Home</t>
        </is>
      </c>
      <c r="E8230" s="58" t="inlineStr">
        <is>
          <t>West</t>
        </is>
      </c>
      <c r="F8230" s="61" t="n">
        <v>1</v>
      </c>
      <c r="G8230" s="62" t="n">
        <v>612.92</v>
      </c>
      <c r="H8230" s="63" t="n">
        <v>0.07000000000000001</v>
      </c>
      <c r="I8230" s="62" t="n">
        <v>368.23</v>
      </c>
      <c r="J8230" s="58" t="inlineStr">
        <is>
          <t>Store</t>
        </is>
      </c>
      <c r="K8230" s="62">
        <f>F8230*(G8230-H8230)</f>
        <v/>
      </c>
      <c r="L8230" s="62">
        <f>K8230-(F8230*I8230)</f>
        <v/>
      </c>
      <c r="M8230" s="64">
        <f>L8230/K8230</f>
        <v/>
      </c>
    </row>
    <row r="8231">
      <c r="A8231" s="58" t="inlineStr">
        <is>
          <t>RT20250724-08230</t>
        </is>
      </c>
      <c r="B8231" s="59" t="inlineStr">
        <is>
          <t>2025-07-24</t>
        </is>
      </c>
      <c r="C8231" s="60" t="inlineStr">
        <is>
          <t>Falcon Haircare Pro-980</t>
        </is>
      </c>
      <c r="D8231" s="58" t="inlineStr">
        <is>
          <t>Beauty</t>
        </is>
      </c>
      <c r="E8231" s="58" t="inlineStr">
        <is>
          <t>Central</t>
        </is>
      </c>
      <c r="F8231" s="61" t="n">
        <v>4</v>
      </c>
      <c r="G8231" s="62" t="n">
        <v>98.22</v>
      </c>
      <c r="H8231" s="63" t="n">
        <v>0.056</v>
      </c>
      <c r="I8231" s="62" t="n">
        <v>58.68</v>
      </c>
      <c r="J8231" s="58" t="inlineStr">
        <is>
          <t>Online</t>
        </is>
      </c>
      <c r="K8231" s="62">
        <f>F8231*(G8231-H8231)</f>
        <v/>
      </c>
      <c r="L8231" s="62">
        <f>K8231-(F8231*I8231)</f>
        <v/>
      </c>
      <c r="M8231" s="64">
        <f>L8231/K8231</f>
        <v/>
      </c>
    </row>
    <row r="8232">
      <c r="A8232" s="58" t="inlineStr">
        <is>
          <t>RT20250724-08231</t>
        </is>
      </c>
      <c r="B8232" s="59" t="inlineStr">
        <is>
          <t>2025-07-24</t>
        </is>
      </c>
      <c r="C8232" s="60" t="inlineStr">
        <is>
          <t>Polar Bedding Lite-243</t>
        </is>
      </c>
      <c r="D8232" s="58" t="inlineStr">
        <is>
          <t>Home</t>
        </is>
      </c>
      <c r="E8232" s="58" t="inlineStr">
        <is>
          <t>North</t>
        </is>
      </c>
      <c r="F8232" s="61" t="n">
        <v>1</v>
      </c>
      <c r="G8232" s="62" t="n">
        <v>503.94</v>
      </c>
      <c r="H8232" s="63" t="n">
        <v>0.077</v>
      </c>
      <c r="I8232" s="62" t="n">
        <v>324.42</v>
      </c>
      <c r="J8232" s="58" t="inlineStr">
        <is>
          <t>Store</t>
        </is>
      </c>
      <c r="K8232" s="62">
        <f>F8232*(G8232-H8232)</f>
        <v/>
      </c>
      <c r="L8232" s="62">
        <f>K8232-(F8232*I8232)</f>
        <v/>
      </c>
      <c r="M8232" s="64">
        <f>L8232/K8232</f>
        <v/>
      </c>
    </row>
    <row r="8233">
      <c r="A8233" s="58" t="inlineStr">
        <is>
          <t>RT20250724-08232</t>
        </is>
      </c>
      <c r="B8233" s="59" t="inlineStr">
        <is>
          <t>2025-07-24</t>
        </is>
      </c>
      <c r="C8233" s="60" t="inlineStr">
        <is>
          <t>Aurora Appliance Max-316</t>
        </is>
      </c>
      <c r="D8233" s="58" t="inlineStr">
        <is>
          <t>Home</t>
        </is>
      </c>
      <c r="E8233" s="58" t="inlineStr">
        <is>
          <t>West</t>
        </is>
      </c>
      <c r="F8233" s="61" t="n">
        <v>3</v>
      </c>
      <c r="G8233" s="62" t="n">
        <v>308.02</v>
      </c>
      <c r="H8233" s="63" t="n">
        <v>0.011</v>
      </c>
      <c r="I8233" s="62" t="n">
        <v>216.06</v>
      </c>
      <c r="J8233" s="58" t="inlineStr">
        <is>
          <t>Online</t>
        </is>
      </c>
      <c r="K8233" s="62">
        <f>F8233*(G8233-H8233)</f>
        <v/>
      </c>
      <c r="L8233" s="62">
        <f>K8233-(F8233*I8233)</f>
        <v/>
      </c>
      <c r="M8233" s="64">
        <f>L8233/K8233</f>
        <v/>
      </c>
    </row>
    <row r="8234">
      <c r="A8234" s="58" t="inlineStr">
        <is>
          <t>RT20250724-08233</t>
        </is>
      </c>
      <c r="B8234" s="59" t="inlineStr">
        <is>
          <t>2025-07-24</t>
        </is>
      </c>
      <c r="C8234" s="60" t="inlineStr">
        <is>
          <t>Aurora Bedding Max-175</t>
        </is>
      </c>
      <c r="D8234" s="58" t="inlineStr">
        <is>
          <t>Home</t>
        </is>
      </c>
      <c r="E8234" s="58" t="inlineStr">
        <is>
          <t>Central</t>
        </is>
      </c>
      <c r="F8234" s="61" t="n">
        <v>1</v>
      </c>
      <c r="G8234" s="62" t="n">
        <v>655.36</v>
      </c>
      <c r="H8234" s="63" t="n">
        <v>0.07199999999999999</v>
      </c>
      <c r="I8234" s="62" t="n">
        <v>416.55</v>
      </c>
      <c r="J8234" s="58" t="inlineStr">
        <is>
          <t>Online</t>
        </is>
      </c>
      <c r="K8234" s="62">
        <f>F8234*(G8234-H8234)</f>
        <v/>
      </c>
      <c r="L8234" s="62">
        <f>K8234-(F8234*I8234)</f>
        <v/>
      </c>
      <c r="M8234" s="64">
        <f>L8234/K8234</f>
        <v/>
      </c>
    </row>
    <row r="8235">
      <c r="A8235" s="58" t="inlineStr">
        <is>
          <t>RT20250724-08234</t>
        </is>
      </c>
      <c r="B8235" s="59" t="inlineStr">
        <is>
          <t>2025-07-24</t>
        </is>
      </c>
      <c r="C8235" s="60" t="inlineStr">
        <is>
          <t>Solace Kitchen Pro-510</t>
        </is>
      </c>
      <c r="D8235" s="58" t="inlineStr">
        <is>
          <t>Home</t>
        </is>
      </c>
      <c r="E8235" s="58" t="inlineStr">
        <is>
          <t>Central</t>
        </is>
      </c>
      <c r="F8235" s="61" t="n">
        <v>3</v>
      </c>
      <c r="G8235" s="62" t="n">
        <v>428.03</v>
      </c>
      <c r="H8235" s="63" t="n">
        <v>0.076</v>
      </c>
      <c r="I8235" s="62" t="n">
        <v>313.43</v>
      </c>
      <c r="J8235" s="58" t="inlineStr">
        <is>
          <t>Online</t>
        </is>
      </c>
      <c r="K8235" s="62">
        <f>F8235*(G8235-H8235)</f>
        <v/>
      </c>
      <c r="L8235" s="62">
        <f>K8235-(F8235*I8235)</f>
        <v/>
      </c>
      <c r="M8235" s="64">
        <f>L8235/K8235</f>
        <v/>
      </c>
    </row>
    <row r="8236">
      <c r="A8236" s="58" t="inlineStr">
        <is>
          <t>RT20250724-08235</t>
        </is>
      </c>
      <c r="B8236" s="59" t="inlineStr">
        <is>
          <t>2025-07-24</t>
        </is>
      </c>
      <c r="C8236" s="60" t="inlineStr">
        <is>
          <t>Solace Smartphone Lite-533</t>
        </is>
      </c>
      <c r="D8236" s="58" t="inlineStr">
        <is>
          <t>Electronics</t>
        </is>
      </c>
      <c r="E8236" s="58" t="inlineStr">
        <is>
          <t>Central</t>
        </is>
      </c>
      <c r="F8236" s="61" t="n">
        <v>1</v>
      </c>
      <c r="G8236" s="62" t="n">
        <v>1306.89</v>
      </c>
      <c r="H8236" s="63" t="n">
        <v>0.056</v>
      </c>
      <c r="I8236" s="62" t="n">
        <v>934.59</v>
      </c>
      <c r="J8236" s="58" t="inlineStr">
        <is>
          <t>Store</t>
        </is>
      </c>
      <c r="K8236" s="62">
        <f>F8236*(G8236-H8236)</f>
        <v/>
      </c>
      <c r="L8236" s="62">
        <f>K8236-(F8236*I8236)</f>
        <v/>
      </c>
      <c r="M8236" s="64">
        <f>L8236/K8236</f>
        <v/>
      </c>
    </row>
    <row r="8237">
      <c r="A8237" s="58" t="inlineStr">
        <is>
          <t>RT20250724-08236</t>
        </is>
      </c>
      <c r="B8237" s="59" t="inlineStr">
        <is>
          <t>2025-07-24</t>
        </is>
      </c>
      <c r="C8237" s="60" t="inlineStr">
        <is>
          <t>Nimbus Women Lite-814</t>
        </is>
      </c>
      <c r="D8237" s="58" t="inlineStr">
        <is>
          <t>Apparel</t>
        </is>
      </c>
      <c r="E8237" s="58" t="inlineStr">
        <is>
          <t>West</t>
        </is>
      </c>
      <c r="F8237" s="61" t="n">
        <v>4</v>
      </c>
      <c r="G8237" s="62" t="n">
        <v>158.9</v>
      </c>
      <c r="H8237" s="63" t="n">
        <v>0.08699999999999999</v>
      </c>
      <c r="I8237" s="62" t="n">
        <v>84.62</v>
      </c>
      <c r="J8237" s="58" t="inlineStr">
        <is>
          <t>Store</t>
        </is>
      </c>
      <c r="K8237" s="62">
        <f>F8237*(G8237-H8237)</f>
        <v/>
      </c>
      <c r="L8237" s="62">
        <f>K8237-(F8237*I8237)</f>
        <v/>
      </c>
      <c r="M8237" s="64">
        <f>L8237/K8237</f>
        <v/>
      </c>
    </row>
    <row r="8238">
      <c r="A8238" s="58" t="inlineStr">
        <is>
          <t>RT20250724-08237</t>
        </is>
      </c>
      <c r="B8238" s="59" t="inlineStr">
        <is>
          <t>2025-07-24</t>
        </is>
      </c>
      <c r="C8238" s="60" t="inlineStr">
        <is>
          <t>Falcon Accessorie S-195</t>
        </is>
      </c>
      <c r="D8238" s="58" t="inlineStr">
        <is>
          <t>Apparel</t>
        </is>
      </c>
      <c r="E8238" s="58" t="inlineStr">
        <is>
          <t>East</t>
        </is>
      </c>
      <c r="F8238" s="61" t="n">
        <v>2</v>
      </c>
      <c r="G8238" s="62" t="n">
        <v>73.66</v>
      </c>
      <c r="H8238" s="63" t="n">
        <v>0.028</v>
      </c>
      <c r="I8238" s="62" t="n">
        <v>44.22</v>
      </c>
      <c r="J8238" s="58" t="inlineStr">
        <is>
          <t>Phone</t>
        </is>
      </c>
      <c r="K8238" s="62">
        <f>F8238*(G8238-H8238)</f>
        <v/>
      </c>
      <c r="L8238" s="62">
        <f>K8238-(F8238*I8238)</f>
        <v/>
      </c>
      <c r="M8238" s="64">
        <f>L8238/K8238</f>
        <v/>
      </c>
    </row>
    <row r="8239">
      <c r="A8239" s="58" t="inlineStr">
        <is>
          <t>RT20250724-08238</t>
        </is>
      </c>
      <c r="B8239" s="59" t="inlineStr">
        <is>
          <t>2025-07-24</t>
        </is>
      </c>
      <c r="C8239" s="60" t="inlineStr">
        <is>
          <t>Falcon Skincare Max-151</t>
        </is>
      </c>
      <c r="D8239" s="58" t="inlineStr">
        <is>
          <t>Beauty</t>
        </is>
      </c>
      <c r="E8239" s="58" t="inlineStr">
        <is>
          <t>Central</t>
        </is>
      </c>
      <c r="F8239" s="61" t="n">
        <v>1</v>
      </c>
      <c r="G8239" s="62" t="n">
        <v>105.13</v>
      </c>
      <c r="H8239" s="63" t="n">
        <v>0.054</v>
      </c>
      <c r="I8239" s="62" t="n">
        <v>60.78</v>
      </c>
      <c r="J8239" s="58" t="inlineStr">
        <is>
          <t>Phone</t>
        </is>
      </c>
      <c r="K8239" s="62">
        <f>F8239*(G8239-H8239)</f>
        <v/>
      </c>
      <c r="L8239" s="62">
        <f>K8239-(F8239*I8239)</f>
        <v/>
      </c>
      <c r="M8239" s="64">
        <f>L8239/K8239</f>
        <v/>
      </c>
    </row>
    <row r="8240">
      <c r="A8240" s="58" t="inlineStr">
        <is>
          <t>RT20250724-08239</t>
        </is>
      </c>
      <c r="B8240" s="59" t="inlineStr">
        <is>
          <t>2025-07-24</t>
        </is>
      </c>
      <c r="C8240" s="60" t="inlineStr">
        <is>
          <t>Metro Decor Lite-325</t>
        </is>
      </c>
      <c r="D8240" s="58" t="inlineStr">
        <is>
          <t>Home</t>
        </is>
      </c>
      <c r="E8240" s="58" t="inlineStr">
        <is>
          <t>South</t>
        </is>
      </c>
      <c r="F8240" s="61" t="n">
        <v>1</v>
      </c>
      <c r="G8240" s="62" t="n">
        <v>630.3200000000001</v>
      </c>
      <c r="H8240" s="63" t="n">
        <v>0.037</v>
      </c>
      <c r="I8240" s="62" t="n">
        <v>389.6</v>
      </c>
      <c r="J8240" s="58" t="inlineStr">
        <is>
          <t>Store</t>
        </is>
      </c>
      <c r="K8240" s="62">
        <f>F8240*(G8240-H8240)</f>
        <v/>
      </c>
      <c r="L8240" s="62">
        <f>K8240-(F8240*I8240)</f>
        <v/>
      </c>
      <c r="M8240" s="64">
        <f>L8240/K8240</f>
        <v/>
      </c>
    </row>
    <row r="8241">
      <c r="A8241" s="58" t="inlineStr">
        <is>
          <t>RT20250724-08240</t>
        </is>
      </c>
      <c r="B8241" s="59" t="inlineStr">
        <is>
          <t>2025-07-24</t>
        </is>
      </c>
      <c r="C8241" s="60" t="inlineStr">
        <is>
          <t>Aurora Smartphone Plus-125</t>
        </is>
      </c>
      <c r="D8241" s="58" t="inlineStr">
        <is>
          <t>Electronics</t>
        </is>
      </c>
      <c r="E8241" s="58" t="inlineStr">
        <is>
          <t>East</t>
        </is>
      </c>
      <c r="F8241" s="61" t="n">
        <v>1</v>
      </c>
      <c r="G8241" s="62" t="n">
        <v>1491.39</v>
      </c>
      <c r="H8241" s="63" t="n">
        <v>0.039</v>
      </c>
      <c r="I8241" s="62" t="n">
        <v>1239.72</v>
      </c>
      <c r="J8241" s="58" t="inlineStr">
        <is>
          <t>Store</t>
        </is>
      </c>
      <c r="K8241" s="62">
        <f>F8241*(G8241-H8241)</f>
        <v/>
      </c>
      <c r="L8241" s="62">
        <f>K8241-(F8241*I8241)</f>
        <v/>
      </c>
      <c r="M8241" s="64">
        <f>L8241/K8241</f>
        <v/>
      </c>
    </row>
    <row r="8242">
      <c r="A8242" s="58" t="inlineStr">
        <is>
          <t>RT20250724-08241</t>
        </is>
      </c>
      <c r="B8242" s="59" t="inlineStr">
        <is>
          <t>2025-07-24</t>
        </is>
      </c>
      <c r="C8242" s="60" t="inlineStr">
        <is>
          <t>Metro Fragrance Lite-261</t>
        </is>
      </c>
      <c r="D8242" s="58" t="inlineStr">
        <is>
          <t>Beauty</t>
        </is>
      </c>
      <c r="E8242" s="58" t="inlineStr">
        <is>
          <t>North</t>
        </is>
      </c>
      <c r="F8242" s="61" t="n">
        <v>2</v>
      </c>
      <c r="G8242" s="62" t="n">
        <v>92.73999999999999</v>
      </c>
      <c r="H8242" s="63" t="n">
        <v>0.053</v>
      </c>
      <c r="I8242" s="62" t="n">
        <v>54.56</v>
      </c>
      <c r="J8242" s="58" t="inlineStr">
        <is>
          <t>Store</t>
        </is>
      </c>
      <c r="K8242" s="62">
        <f>F8242*(G8242-H8242)</f>
        <v/>
      </c>
      <c r="L8242" s="62">
        <f>K8242-(F8242*I8242)</f>
        <v/>
      </c>
      <c r="M8242" s="64">
        <f>L8242/K8242</f>
        <v/>
      </c>
    </row>
    <row r="8243">
      <c r="A8243" s="58" t="inlineStr">
        <is>
          <t>RT20250724-08242</t>
        </is>
      </c>
      <c r="B8243" s="59" t="inlineStr">
        <is>
          <t>2025-07-24</t>
        </is>
      </c>
      <c r="C8243" s="60" t="inlineStr">
        <is>
          <t>Falcon Wearable X-334</t>
        </is>
      </c>
      <c r="D8243" s="58" t="inlineStr">
        <is>
          <t>Electronics</t>
        </is>
      </c>
      <c r="E8243" s="58" t="inlineStr">
        <is>
          <t>West</t>
        </is>
      </c>
      <c r="F8243" s="61" t="n">
        <v>2</v>
      </c>
      <c r="G8243" s="62" t="n">
        <v>1911.72</v>
      </c>
      <c r="H8243" s="63" t="n">
        <v>0.013</v>
      </c>
      <c r="I8243" s="62" t="n">
        <v>1542.59</v>
      </c>
      <c r="J8243" s="58" t="inlineStr">
        <is>
          <t>Phone</t>
        </is>
      </c>
      <c r="K8243" s="62">
        <f>F8243*(G8243-H8243)</f>
        <v/>
      </c>
      <c r="L8243" s="62">
        <f>K8243-(F8243*I8243)</f>
        <v/>
      </c>
      <c r="M8243" s="64">
        <f>L8243/K8243</f>
        <v/>
      </c>
    </row>
    <row r="8244">
      <c r="A8244" s="58" t="inlineStr">
        <is>
          <t>RT20250724-08243</t>
        </is>
      </c>
      <c r="B8244" s="59" t="inlineStr">
        <is>
          <t>2025-07-24</t>
        </is>
      </c>
      <c r="C8244" s="60" t="inlineStr">
        <is>
          <t>Aurora Kid Plus-151</t>
        </is>
      </c>
      <c r="D8244" s="58" t="inlineStr">
        <is>
          <t>Apparel</t>
        </is>
      </c>
      <c r="E8244" s="58" t="inlineStr">
        <is>
          <t>East</t>
        </is>
      </c>
      <c r="F8244" s="61" t="n">
        <v>1</v>
      </c>
      <c r="G8244" s="62" t="n">
        <v>106.93</v>
      </c>
      <c r="H8244" s="63" t="n">
        <v>0.041</v>
      </c>
      <c r="I8244" s="62" t="n">
        <v>65.88</v>
      </c>
      <c r="J8244" s="58" t="inlineStr">
        <is>
          <t>Store</t>
        </is>
      </c>
      <c r="K8244" s="62">
        <f>F8244*(G8244-H8244)</f>
        <v/>
      </c>
      <c r="L8244" s="62">
        <f>K8244-(F8244*I8244)</f>
        <v/>
      </c>
      <c r="M8244" s="64">
        <f>L8244/K8244</f>
        <v/>
      </c>
    </row>
    <row r="8245">
      <c r="A8245" s="58" t="inlineStr">
        <is>
          <t>RT20250724-08244</t>
        </is>
      </c>
      <c r="B8245" s="59" t="inlineStr">
        <is>
          <t>2025-07-24</t>
        </is>
      </c>
      <c r="C8245" s="60" t="inlineStr">
        <is>
          <t>Solace Team Sport Max-548</t>
        </is>
      </c>
      <c r="D8245" s="58" t="inlineStr">
        <is>
          <t>Sports</t>
        </is>
      </c>
      <c r="E8245" s="58" t="inlineStr">
        <is>
          <t>North</t>
        </is>
      </c>
      <c r="F8245" s="61" t="n">
        <v>3</v>
      </c>
      <c r="G8245" s="62" t="n">
        <v>720.62</v>
      </c>
      <c r="H8245" s="63" t="n">
        <v>0.037</v>
      </c>
      <c r="I8245" s="62" t="n">
        <v>482.11</v>
      </c>
      <c r="J8245" s="58" t="inlineStr">
        <is>
          <t>Store</t>
        </is>
      </c>
      <c r="K8245" s="62">
        <f>F8245*(G8245-H8245)</f>
        <v/>
      </c>
      <c r="L8245" s="62">
        <f>K8245-(F8245*I8245)</f>
        <v/>
      </c>
      <c r="M8245" s="64">
        <f>L8245/K8245</f>
        <v/>
      </c>
    </row>
    <row r="8246">
      <c r="A8246" s="58" t="inlineStr">
        <is>
          <t>RT20250724-08245</t>
        </is>
      </c>
      <c r="B8246" s="59" t="inlineStr">
        <is>
          <t>2025-07-24</t>
        </is>
      </c>
      <c r="C8246" s="60" t="inlineStr">
        <is>
          <t>Metro Fragrance Lite-261</t>
        </is>
      </c>
      <c r="D8246" s="58" t="inlineStr">
        <is>
          <t>Beauty</t>
        </is>
      </c>
      <c r="E8246" s="58" t="inlineStr">
        <is>
          <t>East</t>
        </is>
      </c>
      <c r="F8246" s="61" t="n">
        <v>1</v>
      </c>
      <c r="G8246" s="62" t="n">
        <v>78.91</v>
      </c>
      <c r="H8246" s="63" t="n">
        <v>0.106</v>
      </c>
      <c r="I8246" s="62" t="n">
        <v>56.04</v>
      </c>
      <c r="J8246" s="58" t="inlineStr">
        <is>
          <t>Online</t>
        </is>
      </c>
      <c r="K8246" s="62">
        <f>F8246*(G8246-H8246)</f>
        <v/>
      </c>
      <c r="L8246" s="62">
        <f>K8246-(F8246*I8246)</f>
        <v/>
      </c>
      <c r="M8246" s="64">
        <f>L8246/K8246</f>
        <v/>
      </c>
    </row>
    <row r="8247">
      <c r="A8247" s="58" t="inlineStr">
        <is>
          <t>RT20250724-08246</t>
        </is>
      </c>
      <c r="B8247" s="59" t="inlineStr">
        <is>
          <t>2025-07-24</t>
        </is>
      </c>
      <c r="C8247" s="60" t="inlineStr">
        <is>
          <t>Vertex Appliance S-296</t>
        </is>
      </c>
      <c r="D8247" s="58" t="inlineStr">
        <is>
          <t>Home</t>
        </is>
      </c>
      <c r="E8247" s="58" t="inlineStr">
        <is>
          <t>West</t>
        </is>
      </c>
      <c r="F8247" s="61" t="n">
        <v>3</v>
      </c>
      <c r="G8247" s="62" t="n">
        <v>553.5700000000001</v>
      </c>
      <c r="H8247" s="63" t="n">
        <v>0.058</v>
      </c>
      <c r="I8247" s="62" t="n">
        <v>366.62</v>
      </c>
      <c r="J8247" s="58" t="inlineStr">
        <is>
          <t>Store</t>
        </is>
      </c>
      <c r="K8247" s="62">
        <f>F8247*(G8247-H8247)</f>
        <v/>
      </c>
      <c r="L8247" s="62">
        <f>K8247-(F8247*I8247)</f>
        <v/>
      </c>
      <c r="M8247" s="64">
        <f>L8247/K8247</f>
        <v/>
      </c>
    </row>
    <row r="8248">
      <c r="A8248" s="58" t="inlineStr">
        <is>
          <t>RT20250724-08247</t>
        </is>
      </c>
      <c r="B8248" s="59" t="inlineStr">
        <is>
          <t>2025-07-24</t>
        </is>
      </c>
      <c r="C8248" s="60" t="inlineStr">
        <is>
          <t>Solace Smartphone Lite-533</t>
        </is>
      </c>
      <c r="D8248" s="58" t="inlineStr">
        <is>
          <t>Electronics</t>
        </is>
      </c>
      <c r="E8248" s="58" t="inlineStr">
        <is>
          <t>South</t>
        </is>
      </c>
      <c r="F8248" s="61" t="n">
        <v>1</v>
      </c>
      <c r="G8248" s="62" t="n">
        <v>1255.29</v>
      </c>
      <c r="H8248" s="63" t="n">
        <v>0.025</v>
      </c>
      <c r="I8248" s="62" t="n">
        <v>950.6900000000001</v>
      </c>
      <c r="J8248" s="58" t="inlineStr">
        <is>
          <t>Store</t>
        </is>
      </c>
      <c r="K8248" s="62">
        <f>F8248*(G8248-H8248)</f>
        <v/>
      </c>
      <c r="L8248" s="62">
        <f>K8248-(F8248*I8248)</f>
        <v/>
      </c>
      <c r="M8248" s="64">
        <f>L8248/K8248</f>
        <v/>
      </c>
    </row>
    <row r="8249">
      <c r="A8249" s="58" t="inlineStr">
        <is>
          <t>RT20250724-08248</t>
        </is>
      </c>
      <c r="B8249" s="59" t="inlineStr">
        <is>
          <t>2025-07-24</t>
        </is>
      </c>
      <c r="C8249" s="60" t="inlineStr">
        <is>
          <t>Vertex Smartphone Pro-256</t>
        </is>
      </c>
      <c r="D8249" s="58" t="inlineStr">
        <is>
          <t>Electronics</t>
        </is>
      </c>
      <c r="E8249" s="58" t="inlineStr">
        <is>
          <t>West</t>
        </is>
      </c>
      <c r="F8249" s="61" t="n">
        <v>1</v>
      </c>
      <c r="G8249" s="62" t="n">
        <v>1233.82</v>
      </c>
      <c r="H8249" s="63" t="n">
        <v>0.08699999999999999</v>
      </c>
      <c r="I8249" s="62" t="n">
        <v>924.17</v>
      </c>
      <c r="J8249" s="58" t="inlineStr">
        <is>
          <t>Store</t>
        </is>
      </c>
      <c r="K8249" s="62">
        <f>F8249*(G8249-H8249)</f>
        <v/>
      </c>
      <c r="L8249" s="62">
        <f>K8249-(F8249*I8249)</f>
        <v/>
      </c>
      <c r="M8249" s="64">
        <f>L8249/K8249</f>
        <v/>
      </c>
    </row>
    <row r="8250">
      <c r="A8250" s="58" t="inlineStr">
        <is>
          <t>RT20250724-08249</t>
        </is>
      </c>
      <c r="B8250" s="59" t="inlineStr">
        <is>
          <t>2025-07-24</t>
        </is>
      </c>
      <c r="C8250" s="60" t="inlineStr">
        <is>
          <t>Nimbus Cycling Plus-911</t>
        </is>
      </c>
      <c r="D8250" s="58" t="inlineStr">
        <is>
          <t>Sports</t>
        </is>
      </c>
      <c r="E8250" s="58" t="inlineStr">
        <is>
          <t>Central</t>
        </is>
      </c>
      <c r="F8250" s="61" t="n">
        <v>3</v>
      </c>
      <c r="G8250" s="62" t="n">
        <v>590.01</v>
      </c>
      <c r="H8250" s="63" t="n">
        <v>0.066</v>
      </c>
      <c r="I8250" s="62" t="n">
        <v>400.29</v>
      </c>
      <c r="J8250" s="58" t="inlineStr">
        <is>
          <t>Store</t>
        </is>
      </c>
      <c r="K8250" s="62">
        <f>F8250*(G8250-H8250)</f>
        <v/>
      </c>
      <c r="L8250" s="62">
        <f>K8250-(F8250*I8250)</f>
        <v/>
      </c>
      <c r="M8250" s="64">
        <f>L8250/K8250</f>
        <v/>
      </c>
    </row>
    <row r="8251">
      <c r="A8251" s="58" t="inlineStr">
        <is>
          <t>RT20250724-08250</t>
        </is>
      </c>
      <c r="B8251" s="59" t="inlineStr">
        <is>
          <t>2025-07-24</t>
        </is>
      </c>
      <c r="C8251" s="60" t="inlineStr">
        <is>
          <t>Vertex Appliance S-296</t>
        </is>
      </c>
      <c r="D8251" s="58" t="inlineStr">
        <is>
          <t>Home</t>
        </is>
      </c>
      <c r="E8251" s="58" t="inlineStr">
        <is>
          <t>West</t>
        </is>
      </c>
      <c r="F8251" s="61" t="n">
        <v>3</v>
      </c>
      <c r="G8251" s="62" t="n">
        <v>457.69</v>
      </c>
      <c r="H8251" s="63" t="n">
        <v>0.047</v>
      </c>
      <c r="I8251" s="62" t="n">
        <v>346.2</v>
      </c>
      <c r="J8251" s="58" t="inlineStr">
        <is>
          <t>Store</t>
        </is>
      </c>
      <c r="K8251" s="62">
        <f>F8251*(G8251-H8251)</f>
        <v/>
      </c>
      <c r="L8251" s="62">
        <f>K8251-(F8251*I8251)</f>
        <v/>
      </c>
      <c r="M8251" s="64">
        <f>L8251/K8251</f>
        <v/>
      </c>
    </row>
    <row r="8252">
      <c r="A8252" s="58" t="inlineStr">
        <is>
          <t>RT20250724-08251</t>
        </is>
      </c>
      <c r="B8252" s="59" t="inlineStr">
        <is>
          <t>2025-07-24</t>
        </is>
      </c>
      <c r="C8252" s="60" t="inlineStr">
        <is>
          <t>Solace Fitnes S-324</t>
        </is>
      </c>
      <c r="D8252" s="58" t="inlineStr">
        <is>
          <t>Sports</t>
        </is>
      </c>
      <c r="E8252" s="58" t="inlineStr">
        <is>
          <t>West</t>
        </is>
      </c>
      <c r="F8252" s="61" t="n">
        <v>3</v>
      </c>
      <c r="G8252" s="62" t="n">
        <v>742.01</v>
      </c>
      <c r="H8252" s="63" t="n">
        <v>0.044</v>
      </c>
      <c r="I8252" s="62" t="n">
        <v>529.36</v>
      </c>
      <c r="J8252" s="58" t="inlineStr">
        <is>
          <t>Online</t>
        </is>
      </c>
      <c r="K8252" s="62">
        <f>F8252*(G8252-H8252)</f>
        <v/>
      </c>
      <c r="L8252" s="62">
        <f>K8252-(F8252*I8252)</f>
        <v/>
      </c>
      <c r="M8252" s="64">
        <f>L8252/K8252</f>
        <v/>
      </c>
    </row>
    <row r="8253">
      <c r="A8253" s="58" t="inlineStr">
        <is>
          <t>RT20250724-08252</t>
        </is>
      </c>
      <c r="B8253" s="59" t="inlineStr">
        <is>
          <t>2025-07-24</t>
        </is>
      </c>
      <c r="C8253" s="60" t="inlineStr">
        <is>
          <t>Metro Accessorie Lite-697</t>
        </is>
      </c>
      <c r="D8253" s="58" t="inlineStr">
        <is>
          <t>Apparel</t>
        </is>
      </c>
      <c r="E8253" s="58" t="inlineStr">
        <is>
          <t>East</t>
        </is>
      </c>
      <c r="F8253" s="61" t="n">
        <v>2</v>
      </c>
      <c r="G8253" s="62" t="n">
        <v>144.85</v>
      </c>
      <c r="H8253" s="63" t="n">
        <v>0.045</v>
      </c>
      <c r="I8253" s="62" t="n">
        <v>76.02</v>
      </c>
      <c r="J8253" s="58" t="inlineStr">
        <is>
          <t>Store</t>
        </is>
      </c>
      <c r="K8253" s="62">
        <f>F8253*(G8253-H8253)</f>
        <v/>
      </c>
      <c r="L8253" s="62">
        <f>K8253-(F8253*I8253)</f>
        <v/>
      </c>
      <c r="M8253" s="64">
        <f>L8253/K8253</f>
        <v/>
      </c>
    </row>
    <row r="8254">
      <c r="A8254" s="58" t="inlineStr">
        <is>
          <t>RT20250724-08253</t>
        </is>
      </c>
      <c r="B8254" s="59" t="inlineStr">
        <is>
          <t>2025-07-24</t>
        </is>
      </c>
      <c r="C8254" s="60" t="inlineStr">
        <is>
          <t>Vertex Accessorie Pro-881</t>
        </is>
      </c>
      <c r="D8254" s="58" t="inlineStr">
        <is>
          <t>Apparel</t>
        </is>
      </c>
      <c r="E8254" s="58" t="inlineStr">
        <is>
          <t>East</t>
        </is>
      </c>
      <c r="F8254" s="61" t="n">
        <v>2</v>
      </c>
      <c r="G8254" s="62" t="n">
        <v>109.03</v>
      </c>
      <c r="H8254" s="63" t="n">
        <v>0.079</v>
      </c>
      <c r="I8254" s="62" t="n">
        <v>63.51</v>
      </c>
      <c r="J8254" s="58" t="inlineStr">
        <is>
          <t>Online</t>
        </is>
      </c>
      <c r="K8254" s="62">
        <f>F8254*(G8254-H8254)</f>
        <v/>
      </c>
      <c r="L8254" s="62">
        <f>K8254-(F8254*I8254)</f>
        <v/>
      </c>
      <c r="M8254" s="64">
        <f>L8254/K8254</f>
        <v/>
      </c>
    </row>
    <row r="8255">
      <c r="A8255" s="58" t="inlineStr">
        <is>
          <t>RT20250724-08254</t>
        </is>
      </c>
      <c r="B8255" s="59" t="inlineStr">
        <is>
          <t>2025-07-24</t>
        </is>
      </c>
      <c r="C8255" s="60" t="inlineStr">
        <is>
          <t>Aurora Storage Lite-774</t>
        </is>
      </c>
      <c r="D8255" s="58" t="inlineStr">
        <is>
          <t>Office</t>
        </is>
      </c>
      <c r="E8255" s="58" t="inlineStr">
        <is>
          <t>East</t>
        </is>
      </c>
      <c r="F8255" s="61" t="n">
        <v>2</v>
      </c>
      <c r="G8255" s="62" t="n">
        <v>356.78</v>
      </c>
      <c r="H8255" s="63" t="n">
        <v>0.037</v>
      </c>
      <c r="I8255" s="62" t="n">
        <v>244.12</v>
      </c>
      <c r="J8255" s="58" t="inlineStr">
        <is>
          <t>Online</t>
        </is>
      </c>
      <c r="K8255" s="62">
        <f>F8255*(G8255-H8255)</f>
        <v/>
      </c>
      <c r="L8255" s="62">
        <f>K8255-(F8255*I8255)</f>
        <v/>
      </c>
      <c r="M8255" s="64">
        <f>L8255/K8255</f>
        <v/>
      </c>
    </row>
    <row r="8256">
      <c r="A8256" s="58" t="inlineStr">
        <is>
          <t>RT20250724-08255</t>
        </is>
      </c>
      <c r="B8256" s="59" t="inlineStr">
        <is>
          <t>2025-07-24</t>
        </is>
      </c>
      <c r="C8256" s="60" t="inlineStr">
        <is>
          <t>Aurora Kid Plus-151</t>
        </is>
      </c>
      <c r="D8256" s="58" t="inlineStr">
        <is>
          <t>Apparel</t>
        </is>
      </c>
      <c r="E8256" s="58" t="inlineStr">
        <is>
          <t>Central</t>
        </is>
      </c>
      <c r="F8256" s="61" t="n">
        <v>2</v>
      </c>
      <c r="G8256" s="62" t="n">
        <v>105.53</v>
      </c>
      <c r="H8256" s="63" t="n">
        <v>0.06900000000000001</v>
      </c>
      <c r="I8256" s="62" t="n">
        <v>65.70999999999999</v>
      </c>
      <c r="J8256" s="58" t="inlineStr">
        <is>
          <t>Online</t>
        </is>
      </c>
      <c r="K8256" s="62">
        <f>F8256*(G8256-H8256)</f>
        <v/>
      </c>
      <c r="L8256" s="62">
        <f>K8256-(F8256*I8256)</f>
        <v/>
      </c>
      <c r="M8256" s="64">
        <f>L8256/K8256</f>
        <v/>
      </c>
    </row>
    <row r="8257">
      <c r="A8257" s="58" t="inlineStr">
        <is>
          <t>RT20250724-08256</t>
        </is>
      </c>
      <c r="B8257" s="59" t="inlineStr">
        <is>
          <t>2025-07-24</t>
        </is>
      </c>
      <c r="C8257" s="60" t="inlineStr">
        <is>
          <t>Nimbus Makeup Max-158</t>
        </is>
      </c>
      <c r="D8257" s="58" t="inlineStr">
        <is>
          <t>Beauty</t>
        </is>
      </c>
      <c r="E8257" s="58" t="inlineStr">
        <is>
          <t>West</t>
        </is>
      </c>
      <c r="F8257" s="61" t="n">
        <v>3</v>
      </c>
      <c r="G8257" s="62" t="n">
        <v>144.49</v>
      </c>
      <c r="H8257" s="63" t="n">
        <v>0.081</v>
      </c>
      <c r="I8257" s="62" t="n">
        <v>95.54000000000001</v>
      </c>
      <c r="J8257" s="58" t="inlineStr">
        <is>
          <t>Store</t>
        </is>
      </c>
      <c r="K8257" s="62">
        <f>F8257*(G8257-H8257)</f>
        <v/>
      </c>
      <c r="L8257" s="62">
        <f>K8257-(F8257*I8257)</f>
        <v/>
      </c>
      <c r="M8257" s="64">
        <f>L8257/K8257</f>
        <v/>
      </c>
    </row>
    <row r="8258">
      <c r="A8258" s="58" t="inlineStr">
        <is>
          <t>RT20250725-08257</t>
        </is>
      </c>
      <c r="B8258" s="59" t="inlineStr">
        <is>
          <t>2025-07-25</t>
        </is>
      </c>
      <c r="C8258" s="60" t="inlineStr">
        <is>
          <t>Aurora Makeup Pro-489</t>
        </is>
      </c>
      <c r="D8258" s="58" t="inlineStr">
        <is>
          <t>Beauty</t>
        </is>
      </c>
      <c r="E8258" s="58" t="inlineStr">
        <is>
          <t>Central</t>
        </is>
      </c>
      <c r="F8258" s="61" t="n">
        <v>1</v>
      </c>
      <c r="G8258" s="62" t="n">
        <v>100.75</v>
      </c>
      <c r="H8258" s="63" t="n">
        <v>0.07000000000000001</v>
      </c>
      <c r="I8258" s="62" t="n">
        <v>64.48</v>
      </c>
      <c r="J8258" s="58" t="inlineStr">
        <is>
          <t>Store</t>
        </is>
      </c>
      <c r="K8258" s="62">
        <f>F8258*(G8258-H8258)</f>
        <v/>
      </c>
      <c r="L8258" s="62">
        <f>K8258-(F8258*I8258)</f>
        <v/>
      </c>
      <c r="M8258" s="64">
        <f>L8258/K8258</f>
        <v/>
      </c>
    </row>
    <row r="8259">
      <c r="A8259" s="58" t="inlineStr">
        <is>
          <t>RT20250725-08258</t>
        </is>
      </c>
      <c r="B8259" s="59" t="inlineStr">
        <is>
          <t>2025-07-25</t>
        </is>
      </c>
      <c r="C8259" s="60" t="inlineStr">
        <is>
          <t>Metro Decor Lite-325</t>
        </is>
      </c>
      <c r="D8259" s="58" t="inlineStr">
        <is>
          <t>Home</t>
        </is>
      </c>
      <c r="E8259" s="58" t="inlineStr">
        <is>
          <t>Central</t>
        </is>
      </c>
      <c r="F8259" s="61" t="n">
        <v>3</v>
      </c>
      <c r="G8259" s="62" t="n">
        <v>596.02</v>
      </c>
      <c r="H8259" s="63" t="n">
        <v>0.101</v>
      </c>
      <c r="I8259" s="62" t="n">
        <v>386.22</v>
      </c>
      <c r="J8259" s="58" t="inlineStr">
        <is>
          <t>Store</t>
        </is>
      </c>
      <c r="K8259" s="62">
        <f>F8259*(G8259-H8259)</f>
        <v/>
      </c>
      <c r="L8259" s="62">
        <f>K8259-(F8259*I8259)</f>
        <v/>
      </c>
      <c r="M8259" s="64">
        <f>L8259/K8259</f>
        <v/>
      </c>
    </row>
    <row r="8260">
      <c r="A8260" s="58" t="inlineStr">
        <is>
          <t>RT20250725-08259</t>
        </is>
      </c>
      <c r="B8260" s="59" t="inlineStr">
        <is>
          <t>2025-07-25</t>
        </is>
      </c>
      <c r="C8260" s="60" t="inlineStr">
        <is>
          <t>Orion Snack X-322</t>
        </is>
      </c>
      <c r="D8260" s="58" t="inlineStr">
        <is>
          <t>Grocery</t>
        </is>
      </c>
      <c r="E8260" s="58" t="inlineStr">
        <is>
          <t>East</t>
        </is>
      </c>
      <c r="F8260" s="61" t="n">
        <v>7</v>
      </c>
      <c r="G8260" s="62" t="n">
        <v>13.06</v>
      </c>
      <c r="H8260" s="63" t="n">
        <v>0.048</v>
      </c>
      <c r="I8260" s="62" t="n">
        <v>9.880000000000001</v>
      </c>
      <c r="J8260" s="58" t="inlineStr">
        <is>
          <t>Phone</t>
        </is>
      </c>
      <c r="K8260" s="62">
        <f>F8260*(G8260-H8260)</f>
        <v/>
      </c>
      <c r="L8260" s="62">
        <f>K8260-(F8260*I8260)</f>
        <v/>
      </c>
      <c r="M8260" s="64">
        <f>L8260/K8260</f>
        <v/>
      </c>
    </row>
    <row r="8261">
      <c r="A8261" s="58" t="inlineStr">
        <is>
          <t>RT20250725-08260</t>
        </is>
      </c>
      <c r="B8261" s="59" t="inlineStr">
        <is>
          <t>2025-07-25</t>
        </is>
      </c>
      <c r="C8261" s="60" t="inlineStr">
        <is>
          <t>Vertex Pantry Pro-165</t>
        </is>
      </c>
      <c r="D8261" s="58" t="inlineStr">
        <is>
          <t>Grocery</t>
        </is>
      </c>
      <c r="E8261" s="58" t="inlineStr">
        <is>
          <t>West</t>
        </is>
      </c>
      <c r="F8261" s="61" t="n">
        <v>7</v>
      </c>
      <c r="G8261" s="62" t="n">
        <v>15.75</v>
      </c>
      <c r="H8261" s="63" t="n">
        <v>0.063</v>
      </c>
      <c r="I8261" s="62" t="n">
        <v>11.57</v>
      </c>
      <c r="J8261" s="58" t="inlineStr">
        <is>
          <t>Store</t>
        </is>
      </c>
      <c r="K8261" s="62">
        <f>F8261*(G8261-H8261)</f>
        <v/>
      </c>
      <c r="L8261" s="62">
        <f>K8261-(F8261*I8261)</f>
        <v/>
      </c>
      <c r="M8261" s="64">
        <f>L8261/K8261</f>
        <v/>
      </c>
    </row>
    <row r="8262">
      <c r="A8262" s="58" t="inlineStr">
        <is>
          <t>RT20250725-08261</t>
        </is>
      </c>
      <c r="B8262" s="59" t="inlineStr">
        <is>
          <t>2025-07-25</t>
        </is>
      </c>
      <c r="C8262" s="60" t="inlineStr">
        <is>
          <t>Falcon Furniture Plus-839</t>
        </is>
      </c>
      <c r="D8262" s="58" t="inlineStr">
        <is>
          <t>Office</t>
        </is>
      </c>
      <c r="E8262" s="58" t="inlineStr">
        <is>
          <t>East</t>
        </is>
      </c>
      <c r="F8262" s="61" t="n">
        <v>3</v>
      </c>
      <c r="G8262" s="62" t="n">
        <v>312.79</v>
      </c>
      <c r="H8262" s="63" t="n">
        <v>0.08</v>
      </c>
      <c r="I8262" s="62" t="n">
        <v>226.7</v>
      </c>
      <c r="J8262" s="58" t="inlineStr">
        <is>
          <t>Online</t>
        </is>
      </c>
      <c r="K8262" s="62">
        <f>F8262*(G8262-H8262)</f>
        <v/>
      </c>
      <c r="L8262" s="62">
        <f>K8262-(F8262*I8262)</f>
        <v/>
      </c>
      <c r="M8262" s="64">
        <f>L8262/K8262</f>
        <v/>
      </c>
    </row>
    <row r="8263">
      <c r="A8263" s="58" t="inlineStr">
        <is>
          <t>RT20250725-08262</t>
        </is>
      </c>
      <c r="B8263" s="59" t="inlineStr">
        <is>
          <t>2025-07-25</t>
        </is>
      </c>
      <c r="C8263" s="60" t="inlineStr">
        <is>
          <t>Solace Smartphone Lite-533</t>
        </is>
      </c>
      <c r="D8263" s="58" t="inlineStr">
        <is>
          <t>Electronics</t>
        </is>
      </c>
      <c r="E8263" s="58" t="inlineStr">
        <is>
          <t>North</t>
        </is>
      </c>
      <c r="F8263" s="61" t="n">
        <v>1</v>
      </c>
      <c r="G8263" s="62" t="n">
        <v>1302.08</v>
      </c>
      <c r="H8263" s="63" t="n">
        <v>0.055</v>
      </c>
      <c r="I8263" s="62" t="n">
        <v>928.7</v>
      </c>
      <c r="J8263" s="58" t="inlineStr">
        <is>
          <t>Online</t>
        </is>
      </c>
      <c r="K8263" s="62">
        <f>F8263*(G8263-H8263)</f>
        <v/>
      </c>
      <c r="L8263" s="62">
        <f>K8263-(F8263*I8263)</f>
        <v/>
      </c>
      <c r="M8263" s="64">
        <f>L8263/K8263</f>
        <v/>
      </c>
    </row>
    <row r="8264">
      <c r="A8264" s="58" t="inlineStr">
        <is>
          <t>RT20250725-08263</t>
        </is>
      </c>
      <c r="B8264" s="59" t="inlineStr">
        <is>
          <t>2025-07-25</t>
        </is>
      </c>
      <c r="C8264" s="60" t="inlineStr">
        <is>
          <t>Vertex Smartphone Lite-267</t>
        </is>
      </c>
      <c r="D8264" s="58" t="inlineStr">
        <is>
          <t>Electronics</t>
        </is>
      </c>
      <c r="E8264" s="58" t="inlineStr">
        <is>
          <t>South</t>
        </is>
      </c>
      <c r="F8264" s="61" t="n">
        <v>2</v>
      </c>
      <c r="G8264" s="62" t="n">
        <v>1188.41</v>
      </c>
      <c r="H8264" s="63" t="n">
        <v>0.066</v>
      </c>
      <c r="I8264" s="62" t="n">
        <v>969.67</v>
      </c>
      <c r="J8264" s="58" t="inlineStr">
        <is>
          <t>Online</t>
        </is>
      </c>
      <c r="K8264" s="62">
        <f>F8264*(G8264-H8264)</f>
        <v/>
      </c>
      <c r="L8264" s="62">
        <f>K8264-(F8264*I8264)</f>
        <v/>
      </c>
      <c r="M8264" s="64">
        <f>L8264/K8264</f>
        <v/>
      </c>
    </row>
    <row r="8265">
      <c r="A8265" s="58" t="inlineStr">
        <is>
          <t>RT20250725-08264</t>
        </is>
      </c>
      <c r="B8265" s="59" t="inlineStr">
        <is>
          <t>2025-07-25</t>
        </is>
      </c>
      <c r="C8265" s="60" t="inlineStr">
        <is>
          <t>Vertex Appliance Max-338</t>
        </is>
      </c>
      <c r="D8265" s="58" t="inlineStr">
        <is>
          <t>Home</t>
        </is>
      </c>
      <c r="E8265" s="58" t="inlineStr">
        <is>
          <t>East</t>
        </is>
      </c>
      <c r="F8265" s="61" t="n">
        <v>1</v>
      </c>
      <c r="G8265" s="62" t="n">
        <v>357.48</v>
      </c>
      <c r="H8265" s="63" t="n">
        <v>0.045</v>
      </c>
      <c r="I8265" s="62" t="n">
        <v>280.28</v>
      </c>
      <c r="J8265" s="58" t="inlineStr">
        <is>
          <t>Online</t>
        </is>
      </c>
      <c r="K8265" s="62">
        <f>F8265*(G8265-H8265)</f>
        <v/>
      </c>
      <c r="L8265" s="62">
        <f>K8265-(F8265*I8265)</f>
        <v/>
      </c>
      <c r="M8265" s="64">
        <f>L8265/K8265</f>
        <v/>
      </c>
    </row>
    <row r="8266">
      <c r="A8266" s="58" t="inlineStr">
        <is>
          <t>RT20250725-08265</t>
        </is>
      </c>
      <c r="B8266" s="59" t="inlineStr">
        <is>
          <t>2025-07-25</t>
        </is>
      </c>
      <c r="C8266" s="60" t="inlineStr">
        <is>
          <t>Solace Makeup Pro-214</t>
        </is>
      </c>
      <c r="D8266" s="58" t="inlineStr">
        <is>
          <t>Beauty</t>
        </is>
      </c>
      <c r="E8266" s="58" t="inlineStr">
        <is>
          <t>East</t>
        </is>
      </c>
      <c r="F8266" s="61" t="n">
        <v>4</v>
      </c>
      <c r="G8266" s="62" t="n">
        <v>105.66</v>
      </c>
      <c r="H8266" s="63" t="n">
        <v>0.119</v>
      </c>
      <c r="I8266" s="62" t="n">
        <v>66.84</v>
      </c>
      <c r="J8266" s="58" t="inlineStr">
        <is>
          <t>Online</t>
        </is>
      </c>
      <c r="K8266" s="62">
        <f>F8266*(G8266-H8266)</f>
        <v/>
      </c>
      <c r="L8266" s="62">
        <f>K8266-(F8266*I8266)</f>
        <v/>
      </c>
      <c r="M8266" s="64">
        <f>L8266/K8266</f>
        <v/>
      </c>
    </row>
    <row r="8267">
      <c r="A8267" s="58" t="inlineStr">
        <is>
          <t>RT20250725-08266</t>
        </is>
      </c>
      <c r="B8267" s="59" t="inlineStr">
        <is>
          <t>2025-07-25</t>
        </is>
      </c>
      <c r="C8267" s="60" t="inlineStr">
        <is>
          <t>Vertex Smartphone Pro-256</t>
        </is>
      </c>
      <c r="D8267" s="58" t="inlineStr">
        <is>
          <t>Electronics</t>
        </is>
      </c>
      <c r="E8267" s="58" t="inlineStr">
        <is>
          <t>East</t>
        </is>
      </c>
      <c r="F8267" s="61" t="n">
        <v>1</v>
      </c>
      <c r="G8267" s="62" t="n">
        <v>1130.48</v>
      </c>
      <c r="H8267" s="63" t="n">
        <v>0.064</v>
      </c>
      <c r="I8267" s="62" t="n">
        <v>911.12</v>
      </c>
      <c r="J8267" s="58" t="inlineStr">
        <is>
          <t>Store</t>
        </is>
      </c>
      <c r="K8267" s="62">
        <f>F8267*(G8267-H8267)</f>
        <v/>
      </c>
      <c r="L8267" s="62">
        <f>K8267-(F8267*I8267)</f>
        <v/>
      </c>
      <c r="M8267" s="64">
        <f>L8267/K8267</f>
        <v/>
      </c>
    </row>
    <row r="8268">
      <c r="A8268" s="58" t="inlineStr">
        <is>
          <t>RT20250725-08267</t>
        </is>
      </c>
      <c r="B8268" s="59" t="inlineStr">
        <is>
          <t>2025-07-25</t>
        </is>
      </c>
      <c r="C8268" s="60" t="inlineStr">
        <is>
          <t>Metro Accessorie Lite-697</t>
        </is>
      </c>
      <c r="D8268" s="58" t="inlineStr">
        <is>
          <t>Apparel</t>
        </is>
      </c>
      <c r="E8268" s="58" t="inlineStr">
        <is>
          <t>South</t>
        </is>
      </c>
      <c r="F8268" s="61" t="n">
        <v>3</v>
      </c>
      <c r="G8268" s="62" t="n">
        <v>132.35</v>
      </c>
      <c r="H8268" s="63" t="n">
        <v>0.023</v>
      </c>
      <c r="I8268" s="62" t="n">
        <v>74.91</v>
      </c>
      <c r="J8268" s="58" t="inlineStr">
        <is>
          <t>Online</t>
        </is>
      </c>
      <c r="K8268" s="62">
        <f>F8268*(G8268-H8268)</f>
        <v/>
      </c>
      <c r="L8268" s="62">
        <f>K8268-(F8268*I8268)</f>
        <v/>
      </c>
      <c r="M8268" s="64">
        <f>L8268/K8268</f>
        <v/>
      </c>
    </row>
    <row r="8269">
      <c r="A8269" s="58" t="inlineStr">
        <is>
          <t>RT20250725-08268</t>
        </is>
      </c>
      <c r="B8269" s="59" t="inlineStr">
        <is>
          <t>2025-07-25</t>
        </is>
      </c>
      <c r="C8269" s="60" t="inlineStr">
        <is>
          <t>Falcon Household Pro-865</t>
        </is>
      </c>
      <c r="D8269" s="58" t="inlineStr">
        <is>
          <t>Grocery</t>
        </is>
      </c>
      <c r="E8269" s="58" t="inlineStr">
        <is>
          <t>East</t>
        </is>
      </c>
      <c r="F8269" s="61" t="n">
        <v>2</v>
      </c>
      <c r="G8269" s="62" t="n">
        <v>9.789999999999999</v>
      </c>
      <c r="H8269" s="63" t="n">
        <v>0.057</v>
      </c>
      <c r="I8269" s="62" t="n">
        <v>7.68</v>
      </c>
      <c r="J8269" s="58" t="inlineStr">
        <is>
          <t>Online</t>
        </is>
      </c>
      <c r="K8269" s="62">
        <f>F8269*(G8269-H8269)</f>
        <v/>
      </c>
      <c r="L8269" s="62">
        <f>K8269-(F8269*I8269)</f>
        <v/>
      </c>
      <c r="M8269" s="64">
        <f>L8269/K8269</f>
        <v/>
      </c>
    </row>
    <row r="8270">
      <c r="A8270" s="58" t="inlineStr">
        <is>
          <t>RT20250725-08269</t>
        </is>
      </c>
      <c r="B8270" s="59" t="inlineStr">
        <is>
          <t>2025-07-25</t>
        </is>
      </c>
      <c r="C8270" s="60" t="inlineStr">
        <is>
          <t>Polar Outdoor X-193</t>
        </is>
      </c>
      <c r="D8270" s="58" t="inlineStr">
        <is>
          <t>Sports</t>
        </is>
      </c>
      <c r="E8270" s="58" t="inlineStr">
        <is>
          <t>Central</t>
        </is>
      </c>
      <c r="F8270" s="61" t="n">
        <v>1</v>
      </c>
      <c r="G8270" s="62" t="n">
        <v>612.48</v>
      </c>
      <c r="H8270" s="63" t="n">
        <v>0.08699999999999999</v>
      </c>
      <c r="I8270" s="62" t="n">
        <v>449.85</v>
      </c>
      <c r="J8270" s="58" t="inlineStr">
        <is>
          <t>Online</t>
        </is>
      </c>
      <c r="K8270" s="62">
        <f>F8270*(G8270-H8270)</f>
        <v/>
      </c>
      <c r="L8270" s="62">
        <f>K8270-(F8270*I8270)</f>
        <v/>
      </c>
      <c r="M8270" s="64">
        <f>L8270/K8270</f>
        <v/>
      </c>
    </row>
    <row r="8271">
      <c r="A8271" s="58" t="inlineStr">
        <is>
          <t>RT20250725-08270</t>
        </is>
      </c>
      <c r="B8271" s="59" t="inlineStr">
        <is>
          <t>2025-07-25</t>
        </is>
      </c>
      <c r="C8271" s="60" t="inlineStr">
        <is>
          <t>Aurora Fragrance S-971</t>
        </is>
      </c>
      <c r="D8271" s="58" t="inlineStr">
        <is>
          <t>Beauty</t>
        </is>
      </c>
      <c r="E8271" s="58" t="inlineStr">
        <is>
          <t>East</t>
        </is>
      </c>
      <c r="F8271" s="61" t="n">
        <v>3</v>
      </c>
      <c r="G8271" s="62" t="n">
        <v>105.27</v>
      </c>
      <c r="H8271" s="63" t="n">
        <v>0.045</v>
      </c>
      <c r="I8271" s="62" t="n">
        <v>66.13</v>
      </c>
      <c r="J8271" s="58" t="inlineStr">
        <is>
          <t>Store</t>
        </is>
      </c>
      <c r="K8271" s="62">
        <f>F8271*(G8271-H8271)</f>
        <v/>
      </c>
      <c r="L8271" s="62">
        <f>K8271-(F8271*I8271)</f>
        <v/>
      </c>
      <c r="M8271" s="64">
        <f>L8271/K8271</f>
        <v/>
      </c>
    </row>
    <row r="8272">
      <c r="A8272" s="58" t="inlineStr">
        <is>
          <t>RT20250725-08271</t>
        </is>
      </c>
      <c r="B8272" s="59" t="inlineStr">
        <is>
          <t>2025-07-25</t>
        </is>
      </c>
      <c r="C8272" s="60" t="inlineStr">
        <is>
          <t>Vertex Men X-995</t>
        </is>
      </c>
      <c r="D8272" s="58" t="inlineStr">
        <is>
          <t>Apparel</t>
        </is>
      </c>
      <c r="E8272" s="58" t="inlineStr">
        <is>
          <t>South</t>
        </is>
      </c>
      <c r="F8272" s="61" t="n">
        <v>1</v>
      </c>
      <c r="G8272" s="62" t="n">
        <v>98.31999999999999</v>
      </c>
      <c r="H8272" s="63" t="n">
        <v>0.078</v>
      </c>
      <c r="I8272" s="62" t="n">
        <v>59.22</v>
      </c>
      <c r="J8272" s="58" t="inlineStr">
        <is>
          <t>Store</t>
        </is>
      </c>
      <c r="K8272" s="62">
        <f>F8272*(G8272-H8272)</f>
        <v/>
      </c>
      <c r="L8272" s="62">
        <f>K8272-(F8272*I8272)</f>
        <v/>
      </c>
      <c r="M8272" s="64">
        <f>L8272/K8272</f>
        <v/>
      </c>
    </row>
    <row r="8273">
      <c r="A8273" s="58" t="inlineStr">
        <is>
          <t>RT20250725-08272</t>
        </is>
      </c>
      <c r="B8273" s="59" t="inlineStr">
        <is>
          <t>2025-07-25</t>
        </is>
      </c>
      <c r="C8273" s="60" t="inlineStr">
        <is>
          <t>Solace Makeup Pro-214</t>
        </is>
      </c>
      <c r="D8273" s="58" t="inlineStr">
        <is>
          <t>Beauty</t>
        </is>
      </c>
      <c r="E8273" s="58" t="inlineStr">
        <is>
          <t>East</t>
        </is>
      </c>
      <c r="F8273" s="61" t="n">
        <v>1</v>
      </c>
      <c r="G8273" s="62" t="n">
        <v>110.4</v>
      </c>
      <c r="H8273" s="63" t="n">
        <v>0.111</v>
      </c>
      <c r="I8273" s="62" t="n">
        <v>66.13</v>
      </c>
      <c r="J8273" s="58" t="inlineStr">
        <is>
          <t>Online</t>
        </is>
      </c>
      <c r="K8273" s="62">
        <f>F8273*(G8273-H8273)</f>
        <v/>
      </c>
      <c r="L8273" s="62">
        <f>K8273-(F8273*I8273)</f>
        <v/>
      </c>
      <c r="M8273" s="64">
        <f>L8273/K8273</f>
        <v/>
      </c>
    </row>
    <row r="8274">
      <c r="A8274" s="58" t="inlineStr">
        <is>
          <t>RT20250725-08273</t>
        </is>
      </c>
      <c r="B8274" s="59" t="inlineStr">
        <is>
          <t>2025-07-25</t>
        </is>
      </c>
      <c r="C8274" s="60" t="inlineStr">
        <is>
          <t>Vertex Furniture S-652</t>
        </is>
      </c>
      <c r="D8274" s="58" t="inlineStr">
        <is>
          <t>Office</t>
        </is>
      </c>
      <c r="E8274" s="58" t="inlineStr">
        <is>
          <t>West</t>
        </is>
      </c>
      <c r="F8274" s="61" t="n">
        <v>2</v>
      </c>
      <c r="G8274" s="62" t="n">
        <v>369.34</v>
      </c>
      <c r="H8274" s="63" t="n">
        <v>0.046</v>
      </c>
      <c r="I8274" s="62" t="n">
        <v>268.76</v>
      </c>
      <c r="J8274" s="58" t="inlineStr">
        <is>
          <t>Store</t>
        </is>
      </c>
      <c r="K8274" s="62">
        <f>F8274*(G8274-H8274)</f>
        <v/>
      </c>
      <c r="L8274" s="62">
        <f>K8274-(F8274*I8274)</f>
        <v/>
      </c>
      <c r="M8274" s="64">
        <f>L8274/K8274</f>
        <v/>
      </c>
    </row>
    <row r="8275">
      <c r="A8275" s="58" t="inlineStr">
        <is>
          <t>RT20250725-08274</t>
        </is>
      </c>
      <c r="B8275" s="59" t="inlineStr">
        <is>
          <t>2025-07-25</t>
        </is>
      </c>
      <c r="C8275" s="60" t="inlineStr">
        <is>
          <t>Vertex Accessorie Pro-881</t>
        </is>
      </c>
      <c r="D8275" s="58" t="inlineStr">
        <is>
          <t>Apparel</t>
        </is>
      </c>
      <c r="E8275" s="58" t="inlineStr">
        <is>
          <t>South</t>
        </is>
      </c>
      <c r="F8275" s="61" t="n">
        <v>3</v>
      </c>
      <c r="G8275" s="62" t="n">
        <v>104.75</v>
      </c>
      <c r="H8275" s="63" t="n">
        <v>0.049</v>
      </c>
      <c r="I8275" s="62" t="n">
        <v>60.7</v>
      </c>
      <c r="J8275" s="58" t="inlineStr">
        <is>
          <t>Store</t>
        </is>
      </c>
      <c r="K8275" s="62">
        <f>F8275*(G8275-H8275)</f>
        <v/>
      </c>
      <c r="L8275" s="62">
        <f>K8275-(F8275*I8275)</f>
        <v/>
      </c>
      <c r="M8275" s="64">
        <f>L8275/K8275</f>
        <v/>
      </c>
    </row>
    <row r="8276">
      <c r="A8276" s="58" t="inlineStr">
        <is>
          <t>RT20250725-08275</t>
        </is>
      </c>
      <c r="B8276" s="59" t="inlineStr">
        <is>
          <t>2025-07-25</t>
        </is>
      </c>
      <c r="C8276" s="60" t="inlineStr">
        <is>
          <t>Aurora Kid Plus-151</t>
        </is>
      </c>
      <c r="D8276" s="58" t="inlineStr">
        <is>
          <t>Apparel</t>
        </is>
      </c>
      <c r="E8276" s="58" t="inlineStr">
        <is>
          <t>West</t>
        </is>
      </c>
      <c r="F8276" s="61" t="n">
        <v>3</v>
      </c>
      <c r="G8276" s="62" t="n">
        <v>99.2</v>
      </c>
      <c r="H8276" s="63" t="n">
        <v>0.036</v>
      </c>
      <c r="I8276" s="62" t="n">
        <v>64.87</v>
      </c>
      <c r="J8276" s="58" t="inlineStr">
        <is>
          <t>Online</t>
        </is>
      </c>
      <c r="K8276" s="62">
        <f>F8276*(G8276-H8276)</f>
        <v/>
      </c>
      <c r="L8276" s="62">
        <f>K8276-(F8276*I8276)</f>
        <v/>
      </c>
      <c r="M8276" s="64">
        <f>L8276/K8276</f>
        <v/>
      </c>
    </row>
    <row r="8277">
      <c r="A8277" s="58" t="inlineStr">
        <is>
          <t>RT20250725-08276</t>
        </is>
      </c>
      <c r="B8277" s="59" t="inlineStr">
        <is>
          <t>2025-07-25</t>
        </is>
      </c>
      <c r="C8277" s="60" t="inlineStr">
        <is>
          <t>Falcon Furniture Plus-839</t>
        </is>
      </c>
      <c r="D8277" s="58" t="inlineStr">
        <is>
          <t>Office</t>
        </is>
      </c>
      <c r="E8277" s="58" t="inlineStr">
        <is>
          <t>West</t>
        </is>
      </c>
      <c r="F8277" s="61" t="n">
        <v>1</v>
      </c>
      <c r="G8277" s="62" t="n">
        <v>348.3</v>
      </c>
      <c r="H8277" s="63" t="n">
        <v>0.113</v>
      </c>
      <c r="I8277" s="62" t="n">
        <v>226.5</v>
      </c>
      <c r="J8277" s="58" t="inlineStr">
        <is>
          <t>Online</t>
        </is>
      </c>
      <c r="K8277" s="62">
        <f>F8277*(G8277-H8277)</f>
        <v/>
      </c>
      <c r="L8277" s="62">
        <f>K8277-(F8277*I8277)</f>
        <v/>
      </c>
      <c r="M8277" s="64">
        <f>L8277/K8277</f>
        <v/>
      </c>
    </row>
    <row r="8278">
      <c r="A8278" s="58" t="inlineStr">
        <is>
          <t>RT20250725-08277</t>
        </is>
      </c>
      <c r="B8278" s="59" t="inlineStr">
        <is>
          <t>2025-07-25</t>
        </is>
      </c>
      <c r="C8278" s="60" t="inlineStr">
        <is>
          <t>Orion Snack X-322</t>
        </is>
      </c>
      <c r="D8278" s="58" t="inlineStr">
        <is>
          <t>Grocery</t>
        </is>
      </c>
      <c r="E8278" s="58" t="inlineStr">
        <is>
          <t>West</t>
        </is>
      </c>
      <c r="F8278" s="61" t="n">
        <v>2</v>
      </c>
      <c r="G8278" s="62" t="n">
        <v>13.72</v>
      </c>
      <c r="H8278" s="63" t="n">
        <v>0.076</v>
      </c>
      <c r="I8278" s="62" t="n">
        <v>10.35</v>
      </c>
      <c r="J8278" s="58" t="inlineStr">
        <is>
          <t>Online</t>
        </is>
      </c>
      <c r="K8278" s="62">
        <f>F8278*(G8278-H8278)</f>
        <v/>
      </c>
      <c r="L8278" s="62">
        <f>K8278-(F8278*I8278)</f>
        <v/>
      </c>
      <c r="M8278" s="64">
        <f>L8278/K8278</f>
        <v/>
      </c>
    </row>
    <row r="8279">
      <c r="A8279" s="58" t="inlineStr">
        <is>
          <t>RT20250725-08278</t>
        </is>
      </c>
      <c r="B8279" s="59" t="inlineStr">
        <is>
          <t>2025-07-25</t>
        </is>
      </c>
      <c r="C8279" s="60" t="inlineStr">
        <is>
          <t>Falcon Wearable X-334</t>
        </is>
      </c>
      <c r="D8279" s="58" t="inlineStr">
        <is>
          <t>Electronics</t>
        </is>
      </c>
      <c r="E8279" s="58" t="inlineStr">
        <is>
          <t>South</t>
        </is>
      </c>
      <c r="F8279" s="61" t="n">
        <v>2</v>
      </c>
      <c r="G8279" s="62" t="n">
        <v>1929.13</v>
      </c>
      <c r="H8279" s="63" t="n">
        <v>0.065</v>
      </c>
      <c r="I8279" s="62" t="n">
        <v>1524.67</v>
      </c>
      <c r="J8279" s="58" t="inlineStr">
        <is>
          <t>Online</t>
        </is>
      </c>
      <c r="K8279" s="62">
        <f>F8279*(G8279-H8279)</f>
        <v/>
      </c>
      <c r="L8279" s="62">
        <f>K8279-(F8279*I8279)</f>
        <v/>
      </c>
      <c r="M8279" s="64">
        <f>L8279/K8279</f>
        <v/>
      </c>
    </row>
    <row r="8280">
      <c r="A8280" s="58" t="inlineStr">
        <is>
          <t>RT20250725-08279</t>
        </is>
      </c>
      <c r="B8280" s="59" t="inlineStr">
        <is>
          <t>2025-07-25</t>
        </is>
      </c>
      <c r="C8280" s="60" t="inlineStr">
        <is>
          <t>Solace Smartphone Lite-533</t>
        </is>
      </c>
      <c r="D8280" s="58" t="inlineStr">
        <is>
          <t>Electronics</t>
        </is>
      </c>
      <c r="E8280" s="58" t="inlineStr">
        <is>
          <t>East</t>
        </is>
      </c>
      <c r="F8280" s="61" t="n">
        <v>1</v>
      </c>
      <c r="G8280" s="62" t="n">
        <v>1255.5</v>
      </c>
      <c r="H8280" s="63" t="n">
        <v>0.07000000000000001</v>
      </c>
      <c r="I8280" s="62" t="n">
        <v>920.45</v>
      </c>
      <c r="J8280" s="58" t="inlineStr">
        <is>
          <t>Store</t>
        </is>
      </c>
      <c r="K8280" s="62">
        <f>F8280*(G8280-H8280)</f>
        <v/>
      </c>
      <c r="L8280" s="62">
        <f>K8280-(F8280*I8280)</f>
        <v/>
      </c>
      <c r="M8280" s="64">
        <f>L8280/K8280</f>
        <v/>
      </c>
    </row>
    <row r="8281">
      <c r="A8281" s="58" t="inlineStr">
        <is>
          <t>RT20250725-08280</t>
        </is>
      </c>
      <c r="B8281" s="59" t="inlineStr">
        <is>
          <t>2025-07-25</t>
        </is>
      </c>
      <c r="C8281" s="60" t="inlineStr">
        <is>
          <t>Solace Kitchen X-919</t>
        </is>
      </c>
      <c r="D8281" s="58" t="inlineStr">
        <is>
          <t>Home</t>
        </is>
      </c>
      <c r="E8281" s="58" t="inlineStr">
        <is>
          <t>South</t>
        </is>
      </c>
      <c r="F8281" s="61" t="n">
        <v>1</v>
      </c>
      <c r="G8281" s="62" t="n">
        <v>388.66</v>
      </c>
      <c r="H8281" s="63" t="n">
        <v>0.078</v>
      </c>
      <c r="I8281" s="62" t="n">
        <v>257.88</v>
      </c>
      <c r="J8281" s="58" t="inlineStr">
        <is>
          <t>Store</t>
        </is>
      </c>
      <c r="K8281" s="62">
        <f>F8281*(G8281-H8281)</f>
        <v/>
      </c>
      <c r="L8281" s="62">
        <f>K8281-(F8281*I8281)</f>
        <v/>
      </c>
      <c r="M8281" s="64">
        <f>L8281/K8281</f>
        <v/>
      </c>
    </row>
    <row r="8282">
      <c r="A8282" s="58" t="inlineStr">
        <is>
          <t>RT20250725-08281</t>
        </is>
      </c>
      <c r="B8282" s="59" t="inlineStr">
        <is>
          <t>2025-07-25</t>
        </is>
      </c>
      <c r="C8282" s="60" t="inlineStr">
        <is>
          <t>Falcon Headphone Pro-713</t>
        </is>
      </c>
      <c r="D8282" s="58" t="inlineStr">
        <is>
          <t>Electronics</t>
        </is>
      </c>
      <c r="E8282" s="58" t="inlineStr">
        <is>
          <t>Central</t>
        </is>
      </c>
      <c r="F8282" s="61" t="n">
        <v>1</v>
      </c>
      <c r="G8282" s="62" t="n">
        <v>1546.17</v>
      </c>
      <c r="H8282" s="63" t="n">
        <v>0.054</v>
      </c>
      <c r="I8282" s="62" t="n">
        <v>1172.29</v>
      </c>
      <c r="J8282" s="58" t="inlineStr">
        <is>
          <t>Online</t>
        </is>
      </c>
      <c r="K8282" s="62">
        <f>F8282*(G8282-H8282)</f>
        <v/>
      </c>
      <c r="L8282" s="62">
        <f>K8282-(F8282*I8282)</f>
        <v/>
      </c>
      <c r="M8282" s="64">
        <f>L8282/K8282</f>
        <v/>
      </c>
    </row>
    <row r="8283">
      <c r="A8283" s="58" t="inlineStr">
        <is>
          <t>RT20250725-08282</t>
        </is>
      </c>
      <c r="B8283" s="59" t="inlineStr">
        <is>
          <t>2025-07-25</t>
        </is>
      </c>
      <c r="C8283" s="60" t="inlineStr">
        <is>
          <t>Vertex Appliance S-296</t>
        </is>
      </c>
      <c r="D8283" s="58" t="inlineStr">
        <is>
          <t>Home</t>
        </is>
      </c>
      <c r="E8283" s="58" t="inlineStr">
        <is>
          <t>West</t>
        </is>
      </c>
      <c r="F8283" s="61" t="n">
        <v>2</v>
      </c>
      <c r="G8283" s="62" t="n">
        <v>500.33</v>
      </c>
      <c r="H8283" s="63" t="n">
        <v>0.031</v>
      </c>
      <c r="I8283" s="62" t="n">
        <v>351.83</v>
      </c>
      <c r="J8283" s="58" t="inlineStr">
        <is>
          <t>Online</t>
        </is>
      </c>
      <c r="K8283" s="62">
        <f>F8283*(G8283-H8283)</f>
        <v/>
      </c>
      <c r="L8283" s="62">
        <f>K8283-(F8283*I8283)</f>
        <v/>
      </c>
      <c r="M8283" s="64">
        <f>L8283/K8283</f>
        <v/>
      </c>
    </row>
    <row r="8284">
      <c r="A8284" s="58" t="inlineStr">
        <is>
          <t>RT20250725-08283</t>
        </is>
      </c>
      <c r="B8284" s="59" t="inlineStr">
        <is>
          <t>2025-07-25</t>
        </is>
      </c>
      <c r="C8284" s="60" t="inlineStr">
        <is>
          <t>Metro Smartphone Max-773</t>
        </is>
      </c>
      <c r="D8284" s="58" t="inlineStr">
        <is>
          <t>Electronics</t>
        </is>
      </c>
      <c r="E8284" s="58" t="inlineStr">
        <is>
          <t>East</t>
        </is>
      </c>
      <c r="F8284" s="61" t="n">
        <v>2</v>
      </c>
      <c r="G8284" s="62" t="n">
        <v>1478.67</v>
      </c>
      <c r="H8284" s="63" t="n">
        <v>0.094</v>
      </c>
      <c r="I8284" s="62" t="n">
        <v>1124.86</v>
      </c>
      <c r="J8284" s="58" t="inlineStr">
        <is>
          <t>Store</t>
        </is>
      </c>
      <c r="K8284" s="62">
        <f>F8284*(G8284-H8284)</f>
        <v/>
      </c>
      <c r="L8284" s="62">
        <f>K8284-(F8284*I8284)</f>
        <v/>
      </c>
      <c r="M8284" s="64">
        <f>L8284/K8284</f>
        <v/>
      </c>
    </row>
    <row r="8285">
      <c r="A8285" s="58" t="inlineStr">
        <is>
          <t>RT20250725-08284</t>
        </is>
      </c>
      <c r="B8285" s="59" t="inlineStr">
        <is>
          <t>2025-07-25</t>
        </is>
      </c>
      <c r="C8285" s="60" t="inlineStr">
        <is>
          <t>Solace Bedding Plus-317</t>
        </is>
      </c>
      <c r="D8285" s="58" t="inlineStr">
        <is>
          <t>Home</t>
        </is>
      </c>
      <c r="E8285" s="58" t="inlineStr">
        <is>
          <t>South</t>
        </is>
      </c>
      <c r="F8285" s="61" t="n">
        <v>2</v>
      </c>
      <c r="G8285" s="62" t="n">
        <v>543.64</v>
      </c>
      <c r="H8285" s="63" t="n">
        <v>0.055</v>
      </c>
      <c r="I8285" s="62" t="n">
        <v>384.96</v>
      </c>
      <c r="J8285" s="58" t="inlineStr">
        <is>
          <t>Phone</t>
        </is>
      </c>
      <c r="K8285" s="62">
        <f>F8285*(G8285-H8285)</f>
        <v/>
      </c>
      <c r="L8285" s="62">
        <f>K8285-(F8285*I8285)</f>
        <v/>
      </c>
      <c r="M8285" s="64">
        <f>L8285/K8285</f>
        <v/>
      </c>
    </row>
    <row r="8286">
      <c r="A8286" s="58" t="inlineStr">
        <is>
          <t>RT20250726-08285</t>
        </is>
      </c>
      <c r="B8286" s="59" t="inlineStr">
        <is>
          <t>2025-07-26</t>
        </is>
      </c>
      <c r="C8286" s="60" t="inlineStr">
        <is>
          <t>Polar Decor X-935</t>
        </is>
      </c>
      <c r="D8286" s="58" t="inlineStr">
        <is>
          <t>Home</t>
        </is>
      </c>
      <c r="E8286" s="58" t="inlineStr">
        <is>
          <t>Central</t>
        </is>
      </c>
      <c r="F8286" s="61" t="n">
        <v>1</v>
      </c>
      <c r="G8286" s="62" t="n">
        <v>286.34</v>
      </c>
      <c r="H8286" s="63" t="n">
        <v>0.058</v>
      </c>
      <c r="I8286" s="62" t="n">
        <v>203.91</v>
      </c>
      <c r="J8286" s="58" t="inlineStr">
        <is>
          <t>Online</t>
        </is>
      </c>
      <c r="K8286" s="62">
        <f>F8286*(G8286-H8286)</f>
        <v/>
      </c>
      <c r="L8286" s="62">
        <f>K8286-(F8286*I8286)</f>
        <v/>
      </c>
      <c r="M8286" s="64">
        <f>L8286/K8286</f>
        <v/>
      </c>
    </row>
    <row r="8287">
      <c r="A8287" s="58" t="inlineStr">
        <is>
          <t>RT20250726-08286</t>
        </is>
      </c>
      <c r="B8287" s="59" t="inlineStr">
        <is>
          <t>2025-07-26</t>
        </is>
      </c>
      <c r="C8287" s="60" t="inlineStr">
        <is>
          <t>Orion Men X-928</t>
        </is>
      </c>
      <c r="D8287" s="58" t="inlineStr">
        <is>
          <t>Apparel</t>
        </is>
      </c>
      <c r="E8287" s="58" t="inlineStr">
        <is>
          <t>South</t>
        </is>
      </c>
      <c r="F8287" s="61" t="n">
        <v>4</v>
      </c>
      <c r="G8287" s="62" t="n">
        <v>111.73</v>
      </c>
      <c r="H8287" s="63" t="n">
        <v>0.038</v>
      </c>
      <c r="I8287" s="62" t="n">
        <v>63.47</v>
      </c>
      <c r="J8287" s="58" t="inlineStr">
        <is>
          <t>Online</t>
        </is>
      </c>
      <c r="K8287" s="62">
        <f>F8287*(G8287-H8287)</f>
        <v/>
      </c>
      <c r="L8287" s="62">
        <f>K8287-(F8287*I8287)</f>
        <v/>
      </c>
      <c r="M8287" s="64">
        <f>L8287/K8287</f>
        <v/>
      </c>
    </row>
    <row r="8288">
      <c r="A8288" s="58" t="inlineStr">
        <is>
          <t>RT20250726-08287</t>
        </is>
      </c>
      <c r="B8288" s="59" t="inlineStr">
        <is>
          <t>2025-07-26</t>
        </is>
      </c>
      <c r="C8288" s="60" t="inlineStr">
        <is>
          <t>Falcon Bedding S-674</t>
        </is>
      </c>
      <c r="D8288" s="58" t="inlineStr">
        <is>
          <t>Home</t>
        </is>
      </c>
      <c r="E8288" s="58" t="inlineStr">
        <is>
          <t>East</t>
        </is>
      </c>
      <c r="F8288" s="61" t="n">
        <v>3</v>
      </c>
      <c r="G8288" s="62" t="n">
        <v>635.0700000000001</v>
      </c>
      <c r="H8288" s="63" t="n">
        <v>0.041</v>
      </c>
      <c r="I8288" s="62" t="n">
        <v>448.92</v>
      </c>
      <c r="J8288" s="58" t="inlineStr">
        <is>
          <t>Store</t>
        </is>
      </c>
      <c r="K8288" s="62">
        <f>F8288*(G8288-H8288)</f>
        <v/>
      </c>
      <c r="L8288" s="62">
        <f>K8288-(F8288*I8288)</f>
        <v/>
      </c>
      <c r="M8288" s="64">
        <f>L8288/K8288</f>
        <v/>
      </c>
    </row>
    <row r="8289">
      <c r="A8289" s="58" t="inlineStr">
        <is>
          <t>RT20250726-08288</t>
        </is>
      </c>
      <c r="B8289" s="59" t="inlineStr">
        <is>
          <t>2025-07-26</t>
        </is>
      </c>
      <c r="C8289" s="60" t="inlineStr">
        <is>
          <t>Polar Beverage S-258</t>
        </is>
      </c>
      <c r="D8289" s="58" t="inlineStr">
        <is>
          <t>Grocery</t>
        </is>
      </c>
      <c r="E8289" s="58" t="inlineStr">
        <is>
          <t>West</t>
        </is>
      </c>
      <c r="F8289" s="61" t="n">
        <v>2</v>
      </c>
      <c r="G8289" s="62" t="n">
        <v>14.19</v>
      </c>
      <c r="H8289" s="63" t="n">
        <v>0.079</v>
      </c>
      <c r="I8289" s="62" t="n">
        <v>9.789999999999999</v>
      </c>
      <c r="J8289" s="58" t="inlineStr">
        <is>
          <t>Store</t>
        </is>
      </c>
      <c r="K8289" s="62">
        <f>F8289*(G8289-H8289)</f>
        <v/>
      </c>
      <c r="L8289" s="62">
        <f>K8289-(F8289*I8289)</f>
        <v/>
      </c>
      <c r="M8289" s="64">
        <f>L8289/K8289</f>
        <v/>
      </c>
    </row>
    <row r="8290">
      <c r="A8290" s="58" t="inlineStr">
        <is>
          <t>RT20250726-08289</t>
        </is>
      </c>
      <c r="B8290" s="59" t="inlineStr">
        <is>
          <t>2025-07-26</t>
        </is>
      </c>
      <c r="C8290" s="60" t="inlineStr">
        <is>
          <t>Aurora Bedding Max-175</t>
        </is>
      </c>
      <c r="D8290" s="58" t="inlineStr">
        <is>
          <t>Home</t>
        </is>
      </c>
      <c r="E8290" s="58" t="inlineStr">
        <is>
          <t>South</t>
        </is>
      </c>
      <c r="F8290" s="61" t="n">
        <v>2</v>
      </c>
      <c r="G8290" s="62" t="n">
        <v>637.67</v>
      </c>
      <c r="H8290" s="63" t="n">
        <v>0.079</v>
      </c>
      <c r="I8290" s="62" t="n">
        <v>402.88</v>
      </c>
      <c r="J8290" s="58" t="inlineStr">
        <is>
          <t>Store</t>
        </is>
      </c>
      <c r="K8290" s="62">
        <f>F8290*(G8290-H8290)</f>
        <v/>
      </c>
      <c r="L8290" s="62">
        <f>K8290-(F8290*I8290)</f>
        <v/>
      </c>
      <c r="M8290" s="64">
        <f>L8290/K8290</f>
        <v/>
      </c>
    </row>
    <row r="8291">
      <c r="A8291" s="58" t="inlineStr">
        <is>
          <t>RT20250726-08290</t>
        </is>
      </c>
      <c r="B8291" s="59" t="inlineStr">
        <is>
          <t>2025-07-26</t>
        </is>
      </c>
      <c r="C8291" s="60" t="inlineStr">
        <is>
          <t>Falcon Headphone Pro-713</t>
        </is>
      </c>
      <c r="D8291" s="58" t="inlineStr">
        <is>
          <t>Electronics</t>
        </is>
      </c>
      <c r="E8291" s="58" t="inlineStr">
        <is>
          <t>East</t>
        </is>
      </c>
      <c r="F8291" s="61" t="n">
        <v>1</v>
      </c>
      <c r="G8291" s="62" t="n">
        <v>1588.92</v>
      </c>
      <c r="H8291" s="63" t="n">
        <v>0.05</v>
      </c>
      <c r="I8291" s="62" t="n">
        <v>1165.04</v>
      </c>
      <c r="J8291" s="58" t="inlineStr">
        <is>
          <t>Online</t>
        </is>
      </c>
      <c r="K8291" s="62">
        <f>F8291*(G8291-H8291)</f>
        <v/>
      </c>
      <c r="L8291" s="62">
        <f>K8291-(F8291*I8291)</f>
        <v/>
      </c>
      <c r="M8291" s="64">
        <f>L8291/K8291</f>
        <v/>
      </c>
    </row>
    <row r="8292">
      <c r="A8292" s="58" t="inlineStr">
        <is>
          <t>RT20250726-08291</t>
        </is>
      </c>
      <c r="B8292" s="59" t="inlineStr">
        <is>
          <t>2025-07-26</t>
        </is>
      </c>
      <c r="C8292" s="60" t="inlineStr">
        <is>
          <t>Metro Pantry X-710</t>
        </is>
      </c>
      <c r="D8292" s="58" t="inlineStr">
        <is>
          <t>Grocery</t>
        </is>
      </c>
      <c r="E8292" s="58" t="inlineStr">
        <is>
          <t>West</t>
        </is>
      </c>
      <c r="F8292" s="61" t="n">
        <v>2</v>
      </c>
      <c r="G8292" s="62" t="n">
        <v>5.81</v>
      </c>
      <c r="H8292" s="63" t="n">
        <v>0.018</v>
      </c>
      <c r="I8292" s="62" t="n">
        <v>4.09</v>
      </c>
      <c r="J8292" s="58" t="inlineStr">
        <is>
          <t>Store</t>
        </is>
      </c>
      <c r="K8292" s="62">
        <f>F8292*(G8292-H8292)</f>
        <v/>
      </c>
      <c r="L8292" s="62">
        <f>K8292-(F8292*I8292)</f>
        <v/>
      </c>
      <c r="M8292" s="64">
        <f>L8292/K8292</f>
        <v/>
      </c>
    </row>
    <row r="8293">
      <c r="A8293" s="58" t="inlineStr">
        <is>
          <t>RT20250726-08292</t>
        </is>
      </c>
      <c r="B8293" s="59" t="inlineStr">
        <is>
          <t>2025-07-26</t>
        </is>
      </c>
      <c r="C8293" s="60" t="inlineStr">
        <is>
          <t>Vertex Decor Pro-618</t>
        </is>
      </c>
      <c r="D8293" s="58" t="inlineStr">
        <is>
          <t>Home</t>
        </is>
      </c>
      <c r="E8293" s="58" t="inlineStr">
        <is>
          <t>South</t>
        </is>
      </c>
      <c r="F8293" s="61" t="n">
        <v>1</v>
      </c>
      <c r="G8293" s="62" t="n">
        <v>524.45</v>
      </c>
      <c r="H8293" s="63" t="n">
        <v>0.08</v>
      </c>
      <c r="I8293" s="62" t="n">
        <v>379.81</v>
      </c>
      <c r="J8293" s="58" t="inlineStr">
        <is>
          <t>Online</t>
        </is>
      </c>
      <c r="K8293" s="62">
        <f>F8293*(G8293-H8293)</f>
        <v/>
      </c>
      <c r="L8293" s="62">
        <f>K8293-(F8293*I8293)</f>
        <v/>
      </c>
      <c r="M8293" s="64">
        <f>L8293/K8293</f>
        <v/>
      </c>
    </row>
    <row r="8294">
      <c r="A8294" s="58" t="inlineStr">
        <is>
          <t>RT20250726-08293</t>
        </is>
      </c>
      <c r="B8294" s="59" t="inlineStr">
        <is>
          <t>2025-07-26</t>
        </is>
      </c>
      <c r="C8294" s="60" t="inlineStr">
        <is>
          <t>Aurora Makeup S-626</t>
        </is>
      </c>
      <c r="D8294" s="58" t="inlineStr">
        <is>
          <t>Beauty</t>
        </is>
      </c>
      <c r="E8294" s="58" t="inlineStr">
        <is>
          <t>East</t>
        </is>
      </c>
      <c r="F8294" s="61" t="n">
        <v>3</v>
      </c>
      <c r="G8294" s="62" t="n">
        <v>102.76</v>
      </c>
      <c r="H8294" s="63" t="n">
        <v>0.08599999999999999</v>
      </c>
      <c r="I8294" s="62" t="n">
        <v>63.56</v>
      </c>
      <c r="J8294" s="58" t="inlineStr">
        <is>
          <t>Online</t>
        </is>
      </c>
      <c r="K8294" s="62">
        <f>F8294*(G8294-H8294)</f>
        <v/>
      </c>
      <c r="L8294" s="62">
        <f>K8294-(F8294*I8294)</f>
        <v/>
      </c>
      <c r="M8294" s="64">
        <f>L8294/K8294</f>
        <v/>
      </c>
    </row>
    <row r="8295">
      <c r="A8295" s="58" t="inlineStr">
        <is>
          <t>RT20250726-08294</t>
        </is>
      </c>
      <c r="B8295" s="59" t="inlineStr">
        <is>
          <t>2025-07-26</t>
        </is>
      </c>
      <c r="C8295" s="60" t="inlineStr">
        <is>
          <t>Orion Fragrance Lite-785</t>
        </is>
      </c>
      <c r="D8295" s="58" t="inlineStr">
        <is>
          <t>Beauty</t>
        </is>
      </c>
      <c r="E8295" s="58" t="inlineStr">
        <is>
          <t>West</t>
        </is>
      </c>
      <c r="F8295" s="61" t="n">
        <v>5</v>
      </c>
      <c r="G8295" s="62" t="n">
        <v>42.81</v>
      </c>
      <c r="H8295" s="63" t="n">
        <v>0.048</v>
      </c>
      <c r="I8295" s="62" t="n">
        <v>27.21</v>
      </c>
      <c r="J8295" s="58" t="inlineStr">
        <is>
          <t>Online</t>
        </is>
      </c>
      <c r="K8295" s="62">
        <f>F8295*(G8295-H8295)</f>
        <v/>
      </c>
      <c r="L8295" s="62">
        <f>K8295-(F8295*I8295)</f>
        <v/>
      </c>
      <c r="M8295" s="64">
        <f>L8295/K8295</f>
        <v/>
      </c>
    </row>
    <row r="8296">
      <c r="A8296" s="58" t="inlineStr">
        <is>
          <t>RT20250726-08295</t>
        </is>
      </c>
      <c r="B8296" s="59" t="inlineStr">
        <is>
          <t>2025-07-26</t>
        </is>
      </c>
      <c r="C8296" s="60" t="inlineStr">
        <is>
          <t>Falcon Cycling Pro-499</t>
        </is>
      </c>
      <c r="D8296" s="58" t="inlineStr">
        <is>
          <t>Sports</t>
        </is>
      </c>
      <c r="E8296" s="58" t="inlineStr">
        <is>
          <t>West</t>
        </is>
      </c>
      <c r="F8296" s="61" t="n">
        <v>3</v>
      </c>
      <c r="G8296" s="62" t="n">
        <v>617.1900000000001</v>
      </c>
      <c r="H8296" s="63" t="n">
        <v>0.076</v>
      </c>
      <c r="I8296" s="62" t="n">
        <v>409.27</v>
      </c>
      <c r="J8296" s="58" t="inlineStr">
        <is>
          <t>Phone</t>
        </is>
      </c>
      <c r="K8296" s="62">
        <f>F8296*(G8296-H8296)</f>
        <v/>
      </c>
      <c r="L8296" s="62">
        <f>K8296-(F8296*I8296)</f>
        <v/>
      </c>
      <c r="M8296" s="64">
        <f>L8296/K8296</f>
        <v/>
      </c>
    </row>
    <row r="8297">
      <c r="A8297" s="58" t="inlineStr">
        <is>
          <t>RT20250726-08296</t>
        </is>
      </c>
      <c r="B8297" s="59" t="inlineStr">
        <is>
          <t>2025-07-26</t>
        </is>
      </c>
      <c r="C8297" s="60" t="inlineStr">
        <is>
          <t>Nimbus Laptop Max-652</t>
        </is>
      </c>
      <c r="D8297" s="58" t="inlineStr">
        <is>
          <t>Electronics</t>
        </is>
      </c>
      <c r="E8297" s="58" t="inlineStr">
        <is>
          <t>West</t>
        </is>
      </c>
      <c r="F8297" s="61" t="n">
        <v>1</v>
      </c>
      <c r="G8297" s="62" t="n">
        <v>1366.16</v>
      </c>
      <c r="H8297" s="63" t="n">
        <v>0.04</v>
      </c>
      <c r="I8297" s="62" t="n">
        <v>1046.57</v>
      </c>
      <c r="J8297" s="58" t="inlineStr">
        <is>
          <t>Online</t>
        </is>
      </c>
      <c r="K8297" s="62">
        <f>F8297*(G8297-H8297)</f>
        <v/>
      </c>
      <c r="L8297" s="62">
        <f>K8297-(F8297*I8297)</f>
        <v/>
      </c>
      <c r="M8297" s="64">
        <f>L8297/K8297</f>
        <v/>
      </c>
    </row>
    <row r="8298">
      <c r="A8298" s="58" t="inlineStr">
        <is>
          <t>RT20250726-08297</t>
        </is>
      </c>
      <c r="B8298" s="59" t="inlineStr">
        <is>
          <t>2025-07-26</t>
        </is>
      </c>
      <c r="C8298" s="60" t="inlineStr">
        <is>
          <t>Orion Men X-928</t>
        </is>
      </c>
      <c r="D8298" s="58" t="inlineStr">
        <is>
          <t>Apparel</t>
        </is>
      </c>
      <c r="E8298" s="58" t="inlineStr">
        <is>
          <t>West</t>
        </is>
      </c>
      <c r="F8298" s="61" t="n">
        <v>4</v>
      </c>
      <c r="G8298" s="62" t="n">
        <v>106.37</v>
      </c>
      <c r="H8298" s="63" t="n">
        <v>0.119</v>
      </c>
      <c r="I8298" s="62" t="n">
        <v>63.42</v>
      </c>
      <c r="J8298" s="58" t="inlineStr">
        <is>
          <t>Online</t>
        </is>
      </c>
      <c r="K8298" s="62">
        <f>F8298*(G8298-H8298)</f>
        <v/>
      </c>
      <c r="L8298" s="62">
        <f>K8298-(F8298*I8298)</f>
        <v/>
      </c>
      <c r="M8298" s="64">
        <f>L8298/K8298</f>
        <v/>
      </c>
    </row>
    <row r="8299">
      <c r="A8299" s="58" t="inlineStr">
        <is>
          <t>RT20250726-08298</t>
        </is>
      </c>
      <c r="B8299" s="59" t="inlineStr">
        <is>
          <t>2025-07-26</t>
        </is>
      </c>
      <c r="C8299" s="60" t="inlineStr">
        <is>
          <t>Aurora Makeup S-626</t>
        </is>
      </c>
      <c r="D8299" s="58" t="inlineStr">
        <is>
          <t>Beauty</t>
        </is>
      </c>
      <c r="E8299" s="58" t="inlineStr">
        <is>
          <t>West</t>
        </is>
      </c>
      <c r="F8299" s="61" t="n">
        <v>3</v>
      </c>
      <c r="G8299" s="62" t="n">
        <v>105.55</v>
      </c>
      <c r="H8299" s="63" t="n">
        <v>0.073</v>
      </c>
      <c r="I8299" s="62" t="n">
        <v>65.25</v>
      </c>
      <c r="J8299" s="58" t="inlineStr">
        <is>
          <t>Online</t>
        </is>
      </c>
      <c r="K8299" s="62">
        <f>F8299*(G8299-H8299)</f>
        <v/>
      </c>
      <c r="L8299" s="62">
        <f>K8299-(F8299*I8299)</f>
        <v/>
      </c>
      <c r="M8299" s="64">
        <f>L8299/K8299</f>
        <v/>
      </c>
    </row>
    <row r="8300">
      <c r="A8300" s="58" t="inlineStr">
        <is>
          <t>RT20250726-08299</t>
        </is>
      </c>
      <c r="B8300" s="59" t="inlineStr">
        <is>
          <t>2025-07-26</t>
        </is>
      </c>
      <c r="C8300" s="60" t="inlineStr">
        <is>
          <t>Polar Wearable X-119</t>
        </is>
      </c>
      <c r="D8300" s="58" t="inlineStr">
        <is>
          <t>Electronics</t>
        </is>
      </c>
      <c r="E8300" s="58" t="inlineStr">
        <is>
          <t>Central</t>
        </is>
      </c>
      <c r="F8300" s="61" t="n">
        <v>2</v>
      </c>
      <c r="G8300" s="62" t="n">
        <v>1583.9</v>
      </c>
      <c r="H8300" s="63" t="n">
        <v>0.043</v>
      </c>
      <c r="I8300" s="62" t="n">
        <v>1361.42</v>
      </c>
      <c r="J8300" s="58" t="inlineStr">
        <is>
          <t>Store</t>
        </is>
      </c>
      <c r="K8300" s="62">
        <f>F8300*(G8300-H8300)</f>
        <v/>
      </c>
      <c r="L8300" s="62">
        <f>K8300-(F8300*I8300)</f>
        <v/>
      </c>
      <c r="M8300" s="64">
        <f>L8300/K8300</f>
        <v/>
      </c>
    </row>
    <row r="8301">
      <c r="A8301" s="58" t="inlineStr">
        <is>
          <t>RT20250726-08300</t>
        </is>
      </c>
      <c r="B8301" s="59" t="inlineStr">
        <is>
          <t>2025-07-26</t>
        </is>
      </c>
      <c r="C8301" s="60" t="inlineStr">
        <is>
          <t>Nimbus Furniture Pro-479</t>
        </is>
      </c>
      <c r="D8301" s="58" t="inlineStr">
        <is>
          <t>Office</t>
        </is>
      </c>
      <c r="E8301" s="58" t="inlineStr">
        <is>
          <t>Central</t>
        </is>
      </c>
      <c r="F8301" s="61" t="n">
        <v>2</v>
      </c>
      <c r="G8301" s="62" t="n">
        <v>352.46</v>
      </c>
      <c r="H8301" s="63" t="n">
        <v>0.059</v>
      </c>
      <c r="I8301" s="62" t="n">
        <v>242.23</v>
      </c>
      <c r="J8301" s="58" t="inlineStr">
        <is>
          <t>Store</t>
        </is>
      </c>
      <c r="K8301" s="62">
        <f>F8301*(G8301-H8301)</f>
        <v/>
      </c>
      <c r="L8301" s="62">
        <f>K8301-(F8301*I8301)</f>
        <v/>
      </c>
      <c r="M8301" s="64">
        <f>L8301/K8301</f>
        <v/>
      </c>
    </row>
    <row r="8302">
      <c r="A8302" s="58" t="inlineStr">
        <is>
          <t>RT20250726-08301</t>
        </is>
      </c>
      <c r="B8302" s="59" t="inlineStr">
        <is>
          <t>2025-07-26</t>
        </is>
      </c>
      <c r="C8302" s="60" t="inlineStr">
        <is>
          <t>Aurora Makeup Pro-489</t>
        </is>
      </c>
      <c r="D8302" s="58" t="inlineStr">
        <is>
          <t>Beauty</t>
        </is>
      </c>
      <c r="E8302" s="58" t="inlineStr">
        <is>
          <t>North</t>
        </is>
      </c>
      <c r="F8302" s="61" t="n">
        <v>2</v>
      </c>
      <c r="G8302" s="62" t="n">
        <v>99.91</v>
      </c>
      <c r="H8302" s="63" t="n">
        <v>0.075</v>
      </c>
      <c r="I8302" s="62" t="n">
        <v>65.19</v>
      </c>
      <c r="J8302" s="58" t="inlineStr">
        <is>
          <t>Online</t>
        </is>
      </c>
      <c r="K8302" s="62">
        <f>F8302*(G8302-H8302)</f>
        <v/>
      </c>
      <c r="L8302" s="62">
        <f>K8302-(F8302*I8302)</f>
        <v/>
      </c>
      <c r="M8302" s="64">
        <f>L8302/K8302</f>
        <v/>
      </c>
    </row>
    <row r="8303">
      <c r="A8303" s="58" t="inlineStr">
        <is>
          <t>RT20250726-08302</t>
        </is>
      </c>
      <c r="B8303" s="59" t="inlineStr">
        <is>
          <t>2025-07-26</t>
        </is>
      </c>
      <c r="C8303" s="60" t="inlineStr">
        <is>
          <t>Nimbus Cycling Plus-911</t>
        </is>
      </c>
      <c r="D8303" s="58" t="inlineStr">
        <is>
          <t>Sports</t>
        </is>
      </c>
      <c r="E8303" s="58" t="inlineStr">
        <is>
          <t>East</t>
        </is>
      </c>
      <c r="F8303" s="61" t="n">
        <v>3</v>
      </c>
      <c r="G8303" s="62" t="n">
        <v>597.3200000000001</v>
      </c>
      <c r="H8303" s="63" t="n">
        <v>0.099</v>
      </c>
      <c r="I8303" s="62" t="n">
        <v>397.23</v>
      </c>
      <c r="J8303" s="58" t="inlineStr">
        <is>
          <t>Online</t>
        </is>
      </c>
      <c r="K8303" s="62">
        <f>F8303*(G8303-H8303)</f>
        <v/>
      </c>
      <c r="L8303" s="62">
        <f>K8303-(F8303*I8303)</f>
        <v/>
      </c>
      <c r="M8303" s="64">
        <f>L8303/K8303</f>
        <v/>
      </c>
    </row>
    <row r="8304">
      <c r="A8304" s="58" t="inlineStr">
        <is>
          <t>RT20250726-08303</t>
        </is>
      </c>
      <c r="B8304" s="59" t="inlineStr">
        <is>
          <t>2025-07-26</t>
        </is>
      </c>
      <c r="C8304" s="60" t="inlineStr">
        <is>
          <t>Metro Fragrance Lite-261</t>
        </is>
      </c>
      <c r="D8304" s="58" t="inlineStr">
        <is>
          <t>Beauty</t>
        </is>
      </c>
      <c r="E8304" s="58" t="inlineStr">
        <is>
          <t>East</t>
        </is>
      </c>
      <c r="F8304" s="61" t="n">
        <v>2</v>
      </c>
      <c r="G8304" s="62" t="n">
        <v>88.84</v>
      </c>
      <c r="H8304" s="63" t="n">
        <v>0.09</v>
      </c>
      <c r="I8304" s="62" t="n">
        <v>53.92</v>
      </c>
      <c r="J8304" s="58" t="inlineStr">
        <is>
          <t>Online</t>
        </is>
      </c>
      <c r="K8304" s="62">
        <f>F8304*(G8304-H8304)</f>
        <v/>
      </c>
      <c r="L8304" s="62">
        <f>K8304-(F8304*I8304)</f>
        <v/>
      </c>
      <c r="M8304" s="64">
        <f>L8304/K8304</f>
        <v/>
      </c>
    </row>
    <row r="8305">
      <c r="A8305" s="58" t="inlineStr">
        <is>
          <t>RT20250726-08304</t>
        </is>
      </c>
      <c r="B8305" s="59" t="inlineStr">
        <is>
          <t>2025-07-26</t>
        </is>
      </c>
      <c r="C8305" s="60" t="inlineStr">
        <is>
          <t>Polar Haircare Max-614</t>
        </is>
      </c>
      <c r="D8305" s="58" t="inlineStr">
        <is>
          <t>Beauty</t>
        </is>
      </c>
      <c r="E8305" s="58" t="inlineStr">
        <is>
          <t>North</t>
        </is>
      </c>
      <c r="F8305" s="61" t="n">
        <v>4</v>
      </c>
      <c r="G8305" s="62" t="n">
        <v>120.73</v>
      </c>
      <c r="H8305" s="63" t="n">
        <v>0.051</v>
      </c>
      <c r="I8305" s="62" t="n">
        <v>68.09999999999999</v>
      </c>
      <c r="J8305" s="58" t="inlineStr">
        <is>
          <t>Store</t>
        </is>
      </c>
      <c r="K8305" s="62">
        <f>F8305*(G8305-H8305)</f>
        <v/>
      </c>
      <c r="L8305" s="62">
        <f>K8305-(F8305*I8305)</f>
        <v/>
      </c>
      <c r="M8305" s="64">
        <f>L8305/K8305</f>
        <v/>
      </c>
    </row>
    <row r="8306">
      <c r="A8306" s="58" t="inlineStr">
        <is>
          <t>RT20250726-08305</t>
        </is>
      </c>
      <c r="B8306" s="59" t="inlineStr">
        <is>
          <t>2025-07-26</t>
        </is>
      </c>
      <c r="C8306" s="60" t="inlineStr">
        <is>
          <t>Solace Snack S-691</t>
        </is>
      </c>
      <c r="D8306" s="58" t="inlineStr">
        <is>
          <t>Grocery</t>
        </is>
      </c>
      <c r="E8306" s="58" t="inlineStr">
        <is>
          <t>Central</t>
        </is>
      </c>
      <c r="F8306" s="61" t="n">
        <v>8</v>
      </c>
      <c r="G8306" s="62" t="n">
        <v>9.289999999999999</v>
      </c>
      <c r="H8306" s="63" t="n">
        <v>0.066</v>
      </c>
      <c r="I8306" s="62" t="n">
        <v>7.26</v>
      </c>
      <c r="J8306" s="58" t="inlineStr">
        <is>
          <t>Store</t>
        </is>
      </c>
      <c r="K8306" s="62">
        <f>F8306*(G8306-H8306)</f>
        <v/>
      </c>
      <c r="L8306" s="62">
        <f>K8306-(F8306*I8306)</f>
        <v/>
      </c>
      <c r="M8306" s="64">
        <f>L8306/K8306</f>
        <v/>
      </c>
    </row>
    <row r="8307">
      <c r="A8307" s="58" t="inlineStr">
        <is>
          <t>RT20250726-08306</t>
        </is>
      </c>
      <c r="B8307" s="59" t="inlineStr">
        <is>
          <t>2025-07-26</t>
        </is>
      </c>
      <c r="C8307" s="60" t="inlineStr">
        <is>
          <t>Aurora Appliance Lite-109</t>
        </is>
      </c>
      <c r="D8307" s="58" t="inlineStr">
        <is>
          <t>Home</t>
        </is>
      </c>
      <c r="E8307" s="58" t="inlineStr">
        <is>
          <t>South</t>
        </is>
      </c>
      <c r="F8307" s="61" t="n">
        <v>1</v>
      </c>
      <c r="G8307" s="62" t="n">
        <v>283.42</v>
      </c>
      <c r="H8307" s="63" t="n">
        <v>0.035</v>
      </c>
      <c r="I8307" s="62" t="n">
        <v>200.01</v>
      </c>
      <c r="J8307" s="58" t="inlineStr">
        <is>
          <t>Online</t>
        </is>
      </c>
      <c r="K8307" s="62">
        <f>F8307*(G8307-H8307)</f>
        <v/>
      </c>
      <c r="L8307" s="62">
        <f>K8307-(F8307*I8307)</f>
        <v/>
      </c>
      <c r="M8307" s="64">
        <f>L8307/K8307</f>
        <v/>
      </c>
    </row>
    <row r="8308">
      <c r="A8308" s="58" t="inlineStr">
        <is>
          <t>RT20250726-08307</t>
        </is>
      </c>
      <c r="B8308" s="59" t="inlineStr">
        <is>
          <t>2025-07-26</t>
        </is>
      </c>
      <c r="C8308" s="60" t="inlineStr">
        <is>
          <t>Polar Bedding Lite-243</t>
        </is>
      </c>
      <c r="D8308" s="58" t="inlineStr">
        <is>
          <t>Home</t>
        </is>
      </c>
      <c r="E8308" s="58" t="inlineStr">
        <is>
          <t>East</t>
        </is>
      </c>
      <c r="F8308" s="61" t="n">
        <v>1</v>
      </c>
      <c r="G8308" s="62" t="n">
        <v>487.64</v>
      </c>
      <c r="H8308" s="63" t="n">
        <v>0.029</v>
      </c>
      <c r="I8308" s="62" t="n">
        <v>312.51</v>
      </c>
      <c r="J8308" s="58" t="inlineStr">
        <is>
          <t>Store</t>
        </is>
      </c>
      <c r="K8308" s="62">
        <f>F8308*(G8308-H8308)</f>
        <v/>
      </c>
      <c r="L8308" s="62">
        <f>K8308-(F8308*I8308)</f>
        <v/>
      </c>
      <c r="M8308" s="64">
        <f>L8308/K8308</f>
        <v/>
      </c>
    </row>
    <row r="8309">
      <c r="A8309" s="58" t="inlineStr">
        <is>
          <t>RT20250726-08308</t>
        </is>
      </c>
      <c r="B8309" s="59" t="inlineStr">
        <is>
          <t>2025-07-26</t>
        </is>
      </c>
      <c r="C8309" s="60" t="inlineStr">
        <is>
          <t>Orion Team Sport X-926</t>
        </is>
      </c>
      <c r="D8309" s="58" t="inlineStr">
        <is>
          <t>Sports</t>
        </is>
      </c>
      <c r="E8309" s="58" t="inlineStr">
        <is>
          <t>South</t>
        </is>
      </c>
      <c r="F8309" s="61" t="n">
        <v>3</v>
      </c>
      <c r="G8309" s="62" t="n">
        <v>298.23</v>
      </c>
      <c r="H8309" s="63" t="n">
        <v>0.041</v>
      </c>
      <c r="I8309" s="62" t="n">
        <v>213.24</v>
      </c>
      <c r="J8309" s="58" t="inlineStr">
        <is>
          <t>Online</t>
        </is>
      </c>
      <c r="K8309" s="62">
        <f>F8309*(G8309-H8309)</f>
        <v/>
      </c>
      <c r="L8309" s="62">
        <f>K8309-(F8309*I8309)</f>
        <v/>
      </c>
      <c r="M8309" s="64">
        <f>L8309/K8309</f>
        <v/>
      </c>
    </row>
    <row r="8310">
      <c r="A8310" s="58" t="inlineStr">
        <is>
          <t>RT20250726-08309</t>
        </is>
      </c>
      <c r="B8310" s="59" t="inlineStr">
        <is>
          <t>2025-07-26</t>
        </is>
      </c>
      <c r="C8310" s="60" t="inlineStr">
        <is>
          <t>Vertex Snack S-702</t>
        </is>
      </c>
      <c r="D8310" s="58" t="inlineStr">
        <is>
          <t>Grocery</t>
        </is>
      </c>
      <c r="E8310" s="58" t="inlineStr">
        <is>
          <t>West</t>
        </is>
      </c>
      <c r="F8310" s="61" t="n">
        <v>6</v>
      </c>
      <c r="G8310" s="62" t="n">
        <v>2.04</v>
      </c>
      <c r="H8310" s="63" t="n">
        <v>0.028</v>
      </c>
      <c r="I8310" s="62" t="n">
        <v>1.48</v>
      </c>
      <c r="J8310" s="58" t="inlineStr">
        <is>
          <t>Online</t>
        </is>
      </c>
      <c r="K8310" s="62">
        <f>F8310*(G8310-H8310)</f>
        <v/>
      </c>
      <c r="L8310" s="62">
        <f>K8310-(F8310*I8310)</f>
        <v/>
      </c>
      <c r="M8310" s="64">
        <f>L8310/K8310</f>
        <v/>
      </c>
    </row>
    <row r="8311">
      <c r="A8311" s="58" t="inlineStr">
        <is>
          <t>RT20250726-08310</t>
        </is>
      </c>
      <c r="B8311" s="59" t="inlineStr">
        <is>
          <t>2025-07-26</t>
        </is>
      </c>
      <c r="C8311" s="60" t="inlineStr">
        <is>
          <t>Polar Beverage S-258</t>
        </is>
      </c>
      <c r="D8311" s="58" t="inlineStr">
        <is>
          <t>Grocery</t>
        </is>
      </c>
      <c r="E8311" s="58" t="inlineStr">
        <is>
          <t>East</t>
        </is>
      </c>
      <c r="F8311" s="61" t="n">
        <v>2</v>
      </c>
      <c r="G8311" s="62" t="n">
        <v>13.58</v>
      </c>
      <c r="H8311" s="63" t="n">
        <v>0.063</v>
      </c>
      <c r="I8311" s="62" t="n">
        <v>9.48</v>
      </c>
      <c r="J8311" s="58" t="inlineStr">
        <is>
          <t>Store</t>
        </is>
      </c>
      <c r="K8311" s="62">
        <f>F8311*(G8311-H8311)</f>
        <v/>
      </c>
      <c r="L8311" s="62">
        <f>K8311-(F8311*I8311)</f>
        <v/>
      </c>
      <c r="M8311" s="64">
        <f>L8311/K8311</f>
        <v/>
      </c>
    </row>
    <row r="8312">
      <c r="A8312" s="58" t="inlineStr">
        <is>
          <t>RT20250726-08311</t>
        </is>
      </c>
      <c r="B8312" s="59" t="inlineStr">
        <is>
          <t>2025-07-26</t>
        </is>
      </c>
      <c r="C8312" s="60" t="inlineStr">
        <is>
          <t>Vertex Decor Pro-618</t>
        </is>
      </c>
      <c r="D8312" s="58" t="inlineStr">
        <is>
          <t>Home</t>
        </is>
      </c>
      <c r="E8312" s="58" t="inlineStr">
        <is>
          <t>East</t>
        </is>
      </c>
      <c r="F8312" s="61" t="n">
        <v>3</v>
      </c>
      <c r="G8312" s="62" t="n">
        <v>531.74</v>
      </c>
      <c r="H8312" s="63" t="n">
        <v>0.066</v>
      </c>
      <c r="I8312" s="62" t="n">
        <v>371.18</v>
      </c>
      <c r="J8312" s="58" t="inlineStr">
        <is>
          <t>Online</t>
        </is>
      </c>
      <c r="K8312" s="62">
        <f>F8312*(G8312-H8312)</f>
        <v/>
      </c>
      <c r="L8312" s="62">
        <f>K8312-(F8312*I8312)</f>
        <v/>
      </c>
      <c r="M8312" s="64">
        <f>L8312/K8312</f>
        <v/>
      </c>
    </row>
    <row r="8313">
      <c r="A8313" s="58" t="inlineStr">
        <is>
          <t>RT20250726-08312</t>
        </is>
      </c>
      <c r="B8313" s="59" t="inlineStr">
        <is>
          <t>2025-07-26</t>
        </is>
      </c>
      <c r="C8313" s="60" t="inlineStr">
        <is>
          <t>Aurora Makeup Pro-489</t>
        </is>
      </c>
      <c r="D8313" s="58" t="inlineStr">
        <is>
          <t>Beauty</t>
        </is>
      </c>
      <c r="E8313" s="58" t="inlineStr">
        <is>
          <t>West</t>
        </is>
      </c>
      <c r="F8313" s="61" t="n">
        <v>5</v>
      </c>
      <c r="G8313" s="62" t="n">
        <v>96.8</v>
      </c>
      <c r="H8313" s="63" t="n">
        <v>0.036</v>
      </c>
      <c r="I8313" s="62" t="n">
        <v>65.06</v>
      </c>
      <c r="J8313" s="58" t="inlineStr">
        <is>
          <t>Store</t>
        </is>
      </c>
      <c r="K8313" s="62">
        <f>F8313*(G8313-H8313)</f>
        <v/>
      </c>
      <c r="L8313" s="62">
        <f>K8313-(F8313*I8313)</f>
        <v/>
      </c>
      <c r="M8313" s="64">
        <f>L8313/K8313</f>
        <v/>
      </c>
    </row>
    <row r="8314">
      <c r="A8314" s="58" t="inlineStr">
        <is>
          <t>RT20250726-08313</t>
        </is>
      </c>
      <c r="B8314" s="59" t="inlineStr">
        <is>
          <t>2025-07-26</t>
        </is>
      </c>
      <c r="C8314" s="60" t="inlineStr">
        <is>
          <t>Nimbus Laptop Max-652</t>
        </is>
      </c>
      <c r="D8314" s="58" t="inlineStr">
        <is>
          <t>Electronics</t>
        </is>
      </c>
      <c r="E8314" s="58" t="inlineStr">
        <is>
          <t>Central</t>
        </is>
      </c>
      <c r="F8314" s="61" t="n">
        <v>2</v>
      </c>
      <c r="G8314" s="62" t="n">
        <v>1306.2</v>
      </c>
      <c r="H8314" s="63" t="n">
        <v>0.07000000000000001</v>
      </c>
      <c r="I8314" s="62" t="n">
        <v>1024.35</v>
      </c>
      <c r="J8314" s="58" t="inlineStr">
        <is>
          <t>Online</t>
        </is>
      </c>
      <c r="K8314" s="62">
        <f>F8314*(G8314-H8314)</f>
        <v/>
      </c>
      <c r="L8314" s="62">
        <f>K8314-(F8314*I8314)</f>
        <v/>
      </c>
      <c r="M8314" s="64">
        <f>L8314/K8314</f>
        <v/>
      </c>
    </row>
    <row r="8315">
      <c r="A8315" s="58" t="inlineStr">
        <is>
          <t>RT20250726-08314</t>
        </is>
      </c>
      <c r="B8315" s="59" t="inlineStr">
        <is>
          <t>2025-07-26</t>
        </is>
      </c>
      <c r="C8315" s="60" t="inlineStr">
        <is>
          <t>Aurora Fragrance S-971</t>
        </is>
      </c>
      <c r="D8315" s="58" t="inlineStr">
        <is>
          <t>Beauty</t>
        </is>
      </c>
      <c r="E8315" s="58" t="inlineStr">
        <is>
          <t>South</t>
        </is>
      </c>
      <c r="F8315" s="61" t="n">
        <v>5</v>
      </c>
      <c r="G8315" s="62" t="n">
        <v>105</v>
      </c>
      <c r="H8315" s="63" t="n">
        <v>0.08</v>
      </c>
      <c r="I8315" s="62" t="n">
        <v>67.41</v>
      </c>
      <c r="J8315" s="58" t="inlineStr">
        <is>
          <t>Online</t>
        </is>
      </c>
      <c r="K8315" s="62">
        <f>F8315*(G8315-H8315)</f>
        <v/>
      </c>
      <c r="L8315" s="62">
        <f>K8315-(F8315*I8315)</f>
        <v/>
      </c>
      <c r="M8315" s="64">
        <f>L8315/K8315</f>
        <v/>
      </c>
    </row>
    <row r="8316">
      <c r="A8316" s="58" t="inlineStr">
        <is>
          <t>RT20250726-08315</t>
        </is>
      </c>
      <c r="B8316" s="59" t="inlineStr">
        <is>
          <t>2025-07-26</t>
        </is>
      </c>
      <c r="C8316" s="60" t="inlineStr">
        <is>
          <t>Aurora Fragrance S-971</t>
        </is>
      </c>
      <c r="D8316" s="58" t="inlineStr">
        <is>
          <t>Beauty</t>
        </is>
      </c>
      <c r="E8316" s="58" t="inlineStr">
        <is>
          <t>South</t>
        </is>
      </c>
      <c r="F8316" s="61" t="n">
        <v>3</v>
      </c>
      <c r="G8316" s="62" t="n">
        <v>103.45</v>
      </c>
      <c r="H8316" s="63" t="n">
        <v>0.008</v>
      </c>
      <c r="I8316" s="62" t="n">
        <v>65.76000000000001</v>
      </c>
      <c r="J8316" s="58" t="inlineStr">
        <is>
          <t>Store</t>
        </is>
      </c>
      <c r="K8316" s="62">
        <f>F8316*(G8316-H8316)</f>
        <v/>
      </c>
      <c r="L8316" s="62">
        <f>K8316-(F8316*I8316)</f>
        <v/>
      </c>
      <c r="M8316" s="64">
        <f>L8316/K8316</f>
        <v/>
      </c>
    </row>
    <row r="8317">
      <c r="A8317" s="58" t="inlineStr">
        <is>
          <t>RT20250726-08316</t>
        </is>
      </c>
      <c r="B8317" s="59" t="inlineStr">
        <is>
          <t>2025-07-26</t>
        </is>
      </c>
      <c r="C8317" s="60" t="inlineStr">
        <is>
          <t>Polar Supplie Lite-348</t>
        </is>
      </c>
      <c r="D8317" s="58" t="inlineStr">
        <is>
          <t>Office</t>
        </is>
      </c>
      <c r="E8317" s="58" t="inlineStr">
        <is>
          <t>West</t>
        </is>
      </c>
      <c r="F8317" s="61" t="n">
        <v>2</v>
      </c>
      <c r="G8317" s="62" t="n">
        <v>457.81</v>
      </c>
      <c r="H8317" s="63" t="n">
        <v>0.089</v>
      </c>
      <c r="I8317" s="62" t="n">
        <v>309.46</v>
      </c>
      <c r="J8317" s="58" t="inlineStr">
        <is>
          <t>Store</t>
        </is>
      </c>
      <c r="K8317" s="62">
        <f>F8317*(G8317-H8317)</f>
        <v/>
      </c>
      <c r="L8317" s="62">
        <f>K8317-(F8317*I8317)</f>
        <v/>
      </c>
      <c r="M8317" s="64">
        <f>L8317/K8317</f>
        <v/>
      </c>
    </row>
    <row r="8318">
      <c r="A8318" s="58" t="inlineStr">
        <is>
          <t>RT20250726-08317</t>
        </is>
      </c>
      <c r="B8318" s="59" t="inlineStr">
        <is>
          <t>2025-07-26</t>
        </is>
      </c>
      <c r="C8318" s="60" t="inlineStr">
        <is>
          <t>Metro Printer X-294</t>
        </is>
      </c>
      <c r="D8318" s="58" t="inlineStr">
        <is>
          <t>Office</t>
        </is>
      </c>
      <c r="E8318" s="58" t="inlineStr">
        <is>
          <t>Central</t>
        </is>
      </c>
      <c r="F8318" s="61" t="n">
        <v>3</v>
      </c>
      <c r="G8318" s="62" t="n">
        <v>689.36</v>
      </c>
      <c r="H8318" s="63" t="n">
        <v>0.083</v>
      </c>
      <c r="I8318" s="62" t="n">
        <v>400.72</v>
      </c>
      <c r="J8318" s="58" t="inlineStr">
        <is>
          <t>Store</t>
        </is>
      </c>
      <c r="K8318" s="62">
        <f>F8318*(G8318-H8318)</f>
        <v/>
      </c>
      <c r="L8318" s="62">
        <f>K8318-(F8318*I8318)</f>
        <v/>
      </c>
      <c r="M8318" s="64">
        <f>L8318/K8318</f>
        <v/>
      </c>
    </row>
    <row r="8319">
      <c r="A8319" s="58" t="inlineStr">
        <is>
          <t>RT20250726-08318</t>
        </is>
      </c>
      <c r="B8319" s="59" t="inlineStr">
        <is>
          <t>2025-07-26</t>
        </is>
      </c>
      <c r="C8319" s="60" t="inlineStr">
        <is>
          <t>Orion Fragrance Lite-785</t>
        </is>
      </c>
      <c r="D8319" s="58" t="inlineStr">
        <is>
          <t>Beauty</t>
        </is>
      </c>
      <c r="E8319" s="58" t="inlineStr">
        <is>
          <t>Central</t>
        </is>
      </c>
      <c r="F8319" s="61" t="n">
        <v>4</v>
      </c>
      <c r="G8319" s="62" t="n">
        <v>47.15</v>
      </c>
      <c r="H8319" s="63" t="n">
        <v>0.102</v>
      </c>
      <c r="I8319" s="62" t="n">
        <v>27.49</v>
      </c>
      <c r="J8319" s="58" t="inlineStr">
        <is>
          <t>Online</t>
        </is>
      </c>
      <c r="K8319" s="62">
        <f>F8319*(G8319-H8319)</f>
        <v/>
      </c>
      <c r="L8319" s="62">
        <f>K8319-(F8319*I8319)</f>
        <v/>
      </c>
      <c r="M8319" s="64">
        <f>L8319/K8319</f>
        <v/>
      </c>
    </row>
    <row r="8320">
      <c r="A8320" s="58" t="inlineStr">
        <is>
          <t>RT20250726-08319</t>
        </is>
      </c>
      <c r="B8320" s="59" t="inlineStr">
        <is>
          <t>2025-07-26</t>
        </is>
      </c>
      <c r="C8320" s="60" t="inlineStr">
        <is>
          <t>Aurora Bedding Max-175</t>
        </is>
      </c>
      <c r="D8320" s="58" t="inlineStr">
        <is>
          <t>Home</t>
        </is>
      </c>
      <c r="E8320" s="58" t="inlineStr">
        <is>
          <t>Central</t>
        </is>
      </c>
      <c r="F8320" s="61" t="n">
        <v>2</v>
      </c>
      <c r="G8320" s="62" t="n">
        <v>635.3099999999999</v>
      </c>
      <c r="H8320" s="63" t="n">
        <v>0.077</v>
      </c>
      <c r="I8320" s="62" t="n">
        <v>403.08</v>
      </c>
      <c r="J8320" s="58" t="inlineStr">
        <is>
          <t>Online</t>
        </is>
      </c>
      <c r="K8320" s="62">
        <f>F8320*(G8320-H8320)</f>
        <v/>
      </c>
      <c r="L8320" s="62">
        <f>K8320-(F8320*I8320)</f>
        <v/>
      </c>
      <c r="M8320" s="64">
        <f>L8320/K8320</f>
        <v/>
      </c>
    </row>
    <row r="8321">
      <c r="A8321" s="58" t="inlineStr">
        <is>
          <t>RT20250726-08320</t>
        </is>
      </c>
      <c r="B8321" s="59" t="inlineStr">
        <is>
          <t>2025-07-26</t>
        </is>
      </c>
      <c r="C8321" s="60" t="inlineStr">
        <is>
          <t>Aurora Makeup S-626</t>
        </is>
      </c>
      <c r="D8321" s="58" t="inlineStr">
        <is>
          <t>Beauty</t>
        </is>
      </c>
      <c r="E8321" s="58" t="inlineStr">
        <is>
          <t>East</t>
        </is>
      </c>
      <c r="F8321" s="61" t="n">
        <v>4</v>
      </c>
      <c r="G8321" s="62" t="n">
        <v>113.69</v>
      </c>
      <c r="H8321" s="63" t="n">
        <v>0.063</v>
      </c>
      <c r="I8321" s="62" t="n">
        <v>65.47</v>
      </c>
      <c r="J8321" s="58" t="inlineStr">
        <is>
          <t>Store</t>
        </is>
      </c>
      <c r="K8321" s="62">
        <f>F8321*(G8321-H8321)</f>
        <v/>
      </c>
      <c r="L8321" s="62">
        <f>K8321-(F8321*I8321)</f>
        <v/>
      </c>
      <c r="M8321" s="64">
        <f>L8321/K8321</f>
        <v/>
      </c>
    </row>
    <row r="8322">
      <c r="A8322" s="58" t="inlineStr">
        <is>
          <t>RT20250726-08321</t>
        </is>
      </c>
      <c r="B8322" s="59" t="inlineStr">
        <is>
          <t>2025-07-26</t>
        </is>
      </c>
      <c r="C8322" s="60" t="inlineStr">
        <is>
          <t>Vertex Appliance S-296</t>
        </is>
      </c>
      <c r="D8322" s="58" t="inlineStr">
        <is>
          <t>Home</t>
        </is>
      </c>
      <c r="E8322" s="58" t="inlineStr">
        <is>
          <t>North</t>
        </is>
      </c>
      <c r="F8322" s="61" t="n">
        <v>3</v>
      </c>
      <c r="G8322" s="62" t="n">
        <v>542.5599999999999</v>
      </c>
      <c r="H8322" s="63" t="n">
        <v>0.061</v>
      </c>
      <c r="I8322" s="62" t="n">
        <v>346.06</v>
      </c>
      <c r="J8322" s="58" t="inlineStr">
        <is>
          <t>Online</t>
        </is>
      </c>
      <c r="K8322" s="62">
        <f>F8322*(G8322-H8322)</f>
        <v/>
      </c>
      <c r="L8322" s="62">
        <f>K8322-(F8322*I8322)</f>
        <v/>
      </c>
      <c r="M8322" s="64">
        <f>L8322/K8322</f>
        <v/>
      </c>
    </row>
    <row r="8323">
      <c r="A8323" s="58" t="inlineStr">
        <is>
          <t>RT20250726-08322</t>
        </is>
      </c>
      <c r="B8323" s="59" t="inlineStr">
        <is>
          <t>2025-07-26</t>
        </is>
      </c>
      <c r="C8323" s="60" t="inlineStr">
        <is>
          <t>Vertex Snack S-702</t>
        </is>
      </c>
      <c r="D8323" s="58" t="inlineStr">
        <is>
          <t>Grocery</t>
        </is>
      </c>
      <c r="E8323" s="58" t="inlineStr">
        <is>
          <t>West</t>
        </is>
      </c>
      <c r="F8323" s="61" t="n">
        <v>1</v>
      </c>
      <c r="G8323" s="62" t="n">
        <v>2.13</v>
      </c>
      <c r="H8323" s="63" t="n">
        <v>0.008</v>
      </c>
      <c r="I8323" s="62" t="n">
        <v>1.48</v>
      </c>
      <c r="J8323" s="58" t="inlineStr">
        <is>
          <t>Online</t>
        </is>
      </c>
      <c r="K8323" s="62">
        <f>F8323*(G8323-H8323)</f>
        <v/>
      </c>
      <c r="L8323" s="62">
        <f>K8323-(F8323*I8323)</f>
        <v/>
      </c>
      <c r="M8323" s="64">
        <f>L8323/K8323</f>
        <v/>
      </c>
    </row>
    <row r="8324">
      <c r="A8324" s="58" t="inlineStr">
        <is>
          <t>RT20250726-08323</t>
        </is>
      </c>
      <c r="B8324" s="59" t="inlineStr">
        <is>
          <t>2025-07-26</t>
        </is>
      </c>
      <c r="C8324" s="60" t="inlineStr">
        <is>
          <t>Vertex Skincare Pro-891</t>
        </is>
      </c>
      <c r="D8324" s="58" t="inlineStr">
        <is>
          <t>Beauty</t>
        </is>
      </c>
      <c r="E8324" s="58" t="inlineStr">
        <is>
          <t>South</t>
        </is>
      </c>
      <c r="F8324" s="61" t="n">
        <v>4</v>
      </c>
      <c r="G8324" s="62" t="n">
        <v>132.55</v>
      </c>
      <c r="H8324" s="63" t="n">
        <v>0.044</v>
      </c>
      <c r="I8324" s="62" t="n">
        <v>90.78</v>
      </c>
      <c r="J8324" s="58" t="inlineStr">
        <is>
          <t>Online</t>
        </is>
      </c>
      <c r="K8324" s="62">
        <f>F8324*(G8324-H8324)</f>
        <v/>
      </c>
      <c r="L8324" s="62">
        <f>K8324-(F8324*I8324)</f>
        <v/>
      </c>
      <c r="M8324" s="64">
        <f>L8324/K8324</f>
        <v/>
      </c>
    </row>
    <row r="8325">
      <c r="A8325" s="58" t="inlineStr">
        <is>
          <t>RT20250726-08324</t>
        </is>
      </c>
      <c r="B8325" s="59" t="inlineStr">
        <is>
          <t>2025-07-26</t>
        </is>
      </c>
      <c r="C8325" s="60" t="inlineStr">
        <is>
          <t>Vertex Smartphone Lite-267</t>
        </is>
      </c>
      <c r="D8325" s="58" t="inlineStr">
        <is>
          <t>Electronics</t>
        </is>
      </c>
      <c r="E8325" s="58" t="inlineStr">
        <is>
          <t>North</t>
        </is>
      </c>
      <c r="F8325" s="61" t="n">
        <v>2</v>
      </c>
      <c r="G8325" s="62" t="n">
        <v>1202.19</v>
      </c>
      <c r="H8325" s="63" t="n">
        <v>0.078</v>
      </c>
      <c r="I8325" s="62" t="n">
        <v>971.03</v>
      </c>
      <c r="J8325" s="58" t="inlineStr">
        <is>
          <t>Online</t>
        </is>
      </c>
      <c r="K8325" s="62">
        <f>F8325*(G8325-H8325)</f>
        <v/>
      </c>
      <c r="L8325" s="62">
        <f>K8325-(F8325*I8325)</f>
        <v/>
      </c>
      <c r="M8325" s="64">
        <f>L8325/K8325</f>
        <v/>
      </c>
    </row>
    <row r="8326">
      <c r="A8326" s="58" t="inlineStr">
        <is>
          <t>RT20250726-08325</t>
        </is>
      </c>
      <c r="B8326" s="59" t="inlineStr">
        <is>
          <t>2025-07-26</t>
        </is>
      </c>
      <c r="C8326" s="60" t="inlineStr">
        <is>
          <t>Metro Pantry X-710</t>
        </is>
      </c>
      <c r="D8326" s="58" t="inlineStr">
        <is>
          <t>Grocery</t>
        </is>
      </c>
      <c r="E8326" s="58" t="inlineStr">
        <is>
          <t>East</t>
        </is>
      </c>
      <c r="F8326" s="61" t="n">
        <v>5</v>
      </c>
      <c r="G8326" s="62" t="n">
        <v>5.55</v>
      </c>
      <c r="H8326" s="63" t="n">
        <v>0.075</v>
      </c>
      <c r="I8326" s="62" t="n">
        <v>4.22</v>
      </c>
      <c r="J8326" s="58" t="inlineStr">
        <is>
          <t>Store</t>
        </is>
      </c>
      <c r="K8326" s="62">
        <f>F8326*(G8326-H8326)</f>
        <v/>
      </c>
      <c r="L8326" s="62">
        <f>K8326-(F8326*I8326)</f>
        <v/>
      </c>
      <c r="M8326" s="64">
        <f>L8326/K8326</f>
        <v/>
      </c>
    </row>
    <row r="8327">
      <c r="A8327" s="58" t="inlineStr">
        <is>
          <t>RT20250726-08326</t>
        </is>
      </c>
      <c r="B8327" s="59" t="inlineStr">
        <is>
          <t>2025-07-26</t>
        </is>
      </c>
      <c r="C8327" s="60" t="inlineStr">
        <is>
          <t>Polar Decor Plus-505</t>
        </is>
      </c>
      <c r="D8327" s="58" t="inlineStr">
        <is>
          <t>Home</t>
        </is>
      </c>
      <c r="E8327" s="58" t="inlineStr">
        <is>
          <t>West</t>
        </is>
      </c>
      <c r="F8327" s="61" t="n">
        <v>2</v>
      </c>
      <c r="G8327" s="62" t="n">
        <v>251.81</v>
      </c>
      <c r="H8327" s="63" t="n">
        <v>0.031</v>
      </c>
      <c r="I8327" s="62" t="n">
        <v>199.84</v>
      </c>
      <c r="J8327" s="58" t="inlineStr">
        <is>
          <t>Online</t>
        </is>
      </c>
      <c r="K8327" s="62">
        <f>F8327*(G8327-H8327)</f>
        <v/>
      </c>
      <c r="L8327" s="62">
        <f>K8327-(F8327*I8327)</f>
        <v/>
      </c>
      <c r="M8327" s="64">
        <f>L8327/K8327</f>
        <v/>
      </c>
    </row>
    <row r="8328">
      <c r="A8328" s="58" t="inlineStr">
        <is>
          <t>RT20250726-08327</t>
        </is>
      </c>
      <c r="B8328" s="59" t="inlineStr">
        <is>
          <t>2025-07-26</t>
        </is>
      </c>
      <c r="C8328" s="60" t="inlineStr">
        <is>
          <t>Nimbus Makeup Max-158</t>
        </is>
      </c>
      <c r="D8328" s="58" t="inlineStr">
        <is>
          <t>Beauty</t>
        </is>
      </c>
      <c r="E8328" s="58" t="inlineStr">
        <is>
          <t>East</t>
        </is>
      </c>
      <c r="F8328" s="61" t="n">
        <v>3</v>
      </c>
      <c r="G8328" s="62" t="n">
        <v>142.54</v>
      </c>
      <c r="H8328" s="63" t="n">
        <v>0.095</v>
      </c>
      <c r="I8328" s="62" t="n">
        <v>96.17</v>
      </c>
      <c r="J8328" s="58" t="inlineStr">
        <is>
          <t>Online</t>
        </is>
      </c>
      <c r="K8328" s="62">
        <f>F8328*(G8328-H8328)</f>
        <v/>
      </c>
      <c r="L8328" s="62">
        <f>K8328-(F8328*I8328)</f>
        <v/>
      </c>
      <c r="M8328" s="64">
        <f>L8328/K8328</f>
        <v/>
      </c>
    </row>
    <row r="8329">
      <c r="A8329" s="58" t="inlineStr">
        <is>
          <t>RT20250727-08328</t>
        </is>
      </c>
      <c r="B8329" s="59" t="inlineStr">
        <is>
          <t>2025-07-27</t>
        </is>
      </c>
      <c r="C8329" s="60" t="inlineStr">
        <is>
          <t>Orion Beverage Plus-949</t>
        </is>
      </c>
      <c r="D8329" s="58" t="inlineStr">
        <is>
          <t>Grocery</t>
        </is>
      </c>
      <c r="E8329" s="58" t="inlineStr">
        <is>
          <t>South</t>
        </is>
      </c>
      <c r="F8329" s="61" t="n">
        <v>2</v>
      </c>
      <c r="G8329" s="62" t="n">
        <v>17.06</v>
      </c>
      <c r="H8329" s="63" t="n">
        <v>0.039</v>
      </c>
      <c r="I8329" s="62" t="n">
        <v>13.27</v>
      </c>
      <c r="J8329" s="58" t="inlineStr">
        <is>
          <t>Store</t>
        </is>
      </c>
      <c r="K8329" s="62">
        <f>F8329*(G8329-H8329)</f>
        <v/>
      </c>
      <c r="L8329" s="62">
        <f>K8329-(F8329*I8329)</f>
        <v/>
      </c>
      <c r="M8329" s="64">
        <f>L8329/K8329</f>
        <v/>
      </c>
    </row>
    <row r="8330">
      <c r="A8330" s="58" t="inlineStr">
        <is>
          <t>RT20250727-08329</t>
        </is>
      </c>
      <c r="B8330" s="59" t="inlineStr">
        <is>
          <t>2025-07-27</t>
        </is>
      </c>
      <c r="C8330" s="60" t="inlineStr">
        <is>
          <t>Aurora Storage Lite-774</t>
        </is>
      </c>
      <c r="D8330" s="58" t="inlineStr">
        <is>
          <t>Office</t>
        </is>
      </c>
      <c r="E8330" s="58" t="inlineStr">
        <is>
          <t>East</t>
        </is>
      </c>
      <c r="F8330" s="61" t="n">
        <v>3</v>
      </c>
      <c r="G8330" s="62" t="n">
        <v>354.92</v>
      </c>
      <c r="H8330" s="63" t="n">
        <v>0.055</v>
      </c>
      <c r="I8330" s="62" t="n">
        <v>245.71</v>
      </c>
      <c r="J8330" s="58" t="inlineStr">
        <is>
          <t>Store</t>
        </is>
      </c>
      <c r="K8330" s="62">
        <f>F8330*(G8330-H8330)</f>
        <v/>
      </c>
      <c r="L8330" s="62">
        <f>K8330-(F8330*I8330)</f>
        <v/>
      </c>
      <c r="M8330" s="64">
        <f>L8330/K8330</f>
        <v/>
      </c>
    </row>
    <row r="8331">
      <c r="A8331" s="58" t="inlineStr">
        <is>
          <t>RT20250727-08330</t>
        </is>
      </c>
      <c r="B8331" s="59" t="inlineStr">
        <is>
          <t>2025-07-27</t>
        </is>
      </c>
      <c r="C8331" s="60" t="inlineStr">
        <is>
          <t>Orion Kid Max-640</t>
        </is>
      </c>
      <c r="D8331" s="58" t="inlineStr">
        <is>
          <t>Apparel</t>
        </is>
      </c>
      <c r="E8331" s="58" t="inlineStr">
        <is>
          <t>East</t>
        </is>
      </c>
      <c r="F8331" s="61" t="n">
        <v>4</v>
      </c>
      <c r="G8331" s="62" t="n">
        <v>134.49</v>
      </c>
      <c r="H8331" s="63" t="n">
        <v>0.067</v>
      </c>
      <c r="I8331" s="62" t="n">
        <v>69.11</v>
      </c>
      <c r="J8331" s="58" t="inlineStr">
        <is>
          <t>Store</t>
        </is>
      </c>
      <c r="K8331" s="62">
        <f>F8331*(G8331-H8331)</f>
        <v/>
      </c>
      <c r="L8331" s="62">
        <f>K8331-(F8331*I8331)</f>
        <v/>
      </c>
      <c r="M8331" s="64">
        <f>L8331/K8331</f>
        <v/>
      </c>
    </row>
    <row r="8332">
      <c r="A8332" s="58" t="inlineStr">
        <is>
          <t>RT20250727-08331</t>
        </is>
      </c>
      <c r="B8332" s="59" t="inlineStr">
        <is>
          <t>2025-07-27</t>
        </is>
      </c>
      <c r="C8332" s="60" t="inlineStr">
        <is>
          <t>Metro Fragrance Lite-261</t>
        </is>
      </c>
      <c r="D8332" s="58" t="inlineStr">
        <is>
          <t>Beauty</t>
        </is>
      </c>
      <c r="E8332" s="58" t="inlineStr">
        <is>
          <t>South</t>
        </is>
      </c>
      <c r="F8332" s="61" t="n">
        <v>5</v>
      </c>
      <c r="G8332" s="62" t="n">
        <v>88.67</v>
      </c>
      <c r="H8332" s="63" t="n">
        <v>0</v>
      </c>
      <c r="I8332" s="62" t="n">
        <v>53.77</v>
      </c>
      <c r="J8332" s="58" t="inlineStr">
        <is>
          <t>Online</t>
        </is>
      </c>
      <c r="K8332" s="62">
        <f>F8332*(G8332-H8332)</f>
        <v/>
      </c>
      <c r="L8332" s="62">
        <f>K8332-(F8332*I8332)</f>
        <v/>
      </c>
      <c r="M8332" s="64">
        <f>L8332/K8332</f>
        <v/>
      </c>
    </row>
    <row r="8333">
      <c r="A8333" s="58" t="inlineStr">
        <is>
          <t>RT20250727-08332</t>
        </is>
      </c>
      <c r="B8333" s="59" t="inlineStr">
        <is>
          <t>2025-07-27</t>
        </is>
      </c>
      <c r="C8333" s="60" t="inlineStr">
        <is>
          <t>Solace Kid S-384</t>
        </is>
      </c>
      <c r="D8333" s="58" t="inlineStr">
        <is>
          <t>Apparel</t>
        </is>
      </c>
      <c r="E8333" s="58" t="inlineStr">
        <is>
          <t>North</t>
        </is>
      </c>
      <c r="F8333" s="61" t="n">
        <v>1</v>
      </c>
      <c r="G8333" s="62" t="n">
        <v>104.89</v>
      </c>
      <c r="H8333" s="63" t="n">
        <v>0.083</v>
      </c>
      <c r="I8333" s="62" t="n">
        <v>64.31</v>
      </c>
      <c r="J8333" s="58" t="inlineStr">
        <is>
          <t>Online</t>
        </is>
      </c>
      <c r="K8333" s="62">
        <f>F8333*(G8333-H8333)</f>
        <v/>
      </c>
      <c r="L8333" s="62">
        <f>K8333-(F8333*I8333)</f>
        <v/>
      </c>
      <c r="M8333" s="64">
        <f>L8333/K8333</f>
        <v/>
      </c>
    </row>
    <row r="8334">
      <c r="A8334" s="58" t="inlineStr">
        <is>
          <t>RT20250727-08333</t>
        </is>
      </c>
      <c r="B8334" s="59" t="inlineStr">
        <is>
          <t>2025-07-27</t>
        </is>
      </c>
      <c r="C8334" s="60" t="inlineStr">
        <is>
          <t>Orion Beverage Plus-949</t>
        </is>
      </c>
      <c r="D8334" s="58" t="inlineStr">
        <is>
          <t>Grocery</t>
        </is>
      </c>
      <c r="E8334" s="58" t="inlineStr">
        <is>
          <t>East</t>
        </is>
      </c>
      <c r="F8334" s="61" t="n">
        <v>1</v>
      </c>
      <c r="G8334" s="62" t="n">
        <v>18.77</v>
      </c>
      <c r="H8334" s="63" t="n">
        <v>0.093</v>
      </c>
      <c r="I8334" s="62" t="n">
        <v>13.4</v>
      </c>
      <c r="J8334" s="58" t="inlineStr">
        <is>
          <t>Store</t>
        </is>
      </c>
      <c r="K8334" s="62">
        <f>F8334*(G8334-H8334)</f>
        <v/>
      </c>
      <c r="L8334" s="62">
        <f>K8334-(F8334*I8334)</f>
        <v/>
      </c>
      <c r="M8334" s="64">
        <f>L8334/K8334</f>
        <v/>
      </c>
    </row>
    <row r="8335">
      <c r="A8335" s="58" t="inlineStr">
        <is>
          <t>RT20250727-08334</t>
        </is>
      </c>
      <c r="B8335" s="59" t="inlineStr">
        <is>
          <t>2025-07-27</t>
        </is>
      </c>
      <c r="C8335" s="60" t="inlineStr">
        <is>
          <t>Orion Kid Max-864</t>
        </is>
      </c>
      <c r="D8335" s="58" t="inlineStr">
        <is>
          <t>Apparel</t>
        </is>
      </c>
      <c r="E8335" s="58" t="inlineStr">
        <is>
          <t>East</t>
        </is>
      </c>
      <c r="F8335" s="61" t="n">
        <v>4</v>
      </c>
      <c r="G8335" s="62" t="n">
        <v>85.09999999999999</v>
      </c>
      <c r="H8335" s="63" t="n">
        <v>0.07099999999999999</v>
      </c>
      <c r="I8335" s="62" t="n">
        <v>46.33</v>
      </c>
      <c r="J8335" s="58" t="inlineStr">
        <is>
          <t>Store</t>
        </is>
      </c>
      <c r="K8335" s="62">
        <f>F8335*(G8335-H8335)</f>
        <v/>
      </c>
      <c r="L8335" s="62">
        <f>K8335-(F8335*I8335)</f>
        <v/>
      </c>
      <c r="M8335" s="64">
        <f>L8335/K8335</f>
        <v/>
      </c>
    </row>
    <row r="8336">
      <c r="A8336" s="58" t="inlineStr">
        <is>
          <t>RT20250727-08335</t>
        </is>
      </c>
      <c r="B8336" s="59" t="inlineStr">
        <is>
          <t>2025-07-27</t>
        </is>
      </c>
      <c r="C8336" s="60" t="inlineStr">
        <is>
          <t>Aurora Team Sport Plus-256</t>
        </is>
      </c>
      <c r="D8336" s="58" t="inlineStr">
        <is>
          <t>Sports</t>
        </is>
      </c>
      <c r="E8336" s="58" t="inlineStr">
        <is>
          <t>Central</t>
        </is>
      </c>
      <c r="F8336" s="61" t="n">
        <v>2</v>
      </c>
      <c r="G8336" s="62" t="n">
        <v>688.03</v>
      </c>
      <c r="H8336" s="63" t="n">
        <v>0.066</v>
      </c>
      <c r="I8336" s="62" t="n">
        <v>422.03</v>
      </c>
      <c r="J8336" s="58" t="inlineStr">
        <is>
          <t>Store</t>
        </is>
      </c>
      <c r="K8336" s="62">
        <f>F8336*(G8336-H8336)</f>
        <v/>
      </c>
      <c r="L8336" s="62">
        <f>K8336-(F8336*I8336)</f>
        <v/>
      </c>
      <c r="M8336" s="64">
        <f>L8336/K8336</f>
        <v/>
      </c>
    </row>
    <row r="8337">
      <c r="A8337" s="58" t="inlineStr">
        <is>
          <t>RT20250727-08336</t>
        </is>
      </c>
      <c r="B8337" s="59" t="inlineStr">
        <is>
          <t>2025-07-27</t>
        </is>
      </c>
      <c r="C8337" s="60" t="inlineStr">
        <is>
          <t>Aurora Printer Plus-991</t>
        </is>
      </c>
      <c r="D8337" s="58" t="inlineStr">
        <is>
          <t>Office</t>
        </is>
      </c>
      <c r="E8337" s="58" t="inlineStr">
        <is>
          <t>East</t>
        </is>
      </c>
      <c r="F8337" s="61" t="n">
        <v>3</v>
      </c>
      <c r="G8337" s="62" t="n">
        <v>518.6799999999999</v>
      </c>
      <c r="H8337" s="63" t="n">
        <v>0.07000000000000001</v>
      </c>
      <c r="I8337" s="62" t="n">
        <v>376.68</v>
      </c>
      <c r="J8337" s="58" t="inlineStr">
        <is>
          <t>Store</t>
        </is>
      </c>
      <c r="K8337" s="62">
        <f>F8337*(G8337-H8337)</f>
        <v/>
      </c>
      <c r="L8337" s="62">
        <f>K8337-(F8337*I8337)</f>
        <v/>
      </c>
      <c r="M8337" s="64">
        <f>L8337/K8337</f>
        <v/>
      </c>
    </row>
    <row r="8338">
      <c r="A8338" s="58" t="inlineStr">
        <is>
          <t>RT20250727-08337</t>
        </is>
      </c>
      <c r="B8338" s="59" t="inlineStr">
        <is>
          <t>2025-07-27</t>
        </is>
      </c>
      <c r="C8338" s="60" t="inlineStr">
        <is>
          <t>Aurora Furniture X-709</t>
        </is>
      </c>
      <c r="D8338" s="58" t="inlineStr">
        <is>
          <t>Office</t>
        </is>
      </c>
      <c r="E8338" s="58" t="inlineStr">
        <is>
          <t>Central</t>
        </is>
      </c>
      <c r="F8338" s="61" t="n">
        <v>2</v>
      </c>
      <c r="G8338" s="62" t="n">
        <v>443.78</v>
      </c>
      <c r="H8338" s="63" t="n">
        <v>0.056</v>
      </c>
      <c r="I8338" s="62" t="n">
        <v>299.26</v>
      </c>
      <c r="J8338" s="58" t="inlineStr">
        <is>
          <t>Online</t>
        </is>
      </c>
      <c r="K8338" s="62">
        <f>F8338*(G8338-H8338)</f>
        <v/>
      </c>
      <c r="L8338" s="62">
        <f>K8338-(F8338*I8338)</f>
        <v/>
      </c>
      <c r="M8338" s="64">
        <f>L8338/K8338</f>
        <v/>
      </c>
    </row>
    <row r="8339">
      <c r="A8339" s="58" t="inlineStr">
        <is>
          <t>RT20250727-08338</t>
        </is>
      </c>
      <c r="B8339" s="59" t="inlineStr">
        <is>
          <t>2025-07-27</t>
        </is>
      </c>
      <c r="C8339" s="60" t="inlineStr">
        <is>
          <t>Solace Makeup Pro-214</t>
        </is>
      </c>
      <c r="D8339" s="58" t="inlineStr">
        <is>
          <t>Beauty</t>
        </is>
      </c>
      <c r="E8339" s="58" t="inlineStr">
        <is>
          <t>Central</t>
        </is>
      </c>
      <c r="F8339" s="61" t="n">
        <v>1</v>
      </c>
      <c r="G8339" s="62" t="n">
        <v>122.82</v>
      </c>
      <c r="H8339" s="63" t="n">
        <v>0.06900000000000001</v>
      </c>
      <c r="I8339" s="62" t="n">
        <v>68.16</v>
      </c>
      <c r="J8339" s="58" t="inlineStr">
        <is>
          <t>Online</t>
        </is>
      </c>
      <c r="K8339" s="62">
        <f>F8339*(G8339-H8339)</f>
        <v/>
      </c>
      <c r="L8339" s="62">
        <f>K8339-(F8339*I8339)</f>
        <v/>
      </c>
      <c r="M8339" s="64">
        <f>L8339/K8339</f>
        <v/>
      </c>
    </row>
    <row r="8340">
      <c r="A8340" s="58" t="inlineStr">
        <is>
          <t>RT20250727-08339</t>
        </is>
      </c>
      <c r="B8340" s="59" t="inlineStr">
        <is>
          <t>2025-07-27</t>
        </is>
      </c>
      <c r="C8340" s="60" t="inlineStr">
        <is>
          <t>Vertex Supplie Pro-786</t>
        </is>
      </c>
      <c r="D8340" s="58" t="inlineStr">
        <is>
          <t>Office</t>
        </is>
      </c>
      <c r="E8340" s="58" t="inlineStr">
        <is>
          <t>East</t>
        </is>
      </c>
      <c r="F8340" s="61" t="n">
        <v>2</v>
      </c>
      <c r="G8340" s="62" t="n">
        <v>431.67</v>
      </c>
      <c r="H8340" s="63" t="n">
        <v>0.08699999999999999</v>
      </c>
      <c r="I8340" s="62" t="n">
        <v>299.03</v>
      </c>
      <c r="J8340" s="58" t="inlineStr">
        <is>
          <t>Online</t>
        </is>
      </c>
      <c r="K8340" s="62">
        <f>F8340*(G8340-H8340)</f>
        <v/>
      </c>
      <c r="L8340" s="62">
        <f>K8340-(F8340*I8340)</f>
        <v/>
      </c>
      <c r="M8340" s="64">
        <f>L8340/K8340</f>
        <v/>
      </c>
    </row>
    <row r="8341">
      <c r="A8341" s="58" t="inlineStr">
        <is>
          <t>RT20250727-08340</t>
        </is>
      </c>
      <c r="B8341" s="59" t="inlineStr">
        <is>
          <t>2025-07-27</t>
        </is>
      </c>
      <c r="C8341" s="60" t="inlineStr">
        <is>
          <t>Polar Women Max-927</t>
        </is>
      </c>
      <c r="D8341" s="58" t="inlineStr">
        <is>
          <t>Apparel</t>
        </is>
      </c>
      <c r="E8341" s="58" t="inlineStr">
        <is>
          <t>East</t>
        </is>
      </c>
      <c r="F8341" s="61" t="n">
        <v>4</v>
      </c>
      <c r="G8341" s="62" t="n">
        <v>103.63</v>
      </c>
      <c r="H8341" s="63" t="n">
        <v>0.078</v>
      </c>
      <c r="I8341" s="62" t="n">
        <v>64.92</v>
      </c>
      <c r="J8341" s="58" t="inlineStr">
        <is>
          <t>Online</t>
        </is>
      </c>
      <c r="K8341" s="62">
        <f>F8341*(G8341-H8341)</f>
        <v/>
      </c>
      <c r="L8341" s="62">
        <f>K8341-(F8341*I8341)</f>
        <v/>
      </c>
      <c r="M8341" s="64">
        <f>L8341/K8341</f>
        <v/>
      </c>
    </row>
    <row r="8342">
      <c r="A8342" s="58" t="inlineStr">
        <is>
          <t>RT20250727-08341</t>
        </is>
      </c>
      <c r="B8342" s="59" t="inlineStr">
        <is>
          <t>2025-07-27</t>
        </is>
      </c>
      <c r="C8342" s="60" t="inlineStr">
        <is>
          <t>Aurora Fragrance S-971</t>
        </is>
      </c>
      <c r="D8342" s="58" t="inlineStr">
        <is>
          <t>Beauty</t>
        </is>
      </c>
      <c r="E8342" s="58" t="inlineStr">
        <is>
          <t>East</t>
        </is>
      </c>
      <c r="F8342" s="61" t="n">
        <v>3</v>
      </c>
      <c r="G8342" s="62" t="n">
        <v>104.1</v>
      </c>
      <c r="H8342" s="63" t="n">
        <v>0.066</v>
      </c>
      <c r="I8342" s="62" t="n">
        <v>63.49</v>
      </c>
      <c r="J8342" s="58" t="inlineStr">
        <is>
          <t>Online</t>
        </is>
      </c>
      <c r="K8342" s="62">
        <f>F8342*(G8342-H8342)</f>
        <v/>
      </c>
      <c r="L8342" s="62">
        <f>K8342-(F8342*I8342)</f>
        <v/>
      </c>
      <c r="M8342" s="64">
        <f>L8342/K8342</f>
        <v/>
      </c>
    </row>
    <row r="8343">
      <c r="A8343" s="58" t="inlineStr">
        <is>
          <t>RT20250727-08342</t>
        </is>
      </c>
      <c r="B8343" s="59" t="inlineStr">
        <is>
          <t>2025-07-27</t>
        </is>
      </c>
      <c r="C8343" s="60" t="inlineStr">
        <is>
          <t>Falcon Household Plus-172</t>
        </is>
      </c>
      <c r="D8343" s="58" t="inlineStr">
        <is>
          <t>Grocery</t>
        </is>
      </c>
      <c r="E8343" s="58" t="inlineStr">
        <is>
          <t>Central</t>
        </is>
      </c>
      <c r="F8343" s="61" t="n">
        <v>8</v>
      </c>
      <c r="G8343" s="62" t="n">
        <v>20.51</v>
      </c>
      <c r="H8343" s="63" t="n">
        <v>0.019</v>
      </c>
      <c r="I8343" s="62" t="n">
        <v>15.82</v>
      </c>
      <c r="J8343" s="58" t="inlineStr">
        <is>
          <t>Online</t>
        </is>
      </c>
      <c r="K8343" s="62">
        <f>F8343*(G8343-H8343)</f>
        <v/>
      </c>
      <c r="L8343" s="62">
        <f>K8343-(F8343*I8343)</f>
        <v/>
      </c>
      <c r="M8343" s="64">
        <f>L8343/K8343</f>
        <v/>
      </c>
    </row>
    <row r="8344">
      <c r="A8344" s="58" t="inlineStr">
        <is>
          <t>RT20250727-08343</t>
        </is>
      </c>
      <c r="B8344" s="59" t="inlineStr">
        <is>
          <t>2025-07-27</t>
        </is>
      </c>
      <c r="C8344" s="60" t="inlineStr">
        <is>
          <t>Metro Pantry Max-180</t>
        </is>
      </c>
      <c r="D8344" s="58" t="inlineStr">
        <is>
          <t>Grocery</t>
        </is>
      </c>
      <c r="E8344" s="58" t="inlineStr">
        <is>
          <t>Central</t>
        </is>
      </c>
      <c r="F8344" s="61" t="n">
        <v>8</v>
      </c>
      <c r="G8344" s="62" t="n">
        <v>9.99</v>
      </c>
      <c r="H8344" s="63" t="n">
        <v>0.037</v>
      </c>
      <c r="I8344" s="62" t="n">
        <v>6.7</v>
      </c>
      <c r="J8344" s="58" t="inlineStr">
        <is>
          <t>Store</t>
        </is>
      </c>
      <c r="K8344" s="62">
        <f>F8344*(G8344-H8344)</f>
        <v/>
      </c>
      <c r="L8344" s="62">
        <f>K8344-(F8344*I8344)</f>
        <v/>
      </c>
      <c r="M8344" s="64">
        <f>L8344/K8344</f>
        <v/>
      </c>
    </row>
    <row r="8345">
      <c r="A8345" s="58" t="inlineStr">
        <is>
          <t>RT20250727-08344</t>
        </is>
      </c>
      <c r="B8345" s="59" t="inlineStr">
        <is>
          <t>2025-07-27</t>
        </is>
      </c>
      <c r="C8345" s="60" t="inlineStr">
        <is>
          <t>Polar Women Max-927</t>
        </is>
      </c>
      <c r="D8345" s="58" t="inlineStr">
        <is>
          <t>Apparel</t>
        </is>
      </c>
      <c r="E8345" s="58" t="inlineStr">
        <is>
          <t>South</t>
        </is>
      </c>
      <c r="F8345" s="61" t="n">
        <v>3</v>
      </c>
      <c r="G8345" s="62" t="n">
        <v>108.51</v>
      </c>
      <c r="H8345" s="63" t="n">
        <v>0.051</v>
      </c>
      <c r="I8345" s="62" t="n">
        <v>64.53</v>
      </c>
      <c r="J8345" s="58" t="inlineStr">
        <is>
          <t>Store</t>
        </is>
      </c>
      <c r="K8345" s="62">
        <f>F8345*(G8345-H8345)</f>
        <v/>
      </c>
      <c r="L8345" s="62">
        <f>K8345-(F8345*I8345)</f>
        <v/>
      </c>
      <c r="M8345" s="64">
        <f>L8345/K8345</f>
        <v/>
      </c>
    </row>
    <row r="8346">
      <c r="A8346" s="58" t="inlineStr">
        <is>
          <t>RT20250727-08345</t>
        </is>
      </c>
      <c r="B8346" s="59" t="inlineStr">
        <is>
          <t>2025-07-27</t>
        </is>
      </c>
      <c r="C8346" s="60" t="inlineStr">
        <is>
          <t>Vertex Pantry Pro-165</t>
        </is>
      </c>
      <c r="D8346" s="58" t="inlineStr">
        <is>
          <t>Grocery</t>
        </is>
      </c>
      <c r="E8346" s="58" t="inlineStr">
        <is>
          <t>West</t>
        </is>
      </c>
      <c r="F8346" s="61" t="n">
        <v>8</v>
      </c>
      <c r="G8346" s="62" t="n">
        <v>14.96</v>
      </c>
      <c r="H8346" s="63" t="n">
        <v>0.019</v>
      </c>
      <c r="I8346" s="62" t="n">
        <v>11.76</v>
      </c>
      <c r="J8346" s="58" t="inlineStr">
        <is>
          <t>Phone</t>
        </is>
      </c>
      <c r="K8346" s="62">
        <f>F8346*(G8346-H8346)</f>
        <v/>
      </c>
      <c r="L8346" s="62">
        <f>K8346-(F8346*I8346)</f>
        <v/>
      </c>
      <c r="M8346" s="64">
        <f>L8346/K8346</f>
        <v/>
      </c>
    </row>
    <row r="8347">
      <c r="A8347" s="58" t="inlineStr">
        <is>
          <t>RT20250727-08346</t>
        </is>
      </c>
      <c r="B8347" s="59" t="inlineStr">
        <is>
          <t>2025-07-27</t>
        </is>
      </c>
      <c r="C8347" s="60" t="inlineStr">
        <is>
          <t>Metro Wearable Plus-234</t>
        </is>
      </c>
      <c r="D8347" s="58" t="inlineStr">
        <is>
          <t>Electronics</t>
        </is>
      </c>
      <c r="E8347" s="58" t="inlineStr">
        <is>
          <t>East</t>
        </is>
      </c>
      <c r="F8347" s="61" t="n">
        <v>2</v>
      </c>
      <c r="G8347" s="62" t="n">
        <v>1784.33</v>
      </c>
      <c r="H8347" s="63" t="n">
        <v>0.03</v>
      </c>
      <c r="I8347" s="62" t="n">
        <v>1171.9</v>
      </c>
      <c r="J8347" s="58" t="inlineStr">
        <is>
          <t>Store</t>
        </is>
      </c>
      <c r="K8347" s="62">
        <f>F8347*(G8347-H8347)</f>
        <v/>
      </c>
      <c r="L8347" s="62">
        <f>K8347-(F8347*I8347)</f>
        <v/>
      </c>
      <c r="M8347" s="64">
        <f>L8347/K8347</f>
        <v/>
      </c>
    </row>
    <row r="8348">
      <c r="A8348" s="58" t="inlineStr">
        <is>
          <t>RT20250727-08347</t>
        </is>
      </c>
      <c r="B8348" s="59" t="inlineStr">
        <is>
          <t>2025-07-27</t>
        </is>
      </c>
      <c r="C8348" s="60" t="inlineStr">
        <is>
          <t>Aurora Haircare S-975</t>
        </is>
      </c>
      <c r="D8348" s="58" t="inlineStr">
        <is>
          <t>Beauty</t>
        </is>
      </c>
      <c r="E8348" s="58" t="inlineStr">
        <is>
          <t>West</t>
        </is>
      </c>
      <c r="F8348" s="61" t="n">
        <v>4</v>
      </c>
      <c r="G8348" s="62" t="n">
        <v>92.2</v>
      </c>
      <c r="H8348" s="63" t="n">
        <v>0.002</v>
      </c>
      <c r="I8348" s="62" t="n">
        <v>57.46</v>
      </c>
      <c r="J8348" s="58" t="inlineStr">
        <is>
          <t>Online</t>
        </is>
      </c>
      <c r="K8348" s="62">
        <f>F8348*(G8348-H8348)</f>
        <v/>
      </c>
      <c r="L8348" s="62">
        <f>K8348-(F8348*I8348)</f>
        <v/>
      </c>
      <c r="M8348" s="64">
        <f>L8348/K8348</f>
        <v/>
      </c>
    </row>
    <row r="8349">
      <c r="A8349" s="58" t="inlineStr">
        <is>
          <t>RT20250727-08348</t>
        </is>
      </c>
      <c r="B8349" s="59" t="inlineStr">
        <is>
          <t>2025-07-27</t>
        </is>
      </c>
      <c r="C8349" s="60" t="inlineStr">
        <is>
          <t>Metro Decor Lite-325</t>
        </is>
      </c>
      <c r="D8349" s="58" t="inlineStr">
        <is>
          <t>Home</t>
        </is>
      </c>
      <c r="E8349" s="58" t="inlineStr">
        <is>
          <t>North</t>
        </is>
      </c>
      <c r="F8349" s="61" t="n">
        <v>1</v>
      </c>
      <c r="G8349" s="62" t="n">
        <v>602.74</v>
      </c>
      <c r="H8349" s="63" t="n">
        <v>0.036</v>
      </c>
      <c r="I8349" s="62" t="n">
        <v>369.99</v>
      </c>
      <c r="J8349" s="58" t="inlineStr">
        <is>
          <t>Store</t>
        </is>
      </c>
      <c r="K8349" s="62">
        <f>F8349*(G8349-H8349)</f>
        <v/>
      </c>
      <c r="L8349" s="62">
        <f>K8349-(F8349*I8349)</f>
        <v/>
      </c>
      <c r="M8349" s="64">
        <f>L8349/K8349</f>
        <v/>
      </c>
    </row>
    <row r="8350">
      <c r="A8350" s="58" t="inlineStr">
        <is>
          <t>RT20250727-08349</t>
        </is>
      </c>
      <c r="B8350" s="59" t="inlineStr">
        <is>
          <t>2025-07-27</t>
        </is>
      </c>
      <c r="C8350" s="60" t="inlineStr">
        <is>
          <t>Polar Decor Plus-505</t>
        </is>
      </c>
      <c r="D8350" s="58" t="inlineStr">
        <is>
          <t>Home</t>
        </is>
      </c>
      <c r="E8350" s="58" t="inlineStr">
        <is>
          <t>North</t>
        </is>
      </c>
      <c r="F8350" s="61" t="n">
        <v>1</v>
      </c>
      <c r="G8350" s="62" t="n">
        <v>262.17</v>
      </c>
      <c r="H8350" s="63" t="n">
        <v>0.022</v>
      </c>
      <c r="I8350" s="62" t="n">
        <v>195.01</v>
      </c>
      <c r="J8350" s="58" t="inlineStr">
        <is>
          <t>Store</t>
        </is>
      </c>
      <c r="K8350" s="62">
        <f>F8350*(G8350-H8350)</f>
        <v/>
      </c>
      <c r="L8350" s="62">
        <f>K8350-(F8350*I8350)</f>
        <v/>
      </c>
      <c r="M8350" s="64">
        <f>L8350/K8350</f>
        <v/>
      </c>
    </row>
    <row r="8351">
      <c r="A8351" s="58" t="inlineStr">
        <is>
          <t>RT20250727-08350</t>
        </is>
      </c>
      <c r="B8351" s="59" t="inlineStr">
        <is>
          <t>2025-07-27</t>
        </is>
      </c>
      <c r="C8351" s="60" t="inlineStr">
        <is>
          <t>Falcon Accessorie S-195</t>
        </is>
      </c>
      <c r="D8351" s="58" t="inlineStr">
        <is>
          <t>Apparel</t>
        </is>
      </c>
      <c r="E8351" s="58" t="inlineStr">
        <is>
          <t>West</t>
        </is>
      </c>
      <c r="F8351" s="61" t="n">
        <v>1</v>
      </c>
      <c r="G8351" s="62" t="n">
        <v>80.52</v>
      </c>
      <c r="H8351" s="63" t="n">
        <v>0.062</v>
      </c>
      <c r="I8351" s="62" t="n">
        <v>43.95</v>
      </c>
      <c r="J8351" s="58" t="inlineStr">
        <is>
          <t>Store</t>
        </is>
      </c>
      <c r="K8351" s="62">
        <f>F8351*(G8351-H8351)</f>
        <v/>
      </c>
      <c r="L8351" s="62">
        <f>K8351-(F8351*I8351)</f>
        <v/>
      </c>
      <c r="M8351" s="64">
        <f>L8351/K8351</f>
        <v/>
      </c>
    </row>
    <row r="8352">
      <c r="A8352" s="58" t="inlineStr">
        <is>
          <t>RT20250727-08351</t>
        </is>
      </c>
      <c r="B8352" s="59" t="inlineStr">
        <is>
          <t>2025-07-27</t>
        </is>
      </c>
      <c r="C8352" s="60" t="inlineStr">
        <is>
          <t>Metro Accessorie Max-316</t>
        </is>
      </c>
      <c r="D8352" s="58" t="inlineStr">
        <is>
          <t>Apparel</t>
        </is>
      </c>
      <c r="E8352" s="58" t="inlineStr">
        <is>
          <t>Central</t>
        </is>
      </c>
      <c r="F8352" s="61" t="n">
        <v>3</v>
      </c>
      <c r="G8352" s="62" t="n">
        <v>151.69</v>
      </c>
      <c r="H8352" s="63" t="n">
        <v>0.074</v>
      </c>
      <c r="I8352" s="62" t="n">
        <v>93.75</v>
      </c>
      <c r="J8352" s="58" t="inlineStr">
        <is>
          <t>Store</t>
        </is>
      </c>
      <c r="K8352" s="62">
        <f>F8352*(G8352-H8352)</f>
        <v/>
      </c>
      <c r="L8352" s="62">
        <f>K8352-(F8352*I8352)</f>
        <v/>
      </c>
      <c r="M8352" s="64">
        <f>L8352/K8352</f>
        <v/>
      </c>
    </row>
    <row r="8353">
      <c r="A8353" s="58" t="inlineStr">
        <is>
          <t>RT20250727-08352</t>
        </is>
      </c>
      <c r="B8353" s="59" t="inlineStr">
        <is>
          <t>2025-07-27</t>
        </is>
      </c>
      <c r="C8353" s="60" t="inlineStr">
        <is>
          <t>Polar Pantry Lite-392</t>
        </is>
      </c>
      <c r="D8353" s="58" t="inlineStr">
        <is>
          <t>Grocery</t>
        </is>
      </c>
      <c r="E8353" s="58" t="inlineStr">
        <is>
          <t>East</t>
        </is>
      </c>
      <c r="F8353" s="61" t="n">
        <v>2</v>
      </c>
      <c r="G8353" s="62" t="n">
        <v>6.14</v>
      </c>
      <c r="H8353" s="63" t="n">
        <v>0.113</v>
      </c>
      <c r="I8353" s="62" t="n">
        <v>4.6</v>
      </c>
      <c r="J8353" s="58" t="inlineStr">
        <is>
          <t>Phone</t>
        </is>
      </c>
      <c r="K8353" s="62">
        <f>F8353*(G8353-H8353)</f>
        <v/>
      </c>
      <c r="L8353" s="62">
        <f>K8353-(F8353*I8353)</f>
        <v/>
      </c>
      <c r="M8353" s="64">
        <f>L8353/K8353</f>
        <v/>
      </c>
    </row>
    <row r="8354">
      <c r="A8354" s="58" t="inlineStr">
        <is>
          <t>RT20250727-08353</t>
        </is>
      </c>
      <c r="B8354" s="59" t="inlineStr">
        <is>
          <t>2025-07-27</t>
        </is>
      </c>
      <c r="C8354" s="60" t="inlineStr">
        <is>
          <t>Vertex Decor Pro-618</t>
        </is>
      </c>
      <c r="D8354" s="58" t="inlineStr">
        <is>
          <t>Home</t>
        </is>
      </c>
      <c r="E8354" s="58" t="inlineStr">
        <is>
          <t>Central</t>
        </is>
      </c>
      <c r="F8354" s="61" t="n">
        <v>2</v>
      </c>
      <c r="G8354" s="62" t="n">
        <v>550.92</v>
      </c>
      <c r="H8354" s="63" t="n">
        <v>0.054</v>
      </c>
      <c r="I8354" s="62" t="n">
        <v>380.09</v>
      </c>
      <c r="J8354" s="58" t="inlineStr">
        <is>
          <t>Online</t>
        </is>
      </c>
      <c r="K8354" s="62">
        <f>F8354*(G8354-H8354)</f>
        <v/>
      </c>
      <c r="L8354" s="62">
        <f>K8354-(F8354*I8354)</f>
        <v/>
      </c>
      <c r="M8354" s="64">
        <f>L8354/K8354</f>
        <v/>
      </c>
    </row>
    <row r="8355">
      <c r="A8355" s="58" t="inlineStr">
        <is>
          <t>RT20250727-08354</t>
        </is>
      </c>
      <c r="B8355" s="59" t="inlineStr">
        <is>
          <t>2025-07-27</t>
        </is>
      </c>
      <c r="C8355" s="60" t="inlineStr">
        <is>
          <t>Nimbus Fitnes Lite-516</t>
        </is>
      </c>
      <c r="D8355" s="58" t="inlineStr">
        <is>
          <t>Sports</t>
        </is>
      </c>
      <c r="E8355" s="58" t="inlineStr">
        <is>
          <t>South</t>
        </is>
      </c>
      <c r="F8355" s="61" t="n">
        <v>1</v>
      </c>
      <c r="G8355" s="62" t="n">
        <v>764.7</v>
      </c>
      <c r="H8355" s="63" t="n">
        <v>0.024</v>
      </c>
      <c r="I8355" s="62" t="n">
        <v>460.14</v>
      </c>
      <c r="J8355" s="58" t="inlineStr">
        <is>
          <t>Online</t>
        </is>
      </c>
      <c r="K8355" s="62">
        <f>F8355*(G8355-H8355)</f>
        <v/>
      </c>
      <c r="L8355" s="62">
        <f>K8355-(F8355*I8355)</f>
        <v/>
      </c>
      <c r="M8355" s="64">
        <f>L8355/K8355</f>
        <v/>
      </c>
    </row>
    <row r="8356">
      <c r="A8356" s="58" t="inlineStr">
        <is>
          <t>RT20250727-08355</t>
        </is>
      </c>
      <c r="B8356" s="59" t="inlineStr">
        <is>
          <t>2025-07-27</t>
        </is>
      </c>
      <c r="C8356" s="60" t="inlineStr">
        <is>
          <t>Orion Laptop S-350</t>
        </is>
      </c>
      <c r="D8356" s="58" t="inlineStr">
        <is>
          <t>Electronics</t>
        </is>
      </c>
      <c r="E8356" s="58" t="inlineStr">
        <is>
          <t>East</t>
        </is>
      </c>
      <c r="F8356" s="61" t="n">
        <v>2</v>
      </c>
      <c r="G8356" s="62" t="n">
        <v>1149.97</v>
      </c>
      <c r="H8356" s="63" t="n">
        <v>0.05</v>
      </c>
      <c r="I8356" s="62" t="n">
        <v>1060.65</v>
      </c>
      <c r="J8356" s="58" t="inlineStr">
        <is>
          <t>Online</t>
        </is>
      </c>
      <c r="K8356" s="62">
        <f>F8356*(G8356-H8356)</f>
        <v/>
      </c>
      <c r="L8356" s="62">
        <f>K8356-(F8356*I8356)</f>
        <v/>
      </c>
      <c r="M8356" s="64">
        <f>L8356/K8356</f>
        <v/>
      </c>
    </row>
    <row r="8357">
      <c r="A8357" s="58" t="inlineStr">
        <is>
          <t>RT20250727-08356</t>
        </is>
      </c>
      <c r="B8357" s="59" t="inlineStr">
        <is>
          <t>2025-07-27</t>
        </is>
      </c>
      <c r="C8357" s="60" t="inlineStr">
        <is>
          <t>Vertex Smartphone Lite-267</t>
        </is>
      </c>
      <c r="D8357" s="58" t="inlineStr">
        <is>
          <t>Electronics</t>
        </is>
      </c>
      <c r="E8357" s="58" t="inlineStr">
        <is>
          <t>West</t>
        </is>
      </c>
      <c r="F8357" s="61" t="n">
        <v>1</v>
      </c>
      <c r="G8357" s="62" t="n">
        <v>1182.91</v>
      </c>
      <c r="H8357" s="63" t="n">
        <v>0.08699999999999999</v>
      </c>
      <c r="I8357" s="62" t="n">
        <v>970.75</v>
      </c>
      <c r="J8357" s="58" t="inlineStr">
        <is>
          <t>Store</t>
        </is>
      </c>
      <c r="K8357" s="62">
        <f>F8357*(G8357-H8357)</f>
        <v/>
      </c>
      <c r="L8357" s="62">
        <f>K8357-(F8357*I8357)</f>
        <v/>
      </c>
      <c r="M8357" s="64">
        <f>L8357/K8357</f>
        <v/>
      </c>
    </row>
    <row r="8358">
      <c r="A8358" s="58" t="inlineStr">
        <is>
          <t>RT20250727-08357</t>
        </is>
      </c>
      <c r="B8358" s="59" t="inlineStr">
        <is>
          <t>2025-07-27</t>
        </is>
      </c>
      <c r="C8358" s="60" t="inlineStr">
        <is>
          <t>Aurora Smartphone Plus-125</t>
        </is>
      </c>
      <c r="D8358" s="58" t="inlineStr">
        <is>
          <t>Electronics</t>
        </is>
      </c>
      <c r="E8358" s="58" t="inlineStr">
        <is>
          <t>South</t>
        </is>
      </c>
      <c r="F8358" s="61" t="n">
        <v>1</v>
      </c>
      <c r="G8358" s="62" t="n">
        <v>1627.77</v>
      </c>
      <c r="H8358" s="63" t="n">
        <v>0.049</v>
      </c>
      <c r="I8358" s="62" t="n">
        <v>1209.38</v>
      </c>
      <c r="J8358" s="58" t="inlineStr">
        <is>
          <t>Store</t>
        </is>
      </c>
      <c r="K8358" s="62">
        <f>F8358*(G8358-H8358)</f>
        <v/>
      </c>
      <c r="L8358" s="62">
        <f>K8358-(F8358*I8358)</f>
        <v/>
      </c>
      <c r="M8358" s="64">
        <f>L8358/K8358</f>
        <v/>
      </c>
    </row>
    <row r="8359">
      <c r="A8359" s="58" t="inlineStr">
        <is>
          <t>RT20250727-08358</t>
        </is>
      </c>
      <c r="B8359" s="59" t="inlineStr">
        <is>
          <t>2025-07-27</t>
        </is>
      </c>
      <c r="C8359" s="60" t="inlineStr">
        <is>
          <t>Polar Cycling X-649</t>
        </is>
      </c>
      <c r="D8359" s="58" t="inlineStr">
        <is>
          <t>Sports</t>
        </is>
      </c>
      <c r="E8359" s="58" t="inlineStr">
        <is>
          <t>South</t>
        </is>
      </c>
      <c r="F8359" s="61" t="n">
        <v>2</v>
      </c>
      <c r="G8359" s="62" t="n">
        <v>507.95</v>
      </c>
      <c r="H8359" s="63" t="n">
        <v>0.051</v>
      </c>
      <c r="I8359" s="62" t="n">
        <v>366.82</v>
      </c>
      <c r="J8359" s="58" t="inlineStr">
        <is>
          <t>Online</t>
        </is>
      </c>
      <c r="K8359" s="62">
        <f>F8359*(G8359-H8359)</f>
        <v/>
      </c>
      <c r="L8359" s="62">
        <f>K8359-(F8359*I8359)</f>
        <v/>
      </c>
      <c r="M8359" s="64">
        <f>L8359/K8359</f>
        <v/>
      </c>
    </row>
    <row r="8360">
      <c r="A8360" s="58" t="inlineStr">
        <is>
          <t>RT20250727-08359</t>
        </is>
      </c>
      <c r="B8360" s="59" t="inlineStr">
        <is>
          <t>2025-07-27</t>
        </is>
      </c>
      <c r="C8360" s="60" t="inlineStr">
        <is>
          <t>Metro Laptop Plus-376</t>
        </is>
      </c>
      <c r="D8360" s="58" t="inlineStr">
        <is>
          <t>Electronics</t>
        </is>
      </c>
      <c r="E8360" s="58" t="inlineStr">
        <is>
          <t>North</t>
        </is>
      </c>
      <c r="F8360" s="61" t="n">
        <v>1</v>
      </c>
      <c r="G8360" s="62" t="n">
        <v>1373.15</v>
      </c>
      <c r="H8360" s="63" t="n">
        <v>0.06</v>
      </c>
      <c r="I8360" s="62" t="n">
        <v>1053.63</v>
      </c>
      <c r="J8360" s="58" t="inlineStr">
        <is>
          <t>Online</t>
        </is>
      </c>
      <c r="K8360" s="62">
        <f>F8360*(G8360-H8360)</f>
        <v/>
      </c>
      <c r="L8360" s="62">
        <f>K8360-(F8360*I8360)</f>
        <v/>
      </c>
      <c r="M8360" s="64">
        <f>L8360/K8360</f>
        <v/>
      </c>
    </row>
    <row r="8361">
      <c r="A8361" s="58" t="inlineStr">
        <is>
          <t>RT20250727-08360</t>
        </is>
      </c>
      <c r="B8361" s="59" t="inlineStr">
        <is>
          <t>2025-07-27</t>
        </is>
      </c>
      <c r="C8361" s="60" t="inlineStr">
        <is>
          <t>Orion Snack X-322</t>
        </is>
      </c>
      <c r="D8361" s="58" t="inlineStr">
        <is>
          <t>Grocery</t>
        </is>
      </c>
      <c r="E8361" s="58" t="inlineStr">
        <is>
          <t>East</t>
        </is>
      </c>
      <c r="F8361" s="61" t="n">
        <v>2</v>
      </c>
      <c r="G8361" s="62" t="n">
        <v>13.67</v>
      </c>
      <c r="H8361" s="63" t="n">
        <v>0.08500000000000001</v>
      </c>
      <c r="I8361" s="62" t="n">
        <v>10.2</v>
      </c>
      <c r="J8361" s="58" t="inlineStr">
        <is>
          <t>Online</t>
        </is>
      </c>
      <c r="K8361" s="62">
        <f>F8361*(G8361-H8361)</f>
        <v/>
      </c>
      <c r="L8361" s="62">
        <f>K8361-(F8361*I8361)</f>
        <v/>
      </c>
      <c r="M8361" s="64">
        <f>L8361/K8361</f>
        <v/>
      </c>
    </row>
    <row r="8362">
      <c r="A8362" s="58" t="inlineStr">
        <is>
          <t>RT20250727-08361</t>
        </is>
      </c>
      <c r="B8362" s="59" t="inlineStr">
        <is>
          <t>2025-07-27</t>
        </is>
      </c>
      <c r="C8362" s="60" t="inlineStr">
        <is>
          <t>Vertex Supplie Pro-786</t>
        </is>
      </c>
      <c r="D8362" s="58" t="inlineStr">
        <is>
          <t>Office</t>
        </is>
      </c>
      <c r="E8362" s="58" t="inlineStr">
        <is>
          <t>East</t>
        </is>
      </c>
      <c r="F8362" s="61" t="n">
        <v>1</v>
      </c>
      <c r="G8362" s="62" t="n">
        <v>409.85</v>
      </c>
      <c r="H8362" s="63" t="n">
        <v>0.019</v>
      </c>
      <c r="I8362" s="62" t="n">
        <v>289.87</v>
      </c>
      <c r="J8362" s="58" t="inlineStr">
        <is>
          <t>Online</t>
        </is>
      </c>
      <c r="K8362" s="62">
        <f>F8362*(G8362-H8362)</f>
        <v/>
      </c>
      <c r="L8362" s="62">
        <f>K8362-(F8362*I8362)</f>
        <v/>
      </c>
      <c r="M8362" s="64">
        <f>L8362/K8362</f>
        <v/>
      </c>
    </row>
    <row r="8363">
      <c r="A8363" s="58" t="inlineStr">
        <is>
          <t>RT20250727-08362</t>
        </is>
      </c>
      <c r="B8363" s="59" t="inlineStr">
        <is>
          <t>2025-07-27</t>
        </is>
      </c>
      <c r="C8363" s="60" t="inlineStr">
        <is>
          <t>Polar Decor Plus-505</t>
        </is>
      </c>
      <c r="D8363" s="58" t="inlineStr">
        <is>
          <t>Home</t>
        </is>
      </c>
      <c r="E8363" s="58" t="inlineStr">
        <is>
          <t>East</t>
        </is>
      </c>
      <c r="F8363" s="61" t="n">
        <v>3</v>
      </c>
      <c r="G8363" s="62" t="n">
        <v>289.39</v>
      </c>
      <c r="H8363" s="63" t="n">
        <v>0.012</v>
      </c>
      <c r="I8363" s="62" t="n">
        <v>203.97</v>
      </c>
      <c r="J8363" s="58" t="inlineStr">
        <is>
          <t>Store</t>
        </is>
      </c>
      <c r="K8363" s="62">
        <f>F8363*(G8363-H8363)</f>
        <v/>
      </c>
      <c r="L8363" s="62">
        <f>K8363-(F8363*I8363)</f>
        <v/>
      </c>
      <c r="M8363" s="64">
        <f>L8363/K8363</f>
        <v/>
      </c>
    </row>
    <row r="8364">
      <c r="A8364" s="58" t="inlineStr">
        <is>
          <t>RT20250727-08363</t>
        </is>
      </c>
      <c r="B8364" s="59" t="inlineStr">
        <is>
          <t>2025-07-27</t>
        </is>
      </c>
      <c r="C8364" s="60" t="inlineStr">
        <is>
          <t>Metro Printer X-294</t>
        </is>
      </c>
      <c r="D8364" s="58" t="inlineStr">
        <is>
          <t>Office</t>
        </is>
      </c>
      <c r="E8364" s="58" t="inlineStr">
        <is>
          <t>South</t>
        </is>
      </c>
      <c r="F8364" s="61" t="n">
        <v>3</v>
      </c>
      <c r="G8364" s="62" t="n">
        <v>558.22</v>
      </c>
      <c r="H8364" s="63" t="n">
        <v>0.068</v>
      </c>
      <c r="I8364" s="62" t="n">
        <v>419.25</v>
      </c>
      <c r="J8364" s="58" t="inlineStr">
        <is>
          <t>Online</t>
        </is>
      </c>
      <c r="K8364" s="62">
        <f>F8364*(G8364-H8364)</f>
        <v/>
      </c>
      <c r="L8364" s="62">
        <f>K8364-(F8364*I8364)</f>
        <v/>
      </c>
      <c r="M8364" s="64">
        <f>L8364/K8364</f>
        <v/>
      </c>
    </row>
    <row r="8365">
      <c r="A8365" s="58" t="inlineStr">
        <is>
          <t>RT20250727-08364</t>
        </is>
      </c>
      <c r="B8365" s="59" t="inlineStr">
        <is>
          <t>2025-07-27</t>
        </is>
      </c>
      <c r="C8365" s="60" t="inlineStr">
        <is>
          <t>Falcon Household Pro-865</t>
        </is>
      </c>
      <c r="D8365" s="58" t="inlineStr">
        <is>
          <t>Grocery</t>
        </is>
      </c>
      <c r="E8365" s="58" t="inlineStr">
        <is>
          <t>South</t>
        </is>
      </c>
      <c r="F8365" s="61" t="n">
        <v>8</v>
      </c>
      <c r="G8365" s="62" t="n">
        <v>10.98</v>
      </c>
      <c r="H8365" s="63" t="n">
        <v>0.068</v>
      </c>
      <c r="I8365" s="62" t="n">
        <v>7.53</v>
      </c>
      <c r="J8365" s="58" t="inlineStr">
        <is>
          <t>Online</t>
        </is>
      </c>
      <c r="K8365" s="62">
        <f>F8365*(G8365-H8365)</f>
        <v/>
      </c>
      <c r="L8365" s="62">
        <f>K8365-(F8365*I8365)</f>
        <v/>
      </c>
      <c r="M8365" s="64">
        <f>L8365/K8365</f>
        <v/>
      </c>
    </row>
    <row r="8366">
      <c r="A8366" s="58" t="inlineStr">
        <is>
          <t>RT20250727-08365</t>
        </is>
      </c>
      <c r="B8366" s="59" t="inlineStr">
        <is>
          <t>2025-07-27</t>
        </is>
      </c>
      <c r="C8366" s="60" t="inlineStr">
        <is>
          <t>Falcon Household Plus-172</t>
        </is>
      </c>
      <c r="D8366" s="58" t="inlineStr">
        <is>
          <t>Grocery</t>
        </is>
      </c>
      <c r="E8366" s="58" t="inlineStr">
        <is>
          <t>East</t>
        </is>
      </c>
      <c r="F8366" s="61" t="n">
        <v>1</v>
      </c>
      <c r="G8366" s="62" t="n">
        <v>19.84</v>
      </c>
      <c r="H8366" s="63" t="n">
        <v>0.06900000000000001</v>
      </c>
      <c r="I8366" s="62" t="n">
        <v>16.57</v>
      </c>
      <c r="J8366" s="58" t="inlineStr">
        <is>
          <t>Online</t>
        </is>
      </c>
      <c r="K8366" s="62">
        <f>F8366*(G8366-H8366)</f>
        <v/>
      </c>
      <c r="L8366" s="62">
        <f>K8366-(F8366*I8366)</f>
        <v/>
      </c>
      <c r="M8366" s="64">
        <f>L8366/K8366</f>
        <v/>
      </c>
    </row>
    <row r="8367">
      <c r="A8367" s="58" t="inlineStr">
        <is>
          <t>RT20250727-08366</t>
        </is>
      </c>
      <c r="B8367" s="59" t="inlineStr">
        <is>
          <t>2025-07-27</t>
        </is>
      </c>
      <c r="C8367" s="60" t="inlineStr">
        <is>
          <t>Aurora Skincare Max-798</t>
        </is>
      </c>
      <c r="D8367" s="58" t="inlineStr">
        <is>
          <t>Beauty</t>
        </is>
      </c>
      <c r="E8367" s="58" t="inlineStr">
        <is>
          <t>South</t>
        </is>
      </c>
      <c r="F8367" s="61" t="n">
        <v>1</v>
      </c>
      <c r="G8367" s="62" t="n">
        <v>97.47</v>
      </c>
      <c r="H8367" s="63" t="n">
        <v>0.063</v>
      </c>
      <c r="I8367" s="62" t="n">
        <v>67.44</v>
      </c>
      <c r="J8367" s="58" t="inlineStr">
        <is>
          <t>Store</t>
        </is>
      </c>
      <c r="K8367" s="62">
        <f>F8367*(G8367-H8367)</f>
        <v/>
      </c>
      <c r="L8367" s="62">
        <f>K8367-(F8367*I8367)</f>
        <v/>
      </c>
      <c r="M8367" s="64">
        <f>L8367/K8367</f>
        <v/>
      </c>
    </row>
    <row r="8368">
      <c r="A8368" s="58" t="inlineStr">
        <is>
          <t>RT20250728-08367</t>
        </is>
      </c>
      <c r="B8368" s="59" t="inlineStr">
        <is>
          <t>2025-07-28</t>
        </is>
      </c>
      <c r="C8368" s="60" t="inlineStr">
        <is>
          <t>Polar Snack Pro-641</t>
        </is>
      </c>
      <c r="D8368" s="58" t="inlineStr">
        <is>
          <t>Grocery</t>
        </is>
      </c>
      <c r="E8368" s="58" t="inlineStr">
        <is>
          <t>South</t>
        </is>
      </c>
      <c r="F8368" s="61" t="n">
        <v>5</v>
      </c>
      <c r="G8368" s="62" t="n">
        <v>12.76</v>
      </c>
      <c r="H8368" s="63" t="n">
        <v>0.019</v>
      </c>
      <c r="I8368" s="62" t="n">
        <v>9.449999999999999</v>
      </c>
      <c r="J8368" s="58" t="inlineStr">
        <is>
          <t>Store</t>
        </is>
      </c>
      <c r="K8368" s="62">
        <f>F8368*(G8368-H8368)</f>
        <v/>
      </c>
      <c r="L8368" s="62">
        <f>K8368-(F8368*I8368)</f>
        <v/>
      </c>
      <c r="M8368" s="64">
        <f>L8368/K8368</f>
        <v/>
      </c>
    </row>
    <row r="8369">
      <c r="A8369" s="58" t="inlineStr">
        <is>
          <t>RT20250728-08368</t>
        </is>
      </c>
      <c r="B8369" s="59" t="inlineStr">
        <is>
          <t>2025-07-28</t>
        </is>
      </c>
      <c r="C8369" s="60" t="inlineStr">
        <is>
          <t>Vertex Headphone Pro-801</t>
        </is>
      </c>
      <c r="D8369" s="58" t="inlineStr">
        <is>
          <t>Electronics</t>
        </is>
      </c>
      <c r="E8369" s="58" t="inlineStr">
        <is>
          <t>North</t>
        </is>
      </c>
      <c r="F8369" s="61" t="n">
        <v>2</v>
      </c>
      <c r="G8369" s="62" t="n">
        <v>1189.94</v>
      </c>
      <c r="H8369" s="63" t="n">
        <v>0.046</v>
      </c>
      <c r="I8369" s="62" t="n">
        <v>978.71</v>
      </c>
      <c r="J8369" s="58" t="inlineStr">
        <is>
          <t>Online</t>
        </is>
      </c>
      <c r="K8369" s="62">
        <f>F8369*(G8369-H8369)</f>
        <v/>
      </c>
      <c r="L8369" s="62">
        <f>K8369-(F8369*I8369)</f>
        <v/>
      </c>
      <c r="M8369" s="64">
        <f>L8369/K8369</f>
        <v/>
      </c>
    </row>
    <row r="8370">
      <c r="A8370" s="58" t="inlineStr">
        <is>
          <t>RT20250728-08369</t>
        </is>
      </c>
      <c r="B8370" s="59" t="inlineStr">
        <is>
          <t>2025-07-28</t>
        </is>
      </c>
      <c r="C8370" s="60" t="inlineStr">
        <is>
          <t>Vertex Appliance S-159</t>
        </is>
      </c>
      <c r="D8370" s="58" t="inlineStr">
        <is>
          <t>Home</t>
        </is>
      </c>
      <c r="E8370" s="58" t="inlineStr">
        <is>
          <t>South</t>
        </is>
      </c>
      <c r="F8370" s="61" t="n">
        <v>2</v>
      </c>
      <c r="G8370" s="62" t="n">
        <v>366.07</v>
      </c>
      <c r="H8370" s="63" t="n">
        <v>0.068</v>
      </c>
      <c r="I8370" s="62" t="n">
        <v>290.27</v>
      </c>
      <c r="J8370" s="58" t="inlineStr">
        <is>
          <t>Phone</t>
        </is>
      </c>
      <c r="K8370" s="62">
        <f>F8370*(G8370-H8370)</f>
        <v/>
      </c>
      <c r="L8370" s="62">
        <f>K8370-(F8370*I8370)</f>
        <v/>
      </c>
      <c r="M8370" s="64">
        <f>L8370/K8370</f>
        <v/>
      </c>
    </row>
    <row r="8371">
      <c r="A8371" s="58" t="inlineStr">
        <is>
          <t>RT20250728-08370</t>
        </is>
      </c>
      <c r="B8371" s="59" t="inlineStr">
        <is>
          <t>2025-07-28</t>
        </is>
      </c>
      <c r="C8371" s="60" t="inlineStr">
        <is>
          <t>Aurora Appliance Max-316</t>
        </is>
      </c>
      <c r="D8371" s="58" t="inlineStr">
        <is>
          <t>Home</t>
        </is>
      </c>
      <c r="E8371" s="58" t="inlineStr">
        <is>
          <t>Central</t>
        </is>
      </c>
      <c r="F8371" s="61" t="n">
        <v>2</v>
      </c>
      <c r="G8371" s="62" t="n">
        <v>313.46</v>
      </c>
      <c r="H8371" s="63" t="n">
        <v>0.031</v>
      </c>
      <c r="I8371" s="62" t="n">
        <v>212.18</v>
      </c>
      <c r="J8371" s="58" t="inlineStr">
        <is>
          <t>Store</t>
        </is>
      </c>
      <c r="K8371" s="62">
        <f>F8371*(G8371-H8371)</f>
        <v/>
      </c>
      <c r="L8371" s="62">
        <f>K8371-(F8371*I8371)</f>
        <v/>
      </c>
      <c r="M8371" s="64">
        <f>L8371/K8371</f>
        <v/>
      </c>
    </row>
    <row r="8372">
      <c r="A8372" s="58" t="inlineStr">
        <is>
          <t>RT20250728-08371</t>
        </is>
      </c>
      <c r="B8372" s="59" t="inlineStr">
        <is>
          <t>2025-07-28</t>
        </is>
      </c>
      <c r="C8372" s="60" t="inlineStr">
        <is>
          <t>Orion Beverage Plus-949</t>
        </is>
      </c>
      <c r="D8372" s="58" t="inlineStr">
        <is>
          <t>Grocery</t>
        </is>
      </c>
      <c r="E8372" s="58" t="inlineStr">
        <is>
          <t>North</t>
        </is>
      </c>
      <c r="F8372" s="61" t="n">
        <v>7</v>
      </c>
      <c r="G8372" s="62" t="n">
        <v>16.79</v>
      </c>
      <c r="H8372" s="63" t="n">
        <v>0.092</v>
      </c>
      <c r="I8372" s="62" t="n">
        <v>13.26</v>
      </c>
      <c r="J8372" s="58" t="inlineStr">
        <is>
          <t>Store</t>
        </is>
      </c>
      <c r="K8372" s="62">
        <f>F8372*(G8372-H8372)</f>
        <v/>
      </c>
      <c r="L8372" s="62">
        <f>K8372-(F8372*I8372)</f>
        <v/>
      </c>
      <c r="M8372" s="64">
        <f>L8372/K8372</f>
        <v/>
      </c>
    </row>
    <row r="8373">
      <c r="A8373" s="58" t="inlineStr">
        <is>
          <t>RT20250728-08372</t>
        </is>
      </c>
      <c r="B8373" s="59" t="inlineStr">
        <is>
          <t>2025-07-28</t>
        </is>
      </c>
      <c r="C8373" s="60" t="inlineStr">
        <is>
          <t>Metro Smartphone Max-773</t>
        </is>
      </c>
      <c r="D8373" s="58" t="inlineStr">
        <is>
          <t>Electronics</t>
        </is>
      </c>
      <c r="E8373" s="58" t="inlineStr">
        <is>
          <t>North</t>
        </is>
      </c>
      <c r="F8373" s="61" t="n">
        <v>2</v>
      </c>
      <c r="G8373" s="62" t="n">
        <v>1497.43</v>
      </c>
      <c r="H8373" s="63" t="n">
        <v>0.011</v>
      </c>
      <c r="I8373" s="62" t="n">
        <v>1117.62</v>
      </c>
      <c r="J8373" s="58" t="inlineStr">
        <is>
          <t>Store</t>
        </is>
      </c>
      <c r="K8373" s="62">
        <f>F8373*(G8373-H8373)</f>
        <v/>
      </c>
      <c r="L8373" s="62">
        <f>K8373-(F8373*I8373)</f>
        <v/>
      </c>
      <c r="M8373" s="64">
        <f>L8373/K8373</f>
        <v/>
      </c>
    </row>
    <row r="8374">
      <c r="A8374" s="58" t="inlineStr">
        <is>
          <t>RT20250728-08373</t>
        </is>
      </c>
      <c r="B8374" s="59" t="inlineStr">
        <is>
          <t>2025-07-28</t>
        </is>
      </c>
      <c r="C8374" s="60" t="inlineStr">
        <is>
          <t>Aurora Printer Plus-991</t>
        </is>
      </c>
      <c r="D8374" s="58" t="inlineStr">
        <is>
          <t>Office</t>
        </is>
      </c>
      <c r="E8374" s="58" t="inlineStr">
        <is>
          <t>East</t>
        </is>
      </c>
      <c r="F8374" s="61" t="n">
        <v>2</v>
      </c>
      <c r="G8374" s="62" t="n">
        <v>528.61</v>
      </c>
      <c r="H8374" s="63" t="n">
        <v>0.051</v>
      </c>
      <c r="I8374" s="62" t="n">
        <v>371.2</v>
      </c>
      <c r="J8374" s="58" t="inlineStr">
        <is>
          <t>Store</t>
        </is>
      </c>
      <c r="K8374" s="62">
        <f>F8374*(G8374-H8374)</f>
        <v/>
      </c>
      <c r="L8374" s="62">
        <f>K8374-(F8374*I8374)</f>
        <v/>
      </c>
      <c r="M8374" s="64">
        <f>L8374/K8374</f>
        <v/>
      </c>
    </row>
    <row r="8375">
      <c r="A8375" s="58" t="inlineStr">
        <is>
          <t>RT20250728-08374</t>
        </is>
      </c>
      <c r="B8375" s="59" t="inlineStr">
        <is>
          <t>2025-07-28</t>
        </is>
      </c>
      <c r="C8375" s="60" t="inlineStr">
        <is>
          <t>Polar Supplie Lite-348</t>
        </is>
      </c>
      <c r="D8375" s="58" t="inlineStr">
        <is>
          <t>Office</t>
        </is>
      </c>
      <c r="E8375" s="58" t="inlineStr">
        <is>
          <t>South</t>
        </is>
      </c>
      <c r="F8375" s="61" t="n">
        <v>1</v>
      </c>
      <c r="G8375" s="62" t="n">
        <v>403.39</v>
      </c>
      <c r="H8375" s="63" t="n">
        <v>0.046</v>
      </c>
      <c r="I8375" s="62" t="n">
        <v>316.29</v>
      </c>
      <c r="J8375" s="58" t="inlineStr">
        <is>
          <t>Online</t>
        </is>
      </c>
      <c r="K8375" s="62">
        <f>F8375*(G8375-H8375)</f>
        <v/>
      </c>
      <c r="L8375" s="62">
        <f>K8375-(F8375*I8375)</f>
        <v/>
      </c>
      <c r="M8375" s="64">
        <f>L8375/K8375</f>
        <v/>
      </c>
    </row>
    <row r="8376">
      <c r="A8376" s="58" t="inlineStr">
        <is>
          <t>RT20250728-08375</t>
        </is>
      </c>
      <c r="B8376" s="59" t="inlineStr">
        <is>
          <t>2025-07-28</t>
        </is>
      </c>
      <c r="C8376" s="60" t="inlineStr">
        <is>
          <t>Aurora Makeup S-626</t>
        </is>
      </c>
      <c r="D8376" s="58" t="inlineStr">
        <is>
          <t>Beauty</t>
        </is>
      </c>
      <c r="E8376" s="58" t="inlineStr">
        <is>
          <t>North</t>
        </is>
      </c>
      <c r="F8376" s="61" t="n">
        <v>5</v>
      </c>
      <c r="G8376" s="62" t="n">
        <v>96.11</v>
      </c>
      <c r="H8376" s="63" t="n">
        <v>0.044</v>
      </c>
      <c r="I8376" s="62" t="n">
        <v>63.95</v>
      </c>
      <c r="J8376" s="58" t="inlineStr">
        <is>
          <t>Online</t>
        </is>
      </c>
      <c r="K8376" s="62">
        <f>F8376*(G8376-H8376)</f>
        <v/>
      </c>
      <c r="L8376" s="62">
        <f>K8376-(F8376*I8376)</f>
        <v/>
      </c>
      <c r="M8376" s="64">
        <f>L8376/K8376</f>
        <v/>
      </c>
    </row>
    <row r="8377">
      <c r="A8377" s="58" t="inlineStr">
        <is>
          <t>RT20250728-08376</t>
        </is>
      </c>
      <c r="B8377" s="59" t="inlineStr">
        <is>
          <t>2025-07-28</t>
        </is>
      </c>
      <c r="C8377" s="60" t="inlineStr">
        <is>
          <t>Nimbus Laptop Max-652</t>
        </is>
      </c>
      <c r="D8377" s="58" t="inlineStr">
        <is>
          <t>Electronics</t>
        </is>
      </c>
      <c r="E8377" s="58" t="inlineStr">
        <is>
          <t>South</t>
        </is>
      </c>
      <c r="F8377" s="61" t="n">
        <v>2</v>
      </c>
      <c r="G8377" s="62" t="n">
        <v>1206.2</v>
      </c>
      <c r="H8377" s="63" t="n">
        <v>0.019</v>
      </c>
      <c r="I8377" s="62" t="n">
        <v>1025.95</v>
      </c>
      <c r="J8377" s="58" t="inlineStr">
        <is>
          <t>Online</t>
        </is>
      </c>
      <c r="K8377" s="62">
        <f>F8377*(G8377-H8377)</f>
        <v/>
      </c>
      <c r="L8377" s="62">
        <f>K8377-(F8377*I8377)</f>
        <v/>
      </c>
      <c r="M8377" s="64">
        <f>L8377/K8377</f>
        <v/>
      </c>
    </row>
    <row r="8378">
      <c r="A8378" s="58" t="inlineStr">
        <is>
          <t>RT20250728-08377</t>
        </is>
      </c>
      <c r="B8378" s="59" t="inlineStr">
        <is>
          <t>2025-07-28</t>
        </is>
      </c>
      <c r="C8378" s="60" t="inlineStr">
        <is>
          <t>Polar Women S-662</t>
        </is>
      </c>
      <c r="D8378" s="58" t="inlineStr">
        <is>
          <t>Apparel</t>
        </is>
      </c>
      <c r="E8378" s="58" t="inlineStr">
        <is>
          <t>West</t>
        </is>
      </c>
      <c r="F8378" s="61" t="n">
        <v>4</v>
      </c>
      <c r="G8378" s="62" t="n">
        <v>183.13</v>
      </c>
      <c r="H8378" s="63" t="n">
        <v>0.067</v>
      </c>
      <c r="I8378" s="62" t="n">
        <v>99.09</v>
      </c>
      <c r="J8378" s="58" t="inlineStr">
        <is>
          <t>Online</t>
        </is>
      </c>
      <c r="K8378" s="62">
        <f>F8378*(G8378-H8378)</f>
        <v/>
      </c>
      <c r="L8378" s="62">
        <f>K8378-(F8378*I8378)</f>
        <v/>
      </c>
      <c r="M8378" s="64">
        <f>L8378/K8378</f>
        <v/>
      </c>
    </row>
    <row r="8379">
      <c r="A8379" s="58" t="inlineStr">
        <is>
          <t>RT20250728-08378</t>
        </is>
      </c>
      <c r="B8379" s="59" t="inlineStr">
        <is>
          <t>2025-07-28</t>
        </is>
      </c>
      <c r="C8379" s="60" t="inlineStr">
        <is>
          <t>Aurora Bedding Max-175</t>
        </is>
      </c>
      <c r="D8379" s="58" t="inlineStr">
        <is>
          <t>Home</t>
        </is>
      </c>
      <c r="E8379" s="58" t="inlineStr">
        <is>
          <t>South</t>
        </is>
      </c>
      <c r="F8379" s="61" t="n">
        <v>2</v>
      </c>
      <c r="G8379" s="62" t="n">
        <v>588.8</v>
      </c>
      <c r="H8379" s="63" t="n">
        <v>0.021</v>
      </c>
      <c r="I8379" s="62" t="n">
        <v>411.25</v>
      </c>
      <c r="J8379" s="58" t="inlineStr">
        <is>
          <t>Store</t>
        </is>
      </c>
      <c r="K8379" s="62">
        <f>F8379*(G8379-H8379)</f>
        <v/>
      </c>
      <c r="L8379" s="62">
        <f>K8379-(F8379*I8379)</f>
        <v/>
      </c>
      <c r="M8379" s="64">
        <f>L8379/K8379</f>
        <v/>
      </c>
    </row>
    <row r="8380">
      <c r="A8380" s="58" t="inlineStr">
        <is>
          <t>RT20250728-08379</t>
        </is>
      </c>
      <c r="B8380" s="59" t="inlineStr">
        <is>
          <t>2025-07-28</t>
        </is>
      </c>
      <c r="C8380" s="60" t="inlineStr">
        <is>
          <t>Vertex Headphone Pro-801</t>
        </is>
      </c>
      <c r="D8380" s="58" t="inlineStr">
        <is>
          <t>Electronics</t>
        </is>
      </c>
      <c r="E8380" s="58" t="inlineStr">
        <is>
          <t>East</t>
        </is>
      </c>
      <c r="F8380" s="61" t="n">
        <v>1</v>
      </c>
      <c r="G8380" s="62" t="n">
        <v>1189.01</v>
      </c>
      <c r="H8380" s="63" t="n">
        <v>0.07199999999999999</v>
      </c>
      <c r="I8380" s="62" t="n">
        <v>965.33</v>
      </c>
      <c r="J8380" s="58" t="inlineStr">
        <is>
          <t>Online</t>
        </is>
      </c>
      <c r="K8380" s="62">
        <f>F8380*(G8380-H8380)</f>
        <v/>
      </c>
      <c r="L8380" s="62">
        <f>K8380-(F8380*I8380)</f>
        <v/>
      </c>
      <c r="M8380" s="64">
        <f>L8380/K8380</f>
        <v/>
      </c>
    </row>
    <row r="8381">
      <c r="A8381" s="58" t="inlineStr">
        <is>
          <t>RT20250728-08380</t>
        </is>
      </c>
      <c r="B8381" s="59" t="inlineStr">
        <is>
          <t>2025-07-28</t>
        </is>
      </c>
      <c r="C8381" s="60" t="inlineStr">
        <is>
          <t>Aurora Makeup Pro-489</t>
        </is>
      </c>
      <c r="D8381" s="58" t="inlineStr">
        <is>
          <t>Beauty</t>
        </is>
      </c>
      <c r="E8381" s="58" t="inlineStr">
        <is>
          <t>East</t>
        </is>
      </c>
      <c r="F8381" s="61" t="n">
        <v>4</v>
      </c>
      <c r="G8381" s="62" t="n">
        <v>112.92</v>
      </c>
      <c r="H8381" s="63" t="n">
        <v>0.042</v>
      </c>
      <c r="I8381" s="62" t="n">
        <v>63.48</v>
      </c>
      <c r="J8381" s="58" t="inlineStr">
        <is>
          <t>Store</t>
        </is>
      </c>
      <c r="K8381" s="62">
        <f>F8381*(G8381-H8381)</f>
        <v/>
      </c>
      <c r="L8381" s="62">
        <f>K8381-(F8381*I8381)</f>
        <v/>
      </c>
      <c r="M8381" s="64">
        <f>L8381/K8381</f>
        <v/>
      </c>
    </row>
    <row r="8382">
      <c r="A8382" s="58" t="inlineStr">
        <is>
          <t>RT20250728-08381</t>
        </is>
      </c>
      <c r="B8382" s="59" t="inlineStr">
        <is>
          <t>2025-07-28</t>
        </is>
      </c>
      <c r="C8382" s="60" t="inlineStr">
        <is>
          <t>Aurora Bedding Plus-187</t>
        </is>
      </c>
      <c r="D8382" s="58" t="inlineStr">
        <is>
          <t>Home</t>
        </is>
      </c>
      <c r="E8382" s="58" t="inlineStr">
        <is>
          <t>North</t>
        </is>
      </c>
      <c r="F8382" s="61" t="n">
        <v>2</v>
      </c>
      <c r="G8382" s="62" t="n">
        <v>294</v>
      </c>
      <c r="H8382" s="63" t="n">
        <v>0.056</v>
      </c>
      <c r="I8382" s="62" t="n">
        <v>204</v>
      </c>
      <c r="J8382" s="58" t="inlineStr">
        <is>
          <t>Online</t>
        </is>
      </c>
      <c r="K8382" s="62">
        <f>F8382*(G8382-H8382)</f>
        <v/>
      </c>
      <c r="L8382" s="62">
        <f>K8382-(F8382*I8382)</f>
        <v/>
      </c>
      <c r="M8382" s="64">
        <f>L8382/K8382</f>
        <v/>
      </c>
    </row>
    <row r="8383">
      <c r="A8383" s="58" t="inlineStr">
        <is>
          <t>RT20250728-08382</t>
        </is>
      </c>
      <c r="B8383" s="59" t="inlineStr">
        <is>
          <t>2025-07-28</t>
        </is>
      </c>
      <c r="C8383" s="60" t="inlineStr">
        <is>
          <t>Solace Smartphone Lite-533</t>
        </is>
      </c>
      <c r="D8383" s="58" t="inlineStr">
        <is>
          <t>Electronics</t>
        </is>
      </c>
      <c r="E8383" s="58" t="inlineStr">
        <is>
          <t>West</t>
        </is>
      </c>
      <c r="F8383" s="61" t="n">
        <v>2</v>
      </c>
      <c r="G8383" s="62" t="n">
        <v>1067.75</v>
      </c>
      <c r="H8383" s="63" t="n">
        <v>0.04</v>
      </c>
      <c r="I8383" s="62" t="n">
        <v>910.9299999999999</v>
      </c>
      <c r="J8383" s="58" t="inlineStr">
        <is>
          <t>Store</t>
        </is>
      </c>
      <c r="K8383" s="62">
        <f>F8383*(G8383-H8383)</f>
        <v/>
      </c>
      <c r="L8383" s="62">
        <f>K8383-(F8383*I8383)</f>
        <v/>
      </c>
      <c r="M8383" s="64">
        <f>L8383/K8383</f>
        <v/>
      </c>
    </row>
    <row r="8384">
      <c r="A8384" s="58" t="inlineStr">
        <is>
          <t>RT20250728-08383</t>
        </is>
      </c>
      <c r="B8384" s="59" t="inlineStr">
        <is>
          <t>2025-07-28</t>
        </is>
      </c>
      <c r="C8384" s="60" t="inlineStr">
        <is>
          <t>Orion Laptop S-350</t>
        </is>
      </c>
      <c r="D8384" s="58" t="inlineStr">
        <is>
          <t>Electronics</t>
        </is>
      </c>
      <c r="E8384" s="58" t="inlineStr">
        <is>
          <t>West</t>
        </is>
      </c>
      <c r="F8384" s="61" t="n">
        <v>1</v>
      </c>
      <c r="G8384" s="62" t="n">
        <v>1494.86</v>
      </c>
      <c r="H8384" s="63" t="n">
        <v>0.067</v>
      </c>
      <c r="I8384" s="62" t="n">
        <v>1095.38</v>
      </c>
      <c r="J8384" s="58" t="inlineStr">
        <is>
          <t>Online</t>
        </is>
      </c>
      <c r="K8384" s="62">
        <f>F8384*(G8384-H8384)</f>
        <v/>
      </c>
      <c r="L8384" s="62">
        <f>K8384-(F8384*I8384)</f>
        <v/>
      </c>
      <c r="M8384" s="64">
        <f>L8384/K8384</f>
        <v/>
      </c>
    </row>
    <row r="8385">
      <c r="A8385" s="58" t="inlineStr">
        <is>
          <t>RT20250728-08384</t>
        </is>
      </c>
      <c r="B8385" s="59" t="inlineStr">
        <is>
          <t>2025-07-28</t>
        </is>
      </c>
      <c r="C8385" s="60" t="inlineStr">
        <is>
          <t>Aurora Kid Plus-151</t>
        </is>
      </c>
      <c r="D8385" s="58" t="inlineStr">
        <is>
          <t>Apparel</t>
        </is>
      </c>
      <c r="E8385" s="58" t="inlineStr">
        <is>
          <t>East</t>
        </is>
      </c>
      <c r="F8385" s="61" t="n">
        <v>3</v>
      </c>
      <c r="G8385" s="62" t="n">
        <v>121.78</v>
      </c>
      <c r="H8385" s="63" t="n">
        <v>0.056</v>
      </c>
      <c r="I8385" s="62" t="n">
        <v>66.53</v>
      </c>
      <c r="J8385" s="58" t="inlineStr">
        <is>
          <t>Phone</t>
        </is>
      </c>
      <c r="K8385" s="62">
        <f>F8385*(G8385-H8385)</f>
        <v/>
      </c>
      <c r="L8385" s="62">
        <f>K8385-(F8385*I8385)</f>
        <v/>
      </c>
      <c r="M8385" s="64">
        <f>L8385/K8385</f>
        <v/>
      </c>
    </row>
    <row r="8386">
      <c r="A8386" s="58" t="inlineStr">
        <is>
          <t>RT20250728-08385</t>
        </is>
      </c>
      <c r="B8386" s="59" t="inlineStr">
        <is>
          <t>2025-07-28</t>
        </is>
      </c>
      <c r="C8386" s="60" t="inlineStr">
        <is>
          <t>Solace Team Sport Max-548</t>
        </is>
      </c>
      <c r="D8386" s="58" t="inlineStr">
        <is>
          <t>Sports</t>
        </is>
      </c>
      <c r="E8386" s="58" t="inlineStr">
        <is>
          <t>East</t>
        </is>
      </c>
      <c r="F8386" s="61" t="n">
        <v>2</v>
      </c>
      <c r="G8386" s="62" t="n">
        <v>645.15</v>
      </c>
      <c r="H8386" s="63" t="n">
        <v>0.056</v>
      </c>
      <c r="I8386" s="62" t="n">
        <v>474.81</v>
      </c>
      <c r="J8386" s="58" t="inlineStr">
        <is>
          <t>Store</t>
        </is>
      </c>
      <c r="K8386" s="62">
        <f>F8386*(G8386-H8386)</f>
        <v/>
      </c>
      <c r="L8386" s="62">
        <f>K8386-(F8386*I8386)</f>
        <v/>
      </c>
      <c r="M8386" s="64">
        <f>L8386/K8386</f>
        <v/>
      </c>
    </row>
    <row r="8387">
      <c r="A8387" s="58" t="inlineStr">
        <is>
          <t>RT20250728-08386</t>
        </is>
      </c>
      <c r="B8387" s="59" t="inlineStr">
        <is>
          <t>2025-07-28</t>
        </is>
      </c>
      <c r="C8387" s="60" t="inlineStr">
        <is>
          <t>Solace Kid S-384</t>
        </is>
      </c>
      <c r="D8387" s="58" t="inlineStr">
        <is>
          <t>Apparel</t>
        </is>
      </c>
      <c r="E8387" s="58" t="inlineStr">
        <is>
          <t>Central</t>
        </is>
      </c>
      <c r="F8387" s="61" t="n">
        <v>4</v>
      </c>
      <c r="G8387" s="62" t="n">
        <v>122.76</v>
      </c>
      <c r="H8387" s="63" t="n">
        <v>0.008999999999999999</v>
      </c>
      <c r="I8387" s="62" t="n">
        <v>60.87</v>
      </c>
      <c r="J8387" s="58" t="inlineStr">
        <is>
          <t>Store</t>
        </is>
      </c>
      <c r="K8387" s="62">
        <f>F8387*(G8387-H8387)</f>
        <v/>
      </c>
      <c r="L8387" s="62">
        <f>K8387-(F8387*I8387)</f>
        <v/>
      </c>
      <c r="M8387" s="64">
        <f>L8387/K8387</f>
        <v/>
      </c>
    </row>
    <row r="8388">
      <c r="A8388" s="58" t="inlineStr">
        <is>
          <t>RT20250728-08387</t>
        </is>
      </c>
      <c r="B8388" s="59" t="inlineStr">
        <is>
          <t>2025-07-28</t>
        </is>
      </c>
      <c r="C8388" s="60" t="inlineStr">
        <is>
          <t>Falcon Beverage Max-702</t>
        </is>
      </c>
      <c r="D8388" s="58" t="inlineStr">
        <is>
          <t>Grocery</t>
        </is>
      </c>
      <c r="E8388" s="58" t="inlineStr">
        <is>
          <t>West</t>
        </is>
      </c>
      <c r="F8388" s="61" t="n">
        <v>6</v>
      </c>
      <c r="G8388" s="62" t="n">
        <v>26.63</v>
      </c>
      <c r="H8388" s="63" t="n">
        <v>0.076</v>
      </c>
      <c r="I8388" s="62" t="n">
        <v>20.1</v>
      </c>
      <c r="J8388" s="58" t="inlineStr">
        <is>
          <t>Online</t>
        </is>
      </c>
      <c r="K8388" s="62">
        <f>F8388*(G8388-H8388)</f>
        <v/>
      </c>
      <c r="L8388" s="62">
        <f>K8388-(F8388*I8388)</f>
        <v/>
      </c>
      <c r="M8388" s="64">
        <f>L8388/K8388</f>
        <v/>
      </c>
    </row>
    <row r="8389">
      <c r="A8389" s="58" t="inlineStr">
        <is>
          <t>RT20250728-08388</t>
        </is>
      </c>
      <c r="B8389" s="59" t="inlineStr">
        <is>
          <t>2025-07-28</t>
        </is>
      </c>
      <c r="C8389" s="60" t="inlineStr">
        <is>
          <t>Vertex Fitnes Pro-830</t>
        </is>
      </c>
      <c r="D8389" s="58" t="inlineStr">
        <is>
          <t>Sports</t>
        </is>
      </c>
      <c r="E8389" s="58" t="inlineStr">
        <is>
          <t>West</t>
        </is>
      </c>
      <c r="F8389" s="61" t="n">
        <v>2</v>
      </c>
      <c r="G8389" s="62" t="n">
        <v>725.3099999999999</v>
      </c>
      <c r="H8389" s="63" t="n">
        <v>0.043</v>
      </c>
      <c r="I8389" s="62" t="n">
        <v>493.61</v>
      </c>
      <c r="J8389" s="58" t="inlineStr">
        <is>
          <t>Store</t>
        </is>
      </c>
      <c r="K8389" s="62">
        <f>F8389*(G8389-H8389)</f>
        <v/>
      </c>
      <c r="L8389" s="62">
        <f>K8389-(F8389*I8389)</f>
        <v/>
      </c>
      <c r="M8389" s="64">
        <f>L8389/K8389</f>
        <v/>
      </c>
    </row>
    <row r="8390">
      <c r="A8390" s="58" t="inlineStr">
        <is>
          <t>RT20250728-08389</t>
        </is>
      </c>
      <c r="B8390" s="59" t="inlineStr">
        <is>
          <t>2025-07-28</t>
        </is>
      </c>
      <c r="C8390" s="60" t="inlineStr">
        <is>
          <t>Falcon Household Pro-865</t>
        </is>
      </c>
      <c r="D8390" s="58" t="inlineStr">
        <is>
          <t>Grocery</t>
        </is>
      </c>
      <c r="E8390" s="58" t="inlineStr">
        <is>
          <t>Central</t>
        </is>
      </c>
      <c r="F8390" s="61" t="n">
        <v>5</v>
      </c>
      <c r="G8390" s="62" t="n">
        <v>10.38</v>
      </c>
      <c r="H8390" s="63" t="n">
        <v>0.037</v>
      </c>
      <c r="I8390" s="62" t="n">
        <v>7.65</v>
      </c>
      <c r="J8390" s="58" t="inlineStr">
        <is>
          <t>Online</t>
        </is>
      </c>
      <c r="K8390" s="62">
        <f>F8390*(G8390-H8390)</f>
        <v/>
      </c>
      <c r="L8390" s="62">
        <f>K8390-(F8390*I8390)</f>
        <v/>
      </c>
      <c r="M8390" s="64">
        <f>L8390/K8390</f>
        <v/>
      </c>
    </row>
    <row r="8391">
      <c r="A8391" s="58" t="inlineStr">
        <is>
          <t>RT20250728-08390</t>
        </is>
      </c>
      <c r="B8391" s="59" t="inlineStr">
        <is>
          <t>2025-07-28</t>
        </is>
      </c>
      <c r="C8391" s="60" t="inlineStr">
        <is>
          <t>Polar Decor X-935</t>
        </is>
      </c>
      <c r="D8391" s="58" t="inlineStr">
        <is>
          <t>Home</t>
        </is>
      </c>
      <c r="E8391" s="58" t="inlineStr">
        <is>
          <t>North</t>
        </is>
      </c>
      <c r="F8391" s="61" t="n">
        <v>2</v>
      </c>
      <c r="G8391" s="62" t="n">
        <v>272.37</v>
      </c>
      <c r="H8391" s="63" t="n">
        <v>0.051</v>
      </c>
      <c r="I8391" s="62" t="n">
        <v>197.28</v>
      </c>
      <c r="J8391" s="58" t="inlineStr">
        <is>
          <t>Store</t>
        </is>
      </c>
      <c r="K8391" s="62">
        <f>F8391*(G8391-H8391)</f>
        <v/>
      </c>
      <c r="L8391" s="62">
        <f>K8391-(F8391*I8391)</f>
        <v/>
      </c>
      <c r="M8391" s="64">
        <f>L8391/K8391</f>
        <v/>
      </c>
    </row>
    <row r="8392">
      <c r="A8392" s="58" t="inlineStr">
        <is>
          <t>RT20250728-08391</t>
        </is>
      </c>
      <c r="B8392" s="59" t="inlineStr">
        <is>
          <t>2025-07-28</t>
        </is>
      </c>
      <c r="C8392" s="60" t="inlineStr">
        <is>
          <t>Falcon Team Sport Lite-268</t>
        </is>
      </c>
      <c r="D8392" s="58" t="inlineStr">
        <is>
          <t>Sports</t>
        </is>
      </c>
      <c r="E8392" s="58" t="inlineStr">
        <is>
          <t>Central</t>
        </is>
      </c>
      <c r="F8392" s="61" t="n">
        <v>3</v>
      </c>
      <c r="G8392" s="62" t="n">
        <v>742.95</v>
      </c>
      <c r="H8392" s="63" t="n">
        <v>0.036</v>
      </c>
      <c r="I8392" s="62" t="n">
        <v>446.62</v>
      </c>
      <c r="J8392" s="58" t="inlineStr">
        <is>
          <t>Phone</t>
        </is>
      </c>
      <c r="K8392" s="62">
        <f>F8392*(G8392-H8392)</f>
        <v/>
      </c>
      <c r="L8392" s="62">
        <f>K8392-(F8392*I8392)</f>
        <v/>
      </c>
      <c r="M8392" s="64">
        <f>L8392/K8392</f>
        <v/>
      </c>
    </row>
    <row r="8393">
      <c r="A8393" s="58" t="inlineStr">
        <is>
          <t>RT20250728-08392</t>
        </is>
      </c>
      <c r="B8393" s="59" t="inlineStr">
        <is>
          <t>2025-07-28</t>
        </is>
      </c>
      <c r="C8393" s="60" t="inlineStr">
        <is>
          <t>Polar Fragrance Pro-750</t>
        </is>
      </c>
      <c r="D8393" s="58" t="inlineStr">
        <is>
          <t>Beauty</t>
        </is>
      </c>
      <c r="E8393" s="58" t="inlineStr">
        <is>
          <t>East</t>
        </is>
      </c>
      <c r="F8393" s="61" t="n">
        <v>3</v>
      </c>
      <c r="G8393" s="62" t="n">
        <v>58.06</v>
      </c>
      <c r="H8393" s="63" t="n">
        <v>0.007</v>
      </c>
      <c r="I8393" s="62" t="n">
        <v>36.26</v>
      </c>
      <c r="J8393" s="58" t="inlineStr">
        <is>
          <t>Store</t>
        </is>
      </c>
      <c r="K8393" s="62">
        <f>F8393*(G8393-H8393)</f>
        <v/>
      </c>
      <c r="L8393" s="62">
        <f>K8393-(F8393*I8393)</f>
        <v/>
      </c>
      <c r="M8393" s="64">
        <f>L8393/K8393</f>
        <v/>
      </c>
    </row>
    <row r="8394">
      <c r="A8394" s="58" t="inlineStr">
        <is>
          <t>RT20250728-08393</t>
        </is>
      </c>
      <c r="B8394" s="59" t="inlineStr">
        <is>
          <t>2025-07-28</t>
        </is>
      </c>
      <c r="C8394" s="60" t="inlineStr">
        <is>
          <t>Orion Haircare Plus-887</t>
        </is>
      </c>
      <c r="D8394" s="58" t="inlineStr">
        <is>
          <t>Beauty</t>
        </is>
      </c>
      <c r="E8394" s="58" t="inlineStr">
        <is>
          <t>North</t>
        </is>
      </c>
      <c r="F8394" s="61" t="n">
        <v>1</v>
      </c>
      <c r="G8394" s="62" t="n">
        <v>47.42</v>
      </c>
      <c r="H8394" s="63" t="n">
        <v>0.057</v>
      </c>
      <c r="I8394" s="62" t="n">
        <v>31.28</v>
      </c>
      <c r="J8394" s="58" t="inlineStr">
        <is>
          <t>Phone</t>
        </is>
      </c>
      <c r="K8394" s="62">
        <f>F8394*(G8394-H8394)</f>
        <v/>
      </c>
      <c r="L8394" s="62">
        <f>K8394-(F8394*I8394)</f>
        <v/>
      </c>
      <c r="M8394" s="64">
        <f>L8394/K8394</f>
        <v/>
      </c>
    </row>
    <row r="8395">
      <c r="A8395" s="58" t="inlineStr">
        <is>
          <t>RT20250728-08394</t>
        </is>
      </c>
      <c r="B8395" s="59" t="inlineStr">
        <is>
          <t>2025-07-28</t>
        </is>
      </c>
      <c r="C8395" s="60" t="inlineStr">
        <is>
          <t>Metro Outdoor Plus-787</t>
        </is>
      </c>
      <c r="D8395" s="58" t="inlineStr">
        <is>
          <t>Sports</t>
        </is>
      </c>
      <c r="E8395" s="58" t="inlineStr">
        <is>
          <t>East</t>
        </is>
      </c>
      <c r="F8395" s="61" t="n">
        <v>3</v>
      </c>
      <c r="G8395" s="62" t="n">
        <v>530.75</v>
      </c>
      <c r="H8395" s="63" t="n">
        <v>0.094</v>
      </c>
      <c r="I8395" s="62" t="n">
        <v>356.23</v>
      </c>
      <c r="J8395" s="58" t="inlineStr">
        <is>
          <t>Online</t>
        </is>
      </c>
      <c r="K8395" s="62">
        <f>F8395*(G8395-H8395)</f>
        <v/>
      </c>
      <c r="L8395" s="62">
        <f>K8395-(F8395*I8395)</f>
        <v/>
      </c>
      <c r="M8395" s="64">
        <f>L8395/K8395</f>
        <v/>
      </c>
    </row>
    <row r="8396">
      <c r="A8396" s="58" t="inlineStr">
        <is>
          <t>RT20250728-08395</t>
        </is>
      </c>
      <c r="B8396" s="59" t="inlineStr">
        <is>
          <t>2025-07-28</t>
        </is>
      </c>
      <c r="C8396" s="60" t="inlineStr">
        <is>
          <t>Nimbus Cycling Plus-911</t>
        </is>
      </c>
      <c r="D8396" s="58" t="inlineStr">
        <is>
          <t>Sports</t>
        </is>
      </c>
      <c r="E8396" s="58" t="inlineStr">
        <is>
          <t>South</t>
        </is>
      </c>
      <c r="F8396" s="61" t="n">
        <v>1</v>
      </c>
      <c r="G8396" s="62" t="n">
        <v>573.46</v>
      </c>
      <c r="H8396" s="63" t="n">
        <v>0.08699999999999999</v>
      </c>
      <c r="I8396" s="62" t="n">
        <v>384.95</v>
      </c>
      <c r="J8396" s="58" t="inlineStr">
        <is>
          <t>Online</t>
        </is>
      </c>
      <c r="K8396" s="62">
        <f>F8396*(G8396-H8396)</f>
        <v/>
      </c>
      <c r="L8396" s="62">
        <f>K8396-(F8396*I8396)</f>
        <v/>
      </c>
      <c r="M8396" s="64">
        <f>L8396/K8396</f>
        <v/>
      </c>
    </row>
    <row r="8397">
      <c r="A8397" s="58" t="inlineStr">
        <is>
          <t>RT20250728-08396</t>
        </is>
      </c>
      <c r="B8397" s="59" t="inlineStr">
        <is>
          <t>2025-07-28</t>
        </is>
      </c>
      <c r="C8397" s="60" t="inlineStr">
        <is>
          <t>Aurora Appliance Lite-109</t>
        </is>
      </c>
      <c r="D8397" s="58" t="inlineStr">
        <is>
          <t>Home</t>
        </is>
      </c>
      <c r="E8397" s="58" t="inlineStr">
        <is>
          <t>South</t>
        </is>
      </c>
      <c r="F8397" s="61" t="n">
        <v>2</v>
      </c>
      <c r="G8397" s="62" t="n">
        <v>314.5</v>
      </c>
      <c r="H8397" s="63" t="n">
        <v>0.041</v>
      </c>
      <c r="I8397" s="62" t="n">
        <v>205.78</v>
      </c>
      <c r="J8397" s="58" t="inlineStr">
        <is>
          <t>Store</t>
        </is>
      </c>
      <c r="K8397" s="62">
        <f>F8397*(G8397-H8397)</f>
        <v/>
      </c>
      <c r="L8397" s="62">
        <f>K8397-(F8397*I8397)</f>
        <v/>
      </c>
      <c r="M8397" s="64">
        <f>L8397/K8397</f>
        <v/>
      </c>
    </row>
    <row r="8398">
      <c r="A8398" s="58" t="inlineStr">
        <is>
          <t>RT20250728-08397</t>
        </is>
      </c>
      <c r="B8398" s="59" t="inlineStr">
        <is>
          <t>2025-07-28</t>
        </is>
      </c>
      <c r="C8398" s="60" t="inlineStr">
        <is>
          <t>Nimbus Headphone X-854</t>
        </is>
      </c>
      <c r="D8398" s="58" t="inlineStr">
        <is>
          <t>Electronics</t>
        </is>
      </c>
      <c r="E8398" s="58" t="inlineStr">
        <is>
          <t>South</t>
        </is>
      </c>
      <c r="F8398" s="61" t="n">
        <v>2</v>
      </c>
      <c r="G8398" s="62" t="n">
        <v>1613.7</v>
      </c>
      <c r="H8398" s="63" t="n">
        <v>0.021</v>
      </c>
      <c r="I8398" s="62" t="n">
        <v>1280.15</v>
      </c>
      <c r="J8398" s="58" t="inlineStr">
        <is>
          <t>Online</t>
        </is>
      </c>
      <c r="K8398" s="62">
        <f>F8398*(G8398-H8398)</f>
        <v/>
      </c>
      <c r="L8398" s="62">
        <f>K8398-(F8398*I8398)</f>
        <v/>
      </c>
      <c r="M8398" s="64">
        <f>L8398/K8398</f>
        <v/>
      </c>
    </row>
    <row r="8399">
      <c r="A8399" s="58" t="inlineStr">
        <is>
          <t>RT20250728-08398</t>
        </is>
      </c>
      <c r="B8399" s="59" t="inlineStr">
        <is>
          <t>2025-07-28</t>
        </is>
      </c>
      <c r="C8399" s="60" t="inlineStr">
        <is>
          <t>Metro Printer X-294</t>
        </is>
      </c>
      <c r="D8399" s="58" t="inlineStr">
        <is>
          <t>Office</t>
        </is>
      </c>
      <c r="E8399" s="58" t="inlineStr">
        <is>
          <t>South</t>
        </is>
      </c>
      <c r="F8399" s="61" t="n">
        <v>2</v>
      </c>
      <c r="G8399" s="62" t="n">
        <v>522.58</v>
      </c>
      <c r="H8399" s="63" t="n">
        <v>0.094</v>
      </c>
      <c r="I8399" s="62" t="n">
        <v>402.96</v>
      </c>
      <c r="J8399" s="58" t="inlineStr">
        <is>
          <t>Online</t>
        </is>
      </c>
      <c r="K8399" s="62">
        <f>F8399*(G8399-H8399)</f>
        <v/>
      </c>
      <c r="L8399" s="62">
        <f>K8399-(F8399*I8399)</f>
        <v/>
      </c>
      <c r="M8399" s="64">
        <f>L8399/K8399</f>
        <v/>
      </c>
    </row>
    <row r="8400">
      <c r="A8400" s="58" t="inlineStr">
        <is>
          <t>RT20250728-08399</t>
        </is>
      </c>
      <c r="B8400" s="59" t="inlineStr">
        <is>
          <t>2025-07-28</t>
        </is>
      </c>
      <c r="C8400" s="60" t="inlineStr">
        <is>
          <t>Vertex Pantry Pro-165</t>
        </is>
      </c>
      <c r="D8400" s="58" t="inlineStr">
        <is>
          <t>Grocery</t>
        </is>
      </c>
      <c r="E8400" s="58" t="inlineStr">
        <is>
          <t>East</t>
        </is>
      </c>
      <c r="F8400" s="61" t="n">
        <v>3</v>
      </c>
      <c r="G8400" s="62" t="n">
        <v>16.53</v>
      </c>
      <c r="H8400" s="63" t="n">
        <v>0.034</v>
      </c>
      <c r="I8400" s="62" t="n">
        <v>11.55</v>
      </c>
      <c r="J8400" s="58" t="inlineStr">
        <is>
          <t>Phone</t>
        </is>
      </c>
      <c r="K8400" s="62">
        <f>F8400*(G8400-H8400)</f>
        <v/>
      </c>
      <c r="L8400" s="62">
        <f>K8400-(F8400*I8400)</f>
        <v/>
      </c>
      <c r="M8400" s="64">
        <f>L8400/K8400</f>
        <v/>
      </c>
    </row>
    <row r="8401">
      <c r="A8401" s="58" t="inlineStr">
        <is>
          <t>RT20250728-08400</t>
        </is>
      </c>
      <c r="B8401" s="59" t="inlineStr">
        <is>
          <t>2025-07-28</t>
        </is>
      </c>
      <c r="C8401" s="60" t="inlineStr">
        <is>
          <t>Aurora Furniture X-709</t>
        </is>
      </c>
      <c r="D8401" s="58" t="inlineStr">
        <is>
          <t>Office</t>
        </is>
      </c>
      <c r="E8401" s="58" t="inlineStr">
        <is>
          <t>Central</t>
        </is>
      </c>
      <c r="F8401" s="61" t="n">
        <v>2</v>
      </c>
      <c r="G8401" s="62" t="n">
        <v>415.77</v>
      </c>
      <c r="H8401" s="63" t="n">
        <v>0.026</v>
      </c>
      <c r="I8401" s="62" t="n">
        <v>314.82</v>
      </c>
      <c r="J8401" s="58" t="inlineStr">
        <is>
          <t>Online</t>
        </is>
      </c>
      <c r="K8401" s="62">
        <f>F8401*(G8401-H8401)</f>
        <v/>
      </c>
      <c r="L8401" s="62">
        <f>K8401-(F8401*I8401)</f>
        <v/>
      </c>
      <c r="M8401" s="64">
        <f>L8401/K8401</f>
        <v/>
      </c>
    </row>
    <row r="8402">
      <c r="A8402" s="58" t="inlineStr">
        <is>
          <t>RT20250728-08401</t>
        </is>
      </c>
      <c r="B8402" s="59" t="inlineStr">
        <is>
          <t>2025-07-28</t>
        </is>
      </c>
      <c r="C8402" s="60" t="inlineStr">
        <is>
          <t>Falcon Storage X-734</t>
        </is>
      </c>
      <c r="D8402" s="58" t="inlineStr">
        <is>
          <t>Office</t>
        </is>
      </c>
      <c r="E8402" s="58" t="inlineStr">
        <is>
          <t>Central</t>
        </is>
      </c>
      <c r="F8402" s="61" t="n">
        <v>3</v>
      </c>
      <c r="G8402" s="62" t="n">
        <v>348.79</v>
      </c>
      <c r="H8402" s="63" t="n">
        <v>0.04</v>
      </c>
      <c r="I8402" s="62" t="n">
        <v>280.68</v>
      </c>
      <c r="J8402" s="58" t="inlineStr">
        <is>
          <t>Online</t>
        </is>
      </c>
      <c r="K8402" s="62">
        <f>F8402*(G8402-H8402)</f>
        <v/>
      </c>
      <c r="L8402" s="62">
        <f>K8402-(F8402*I8402)</f>
        <v/>
      </c>
      <c r="M8402" s="64">
        <f>L8402/K8402</f>
        <v/>
      </c>
    </row>
    <row r="8403">
      <c r="A8403" s="58" t="inlineStr">
        <is>
          <t>RT20250728-08402</t>
        </is>
      </c>
      <c r="B8403" s="59" t="inlineStr">
        <is>
          <t>2025-07-28</t>
        </is>
      </c>
      <c r="C8403" s="60" t="inlineStr">
        <is>
          <t>Falcon Household Plus-172</t>
        </is>
      </c>
      <c r="D8403" s="58" t="inlineStr">
        <is>
          <t>Grocery</t>
        </is>
      </c>
      <c r="E8403" s="58" t="inlineStr">
        <is>
          <t>East</t>
        </is>
      </c>
      <c r="F8403" s="61" t="n">
        <v>1</v>
      </c>
      <c r="G8403" s="62" t="n">
        <v>22.46</v>
      </c>
      <c r="H8403" s="63" t="n">
        <v>0.066</v>
      </c>
      <c r="I8403" s="62" t="n">
        <v>16.32</v>
      </c>
      <c r="J8403" s="58" t="inlineStr">
        <is>
          <t>Online</t>
        </is>
      </c>
      <c r="K8403" s="62">
        <f>F8403*(G8403-H8403)</f>
        <v/>
      </c>
      <c r="L8403" s="62">
        <f>K8403-(F8403*I8403)</f>
        <v/>
      </c>
      <c r="M8403" s="64">
        <f>L8403/K8403</f>
        <v/>
      </c>
    </row>
    <row r="8404">
      <c r="A8404" s="58" t="inlineStr">
        <is>
          <t>RT20250729-08403</t>
        </is>
      </c>
      <c r="B8404" s="59" t="inlineStr">
        <is>
          <t>2025-07-29</t>
        </is>
      </c>
      <c r="C8404" s="60" t="inlineStr">
        <is>
          <t>Polar Women S-662</t>
        </is>
      </c>
      <c r="D8404" s="58" t="inlineStr">
        <is>
          <t>Apparel</t>
        </is>
      </c>
      <c r="E8404" s="58" t="inlineStr">
        <is>
          <t>South</t>
        </is>
      </c>
      <c r="F8404" s="61" t="n">
        <v>1</v>
      </c>
      <c r="G8404" s="62" t="n">
        <v>191.9</v>
      </c>
      <c r="H8404" s="63" t="n">
        <v>0.105</v>
      </c>
      <c r="I8404" s="62" t="n">
        <v>99.67</v>
      </c>
      <c r="J8404" s="58" t="inlineStr">
        <is>
          <t>Online</t>
        </is>
      </c>
      <c r="K8404" s="62">
        <f>F8404*(G8404-H8404)</f>
        <v/>
      </c>
      <c r="L8404" s="62">
        <f>K8404-(F8404*I8404)</f>
        <v/>
      </c>
      <c r="M8404" s="64">
        <f>L8404/K8404</f>
        <v/>
      </c>
    </row>
    <row r="8405">
      <c r="A8405" s="58" t="inlineStr">
        <is>
          <t>RT20250729-08404</t>
        </is>
      </c>
      <c r="B8405" s="59" t="inlineStr">
        <is>
          <t>2025-07-29</t>
        </is>
      </c>
      <c r="C8405" s="60" t="inlineStr">
        <is>
          <t>Orion Fragrance Lite-785</t>
        </is>
      </c>
      <c r="D8405" s="58" t="inlineStr">
        <is>
          <t>Beauty</t>
        </is>
      </c>
      <c r="E8405" s="58" t="inlineStr">
        <is>
          <t>East</t>
        </is>
      </c>
      <c r="F8405" s="61" t="n">
        <v>3</v>
      </c>
      <c r="G8405" s="62" t="n">
        <v>41.75</v>
      </c>
      <c r="H8405" s="63" t="n">
        <v>0.051</v>
      </c>
      <c r="I8405" s="62" t="n">
        <v>26.65</v>
      </c>
      <c r="J8405" s="58" t="inlineStr">
        <is>
          <t>Online</t>
        </is>
      </c>
      <c r="K8405" s="62">
        <f>F8405*(G8405-H8405)</f>
        <v/>
      </c>
      <c r="L8405" s="62">
        <f>K8405-(F8405*I8405)</f>
        <v/>
      </c>
      <c r="M8405" s="64">
        <f>L8405/K8405</f>
        <v/>
      </c>
    </row>
    <row r="8406">
      <c r="A8406" s="58" t="inlineStr">
        <is>
          <t>RT20250729-08405</t>
        </is>
      </c>
      <c r="B8406" s="59" t="inlineStr">
        <is>
          <t>2025-07-29</t>
        </is>
      </c>
      <c r="C8406" s="60" t="inlineStr">
        <is>
          <t>Solace Bedding Plus-317</t>
        </is>
      </c>
      <c r="D8406" s="58" t="inlineStr">
        <is>
          <t>Home</t>
        </is>
      </c>
      <c r="E8406" s="58" t="inlineStr">
        <is>
          <t>West</t>
        </is>
      </c>
      <c r="F8406" s="61" t="n">
        <v>1</v>
      </c>
      <c r="G8406" s="62" t="n">
        <v>495.16</v>
      </c>
      <c r="H8406" s="63" t="n">
        <v>0.039</v>
      </c>
      <c r="I8406" s="62" t="n">
        <v>392.22</v>
      </c>
      <c r="J8406" s="58" t="inlineStr">
        <is>
          <t>Store</t>
        </is>
      </c>
      <c r="K8406" s="62">
        <f>F8406*(G8406-H8406)</f>
        <v/>
      </c>
      <c r="L8406" s="62">
        <f>K8406-(F8406*I8406)</f>
        <v/>
      </c>
      <c r="M8406" s="64">
        <f>L8406/K8406</f>
        <v/>
      </c>
    </row>
    <row r="8407">
      <c r="A8407" s="58" t="inlineStr">
        <is>
          <t>RT20250729-08406</t>
        </is>
      </c>
      <c r="B8407" s="59" t="inlineStr">
        <is>
          <t>2025-07-29</t>
        </is>
      </c>
      <c r="C8407" s="60" t="inlineStr">
        <is>
          <t>Metro Pantry Max-180</t>
        </is>
      </c>
      <c r="D8407" s="58" t="inlineStr">
        <is>
          <t>Grocery</t>
        </is>
      </c>
      <c r="E8407" s="58" t="inlineStr">
        <is>
          <t>South</t>
        </is>
      </c>
      <c r="F8407" s="61" t="n">
        <v>7</v>
      </c>
      <c r="G8407" s="62" t="n">
        <v>8.779999999999999</v>
      </c>
      <c r="H8407" s="63" t="n">
        <v>0.006</v>
      </c>
      <c r="I8407" s="62" t="n">
        <v>6.46</v>
      </c>
      <c r="J8407" s="58" t="inlineStr">
        <is>
          <t>Online</t>
        </is>
      </c>
      <c r="K8407" s="62">
        <f>F8407*(G8407-H8407)</f>
        <v/>
      </c>
      <c r="L8407" s="62">
        <f>K8407-(F8407*I8407)</f>
        <v/>
      </c>
      <c r="M8407" s="64">
        <f>L8407/K8407</f>
        <v/>
      </c>
    </row>
    <row r="8408">
      <c r="A8408" s="58" t="inlineStr">
        <is>
          <t>RT20250729-08407</t>
        </is>
      </c>
      <c r="B8408" s="59" t="inlineStr">
        <is>
          <t>2025-07-29</t>
        </is>
      </c>
      <c r="C8408" s="60" t="inlineStr">
        <is>
          <t>Metro Beverage Max-490</t>
        </is>
      </c>
      <c r="D8408" s="58" t="inlineStr">
        <is>
          <t>Grocery</t>
        </is>
      </c>
      <c r="E8408" s="58" t="inlineStr">
        <is>
          <t>South</t>
        </is>
      </c>
      <c r="F8408" s="61" t="n">
        <v>4</v>
      </c>
      <c r="G8408" s="62" t="n">
        <v>12.36</v>
      </c>
      <c r="H8408" s="63" t="n">
        <v>0.06</v>
      </c>
      <c r="I8408" s="62" t="n">
        <v>8.27</v>
      </c>
      <c r="J8408" s="58" t="inlineStr">
        <is>
          <t>Online</t>
        </is>
      </c>
      <c r="K8408" s="62">
        <f>F8408*(G8408-H8408)</f>
        <v/>
      </c>
      <c r="L8408" s="62">
        <f>K8408-(F8408*I8408)</f>
        <v/>
      </c>
      <c r="M8408" s="64">
        <f>L8408/K8408</f>
        <v/>
      </c>
    </row>
    <row r="8409">
      <c r="A8409" s="58" t="inlineStr">
        <is>
          <t>RT20250729-08408</t>
        </is>
      </c>
      <c r="B8409" s="59" t="inlineStr">
        <is>
          <t>2025-07-29</t>
        </is>
      </c>
      <c r="C8409" s="60" t="inlineStr">
        <is>
          <t>Orion Snack X-322</t>
        </is>
      </c>
      <c r="D8409" s="58" t="inlineStr">
        <is>
          <t>Grocery</t>
        </is>
      </c>
      <c r="E8409" s="58" t="inlineStr">
        <is>
          <t>South</t>
        </is>
      </c>
      <c r="F8409" s="61" t="n">
        <v>8</v>
      </c>
      <c r="G8409" s="62" t="n">
        <v>14.49</v>
      </c>
      <c r="H8409" s="63" t="n">
        <v>0.054</v>
      </c>
      <c r="I8409" s="62" t="n">
        <v>10.07</v>
      </c>
      <c r="J8409" s="58" t="inlineStr">
        <is>
          <t>Store</t>
        </is>
      </c>
      <c r="K8409" s="62">
        <f>F8409*(G8409-H8409)</f>
        <v/>
      </c>
      <c r="L8409" s="62">
        <f>K8409-(F8409*I8409)</f>
        <v/>
      </c>
      <c r="M8409" s="64">
        <f>L8409/K8409</f>
        <v/>
      </c>
    </row>
    <row r="8410">
      <c r="A8410" s="58" t="inlineStr">
        <is>
          <t>RT20250729-08409</t>
        </is>
      </c>
      <c r="B8410" s="59" t="inlineStr">
        <is>
          <t>2025-07-29</t>
        </is>
      </c>
      <c r="C8410" s="60" t="inlineStr">
        <is>
          <t>Solace Kid S-384</t>
        </is>
      </c>
      <c r="D8410" s="58" t="inlineStr">
        <is>
          <t>Apparel</t>
        </is>
      </c>
      <c r="E8410" s="58" t="inlineStr">
        <is>
          <t>East</t>
        </is>
      </c>
      <c r="F8410" s="61" t="n">
        <v>4</v>
      </c>
      <c r="G8410" s="62" t="n">
        <v>115.07</v>
      </c>
      <c r="H8410" s="63" t="n">
        <v>0.055</v>
      </c>
      <c r="I8410" s="62" t="n">
        <v>61.65</v>
      </c>
      <c r="J8410" s="58" t="inlineStr">
        <is>
          <t>Online</t>
        </is>
      </c>
      <c r="K8410" s="62">
        <f>F8410*(G8410-H8410)</f>
        <v/>
      </c>
      <c r="L8410" s="62">
        <f>K8410-(F8410*I8410)</f>
        <v/>
      </c>
      <c r="M8410" s="64">
        <f>L8410/K8410</f>
        <v/>
      </c>
    </row>
    <row r="8411">
      <c r="A8411" s="58" t="inlineStr">
        <is>
          <t>RT20250729-08410</t>
        </is>
      </c>
      <c r="B8411" s="59" t="inlineStr">
        <is>
          <t>2025-07-29</t>
        </is>
      </c>
      <c r="C8411" s="60" t="inlineStr">
        <is>
          <t>Orion Supplie S-612</t>
        </is>
      </c>
      <c r="D8411" s="58" t="inlineStr">
        <is>
          <t>Office</t>
        </is>
      </c>
      <c r="E8411" s="58" t="inlineStr">
        <is>
          <t>West</t>
        </is>
      </c>
      <c r="F8411" s="61" t="n">
        <v>1</v>
      </c>
      <c r="G8411" s="62" t="n">
        <v>392.16</v>
      </c>
      <c r="H8411" s="63" t="n">
        <v>0.08</v>
      </c>
      <c r="I8411" s="62" t="n">
        <v>342.62</v>
      </c>
      <c r="J8411" s="58" t="inlineStr">
        <is>
          <t>Online</t>
        </is>
      </c>
      <c r="K8411" s="62">
        <f>F8411*(G8411-H8411)</f>
        <v/>
      </c>
      <c r="L8411" s="62">
        <f>K8411-(F8411*I8411)</f>
        <v/>
      </c>
      <c r="M8411" s="64">
        <f>L8411/K8411</f>
        <v/>
      </c>
    </row>
    <row r="8412">
      <c r="A8412" s="58" t="inlineStr">
        <is>
          <t>RT20250729-08411</t>
        </is>
      </c>
      <c r="B8412" s="59" t="inlineStr">
        <is>
          <t>2025-07-29</t>
        </is>
      </c>
      <c r="C8412" s="60" t="inlineStr">
        <is>
          <t>Vertex Smartphone Lite-267</t>
        </is>
      </c>
      <c r="D8412" s="58" t="inlineStr">
        <is>
          <t>Electronics</t>
        </is>
      </c>
      <c r="E8412" s="58" t="inlineStr">
        <is>
          <t>Central</t>
        </is>
      </c>
      <c r="F8412" s="61" t="n">
        <v>2</v>
      </c>
      <c r="G8412" s="62" t="n">
        <v>1228.7</v>
      </c>
      <c r="H8412" s="63" t="n">
        <v>0.027</v>
      </c>
      <c r="I8412" s="62" t="n">
        <v>974.02</v>
      </c>
      <c r="J8412" s="58" t="inlineStr">
        <is>
          <t>Store</t>
        </is>
      </c>
      <c r="K8412" s="62">
        <f>F8412*(G8412-H8412)</f>
        <v/>
      </c>
      <c r="L8412" s="62">
        <f>K8412-(F8412*I8412)</f>
        <v/>
      </c>
      <c r="M8412" s="64">
        <f>L8412/K8412</f>
        <v/>
      </c>
    </row>
    <row r="8413">
      <c r="A8413" s="58" t="inlineStr">
        <is>
          <t>RT20250729-08412</t>
        </is>
      </c>
      <c r="B8413" s="59" t="inlineStr">
        <is>
          <t>2025-07-29</t>
        </is>
      </c>
      <c r="C8413" s="60" t="inlineStr">
        <is>
          <t>Polar Supplie Lite-348</t>
        </is>
      </c>
      <c r="D8413" s="58" t="inlineStr">
        <is>
          <t>Office</t>
        </is>
      </c>
      <c r="E8413" s="58" t="inlineStr">
        <is>
          <t>West</t>
        </is>
      </c>
      <c r="F8413" s="61" t="n">
        <v>1</v>
      </c>
      <c r="G8413" s="62" t="n">
        <v>444.41</v>
      </c>
      <c r="H8413" s="63" t="n">
        <v>0.041</v>
      </c>
      <c r="I8413" s="62" t="n">
        <v>311.08</v>
      </c>
      <c r="J8413" s="58" t="inlineStr">
        <is>
          <t>Online</t>
        </is>
      </c>
      <c r="K8413" s="62">
        <f>F8413*(G8413-H8413)</f>
        <v/>
      </c>
      <c r="L8413" s="62">
        <f>K8413-(F8413*I8413)</f>
        <v/>
      </c>
      <c r="M8413" s="64">
        <f>L8413/K8413</f>
        <v/>
      </c>
    </row>
    <row r="8414">
      <c r="A8414" s="58" t="inlineStr">
        <is>
          <t>RT20250729-08413</t>
        </is>
      </c>
      <c r="B8414" s="59" t="inlineStr">
        <is>
          <t>2025-07-29</t>
        </is>
      </c>
      <c r="C8414" s="60" t="inlineStr">
        <is>
          <t>Vertex Men X-995</t>
        </is>
      </c>
      <c r="D8414" s="58" t="inlineStr">
        <is>
          <t>Apparel</t>
        </is>
      </c>
      <c r="E8414" s="58" t="inlineStr">
        <is>
          <t>Central</t>
        </is>
      </c>
      <c r="F8414" s="61" t="n">
        <v>3</v>
      </c>
      <c r="G8414" s="62" t="n">
        <v>96.67</v>
      </c>
      <c r="H8414" s="63" t="n">
        <v>0.063</v>
      </c>
      <c r="I8414" s="62" t="n">
        <v>56.27</v>
      </c>
      <c r="J8414" s="58" t="inlineStr">
        <is>
          <t>Store</t>
        </is>
      </c>
      <c r="K8414" s="62">
        <f>F8414*(G8414-H8414)</f>
        <v/>
      </c>
      <c r="L8414" s="62">
        <f>K8414-(F8414*I8414)</f>
        <v/>
      </c>
      <c r="M8414" s="64">
        <f>L8414/K8414</f>
        <v/>
      </c>
    </row>
    <row r="8415">
      <c r="A8415" s="58" t="inlineStr">
        <is>
          <t>RT20250729-08414</t>
        </is>
      </c>
      <c r="B8415" s="59" t="inlineStr">
        <is>
          <t>2025-07-29</t>
        </is>
      </c>
      <c r="C8415" s="60" t="inlineStr">
        <is>
          <t>Polar Snack Pro-641</t>
        </is>
      </c>
      <c r="D8415" s="58" t="inlineStr">
        <is>
          <t>Grocery</t>
        </is>
      </c>
      <c r="E8415" s="58" t="inlineStr">
        <is>
          <t>North</t>
        </is>
      </c>
      <c r="F8415" s="61" t="n">
        <v>2</v>
      </c>
      <c r="G8415" s="62" t="n">
        <v>12.66</v>
      </c>
      <c r="H8415" s="63" t="n">
        <v>0.078</v>
      </c>
      <c r="I8415" s="62" t="n">
        <v>9.369999999999999</v>
      </c>
      <c r="J8415" s="58" t="inlineStr">
        <is>
          <t>Online</t>
        </is>
      </c>
      <c r="K8415" s="62">
        <f>F8415*(G8415-H8415)</f>
        <v/>
      </c>
      <c r="L8415" s="62">
        <f>K8415-(F8415*I8415)</f>
        <v/>
      </c>
      <c r="M8415" s="64">
        <f>L8415/K8415</f>
        <v/>
      </c>
    </row>
    <row r="8416">
      <c r="A8416" s="58" t="inlineStr">
        <is>
          <t>RT20250729-08415</t>
        </is>
      </c>
      <c r="B8416" s="59" t="inlineStr">
        <is>
          <t>2025-07-29</t>
        </is>
      </c>
      <c r="C8416" s="60" t="inlineStr">
        <is>
          <t>Falcon Household Pro-865</t>
        </is>
      </c>
      <c r="D8416" s="58" t="inlineStr">
        <is>
          <t>Grocery</t>
        </is>
      </c>
      <c r="E8416" s="58" t="inlineStr">
        <is>
          <t>East</t>
        </is>
      </c>
      <c r="F8416" s="61" t="n">
        <v>4</v>
      </c>
      <c r="G8416" s="62" t="n">
        <v>11.04</v>
      </c>
      <c r="H8416" s="63" t="n">
        <v>0.011</v>
      </c>
      <c r="I8416" s="62" t="n">
        <v>7.56</v>
      </c>
      <c r="J8416" s="58" t="inlineStr">
        <is>
          <t>Phone</t>
        </is>
      </c>
      <c r="K8416" s="62">
        <f>F8416*(G8416-H8416)</f>
        <v/>
      </c>
      <c r="L8416" s="62">
        <f>K8416-(F8416*I8416)</f>
        <v/>
      </c>
      <c r="M8416" s="64">
        <f>L8416/K8416</f>
        <v/>
      </c>
    </row>
    <row r="8417">
      <c r="A8417" s="58" t="inlineStr">
        <is>
          <t>RT20250729-08416</t>
        </is>
      </c>
      <c r="B8417" s="59" t="inlineStr">
        <is>
          <t>2025-07-29</t>
        </is>
      </c>
      <c r="C8417" s="60" t="inlineStr">
        <is>
          <t>Nimbus Headphone X-854</t>
        </is>
      </c>
      <c r="D8417" s="58" t="inlineStr">
        <is>
          <t>Electronics</t>
        </is>
      </c>
      <c r="E8417" s="58" t="inlineStr">
        <is>
          <t>West</t>
        </is>
      </c>
      <c r="F8417" s="61" t="n">
        <v>2</v>
      </c>
      <c r="G8417" s="62" t="n">
        <v>1672.89</v>
      </c>
      <c r="H8417" s="63" t="n">
        <v>0.133</v>
      </c>
      <c r="I8417" s="62" t="n">
        <v>1269.44</v>
      </c>
      <c r="J8417" s="58" t="inlineStr">
        <is>
          <t>Online</t>
        </is>
      </c>
      <c r="K8417" s="62">
        <f>F8417*(G8417-H8417)</f>
        <v/>
      </c>
      <c r="L8417" s="62">
        <f>K8417-(F8417*I8417)</f>
        <v/>
      </c>
      <c r="M8417" s="64">
        <f>L8417/K8417</f>
        <v/>
      </c>
    </row>
    <row r="8418">
      <c r="A8418" s="58" t="inlineStr">
        <is>
          <t>RT20250729-08417</t>
        </is>
      </c>
      <c r="B8418" s="59" t="inlineStr">
        <is>
          <t>2025-07-29</t>
        </is>
      </c>
      <c r="C8418" s="60" t="inlineStr">
        <is>
          <t>Falcon Bedding S-674</t>
        </is>
      </c>
      <c r="D8418" s="58" t="inlineStr">
        <is>
          <t>Home</t>
        </is>
      </c>
      <c r="E8418" s="58" t="inlineStr">
        <is>
          <t>West</t>
        </is>
      </c>
      <c r="F8418" s="61" t="n">
        <v>1</v>
      </c>
      <c r="G8418" s="62" t="n">
        <v>605.3</v>
      </c>
      <c r="H8418" s="63" t="n">
        <v>0.062</v>
      </c>
      <c r="I8418" s="62" t="n">
        <v>442.09</v>
      </c>
      <c r="J8418" s="58" t="inlineStr">
        <is>
          <t>Store</t>
        </is>
      </c>
      <c r="K8418" s="62">
        <f>F8418*(G8418-H8418)</f>
        <v/>
      </c>
      <c r="L8418" s="62">
        <f>K8418-(F8418*I8418)</f>
        <v/>
      </c>
      <c r="M8418" s="64">
        <f>L8418/K8418</f>
        <v/>
      </c>
    </row>
    <row r="8419">
      <c r="A8419" s="58" t="inlineStr">
        <is>
          <t>RT20250729-08418</t>
        </is>
      </c>
      <c r="B8419" s="59" t="inlineStr">
        <is>
          <t>2025-07-29</t>
        </is>
      </c>
      <c r="C8419" s="60" t="inlineStr">
        <is>
          <t>Polar Beverage S-258</t>
        </is>
      </c>
      <c r="D8419" s="58" t="inlineStr">
        <is>
          <t>Grocery</t>
        </is>
      </c>
      <c r="E8419" s="58" t="inlineStr">
        <is>
          <t>North</t>
        </is>
      </c>
      <c r="F8419" s="61" t="n">
        <v>8</v>
      </c>
      <c r="G8419" s="62" t="n">
        <v>13.53</v>
      </c>
      <c r="H8419" s="63" t="n">
        <v>0.044</v>
      </c>
      <c r="I8419" s="62" t="n">
        <v>9.76</v>
      </c>
      <c r="J8419" s="58" t="inlineStr">
        <is>
          <t>Store</t>
        </is>
      </c>
      <c r="K8419" s="62">
        <f>F8419*(G8419-H8419)</f>
        <v/>
      </c>
      <c r="L8419" s="62">
        <f>K8419-(F8419*I8419)</f>
        <v/>
      </c>
      <c r="M8419" s="64">
        <f>L8419/K8419</f>
        <v/>
      </c>
    </row>
    <row r="8420">
      <c r="A8420" s="58" t="inlineStr">
        <is>
          <t>RT20250729-08419</t>
        </is>
      </c>
      <c r="B8420" s="59" t="inlineStr">
        <is>
          <t>2025-07-29</t>
        </is>
      </c>
      <c r="C8420" s="60" t="inlineStr">
        <is>
          <t>Nimbus Storage Plus-646</t>
        </is>
      </c>
      <c r="D8420" s="58" t="inlineStr">
        <is>
          <t>Office</t>
        </is>
      </c>
      <c r="E8420" s="58" t="inlineStr">
        <is>
          <t>West</t>
        </is>
      </c>
      <c r="F8420" s="61" t="n">
        <v>1</v>
      </c>
      <c r="G8420" s="62" t="n">
        <v>462.44</v>
      </c>
      <c r="H8420" s="63" t="n">
        <v>0.057</v>
      </c>
      <c r="I8420" s="62" t="n">
        <v>312.65</v>
      </c>
      <c r="J8420" s="58" t="inlineStr">
        <is>
          <t>Online</t>
        </is>
      </c>
      <c r="K8420" s="62">
        <f>F8420*(G8420-H8420)</f>
        <v/>
      </c>
      <c r="L8420" s="62">
        <f>K8420-(F8420*I8420)</f>
        <v/>
      </c>
      <c r="M8420" s="64">
        <f>L8420/K8420</f>
        <v/>
      </c>
    </row>
    <row r="8421">
      <c r="A8421" s="58" t="inlineStr">
        <is>
          <t>RT20250729-08420</t>
        </is>
      </c>
      <c r="B8421" s="59" t="inlineStr">
        <is>
          <t>2025-07-29</t>
        </is>
      </c>
      <c r="C8421" s="60" t="inlineStr">
        <is>
          <t>Aurora Wearable Lite-704</t>
        </is>
      </c>
      <c r="D8421" s="58" t="inlineStr">
        <is>
          <t>Electronics</t>
        </is>
      </c>
      <c r="E8421" s="58" t="inlineStr">
        <is>
          <t>Central</t>
        </is>
      </c>
      <c r="F8421" s="61" t="n">
        <v>1</v>
      </c>
      <c r="G8421" s="62" t="n">
        <v>1763.12</v>
      </c>
      <c r="H8421" s="63" t="n">
        <v>0.011</v>
      </c>
      <c r="I8421" s="62" t="n">
        <v>1453.01</v>
      </c>
      <c r="J8421" s="58" t="inlineStr">
        <is>
          <t>Online</t>
        </is>
      </c>
      <c r="K8421" s="62">
        <f>F8421*(G8421-H8421)</f>
        <v/>
      </c>
      <c r="L8421" s="62">
        <f>K8421-(F8421*I8421)</f>
        <v/>
      </c>
      <c r="M8421" s="64">
        <f>L8421/K8421</f>
        <v/>
      </c>
    </row>
    <row r="8422">
      <c r="A8422" s="58" t="inlineStr">
        <is>
          <t>RT20250729-08421</t>
        </is>
      </c>
      <c r="B8422" s="59" t="inlineStr">
        <is>
          <t>2025-07-29</t>
        </is>
      </c>
      <c r="C8422" s="60" t="inlineStr">
        <is>
          <t>Vertex Decor Pro-618</t>
        </is>
      </c>
      <c r="D8422" s="58" t="inlineStr">
        <is>
          <t>Home</t>
        </is>
      </c>
      <c r="E8422" s="58" t="inlineStr">
        <is>
          <t>East</t>
        </is>
      </c>
      <c r="F8422" s="61" t="n">
        <v>1</v>
      </c>
      <c r="G8422" s="62" t="n">
        <v>547.01</v>
      </c>
      <c r="H8422" s="63" t="n">
        <v>0.044</v>
      </c>
      <c r="I8422" s="62" t="n">
        <v>383.49</v>
      </c>
      <c r="J8422" s="58" t="inlineStr">
        <is>
          <t>Store</t>
        </is>
      </c>
      <c r="K8422" s="62">
        <f>F8422*(G8422-H8422)</f>
        <v/>
      </c>
      <c r="L8422" s="62">
        <f>K8422-(F8422*I8422)</f>
        <v/>
      </c>
      <c r="M8422" s="64">
        <f>L8422/K8422</f>
        <v/>
      </c>
    </row>
    <row r="8423">
      <c r="A8423" s="58" t="inlineStr">
        <is>
          <t>RT20250729-08422</t>
        </is>
      </c>
      <c r="B8423" s="59" t="inlineStr">
        <is>
          <t>2025-07-29</t>
        </is>
      </c>
      <c r="C8423" s="60" t="inlineStr">
        <is>
          <t>Polar Cycling X-649</t>
        </is>
      </c>
      <c r="D8423" s="58" t="inlineStr">
        <is>
          <t>Sports</t>
        </is>
      </c>
      <c r="E8423" s="58" t="inlineStr">
        <is>
          <t>West</t>
        </is>
      </c>
      <c r="F8423" s="61" t="n">
        <v>2</v>
      </c>
      <c r="G8423" s="62" t="n">
        <v>562.88</v>
      </c>
      <c r="H8423" s="63" t="n">
        <v>0</v>
      </c>
      <c r="I8423" s="62" t="n">
        <v>366.34</v>
      </c>
      <c r="J8423" s="58" t="inlineStr">
        <is>
          <t>Online</t>
        </is>
      </c>
      <c r="K8423" s="62">
        <f>F8423*(G8423-H8423)</f>
        <v/>
      </c>
      <c r="L8423" s="62">
        <f>K8423-(F8423*I8423)</f>
        <v/>
      </c>
      <c r="M8423" s="64">
        <f>L8423/K8423</f>
        <v/>
      </c>
    </row>
    <row r="8424">
      <c r="A8424" s="58" t="inlineStr">
        <is>
          <t>RT20250729-08423</t>
        </is>
      </c>
      <c r="B8424" s="59" t="inlineStr">
        <is>
          <t>2025-07-29</t>
        </is>
      </c>
      <c r="C8424" s="60" t="inlineStr">
        <is>
          <t>Vertex Appliance Max-338</t>
        </is>
      </c>
      <c r="D8424" s="58" t="inlineStr">
        <is>
          <t>Home</t>
        </is>
      </c>
      <c r="E8424" s="58" t="inlineStr">
        <is>
          <t>South</t>
        </is>
      </c>
      <c r="F8424" s="61" t="n">
        <v>2</v>
      </c>
      <c r="G8424" s="62" t="n">
        <v>458.66</v>
      </c>
      <c r="H8424" s="63" t="n">
        <v>0.068</v>
      </c>
      <c r="I8424" s="62" t="n">
        <v>281.36</v>
      </c>
      <c r="J8424" s="58" t="inlineStr">
        <is>
          <t>Online</t>
        </is>
      </c>
      <c r="K8424" s="62">
        <f>F8424*(G8424-H8424)</f>
        <v/>
      </c>
      <c r="L8424" s="62">
        <f>K8424-(F8424*I8424)</f>
        <v/>
      </c>
      <c r="M8424" s="64">
        <f>L8424/K8424</f>
        <v/>
      </c>
    </row>
    <row r="8425">
      <c r="A8425" s="58" t="inlineStr">
        <is>
          <t>RT20250729-08424</t>
        </is>
      </c>
      <c r="B8425" s="59" t="inlineStr">
        <is>
          <t>2025-07-29</t>
        </is>
      </c>
      <c r="C8425" s="60" t="inlineStr">
        <is>
          <t>Aurora Wearable Lite-704</t>
        </is>
      </c>
      <c r="D8425" s="58" t="inlineStr">
        <is>
          <t>Electronics</t>
        </is>
      </c>
      <c r="E8425" s="58" t="inlineStr">
        <is>
          <t>South</t>
        </is>
      </c>
      <c r="F8425" s="61" t="n">
        <v>2</v>
      </c>
      <c r="G8425" s="62" t="n">
        <v>1598.55</v>
      </c>
      <c r="H8425" s="63" t="n">
        <v>0.004</v>
      </c>
      <c r="I8425" s="62" t="n">
        <v>1462.91</v>
      </c>
      <c r="J8425" s="58" t="inlineStr">
        <is>
          <t>Online</t>
        </is>
      </c>
      <c r="K8425" s="62">
        <f>F8425*(G8425-H8425)</f>
        <v/>
      </c>
      <c r="L8425" s="62">
        <f>K8425-(F8425*I8425)</f>
        <v/>
      </c>
      <c r="M8425" s="64">
        <f>L8425/K8425</f>
        <v/>
      </c>
    </row>
    <row r="8426">
      <c r="A8426" s="58" t="inlineStr">
        <is>
          <t>RT20250729-08425</t>
        </is>
      </c>
      <c r="B8426" s="59" t="inlineStr">
        <is>
          <t>2025-07-29</t>
        </is>
      </c>
      <c r="C8426" s="60" t="inlineStr">
        <is>
          <t>Orion Storage Plus-961</t>
        </is>
      </c>
      <c r="D8426" s="58" t="inlineStr">
        <is>
          <t>Office</t>
        </is>
      </c>
      <c r="E8426" s="58" t="inlineStr">
        <is>
          <t>North</t>
        </is>
      </c>
      <c r="F8426" s="61" t="n">
        <v>1</v>
      </c>
      <c r="G8426" s="62" t="n">
        <v>538.35</v>
      </c>
      <c r="H8426" s="63" t="n">
        <v>0.103</v>
      </c>
      <c r="I8426" s="62" t="n">
        <v>371.26</v>
      </c>
      <c r="J8426" s="58" t="inlineStr">
        <is>
          <t>Store</t>
        </is>
      </c>
      <c r="K8426" s="62">
        <f>F8426*(G8426-H8426)</f>
        <v/>
      </c>
      <c r="L8426" s="62">
        <f>K8426-(F8426*I8426)</f>
        <v/>
      </c>
      <c r="M8426" s="64">
        <f>L8426/K8426</f>
        <v/>
      </c>
    </row>
    <row r="8427">
      <c r="A8427" s="58" t="inlineStr">
        <is>
          <t>RT20250729-08426</t>
        </is>
      </c>
      <c r="B8427" s="59" t="inlineStr">
        <is>
          <t>2025-07-29</t>
        </is>
      </c>
      <c r="C8427" s="60" t="inlineStr">
        <is>
          <t>Polar Outdoor X-193</t>
        </is>
      </c>
      <c r="D8427" s="58" t="inlineStr">
        <is>
          <t>Sports</t>
        </is>
      </c>
      <c r="E8427" s="58" t="inlineStr">
        <is>
          <t>South</t>
        </is>
      </c>
      <c r="F8427" s="61" t="n">
        <v>1</v>
      </c>
      <c r="G8427" s="62" t="n">
        <v>661.3099999999999</v>
      </c>
      <c r="H8427" s="63" t="n">
        <v>0.035</v>
      </c>
      <c r="I8427" s="62" t="n">
        <v>446.31</v>
      </c>
      <c r="J8427" s="58" t="inlineStr">
        <is>
          <t>Store</t>
        </is>
      </c>
      <c r="K8427" s="62">
        <f>F8427*(G8427-H8427)</f>
        <v/>
      </c>
      <c r="L8427" s="62">
        <f>K8427-(F8427*I8427)</f>
        <v/>
      </c>
      <c r="M8427" s="64">
        <f>L8427/K8427</f>
        <v/>
      </c>
    </row>
    <row r="8428">
      <c r="A8428" s="58" t="inlineStr">
        <is>
          <t>RT20250729-08427</t>
        </is>
      </c>
      <c r="B8428" s="59" t="inlineStr">
        <is>
          <t>2025-07-29</t>
        </is>
      </c>
      <c r="C8428" s="60" t="inlineStr">
        <is>
          <t>Solace Makeup Pro-214</t>
        </is>
      </c>
      <c r="D8428" s="58" t="inlineStr">
        <is>
          <t>Beauty</t>
        </is>
      </c>
      <c r="E8428" s="58" t="inlineStr">
        <is>
          <t>South</t>
        </is>
      </c>
      <c r="F8428" s="61" t="n">
        <v>4</v>
      </c>
      <c r="G8428" s="62" t="n">
        <v>118.55</v>
      </c>
      <c r="H8428" s="63" t="n">
        <v>0.055</v>
      </c>
      <c r="I8428" s="62" t="n">
        <v>69.81</v>
      </c>
      <c r="J8428" s="58" t="inlineStr">
        <is>
          <t>Online</t>
        </is>
      </c>
      <c r="K8428" s="62">
        <f>F8428*(G8428-H8428)</f>
        <v/>
      </c>
      <c r="L8428" s="62">
        <f>K8428-(F8428*I8428)</f>
        <v/>
      </c>
      <c r="M8428" s="64">
        <f>L8428/K8428</f>
        <v/>
      </c>
    </row>
    <row r="8429">
      <c r="A8429" s="58" t="inlineStr">
        <is>
          <t>RT20250729-08428</t>
        </is>
      </c>
      <c r="B8429" s="59" t="inlineStr">
        <is>
          <t>2025-07-29</t>
        </is>
      </c>
      <c r="C8429" s="60" t="inlineStr">
        <is>
          <t>Polar Snack Pro-641</t>
        </is>
      </c>
      <c r="D8429" s="58" t="inlineStr">
        <is>
          <t>Grocery</t>
        </is>
      </c>
      <c r="E8429" s="58" t="inlineStr">
        <is>
          <t>West</t>
        </is>
      </c>
      <c r="F8429" s="61" t="n">
        <v>4</v>
      </c>
      <c r="G8429" s="62" t="n">
        <v>11.57</v>
      </c>
      <c r="H8429" s="63" t="n">
        <v>0.114</v>
      </c>
      <c r="I8429" s="62" t="n">
        <v>9.34</v>
      </c>
      <c r="J8429" s="58" t="inlineStr">
        <is>
          <t>Store</t>
        </is>
      </c>
      <c r="K8429" s="62">
        <f>F8429*(G8429-H8429)</f>
        <v/>
      </c>
      <c r="L8429" s="62">
        <f>K8429-(F8429*I8429)</f>
        <v/>
      </c>
      <c r="M8429" s="64">
        <f>L8429/K8429</f>
        <v/>
      </c>
    </row>
    <row r="8430">
      <c r="A8430" s="58" t="inlineStr">
        <is>
          <t>RT20250729-08429</t>
        </is>
      </c>
      <c r="B8430" s="59" t="inlineStr">
        <is>
          <t>2025-07-29</t>
        </is>
      </c>
      <c r="C8430" s="60" t="inlineStr">
        <is>
          <t>Polar Snack Pro-641</t>
        </is>
      </c>
      <c r="D8430" s="58" t="inlineStr">
        <is>
          <t>Grocery</t>
        </is>
      </c>
      <c r="E8430" s="58" t="inlineStr">
        <is>
          <t>East</t>
        </is>
      </c>
      <c r="F8430" s="61" t="n">
        <v>7</v>
      </c>
      <c r="G8430" s="62" t="n">
        <v>10.5</v>
      </c>
      <c r="H8430" s="63" t="n">
        <v>0.005</v>
      </c>
      <c r="I8430" s="62" t="n">
        <v>9.51</v>
      </c>
      <c r="J8430" s="58" t="inlineStr">
        <is>
          <t>Online</t>
        </is>
      </c>
      <c r="K8430" s="62">
        <f>F8430*(G8430-H8430)</f>
        <v/>
      </c>
      <c r="L8430" s="62">
        <f>K8430-(F8430*I8430)</f>
        <v/>
      </c>
      <c r="M8430" s="64">
        <f>L8430/K8430</f>
        <v/>
      </c>
    </row>
    <row r="8431">
      <c r="A8431" s="58" t="inlineStr">
        <is>
          <t>RT20250729-08430</t>
        </is>
      </c>
      <c r="B8431" s="59" t="inlineStr">
        <is>
          <t>2025-07-29</t>
        </is>
      </c>
      <c r="C8431" s="60" t="inlineStr">
        <is>
          <t>Metro Laptop Plus-376</t>
        </is>
      </c>
      <c r="D8431" s="58" t="inlineStr">
        <is>
          <t>Electronics</t>
        </is>
      </c>
      <c r="E8431" s="58" t="inlineStr">
        <is>
          <t>Central</t>
        </is>
      </c>
      <c r="F8431" s="61" t="n">
        <v>1</v>
      </c>
      <c r="G8431" s="62" t="n">
        <v>1260.24</v>
      </c>
      <c r="H8431" s="63" t="n">
        <v>0.08</v>
      </c>
      <c r="I8431" s="62" t="n">
        <v>1067.77</v>
      </c>
      <c r="J8431" s="58" t="inlineStr">
        <is>
          <t>Store</t>
        </is>
      </c>
      <c r="K8431" s="62">
        <f>F8431*(G8431-H8431)</f>
        <v/>
      </c>
      <c r="L8431" s="62">
        <f>K8431-(F8431*I8431)</f>
        <v/>
      </c>
      <c r="M8431" s="64">
        <f>L8431/K8431</f>
        <v/>
      </c>
    </row>
    <row r="8432">
      <c r="A8432" s="58" t="inlineStr">
        <is>
          <t>RT20250729-08431</t>
        </is>
      </c>
      <c r="B8432" s="59" t="inlineStr">
        <is>
          <t>2025-07-29</t>
        </is>
      </c>
      <c r="C8432" s="60" t="inlineStr">
        <is>
          <t>Metro Pantry Max-180</t>
        </is>
      </c>
      <c r="D8432" s="58" t="inlineStr">
        <is>
          <t>Grocery</t>
        </is>
      </c>
      <c r="E8432" s="58" t="inlineStr">
        <is>
          <t>East</t>
        </is>
      </c>
      <c r="F8432" s="61" t="n">
        <v>8</v>
      </c>
      <c r="G8432" s="62" t="n">
        <v>9.619999999999999</v>
      </c>
      <c r="H8432" s="63" t="n">
        <v>0.02</v>
      </c>
      <c r="I8432" s="62" t="n">
        <v>6.51</v>
      </c>
      <c r="J8432" s="58" t="inlineStr">
        <is>
          <t>Store</t>
        </is>
      </c>
      <c r="K8432" s="62">
        <f>F8432*(G8432-H8432)</f>
        <v/>
      </c>
      <c r="L8432" s="62">
        <f>K8432-(F8432*I8432)</f>
        <v/>
      </c>
      <c r="M8432" s="64">
        <f>L8432/K8432</f>
        <v/>
      </c>
    </row>
    <row r="8433">
      <c r="A8433" s="58" t="inlineStr">
        <is>
          <t>RT20250729-08432</t>
        </is>
      </c>
      <c r="B8433" s="59" t="inlineStr">
        <is>
          <t>2025-07-29</t>
        </is>
      </c>
      <c r="C8433" s="60" t="inlineStr">
        <is>
          <t>Metro Smartphone Max-773</t>
        </is>
      </c>
      <c r="D8433" s="58" t="inlineStr">
        <is>
          <t>Electronics</t>
        </is>
      </c>
      <c r="E8433" s="58" t="inlineStr">
        <is>
          <t>South</t>
        </is>
      </c>
      <c r="F8433" s="61" t="n">
        <v>2</v>
      </c>
      <c r="G8433" s="62" t="n">
        <v>1386.79</v>
      </c>
      <c r="H8433" s="63" t="n">
        <v>0.068</v>
      </c>
      <c r="I8433" s="62" t="n">
        <v>1096.4</v>
      </c>
      <c r="J8433" s="58" t="inlineStr">
        <is>
          <t>Store</t>
        </is>
      </c>
      <c r="K8433" s="62">
        <f>F8433*(G8433-H8433)</f>
        <v/>
      </c>
      <c r="L8433" s="62">
        <f>K8433-(F8433*I8433)</f>
        <v/>
      </c>
      <c r="M8433" s="64">
        <f>L8433/K8433</f>
        <v/>
      </c>
    </row>
    <row r="8434">
      <c r="A8434" s="58" t="inlineStr">
        <is>
          <t>RT20250729-08433</t>
        </is>
      </c>
      <c r="B8434" s="59" t="inlineStr">
        <is>
          <t>2025-07-29</t>
        </is>
      </c>
      <c r="C8434" s="60" t="inlineStr">
        <is>
          <t>Polar Outdoor Lite-318</t>
        </is>
      </c>
      <c r="D8434" s="58" t="inlineStr">
        <is>
          <t>Sports</t>
        </is>
      </c>
      <c r="E8434" s="58" t="inlineStr">
        <is>
          <t>Central</t>
        </is>
      </c>
      <c r="F8434" s="61" t="n">
        <v>3</v>
      </c>
      <c r="G8434" s="62" t="n">
        <v>763.6799999999999</v>
      </c>
      <c r="H8434" s="63" t="n">
        <v>0</v>
      </c>
      <c r="I8434" s="62" t="n">
        <v>458.59</v>
      </c>
      <c r="J8434" s="58" t="inlineStr">
        <is>
          <t>Online</t>
        </is>
      </c>
      <c r="K8434" s="62">
        <f>F8434*(G8434-H8434)</f>
        <v/>
      </c>
      <c r="L8434" s="62">
        <f>K8434-(F8434*I8434)</f>
        <v/>
      </c>
      <c r="M8434" s="64">
        <f>L8434/K8434</f>
        <v/>
      </c>
    </row>
    <row r="8435">
      <c r="A8435" s="58" t="inlineStr">
        <is>
          <t>RT20250729-08434</t>
        </is>
      </c>
      <c r="B8435" s="59" t="inlineStr">
        <is>
          <t>2025-07-29</t>
        </is>
      </c>
      <c r="C8435" s="60" t="inlineStr">
        <is>
          <t>Nimbus Decor Lite-385</t>
        </is>
      </c>
      <c r="D8435" s="58" t="inlineStr">
        <is>
          <t>Home</t>
        </is>
      </c>
      <c r="E8435" s="58" t="inlineStr">
        <is>
          <t>Central</t>
        </is>
      </c>
      <c r="F8435" s="61" t="n">
        <v>3</v>
      </c>
      <c r="G8435" s="62" t="n">
        <v>586.8</v>
      </c>
      <c r="H8435" s="63" t="n">
        <v>0.066</v>
      </c>
      <c r="I8435" s="62" t="n">
        <v>400.37</v>
      </c>
      <c r="J8435" s="58" t="inlineStr">
        <is>
          <t>Online</t>
        </is>
      </c>
      <c r="K8435" s="62">
        <f>F8435*(G8435-H8435)</f>
        <v/>
      </c>
      <c r="L8435" s="62">
        <f>K8435-(F8435*I8435)</f>
        <v/>
      </c>
      <c r="M8435" s="64">
        <f>L8435/K8435</f>
        <v/>
      </c>
    </row>
    <row r="8436">
      <c r="A8436" s="58" t="inlineStr">
        <is>
          <t>RT20250729-08435</t>
        </is>
      </c>
      <c r="B8436" s="59" t="inlineStr">
        <is>
          <t>2025-07-29</t>
        </is>
      </c>
      <c r="C8436" s="60" t="inlineStr">
        <is>
          <t>Nimbus Laptop Max-652</t>
        </is>
      </c>
      <c r="D8436" s="58" t="inlineStr">
        <is>
          <t>Electronics</t>
        </is>
      </c>
      <c r="E8436" s="58" t="inlineStr">
        <is>
          <t>Central</t>
        </is>
      </c>
      <c r="F8436" s="61" t="n">
        <v>2</v>
      </c>
      <c r="G8436" s="62" t="n">
        <v>1259.76</v>
      </c>
      <c r="H8436" s="63" t="n">
        <v>0.116</v>
      </c>
      <c r="I8436" s="62" t="n">
        <v>1063.64</v>
      </c>
      <c r="J8436" s="58" t="inlineStr">
        <is>
          <t>Store</t>
        </is>
      </c>
      <c r="K8436" s="62">
        <f>F8436*(G8436-H8436)</f>
        <v/>
      </c>
      <c r="L8436" s="62">
        <f>K8436-(F8436*I8436)</f>
        <v/>
      </c>
      <c r="M8436" s="64">
        <f>L8436/K8436</f>
        <v/>
      </c>
    </row>
    <row r="8437">
      <c r="A8437" s="58" t="inlineStr">
        <is>
          <t>RT20250729-08436</t>
        </is>
      </c>
      <c r="B8437" s="59" t="inlineStr">
        <is>
          <t>2025-07-29</t>
        </is>
      </c>
      <c r="C8437" s="60" t="inlineStr">
        <is>
          <t>Polar Snack Pro-641</t>
        </is>
      </c>
      <c r="D8437" s="58" t="inlineStr">
        <is>
          <t>Grocery</t>
        </is>
      </c>
      <c r="E8437" s="58" t="inlineStr">
        <is>
          <t>South</t>
        </is>
      </c>
      <c r="F8437" s="61" t="n">
        <v>4</v>
      </c>
      <c r="G8437" s="62" t="n">
        <v>13.74</v>
      </c>
      <c r="H8437" s="63" t="n">
        <v>0</v>
      </c>
      <c r="I8437" s="62" t="n">
        <v>9.699999999999999</v>
      </c>
      <c r="J8437" s="58" t="inlineStr">
        <is>
          <t>Store</t>
        </is>
      </c>
      <c r="K8437" s="62">
        <f>F8437*(G8437-H8437)</f>
        <v/>
      </c>
      <c r="L8437" s="62">
        <f>K8437-(F8437*I8437)</f>
        <v/>
      </c>
      <c r="M8437" s="64">
        <f>L8437/K8437</f>
        <v/>
      </c>
    </row>
    <row r="8438">
      <c r="A8438" s="58" t="inlineStr">
        <is>
          <t>RT20250729-08437</t>
        </is>
      </c>
      <c r="B8438" s="59" t="inlineStr">
        <is>
          <t>2025-07-29</t>
        </is>
      </c>
      <c r="C8438" s="60" t="inlineStr">
        <is>
          <t>Solace Snack S-691</t>
        </is>
      </c>
      <c r="D8438" s="58" t="inlineStr">
        <is>
          <t>Grocery</t>
        </is>
      </c>
      <c r="E8438" s="58" t="inlineStr">
        <is>
          <t>Central</t>
        </is>
      </c>
      <c r="F8438" s="61" t="n">
        <v>6</v>
      </c>
      <c r="G8438" s="62" t="n">
        <v>9.550000000000001</v>
      </c>
      <c r="H8438" s="63" t="n">
        <v>0.099</v>
      </c>
      <c r="I8438" s="62" t="n">
        <v>7.3</v>
      </c>
      <c r="J8438" s="58" t="inlineStr">
        <is>
          <t>Store</t>
        </is>
      </c>
      <c r="K8438" s="62">
        <f>F8438*(G8438-H8438)</f>
        <v/>
      </c>
      <c r="L8438" s="62">
        <f>K8438-(F8438*I8438)</f>
        <v/>
      </c>
      <c r="M8438" s="64">
        <f>L8438/K8438</f>
        <v/>
      </c>
    </row>
    <row r="8439">
      <c r="A8439" s="58" t="inlineStr">
        <is>
          <t>RT20250729-08438</t>
        </is>
      </c>
      <c r="B8439" s="59" t="inlineStr">
        <is>
          <t>2025-07-29</t>
        </is>
      </c>
      <c r="C8439" s="60" t="inlineStr">
        <is>
          <t>Aurora Skincare Max-798</t>
        </is>
      </c>
      <c r="D8439" s="58" t="inlineStr">
        <is>
          <t>Beauty</t>
        </is>
      </c>
      <c r="E8439" s="58" t="inlineStr">
        <is>
          <t>West</t>
        </is>
      </c>
      <c r="F8439" s="61" t="n">
        <v>2</v>
      </c>
      <c r="G8439" s="62" t="n">
        <v>107.7</v>
      </c>
      <c r="H8439" s="63" t="n">
        <v>0.031</v>
      </c>
      <c r="I8439" s="62" t="n">
        <v>66.45999999999999</v>
      </c>
      <c r="J8439" s="58" t="inlineStr">
        <is>
          <t>Online</t>
        </is>
      </c>
      <c r="K8439" s="62">
        <f>F8439*(G8439-H8439)</f>
        <v/>
      </c>
      <c r="L8439" s="62">
        <f>K8439-(F8439*I8439)</f>
        <v/>
      </c>
      <c r="M8439" s="64">
        <f>L8439/K8439</f>
        <v/>
      </c>
    </row>
    <row r="8440">
      <c r="A8440" s="58" t="inlineStr">
        <is>
          <t>RT20250729-08439</t>
        </is>
      </c>
      <c r="B8440" s="59" t="inlineStr">
        <is>
          <t>2025-07-29</t>
        </is>
      </c>
      <c r="C8440" s="60" t="inlineStr">
        <is>
          <t>Solace Smartphone Lite-533</t>
        </is>
      </c>
      <c r="D8440" s="58" t="inlineStr">
        <is>
          <t>Electronics</t>
        </is>
      </c>
      <c r="E8440" s="58" t="inlineStr">
        <is>
          <t>Central</t>
        </is>
      </c>
      <c r="F8440" s="61" t="n">
        <v>1</v>
      </c>
      <c r="G8440" s="62" t="n">
        <v>1251.75</v>
      </c>
      <c r="H8440" s="63" t="n">
        <v>0.039</v>
      </c>
      <c r="I8440" s="62" t="n">
        <v>935.29</v>
      </c>
      <c r="J8440" s="58" t="inlineStr">
        <is>
          <t>Store</t>
        </is>
      </c>
      <c r="K8440" s="62">
        <f>F8440*(G8440-H8440)</f>
        <v/>
      </c>
      <c r="L8440" s="62">
        <f>K8440-(F8440*I8440)</f>
        <v/>
      </c>
      <c r="M8440" s="64">
        <f>L8440/K8440</f>
        <v/>
      </c>
    </row>
    <row r="8441">
      <c r="A8441" s="58" t="inlineStr">
        <is>
          <t>RT20250729-08440</t>
        </is>
      </c>
      <c r="B8441" s="59" t="inlineStr">
        <is>
          <t>2025-07-29</t>
        </is>
      </c>
      <c r="C8441" s="60" t="inlineStr">
        <is>
          <t>Solace Bedding Plus-317</t>
        </is>
      </c>
      <c r="D8441" s="58" t="inlineStr">
        <is>
          <t>Home</t>
        </is>
      </c>
      <c r="E8441" s="58" t="inlineStr">
        <is>
          <t>South</t>
        </is>
      </c>
      <c r="F8441" s="61" t="n">
        <v>2</v>
      </c>
      <c r="G8441" s="62" t="n">
        <v>639.45</v>
      </c>
      <c r="H8441" s="63" t="n">
        <v>0.042</v>
      </c>
      <c r="I8441" s="62" t="n">
        <v>390.53</v>
      </c>
      <c r="J8441" s="58" t="inlineStr">
        <is>
          <t>Store</t>
        </is>
      </c>
      <c r="K8441" s="62">
        <f>F8441*(G8441-H8441)</f>
        <v/>
      </c>
      <c r="L8441" s="62">
        <f>K8441-(F8441*I8441)</f>
        <v/>
      </c>
      <c r="M8441" s="64">
        <f>L8441/K8441</f>
        <v/>
      </c>
    </row>
    <row r="8442">
      <c r="A8442" s="58" t="inlineStr">
        <is>
          <t>RT20250729-08441</t>
        </is>
      </c>
      <c r="B8442" s="59" t="inlineStr">
        <is>
          <t>2025-07-29</t>
        </is>
      </c>
      <c r="C8442" s="60" t="inlineStr">
        <is>
          <t>Aurora Skincare Max-798</t>
        </is>
      </c>
      <c r="D8442" s="58" t="inlineStr">
        <is>
          <t>Beauty</t>
        </is>
      </c>
      <c r="E8442" s="58" t="inlineStr">
        <is>
          <t>South</t>
        </is>
      </c>
      <c r="F8442" s="61" t="n">
        <v>3</v>
      </c>
      <c r="G8442" s="62" t="n">
        <v>116.51</v>
      </c>
      <c r="H8442" s="63" t="n">
        <v>0.091</v>
      </c>
      <c r="I8442" s="62" t="n">
        <v>69.66</v>
      </c>
      <c r="J8442" s="58" t="inlineStr">
        <is>
          <t>Online</t>
        </is>
      </c>
      <c r="K8442" s="62">
        <f>F8442*(G8442-H8442)</f>
        <v/>
      </c>
      <c r="L8442" s="62">
        <f>K8442-(F8442*I8442)</f>
        <v/>
      </c>
      <c r="M8442" s="64">
        <f>L8442/K8442</f>
        <v/>
      </c>
    </row>
    <row r="8443">
      <c r="A8443" s="58" t="inlineStr">
        <is>
          <t>RT20250729-08442</t>
        </is>
      </c>
      <c r="B8443" s="59" t="inlineStr">
        <is>
          <t>2025-07-29</t>
        </is>
      </c>
      <c r="C8443" s="60" t="inlineStr">
        <is>
          <t>Nimbus Laptop Max-652</t>
        </is>
      </c>
      <c r="D8443" s="58" t="inlineStr">
        <is>
          <t>Electronics</t>
        </is>
      </c>
      <c r="E8443" s="58" t="inlineStr">
        <is>
          <t>West</t>
        </is>
      </c>
      <c r="F8443" s="61" t="n">
        <v>2</v>
      </c>
      <c r="G8443" s="62" t="n">
        <v>1349.2</v>
      </c>
      <c r="H8443" s="63" t="n">
        <v>0.05</v>
      </c>
      <c r="I8443" s="62" t="n">
        <v>1052.17</v>
      </c>
      <c r="J8443" s="58" t="inlineStr">
        <is>
          <t>Phone</t>
        </is>
      </c>
      <c r="K8443" s="62">
        <f>F8443*(G8443-H8443)</f>
        <v/>
      </c>
      <c r="L8443" s="62">
        <f>K8443-(F8443*I8443)</f>
        <v/>
      </c>
      <c r="M8443" s="64">
        <f>L8443/K8443</f>
        <v/>
      </c>
    </row>
    <row r="8444">
      <c r="A8444" s="58" t="inlineStr">
        <is>
          <t>RT20250730-08443</t>
        </is>
      </c>
      <c r="B8444" s="59" t="inlineStr">
        <is>
          <t>2025-07-30</t>
        </is>
      </c>
      <c r="C8444" s="60" t="inlineStr">
        <is>
          <t>Nimbus Decor Lite-385</t>
        </is>
      </c>
      <c r="D8444" s="58" t="inlineStr">
        <is>
          <t>Home</t>
        </is>
      </c>
      <c r="E8444" s="58" t="inlineStr">
        <is>
          <t>Central</t>
        </is>
      </c>
      <c r="F8444" s="61" t="n">
        <v>3</v>
      </c>
      <c r="G8444" s="62" t="n">
        <v>563.74</v>
      </c>
      <c r="H8444" s="63" t="n">
        <v>0.054</v>
      </c>
      <c r="I8444" s="62" t="n">
        <v>398.57</v>
      </c>
      <c r="J8444" s="58" t="inlineStr">
        <is>
          <t>Online</t>
        </is>
      </c>
      <c r="K8444" s="62">
        <f>F8444*(G8444-H8444)</f>
        <v/>
      </c>
      <c r="L8444" s="62">
        <f>K8444-(F8444*I8444)</f>
        <v/>
      </c>
      <c r="M8444" s="64">
        <f>L8444/K8444</f>
        <v/>
      </c>
    </row>
    <row r="8445">
      <c r="A8445" s="58" t="inlineStr">
        <is>
          <t>RT20250730-08444</t>
        </is>
      </c>
      <c r="B8445" s="59" t="inlineStr">
        <is>
          <t>2025-07-30</t>
        </is>
      </c>
      <c r="C8445" s="60" t="inlineStr">
        <is>
          <t>Nimbus Men Plus-231</t>
        </is>
      </c>
      <c r="D8445" s="58" t="inlineStr">
        <is>
          <t>Apparel</t>
        </is>
      </c>
      <c r="E8445" s="58" t="inlineStr">
        <is>
          <t>East</t>
        </is>
      </c>
      <c r="F8445" s="61" t="n">
        <v>4</v>
      </c>
      <c r="G8445" s="62" t="n">
        <v>162.51</v>
      </c>
      <c r="H8445" s="63" t="n">
        <v>0.066</v>
      </c>
      <c r="I8445" s="62" t="n">
        <v>86.72</v>
      </c>
      <c r="J8445" s="58" t="inlineStr">
        <is>
          <t>Online</t>
        </is>
      </c>
      <c r="K8445" s="62">
        <f>F8445*(G8445-H8445)</f>
        <v/>
      </c>
      <c r="L8445" s="62">
        <f>K8445-(F8445*I8445)</f>
        <v/>
      </c>
      <c r="M8445" s="64">
        <f>L8445/K8445</f>
        <v/>
      </c>
    </row>
    <row r="8446">
      <c r="A8446" s="58" t="inlineStr">
        <is>
          <t>RT20250730-08445</t>
        </is>
      </c>
      <c r="B8446" s="59" t="inlineStr">
        <is>
          <t>2025-07-30</t>
        </is>
      </c>
      <c r="C8446" s="60" t="inlineStr">
        <is>
          <t>Solace Bedding Plus-317</t>
        </is>
      </c>
      <c r="D8446" s="58" t="inlineStr">
        <is>
          <t>Home</t>
        </is>
      </c>
      <c r="E8446" s="58" t="inlineStr">
        <is>
          <t>South</t>
        </is>
      </c>
      <c r="F8446" s="61" t="n">
        <v>3</v>
      </c>
      <c r="G8446" s="62" t="n">
        <v>553.67</v>
      </c>
      <c r="H8446" s="63" t="n">
        <v>0.08599999999999999</v>
      </c>
      <c r="I8446" s="62" t="n">
        <v>385.5</v>
      </c>
      <c r="J8446" s="58" t="inlineStr">
        <is>
          <t>Phone</t>
        </is>
      </c>
      <c r="K8446" s="62">
        <f>F8446*(G8446-H8446)</f>
        <v/>
      </c>
      <c r="L8446" s="62">
        <f>K8446-(F8446*I8446)</f>
        <v/>
      </c>
      <c r="M8446" s="64">
        <f>L8446/K8446</f>
        <v/>
      </c>
    </row>
    <row r="8447">
      <c r="A8447" s="58" t="inlineStr">
        <is>
          <t>RT20250730-08446</t>
        </is>
      </c>
      <c r="B8447" s="59" t="inlineStr">
        <is>
          <t>2025-07-30</t>
        </is>
      </c>
      <c r="C8447" s="60" t="inlineStr">
        <is>
          <t>Vertex Printer Max-692</t>
        </is>
      </c>
      <c r="D8447" s="58" t="inlineStr">
        <is>
          <t>Office</t>
        </is>
      </c>
      <c r="E8447" s="58" t="inlineStr">
        <is>
          <t>East</t>
        </is>
      </c>
      <c r="F8447" s="61" t="n">
        <v>2</v>
      </c>
      <c r="G8447" s="62" t="n">
        <v>173.61</v>
      </c>
      <c r="H8447" s="63" t="n">
        <v>0.074</v>
      </c>
      <c r="I8447" s="62" t="n">
        <v>125.08</v>
      </c>
      <c r="J8447" s="58" t="inlineStr">
        <is>
          <t>Store</t>
        </is>
      </c>
      <c r="K8447" s="62">
        <f>F8447*(G8447-H8447)</f>
        <v/>
      </c>
      <c r="L8447" s="62">
        <f>K8447-(F8447*I8447)</f>
        <v/>
      </c>
      <c r="M8447" s="64">
        <f>L8447/K8447</f>
        <v/>
      </c>
    </row>
    <row r="8448">
      <c r="A8448" s="58" t="inlineStr">
        <is>
          <t>RT20250730-08447</t>
        </is>
      </c>
      <c r="B8448" s="59" t="inlineStr">
        <is>
          <t>2025-07-30</t>
        </is>
      </c>
      <c r="C8448" s="60" t="inlineStr">
        <is>
          <t>Metro Printer X-294</t>
        </is>
      </c>
      <c r="D8448" s="58" t="inlineStr">
        <is>
          <t>Office</t>
        </is>
      </c>
      <c r="E8448" s="58" t="inlineStr">
        <is>
          <t>East</t>
        </is>
      </c>
      <c r="F8448" s="61" t="n">
        <v>1</v>
      </c>
      <c r="G8448" s="62" t="n">
        <v>596.92</v>
      </c>
      <c r="H8448" s="63" t="n">
        <v>0.041</v>
      </c>
      <c r="I8448" s="62" t="n">
        <v>415.18</v>
      </c>
      <c r="J8448" s="58" t="inlineStr">
        <is>
          <t>Store</t>
        </is>
      </c>
      <c r="K8448" s="62">
        <f>F8448*(G8448-H8448)</f>
        <v/>
      </c>
      <c r="L8448" s="62">
        <f>K8448-(F8448*I8448)</f>
        <v/>
      </c>
      <c r="M8448" s="64">
        <f>L8448/K8448</f>
        <v/>
      </c>
    </row>
    <row r="8449">
      <c r="A8449" s="58" t="inlineStr">
        <is>
          <t>RT20250730-08448</t>
        </is>
      </c>
      <c r="B8449" s="59" t="inlineStr">
        <is>
          <t>2025-07-30</t>
        </is>
      </c>
      <c r="C8449" s="60" t="inlineStr">
        <is>
          <t>Solace Kid S-384</t>
        </is>
      </c>
      <c r="D8449" s="58" t="inlineStr">
        <is>
          <t>Apparel</t>
        </is>
      </c>
      <c r="E8449" s="58" t="inlineStr">
        <is>
          <t>West</t>
        </is>
      </c>
      <c r="F8449" s="61" t="n">
        <v>3</v>
      </c>
      <c r="G8449" s="62" t="n">
        <v>109.5</v>
      </c>
      <c r="H8449" s="63" t="n">
        <v>0.064</v>
      </c>
      <c r="I8449" s="62" t="n">
        <v>61.15</v>
      </c>
      <c r="J8449" s="58" t="inlineStr">
        <is>
          <t>Store</t>
        </is>
      </c>
      <c r="K8449" s="62">
        <f>F8449*(G8449-H8449)</f>
        <v/>
      </c>
      <c r="L8449" s="62">
        <f>K8449-(F8449*I8449)</f>
        <v/>
      </c>
      <c r="M8449" s="64">
        <f>L8449/K8449</f>
        <v/>
      </c>
    </row>
    <row r="8450">
      <c r="A8450" s="58" t="inlineStr">
        <is>
          <t>RT20250730-08449</t>
        </is>
      </c>
      <c r="B8450" s="59" t="inlineStr">
        <is>
          <t>2025-07-30</t>
        </is>
      </c>
      <c r="C8450" s="60" t="inlineStr">
        <is>
          <t>Falcon Household Plus-796</t>
        </is>
      </c>
      <c r="D8450" s="58" t="inlineStr">
        <is>
          <t>Grocery</t>
        </is>
      </c>
      <c r="E8450" s="58" t="inlineStr">
        <is>
          <t>West</t>
        </is>
      </c>
      <c r="F8450" s="61" t="n">
        <v>2</v>
      </c>
      <c r="G8450" s="62" t="n">
        <v>22.95</v>
      </c>
      <c r="H8450" s="63" t="n">
        <v>0.08599999999999999</v>
      </c>
      <c r="I8450" s="62" t="n">
        <v>17.84</v>
      </c>
      <c r="J8450" s="58" t="inlineStr">
        <is>
          <t>Online</t>
        </is>
      </c>
      <c r="K8450" s="62">
        <f>F8450*(G8450-H8450)</f>
        <v/>
      </c>
      <c r="L8450" s="62">
        <f>K8450-(F8450*I8450)</f>
        <v/>
      </c>
      <c r="M8450" s="64">
        <f>L8450/K8450</f>
        <v/>
      </c>
    </row>
    <row r="8451">
      <c r="A8451" s="58" t="inlineStr">
        <is>
          <t>RT20250730-08450</t>
        </is>
      </c>
      <c r="B8451" s="59" t="inlineStr">
        <is>
          <t>2025-07-30</t>
        </is>
      </c>
      <c r="C8451" s="60" t="inlineStr">
        <is>
          <t>Polar Cycling X-649</t>
        </is>
      </c>
      <c r="D8451" s="58" t="inlineStr">
        <is>
          <t>Sports</t>
        </is>
      </c>
      <c r="E8451" s="58" t="inlineStr">
        <is>
          <t>South</t>
        </is>
      </c>
      <c r="F8451" s="61" t="n">
        <v>1</v>
      </c>
      <c r="G8451" s="62" t="n">
        <v>589.14</v>
      </c>
      <c r="H8451" s="63" t="n">
        <v>0.058</v>
      </c>
      <c r="I8451" s="62" t="n">
        <v>352.96</v>
      </c>
      <c r="J8451" s="58" t="inlineStr">
        <is>
          <t>Online</t>
        </is>
      </c>
      <c r="K8451" s="62">
        <f>F8451*(G8451-H8451)</f>
        <v/>
      </c>
      <c r="L8451" s="62">
        <f>K8451-(F8451*I8451)</f>
        <v/>
      </c>
      <c r="M8451" s="64">
        <f>L8451/K8451</f>
        <v/>
      </c>
    </row>
    <row r="8452">
      <c r="A8452" s="58" t="inlineStr">
        <is>
          <t>RT20250730-08451</t>
        </is>
      </c>
      <c r="B8452" s="59" t="inlineStr">
        <is>
          <t>2025-07-30</t>
        </is>
      </c>
      <c r="C8452" s="60" t="inlineStr">
        <is>
          <t>Polar Cycling S-223</t>
        </is>
      </c>
      <c r="D8452" s="58" t="inlineStr">
        <is>
          <t>Sports</t>
        </is>
      </c>
      <c r="E8452" s="58" t="inlineStr">
        <is>
          <t>South</t>
        </is>
      </c>
      <c r="F8452" s="61" t="n">
        <v>3</v>
      </c>
      <c r="G8452" s="62" t="n">
        <v>935.6900000000001</v>
      </c>
      <c r="H8452" s="63" t="n">
        <v>0.091</v>
      </c>
      <c r="I8452" s="62" t="n">
        <v>617.14</v>
      </c>
      <c r="J8452" s="58" t="inlineStr">
        <is>
          <t>Store</t>
        </is>
      </c>
      <c r="K8452" s="62">
        <f>F8452*(G8452-H8452)</f>
        <v/>
      </c>
      <c r="L8452" s="62">
        <f>K8452-(F8452*I8452)</f>
        <v/>
      </c>
      <c r="M8452" s="64">
        <f>L8452/K8452</f>
        <v/>
      </c>
    </row>
    <row r="8453">
      <c r="A8453" s="58" t="inlineStr">
        <is>
          <t>RT20250730-08452</t>
        </is>
      </c>
      <c r="B8453" s="59" t="inlineStr">
        <is>
          <t>2025-07-30</t>
        </is>
      </c>
      <c r="C8453" s="60" t="inlineStr">
        <is>
          <t>Orion Kid Max-864</t>
        </is>
      </c>
      <c r="D8453" s="58" t="inlineStr">
        <is>
          <t>Apparel</t>
        </is>
      </c>
      <c r="E8453" s="58" t="inlineStr">
        <is>
          <t>West</t>
        </is>
      </c>
      <c r="F8453" s="61" t="n">
        <v>4</v>
      </c>
      <c r="G8453" s="62" t="n">
        <v>82.56999999999999</v>
      </c>
      <c r="H8453" s="63" t="n">
        <v>0.018</v>
      </c>
      <c r="I8453" s="62" t="n">
        <v>47.01</v>
      </c>
      <c r="J8453" s="58" t="inlineStr">
        <is>
          <t>Store</t>
        </is>
      </c>
      <c r="K8453" s="62">
        <f>F8453*(G8453-H8453)</f>
        <v/>
      </c>
      <c r="L8453" s="62">
        <f>K8453-(F8453*I8453)</f>
        <v/>
      </c>
      <c r="M8453" s="64">
        <f>L8453/K8453</f>
        <v/>
      </c>
    </row>
    <row r="8454">
      <c r="A8454" s="58" t="inlineStr">
        <is>
          <t>RT20250730-08453</t>
        </is>
      </c>
      <c r="B8454" s="59" t="inlineStr">
        <is>
          <t>2025-07-30</t>
        </is>
      </c>
      <c r="C8454" s="60" t="inlineStr">
        <is>
          <t>Vertex Supplie X-513</t>
        </is>
      </c>
      <c r="D8454" s="58" t="inlineStr">
        <is>
          <t>Office</t>
        </is>
      </c>
      <c r="E8454" s="58" t="inlineStr">
        <is>
          <t>Central</t>
        </is>
      </c>
      <c r="F8454" s="61" t="n">
        <v>2</v>
      </c>
      <c r="G8454" s="62" t="n">
        <v>404.09</v>
      </c>
      <c r="H8454" s="63" t="n">
        <v>0.076</v>
      </c>
      <c r="I8454" s="62" t="n">
        <v>281.94</v>
      </c>
      <c r="J8454" s="58" t="inlineStr">
        <is>
          <t>Online</t>
        </is>
      </c>
      <c r="K8454" s="62">
        <f>F8454*(G8454-H8454)</f>
        <v/>
      </c>
      <c r="L8454" s="62">
        <f>K8454-(F8454*I8454)</f>
        <v/>
      </c>
      <c r="M8454" s="64">
        <f>L8454/K8454</f>
        <v/>
      </c>
    </row>
    <row r="8455">
      <c r="A8455" s="58" t="inlineStr">
        <is>
          <t>RT20250730-08454</t>
        </is>
      </c>
      <c r="B8455" s="59" t="inlineStr">
        <is>
          <t>2025-07-30</t>
        </is>
      </c>
      <c r="C8455" s="60" t="inlineStr">
        <is>
          <t>Polar Snack Pro-641</t>
        </is>
      </c>
      <c r="D8455" s="58" t="inlineStr">
        <is>
          <t>Grocery</t>
        </is>
      </c>
      <c r="E8455" s="58" t="inlineStr">
        <is>
          <t>North</t>
        </is>
      </c>
      <c r="F8455" s="61" t="n">
        <v>8</v>
      </c>
      <c r="G8455" s="62" t="n">
        <v>12.79</v>
      </c>
      <c r="H8455" s="63" t="n">
        <v>0.012</v>
      </c>
      <c r="I8455" s="62" t="n">
        <v>9.5</v>
      </c>
      <c r="J8455" s="58" t="inlineStr">
        <is>
          <t>Online</t>
        </is>
      </c>
      <c r="K8455" s="62">
        <f>F8455*(G8455-H8455)</f>
        <v/>
      </c>
      <c r="L8455" s="62">
        <f>K8455-(F8455*I8455)</f>
        <v/>
      </c>
      <c r="M8455" s="64">
        <f>L8455/K8455</f>
        <v/>
      </c>
    </row>
    <row r="8456">
      <c r="A8456" s="58" t="inlineStr">
        <is>
          <t>RT20250730-08455</t>
        </is>
      </c>
      <c r="B8456" s="59" t="inlineStr">
        <is>
          <t>2025-07-30</t>
        </is>
      </c>
      <c r="C8456" s="60" t="inlineStr">
        <is>
          <t>Orion Snack X-322</t>
        </is>
      </c>
      <c r="D8456" s="58" t="inlineStr">
        <is>
          <t>Grocery</t>
        </is>
      </c>
      <c r="E8456" s="58" t="inlineStr">
        <is>
          <t>North</t>
        </is>
      </c>
      <c r="F8456" s="61" t="n">
        <v>1</v>
      </c>
      <c r="G8456" s="62" t="n">
        <v>13.12</v>
      </c>
      <c r="H8456" s="63" t="n">
        <v>0.058</v>
      </c>
      <c r="I8456" s="62" t="n">
        <v>10.25</v>
      </c>
      <c r="J8456" s="58" t="inlineStr">
        <is>
          <t>Store</t>
        </is>
      </c>
      <c r="K8456" s="62">
        <f>F8456*(G8456-H8456)</f>
        <v/>
      </c>
      <c r="L8456" s="62">
        <f>K8456-(F8456*I8456)</f>
        <v/>
      </c>
      <c r="M8456" s="64">
        <f>L8456/K8456</f>
        <v/>
      </c>
    </row>
    <row r="8457">
      <c r="A8457" s="58" t="inlineStr">
        <is>
          <t>RT20250730-08456</t>
        </is>
      </c>
      <c r="B8457" s="59" t="inlineStr">
        <is>
          <t>2025-07-30</t>
        </is>
      </c>
      <c r="C8457" s="60" t="inlineStr">
        <is>
          <t>Nimbus Laptop Max-652</t>
        </is>
      </c>
      <c r="D8457" s="58" t="inlineStr">
        <is>
          <t>Electronics</t>
        </is>
      </c>
      <c r="E8457" s="58" t="inlineStr">
        <is>
          <t>South</t>
        </is>
      </c>
      <c r="F8457" s="61" t="n">
        <v>1</v>
      </c>
      <c r="G8457" s="62" t="n">
        <v>1441</v>
      </c>
      <c r="H8457" s="63" t="n">
        <v>0.035</v>
      </c>
      <c r="I8457" s="62" t="n">
        <v>1064.08</v>
      </c>
      <c r="J8457" s="58" t="inlineStr">
        <is>
          <t>Store</t>
        </is>
      </c>
      <c r="K8457" s="62">
        <f>F8457*(G8457-H8457)</f>
        <v/>
      </c>
      <c r="L8457" s="62">
        <f>K8457-(F8457*I8457)</f>
        <v/>
      </c>
      <c r="M8457" s="64">
        <f>L8457/K8457</f>
        <v/>
      </c>
    </row>
    <row r="8458">
      <c r="A8458" s="58" t="inlineStr">
        <is>
          <t>RT20250730-08457</t>
        </is>
      </c>
      <c r="B8458" s="59" t="inlineStr">
        <is>
          <t>2025-07-30</t>
        </is>
      </c>
      <c r="C8458" s="60" t="inlineStr">
        <is>
          <t>Polar Fragrance Pro-750</t>
        </is>
      </c>
      <c r="D8458" s="58" t="inlineStr">
        <is>
          <t>Beauty</t>
        </is>
      </c>
      <c r="E8458" s="58" t="inlineStr">
        <is>
          <t>South</t>
        </is>
      </c>
      <c r="F8458" s="61" t="n">
        <v>4</v>
      </c>
      <c r="G8458" s="62" t="n">
        <v>58.41</v>
      </c>
      <c r="H8458" s="63" t="n">
        <v>0.041</v>
      </c>
      <c r="I8458" s="62" t="n">
        <v>35.99</v>
      </c>
      <c r="J8458" s="58" t="inlineStr">
        <is>
          <t>Store</t>
        </is>
      </c>
      <c r="K8458" s="62">
        <f>F8458*(G8458-H8458)</f>
        <v/>
      </c>
      <c r="L8458" s="62">
        <f>K8458-(F8458*I8458)</f>
        <v/>
      </c>
      <c r="M8458" s="64">
        <f>L8458/K8458</f>
        <v/>
      </c>
    </row>
    <row r="8459">
      <c r="A8459" s="58" t="inlineStr">
        <is>
          <t>RT20250730-08458</t>
        </is>
      </c>
      <c r="B8459" s="59" t="inlineStr">
        <is>
          <t>2025-07-30</t>
        </is>
      </c>
      <c r="C8459" s="60" t="inlineStr">
        <is>
          <t>Orion Supplie S-612</t>
        </is>
      </c>
      <c r="D8459" s="58" t="inlineStr">
        <is>
          <t>Office</t>
        </is>
      </c>
      <c r="E8459" s="58" t="inlineStr">
        <is>
          <t>West</t>
        </is>
      </c>
      <c r="F8459" s="61" t="n">
        <v>3</v>
      </c>
      <c r="G8459" s="62" t="n">
        <v>435.5</v>
      </c>
      <c r="H8459" s="63" t="n">
        <v>0.035</v>
      </c>
      <c r="I8459" s="62" t="n">
        <v>329.45</v>
      </c>
      <c r="J8459" s="58" t="inlineStr">
        <is>
          <t>Online</t>
        </is>
      </c>
      <c r="K8459" s="62">
        <f>F8459*(G8459-H8459)</f>
        <v/>
      </c>
      <c r="L8459" s="62">
        <f>K8459-(F8459*I8459)</f>
        <v/>
      </c>
      <c r="M8459" s="64">
        <f>L8459/K8459</f>
        <v/>
      </c>
    </row>
    <row r="8460">
      <c r="A8460" s="58" t="inlineStr">
        <is>
          <t>RT20250730-08459</t>
        </is>
      </c>
      <c r="B8460" s="59" t="inlineStr">
        <is>
          <t>2025-07-30</t>
        </is>
      </c>
      <c r="C8460" s="60" t="inlineStr">
        <is>
          <t>Orion Beverage Plus-949</t>
        </is>
      </c>
      <c r="D8460" s="58" t="inlineStr">
        <is>
          <t>Grocery</t>
        </is>
      </c>
      <c r="E8460" s="58" t="inlineStr">
        <is>
          <t>South</t>
        </is>
      </c>
      <c r="F8460" s="61" t="n">
        <v>5</v>
      </c>
      <c r="G8460" s="62" t="n">
        <v>20.16</v>
      </c>
      <c r="H8460" s="63" t="n">
        <v>0.096</v>
      </c>
      <c r="I8460" s="62" t="n">
        <v>13.75</v>
      </c>
      <c r="J8460" s="58" t="inlineStr">
        <is>
          <t>Online</t>
        </is>
      </c>
      <c r="K8460" s="62">
        <f>F8460*(G8460-H8460)</f>
        <v/>
      </c>
      <c r="L8460" s="62">
        <f>K8460-(F8460*I8460)</f>
        <v/>
      </c>
      <c r="M8460" s="64">
        <f>L8460/K8460</f>
        <v/>
      </c>
    </row>
    <row r="8461">
      <c r="A8461" s="58" t="inlineStr">
        <is>
          <t>RT20250730-08460</t>
        </is>
      </c>
      <c r="B8461" s="59" t="inlineStr">
        <is>
          <t>2025-07-30</t>
        </is>
      </c>
      <c r="C8461" s="60" t="inlineStr">
        <is>
          <t>Nimbus Headphone X-854</t>
        </is>
      </c>
      <c r="D8461" s="58" t="inlineStr">
        <is>
          <t>Electronics</t>
        </is>
      </c>
      <c r="E8461" s="58" t="inlineStr">
        <is>
          <t>Central</t>
        </is>
      </c>
      <c r="F8461" s="61" t="n">
        <v>1</v>
      </c>
      <c r="G8461" s="62" t="n">
        <v>1422.36</v>
      </c>
      <c r="H8461" s="63" t="n">
        <v>0</v>
      </c>
      <c r="I8461" s="62" t="n">
        <v>1235.63</v>
      </c>
      <c r="J8461" s="58" t="inlineStr">
        <is>
          <t>Phone</t>
        </is>
      </c>
      <c r="K8461" s="62">
        <f>F8461*(G8461-H8461)</f>
        <v/>
      </c>
      <c r="L8461" s="62">
        <f>K8461-(F8461*I8461)</f>
        <v/>
      </c>
      <c r="M8461" s="64">
        <f>L8461/K8461</f>
        <v/>
      </c>
    </row>
    <row r="8462">
      <c r="A8462" s="58" t="inlineStr">
        <is>
          <t>RT20250730-08461</t>
        </is>
      </c>
      <c r="B8462" s="59" t="inlineStr">
        <is>
          <t>2025-07-30</t>
        </is>
      </c>
      <c r="C8462" s="60" t="inlineStr">
        <is>
          <t>Orion Laptop S-350</t>
        </is>
      </c>
      <c r="D8462" s="58" t="inlineStr">
        <is>
          <t>Electronics</t>
        </is>
      </c>
      <c r="E8462" s="58" t="inlineStr">
        <is>
          <t>East</t>
        </is>
      </c>
      <c r="F8462" s="61" t="n">
        <v>2</v>
      </c>
      <c r="G8462" s="62" t="n">
        <v>1396.76</v>
      </c>
      <c r="H8462" s="63" t="n">
        <v>0.074</v>
      </c>
      <c r="I8462" s="62" t="n">
        <v>1093.67</v>
      </c>
      <c r="J8462" s="58" t="inlineStr">
        <is>
          <t>Online</t>
        </is>
      </c>
      <c r="K8462" s="62">
        <f>F8462*(G8462-H8462)</f>
        <v/>
      </c>
      <c r="L8462" s="62">
        <f>K8462-(F8462*I8462)</f>
        <v/>
      </c>
      <c r="M8462" s="64">
        <f>L8462/K8462</f>
        <v/>
      </c>
    </row>
    <row r="8463">
      <c r="A8463" s="58" t="inlineStr">
        <is>
          <t>RT20250730-08462</t>
        </is>
      </c>
      <c r="B8463" s="59" t="inlineStr">
        <is>
          <t>2025-07-30</t>
        </is>
      </c>
      <c r="C8463" s="60" t="inlineStr">
        <is>
          <t>Metro Printer X-294</t>
        </is>
      </c>
      <c r="D8463" s="58" t="inlineStr">
        <is>
          <t>Office</t>
        </is>
      </c>
      <c r="E8463" s="58" t="inlineStr">
        <is>
          <t>North</t>
        </is>
      </c>
      <c r="F8463" s="61" t="n">
        <v>2</v>
      </c>
      <c r="G8463" s="62" t="n">
        <v>484.07</v>
      </c>
      <c r="H8463" s="63" t="n">
        <v>0.075</v>
      </c>
      <c r="I8463" s="62" t="n">
        <v>402.83</v>
      </c>
      <c r="J8463" s="58" t="inlineStr">
        <is>
          <t>Store</t>
        </is>
      </c>
      <c r="K8463" s="62">
        <f>F8463*(G8463-H8463)</f>
        <v/>
      </c>
      <c r="L8463" s="62">
        <f>K8463-(F8463*I8463)</f>
        <v/>
      </c>
      <c r="M8463" s="64">
        <f>L8463/K8463</f>
        <v/>
      </c>
    </row>
    <row r="8464">
      <c r="A8464" s="58" t="inlineStr">
        <is>
          <t>RT20250730-08463</t>
        </is>
      </c>
      <c r="B8464" s="59" t="inlineStr">
        <is>
          <t>2025-07-30</t>
        </is>
      </c>
      <c r="C8464" s="60" t="inlineStr">
        <is>
          <t>Aurora Smartphone Plus-125</t>
        </is>
      </c>
      <c r="D8464" s="58" t="inlineStr">
        <is>
          <t>Electronics</t>
        </is>
      </c>
      <c r="E8464" s="58" t="inlineStr">
        <is>
          <t>West</t>
        </is>
      </c>
      <c r="F8464" s="61" t="n">
        <v>1</v>
      </c>
      <c r="G8464" s="62" t="n">
        <v>1306.56</v>
      </c>
      <c r="H8464" s="63" t="n">
        <v>0.052</v>
      </c>
      <c r="I8464" s="62" t="n">
        <v>1202.54</v>
      </c>
      <c r="J8464" s="58" t="inlineStr">
        <is>
          <t>Store</t>
        </is>
      </c>
      <c r="K8464" s="62">
        <f>F8464*(G8464-H8464)</f>
        <v/>
      </c>
      <c r="L8464" s="62">
        <f>K8464-(F8464*I8464)</f>
        <v/>
      </c>
      <c r="M8464" s="64">
        <f>L8464/K8464</f>
        <v/>
      </c>
    </row>
    <row r="8465">
      <c r="A8465" s="58" t="inlineStr">
        <is>
          <t>RT20250730-08464</t>
        </is>
      </c>
      <c r="B8465" s="59" t="inlineStr">
        <is>
          <t>2025-07-30</t>
        </is>
      </c>
      <c r="C8465" s="60" t="inlineStr">
        <is>
          <t>Aurora Skincare Max-798</t>
        </is>
      </c>
      <c r="D8465" s="58" t="inlineStr">
        <is>
          <t>Beauty</t>
        </is>
      </c>
      <c r="E8465" s="58" t="inlineStr">
        <is>
          <t>West</t>
        </is>
      </c>
      <c r="F8465" s="61" t="n">
        <v>2</v>
      </c>
      <c r="G8465" s="62" t="n">
        <v>107.98</v>
      </c>
      <c r="H8465" s="63" t="n">
        <v>0.064</v>
      </c>
      <c r="I8465" s="62" t="n">
        <v>66.12</v>
      </c>
      <c r="J8465" s="58" t="inlineStr">
        <is>
          <t>Store</t>
        </is>
      </c>
      <c r="K8465" s="62">
        <f>F8465*(G8465-H8465)</f>
        <v/>
      </c>
      <c r="L8465" s="62">
        <f>K8465-(F8465*I8465)</f>
        <v/>
      </c>
      <c r="M8465" s="64">
        <f>L8465/K8465</f>
        <v/>
      </c>
    </row>
    <row r="8466">
      <c r="A8466" s="58" t="inlineStr">
        <is>
          <t>RT20250730-08465</t>
        </is>
      </c>
      <c r="B8466" s="59" t="inlineStr">
        <is>
          <t>2025-07-30</t>
        </is>
      </c>
      <c r="C8466" s="60" t="inlineStr">
        <is>
          <t>Metro Decor Lite-325</t>
        </is>
      </c>
      <c r="D8466" s="58" t="inlineStr">
        <is>
          <t>Home</t>
        </is>
      </c>
      <c r="E8466" s="58" t="inlineStr">
        <is>
          <t>East</t>
        </is>
      </c>
      <c r="F8466" s="61" t="n">
        <v>1</v>
      </c>
      <c r="G8466" s="62" t="n">
        <v>540.97</v>
      </c>
      <c r="H8466" s="63" t="n">
        <v>0.102</v>
      </c>
      <c r="I8466" s="62" t="n">
        <v>374.05</v>
      </c>
      <c r="J8466" s="58" t="inlineStr">
        <is>
          <t>Online</t>
        </is>
      </c>
      <c r="K8466" s="62">
        <f>F8466*(G8466-H8466)</f>
        <v/>
      </c>
      <c r="L8466" s="62">
        <f>K8466-(F8466*I8466)</f>
        <v/>
      </c>
      <c r="M8466" s="64">
        <f>L8466/K8466</f>
        <v/>
      </c>
    </row>
    <row r="8467">
      <c r="A8467" s="58" t="inlineStr">
        <is>
          <t>RT20250730-08466</t>
        </is>
      </c>
      <c r="B8467" s="59" t="inlineStr">
        <is>
          <t>2025-07-30</t>
        </is>
      </c>
      <c r="C8467" s="60" t="inlineStr">
        <is>
          <t>Metro Printer X-294</t>
        </is>
      </c>
      <c r="D8467" s="58" t="inlineStr">
        <is>
          <t>Office</t>
        </is>
      </c>
      <c r="E8467" s="58" t="inlineStr">
        <is>
          <t>West</t>
        </is>
      </c>
      <c r="F8467" s="61" t="n">
        <v>1</v>
      </c>
      <c r="G8467" s="62" t="n">
        <v>610.21</v>
      </c>
      <c r="H8467" s="63" t="n">
        <v>0.078</v>
      </c>
      <c r="I8467" s="62" t="n">
        <v>410.11</v>
      </c>
      <c r="J8467" s="58" t="inlineStr">
        <is>
          <t>Online</t>
        </is>
      </c>
      <c r="K8467" s="62">
        <f>F8467*(G8467-H8467)</f>
        <v/>
      </c>
      <c r="L8467" s="62">
        <f>K8467-(F8467*I8467)</f>
        <v/>
      </c>
      <c r="M8467" s="64">
        <f>L8467/K8467</f>
        <v/>
      </c>
    </row>
    <row r="8468">
      <c r="A8468" s="58" t="inlineStr">
        <is>
          <t>RT20250730-08467</t>
        </is>
      </c>
      <c r="B8468" s="59" t="inlineStr">
        <is>
          <t>2025-07-30</t>
        </is>
      </c>
      <c r="C8468" s="60" t="inlineStr">
        <is>
          <t>Falcon Furniture Plus-839</t>
        </is>
      </c>
      <c r="D8468" s="58" t="inlineStr">
        <is>
          <t>Office</t>
        </is>
      </c>
      <c r="E8468" s="58" t="inlineStr">
        <is>
          <t>Central</t>
        </is>
      </c>
      <c r="F8468" s="61" t="n">
        <v>1</v>
      </c>
      <c r="G8468" s="62" t="n">
        <v>316.7</v>
      </c>
      <c r="H8468" s="63" t="n">
        <v>0.011</v>
      </c>
      <c r="I8468" s="62" t="n">
        <v>223.1</v>
      </c>
      <c r="J8468" s="58" t="inlineStr">
        <is>
          <t>Online</t>
        </is>
      </c>
      <c r="K8468" s="62">
        <f>F8468*(G8468-H8468)</f>
        <v/>
      </c>
      <c r="L8468" s="62">
        <f>K8468-(F8468*I8468)</f>
        <v/>
      </c>
      <c r="M8468" s="64">
        <f>L8468/K8468</f>
        <v/>
      </c>
    </row>
    <row r="8469">
      <c r="A8469" s="58" t="inlineStr">
        <is>
          <t>RT20250730-08468</t>
        </is>
      </c>
      <c r="B8469" s="59" t="inlineStr">
        <is>
          <t>2025-07-30</t>
        </is>
      </c>
      <c r="C8469" s="60" t="inlineStr">
        <is>
          <t>Polar Haircare Max-614</t>
        </is>
      </c>
      <c r="D8469" s="58" t="inlineStr">
        <is>
          <t>Beauty</t>
        </is>
      </c>
      <c r="E8469" s="58" t="inlineStr">
        <is>
          <t>West</t>
        </is>
      </c>
      <c r="F8469" s="61" t="n">
        <v>1</v>
      </c>
      <c r="G8469" s="62" t="n">
        <v>111.88</v>
      </c>
      <c r="H8469" s="63" t="n">
        <v>0.058</v>
      </c>
      <c r="I8469" s="62" t="n">
        <v>71.04000000000001</v>
      </c>
      <c r="J8469" s="58" t="inlineStr">
        <is>
          <t>Store</t>
        </is>
      </c>
      <c r="K8469" s="62">
        <f>F8469*(G8469-H8469)</f>
        <v/>
      </c>
      <c r="L8469" s="62">
        <f>K8469-(F8469*I8469)</f>
        <v/>
      </c>
      <c r="M8469" s="64">
        <f>L8469/K8469</f>
        <v/>
      </c>
    </row>
    <row r="8470">
      <c r="A8470" s="58" t="inlineStr">
        <is>
          <t>RT20250730-08469</t>
        </is>
      </c>
      <c r="B8470" s="59" t="inlineStr">
        <is>
          <t>2025-07-30</t>
        </is>
      </c>
      <c r="C8470" s="60" t="inlineStr">
        <is>
          <t>Metro Pantry Max-180</t>
        </is>
      </c>
      <c r="D8470" s="58" t="inlineStr">
        <is>
          <t>Grocery</t>
        </is>
      </c>
      <c r="E8470" s="58" t="inlineStr">
        <is>
          <t>Central</t>
        </is>
      </c>
      <c r="F8470" s="61" t="n">
        <v>2</v>
      </c>
      <c r="G8470" s="62" t="n">
        <v>8.69</v>
      </c>
      <c r="H8470" s="63" t="n">
        <v>0.056</v>
      </c>
      <c r="I8470" s="62" t="n">
        <v>6.78</v>
      </c>
      <c r="J8470" s="58" t="inlineStr">
        <is>
          <t>Store</t>
        </is>
      </c>
      <c r="K8470" s="62">
        <f>F8470*(G8470-H8470)</f>
        <v/>
      </c>
      <c r="L8470" s="62">
        <f>K8470-(F8470*I8470)</f>
        <v/>
      </c>
      <c r="M8470" s="64">
        <f>L8470/K8470</f>
        <v/>
      </c>
    </row>
    <row r="8471">
      <c r="A8471" s="58" t="inlineStr">
        <is>
          <t>RT20250730-08470</t>
        </is>
      </c>
      <c r="B8471" s="59" t="inlineStr">
        <is>
          <t>2025-07-30</t>
        </is>
      </c>
      <c r="C8471" s="60" t="inlineStr">
        <is>
          <t>Solace Makeup Pro-214</t>
        </is>
      </c>
      <c r="D8471" s="58" t="inlineStr">
        <is>
          <t>Beauty</t>
        </is>
      </c>
      <c r="E8471" s="58" t="inlineStr">
        <is>
          <t>Central</t>
        </is>
      </c>
      <c r="F8471" s="61" t="n">
        <v>3</v>
      </c>
      <c r="G8471" s="62" t="n">
        <v>109.92</v>
      </c>
      <c r="H8471" s="63" t="n">
        <v>0.06</v>
      </c>
      <c r="I8471" s="62" t="n">
        <v>69.14</v>
      </c>
      <c r="J8471" s="58" t="inlineStr">
        <is>
          <t>Store</t>
        </is>
      </c>
      <c r="K8471" s="62">
        <f>F8471*(G8471-H8471)</f>
        <v/>
      </c>
      <c r="L8471" s="62">
        <f>K8471-(F8471*I8471)</f>
        <v/>
      </c>
      <c r="M8471" s="64">
        <f>L8471/K8471</f>
        <v/>
      </c>
    </row>
    <row r="8472">
      <c r="A8472" s="58" t="inlineStr">
        <is>
          <t>RT20250730-08471</t>
        </is>
      </c>
      <c r="B8472" s="59" t="inlineStr">
        <is>
          <t>2025-07-30</t>
        </is>
      </c>
      <c r="C8472" s="60" t="inlineStr">
        <is>
          <t>Falcon Beverage Max-702</t>
        </is>
      </c>
      <c r="D8472" s="58" t="inlineStr">
        <is>
          <t>Grocery</t>
        </is>
      </c>
      <c r="E8472" s="58" t="inlineStr">
        <is>
          <t>East</t>
        </is>
      </c>
      <c r="F8472" s="61" t="n">
        <v>5</v>
      </c>
      <c r="G8472" s="62" t="n">
        <v>26.74</v>
      </c>
      <c r="H8472" s="63" t="n">
        <v>0.036</v>
      </c>
      <c r="I8472" s="62" t="n">
        <v>20.52</v>
      </c>
      <c r="J8472" s="58" t="inlineStr">
        <is>
          <t>Online</t>
        </is>
      </c>
      <c r="K8472" s="62">
        <f>F8472*(G8472-H8472)</f>
        <v/>
      </c>
      <c r="L8472" s="62">
        <f>K8472-(F8472*I8472)</f>
        <v/>
      </c>
      <c r="M8472" s="64">
        <f>L8472/K8472</f>
        <v/>
      </c>
    </row>
    <row r="8473">
      <c r="A8473" s="58" t="inlineStr">
        <is>
          <t>RT20250730-08472</t>
        </is>
      </c>
      <c r="B8473" s="59" t="inlineStr">
        <is>
          <t>2025-07-30</t>
        </is>
      </c>
      <c r="C8473" s="60" t="inlineStr">
        <is>
          <t>Metro Accessorie Max-316</t>
        </is>
      </c>
      <c r="D8473" s="58" t="inlineStr">
        <is>
          <t>Apparel</t>
        </is>
      </c>
      <c r="E8473" s="58" t="inlineStr">
        <is>
          <t>East</t>
        </is>
      </c>
      <c r="F8473" s="61" t="n">
        <v>2</v>
      </c>
      <c r="G8473" s="62" t="n">
        <v>169.38</v>
      </c>
      <c r="H8473" s="63" t="n">
        <v>0.055</v>
      </c>
      <c r="I8473" s="62" t="n">
        <v>93.61</v>
      </c>
      <c r="J8473" s="58" t="inlineStr">
        <is>
          <t>Store</t>
        </is>
      </c>
      <c r="K8473" s="62">
        <f>F8473*(G8473-H8473)</f>
        <v/>
      </c>
      <c r="L8473" s="62">
        <f>K8473-(F8473*I8473)</f>
        <v/>
      </c>
      <c r="M8473" s="64">
        <f>L8473/K8473</f>
        <v/>
      </c>
    </row>
    <row r="8474">
      <c r="A8474" s="58" t="inlineStr">
        <is>
          <t>RT20250730-08473</t>
        </is>
      </c>
      <c r="B8474" s="59" t="inlineStr">
        <is>
          <t>2025-07-30</t>
        </is>
      </c>
      <c r="C8474" s="60" t="inlineStr">
        <is>
          <t>Aurora Printer Plus-991</t>
        </is>
      </c>
      <c r="D8474" s="58" t="inlineStr">
        <is>
          <t>Office</t>
        </is>
      </c>
      <c r="E8474" s="58" t="inlineStr">
        <is>
          <t>West</t>
        </is>
      </c>
      <c r="F8474" s="61" t="n">
        <v>3</v>
      </c>
      <c r="G8474" s="62" t="n">
        <v>551.9299999999999</v>
      </c>
      <c r="H8474" s="63" t="n">
        <v>0.079</v>
      </c>
      <c r="I8474" s="62" t="n">
        <v>370.17</v>
      </c>
      <c r="J8474" s="58" t="inlineStr">
        <is>
          <t>Online</t>
        </is>
      </c>
      <c r="K8474" s="62">
        <f>F8474*(G8474-H8474)</f>
        <v/>
      </c>
      <c r="L8474" s="62">
        <f>K8474-(F8474*I8474)</f>
        <v/>
      </c>
      <c r="M8474" s="64">
        <f>L8474/K8474</f>
        <v/>
      </c>
    </row>
    <row r="8475">
      <c r="A8475" s="58" t="inlineStr">
        <is>
          <t>RT20250730-08474</t>
        </is>
      </c>
      <c r="B8475" s="59" t="inlineStr">
        <is>
          <t>2025-07-30</t>
        </is>
      </c>
      <c r="C8475" s="60" t="inlineStr">
        <is>
          <t>Vertex Pantry Pro-165</t>
        </is>
      </c>
      <c r="D8475" s="58" t="inlineStr">
        <is>
          <t>Grocery</t>
        </is>
      </c>
      <c r="E8475" s="58" t="inlineStr">
        <is>
          <t>West</t>
        </is>
      </c>
      <c r="F8475" s="61" t="n">
        <v>2</v>
      </c>
      <c r="G8475" s="62" t="n">
        <v>16.44</v>
      </c>
      <c r="H8475" s="63" t="n">
        <v>0.08699999999999999</v>
      </c>
      <c r="I8475" s="62" t="n">
        <v>11.54</v>
      </c>
      <c r="J8475" s="58" t="inlineStr">
        <is>
          <t>Online</t>
        </is>
      </c>
      <c r="K8475" s="62">
        <f>F8475*(G8475-H8475)</f>
        <v/>
      </c>
      <c r="L8475" s="62">
        <f>K8475-(F8475*I8475)</f>
        <v/>
      </c>
      <c r="M8475" s="64">
        <f>L8475/K8475</f>
        <v/>
      </c>
    </row>
    <row r="8476">
      <c r="A8476" s="58" t="inlineStr">
        <is>
          <t>RT20250730-08475</t>
        </is>
      </c>
      <c r="B8476" s="59" t="inlineStr">
        <is>
          <t>2025-07-30</t>
        </is>
      </c>
      <c r="C8476" s="60" t="inlineStr">
        <is>
          <t>Solace Fitnes S-324</t>
        </is>
      </c>
      <c r="D8476" s="58" t="inlineStr">
        <is>
          <t>Sports</t>
        </is>
      </c>
      <c r="E8476" s="58" t="inlineStr">
        <is>
          <t>East</t>
        </is>
      </c>
      <c r="F8476" s="61" t="n">
        <v>3</v>
      </c>
      <c r="G8476" s="62" t="n">
        <v>762.09</v>
      </c>
      <c r="H8476" s="63" t="n">
        <v>0.077</v>
      </c>
      <c r="I8476" s="62" t="n">
        <v>531.04</v>
      </c>
      <c r="J8476" s="58" t="inlineStr">
        <is>
          <t>Store</t>
        </is>
      </c>
      <c r="K8476" s="62">
        <f>F8476*(G8476-H8476)</f>
        <v/>
      </c>
      <c r="L8476" s="62">
        <f>K8476-(F8476*I8476)</f>
        <v/>
      </c>
      <c r="M8476" s="64">
        <f>L8476/K8476</f>
        <v/>
      </c>
    </row>
    <row r="8477">
      <c r="A8477" s="58" t="inlineStr">
        <is>
          <t>RT20250730-08476</t>
        </is>
      </c>
      <c r="B8477" s="59" t="inlineStr">
        <is>
          <t>2025-07-30</t>
        </is>
      </c>
      <c r="C8477" s="60" t="inlineStr">
        <is>
          <t>Falcon Kitchen X-130</t>
        </is>
      </c>
      <c r="D8477" s="58" t="inlineStr">
        <is>
          <t>Home</t>
        </is>
      </c>
      <c r="E8477" s="58" t="inlineStr">
        <is>
          <t>East</t>
        </is>
      </c>
      <c r="F8477" s="61" t="n">
        <v>2</v>
      </c>
      <c r="G8477" s="62" t="n">
        <v>403.48</v>
      </c>
      <c r="H8477" s="63" t="n">
        <v>0.1</v>
      </c>
      <c r="I8477" s="62" t="n">
        <v>283.37</v>
      </c>
      <c r="J8477" s="58" t="inlineStr">
        <is>
          <t>Store</t>
        </is>
      </c>
      <c r="K8477" s="62">
        <f>F8477*(G8477-H8477)</f>
        <v/>
      </c>
      <c r="L8477" s="62">
        <f>K8477-(F8477*I8477)</f>
        <v/>
      </c>
      <c r="M8477" s="64">
        <f>L8477/K8477</f>
        <v/>
      </c>
    </row>
    <row r="8478">
      <c r="A8478" s="58" t="inlineStr">
        <is>
          <t>RT20250730-08477</t>
        </is>
      </c>
      <c r="B8478" s="59" t="inlineStr">
        <is>
          <t>2025-07-30</t>
        </is>
      </c>
      <c r="C8478" s="60" t="inlineStr">
        <is>
          <t>Orion Haircare Plus-887</t>
        </is>
      </c>
      <c r="D8478" s="58" t="inlineStr">
        <is>
          <t>Beauty</t>
        </is>
      </c>
      <c r="E8478" s="58" t="inlineStr">
        <is>
          <t>East</t>
        </is>
      </c>
      <c r="F8478" s="61" t="n">
        <v>5</v>
      </c>
      <c r="G8478" s="62" t="n">
        <v>51.64</v>
      </c>
      <c r="H8478" s="63" t="n">
        <v>0.029</v>
      </c>
      <c r="I8478" s="62" t="n">
        <v>30.23</v>
      </c>
      <c r="J8478" s="58" t="inlineStr">
        <is>
          <t>Online</t>
        </is>
      </c>
      <c r="K8478" s="62">
        <f>F8478*(G8478-H8478)</f>
        <v/>
      </c>
      <c r="L8478" s="62">
        <f>K8478-(F8478*I8478)</f>
        <v/>
      </c>
      <c r="M8478" s="64">
        <f>L8478/K8478</f>
        <v/>
      </c>
    </row>
    <row r="8479">
      <c r="A8479" s="58" t="inlineStr">
        <is>
          <t>RT20250731-08478</t>
        </is>
      </c>
      <c r="B8479" s="59" t="inlineStr">
        <is>
          <t>2025-07-31</t>
        </is>
      </c>
      <c r="C8479" s="60" t="inlineStr">
        <is>
          <t>Falcon Household Plus-796</t>
        </is>
      </c>
      <c r="D8479" s="58" t="inlineStr">
        <is>
          <t>Grocery</t>
        </is>
      </c>
      <c r="E8479" s="58" t="inlineStr">
        <is>
          <t>Central</t>
        </is>
      </c>
      <c r="F8479" s="61" t="n">
        <v>6</v>
      </c>
      <c r="G8479" s="62" t="n">
        <v>21.69</v>
      </c>
      <c r="H8479" s="63" t="n">
        <v>0.045</v>
      </c>
      <c r="I8479" s="62" t="n">
        <v>17.83</v>
      </c>
      <c r="J8479" s="58" t="inlineStr">
        <is>
          <t>Online</t>
        </is>
      </c>
      <c r="K8479" s="62">
        <f>F8479*(G8479-H8479)</f>
        <v/>
      </c>
      <c r="L8479" s="62">
        <f>K8479-(F8479*I8479)</f>
        <v/>
      </c>
      <c r="M8479" s="64">
        <f>L8479/K8479</f>
        <v/>
      </c>
    </row>
    <row r="8480">
      <c r="A8480" s="58" t="inlineStr">
        <is>
          <t>RT20250731-08479</t>
        </is>
      </c>
      <c r="B8480" s="59" t="inlineStr">
        <is>
          <t>2025-07-31</t>
        </is>
      </c>
      <c r="C8480" s="60" t="inlineStr">
        <is>
          <t>Falcon Storage X-734</t>
        </is>
      </c>
      <c r="D8480" s="58" t="inlineStr">
        <is>
          <t>Office</t>
        </is>
      </c>
      <c r="E8480" s="58" t="inlineStr">
        <is>
          <t>East</t>
        </is>
      </c>
      <c r="F8480" s="61" t="n">
        <v>3</v>
      </c>
      <c r="G8480" s="62" t="n">
        <v>398.44</v>
      </c>
      <c r="H8480" s="63" t="n">
        <v>0.042</v>
      </c>
      <c r="I8480" s="62" t="n">
        <v>280.33</v>
      </c>
      <c r="J8480" s="58" t="inlineStr">
        <is>
          <t>Online</t>
        </is>
      </c>
      <c r="K8480" s="62">
        <f>F8480*(G8480-H8480)</f>
        <v/>
      </c>
      <c r="L8480" s="62">
        <f>K8480-(F8480*I8480)</f>
        <v/>
      </c>
      <c r="M8480" s="64">
        <f>L8480/K8480</f>
        <v/>
      </c>
    </row>
    <row r="8481">
      <c r="A8481" s="58" t="inlineStr">
        <is>
          <t>RT20250731-08480</t>
        </is>
      </c>
      <c r="B8481" s="59" t="inlineStr">
        <is>
          <t>2025-07-31</t>
        </is>
      </c>
      <c r="C8481" s="60" t="inlineStr">
        <is>
          <t>Polar Bedding Lite-243</t>
        </is>
      </c>
      <c r="D8481" s="58" t="inlineStr">
        <is>
          <t>Home</t>
        </is>
      </c>
      <c r="E8481" s="58" t="inlineStr">
        <is>
          <t>North</t>
        </is>
      </c>
      <c r="F8481" s="61" t="n">
        <v>2</v>
      </c>
      <c r="G8481" s="62" t="n">
        <v>449.3</v>
      </c>
      <c r="H8481" s="63" t="n">
        <v>0.08799999999999999</v>
      </c>
      <c r="I8481" s="62" t="n">
        <v>310.99</v>
      </c>
      <c r="J8481" s="58" t="inlineStr">
        <is>
          <t>Online</t>
        </is>
      </c>
      <c r="K8481" s="62">
        <f>F8481*(G8481-H8481)</f>
        <v/>
      </c>
      <c r="L8481" s="62">
        <f>K8481-(F8481*I8481)</f>
        <v/>
      </c>
      <c r="M8481" s="64">
        <f>L8481/K8481</f>
        <v/>
      </c>
    </row>
    <row r="8482">
      <c r="A8482" s="58" t="inlineStr">
        <is>
          <t>RT20250731-08481</t>
        </is>
      </c>
      <c r="B8482" s="59" t="inlineStr">
        <is>
          <t>2025-07-31</t>
        </is>
      </c>
      <c r="C8482" s="60" t="inlineStr">
        <is>
          <t>Solace Laptop S-367</t>
        </is>
      </c>
      <c r="D8482" s="58" t="inlineStr">
        <is>
          <t>Electronics</t>
        </is>
      </c>
      <c r="E8482" s="58" t="inlineStr">
        <is>
          <t>Central</t>
        </is>
      </c>
      <c r="F8482" s="61" t="n">
        <v>2</v>
      </c>
      <c r="G8482" s="62" t="n">
        <v>1929.31</v>
      </c>
      <c r="H8482" s="63" t="n">
        <v>0.032</v>
      </c>
      <c r="I8482" s="62" t="n">
        <v>1551.7</v>
      </c>
      <c r="J8482" s="58" t="inlineStr">
        <is>
          <t>Online</t>
        </is>
      </c>
      <c r="K8482" s="62">
        <f>F8482*(G8482-H8482)</f>
        <v/>
      </c>
      <c r="L8482" s="62">
        <f>K8482-(F8482*I8482)</f>
        <v/>
      </c>
      <c r="M8482" s="64">
        <f>L8482/K8482</f>
        <v/>
      </c>
    </row>
    <row r="8483">
      <c r="A8483" s="58" t="inlineStr">
        <is>
          <t>RT20250731-08482</t>
        </is>
      </c>
      <c r="B8483" s="59" t="inlineStr">
        <is>
          <t>2025-07-31</t>
        </is>
      </c>
      <c r="C8483" s="60" t="inlineStr">
        <is>
          <t>Aurora Makeup Pro-489</t>
        </is>
      </c>
      <c r="D8483" s="58" t="inlineStr">
        <is>
          <t>Beauty</t>
        </is>
      </c>
      <c r="E8483" s="58" t="inlineStr">
        <is>
          <t>Central</t>
        </is>
      </c>
      <c r="F8483" s="61" t="n">
        <v>3</v>
      </c>
      <c r="G8483" s="62" t="n">
        <v>88.89</v>
      </c>
      <c r="H8483" s="63" t="n">
        <v>0.079</v>
      </c>
      <c r="I8483" s="62" t="n">
        <v>61.81</v>
      </c>
      <c r="J8483" s="58" t="inlineStr">
        <is>
          <t>Online</t>
        </is>
      </c>
      <c r="K8483" s="62">
        <f>F8483*(G8483-H8483)</f>
        <v/>
      </c>
      <c r="L8483" s="62">
        <f>K8483-(F8483*I8483)</f>
        <v/>
      </c>
      <c r="M8483" s="64">
        <f>L8483/K8483</f>
        <v/>
      </c>
    </row>
    <row r="8484">
      <c r="A8484" s="58" t="inlineStr">
        <is>
          <t>RT20250731-08483</t>
        </is>
      </c>
      <c r="B8484" s="59" t="inlineStr">
        <is>
          <t>2025-07-31</t>
        </is>
      </c>
      <c r="C8484" s="60" t="inlineStr">
        <is>
          <t>Solace Kitchen X-919</t>
        </is>
      </c>
      <c r="D8484" s="58" t="inlineStr">
        <is>
          <t>Home</t>
        </is>
      </c>
      <c r="E8484" s="58" t="inlineStr">
        <is>
          <t>North</t>
        </is>
      </c>
      <c r="F8484" s="61" t="n">
        <v>1</v>
      </c>
      <c r="G8484" s="62" t="n">
        <v>371.58</v>
      </c>
      <c r="H8484" s="63" t="n">
        <v>0.062</v>
      </c>
      <c r="I8484" s="62" t="n">
        <v>269.5</v>
      </c>
      <c r="J8484" s="58" t="inlineStr">
        <is>
          <t>Online</t>
        </is>
      </c>
      <c r="K8484" s="62">
        <f>F8484*(G8484-H8484)</f>
        <v/>
      </c>
      <c r="L8484" s="62">
        <f>K8484-(F8484*I8484)</f>
        <v/>
      </c>
      <c r="M8484" s="64">
        <f>L8484/K8484</f>
        <v/>
      </c>
    </row>
    <row r="8485">
      <c r="A8485" s="58" t="inlineStr">
        <is>
          <t>RT20250731-08484</t>
        </is>
      </c>
      <c r="B8485" s="59" t="inlineStr">
        <is>
          <t>2025-07-31</t>
        </is>
      </c>
      <c r="C8485" s="60" t="inlineStr">
        <is>
          <t>Solace Bedding Plus-317</t>
        </is>
      </c>
      <c r="D8485" s="58" t="inlineStr">
        <is>
          <t>Home</t>
        </is>
      </c>
      <c r="E8485" s="58" t="inlineStr">
        <is>
          <t>West</t>
        </is>
      </c>
      <c r="F8485" s="61" t="n">
        <v>2</v>
      </c>
      <c r="G8485" s="62" t="n">
        <v>633.45</v>
      </c>
      <c r="H8485" s="63" t="n">
        <v>0.004</v>
      </c>
      <c r="I8485" s="62" t="n">
        <v>395.32</v>
      </c>
      <c r="J8485" s="58" t="inlineStr">
        <is>
          <t>Online</t>
        </is>
      </c>
      <c r="K8485" s="62">
        <f>F8485*(G8485-H8485)</f>
        <v/>
      </c>
      <c r="L8485" s="62">
        <f>K8485-(F8485*I8485)</f>
        <v/>
      </c>
      <c r="M8485" s="64">
        <f>L8485/K8485</f>
        <v/>
      </c>
    </row>
    <row r="8486">
      <c r="A8486" s="58" t="inlineStr">
        <is>
          <t>RT20250731-08485</t>
        </is>
      </c>
      <c r="B8486" s="59" t="inlineStr">
        <is>
          <t>2025-07-31</t>
        </is>
      </c>
      <c r="C8486" s="60" t="inlineStr">
        <is>
          <t>Falcon Bedding S-674</t>
        </is>
      </c>
      <c r="D8486" s="58" t="inlineStr">
        <is>
          <t>Home</t>
        </is>
      </c>
      <c r="E8486" s="58" t="inlineStr">
        <is>
          <t>North</t>
        </is>
      </c>
      <c r="F8486" s="61" t="n">
        <v>2</v>
      </c>
      <c r="G8486" s="62" t="n">
        <v>684.23</v>
      </c>
      <c r="H8486" s="63" t="n">
        <v>0.05</v>
      </c>
      <c r="I8486" s="62" t="n">
        <v>449.12</v>
      </c>
      <c r="J8486" s="58" t="inlineStr">
        <is>
          <t>Store</t>
        </is>
      </c>
      <c r="K8486" s="62">
        <f>F8486*(G8486-H8486)</f>
        <v/>
      </c>
      <c r="L8486" s="62">
        <f>K8486-(F8486*I8486)</f>
        <v/>
      </c>
      <c r="M8486" s="64">
        <f>L8486/K8486</f>
        <v/>
      </c>
    </row>
    <row r="8487">
      <c r="A8487" s="58" t="inlineStr">
        <is>
          <t>RT20250731-08486</t>
        </is>
      </c>
      <c r="B8487" s="59" t="inlineStr">
        <is>
          <t>2025-07-31</t>
        </is>
      </c>
      <c r="C8487" s="60" t="inlineStr">
        <is>
          <t>Metro Pantry X-710</t>
        </is>
      </c>
      <c r="D8487" s="58" t="inlineStr">
        <is>
          <t>Grocery</t>
        </is>
      </c>
      <c r="E8487" s="58" t="inlineStr">
        <is>
          <t>East</t>
        </is>
      </c>
      <c r="F8487" s="61" t="n">
        <v>7</v>
      </c>
      <c r="G8487" s="62" t="n">
        <v>6.65</v>
      </c>
      <c r="H8487" s="63" t="n">
        <v>0.08400000000000001</v>
      </c>
      <c r="I8487" s="62" t="n">
        <v>4.25</v>
      </c>
      <c r="J8487" s="58" t="inlineStr">
        <is>
          <t>Store</t>
        </is>
      </c>
      <c r="K8487" s="62">
        <f>F8487*(G8487-H8487)</f>
        <v/>
      </c>
      <c r="L8487" s="62">
        <f>K8487-(F8487*I8487)</f>
        <v/>
      </c>
      <c r="M8487" s="64">
        <f>L8487/K8487</f>
        <v/>
      </c>
    </row>
    <row r="8488">
      <c r="A8488" s="58" t="inlineStr">
        <is>
          <t>RT20250731-08487</t>
        </is>
      </c>
      <c r="B8488" s="59" t="inlineStr">
        <is>
          <t>2025-07-31</t>
        </is>
      </c>
      <c r="C8488" s="60" t="inlineStr">
        <is>
          <t>Aurora Skincare Max-798</t>
        </is>
      </c>
      <c r="D8488" s="58" t="inlineStr">
        <is>
          <t>Beauty</t>
        </is>
      </c>
      <c r="E8488" s="58" t="inlineStr">
        <is>
          <t>West</t>
        </is>
      </c>
      <c r="F8488" s="61" t="n">
        <v>5</v>
      </c>
      <c r="G8488" s="62" t="n">
        <v>115.13</v>
      </c>
      <c r="H8488" s="63" t="n">
        <v>0.104</v>
      </c>
      <c r="I8488" s="62" t="n">
        <v>66.36</v>
      </c>
      <c r="J8488" s="58" t="inlineStr">
        <is>
          <t>Online</t>
        </is>
      </c>
      <c r="K8488" s="62">
        <f>F8488*(G8488-H8488)</f>
        <v/>
      </c>
      <c r="L8488" s="62">
        <f>K8488-(F8488*I8488)</f>
        <v/>
      </c>
      <c r="M8488" s="64">
        <f>L8488/K8488</f>
        <v/>
      </c>
    </row>
    <row r="8489">
      <c r="A8489" s="58" t="inlineStr">
        <is>
          <t>RT20250731-08488</t>
        </is>
      </c>
      <c r="B8489" s="59" t="inlineStr">
        <is>
          <t>2025-07-31</t>
        </is>
      </c>
      <c r="C8489" s="60" t="inlineStr">
        <is>
          <t>Nimbus Headphone X-854</t>
        </is>
      </c>
      <c r="D8489" s="58" t="inlineStr">
        <is>
          <t>Electronics</t>
        </is>
      </c>
      <c r="E8489" s="58" t="inlineStr">
        <is>
          <t>Central</t>
        </is>
      </c>
      <c r="F8489" s="61" t="n">
        <v>2</v>
      </c>
      <c r="G8489" s="62" t="n">
        <v>1497.52</v>
      </c>
      <c r="H8489" s="63" t="n">
        <v>0.068</v>
      </c>
      <c r="I8489" s="62" t="n">
        <v>1281.84</v>
      </c>
      <c r="J8489" s="58" t="inlineStr">
        <is>
          <t>Online</t>
        </is>
      </c>
      <c r="K8489" s="62">
        <f>F8489*(G8489-H8489)</f>
        <v/>
      </c>
      <c r="L8489" s="62">
        <f>K8489-(F8489*I8489)</f>
        <v/>
      </c>
      <c r="M8489" s="64">
        <f>L8489/K8489</f>
        <v/>
      </c>
    </row>
    <row r="8490">
      <c r="A8490" s="58" t="inlineStr">
        <is>
          <t>RT20250731-08489</t>
        </is>
      </c>
      <c r="B8490" s="59" t="inlineStr">
        <is>
          <t>2025-07-31</t>
        </is>
      </c>
      <c r="C8490" s="60" t="inlineStr">
        <is>
          <t>Solace Smartphone Lite-533</t>
        </is>
      </c>
      <c r="D8490" s="58" t="inlineStr">
        <is>
          <t>Electronics</t>
        </is>
      </c>
      <c r="E8490" s="58" t="inlineStr">
        <is>
          <t>East</t>
        </is>
      </c>
      <c r="F8490" s="61" t="n">
        <v>2</v>
      </c>
      <c r="G8490" s="62" t="n">
        <v>1050.72</v>
      </c>
      <c r="H8490" s="63" t="n">
        <v>0.051</v>
      </c>
      <c r="I8490" s="62" t="n">
        <v>924.12</v>
      </c>
      <c r="J8490" s="58" t="inlineStr">
        <is>
          <t>Store</t>
        </is>
      </c>
      <c r="K8490" s="62">
        <f>F8490*(G8490-H8490)</f>
        <v/>
      </c>
      <c r="L8490" s="62">
        <f>K8490-(F8490*I8490)</f>
        <v/>
      </c>
      <c r="M8490" s="64">
        <f>L8490/K8490</f>
        <v/>
      </c>
    </row>
    <row r="8491">
      <c r="A8491" s="58" t="inlineStr">
        <is>
          <t>RT20250731-08490</t>
        </is>
      </c>
      <c r="B8491" s="59" t="inlineStr">
        <is>
          <t>2025-07-31</t>
        </is>
      </c>
      <c r="C8491" s="60" t="inlineStr">
        <is>
          <t>Nimbus Storage Plus-646</t>
        </is>
      </c>
      <c r="D8491" s="58" t="inlineStr">
        <is>
          <t>Office</t>
        </is>
      </c>
      <c r="E8491" s="58" t="inlineStr">
        <is>
          <t>South</t>
        </is>
      </c>
      <c r="F8491" s="61" t="n">
        <v>2</v>
      </c>
      <c r="G8491" s="62" t="n">
        <v>450.64</v>
      </c>
      <c r="H8491" s="63" t="n">
        <v>0.095</v>
      </c>
      <c r="I8491" s="62" t="n">
        <v>311.29</v>
      </c>
      <c r="J8491" s="58" t="inlineStr">
        <is>
          <t>Online</t>
        </is>
      </c>
      <c r="K8491" s="62">
        <f>F8491*(G8491-H8491)</f>
        <v/>
      </c>
      <c r="L8491" s="62">
        <f>K8491-(F8491*I8491)</f>
        <v/>
      </c>
      <c r="M8491" s="64">
        <f>L8491/K8491</f>
        <v/>
      </c>
    </row>
    <row r="8492">
      <c r="A8492" s="58" t="inlineStr">
        <is>
          <t>RT20250731-08491</t>
        </is>
      </c>
      <c r="B8492" s="59" t="inlineStr">
        <is>
          <t>2025-07-31</t>
        </is>
      </c>
      <c r="C8492" s="60" t="inlineStr">
        <is>
          <t>Metro Wearable Plus-234</t>
        </is>
      </c>
      <c r="D8492" s="58" t="inlineStr">
        <is>
          <t>Electronics</t>
        </is>
      </c>
      <c r="E8492" s="58" t="inlineStr">
        <is>
          <t>Central</t>
        </is>
      </c>
      <c r="F8492" s="61" t="n">
        <v>1</v>
      </c>
      <c r="G8492" s="62" t="n">
        <v>1521.93</v>
      </c>
      <c r="H8492" s="63" t="n">
        <v>0.079</v>
      </c>
      <c r="I8492" s="62" t="n">
        <v>1174.37</v>
      </c>
      <c r="J8492" s="58" t="inlineStr">
        <is>
          <t>Store</t>
        </is>
      </c>
      <c r="K8492" s="62">
        <f>F8492*(G8492-H8492)</f>
        <v/>
      </c>
      <c r="L8492" s="62">
        <f>K8492-(F8492*I8492)</f>
        <v/>
      </c>
      <c r="M8492" s="64">
        <f>L8492/K8492</f>
        <v/>
      </c>
    </row>
    <row r="8493">
      <c r="A8493" s="58" t="inlineStr">
        <is>
          <t>RT20250731-08492</t>
        </is>
      </c>
      <c r="B8493" s="59" t="inlineStr">
        <is>
          <t>2025-07-31</t>
        </is>
      </c>
      <c r="C8493" s="60" t="inlineStr">
        <is>
          <t>Solace Kitchen Pro-999</t>
        </is>
      </c>
      <c r="D8493" s="58" t="inlineStr">
        <is>
          <t>Home</t>
        </is>
      </c>
      <c r="E8493" s="58" t="inlineStr">
        <is>
          <t>West</t>
        </is>
      </c>
      <c r="F8493" s="61" t="n">
        <v>3</v>
      </c>
      <c r="G8493" s="62" t="n">
        <v>377.62</v>
      </c>
      <c r="H8493" s="63" t="n">
        <v>0.103</v>
      </c>
      <c r="I8493" s="62" t="n">
        <v>266.44</v>
      </c>
      <c r="J8493" s="58" t="inlineStr">
        <is>
          <t>Online</t>
        </is>
      </c>
      <c r="K8493" s="62">
        <f>F8493*(G8493-H8493)</f>
        <v/>
      </c>
      <c r="L8493" s="62">
        <f>K8493-(F8493*I8493)</f>
        <v/>
      </c>
      <c r="M8493" s="64">
        <f>L8493/K8493</f>
        <v/>
      </c>
    </row>
    <row r="8494">
      <c r="A8494" s="58" t="inlineStr">
        <is>
          <t>RT20250731-08493</t>
        </is>
      </c>
      <c r="B8494" s="59" t="inlineStr">
        <is>
          <t>2025-07-31</t>
        </is>
      </c>
      <c r="C8494" s="60" t="inlineStr">
        <is>
          <t>Metro Pantry Max-180</t>
        </is>
      </c>
      <c r="D8494" s="58" t="inlineStr">
        <is>
          <t>Grocery</t>
        </is>
      </c>
      <c r="E8494" s="58" t="inlineStr">
        <is>
          <t>West</t>
        </is>
      </c>
      <c r="F8494" s="61" t="n">
        <v>8</v>
      </c>
      <c r="G8494" s="62" t="n">
        <v>8.94</v>
      </c>
      <c r="H8494" s="63" t="n">
        <v>0.004</v>
      </c>
      <c r="I8494" s="62" t="n">
        <v>6.79</v>
      </c>
      <c r="J8494" s="58" t="inlineStr">
        <is>
          <t>Online</t>
        </is>
      </c>
      <c r="K8494" s="62">
        <f>F8494*(G8494-H8494)</f>
        <v/>
      </c>
      <c r="L8494" s="62">
        <f>K8494-(F8494*I8494)</f>
        <v/>
      </c>
      <c r="M8494" s="64">
        <f>L8494/K8494</f>
        <v/>
      </c>
    </row>
    <row r="8495">
      <c r="A8495" s="58" t="inlineStr">
        <is>
          <t>RT20250731-08494</t>
        </is>
      </c>
      <c r="B8495" s="59" t="inlineStr">
        <is>
          <t>2025-07-31</t>
        </is>
      </c>
      <c r="C8495" s="60" t="inlineStr">
        <is>
          <t>Polar Outdoor Lite-318</t>
        </is>
      </c>
      <c r="D8495" s="58" t="inlineStr">
        <is>
          <t>Sports</t>
        </is>
      </c>
      <c r="E8495" s="58" t="inlineStr">
        <is>
          <t>South</t>
        </is>
      </c>
      <c r="F8495" s="61" t="n">
        <v>2</v>
      </c>
      <c r="G8495" s="62" t="n">
        <v>712.86</v>
      </c>
      <c r="H8495" s="63" t="n">
        <v>0.066</v>
      </c>
      <c r="I8495" s="62" t="n">
        <v>455.35</v>
      </c>
      <c r="J8495" s="58" t="inlineStr">
        <is>
          <t>Online</t>
        </is>
      </c>
      <c r="K8495" s="62">
        <f>F8495*(G8495-H8495)</f>
        <v/>
      </c>
      <c r="L8495" s="62">
        <f>K8495-(F8495*I8495)</f>
        <v/>
      </c>
      <c r="M8495" s="64">
        <f>L8495/K8495</f>
        <v/>
      </c>
    </row>
    <row r="8496">
      <c r="A8496" s="58" t="inlineStr">
        <is>
          <t>RT20250731-08495</t>
        </is>
      </c>
      <c r="B8496" s="59" t="inlineStr">
        <is>
          <t>2025-07-31</t>
        </is>
      </c>
      <c r="C8496" s="60" t="inlineStr">
        <is>
          <t>Aurora Appliance Max-316</t>
        </is>
      </c>
      <c r="D8496" s="58" t="inlineStr">
        <is>
          <t>Home</t>
        </is>
      </c>
      <c r="E8496" s="58" t="inlineStr">
        <is>
          <t>North</t>
        </is>
      </c>
      <c r="F8496" s="61" t="n">
        <v>3</v>
      </c>
      <c r="G8496" s="62" t="n">
        <v>310.62</v>
      </c>
      <c r="H8496" s="63" t="n">
        <v>0.08699999999999999</v>
      </c>
      <c r="I8496" s="62" t="n">
        <v>219.03</v>
      </c>
      <c r="J8496" s="58" t="inlineStr">
        <is>
          <t>Online</t>
        </is>
      </c>
      <c r="K8496" s="62">
        <f>F8496*(G8496-H8496)</f>
        <v/>
      </c>
      <c r="L8496" s="62">
        <f>K8496-(F8496*I8496)</f>
        <v/>
      </c>
      <c r="M8496" s="64">
        <f>L8496/K8496</f>
        <v/>
      </c>
    </row>
    <row r="8497">
      <c r="A8497" s="58" t="inlineStr">
        <is>
          <t>RT20250731-08496</t>
        </is>
      </c>
      <c r="B8497" s="59" t="inlineStr">
        <is>
          <t>2025-07-31</t>
        </is>
      </c>
      <c r="C8497" s="60" t="inlineStr">
        <is>
          <t>Vertex Printer Max-692</t>
        </is>
      </c>
      <c r="D8497" s="58" t="inlineStr">
        <is>
          <t>Office</t>
        </is>
      </c>
      <c r="E8497" s="58" t="inlineStr">
        <is>
          <t>South</t>
        </is>
      </c>
      <c r="F8497" s="61" t="n">
        <v>2</v>
      </c>
      <c r="G8497" s="62" t="n">
        <v>165.23</v>
      </c>
      <c r="H8497" s="63" t="n">
        <v>0.036</v>
      </c>
      <c r="I8497" s="62" t="n">
        <v>124</v>
      </c>
      <c r="J8497" s="58" t="inlineStr">
        <is>
          <t>Online</t>
        </is>
      </c>
      <c r="K8497" s="62">
        <f>F8497*(G8497-H8497)</f>
        <v/>
      </c>
      <c r="L8497" s="62">
        <f>K8497-(F8497*I8497)</f>
        <v/>
      </c>
      <c r="M8497" s="64">
        <f>L8497/K8497</f>
        <v/>
      </c>
    </row>
    <row r="8498">
      <c r="A8498" s="58" t="inlineStr">
        <is>
          <t>RT20250731-08497</t>
        </is>
      </c>
      <c r="B8498" s="59" t="inlineStr">
        <is>
          <t>2025-07-31</t>
        </is>
      </c>
      <c r="C8498" s="60" t="inlineStr">
        <is>
          <t>Orion Laptop S-350</t>
        </is>
      </c>
      <c r="D8498" s="58" t="inlineStr">
        <is>
          <t>Electronics</t>
        </is>
      </c>
      <c r="E8498" s="58" t="inlineStr">
        <is>
          <t>West</t>
        </is>
      </c>
      <c r="F8498" s="61" t="n">
        <v>2</v>
      </c>
      <c r="G8498" s="62" t="n">
        <v>1344.93</v>
      </c>
      <c r="H8498" s="63" t="n">
        <v>0.035</v>
      </c>
      <c r="I8498" s="62" t="n">
        <v>1082.38</v>
      </c>
      <c r="J8498" s="58" t="inlineStr">
        <is>
          <t>Online</t>
        </is>
      </c>
      <c r="K8498" s="62">
        <f>F8498*(G8498-H8498)</f>
        <v/>
      </c>
      <c r="L8498" s="62">
        <f>K8498-(F8498*I8498)</f>
        <v/>
      </c>
      <c r="M8498" s="64">
        <f>L8498/K8498</f>
        <v/>
      </c>
    </row>
    <row r="8499">
      <c r="A8499" s="58" t="inlineStr">
        <is>
          <t>RT20250731-08498</t>
        </is>
      </c>
      <c r="B8499" s="59" t="inlineStr">
        <is>
          <t>2025-07-31</t>
        </is>
      </c>
      <c r="C8499" s="60" t="inlineStr">
        <is>
          <t>Nimbus Headphone X-854</t>
        </is>
      </c>
      <c r="D8499" s="58" t="inlineStr">
        <is>
          <t>Electronics</t>
        </is>
      </c>
      <c r="E8499" s="58" t="inlineStr">
        <is>
          <t>North</t>
        </is>
      </c>
      <c r="F8499" s="61" t="n">
        <v>2</v>
      </c>
      <c r="G8499" s="62" t="n">
        <v>1752.43</v>
      </c>
      <c r="H8499" s="63" t="n">
        <v>0.004</v>
      </c>
      <c r="I8499" s="62" t="n">
        <v>1224.15</v>
      </c>
      <c r="J8499" s="58" t="inlineStr">
        <is>
          <t>Store</t>
        </is>
      </c>
      <c r="K8499" s="62">
        <f>F8499*(G8499-H8499)</f>
        <v/>
      </c>
      <c r="L8499" s="62">
        <f>K8499-(F8499*I8499)</f>
        <v/>
      </c>
      <c r="M8499" s="64">
        <f>L8499/K8499</f>
        <v/>
      </c>
    </row>
    <row r="8500">
      <c r="A8500" s="58" t="inlineStr">
        <is>
          <t>RT20250731-08499</t>
        </is>
      </c>
      <c r="B8500" s="59" t="inlineStr">
        <is>
          <t>2025-07-31</t>
        </is>
      </c>
      <c r="C8500" s="60" t="inlineStr">
        <is>
          <t>Vertex Smartphone Pro-256</t>
        </is>
      </c>
      <c r="D8500" s="58" t="inlineStr">
        <is>
          <t>Electronics</t>
        </is>
      </c>
      <c r="E8500" s="58" t="inlineStr">
        <is>
          <t>North</t>
        </is>
      </c>
      <c r="F8500" s="61" t="n">
        <v>2</v>
      </c>
      <c r="G8500" s="62" t="n">
        <v>1126.41</v>
      </c>
      <c r="H8500" s="63" t="n">
        <v>0.082</v>
      </c>
      <c r="I8500" s="62" t="n">
        <v>923.04</v>
      </c>
      <c r="J8500" s="58" t="inlineStr">
        <is>
          <t>Online</t>
        </is>
      </c>
      <c r="K8500" s="62">
        <f>F8500*(G8500-H8500)</f>
        <v/>
      </c>
      <c r="L8500" s="62">
        <f>K8500-(F8500*I8500)</f>
        <v/>
      </c>
      <c r="M8500" s="64">
        <f>L8500/K8500</f>
        <v/>
      </c>
    </row>
    <row r="8501">
      <c r="A8501" s="58" t="inlineStr">
        <is>
          <t>RT20250731-08500</t>
        </is>
      </c>
      <c r="B8501" s="59" t="inlineStr">
        <is>
          <t>2025-07-31</t>
        </is>
      </c>
      <c r="C8501" s="60" t="inlineStr">
        <is>
          <t>Nimbus Storage Plus-646</t>
        </is>
      </c>
      <c r="D8501" s="58" t="inlineStr">
        <is>
          <t>Office</t>
        </is>
      </c>
      <c r="E8501" s="58" t="inlineStr">
        <is>
          <t>South</t>
        </is>
      </c>
      <c r="F8501" s="61" t="n">
        <v>2</v>
      </c>
      <c r="G8501" s="62" t="n">
        <v>420.91</v>
      </c>
      <c r="H8501" s="63" t="n">
        <v>0.066</v>
      </c>
      <c r="I8501" s="62" t="n">
        <v>316.73</v>
      </c>
      <c r="J8501" s="58" t="inlineStr">
        <is>
          <t>Online</t>
        </is>
      </c>
      <c r="K8501" s="62">
        <f>F8501*(G8501-H8501)</f>
        <v/>
      </c>
      <c r="L8501" s="62">
        <f>K8501-(F8501*I8501)</f>
        <v/>
      </c>
      <c r="M8501" s="64">
        <f>L8501/K8501</f>
        <v/>
      </c>
    </row>
    <row r="8502">
      <c r="A8502" s="58" t="inlineStr">
        <is>
          <t>RT20250731-08501</t>
        </is>
      </c>
      <c r="B8502" s="59" t="inlineStr">
        <is>
          <t>2025-07-31</t>
        </is>
      </c>
      <c r="C8502" s="60" t="inlineStr">
        <is>
          <t>Solace Headphone Pro-344</t>
        </is>
      </c>
      <c r="D8502" s="58" t="inlineStr">
        <is>
          <t>Electronics</t>
        </is>
      </c>
      <c r="E8502" s="58" t="inlineStr">
        <is>
          <t>West</t>
        </is>
      </c>
      <c r="F8502" s="61" t="n">
        <v>2</v>
      </c>
      <c r="G8502" s="62" t="n">
        <v>1389.15</v>
      </c>
      <c r="H8502" s="63" t="n">
        <v>0.041</v>
      </c>
      <c r="I8502" s="62" t="n">
        <v>1077.15</v>
      </c>
      <c r="J8502" s="58" t="inlineStr">
        <is>
          <t>Online</t>
        </is>
      </c>
      <c r="K8502" s="62">
        <f>F8502*(G8502-H8502)</f>
        <v/>
      </c>
      <c r="L8502" s="62">
        <f>K8502-(F8502*I8502)</f>
        <v/>
      </c>
      <c r="M8502" s="64">
        <f>L8502/K8502</f>
        <v/>
      </c>
    </row>
    <row r="8503">
      <c r="A8503" s="58" t="inlineStr">
        <is>
          <t>RT20250731-08502</t>
        </is>
      </c>
      <c r="B8503" s="59" t="inlineStr">
        <is>
          <t>2025-07-31</t>
        </is>
      </c>
      <c r="C8503" s="60" t="inlineStr">
        <is>
          <t>Metro Fragrance Lite-261</t>
        </is>
      </c>
      <c r="D8503" s="58" t="inlineStr">
        <is>
          <t>Beauty</t>
        </is>
      </c>
      <c r="E8503" s="58" t="inlineStr">
        <is>
          <t>Central</t>
        </is>
      </c>
      <c r="F8503" s="61" t="n">
        <v>2</v>
      </c>
      <c r="G8503" s="62" t="n">
        <v>100.57</v>
      </c>
      <c r="H8503" s="63" t="n">
        <v>0.1</v>
      </c>
      <c r="I8503" s="62" t="n">
        <v>57.13</v>
      </c>
      <c r="J8503" s="58" t="inlineStr">
        <is>
          <t>Store</t>
        </is>
      </c>
      <c r="K8503" s="62">
        <f>F8503*(G8503-H8503)</f>
        <v/>
      </c>
      <c r="L8503" s="62">
        <f>K8503-(F8503*I8503)</f>
        <v/>
      </c>
      <c r="M8503" s="64">
        <f>L8503/K8503</f>
        <v/>
      </c>
    </row>
    <row r="8504">
      <c r="A8504" s="58" t="inlineStr">
        <is>
          <t>RT20250731-08503</t>
        </is>
      </c>
      <c r="B8504" s="59" t="inlineStr">
        <is>
          <t>2025-07-31</t>
        </is>
      </c>
      <c r="C8504" s="60" t="inlineStr">
        <is>
          <t>Aurora Appliance Lite-109</t>
        </is>
      </c>
      <c r="D8504" s="58" t="inlineStr">
        <is>
          <t>Home</t>
        </is>
      </c>
      <c r="E8504" s="58" t="inlineStr">
        <is>
          <t>West</t>
        </is>
      </c>
      <c r="F8504" s="61" t="n">
        <v>3</v>
      </c>
      <c r="G8504" s="62" t="n">
        <v>336.45</v>
      </c>
      <c r="H8504" s="63" t="n">
        <v>0.1</v>
      </c>
      <c r="I8504" s="62" t="n">
        <v>200.95</v>
      </c>
      <c r="J8504" s="58" t="inlineStr">
        <is>
          <t>Online</t>
        </is>
      </c>
      <c r="K8504" s="62">
        <f>F8504*(G8504-H8504)</f>
        <v/>
      </c>
      <c r="L8504" s="62">
        <f>K8504-(F8504*I8504)</f>
        <v/>
      </c>
      <c r="M8504" s="64">
        <f>L8504/K8504</f>
        <v/>
      </c>
    </row>
    <row r="8505">
      <c r="A8505" s="58" t="inlineStr">
        <is>
          <t>RT20250731-08504</t>
        </is>
      </c>
      <c r="B8505" s="59" t="inlineStr">
        <is>
          <t>2025-07-31</t>
        </is>
      </c>
      <c r="C8505" s="60" t="inlineStr">
        <is>
          <t>Nimbus Storage Plus-646</t>
        </is>
      </c>
      <c r="D8505" s="58" t="inlineStr">
        <is>
          <t>Office</t>
        </is>
      </c>
      <c r="E8505" s="58" t="inlineStr">
        <is>
          <t>East</t>
        </is>
      </c>
      <c r="F8505" s="61" t="n">
        <v>1</v>
      </c>
      <c r="G8505" s="62" t="n">
        <v>486.56</v>
      </c>
      <c r="H8505" s="63" t="n">
        <v>0.038</v>
      </c>
      <c r="I8505" s="62" t="n">
        <v>325.62</v>
      </c>
      <c r="J8505" s="58" t="inlineStr">
        <is>
          <t>Phone</t>
        </is>
      </c>
      <c r="K8505" s="62">
        <f>F8505*(G8505-H8505)</f>
        <v/>
      </c>
      <c r="L8505" s="62">
        <f>K8505-(F8505*I8505)</f>
        <v/>
      </c>
      <c r="M8505" s="64">
        <f>L8505/K8505</f>
        <v/>
      </c>
    </row>
    <row r="8506">
      <c r="A8506" s="58" t="inlineStr">
        <is>
          <t>RT20250731-08505</t>
        </is>
      </c>
      <c r="B8506" s="59" t="inlineStr">
        <is>
          <t>2025-07-31</t>
        </is>
      </c>
      <c r="C8506" s="60" t="inlineStr">
        <is>
          <t>Orion Snack X-322</t>
        </is>
      </c>
      <c r="D8506" s="58" t="inlineStr">
        <is>
          <t>Grocery</t>
        </is>
      </c>
      <c r="E8506" s="58" t="inlineStr">
        <is>
          <t>South</t>
        </is>
      </c>
      <c r="F8506" s="61" t="n">
        <v>3</v>
      </c>
      <c r="G8506" s="62" t="n">
        <v>14.15</v>
      </c>
      <c r="H8506" s="63" t="n">
        <v>0</v>
      </c>
      <c r="I8506" s="62" t="n">
        <v>10.05</v>
      </c>
      <c r="J8506" s="58" t="inlineStr">
        <is>
          <t>Store</t>
        </is>
      </c>
      <c r="K8506" s="62">
        <f>F8506*(G8506-H8506)</f>
        <v/>
      </c>
      <c r="L8506" s="62">
        <f>K8506-(F8506*I8506)</f>
        <v/>
      </c>
      <c r="M8506" s="64">
        <f>L8506/K8506</f>
        <v/>
      </c>
    </row>
    <row r="8507">
      <c r="A8507" s="58" t="inlineStr">
        <is>
          <t>RT20250731-08506</t>
        </is>
      </c>
      <c r="B8507" s="59" t="inlineStr">
        <is>
          <t>2025-07-31</t>
        </is>
      </c>
      <c r="C8507" s="60" t="inlineStr">
        <is>
          <t>Orion Kitchen Pro-568</t>
        </is>
      </c>
      <c r="D8507" s="58" t="inlineStr">
        <is>
          <t>Home</t>
        </is>
      </c>
      <c r="E8507" s="58" t="inlineStr">
        <is>
          <t>Central</t>
        </is>
      </c>
      <c r="F8507" s="61" t="n">
        <v>3</v>
      </c>
      <c r="G8507" s="62" t="n">
        <v>511.5</v>
      </c>
      <c r="H8507" s="63" t="n">
        <v>0.08500000000000001</v>
      </c>
      <c r="I8507" s="62" t="n">
        <v>313.49</v>
      </c>
      <c r="J8507" s="58" t="inlineStr">
        <is>
          <t>Store</t>
        </is>
      </c>
      <c r="K8507" s="62">
        <f>F8507*(G8507-H8507)</f>
        <v/>
      </c>
      <c r="L8507" s="62">
        <f>K8507-(F8507*I8507)</f>
        <v/>
      </c>
      <c r="M8507" s="64">
        <f>L8507/K8507</f>
        <v/>
      </c>
    </row>
    <row r="8508">
      <c r="A8508" s="58" t="inlineStr">
        <is>
          <t>RT20250731-08507</t>
        </is>
      </c>
      <c r="B8508" s="59" t="inlineStr">
        <is>
          <t>2025-07-31</t>
        </is>
      </c>
      <c r="C8508" s="60" t="inlineStr">
        <is>
          <t>Polar Wearable X-119</t>
        </is>
      </c>
      <c r="D8508" s="58" t="inlineStr">
        <is>
          <t>Electronics</t>
        </is>
      </c>
      <c r="E8508" s="58" t="inlineStr">
        <is>
          <t>West</t>
        </is>
      </c>
      <c r="F8508" s="61" t="n">
        <v>1</v>
      </c>
      <c r="G8508" s="62" t="n">
        <v>1746.74</v>
      </c>
      <c r="H8508" s="63" t="n">
        <v>0.003</v>
      </c>
      <c r="I8508" s="62" t="n">
        <v>1361.72</v>
      </c>
      <c r="J8508" s="58" t="inlineStr">
        <is>
          <t>Online</t>
        </is>
      </c>
      <c r="K8508" s="62">
        <f>F8508*(G8508-H8508)</f>
        <v/>
      </c>
      <c r="L8508" s="62">
        <f>K8508-(F8508*I8508)</f>
        <v/>
      </c>
      <c r="M8508" s="64">
        <f>L8508/K8508</f>
        <v/>
      </c>
    </row>
    <row r="8509">
      <c r="A8509" s="58" t="inlineStr">
        <is>
          <t>RT20250731-08508</t>
        </is>
      </c>
      <c r="B8509" s="59" t="inlineStr">
        <is>
          <t>2025-07-31</t>
        </is>
      </c>
      <c r="C8509" s="60" t="inlineStr">
        <is>
          <t>Metro Accessorie Max-316</t>
        </is>
      </c>
      <c r="D8509" s="58" t="inlineStr">
        <is>
          <t>Apparel</t>
        </is>
      </c>
      <c r="E8509" s="58" t="inlineStr">
        <is>
          <t>North</t>
        </is>
      </c>
      <c r="F8509" s="61" t="n">
        <v>3</v>
      </c>
      <c r="G8509" s="62" t="n">
        <v>167.78</v>
      </c>
      <c r="H8509" s="63" t="n">
        <v>0.033</v>
      </c>
      <c r="I8509" s="62" t="n">
        <v>90.7</v>
      </c>
      <c r="J8509" s="58" t="inlineStr">
        <is>
          <t>Online</t>
        </is>
      </c>
      <c r="K8509" s="62">
        <f>F8509*(G8509-H8509)</f>
        <v/>
      </c>
      <c r="L8509" s="62">
        <f>K8509-(F8509*I8509)</f>
        <v/>
      </c>
      <c r="M8509" s="64">
        <f>L8509/K8509</f>
        <v/>
      </c>
    </row>
    <row r="8510">
      <c r="A8510" s="58" t="inlineStr">
        <is>
          <t>RT20250731-08509</t>
        </is>
      </c>
      <c r="B8510" s="59" t="inlineStr">
        <is>
          <t>2025-07-31</t>
        </is>
      </c>
      <c r="C8510" s="60" t="inlineStr">
        <is>
          <t>Falcon Cycling Pro-499</t>
        </is>
      </c>
      <c r="D8510" s="58" t="inlineStr">
        <is>
          <t>Sports</t>
        </is>
      </c>
      <c r="E8510" s="58" t="inlineStr">
        <is>
          <t>South</t>
        </is>
      </c>
      <c r="F8510" s="61" t="n">
        <v>2</v>
      </c>
      <c r="G8510" s="62" t="n">
        <v>570.91</v>
      </c>
      <c r="H8510" s="63" t="n">
        <v>0.097</v>
      </c>
      <c r="I8510" s="62" t="n">
        <v>401.01</v>
      </c>
      <c r="J8510" s="58" t="inlineStr">
        <is>
          <t>Online</t>
        </is>
      </c>
      <c r="K8510" s="62">
        <f>F8510*(G8510-H8510)</f>
        <v/>
      </c>
      <c r="L8510" s="62">
        <f>K8510-(F8510*I8510)</f>
        <v/>
      </c>
      <c r="M8510" s="64">
        <f>L8510/K8510</f>
        <v/>
      </c>
    </row>
    <row r="8511">
      <c r="A8511" s="58" t="inlineStr">
        <is>
          <t>RT20250731-08510</t>
        </is>
      </c>
      <c r="B8511" s="59" t="inlineStr">
        <is>
          <t>2025-07-31</t>
        </is>
      </c>
      <c r="C8511" s="60" t="inlineStr">
        <is>
          <t>Metro Fragrance Lite-261</t>
        </is>
      </c>
      <c r="D8511" s="58" t="inlineStr">
        <is>
          <t>Beauty</t>
        </is>
      </c>
      <c r="E8511" s="58" t="inlineStr">
        <is>
          <t>East</t>
        </is>
      </c>
      <c r="F8511" s="61" t="n">
        <v>3</v>
      </c>
      <c r="G8511" s="62" t="n">
        <v>98.12</v>
      </c>
      <c r="H8511" s="63" t="n">
        <v>0.07000000000000001</v>
      </c>
      <c r="I8511" s="62" t="n">
        <v>53.89</v>
      </c>
      <c r="J8511" s="58" t="inlineStr">
        <is>
          <t>Online</t>
        </is>
      </c>
      <c r="K8511" s="62">
        <f>F8511*(G8511-H8511)</f>
        <v/>
      </c>
      <c r="L8511" s="62">
        <f>K8511-(F8511*I8511)</f>
        <v/>
      </c>
      <c r="M8511" s="64">
        <f>L8511/K8511</f>
        <v/>
      </c>
    </row>
    <row r="8512">
      <c r="A8512" s="58" t="inlineStr">
        <is>
          <t>RT20250731-08511</t>
        </is>
      </c>
      <c r="B8512" s="59" t="inlineStr">
        <is>
          <t>2025-07-31</t>
        </is>
      </c>
      <c r="C8512" s="60" t="inlineStr">
        <is>
          <t>Polar Snack Pro-641</t>
        </is>
      </c>
      <c r="D8512" s="58" t="inlineStr">
        <is>
          <t>Grocery</t>
        </is>
      </c>
      <c r="E8512" s="58" t="inlineStr">
        <is>
          <t>Central</t>
        </is>
      </c>
      <c r="F8512" s="61" t="n">
        <v>5</v>
      </c>
      <c r="G8512" s="62" t="n">
        <v>12.05</v>
      </c>
      <c r="H8512" s="63" t="n">
        <v>0.139</v>
      </c>
      <c r="I8512" s="62" t="n">
        <v>9.369999999999999</v>
      </c>
      <c r="J8512" s="58" t="inlineStr">
        <is>
          <t>Online</t>
        </is>
      </c>
      <c r="K8512" s="62">
        <f>F8512*(G8512-H8512)</f>
        <v/>
      </c>
      <c r="L8512" s="62">
        <f>K8512-(F8512*I8512)</f>
        <v/>
      </c>
      <c r="M8512" s="64">
        <f>L8512/K8512</f>
        <v/>
      </c>
    </row>
    <row r="8513">
      <c r="A8513" s="58" t="inlineStr">
        <is>
          <t>RT20250731-08512</t>
        </is>
      </c>
      <c r="B8513" s="59" t="inlineStr">
        <is>
          <t>2025-07-31</t>
        </is>
      </c>
      <c r="C8513" s="60" t="inlineStr">
        <is>
          <t>Polar Cycling S-223</t>
        </is>
      </c>
      <c r="D8513" s="58" t="inlineStr">
        <is>
          <t>Sports</t>
        </is>
      </c>
      <c r="E8513" s="58" t="inlineStr">
        <is>
          <t>East</t>
        </is>
      </c>
      <c r="F8513" s="61" t="n">
        <v>2</v>
      </c>
      <c r="G8513" s="62" t="n">
        <v>873.29</v>
      </c>
      <c r="H8513" s="63" t="n">
        <v>0.053</v>
      </c>
      <c r="I8513" s="62" t="n">
        <v>644.11</v>
      </c>
      <c r="J8513" s="58" t="inlineStr">
        <is>
          <t>Online</t>
        </is>
      </c>
      <c r="K8513" s="62">
        <f>F8513*(G8513-H8513)</f>
        <v/>
      </c>
      <c r="L8513" s="62">
        <f>K8513-(F8513*I8513)</f>
        <v/>
      </c>
      <c r="M8513" s="64">
        <f>L8513/K8513</f>
        <v/>
      </c>
    </row>
    <row r="8514">
      <c r="A8514" s="58" t="inlineStr">
        <is>
          <t>RT20250731-08513</t>
        </is>
      </c>
      <c r="B8514" s="59" t="inlineStr">
        <is>
          <t>2025-07-31</t>
        </is>
      </c>
      <c r="C8514" s="60" t="inlineStr">
        <is>
          <t>Orion Kid Max-864</t>
        </is>
      </c>
      <c r="D8514" s="58" t="inlineStr">
        <is>
          <t>Apparel</t>
        </is>
      </c>
      <c r="E8514" s="58" t="inlineStr">
        <is>
          <t>East</t>
        </is>
      </c>
      <c r="F8514" s="61" t="n">
        <v>3</v>
      </c>
      <c r="G8514" s="62" t="n">
        <v>79.77</v>
      </c>
      <c r="H8514" s="63" t="n">
        <v>0.045</v>
      </c>
      <c r="I8514" s="62" t="n">
        <v>44.91</v>
      </c>
      <c r="J8514" s="58" t="inlineStr">
        <is>
          <t>Online</t>
        </is>
      </c>
      <c r="K8514" s="62">
        <f>F8514*(G8514-H8514)</f>
        <v/>
      </c>
      <c r="L8514" s="62">
        <f>K8514-(F8514*I8514)</f>
        <v/>
      </c>
      <c r="M8514" s="64">
        <f>L8514/K8514</f>
        <v/>
      </c>
    </row>
    <row r="8515">
      <c r="A8515" s="58" t="inlineStr">
        <is>
          <t>RT20250731-08514</t>
        </is>
      </c>
      <c r="B8515" s="59" t="inlineStr">
        <is>
          <t>2025-07-31</t>
        </is>
      </c>
      <c r="C8515" s="60" t="inlineStr">
        <is>
          <t>Falcon Beverage Max-702</t>
        </is>
      </c>
      <c r="D8515" s="58" t="inlineStr">
        <is>
          <t>Grocery</t>
        </is>
      </c>
      <c r="E8515" s="58" t="inlineStr">
        <is>
          <t>South</t>
        </is>
      </c>
      <c r="F8515" s="61" t="n">
        <v>1</v>
      </c>
      <c r="G8515" s="62" t="n">
        <v>30.43</v>
      </c>
      <c r="H8515" s="63" t="n">
        <v>0.11</v>
      </c>
      <c r="I8515" s="62" t="n">
        <v>20.46</v>
      </c>
      <c r="J8515" s="58" t="inlineStr">
        <is>
          <t>Store</t>
        </is>
      </c>
      <c r="K8515" s="62">
        <f>F8515*(G8515-H8515)</f>
        <v/>
      </c>
      <c r="L8515" s="62">
        <f>K8515-(F8515*I8515)</f>
        <v/>
      </c>
      <c r="M8515" s="64">
        <f>L8515/K8515</f>
        <v/>
      </c>
    </row>
    <row r="8516">
      <c r="A8516" s="58" t="inlineStr">
        <is>
          <t>RT20250731-08515</t>
        </is>
      </c>
      <c r="B8516" s="59" t="inlineStr">
        <is>
          <t>2025-07-31</t>
        </is>
      </c>
      <c r="C8516" s="60" t="inlineStr">
        <is>
          <t>Metro Pantry Max-180</t>
        </is>
      </c>
      <c r="D8516" s="58" t="inlineStr">
        <is>
          <t>Grocery</t>
        </is>
      </c>
      <c r="E8516" s="58" t="inlineStr">
        <is>
          <t>Central</t>
        </is>
      </c>
      <c r="F8516" s="61" t="n">
        <v>7</v>
      </c>
      <c r="G8516" s="62" t="n">
        <v>8.619999999999999</v>
      </c>
      <c r="H8516" s="63" t="n">
        <v>0.111</v>
      </c>
      <c r="I8516" s="62" t="n">
        <v>6.58</v>
      </c>
      <c r="J8516" s="58" t="inlineStr">
        <is>
          <t>Online</t>
        </is>
      </c>
      <c r="K8516" s="62">
        <f>F8516*(G8516-H8516)</f>
        <v/>
      </c>
      <c r="L8516" s="62">
        <f>K8516-(F8516*I8516)</f>
        <v/>
      </c>
      <c r="M8516" s="64">
        <f>L8516/K8516</f>
        <v/>
      </c>
    </row>
    <row r="8517">
      <c r="A8517" s="58" t="inlineStr">
        <is>
          <t>RT20250731-08516</t>
        </is>
      </c>
      <c r="B8517" s="59" t="inlineStr">
        <is>
          <t>2025-07-31</t>
        </is>
      </c>
      <c r="C8517" s="60" t="inlineStr">
        <is>
          <t>Nimbus Furniture Pro-479</t>
        </is>
      </c>
      <c r="D8517" s="58" t="inlineStr">
        <is>
          <t>Office</t>
        </is>
      </c>
      <c r="E8517" s="58" t="inlineStr">
        <is>
          <t>East</t>
        </is>
      </c>
      <c r="F8517" s="61" t="n">
        <v>1</v>
      </c>
      <c r="G8517" s="62" t="n">
        <v>319.39</v>
      </c>
      <c r="H8517" s="63" t="n">
        <v>0.08699999999999999</v>
      </c>
      <c r="I8517" s="62" t="n">
        <v>239.5</v>
      </c>
      <c r="J8517" s="58" t="inlineStr">
        <is>
          <t>Online</t>
        </is>
      </c>
      <c r="K8517" s="62">
        <f>F8517*(G8517-H8517)</f>
        <v/>
      </c>
      <c r="L8517" s="62">
        <f>K8517-(F8517*I8517)</f>
        <v/>
      </c>
      <c r="M8517" s="64">
        <f>L8517/K8517</f>
        <v/>
      </c>
    </row>
    <row r="8518">
      <c r="A8518" s="58" t="inlineStr">
        <is>
          <t>RT20250731-08517</t>
        </is>
      </c>
      <c r="B8518" s="59" t="inlineStr">
        <is>
          <t>2025-07-31</t>
        </is>
      </c>
      <c r="C8518" s="60" t="inlineStr">
        <is>
          <t>Solace Bedding Plus-317</t>
        </is>
      </c>
      <c r="D8518" s="58" t="inlineStr">
        <is>
          <t>Home</t>
        </is>
      </c>
      <c r="E8518" s="58" t="inlineStr">
        <is>
          <t>Central</t>
        </is>
      </c>
      <c r="F8518" s="61" t="n">
        <v>2</v>
      </c>
      <c r="G8518" s="62" t="n">
        <v>475.73</v>
      </c>
      <c r="H8518" s="63" t="n">
        <v>0.029</v>
      </c>
      <c r="I8518" s="62" t="n">
        <v>374.96</v>
      </c>
      <c r="J8518" s="58" t="inlineStr">
        <is>
          <t>Online</t>
        </is>
      </c>
      <c r="K8518" s="62">
        <f>F8518*(G8518-H8518)</f>
        <v/>
      </c>
      <c r="L8518" s="62">
        <f>K8518-(F8518*I8518)</f>
        <v/>
      </c>
      <c r="M8518" s="64">
        <f>L8518/K8518</f>
        <v/>
      </c>
    </row>
    <row r="8519">
      <c r="A8519" s="58" t="inlineStr">
        <is>
          <t>RT20250731-08518</t>
        </is>
      </c>
      <c r="B8519" s="59" t="inlineStr">
        <is>
          <t>2025-07-31</t>
        </is>
      </c>
      <c r="C8519" s="60" t="inlineStr">
        <is>
          <t>Vertex Appliance S-159</t>
        </is>
      </c>
      <c r="D8519" s="58" t="inlineStr">
        <is>
          <t>Home</t>
        </is>
      </c>
      <c r="E8519" s="58" t="inlineStr">
        <is>
          <t>South</t>
        </is>
      </c>
      <c r="F8519" s="61" t="n">
        <v>3</v>
      </c>
      <c r="G8519" s="62" t="n">
        <v>424.07</v>
      </c>
      <c r="H8519" s="63" t="n">
        <v>0.055</v>
      </c>
      <c r="I8519" s="62" t="n">
        <v>294.93</v>
      </c>
      <c r="J8519" s="58" t="inlineStr">
        <is>
          <t>Online</t>
        </is>
      </c>
      <c r="K8519" s="62">
        <f>F8519*(G8519-H8519)</f>
        <v/>
      </c>
      <c r="L8519" s="62">
        <f>K8519-(F8519*I8519)</f>
        <v/>
      </c>
      <c r="M8519" s="64">
        <f>L8519/K8519</f>
        <v/>
      </c>
    </row>
    <row r="8520">
      <c r="A8520" s="58" t="inlineStr">
        <is>
          <t>RT20250731-08519</t>
        </is>
      </c>
      <c r="B8520" s="59" t="inlineStr">
        <is>
          <t>2025-07-31</t>
        </is>
      </c>
      <c r="C8520" s="60" t="inlineStr">
        <is>
          <t>Falcon Household Plus-172</t>
        </is>
      </c>
      <c r="D8520" s="58" t="inlineStr">
        <is>
          <t>Grocery</t>
        </is>
      </c>
      <c r="E8520" s="58" t="inlineStr">
        <is>
          <t>Central</t>
        </is>
      </c>
      <c r="F8520" s="61" t="n">
        <v>8</v>
      </c>
      <c r="G8520" s="62" t="n">
        <v>21.84</v>
      </c>
      <c r="H8520" s="63" t="n">
        <v>0.041</v>
      </c>
      <c r="I8520" s="62" t="n">
        <v>16.43</v>
      </c>
      <c r="J8520" s="58" t="inlineStr">
        <is>
          <t>Phone</t>
        </is>
      </c>
      <c r="K8520" s="62">
        <f>F8520*(G8520-H8520)</f>
        <v/>
      </c>
      <c r="L8520" s="62">
        <f>K8520-(F8520*I8520)</f>
        <v/>
      </c>
      <c r="M8520" s="64">
        <f>L8520/K8520</f>
        <v/>
      </c>
    </row>
    <row r="8521">
      <c r="A8521" s="58" t="inlineStr">
        <is>
          <t>RT20250801-08520</t>
        </is>
      </c>
      <c r="B8521" s="59" t="inlineStr">
        <is>
          <t>2025-08-01</t>
        </is>
      </c>
      <c r="C8521" s="60" t="inlineStr">
        <is>
          <t>Metro Outdoor Plus-787</t>
        </is>
      </c>
      <c r="D8521" s="58" t="inlineStr">
        <is>
          <t>Sports</t>
        </is>
      </c>
      <c r="E8521" s="58" t="inlineStr">
        <is>
          <t>West</t>
        </is>
      </c>
      <c r="F8521" s="61" t="n">
        <v>1</v>
      </c>
      <c r="G8521" s="62" t="n">
        <v>571.24</v>
      </c>
      <c r="H8521" s="63" t="n">
        <v>0.134</v>
      </c>
      <c r="I8521" s="62" t="n">
        <v>350.08</v>
      </c>
      <c r="J8521" s="58" t="inlineStr">
        <is>
          <t>Store</t>
        </is>
      </c>
      <c r="K8521" s="62">
        <f>F8521*(G8521-H8521)</f>
        <v/>
      </c>
      <c r="L8521" s="62">
        <f>K8521-(F8521*I8521)</f>
        <v/>
      </c>
      <c r="M8521" s="64">
        <f>L8521/K8521</f>
        <v/>
      </c>
    </row>
    <row r="8522">
      <c r="A8522" s="58" t="inlineStr">
        <is>
          <t>RT20250801-08521</t>
        </is>
      </c>
      <c r="B8522" s="59" t="inlineStr">
        <is>
          <t>2025-08-01</t>
        </is>
      </c>
      <c r="C8522" s="60" t="inlineStr">
        <is>
          <t>Orion Haircare Plus-887</t>
        </is>
      </c>
      <c r="D8522" s="58" t="inlineStr">
        <is>
          <t>Beauty</t>
        </is>
      </c>
      <c r="E8522" s="58" t="inlineStr">
        <is>
          <t>North</t>
        </is>
      </c>
      <c r="F8522" s="61" t="n">
        <v>2</v>
      </c>
      <c r="G8522" s="62" t="n">
        <v>55.59</v>
      </c>
      <c r="H8522" s="63" t="n">
        <v>0.126</v>
      </c>
      <c r="I8522" s="62" t="n">
        <v>29.94</v>
      </c>
      <c r="J8522" s="58" t="inlineStr">
        <is>
          <t>Online</t>
        </is>
      </c>
      <c r="K8522" s="62">
        <f>F8522*(G8522-H8522)</f>
        <v/>
      </c>
      <c r="L8522" s="62">
        <f>K8522-(F8522*I8522)</f>
        <v/>
      </c>
      <c r="M8522" s="64">
        <f>L8522/K8522</f>
        <v/>
      </c>
    </row>
    <row r="8523">
      <c r="A8523" s="58" t="inlineStr">
        <is>
          <t>RT20250801-08522</t>
        </is>
      </c>
      <c r="B8523" s="59" t="inlineStr">
        <is>
          <t>2025-08-01</t>
        </is>
      </c>
      <c r="C8523" s="60" t="inlineStr">
        <is>
          <t>Polar Decor Plus-505</t>
        </is>
      </c>
      <c r="D8523" s="58" t="inlineStr">
        <is>
          <t>Home</t>
        </is>
      </c>
      <c r="E8523" s="58" t="inlineStr">
        <is>
          <t>East</t>
        </is>
      </c>
      <c r="F8523" s="61" t="n">
        <v>3</v>
      </c>
      <c r="G8523" s="62" t="n">
        <v>255.27</v>
      </c>
      <c r="H8523" s="63" t="n">
        <v>0.19</v>
      </c>
      <c r="I8523" s="62" t="n">
        <v>197.81</v>
      </c>
      <c r="J8523" s="58" t="inlineStr">
        <is>
          <t>Online</t>
        </is>
      </c>
      <c r="K8523" s="62">
        <f>F8523*(G8523-H8523)</f>
        <v/>
      </c>
      <c r="L8523" s="62">
        <f>K8523-(F8523*I8523)</f>
        <v/>
      </c>
      <c r="M8523" s="64">
        <f>L8523/K8523</f>
        <v/>
      </c>
    </row>
    <row r="8524">
      <c r="A8524" s="58" t="inlineStr">
        <is>
          <t>RT20250801-08523</t>
        </is>
      </c>
      <c r="B8524" s="59" t="inlineStr">
        <is>
          <t>2025-08-01</t>
        </is>
      </c>
      <c r="C8524" s="60" t="inlineStr">
        <is>
          <t>Aurora Skincare Max-798</t>
        </is>
      </c>
      <c r="D8524" s="58" t="inlineStr">
        <is>
          <t>Beauty</t>
        </is>
      </c>
      <c r="E8524" s="58" t="inlineStr">
        <is>
          <t>South</t>
        </is>
      </c>
      <c r="F8524" s="61" t="n">
        <v>5</v>
      </c>
      <c r="G8524" s="62" t="n">
        <v>90.54000000000001</v>
      </c>
      <c r="H8524" s="63" t="n">
        <v>0.097</v>
      </c>
      <c r="I8524" s="62" t="n">
        <v>69.8</v>
      </c>
      <c r="J8524" s="58" t="inlineStr">
        <is>
          <t>Online</t>
        </is>
      </c>
      <c r="K8524" s="62">
        <f>F8524*(G8524-H8524)</f>
        <v/>
      </c>
      <c r="L8524" s="62">
        <f>K8524-(F8524*I8524)</f>
        <v/>
      </c>
      <c r="M8524" s="64">
        <f>L8524/K8524</f>
        <v/>
      </c>
    </row>
    <row r="8525">
      <c r="A8525" s="58" t="inlineStr">
        <is>
          <t>RT20250801-08524</t>
        </is>
      </c>
      <c r="B8525" s="59" t="inlineStr">
        <is>
          <t>2025-08-01</t>
        </is>
      </c>
      <c r="C8525" s="60" t="inlineStr">
        <is>
          <t>Solace Laptop S-367</t>
        </is>
      </c>
      <c r="D8525" s="58" t="inlineStr">
        <is>
          <t>Electronics</t>
        </is>
      </c>
      <c r="E8525" s="58" t="inlineStr">
        <is>
          <t>West</t>
        </is>
      </c>
      <c r="F8525" s="61" t="n">
        <v>1</v>
      </c>
      <c r="G8525" s="62" t="n">
        <v>1882.68</v>
      </c>
      <c r="H8525" s="63" t="n">
        <v>0.156</v>
      </c>
      <c r="I8525" s="62" t="n">
        <v>1522.47</v>
      </c>
      <c r="J8525" s="58" t="inlineStr">
        <is>
          <t>Store</t>
        </is>
      </c>
      <c r="K8525" s="62">
        <f>F8525*(G8525-H8525)</f>
        <v/>
      </c>
      <c r="L8525" s="62">
        <f>K8525-(F8525*I8525)</f>
        <v/>
      </c>
      <c r="M8525" s="64">
        <f>L8525/K8525</f>
        <v/>
      </c>
    </row>
    <row r="8526">
      <c r="A8526" s="58" t="inlineStr">
        <is>
          <t>RT20250801-08525</t>
        </is>
      </c>
      <c r="B8526" s="59" t="inlineStr">
        <is>
          <t>2025-08-01</t>
        </is>
      </c>
      <c r="C8526" s="60" t="inlineStr">
        <is>
          <t>Solace Fitnes S-324</t>
        </is>
      </c>
      <c r="D8526" s="58" t="inlineStr">
        <is>
          <t>Sports</t>
        </is>
      </c>
      <c r="E8526" s="58" t="inlineStr">
        <is>
          <t>East</t>
        </is>
      </c>
      <c r="F8526" s="61" t="n">
        <v>3</v>
      </c>
      <c r="G8526" s="62" t="n">
        <v>770.14</v>
      </c>
      <c r="H8526" s="63" t="n">
        <v>0.167</v>
      </c>
      <c r="I8526" s="62" t="n">
        <v>523.91</v>
      </c>
      <c r="J8526" s="58" t="inlineStr">
        <is>
          <t>Store</t>
        </is>
      </c>
      <c r="K8526" s="62">
        <f>F8526*(G8526-H8526)</f>
        <v/>
      </c>
      <c r="L8526" s="62">
        <f>K8526-(F8526*I8526)</f>
        <v/>
      </c>
      <c r="M8526" s="64">
        <f>L8526/K8526</f>
        <v/>
      </c>
    </row>
    <row r="8527">
      <c r="A8527" s="58" t="inlineStr">
        <is>
          <t>RT20250801-08526</t>
        </is>
      </c>
      <c r="B8527" s="59" t="inlineStr">
        <is>
          <t>2025-08-01</t>
        </is>
      </c>
      <c r="C8527" s="60" t="inlineStr">
        <is>
          <t>Vertex Smartphone Pro-256</t>
        </is>
      </c>
      <c r="D8527" s="58" t="inlineStr">
        <is>
          <t>Electronics</t>
        </is>
      </c>
      <c r="E8527" s="58" t="inlineStr">
        <is>
          <t>North</t>
        </is>
      </c>
      <c r="F8527" s="61" t="n">
        <v>1</v>
      </c>
      <c r="G8527" s="62" t="n">
        <v>1296.56</v>
      </c>
      <c r="H8527" s="63" t="n">
        <v>0.19</v>
      </c>
      <c r="I8527" s="62" t="n">
        <v>943.55</v>
      </c>
      <c r="J8527" s="58" t="inlineStr">
        <is>
          <t>Store</t>
        </is>
      </c>
      <c r="K8527" s="62">
        <f>F8527*(G8527-H8527)</f>
        <v/>
      </c>
      <c r="L8527" s="62">
        <f>K8527-(F8527*I8527)</f>
        <v/>
      </c>
      <c r="M8527" s="64">
        <f>L8527/K8527</f>
        <v/>
      </c>
    </row>
    <row r="8528">
      <c r="A8528" s="58" t="inlineStr">
        <is>
          <t>RT20250801-08527</t>
        </is>
      </c>
      <c r="B8528" s="59" t="inlineStr">
        <is>
          <t>2025-08-01</t>
        </is>
      </c>
      <c r="C8528" s="60" t="inlineStr">
        <is>
          <t>Nimbus Laptop Max-652</t>
        </is>
      </c>
      <c r="D8528" s="58" t="inlineStr">
        <is>
          <t>Electronics</t>
        </is>
      </c>
      <c r="E8528" s="58" t="inlineStr">
        <is>
          <t>East</t>
        </is>
      </c>
      <c r="F8528" s="61" t="n">
        <v>1</v>
      </c>
      <c r="G8528" s="62" t="n">
        <v>1386.24</v>
      </c>
      <c r="H8528" s="63" t="n">
        <v>0.116</v>
      </c>
      <c r="I8528" s="62" t="n">
        <v>1019.11</v>
      </c>
      <c r="J8528" s="58" t="inlineStr">
        <is>
          <t>Online</t>
        </is>
      </c>
      <c r="K8528" s="62">
        <f>F8528*(G8528-H8528)</f>
        <v/>
      </c>
      <c r="L8528" s="62">
        <f>K8528-(F8528*I8528)</f>
        <v/>
      </c>
      <c r="M8528" s="64">
        <f>L8528/K8528</f>
        <v/>
      </c>
    </row>
    <row r="8529">
      <c r="A8529" s="58" t="inlineStr">
        <is>
          <t>RT20250801-08528</t>
        </is>
      </c>
      <c r="B8529" s="59" t="inlineStr">
        <is>
          <t>2025-08-01</t>
        </is>
      </c>
      <c r="C8529" s="60" t="inlineStr">
        <is>
          <t>Metro Smartphone Max-773</t>
        </is>
      </c>
      <c r="D8529" s="58" t="inlineStr">
        <is>
          <t>Electronics</t>
        </is>
      </c>
      <c r="E8529" s="58" t="inlineStr">
        <is>
          <t>North</t>
        </is>
      </c>
      <c r="F8529" s="61" t="n">
        <v>1</v>
      </c>
      <c r="G8529" s="62" t="n">
        <v>1349.89</v>
      </c>
      <c r="H8529" s="63" t="n">
        <v>0.185</v>
      </c>
      <c r="I8529" s="62" t="n">
        <v>1068.12</v>
      </c>
      <c r="J8529" s="58" t="inlineStr">
        <is>
          <t>Store</t>
        </is>
      </c>
      <c r="K8529" s="62">
        <f>F8529*(G8529-H8529)</f>
        <v/>
      </c>
      <c r="L8529" s="62">
        <f>K8529-(F8529*I8529)</f>
        <v/>
      </c>
      <c r="M8529" s="64">
        <f>L8529/K8529</f>
        <v/>
      </c>
    </row>
    <row r="8530">
      <c r="A8530" s="58" t="inlineStr">
        <is>
          <t>RT20250801-08529</t>
        </is>
      </c>
      <c r="B8530" s="59" t="inlineStr">
        <is>
          <t>2025-08-01</t>
        </is>
      </c>
      <c r="C8530" s="60" t="inlineStr">
        <is>
          <t>Polar Snack Pro-641</t>
        </is>
      </c>
      <c r="D8530" s="58" t="inlineStr">
        <is>
          <t>Grocery</t>
        </is>
      </c>
      <c r="E8530" s="58" t="inlineStr">
        <is>
          <t>West</t>
        </is>
      </c>
      <c r="F8530" s="61" t="n">
        <v>7</v>
      </c>
      <c r="G8530" s="62" t="n">
        <v>12.16</v>
      </c>
      <c r="H8530" s="63" t="n">
        <v>0.133</v>
      </c>
      <c r="I8530" s="62" t="n">
        <v>9.300000000000001</v>
      </c>
      <c r="J8530" s="58" t="inlineStr">
        <is>
          <t>Online</t>
        </is>
      </c>
      <c r="K8530" s="62">
        <f>F8530*(G8530-H8530)</f>
        <v/>
      </c>
      <c r="L8530" s="62">
        <f>K8530-(F8530*I8530)</f>
        <v/>
      </c>
      <c r="M8530" s="64">
        <f>L8530/K8530</f>
        <v/>
      </c>
    </row>
    <row r="8531">
      <c r="A8531" s="58" t="inlineStr">
        <is>
          <t>RT20250801-08530</t>
        </is>
      </c>
      <c r="B8531" s="59" t="inlineStr">
        <is>
          <t>2025-08-01</t>
        </is>
      </c>
      <c r="C8531" s="60" t="inlineStr">
        <is>
          <t>Polar Decor X-935</t>
        </is>
      </c>
      <c r="D8531" s="58" t="inlineStr">
        <is>
          <t>Home</t>
        </is>
      </c>
      <c r="E8531" s="58" t="inlineStr">
        <is>
          <t>East</t>
        </is>
      </c>
      <c r="F8531" s="61" t="n">
        <v>2</v>
      </c>
      <c r="G8531" s="62" t="n">
        <v>246.07</v>
      </c>
      <c r="H8531" s="63" t="n">
        <v>0.08500000000000001</v>
      </c>
      <c r="I8531" s="62" t="n">
        <v>202.14</v>
      </c>
      <c r="J8531" s="58" t="inlineStr">
        <is>
          <t>Online</t>
        </is>
      </c>
      <c r="K8531" s="62">
        <f>F8531*(G8531-H8531)</f>
        <v/>
      </c>
      <c r="L8531" s="62">
        <f>K8531-(F8531*I8531)</f>
        <v/>
      </c>
      <c r="M8531" s="64">
        <f>L8531/K8531</f>
        <v/>
      </c>
    </row>
    <row r="8532">
      <c r="A8532" s="58" t="inlineStr">
        <is>
          <t>RT20250801-08531</t>
        </is>
      </c>
      <c r="B8532" s="59" t="inlineStr">
        <is>
          <t>2025-08-01</t>
        </is>
      </c>
      <c r="C8532" s="60" t="inlineStr">
        <is>
          <t>Aurora Appliance Max-316</t>
        </is>
      </c>
      <c r="D8532" s="58" t="inlineStr">
        <is>
          <t>Home</t>
        </is>
      </c>
      <c r="E8532" s="58" t="inlineStr">
        <is>
          <t>West</t>
        </is>
      </c>
      <c r="F8532" s="61" t="n">
        <v>1</v>
      </c>
      <c r="G8532" s="62" t="n">
        <v>290.78</v>
      </c>
      <c r="H8532" s="63" t="n">
        <v>0.182</v>
      </c>
      <c r="I8532" s="62" t="n">
        <v>212.72</v>
      </c>
      <c r="J8532" s="58" t="inlineStr">
        <is>
          <t>Online</t>
        </is>
      </c>
      <c r="K8532" s="62">
        <f>F8532*(G8532-H8532)</f>
        <v/>
      </c>
      <c r="L8532" s="62">
        <f>K8532-(F8532*I8532)</f>
        <v/>
      </c>
      <c r="M8532" s="64">
        <f>L8532/K8532</f>
        <v/>
      </c>
    </row>
    <row r="8533">
      <c r="A8533" s="58" t="inlineStr">
        <is>
          <t>RT20250801-08532</t>
        </is>
      </c>
      <c r="B8533" s="59" t="inlineStr">
        <is>
          <t>2025-08-01</t>
        </is>
      </c>
      <c r="C8533" s="60" t="inlineStr">
        <is>
          <t>Orion Kid Max-864</t>
        </is>
      </c>
      <c r="D8533" s="58" t="inlineStr">
        <is>
          <t>Apparel</t>
        </is>
      </c>
      <c r="E8533" s="58" t="inlineStr">
        <is>
          <t>North</t>
        </is>
      </c>
      <c r="F8533" s="61" t="n">
        <v>1</v>
      </c>
      <c r="G8533" s="62" t="n">
        <v>75</v>
      </c>
      <c r="H8533" s="63" t="n">
        <v>0.142</v>
      </c>
      <c r="I8533" s="62" t="n">
        <v>44.85</v>
      </c>
      <c r="J8533" s="58" t="inlineStr">
        <is>
          <t>Online</t>
        </is>
      </c>
      <c r="K8533" s="62">
        <f>F8533*(G8533-H8533)</f>
        <v/>
      </c>
      <c r="L8533" s="62">
        <f>K8533-(F8533*I8533)</f>
        <v/>
      </c>
      <c r="M8533" s="64">
        <f>L8533/K8533</f>
        <v/>
      </c>
    </row>
    <row r="8534">
      <c r="A8534" s="58" t="inlineStr">
        <is>
          <t>RT20250801-08533</t>
        </is>
      </c>
      <c r="B8534" s="59" t="inlineStr">
        <is>
          <t>2025-08-01</t>
        </is>
      </c>
      <c r="C8534" s="60" t="inlineStr">
        <is>
          <t>Aurora Team Sport Plus-256</t>
        </is>
      </c>
      <c r="D8534" s="58" t="inlineStr">
        <is>
          <t>Sports</t>
        </is>
      </c>
      <c r="E8534" s="58" t="inlineStr">
        <is>
          <t>West</t>
        </is>
      </c>
      <c r="F8534" s="61" t="n">
        <v>2</v>
      </c>
      <c r="G8534" s="62" t="n">
        <v>562.42</v>
      </c>
      <c r="H8534" s="63" t="n">
        <v>0.127</v>
      </c>
      <c r="I8534" s="62" t="n">
        <v>421.42</v>
      </c>
      <c r="J8534" s="58" t="inlineStr">
        <is>
          <t>Store</t>
        </is>
      </c>
      <c r="K8534" s="62">
        <f>F8534*(G8534-H8534)</f>
        <v/>
      </c>
      <c r="L8534" s="62">
        <f>K8534-(F8534*I8534)</f>
        <v/>
      </c>
      <c r="M8534" s="64">
        <f>L8534/K8534</f>
        <v/>
      </c>
    </row>
    <row r="8535">
      <c r="A8535" s="58" t="inlineStr">
        <is>
          <t>RT20250801-08534</t>
        </is>
      </c>
      <c r="B8535" s="59" t="inlineStr">
        <is>
          <t>2025-08-01</t>
        </is>
      </c>
      <c r="C8535" s="60" t="inlineStr">
        <is>
          <t>Aurora Team Sport Plus-256</t>
        </is>
      </c>
      <c r="D8535" s="58" t="inlineStr">
        <is>
          <t>Sports</t>
        </is>
      </c>
      <c r="E8535" s="58" t="inlineStr">
        <is>
          <t>East</t>
        </is>
      </c>
      <c r="F8535" s="61" t="n">
        <v>1</v>
      </c>
      <c r="G8535" s="62" t="n">
        <v>617.54</v>
      </c>
      <c r="H8535" s="63" t="n">
        <v>0.14</v>
      </c>
      <c r="I8535" s="62" t="n">
        <v>416.21</v>
      </c>
      <c r="J8535" s="58" t="inlineStr">
        <is>
          <t>Store</t>
        </is>
      </c>
      <c r="K8535" s="62">
        <f>F8535*(G8535-H8535)</f>
        <v/>
      </c>
      <c r="L8535" s="62">
        <f>K8535-(F8535*I8535)</f>
        <v/>
      </c>
      <c r="M8535" s="64">
        <f>L8535/K8535</f>
        <v/>
      </c>
    </row>
    <row r="8536">
      <c r="A8536" s="58" t="inlineStr">
        <is>
          <t>RT20250801-08535</t>
        </is>
      </c>
      <c r="B8536" s="59" t="inlineStr">
        <is>
          <t>2025-08-01</t>
        </is>
      </c>
      <c r="C8536" s="60" t="inlineStr">
        <is>
          <t>Vertex Smartphone Pro-256</t>
        </is>
      </c>
      <c r="D8536" s="58" t="inlineStr">
        <is>
          <t>Electronics</t>
        </is>
      </c>
      <c r="E8536" s="58" t="inlineStr">
        <is>
          <t>Central</t>
        </is>
      </c>
      <c r="F8536" s="61" t="n">
        <v>2</v>
      </c>
      <c r="G8536" s="62" t="n">
        <v>1127.42</v>
      </c>
      <c r="H8536" s="63" t="n">
        <v>0.126</v>
      </c>
      <c r="I8536" s="62" t="n">
        <v>919.5700000000001</v>
      </c>
      <c r="J8536" s="58" t="inlineStr">
        <is>
          <t>Store</t>
        </is>
      </c>
      <c r="K8536" s="62">
        <f>F8536*(G8536-H8536)</f>
        <v/>
      </c>
      <c r="L8536" s="62">
        <f>K8536-(F8536*I8536)</f>
        <v/>
      </c>
      <c r="M8536" s="64">
        <f>L8536/K8536</f>
        <v/>
      </c>
    </row>
    <row r="8537">
      <c r="A8537" s="58" t="inlineStr">
        <is>
          <t>RT20250801-08536</t>
        </is>
      </c>
      <c r="B8537" s="59" t="inlineStr">
        <is>
          <t>2025-08-01</t>
        </is>
      </c>
      <c r="C8537" s="60" t="inlineStr">
        <is>
          <t>Solace Snack S-691</t>
        </is>
      </c>
      <c r="D8537" s="58" t="inlineStr">
        <is>
          <t>Grocery</t>
        </is>
      </c>
      <c r="E8537" s="58" t="inlineStr">
        <is>
          <t>West</t>
        </is>
      </c>
      <c r="F8537" s="61" t="n">
        <v>6</v>
      </c>
      <c r="G8537" s="62" t="n">
        <v>9.09</v>
      </c>
      <c r="H8537" s="63" t="n">
        <v>0.178</v>
      </c>
      <c r="I8537" s="62" t="n">
        <v>7.18</v>
      </c>
      <c r="J8537" s="58" t="inlineStr">
        <is>
          <t>Online</t>
        </is>
      </c>
      <c r="K8537" s="62">
        <f>F8537*(G8537-H8537)</f>
        <v/>
      </c>
      <c r="L8537" s="62">
        <f>K8537-(F8537*I8537)</f>
        <v/>
      </c>
      <c r="M8537" s="64">
        <f>L8537/K8537</f>
        <v/>
      </c>
    </row>
    <row r="8538">
      <c r="A8538" s="58" t="inlineStr">
        <is>
          <t>RT20250801-08537</t>
        </is>
      </c>
      <c r="B8538" s="59" t="inlineStr">
        <is>
          <t>2025-08-01</t>
        </is>
      </c>
      <c r="C8538" s="60" t="inlineStr">
        <is>
          <t>Polar Haircare Max-614</t>
        </is>
      </c>
      <c r="D8538" s="58" t="inlineStr">
        <is>
          <t>Beauty</t>
        </is>
      </c>
      <c r="E8538" s="58" t="inlineStr">
        <is>
          <t>East</t>
        </is>
      </c>
      <c r="F8538" s="61" t="n">
        <v>3</v>
      </c>
      <c r="G8538" s="62" t="n">
        <v>107.54</v>
      </c>
      <c r="H8538" s="63" t="n">
        <v>0.15</v>
      </c>
      <c r="I8538" s="62" t="n">
        <v>69.48</v>
      </c>
      <c r="J8538" s="58" t="inlineStr">
        <is>
          <t>Online</t>
        </is>
      </c>
      <c r="K8538" s="62">
        <f>F8538*(G8538-H8538)</f>
        <v/>
      </c>
      <c r="L8538" s="62">
        <f>K8538-(F8538*I8538)</f>
        <v/>
      </c>
      <c r="M8538" s="64">
        <f>L8538/K8538</f>
        <v/>
      </c>
    </row>
    <row r="8539">
      <c r="A8539" s="58" t="inlineStr">
        <is>
          <t>RT20250801-08538</t>
        </is>
      </c>
      <c r="B8539" s="59" t="inlineStr">
        <is>
          <t>2025-08-01</t>
        </is>
      </c>
      <c r="C8539" s="60" t="inlineStr">
        <is>
          <t>Vertex Headphone Pro-801</t>
        </is>
      </c>
      <c r="D8539" s="58" t="inlineStr">
        <is>
          <t>Electronics</t>
        </is>
      </c>
      <c r="E8539" s="58" t="inlineStr">
        <is>
          <t>Central</t>
        </is>
      </c>
      <c r="F8539" s="61" t="n">
        <v>2</v>
      </c>
      <c r="G8539" s="62" t="n">
        <v>1163.08</v>
      </c>
      <c r="H8539" s="63" t="n">
        <v>0.103</v>
      </c>
      <c r="I8539" s="62" t="n">
        <v>994.02</v>
      </c>
      <c r="J8539" s="58" t="inlineStr">
        <is>
          <t>Store</t>
        </is>
      </c>
      <c r="K8539" s="62">
        <f>F8539*(G8539-H8539)</f>
        <v/>
      </c>
      <c r="L8539" s="62">
        <f>K8539-(F8539*I8539)</f>
        <v/>
      </c>
      <c r="M8539" s="64">
        <f>L8539/K8539</f>
        <v/>
      </c>
    </row>
    <row r="8540">
      <c r="A8540" s="58" t="inlineStr">
        <is>
          <t>RT20250801-08539</t>
        </is>
      </c>
      <c r="B8540" s="59" t="inlineStr">
        <is>
          <t>2025-08-01</t>
        </is>
      </c>
      <c r="C8540" s="60" t="inlineStr">
        <is>
          <t>Polar Cycling X-649</t>
        </is>
      </c>
      <c r="D8540" s="58" t="inlineStr">
        <is>
          <t>Sports</t>
        </is>
      </c>
      <c r="E8540" s="58" t="inlineStr">
        <is>
          <t>South</t>
        </is>
      </c>
      <c r="F8540" s="61" t="n">
        <v>2</v>
      </c>
      <c r="G8540" s="62" t="n">
        <v>566.26</v>
      </c>
      <c r="H8540" s="63" t="n">
        <v>0.134</v>
      </c>
      <c r="I8540" s="62" t="n">
        <v>366.66</v>
      </c>
      <c r="J8540" s="58" t="inlineStr">
        <is>
          <t>Store</t>
        </is>
      </c>
      <c r="K8540" s="62">
        <f>F8540*(G8540-H8540)</f>
        <v/>
      </c>
      <c r="L8540" s="62">
        <f>K8540-(F8540*I8540)</f>
        <v/>
      </c>
      <c r="M8540" s="64">
        <f>L8540/K8540</f>
        <v/>
      </c>
    </row>
    <row r="8541">
      <c r="A8541" s="58" t="inlineStr">
        <is>
          <t>RT20250801-08540</t>
        </is>
      </c>
      <c r="B8541" s="59" t="inlineStr">
        <is>
          <t>2025-08-01</t>
        </is>
      </c>
      <c r="C8541" s="60" t="inlineStr">
        <is>
          <t>Metro Accessorie Lite-697</t>
        </is>
      </c>
      <c r="D8541" s="58" t="inlineStr">
        <is>
          <t>Apparel</t>
        </is>
      </c>
      <c r="E8541" s="58" t="inlineStr">
        <is>
          <t>South</t>
        </is>
      </c>
      <c r="F8541" s="61" t="n">
        <v>3</v>
      </c>
      <c r="G8541" s="62" t="n">
        <v>150.16</v>
      </c>
      <c r="H8541" s="63" t="n">
        <v>0.219</v>
      </c>
      <c r="I8541" s="62" t="n">
        <v>76.52</v>
      </c>
      <c r="J8541" s="58" t="inlineStr">
        <is>
          <t>Online</t>
        </is>
      </c>
      <c r="K8541" s="62">
        <f>F8541*(G8541-H8541)</f>
        <v/>
      </c>
      <c r="L8541" s="62">
        <f>K8541-(F8541*I8541)</f>
        <v/>
      </c>
      <c r="M8541" s="64">
        <f>L8541/K8541</f>
        <v/>
      </c>
    </row>
    <row r="8542">
      <c r="A8542" s="58" t="inlineStr">
        <is>
          <t>RT20250801-08541</t>
        </is>
      </c>
      <c r="B8542" s="59" t="inlineStr">
        <is>
          <t>2025-08-01</t>
        </is>
      </c>
      <c r="C8542" s="60" t="inlineStr">
        <is>
          <t>Orion Kid Max-640</t>
        </is>
      </c>
      <c r="D8542" s="58" t="inlineStr">
        <is>
          <t>Apparel</t>
        </is>
      </c>
      <c r="E8542" s="58" t="inlineStr">
        <is>
          <t>East</t>
        </is>
      </c>
      <c r="F8542" s="61" t="n">
        <v>2</v>
      </c>
      <c r="G8542" s="62" t="n">
        <v>118.35</v>
      </c>
      <c r="H8542" s="63" t="n">
        <v>0.104</v>
      </c>
      <c r="I8542" s="62" t="n">
        <v>72.88</v>
      </c>
      <c r="J8542" s="58" t="inlineStr">
        <is>
          <t>Store</t>
        </is>
      </c>
      <c r="K8542" s="62">
        <f>F8542*(G8542-H8542)</f>
        <v/>
      </c>
      <c r="L8542" s="62">
        <f>K8542-(F8542*I8542)</f>
        <v/>
      </c>
      <c r="M8542" s="64">
        <f>L8542/K8542</f>
        <v/>
      </c>
    </row>
    <row r="8543">
      <c r="A8543" s="58" t="inlineStr">
        <is>
          <t>RT20250801-08542</t>
        </is>
      </c>
      <c r="B8543" s="59" t="inlineStr">
        <is>
          <t>2025-08-01</t>
        </is>
      </c>
      <c r="C8543" s="60" t="inlineStr">
        <is>
          <t>Solace Kitchen Pro-999</t>
        </is>
      </c>
      <c r="D8543" s="58" t="inlineStr">
        <is>
          <t>Home</t>
        </is>
      </c>
      <c r="E8543" s="58" t="inlineStr">
        <is>
          <t>North</t>
        </is>
      </c>
      <c r="F8543" s="61" t="n">
        <v>3</v>
      </c>
      <c r="G8543" s="62" t="n">
        <v>433.01</v>
      </c>
      <c r="H8543" s="63" t="n">
        <v>0.163</v>
      </c>
      <c r="I8543" s="62" t="n">
        <v>271.54</v>
      </c>
      <c r="J8543" s="58" t="inlineStr">
        <is>
          <t>Online</t>
        </is>
      </c>
      <c r="K8543" s="62">
        <f>F8543*(G8543-H8543)</f>
        <v/>
      </c>
      <c r="L8543" s="62">
        <f>K8543-(F8543*I8543)</f>
        <v/>
      </c>
      <c r="M8543" s="64">
        <f>L8543/K8543</f>
        <v/>
      </c>
    </row>
    <row r="8544">
      <c r="A8544" s="58" t="inlineStr">
        <is>
          <t>RT20250801-08543</t>
        </is>
      </c>
      <c r="B8544" s="59" t="inlineStr">
        <is>
          <t>2025-08-01</t>
        </is>
      </c>
      <c r="C8544" s="60" t="inlineStr">
        <is>
          <t>Polar Women S-662</t>
        </is>
      </c>
      <c r="D8544" s="58" t="inlineStr">
        <is>
          <t>Apparel</t>
        </is>
      </c>
      <c r="E8544" s="58" t="inlineStr">
        <is>
          <t>Central</t>
        </is>
      </c>
      <c r="F8544" s="61" t="n">
        <v>3</v>
      </c>
      <c r="G8544" s="62" t="n">
        <v>183.19</v>
      </c>
      <c r="H8544" s="63" t="n">
        <v>0.107</v>
      </c>
      <c r="I8544" s="62" t="n">
        <v>98.72</v>
      </c>
      <c r="J8544" s="58" t="inlineStr">
        <is>
          <t>Store</t>
        </is>
      </c>
      <c r="K8544" s="62">
        <f>F8544*(G8544-H8544)</f>
        <v/>
      </c>
      <c r="L8544" s="62">
        <f>K8544-(F8544*I8544)</f>
        <v/>
      </c>
      <c r="M8544" s="64">
        <f>L8544/K8544</f>
        <v/>
      </c>
    </row>
    <row r="8545">
      <c r="A8545" s="58" t="inlineStr">
        <is>
          <t>RT20250801-08544</t>
        </is>
      </c>
      <c r="B8545" s="59" t="inlineStr">
        <is>
          <t>2025-08-01</t>
        </is>
      </c>
      <c r="C8545" s="60" t="inlineStr">
        <is>
          <t>Polar Beverage S-258</t>
        </is>
      </c>
      <c r="D8545" s="58" t="inlineStr">
        <is>
          <t>Grocery</t>
        </is>
      </c>
      <c r="E8545" s="58" t="inlineStr">
        <is>
          <t>Central</t>
        </is>
      </c>
      <c r="F8545" s="61" t="n">
        <v>2</v>
      </c>
      <c r="G8545" s="62" t="n">
        <v>14.88</v>
      </c>
      <c r="H8545" s="63" t="n">
        <v>0.125</v>
      </c>
      <c r="I8545" s="62" t="n">
        <v>9.529999999999999</v>
      </c>
      <c r="J8545" s="58" t="inlineStr">
        <is>
          <t>Online</t>
        </is>
      </c>
      <c r="K8545" s="62">
        <f>F8545*(G8545-H8545)</f>
        <v/>
      </c>
      <c r="L8545" s="62">
        <f>K8545-(F8545*I8545)</f>
        <v/>
      </c>
      <c r="M8545" s="64">
        <f>L8545/K8545</f>
        <v/>
      </c>
    </row>
    <row r="8546">
      <c r="A8546" s="58" t="inlineStr">
        <is>
          <t>RT20250801-08545</t>
        </is>
      </c>
      <c r="B8546" s="59" t="inlineStr">
        <is>
          <t>2025-08-01</t>
        </is>
      </c>
      <c r="C8546" s="60" t="inlineStr">
        <is>
          <t>Orion Team Sport X-926</t>
        </is>
      </c>
      <c r="D8546" s="58" t="inlineStr">
        <is>
          <t>Sports</t>
        </is>
      </c>
      <c r="E8546" s="58" t="inlineStr">
        <is>
          <t>West</t>
        </is>
      </c>
      <c r="F8546" s="61" t="n">
        <v>2</v>
      </c>
      <c r="G8546" s="62" t="n">
        <v>349.24</v>
      </c>
      <c r="H8546" s="63" t="n">
        <v>0.172</v>
      </c>
      <c r="I8546" s="62" t="n">
        <v>210.33</v>
      </c>
      <c r="J8546" s="58" t="inlineStr">
        <is>
          <t>Store</t>
        </is>
      </c>
      <c r="K8546" s="62">
        <f>F8546*(G8546-H8546)</f>
        <v/>
      </c>
      <c r="L8546" s="62">
        <f>K8546-(F8546*I8546)</f>
        <v/>
      </c>
      <c r="M8546" s="64">
        <f>L8546/K8546</f>
        <v/>
      </c>
    </row>
    <row r="8547">
      <c r="A8547" s="58" t="inlineStr">
        <is>
          <t>RT20250801-08546</t>
        </is>
      </c>
      <c r="B8547" s="59" t="inlineStr">
        <is>
          <t>2025-08-01</t>
        </is>
      </c>
      <c r="C8547" s="60" t="inlineStr">
        <is>
          <t>Vertex Headphone Pro-801</t>
        </is>
      </c>
      <c r="D8547" s="58" t="inlineStr">
        <is>
          <t>Electronics</t>
        </is>
      </c>
      <c r="E8547" s="58" t="inlineStr">
        <is>
          <t>Central</t>
        </is>
      </c>
      <c r="F8547" s="61" t="n">
        <v>2</v>
      </c>
      <c r="G8547" s="62" t="n">
        <v>1133.72</v>
      </c>
      <c r="H8547" s="63" t="n">
        <v>0.13</v>
      </c>
      <c r="I8547" s="62" t="n">
        <v>957.61</v>
      </c>
      <c r="J8547" s="58" t="inlineStr">
        <is>
          <t>Store</t>
        </is>
      </c>
      <c r="K8547" s="62">
        <f>F8547*(G8547-H8547)</f>
        <v/>
      </c>
      <c r="L8547" s="62">
        <f>K8547-(F8547*I8547)</f>
        <v/>
      </c>
      <c r="M8547" s="64">
        <f>L8547/K8547</f>
        <v/>
      </c>
    </row>
    <row r="8548">
      <c r="A8548" s="58" t="inlineStr">
        <is>
          <t>RT20250801-08547</t>
        </is>
      </c>
      <c r="B8548" s="59" t="inlineStr">
        <is>
          <t>2025-08-01</t>
        </is>
      </c>
      <c r="C8548" s="60" t="inlineStr">
        <is>
          <t>Orion Fragrance Lite-785</t>
        </is>
      </c>
      <c r="D8548" s="58" t="inlineStr">
        <is>
          <t>Beauty</t>
        </is>
      </c>
      <c r="E8548" s="58" t="inlineStr">
        <is>
          <t>North</t>
        </is>
      </c>
      <c r="F8548" s="61" t="n">
        <v>5</v>
      </c>
      <c r="G8548" s="62" t="n">
        <v>39.05</v>
      </c>
      <c r="H8548" s="63" t="n">
        <v>0.169</v>
      </c>
      <c r="I8548" s="62" t="n">
        <v>26.06</v>
      </c>
      <c r="J8548" s="58" t="inlineStr">
        <is>
          <t>Online</t>
        </is>
      </c>
      <c r="K8548" s="62">
        <f>F8548*(G8548-H8548)</f>
        <v/>
      </c>
      <c r="L8548" s="62">
        <f>K8548-(F8548*I8548)</f>
        <v/>
      </c>
      <c r="M8548" s="64">
        <f>L8548/K8548</f>
        <v/>
      </c>
    </row>
    <row r="8549">
      <c r="A8549" s="58" t="inlineStr">
        <is>
          <t>RT20250801-08548</t>
        </is>
      </c>
      <c r="B8549" s="59" t="inlineStr">
        <is>
          <t>2025-08-01</t>
        </is>
      </c>
      <c r="C8549" s="60" t="inlineStr">
        <is>
          <t>Falcon Accessorie S-195</t>
        </is>
      </c>
      <c r="D8549" s="58" t="inlineStr">
        <is>
          <t>Apparel</t>
        </is>
      </c>
      <c r="E8549" s="58" t="inlineStr">
        <is>
          <t>West</t>
        </is>
      </c>
      <c r="F8549" s="61" t="n">
        <v>1</v>
      </c>
      <c r="G8549" s="62" t="n">
        <v>75.51000000000001</v>
      </c>
      <c r="H8549" s="63" t="n">
        <v>0.117</v>
      </c>
      <c r="I8549" s="62" t="n">
        <v>42.81</v>
      </c>
      <c r="J8549" s="58" t="inlineStr">
        <is>
          <t>Online</t>
        </is>
      </c>
      <c r="K8549" s="62">
        <f>F8549*(G8549-H8549)</f>
        <v/>
      </c>
      <c r="L8549" s="62">
        <f>K8549-(F8549*I8549)</f>
        <v/>
      </c>
      <c r="M8549" s="64">
        <f>L8549/K8549</f>
        <v/>
      </c>
    </row>
    <row r="8550">
      <c r="A8550" s="58" t="inlineStr">
        <is>
          <t>RT20250801-08549</t>
        </is>
      </c>
      <c r="B8550" s="59" t="inlineStr">
        <is>
          <t>2025-08-01</t>
        </is>
      </c>
      <c r="C8550" s="60" t="inlineStr">
        <is>
          <t>Aurora Wearable Lite-704</t>
        </is>
      </c>
      <c r="D8550" s="58" t="inlineStr">
        <is>
          <t>Electronics</t>
        </is>
      </c>
      <c r="E8550" s="58" t="inlineStr">
        <is>
          <t>West</t>
        </is>
      </c>
      <c r="F8550" s="61" t="n">
        <v>2</v>
      </c>
      <c r="G8550" s="62" t="n">
        <v>1908.73</v>
      </c>
      <c r="H8550" s="63" t="n">
        <v>0.148</v>
      </c>
      <c r="I8550" s="62" t="n">
        <v>1472.54</v>
      </c>
      <c r="J8550" s="58" t="inlineStr">
        <is>
          <t>Online</t>
        </is>
      </c>
      <c r="K8550" s="62">
        <f>F8550*(G8550-H8550)</f>
        <v/>
      </c>
      <c r="L8550" s="62">
        <f>K8550-(F8550*I8550)</f>
        <v/>
      </c>
      <c r="M8550" s="64">
        <f>L8550/K8550</f>
        <v/>
      </c>
    </row>
    <row r="8551">
      <c r="A8551" s="58" t="inlineStr">
        <is>
          <t>RT20250801-08550</t>
        </is>
      </c>
      <c r="B8551" s="59" t="inlineStr">
        <is>
          <t>2025-08-01</t>
        </is>
      </c>
      <c r="C8551" s="60" t="inlineStr">
        <is>
          <t>Polar Beverage S-258</t>
        </is>
      </c>
      <c r="D8551" s="58" t="inlineStr">
        <is>
          <t>Grocery</t>
        </is>
      </c>
      <c r="E8551" s="58" t="inlineStr">
        <is>
          <t>West</t>
        </is>
      </c>
      <c r="F8551" s="61" t="n">
        <v>2</v>
      </c>
      <c r="G8551" s="62" t="n">
        <v>12.36</v>
      </c>
      <c r="H8551" s="63" t="n">
        <v>0.163</v>
      </c>
      <c r="I8551" s="62" t="n">
        <v>9.6</v>
      </c>
      <c r="J8551" s="58" t="inlineStr">
        <is>
          <t>Online</t>
        </is>
      </c>
      <c r="K8551" s="62">
        <f>F8551*(G8551-H8551)</f>
        <v/>
      </c>
      <c r="L8551" s="62">
        <f>K8551-(F8551*I8551)</f>
        <v/>
      </c>
      <c r="M8551" s="64">
        <f>L8551/K8551</f>
        <v/>
      </c>
    </row>
    <row r="8552">
      <c r="A8552" s="58" t="inlineStr">
        <is>
          <t>RT20250801-08551</t>
        </is>
      </c>
      <c r="B8552" s="59" t="inlineStr">
        <is>
          <t>2025-08-01</t>
        </is>
      </c>
      <c r="C8552" s="60" t="inlineStr">
        <is>
          <t>Falcon Accessorie S-195</t>
        </is>
      </c>
      <c r="D8552" s="58" t="inlineStr">
        <is>
          <t>Apparel</t>
        </is>
      </c>
      <c r="E8552" s="58" t="inlineStr">
        <is>
          <t>West</t>
        </is>
      </c>
      <c r="F8552" s="61" t="n">
        <v>4</v>
      </c>
      <c r="G8552" s="62" t="n">
        <v>67.14</v>
      </c>
      <c r="H8552" s="63" t="n">
        <v>0.143</v>
      </c>
      <c r="I8552" s="62" t="n">
        <v>42.19</v>
      </c>
      <c r="J8552" s="58" t="inlineStr">
        <is>
          <t>Store</t>
        </is>
      </c>
      <c r="K8552" s="62">
        <f>F8552*(G8552-H8552)</f>
        <v/>
      </c>
      <c r="L8552" s="62">
        <f>K8552-(F8552*I8552)</f>
        <v/>
      </c>
      <c r="M8552" s="64">
        <f>L8552/K8552</f>
        <v/>
      </c>
    </row>
    <row r="8553">
      <c r="A8553" s="58" t="inlineStr">
        <is>
          <t>RT20250801-08552</t>
        </is>
      </c>
      <c r="B8553" s="59" t="inlineStr">
        <is>
          <t>2025-08-01</t>
        </is>
      </c>
      <c r="C8553" s="60" t="inlineStr">
        <is>
          <t>Vertex Supplie Pro-786</t>
        </is>
      </c>
      <c r="D8553" s="58" t="inlineStr">
        <is>
          <t>Office</t>
        </is>
      </c>
      <c r="E8553" s="58" t="inlineStr">
        <is>
          <t>Central</t>
        </is>
      </c>
      <c r="F8553" s="61" t="n">
        <v>2</v>
      </c>
      <c r="G8553" s="62" t="n">
        <v>404.68</v>
      </c>
      <c r="H8553" s="63" t="n">
        <v>0.157</v>
      </c>
      <c r="I8553" s="62" t="n">
        <v>299.93</v>
      </c>
      <c r="J8553" s="58" t="inlineStr">
        <is>
          <t>Online</t>
        </is>
      </c>
      <c r="K8553" s="62">
        <f>F8553*(G8553-H8553)</f>
        <v/>
      </c>
      <c r="L8553" s="62">
        <f>K8553-(F8553*I8553)</f>
        <v/>
      </c>
      <c r="M8553" s="64">
        <f>L8553/K8553</f>
        <v/>
      </c>
    </row>
    <row r="8554">
      <c r="A8554" s="58" t="inlineStr">
        <is>
          <t>RT20250801-08553</t>
        </is>
      </c>
      <c r="B8554" s="59" t="inlineStr">
        <is>
          <t>2025-08-01</t>
        </is>
      </c>
      <c r="C8554" s="60" t="inlineStr">
        <is>
          <t>Polar Bedding Lite-243</t>
        </is>
      </c>
      <c r="D8554" s="58" t="inlineStr">
        <is>
          <t>Home</t>
        </is>
      </c>
      <c r="E8554" s="58" t="inlineStr">
        <is>
          <t>Central</t>
        </is>
      </c>
      <c r="F8554" s="61" t="n">
        <v>3</v>
      </c>
      <c r="G8554" s="62" t="n">
        <v>478.06</v>
      </c>
      <c r="H8554" s="63" t="n">
        <v>0.143</v>
      </c>
      <c r="I8554" s="62" t="n">
        <v>310.03</v>
      </c>
      <c r="J8554" s="58" t="inlineStr">
        <is>
          <t>Online</t>
        </is>
      </c>
      <c r="K8554" s="62">
        <f>F8554*(G8554-H8554)</f>
        <v/>
      </c>
      <c r="L8554" s="62">
        <f>K8554-(F8554*I8554)</f>
        <v/>
      </c>
      <c r="M8554" s="64">
        <f>L8554/K8554</f>
        <v/>
      </c>
    </row>
    <row r="8555">
      <c r="A8555" s="58" t="inlineStr">
        <is>
          <t>RT20250801-08554</t>
        </is>
      </c>
      <c r="B8555" s="59" t="inlineStr">
        <is>
          <t>2025-08-01</t>
        </is>
      </c>
      <c r="C8555" s="60" t="inlineStr">
        <is>
          <t>Aurora Household Plus-146</t>
        </is>
      </c>
      <c r="D8555" s="58" t="inlineStr">
        <is>
          <t>Grocery</t>
        </is>
      </c>
      <c r="E8555" s="58" t="inlineStr">
        <is>
          <t>West</t>
        </is>
      </c>
      <c r="F8555" s="61" t="n">
        <v>6</v>
      </c>
      <c r="G8555" s="62" t="n">
        <v>6.5</v>
      </c>
      <c r="H8555" s="63" t="n">
        <v>0.14</v>
      </c>
      <c r="I8555" s="62" t="n">
        <v>4.46</v>
      </c>
      <c r="J8555" s="58" t="inlineStr">
        <is>
          <t>Phone</t>
        </is>
      </c>
      <c r="K8555" s="62">
        <f>F8555*(G8555-H8555)</f>
        <v/>
      </c>
      <c r="L8555" s="62">
        <f>K8555-(F8555*I8555)</f>
        <v/>
      </c>
      <c r="M8555" s="64">
        <f>L8555/K8555</f>
        <v/>
      </c>
    </row>
    <row r="8556">
      <c r="A8556" s="58" t="inlineStr">
        <is>
          <t>RT20250802-08555</t>
        </is>
      </c>
      <c r="B8556" s="59" t="inlineStr">
        <is>
          <t>2025-08-02</t>
        </is>
      </c>
      <c r="C8556" s="60" t="inlineStr">
        <is>
          <t>Polar Bedding Lite-243</t>
        </is>
      </c>
      <c r="D8556" s="58" t="inlineStr">
        <is>
          <t>Home</t>
        </is>
      </c>
      <c r="E8556" s="58" t="inlineStr">
        <is>
          <t>North</t>
        </is>
      </c>
      <c r="F8556" s="61" t="n">
        <v>2</v>
      </c>
      <c r="G8556" s="62" t="n">
        <v>503.44</v>
      </c>
      <c r="H8556" s="63" t="n">
        <v>0.116</v>
      </c>
      <c r="I8556" s="62" t="n">
        <v>326.08</v>
      </c>
      <c r="J8556" s="58" t="inlineStr">
        <is>
          <t>Store</t>
        </is>
      </c>
      <c r="K8556" s="62">
        <f>F8556*(G8556-H8556)</f>
        <v/>
      </c>
      <c r="L8556" s="62">
        <f>K8556-(F8556*I8556)</f>
        <v/>
      </c>
      <c r="M8556" s="64">
        <f>L8556/K8556</f>
        <v/>
      </c>
    </row>
    <row r="8557">
      <c r="A8557" s="58" t="inlineStr">
        <is>
          <t>RT20250802-08556</t>
        </is>
      </c>
      <c r="B8557" s="59" t="inlineStr">
        <is>
          <t>2025-08-02</t>
        </is>
      </c>
      <c r="C8557" s="60" t="inlineStr">
        <is>
          <t>Falcon Headphone Plus-789</t>
        </is>
      </c>
      <c r="D8557" s="58" t="inlineStr">
        <is>
          <t>Electronics</t>
        </is>
      </c>
      <c r="E8557" s="58" t="inlineStr">
        <is>
          <t>East</t>
        </is>
      </c>
      <c r="F8557" s="61" t="n">
        <v>1</v>
      </c>
      <c r="G8557" s="62" t="n">
        <v>1747.35</v>
      </c>
      <c r="H8557" s="63" t="n">
        <v>0.136</v>
      </c>
      <c r="I8557" s="62" t="n">
        <v>1314.6</v>
      </c>
      <c r="J8557" s="58" t="inlineStr">
        <is>
          <t>Online</t>
        </is>
      </c>
      <c r="K8557" s="62">
        <f>F8557*(G8557-H8557)</f>
        <v/>
      </c>
      <c r="L8557" s="62">
        <f>K8557-(F8557*I8557)</f>
        <v/>
      </c>
      <c r="M8557" s="64">
        <f>L8557/K8557</f>
        <v/>
      </c>
    </row>
    <row r="8558">
      <c r="A8558" s="58" t="inlineStr">
        <is>
          <t>RT20250802-08557</t>
        </is>
      </c>
      <c r="B8558" s="59" t="inlineStr">
        <is>
          <t>2025-08-02</t>
        </is>
      </c>
      <c r="C8558" s="60" t="inlineStr">
        <is>
          <t>Vertex Supplie Pro-786</t>
        </is>
      </c>
      <c r="D8558" s="58" t="inlineStr">
        <is>
          <t>Office</t>
        </is>
      </c>
      <c r="E8558" s="58" t="inlineStr">
        <is>
          <t>East</t>
        </is>
      </c>
      <c r="F8558" s="61" t="n">
        <v>3</v>
      </c>
      <c r="G8558" s="62" t="n">
        <v>441.26</v>
      </c>
      <c r="H8558" s="63" t="n">
        <v>0.12</v>
      </c>
      <c r="I8558" s="62" t="n">
        <v>287.25</v>
      </c>
      <c r="J8558" s="58" t="inlineStr">
        <is>
          <t>Online</t>
        </is>
      </c>
      <c r="K8558" s="62">
        <f>F8558*(G8558-H8558)</f>
        <v/>
      </c>
      <c r="L8558" s="62">
        <f>K8558-(F8558*I8558)</f>
        <v/>
      </c>
      <c r="M8558" s="64">
        <f>L8558/K8558</f>
        <v/>
      </c>
    </row>
    <row r="8559">
      <c r="A8559" s="58" t="inlineStr">
        <is>
          <t>RT20250802-08558</t>
        </is>
      </c>
      <c r="B8559" s="59" t="inlineStr">
        <is>
          <t>2025-08-02</t>
        </is>
      </c>
      <c r="C8559" s="60" t="inlineStr">
        <is>
          <t>Aurora Wearable Lite-162</t>
        </is>
      </c>
      <c r="D8559" s="58" t="inlineStr">
        <is>
          <t>Electronics</t>
        </is>
      </c>
      <c r="E8559" s="58" t="inlineStr">
        <is>
          <t>West</t>
        </is>
      </c>
      <c r="F8559" s="61" t="n">
        <v>2</v>
      </c>
      <c r="G8559" s="62" t="n">
        <v>1377.55</v>
      </c>
      <c r="H8559" s="63" t="n">
        <v>0.151</v>
      </c>
      <c r="I8559" s="62" t="n">
        <v>1135.48</v>
      </c>
      <c r="J8559" s="58" t="inlineStr">
        <is>
          <t>Online</t>
        </is>
      </c>
      <c r="K8559" s="62">
        <f>F8559*(G8559-H8559)</f>
        <v/>
      </c>
      <c r="L8559" s="62">
        <f>K8559-(F8559*I8559)</f>
        <v/>
      </c>
      <c r="M8559" s="64">
        <f>L8559/K8559</f>
        <v/>
      </c>
    </row>
    <row r="8560">
      <c r="A8560" s="58" t="inlineStr">
        <is>
          <t>RT20250802-08559</t>
        </is>
      </c>
      <c r="B8560" s="59" t="inlineStr">
        <is>
          <t>2025-08-02</t>
        </is>
      </c>
      <c r="C8560" s="60" t="inlineStr">
        <is>
          <t>Polar Beverage S-258</t>
        </is>
      </c>
      <c r="D8560" s="58" t="inlineStr">
        <is>
          <t>Grocery</t>
        </is>
      </c>
      <c r="E8560" s="58" t="inlineStr">
        <is>
          <t>South</t>
        </is>
      </c>
      <c r="F8560" s="61" t="n">
        <v>2</v>
      </c>
      <c r="G8560" s="62" t="n">
        <v>12.61</v>
      </c>
      <c r="H8560" s="63" t="n">
        <v>0.204</v>
      </c>
      <c r="I8560" s="62" t="n">
        <v>9.69</v>
      </c>
      <c r="J8560" s="58" t="inlineStr">
        <is>
          <t>Store</t>
        </is>
      </c>
      <c r="K8560" s="62">
        <f>F8560*(G8560-H8560)</f>
        <v/>
      </c>
      <c r="L8560" s="62">
        <f>K8560-(F8560*I8560)</f>
        <v/>
      </c>
      <c r="M8560" s="64">
        <f>L8560/K8560</f>
        <v/>
      </c>
    </row>
    <row r="8561">
      <c r="A8561" s="58" t="inlineStr">
        <is>
          <t>RT20250802-08560</t>
        </is>
      </c>
      <c r="B8561" s="59" t="inlineStr">
        <is>
          <t>2025-08-02</t>
        </is>
      </c>
      <c r="C8561" s="60" t="inlineStr">
        <is>
          <t>Aurora Outdoor Pro-467</t>
        </is>
      </c>
      <c r="D8561" s="58" t="inlineStr">
        <is>
          <t>Sports</t>
        </is>
      </c>
      <c r="E8561" s="58" t="inlineStr">
        <is>
          <t>Central</t>
        </is>
      </c>
      <c r="F8561" s="61" t="n">
        <v>1</v>
      </c>
      <c r="G8561" s="62" t="n">
        <v>249.05</v>
      </c>
      <c r="H8561" s="63" t="n">
        <v>0.142</v>
      </c>
      <c r="I8561" s="62" t="n">
        <v>189.13</v>
      </c>
      <c r="J8561" s="58" t="inlineStr">
        <is>
          <t>Store</t>
        </is>
      </c>
      <c r="K8561" s="62">
        <f>F8561*(G8561-H8561)</f>
        <v/>
      </c>
      <c r="L8561" s="62">
        <f>K8561-(F8561*I8561)</f>
        <v/>
      </c>
      <c r="M8561" s="64">
        <f>L8561/K8561</f>
        <v/>
      </c>
    </row>
    <row r="8562">
      <c r="A8562" s="58" t="inlineStr">
        <is>
          <t>RT20250802-08561</t>
        </is>
      </c>
      <c r="B8562" s="59" t="inlineStr">
        <is>
          <t>2025-08-02</t>
        </is>
      </c>
      <c r="C8562" s="60" t="inlineStr">
        <is>
          <t>Solace Makeup Pro-214</t>
        </is>
      </c>
      <c r="D8562" s="58" t="inlineStr">
        <is>
          <t>Beauty</t>
        </is>
      </c>
      <c r="E8562" s="58" t="inlineStr">
        <is>
          <t>Central</t>
        </is>
      </c>
      <c r="F8562" s="61" t="n">
        <v>2</v>
      </c>
      <c r="G8562" s="62" t="n">
        <v>123.61</v>
      </c>
      <c r="H8562" s="63" t="n">
        <v>0.139</v>
      </c>
      <c r="I8562" s="62" t="n">
        <v>69.03</v>
      </c>
      <c r="J8562" s="58" t="inlineStr">
        <is>
          <t>Store</t>
        </is>
      </c>
      <c r="K8562" s="62">
        <f>F8562*(G8562-H8562)</f>
        <v/>
      </c>
      <c r="L8562" s="62">
        <f>K8562-(F8562*I8562)</f>
        <v/>
      </c>
      <c r="M8562" s="64">
        <f>L8562/K8562</f>
        <v/>
      </c>
    </row>
    <row r="8563">
      <c r="A8563" s="58" t="inlineStr">
        <is>
          <t>RT20250802-08562</t>
        </is>
      </c>
      <c r="B8563" s="59" t="inlineStr">
        <is>
          <t>2025-08-02</t>
        </is>
      </c>
      <c r="C8563" s="60" t="inlineStr">
        <is>
          <t>Falcon Headphone Plus-789</t>
        </is>
      </c>
      <c r="D8563" s="58" t="inlineStr">
        <is>
          <t>Electronics</t>
        </is>
      </c>
      <c r="E8563" s="58" t="inlineStr">
        <is>
          <t>South</t>
        </is>
      </c>
      <c r="F8563" s="61" t="n">
        <v>2</v>
      </c>
      <c r="G8563" s="62" t="n">
        <v>1826.33</v>
      </c>
      <c r="H8563" s="63" t="n">
        <v>0.218</v>
      </c>
      <c r="I8563" s="62" t="n">
        <v>1322.35</v>
      </c>
      <c r="J8563" s="58" t="inlineStr">
        <is>
          <t>Store</t>
        </is>
      </c>
      <c r="K8563" s="62">
        <f>F8563*(G8563-H8563)</f>
        <v/>
      </c>
      <c r="L8563" s="62">
        <f>K8563-(F8563*I8563)</f>
        <v/>
      </c>
      <c r="M8563" s="64">
        <f>L8563/K8563</f>
        <v/>
      </c>
    </row>
    <row r="8564">
      <c r="A8564" s="58" t="inlineStr">
        <is>
          <t>RT20250802-08563</t>
        </is>
      </c>
      <c r="B8564" s="59" t="inlineStr">
        <is>
          <t>2025-08-02</t>
        </is>
      </c>
      <c r="C8564" s="60" t="inlineStr">
        <is>
          <t>Solace Headphone Pro-344</t>
        </is>
      </c>
      <c r="D8564" s="58" t="inlineStr">
        <is>
          <t>Electronics</t>
        </is>
      </c>
      <c r="E8564" s="58" t="inlineStr">
        <is>
          <t>South</t>
        </is>
      </c>
      <c r="F8564" s="61" t="n">
        <v>2</v>
      </c>
      <c r="G8564" s="62" t="n">
        <v>1472.45</v>
      </c>
      <c r="H8564" s="63" t="n">
        <v>0.159</v>
      </c>
      <c r="I8564" s="62" t="n">
        <v>1075.94</v>
      </c>
      <c r="J8564" s="58" t="inlineStr">
        <is>
          <t>Online</t>
        </is>
      </c>
      <c r="K8564" s="62">
        <f>F8564*(G8564-H8564)</f>
        <v/>
      </c>
      <c r="L8564" s="62">
        <f>K8564-(F8564*I8564)</f>
        <v/>
      </c>
      <c r="M8564" s="64">
        <f>L8564/K8564</f>
        <v/>
      </c>
    </row>
    <row r="8565">
      <c r="A8565" s="58" t="inlineStr">
        <is>
          <t>RT20250802-08564</t>
        </is>
      </c>
      <c r="B8565" s="59" t="inlineStr">
        <is>
          <t>2025-08-02</t>
        </is>
      </c>
      <c r="C8565" s="60" t="inlineStr">
        <is>
          <t>Orion Men X-928</t>
        </is>
      </c>
      <c r="D8565" s="58" t="inlineStr">
        <is>
          <t>Apparel</t>
        </is>
      </c>
      <c r="E8565" s="58" t="inlineStr">
        <is>
          <t>North</t>
        </is>
      </c>
      <c r="F8565" s="61" t="n">
        <v>2</v>
      </c>
      <c r="G8565" s="62" t="n">
        <v>113.65</v>
      </c>
      <c r="H8565" s="63" t="n">
        <v>0.155</v>
      </c>
      <c r="I8565" s="62" t="n">
        <v>60.62</v>
      </c>
      <c r="J8565" s="58" t="inlineStr">
        <is>
          <t>Store</t>
        </is>
      </c>
      <c r="K8565" s="62">
        <f>F8565*(G8565-H8565)</f>
        <v/>
      </c>
      <c r="L8565" s="62">
        <f>K8565-(F8565*I8565)</f>
        <v/>
      </c>
      <c r="M8565" s="64">
        <f>L8565/K8565</f>
        <v/>
      </c>
    </row>
    <row r="8566">
      <c r="A8566" s="58" t="inlineStr">
        <is>
          <t>RT20250802-08565</t>
        </is>
      </c>
      <c r="B8566" s="59" t="inlineStr">
        <is>
          <t>2025-08-02</t>
        </is>
      </c>
      <c r="C8566" s="60" t="inlineStr">
        <is>
          <t>Polar Beverage S-258</t>
        </is>
      </c>
      <c r="D8566" s="58" t="inlineStr">
        <is>
          <t>Grocery</t>
        </is>
      </c>
      <c r="E8566" s="58" t="inlineStr">
        <is>
          <t>South</t>
        </is>
      </c>
      <c r="F8566" s="61" t="n">
        <v>5</v>
      </c>
      <c r="G8566" s="62" t="n">
        <v>13.29</v>
      </c>
      <c r="H8566" s="63" t="n">
        <v>0.139</v>
      </c>
      <c r="I8566" s="62" t="n">
        <v>9.9</v>
      </c>
      <c r="J8566" s="58" t="inlineStr">
        <is>
          <t>Store</t>
        </is>
      </c>
      <c r="K8566" s="62">
        <f>F8566*(G8566-H8566)</f>
        <v/>
      </c>
      <c r="L8566" s="62">
        <f>K8566-(F8566*I8566)</f>
        <v/>
      </c>
      <c r="M8566" s="64">
        <f>L8566/K8566</f>
        <v/>
      </c>
    </row>
    <row r="8567">
      <c r="A8567" s="58" t="inlineStr">
        <is>
          <t>RT20250802-08566</t>
        </is>
      </c>
      <c r="B8567" s="59" t="inlineStr">
        <is>
          <t>2025-08-02</t>
        </is>
      </c>
      <c r="C8567" s="60" t="inlineStr">
        <is>
          <t>Polar Outdoor Lite-318</t>
        </is>
      </c>
      <c r="D8567" s="58" t="inlineStr">
        <is>
          <t>Sports</t>
        </is>
      </c>
      <c r="E8567" s="58" t="inlineStr">
        <is>
          <t>Central</t>
        </is>
      </c>
      <c r="F8567" s="61" t="n">
        <v>1</v>
      </c>
      <c r="G8567" s="62" t="n">
        <v>708.4</v>
      </c>
      <c r="H8567" s="63" t="n">
        <v>0.146</v>
      </c>
      <c r="I8567" s="62" t="n">
        <v>454.09</v>
      </c>
      <c r="J8567" s="58" t="inlineStr">
        <is>
          <t>Online</t>
        </is>
      </c>
      <c r="K8567" s="62">
        <f>F8567*(G8567-H8567)</f>
        <v/>
      </c>
      <c r="L8567" s="62">
        <f>K8567-(F8567*I8567)</f>
        <v/>
      </c>
      <c r="M8567" s="64">
        <f>L8567/K8567</f>
        <v/>
      </c>
    </row>
    <row r="8568">
      <c r="A8568" s="58" t="inlineStr">
        <is>
          <t>RT20250802-08567</t>
        </is>
      </c>
      <c r="B8568" s="59" t="inlineStr">
        <is>
          <t>2025-08-02</t>
        </is>
      </c>
      <c r="C8568" s="60" t="inlineStr">
        <is>
          <t>Metro Accessorie Lite-697</t>
        </is>
      </c>
      <c r="D8568" s="58" t="inlineStr">
        <is>
          <t>Apparel</t>
        </is>
      </c>
      <c r="E8568" s="58" t="inlineStr">
        <is>
          <t>West</t>
        </is>
      </c>
      <c r="F8568" s="61" t="n">
        <v>4</v>
      </c>
      <c r="G8568" s="62" t="n">
        <v>128.23</v>
      </c>
      <c r="H8568" s="63" t="n">
        <v>0.105</v>
      </c>
      <c r="I8568" s="62" t="n">
        <v>74.44</v>
      </c>
      <c r="J8568" s="58" t="inlineStr">
        <is>
          <t>Online</t>
        </is>
      </c>
      <c r="K8568" s="62">
        <f>F8568*(G8568-H8568)</f>
        <v/>
      </c>
      <c r="L8568" s="62">
        <f>K8568-(F8568*I8568)</f>
        <v/>
      </c>
      <c r="M8568" s="64">
        <f>L8568/K8568</f>
        <v/>
      </c>
    </row>
    <row r="8569">
      <c r="A8569" s="58" t="inlineStr">
        <is>
          <t>RT20250802-08568</t>
        </is>
      </c>
      <c r="B8569" s="59" t="inlineStr">
        <is>
          <t>2025-08-02</t>
        </is>
      </c>
      <c r="C8569" s="60" t="inlineStr">
        <is>
          <t>Nimbus Fitnes Lite-516</t>
        </is>
      </c>
      <c r="D8569" s="58" t="inlineStr">
        <is>
          <t>Sports</t>
        </is>
      </c>
      <c r="E8569" s="58" t="inlineStr">
        <is>
          <t>West</t>
        </is>
      </c>
      <c r="F8569" s="61" t="n">
        <v>2</v>
      </c>
      <c r="G8569" s="62" t="n">
        <v>652.89</v>
      </c>
      <c r="H8569" s="63" t="n">
        <v>0.153</v>
      </c>
      <c r="I8569" s="62" t="n">
        <v>461.98</v>
      </c>
      <c r="J8569" s="58" t="inlineStr">
        <is>
          <t>Online</t>
        </is>
      </c>
      <c r="K8569" s="62">
        <f>F8569*(G8569-H8569)</f>
        <v/>
      </c>
      <c r="L8569" s="62">
        <f>K8569-(F8569*I8569)</f>
        <v/>
      </c>
      <c r="M8569" s="64">
        <f>L8569/K8569</f>
        <v/>
      </c>
    </row>
    <row r="8570">
      <c r="A8570" s="58" t="inlineStr">
        <is>
          <t>RT20250802-08569</t>
        </is>
      </c>
      <c r="B8570" s="59" t="inlineStr">
        <is>
          <t>2025-08-02</t>
        </is>
      </c>
      <c r="C8570" s="60" t="inlineStr">
        <is>
          <t>Solace Kid S-384</t>
        </is>
      </c>
      <c r="D8570" s="58" t="inlineStr">
        <is>
          <t>Apparel</t>
        </is>
      </c>
      <c r="E8570" s="58" t="inlineStr">
        <is>
          <t>East</t>
        </is>
      </c>
      <c r="F8570" s="61" t="n">
        <v>2</v>
      </c>
      <c r="G8570" s="62" t="n">
        <v>108.27</v>
      </c>
      <c r="H8570" s="63" t="n">
        <v>0.141</v>
      </c>
      <c r="I8570" s="62" t="n">
        <v>62.63</v>
      </c>
      <c r="J8570" s="58" t="inlineStr">
        <is>
          <t>Phone</t>
        </is>
      </c>
      <c r="K8570" s="62">
        <f>F8570*(G8570-H8570)</f>
        <v/>
      </c>
      <c r="L8570" s="62">
        <f>K8570-(F8570*I8570)</f>
        <v/>
      </c>
      <c r="M8570" s="64">
        <f>L8570/K8570</f>
        <v/>
      </c>
    </row>
    <row r="8571">
      <c r="A8571" s="58" t="inlineStr">
        <is>
          <t>RT20250802-08570</t>
        </is>
      </c>
      <c r="B8571" s="59" t="inlineStr">
        <is>
          <t>2025-08-02</t>
        </is>
      </c>
      <c r="C8571" s="60" t="inlineStr">
        <is>
          <t>Vertex Appliance Max-338</t>
        </is>
      </c>
      <c r="D8571" s="58" t="inlineStr">
        <is>
          <t>Home</t>
        </is>
      </c>
      <c r="E8571" s="58" t="inlineStr">
        <is>
          <t>South</t>
        </is>
      </c>
      <c r="F8571" s="61" t="n">
        <v>2</v>
      </c>
      <c r="G8571" s="62" t="n">
        <v>416.19</v>
      </c>
      <c r="H8571" s="63" t="n">
        <v>0.134</v>
      </c>
      <c r="I8571" s="62" t="n">
        <v>292.78</v>
      </c>
      <c r="J8571" s="58" t="inlineStr">
        <is>
          <t>Phone</t>
        </is>
      </c>
      <c r="K8571" s="62">
        <f>F8571*(G8571-H8571)</f>
        <v/>
      </c>
      <c r="L8571" s="62">
        <f>K8571-(F8571*I8571)</f>
        <v/>
      </c>
      <c r="M8571" s="64">
        <f>L8571/K8571</f>
        <v/>
      </c>
    </row>
    <row r="8572">
      <c r="A8572" s="58" t="inlineStr">
        <is>
          <t>RT20250802-08571</t>
        </is>
      </c>
      <c r="B8572" s="59" t="inlineStr">
        <is>
          <t>2025-08-02</t>
        </is>
      </c>
      <c r="C8572" s="60" t="inlineStr">
        <is>
          <t>Aurora Smartphone Plus-125</t>
        </is>
      </c>
      <c r="D8572" s="58" t="inlineStr">
        <is>
          <t>Electronics</t>
        </is>
      </c>
      <c r="E8572" s="58" t="inlineStr">
        <is>
          <t>South</t>
        </is>
      </c>
      <c r="F8572" s="61" t="n">
        <v>1</v>
      </c>
      <c r="G8572" s="62" t="n">
        <v>1458.74</v>
      </c>
      <c r="H8572" s="63" t="n">
        <v>0.144</v>
      </c>
      <c r="I8572" s="62" t="n">
        <v>1212.31</v>
      </c>
      <c r="J8572" s="58" t="inlineStr">
        <is>
          <t>Online</t>
        </is>
      </c>
      <c r="K8572" s="62">
        <f>F8572*(G8572-H8572)</f>
        <v/>
      </c>
      <c r="L8572" s="62">
        <f>K8572-(F8572*I8572)</f>
        <v/>
      </c>
      <c r="M8572" s="64">
        <f>L8572/K8572</f>
        <v/>
      </c>
    </row>
    <row r="8573">
      <c r="A8573" s="58" t="inlineStr">
        <is>
          <t>RT20250802-08572</t>
        </is>
      </c>
      <c r="B8573" s="59" t="inlineStr">
        <is>
          <t>2025-08-02</t>
        </is>
      </c>
      <c r="C8573" s="60" t="inlineStr">
        <is>
          <t>Polar Snack Pro-641</t>
        </is>
      </c>
      <c r="D8573" s="58" t="inlineStr">
        <is>
          <t>Grocery</t>
        </is>
      </c>
      <c r="E8573" s="58" t="inlineStr">
        <is>
          <t>East</t>
        </is>
      </c>
      <c r="F8573" s="61" t="n">
        <v>2</v>
      </c>
      <c r="G8573" s="62" t="n">
        <v>13.46</v>
      </c>
      <c r="H8573" s="63" t="n">
        <v>0.152</v>
      </c>
      <c r="I8573" s="62" t="n">
        <v>9.720000000000001</v>
      </c>
      <c r="J8573" s="58" t="inlineStr">
        <is>
          <t>Store</t>
        </is>
      </c>
      <c r="K8573" s="62">
        <f>F8573*(G8573-H8573)</f>
        <v/>
      </c>
      <c r="L8573" s="62">
        <f>K8573-(F8573*I8573)</f>
        <v/>
      </c>
      <c r="M8573" s="64">
        <f>L8573/K8573</f>
        <v/>
      </c>
    </row>
    <row r="8574">
      <c r="A8574" s="58" t="inlineStr">
        <is>
          <t>RT20250802-08573</t>
        </is>
      </c>
      <c r="B8574" s="59" t="inlineStr">
        <is>
          <t>2025-08-02</t>
        </is>
      </c>
      <c r="C8574" s="60" t="inlineStr">
        <is>
          <t>Falcon Kitchen X-130</t>
        </is>
      </c>
      <c r="D8574" s="58" t="inlineStr">
        <is>
          <t>Home</t>
        </is>
      </c>
      <c r="E8574" s="58" t="inlineStr">
        <is>
          <t>East</t>
        </is>
      </c>
      <c r="F8574" s="61" t="n">
        <v>2</v>
      </c>
      <c r="G8574" s="62" t="n">
        <v>517.15</v>
      </c>
      <c r="H8574" s="63" t="n">
        <v>0.177</v>
      </c>
      <c r="I8574" s="62" t="n">
        <v>288.23</v>
      </c>
      <c r="J8574" s="58" t="inlineStr">
        <is>
          <t>Online</t>
        </is>
      </c>
      <c r="K8574" s="62">
        <f>F8574*(G8574-H8574)</f>
        <v/>
      </c>
      <c r="L8574" s="62">
        <f>K8574-(F8574*I8574)</f>
        <v/>
      </c>
      <c r="M8574" s="64">
        <f>L8574/K8574</f>
        <v/>
      </c>
    </row>
    <row r="8575">
      <c r="A8575" s="58" t="inlineStr">
        <is>
          <t>RT20250802-08574</t>
        </is>
      </c>
      <c r="B8575" s="59" t="inlineStr">
        <is>
          <t>2025-08-02</t>
        </is>
      </c>
      <c r="C8575" s="60" t="inlineStr">
        <is>
          <t>Polar Decor Plus-505</t>
        </is>
      </c>
      <c r="D8575" s="58" t="inlineStr">
        <is>
          <t>Home</t>
        </is>
      </c>
      <c r="E8575" s="58" t="inlineStr">
        <is>
          <t>Central</t>
        </is>
      </c>
      <c r="F8575" s="61" t="n">
        <v>1</v>
      </c>
      <c r="G8575" s="62" t="n">
        <v>309.58</v>
      </c>
      <c r="H8575" s="63" t="n">
        <v>0.106</v>
      </c>
      <c r="I8575" s="62" t="n">
        <v>204.62</v>
      </c>
      <c r="J8575" s="58" t="inlineStr">
        <is>
          <t>Online</t>
        </is>
      </c>
      <c r="K8575" s="62">
        <f>F8575*(G8575-H8575)</f>
        <v/>
      </c>
      <c r="L8575" s="62">
        <f>K8575-(F8575*I8575)</f>
        <v/>
      </c>
      <c r="M8575" s="64">
        <f>L8575/K8575</f>
        <v/>
      </c>
    </row>
    <row r="8576">
      <c r="A8576" s="58" t="inlineStr">
        <is>
          <t>RT20250802-08575</t>
        </is>
      </c>
      <c r="B8576" s="59" t="inlineStr">
        <is>
          <t>2025-08-02</t>
        </is>
      </c>
      <c r="C8576" s="60" t="inlineStr">
        <is>
          <t>Metro Fragrance Lite-261</t>
        </is>
      </c>
      <c r="D8576" s="58" t="inlineStr">
        <is>
          <t>Beauty</t>
        </is>
      </c>
      <c r="E8576" s="58" t="inlineStr">
        <is>
          <t>East</t>
        </is>
      </c>
      <c r="F8576" s="61" t="n">
        <v>3</v>
      </c>
      <c r="G8576" s="62" t="n">
        <v>87.17</v>
      </c>
      <c r="H8576" s="63" t="n">
        <v>0.19</v>
      </c>
      <c r="I8576" s="62" t="n">
        <v>56.41</v>
      </c>
      <c r="J8576" s="58" t="inlineStr">
        <is>
          <t>Store</t>
        </is>
      </c>
      <c r="K8576" s="62">
        <f>F8576*(G8576-H8576)</f>
        <v/>
      </c>
      <c r="L8576" s="62">
        <f>K8576-(F8576*I8576)</f>
        <v/>
      </c>
      <c r="M8576" s="64">
        <f>L8576/K8576</f>
        <v/>
      </c>
    </row>
    <row r="8577">
      <c r="A8577" s="58" t="inlineStr">
        <is>
          <t>RT20250802-08576</t>
        </is>
      </c>
      <c r="B8577" s="59" t="inlineStr">
        <is>
          <t>2025-08-02</t>
        </is>
      </c>
      <c r="C8577" s="60" t="inlineStr">
        <is>
          <t>Polar Women S-662</t>
        </is>
      </c>
      <c r="D8577" s="58" t="inlineStr">
        <is>
          <t>Apparel</t>
        </is>
      </c>
      <c r="E8577" s="58" t="inlineStr">
        <is>
          <t>Central</t>
        </is>
      </c>
      <c r="F8577" s="61" t="n">
        <v>4</v>
      </c>
      <c r="G8577" s="62" t="n">
        <v>170.16</v>
      </c>
      <c r="H8577" s="63" t="n">
        <v>0.117</v>
      </c>
      <c r="I8577" s="62" t="n">
        <v>96.06</v>
      </c>
      <c r="J8577" s="58" t="inlineStr">
        <is>
          <t>Store</t>
        </is>
      </c>
      <c r="K8577" s="62">
        <f>F8577*(G8577-H8577)</f>
        <v/>
      </c>
      <c r="L8577" s="62">
        <f>K8577-(F8577*I8577)</f>
        <v/>
      </c>
      <c r="M8577" s="64">
        <f>L8577/K8577</f>
        <v/>
      </c>
    </row>
    <row r="8578">
      <c r="A8578" s="58" t="inlineStr">
        <is>
          <t>RT20250802-08577</t>
        </is>
      </c>
      <c r="B8578" s="59" t="inlineStr">
        <is>
          <t>2025-08-02</t>
        </is>
      </c>
      <c r="C8578" s="60" t="inlineStr">
        <is>
          <t>Orion Snack X-322</t>
        </is>
      </c>
      <c r="D8578" s="58" t="inlineStr">
        <is>
          <t>Grocery</t>
        </is>
      </c>
      <c r="E8578" s="58" t="inlineStr">
        <is>
          <t>East</t>
        </is>
      </c>
      <c r="F8578" s="61" t="n">
        <v>6</v>
      </c>
      <c r="G8578" s="62" t="n">
        <v>13.43</v>
      </c>
      <c r="H8578" s="63" t="n">
        <v>0.132</v>
      </c>
      <c r="I8578" s="62" t="n">
        <v>10.13</v>
      </c>
      <c r="J8578" s="58" t="inlineStr">
        <is>
          <t>Store</t>
        </is>
      </c>
      <c r="K8578" s="62">
        <f>F8578*(G8578-H8578)</f>
        <v/>
      </c>
      <c r="L8578" s="62">
        <f>K8578-(F8578*I8578)</f>
        <v/>
      </c>
      <c r="M8578" s="64">
        <f>L8578/K8578</f>
        <v/>
      </c>
    </row>
    <row r="8579">
      <c r="A8579" s="58" t="inlineStr">
        <is>
          <t>RT20250802-08578</t>
        </is>
      </c>
      <c r="B8579" s="59" t="inlineStr">
        <is>
          <t>2025-08-02</t>
        </is>
      </c>
      <c r="C8579" s="60" t="inlineStr">
        <is>
          <t>Orion Kitchen Pro-568</t>
        </is>
      </c>
      <c r="D8579" s="58" t="inlineStr">
        <is>
          <t>Home</t>
        </is>
      </c>
      <c r="E8579" s="58" t="inlineStr">
        <is>
          <t>South</t>
        </is>
      </c>
      <c r="F8579" s="61" t="n">
        <v>2</v>
      </c>
      <c r="G8579" s="62" t="n">
        <v>380.05</v>
      </c>
      <c r="H8579" s="63" t="n">
        <v>0.153</v>
      </c>
      <c r="I8579" s="62" t="n">
        <v>309.76</v>
      </c>
      <c r="J8579" s="58" t="inlineStr">
        <is>
          <t>Store</t>
        </is>
      </c>
      <c r="K8579" s="62">
        <f>F8579*(G8579-H8579)</f>
        <v/>
      </c>
      <c r="L8579" s="62">
        <f>K8579-(F8579*I8579)</f>
        <v/>
      </c>
      <c r="M8579" s="64">
        <f>L8579/K8579</f>
        <v/>
      </c>
    </row>
    <row r="8580">
      <c r="A8580" s="58" t="inlineStr">
        <is>
          <t>RT20250802-08579</t>
        </is>
      </c>
      <c r="B8580" s="59" t="inlineStr">
        <is>
          <t>2025-08-02</t>
        </is>
      </c>
      <c r="C8580" s="60" t="inlineStr">
        <is>
          <t>Nimbus Cycling Plus-911</t>
        </is>
      </c>
      <c r="D8580" s="58" t="inlineStr">
        <is>
          <t>Sports</t>
        </is>
      </c>
      <c r="E8580" s="58" t="inlineStr">
        <is>
          <t>East</t>
        </is>
      </c>
      <c r="F8580" s="61" t="n">
        <v>1</v>
      </c>
      <c r="G8580" s="62" t="n">
        <v>625.84</v>
      </c>
      <c r="H8580" s="63" t="n">
        <v>0.142</v>
      </c>
      <c r="I8580" s="62" t="n">
        <v>394.44</v>
      </c>
      <c r="J8580" s="58" t="inlineStr">
        <is>
          <t>Store</t>
        </is>
      </c>
      <c r="K8580" s="62">
        <f>F8580*(G8580-H8580)</f>
        <v/>
      </c>
      <c r="L8580" s="62">
        <f>K8580-(F8580*I8580)</f>
        <v/>
      </c>
      <c r="M8580" s="64">
        <f>L8580/K8580</f>
        <v/>
      </c>
    </row>
    <row r="8581">
      <c r="A8581" s="58" t="inlineStr">
        <is>
          <t>RT20250802-08580</t>
        </is>
      </c>
      <c r="B8581" s="59" t="inlineStr">
        <is>
          <t>2025-08-02</t>
        </is>
      </c>
      <c r="C8581" s="60" t="inlineStr">
        <is>
          <t>Falcon Furniture Plus-839</t>
        </is>
      </c>
      <c r="D8581" s="58" t="inlineStr">
        <is>
          <t>Office</t>
        </is>
      </c>
      <c r="E8581" s="58" t="inlineStr">
        <is>
          <t>West</t>
        </is>
      </c>
      <c r="F8581" s="61" t="n">
        <v>1</v>
      </c>
      <c r="G8581" s="62" t="n">
        <v>295.46</v>
      </c>
      <c r="H8581" s="63" t="n">
        <v>0.189</v>
      </c>
      <c r="I8581" s="62" t="n">
        <v>228.31</v>
      </c>
      <c r="J8581" s="58" t="inlineStr">
        <is>
          <t>Online</t>
        </is>
      </c>
      <c r="K8581" s="62">
        <f>F8581*(G8581-H8581)</f>
        <v/>
      </c>
      <c r="L8581" s="62">
        <f>K8581-(F8581*I8581)</f>
        <v/>
      </c>
      <c r="M8581" s="64">
        <f>L8581/K8581</f>
        <v/>
      </c>
    </row>
    <row r="8582">
      <c r="A8582" s="58" t="inlineStr">
        <is>
          <t>RT20250802-08581</t>
        </is>
      </c>
      <c r="B8582" s="59" t="inlineStr">
        <is>
          <t>2025-08-02</t>
        </is>
      </c>
      <c r="C8582" s="60" t="inlineStr">
        <is>
          <t>Polar Fragrance Pro-750</t>
        </is>
      </c>
      <c r="D8582" s="58" t="inlineStr">
        <is>
          <t>Beauty</t>
        </is>
      </c>
      <c r="E8582" s="58" t="inlineStr">
        <is>
          <t>East</t>
        </is>
      </c>
      <c r="F8582" s="61" t="n">
        <v>5</v>
      </c>
      <c r="G8582" s="62" t="n">
        <v>63.81</v>
      </c>
      <c r="H8582" s="63" t="n">
        <v>0.18</v>
      </c>
      <c r="I8582" s="62" t="n">
        <v>37.26</v>
      </c>
      <c r="J8582" s="58" t="inlineStr">
        <is>
          <t>Store</t>
        </is>
      </c>
      <c r="K8582" s="62">
        <f>F8582*(G8582-H8582)</f>
        <v/>
      </c>
      <c r="L8582" s="62">
        <f>K8582-(F8582*I8582)</f>
        <v/>
      </c>
      <c r="M8582" s="64">
        <f>L8582/K8582</f>
        <v/>
      </c>
    </row>
    <row r="8583">
      <c r="A8583" s="58" t="inlineStr">
        <is>
          <t>RT20250802-08582</t>
        </is>
      </c>
      <c r="B8583" s="59" t="inlineStr">
        <is>
          <t>2025-08-02</t>
        </is>
      </c>
      <c r="C8583" s="60" t="inlineStr">
        <is>
          <t>Orion Team Sport X-926</t>
        </is>
      </c>
      <c r="D8583" s="58" t="inlineStr">
        <is>
          <t>Sports</t>
        </is>
      </c>
      <c r="E8583" s="58" t="inlineStr">
        <is>
          <t>South</t>
        </is>
      </c>
      <c r="F8583" s="61" t="n">
        <v>2</v>
      </c>
      <c r="G8583" s="62" t="n">
        <v>301.4</v>
      </c>
      <c r="H8583" s="63" t="n">
        <v>0.179</v>
      </c>
      <c r="I8583" s="62" t="n">
        <v>210.94</v>
      </c>
      <c r="J8583" s="58" t="inlineStr">
        <is>
          <t>Online</t>
        </is>
      </c>
      <c r="K8583" s="62">
        <f>F8583*(G8583-H8583)</f>
        <v/>
      </c>
      <c r="L8583" s="62">
        <f>K8583-(F8583*I8583)</f>
        <v/>
      </c>
      <c r="M8583" s="64">
        <f>L8583/K8583</f>
        <v/>
      </c>
    </row>
    <row r="8584">
      <c r="A8584" s="58" t="inlineStr">
        <is>
          <t>RT20250802-08583</t>
        </is>
      </c>
      <c r="B8584" s="59" t="inlineStr">
        <is>
          <t>2025-08-02</t>
        </is>
      </c>
      <c r="C8584" s="60" t="inlineStr">
        <is>
          <t>Solace Headphone Pro-344</t>
        </is>
      </c>
      <c r="D8584" s="58" t="inlineStr">
        <is>
          <t>Electronics</t>
        </is>
      </c>
      <c r="E8584" s="58" t="inlineStr">
        <is>
          <t>West</t>
        </is>
      </c>
      <c r="F8584" s="61" t="n">
        <v>1</v>
      </c>
      <c r="G8584" s="62" t="n">
        <v>1358.93</v>
      </c>
      <c r="H8584" s="63" t="n">
        <v>0.123</v>
      </c>
      <c r="I8584" s="62" t="n">
        <v>1091.42</v>
      </c>
      <c r="J8584" s="58" t="inlineStr">
        <is>
          <t>Online</t>
        </is>
      </c>
      <c r="K8584" s="62">
        <f>F8584*(G8584-H8584)</f>
        <v/>
      </c>
      <c r="L8584" s="62">
        <f>K8584-(F8584*I8584)</f>
        <v/>
      </c>
      <c r="M8584" s="64">
        <f>L8584/K8584</f>
        <v/>
      </c>
    </row>
    <row r="8585">
      <c r="A8585" s="58" t="inlineStr">
        <is>
          <t>RT20250802-08584</t>
        </is>
      </c>
      <c r="B8585" s="59" t="inlineStr">
        <is>
          <t>2025-08-02</t>
        </is>
      </c>
      <c r="C8585" s="60" t="inlineStr">
        <is>
          <t>Falcon Skincare X-334</t>
        </is>
      </c>
      <c r="D8585" s="58" t="inlineStr">
        <is>
          <t>Beauty</t>
        </is>
      </c>
      <c r="E8585" s="58" t="inlineStr">
        <is>
          <t>West</t>
        </is>
      </c>
      <c r="F8585" s="61" t="n">
        <v>5</v>
      </c>
      <c r="G8585" s="62" t="n">
        <v>119</v>
      </c>
      <c r="H8585" s="63" t="n">
        <v>0.127</v>
      </c>
      <c r="I8585" s="62" t="n">
        <v>64.09</v>
      </c>
      <c r="J8585" s="58" t="inlineStr">
        <is>
          <t>Store</t>
        </is>
      </c>
      <c r="K8585" s="62">
        <f>F8585*(G8585-H8585)</f>
        <v/>
      </c>
      <c r="L8585" s="62">
        <f>K8585-(F8585*I8585)</f>
        <v/>
      </c>
      <c r="M8585" s="64">
        <f>L8585/K8585</f>
        <v/>
      </c>
    </row>
    <row r="8586">
      <c r="A8586" s="58" t="inlineStr">
        <is>
          <t>RT20250802-08585</t>
        </is>
      </c>
      <c r="B8586" s="59" t="inlineStr">
        <is>
          <t>2025-08-02</t>
        </is>
      </c>
      <c r="C8586" s="60" t="inlineStr">
        <is>
          <t>Orion Supplie S-612</t>
        </is>
      </c>
      <c r="D8586" s="58" t="inlineStr">
        <is>
          <t>Office</t>
        </is>
      </c>
      <c r="E8586" s="58" t="inlineStr">
        <is>
          <t>Central</t>
        </is>
      </c>
      <c r="F8586" s="61" t="n">
        <v>2</v>
      </c>
      <c r="G8586" s="62" t="n">
        <v>441.4</v>
      </c>
      <c r="H8586" s="63" t="n">
        <v>0.11</v>
      </c>
      <c r="I8586" s="62" t="n">
        <v>337.75</v>
      </c>
      <c r="J8586" s="58" t="inlineStr">
        <is>
          <t>Store</t>
        </is>
      </c>
      <c r="K8586" s="62">
        <f>F8586*(G8586-H8586)</f>
        <v/>
      </c>
      <c r="L8586" s="62">
        <f>K8586-(F8586*I8586)</f>
        <v/>
      </c>
      <c r="M8586" s="64">
        <f>L8586/K8586</f>
        <v/>
      </c>
    </row>
    <row r="8587">
      <c r="A8587" s="58" t="inlineStr">
        <is>
          <t>RT20250802-08586</t>
        </is>
      </c>
      <c r="B8587" s="59" t="inlineStr">
        <is>
          <t>2025-08-02</t>
        </is>
      </c>
      <c r="C8587" s="60" t="inlineStr">
        <is>
          <t>Nimbus Cycling Plus-911</t>
        </is>
      </c>
      <c r="D8587" s="58" t="inlineStr">
        <is>
          <t>Sports</t>
        </is>
      </c>
      <c r="E8587" s="58" t="inlineStr">
        <is>
          <t>South</t>
        </is>
      </c>
      <c r="F8587" s="61" t="n">
        <v>1</v>
      </c>
      <c r="G8587" s="62" t="n">
        <v>701.13</v>
      </c>
      <c r="H8587" s="63" t="n">
        <v>0.164</v>
      </c>
      <c r="I8587" s="62" t="n">
        <v>403.82</v>
      </c>
      <c r="J8587" s="58" t="inlineStr">
        <is>
          <t>Online</t>
        </is>
      </c>
      <c r="K8587" s="62">
        <f>F8587*(G8587-H8587)</f>
        <v/>
      </c>
      <c r="L8587" s="62">
        <f>K8587-(F8587*I8587)</f>
        <v/>
      </c>
      <c r="M8587" s="64">
        <f>L8587/K8587</f>
        <v/>
      </c>
    </row>
    <row r="8588">
      <c r="A8588" s="58" t="inlineStr">
        <is>
          <t>RT20250802-08587</t>
        </is>
      </c>
      <c r="B8588" s="59" t="inlineStr">
        <is>
          <t>2025-08-02</t>
        </is>
      </c>
      <c r="C8588" s="60" t="inlineStr">
        <is>
          <t>Aurora Skincare Max-798</t>
        </is>
      </c>
      <c r="D8588" s="58" t="inlineStr">
        <is>
          <t>Beauty</t>
        </is>
      </c>
      <c r="E8588" s="58" t="inlineStr">
        <is>
          <t>South</t>
        </is>
      </c>
      <c r="F8588" s="61" t="n">
        <v>3</v>
      </c>
      <c r="G8588" s="62" t="n">
        <v>112.51</v>
      </c>
      <c r="H8588" s="63" t="n">
        <v>0.167</v>
      </c>
      <c r="I8588" s="62" t="n">
        <v>66.29000000000001</v>
      </c>
      <c r="J8588" s="58" t="inlineStr">
        <is>
          <t>Online</t>
        </is>
      </c>
      <c r="K8588" s="62">
        <f>F8588*(G8588-H8588)</f>
        <v/>
      </c>
      <c r="L8588" s="62">
        <f>K8588-(F8588*I8588)</f>
        <v/>
      </c>
      <c r="M8588" s="64">
        <f>L8588/K8588</f>
        <v/>
      </c>
    </row>
    <row r="8589">
      <c r="A8589" s="58" t="inlineStr">
        <is>
          <t>RT20250802-08588</t>
        </is>
      </c>
      <c r="B8589" s="59" t="inlineStr">
        <is>
          <t>2025-08-02</t>
        </is>
      </c>
      <c r="C8589" s="60" t="inlineStr">
        <is>
          <t>Vertex Smartphone Pro-256</t>
        </is>
      </c>
      <c r="D8589" s="58" t="inlineStr">
        <is>
          <t>Electronics</t>
        </is>
      </c>
      <c r="E8589" s="58" t="inlineStr">
        <is>
          <t>East</t>
        </is>
      </c>
      <c r="F8589" s="61" t="n">
        <v>2</v>
      </c>
      <c r="G8589" s="62" t="n">
        <v>1131.36</v>
      </c>
      <c r="H8589" s="63" t="n">
        <v>0.181</v>
      </c>
      <c r="I8589" s="62" t="n">
        <v>899.59</v>
      </c>
      <c r="J8589" s="58" t="inlineStr">
        <is>
          <t>Online</t>
        </is>
      </c>
      <c r="K8589" s="62">
        <f>F8589*(G8589-H8589)</f>
        <v/>
      </c>
      <c r="L8589" s="62">
        <f>K8589-(F8589*I8589)</f>
        <v/>
      </c>
      <c r="M8589" s="64">
        <f>L8589/K8589</f>
        <v/>
      </c>
    </row>
    <row r="8590">
      <c r="A8590" s="58" t="inlineStr">
        <is>
          <t>RT20250802-08589</t>
        </is>
      </c>
      <c r="B8590" s="59" t="inlineStr">
        <is>
          <t>2025-08-02</t>
        </is>
      </c>
      <c r="C8590" s="60" t="inlineStr">
        <is>
          <t>Metro Beverage Max-490</t>
        </is>
      </c>
      <c r="D8590" s="58" t="inlineStr">
        <is>
          <t>Grocery</t>
        </is>
      </c>
      <c r="E8590" s="58" t="inlineStr">
        <is>
          <t>North</t>
        </is>
      </c>
      <c r="F8590" s="61" t="n">
        <v>5</v>
      </c>
      <c r="G8590" s="62" t="n">
        <v>10.62</v>
      </c>
      <c r="H8590" s="63" t="n">
        <v>0.133</v>
      </c>
      <c r="I8590" s="62" t="n">
        <v>7.97</v>
      </c>
      <c r="J8590" s="58" t="inlineStr">
        <is>
          <t>Online</t>
        </is>
      </c>
      <c r="K8590" s="62">
        <f>F8590*(G8590-H8590)</f>
        <v/>
      </c>
      <c r="L8590" s="62">
        <f>K8590-(F8590*I8590)</f>
        <v/>
      </c>
      <c r="M8590" s="64">
        <f>L8590/K8590</f>
        <v/>
      </c>
    </row>
    <row r="8591">
      <c r="A8591" s="58" t="inlineStr">
        <is>
          <t>RT20250802-08590</t>
        </is>
      </c>
      <c r="B8591" s="59" t="inlineStr">
        <is>
          <t>2025-08-02</t>
        </is>
      </c>
      <c r="C8591" s="60" t="inlineStr">
        <is>
          <t>Metro Wearable Plus-234</t>
        </is>
      </c>
      <c r="D8591" s="58" t="inlineStr">
        <is>
          <t>Electronics</t>
        </is>
      </c>
      <c r="E8591" s="58" t="inlineStr">
        <is>
          <t>South</t>
        </is>
      </c>
      <c r="F8591" s="61" t="n">
        <v>1</v>
      </c>
      <c r="G8591" s="62" t="n">
        <v>1466.19</v>
      </c>
      <c r="H8591" s="63" t="n">
        <v>0.181</v>
      </c>
      <c r="I8591" s="62" t="n">
        <v>1165.84</v>
      </c>
      <c r="J8591" s="58" t="inlineStr">
        <is>
          <t>Online</t>
        </is>
      </c>
      <c r="K8591" s="62">
        <f>F8591*(G8591-H8591)</f>
        <v/>
      </c>
      <c r="L8591" s="62">
        <f>K8591-(F8591*I8591)</f>
        <v/>
      </c>
      <c r="M8591" s="64">
        <f>L8591/K8591</f>
        <v/>
      </c>
    </row>
    <row r="8592">
      <c r="A8592" s="58" t="inlineStr">
        <is>
          <t>RT20250802-08591</t>
        </is>
      </c>
      <c r="B8592" s="59" t="inlineStr">
        <is>
          <t>2025-08-02</t>
        </is>
      </c>
      <c r="C8592" s="60" t="inlineStr">
        <is>
          <t>Metro Smartphone Max-773</t>
        </is>
      </c>
      <c r="D8592" s="58" t="inlineStr">
        <is>
          <t>Electronics</t>
        </is>
      </c>
      <c r="E8592" s="58" t="inlineStr">
        <is>
          <t>Central</t>
        </is>
      </c>
      <c r="F8592" s="61" t="n">
        <v>2</v>
      </c>
      <c r="G8592" s="62" t="n">
        <v>1295.88</v>
      </c>
      <c r="H8592" s="63" t="n">
        <v>0.125</v>
      </c>
      <c r="I8592" s="62" t="n">
        <v>1100.87</v>
      </c>
      <c r="J8592" s="58" t="inlineStr">
        <is>
          <t>Online</t>
        </is>
      </c>
      <c r="K8592" s="62">
        <f>F8592*(G8592-H8592)</f>
        <v/>
      </c>
      <c r="L8592" s="62">
        <f>K8592-(F8592*I8592)</f>
        <v/>
      </c>
      <c r="M8592" s="64">
        <f>L8592/K8592</f>
        <v/>
      </c>
    </row>
    <row r="8593">
      <c r="A8593" s="58" t="inlineStr">
        <is>
          <t>RT20250803-08592</t>
        </is>
      </c>
      <c r="B8593" s="59" t="inlineStr">
        <is>
          <t>2025-08-03</t>
        </is>
      </c>
      <c r="C8593" s="60" t="inlineStr">
        <is>
          <t>Polar Outdoor X-193</t>
        </is>
      </c>
      <c r="D8593" s="58" t="inlineStr">
        <is>
          <t>Sports</t>
        </is>
      </c>
      <c r="E8593" s="58" t="inlineStr">
        <is>
          <t>West</t>
        </is>
      </c>
      <c r="F8593" s="61" t="n">
        <v>2</v>
      </c>
      <c r="G8593" s="62" t="n">
        <v>674.77</v>
      </c>
      <c r="H8593" s="63" t="n">
        <v>0.074</v>
      </c>
      <c r="I8593" s="62" t="n">
        <v>469.16</v>
      </c>
      <c r="J8593" s="58" t="inlineStr">
        <is>
          <t>Online</t>
        </is>
      </c>
      <c r="K8593" s="62">
        <f>F8593*(G8593-H8593)</f>
        <v/>
      </c>
      <c r="L8593" s="62">
        <f>K8593-(F8593*I8593)</f>
        <v/>
      </c>
      <c r="M8593" s="64">
        <f>L8593/K8593</f>
        <v/>
      </c>
    </row>
    <row r="8594">
      <c r="A8594" s="58" t="inlineStr">
        <is>
          <t>RT20250803-08593</t>
        </is>
      </c>
      <c r="B8594" s="59" t="inlineStr">
        <is>
          <t>2025-08-03</t>
        </is>
      </c>
      <c r="C8594" s="60" t="inlineStr">
        <is>
          <t>Vertex Appliance S-159</t>
        </is>
      </c>
      <c r="D8594" s="58" t="inlineStr">
        <is>
          <t>Home</t>
        </is>
      </c>
      <c r="E8594" s="58" t="inlineStr">
        <is>
          <t>Central</t>
        </is>
      </c>
      <c r="F8594" s="61" t="n">
        <v>3</v>
      </c>
      <c r="G8594" s="62" t="n">
        <v>379.78</v>
      </c>
      <c r="H8594" s="63" t="n">
        <v>0.063</v>
      </c>
      <c r="I8594" s="62" t="n">
        <v>288.44</v>
      </c>
      <c r="J8594" s="58" t="inlineStr">
        <is>
          <t>Online</t>
        </is>
      </c>
      <c r="K8594" s="62">
        <f>F8594*(G8594-H8594)</f>
        <v/>
      </c>
      <c r="L8594" s="62">
        <f>K8594-(F8594*I8594)</f>
        <v/>
      </c>
      <c r="M8594" s="64">
        <f>L8594/K8594</f>
        <v/>
      </c>
    </row>
    <row r="8595">
      <c r="A8595" s="58" t="inlineStr">
        <is>
          <t>RT20250803-08594</t>
        </is>
      </c>
      <c r="B8595" s="59" t="inlineStr">
        <is>
          <t>2025-08-03</t>
        </is>
      </c>
      <c r="C8595" s="60" t="inlineStr">
        <is>
          <t>Solace Snack S-691</t>
        </is>
      </c>
      <c r="D8595" s="58" t="inlineStr">
        <is>
          <t>Grocery</t>
        </is>
      </c>
      <c r="E8595" s="58" t="inlineStr">
        <is>
          <t>South</t>
        </is>
      </c>
      <c r="F8595" s="61" t="n">
        <v>8</v>
      </c>
      <c r="G8595" s="62" t="n">
        <v>9.27</v>
      </c>
      <c r="H8595" s="63" t="n">
        <v>0.182</v>
      </c>
      <c r="I8595" s="62" t="n">
        <v>7.19</v>
      </c>
      <c r="J8595" s="58" t="inlineStr">
        <is>
          <t>Online</t>
        </is>
      </c>
      <c r="K8595" s="62">
        <f>F8595*(G8595-H8595)</f>
        <v/>
      </c>
      <c r="L8595" s="62">
        <f>K8595-(F8595*I8595)</f>
        <v/>
      </c>
      <c r="M8595" s="64">
        <f>L8595/K8595</f>
        <v/>
      </c>
    </row>
    <row r="8596">
      <c r="A8596" s="58" t="inlineStr">
        <is>
          <t>RT20250803-08595</t>
        </is>
      </c>
      <c r="B8596" s="59" t="inlineStr">
        <is>
          <t>2025-08-03</t>
        </is>
      </c>
      <c r="C8596" s="60" t="inlineStr">
        <is>
          <t>Aurora Furniture X-709</t>
        </is>
      </c>
      <c r="D8596" s="58" t="inlineStr">
        <is>
          <t>Office</t>
        </is>
      </c>
      <c r="E8596" s="58" t="inlineStr">
        <is>
          <t>North</t>
        </is>
      </c>
      <c r="F8596" s="61" t="n">
        <v>3</v>
      </c>
      <c r="G8596" s="62" t="n">
        <v>366.75</v>
      </c>
      <c r="H8596" s="63" t="n">
        <v>0.152</v>
      </c>
      <c r="I8596" s="62" t="n">
        <v>301.95</v>
      </c>
      <c r="J8596" s="58" t="inlineStr">
        <is>
          <t>Online</t>
        </is>
      </c>
      <c r="K8596" s="62">
        <f>F8596*(G8596-H8596)</f>
        <v/>
      </c>
      <c r="L8596" s="62">
        <f>K8596-(F8596*I8596)</f>
        <v/>
      </c>
      <c r="M8596" s="64">
        <f>L8596/K8596</f>
        <v/>
      </c>
    </row>
    <row r="8597">
      <c r="A8597" s="58" t="inlineStr">
        <is>
          <t>RT20250803-08596</t>
        </is>
      </c>
      <c r="B8597" s="59" t="inlineStr">
        <is>
          <t>2025-08-03</t>
        </is>
      </c>
      <c r="C8597" s="60" t="inlineStr">
        <is>
          <t>Falcon Furniture Plus-839</t>
        </is>
      </c>
      <c r="D8597" s="58" t="inlineStr">
        <is>
          <t>Office</t>
        </is>
      </c>
      <c r="E8597" s="58" t="inlineStr">
        <is>
          <t>Central</t>
        </is>
      </c>
      <c r="F8597" s="61" t="n">
        <v>3</v>
      </c>
      <c r="G8597" s="62" t="n">
        <v>316.69</v>
      </c>
      <c r="H8597" s="63" t="n">
        <v>0.141</v>
      </c>
      <c r="I8597" s="62" t="n">
        <v>228.9</v>
      </c>
      <c r="J8597" s="58" t="inlineStr">
        <is>
          <t>Online</t>
        </is>
      </c>
      <c r="K8597" s="62">
        <f>F8597*(G8597-H8597)</f>
        <v/>
      </c>
      <c r="L8597" s="62">
        <f>K8597-(F8597*I8597)</f>
        <v/>
      </c>
      <c r="M8597" s="64">
        <f>L8597/K8597</f>
        <v/>
      </c>
    </row>
    <row r="8598">
      <c r="A8598" s="58" t="inlineStr">
        <is>
          <t>RT20250803-08597</t>
        </is>
      </c>
      <c r="B8598" s="59" t="inlineStr">
        <is>
          <t>2025-08-03</t>
        </is>
      </c>
      <c r="C8598" s="60" t="inlineStr">
        <is>
          <t>Falcon Skincare Max-151</t>
        </is>
      </c>
      <c r="D8598" s="58" t="inlineStr">
        <is>
          <t>Beauty</t>
        </is>
      </c>
      <c r="E8598" s="58" t="inlineStr">
        <is>
          <t>West</t>
        </is>
      </c>
      <c r="F8598" s="61" t="n">
        <v>1</v>
      </c>
      <c r="G8598" s="62" t="n">
        <v>103.83</v>
      </c>
      <c r="H8598" s="63" t="n">
        <v>0.198</v>
      </c>
      <c r="I8598" s="62" t="n">
        <v>61.17</v>
      </c>
      <c r="J8598" s="58" t="inlineStr">
        <is>
          <t>Online</t>
        </is>
      </c>
      <c r="K8598" s="62">
        <f>F8598*(G8598-H8598)</f>
        <v/>
      </c>
      <c r="L8598" s="62">
        <f>K8598-(F8598*I8598)</f>
        <v/>
      </c>
      <c r="M8598" s="64">
        <f>L8598/K8598</f>
        <v/>
      </c>
    </row>
    <row r="8599">
      <c r="A8599" s="58" t="inlineStr">
        <is>
          <t>RT20250803-08598</t>
        </is>
      </c>
      <c r="B8599" s="59" t="inlineStr">
        <is>
          <t>2025-08-03</t>
        </is>
      </c>
      <c r="C8599" s="60" t="inlineStr">
        <is>
          <t>Solace Kitchen X-919</t>
        </is>
      </c>
      <c r="D8599" s="58" t="inlineStr">
        <is>
          <t>Home</t>
        </is>
      </c>
      <c r="E8599" s="58" t="inlineStr">
        <is>
          <t>Central</t>
        </is>
      </c>
      <c r="F8599" s="61" t="n">
        <v>3</v>
      </c>
      <c r="G8599" s="62" t="n">
        <v>437.93</v>
      </c>
      <c r="H8599" s="63" t="n">
        <v>0.124</v>
      </c>
      <c r="I8599" s="62" t="n">
        <v>257.7</v>
      </c>
      <c r="J8599" s="58" t="inlineStr">
        <is>
          <t>Store</t>
        </is>
      </c>
      <c r="K8599" s="62">
        <f>F8599*(G8599-H8599)</f>
        <v/>
      </c>
      <c r="L8599" s="62">
        <f>K8599-(F8599*I8599)</f>
        <v/>
      </c>
      <c r="M8599" s="64">
        <f>L8599/K8599</f>
        <v/>
      </c>
    </row>
    <row r="8600">
      <c r="A8600" s="58" t="inlineStr">
        <is>
          <t>RT20250803-08599</t>
        </is>
      </c>
      <c r="B8600" s="59" t="inlineStr">
        <is>
          <t>2025-08-03</t>
        </is>
      </c>
      <c r="C8600" s="60" t="inlineStr">
        <is>
          <t>Aurora Team Sport Plus-256</t>
        </is>
      </c>
      <c r="D8600" s="58" t="inlineStr">
        <is>
          <t>Sports</t>
        </is>
      </c>
      <c r="E8600" s="58" t="inlineStr">
        <is>
          <t>Central</t>
        </is>
      </c>
      <c r="F8600" s="61" t="n">
        <v>1</v>
      </c>
      <c r="G8600" s="62" t="n">
        <v>597.9</v>
      </c>
      <c r="H8600" s="63" t="n">
        <v>0.172</v>
      </c>
      <c r="I8600" s="62" t="n">
        <v>428.97</v>
      </c>
      <c r="J8600" s="58" t="inlineStr">
        <is>
          <t>Online</t>
        </is>
      </c>
      <c r="K8600" s="62">
        <f>F8600*(G8600-H8600)</f>
        <v/>
      </c>
      <c r="L8600" s="62">
        <f>K8600-(F8600*I8600)</f>
        <v/>
      </c>
      <c r="M8600" s="64">
        <f>L8600/K8600</f>
        <v/>
      </c>
    </row>
    <row r="8601">
      <c r="A8601" s="58" t="inlineStr">
        <is>
          <t>RT20250803-08600</t>
        </is>
      </c>
      <c r="B8601" s="59" t="inlineStr">
        <is>
          <t>2025-08-03</t>
        </is>
      </c>
      <c r="C8601" s="60" t="inlineStr">
        <is>
          <t>Metro Accessorie Max-316</t>
        </is>
      </c>
      <c r="D8601" s="58" t="inlineStr">
        <is>
          <t>Apparel</t>
        </is>
      </c>
      <c r="E8601" s="58" t="inlineStr">
        <is>
          <t>West</t>
        </is>
      </c>
      <c r="F8601" s="61" t="n">
        <v>4</v>
      </c>
      <c r="G8601" s="62" t="n">
        <v>176.09</v>
      </c>
      <c r="H8601" s="63" t="n">
        <v>0.092</v>
      </c>
      <c r="I8601" s="62" t="n">
        <v>94.41</v>
      </c>
      <c r="J8601" s="58" t="inlineStr">
        <is>
          <t>Online</t>
        </is>
      </c>
      <c r="K8601" s="62">
        <f>F8601*(G8601-H8601)</f>
        <v/>
      </c>
      <c r="L8601" s="62">
        <f>K8601-(F8601*I8601)</f>
        <v/>
      </c>
      <c r="M8601" s="64">
        <f>L8601/K8601</f>
        <v/>
      </c>
    </row>
    <row r="8602">
      <c r="A8602" s="58" t="inlineStr">
        <is>
          <t>RT20250803-08601</t>
        </is>
      </c>
      <c r="B8602" s="59" t="inlineStr">
        <is>
          <t>2025-08-03</t>
        </is>
      </c>
      <c r="C8602" s="60" t="inlineStr">
        <is>
          <t>Vertex Men X-995</t>
        </is>
      </c>
      <c r="D8602" s="58" t="inlineStr">
        <is>
          <t>Apparel</t>
        </is>
      </c>
      <c r="E8602" s="58" t="inlineStr">
        <is>
          <t>West</t>
        </is>
      </c>
      <c r="F8602" s="61" t="n">
        <v>4</v>
      </c>
      <c r="G8602" s="62" t="n">
        <v>102.18</v>
      </c>
      <c r="H8602" s="63" t="n">
        <v>0.127</v>
      </c>
      <c r="I8602" s="62" t="n">
        <v>56.99</v>
      </c>
      <c r="J8602" s="58" t="inlineStr">
        <is>
          <t>Online</t>
        </is>
      </c>
      <c r="K8602" s="62">
        <f>F8602*(G8602-H8602)</f>
        <v/>
      </c>
      <c r="L8602" s="62">
        <f>K8602-(F8602*I8602)</f>
        <v/>
      </c>
      <c r="M8602" s="64">
        <f>L8602/K8602</f>
        <v/>
      </c>
    </row>
    <row r="8603">
      <c r="A8603" s="58" t="inlineStr">
        <is>
          <t>RT20250803-08602</t>
        </is>
      </c>
      <c r="B8603" s="59" t="inlineStr">
        <is>
          <t>2025-08-03</t>
        </is>
      </c>
      <c r="C8603" s="60" t="inlineStr">
        <is>
          <t>Nimbus Fitnes Lite-516</t>
        </is>
      </c>
      <c r="D8603" s="58" t="inlineStr">
        <is>
          <t>Sports</t>
        </is>
      </c>
      <c r="E8603" s="58" t="inlineStr">
        <is>
          <t>East</t>
        </is>
      </c>
      <c r="F8603" s="61" t="n">
        <v>2</v>
      </c>
      <c r="G8603" s="62" t="n">
        <v>761.9</v>
      </c>
      <c r="H8603" s="63" t="n">
        <v>0.121</v>
      </c>
      <c r="I8603" s="62" t="n">
        <v>478.35</v>
      </c>
      <c r="J8603" s="58" t="inlineStr">
        <is>
          <t>Online</t>
        </is>
      </c>
      <c r="K8603" s="62">
        <f>F8603*(G8603-H8603)</f>
        <v/>
      </c>
      <c r="L8603" s="62">
        <f>K8603-(F8603*I8603)</f>
        <v/>
      </c>
      <c r="M8603" s="64">
        <f>L8603/K8603</f>
        <v/>
      </c>
    </row>
    <row r="8604">
      <c r="A8604" s="58" t="inlineStr">
        <is>
          <t>RT20250803-08603</t>
        </is>
      </c>
      <c r="B8604" s="59" t="inlineStr">
        <is>
          <t>2025-08-03</t>
        </is>
      </c>
      <c r="C8604" s="60" t="inlineStr">
        <is>
          <t>Orion Men X-928</t>
        </is>
      </c>
      <c r="D8604" s="58" t="inlineStr">
        <is>
          <t>Apparel</t>
        </is>
      </c>
      <c r="E8604" s="58" t="inlineStr">
        <is>
          <t>East</t>
        </is>
      </c>
      <c r="F8604" s="61" t="n">
        <v>3</v>
      </c>
      <c r="G8604" s="62" t="n">
        <v>108.78</v>
      </c>
      <c r="H8604" s="63" t="n">
        <v>0.186</v>
      </c>
      <c r="I8604" s="62" t="n">
        <v>64.06</v>
      </c>
      <c r="J8604" s="58" t="inlineStr">
        <is>
          <t>Store</t>
        </is>
      </c>
      <c r="K8604" s="62">
        <f>F8604*(G8604-H8604)</f>
        <v/>
      </c>
      <c r="L8604" s="62">
        <f>K8604-(F8604*I8604)</f>
        <v/>
      </c>
      <c r="M8604" s="64">
        <f>L8604/K8604</f>
        <v/>
      </c>
    </row>
    <row r="8605">
      <c r="A8605" s="58" t="inlineStr">
        <is>
          <t>RT20250803-08604</t>
        </is>
      </c>
      <c r="B8605" s="59" t="inlineStr">
        <is>
          <t>2025-08-03</t>
        </is>
      </c>
      <c r="C8605" s="60" t="inlineStr">
        <is>
          <t>Solace Makeup Pro-214</t>
        </is>
      </c>
      <c r="D8605" s="58" t="inlineStr">
        <is>
          <t>Beauty</t>
        </is>
      </c>
      <c r="E8605" s="58" t="inlineStr">
        <is>
          <t>East</t>
        </is>
      </c>
      <c r="F8605" s="61" t="n">
        <v>5</v>
      </c>
      <c r="G8605" s="62" t="n">
        <v>108.83</v>
      </c>
      <c r="H8605" s="63" t="n">
        <v>0.15</v>
      </c>
      <c r="I8605" s="62" t="n">
        <v>66.20999999999999</v>
      </c>
      <c r="J8605" s="58" t="inlineStr">
        <is>
          <t>Online</t>
        </is>
      </c>
      <c r="K8605" s="62">
        <f>F8605*(G8605-H8605)</f>
        <v/>
      </c>
      <c r="L8605" s="62">
        <f>K8605-(F8605*I8605)</f>
        <v/>
      </c>
      <c r="M8605" s="64">
        <f>L8605/K8605</f>
        <v/>
      </c>
    </row>
    <row r="8606">
      <c r="A8606" s="58" t="inlineStr">
        <is>
          <t>RT20250803-08605</t>
        </is>
      </c>
      <c r="B8606" s="59" t="inlineStr">
        <is>
          <t>2025-08-03</t>
        </is>
      </c>
      <c r="C8606" s="60" t="inlineStr">
        <is>
          <t>Polar Outdoor X-193</t>
        </is>
      </c>
      <c r="D8606" s="58" t="inlineStr">
        <is>
          <t>Sports</t>
        </is>
      </c>
      <c r="E8606" s="58" t="inlineStr">
        <is>
          <t>South</t>
        </is>
      </c>
      <c r="F8606" s="61" t="n">
        <v>1</v>
      </c>
      <c r="G8606" s="62" t="n">
        <v>724.65</v>
      </c>
      <c r="H8606" s="63" t="n">
        <v>0.145</v>
      </c>
      <c r="I8606" s="62" t="n">
        <v>464.92</v>
      </c>
      <c r="J8606" s="58" t="inlineStr">
        <is>
          <t>Online</t>
        </is>
      </c>
      <c r="K8606" s="62">
        <f>F8606*(G8606-H8606)</f>
        <v/>
      </c>
      <c r="L8606" s="62">
        <f>K8606-(F8606*I8606)</f>
        <v/>
      </c>
      <c r="M8606" s="64">
        <f>L8606/K8606</f>
        <v/>
      </c>
    </row>
    <row r="8607">
      <c r="A8607" s="58" t="inlineStr">
        <is>
          <t>RT20250803-08606</t>
        </is>
      </c>
      <c r="B8607" s="59" t="inlineStr">
        <is>
          <t>2025-08-03</t>
        </is>
      </c>
      <c r="C8607" s="60" t="inlineStr">
        <is>
          <t>Vertex Supplie X-513</t>
        </is>
      </c>
      <c r="D8607" s="58" t="inlineStr">
        <is>
          <t>Office</t>
        </is>
      </c>
      <c r="E8607" s="58" t="inlineStr">
        <is>
          <t>East</t>
        </is>
      </c>
      <c r="F8607" s="61" t="n">
        <v>3</v>
      </c>
      <c r="G8607" s="62" t="n">
        <v>422.75</v>
      </c>
      <c r="H8607" s="63" t="n">
        <v>0.1</v>
      </c>
      <c r="I8607" s="62" t="n">
        <v>274.76</v>
      </c>
      <c r="J8607" s="58" t="inlineStr">
        <is>
          <t>Store</t>
        </is>
      </c>
      <c r="K8607" s="62">
        <f>F8607*(G8607-H8607)</f>
        <v/>
      </c>
      <c r="L8607" s="62">
        <f>K8607-(F8607*I8607)</f>
        <v/>
      </c>
      <c r="M8607" s="64">
        <f>L8607/K8607</f>
        <v/>
      </c>
    </row>
    <row r="8608">
      <c r="A8608" s="58" t="inlineStr">
        <is>
          <t>RT20250803-08607</t>
        </is>
      </c>
      <c r="B8608" s="59" t="inlineStr">
        <is>
          <t>2025-08-03</t>
        </is>
      </c>
      <c r="C8608" s="60" t="inlineStr">
        <is>
          <t>Nimbus Men Plus-231</t>
        </is>
      </c>
      <c r="D8608" s="58" t="inlineStr">
        <is>
          <t>Apparel</t>
        </is>
      </c>
      <c r="E8608" s="58" t="inlineStr">
        <is>
          <t>Central</t>
        </is>
      </c>
      <c r="F8608" s="61" t="n">
        <v>2</v>
      </c>
      <c r="G8608" s="62" t="n">
        <v>163.29</v>
      </c>
      <c r="H8608" s="63" t="n">
        <v>0.151</v>
      </c>
      <c r="I8608" s="62" t="n">
        <v>87.69</v>
      </c>
      <c r="J8608" s="58" t="inlineStr">
        <is>
          <t>Online</t>
        </is>
      </c>
      <c r="K8608" s="62">
        <f>F8608*(G8608-H8608)</f>
        <v/>
      </c>
      <c r="L8608" s="62">
        <f>K8608-(F8608*I8608)</f>
        <v/>
      </c>
      <c r="M8608" s="64">
        <f>L8608/K8608</f>
        <v/>
      </c>
    </row>
    <row r="8609">
      <c r="A8609" s="58" t="inlineStr">
        <is>
          <t>RT20250803-08608</t>
        </is>
      </c>
      <c r="B8609" s="59" t="inlineStr">
        <is>
          <t>2025-08-03</t>
        </is>
      </c>
      <c r="C8609" s="60" t="inlineStr">
        <is>
          <t>Polar Bedding Lite-243</t>
        </is>
      </c>
      <c r="D8609" s="58" t="inlineStr">
        <is>
          <t>Home</t>
        </is>
      </c>
      <c r="E8609" s="58" t="inlineStr">
        <is>
          <t>East</t>
        </is>
      </c>
      <c r="F8609" s="61" t="n">
        <v>3</v>
      </c>
      <c r="G8609" s="62" t="n">
        <v>447.79</v>
      </c>
      <c r="H8609" s="63" t="n">
        <v>0.15</v>
      </c>
      <c r="I8609" s="62" t="n">
        <v>321.96</v>
      </c>
      <c r="J8609" s="58" t="inlineStr">
        <is>
          <t>Store</t>
        </is>
      </c>
      <c r="K8609" s="62">
        <f>F8609*(G8609-H8609)</f>
        <v/>
      </c>
      <c r="L8609" s="62">
        <f>K8609-(F8609*I8609)</f>
        <v/>
      </c>
      <c r="M8609" s="64">
        <f>L8609/K8609</f>
        <v/>
      </c>
    </row>
    <row r="8610">
      <c r="A8610" s="58" t="inlineStr">
        <is>
          <t>RT20250803-08609</t>
        </is>
      </c>
      <c r="B8610" s="59" t="inlineStr">
        <is>
          <t>2025-08-03</t>
        </is>
      </c>
      <c r="C8610" s="60" t="inlineStr">
        <is>
          <t>Orion Team Sport X-926</t>
        </is>
      </c>
      <c r="D8610" s="58" t="inlineStr">
        <is>
          <t>Sports</t>
        </is>
      </c>
      <c r="E8610" s="58" t="inlineStr">
        <is>
          <t>Central</t>
        </is>
      </c>
      <c r="F8610" s="61" t="n">
        <v>2</v>
      </c>
      <c r="G8610" s="62" t="n">
        <v>337.95</v>
      </c>
      <c r="H8610" s="63" t="n">
        <v>0.153</v>
      </c>
      <c r="I8610" s="62" t="n">
        <v>212.61</v>
      </c>
      <c r="J8610" s="58" t="inlineStr">
        <is>
          <t>Store</t>
        </is>
      </c>
      <c r="K8610" s="62">
        <f>F8610*(G8610-H8610)</f>
        <v/>
      </c>
      <c r="L8610" s="62">
        <f>K8610-(F8610*I8610)</f>
        <v/>
      </c>
      <c r="M8610" s="64">
        <f>L8610/K8610</f>
        <v/>
      </c>
    </row>
    <row r="8611">
      <c r="A8611" s="58" t="inlineStr">
        <is>
          <t>RT20250803-08610</t>
        </is>
      </c>
      <c r="B8611" s="59" t="inlineStr">
        <is>
          <t>2025-08-03</t>
        </is>
      </c>
      <c r="C8611" s="60" t="inlineStr">
        <is>
          <t>Solace Laptop S-367</t>
        </is>
      </c>
      <c r="D8611" s="58" t="inlineStr">
        <is>
          <t>Electronics</t>
        </is>
      </c>
      <c r="E8611" s="58" t="inlineStr">
        <is>
          <t>West</t>
        </is>
      </c>
      <c r="F8611" s="61" t="n">
        <v>2</v>
      </c>
      <c r="G8611" s="62" t="n">
        <v>2330.56</v>
      </c>
      <c r="H8611" s="63" t="n">
        <v>0.162</v>
      </c>
      <c r="I8611" s="62" t="n">
        <v>1594.48</v>
      </c>
      <c r="J8611" s="58" t="inlineStr">
        <is>
          <t>Phone</t>
        </is>
      </c>
      <c r="K8611" s="62">
        <f>F8611*(G8611-H8611)</f>
        <v/>
      </c>
      <c r="L8611" s="62">
        <f>K8611-(F8611*I8611)</f>
        <v/>
      </c>
      <c r="M8611" s="64">
        <f>L8611/K8611</f>
        <v/>
      </c>
    </row>
    <row r="8612">
      <c r="A8612" s="58" t="inlineStr">
        <is>
          <t>RT20250803-08611</t>
        </is>
      </c>
      <c r="B8612" s="59" t="inlineStr">
        <is>
          <t>2025-08-03</t>
        </is>
      </c>
      <c r="C8612" s="60" t="inlineStr">
        <is>
          <t>Vertex Skincare Pro-891</t>
        </is>
      </c>
      <c r="D8612" s="58" t="inlineStr">
        <is>
          <t>Beauty</t>
        </is>
      </c>
      <c r="E8612" s="58" t="inlineStr">
        <is>
          <t>Central</t>
        </is>
      </c>
      <c r="F8612" s="61" t="n">
        <v>2</v>
      </c>
      <c r="G8612" s="62" t="n">
        <v>141.75</v>
      </c>
      <c r="H8612" s="63" t="n">
        <v>0.083</v>
      </c>
      <c r="I8612" s="62" t="n">
        <v>85.91</v>
      </c>
      <c r="J8612" s="58" t="inlineStr">
        <is>
          <t>Online</t>
        </is>
      </c>
      <c r="K8612" s="62">
        <f>F8612*(G8612-H8612)</f>
        <v/>
      </c>
      <c r="L8612" s="62">
        <f>K8612-(F8612*I8612)</f>
        <v/>
      </c>
      <c r="M8612" s="64">
        <f>L8612/K8612</f>
        <v/>
      </c>
    </row>
    <row r="8613">
      <c r="A8613" s="58" t="inlineStr">
        <is>
          <t>RT20250803-08612</t>
        </is>
      </c>
      <c r="B8613" s="59" t="inlineStr">
        <is>
          <t>2025-08-03</t>
        </is>
      </c>
      <c r="C8613" s="60" t="inlineStr">
        <is>
          <t>Aurora Furniture X-709</t>
        </is>
      </c>
      <c r="D8613" s="58" t="inlineStr">
        <is>
          <t>Office</t>
        </is>
      </c>
      <c r="E8613" s="58" t="inlineStr">
        <is>
          <t>West</t>
        </is>
      </c>
      <c r="F8613" s="61" t="n">
        <v>2</v>
      </c>
      <c r="G8613" s="62" t="n">
        <v>409.47</v>
      </c>
      <c r="H8613" s="63" t="n">
        <v>0.205</v>
      </c>
      <c r="I8613" s="62" t="n">
        <v>309.35</v>
      </c>
      <c r="J8613" s="58" t="inlineStr">
        <is>
          <t>Store</t>
        </is>
      </c>
      <c r="K8613" s="62">
        <f>F8613*(G8613-H8613)</f>
        <v/>
      </c>
      <c r="L8613" s="62">
        <f>K8613-(F8613*I8613)</f>
        <v/>
      </c>
      <c r="M8613" s="64">
        <f>L8613/K8613</f>
        <v/>
      </c>
    </row>
    <row r="8614">
      <c r="A8614" s="58" t="inlineStr">
        <is>
          <t>RT20250803-08613</t>
        </is>
      </c>
      <c r="B8614" s="59" t="inlineStr">
        <is>
          <t>2025-08-03</t>
        </is>
      </c>
      <c r="C8614" s="60" t="inlineStr">
        <is>
          <t>Falcon Haircare Pro-980</t>
        </is>
      </c>
      <c r="D8614" s="58" t="inlineStr">
        <is>
          <t>Beauty</t>
        </is>
      </c>
      <c r="E8614" s="58" t="inlineStr">
        <is>
          <t>East</t>
        </is>
      </c>
      <c r="F8614" s="61" t="n">
        <v>5</v>
      </c>
      <c r="G8614" s="62" t="n">
        <v>88.14</v>
      </c>
      <c r="H8614" s="63" t="n">
        <v>0.178</v>
      </c>
      <c r="I8614" s="62" t="n">
        <v>58.09</v>
      </c>
      <c r="J8614" s="58" t="inlineStr">
        <is>
          <t>Store</t>
        </is>
      </c>
      <c r="K8614" s="62">
        <f>F8614*(G8614-H8614)</f>
        <v/>
      </c>
      <c r="L8614" s="62">
        <f>K8614-(F8614*I8614)</f>
        <v/>
      </c>
      <c r="M8614" s="64">
        <f>L8614/K8614</f>
        <v/>
      </c>
    </row>
    <row r="8615">
      <c r="A8615" s="58" t="inlineStr">
        <is>
          <t>RT20250803-08614</t>
        </is>
      </c>
      <c r="B8615" s="59" t="inlineStr">
        <is>
          <t>2025-08-03</t>
        </is>
      </c>
      <c r="C8615" s="60" t="inlineStr">
        <is>
          <t>Aurora Outdoor Pro-467</t>
        </is>
      </c>
      <c r="D8615" s="58" t="inlineStr">
        <is>
          <t>Sports</t>
        </is>
      </c>
      <c r="E8615" s="58" t="inlineStr">
        <is>
          <t>North</t>
        </is>
      </c>
      <c r="F8615" s="61" t="n">
        <v>3</v>
      </c>
      <c r="G8615" s="62" t="n">
        <v>292.12</v>
      </c>
      <c r="H8615" s="63" t="n">
        <v>0.143</v>
      </c>
      <c r="I8615" s="62" t="n">
        <v>188.25</v>
      </c>
      <c r="J8615" s="58" t="inlineStr">
        <is>
          <t>Online</t>
        </is>
      </c>
      <c r="K8615" s="62">
        <f>F8615*(G8615-H8615)</f>
        <v/>
      </c>
      <c r="L8615" s="62">
        <f>K8615-(F8615*I8615)</f>
        <v/>
      </c>
      <c r="M8615" s="64">
        <f>L8615/K8615</f>
        <v/>
      </c>
    </row>
    <row r="8616">
      <c r="A8616" s="58" t="inlineStr">
        <is>
          <t>RT20250803-08615</t>
        </is>
      </c>
      <c r="B8616" s="59" t="inlineStr">
        <is>
          <t>2025-08-03</t>
        </is>
      </c>
      <c r="C8616" s="60" t="inlineStr">
        <is>
          <t>Vertex Fitnes Pro-830</t>
        </is>
      </c>
      <c r="D8616" s="58" t="inlineStr">
        <is>
          <t>Sports</t>
        </is>
      </c>
      <c r="E8616" s="58" t="inlineStr">
        <is>
          <t>East</t>
        </is>
      </c>
      <c r="F8616" s="61" t="n">
        <v>3</v>
      </c>
      <c r="G8616" s="62" t="n">
        <v>782.38</v>
      </c>
      <c r="H8616" s="63" t="n">
        <v>0.108</v>
      </c>
      <c r="I8616" s="62" t="n">
        <v>489.19</v>
      </c>
      <c r="J8616" s="58" t="inlineStr">
        <is>
          <t>Phone</t>
        </is>
      </c>
      <c r="K8616" s="62">
        <f>F8616*(G8616-H8616)</f>
        <v/>
      </c>
      <c r="L8616" s="62">
        <f>K8616-(F8616*I8616)</f>
        <v/>
      </c>
      <c r="M8616" s="64">
        <f>L8616/K8616</f>
        <v/>
      </c>
    </row>
    <row r="8617">
      <c r="A8617" s="58" t="inlineStr">
        <is>
          <t>RT20250803-08616</t>
        </is>
      </c>
      <c r="B8617" s="59" t="inlineStr">
        <is>
          <t>2025-08-03</t>
        </is>
      </c>
      <c r="C8617" s="60" t="inlineStr">
        <is>
          <t>Vertex Headphone Pro-801</t>
        </is>
      </c>
      <c r="D8617" s="58" t="inlineStr">
        <is>
          <t>Electronics</t>
        </is>
      </c>
      <c r="E8617" s="58" t="inlineStr">
        <is>
          <t>Central</t>
        </is>
      </c>
      <c r="F8617" s="61" t="n">
        <v>2</v>
      </c>
      <c r="G8617" s="62" t="n">
        <v>1160.64</v>
      </c>
      <c r="H8617" s="63" t="n">
        <v>0.172</v>
      </c>
      <c r="I8617" s="62" t="n">
        <v>933.02</v>
      </c>
      <c r="J8617" s="58" t="inlineStr">
        <is>
          <t>Online</t>
        </is>
      </c>
      <c r="K8617" s="62">
        <f>F8617*(G8617-H8617)</f>
        <v/>
      </c>
      <c r="L8617" s="62">
        <f>K8617-(F8617*I8617)</f>
        <v/>
      </c>
      <c r="M8617" s="64">
        <f>L8617/K8617</f>
        <v/>
      </c>
    </row>
    <row r="8618">
      <c r="A8618" s="58" t="inlineStr">
        <is>
          <t>RT20250803-08617</t>
        </is>
      </c>
      <c r="B8618" s="59" t="inlineStr">
        <is>
          <t>2025-08-03</t>
        </is>
      </c>
      <c r="C8618" s="60" t="inlineStr">
        <is>
          <t>Solace Kitchen X-919</t>
        </is>
      </c>
      <c r="D8618" s="58" t="inlineStr">
        <is>
          <t>Home</t>
        </is>
      </c>
      <c r="E8618" s="58" t="inlineStr">
        <is>
          <t>South</t>
        </is>
      </c>
      <c r="F8618" s="61" t="n">
        <v>1</v>
      </c>
      <c r="G8618" s="62" t="n">
        <v>341.43</v>
      </c>
      <c r="H8618" s="63" t="n">
        <v>0.135</v>
      </c>
      <c r="I8618" s="62" t="n">
        <v>267.02</v>
      </c>
      <c r="J8618" s="58" t="inlineStr">
        <is>
          <t>Online</t>
        </is>
      </c>
      <c r="K8618" s="62">
        <f>F8618*(G8618-H8618)</f>
        <v/>
      </c>
      <c r="L8618" s="62">
        <f>K8618-(F8618*I8618)</f>
        <v/>
      </c>
      <c r="M8618" s="64">
        <f>L8618/K8618</f>
        <v/>
      </c>
    </row>
    <row r="8619">
      <c r="A8619" s="58" t="inlineStr">
        <is>
          <t>RT20250803-08618</t>
        </is>
      </c>
      <c r="B8619" s="59" t="inlineStr">
        <is>
          <t>2025-08-03</t>
        </is>
      </c>
      <c r="C8619" s="60" t="inlineStr">
        <is>
          <t>Polar Decor Plus-505</t>
        </is>
      </c>
      <c r="D8619" s="58" t="inlineStr">
        <is>
          <t>Home</t>
        </is>
      </c>
      <c r="E8619" s="58" t="inlineStr">
        <is>
          <t>East</t>
        </is>
      </c>
      <c r="F8619" s="61" t="n">
        <v>2</v>
      </c>
      <c r="G8619" s="62" t="n">
        <v>267.73</v>
      </c>
      <c r="H8619" s="63" t="n">
        <v>0.129</v>
      </c>
      <c r="I8619" s="62" t="n">
        <v>194.05</v>
      </c>
      <c r="J8619" s="58" t="inlineStr">
        <is>
          <t>Store</t>
        </is>
      </c>
      <c r="K8619" s="62">
        <f>F8619*(G8619-H8619)</f>
        <v/>
      </c>
      <c r="L8619" s="62">
        <f>K8619-(F8619*I8619)</f>
        <v/>
      </c>
      <c r="M8619" s="64">
        <f>L8619/K8619</f>
        <v/>
      </c>
    </row>
    <row r="8620">
      <c r="A8620" s="58" t="inlineStr">
        <is>
          <t>RT20250803-08619</t>
        </is>
      </c>
      <c r="B8620" s="59" t="inlineStr">
        <is>
          <t>2025-08-03</t>
        </is>
      </c>
      <c r="C8620" s="60" t="inlineStr">
        <is>
          <t>Orion Haircare Plus-887</t>
        </is>
      </c>
      <c r="D8620" s="58" t="inlineStr">
        <is>
          <t>Beauty</t>
        </is>
      </c>
      <c r="E8620" s="58" t="inlineStr">
        <is>
          <t>East</t>
        </is>
      </c>
      <c r="F8620" s="61" t="n">
        <v>4</v>
      </c>
      <c r="G8620" s="62" t="n">
        <v>52.06</v>
      </c>
      <c r="H8620" s="63" t="n">
        <v>0.217</v>
      </c>
      <c r="I8620" s="62" t="n">
        <v>31.57</v>
      </c>
      <c r="J8620" s="58" t="inlineStr">
        <is>
          <t>Online</t>
        </is>
      </c>
      <c r="K8620" s="62">
        <f>F8620*(G8620-H8620)</f>
        <v/>
      </c>
      <c r="L8620" s="62">
        <f>K8620-(F8620*I8620)</f>
        <v/>
      </c>
      <c r="M8620" s="64">
        <f>L8620/K8620</f>
        <v/>
      </c>
    </row>
    <row r="8621">
      <c r="A8621" s="58" t="inlineStr">
        <is>
          <t>RT20250803-08620</t>
        </is>
      </c>
      <c r="B8621" s="59" t="inlineStr">
        <is>
          <t>2025-08-03</t>
        </is>
      </c>
      <c r="C8621" s="60" t="inlineStr">
        <is>
          <t>Orion Snack X-322</t>
        </is>
      </c>
      <c r="D8621" s="58" t="inlineStr">
        <is>
          <t>Grocery</t>
        </is>
      </c>
      <c r="E8621" s="58" t="inlineStr">
        <is>
          <t>East</t>
        </is>
      </c>
      <c r="F8621" s="61" t="n">
        <v>8</v>
      </c>
      <c r="G8621" s="62" t="n">
        <v>11.79</v>
      </c>
      <c r="H8621" s="63" t="n">
        <v>0.129</v>
      </c>
      <c r="I8621" s="62" t="n">
        <v>9.970000000000001</v>
      </c>
      <c r="J8621" s="58" t="inlineStr">
        <is>
          <t>Online</t>
        </is>
      </c>
      <c r="K8621" s="62">
        <f>F8621*(G8621-H8621)</f>
        <v/>
      </c>
      <c r="L8621" s="62">
        <f>K8621-(F8621*I8621)</f>
        <v/>
      </c>
      <c r="M8621" s="64">
        <f>L8621/K8621</f>
        <v/>
      </c>
    </row>
    <row r="8622">
      <c r="A8622" s="58" t="inlineStr">
        <is>
          <t>RT20250803-08621</t>
        </is>
      </c>
      <c r="B8622" s="59" t="inlineStr">
        <is>
          <t>2025-08-03</t>
        </is>
      </c>
      <c r="C8622" s="60" t="inlineStr">
        <is>
          <t>Vertex Smartphone Pro-256</t>
        </is>
      </c>
      <c r="D8622" s="58" t="inlineStr">
        <is>
          <t>Electronics</t>
        </is>
      </c>
      <c r="E8622" s="58" t="inlineStr">
        <is>
          <t>North</t>
        </is>
      </c>
      <c r="F8622" s="61" t="n">
        <v>1</v>
      </c>
      <c r="G8622" s="62" t="n">
        <v>1236.08</v>
      </c>
      <c r="H8622" s="63" t="n">
        <v>0.165</v>
      </c>
      <c r="I8622" s="62" t="n">
        <v>916.77</v>
      </c>
      <c r="J8622" s="58" t="inlineStr">
        <is>
          <t>Store</t>
        </is>
      </c>
      <c r="K8622" s="62">
        <f>F8622*(G8622-H8622)</f>
        <v/>
      </c>
      <c r="L8622" s="62">
        <f>K8622-(F8622*I8622)</f>
        <v/>
      </c>
      <c r="M8622" s="64">
        <f>L8622/K8622</f>
        <v/>
      </c>
    </row>
    <row r="8623">
      <c r="A8623" s="58" t="inlineStr">
        <is>
          <t>RT20250803-08622</t>
        </is>
      </c>
      <c r="B8623" s="59" t="inlineStr">
        <is>
          <t>2025-08-03</t>
        </is>
      </c>
      <c r="C8623" s="60" t="inlineStr">
        <is>
          <t>Falcon Headphone Plus-789</t>
        </is>
      </c>
      <c r="D8623" s="58" t="inlineStr">
        <is>
          <t>Electronics</t>
        </is>
      </c>
      <c r="E8623" s="58" t="inlineStr">
        <is>
          <t>Central</t>
        </is>
      </c>
      <c r="F8623" s="61" t="n">
        <v>1</v>
      </c>
      <c r="G8623" s="62" t="n">
        <v>1775.75</v>
      </c>
      <c r="H8623" s="63" t="n">
        <v>0.161</v>
      </c>
      <c r="I8623" s="62" t="n">
        <v>1344.11</v>
      </c>
      <c r="J8623" s="58" t="inlineStr">
        <is>
          <t>Online</t>
        </is>
      </c>
      <c r="K8623" s="62">
        <f>F8623*(G8623-H8623)</f>
        <v/>
      </c>
      <c r="L8623" s="62">
        <f>K8623-(F8623*I8623)</f>
        <v/>
      </c>
      <c r="M8623" s="64">
        <f>L8623/K8623</f>
        <v/>
      </c>
    </row>
    <row r="8624">
      <c r="A8624" s="58" t="inlineStr">
        <is>
          <t>RT20250804-08623</t>
        </is>
      </c>
      <c r="B8624" s="59" t="inlineStr">
        <is>
          <t>2025-08-04</t>
        </is>
      </c>
      <c r="C8624" s="60" t="inlineStr">
        <is>
          <t>Polar Women S-662</t>
        </is>
      </c>
      <c r="D8624" s="58" t="inlineStr">
        <is>
          <t>Apparel</t>
        </is>
      </c>
      <c r="E8624" s="58" t="inlineStr">
        <is>
          <t>West</t>
        </is>
      </c>
      <c r="F8624" s="61" t="n">
        <v>1</v>
      </c>
      <c r="G8624" s="62" t="n">
        <v>154.78</v>
      </c>
      <c r="H8624" s="63" t="n">
        <v>0.145</v>
      </c>
      <c r="I8624" s="62" t="n">
        <v>97.87</v>
      </c>
      <c r="J8624" s="58" t="inlineStr">
        <is>
          <t>Online</t>
        </is>
      </c>
      <c r="K8624" s="62">
        <f>F8624*(G8624-H8624)</f>
        <v/>
      </c>
      <c r="L8624" s="62">
        <f>K8624-(F8624*I8624)</f>
        <v/>
      </c>
      <c r="M8624" s="64">
        <f>L8624/K8624</f>
        <v/>
      </c>
    </row>
    <row r="8625">
      <c r="A8625" s="58" t="inlineStr">
        <is>
          <t>RT20250804-08624</t>
        </is>
      </c>
      <c r="B8625" s="59" t="inlineStr">
        <is>
          <t>2025-08-04</t>
        </is>
      </c>
      <c r="C8625" s="60" t="inlineStr">
        <is>
          <t>Solace Bedding Plus-317</t>
        </is>
      </c>
      <c r="D8625" s="58" t="inlineStr">
        <is>
          <t>Home</t>
        </is>
      </c>
      <c r="E8625" s="58" t="inlineStr">
        <is>
          <t>South</t>
        </is>
      </c>
      <c r="F8625" s="61" t="n">
        <v>3</v>
      </c>
      <c r="G8625" s="62" t="n">
        <v>560.75</v>
      </c>
      <c r="H8625" s="63" t="n">
        <v>0.12</v>
      </c>
      <c r="I8625" s="62" t="n">
        <v>387.12</v>
      </c>
      <c r="J8625" s="58" t="inlineStr">
        <is>
          <t>Online</t>
        </is>
      </c>
      <c r="K8625" s="62">
        <f>F8625*(G8625-H8625)</f>
        <v/>
      </c>
      <c r="L8625" s="62">
        <f>K8625-(F8625*I8625)</f>
        <v/>
      </c>
      <c r="M8625" s="64">
        <f>L8625/K8625</f>
        <v/>
      </c>
    </row>
    <row r="8626">
      <c r="A8626" s="58" t="inlineStr">
        <is>
          <t>RT20250804-08625</t>
        </is>
      </c>
      <c r="B8626" s="59" t="inlineStr">
        <is>
          <t>2025-08-04</t>
        </is>
      </c>
      <c r="C8626" s="60" t="inlineStr">
        <is>
          <t>Aurora Haircare S-975</t>
        </is>
      </c>
      <c r="D8626" s="58" t="inlineStr">
        <is>
          <t>Beauty</t>
        </is>
      </c>
      <c r="E8626" s="58" t="inlineStr">
        <is>
          <t>East</t>
        </is>
      </c>
      <c r="F8626" s="61" t="n">
        <v>2</v>
      </c>
      <c r="G8626" s="62" t="n">
        <v>80.76000000000001</v>
      </c>
      <c r="H8626" s="63" t="n">
        <v>0.074</v>
      </c>
      <c r="I8626" s="62" t="n">
        <v>57.94</v>
      </c>
      <c r="J8626" s="58" t="inlineStr">
        <is>
          <t>Online</t>
        </is>
      </c>
      <c r="K8626" s="62">
        <f>F8626*(G8626-H8626)</f>
        <v/>
      </c>
      <c r="L8626" s="62">
        <f>K8626-(F8626*I8626)</f>
        <v/>
      </c>
      <c r="M8626" s="64">
        <f>L8626/K8626</f>
        <v/>
      </c>
    </row>
    <row r="8627">
      <c r="A8627" s="58" t="inlineStr">
        <is>
          <t>RT20250804-08626</t>
        </is>
      </c>
      <c r="B8627" s="59" t="inlineStr">
        <is>
          <t>2025-08-04</t>
        </is>
      </c>
      <c r="C8627" s="60" t="inlineStr">
        <is>
          <t>Vertex Smartphone Lite-267</t>
        </is>
      </c>
      <c r="D8627" s="58" t="inlineStr">
        <is>
          <t>Electronics</t>
        </is>
      </c>
      <c r="E8627" s="58" t="inlineStr">
        <is>
          <t>South</t>
        </is>
      </c>
      <c r="F8627" s="61" t="n">
        <v>1</v>
      </c>
      <c r="G8627" s="62" t="n">
        <v>1081.65</v>
      </c>
      <c r="H8627" s="63" t="n">
        <v>0.16</v>
      </c>
      <c r="I8627" s="62" t="n">
        <v>882.12</v>
      </c>
      <c r="J8627" s="58" t="inlineStr">
        <is>
          <t>Online</t>
        </is>
      </c>
      <c r="K8627" s="62">
        <f>F8627*(G8627-H8627)</f>
        <v/>
      </c>
      <c r="L8627" s="62">
        <f>K8627-(F8627*I8627)</f>
        <v/>
      </c>
      <c r="M8627" s="64">
        <f>L8627/K8627</f>
        <v/>
      </c>
    </row>
    <row r="8628">
      <c r="A8628" s="58" t="inlineStr">
        <is>
          <t>RT20250804-08627</t>
        </is>
      </c>
      <c r="B8628" s="59" t="inlineStr">
        <is>
          <t>2025-08-04</t>
        </is>
      </c>
      <c r="C8628" s="60" t="inlineStr">
        <is>
          <t>Solace Kitchen Pro-510</t>
        </is>
      </c>
      <c r="D8628" s="58" t="inlineStr">
        <is>
          <t>Home</t>
        </is>
      </c>
      <c r="E8628" s="58" t="inlineStr">
        <is>
          <t>North</t>
        </is>
      </c>
      <c r="F8628" s="61" t="n">
        <v>3</v>
      </c>
      <c r="G8628" s="62" t="n">
        <v>431.97</v>
      </c>
      <c r="H8628" s="63" t="n">
        <v>0.186</v>
      </c>
      <c r="I8628" s="62" t="n">
        <v>313.31</v>
      </c>
      <c r="J8628" s="58" t="inlineStr">
        <is>
          <t>Phone</t>
        </is>
      </c>
      <c r="K8628" s="62">
        <f>F8628*(G8628-H8628)</f>
        <v/>
      </c>
      <c r="L8628" s="62">
        <f>K8628-(F8628*I8628)</f>
        <v/>
      </c>
      <c r="M8628" s="64">
        <f>L8628/K8628</f>
        <v/>
      </c>
    </row>
    <row r="8629">
      <c r="A8629" s="58" t="inlineStr">
        <is>
          <t>RT20250804-08628</t>
        </is>
      </c>
      <c r="B8629" s="59" t="inlineStr">
        <is>
          <t>2025-08-04</t>
        </is>
      </c>
      <c r="C8629" s="60" t="inlineStr">
        <is>
          <t>Orion Kid Max-640</t>
        </is>
      </c>
      <c r="D8629" s="58" t="inlineStr">
        <is>
          <t>Apparel</t>
        </is>
      </c>
      <c r="E8629" s="58" t="inlineStr">
        <is>
          <t>East</t>
        </is>
      </c>
      <c r="F8629" s="61" t="n">
        <v>2</v>
      </c>
      <c r="G8629" s="62" t="n">
        <v>117.24</v>
      </c>
      <c r="H8629" s="63" t="n">
        <v>0.128</v>
      </c>
      <c r="I8629" s="62" t="n">
        <v>68.43000000000001</v>
      </c>
      <c r="J8629" s="58" t="inlineStr">
        <is>
          <t>Online</t>
        </is>
      </c>
      <c r="K8629" s="62">
        <f>F8629*(G8629-H8629)</f>
        <v/>
      </c>
      <c r="L8629" s="62">
        <f>K8629-(F8629*I8629)</f>
        <v/>
      </c>
      <c r="M8629" s="64">
        <f>L8629/K8629</f>
        <v/>
      </c>
    </row>
    <row r="8630">
      <c r="A8630" s="58" t="inlineStr">
        <is>
          <t>RT20250804-08629</t>
        </is>
      </c>
      <c r="B8630" s="59" t="inlineStr">
        <is>
          <t>2025-08-04</t>
        </is>
      </c>
      <c r="C8630" s="60" t="inlineStr">
        <is>
          <t>Aurora Furniture X-709</t>
        </is>
      </c>
      <c r="D8630" s="58" t="inlineStr">
        <is>
          <t>Office</t>
        </is>
      </c>
      <c r="E8630" s="58" t="inlineStr">
        <is>
          <t>West</t>
        </is>
      </c>
      <c r="F8630" s="61" t="n">
        <v>2</v>
      </c>
      <c r="G8630" s="62" t="n">
        <v>439.94</v>
      </c>
      <c r="H8630" s="63" t="n">
        <v>0.112</v>
      </c>
      <c r="I8630" s="62" t="n">
        <v>312.65</v>
      </c>
      <c r="J8630" s="58" t="inlineStr">
        <is>
          <t>Store</t>
        </is>
      </c>
      <c r="K8630" s="62">
        <f>F8630*(G8630-H8630)</f>
        <v/>
      </c>
      <c r="L8630" s="62">
        <f>K8630-(F8630*I8630)</f>
        <v/>
      </c>
      <c r="M8630" s="64">
        <f>L8630/K8630</f>
        <v/>
      </c>
    </row>
    <row r="8631">
      <c r="A8631" s="58" t="inlineStr">
        <is>
          <t>RT20250804-08630</t>
        </is>
      </c>
      <c r="B8631" s="59" t="inlineStr">
        <is>
          <t>2025-08-04</t>
        </is>
      </c>
      <c r="C8631" s="60" t="inlineStr">
        <is>
          <t>Metro Printer X-294</t>
        </is>
      </c>
      <c r="D8631" s="58" t="inlineStr">
        <is>
          <t>Office</t>
        </is>
      </c>
      <c r="E8631" s="58" t="inlineStr">
        <is>
          <t>West</t>
        </is>
      </c>
      <c r="F8631" s="61" t="n">
        <v>2</v>
      </c>
      <c r="G8631" s="62" t="n">
        <v>558.7</v>
      </c>
      <c r="H8631" s="63" t="n">
        <v>0.154</v>
      </c>
      <c r="I8631" s="62" t="n">
        <v>403.99</v>
      </c>
      <c r="J8631" s="58" t="inlineStr">
        <is>
          <t>Online</t>
        </is>
      </c>
      <c r="K8631" s="62">
        <f>F8631*(G8631-H8631)</f>
        <v/>
      </c>
      <c r="L8631" s="62">
        <f>K8631-(F8631*I8631)</f>
        <v/>
      </c>
      <c r="M8631" s="64">
        <f>L8631/K8631</f>
        <v/>
      </c>
    </row>
    <row r="8632">
      <c r="A8632" s="58" t="inlineStr">
        <is>
          <t>RT20250804-08631</t>
        </is>
      </c>
      <c r="B8632" s="59" t="inlineStr">
        <is>
          <t>2025-08-04</t>
        </is>
      </c>
      <c r="C8632" s="60" t="inlineStr">
        <is>
          <t>Polar Decor X-935</t>
        </is>
      </c>
      <c r="D8632" s="58" t="inlineStr">
        <is>
          <t>Home</t>
        </is>
      </c>
      <c r="E8632" s="58" t="inlineStr">
        <is>
          <t>Central</t>
        </is>
      </c>
      <c r="F8632" s="61" t="n">
        <v>1</v>
      </c>
      <c r="G8632" s="62" t="n">
        <v>292.42</v>
      </c>
      <c r="H8632" s="63" t="n">
        <v>0.177</v>
      </c>
      <c r="I8632" s="62" t="n">
        <v>199.1</v>
      </c>
      <c r="J8632" s="58" t="inlineStr">
        <is>
          <t>Online</t>
        </is>
      </c>
      <c r="K8632" s="62">
        <f>F8632*(G8632-H8632)</f>
        <v/>
      </c>
      <c r="L8632" s="62">
        <f>K8632-(F8632*I8632)</f>
        <v/>
      </c>
      <c r="M8632" s="64">
        <f>L8632/K8632</f>
        <v/>
      </c>
    </row>
    <row r="8633">
      <c r="A8633" s="58" t="inlineStr">
        <is>
          <t>RT20250804-08632</t>
        </is>
      </c>
      <c r="B8633" s="59" t="inlineStr">
        <is>
          <t>2025-08-04</t>
        </is>
      </c>
      <c r="C8633" s="60" t="inlineStr">
        <is>
          <t>Nimbus Storage Plus-646</t>
        </is>
      </c>
      <c r="D8633" s="58" t="inlineStr">
        <is>
          <t>Office</t>
        </is>
      </c>
      <c r="E8633" s="58" t="inlineStr">
        <is>
          <t>Central</t>
        </is>
      </c>
      <c r="F8633" s="61" t="n">
        <v>2</v>
      </c>
      <c r="G8633" s="62" t="n">
        <v>488.69</v>
      </c>
      <c r="H8633" s="63" t="n">
        <v>0.191</v>
      </c>
      <c r="I8633" s="62" t="n">
        <v>316.34</v>
      </c>
      <c r="J8633" s="58" t="inlineStr">
        <is>
          <t>Store</t>
        </is>
      </c>
      <c r="K8633" s="62">
        <f>F8633*(G8633-H8633)</f>
        <v/>
      </c>
      <c r="L8633" s="62">
        <f>K8633-(F8633*I8633)</f>
        <v/>
      </c>
      <c r="M8633" s="64">
        <f>L8633/K8633</f>
        <v/>
      </c>
    </row>
    <row r="8634">
      <c r="A8634" s="58" t="inlineStr">
        <is>
          <t>RT20250804-08633</t>
        </is>
      </c>
      <c r="B8634" s="59" t="inlineStr">
        <is>
          <t>2025-08-04</t>
        </is>
      </c>
      <c r="C8634" s="60" t="inlineStr">
        <is>
          <t>Solace Kitchen Pro-510</t>
        </is>
      </c>
      <c r="D8634" s="58" t="inlineStr">
        <is>
          <t>Home</t>
        </is>
      </c>
      <c r="E8634" s="58" t="inlineStr">
        <is>
          <t>West</t>
        </is>
      </c>
      <c r="F8634" s="61" t="n">
        <v>1</v>
      </c>
      <c r="G8634" s="62" t="n">
        <v>426.81</v>
      </c>
      <c r="H8634" s="63" t="n">
        <v>0.175</v>
      </c>
      <c r="I8634" s="62" t="n">
        <v>314.17</v>
      </c>
      <c r="J8634" s="58" t="inlineStr">
        <is>
          <t>Online</t>
        </is>
      </c>
      <c r="K8634" s="62">
        <f>F8634*(G8634-H8634)</f>
        <v/>
      </c>
      <c r="L8634" s="62">
        <f>K8634-(F8634*I8634)</f>
        <v/>
      </c>
      <c r="M8634" s="64">
        <f>L8634/K8634</f>
        <v/>
      </c>
    </row>
    <row r="8635">
      <c r="A8635" s="58" t="inlineStr">
        <is>
          <t>RT20250804-08634</t>
        </is>
      </c>
      <c r="B8635" s="59" t="inlineStr">
        <is>
          <t>2025-08-04</t>
        </is>
      </c>
      <c r="C8635" s="60" t="inlineStr">
        <is>
          <t>Aurora Furniture X-709</t>
        </is>
      </c>
      <c r="D8635" s="58" t="inlineStr">
        <is>
          <t>Office</t>
        </is>
      </c>
      <c r="E8635" s="58" t="inlineStr">
        <is>
          <t>Central</t>
        </is>
      </c>
      <c r="F8635" s="61" t="n">
        <v>1</v>
      </c>
      <c r="G8635" s="62" t="n">
        <v>429.22</v>
      </c>
      <c r="H8635" s="63" t="n">
        <v>0.157</v>
      </c>
      <c r="I8635" s="62" t="n">
        <v>299.11</v>
      </c>
      <c r="J8635" s="58" t="inlineStr">
        <is>
          <t>Online</t>
        </is>
      </c>
      <c r="K8635" s="62">
        <f>F8635*(G8635-H8635)</f>
        <v/>
      </c>
      <c r="L8635" s="62">
        <f>K8635-(F8635*I8635)</f>
        <v/>
      </c>
      <c r="M8635" s="64">
        <f>L8635/K8635</f>
        <v/>
      </c>
    </row>
    <row r="8636">
      <c r="A8636" s="58" t="inlineStr">
        <is>
          <t>RT20250804-08635</t>
        </is>
      </c>
      <c r="B8636" s="59" t="inlineStr">
        <is>
          <t>2025-08-04</t>
        </is>
      </c>
      <c r="C8636" s="60" t="inlineStr">
        <is>
          <t>Aurora Makeup S-626</t>
        </is>
      </c>
      <c r="D8636" s="58" t="inlineStr">
        <is>
          <t>Beauty</t>
        </is>
      </c>
      <c r="E8636" s="58" t="inlineStr">
        <is>
          <t>Central</t>
        </is>
      </c>
      <c r="F8636" s="61" t="n">
        <v>1</v>
      </c>
      <c r="G8636" s="62" t="n">
        <v>104.39</v>
      </c>
      <c r="H8636" s="63" t="n">
        <v>0.15</v>
      </c>
      <c r="I8636" s="62" t="n">
        <v>65.19</v>
      </c>
      <c r="J8636" s="58" t="inlineStr">
        <is>
          <t>Store</t>
        </is>
      </c>
      <c r="K8636" s="62">
        <f>F8636*(G8636-H8636)</f>
        <v/>
      </c>
      <c r="L8636" s="62">
        <f>K8636-(F8636*I8636)</f>
        <v/>
      </c>
      <c r="M8636" s="64">
        <f>L8636/K8636</f>
        <v/>
      </c>
    </row>
    <row r="8637">
      <c r="A8637" s="58" t="inlineStr">
        <is>
          <t>RT20250804-08636</t>
        </is>
      </c>
      <c r="B8637" s="59" t="inlineStr">
        <is>
          <t>2025-08-04</t>
        </is>
      </c>
      <c r="C8637" s="60" t="inlineStr">
        <is>
          <t>Aurora Skincare Max-798</t>
        </is>
      </c>
      <c r="D8637" s="58" t="inlineStr">
        <is>
          <t>Beauty</t>
        </is>
      </c>
      <c r="E8637" s="58" t="inlineStr">
        <is>
          <t>South</t>
        </is>
      </c>
      <c r="F8637" s="61" t="n">
        <v>1</v>
      </c>
      <c r="G8637" s="62" t="n">
        <v>119.75</v>
      </c>
      <c r="H8637" s="63" t="n">
        <v>0.167</v>
      </c>
      <c r="I8637" s="62" t="n">
        <v>69.29000000000001</v>
      </c>
      <c r="J8637" s="58" t="inlineStr">
        <is>
          <t>Store</t>
        </is>
      </c>
      <c r="K8637" s="62">
        <f>F8637*(G8637-H8637)</f>
        <v/>
      </c>
      <c r="L8637" s="62">
        <f>K8637-(F8637*I8637)</f>
        <v/>
      </c>
      <c r="M8637" s="64">
        <f>L8637/K8637</f>
        <v/>
      </c>
    </row>
    <row r="8638">
      <c r="A8638" s="58" t="inlineStr">
        <is>
          <t>RT20250804-08637</t>
        </is>
      </c>
      <c r="B8638" s="59" t="inlineStr">
        <is>
          <t>2025-08-04</t>
        </is>
      </c>
      <c r="C8638" s="60" t="inlineStr">
        <is>
          <t>Nimbus Storage Plus-646</t>
        </is>
      </c>
      <c r="D8638" s="58" t="inlineStr">
        <is>
          <t>Office</t>
        </is>
      </c>
      <c r="E8638" s="58" t="inlineStr">
        <is>
          <t>East</t>
        </is>
      </c>
      <c r="F8638" s="61" t="n">
        <v>2</v>
      </c>
      <c r="G8638" s="62" t="n">
        <v>442.47</v>
      </c>
      <c r="H8638" s="63" t="n">
        <v>0.183</v>
      </c>
      <c r="I8638" s="62" t="n">
        <v>313.7</v>
      </c>
      <c r="J8638" s="58" t="inlineStr">
        <is>
          <t>Store</t>
        </is>
      </c>
      <c r="K8638" s="62">
        <f>F8638*(G8638-H8638)</f>
        <v/>
      </c>
      <c r="L8638" s="62">
        <f>K8638-(F8638*I8638)</f>
        <v/>
      </c>
      <c r="M8638" s="64">
        <f>L8638/K8638</f>
        <v/>
      </c>
    </row>
    <row r="8639">
      <c r="A8639" s="58" t="inlineStr">
        <is>
          <t>RT20250804-08638</t>
        </is>
      </c>
      <c r="B8639" s="59" t="inlineStr">
        <is>
          <t>2025-08-04</t>
        </is>
      </c>
      <c r="C8639" s="60" t="inlineStr">
        <is>
          <t>Nimbus Women Lite-814</t>
        </is>
      </c>
      <c r="D8639" s="58" t="inlineStr">
        <is>
          <t>Apparel</t>
        </is>
      </c>
      <c r="E8639" s="58" t="inlineStr">
        <is>
          <t>Central</t>
        </is>
      </c>
      <c r="F8639" s="61" t="n">
        <v>4</v>
      </c>
      <c r="G8639" s="62" t="n">
        <v>129.35</v>
      </c>
      <c r="H8639" s="63" t="n">
        <v>0.133</v>
      </c>
      <c r="I8639" s="62" t="n">
        <v>81.09999999999999</v>
      </c>
      <c r="J8639" s="58" t="inlineStr">
        <is>
          <t>Online</t>
        </is>
      </c>
      <c r="K8639" s="62">
        <f>F8639*(G8639-H8639)</f>
        <v/>
      </c>
      <c r="L8639" s="62">
        <f>K8639-(F8639*I8639)</f>
        <v/>
      </c>
      <c r="M8639" s="64">
        <f>L8639/K8639</f>
        <v/>
      </c>
    </row>
    <row r="8640">
      <c r="A8640" s="58" t="inlineStr">
        <is>
          <t>RT20250804-08639</t>
        </is>
      </c>
      <c r="B8640" s="59" t="inlineStr">
        <is>
          <t>2025-08-04</t>
        </is>
      </c>
      <c r="C8640" s="60" t="inlineStr">
        <is>
          <t>Falcon Kitchen X-130</t>
        </is>
      </c>
      <c r="D8640" s="58" t="inlineStr">
        <is>
          <t>Home</t>
        </is>
      </c>
      <c r="E8640" s="58" t="inlineStr">
        <is>
          <t>West</t>
        </is>
      </c>
      <c r="F8640" s="61" t="n">
        <v>2</v>
      </c>
      <c r="G8640" s="62" t="n">
        <v>465.33</v>
      </c>
      <c r="H8640" s="63" t="n">
        <v>0.159</v>
      </c>
      <c r="I8640" s="62" t="n">
        <v>288.61</v>
      </c>
      <c r="J8640" s="58" t="inlineStr">
        <is>
          <t>Online</t>
        </is>
      </c>
      <c r="K8640" s="62">
        <f>F8640*(G8640-H8640)</f>
        <v/>
      </c>
      <c r="L8640" s="62">
        <f>K8640-(F8640*I8640)</f>
        <v/>
      </c>
      <c r="M8640" s="64">
        <f>L8640/K8640</f>
        <v/>
      </c>
    </row>
    <row r="8641">
      <c r="A8641" s="58" t="inlineStr">
        <is>
          <t>RT20250804-08640</t>
        </is>
      </c>
      <c r="B8641" s="59" t="inlineStr">
        <is>
          <t>2025-08-04</t>
        </is>
      </c>
      <c r="C8641" s="60" t="inlineStr">
        <is>
          <t>Solace Bedding Plus-317</t>
        </is>
      </c>
      <c r="D8641" s="58" t="inlineStr">
        <is>
          <t>Home</t>
        </is>
      </c>
      <c r="E8641" s="58" t="inlineStr">
        <is>
          <t>Central</t>
        </is>
      </c>
      <c r="F8641" s="61" t="n">
        <v>1</v>
      </c>
      <c r="G8641" s="62" t="n">
        <v>581.11</v>
      </c>
      <c r="H8641" s="63" t="n">
        <v>0.162</v>
      </c>
      <c r="I8641" s="62" t="n">
        <v>376.81</v>
      </c>
      <c r="J8641" s="58" t="inlineStr">
        <is>
          <t>Store</t>
        </is>
      </c>
      <c r="K8641" s="62">
        <f>F8641*(G8641-H8641)</f>
        <v/>
      </c>
      <c r="L8641" s="62">
        <f>K8641-(F8641*I8641)</f>
        <v/>
      </c>
      <c r="M8641" s="64">
        <f>L8641/K8641</f>
        <v/>
      </c>
    </row>
    <row r="8642">
      <c r="A8642" s="58" t="inlineStr">
        <is>
          <t>RT20250804-08641</t>
        </is>
      </c>
      <c r="B8642" s="59" t="inlineStr">
        <is>
          <t>2025-08-04</t>
        </is>
      </c>
      <c r="C8642" s="60" t="inlineStr">
        <is>
          <t>Orion Beverage Plus-949</t>
        </is>
      </c>
      <c r="D8642" s="58" t="inlineStr">
        <is>
          <t>Grocery</t>
        </is>
      </c>
      <c r="E8642" s="58" t="inlineStr">
        <is>
          <t>Central</t>
        </is>
      </c>
      <c r="F8642" s="61" t="n">
        <v>1</v>
      </c>
      <c r="G8642" s="62" t="n">
        <v>16.81</v>
      </c>
      <c r="H8642" s="63" t="n">
        <v>0.119</v>
      </c>
      <c r="I8642" s="62" t="n">
        <v>13.89</v>
      </c>
      <c r="J8642" s="58" t="inlineStr">
        <is>
          <t>Online</t>
        </is>
      </c>
      <c r="K8642" s="62">
        <f>F8642*(G8642-H8642)</f>
        <v/>
      </c>
      <c r="L8642" s="62">
        <f>K8642-(F8642*I8642)</f>
        <v/>
      </c>
      <c r="M8642" s="64">
        <f>L8642/K8642</f>
        <v/>
      </c>
    </row>
    <row r="8643">
      <c r="A8643" s="58" t="inlineStr">
        <is>
          <t>RT20250804-08642</t>
        </is>
      </c>
      <c r="B8643" s="59" t="inlineStr">
        <is>
          <t>2025-08-04</t>
        </is>
      </c>
      <c r="C8643" s="60" t="inlineStr">
        <is>
          <t>Solace Kid S-384</t>
        </is>
      </c>
      <c r="D8643" s="58" t="inlineStr">
        <is>
          <t>Apparel</t>
        </is>
      </c>
      <c r="E8643" s="58" t="inlineStr">
        <is>
          <t>East</t>
        </is>
      </c>
      <c r="F8643" s="61" t="n">
        <v>4</v>
      </c>
      <c r="G8643" s="62" t="n">
        <v>105.26</v>
      </c>
      <c r="H8643" s="63" t="n">
        <v>0.228</v>
      </c>
      <c r="I8643" s="62" t="n">
        <v>61.32</v>
      </c>
      <c r="J8643" s="58" t="inlineStr">
        <is>
          <t>Online</t>
        </is>
      </c>
      <c r="K8643" s="62">
        <f>F8643*(G8643-H8643)</f>
        <v/>
      </c>
      <c r="L8643" s="62">
        <f>K8643-(F8643*I8643)</f>
        <v/>
      </c>
      <c r="M8643" s="64">
        <f>L8643/K8643</f>
        <v/>
      </c>
    </row>
    <row r="8644">
      <c r="A8644" s="58" t="inlineStr">
        <is>
          <t>RT20250804-08643</t>
        </is>
      </c>
      <c r="B8644" s="59" t="inlineStr">
        <is>
          <t>2025-08-04</t>
        </is>
      </c>
      <c r="C8644" s="60" t="inlineStr">
        <is>
          <t>Polar Cycling X-649</t>
        </is>
      </c>
      <c r="D8644" s="58" t="inlineStr">
        <is>
          <t>Sports</t>
        </is>
      </c>
      <c r="E8644" s="58" t="inlineStr">
        <is>
          <t>East</t>
        </is>
      </c>
      <c r="F8644" s="61" t="n">
        <v>2</v>
      </c>
      <c r="G8644" s="62" t="n">
        <v>603.08</v>
      </c>
      <c r="H8644" s="63" t="n">
        <v>0.098</v>
      </c>
      <c r="I8644" s="62" t="n">
        <v>354.14</v>
      </c>
      <c r="J8644" s="58" t="inlineStr">
        <is>
          <t>Store</t>
        </is>
      </c>
      <c r="K8644" s="62">
        <f>F8644*(G8644-H8644)</f>
        <v/>
      </c>
      <c r="L8644" s="62">
        <f>K8644-(F8644*I8644)</f>
        <v/>
      </c>
      <c r="M8644" s="64">
        <f>L8644/K8644</f>
        <v/>
      </c>
    </row>
    <row r="8645">
      <c r="A8645" s="58" t="inlineStr">
        <is>
          <t>RT20250804-08644</t>
        </is>
      </c>
      <c r="B8645" s="59" t="inlineStr">
        <is>
          <t>2025-08-04</t>
        </is>
      </c>
      <c r="C8645" s="60" t="inlineStr">
        <is>
          <t>Falcon Wearable X-334</t>
        </is>
      </c>
      <c r="D8645" s="58" t="inlineStr">
        <is>
          <t>Electronics</t>
        </is>
      </c>
      <c r="E8645" s="58" t="inlineStr">
        <is>
          <t>West</t>
        </is>
      </c>
      <c r="F8645" s="61" t="n">
        <v>1</v>
      </c>
      <c r="G8645" s="62" t="n">
        <v>2309.25</v>
      </c>
      <c r="H8645" s="63" t="n">
        <v>0.182</v>
      </c>
      <c r="I8645" s="62" t="n">
        <v>1564.09</v>
      </c>
      <c r="J8645" s="58" t="inlineStr">
        <is>
          <t>Online</t>
        </is>
      </c>
      <c r="K8645" s="62">
        <f>F8645*(G8645-H8645)</f>
        <v/>
      </c>
      <c r="L8645" s="62">
        <f>K8645-(F8645*I8645)</f>
        <v/>
      </c>
      <c r="M8645" s="64">
        <f>L8645/K8645</f>
        <v/>
      </c>
    </row>
    <row r="8646">
      <c r="A8646" s="58" t="inlineStr">
        <is>
          <t>RT20250804-08645</t>
        </is>
      </c>
      <c r="B8646" s="59" t="inlineStr">
        <is>
          <t>2025-08-04</t>
        </is>
      </c>
      <c r="C8646" s="60" t="inlineStr">
        <is>
          <t>Polar Fragrance Pro-750</t>
        </is>
      </c>
      <c r="D8646" s="58" t="inlineStr">
        <is>
          <t>Beauty</t>
        </is>
      </c>
      <c r="E8646" s="58" t="inlineStr">
        <is>
          <t>West</t>
        </is>
      </c>
      <c r="F8646" s="61" t="n">
        <v>2</v>
      </c>
      <c r="G8646" s="62" t="n">
        <v>60.3</v>
      </c>
      <c r="H8646" s="63" t="n">
        <v>0.194</v>
      </c>
      <c r="I8646" s="62" t="n">
        <v>35.72</v>
      </c>
      <c r="J8646" s="58" t="inlineStr">
        <is>
          <t>Store</t>
        </is>
      </c>
      <c r="K8646" s="62">
        <f>F8646*(G8646-H8646)</f>
        <v/>
      </c>
      <c r="L8646" s="62">
        <f>K8646-(F8646*I8646)</f>
        <v/>
      </c>
      <c r="M8646" s="64">
        <f>L8646/K8646</f>
        <v/>
      </c>
    </row>
    <row r="8647">
      <c r="A8647" s="58" t="inlineStr">
        <is>
          <t>RT20250804-08646</t>
        </is>
      </c>
      <c r="B8647" s="59" t="inlineStr">
        <is>
          <t>2025-08-04</t>
        </is>
      </c>
      <c r="C8647" s="60" t="inlineStr">
        <is>
          <t>Solace Fitnes S-324</t>
        </is>
      </c>
      <c r="D8647" s="58" t="inlineStr">
        <is>
          <t>Sports</t>
        </is>
      </c>
      <c r="E8647" s="58" t="inlineStr">
        <is>
          <t>East</t>
        </is>
      </c>
      <c r="F8647" s="61" t="n">
        <v>1</v>
      </c>
      <c r="G8647" s="62" t="n">
        <v>759.12</v>
      </c>
      <c r="H8647" s="63" t="n">
        <v>0.116</v>
      </c>
      <c r="I8647" s="62" t="n">
        <v>535.01</v>
      </c>
      <c r="J8647" s="58" t="inlineStr">
        <is>
          <t>Online</t>
        </is>
      </c>
      <c r="K8647" s="62">
        <f>F8647*(G8647-H8647)</f>
        <v/>
      </c>
      <c r="L8647" s="62">
        <f>K8647-(F8647*I8647)</f>
        <v/>
      </c>
      <c r="M8647" s="64">
        <f>L8647/K8647</f>
        <v/>
      </c>
    </row>
    <row r="8648">
      <c r="A8648" s="58" t="inlineStr">
        <is>
          <t>RT20250804-08647</t>
        </is>
      </c>
      <c r="B8648" s="59" t="inlineStr">
        <is>
          <t>2025-08-04</t>
        </is>
      </c>
      <c r="C8648" s="60" t="inlineStr">
        <is>
          <t>Vertex Accessorie Pro-881</t>
        </is>
      </c>
      <c r="D8648" s="58" t="inlineStr">
        <is>
          <t>Apparel</t>
        </is>
      </c>
      <c r="E8648" s="58" t="inlineStr">
        <is>
          <t>Central</t>
        </is>
      </c>
      <c r="F8648" s="61" t="n">
        <v>3</v>
      </c>
      <c r="G8648" s="62" t="n">
        <v>109.8</v>
      </c>
      <c r="H8648" s="63" t="n">
        <v>0.195</v>
      </c>
      <c r="I8648" s="62" t="n">
        <v>64.69</v>
      </c>
      <c r="J8648" s="58" t="inlineStr">
        <is>
          <t>Store</t>
        </is>
      </c>
      <c r="K8648" s="62">
        <f>F8648*(G8648-H8648)</f>
        <v/>
      </c>
      <c r="L8648" s="62">
        <f>K8648-(F8648*I8648)</f>
        <v/>
      </c>
      <c r="M8648" s="64">
        <f>L8648/K8648</f>
        <v/>
      </c>
    </row>
    <row r="8649">
      <c r="A8649" s="58" t="inlineStr">
        <is>
          <t>RT20250804-08648</t>
        </is>
      </c>
      <c r="B8649" s="59" t="inlineStr">
        <is>
          <t>2025-08-04</t>
        </is>
      </c>
      <c r="C8649" s="60" t="inlineStr">
        <is>
          <t>Nimbus Storage Plus-646</t>
        </is>
      </c>
      <c r="D8649" s="58" t="inlineStr">
        <is>
          <t>Office</t>
        </is>
      </c>
      <c r="E8649" s="58" t="inlineStr">
        <is>
          <t>West</t>
        </is>
      </c>
      <c r="F8649" s="61" t="n">
        <v>2</v>
      </c>
      <c r="G8649" s="62" t="n">
        <v>460.09</v>
      </c>
      <c r="H8649" s="63" t="n">
        <v>0.124</v>
      </c>
      <c r="I8649" s="62" t="n">
        <v>322.17</v>
      </c>
      <c r="J8649" s="58" t="inlineStr">
        <is>
          <t>Online</t>
        </is>
      </c>
      <c r="K8649" s="62">
        <f>F8649*(G8649-H8649)</f>
        <v/>
      </c>
      <c r="L8649" s="62">
        <f>K8649-(F8649*I8649)</f>
        <v/>
      </c>
      <c r="M8649" s="64">
        <f>L8649/K8649</f>
        <v/>
      </c>
    </row>
    <row r="8650">
      <c r="A8650" s="58" t="inlineStr">
        <is>
          <t>RT20250804-08649</t>
        </is>
      </c>
      <c r="B8650" s="59" t="inlineStr">
        <is>
          <t>2025-08-04</t>
        </is>
      </c>
      <c r="C8650" s="60" t="inlineStr">
        <is>
          <t>Falcon Team Sport Lite-268</t>
        </is>
      </c>
      <c r="D8650" s="58" t="inlineStr">
        <is>
          <t>Sports</t>
        </is>
      </c>
      <c r="E8650" s="58" t="inlineStr">
        <is>
          <t>East</t>
        </is>
      </c>
      <c r="F8650" s="61" t="n">
        <v>1</v>
      </c>
      <c r="G8650" s="62" t="n">
        <v>686.61</v>
      </c>
      <c r="H8650" s="63" t="n">
        <v>0.161</v>
      </c>
      <c r="I8650" s="62" t="n">
        <v>437.27</v>
      </c>
      <c r="J8650" s="58" t="inlineStr">
        <is>
          <t>Online</t>
        </is>
      </c>
      <c r="K8650" s="62">
        <f>F8650*(G8650-H8650)</f>
        <v/>
      </c>
      <c r="L8650" s="62">
        <f>K8650-(F8650*I8650)</f>
        <v/>
      </c>
      <c r="M8650" s="64">
        <f>L8650/K8650</f>
        <v/>
      </c>
    </row>
    <row r="8651">
      <c r="A8651" s="58" t="inlineStr">
        <is>
          <t>RT20250804-08650</t>
        </is>
      </c>
      <c r="B8651" s="59" t="inlineStr">
        <is>
          <t>2025-08-04</t>
        </is>
      </c>
      <c r="C8651" s="60" t="inlineStr">
        <is>
          <t>Aurora Fragrance S-971</t>
        </is>
      </c>
      <c r="D8651" s="58" t="inlineStr">
        <is>
          <t>Beauty</t>
        </is>
      </c>
      <c r="E8651" s="58" t="inlineStr">
        <is>
          <t>South</t>
        </is>
      </c>
      <c r="F8651" s="61" t="n">
        <v>2</v>
      </c>
      <c r="G8651" s="62" t="n">
        <v>96.69</v>
      </c>
      <c r="H8651" s="63" t="n">
        <v>0.191</v>
      </c>
      <c r="I8651" s="62" t="n">
        <v>66.55</v>
      </c>
      <c r="J8651" s="58" t="inlineStr">
        <is>
          <t>Online</t>
        </is>
      </c>
      <c r="K8651" s="62">
        <f>F8651*(G8651-H8651)</f>
        <v/>
      </c>
      <c r="L8651" s="62">
        <f>K8651-(F8651*I8651)</f>
        <v/>
      </c>
      <c r="M8651" s="64">
        <f>L8651/K8651</f>
        <v/>
      </c>
    </row>
    <row r="8652">
      <c r="A8652" s="58" t="inlineStr">
        <is>
          <t>RT20250804-08651</t>
        </is>
      </c>
      <c r="B8652" s="59" t="inlineStr">
        <is>
          <t>2025-08-04</t>
        </is>
      </c>
      <c r="C8652" s="60" t="inlineStr">
        <is>
          <t>Nimbus Men Plus-231</t>
        </is>
      </c>
      <c r="D8652" s="58" t="inlineStr">
        <is>
          <t>Apparel</t>
        </is>
      </c>
      <c r="E8652" s="58" t="inlineStr">
        <is>
          <t>West</t>
        </is>
      </c>
      <c r="F8652" s="61" t="n">
        <v>4</v>
      </c>
      <c r="G8652" s="62" t="n">
        <v>152.25</v>
      </c>
      <c r="H8652" s="63" t="n">
        <v>0.147</v>
      </c>
      <c r="I8652" s="62" t="n">
        <v>90.02</v>
      </c>
      <c r="J8652" s="58" t="inlineStr">
        <is>
          <t>Online</t>
        </is>
      </c>
      <c r="K8652" s="62">
        <f>F8652*(G8652-H8652)</f>
        <v/>
      </c>
      <c r="L8652" s="62">
        <f>K8652-(F8652*I8652)</f>
        <v/>
      </c>
      <c r="M8652" s="64">
        <f>L8652/K8652</f>
        <v/>
      </c>
    </row>
    <row r="8653">
      <c r="A8653" s="58" t="inlineStr">
        <is>
          <t>RT20250804-08652</t>
        </is>
      </c>
      <c r="B8653" s="59" t="inlineStr">
        <is>
          <t>2025-08-04</t>
        </is>
      </c>
      <c r="C8653" s="60" t="inlineStr">
        <is>
          <t>Aurora Fragrance S-971</t>
        </is>
      </c>
      <c r="D8653" s="58" t="inlineStr">
        <is>
          <t>Beauty</t>
        </is>
      </c>
      <c r="E8653" s="58" t="inlineStr">
        <is>
          <t>North</t>
        </is>
      </c>
      <c r="F8653" s="61" t="n">
        <v>4</v>
      </c>
      <c r="G8653" s="62" t="n">
        <v>93.91</v>
      </c>
      <c r="H8653" s="63" t="n">
        <v>0.125</v>
      </c>
      <c r="I8653" s="62" t="n">
        <v>63.39</v>
      </c>
      <c r="J8653" s="58" t="inlineStr">
        <is>
          <t>Online</t>
        </is>
      </c>
      <c r="K8653" s="62">
        <f>F8653*(G8653-H8653)</f>
        <v/>
      </c>
      <c r="L8653" s="62">
        <f>K8653-(F8653*I8653)</f>
        <v/>
      </c>
      <c r="M8653" s="64">
        <f>L8653/K8653</f>
        <v/>
      </c>
    </row>
    <row r="8654">
      <c r="A8654" s="58" t="inlineStr">
        <is>
          <t>RT20250804-08653</t>
        </is>
      </c>
      <c r="B8654" s="59" t="inlineStr">
        <is>
          <t>2025-08-04</t>
        </is>
      </c>
      <c r="C8654" s="60" t="inlineStr">
        <is>
          <t>Orion Fragrance Lite-785</t>
        </is>
      </c>
      <c r="D8654" s="58" t="inlineStr">
        <is>
          <t>Beauty</t>
        </is>
      </c>
      <c r="E8654" s="58" t="inlineStr">
        <is>
          <t>West</t>
        </is>
      </c>
      <c r="F8654" s="61" t="n">
        <v>4</v>
      </c>
      <c r="G8654" s="62" t="n">
        <v>43.25</v>
      </c>
      <c r="H8654" s="63" t="n">
        <v>0.15</v>
      </c>
      <c r="I8654" s="62" t="n">
        <v>26.41</v>
      </c>
      <c r="J8654" s="58" t="inlineStr">
        <is>
          <t>Online</t>
        </is>
      </c>
      <c r="K8654" s="62">
        <f>F8654*(G8654-H8654)</f>
        <v/>
      </c>
      <c r="L8654" s="62">
        <f>K8654-(F8654*I8654)</f>
        <v/>
      </c>
      <c r="M8654" s="64">
        <f>L8654/K8654</f>
        <v/>
      </c>
    </row>
    <row r="8655">
      <c r="A8655" s="58" t="inlineStr">
        <is>
          <t>RT20250804-08654</t>
        </is>
      </c>
      <c r="B8655" s="59" t="inlineStr">
        <is>
          <t>2025-08-04</t>
        </is>
      </c>
      <c r="C8655" s="60" t="inlineStr">
        <is>
          <t>Polar Cycling X-649</t>
        </is>
      </c>
      <c r="D8655" s="58" t="inlineStr">
        <is>
          <t>Sports</t>
        </is>
      </c>
      <c r="E8655" s="58" t="inlineStr">
        <is>
          <t>West</t>
        </is>
      </c>
      <c r="F8655" s="61" t="n">
        <v>1</v>
      </c>
      <c r="G8655" s="62" t="n">
        <v>507.09</v>
      </c>
      <c r="H8655" s="63" t="n">
        <v>0.157</v>
      </c>
      <c r="I8655" s="62" t="n">
        <v>358.5</v>
      </c>
      <c r="J8655" s="58" t="inlineStr">
        <is>
          <t>Online</t>
        </is>
      </c>
      <c r="K8655" s="62">
        <f>F8655*(G8655-H8655)</f>
        <v/>
      </c>
      <c r="L8655" s="62">
        <f>K8655-(F8655*I8655)</f>
        <v/>
      </c>
      <c r="M8655" s="64">
        <f>L8655/K8655</f>
        <v/>
      </c>
    </row>
    <row r="8656">
      <c r="A8656" s="58" t="inlineStr">
        <is>
          <t>RT20250804-08655</t>
        </is>
      </c>
      <c r="B8656" s="59" t="inlineStr">
        <is>
          <t>2025-08-04</t>
        </is>
      </c>
      <c r="C8656" s="60" t="inlineStr">
        <is>
          <t>Nimbus Men Plus-231</t>
        </is>
      </c>
      <c r="D8656" s="58" t="inlineStr">
        <is>
          <t>Apparel</t>
        </is>
      </c>
      <c r="E8656" s="58" t="inlineStr">
        <is>
          <t>South</t>
        </is>
      </c>
      <c r="F8656" s="61" t="n">
        <v>3</v>
      </c>
      <c r="G8656" s="62" t="n">
        <v>164.27</v>
      </c>
      <c r="H8656" s="63" t="n">
        <v>0.165</v>
      </c>
      <c r="I8656" s="62" t="n">
        <v>91.53</v>
      </c>
      <c r="J8656" s="58" t="inlineStr">
        <is>
          <t>Online</t>
        </is>
      </c>
      <c r="K8656" s="62">
        <f>F8656*(G8656-H8656)</f>
        <v/>
      </c>
      <c r="L8656" s="62">
        <f>K8656-(F8656*I8656)</f>
        <v/>
      </c>
      <c r="M8656" s="64">
        <f>L8656/K8656</f>
        <v/>
      </c>
    </row>
    <row r="8657">
      <c r="A8657" s="58" t="inlineStr">
        <is>
          <t>RT20250805-08656</t>
        </is>
      </c>
      <c r="B8657" s="59" t="inlineStr">
        <is>
          <t>2025-08-05</t>
        </is>
      </c>
      <c r="C8657" s="60" t="inlineStr">
        <is>
          <t>Aurora Storage Lite-774</t>
        </is>
      </c>
      <c r="D8657" s="58" t="inlineStr">
        <is>
          <t>Office</t>
        </is>
      </c>
      <c r="E8657" s="58" t="inlineStr">
        <is>
          <t>West</t>
        </is>
      </c>
      <c r="F8657" s="61" t="n">
        <v>1</v>
      </c>
      <c r="G8657" s="62" t="n">
        <v>350.56</v>
      </c>
      <c r="H8657" s="63" t="n">
        <v>0.178</v>
      </c>
      <c r="I8657" s="62" t="n">
        <v>247.07</v>
      </c>
      <c r="J8657" s="58" t="inlineStr">
        <is>
          <t>Phone</t>
        </is>
      </c>
      <c r="K8657" s="62">
        <f>F8657*(G8657-H8657)</f>
        <v/>
      </c>
      <c r="L8657" s="62">
        <f>K8657-(F8657*I8657)</f>
        <v/>
      </c>
      <c r="M8657" s="64">
        <f>L8657/K8657</f>
        <v/>
      </c>
    </row>
    <row r="8658">
      <c r="A8658" s="58" t="inlineStr">
        <is>
          <t>RT20250805-08657</t>
        </is>
      </c>
      <c r="B8658" s="59" t="inlineStr">
        <is>
          <t>2025-08-05</t>
        </is>
      </c>
      <c r="C8658" s="60" t="inlineStr">
        <is>
          <t>Falcon Team Sport Lite-268</t>
        </is>
      </c>
      <c r="D8658" s="58" t="inlineStr">
        <is>
          <t>Sports</t>
        </is>
      </c>
      <c r="E8658" s="58" t="inlineStr">
        <is>
          <t>East</t>
        </is>
      </c>
      <c r="F8658" s="61" t="n">
        <v>1</v>
      </c>
      <c r="G8658" s="62" t="n">
        <v>592.51</v>
      </c>
      <c r="H8658" s="63" t="n">
        <v>0.167</v>
      </c>
      <c r="I8658" s="62" t="n">
        <v>428.62</v>
      </c>
      <c r="J8658" s="58" t="inlineStr">
        <is>
          <t>Online</t>
        </is>
      </c>
      <c r="K8658" s="62">
        <f>F8658*(G8658-H8658)</f>
        <v/>
      </c>
      <c r="L8658" s="62">
        <f>K8658-(F8658*I8658)</f>
        <v/>
      </c>
      <c r="M8658" s="64">
        <f>L8658/K8658</f>
        <v/>
      </c>
    </row>
    <row r="8659">
      <c r="A8659" s="58" t="inlineStr">
        <is>
          <t>RT20250805-08658</t>
        </is>
      </c>
      <c r="B8659" s="59" t="inlineStr">
        <is>
          <t>2025-08-05</t>
        </is>
      </c>
      <c r="C8659" s="60" t="inlineStr">
        <is>
          <t>Metro Pantry X-710</t>
        </is>
      </c>
      <c r="D8659" s="58" t="inlineStr">
        <is>
          <t>Grocery</t>
        </is>
      </c>
      <c r="E8659" s="58" t="inlineStr">
        <is>
          <t>East</t>
        </is>
      </c>
      <c r="F8659" s="61" t="n">
        <v>6</v>
      </c>
      <c r="G8659" s="62" t="n">
        <v>6.04</v>
      </c>
      <c r="H8659" s="63" t="n">
        <v>0.092</v>
      </c>
      <c r="I8659" s="62" t="n">
        <v>4.31</v>
      </c>
      <c r="J8659" s="58" t="inlineStr">
        <is>
          <t>Online</t>
        </is>
      </c>
      <c r="K8659" s="62">
        <f>F8659*(G8659-H8659)</f>
        <v/>
      </c>
      <c r="L8659" s="62">
        <f>K8659-(F8659*I8659)</f>
        <v/>
      </c>
      <c r="M8659" s="64">
        <f>L8659/K8659</f>
        <v/>
      </c>
    </row>
    <row r="8660">
      <c r="A8660" s="58" t="inlineStr">
        <is>
          <t>RT20250805-08659</t>
        </is>
      </c>
      <c r="B8660" s="59" t="inlineStr">
        <is>
          <t>2025-08-05</t>
        </is>
      </c>
      <c r="C8660" s="60" t="inlineStr">
        <is>
          <t>Orion Kid Max-640</t>
        </is>
      </c>
      <c r="D8660" s="58" t="inlineStr">
        <is>
          <t>Apparel</t>
        </is>
      </c>
      <c r="E8660" s="58" t="inlineStr">
        <is>
          <t>West</t>
        </is>
      </c>
      <c r="F8660" s="61" t="n">
        <v>3</v>
      </c>
      <c r="G8660" s="62" t="n">
        <v>112.09</v>
      </c>
      <c r="H8660" s="63" t="n">
        <v>0.155</v>
      </c>
      <c r="I8660" s="62" t="n">
        <v>71.25</v>
      </c>
      <c r="J8660" s="58" t="inlineStr">
        <is>
          <t>Online</t>
        </is>
      </c>
      <c r="K8660" s="62">
        <f>F8660*(G8660-H8660)</f>
        <v/>
      </c>
      <c r="L8660" s="62">
        <f>K8660-(F8660*I8660)</f>
        <v/>
      </c>
      <c r="M8660" s="64">
        <f>L8660/K8660</f>
        <v/>
      </c>
    </row>
    <row r="8661">
      <c r="A8661" s="58" t="inlineStr">
        <is>
          <t>RT20250805-08660</t>
        </is>
      </c>
      <c r="B8661" s="59" t="inlineStr">
        <is>
          <t>2025-08-05</t>
        </is>
      </c>
      <c r="C8661" s="60" t="inlineStr">
        <is>
          <t>Orion Supplie S-612</t>
        </is>
      </c>
      <c r="D8661" s="58" t="inlineStr">
        <is>
          <t>Office</t>
        </is>
      </c>
      <c r="E8661" s="58" t="inlineStr">
        <is>
          <t>East</t>
        </is>
      </c>
      <c r="F8661" s="61" t="n">
        <v>1</v>
      </c>
      <c r="G8661" s="62" t="n">
        <v>496.1</v>
      </c>
      <c r="H8661" s="63" t="n">
        <v>0.195</v>
      </c>
      <c r="I8661" s="62" t="n">
        <v>338.44</v>
      </c>
      <c r="J8661" s="58" t="inlineStr">
        <is>
          <t>Store</t>
        </is>
      </c>
      <c r="K8661" s="62">
        <f>F8661*(G8661-H8661)</f>
        <v/>
      </c>
      <c r="L8661" s="62">
        <f>K8661-(F8661*I8661)</f>
        <v/>
      </c>
      <c r="M8661" s="64">
        <f>L8661/K8661</f>
        <v/>
      </c>
    </row>
    <row r="8662">
      <c r="A8662" s="58" t="inlineStr">
        <is>
          <t>RT20250805-08661</t>
        </is>
      </c>
      <c r="B8662" s="59" t="inlineStr">
        <is>
          <t>2025-08-05</t>
        </is>
      </c>
      <c r="C8662" s="60" t="inlineStr">
        <is>
          <t>Aurora Household Plus-146</t>
        </is>
      </c>
      <c r="D8662" s="58" t="inlineStr">
        <is>
          <t>Grocery</t>
        </is>
      </c>
      <c r="E8662" s="58" t="inlineStr">
        <is>
          <t>West</t>
        </is>
      </c>
      <c r="F8662" s="61" t="n">
        <v>5</v>
      </c>
      <c r="G8662" s="62" t="n">
        <v>6.25</v>
      </c>
      <c r="H8662" s="63" t="n">
        <v>0.154</v>
      </c>
      <c r="I8662" s="62" t="n">
        <v>4.64</v>
      </c>
      <c r="J8662" s="58" t="inlineStr">
        <is>
          <t>Online</t>
        </is>
      </c>
      <c r="K8662" s="62">
        <f>F8662*(G8662-H8662)</f>
        <v/>
      </c>
      <c r="L8662" s="62">
        <f>K8662-(F8662*I8662)</f>
        <v/>
      </c>
      <c r="M8662" s="64">
        <f>L8662/K8662</f>
        <v/>
      </c>
    </row>
    <row r="8663">
      <c r="A8663" s="58" t="inlineStr">
        <is>
          <t>RT20250805-08662</t>
        </is>
      </c>
      <c r="B8663" s="59" t="inlineStr">
        <is>
          <t>2025-08-05</t>
        </is>
      </c>
      <c r="C8663" s="60" t="inlineStr">
        <is>
          <t>Nimbus Storage Plus-646</t>
        </is>
      </c>
      <c r="D8663" s="58" t="inlineStr">
        <is>
          <t>Office</t>
        </is>
      </c>
      <c r="E8663" s="58" t="inlineStr">
        <is>
          <t>West</t>
        </is>
      </c>
      <c r="F8663" s="61" t="n">
        <v>1</v>
      </c>
      <c r="G8663" s="62" t="n">
        <v>430.4</v>
      </c>
      <c r="H8663" s="63" t="n">
        <v>0.132</v>
      </c>
      <c r="I8663" s="62" t="n">
        <v>309.72</v>
      </c>
      <c r="J8663" s="58" t="inlineStr">
        <is>
          <t>Online</t>
        </is>
      </c>
      <c r="K8663" s="62">
        <f>F8663*(G8663-H8663)</f>
        <v/>
      </c>
      <c r="L8663" s="62">
        <f>K8663-(F8663*I8663)</f>
        <v/>
      </c>
      <c r="M8663" s="64">
        <f>L8663/K8663</f>
        <v/>
      </c>
    </row>
    <row r="8664">
      <c r="A8664" s="58" t="inlineStr">
        <is>
          <t>RT20250805-08663</t>
        </is>
      </c>
      <c r="B8664" s="59" t="inlineStr">
        <is>
          <t>2025-08-05</t>
        </is>
      </c>
      <c r="C8664" s="60" t="inlineStr">
        <is>
          <t>Aurora Household Plus-146</t>
        </is>
      </c>
      <c r="D8664" s="58" t="inlineStr">
        <is>
          <t>Grocery</t>
        </is>
      </c>
      <c r="E8664" s="58" t="inlineStr">
        <is>
          <t>West</t>
        </is>
      </c>
      <c r="F8664" s="61" t="n">
        <v>6</v>
      </c>
      <c r="G8664" s="62" t="n">
        <v>5.7</v>
      </c>
      <c r="H8664" s="63" t="n">
        <v>0.118</v>
      </c>
      <c r="I8664" s="62" t="n">
        <v>4.57</v>
      </c>
      <c r="J8664" s="58" t="inlineStr">
        <is>
          <t>Online</t>
        </is>
      </c>
      <c r="K8664" s="62">
        <f>F8664*(G8664-H8664)</f>
        <v/>
      </c>
      <c r="L8664" s="62">
        <f>K8664-(F8664*I8664)</f>
        <v/>
      </c>
      <c r="M8664" s="64">
        <f>L8664/K8664</f>
        <v/>
      </c>
    </row>
    <row r="8665">
      <c r="A8665" s="58" t="inlineStr">
        <is>
          <t>RT20250805-08664</t>
        </is>
      </c>
      <c r="B8665" s="59" t="inlineStr">
        <is>
          <t>2025-08-05</t>
        </is>
      </c>
      <c r="C8665" s="60" t="inlineStr">
        <is>
          <t>Vertex Appliance S-159</t>
        </is>
      </c>
      <c r="D8665" s="58" t="inlineStr">
        <is>
          <t>Home</t>
        </is>
      </c>
      <c r="E8665" s="58" t="inlineStr">
        <is>
          <t>South</t>
        </is>
      </c>
      <c r="F8665" s="61" t="n">
        <v>3</v>
      </c>
      <c r="G8665" s="62" t="n">
        <v>435.23</v>
      </c>
      <c r="H8665" s="63" t="n">
        <v>0.123</v>
      </c>
      <c r="I8665" s="62" t="n">
        <v>287.78</v>
      </c>
      <c r="J8665" s="58" t="inlineStr">
        <is>
          <t>Store</t>
        </is>
      </c>
      <c r="K8665" s="62">
        <f>F8665*(G8665-H8665)</f>
        <v/>
      </c>
      <c r="L8665" s="62">
        <f>K8665-(F8665*I8665)</f>
        <v/>
      </c>
      <c r="M8665" s="64">
        <f>L8665/K8665</f>
        <v/>
      </c>
    </row>
    <row r="8666">
      <c r="A8666" s="58" t="inlineStr">
        <is>
          <t>RT20250805-08665</t>
        </is>
      </c>
      <c r="B8666" s="59" t="inlineStr">
        <is>
          <t>2025-08-05</t>
        </is>
      </c>
      <c r="C8666" s="60" t="inlineStr">
        <is>
          <t>Metro Smartphone Max-773</t>
        </is>
      </c>
      <c r="D8666" s="58" t="inlineStr">
        <is>
          <t>Electronics</t>
        </is>
      </c>
      <c r="E8666" s="58" t="inlineStr">
        <is>
          <t>West</t>
        </is>
      </c>
      <c r="F8666" s="61" t="n">
        <v>2</v>
      </c>
      <c r="G8666" s="62" t="n">
        <v>1483.92</v>
      </c>
      <c r="H8666" s="63" t="n">
        <v>0.167</v>
      </c>
      <c r="I8666" s="62" t="n">
        <v>1138.56</v>
      </c>
      <c r="J8666" s="58" t="inlineStr">
        <is>
          <t>Store</t>
        </is>
      </c>
      <c r="K8666" s="62">
        <f>F8666*(G8666-H8666)</f>
        <v/>
      </c>
      <c r="L8666" s="62">
        <f>K8666-(F8666*I8666)</f>
        <v/>
      </c>
      <c r="M8666" s="64">
        <f>L8666/K8666</f>
        <v/>
      </c>
    </row>
    <row r="8667">
      <c r="A8667" s="58" t="inlineStr">
        <is>
          <t>RT20250805-08666</t>
        </is>
      </c>
      <c r="B8667" s="59" t="inlineStr">
        <is>
          <t>2025-08-05</t>
        </is>
      </c>
      <c r="C8667" s="60" t="inlineStr">
        <is>
          <t>Vertex Appliance S-159</t>
        </is>
      </c>
      <c r="D8667" s="58" t="inlineStr">
        <is>
          <t>Home</t>
        </is>
      </c>
      <c r="E8667" s="58" t="inlineStr">
        <is>
          <t>West</t>
        </is>
      </c>
      <c r="F8667" s="61" t="n">
        <v>1</v>
      </c>
      <c r="G8667" s="62" t="n">
        <v>510.72</v>
      </c>
      <c r="H8667" s="63" t="n">
        <v>0.145</v>
      </c>
      <c r="I8667" s="62" t="n">
        <v>296.81</v>
      </c>
      <c r="J8667" s="58" t="inlineStr">
        <is>
          <t>Online</t>
        </is>
      </c>
      <c r="K8667" s="62">
        <f>F8667*(G8667-H8667)</f>
        <v/>
      </c>
      <c r="L8667" s="62">
        <f>K8667-(F8667*I8667)</f>
        <v/>
      </c>
      <c r="M8667" s="64">
        <f>L8667/K8667</f>
        <v/>
      </c>
    </row>
    <row r="8668">
      <c r="A8668" s="58" t="inlineStr">
        <is>
          <t>RT20250805-08667</t>
        </is>
      </c>
      <c r="B8668" s="59" t="inlineStr">
        <is>
          <t>2025-08-05</t>
        </is>
      </c>
      <c r="C8668" s="60" t="inlineStr">
        <is>
          <t>Falcon Haircare Pro-980</t>
        </is>
      </c>
      <c r="D8668" s="58" t="inlineStr">
        <is>
          <t>Beauty</t>
        </is>
      </c>
      <c r="E8668" s="58" t="inlineStr">
        <is>
          <t>East</t>
        </is>
      </c>
      <c r="F8668" s="61" t="n">
        <v>4</v>
      </c>
      <c r="G8668" s="62" t="n">
        <v>90.70999999999999</v>
      </c>
      <c r="H8668" s="63" t="n">
        <v>0.181</v>
      </c>
      <c r="I8668" s="62" t="n">
        <v>56.73</v>
      </c>
      <c r="J8668" s="58" t="inlineStr">
        <is>
          <t>Online</t>
        </is>
      </c>
      <c r="K8668" s="62">
        <f>F8668*(G8668-H8668)</f>
        <v/>
      </c>
      <c r="L8668" s="62">
        <f>K8668-(F8668*I8668)</f>
        <v/>
      </c>
      <c r="M8668" s="64">
        <f>L8668/K8668</f>
        <v/>
      </c>
    </row>
    <row r="8669">
      <c r="A8669" s="58" t="inlineStr">
        <is>
          <t>RT20250805-08668</t>
        </is>
      </c>
      <c r="B8669" s="59" t="inlineStr">
        <is>
          <t>2025-08-05</t>
        </is>
      </c>
      <c r="C8669" s="60" t="inlineStr">
        <is>
          <t>Solace Kitchen X-919</t>
        </is>
      </c>
      <c r="D8669" s="58" t="inlineStr">
        <is>
          <t>Home</t>
        </is>
      </c>
      <c r="E8669" s="58" t="inlineStr">
        <is>
          <t>West</t>
        </is>
      </c>
      <c r="F8669" s="61" t="n">
        <v>3</v>
      </c>
      <c r="G8669" s="62" t="n">
        <v>369.87</v>
      </c>
      <c r="H8669" s="63" t="n">
        <v>0.127</v>
      </c>
      <c r="I8669" s="62" t="n">
        <v>261.64</v>
      </c>
      <c r="J8669" s="58" t="inlineStr">
        <is>
          <t>Online</t>
        </is>
      </c>
      <c r="K8669" s="62">
        <f>F8669*(G8669-H8669)</f>
        <v/>
      </c>
      <c r="L8669" s="62">
        <f>K8669-(F8669*I8669)</f>
        <v/>
      </c>
      <c r="M8669" s="64">
        <f>L8669/K8669</f>
        <v/>
      </c>
    </row>
    <row r="8670">
      <c r="A8670" s="58" t="inlineStr">
        <is>
          <t>RT20250805-08669</t>
        </is>
      </c>
      <c r="B8670" s="59" t="inlineStr">
        <is>
          <t>2025-08-05</t>
        </is>
      </c>
      <c r="C8670" s="60" t="inlineStr">
        <is>
          <t>Falcon Household Plus-172</t>
        </is>
      </c>
      <c r="D8670" s="58" t="inlineStr">
        <is>
          <t>Grocery</t>
        </is>
      </c>
      <c r="E8670" s="58" t="inlineStr">
        <is>
          <t>West</t>
        </is>
      </c>
      <c r="F8670" s="61" t="n">
        <v>7</v>
      </c>
      <c r="G8670" s="62" t="n">
        <v>20.65</v>
      </c>
      <c r="H8670" s="63" t="n">
        <v>0.123</v>
      </c>
      <c r="I8670" s="62" t="n">
        <v>16.41</v>
      </c>
      <c r="J8670" s="58" t="inlineStr">
        <is>
          <t>Online</t>
        </is>
      </c>
      <c r="K8670" s="62">
        <f>F8670*(G8670-H8670)</f>
        <v/>
      </c>
      <c r="L8670" s="62">
        <f>K8670-(F8670*I8670)</f>
        <v/>
      </c>
      <c r="M8670" s="64">
        <f>L8670/K8670</f>
        <v/>
      </c>
    </row>
    <row r="8671">
      <c r="A8671" s="58" t="inlineStr">
        <is>
          <t>RT20250805-08670</t>
        </is>
      </c>
      <c r="B8671" s="59" t="inlineStr">
        <is>
          <t>2025-08-05</t>
        </is>
      </c>
      <c r="C8671" s="60" t="inlineStr">
        <is>
          <t>Metro Outdoor Plus-787</t>
        </is>
      </c>
      <c r="D8671" s="58" t="inlineStr">
        <is>
          <t>Sports</t>
        </is>
      </c>
      <c r="E8671" s="58" t="inlineStr">
        <is>
          <t>Central</t>
        </is>
      </c>
      <c r="F8671" s="61" t="n">
        <v>1</v>
      </c>
      <c r="G8671" s="62" t="n">
        <v>553.5599999999999</v>
      </c>
      <c r="H8671" s="63" t="n">
        <v>0.199</v>
      </c>
      <c r="I8671" s="62" t="n">
        <v>362.24</v>
      </c>
      <c r="J8671" s="58" t="inlineStr">
        <is>
          <t>Online</t>
        </is>
      </c>
      <c r="K8671" s="62">
        <f>F8671*(G8671-H8671)</f>
        <v/>
      </c>
      <c r="L8671" s="62">
        <f>K8671-(F8671*I8671)</f>
        <v/>
      </c>
      <c r="M8671" s="64">
        <f>L8671/K8671</f>
        <v/>
      </c>
    </row>
    <row r="8672">
      <c r="A8672" s="58" t="inlineStr">
        <is>
          <t>RT20250805-08671</t>
        </is>
      </c>
      <c r="B8672" s="59" t="inlineStr">
        <is>
          <t>2025-08-05</t>
        </is>
      </c>
      <c r="C8672" s="60" t="inlineStr">
        <is>
          <t>Solace Snack S-691</t>
        </is>
      </c>
      <c r="D8672" s="58" t="inlineStr">
        <is>
          <t>Grocery</t>
        </is>
      </c>
      <c r="E8672" s="58" t="inlineStr">
        <is>
          <t>Central</t>
        </is>
      </c>
      <c r="F8672" s="61" t="n">
        <v>1</v>
      </c>
      <c r="G8672" s="62" t="n">
        <v>9.77</v>
      </c>
      <c r="H8672" s="63" t="n">
        <v>0.163</v>
      </c>
      <c r="I8672" s="62" t="n">
        <v>7.24</v>
      </c>
      <c r="J8672" s="58" t="inlineStr">
        <is>
          <t>Online</t>
        </is>
      </c>
      <c r="K8672" s="62">
        <f>F8672*(G8672-H8672)</f>
        <v/>
      </c>
      <c r="L8672" s="62">
        <f>K8672-(F8672*I8672)</f>
        <v/>
      </c>
      <c r="M8672" s="64">
        <f>L8672/K8672</f>
        <v/>
      </c>
    </row>
    <row r="8673">
      <c r="A8673" s="58" t="inlineStr">
        <is>
          <t>RT20250805-08672</t>
        </is>
      </c>
      <c r="B8673" s="59" t="inlineStr">
        <is>
          <t>2025-08-05</t>
        </is>
      </c>
      <c r="C8673" s="60" t="inlineStr">
        <is>
          <t>Metro Wearable Plus-234</t>
        </is>
      </c>
      <c r="D8673" s="58" t="inlineStr">
        <is>
          <t>Electronics</t>
        </is>
      </c>
      <c r="E8673" s="58" t="inlineStr">
        <is>
          <t>East</t>
        </is>
      </c>
      <c r="F8673" s="61" t="n">
        <v>1</v>
      </c>
      <c r="G8673" s="62" t="n">
        <v>1517.81</v>
      </c>
      <c r="H8673" s="63" t="n">
        <v>0.169</v>
      </c>
      <c r="I8673" s="62" t="n">
        <v>1182.41</v>
      </c>
      <c r="J8673" s="58" t="inlineStr">
        <is>
          <t>Online</t>
        </is>
      </c>
      <c r="K8673" s="62">
        <f>F8673*(G8673-H8673)</f>
        <v/>
      </c>
      <c r="L8673" s="62">
        <f>K8673-(F8673*I8673)</f>
        <v/>
      </c>
      <c r="M8673" s="64">
        <f>L8673/K8673</f>
        <v/>
      </c>
    </row>
    <row r="8674">
      <c r="A8674" s="58" t="inlineStr">
        <is>
          <t>RT20250805-08673</t>
        </is>
      </c>
      <c r="B8674" s="59" t="inlineStr">
        <is>
          <t>2025-08-05</t>
        </is>
      </c>
      <c r="C8674" s="60" t="inlineStr">
        <is>
          <t>Aurora Bedding Plus-187</t>
        </is>
      </c>
      <c r="D8674" s="58" t="inlineStr">
        <is>
          <t>Home</t>
        </is>
      </c>
      <c r="E8674" s="58" t="inlineStr">
        <is>
          <t>West</t>
        </is>
      </c>
      <c r="F8674" s="61" t="n">
        <v>2</v>
      </c>
      <c r="G8674" s="62" t="n">
        <v>295.01</v>
      </c>
      <c r="H8674" s="63" t="n">
        <v>0.123</v>
      </c>
      <c r="I8674" s="62" t="n">
        <v>215.35</v>
      </c>
      <c r="J8674" s="58" t="inlineStr">
        <is>
          <t>Online</t>
        </is>
      </c>
      <c r="K8674" s="62">
        <f>F8674*(G8674-H8674)</f>
        <v/>
      </c>
      <c r="L8674" s="62">
        <f>K8674-(F8674*I8674)</f>
        <v/>
      </c>
      <c r="M8674" s="64">
        <f>L8674/K8674</f>
        <v/>
      </c>
    </row>
    <row r="8675">
      <c r="A8675" s="58" t="inlineStr">
        <is>
          <t>RT20250805-08674</t>
        </is>
      </c>
      <c r="B8675" s="59" t="inlineStr">
        <is>
          <t>2025-08-05</t>
        </is>
      </c>
      <c r="C8675" s="60" t="inlineStr">
        <is>
          <t>Nimbus Furniture Pro-479</t>
        </is>
      </c>
      <c r="D8675" s="58" t="inlineStr">
        <is>
          <t>Office</t>
        </is>
      </c>
      <c r="E8675" s="58" t="inlineStr">
        <is>
          <t>Central</t>
        </is>
      </c>
      <c r="F8675" s="61" t="n">
        <v>3</v>
      </c>
      <c r="G8675" s="62" t="n">
        <v>352.29</v>
      </c>
      <c r="H8675" s="63" t="n">
        <v>0.173</v>
      </c>
      <c r="I8675" s="62" t="n">
        <v>235.36</v>
      </c>
      <c r="J8675" s="58" t="inlineStr">
        <is>
          <t>Store</t>
        </is>
      </c>
      <c r="K8675" s="62">
        <f>F8675*(G8675-H8675)</f>
        <v/>
      </c>
      <c r="L8675" s="62">
        <f>K8675-(F8675*I8675)</f>
        <v/>
      </c>
      <c r="M8675" s="64">
        <f>L8675/K8675</f>
        <v/>
      </c>
    </row>
    <row r="8676">
      <c r="A8676" s="58" t="inlineStr">
        <is>
          <t>RT20250805-08675</t>
        </is>
      </c>
      <c r="B8676" s="59" t="inlineStr">
        <is>
          <t>2025-08-05</t>
        </is>
      </c>
      <c r="C8676" s="60" t="inlineStr">
        <is>
          <t>Polar Outdoor X-193</t>
        </is>
      </c>
      <c r="D8676" s="58" t="inlineStr">
        <is>
          <t>Sports</t>
        </is>
      </c>
      <c r="E8676" s="58" t="inlineStr">
        <is>
          <t>South</t>
        </is>
      </c>
      <c r="F8676" s="61" t="n">
        <v>3</v>
      </c>
      <c r="G8676" s="62" t="n">
        <v>647.7</v>
      </c>
      <c r="H8676" s="63" t="n">
        <v>0.14</v>
      </c>
      <c r="I8676" s="62" t="n">
        <v>465.38</v>
      </c>
      <c r="J8676" s="58" t="inlineStr">
        <is>
          <t>Store</t>
        </is>
      </c>
      <c r="K8676" s="62">
        <f>F8676*(G8676-H8676)</f>
        <v/>
      </c>
      <c r="L8676" s="62">
        <f>K8676-(F8676*I8676)</f>
        <v/>
      </c>
      <c r="M8676" s="64">
        <f>L8676/K8676</f>
        <v/>
      </c>
    </row>
    <row r="8677">
      <c r="A8677" s="58" t="inlineStr">
        <is>
          <t>RT20250805-08676</t>
        </is>
      </c>
      <c r="B8677" s="59" t="inlineStr">
        <is>
          <t>2025-08-05</t>
        </is>
      </c>
      <c r="C8677" s="60" t="inlineStr">
        <is>
          <t>Solace Fitnes S-324</t>
        </is>
      </c>
      <c r="D8677" s="58" t="inlineStr">
        <is>
          <t>Sports</t>
        </is>
      </c>
      <c r="E8677" s="58" t="inlineStr">
        <is>
          <t>Central</t>
        </is>
      </c>
      <c r="F8677" s="61" t="n">
        <v>1</v>
      </c>
      <c r="G8677" s="62" t="n">
        <v>722.51</v>
      </c>
      <c r="H8677" s="63" t="n">
        <v>0.146</v>
      </c>
      <c r="I8677" s="62" t="n">
        <v>538.91</v>
      </c>
      <c r="J8677" s="58" t="inlineStr">
        <is>
          <t>Online</t>
        </is>
      </c>
      <c r="K8677" s="62">
        <f>F8677*(G8677-H8677)</f>
        <v/>
      </c>
      <c r="L8677" s="62">
        <f>K8677-(F8677*I8677)</f>
        <v/>
      </c>
      <c r="M8677" s="64">
        <f>L8677/K8677</f>
        <v/>
      </c>
    </row>
    <row r="8678">
      <c r="A8678" s="58" t="inlineStr">
        <is>
          <t>RT20250805-08677</t>
        </is>
      </c>
      <c r="B8678" s="59" t="inlineStr">
        <is>
          <t>2025-08-05</t>
        </is>
      </c>
      <c r="C8678" s="60" t="inlineStr">
        <is>
          <t>Vertex Appliance Max-338</t>
        </is>
      </c>
      <c r="D8678" s="58" t="inlineStr">
        <is>
          <t>Home</t>
        </is>
      </c>
      <c r="E8678" s="58" t="inlineStr">
        <is>
          <t>West</t>
        </is>
      </c>
      <c r="F8678" s="61" t="n">
        <v>1</v>
      </c>
      <c r="G8678" s="62" t="n">
        <v>368.73</v>
      </c>
      <c r="H8678" s="63" t="n">
        <v>0.16</v>
      </c>
      <c r="I8678" s="62" t="n">
        <v>289.23</v>
      </c>
      <c r="J8678" s="58" t="inlineStr">
        <is>
          <t>Store</t>
        </is>
      </c>
      <c r="K8678" s="62">
        <f>F8678*(G8678-H8678)</f>
        <v/>
      </c>
      <c r="L8678" s="62">
        <f>K8678-(F8678*I8678)</f>
        <v/>
      </c>
      <c r="M8678" s="64">
        <f>L8678/K8678</f>
        <v/>
      </c>
    </row>
    <row r="8679">
      <c r="A8679" s="58" t="inlineStr">
        <is>
          <t>RT20250805-08678</t>
        </is>
      </c>
      <c r="B8679" s="59" t="inlineStr">
        <is>
          <t>2025-08-05</t>
        </is>
      </c>
      <c r="C8679" s="60" t="inlineStr">
        <is>
          <t>Polar Bedding Lite-243</t>
        </is>
      </c>
      <c r="D8679" s="58" t="inlineStr">
        <is>
          <t>Home</t>
        </is>
      </c>
      <c r="E8679" s="58" t="inlineStr">
        <is>
          <t>East</t>
        </is>
      </c>
      <c r="F8679" s="61" t="n">
        <v>3</v>
      </c>
      <c r="G8679" s="62" t="n">
        <v>504.24</v>
      </c>
      <c r="H8679" s="63" t="n">
        <v>0.144</v>
      </c>
      <c r="I8679" s="62" t="n">
        <v>320.09</v>
      </c>
      <c r="J8679" s="58" t="inlineStr">
        <is>
          <t>Phone</t>
        </is>
      </c>
      <c r="K8679" s="62">
        <f>F8679*(G8679-H8679)</f>
        <v/>
      </c>
      <c r="L8679" s="62">
        <f>K8679-(F8679*I8679)</f>
        <v/>
      </c>
      <c r="M8679" s="64">
        <f>L8679/K8679</f>
        <v/>
      </c>
    </row>
    <row r="8680">
      <c r="A8680" s="58" t="inlineStr">
        <is>
          <t>RT20250805-08679</t>
        </is>
      </c>
      <c r="B8680" s="59" t="inlineStr">
        <is>
          <t>2025-08-05</t>
        </is>
      </c>
      <c r="C8680" s="60" t="inlineStr">
        <is>
          <t>Falcon Wearable X-334</t>
        </is>
      </c>
      <c r="D8680" s="58" t="inlineStr">
        <is>
          <t>Electronics</t>
        </is>
      </c>
      <c r="E8680" s="58" t="inlineStr">
        <is>
          <t>North</t>
        </is>
      </c>
      <c r="F8680" s="61" t="n">
        <v>1</v>
      </c>
      <c r="G8680" s="62" t="n">
        <v>2089.74</v>
      </c>
      <c r="H8680" s="63" t="n">
        <v>0.141</v>
      </c>
      <c r="I8680" s="62" t="n">
        <v>1551.53</v>
      </c>
      <c r="J8680" s="58" t="inlineStr">
        <is>
          <t>Store</t>
        </is>
      </c>
      <c r="K8680" s="62">
        <f>F8680*(G8680-H8680)</f>
        <v/>
      </c>
      <c r="L8680" s="62">
        <f>K8680-(F8680*I8680)</f>
        <v/>
      </c>
      <c r="M8680" s="64">
        <f>L8680/K8680</f>
        <v/>
      </c>
    </row>
    <row r="8681">
      <c r="A8681" s="58" t="inlineStr">
        <is>
          <t>RT20250805-08680</t>
        </is>
      </c>
      <c r="B8681" s="59" t="inlineStr">
        <is>
          <t>2025-08-05</t>
        </is>
      </c>
      <c r="C8681" s="60" t="inlineStr">
        <is>
          <t>Orion Supplie S-612</t>
        </is>
      </c>
      <c r="D8681" s="58" t="inlineStr">
        <is>
          <t>Office</t>
        </is>
      </c>
      <c r="E8681" s="58" t="inlineStr">
        <is>
          <t>South</t>
        </is>
      </c>
      <c r="F8681" s="61" t="n">
        <v>3</v>
      </c>
      <c r="G8681" s="62" t="n">
        <v>490.97</v>
      </c>
      <c r="H8681" s="63" t="n">
        <v>0.133</v>
      </c>
      <c r="I8681" s="62" t="n">
        <v>334.26</v>
      </c>
      <c r="J8681" s="58" t="inlineStr">
        <is>
          <t>Online</t>
        </is>
      </c>
      <c r="K8681" s="62">
        <f>F8681*(G8681-H8681)</f>
        <v/>
      </c>
      <c r="L8681" s="62">
        <f>K8681-(F8681*I8681)</f>
        <v/>
      </c>
      <c r="M8681" s="64">
        <f>L8681/K8681</f>
        <v/>
      </c>
    </row>
    <row r="8682">
      <c r="A8682" s="58" t="inlineStr">
        <is>
          <t>RT20250805-08681</t>
        </is>
      </c>
      <c r="B8682" s="59" t="inlineStr">
        <is>
          <t>2025-08-05</t>
        </is>
      </c>
      <c r="C8682" s="60" t="inlineStr">
        <is>
          <t>Vertex Men X-995</t>
        </is>
      </c>
      <c r="D8682" s="58" t="inlineStr">
        <is>
          <t>Apparel</t>
        </is>
      </c>
      <c r="E8682" s="58" t="inlineStr">
        <is>
          <t>East</t>
        </is>
      </c>
      <c r="F8682" s="61" t="n">
        <v>2</v>
      </c>
      <c r="G8682" s="62" t="n">
        <v>114.95</v>
      </c>
      <c r="H8682" s="63" t="n">
        <v>0.178</v>
      </c>
      <c r="I8682" s="62" t="n">
        <v>57.34</v>
      </c>
      <c r="J8682" s="58" t="inlineStr">
        <is>
          <t>Store</t>
        </is>
      </c>
      <c r="K8682" s="62">
        <f>F8682*(G8682-H8682)</f>
        <v/>
      </c>
      <c r="L8682" s="62">
        <f>K8682-(F8682*I8682)</f>
        <v/>
      </c>
      <c r="M8682" s="64">
        <f>L8682/K8682</f>
        <v/>
      </c>
    </row>
    <row r="8683">
      <c r="A8683" s="58" t="inlineStr">
        <is>
          <t>RT20250805-08682</t>
        </is>
      </c>
      <c r="B8683" s="59" t="inlineStr">
        <is>
          <t>2025-08-05</t>
        </is>
      </c>
      <c r="C8683" s="60" t="inlineStr">
        <is>
          <t>Orion Team Sport X-926</t>
        </is>
      </c>
      <c r="D8683" s="58" t="inlineStr">
        <is>
          <t>Sports</t>
        </is>
      </c>
      <c r="E8683" s="58" t="inlineStr">
        <is>
          <t>North</t>
        </is>
      </c>
      <c r="F8683" s="61" t="n">
        <v>1</v>
      </c>
      <c r="G8683" s="62" t="n">
        <v>358.99</v>
      </c>
      <c r="H8683" s="63" t="n">
        <v>0.096</v>
      </c>
      <c r="I8683" s="62" t="n">
        <v>218.61</v>
      </c>
      <c r="J8683" s="58" t="inlineStr">
        <is>
          <t>Store</t>
        </is>
      </c>
      <c r="K8683" s="62">
        <f>F8683*(G8683-H8683)</f>
        <v/>
      </c>
      <c r="L8683" s="62">
        <f>K8683-(F8683*I8683)</f>
        <v/>
      </c>
      <c r="M8683" s="64">
        <f>L8683/K8683</f>
        <v/>
      </c>
    </row>
    <row r="8684">
      <c r="A8684" s="58" t="inlineStr">
        <is>
          <t>RT20250805-08683</t>
        </is>
      </c>
      <c r="B8684" s="59" t="inlineStr">
        <is>
          <t>2025-08-05</t>
        </is>
      </c>
      <c r="C8684" s="60" t="inlineStr">
        <is>
          <t>Metro Accessorie Max-316</t>
        </is>
      </c>
      <c r="D8684" s="58" t="inlineStr">
        <is>
          <t>Apparel</t>
        </is>
      </c>
      <c r="E8684" s="58" t="inlineStr">
        <is>
          <t>West</t>
        </is>
      </c>
      <c r="F8684" s="61" t="n">
        <v>2</v>
      </c>
      <c r="G8684" s="62" t="n">
        <v>176.96</v>
      </c>
      <c r="H8684" s="63" t="n">
        <v>0.115</v>
      </c>
      <c r="I8684" s="62" t="n">
        <v>89.69</v>
      </c>
      <c r="J8684" s="58" t="inlineStr">
        <is>
          <t>Online</t>
        </is>
      </c>
      <c r="K8684" s="62">
        <f>F8684*(G8684-H8684)</f>
        <v/>
      </c>
      <c r="L8684" s="62">
        <f>K8684-(F8684*I8684)</f>
        <v/>
      </c>
      <c r="M8684" s="64">
        <f>L8684/K8684</f>
        <v/>
      </c>
    </row>
    <row r="8685">
      <c r="A8685" s="58" t="inlineStr">
        <is>
          <t>RT20250805-08684</t>
        </is>
      </c>
      <c r="B8685" s="59" t="inlineStr">
        <is>
          <t>2025-08-05</t>
        </is>
      </c>
      <c r="C8685" s="60" t="inlineStr">
        <is>
          <t>Polar Supplie Lite-348</t>
        </is>
      </c>
      <c r="D8685" s="58" t="inlineStr">
        <is>
          <t>Office</t>
        </is>
      </c>
      <c r="E8685" s="58" t="inlineStr">
        <is>
          <t>Central</t>
        </is>
      </c>
      <c r="F8685" s="61" t="n">
        <v>2</v>
      </c>
      <c r="G8685" s="62" t="n">
        <v>454.36</v>
      </c>
      <c r="H8685" s="63" t="n">
        <v>0.221</v>
      </c>
      <c r="I8685" s="62" t="n">
        <v>306.74</v>
      </c>
      <c r="J8685" s="58" t="inlineStr">
        <is>
          <t>Store</t>
        </is>
      </c>
      <c r="K8685" s="62">
        <f>F8685*(G8685-H8685)</f>
        <v/>
      </c>
      <c r="L8685" s="62">
        <f>K8685-(F8685*I8685)</f>
        <v/>
      </c>
      <c r="M8685" s="64">
        <f>L8685/K8685</f>
        <v/>
      </c>
    </row>
    <row r="8686">
      <c r="A8686" s="58" t="inlineStr">
        <is>
          <t>RT20250805-08685</t>
        </is>
      </c>
      <c r="B8686" s="59" t="inlineStr">
        <is>
          <t>2025-08-05</t>
        </is>
      </c>
      <c r="C8686" s="60" t="inlineStr">
        <is>
          <t>Nimbus Decor Lite-385</t>
        </is>
      </c>
      <c r="D8686" s="58" t="inlineStr">
        <is>
          <t>Home</t>
        </is>
      </c>
      <c r="E8686" s="58" t="inlineStr">
        <is>
          <t>East</t>
        </is>
      </c>
      <c r="F8686" s="61" t="n">
        <v>2</v>
      </c>
      <c r="G8686" s="62" t="n">
        <v>617.4</v>
      </c>
      <c r="H8686" s="63" t="n">
        <v>0.179</v>
      </c>
      <c r="I8686" s="62" t="n">
        <v>400.87</v>
      </c>
      <c r="J8686" s="58" t="inlineStr">
        <is>
          <t>Store</t>
        </is>
      </c>
      <c r="K8686" s="62">
        <f>F8686*(G8686-H8686)</f>
        <v/>
      </c>
      <c r="L8686" s="62">
        <f>K8686-(F8686*I8686)</f>
        <v/>
      </c>
      <c r="M8686" s="64">
        <f>L8686/K8686</f>
        <v/>
      </c>
    </row>
    <row r="8687">
      <c r="A8687" s="58" t="inlineStr">
        <is>
          <t>RT20250805-08686</t>
        </is>
      </c>
      <c r="B8687" s="59" t="inlineStr">
        <is>
          <t>2025-08-05</t>
        </is>
      </c>
      <c r="C8687" s="60" t="inlineStr">
        <is>
          <t>Orion Men X-928</t>
        </is>
      </c>
      <c r="D8687" s="58" t="inlineStr">
        <is>
          <t>Apparel</t>
        </is>
      </c>
      <c r="E8687" s="58" t="inlineStr">
        <is>
          <t>South</t>
        </is>
      </c>
      <c r="F8687" s="61" t="n">
        <v>1</v>
      </c>
      <c r="G8687" s="62" t="n">
        <v>116.95</v>
      </c>
      <c r="H8687" s="63" t="n">
        <v>0.17</v>
      </c>
      <c r="I8687" s="62" t="n">
        <v>64.78</v>
      </c>
      <c r="J8687" s="58" t="inlineStr">
        <is>
          <t>Phone</t>
        </is>
      </c>
      <c r="K8687" s="62">
        <f>F8687*(G8687-H8687)</f>
        <v/>
      </c>
      <c r="L8687" s="62">
        <f>K8687-(F8687*I8687)</f>
        <v/>
      </c>
      <c r="M8687" s="64">
        <f>L8687/K8687</f>
        <v/>
      </c>
    </row>
    <row r="8688">
      <c r="A8688" s="58" t="inlineStr">
        <is>
          <t>RT20250806-08687</t>
        </is>
      </c>
      <c r="B8688" s="59" t="inlineStr">
        <is>
          <t>2025-08-06</t>
        </is>
      </c>
      <c r="C8688" s="60" t="inlineStr">
        <is>
          <t>Solace Kitchen Pro-510</t>
        </is>
      </c>
      <c r="D8688" s="58" t="inlineStr">
        <is>
          <t>Home</t>
        </is>
      </c>
      <c r="E8688" s="58" t="inlineStr">
        <is>
          <t>Central</t>
        </is>
      </c>
      <c r="F8688" s="61" t="n">
        <v>2</v>
      </c>
      <c r="G8688" s="62" t="n">
        <v>455.38</v>
      </c>
      <c r="H8688" s="63" t="n">
        <v>0.11</v>
      </c>
      <c r="I8688" s="62" t="n">
        <v>312.41</v>
      </c>
      <c r="J8688" s="58" t="inlineStr">
        <is>
          <t>Online</t>
        </is>
      </c>
      <c r="K8688" s="62">
        <f>F8688*(G8688-H8688)</f>
        <v/>
      </c>
      <c r="L8688" s="62">
        <f>K8688-(F8688*I8688)</f>
        <v/>
      </c>
      <c r="M8688" s="64">
        <f>L8688/K8688</f>
        <v/>
      </c>
    </row>
    <row r="8689">
      <c r="A8689" s="58" t="inlineStr">
        <is>
          <t>RT20250806-08688</t>
        </is>
      </c>
      <c r="B8689" s="59" t="inlineStr">
        <is>
          <t>2025-08-06</t>
        </is>
      </c>
      <c r="C8689" s="60" t="inlineStr">
        <is>
          <t>Vertex Decor Pro-618</t>
        </is>
      </c>
      <c r="D8689" s="58" t="inlineStr">
        <is>
          <t>Home</t>
        </is>
      </c>
      <c r="E8689" s="58" t="inlineStr">
        <is>
          <t>Central</t>
        </is>
      </c>
      <c r="F8689" s="61" t="n">
        <v>3</v>
      </c>
      <c r="G8689" s="62" t="n">
        <v>539.22</v>
      </c>
      <c r="H8689" s="63" t="n">
        <v>0.111</v>
      </c>
      <c r="I8689" s="62" t="n">
        <v>373.81</v>
      </c>
      <c r="J8689" s="58" t="inlineStr">
        <is>
          <t>Online</t>
        </is>
      </c>
      <c r="K8689" s="62">
        <f>F8689*(G8689-H8689)</f>
        <v/>
      </c>
      <c r="L8689" s="62">
        <f>K8689-(F8689*I8689)</f>
        <v/>
      </c>
      <c r="M8689" s="64">
        <f>L8689/K8689</f>
        <v/>
      </c>
    </row>
    <row r="8690">
      <c r="A8690" s="58" t="inlineStr">
        <is>
          <t>RT20250806-08689</t>
        </is>
      </c>
      <c r="B8690" s="59" t="inlineStr">
        <is>
          <t>2025-08-06</t>
        </is>
      </c>
      <c r="C8690" s="60" t="inlineStr">
        <is>
          <t>Polar Beverage S-258</t>
        </is>
      </c>
      <c r="D8690" s="58" t="inlineStr">
        <is>
          <t>Grocery</t>
        </is>
      </c>
      <c r="E8690" s="58" t="inlineStr">
        <is>
          <t>West</t>
        </is>
      </c>
      <c r="F8690" s="61" t="n">
        <v>3</v>
      </c>
      <c r="G8690" s="62" t="n">
        <v>13.14</v>
      </c>
      <c r="H8690" s="63" t="n">
        <v>0.152</v>
      </c>
      <c r="I8690" s="62" t="n">
        <v>9.6</v>
      </c>
      <c r="J8690" s="58" t="inlineStr">
        <is>
          <t>Online</t>
        </is>
      </c>
      <c r="K8690" s="62">
        <f>F8690*(G8690-H8690)</f>
        <v/>
      </c>
      <c r="L8690" s="62">
        <f>K8690-(F8690*I8690)</f>
        <v/>
      </c>
      <c r="M8690" s="64">
        <f>L8690/K8690</f>
        <v/>
      </c>
    </row>
    <row r="8691">
      <c r="A8691" s="58" t="inlineStr">
        <is>
          <t>RT20250806-08690</t>
        </is>
      </c>
      <c r="B8691" s="59" t="inlineStr">
        <is>
          <t>2025-08-06</t>
        </is>
      </c>
      <c r="C8691" s="60" t="inlineStr">
        <is>
          <t>Metro Accessorie Lite-697</t>
        </is>
      </c>
      <c r="D8691" s="58" t="inlineStr">
        <is>
          <t>Apparel</t>
        </is>
      </c>
      <c r="E8691" s="58" t="inlineStr">
        <is>
          <t>North</t>
        </is>
      </c>
      <c r="F8691" s="61" t="n">
        <v>2</v>
      </c>
      <c r="G8691" s="62" t="n">
        <v>149.94</v>
      </c>
      <c r="H8691" s="63" t="n">
        <v>0.172</v>
      </c>
      <c r="I8691" s="62" t="n">
        <v>77.90000000000001</v>
      </c>
      <c r="J8691" s="58" t="inlineStr">
        <is>
          <t>Store</t>
        </is>
      </c>
      <c r="K8691" s="62">
        <f>F8691*(G8691-H8691)</f>
        <v/>
      </c>
      <c r="L8691" s="62">
        <f>K8691-(F8691*I8691)</f>
        <v/>
      </c>
      <c r="M8691" s="64">
        <f>L8691/K8691</f>
        <v/>
      </c>
    </row>
    <row r="8692">
      <c r="A8692" s="58" t="inlineStr">
        <is>
          <t>RT20250806-08691</t>
        </is>
      </c>
      <c r="B8692" s="59" t="inlineStr">
        <is>
          <t>2025-08-06</t>
        </is>
      </c>
      <c r="C8692" s="60" t="inlineStr">
        <is>
          <t>Vertex Appliance S-296</t>
        </is>
      </c>
      <c r="D8692" s="58" t="inlineStr">
        <is>
          <t>Home</t>
        </is>
      </c>
      <c r="E8692" s="58" t="inlineStr">
        <is>
          <t>Central</t>
        </is>
      </c>
      <c r="F8692" s="61" t="n">
        <v>3</v>
      </c>
      <c r="G8692" s="62" t="n">
        <v>516.45</v>
      </c>
      <c r="H8692" s="63" t="n">
        <v>0.161</v>
      </c>
      <c r="I8692" s="62" t="n">
        <v>366.39</v>
      </c>
      <c r="J8692" s="58" t="inlineStr">
        <is>
          <t>Online</t>
        </is>
      </c>
      <c r="K8692" s="62">
        <f>F8692*(G8692-H8692)</f>
        <v/>
      </c>
      <c r="L8692" s="62">
        <f>K8692-(F8692*I8692)</f>
        <v/>
      </c>
      <c r="M8692" s="64">
        <f>L8692/K8692</f>
        <v/>
      </c>
    </row>
    <row r="8693">
      <c r="A8693" s="58" t="inlineStr">
        <is>
          <t>RT20250806-08692</t>
        </is>
      </c>
      <c r="B8693" s="59" t="inlineStr">
        <is>
          <t>2025-08-06</t>
        </is>
      </c>
      <c r="C8693" s="60" t="inlineStr">
        <is>
          <t>Solace Kitchen Pro-999</t>
        </is>
      </c>
      <c r="D8693" s="58" t="inlineStr">
        <is>
          <t>Home</t>
        </is>
      </c>
      <c r="E8693" s="58" t="inlineStr">
        <is>
          <t>East</t>
        </is>
      </c>
      <c r="F8693" s="61" t="n">
        <v>2</v>
      </c>
      <c r="G8693" s="62" t="n">
        <v>398.12</v>
      </c>
      <c r="H8693" s="63" t="n">
        <v>0.102</v>
      </c>
      <c r="I8693" s="62" t="n">
        <v>267.74</v>
      </c>
      <c r="J8693" s="58" t="inlineStr">
        <is>
          <t>Store</t>
        </is>
      </c>
      <c r="K8693" s="62">
        <f>F8693*(G8693-H8693)</f>
        <v/>
      </c>
      <c r="L8693" s="62">
        <f>K8693-(F8693*I8693)</f>
        <v/>
      </c>
      <c r="M8693" s="64">
        <f>L8693/K8693</f>
        <v/>
      </c>
    </row>
    <row r="8694">
      <c r="A8694" s="58" t="inlineStr">
        <is>
          <t>RT20250806-08693</t>
        </is>
      </c>
      <c r="B8694" s="59" t="inlineStr">
        <is>
          <t>2025-08-06</t>
        </is>
      </c>
      <c r="C8694" s="60" t="inlineStr">
        <is>
          <t>Orion Supplie S-612</t>
        </is>
      </c>
      <c r="D8694" s="58" t="inlineStr">
        <is>
          <t>Office</t>
        </is>
      </c>
      <c r="E8694" s="58" t="inlineStr">
        <is>
          <t>Central</t>
        </is>
      </c>
      <c r="F8694" s="61" t="n">
        <v>1</v>
      </c>
      <c r="G8694" s="62" t="n">
        <v>508.06</v>
      </c>
      <c r="H8694" s="63" t="n">
        <v>0.136</v>
      </c>
      <c r="I8694" s="62" t="n">
        <v>334.55</v>
      </c>
      <c r="J8694" s="58" t="inlineStr">
        <is>
          <t>Online</t>
        </is>
      </c>
      <c r="K8694" s="62">
        <f>F8694*(G8694-H8694)</f>
        <v/>
      </c>
      <c r="L8694" s="62">
        <f>K8694-(F8694*I8694)</f>
        <v/>
      </c>
      <c r="M8694" s="64">
        <f>L8694/K8694</f>
        <v/>
      </c>
    </row>
    <row r="8695">
      <c r="A8695" s="58" t="inlineStr">
        <is>
          <t>RT20250806-08694</t>
        </is>
      </c>
      <c r="B8695" s="59" t="inlineStr">
        <is>
          <t>2025-08-06</t>
        </is>
      </c>
      <c r="C8695" s="60" t="inlineStr">
        <is>
          <t>Aurora Makeup S-626</t>
        </is>
      </c>
      <c r="D8695" s="58" t="inlineStr">
        <is>
          <t>Beauty</t>
        </is>
      </c>
      <c r="E8695" s="58" t="inlineStr">
        <is>
          <t>North</t>
        </is>
      </c>
      <c r="F8695" s="61" t="n">
        <v>2</v>
      </c>
      <c r="G8695" s="62" t="n">
        <v>112.76</v>
      </c>
      <c r="H8695" s="63" t="n">
        <v>0.208</v>
      </c>
      <c r="I8695" s="62" t="n">
        <v>65.48999999999999</v>
      </c>
      <c r="J8695" s="58" t="inlineStr">
        <is>
          <t>Store</t>
        </is>
      </c>
      <c r="K8695" s="62">
        <f>F8695*(G8695-H8695)</f>
        <v/>
      </c>
      <c r="L8695" s="62">
        <f>K8695-(F8695*I8695)</f>
        <v/>
      </c>
      <c r="M8695" s="64">
        <f>L8695/K8695</f>
        <v/>
      </c>
    </row>
    <row r="8696">
      <c r="A8696" s="58" t="inlineStr">
        <is>
          <t>RT20250806-08695</t>
        </is>
      </c>
      <c r="B8696" s="59" t="inlineStr">
        <is>
          <t>2025-08-06</t>
        </is>
      </c>
      <c r="C8696" s="60" t="inlineStr">
        <is>
          <t>Aurora Kid Plus-151</t>
        </is>
      </c>
      <c r="D8696" s="58" t="inlineStr">
        <is>
          <t>Apparel</t>
        </is>
      </c>
      <c r="E8696" s="58" t="inlineStr">
        <is>
          <t>East</t>
        </is>
      </c>
      <c r="F8696" s="61" t="n">
        <v>4</v>
      </c>
      <c r="G8696" s="62" t="n">
        <v>105.19</v>
      </c>
      <c r="H8696" s="63" t="n">
        <v>0.11</v>
      </c>
      <c r="I8696" s="62" t="n">
        <v>63.53</v>
      </c>
      <c r="J8696" s="58" t="inlineStr">
        <is>
          <t>Store</t>
        </is>
      </c>
      <c r="K8696" s="62">
        <f>F8696*(G8696-H8696)</f>
        <v/>
      </c>
      <c r="L8696" s="62">
        <f>K8696-(F8696*I8696)</f>
        <v/>
      </c>
      <c r="M8696" s="64">
        <f>L8696/K8696</f>
        <v/>
      </c>
    </row>
    <row r="8697">
      <c r="A8697" s="58" t="inlineStr">
        <is>
          <t>RT20250806-08696</t>
        </is>
      </c>
      <c r="B8697" s="59" t="inlineStr">
        <is>
          <t>2025-08-06</t>
        </is>
      </c>
      <c r="C8697" s="60" t="inlineStr">
        <is>
          <t>Vertex Men X-995</t>
        </is>
      </c>
      <c r="D8697" s="58" t="inlineStr">
        <is>
          <t>Apparel</t>
        </is>
      </c>
      <c r="E8697" s="58" t="inlineStr">
        <is>
          <t>North</t>
        </is>
      </c>
      <c r="F8697" s="61" t="n">
        <v>1</v>
      </c>
      <c r="G8697" s="62" t="n">
        <v>106.05</v>
      </c>
      <c r="H8697" s="63" t="n">
        <v>0.016</v>
      </c>
      <c r="I8697" s="62" t="n">
        <v>57.37</v>
      </c>
      <c r="J8697" s="58" t="inlineStr">
        <is>
          <t>Store</t>
        </is>
      </c>
      <c r="K8697" s="62">
        <f>F8697*(G8697-H8697)</f>
        <v/>
      </c>
      <c r="L8697" s="62">
        <f>K8697-(F8697*I8697)</f>
        <v/>
      </c>
      <c r="M8697" s="64">
        <f>L8697/K8697</f>
        <v/>
      </c>
    </row>
    <row r="8698">
      <c r="A8698" s="58" t="inlineStr">
        <is>
          <t>RT20250806-08697</t>
        </is>
      </c>
      <c r="B8698" s="59" t="inlineStr">
        <is>
          <t>2025-08-06</t>
        </is>
      </c>
      <c r="C8698" s="60" t="inlineStr">
        <is>
          <t>Vertex Appliance S-296</t>
        </is>
      </c>
      <c r="D8698" s="58" t="inlineStr">
        <is>
          <t>Home</t>
        </is>
      </c>
      <c r="E8698" s="58" t="inlineStr">
        <is>
          <t>South</t>
        </is>
      </c>
      <c r="F8698" s="61" t="n">
        <v>2</v>
      </c>
      <c r="G8698" s="62" t="n">
        <v>501.29</v>
      </c>
      <c r="H8698" s="63" t="n">
        <v>0.156</v>
      </c>
      <c r="I8698" s="62" t="n">
        <v>354.64</v>
      </c>
      <c r="J8698" s="58" t="inlineStr">
        <is>
          <t>Store</t>
        </is>
      </c>
      <c r="K8698" s="62">
        <f>F8698*(G8698-H8698)</f>
        <v/>
      </c>
      <c r="L8698" s="62">
        <f>K8698-(F8698*I8698)</f>
        <v/>
      </c>
      <c r="M8698" s="64">
        <f>L8698/K8698</f>
        <v/>
      </c>
    </row>
    <row r="8699">
      <c r="A8699" s="58" t="inlineStr">
        <is>
          <t>RT20250806-08698</t>
        </is>
      </c>
      <c r="B8699" s="59" t="inlineStr">
        <is>
          <t>2025-08-06</t>
        </is>
      </c>
      <c r="C8699" s="60" t="inlineStr">
        <is>
          <t>Polar Women S-662</t>
        </is>
      </c>
      <c r="D8699" s="58" t="inlineStr">
        <is>
          <t>Apparel</t>
        </is>
      </c>
      <c r="E8699" s="58" t="inlineStr">
        <is>
          <t>South</t>
        </is>
      </c>
      <c r="F8699" s="61" t="n">
        <v>3</v>
      </c>
      <c r="G8699" s="62" t="n">
        <v>184.33</v>
      </c>
      <c r="H8699" s="63" t="n">
        <v>0.148</v>
      </c>
      <c r="I8699" s="62" t="n">
        <v>96.08</v>
      </c>
      <c r="J8699" s="58" t="inlineStr">
        <is>
          <t>Online</t>
        </is>
      </c>
      <c r="K8699" s="62">
        <f>F8699*(G8699-H8699)</f>
        <v/>
      </c>
      <c r="L8699" s="62">
        <f>K8699-(F8699*I8699)</f>
        <v/>
      </c>
      <c r="M8699" s="64">
        <f>L8699/K8699</f>
        <v/>
      </c>
    </row>
    <row r="8700">
      <c r="A8700" s="58" t="inlineStr">
        <is>
          <t>RT20250806-08699</t>
        </is>
      </c>
      <c r="B8700" s="59" t="inlineStr">
        <is>
          <t>2025-08-06</t>
        </is>
      </c>
      <c r="C8700" s="60" t="inlineStr">
        <is>
          <t>Metro Laptop Plus-376</t>
        </is>
      </c>
      <c r="D8700" s="58" t="inlineStr">
        <is>
          <t>Electronics</t>
        </is>
      </c>
      <c r="E8700" s="58" t="inlineStr">
        <is>
          <t>East</t>
        </is>
      </c>
      <c r="F8700" s="61" t="n">
        <v>2</v>
      </c>
      <c r="G8700" s="62" t="n">
        <v>1306.02</v>
      </c>
      <c r="H8700" s="63" t="n">
        <v>0.173</v>
      </c>
      <c r="I8700" s="62" t="n">
        <v>1019.79</v>
      </c>
      <c r="J8700" s="58" t="inlineStr">
        <is>
          <t>Phone</t>
        </is>
      </c>
      <c r="K8700" s="62">
        <f>F8700*(G8700-H8700)</f>
        <v/>
      </c>
      <c r="L8700" s="62">
        <f>K8700-(F8700*I8700)</f>
        <v/>
      </c>
      <c r="M8700" s="64">
        <f>L8700/K8700</f>
        <v/>
      </c>
    </row>
    <row r="8701">
      <c r="A8701" s="58" t="inlineStr">
        <is>
          <t>RT20250806-08700</t>
        </is>
      </c>
      <c r="B8701" s="59" t="inlineStr">
        <is>
          <t>2025-08-06</t>
        </is>
      </c>
      <c r="C8701" s="60" t="inlineStr">
        <is>
          <t>Metro Pantry X-710</t>
        </is>
      </c>
      <c r="D8701" s="58" t="inlineStr">
        <is>
          <t>Grocery</t>
        </is>
      </c>
      <c r="E8701" s="58" t="inlineStr">
        <is>
          <t>South</t>
        </is>
      </c>
      <c r="F8701" s="61" t="n">
        <v>1</v>
      </c>
      <c r="G8701" s="62" t="n">
        <v>5.18</v>
      </c>
      <c r="H8701" s="63" t="n">
        <v>0.129</v>
      </c>
      <c r="I8701" s="62" t="n">
        <v>4.26</v>
      </c>
      <c r="J8701" s="58" t="inlineStr">
        <is>
          <t>Store</t>
        </is>
      </c>
      <c r="K8701" s="62">
        <f>F8701*(G8701-H8701)</f>
        <v/>
      </c>
      <c r="L8701" s="62">
        <f>K8701-(F8701*I8701)</f>
        <v/>
      </c>
      <c r="M8701" s="64">
        <f>L8701/K8701</f>
        <v/>
      </c>
    </row>
    <row r="8702">
      <c r="A8702" s="58" t="inlineStr">
        <is>
          <t>RT20250806-08701</t>
        </is>
      </c>
      <c r="B8702" s="59" t="inlineStr">
        <is>
          <t>2025-08-06</t>
        </is>
      </c>
      <c r="C8702" s="60" t="inlineStr">
        <is>
          <t>Falcon Cycling Pro-499</t>
        </is>
      </c>
      <c r="D8702" s="58" t="inlineStr">
        <is>
          <t>Sports</t>
        </is>
      </c>
      <c r="E8702" s="58" t="inlineStr">
        <is>
          <t>West</t>
        </is>
      </c>
      <c r="F8702" s="61" t="n">
        <v>1</v>
      </c>
      <c r="G8702" s="62" t="n">
        <v>610.96</v>
      </c>
      <c r="H8702" s="63" t="n">
        <v>0.162</v>
      </c>
      <c r="I8702" s="62" t="n">
        <v>395.61</v>
      </c>
      <c r="J8702" s="58" t="inlineStr">
        <is>
          <t>Online</t>
        </is>
      </c>
      <c r="K8702" s="62">
        <f>F8702*(G8702-H8702)</f>
        <v/>
      </c>
      <c r="L8702" s="62">
        <f>K8702-(F8702*I8702)</f>
        <v/>
      </c>
      <c r="M8702" s="64">
        <f>L8702/K8702</f>
        <v/>
      </c>
    </row>
    <row r="8703">
      <c r="A8703" s="58" t="inlineStr">
        <is>
          <t>RT20250807-08702</t>
        </is>
      </c>
      <c r="B8703" s="59" t="inlineStr">
        <is>
          <t>2025-08-07</t>
        </is>
      </c>
      <c r="C8703" s="60" t="inlineStr">
        <is>
          <t>Solace Team Sport Max-548</t>
        </is>
      </c>
      <c r="D8703" s="58" t="inlineStr">
        <is>
          <t>Sports</t>
        </is>
      </c>
      <c r="E8703" s="58" t="inlineStr">
        <is>
          <t>North</t>
        </is>
      </c>
      <c r="F8703" s="61" t="n">
        <v>1</v>
      </c>
      <c r="G8703" s="62" t="n">
        <v>746.14</v>
      </c>
      <c r="H8703" s="63" t="n">
        <v>0.177</v>
      </c>
      <c r="I8703" s="62" t="n">
        <v>491.87</v>
      </c>
      <c r="J8703" s="58" t="inlineStr">
        <is>
          <t>Online</t>
        </is>
      </c>
      <c r="K8703" s="62">
        <f>F8703*(G8703-H8703)</f>
        <v/>
      </c>
      <c r="L8703" s="62">
        <f>K8703-(F8703*I8703)</f>
        <v/>
      </c>
      <c r="M8703" s="64">
        <f>L8703/K8703</f>
        <v/>
      </c>
    </row>
    <row r="8704">
      <c r="A8704" s="58" t="inlineStr">
        <is>
          <t>RT20250807-08703</t>
        </is>
      </c>
      <c r="B8704" s="59" t="inlineStr">
        <is>
          <t>2025-08-07</t>
        </is>
      </c>
      <c r="C8704" s="60" t="inlineStr">
        <is>
          <t>Falcon Furniture Plus-839</t>
        </is>
      </c>
      <c r="D8704" s="58" t="inlineStr">
        <is>
          <t>Office</t>
        </is>
      </c>
      <c r="E8704" s="58" t="inlineStr">
        <is>
          <t>West</t>
        </is>
      </c>
      <c r="F8704" s="61" t="n">
        <v>1</v>
      </c>
      <c r="G8704" s="62" t="n">
        <v>302.09</v>
      </c>
      <c r="H8704" s="63" t="n">
        <v>0.148</v>
      </c>
      <c r="I8704" s="62" t="n">
        <v>230.81</v>
      </c>
      <c r="J8704" s="58" t="inlineStr">
        <is>
          <t>Store</t>
        </is>
      </c>
      <c r="K8704" s="62">
        <f>F8704*(G8704-H8704)</f>
        <v/>
      </c>
      <c r="L8704" s="62">
        <f>K8704-(F8704*I8704)</f>
        <v/>
      </c>
      <c r="M8704" s="64">
        <f>L8704/K8704</f>
        <v/>
      </c>
    </row>
    <row r="8705">
      <c r="A8705" s="58" t="inlineStr">
        <is>
          <t>RT20250807-08704</t>
        </is>
      </c>
      <c r="B8705" s="59" t="inlineStr">
        <is>
          <t>2025-08-07</t>
        </is>
      </c>
      <c r="C8705" s="60" t="inlineStr">
        <is>
          <t>Nimbus Men Plus-231</t>
        </is>
      </c>
      <c r="D8705" s="58" t="inlineStr">
        <is>
          <t>Apparel</t>
        </is>
      </c>
      <c r="E8705" s="58" t="inlineStr">
        <is>
          <t>West</t>
        </is>
      </c>
      <c r="F8705" s="61" t="n">
        <v>1</v>
      </c>
      <c r="G8705" s="62" t="n">
        <v>156.36</v>
      </c>
      <c r="H8705" s="63" t="n">
        <v>0.136</v>
      </c>
      <c r="I8705" s="62" t="n">
        <v>89.45</v>
      </c>
      <c r="J8705" s="58" t="inlineStr">
        <is>
          <t>Online</t>
        </is>
      </c>
      <c r="K8705" s="62">
        <f>F8705*(G8705-H8705)</f>
        <v/>
      </c>
      <c r="L8705" s="62">
        <f>K8705-(F8705*I8705)</f>
        <v/>
      </c>
      <c r="M8705" s="64">
        <f>L8705/K8705</f>
        <v/>
      </c>
    </row>
    <row r="8706">
      <c r="A8706" s="58" t="inlineStr">
        <is>
          <t>RT20250807-08705</t>
        </is>
      </c>
      <c r="B8706" s="59" t="inlineStr">
        <is>
          <t>2025-08-07</t>
        </is>
      </c>
      <c r="C8706" s="60" t="inlineStr">
        <is>
          <t>Falcon Household Plus-796</t>
        </is>
      </c>
      <c r="D8706" s="58" t="inlineStr">
        <is>
          <t>Grocery</t>
        </is>
      </c>
      <c r="E8706" s="58" t="inlineStr">
        <is>
          <t>North</t>
        </is>
      </c>
      <c r="F8706" s="61" t="n">
        <v>4</v>
      </c>
      <c r="G8706" s="62" t="n">
        <v>20.59</v>
      </c>
      <c r="H8706" s="63" t="n">
        <v>0.14</v>
      </c>
      <c r="I8706" s="62" t="n">
        <v>17.19</v>
      </c>
      <c r="J8706" s="58" t="inlineStr">
        <is>
          <t>Online</t>
        </is>
      </c>
      <c r="K8706" s="62">
        <f>F8706*(G8706-H8706)</f>
        <v/>
      </c>
      <c r="L8706" s="62">
        <f>K8706-(F8706*I8706)</f>
        <v/>
      </c>
      <c r="M8706" s="64">
        <f>L8706/K8706</f>
        <v/>
      </c>
    </row>
    <row r="8707">
      <c r="A8707" s="58" t="inlineStr">
        <is>
          <t>RT20250807-08706</t>
        </is>
      </c>
      <c r="B8707" s="59" t="inlineStr">
        <is>
          <t>2025-08-07</t>
        </is>
      </c>
      <c r="C8707" s="60" t="inlineStr">
        <is>
          <t>Falcon Storage X-734</t>
        </is>
      </c>
      <c r="D8707" s="58" t="inlineStr">
        <is>
          <t>Office</t>
        </is>
      </c>
      <c r="E8707" s="58" t="inlineStr">
        <is>
          <t>West</t>
        </is>
      </c>
      <c r="F8707" s="61" t="n">
        <v>2</v>
      </c>
      <c r="G8707" s="62" t="n">
        <v>447.71</v>
      </c>
      <c r="H8707" s="63" t="n">
        <v>0.095</v>
      </c>
      <c r="I8707" s="62" t="n">
        <v>281.09</v>
      </c>
      <c r="J8707" s="58" t="inlineStr">
        <is>
          <t>Store</t>
        </is>
      </c>
      <c r="K8707" s="62">
        <f>F8707*(G8707-H8707)</f>
        <v/>
      </c>
      <c r="L8707" s="62">
        <f>K8707-(F8707*I8707)</f>
        <v/>
      </c>
      <c r="M8707" s="64">
        <f>L8707/K8707</f>
        <v/>
      </c>
    </row>
    <row r="8708">
      <c r="A8708" s="58" t="inlineStr">
        <is>
          <t>RT20250807-08707</t>
        </is>
      </c>
      <c r="B8708" s="59" t="inlineStr">
        <is>
          <t>2025-08-07</t>
        </is>
      </c>
      <c r="C8708" s="60" t="inlineStr">
        <is>
          <t>Orion Beverage Plus-949</t>
        </is>
      </c>
      <c r="D8708" s="58" t="inlineStr">
        <is>
          <t>Grocery</t>
        </is>
      </c>
      <c r="E8708" s="58" t="inlineStr">
        <is>
          <t>East</t>
        </is>
      </c>
      <c r="F8708" s="61" t="n">
        <v>3</v>
      </c>
      <c r="G8708" s="62" t="n">
        <v>19.33</v>
      </c>
      <c r="H8708" s="63" t="n">
        <v>0.144</v>
      </c>
      <c r="I8708" s="62" t="n">
        <v>13.89</v>
      </c>
      <c r="J8708" s="58" t="inlineStr">
        <is>
          <t>Store</t>
        </is>
      </c>
      <c r="K8708" s="62">
        <f>F8708*(G8708-H8708)</f>
        <v/>
      </c>
      <c r="L8708" s="62">
        <f>K8708-(F8708*I8708)</f>
        <v/>
      </c>
      <c r="M8708" s="64">
        <f>L8708/K8708</f>
        <v/>
      </c>
    </row>
    <row r="8709">
      <c r="A8709" s="58" t="inlineStr">
        <is>
          <t>RT20250807-08708</t>
        </is>
      </c>
      <c r="B8709" s="59" t="inlineStr">
        <is>
          <t>2025-08-07</t>
        </is>
      </c>
      <c r="C8709" s="60" t="inlineStr">
        <is>
          <t>Metro Accessorie Lite-697</t>
        </is>
      </c>
      <c r="D8709" s="58" t="inlineStr">
        <is>
          <t>Apparel</t>
        </is>
      </c>
      <c r="E8709" s="58" t="inlineStr">
        <is>
          <t>East</t>
        </is>
      </c>
      <c r="F8709" s="61" t="n">
        <v>1</v>
      </c>
      <c r="G8709" s="62" t="n">
        <v>121.04</v>
      </c>
      <c r="H8709" s="63" t="n">
        <v>0.189</v>
      </c>
      <c r="I8709" s="62" t="n">
        <v>78.09</v>
      </c>
      <c r="J8709" s="58" t="inlineStr">
        <is>
          <t>Online</t>
        </is>
      </c>
      <c r="K8709" s="62">
        <f>F8709*(G8709-H8709)</f>
        <v/>
      </c>
      <c r="L8709" s="62">
        <f>K8709-(F8709*I8709)</f>
        <v/>
      </c>
      <c r="M8709" s="64">
        <f>L8709/K8709</f>
        <v/>
      </c>
    </row>
    <row r="8710">
      <c r="A8710" s="58" t="inlineStr">
        <is>
          <t>RT20250807-08709</t>
        </is>
      </c>
      <c r="B8710" s="59" t="inlineStr">
        <is>
          <t>2025-08-07</t>
        </is>
      </c>
      <c r="C8710" s="60" t="inlineStr">
        <is>
          <t>Solace Kitchen Pro-999</t>
        </is>
      </c>
      <c r="D8710" s="58" t="inlineStr">
        <is>
          <t>Home</t>
        </is>
      </c>
      <c r="E8710" s="58" t="inlineStr">
        <is>
          <t>West</t>
        </is>
      </c>
      <c r="F8710" s="61" t="n">
        <v>2</v>
      </c>
      <c r="G8710" s="62" t="n">
        <v>381.2</v>
      </c>
      <c r="H8710" s="63" t="n">
        <v>0.141</v>
      </c>
      <c r="I8710" s="62" t="n">
        <v>263.22</v>
      </c>
      <c r="J8710" s="58" t="inlineStr">
        <is>
          <t>Store</t>
        </is>
      </c>
      <c r="K8710" s="62">
        <f>F8710*(G8710-H8710)</f>
        <v/>
      </c>
      <c r="L8710" s="62">
        <f>K8710-(F8710*I8710)</f>
        <v/>
      </c>
      <c r="M8710" s="64">
        <f>L8710/K8710</f>
        <v/>
      </c>
    </row>
    <row r="8711">
      <c r="A8711" s="58" t="inlineStr">
        <is>
          <t>RT20250807-08710</t>
        </is>
      </c>
      <c r="B8711" s="59" t="inlineStr">
        <is>
          <t>2025-08-07</t>
        </is>
      </c>
      <c r="C8711" s="60" t="inlineStr">
        <is>
          <t>Nimbus Furniture Pro-479</t>
        </is>
      </c>
      <c r="D8711" s="58" t="inlineStr">
        <is>
          <t>Office</t>
        </is>
      </c>
      <c r="E8711" s="58" t="inlineStr">
        <is>
          <t>South</t>
        </is>
      </c>
      <c r="F8711" s="61" t="n">
        <v>3</v>
      </c>
      <c r="G8711" s="62" t="n">
        <v>305.41</v>
      </c>
      <c r="H8711" s="63" t="n">
        <v>0.193</v>
      </c>
      <c r="I8711" s="62" t="n">
        <v>239.28</v>
      </c>
      <c r="J8711" s="58" t="inlineStr">
        <is>
          <t>Online</t>
        </is>
      </c>
      <c r="K8711" s="62">
        <f>F8711*(G8711-H8711)</f>
        <v/>
      </c>
      <c r="L8711" s="62">
        <f>K8711-(F8711*I8711)</f>
        <v/>
      </c>
      <c r="M8711" s="64">
        <f>L8711/K8711</f>
        <v/>
      </c>
    </row>
    <row r="8712">
      <c r="A8712" s="58" t="inlineStr">
        <is>
          <t>RT20250807-08711</t>
        </is>
      </c>
      <c r="B8712" s="59" t="inlineStr">
        <is>
          <t>2025-08-07</t>
        </is>
      </c>
      <c r="C8712" s="60" t="inlineStr">
        <is>
          <t>Falcon Team Sport Lite-268</t>
        </is>
      </c>
      <c r="D8712" s="58" t="inlineStr">
        <is>
          <t>Sports</t>
        </is>
      </c>
      <c r="E8712" s="58" t="inlineStr">
        <is>
          <t>East</t>
        </is>
      </c>
      <c r="F8712" s="61" t="n">
        <v>2</v>
      </c>
      <c r="G8712" s="62" t="n">
        <v>626.51</v>
      </c>
      <c r="H8712" s="63" t="n">
        <v>0.122</v>
      </c>
      <c r="I8712" s="62" t="n">
        <v>441.83</v>
      </c>
      <c r="J8712" s="58" t="inlineStr">
        <is>
          <t>Store</t>
        </is>
      </c>
      <c r="K8712" s="62">
        <f>F8712*(G8712-H8712)</f>
        <v/>
      </c>
      <c r="L8712" s="62">
        <f>K8712-(F8712*I8712)</f>
        <v/>
      </c>
      <c r="M8712" s="64">
        <f>L8712/K8712</f>
        <v/>
      </c>
    </row>
    <row r="8713">
      <c r="A8713" s="58" t="inlineStr">
        <is>
          <t>RT20250807-08712</t>
        </is>
      </c>
      <c r="B8713" s="59" t="inlineStr">
        <is>
          <t>2025-08-07</t>
        </is>
      </c>
      <c r="C8713" s="60" t="inlineStr">
        <is>
          <t>Falcon Team Sport Lite-268</t>
        </is>
      </c>
      <c r="D8713" s="58" t="inlineStr">
        <is>
          <t>Sports</t>
        </is>
      </c>
      <c r="E8713" s="58" t="inlineStr">
        <is>
          <t>East</t>
        </is>
      </c>
      <c r="F8713" s="61" t="n">
        <v>3</v>
      </c>
      <c r="G8713" s="62" t="n">
        <v>671.17</v>
      </c>
      <c r="H8713" s="63" t="n">
        <v>0.18</v>
      </c>
      <c r="I8713" s="62" t="n">
        <v>435.68</v>
      </c>
      <c r="J8713" s="58" t="inlineStr">
        <is>
          <t>Online</t>
        </is>
      </c>
      <c r="K8713" s="62">
        <f>F8713*(G8713-H8713)</f>
        <v/>
      </c>
      <c r="L8713" s="62">
        <f>K8713-(F8713*I8713)</f>
        <v/>
      </c>
      <c r="M8713" s="64">
        <f>L8713/K8713</f>
        <v/>
      </c>
    </row>
    <row r="8714">
      <c r="A8714" s="58" t="inlineStr">
        <is>
          <t>RT20250807-08713</t>
        </is>
      </c>
      <c r="B8714" s="59" t="inlineStr">
        <is>
          <t>2025-08-07</t>
        </is>
      </c>
      <c r="C8714" s="60" t="inlineStr">
        <is>
          <t>Solace Makeup Pro-214</t>
        </is>
      </c>
      <c r="D8714" s="58" t="inlineStr">
        <is>
          <t>Beauty</t>
        </is>
      </c>
      <c r="E8714" s="58" t="inlineStr">
        <is>
          <t>East</t>
        </is>
      </c>
      <c r="F8714" s="61" t="n">
        <v>1</v>
      </c>
      <c r="G8714" s="62" t="n">
        <v>111.34</v>
      </c>
      <c r="H8714" s="63" t="n">
        <v>0.159</v>
      </c>
      <c r="I8714" s="62" t="n">
        <v>68.84</v>
      </c>
      <c r="J8714" s="58" t="inlineStr">
        <is>
          <t>Store</t>
        </is>
      </c>
      <c r="K8714" s="62">
        <f>F8714*(G8714-H8714)</f>
        <v/>
      </c>
      <c r="L8714" s="62">
        <f>K8714-(F8714*I8714)</f>
        <v/>
      </c>
      <c r="M8714" s="64">
        <f>L8714/K8714</f>
        <v/>
      </c>
    </row>
    <row r="8715">
      <c r="A8715" s="58" t="inlineStr">
        <is>
          <t>RT20250807-08714</t>
        </is>
      </c>
      <c r="B8715" s="59" t="inlineStr">
        <is>
          <t>2025-08-07</t>
        </is>
      </c>
      <c r="C8715" s="60" t="inlineStr">
        <is>
          <t>Vertex Fitnes Pro-830</t>
        </is>
      </c>
      <c r="D8715" s="58" t="inlineStr">
        <is>
          <t>Sports</t>
        </is>
      </c>
      <c r="E8715" s="58" t="inlineStr">
        <is>
          <t>South</t>
        </is>
      </c>
      <c r="F8715" s="61" t="n">
        <v>1</v>
      </c>
      <c r="G8715" s="62" t="n">
        <v>729.58</v>
      </c>
      <c r="H8715" s="63" t="n">
        <v>0.103</v>
      </c>
      <c r="I8715" s="62" t="n">
        <v>489.94</v>
      </c>
      <c r="J8715" s="58" t="inlineStr">
        <is>
          <t>Online</t>
        </is>
      </c>
      <c r="K8715" s="62">
        <f>F8715*(G8715-H8715)</f>
        <v/>
      </c>
      <c r="L8715" s="62">
        <f>K8715-(F8715*I8715)</f>
        <v/>
      </c>
      <c r="M8715" s="64">
        <f>L8715/K8715</f>
        <v/>
      </c>
    </row>
    <row r="8716">
      <c r="A8716" s="58" t="inlineStr">
        <is>
          <t>RT20250807-08715</t>
        </is>
      </c>
      <c r="B8716" s="59" t="inlineStr">
        <is>
          <t>2025-08-07</t>
        </is>
      </c>
      <c r="C8716" s="60" t="inlineStr">
        <is>
          <t>Aurora Smartphone Plus-125</t>
        </is>
      </c>
      <c r="D8716" s="58" t="inlineStr">
        <is>
          <t>Electronics</t>
        </is>
      </c>
      <c r="E8716" s="58" t="inlineStr">
        <is>
          <t>North</t>
        </is>
      </c>
      <c r="F8716" s="61" t="n">
        <v>1</v>
      </c>
      <c r="G8716" s="62" t="n">
        <v>1608.36</v>
      </c>
      <c r="H8716" s="63" t="n">
        <v>0.163</v>
      </c>
      <c r="I8716" s="62" t="n">
        <v>1239.9</v>
      </c>
      <c r="J8716" s="58" t="inlineStr">
        <is>
          <t>Online</t>
        </is>
      </c>
      <c r="K8716" s="62">
        <f>F8716*(G8716-H8716)</f>
        <v/>
      </c>
      <c r="L8716" s="62">
        <f>K8716-(F8716*I8716)</f>
        <v/>
      </c>
      <c r="M8716" s="64">
        <f>L8716/K8716</f>
        <v/>
      </c>
    </row>
    <row r="8717">
      <c r="A8717" s="58" t="inlineStr">
        <is>
          <t>RT20250807-08716</t>
        </is>
      </c>
      <c r="B8717" s="59" t="inlineStr">
        <is>
          <t>2025-08-07</t>
        </is>
      </c>
      <c r="C8717" s="60" t="inlineStr">
        <is>
          <t>Polar Laptop Plus-984</t>
        </is>
      </c>
      <c r="D8717" s="58" t="inlineStr">
        <is>
          <t>Electronics</t>
        </is>
      </c>
      <c r="E8717" s="58" t="inlineStr">
        <is>
          <t>South</t>
        </is>
      </c>
      <c r="F8717" s="61" t="n">
        <v>1</v>
      </c>
      <c r="G8717" s="62" t="n">
        <v>1324.24</v>
      </c>
      <c r="H8717" s="63" t="n">
        <v>0.152</v>
      </c>
      <c r="I8717" s="62" t="n">
        <v>997.72</v>
      </c>
      <c r="J8717" s="58" t="inlineStr">
        <is>
          <t>Online</t>
        </is>
      </c>
      <c r="K8717" s="62">
        <f>F8717*(G8717-H8717)</f>
        <v/>
      </c>
      <c r="L8717" s="62">
        <f>K8717-(F8717*I8717)</f>
        <v/>
      </c>
      <c r="M8717" s="64">
        <f>L8717/K8717</f>
        <v/>
      </c>
    </row>
    <row r="8718">
      <c r="A8718" s="58" t="inlineStr">
        <is>
          <t>RT20250807-08717</t>
        </is>
      </c>
      <c r="B8718" s="59" t="inlineStr">
        <is>
          <t>2025-08-07</t>
        </is>
      </c>
      <c r="C8718" s="60" t="inlineStr">
        <is>
          <t>Vertex Fitnes Pro-830</t>
        </is>
      </c>
      <c r="D8718" s="58" t="inlineStr">
        <is>
          <t>Sports</t>
        </is>
      </c>
      <c r="E8718" s="58" t="inlineStr">
        <is>
          <t>West</t>
        </is>
      </c>
      <c r="F8718" s="61" t="n">
        <v>3</v>
      </c>
      <c r="G8718" s="62" t="n">
        <v>706.8200000000001</v>
      </c>
      <c r="H8718" s="63" t="n">
        <v>0.108</v>
      </c>
      <c r="I8718" s="62" t="n">
        <v>474.57</v>
      </c>
      <c r="J8718" s="58" t="inlineStr">
        <is>
          <t>Online</t>
        </is>
      </c>
      <c r="K8718" s="62">
        <f>F8718*(G8718-H8718)</f>
        <v/>
      </c>
      <c r="L8718" s="62">
        <f>K8718-(F8718*I8718)</f>
        <v/>
      </c>
      <c r="M8718" s="64">
        <f>L8718/K8718</f>
        <v/>
      </c>
    </row>
    <row r="8719">
      <c r="A8719" s="58" t="inlineStr">
        <is>
          <t>RT20250807-08718</t>
        </is>
      </c>
      <c r="B8719" s="59" t="inlineStr">
        <is>
          <t>2025-08-07</t>
        </is>
      </c>
      <c r="C8719" s="60" t="inlineStr">
        <is>
          <t>Polar Cycling S-223</t>
        </is>
      </c>
      <c r="D8719" s="58" t="inlineStr">
        <is>
          <t>Sports</t>
        </is>
      </c>
      <c r="E8719" s="58" t="inlineStr">
        <is>
          <t>North</t>
        </is>
      </c>
      <c r="F8719" s="61" t="n">
        <v>3</v>
      </c>
      <c r="G8719" s="62" t="n">
        <v>949.86</v>
      </c>
      <c r="H8719" s="63" t="n">
        <v>0.162</v>
      </c>
      <c r="I8719" s="62" t="n">
        <v>623.22</v>
      </c>
      <c r="J8719" s="58" t="inlineStr">
        <is>
          <t>Online</t>
        </is>
      </c>
      <c r="K8719" s="62">
        <f>F8719*(G8719-H8719)</f>
        <v/>
      </c>
      <c r="L8719" s="62">
        <f>K8719-(F8719*I8719)</f>
        <v/>
      </c>
      <c r="M8719" s="64">
        <f>L8719/K8719</f>
        <v/>
      </c>
    </row>
    <row r="8720">
      <c r="A8720" s="58" t="inlineStr">
        <is>
          <t>RT20250807-08719</t>
        </is>
      </c>
      <c r="B8720" s="59" t="inlineStr">
        <is>
          <t>2025-08-07</t>
        </is>
      </c>
      <c r="C8720" s="60" t="inlineStr">
        <is>
          <t>Aurora Haircare S-975</t>
        </is>
      </c>
      <c r="D8720" s="58" t="inlineStr">
        <is>
          <t>Beauty</t>
        </is>
      </c>
      <c r="E8720" s="58" t="inlineStr">
        <is>
          <t>West</t>
        </is>
      </c>
      <c r="F8720" s="61" t="n">
        <v>5</v>
      </c>
      <c r="G8720" s="62" t="n">
        <v>95.25</v>
      </c>
      <c r="H8720" s="63" t="n">
        <v>0.142</v>
      </c>
      <c r="I8720" s="62" t="n">
        <v>58.7</v>
      </c>
      <c r="J8720" s="58" t="inlineStr">
        <is>
          <t>Online</t>
        </is>
      </c>
      <c r="K8720" s="62">
        <f>F8720*(G8720-H8720)</f>
        <v/>
      </c>
      <c r="L8720" s="62">
        <f>K8720-(F8720*I8720)</f>
        <v/>
      </c>
      <c r="M8720" s="64">
        <f>L8720/K8720</f>
        <v/>
      </c>
    </row>
    <row r="8721">
      <c r="A8721" s="58" t="inlineStr">
        <is>
          <t>RT20250807-08720</t>
        </is>
      </c>
      <c r="B8721" s="59" t="inlineStr">
        <is>
          <t>2025-08-07</t>
        </is>
      </c>
      <c r="C8721" s="60" t="inlineStr">
        <is>
          <t>Vertex Appliance S-296</t>
        </is>
      </c>
      <c r="D8721" s="58" t="inlineStr">
        <is>
          <t>Home</t>
        </is>
      </c>
      <c r="E8721" s="58" t="inlineStr">
        <is>
          <t>Central</t>
        </is>
      </c>
      <c r="F8721" s="61" t="n">
        <v>1</v>
      </c>
      <c r="G8721" s="62" t="n">
        <v>494.77</v>
      </c>
      <c r="H8721" s="63" t="n">
        <v>0.172</v>
      </c>
      <c r="I8721" s="62" t="n">
        <v>349.14</v>
      </c>
      <c r="J8721" s="58" t="inlineStr">
        <is>
          <t>Online</t>
        </is>
      </c>
      <c r="K8721" s="62">
        <f>F8721*(G8721-H8721)</f>
        <v/>
      </c>
      <c r="L8721" s="62">
        <f>K8721-(F8721*I8721)</f>
        <v/>
      </c>
      <c r="M8721" s="64">
        <f>L8721/K8721</f>
        <v/>
      </c>
    </row>
    <row r="8722">
      <c r="A8722" s="58" t="inlineStr">
        <is>
          <t>RT20250807-08721</t>
        </is>
      </c>
      <c r="B8722" s="59" t="inlineStr">
        <is>
          <t>2025-08-07</t>
        </is>
      </c>
      <c r="C8722" s="60" t="inlineStr">
        <is>
          <t>Aurora Skincare Max-798</t>
        </is>
      </c>
      <c r="D8722" s="58" t="inlineStr">
        <is>
          <t>Beauty</t>
        </is>
      </c>
      <c r="E8722" s="58" t="inlineStr">
        <is>
          <t>East</t>
        </is>
      </c>
      <c r="F8722" s="61" t="n">
        <v>1</v>
      </c>
      <c r="G8722" s="62" t="n">
        <v>119.55</v>
      </c>
      <c r="H8722" s="63" t="n">
        <v>0.158</v>
      </c>
      <c r="I8722" s="62" t="n">
        <v>66.75</v>
      </c>
      <c r="J8722" s="58" t="inlineStr">
        <is>
          <t>Store</t>
        </is>
      </c>
      <c r="K8722" s="62">
        <f>F8722*(G8722-H8722)</f>
        <v/>
      </c>
      <c r="L8722" s="62">
        <f>K8722-(F8722*I8722)</f>
        <v/>
      </c>
      <c r="M8722" s="64">
        <f>L8722/K8722</f>
        <v/>
      </c>
    </row>
    <row r="8723">
      <c r="A8723" s="58" t="inlineStr">
        <is>
          <t>RT20250807-08722</t>
        </is>
      </c>
      <c r="B8723" s="59" t="inlineStr">
        <is>
          <t>2025-08-07</t>
        </is>
      </c>
      <c r="C8723" s="60" t="inlineStr">
        <is>
          <t>Aurora Wearable Lite-162</t>
        </is>
      </c>
      <c r="D8723" s="58" t="inlineStr">
        <is>
          <t>Electronics</t>
        </is>
      </c>
      <c r="E8723" s="58" t="inlineStr">
        <is>
          <t>South</t>
        </is>
      </c>
      <c r="F8723" s="61" t="n">
        <v>1</v>
      </c>
      <c r="G8723" s="62" t="n">
        <v>1434.89</v>
      </c>
      <c r="H8723" s="63" t="n">
        <v>0.106</v>
      </c>
      <c r="I8723" s="62" t="n">
        <v>1204.04</v>
      </c>
      <c r="J8723" s="58" t="inlineStr">
        <is>
          <t>Online</t>
        </is>
      </c>
      <c r="K8723" s="62">
        <f>F8723*(G8723-H8723)</f>
        <v/>
      </c>
      <c r="L8723" s="62">
        <f>K8723-(F8723*I8723)</f>
        <v/>
      </c>
      <c r="M8723" s="64">
        <f>L8723/K8723</f>
        <v/>
      </c>
    </row>
    <row r="8724">
      <c r="A8724" s="58" t="inlineStr">
        <is>
          <t>RT20250807-08723</t>
        </is>
      </c>
      <c r="B8724" s="59" t="inlineStr">
        <is>
          <t>2025-08-07</t>
        </is>
      </c>
      <c r="C8724" s="60" t="inlineStr">
        <is>
          <t>Polar Women S-662</t>
        </is>
      </c>
      <c r="D8724" s="58" t="inlineStr">
        <is>
          <t>Apparel</t>
        </is>
      </c>
      <c r="E8724" s="58" t="inlineStr">
        <is>
          <t>Central</t>
        </is>
      </c>
      <c r="F8724" s="61" t="n">
        <v>1</v>
      </c>
      <c r="G8724" s="62" t="n">
        <v>192.56</v>
      </c>
      <c r="H8724" s="63" t="n">
        <v>0.108</v>
      </c>
      <c r="I8724" s="62" t="n">
        <v>97.69</v>
      </c>
      <c r="J8724" s="58" t="inlineStr">
        <is>
          <t>Online</t>
        </is>
      </c>
      <c r="K8724" s="62">
        <f>F8724*(G8724-H8724)</f>
        <v/>
      </c>
      <c r="L8724" s="62">
        <f>K8724-(F8724*I8724)</f>
        <v/>
      </c>
      <c r="M8724" s="64">
        <f>L8724/K8724</f>
        <v/>
      </c>
    </row>
    <row r="8725">
      <c r="A8725" s="58" t="inlineStr">
        <is>
          <t>RT20250807-08724</t>
        </is>
      </c>
      <c r="B8725" s="59" t="inlineStr">
        <is>
          <t>2025-08-07</t>
        </is>
      </c>
      <c r="C8725" s="60" t="inlineStr">
        <is>
          <t>Solace Laptop S-367</t>
        </is>
      </c>
      <c r="D8725" s="58" t="inlineStr">
        <is>
          <t>Electronics</t>
        </is>
      </c>
      <c r="E8725" s="58" t="inlineStr">
        <is>
          <t>East</t>
        </is>
      </c>
      <c r="F8725" s="61" t="n">
        <v>1</v>
      </c>
      <c r="G8725" s="62" t="n">
        <v>2152.83</v>
      </c>
      <c r="H8725" s="63" t="n">
        <v>0.17</v>
      </c>
      <c r="I8725" s="62" t="n">
        <v>1539.27</v>
      </c>
      <c r="J8725" s="58" t="inlineStr">
        <is>
          <t>Store</t>
        </is>
      </c>
      <c r="K8725" s="62">
        <f>F8725*(G8725-H8725)</f>
        <v/>
      </c>
      <c r="L8725" s="62">
        <f>K8725-(F8725*I8725)</f>
        <v/>
      </c>
      <c r="M8725" s="64">
        <f>L8725/K8725</f>
        <v/>
      </c>
    </row>
    <row r="8726">
      <c r="A8726" s="58" t="inlineStr">
        <is>
          <t>RT20250807-08725</t>
        </is>
      </c>
      <c r="B8726" s="59" t="inlineStr">
        <is>
          <t>2025-08-07</t>
        </is>
      </c>
      <c r="C8726" s="60" t="inlineStr">
        <is>
          <t>Polar Bedding Lite-243</t>
        </is>
      </c>
      <c r="D8726" s="58" t="inlineStr">
        <is>
          <t>Home</t>
        </is>
      </c>
      <c r="E8726" s="58" t="inlineStr">
        <is>
          <t>Central</t>
        </is>
      </c>
      <c r="F8726" s="61" t="n">
        <v>2</v>
      </c>
      <c r="G8726" s="62" t="n">
        <v>444.09</v>
      </c>
      <c r="H8726" s="63" t="n">
        <v>0.109</v>
      </c>
      <c r="I8726" s="62" t="n">
        <v>317.63</v>
      </c>
      <c r="J8726" s="58" t="inlineStr">
        <is>
          <t>Online</t>
        </is>
      </c>
      <c r="K8726" s="62">
        <f>F8726*(G8726-H8726)</f>
        <v/>
      </c>
      <c r="L8726" s="62">
        <f>K8726-(F8726*I8726)</f>
        <v/>
      </c>
      <c r="M8726" s="64">
        <f>L8726/K8726</f>
        <v/>
      </c>
    </row>
    <row r="8727">
      <c r="A8727" s="58" t="inlineStr">
        <is>
          <t>RT20250807-08726</t>
        </is>
      </c>
      <c r="B8727" s="59" t="inlineStr">
        <is>
          <t>2025-08-07</t>
        </is>
      </c>
      <c r="C8727" s="60" t="inlineStr">
        <is>
          <t>Falcon Skincare X-334</t>
        </is>
      </c>
      <c r="D8727" s="58" t="inlineStr">
        <is>
          <t>Beauty</t>
        </is>
      </c>
      <c r="E8727" s="58" t="inlineStr">
        <is>
          <t>Central</t>
        </is>
      </c>
      <c r="F8727" s="61" t="n">
        <v>4</v>
      </c>
      <c r="G8727" s="62" t="n">
        <v>109.76</v>
      </c>
      <c r="H8727" s="63" t="n">
        <v>0.136</v>
      </c>
      <c r="I8727" s="62" t="n">
        <v>62.16</v>
      </c>
      <c r="J8727" s="58" t="inlineStr">
        <is>
          <t>Online</t>
        </is>
      </c>
      <c r="K8727" s="62">
        <f>F8727*(G8727-H8727)</f>
        <v/>
      </c>
      <c r="L8727" s="62">
        <f>K8727-(F8727*I8727)</f>
        <v/>
      </c>
      <c r="M8727" s="64">
        <f>L8727/K8727</f>
        <v/>
      </c>
    </row>
    <row r="8728">
      <c r="A8728" s="58" t="inlineStr">
        <is>
          <t>RT20250807-08727</t>
        </is>
      </c>
      <c r="B8728" s="59" t="inlineStr">
        <is>
          <t>2025-08-07</t>
        </is>
      </c>
      <c r="C8728" s="60" t="inlineStr">
        <is>
          <t>Aurora Printer Plus-723</t>
        </is>
      </c>
      <c r="D8728" s="58" t="inlineStr">
        <is>
          <t>Office</t>
        </is>
      </c>
      <c r="E8728" s="58" t="inlineStr">
        <is>
          <t>East</t>
        </is>
      </c>
      <c r="F8728" s="61" t="n">
        <v>2</v>
      </c>
      <c r="G8728" s="62" t="n">
        <v>275.4</v>
      </c>
      <c r="H8728" s="63" t="n">
        <v>0.134</v>
      </c>
      <c r="I8728" s="62" t="n">
        <v>191.27</v>
      </c>
      <c r="J8728" s="58" t="inlineStr">
        <is>
          <t>Online</t>
        </is>
      </c>
      <c r="K8728" s="62">
        <f>F8728*(G8728-H8728)</f>
        <v/>
      </c>
      <c r="L8728" s="62">
        <f>K8728-(F8728*I8728)</f>
        <v/>
      </c>
      <c r="M8728" s="64">
        <f>L8728/K8728</f>
        <v/>
      </c>
    </row>
    <row r="8729">
      <c r="A8729" s="58" t="inlineStr">
        <is>
          <t>RT20250807-08728</t>
        </is>
      </c>
      <c r="B8729" s="59" t="inlineStr">
        <is>
          <t>2025-08-07</t>
        </is>
      </c>
      <c r="C8729" s="60" t="inlineStr">
        <is>
          <t>Metro Laptop Plus-376</t>
        </is>
      </c>
      <c r="D8729" s="58" t="inlineStr">
        <is>
          <t>Electronics</t>
        </is>
      </c>
      <c r="E8729" s="58" t="inlineStr">
        <is>
          <t>South</t>
        </is>
      </c>
      <c r="F8729" s="61" t="n">
        <v>1</v>
      </c>
      <c r="G8729" s="62" t="n">
        <v>1336.22</v>
      </c>
      <c r="H8729" s="63" t="n">
        <v>0.233</v>
      </c>
      <c r="I8729" s="62" t="n">
        <v>995.03</v>
      </c>
      <c r="J8729" s="58" t="inlineStr">
        <is>
          <t>Online</t>
        </is>
      </c>
      <c r="K8729" s="62">
        <f>F8729*(G8729-H8729)</f>
        <v/>
      </c>
      <c r="L8729" s="62">
        <f>K8729-(F8729*I8729)</f>
        <v/>
      </c>
      <c r="M8729" s="64">
        <f>L8729/K8729</f>
        <v/>
      </c>
    </row>
    <row r="8730">
      <c r="A8730" s="58" t="inlineStr">
        <is>
          <t>RT20250807-08729</t>
        </is>
      </c>
      <c r="B8730" s="59" t="inlineStr">
        <is>
          <t>2025-08-07</t>
        </is>
      </c>
      <c r="C8730" s="60" t="inlineStr">
        <is>
          <t>Orion Snack X-322</t>
        </is>
      </c>
      <c r="D8730" s="58" t="inlineStr">
        <is>
          <t>Grocery</t>
        </is>
      </c>
      <c r="E8730" s="58" t="inlineStr">
        <is>
          <t>East</t>
        </is>
      </c>
      <c r="F8730" s="61" t="n">
        <v>7</v>
      </c>
      <c r="G8730" s="62" t="n">
        <v>14.06</v>
      </c>
      <c r="H8730" s="63" t="n">
        <v>0.153</v>
      </c>
      <c r="I8730" s="62" t="n">
        <v>10.1</v>
      </c>
      <c r="J8730" s="58" t="inlineStr">
        <is>
          <t>Online</t>
        </is>
      </c>
      <c r="K8730" s="62">
        <f>F8730*(G8730-H8730)</f>
        <v/>
      </c>
      <c r="L8730" s="62">
        <f>K8730-(F8730*I8730)</f>
        <v/>
      </c>
      <c r="M8730" s="64">
        <f>L8730/K8730</f>
        <v/>
      </c>
    </row>
    <row r="8731">
      <c r="A8731" s="58" t="inlineStr">
        <is>
          <t>RT20250807-08730</t>
        </is>
      </c>
      <c r="B8731" s="59" t="inlineStr">
        <is>
          <t>2025-08-07</t>
        </is>
      </c>
      <c r="C8731" s="60" t="inlineStr">
        <is>
          <t>Polar Snack Pro-641</t>
        </is>
      </c>
      <c r="D8731" s="58" t="inlineStr">
        <is>
          <t>Grocery</t>
        </is>
      </c>
      <c r="E8731" s="58" t="inlineStr">
        <is>
          <t>South</t>
        </is>
      </c>
      <c r="F8731" s="61" t="n">
        <v>1</v>
      </c>
      <c r="G8731" s="62" t="n">
        <v>11.5</v>
      </c>
      <c r="H8731" s="63" t="n">
        <v>0.147</v>
      </c>
      <c r="I8731" s="62" t="n">
        <v>9.52</v>
      </c>
      <c r="J8731" s="58" t="inlineStr">
        <is>
          <t>Online</t>
        </is>
      </c>
      <c r="K8731" s="62">
        <f>F8731*(G8731-H8731)</f>
        <v/>
      </c>
      <c r="L8731" s="62">
        <f>K8731-(F8731*I8731)</f>
        <v/>
      </c>
      <c r="M8731" s="64">
        <f>L8731/K8731</f>
        <v/>
      </c>
    </row>
    <row r="8732">
      <c r="A8732" s="58" t="inlineStr">
        <is>
          <t>RT20250807-08731</t>
        </is>
      </c>
      <c r="B8732" s="59" t="inlineStr">
        <is>
          <t>2025-08-07</t>
        </is>
      </c>
      <c r="C8732" s="60" t="inlineStr">
        <is>
          <t>Aurora Wearable Lite-162</t>
        </is>
      </c>
      <c r="D8732" s="58" t="inlineStr">
        <is>
          <t>Electronics</t>
        </is>
      </c>
      <c r="E8732" s="58" t="inlineStr">
        <is>
          <t>West</t>
        </is>
      </c>
      <c r="F8732" s="61" t="n">
        <v>2</v>
      </c>
      <c r="G8732" s="62" t="n">
        <v>1659.16</v>
      </c>
      <c r="H8732" s="63" t="n">
        <v>0.146</v>
      </c>
      <c r="I8732" s="62" t="n">
        <v>1176.07</v>
      </c>
      <c r="J8732" s="58" t="inlineStr">
        <is>
          <t>Store</t>
        </is>
      </c>
      <c r="K8732" s="62">
        <f>F8732*(G8732-H8732)</f>
        <v/>
      </c>
      <c r="L8732" s="62">
        <f>K8732-(F8732*I8732)</f>
        <v/>
      </c>
      <c r="M8732" s="64">
        <f>L8732/K8732</f>
        <v/>
      </c>
    </row>
    <row r="8733">
      <c r="A8733" s="58" t="inlineStr">
        <is>
          <t>RT20250807-08732</t>
        </is>
      </c>
      <c r="B8733" s="59" t="inlineStr">
        <is>
          <t>2025-08-07</t>
        </is>
      </c>
      <c r="C8733" s="60" t="inlineStr">
        <is>
          <t>Metro Pantry X-710</t>
        </is>
      </c>
      <c r="D8733" s="58" t="inlineStr">
        <is>
          <t>Grocery</t>
        </is>
      </c>
      <c r="E8733" s="58" t="inlineStr">
        <is>
          <t>North</t>
        </is>
      </c>
      <c r="F8733" s="61" t="n">
        <v>3</v>
      </c>
      <c r="G8733" s="62" t="n">
        <v>5.62</v>
      </c>
      <c r="H8733" s="63" t="n">
        <v>0.166</v>
      </c>
      <c r="I8733" s="62" t="n">
        <v>4.21</v>
      </c>
      <c r="J8733" s="58" t="inlineStr">
        <is>
          <t>Online</t>
        </is>
      </c>
      <c r="K8733" s="62">
        <f>F8733*(G8733-H8733)</f>
        <v/>
      </c>
      <c r="L8733" s="62">
        <f>K8733-(F8733*I8733)</f>
        <v/>
      </c>
      <c r="M8733" s="64">
        <f>L8733/K8733</f>
        <v/>
      </c>
    </row>
    <row r="8734">
      <c r="A8734" s="58" t="inlineStr">
        <is>
          <t>RT20250807-08733</t>
        </is>
      </c>
      <c r="B8734" s="59" t="inlineStr">
        <is>
          <t>2025-08-07</t>
        </is>
      </c>
      <c r="C8734" s="60" t="inlineStr">
        <is>
          <t>Aurora Furniture X-709</t>
        </is>
      </c>
      <c r="D8734" s="58" t="inlineStr">
        <is>
          <t>Office</t>
        </is>
      </c>
      <c r="E8734" s="58" t="inlineStr">
        <is>
          <t>East</t>
        </is>
      </c>
      <c r="F8734" s="61" t="n">
        <v>2</v>
      </c>
      <c r="G8734" s="62" t="n">
        <v>379.3</v>
      </c>
      <c r="H8734" s="63" t="n">
        <v>0.115</v>
      </c>
      <c r="I8734" s="62" t="n">
        <v>310.99</v>
      </c>
      <c r="J8734" s="58" t="inlineStr">
        <is>
          <t>Online</t>
        </is>
      </c>
      <c r="K8734" s="62">
        <f>F8734*(G8734-H8734)</f>
        <v/>
      </c>
      <c r="L8734" s="62">
        <f>K8734-(F8734*I8734)</f>
        <v/>
      </c>
      <c r="M8734" s="64">
        <f>L8734/K8734</f>
        <v/>
      </c>
    </row>
    <row r="8735">
      <c r="A8735" s="58" t="inlineStr">
        <is>
          <t>RT20250807-08734</t>
        </is>
      </c>
      <c r="B8735" s="59" t="inlineStr">
        <is>
          <t>2025-08-07</t>
        </is>
      </c>
      <c r="C8735" s="60" t="inlineStr">
        <is>
          <t>Metro Beverage Max-490</t>
        </is>
      </c>
      <c r="D8735" s="58" t="inlineStr">
        <is>
          <t>Grocery</t>
        </is>
      </c>
      <c r="E8735" s="58" t="inlineStr">
        <is>
          <t>West</t>
        </is>
      </c>
      <c r="F8735" s="61" t="n">
        <v>8</v>
      </c>
      <c r="G8735" s="62" t="n">
        <v>11.36</v>
      </c>
      <c r="H8735" s="63" t="n">
        <v>0.14</v>
      </c>
      <c r="I8735" s="62" t="n">
        <v>8.09</v>
      </c>
      <c r="J8735" s="58" t="inlineStr">
        <is>
          <t>Online</t>
        </is>
      </c>
      <c r="K8735" s="62">
        <f>F8735*(G8735-H8735)</f>
        <v/>
      </c>
      <c r="L8735" s="62">
        <f>K8735-(F8735*I8735)</f>
        <v/>
      </c>
      <c r="M8735" s="64">
        <f>L8735/K8735</f>
        <v/>
      </c>
    </row>
    <row r="8736">
      <c r="A8736" s="58" t="inlineStr">
        <is>
          <t>RT20250807-08735</t>
        </is>
      </c>
      <c r="B8736" s="59" t="inlineStr">
        <is>
          <t>2025-08-07</t>
        </is>
      </c>
      <c r="C8736" s="60" t="inlineStr">
        <is>
          <t>Vertex Supplie Pro-786</t>
        </is>
      </c>
      <c r="D8736" s="58" t="inlineStr">
        <is>
          <t>Office</t>
        </is>
      </c>
      <c r="E8736" s="58" t="inlineStr">
        <is>
          <t>East</t>
        </is>
      </c>
      <c r="F8736" s="61" t="n">
        <v>1</v>
      </c>
      <c r="G8736" s="62" t="n">
        <v>407.65</v>
      </c>
      <c r="H8736" s="63" t="n">
        <v>0.155</v>
      </c>
      <c r="I8736" s="62" t="n">
        <v>294.43</v>
      </c>
      <c r="J8736" s="58" t="inlineStr">
        <is>
          <t>Online</t>
        </is>
      </c>
      <c r="K8736" s="62">
        <f>F8736*(G8736-H8736)</f>
        <v/>
      </c>
      <c r="L8736" s="62">
        <f>K8736-(F8736*I8736)</f>
        <v/>
      </c>
      <c r="M8736" s="64">
        <f>L8736/K8736</f>
        <v/>
      </c>
    </row>
    <row r="8737">
      <c r="A8737" s="58" t="inlineStr">
        <is>
          <t>RT20250807-08736</t>
        </is>
      </c>
      <c r="B8737" s="59" t="inlineStr">
        <is>
          <t>2025-08-07</t>
        </is>
      </c>
      <c r="C8737" s="60" t="inlineStr">
        <is>
          <t>Aurora Appliance Lite-109</t>
        </is>
      </c>
      <c r="D8737" s="58" t="inlineStr">
        <is>
          <t>Home</t>
        </is>
      </c>
      <c r="E8737" s="58" t="inlineStr">
        <is>
          <t>West</t>
        </is>
      </c>
      <c r="F8737" s="61" t="n">
        <v>1</v>
      </c>
      <c r="G8737" s="62" t="n">
        <v>300.54</v>
      </c>
      <c r="H8737" s="63" t="n">
        <v>0.212</v>
      </c>
      <c r="I8737" s="62" t="n">
        <v>198.97</v>
      </c>
      <c r="J8737" s="58" t="inlineStr">
        <is>
          <t>Store</t>
        </is>
      </c>
      <c r="K8737" s="62">
        <f>F8737*(G8737-H8737)</f>
        <v/>
      </c>
      <c r="L8737" s="62">
        <f>K8737-(F8737*I8737)</f>
        <v/>
      </c>
      <c r="M8737" s="64">
        <f>L8737/K8737</f>
        <v/>
      </c>
    </row>
    <row r="8738">
      <c r="A8738" s="58" t="inlineStr">
        <is>
          <t>RT20250807-08737</t>
        </is>
      </c>
      <c r="B8738" s="59" t="inlineStr">
        <is>
          <t>2025-08-07</t>
        </is>
      </c>
      <c r="C8738" s="60" t="inlineStr">
        <is>
          <t>Polar Women S-662</t>
        </is>
      </c>
      <c r="D8738" s="58" t="inlineStr">
        <is>
          <t>Apparel</t>
        </is>
      </c>
      <c r="E8738" s="58" t="inlineStr">
        <is>
          <t>North</t>
        </is>
      </c>
      <c r="F8738" s="61" t="n">
        <v>1</v>
      </c>
      <c r="G8738" s="62" t="n">
        <v>190.32</v>
      </c>
      <c r="H8738" s="63" t="n">
        <v>0.129</v>
      </c>
      <c r="I8738" s="62" t="n">
        <v>97.06999999999999</v>
      </c>
      <c r="J8738" s="58" t="inlineStr">
        <is>
          <t>Online</t>
        </is>
      </c>
      <c r="K8738" s="62">
        <f>F8738*(G8738-H8738)</f>
        <v/>
      </c>
      <c r="L8738" s="62">
        <f>K8738-(F8738*I8738)</f>
        <v/>
      </c>
      <c r="M8738" s="64">
        <f>L8738/K8738</f>
        <v/>
      </c>
    </row>
    <row r="8739">
      <c r="A8739" s="58" t="inlineStr">
        <is>
          <t>RT20250807-08738</t>
        </is>
      </c>
      <c r="B8739" s="59" t="inlineStr">
        <is>
          <t>2025-08-07</t>
        </is>
      </c>
      <c r="C8739" s="60" t="inlineStr">
        <is>
          <t>Vertex Fitnes Pro-830</t>
        </is>
      </c>
      <c r="D8739" s="58" t="inlineStr">
        <is>
          <t>Sports</t>
        </is>
      </c>
      <c r="E8739" s="58" t="inlineStr">
        <is>
          <t>North</t>
        </is>
      </c>
      <c r="F8739" s="61" t="n">
        <v>1</v>
      </c>
      <c r="G8739" s="62" t="n">
        <v>723.02</v>
      </c>
      <c r="H8739" s="63" t="n">
        <v>0.151</v>
      </c>
      <c r="I8739" s="62" t="n">
        <v>466.75</v>
      </c>
      <c r="J8739" s="58" t="inlineStr">
        <is>
          <t>Store</t>
        </is>
      </c>
      <c r="K8739" s="62">
        <f>F8739*(G8739-H8739)</f>
        <v/>
      </c>
      <c r="L8739" s="62">
        <f>K8739-(F8739*I8739)</f>
        <v/>
      </c>
      <c r="M8739" s="64">
        <f>L8739/K8739</f>
        <v/>
      </c>
    </row>
    <row r="8740">
      <c r="A8740" s="58" t="inlineStr">
        <is>
          <t>RT20250807-08739</t>
        </is>
      </c>
      <c r="B8740" s="59" t="inlineStr">
        <is>
          <t>2025-08-07</t>
        </is>
      </c>
      <c r="C8740" s="60" t="inlineStr">
        <is>
          <t>Vertex Pantry Pro-165</t>
        </is>
      </c>
      <c r="D8740" s="58" t="inlineStr">
        <is>
          <t>Grocery</t>
        </is>
      </c>
      <c r="E8740" s="58" t="inlineStr">
        <is>
          <t>Central</t>
        </is>
      </c>
      <c r="F8740" s="61" t="n">
        <v>2</v>
      </c>
      <c r="G8740" s="62" t="n">
        <v>17.37</v>
      </c>
      <c r="H8740" s="63" t="n">
        <v>0.16</v>
      </c>
      <c r="I8740" s="62" t="n">
        <v>11.86</v>
      </c>
      <c r="J8740" s="58" t="inlineStr">
        <is>
          <t>Store</t>
        </is>
      </c>
      <c r="K8740" s="62">
        <f>F8740*(G8740-H8740)</f>
        <v/>
      </c>
      <c r="L8740" s="62">
        <f>K8740-(F8740*I8740)</f>
        <v/>
      </c>
      <c r="M8740" s="64">
        <f>L8740/K8740</f>
        <v/>
      </c>
    </row>
    <row r="8741">
      <c r="A8741" s="58" t="inlineStr">
        <is>
          <t>RT20250807-08740</t>
        </is>
      </c>
      <c r="B8741" s="59" t="inlineStr">
        <is>
          <t>2025-08-07</t>
        </is>
      </c>
      <c r="C8741" s="60" t="inlineStr">
        <is>
          <t>Orion Storage Plus-961</t>
        </is>
      </c>
      <c r="D8741" s="58" t="inlineStr">
        <is>
          <t>Office</t>
        </is>
      </c>
      <c r="E8741" s="58" t="inlineStr">
        <is>
          <t>Central</t>
        </is>
      </c>
      <c r="F8741" s="61" t="n">
        <v>1</v>
      </c>
      <c r="G8741" s="62" t="n">
        <v>464.49</v>
      </c>
      <c r="H8741" s="63" t="n">
        <v>0.139</v>
      </c>
      <c r="I8741" s="62" t="n">
        <v>365.12</v>
      </c>
      <c r="J8741" s="58" t="inlineStr">
        <is>
          <t>Online</t>
        </is>
      </c>
      <c r="K8741" s="62">
        <f>F8741*(G8741-H8741)</f>
        <v/>
      </c>
      <c r="L8741" s="62">
        <f>K8741-(F8741*I8741)</f>
        <v/>
      </c>
      <c r="M8741" s="64">
        <f>L8741/K8741</f>
        <v/>
      </c>
    </row>
    <row r="8742">
      <c r="A8742" s="58" t="inlineStr">
        <is>
          <t>RT20250808-08741</t>
        </is>
      </c>
      <c r="B8742" s="59" t="inlineStr">
        <is>
          <t>2025-08-08</t>
        </is>
      </c>
      <c r="C8742" s="60" t="inlineStr">
        <is>
          <t>Aurora Team Sport Plus-256</t>
        </is>
      </c>
      <c r="D8742" s="58" t="inlineStr">
        <is>
          <t>Sports</t>
        </is>
      </c>
      <c r="E8742" s="58" t="inlineStr">
        <is>
          <t>South</t>
        </is>
      </c>
      <c r="F8742" s="61" t="n">
        <v>1</v>
      </c>
      <c r="G8742" s="62" t="n">
        <v>668.24</v>
      </c>
      <c r="H8742" s="63" t="n">
        <v>0.169</v>
      </c>
      <c r="I8742" s="62" t="n">
        <v>425.18</v>
      </c>
      <c r="J8742" s="58" t="inlineStr">
        <is>
          <t>Phone</t>
        </is>
      </c>
      <c r="K8742" s="62">
        <f>F8742*(G8742-H8742)</f>
        <v/>
      </c>
      <c r="L8742" s="62">
        <f>K8742-(F8742*I8742)</f>
        <v/>
      </c>
      <c r="M8742" s="64">
        <f>L8742/K8742</f>
        <v/>
      </c>
    </row>
    <row r="8743">
      <c r="A8743" s="58" t="inlineStr">
        <is>
          <t>RT20250808-08742</t>
        </is>
      </c>
      <c r="B8743" s="59" t="inlineStr">
        <is>
          <t>2025-08-08</t>
        </is>
      </c>
      <c r="C8743" s="60" t="inlineStr">
        <is>
          <t>Orion Men X-928</t>
        </is>
      </c>
      <c r="D8743" s="58" t="inlineStr">
        <is>
          <t>Apparel</t>
        </is>
      </c>
      <c r="E8743" s="58" t="inlineStr">
        <is>
          <t>West</t>
        </is>
      </c>
      <c r="F8743" s="61" t="n">
        <v>3</v>
      </c>
      <c r="G8743" s="62" t="n">
        <v>115.62</v>
      </c>
      <c r="H8743" s="63" t="n">
        <v>0.181</v>
      </c>
      <c r="I8743" s="62" t="n">
        <v>64.81</v>
      </c>
      <c r="J8743" s="58" t="inlineStr">
        <is>
          <t>Store</t>
        </is>
      </c>
      <c r="K8743" s="62">
        <f>F8743*(G8743-H8743)</f>
        <v/>
      </c>
      <c r="L8743" s="62">
        <f>K8743-(F8743*I8743)</f>
        <v/>
      </c>
      <c r="M8743" s="64">
        <f>L8743/K8743</f>
        <v/>
      </c>
    </row>
    <row r="8744">
      <c r="A8744" s="58" t="inlineStr">
        <is>
          <t>RT20250808-08743</t>
        </is>
      </c>
      <c r="B8744" s="59" t="inlineStr">
        <is>
          <t>2025-08-08</t>
        </is>
      </c>
      <c r="C8744" s="60" t="inlineStr">
        <is>
          <t>Vertex Supplie Pro-786</t>
        </is>
      </c>
      <c r="D8744" s="58" t="inlineStr">
        <is>
          <t>Office</t>
        </is>
      </c>
      <c r="E8744" s="58" t="inlineStr">
        <is>
          <t>East</t>
        </is>
      </c>
      <c r="F8744" s="61" t="n">
        <v>3</v>
      </c>
      <c r="G8744" s="62" t="n">
        <v>385.29</v>
      </c>
      <c r="H8744" s="63" t="n">
        <v>0.112</v>
      </c>
      <c r="I8744" s="62" t="n">
        <v>292.42</v>
      </c>
      <c r="J8744" s="58" t="inlineStr">
        <is>
          <t>Store</t>
        </is>
      </c>
      <c r="K8744" s="62">
        <f>F8744*(G8744-H8744)</f>
        <v/>
      </c>
      <c r="L8744" s="62">
        <f>K8744-(F8744*I8744)</f>
        <v/>
      </c>
      <c r="M8744" s="64">
        <f>L8744/K8744</f>
        <v/>
      </c>
    </row>
    <row r="8745">
      <c r="A8745" s="58" t="inlineStr">
        <is>
          <t>RT20250808-08744</t>
        </is>
      </c>
      <c r="B8745" s="59" t="inlineStr">
        <is>
          <t>2025-08-08</t>
        </is>
      </c>
      <c r="C8745" s="60" t="inlineStr">
        <is>
          <t>Vertex Headphone Pro-801</t>
        </is>
      </c>
      <c r="D8745" s="58" t="inlineStr">
        <is>
          <t>Electronics</t>
        </is>
      </c>
      <c r="E8745" s="58" t="inlineStr">
        <is>
          <t>West</t>
        </is>
      </c>
      <c r="F8745" s="61" t="n">
        <v>2</v>
      </c>
      <c r="G8745" s="62" t="n">
        <v>1192.27</v>
      </c>
      <c r="H8745" s="63" t="n">
        <v>0.138</v>
      </c>
      <c r="I8745" s="62" t="n">
        <v>972.16</v>
      </c>
      <c r="J8745" s="58" t="inlineStr">
        <is>
          <t>Store</t>
        </is>
      </c>
      <c r="K8745" s="62">
        <f>F8745*(G8745-H8745)</f>
        <v/>
      </c>
      <c r="L8745" s="62">
        <f>K8745-(F8745*I8745)</f>
        <v/>
      </c>
      <c r="M8745" s="64">
        <f>L8745/K8745</f>
        <v/>
      </c>
    </row>
    <row r="8746">
      <c r="A8746" s="58" t="inlineStr">
        <is>
          <t>RT20250808-08745</t>
        </is>
      </c>
      <c r="B8746" s="59" t="inlineStr">
        <is>
          <t>2025-08-08</t>
        </is>
      </c>
      <c r="C8746" s="60" t="inlineStr">
        <is>
          <t>Vertex Decor Pro-618</t>
        </is>
      </c>
      <c r="D8746" s="58" t="inlineStr">
        <is>
          <t>Home</t>
        </is>
      </c>
      <c r="E8746" s="58" t="inlineStr">
        <is>
          <t>East</t>
        </is>
      </c>
      <c r="F8746" s="61" t="n">
        <v>3</v>
      </c>
      <c r="G8746" s="62" t="n">
        <v>564.73</v>
      </c>
      <c r="H8746" s="63" t="n">
        <v>0.184</v>
      </c>
      <c r="I8746" s="62" t="n">
        <v>374.53</v>
      </c>
      <c r="J8746" s="58" t="inlineStr">
        <is>
          <t>Store</t>
        </is>
      </c>
      <c r="K8746" s="62">
        <f>F8746*(G8746-H8746)</f>
        <v/>
      </c>
      <c r="L8746" s="62">
        <f>K8746-(F8746*I8746)</f>
        <v/>
      </c>
      <c r="M8746" s="64">
        <f>L8746/K8746</f>
        <v/>
      </c>
    </row>
    <row r="8747">
      <c r="A8747" s="58" t="inlineStr">
        <is>
          <t>RT20250808-08746</t>
        </is>
      </c>
      <c r="B8747" s="59" t="inlineStr">
        <is>
          <t>2025-08-08</t>
        </is>
      </c>
      <c r="C8747" s="60" t="inlineStr">
        <is>
          <t>Aurora Skincare Max-798</t>
        </is>
      </c>
      <c r="D8747" s="58" t="inlineStr">
        <is>
          <t>Beauty</t>
        </is>
      </c>
      <c r="E8747" s="58" t="inlineStr">
        <is>
          <t>Central</t>
        </is>
      </c>
      <c r="F8747" s="61" t="n">
        <v>4</v>
      </c>
      <c r="G8747" s="62" t="n">
        <v>111.81</v>
      </c>
      <c r="H8747" s="63" t="n">
        <v>0.171</v>
      </c>
      <c r="I8747" s="62" t="n">
        <v>67.73</v>
      </c>
      <c r="J8747" s="58" t="inlineStr">
        <is>
          <t>Store</t>
        </is>
      </c>
      <c r="K8747" s="62">
        <f>F8747*(G8747-H8747)</f>
        <v/>
      </c>
      <c r="L8747" s="62">
        <f>K8747-(F8747*I8747)</f>
        <v/>
      </c>
      <c r="M8747" s="64">
        <f>L8747/K8747</f>
        <v/>
      </c>
    </row>
    <row r="8748">
      <c r="A8748" s="58" t="inlineStr">
        <is>
          <t>RT20250808-08747</t>
        </is>
      </c>
      <c r="B8748" s="59" t="inlineStr">
        <is>
          <t>2025-08-08</t>
        </is>
      </c>
      <c r="C8748" s="60" t="inlineStr">
        <is>
          <t>Aurora Fitnes Lite-194</t>
        </is>
      </c>
      <c r="D8748" s="58" t="inlineStr">
        <is>
          <t>Sports</t>
        </is>
      </c>
      <c r="E8748" s="58" t="inlineStr">
        <is>
          <t>South</t>
        </is>
      </c>
      <c r="F8748" s="61" t="n">
        <v>1</v>
      </c>
      <c r="G8748" s="62" t="n">
        <v>714.36</v>
      </c>
      <c r="H8748" s="63" t="n">
        <v>0.184</v>
      </c>
      <c r="I8748" s="62" t="n">
        <v>458.65</v>
      </c>
      <c r="J8748" s="58" t="inlineStr">
        <is>
          <t>Online</t>
        </is>
      </c>
      <c r="K8748" s="62">
        <f>F8748*(G8748-H8748)</f>
        <v/>
      </c>
      <c r="L8748" s="62">
        <f>K8748-(F8748*I8748)</f>
        <v/>
      </c>
      <c r="M8748" s="64">
        <f>L8748/K8748</f>
        <v/>
      </c>
    </row>
    <row r="8749">
      <c r="A8749" s="58" t="inlineStr">
        <is>
          <t>RT20250808-08748</t>
        </is>
      </c>
      <c r="B8749" s="59" t="inlineStr">
        <is>
          <t>2025-08-08</t>
        </is>
      </c>
      <c r="C8749" s="60" t="inlineStr">
        <is>
          <t>Metro Laptop Plus-376</t>
        </is>
      </c>
      <c r="D8749" s="58" t="inlineStr">
        <is>
          <t>Electronics</t>
        </is>
      </c>
      <c r="E8749" s="58" t="inlineStr">
        <is>
          <t>West</t>
        </is>
      </c>
      <c r="F8749" s="61" t="n">
        <v>1</v>
      </c>
      <c r="G8749" s="62" t="n">
        <v>1352.21</v>
      </c>
      <c r="H8749" s="63" t="n">
        <v>0.186</v>
      </c>
      <c r="I8749" s="62" t="n">
        <v>1035.91</v>
      </c>
      <c r="J8749" s="58" t="inlineStr">
        <is>
          <t>Online</t>
        </is>
      </c>
      <c r="K8749" s="62">
        <f>F8749*(G8749-H8749)</f>
        <v/>
      </c>
      <c r="L8749" s="62">
        <f>K8749-(F8749*I8749)</f>
        <v/>
      </c>
      <c r="M8749" s="64">
        <f>L8749/K8749</f>
        <v/>
      </c>
    </row>
    <row r="8750">
      <c r="A8750" s="58" t="inlineStr">
        <is>
          <t>RT20250808-08749</t>
        </is>
      </c>
      <c r="B8750" s="59" t="inlineStr">
        <is>
          <t>2025-08-08</t>
        </is>
      </c>
      <c r="C8750" s="60" t="inlineStr">
        <is>
          <t>Polar Wearable X-119</t>
        </is>
      </c>
      <c r="D8750" s="58" t="inlineStr">
        <is>
          <t>Electronics</t>
        </is>
      </c>
      <c r="E8750" s="58" t="inlineStr">
        <is>
          <t>East</t>
        </is>
      </c>
      <c r="F8750" s="61" t="n">
        <v>2</v>
      </c>
      <c r="G8750" s="62" t="n">
        <v>1444.81</v>
      </c>
      <c r="H8750" s="63" t="n">
        <v>0.142</v>
      </c>
      <c r="I8750" s="62" t="n">
        <v>1203.54</v>
      </c>
      <c r="J8750" s="58" t="inlineStr">
        <is>
          <t>Online</t>
        </is>
      </c>
      <c r="K8750" s="62">
        <f>F8750*(G8750-H8750)</f>
        <v/>
      </c>
      <c r="L8750" s="62">
        <f>K8750-(F8750*I8750)</f>
        <v/>
      </c>
      <c r="M8750" s="64">
        <f>L8750/K8750</f>
        <v/>
      </c>
    </row>
    <row r="8751">
      <c r="A8751" s="58" t="inlineStr">
        <is>
          <t>RT20250808-08750</t>
        </is>
      </c>
      <c r="B8751" s="59" t="inlineStr">
        <is>
          <t>2025-08-08</t>
        </is>
      </c>
      <c r="C8751" s="60" t="inlineStr">
        <is>
          <t>Polar Laptop Plus-984</t>
        </is>
      </c>
      <c r="D8751" s="58" t="inlineStr">
        <is>
          <t>Electronics</t>
        </is>
      </c>
      <c r="E8751" s="58" t="inlineStr">
        <is>
          <t>East</t>
        </is>
      </c>
      <c r="F8751" s="61" t="n">
        <v>1</v>
      </c>
      <c r="G8751" s="62" t="n">
        <v>1106.91</v>
      </c>
      <c r="H8751" s="63" t="n">
        <v>0.122</v>
      </c>
      <c r="I8751" s="62" t="n">
        <v>943.5599999999999</v>
      </c>
      <c r="J8751" s="58" t="inlineStr">
        <is>
          <t>Online</t>
        </is>
      </c>
      <c r="K8751" s="62">
        <f>F8751*(G8751-H8751)</f>
        <v/>
      </c>
      <c r="L8751" s="62">
        <f>K8751-(F8751*I8751)</f>
        <v/>
      </c>
      <c r="M8751" s="64">
        <f>L8751/K8751</f>
        <v/>
      </c>
    </row>
    <row r="8752">
      <c r="A8752" s="58" t="inlineStr">
        <is>
          <t>RT20250808-08751</t>
        </is>
      </c>
      <c r="B8752" s="59" t="inlineStr">
        <is>
          <t>2025-08-08</t>
        </is>
      </c>
      <c r="C8752" s="60" t="inlineStr">
        <is>
          <t>Nimbus Storage Plus-646</t>
        </is>
      </c>
      <c r="D8752" s="58" t="inlineStr">
        <is>
          <t>Office</t>
        </is>
      </c>
      <c r="E8752" s="58" t="inlineStr">
        <is>
          <t>East</t>
        </is>
      </c>
      <c r="F8752" s="61" t="n">
        <v>2</v>
      </c>
      <c r="G8752" s="62" t="n">
        <v>487.76</v>
      </c>
      <c r="H8752" s="63" t="n">
        <v>0.164</v>
      </c>
      <c r="I8752" s="62" t="n">
        <v>322.57</v>
      </c>
      <c r="J8752" s="58" t="inlineStr">
        <is>
          <t>Online</t>
        </is>
      </c>
      <c r="K8752" s="62">
        <f>F8752*(G8752-H8752)</f>
        <v/>
      </c>
      <c r="L8752" s="62">
        <f>K8752-(F8752*I8752)</f>
        <v/>
      </c>
      <c r="M8752" s="64">
        <f>L8752/K8752</f>
        <v/>
      </c>
    </row>
    <row r="8753">
      <c r="A8753" s="58" t="inlineStr">
        <is>
          <t>RT20250808-08752</t>
        </is>
      </c>
      <c r="B8753" s="59" t="inlineStr">
        <is>
          <t>2025-08-08</t>
        </is>
      </c>
      <c r="C8753" s="60" t="inlineStr">
        <is>
          <t>Nimbus Women Plus-352</t>
        </is>
      </c>
      <c r="D8753" s="58" t="inlineStr">
        <is>
          <t>Apparel</t>
        </is>
      </c>
      <c r="E8753" s="58" t="inlineStr">
        <is>
          <t>North</t>
        </is>
      </c>
      <c r="F8753" s="61" t="n">
        <v>2</v>
      </c>
      <c r="G8753" s="62" t="n">
        <v>62.31</v>
      </c>
      <c r="H8753" s="63" t="n">
        <v>0.146</v>
      </c>
      <c r="I8753" s="62" t="n">
        <v>32.08</v>
      </c>
      <c r="J8753" s="58" t="inlineStr">
        <is>
          <t>Online</t>
        </is>
      </c>
      <c r="K8753" s="62">
        <f>F8753*(G8753-H8753)</f>
        <v/>
      </c>
      <c r="L8753" s="62">
        <f>K8753-(F8753*I8753)</f>
        <v/>
      </c>
      <c r="M8753" s="64">
        <f>L8753/K8753</f>
        <v/>
      </c>
    </row>
    <row r="8754">
      <c r="A8754" s="58" t="inlineStr">
        <is>
          <t>RT20250808-08753</t>
        </is>
      </c>
      <c r="B8754" s="59" t="inlineStr">
        <is>
          <t>2025-08-08</t>
        </is>
      </c>
      <c r="C8754" s="60" t="inlineStr">
        <is>
          <t>Metro Smartphone Max-773</t>
        </is>
      </c>
      <c r="D8754" s="58" t="inlineStr">
        <is>
          <t>Electronics</t>
        </is>
      </c>
      <c r="E8754" s="58" t="inlineStr">
        <is>
          <t>East</t>
        </is>
      </c>
      <c r="F8754" s="61" t="n">
        <v>1</v>
      </c>
      <c r="G8754" s="62" t="n">
        <v>1489.38</v>
      </c>
      <c r="H8754" s="63" t="n">
        <v>0.122</v>
      </c>
      <c r="I8754" s="62" t="n">
        <v>1109.67</v>
      </c>
      <c r="J8754" s="58" t="inlineStr">
        <is>
          <t>Online</t>
        </is>
      </c>
      <c r="K8754" s="62">
        <f>F8754*(G8754-H8754)</f>
        <v/>
      </c>
      <c r="L8754" s="62">
        <f>K8754-(F8754*I8754)</f>
        <v/>
      </c>
      <c r="M8754" s="64">
        <f>L8754/K8754</f>
        <v/>
      </c>
    </row>
    <row r="8755">
      <c r="A8755" s="58" t="inlineStr">
        <is>
          <t>RT20250808-08754</t>
        </is>
      </c>
      <c r="B8755" s="59" t="inlineStr">
        <is>
          <t>2025-08-08</t>
        </is>
      </c>
      <c r="C8755" s="60" t="inlineStr">
        <is>
          <t>Aurora Makeup S-626</t>
        </is>
      </c>
      <c r="D8755" s="58" t="inlineStr">
        <is>
          <t>Beauty</t>
        </is>
      </c>
      <c r="E8755" s="58" t="inlineStr">
        <is>
          <t>Central</t>
        </is>
      </c>
      <c r="F8755" s="61" t="n">
        <v>2</v>
      </c>
      <c r="G8755" s="62" t="n">
        <v>114.57</v>
      </c>
      <c r="H8755" s="63" t="n">
        <v>0.14</v>
      </c>
      <c r="I8755" s="62" t="n">
        <v>65.61</v>
      </c>
      <c r="J8755" s="58" t="inlineStr">
        <is>
          <t>Phone</t>
        </is>
      </c>
      <c r="K8755" s="62">
        <f>F8755*(G8755-H8755)</f>
        <v/>
      </c>
      <c r="L8755" s="62">
        <f>K8755-(F8755*I8755)</f>
        <v/>
      </c>
      <c r="M8755" s="64">
        <f>L8755/K8755</f>
        <v/>
      </c>
    </row>
    <row r="8756">
      <c r="A8756" s="58" t="inlineStr">
        <is>
          <t>RT20250808-08755</t>
        </is>
      </c>
      <c r="B8756" s="59" t="inlineStr">
        <is>
          <t>2025-08-08</t>
        </is>
      </c>
      <c r="C8756" s="60" t="inlineStr">
        <is>
          <t>Solace Smartphone Lite-533</t>
        </is>
      </c>
      <c r="D8756" s="58" t="inlineStr">
        <is>
          <t>Electronics</t>
        </is>
      </c>
      <c r="E8756" s="58" t="inlineStr">
        <is>
          <t>West</t>
        </is>
      </c>
      <c r="F8756" s="61" t="n">
        <v>2</v>
      </c>
      <c r="G8756" s="62" t="n">
        <v>1268.96</v>
      </c>
      <c r="H8756" s="63" t="n">
        <v>0.17</v>
      </c>
      <c r="I8756" s="62" t="n">
        <v>921.05</v>
      </c>
      <c r="J8756" s="58" t="inlineStr">
        <is>
          <t>Online</t>
        </is>
      </c>
      <c r="K8756" s="62">
        <f>F8756*(G8756-H8756)</f>
        <v/>
      </c>
      <c r="L8756" s="62">
        <f>K8756-(F8756*I8756)</f>
        <v/>
      </c>
      <c r="M8756" s="64">
        <f>L8756/K8756</f>
        <v/>
      </c>
    </row>
    <row r="8757">
      <c r="A8757" s="58" t="inlineStr">
        <is>
          <t>RT20250808-08756</t>
        </is>
      </c>
      <c r="B8757" s="59" t="inlineStr">
        <is>
          <t>2025-08-08</t>
        </is>
      </c>
      <c r="C8757" s="60" t="inlineStr">
        <is>
          <t>Polar Women S-662</t>
        </is>
      </c>
      <c r="D8757" s="58" t="inlineStr">
        <is>
          <t>Apparel</t>
        </is>
      </c>
      <c r="E8757" s="58" t="inlineStr">
        <is>
          <t>West</t>
        </is>
      </c>
      <c r="F8757" s="61" t="n">
        <v>3</v>
      </c>
      <c r="G8757" s="62" t="n">
        <v>217.21</v>
      </c>
      <c r="H8757" s="63" t="n">
        <v>0.096</v>
      </c>
      <c r="I8757" s="62" t="n">
        <v>101.43</v>
      </c>
      <c r="J8757" s="58" t="inlineStr">
        <is>
          <t>Online</t>
        </is>
      </c>
      <c r="K8757" s="62">
        <f>F8757*(G8757-H8757)</f>
        <v/>
      </c>
      <c r="L8757" s="62">
        <f>K8757-(F8757*I8757)</f>
        <v/>
      </c>
      <c r="M8757" s="64">
        <f>L8757/K8757</f>
        <v/>
      </c>
    </row>
    <row r="8758">
      <c r="A8758" s="58" t="inlineStr">
        <is>
          <t>RT20250808-08757</t>
        </is>
      </c>
      <c r="B8758" s="59" t="inlineStr">
        <is>
          <t>2025-08-08</t>
        </is>
      </c>
      <c r="C8758" s="60" t="inlineStr">
        <is>
          <t>Metro Smartphone Max-773</t>
        </is>
      </c>
      <c r="D8758" s="58" t="inlineStr">
        <is>
          <t>Electronics</t>
        </is>
      </c>
      <c r="E8758" s="58" t="inlineStr">
        <is>
          <t>South</t>
        </is>
      </c>
      <c r="F8758" s="61" t="n">
        <v>2</v>
      </c>
      <c r="G8758" s="62" t="n">
        <v>1439.26</v>
      </c>
      <c r="H8758" s="63" t="n">
        <v>0.106</v>
      </c>
      <c r="I8758" s="62" t="n">
        <v>1127.41</v>
      </c>
      <c r="J8758" s="58" t="inlineStr">
        <is>
          <t>Store</t>
        </is>
      </c>
      <c r="K8758" s="62">
        <f>F8758*(G8758-H8758)</f>
        <v/>
      </c>
      <c r="L8758" s="62">
        <f>K8758-(F8758*I8758)</f>
        <v/>
      </c>
      <c r="M8758" s="64">
        <f>L8758/K8758</f>
        <v/>
      </c>
    </row>
    <row r="8759">
      <c r="A8759" s="58" t="inlineStr">
        <is>
          <t>RT20250808-08758</t>
        </is>
      </c>
      <c r="B8759" s="59" t="inlineStr">
        <is>
          <t>2025-08-08</t>
        </is>
      </c>
      <c r="C8759" s="60" t="inlineStr">
        <is>
          <t>Solace Kitchen X-919</t>
        </is>
      </c>
      <c r="D8759" s="58" t="inlineStr">
        <is>
          <t>Home</t>
        </is>
      </c>
      <c r="E8759" s="58" t="inlineStr">
        <is>
          <t>East</t>
        </is>
      </c>
      <c r="F8759" s="61" t="n">
        <v>2</v>
      </c>
      <c r="G8759" s="62" t="n">
        <v>404.56</v>
      </c>
      <c r="H8759" s="63" t="n">
        <v>0.155</v>
      </c>
      <c r="I8759" s="62" t="n">
        <v>254.95</v>
      </c>
      <c r="J8759" s="58" t="inlineStr">
        <is>
          <t>Online</t>
        </is>
      </c>
      <c r="K8759" s="62">
        <f>F8759*(G8759-H8759)</f>
        <v/>
      </c>
      <c r="L8759" s="62">
        <f>K8759-(F8759*I8759)</f>
        <v/>
      </c>
      <c r="M8759" s="64">
        <f>L8759/K8759</f>
        <v/>
      </c>
    </row>
    <row r="8760">
      <c r="A8760" s="58" t="inlineStr">
        <is>
          <t>RT20250808-08759</t>
        </is>
      </c>
      <c r="B8760" s="59" t="inlineStr">
        <is>
          <t>2025-08-08</t>
        </is>
      </c>
      <c r="C8760" s="60" t="inlineStr">
        <is>
          <t>Metro Accessorie Lite-697</t>
        </is>
      </c>
      <c r="D8760" s="58" t="inlineStr">
        <is>
          <t>Apparel</t>
        </is>
      </c>
      <c r="E8760" s="58" t="inlineStr">
        <is>
          <t>Central</t>
        </is>
      </c>
      <c r="F8760" s="61" t="n">
        <v>3</v>
      </c>
      <c r="G8760" s="62" t="n">
        <v>149.6</v>
      </c>
      <c r="H8760" s="63" t="n">
        <v>0.114</v>
      </c>
      <c r="I8760" s="62" t="n">
        <v>76.40000000000001</v>
      </c>
      <c r="J8760" s="58" t="inlineStr">
        <is>
          <t>Online</t>
        </is>
      </c>
      <c r="K8760" s="62">
        <f>F8760*(G8760-H8760)</f>
        <v/>
      </c>
      <c r="L8760" s="62">
        <f>K8760-(F8760*I8760)</f>
        <v/>
      </c>
      <c r="M8760" s="64">
        <f>L8760/K8760</f>
        <v/>
      </c>
    </row>
    <row r="8761">
      <c r="A8761" s="58" t="inlineStr">
        <is>
          <t>RT20250808-08760</t>
        </is>
      </c>
      <c r="B8761" s="59" t="inlineStr">
        <is>
          <t>2025-08-08</t>
        </is>
      </c>
      <c r="C8761" s="60" t="inlineStr">
        <is>
          <t>Polar Supplie Lite-348</t>
        </is>
      </c>
      <c r="D8761" s="58" t="inlineStr">
        <is>
          <t>Office</t>
        </is>
      </c>
      <c r="E8761" s="58" t="inlineStr">
        <is>
          <t>North</t>
        </is>
      </c>
      <c r="F8761" s="61" t="n">
        <v>3</v>
      </c>
      <c r="G8761" s="62" t="n">
        <v>424.01</v>
      </c>
      <c r="H8761" s="63" t="n">
        <v>0.102</v>
      </c>
      <c r="I8761" s="62" t="n">
        <v>310.18</v>
      </c>
      <c r="J8761" s="58" t="inlineStr">
        <is>
          <t>Online</t>
        </is>
      </c>
      <c r="K8761" s="62">
        <f>F8761*(G8761-H8761)</f>
        <v/>
      </c>
      <c r="L8761" s="62">
        <f>K8761-(F8761*I8761)</f>
        <v/>
      </c>
      <c r="M8761" s="64">
        <f>L8761/K8761</f>
        <v/>
      </c>
    </row>
    <row r="8762">
      <c r="A8762" s="58" t="inlineStr">
        <is>
          <t>RT20250808-08761</t>
        </is>
      </c>
      <c r="B8762" s="59" t="inlineStr">
        <is>
          <t>2025-08-08</t>
        </is>
      </c>
      <c r="C8762" s="60" t="inlineStr">
        <is>
          <t>Aurora Fitnes Lite-194</t>
        </is>
      </c>
      <c r="D8762" s="58" t="inlineStr">
        <is>
          <t>Sports</t>
        </is>
      </c>
      <c r="E8762" s="58" t="inlineStr">
        <is>
          <t>East</t>
        </is>
      </c>
      <c r="F8762" s="61" t="n">
        <v>3</v>
      </c>
      <c r="G8762" s="62" t="n">
        <v>713.48</v>
      </c>
      <c r="H8762" s="63" t="n">
        <v>0.135</v>
      </c>
      <c r="I8762" s="62" t="n">
        <v>465.16</v>
      </c>
      <c r="J8762" s="58" t="inlineStr">
        <is>
          <t>Online</t>
        </is>
      </c>
      <c r="K8762" s="62">
        <f>F8762*(G8762-H8762)</f>
        <v/>
      </c>
      <c r="L8762" s="62">
        <f>K8762-(F8762*I8762)</f>
        <v/>
      </c>
      <c r="M8762" s="64">
        <f>L8762/K8762</f>
        <v/>
      </c>
    </row>
    <row r="8763">
      <c r="A8763" s="58" t="inlineStr">
        <is>
          <t>RT20250808-08762</t>
        </is>
      </c>
      <c r="B8763" s="59" t="inlineStr">
        <is>
          <t>2025-08-08</t>
        </is>
      </c>
      <c r="C8763" s="60" t="inlineStr">
        <is>
          <t>Polar Bedding Lite-243</t>
        </is>
      </c>
      <c r="D8763" s="58" t="inlineStr">
        <is>
          <t>Home</t>
        </is>
      </c>
      <c r="E8763" s="58" t="inlineStr">
        <is>
          <t>Central</t>
        </is>
      </c>
      <c r="F8763" s="61" t="n">
        <v>2</v>
      </c>
      <c r="G8763" s="62" t="n">
        <v>480.29</v>
      </c>
      <c r="H8763" s="63" t="n">
        <v>0.178</v>
      </c>
      <c r="I8763" s="62" t="n">
        <v>318.4</v>
      </c>
      <c r="J8763" s="58" t="inlineStr">
        <is>
          <t>Online</t>
        </is>
      </c>
      <c r="K8763" s="62">
        <f>F8763*(G8763-H8763)</f>
        <v/>
      </c>
      <c r="L8763" s="62">
        <f>K8763-(F8763*I8763)</f>
        <v/>
      </c>
      <c r="M8763" s="64">
        <f>L8763/K8763</f>
        <v/>
      </c>
    </row>
    <row r="8764">
      <c r="A8764" s="58" t="inlineStr">
        <is>
          <t>RT20250808-08763</t>
        </is>
      </c>
      <c r="B8764" s="59" t="inlineStr">
        <is>
          <t>2025-08-08</t>
        </is>
      </c>
      <c r="C8764" s="60" t="inlineStr">
        <is>
          <t>Falcon Wearable X-334</t>
        </is>
      </c>
      <c r="D8764" s="58" t="inlineStr">
        <is>
          <t>Electronics</t>
        </is>
      </c>
      <c r="E8764" s="58" t="inlineStr">
        <is>
          <t>East</t>
        </is>
      </c>
      <c r="F8764" s="61" t="n">
        <v>1</v>
      </c>
      <c r="G8764" s="62" t="n">
        <v>2212.47</v>
      </c>
      <c r="H8764" s="63" t="n">
        <v>0.131</v>
      </c>
      <c r="I8764" s="62" t="n">
        <v>1496.36</v>
      </c>
      <c r="J8764" s="58" t="inlineStr">
        <is>
          <t>Online</t>
        </is>
      </c>
      <c r="K8764" s="62">
        <f>F8764*(G8764-H8764)</f>
        <v/>
      </c>
      <c r="L8764" s="62">
        <f>K8764-(F8764*I8764)</f>
        <v/>
      </c>
      <c r="M8764" s="64">
        <f>L8764/K8764</f>
        <v/>
      </c>
    </row>
    <row r="8765">
      <c r="A8765" s="58" t="inlineStr">
        <is>
          <t>RT20250808-08764</t>
        </is>
      </c>
      <c r="B8765" s="59" t="inlineStr">
        <is>
          <t>2025-08-08</t>
        </is>
      </c>
      <c r="C8765" s="60" t="inlineStr">
        <is>
          <t>Solace Smartphone Lite-533</t>
        </is>
      </c>
      <c r="D8765" s="58" t="inlineStr">
        <is>
          <t>Electronics</t>
        </is>
      </c>
      <c r="E8765" s="58" t="inlineStr">
        <is>
          <t>East</t>
        </is>
      </c>
      <c r="F8765" s="61" t="n">
        <v>1</v>
      </c>
      <c r="G8765" s="62" t="n">
        <v>1206.86</v>
      </c>
      <c r="H8765" s="63" t="n">
        <v>0.118</v>
      </c>
      <c r="I8765" s="62" t="n">
        <v>944.48</v>
      </c>
      <c r="J8765" s="58" t="inlineStr">
        <is>
          <t>Online</t>
        </is>
      </c>
      <c r="K8765" s="62">
        <f>F8765*(G8765-H8765)</f>
        <v/>
      </c>
      <c r="L8765" s="62">
        <f>K8765-(F8765*I8765)</f>
        <v/>
      </c>
      <c r="M8765" s="64">
        <f>L8765/K8765</f>
        <v/>
      </c>
    </row>
    <row r="8766">
      <c r="A8766" s="58" t="inlineStr">
        <is>
          <t>RT20250808-08765</t>
        </is>
      </c>
      <c r="B8766" s="59" t="inlineStr">
        <is>
          <t>2025-08-08</t>
        </is>
      </c>
      <c r="C8766" s="60" t="inlineStr">
        <is>
          <t>Vertex Smartphone Lite-267</t>
        </is>
      </c>
      <c r="D8766" s="58" t="inlineStr">
        <is>
          <t>Electronics</t>
        </is>
      </c>
      <c r="E8766" s="58" t="inlineStr">
        <is>
          <t>West</t>
        </is>
      </c>
      <c r="F8766" s="61" t="n">
        <v>2</v>
      </c>
      <c r="G8766" s="62" t="n">
        <v>1131.49</v>
      </c>
      <c r="H8766" s="63" t="n">
        <v>0.183</v>
      </c>
      <c r="I8766" s="62" t="n">
        <v>897.51</v>
      </c>
      <c r="J8766" s="58" t="inlineStr">
        <is>
          <t>Online</t>
        </is>
      </c>
      <c r="K8766" s="62">
        <f>F8766*(G8766-H8766)</f>
        <v/>
      </c>
      <c r="L8766" s="62">
        <f>K8766-(F8766*I8766)</f>
        <v/>
      </c>
      <c r="M8766" s="64">
        <f>L8766/K8766</f>
        <v/>
      </c>
    </row>
    <row r="8767">
      <c r="A8767" s="58" t="inlineStr">
        <is>
          <t>RT20250808-08766</t>
        </is>
      </c>
      <c r="B8767" s="59" t="inlineStr">
        <is>
          <t>2025-08-08</t>
        </is>
      </c>
      <c r="C8767" s="60" t="inlineStr">
        <is>
          <t>Nimbus Fitnes Lite-516</t>
        </is>
      </c>
      <c r="D8767" s="58" t="inlineStr">
        <is>
          <t>Sports</t>
        </is>
      </c>
      <c r="E8767" s="58" t="inlineStr">
        <is>
          <t>North</t>
        </is>
      </c>
      <c r="F8767" s="61" t="n">
        <v>3</v>
      </c>
      <c r="G8767" s="62" t="n">
        <v>745.92</v>
      </c>
      <c r="H8767" s="63" t="n">
        <v>0.146</v>
      </c>
      <c r="I8767" s="62" t="n">
        <v>465.77</v>
      </c>
      <c r="J8767" s="58" t="inlineStr">
        <is>
          <t>Online</t>
        </is>
      </c>
      <c r="K8767" s="62">
        <f>F8767*(G8767-H8767)</f>
        <v/>
      </c>
      <c r="L8767" s="62">
        <f>K8767-(F8767*I8767)</f>
        <v/>
      </c>
      <c r="M8767" s="64">
        <f>L8767/K8767</f>
        <v/>
      </c>
    </row>
    <row r="8768">
      <c r="A8768" s="58" t="inlineStr">
        <is>
          <t>RT20250808-08767</t>
        </is>
      </c>
      <c r="B8768" s="59" t="inlineStr">
        <is>
          <t>2025-08-08</t>
        </is>
      </c>
      <c r="C8768" s="60" t="inlineStr">
        <is>
          <t>Vertex Appliance S-296</t>
        </is>
      </c>
      <c r="D8768" s="58" t="inlineStr">
        <is>
          <t>Home</t>
        </is>
      </c>
      <c r="E8768" s="58" t="inlineStr">
        <is>
          <t>South</t>
        </is>
      </c>
      <c r="F8768" s="61" t="n">
        <v>1</v>
      </c>
      <c r="G8768" s="62" t="n">
        <v>557.21</v>
      </c>
      <c r="H8768" s="63" t="n">
        <v>0.174</v>
      </c>
      <c r="I8768" s="62" t="n">
        <v>350.07</v>
      </c>
      <c r="J8768" s="58" t="inlineStr">
        <is>
          <t>Store</t>
        </is>
      </c>
      <c r="K8768" s="62">
        <f>F8768*(G8768-H8768)</f>
        <v/>
      </c>
      <c r="L8768" s="62">
        <f>K8768-(F8768*I8768)</f>
        <v/>
      </c>
      <c r="M8768" s="64">
        <f>L8768/K8768</f>
        <v/>
      </c>
    </row>
    <row r="8769">
      <c r="A8769" s="58" t="inlineStr">
        <is>
          <t>RT20250808-08768</t>
        </is>
      </c>
      <c r="B8769" s="59" t="inlineStr">
        <is>
          <t>2025-08-08</t>
        </is>
      </c>
      <c r="C8769" s="60" t="inlineStr">
        <is>
          <t>Falcon Storage X-734</t>
        </is>
      </c>
      <c r="D8769" s="58" t="inlineStr">
        <is>
          <t>Office</t>
        </is>
      </c>
      <c r="E8769" s="58" t="inlineStr">
        <is>
          <t>West</t>
        </is>
      </c>
      <c r="F8769" s="61" t="n">
        <v>3</v>
      </c>
      <c r="G8769" s="62" t="n">
        <v>399.07</v>
      </c>
      <c r="H8769" s="63" t="n">
        <v>0.121</v>
      </c>
      <c r="I8769" s="62" t="n">
        <v>284.62</v>
      </c>
      <c r="J8769" s="58" t="inlineStr">
        <is>
          <t>Store</t>
        </is>
      </c>
      <c r="K8769" s="62">
        <f>F8769*(G8769-H8769)</f>
        <v/>
      </c>
      <c r="L8769" s="62">
        <f>K8769-(F8769*I8769)</f>
        <v/>
      </c>
      <c r="M8769" s="64">
        <f>L8769/K8769</f>
        <v/>
      </c>
    </row>
    <row r="8770">
      <c r="A8770" s="58" t="inlineStr">
        <is>
          <t>RT20250808-08769</t>
        </is>
      </c>
      <c r="B8770" s="59" t="inlineStr">
        <is>
          <t>2025-08-08</t>
        </is>
      </c>
      <c r="C8770" s="60" t="inlineStr">
        <is>
          <t>Orion Beverage Plus-949</t>
        </is>
      </c>
      <c r="D8770" s="58" t="inlineStr">
        <is>
          <t>Grocery</t>
        </is>
      </c>
      <c r="E8770" s="58" t="inlineStr">
        <is>
          <t>West</t>
        </is>
      </c>
      <c r="F8770" s="61" t="n">
        <v>6</v>
      </c>
      <c r="G8770" s="62" t="n">
        <v>18.94</v>
      </c>
      <c r="H8770" s="63" t="n">
        <v>0.135</v>
      </c>
      <c r="I8770" s="62" t="n">
        <v>13.77</v>
      </c>
      <c r="J8770" s="58" t="inlineStr">
        <is>
          <t>Online</t>
        </is>
      </c>
      <c r="K8770" s="62">
        <f>F8770*(G8770-H8770)</f>
        <v/>
      </c>
      <c r="L8770" s="62">
        <f>K8770-(F8770*I8770)</f>
        <v/>
      </c>
      <c r="M8770" s="64">
        <f>L8770/K8770</f>
        <v/>
      </c>
    </row>
    <row r="8771">
      <c r="A8771" s="58" t="inlineStr">
        <is>
          <t>RT20250808-08770</t>
        </is>
      </c>
      <c r="B8771" s="59" t="inlineStr">
        <is>
          <t>2025-08-08</t>
        </is>
      </c>
      <c r="C8771" s="60" t="inlineStr">
        <is>
          <t>Vertex Supplie X-513</t>
        </is>
      </c>
      <c r="D8771" s="58" t="inlineStr">
        <is>
          <t>Office</t>
        </is>
      </c>
      <c r="E8771" s="58" t="inlineStr">
        <is>
          <t>North</t>
        </is>
      </c>
      <c r="F8771" s="61" t="n">
        <v>1</v>
      </c>
      <c r="G8771" s="62" t="n">
        <v>391.25</v>
      </c>
      <c r="H8771" s="63" t="n">
        <v>0.162</v>
      </c>
      <c r="I8771" s="62" t="n">
        <v>274.26</v>
      </c>
      <c r="J8771" s="58" t="inlineStr">
        <is>
          <t>Store</t>
        </is>
      </c>
      <c r="K8771" s="62">
        <f>F8771*(G8771-H8771)</f>
        <v/>
      </c>
      <c r="L8771" s="62">
        <f>K8771-(F8771*I8771)</f>
        <v/>
      </c>
      <c r="M8771" s="64">
        <f>L8771/K8771</f>
        <v/>
      </c>
    </row>
    <row r="8772">
      <c r="A8772" s="58" t="inlineStr">
        <is>
          <t>RT20250808-08771</t>
        </is>
      </c>
      <c r="B8772" s="59" t="inlineStr">
        <is>
          <t>2025-08-08</t>
        </is>
      </c>
      <c r="C8772" s="60" t="inlineStr">
        <is>
          <t>Solace Kitchen Pro-510</t>
        </is>
      </c>
      <c r="D8772" s="58" t="inlineStr">
        <is>
          <t>Home</t>
        </is>
      </c>
      <c r="E8772" s="58" t="inlineStr">
        <is>
          <t>West</t>
        </is>
      </c>
      <c r="F8772" s="61" t="n">
        <v>2</v>
      </c>
      <c r="G8772" s="62" t="n">
        <v>463.68</v>
      </c>
      <c r="H8772" s="63" t="n">
        <v>0.182</v>
      </c>
      <c r="I8772" s="62" t="n">
        <v>313.35</v>
      </c>
      <c r="J8772" s="58" t="inlineStr">
        <is>
          <t>Store</t>
        </is>
      </c>
      <c r="K8772" s="62">
        <f>F8772*(G8772-H8772)</f>
        <v/>
      </c>
      <c r="L8772" s="62">
        <f>K8772-(F8772*I8772)</f>
        <v/>
      </c>
      <c r="M8772" s="64">
        <f>L8772/K8772</f>
        <v/>
      </c>
    </row>
    <row r="8773">
      <c r="A8773" s="58" t="inlineStr">
        <is>
          <t>RT20250808-08772</t>
        </is>
      </c>
      <c r="B8773" s="59" t="inlineStr">
        <is>
          <t>2025-08-08</t>
        </is>
      </c>
      <c r="C8773" s="60" t="inlineStr">
        <is>
          <t>Vertex Appliance S-159</t>
        </is>
      </c>
      <c r="D8773" s="58" t="inlineStr">
        <is>
          <t>Home</t>
        </is>
      </c>
      <c r="E8773" s="58" t="inlineStr">
        <is>
          <t>East</t>
        </is>
      </c>
      <c r="F8773" s="61" t="n">
        <v>3</v>
      </c>
      <c r="G8773" s="62" t="n">
        <v>464.91</v>
      </c>
      <c r="H8773" s="63" t="n">
        <v>0.153</v>
      </c>
      <c r="I8773" s="62" t="n">
        <v>299.42</v>
      </c>
      <c r="J8773" s="58" t="inlineStr">
        <is>
          <t>Store</t>
        </is>
      </c>
      <c r="K8773" s="62">
        <f>F8773*(G8773-H8773)</f>
        <v/>
      </c>
      <c r="L8773" s="62">
        <f>K8773-(F8773*I8773)</f>
        <v/>
      </c>
      <c r="M8773" s="64">
        <f>L8773/K8773</f>
        <v/>
      </c>
    </row>
    <row r="8774">
      <c r="A8774" s="58" t="inlineStr">
        <is>
          <t>RT20250808-08773</t>
        </is>
      </c>
      <c r="B8774" s="59" t="inlineStr">
        <is>
          <t>2025-08-08</t>
        </is>
      </c>
      <c r="C8774" s="60" t="inlineStr">
        <is>
          <t>Nimbus Women Lite-814</t>
        </is>
      </c>
      <c r="D8774" s="58" t="inlineStr">
        <is>
          <t>Apparel</t>
        </is>
      </c>
      <c r="E8774" s="58" t="inlineStr">
        <is>
          <t>East</t>
        </is>
      </c>
      <c r="F8774" s="61" t="n">
        <v>3</v>
      </c>
      <c r="G8774" s="62" t="n">
        <v>144.82</v>
      </c>
      <c r="H8774" s="63" t="n">
        <v>0.162</v>
      </c>
      <c r="I8774" s="62" t="n">
        <v>83.09999999999999</v>
      </c>
      <c r="J8774" s="58" t="inlineStr">
        <is>
          <t>Store</t>
        </is>
      </c>
      <c r="K8774" s="62">
        <f>F8774*(G8774-H8774)</f>
        <v/>
      </c>
      <c r="L8774" s="62">
        <f>K8774-(F8774*I8774)</f>
        <v/>
      </c>
      <c r="M8774" s="64">
        <f>L8774/K8774</f>
        <v/>
      </c>
    </row>
    <row r="8775">
      <c r="A8775" s="58" t="inlineStr">
        <is>
          <t>RT20250808-08774</t>
        </is>
      </c>
      <c r="B8775" s="59" t="inlineStr">
        <is>
          <t>2025-08-08</t>
        </is>
      </c>
      <c r="C8775" s="60" t="inlineStr">
        <is>
          <t>Nimbus Makeup Max-158</t>
        </is>
      </c>
      <c r="D8775" s="58" t="inlineStr">
        <is>
          <t>Beauty</t>
        </is>
      </c>
      <c r="E8775" s="58" t="inlineStr">
        <is>
          <t>East</t>
        </is>
      </c>
      <c r="F8775" s="61" t="n">
        <v>5</v>
      </c>
      <c r="G8775" s="62" t="n">
        <v>153.49</v>
      </c>
      <c r="H8775" s="63" t="n">
        <v>0.163</v>
      </c>
      <c r="I8775" s="62" t="n">
        <v>97</v>
      </c>
      <c r="J8775" s="58" t="inlineStr">
        <is>
          <t>Online</t>
        </is>
      </c>
      <c r="K8775" s="62">
        <f>F8775*(G8775-H8775)</f>
        <v/>
      </c>
      <c r="L8775" s="62">
        <f>K8775-(F8775*I8775)</f>
        <v/>
      </c>
      <c r="M8775" s="64">
        <f>L8775/K8775</f>
        <v/>
      </c>
    </row>
    <row r="8776">
      <c r="A8776" s="58" t="inlineStr">
        <is>
          <t>RT20250808-08775</t>
        </is>
      </c>
      <c r="B8776" s="59" t="inlineStr">
        <is>
          <t>2025-08-08</t>
        </is>
      </c>
      <c r="C8776" s="60" t="inlineStr">
        <is>
          <t>Polar Wearable X-119</t>
        </is>
      </c>
      <c r="D8776" s="58" t="inlineStr">
        <is>
          <t>Electronics</t>
        </is>
      </c>
      <c r="E8776" s="58" t="inlineStr">
        <is>
          <t>South</t>
        </is>
      </c>
      <c r="F8776" s="61" t="n">
        <v>1</v>
      </c>
      <c r="G8776" s="62" t="n">
        <v>1671.42</v>
      </c>
      <c r="H8776" s="63" t="n">
        <v>0.129</v>
      </c>
      <c r="I8776" s="62" t="n">
        <v>1345.74</v>
      </c>
      <c r="J8776" s="58" t="inlineStr">
        <is>
          <t>Store</t>
        </is>
      </c>
      <c r="K8776" s="62">
        <f>F8776*(G8776-H8776)</f>
        <v/>
      </c>
      <c r="L8776" s="62">
        <f>K8776-(F8776*I8776)</f>
        <v/>
      </c>
      <c r="M8776" s="64">
        <f>L8776/K8776</f>
        <v/>
      </c>
    </row>
    <row r="8777">
      <c r="A8777" s="58" t="inlineStr">
        <is>
          <t>RT20250808-08776</t>
        </is>
      </c>
      <c r="B8777" s="59" t="inlineStr">
        <is>
          <t>2025-08-08</t>
        </is>
      </c>
      <c r="C8777" s="60" t="inlineStr">
        <is>
          <t>Aurora Appliance Lite-109</t>
        </is>
      </c>
      <c r="D8777" s="58" t="inlineStr">
        <is>
          <t>Home</t>
        </is>
      </c>
      <c r="E8777" s="58" t="inlineStr">
        <is>
          <t>North</t>
        </is>
      </c>
      <c r="F8777" s="61" t="n">
        <v>1</v>
      </c>
      <c r="G8777" s="62" t="n">
        <v>280.45</v>
      </c>
      <c r="H8777" s="63" t="n">
        <v>0.162</v>
      </c>
      <c r="I8777" s="62" t="n">
        <v>208.89</v>
      </c>
      <c r="J8777" s="58" t="inlineStr">
        <is>
          <t>Online</t>
        </is>
      </c>
      <c r="K8777" s="62">
        <f>F8777*(G8777-H8777)</f>
        <v/>
      </c>
      <c r="L8777" s="62">
        <f>K8777-(F8777*I8777)</f>
        <v/>
      </c>
      <c r="M8777" s="64">
        <f>L8777/K8777</f>
        <v/>
      </c>
    </row>
    <row r="8778">
      <c r="A8778" s="58" t="inlineStr">
        <is>
          <t>RT20250808-08777</t>
        </is>
      </c>
      <c r="B8778" s="59" t="inlineStr">
        <is>
          <t>2025-08-08</t>
        </is>
      </c>
      <c r="C8778" s="60" t="inlineStr">
        <is>
          <t>Metro Accessorie Max-316</t>
        </is>
      </c>
      <c r="D8778" s="58" t="inlineStr">
        <is>
          <t>Apparel</t>
        </is>
      </c>
      <c r="E8778" s="58" t="inlineStr">
        <is>
          <t>East</t>
        </is>
      </c>
      <c r="F8778" s="61" t="n">
        <v>1</v>
      </c>
      <c r="G8778" s="62" t="n">
        <v>168.7</v>
      </c>
      <c r="H8778" s="63" t="n">
        <v>0.182</v>
      </c>
      <c r="I8778" s="62" t="n">
        <v>94.48</v>
      </c>
      <c r="J8778" s="58" t="inlineStr">
        <is>
          <t>Online</t>
        </is>
      </c>
      <c r="K8778" s="62">
        <f>F8778*(G8778-H8778)</f>
        <v/>
      </c>
      <c r="L8778" s="62">
        <f>K8778-(F8778*I8778)</f>
        <v/>
      </c>
      <c r="M8778" s="64">
        <f>L8778/K8778</f>
        <v/>
      </c>
    </row>
    <row r="8779">
      <c r="A8779" s="58" t="inlineStr">
        <is>
          <t>RT20250808-08778</t>
        </is>
      </c>
      <c r="B8779" s="59" t="inlineStr">
        <is>
          <t>2025-08-08</t>
        </is>
      </c>
      <c r="C8779" s="60" t="inlineStr">
        <is>
          <t>Aurora Bedding Plus-187</t>
        </is>
      </c>
      <c r="D8779" s="58" t="inlineStr">
        <is>
          <t>Home</t>
        </is>
      </c>
      <c r="E8779" s="58" t="inlineStr">
        <is>
          <t>East</t>
        </is>
      </c>
      <c r="F8779" s="61" t="n">
        <v>2</v>
      </c>
      <c r="G8779" s="62" t="n">
        <v>316.58</v>
      </c>
      <c r="H8779" s="63" t="n">
        <v>0.155</v>
      </c>
      <c r="I8779" s="62" t="n">
        <v>213.72</v>
      </c>
      <c r="J8779" s="58" t="inlineStr">
        <is>
          <t>Online</t>
        </is>
      </c>
      <c r="K8779" s="62">
        <f>F8779*(G8779-H8779)</f>
        <v/>
      </c>
      <c r="L8779" s="62">
        <f>K8779-(F8779*I8779)</f>
        <v/>
      </c>
      <c r="M8779" s="64">
        <f>L8779/K8779</f>
        <v/>
      </c>
    </row>
    <row r="8780">
      <c r="A8780" s="58" t="inlineStr">
        <is>
          <t>RT20250808-08779</t>
        </is>
      </c>
      <c r="B8780" s="59" t="inlineStr">
        <is>
          <t>2025-08-08</t>
        </is>
      </c>
      <c r="C8780" s="60" t="inlineStr">
        <is>
          <t>Vertex Printer Max-692</t>
        </is>
      </c>
      <c r="D8780" s="58" t="inlineStr">
        <is>
          <t>Office</t>
        </is>
      </c>
      <c r="E8780" s="58" t="inlineStr">
        <is>
          <t>North</t>
        </is>
      </c>
      <c r="F8780" s="61" t="n">
        <v>3</v>
      </c>
      <c r="G8780" s="62" t="n">
        <v>172.83</v>
      </c>
      <c r="H8780" s="63" t="n">
        <v>0.114</v>
      </c>
      <c r="I8780" s="62" t="n">
        <v>125.24</v>
      </c>
      <c r="J8780" s="58" t="inlineStr">
        <is>
          <t>Phone</t>
        </is>
      </c>
      <c r="K8780" s="62">
        <f>F8780*(G8780-H8780)</f>
        <v/>
      </c>
      <c r="L8780" s="62">
        <f>K8780-(F8780*I8780)</f>
        <v/>
      </c>
      <c r="M8780" s="64">
        <f>L8780/K8780</f>
        <v/>
      </c>
    </row>
    <row r="8781">
      <c r="A8781" s="58" t="inlineStr">
        <is>
          <t>RT20250808-08780</t>
        </is>
      </c>
      <c r="B8781" s="59" t="inlineStr">
        <is>
          <t>2025-08-08</t>
        </is>
      </c>
      <c r="C8781" s="60" t="inlineStr">
        <is>
          <t>Vertex Smartphone Pro-256</t>
        </is>
      </c>
      <c r="D8781" s="58" t="inlineStr">
        <is>
          <t>Electronics</t>
        </is>
      </c>
      <c r="E8781" s="58" t="inlineStr">
        <is>
          <t>East</t>
        </is>
      </c>
      <c r="F8781" s="61" t="n">
        <v>2</v>
      </c>
      <c r="G8781" s="62" t="n">
        <v>1114.72</v>
      </c>
      <c r="H8781" s="63" t="n">
        <v>0.104</v>
      </c>
      <c r="I8781" s="62" t="n">
        <v>925.78</v>
      </c>
      <c r="J8781" s="58" t="inlineStr">
        <is>
          <t>Online</t>
        </is>
      </c>
      <c r="K8781" s="62">
        <f>F8781*(G8781-H8781)</f>
        <v/>
      </c>
      <c r="L8781" s="62">
        <f>K8781-(F8781*I8781)</f>
        <v/>
      </c>
      <c r="M8781" s="64">
        <f>L8781/K8781</f>
        <v/>
      </c>
    </row>
    <row r="8782">
      <c r="A8782" s="58" t="inlineStr">
        <is>
          <t>RT20250808-08781</t>
        </is>
      </c>
      <c r="B8782" s="59" t="inlineStr">
        <is>
          <t>2025-08-08</t>
        </is>
      </c>
      <c r="C8782" s="60" t="inlineStr">
        <is>
          <t>Aurora Appliance Max-316</t>
        </is>
      </c>
      <c r="D8782" s="58" t="inlineStr">
        <is>
          <t>Home</t>
        </is>
      </c>
      <c r="E8782" s="58" t="inlineStr">
        <is>
          <t>West</t>
        </is>
      </c>
      <c r="F8782" s="61" t="n">
        <v>3</v>
      </c>
      <c r="G8782" s="62" t="n">
        <v>310.39</v>
      </c>
      <c r="H8782" s="63" t="n">
        <v>0.128</v>
      </c>
      <c r="I8782" s="62" t="n">
        <v>214.95</v>
      </c>
      <c r="J8782" s="58" t="inlineStr">
        <is>
          <t>Online</t>
        </is>
      </c>
      <c r="K8782" s="62">
        <f>F8782*(G8782-H8782)</f>
        <v/>
      </c>
      <c r="L8782" s="62">
        <f>K8782-(F8782*I8782)</f>
        <v/>
      </c>
      <c r="M8782" s="64">
        <f>L8782/K8782</f>
        <v/>
      </c>
    </row>
    <row r="8783">
      <c r="A8783" s="58" t="inlineStr">
        <is>
          <t>RT20250808-08782</t>
        </is>
      </c>
      <c r="B8783" s="59" t="inlineStr">
        <is>
          <t>2025-08-08</t>
        </is>
      </c>
      <c r="C8783" s="60" t="inlineStr">
        <is>
          <t>Solace Kitchen X-919</t>
        </is>
      </c>
      <c r="D8783" s="58" t="inlineStr">
        <is>
          <t>Home</t>
        </is>
      </c>
      <c r="E8783" s="58" t="inlineStr">
        <is>
          <t>South</t>
        </is>
      </c>
      <c r="F8783" s="61" t="n">
        <v>1</v>
      </c>
      <c r="G8783" s="62" t="n">
        <v>476.75</v>
      </c>
      <c r="H8783" s="63" t="n">
        <v>0.089</v>
      </c>
      <c r="I8783" s="62" t="n">
        <v>257.38</v>
      </c>
      <c r="J8783" s="58" t="inlineStr">
        <is>
          <t>Store</t>
        </is>
      </c>
      <c r="K8783" s="62">
        <f>F8783*(G8783-H8783)</f>
        <v/>
      </c>
      <c r="L8783" s="62">
        <f>K8783-(F8783*I8783)</f>
        <v/>
      </c>
      <c r="M8783" s="64">
        <f>L8783/K8783</f>
        <v/>
      </c>
    </row>
    <row r="8784">
      <c r="A8784" s="58" t="inlineStr">
        <is>
          <t>RT20250808-08783</t>
        </is>
      </c>
      <c r="B8784" s="59" t="inlineStr">
        <is>
          <t>2025-08-08</t>
        </is>
      </c>
      <c r="C8784" s="60" t="inlineStr">
        <is>
          <t>Aurora Skincare Max-798</t>
        </is>
      </c>
      <c r="D8784" s="58" t="inlineStr">
        <is>
          <t>Beauty</t>
        </is>
      </c>
      <c r="E8784" s="58" t="inlineStr">
        <is>
          <t>North</t>
        </is>
      </c>
      <c r="F8784" s="61" t="n">
        <v>2</v>
      </c>
      <c r="G8784" s="62" t="n">
        <v>115.2</v>
      </c>
      <c r="H8784" s="63" t="n">
        <v>0.12</v>
      </c>
      <c r="I8784" s="62" t="n">
        <v>66.34</v>
      </c>
      <c r="J8784" s="58" t="inlineStr">
        <is>
          <t>Phone</t>
        </is>
      </c>
      <c r="K8784" s="62">
        <f>F8784*(G8784-H8784)</f>
        <v/>
      </c>
      <c r="L8784" s="62">
        <f>K8784-(F8784*I8784)</f>
        <v/>
      </c>
      <c r="M8784" s="64">
        <f>L8784/K8784</f>
        <v/>
      </c>
    </row>
    <row r="8785">
      <c r="A8785" s="58" t="inlineStr">
        <is>
          <t>RT20250808-08784</t>
        </is>
      </c>
      <c r="B8785" s="59" t="inlineStr">
        <is>
          <t>2025-08-08</t>
        </is>
      </c>
      <c r="C8785" s="60" t="inlineStr">
        <is>
          <t>Vertex Headphone Pro-801</t>
        </is>
      </c>
      <c r="D8785" s="58" t="inlineStr">
        <is>
          <t>Electronics</t>
        </is>
      </c>
      <c r="E8785" s="58" t="inlineStr">
        <is>
          <t>North</t>
        </is>
      </c>
      <c r="F8785" s="61" t="n">
        <v>1</v>
      </c>
      <c r="G8785" s="62" t="n">
        <v>1150.77</v>
      </c>
      <c r="H8785" s="63" t="n">
        <v>0.133</v>
      </c>
      <c r="I8785" s="62" t="n">
        <v>968.65</v>
      </c>
      <c r="J8785" s="58" t="inlineStr">
        <is>
          <t>Online</t>
        </is>
      </c>
      <c r="K8785" s="62">
        <f>F8785*(G8785-H8785)</f>
        <v/>
      </c>
      <c r="L8785" s="62">
        <f>K8785-(F8785*I8785)</f>
        <v/>
      </c>
      <c r="M8785" s="64">
        <f>L8785/K8785</f>
        <v/>
      </c>
    </row>
    <row r="8786">
      <c r="A8786" s="58" t="inlineStr">
        <is>
          <t>RT20250808-08785</t>
        </is>
      </c>
      <c r="B8786" s="59" t="inlineStr">
        <is>
          <t>2025-08-08</t>
        </is>
      </c>
      <c r="C8786" s="60" t="inlineStr">
        <is>
          <t>Aurora Makeup Pro-489</t>
        </is>
      </c>
      <c r="D8786" s="58" t="inlineStr">
        <is>
          <t>Beauty</t>
        </is>
      </c>
      <c r="E8786" s="58" t="inlineStr">
        <is>
          <t>North</t>
        </is>
      </c>
      <c r="F8786" s="61" t="n">
        <v>1</v>
      </c>
      <c r="G8786" s="62" t="n">
        <v>93.75</v>
      </c>
      <c r="H8786" s="63" t="n">
        <v>0.22</v>
      </c>
      <c r="I8786" s="62" t="n">
        <v>64.7</v>
      </c>
      <c r="J8786" s="58" t="inlineStr">
        <is>
          <t>Phone</t>
        </is>
      </c>
      <c r="K8786" s="62">
        <f>F8786*(G8786-H8786)</f>
        <v/>
      </c>
      <c r="L8786" s="62">
        <f>K8786-(F8786*I8786)</f>
        <v/>
      </c>
      <c r="M8786" s="64">
        <f>L8786/K8786</f>
        <v/>
      </c>
    </row>
    <row r="8787">
      <c r="A8787" s="58" t="inlineStr">
        <is>
          <t>RT20250808-08786</t>
        </is>
      </c>
      <c r="B8787" s="59" t="inlineStr">
        <is>
          <t>2025-08-08</t>
        </is>
      </c>
      <c r="C8787" s="60" t="inlineStr">
        <is>
          <t>Solace Headphone Pro-344</t>
        </is>
      </c>
      <c r="D8787" s="58" t="inlineStr">
        <is>
          <t>Electronics</t>
        </is>
      </c>
      <c r="E8787" s="58" t="inlineStr">
        <is>
          <t>Central</t>
        </is>
      </c>
      <c r="F8787" s="61" t="n">
        <v>2</v>
      </c>
      <c r="G8787" s="62" t="n">
        <v>1304.1</v>
      </c>
      <c r="H8787" s="63" t="n">
        <v>0.147</v>
      </c>
      <c r="I8787" s="62" t="n">
        <v>1079.99</v>
      </c>
      <c r="J8787" s="58" t="inlineStr">
        <is>
          <t>Online</t>
        </is>
      </c>
      <c r="K8787" s="62">
        <f>F8787*(G8787-H8787)</f>
        <v/>
      </c>
      <c r="L8787" s="62">
        <f>K8787-(F8787*I8787)</f>
        <v/>
      </c>
      <c r="M8787" s="64">
        <f>L8787/K8787</f>
        <v/>
      </c>
    </row>
    <row r="8788">
      <c r="A8788" s="58" t="inlineStr">
        <is>
          <t>RT20250808-08787</t>
        </is>
      </c>
      <c r="B8788" s="59" t="inlineStr">
        <is>
          <t>2025-08-08</t>
        </is>
      </c>
      <c r="C8788" s="60" t="inlineStr">
        <is>
          <t>Orion Laptop S-350</t>
        </is>
      </c>
      <c r="D8788" s="58" t="inlineStr">
        <is>
          <t>Electronics</t>
        </is>
      </c>
      <c r="E8788" s="58" t="inlineStr">
        <is>
          <t>East</t>
        </is>
      </c>
      <c r="F8788" s="61" t="n">
        <v>1</v>
      </c>
      <c r="G8788" s="62" t="n">
        <v>1385.59</v>
      </c>
      <c r="H8788" s="63" t="n">
        <v>0.118</v>
      </c>
      <c r="I8788" s="62" t="n">
        <v>1087.35</v>
      </c>
      <c r="J8788" s="58" t="inlineStr">
        <is>
          <t>Online</t>
        </is>
      </c>
      <c r="K8788" s="62">
        <f>F8788*(G8788-H8788)</f>
        <v/>
      </c>
      <c r="L8788" s="62">
        <f>K8788-(F8788*I8788)</f>
        <v/>
      </c>
      <c r="M8788" s="64">
        <f>L8788/K8788</f>
        <v/>
      </c>
    </row>
    <row r="8789">
      <c r="A8789" s="58" t="inlineStr">
        <is>
          <t>RT20250808-08788</t>
        </is>
      </c>
      <c r="B8789" s="59" t="inlineStr">
        <is>
          <t>2025-08-08</t>
        </is>
      </c>
      <c r="C8789" s="60" t="inlineStr">
        <is>
          <t>Aurora Household Plus-146</t>
        </is>
      </c>
      <c r="D8789" s="58" t="inlineStr">
        <is>
          <t>Grocery</t>
        </is>
      </c>
      <c r="E8789" s="58" t="inlineStr">
        <is>
          <t>West</t>
        </is>
      </c>
      <c r="F8789" s="61" t="n">
        <v>2</v>
      </c>
      <c r="G8789" s="62" t="n">
        <v>6.07</v>
      </c>
      <c r="H8789" s="63" t="n">
        <v>0.173</v>
      </c>
      <c r="I8789" s="62" t="n">
        <v>4.65</v>
      </c>
      <c r="J8789" s="58" t="inlineStr">
        <is>
          <t>Store</t>
        </is>
      </c>
      <c r="K8789" s="62">
        <f>F8789*(G8789-H8789)</f>
        <v/>
      </c>
      <c r="L8789" s="62">
        <f>K8789-(F8789*I8789)</f>
        <v/>
      </c>
      <c r="M8789" s="64">
        <f>L8789/K8789</f>
        <v/>
      </c>
    </row>
    <row r="8790">
      <c r="A8790" s="58" t="inlineStr">
        <is>
          <t>RT20250808-08789</t>
        </is>
      </c>
      <c r="B8790" s="59" t="inlineStr">
        <is>
          <t>2025-08-08</t>
        </is>
      </c>
      <c r="C8790" s="60" t="inlineStr">
        <is>
          <t>Orion Storage Plus-961</t>
        </is>
      </c>
      <c r="D8790" s="58" t="inlineStr">
        <is>
          <t>Office</t>
        </is>
      </c>
      <c r="E8790" s="58" t="inlineStr">
        <is>
          <t>West</t>
        </is>
      </c>
      <c r="F8790" s="61" t="n">
        <v>2</v>
      </c>
      <c r="G8790" s="62" t="n">
        <v>506.74</v>
      </c>
      <c r="H8790" s="63" t="n">
        <v>0.179</v>
      </c>
      <c r="I8790" s="62" t="n">
        <v>365.56</v>
      </c>
      <c r="J8790" s="58" t="inlineStr">
        <is>
          <t>Store</t>
        </is>
      </c>
      <c r="K8790" s="62">
        <f>F8790*(G8790-H8790)</f>
        <v/>
      </c>
      <c r="L8790" s="62">
        <f>K8790-(F8790*I8790)</f>
        <v/>
      </c>
      <c r="M8790" s="64">
        <f>L8790/K8790</f>
        <v/>
      </c>
    </row>
    <row r="8791">
      <c r="A8791" s="58" t="inlineStr">
        <is>
          <t>RT20250808-08790</t>
        </is>
      </c>
      <c r="B8791" s="59" t="inlineStr">
        <is>
          <t>2025-08-08</t>
        </is>
      </c>
      <c r="C8791" s="60" t="inlineStr">
        <is>
          <t>Solace Makeup Pro-214</t>
        </is>
      </c>
      <c r="D8791" s="58" t="inlineStr">
        <is>
          <t>Beauty</t>
        </is>
      </c>
      <c r="E8791" s="58" t="inlineStr">
        <is>
          <t>Central</t>
        </is>
      </c>
      <c r="F8791" s="61" t="n">
        <v>4</v>
      </c>
      <c r="G8791" s="62" t="n">
        <v>99.34999999999999</v>
      </c>
      <c r="H8791" s="63" t="n">
        <v>0.185</v>
      </c>
      <c r="I8791" s="62" t="n">
        <v>68.09999999999999</v>
      </c>
      <c r="J8791" s="58" t="inlineStr">
        <is>
          <t>Online</t>
        </is>
      </c>
      <c r="K8791" s="62">
        <f>F8791*(G8791-H8791)</f>
        <v/>
      </c>
      <c r="L8791" s="62">
        <f>K8791-(F8791*I8791)</f>
        <v/>
      </c>
      <c r="M8791" s="64">
        <f>L8791/K8791</f>
        <v/>
      </c>
    </row>
    <row r="8792">
      <c r="A8792" s="58" t="inlineStr">
        <is>
          <t>RT20250808-08791</t>
        </is>
      </c>
      <c r="B8792" s="59" t="inlineStr">
        <is>
          <t>2025-08-08</t>
        </is>
      </c>
      <c r="C8792" s="60" t="inlineStr">
        <is>
          <t>Polar Decor X-935</t>
        </is>
      </c>
      <c r="D8792" s="58" t="inlineStr">
        <is>
          <t>Home</t>
        </is>
      </c>
      <c r="E8792" s="58" t="inlineStr">
        <is>
          <t>North</t>
        </is>
      </c>
      <c r="F8792" s="61" t="n">
        <v>3</v>
      </c>
      <c r="G8792" s="62" t="n">
        <v>291.42</v>
      </c>
      <c r="H8792" s="63" t="n">
        <v>0.167</v>
      </c>
      <c r="I8792" s="62" t="n">
        <v>198.66</v>
      </c>
      <c r="J8792" s="58" t="inlineStr">
        <is>
          <t>Phone</t>
        </is>
      </c>
      <c r="K8792" s="62">
        <f>F8792*(G8792-H8792)</f>
        <v/>
      </c>
      <c r="L8792" s="62">
        <f>K8792-(F8792*I8792)</f>
        <v/>
      </c>
      <c r="M8792" s="64">
        <f>L8792/K8792</f>
        <v/>
      </c>
    </row>
    <row r="8793">
      <c r="A8793" s="58" t="inlineStr">
        <is>
          <t>RT20250808-08792</t>
        </is>
      </c>
      <c r="B8793" s="59" t="inlineStr">
        <is>
          <t>2025-08-08</t>
        </is>
      </c>
      <c r="C8793" s="60" t="inlineStr">
        <is>
          <t>Aurora Outdoor Pro-467</t>
        </is>
      </c>
      <c r="D8793" s="58" t="inlineStr">
        <is>
          <t>Sports</t>
        </is>
      </c>
      <c r="E8793" s="58" t="inlineStr">
        <is>
          <t>South</t>
        </is>
      </c>
      <c r="F8793" s="61" t="n">
        <v>2</v>
      </c>
      <c r="G8793" s="62" t="n">
        <v>255.31</v>
      </c>
      <c r="H8793" s="63" t="n">
        <v>0.156</v>
      </c>
      <c r="I8793" s="62" t="n">
        <v>194.5</v>
      </c>
      <c r="J8793" s="58" t="inlineStr">
        <is>
          <t>Online</t>
        </is>
      </c>
      <c r="K8793" s="62">
        <f>F8793*(G8793-H8793)</f>
        <v/>
      </c>
      <c r="L8793" s="62">
        <f>K8793-(F8793*I8793)</f>
        <v/>
      </c>
      <c r="M8793" s="64">
        <f>L8793/K8793</f>
        <v/>
      </c>
    </row>
    <row r="8794">
      <c r="A8794" s="58" t="inlineStr">
        <is>
          <t>RT20250808-08793</t>
        </is>
      </c>
      <c r="B8794" s="59" t="inlineStr">
        <is>
          <t>2025-08-08</t>
        </is>
      </c>
      <c r="C8794" s="60" t="inlineStr">
        <is>
          <t>Polar Wearable X-119</t>
        </is>
      </c>
      <c r="D8794" s="58" t="inlineStr">
        <is>
          <t>Electronics</t>
        </is>
      </c>
      <c r="E8794" s="58" t="inlineStr">
        <is>
          <t>Central</t>
        </is>
      </c>
      <c r="F8794" s="61" t="n">
        <v>2</v>
      </c>
      <c r="G8794" s="62" t="n">
        <v>1653.59</v>
      </c>
      <c r="H8794" s="63" t="n">
        <v>0.15</v>
      </c>
      <c r="I8794" s="62" t="n">
        <v>1309.09</v>
      </c>
      <c r="J8794" s="58" t="inlineStr">
        <is>
          <t>Online</t>
        </is>
      </c>
      <c r="K8794" s="62">
        <f>F8794*(G8794-H8794)</f>
        <v/>
      </c>
      <c r="L8794" s="62">
        <f>K8794-(F8794*I8794)</f>
        <v/>
      </c>
      <c r="M8794" s="64">
        <f>L8794/K8794</f>
        <v/>
      </c>
    </row>
    <row r="8795">
      <c r="A8795" s="58" t="inlineStr">
        <is>
          <t>RT20250808-08794</t>
        </is>
      </c>
      <c r="B8795" s="59" t="inlineStr">
        <is>
          <t>2025-08-08</t>
        </is>
      </c>
      <c r="C8795" s="60" t="inlineStr">
        <is>
          <t>Polar Beverage S-258</t>
        </is>
      </c>
      <c r="D8795" s="58" t="inlineStr">
        <is>
          <t>Grocery</t>
        </is>
      </c>
      <c r="E8795" s="58" t="inlineStr">
        <is>
          <t>South</t>
        </is>
      </c>
      <c r="F8795" s="61" t="n">
        <v>2</v>
      </c>
      <c r="G8795" s="62" t="n">
        <v>12.49</v>
      </c>
      <c r="H8795" s="63" t="n">
        <v>0.09</v>
      </c>
      <c r="I8795" s="62" t="n">
        <v>9.74</v>
      </c>
      <c r="J8795" s="58" t="inlineStr">
        <is>
          <t>Online</t>
        </is>
      </c>
      <c r="K8795" s="62">
        <f>F8795*(G8795-H8795)</f>
        <v/>
      </c>
      <c r="L8795" s="62">
        <f>K8795-(F8795*I8795)</f>
        <v/>
      </c>
      <c r="M8795" s="64">
        <f>L8795/K8795</f>
        <v/>
      </c>
    </row>
    <row r="8796">
      <c r="A8796" s="58" t="inlineStr">
        <is>
          <t>RT20250808-08795</t>
        </is>
      </c>
      <c r="B8796" s="59" t="inlineStr">
        <is>
          <t>2025-08-08</t>
        </is>
      </c>
      <c r="C8796" s="60" t="inlineStr">
        <is>
          <t>Nimbus Headphone X-854</t>
        </is>
      </c>
      <c r="D8796" s="58" t="inlineStr">
        <is>
          <t>Electronics</t>
        </is>
      </c>
      <c r="E8796" s="58" t="inlineStr">
        <is>
          <t>Central</t>
        </is>
      </c>
      <c r="F8796" s="61" t="n">
        <v>1</v>
      </c>
      <c r="G8796" s="62" t="n">
        <v>1645.58</v>
      </c>
      <c r="H8796" s="63" t="n">
        <v>0.161</v>
      </c>
      <c r="I8796" s="62" t="n">
        <v>1229.86</v>
      </c>
      <c r="J8796" s="58" t="inlineStr">
        <is>
          <t>Store</t>
        </is>
      </c>
      <c r="K8796" s="62">
        <f>F8796*(G8796-H8796)</f>
        <v/>
      </c>
      <c r="L8796" s="62">
        <f>K8796-(F8796*I8796)</f>
        <v/>
      </c>
      <c r="M8796" s="64">
        <f>L8796/K8796</f>
        <v/>
      </c>
    </row>
    <row r="8797">
      <c r="A8797" s="58" t="inlineStr">
        <is>
          <t>RT20250809-08796</t>
        </is>
      </c>
      <c r="B8797" s="59" t="inlineStr">
        <is>
          <t>2025-08-09</t>
        </is>
      </c>
      <c r="C8797" s="60" t="inlineStr">
        <is>
          <t>Orion Kitchen Pro-568</t>
        </is>
      </c>
      <c r="D8797" s="58" t="inlineStr">
        <is>
          <t>Home</t>
        </is>
      </c>
      <c r="E8797" s="58" t="inlineStr">
        <is>
          <t>East</t>
        </is>
      </c>
      <c r="F8797" s="61" t="n">
        <v>3</v>
      </c>
      <c r="G8797" s="62" t="n">
        <v>466.04</v>
      </c>
      <c r="H8797" s="63" t="n">
        <v>0.204</v>
      </c>
      <c r="I8797" s="62" t="n">
        <v>313.42</v>
      </c>
      <c r="J8797" s="58" t="inlineStr">
        <is>
          <t>Online</t>
        </is>
      </c>
      <c r="K8797" s="62">
        <f>F8797*(G8797-H8797)</f>
        <v/>
      </c>
      <c r="L8797" s="62">
        <f>K8797-(F8797*I8797)</f>
        <v/>
      </c>
      <c r="M8797" s="64">
        <f>L8797/K8797</f>
        <v/>
      </c>
    </row>
    <row r="8798">
      <c r="A8798" s="58" t="inlineStr">
        <is>
          <t>RT20250809-08797</t>
        </is>
      </c>
      <c r="B8798" s="59" t="inlineStr">
        <is>
          <t>2025-08-09</t>
        </is>
      </c>
      <c r="C8798" s="60" t="inlineStr">
        <is>
          <t>Orion Men X-928</t>
        </is>
      </c>
      <c r="D8798" s="58" t="inlineStr">
        <is>
          <t>Apparel</t>
        </is>
      </c>
      <c r="E8798" s="58" t="inlineStr">
        <is>
          <t>West</t>
        </is>
      </c>
      <c r="F8798" s="61" t="n">
        <v>4</v>
      </c>
      <c r="G8798" s="62" t="n">
        <v>115.1</v>
      </c>
      <c r="H8798" s="63" t="n">
        <v>0.147</v>
      </c>
      <c r="I8798" s="62" t="n">
        <v>62.76</v>
      </c>
      <c r="J8798" s="58" t="inlineStr">
        <is>
          <t>Store</t>
        </is>
      </c>
      <c r="K8798" s="62">
        <f>F8798*(G8798-H8798)</f>
        <v/>
      </c>
      <c r="L8798" s="62">
        <f>K8798-(F8798*I8798)</f>
        <v/>
      </c>
      <c r="M8798" s="64">
        <f>L8798/K8798</f>
        <v/>
      </c>
    </row>
    <row r="8799">
      <c r="A8799" s="58" t="inlineStr">
        <is>
          <t>RT20250809-08798</t>
        </is>
      </c>
      <c r="B8799" s="59" t="inlineStr">
        <is>
          <t>2025-08-09</t>
        </is>
      </c>
      <c r="C8799" s="60" t="inlineStr">
        <is>
          <t>Polar Decor Plus-505</t>
        </is>
      </c>
      <c r="D8799" s="58" t="inlineStr">
        <is>
          <t>Home</t>
        </is>
      </c>
      <c r="E8799" s="58" t="inlineStr">
        <is>
          <t>East</t>
        </is>
      </c>
      <c r="F8799" s="61" t="n">
        <v>1</v>
      </c>
      <c r="G8799" s="62" t="n">
        <v>324.94</v>
      </c>
      <c r="H8799" s="63" t="n">
        <v>0.174</v>
      </c>
      <c r="I8799" s="62" t="n">
        <v>201.29</v>
      </c>
      <c r="J8799" s="58" t="inlineStr">
        <is>
          <t>Store</t>
        </is>
      </c>
      <c r="K8799" s="62">
        <f>F8799*(G8799-H8799)</f>
        <v/>
      </c>
      <c r="L8799" s="62">
        <f>K8799-(F8799*I8799)</f>
        <v/>
      </c>
      <c r="M8799" s="64">
        <f>L8799/K8799</f>
        <v/>
      </c>
    </row>
    <row r="8800">
      <c r="A8800" s="58" t="inlineStr">
        <is>
          <t>RT20250809-08799</t>
        </is>
      </c>
      <c r="B8800" s="59" t="inlineStr">
        <is>
          <t>2025-08-09</t>
        </is>
      </c>
      <c r="C8800" s="60" t="inlineStr">
        <is>
          <t>Orion Kid Max-640</t>
        </is>
      </c>
      <c r="D8800" s="58" t="inlineStr">
        <is>
          <t>Apparel</t>
        </is>
      </c>
      <c r="E8800" s="58" t="inlineStr">
        <is>
          <t>West</t>
        </is>
      </c>
      <c r="F8800" s="61" t="n">
        <v>1</v>
      </c>
      <c r="G8800" s="62" t="n">
        <v>131.66</v>
      </c>
      <c r="H8800" s="63" t="n">
        <v>0.183</v>
      </c>
      <c r="I8800" s="62" t="n">
        <v>70.92</v>
      </c>
      <c r="J8800" s="58" t="inlineStr">
        <is>
          <t>Store</t>
        </is>
      </c>
      <c r="K8800" s="62">
        <f>F8800*(G8800-H8800)</f>
        <v/>
      </c>
      <c r="L8800" s="62">
        <f>K8800-(F8800*I8800)</f>
        <v/>
      </c>
      <c r="M8800" s="64">
        <f>L8800/K8800</f>
        <v/>
      </c>
    </row>
    <row r="8801">
      <c r="A8801" s="58" t="inlineStr">
        <is>
          <t>RT20250809-08800</t>
        </is>
      </c>
      <c r="B8801" s="59" t="inlineStr">
        <is>
          <t>2025-08-09</t>
        </is>
      </c>
      <c r="C8801" s="60" t="inlineStr">
        <is>
          <t>Aurora Makeup Pro-489</t>
        </is>
      </c>
      <c r="D8801" s="58" t="inlineStr">
        <is>
          <t>Beauty</t>
        </is>
      </c>
      <c r="E8801" s="58" t="inlineStr">
        <is>
          <t>West</t>
        </is>
      </c>
      <c r="F8801" s="61" t="n">
        <v>3</v>
      </c>
      <c r="G8801" s="62" t="n">
        <v>97.34999999999999</v>
      </c>
      <c r="H8801" s="63" t="n">
        <v>0.125</v>
      </c>
      <c r="I8801" s="62" t="n">
        <v>61.9</v>
      </c>
      <c r="J8801" s="58" t="inlineStr">
        <is>
          <t>Online</t>
        </is>
      </c>
      <c r="K8801" s="62">
        <f>F8801*(G8801-H8801)</f>
        <v/>
      </c>
      <c r="L8801" s="62">
        <f>K8801-(F8801*I8801)</f>
        <v/>
      </c>
      <c r="M8801" s="64">
        <f>L8801/K8801</f>
        <v/>
      </c>
    </row>
    <row r="8802">
      <c r="A8802" s="58" t="inlineStr">
        <is>
          <t>RT20250809-08801</t>
        </is>
      </c>
      <c r="B8802" s="59" t="inlineStr">
        <is>
          <t>2025-08-09</t>
        </is>
      </c>
      <c r="C8802" s="60" t="inlineStr">
        <is>
          <t>Orion Storage Plus-961</t>
        </is>
      </c>
      <c r="D8802" s="58" t="inlineStr">
        <is>
          <t>Office</t>
        </is>
      </c>
      <c r="E8802" s="58" t="inlineStr">
        <is>
          <t>Central</t>
        </is>
      </c>
      <c r="F8802" s="61" t="n">
        <v>2</v>
      </c>
      <c r="G8802" s="62" t="n">
        <v>517.29</v>
      </c>
      <c r="H8802" s="63" t="n">
        <v>0.109</v>
      </c>
      <c r="I8802" s="62" t="n">
        <v>355.09</v>
      </c>
      <c r="J8802" s="58" t="inlineStr">
        <is>
          <t>Store</t>
        </is>
      </c>
      <c r="K8802" s="62">
        <f>F8802*(G8802-H8802)</f>
        <v/>
      </c>
      <c r="L8802" s="62">
        <f>K8802-(F8802*I8802)</f>
        <v/>
      </c>
      <c r="M8802" s="64">
        <f>L8802/K8802</f>
        <v/>
      </c>
    </row>
    <row r="8803">
      <c r="A8803" s="58" t="inlineStr">
        <is>
          <t>RT20250809-08802</t>
        </is>
      </c>
      <c r="B8803" s="59" t="inlineStr">
        <is>
          <t>2025-08-09</t>
        </is>
      </c>
      <c r="C8803" s="60" t="inlineStr">
        <is>
          <t>Falcon Wearable X-334</t>
        </is>
      </c>
      <c r="D8803" s="58" t="inlineStr">
        <is>
          <t>Electronics</t>
        </is>
      </c>
      <c r="E8803" s="58" t="inlineStr">
        <is>
          <t>East</t>
        </is>
      </c>
      <c r="F8803" s="61" t="n">
        <v>2</v>
      </c>
      <c r="G8803" s="62" t="n">
        <v>1928.94</v>
      </c>
      <c r="H8803" s="63" t="n">
        <v>0.114</v>
      </c>
      <c r="I8803" s="62" t="n">
        <v>1556.52</v>
      </c>
      <c r="J8803" s="58" t="inlineStr">
        <is>
          <t>Online</t>
        </is>
      </c>
      <c r="K8803" s="62">
        <f>F8803*(G8803-H8803)</f>
        <v/>
      </c>
      <c r="L8803" s="62">
        <f>K8803-(F8803*I8803)</f>
        <v/>
      </c>
      <c r="M8803" s="64">
        <f>L8803/K8803</f>
        <v/>
      </c>
    </row>
    <row r="8804">
      <c r="A8804" s="58" t="inlineStr">
        <is>
          <t>RT20250809-08803</t>
        </is>
      </c>
      <c r="B8804" s="59" t="inlineStr">
        <is>
          <t>2025-08-09</t>
        </is>
      </c>
      <c r="C8804" s="60" t="inlineStr">
        <is>
          <t>Vertex Smartphone Lite-267</t>
        </is>
      </c>
      <c r="D8804" s="58" t="inlineStr">
        <is>
          <t>Electronics</t>
        </is>
      </c>
      <c r="E8804" s="58" t="inlineStr">
        <is>
          <t>East</t>
        </is>
      </c>
      <c r="F8804" s="61" t="n">
        <v>1</v>
      </c>
      <c r="G8804" s="62" t="n">
        <v>1306.31</v>
      </c>
      <c r="H8804" s="63" t="n">
        <v>0.08799999999999999</v>
      </c>
      <c r="I8804" s="62" t="n">
        <v>984.4299999999999</v>
      </c>
      <c r="J8804" s="58" t="inlineStr">
        <is>
          <t>Phone</t>
        </is>
      </c>
      <c r="K8804" s="62">
        <f>F8804*(G8804-H8804)</f>
        <v/>
      </c>
      <c r="L8804" s="62">
        <f>K8804-(F8804*I8804)</f>
        <v/>
      </c>
      <c r="M8804" s="64">
        <f>L8804/K8804</f>
        <v/>
      </c>
    </row>
    <row r="8805">
      <c r="A8805" s="58" t="inlineStr">
        <is>
          <t>RT20250809-08804</t>
        </is>
      </c>
      <c r="B8805" s="59" t="inlineStr">
        <is>
          <t>2025-08-09</t>
        </is>
      </c>
      <c r="C8805" s="60" t="inlineStr">
        <is>
          <t>Polar Outdoor Lite-318</t>
        </is>
      </c>
      <c r="D8805" s="58" t="inlineStr">
        <is>
          <t>Sports</t>
        </is>
      </c>
      <c r="E8805" s="58" t="inlineStr">
        <is>
          <t>North</t>
        </is>
      </c>
      <c r="F8805" s="61" t="n">
        <v>3</v>
      </c>
      <c r="G8805" s="62" t="n">
        <v>736.17</v>
      </c>
      <c r="H8805" s="63" t="n">
        <v>0.133</v>
      </c>
      <c r="I8805" s="62" t="n">
        <v>454.88</v>
      </c>
      <c r="J8805" s="58" t="inlineStr">
        <is>
          <t>Online</t>
        </is>
      </c>
      <c r="K8805" s="62">
        <f>F8805*(G8805-H8805)</f>
        <v/>
      </c>
      <c r="L8805" s="62">
        <f>K8805-(F8805*I8805)</f>
        <v/>
      </c>
      <c r="M8805" s="64">
        <f>L8805/K8805</f>
        <v/>
      </c>
    </row>
    <row r="8806">
      <c r="A8806" s="58" t="inlineStr">
        <is>
          <t>RT20250809-08805</t>
        </is>
      </c>
      <c r="B8806" s="59" t="inlineStr">
        <is>
          <t>2025-08-09</t>
        </is>
      </c>
      <c r="C8806" s="60" t="inlineStr">
        <is>
          <t>Nimbus Laptop Max-652</t>
        </is>
      </c>
      <c r="D8806" s="58" t="inlineStr">
        <is>
          <t>Electronics</t>
        </is>
      </c>
      <c r="E8806" s="58" t="inlineStr">
        <is>
          <t>West</t>
        </is>
      </c>
      <c r="F8806" s="61" t="n">
        <v>2</v>
      </c>
      <c r="G8806" s="62" t="n">
        <v>1416.64</v>
      </c>
      <c r="H8806" s="63" t="n">
        <v>0.156</v>
      </c>
      <c r="I8806" s="62" t="n">
        <v>1048.79</v>
      </c>
      <c r="J8806" s="58" t="inlineStr">
        <is>
          <t>Online</t>
        </is>
      </c>
      <c r="K8806" s="62">
        <f>F8806*(G8806-H8806)</f>
        <v/>
      </c>
      <c r="L8806" s="62">
        <f>K8806-(F8806*I8806)</f>
        <v/>
      </c>
      <c r="M8806" s="64">
        <f>L8806/K8806</f>
        <v/>
      </c>
    </row>
    <row r="8807">
      <c r="A8807" s="58" t="inlineStr">
        <is>
          <t>RT20250809-08806</t>
        </is>
      </c>
      <c r="B8807" s="59" t="inlineStr">
        <is>
          <t>2025-08-09</t>
        </is>
      </c>
      <c r="C8807" s="60" t="inlineStr">
        <is>
          <t>Vertex Skincare Pro-891</t>
        </is>
      </c>
      <c r="D8807" s="58" t="inlineStr">
        <is>
          <t>Beauty</t>
        </is>
      </c>
      <c r="E8807" s="58" t="inlineStr">
        <is>
          <t>North</t>
        </is>
      </c>
      <c r="F8807" s="61" t="n">
        <v>1</v>
      </c>
      <c r="G8807" s="62" t="n">
        <v>152.05</v>
      </c>
      <c r="H8807" s="63" t="n">
        <v>0.149</v>
      </c>
      <c r="I8807" s="62" t="n">
        <v>90.72</v>
      </c>
      <c r="J8807" s="58" t="inlineStr">
        <is>
          <t>Store</t>
        </is>
      </c>
      <c r="K8807" s="62">
        <f>F8807*(G8807-H8807)</f>
        <v/>
      </c>
      <c r="L8807" s="62">
        <f>K8807-(F8807*I8807)</f>
        <v/>
      </c>
      <c r="M8807" s="64">
        <f>L8807/K8807</f>
        <v/>
      </c>
    </row>
    <row r="8808">
      <c r="A8808" s="58" t="inlineStr">
        <is>
          <t>RT20250809-08807</t>
        </is>
      </c>
      <c r="B8808" s="59" t="inlineStr">
        <is>
          <t>2025-08-09</t>
        </is>
      </c>
      <c r="C8808" s="60" t="inlineStr">
        <is>
          <t>Vertex Appliance Max-338</t>
        </is>
      </c>
      <c r="D8808" s="58" t="inlineStr">
        <is>
          <t>Home</t>
        </is>
      </c>
      <c r="E8808" s="58" t="inlineStr">
        <is>
          <t>North</t>
        </is>
      </c>
      <c r="F8808" s="61" t="n">
        <v>2</v>
      </c>
      <c r="G8808" s="62" t="n">
        <v>424.82</v>
      </c>
      <c r="H8808" s="63" t="n">
        <v>0.131</v>
      </c>
      <c r="I8808" s="62" t="n">
        <v>288.14</v>
      </c>
      <c r="J8808" s="58" t="inlineStr">
        <is>
          <t>Online</t>
        </is>
      </c>
      <c r="K8808" s="62">
        <f>F8808*(G8808-H8808)</f>
        <v/>
      </c>
      <c r="L8808" s="62">
        <f>K8808-(F8808*I8808)</f>
        <v/>
      </c>
      <c r="M8808" s="64">
        <f>L8808/K8808</f>
        <v/>
      </c>
    </row>
    <row r="8809">
      <c r="A8809" s="58" t="inlineStr">
        <is>
          <t>RT20250809-08808</t>
        </is>
      </c>
      <c r="B8809" s="59" t="inlineStr">
        <is>
          <t>2025-08-09</t>
        </is>
      </c>
      <c r="C8809" s="60" t="inlineStr">
        <is>
          <t>Solace Fitnes S-324</t>
        </is>
      </c>
      <c r="D8809" s="58" t="inlineStr">
        <is>
          <t>Sports</t>
        </is>
      </c>
      <c r="E8809" s="58" t="inlineStr">
        <is>
          <t>East</t>
        </is>
      </c>
      <c r="F8809" s="61" t="n">
        <v>3</v>
      </c>
      <c r="G8809" s="62" t="n">
        <v>766.1</v>
      </c>
      <c r="H8809" s="63" t="n">
        <v>0.124</v>
      </c>
      <c r="I8809" s="62" t="n">
        <v>514.95</v>
      </c>
      <c r="J8809" s="58" t="inlineStr">
        <is>
          <t>Online</t>
        </is>
      </c>
      <c r="K8809" s="62">
        <f>F8809*(G8809-H8809)</f>
        <v/>
      </c>
      <c r="L8809" s="62">
        <f>K8809-(F8809*I8809)</f>
        <v/>
      </c>
      <c r="M8809" s="64">
        <f>L8809/K8809</f>
        <v/>
      </c>
    </row>
    <row r="8810">
      <c r="A8810" s="58" t="inlineStr">
        <is>
          <t>RT20250809-08809</t>
        </is>
      </c>
      <c r="B8810" s="59" t="inlineStr">
        <is>
          <t>2025-08-09</t>
        </is>
      </c>
      <c r="C8810" s="60" t="inlineStr">
        <is>
          <t>Falcon Team Sport Lite-268</t>
        </is>
      </c>
      <c r="D8810" s="58" t="inlineStr">
        <is>
          <t>Sports</t>
        </is>
      </c>
      <c r="E8810" s="58" t="inlineStr">
        <is>
          <t>East</t>
        </is>
      </c>
      <c r="F8810" s="61" t="n">
        <v>1</v>
      </c>
      <c r="G8810" s="62" t="n">
        <v>609.86</v>
      </c>
      <c r="H8810" s="63" t="n">
        <v>0.147</v>
      </c>
      <c r="I8810" s="62" t="n">
        <v>436.25</v>
      </c>
      <c r="J8810" s="58" t="inlineStr">
        <is>
          <t>Store</t>
        </is>
      </c>
      <c r="K8810" s="62">
        <f>F8810*(G8810-H8810)</f>
        <v/>
      </c>
      <c r="L8810" s="62">
        <f>K8810-(F8810*I8810)</f>
        <v/>
      </c>
      <c r="M8810" s="64">
        <f>L8810/K8810</f>
        <v/>
      </c>
    </row>
    <row r="8811">
      <c r="A8811" s="58" t="inlineStr">
        <is>
          <t>RT20250809-08810</t>
        </is>
      </c>
      <c r="B8811" s="59" t="inlineStr">
        <is>
          <t>2025-08-09</t>
        </is>
      </c>
      <c r="C8811" s="60" t="inlineStr">
        <is>
          <t>Nimbus Decor Lite-385</t>
        </is>
      </c>
      <c r="D8811" s="58" t="inlineStr">
        <is>
          <t>Home</t>
        </is>
      </c>
      <c r="E8811" s="58" t="inlineStr">
        <is>
          <t>South</t>
        </is>
      </c>
      <c r="F8811" s="61" t="n">
        <v>3</v>
      </c>
      <c r="G8811" s="62" t="n">
        <v>526.15</v>
      </c>
      <c r="H8811" s="63" t="n">
        <v>0.191</v>
      </c>
      <c r="I8811" s="62" t="n">
        <v>407.95</v>
      </c>
      <c r="J8811" s="58" t="inlineStr">
        <is>
          <t>Store</t>
        </is>
      </c>
      <c r="K8811" s="62">
        <f>F8811*(G8811-H8811)</f>
        <v/>
      </c>
      <c r="L8811" s="62">
        <f>K8811-(F8811*I8811)</f>
        <v/>
      </c>
      <c r="M8811" s="64">
        <f>L8811/K8811</f>
        <v/>
      </c>
    </row>
    <row r="8812">
      <c r="A8812" s="58" t="inlineStr">
        <is>
          <t>RT20250809-08811</t>
        </is>
      </c>
      <c r="B8812" s="59" t="inlineStr">
        <is>
          <t>2025-08-09</t>
        </is>
      </c>
      <c r="C8812" s="60" t="inlineStr">
        <is>
          <t>Solace Makeup Pro-214</t>
        </is>
      </c>
      <c r="D8812" s="58" t="inlineStr">
        <is>
          <t>Beauty</t>
        </is>
      </c>
      <c r="E8812" s="58" t="inlineStr">
        <is>
          <t>East</t>
        </is>
      </c>
      <c r="F8812" s="61" t="n">
        <v>1</v>
      </c>
      <c r="G8812" s="62" t="n">
        <v>104.43</v>
      </c>
      <c r="H8812" s="63" t="n">
        <v>0.129</v>
      </c>
      <c r="I8812" s="62" t="n">
        <v>67.25</v>
      </c>
      <c r="J8812" s="58" t="inlineStr">
        <is>
          <t>Online</t>
        </is>
      </c>
      <c r="K8812" s="62">
        <f>F8812*(G8812-H8812)</f>
        <v/>
      </c>
      <c r="L8812" s="62">
        <f>K8812-(F8812*I8812)</f>
        <v/>
      </c>
      <c r="M8812" s="64">
        <f>L8812/K8812</f>
        <v/>
      </c>
    </row>
    <row r="8813">
      <c r="A8813" s="58" t="inlineStr">
        <is>
          <t>RT20250809-08812</t>
        </is>
      </c>
      <c r="B8813" s="59" t="inlineStr">
        <is>
          <t>2025-08-09</t>
        </is>
      </c>
      <c r="C8813" s="60" t="inlineStr">
        <is>
          <t>Falcon Furniture Plus-839</t>
        </is>
      </c>
      <c r="D8813" s="58" t="inlineStr">
        <is>
          <t>Office</t>
        </is>
      </c>
      <c r="E8813" s="58" t="inlineStr">
        <is>
          <t>South</t>
        </is>
      </c>
      <c r="F8813" s="61" t="n">
        <v>3</v>
      </c>
      <c r="G8813" s="62" t="n">
        <v>343.86</v>
      </c>
      <c r="H8813" s="63" t="n">
        <v>0.131</v>
      </c>
      <c r="I8813" s="62" t="n">
        <v>233.51</v>
      </c>
      <c r="J8813" s="58" t="inlineStr">
        <is>
          <t>Online</t>
        </is>
      </c>
      <c r="K8813" s="62">
        <f>F8813*(G8813-H8813)</f>
        <v/>
      </c>
      <c r="L8813" s="62">
        <f>K8813-(F8813*I8813)</f>
        <v/>
      </c>
      <c r="M8813" s="64">
        <f>L8813/K8813</f>
        <v/>
      </c>
    </row>
    <row r="8814">
      <c r="A8814" s="58" t="inlineStr">
        <is>
          <t>RT20250809-08813</t>
        </is>
      </c>
      <c r="B8814" s="59" t="inlineStr">
        <is>
          <t>2025-08-09</t>
        </is>
      </c>
      <c r="C8814" s="60" t="inlineStr">
        <is>
          <t>Vertex Supplie X-513</t>
        </is>
      </c>
      <c r="D8814" s="58" t="inlineStr">
        <is>
          <t>Office</t>
        </is>
      </c>
      <c r="E8814" s="58" t="inlineStr">
        <is>
          <t>West</t>
        </is>
      </c>
      <c r="F8814" s="61" t="n">
        <v>2</v>
      </c>
      <c r="G8814" s="62" t="n">
        <v>332.23</v>
      </c>
      <c r="H8814" s="63" t="n">
        <v>0.126</v>
      </c>
      <c r="I8814" s="62" t="n">
        <v>278.15</v>
      </c>
      <c r="J8814" s="58" t="inlineStr">
        <is>
          <t>Online</t>
        </is>
      </c>
      <c r="K8814" s="62">
        <f>F8814*(G8814-H8814)</f>
        <v/>
      </c>
      <c r="L8814" s="62">
        <f>K8814-(F8814*I8814)</f>
        <v/>
      </c>
      <c r="M8814" s="64">
        <f>L8814/K8814</f>
        <v/>
      </c>
    </row>
    <row r="8815">
      <c r="A8815" s="58" t="inlineStr">
        <is>
          <t>RT20250809-08814</t>
        </is>
      </c>
      <c r="B8815" s="59" t="inlineStr">
        <is>
          <t>2025-08-09</t>
        </is>
      </c>
      <c r="C8815" s="60" t="inlineStr">
        <is>
          <t>Falcon Beverage Max-702</t>
        </is>
      </c>
      <c r="D8815" s="58" t="inlineStr">
        <is>
          <t>Grocery</t>
        </is>
      </c>
      <c r="E8815" s="58" t="inlineStr">
        <is>
          <t>East</t>
        </is>
      </c>
      <c r="F8815" s="61" t="n">
        <v>5</v>
      </c>
      <c r="G8815" s="62" t="n">
        <v>26.55</v>
      </c>
      <c r="H8815" s="63" t="n">
        <v>0.136</v>
      </c>
      <c r="I8815" s="62" t="n">
        <v>19.66</v>
      </c>
      <c r="J8815" s="58" t="inlineStr">
        <is>
          <t>Online</t>
        </is>
      </c>
      <c r="K8815" s="62">
        <f>F8815*(G8815-H8815)</f>
        <v/>
      </c>
      <c r="L8815" s="62">
        <f>K8815-(F8815*I8815)</f>
        <v/>
      </c>
      <c r="M8815" s="64">
        <f>L8815/K8815</f>
        <v/>
      </c>
    </row>
    <row r="8816">
      <c r="A8816" s="58" t="inlineStr">
        <is>
          <t>RT20250809-08815</t>
        </is>
      </c>
      <c r="B8816" s="59" t="inlineStr">
        <is>
          <t>2025-08-09</t>
        </is>
      </c>
      <c r="C8816" s="60" t="inlineStr">
        <is>
          <t>Orion Team Sport X-926</t>
        </is>
      </c>
      <c r="D8816" s="58" t="inlineStr">
        <is>
          <t>Sports</t>
        </is>
      </c>
      <c r="E8816" s="58" t="inlineStr">
        <is>
          <t>Central</t>
        </is>
      </c>
      <c r="F8816" s="61" t="n">
        <v>2</v>
      </c>
      <c r="G8816" s="62" t="n">
        <v>316.25</v>
      </c>
      <c r="H8816" s="63" t="n">
        <v>0.181</v>
      </c>
      <c r="I8816" s="62" t="n">
        <v>211.82</v>
      </c>
      <c r="J8816" s="58" t="inlineStr">
        <is>
          <t>Online</t>
        </is>
      </c>
      <c r="K8816" s="62">
        <f>F8816*(G8816-H8816)</f>
        <v/>
      </c>
      <c r="L8816" s="62">
        <f>K8816-(F8816*I8816)</f>
        <v/>
      </c>
      <c r="M8816" s="64">
        <f>L8816/K8816</f>
        <v/>
      </c>
    </row>
    <row r="8817">
      <c r="A8817" s="58" t="inlineStr">
        <is>
          <t>RT20250809-08816</t>
        </is>
      </c>
      <c r="B8817" s="59" t="inlineStr">
        <is>
          <t>2025-08-09</t>
        </is>
      </c>
      <c r="C8817" s="60" t="inlineStr">
        <is>
          <t>Aurora Smartphone Plus-125</t>
        </is>
      </c>
      <c r="D8817" s="58" t="inlineStr">
        <is>
          <t>Electronics</t>
        </is>
      </c>
      <c r="E8817" s="58" t="inlineStr">
        <is>
          <t>South</t>
        </is>
      </c>
      <c r="F8817" s="61" t="n">
        <v>2</v>
      </c>
      <c r="G8817" s="62" t="n">
        <v>1807.99</v>
      </c>
      <c r="H8817" s="63" t="n">
        <v>0.145</v>
      </c>
      <c r="I8817" s="62" t="n">
        <v>1211.72</v>
      </c>
      <c r="J8817" s="58" t="inlineStr">
        <is>
          <t>Store</t>
        </is>
      </c>
      <c r="K8817" s="62">
        <f>F8817*(G8817-H8817)</f>
        <v/>
      </c>
      <c r="L8817" s="62">
        <f>K8817-(F8817*I8817)</f>
        <v/>
      </c>
      <c r="M8817" s="64">
        <f>L8817/K8817</f>
        <v/>
      </c>
    </row>
    <row r="8818">
      <c r="A8818" s="58" t="inlineStr">
        <is>
          <t>RT20250809-08817</t>
        </is>
      </c>
      <c r="B8818" s="59" t="inlineStr">
        <is>
          <t>2025-08-09</t>
        </is>
      </c>
      <c r="C8818" s="60" t="inlineStr">
        <is>
          <t>Falcon Wearable X-334</t>
        </is>
      </c>
      <c r="D8818" s="58" t="inlineStr">
        <is>
          <t>Electronics</t>
        </is>
      </c>
      <c r="E8818" s="58" t="inlineStr">
        <is>
          <t>Central</t>
        </is>
      </c>
      <c r="F8818" s="61" t="n">
        <v>2</v>
      </c>
      <c r="G8818" s="62" t="n">
        <v>2040.83</v>
      </c>
      <c r="H8818" s="63" t="n">
        <v>0.176</v>
      </c>
      <c r="I8818" s="62" t="n">
        <v>1542.01</v>
      </c>
      <c r="J8818" s="58" t="inlineStr">
        <is>
          <t>Store</t>
        </is>
      </c>
      <c r="K8818" s="62">
        <f>F8818*(G8818-H8818)</f>
        <v/>
      </c>
      <c r="L8818" s="62">
        <f>K8818-(F8818*I8818)</f>
        <v/>
      </c>
      <c r="M8818" s="64">
        <f>L8818/K8818</f>
        <v/>
      </c>
    </row>
    <row r="8819">
      <c r="A8819" s="58" t="inlineStr">
        <is>
          <t>RT20250809-08818</t>
        </is>
      </c>
      <c r="B8819" s="59" t="inlineStr">
        <is>
          <t>2025-08-09</t>
        </is>
      </c>
      <c r="C8819" s="60" t="inlineStr">
        <is>
          <t>Orion Beverage Plus-949</t>
        </is>
      </c>
      <c r="D8819" s="58" t="inlineStr">
        <is>
          <t>Grocery</t>
        </is>
      </c>
      <c r="E8819" s="58" t="inlineStr">
        <is>
          <t>South</t>
        </is>
      </c>
      <c r="F8819" s="61" t="n">
        <v>8</v>
      </c>
      <c r="G8819" s="62" t="n">
        <v>18.36</v>
      </c>
      <c r="H8819" s="63" t="n">
        <v>0.128</v>
      </c>
      <c r="I8819" s="62" t="n">
        <v>13.62</v>
      </c>
      <c r="J8819" s="58" t="inlineStr">
        <is>
          <t>Online</t>
        </is>
      </c>
      <c r="K8819" s="62">
        <f>F8819*(G8819-H8819)</f>
        <v/>
      </c>
      <c r="L8819" s="62">
        <f>K8819-(F8819*I8819)</f>
        <v/>
      </c>
      <c r="M8819" s="64">
        <f>L8819/K8819</f>
        <v/>
      </c>
    </row>
    <row r="8820">
      <c r="A8820" s="58" t="inlineStr">
        <is>
          <t>RT20250809-08819</t>
        </is>
      </c>
      <c r="B8820" s="59" t="inlineStr">
        <is>
          <t>2025-08-09</t>
        </is>
      </c>
      <c r="C8820" s="60" t="inlineStr">
        <is>
          <t>Nimbus Storage Plus-646</t>
        </is>
      </c>
      <c r="D8820" s="58" t="inlineStr">
        <is>
          <t>Office</t>
        </is>
      </c>
      <c r="E8820" s="58" t="inlineStr">
        <is>
          <t>East</t>
        </is>
      </c>
      <c r="F8820" s="61" t="n">
        <v>1</v>
      </c>
      <c r="G8820" s="62" t="n">
        <v>460.95</v>
      </c>
      <c r="H8820" s="63" t="n">
        <v>0.144</v>
      </c>
      <c r="I8820" s="62" t="n">
        <v>317.4</v>
      </c>
      <c r="J8820" s="58" t="inlineStr">
        <is>
          <t>Store</t>
        </is>
      </c>
      <c r="K8820" s="62">
        <f>F8820*(G8820-H8820)</f>
        <v/>
      </c>
      <c r="L8820" s="62">
        <f>K8820-(F8820*I8820)</f>
        <v/>
      </c>
      <c r="M8820" s="64">
        <f>L8820/K8820</f>
        <v/>
      </c>
    </row>
    <row r="8821">
      <c r="A8821" s="58" t="inlineStr">
        <is>
          <t>RT20250809-08820</t>
        </is>
      </c>
      <c r="B8821" s="59" t="inlineStr">
        <is>
          <t>2025-08-09</t>
        </is>
      </c>
      <c r="C8821" s="60" t="inlineStr">
        <is>
          <t>Aurora Fitnes Lite-194</t>
        </is>
      </c>
      <c r="D8821" s="58" t="inlineStr">
        <is>
          <t>Sports</t>
        </is>
      </c>
      <c r="E8821" s="58" t="inlineStr">
        <is>
          <t>West</t>
        </is>
      </c>
      <c r="F8821" s="61" t="n">
        <v>2</v>
      </c>
      <c r="G8821" s="62" t="n">
        <v>591.89</v>
      </c>
      <c r="H8821" s="63" t="n">
        <v>0.068</v>
      </c>
      <c r="I8821" s="62" t="n">
        <v>470.12</v>
      </c>
      <c r="J8821" s="58" t="inlineStr">
        <is>
          <t>Online</t>
        </is>
      </c>
      <c r="K8821" s="62">
        <f>F8821*(G8821-H8821)</f>
        <v/>
      </c>
      <c r="L8821" s="62">
        <f>K8821-(F8821*I8821)</f>
        <v/>
      </c>
      <c r="M8821" s="64">
        <f>L8821/K8821</f>
        <v/>
      </c>
    </row>
    <row r="8822">
      <c r="A8822" s="58" t="inlineStr">
        <is>
          <t>RT20250809-08821</t>
        </is>
      </c>
      <c r="B8822" s="59" t="inlineStr">
        <is>
          <t>2025-08-09</t>
        </is>
      </c>
      <c r="C8822" s="60" t="inlineStr">
        <is>
          <t>Solace Kid S-384</t>
        </is>
      </c>
      <c r="D8822" s="58" t="inlineStr">
        <is>
          <t>Apparel</t>
        </is>
      </c>
      <c r="E8822" s="58" t="inlineStr">
        <is>
          <t>Central</t>
        </is>
      </c>
      <c r="F8822" s="61" t="n">
        <v>3</v>
      </c>
      <c r="G8822" s="62" t="n">
        <v>111.39</v>
      </c>
      <c r="H8822" s="63" t="n">
        <v>0.123</v>
      </c>
      <c r="I8822" s="62" t="n">
        <v>61.9</v>
      </c>
      <c r="J8822" s="58" t="inlineStr">
        <is>
          <t>Online</t>
        </is>
      </c>
      <c r="K8822" s="62">
        <f>F8822*(G8822-H8822)</f>
        <v/>
      </c>
      <c r="L8822" s="62">
        <f>K8822-(F8822*I8822)</f>
        <v/>
      </c>
      <c r="M8822" s="64">
        <f>L8822/K8822</f>
        <v/>
      </c>
    </row>
    <row r="8823">
      <c r="A8823" s="58" t="inlineStr">
        <is>
          <t>RT20250809-08822</t>
        </is>
      </c>
      <c r="B8823" s="59" t="inlineStr">
        <is>
          <t>2025-08-09</t>
        </is>
      </c>
      <c r="C8823" s="60" t="inlineStr">
        <is>
          <t>Metro Pantry Max-180</t>
        </is>
      </c>
      <c r="D8823" s="58" t="inlineStr">
        <is>
          <t>Grocery</t>
        </is>
      </c>
      <c r="E8823" s="58" t="inlineStr">
        <is>
          <t>East</t>
        </is>
      </c>
      <c r="F8823" s="61" t="n">
        <v>5</v>
      </c>
      <c r="G8823" s="62" t="n">
        <v>9.34</v>
      </c>
      <c r="H8823" s="63" t="n">
        <v>0.127</v>
      </c>
      <c r="I8823" s="62" t="n">
        <v>6.76</v>
      </c>
      <c r="J8823" s="58" t="inlineStr">
        <is>
          <t>Online</t>
        </is>
      </c>
      <c r="K8823" s="62">
        <f>F8823*(G8823-H8823)</f>
        <v/>
      </c>
      <c r="L8823" s="62">
        <f>K8823-(F8823*I8823)</f>
        <v/>
      </c>
      <c r="M8823" s="64">
        <f>L8823/K8823</f>
        <v/>
      </c>
    </row>
    <row r="8824">
      <c r="A8824" s="58" t="inlineStr">
        <is>
          <t>RT20250809-08823</t>
        </is>
      </c>
      <c r="B8824" s="59" t="inlineStr">
        <is>
          <t>2025-08-09</t>
        </is>
      </c>
      <c r="C8824" s="60" t="inlineStr">
        <is>
          <t>Falcon Haircare Pro-980</t>
        </is>
      </c>
      <c r="D8824" s="58" t="inlineStr">
        <is>
          <t>Beauty</t>
        </is>
      </c>
      <c r="E8824" s="58" t="inlineStr">
        <is>
          <t>South</t>
        </is>
      </c>
      <c r="F8824" s="61" t="n">
        <v>2</v>
      </c>
      <c r="G8824" s="62" t="n">
        <v>91.19</v>
      </c>
      <c r="H8824" s="63" t="n">
        <v>0.169</v>
      </c>
      <c r="I8824" s="62" t="n">
        <v>55.91</v>
      </c>
      <c r="J8824" s="58" t="inlineStr">
        <is>
          <t>Store</t>
        </is>
      </c>
      <c r="K8824" s="62">
        <f>F8824*(G8824-H8824)</f>
        <v/>
      </c>
      <c r="L8824" s="62">
        <f>K8824-(F8824*I8824)</f>
        <v/>
      </c>
      <c r="M8824" s="64">
        <f>L8824/K8824</f>
        <v/>
      </c>
    </row>
    <row r="8825">
      <c r="A8825" s="58" t="inlineStr">
        <is>
          <t>RT20250809-08824</t>
        </is>
      </c>
      <c r="B8825" s="59" t="inlineStr">
        <is>
          <t>2025-08-09</t>
        </is>
      </c>
      <c r="C8825" s="60" t="inlineStr">
        <is>
          <t>Aurora Outdoor Pro-467</t>
        </is>
      </c>
      <c r="D8825" s="58" t="inlineStr">
        <is>
          <t>Sports</t>
        </is>
      </c>
      <c r="E8825" s="58" t="inlineStr">
        <is>
          <t>Central</t>
        </is>
      </c>
      <c r="F8825" s="61" t="n">
        <v>3</v>
      </c>
      <c r="G8825" s="62" t="n">
        <v>274.76</v>
      </c>
      <c r="H8825" s="63" t="n">
        <v>0.173</v>
      </c>
      <c r="I8825" s="62" t="n">
        <v>191.29</v>
      </c>
      <c r="J8825" s="58" t="inlineStr">
        <is>
          <t>Online</t>
        </is>
      </c>
      <c r="K8825" s="62">
        <f>F8825*(G8825-H8825)</f>
        <v/>
      </c>
      <c r="L8825" s="62">
        <f>K8825-(F8825*I8825)</f>
        <v/>
      </c>
      <c r="M8825" s="64">
        <f>L8825/K8825</f>
        <v/>
      </c>
    </row>
    <row r="8826">
      <c r="A8826" s="58" t="inlineStr">
        <is>
          <t>RT20250809-08825</t>
        </is>
      </c>
      <c r="B8826" s="59" t="inlineStr">
        <is>
          <t>2025-08-09</t>
        </is>
      </c>
      <c r="C8826" s="60" t="inlineStr">
        <is>
          <t>Vertex Decor Pro-618</t>
        </is>
      </c>
      <c r="D8826" s="58" t="inlineStr">
        <is>
          <t>Home</t>
        </is>
      </c>
      <c r="E8826" s="58" t="inlineStr">
        <is>
          <t>West</t>
        </is>
      </c>
      <c r="F8826" s="61" t="n">
        <v>1</v>
      </c>
      <c r="G8826" s="62" t="n">
        <v>542.47</v>
      </c>
      <c r="H8826" s="63" t="n">
        <v>0.166</v>
      </c>
      <c r="I8826" s="62" t="n">
        <v>378.74</v>
      </c>
      <c r="J8826" s="58" t="inlineStr">
        <is>
          <t>Store</t>
        </is>
      </c>
      <c r="K8826" s="62">
        <f>F8826*(G8826-H8826)</f>
        <v/>
      </c>
      <c r="L8826" s="62">
        <f>K8826-(F8826*I8826)</f>
        <v/>
      </c>
      <c r="M8826" s="64">
        <f>L8826/K8826</f>
        <v/>
      </c>
    </row>
    <row r="8827">
      <c r="A8827" s="58" t="inlineStr">
        <is>
          <t>RT20250809-08826</t>
        </is>
      </c>
      <c r="B8827" s="59" t="inlineStr">
        <is>
          <t>2025-08-09</t>
        </is>
      </c>
      <c r="C8827" s="60" t="inlineStr">
        <is>
          <t>Nimbus Laptop Max-652</t>
        </is>
      </c>
      <c r="D8827" s="58" t="inlineStr">
        <is>
          <t>Electronics</t>
        </is>
      </c>
      <c r="E8827" s="58" t="inlineStr">
        <is>
          <t>North</t>
        </is>
      </c>
      <c r="F8827" s="61" t="n">
        <v>2</v>
      </c>
      <c r="G8827" s="62" t="n">
        <v>1353.38</v>
      </c>
      <c r="H8827" s="63" t="n">
        <v>0.171</v>
      </c>
      <c r="I8827" s="62" t="n">
        <v>1020.92</v>
      </c>
      <c r="J8827" s="58" t="inlineStr">
        <is>
          <t>Online</t>
        </is>
      </c>
      <c r="K8827" s="62">
        <f>F8827*(G8827-H8827)</f>
        <v/>
      </c>
      <c r="L8827" s="62">
        <f>K8827-(F8827*I8827)</f>
        <v/>
      </c>
      <c r="M8827" s="64">
        <f>L8827/K8827</f>
        <v/>
      </c>
    </row>
    <row r="8828">
      <c r="A8828" s="58" t="inlineStr">
        <is>
          <t>RT20250809-08827</t>
        </is>
      </c>
      <c r="B8828" s="59" t="inlineStr">
        <is>
          <t>2025-08-09</t>
        </is>
      </c>
      <c r="C8828" s="60" t="inlineStr">
        <is>
          <t>Aurora Printer Plus-723</t>
        </is>
      </c>
      <c r="D8828" s="58" t="inlineStr">
        <is>
          <t>Office</t>
        </is>
      </c>
      <c r="E8828" s="58" t="inlineStr">
        <is>
          <t>East</t>
        </is>
      </c>
      <c r="F8828" s="61" t="n">
        <v>1</v>
      </c>
      <c r="G8828" s="62" t="n">
        <v>272.88</v>
      </c>
      <c r="H8828" s="63" t="n">
        <v>0.156</v>
      </c>
      <c r="I8828" s="62" t="n">
        <v>189.34</v>
      </c>
      <c r="J8828" s="58" t="inlineStr">
        <is>
          <t>Online</t>
        </is>
      </c>
      <c r="K8828" s="62">
        <f>F8828*(G8828-H8828)</f>
        <v/>
      </c>
      <c r="L8828" s="62">
        <f>K8828-(F8828*I8828)</f>
        <v/>
      </c>
      <c r="M8828" s="64">
        <f>L8828/K8828</f>
        <v/>
      </c>
    </row>
    <row r="8829">
      <c r="A8829" s="58" t="inlineStr">
        <is>
          <t>RT20250809-08828</t>
        </is>
      </c>
      <c r="B8829" s="59" t="inlineStr">
        <is>
          <t>2025-08-09</t>
        </is>
      </c>
      <c r="C8829" s="60" t="inlineStr">
        <is>
          <t>Vertex Smartphone Lite-267</t>
        </is>
      </c>
      <c r="D8829" s="58" t="inlineStr">
        <is>
          <t>Electronics</t>
        </is>
      </c>
      <c r="E8829" s="58" t="inlineStr">
        <is>
          <t>West</t>
        </is>
      </c>
      <c r="F8829" s="61" t="n">
        <v>1</v>
      </c>
      <c r="G8829" s="62" t="n">
        <v>1108.75</v>
      </c>
      <c r="H8829" s="63" t="n">
        <v>0.133</v>
      </c>
      <c r="I8829" s="62" t="n">
        <v>933.28</v>
      </c>
      <c r="J8829" s="58" t="inlineStr">
        <is>
          <t>Online</t>
        </is>
      </c>
      <c r="K8829" s="62">
        <f>F8829*(G8829-H8829)</f>
        <v/>
      </c>
      <c r="L8829" s="62">
        <f>K8829-(F8829*I8829)</f>
        <v/>
      </c>
      <c r="M8829" s="64">
        <f>L8829/K8829</f>
        <v/>
      </c>
    </row>
    <row r="8830">
      <c r="A8830" s="58" t="inlineStr">
        <is>
          <t>RT20250809-08829</t>
        </is>
      </c>
      <c r="B8830" s="59" t="inlineStr">
        <is>
          <t>2025-08-09</t>
        </is>
      </c>
      <c r="C8830" s="60" t="inlineStr">
        <is>
          <t>Polar Women Max-927</t>
        </is>
      </c>
      <c r="D8830" s="58" t="inlineStr">
        <is>
          <t>Apparel</t>
        </is>
      </c>
      <c r="E8830" s="58" t="inlineStr">
        <is>
          <t>East</t>
        </is>
      </c>
      <c r="F8830" s="61" t="n">
        <v>1</v>
      </c>
      <c r="G8830" s="62" t="n">
        <v>110.03</v>
      </c>
      <c r="H8830" s="63" t="n">
        <v>0.08599999999999999</v>
      </c>
      <c r="I8830" s="62" t="n">
        <v>66.04000000000001</v>
      </c>
      <c r="J8830" s="58" t="inlineStr">
        <is>
          <t>Online</t>
        </is>
      </c>
      <c r="K8830" s="62">
        <f>F8830*(G8830-H8830)</f>
        <v/>
      </c>
      <c r="L8830" s="62">
        <f>K8830-(F8830*I8830)</f>
        <v/>
      </c>
      <c r="M8830" s="64">
        <f>L8830/K8830</f>
        <v/>
      </c>
    </row>
    <row r="8831">
      <c r="A8831" s="58" t="inlineStr">
        <is>
          <t>RT20250809-08830</t>
        </is>
      </c>
      <c r="B8831" s="59" t="inlineStr">
        <is>
          <t>2025-08-09</t>
        </is>
      </c>
      <c r="C8831" s="60" t="inlineStr">
        <is>
          <t>Polar Decor X-935</t>
        </is>
      </c>
      <c r="D8831" s="58" t="inlineStr">
        <is>
          <t>Home</t>
        </is>
      </c>
      <c r="E8831" s="58" t="inlineStr">
        <is>
          <t>West</t>
        </is>
      </c>
      <c r="F8831" s="61" t="n">
        <v>1</v>
      </c>
      <c r="G8831" s="62" t="n">
        <v>292.63</v>
      </c>
      <c r="H8831" s="63" t="n">
        <v>0.18</v>
      </c>
      <c r="I8831" s="62" t="n">
        <v>205.01</v>
      </c>
      <c r="J8831" s="58" t="inlineStr">
        <is>
          <t>Online</t>
        </is>
      </c>
      <c r="K8831" s="62">
        <f>F8831*(G8831-H8831)</f>
        <v/>
      </c>
      <c r="L8831" s="62">
        <f>K8831-(F8831*I8831)</f>
        <v/>
      </c>
      <c r="M8831" s="64">
        <f>L8831/K8831</f>
        <v/>
      </c>
    </row>
    <row r="8832">
      <c r="A8832" s="58" t="inlineStr">
        <is>
          <t>RT20250809-08831</t>
        </is>
      </c>
      <c r="B8832" s="59" t="inlineStr">
        <is>
          <t>2025-08-09</t>
        </is>
      </c>
      <c r="C8832" s="60" t="inlineStr">
        <is>
          <t>Nimbus Furniture Pro-479</t>
        </is>
      </c>
      <c r="D8832" s="58" t="inlineStr">
        <is>
          <t>Office</t>
        </is>
      </c>
      <c r="E8832" s="58" t="inlineStr">
        <is>
          <t>West</t>
        </is>
      </c>
      <c r="F8832" s="61" t="n">
        <v>1</v>
      </c>
      <c r="G8832" s="62" t="n">
        <v>372.79</v>
      </c>
      <c r="H8832" s="63" t="n">
        <v>0.175</v>
      </c>
      <c r="I8832" s="62" t="n">
        <v>244.06</v>
      </c>
      <c r="J8832" s="58" t="inlineStr">
        <is>
          <t>Online</t>
        </is>
      </c>
      <c r="K8832" s="62">
        <f>F8832*(G8832-H8832)</f>
        <v/>
      </c>
      <c r="L8832" s="62">
        <f>K8832-(F8832*I8832)</f>
        <v/>
      </c>
      <c r="M8832" s="64">
        <f>L8832/K8832</f>
        <v/>
      </c>
    </row>
    <row r="8833">
      <c r="A8833" s="58" t="inlineStr">
        <is>
          <t>RT20250809-08832</t>
        </is>
      </c>
      <c r="B8833" s="59" t="inlineStr">
        <is>
          <t>2025-08-09</t>
        </is>
      </c>
      <c r="C8833" s="60" t="inlineStr">
        <is>
          <t>Aurora Fragrance S-971</t>
        </is>
      </c>
      <c r="D8833" s="58" t="inlineStr">
        <is>
          <t>Beauty</t>
        </is>
      </c>
      <c r="E8833" s="58" t="inlineStr">
        <is>
          <t>East</t>
        </is>
      </c>
      <c r="F8833" s="61" t="n">
        <v>5</v>
      </c>
      <c r="G8833" s="62" t="n">
        <v>112.84</v>
      </c>
      <c r="H8833" s="63" t="n">
        <v>0.179</v>
      </c>
      <c r="I8833" s="62" t="n">
        <v>63.97</v>
      </c>
      <c r="J8833" s="58" t="inlineStr">
        <is>
          <t>Online</t>
        </is>
      </c>
      <c r="K8833" s="62">
        <f>F8833*(G8833-H8833)</f>
        <v/>
      </c>
      <c r="L8833" s="62">
        <f>K8833-(F8833*I8833)</f>
        <v/>
      </c>
      <c r="M8833" s="64">
        <f>L8833/K8833</f>
        <v/>
      </c>
    </row>
    <row r="8834">
      <c r="A8834" s="58" t="inlineStr">
        <is>
          <t>RT20250809-08833</t>
        </is>
      </c>
      <c r="B8834" s="59" t="inlineStr">
        <is>
          <t>2025-08-09</t>
        </is>
      </c>
      <c r="C8834" s="60" t="inlineStr">
        <is>
          <t>Vertex Men X-995</t>
        </is>
      </c>
      <c r="D8834" s="58" t="inlineStr">
        <is>
          <t>Apparel</t>
        </is>
      </c>
      <c r="E8834" s="58" t="inlineStr">
        <is>
          <t>West</t>
        </is>
      </c>
      <c r="F8834" s="61" t="n">
        <v>3</v>
      </c>
      <c r="G8834" s="62" t="n">
        <v>96.06999999999999</v>
      </c>
      <c r="H8834" s="63" t="n">
        <v>0.162</v>
      </c>
      <c r="I8834" s="62" t="n">
        <v>57.68</v>
      </c>
      <c r="J8834" s="58" t="inlineStr">
        <is>
          <t>Online</t>
        </is>
      </c>
      <c r="K8834" s="62">
        <f>F8834*(G8834-H8834)</f>
        <v/>
      </c>
      <c r="L8834" s="62">
        <f>K8834-(F8834*I8834)</f>
        <v/>
      </c>
      <c r="M8834" s="64">
        <f>L8834/K8834</f>
        <v/>
      </c>
    </row>
    <row r="8835">
      <c r="A8835" s="58" t="inlineStr">
        <is>
          <t>RT20250809-08834</t>
        </is>
      </c>
      <c r="B8835" s="59" t="inlineStr">
        <is>
          <t>2025-08-09</t>
        </is>
      </c>
      <c r="C8835" s="60" t="inlineStr">
        <is>
          <t>Falcon Bedding S-674</t>
        </is>
      </c>
      <c r="D8835" s="58" t="inlineStr">
        <is>
          <t>Home</t>
        </is>
      </c>
      <c r="E8835" s="58" t="inlineStr">
        <is>
          <t>North</t>
        </is>
      </c>
      <c r="F8835" s="61" t="n">
        <v>3</v>
      </c>
      <c r="G8835" s="62" t="n">
        <v>751.52</v>
      </c>
      <c r="H8835" s="63" t="n">
        <v>0.18</v>
      </c>
      <c r="I8835" s="62" t="n">
        <v>454.03</v>
      </c>
      <c r="J8835" s="58" t="inlineStr">
        <is>
          <t>Store</t>
        </is>
      </c>
      <c r="K8835" s="62">
        <f>F8835*(G8835-H8835)</f>
        <v/>
      </c>
      <c r="L8835" s="62">
        <f>K8835-(F8835*I8835)</f>
        <v/>
      </c>
      <c r="M8835" s="64">
        <f>L8835/K8835</f>
        <v/>
      </c>
    </row>
    <row r="8836">
      <c r="A8836" s="58" t="inlineStr">
        <is>
          <t>RT20250809-08835</t>
        </is>
      </c>
      <c r="B8836" s="59" t="inlineStr">
        <is>
          <t>2025-08-09</t>
        </is>
      </c>
      <c r="C8836" s="60" t="inlineStr">
        <is>
          <t>Orion Beverage Plus-949</t>
        </is>
      </c>
      <c r="D8836" s="58" t="inlineStr">
        <is>
          <t>Grocery</t>
        </is>
      </c>
      <c r="E8836" s="58" t="inlineStr">
        <is>
          <t>Central</t>
        </is>
      </c>
      <c r="F8836" s="61" t="n">
        <v>8</v>
      </c>
      <c r="G8836" s="62" t="n">
        <v>20.76</v>
      </c>
      <c r="H8836" s="63" t="n">
        <v>0.154</v>
      </c>
      <c r="I8836" s="62" t="n">
        <v>13.48</v>
      </c>
      <c r="J8836" s="58" t="inlineStr">
        <is>
          <t>Store</t>
        </is>
      </c>
      <c r="K8836" s="62">
        <f>F8836*(G8836-H8836)</f>
        <v/>
      </c>
      <c r="L8836" s="62">
        <f>K8836-(F8836*I8836)</f>
        <v/>
      </c>
      <c r="M8836" s="64">
        <f>L8836/K8836</f>
        <v/>
      </c>
    </row>
    <row r="8837">
      <c r="A8837" s="58" t="inlineStr">
        <is>
          <t>RT20250809-08836</t>
        </is>
      </c>
      <c r="B8837" s="59" t="inlineStr">
        <is>
          <t>2025-08-09</t>
        </is>
      </c>
      <c r="C8837" s="60" t="inlineStr">
        <is>
          <t>Vertex Accessorie Pro-881</t>
        </is>
      </c>
      <c r="D8837" s="58" t="inlineStr">
        <is>
          <t>Apparel</t>
        </is>
      </c>
      <c r="E8837" s="58" t="inlineStr">
        <is>
          <t>East</t>
        </is>
      </c>
      <c r="F8837" s="61" t="n">
        <v>1</v>
      </c>
      <c r="G8837" s="62" t="n">
        <v>121.61</v>
      </c>
      <c r="H8837" s="63" t="n">
        <v>0.117</v>
      </c>
      <c r="I8837" s="62" t="n">
        <v>64.84999999999999</v>
      </c>
      <c r="J8837" s="58" t="inlineStr">
        <is>
          <t>Online</t>
        </is>
      </c>
      <c r="K8837" s="62">
        <f>F8837*(G8837-H8837)</f>
        <v/>
      </c>
      <c r="L8837" s="62">
        <f>K8837-(F8837*I8837)</f>
        <v/>
      </c>
      <c r="M8837" s="64">
        <f>L8837/K8837</f>
        <v/>
      </c>
    </row>
    <row r="8838">
      <c r="A8838" s="58" t="inlineStr">
        <is>
          <t>RT20250809-08837</t>
        </is>
      </c>
      <c r="B8838" s="59" t="inlineStr">
        <is>
          <t>2025-08-09</t>
        </is>
      </c>
      <c r="C8838" s="60" t="inlineStr">
        <is>
          <t>Polar Laptop Plus-984</t>
        </is>
      </c>
      <c r="D8838" s="58" t="inlineStr">
        <is>
          <t>Electronics</t>
        </is>
      </c>
      <c r="E8838" s="58" t="inlineStr">
        <is>
          <t>North</t>
        </is>
      </c>
      <c r="F8838" s="61" t="n">
        <v>2</v>
      </c>
      <c r="G8838" s="62" t="n">
        <v>1296.53</v>
      </c>
      <c r="H8838" s="63" t="n">
        <v>0.164</v>
      </c>
      <c r="I8838" s="62" t="n">
        <v>1011.53</v>
      </c>
      <c r="J8838" s="58" t="inlineStr">
        <is>
          <t>Store</t>
        </is>
      </c>
      <c r="K8838" s="62">
        <f>F8838*(G8838-H8838)</f>
        <v/>
      </c>
      <c r="L8838" s="62">
        <f>K8838-(F8838*I8838)</f>
        <v/>
      </c>
      <c r="M8838" s="64">
        <f>L8838/K8838</f>
        <v/>
      </c>
    </row>
    <row r="8839">
      <c r="A8839" s="58" t="inlineStr">
        <is>
          <t>RT20250809-08838</t>
        </is>
      </c>
      <c r="B8839" s="59" t="inlineStr">
        <is>
          <t>2025-08-09</t>
        </is>
      </c>
      <c r="C8839" s="60" t="inlineStr">
        <is>
          <t>Vertex Supplie Pro-786</t>
        </is>
      </c>
      <c r="D8839" s="58" t="inlineStr">
        <is>
          <t>Office</t>
        </is>
      </c>
      <c r="E8839" s="58" t="inlineStr">
        <is>
          <t>North</t>
        </is>
      </c>
      <c r="F8839" s="61" t="n">
        <v>1</v>
      </c>
      <c r="G8839" s="62" t="n">
        <v>436.19</v>
      </c>
      <c r="H8839" s="63" t="n">
        <v>0.129</v>
      </c>
      <c r="I8839" s="62" t="n">
        <v>288.34</v>
      </c>
      <c r="J8839" s="58" t="inlineStr">
        <is>
          <t>Online</t>
        </is>
      </c>
      <c r="K8839" s="62">
        <f>F8839*(G8839-H8839)</f>
        <v/>
      </c>
      <c r="L8839" s="62">
        <f>K8839-(F8839*I8839)</f>
        <v/>
      </c>
      <c r="M8839" s="64">
        <f>L8839/K8839</f>
        <v/>
      </c>
    </row>
    <row r="8840">
      <c r="A8840" s="58" t="inlineStr">
        <is>
          <t>RT20250809-08839</t>
        </is>
      </c>
      <c r="B8840" s="59" t="inlineStr">
        <is>
          <t>2025-08-09</t>
        </is>
      </c>
      <c r="C8840" s="60" t="inlineStr">
        <is>
          <t>Falcon Household Plus-796</t>
        </is>
      </c>
      <c r="D8840" s="58" t="inlineStr">
        <is>
          <t>Grocery</t>
        </is>
      </c>
      <c r="E8840" s="58" t="inlineStr">
        <is>
          <t>West</t>
        </is>
      </c>
      <c r="F8840" s="61" t="n">
        <v>6</v>
      </c>
      <c r="G8840" s="62" t="n">
        <v>24.21</v>
      </c>
      <c r="H8840" s="63" t="n">
        <v>0.196</v>
      </c>
      <c r="I8840" s="62" t="n">
        <v>17.28</v>
      </c>
      <c r="J8840" s="58" t="inlineStr">
        <is>
          <t>Online</t>
        </is>
      </c>
      <c r="K8840" s="62">
        <f>F8840*(G8840-H8840)</f>
        <v/>
      </c>
      <c r="L8840" s="62">
        <f>K8840-(F8840*I8840)</f>
        <v/>
      </c>
      <c r="M8840" s="64">
        <f>L8840/K8840</f>
        <v/>
      </c>
    </row>
    <row r="8841">
      <c r="A8841" s="58" t="inlineStr">
        <is>
          <t>RT20250809-08840</t>
        </is>
      </c>
      <c r="B8841" s="59" t="inlineStr">
        <is>
          <t>2025-08-09</t>
        </is>
      </c>
      <c r="C8841" s="60" t="inlineStr">
        <is>
          <t>Aurora Bedding Max-175</t>
        </is>
      </c>
      <c r="D8841" s="58" t="inlineStr">
        <is>
          <t>Home</t>
        </is>
      </c>
      <c r="E8841" s="58" t="inlineStr">
        <is>
          <t>South</t>
        </is>
      </c>
      <c r="F8841" s="61" t="n">
        <v>3</v>
      </c>
      <c r="G8841" s="62" t="n">
        <v>659.11</v>
      </c>
      <c r="H8841" s="63" t="n">
        <v>0.16</v>
      </c>
      <c r="I8841" s="62" t="n">
        <v>412.89</v>
      </c>
      <c r="J8841" s="58" t="inlineStr">
        <is>
          <t>Store</t>
        </is>
      </c>
      <c r="K8841" s="62">
        <f>F8841*(G8841-H8841)</f>
        <v/>
      </c>
      <c r="L8841" s="62">
        <f>K8841-(F8841*I8841)</f>
        <v/>
      </c>
      <c r="M8841" s="64">
        <f>L8841/K8841</f>
        <v/>
      </c>
    </row>
    <row r="8842">
      <c r="A8842" s="58" t="inlineStr">
        <is>
          <t>RT20250809-08841</t>
        </is>
      </c>
      <c r="B8842" s="59" t="inlineStr">
        <is>
          <t>2025-08-09</t>
        </is>
      </c>
      <c r="C8842" s="60" t="inlineStr">
        <is>
          <t>Polar Beverage S-258</t>
        </is>
      </c>
      <c r="D8842" s="58" t="inlineStr">
        <is>
          <t>Grocery</t>
        </is>
      </c>
      <c r="E8842" s="58" t="inlineStr">
        <is>
          <t>West</t>
        </is>
      </c>
      <c r="F8842" s="61" t="n">
        <v>6</v>
      </c>
      <c r="G8842" s="62" t="n">
        <v>13.81</v>
      </c>
      <c r="H8842" s="63" t="n">
        <v>0.169</v>
      </c>
      <c r="I8842" s="62" t="n">
        <v>9.51</v>
      </c>
      <c r="J8842" s="58" t="inlineStr">
        <is>
          <t>Store</t>
        </is>
      </c>
      <c r="K8842" s="62">
        <f>F8842*(G8842-H8842)</f>
        <v/>
      </c>
      <c r="L8842" s="62">
        <f>K8842-(F8842*I8842)</f>
        <v/>
      </c>
      <c r="M8842" s="64">
        <f>L8842/K8842</f>
        <v/>
      </c>
    </row>
    <row r="8843">
      <c r="A8843" s="58" t="inlineStr">
        <is>
          <t>RT20250809-08842</t>
        </is>
      </c>
      <c r="B8843" s="59" t="inlineStr">
        <is>
          <t>2025-08-09</t>
        </is>
      </c>
      <c r="C8843" s="60" t="inlineStr">
        <is>
          <t>Falcon Headphone Plus-789</t>
        </is>
      </c>
      <c r="D8843" s="58" t="inlineStr">
        <is>
          <t>Electronics</t>
        </is>
      </c>
      <c r="E8843" s="58" t="inlineStr">
        <is>
          <t>West</t>
        </is>
      </c>
      <c r="F8843" s="61" t="n">
        <v>2</v>
      </c>
      <c r="G8843" s="62" t="n">
        <v>1731.45</v>
      </c>
      <c r="H8843" s="63" t="n">
        <v>0.137</v>
      </c>
      <c r="I8843" s="62" t="n">
        <v>1326.66</v>
      </c>
      <c r="J8843" s="58" t="inlineStr">
        <is>
          <t>Store</t>
        </is>
      </c>
      <c r="K8843" s="62">
        <f>F8843*(G8843-H8843)</f>
        <v/>
      </c>
      <c r="L8843" s="62">
        <f>K8843-(F8843*I8843)</f>
        <v/>
      </c>
      <c r="M8843" s="64">
        <f>L8843/K8843</f>
        <v/>
      </c>
    </row>
    <row r="8844">
      <c r="A8844" s="58" t="inlineStr">
        <is>
          <t>RT20250809-08843</t>
        </is>
      </c>
      <c r="B8844" s="59" t="inlineStr">
        <is>
          <t>2025-08-09</t>
        </is>
      </c>
      <c r="C8844" s="60" t="inlineStr">
        <is>
          <t>Vertex Smartphone Pro-256</t>
        </is>
      </c>
      <c r="D8844" s="58" t="inlineStr">
        <is>
          <t>Electronics</t>
        </is>
      </c>
      <c r="E8844" s="58" t="inlineStr">
        <is>
          <t>South</t>
        </is>
      </c>
      <c r="F8844" s="61" t="n">
        <v>2</v>
      </c>
      <c r="G8844" s="62" t="n">
        <v>1169.72</v>
      </c>
      <c r="H8844" s="63" t="n">
        <v>0.135</v>
      </c>
      <c r="I8844" s="62" t="n">
        <v>930.37</v>
      </c>
      <c r="J8844" s="58" t="inlineStr">
        <is>
          <t>Online</t>
        </is>
      </c>
      <c r="K8844" s="62">
        <f>F8844*(G8844-H8844)</f>
        <v/>
      </c>
      <c r="L8844" s="62">
        <f>K8844-(F8844*I8844)</f>
        <v/>
      </c>
      <c r="M8844" s="64">
        <f>L8844/K8844</f>
        <v/>
      </c>
    </row>
    <row r="8845">
      <c r="A8845" s="58" t="inlineStr">
        <is>
          <t>RT20250809-08844</t>
        </is>
      </c>
      <c r="B8845" s="59" t="inlineStr">
        <is>
          <t>2025-08-09</t>
        </is>
      </c>
      <c r="C8845" s="60" t="inlineStr">
        <is>
          <t>Polar Beverage S-258</t>
        </is>
      </c>
      <c r="D8845" s="58" t="inlineStr">
        <is>
          <t>Grocery</t>
        </is>
      </c>
      <c r="E8845" s="58" t="inlineStr">
        <is>
          <t>West</t>
        </is>
      </c>
      <c r="F8845" s="61" t="n">
        <v>7</v>
      </c>
      <c r="G8845" s="62" t="n">
        <v>14.27</v>
      </c>
      <c r="H8845" s="63" t="n">
        <v>0.127</v>
      </c>
      <c r="I8845" s="62" t="n">
        <v>9.890000000000001</v>
      </c>
      <c r="J8845" s="58" t="inlineStr">
        <is>
          <t>Store</t>
        </is>
      </c>
      <c r="K8845" s="62">
        <f>F8845*(G8845-H8845)</f>
        <v/>
      </c>
      <c r="L8845" s="62">
        <f>K8845-(F8845*I8845)</f>
        <v/>
      </c>
      <c r="M8845" s="64">
        <f>L8845/K8845</f>
        <v/>
      </c>
    </row>
    <row r="8846">
      <c r="A8846" s="58" t="inlineStr">
        <is>
          <t>RT20250809-08845</t>
        </is>
      </c>
      <c r="B8846" s="59" t="inlineStr">
        <is>
          <t>2025-08-09</t>
        </is>
      </c>
      <c r="C8846" s="60" t="inlineStr">
        <is>
          <t>Polar Outdoor Lite-318</t>
        </is>
      </c>
      <c r="D8846" s="58" t="inlineStr">
        <is>
          <t>Sports</t>
        </is>
      </c>
      <c r="E8846" s="58" t="inlineStr">
        <is>
          <t>East</t>
        </is>
      </c>
      <c r="F8846" s="61" t="n">
        <v>3</v>
      </c>
      <c r="G8846" s="62" t="n">
        <v>620.9400000000001</v>
      </c>
      <c r="H8846" s="63" t="n">
        <v>0.139</v>
      </c>
      <c r="I8846" s="62" t="n">
        <v>462.05</v>
      </c>
      <c r="J8846" s="58" t="inlineStr">
        <is>
          <t>Online</t>
        </is>
      </c>
      <c r="K8846" s="62">
        <f>F8846*(G8846-H8846)</f>
        <v/>
      </c>
      <c r="L8846" s="62">
        <f>K8846-(F8846*I8846)</f>
        <v/>
      </c>
      <c r="M8846" s="64">
        <f>L8846/K8846</f>
        <v/>
      </c>
    </row>
    <row r="8847">
      <c r="A8847" s="58" t="inlineStr">
        <is>
          <t>RT20250809-08846</t>
        </is>
      </c>
      <c r="B8847" s="59" t="inlineStr">
        <is>
          <t>2025-08-09</t>
        </is>
      </c>
      <c r="C8847" s="60" t="inlineStr">
        <is>
          <t>Orion Snack X-322</t>
        </is>
      </c>
      <c r="D8847" s="58" t="inlineStr">
        <is>
          <t>Grocery</t>
        </is>
      </c>
      <c r="E8847" s="58" t="inlineStr">
        <is>
          <t>Central</t>
        </is>
      </c>
      <c r="F8847" s="61" t="n">
        <v>1</v>
      </c>
      <c r="G8847" s="62" t="n">
        <v>14.26</v>
      </c>
      <c r="H8847" s="63" t="n">
        <v>0.09</v>
      </c>
      <c r="I8847" s="62" t="n">
        <v>10.01</v>
      </c>
      <c r="J8847" s="58" t="inlineStr">
        <is>
          <t>Store</t>
        </is>
      </c>
      <c r="K8847" s="62">
        <f>F8847*(G8847-H8847)</f>
        <v/>
      </c>
      <c r="L8847" s="62">
        <f>K8847-(F8847*I8847)</f>
        <v/>
      </c>
      <c r="M8847" s="64">
        <f>L8847/K8847</f>
        <v/>
      </c>
    </row>
    <row r="8848">
      <c r="A8848" s="58" t="inlineStr">
        <is>
          <t>RT20250809-08847</t>
        </is>
      </c>
      <c r="B8848" s="59" t="inlineStr">
        <is>
          <t>2025-08-09</t>
        </is>
      </c>
      <c r="C8848" s="60" t="inlineStr">
        <is>
          <t>Nimbus Storage Plus-646</t>
        </is>
      </c>
      <c r="D8848" s="58" t="inlineStr">
        <is>
          <t>Office</t>
        </is>
      </c>
      <c r="E8848" s="58" t="inlineStr">
        <is>
          <t>Central</t>
        </is>
      </c>
      <c r="F8848" s="61" t="n">
        <v>1</v>
      </c>
      <c r="G8848" s="62" t="n">
        <v>469.34</v>
      </c>
      <c r="H8848" s="63" t="n">
        <v>0.131</v>
      </c>
      <c r="I8848" s="62" t="n">
        <v>312.97</v>
      </c>
      <c r="J8848" s="58" t="inlineStr">
        <is>
          <t>Online</t>
        </is>
      </c>
      <c r="K8848" s="62">
        <f>F8848*(G8848-H8848)</f>
        <v/>
      </c>
      <c r="L8848" s="62">
        <f>K8848-(F8848*I8848)</f>
        <v/>
      </c>
      <c r="M8848" s="64">
        <f>L8848/K8848</f>
        <v/>
      </c>
    </row>
    <row r="8849">
      <c r="A8849" s="58" t="inlineStr">
        <is>
          <t>RT20250809-08848</t>
        </is>
      </c>
      <c r="B8849" s="59" t="inlineStr">
        <is>
          <t>2025-08-09</t>
        </is>
      </c>
      <c r="C8849" s="60" t="inlineStr">
        <is>
          <t>Vertex Supplie X-513</t>
        </is>
      </c>
      <c r="D8849" s="58" t="inlineStr">
        <is>
          <t>Office</t>
        </is>
      </c>
      <c r="E8849" s="58" t="inlineStr">
        <is>
          <t>North</t>
        </is>
      </c>
      <c r="F8849" s="61" t="n">
        <v>1</v>
      </c>
      <c r="G8849" s="62" t="n">
        <v>357.54</v>
      </c>
      <c r="H8849" s="63" t="n">
        <v>0.13</v>
      </c>
      <c r="I8849" s="62" t="n">
        <v>274.88</v>
      </c>
      <c r="J8849" s="58" t="inlineStr">
        <is>
          <t>Online</t>
        </is>
      </c>
      <c r="K8849" s="62">
        <f>F8849*(G8849-H8849)</f>
        <v/>
      </c>
      <c r="L8849" s="62">
        <f>K8849-(F8849*I8849)</f>
        <v/>
      </c>
      <c r="M8849" s="64">
        <f>L8849/K8849</f>
        <v/>
      </c>
    </row>
    <row r="8850">
      <c r="A8850" s="58" t="inlineStr">
        <is>
          <t>RT20250809-08849</t>
        </is>
      </c>
      <c r="B8850" s="59" t="inlineStr">
        <is>
          <t>2025-08-09</t>
        </is>
      </c>
      <c r="C8850" s="60" t="inlineStr">
        <is>
          <t>Metro Printer X-294</t>
        </is>
      </c>
      <c r="D8850" s="58" t="inlineStr">
        <is>
          <t>Office</t>
        </is>
      </c>
      <c r="E8850" s="58" t="inlineStr">
        <is>
          <t>North</t>
        </is>
      </c>
      <c r="F8850" s="61" t="n">
        <v>2</v>
      </c>
      <c r="G8850" s="62" t="n">
        <v>556.1799999999999</v>
      </c>
      <c r="H8850" s="63" t="n">
        <v>0.174</v>
      </c>
      <c r="I8850" s="62" t="n">
        <v>404.93</v>
      </c>
      <c r="J8850" s="58" t="inlineStr">
        <is>
          <t>Online</t>
        </is>
      </c>
      <c r="K8850" s="62">
        <f>F8850*(G8850-H8850)</f>
        <v/>
      </c>
      <c r="L8850" s="62">
        <f>K8850-(F8850*I8850)</f>
        <v/>
      </c>
      <c r="M8850" s="64">
        <f>L8850/K8850</f>
        <v/>
      </c>
    </row>
    <row r="8851">
      <c r="A8851" s="58" t="inlineStr">
        <is>
          <t>RT20250809-08850</t>
        </is>
      </c>
      <c r="B8851" s="59" t="inlineStr">
        <is>
          <t>2025-08-09</t>
        </is>
      </c>
      <c r="C8851" s="60" t="inlineStr">
        <is>
          <t>Metro Accessorie Lite-697</t>
        </is>
      </c>
      <c r="D8851" s="58" t="inlineStr">
        <is>
          <t>Apparel</t>
        </is>
      </c>
      <c r="E8851" s="58" t="inlineStr">
        <is>
          <t>East</t>
        </is>
      </c>
      <c r="F8851" s="61" t="n">
        <v>3</v>
      </c>
      <c r="G8851" s="62" t="n">
        <v>138.59</v>
      </c>
      <c r="H8851" s="63" t="n">
        <v>0.143</v>
      </c>
      <c r="I8851" s="62" t="n">
        <v>74.8</v>
      </c>
      <c r="J8851" s="58" t="inlineStr">
        <is>
          <t>Store</t>
        </is>
      </c>
      <c r="K8851" s="62">
        <f>F8851*(G8851-H8851)</f>
        <v/>
      </c>
      <c r="L8851" s="62">
        <f>K8851-(F8851*I8851)</f>
        <v/>
      </c>
      <c r="M8851" s="64">
        <f>L8851/K8851</f>
        <v/>
      </c>
    </row>
    <row r="8852">
      <c r="A8852" s="58" t="inlineStr">
        <is>
          <t>RT20250809-08851</t>
        </is>
      </c>
      <c r="B8852" s="59" t="inlineStr">
        <is>
          <t>2025-08-09</t>
        </is>
      </c>
      <c r="C8852" s="60" t="inlineStr">
        <is>
          <t>Vertex Appliance S-159</t>
        </is>
      </c>
      <c r="D8852" s="58" t="inlineStr">
        <is>
          <t>Home</t>
        </is>
      </c>
      <c r="E8852" s="58" t="inlineStr">
        <is>
          <t>East</t>
        </is>
      </c>
      <c r="F8852" s="61" t="n">
        <v>1</v>
      </c>
      <c r="G8852" s="62" t="n">
        <v>452.82</v>
      </c>
      <c r="H8852" s="63" t="n">
        <v>0.127</v>
      </c>
      <c r="I8852" s="62" t="n">
        <v>294.71</v>
      </c>
      <c r="J8852" s="58" t="inlineStr">
        <is>
          <t>Online</t>
        </is>
      </c>
      <c r="K8852" s="62">
        <f>F8852*(G8852-H8852)</f>
        <v/>
      </c>
      <c r="L8852" s="62">
        <f>K8852-(F8852*I8852)</f>
        <v/>
      </c>
      <c r="M8852" s="64">
        <f>L8852/K8852</f>
        <v/>
      </c>
    </row>
    <row r="8853">
      <c r="A8853" s="58" t="inlineStr">
        <is>
          <t>RT20250809-08852</t>
        </is>
      </c>
      <c r="B8853" s="59" t="inlineStr">
        <is>
          <t>2025-08-09</t>
        </is>
      </c>
      <c r="C8853" s="60" t="inlineStr">
        <is>
          <t>Solace Headphone Pro-344</t>
        </is>
      </c>
      <c r="D8853" s="58" t="inlineStr">
        <is>
          <t>Electronics</t>
        </is>
      </c>
      <c r="E8853" s="58" t="inlineStr">
        <is>
          <t>Central</t>
        </is>
      </c>
      <c r="F8853" s="61" t="n">
        <v>2</v>
      </c>
      <c r="G8853" s="62" t="n">
        <v>1265.49</v>
      </c>
      <c r="H8853" s="63" t="n">
        <v>0.1</v>
      </c>
      <c r="I8853" s="62" t="n">
        <v>1062.82</v>
      </c>
      <c r="J8853" s="58" t="inlineStr">
        <is>
          <t>Online</t>
        </is>
      </c>
      <c r="K8853" s="62">
        <f>F8853*(G8853-H8853)</f>
        <v/>
      </c>
      <c r="L8853" s="62">
        <f>K8853-(F8853*I8853)</f>
        <v/>
      </c>
      <c r="M8853" s="64">
        <f>L8853/K8853</f>
        <v/>
      </c>
    </row>
    <row r="8854">
      <c r="A8854" s="58" t="inlineStr">
        <is>
          <t>RT20250809-08853</t>
        </is>
      </c>
      <c r="B8854" s="59" t="inlineStr">
        <is>
          <t>2025-08-09</t>
        </is>
      </c>
      <c r="C8854" s="60" t="inlineStr">
        <is>
          <t>Nimbus Fitnes Lite-516</t>
        </is>
      </c>
      <c r="D8854" s="58" t="inlineStr">
        <is>
          <t>Sports</t>
        </is>
      </c>
      <c r="E8854" s="58" t="inlineStr">
        <is>
          <t>South</t>
        </is>
      </c>
      <c r="F8854" s="61" t="n">
        <v>1</v>
      </c>
      <c r="G8854" s="62" t="n">
        <v>774.6</v>
      </c>
      <c r="H8854" s="63" t="n">
        <v>0.152</v>
      </c>
      <c r="I8854" s="62" t="n">
        <v>465.28</v>
      </c>
      <c r="J8854" s="58" t="inlineStr">
        <is>
          <t>Store</t>
        </is>
      </c>
      <c r="K8854" s="62">
        <f>F8854*(G8854-H8854)</f>
        <v/>
      </c>
      <c r="L8854" s="62">
        <f>K8854-(F8854*I8854)</f>
        <v/>
      </c>
      <c r="M8854" s="64">
        <f>L8854/K8854</f>
        <v/>
      </c>
    </row>
    <row r="8855">
      <c r="A8855" s="58" t="inlineStr">
        <is>
          <t>RT20250809-08854</t>
        </is>
      </c>
      <c r="B8855" s="59" t="inlineStr">
        <is>
          <t>2025-08-09</t>
        </is>
      </c>
      <c r="C8855" s="60" t="inlineStr">
        <is>
          <t>Aurora Printer Plus-723</t>
        </is>
      </c>
      <c r="D8855" s="58" t="inlineStr">
        <is>
          <t>Office</t>
        </is>
      </c>
      <c r="E8855" s="58" t="inlineStr">
        <is>
          <t>West</t>
        </is>
      </c>
      <c r="F8855" s="61" t="n">
        <v>1</v>
      </c>
      <c r="G8855" s="62" t="n">
        <v>251.74</v>
      </c>
      <c r="H8855" s="63" t="n">
        <v>0.144</v>
      </c>
      <c r="I8855" s="62" t="n">
        <v>186.65</v>
      </c>
      <c r="J8855" s="58" t="inlineStr">
        <is>
          <t>Online</t>
        </is>
      </c>
      <c r="K8855" s="62">
        <f>F8855*(G8855-H8855)</f>
        <v/>
      </c>
      <c r="L8855" s="62">
        <f>K8855-(F8855*I8855)</f>
        <v/>
      </c>
      <c r="M8855" s="64">
        <f>L8855/K8855</f>
        <v/>
      </c>
    </row>
    <row r="8856">
      <c r="A8856" s="58" t="inlineStr">
        <is>
          <t>RT20250809-08855</t>
        </is>
      </c>
      <c r="B8856" s="59" t="inlineStr">
        <is>
          <t>2025-08-09</t>
        </is>
      </c>
      <c r="C8856" s="60" t="inlineStr">
        <is>
          <t>Vertex Smartphone Lite-267</t>
        </is>
      </c>
      <c r="D8856" s="58" t="inlineStr">
        <is>
          <t>Electronics</t>
        </is>
      </c>
      <c r="E8856" s="58" t="inlineStr">
        <is>
          <t>West</t>
        </is>
      </c>
      <c r="F8856" s="61" t="n">
        <v>1</v>
      </c>
      <c r="G8856" s="62" t="n">
        <v>1202.61</v>
      </c>
      <c r="H8856" s="63" t="n">
        <v>0.138</v>
      </c>
      <c r="I8856" s="62" t="n">
        <v>981.76</v>
      </c>
      <c r="J8856" s="58" t="inlineStr">
        <is>
          <t>Online</t>
        </is>
      </c>
      <c r="K8856" s="62">
        <f>F8856*(G8856-H8856)</f>
        <v/>
      </c>
      <c r="L8856" s="62">
        <f>K8856-(F8856*I8856)</f>
        <v/>
      </c>
      <c r="M8856" s="64">
        <f>L8856/K8856</f>
        <v/>
      </c>
    </row>
    <row r="8857">
      <c r="A8857" s="58" t="inlineStr">
        <is>
          <t>RT20250809-08856</t>
        </is>
      </c>
      <c r="B8857" s="59" t="inlineStr">
        <is>
          <t>2025-08-09</t>
        </is>
      </c>
      <c r="C8857" s="60" t="inlineStr">
        <is>
          <t>Polar Haircare Max-614</t>
        </is>
      </c>
      <c r="D8857" s="58" t="inlineStr">
        <is>
          <t>Beauty</t>
        </is>
      </c>
      <c r="E8857" s="58" t="inlineStr">
        <is>
          <t>West</t>
        </is>
      </c>
      <c r="F8857" s="61" t="n">
        <v>5</v>
      </c>
      <c r="G8857" s="62" t="n">
        <v>117.06</v>
      </c>
      <c r="H8857" s="63" t="n">
        <v>0.216</v>
      </c>
      <c r="I8857" s="62" t="n">
        <v>70.25</v>
      </c>
      <c r="J8857" s="58" t="inlineStr">
        <is>
          <t>Online</t>
        </is>
      </c>
      <c r="K8857" s="62">
        <f>F8857*(G8857-H8857)</f>
        <v/>
      </c>
      <c r="L8857" s="62">
        <f>K8857-(F8857*I8857)</f>
        <v/>
      </c>
      <c r="M8857" s="64">
        <f>L8857/K8857</f>
        <v/>
      </c>
    </row>
    <row r="8858">
      <c r="A8858" s="58" t="inlineStr">
        <is>
          <t>RT20250809-08857</t>
        </is>
      </c>
      <c r="B8858" s="59" t="inlineStr">
        <is>
          <t>2025-08-09</t>
        </is>
      </c>
      <c r="C8858" s="60" t="inlineStr">
        <is>
          <t>Nimbus Laptop Max-652</t>
        </is>
      </c>
      <c r="D8858" s="58" t="inlineStr">
        <is>
          <t>Electronics</t>
        </is>
      </c>
      <c r="E8858" s="58" t="inlineStr">
        <is>
          <t>South</t>
        </is>
      </c>
      <c r="F8858" s="61" t="n">
        <v>1</v>
      </c>
      <c r="G8858" s="62" t="n">
        <v>1187.62</v>
      </c>
      <c r="H8858" s="63" t="n">
        <v>0.128</v>
      </c>
      <c r="I8858" s="62" t="n">
        <v>1005.44</v>
      </c>
      <c r="J8858" s="58" t="inlineStr">
        <is>
          <t>Store</t>
        </is>
      </c>
      <c r="K8858" s="62">
        <f>F8858*(G8858-H8858)</f>
        <v/>
      </c>
      <c r="L8858" s="62">
        <f>K8858-(F8858*I8858)</f>
        <v/>
      </c>
      <c r="M8858" s="64">
        <f>L8858/K8858</f>
        <v/>
      </c>
    </row>
    <row r="8859">
      <c r="A8859" s="58" t="inlineStr">
        <is>
          <t>RT20250809-08858</t>
        </is>
      </c>
      <c r="B8859" s="59" t="inlineStr">
        <is>
          <t>2025-08-09</t>
        </is>
      </c>
      <c r="C8859" s="60" t="inlineStr">
        <is>
          <t>Falcon Storage X-734</t>
        </is>
      </c>
      <c r="D8859" s="58" t="inlineStr">
        <is>
          <t>Office</t>
        </is>
      </c>
      <c r="E8859" s="58" t="inlineStr">
        <is>
          <t>East</t>
        </is>
      </c>
      <c r="F8859" s="61" t="n">
        <v>3</v>
      </c>
      <c r="G8859" s="62" t="n">
        <v>384.47</v>
      </c>
      <c r="H8859" s="63" t="n">
        <v>0.168</v>
      </c>
      <c r="I8859" s="62" t="n">
        <v>278.4</v>
      </c>
      <c r="J8859" s="58" t="inlineStr">
        <is>
          <t>Online</t>
        </is>
      </c>
      <c r="K8859" s="62">
        <f>F8859*(G8859-H8859)</f>
        <v/>
      </c>
      <c r="L8859" s="62">
        <f>K8859-(F8859*I8859)</f>
        <v/>
      </c>
      <c r="M8859" s="64">
        <f>L8859/K8859</f>
        <v/>
      </c>
    </row>
    <row r="8860">
      <c r="A8860" s="58" t="inlineStr">
        <is>
          <t>RT20250809-08859</t>
        </is>
      </c>
      <c r="B8860" s="59" t="inlineStr">
        <is>
          <t>2025-08-09</t>
        </is>
      </c>
      <c r="C8860" s="60" t="inlineStr">
        <is>
          <t>Metro Laptop Plus-376</t>
        </is>
      </c>
      <c r="D8860" s="58" t="inlineStr">
        <is>
          <t>Electronics</t>
        </is>
      </c>
      <c r="E8860" s="58" t="inlineStr">
        <is>
          <t>West</t>
        </is>
      </c>
      <c r="F8860" s="61" t="n">
        <v>1</v>
      </c>
      <c r="G8860" s="62" t="n">
        <v>1254.03</v>
      </c>
      <c r="H8860" s="63" t="n">
        <v>0.125</v>
      </c>
      <c r="I8860" s="62" t="n">
        <v>1033.14</v>
      </c>
      <c r="J8860" s="58" t="inlineStr">
        <is>
          <t>Online</t>
        </is>
      </c>
      <c r="K8860" s="62">
        <f>F8860*(G8860-H8860)</f>
        <v/>
      </c>
      <c r="L8860" s="62">
        <f>K8860-(F8860*I8860)</f>
        <v/>
      </c>
      <c r="M8860" s="64">
        <f>L8860/K8860</f>
        <v/>
      </c>
    </row>
    <row r="8861">
      <c r="A8861" s="58" t="inlineStr">
        <is>
          <t>RT20250809-08860</t>
        </is>
      </c>
      <c r="B8861" s="59" t="inlineStr">
        <is>
          <t>2025-08-09</t>
        </is>
      </c>
      <c r="C8861" s="60" t="inlineStr">
        <is>
          <t>Aurora Makeup S-626</t>
        </is>
      </c>
      <c r="D8861" s="58" t="inlineStr">
        <is>
          <t>Beauty</t>
        </is>
      </c>
      <c r="E8861" s="58" t="inlineStr">
        <is>
          <t>East</t>
        </is>
      </c>
      <c r="F8861" s="61" t="n">
        <v>5</v>
      </c>
      <c r="G8861" s="62" t="n">
        <v>102.62</v>
      </c>
      <c r="H8861" s="63" t="n">
        <v>0.171</v>
      </c>
      <c r="I8861" s="62" t="n">
        <v>62.38</v>
      </c>
      <c r="J8861" s="58" t="inlineStr">
        <is>
          <t>Store</t>
        </is>
      </c>
      <c r="K8861" s="62">
        <f>F8861*(G8861-H8861)</f>
        <v/>
      </c>
      <c r="L8861" s="62">
        <f>K8861-(F8861*I8861)</f>
        <v/>
      </c>
      <c r="M8861" s="64">
        <f>L8861/K8861</f>
        <v/>
      </c>
    </row>
    <row r="8862">
      <c r="A8862" s="58" t="inlineStr">
        <is>
          <t>RT20250809-08861</t>
        </is>
      </c>
      <c r="B8862" s="59" t="inlineStr">
        <is>
          <t>2025-08-09</t>
        </is>
      </c>
      <c r="C8862" s="60" t="inlineStr">
        <is>
          <t>Aurora Fitnes Lite-194</t>
        </is>
      </c>
      <c r="D8862" s="58" t="inlineStr">
        <is>
          <t>Sports</t>
        </is>
      </c>
      <c r="E8862" s="58" t="inlineStr">
        <is>
          <t>East</t>
        </is>
      </c>
      <c r="F8862" s="61" t="n">
        <v>1</v>
      </c>
      <c r="G8862" s="62" t="n">
        <v>734.84</v>
      </c>
      <c r="H8862" s="63" t="n">
        <v>0.142</v>
      </c>
      <c r="I8862" s="62" t="n">
        <v>474.34</v>
      </c>
      <c r="J8862" s="58" t="inlineStr">
        <is>
          <t>Online</t>
        </is>
      </c>
      <c r="K8862" s="62">
        <f>F8862*(G8862-H8862)</f>
        <v/>
      </c>
      <c r="L8862" s="62">
        <f>K8862-(F8862*I8862)</f>
        <v/>
      </c>
      <c r="M8862" s="64">
        <f>L8862/K8862</f>
        <v/>
      </c>
    </row>
    <row r="8863">
      <c r="A8863" s="58" t="inlineStr">
        <is>
          <t>RT20250809-08862</t>
        </is>
      </c>
      <c r="B8863" s="59" t="inlineStr">
        <is>
          <t>2025-08-09</t>
        </is>
      </c>
      <c r="C8863" s="60" t="inlineStr">
        <is>
          <t>Solace Makeup Pro-214</t>
        </is>
      </c>
      <c r="D8863" s="58" t="inlineStr">
        <is>
          <t>Beauty</t>
        </is>
      </c>
      <c r="E8863" s="58" t="inlineStr">
        <is>
          <t>North</t>
        </is>
      </c>
      <c r="F8863" s="61" t="n">
        <v>3</v>
      </c>
      <c r="G8863" s="62" t="n">
        <v>109.39</v>
      </c>
      <c r="H8863" s="63" t="n">
        <v>0.131</v>
      </c>
      <c r="I8863" s="62" t="n">
        <v>68.67</v>
      </c>
      <c r="J8863" s="58" t="inlineStr">
        <is>
          <t>Online</t>
        </is>
      </c>
      <c r="K8863" s="62">
        <f>F8863*(G8863-H8863)</f>
        <v/>
      </c>
      <c r="L8863" s="62">
        <f>K8863-(F8863*I8863)</f>
        <v/>
      </c>
      <c r="M8863" s="64">
        <f>L8863/K8863</f>
        <v/>
      </c>
    </row>
    <row r="8864">
      <c r="A8864" s="58" t="inlineStr">
        <is>
          <t>RT20250809-08863</t>
        </is>
      </c>
      <c r="B8864" s="59" t="inlineStr">
        <is>
          <t>2025-08-09</t>
        </is>
      </c>
      <c r="C8864" s="60" t="inlineStr">
        <is>
          <t>Vertex Decor Pro-618</t>
        </is>
      </c>
      <c r="D8864" s="58" t="inlineStr">
        <is>
          <t>Home</t>
        </is>
      </c>
      <c r="E8864" s="58" t="inlineStr">
        <is>
          <t>Central</t>
        </is>
      </c>
      <c r="F8864" s="61" t="n">
        <v>3</v>
      </c>
      <c r="G8864" s="62" t="n">
        <v>515.9</v>
      </c>
      <c r="H8864" s="63" t="n">
        <v>0.17</v>
      </c>
      <c r="I8864" s="62" t="n">
        <v>378.12</v>
      </c>
      <c r="J8864" s="58" t="inlineStr">
        <is>
          <t>Online</t>
        </is>
      </c>
      <c r="K8864" s="62">
        <f>F8864*(G8864-H8864)</f>
        <v/>
      </c>
      <c r="L8864" s="62">
        <f>K8864-(F8864*I8864)</f>
        <v/>
      </c>
      <c r="M8864" s="64">
        <f>L8864/K8864</f>
        <v/>
      </c>
    </row>
    <row r="8865">
      <c r="A8865" s="58" t="inlineStr">
        <is>
          <t>RT20250809-08864</t>
        </is>
      </c>
      <c r="B8865" s="59" t="inlineStr">
        <is>
          <t>2025-08-09</t>
        </is>
      </c>
      <c r="C8865" s="60" t="inlineStr">
        <is>
          <t>Aurora Storage Lite-774</t>
        </is>
      </c>
      <c r="D8865" s="58" t="inlineStr">
        <is>
          <t>Office</t>
        </is>
      </c>
      <c r="E8865" s="58" t="inlineStr">
        <is>
          <t>West</t>
        </is>
      </c>
      <c r="F8865" s="61" t="n">
        <v>3</v>
      </c>
      <c r="G8865" s="62" t="n">
        <v>367.19</v>
      </c>
      <c r="H8865" s="63" t="n">
        <v>0.151</v>
      </c>
      <c r="I8865" s="62" t="n">
        <v>235.13</v>
      </c>
      <c r="J8865" s="58" t="inlineStr">
        <is>
          <t>Store</t>
        </is>
      </c>
      <c r="K8865" s="62">
        <f>F8865*(G8865-H8865)</f>
        <v/>
      </c>
      <c r="L8865" s="62">
        <f>K8865-(F8865*I8865)</f>
        <v/>
      </c>
      <c r="M8865" s="64">
        <f>L8865/K8865</f>
        <v/>
      </c>
    </row>
    <row r="8866">
      <c r="A8866" s="58" t="inlineStr">
        <is>
          <t>RT20250809-08865</t>
        </is>
      </c>
      <c r="B8866" s="59" t="inlineStr">
        <is>
          <t>2025-08-09</t>
        </is>
      </c>
      <c r="C8866" s="60" t="inlineStr">
        <is>
          <t>Solace Fitnes S-324</t>
        </is>
      </c>
      <c r="D8866" s="58" t="inlineStr">
        <is>
          <t>Sports</t>
        </is>
      </c>
      <c r="E8866" s="58" t="inlineStr">
        <is>
          <t>South</t>
        </is>
      </c>
      <c r="F8866" s="61" t="n">
        <v>1</v>
      </c>
      <c r="G8866" s="62" t="n">
        <v>913.63</v>
      </c>
      <c r="H8866" s="63" t="n">
        <v>0.17</v>
      </c>
      <c r="I8866" s="62" t="n">
        <v>512.3200000000001</v>
      </c>
      <c r="J8866" s="58" t="inlineStr">
        <is>
          <t>Online</t>
        </is>
      </c>
      <c r="K8866" s="62">
        <f>F8866*(G8866-H8866)</f>
        <v/>
      </c>
      <c r="L8866" s="62">
        <f>K8866-(F8866*I8866)</f>
        <v/>
      </c>
      <c r="M8866" s="64">
        <f>L8866/K8866</f>
        <v/>
      </c>
    </row>
    <row r="8867">
      <c r="A8867" s="58" t="inlineStr">
        <is>
          <t>RT20250809-08866</t>
        </is>
      </c>
      <c r="B8867" s="59" t="inlineStr">
        <is>
          <t>2025-08-09</t>
        </is>
      </c>
      <c r="C8867" s="60" t="inlineStr">
        <is>
          <t>Metro Printer X-294</t>
        </is>
      </c>
      <c r="D8867" s="58" t="inlineStr">
        <is>
          <t>Office</t>
        </is>
      </c>
      <c r="E8867" s="58" t="inlineStr">
        <is>
          <t>East</t>
        </is>
      </c>
      <c r="F8867" s="61" t="n">
        <v>1</v>
      </c>
      <c r="G8867" s="62" t="n">
        <v>633.3099999999999</v>
      </c>
      <c r="H8867" s="63" t="n">
        <v>0.16</v>
      </c>
      <c r="I8867" s="62" t="n">
        <v>416.94</v>
      </c>
      <c r="J8867" s="58" t="inlineStr">
        <is>
          <t>Store</t>
        </is>
      </c>
      <c r="K8867" s="62">
        <f>F8867*(G8867-H8867)</f>
        <v/>
      </c>
      <c r="L8867" s="62">
        <f>K8867-(F8867*I8867)</f>
        <v/>
      </c>
      <c r="M8867" s="64">
        <f>L8867/K8867</f>
        <v/>
      </c>
    </row>
    <row r="8868">
      <c r="A8868" s="58" t="inlineStr">
        <is>
          <t>RT20250810-08867</t>
        </is>
      </c>
      <c r="B8868" s="59" t="inlineStr">
        <is>
          <t>2025-08-10</t>
        </is>
      </c>
      <c r="C8868" s="60" t="inlineStr">
        <is>
          <t>Vertex Decor Pro-618</t>
        </is>
      </c>
      <c r="D8868" s="58" t="inlineStr">
        <is>
          <t>Home</t>
        </is>
      </c>
      <c r="E8868" s="58" t="inlineStr">
        <is>
          <t>Central</t>
        </is>
      </c>
      <c r="F8868" s="61" t="n">
        <v>2</v>
      </c>
      <c r="G8868" s="62" t="n">
        <v>505.54</v>
      </c>
      <c r="H8868" s="63" t="n">
        <v>0.115</v>
      </c>
      <c r="I8868" s="62" t="n">
        <v>368.55</v>
      </c>
      <c r="J8868" s="58" t="inlineStr">
        <is>
          <t>Store</t>
        </is>
      </c>
      <c r="K8868" s="62">
        <f>F8868*(G8868-H8868)</f>
        <v/>
      </c>
      <c r="L8868" s="62">
        <f>K8868-(F8868*I8868)</f>
        <v/>
      </c>
      <c r="M8868" s="64">
        <f>L8868/K8868</f>
        <v/>
      </c>
    </row>
    <row r="8869">
      <c r="A8869" s="58" t="inlineStr">
        <is>
          <t>RT20250810-08868</t>
        </is>
      </c>
      <c r="B8869" s="59" t="inlineStr">
        <is>
          <t>2025-08-10</t>
        </is>
      </c>
      <c r="C8869" s="60" t="inlineStr">
        <is>
          <t>Vertex Snack S-702</t>
        </is>
      </c>
      <c r="D8869" s="58" t="inlineStr">
        <is>
          <t>Grocery</t>
        </is>
      </c>
      <c r="E8869" s="58" t="inlineStr">
        <is>
          <t>East</t>
        </is>
      </c>
      <c r="F8869" s="61" t="n">
        <v>2</v>
      </c>
      <c r="G8869" s="62" t="n">
        <v>1.85</v>
      </c>
      <c r="H8869" s="63" t="n">
        <v>0.146</v>
      </c>
      <c r="I8869" s="62" t="n">
        <v>1.44</v>
      </c>
      <c r="J8869" s="58" t="inlineStr">
        <is>
          <t>Online</t>
        </is>
      </c>
      <c r="K8869" s="62">
        <f>F8869*(G8869-H8869)</f>
        <v/>
      </c>
      <c r="L8869" s="62">
        <f>K8869-(F8869*I8869)</f>
        <v/>
      </c>
      <c r="M8869" s="64">
        <f>L8869/K8869</f>
        <v/>
      </c>
    </row>
    <row r="8870">
      <c r="A8870" s="58" t="inlineStr">
        <is>
          <t>RT20250810-08869</t>
        </is>
      </c>
      <c r="B8870" s="59" t="inlineStr">
        <is>
          <t>2025-08-10</t>
        </is>
      </c>
      <c r="C8870" s="60" t="inlineStr">
        <is>
          <t>Orion Fragrance Lite-785</t>
        </is>
      </c>
      <c r="D8870" s="58" t="inlineStr">
        <is>
          <t>Beauty</t>
        </is>
      </c>
      <c r="E8870" s="58" t="inlineStr">
        <is>
          <t>Central</t>
        </is>
      </c>
      <c r="F8870" s="61" t="n">
        <v>4</v>
      </c>
      <c r="G8870" s="62" t="n">
        <v>45.72</v>
      </c>
      <c r="H8870" s="63" t="n">
        <v>0.196</v>
      </c>
      <c r="I8870" s="62" t="n">
        <v>27.71</v>
      </c>
      <c r="J8870" s="58" t="inlineStr">
        <is>
          <t>Store</t>
        </is>
      </c>
      <c r="K8870" s="62">
        <f>F8870*(G8870-H8870)</f>
        <v/>
      </c>
      <c r="L8870" s="62">
        <f>K8870-(F8870*I8870)</f>
        <v/>
      </c>
      <c r="M8870" s="64">
        <f>L8870/K8870</f>
        <v/>
      </c>
    </row>
    <row r="8871">
      <c r="A8871" s="58" t="inlineStr">
        <is>
          <t>RT20250810-08870</t>
        </is>
      </c>
      <c r="B8871" s="59" t="inlineStr">
        <is>
          <t>2025-08-10</t>
        </is>
      </c>
      <c r="C8871" s="60" t="inlineStr">
        <is>
          <t>Metro Smartphone Max-773</t>
        </is>
      </c>
      <c r="D8871" s="58" t="inlineStr">
        <is>
          <t>Electronics</t>
        </is>
      </c>
      <c r="E8871" s="58" t="inlineStr">
        <is>
          <t>Central</t>
        </is>
      </c>
      <c r="F8871" s="61" t="n">
        <v>2</v>
      </c>
      <c r="G8871" s="62" t="n">
        <v>1417.17</v>
      </c>
      <c r="H8871" s="63" t="n">
        <v>0.153</v>
      </c>
      <c r="I8871" s="62" t="n">
        <v>1112.73</v>
      </c>
      <c r="J8871" s="58" t="inlineStr">
        <is>
          <t>Online</t>
        </is>
      </c>
      <c r="K8871" s="62">
        <f>F8871*(G8871-H8871)</f>
        <v/>
      </c>
      <c r="L8871" s="62">
        <f>K8871-(F8871*I8871)</f>
        <v/>
      </c>
      <c r="M8871" s="64">
        <f>L8871/K8871</f>
        <v/>
      </c>
    </row>
    <row r="8872">
      <c r="A8872" s="58" t="inlineStr">
        <is>
          <t>RT20250810-08871</t>
        </is>
      </c>
      <c r="B8872" s="59" t="inlineStr">
        <is>
          <t>2025-08-10</t>
        </is>
      </c>
      <c r="C8872" s="60" t="inlineStr">
        <is>
          <t>Metro Accessorie Lite-697</t>
        </is>
      </c>
      <c r="D8872" s="58" t="inlineStr">
        <is>
          <t>Apparel</t>
        </is>
      </c>
      <c r="E8872" s="58" t="inlineStr">
        <is>
          <t>Central</t>
        </is>
      </c>
      <c r="F8872" s="61" t="n">
        <v>3</v>
      </c>
      <c r="G8872" s="62" t="n">
        <v>140.65</v>
      </c>
      <c r="H8872" s="63" t="n">
        <v>0.117</v>
      </c>
      <c r="I8872" s="62" t="n">
        <v>75.62</v>
      </c>
      <c r="J8872" s="58" t="inlineStr">
        <is>
          <t>Online</t>
        </is>
      </c>
      <c r="K8872" s="62">
        <f>F8872*(G8872-H8872)</f>
        <v/>
      </c>
      <c r="L8872" s="62">
        <f>K8872-(F8872*I8872)</f>
        <v/>
      </c>
      <c r="M8872" s="64">
        <f>L8872/K8872</f>
        <v/>
      </c>
    </row>
    <row r="8873">
      <c r="A8873" s="58" t="inlineStr">
        <is>
          <t>RT20250810-08872</t>
        </is>
      </c>
      <c r="B8873" s="59" t="inlineStr">
        <is>
          <t>2025-08-10</t>
        </is>
      </c>
      <c r="C8873" s="60" t="inlineStr">
        <is>
          <t>Vertex Printer Max-692</t>
        </is>
      </c>
      <c r="D8873" s="58" t="inlineStr">
        <is>
          <t>Office</t>
        </is>
      </c>
      <c r="E8873" s="58" t="inlineStr">
        <is>
          <t>North</t>
        </is>
      </c>
      <c r="F8873" s="61" t="n">
        <v>2</v>
      </c>
      <c r="G8873" s="62" t="n">
        <v>172.84</v>
      </c>
      <c r="H8873" s="63" t="n">
        <v>0.17</v>
      </c>
      <c r="I8873" s="62" t="n">
        <v>124.37</v>
      </c>
      <c r="J8873" s="58" t="inlineStr">
        <is>
          <t>Online</t>
        </is>
      </c>
      <c r="K8873" s="62">
        <f>F8873*(G8873-H8873)</f>
        <v/>
      </c>
      <c r="L8873" s="62">
        <f>K8873-(F8873*I8873)</f>
        <v/>
      </c>
      <c r="M8873" s="64">
        <f>L8873/K8873</f>
        <v/>
      </c>
    </row>
    <row r="8874">
      <c r="A8874" s="58" t="inlineStr">
        <is>
          <t>RT20250810-08873</t>
        </is>
      </c>
      <c r="B8874" s="59" t="inlineStr">
        <is>
          <t>2025-08-10</t>
        </is>
      </c>
      <c r="C8874" s="60" t="inlineStr">
        <is>
          <t>Aurora Furniture X-709</t>
        </is>
      </c>
      <c r="D8874" s="58" t="inlineStr">
        <is>
          <t>Office</t>
        </is>
      </c>
      <c r="E8874" s="58" t="inlineStr">
        <is>
          <t>West</t>
        </is>
      </c>
      <c r="F8874" s="61" t="n">
        <v>1</v>
      </c>
      <c r="G8874" s="62" t="n">
        <v>412.22</v>
      </c>
      <c r="H8874" s="63" t="n">
        <v>0.149</v>
      </c>
      <c r="I8874" s="62" t="n">
        <v>304.58</v>
      </c>
      <c r="J8874" s="58" t="inlineStr">
        <is>
          <t>Online</t>
        </is>
      </c>
      <c r="K8874" s="62">
        <f>F8874*(G8874-H8874)</f>
        <v/>
      </c>
      <c r="L8874" s="62">
        <f>K8874-(F8874*I8874)</f>
        <v/>
      </c>
      <c r="M8874" s="64">
        <f>L8874/K8874</f>
        <v/>
      </c>
    </row>
    <row r="8875">
      <c r="A8875" s="58" t="inlineStr">
        <is>
          <t>RT20250810-08874</t>
        </is>
      </c>
      <c r="B8875" s="59" t="inlineStr">
        <is>
          <t>2025-08-10</t>
        </is>
      </c>
      <c r="C8875" s="60" t="inlineStr">
        <is>
          <t>Orion Kitchen Pro-568</t>
        </is>
      </c>
      <c r="D8875" s="58" t="inlineStr">
        <is>
          <t>Home</t>
        </is>
      </c>
      <c r="E8875" s="58" t="inlineStr">
        <is>
          <t>Central</t>
        </is>
      </c>
      <c r="F8875" s="61" t="n">
        <v>3</v>
      </c>
      <c r="G8875" s="62" t="n">
        <v>451.2</v>
      </c>
      <c r="H8875" s="63" t="n">
        <v>0.138</v>
      </c>
      <c r="I8875" s="62" t="n">
        <v>307.03</v>
      </c>
      <c r="J8875" s="58" t="inlineStr">
        <is>
          <t>Store</t>
        </is>
      </c>
      <c r="K8875" s="62">
        <f>F8875*(G8875-H8875)</f>
        <v/>
      </c>
      <c r="L8875" s="62">
        <f>K8875-(F8875*I8875)</f>
        <v/>
      </c>
      <c r="M8875" s="64">
        <f>L8875/K8875</f>
        <v/>
      </c>
    </row>
    <row r="8876">
      <c r="A8876" s="58" t="inlineStr">
        <is>
          <t>RT20250810-08875</t>
        </is>
      </c>
      <c r="B8876" s="59" t="inlineStr">
        <is>
          <t>2025-08-10</t>
        </is>
      </c>
      <c r="C8876" s="60" t="inlineStr">
        <is>
          <t>Aurora Household Plus-146</t>
        </is>
      </c>
      <c r="D8876" s="58" t="inlineStr">
        <is>
          <t>Grocery</t>
        </is>
      </c>
      <c r="E8876" s="58" t="inlineStr">
        <is>
          <t>East</t>
        </is>
      </c>
      <c r="F8876" s="61" t="n">
        <v>8</v>
      </c>
      <c r="G8876" s="62" t="n">
        <v>6.33</v>
      </c>
      <c r="H8876" s="63" t="n">
        <v>0.18</v>
      </c>
      <c r="I8876" s="62" t="n">
        <v>4.59</v>
      </c>
      <c r="J8876" s="58" t="inlineStr">
        <is>
          <t>Store</t>
        </is>
      </c>
      <c r="K8876" s="62">
        <f>F8876*(G8876-H8876)</f>
        <v/>
      </c>
      <c r="L8876" s="62">
        <f>K8876-(F8876*I8876)</f>
        <v/>
      </c>
      <c r="M8876" s="64">
        <f>L8876/K8876</f>
        <v/>
      </c>
    </row>
    <row r="8877">
      <c r="A8877" s="58" t="inlineStr">
        <is>
          <t>RT20250810-08876</t>
        </is>
      </c>
      <c r="B8877" s="59" t="inlineStr">
        <is>
          <t>2025-08-10</t>
        </is>
      </c>
      <c r="C8877" s="60" t="inlineStr">
        <is>
          <t>Nimbus Laptop Max-652</t>
        </is>
      </c>
      <c r="D8877" s="58" t="inlineStr">
        <is>
          <t>Electronics</t>
        </is>
      </c>
      <c r="E8877" s="58" t="inlineStr">
        <is>
          <t>West</t>
        </is>
      </c>
      <c r="F8877" s="61" t="n">
        <v>1</v>
      </c>
      <c r="G8877" s="62" t="n">
        <v>1350.28</v>
      </c>
      <c r="H8877" s="63" t="n">
        <v>0.187</v>
      </c>
      <c r="I8877" s="62" t="n">
        <v>1056.36</v>
      </c>
      <c r="J8877" s="58" t="inlineStr">
        <is>
          <t>Online</t>
        </is>
      </c>
      <c r="K8877" s="62">
        <f>F8877*(G8877-H8877)</f>
        <v/>
      </c>
      <c r="L8877" s="62">
        <f>K8877-(F8877*I8877)</f>
        <v/>
      </c>
      <c r="M8877" s="64">
        <f>L8877/K8877</f>
        <v/>
      </c>
    </row>
    <row r="8878">
      <c r="A8878" s="58" t="inlineStr">
        <is>
          <t>RT20250810-08877</t>
        </is>
      </c>
      <c r="B8878" s="59" t="inlineStr">
        <is>
          <t>2025-08-10</t>
        </is>
      </c>
      <c r="C8878" s="60" t="inlineStr">
        <is>
          <t>Polar Outdoor X-193</t>
        </is>
      </c>
      <c r="D8878" s="58" t="inlineStr">
        <is>
          <t>Sports</t>
        </is>
      </c>
      <c r="E8878" s="58" t="inlineStr">
        <is>
          <t>North</t>
        </is>
      </c>
      <c r="F8878" s="61" t="n">
        <v>2</v>
      </c>
      <c r="G8878" s="62" t="n">
        <v>657.05</v>
      </c>
      <c r="H8878" s="63" t="n">
        <v>0.166</v>
      </c>
      <c r="I8878" s="62" t="n">
        <v>468.65</v>
      </c>
      <c r="J8878" s="58" t="inlineStr">
        <is>
          <t>Online</t>
        </is>
      </c>
      <c r="K8878" s="62">
        <f>F8878*(G8878-H8878)</f>
        <v/>
      </c>
      <c r="L8878" s="62">
        <f>K8878-(F8878*I8878)</f>
        <v/>
      </c>
      <c r="M8878" s="64">
        <f>L8878/K8878</f>
        <v/>
      </c>
    </row>
    <row r="8879">
      <c r="A8879" s="58" t="inlineStr">
        <is>
          <t>RT20250810-08878</t>
        </is>
      </c>
      <c r="B8879" s="59" t="inlineStr">
        <is>
          <t>2025-08-10</t>
        </is>
      </c>
      <c r="C8879" s="60" t="inlineStr">
        <is>
          <t>Nimbus Women Lite-814</t>
        </is>
      </c>
      <c r="D8879" s="58" t="inlineStr">
        <is>
          <t>Apparel</t>
        </is>
      </c>
      <c r="E8879" s="58" t="inlineStr">
        <is>
          <t>Central</t>
        </is>
      </c>
      <c r="F8879" s="61" t="n">
        <v>4</v>
      </c>
      <c r="G8879" s="62" t="n">
        <v>154.49</v>
      </c>
      <c r="H8879" s="63" t="n">
        <v>0.179</v>
      </c>
      <c r="I8879" s="62" t="n">
        <v>81.19</v>
      </c>
      <c r="J8879" s="58" t="inlineStr">
        <is>
          <t>Store</t>
        </is>
      </c>
      <c r="K8879" s="62">
        <f>F8879*(G8879-H8879)</f>
        <v/>
      </c>
      <c r="L8879" s="62">
        <f>K8879-(F8879*I8879)</f>
        <v/>
      </c>
      <c r="M8879" s="64">
        <f>L8879/K8879</f>
        <v/>
      </c>
    </row>
    <row r="8880">
      <c r="A8880" s="58" t="inlineStr">
        <is>
          <t>RT20250810-08879</t>
        </is>
      </c>
      <c r="B8880" s="59" t="inlineStr">
        <is>
          <t>2025-08-10</t>
        </is>
      </c>
      <c r="C8880" s="60" t="inlineStr">
        <is>
          <t>Vertex Headphone Pro-801</t>
        </is>
      </c>
      <c r="D8880" s="58" t="inlineStr">
        <is>
          <t>Electronics</t>
        </is>
      </c>
      <c r="E8880" s="58" t="inlineStr">
        <is>
          <t>East</t>
        </is>
      </c>
      <c r="F8880" s="61" t="n">
        <v>1</v>
      </c>
      <c r="G8880" s="62" t="n">
        <v>1326.97</v>
      </c>
      <c r="H8880" s="63" t="n">
        <v>0.185</v>
      </c>
      <c r="I8880" s="62" t="n">
        <v>998.34</v>
      </c>
      <c r="J8880" s="58" t="inlineStr">
        <is>
          <t>Store</t>
        </is>
      </c>
      <c r="K8880" s="62">
        <f>F8880*(G8880-H8880)</f>
        <v/>
      </c>
      <c r="L8880" s="62">
        <f>K8880-(F8880*I8880)</f>
        <v/>
      </c>
      <c r="M8880" s="64">
        <f>L8880/K8880</f>
        <v/>
      </c>
    </row>
    <row r="8881">
      <c r="A8881" s="58" t="inlineStr">
        <is>
          <t>RT20250810-08880</t>
        </is>
      </c>
      <c r="B8881" s="59" t="inlineStr">
        <is>
          <t>2025-08-10</t>
        </is>
      </c>
      <c r="C8881" s="60" t="inlineStr">
        <is>
          <t>Orion Fragrance Lite-785</t>
        </is>
      </c>
      <c r="D8881" s="58" t="inlineStr">
        <is>
          <t>Beauty</t>
        </is>
      </c>
      <c r="E8881" s="58" t="inlineStr">
        <is>
          <t>South</t>
        </is>
      </c>
      <c r="F8881" s="61" t="n">
        <v>1</v>
      </c>
      <c r="G8881" s="62" t="n">
        <v>45.16</v>
      </c>
      <c r="H8881" s="63" t="n">
        <v>0.166</v>
      </c>
      <c r="I8881" s="62" t="n">
        <v>27.69</v>
      </c>
      <c r="J8881" s="58" t="inlineStr">
        <is>
          <t>Online</t>
        </is>
      </c>
      <c r="K8881" s="62">
        <f>F8881*(G8881-H8881)</f>
        <v/>
      </c>
      <c r="L8881" s="62">
        <f>K8881-(F8881*I8881)</f>
        <v/>
      </c>
      <c r="M8881" s="64">
        <f>L8881/K8881</f>
        <v/>
      </c>
    </row>
    <row r="8882">
      <c r="A8882" s="58" t="inlineStr">
        <is>
          <t>RT20250810-08881</t>
        </is>
      </c>
      <c r="B8882" s="59" t="inlineStr">
        <is>
          <t>2025-08-10</t>
        </is>
      </c>
      <c r="C8882" s="60" t="inlineStr">
        <is>
          <t>Vertex Printer Max-692</t>
        </is>
      </c>
      <c r="D8882" s="58" t="inlineStr">
        <is>
          <t>Office</t>
        </is>
      </c>
      <c r="E8882" s="58" t="inlineStr">
        <is>
          <t>South</t>
        </is>
      </c>
      <c r="F8882" s="61" t="n">
        <v>3</v>
      </c>
      <c r="G8882" s="62" t="n">
        <v>184.7</v>
      </c>
      <c r="H8882" s="63" t="n">
        <v>0.138</v>
      </c>
      <c r="I8882" s="62" t="n">
        <v>122.41</v>
      </c>
      <c r="J8882" s="58" t="inlineStr">
        <is>
          <t>Online</t>
        </is>
      </c>
      <c r="K8882" s="62">
        <f>F8882*(G8882-H8882)</f>
        <v/>
      </c>
      <c r="L8882" s="62">
        <f>K8882-(F8882*I8882)</f>
        <v/>
      </c>
      <c r="M8882" s="64">
        <f>L8882/K8882</f>
        <v/>
      </c>
    </row>
    <row r="8883">
      <c r="A8883" s="58" t="inlineStr">
        <is>
          <t>RT20250810-08882</t>
        </is>
      </c>
      <c r="B8883" s="59" t="inlineStr">
        <is>
          <t>2025-08-10</t>
        </is>
      </c>
      <c r="C8883" s="60" t="inlineStr">
        <is>
          <t>Metro Accessorie Max-316</t>
        </is>
      </c>
      <c r="D8883" s="58" t="inlineStr">
        <is>
          <t>Apparel</t>
        </is>
      </c>
      <c r="E8883" s="58" t="inlineStr">
        <is>
          <t>Central</t>
        </is>
      </c>
      <c r="F8883" s="61" t="n">
        <v>4</v>
      </c>
      <c r="G8883" s="62" t="n">
        <v>168.28</v>
      </c>
      <c r="H8883" s="63" t="n">
        <v>0.157</v>
      </c>
      <c r="I8883" s="62" t="n">
        <v>95.23</v>
      </c>
      <c r="J8883" s="58" t="inlineStr">
        <is>
          <t>Online</t>
        </is>
      </c>
      <c r="K8883" s="62">
        <f>F8883*(G8883-H8883)</f>
        <v/>
      </c>
      <c r="L8883" s="62">
        <f>K8883-(F8883*I8883)</f>
        <v/>
      </c>
      <c r="M8883" s="64">
        <f>L8883/K8883</f>
        <v/>
      </c>
    </row>
    <row r="8884">
      <c r="A8884" s="58" t="inlineStr">
        <is>
          <t>RT20250810-08883</t>
        </is>
      </c>
      <c r="B8884" s="59" t="inlineStr">
        <is>
          <t>2025-08-10</t>
        </is>
      </c>
      <c r="C8884" s="60" t="inlineStr">
        <is>
          <t>Falcon Headphone Pro-713</t>
        </is>
      </c>
      <c r="D8884" s="58" t="inlineStr">
        <is>
          <t>Electronics</t>
        </is>
      </c>
      <c r="E8884" s="58" t="inlineStr">
        <is>
          <t>East</t>
        </is>
      </c>
      <c r="F8884" s="61" t="n">
        <v>2</v>
      </c>
      <c r="G8884" s="62" t="n">
        <v>1406.58</v>
      </c>
      <c r="H8884" s="63" t="n">
        <v>0.165</v>
      </c>
      <c r="I8884" s="62" t="n">
        <v>1140.28</v>
      </c>
      <c r="J8884" s="58" t="inlineStr">
        <is>
          <t>Phone</t>
        </is>
      </c>
      <c r="K8884" s="62">
        <f>F8884*(G8884-H8884)</f>
        <v/>
      </c>
      <c r="L8884" s="62">
        <f>K8884-(F8884*I8884)</f>
        <v/>
      </c>
      <c r="M8884" s="64">
        <f>L8884/K8884</f>
        <v/>
      </c>
    </row>
    <row r="8885">
      <c r="A8885" s="58" t="inlineStr">
        <is>
          <t>RT20250810-08884</t>
        </is>
      </c>
      <c r="B8885" s="59" t="inlineStr">
        <is>
          <t>2025-08-10</t>
        </is>
      </c>
      <c r="C8885" s="60" t="inlineStr">
        <is>
          <t>Falcon Kitchen X-130</t>
        </is>
      </c>
      <c r="D8885" s="58" t="inlineStr">
        <is>
          <t>Home</t>
        </is>
      </c>
      <c r="E8885" s="58" t="inlineStr">
        <is>
          <t>East</t>
        </is>
      </c>
      <c r="F8885" s="61" t="n">
        <v>3</v>
      </c>
      <c r="G8885" s="62" t="n">
        <v>421.82</v>
      </c>
      <c r="H8885" s="63" t="n">
        <v>0.159</v>
      </c>
      <c r="I8885" s="62" t="n">
        <v>281.07</v>
      </c>
      <c r="J8885" s="58" t="inlineStr">
        <is>
          <t>Online</t>
        </is>
      </c>
      <c r="K8885" s="62">
        <f>F8885*(G8885-H8885)</f>
        <v/>
      </c>
      <c r="L8885" s="62">
        <f>K8885-(F8885*I8885)</f>
        <v/>
      </c>
      <c r="M8885" s="64">
        <f>L8885/K8885</f>
        <v/>
      </c>
    </row>
    <row r="8886">
      <c r="A8886" s="58" t="inlineStr">
        <is>
          <t>RT20250810-08885</t>
        </is>
      </c>
      <c r="B8886" s="59" t="inlineStr">
        <is>
          <t>2025-08-10</t>
        </is>
      </c>
      <c r="C8886" s="60" t="inlineStr">
        <is>
          <t>Polar Pantry Lite-392</t>
        </is>
      </c>
      <c r="D8886" s="58" t="inlineStr">
        <is>
          <t>Grocery</t>
        </is>
      </c>
      <c r="E8886" s="58" t="inlineStr">
        <is>
          <t>North</t>
        </is>
      </c>
      <c r="F8886" s="61" t="n">
        <v>5</v>
      </c>
      <c r="G8886" s="62" t="n">
        <v>5.96</v>
      </c>
      <c r="H8886" s="63" t="n">
        <v>0.143</v>
      </c>
      <c r="I8886" s="62" t="n">
        <v>4.52</v>
      </c>
      <c r="J8886" s="58" t="inlineStr">
        <is>
          <t>Online</t>
        </is>
      </c>
      <c r="K8886" s="62">
        <f>F8886*(G8886-H8886)</f>
        <v/>
      </c>
      <c r="L8886" s="62">
        <f>K8886-(F8886*I8886)</f>
        <v/>
      </c>
      <c r="M8886" s="64">
        <f>L8886/K8886</f>
        <v/>
      </c>
    </row>
    <row r="8887">
      <c r="A8887" s="58" t="inlineStr">
        <is>
          <t>RT20250810-08886</t>
        </is>
      </c>
      <c r="B8887" s="59" t="inlineStr">
        <is>
          <t>2025-08-10</t>
        </is>
      </c>
      <c r="C8887" s="60" t="inlineStr">
        <is>
          <t>Orion Team Sport X-926</t>
        </is>
      </c>
      <c r="D8887" s="58" t="inlineStr">
        <is>
          <t>Sports</t>
        </is>
      </c>
      <c r="E8887" s="58" t="inlineStr">
        <is>
          <t>South</t>
        </is>
      </c>
      <c r="F8887" s="61" t="n">
        <v>3</v>
      </c>
      <c r="G8887" s="62" t="n">
        <v>323.56</v>
      </c>
      <c r="H8887" s="63" t="n">
        <v>0.178</v>
      </c>
      <c r="I8887" s="62" t="n">
        <v>211.37</v>
      </c>
      <c r="J8887" s="58" t="inlineStr">
        <is>
          <t>Online</t>
        </is>
      </c>
      <c r="K8887" s="62">
        <f>F8887*(G8887-H8887)</f>
        <v/>
      </c>
      <c r="L8887" s="62">
        <f>K8887-(F8887*I8887)</f>
        <v/>
      </c>
      <c r="M8887" s="64">
        <f>L8887/K8887</f>
        <v/>
      </c>
    </row>
    <row r="8888">
      <c r="A8888" s="58" t="inlineStr">
        <is>
          <t>RT20250810-08887</t>
        </is>
      </c>
      <c r="B8888" s="59" t="inlineStr">
        <is>
          <t>2025-08-10</t>
        </is>
      </c>
      <c r="C8888" s="60" t="inlineStr">
        <is>
          <t>Vertex Smartphone Pro-256</t>
        </is>
      </c>
      <c r="D8888" s="58" t="inlineStr">
        <is>
          <t>Electronics</t>
        </is>
      </c>
      <c r="E8888" s="58" t="inlineStr">
        <is>
          <t>West</t>
        </is>
      </c>
      <c r="F8888" s="61" t="n">
        <v>1</v>
      </c>
      <c r="G8888" s="62" t="n">
        <v>1192.59</v>
      </c>
      <c r="H8888" s="63" t="n">
        <v>0.178</v>
      </c>
      <c r="I8888" s="62" t="n">
        <v>919.53</v>
      </c>
      <c r="J8888" s="58" t="inlineStr">
        <is>
          <t>Online</t>
        </is>
      </c>
      <c r="K8888" s="62">
        <f>F8888*(G8888-H8888)</f>
        <v/>
      </c>
      <c r="L8888" s="62">
        <f>K8888-(F8888*I8888)</f>
        <v/>
      </c>
      <c r="M8888" s="64">
        <f>L8888/K8888</f>
        <v/>
      </c>
    </row>
    <row r="8889">
      <c r="A8889" s="58" t="inlineStr">
        <is>
          <t>RT20250810-08888</t>
        </is>
      </c>
      <c r="B8889" s="59" t="inlineStr">
        <is>
          <t>2025-08-10</t>
        </is>
      </c>
      <c r="C8889" s="60" t="inlineStr">
        <is>
          <t>Nimbus Women Plus-352</t>
        </is>
      </c>
      <c r="D8889" s="58" t="inlineStr">
        <is>
          <t>Apparel</t>
        </is>
      </c>
      <c r="E8889" s="58" t="inlineStr">
        <is>
          <t>West</t>
        </is>
      </c>
      <c r="F8889" s="61" t="n">
        <v>2</v>
      </c>
      <c r="G8889" s="62" t="n">
        <v>60.23</v>
      </c>
      <c r="H8889" s="63" t="n">
        <v>0.168</v>
      </c>
      <c r="I8889" s="62" t="n">
        <v>33.39</v>
      </c>
      <c r="J8889" s="58" t="inlineStr">
        <is>
          <t>Online</t>
        </is>
      </c>
      <c r="K8889" s="62">
        <f>F8889*(G8889-H8889)</f>
        <v/>
      </c>
      <c r="L8889" s="62">
        <f>K8889-(F8889*I8889)</f>
        <v/>
      </c>
      <c r="M8889" s="64">
        <f>L8889/K8889</f>
        <v/>
      </c>
    </row>
    <row r="8890">
      <c r="A8890" s="58" t="inlineStr">
        <is>
          <t>RT20250810-08889</t>
        </is>
      </c>
      <c r="B8890" s="59" t="inlineStr">
        <is>
          <t>2025-08-10</t>
        </is>
      </c>
      <c r="C8890" s="60" t="inlineStr">
        <is>
          <t>Falcon Household Plus-796</t>
        </is>
      </c>
      <c r="D8890" s="58" t="inlineStr">
        <is>
          <t>Grocery</t>
        </is>
      </c>
      <c r="E8890" s="58" t="inlineStr">
        <is>
          <t>West</t>
        </is>
      </c>
      <c r="F8890" s="61" t="n">
        <v>6</v>
      </c>
      <c r="G8890" s="62" t="n">
        <v>24.26</v>
      </c>
      <c r="H8890" s="63" t="n">
        <v>0.183</v>
      </c>
      <c r="I8890" s="62" t="n">
        <v>17.34</v>
      </c>
      <c r="J8890" s="58" t="inlineStr">
        <is>
          <t>Online</t>
        </is>
      </c>
      <c r="K8890" s="62">
        <f>F8890*(G8890-H8890)</f>
        <v/>
      </c>
      <c r="L8890" s="62">
        <f>K8890-(F8890*I8890)</f>
        <v/>
      </c>
      <c r="M8890" s="64">
        <f>L8890/K8890</f>
        <v/>
      </c>
    </row>
    <row r="8891">
      <c r="A8891" s="58" t="inlineStr">
        <is>
          <t>RT20250810-08890</t>
        </is>
      </c>
      <c r="B8891" s="59" t="inlineStr">
        <is>
          <t>2025-08-10</t>
        </is>
      </c>
      <c r="C8891" s="60" t="inlineStr">
        <is>
          <t>Solace Kitchen X-919</t>
        </is>
      </c>
      <c r="D8891" s="58" t="inlineStr">
        <is>
          <t>Home</t>
        </is>
      </c>
      <c r="E8891" s="58" t="inlineStr">
        <is>
          <t>South</t>
        </is>
      </c>
      <c r="F8891" s="61" t="n">
        <v>1</v>
      </c>
      <c r="G8891" s="62" t="n">
        <v>354.01</v>
      </c>
      <c r="H8891" s="63" t="n">
        <v>0.142</v>
      </c>
      <c r="I8891" s="62" t="n">
        <v>256.86</v>
      </c>
      <c r="J8891" s="58" t="inlineStr">
        <is>
          <t>Online</t>
        </is>
      </c>
      <c r="K8891" s="62">
        <f>F8891*(G8891-H8891)</f>
        <v/>
      </c>
      <c r="L8891" s="62">
        <f>K8891-(F8891*I8891)</f>
        <v/>
      </c>
      <c r="M8891" s="64">
        <f>L8891/K8891</f>
        <v/>
      </c>
    </row>
    <row r="8892">
      <c r="A8892" s="58" t="inlineStr">
        <is>
          <t>RT20250810-08891</t>
        </is>
      </c>
      <c r="B8892" s="59" t="inlineStr">
        <is>
          <t>2025-08-10</t>
        </is>
      </c>
      <c r="C8892" s="60" t="inlineStr">
        <is>
          <t>Metro Printer X-294</t>
        </is>
      </c>
      <c r="D8892" s="58" t="inlineStr">
        <is>
          <t>Office</t>
        </is>
      </c>
      <c r="E8892" s="58" t="inlineStr">
        <is>
          <t>Central</t>
        </is>
      </c>
      <c r="F8892" s="61" t="n">
        <v>3</v>
      </c>
      <c r="G8892" s="62" t="n">
        <v>651.72</v>
      </c>
      <c r="H8892" s="63" t="n">
        <v>0.106</v>
      </c>
      <c r="I8892" s="62" t="n">
        <v>418.03</v>
      </c>
      <c r="J8892" s="58" t="inlineStr">
        <is>
          <t>Online</t>
        </is>
      </c>
      <c r="K8892" s="62">
        <f>F8892*(G8892-H8892)</f>
        <v/>
      </c>
      <c r="L8892" s="62">
        <f>K8892-(F8892*I8892)</f>
        <v/>
      </c>
      <c r="M8892" s="64">
        <f>L8892/K8892</f>
        <v/>
      </c>
    </row>
    <row r="8893">
      <c r="A8893" s="58" t="inlineStr">
        <is>
          <t>RT20250810-08892</t>
        </is>
      </c>
      <c r="B8893" s="59" t="inlineStr">
        <is>
          <t>2025-08-10</t>
        </is>
      </c>
      <c r="C8893" s="60" t="inlineStr">
        <is>
          <t>Polar Bedding Lite-243</t>
        </is>
      </c>
      <c r="D8893" s="58" t="inlineStr">
        <is>
          <t>Home</t>
        </is>
      </c>
      <c r="E8893" s="58" t="inlineStr">
        <is>
          <t>East</t>
        </is>
      </c>
      <c r="F8893" s="61" t="n">
        <v>1</v>
      </c>
      <c r="G8893" s="62" t="n">
        <v>464.56</v>
      </c>
      <c r="H8893" s="63" t="n">
        <v>0.179</v>
      </c>
      <c r="I8893" s="62" t="n">
        <v>317.13</v>
      </c>
      <c r="J8893" s="58" t="inlineStr">
        <is>
          <t>Online</t>
        </is>
      </c>
      <c r="K8893" s="62">
        <f>F8893*(G8893-H8893)</f>
        <v/>
      </c>
      <c r="L8893" s="62">
        <f>K8893-(F8893*I8893)</f>
        <v/>
      </c>
      <c r="M8893" s="64">
        <f>L8893/K8893</f>
        <v/>
      </c>
    </row>
    <row r="8894">
      <c r="A8894" s="58" t="inlineStr">
        <is>
          <t>RT20250810-08893</t>
        </is>
      </c>
      <c r="B8894" s="59" t="inlineStr">
        <is>
          <t>2025-08-10</t>
        </is>
      </c>
      <c r="C8894" s="60" t="inlineStr">
        <is>
          <t>Falcon Household Pro-865</t>
        </is>
      </c>
      <c r="D8894" s="58" t="inlineStr">
        <is>
          <t>Grocery</t>
        </is>
      </c>
      <c r="E8894" s="58" t="inlineStr">
        <is>
          <t>West</t>
        </is>
      </c>
      <c r="F8894" s="61" t="n">
        <v>4</v>
      </c>
      <c r="G8894" s="62" t="n">
        <v>11.22</v>
      </c>
      <c r="H8894" s="63" t="n">
        <v>0.126</v>
      </c>
      <c r="I8894" s="62" t="n">
        <v>7.66</v>
      </c>
      <c r="J8894" s="58" t="inlineStr">
        <is>
          <t>Phone</t>
        </is>
      </c>
      <c r="K8894" s="62">
        <f>F8894*(G8894-H8894)</f>
        <v/>
      </c>
      <c r="L8894" s="62">
        <f>K8894-(F8894*I8894)</f>
        <v/>
      </c>
      <c r="M8894" s="64">
        <f>L8894/K8894</f>
        <v/>
      </c>
    </row>
    <row r="8895">
      <c r="A8895" s="58" t="inlineStr">
        <is>
          <t>RT20250810-08894</t>
        </is>
      </c>
      <c r="B8895" s="59" t="inlineStr">
        <is>
          <t>2025-08-10</t>
        </is>
      </c>
      <c r="C8895" s="60" t="inlineStr">
        <is>
          <t>Aurora Smartphone Plus-125</t>
        </is>
      </c>
      <c r="D8895" s="58" t="inlineStr">
        <is>
          <t>Electronics</t>
        </is>
      </c>
      <c r="E8895" s="58" t="inlineStr">
        <is>
          <t>North</t>
        </is>
      </c>
      <c r="F8895" s="61" t="n">
        <v>1</v>
      </c>
      <c r="G8895" s="62" t="n">
        <v>1654.69</v>
      </c>
      <c r="H8895" s="63" t="n">
        <v>0.145</v>
      </c>
      <c r="I8895" s="62" t="n">
        <v>1193.45</v>
      </c>
      <c r="J8895" s="58" t="inlineStr">
        <is>
          <t>Store</t>
        </is>
      </c>
      <c r="K8895" s="62">
        <f>F8895*(G8895-H8895)</f>
        <v/>
      </c>
      <c r="L8895" s="62">
        <f>K8895-(F8895*I8895)</f>
        <v/>
      </c>
      <c r="M8895" s="64">
        <f>L8895/K8895</f>
        <v/>
      </c>
    </row>
    <row r="8896">
      <c r="A8896" s="58" t="inlineStr">
        <is>
          <t>RT20250810-08895</t>
        </is>
      </c>
      <c r="B8896" s="59" t="inlineStr">
        <is>
          <t>2025-08-10</t>
        </is>
      </c>
      <c r="C8896" s="60" t="inlineStr">
        <is>
          <t>Orion Men X-928</t>
        </is>
      </c>
      <c r="D8896" s="58" t="inlineStr">
        <is>
          <t>Apparel</t>
        </is>
      </c>
      <c r="E8896" s="58" t="inlineStr">
        <is>
          <t>Central</t>
        </is>
      </c>
      <c r="F8896" s="61" t="n">
        <v>2</v>
      </c>
      <c r="G8896" s="62" t="n">
        <v>109.12</v>
      </c>
      <c r="H8896" s="63" t="n">
        <v>0.163</v>
      </c>
      <c r="I8896" s="62" t="n">
        <v>64.36</v>
      </c>
      <c r="J8896" s="58" t="inlineStr">
        <is>
          <t>Online</t>
        </is>
      </c>
      <c r="K8896" s="62">
        <f>F8896*(G8896-H8896)</f>
        <v/>
      </c>
      <c r="L8896" s="62">
        <f>K8896-(F8896*I8896)</f>
        <v/>
      </c>
      <c r="M8896" s="64">
        <f>L8896/K8896</f>
        <v/>
      </c>
    </row>
    <row r="8897">
      <c r="A8897" s="58" t="inlineStr">
        <is>
          <t>RT20250810-08896</t>
        </is>
      </c>
      <c r="B8897" s="59" t="inlineStr">
        <is>
          <t>2025-08-10</t>
        </is>
      </c>
      <c r="C8897" s="60" t="inlineStr">
        <is>
          <t>Polar Cycling X-649</t>
        </is>
      </c>
      <c r="D8897" s="58" t="inlineStr">
        <is>
          <t>Sports</t>
        </is>
      </c>
      <c r="E8897" s="58" t="inlineStr">
        <is>
          <t>West</t>
        </is>
      </c>
      <c r="F8897" s="61" t="n">
        <v>2</v>
      </c>
      <c r="G8897" s="62" t="n">
        <v>583.34</v>
      </c>
      <c r="H8897" s="63" t="n">
        <v>0.169</v>
      </c>
      <c r="I8897" s="62" t="n">
        <v>371.15</v>
      </c>
      <c r="J8897" s="58" t="inlineStr">
        <is>
          <t>Store</t>
        </is>
      </c>
      <c r="K8897" s="62">
        <f>F8897*(G8897-H8897)</f>
        <v/>
      </c>
      <c r="L8897" s="62">
        <f>K8897-(F8897*I8897)</f>
        <v/>
      </c>
      <c r="M8897" s="64">
        <f>L8897/K8897</f>
        <v/>
      </c>
    </row>
    <row r="8898">
      <c r="A8898" s="58" t="inlineStr">
        <is>
          <t>RT20250810-08897</t>
        </is>
      </c>
      <c r="B8898" s="59" t="inlineStr">
        <is>
          <t>2025-08-10</t>
        </is>
      </c>
      <c r="C8898" s="60" t="inlineStr">
        <is>
          <t>Metro Pantry X-710</t>
        </is>
      </c>
      <c r="D8898" s="58" t="inlineStr">
        <is>
          <t>Grocery</t>
        </is>
      </c>
      <c r="E8898" s="58" t="inlineStr">
        <is>
          <t>Central</t>
        </is>
      </c>
      <c r="F8898" s="61" t="n">
        <v>6</v>
      </c>
      <c r="G8898" s="62" t="n">
        <v>5.5</v>
      </c>
      <c r="H8898" s="63" t="n">
        <v>0.223</v>
      </c>
      <c r="I8898" s="62" t="n">
        <v>4.11</v>
      </c>
      <c r="J8898" s="58" t="inlineStr">
        <is>
          <t>Store</t>
        </is>
      </c>
      <c r="K8898" s="62">
        <f>F8898*(G8898-H8898)</f>
        <v/>
      </c>
      <c r="L8898" s="62">
        <f>K8898-(F8898*I8898)</f>
        <v/>
      </c>
      <c r="M8898" s="64">
        <f>L8898/K8898</f>
        <v/>
      </c>
    </row>
    <row r="8899">
      <c r="A8899" s="58" t="inlineStr">
        <is>
          <t>RT20250810-08898</t>
        </is>
      </c>
      <c r="B8899" s="59" t="inlineStr">
        <is>
          <t>2025-08-10</t>
        </is>
      </c>
      <c r="C8899" s="60" t="inlineStr">
        <is>
          <t>Vertex Smartphone Pro-256</t>
        </is>
      </c>
      <c r="D8899" s="58" t="inlineStr">
        <is>
          <t>Electronics</t>
        </is>
      </c>
      <c r="E8899" s="58" t="inlineStr">
        <is>
          <t>West</t>
        </is>
      </c>
      <c r="F8899" s="61" t="n">
        <v>1</v>
      </c>
      <c r="G8899" s="62" t="n">
        <v>1162.56</v>
      </c>
      <c r="H8899" s="63" t="n">
        <v>0.117</v>
      </c>
      <c r="I8899" s="62" t="n">
        <v>914.97</v>
      </c>
      <c r="J8899" s="58" t="inlineStr">
        <is>
          <t>Online</t>
        </is>
      </c>
      <c r="K8899" s="62">
        <f>F8899*(G8899-H8899)</f>
        <v/>
      </c>
      <c r="L8899" s="62">
        <f>K8899-(F8899*I8899)</f>
        <v/>
      </c>
      <c r="M8899" s="64">
        <f>L8899/K8899</f>
        <v/>
      </c>
    </row>
    <row r="8900">
      <c r="A8900" s="58" t="inlineStr">
        <is>
          <t>RT20250810-08899</t>
        </is>
      </c>
      <c r="B8900" s="59" t="inlineStr">
        <is>
          <t>2025-08-10</t>
        </is>
      </c>
      <c r="C8900" s="60" t="inlineStr">
        <is>
          <t>Polar Snack Pro-641</t>
        </is>
      </c>
      <c r="D8900" s="58" t="inlineStr">
        <is>
          <t>Grocery</t>
        </is>
      </c>
      <c r="E8900" s="58" t="inlineStr">
        <is>
          <t>East</t>
        </is>
      </c>
      <c r="F8900" s="61" t="n">
        <v>8</v>
      </c>
      <c r="G8900" s="62" t="n">
        <v>13.39</v>
      </c>
      <c r="H8900" s="63" t="n">
        <v>0.13</v>
      </c>
      <c r="I8900" s="62" t="n">
        <v>9.35</v>
      </c>
      <c r="J8900" s="58" t="inlineStr">
        <is>
          <t>Online</t>
        </is>
      </c>
      <c r="K8900" s="62">
        <f>F8900*(G8900-H8900)</f>
        <v/>
      </c>
      <c r="L8900" s="62">
        <f>K8900-(F8900*I8900)</f>
        <v/>
      </c>
      <c r="M8900" s="64">
        <f>L8900/K8900</f>
        <v/>
      </c>
    </row>
    <row r="8901">
      <c r="A8901" s="58" t="inlineStr">
        <is>
          <t>RT20250811-08900</t>
        </is>
      </c>
      <c r="B8901" s="59" t="inlineStr">
        <is>
          <t>2025-08-11</t>
        </is>
      </c>
      <c r="C8901" s="60" t="inlineStr">
        <is>
          <t>Polar Decor X-935</t>
        </is>
      </c>
      <c r="D8901" s="58" t="inlineStr">
        <is>
          <t>Home</t>
        </is>
      </c>
      <c r="E8901" s="58" t="inlineStr">
        <is>
          <t>North</t>
        </is>
      </c>
      <c r="F8901" s="61" t="n">
        <v>3</v>
      </c>
      <c r="G8901" s="62" t="n">
        <v>298.42</v>
      </c>
      <c r="H8901" s="63" t="n">
        <v>0.164</v>
      </c>
      <c r="I8901" s="62" t="n">
        <v>199.69</v>
      </c>
      <c r="J8901" s="58" t="inlineStr">
        <is>
          <t>Online</t>
        </is>
      </c>
      <c r="K8901" s="62">
        <f>F8901*(G8901-H8901)</f>
        <v/>
      </c>
      <c r="L8901" s="62">
        <f>K8901-(F8901*I8901)</f>
        <v/>
      </c>
      <c r="M8901" s="64">
        <f>L8901/K8901</f>
        <v/>
      </c>
    </row>
    <row r="8902">
      <c r="A8902" s="58" t="inlineStr">
        <is>
          <t>RT20250811-08901</t>
        </is>
      </c>
      <c r="B8902" s="59" t="inlineStr">
        <is>
          <t>2025-08-11</t>
        </is>
      </c>
      <c r="C8902" s="60" t="inlineStr">
        <is>
          <t>Polar Women Max-927</t>
        </is>
      </c>
      <c r="D8902" s="58" t="inlineStr">
        <is>
          <t>Apparel</t>
        </is>
      </c>
      <c r="E8902" s="58" t="inlineStr">
        <is>
          <t>West</t>
        </is>
      </c>
      <c r="F8902" s="61" t="n">
        <v>1</v>
      </c>
      <c r="G8902" s="62" t="n">
        <v>128</v>
      </c>
      <c r="H8902" s="63" t="n">
        <v>0.137</v>
      </c>
      <c r="I8902" s="62" t="n">
        <v>67.13</v>
      </c>
      <c r="J8902" s="58" t="inlineStr">
        <is>
          <t>Phone</t>
        </is>
      </c>
      <c r="K8902" s="62">
        <f>F8902*(G8902-H8902)</f>
        <v/>
      </c>
      <c r="L8902" s="62">
        <f>K8902-(F8902*I8902)</f>
        <v/>
      </c>
      <c r="M8902" s="64">
        <f>L8902/K8902</f>
        <v/>
      </c>
    </row>
    <row r="8903">
      <c r="A8903" s="58" t="inlineStr">
        <is>
          <t>RT20250811-08902</t>
        </is>
      </c>
      <c r="B8903" s="59" t="inlineStr">
        <is>
          <t>2025-08-11</t>
        </is>
      </c>
      <c r="C8903" s="60" t="inlineStr">
        <is>
          <t>Orion Haircare Plus-887</t>
        </is>
      </c>
      <c r="D8903" s="58" t="inlineStr">
        <is>
          <t>Beauty</t>
        </is>
      </c>
      <c r="E8903" s="58" t="inlineStr">
        <is>
          <t>West</t>
        </is>
      </c>
      <c r="F8903" s="61" t="n">
        <v>4</v>
      </c>
      <c r="G8903" s="62" t="n">
        <v>49.69</v>
      </c>
      <c r="H8903" s="63" t="n">
        <v>0.11</v>
      </c>
      <c r="I8903" s="62" t="n">
        <v>31.38</v>
      </c>
      <c r="J8903" s="58" t="inlineStr">
        <is>
          <t>Online</t>
        </is>
      </c>
      <c r="K8903" s="62">
        <f>F8903*(G8903-H8903)</f>
        <v/>
      </c>
      <c r="L8903" s="62">
        <f>K8903-(F8903*I8903)</f>
        <v/>
      </c>
      <c r="M8903" s="64">
        <f>L8903/K8903</f>
        <v/>
      </c>
    </row>
    <row r="8904">
      <c r="A8904" s="58" t="inlineStr">
        <is>
          <t>RT20250811-08903</t>
        </is>
      </c>
      <c r="B8904" s="59" t="inlineStr">
        <is>
          <t>2025-08-11</t>
        </is>
      </c>
      <c r="C8904" s="60" t="inlineStr">
        <is>
          <t>Orion Kid Max-864</t>
        </is>
      </c>
      <c r="D8904" s="58" t="inlineStr">
        <is>
          <t>Apparel</t>
        </is>
      </c>
      <c r="E8904" s="58" t="inlineStr">
        <is>
          <t>North</t>
        </is>
      </c>
      <c r="F8904" s="61" t="n">
        <v>1</v>
      </c>
      <c r="G8904" s="62" t="n">
        <v>84.04000000000001</v>
      </c>
      <c r="H8904" s="63" t="n">
        <v>0.166</v>
      </c>
      <c r="I8904" s="62" t="n">
        <v>45.24</v>
      </c>
      <c r="J8904" s="58" t="inlineStr">
        <is>
          <t>Store</t>
        </is>
      </c>
      <c r="K8904" s="62">
        <f>F8904*(G8904-H8904)</f>
        <v/>
      </c>
      <c r="L8904" s="62">
        <f>K8904-(F8904*I8904)</f>
        <v/>
      </c>
      <c r="M8904" s="64">
        <f>L8904/K8904</f>
        <v/>
      </c>
    </row>
    <row r="8905">
      <c r="A8905" s="58" t="inlineStr">
        <is>
          <t>RT20250811-08904</t>
        </is>
      </c>
      <c r="B8905" s="59" t="inlineStr">
        <is>
          <t>2025-08-11</t>
        </is>
      </c>
      <c r="C8905" s="60" t="inlineStr">
        <is>
          <t>Metro Outdoor Plus-787</t>
        </is>
      </c>
      <c r="D8905" s="58" t="inlineStr">
        <is>
          <t>Sports</t>
        </is>
      </c>
      <c r="E8905" s="58" t="inlineStr">
        <is>
          <t>North</t>
        </is>
      </c>
      <c r="F8905" s="61" t="n">
        <v>3</v>
      </c>
      <c r="G8905" s="62" t="n">
        <v>541.52</v>
      </c>
      <c r="H8905" s="63" t="n">
        <v>0.124</v>
      </c>
      <c r="I8905" s="62" t="n">
        <v>349.26</v>
      </c>
      <c r="J8905" s="58" t="inlineStr">
        <is>
          <t>Online</t>
        </is>
      </c>
      <c r="K8905" s="62">
        <f>F8905*(G8905-H8905)</f>
        <v/>
      </c>
      <c r="L8905" s="62">
        <f>K8905-(F8905*I8905)</f>
        <v/>
      </c>
      <c r="M8905" s="64">
        <f>L8905/K8905</f>
        <v/>
      </c>
    </row>
    <row r="8906">
      <c r="A8906" s="58" t="inlineStr">
        <is>
          <t>RT20250811-08905</t>
        </is>
      </c>
      <c r="B8906" s="59" t="inlineStr">
        <is>
          <t>2025-08-11</t>
        </is>
      </c>
      <c r="C8906" s="60" t="inlineStr">
        <is>
          <t>Solace Kid S-384</t>
        </is>
      </c>
      <c r="D8906" s="58" t="inlineStr">
        <is>
          <t>Apparel</t>
        </is>
      </c>
      <c r="E8906" s="58" t="inlineStr">
        <is>
          <t>Central</t>
        </is>
      </c>
      <c r="F8906" s="61" t="n">
        <v>4</v>
      </c>
      <c r="G8906" s="62" t="n">
        <v>119.54</v>
      </c>
      <c r="H8906" s="63" t="n">
        <v>0.188</v>
      </c>
      <c r="I8906" s="62" t="n">
        <v>62.86</v>
      </c>
      <c r="J8906" s="58" t="inlineStr">
        <is>
          <t>Online</t>
        </is>
      </c>
      <c r="K8906" s="62">
        <f>F8906*(G8906-H8906)</f>
        <v/>
      </c>
      <c r="L8906" s="62">
        <f>K8906-(F8906*I8906)</f>
        <v/>
      </c>
      <c r="M8906" s="64">
        <f>L8906/K8906</f>
        <v/>
      </c>
    </row>
    <row r="8907">
      <c r="A8907" s="58" t="inlineStr">
        <is>
          <t>RT20250811-08906</t>
        </is>
      </c>
      <c r="B8907" s="59" t="inlineStr">
        <is>
          <t>2025-08-11</t>
        </is>
      </c>
      <c r="C8907" s="60" t="inlineStr">
        <is>
          <t>Vertex Appliance Max-338</t>
        </is>
      </c>
      <c r="D8907" s="58" t="inlineStr">
        <is>
          <t>Home</t>
        </is>
      </c>
      <c r="E8907" s="58" t="inlineStr">
        <is>
          <t>East</t>
        </is>
      </c>
      <c r="F8907" s="61" t="n">
        <v>2</v>
      </c>
      <c r="G8907" s="62" t="n">
        <v>442.3</v>
      </c>
      <c r="H8907" s="63" t="n">
        <v>0.152</v>
      </c>
      <c r="I8907" s="62" t="n">
        <v>295.58</v>
      </c>
      <c r="J8907" s="58" t="inlineStr">
        <is>
          <t>Store</t>
        </is>
      </c>
      <c r="K8907" s="62">
        <f>F8907*(G8907-H8907)</f>
        <v/>
      </c>
      <c r="L8907" s="62">
        <f>K8907-(F8907*I8907)</f>
        <v/>
      </c>
      <c r="M8907" s="64">
        <f>L8907/K8907</f>
        <v/>
      </c>
    </row>
    <row r="8908">
      <c r="A8908" s="58" t="inlineStr">
        <is>
          <t>RT20250811-08907</t>
        </is>
      </c>
      <c r="B8908" s="59" t="inlineStr">
        <is>
          <t>2025-08-11</t>
        </is>
      </c>
      <c r="C8908" s="60" t="inlineStr">
        <is>
          <t>Metro Printer X-294</t>
        </is>
      </c>
      <c r="D8908" s="58" t="inlineStr">
        <is>
          <t>Office</t>
        </is>
      </c>
      <c r="E8908" s="58" t="inlineStr">
        <is>
          <t>North</t>
        </is>
      </c>
      <c r="F8908" s="61" t="n">
        <v>3</v>
      </c>
      <c r="G8908" s="62" t="n">
        <v>564.54</v>
      </c>
      <c r="H8908" s="63" t="n">
        <v>0.135</v>
      </c>
      <c r="I8908" s="62" t="n">
        <v>414.77</v>
      </c>
      <c r="J8908" s="58" t="inlineStr">
        <is>
          <t>Online</t>
        </is>
      </c>
      <c r="K8908" s="62">
        <f>F8908*(G8908-H8908)</f>
        <v/>
      </c>
      <c r="L8908" s="62">
        <f>K8908-(F8908*I8908)</f>
        <v/>
      </c>
      <c r="M8908" s="64">
        <f>L8908/K8908</f>
        <v/>
      </c>
    </row>
    <row r="8909">
      <c r="A8909" s="58" t="inlineStr">
        <is>
          <t>RT20250811-08908</t>
        </is>
      </c>
      <c r="B8909" s="59" t="inlineStr">
        <is>
          <t>2025-08-11</t>
        </is>
      </c>
      <c r="C8909" s="60" t="inlineStr">
        <is>
          <t>Falcon Household Pro-865</t>
        </is>
      </c>
      <c r="D8909" s="58" t="inlineStr">
        <is>
          <t>Grocery</t>
        </is>
      </c>
      <c r="E8909" s="58" t="inlineStr">
        <is>
          <t>East</t>
        </is>
      </c>
      <c r="F8909" s="61" t="n">
        <v>4</v>
      </c>
      <c r="G8909" s="62" t="n">
        <v>11.86</v>
      </c>
      <c r="H8909" s="63" t="n">
        <v>0.136</v>
      </c>
      <c r="I8909" s="62" t="n">
        <v>7.83</v>
      </c>
      <c r="J8909" s="58" t="inlineStr">
        <is>
          <t>Online</t>
        </is>
      </c>
      <c r="K8909" s="62">
        <f>F8909*(G8909-H8909)</f>
        <v/>
      </c>
      <c r="L8909" s="62">
        <f>K8909-(F8909*I8909)</f>
        <v/>
      </c>
      <c r="M8909" s="64">
        <f>L8909/K8909</f>
        <v/>
      </c>
    </row>
    <row r="8910">
      <c r="A8910" s="58" t="inlineStr">
        <is>
          <t>RT20250811-08909</t>
        </is>
      </c>
      <c r="B8910" s="59" t="inlineStr">
        <is>
          <t>2025-08-11</t>
        </is>
      </c>
      <c r="C8910" s="60" t="inlineStr">
        <is>
          <t>Metro Fragrance Lite-261</t>
        </is>
      </c>
      <c r="D8910" s="58" t="inlineStr">
        <is>
          <t>Beauty</t>
        </is>
      </c>
      <c r="E8910" s="58" t="inlineStr">
        <is>
          <t>Central</t>
        </is>
      </c>
      <c r="F8910" s="61" t="n">
        <v>2</v>
      </c>
      <c r="G8910" s="62" t="n">
        <v>91.3</v>
      </c>
      <c r="H8910" s="63" t="n">
        <v>0.127</v>
      </c>
      <c r="I8910" s="62" t="n">
        <v>54.63</v>
      </c>
      <c r="J8910" s="58" t="inlineStr">
        <is>
          <t>Online</t>
        </is>
      </c>
      <c r="K8910" s="62">
        <f>F8910*(G8910-H8910)</f>
        <v/>
      </c>
      <c r="L8910" s="62">
        <f>K8910-(F8910*I8910)</f>
        <v/>
      </c>
      <c r="M8910" s="64">
        <f>L8910/K8910</f>
        <v/>
      </c>
    </row>
    <row r="8911">
      <c r="A8911" s="58" t="inlineStr">
        <is>
          <t>RT20250811-08910</t>
        </is>
      </c>
      <c r="B8911" s="59" t="inlineStr">
        <is>
          <t>2025-08-11</t>
        </is>
      </c>
      <c r="C8911" s="60" t="inlineStr">
        <is>
          <t>Vertex Men X-995</t>
        </is>
      </c>
      <c r="D8911" s="58" t="inlineStr">
        <is>
          <t>Apparel</t>
        </is>
      </c>
      <c r="E8911" s="58" t="inlineStr">
        <is>
          <t>East</t>
        </is>
      </c>
      <c r="F8911" s="61" t="n">
        <v>2</v>
      </c>
      <c r="G8911" s="62" t="n">
        <v>97</v>
      </c>
      <c r="H8911" s="63" t="n">
        <v>0.176</v>
      </c>
      <c r="I8911" s="62" t="n">
        <v>58.89</v>
      </c>
      <c r="J8911" s="58" t="inlineStr">
        <is>
          <t>Online</t>
        </is>
      </c>
      <c r="K8911" s="62">
        <f>F8911*(G8911-H8911)</f>
        <v/>
      </c>
      <c r="L8911" s="62">
        <f>K8911-(F8911*I8911)</f>
        <v/>
      </c>
      <c r="M8911" s="64">
        <f>L8911/K8911</f>
        <v/>
      </c>
    </row>
    <row r="8912">
      <c r="A8912" s="58" t="inlineStr">
        <is>
          <t>RT20250811-08911</t>
        </is>
      </c>
      <c r="B8912" s="59" t="inlineStr">
        <is>
          <t>2025-08-11</t>
        </is>
      </c>
      <c r="C8912" s="60" t="inlineStr">
        <is>
          <t>Polar Supplie Lite-348</t>
        </is>
      </c>
      <c r="D8912" s="58" t="inlineStr">
        <is>
          <t>Office</t>
        </is>
      </c>
      <c r="E8912" s="58" t="inlineStr">
        <is>
          <t>East</t>
        </is>
      </c>
      <c r="F8912" s="61" t="n">
        <v>2</v>
      </c>
      <c r="G8912" s="62" t="n">
        <v>490.74</v>
      </c>
      <c r="H8912" s="63" t="n">
        <v>0.134</v>
      </c>
      <c r="I8912" s="62" t="n">
        <v>308.37</v>
      </c>
      <c r="J8912" s="58" t="inlineStr">
        <is>
          <t>Phone</t>
        </is>
      </c>
      <c r="K8912" s="62">
        <f>F8912*(G8912-H8912)</f>
        <v/>
      </c>
      <c r="L8912" s="62">
        <f>K8912-(F8912*I8912)</f>
        <v/>
      </c>
      <c r="M8912" s="64">
        <f>L8912/K8912</f>
        <v/>
      </c>
    </row>
    <row r="8913">
      <c r="A8913" s="58" t="inlineStr">
        <is>
          <t>RT20250811-08912</t>
        </is>
      </c>
      <c r="B8913" s="59" t="inlineStr">
        <is>
          <t>2025-08-11</t>
        </is>
      </c>
      <c r="C8913" s="60" t="inlineStr">
        <is>
          <t>Vertex Pantry Pro-165</t>
        </is>
      </c>
      <c r="D8913" s="58" t="inlineStr">
        <is>
          <t>Grocery</t>
        </is>
      </c>
      <c r="E8913" s="58" t="inlineStr">
        <is>
          <t>West</t>
        </is>
      </c>
      <c r="F8913" s="61" t="n">
        <v>8</v>
      </c>
      <c r="G8913" s="62" t="n">
        <v>15.67</v>
      </c>
      <c r="H8913" s="63" t="n">
        <v>0.262</v>
      </c>
      <c r="I8913" s="62" t="n">
        <v>11.23</v>
      </c>
      <c r="J8913" s="58" t="inlineStr">
        <is>
          <t>Online</t>
        </is>
      </c>
      <c r="K8913" s="62">
        <f>F8913*(G8913-H8913)</f>
        <v/>
      </c>
      <c r="L8913" s="62">
        <f>K8913-(F8913*I8913)</f>
        <v/>
      </c>
      <c r="M8913" s="64">
        <f>L8913/K8913</f>
        <v/>
      </c>
    </row>
    <row r="8914">
      <c r="A8914" s="58" t="inlineStr">
        <is>
          <t>RT20250811-08913</t>
        </is>
      </c>
      <c r="B8914" s="59" t="inlineStr">
        <is>
          <t>2025-08-11</t>
        </is>
      </c>
      <c r="C8914" s="60" t="inlineStr">
        <is>
          <t>Polar Decor X-935</t>
        </is>
      </c>
      <c r="D8914" s="58" t="inlineStr">
        <is>
          <t>Home</t>
        </is>
      </c>
      <c r="E8914" s="58" t="inlineStr">
        <is>
          <t>Central</t>
        </is>
      </c>
      <c r="F8914" s="61" t="n">
        <v>3</v>
      </c>
      <c r="G8914" s="62" t="n">
        <v>318.29</v>
      </c>
      <c r="H8914" s="63" t="n">
        <v>0.144</v>
      </c>
      <c r="I8914" s="62" t="n">
        <v>203.23</v>
      </c>
      <c r="J8914" s="58" t="inlineStr">
        <is>
          <t>Store</t>
        </is>
      </c>
      <c r="K8914" s="62">
        <f>F8914*(G8914-H8914)</f>
        <v/>
      </c>
      <c r="L8914" s="62">
        <f>K8914-(F8914*I8914)</f>
        <v/>
      </c>
      <c r="M8914" s="64">
        <f>L8914/K8914</f>
        <v/>
      </c>
    </row>
    <row r="8915">
      <c r="A8915" s="58" t="inlineStr">
        <is>
          <t>RT20250811-08914</t>
        </is>
      </c>
      <c r="B8915" s="59" t="inlineStr">
        <is>
          <t>2025-08-11</t>
        </is>
      </c>
      <c r="C8915" s="60" t="inlineStr">
        <is>
          <t>Vertex Pantry Pro-165</t>
        </is>
      </c>
      <c r="D8915" s="58" t="inlineStr">
        <is>
          <t>Grocery</t>
        </is>
      </c>
      <c r="E8915" s="58" t="inlineStr">
        <is>
          <t>North</t>
        </is>
      </c>
      <c r="F8915" s="61" t="n">
        <v>4</v>
      </c>
      <c r="G8915" s="62" t="n">
        <v>17.76</v>
      </c>
      <c r="H8915" s="63" t="n">
        <v>0.175</v>
      </c>
      <c r="I8915" s="62" t="n">
        <v>11.88</v>
      </c>
      <c r="J8915" s="58" t="inlineStr">
        <is>
          <t>Store</t>
        </is>
      </c>
      <c r="K8915" s="62">
        <f>F8915*(G8915-H8915)</f>
        <v/>
      </c>
      <c r="L8915" s="62">
        <f>K8915-(F8915*I8915)</f>
        <v/>
      </c>
      <c r="M8915" s="64">
        <f>L8915/K8915</f>
        <v/>
      </c>
    </row>
    <row r="8916">
      <c r="A8916" s="58" t="inlineStr">
        <is>
          <t>RT20250811-08915</t>
        </is>
      </c>
      <c r="B8916" s="59" t="inlineStr">
        <is>
          <t>2025-08-11</t>
        </is>
      </c>
      <c r="C8916" s="60" t="inlineStr">
        <is>
          <t>Falcon Haircare Pro-980</t>
        </is>
      </c>
      <c r="D8916" s="58" t="inlineStr">
        <is>
          <t>Beauty</t>
        </is>
      </c>
      <c r="E8916" s="58" t="inlineStr">
        <is>
          <t>East</t>
        </is>
      </c>
      <c r="F8916" s="61" t="n">
        <v>2</v>
      </c>
      <c r="G8916" s="62" t="n">
        <v>90.52</v>
      </c>
      <c r="H8916" s="63" t="n">
        <v>0.105</v>
      </c>
      <c r="I8916" s="62" t="n">
        <v>57.31</v>
      </c>
      <c r="J8916" s="58" t="inlineStr">
        <is>
          <t>Online</t>
        </is>
      </c>
      <c r="K8916" s="62">
        <f>F8916*(G8916-H8916)</f>
        <v/>
      </c>
      <c r="L8916" s="62">
        <f>K8916-(F8916*I8916)</f>
        <v/>
      </c>
      <c r="M8916" s="64">
        <f>L8916/K8916</f>
        <v/>
      </c>
    </row>
    <row r="8917">
      <c r="A8917" s="58" t="inlineStr">
        <is>
          <t>RT20250811-08916</t>
        </is>
      </c>
      <c r="B8917" s="59" t="inlineStr">
        <is>
          <t>2025-08-11</t>
        </is>
      </c>
      <c r="C8917" s="60" t="inlineStr">
        <is>
          <t>Nimbus Decor Lite-385</t>
        </is>
      </c>
      <c r="D8917" s="58" t="inlineStr">
        <is>
          <t>Home</t>
        </is>
      </c>
      <c r="E8917" s="58" t="inlineStr">
        <is>
          <t>Central</t>
        </is>
      </c>
      <c r="F8917" s="61" t="n">
        <v>3</v>
      </c>
      <c r="G8917" s="62" t="n">
        <v>556.12</v>
      </c>
      <c r="H8917" s="63" t="n">
        <v>0.132</v>
      </c>
      <c r="I8917" s="62" t="n">
        <v>388.43</v>
      </c>
      <c r="J8917" s="58" t="inlineStr">
        <is>
          <t>Online</t>
        </is>
      </c>
      <c r="K8917" s="62">
        <f>F8917*(G8917-H8917)</f>
        <v/>
      </c>
      <c r="L8917" s="62">
        <f>K8917-(F8917*I8917)</f>
        <v/>
      </c>
      <c r="M8917" s="64">
        <f>L8917/K8917</f>
        <v/>
      </c>
    </row>
    <row r="8918">
      <c r="A8918" s="58" t="inlineStr">
        <is>
          <t>RT20250811-08917</t>
        </is>
      </c>
      <c r="B8918" s="59" t="inlineStr">
        <is>
          <t>2025-08-11</t>
        </is>
      </c>
      <c r="C8918" s="60" t="inlineStr">
        <is>
          <t>Metro Smartphone Max-773</t>
        </is>
      </c>
      <c r="D8918" s="58" t="inlineStr">
        <is>
          <t>Electronics</t>
        </is>
      </c>
      <c r="E8918" s="58" t="inlineStr">
        <is>
          <t>North</t>
        </is>
      </c>
      <c r="F8918" s="61" t="n">
        <v>1</v>
      </c>
      <c r="G8918" s="62" t="n">
        <v>1441.86</v>
      </c>
      <c r="H8918" s="63" t="n">
        <v>0.192</v>
      </c>
      <c r="I8918" s="62" t="n">
        <v>1129.44</v>
      </c>
      <c r="J8918" s="58" t="inlineStr">
        <is>
          <t>Store</t>
        </is>
      </c>
      <c r="K8918" s="62">
        <f>F8918*(G8918-H8918)</f>
        <v/>
      </c>
      <c r="L8918" s="62">
        <f>K8918-(F8918*I8918)</f>
        <v/>
      </c>
      <c r="M8918" s="64">
        <f>L8918/K8918</f>
        <v/>
      </c>
    </row>
    <row r="8919">
      <c r="A8919" s="58" t="inlineStr">
        <is>
          <t>RT20250811-08918</t>
        </is>
      </c>
      <c r="B8919" s="59" t="inlineStr">
        <is>
          <t>2025-08-11</t>
        </is>
      </c>
      <c r="C8919" s="60" t="inlineStr">
        <is>
          <t>Nimbus Decor Lite-385</t>
        </is>
      </c>
      <c r="D8919" s="58" t="inlineStr">
        <is>
          <t>Home</t>
        </is>
      </c>
      <c r="E8919" s="58" t="inlineStr">
        <is>
          <t>Central</t>
        </is>
      </c>
      <c r="F8919" s="61" t="n">
        <v>3</v>
      </c>
      <c r="G8919" s="62" t="n">
        <v>661.65</v>
      </c>
      <c r="H8919" s="63" t="n">
        <v>0.157</v>
      </c>
      <c r="I8919" s="62" t="n">
        <v>403.55</v>
      </c>
      <c r="J8919" s="58" t="inlineStr">
        <is>
          <t>Store</t>
        </is>
      </c>
      <c r="K8919" s="62">
        <f>F8919*(G8919-H8919)</f>
        <v/>
      </c>
      <c r="L8919" s="62">
        <f>K8919-(F8919*I8919)</f>
        <v/>
      </c>
      <c r="M8919" s="64">
        <f>L8919/K8919</f>
        <v/>
      </c>
    </row>
    <row r="8920">
      <c r="A8920" s="58" t="inlineStr">
        <is>
          <t>RT20250811-08919</t>
        </is>
      </c>
      <c r="B8920" s="59" t="inlineStr">
        <is>
          <t>2025-08-11</t>
        </is>
      </c>
      <c r="C8920" s="60" t="inlineStr">
        <is>
          <t>Orion Haircare Plus-887</t>
        </is>
      </c>
      <c r="D8920" s="58" t="inlineStr">
        <is>
          <t>Beauty</t>
        </is>
      </c>
      <c r="E8920" s="58" t="inlineStr">
        <is>
          <t>Central</t>
        </is>
      </c>
      <c r="F8920" s="61" t="n">
        <v>3</v>
      </c>
      <c r="G8920" s="62" t="n">
        <v>47.69</v>
      </c>
      <c r="H8920" s="63" t="n">
        <v>0.116</v>
      </c>
      <c r="I8920" s="62" t="n">
        <v>31.1</v>
      </c>
      <c r="J8920" s="58" t="inlineStr">
        <is>
          <t>Online</t>
        </is>
      </c>
      <c r="K8920" s="62">
        <f>F8920*(G8920-H8920)</f>
        <v/>
      </c>
      <c r="L8920" s="62">
        <f>K8920-(F8920*I8920)</f>
        <v/>
      </c>
      <c r="M8920" s="64">
        <f>L8920/K8920</f>
        <v/>
      </c>
    </row>
    <row r="8921">
      <c r="A8921" s="58" t="inlineStr">
        <is>
          <t>RT20250811-08920</t>
        </is>
      </c>
      <c r="B8921" s="59" t="inlineStr">
        <is>
          <t>2025-08-11</t>
        </is>
      </c>
      <c r="C8921" s="60" t="inlineStr">
        <is>
          <t>Nimbus Women Lite-814</t>
        </is>
      </c>
      <c r="D8921" s="58" t="inlineStr">
        <is>
          <t>Apparel</t>
        </is>
      </c>
      <c r="E8921" s="58" t="inlineStr">
        <is>
          <t>Central</t>
        </is>
      </c>
      <c r="F8921" s="61" t="n">
        <v>4</v>
      </c>
      <c r="G8921" s="62" t="n">
        <v>160.66</v>
      </c>
      <c r="H8921" s="63" t="n">
        <v>0.166</v>
      </c>
      <c r="I8921" s="62" t="n">
        <v>85.91</v>
      </c>
      <c r="J8921" s="58" t="inlineStr">
        <is>
          <t>Online</t>
        </is>
      </c>
      <c r="K8921" s="62">
        <f>F8921*(G8921-H8921)</f>
        <v/>
      </c>
      <c r="L8921" s="62">
        <f>K8921-(F8921*I8921)</f>
        <v/>
      </c>
      <c r="M8921" s="64">
        <f>L8921/K8921</f>
        <v/>
      </c>
    </row>
    <row r="8922">
      <c r="A8922" s="58" t="inlineStr">
        <is>
          <t>RT20250811-08921</t>
        </is>
      </c>
      <c r="B8922" s="59" t="inlineStr">
        <is>
          <t>2025-08-11</t>
        </is>
      </c>
      <c r="C8922" s="60" t="inlineStr">
        <is>
          <t>Polar Women Max-927</t>
        </is>
      </c>
      <c r="D8922" s="58" t="inlineStr">
        <is>
          <t>Apparel</t>
        </is>
      </c>
      <c r="E8922" s="58" t="inlineStr">
        <is>
          <t>East</t>
        </is>
      </c>
      <c r="F8922" s="61" t="n">
        <v>3</v>
      </c>
      <c r="G8922" s="62" t="n">
        <v>113.68</v>
      </c>
      <c r="H8922" s="63" t="n">
        <v>0.131</v>
      </c>
      <c r="I8922" s="62" t="n">
        <v>65.90000000000001</v>
      </c>
      <c r="J8922" s="58" t="inlineStr">
        <is>
          <t>Store</t>
        </is>
      </c>
      <c r="K8922" s="62">
        <f>F8922*(G8922-H8922)</f>
        <v/>
      </c>
      <c r="L8922" s="62">
        <f>K8922-(F8922*I8922)</f>
        <v/>
      </c>
      <c r="M8922" s="64">
        <f>L8922/K8922</f>
        <v/>
      </c>
    </row>
    <row r="8923">
      <c r="A8923" s="58" t="inlineStr">
        <is>
          <t>RT20250811-08922</t>
        </is>
      </c>
      <c r="B8923" s="59" t="inlineStr">
        <is>
          <t>2025-08-11</t>
        </is>
      </c>
      <c r="C8923" s="60" t="inlineStr">
        <is>
          <t>Aurora Fragrance S-971</t>
        </is>
      </c>
      <c r="D8923" s="58" t="inlineStr">
        <is>
          <t>Beauty</t>
        </is>
      </c>
      <c r="E8923" s="58" t="inlineStr">
        <is>
          <t>East</t>
        </is>
      </c>
      <c r="F8923" s="61" t="n">
        <v>4</v>
      </c>
      <c r="G8923" s="62" t="n">
        <v>106.36</v>
      </c>
      <c r="H8923" s="63" t="n">
        <v>0.138</v>
      </c>
      <c r="I8923" s="62" t="n">
        <v>66.58</v>
      </c>
      <c r="J8923" s="58" t="inlineStr">
        <is>
          <t>Online</t>
        </is>
      </c>
      <c r="K8923" s="62">
        <f>F8923*(G8923-H8923)</f>
        <v/>
      </c>
      <c r="L8923" s="62">
        <f>K8923-(F8923*I8923)</f>
        <v/>
      </c>
      <c r="M8923" s="64">
        <f>L8923/K8923</f>
        <v/>
      </c>
    </row>
    <row r="8924">
      <c r="A8924" s="58" t="inlineStr">
        <is>
          <t>RT20250811-08923</t>
        </is>
      </c>
      <c r="B8924" s="59" t="inlineStr">
        <is>
          <t>2025-08-11</t>
        </is>
      </c>
      <c r="C8924" s="60" t="inlineStr">
        <is>
          <t>Polar Snack Pro-641</t>
        </is>
      </c>
      <c r="D8924" s="58" t="inlineStr">
        <is>
          <t>Grocery</t>
        </is>
      </c>
      <c r="E8924" s="58" t="inlineStr">
        <is>
          <t>West</t>
        </is>
      </c>
      <c r="F8924" s="61" t="n">
        <v>1</v>
      </c>
      <c r="G8924" s="62" t="n">
        <v>12.39</v>
      </c>
      <c r="H8924" s="63" t="n">
        <v>0.165</v>
      </c>
      <c r="I8924" s="62" t="n">
        <v>9.33</v>
      </c>
      <c r="J8924" s="58" t="inlineStr">
        <is>
          <t>Online</t>
        </is>
      </c>
      <c r="K8924" s="62">
        <f>F8924*(G8924-H8924)</f>
        <v/>
      </c>
      <c r="L8924" s="62">
        <f>K8924-(F8924*I8924)</f>
        <v/>
      </c>
      <c r="M8924" s="64">
        <f>L8924/K8924</f>
        <v/>
      </c>
    </row>
    <row r="8925">
      <c r="A8925" s="58" t="inlineStr">
        <is>
          <t>RT20250811-08924</t>
        </is>
      </c>
      <c r="B8925" s="59" t="inlineStr">
        <is>
          <t>2025-08-11</t>
        </is>
      </c>
      <c r="C8925" s="60" t="inlineStr">
        <is>
          <t>Solace Laptop S-367</t>
        </is>
      </c>
      <c r="D8925" s="58" t="inlineStr">
        <is>
          <t>Electronics</t>
        </is>
      </c>
      <c r="E8925" s="58" t="inlineStr">
        <is>
          <t>North</t>
        </is>
      </c>
      <c r="F8925" s="61" t="n">
        <v>1</v>
      </c>
      <c r="G8925" s="62" t="n">
        <v>2070.84</v>
      </c>
      <c r="H8925" s="63" t="n">
        <v>0.185</v>
      </c>
      <c r="I8925" s="62" t="n">
        <v>1556.54</v>
      </c>
      <c r="J8925" s="58" t="inlineStr">
        <is>
          <t>Store</t>
        </is>
      </c>
      <c r="K8925" s="62">
        <f>F8925*(G8925-H8925)</f>
        <v/>
      </c>
      <c r="L8925" s="62">
        <f>K8925-(F8925*I8925)</f>
        <v/>
      </c>
      <c r="M8925" s="64">
        <f>L8925/K8925</f>
        <v/>
      </c>
    </row>
    <row r="8926">
      <c r="A8926" s="58" t="inlineStr">
        <is>
          <t>RT20250811-08925</t>
        </is>
      </c>
      <c r="B8926" s="59" t="inlineStr">
        <is>
          <t>2025-08-11</t>
        </is>
      </c>
      <c r="C8926" s="60" t="inlineStr">
        <is>
          <t>Vertex Skincare Pro-891</t>
        </is>
      </c>
      <c r="D8926" s="58" t="inlineStr">
        <is>
          <t>Beauty</t>
        </is>
      </c>
      <c r="E8926" s="58" t="inlineStr">
        <is>
          <t>North</t>
        </is>
      </c>
      <c r="F8926" s="61" t="n">
        <v>1</v>
      </c>
      <c r="G8926" s="62" t="n">
        <v>127.09</v>
      </c>
      <c r="H8926" s="63" t="n">
        <v>0.153</v>
      </c>
      <c r="I8926" s="62" t="n">
        <v>86.06999999999999</v>
      </c>
      <c r="J8926" s="58" t="inlineStr">
        <is>
          <t>Online</t>
        </is>
      </c>
      <c r="K8926" s="62">
        <f>F8926*(G8926-H8926)</f>
        <v/>
      </c>
      <c r="L8926" s="62">
        <f>K8926-(F8926*I8926)</f>
        <v/>
      </c>
      <c r="M8926" s="64">
        <f>L8926/K8926</f>
        <v/>
      </c>
    </row>
    <row r="8927">
      <c r="A8927" s="58" t="inlineStr">
        <is>
          <t>RT20250811-08926</t>
        </is>
      </c>
      <c r="B8927" s="59" t="inlineStr">
        <is>
          <t>2025-08-11</t>
        </is>
      </c>
      <c r="C8927" s="60" t="inlineStr">
        <is>
          <t>Nimbus Women Lite-814</t>
        </is>
      </c>
      <c r="D8927" s="58" t="inlineStr">
        <is>
          <t>Apparel</t>
        </is>
      </c>
      <c r="E8927" s="58" t="inlineStr">
        <is>
          <t>West</t>
        </is>
      </c>
      <c r="F8927" s="61" t="n">
        <v>1</v>
      </c>
      <c r="G8927" s="62" t="n">
        <v>151.29</v>
      </c>
      <c r="H8927" s="63" t="n">
        <v>0.171</v>
      </c>
      <c r="I8927" s="62" t="n">
        <v>81.45</v>
      </c>
      <c r="J8927" s="58" t="inlineStr">
        <is>
          <t>Online</t>
        </is>
      </c>
      <c r="K8927" s="62">
        <f>F8927*(G8927-H8927)</f>
        <v/>
      </c>
      <c r="L8927" s="62">
        <f>K8927-(F8927*I8927)</f>
        <v/>
      </c>
      <c r="M8927" s="64">
        <f>L8927/K8927</f>
        <v/>
      </c>
    </row>
    <row r="8928">
      <c r="A8928" s="58" t="inlineStr">
        <is>
          <t>RT20250811-08927</t>
        </is>
      </c>
      <c r="B8928" s="59" t="inlineStr">
        <is>
          <t>2025-08-11</t>
        </is>
      </c>
      <c r="C8928" s="60" t="inlineStr">
        <is>
          <t>Orion Kitchen Pro-568</t>
        </is>
      </c>
      <c r="D8928" s="58" t="inlineStr">
        <is>
          <t>Home</t>
        </is>
      </c>
      <c r="E8928" s="58" t="inlineStr">
        <is>
          <t>East</t>
        </is>
      </c>
      <c r="F8928" s="61" t="n">
        <v>2</v>
      </c>
      <c r="G8928" s="62" t="n">
        <v>432.93</v>
      </c>
      <c r="H8928" s="63" t="n">
        <v>0.161</v>
      </c>
      <c r="I8928" s="62" t="n">
        <v>307.99</v>
      </c>
      <c r="J8928" s="58" t="inlineStr">
        <is>
          <t>Online</t>
        </is>
      </c>
      <c r="K8928" s="62">
        <f>F8928*(G8928-H8928)</f>
        <v/>
      </c>
      <c r="L8928" s="62">
        <f>K8928-(F8928*I8928)</f>
        <v/>
      </c>
      <c r="M8928" s="64">
        <f>L8928/K8928</f>
        <v/>
      </c>
    </row>
    <row r="8929">
      <c r="A8929" s="58" t="inlineStr">
        <is>
          <t>RT20250811-08928</t>
        </is>
      </c>
      <c r="B8929" s="59" t="inlineStr">
        <is>
          <t>2025-08-11</t>
        </is>
      </c>
      <c r="C8929" s="60" t="inlineStr">
        <is>
          <t>Aurora Printer Plus-723</t>
        </is>
      </c>
      <c r="D8929" s="58" t="inlineStr">
        <is>
          <t>Office</t>
        </is>
      </c>
      <c r="E8929" s="58" t="inlineStr">
        <is>
          <t>Central</t>
        </is>
      </c>
      <c r="F8929" s="61" t="n">
        <v>2</v>
      </c>
      <c r="G8929" s="62" t="n">
        <v>263.31</v>
      </c>
      <c r="H8929" s="63" t="n">
        <v>0.148</v>
      </c>
      <c r="I8929" s="62" t="n">
        <v>186.24</v>
      </c>
      <c r="J8929" s="58" t="inlineStr">
        <is>
          <t>Online</t>
        </is>
      </c>
      <c r="K8929" s="62">
        <f>F8929*(G8929-H8929)</f>
        <v/>
      </c>
      <c r="L8929" s="62">
        <f>K8929-(F8929*I8929)</f>
        <v/>
      </c>
      <c r="M8929" s="64">
        <f>L8929/K8929</f>
        <v/>
      </c>
    </row>
    <row r="8930">
      <c r="A8930" s="58" t="inlineStr">
        <is>
          <t>RT20250811-08929</t>
        </is>
      </c>
      <c r="B8930" s="59" t="inlineStr">
        <is>
          <t>2025-08-11</t>
        </is>
      </c>
      <c r="C8930" s="60" t="inlineStr">
        <is>
          <t>Falcon Furniture Plus-839</t>
        </is>
      </c>
      <c r="D8930" s="58" t="inlineStr">
        <is>
          <t>Office</t>
        </is>
      </c>
      <c r="E8930" s="58" t="inlineStr">
        <is>
          <t>East</t>
        </is>
      </c>
      <c r="F8930" s="61" t="n">
        <v>2</v>
      </c>
      <c r="G8930" s="62" t="n">
        <v>309.1</v>
      </c>
      <c r="H8930" s="63" t="n">
        <v>0.1</v>
      </c>
      <c r="I8930" s="62" t="n">
        <v>223.09</v>
      </c>
      <c r="J8930" s="58" t="inlineStr">
        <is>
          <t>Online</t>
        </is>
      </c>
      <c r="K8930" s="62">
        <f>F8930*(G8930-H8930)</f>
        <v/>
      </c>
      <c r="L8930" s="62">
        <f>K8930-(F8930*I8930)</f>
        <v/>
      </c>
      <c r="M8930" s="64">
        <f>L8930/K8930</f>
        <v/>
      </c>
    </row>
    <row r="8931">
      <c r="A8931" s="58" t="inlineStr">
        <is>
          <t>RT20250811-08930</t>
        </is>
      </c>
      <c r="B8931" s="59" t="inlineStr">
        <is>
          <t>2025-08-11</t>
        </is>
      </c>
      <c r="C8931" s="60" t="inlineStr">
        <is>
          <t>Polar Supplie Lite-348</t>
        </is>
      </c>
      <c r="D8931" s="58" t="inlineStr">
        <is>
          <t>Office</t>
        </is>
      </c>
      <c r="E8931" s="58" t="inlineStr">
        <is>
          <t>East</t>
        </is>
      </c>
      <c r="F8931" s="61" t="n">
        <v>3</v>
      </c>
      <c r="G8931" s="62" t="n">
        <v>480.7</v>
      </c>
      <c r="H8931" s="63" t="n">
        <v>0.149</v>
      </c>
      <c r="I8931" s="62" t="n">
        <v>307.06</v>
      </c>
      <c r="J8931" s="58" t="inlineStr">
        <is>
          <t>Store</t>
        </is>
      </c>
      <c r="K8931" s="62">
        <f>F8931*(G8931-H8931)</f>
        <v/>
      </c>
      <c r="L8931" s="62">
        <f>K8931-(F8931*I8931)</f>
        <v/>
      </c>
      <c r="M8931" s="64">
        <f>L8931/K8931</f>
        <v/>
      </c>
    </row>
    <row r="8932">
      <c r="A8932" s="58" t="inlineStr">
        <is>
          <t>RT20250811-08931</t>
        </is>
      </c>
      <c r="B8932" s="59" t="inlineStr">
        <is>
          <t>2025-08-11</t>
        </is>
      </c>
      <c r="C8932" s="60" t="inlineStr">
        <is>
          <t>Orion Laptop S-350</t>
        </is>
      </c>
      <c r="D8932" s="58" t="inlineStr">
        <is>
          <t>Electronics</t>
        </is>
      </c>
      <c r="E8932" s="58" t="inlineStr">
        <is>
          <t>East</t>
        </is>
      </c>
      <c r="F8932" s="61" t="n">
        <v>1</v>
      </c>
      <c r="G8932" s="62" t="n">
        <v>1327.13</v>
      </c>
      <c r="H8932" s="63" t="n">
        <v>0.162</v>
      </c>
      <c r="I8932" s="62" t="n">
        <v>1079.75</v>
      </c>
      <c r="J8932" s="58" t="inlineStr">
        <is>
          <t>Store</t>
        </is>
      </c>
      <c r="K8932" s="62">
        <f>F8932*(G8932-H8932)</f>
        <v/>
      </c>
      <c r="L8932" s="62">
        <f>K8932-(F8932*I8932)</f>
        <v/>
      </c>
      <c r="M8932" s="64">
        <f>L8932/K8932</f>
        <v/>
      </c>
    </row>
    <row r="8933">
      <c r="A8933" s="58" t="inlineStr">
        <is>
          <t>RT20250811-08932</t>
        </is>
      </c>
      <c r="B8933" s="59" t="inlineStr">
        <is>
          <t>2025-08-11</t>
        </is>
      </c>
      <c r="C8933" s="60" t="inlineStr">
        <is>
          <t>Aurora Haircare S-975</t>
        </is>
      </c>
      <c r="D8933" s="58" t="inlineStr">
        <is>
          <t>Beauty</t>
        </is>
      </c>
      <c r="E8933" s="58" t="inlineStr">
        <is>
          <t>South</t>
        </is>
      </c>
      <c r="F8933" s="61" t="n">
        <v>4</v>
      </c>
      <c r="G8933" s="62" t="n">
        <v>92.84999999999999</v>
      </c>
      <c r="H8933" s="63" t="n">
        <v>0.142</v>
      </c>
      <c r="I8933" s="62" t="n">
        <v>59.43</v>
      </c>
      <c r="J8933" s="58" t="inlineStr">
        <is>
          <t>Online</t>
        </is>
      </c>
      <c r="K8933" s="62">
        <f>F8933*(G8933-H8933)</f>
        <v/>
      </c>
      <c r="L8933" s="62">
        <f>K8933-(F8933*I8933)</f>
        <v/>
      </c>
      <c r="M8933" s="64">
        <f>L8933/K8933</f>
        <v/>
      </c>
    </row>
    <row r="8934">
      <c r="A8934" s="58" t="inlineStr">
        <is>
          <t>RT20250811-08933</t>
        </is>
      </c>
      <c r="B8934" s="59" t="inlineStr">
        <is>
          <t>2025-08-11</t>
        </is>
      </c>
      <c r="C8934" s="60" t="inlineStr">
        <is>
          <t>Vertex Appliance S-296</t>
        </is>
      </c>
      <c r="D8934" s="58" t="inlineStr">
        <is>
          <t>Home</t>
        </is>
      </c>
      <c r="E8934" s="58" t="inlineStr">
        <is>
          <t>East</t>
        </is>
      </c>
      <c r="F8934" s="61" t="n">
        <v>1</v>
      </c>
      <c r="G8934" s="62" t="n">
        <v>448.61</v>
      </c>
      <c r="H8934" s="63" t="n">
        <v>0.145</v>
      </c>
      <c r="I8934" s="62" t="n">
        <v>349.32</v>
      </c>
      <c r="J8934" s="58" t="inlineStr">
        <is>
          <t>Online</t>
        </is>
      </c>
      <c r="K8934" s="62">
        <f>F8934*(G8934-H8934)</f>
        <v/>
      </c>
      <c r="L8934" s="62">
        <f>K8934-(F8934*I8934)</f>
        <v/>
      </c>
      <c r="M8934" s="64">
        <f>L8934/K8934</f>
        <v/>
      </c>
    </row>
    <row r="8935">
      <c r="A8935" s="58" t="inlineStr">
        <is>
          <t>RT20250811-08934</t>
        </is>
      </c>
      <c r="B8935" s="59" t="inlineStr">
        <is>
          <t>2025-08-11</t>
        </is>
      </c>
      <c r="C8935" s="60" t="inlineStr">
        <is>
          <t>Polar Decor Plus-505</t>
        </is>
      </c>
      <c r="D8935" s="58" t="inlineStr">
        <is>
          <t>Home</t>
        </is>
      </c>
      <c r="E8935" s="58" t="inlineStr">
        <is>
          <t>Central</t>
        </is>
      </c>
      <c r="F8935" s="61" t="n">
        <v>3</v>
      </c>
      <c r="G8935" s="62" t="n">
        <v>280.11</v>
      </c>
      <c r="H8935" s="63" t="n">
        <v>0.14</v>
      </c>
      <c r="I8935" s="62" t="n">
        <v>200.47</v>
      </c>
      <c r="J8935" s="58" t="inlineStr">
        <is>
          <t>Store</t>
        </is>
      </c>
      <c r="K8935" s="62">
        <f>F8935*(G8935-H8935)</f>
        <v/>
      </c>
      <c r="L8935" s="62">
        <f>K8935-(F8935*I8935)</f>
        <v/>
      </c>
      <c r="M8935" s="64">
        <f>L8935/K8935</f>
        <v/>
      </c>
    </row>
    <row r="8936">
      <c r="A8936" s="58" t="inlineStr">
        <is>
          <t>RT20250811-08935</t>
        </is>
      </c>
      <c r="B8936" s="59" t="inlineStr">
        <is>
          <t>2025-08-11</t>
        </is>
      </c>
      <c r="C8936" s="60" t="inlineStr">
        <is>
          <t>Aurora Appliance Lite-109</t>
        </is>
      </c>
      <c r="D8936" s="58" t="inlineStr">
        <is>
          <t>Home</t>
        </is>
      </c>
      <c r="E8936" s="58" t="inlineStr">
        <is>
          <t>South</t>
        </is>
      </c>
      <c r="F8936" s="61" t="n">
        <v>1</v>
      </c>
      <c r="G8936" s="62" t="n">
        <v>311.73</v>
      </c>
      <c r="H8936" s="63" t="n">
        <v>0.191</v>
      </c>
      <c r="I8936" s="62" t="n">
        <v>203.18</v>
      </c>
      <c r="J8936" s="58" t="inlineStr">
        <is>
          <t>Store</t>
        </is>
      </c>
      <c r="K8936" s="62">
        <f>F8936*(G8936-H8936)</f>
        <v/>
      </c>
      <c r="L8936" s="62">
        <f>K8936-(F8936*I8936)</f>
        <v/>
      </c>
      <c r="M8936" s="64">
        <f>L8936/K8936</f>
        <v/>
      </c>
    </row>
    <row r="8937">
      <c r="A8937" s="58" t="inlineStr">
        <is>
          <t>RT20250811-08936</t>
        </is>
      </c>
      <c r="B8937" s="59" t="inlineStr">
        <is>
          <t>2025-08-11</t>
        </is>
      </c>
      <c r="C8937" s="60" t="inlineStr">
        <is>
          <t>Solace Fitnes S-324</t>
        </is>
      </c>
      <c r="D8937" s="58" t="inlineStr">
        <is>
          <t>Sports</t>
        </is>
      </c>
      <c r="E8937" s="58" t="inlineStr">
        <is>
          <t>Central</t>
        </is>
      </c>
      <c r="F8937" s="61" t="n">
        <v>2</v>
      </c>
      <c r="G8937" s="62" t="n">
        <v>728.76</v>
      </c>
      <c r="H8937" s="63" t="n">
        <v>0.145</v>
      </c>
      <c r="I8937" s="62" t="n">
        <v>518.8200000000001</v>
      </c>
      <c r="J8937" s="58" t="inlineStr">
        <is>
          <t>Store</t>
        </is>
      </c>
      <c r="K8937" s="62">
        <f>F8937*(G8937-H8937)</f>
        <v/>
      </c>
      <c r="L8937" s="62">
        <f>K8937-(F8937*I8937)</f>
        <v/>
      </c>
      <c r="M8937" s="64">
        <f>L8937/K8937</f>
        <v/>
      </c>
    </row>
    <row r="8938">
      <c r="A8938" s="58" t="inlineStr">
        <is>
          <t>RT20250811-08937</t>
        </is>
      </c>
      <c r="B8938" s="59" t="inlineStr">
        <is>
          <t>2025-08-11</t>
        </is>
      </c>
      <c r="C8938" s="60" t="inlineStr">
        <is>
          <t>Orion Kitchen Pro-568</t>
        </is>
      </c>
      <c r="D8938" s="58" t="inlineStr">
        <is>
          <t>Home</t>
        </is>
      </c>
      <c r="E8938" s="58" t="inlineStr">
        <is>
          <t>Central</t>
        </is>
      </c>
      <c r="F8938" s="61" t="n">
        <v>2</v>
      </c>
      <c r="G8938" s="62" t="n">
        <v>430.02</v>
      </c>
      <c r="H8938" s="63" t="n">
        <v>0.115</v>
      </c>
      <c r="I8938" s="62" t="n">
        <v>298.59</v>
      </c>
      <c r="J8938" s="58" t="inlineStr">
        <is>
          <t>Online</t>
        </is>
      </c>
      <c r="K8938" s="62">
        <f>F8938*(G8938-H8938)</f>
        <v/>
      </c>
      <c r="L8938" s="62">
        <f>K8938-(F8938*I8938)</f>
        <v/>
      </c>
      <c r="M8938" s="64">
        <f>L8938/K8938</f>
        <v/>
      </c>
    </row>
    <row r="8939">
      <c r="A8939" s="58" t="inlineStr">
        <is>
          <t>RT20250811-08938</t>
        </is>
      </c>
      <c r="B8939" s="59" t="inlineStr">
        <is>
          <t>2025-08-11</t>
        </is>
      </c>
      <c r="C8939" s="60" t="inlineStr">
        <is>
          <t>Nimbus Decor Lite-385</t>
        </is>
      </c>
      <c r="D8939" s="58" t="inlineStr">
        <is>
          <t>Home</t>
        </is>
      </c>
      <c r="E8939" s="58" t="inlineStr">
        <is>
          <t>West</t>
        </is>
      </c>
      <c r="F8939" s="61" t="n">
        <v>1</v>
      </c>
      <c r="G8939" s="62" t="n">
        <v>613.76</v>
      </c>
      <c r="H8939" s="63" t="n">
        <v>0.181</v>
      </c>
      <c r="I8939" s="62" t="n">
        <v>393.83</v>
      </c>
      <c r="J8939" s="58" t="inlineStr">
        <is>
          <t>Store</t>
        </is>
      </c>
      <c r="K8939" s="62">
        <f>F8939*(G8939-H8939)</f>
        <v/>
      </c>
      <c r="L8939" s="62">
        <f>K8939-(F8939*I8939)</f>
        <v/>
      </c>
      <c r="M8939" s="64">
        <f>L8939/K8939</f>
        <v/>
      </c>
    </row>
    <row r="8940">
      <c r="A8940" s="58" t="inlineStr">
        <is>
          <t>RT20250811-08939</t>
        </is>
      </c>
      <c r="B8940" s="59" t="inlineStr">
        <is>
          <t>2025-08-11</t>
        </is>
      </c>
      <c r="C8940" s="60" t="inlineStr">
        <is>
          <t>Metro Pantry Max-180</t>
        </is>
      </c>
      <c r="D8940" s="58" t="inlineStr">
        <is>
          <t>Grocery</t>
        </is>
      </c>
      <c r="E8940" s="58" t="inlineStr">
        <is>
          <t>East</t>
        </is>
      </c>
      <c r="F8940" s="61" t="n">
        <v>7</v>
      </c>
      <c r="G8940" s="62" t="n">
        <v>8.75</v>
      </c>
      <c r="H8940" s="63" t="n">
        <v>0.137</v>
      </c>
      <c r="I8940" s="62" t="n">
        <v>6.53</v>
      </c>
      <c r="J8940" s="58" t="inlineStr">
        <is>
          <t>Online</t>
        </is>
      </c>
      <c r="K8940" s="62">
        <f>F8940*(G8940-H8940)</f>
        <v/>
      </c>
      <c r="L8940" s="62">
        <f>K8940-(F8940*I8940)</f>
        <v/>
      </c>
      <c r="M8940" s="64">
        <f>L8940/K8940</f>
        <v/>
      </c>
    </row>
    <row r="8941">
      <c r="A8941" s="58" t="inlineStr">
        <is>
          <t>RT20250811-08940</t>
        </is>
      </c>
      <c r="B8941" s="59" t="inlineStr">
        <is>
          <t>2025-08-11</t>
        </is>
      </c>
      <c r="C8941" s="60" t="inlineStr">
        <is>
          <t>Solace Snack S-691</t>
        </is>
      </c>
      <c r="D8941" s="58" t="inlineStr">
        <is>
          <t>Grocery</t>
        </is>
      </c>
      <c r="E8941" s="58" t="inlineStr">
        <is>
          <t>West</t>
        </is>
      </c>
      <c r="F8941" s="61" t="n">
        <v>8</v>
      </c>
      <c r="G8941" s="62" t="n">
        <v>10.5</v>
      </c>
      <c r="H8941" s="63" t="n">
        <v>0.17</v>
      </c>
      <c r="I8941" s="62" t="n">
        <v>7.15</v>
      </c>
      <c r="J8941" s="58" t="inlineStr">
        <is>
          <t>Online</t>
        </is>
      </c>
      <c r="K8941" s="62">
        <f>F8941*(G8941-H8941)</f>
        <v/>
      </c>
      <c r="L8941" s="62">
        <f>K8941-(F8941*I8941)</f>
        <v/>
      </c>
      <c r="M8941" s="64">
        <f>L8941/K8941</f>
        <v/>
      </c>
    </row>
    <row r="8942">
      <c r="A8942" s="58" t="inlineStr">
        <is>
          <t>RT20250811-08941</t>
        </is>
      </c>
      <c r="B8942" s="59" t="inlineStr">
        <is>
          <t>2025-08-11</t>
        </is>
      </c>
      <c r="C8942" s="60" t="inlineStr">
        <is>
          <t>Solace Bedding Plus-317</t>
        </is>
      </c>
      <c r="D8942" s="58" t="inlineStr">
        <is>
          <t>Home</t>
        </is>
      </c>
      <c r="E8942" s="58" t="inlineStr">
        <is>
          <t>East</t>
        </is>
      </c>
      <c r="F8942" s="61" t="n">
        <v>2</v>
      </c>
      <c r="G8942" s="62" t="n">
        <v>626.78</v>
      </c>
      <c r="H8942" s="63" t="n">
        <v>0.159</v>
      </c>
      <c r="I8942" s="62" t="n">
        <v>384.8</v>
      </c>
      <c r="J8942" s="58" t="inlineStr">
        <is>
          <t>Store</t>
        </is>
      </c>
      <c r="K8942" s="62">
        <f>F8942*(G8942-H8942)</f>
        <v/>
      </c>
      <c r="L8942" s="62">
        <f>K8942-(F8942*I8942)</f>
        <v/>
      </c>
      <c r="M8942" s="64">
        <f>L8942/K8942</f>
        <v/>
      </c>
    </row>
    <row r="8943">
      <c r="A8943" s="58" t="inlineStr">
        <is>
          <t>RT20250811-08942</t>
        </is>
      </c>
      <c r="B8943" s="59" t="inlineStr">
        <is>
          <t>2025-08-11</t>
        </is>
      </c>
      <c r="C8943" s="60" t="inlineStr">
        <is>
          <t>Aurora Printer Plus-991</t>
        </is>
      </c>
      <c r="D8943" s="58" t="inlineStr">
        <is>
          <t>Office</t>
        </is>
      </c>
      <c r="E8943" s="58" t="inlineStr">
        <is>
          <t>South</t>
        </is>
      </c>
      <c r="F8943" s="61" t="n">
        <v>1</v>
      </c>
      <c r="G8943" s="62" t="n">
        <v>484.28</v>
      </c>
      <c r="H8943" s="63" t="n">
        <v>0.151</v>
      </c>
      <c r="I8943" s="62" t="n">
        <v>380.45</v>
      </c>
      <c r="J8943" s="58" t="inlineStr">
        <is>
          <t>Online</t>
        </is>
      </c>
      <c r="K8943" s="62">
        <f>F8943*(G8943-H8943)</f>
        <v/>
      </c>
      <c r="L8943" s="62">
        <f>K8943-(F8943*I8943)</f>
        <v/>
      </c>
      <c r="M8943" s="64">
        <f>L8943/K8943</f>
        <v/>
      </c>
    </row>
    <row r="8944">
      <c r="A8944" s="58" t="inlineStr">
        <is>
          <t>RT20250811-08943</t>
        </is>
      </c>
      <c r="B8944" s="59" t="inlineStr">
        <is>
          <t>2025-08-11</t>
        </is>
      </c>
      <c r="C8944" s="60" t="inlineStr">
        <is>
          <t>Aurora Storage Lite-774</t>
        </is>
      </c>
      <c r="D8944" s="58" t="inlineStr">
        <is>
          <t>Office</t>
        </is>
      </c>
      <c r="E8944" s="58" t="inlineStr">
        <is>
          <t>South</t>
        </is>
      </c>
      <c r="F8944" s="61" t="n">
        <v>3</v>
      </c>
      <c r="G8944" s="62" t="n">
        <v>333.06</v>
      </c>
      <c r="H8944" s="63" t="n">
        <v>0.127</v>
      </c>
      <c r="I8944" s="62" t="n">
        <v>237.63</v>
      </c>
      <c r="J8944" s="58" t="inlineStr">
        <is>
          <t>Store</t>
        </is>
      </c>
      <c r="K8944" s="62">
        <f>F8944*(G8944-H8944)</f>
        <v/>
      </c>
      <c r="L8944" s="62">
        <f>K8944-(F8944*I8944)</f>
        <v/>
      </c>
      <c r="M8944" s="64">
        <f>L8944/K8944</f>
        <v/>
      </c>
    </row>
    <row r="8945">
      <c r="A8945" s="58" t="inlineStr">
        <is>
          <t>RT20250812-08944</t>
        </is>
      </c>
      <c r="B8945" s="59" t="inlineStr">
        <is>
          <t>2025-08-12</t>
        </is>
      </c>
      <c r="C8945" s="60" t="inlineStr">
        <is>
          <t>Vertex Decor Pro-618</t>
        </is>
      </c>
      <c r="D8945" s="58" t="inlineStr">
        <is>
          <t>Home</t>
        </is>
      </c>
      <c r="E8945" s="58" t="inlineStr">
        <is>
          <t>North</t>
        </is>
      </c>
      <c r="F8945" s="61" t="n">
        <v>1</v>
      </c>
      <c r="G8945" s="62" t="n">
        <v>529.86</v>
      </c>
      <c r="H8945" s="63" t="n">
        <v>0.101</v>
      </c>
      <c r="I8945" s="62" t="n">
        <v>371.98</v>
      </c>
      <c r="J8945" s="58" t="inlineStr">
        <is>
          <t>Phone</t>
        </is>
      </c>
      <c r="K8945" s="62">
        <f>F8945*(G8945-H8945)</f>
        <v/>
      </c>
      <c r="L8945" s="62">
        <f>K8945-(F8945*I8945)</f>
        <v/>
      </c>
      <c r="M8945" s="64">
        <f>L8945/K8945</f>
        <v/>
      </c>
    </row>
    <row r="8946">
      <c r="A8946" s="58" t="inlineStr">
        <is>
          <t>RT20250812-08945</t>
        </is>
      </c>
      <c r="B8946" s="59" t="inlineStr">
        <is>
          <t>2025-08-12</t>
        </is>
      </c>
      <c r="C8946" s="60" t="inlineStr">
        <is>
          <t>Aurora Printer Plus-723</t>
        </is>
      </c>
      <c r="D8946" s="58" t="inlineStr">
        <is>
          <t>Office</t>
        </is>
      </c>
      <c r="E8946" s="58" t="inlineStr">
        <is>
          <t>East</t>
        </is>
      </c>
      <c r="F8946" s="61" t="n">
        <v>3</v>
      </c>
      <c r="G8946" s="62" t="n">
        <v>274.19</v>
      </c>
      <c r="H8946" s="63" t="n">
        <v>0.177</v>
      </c>
      <c r="I8946" s="62" t="n">
        <v>182.89</v>
      </c>
      <c r="J8946" s="58" t="inlineStr">
        <is>
          <t>Online</t>
        </is>
      </c>
      <c r="K8946" s="62">
        <f>F8946*(G8946-H8946)</f>
        <v/>
      </c>
      <c r="L8946" s="62">
        <f>K8946-(F8946*I8946)</f>
        <v/>
      </c>
      <c r="M8946" s="64">
        <f>L8946/K8946</f>
        <v/>
      </c>
    </row>
    <row r="8947">
      <c r="A8947" s="58" t="inlineStr">
        <is>
          <t>RT20250812-08946</t>
        </is>
      </c>
      <c r="B8947" s="59" t="inlineStr">
        <is>
          <t>2025-08-12</t>
        </is>
      </c>
      <c r="C8947" s="60" t="inlineStr">
        <is>
          <t>Vertex Snack S-702</t>
        </is>
      </c>
      <c r="D8947" s="58" t="inlineStr">
        <is>
          <t>Grocery</t>
        </is>
      </c>
      <c r="E8947" s="58" t="inlineStr">
        <is>
          <t>South</t>
        </is>
      </c>
      <c r="F8947" s="61" t="n">
        <v>7</v>
      </c>
      <c r="G8947" s="62" t="n">
        <v>1.94</v>
      </c>
      <c r="H8947" s="63" t="n">
        <v>0.116</v>
      </c>
      <c r="I8947" s="62" t="n">
        <v>1.48</v>
      </c>
      <c r="J8947" s="58" t="inlineStr">
        <is>
          <t>Online</t>
        </is>
      </c>
      <c r="K8947" s="62">
        <f>F8947*(G8947-H8947)</f>
        <v/>
      </c>
      <c r="L8947" s="62">
        <f>K8947-(F8947*I8947)</f>
        <v/>
      </c>
      <c r="M8947" s="64">
        <f>L8947/K8947</f>
        <v/>
      </c>
    </row>
    <row r="8948">
      <c r="A8948" s="58" t="inlineStr">
        <is>
          <t>RT20250812-08947</t>
        </is>
      </c>
      <c r="B8948" s="59" t="inlineStr">
        <is>
          <t>2025-08-12</t>
        </is>
      </c>
      <c r="C8948" s="60" t="inlineStr">
        <is>
          <t>Orion Beverage Plus-949</t>
        </is>
      </c>
      <c r="D8948" s="58" t="inlineStr">
        <is>
          <t>Grocery</t>
        </is>
      </c>
      <c r="E8948" s="58" t="inlineStr">
        <is>
          <t>West</t>
        </is>
      </c>
      <c r="F8948" s="61" t="n">
        <v>7</v>
      </c>
      <c r="G8948" s="62" t="n">
        <v>18.61</v>
      </c>
      <c r="H8948" s="63" t="n">
        <v>0.126</v>
      </c>
      <c r="I8948" s="62" t="n">
        <v>13.72</v>
      </c>
      <c r="J8948" s="58" t="inlineStr">
        <is>
          <t>Online</t>
        </is>
      </c>
      <c r="K8948" s="62">
        <f>F8948*(G8948-H8948)</f>
        <v/>
      </c>
      <c r="L8948" s="62">
        <f>K8948-(F8948*I8948)</f>
        <v/>
      </c>
      <c r="M8948" s="64">
        <f>L8948/K8948</f>
        <v/>
      </c>
    </row>
    <row r="8949">
      <c r="A8949" s="58" t="inlineStr">
        <is>
          <t>RT20250812-08948</t>
        </is>
      </c>
      <c r="B8949" s="59" t="inlineStr">
        <is>
          <t>2025-08-12</t>
        </is>
      </c>
      <c r="C8949" s="60" t="inlineStr">
        <is>
          <t>Falcon Accessorie S-195</t>
        </is>
      </c>
      <c r="D8949" s="58" t="inlineStr">
        <is>
          <t>Apparel</t>
        </is>
      </c>
      <c r="E8949" s="58" t="inlineStr">
        <is>
          <t>Central</t>
        </is>
      </c>
      <c r="F8949" s="61" t="n">
        <v>4</v>
      </c>
      <c r="G8949" s="62" t="n">
        <v>75.17</v>
      </c>
      <c r="H8949" s="63" t="n">
        <v>0.089</v>
      </c>
      <c r="I8949" s="62" t="n">
        <v>43.23</v>
      </c>
      <c r="J8949" s="58" t="inlineStr">
        <is>
          <t>Online</t>
        </is>
      </c>
      <c r="K8949" s="62">
        <f>F8949*(G8949-H8949)</f>
        <v/>
      </c>
      <c r="L8949" s="62">
        <f>K8949-(F8949*I8949)</f>
        <v/>
      </c>
      <c r="M8949" s="64">
        <f>L8949/K8949</f>
        <v/>
      </c>
    </row>
    <row r="8950">
      <c r="A8950" s="58" t="inlineStr">
        <is>
          <t>RT20250812-08949</t>
        </is>
      </c>
      <c r="B8950" s="59" t="inlineStr">
        <is>
          <t>2025-08-12</t>
        </is>
      </c>
      <c r="C8950" s="60" t="inlineStr">
        <is>
          <t>Vertex Decor Pro-618</t>
        </is>
      </c>
      <c r="D8950" s="58" t="inlineStr">
        <is>
          <t>Home</t>
        </is>
      </c>
      <c r="E8950" s="58" t="inlineStr">
        <is>
          <t>North</t>
        </is>
      </c>
      <c r="F8950" s="61" t="n">
        <v>1</v>
      </c>
      <c r="G8950" s="62" t="n">
        <v>530.46</v>
      </c>
      <c r="H8950" s="63" t="n">
        <v>0.178</v>
      </c>
      <c r="I8950" s="62" t="n">
        <v>369.64</v>
      </c>
      <c r="J8950" s="58" t="inlineStr">
        <is>
          <t>Store</t>
        </is>
      </c>
      <c r="K8950" s="62">
        <f>F8950*(G8950-H8950)</f>
        <v/>
      </c>
      <c r="L8950" s="62">
        <f>K8950-(F8950*I8950)</f>
        <v/>
      </c>
      <c r="M8950" s="64">
        <f>L8950/K8950</f>
        <v/>
      </c>
    </row>
    <row r="8951">
      <c r="A8951" s="58" t="inlineStr">
        <is>
          <t>RT20250812-08950</t>
        </is>
      </c>
      <c r="B8951" s="59" t="inlineStr">
        <is>
          <t>2025-08-12</t>
        </is>
      </c>
      <c r="C8951" s="60" t="inlineStr">
        <is>
          <t>Aurora Haircare S-975</t>
        </is>
      </c>
      <c r="D8951" s="58" t="inlineStr">
        <is>
          <t>Beauty</t>
        </is>
      </c>
      <c r="E8951" s="58" t="inlineStr">
        <is>
          <t>West</t>
        </is>
      </c>
      <c r="F8951" s="61" t="n">
        <v>2</v>
      </c>
      <c r="G8951" s="62" t="n">
        <v>87.56</v>
      </c>
      <c r="H8951" s="63" t="n">
        <v>0.074</v>
      </c>
      <c r="I8951" s="62" t="n">
        <v>59.11</v>
      </c>
      <c r="J8951" s="58" t="inlineStr">
        <is>
          <t>Online</t>
        </is>
      </c>
      <c r="K8951" s="62">
        <f>F8951*(G8951-H8951)</f>
        <v/>
      </c>
      <c r="L8951" s="62">
        <f>K8951-(F8951*I8951)</f>
        <v/>
      </c>
      <c r="M8951" s="64">
        <f>L8951/K8951</f>
        <v/>
      </c>
    </row>
    <row r="8952">
      <c r="A8952" s="58" t="inlineStr">
        <is>
          <t>RT20250812-08951</t>
        </is>
      </c>
      <c r="B8952" s="59" t="inlineStr">
        <is>
          <t>2025-08-12</t>
        </is>
      </c>
      <c r="C8952" s="60" t="inlineStr">
        <is>
          <t>Solace Kitchen Pro-510</t>
        </is>
      </c>
      <c r="D8952" s="58" t="inlineStr">
        <is>
          <t>Home</t>
        </is>
      </c>
      <c r="E8952" s="58" t="inlineStr">
        <is>
          <t>East</t>
        </is>
      </c>
      <c r="F8952" s="61" t="n">
        <v>1</v>
      </c>
      <c r="G8952" s="62" t="n">
        <v>425.15</v>
      </c>
      <c r="H8952" s="63" t="n">
        <v>0.125</v>
      </c>
      <c r="I8952" s="62" t="n">
        <v>315.62</v>
      </c>
      <c r="J8952" s="58" t="inlineStr">
        <is>
          <t>Online</t>
        </is>
      </c>
      <c r="K8952" s="62">
        <f>F8952*(G8952-H8952)</f>
        <v/>
      </c>
      <c r="L8952" s="62">
        <f>K8952-(F8952*I8952)</f>
        <v/>
      </c>
      <c r="M8952" s="64">
        <f>L8952/K8952</f>
        <v/>
      </c>
    </row>
    <row r="8953">
      <c r="A8953" s="58" t="inlineStr">
        <is>
          <t>RT20250812-08952</t>
        </is>
      </c>
      <c r="B8953" s="59" t="inlineStr">
        <is>
          <t>2025-08-12</t>
        </is>
      </c>
      <c r="C8953" s="60" t="inlineStr">
        <is>
          <t>Metro Beverage Max-490</t>
        </is>
      </c>
      <c r="D8953" s="58" t="inlineStr">
        <is>
          <t>Grocery</t>
        </is>
      </c>
      <c r="E8953" s="58" t="inlineStr">
        <is>
          <t>West</t>
        </is>
      </c>
      <c r="F8953" s="61" t="n">
        <v>6</v>
      </c>
      <c r="G8953" s="62" t="n">
        <v>11.34</v>
      </c>
      <c r="H8953" s="63" t="n">
        <v>0.176</v>
      </c>
      <c r="I8953" s="62" t="n">
        <v>8.08</v>
      </c>
      <c r="J8953" s="58" t="inlineStr">
        <is>
          <t>Store</t>
        </is>
      </c>
      <c r="K8953" s="62">
        <f>F8953*(G8953-H8953)</f>
        <v/>
      </c>
      <c r="L8953" s="62">
        <f>K8953-(F8953*I8953)</f>
        <v/>
      </c>
      <c r="M8953" s="64">
        <f>L8953/K8953</f>
        <v/>
      </c>
    </row>
    <row r="8954">
      <c r="A8954" s="58" t="inlineStr">
        <is>
          <t>RT20250812-08953</t>
        </is>
      </c>
      <c r="B8954" s="59" t="inlineStr">
        <is>
          <t>2025-08-12</t>
        </is>
      </c>
      <c r="C8954" s="60" t="inlineStr">
        <is>
          <t>Vertex Men X-995</t>
        </is>
      </c>
      <c r="D8954" s="58" t="inlineStr">
        <is>
          <t>Apparel</t>
        </is>
      </c>
      <c r="E8954" s="58" t="inlineStr">
        <is>
          <t>East</t>
        </is>
      </c>
      <c r="F8954" s="61" t="n">
        <v>1</v>
      </c>
      <c r="G8954" s="62" t="n">
        <v>95.14</v>
      </c>
      <c r="H8954" s="63" t="n">
        <v>0.152</v>
      </c>
      <c r="I8954" s="62" t="n">
        <v>58.52</v>
      </c>
      <c r="J8954" s="58" t="inlineStr">
        <is>
          <t>Online</t>
        </is>
      </c>
      <c r="K8954" s="62">
        <f>F8954*(G8954-H8954)</f>
        <v/>
      </c>
      <c r="L8954" s="62">
        <f>K8954-(F8954*I8954)</f>
        <v/>
      </c>
      <c r="M8954" s="64">
        <f>L8954/K8954</f>
        <v/>
      </c>
    </row>
    <row r="8955">
      <c r="A8955" s="58" t="inlineStr">
        <is>
          <t>RT20250812-08954</t>
        </is>
      </c>
      <c r="B8955" s="59" t="inlineStr">
        <is>
          <t>2025-08-12</t>
        </is>
      </c>
      <c r="C8955" s="60" t="inlineStr">
        <is>
          <t>Aurora Team Sport Plus-256</t>
        </is>
      </c>
      <c r="D8955" s="58" t="inlineStr">
        <is>
          <t>Sports</t>
        </is>
      </c>
      <c r="E8955" s="58" t="inlineStr">
        <is>
          <t>East</t>
        </is>
      </c>
      <c r="F8955" s="61" t="n">
        <v>2</v>
      </c>
      <c r="G8955" s="62" t="n">
        <v>641.6799999999999</v>
      </c>
      <c r="H8955" s="63" t="n">
        <v>0.126</v>
      </c>
      <c r="I8955" s="62" t="n">
        <v>422.66</v>
      </c>
      <c r="J8955" s="58" t="inlineStr">
        <is>
          <t>Online</t>
        </is>
      </c>
      <c r="K8955" s="62">
        <f>F8955*(G8955-H8955)</f>
        <v/>
      </c>
      <c r="L8955" s="62">
        <f>K8955-(F8955*I8955)</f>
        <v/>
      </c>
      <c r="M8955" s="64">
        <f>L8955/K8955</f>
        <v/>
      </c>
    </row>
    <row r="8956">
      <c r="A8956" s="58" t="inlineStr">
        <is>
          <t>RT20250812-08955</t>
        </is>
      </c>
      <c r="B8956" s="59" t="inlineStr">
        <is>
          <t>2025-08-12</t>
        </is>
      </c>
      <c r="C8956" s="60" t="inlineStr">
        <is>
          <t>Falcon Bedding S-674</t>
        </is>
      </c>
      <c r="D8956" s="58" t="inlineStr">
        <is>
          <t>Home</t>
        </is>
      </c>
      <c r="E8956" s="58" t="inlineStr">
        <is>
          <t>East</t>
        </is>
      </c>
      <c r="F8956" s="61" t="n">
        <v>3</v>
      </c>
      <c r="G8956" s="62" t="n">
        <v>698.72</v>
      </c>
      <c r="H8956" s="63" t="n">
        <v>0.08799999999999999</v>
      </c>
      <c r="I8956" s="62" t="n">
        <v>441.39</v>
      </c>
      <c r="J8956" s="58" t="inlineStr">
        <is>
          <t>Store</t>
        </is>
      </c>
      <c r="K8956" s="62">
        <f>F8956*(G8956-H8956)</f>
        <v/>
      </c>
      <c r="L8956" s="62">
        <f>K8956-(F8956*I8956)</f>
        <v/>
      </c>
      <c r="M8956" s="64">
        <f>L8956/K8956</f>
        <v/>
      </c>
    </row>
    <row r="8957">
      <c r="A8957" s="58" t="inlineStr">
        <is>
          <t>RT20250812-08956</t>
        </is>
      </c>
      <c r="B8957" s="59" t="inlineStr">
        <is>
          <t>2025-08-12</t>
        </is>
      </c>
      <c r="C8957" s="60" t="inlineStr">
        <is>
          <t>Nimbus Cycling Plus-911</t>
        </is>
      </c>
      <c r="D8957" s="58" t="inlineStr">
        <is>
          <t>Sports</t>
        </is>
      </c>
      <c r="E8957" s="58" t="inlineStr">
        <is>
          <t>North</t>
        </is>
      </c>
      <c r="F8957" s="61" t="n">
        <v>1</v>
      </c>
      <c r="G8957" s="62" t="n">
        <v>600.86</v>
      </c>
      <c r="H8957" s="63" t="n">
        <v>0.139</v>
      </c>
      <c r="I8957" s="62" t="n">
        <v>390.48</v>
      </c>
      <c r="J8957" s="58" t="inlineStr">
        <is>
          <t>Online</t>
        </is>
      </c>
      <c r="K8957" s="62">
        <f>F8957*(G8957-H8957)</f>
        <v/>
      </c>
      <c r="L8957" s="62">
        <f>K8957-(F8957*I8957)</f>
        <v/>
      </c>
      <c r="M8957" s="64">
        <f>L8957/K8957</f>
        <v/>
      </c>
    </row>
    <row r="8958">
      <c r="A8958" s="58" t="inlineStr">
        <is>
          <t>RT20250812-08957</t>
        </is>
      </c>
      <c r="B8958" s="59" t="inlineStr">
        <is>
          <t>2025-08-12</t>
        </is>
      </c>
      <c r="C8958" s="60" t="inlineStr">
        <is>
          <t>Aurora Skincare Max-798</t>
        </is>
      </c>
      <c r="D8958" s="58" t="inlineStr">
        <is>
          <t>Beauty</t>
        </is>
      </c>
      <c r="E8958" s="58" t="inlineStr">
        <is>
          <t>Central</t>
        </is>
      </c>
      <c r="F8958" s="61" t="n">
        <v>4</v>
      </c>
      <c r="G8958" s="62" t="n">
        <v>95.8</v>
      </c>
      <c r="H8958" s="63" t="n">
        <v>0.112</v>
      </c>
      <c r="I8958" s="62" t="n">
        <v>67.67</v>
      </c>
      <c r="J8958" s="58" t="inlineStr">
        <is>
          <t>Store</t>
        </is>
      </c>
      <c r="K8958" s="62">
        <f>F8958*(G8958-H8958)</f>
        <v/>
      </c>
      <c r="L8958" s="62">
        <f>K8958-(F8958*I8958)</f>
        <v/>
      </c>
      <c r="M8958" s="64">
        <f>L8958/K8958</f>
        <v/>
      </c>
    </row>
    <row r="8959">
      <c r="A8959" s="58" t="inlineStr">
        <is>
          <t>RT20250812-08958</t>
        </is>
      </c>
      <c r="B8959" s="59" t="inlineStr">
        <is>
          <t>2025-08-12</t>
        </is>
      </c>
      <c r="C8959" s="60" t="inlineStr">
        <is>
          <t>Polar Women Max-927</t>
        </is>
      </c>
      <c r="D8959" s="58" t="inlineStr">
        <is>
          <t>Apparel</t>
        </is>
      </c>
      <c r="E8959" s="58" t="inlineStr">
        <is>
          <t>North</t>
        </is>
      </c>
      <c r="F8959" s="61" t="n">
        <v>3</v>
      </c>
      <c r="G8959" s="62" t="n">
        <v>119.11</v>
      </c>
      <c r="H8959" s="63" t="n">
        <v>0.158</v>
      </c>
      <c r="I8959" s="62" t="n">
        <v>65.64</v>
      </c>
      <c r="J8959" s="58" t="inlineStr">
        <is>
          <t>Online</t>
        </is>
      </c>
      <c r="K8959" s="62">
        <f>F8959*(G8959-H8959)</f>
        <v/>
      </c>
      <c r="L8959" s="62">
        <f>K8959-(F8959*I8959)</f>
        <v/>
      </c>
      <c r="M8959" s="64">
        <f>L8959/K8959</f>
        <v/>
      </c>
    </row>
    <row r="8960">
      <c r="A8960" s="58" t="inlineStr">
        <is>
          <t>RT20250812-08959</t>
        </is>
      </c>
      <c r="B8960" s="59" t="inlineStr">
        <is>
          <t>2025-08-12</t>
        </is>
      </c>
      <c r="C8960" s="60" t="inlineStr">
        <is>
          <t>Nimbus Women Plus-352</t>
        </is>
      </c>
      <c r="D8960" s="58" t="inlineStr">
        <is>
          <t>Apparel</t>
        </is>
      </c>
      <c r="E8960" s="58" t="inlineStr">
        <is>
          <t>South</t>
        </is>
      </c>
      <c r="F8960" s="61" t="n">
        <v>4</v>
      </c>
      <c r="G8960" s="62" t="n">
        <v>67.26000000000001</v>
      </c>
      <c r="H8960" s="63" t="n">
        <v>0.165</v>
      </c>
      <c r="I8960" s="62" t="n">
        <v>31.92</v>
      </c>
      <c r="J8960" s="58" t="inlineStr">
        <is>
          <t>Online</t>
        </is>
      </c>
      <c r="K8960" s="62">
        <f>F8960*(G8960-H8960)</f>
        <v/>
      </c>
      <c r="L8960" s="62">
        <f>K8960-(F8960*I8960)</f>
        <v/>
      </c>
      <c r="M8960" s="64">
        <f>L8960/K8960</f>
        <v/>
      </c>
    </row>
    <row r="8961">
      <c r="A8961" s="58" t="inlineStr">
        <is>
          <t>RT20250812-08960</t>
        </is>
      </c>
      <c r="B8961" s="59" t="inlineStr">
        <is>
          <t>2025-08-12</t>
        </is>
      </c>
      <c r="C8961" s="60" t="inlineStr">
        <is>
          <t>Aurora Bedding Max-175</t>
        </is>
      </c>
      <c r="D8961" s="58" t="inlineStr">
        <is>
          <t>Home</t>
        </is>
      </c>
      <c r="E8961" s="58" t="inlineStr">
        <is>
          <t>Central</t>
        </is>
      </c>
      <c r="F8961" s="61" t="n">
        <v>3</v>
      </c>
      <c r="G8961" s="62" t="n">
        <v>625.9</v>
      </c>
      <c r="H8961" s="63" t="n">
        <v>0.135</v>
      </c>
      <c r="I8961" s="62" t="n">
        <v>401.3</v>
      </c>
      <c r="J8961" s="58" t="inlineStr">
        <is>
          <t>Store</t>
        </is>
      </c>
      <c r="K8961" s="62">
        <f>F8961*(G8961-H8961)</f>
        <v/>
      </c>
      <c r="L8961" s="62">
        <f>K8961-(F8961*I8961)</f>
        <v/>
      </c>
      <c r="M8961" s="64">
        <f>L8961/K8961</f>
        <v/>
      </c>
    </row>
    <row r="8962">
      <c r="A8962" s="58" t="inlineStr">
        <is>
          <t>RT20250812-08961</t>
        </is>
      </c>
      <c r="B8962" s="59" t="inlineStr">
        <is>
          <t>2025-08-12</t>
        </is>
      </c>
      <c r="C8962" s="60" t="inlineStr">
        <is>
          <t>Solace Kid S-384</t>
        </is>
      </c>
      <c r="D8962" s="58" t="inlineStr">
        <is>
          <t>Apparel</t>
        </is>
      </c>
      <c r="E8962" s="58" t="inlineStr">
        <is>
          <t>Central</t>
        </is>
      </c>
      <c r="F8962" s="61" t="n">
        <v>2</v>
      </c>
      <c r="G8962" s="62" t="n">
        <v>104.73</v>
      </c>
      <c r="H8962" s="63" t="n">
        <v>0.166</v>
      </c>
      <c r="I8962" s="62" t="n">
        <v>61.78</v>
      </c>
      <c r="J8962" s="58" t="inlineStr">
        <is>
          <t>Online</t>
        </is>
      </c>
      <c r="K8962" s="62">
        <f>F8962*(G8962-H8962)</f>
        <v/>
      </c>
      <c r="L8962" s="62">
        <f>K8962-(F8962*I8962)</f>
        <v/>
      </c>
      <c r="M8962" s="64">
        <f>L8962/K8962</f>
        <v/>
      </c>
    </row>
    <row r="8963">
      <c r="A8963" s="58" t="inlineStr">
        <is>
          <t>RT20250812-08962</t>
        </is>
      </c>
      <c r="B8963" s="59" t="inlineStr">
        <is>
          <t>2025-08-12</t>
        </is>
      </c>
      <c r="C8963" s="60" t="inlineStr">
        <is>
          <t>Vertex Supplie X-513</t>
        </is>
      </c>
      <c r="D8963" s="58" t="inlineStr">
        <is>
          <t>Office</t>
        </is>
      </c>
      <c r="E8963" s="58" t="inlineStr">
        <is>
          <t>South</t>
        </is>
      </c>
      <c r="F8963" s="61" t="n">
        <v>3</v>
      </c>
      <c r="G8963" s="62" t="n">
        <v>390.06</v>
      </c>
      <c r="H8963" s="63" t="n">
        <v>0.158</v>
      </c>
      <c r="I8963" s="62" t="n">
        <v>273.93</v>
      </c>
      <c r="J8963" s="58" t="inlineStr">
        <is>
          <t>Store</t>
        </is>
      </c>
      <c r="K8963" s="62">
        <f>F8963*(G8963-H8963)</f>
        <v/>
      </c>
      <c r="L8963" s="62">
        <f>K8963-(F8963*I8963)</f>
        <v/>
      </c>
      <c r="M8963" s="64">
        <f>L8963/K8963</f>
        <v/>
      </c>
    </row>
    <row r="8964">
      <c r="A8964" s="58" t="inlineStr">
        <is>
          <t>RT20250812-08963</t>
        </is>
      </c>
      <c r="B8964" s="59" t="inlineStr">
        <is>
          <t>2025-08-12</t>
        </is>
      </c>
      <c r="C8964" s="60" t="inlineStr">
        <is>
          <t>Aurora Printer Plus-723</t>
        </is>
      </c>
      <c r="D8964" s="58" t="inlineStr">
        <is>
          <t>Office</t>
        </is>
      </c>
      <c r="E8964" s="58" t="inlineStr">
        <is>
          <t>North</t>
        </is>
      </c>
      <c r="F8964" s="61" t="n">
        <v>1</v>
      </c>
      <c r="G8964" s="62" t="n">
        <v>222.24</v>
      </c>
      <c r="H8964" s="63" t="n">
        <v>0.191</v>
      </c>
      <c r="I8964" s="62" t="n">
        <v>174.56</v>
      </c>
      <c r="J8964" s="58" t="inlineStr">
        <is>
          <t>Online</t>
        </is>
      </c>
      <c r="K8964" s="62">
        <f>F8964*(G8964-H8964)</f>
        <v/>
      </c>
      <c r="L8964" s="62">
        <f>K8964-(F8964*I8964)</f>
        <v/>
      </c>
      <c r="M8964" s="64">
        <f>L8964/K8964</f>
        <v/>
      </c>
    </row>
    <row r="8965">
      <c r="A8965" s="58" t="inlineStr">
        <is>
          <t>RT20250812-08964</t>
        </is>
      </c>
      <c r="B8965" s="59" t="inlineStr">
        <is>
          <t>2025-08-12</t>
        </is>
      </c>
      <c r="C8965" s="60" t="inlineStr">
        <is>
          <t>Metro Printer X-294</t>
        </is>
      </c>
      <c r="D8965" s="58" t="inlineStr">
        <is>
          <t>Office</t>
        </is>
      </c>
      <c r="E8965" s="58" t="inlineStr">
        <is>
          <t>South</t>
        </is>
      </c>
      <c r="F8965" s="61" t="n">
        <v>1</v>
      </c>
      <c r="G8965" s="62" t="n">
        <v>583</v>
      </c>
      <c r="H8965" s="63" t="n">
        <v>0.166</v>
      </c>
      <c r="I8965" s="62" t="n">
        <v>409.85</v>
      </c>
      <c r="J8965" s="58" t="inlineStr">
        <is>
          <t>Online</t>
        </is>
      </c>
      <c r="K8965" s="62">
        <f>F8965*(G8965-H8965)</f>
        <v/>
      </c>
      <c r="L8965" s="62">
        <f>K8965-(F8965*I8965)</f>
        <v/>
      </c>
      <c r="M8965" s="64">
        <f>L8965/K8965</f>
        <v/>
      </c>
    </row>
    <row r="8966">
      <c r="A8966" s="58" t="inlineStr">
        <is>
          <t>RT20250812-08965</t>
        </is>
      </c>
      <c r="B8966" s="59" t="inlineStr">
        <is>
          <t>2025-08-12</t>
        </is>
      </c>
      <c r="C8966" s="60" t="inlineStr">
        <is>
          <t>Polar Laptop Plus-984</t>
        </is>
      </c>
      <c r="D8966" s="58" t="inlineStr">
        <is>
          <t>Electronics</t>
        </is>
      </c>
      <c r="E8966" s="58" t="inlineStr">
        <is>
          <t>East</t>
        </is>
      </c>
      <c r="F8966" s="61" t="n">
        <v>1</v>
      </c>
      <c r="G8966" s="62" t="n">
        <v>1249.3</v>
      </c>
      <c r="H8966" s="63" t="n">
        <v>0.156</v>
      </c>
      <c r="I8966" s="62" t="n">
        <v>994.61</v>
      </c>
      <c r="J8966" s="58" t="inlineStr">
        <is>
          <t>Online</t>
        </is>
      </c>
      <c r="K8966" s="62">
        <f>F8966*(G8966-H8966)</f>
        <v/>
      </c>
      <c r="L8966" s="62">
        <f>K8966-(F8966*I8966)</f>
        <v/>
      </c>
      <c r="M8966" s="64">
        <f>L8966/K8966</f>
        <v/>
      </c>
    </row>
    <row r="8967">
      <c r="A8967" s="58" t="inlineStr">
        <is>
          <t>RT20250812-08966</t>
        </is>
      </c>
      <c r="B8967" s="59" t="inlineStr">
        <is>
          <t>2025-08-12</t>
        </is>
      </c>
      <c r="C8967" s="60" t="inlineStr">
        <is>
          <t>Falcon Wearable X-334</t>
        </is>
      </c>
      <c r="D8967" s="58" t="inlineStr">
        <is>
          <t>Electronics</t>
        </is>
      </c>
      <c r="E8967" s="58" t="inlineStr">
        <is>
          <t>North</t>
        </is>
      </c>
      <c r="F8967" s="61" t="n">
        <v>1</v>
      </c>
      <c r="G8967" s="62" t="n">
        <v>1970.28</v>
      </c>
      <c r="H8967" s="63" t="n">
        <v>0.166</v>
      </c>
      <c r="I8967" s="62" t="n">
        <v>1487.99</v>
      </c>
      <c r="J8967" s="58" t="inlineStr">
        <is>
          <t>Store</t>
        </is>
      </c>
      <c r="K8967" s="62">
        <f>F8967*(G8967-H8967)</f>
        <v/>
      </c>
      <c r="L8967" s="62">
        <f>K8967-(F8967*I8967)</f>
        <v/>
      </c>
      <c r="M8967" s="64">
        <f>L8967/K8967</f>
        <v/>
      </c>
    </row>
    <row r="8968">
      <c r="A8968" s="58" t="inlineStr">
        <is>
          <t>RT20250812-08967</t>
        </is>
      </c>
      <c r="B8968" s="59" t="inlineStr">
        <is>
          <t>2025-08-12</t>
        </is>
      </c>
      <c r="C8968" s="60" t="inlineStr">
        <is>
          <t>Metro Beverage Max-490</t>
        </is>
      </c>
      <c r="D8968" s="58" t="inlineStr">
        <is>
          <t>Grocery</t>
        </is>
      </c>
      <c r="E8968" s="58" t="inlineStr">
        <is>
          <t>South</t>
        </is>
      </c>
      <c r="F8968" s="61" t="n">
        <v>4</v>
      </c>
      <c r="G8968" s="62" t="n">
        <v>10.75</v>
      </c>
      <c r="H8968" s="63" t="n">
        <v>0.147</v>
      </c>
      <c r="I8968" s="62" t="n">
        <v>8.19</v>
      </c>
      <c r="J8968" s="58" t="inlineStr">
        <is>
          <t>Online</t>
        </is>
      </c>
      <c r="K8968" s="62">
        <f>F8968*(G8968-H8968)</f>
        <v/>
      </c>
      <c r="L8968" s="62">
        <f>K8968-(F8968*I8968)</f>
        <v/>
      </c>
      <c r="M8968" s="64">
        <f>L8968/K8968</f>
        <v/>
      </c>
    </row>
    <row r="8969">
      <c r="A8969" s="58" t="inlineStr">
        <is>
          <t>RT20250812-08968</t>
        </is>
      </c>
      <c r="B8969" s="59" t="inlineStr">
        <is>
          <t>2025-08-12</t>
        </is>
      </c>
      <c r="C8969" s="60" t="inlineStr">
        <is>
          <t>Polar Pantry Lite-392</t>
        </is>
      </c>
      <c r="D8969" s="58" t="inlineStr">
        <is>
          <t>Grocery</t>
        </is>
      </c>
      <c r="E8969" s="58" t="inlineStr">
        <is>
          <t>Central</t>
        </is>
      </c>
      <c r="F8969" s="61" t="n">
        <v>3</v>
      </c>
      <c r="G8969" s="62" t="n">
        <v>5.24</v>
      </c>
      <c r="H8969" s="63" t="n">
        <v>0.16</v>
      </c>
      <c r="I8969" s="62" t="n">
        <v>4.28</v>
      </c>
      <c r="J8969" s="58" t="inlineStr">
        <is>
          <t>Store</t>
        </is>
      </c>
      <c r="K8969" s="62">
        <f>F8969*(G8969-H8969)</f>
        <v/>
      </c>
      <c r="L8969" s="62">
        <f>K8969-(F8969*I8969)</f>
        <v/>
      </c>
      <c r="M8969" s="64">
        <f>L8969/K8969</f>
        <v/>
      </c>
    </row>
    <row r="8970">
      <c r="A8970" s="58" t="inlineStr">
        <is>
          <t>RT20250812-08969</t>
        </is>
      </c>
      <c r="B8970" s="59" t="inlineStr">
        <is>
          <t>2025-08-12</t>
        </is>
      </c>
      <c r="C8970" s="60" t="inlineStr">
        <is>
          <t>Aurora Makeup Pro-489</t>
        </is>
      </c>
      <c r="D8970" s="58" t="inlineStr">
        <is>
          <t>Beauty</t>
        </is>
      </c>
      <c r="E8970" s="58" t="inlineStr">
        <is>
          <t>Central</t>
        </is>
      </c>
      <c r="F8970" s="61" t="n">
        <v>2</v>
      </c>
      <c r="G8970" s="62" t="n">
        <v>109.7</v>
      </c>
      <c r="H8970" s="63" t="n">
        <v>0.173</v>
      </c>
      <c r="I8970" s="62" t="n">
        <v>61.54</v>
      </c>
      <c r="J8970" s="58" t="inlineStr">
        <is>
          <t>Store</t>
        </is>
      </c>
      <c r="K8970" s="62">
        <f>F8970*(G8970-H8970)</f>
        <v/>
      </c>
      <c r="L8970" s="62">
        <f>K8970-(F8970*I8970)</f>
        <v/>
      </c>
      <c r="M8970" s="64">
        <f>L8970/K8970</f>
        <v/>
      </c>
    </row>
    <row r="8971">
      <c r="A8971" s="58" t="inlineStr">
        <is>
          <t>RT20250812-08970</t>
        </is>
      </c>
      <c r="B8971" s="59" t="inlineStr">
        <is>
          <t>2025-08-12</t>
        </is>
      </c>
      <c r="C8971" s="60" t="inlineStr">
        <is>
          <t>Solace Bedding Plus-317</t>
        </is>
      </c>
      <c r="D8971" s="58" t="inlineStr">
        <is>
          <t>Home</t>
        </is>
      </c>
      <c r="E8971" s="58" t="inlineStr">
        <is>
          <t>North</t>
        </is>
      </c>
      <c r="F8971" s="61" t="n">
        <v>3</v>
      </c>
      <c r="G8971" s="62" t="n">
        <v>574.98</v>
      </c>
      <c r="H8971" s="63" t="n">
        <v>0.091</v>
      </c>
      <c r="I8971" s="62" t="n">
        <v>375.01</v>
      </c>
      <c r="J8971" s="58" t="inlineStr">
        <is>
          <t>Online</t>
        </is>
      </c>
      <c r="K8971" s="62">
        <f>F8971*(G8971-H8971)</f>
        <v/>
      </c>
      <c r="L8971" s="62">
        <f>K8971-(F8971*I8971)</f>
        <v/>
      </c>
      <c r="M8971" s="64">
        <f>L8971/K8971</f>
        <v/>
      </c>
    </row>
    <row r="8972">
      <c r="A8972" s="58" t="inlineStr">
        <is>
          <t>RT20250812-08971</t>
        </is>
      </c>
      <c r="B8972" s="59" t="inlineStr">
        <is>
          <t>2025-08-12</t>
        </is>
      </c>
      <c r="C8972" s="60" t="inlineStr">
        <is>
          <t>Falcon Headphone Plus-789</t>
        </is>
      </c>
      <c r="D8972" s="58" t="inlineStr">
        <is>
          <t>Electronics</t>
        </is>
      </c>
      <c r="E8972" s="58" t="inlineStr">
        <is>
          <t>East</t>
        </is>
      </c>
      <c r="F8972" s="61" t="n">
        <v>2</v>
      </c>
      <c r="G8972" s="62" t="n">
        <v>1666.35</v>
      </c>
      <c r="H8972" s="63" t="n">
        <v>0.103</v>
      </c>
      <c r="I8972" s="62" t="n">
        <v>1304.84</v>
      </c>
      <c r="J8972" s="58" t="inlineStr">
        <is>
          <t>Online</t>
        </is>
      </c>
      <c r="K8972" s="62">
        <f>F8972*(G8972-H8972)</f>
        <v/>
      </c>
      <c r="L8972" s="62">
        <f>K8972-(F8972*I8972)</f>
        <v/>
      </c>
      <c r="M8972" s="64">
        <f>L8972/K8972</f>
        <v/>
      </c>
    </row>
    <row r="8973">
      <c r="A8973" s="58" t="inlineStr">
        <is>
          <t>RT20250813-08972</t>
        </is>
      </c>
      <c r="B8973" s="59" t="inlineStr">
        <is>
          <t>2025-08-13</t>
        </is>
      </c>
      <c r="C8973" s="60" t="inlineStr">
        <is>
          <t>Orion Storage Plus-961</t>
        </is>
      </c>
      <c r="D8973" s="58" t="inlineStr">
        <is>
          <t>Office</t>
        </is>
      </c>
      <c r="E8973" s="58" t="inlineStr">
        <is>
          <t>South</t>
        </is>
      </c>
      <c r="F8973" s="61" t="n">
        <v>1</v>
      </c>
      <c r="G8973" s="62" t="n">
        <v>501.89</v>
      </c>
      <c r="H8973" s="63" t="n">
        <v>0.181</v>
      </c>
      <c r="I8973" s="62" t="n">
        <v>367.78</v>
      </c>
      <c r="J8973" s="58" t="inlineStr">
        <is>
          <t>Online</t>
        </is>
      </c>
      <c r="K8973" s="62">
        <f>F8973*(G8973-H8973)</f>
        <v/>
      </c>
      <c r="L8973" s="62">
        <f>K8973-(F8973*I8973)</f>
        <v/>
      </c>
      <c r="M8973" s="64">
        <f>L8973/K8973</f>
        <v/>
      </c>
    </row>
    <row r="8974">
      <c r="A8974" s="58" t="inlineStr">
        <is>
          <t>RT20250813-08973</t>
        </is>
      </c>
      <c r="B8974" s="59" t="inlineStr">
        <is>
          <t>2025-08-13</t>
        </is>
      </c>
      <c r="C8974" s="60" t="inlineStr">
        <is>
          <t>Polar Cycling X-649</t>
        </is>
      </c>
      <c r="D8974" s="58" t="inlineStr">
        <is>
          <t>Sports</t>
        </is>
      </c>
      <c r="E8974" s="58" t="inlineStr">
        <is>
          <t>South</t>
        </is>
      </c>
      <c r="F8974" s="61" t="n">
        <v>1</v>
      </c>
      <c r="G8974" s="62" t="n">
        <v>569.0599999999999</v>
      </c>
      <c r="H8974" s="63" t="n">
        <v>0.182</v>
      </c>
      <c r="I8974" s="62" t="n">
        <v>357.27</v>
      </c>
      <c r="J8974" s="58" t="inlineStr">
        <is>
          <t>Store</t>
        </is>
      </c>
      <c r="K8974" s="62">
        <f>F8974*(G8974-H8974)</f>
        <v/>
      </c>
      <c r="L8974" s="62">
        <f>K8974-(F8974*I8974)</f>
        <v/>
      </c>
      <c r="M8974" s="64">
        <f>L8974/K8974</f>
        <v/>
      </c>
    </row>
    <row r="8975">
      <c r="A8975" s="58" t="inlineStr">
        <is>
          <t>RT20250813-08974</t>
        </is>
      </c>
      <c r="B8975" s="59" t="inlineStr">
        <is>
          <t>2025-08-13</t>
        </is>
      </c>
      <c r="C8975" s="60" t="inlineStr">
        <is>
          <t>Falcon Skincare Max-151</t>
        </is>
      </c>
      <c r="D8975" s="58" t="inlineStr">
        <is>
          <t>Beauty</t>
        </is>
      </c>
      <c r="E8975" s="58" t="inlineStr">
        <is>
          <t>West</t>
        </is>
      </c>
      <c r="F8975" s="61" t="n">
        <v>3</v>
      </c>
      <c r="G8975" s="62" t="n">
        <v>88.38</v>
      </c>
      <c r="H8975" s="63" t="n">
        <v>0.137</v>
      </c>
      <c r="I8975" s="62" t="n">
        <v>58.05</v>
      </c>
      <c r="J8975" s="58" t="inlineStr">
        <is>
          <t>Store</t>
        </is>
      </c>
      <c r="K8975" s="62">
        <f>F8975*(G8975-H8975)</f>
        <v/>
      </c>
      <c r="L8975" s="62">
        <f>K8975-(F8975*I8975)</f>
        <v/>
      </c>
      <c r="M8975" s="64">
        <f>L8975/K8975</f>
        <v/>
      </c>
    </row>
    <row r="8976">
      <c r="A8976" s="58" t="inlineStr">
        <is>
          <t>RT20250813-08975</t>
        </is>
      </c>
      <c r="B8976" s="59" t="inlineStr">
        <is>
          <t>2025-08-13</t>
        </is>
      </c>
      <c r="C8976" s="60" t="inlineStr">
        <is>
          <t>Falcon Kitchen X-130</t>
        </is>
      </c>
      <c r="D8976" s="58" t="inlineStr">
        <is>
          <t>Home</t>
        </is>
      </c>
      <c r="E8976" s="58" t="inlineStr">
        <is>
          <t>Central</t>
        </is>
      </c>
      <c r="F8976" s="61" t="n">
        <v>2</v>
      </c>
      <c r="G8976" s="62" t="n">
        <v>352.12</v>
      </c>
      <c r="H8976" s="63" t="n">
        <v>0.194</v>
      </c>
      <c r="I8976" s="62" t="n">
        <v>275.54</v>
      </c>
      <c r="J8976" s="58" t="inlineStr">
        <is>
          <t>Online</t>
        </is>
      </c>
      <c r="K8976" s="62">
        <f>F8976*(G8976-H8976)</f>
        <v/>
      </c>
      <c r="L8976" s="62">
        <f>K8976-(F8976*I8976)</f>
        <v/>
      </c>
      <c r="M8976" s="64">
        <f>L8976/K8976</f>
        <v/>
      </c>
    </row>
    <row r="8977">
      <c r="A8977" s="58" t="inlineStr">
        <is>
          <t>RT20250813-08976</t>
        </is>
      </c>
      <c r="B8977" s="59" t="inlineStr">
        <is>
          <t>2025-08-13</t>
        </is>
      </c>
      <c r="C8977" s="60" t="inlineStr">
        <is>
          <t>Vertex Appliance S-296</t>
        </is>
      </c>
      <c r="D8977" s="58" t="inlineStr">
        <is>
          <t>Home</t>
        </is>
      </c>
      <c r="E8977" s="58" t="inlineStr">
        <is>
          <t>East</t>
        </is>
      </c>
      <c r="F8977" s="61" t="n">
        <v>2</v>
      </c>
      <c r="G8977" s="62" t="n">
        <v>573.75</v>
      </c>
      <c r="H8977" s="63" t="n">
        <v>0.2</v>
      </c>
      <c r="I8977" s="62" t="n">
        <v>354.09</v>
      </c>
      <c r="J8977" s="58" t="inlineStr">
        <is>
          <t>Store</t>
        </is>
      </c>
      <c r="K8977" s="62">
        <f>F8977*(G8977-H8977)</f>
        <v/>
      </c>
      <c r="L8977" s="62">
        <f>K8977-(F8977*I8977)</f>
        <v/>
      </c>
      <c r="M8977" s="64">
        <f>L8977/K8977</f>
        <v/>
      </c>
    </row>
    <row r="8978">
      <c r="A8978" s="58" t="inlineStr">
        <is>
          <t>RT20250813-08977</t>
        </is>
      </c>
      <c r="B8978" s="59" t="inlineStr">
        <is>
          <t>2025-08-13</t>
        </is>
      </c>
      <c r="C8978" s="60" t="inlineStr">
        <is>
          <t>Orion Kitchen Pro-568</t>
        </is>
      </c>
      <c r="D8978" s="58" t="inlineStr">
        <is>
          <t>Home</t>
        </is>
      </c>
      <c r="E8978" s="58" t="inlineStr">
        <is>
          <t>West</t>
        </is>
      </c>
      <c r="F8978" s="61" t="n">
        <v>1</v>
      </c>
      <c r="G8978" s="62" t="n">
        <v>481.59</v>
      </c>
      <c r="H8978" s="63" t="n">
        <v>0.154</v>
      </c>
      <c r="I8978" s="62" t="n">
        <v>304.52</v>
      </c>
      <c r="J8978" s="58" t="inlineStr">
        <is>
          <t>Online</t>
        </is>
      </c>
      <c r="K8978" s="62">
        <f>F8978*(G8978-H8978)</f>
        <v/>
      </c>
      <c r="L8978" s="62">
        <f>K8978-(F8978*I8978)</f>
        <v/>
      </c>
      <c r="M8978" s="64">
        <f>L8978/K8978</f>
        <v/>
      </c>
    </row>
    <row r="8979">
      <c r="A8979" s="58" t="inlineStr">
        <is>
          <t>RT20250813-08978</t>
        </is>
      </c>
      <c r="B8979" s="59" t="inlineStr">
        <is>
          <t>2025-08-13</t>
        </is>
      </c>
      <c r="C8979" s="60" t="inlineStr">
        <is>
          <t>Falcon Kitchen X-130</t>
        </is>
      </c>
      <c r="D8979" s="58" t="inlineStr">
        <is>
          <t>Home</t>
        </is>
      </c>
      <c r="E8979" s="58" t="inlineStr">
        <is>
          <t>North</t>
        </is>
      </c>
      <c r="F8979" s="61" t="n">
        <v>1</v>
      </c>
      <c r="G8979" s="62" t="n">
        <v>404.01</v>
      </c>
      <c r="H8979" s="63" t="n">
        <v>0.168</v>
      </c>
      <c r="I8979" s="62" t="n">
        <v>282.52</v>
      </c>
      <c r="J8979" s="58" t="inlineStr">
        <is>
          <t>Online</t>
        </is>
      </c>
      <c r="K8979" s="62">
        <f>F8979*(G8979-H8979)</f>
        <v/>
      </c>
      <c r="L8979" s="62">
        <f>K8979-(F8979*I8979)</f>
        <v/>
      </c>
      <c r="M8979" s="64">
        <f>L8979/K8979</f>
        <v/>
      </c>
    </row>
    <row r="8980">
      <c r="A8980" s="58" t="inlineStr">
        <is>
          <t>RT20250813-08979</t>
        </is>
      </c>
      <c r="B8980" s="59" t="inlineStr">
        <is>
          <t>2025-08-13</t>
        </is>
      </c>
      <c r="C8980" s="60" t="inlineStr">
        <is>
          <t>Aurora Wearable Lite-162</t>
        </is>
      </c>
      <c r="D8980" s="58" t="inlineStr">
        <is>
          <t>Electronics</t>
        </is>
      </c>
      <c r="E8980" s="58" t="inlineStr">
        <is>
          <t>North</t>
        </is>
      </c>
      <c r="F8980" s="61" t="n">
        <v>2</v>
      </c>
      <c r="G8980" s="62" t="n">
        <v>1510.87</v>
      </c>
      <c r="H8980" s="63" t="n">
        <v>0.168</v>
      </c>
      <c r="I8980" s="62" t="n">
        <v>1199.78</v>
      </c>
      <c r="J8980" s="58" t="inlineStr">
        <is>
          <t>Store</t>
        </is>
      </c>
      <c r="K8980" s="62">
        <f>F8980*(G8980-H8980)</f>
        <v/>
      </c>
      <c r="L8980" s="62">
        <f>K8980-(F8980*I8980)</f>
        <v/>
      </c>
      <c r="M8980" s="64">
        <f>L8980/K8980</f>
        <v/>
      </c>
    </row>
    <row r="8981">
      <c r="A8981" s="58" t="inlineStr">
        <is>
          <t>RT20250813-08980</t>
        </is>
      </c>
      <c r="B8981" s="59" t="inlineStr">
        <is>
          <t>2025-08-13</t>
        </is>
      </c>
      <c r="C8981" s="60" t="inlineStr">
        <is>
          <t>Solace Snack S-691</t>
        </is>
      </c>
      <c r="D8981" s="58" t="inlineStr">
        <is>
          <t>Grocery</t>
        </is>
      </c>
      <c r="E8981" s="58" t="inlineStr">
        <is>
          <t>North</t>
        </is>
      </c>
      <c r="F8981" s="61" t="n">
        <v>1</v>
      </c>
      <c r="G8981" s="62" t="n">
        <v>9.279999999999999</v>
      </c>
      <c r="H8981" s="63" t="n">
        <v>0.176</v>
      </c>
      <c r="I8981" s="62" t="n">
        <v>7.21</v>
      </c>
      <c r="J8981" s="58" t="inlineStr">
        <is>
          <t>Online</t>
        </is>
      </c>
      <c r="K8981" s="62">
        <f>F8981*(G8981-H8981)</f>
        <v/>
      </c>
      <c r="L8981" s="62">
        <f>K8981-(F8981*I8981)</f>
        <v/>
      </c>
      <c r="M8981" s="64">
        <f>L8981/K8981</f>
        <v/>
      </c>
    </row>
    <row r="8982">
      <c r="A8982" s="58" t="inlineStr">
        <is>
          <t>RT20250813-08981</t>
        </is>
      </c>
      <c r="B8982" s="59" t="inlineStr">
        <is>
          <t>2025-08-13</t>
        </is>
      </c>
      <c r="C8982" s="60" t="inlineStr">
        <is>
          <t>Solace Kitchen X-919</t>
        </is>
      </c>
      <c r="D8982" s="58" t="inlineStr">
        <is>
          <t>Home</t>
        </is>
      </c>
      <c r="E8982" s="58" t="inlineStr">
        <is>
          <t>Central</t>
        </is>
      </c>
      <c r="F8982" s="61" t="n">
        <v>2</v>
      </c>
      <c r="G8982" s="62" t="n">
        <v>368.95</v>
      </c>
      <c r="H8982" s="63" t="n">
        <v>0.175</v>
      </c>
      <c r="I8982" s="62" t="n">
        <v>264.32</v>
      </c>
      <c r="J8982" s="58" t="inlineStr">
        <is>
          <t>Store</t>
        </is>
      </c>
      <c r="K8982" s="62">
        <f>F8982*(G8982-H8982)</f>
        <v/>
      </c>
      <c r="L8982" s="62">
        <f>K8982-(F8982*I8982)</f>
        <v/>
      </c>
      <c r="M8982" s="64">
        <f>L8982/K8982</f>
        <v/>
      </c>
    </row>
    <row r="8983">
      <c r="A8983" s="58" t="inlineStr">
        <is>
          <t>RT20250813-08982</t>
        </is>
      </c>
      <c r="B8983" s="59" t="inlineStr">
        <is>
          <t>2025-08-13</t>
        </is>
      </c>
      <c r="C8983" s="60" t="inlineStr">
        <is>
          <t>Aurora Bedding Plus-187</t>
        </is>
      </c>
      <c r="D8983" s="58" t="inlineStr">
        <is>
          <t>Home</t>
        </is>
      </c>
      <c r="E8983" s="58" t="inlineStr">
        <is>
          <t>Central</t>
        </is>
      </c>
      <c r="F8983" s="61" t="n">
        <v>1</v>
      </c>
      <c r="G8983" s="62" t="n">
        <v>289.46</v>
      </c>
      <c r="H8983" s="63" t="n">
        <v>0.174</v>
      </c>
      <c r="I8983" s="62" t="n">
        <v>205.85</v>
      </c>
      <c r="J8983" s="58" t="inlineStr">
        <is>
          <t>Store</t>
        </is>
      </c>
      <c r="K8983" s="62">
        <f>F8983*(G8983-H8983)</f>
        <v/>
      </c>
      <c r="L8983" s="62">
        <f>K8983-(F8983*I8983)</f>
        <v/>
      </c>
      <c r="M8983" s="64">
        <f>L8983/K8983</f>
        <v/>
      </c>
    </row>
    <row r="8984">
      <c r="A8984" s="58" t="inlineStr">
        <is>
          <t>RT20250813-08983</t>
        </is>
      </c>
      <c r="B8984" s="59" t="inlineStr">
        <is>
          <t>2025-08-13</t>
        </is>
      </c>
      <c r="C8984" s="60" t="inlineStr">
        <is>
          <t>Aurora Household Plus-146</t>
        </is>
      </c>
      <c r="D8984" s="58" t="inlineStr">
        <is>
          <t>Grocery</t>
        </is>
      </c>
      <c r="E8984" s="58" t="inlineStr">
        <is>
          <t>Central</t>
        </is>
      </c>
      <c r="F8984" s="61" t="n">
        <v>3</v>
      </c>
      <c r="G8984" s="62" t="n">
        <v>6.1</v>
      </c>
      <c r="H8984" s="63" t="n">
        <v>0.068</v>
      </c>
      <c r="I8984" s="62" t="n">
        <v>4.43</v>
      </c>
      <c r="J8984" s="58" t="inlineStr">
        <is>
          <t>Online</t>
        </is>
      </c>
      <c r="K8984" s="62">
        <f>F8984*(G8984-H8984)</f>
        <v/>
      </c>
      <c r="L8984" s="62">
        <f>K8984-(F8984*I8984)</f>
        <v/>
      </c>
      <c r="M8984" s="64">
        <f>L8984/K8984</f>
        <v/>
      </c>
    </row>
    <row r="8985">
      <c r="A8985" s="58" t="inlineStr">
        <is>
          <t>RT20250813-08984</t>
        </is>
      </c>
      <c r="B8985" s="59" t="inlineStr">
        <is>
          <t>2025-08-13</t>
        </is>
      </c>
      <c r="C8985" s="60" t="inlineStr">
        <is>
          <t>Aurora Fitnes Lite-194</t>
        </is>
      </c>
      <c r="D8985" s="58" t="inlineStr">
        <is>
          <t>Sports</t>
        </is>
      </c>
      <c r="E8985" s="58" t="inlineStr">
        <is>
          <t>South</t>
        </is>
      </c>
      <c r="F8985" s="61" t="n">
        <v>1</v>
      </c>
      <c r="G8985" s="62" t="n">
        <v>686.22</v>
      </c>
      <c r="H8985" s="63" t="n">
        <v>0.125</v>
      </c>
      <c r="I8985" s="62" t="n">
        <v>451.7</v>
      </c>
      <c r="J8985" s="58" t="inlineStr">
        <is>
          <t>Online</t>
        </is>
      </c>
      <c r="K8985" s="62">
        <f>F8985*(G8985-H8985)</f>
        <v/>
      </c>
      <c r="L8985" s="62">
        <f>K8985-(F8985*I8985)</f>
        <v/>
      </c>
      <c r="M8985" s="64">
        <f>L8985/K8985</f>
        <v/>
      </c>
    </row>
    <row r="8986">
      <c r="A8986" s="58" t="inlineStr">
        <is>
          <t>RT20250813-08985</t>
        </is>
      </c>
      <c r="B8986" s="59" t="inlineStr">
        <is>
          <t>2025-08-13</t>
        </is>
      </c>
      <c r="C8986" s="60" t="inlineStr">
        <is>
          <t>Aurora Wearable Lite-162</t>
        </is>
      </c>
      <c r="D8986" s="58" t="inlineStr">
        <is>
          <t>Electronics</t>
        </is>
      </c>
      <c r="E8986" s="58" t="inlineStr">
        <is>
          <t>West</t>
        </is>
      </c>
      <c r="F8986" s="61" t="n">
        <v>2</v>
      </c>
      <c r="G8986" s="62" t="n">
        <v>1539.83</v>
      </c>
      <c r="H8986" s="63" t="n">
        <v>0.074</v>
      </c>
      <c r="I8986" s="62" t="n">
        <v>1165.61</v>
      </c>
      <c r="J8986" s="58" t="inlineStr">
        <is>
          <t>Online</t>
        </is>
      </c>
      <c r="K8986" s="62">
        <f>F8986*(G8986-H8986)</f>
        <v/>
      </c>
      <c r="L8986" s="62">
        <f>K8986-(F8986*I8986)</f>
        <v/>
      </c>
      <c r="M8986" s="64">
        <f>L8986/K8986</f>
        <v/>
      </c>
    </row>
    <row r="8987">
      <c r="A8987" s="58" t="inlineStr">
        <is>
          <t>RT20250813-08986</t>
        </is>
      </c>
      <c r="B8987" s="59" t="inlineStr">
        <is>
          <t>2025-08-13</t>
        </is>
      </c>
      <c r="C8987" s="60" t="inlineStr">
        <is>
          <t>Vertex Smartphone Pro-256</t>
        </is>
      </c>
      <c r="D8987" s="58" t="inlineStr">
        <is>
          <t>Electronics</t>
        </is>
      </c>
      <c r="E8987" s="58" t="inlineStr">
        <is>
          <t>Central</t>
        </is>
      </c>
      <c r="F8987" s="61" t="n">
        <v>1</v>
      </c>
      <c r="G8987" s="62" t="n">
        <v>1166.45</v>
      </c>
      <c r="H8987" s="63" t="n">
        <v>0.126</v>
      </c>
      <c r="I8987" s="62" t="n">
        <v>928.86</v>
      </c>
      <c r="J8987" s="58" t="inlineStr">
        <is>
          <t>Store</t>
        </is>
      </c>
      <c r="K8987" s="62">
        <f>F8987*(G8987-H8987)</f>
        <v/>
      </c>
      <c r="L8987" s="62">
        <f>K8987-(F8987*I8987)</f>
        <v/>
      </c>
      <c r="M8987" s="64">
        <f>L8987/K8987</f>
        <v/>
      </c>
    </row>
    <row r="8988">
      <c r="A8988" s="58" t="inlineStr">
        <is>
          <t>RT20250813-08987</t>
        </is>
      </c>
      <c r="B8988" s="59" t="inlineStr">
        <is>
          <t>2025-08-13</t>
        </is>
      </c>
      <c r="C8988" s="60" t="inlineStr">
        <is>
          <t>Falcon Skincare X-334</t>
        </is>
      </c>
      <c r="D8988" s="58" t="inlineStr">
        <is>
          <t>Beauty</t>
        </is>
      </c>
      <c r="E8988" s="58" t="inlineStr">
        <is>
          <t>South</t>
        </is>
      </c>
      <c r="F8988" s="61" t="n">
        <v>1</v>
      </c>
      <c r="G8988" s="62" t="n">
        <v>100.82</v>
      </c>
      <c r="H8988" s="63" t="n">
        <v>0.161</v>
      </c>
      <c r="I8988" s="62" t="n">
        <v>64.97</v>
      </c>
      <c r="J8988" s="58" t="inlineStr">
        <is>
          <t>Online</t>
        </is>
      </c>
      <c r="K8988" s="62">
        <f>F8988*(G8988-H8988)</f>
        <v/>
      </c>
      <c r="L8988" s="62">
        <f>K8988-(F8988*I8988)</f>
        <v/>
      </c>
      <c r="M8988" s="64">
        <f>L8988/K8988</f>
        <v/>
      </c>
    </row>
    <row r="8989">
      <c r="A8989" s="58" t="inlineStr">
        <is>
          <t>RT20250813-08988</t>
        </is>
      </c>
      <c r="B8989" s="59" t="inlineStr">
        <is>
          <t>2025-08-13</t>
        </is>
      </c>
      <c r="C8989" s="60" t="inlineStr">
        <is>
          <t>Solace Snack S-691</t>
        </is>
      </c>
      <c r="D8989" s="58" t="inlineStr">
        <is>
          <t>Grocery</t>
        </is>
      </c>
      <c r="E8989" s="58" t="inlineStr">
        <is>
          <t>East</t>
        </is>
      </c>
      <c r="F8989" s="61" t="n">
        <v>8</v>
      </c>
      <c r="G8989" s="62" t="n">
        <v>9.66</v>
      </c>
      <c r="H8989" s="63" t="n">
        <v>0.068</v>
      </c>
      <c r="I8989" s="62" t="n">
        <v>7.25</v>
      </c>
      <c r="J8989" s="58" t="inlineStr">
        <is>
          <t>Online</t>
        </is>
      </c>
      <c r="K8989" s="62">
        <f>F8989*(G8989-H8989)</f>
        <v/>
      </c>
      <c r="L8989" s="62">
        <f>K8989-(F8989*I8989)</f>
        <v/>
      </c>
      <c r="M8989" s="64">
        <f>L8989/K8989</f>
        <v/>
      </c>
    </row>
    <row r="8990">
      <c r="A8990" s="58" t="inlineStr">
        <is>
          <t>RT20250813-08989</t>
        </is>
      </c>
      <c r="B8990" s="59" t="inlineStr">
        <is>
          <t>2025-08-13</t>
        </is>
      </c>
      <c r="C8990" s="60" t="inlineStr">
        <is>
          <t>Solace Headphone Pro-344</t>
        </is>
      </c>
      <c r="D8990" s="58" t="inlineStr">
        <is>
          <t>Electronics</t>
        </is>
      </c>
      <c r="E8990" s="58" t="inlineStr">
        <is>
          <t>West</t>
        </is>
      </c>
      <c r="F8990" s="61" t="n">
        <v>1</v>
      </c>
      <c r="G8990" s="62" t="n">
        <v>1394.86</v>
      </c>
      <c r="H8990" s="63" t="n">
        <v>0.204</v>
      </c>
      <c r="I8990" s="62" t="n">
        <v>1055.46</v>
      </c>
      <c r="J8990" s="58" t="inlineStr">
        <is>
          <t>Store</t>
        </is>
      </c>
      <c r="K8990" s="62">
        <f>F8990*(G8990-H8990)</f>
        <v/>
      </c>
      <c r="L8990" s="62">
        <f>K8990-(F8990*I8990)</f>
        <v/>
      </c>
      <c r="M8990" s="64">
        <f>L8990/K8990</f>
        <v/>
      </c>
    </row>
    <row r="8991">
      <c r="A8991" s="58" t="inlineStr">
        <is>
          <t>RT20250813-08990</t>
        </is>
      </c>
      <c r="B8991" s="59" t="inlineStr">
        <is>
          <t>2025-08-13</t>
        </is>
      </c>
      <c r="C8991" s="60" t="inlineStr">
        <is>
          <t>Aurora Haircare S-975</t>
        </is>
      </c>
      <c r="D8991" s="58" t="inlineStr">
        <is>
          <t>Beauty</t>
        </is>
      </c>
      <c r="E8991" s="58" t="inlineStr">
        <is>
          <t>North</t>
        </is>
      </c>
      <c r="F8991" s="61" t="n">
        <v>4</v>
      </c>
      <c r="G8991" s="62" t="n">
        <v>96.51000000000001</v>
      </c>
      <c r="H8991" s="63" t="n">
        <v>0.178</v>
      </c>
      <c r="I8991" s="62" t="n">
        <v>58.32</v>
      </c>
      <c r="J8991" s="58" t="inlineStr">
        <is>
          <t>Store</t>
        </is>
      </c>
      <c r="K8991" s="62">
        <f>F8991*(G8991-H8991)</f>
        <v/>
      </c>
      <c r="L8991" s="62">
        <f>K8991-(F8991*I8991)</f>
        <v/>
      </c>
      <c r="M8991" s="64">
        <f>L8991/K8991</f>
        <v/>
      </c>
    </row>
    <row r="8992">
      <c r="A8992" s="58" t="inlineStr">
        <is>
          <t>RT20250813-08991</t>
        </is>
      </c>
      <c r="B8992" s="59" t="inlineStr">
        <is>
          <t>2025-08-13</t>
        </is>
      </c>
      <c r="C8992" s="60" t="inlineStr">
        <is>
          <t>Falcon Haircare Pro-980</t>
        </is>
      </c>
      <c r="D8992" s="58" t="inlineStr">
        <is>
          <t>Beauty</t>
        </is>
      </c>
      <c r="E8992" s="58" t="inlineStr">
        <is>
          <t>South</t>
        </is>
      </c>
      <c r="F8992" s="61" t="n">
        <v>5</v>
      </c>
      <c r="G8992" s="62" t="n">
        <v>90.03</v>
      </c>
      <c r="H8992" s="63" t="n">
        <v>0.147</v>
      </c>
      <c r="I8992" s="62" t="n">
        <v>56.44</v>
      </c>
      <c r="J8992" s="58" t="inlineStr">
        <is>
          <t>Store</t>
        </is>
      </c>
      <c r="K8992" s="62">
        <f>F8992*(G8992-H8992)</f>
        <v/>
      </c>
      <c r="L8992" s="62">
        <f>K8992-(F8992*I8992)</f>
        <v/>
      </c>
      <c r="M8992" s="64">
        <f>L8992/K8992</f>
        <v/>
      </c>
    </row>
    <row r="8993">
      <c r="A8993" s="58" t="inlineStr">
        <is>
          <t>RT20250813-08992</t>
        </is>
      </c>
      <c r="B8993" s="59" t="inlineStr">
        <is>
          <t>2025-08-13</t>
        </is>
      </c>
      <c r="C8993" s="60" t="inlineStr">
        <is>
          <t>Polar Women Max-927</t>
        </is>
      </c>
      <c r="D8993" s="58" t="inlineStr">
        <is>
          <t>Apparel</t>
        </is>
      </c>
      <c r="E8993" s="58" t="inlineStr">
        <is>
          <t>Central</t>
        </is>
      </c>
      <c r="F8993" s="61" t="n">
        <v>1</v>
      </c>
      <c r="G8993" s="62" t="n">
        <v>124.04</v>
      </c>
      <c r="H8993" s="63" t="n">
        <v>0.167</v>
      </c>
      <c r="I8993" s="62" t="n">
        <v>63.77</v>
      </c>
      <c r="J8993" s="58" t="inlineStr">
        <is>
          <t>Online</t>
        </is>
      </c>
      <c r="K8993" s="62">
        <f>F8993*(G8993-H8993)</f>
        <v/>
      </c>
      <c r="L8993" s="62">
        <f>K8993-(F8993*I8993)</f>
        <v/>
      </c>
      <c r="M8993" s="64">
        <f>L8993/K8993</f>
        <v/>
      </c>
    </row>
    <row r="8994">
      <c r="A8994" s="58" t="inlineStr">
        <is>
          <t>RT20250813-08993</t>
        </is>
      </c>
      <c r="B8994" s="59" t="inlineStr">
        <is>
          <t>2025-08-13</t>
        </is>
      </c>
      <c r="C8994" s="60" t="inlineStr">
        <is>
          <t>Falcon Household Pro-865</t>
        </is>
      </c>
      <c r="D8994" s="58" t="inlineStr">
        <is>
          <t>Grocery</t>
        </is>
      </c>
      <c r="E8994" s="58" t="inlineStr">
        <is>
          <t>Central</t>
        </is>
      </c>
      <c r="F8994" s="61" t="n">
        <v>4</v>
      </c>
      <c r="G8994" s="62" t="n">
        <v>9.98</v>
      </c>
      <c r="H8994" s="63" t="n">
        <v>0.11</v>
      </c>
      <c r="I8994" s="62" t="n">
        <v>7.77</v>
      </c>
      <c r="J8994" s="58" t="inlineStr">
        <is>
          <t>Online</t>
        </is>
      </c>
      <c r="K8994" s="62">
        <f>F8994*(G8994-H8994)</f>
        <v/>
      </c>
      <c r="L8994" s="62">
        <f>K8994-(F8994*I8994)</f>
        <v/>
      </c>
      <c r="M8994" s="64">
        <f>L8994/K8994</f>
        <v/>
      </c>
    </row>
    <row r="8995">
      <c r="A8995" s="58" t="inlineStr">
        <is>
          <t>RT20250813-08994</t>
        </is>
      </c>
      <c r="B8995" s="59" t="inlineStr">
        <is>
          <t>2025-08-13</t>
        </is>
      </c>
      <c r="C8995" s="60" t="inlineStr">
        <is>
          <t>Orion Storage Plus-961</t>
        </is>
      </c>
      <c r="D8995" s="58" t="inlineStr">
        <is>
          <t>Office</t>
        </is>
      </c>
      <c r="E8995" s="58" t="inlineStr">
        <is>
          <t>Central</t>
        </is>
      </c>
      <c r="F8995" s="61" t="n">
        <v>2</v>
      </c>
      <c r="G8995" s="62" t="n">
        <v>455.04</v>
      </c>
      <c r="H8995" s="63" t="n">
        <v>0.13</v>
      </c>
      <c r="I8995" s="62" t="n">
        <v>361.41</v>
      </c>
      <c r="J8995" s="58" t="inlineStr">
        <is>
          <t>Online</t>
        </is>
      </c>
      <c r="K8995" s="62">
        <f>F8995*(G8995-H8995)</f>
        <v/>
      </c>
      <c r="L8995" s="62">
        <f>K8995-(F8995*I8995)</f>
        <v/>
      </c>
      <c r="M8995" s="64">
        <f>L8995/K8995</f>
        <v/>
      </c>
    </row>
    <row r="8996">
      <c r="A8996" s="58" t="inlineStr">
        <is>
          <t>RT20250813-08995</t>
        </is>
      </c>
      <c r="B8996" s="59" t="inlineStr">
        <is>
          <t>2025-08-13</t>
        </is>
      </c>
      <c r="C8996" s="60" t="inlineStr">
        <is>
          <t>Solace Laptop S-367</t>
        </is>
      </c>
      <c r="D8996" s="58" t="inlineStr">
        <is>
          <t>Electronics</t>
        </is>
      </c>
      <c r="E8996" s="58" t="inlineStr">
        <is>
          <t>South</t>
        </is>
      </c>
      <c r="F8996" s="61" t="n">
        <v>1</v>
      </c>
      <c r="G8996" s="62" t="n">
        <v>2010.82</v>
      </c>
      <c r="H8996" s="63" t="n">
        <v>0.179</v>
      </c>
      <c r="I8996" s="62" t="n">
        <v>1534.04</v>
      </c>
      <c r="J8996" s="58" t="inlineStr">
        <is>
          <t>Online</t>
        </is>
      </c>
      <c r="K8996" s="62">
        <f>F8996*(G8996-H8996)</f>
        <v/>
      </c>
      <c r="L8996" s="62">
        <f>K8996-(F8996*I8996)</f>
        <v/>
      </c>
      <c r="M8996" s="64">
        <f>L8996/K8996</f>
        <v/>
      </c>
    </row>
    <row r="8997">
      <c r="A8997" s="58" t="inlineStr">
        <is>
          <t>RT20250813-08996</t>
        </is>
      </c>
      <c r="B8997" s="59" t="inlineStr">
        <is>
          <t>2025-08-13</t>
        </is>
      </c>
      <c r="C8997" s="60" t="inlineStr">
        <is>
          <t>Vertex Supplie X-513</t>
        </is>
      </c>
      <c r="D8997" s="58" t="inlineStr">
        <is>
          <t>Office</t>
        </is>
      </c>
      <c r="E8997" s="58" t="inlineStr">
        <is>
          <t>North</t>
        </is>
      </c>
      <c r="F8997" s="61" t="n">
        <v>1</v>
      </c>
      <c r="G8997" s="62" t="n">
        <v>422.42</v>
      </c>
      <c r="H8997" s="63" t="n">
        <v>0.154</v>
      </c>
      <c r="I8997" s="62" t="n">
        <v>277.02</v>
      </c>
      <c r="J8997" s="58" t="inlineStr">
        <is>
          <t>Store</t>
        </is>
      </c>
      <c r="K8997" s="62">
        <f>F8997*(G8997-H8997)</f>
        <v/>
      </c>
      <c r="L8997" s="62">
        <f>K8997-(F8997*I8997)</f>
        <v/>
      </c>
      <c r="M8997" s="64">
        <f>L8997/K8997</f>
        <v/>
      </c>
    </row>
    <row r="8998">
      <c r="A8998" s="58" t="inlineStr">
        <is>
          <t>RT20250813-08997</t>
        </is>
      </c>
      <c r="B8998" s="59" t="inlineStr">
        <is>
          <t>2025-08-13</t>
        </is>
      </c>
      <c r="C8998" s="60" t="inlineStr">
        <is>
          <t>Falcon Skincare Max-151</t>
        </is>
      </c>
      <c r="D8998" s="58" t="inlineStr">
        <is>
          <t>Beauty</t>
        </is>
      </c>
      <c r="E8998" s="58" t="inlineStr">
        <is>
          <t>West</t>
        </is>
      </c>
      <c r="F8998" s="61" t="n">
        <v>5</v>
      </c>
      <c r="G8998" s="62" t="n">
        <v>96.08</v>
      </c>
      <c r="H8998" s="63" t="n">
        <v>0.134</v>
      </c>
      <c r="I8998" s="62" t="n">
        <v>61.24</v>
      </c>
      <c r="J8998" s="58" t="inlineStr">
        <is>
          <t>Online</t>
        </is>
      </c>
      <c r="K8998" s="62">
        <f>F8998*(G8998-H8998)</f>
        <v/>
      </c>
      <c r="L8998" s="62">
        <f>K8998-(F8998*I8998)</f>
        <v/>
      </c>
      <c r="M8998" s="64">
        <f>L8998/K8998</f>
        <v/>
      </c>
    </row>
    <row r="8999">
      <c r="A8999" s="58" t="inlineStr">
        <is>
          <t>RT20250813-08998</t>
        </is>
      </c>
      <c r="B8999" s="59" t="inlineStr">
        <is>
          <t>2025-08-13</t>
        </is>
      </c>
      <c r="C8999" s="60" t="inlineStr">
        <is>
          <t>Solace Bedding Plus-317</t>
        </is>
      </c>
      <c r="D8999" s="58" t="inlineStr">
        <is>
          <t>Home</t>
        </is>
      </c>
      <c r="E8999" s="58" t="inlineStr">
        <is>
          <t>East</t>
        </is>
      </c>
      <c r="F8999" s="61" t="n">
        <v>3</v>
      </c>
      <c r="G8999" s="62" t="n">
        <v>550.62</v>
      </c>
      <c r="H8999" s="63" t="n">
        <v>0.164</v>
      </c>
      <c r="I8999" s="62" t="n">
        <v>381.42</v>
      </c>
      <c r="J8999" s="58" t="inlineStr">
        <is>
          <t>Store</t>
        </is>
      </c>
      <c r="K8999" s="62">
        <f>F8999*(G8999-H8999)</f>
        <v/>
      </c>
      <c r="L8999" s="62">
        <f>K8999-(F8999*I8999)</f>
        <v/>
      </c>
      <c r="M8999" s="64">
        <f>L8999/K8999</f>
        <v/>
      </c>
    </row>
    <row r="9000">
      <c r="A9000" s="58" t="inlineStr">
        <is>
          <t>RT20250813-08999</t>
        </is>
      </c>
      <c r="B9000" s="59" t="inlineStr">
        <is>
          <t>2025-08-13</t>
        </is>
      </c>
      <c r="C9000" s="60" t="inlineStr">
        <is>
          <t>Nimbus Storage Plus-646</t>
        </is>
      </c>
      <c r="D9000" s="58" t="inlineStr">
        <is>
          <t>Office</t>
        </is>
      </c>
      <c r="E9000" s="58" t="inlineStr">
        <is>
          <t>West</t>
        </is>
      </c>
      <c r="F9000" s="61" t="n">
        <v>2</v>
      </c>
      <c r="G9000" s="62" t="n">
        <v>448.85</v>
      </c>
      <c r="H9000" s="63" t="n">
        <v>0.157</v>
      </c>
      <c r="I9000" s="62" t="n">
        <v>313.26</v>
      </c>
      <c r="J9000" s="58" t="inlineStr">
        <is>
          <t>Store</t>
        </is>
      </c>
      <c r="K9000" s="62">
        <f>F9000*(G9000-H9000)</f>
        <v/>
      </c>
      <c r="L9000" s="62">
        <f>K9000-(F9000*I9000)</f>
        <v/>
      </c>
      <c r="M9000" s="64">
        <f>L9000/K9000</f>
        <v/>
      </c>
    </row>
    <row r="9001">
      <c r="A9001" s="58" t="inlineStr">
        <is>
          <t>RT20250813-09000</t>
        </is>
      </c>
      <c r="B9001" s="59" t="inlineStr">
        <is>
          <t>2025-08-13</t>
        </is>
      </c>
      <c r="C9001" s="60" t="inlineStr">
        <is>
          <t>Orion Fragrance Lite-785</t>
        </is>
      </c>
      <c r="D9001" s="58" t="inlineStr">
        <is>
          <t>Beauty</t>
        </is>
      </c>
      <c r="E9001" s="58" t="inlineStr">
        <is>
          <t>West</t>
        </is>
      </c>
      <c r="F9001" s="61" t="n">
        <v>5</v>
      </c>
      <c r="G9001" s="62" t="n">
        <v>43.21</v>
      </c>
      <c r="H9001" s="63" t="n">
        <v>0.075</v>
      </c>
      <c r="I9001" s="62" t="n">
        <v>26.48</v>
      </c>
      <c r="J9001" s="58" t="inlineStr">
        <is>
          <t>Online</t>
        </is>
      </c>
      <c r="K9001" s="62">
        <f>F9001*(G9001-H9001)</f>
        <v/>
      </c>
      <c r="L9001" s="62">
        <f>K9001-(F9001*I9001)</f>
        <v/>
      </c>
      <c r="M9001" s="64">
        <f>L9001/K9001</f>
        <v/>
      </c>
    </row>
    <row r="9002">
      <c r="A9002" s="58" t="inlineStr">
        <is>
          <t>RT20250813-09001</t>
        </is>
      </c>
      <c r="B9002" s="59" t="inlineStr">
        <is>
          <t>2025-08-13</t>
        </is>
      </c>
      <c r="C9002" s="60" t="inlineStr">
        <is>
          <t>Vertex Appliance Max-338</t>
        </is>
      </c>
      <c r="D9002" s="58" t="inlineStr">
        <is>
          <t>Home</t>
        </is>
      </c>
      <c r="E9002" s="58" t="inlineStr">
        <is>
          <t>Central</t>
        </is>
      </c>
      <c r="F9002" s="61" t="n">
        <v>2</v>
      </c>
      <c r="G9002" s="62" t="n">
        <v>480.34</v>
      </c>
      <c r="H9002" s="63" t="n">
        <v>0.169</v>
      </c>
      <c r="I9002" s="62" t="n">
        <v>286.16</v>
      </c>
      <c r="J9002" s="58" t="inlineStr">
        <is>
          <t>Store</t>
        </is>
      </c>
      <c r="K9002" s="62">
        <f>F9002*(G9002-H9002)</f>
        <v/>
      </c>
      <c r="L9002" s="62">
        <f>K9002-(F9002*I9002)</f>
        <v/>
      </c>
      <c r="M9002" s="64">
        <f>L9002/K9002</f>
        <v/>
      </c>
    </row>
    <row r="9003">
      <c r="A9003" s="58" t="inlineStr">
        <is>
          <t>RT20250813-09002</t>
        </is>
      </c>
      <c r="B9003" s="59" t="inlineStr">
        <is>
          <t>2025-08-13</t>
        </is>
      </c>
      <c r="C9003" s="60" t="inlineStr">
        <is>
          <t>Orion Beverage Plus-949</t>
        </is>
      </c>
      <c r="D9003" s="58" t="inlineStr">
        <is>
          <t>Grocery</t>
        </is>
      </c>
      <c r="E9003" s="58" t="inlineStr">
        <is>
          <t>West</t>
        </is>
      </c>
      <c r="F9003" s="61" t="n">
        <v>1</v>
      </c>
      <c r="G9003" s="62" t="n">
        <v>18.89</v>
      </c>
      <c r="H9003" s="63" t="n">
        <v>0.163</v>
      </c>
      <c r="I9003" s="62" t="n">
        <v>13.85</v>
      </c>
      <c r="J9003" s="58" t="inlineStr">
        <is>
          <t>Online</t>
        </is>
      </c>
      <c r="K9003" s="62">
        <f>F9003*(G9003-H9003)</f>
        <v/>
      </c>
      <c r="L9003" s="62">
        <f>K9003-(F9003*I9003)</f>
        <v/>
      </c>
      <c r="M9003" s="64">
        <f>L9003/K9003</f>
        <v/>
      </c>
    </row>
    <row r="9004">
      <c r="A9004" s="58" t="inlineStr">
        <is>
          <t>RT20250813-09003</t>
        </is>
      </c>
      <c r="B9004" s="59" t="inlineStr">
        <is>
          <t>2025-08-13</t>
        </is>
      </c>
      <c r="C9004" s="60" t="inlineStr">
        <is>
          <t>Falcon Household Pro-865</t>
        </is>
      </c>
      <c r="D9004" s="58" t="inlineStr">
        <is>
          <t>Grocery</t>
        </is>
      </c>
      <c r="E9004" s="58" t="inlineStr">
        <is>
          <t>South</t>
        </is>
      </c>
      <c r="F9004" s="61" t="n">
        <v>8</v>
      </c>
      <c r="G9004" s="62" t="n">
        <v>10.82</v>
      </c>
      <c r="H9004" s="63" t="n">
        <v>0.135</v>
      </c>
      <c r="I9004" s="62" t="n">
        <v>7.89</v>
      </c>
      <c r="J9004" s="58" t="inlineStr">
        <is>
          <t>Online</t>
        </is>
      </c>
      <c r="K9004" s="62">
        <f>F9004*(G9004-H9004)</f>
        <v/>
      </c>
      <c r="L9004" s="62">
        <f>K9004-(F9004*I9004)</f>
        <v/>
      </c>
      <c r="M9004" s="64">
        <f>L9004/K9004</f>
        <v/>
      </c>
    </row>
    <row r="9005">
      <c r="A9005" s="58" t="inlineStr">
        <is>
          <t>RT20250813-09004</t>
        </is>
      </c>
      <c r="B9005" s="59" t="inlineStr">
        <is>
          <t>2025-08-13</t>
        </is>
      </c>
      <c r="C9005" s="60" t="inlineStr">
        <is>
          <t>Vertex Smartphone Lite-267</t>
        </is>
      </c>
      <c r="D9005" s="58" t="inlineStr">
        <is>
          <t>Electronics</t>
        </is>
      </c>
      <c r="E9005" s="58" t="inlineStr">
        <is>
          <t>Central</t>
        </is>
      </c>
      <c r="F9005" s="61" t="n">
        <v>2</v>
      </c>
      <c r="G9005" s="62" t="n">
        <v>1188.24</v>
      </c>
      <c r="H9005" s="63" t="n">
        <v>0.115</v>
      </c>
      <c r="I9005" s="62" t="n">
        <v>986.04</v>
      </c>
      <c r="J9005" s="58" t="inlineStr">
        <is>
          <t>Online</t>
        </is>
      </c>
      <c r="K9005" s="62">
        <f>F9005*(G9005-H9005)</f>
        <v/>
      </c>
      <c r="L9005" s="62">
        <f>K9005-(F9005*I9005)</f>
        <v/>
      </c>
      <c r="M9005" s="64">
        <f>L9005/K9005</f>
        <v/>
      </c>
    </row>
    <row r="9006">
      <c r="A9006" s="58" t="inlineStr">
        <is>
          <t>RT20250813-09005</t>
        </is>
      </c>
      <c r="B9006" s="59" t="inlineStr">
        <is>
          <t>2025-08-13</t>
        </is>
      </c>
      <c r="C9006" s="60" t="inlineStr">
        <is>
          <t>Aurora Kid Plus-151</t>
        </is>
      </c>
      <c r="D9006" s="58" t="inlineStr">
        <is>
          <t>Apparel</t>
        </is>
      </c>
      <c r="E9006" s="58" t="inlineStr">
        <is>
          <t>West</t>
        </is>
      </c>
      <c r="F9006" s="61" t="n">
        <v>2</v>
      </c>
      <c r="G9006" s="62" t="n">
        <v>114.28</v>
      </c>
      <c r="H9006" s="63" t="n">
        <v>0.14</v>
      </c>
      <c r="I9006" s="62" t="n">
        <v>62.5</v>
      </c>
      <c r="J9006" s="58" t="inlineStr">
        <is>
          <t>Online</t>
        </is>
      </c>
      <c r="K9006" s="62">
        <f>F9006*(G9006-H9006)</f>
        <v/>
      </c>
      <c r="L9006" s="62">
        <f>K9006-(F9006*I9006)</f>
        <v/>
      </c>
      <c r="M9006" s="64">
        <f>L9006/K9006</f>
        <v/>
      </c>
    </row>
    <row r="9007">
      <c r="A9007" s="58" t="inlineStr">
        <is>
          <t>RT20250813-09006</t>
        </is>
      </c>
      <c r="B9007" s="59" t="inlineStr">
        <is>
          <t>2025-08-13</t>
        </is>
      </c>
      <c r="C9007" s="60" t="inlineStr">
        <is>
          <t>Polar Women Max-927</t>
        </is>
      </c>
      <c r="D9007" s="58" t="inlineStr">
        <is>
          <t>Apparel</t>
        </is>
      </c>
      <c r="E9007" s="58" t="inlineStr">
        <is>
          <t>East</t>
        </is>
      </c>
      <c r="F9007" s="61" t="n">
        <v>3</v>
      </c>
      <c r="G9007" s="62" t="n">
        <v>125.73</v>
      </c>
      <c r="H9007" s="63" t="n">
        <v>0.172</v>
      </c>
      <c r="I9007" s="62" t="n">
        <v>63.65</v>
      </c>
      <c r="J9007" s="58" t="inlineStr">
        <is>
          <t>Store</t>
        </is>
      </c>
      <c r="K9007" s="62">
        <f>F9007*(G9007-H9007)</f>
        <v/>
      </c>
      <c r="L9007" s="62">
        <f>K9007-(F9007*I9007)</f>
        <v/>
      </c>
      <c r="M9007" s="64">
        <f>L9007/K9007</f>
        <v/>
      </c>
    </row>
    <row r="9008">
      <c r="A9008" s="58" t="inlineStr">
        <is>
          <t>RT20250813-09007</t>
        </is>
      </c>
      <c r="B9008" s="59" t="inlineStr">
        <is>
          <t>2025-08-13</t>
        </is>
      </c>
      <c r="C9008" s="60" t="inlineStr">
        <is>
          <t>Vertex Appliance S-296</t>
        </is>
      </c>
      <c r="D9008" s="58" t="inlineStr">
        <is>
          <t>Home</t>
        </is>
      </c>
      <c r="E9008" s="58" t="inlineStr">
        <is>
          <t>Central</t>
        </is>
      </c>
      <c r="F9008" s="61" t="n">
        <v>2</v>
      </c>
      <c r="G9008" s="62" t="n">
        <v>505.26</v>
      </c>
      <c r="H9008" s="63" t="n">
        <v>0.129</v>
      </c>
      <c r="I9008" s="62" t="n">
        <v>359.66</v>
      </c>
      <c r="J9008" s="58" t="inlineStr">
        <is>
          <t>Store</t>
        </is>
      </c>
      <c r="K9008" s="62">
        <f>F9008*(G9008-H9008)</f>
        <v/>
      </c>
      <c r="L9008" s="62">
        <f>K9008-(F9008*I9008)</f>
        <v/>
      </c>
      <c r="M9008" s="64">
        <f>L9008/K9008</f>
        <v/>
      </c>
    </row>
    <row r="9009">
      <c r="A9009" s="58" t="inlineStr">
        <is>
          <t>RT20250813-09008</t>
        </is>
      </c>
      <c r="B9009" s="59" t="inlineStr">
        <is>
          <t>2025-08-13</t>
        </is>
      </c>
      <c r="C9009" s="60" t="inlineStr">
        <is>
          <t>Polar Women S-662</t>
        </is>
      </c>
      <c r="D9009" s="58" t="inlineStr">
        <is>
          <t>Apparel</t>
        </is>
      </c>
      <c r="E9009" s="58" t="inlineStr">
        <is>
          <t>East</t>
        </is>
      </c>
      <c r="F9009" s="61" t="n">
        <v>2</v>
      </c>
      <c r="G9009" s="62" t="n">
        <v>166.85</v>
      </c>
      <c r="H9009" s="63" t="n">
        <v>0.05</v>
      </c>
      <c r="I9009" s="62" t="n">
        <v>100.69</v>
      </c>
      <c r="J9009" s="58" t="inlineStr">
        <is>
          <t>Store</t>
        </is>
      </c>
      <c r="K9009" s="62">
        <f>F9009*(G9009-H9009)</f>
        <v/>
      </c>
      <c r="L9009" s="62">
        <f>K9009-(F9009*I9009)</f>
        <v/>
      </c>
      <c r="M9009" s="64">
        <f>L9009/K9009</f>
        <v/>
      </c>
    </row>
    <row r="9010">
      <c r="A9010" s="58" t="inlineStr">
        <is>
          <t>RT20250813-09009</t>
        </is>
      </c>
      <c r="B9010" s="59" t="inlineStr">
        <is>
          <t>2025-08-13</t>
        </is>
      </c>
      <c r="C9010" s="60" t="inlineStr">
        <is>
          <t>Orion Kitchen Pro-568</t>
        </is>
      </c>
      <c r="D9010" s="58" t="inlineStr">
        <is>
          <t>Home</t>
        </is>
      </c>
      <c r="E9010" s="58" t="inlineStr">
        <is>
          <t>Central</t>
        </is>
      </c>
      <c r="F9010" s="61" t="n">
        <v>3</v>
      </c>
      <c r="G9010" s="62" t="n">
        <v>460.82</v>
      </c>
      <c r="H9010" s="63" t="n">
        <v>0.157</v>
      </c>
      <c r="I9010" s="62" t="n">
        <v>303.82</v>
      </c>
      <c r="J9010" s="58" t="inlineStr">
        <is>
          <t>Online</t>
        </is>
      </c>
      <c r="K9010" s="62">
        <f>F9010*(G9010-H9010)</f>
        <v/>
      </c>
      <c r="L9010" s="62">
        <f>K9010-(F9010*I9010)</f>
        <v/>
      </c>
      <c r="M9010" s="64">
        <f>L9010/K9010</f>
        <v/>
      </c>
    </row>
    <row r="9011">
      <c r="A9011" s="58" t="inlineStr">
        <is>
          <t>RT20250814-09010</t>
        </is>
      </c>
      <c r="B9011" s="59" t="inlineStr">
        <is>
          <t>2025-08-14</t>
        </is>
      </c>
      <c r="C9011" s="60" t="inlineStr">
        <is>
          <t>Nimbus Headphone X-854</t>
        </is>
      </c>
      <c r="D9011" s="58" t="inlineStr">
        <is>
          <t>Electronics</t>
        </is>
      </c>
      <c r="E9011" s="58" t="inlineStr">
        <is>
          <t>West</t>
        </is>
      </c>
      <c r="F9011" s="61" t="n">
        <v>2</v>
      </c>
      <c r="G9011" s="62" t="n">
        <v>1632.87</v>
      </c>
      <c r="H9011" s="63" t="n">
        <v>0.233</v>
      </c>
      <c r="I9011" s="62" t="n">
        <v>1215.94</v>
      </c>
      <c r="J9011" s="58" t="inlineStr">
        <is>
          <t>Store</t>
        </is>
      </c>
      <c r="K9011" s="62">
        <f>F9011*(G9011-H9011)</f>
        <v/>
      </c>
      <c r="L9011" s="62">
        <f>K9011-(F9011*I9011)</f>
        <v/>
      </c>
      <c r="M9011" s="64">
        <f>L9011/K9011</f>
        <v/>
      </c>
    </row>
    <row r="9012">
      <c r="A9012" s="58" t="inlineStr">
        <is>
          <t>RT20250814-09011</t>
        </is>
      </c>
      <c r="B9012" s="59" t="inlineStr">
        <is>
          <t>2025-08-14</t>
        </is>
      </c>
      <c r="C9012" s="60" t="inlineStr">
        <is>
          <t>Falcon Furniture Plus-839</t>
        </is>
      </c>
      <c r="D9012" s="58" t="inlineStr">
        <is>
          <t>Office</t>
        </is>
      </c>
      <c r="E9012" s="58" t="inlineStr">
        <is>
          <t>East</t>
        </is>
      </c>
      <c r="F9012" s="61" t="n">
        <v>1</v>
      </c>
      <c r="G9012" s="62" t="n">
        <v>319.98</v>
      </c>
      <c r="H9012" s="63" t="n">
        <v>0.174</v>
      </c>
      <c r="I9012" s="62" t="n">
        <v>232.63</v>
      </c>
      <c r="J9012" s="58" t="inlineStr">
        <is>
          <t>Online</t>
        </is>
      </c>
      <c r="K9012" s="62">
        <f>F9012*(G9012-H9012)</f>
        <v/>
      </c>
      <c r="L9012" s="62">
        <f>K9012-(F9012*I9012)</f>
        <v/>
      </c>
      <c r="M9012" s="64">
        <f>L9012/K9012</f>
        <v/>
      </c>
    </row>
    <row r="9013">
      <c r="A9013" s="58" t="inlineStr">
        <is>
          <t>RT20250814-09012</t>
        </is>
      </c>
      <c r="B9013" s="59" t="inlineStr">
        <is>
          <t>2025-08-14</t>
        </is>
      </c>
      <c r="C9013" s="60" t="inlineStr">
        <is>
          <t>Polar Haircare Max-614</t>
        </is>
      </c>
      <c r="D9013" s="58" t="inlineStr">
        <is>
          <t>Beauty</t>
        </is>
      </c>
      <c r="E9013" s="58" t="inlineStr">
        <is>
          <t>East</t>
        </is>
      </c>
      <c r="F9013" s="61" t="n">
        <v>3</v>
      </c>
      <c r="G9013" s="62" t="n">
        <v>107.87</v>
      </c>
      <c r="H9013" s="63" t="n">
        <v>0.202</v>
      </c>
      <c r="I9013" s="62" t="n">
        <v>69.20999999999999</v>
      </c>
      <c r="J9013" s="58" t="inlineStr">
        <is>
          <t>Store</t>
        </is>
      </c>
      <c r="K9013" s="62">
        <f>F9013*(G9013-H9013)</f>
        <v/>
      </c>
      <c r="L9013" s="62">
        <f>K9013-(F9013*I9013)</f>
        <v/>
      </c>
      <c r="M9013" s="64">
        <f>L9013/K9013</f>
        <v/>
      </c>
    </row>
    <row r="9014">
      <c r="A9014" s="58" t="inlineStr">
        <is>
          <t>RT20250814-09013</t>
        </is>
      </c>
      <c r="B9014" s="59" t="inlineStr">
        <is>
          <t>2025-08-14</t>
        </is>
      </c>
      <c r="C9014" s="60" t="inlineStr">
        <is>
          <t>Aurora Printer Plus-723</t>
        </is>
      </c>
      <c r="D9014" s="58" t="inlineStr">
        <is>
          <t>Office</t>
        </is>
      </c>
      <c r="E9014" s="58" t="inlineStr">
        <is>
          <t>Central</t>
        </is>
      </c>
      <c r="F9014" s="61" t="n">
        <v>3</v>
      </c>
      <c r="G9014" s="62" t="n">
        <v>265.38</v>
      </c>
      <c r="H9014" s="63" t="n">
        <v>0.126</v>
      </c>
      <c r="I9014" s="62" t="n">
        <v>190.87</v>
      </c>
      <c r="J9014" s="58" t="inlineStr">
        <is>
          <t>Online</t>
        </is>
      </c>
      <c r="K9014" s="62">
        <f>F9014*(G9014-H9014)</f>
        <v/>
      </c>
      <c r="L9014" s="62">
        <f>K9014-(F9014*I9014)</f>
        <v/>
      </c>
      <c r="M9014" s="64">
        <f>L9014/K9014</f>
        <v/>
      </c>
    </row>
    <row r="9015">
      <c r="A9015" s="58" t="inlineStr">
        <is>
          <t>RT20250814-09014</t>
        </is>
      </c>
      <c r="B9015" s="59" t="inlineStr">
        <is>
          <t>2025-08-14</t>
        </is>
      </c>
      <c r="C9015" s="60" t="inlineStr">
        <is>
          <t>Polar Snack Pro-641</t>
        </is>
      </c>
      <c r="D9015" s="58" t="inlineStr">
        <is>
          <t>Grocery</t>
        </is>
      </c>
      <c r="E9015" s="58" t="inlineStr">
        <is>
          <t>West</t>
        </is>
      </c>
      <c r="F9015" s="61" t="n">
        <v>6</v>
      </c>
      <c r="G9015" s="62" t="n">
        <v>12.92</v>
      </c>
      <c r="H9015" s="63" t="n">
        <v>0.191</v>
      </c>
      <c r="I9015" s="62" t="n">
        <v>9.550000000000001</v>
      </c>
      <c r="J9015" s="58" t="inlineStr">
        <is>
          <t>Online</t>
        </is>
      </c>
      <c r="K9015" s="62">
        <f>F9015*(G9015-H9015)</f>
        <v/>
      </c>
      <c r="L9015" s="62">
        <f>K9015-(F9015*I9015)</f>
        <v/>
      </c>
      <c r="M9015" s="64">
        <f>L9015/K9015</f>
        <v/>
      </c>
    </row>
    <row r="9016">
      <c r="A9016" s="58" t="inlineStr">
        <is>
          <t>RT20250814-09015</t>
        </is>
      </c>
      <c r="B9016" s="59" t="inlineStr">
        <is>
          <t>2025-08-14</t>
        </is>
      </c>
      <c r="C9016" s="60" t="inlineStr">
        <is>
          <t>Aurora Makeup Pro-489</t>
        </is>
      </c>
      <c r="D9016" s="58" t="inlineStr">
        <is>
          <t>Beauty</t>
        </is>
      </c>
      <c r="E9016" s="58" t="inlineStr">
        <is>
          <t>South</t>
        </is>
      </c>
      <c r="F9016" s="61" t="n">
        <v>5</v>
      </c>
      <c r="G9016" s="62" t="n">
        <v>98.41</v>
      </c>
      <c r="H9016" s="63" t="n">
        <v>0.15</v>
      </c>
      <c r="I9016" s="62" t="n">
        <v>65</v>
      </c>
      <c r="J9016" s="58" t="inlineStr">
        <is>
          <t>Online</t>
        </is>
      </c>
      <c r="K9016" s="62">
        <f>F9016*(G9016-H9016)</f>
        <v/>
      </c>
      <c r="L9016" s="62">
        <f>K9016-(F9016*I9016)</f>
        <v/>
      </c>
      <c r="M9016" s="64">
        <f>L9016/K9016</f>
        <v/>
      </c>
    </row>
    <row r="9017">
      <c r="A9017" s="58" t="inlineStr">
        <is>
          <t>RT20250814-09016</t>
        </is>
      </c>
      <c r="B9017" s="59" t="inlineStr">
        <is>
          <t>2025-08-14</t>
        </is>
      </c>
      <c r="C9017" s="60" t="inlineStr">
        <is>
          <t>Polar Women S-662</t>
        </is>
      </c>
      <c r="D9017" s="58" t="inlineStr">
        <is>
          <t>Apparel</t>
        </is>
      </c>
      <c r="E9017" s="58" t="inlineStr">
        <is>
          <t>South</t>
        </is>
      </c>
      <c r="F9017" s="61" t="n">
        <v>1</v>
      </c>
      <c r="G9017" s="62" t="n">
        <v>169.31</v>
      </c>
      <c r="H9017" s="63" t="n">
        <v>0.183</v>
      </c>
      <c r="I9017" s="62" t="n">
        <v>97.95</v>
      </c>
      <c r="J9017" s="58" t="inlineStr">
        <is>
          <t>Online</t>
        </is>
      </c>
      <c r="K9017" s="62">
        <f>F9017*(G9017-H9017)</f>
        <v/>
      </c>
      <c r="L9017" s="62">
        <f>K9017-(F9017*I9017)</f>
        <v/>
      </c>
      <c r="M9017" s="64">
        <f>L9017/K9017</f>
        <v/>
      </c>
    </row>
    <row r="9018">
      <c r="A9018" s="58" t="inlineStr">
        <is>
          <t>RT20250814-09017</t>
        </is>
      </c>
      <c r="B9018" s="59" t="inlineStr">
        <is>
          <t>2025-08-14</t>
        </is>
      </c>
      <c r="C9018" s="60" t="inlineStr">
        <is>
          <t>Polar Supplie Lite-348</t>
        </is>
      </c>
      <c r="D9018" s="58" t="inlineStr">
        <is>
          <t>Office</t>
        </is>
      </c>
      <c r="E9018" s="58" t="inlineStr">
        <is>
          <t>West</t>
        </is>
      </c>
      <c r="F9018" s="61" t="n">
        <v>3</v>
      </c>
      <c r="G9018" s="62" t="n">
        <v>480.8</v>
      </c>
      <c r="H9018" s="63" t="n">
        <v>0.16</v>
      </c>
      <c r="I9018" s="62" t="n">
        <v>320.16</v>
      </c>
      <c r="J9018" s="58" t="inlineStr">
        <is>
          <t>Phone</t>
        </is>
      </c>
      <c r="K9018" s="62">
        <f>F9018*(G9018-H9018)</f>
        <v/>
      </c>
      <c r="L9018" s="62">
        <f>K9018-(F9018*I9018)</f>
        <v/>
      </c>
      <c r="M9018" s="64">
        <f>L9018/K9018</f>
        <v/>
      </c>
    </row>
    <row r="9019">
      <c r="A9019" s="58" t="inlineStr">
        <is>
          <t>RT20250814-09018</t>
        </is>
      </c>
      <c r="B9019" s="59" t="inlineStr">
        <is>
          <t>2025-08-14</t>
        </is>
      </c>
      <c r="C9019" s="60" t="inlineStr">
        <is>
          <t>Polar Outdoor X-193</t>
        </is>
      </c>
      <c r="D9019" s="58" t="inlineStr">
        <is>
          <t>Sports</t>
        </is>
      </c>
      <c r="E9019" s="58" t="inlineStr">
        <is>
          <t>East</t>
        </is>
      </c>
      <c r="F9019" s="61" t="n">
        <v>3</v>
      </c>
      <c r="G9019" s="62" t="n">
        <v>766.21</v>
      </c>
      <c r="H9019" s="63" t="n">
        <v>0.184</v>
      </c>
      <c r="I9019" s="62" t="n">
        <v>441.97</v>
      </c>
      <c r="J9019" s="58" t="inlineStr">
        <is>
          <t>Online</t>
        </is>
      </c>
      <c r="K9019" s="62">
        <f>F9019*(G9019-H9019)</f>
        <v/>
      </c>
      <c r="L9019" s="62">
        <f>K9019-(F9019*I9019)</f>
        <v/>
      </c>
      <c r="M9019" s="64">
        <f>L9019/K9019</f>
        <v/>
      </c>
    </row>
    <row r="9020">
      <c r="A9020" s="58" t="inlineStr">
        <is>
          <t>RT20250814-09019</t>
        </is>
      </c>
      <c r="B9020" s="59" t="inlineStr">
        <is>
          <t>2025-08-14</t>
        </is>
      </c>
      <c r="C9020" s="60" t="inlineStr">
        <is>
          <t>Nimbus Decor Lite-385</t>
        </is>
      </c>
      <c r="D9020" s="58" t="inlineStr">
        <is>
          <t>Home</t>
        </is>
      </c>
      <c r="E9020" s="58" t="inlineStr">
        <is>
          <t>Central</t>
        </is>
      </c>
      <c r="F9020" s="61" t="n">
        <v>1</v>
      </c>
      <c r="G9020" s="62" t="n">
        <v>546.6</v>
      </c>
      <c r="H9020" s="63" t="n">
        <v>0.172</v>
      </c>
      <c r="I9020" s="62" t="n">
        <v>405.35</v>
      </c>
      <c r="J9020" s="58" t="inlineStr">
        <is>
          <t>Store</t>
        </is>
      </c>
      <c r="K9020" s="62">
        <f>F9020*(G9020-H9020)</f>
        <v/>
      </c>
      <c r="L9020" s="62">
        <f>K9020-(F9020*I9020)</f>
        <v/>
      </c>
      <c r="M9020" s="64">
        <f>L9020/K9020</f>
        <v/>
      </c>
    </row>
    <row r="9021">
      <c r="A9021" s="58" t="inlineStr">
        <is>
          <t>RT20250814-09020</t>
        </is>
      </c>
      <c r="B9021" s="59" t="inlineStr">
        <is>
          <t>2025-08-14</t>
        </is>
      </c>
      <c r="C9021" s="60" t="inlineStr">
        <is>
          <t>Aurora Wearable Lite-162</t>
        </is>
      </c>
      <c r="D9021" s="58" t="inlineStr">
        <is>
          <t>Electronics</t>
        </is>
      </c>
      <c r="E9021" s="58" t="inlineStr">
        <is>
          <t>East</t>
        </is>
      </c>
      <c r="F9021" s="61" t="n">
        <v>1</v>
      </c>
      <c r="G9021" s="62" t="n">
        <v>1634.5</v>
      </c>
      <c r="H9021" s="63" t="n">
        <v>0.155</v>
      </c>
      <c r="I9021" s="62" t="n">
        <v>1194.76</v>
      </c>
      <c r="J9021" s="58" t="inlineStr">
        <is>
          <t>Online</t>
        </is>
      </c>
      <c r="K9021" s="62">
        <f>F9021*(G9021-H9021)</f>
        <v/>
      </c>
      <c r="L9021" s="62">
        <f>K9021-(F9021*I9021)</f>
        <v/>
      </c>
      <c r="M9021" s="64">
        <f>L9021/K9021</f>
        <v/>
      </c>
    </row>
    <row r="9022">
      <c r="A9022" s="58" t="inlineStr">
        <is>
          <t>RT20250814-09021</t>
        </is>
      </c>
      <c r="B9022" s="59" t="inlineStr">
        <is>
          <t>2025-08-14</t>
        </is>
      </c>
      <c r="C9022" s="60" t="inlineStr">
        <is>
          <t>Polar Snack Pro-641</t>
        </is>
      </c>
      <c r="D9022" s="58" t="inlineStr">
        <is>
          <t>Grocery</t>
        </is>
      </c>
      <c r="E9022" s="58" t="inlineStr">
        <is>
          <t>East</t>
        </is>
      </c>
      <c r="F9022" s="61" t="n">
        <v>6</v>
      </c>
      <c r="G9022" s="62" t="n">
        <v>13.48</v>
      </c>
      <c r="H9022" s="63" t="n">
        <v>0.121</v>
      </c>
      <c r="I9022" s="62" t="n">
        <v>9.4</v>
      </c>
      <c r="J9022" s="58" t="inlineStr">
        <is>
          <t>Store</t>
        </is>
      </c>
      <c r="K9022" s="62">
        <f>F9022*(G9022-H9022)</f>
        <v/>
      </c>
      <c r="L9022" s="62">
        <f>K9022-(F9022*I9022)</f>
        <v/>
      </c>
      <c r="M9022" s="64">
        <f>L9022/K9022</f>
        <v/>
      </c>
    </row>
    <row r="9023">
      <c r="A9023" s="58" t="inlineStr">
        <is>
          <t>RT20250814-09022</t>
        </is>
      </c>
      <c r="B9023" s="59" t="inlineStr">
        <is>
          <t>2025-08-14</t>
        </is>
      </c>
      <c r="C9023" s="60" t="inlineStr">
        <is>
          <t>Solace Kitchen Pro-999</t>
        </is>
      </c>
      <c r="D9023" s="58" t="inlineStr">
        <is>
          <t>Home</t>
        </is>
      </c>
      <c r="E9023" s="58" t="inlineStr">
        <is>
          <t>West</t>
        </is>
      </c>
      <c r="F9023" s="61" t="n">
        <v>3</v>
      </c>
      <c r="G9023" s="62" t="n">
        <v>365.8</v>
      </c>
      <c r="H9023" s="63" t="n">
        <v>0.136</v>
      </c>
      <c r="I9023" s="62" t="n">
        <v>262.51</v>
      </c>
      <c r="J9023" s="58" t="inlineStr">
        <is>
          <t>Online</t>
        </is>
      </c>
      <c r="K9023" s="62">
        <f>F9023*(G9023-H9023)</f>
        <v/>
      </c>
      <c r="L9023" s="62">
        <f>K9023-(F9023*I9023)</f>
        <v/>
      </c>
      <c r="M9023" s="64">
        <f>L9023/K9023</f>
        <v/>
      </c>
    </row>
    <row r="9024">
      <c r="A9024" s="58" t="inlineStr">
        <is>
          <t>RT20250814-09023</t>
        </is>
      </c>
      <c r="B9024" s="59" t="inlineStr">
        <is>
          <t>2025-08-14</t>
        </is>
      </c>
      <c r="C9024" s="60" t="inlineStr">
        <is>
          <t>Aurora Wearable Lite-162</t>
        </is>
      </c>
      <c r="D9024" s="58" t="inlineStr">
        <is>
          <t>Electronics</t>
        </is>
      </c>
      <c r="E9024" s="58" t="inlineStr">
        <is>
          <t>East</t>
        </is>
      </c>
      <c r="F9024" s="61" t="n">
        <v>1</v>
      </c>
      <c r="G9024" s="62" t="n">
        <v>1618.9</v>
      </c>
      <c r="H9024" s="63" t="n">
        <v>0.099</v>
      </c>
      <c r="I9024" s="62" t="n">
        <v>1189.97</v>
      </c>
      <c r="J9024" s="58" t="inlineStr">
        <is>
          <t>Online</t>
        </is>
      </c>
      <c r="K9024" s="62">
        <f>F9024*(G9024-H9024)</f>
        <v/>
      </c>
      <c r="L9024" s="62">
        <f>K9024-(F9024*I9024)</f>
        <v/>
      </c>
      <c r="M9024" s="64">
        <f>L9024/K9024</f>
        <v/>
      </c>
    </row>
    <row r="9025">
      <c r="A9025" s="58" t="inlineStr">
        <is>
          <t>RT20250814-09024</t>
        </is>
      </c>
      <c r="B9025" s="59" t="inlineStr">
        <is>
          <t>2025-08-14</t>
        </is>
      </c>
      <c r="C9025" s="60" t="inlineStr">
        <is>
          <t>Metro Printer X-294</t>
        </is>
      </c>
      <c r="D9025" s="58" t="inlineStr">
        <is>
          <t>Office</t>
        </is>
      </c>
      <c r="E9025" s="58" t="inlineStr">
        <is>
          <t>Central</t>
        </is>
      </c>
      <c r="F9025" s="61" t="n">
        <v>1</v>
      </c>
      <c r="G9025" s="62" t="n">
        <v>571.58</v>
      </c>
      <c r="H9025" s="63" t="n">
        <v>0.156</v>
      </c>
      <c r="I9025" s="62" t="n">
        <v>414.07</v>
      </c>
      <c r="J9025" s="58" t="inlineStr">
        <is>
          <t>Online</t>
        </is>
      </c>
      <c r="K9025" s="62">
        <f>F9025*(G9025-H9025)</f>
        <v/>
      </c>
      <c r="L9025" s="62">
        <f>K9025-(F9025*I9025)</f>
        <v/>
      </c>
      <c r="M9025" s="64">
        <f>L9025/K9025</f>
        <v/>
      </c>
    </row>
    <row r="9026">
      <c r="A9026" s="58" t="inlineStr">
        <is>
          <t>RT20250814-09025</t>
        </is>
      </c>
      <c r="B9026" s="59" t="inlineStr">
        <is>
          <t>2025-08-14</t>
        </is>
      </c>
      <c r="C9026" s="60" t="inlineStr">
        <is>
          <t>Metro Laptop Plus-376</t>
        </is>
      </c>
      <c r="D9026" s="58" t="inlineStr">
        <is>
          <t>Electronics</t>
        </is>
      </c>
      <c r="E9026" s="58" t="inlineStr">
        <is>
          <t>South</t>
        </is>
      </c>
      <c r="F9026" s="61" t="n">
        <v>1</v>
      </c>
      <c r="G9026" s="62" t="n">
        <v>1408.7</v>
      </c>
      <c r="H9026" s="63" t="n">
        <v>0.197</v>
      </c>
      <c r="I9026" s="62" t="n">
        <v>1019.65</v>
      </c>
      <c r="J9026" s="58" t="inlineStr">
        <is>
          <t>Store</t>
        </is>
      </c>
      <c r="K9026" s="62">
        <f>F9026*(G9026-H9026)</f>
        <v/>
      </c>
      <c r="L9026" s="62">
        <f>K9026-(F9026*I9026)</f>
        <v/>
      </c>
      <c r="M9026" s="64">
        <f>L9026/K9026</f>
        <v/>
      </c>
    </row>
    <row r="9027">
      <c r="A9027" s="58" t="inlineStr">
        <is>
          <t>RT20250814-09026</t>
        </is>
      </c>
      <c r="B9027" s="59" t="inlineStr">
        <is>
          <t>2025-08-14</t>
        </is>
      </c>
      <c r="C9027" s="60" t="inlineStr">
        <is>
          <t>Aurora Smartphone Plus-125</t>
        </is>
      </c>
      <c r="D9027" s="58" t="inlineStr">
        <is>
          <t>Electronics</t>
        </is>
      </c>
      <c r="E9027" s="58" t="inlineStr">
        <is>
          <t>West</t>
        </is>
      </c>
      <c r="F9027" s="61" t="n">
        <v>2</v>
      </c>
      <c r="G9027" s="62" t="n">
        <v>1429.06</v>
      </c>
      <c r="H9027" s="63" t="n">
        <v>0.188</v>
      </c>
      <c r="I9027" s="62" t="n">
        <v>1126.6</v>
      </c>
      <c r="J9027" s="58" t="inlineStr">
        <is>
          <t>Online</t>
        </is>
      </c>
      <c r="K9027" s="62">
        <f>F9027*(G9027-H9027)</f>
        <v/>
      </c>
      <c r="L9027" s="62">
        <f>K9027-(F9027*I9027)</f>
        <v/>
      </c>
      <c r="M9027" s="64">
        <f>L9027/K9027</f>
        <v/>
      </c>
    </row>
    <row r="9028">
      <c r="A9028" s="58" t="inlineStr">
        <is>
          <t>RT20250814-09027</t>
        </is>
      </c>
      <c r="B9028" s="59" t="inlineStr">
        <is>
          <t>2025-08-14</t>
        </is>
      </c>
      <c r="C9028" s="60" t="inlineStr">
        <is>
          <t>Solace Kitchen Pro-999</t>
        </is>
      </c>
      <c r="D9028" s="58" t="inlineStr">
        <is>
          <t>Home</t>
        </is>
      </c>
      <c r="E9028" s="58" t="inlineStr">
        <is>
          <t>North</t>
        </is>
      </c>
      <c r="F9028" s="61" t="n">
        <v>2</v>
      </c>
      <c r="G9028" s="62" t="n">
        <v>398.68</v>
      </c>
      <c r="H9028" s="63" t="n">
        <v>0.132</v>
      </c>
      <c r="I9028" s="62" t="n">
        <v>262.95</v>
      </c>
      <c r="J9028" s="58" t="inlineStr">
        <is>
          <t>Online</t>
        </is>
      </c>
      <c r="K9028" s="62">
        <f>F9028*(G9028-H9028)</f>
        <v/>
      </c>
      <c r="L9028" s="62">
        <f>K9028-(F9028*I9028)</f>
        <v/>
      </c>
      <c r="M9028" s="64">
        <f>L9028/K9028</f>
        <v/>
      </c>
    </row>
    <row r="9029">
      <c r="A9029" s="58" t="inlineStr">
        <is>
          <t>RT20250814-09028</t>
        </is>
      </c>
      <c r="B9029" s="59" t="inlineStr">
        <is>
          <t>2025-08-14</t>
        </is>
      </c>
      <c r="C9029" s="60" t="inlineStr">
        <is>
          <t>Falcon Team Sport Lite-268</t>
        </is>
      </c>
      <c r="D9029" s="58" t="inlineStr">
        <is>
          <t>Sports</t>
        </is>
      </c>
      <c r="E9029" s="58" t="inlineStr">
        <is>
          <t>Central</t>
        </is>
      </c>
      <c r="F9029" s="61" t="n">
        <v>1</v>
      </c>
      <c r="G9029" s="62" t="n">
        <v>753.41</v>
      </c>
      <c r="H9029" s="63" t="n">
        <v>0.138</v>
      </c>
      <c r="I9029" s="62" t="n">
        <v>445.64</v>
      </c>
      <c r="J9029" s="58" t="inlineStr">
        <is>
          <t>Store</t>
        </is>
      </c>
      <c r="K9029" s="62">
        <f>F9029*(G9029-H9029)</f>
        <v/>
      </c>
      <c r="L9029" s="62">
        <f>K9029-(F9029*I9029)</f>
        <v/>
      </c>
      <c r="M9029" s="64">
        <f>L9029/K9029</f>
        <v/>
      </c>
    </row>
    <row r="9030">
      <c r="A9030" s="58" t="inlineStr">
        <is>
          <t>RT20250814-09029</t>
        </is>
      </c>
      <c r="B9030" s="59" t="inlineStr">
        <is>
          <t>2025-08-14</t>
        </is>
      </c>
      <c r="C9030" s="60" t="inlineStr">
        <is>
          <t>Nimbus Headphone X-854</t>
        </is>
      </c>
      <c r="D9030" s="58" t="inlineStr">
        <is>
          <t>Electronics</t>
        </is>
      </c>
      <c r="E9030" s="58" t="inlineStr">
        <is>
          <t>East</t>
        </is>
      </c>
      <c r="F9030" s="61" t="n">
        <v>2</v>
      </c>
      <c r="G9030" s="62" t="n">
        <v>1424.74</v>
      </c>
      <c r="H9030" s="63" t="n">
        <v>0.181</v>
      </c>
      <c r="I9030" s="62" t="n">
        <v>1132.87</v>
      </c>
      <c r="J9030" s="58" t="inlineStr">
        <is>
          <t>Store</t>
        </is>
      </c>
      <c r="K9030" s="62">
        <f>F9030*(G9030-H9030)</f>
        <v/>
      </c>
      <c r="L9030" s="62">
        <f>K9030-(F9030*I9030)</f>
        <v/>
      </c>
      <c r="M9030" s="64">
        <f>L9030/K9030</f>
        <v/>
      </c>
    </row>
    <row r="9031">
      <c r="A9031" s="58" t="inlineStr">
        <is>
          <t>RT20250814-09030</t>
        </is>
      </c>
      <c r="B9031" s="59" t="inlineStr">
        <is>
          <t>2025-08-14</t>
        </is>
      </c>
      <c r="C9031" s="60" t="inlineStr">
        <is>
          <t>Polar Outdoor Lite-318</t>
        </is>
      </c>
      <c r="D9031" s="58" t="inlineStr">
        <is>
          <t>Sports</t>
        </is>
      </c>
      <c r="E9031" s="58" t="inlineStr">
        <is>
          <t>South</t>
        </is>
      </c>
      <c r="F9031" s="61" t="n">
        <v>1</v>
      </c>
      <c r="G9031" s="62" t="n">
        <v>640.45</v>
      </c>
      <c r="H9031" s="63" t="n">
        <v>0.212</v>
      </c>
      <c r="I9031" s="62" t="n">
        <v>474.42</v>
      </c>
      <c r="J9031" s="58" t="inlineStr">
        <is>
          <t>Online</t>
        </is>
      </c>
      <c r="K9031" s="62">
        <f>F9031*(G9031-H9031)</f>
        <v/>
      </c>
      <c r="L9031" s="62">
        <f>K9031-(F9031*I9031)</f>
        <v/>
      </c>
      <c r="M9031" s="64">
        <f>L9031/K9031</f>
        <v/>
      </c>
    </row>
    <row r="9032">
      <c r="A9032" s="58" t="inlineStr">
        <is>
          <t>RT20250814-09031</t>
        </is>
      </c>
      <c r="B9032" s="59" t="inlineStr">
        <is>
          <t>2025-08-14</t>
        </is>
      </c>
      <c r="C9032" s="60" t="inlineStr">
        <is>
          <t>Vertex Furniture S-652</t>
        </is>
      </c>
      <c r="D9032" s="58" t="inlineStr">
        <is>
          <t>Office</t>
        </is>
      </c>
      <c r="E9032" s="58" t="inlineStr">
        <is>
          <t>West</t>
        </is>
      </c>
      <c r="F9032" s="61" t="n">
        <v>2</v>
      </c>
      <c r="G9032" s="62" t="n">
        <v>342.84</v>
      </c>
      <c r="H9032" s="63" t="n">
        <v>0.124</v>
      </c>
      <c r="I9032" s="62" t="n">
        <v>271.02</v>
      </c>
      <c r="J9032" s="58" t="inlineStr">
        <is>
          <t>Store</t>
        </is>
      </c>
      <c r="K9032" s="62">
        <f>F9032*(G9032-H9032)</f>
        <v/>
      </c>
      <c r="L9032" s="62">
        <f>K9032-(F9032*I9032)</f>
        <v/>
      </c>
      <c r="M9032" s="64">
        <f>L9032/K9032</f>
        <v/>
      </c>
    </row>
    <row r="9033">
      <c r="A9033" s="58" t="inlineStr">
        <is>
          <t>RT20250814-09032</t>
        </is>
      </c>
      <c r="B9033" s="59" t="inlineStr">
        <is>
          <t>2025-08-14</t>
        </is>
      </c>
      <c r="C9033" s="60" t="inlineStr">
        <is>
          <t>Solace Smartphone Lite-533</t>
        </is>
      </c>
      <c r="D9033" s="58" t="inlineStr">
        <is>
          <t>Electronics</t>
        </is>
      </c>
      <c r="E9033" s="58" t="inlineStr">
        <is>
          <t>East</t>
        </is>
      </c>
      <c r="F9033" s="61" t="n">
        <v>1</v>
      </c>
      <c r="G9033" s="62" t="n">
        <v>1279.93</v>
      </c>
      <c r="H9033" s="63" t="n">
        <v>0.108</v>
      </c>
      <c r="I9033" s="62" t="n">
        <v>940.7</v>
      </c>
      <c r="J9033" s="58" t="inlineStr">
        <is>
          <t>Store</t>
        </is>
      </c>
      <c r="K9033" s="62">
        <f>F9033*(G9033-H9033)</f>
        <v/>
      </c>
      <c r="L9033" s="62">
        <f>K9033-(F9033*I9033)</f>
        <v/>
      </c>
      <c r="M9033" s="64">
        <f>L9033/K9033</f>
        <v/>
      </c>
    </row>
    <row r="9034">
      <c r="A9034" s="58" t="inlineStr">
        <is>
          <t>RT20250814-09033</t>
        </is>
      </c>
      <c r="B9034" s="59" t="inlineStr">
        <is>
          <t>2025-08-14</t>
        </is>
      </c>
      <c r="C9034" s="60" t="inlineStr">
        <is>
          <t>Orion Kid Max-864</t>
        </is>
      </c>
      <c r="D9034" s="58" t="inlineStr">
        <is>
          <t>Apparel</t>
        </is>
      </c>
      <c r="E9034" s="58" t="inlineStr">
        <is>
          <t>West</t>
        </is>
      </c>
      <c r="F9034" s="61" t="n">
        <v>4</v>
      </c>
      <c r="G9034" s="62" t="n">
        <v>85.75</v>
      </c>
      <c r="H9034" s="63" t="n">
        <v>0.096</v>
      </c>
      <c r="I9034" s="62" t="n">
        <v>46.89</v>
      </c>
      <c r="J9034" s="58" t="inlineStr">
        <is>
          <t>Online</t>
        </is>
      </c>
      <c r="K9034" s="62">
        <f>F9034*(G9034-H9034)</f>
        <v/>
      </c>
      <c r="L9034" s="62">
        <f>K9034-(F9034*I9034)</f>
        <v/>
      </c>
      <c r="M9034" s="64">
        <f>L9034/K9034</f>
        <v/>
      </c>
    </row>
    <row r="9035">
      <c r="A9035" s="58" t="inlineStr">
        <is>
          <t>RT20250814-09034</t>
        </is>
      </c>
      <c r="B9035" s="59" t="inlineStr">
        <is>
          <t>2025-08-14</t>
        </is>
      </c>
      <c r="C9035" s="60" t="inlineStr">
        <is>
          <t>Falcon Cycling Pro-499</t>
        </is>
      </c>
      <c r="D9035" s="58" t="inlineStr">
        <is>
          <t>Sports</t>
        </is>
      </c>
      <c r="E9035" s="58" t="inlineStr">
        <is>
          <t>East</t>
        </is>
      </c>
      <c r="F9035" s="61" t="n">
        <v>3</v>
      </c>
      <c r="G9035" s="62" t="n">
        <v>642.1799999999999</v>
      </c>
      <c r="H9035" s="63" t="n">
        <v>0.193</v>
      </c>
      <c r="I9035" s="62" t="n">
        <v>399.05</v>
      </c>
      <c r="J9035" s="58" t="inlineStr">
        <is>
          <t>Online</t>
        </is>
      </c>
      <c r="K9035" s="62">
        <f>F9035*(G9035-H9035)</f>
        <v/>
      </c>
      <c r="L9035" s="62">
        <f>K9035-(F9035*I9035)</f>
        <v/>
      </c>
      <c r="M9035" s="64">
        <f>L9035/K9035</f>
        <v/>
      </c>
    </row>
    <row r="9036">
      <c r="A9036" s="58" t="inlineStr">
        <is>
          <t>RT20250814-09035</t>
        </is>
      </c>
      <c r="B9036" s="59" t="inlineStr">
        <is>
          <t>2025-08-14</t>
        </is>
      </c>
      <c r="C9036" s="60" t="inlineStr">
        <is>
          <t>Vertex Smartphone Pro-256</t>
        </is>
      </c>
      <c r="D9036" s="58" t="inlineStr">
        <is>
          <t>Electronics</t>
        </is>
      </c>
      <c r="E9036" s="58" t="inlineStr">
        <is>
          <t>East</t>
        </is>
      </c>
      <c r="F9036" s="61" t="n">
        <v>2</v>
      </c>
      <c r="G9036" s="62" t="n">
        <v>1135.47</v>
      </c>
      <c r="H9036" s="63" t="n">
        <v>0.19</v>
      </c>
      <c r="I9036" s="62" t="n">
        <v>892.9400000000001</v>
      </c>
      <c r="J9036" s="58" t="inlineStr">
        <is>
          <t>Online</t>
        </is>
      </c>
      <c r="K9036" s="62">
        <f>F9036*(G9036-H9036)</f>
        <v/>
      </c>
      <c r="L9036" s="62">
        <f>K9036-(F9036*I9036)</f>
        <v/>
      </c>
      <c r="M9036" s="64">
        <f>L9036/K9036</f>
        <v/>
      </c>
    </row>
    <row r="9037">
      <c r="A9037" s="58" t="inlineStr">
        <is>
          <t>RT20250814-09036</t>
        </is>
      </c>
      <c r="B9037" s="59" t="inlineStr">
        <is>
          <t>2025-08-14</t>
        </is>
      </c>
      <c r="C9037" s="60" t="inlineStr">
        <is>
          <t>Aurora Wearable Lite-704</t>
        </is>
      </c>
      <c r="D9037" s="58" t="inlineStr">
        <is>
          <t>Electronics</t>
        </is>
      </c>
      <c r="E9037" s="58" t="inlineStr">
        <is>
          <t>West</t>
        </is>
      </c>
      <c r="F9037" s="61" t="n">
        <v>1</v>
      </c>
      <c r="G9037" s="62" t="n">
        <v>2040.2</v>
      </c>
      <c r="H9037" s="63" t="n">
        <v>0.177</v>
      </c>
      <c r="I9037" s="62" t="n">
        <v>1429.63</v>
      </c>
      <c r="J9037" s="58" t="inlineStr">
        <is>
          <t>Store</t>
        </is>
      </c>
      <c r="K9037" s="62">
        <f>F9037*(G9037-H9037)</f>
        <v/>
      </c>
      <c r="L9037" s="62">
        <f>K9037-(F9037*I9037)</f>
        <v/>
      </c>
      <c r="M9037" s="64">
        <f>L9037/K9037</f>
        <v/>
      </c>
    </row>
    <row r="9038">
      <c r="A9038" s="58" t="inlineStr">
        <is>
          <t>RT20250814-09037</t>
        </is>
      </c>
      <c r="B9038" s="59" t="inlineStr">
        <is>
          <t>2025-08-14</t>
        </is>
      </c>
      <c r="C9038" s="60" t="inlineStr">
        <is>
          <t>Nimbus Women Plus-352</t>
        </is>
      </c>
      <c r="D9038" s="58" t="inlineStr">
        <is>
          <t>Apparel</t>
        </is>
      </c>
      <c r="E9038" s="58" t="inlineStr">
        <is>
          <t>East</t>
        </is>
      </c>
      <c r="F9038" s="61" t="n">
        <v>2</v>
      </c>
      <c r="G9038" s="62" t="n">
        <v>63.27</v>
      </c>
      <c r="H9038" s="63" t="n">
        <v>0.146</v>
      </c>
      <c r="I9038" s="62" t="n">
        <v>31.61</v>
      </c>
      <c r="J9038" s="58" t="inlineStr">
        <is>
          <t>Store</t>
        </is>
      </c>
      <c r="K9038" s="62">
        <f>F9038*(G9038-H9038)</f>
        <v/>
      </c>
      <c r="L9038" s="62">
        <f>K9038-(F9038*I9038)</f>
        <v/>
      </c>
      <c r="M9038" s="64">
        <f>L9038/K9038</f>
        <v/>
      </c>
    </row>
    <row r="9039">
      <c r="A9039" s="58" t="inlineStr">
        <is>
          <t>RT20250814-09038</t>
        </is>
      </c>
      <c r="B9039" s="59" t="inlineStr">
        <is>
          <t>2025-08-14</t>
        </is>
      </c>
      <c r="C9039" s="60" t="inlineStr">
        <is>
          <t>Vertex Supplie X-513</t>
        </is>
      </c>
      <c r="D9039" s="58" t="inlineStr">
        <is>
          <t>Office</t>
        </is>
      </c>
      <c r="E9039" s="58" t="inlineStr">
        <is>
          <t>North</t>
        </is>
      </c>
      <c r="F9039" s="61" t="n">
        <v>1</v>
      </c>
      <c r="G9039" s="62" t="n">
        <v>424.53</v>
      </c>
      <c r="H9039" s="63" t="n">
        <v>0.212</v>
      </c>
      <c r="I9039" s="62" t="n">
        <v>279.79</v>
      </c>
      <c r="J9039" s="58" t="inlineStr">
        <is>
          <t>Online</t>
        </is>
      </c>
      <c r="K9039" s="62">
        <f>F9039*(G9039-H9039)</f>
        <v/>
      </c>
      <c r="L9039" s="62">
        <f>K9039-(F9039*I9039)</f>
        <v/>
      </c>
      <c r="M9039" s="64">
        <f>L9039/K9039</f>
        <v/>
      </c>
    </row>
    <row r="9040">
      <c r="A9040" s="58" t="inlineStr">
        <is>
          <t>RT20250814-09039</t>
        </is>
      </c>
      <c r="B9040" s="59" t="inlineStr">
        <is>
          <t>2025-08-14</t>
        </is>
      </c>
      <c r="C9040" s="60" t="inlineStr">
        <is>
          <t>Vertex Pantry Pro-165</t>
        </is>
      </c>
      <c r="D9040" s="58" t="inlineStr">
        <is>
          <t>Grocery</t>
        </is>
      </c>
      <c r="E9040" s="58" t="inlineStr">
        <is>
          <t>East</t>
        </is>
      </c>
      <c r="F9040" s="61" t="n">
        <v>1</v>
      </c>
      <c r="G9040" s="62" t="n">
        <v>14.93</v>
      </c>
      <c r="H9040" s="63" t="n">
        <v>0.13</v>
      </c>
      <c r="I9040" s="62" t="n">
        <v>11.44</v>
      </c>
      <c r="J9040" s="58" t="inlineStr">
        <is>
          <t>Store</t>
        </is>
      </c>
      <c r="K9040" s="62">
        <f>F9040*(G9040-H9040)</f>
        <v/>
      </c>
      <c r="L9040" s="62">
        <f>K9040-(F9040*I9040)</f>
        <v/>
      </c>
      <c r="M9040" s="64">
        <f>L9040/K9040</f>
        <v/>
      </c>
    </row>
    <row r="9041">
      <c r="A9041" s="58" t="inlineStr">
        <is>
          <t>RT20250814-09040</t>
        </is>
      </c>
      <c r="B9041" s="59" t="inlineStr">
        <is>
          <t>2025-08-14</t>
        </is>
      </c>
      <c r="C9041" s="60" t="inlineStr">
        <is>
          <t>Solace Bedding Plus-317</t>
        </is>
      </c>
      <c r="D9041" s="58" t="inlineStr">
        <is>
          <t>Home</t>
        </is>
      </c>
      <c r="E9041" s="58" t="inlineStr">
        <is>
          <t>South</t>
        </is>
      </c>
      <c r="F9041" s="61" t="n">
        <v>3</v>
      </c>
      <c r="G9041" s="62" t="n">
        <v>547.11</v>
      </c>
      <c r="H9041" s="63" t="n">
        <v>0.169</v>
      </c>
      <c r="I9041" s="62" t="n">
        <v>388.72</v>
      </c>
      <c r="J9041" s="58" t="inlineStr">
        <is>
          <t>Online</t>
        </is>
      </c>
      <c r="K9041" s="62">
        <f>F9041*(G9041-H9041)</f>
        <v/>
      </c>
      <c r="L9041" s="62">
        <f>K9041-(F9041*I9041)</f>
        <v/>
      </c>
      <c r="M9041" s="64">
        <f>L9041/K9041</f>
        <v/>
      </c>
    </row>
    <row r="9042">
      <c r="A9042" s="58" t="inlineStr">
        <is>
          <t>RT20250814-09041</t>
        </is>
      </c>
      <c r="B9042" s="59" t="inlineStr">
        <is>
          <t>2025-08-14</t>
        </is>
      </c>
      <c r="C9042" s="60" t="inlineStr">
        <is>
          <t>Orion Kid Max-640</t>
        </is>
      </c>
      <c r="D9042" s="58" t="inlineStr">
        <is>
          <t>Apparel</t>
        </is>
      </c>
      <c r="E9042" s="58" t="inlineStr">
        <is>
          <t>East</t>
        </is>
      </c>
      <c r="F9042" s="61" t="n">
        <v>1</v>
      </c>
      <c r="G9042" s="62" t="n">
        <v>129.6</v>
      </c>
      <c r="H9042" s="63" t="n">
        <v>0.14</v>
      </c>
      <c r="I9042" s="62" t="n">
        <v>70.37</v>
      </c>
      <c r="J9042" s="58" t="inlineStr">
        <is>
          <t>Online</t>
        </is>
      </c>
      <c r="K9042" s="62">
        <f>F9042*(G9042-H9042)</f>
        <v/>
      </c>
      <c r="L9042" s="62">
        <f>K9042-(F9042*I9042)</f>
        <v/>
      </c>
      <c r="M9042" s="64">
        <f>L9042/K9042</f>
        <v/>
      </c>
    </row>
    <row r="9043">
      <c r="A9043" s="58" t="inlineStr">
        <is>
          <t>RT20250814-09042</t>
        </is>
      </c>
      <c r="B9043" s="59" t="inlineStr">
        <is>
          <t>2025-08-14</t>
        </is>
      </c>
      <c r="C9043" s="60" t="inlineStr">
        <is>
          <t>Solace Kitchen Pro-510</t>
        </is>
      </c>
      <c r="D9043" s="58" t="inlineStr">
        <is>
          <t>Home</t>
        </is>
      </c>
      <c r="E9043" s="58" t="inlineStr">
        <is>
          <t>Central</t>
        </is>
      </c>
      <c r="F9043" s="61" t="n">
        <v>2</v>
      </c>
      <c r="G9043" s="62" t="n">
        <v>492.57</v>
      </c>
      <c r="H9043" s="63" t="n">
        <v>0.155</v>
      </c>
      <c r="I9043" s="62" t="n">
        <v>314.09</v>
      </c>
      <c r="J9043" s="58" t="inlineStr">
        <is>
          <t>Store</t>
        </is>
      </c>
      <c r="K9043" s="62">
        <f>F9043*(G9043-H9043)</f>
        <v/>
      </c>
      <c r="L9043" s="62">
        <f>K9043-(F9043*I9043)</f>
        <v/>
      </c>
      <c r="M9043" s="64">
        <f>L9043/K9043</f>
        <v/>
      </c>
    </row>
    <row r="9044">
      <c r="A9044" s="58" t="inlineStr">
        <is>
          <t>RT20250814-09043</t>
        </is>
      </c>
      <c r="B9044" s="59" t="inlineStr">
        <is>
          <t>2025-08-14</t>
        </is>
      </c>
      <c r="C9044" s="60" t="inlineStr">
        <is>
          <t>Vertex Supplie Pro-786</t>
        </is>
      </c>
      <c r="D9044" s="58" t="inlineStr">
        <is>
          <t>Office</t>
        </is>
      </c>
      <c r="E9044" s="58" t="inlineStr">
        <is>
          <t>South</t>
        </is>
      </c>
      <c r="F9044" s="61" t="n">
        <v>2</v>
      </c>
      <c r="G9044" s="62" t="n">
        <v>449.45</v>
      </c>
      <c r="H9044" s="63" t="n">
        <v>0.163</v>
      </c>
      <c r="I9044" s="62" t="n">
        <v>294.38</v>
      </c>
      <c r="J9044" s="58" t="inlineStr">
        <is>
          <t>Store</t>
        </is>
      </c>
      <c r="K9044" s="62">
        <f>F9044*(G9044-H9044)</f>
        <v/>
      </c>
      <c r="L9044" s="62">
        <f>K9044-(F9044*I9044)</f>
        <v/>
      </c>
      <c r="M9044" s="64">
        <f>L9044/K9044</f>
        <v/>
      </c>
    </row>
    <row r="9045">
      <c r="A9045" s="58" t="inlineStr">
        <is>
          <t>RT20250814-09044</t>
        </is>
      </c>
      <c r="B9045" s="59" t="inlineStr">
        <is>
          <t>2025-08-14</t>
        </is>
      </c>
      <c r="C9045" s="60" t="inlineStr">
        <is>
          <t>Solace Kitchen Pro-510</t>
        </is>
      </c>
      <c r="D9045" s="58" t="inlineStr">
        <is>
          <t>Home</t>
        </is>
      </c>
      <c r="E9045" s="58" t="inlineStr">
        <is>
          <t>South</t>
        </is>
      </c>
      <c r="F9045" s="61" t="n">
        <v>3</v>
      </c>
      <c r="G9045" s="62" t="n">
        <v>402.78</v>
      </c>
      <c r="H9045" s="63" t="n">
        <v>0.177</v>
      </c>
      <c r="I9045" s="62" t="n">
        <v>312.61</v>
      </c>
      <c r="J9045" s="58" t="inlineStr">
        <is>
          <t>Online</t>
        </is>
      </c>
      <c r="K9045" s="62">
        <f>F9045*(G9045-H9045)</f>
        <v/>
      </c>
      <c r="L9045" s="62">
        <f>K9045-(F9045*I9045)</f>
        <v/>
      </c>
      <c r="M9045" s="64">
        <f>L9045/K9045</f>
        <v/>
      </c>
    </row>
    <row r="9046">
      <c r="A9046" s="58" t="inlineStr">
        <is>
          <t>RT20250814-09045</t>
        </is>
      </c>
      <c r="B9046" s="59" t="inlineStr">
        <is>
          <t>2025-08-14</t>
        </is>
      </c>
      <c r="C9046" s="60" t="inlineStr">
        <is>
          <t>Aurora Household Plus-146</t>
        </is>
      </c>
      <c r="D9046" s="58" t="inlineStr">
        <is>
          <t>Grocery</t>
        </is>
      </c>
      <c r="E9046" s="58" t="inlineStr">
        <is>
          <t>West</t>
        </is>
      </c>
      <c r="F9046" s="61" t="n">
        <v>8</v>
      </c>
      <c r="G9046" s="62" t="n">
        <v>6.22</v>
      </c>
      <c r="H9046" s="63" t="n">
        <v>0.168</v>
      </c>
      <c r="I9046" s="62" t="n">
        <v>4.56</v>
      </c>
      <c r="J9046" s="58" t="inlineStr">
        <is>
          <t>Online</t>
        </is>
      </c>
      <c r="K9046" s="62">
        <f>F9046*(G9046-H9046)</f>
        <v/>
      </c>
      <c r="L9046" s="62">
        <f>K9046-(F9046*I9046)</f>
        <v/>
      </c>
      <c r="M9046" s="64">
        <f>L9046/K9046</f>
        <v/>
      </c>
    </row>
    <row r="9047">
      <c r="A9047" s="58" t="inlineStr">
        <is>
          <t>RT20250814-09046</t>
        </is>
      </c>
      <c r="B9047" s="59" t="inlineStr">
        <is>
          <t>2025-08-14</t>
        </is>
      </c>
      <c r="C9047" s="60" t="inlineStr">
        <is>
          <t>Vertex Men X-995</t>
        </is>
      </c>
      <c r="D9047" s="58" t="inlineStr">
        <is>
          <t>Apparel</t>
        </is>
      </c>
      <c r="E9047" s="58" t="inlineStr">
        <is>
          <t>North</t>
        </is>
      </c>
      <c r="F9047" s="61" t="n">
        <v>4</v>
      </c>
      <c r="G9047" s="62" t="n">
        <v>111.59</v>
      </c>
      <c r="H9047" s="63" t="n">
        <v>0.146</v>
      </c>
      <c r="I9047" s="62" t="n">
        <v>57.79</v>
      </c>
      <c r="J9047" s="58" t="inlineStr">
        <is>
          <t>Store</t>
        </is>
      </c>
      <c r="K9047" s="62">
        <f>F9047*(G9047-H9047)</f>
        <v/>
      </c>
      <c r="L9047" s="62">
        <f>K9047-(F9047*I9047)</f>
        <v/>
      </c>
      <c r="M9047" s="64">
        <f>L9047/K9047</f>
        <v/>
      </c>
    </row>
    <row r="9048">
      <c r="A9048" s="58" t="inlineStr">
        <is>
          <t>RT20250814-09047</t>
        </is>
      </c>
      <c r="B9048" s="59" t="inlineStr">
        <is>
          <t>2025-08-14</t>
        </is>
      </c>
      <c r="C9048" s="60" t="inlineStr">
        <is>
          <t>Falcon Headphone Pro-713</t>
        </is>
      </c>
      <c r="D9048" s="58" t="inlineStr">
        <is>
          <t>Electronics</t>
        </is>
      </c>
      <c r="E9048" s="58" t="inlineStr">
        <is>
          <t>South</t>
        </is>
      </c>
      <c r="F9048" s="61" t="n">
        <v>1</v>
      </c>
      <c r="G9048" s="62" t="n">
        <v>1683.35</v>
      </c>
      <c r="H9048" s="63" t="n">
        <v>0.173</v>
      </c>
      <c r="I9048" s="62" t="n">
        <v>1181.29</v>
      </c>
      <c r="J9048" s="58" t="inlineStr">
        <is>
          <t>Store</t>
        </is>
      </c>
      <c r="K9048" s="62">
        <f>F9048*(G9048-H9048)</f>
        <v/>
      </c>
      <c r="L9048" s="62">
        <f>K9048-(F9048*I9048)</f>
        <v/>
      </c>
      <c r="M9048" s="64">
        <f>L9048/K9048</f>
        <v/>
      </c>
    </row>
    <row r="9049">
      <c r="A9049" s="58" t="inlineStr">
        <is>
          <t>RT20250814-09048</t>
        </is>
      </c>
      <c r="B9049" s="59" t="inlineStr">
        <is>
          <t>2025-08-14</t>
        </is>
      </c>
      <c r="C9049" s="60" t="inlineStr">
        <is>
          <t>Falcon Wearable X-334</t>
        </is>
      </c>
      <c r="D9049" s="58" t="inlineStr">
        <is>
          <t>Electronics</t>
        </is>
      </c>
      <c r="E9049" s="58" t="inlineStr">
        <is>
          <t>Central</t>
        </is>
      </c>
      <c r="F9049" s="61" t="n">
        <v>1</v>
      </c>
      <c r="G9049" s="62" t="n">
        <v>1801.63</v>
      </c>
      <c r="H9049" s="63" t="n">
        <v>0.156</v>
      </c>
      <c r="I9049" s="62" t="n">
        <v>1476.29</v>
      </c>
      <c r="J9049" s="58" t="inlineStr">
        <is>
          <t>Online</t>
        </is>
      </c>
      <c r="K9049" s="62">
        <f>F9049*(G9049-H9049)</f>
        <v/>
      </c>
      <c r="L9049" s="62">
        <f>K9049-(F9049*I9049)</f>
        <v/>
      </c>
      <c r="M9049" s="64">
        <f>L9049/K9049</f>
        <v/>
      </c>
    </row>
    <row r="9050">
      <c r="A9050" s="58" t="inlineStr">
        <is>
          <t>RT20250814-09049</t>
        </is>
      </c>
      <c r="B9050" s="59" t="inlineStr">
        <is>
          <t>2025-08-14</t>
        </is>
      </c>
      <c r="C9050" s="60" t="inlineStr">
        <is>
          <t>Metro Pantry Max-180</t>
        </is>
      </c>
      <c r="D9050" s="58" t="inlineStr">
        <is>
          <t>Grocery</t>
        </is>
      </c>
      <c r="E9050" s="58" t="inlineStr">
        <is>
          <t>South</t>
        </is>
      </c>
      <c r="F9050" s="61" t="n">
        <v>8</v>
      </c>
      <c r="G9050" s="62" t="n">
        <v>9.18</v>
      </c>
      <c r="H9050" s="63" t="n">
        <v>0.181</v>
      </c>
      <c r="I9050" s="62" t="n">
        <v>6.55</v>
      </c>
      <c r="J9050" s="58" t="inlineStr">
        <is>
          <t>Store</t>
        </is>
      </c>
      <c r="K9050" s="62">
        <f>F9050*(G9050-H9050)</f>
        <v/>
      </c>
      <c r="L9050" s="62">
        <f>K9050-(F9050*I9050)</f>
        <v/>
      </c>
      <c r="M9050" s="64">
        <f>L9050/K9050</f>
        <v/>
      </c>
    </row>
    <row r="9051">
      <c r="A9051" s="58" t="inlineStr">
        <is>
          <t>RT20250815-09050</t>
        </is>
      </c>
      <c r="B9051" s="59" t="inlineStr">
        <is>
          <t>2025-08-15</t>
        </is>
      </c>
      <c r="C9051" s="60" t="inlineStr">
        <is>
          <t>Polar Outdoor X-193</t>
        </is>
      </c>
      <c r="D9051" s="58" t="inlineStr">
        <is>
          <t>Sports</t>
        </is>
      </c>
      <c r="E9051" s="58" t="inlineStr">
        <is>
          <t>North</t>
        </is>
      </c>
      <c r="F9051" s="61" t="n">
        <v>1</v>
      </c>
      <c r="G9051" s="62" t="n">
        <v>696.97</v>
      </c>
      <c r="H9051" s="63" t="n">
        <v>0.152</v>
      </c>
      <c r="I9051" s="62" t="n">
        <v>464.58</v>
      </c>
      <c r="J9051" s="58" t="inlineStr">
        <is>
          <t>Online</t>
        </is>
      </c>
      <c r="K9051" s="62">
        <f>F9051*(G9051-H9051)</f>
        <v/>
      </c>
      <c r="L9051" s="62">
        <f>K9051-(F9051*I9051)</f>
        <v/>
      </c>
      <c r="M9051" s="64">
        <f>L9051/K9051</f>
        <v/>
      </c>
    </row>
    <row r="9052">
      <c r="A9052" s="58" t="inlineStr">
        <is>
          <t>RT20250815-09051</t>
        </is>
      </c>
      <c r="B9052" s="59" t="inlineStr">
        <is>
          <t>2025-08-15</t>
        </is>
      </c>
      <c r="C9052" s="60" t="inlineStr">
        <is>
          <t>Aurora Bedding Plus-187</t>
        </is>
      </c>
      <c r="D9052" s="58" t="inlineStr">
        <is>
          <t>Home</t>
        </is>
      </c>
      <c r="E9052" s="58" t="inlineStr">
        <is>
          <t>South</t>
        </is>
      </c>
      <c r="F9052" s="61" t="n">
        <v>2</v>
      </c>
      <c r="G9052" s="62" t="n">
        <v>294.46</v>
      </c>
      <c r="H9052" s="63" t="n">
        <v>0.164</v>
      </c>
      <c r="I9052" s="62" t="n">
        <v>211.62</v>
      </c>
      <c r="J9052" s="58" t="inlineStr">
        <is>
          <t>Online</t>
        </is>
      </c>
      <c r="K9052" s="62">
        <f>F9052*(G9052-H9052)</f>
        <v/>
      </c>
      <c r="L9052" s="62">
        <f>K9052-(F9052*I9052)</f>
        <v/>
      </c>
      <c r="M9052" s="64">
        <f>L9052/K9052</f>
        <v/>
      </c>
    </row>
    <row r="9053">
      <c r="A9053" s="58" t="inlineStr">
        <is>
          <t>RT20250815-09052</t>
        </is>
      </c>
      <c r="B9053" s="59" t="inlineStr">
        <is>
          <t>2025-08-15</t>
        </is>
      </c>
      <c r="C9053" s="60" t="inlineStr">
        <is>
          <t>Aurora Makeup S-626</t>
        </is>
      </c>
      <c r="D9053" s="58" t="inlineStr">
        <is>
          <t>Beauty</t>
        </is>
      </c>
      <c r="E9053" s="58" t="inlineStr">
        <is>
          <t>East</t>
        </is>
      </c>
      <c r="F9053" s="61" t="n">
        <v>1</v>
      </c>
      <c r="G9053" s="62" t="n">
        <v>107.6</v>
      </c>
      <c r="H9053" s="63" t="n">
        <v>0.168</v>
      </c>
      <c r="I9053" s="62" t="n">
        <v>63.73</v>
      </c>
      <c r="J9053" s="58" t="inlineStr">
        <is>
          <t>Store</t>
        </is>
      </c>
      <c r="K9053" s="62">
        <f>F9053*(G9053-H9053)</f>
        <v/>
      </c>
      <c r="L9053" s="62">
        <f>K9053-(F9053*I9053)</f>
        <v/>
      </c>
      <c r="M9053" s="64">
        <f>L9053/K9053</f>
        <v/>
      </c>
    </row>
    <row r="9054">
      <c r="A9054" s="58" t="inlineStr">
        <is>
          <t>RT20250815-09053</t>
        </is>
      </c>
      <c r="B9054" s="59" t="inlineStr">
        <is>
          <t>2025-08-15</t>
        </is>
      </c>
      <c r="C9054" s="60" t="inlineStr">
        <is>
          <t>Aurora Printer Plus-991</t>
        </is>
      </c>
      <c r="D9054" s="58" t="inlineStr">
        <is>
          <t>Office</t>
        </is>
      </c>
      <c r="E9054" s="58" t="inlineStr">
        <is>
          <t>West</t>
        </is>
      </c>
      <c r="F9054" s="61" t="n">
        <v>3</v>
      </c>
      <c r="G9054" s="62" t="n">
        <v>590.52</v>
      </c>
      <c r="H9054" s="63" t="n">
        <v>0.163</v>
      </c>
      <c r="I9054" s="62" t="n">
        <v>365.8</v>
      </c>
      <c r="J9054" s="58" t="inlineStr">
        <is>
          <t>Phone</t>
        </is>
      </c>
      <c r="K9054" s="62">
        <f>F9054*(G9054-H9054)</f>
        <v/>
      </c>
      <c r="L9054" s="62">
        <f>K9054-(F9054*I9054)</f>
        <v/>
      </c>
      <c r="M9054" s="64">
        <f>L9054/K9054</f>
        <v/>
      </c>
    </row>
    <row r="9055">
      <c r="A9055" s="58" t="inlineStr">
        <is>
          <t>RT20250815-09054</t>
        </is>
      </c>
      <c r="B9055" s="59" t="inlineStr">
        <is>
          <t>2025-08-15</t>
        </is>
      </c>
      <c r="C9055" s="60" t="inlineStr">
        <is>
          <t>Vertex Supplie X-513</t>
        </is>
      </c>
      <c r="D9055" s="58" t="inlineStr">
        <is>
          <t>Office</t>
        </is>
      </c>
      <c r="E9055" s="58" t="inlineStr">
        <is>
          <t>East</t>
        </is>
      </c>
      <c r="F9055" s="61" t="n">
        <v>2</v>
      </c>
      <c r="G9055" s="62" t="n">
        <v>399.93</v>
      </c>
      <c r="H9055" s="63" t="n">
        <v>0.096</v>
      </c>
      <c r="I9055" s="62" t="n">
        <v>279.33</v>
      </c>
      <c r="J9055" s="58" t="inlineStr">
        <is>
          <t>Store</t>
        </is>
      </c>
      <c r="K9055" s="62">
        <f>F9055*(G9055-H9055)</f>
        <v/>
      </c>
      <c r="L9055" s="62">
        <f>K9055-(F9055*I9055)</f>
        <v/>
      </c>
      <c r="M9055" s="64">
        <f>L9055/K9055</f>
        <v/>
      </c>
    </row>
    <row r="9056">
      <c r="A9056" s="58" t="inlineStr">
        <is>
          <t>RT20250815-09055</t>
        </is>
      </c>
      <c r="B9056" s="59" t="inlineStr">
        <is>
          <t>2025-08-15</t>
        </is>
      </c>
      <c r="C9056" s="60" t="inlineStr">
        <is>
          <t>Falcon Accessorie S-195</t>
        </is>
      </c>
      <c r="D9056" s="58" t="inlineStr">
        <is>
          <t>Apparel</t>
        </is>
      </c>
      <c r="E9056" s="58" t="inlineStr">
        <is>
          <t>East</t>
        </is>
      </c>
      <c r="F9056" s="61" t="n">
        <v>2</v>
      </c>
      <c r="G9056" s="62" t="n">
        <v>75.27</v>
      </c>
      <c r="H9056" s="63" t="n">
        <v>0.158</v>
      </c>
      <c r="I9056" s="62" t="n">
        <v>41.8</v>
      </c>
      <c r="J9056" s="58" t="inlineStr">
        <is>
          <t>Online</t>
        </is>
      </c>
      <c r="K9056" s="62">
        <f>F9056*(G9056-H9056)</f>
        <v/>
      </c>
      <c r="L9056" s="62">
        <f>K9056-(F9056*I9056)</f>
        <v/>
      </c>
      <c r="M9056" s="64">
        <f>L9056/K9056</f>
        <v/>
      </c>
    </row>
    <row r="9057">
      <c r="A9057" s="58" t="inlineStr">
        <is>
          <t>RT20250815-09056</t>
        </is>
      </c>
      <c r="B9057" s="59" t="inlineStr">
        <is>
          <t>2025-08-15</t>
        </is>
      </c>
      <c r="C9057" s="60" t="inlineStr">
        <is>
          <t>Aurora Outdoor Pro-467</t>
        </is>
      </c>
      <c r="D9057" s="58" t="inlineStr">
        <is>
          <t>Sports</t>
        </is>
      </c>
      <c r="E9057" s="58" t="inlineStr">
        <is>
          <t>Central</t>
        </is>
      </c>
      <c r="F9057" s="61" t="n">
        <v>3</v>
      </c>
      <c r="G9057" s="62" t="n">
        <v>301.6</v>
      </c>
      <c r="H9057" s="63" t="n">
        <v>0.152</v>
      </c>
      <c r="I9057" s="62" t="n">
        <v>194.99</v>
      </c>
      <c r="J9057" s="58" t="inlineStr">
        <is>
          <t>Phone</t>
        </is>
      </c>
      <c r="K9057" s="62">
        <f>F9057*(G9057-H9057)</f>
        <v/>
      </c>
      <c r="L9057" s="62">
        <f>K9057-(F9057*I9057)</f>
        <v/>
      </c>
      <c r="M9057" s="64">
        <f>L9057/K9057</f>
        <v/>
      </c>
    </row>
    <row r="9058">
      <c r="A9058" s="58" t="inlineStr">
        <is>
          <t>RT20250815-09057</t>
        </is>
      </c>
      <c r="B9058" s="59" t="inlineStr">
        <is>
          <t>2025-08-15</t>
        </is>
      </c>
      <c r="C9058" s="60" t="inlineStr">
        <is>
          <t>Falcon Skincare X-334</t>
        </is>
      </c>
      <c r="D9058" s="58" t="inlineStr">
        <is>
          <t>Beauty</t>
        </is>
      </c>
      <c r="E9058" s="58" t="inlineStr">
        <is>
          <t>Central</t>
        </is>
      </c>
      <c r="F9058" s="61" t="n">
        <v>2</v>
      </c>
      <c r="G9058" s="62" t="n">
        <v>96.52</v>
      </c>
      <c r="H9058" s="63" t="n">
        <v>0.134</v>
      </c>
      <c r="I9058" s="62" t="n">
        <v>62.05</v>
      </c>
      <c r="J9058" s="58" t="inlineStr">
        <is>
          <t>Store</t>
        </is>
      </c>
      <c r="K9058" s="62">
        <f>F9058*(G9058-H9058)</f>
        <v/>
      </c>
      <c r="L9058" s="62">
        <f>K9058-(F9058*I9058)</f>
        <v/>
      </c>
      <c r="M9058" s="64">
        <f>L9058/K9058</f>
        <v/>
      </c>
    </row>
    <row r="9059">
      <c r="A9059" s="58" t="inlineStr">
        <is>
          <t>RT20250815-09058</t>
        </is>
      </c>
      <c r="B9059" s="59" t="inlineStr">
        <is>
          <t>2025-08-15</t>
        </is>
      </c>
      <c r="C9059" s="60" t="inlineStr">
        <is>
          <t>Falcon Skincare X-334</t>
        </is>
      </c>
      <c r="D9059" s="58" t="inlineStr">
        <is>
          <t>Beauty</t>
        </is>
      </c>
      <c r="E9059" s="58" t="inlineStr">
        <is>
          <t>North</t>
        </is>
      </c>
      <c r="F9059" s="61" t="n">
        <v>1</v>
      </c>
      <c r="G9059" s="62" t="n">
        <v>112.07</v>
      </c>
      <c r="H9059" s="63" t="n">
        <v>0.156</v>
      </c>
      <c r="I9059" s="62" t="n">
        <v>64.48</v>
      </c>
      <c r="J9059" s="58" t="inlineStr">
        <is>
          <t>Online</t>
        </is>
      </c>
      <c r="K9059" s="62">
        <f>F9059*(G9059-H9059)</f>
        <v/>
      </c>
      <c r="L9059" s="62">
        <f>K9059-(F9059*I9059)</f>
        <v/>
      </c>
      <c r="M9059" s="64">
        <f>L9059/K9059</f>
        <v/>
      </c>
    </row>
    <row r="9060">
      <c r="A9060" s="58" t="inlineStr">
        <is>
          <t>RT20250815-09059</t>
        </is>
      </c>
      <c r="B9060" s="59" t="inlineStr">
        <is>
          <t>2025-08-15</t>
        </is>
      </c>
      <c r="C9060" s="60" t="inlineStr">
        <is>
          <t>Orion Kid Max-864</t>
        </is>
      </c>
      <c r="D9060" s="58" t="inlineStr">
        <is>
          <t>Apparel</t>
        </is>
      </c>
      <c r="E9060" s="58" t="inlineStr">
        <is>
          <t>West</t>
        </is>
      </c>
      <c r="F9060" s="61" t="n">
        <v>4</v>
      </c>
      <c r="G9060" s="62" t="n">
        <v>87.15000000000001</v>
      </c>
      <c r="H9060" s="63" t="n">
        <v>0.156</v>
      </c>
      <c r="I9060" s="62" t="n">
        <v>45.12</v>
      </c>
      <c r="J9060" s="58" t="inlineStr">
        <is>
          <t>Online</t>
        </is>
      </c>
      <c r="K9060" s="62">
        <f>F9060*(G9060-H9060)</f>
        <v/>
      </c>
      <c r="L9060" s="62">
        <f>K9060-(F9060*I9060)</f>
        <v/>
      </c>
      <c r="M9060" s="64">
        <f>L9060/K9060</f>
        <v/>
      </c>
    </row>
    <row r="9061">
      <c r="A9061" s="58" t="inlineStr">
        <is>
          <t>RT20250815-09060</t>
        </is>
      </c>
      <c r="B9061" s="59" t="inlineStr">
        <is>
          <t>2025-08-15</t>
        </is>
      </c>
      <c r="C9061" s="60" t="inlineStr">
        <is>
          <t>Nimbus Cycling Plus-911</t>
        </is>
      </c>
      <c r="D9061" s="58" t="inlineStr">
        <is>
          <t>Sports</t>
        </is>
      </c>
      <c r="E9061" s="58" t="inlineStr">
        <is>
          <t>East</t>
        </is>
      </c>
      <c r="F9061" s="61" t="n">
        <v>2</v>
      </c>
      <c r="G9061" s="62" t="n">
        <v>602.83</v>
      </c>
      <c r="H9061" s="63" t="n">
        <v>0.184</v>
      </c>
      <c r="I9061" s="62" t="n">
        <v>391.47</v>
      </c>
      <c r="J9061" s="58" t="inlineStr">
        <is>
          <t>Store</t>
        </is>
      </c>
      <c r="K9061" s="62">
        <f>F9061*(G9061-H9061)</f>
        <v/>
      </c>
      <c r="L9061" s="62">
        <f>K9061-(F9061*I9061)</f>
        <v/>
      </c>
      <c r="M9061" s="64">
        <f>L9061/K9061</f>
        <v/>
      </c>
    </row>
    <row r="9062">
      <c r="A9062" s="58" t="inlineStr">
        <is>
          <t>RT20250815-09061</t>
        </is>
      </c>
      <c r="B9062" s="59" t="inlineStr">
        <is>
          <t>2025-08-15</t>
        </is>
      </c>
      <c r="C9062" s="60" t="inlineStr">
        <is>
          <t>Nimbus Storage Plus-646</t>
        </is>
      </c>
      <c r="D9062" s="58" t="inlineStr">
        <is>
          <t>Office</t>
        </is>
      </c>
      <c r="E9062" s="58" t="inlineStr">
        <is>
          <t>East</t>
        </is>
      </c>
      <c r="F9062" s="61" t="n">
        <v>2</v>
      </c>
      <c r="G9062" s="62" t="n">
        <v>470.4</v>
      </c>
      <c r="H9062" s="63" t="n">
        <v>0.163</v>
      </c>
      <c r="I9062" s="62" t="n">
        <v>317.46</v>
      </c>
      <c r="J9062" s="58" t="inlineStr">
        <is>
          <t>Store</t>
        </is>
      </c>
      <c r="K9062" s="62">
        <f>F9062*(G9062-H9062)</f>
        <v/>
      </c>
      <c r="L9062" s="62">
        <f>K9062-(F9062*I9062)</f>
        <v/>
      </c>
      <c r="M9062" s="64">
        <f>L9062/K9062</f>
        <v/>
      </c>
    </row>
    <row r="9063">
      <c r="A9063" s="58" t="inlineStr">
        <is>
          <t>RT20250815-09062</t>
        </is>
      </c>
      <c r="B9063" s="59" t="inlineStr">
        <is>
          <t>2025-08-15</t>
        </is>
      </c>
      <c r="C9063" s="60" t="inlineStr">
        <is>
          <t>Falcon Bedding S-674</t>
        </is>
      </c>
      <c r="D9063" s="58" t="inlineStr">
        <is>
          <t>Home</t>
        </is>
      </c>
      <c r="E9063" s="58" t="inlineStr">
        <is>
          <t>Central</t>
        </is>
      </c>
      <c r="F9063" s="61" t="n">
        <v>2</v>
      </c>
      <c r="G9063" s="62" t="n">
        <v>571.45</v>
      </c>
      <c r="H9063" s="63" t="n">
        <v>0.14</v>
      </c>
      <c r="I9063" s="62" t="n">
        <v>448.51</v>
      </c>
      <c r="J9063" s="58" t="inlineStr">
        <is>
          <t>Online</t>
        </is>
      </c>
      <c r="K9063" s="62">
        <f>F9063*(G9063-H9063)</f>
        <v/>
      </c>
      <c r="L9063" s="62">
        <f>K9063-(F9063*I9063)</f>
        <v/>
      </c>
      <c r="M9063" s="64">
        <f>L9063/K9063</f>
        <v/>
      </c>
    </row>
    <row r="9064">
      <c r="A9064" s="58" t="inlineStr">
        <is>
          <t>RT20250815-09063</t>
        </is>
      </c>
      <c r="B9064" s="59" t="inlineStr">
        <is>
          <t>2025-08-15</t>
        </is>
      </c>
      <c r="C9064" s="60" t="inlineStr">
        <is>
          <t>Orion Men X-928</t>
        </is>
      </c>
      <c r="D9064" s="58" t="inlineStr">
        <is>
          <t>Apparel</t>
        </is>
      </c>
      <c r="E9064" s="58" t="inlineStr">
        <is>
          <t>West</t>
        </is>
      </c>
      <c r="F9064" s="61" t="n">
        <v>2</v>
      </c>
      <c r="G9064" s="62" t="n">
        <v>110.16</v>
      </c>
      <c r="H9064" s="63" t="n">
        <v>0.179</v>
      </c>
      <c r="I9064" s="62" t="n">
        <v>63.78</v>
      </c>
      <c r="J9064" s="58" t="inlineStr">
        <is>
          <t>Online</t>
        </is>
      </c>
      <c r="K9064" s="62">
        <f>F9064*(G9064-H9064)</f>
        <v/>
      </c>
      <c r="L9064" s="62">
        <f>K9064-(F9064*I9064)</f>
        <v/>
      </c>
      <c r="M9064" s="64">
        <f>L9064/K9064</f>
        <v/>
      </c>
    </row>
    <row r="9065">
      <c r="A9065" s="58" t="inlineStr">
        <is>
          <t>RT20250815-09064</t>
        </is>
      </c>
      <c r="B9065" s="59" t="inlineStr">
        <is>
          <t>2025-08-15</t>
        </is>
      </c>
      <c r="C9065" s="60" t="inlineStr">
        <is>
          <t>Polar Beverage S-258</t>
        </is>
      </c>
      <c r="D9065" s="58" t="inlineStr">
        <is>
          <t>Grocery</t>
        </is>
      </c>
      <c r="E9065" s="58" t="inlineStr">
        <is>
          <t>West</t>
        </is>
      </c>
      <c r="F9065" s="61" t="n">
        <v>5</v>
      </c>
      <c r="G9065" s="62" t="n">
        <v>13.14</v>
      </c>
      <c r="H9065" s="63" t="n">
        <v>0.122</v>
      </c>
      <c r="I9065" s="62" t="n">
        <v>9.93</v>
      </c>
      <c r="J9065" s="58" t="inlineStr">
        <is>
          <t>Online</t>
        </is>
      </c>
      <c r="K9065" s="62">
        <f>F9065*(G9065-H9065)</f>
        <v/>
      </c>
      <c r="L9065" s="62">
        <f>K9065-(F9065*I9065)</f>
        <v/>
      </c>
      <c r="M9065" s="64">
        <f>L9065/K9065</f>
        <v/>
      </c>
    </row>
    <row r="9066">
      <c r="A9066" s="58" t="inlineStr">
        <is>
          <t>RT20250815-09065</t>
        </is>
      </c>
      <c r="B9066" s="59" t="inlineStr">
        <is>
          <t>2025-08-15</t>
        </is>
      </c>
      <c r="C9066" s="60" t="inlineStr">
        <is>
          <t>Vertex Snack S-702</t>
        </is>
      </c>
      <c r="D9066" s="58" t="inlineStr">
        <is>
          <t>Grocery</t>
        </is>
      </c>
      <c r="E9066" s="58" t="inlineStr">
        <is>
          <t>South</t>
        </is>
      </c>
      <c r="F9066" s="61" t="n">
        <v>6</v>
      </c>
      <c r="G9066" s="62" t="n">
        <v>2.04</v>
      </c>
      <c r="H9066" s="63" t="n">
        <v>0.129</v>
      </c>
      <c r="I9066" s="62" t="n">
        <v>1.46</v>
      </c>
      <c r="J9066" s="58" t="inlineStr">
        <is>
          <t>Online</t>
        </is>
      </c>
      <c r="K9066" s="62">
        <f>F9066*(G9066-H9066)</f>
        <v/>
      </c>
      <c r="L9066" s="62">
        <f>K9066-(F9066*I9066)</f>
        <v/>
      </c>
      <c r="M9066" s="64">
        <f>L9066/K9066</f>
        <v/>
      </c>
    </row>
    <row r="9067">
      <c r="A9067" s="58" t="inlineStr">
        <is>
          <t>RT20250815-09066</t>
        </is>
      </c>
      <c r="B9067" s="59" t="inlineStr">
        <is>
          <t>2025-08-15</t>
        </is>
      </c>
      <c r="C9067" s="60" t="inlineStr">
        <is>
          <t>Polar Laptop Plus-984</t>
        </is>
      </c>
      <c r="D9067" s="58" t="inlineStr">
        <is>
          <t>Electronics</t>
        </is>
      </c>
      <c r="E9067" s="58" t="inlineStr">
        <is>
          <t>Central</t>
        </is>
      </c>
      <c r="F9067" s="61" t="n">
        <v>2</v>
      </c>
      <c r="G9067" s="62" t="n">
        <v>1217.66</v>
      </c>
      <c r="H9067" s="63" t="n">
        <v>0.17</v>
      </c>
      <c r="I9067" s="62" t="n">
        <v>981.22</v>
      </c>
      <c r="J9067" s="58" t="inlineStr">
        <is>
          <t>Online</t>
        </is>
      </c>
      <c r="K9067" s="62">
        <f>F9067*(G9067-H9067)</f>
        <v/>
      </c>
      <c r="L9067" s="62">
        <f>K9067-(F9067*I9067)</f>
        <v/>
      </c>
      <c r="M9067" s="64">
        <f>L9067/K9067</f>
        <v/>
      </c>
    </row>
    <row r="9068">
      <c r="A9068" s="58" t="inlineStr">
        <is>
          <t>RT20250815-09067</t>
        </is>
      </c>
      <c r="B9068" s="59" t="inlineStr">
        <is>
          <t>2025-08-15</t>
        </is>
      </c>
      <c r="C9068" s="60" t="inlineStr">
        <is>
          <t>Metro Smartphone Max-773</t>
        </is>
      </c>
      <c r="D9068" s="58" t="inlineStr">
        <is>
          <t>Electronics</t>
        </is>
      </c>
      <c r="E9068" s="58" t="inlineStr">
        <is>
          <t>East</t>
        </is>
      </c>
      <c r="F9068" s="61" t="n">
        <v>2</v>
      </c>
      <c r="G9068" s="62" t="n">
        <v>1391.23</v>
      </c>
      <c r="H9068" s="63" t="n">
        <v>0.168</v>
      </c>
      <c r="I9068" s="62" t="n">
        <v>1098.5</v>
      </c>
      <c r="J9068" s="58" t="inlineStr">
        <is>
          <t>Store</t>
        </is>
      </c>
      <c r="K9068" s="62">
        <f>F9068*(G9068-H9068)</f>
        <v/>
      </c>
      <c r="L9068" s="62">
        <f>K9068-(F9068*I9068)</f>
        <v/>
      </c>
      <c r="M9068" s="64">
        <f>L9068/K9068</f>
        <v/>
      </c>
    </row>
    <row r="9069">
      <c r="A9069" s="58" t="inlineStr">
        <is>
          <t>RT20250815-09068</t>
        </is>
      </c>
      <c r="B9069" s="59" t="inlineStr">
        <is>
          <t>2025-08-15</t>
        </is>
      </c>
      <c r="C9069" s="60" t="inlineStr">
        <is>
          <t>Vertex Appliance S-296</t>
        </is>
      </c>
      <c r="D9069" s="58" t="inlineStr">
        <is>
          <t>Home</t>
        </is>
      </c>
      <c r="E9069" s="58" t="inlineStr">
        <is>
          <t>Central</t>
        </is>
      </c>
      <c r="F9069" s="61" t="n">
        <v>3</v>
      </c>
      <c r="G9069" s="62" t="n">
        <v>454.71</v>
      </c>
      <c r="H9069" s="63" t="n">
        <v>0.176</v>
      </c>
      <c r="I9069" s="62" t="n">
        <v>353.01</v>
      </c>
      <c r="J9069" s="58" t="inlineStr">
        <is>
          <t>Online</t>
        </is>
      </c>
      <c r="K9069" s="62">
        <f>F9069*(G9069-H9069)</f>
        <v/>
      </c>
      <c r="L9069" s="62">
        <f>K9069-(F9069*I9069)</f>
        <v/>
      </c>
      <c r="M9069" s="64">
        <f>L9069/K9069</f>
        <v/>
      </c>
    </row>
    <row r="9070">
      <c r="A9070" s="58" t="inlineStr">
        <is>
          <t>RT20250815-09069</t>
        </is>
      </c>
      <c r="B9070" s="59" t="inlineStr">
        <is>
          <t>2025-08-15</t>
        </is>
      </c>
      <c r="C9070" s="60" t="inlineStr">
        <is>
          <t>Aurora Appliance Lite-109</t>
        </is>
      </c>
      <c r="D9070" s="58" t="inlineStr">
        <is>
          <t>Home</t>
        </is>
      </c>
      <c r="E9070" s="58" t="inlineStr">
        <is>
          <t>East</t>
        </is>
      </c>
      <c r="F9070" s="61" t="n">
        <v>2</v>
      </c>
      <c r="G9070" s="62" t="n">
        <v>264.39</v>
      </c>
      <c r="H9070" s="63" t="n">
        <v>0.14</v>
      </c>
      <c r="I9070" s="62" t="n">
        <v>208.54</v>
      </c>
      <c r="J9070" s="58" t="inlineStr">
        <is>
          <t>Online</t>
        </is>
      </c>
      <c r="K9070" s="62">
        <f>F9070*(G9070-H9070)</f>
        <v/>
      </c>
      <c r="L9070" s="62">
        <f>K9070-(F9070*I9070)</f>
        <v/>
      </c>
      <c r="M9070" s="64">
        <f>L9070/K9070</f>
        <v/>
      </c>
    </row>
    <row r="9071">
      <c r="A9071" s="58" t="inlineStr">
        <is>
          <t>RT20250815-09070</t>
        </is>
      </c>
      <c r="B9071" s="59" t="inlineStr">
        <is>
          <t>2025-08-15</t>
        </is>
      </c>
      <c r="C9071" s="60" t="inlineStr">
        <is>
          <t>Aurora Smartphone Plus-125</t>
        </is>
      </c>
      <c r="D9071" s="58" t="inlineStr">
        <is>
          <t>Electronics</t>
        </is>
      </c>
      <c r="E9071" s="58" t="inlineStr">
        <is>
          <t>West</t>
        </is>
      </c>
      <c r="F9071" s="61" t="n">
        <v>1</v>
      </c>
      <c r="G9071" s="62" t="n">
        <v>1663.32</v>
      </c>
      <c r="H9071" s="63" t="n">
        <v>0.097</v>
      </c>
      <c r="I9071" s="62" t="n">
        <v>1194.17</v>
      </c>
      <c r="J9071" s="58" t="inlineStr">
        <is>
          <t>Online</t>
        </is>
      </c>
      <c r="K9071" s="62">
        <f>F9071*(G9071-H9071)</f>
        <v/>
      </c>
      <c r="L9071" s="62">
        <f>K9071-(F9071*I9071)</f>
        <v/>
      </c>
      <c r="M9071" s="64">
        <f>L9071/K9071</f>
        <v/>
      </c>
    </row>
    <row r="9072">
      <c r="A9072" s="58" t="inlineStr">
        <is>
          <t>RT20250815-09071</t>
        </is>
      </c>
      <c r="B9072" s="59" t="inlineStr">
        <is>
          <t>2025-08-15</t>
        </is>
      </c>
      <c r="C9072" s="60" t="inlineStr">
        <is>
          <t>Aurora Printer Plus-991</t>
        </is>
      </c>
      <c r="D9072" s="58" t="inlineStr">
        <is>
          <t>Office</t>
        </is>
      </c>
      <c r="E9072" s="58" t="inlineStr">
        <is>
          <t>Central</t>
        </is>
      </c>
      <c r="F9072" s="61" t="n">
        <v>1</v>
      </c>
      <c r="G9072" s="62" t="n">
        <v>470.21</v>
      </c>
      <c r="H9072" s="63" t="n">
        <v>0.163</v>
      </c>
      <c r="I9072" s="62" t="n">
        <v>364.55</v>
      </c>
      <c r="J9072" s="58" t="inlineStr">
        <is>
          <t>Store</t>
        </is>
      </c>
      <c r="K9072" s="62">
        <f>F9072*(G9072-H9072)</f>
        <v/>
      </c>
      <c r="L9072" s="62">
        <f>K9072-(F9072*I9072)</f>
        <v/>
      </c>
      <c r="M9072" s="64">
        <f>L9072/K9072</f>
        <v/>
      </c>
    </row>
    <row r="9073">
      <c r="A9073" s="58" t="inlineStr">
        <is>
          <t>RT20250815-09072</t>
        </is>
      </c>
      <c r="B9073" s="59" t="inlineStr">
        <is>
          <t>2025-08-15</t>
        </is>
      </c>
      <c r="C9073" s="60" t="inlineStr">
        <is>
          <t>Falcon Household Plus-796</t>
        </is>
      </c>
      <c r="D9073" s="58" t="inlineStr">
        <is>
          <t>Grocery</t>
        </is>
      </c>
      <c r="E9073" s="58" t="inlineStr">
        <is>
          <t>West</t>
        </is>
      </c>
      <c r="F9073" s="61" t="n">
        <v>8</v>
      </c>
      <c r="G9073" s="62" t="n">
        <v>21.98</v>
      </c>
      <c r="H9073" s="63" t="n">
        <v>0.135</v>
      </c>
      <c r="I9073" s="62" t="n">
        <v>17.56</v>
      </c>
      <c r="J9073" s="58" t="inlineStr">
        <is>
          <t>Store</t>
        </is>
      </c>
      <c r="K9073" s="62">
        <f>F9073*(G9073-H9073)</f>
        <v/>
      </c>
      <c r="L9073" s="62">
        <f>K9073-(F9073*I9073)</f>
        <v/>
      </c>
      <c r="M9073" s="64">
        <f>L9073/K9073</f>
        <v/>
      </c>
    </row>
    <row r="9074">
      <c r="A9074" s="58" t="inlineStr">
        <is>
          <t>RT20250815-09073</t>
        </is>
      </c>
      <c r="B9074" s="59" t="inlineStr">
        <is>
          <t>2025-08-15</t>
        </is>
      </c>
      <c r="C9074" s="60" t="inlineStr">
        <is>
          <t>Orion Laptop S-350</t>
        </is>
      </c>
      <c r="D9074" s="58" t="inlineStr">
        <is>
          <t>Electronics</t>
        </is>
      </c>
      <c r="E9074" s="58" t="inlineStr">
        <is>
          <t>Central</t>
        </is>
      </c>
      <c r="F9074" s="61" t="n">
        <v>1</v>
      </c>
      <c r="G9074" s="62" t="n">
        <v>1361.63</v>
      </c>
      <c r="H9074" s="63" t="n">
        <v>0.203</v>
      </c>
      <c r="I9074" s="62" t="n">
        <v>1053.61</v>
      </c>
      <c r="J9074" s="58" t="inlineStr">
        <is>
          <t>Online</t>
        </is>
      </c>
      <c r="K9074" s="62">
        <f>F9074*(G9074-H9074)</f>
        <v/>
      </c>
      <c r="L9074" s="62">
        <f>K9074-(F9074*I9074)</f>
        <v/>
      </c>
      <c r="M9074" s="64">
        <f>L9074/K9074</f>
        <v/>
      </c>
    </row>
    <row r="9075">
      <c r="A9075" s="58" t="inlineStr">
        <is>
          <t>RT20250815-09074</t>
        </is>
      </c>
      <c r="B9075" s="59" t="inlineStr">
        <is>
          <t>2025-08-15</t>
        </is>
      </c>
      <c r="C9075" s="60" t="inlineStr">
        <is>
          <t>Falcon Accessorie S-195</t>
        </is>
      </c>
      <c r="D9075" s="58" t="inlineStr">
        <is>
          <t>Apparel</t>
        </is>
      </c>
      <c r="E9075" s="58" t="inlineStr">
        <is>
          <t>East</t>
        </is>
      </c>
      <c r="F9075" s="61" t="n">
        <v>2</v>
      </c>
      <c r="G9075" s="62" t="n">
        <v>77.83</v>
      </c>
      <c r="H9075" s="63" t="n">
        <v>0.186</v>
      </c>
      <c r="I9075" s="62" t="n">
        <v>41.24</v>
      </c>
      <c r="J9075" s="58" t="inlineStr">
        <is>
          <t>Store</t>
        </is>
      </c>
      <c r="K9075" s="62">
        <f>F9075*(G9075-H9075)</f>
        <v/>
      </c>
      <c r="L9075" s="62">
        <f>K9075-(F9075*I9075)</f>
        <v/>
      </c>
      <c r="M9075" s="64">
        <f>L9075/K9075</f>
        <v/>
      </c>
    </row>
    <row r="9076">
      <c r="A9076" s="58" t="inlineStr">
        <is>
          <t>RT20250815-09075</t>
        </is>
      </c>
      <c r="B9076" s="59" t="inlineStr">
        <is>
          <t>2025-08-15</t>
        </is>
      </c>
      <c r="C9076" s="60" t="inlineStr">
        <is>
          <t>Aurora Wearable Lite-162</t>
        </is>
      </c>
      <c r="D9076" s="58" t="inlineStr">
        <is>
          <t>Electronics</t>
        </is>
      </c>
      <c r="E9076" s="58" t="inlineStr">
        <is>
          <t>East</t>
        </is>
      </c>
      <c r="F9076" s="61" t="n">
        <v>2</v>
      </c>
      <c r="G9076" s="62" t="n">
        <v>1516.92</v>
      </c>
      <c r="H9076" s="63" t="n">
        <v>0.214</v>
      </c>
      <c r="I9076" s="62" t="n">
        <v>1157.57</v>
      </c>
      <c r="J9076" s="58" t="inlineStr">
        <is>
          <t>Online</t>
        </is>
      </c>
      <c r="K9076" s="62">
        <f>F9076*(G9076-H9076)</f>
        <v/>
      </c>
      <c r="L9076" s="62">
        <f>K9076-(F9076*I9076)</f>
        <v/>
      </c>
      <c r="M9076" s="64">
        <f>L9076/K9076</f>
        <v/>
      </c>
    </row>
    <row r="9077">
      <c r="A9077" s="58" t="inlineStr">
        <is>
          <t>RT20250815-09076</t>
        </is>
      </c>
      <c r="B9077" s="59" t="inlineStr">
        <is>
          <t>2025-08-15</t>
        </is>
      </c>
      <c r="C9077" s="60" t="inlineStr">
        <is>
          <t>Vertex Fitnes Pro-830</t>
        </is>
      </c>
      <c r="D9077" s="58" t="inlineStr">
        <is>
          <t>Sports</t>
        </is>
      </c>
      <c r="E9077" s="58" t="inlineStr">
        <is>
          <t>East</t>
        </is>
      </c>
      <c r="F9077" s="61" t="n">
        <v>1</v>
      </c>
      <c r="G9077" s="62" t="n">
        <v>795.02</v>
      </c>
      <c r="H9077" s="63" t="n">
        <v>0.151</v>
      </c>
      <c r="I9077" s="62" t="n">
        <v>466.45</v>
      </c>
      <c r="J9077" s="58" t="inlineStr">
        <is>
          <t>Store</t>
        </is>
      </c>
      <c r="K9077" s="62">
        <f>F9077*(G9077-H9077)</f>
        <v/>
      </c>
      <c r="L9077" s="62">
        <f>K9077-(F9077*I9077)</f>
        <v/>
      </c>
      <c r="M9077" s="64">
        <f>L9077/K9077</f>
        <v/>
      </c>
    </row>
    <row r="9078">
      <c r="A9078" s="58" t="inlineStr">
        <is>
          <t>RT20250815-09077</t>
        </is>
      </c>
      <c r="B9078" s="59" t="inlineStr">
        <is>
          <t>2025-08-15</t>
        </is>
      </c>
      <c r="C9078" s="60" t="inlineStr">
        <is>
          <t>Nimbus Fitnes Lite-516</t>
        </is>
      </c>
      <c r="D9078" s="58" t="inlineStr">
        <is>
          <t>Sports</t>
        </is>
      </c>
      <c r="E9078" s="58" t="inlineStr">
        <is>
          <t>South</t>
        </is>
      </c>
      <c r="F9078" s="61" t="n">
        <v>2</v>
      </c>
      <c r="G9078" s="62" t="n">
        <v>731.1799999999999</v>
      </c>
      <c r="H9078" s="63" t="n">
        <v>0.142</v>
      </c>
      <c r="I9078" s="62" t="n">
        <v>475.44</v>
      </c>
      <c r="J9078" s="58" t="inlineStr">
        <is>
          <t>Online</t>
        </is>
      </c>
      <c r="K9078" s="62">
        <f>F9078*(G9078-H9078)</f>
        <v/>
      </c>
      <c r="L9078" s="62">
        <f>K9078-(F9078*I9078)</f>
        <v/>
      </c>
      <c r="M9078" s="64">
        <f>L9078/K9078</f>
        <v/>
      </c>
    </row>
    <row r="9079">
      <c r="A9079" s="58" t="inlineStr">
        <is>
          <t>RT20250815-09078</t>
        </is>
      </c>
      <c r="B9079" s="59" t="inlineStr">
        <is>
          <t>2025-08-15</t>
        </is>
      </c>
      <c r="C9079" s="60" t="inlineStr">
        <is>
          <t>Nimbus Storage Plus-646</t>
        </is>
      </c>
      <c r="D9079" s="58" t="inlineStr">
        <is>
          <t>Office</t>
        </is>
      </c>
      <c r="E9079" s="58" t="inlineStr">
        <is>
          <t>North</t>
        </is>
      </c>
      <c r="F9079" s="61" t="n">
        <v>2</v>
      </c>
      <c r="G9079" s="62" t="n">
        <v>429.34</v>
      </c>
      <c r="H9079" s="63" t="n">
        <v>0.137</v>
      </c>
      <c r="I9079" s="62" t="n">
        <v>316.97</v>
      </c>
      <c r="J9079" s="58" t="inlineStr">
        <is>
          <t>Online</t>
        </is>
      </c>
      <c r="K9079" s="62">
        <f>F9079*(G9079-H9079)</f>
        <v/>
      </c>
      <c r="L9079" s="62">
        <f>K9079-(F9079*I9079)</f>
        <v/>
      </c>
      <c r="M9079" s="64">
        <f>L9079/K9079</f>
        <v/>
      </c>
    </row>
    <row r="9080">
      <c r="A9080" s="58" t="inlineStr">
        <is>
          <t>RT20250815-09079</t>
        </is>
      </c>
      <c r="B9080" s="59" t="inlineStr">
        <is>
          <t>2025-08-15</t>
        </is>
      </c>
      <c r="C9080" s="60" t="inlineStr">
        <is>
          <t>Solace Bedding Plus-317</t>
        </is>
      </c>
      <c r="D9080" s="58" t="inlineStr">
        <is>
          <t>Home</t>
        </is>
      </c>
      <c r="E9080" s="58" t="inlineStr">
        <is>
          <t>East</t>
        </is>
      </c>
      <c r="F9080" s="61" t="n">
        <v>3</v>
      </c>
      <c r="G9080" s="62" t="n">
        <v>482.11</v>
      </c>
      <c r="H9080" s="63" t="n">
        <v>0.184</v>
      </c>
      <c r="I9080" s="62" t="n">
        <v>381.94</v>
      </c>
      <c r="J9080" s="58" t="inlineStr">
        <is>
          <t>Store</t>
        </is>
      </c>
      <c r="K9080" s="62">
        <f>F9080*(G9080-H9080)</f>
        <v/>
      </c>
      <c r="L9080" s="62">
        <f>K9080-(F9080*I9080)</f>
        <v/>
      </c>
      <c r="M9080" s="64">
        <f>L9080/K9080</f>
        <v/>
      </c>
    </row>
    <row r="9081">
      <c r="A9081" s="58" t="inlineStr">
        <is>
          <t>RT20250815-09080</t>
        </is>
      </c>
      <c r="B9081" s="59" t="inlineStr">
        <is>
          <t>2025-08-15</t>
        </is>
      </c>
      <c r="C9081" s="60" t="inlineStr">
        <is>
          <t>Vertex Decor Pro-618</t>
        </is>
      </c>
      <c r="D9081" s="58" t="inlineStr">
        <is>
          <t>Home</t>
        </is>
      </c>
      <c r="E9081" s="58" t="inlineStr">
        <is>
          <t>South</t>
        </is>
      </c>
      <c r="F9081" s="61" t="n">
        <v>2</v>
      </c>
      <c r="G9081" s="62" t="n">
        <v>535.09</v>
      </c>
      <c r="H9081" s="63" t="n">
        <v>0.166</v>
      </c>
      <c r="I9081" s="62" t="n">
        <v>374.17</v>
      </c>
      <c r="J9081" s="58" t="inlineStr">
        <is>
          <t>Online</t>
        </is>
      </c>
      <c r="K9081" s="62">
        <f>F9081*(G9081-H9081)</f>
        <v/>
      </c>
      <c r="L9081" s="62">
        <f>K9081-(F9081*I9081)</f>
        <v/>
      </c>
      <c r="M9081" s="64">
        <f>L9081/K9081</f>
        <v/>
      </c>
    </row>
    <row r="9082">
      <c r="A9082" s="58" t="inlineStr">
        <is>
          <t>RT20250815-09081</t>
        </is>
      </c>
      <c r="B9082" s="59" t="inlineStr">
        <is>
          <t>2025-08-15</t>
        </is>
      </c>
      <c r="C9082" s="60" t="inlineStr">
        <is>
          <t>Vertex Snack S-702</t>
        </is>
      </c>
      <c r="D9082" s="58" t="inlineStr">
        <is>
          <t>Grocery</t>
        </is>
      </c>
      <c r="E9082" s="58" t="inlineStr">
        <is>
          <t>North</t>
        </is>
      </c>
      <c r="F9082" s="61" t="n">
        <v>8</v>
      </c>
      <c r="G9082" s="62" t="n">
        <v>1.83</v>
      </c>
      <c r="H9082" s="63" t="n">
        <v>0.129</v>
      </c>
      <c r="I9082" s="62" t="n">
        <v>1.45</v>
      </c>
      <c r="J9082" s="58" t="inlineStr">
        <is>
          <t>Online</t>
        </is>
      </c>
      <c r="K9082" s="62">
        <f>F9082*(G9082-H9082)</f>
        <v/>
      </c>
      <c r="L9082" s="62">
        <f>K9082-(F9082*I9082)</f>
        <v/>
      </c>
      <c r="M9082" s="64">
        <f>L9082/K9082</f>
        <v/>
      </c>
    </row>
    <row r="9083">
      <c r="A9083" s="58" t="inlineStr">
        <is>
          <t>RT20250815-09082</t>
        </is>
      </c>
      <c r="B9083" s="59" t="inlineStr">
        <is>
          <t>2025-08-15</t>
        </is>
      </c>
      <c r="C9083" s="60" t="inlineStr">
        <is>
          <t>Metro Printer X-294</t>
        </is>
      </c>
      <c r="D9083" s="58" t="inlineStr">
        <is>
          <t>Office</t>
        </is>
      </c>
      <c r="E9083" s="58" t="inlineStr">
        <is>
          <t>Central</t>
        </is>
      </c>
      <c r="F9083" s="61" t="n">
        <v>2</v>
      </c>
      <c r="G9083" s="62" t="n">
        <v>570.72</v>
      </c>
      <c r="H9083" s="63" t="n">
        <v>0.137</v>
      </c>
      <c r="I9083" s="62" t="n">
        <v>415.18</v>
      </c>
      <c r="J9083" s="58" t="inlineStr">
        <is>
          <t>Phone</t>
        </is>
      </c>
      <c r="K9083" s="62">
        <f>F9083*(G9083-H9083)</f>
        <v/>
      </c>
      <c r="L9083" s="62">
        <f>K9083-(F9083*I9083)</f>
        <v/>
      </c>
      <c r="M9083" s="64">
        <f>L9083/K9083</f>
        <v/>
      </c>
    </row>
    <row r="9084">
      <c r="A9084" s="58" t="inlineStr">
        <is>
          <t>RT20250815-09083</t>
        </is>
      </c>
      <c r="B9084" s="59" t="inlineStr">
        <is>
          <t>2025-08-15</t>
        </is>
      </c>
      <c r="C9084" s="60" t="inlineStr">
        <is>
          <t>Orion Storage Plus-961</t>
        </is>
      </c>
      <c r="D9084" s="58" t="inlineStr">
        <is>
          <t>Office</t>
        </is>
      </c>
      <c r="E9084" s="58" t="inlineStr">
        <is>
          <t>South</t>
        </is>
      </c>
      <c r="F9084" s="61" t="n">
        <v>3</v>
      </c>
      <c r="G9084" s="62" t="n">
        <v>523.21</v>
      </c>
      <c r="H9084" s="63" t="n">
        <v>0.138</v>
      </c>
      <c r="I9084" s="62" t="n">
        <v>366.54</v>
      </c>
      <c r="J9084" s="58" t="inlineStr">
        <is>
          <t>Online</t>
        </is>
      </c>
      <c r="K9084" s="62">
        <f>F9084*(G9084-H9084)</f>
        <v/>
      </c>
      <c r="L9084" s="62">
        <f>K9084-(F9084*I9084)</f>
        <v/>
      </c>
      <c r="M9084" s="64">
        <f>L9084/K9084</f>
        <v/>
      </c>
    </row>
    <row r="9085">
      <c r="A9085" s="58" t="inlineStr">
        <is>
          <t>RT20250815-09084</t>
        </is>
      </c>
      <c r="B9085" s="59" t="inlineStr">
        <is>
          <t>2025-08-15</t>
        </is>
      </c>
      <c r="C9085" s="60" t="inlineStr">
        <is>
          <t>Metro Pantry Max-180</t>
        </is>
      </c>
      <c r="D9085" s="58" t="inlineStr">
        <is>
          <t>Grocery</t>
        </is>
      </c>
      <c r="E9085" s="58" t="inlineStr">
        <is>
          <t>North</t>
        </is>
      </c>
      <c r="F9085" s="61" t="n">
        <v>6</v>
      </c>
      <c r="G9085" s="62" t="n">
        <v>7.7</v>
      </c>
      <c r="H9085" s="63" t="n">
        <v>0.18</v>
      </c>
      <c r="I9085" s="62" t="n">
        <v>6.13</v>
      </c>
      <c r="J9085" s="58" t="inlineStr">
        <is>
          <t>Online</t>
        </is>
      </c>
      <c r="K9085" s="62">
        <f>F9085*(G9085-H9085)</f>
        <v/>
      </c>
      <c r="L9085" s="62">
        <f>K9085-(F9085*I9085)</f>
        <v/>
      </c>
      <c r="M9085" s="64">
        <f>L9085/K9085</f>
        <v/>
      </c>
    </row>
    <row r="9086">
      <c r="A9086" s="58" t="inlineStr">
        <is>
          <t>RT20250815-09085</t>
        </is>
      </c>
      <c r="B9086" s="59" t="inlineStr">
        <is>
          <t>2025-08-15</t>
        </is>
      </c>
      <c r="C9086" s="60" t="inlineStr">
        <is>
          <t>Falcon Kitchen X-130</t>
        </is>
      </c>
      <c r="D9086" s="58" t="inlineStr">
        <is>
          <t>Home</t>
        </is>
      </c>
      <c r="E9086" s="58" t="inlineStr">
        <is>
          <t>South</t>
        </is>
      </c>
      <c r="F9086" s="61" t="n">
        <v>2</v>
      </c>
      <c r="G9086" s="62" t="n">
        <v>418.22</v>
      </c>
      <c r="H9086" s="63" t="n">
        <v>0.153</v>
      </c>
      <c r="I9086" s="62" t="n">
        <v>293.84</v>
      </c>
      <c r="J9086" s="58" t="inlineStr">
        <is>
          <t>Store</t>
        </is>
      </c>
      <c r="K9086" s="62">
        <f>F9086*(G9086-H9086)</f>
        <v/>
      </c>
      <c r="L9086" s="62">
        <f>K9086-(F9086*I9086)</f>
        <v/>
      </c>
      <c r="M9086" s="64">
        <f>L9086/K9086</f>
        <v/>
      </c>
    </row>
    <row r="9087">
      <c r="A9087" s="58" t="inlineStr">
        <is>
          <t>RT20250815-09086</t>
        </is>
      </c>
      <c r="B9087" s="59" t="inlineStr">
        <is>
          <t>2025-08-15</t>
        </is>
      </c>
      <c r="C9087" s="60" t="inlineStr">
        <is>
          <t>Vertex Supplie X-513</t>
        </is>
      </c>
      <c r="D9087" s="58" t="inlineStr">
        <is>
          <t>Office</t>
        </is>
      </c>
      <c r="E9087" s="58" t="inlineStr">
        <is>
          <t>Central</t>
        </is>
      </c>
      <c r="F9087" s="61" t="n">
        <v>1</v>
      </c>
      <c r="G9087" s="62" t="n">
        <v>437.19</v>
      </c>
      <c r="H9087" s="63" t="n">
        <v>0.12</v>
      </c>
      <c r="I9087" s="62" t="n">
        <v>282.61</v>
      </c>
      <c r="J9087" s="58" t="inlineStr">
        <is>
          <t>Online</t>
        </is>
      </c>
      <c r="K9087" s="62">
        <f>F9087*(G9087-H9087)</f>
        <v/>
      </c>
      <c r="L9087" s="62">
        <f>K9087-(F9087*I9087)</f>
        <v/>
      </c>
      <c r="M9087" s="64">
        <f>L9087/K9087</f>
        <v/>
      </c>
    </row>
    <row r="9088">
      <c r="A9088" s="58" t="inlineStr">
        <is>
          <t>RT20250815-09087</t>
        </is>
      </c>
      <c r="B9088" s="59" t="inlineStr">
        <is>
          <t>2025-08-15</t>
        </is>
      </c>
      <c r="C9088" s="60" t="inlineStr">
        <is>
          <t>Falcon Haircare Pro-980</t>
        </is>
      </c>
      <c r="D9088" s="58" t="inlineStr">
        <is>
          <t>Beauty</t>
        </is>
      </c>
      <c r="E9088" s="58" t="inlineStr">
        <is>
          <t>East</t>
        </is>
      </c>
      <c r="F9088" s="61" t="n">
        <v>1</v>
      </c>
      <c r="G9088" s="62" t="n">
        <v>92.78</v>
      </c>
      <c r="H9088" s="63" t="n">
        <v>0.147</v>
      </c>
      <c r="I9088" s="62" t="n">
        <v>58.47</v>
      </c>
      <c r="J9088" s="58" t="inlineStr">
        <is>
          <t>Store</t>
        </is>
      </c>
      <c r="K9088" s="62">
        <f>F9088*(G9088-H9088)</f>
        <v/>
      </c>
      <c r="L9088" s="62">
        <f>K9088-(F9088*I9088)</f>
        <v/>
      </c>
      <c r="M9088" s="64">
        <f>L9088/K9088</f>
        <v/>
      </c>
    </row>
    <row r="9089">
      <c r="A9089" s="58" t="inlineStr">
        <is>
          <t>RT20250815-09088</t>
        </is>
      </c>
      <c r="B9089" s="59" t="inlineStr">
        <is>
          <t>2025-08-15</t>
        </is>
      </c>
      <c r="C9089" s="60" t="inlineStr">
        <is>
          <t>Nimbus Furniture Pro-479</t>
        </is>
      </c>
      <c r="D9089" s="58" t="inlineStr">
        <is>
          <t>Office</t>
        </is>
      </c>
      <c r="E9089" s="58" t="inlineStr">
        <is>
          <t>Central</t>
        </is>
      </c>
      <c r="F9089" s="61" t="n">
        <v>2</v>
      </c>
      <c r="G9089" s="62" t="n">
        <v>309.58</v>
      </c>
      <c r="H9089" s="63" t="n">
        <v>0.142</v>
      </c>
      <c r="I9089" s="62" t="n">
        <v>243.63</v>
      </c>
      <c r="J9089" s="58" t="inlineStr">
        <is>
          <t>Online</t>
        </is>
      </c>
      <c r="K9089" s="62">
        <f>F9089*(G9089-H9089)</f>
        <v/>
      </c>
      <c r="L9089" s="62">
        <f>K9089-(F9089*I9089)</f>
        <v/>
      </c>
      <c r="M9089" s="64">
        <f>L9089/K9089</f>
        <v/>
      </c>
    </row>
    <row r="9090">
      <c r="A9090" s="58" t="inlineStr">
        <is>
          <t>RT20250815-09089</t>
        </is>
      </c>
      <c r="B9090" s="59" t="inlineStr">
        <is>
          <t>2025-08-15</t>
        </is>
      </c>
      <c r="C9090" s="60" t="inlineStr">
        <is>
          <t>Falcon Skincare X-334</t>
        </is>
      </c>
      <c r="D9090" s="58" t="inlineStr">
        <is>
          <t>Beauty</t>
        </is>
      </c>
      <c r="E9090" s="58" t="inlineStr">
        <is>
          <t>East</t>
        </is>
      </c>
      <c r="F9090" s="61" t="n">
        <v>5</v>
      </c>
      <c r="G9090" s="62" t="n">
        <v>84.5</v>
      </c>
      <c r="H9090" s="63" t="n">
        <v>0.185</v>
      </c>
      <c r="I9090" s="62" t="n">
        <v>62.95</v>
      </c>
      <c r="J9090" s="58" t="inlineStr">
        <is>
          <t>Online</t>
        </is>
      </c>
      <c r="K9090" s="62">
        <f>F9090*(G9090-H9090)</f>
        <v/>
      </c>
      <c r="L9090" s="62">
        <f>K9090-(F9090*I9090)</f>
        <v/>
      </c>
      <c r="M9090" s="64">
        <f>L9090/K9090</f>
        <v/>
      </c>
    </row>
    <row r="9091">
      <c r="A9091" s="58" t="inlineStr">
        <is>
          <t>RT20250815-09090</t>
        </is>
      </c>
      <c r="B9091" s="59" t="inlineStr">
        <is>
          <t>2025-08-15</t>
        </is>
      </c>
      <c r="C9091" s="60" t="inlineStr">
        <is>
          <t>Solace Laptop S-367</t>
        </is>
      </c>
      <c r="D9091" s="58" t="inlineStr">
        <is>
          <t>Electronics</t>
        </is>
      </c>
      <c r="E9091" s="58" t="inlineStr">
        <is>
          <t>West</t>
        </is>
      </c>
      <c r="F9091" s="61" t="n">
        <v>2</v>
      </c>
      <c r="G9091" s="62" t="n">
        <v>1961.4</v>
      </c>
      <c r="H9091" s="63" t="n">
        <v>0.126</v>
      </c>
      <c r="I9091" s="62" t="n">
        <v>1558.65</v>
      </c>
      <c r="J9091" s="58" t="inlineStr">
        <is>
          <t>Store</t>
        </is>
      </c>
      <c r="K9091" s="62">
        <f>F9091*(G9091-H9091)</f>
        <v/>
      </c>
      <c r="L9091" s="62">
        <f>K9091-(F9091*I9091)</f>
        <v/>
      </c>
      <c r="M9091" s="64">
        <f>L9091/K9091</f>
        <v/>
      </c>
    </row>
    <row r="9092">
      <c r="A9092" s="58" t="inlineStr">
        <is>
          <t>RT20250815-09091</t>
        </is>
      </c>
      <c r="B9092" s="59" t="inlineStr">
        <is>
          <t>2025-08-15</t>
        </is>
      </c>
      <c r="C9092" s="60" t="inlineStr">
        <is>
          <t>Vertex Appliance S-296</t>
        </is>
      </c>
      <c r="D9092" s="58" t="inlineStr">
        <is>
          <t>Home</t>
        </is>
      </c>
      <c r="E9092" s="58" t="inlineStr">
        <is>
          <t>Central</t>
        </is>
      </c>
      <c r="F9092" s="61" t="n">
        <v>3</v>
      </c>
      <c r="G9092" s="62" t="n">
        <v>526.22</v>
      </c>
      <c r="H9092" s="63" t="n">
        <v>0.139</v>
      </c>
      <c r="I9092" s="62" t="n">
        <v>361.97</v>
      </c>
      <c r="J9092" s="58" t="inlineStr">
        <is>
          <t>Online</t>
        </is>
      </c>
      <c r="K9092" s="62">
        <f>F9092*(G9092-H9092)</f>
        <v/>
      </c>
      <c r="L9092" s="62">
        <f>K9092-(F9092*I9092)</f>
        <v/>
      </c>
      <c r="M9092" s="64">
        <f>L9092/K9092</f>
        <v/>
      </c>
    </row>
    <row r="9093">
      <c r="A9093" s="58" t="inlineStr">
        <is>
          <t>RT20250815-09092</t>
        </is>
      </c>
      <c r="B9093" s="59" t="inlineStr">
        <is>
          <t>2025-08-15</t>
        </is>
      </c>
      <c r="C9093" s="60" t="inlineStr">
        <is>
          <t>Vertex Decor Pro-618</t>
        </is>
      </c>
      <c r="D9093" s="58" t="inlineStr">
        <is>
          <t>Home</t>
        </is>
      </c>
      <c r="E9093" s="58" t="inlineStr">
        <is>
          <t>Central</t>
        </is>
      </c>
      <c r="F9093" s="61" t="n">
        <v>1</v>
      </c>
      <c r="G9093" s="62" t="n">
        <v>559.23</v>
      </c>
      <c r="H9093" s="63" t="n">
        <v>0.063</v>
      </c>
      <c r="I9093" s="62" t="n">
        <v>377.9</v>
      </c>
      <c r="J9093" s="58" t="inlineStr">
        <is>
          <t>Online</t>
        </is>
      </c>
      <c r="K9093" s="62">
        <f>F9093*(G9093-H9093)</f>
        <v/>
      </c>
      <c r="L9093" s="62">
        <f>K9093-(F9093*I9093)</f>
        <v/>
      </c>
      <c r="M9093" s="64">
        <f>L9093/K9093</f>
        <v/>
      </c>
    </row>
    <row r="9094">
      <c r="A9094" s="58" t="inlineStr">
        <is>
          <t>RT20250815-09093</t>
        </is>
      </c>
      <c r="B9094" s="59" t="inlineStr">
        <is>
          <t>2025-08-15</t>
        </is>
      </c>
      <c r="C9094" s="60" t="inlineStr">
        <is>
          <t>Aurora Fitnes Lite-194</t>
        </is>
      </c>
      <c r="D9094" s="58" t="inlineStr">
        <is>
          <t>Sports</t>
        </is>
      </c>
      <c r="E9094" s="58" t="inlineStr">
        <is>
          <t>Central</t>
        </is>
      </c>
      <c r="F9094" s="61" t="n">
        <v>2</v>
      </c>
      <c r="G9094" s="62" t="n">
        <v>645.64</v>
      </c>
      <c r="H9094" s="63" t="n">
        <v>0.185</v>
      </c>
      <c r="I9094" s="62" t="n">
        <v>454.89</v>
      </c>
      <c r="J9094" s="58" t="inlineStr">
        <is>
          <t>Online</t>
        </is>
      </c>
      <c r="K9094" s="62">
        <f>F9094*(G9094-H9094)</f>
        <v/>
      </c>
      <c r="L9094" s="62">
        <f>K9094-(F9094*I9094)</f>
        <v/>
      </c>
      <c r="M9094" s="64">
        <f>L9094/K9094</f>
        <v/>
      </c>
    </row>
    <row r="9095">
      <c r="A9095" s="58" t="inlineStr">
        <is>
          <t>RT20250815-09094</t>
        </is>
      </c>
      <c r="B9095" s="59" t="inlineStr">
        <is>
          <t>2025-08-15</t>
        </is>
      </c>
      <c r="C9095" s="60" t="inlineStr">
        <is>
          <t>Solace Kitchen Pro-510</t>
        </is>
      </c>
      <c r="D9095" s="58" t="inlineStr">
        <is>
          <t>Home</t>
        </is>
      </c>
      <c r="E9095" s="58" t="inlineStr">
        <is>
          <t>North</t>
        </is>
      </c>
      <c r="F9095" s="61" t="n">
        <v>2</v>
      </c>
      <c r="G9095" s="62" t="n">
        <v>460.11</v>
      </c>
      <c r="H9095" s="63" t="n">
        <v>0.135</v>
      </c>
      <c r="I9095" s="62" t="n">
        <v>300.04</v>
      </c>
      <c r="J9095" s="58" t="inlineStr">
        <is>
          <t>Online</t>
        </is>
      </c>
      <c r="K9095" s="62">
        <f>F9095*(G9095-H9095)</f>
        <v/>
      </c>
      <c r="L9095" s="62">
        <f>K9095-(F9095*I9095)</f>
        <v/>
      </c>
      <c r="M9095" s="64">
        <f>L9095/K9095</f>
        <v/>
      </c>
    </row>
    <row r="9096">
      <c r="A9096" s="58" t="inlineStr">
        <is>
          <t>RT20250815-09095</t>
        </is>
      </c>
      <c r="B9096" s="59" t="inlineStr">
        <is>
          <t>2025-08-15</t>
        </is>
      </c>
      <c r="C9096" s="60" t="inlineStr">
        <is>
          <t>Vertex Furniture S-652</t>
        </is>
      </c>
      <c r="D9096" s="58" t="inlineStr">
        <is>
          <t>Office</t>
        </is>
      </c>
      <c r="E9096" s="58" t="inlineStr">
        <is>
          <t>West</t>
        </is>
      </c>
      <c r="F9096" s="61" t="n">
        <v>2</v>
      </c>
      <c r="G9096" s="62" t="n">
        <v>386.49</v>
      </c>
      <c r="H9096" s="63" t="n">
        <v>0.098</v>
      </c>
      <c r="I9096" s="62" t="n">
        <v>266.68</v>
      </c>
      <c r="J9096" s="58" t="inlineStr">
        <is>
          <t>Phone</t>
        </is>
      </c>
      <c r="K9096" s="62">
        <f>F9096*(G9096-H9096)</f>
        <v/>
      </c>
      <c r="L9096" s="62">
        <f>K9096-(F9096*I9096)</f>
        <v/>
      </c>
      <c r="M9096" s="64">
        <f>L9096/K9096</f>
        <v/>
      </c>
    </row>
    <row r="9097">
      <c r="A9097" s="58" t="inlineStr">
        <is>
          <t>RT20250815-09096</t>
        </is>
      </c>
      <c r="B9097" s="59" t="inlineStr">
        <is>
          <t>2025-08-15</t>
        </is>
      </c>
      <c r="C9097" s="60" t="inlineStr">
        <is>
          <t>Falcon Wearable X-334</t>
        </is>
      </c>
      <c r="D9097" s="58" t="inlineStr">
        <is>
          <t>Electronics</t>
        </is>
      </c>
      <c r="E9097" s="58" t="inlineStr">
        <is>
          <t>West</t>
        </is>
      </c>
      <c r="F9097" s="61" t="n">
        <v>2</v>
      </c>
      <c r="G9097" s="62" t="n">
        <v>1933.01</v>
      </c>
      <c r="H9097" s="63" t="n">
        <v>0.129</v>
      </c>
      <c r="I9097" s="62" t="n">
        <v>1513.26</v>
      </c>
      <c r="J9097" s="58" t="inlineStr">
        <is>
          <t>Online</t>
        </is>
      </c>
      <c r="K9097" s="62">
        <f>F9097*(G9097-H9097)</f>
        <v/>
      </c>
      <c r="L9097" s="62">
        <f>K9097-(F9097*I9097)</f>
        <v/>
      </c>
      <c r="M9097" s="64">
        <f>L9097/K9097</f>
        <v/>
      </c>
    </row>
    <row r="9098">
      <c r="A9098" s="58" t="inlineStr">
        <is>
          <t>RT20250815-09097</t>
        </is>
      </c>
      <c r="B9098" s="59" t="inlineStr">
        <is>
          <t>2025-08-15</t>
        </is>
      </c>
      <c r="C9098" s="60" t="inlineStr">
        <is>
          <t>Aurora Appliance Lite-109</t>
        </is>
      </c>
      <c r="D9098" s="58" t="inlineStr">
        <is>
          <t>Home</t>
        </is>
      </c>
      <c r="E9098" s="58" t="inlineStr">
        <is>
          <t>East</t>
        </is>
      </c>
      <c r="F9098" s="61" t="n">
        <v>2</v>
      </c>
      <c r="G9098" s="62" t="n">
        <v>290.91</v>
      </c>
      <c r="H9098" s="63" t="n">
        <v>0.181</v>
      </c>
      <c r="I9098" s="62" t="n">
        <v>204.35</v>
      </c>
      <c r="J9098" s="58" t="inlineStr">
        <is>
          <t>Online</t>
        </is>
      </c>
      <c r="K9098" s="62">
        <f>F9098*(G9098-H9098)</f>
        <v/>
      </c>
      <c r="L9098" s="62">
        <f>K9098-(F9098*I9098)</f>
        <v/>
      </c>
      <c r="M9098" s="64">
        <f>L9098/K9098</f>
        <v/>
      </c>
    </row>
    <row r="9099">
      <c r="A9099" s="58" t="inlineStr">
        <is>
          <t>RT20250815-09098</t>
        </is>
      </c>
      <c r="B9099" s="59" t="inlineStr">
        <is>
          <t>2025-08-15</t>
        </is>
      </c>
      <c r="C9099" s="60" t="inlineStr">
        <is>
          <t>Orion Laptop S-350</t>
        </is>
      </c>
      <c r="D9099" s="58" t="inlineStr">
        <is>
          <t>Electronics</t>
        </is>
      </c>
      <c r="E9099" s="58" t="inlineStr">
        <is>
          <t>West</t>
        </is>
      </c>
      <c r="F9099" s="61" t="n">
        <v>2</v>
      </c>
      <c r="G9099" s="62" t="n">
        <v>1432.68</v>
      </c>
      <c r="H9099" s="63" t="n">
        <v>0.118</v>
      </c>
      <c r="I9099" s="62" t="n">
        <v>1094.08</v>
      </c>
      <c r="J9099" s="58" t="inlineStr">
        <is>
          <t>Online</t>
        </is>
      </c>
      <c r="K9099" s="62">
        <f>F9099*(G9099-H9099)</f>
        <v/>
      </c>
      <c r="L9099" s="62">
        <f>K9099-(F9099*I9099)</f>
        <v/>
      </c>
      <c r="M9099" s="64">
        <f>L9099/K9099</f>
        <v/>
      </c>
    </row>
    <row r="9100">
      <c r="A9100" s="58" t="inlineStr">
        <is>
          <t>RT20250815-09099</t>
        </is>
      </c>
      <c r="B9100" s="59" t="inlineStr">
        <is>
          <t>2025-08-15</t>
        </is>
      </c>
      <c r="C9100" s="60" t="inlineStr">
        <is>
          <t>Orion Kid Max-640</t>
        </is>
      </c>
      <c r="D9100" s="58" t="inlineStr">
        <is>
          <t>Apparel</t>
        </is>
      </c>
      <c r="E9100" s="58" t="inlineStr">
        <is>
          <t>South</t>
        </is>
      </c>
      <c r="F9100" s="61" t="n">
        <v>3</v>
      </c>
      <c r="G9100" s="62" t="n">
        <v>112.66</v>
      </c>
      <c r="H9100" s="63" t="n">
        <v>0.146</v>
      </c>
      <c r="I9100" s="62" t="n">
        <v>69.54000000000001</v>
      </c>
      <c r="J9100" s="58" t="inlineStr">
        <is>
          <t>Online</t>
        </is>
      </c>
      <c r="K9100" s="62">
        <f>F9100*(G9100-H9100)</f>
        <v/>
      </c>
      <c r="L9100" s="62">
        <f>K9100-(F9100*I9100)</f>
        <v/>
      </c>
      <c r="M9100" s="64">
        <f>L9100/K9100</f>
        <v/>
      </c>
    </row>
    <row r="9101">
      <c r="A9101" s="58" t="inlineStr">
        <is>
          <t>RT20250815-09100</t>
        </is>
      </c>
      <c r="B9101" s="59" t="inlineStr">
        <is>
          <t>2025-08-15</t>
        </is>
      </c>
      <c r="C9101" s="60" t="inlineStr">
        <is>
          <t>Polar Women S-662</t>
        </is>
      </c>
      <c r="D9101" s="58" t="inlineStr">
        <is>
          <t>Apparel</t>
        </is>
      </c>
      <c r="E9101" s="58" t="inlineStr">
        <is>
          <t>West</t>
        </is>
      </c>
      <c r="F9101" s="61" t="n">
        <v>3</v>
      </c>
      <c r="G9101" s="62" t="n">
        <v>165.93</v>
      </c>
      <c r="H9101" s="63" t="n">
        <v>0.161</v>
      </c>
      <c r="I9101" s="62" t="n">
        <v>102.61</v>
      </c>
      <c r="J9101" s="58" t="inlineStr">
        <is>
          <t>Online</t>
        </is>
      </c>
      <c r="K9101" s="62">
        <f>F9101*(G9101-H9101)</f>
        <v/>
      </c>
      <c r="L9101" s="62">
        <f>K9101-(F9101*I9101)</f>
        <v/>
      </c>
      <c r="M9101" s="64">
        <f>L9101/K9101</f>
        <v/>
      </c>
    </row>
    <row r="9102">
      <c r="A9102" s="58" t="inlineStr">
        <is>
          <t>RT20250815-09101</t>
        </is>
      </c>
      <c r="B9102" s="59" t="inlineStr">
        <is>
          <t>2025-08-15</t>
        </is>
      </c>
      <c r="C9102" s="60" t="inlineStr">
        <is>
          <t>Metro Decor Lite-325</t>
        </is>
      </c>
      <c r="D9102" s="58" t="inlineStr">
        <is>
          <t>Home</t>
        </is>
      </c>
      <c r="E9102" s="58" t="inlineStr">
        <is>
          <t>West</t>
        </is>
      </c>
      <c r="F9102" s="61" t="n">
        <v>3</v>
      </c>
      <c r="G9102" s="62" t="n">
        <v>572.9400000000001</v>
      </c>
      <c r="H9102" s="63" t="n">
        <v>0.15</v>
      </c>
      <c r="I9102" s="62" t="n">
        <v>378.1</v>
      </c>
      <c r="J9102" s="58" t="inlineStr">
        <is>
          <t>Online</t>
        </is>
      </c>
      <c r="K9102" s="62">
        <f>F9102*(G9102-H9102)</f>
        <v/>
      </c>
      <c r="L9102" s="62">
        <f>K9102-(F9102*I9102)</f>
        <v/>
      </c>
      <c r="M9102" s="64">
        <f>L9102/K9102</f>
        <v/>
      </c>
    </row>
    <row r="9103">
      <c r="A9103" s="58" t="inlineStr">
        <is>
          <t>RT20250815-09102</t>
        </is>
      </c>
      <c r="B9103" s="59" t="inlineStr">
        <is>
          <t>2025-08-15</t>
        </is>
      </c>
      <c r="C9103" s="60" t="inlineStr">
        <is>
          <t>Falcon Team Sport Lite-268</t>
        </is>
      </c>
      <c r="D9103" s="58" t="inlineStr">
        <is>
          <t>Sports</t>
        </is>
      </c>
      <c r="E9103" s="58" t="inlineStr">
        <is>
          <t>West</t>
        </is>
      </c>
      <c r="F9103" s="61" t="n">
        <v>2</v>
      </c>
      <c r="G9103" s="62" t="n">
        <v>699.75</v>
      </c>
      <c r="H9103" s="63" t="n">
        <v>0.157</v>
      </c>
      <c r="I9103" s="62" t="n">
        <v>425.83</v>
      </c>
      <c r="J9103" s="58" t="inlineStr">
        <is>
          <t>Store</t>
        </is>
      </c>
      <c r="K9103" s="62">
        <f>F9103*(G9103-H9103)</f>
        <v/>
      </c>
      <c r="L9103" s="62">
        <f>K9103-(F9103*I9103)</f>
        <v/>
      </c>
      <c r="M9103" s="64">
        <f>L9103/K9103</f>
        <v/>
      </c>
    </row>
    <row r="9104">
      <c r="A9104" s="58" t="inlineStr">
        <is>
          <t>RT20250816-09103</t>
        </is>
      </c>
      <c r="B9104" s="59" t="inlineStr">
        <is>
          <t>2025-08-16</t>
        </is>
      </c>
      <c r="C9104" s="60" t="inlineStr">
        <is>
          <t>Nimbus Fitnes Lite-516</t>
        </is>
      </c>
      <c r="D9104" s="58" t="inlineStr">
        <is>
          <t>Sports</t>
        </is>
      </c>
      <c r="E9104" s="58" t="inlineStr">
        <is>
          <t>West</t>
        </is>
      </c>
      <c r="F9104" s="61" t="n">
        <v>1</v>
      </c>
      <c r="G9104" s="62" t="n">
        <v>717.77</v>
      </c>
      <c r="H9104" s="63" t="n">
        <v>0.164</v>
      </c>
      <c r="I9104" s="62" t="n">
        <v>478.62</v>
      </c>
      <c r="J9104" s="58" t="inlineStr">
        <is>
          <t>Online</t>
        </is>
      </c>
      <c r="K9104" s="62">
        <f>F9104*(G9104-H9104)</f>
        <v/>
      </c>
      <c r="L9104" s="62">
        <f>K9104-(F9104*I9104)</f>
        <v/>
      </c>
      <c r="M9104" s="64">
        <f>L9104/K9104</f>
        <v/>
      </c>
    </row>
    <row r="9105">
      <c r="A9105" s="58" t="inlineStr">
        <is>
          <t>RT20250816-09104</t>
        </is>
      </c>
      <c r="B9105" s="59" t="inlineStr">
        <is>
          <t>2025-08-16</t>
        </is>
      </c>
      <c r="C9105" s="60" t="inlineStr">
        <is>
          <t>Aurora Fitnes Lite-194</t>
        </is>
      </c>
      <c r="D9105" s="58" t="inlineStr">
        <is>
          <t>Sports</t>
        </is>
      </c>
      <c r="E9105" s="58" t="inlineStr">
        <is>
          <t>West</t>
        </is>
      </c>
      <c r="F9105" s="61" t="n">
        <v>1</v>
      </c>
      <c r="G9105" s="62" t="n">
        <v>747.8</v>
      </c>
      <c r="H9105" s="63" t="n">
        <v>0.157</v>
      </c>
      <c r="I9105" s="62" t="n">
        <v>471.49</v>
      </c>
      <c r="J9105" s="58" t="inlineStr">
        <is>
          <t>Online</t>
        </is>
      </c>
      <c r="K9105" s="62">
        <f>F9105*(G9105-H9105)</f>
        <v/>
      </c>
      <c r="L9105" s="62">
        <f>K9105-(F9105*I9105)</f>
        <v/>
      </c>
      <c r="M9105" s="64">
        <f>L9105/K9105</f>
        <v/>
      </c>
    </row>
    <row r="9106">
      <c r="A9106" s="58" t="inlineStr">
        <is>
          <t>RT20250816-09105</t>
        </is>
      </c>
      <c r="B9106" s="59" t="inlineStr">
        <is>
          <t>2025-08-16</t>
        </is>
      </c>
      <c r="C9106" s="60" t="inlineStr">
        <is>
          <t>Metro Laptop Plus-376</t>
        </is>
      </c>
      <c r="D9106" s="58" t="inlineStr">
        <is>
          <t>Electronics</t>
        </is>
      </c>
      <c r="E9106" s="58" t="inlineStr">
        <is>
          <t>North</t>
        </is>
      </c>
      <c r="F9106" s="61" t="n">
        <v>1</v>
      </c>
      <c r="G9106" s="62" t="n">
        <v>1200.36</v>
      </c>
      <c r="H9106" s="63" t="n">
        <v>0.122</v>
      </c>
      <c r="I9106" s="62" t="n">
        <v>1023.22</v>
      </c>
      <c r="J9106" s="58" t="inlineStr">
        <is>
          <t>Store</t>
        </is>
      </c>
      <c r="K9106" s="62">
        <f>F9106*(G9106-H9106)</f>
        <v/>
      </c>
      <c r="L9106" s="62">
        <f>K9106-(F9106*I9106)</f>
        <v/>
      </c>
      <c r="M9106" s="64">
        <f>L9106/K9106</f>
        <v/>
      </c>
    </row>
    <row r="9107">
      <c r="A9107" s="58" t="inlineStr">
        <is>
          <t>RT20250816-09106</t>
        </is>
      </c>
      <c r="B9107" s="59" t="inlineStr">
        <is>
          <t>2025-08-16</t>
        </is>
      </c>
      <c r="C9107" s="60" t="inlineStr">
        <is>
          <t>Metro Wearable Plus-234</t>
        </is>
      </c>
      <c r="D9107" s="58" t="inlineStr">
        <is>
          <t>Electronics</t>
        </is>
      </c>
      <c r="E9107" s="58" t="inlineStr">
        <is>
          <t>East</t>
        </is>
      </c>
      <c r="F9107" s="61" t="n">
        <v>2</v>
      </c>
      <c r="G9107" s="62" t="n">
        <v>1461.56</v>
      </c>
      <c r="H9107" s="63" t="n">
        <v>0.122</v>
      </c>
      <c r="I9107" s="62" t="n">
        <v>1187.86</v>
      </c>
      <c r="J9107" s="58" t="inlineStr">
        <is>
          <t>Store</t>
        </is>
      </c>
      <c r="K9107" s="62">
        <f>F9107*(G9107-H9107)</f>
        <v/>
      </c>
      <c r="L9107" s="62">
        <f>K9107-(F9107*I9107)</f>
        <v/>
      </c>
      <c r="M9107" s="64">
        <f>L9107/K9107</f>
        <v/>
      </c>
    </row>
    <row r="9108">
      <c r="A9108" s="58" t="inlineStr">
        <is>
          <t>RT20250816-09107</t>
        </is>
      </c>
      <c r="B9108" s="59" t="inlineStr">
        <is>
          <t>2025-08-16</t>
        </is>
      </c>
      <c r="C9108" s="60" t="inlineStr">
        <is>
          <t>Vertex Supplie X-513</t>
        </is>
      </c>
      <c r="D9108" s="58" t="inlineStr">
        <is>
          <t>Office</t>
        </is>
      </c>
      <c r="E9108" s="58" t="inlineStr">
        <is>
          <t>West</t>
        </is>
      </c>
      <c r="F9108" s="61" t="n">
        <v>3</v>
      </c>
      <c r="G9108" s="62" t="n">
        <v>373.14</v>
      </c>
      <c r="H9108" s="63" t="n">
        <v>0.119</v>
      </c>
      <c r="I9108" s="62" t="n">
        <v>279.57</v>
      </c>
      <c r="J9108" s="58" t="inlineStr">
        <is>
          <t>Online</t>
        </is>
      </c>
      <c r="K9108" s="62">
        <f>F9108*(G9108-H9108)</f>
        <v/>
      </c>
      <c r="L9108" s="62">
        <f>K9108-(F9108*I9108)</f>
        <v/>
      </c>
      <c r="M9108" s="64">
        <f>L9108/K9108</f>
        <v/>
      </c>
    </row>
    <row r="9109">
      <c r="A9109" s="58" t="inlineStr">
        <is>
          <t>RT20250816-09108</t>
        </is>
      </c>
      <c r="B9109" s="59" t="inlineStr">
        <is>
          <t>2025-08-16</t>
        </is>
      </c>
      <c r="C9109" s="60" t="inlineStr">
        <is>
          <t>Aurora Appliance Max-316</t>
        </is>
      </c>
      <c r="D9109" s="58" t="inlineStr">
        <is>
          <t>Home</t>
        </is>
      </c>
      <c r="E9109" s="58" t="inlineStr">
        <is>
          <t>West</t>
        </is>
      </c>
      <c r="F9109" s="61" t="n">
        <v>2</v>
      </c>
      <c r="G9109" s="62" t="n">
        <v>285.41</v>
      </c>
      <c r="H9109" s="63" t="n">
        <v>0.204</v>
      </c>
      <c r="I9109" s="62" t="n">
        <v>219.31</v>
      </c>
      <c r="J9109" s="58" t="inlineStr">
        <is>
          <t>Store</t>
        </is>
      </c>
      <c r="K9109" s="62">
        <f>F9109*(G9109-H9109)</f>
        <v/>
      </c>
      <c r="L9109" s="62">
        <f>K9109-(F9109*I9109)</f>
        <v/>
      </c>
      <c r="M9109" s="64">
        <f>L9109/K9109</f>
        <v/>
      </c>
    </row>
    <row r="9110">
      <c r="A9110" s="58" t="inlineStr">
        <is>
          <t>RT20250816-09109</t>
        </is>
      </c>
      <c r="B9110" s="59" t="inlineStr">
        <is>
          <t>2025-08-16</t>
        </is>
      </c>
      <c r="C9110" s="60" t="inlineStr">
        <is>
          <t>Polar Snack Pro-641</t>
        </is>
      </c>
      <c r="D9110" s="58" t="inlineStr">
        <is>
          <t>Grocery</t>
        </is>
      </c>
      <c r="E9110" s="58" t="inlineStr">
        <is>
          <t>Central</t>
        </is>
      </c>
      <c r="F9110" s="61" t="n">
        <v>6</v>
      </c>
      <c r="G9110" s="62" t="n">
        <v>12.25</v>
      </c>
      <c r="H9110" s="63" t="n">
        <v>0.076</v>
      </c>
      <c r="I9110" s="62" t="n">
        <v>9.44</v>
      </c>
      <c r="J9110" s="58" t="inlineStr">
        <is>
          <t>Online</t>
        </is>
      </c>
      <c r="K9110" s="62">
        <f>F9110*(G9110-H9110)</f>
        <v/>
      </c>
      <c r="L9110" s="62">
        <f>K9110-(F9110*I9110)</f>
        <v/>
      </c>
      <c r="M9110" s="64">
        <f>L9110/K9110</f>
        <v/>
      </c>
    </row>
    <row r="9111">
      <c r="A9111" s="58" t="inlineStr">
        <is>
          <t>RT20250816-09110</t>
        </is>
      </c>
      <c r="B9111" s="59" t="inlineStr">
        <is>
          <t>2025-08-16</t>
        </is>
      </c>
      <c r="C9111" s="60" t="inlineStr">
        <is>
          <t>Vertex Men X-995</t>
        </is>
      </c>
      <c r="D9111" s="58" t="inlineStr">
        <is>
          <t>Apparel</t>
        </is>
      </c>
      <c r="E9111" s="58" t="inlineStr">
        <is>
          <t>West</t>
        </is>
      </c>
      <c r="F9111" s="61" t="n">
        <v>3</v>
      </c>
      <c r="G9111" s="62" t="n">
        <v>106.59</v>
      </c>
      <c r="H9111" s="63" t="n">
        <v>0.16</v>
      </c>
      <c r="I9111" s="62" t="n">
        <v>58.76</v>
      </c>
      <c r="J9111" s="58" t="inlineStr">
        <is>
          <t>Store</t>
        </is>
      </c>
      <c r="K9111" s="62">
        <f>F9111*(G9111-H9111)</f>
        <v/>
      </c>
      <c r="L9111" s="62">
        <f>K9111-(F9111*I9111)</f>
        <v/>
      </c>
      <c r="M9111" s="64">
        <f>L9111/K9111</f>
        <v/>
      </c>
    </row>
    <row r="9112">
      <c r="A9112" s="58" t="inlineStr">
        <is>
          <t>RT20250816-09111</t>
        </is>
      </c>
      <c r="B9112" s="59" t="inlineStr">
        <is>
          <t>2025-08-16</t>
        </is>
      </c>
      <c r="C9112" s="60" t="inlineStr">
        <is>
          <t>Orion Storage Plus-961</t>
        </is>
      </c>
      <c r="D9112" s="58" t="inlineStr">
        <is>
          <t>Office</t>
        </is>
      </c>
      <c r="E9112" s="58" t="inlineStr">
        <is>
          <t>East</t>
        </is>
      </c>
      <c r="F9112" s="61" t="n">
        <v>2</v>
      </c>
      <c r="G9112" s="62" t="n">
        <v>441.72</v>
      </c>
      <c r="H9112" s="63" t="n">
        <v>0.145</v>
      </c>
      <c r="I9112" s="62" t="n">
        <v>366.67</v>
      </c>
      <c r="J9112" s="58" t="inlineStr">
        <is>
          <t>Online</t>
        </is>
      </c>
      <c r="K9112" s="62">
        <f>F9112*(G9112-H9112)</f>
        <v/>
      </c>
      <c r="L9112" s="62">
        <f>K9112-(F9112*I9112)</f>
        <v/>
      </c>
      <c r="M9112" s="64">
        <f>L9112/K9112</f>
        <v/>
      </c>
    </row>
    <row r="9113">
      <c r="A9113" s="58" t="inlineStr">
        <is>
          <t>RT20250816-09112</t>
        </is>
      </c>
      <c r="B9113" s="59" t="inlineStr">
        <is>
          <t>2025-08-16</t>
        </is>
      </c>
      <c r="C9113" s="60" t="inlineStr">
        <is>
          <t>Nimbus Men Plus-231</t>
        </is>
      </c>
      <c r="D9113" s="58" t="inlineStr">
        <is>
          <t>Apparel</t>
        </is>
      </c>
      <c r="E9113" s="58" t="inlineStr">
        <is>
          <t>West</t>
        </is>
      </c>
      <c r="F9113" s="61" t="n">
        <v>1</v>
      </c>
      <c r="G9113" s="62" t="n">
        <v>158.94</v>
      </c>
      <c r="H9113" s="63" t="n">
        <v>0.179</v>
      </c>
      <c r="I9113" s="62" t="n">
        <v>88.09999999999999</v>
      </c>
      <c r="J9113" s="58" t="inlineStr">
        <is>
          <t>Online</t>
        </is>
      </c>
      <c r="K9113" s="62">
        <f>F9113*(G9113-H9113)</f>
        <v/>
      </c>
      <c r="L9113" s="62">
        <f>K9113-(F9113*I9113)</f>
        <v/>
      </c>
      <c r="M9113" s="64">
        <f>L9113/K9113</f>
        <v/>
      </c>
    </row>
    <row r="9114">
      <c r="A9114" s="58" t="inlineStr">
        <is>
          <t>RT20250816-09113</t>
        </is>
      </c>
      <c r="B9114" s="59" t="inlineStr">
        <is>
          <t>2025-08-16</t>
        </is>
      </c>
      <c r="C9114" s="60" t="inlineStr">
        <is>
          <t>Aurora Printer Plus-991</t>
        </is>
      </c>
      <c r="D9114" s="58" t="inlineStr">
        <is>
          <t>Office</t>
        </is>
      </c>
      <c r="E9114" s="58" t="inlineStr">
        <is>
          <t>East</t>
        </is>
      </c>
      <c r="F9114" s="61" t="n">
        <v>2</v>
      </c>
      <c r="G9114" s="62" t="n">
        <v>556.8099999999999</v>
      </c>
      <c r="H9114" s="63" t="n">
        <v>0.165</v>
      </c>
      <c r="I9114" s="62" t="n">
        <v>367.61</v>
      </c>
      <c r="J9114" s="58" t="inlineStr">
        <is>
          <t>Online</t>
        </is>
      </c>
      <c r="K9114" s="62">
        <f>F9114*(G9114-H9114)</f>
        <v/>
      </c>
      <c r="L9114" s="62">
        <f>K9114-(F9114*I9114)</f>
        <v/>
      </c>
      <c r="M9114" s="64">
        <f>L9114/K9114</f>
        <v/>
      </c>
    </row>
    <row r="9115">
      <c r="A9115" s="58" t="inlineStr">
        <is>
          <t>RT20250816-09114</t>
        </is>
      </c>
      <c r="B9115" s="59" t="inlineStr">
        <is>
          <t>2025-08-16</t>
        </is>
      </c>
      <c r="C9115" s="60" t="inlineStr">
        <is>
          <t>Solace Laptop S-367</t>
        </is>
      </c>
      <c r="D9115" s="58" t="inlineStr">
        <is>
          <t>Electronics</t>
        </is>
      </c>
      <c r="E9115" s="58" t="inlineStr">
        <is>
          <t>East</t>
        </is>
      </c>
      <c r="F9115" s="61" t="n">
        <v>2</v>
      </c>
      <c r="G9115" s="62" t="n">
        <v>2088.33</v>
      </c>
      <c r="H9115" s="63" t="n">
        <v>0.179</v>
      </c>
      <c r="I9115" s="62" t="n">
        <v>1591.28</v>
      </c>
      <c r="J9115" s="58" t="inlineStr">
        <is>
          <t>Online</t>
        </is>
      </c>
      <c r="K9115" s="62">
        <f>F9115*(G9115-H9115)</f>
        <v/>
      </c>
      <c r="L9115" s="62">
        <f>K9115-(F9115*I9115)</f>
        <v/>
      </c>
      <c r="M9115" s="64">
        <f>L9115/K9115</f>
        <v/>
      </c>
    </row>
    <row r="9116">
      <c r="A9116" s="58" t="inlineStr">
        <is>
          <t>RT20250816-09115</t>
        </is>
      </c>
      <c r="B9116" s="59" t="inlineStr">
        <is>
          <t>2025-08-16</t>
        </is>
      </c>
      <c r="C9116" s="60" t="inlineStr">
        <is>
          <t>Falcon Skincare X-334</t>
        </is>
      </c>
      <c r="D9116" s="58" t="inlineStr">
        <is>
          <t>Beauty</t>
        </is>
      </c>
      <c r="E9116" s="58" t="inlineStr">
        <is>
          <t>North</t>
        </is>
      </c>
      <c r="F9116" s="61" t="n">
        <v>1</v>
      </c>
      <c r="G9116" s="62" t="n">
        <v>101.8</v>
      </c>
      <c r="H9116" s="63" t="n">
        <v>0.135</v>
      </c>
      <c r="I9116" s="62" t="n">
        <v>64.28</v>
      </c>
      <c r="J9116" s="58" t="inlineStr">
        <is>
          <t>Store</t>
        </is>
      </c>
      <c r="K9116" s="62">
        <f>F9116*(G9116-H9116)</f>
        <v/>
      </c>
      <c r="L9116" s="62">
        <f>K9116-(F9116*I9116)</f>
        <v/>
      </c>
      <c r="M9116" s="64">
        <f>L9116/K9116</f>
        <v/>
      </c>
    </row>
    <row r="9117">
      <c r="A9117" s="58" t="inlineStr">
        <is>
          <t>RT20250816-09116</t>
        </is>
      </c>
      <c r="B9117" s="59" t="inlineStr">
        <is>
          <t>2025-08-16</t>
        </is>
      </c>
      <c r="C9117" s="60" t="inlineStr">
        <is>
          <t>Falcon Storage X-734</t>
        </is>
      </c>
      <c r="D9117" s="58" t="inlineStr">
        <is>
          <t>Office</t>
        </is>
      </c>
      <c r="E9117" s="58" t="inlineStr">
        <is>
          <t>East</t>
        </is>
      </c>
      <c r="F9117" s="61" t="n">
        <v>3</v>
      </c>
      <c r="G9117" s="62" t="n">
        <v>396.06</v>
      </c>
      <c r="H9117" s="63" t="n">
        <v>0.117</v>
      </c>
      <c r="I9117" s="62" t="n">
        <v>287.34</v>
      </c>
      <c r="J9117" s="58" t="inlineStr">
        <is>
          <t>Store</t>
        </is>
      </c>
      <c r="K9117" s="62">
        <f>F9117*(G9117-H9117)</f>
        <v/>
      </c>
      <c r="L9117" s="62">
        <f>K9117-(F9117*I9117)</f>
        <v/>
      </c>
      <c r="M9117" s="64">
        <f>L9117/K9117</f>
        <v/>
      </c>
    </row>
    <row r="9118">
      <c r="A9118" s="58" t="inlineStr">
        <is>
          <t>RT20250816-09117</t>
        </is>
      </c>
      <c r="B9118" s="59" t="inlineStr">
        <is>
          <t>2025-08-16</t>
        </is>
      </c>
      <c r="C9118" s="60" t="inlineStr">
        <is>
          <t>Metro Accessorie Lite-697</t>
        </is>
      </c>
      <c r="D9118" s="58" t="inlineStr">
        <is>
          <t>Apparel</t>
        </is>
      </c>
      <c r="E9118" s="58" t="inlineStr">
        <is>
          <t>South</t>
        </is>
      </c>
      <c r="F9118" s="61" t="n">
        <v>2</v>
      </c>
      <c r="G9118" s="62" t="n">
        <v>152.45</v>
      </c>
      <c r="H9118" s="63" t="n">
        <v>0.174</v>
      </c>
      <c r="I9118" s="62" t="n">
        <v>76.23999999999999</v>
      </c>
      <c r="J9118" s="58" t="inlineStr">
        <is>
          <t>Phone</t>
        </is>
      </c>
      <c r="K9118" s="62">
        <f>F9118*(G9118-H9118)</f>
        <v/>
      </c>
      <c r="L9118" s="62">
        <f>K9118-(F9118*I9118)</f>
        <v/>
      </c>
      <c r="M9118" s="64">
        <f>L9118/K9118</f>
        <v/>
      </c>
    </row>
    <row r="9119">
      <c r="A9119" s="58" t="inlineStr">
        <is>
          <t>RT20250816-09118</t>
        </is>
      </c>
      <c r="B9119" s="59" t="inlineStr">
        <is>
          <t>2025-08-16</t>
        </is>
      </c>
      <c r="C9119" s="60" t="inlineStr">
        <is>
          <t>Vertex Printer Max-692</t>
        </is>
      </c>
      <c r="D9119" s="58" t="inlineStr">
        <is>
          <t>Office</t>
        </is>
      </c>
      <c r="E9119" s="58" t="inlineStr">
        <is>
          <t>West</t>
        </is>
      </c>
      <c r="F9119" s="61" t="n">
        <v>2</v>
      </c>
      <c r="G9119" s="62" t="n">
        <v>152.81</v>
      </c>
      <c r="H9119" s="63" t="n">
        <v>0.188</v>
      </c>
      <c r="I9119" s="62" t="n">
        <v>120.47</v>
      </c>
      <c r="J9119" s="58" t="inlineStr">
        <is>
          <t>Online</t>
        </is>
      </c>
      <c r="K9119" s="62">
        <f>F9119*(G9119-H9119)</f>
        <v/>
      </c>
      <c r="L9119" s="62">
        <f>K9119-(F9119*I9119)</f>
        <v/>
      </c>
      <c r="M9119" s="64">
        <f>L9119/K9119</f>
        <v/>
      </c>
    </row>
    <row r="9120">
      <c r="A9120" s="58" t="inlineStr">
        <is>
          <t>RT20250816-09119</t>
        </is>
      </c>
      <c r="B9120" s="59" t="inlineStr">
        <is>
          <t>2025-08-16</t>
        </is>
      </c>
      <c r="C9120" s="60" t="inlineStr">
        <is>
          <t>Vertex Skincare Pro-891</t>
        </is>
      </c>
      <c r="D9120" s="58" t="inlineStr">
        <is>
          <t>Beauty</t>
        </is>
      </c>
      <c r="E9120" s="58" t="inlineStr">
        <is>
          <t>West</t>
        </is>
      </c>
      <c r="F9120" s="61" t="n">
        <v>2</v>
      </c>
      <c r="G9120" s="62" t="n">
        <v>143.99</v>
      </c>
      <c r="H9120" s="63" t="n">
        <v>0.145</v>
      </c>
      <c r="I9120" s="62" t="n">
        <v>85.73</v>
      </c>
      <c r="J9120" s="58" t="inlineStr">
        <is>
          <t>Online</t>
        </is>
      </c>
      <c r="K9120" s="62">
        <f>F9120*(G9120-H9120)</f>
        <v/>
      </c>
      <c r="L9120" s="62">
        <f>K9120-(F9120*I9120)</f>
        <v/>
      </c>
      <c r="M9120" s="64">
        <f>L9120/K9120</f>
        <v/>
      </c>
    </row>
    <row r="9121">
      <c r="A9121" s="58" t="inlineStr">
        <is>
          <t>RT20250816-09120</t>
        </is>
      </c>
      <c r="B9121" s="59" t="inlineStr">
        <is>
          <t>2025-08-16</t>
        </is>
      </c>
      <c r="C9121" s="60" t="inlineStr">
        <is>
          <t>Vertex Decor Pro-618</t>
        </is>
      </c>
      <c r="D9121" s="58" t="inlineStr">
        <is>
          <t>Home</t>
        </is>
      </c>
      <c r="E9121" s="58" t="inlineStr">
        <is>
          <t>East</t>
        </is>
      </c>
      <c r="F9121" s="61" t="n">
        <v>3</v>
      </c>
      <c r="G9121" s="62" t="n">
        <v>541.03</v>
      </c>
      <c r="H9121" s="63" t="n">
        <v>0.147</v>
      </c>
      <c r="I9121" s="62" t="n">
        <v>380.58</v>
      </c>
      <c r="J9121" s="58" t="inlineStr">
        <is>
          <t>Store</t>
        </is>
      </c>
      <c r="K9121" s="62">
        <f>F9121*(G9121-H9121)</f>
        <v/>
      </c>
      <c r="L9121" s="62">
        <f>K9121-(F9121*I9121)</f>
        <v/>
      </c>
      <c r="M9121" s="64">
        <f>L9121/K9121</f>
        <v/>
      </c>
    </row>
    <row r="9122">
      <c r="A9122" s="58" t="inlineStr">
        <is>
          <t>RT20250816-09121</t>
        </is>
      </c>
      <c r="B9122" s="59" t="inlineStr">
        <is>
          <t>2025-08-16</t>
        </is>
      </c>
      <c r="C9122" s="60" t="inlineStr">
        <is>
          <t>Aurora Skincare Max-798</t>
        </is>
      </c>
      <c r="D9122" s="58" t="inlineStr">
        <is>
          <t>Beauty</t>
        </is>
      </c>
      <c r="E9122" s="58" t="inlineStr">
        <is>
          <t>East</t>
        </is>
      </c>
      <c r="F9122" s="61" t="n">
        <v>3</v>
      </c>
      <c r="G9122" s="62" t="n">
        <v>114.78</v>
      </c>
      <c r="H9122" s="63" t="n">
        <v>0.123</v>
      </c>
      <c r="I9122" s="62" t="n">
        <v>67.67</v>
      </c>
      <c r="J9122" s="58" t="inlineStr">
        <is>
          <t>Store</t>
        </is>
      </c>
      <c r="K9122" s="62">
        <f>F9122*(G9122-H9122)</f>
        <v/>
      </c>
      <c r="L9122" s="62">
        <f>K9122-(F9122*I9122)</f>
        <v/>
      </c>
      <c r="M9122" s="64">
        <f>L9122/K9122</f>
        <v/>
      </c>
    </row>
    <row r="9123">
      <c r="A9123" s="58" t="inlineStr">
        <is>
          <t>RT20250816-09122</t>
        </is>
      </c>
      <c r="B9123" s="59" t="inlineStr">
        <is>
          <t>2025-08-16</t>
        </is>
      </c>
      <c r="C9123" s="60" t="inlineStr">
        <is>
          <t>Polar Decor X-935</t>
        </is>
      </c>
      <c r="D9123" s="58" t="inlineStr">
        <is>
          <t>Home</t>
        </is>
      </c>
      <c r="E9123" s="58" t="inlineStr">
        <is>
          <t>West</t>
        </is>
      </c>
      <c r="F9123" s="61" t="n">
        <v>2</v>
      </c>
      <c r="G9123" s="62" t="n">
        <v>274.04</v>
      </c>
      <c r="H9123" s="63" t="n">
        <v>0.181</v>
      </c>
      <c r="I9123" s="62" t="n">
        <v>200.95</v>
      </c>
      <c r="J9123" s="58" t="inlineStr">
        <is>
          <t>Online</t>
        </is>
      </c>
      <c r="K9123" s="62">
        <f>F9123*(G9123-H9123)</f>
        <v/>
      </c>
      <c r="L9123" s="62">
        <f>K9123-(F9123*I9123)</f>
        <v/>
      </c>
      <c r="M9123" s="64">
        <f>L9123/K9123</f>
        <v/>
      </c>
    </row>
    <row r="9124">
      <c r="A9124" s="58" t="inlineStr">
        <is>
          <t>RT20250816-09123</t>
        </is>
      </c>
      <c r="B9124" s="59" t="inlineStr">
        <is>
          <t>2025-08-16</t>
        </is>
      </c>
      <c r="C9124" s="60" t="inlineStr">
        <is>
          <t>Solace Kitchen Pro-999</t>
        </is>
      </c>
      <c r="D9124" s="58" t="inlineStr">
        <is>
          <t>Home</t>
        </is>
      </c>
      <c r="E9124" s="58" t="inlineStr">
        <is>
          <t>East</t>
        </is>
      </c>
      <c r="F9124" s="61" t="n">
        <v>1</v>
      </c>
      <c r="G9124" s="62" t="n">
        <v>383.49</v>
      </c>
      <c r="H9124" s="63" t="n">
        <v>0.116</v>
      </c>
      <c r="I9124" s="62" t="n">
        <v>266.11</v>
      </c>
      <c r="J9124" s="58" t="inlineStr">
        <is>
          <t>Store</t>
        </is>
      </c>
      <c r="K9124" s="62">
        <f>F9124*(G9124-H9124)</f>
        <v/>
      </c>
      <c r="L9124" s="62">
        <f>K9124-(F9124*I9124)</f>
        <v/>
      </c>
      <c r="M9124" s="64">
        <f>L9124/K9124</f>
        <v/>
      </c>
    </row>
    <row r="9125">
      <c r="A9125" s="58" t="inlineStr">
        <is>
          <t>RT20250816-09124</t>
        </is>
      </c>
      <c r="B9125" s="59" t="inlineStr">
        <is>
          <t>2025-08-16</t>
        </is>
      </c>
      <c r="C9125" s="60" t="inlineStr">
        <is>
          <t>Falcon Household Plus-796</t>
        </is>
      </c>
      <c r="D9125" s="58" t="inlineStr">
        <is>
          <t>Grocery</t>
        </is>
      </c>
      <c r="E9125" s="58" t="inlineStr">
        <is>
          <t>West</t>
        </is>
      </c>
      <c r="F9125" s="61" t="n">
        <v>3</v>
      </c>
      <c r="G9125" s="62" t="n">
        <v>21.05</v>
      </c>
      <c r="H9125" s="63" t="n">
        <v>0.161</v>
      </c>
      <c r="I9125" s="62" t="n">
        <v>17.03</v>
      </c>
      <c r="J9125" s="58" t="inlineStr">
        <is>
          <t>Online</t>
        </is>
      </c>
      <c r="K9125" s="62">
        <f>F9125*(G9125-H9125)</f>
        <v/>
      </c>
      <c r="L9125" s="62">
        <f>K9125-(F9125*I9125)</f>
        <v/>
      </c>
      <c r="M9125" s="64">
        <f>L9125/K9125</f>
        <v/>
      </c>
    </row>
    <row r="9126">
      <c r="A9126" s="58" t="inlineStr">
        <is>
          <t>RT20250816-09125</t>
        </is>
      </c>
      <c r="B9126" s="59" t="inlineStr">
        <is>
          <t>2025-08-16</t>
        </is>
      </c>
      <c r="C9126" s="60" t="inlineStr">
        <is>
          <t>Solace Laptop S-367</t>
        </is>
      </c>
      <c r="D9126" s="58" t="inlineStr">
        <is>
          <t>Electronics</t>
        </is>
      </c>
      <c r="E9126" s="58" t="inlineStr">
        <is>
          <t>East</t>
        </is>
      </c>
      <c r="F9126" s="61" t="n">
        <v>1</v>
      </c>
      <c r="G9126" s="62" t="n">
        <v>1661.37</v>
      </c>
      <c r="H9126" s="63" t="n">
        <v>0.206</v>
      </c>
      <c r="I9126" s="62" t="n">
        <v>1280.71</v>
      </c>
      <c r="J9126" s="58" t="inlineStr">
        <is>
          <t>Online</t>
        </is>
      </c>
      <c r="K9126" s="62">
        <f>F9126*(G9126-H9126)</f>
        <v/>
      </c>
      <c r="L9126" s="62">
        <f>K9126-(F9126*I9126)</f>
        <v/>
      </c>
      <c r="M9126" s="64">
        <f>L9126/K9126</f>
        <v/>
      </c>
    </row>
    <row r="9127">
      <c r="A9127" s="58" t="inlineStr">
        <is>
          <t>RT20250816-09126</t>
        </is>
      </c>
      <c r="B9127" s="59" t="inlineStr">
        <is>
          <t>2025-08-16</t>
        </is>
      </c>
      <c r="C9127" s="60" t="inlineStr">
        <is>
          <t>Metro Outdoor Plus-787</t>
        </is>
      </c>
      <c r="D9127" s="58" t="inlineStr">
        <is>
          <t>Sports</t>
        </is>
      </c>
      <c r="E9127" s="58" t="inlineStr">
        <is>
          <t>West</t>
        </is>
      </c>
      <c r="F9127" s="61" t="n">
        <v>3</v>
      </c>
      <c r="G9127" s="62" t="n">
        <v>470.95</v>
      </c>
      <c r="H9127" s="63" t="n">
        <v>0.13</v>
      </c>
      <c r="I9127" s="62" t="n">
        <v>341.06</v>
      </c>
      <c r="J9127" s="58" t="inlineStr">
        <is>
          <t>Online</t>
        </is>
      </c>
      <c r="K9127" s="62">
        <f>F9127*(G9127-H9127)</f>
        <v/>
      </c>
      <c r="L9127" s="62">
        <f>K9127-(F9127*I9127)</f>
        <v/>
      </c>
      <c r="M9127" s="64">
        <f>L9127/K9127</f>
        <v/>
      </c>
    </row>
    <row r="9128">
      <c r="A9128" s="58" t="inlineStr">
        <is>
          <t>RT20250816-09127</t>
        </is>
      </c>
      <c r="B9128" s="59" t="inlineStr">
        <is>
          <t>2025-08-16</t>
        </is>
      </c>
      <c r="C9128" s="60" t="inlineStr">
        <is>
          <t>Vertex Appliance Max-338</t>
        </is>
      </c>
      <c r="D9128" s="58" t="inlineStr">
        <is>
          <t>Home</t>
        </is>
      </c>
      <c r="E9128" s="58" t="inlineStr">
        <is>
          <t>West</t>
        </is>
      </c>
      <c r="F9128" s="61" t="n">
        <v>1</v>
      </c>
      <c r="G9128" s="62" t="n">
        <v>462.02</v>
      </c>
      <c r="H9128" s="63" t="n">
        <v>0.148</v>
      </c>
      <c r="I9128" s="62" t="n">
        <v>283.36</v>
      </c>
      <c r="J9128" s="58" t="inlineStr">
        <is>
          <t>Store</t>
        </is>
      </c>
      <c r="K9128" s="62">
        <f>F9128*(G9128-H9128)</f>
        <v/>
      </c>
      <c r="L9128" s="62">
        <f>K9128-(F9128*I9128)</f>
        <v/>
      </c>
      <c r="M9128" s="64">
        <f>L9128/K9128</f>
        <v/>
      </c>
    </row>
    <row r="9129">
      <c r="A9129" s="58" t="inlineStr">
        <is>
          <t>RT20250816-09128</t>
        </is>
      </c>
      <c r="B9129" s="59" t="inlineStr">
        <is>
          <t>2025-08-16</t>
        </is>
      </c>
      <c r="C9129" s="60" t="inlineStr">
        <is>
          <t>Metro Beverage Max-490</t>
        </is>
      </c>
      <c r="D9129" s="58" t="inlineStr">
        <is>
          <t>Grocery</t>
        </is>
      </c>
      <c r="E9129" s="58" t="inlineStr">
        <is>
          <t>South</t>
        </is>
      </c>
      <c r="F9129" s="61" t="n">
        <v>8</v>
      </c>
      <c r="G9129" s="62" t="n">
        <v>10.12</v>
      </c>
      <c r="H9129" s="63" t="n">
        <v>0.202</v>
      </c>
      <c r="I9129" s="62" t="n">
        <v>7.84</v>
      </c>
      <c r="J9129" s="58" t="inlineStr">
        <is>
          <t>Store</t>
        </is>
      </c>
      <c r="K9129" s="62">
        <f>F9129*(G9129-H9129)</f>
        <v/>
      </c>
      <c r="L9129" s="62">
        <f>K9129-(F9129*I9129)</f>
        <v/>
      </c>
      <c r="M9129" s="64">
        <f>L9129/K9129</f>
        <v/>
      </c>
    </row>
    <row r="9130">
      <c r="A9130" s="58" t="inlineStr">
        <is>
          <t>RT20250816-09129</t>
        </is>
      </c>
      <c r="B9130" s="59" t="inlineStr">
        <is>
          <t>2025-08-16</t>
        </is>
      </c>
      <c r="C9130" s="60" t="inlineStr">
        <is>
          <t>Orion Supplie S-612</t>
        </is>
      </c>
      <c r="D9130" s="58" t="inlineStr">
        <is>
          <t>Office</t>
        </is>
      </c>
      <c r="E9130" s="58" t="inlineStr">
        <is>
          <t>West</t>
        </is>
      </c>
      <c r="F9130" s="61" t="n">
        <v>1</v>
      </c>
      <c r="G9130" s="62" t="n">
        <v>508.4</v>
      </c>
      <c r="H9130" s="63" t="n">
        <v>0.075</v>
      </c>
      <c r="I9130" s="62" t="n">
        <v>331.51</v>
      </c>
      <c r="J9130" s="58" t="inlineStr">
        <is>
          <t>Store</t>
        </is>
      </c>
      <c r="K9130" s="62">
        <f>F9130*(G9130-H9130)</f>
        <v/>
      </c>
      <c r="L9130" s="62">
        <f>K9130-(F9130*I9130)</f>
        <v/>
      </c>
      <c r="M9130" s="64">
        <f>L9130/K9130</f>
        <v/>
      </c>
    </row>
    <row r="9131">
      <c r="A9131" s="58" t="inlineStr">
        <is>
          <t>RT20250816-09130</t>
        </is>
      </c>
      <c r="B9131" s="59" t="inlineStr">
        <is>
          <t>2025-08-16</t>
        </is>
      </c>
      <c r="C9131" s="60" t="inlineStr">
        <is>
          <t>Falcon Household Plus-796</t>
        </is>
      </c>
      <c r="D9131" s="58" t="inlineStr">
        <is>
          <t>Grocery</t>
        </is>
      </c>
      <c r="E9131" s="58" t="inlineStr">
        <is>
          <t>Central</t>
        </is>
      </c>
      <c r="F9131" s="61" t="n">
        <v>8</v>
      </c>
      <c r="G9131" s="62" t="n">
        <v>23.18</v>
      </c>
      <c r="H9131" s="63" t="n">
        <v>0.171</v>
      </c>
      <c r="I9131" s="62" t="n">
        <v>17.11</v>
      </c>
      <c r="J9131" s="58" t="inlineStr">
        <is>
          <t>Online</t>
        </is>
      </c>
      <c r="K9131" s="62">
        <f>F9131*(G9131-H9131)</f>
        <v/>
      </c>
      <c r="L9131" s="62">
        <f>K9131-(F9131*I9131)</f>
        <v/>
      </c>
      <c r="M9131" s="64">
        <f>L9131/K9131</f>
        <v/>
      </c>
    </row>
    <row r="9132">
      <c r="A9132" s="58" t="inlineStr">
        <is>
          <t>RT20250816-09131</t>
        </is>
      </c>
      <c r="B9132" s="59" t="inlineStr">
        <is>
          <t>2025-08-16</t>
        </is>
      </c>
      <c r="C9132" s="60" t="inlineStr">
        <is>
          <t>Aurora Makeup S-626</t>
        </is>
      </c>
      <c r="D9132" s="58" t="inlineStr">
        <is>
          <t>Beauty</t>
        </is>
      </c>
      <c r="E9132" s="58" t="inlineStr">
        <is>
          <t>Central</t>
        </is>
      </c>
      <c r="F9132" s="61" t="n">
        <v>2</v>
      </c>
      <c r="G9132" s="62" t="n">
        <v>105.52</v>
      </c>
      <c r="H9132" s="63" t="n">
        <v>0.195</v>
      </c>
      <c r="I9132" s="62" t="n">
        <v>63.93</v>
      </c>
      <c r="J9132" s="58" t="inlineStr">
        <is>
          <t>Online</t>
        </is>
      </c>
      <c r="K9132" s="62">
        <f>F9132*(G9132-H9132)</f>
        <v/>
      </c>
      <c r="L9132" s="62">
        <f>K9132-(F9132*I9132)</f>
        <v/>
      </c>
      <c r="M9132" s="64">
        <f>L9132/K9132</f>
        <v/>
      </c>
    </row>
    <row r="9133">
      <c r="A9133" s="58" t="inlineStr">
        <is>
          <t>RT20250816-09132</t>
        </is>
      </c>
      <c r="B9133" s="59" t="inlineStr">
        <is>
          <t>2025-08-16</t>
        </is>
      </c>
      <c r="C9133" s="60" t="inlineStr">
        <is>
          <t>Aurora Appliance Max-316</t>
        </is>
      </c>
      <c r="D9133" s="58" t="inlineStr">
        <is>
          <t>Home</t>
        </is>
      </c>
      <c r="E9133" s="58" t="inlineStr">
        <is>
          <t>West</t>
        </is>
      </c>
      <c r="F9133" s="61" t="n">
        <v>3</v>
      </c>
      <c r="G9133" s="62" t="n">
        <v>311</v>
      </c>
      <c r="H9133" s="63" t="n">
        <v>0.147</v>
      </c>
      <c r="I9133" s="62" t="n">
        <v>218.55</v>
      </c>
      <c r="J9133" s="58" t="inlineStr">
        <is>
          <t>Online</t>
        </is>
      </c>
      <c r="K9133" s="62">
        <f>F9133*(G9133-H9133)</f>
        <v/>
      </c>
      <c r="L9133" s="62">
        <f>K9133-(F9133*I9133)</f>
        <v/>
      </c>
      <c r="M9133" s="64">
        <f>L9133/K9133</f>
        <v/>
      </c>
    </row>
    <row r="9134">
      <c r="A9134" s="58" t="inlineStr">
        <is>
          <t>RT20250816-09133</t>
        </is>
      </c>
      <c r="B9134" s="59" t="inlineStr">
        <is>
          <t>2025-08-16</t>
        </is>
      </c>
      <c r="C9134" s="60" t="inlineStr">
        <is>
          <t>Falcon Household Plus-796</t>
        </is>
      </c>
      <c r="D9134" s="58" t="inlineStr">
        <is>
          <t>Grocery</t>
        </is>
      </c>
      <c r="E9134" s="58" t="inlineStr">
        <is>
          <t>West</t>
        </is>
      </c>
      <c r="F9134" s="61" t="n">
        <v>3</v>
      </c>
      <c r="G9134" s="62" t="n">
        <v>24.66</v>
      </c>
      <c r="H9134" s="63" t="n">
        <v>0.128</v>
      </c>
      <c r="I9134" s="62" t="n">
        <v>17.59</v>
      </c>
      <c r="J9134" s="58" t="inlineStr">
        <is>
          <t>Store</t>
        </is>
      </c>
      <c r="K9134" s="62">
        <f>F9134*(G9134-H9134)</f>
        <v/>
      </c>
      <c r="L9134" s="62">
        <f>K9134-(F9134*I9134)</f>
        <v/>
      </c>
      <c r="M9134" s="64">
        <f>L9134/K9134</f>
        <v/>
      </c>
    </row>
    <row r="9135">
      <c r="A9135" s="58" t="inlineStr">
        <is>
          <t>RT20250816-09134</t>
        </is>
      </c>
      <c r="B9135" s="59" t="inlineStr">
        <is>
          <t>2025-08-16</t>
        </is>
      </c>
      <c r="C9135" s="60" t="inlineStr">
        <is>
          <t>Metro Wearable Plus-234</t>
        </is>
      </c>
      <c r="D9135" s="58" t="inlineStr">
        <is>
          <t>Electronics</t>
        </is>
      </c>
      <c r="E9135" s="58" t="inlineStr">
        <is>
          <t>West</t>
        </is>
      </c>
      <c r="F9135" s="61" t="n">
        <v>1</v>
      </c>
      <c r="G9135" s="62" t="n">
        <v>1389.53</v>
      </c>
      <c r="H9135" s="63" t="n">
        <v>0.194</v>
      </c>
      <c r="I9135" s="62" t="n">
        <v>1087.34</v>
      </c>
      <c r="J9135" s="58" t="inlineStr">
        <is>
          <t>Store</t>
        </is>
      </c>
      <c r="K9135" s="62">
        <f>F9135*(G9135-H9135)</f>
        <v/>
      </c>
      <c r="L9135" s="62">
        <f>K9135-(F9135*I9135)</f>
        <v/>
      </c>
      <c r="M9135" s="64">
        <f>L9135/K9135</f>
        <v/>
      </c>
    </row>
    <row r="9136">
      <c r="A9136" s="58" t="inlineStr">
        <is>
          <t>RT20250816-09135</t>
        </is>
      </c>
      <c r="B9136" s="59" t="inlineStr">
        <is>
          <t>2025-08-16</t>
        </is>
      </c>
      <c r="C9136" s="60" t="inlineStr">
        <is>
          <t>Falcon Kitchen X-130</t>
        </is>
      </c>
      <c r="D9136" s="58" t="inlineStr">
        <is>
          <t>Home</t>
        </is>
      </c>
      <c r="E9136" s="58" t="inlineStr">
        <is>
          <t>West</t>
        </is>
      </c>
      <c r="F9136" s="61" t="n">
        <v>2</v>
      </c>
      <c r="G9136" s="62" t="n">
        <v>418.17</v>
      </c>
      <c r="H9136" s="63" t="n">
        <v>0.172</v>
      </c>
      <c r="I9136" s="62" t="n">
        <v>291.02</v>
      </c>
      <c r="J9136" s="58" t="inlineStr">
        <is>
          <t>Online</t>
        </is>
      </c>
      <c r="K9136" s="62">
        <f>F9136*(G9136-H9136)</f>
        <v/>
      </c>
      <c r="L9136" s="62">
        <f>K9136-(F9136*I9136)</f>
        <v/>
      </c>
      <c r="M9136" s="64">
        <f>L9136/K9136</f>
        <v/>
      </c>
    </row>
    <row r="9137">
      <c r="A9137" s="58" t="inlineStr">
        <is>
          <t>RT20250816-09136</t>
        </is>
      </c>
      <c r="B9137" s="59" t="inlineStr">
        <is>
          <t>2025-08-16</t>
        </is>
      </c>
      <c r="C9137" s="60" t="inlineStr">
        <is>
          <t>Nimbus Furniture Pro-479</t>
        </is>
      </c>
      <c r="D9137" s="58" t="inlineStr">
        <is>
          <t>Office</t>
        </is>
      </c>
      <c r="E9137" s="58" t="inlineStr">
        <is>
          <t>East</t>
        </is>
      </c>
      <c r="F9137" s="61" t="n">
        <v>2</v>
      </c>
      <c r="G9137" s="62" t="n">
        <v>328.4</v>
      </c>
      <c r="H9137" s="63" t="n">
        <v>0.093</v>
      </c>
      <c r="I9137" s="62" t="n">
        <v>245.95</v>
      </c>
      <c r="J9137" s="58" t="inlineStr">
        <is>
          <t>Store</t>
        </is>
      </c>
      <c r="K9137" s="62">
        <f>F9137*(G9137-H9137)</f>
        <v/>
      </c>
      <c r="L9137" s="62">
        <f>K9137-(F9137*I9137)</f>
        <v/>
      </c>
      <c r="M9137" s="64">
        <f>L9137/K9137</f>
        <v/>
      </c>
    </row>
    <row r="9138">
      <c r="A9138" s="58" t="inlineStr">
        <is>
          <t>RT20250816-09137</t>
        </is>
      </c>
      <c r="B9138" s="59" t="inlineStr">
        <is>
          <t>2025-08-16</t>
        </is>
      </c>
      <c r="C9138" s="60" t="inlineStr">
        <is>
          <t>Polar Wearable X-119</t>
        </is>
      </c>
      <c r="D9138" s="58" t="inlineStr">
        <is>
          <t>Electronics</t>
        </is>
      </c>
      <c r="E9138" s="58" t="inlineStr">
        <is>
          <t>Central</t>
        </is>
      </c>
      <c r="F9138" s="61" t="n">
        <v>1</v>
      </c>
      <c r="G9138" s="62" t="n">
        <v>1586.33</v>
      </c>
      <c r="H9138" s="63" t="n">
        <v>0.185</v>
      </c>
      <c r="I9138" s="62" t="n">
        <v>1255.2</v>
      </c>
      <c r="J9138" s="58" t="inlineStr">
        <is>
          <t>Online</t>
        </is>
      </c>
      <c r="K9138" s="62">
        <f>F9138*(G9138-H9138)</f>
        <v/>
      </c>
      <c r="L9138" s="62">
        <f>K9138-(F9138*I9138)</f>
        <v/>
      </c>
      <c r="M9138" s="64">
        <f>L9138/K9138</f>
        <v/>
      </c>
    </row>
    <row r="9139">
      <c r="A9139" s="58" t="inlineStr">
        <is>
          <t>RT20250816-09138</t>
        </is>
      </c>
      <c r="B9139" s="59" t="inlineStr">
        <is>
          <t>2025-08-16</t>
        </is>
      </c>
      <c r="C9139" s="60" t="inlineStr">
        <is>
          <t>Polar Pantry Lite-392</t>
        </is>
      </c>
      <c r="D9139" s="58" t="inlineStr">
        <is>
          <t>Grocery</t>
        </is>
      </c>
      <c r="E9139" s="58" t="inlineStr">
        <is>
          <t>West</t>
        </is>
      </c>
      <c r="F9139" s="61" t="n">
        <v>5</v>
      </c>
      <c r="G9139" s="62" t="n">
        <v>6.24</v>
      </c>
      <c r="H9139" s="63" t="n">
        <v>0.182</v>
      </c>
      <c r="I9139" s="62" t="n">
        <v>4.6</v>
      </c>
      <c r="J9139" s="58" t="inlineStr">
        <is>
          <t>Online</t>
        </is>
      </c>
      <c r="K9139" s="62">
        <f>F9139*(G9139-H9139)</f>
        <v/>
      </c>
      <c r="L9139" s="62">
        <f>K9139-(F9139*I9139)</f>
        <v/>
      </c>
      <c r="M9139" s="64">
        <f>L9139/K9139</f>
        <v/>
      </c>
    </row>
    <row r="9140">
      <c r="A9140" s="58" t="inlineStr">
        <is>
          <t>RT20250816-09139</t>
        </is>
      </c>
      <c r="B9140" s="59" t="inlineStr">
        <is>
          <t>2025-08-16</t>
        </is>
      </c>
      <c r="C9140" s="60" t="inlineStr">
        <is>
          <t>Nimbus Makeup Max-158</t>
        </is>
      </c>
      <c r="D9140" s="58" t="inlineStr">
        <is>
          <t>Beauty</t>
        </is>
      </c>
      <c r="E9140" s="58" t="inlineStr">
        <is>
          <t>West</t>
        </is>
      </c>
      <c r="F9140" s="61" t="n">
        <v>4</v>
      </c>
      <c r="G9140" s="62" t="n">
        <v>151.7</v>
      </c>
      <c r="H9140" s="63" t="n">
        <v>0.182</v>
      </c>
      <c r="I9140" s="62" t="n">
        <v>94.26000000000001</v>
      </c>
      <c r="J9140" s="58" t="inlineStr">
        <is>
          <t>Store</t>
        </is>
      </c>
      <c r="K9140" s="62">
        <f>F9140*(G9140-H9140)</f>
        <v/>
      </c>
      <c r="L9140" s="62">
        <f>K9140-(F9140*I9140)</f>
        <v/>
      </c>
      <c r="M9140" s="64">
        <f>L9140/K9140</f>
        <v/>
      </c>
    </row>
    <row r="9141">
      <c r="A9141" s="58" t="inlineStr">
        <is>
          <t>RT20250816-09140</t>
        </is>
      </c>
      <c r="B9141" s="59" t="inlineStr">
        <is>
          <t>2025-08-16</t>
        </is>
      </c>
      <c r="C9141" s="60" t="inlineStr">
        <is>
          <t>Polar Cycling X-649</t>
        </is>
      </c>
      <c r="D9141" s="58" t="inlineStr">
        <is>
          <t>Sports</t>
        </is>
      </c>
      <c r="E9141" s="58" t="inlineStr">
        <is>
          <t>Central</t>
        </is>
      </c>
      <c r="F9141" s="61" t="n">
        <v>1</v>
      </c>
      <c r="G9141" s="62" t="n">
        <v>533.61</v>
      </c>
      <c r="H9141" s="63" t="n">
        <v>0.148</v>
      </c>
      <c r="I9141" s="62" t="n">
        <v>351.93</v>
      </c>
      <c r="J9141" s="58" t="inlineStr">
        <is>
          <t>Store</t>
        </is>
      </c>
      <c r="K9141" s="62">
        <f>F9141*(G9141-H9141)</f>
        <v/>
      </c>
      <c r="L9141" s="62">
        <f>K9141-(F9141*I9141)</f>
        <v/>
      </c>
      <c r="M9141" s="64">
        <f>L9141/K9141</f>
        <v/>
      </c>
    </row>
    <row r="9142">
      <c r="A9142" s="58" t="inlineStr">
        <is>
          <t>RT20250816-09141</t>
        </is>
      </c>
      <c r="B9142" s="59" t="inlineStr">
        <is>
          <t>2025-08-16</t>
        </is>
      </c>
      <c r="C9142" s="60" t="inlineStr">
        <is>
          <t>Nimbus Cycling Plus-911</t>
        </is>
      </c>
      <c r="D9142" s="58" t="inlineStr">
        <is>
          <t>Sports</t>
        </is>
      </c>
      <c r="E9142" s="58" t="inlineStr">
        <is>
          <t>Central</t>
        </is>
      </c>
      <c r="F9142" s="61" t="n">
        <v>3</v>
      </c>
      <c r="G9142" s="62" t="n">
        <v>559.5599999999999</v>
      </c>
      <c r="H9142" s="63" t="n">
        <v>0.18</v>
      </c>
      <c r="I9142" s="62" t="n">
        <v>400.39</v>
      </c>
      <c r="J9142" s="58" t="inlineStr">
        <is>
          <t>Online</t>
        </is>
      </c>
      <c r="K9142" s="62">
        <f>F9142*(G9142-H9142)</f>
        <v/>
      </c>
      <c r="L9142" s="62">
        <f>K9142-(F9142*I9142)</f>
        <v/>
      </c>
      <c r="M9142" s="64">
        <f>L9142/K9142</f>
        <v/>
      </c>
    </row>
    <row r="9143">
      <c r="A9143" s="58" t="inlineStr">
        <is>
          <t>RT20250816-09142</t>
        </is>
      </c>
      <c r="B9143" s="59" t="inlineStr">
        <is>
          <t>2025-08-16</t>
        </is>
      </c>
      <c r="C9143" s="60" t="inlineStr">
        <is>
          <t>Aurora Furniture X-709</t>
        </is>
      </c>
      <c r="D9143" s="58" t="inlineStr">
        <is>
          <t>Office</t>
        </is>
      </c>
      <c r="E9143" s="58" t="inlineStr">
        <is>
          <t>South</t>
        </is>
      </c>
      <c r="F9143" s="61" t="n">
        <v>2</v>
      </c>
      <c r="G9143" s="62" t="n">
        <v>444.98</v>
      </c>
      <c r="H9143" s="63" t="n">
        <v>0.105</v>
      </c>
      <c r="I9143" s="62" t="n">
        <v>303.32</v>
      </c>
      <c r="J9143" s="58" t="inlineStr">
        <is>
          <t>Online</t>
        </is>
      </c>
      <c r="K9143" s="62">
        <f>F9143*(G9143-H9143)</f>
        <v/>
      </c>
      <c r="L9143" s="62">
        <f>K9143-(F9143*I9143)</f>
        <v/>
      </c>
      <c r="M9143" s="64">
        <f>L9143/K9143</f>
        <v/>
      </c>
    </row>
    <row r="9144">
      <c r="A9144" s="58" t="inlineStr">
        <is>
          <t>RT20250816-09143</t>
        </is>
      </c>
      <c r="B9144" s="59" t="inlineStr">
        <is>
          <t>2025-08-16</t>
        </is>
      </c>
      <c r="C9144" s="60" t="inlineStr">
        <is>
          <t>Nimbus Fitnes Lite-516</t>
        </is>
      </c>
      <c r="D9144" s="58" t="inlineStr">
        <is>
          <t>Sports</t>
        </is>
      </c>
      <c r="E9144" s="58" t="inlineStr">
        <is>
          <t>Central</t>
        </is>
      </c>
      <c r="F9144" s="61" t="n">
        <v>1</v>
      </c>
      <c r="G9144" s="62" t="n">
        <v>735.08</v>
      </c>
      <c r="H9144" s="63" t="n">
        <v>0.22</v>
      </c>
      <c r="I9144" s="62" t="n">
        <v>476.69</v>
      </c>
      <c r="J9144" s="58" t="inlineStr">
        <is>
          <t>Store</t>
        </is>
      </c>
      <c r="K9144" s="62">
        <f>F9144*(G9144-H9144)</f>
        <v/>
      </c>
      <c r="L9144" s="62">
        <f>K9144-(F9144*I9144)</f>
        <v/>
      </c>
      <c r="M9144" s="64">
        <f>L9144/K9144</f>
        <v/>
      </c>
    </row>
    <row r="9145">
      <c r="A9145" s="58" t="inlineStr">
        <is>
          <t>RT20250816-09144</t>
        </is>
      </c>
      <c r="B9145" s="59" t="inlineStr">
        <is>
          <t>2025-08-16</t>
        </is>
      </c>
      <c r="C9145" s="60" t="inlineStr">
        <is>
          <t>Nimbus Furniture Pro-479</t>
        </is>
      </c>
      <c r="D9145" s="58" t="inlineStr">
        <is>
          <t>Office</t>
        </is>
      </c>
      <c r="E9145" s="58" t="inlineStr">
        <is>
          <t>North</t>
        </is>
      </c>
      <c r="F9145" s="61" t="n">
        <v>1</v>
      </c>
      <c r="G9145" s="62" t="n">
        <v>343.82</v>
      </c>
      <c r="H9145" s="63" t="n">
        <v>0.13</v>
      </c>
      <c r="I9145" s="62" t="n">
        <v>239.29</v>
      </c>
      <c r="J9145" s="58" t="inlineStr">
        <is>
          <t>Store</t>
        </is>
      </c>
      <c r="K9145" s="62">
        <f>F9145*(G9145-H9145)</f>
        <v/>
      </c>
      <c r="L9145" s="62">
        <f>K9145-(F9145*I9145)</f>
        <v/>
      </c>
      <c r="M9145" s="64">
        <f>L9145/K9145</f>
        <v/>
      </c>
    </row>
    <row r="9146">
      <c r="A9146" s="58" t="inlineStr">
        <is>
          <t>RT20250816-09145</t>
        </is>
      </c>
      <c r="B9146" s="59" t="inlineStr">
        <is>
          <t>2025-08-16</t>
        </is>
      </c>
      <c r="C9146" s="60" t="inlineStr">
        <is>
          <t>Orion Fragrance Lite-785</t>
        </is>
      </c>
      <c r="D9146" s="58" t="inlineStr">
        <is>
          <t>Beauty</t>
        </is>
      </c>
      <c r="E9146" s="58" t="inlineStr">
        <is>
          <t>East</t>
        </is>
      </c>
      <c r="F9146" s="61" t="n">
        <v>3</v>
      </c>
      <c r="G9146" s="62" t="n">
        <v>42.48</v>
      </c>
      <c r="H9146" s="63" t="n">
        <v>0.119</v>
      </c>
      <c r="I9146" s="62" t="n">
        <v>26.87</v>
      </c>
      <c r="J9146" s="58" t="inlineStr">
        <is>
          <t>Online</t>
        </is>
      </c>
      <c r="K9146" s="62">
        <f>F9146*(G9146-H9146)</f>
        <v/>
      </c>
      <c r="L9146" s="62">
        <f>K9146-(F9146*I9146)</f>
        <v/>
      </c>
      <c r="M9146" s="64">
        <f>L9146/K9146</f>
        <v/>
      </c>
    </row>
    <row r="9147">
      <c r="A9147" s="58" t="inlineStr">
        <is>
          <t>RT20250816-09146</t>
        </is>
      </c>
      <c r="B9147" s="59" t="inlineStr">
        <is>
          <t>2025-08-16</t>
        </is>
      </c>
      <c r="C9147" s="60" t="inlineStr">
        <is>
          <t>Nimbus Women Plus-352</t>
        </is>
      </c>
      <c r="D9147" s="58" t="inlineStr">
        <is>
          <t>Apparel</t>
        </is>
      </c>
      <c r="E9147" s="58" t="inlineStr">
        <is>
          <t>Central</t>
        </is>
      </c>
      <c r="F9147" s="61" t="n">
        <v>4</v>
      </c>
      <c r="G9147" s="62" t="n">
        <v>61.49</v>
      </c>
      <c r="H9147" s="63" t="n">
        <v>0.141</v>
      </c>
      <c r="I9147" s="62" t="n">
        <v>32.57</v>
      </c>
      <c r="J9147" s="58" t="inlineStr">
        <is>
          <t>Online</t>
        </is>
      </c>
      <c r="K9147" s="62">
        <f>F9147*(G9147-H9147)</f>
        <v/>
      </c>
      <c r="L9147" s="62">
        <f>K9147-(F9147*I9147)</f>
        <v/>
      </c>
      <c r="M9147" s="64">
        <f>L9147/K9147</f>
        <v/>
      </c>
    </row>
    <row r="9148">
      <c r="A9148" s="58" t="inlineStr">
        <is>
          <t>RT20250816-09147</t>
        </is>
      </c>
      <c r="B9148" s="59" t="inlineStr">
        <is>
          <t>2025-08-16</t>
        </is>
      </c>
      <c r="C9148" s="60" t="inlineStr">
        <is>
          <t>Vertex Appliance S-296</t>
        </is>
      </c>
      <c r="D9148" s="58" t="inlineStr">
        <is>
          <t>Home</t>
        </is>
      </c>
      <c r="E9148" s="58" t="inlineStr">
        <is>
          <t>Central</t>
        </is>
      </c>
      <c r="F9148" s="61" t="n">
        <v>1</v>
      </c>
      <c r="G9148" s="62" t="n">
        <v>495.77</v>
      </c>
      <c r="H9148" s="63" t="n">
        <v>0.216</v>
      </c>
      <c r="I9148" s="62" t="n">
        <v>360.89</v>
      </c>
      <c r="J9148" s="58" t="inlineStr">
        <is>
          <t>Online</t>
        </is>
      </c>
      <c r="K9148" s="62">
        <f>F9148*(G9148-H9148)</f>
        <v/>
      </c>
      <c r="L9148" s="62">
        <f>K9148-(F9148*I9148)</f>
        <v/>
      </c>
      <c r="M9148" s="64">
        <f>L9148/K9148</f>
        <v/>
      </c>
    </row>
    <row r="9149">
      <c r="A9149" s="58" t="inlineStr">
        <is>
          <t>RT20250816-09148</t>
        </is>
      </c>
      <c r="B9149" s="59" t="inlineStr">
        <is>
          <t>2025-08-16</t>
        </is>
      </c>
      <c r="C9149" s="60" t="inlineStr">
        <is>
          <t>Aurora Printer Plus-723</t>
        </is>
      </c>
      <c r="D9149" s="58" t="inlineStr">
        <is>
          <t>Office</t>
        </is>
      </c>
      <c r="E9149" s="58" t="inlineStr">
        <is>
          <t>East</t>
        </is>
      </c>
      <c r="F9149" s="61" t="n">
        <v>1</v>
      </c>
      <c r="G9149" s="62" t="n">
        <v>263.07</v>
      </c>
      <c r="H9149" s="63" t="n">
        <v>0.118</v>
      </c>
      <c r="I9149" s="62" t="n">
        <v>188.97</v>
      </c>
      <c r="J9149" s="58" t="inlineStr">
        <is>
          <t>Store</t>
        </is>
      </c>
      <c r="K9149" s="62">
        <f>F9149*(G9149-H9149)</f>
        <v/>
      </c>
      <c r="L9149" s="62">
        <f>K9149-(F9149*I9149)</f>
        <v/>
      </c>
      <c r="M9149" s="64">
        <f>L9149/K9149</f>
        <v/>
      </c>
    </row>
    <row r="9150">
      <c r="A9150" s="58" t="inlineStr">
        <is>
          <t>RT20250816-09149</t>
        </is>
      </c>
      <c r="B9150" s="59" t="inlineStr">
        <is>
          <t>2025-08-16</t>
        </is>
      </c>
      <c r="C9150" s="60" t="inlineStr">
        <is>
          <t>Nimbus Cycling Plus-911</t>
        </is>
      </c>
      <c r="D9150" s="58" t="inlineStr">
        <is>
          <t>Sports</t>
        </is>
      </c>
      <c r="E9150" s="58" t="inlineStr">
        <is>
          <t>North</t>
        </is>
      </c>
      <c r="F9150" s="61" t="n">
        <v>2</v>
      </c>
      <c r="G9150" s="62" t="n">
        <v>572.6799999999999</v>
      </c>
      <c r="H9150" s="63" t="n">
        <v>0.125</v>
      </c>
      <c r="I9150" s="62" t="n">
        <v>405.71</v>
      </c>
      <c r="J9150" s="58" t="inlineStr">
        <is>
          <t>Online</t>
        </is>
      </c>
      <c r="K9150" s="62">
        <f>F9150*(G9150-H9150)</f>
        <v/>
      </c>
      <c r="L9150" s="62">
        <f>K9150-(F9150*I9150)</f>
        <v/>
      </c>
      <c r="M9150" s="64">
        <f>L9150/K9150</f>
        <v/>
      </c>
    </row>
    <row r="9151">
      <c r="A9151" s="58" t="inlineStr">
        <is>
          <t>RT20250816-09150</t>
        </is>
      </c>
      <c r="B9151" s="59" t="inlineStr">
        <is>
          <t>2025-08-16</t>
        </is>
      </c>
      <c r="C9151" s="60" t="inlineStr">
        <is>
          <t>Aurora Team Sport Plus-256</t>
        </is>
      </c>
      <c r="D9151" s="58" t="inlineStr">
        <is>
          <t>Sports</t>
        </is>
      </c>
      <c r="E9151" s="58" t="inlineStr">
        <is>
          <t>North</t>
        </is>
      </c>
      <c r="F9151" s="61" t="n">
        <v>2</v>
      </c>
      <c r="G9151" s="62" t="n">
        <v>658.71</v>
      </c>
      <c r="H9151" s="63" t="n">
        <v>0.221</v>
      </c>
      <c r="I9151" s="62" t="n">
        <v>409.89</v>
      </c>
      <c r="J9151" s="58" t="inlineStr">
        <is>
          <t>Online</t>
        </is>
      </c>
      <c r="K9151" s="62">
        <f>F9151*(G9151-H9151)</f>
        <v/>
      </c>
      <c r="L9151" s="62">
        <f>K9151-(F9151*I9151)</f>
        <v/>
      </c>
      <c r="M9151" s="64">
        <f>L9151/K9151</f>
        <v/>
      </c>
    </row>
    <row r="9152">
      <c r="A9152" s="58" t="inlineStr">
        <is>
          <t>RT20250816-09151</t>
        </is>
      </c>
      <c r="B9152" s="59" t="inlineStr">
        <is>
          <t>2025-08-16</t>
        </is>
      </c>
      <c r="C9152" s="60" t="inlineStr">
        <is>
          <t>Polar Bedding Lite-243</t>
        </is>
      </c>
      <c r="D9152" s="58" t="inlineStr">
        <is>
          <t>Home</t>
        </is>
      </c>
      <c r="E9152" s="58" t="inlineStr">
        <is>
          <t>West</t>
        </is>
      </c>
      <c r="F9152" s="61" t="n">
        <v>1</v>
      </c>
      <c r="G9152" s="62" t="n">
        <v>463.16</v>
      </c>
      <c r="H9152" s="63" t="n">
        <v>0.164</v>
      </c>
      <c r="I9152" s="62" t="n">
        <v>321.25</v>
      </c>
      <c r="J9152" s="58" t="inlineStr">
        <is>
          <t>Online</t>
        </is>
      </c>
      <c r="K9152" s="62">
        <f>F9152*(G9152-H9152)</f>
        <v/>
      </c>
      <c r="L9152" s="62">
        <f>K9152-(F9152*I9152)</f>
        <v/>
      </c>
      <c r="M9152" s="64">
        <f>L9152/K9152</f>
        <v/>
      </c>
    </row>
    <row r="9153">
      <c r="A9153" s="58" t="inlineStr">
        <is>
          <t>RT20250816-09152</t>
        </is>
      </c>
      <c r="B9153" s="59" t="inlineStr">
        <is>
          <t>2025-08-16</t>
        </is>
      </c>
      <c r="C9153" s="60" t="inlineStr">
        <is>
          <t>Falcon Skincare X-334</t>
        </is>
      </c>
      <c r="D9153" s="58" t="inlineStr">
        <is>
          <t>Beauty</t>
        </is>
      </c>
      <c r="E9153" s="58" t="inlineStr">
        <is>
          <t>South</t>
        </is>
      </c>
      <c r="F9153" s="61" t="n">
        <v>4</v>
      </c>
      <c r="G9153" s="62" t="n">
        <v>96.62</v>
      </c>
      <c r="H9153" s="63" t="n">
        <v>0.193</v>
      </c>
      <c r="I9153" s="62" t="n">
        <v>63.35</v>
      </c>
      <c r="J9153" s="58" t="inlineStr">
        <is>
          <t>Online</t>
        </is>
      </c>
      <c r="K9153" s="62">
        <f>F9153*(G9153-H9153)</f>
        <v/>
      </c>
      <c r="L9153" s="62">
        <f>K9153-(F9153*I9153)</f>
        <v/>
      </c>
      <c r="M9153" s="64">
        <f>L9153/K9153</f>
        <v/>
      </c>
    </row>
    <row r="9154">
      <c r="A9154" s="58" t="inlineStr">
        <is>
          <t>RT20250816-09153</t>
        </is>
      </c>
      <c r="B9154" s="59" t="inlineStr">
        <is>
          <t>2025-08-16</t>
        </is>
      </c>
      <c r="C9154" s="60" t="inlineStr">
        <is>
          <t>Orion Kid Max-640</t>
        </is>
      </c>
      <c r="D9154" s="58" t="inlineStr">
        <is>
          <t>Apparel</t>
        </is>
      </c>
      <c r="E9154" s="58" t="inlineStr">
        <is>
          <t>West</t>
        </is>
      </c>
      <c r="F9154" s="61" t="n">
        <v>4</v>
      </c>
      <c r="G9154" s="62" t="n">
        <v>114.81</v>
      </c>
      <c r="H9154" s="63" t="n">
        <v>0.145</v>
      </c>
      <c r="I9154" s="62" t="n">
        <v>70.37</v>
      </c>
      <c r="J9154" s="58" t="inlineStr">
        <is>
          <t>Online</t>
        </is>
      </c>
      <c r="K9154" s="62">
        <f>F9154*(G9154-H9154)</f>
        <v/>
      </c>
      <c r="L9154" s="62">
        <f>K9154-(F9154*I9154)</f>
        <v/>
      </c>
      <c r="M9154" s="64">
        <f>L9154/K9154</f>
        <v/>
      </c>
    </row>
    <row r="9155">
      <c r="A9155" s="58" t="inlineStr">
        <is>
          <t>RT20250816-09154</t>
        </is>
      </c>
      <c r="B9155" s="59" t="inlineStr">
        <is>
          <t>2025-08-16</t>
        </is>
      </c>
      <c r="C9155" s="60" t="inlineStr">
        <is>
          <t>Orion Team Sport X-926</t>
        </is>
      </c>
      <c r="D9155" s="58" t="inlineStr">
        <is>
          <t>Sports</t>
        </is>
      </c>
      <c r="E9155" s="58" t="inlineStr">
        <is>
          <t>South</t>
        </is>
      </c>
      <c r="F9155" s="61" t="n">
        <v>2</v>
      </c>
      <c r="G9155" s="62" t="n">
        <v>335.22</v>
      </c>
      <c r="H9155" s="63" t="n">
        <v>0.188</v>
      </c>
      <c r="I9155" s="62" t="n">
        <v>215.04</v>
      </c>
      <c r="J9155" s="58" t="inlineStr">
        <is>
          <t>Store</t>
        </is>
      </c>
      <c r="K9155" s="62">
        <f>F9155*(G9155-H9155)</f>
        <v/>
      </c>
      <c r="L9155" s="62">
        <f>K9155-(F9155*I9155)</f>
        <v/>
      </c>
      <c r="M9155" s="64">
        <f>L9155/K9155</f>
        <v/>
      </c>
    </row>
    <row r="9156">
      <c r="A9156" s="58" t="inlineStr">
        <is>
          <t>RT20250816-09155</t>
        </is>
      </c>
      <c r="B9156" s="59" t="inlineStr">
        <is>
          <t>2025-08-16</t>
        </is>
      </c>
      <c r="C9156" s="60" t="inlineStr">
        <is>
          <t>Orion Kitchen Pro-568</t>
        </is>
      </c>
      <c r="D9156" s="58" t="inlineStr">
        <is>
          <t>Home</t>
        </is>
      </c>
      <c r="E9156" s="58" t="inlineStr">
        <is>
          <t>West</t>
        </is>
      </c>
      <c r="F9156" s="61" t="n">
        <v>2</v>
      </c>
      <c r="G9156" s="62" t="n">
        <v>469.79</v>
      </c>
      <c r="H9156" s="63" t="n">
        <v>0.113</v>
      </c>
      <c r="I9156" s="62" t="n">
        <v>305.8</v>
      </c>
      <c r="J9156" s="58" t="inlineStr">
        <is>
          <t>Store</t>
        </is>
      </c>
      <c r="K9156" s="62">
        <f>F9156*(G9156-H9156)</f>
        <v/>
      </c>
      <c r="L9156" s="62">
        <f>K9156-(F9156*I9156)</f>
        <v/>
      </c>
      <c r="M9156" s="64">
        <f>L9156/K9156</f>
        <v/>
      </c>
    </row>
    <row r="9157">
      <c r="A9157" s="58" t="inlineStr">
        <is>
          <t>RT20250816-09156</t>
        </is>
      </c>
      <c r="B9157" s="59" t="inlineStr">
        <is>
          <t>2025-08-16</t>
        </is>
      </c>
      <c r="C9157" s="60" t="inlineStr">
        <is>
          <t>Aurora Appliance Lite-109</t>
        </is>
      </c>
      <c r="D9157" s="58" t="inlineStr">
        <is>
          <t>Home</t>
        </is>
      </c>
      <c r="E9157" s="58" t="inlineStr">
        <is>
          <t>South</t>
        </is>
      </c>
      <c r="F9157" s="61" t="n">
        <v>3</v>
      </c>
      <c r="G9157" s="62" t="n">
        <v>281.11</v>
      </c>
      <c r="H9157" s="63" t="n">
        <v>0.142</v>
      </c>
      <c r="I9157" s="62" t="n">
        <v>202.84</v>
      </c>
      <c r="J9157" s="58" t="inlineStr">
        <is>
          <t>Store</t>
        </is>
      </c>
      <c r="K9157" s="62">
        <f>F9157*(G9157-H9157)</f>
        <v/>
      </c>
      <c r="L9157" s="62">
        <f>K9157-(F9157*I9157)</f>
        <v/>
      </c>
      <c r="M9157" s="64">
        <f>L9157/K9157</f>
        <v/>
      </c>
    </row>
    <row r="9158">
      <c r="A9158" s="58" t="inlineStr">
        <is>
          <t>RT20250816-09157</t>
        </is>
      </c>
      <c r="B9158" s="59" t="inlineStr">
        <is>
          <t>2025-08-16</t>
        </is>
      </c>
      <c r="C9158" s="60" t="inlineStr">
        <is>
          <t>Falcon Household Plus-796</t>
        </is>
      </c>
      <c r="D9158" s="58" t="inlineStr">
        <is>
          <t>Grocery</t>
        </is>
      </c>
      <c r="E9158" s="58" t="inlineStr">
        <is>
          <t>North</t>
        </is>
      </c>
      <c r="F9158" s="61" t="n">
        <v>5</v>
      </c>
      <c r="G9158" s="62" t="n">
        <v>26.88</v>
      </c>
      <c r="H9158" s="63" t="n">
        <v>0.108</v>
      </c>
      <c r="I9158" s="62" t="n">
        <v>17.53</v>
      </c>
      <c r="J9158" s="58" t="inlineStr">
        <is>
          <t>Store</t>
        </is>
      </c>
      <c r="K9158" s="62">
        <f>F9158*(G9158-H9158)</f>
        <v/>
      </c>
      <c r="L9158" s="62">
        <f>K9158-(F9158*I9158)</f>
        <v/>
      </c>
      <c r="M9158" s="64">
        <f>L9158/K9158</f>
        <v/>
      </c>
    </row>
    <row r="9159">
      <c r="A9159" s="58" t="inlineStr">
        <is>
          <t>RT20250816-09158</t>
        </is>
      </c>
      <c r="B9159" s="59" t="inlineStr">
        <is>
          <t>2025-08-16</t>
        </is>
      </c>
      <c r="C9159" s="60" t="inlineStr">
        <is>
          <t>Vertex Appliance Max-338</t>
        </is>
      </c>
      <c r="D9159" s="58" t="inlineStr">
        <is>
          <t>Home</t>
        </is>
      </c>
      <c r="E9159" s="58" t="inlineStr">
        <is>
          <t>West</t>
        </is>
      </c>
      <c r="F9159" s="61" t="n">
        <v>3</v>
      </c>
      <c r="G9159" s="62" t="n">
        <v>413.93</v>
      </c>
      <c r="H9159" s="63" t="n">
        <v>0.179</v>
      </c>
      <c r="I9159" s="62" t="n">
        <v>293.99</v>
      </c>
      <c r="J9159" s="58" t="inlineStr">
        <is>
          <t>Store</t>
        </is>
      </c>
      <c r="K9159" s="62">
        <f>F9159*(G9159-H9159)</f>
        <v/>
      </c>
      <c r="L9159" s="62">
        <f>K9159-(F9159*I9159)</f>
        <v/>
      </c>
      <c r="M9159" s="64">
        <f>L9159/K9159</f>
        <v/>
      </c>
    </row>
    <row r="9160">
      <c r="A9160" s="58" t="inlineStr">
        <is>
          <t>RT20250817-09159</t>
        </is>
      </c>
      <c r="B9160" s="59" t="inlineStr">
        <is>
          <t>2025-08-17</t>
        </is>
      </c>
      <c r="C9160" s="60" t="inlineStr">
        <is>
          <t>Polar Snack Pro-641</t>
        </is>
      </c>
      <c r="D9160" s="58" t="inlineStr">
        <is>
          <t>Grocery</t>
        </is>
      </c>
      <c r="E9160" s="58" t="inlineStr">
        <is>
          <t>South</t>
        </is>
      </c>
      <c r="F9160" s="61" t="n">
        <v>2</v>
      </c>
      <c r="G9160" s="62" t="n">
        <v>12.84</v>
      </c>
      <c r="H9160" s="63" t="n">
        <v>0.117</v>
      </c>
      <c r="I9160" s="62" t="n">
        <v>9.43</v>
      </c>
      <c r="J9160" s="58" t="inlineStr">
        <is>
          <t>Store</t>
        </is>
      </c>
      <c r="K9160" s="62">
        <f>F9160*(G9160-H9160)</f>
        <v/>
      </c>
      <c r="L9160" s="62">
        <f>K9160-(F9160*I9160)</f>
        <v/>
      </c>
      <c r="M9160" s="64">
        <f>L9160/K9160</f>
        <v/>
      </c>
    </row>
    <row r="9161">
      <c r="A9161" s="58" t="inlineStr">
        <is>
          <t>RT20250817-09160</t>
        </is>
      </c>
      <c r="B9161" s="59" t="inlineStr">
        <is>
          <t>2025-08-17</t>
        </is>
      </c>
      <c r="C9161" s="60" t="inlineStr">
        <is>
          <t>Polar Cycling S-223</t>
        </is>
      </c>
      <c r="D9161" s="58" t="inlineStr">
        <is>
          <t>Sports</t>
        </is>
      </c>
      <c r="E9161" s="58" t="inlineStr">
        <is>
          <t>West</t>
        </is>
      </c>
      <c r="F9161" s="61" t="n">
        <v>1</v>
      </c>
      <c r="G9161" s="62" t="n">
        <v>1043.03</v>
      </c>
      <c r="H9161" s="63" t="n">
        <v>0.125</v>
      </c>
      <c r="I9161" s="62" t="n">
        <v>616.6900000000001</v>
      </c>
      <c r="J9161" s="58" t="inlineStr">
        <is>
          <t>Store</t>
        </is>
      </c>
      <c r="K9161" s="62">
        <f>F9161*(G9161-H9161)</f>
        <v/>
      </c>
      <c r="L9161" s="62">
        <f>K9161-(F9161*I9161)</f>
        <v/>
      </c>
      <c r="M9161" s="64">
        <f>L9161/K9161</f>
        <v/>
      </c>
    </row>
    <row r="9162">
      <c r="A9162" s="58" t="inlineStr">
        <is>
          <t>RT20250817-09161</t>
        </is>
      </c>
      <c r="B9162" s="59" t="inlineStr">
        <is>
          <t>2025-08-17</t>
        </is>
      </c>
      <c r="C9162" s="60" t="inlineStr">
        <is>
          <t>Metro Printer X-294</t>
        </is>
      </c>
      <c r="D9162" s="58" t="inlineStr">
        <is>
          <t>Office</t>
        </is>
      </c>
      <c r="E9162" s="58" t="inlineStr">
        <is>
          <t>West</t>
        </is>
      </c>
      <c r="F9162" s="61" t="n">
        <v>2</v>
      </c>
      <c r="G9162" s="62" t="n">
        <v>542.61</v>
      </c>
      <c r="H9162" s="63" t="n">
        <v>0.143</v>
      </c>
      <c r="I9162" s="62" t="n">
        <v>411.4</v>
      </c>
      <c r="J9162" s="58" t="inlineStr">
        <is>
          <t>Online</t>
        </is>
      </c>
      <c r="K9162" s="62">
        <f>F9162*(G9162-H9162)</f>
        <v/>
      </c>
      <c r="L9162" s="62">
        <f>K9162-(F9162*I9162)</f>
        <v/>
      </c>
      <c r="M9162" s="64">
        <f>L9162/K9162</f>
        <v/>
      </c>
    </row>
    <row r="9163">
      <c r="A9163" s="58" t="inlineStr">
        <is>
          <t>RT20250817-09162</t>
        </is>
      </c>
      <c r="B9163" s="59" t="inlineStr">
        <is>
          <t>2025-08-17</t>
        </is>
      </c>
      <c r="C9163" s="60" t="inlineStr">
        <is>
          <t>Metro Beverage Max-490</t>
        </is>
      </c>
      <c r="D9163" s="58" t="inlineStr">
        <is>
          <t>Grocery</t>
        </is>
      </c>
      <c r="E9163" s="58" t="inlineStr">
        <is>
          <t>South</t>
        </is>
      </c>
      <c r="F9163" s="61" t="n">
        <v>8</v>
      </c>
      <c r="G9163" s="62" t="n">
        <v>12.18</v>
      </c>
      <c r="H9163" s="63" t="n">
        <v>0.202</v>
      </c>
      <c r="I9163" s="62" t="n">
        <v>8.27</v>
      </c>
      <c r="J9163" s="58" t="inlineStr">
        <is>
          <t>Store</t>
        </is>
      </c>
      <c r="K9163" s="62">
        <f>F9163*(G9163-H9163)</f>
        <v/>
      </c>
      <c r="L9163" s="62">
        <f>K9163-(F9163*I9163)</f>
        <v/>
      </c>
      <c r="M9163" s="64">
        <f>L9163/K9163</f>
        <v/>
      </c>
    </row>
    <row r="9164">
      <c r="A9164" s="58" t="inlineStr">
        <is>
          <t>RT20250817-09163</t>
        </is>
      </c>
      <c r="B9164" s="59" t="inlineStr">
        <is>
          <t>2025-08-17</t>
        </is>
      </c>
      <c r="C9164" s="60" t="inlineStr">
        <is>
          <t>Falcon Household Plus-172</t>
        </is>
      </c>
      <c r="D9164" s="58" t="inlineStr">
        <is>
          <t>Grocery</t>
        </is>
      </c>
      <c r="E9164" s="58" t="inlineStr">
        <is>
          <t>South</t>
        </is>
      </c>
      <c r="F9164" s="61" t="n">
        <v>1</v>
      </c>
      <c r="G9164" s="62" t="n">
        <v>17.73</v>
      </c>
      <c r="H9164" s="63" t="n">
        <v>0.158</v>
      </c>
      <c r="I9164" s="62" t="n">
        <v>14.49</v>
      </c>
      <c r="J9164" s="58" t="inlineStr">
        <is>
          <t>Online</t>
        </is>
      </c>
      <c r="K9164" s="62">
        <f>F9164*(G9164-H9164)</f>
        <v/>
      </c>
      <c r="L9164" s="62">
        <f>K9164-(F9164*I9164)</f>
        <v/>
      </c>
      <c r="M9164" s="64">
        <f>L9164/K9164</f>
        <v/>
      </c>
    </row>
    <row r="9165">
      <c r="A9165" s="58" t="inlineStr">
        <is>
          <t>RT20250817-09164</t>
        </is>
      </c>
      <c r="B9165" s="59" t="inlineStr">
        <is>
          <t>2025-08-17</t>
        </is>
      </c>
      <c r="C9165" s="60" t="inlineStr">
        <is>
          <t>Polar Laptop Plus-984</t>
        </is>
      </c>
      <c r="D9165" s="58" t="inlineStr">
        <is>
          <t>Electronics</t>
        </is>
      </c>
      <c r="E9165" s="58" t="inlineStr">
        <is>
          <t>East</t>
        </is>
      </c>
      <c r="F9165" s="61" t="n">
        <v>2</v>
      </c>
      <c r="G9165" s="62" t="n">
        <v>1379.45</v>
      </c>
      <c r="H9165" s="63" t="n">
        <v>0.159</v>
      </c>
      <c r="I9165" s="62" t="n">
        <v>1010.98</v>
      </c>
      <c r="J9165" s="58" t="inlineStr">
        <is>
          <t>Online</t>
        </is>
      </c>
      <c r="K9165" s="62">
        <f>F9165*(G9165-H9165)</f>
        <v/>
      </c>
      <c r="L9165" s="62">
        <f>K9165-(F9165*I9165)</f>
        <v/>
      </c>
      <c r="M9165" s="64">
        <f>L9165/K9165</f>
        <v/>
      </c>
    </row>
    <row r="9166">
      <c r="A9166" s="58" t="inlineStr">
        <is>
          <t>RT20250817-09165</t>
        </is>
      </c>
      <c r="B9166" s="59" t="inlineStr">
        <is>
          <t>2025-08-17</t>
        </is>
      </c>
      <c r="C9166" s="60" t="inlineStr">
        <is>
          <t>Solace Makeup Pro-214</t>
        </is>
      </c>
      <c r="D9166" s="58" t="inlineStr">
        <is>
          <t>Beauty</t>
        </is>
      </c>
      <c r="E9166" s="58" t="inlineStr">
        <is>
          <t>Central</t>
        </is>
      </c>
      <c r="F9166" s="61" t="n">
        <v>5</v>
      </c>
      <c r="G9166" s="62" t="n">
        <v>124.85</v>
      </c>
      <c r="H9166" s="63" t="n">
        <v>0.161</v>
      </c>
      <c r="I9166" s="62" t="n">
        <v>67.33</v>
      </c>
      <c r="J9166" s="58" t="inlineStr">
        <is>
          <t>Store</t>
        </is>
      </c>
      <c r="K9166" s="62">
        <f>F9166*(G9166-H9166)</f>
        <v/>
      </c>
      <c r="L9166" s="62">
        <f>K9166-(F9166*I9166)</f>
        <v/>
      </c>
      <c r="M9166" s="64">
        <f>L9166/K9166</f>
        <v/>
      </c>
    </row>
    <row r="9167">
      <c r="A9167" s="58" t="inlineStr">
        <is>
          <t>RT20250817-09166</t>
        </is>
      </c>
      <c r="B9167" s="59" t="inlineStr">
        <is>
          <t>2025-08-17</t>
        </is>
      </c>
      <c r="C9167" s="60" t="inlineStr">
        <is>
          <t>Polar Outdoor X-193</t>
        </is>
      </c>
      <c r="D9167" s="58" t="inlineStr">
        <is>
          <t>Sports</t>
        </is>
      </c>
      <c r="E9167" s="58" t="inlineStr">
        <is>
          <t>Central</t>
        </is>
      </c>
      <c r="F9167" s="61" t="n">
        <v>1</v>
      </c>
      <c r="G9167" s="62" t="n">
        <v>726.1</v>
      </c>
      <c r="H9167" s="63" t="n">
        <v>0.148</v>
      </c>
      <c r="I9167" s="62" t="n">
        <v>452.45</v>
      </c>
      <c r="J9167" s="58" t="inlineStr">
        <is>
          <t>Store</t>
        </is>
      </c>
      <c r="K9167" s="62">
        <f>F9167*(G9167-H9167)</f>
        <v/>
      </c>
      <c r="L9167" s="62">
        <f>K9167-(F9167*I9167)</f>
        <v/>
      </c>
      <c r="M9167" s="64">
        <f>L9167/K9167</f>
        <v/>
      </c>
    </row>
    <row r="9168">
      <c r="A9168" s="58" t="inlineStr">
        <is>
          <t>RT20250817-09167</t>
        </is>
      </c>
      <c r="B9168" s="59" t="inlineStr">
        <is>
          <t>2025-08-17</t>
        </is>
      </c>
      <c r="C9168" s="60" t="inlineStr">
        <is>
          <t>Polar Fragrance Pro-750</t>
        </is>
      </c>
      <c r="D9168" s="58" t="inlineStr">
        <is>
          <t>Beauty</t>
        </is>
      </c>
      <c r="E9168" s="58" t="inlineStr">
        <is>
          <t>South</t>
        </is>
      </c>
      <c r="F9168" s="61" t="n">
        <v>1</v>
      </c>
      <c r="G9168" s="62" t="n">
        <v>62.56</v>
      </c>
      <c r="H9168" s="63" t="n">
        <v>0.129</v>
      </c>
      <c r="I9168" s="62" t="n">
        <v>36.61</v>
      </c>
      <c r="J9168" s="58" t="inlineStr">
        <is>
          <t>Store</t>
        </is>
      </c>
      <c r="K9168" s="62">
        <f>F9168*(G9168-H9168)</f>
        <v/>
      </c>
      <c r="L9168" s="62">
        <f>K9168-(F9168*I9168)</f>
        <v/>
      </c>
      <c r="M9168" s="64">
        <f>L9168/K9168</f>
        <v/>
      </c>
    </row>
    <row r="9169">
      <c r="A9169" s="58" t="inlineStr">
        <is>
          <t>RT20250817-09168</t>
        </is>
      </c>
      <c r="B9169" s="59" t="inlineStr">
        <is>
          <t>2025-08-17</t>
        </is>
      </c>
      <c r="C9169" s="60" t="inlineStr">
        <is>
          <t>Vertex Smartphone Lite-267</t>
        </is>
      </c>
      <c r="D9169" s="58" t="inlineStr">
        <is>
          <t>Electronics</t>
        </is>
      </c>
      <c r="E9169" s="58" t="inlineStr">
        <is>
          <t>South</t>
        </is>
      </c>
      <c r="F9169" s="61" t="n">
        <v>1</v>
      </c>
      <c r="G9169" s="62" t="n">
        <v>1191.9</v>
      </c>
      <c r="H9169" s="63" t="n">
        <v>0.174</v>
      </c>
      <c r="I9169" s="62" t="n">
        <v>955.83</v>
      </c>
      <c r="J9169" s="58" t="inlineStr">
        <is>
          <t>Online</t>
        </is>
      </c>
      <c r="K9169" s="62">
        <f>F9169*(G9169-H9169)</f>
        <v/>
      </c>
      <c r="L9169" s="62">
        <f>K9169-(F9169*I9169)</f>
        <v/>
      </c>
      <c r="M9169" s="64">
        <f>L9169/K9169</f>
        <v/>
      </c>
    </row>
    <row r="9170">
      <c r="A9170" s="58" t="inlineStr">
        <is>
          <t>RT20250817-09169</t>
        </is>
      </c>
      <c r="B9170" s="59" t="inlineStr">
        <is>
          <t>2025-08-17</t>
        </is>
      </c>
      <c r="C9170" s="60" t="inlineStr">
        <is>
          <t>Aurora Furniture X-709</t>
        </is>
      </c>
      <c r="D9170" s="58" t="inlineStr">
        <is>
          <t>Office</t>
        </is>
      </c>
      <c r="E9170" s="58" t="inlineStr">
        <is>
          <t>Central</t>
        </is>
      </c>
      <c r="F9170" s="61" t="n">
        <v>2</v>
      </c>
      <c r="G9170" s="62" t="n">
        <v>465.96</v>
      </c>
      <c r="H9170" s="63" t="n">
        <v>0.123</v>
      </c>
      <c r="I9170" s="62" t="n">
        <v>300.85</v>
      </c>
      <c r="J9170" s="58" t="inlineStr">
        <is>
          <t>Store</t>
        </is>
      </c>
      <c r="K9170" s="62">
        <f>F9170*(G9170-H9170)</f>
        <v/>
      </c>
      <c r="L9170" s="62">
        <f>K9170-(F9170*I9170)</f>
        <v/>
      </c>
      <c r="M9170" s="64">
        <f>L9170/K9170</f>
        <v/>
      </c>
    </row>
    <row r="9171">
      <c r="A9171" s="58" t="inlineStr">
        <is>
          <t>RT20250817-09170</t>
        </is>
      </c>
      <c r="B9171" s="59" t="inlineStr">
        <is>
          <t>2025-08-17</t>
        </is>
      </c>
      <c r="C9171" s="60" t="inlineStr">
        <is>
          <t>Solace Bedding Plus-317</t>
        </is>
      </c>
      <c r="D9171" s="58" t="inlineStr">
        <is>
          <t>Home</t>
        </is>
      </c>
      <c r="E9171" s="58" t="inlineStr">
        <is>
          <t>South</t>
        </is>
      </c>
      <c r="F9171" s="61" t="n">
        <v>2</v>
      </c>
      <c r="G9171" s="62" t="n">
        <v>624.24</v>
      </c>
      <c r="H9171" s="63" t="n">
        <v>0.089</v>
      </c>
      <c r="I9171" s="62" t="n">
        <v>393.44</v>
      </c>
      <c r="J9171" s="58" t="inlineStr">
        <is>
          <t>Online</t>
        </is>
      </c>
      <c r="K9171" s="62">
        <f>F9171*(G9171-H9171)</f>
        <v/>
      </c>
      <c r="L9171" s="62">
        <f>K9171-(F9171*I9171)</f>
        <v/>
      </c>
      <c r="M9171" s="64">
        <f>L9171/K9171</f>
        <v/>
      </c>
    </row>
    <row r="9172">
      <c r="A9172" s="58" t="inlineStr">
        <is>
          <t>RT20250817-09171</t>
        </is>
      </c>
      <c r="B9172" s="59" t="inlineStr">
        <is>
          <t>2025-08-17</t>
        </is>
      </c>
      <c r="C9172" s="60" t="inlineStr">
        <is>
          <t>Solace Team Sport Max-548</t>
        </is>
      </c>
      <c r="D9172" s="58" t="inlineStr">
        <is>
          <t>Sports</t>
        </is>
      </c>
      <c r="E9172" s="58" t="inlineStr">
        <is>
          <t>East</t>
        </is>
      </c>
      <c r="F9172" s="61" t="n">
        <v>1</v>
      </c>
      <c r="G9172" s="62" t="n">
        <v>720.05</v>
      </c>
      <c r="H9172" s="63" t="n">
        <v>0.163</v>
      </c>
      <c r="I9172" s="62" t="n">
        <v>467.77</v>
      </c>
      <c r="J9172" s="58" t="inlineStr">
        <is>
          <t>Online</t>
        </is>
      </c>
      <c r="K9172" s="62">
        <f>F9172*(G9172-H9172)</f>
        <v/>
      </c>
      <c r="L9172" s="62">
        <f>K9172-(F9172*I9172)</f>
        <v/>
      </c>
      <c r="M9172" s="64">
        <f>L9172/K9172</f>
        <v/>
      </c>
    </row>
    <row r="9173">
      <c r="A9173" s="58" t="inlineStr">
        <is>
          <t>RT20250817-09172</t>
        </is>
      </c>
      <c r="B9173" s="59" t="inlineStr">
        <is>
          <t>2025-08-17</t>
        </is>
      </c>
      <c r="C9173" s="60" t="inlineStr">
        <is>
          <t>Polar Women Max-927</t>
        </is>
      </c>
      <c r="D9173" s="58" t="inlineStr">
        <is>
          <t>Apparel</t>
        </is>
      </c>
      <c r="E9173" s="58" t="inlineStr">
        <is>
          <t>West</t>
        </is>
      </c>
      <c r="F9173" s="61" t="n">
        <v>3</v>
      </c>
      <c r="G9173" s="62" t="n">
        <v>112.48</v>
      </c>
      <c r="H9173" s="63" t="n">
        <v>0.141</v>
      </c>
      <c r="I9173" s="62" t="n">
        <v>63.68</v>
      </c>
      <c r="J9173" s="58" t="inlineStr">
        <is>
          <t>Store</t>
        </is>
      </c>
      <c r="K9173" s="62">
        <f>F9173*(G9173-H9173)</f>
        <v/>
      </c>
      <c r="L9173" s="62">
        <f>K9173-(F9173*I9173)</f>
        <v/>
      </c>
      <c r="M9173" s="64">
        <f>L9173/K9173</f>
        <v/>
      </c>
    </row>
    <row r="9174">
      <c r="A9174" s="58" t="inlineStr">
        <is>
          <t>RT20250817-09173</t>
        </is>
      </c>
      <c r="B9174" s="59" t="inlineStr">
        <is>
          <t>2025-08-17</t>
        </is>
      </c>
      <c r="C9174" s="60" t="inlineStr">
        <is>
          <t>Nimbus Cycling Plus-911</t>
        </is>
      </c>
      <c r="D9174" s="58" t="inlineStr">
        <is>
          <t>Sports</t>
        </is>
      </c>
      <c r="E9174" s="58" t="inlineStr">
        <is>
          <t>West</t>
        </is>
      </c>
      <c r="F9174" s="61" t="n">
        <v>1</v>
      </c>
      <c r="G9174" s="62" t="n">
        <v>599.28</v>
      </c>
      <c r="H9174" s="63" t="n">
        <v>0.149</v>
      </c>
      <c r="I9174" s="62" t="n">
        <v>404.55</v>
      </c>
      <c r="J9174" s="58" t="inlineStr">
        <is>
          <t>Phone</t>
        </is>
      </c>
      <c r="K9174" s="62">
        <f>F9174*(G9174-H9174)</f>
        <v/>
      </c>
      <c r="L9174" s="62">
        <f>K9174-(F9174*I9174)</f>
        <v/>
      </c>
      <c r="M9174" s="64">
        <f>L9174/K9174</f>
        <v/>
      </c>
    </row>
    <row r="9175">
      <c r="A9175" s="58" t="inlineStr">
        <is>
          <t>RT20250817-09174</t>
        </is>
      </c>
      <c r="B9175" s="59" t="inlineStr">
        <is>
          <t>2025-08-17</t>
        </is>
      </c>
      <c r="C9175" s="60" t="inlineStr">
        <is>
          <t>Polar Fragrance Pro-750</t>
        </is>
      </c>
      <c r="D9175" s="58" t="inlineStr">
        <is>
          <t>Beauty</t>
        </is>
      </c>
      <c r="E9175" s="58" t="inlineStr">
        <is>
          <t>South</t>
        </is>
      </c>
      <c r="F9175" s="61" t="n">
        <v>2</v>
      </c>
      <c r="G9175" s="62" t="n">
        <v>60.37</v>
      </c>
      <c r="H9175" s="63" t="n">
        <v>0.127</v>
      </c>
      <c r="I9175" s="62" t="n">
        <v>38.05</v>
      </c>
      <c r="J9175" s="58" t="inlineStr">
        <is>
          <t>Store</t>
        </is>
      </c>
      <c r="K9175" s="62">
        <f>F9175*(G9175-H9175)</f>
        <v/>
      </c>
      <c r="L9175" s="62">
        <f>K9175-(F9175*I9175)</f>
        <v/>
      </c>
      <c r="M9175" s="64">
        <f>L9175/K9175</f>
        <v/>
      </c>
    </row>
    <row r="9176">
      <c r="A9176" s="58" t="inlineStr">
        <is>
          <t>RT20250817-09175</t>
        </is>
      </c>
      <c r="B9176" s="59" t="inlineStr">
        <is>
          <t>2025-08-17</t>
        </is>
      </c>
      <c r="C9176" s="60" t="inlineStr">
        <is>
          <t>Polar Supplie Lite-348</t>
        </is>
      </c>
      <c r="D9176" s="58" t="inlineStr">
        <is>
          <t>Office</t>
        </is>
      </c>
      <c r="E9176" s="58" t="inlineStr">
        <is>
          <t>North</t>
        </is>
      </c>
      <c r="F9176" s="61" t="n">
        <v>2</v>
      </c>
      <c r="G9176" s="62" t="n">
        <v>414.71</v>
      </c>
      <c r="H9176" s="63" t="n">
        <v>0.126</v>
      </c>
      <c r="I9176" s="62" t="n">
        <v>324.48</v>
      </c>
      <c r="J9176" s="58" t="inlineStr">
        <is>
          <t>Store</t>
        </is>
      </c>
      <c r="K9176" s="62">
        <f>F9176*(G9176-H9176)</f>
        <v/>
      </c>
      <c r="L9176" s="62">
        <f>K9176-(F9176*I9176)</f>
        <v/>
      </c>
      <c r="M9176" s="64">
        <f>L9176/K9176</f>
        <v/>
      </c>
    </row>
    <row r="9177">
      <c r="A9177" s="58" t="inlineStr">
        <is>
          <t>RT20250817-09176</t>
        </is>
      </c>
      <c r="B9177" s="59" t="inlineStr">
        <is>
          <t>2025-08-17</t>
        </is>
      </c>
      <c r="C9177" s="60" t="inlineStr">
        <is>
          <t>Aurora Haircare S-975</t>
        </is>
      </c>
      <c r="D9177" s="58" t="inlineStr">
        <is>
          <t>Beauty</t>
        </is>
      </c>
      <c r="E9177" s="58" t="inlineStr">
        <is>
          <t>East</t>
        </is>
      </c>
      <c r="F9177" s="61" t="n">
        <v>1</v>
      </c>
      <c r="G9177" s="62" t="n">
        <v>91.81</v>
      </c>
      <c r="H9177" s="63" t="n">
        <v>0.158</v>
      </c>
      <c r="I9177" s="62" t="n">
        <v>59.47</v>
      </c>
      <c r="J9177" s="58" t="inlineStr">
        <is>
          <t>Online</t>
        </is>
      </c>
      <c r="K9177" s="62">
        <f>F9177*(G9177-H9177)</f>
        <v/>
      </c>
      <c r="L9177" s="62">
        <f>K9177-(F9177*I9177)</f>
        <v/>
      </c>
      <c r="M9177" s="64">
        <f>L9177/K9177</f>
        <v/>
      </c>
    </row>
    <row r="9178">
      <c r="A9178" s="58" t="inlineStr">
        <is>
          <t>RT20250817-09177</t>
        </is>
      </c>
      <c r="B9178" s="59" t="inlineStr">
        <is>
          <t>2025-08-17</t>
        </is>
      </c>
      <c r="C9178" s="60" t="inlineStr">
        <is>
          <t>Polar Haircare Max-614</t>
        </is>
      </c>
      <c r="D9178" s="58" t="inlineStr">
        <is>
          <t>Beauty</t>
        </is>
      </c>
      <c r="E9178" s="58" t="inlineStr">
        <is>
          <t>South</t>
        </is>
      </c>
      <c r="F9178" s="61" t="n">
        <v>4</v>
      </c>
      <c r="G9178" s="62" t="n">
        <v>120</v>
      </c>
      <c r="H9178" s="63" t="n">
        <v>0.125</v>
      </c>
      <c r="I9178" s="62" t="n">
        <v>67.59999999999999</v>
      </c>
      <c r="J9178" s="58" t="inlineStr">
        <is>
          <t>Online</t>
        </is>
      </c>
      <c r="K9178" s="62">
        <f>F9178*(G9178-H9178)</f>
        <v/>
      </c>
      <c r="L9178" s="62">
        <f>K9178-(F9178*I9178)</f>
        <v/>
      </c>
      <c r="M9178" s="64">
        <f>L9178/K9178</f>
        <v/>
      </c>
    </row>
    <row r="9179">
      <c r="A9179" s="58" t="inlineStr">
        <is>
          <t>RT20250817-09178</t>
        </is>
      </c>
      <c r="B9179" s="59" t="inlineStr">
        <is>
          <t>2025-08-17</t>
        </is>
      </c>
      <c r="C9179" s="60" t="inlineStr">
        <is>
          <t>Vertex Appliance Max-338</t>
        </is>
      </c>
      <c r="D9179" s="58" t="inlineStr">
        <is>
          <t>Home</t>
        </is>
      </c>
      <c r="E9179" s="58" t="inlineStr">
        <is>
          <t>West</t>
        </is>
      </c>
      <c r="F9179" s="61" t="n">
        <v>2</v>
      </c>
      <c r="G9179" s="62" t="n">
        <v>393.75</v>
      </c>
      <c r="H9179" s="63" t="n">
        <v>0.156</v>
      </c>
      <c r="I9179" s="62" t="n">
        <v>291.79</v>
      </c>
      <c r="J9179" s="58" t="inlineStr">
        <is>
          <t>Online</t>
        </is>
      </c>
      <c r="K9179" s="62">
        <f>F9179*(G9179-H9179)</f>
        <v/>
      </c>
      <c r="L9179" s="62">
        <f>K9179-(F9179*I9179)</f>
        <v/>
      </c>
      <c r="M9179" s="64">
        <f>L9179/K9179</f>
        <v/>
      </c>
    </row>
    <row r="9180">
      <c r="A9180" s="58" t="inlineStr">
        <is>
          <t>RT20250817-09179</t>
        </is>
      </c>
      <c r="B9180" s="59" t="inlineStr">
        <is>
          <t>2025-08-17</t>
        </is>
      </c>
      <c r="C9180" s="60" t="inlineStr">
        <is>
          <t>Aurora Wearable Lite-162</t>
        </is>
      </c>
      <c r="D9180" s="58" t="inlineStr">
        <is>
          <t>Electronics</t>
        </is>
      </c>
      <c r="E9180" s="58" t="inlineStr">
        <is>
          <t>East</t>
        </is>
      </c>
      <c r="F9180" s="61" t="n">
        <v>1</v>
      </c>
      <c r="G9180" s="62" t="n">
        <v>1576.8</v>
      </c>
      <c r="H9180" s="63" t="n">
        <v>0.143</v>
      </c>
      <c r="I9180" s="62" t="n">
        <v>1212.17</v>
      </c>
      <c r="J9180" s="58" t="inlineStr">
        <is>
          <t>Store</t>
        </is>
      </c>
      <c r="K9180" s="62">
        <f>F9180*(G9180-H9180)</f>
        <v/>
      </c>
      <c r="L9180" s="62">
        <f>K9180-(F9180*I9180)</f>
        <v/>
      </c>
      <c r="M9180" s="64">
        <f>L9180/K9180</f>
        <v/>
      </c>
    </row>
    <row r="9181">
      <c r="A9181" s="58" t="inlineStr">
        <is>
          <t>RT20250817-09180</t>
        </is>
      </c>
      <c r="B9181" s="59" t="inlineStr">
        <is>
          <t>2025-08-17</t>
        </is>
      </c>
      <c r="C9181" s="60" t="inlineStr">
        <is>
          <t>Polar Bedding Lite-243</t>
        </is>
      </c>
      <c r="D9181" s="58" t="inlineStr">
        <is>
          <t>Home</t>
        </is>
      </c>
      <c r="E9181" s="58" t="inlineStr">
        <is>
          <t>Central</t>
        </is>
      </c>
      <c r="F9181" s="61" t="n">
        <v>3</v>
      </c>
      <c r="G9181" s="62" t="n">
        <v>488.73</v>
      </c>
      <c r="H9181" s="63" t="n">
        <v>0.117</v>
      </c>
      <c r="I9181" s="62" t="n">
        <v>323.62</v>
      </c>
      <c r="J9181" s="58" t="inlineStr">
        <is>
          <t>Online</t>
        </is>
      </c>
      <c r="K9181" s="62">
        <f>F9181*(G9181-H9181)</f>
        <v/>
      </c>
      <c r="L9181" s="62">
        <f>K9181-(F9181*I9181)</f>
        <v/>
      </c>
      <c r="M9181" s="64">
        <f>L9181/K9181</f>
        <v/>
      </c>
    </row>
    <row r="9182">
      <c r="A9182" s="58" t="inlineStr">
        <is>
          <t>RT20250817-09181</t>
        </is>
      </c>
      <c r="B9182" s="59" t="inlineStr">
        <is>
          <t>2025-08-17</t>
        </is>
      </c>
      <c r="C9182" s="60" t="inlineStr">
        <is>
          <t>Falcon Accessorie S-195</t>
        </is>
      </c>
      <c r="D9182" s="58" t="inlineStr">
        <is>
          <t>Apparel</t>
        </is>
      </c>
      <c r="E9182" s="58" t="inlineStr">
        <is>
          <t>Central</t>
        </is>
      </c>
      <c r="F9182" s="61" t="n">
        <v>4</v>
      </c>
      <c r="G9182" s="62" t="n">
        <v>73.87</v>
      </c>
      <c r="H9182" s="63" t="n">
        <v>0.142</v>
      </c>
      <c r="I9182" s="62" t="n">
        <v>42.48</v>
      </c>
      <c r="J9182" s="58" t="inlineStr">
        <is>
          <t>Store</t>
        </is>
      </c>
      <c r="K9182" s="62">
        <f>F9182*(G9182-H9182)</f>
        <v/>
      </c>
      <c r="L9182" s="62">
        <f>K9182-(F9182*I9182)</f>
        <v/>
      </c>
      <c r="M9182" s="64">
        <f>L9182/K9182</f>
        <v/>
      </c>
    </row>
    <row r="9183">
      <c r="A9183" s="58" t="inlineStr">
        <is>
          <t>RT20250817-09182</t>
        </is>
      </c>
      <c r="B9183" s="59" t="inlineStr">
        <is>
          <t>2025-08-17</t>
        </is>
      </c>
      <c r="C9183" s="60" t="inlineStr">
        <is>
          <t>Metro Wearable Plus-234</t>
        </is>
      </c>
      <c r="D9183" s="58" t="inlineStr">
        <is>
          <t>Electronics</t>
        </is>
      </c>
      <c r="E9183" s="58" t="inlineStr">
        <is>
          <t>South</t>
        </is>
      </c>
      <c r="F9183" s="61" t="n">
        <v>1</v>
      </c>
      <c r="G9183" s="62" t="n">
        <v>1459.23</v>
      </c>
      <c r="H9183" s="63" t="n">
        <v>0.192</v>
      </c>
      <c r="I9183" s="62" t="n">
        <v>1144.71</v>
      </c>
      <c r="J9183" s="58" t="inlineStr">
        <is>
          <t>Online</t>
        </is>
      </c>
      <c r="K9183" s="62">
        <f>F9183*(G9183-H9183)</f>
        <v/>
      </c>
      <c r="L9183" s="62">
        <f>K9183-(F9183*I9183)</f>
        <v/>
      </c>
      <c r="M9183" s="64">
        <f>L9183/K9183</f>
        <v/>
      </c>
    </row>
    <row r="9184">
      <c r="A9184" s="58" t="inlineStr">
        <is>
          <t>RT20250817-09183</t>
        </is>
      </c>
      <c r="B9184" s="59" t="inlineStr">
        <is>
          <t>2025-08-17</t>
        </is>
      </c>
      <c r="C9184" s="60" t="inlineStr">
        <is>
          <t>Polar Cycling S-223</t>
        </is>
      </c>
      <c r="D9184" s="58" t="inlineStr">
        <is>
          <t>Sports</t>
        </is>
      </c>
      <c r="E9184" s="58" t="inlineStr">
        <is>
          <t>East</t>
        </is>
      </c>
      <c r="F9184" s="61" t="n">
        <v>3</v>
      </c>
      <c r="G9184" s="62" t="n">
        <v>973.46</v>
      </c>
      <c r="H9184" s="63" t="n">
        <v>0.22</v>
      </c>
      <c r="I9184" s="62" t="n">
        <v>635.91</v>
      </c>
      <c r="J9184" s="58" t="inlineStr">
        <is>
          <t>Online</t>
        </is>
      </c>
      <c r="K9184" s="62">
        <f>F9184*(G9184-H9184)</f>
        <v/>
      </c>
      <c r="L9184" s="62">
        <f>K9184-(F9184*I9184)</f>
        <v/>
      </c>
      <c r="M9184" s="64">
        <f>L9184/K9184</f>
        <v/>
      </c>
    </row>
    <row r="9185">
      <c r="A9185" s="58" t="inlineStr">
        <is>
          <t>RT20250817-09184</t>
        </is>
      </c>
      <c r="B9185" s="59" t="inlineStr">
        <is>
          <t>2025-08-17</t>
        </is>
      </c>
      <c r="C9185" s="60" t="inlineStr">
        <is>
          <t>Nimbus Cycling Plus-911</t>
        </is>
      </c>
      <c r="D9185" s="58" t="inlineStr">
        <is>
          <t>Sports</t>
        </is>
      </c>
      <c r="E9185" s="58" t="inlineStr">
        <is>
          <t>South</t>
        </is>
      </c>
      <c r="F9185" s="61" t="n">
        <v>2</v>
      </c>
      <c r="G9185" s="62" t="n">
        <v>538.8099999999999</v>
      </c>
      <c r="H9185" s="63" t="n">
        <v>0.182</v>
      </c>
      <c r="I9185" s="62" t="n">
        <v>387.38</v>
      </c>
      <c r="J9185" s="58" t="inlineStr">
        <is>
          <t>Online</t>
        </is>
      </c>
      <c r="K9185" s="62">
        <f>F9185*(G9185-H9185)</f>
        <v/>
      </c>
      <c r="L9185" s="62">
        <f>K9185-(F9185*I9185)</f>
        <v/>
      </c>
      <c r="M9185" s="64">
        <f>L9185/K9185</f>
        <v/>
      </c>
    </row>
    <row r="9186">
      <c r="A9186" s="58" t="inlineStr">
        <is>
          <t>RT20250817-09185</t>
        </is>
      </c>
      <c r="B9186" s="59" t="inlineStr">
        <is>
          <t>2025-08-17</t>
        </is>
      </c>
      <c r="C9186" s="60" t="inlineStr">
        <is>
          <t>Aurora Wearable Lite-162</t>
        </is>
      </c>
      <c r="D9186" s="58" t="inlineStr">
        <is>
          <t>Electronics</t>
        </is>
      </c>
      <c r="E9186" s="58" t="inlineStr">
        <is>
          <t>Central</t>
        </is>
      </c>
      <c r="F9186" s="61" t="n">
        <v>2</v>
      </c>
      <c r="G9186" s="62" t="n">
        <v>1528.07</v>
      </c>
      <c r="H9186" s="63" t="n">
        <v>0.135</v>
      </c>
      <c r="I9186" s="62" t="n">
        <v>1198.29</v>
      </c>
      <c r="J9186" s="58" t="inlineStr">
        <is>
          <t>Online</t>
        </is>
      </c>
      <c r="K9186" s="62">
        <f>F9186*(G9186-H9186)</f>
        <v/>
      </c>
      <c r="L9186" s="62">
        <f>K9186-(F9186*I9186)</f>
        <v/>
      </c>
      <c r="M9186" s="64">
        <f>L9186/K9186</f>
        <v/>
      </c>
    </row>
    <row r="9187">
      <c r="A9187" s="58" t="inlineStr">
        <is>
          <t>RT20250817-09186</t>
        </is>
      </c>
      <c r="B9187" s="59" t="inlineStr">
        <is>
          <t>2025-08-17</t>
        </is>
      </c>
      <c r="C9187" s="60" t="inlineStr">
        <is>
          <t>Vertex Furniture S-652</t>
        </is>
      </c>
      <c r="D9187" s="58" t="inlineStr">
        <is>
          <t>Office</t>
        </is>
      </c>
      <c r="E9187" s="58" t="inlineStr">
        <is>
          <t>South</t>
        </is>
      </c>
      <c r="F9187" s="61" t="n">
        <v>3</v>
      </c>
      <c r="G9187" s="62" t="n">
        <v>367.95</v>
      </c>
      <c r="H9187" s="63" t="n">
        <v>0.16</v>
      </c>
      <c r="I9187" s="62" t="n">
        <v>272.58</v>
      </c>
      <c r="J9187" s="58" t="inlineStr">
        <is>
          <t>Store</t>
        </is>
      </c>
      <c r="K9187" s="62">
        <f>F9187*(G9187-H9187)</f>
        <v/>
      </c>
      <c r="L9187" s="62">
        <f>K9187-(F9187*I9187)</f>
        <v/>
      </c>
      <c r="M9187" s="64">
        <f>L9187/K9187</f>
        <v/>
      </c>
    </row>
    <row r="9188">
      <c r="A9188" s="58" t="inlineStr">
        <is>
          <t>RT20250817-09187</t>
        </is>
      </c>
      <c r="B9188" s="59" t="inlineStr">
        <is>
          <t>2025-08-17</t>
        </is>
      </c>
      <c r="C9188" s="60" t="inlineStr">
        <is>
          <t>Polar Decor X-935</t>
        </is>
      </c>
      <c r="D9188" s="58" t="inlineStr">
        <is>
          <t>Home</t>
        </is>
      </c>
      <c r="E9188" s="58" t="inlineStr">
        <is>
          <t>South</t>
        </is>
      </c>
      <c r="F9188" s="61" t="n">
        <v>1</v>
      </c>
      <c r="G9188" s="62" t="n">
        <v>287.81</v>
      </c>
      <c r="H9188" s="63" t="n">
        <v>0.157</v>
      </c>
      <c r="I9188" s="62" t="n">
        <v>200.95</v>
      </c>
      <c r="J9188" s="58" t="inlineStr">
        <is>
          <t>Online</t>
        </is>
      </c>
      <c r="K9188" s="62">
        <f>F9188*(G9188-H9188)</f>
        <v/>
      </c>
      <c r="L9188" s="62">
        <f>K9188-(F9188*I9188)</f>
        <v/>
      </c>
      <c r="M9188" s="64">
        <f>L9188/K9188</f>
        <v/>
      </c>
    </row>
    <row r="9189">
      <c r="A9189" s="58" t="inlineStr">
        <is>
          <t>RT20250817-09188</t>
        </is>
      </c>
      <c r="B9189" s="59" t="inlineStr">
        <is>
          <t>2025-08-17</t>
        </is>
      </c>
      <c r="C9189" s="60" t="inlineStr">
        <is>
          <t>Falcon Household Plus-796</t>
        </is>
      </c>
      <c r="D9189" s="58" t="inlineStr">
        <is>
          <t>Grocery</t>
        </is>
      </c>
      <c r="E9189" s="58" t="inlineStr">
        <is>
          <t>North</t>
        </is>
      </c>
      <c r="F9189" s="61" t="n">
        <v>4</v>
      </c>
      <c r="G9189" s="62" t="n">
        <v>25.72</v>
      </c>
      <c r="H9189" s="63" t="n">
        <v>0.175</v>
      </c>
      <c r="I9189" s="62" t="n">
        <v>17.43</v>
      </c>
      <c r="J9189" s="58" t="inlineStr">
        <is>
          <t>Store</t>
        </is>
      </c>
      <c r="K9189" s="62">
        <f>F9189*(G9189-H9189)</f>
        <v/>
      </c>
      <c r="L9189" s="62">
        <f>K9189-(F9189*I9189)</f>
        <v/>
      </c>
      <c r="M9189" s="64">
        <f>L9189/K9189</f>
        <v/>
      </c>
    </row>
    <row r="9190">
      <c r="A9190" s="58" t="inlineStr">
        <is>
          <t>RT20250817-09189</t>
        </is>
      </c>
      <c r="B9190" s="59" t="inlineStr">
        <is>
          <t>2025-08-17</t>
        </is>
      </c>
      <c r="C9190" s="60" t="inlineStr">
        <is>
          <t>Solace Smartphone Lite-533</t>
        </is>
      </c>
      <c r="D9190" s="58" t="inlineStr">
        <is>
          <t>Electronics</t>
        </is>
      </c>
      <c r="E9190" s="58" t="inlineStr">
        <is>
          <t>South</t>
        </is>
      </c>
      <c r="F9190" s="61" t="n">
        <v>2</v>
      </c>
      <c r="G9190" s="62" t="n">
        <v>1148.32</v>
      </c>
      <c r="H9190" s="63" t="n">
        <v>0.163</v>
      </c>
      <c r="I9190" s="62" t="n">
        <v>933.15</v>
      </c>
      <c r="J9190" s="58" t="inlineStr">
        <is>
          <t>Store</t>
        </is>
      </c>
      <c r="K9190" s="62">
        <f>F9190*(G9190-H9190)</f>
        <v/>
      </c>
      <c r="L9190" s="62">
        <f>K9190-(F9190*I9190)</f>
        <v/>
      </c>
      <c r="M9190" s="64">
        <f>L9190/K9190</f>
        <v/>
      </c>
    </row>
    <row r="9191">
      <c r="A9191" s="58" t="inlineStr">
        <is>
          <t>RT20250818-09190</t>
        </is>
      </c>
      <c r="B9191" s="59" t="inlineStr">
        <is>
          <t>2025-08-18</t>
        </is>
      </c>
      <c r="C9191" s="60" t="inlineStr">
        <is>
          <t>Polar Snack Pro-641</t>
        </is>
      </c>
      <c r="D9191" s="58" t="inlineStr">
        <is>
          <t>Grocery</t>
        </is>
      </c>
      <c r="E9191" s="58" t="inlineStr">
        <is>
          <t>South</t>
        </is>
      </c>
      <c r="F9191" s="61" t="n">
        <v>2</v>
      </c>
      <c r="G9191" s="62" t="n">
        <v>11.97</v>
      </c>
      <c r="H9191" s="63" t="n">
        <v>0.181</v>
      </c>
      <c r="I9191" s="62" t="n">
        <v>9.52</v>
      </c>
      <c r="J9191" s="58" t="inlineStr">
        <is>
          <t>Store</t>
        </is>
      </c>
      <c r="K9191" s="62">
        <f>F9191*(G9191-H9191)</f>
        <v/>
      </c>
      <c r="L9191" s="62">
        <f>K9191-(F9191*I9191)</f>
        <v/>
      </c>
      <c r="M9191" s="64">
        <f>L9191/K9191</f>
        <v/>
      </c>
    </row>
    <row r="9192">
      <c r="A9192" s="58" t="inlineStr">
        <is>
          <t>RT20250818-09191</t>
        </is>
      </c>
      <c r="B9192" s="59" t="inlineStr">
        <is>
          <t>2025-08-18</t>
        </is>
      </c>
      <c r="C9192" s="60" t="inlineStr">
        <is>
          <t>Polar Bedding Lite-243</t>
        </is>
      </c>
      <c r="D9192" s="58" t="inlineStr">
        <is>
          <t>Home</t>
        </is>
      </c>
      <c r="E9192" s="58" t="inlineStr">
        <is>
          <t>West</t>
        </is>
      </c>
      <c r="F9192" s="61" t="n">
        <v>1</v>
      </c>
      <c r="G9192" s="62" t="n">
        <v>432.84</v>
      </c>
      <c r="H9192" s="63" t="n">
        <v>0.18</v>
      </c>
      <c r="I9192" s="62" t="n">
        <v>318.09</v>
      </c>
      <c r="J9192" s="58" t="inlineStr">
        <is>
          <t>Store</t>
        </is>
      </c>
      <c r="K9192" s="62">
        <f>F9192*(G9192-H9192)</f>
        <v/>
      </c>
      <c r="L9192" s="62">
        <f>K9192-(F9192*I9192)</f>
        <v/>
      </c>
      <c r="M9192" s="64">
        <f>L9192/K9192</f>
        <v/>
      </c>
    </row>
    <row r="9193">
      <c r="A9193" s="58" t="inlineStr">
        <is>
          <t>RT20250818-09192</t>
        </is>
      </c>
      <c r="B9193" s="59" t="inlineStr">
        <is>
          <t>2025-08-18</t>
        </is>
      </c>
      <c r="C9193" s="60" t="inlineStr">
        <is>
          <t>Polar Fragrance Pro-750</t>
        </is>
      </c>
      <c r="D9193" s="58" t="inlineStr">
        <is>
          <t>Beauty</t>
        </is>
      </c>
      <c r="E9193" s="58" t="inlineStr">
        <is>
          <t>West</t>
        </is>
      </c>
      <c r="F9193" s="61" t="n">
        <v>4</v>
      </c>
      <c r="G9193" s="62" t="n">
        <v>56.64</v>
      </c>
      <c r="H9193" s="63" t="n">
        <v>0.157</v>
      </c>
      <c r="I9193" s="62" t="n">
        <v>36.23</v>
      </c>
      <c r="J9193" s="58" t="inlineStr">
        <is>
          <t>Online</t>
        </is>
      </c>
      <c r="K9193" s="62">
        <f>F9193*(G9193-H9193)</f>
        <v/>
      </c>
      <c r="L9193" s="62">
        <f>K9193-(F9193*I9193)</f>
        <v/>
      </c>
      <c r="M9193" s="64">
        <f>L9193/K9193</f>
        <v/>
      </c>
    </row>
    <row r="9194">
      <c r="A9194" s="58" t="inlineStr">
        <is>
          <t>RT20250818-09193</t>
        </is>
      </c>
      <c r="B9194" s="59" t="inlineStr">
        <is>
          <t>2025-08-18</t>
        </is>
      </c>
      <c r="C9194" s="60" t="inlineStr">
        <is>
          <t>Vertex Furniture S-652</t>
        </is>
      </c>
      <c r="D9194" s="58" t="inlineStr">
        <is>
          <t>Office</t>
        </is>
      </c>
      <c r="E9194" s="58" t="inlineStr">
        <is>
          <t>South</t>
        </is>
      </c>
      <c r="F9194" s="61" t="n">
        <v>2</v>
      </c>
      <c r="G9194" s="62" t="n">
        <v>361.97</v>
      </c>
      <c r="H9194" s="63" t="n">
        <v>0.135</v>
      </c>
      <c r="I9194" s="62" t="n">
        <v>264.04</v>
      </c>
      <c r="J9194" s="58" t="inlineStr">
        <is>
          <t>Store</t>
        </is>
      </c>
      <c r="K9194" s="62">
        <f>F9194*(G9194-H9194)</f>
        <v/>
      </c>
      <c r="L9194" s="62">
        <f>K9194-(F9194*I9194)</f>
        <v/>
      </c>
      <c r="M9194" s="64">
        <f>L9194/K9194</f>
        <v/>
      </c>
    </row>
    <row r="9195">
      <c r="A9195" s="58" t="inlineStr">
        <is>
          <t>RT20250818-09194</t>
        </is>
      </c>
      <c r="B9195" s="59" t="inlineStr">
        <is>
          <t>2025-08-18</t>
        </is>
      </c>
      <c r="C9195" s="60" t="inlineStr">
        <is>
          <t>Vertex Appliance S-296</t>
        </is>
      </c>
      <c r="D9195" s="58" t="inlineStr">
        <is>
          <t>Home</t>
        </is>
      </c>
      <c r="E9195" s="58" t="inlineStr">
        <is>
          <t>Central</t>
        </is>
      </c>
      <c r="F9195" s="61" t="n">
        <v>3</v>
      </c>
      <c r="G9195" s="62" t="n">
        <v>510.97</v>
      </c>
      <c r="H9195" s="63" t="n">
        <v>0.185</v>
      </c>
      <c r="I9195" s="62" t="n">
        <v>347.59</v>
      </c>
      <c r="J9195" s="58" t="inlineStr">
        <is>
          <t>Online</t>
        </is>
      </c>
      <c r="K9195" s="62">
        <f>F9195*(G9195-H9195)</f>
        <v/>
      </c>
      <c r="L9195" s="62">
        <f>K9195-(F9195*I9195)</f>
        <v/>
      </c>
      <c r="M9195" s="64">
        <f>L9195/K9195</f>
        <v/>
      </c>
    </row>
    <row r="9196">
      <c r="A9196" s="58" t="inlineStr">
        <is>
          <t>RT20250818-09195</t>
        </is>
      </c>
      <c r="B9196" s="59" t="inlineStr">
        <is>
          <t>2025-08-18</t>
        </is>
      </c>
      <c r="C9196" s="60" t="inlineStr">
        <is>
          <t>Metro Accessorie Max-316</t>
        </is>
      </c>
      <c r="D9196" s="58" t="inlineStr">
        <is>
          <t>Apparel</t>
        </is>
      </c>
      <c r="E9196" s="58" t="inlineStr">
        <is>
          <t>North</t>
        </is>
      </c>
      <c r="F9196" s="61" t="n">
        <v>1</v>
      </c>
      <c r="G9196" s="62" t="n">
        <v>158.72</v>
      </c>
      <c r="H9196" s="63" t="n">
        <v>0.096</v>
      </c>
      <c r="I9196" s="62" t="n">
        <v>92.28</v>
      </c>
      <c r="J9196" s="58" t="inlineStr">
        <is>
          <t>Online</t>
        </is>
      </c>
      <c r="K9196" s="62">
        <f>F9196*(G9196-H9196)</f>
        <v/>
      </c>
      <c r="L9196" s="62">
        <f>K9196-(F9196*I9196)</f>
        <v/>
      </c>
      <c r="M9196" s="64">
        <f>L9196/K9196</f>
        <v/>
      </c>
    </row>
    <row r="9197">
      <c r="A9197" s="58" t="inlineStr">
        <is>
          <t>RT20250818-09196</t>
        </is>
      </c>
      <c r="B9197" s="59" t="inlineStr">
        <is>
          <t>2025-08-18</t>
        </is>
      </c>
      <c r="C9197" s="60" t="inlineStr">
        <is>
          <t>Falcon Team Sport Lite-268</t>
        </is>
      </c>
      <c r="D9197" s="58" t="inlineStr">
        <is>
          <t>Sports</t>
        </is>
      </c>
      <c r="E9197" s="58" t="inlineStr">
        <is>
          <t>South</t>
        </is>
      </c>
      <c r="F9197" s="61" t="n">
        <v>3</v>
      </c>
      <c r="G9197" s="62" t="n">
        <v>663.85</v>
      </c>
      <c r="H9197" s="63" t="n">
        <v>0.175</v>
      </c>
      <c r="I9197" s="62" t="n">
        <v>439.68</v>
      </c>
      <c r="J9197" s="58" t="inlineStr">
        <is>
          <t>Online</t>
        </is>
      </c>
      <c r="K9197" s="62">
        <f>F9197*(G9197-H9197)</f>
        <v/>
      </c>
      <c r="L9197" s="62">
        <f>K9197-(F9197*I9197)</f>
        <v/>
      </c>
      <c r="M9197" s="64">
        <f>L9197/K9197</f>
        <v/>
      </c>
    </row>
    <row r="9198">
      <c r="A9198" s="58" t="inlineStr">
        <is>
          <t>RT20250818-09197</t>
        </is>
      </c>
      <c r="B9198" s="59" t="inlineStr">
        <is>
          <t>2025-08-18</t>
        </is>
      </c>
      <c r="C9198" s="60" t="inlineStr">
        <is>
          <t>Orion Team Sport X-926</t>
        </is>
      </c>
      <c r="D9198" s="58" t="inlineStr">
        <is>
          <t>Sports</t>
        </is>
      </c>
      <c r="E9198" s="58" t="inlineStr">
        <is>
          <t>Central</t>
        </is>
      </c>
      <c r="F9198" s="61" t="n">
        <v>3</v>
      </c>
      <c r="G9198" s="62" t="n">
        <v>314.26</v>
      </c>
      <c r="H9198" s="63" t="n">
        <v>0.119</v>
      </c>
      <c r="I9198" s="62" t="n">
        <v>219.91</v>
      </c>
      <c r="J9198" s="58" t="inlineStr">
        <is>
          <t>Store</t>
        </is>
      </c>
      <c r="K9198" s="62">
        <f>F9198*(G9198-H9198)</f>
        <v/>
      </c>
      <c r="L9198" s="62">
        <f>K9198-(F9198*I9198)</f>
        <v/>
      </c>
      <c r="M9198" s="64">
        <f>L9198/K9198</f>
        <v/>
      </c>
    </row>
    <row r="9199">
      <c r="A9199" s="58" t="inlineStr">
        <is>
          <t>RT20250818-09198</t>
        </is>
      </c>
      <c r="B9199" s="59" t="inlineStr">
        <is>
          <t>2025-08-18</t>
        </is>
      </c>
      <c r="C9199" s="60" t="inlineStr">
        <is>
          <t>Orion Kitchen Pro-568</t>
        </is>
      </c>
      <c r="D9199" s="58" t="inlineStr">
        <is>
          <t>Home</t>
        </is>
      </c>
      <c r="E9199" s="58" t="inlineStr">
        <is>
          <t>North</t>
        </is>
      </c>
      <c r="F9199" s="61" t="n">
        <v>2</v>
      </c>
      <c r="G9199" s="62" t="n">
        <v>453.57</v>
      </c>
      <c r="H9199" s="63" t="n">
        <v>0.186</v>
      </c>
      <c r="I9199" s="62" t="n">
        <v>312.57</v>
      </c>
      <c r="J9199" s="58" t="inlineStr">
        <is>
          <t>Online</t>
        </is>
      </c>
      <c r="K9199" s="62">
        <f>F9199*(G9199-H9199)</f>
        <v/>
      </c>
      <c r="L9199" s="62">
        <f>K9199-(F9199*I9199)</f>
        <v/>
      </c>
      <c r="M9199" s="64">
        <f>L9199/K9199</f>
        <v/>
      </c>
    </row>
    <row r="9200">
      <c r="A9200" s="58" t="inlineStr">
        <is>
          <t>RT20250818-09199</t>
        </is>
      </c>
      <c r="B9200" s="59" t="inlineStr">
        <is>
          <t>2025-08-18</t>
        </is>
      </c>
      <c r="C9200" s="60" t="inlineStr">
        <is>
          <t>Aurora Printer Plus-991</t>
        </is>
      </c>
      <c r="D9200" s="58" t="inlineStr">
        <is>
          <t>Office</t>
        </is>
      </c>
      <c r="E9200" s="58" t="inlineStr">
        <is>
          <t>North</t>
        </is>
      </c>
      <c r="F9200" s="61" t="n">
        <v>1</v>
      </c>
      <c r="G9200" s="62" t="n">
        <v>558.62</v>
      </c>
      <c r="H9200" s="63" t="n">
        <v>0.15</v>
      </c>
      <c r="I9200" s="62" t="n">
        <v>364.11</v>
      </c>
      <c r="J9200" s="58" t="inlineStr">
        <is>
          <t>Store</t>
        </is>
      </c>
      <c r="K9200" s="62">
        <f>F9200*(G9200-H9200)</f>
        <v/>
      </c>
      <c r="L9200" s="62">
        <f>K9200-(F9200*I9200)</f>
        <v/>
      </c>
      <c r="M9200" s="64">
        <f>L9200/K9200</f>
        <v/>
      </c>
    </row>
    <row r="9201">
      <c r="A9201" s="58" t="inlineStr">
        <is>
          <t>RT20250818-09200</t>
        </is>
      </c>
      <c r="B9201" s="59" t="inlineStr">
        <is>
          <t>2025-08-18</t>
        </is>
      </c>
      <c r="C9201" s="60" t="inlineStr">
        <is>
          <t>Falcon Wearable X-334</t>
        </is>
      </c>
      <c r="D9201" s="58" t="inlineStr">
        <is>
          <t>Electronics</t>
        </is>
      </c>
      <c r="E9201" s="58" t="inlineStr">
        <is>
          <t>Central</t>
        </is>
      </c>
      <c r="F9201" s="61" t="n">
        <v>1</v>
      </c>
      <c r="G9201" s="62" t="n">
        <v>2010.46</v>
      </c>
      <c r="H9201" s="63" t="n">
        <v>0.101</v>
      </c>
      <c r="I9201" s="62" t="n">
        <v>1527.81</v>
      </c>
      <c r="J9201" s="58" t="inlineStr">
        <is>
          <t>Online</t>
        </is>
      </c>
      <c r="K9201" s="62">
        <f>F9201*(G9201-H9201)</f>
        <v/>
      </c>
      <c r="L9201" s="62">
        <f>K9201-(F9201*I9201)</f>
        <v/>
      </c>
      <c r="M9201" s="64">
        <f>L9201/K9201</f>
        <v/>
      </c>
    </row>
    <row r="9202">
      <c r="A9202" s="58" t="inlineStr">
        <is>
          <t>RT20250818-09201</t>
        </is>
      </c>
      <c r="B9202" s="59" t="inlineStr">
        <is>
          <t>2025-08-18</t>
        </is>
      </c>
      <c r="C9202" s="60" t="inlineStr">
        <is>
          <t>Orion Storage Plus-961</t>
        </is>
      </c>
      <c r="D9202" s="58" t="inlineStr">
        <is>
          <t>Office</t>
        </is>
      </c>
      <c r="E9202" s="58" t="inlineStr">
        <is>
          <t>Central</t>
        </is>
      </c>
      <c r="F9202" s="61" t="n">
        <v>2</v>
      </c>
      <c r="G9202" s="62" t="n">
        <v>518.88</v>
      </c>
      <c r="H9202" s="63" t="n">
        <v>0.146</v>
      </c>
      <c r="I9202" s="62" t="n">
        <v>354.91</v>
      </c>
      <c r="J9202" s="58" t="inlineStr">
        <is>
          <t>Online</t>
        </is>
      </c>
      <c r="K9202" s="62">
        <f>F9202*(G9202-H9202)</f>
        <v/>
      </c>
      <c r="L9202" s="62">
        <f>K9202-(F9202*I9202)</f>
        <v/>
      </c>
      <c r="M9202" s="64">
        <f>L9202/K9202</f>
        <v/>
      </c>
    </row>
    <row r="9203">
      <c r="A9203" s="58" t="inlineStr">
        <is>
          <t>RT20250818-09202</t>
        </is>
      </c>
      <c r="B9203" s="59" t="inlineStr">
        <is>
          <t>2025-08-18</t>
        </is>
      </c>
      <c r="C9203" s="60" t="inlineStr">
        <is>
          <t>Solace Smartphone Lite-533</t>
        </is>
      </c>
      <c r="D9203" s="58" t="inlineStr">
        <is>
          <t>Electronics</t>
        </is>
      </c>
      <c r="E9203" s="58" t="inlineStr">
        <is>
          <t>North</t>
        </is>
      </c>
      <c r="F9203" s="61" t="n">
        <v>1</v>
      </c>
      <c r="G9203" s="62" t="n">
        <v>1062.48</v>
      </c>
      <c r="H9203" s="63" t="n">
        <v>0.168</v>
      </c>
      <c r="I9203" s="62" t="n">
        <v>858.24</v>
      </c>
      <c r="J9203" s="58" t="inlineStr">
        <is>
          <t>Online</t>
        </is>
      </c>
      <c r="K9203" s="62">
        <f>F9203*(G9203-H9203)</f>
        <v/>
      </c>
      <c r="L9203" s="62">
        <f>K9203-(F9203*I9203)</f>
        <v/>
      </c>
      <c r="M9203" s="64">
        <f>L9203/K9203</f>
        <v/>
      </c>
    </row>
    <row r="9204">
      <c r="A9204" s="58" t="inlineStr">
        <is>
          <t>RT20250818-09203</t>
        </is>
      </c>
      <c r="B9204" s="59" t="inlineStr">
        <is>
          <t>2025-08-18</t>
        </is>
      </c>
      <c r="C9204" s="60" t="inlineStr">
        <is>
          <t>Vertex Pantry Pro-165</t>
        </is>
      </c>
      <c r="D9204" s="58" t="inlineStr">
        <is>
          <t>Grocery</t>
        </is>
      </c>
      <c r="E9204" s="58" t="inlineStr">
        <is>
          <t>East</t>
        </is>
      </c>
      <c r="F9204" s="61" t="n">
        <v>4</v>
      </c>
      <c r="G9204" s="62" t="n">
        <v>17.33</v>
      </c>
      <c r="H9204" s="63" t="n">
        <v>0.14</v>
      </c>
      <c r="I9204" s="62" t="n">
        <v>11.42</v>
      </c>
      <c r="J9204" s="58" t="inlineStr">
        <is>
          <t>Store</t>
        </is>
      </c>
      <c r="K9204" s="62">
        <f>F9204*(G9204-H9204)</f>
        <v/>
      </c>
      <c r="L9204" s="62">
        <f>K9204-(F9204*I9204)</f>
        <v/>
      </c>
      <c r="M9204" s="64">
        <f>L9204/K9204</f>
        <v/>
      </c>
    </row>
    <row r="9205">
      <c r="A9205" s="58" t="inlineStr">
        <is>
          <t>RT20250818-09204</t>
        </is>
      </c>
      <c r="B9205" s="59" t="inlineStr">
        <is>
          <t>2025-08-18</t>
        </is>
      </c>
      <c r="C9205" s="60" t="inlineStr">
        <is>
          <t>Metro Pantry X-710</t>
        </is>
      </c>
      <c r="D9205" s="58" t="inlineStr">
        <is>
          <t>Grocery</t>
        </is>
      </c>
      <c r="E9205" s="58" t="inlineStr">
        <is>
          <t>East</t>
        </is>
      </c>
      <c r="F9205" s="61" t="n">
        <v>3</v>
      </c>
      <c r="G9205" s="62" t="n">
        <v>5.39</v>
      </c>
      <c r="H9205" s="63" t="n">
        <v>0.177</v>
      </c>
      <c r="I9205" s="62" t="n">
        <v>4.2</v>
      </c>
      <c r="J9205" s="58" t="inlineStr">
        <is>
          <t>Phone</t>
        </is>
      </c>
      <c r="K9205" s="62">
        <f>F9205*(G9205-H9205)</f>
        <v/>
      </c>
      <c r="L9205" s="62">
        <f>K9205-(F9205*I9205)</f>
        <v/>
      </c>
      <c r="M9205" s="64">
        <f>L9205/K9205</f>
        <v/>
      </c>
    </row>
    <row r="9206">
      <c r="A9206" s="58" t="inlineStr">
        <is>
          <t>RT20250818-09205</t>
        </is>
      </c>
      <c r="B9206" s="59" t="inlineStr">
        <is>
          <t>2025-08-18</t>
        </is>
      </c>
      <c r="C9206" s="60" t="inlineStr">
        <is>
          <t>Falcon Wearable X-334</t>
        </is>
      </c>
      <c r="D9206" s="58" t="inlineStr">
        <is>
          <t>Electronics</t>
        </is>
      </c>
      <c r="E9206" s="58" t="inlineStr">
        <is>
          <t>Central</t>
        </is>
      </c>
      <c r="F9206" s="61" t="n">
        <v>1</v>
      </c>
      <c r="G9206" s="62" t="n">
        <v>1874.67</v>
      </c>
      <c r="H9206" s="63" t="n">
        <v>0.15</v>
      </c>
      <c r="I9206" s="62" t="n">
        <v>1507.19</v>
      </c>
      <c r="J9206" s="58" t="inlineStr">
        <is>
          <t>Store</t>
        </is>
      </c>
      <c r="K9206" s="62">
        <f>F9206*(G9206-H9206)</f>
        <v/>
      </c>
      <c r="L9206" s="62">
        <f>K9206-(F9206*I9206)</f>
        <v/>
      </c>
      <c r="M9206" s="64">
        <f>L9206/K9206</f>
        <v/>
      </c>
    </row>
    <row r="9207">
      <c r="A9207" s="58" t="inlineStr">
        <is>
          <t>RT20250818-09206</t>
        </is>
      </c>
      <c r="B9207" s="59" t="inlineStr">
        <is>
          <t>2025-08-18</t>
        </is>
      </c>
      <c r="C9207" s="60" t="inlineStr">
        <is>
          <t>Aurora Printer Plus-991</t>
        </is>
      </c>
      <c r="D9207" s="58" t="inlineStr">
        <is>
          <t>Office</t>
        </is>
      </c>
      <c r="E9207" s="58" t="inlineStr">
        <is>
          <t>South</t>
        </is>
      </c>
      <c r="F9207" s="61" t="n">
        <v>3</v>
      </c>
      <c r="G9207" s="62" t="n">
        <v>512.4299999999999</v>
      </c>
      <c r="H9207" s="63" t="n">
        <v>0.122</v>
      </c>
      <c r="I9207" s="62" t="n">
        <v>381.53</v>
      </c>
      <c r="J9207" s="58" t="inlineStr">
        <is>
          <t>Online</t>
        </is>
      </c>
      <c r="K9207" s="62">
        <f>F9207*(G9207-H9207)</f>
        <v/>
      </c>
      <c r="L9207" s="62">
        <f>K9207-(F9207*I9207)</f>
        <v/>
      </c>
      <c r="M9207" s="64">
        <f>L9207/K9207</f>
        <v/>
      </c>
    </row>
    <row r="9208">
      <c r="A9208" s="58" t="inlineStr">
        <is>
          <t>RT20250818-09207</t>
        </is>
      </c>
      <c r="B9208" s="59" t="inlineStr">
        <is>
          <t>2025-08-18</t>
        </is>
      </c>
      <c r="C9208" s="60" t="inlineStr">
        <is>
          <t>Vertex Men X-995</t>
        </is>
      </c>
      <c r="D9208" s="58" t="inlineStr">
        <is>
          <t>Apparel</t>
        </is>
      </c>
      <c r="E9208" s="58" t="inlineStr">
        <is>
          <t>Central</t>
        </is>
      </c>
      <c r="F9208" s="61" t="n">
        <v>1</v>
      </c>
      <c r="G9208" s="62" t="n">
        <v>92.11</v>
      </c>
      <c r="H9208" s="63" t="n">
        <v>0.173</v>
      </c>
      <c r="I9208" s="62" t="n">
        <v>56.16</v>
      </c>
      <c r="J9208" s="58" t="inlineStr">
        <is>
          <t>Online</t>
        </is>
      </c>
      <c r="K9208" s="62">
        <f>F9208*(G9208-H9208)</f>
        <v/>
      </c>
      <c r="L9208" s="62">
        <f>K9208-(F9208*I9208)</f>
        <v/>
      </c>
      <c r="M9208" s="64">
        <f>L9208/K9208</f>
        <v/>
      </c>
    </row>
    <row r="9209">
      <c r="A9209" s="58" t="inlineStr">
        <is>
          <t>RT20250818-09208</t>
        </is>
      </c>
      <c r="B9209" s="59" t="inlineStr">
        <is>
          <t>2025-08-18</t>
        </is>
      </c>
      <c r="C9209" s="60" t="inlineStr">
        <is>
          <t>Vertex Snack S-702</t>
        </is>
      </c>
      <c r="D9209" s="58" t="inlineStr">
        <is>
          <t>Grocery</t>
        </is>
      </c>
      <c r="E9209" s="58" t="inlineStr">
        <is>
          <t>East</t>
        </is>
      </c>
      <c r="F9209" s="61" t="n">
        <v>2</v>
      </c>
      <c r="G9209" s="62" t="n">
        <v>2.08</v>
      </c>
      <c r="H9209" s="63" t="n">
        <v>0.136</v>
      </c>
      <c r="I9209" s="62" t="n">
        <v>1.49</v>
      </c>
      <c r="J9209" s="58" t="inlineStr">
        <is>
          <t>Store</t>
        </is>
      </c>
      <c r="K9209" s="62">
        <f>F9209*(G9209-H9209)</f>
        <v/>
      </c>
      <c r="L9209" s="62">
        <f>K9209-(F9209*I9209)</f>
        <v/>
      </c>
      <c r="M9209" s="64">
        <f>L9209/K9209</f>
        <v/>
      </c>
    </row>
    <row r="9210">
      <c r="A9210" s="58" t="inlineStr">
        <is>
          <t>RT20250818-09209</t>
        </is>
      </c>
      <c r="B9210" s="59" t="inlineStr">
        <is>
          <t>2025-08-18</t>
        </is>
      </c>
      <c r="C9210" s="60" t="inlineStr">
        <is>
          <t>Aurora Smartphone Plus-125</t>
        </is>
      </c>
      <c r="D9210" s="58" t="inlineStr">
        <is>
          <t>Electronics</t>
        </is>
      </c>
      <c r="E9210" s="58" t="inlineStr">
        <is>
          <t>East</t>
        </is>
      </c>
      <c r="F9210" s="61" t="n">
        <v>1</v>
      </c>
      <c r="G9210" s="62" t="n">
        <v>1487.08</v>
      </c>
      <c r="H9210" s="63" t="n">
        <v>0.161</v>
      </c>
      <c r="I9210" s="62" t="n">
        <v>1211.32</v>
      </c>
      <c r="J9210" s="58" t="inlineStr">
        <is>
          <t>Online</t>
        </is>
      </c>
      <c r="K9210" s="62">
        <f>F9210*(G9210-H9210)</f>
        <v/>
      </c>
      <c r="L9210" s="62">
        <f>K9210-(F9210*I9210)</f>
        <v/>
      </c>
      <c r="M9210" s="64">
        <f>L9210/K9210</f>
        <v/>
      </c>
    </row>
    <row r="9211">
      <c r="A9211" s="58" t="inlineStr">
        <is>
          <t>RT20250818-09210</t>
        </is>
      </c>
      <c r="B9211" s="59" t="inlineStr">
        <is>
          <t>2025-08-18</t>
        </is>
      </c>
      <c r="C9211" s="60" t="inlineStr">
        <is>
          <t>Polar Beverage S-258</t>
        </is>
      </c>
      <c r="D9211" s="58" t="inlineStr">
        <is>
          <t>Grocery</t>
        </is>
      </c>
      <c r="E9211" s="58" t="inlineStr">
        <is>
          <t>Central</t>
        </is>
      </c>
      <c r="F9211" s="61" t="n">
        <v>4</v>
      </c>
      <c r="G9211" s="62" t="n">
        <v>12.87</v>
      </c>
      <c r="H9211" s="63" t="n">
        <v>0.143</v>
      </c>
      <c r="I9211" s="62" t="n">
        <v>9.960000000000001</v>
      </c>
      <c r="J9211" s="58" t="inlineStr">
        <is>
          <t>Store</t>
        </is>
      </c>
      <c r="K9211" s="62">
        <f>F9211*(G9211-H9211)</f>
        <v/>
      </c>
      <c r="L9211" s="62">
        <f>K9211-(F9211*I9211)</f>
        <v/>
      </c>
      <c r="M9211" s="64">
        <f>L9211/K9211</f>
        <v/>
      </c>
    </row>
    <row r="9212">
      <c r="A9212" s="58" t="inlineStr">
        <is>
          <t>RT20250818-09211</t>
        </is>
      </c>
      <c r="B9212" s="59" t="inlineStr">
        <is>
          <t>2025-08-18</t>
        </is>
      </c>
      <c r="C9212" s="60" t="inlineStr">
        <is>
          <t>Polar Bedding Lite-243</t>
        </is>
      </c>
      <c r="D9212" s="58" t="inlineStr">
        <is>
          <t>Home</t>
        </is>
      </c>
      <c r="E9212" s="58" t="inlineStr">
        <is>
          <t>North</t>
        </is>
      </c>
      <c r="F9212" s="61" t="n">
        <v>2</v>
      </c>
      <c r="G9212" s="62" t="n">
        <v>456.63</v>
      </c>
      <c r="H9212" s="63" t="n">
        <v>0.14</v>
      </c>
      <c r="I9212" s="62" t="n">
        <v>315.69</v>
      </c>
      <c r="J9212" s="58" t="inlineStr">
        <is>
          <t>Store</t>
        </is>
      </c>
      <c r="K9212" s="62">
        <f>F9212*(G9212-H9212)</f>
        <v/>
      </c>
      <c r="L9212" s="62">
        <f>K9212-(F9212*I9212)</f>
        <v/>
      </c>
      <c r="M9212" s="64">
        <f>L9212/K9212</f>
        <v/>
      </c>
    </row>
    <row r="9213">
      <c r="A9213" s="58" t="inlineStr">
        <is>
          <t>RT20250818-09212</t>
        </is>
      </c>
      <c r="B9213" s="59" t="inlineStr">
        <is>
          <t>2025-08-18</t>
        </is>
      </c>
      <c r="C9213" s="60" t="inlineStr">
        <is>
          <t>Orion Supplie S-612</t>
        </is>
      </c>
      <c r="D9213" s="58" t="inlineStr">
        <is>
          <t>Office</t>
        </is>
      </c>
      <c r="E9213" s="58" t="inlineStr">
        <is>
          <t>North</t>
        </is>
      </c>
      <c r="F9213" s="61" t="n">
        <v>2</v>
      </c>
      <c r="G9213" s="62" t="n">
        <v>456.82</v>
      </c>
      <c r="H9213" s="63" t="n">
        <v>0.162</v>
      </c>
      <c r="I9213" s="62" t="n">
        <v>332.02</v>
      </c>
      <c r="J9213" s="58" t="inlineStr">
        <is>
          <t>Online</t>
        </is>
      </c>
      <c r="K9213" s="62">
        <f>F9213*(G9213-H9213)</f>
        <v/>
      </c>
      <c r="L9213" s="62">
        <f>K9213-(F9213*I9213)</f>
        <v/>
      </c>
      <c r="M9213" s="64">
        <f>L9213/K9213</f>
        <v/>
      </c>
    </row>
    <row r="9214">
      <c r="A9214" s="58" t="inlineStr">
        <is>
          <t>RT20250818-09213</t>
        </is>
      </c>
      <c r="B9214" s="59" t="inlineStr">
        <is>
          <t>2025-08-18</t>
        </is>
      </c>
      <c r="C9214" s="60" t="inlineStr">
        <is>
          <t>Solace Kitchen X-919</t>
        </is>
      </c>
      <c r="D9214" s="58" t="inlineStr">
        <is>
          <t>Home</t>
        </is>
      </c>
      <c r="E9214" s="58" t="inlineStr">
        <is>
          <t>West</t>
        </is>
      </c>
      <c r="F9214" s="61" t="n">
        <v>3</v>
      </c>
      <c r="G9214" s="62" t="n">
        <v>374.12</v>
      </c>
      <c r="H9214" s="63" t="n">
        <v>0.179</v>
      </c>
      <c r="I9214" s="62" t="n">
        <v>268.23</v>
      </c>
      <c r="J9214" s="58" t="inlineStr">
        <is>
          <t>Store</t>
        </is>
      </c>
      <c r="K9214" s="62">
        <f>F9214*(G9214-H9214)</f>
        <v/>
      </c>
      <c r="L9214" s="62">
        <f>K9214-(F9214*I9214)</f>
        <v/>
      </c>
      <c r="M9214" s="64">
        <f>L9214/K9214</f>
        <v/>
      </c>
    </row>
    <row r="9215">
      <c r="A9215" s="58" t="inlineStr">
        <is>
          <t>RT20250818-09214</t>
        </is>
      </c>
      <c r="B9215" s="59" t="inlineStr">
        <is>
          <t>2025-08-18</t>
        </is>
      </c>
      <c r="C9215" s="60" t="inlineStr">
        <is>
          <t>Orion Haircare Plus-887</t>
        </is>
      </c>
      <c r="D9215" s="58" t="inlineStr">
        <is>
          <t>Beauty</t>
        </is>
      </c>
      <c r="E9215" s="58" t="inlineStr">
        <is>
          <t>West</t>
        </is>
      </c>
      <c r="F9215" s="61" t="n">
        <v>1</v>
      </c>
      <c r="G9215" s="62" t="n">
        <v>53.09</v>
      </c>
      <c r="H9215" s="63" t="n">
        <v>0.146</v>
      </c>
      <c r="I9215" s="62" t="n">
        <v>30.37</v>
      </c>
      <c r="J9215" s="58" t="inlineStr">
        <is>
          <t>Store</t>
        </is>
      </c>
      <c r="K9215" s="62">
        <f>F9215*(G9215-H9215)</f>
        <v/>
      </c>
      <c r="L9215" s="62">
        <f>K9215-(F9215*I9215)</f>
        <v/>
      </c>
      <c r="M9215" s="64">
        <f>L9215/K9215</f>
        <v/>
      </c>
    </row>
    <row r="9216">
      <c r="A9216" s="58" t="inlineStr">
        <is>
          <t>RT20250818-09215</t>
        </is>
      </c>
      <c r="B9216" s="59" t="inlineStr">
        <is>
          <t>2025-08-18</t>
        </is>
      </c>
      <c r="C9216" s="60" t="inlineStr">
        <is>
          <t>Nimbus Women Plus-352</t>
        </is>
      </c>
      <c r="D9216" s="58" t="inlineStr">
        <is>
          <t>Apparel</t>
        </is>
      </c>
      <c r="E9216" s="58" t="inlineStr">
        <is>
          <t>East</t>
        </is>
      </c>
      <c r="F9216" s="61" t="n">
        <v>2</v>
      </c>
      <c r="G9216" s="62" t="n">
        <v>56</v>
      </c>
      <c r="H9216" s="63" t="n">
        <v>0.136</v>
      </c>
      <c r="I9216" s="62" t="n">
        <v>32.33</v>
      </c>
      <c r="J9216" s="58" t="inlineStr">
        <is>
          <t>Online</t>
        </is>
      </c>
      <c r="K9216" s="62">
        <f>F9216*(G9216-H9216)</f>
        <v/>
      </c>
      <c r="L9216" s="62">
        <f>K9216-(F9216*I9216)</f>
        <v/>
      </c>
      <c r="M9216" s="64">
        <f>L9216/K9216</f>
        <v/>
      </c>
    </row>
    <row r="9217">
      <c r="A9217" s="58" t="inlineStr">
        <is>
          <t>RT20250818-09216</t>
        </is>
      </c>
      <c r="B9217" s="59" t="inlineStr">
        <is>
          <t>2025-08-18</t>
        </is>
      </c>
      <c r="C9217" s="60" t="inlineStr">
        <is>
          <t>Orion Supplie S-612</t>
        </is>
      </c>
      <c r="D9217" s="58" t="inlineStr">
        <is>
          <t>Office</t>
        </is>
      </c>
      <c r="E9217" s="58" t="inlineStr">
        <is>
          <t>West</t>
        </is>
      </c>
      <c r="F9217" s="61" t="n">
        <v>2</v>
      </c>
      <c r="G9217" s="62" t="n">
        <v>509.42</v>
      </c>
      <c r="H9217" s="63" t="n">
        <v>0.133</v>
      </c>
      <c r="I9217" s="62" t="n">
        <v>342.87</v>
      </c>
      <c r="J9217" s="58" t="inlineStr">
        <is>
          <t>Store</t>
        </is>
      </c>
      <c r="K9217" s="62">
        <f>F9217*(G9217-H9217)</f>
        <v/>
      </c>
      <c r="L9217" s="62">
        <f>K9217-(F9217*I9217)</f>
        <v/>
      </c>
      <c r="M9217" s="64">
        <f>L9217/K9217</f>
        <v/>
      </c>
    </row>
    <row r="9218">
      <c r="A9218" s="58" t="inlineStr">
        <is>
          <t>RT20250819-09217</t>
        </is>
      </c>
      <c r="B9218" s="59" t="inlineStr">
        <is>
          <t>2025-08-19</t>
        </is>
      </c>
      <c r="C9218" s="60" t="inlineStr">
        <is>
          <t>Aurora Team Sport Plus-256</t>
        </is>
      </c>
      <c r="D9218" s="58" t="inlineStr">
        <is>
          <t>Sports</t>
        </is>
      </c>
      <c r="E9218" s="58" t="inlineStr">
        <is>
          <t>West</t>
        </is>
      </c>
      <c r="F9218" s="61" t="n">
        <v>1</v>
      </c>
      <c r="G9218" s="62" t="n">
        <v>704.48</v>
      </c>
      <c r="H9218" s="63" t="n">
        <v>0.151</v>
      </c>
      <c r="I9218" s="62" t="n">
        <v>423.12</v>
      </c>
      <c r="J9218" s="58" t="inlineStr">
        <is>
          <t>Online</t>
        </is>
      </c>
      <c r="K9218" s="62">
        <f>F9218*(G9218-H9218)</f>
        <v/>
      </c>
      <c r="L9218" s="62">
        <f>K9218-(F9218*I9218)</f>
        <v/>
      </c>
      <c r="M9218" s="64">
        <f>L9218/K9218</f>
        <v/>
      </c>
    </row>
    <row r="9219">
      <c r="A9219" s="58" t="inlineStr">
        <is>
          <t>RT20250819-09218</t>
        </is>
      </c>
      <c r="B9219" s="59" t="inlineStr">
        <is>
          <t>2025-08-19</t>
        </is>
      </c>
      <c r="C9219" s="60" t="inlineStr">
        <is>
          <t>Polar Fragrance Pro-750</t>
        </is>
      </c>
      <c r="D9219" s="58" t="inlineStr">
        <is>
          <t>Beauty</t>
        </is>
      </c>
      <c r="E9219" s="58" t="inlineStr">
        <is>
          <t>West</t>
        </is>
      </c>
      <c r="F9219" s="61" t="n">
        <v>4</v>
      </c>
      <c r="G9219" s="62" t="n">
        <v>71.92</v>
      </c>
      <c r="H9219" s="63" t="n">
        <v>0.176</v>
      </c>
      <c r="I9219" s="62" t="n">
        <v>35.82</v>
      </c>
      <c r="J9219" s="58" t="inlineStr">
        <is>
          <t>Store</t>
        </is>
      </c>
      <c r="K9219" s="62">
        <f>F9219*(G9219-H9219)</f>
        <v/>
      </c>
      <c r="L9219" s="62">
        <f>K9219-(F9219*I9219)</f>
        <v/>
      </c>
      <c r="M9219" s="64">
        <f>L9219/K9219</f>
        <v/>
      </c>
    </row>
    <row r="9220">
      <c r="A9220" s="58" t="inlineStr">
        <is>
          <t>RT20250819-09219</t>
        </is>
      </c>
      <c r="B9220" s="59" t="inlineStr">
        <is>
          <t>2025-08-19</t>
        </is>
      </c>
      <c r="C9220" s="60" t="inlineStr">
        <is>
          <t>Polar Women Max-927</t>
        </is>
      </c>
      <c r="D9220" s="58" t="inlineStr">
        <is>
          <t>Apparel</t>
        </is>
      </c>
      <c r="E9220" s="58" t="inlineStr">
        <is>
          <t>East</t>
        </is>
      </c>
      <c r="F9220" s="61" t="n">
        <v>4</v>
      </c>
      <c r="G9220" s="62" t="n">
        <v>108.51</v>
      </c>
      <c r="H9220" s="63" t="n">
        <v>0.196</v>
      </c>
      <c r="I9220" s="62" t="n">
        <v>64.18000000000001</v>
      </c>
      <c r="J9220" s="58" t="inlineStr">
        <is>
          <t>Store</t>
        </is>
      </c>
      <c r="K9220" s="62">
        <f>F9220*(G9220-H9220)</f>
        <v/>
      </c>
      <c r="L9220" s="62">
        <f>K9220-(F9220*I9220)</f>
        <v/>
      </c>
      <c r="M9220" s="64">
        <f>L9220/K9220</f>
        <v/>
      </c>
    </row>
    <row r="9221">
      <c r="A9221" s="58" t="inlineStr">
        <is>
          <t>RT20250819-09220</t>
        </is>
      </c>
      <c r="B9221" s="59" t="inlineStr">
        <is>
          <t>2025-08-19</t>
        </is>
      </c>
      <c r="C9221" s="60" t="inlineStr">
        <is>
          <t>Falcon Storage X-734</t>
        </is>
      </c>
      <c r="D9221" s="58" t="inlineStr">
        <is>
          <t>Office</t>
        </is>
      </c>
      <c r="E9221" s="58" t="inlineStr">
        <is>
          <t>Central</t>
        </is>
      </c>
      <c r="F9221" s="61" t="n">
        <v>3</v>
      </c>
      <c r="G9221" s="62" t="n">
        <v>392.71</v>
      </c>
      <c r="H9221" s="63" t="n">
        <v>0.149</v>
      </c>
      <c r="I9221" s="62" t="n">
        <v>278.04</v>
      </c>
      <c r="J9221" s="58" t="inlineStr">
        <is>
          <t>Store</t>
        </is>
      </c>
      <c r="K9221" s="62">
        <f>F9221*(G9221-H9221)</f>
        <v/>
      </c>
      <c r="L9221" s="62">
        <f>K9221-(F9221*I9221)</f>
        <v/>
      </c>
      <c r="M9221" s="64">
        <f>L9221/K9221</f>
        <v/>
      </c>
    </row>
    <row r="9222">
      <c r="A9222" s="58" t="inlineStr">
        <is>
          <t>RT20250819-09221</t>
        </is>
      </c>
      <c r="B9222" s="59" t="inlineStr">
        <is>
          <t>2025-08-19</t>
        </is>
      </c>
      <c r="C9222" s="60" t="inlineStr">
        <is>
          <t>Aurora Fitnes Lite-194</t>
        </is>
      </c>
      <c r="D9222" s="58" t="inlineStr">
        <is>
          <t>Sports</t>
        </is>
      </c>
      <c r="E9222" s="58" t="inlineStr">
        <is>
          <t>Central</t>
        </is>
      </c>
      <c r="F9222" s="61" t="n">
        <v>3</v>
      </c>
      <c r="G9222" s="62" t="n">
        <v>729.11</v>
      </c>
      <c r="H9222" s="63" t="n">
        <v>0.181</v>
      </c>
      <c r="I9222" s="62" t="n">
        <v>475.88</v>
      </c>
      <c r="J9222" s="58" t="inlineStr">
        <is>
          <t>Online</t>
        </is>
      </c>
      <c r="K9222" s="62">
        <f>F9222*(G9222-H9222)</f>
        <v/>
      </c>
      <c r="L9222" s="62">
        <f>K9222-(F9222*I9222)</f>
        <v/>
      </c>
      <c r="M9222" s="64">
        <f>L9222/K9222</f>
        <v/>
      </c>
    </row>
    <row r="9223">
      <c r="A9223" s="58" t="inlineStr">
        <is>
          <t>RT20250819-09222</t>
        </is>
      </c>
      <c r="B9223" s="59" t="inlineStr">
        <is>
          <t>2025-08-19</t>
        </is>
      </c>
      <c r="C9223" s="60" t="inlineStr">
        <is>
          <t>Orion Supplie S-612</t>
        </is>
      </c>
      <c r="D9223" s="58" t="inlineStr">
        <is>
          <t>Office</t>
        </is>
      </c>
      <c r="E9223" s="58" t="inlineStr">
        <is>
          <t>East</t>
        </is>
      </c>
      <c r="F9223" s="61" t="n">
        <v>2</v>
      </c>
      <c r="G9223" s="62" t="n">
        <v>464.37</v>
      </c>
      <c r="H9223" s="63" t="n">
        <v>0.165</v>
      </c>
      <c r="I9223" s="62" t="n">
        <v>329.63</v>
      </c>
      <c r="J9223" s="58" t="inlineStr">
        <is>
          <t>Store</t>
        </is>
      </c>
      <c r="K9223" s="62">
        <f>F9223*(G9223-H9223)</f>
        <v/>
      </c>
      <c r="L9223" s="62">
        <f>K9223-(F9223*I9223)</f>
        <v/>
      </c>
      <c r="M9223" s="64">
        <f>L9223/K9223</f>
        <v/>
      </c>
    </row>
    <row r="9224">
      <c r="A9224" s="58" t="inlineStr">
        <is>
          <t>RT20250819-09223</t>
        </is>
      </c>
      <c r="B9224" s="59" t="inlineStr">
        <is>
          <t>2025-08-19</t>
        </is>
      </c>
      <c r="C9224" s="60" t="inlineStr">
        <is>
          <t>Vertex Appliance S-296</t>
        </is>
      </c>
      <c r="D9224" s="58" t="inlineStr">
        <is>
          <t>Home</t>
        </is>
      </c>
      <c r="E9224" s="58" t="inlineStr">
        <is>
          <t>North</t>
        </is>
      </c>
      <c r="F9224" s="61" t="n">
        <v>3</v>
      </c>
      <c r="G9224" s="62" t="n">
        <v>542.11</v>
      </c>
      <c r="H9224" s="63" t="n">
        <v>0.156</v>
      </c>
      <c r="I9224" s="62" t="n">
        <v>363.36</v>
      </c>
      <c r="J9224" s="58" t="inlineStr">
        <is>
          <t>Store</t>
        </is>
      </c>
      <c r="K9224" s="62">
        <f>F9224*(G9224-H9224)</f>
        <v/>
      </c>
      <c r="L9224" s="62">
        <f>K9224-(F9224*I9224)</f>
        <v/>
      </c>
      <c r="M9224" s="64">
        <f>L9224/K9224</f>
        <v/>
      </c>
    </row>
    <row r="9225">
      <c r="A9225" s="58" t="inlineStr">
        <is>
          <t>RT20250819-09224</t>
        </is>
      </c>
      <c r="B9225" s="59" t="inlineStr">
        <is>
          <t>2025-08-19</t>
        </is>
      </c>
      <c r="C9225" s="60" t="inlineStr">
        <is>
          <t>Vertex Supplie Pro-786</t>
        </is>
      </c>
      <c r="D9225" s="58" t="inlineStr">
        <is>
          <t>Office</t>
        </is>
      </c>
      <c r="E9225" s="58" t="inlineStr">
        <is>
          <t>Central</t>
        </is>
      </c>
      <c r="F9225" s="61" t="n">
        <v>3</v>
      </c>
      <c r="G9225" s="62" t="n">
        <v>451.84</v>
      </c>
      <c r="H9225" s="63" t="n">
        <v>0.14</v>
      </c>
      <c r="I9225" s="62" t="n">
        <v>294.46</v>
      </c>
      <c r="J9225" s="58" t="inlineStr">
        <is>
          <t>Phone</t>
        </is>
      </c>
      <c r="K9225" s="62">
        <f>F9225*(G9225-H9225)</f>
        <v/>
      </c>
      <c r="L9225" s="62">
        <f>K9225-(F9225*I9225)</f>
        <v/>
      </c>
      <c r="M9225" s="64">
        <f>L9225/K9225</f>
        <v/>
      </c>
    </row>
    <row r="9226">
      <c r="A9226" s="58" t="inlineStr">
        <is>
          <t>RT20250819-09225</t>
        </is>
      </c>
      <c r="B9226" s="59" t="inlineStr">
        <is>
          <t>2025-08-19</t>
        </is>
      </c>
      <c r="C9226" s="60" t="inlineStr">
        <is>
          <t>Vertex Skincare Pro-891</t>
        </is>
      </c>
      <c r="D9226" s="58" t="inlineStr">
        <is>
          <t>Beauty</t>
        </is>
      </c>
      <c r="E9226" s="58" t="inlineStr">
        <is>
          <t>South</t>
        </is>
      </c>
      <c r="F9226" s="61" t="n">
        <v>5</v>
      </c>
      <c r="G9226" s="62" t="n">
        <v>144.87</v>
      </c>
      <c r="H9226" s="63" t="n">
        <v>0.193</v>
      </c>
      <c r="I9226" s="62" t="n">
        <v>88.04000000000001</v>
      </c>
      <c r="J9226" s="58" t="inlineStr">
        <is>
          <t>Store</t>
        </is>
      </c>
      <c r="K9226" s="62">
        <f>F9226*(G9226-H9226)</f>
        <v/>
      </c>
      <c r="L9226" s="62">
        <f>K9226-(F9226*I9226)</f>
        <v/>
      </c>
      <c r="M9226" s="64">
        <f>L9226/K9226</f>
        <v/>
      </c>
    </row>
    <row r="9227">
      <c r="A9227" s="58" t="inlineStr">
        <is>
          <t>RT20250819-09226</t>
        </is>
      </c>
      <c r="B9227" s="59" t="inlineStr">
        <is>
          <t>2025-08-19</t>
        </is>
      </c>
      <c r="C9227" s="60" t="inlineStr">
        <is>
          <t>Nimbus Laptop Max-652</t>
        </is>
      </c>
      <c r="D9227" s="58" t="inlineStr">
        <is>
          <t>Electronics</t>
        </is>
      </c>
      <c r="E9227" s="58" t="inlineStr">
        <is>
          <t>West</t>
        </is>
      </c>
      <c r="F9227" s="61" t="n">
        <v>1</v>
      </c>
      <c r="G9227" s="62" t="n">
        <v>1325.91</v>
      </c>
      <c r="H9227" s="63" t="n">
        <v>0.141</v>
      </c>
      <c r="I9227" s="62" t="n">
        <v>1061.23</v>
      </c>
      <c r="J9227" s="58" t="inlineStr">
        <is>
          <t>Online</t>
        </is>
      </c>
      <c r="K9227" s="62">
        <f>F9227*(G9227-H9227)</f>
        <v/>
      </c>
      <c r="L9227" s="62">
        <f>K9227-(F9227*I9227)</f>
        <v/>
      </c>
      <c r="M9227" s="64">
        <f>L9227/K9227</f>
        <v/>
      </c>
    </row>
    <row r="9228">
      <c r="A9228" s="58" t="inlineStr">
        <is>
          <t>RT20250819-09227</t>
        </is>
      </c>
      <c r="B9228" s="59" t="inlineStr">
        <is>
          <t>2025-08-19</t>
        </is>
      </c>
      <c r="C9228" s="60" t="inlineStr">
        <is>
          <t>Aurora Printer Plus-723</t>
        </is>
      </c>
      <c r="D9228" s="58" t="inlineStr">
        <is>
          <t>Office</t>
        </is>
      </c>
      <c r="E9228" s="58" t="inlineStr">
        <is>
          <t>South</t>
        </is>
      </c>
      <c r="F9228" s="61" t="n">
        <v>2</v>
      </c>
      <c r="G9228" s="62" t="n">
        <v>236.25</v>
      </c>
      <c r="H9228" s="63" t="n">
        <v>0.166</v>
      </c>
      <c r="I9228" s="62" t="n">
        <v>185.44</v>
      </c>
      <c r="J9228" s="58" t="inlineStr">
        <is>
          <t>Online</t>
        </is>
      </c>
      <c r="K9228" s="62">
        <f>F9228*(G9228-H9228)</f>
        <v/>
      </c>
      <c r="L9228" s="62">
        <f>K9228-(F9228*I9228)</f>
        <v/>
      </c>
      <c r="M9228" s="64">
        <f>L9228/K9228</f>
        <v/>
      </c>
    </row>
    <row r="9229">
      <c r="A9229" s="58" t="inlineStr">
        <is>
          <t>RT20250819-09228</t>
        </is>
      </c>
      <c r="B9229" s="59" t="inlineStr">
        <is>
          <t>2025-08-19</t>
        </is>
      </c>
      <c r="C9229" s="60" t="inlineStr">
        <is>
          <t>Nimbus Laptop Max-652</t>
        </is>
      </c>
      <c r="D9229" s="58" t="inlineStr">
        <is>
          <t>Electronics</t>
        </is>
      </c>
      <c r="E9229" s="58" t="inlineStr">
        <is>
          <t>East</t>
        </is>
      </c>
      <c r="F9229" s="61" t="n">
        <v>2</v>
      </c>
      <c r="G9229" s="62" t="n">
        <v>1350.05</v>
      </c>
      <c r="H9229" s="63" t="n">
        <v>0.157</v>
      </c>
      <c r="I9229" s="62" t="n">
        <v>1042.98</v>
      </c>
      <c r="J9229" s="58" t="inlineStr">
        <is>
          <t>Store</t>
        </is>
      </c>
      <c r="K9229" s="62">
        <f>F9229*(G9229-H9229)</f>
        <v/>
      </c>
      <c r="L9229" s="62">
        <f>K9229-(F9229*I9229)</f>
        <v/>
      </c>
      <c r="M9229" s="64">
        <f>L9229/K9229</f>
        <v/>
      </c>
    </row>
    <row r="9230">
      <c r="A9230" s="58" t="inlineStr">
        <is>
          <t>RT20250819-09229</t>
        </is>
      </c>
      <c r="B9230" s="59" t="inlineStr">
        <is>
          <t>2025-08-19</t>
        </is>
      </c>
      <c r="C9230" s="60" t="inlineStr">
        <is>
          <t>Falcon Team Sport Lite-268</t>
        </is>
      </c>
      <c r="D9230" s="58" t="inlineStr">
        <is>
          <t>Sports</t>
        </is>
      </c>
      <c r="E9230" s="58" t="inlineStr">
        <is>
          <t>South</t>
        </is>
      </c>
      <c r="F9230" s="61" t="n">
        <v>3</v>
      </c>
      <c r="G9230" s="62" t="n">
        <v>669.5599999999999</v>
      </c>
      <c r="H9230" s="63" t="n">
        <v>0.169</v>
      </c>
      <c r="I9230" s="62" t="n">
        <v>446.26</v>
      </c>
      <c r="J9230" s="58" t="inlineStr">
        <is>
          <t>Store</t>
        </is>
      </c>
      <c r="K9230" s="62">
        <f>F9230*(G9230-H9230)</f>
        <v/>
      </c>
      <c r="L9230" s="62">
        <f>K9230-(F9230*I9230)</f>
        <v/>
      </c>
      <c r="M9230" s="64">
        <f>L9230/K9230</f>
        <v/>
      </c>
    </row>
    <row r="9231">
      <c r="A9231" s="58" t="inlineStr">
        <is>
          <t>RT20250819-09230</t>
        </is>
      </c>
      <c r="B9231" s="59" t="inlineStr">
        <is>
          <t>2025-08-19</t>
        </is>
      </c>
      <c r="C9231" s="60" t="inlineStr">
        <is>
          <t>Solace Kid S-384</t>
        </is>
      </c>
      <c r="D9231" s="58" t="inlineStr">
        <is>
          <t>Apparel</t>
        </is>
      </c>
      <c r="E9231" s="58" t="inlineStr">
        <is>
          <t>East</t>
        </is>
      </c>
      <c r="F9231" s="61" t="n">
        <v>1</v>
      </c>
      <c r="G9231" s="62" t="n">
        <v>102.45</v>
      </c>
      <c r="H9231" s="63" t="n">
        <v>0.175</v>
      </c>
      <c r="I9231" s="62" t="n">
        <v>61.91</v>
      </c>
      <c r="J9231" s="58" t="inlineStr">
        <is>
          <t>Online</t>
        </is>
      </c>
      <c r="K9231" s="62">
        <f>F9231*(G9231-H9231)</f>
        <v/>
      </c>
      <c r="L9231" s="62">
        <f>K9231-(F9231*I9231)</f>
        <v/>
      </c>
      <c r="M9231" s="64">
        <f>L9231/K9231</f>
        <v/>
      </c>
    </row>
    <row r="9232">
      <c r="A9232" s="58" t="inlineStr">
        <is>
          <t>RT20250820-09231</t>
        </is>
      </c>
      <c r="B9232" s="59" t="inlineStr">
        <is>
          <t>2025-08-20</t>
        </is>
      </c>
      <c r="C9232" s="60" t="inlineStr">
        <is>
          <t>Solace Kitchen X-919</t>
        </is>
      </c>
      <c r="D9232" s="58" t="inlineStr">
        <is>
          <t>Home</t>
        </is>
      </c>
      <c r="E9232" s="58" t="inlineStr">
        <is>
          <t>North</t>
        </is>
      </c>
      <c r="F9232" s="61" t="n">
        <v>1</v>
      </c>
      <c r="G9232" s="62" t="n">
        <v>392.93</v>
      </c>
      <c r="H9232" s="63" t="n">
        <v>0.144</v>
      </c>
      <c r="I9232" s="62" t="n">
        <v>258.34</v>
      </c>
      <c r="J9232" s="58" t="inlineStr">
        <is>
          <t>Online</t>
        </is>
      </c>
      <c r="K9232" s="62">
        <f>F9232*(G9232-H9232)</f>
        <v/>
      </c>
      <c r="L9232" s="62">
        <f>K9232-(F9232*I9232)</f>
        <v/>
      </c>
      <c r="M9232" s="64">
        <f>L9232/K9232</f>
        <v/>
      </c>
    </row>
    <row r="9233">
      <c r="A9233" s="58" t="inlineStr">
        <is>
          <t>RT20250820-09232</t>
        </is>
      </c>
      <c r="B9233" s="59" t="inlineStr">
        <is>
          <t>2025-08-20</t>
        </is>
      </c>
      <c r="C9233" s="60" t="inlineStr">
        <is>
          <t>Aurora Printer Plus-723</t>
        </is>
      </c>
      <c r="D9233" s="58" t="inlineStr">
        <is>
          <t>Office</t>
        </is>
      </c>
      <c r="E9233" s="58" t="inlineStr">
        <is>
          <t>West</t>
        </is>
      </c>
      <c r="F9233" s="61" t="n">
        <v>2</v>
      </c>
      <c r="G9233" s="62" t="n">
        <v>278.71</v>
      </c>
      <c r="H9233" s="63" t="n">
        <v>0.185</v>
      </c>
      <c r="I9233" s="62" t="n">
        <v>185.53</v>
      </c>
      <c r="J9233" s="58" t="inlineStr">
        <is>
          <t>Online</t>
        </is>
      </c>
      <c r="K9233" s="62">
        <f>F9233*(G9233-H9233)</f>
        <v/>
      </c>
      <c r="L9233" s="62">
        <f>K9233-(F9233*I9233)</f>
        <v/>
      </c>
      <c r="M9233" s="64">
        <f>L9233/K9233</f>
        <v/>
      </c>
    </row>
    <row r="9234">
      <c r="A9234" s="58" t="inlineStr">
        <is>
          <t>RT20250820-09233</t>
        </is>
      </c>
      <c r="B9234" s="59" t="inlineStr">
        <is>
          <t>2025-08-20</t>
        </is>
      </c>
      <c r="C9234" s="60" t="inlineStr">
        <is>
          <t>Solace Fitnes S-324</t>
        </is>
      </c>
      <c r="D9234" s="58" t="inlineStr">
        <is>
          <t>Sports</t>
        </is>
      </c>
      <c r="E9234" s="58" t="inlineStr">
        <is>
          <t>South</t>
        </is>
      </c>
      <c r="F9234" s="61" t="n">
        <v>2</v>
      </c>
      <c r="G9234" s="62" t="n">
        <v>805.98</v>
      </c>
      <c r="H9234" s="63" t="n">
        <v>0.178</v>
      </c>
      <c r="I9234" s="62" t="n">
        <v>526.52</v>
      </c>
      <c r="J9234" s="58" t="inlineStr">
        <is>
          <t>Store</t>
        </is>
      </c>
      <c r="K9234" s="62">
        <f>F9234*(G9234-H9234)</f>
        <v/>
      </c>
      <c r="L9234" s="62">
        <f>K9234-(F9234*I9234)</f>
        <v/>
      </c>
      <c r="M9234" s="64">
        <f>L9234/K9234</f>
        <v/>
      </c>
    </row>
    <row r="9235">
      <c r="A9235" s="58" t="inlineStr">
        <is>
          <t>RT20250820-09234</t>
        </is>
      </c>
      <c r="B9235" s="59" t="inlineStr">
        <is>
          <t>2025-08-20</t>
        </is>
      </c>
      <c r="C9235" s="60" t="inlineStr">
        <is>
          <t>Falcon Headphone Plus-789</t>
        </is>
      </c>
      <c r="D9235" s="58" t="inlineStr">
        <is>
          <t>Electronics</t>
        </is>
      </c>
      <c r="E9235" s="58" t="inlineStr">
        <is>
          <t>Central</t>
        </is>
      </c>
      <c r="F9235" s="61" t="n">
        <v>1</v>
      </c>
      <c r="G9235" s="62" t="n">
        <v>1879.92</v>
      </c>
      <c r="H9235" s="63" t="n">
        <v>0.174</v>
      </c>
      <c r="I9235" s="62" t="n">
        <v>1333.69</v>
      </c>
      <c r="J9235" s="58" t="inlineStr">
        <is>
          <t>Store</t>
        </is>
      </c>
      <c r="K9235" s="62">
        <f>F9235*(G9235-H9235)</f>
        <v/>
      </c>
      <c r="L9235" s="62">
        <f>K9235-(F9235*I9235)</f>
        <v/>
      </c>
      <c r="M9235" s="64">
        <f>L9235/K9235</f>
        <v/>
      </c>
    </row>
    <row r="9236">
      <c r="A9236" s="58" t="inlineStr">
        <is>
          <t>RT20250820-09235</t>
        </is>
      </c>
      <c r="B9236" s="59" t="inlineStr">
        <is>
          <t>2025-08-20</t>
        </is>
      </c>
      <c r="C9236" s="60" t="inlineStr">
        <is>
          <t>Polar Cycling X-649</t>
        </is>
      </c>
      <c r="D9236" s="58" t="inlineStr">
        <is>
          <t>Sports</t>
        </is>
      </c>
      <c r="E9236" s="58" t="inlineStr">
        <is>
          <t>South</t>
        </is>
      </c>
      <c r="F9236" s="61" t="n">
        <v>1</v>
      </c>
      <c r="G9236" s="62" t="n">
        <v>498.75</v>
      </c>
      <c r="H9236" s="63" t="n">
        <v>0.147</v>
      </c>
      <c r="I9236" s="62" t="n">
        <v>364.49</v>
      </c>
      <c r="J9236" s="58" t="inlineStr">
        <is>
          <t>Online</t>
        </is>
      </c>
      <c r="K9236" s="62">
        <f>F9236*(G9236-H9236)</f>
        <v/>
      </c>
      <c r="L9236" s="62">
        <f>K9236-(F9236*I9236)</f>
        <v/>
      </c>
      <c r="M9236" s="64">
        <f>L9236/K9236</f>
        <v/>
      </c>
    </row>
    <row r="9237">
      <c r="A9237" s="58" t="inlineStr">
        <is>
          <t>RT20250820-09236</t>
        </is>
      </c>
      <c r="B9237" s="59" t="inlineStr">
        <is>
          <t>2025-08-20</t>
        </is>
      </c>
      <c r="C9237" s="60" t="inlineStr">
        <is>
          <t>Solace Snack S-691</t>
        </is>
      </c>
      <c r="D9237" s="58" t="inlineStr">
        <is>
          <t>Grocery</t>
        </is>
      </c>
      <c r="E9237" s="58" t="inlineStr">
        <is>
          <t>East</t>
        </is>
      </c>
      <c r="F9237" s="61" t="n">
        <v>7</v>
      </c>
      <c r="G9237" s="62" t="n">
        <v>9.619999999999999</v>
      </c>
      <c r="H9237" s="63" t="n">
        <v>0.143</v>
      </c>
      <c r="I9237" s="62" t="n">
        <v>7.12</v>
      </c>
      <c r="J9237" s="58" t="inlineStr">
        <is>
          <t>Online</t>
        </is>
      </c>
      <c r="K9237" s="62">
        <f>F9237*(G9237-H9237)</f>
        <v/>
      </c>
      <c r="L9237" s="62">
        <f>K9237-(F9237*I9237)</f>
        <v/>
      </c>
      <c r="M9237" s="64">
        <f>L9237/K9237</f>
        <v/>
      </c>
    </row>
    <row r="9238">
      <c r="A9238" s="58" t="inlineStr">
        <is>
          <t>RT20250820-09237</t>
        </is>
      </c>
      <c r="B9238" s="59" t="inlineStr">
        <is>
          <t>2025-08-20</t>
        </is>
      </c>
      <c r="C9238" s="60" t="inlineStr">
        <is>
          <t>Vertex Appliance Max-338</t>
        </is>
      </c>
      <c r="D9238" s="58" t="inlineStr">
        <is>
          <t>Home</t>
        </is>
      </c>
      <c r="E9238" s="58" t="inlineStr">
        <is>
          <t>East</t>
        </is>
      </c>
      <c r="F9238" s="61" t="n">
        <v>1</v>
      </c>
      <c r="G9238" s="62" t="n">
        <v>455.71</v>
      </c>
      <c r="H9238" s="63" t="n">
        <v>0.161</v>
      </c>
      <c r="I9238" s="62" t="n">
        <v>284.2</v>
      </c>
      <c r="J9238" s="58" t="inlineStr">
        <is>
          <t>Store</t>
        </is>
      </c>
      <c r="K9238" s="62">
        <f>F9238*(G9238-H9238)</f>
        <v/>
      </c>
      <c r="L9238" s="62">
        <f>K9238-(F9238*I9238)</f>
        <v/>
      </c>
      <c r="M9238" s="64">
        <f>L9238/K9238</f>
        <v/>
      </c>
    </row>
    <row r="9239">
      <c r="A9239" s="58" t="inlineStr">
        <is>
          <t>RT20250820-09238</t>
        </is>
      </c>
      <c r="B9239" s="59" t="inlineStr">
        <is>
          <t>2025-08-20</t>
        </is>
      </c>
      <c r="C9239" s="60" t="inlineStr">
        <is>
          <t>Nimbus Laptop Max-652</t>
        </is>
      </c>
      <c r="D9239" s="58" t="inlineStr">
        <is>
          <t>Electronics</t>
        </is>
      </c>
      <c r="E9239" s="58" t="inlineStr">
        <is>
          <t>South</t>
        </is>
      </c>
      <c r="F9239" s="61" t="n">
        <v>2</v>
      </c>
      <c r="G9239" s="62" t="n">
        <v>1445.91</v>
      </c>
      <c r="H9239" s="63" t="n">
        <v>0.131</v>
      </c>
      <c r="I9239" s="62" t="n">
        <v>1047.95</v>
      </c>
      <c r="J9239" s="58" t="inlineStr">
        <is>
          <t>Store</t>
        </is>
      </c>
      <c r="K9239" s="62">
        <f>F9239*(G9239-H9239)</f>
        <v/>
      </c>
      <c r="L9239" s="62">
        <f>K9239-(F9239*I9239)</f>
        <v/>
      </c>
      <c r="M9239" s="64">
        <f>L9239/K9239</f>
        <v/>
      </c>
    </row>
    <row r="9240">
      <c r="A9240" s="58" t="inlineStr">
        <is>
          <t>RT20250820-09239</t>
        </is>
      </c>
      <c r="B9240" s="59" t="inlineStr">
        <is>
          <t>2025-08-20</t>
        </is>
      </c>
      <c r="C9240" s="60" t="inlineStr">
        <is>
          <t>Solace Fitnes S-324</t>
        </is>
      </c>
      <c r="D9240" s="58" t="inlineStr">
        <is>
          <t>Sports</t>
        </is>
      </c>
      <c r="E9240" s="58" t="inlineStr">
        <is>
          <t>West</t>
        </is>
      </c>
      <c r="F9240" s="61" t="n">
        <v>2</v>
      </c>
      <c r="G9240" s="62" t="n">
        <v>731.41</v>
      </c>
      <c r="H9240" s="63" t="n">
        <v>0.117</v>
      </c>
      <c r="I9240" s="62" t="n">
        <v>523.5700000000001</v>
      </c>
      <c r="J9240" s="58" t="inlineStr">
        <is>
          <t>Online</t>
        </is>
      </c>
      <c r="K9240" s="62">
        <f>F9240*(G9240-H9240)</f>
        <v/>
      </c>
      <c r="L9240" s="62">
        <f>K9240-(F9240*I9240)</f>
        <v/>
      </c>
      <c r="M9240" s="64">
        <f>L9240/K9240</f>
        <v/>
      </c>
    </row>
    <row r="9241">
      <c r="A9241" s="58" t="inlineStr">
        <is>
          <t>RT20250820-09240</t>
        </is>
      </c>
      <c r="B9241" s="59" t="inlineStr">
        <is>
          <t>2025-08-20</t>
        </is>
      </c>
      <c r="C9241" s="60" t="inlineStr">
        <is>
          <t>Nimbus Storage Plus-646</t>
        </is>
      </c>
      <c r="D9241" s="58" t="inlineStr">
        <is>
          <t>Office</t>
        </is>
      </c>
      <c r="E9241" s="58" t="inlineStr">
        <is>
          <t>East</t>
        </is>
      </c>
      <c r="F9241" s="61" t="n">
        <v>1</v>
      </c>
      <c r="G9241" s="62" t="n">
        <v>493.13</v>
      </c>
      <c r="H9241" s="63" t="n">
        <v>0.165</v>
      </c>
      <c r="I9241" s="62" t="n">
        <v>309.31</v>
      </c>
      <c r="J9241" s="58" t="inlineStr">
        <is>
          <t>Online</t>
        </is>
      </c>
      <c r="K9241" s="62">
        <f>F9241*(G9241-H9241)</f>
        <v/>
      </c>
      <c r="L9241" s="62">
        <f>K9241-(F9241*I9241)</f>
        <v/>
      </c>
      <c r="M9241" s="64">
        <f>L9241/K9241</f>
        <v/>
      </c>
    </row>
    <row r="9242">
      <c r="A9242" s="58" t="inlineStr">
        <is>
          <t>RT20250820-09241</t>
        </is>
      </c>
      <c r="B9242" s="59" t="inlineStr">
        <is>
          <t>2025-08-20</t>
        </is>
      </c>
      <c r="C9242" s="60" t="inlineStr">
        <is>
          <t>Orion Snack X-322</t>
        </is>
      </c>
      <c r="D9242" s="58" t="inlineStr">
        <is>
          <t>Grocery</t>
        </is>
      </c>
      <c r="E9242" s="58" t="inlineStr">
        <is>
          <t>East</t>
        </is>
      </c>
      <c r="F9242" s="61" t="n">
        <v>3</v>
      </c>
      <c r="G9242" s="62" t="n">
        <v>14.26</v>
      </c>
      <c r="H9242" s="63" t="n">
        <v>0.144</v>
      </c>
      <c r="I9242" s="62" t="n">
        <v>10.23</v>
      </c>
      <c r="J9242" s="58" t="inlineStr">
        <is>
          <t>Store</t>
        </is>
      </c>
      <c r="K9242" s="62">
        <f>F9242*(G9242-H9242)</f>
        <v/>
      </c>
      <c r="L9242" s="62">
        <f>K9242-(F9242*I9242)</f>
        <v/>
      </c>
      <c r="M9242" s="64">
        <f>L9242/K9242</f>
        <v/>
      </c>
    </row>
    <row r="9243">
      <c r="A9243" s="58" t="inlineStr">
        <is>
          <t>RT20250820-09242</t>
        </is>
      </c>
      <c r="B9243" s="59" t="inlineStr">
        <is>
          <t>2025-08-20</t>
        </is>
      </c>
      <c r="C9243" s="60" t="inlineStr">
        <is>
          <t>Aurora Bedding Max-175</t>
        </is>
      </c>
      <c r="D9243" s="58" t="inlineStr">
        <is>
          <t>Home</t>
        </is>
      </c>
      <c r="E9243" s="58" t="inlineStr">
        <is>
          <t>East</t>
        </is>
      </c>
      <c r="F9243" s="61" t="n">
        <v>3</v>
      </c>
      <c r="G9243" s="62" t="n">
        <v>686.28</v>
      </c>
      <c r="H9243" s="63" t="n">
        <v>0.168</v>
      </c>
      <c r="I9243" s="62" t="n">
        <v>408.01</v>
      </c>
      <c r="J9243" s="58" t="inlineStr">
        <is>
          <t>Store</t>
        </is>
      </c>
      <c r="K9243" s="62">
        <f>F9243*(G9243-H9243)</f>
        <v/>
      </c>
      <c r="L9243" s="62">
        <f>K9243-(F9243*I9243)</f>
        <v/>
      </c>
      <c r="M9243" s="64">
        <f>L9243/K9243</f>
        <v/>
      </c>
    </row>
    <row r="9244">
      <c r="A9244" s="58" t="inlineStr">
        <is>
          <t>RT20250820-09243</t>
        </is>
      </c>
      <c r="B9244" s="59" t="inlineStr">
        <is>
          <t>2025-08-20</t>
        </is>
      </c>
      <c r="C9244" s="60" t="inlineStr">
        <is>
          <t>Metro Pantry Max-180</t>
        </is>
      </c>
      <c r="D9244" s="58" t="inlineStr">
        <is>
          <t>Grocery</t>
        </is>
      </c>
      <c r="E9244" s="58" t="inlineStr">
        <is>
          <t>Central</t>
        </is>
      </c>
      <c r="F9244" s="61" t="n">
        <v>6</v>
      </c>
      <c r="G9244" s="62" t="n">
        <v>8.85</v>
      </c>
      <c r="H9244" s="63" t="n">
        <v>0.119</v>
      </c>
      <c r="I9244" s="62" t="n">
        <v>6.7</v>
      </c>
      <c r="J9244" s="58" t="inlineStr">
        <is>
          <t>Online</t>
        </is>
      </c>
      <c r="K9244" s="62">
        <f>F9244*(G9244-H9244)</f>
        <v/>
      </c>
      <c r="L9244" s="62">
        <f>K9244-(F9244*I9244)</f>
        <v/>
      </c>
      <c r="M9244" s="64">
        <f>L9244/K9244</f>
        <v/>
      </c>
    </row>
    <row r="9245">
      <c r="A9245" s="58" t="inlineStr">
        <is>
          <t>RT20250820-09244</t>
        </is>
      </c>
      <c r="B9245" s="59" t="inlineStr">
        <is>
          <t>2025-08-20</t>
        </is>
      </c>
      <c r="C9245" s="60" t="inlineStr">
        <is>
          <t>Solace Kitchen Pro-510</t>
        </is>
      </c>
      <c r="D9245" s="58" t="inlineStr">
        <is>
          <t>Home</t>
        </is>
      </c>
      <c r="E9245" s="58" t="inlineStr">
        <is>
          <t>South</t>
        </is>
      </c>
      <c r="F9245" s="61" t="n">
        <v>2</v>
      </c>
      <c r="G9245" s="62" t="n">
        <v>474.37</v>
      </c>
      <c r="H9245" s="63" t="n">
        <v>0.121</v>
      </c>
      <c r="I9245" s="62" t="n">
        <v>304.07</v>
      </c>
      <c r="J9245" s="58" t="inlineStr">
        <is>
          <t>Store</t>
        </is>
      </c>
      <c r="K9245" s="62">
        <f>F9245*(G9245-H9245)</f>
        <v/>
      </c>
      <c r="L9245" s="62">
        <f>K9245-(F9245*I9245)</f>
        <v/>
      </c>
      <c r="M9245" s="64">
        <f>L9245/K9245</f>
        <v/>
      </c>
    </row>
    <row r="9246">
      <c r="A9246" s="58" t="inlineStr">
        <is>
          <t>RT20250820-09245</t>
        </is>
      </c>
      <c r="B9246" s="59" t="inlineStr">
        <is>
          <t>2025-08-20</t>
        </is>
      </c>
      <c r="C9246" s="60" t="inlineStr">
        <is>
          <t>Vertex Smartphone Lite-267</t>
        </is>
      </c>
      <c r="D9246" s="58" t="inlineStr">
        <is>
          <t>Electronics</t>
        </is>
      </c>
      <c r="E9246" s="58" t="inlineStr">
        <is>
          <t>Central</t>
        </is>
      </c>
      <c r="F9246" s="61" t="n">
        <v>1</v>
      </c>
      <c r="G9246" s="62" t="n">
        <v>1165.58</v>
      </c>
      <c r="H9246" s="63" t="n">
        <v>0.16</v>
      </c>
      <c r="I9246" s="62" t="n">
        <v>950.5700000000001</v>
      </c>
      <c r="J9246" s="58" t="inlineStr">
        <is>
          <t>Phone</t>
        </is>
      </c>
      <c r="K9246" s="62">
        <f>F9246*(G9246-H9246)</f>
        <v/>
      </c>
      <c r="L9246" s="62">
        <f>K9246-(F9246*I9246)</f>
        <v/>
      </c>
      <c r="M9246" s="64">
        <f>L9246/K9246</f>
        <v/>
      </c>
    </row>
    <row r="9247">
      <c r="A9247" s="58" t="inlineStr">
        <is>
          <t>RT20250820-09246</t>
        </is>
      </c>
      <c r="B9247" s="59" t="inlineStr">
        <is>
          <t>2025-08-20</t>
        </is>
      </c>
      <c r="C9247" s="60" t="inlineStr">
        <is>
          <t>Falcon Beverage Max-702</t>
        </is>
      </c>
      <c r="D9247" s="58" t="inlineStr">
        <is>
          <t>Grocery</t>
        </is>
      </c>
      <c r="E9247" s="58" t="inlineStr">
        <is>
          <t>West</t>
        </is>
      </c>
      <c r="F9247" s="61" t="n">
        <v>1</v>
      </c>
      <c r="G9247" s="62" t="n">
        <v>24.98</v>
      </c>
      <c r="H9247" s="63" t="n">
        <v>0.112</v>
      </c>
      <c r="I9247" s="62" t="n">
        <v>20.41</v>
      </c>
      <c r="J9247" s="58" t="inlineStr">
        <is>
          <t>Store</t>
        </is>
      </c>
      <c r="K9247" s="62">
        <f>F9247*(G9247-H9247)</f>
        <v/>
      </c>
      <c r="L9247" s="62">
        <f>K9247-(F9247*I9247)</f>
        <v/>
      </c>
      <c r="M9247" s="64">
        <f>L9247/K9247</f>
        <v/>
      </c>
    </row>
    <row r="9248">
      <c r="A9248" s="58" t="inlineStr">
        <is>
          <t>RT20250820-09247</t>
        </is>
      </c>
      <c r="B9248" s="59" t="inlineStr">
        <is>
          <t>2025-08-20</t>
        </is>
      </c>
      <c r="C9248" s="60" t="inlineStr">
        <is>
          <t>Falcon Household Pro-865</t>
        </is>
      </c>
      <c r="D9248" s="58" t="inlineStr">
        <is>
          <t>Grocery</t>
        </is>
      </c>
      <c r="E9248" s="58" t="inlineStr">
        <is>
          <t>West</t>
        </is>
      </c>
      <c r="F9248" s="61" t="n">
        <v>4</v>
      </c>
      <c r="G9248" s="62" t="n">
        <v>10.55</v>
      </c>
      <c r="H9248" s="63" t="n">
        <v>0.191</v>
      </c>
      <c r="I9248" s="62" t="n">
        <v>7.89</v>
      </c>
      <c r="J9248" s="58" t="inlineStr">
        <is>
          <t>Store</t>
        </is>
      </c>
      <c r="K9248" s="62">
        <f>F9248*(G9248-H9248)</f>
        <v/>
      </c>
      <c r="L9248" s="62">
        <f>K9248-(F9248*I9248)</f>
        <v/>
      </c>
      <c r="M9248" s="64">
        <f>L9248/K9248</f>
        <v/>
      </c>
    </row>
    <row r="9249">
      <c r="A9249" s="58" t="inlineStr">
        <is>
          <t>RT20250820-09248</t>
        </is>
      </c>
      <c r="B9249" s="59" t="inlineStr">
        <is>
          <t>2025-08-20</t>
        </is>
      </c>
      <c r="C9249" s="60" t="inlineStr">
        <is>
          <t>Solace Laptop S-367</t>
        </is>
      </c>
      <c r="D9249" s="58" t="inlineStr">
        <is>
          <t>Electronics</t>
        </is>
      </c>
      <c r="E9249" s="58" t="inlineStr">
        <is>
          <t>Central</t>
        </is>
      </c>
      <c r="F9249" s="61" t="n">
        <v>1</v>
      </c>
      <c r="G9249" s="62" t="n">
        <v>1951.84</v>
      </c>
      <c r="H9249" s="63" t="n">
        <v>0.127</v>
      </c>
      <c r="I9249" s="62" t="n">
        <v>1578.32</v>
      </c>
      <c r="J9249" s="58" t="inlineStr">
        <is>
          <t>Online</t>
        </is>
      </c>
      <c r="K9249" s="62">
        <f>F9249*(G9249-H9249)</f>
        <v/>
      </c>
      <c r="L9249" s="62">
        <f>K9249-(F9249*I9249)</f>
        <v/>
      </c>
      <c r="M9249" s="64">
        <f>L9249/K9249</f>
        <v/>
      </c>
    </row>
    <row r="9250">
      <c r="A9250" s="58" t="inlineStr">
        <is>
          <t>RT20250820-09249</t>
        </is>
      </c>
      <c r="B9250" s="59" t="inlineStr">
        <is>
          <t>2025-08-20</t>
        </is>
      </c>
      <c r="C9250" s="60" t="inlineStr">
        <is>
          <t>Aurora Appliance Lite-109</t>
        </is>
      </c>
      <c r="D9250" s="58" t="inlineStr">
        <is>
          <t>Home</t>
        </is>
      </c>
      <c r="E9250" s="58" t="inlineStr">
        <is>
          <t>South</t>
        </is>
      </c>
      <c r="F9250" s="61" t="n">
        <v>3</v>
      </c>
      <c r="G9250" s="62" t="n">
        <v>303.52</v>
      </c>
      <c r="H9250" s="63" t="n">
        <v>0.199</v>
      </c>
      <c r="I9250" s="62" t="n">
        <v>201.99</v>
      </c>
      <c r="J9250" s="58" t="inlineStr">
        <is>
          <t>Online</t>
        </is>
      </c>
      <c r="K9250" s="62">
        <f>F9250*(G9250-H9250)</f>
        <v/>
      </c>
      <c r="L9250" s="62">
        <f>K9250-(F9250*I9250)</f>
        <v/>
      </c>
      <c r="M9250" s="64">
        <f>L9250/K9250</f>
        <v/>
      </c>
    </row>
    <row r="9251">
      <c r="A9251" s="58" t="inlineStr">
        <is>
          <t>RT20250820-09250</t>
        </is>
      </c>
      <c r="B9251" s="59" t="inlineStr">
        <is>
          <t>2025-08-20</t>
        </is>
      </c>
      <c r="C9251" s="60" t="inlineStr">
        <is>
          <t>Aurora Storage Lite-774</t>
        </is>
      </c>
      <c r="D9251" s="58" t="inlineStr">
        <is>
          <t>Office</t>
        </is>
      </c>
      <c r="E9251" s="58" t="inlineStr">
        <is>
          <t>West</t>
        </is>
      </c>
      <c r="F9251" s="61" t="n">
        <v>1</v>
      </c>
      <c r="G9251" s="62" t="n">
        <v>344.31</v>
      </c>
      <c r="H9251" s="63" t="n">
        <v>0.127</v>
      </c>
      <c r="I9251" s="62" t="n">
        <v>241.69</v>
      </c>
      <c r="J9251" s="58" t="inlineStr">
        <is>
          <t>Online</t>
        </is>
      </c>
      <c r="K9251" s="62">
        <f>F9251*(G9251-H9251)</f>
        <v/>
      </c>
      <c r="L9251" s="62">
        <f>K9251-(F9251*I9251)</f>
        <v/>
      </c>
      <c r="M9251" s="64">
        <f>L9251/K9251</f>
        <v/>
      </c>
    </row>
    <row r="9252">
      <c r="A9252" s="58" t="inlineStr">
        <is>
          <t>RT20250820-09251</t>
        </is>
      </c>
      <c r="B9252" s="59" t="inlineStr">
        <is>
          <t>2025-08-20</t>
        </is>
      </c>
      <c r="C9252" s="60" t="inlineStr">
        <is>
          <t>Aurora Appliance Max-316</t>
        </is>
      </c>
      <c r="D9252" s="58" t="inlineStr">
        <is>
          <t>Home</t>
        </is>
      </c>
      <c r="E9252" s="58" t="inlineStr">
        <is>
          <t>East</t>
        </is>
      </c>
      <c r="F9252" s="61" t="n">
        <v>3</v>
      </c>
      <c r="G9252" s="62" t="n">
        <v>298.96</v>
      </c>
      <c r="H9252" s="63" t="n">
        <v>0.162</v>
      </c>
      <c r="I9252" s="62" t="n">
        <v>217.44</v>
      </c>
      <c r="J9252" s="58" t="inlineStr">
        <is>
          <t>Store</t>
        </is>
      </c>
      <c r="K9252" s="62">
        <f>F9252*(G9252-H9252)</f>
        <v/>
      </c>
      <c r="L9252" s="62">
        <f>K9252-(F9252*I9252)</f>
        <v/>
      </c>
      <c r="M9252" s="64">
        <f>L9252/K9252</f>
        <v/>
      </c>
    </row>
    <row r="9253">
      <c r="A9253" s="58" t="inlineStr">
        <is>
          <t>RT20250820-09252</t>
        </is>
      </c>
      <c r="B9253" s="59" t="inlineStr">
        <is>
          <t>2025-08-20</t>
        </is>
      </c>
      <c r="C9253" s="60" t="inlineStr">
        <is>
          <t>Orion Kitchen Pro-568</t>
        </is>
      </c>
      <c r="D9253" s="58" t="inlineStr">
        <is>
          <t>Home</t>
        </is>
      </c>
      <c r="E9253" s="58" t="inlineStr">
        <is>
          <t>East</t>
        </is>
      </c>
      <c r="F9253" s="61" t="n">
        <v>3</v>
      </c>
      <c r="G9253" s="62" t="n">
        <v>462.91</v>
      </c>
      <c r="H9253" s="63" t="n">
        <v>0.111</v>
      </c>
      <c r="I9253" s="62" t="n">
        <v>314.55</v>
      </c>
      <c r="J9253" s="58" t="inlineStr">
        <is>
          <t>Online</t>
        </is>
      </c>
      <c r="K9253" s="62">
        <f>F9253*(G9253-H9253)</f>
        <v/>
      </c>
      <c r="L9253" s="62">
        <f>K9253-(F9253*I9253)</f>
        <v/>
      </c>
      <c r="M9253" s="64">
        <f>L9253/K9253</f>
        <v/>
      </c>
    </row>
    <row r="9254">
      <c r="A9254" s="58" t="inlineStr">
        <is>
          <t>RT20250820-09253</t>
        </is>
      </c>
      <c r="B9254" s="59" t="inlineStr">
        <is>
          <t>2025-08-20</t>
        </is>
      </c>
      <c r="C9254" s="60" t="inlineStr">
        <is>
          <t>Vertex Headphone Pro-801</t>
        </is>
      </c>
      <c r="D9254" s="58" t="inlineStr">
        <is>
          <t>Electronics</t>
        </is>
      </c>
      <c r="E9254" s="58" t="inlineStr">
        <is>
          <t>East</t>
        </is>
      </c>
      <c r="F9254" s="61" t="n">
        <v>2</v>
      </c>
      <c r="G9254" s="62" t="n">
        <v>1055.35</v>
      </c>
      <c r="H9254" s="63" t="n">
        <v>0.157</v>
      </c>
      <c r="I9254" s="62" t="n">
        <v>863.75</v>
      </c>
      <c r="J9254" s="58" t="inlineStr">
        <is>
          <t>Online</t>
        </is>
      </c>
      <c r="K9254" s="62">
        <f>F9254*(G9254-H9254)</f>
        <v/>
      </c>
      <c r="L9254" s="62">
        <f>K9254-(F9254*I9254)</f>
        <v/>
      </c>
      <c r="M9254" s="64">
        <f>L9254/K9254</f>
        <v/>
      </c>
    </row>
    <row r="9255">
      <c r="A9255" s="58" t="inlineStr">
        <is>
          <t>RT20250820-09254</t>
        </is>
      </c>
      <c r="B9255" s="59" t="inlineStr">
        <is>
          <t>2025-08-20</t>
        </is>
      </c>
      <c r="C9255" s="60" t="inlineStr">
        <is>
          <t>Aurora Printer Plus-723</t>
        </is>
      </c>
      <c r="D9255" s="58" t="inlineStr">
        <is>
          <t>Office</t>
        </is>
      </c>
      <c r="E9255" s="58" t="inlineStr">
        <is>
          <t>West</t>
        </is>
      </c>
      <c r="F9255" s="61" t="n">
        <v>2</v>
      </c>
      <c r="G9255" s="62" t="n">
        <v>267.21</v>
      </c>
      <c r="H9255" s="63" t="n">
        <v>0.17</v>
      </c>
      <c r="I9255" s="62" t="n">
        <v>188.66</v>
      </c>
      <c r="J9255" s="58" t="inlineStr">
        <is>
          <t>Online</t>
        </is>
      </c>
      <c r="K9255" s="62">
        <f>F9255*(G9255-H9255)</f>
        <v/>
      </c>
      <c r="L9255" s="62">
        <f>K9255-(F9255*I9255)</f>
        <v/>
      </c>
      <c r="M9255" s="64">
        <f>L9255/K9255</f>
        <v/>
      </c>
    </row>
    <row r="9256">
      <c r="A9256" s="58" t="inlineStr">
        <is>
          <t>RT20250820-09255</t>
        </is>
      </c>
      <c r="B9256" s="59" t="inlineStr">
        <is>
          <t>2025-08-20</t>
        </is>
      </c>
      <c r="C9256" s="60" t="inlineStr">
        <is>
          <t>Orion Men X-928</t>
        </is>
      </c>
      <c r="D9256" s="58" t="inlineStr">
        <is>
          <t>Apparel</t>
        </is>
      </c>
      <c r="E9256" s="58" t="inlineStr">
        <is>
          <t>East</t>
        </is>
      </c>
      <c r="F9256" s="61" t="n">
        <v>4</v>
      </c>
      <c r="G9256" s="62" t="n">
        <v>117.48</v>
      </c>
      <c r="H9256" s="63" t="n">
        <v>0.156</v>
      </c>
      <c r="I9256" s="62" t="n">
        <v>62.9</v>
      </c>
      <c r="J9256" s="58" t="inlineStr">
        <is>
          <t>Store</t>
        </is>
      </c>
      <c r="K9256" s="62">
        <f>F9256*(G9256-H9256)</f>
        <v/>
      </c>
      <c r="L9256" s="62">
        <f>K9256-(F9256*I9256)</f>
        <v/>
      </c>
      <c r="M9256" s="64">
        <f>L9256/K9256</f>
        <v/>
      </c>
    </row>
    <row r="9257">
      <c r="A9257" s="58" t="inlineStr">
        <is>
          <t>RT20250820-09256</t>
        </is>
      </c>
      <c r="B9257" s="59" t="inlineStr">
        <is>
          <t>2025-08-20</t>
        </is>
      </c>
      <c r="C9257" s="60" t="inlineStr">
        <is>
          <t>Vertex Accessorie Pro-881</t>
        </is>
      </c>
      <c r="D9257" s="58" t="inlineStr">
        <is>
          <t>Apparel</t>
        </is>
      </c>
      <c r="E9257" s="58" t="inlineStr">
        <is>
          <t>South</t>
        </is>
      </c>
      <c r="F9257" s="61" t="n">
        <v>3</v>
      </c>
      <c r="G9257" s="62" t="n">
        <v>104.17</v>
      </c>
      <c r="H9257" s="63" t="n">
        <v>0.152</v>
      </c>
      <c r="I9257" s="62" t="n">
        <v>61.01</v>
      </c>
      <c r="J9257" s="58" t="inlineStr">
        <is>
          <t>Online</t>
        </is>
      </c>
      <c r="K9257" s="62">
        <f>F9257*(G9257-H9257)</f>
        <v/>
      </c>
      <c r="L9257" s="62">
        <f>K9257-(F9257*I9257)</f>
        <v/>
      </c>
      <c r="M9257" s="64">
        <f>L9257/K9257</f>
        <v/>
      </c>
    </row>
    <row r="9258">
      <c r="A9258" s="58" t="inlineStr">
        <is>
          <t>RT20250820-09257</t>
        </is>
      </c>
      <c r="B9258" s="59" t="inlineStr">
        <is>
          <t>2025-08-20</t>
        </is>
      </c>
      <c r="C9258" s="60" t="inlineStr">
        <is>
          <t>Solace Kitchen Pro-999</t>
        </is>
      </c>
      <c r="D9258" s="58" t="inlineStr">
        <is>
          <t>Home</t>
        </is>
      </c>
      <c r="E9258" s="58" t="inlineStr">
        <is>
          <t>East</t>
        </is>
      </c>
      <c r="F9258" s="61" t="n">
        <v>3</v>
      </c>
      <c r="G9258" s="62" t="n">
        <v>402.42</v>
      </c>
      <c r="H9258" s="63" t="n">
        <v>0.156</v>
      </c>
      <c r="I9258" s="62" t="n">
        <v>258.65</v>
      </c>
      <c r="J9258" s="58" t="inlineStr">
        <is>
          <t>Online</t>
        </is>
      </c>
      <c r="K9258" s="62">
        <f>F9258*(G9258-H9258)</f>
        <v/>
      </c>
      <c r="L9258" s="62">
        <f>K9258-(F9258*I9258)</f>
        <v/>
      </c>
      <c r="M9258" s="64">
        <f>L9258/K9258</f>
        <v/>
      </c>
    </row>
    <row r="9259">
      <c r="A9259" s="58" t="inlineStr">
        <is>
          <t>RT20250820-09258</t>
        </is>
      </c>
      <c r="B9259" s="59" t="inlineStr">
        <is>
          <t>2025-08-20</t>
        </is>
      </c>
      <c r="C9259" s="60" t="inlineStr">
        <is>
          <t>Nimbus Women Plus-352</t>
        </is>
      </c>
      <c r="D9259" s="58" t="inlineStr">
        <is>
          <t>Apparel</t>
        </is>
      </c>
      <c r="E9259" s="58" t="inlineStr">
        <is>
          <t>East</t>
        </is>
      </c>
      <c r="F9259" s="61" t="n">
        <v>2</v>
      </c>
      <c r="G9259" s="62" t="n">
        <v>61.63</v>
      </c>
      <c r="H9259" s="63" t="n">
        <v>0.196</v>
      </c>
      <c r="I9259" s="62" t="n">
        <v>32.82</v>
      </c>
      <c r="J9259" s="58" t="inlineStr">
        <is>
          <t>Store</t>
        </is>
      </c>
      <c r="K9259" s="62">
        <f>F9259*(G9259-H9259)</f>
        <v/>
      </c>
      <c r="L9259" s="62">
        <f>K9259-(F9259*I9259)</f>
        <v/>
      </c>
      <c r="M9259" s="64">
        <f>L9259/K9259</f>
        <v/>
      </c>
    </row>
    <row r="9260">
      <c r="A9260" s="58" t="inlineStr">
        <is>
          <t>RT20250820-09259</t>
        </is>
      </c>
      <c r="B9260" s="59" t="inlineStr">
        <is>
          <t>2025-08-20</t>
        </is>
      </c>
      <c r="C9260" s="60" t="inlineStr">
        <is>
          <t>Polar Cycling S-223</t>
        </is>
      </c>
      <c r="D9260" s="58" t="inlineStr">
        <is>
          <t>Sports</t>
        </is>
      </c>
      <c r="E9260" s="58" t="inlineStr">
        <is>
          <t>East</t>
        </is>
      </c>
      <c r="F9260" s="61" t="n">
        <v>3</v>
      </c>
      <c r="G9260" s="62" t="n">
        <v>1011.42</v>
      </c>
      <c r="H9260" s="63" t="n">
        <v>0.156</v>
      </c>
      <c r="I9260" s="62" t="n">
        <v>620.74</v>
      </c>
      <c r="J9260" s="58" t="inlineStr">
        <is>
          <t>Online</t>
        </is>
      </c>
      <c r="K9260" s="62">
        <f>F9260*(G9260-H9260)</f>
        <v/>
      </c>
      <c r="L9260" s="62">
        <f>K9260-(F9260*I9260)</f>
        <v/>
      </c>
      <c r="M9260" s="64">
        <f>L9260/K9260</f>
        <v/>
      </c>
    </row>
    <row r="9261">
      <c r="A9261" s="58" t="inlineStr">
        <is>
          <t>RT20250820-09260</t>
        </is>
      </c>
      <c r="B9261" s="59" t="inlineStr">
        <is>
          <t>2025-08-20</t>
        </is>
      </c>
      <c r="C9261" s="60" t="inlineStr">
        <is>
          <t>Falcon Wearable X-334</t>
        </is>
      </c>
      <c r="D9261" s="58" t="inlineStr">
        <is>
          <t>Electronics</t>
        </is>
      </c>
      <c r="E9261" s="58" t="inlineStr">
        <is>
          <t>East</t>
        </is>
      </c>
      <c r="F9261" s="61" t="n">
        <v>2</v>
      </c>
      <c r="G9261" s="62" t="n">
        <v>2033.06</v>
      </c>
      <c r="H9261" s="63" t="n">
        <v>0.126</v>
      </c>
      <c r="I9261" s="62" t="n">
        <v>1492.68</v>
      </c>
      <c r="J9261" s="58" t="inlineStr">
        <is>
          <t>Online</t>
        </is>
      </c>
      <c r="K9261" s="62">
        <f>F9261*(G9261-H9261)</f>
        <v/>
      </c>
      <c r="L9261" s="62">
        <f>K9261-(F9261*I9261)</f>
        <v/>
      </c>
      <c r="M9261" s="64">
        <f>L9261/K9261</f>
        <v/>
      </c>
    </row>
    <row r="9262">
      <c r="A9262" s="58" t="inlineStr">
        <is>
          <t>RT20250820-09261</t>
        </is>
      </c>
      <c r="B9262" s="59" t="inlineStr">
        <is>
          <t>2025-08-20</t>
        </is>
      </c>
      <c r="C9262" s="60" t="inlineStr">
        <is>
          <t>Polar Outdoor Lite-318</t>
        </is>
      </c>
      <c r="D9262" s="58" t="inlineStr">
        <is>
          <t>Sports</t>
        </is>
      </c>
      <c r="E9262" s="58" t="inlineStr">
        <is>
          <t>West</t>
        </is>
      </c>
      <c r="F9262" s="61" t="n">
        <v>3</v>
      </c>
      <c r="G9262" s="62" t="n">
        <v>853.97</v>
      </c>
      <c r="H9262" s="63" t="n">
        <v>0.169</v>
      </c>
      <c r="I9262" s="62" t="n">
        <v>459.41</v>
      </c>
      <c r="J9262" s="58" t="inlineStr">
        <is>
          <t>Store</t>
        </is>
      </c>
      <c r="K9262" s="62">
        <f>F9262*(G9262-H9262)</f>
        <v/>
      </c>
      <c r="L9262" s="62">
        <f>K9262-(F9262*I9262)</f>
        <v/>
      </c>
      <c r="M9262" s="64">
        <f>L9262/K9262</f>
        <v/>
      </c>
    </row>
    <row r="9263">
      <c r="A9263" s="58" t="inlineStr">
        <is>
          <t>RT20250820-09262</t>
        </is>
      </c>
      <c r="B9263" s="59" t="inlineStr">
        <is>
          <t>2025-08-20</t>
        </is>
      </c>
      <c r="C9263" s="60" t="inlineStr">
        <is>
          <t>Orion Kitchen Pro-568</t>
        </is>
      </c>
      <c r="D9263" s="58" t="inlineStr">
        <is>
          <t>Home</t>
        </is>
      </c>
      <c r="E9263" s="58" t="inlineStr">
        <is>
          <t>West</t>
        </is>
      </c>
      <c r="F9263" s="61" t="n">
        <v>2</v>
      </c>
      <c r="G9263" s="62" t="n">
        <v>517.3</v>
      </c>
      <c r="H9263" s="63" t="n">
        <v>0.139</v>
      </c>
      <c r="I9263" s="62" t="n">
        <v>299.87</v>
      </c>
      <c r="J9263" s="58" t="inlineStr">
        <is>
          <t>Online</t>
        </is>
      </c>
      <c r="K9263" s="62">
        <f>F9263*(G9263-H9263)</f>
        <v/>
      </c>
      <c r="L9263" s="62">
        <f>K9263-(F9263*I9263)</f>
        <v/>
      </c>
      <c r="M9263" s="64">
        <f>L9263/K9263</f>
        <v/>
      </c>
    </row>
    <row r="9264">
      <c r="A9264" s="58" t="inlineStr">
        <is>
          <t>RT20250820-09263</t>
        </is>
      </c>
      <c r="B9264" s="59" t="inlineStr">
        <is>
          <t>2025-08-20</t>
        </is>
      </c>
      <c r="C9264" s="60" t="inlineStr">
        <is>
          <t>Orion Storage Plus-961</t>
        </is>
      </c>
      <c r="D9264" s="58" t="inlineStr">
        <is>
          <t>Office</t>
        </is>
      </c>
      <c r="E9264" s="58" t="inlineStr">
        <is>
          <t>Central</t>
        </is>
      </c>
      <c r="F9264" s="61" t="n">
        <v>2</v>
      </c>
      <c r="G9264" s="62" t="n">
        <v>459.51</v>
      </c>
      <c r="H9264" s="63" t="n">
        <v>0.147</v>
      </c>
      <c r="I9264" s="62" t="n">
        <v>365.99</v>
      </c>
      <c r="J9264" s="58" t="inlineStr">
        <is>
          <t>Store</t>
        </is>
      </c>
      <c r="K9264" s="62">
        <f>F9264*(G9264-H9264)</f>
        <v/>
      </c>
      <c r="L9264" s="62">
        <f>K9264-(F9264*I9264)</f>
        <v/>
      </c>
      <c r="M9264" s="64">
        <f>L9264/K9264</f>
        <v/>
      </c>
    </row>
    <row r="9265">
      <c r="A9265" s="58" t="inlineStr">
        <is>
          <t>RT20250820-09264</t>
        </is>
      </c>
      <c r="B9265" s="59" t="inlineStr">
        <is>
          <t>2025-08-20</t>
        </is>
      </c>
      <c r="C9265" s="60" t="inlineStr">
        <is>
          <t>Aurora Skincare Max-798</t>
        </is>
      </c>
      <c r="D9265" s="58" t="inlineStr">
        <is>
          <t>Beauty</t>
        </is>
      </c>
      <c r="E9265" s="58" t="inlineStr">
        <is>
          <t>Central</t>
        </is>
      </c>
      <c r="F9265" s="61" t="n">
        <v>5</v>
      </c>
      <c r="G9265" s="62" t="n">
        <v>114.18</v>
      </c>
      <c r="H9265" s="63" t="n">
        <v>0.175</v>
      </c>
      <c r="I9265" s="62" t="n">
        <v>68.66</v>
      </c>
      <c r="J9265" s="58" t="inlineStr">
        <is>
          <t>Store</t>
        </is>
      </c>
      <c r="K9265" s="62">
        <f>F9265*(G9265-H9265)</f>
        <v/>
      </c>
      <c r="L9265" s="62">
        <f>K9265-(F9265*I9265)</f>
        <v/>
      </c>
      <c r="M9265" s="64">
        <f>L9265/K9265</f>
        <v/>
      </c>
    </row>
    <row r="9266">
      <c r="A9266" s="58" t="inlineStr">
        <is>
          <t>RT20250820-09265</t>
        </is>
      </c>
      <c r="B9266" s="59" t="inlineStr">
        <is>
          <t>2025-08-20</t>
        </is>
      </c>
      <c r="C9266" s="60" t="inlineStr">
        <is>
          <t>Vertex Decor Pro-618</t>
        </is>
      </c>
      <c r="D9266" s="58" t="inlineStr">
        <is>
          <t>Home</t>
        </is>
      </c>
      <c r="E9266" s="58" t="inlineStr">
        <is>
          <t>South</t>
        </is>
      </c>
      <c r="F9266" s="61" t="n">
        <v>1</v>
      </c>
      <c r="G9266" s="62" t="n">
        <v>600.2</v>
      </c>
      <c r="H9266" s="63" t="n">
        <v>0.141</v>
      </c>
      <c r="I9266" s="62" t="n">
        <v>368.69</v>
      </c>
      <c r="J9266" s="58" t="inlineStr">
        <is>
          <t>Store</t>
        </is>
      </c>
      <c r="K9266" s="62">
        <f>F9266*(G9266-H9266)</f>
        <v/>
      </c>
      <c r="L9266" s="62">
        <f>K9266-(F9266*I9266)</f>
        <v/>
      </c>
      <c r="M9266" s="64">
        <f>L9266/K9266</f>
        <v/>
      </c>
    </row>
    <row r="9267">
      <c r="A9267" s="58" t="inlineStr">
        <is>
          <t>RT20250820-09266</t>
        </is>
      </c>
      <c r="B9267" s="59" t="inlineStr">
        <is>
          <t>2025-08-20</t>
        </is>
      </c>
      <c r="C9267" s="60" t="inlineStr">
        <is>
          <t>Falcon Cycling Pro-499</t>
        </is>
      </c>
      <c r="D9267" s="58" t="inlineStr">
        <is>
          <t>Sports</t>
        </is>
      </c>
      <c r="E9267" s="58" t="inlineStr">
        <is>
          <t>Central</t>
        </is>
      </c>
      <c r="F9267" s="61" t="n">
        <v>3</v>
      </c>
      <c r="G9267" s="62" t="n">
        <v>631.35</v>
      </c>
      <c r="H9267" s="63" t="n">
        <v>0.066</v>
      </c>
      <c r="I9267" s="62" t="n">
        <v>401.83</v>
      </c>
      <c r="J9267" s="58" t="inlineStr">
        <is>
          <t>Online</t>
        </is>
      </c>
      <c r="K9267" s="62">
        <f>F9267*(G9267-H9267)</f>
        <v/>
      </c>
      <c r="L9267" s="62">
        <f>K9267-(F9267*I9267)</f>
        <v/>
      </c>
      <c r="M9267" s="64">
        <f>L9267/K9267</f>
        <v/>
      </c>
    </row>
    <row r="9268">
      <c r="A9268" s="58" t="inlineStr">
        <is>
          <t>RT20250820-09267</t>
        </is>
      </c>
      <c r="B9268" s="59" t="inlineStr">
        <is>
          <t>2025-08-20</t>
        </is>
      </c>
      <c r="C9268" s="60" t="inlineStr">
        <is>
          <t>Aurora Wearable Lite-162</t>
        </is>
      </c>
      <c r="D9268" s="58" t="inlineStr">
        <is>
          <t>Electronics</t>
        </is>
      </c>
      <c r="E9268" s="58" t="inlineStr">
        <is>
          <t>Central</t>
        </is>
      </c>
      <c r="F9268" s="61" t="n">
        <v>1</v>
      </c>
      <c r="G9268" s="62" t="n">
        <v>1356.49</v>
      </c>
      <c r="H9268" s="63" t="n">
        <v>0.191</v>
      </c>
      <c r="I9268" s="62" t="n">
        <v>1065.44</v>
      </c>
      <c r="J9268" s="58" t="inlineStr">
        <is>
          <t>Store</t>
        </is>
      </c>
      <c r="K9268" s="62">
        <f>F9268*(G9268-H9268)</f>
        <v/>
      </c>
      <c r="L9268" s="62">
        <f>K9268-(F9268*I9268)</f>
        <v/>
      </c>
      <c r="M9268" s="64">
        <f>L9268/K9268</f>
        <v/>
      </c>
    </row>
    <row r="9269">
      <c r="A9269" s="58" t="inlineStr">
        <is>
          <t>RT20250820-09268</t>
        </is>
      </c>
      <c r="B9269" s="59" t="inlineStr">
        <is>
          <t>2025-08-20</t>
        </is>
      </c>
      <c r="C9269" s="60" t="inlineStr">
        <is>
          <t>Falcon Household Pro-865</t>
        </is>
      </c>
      <c r="D9269" s="58" t="inlineStr">
        <is>
          <t>Grocery</t>
        </is>
      </c>
      <c r="E9269" s="58" t="inlineStr">
        <is>
          <t>South</t>
        </is>
      </c>
      <c r="F9269" s="61" t="n">
        <v>4</v>
      </c>
      <c r="G9269" s="62" t="n">
        <v>9.81</v>
      </c>
      <c r="H9269" s="63" t="n">
        <v>0.144</v>
      </c>
      <c r="I9269" s="62" t="n">
        <v>7.74</v>
      </c>
      <c r="J9269" s="58" t="inlineStr">
        <is>
          <t>Online</t>
        </is>
      </c>
      <c r="K9269" s="62">
        <f>F9269*(G9269-H9269)</f>
        <v/>
      </c>
      <c r="L9269" s="62">
        <f>K9269-(F9269*I9269)</f>
        <v/>
      </c>
      <c r="M9269" s="64">
        <f>L9269/K9269</f>
        <v/>
      </c>
    </row>
    <row r="9270">
      <c r="A9270" s="58" t="inlineStr">
        <is>
          <t>RT20250820-09269</t>
        </is>
      </c>
      <c r="B9270" s="59" t="inlineStr">
        <is>
          <t>2025-08-20</t>
        </is>
      </c>
      <c r="C9270" s="60" t="inlineStr">
        <is>
          <t>Nimbus Men Plus-231</t>
        </is>
      </c>
      <c r="D9270" s="58" t="inlineStr">
        <is>
          <t>Apparel</t>
        </is>
      </c>
      <c r="E9270" s="58" t="inlineStr">
        <is>
          <t>North</t>
        </is>
      </c>
      <c r="F9270" s="61" t="n">
        <v>2</v>
      </c>
      <c r="G9270" s="62" t="n">
        <v>153.78</v>
      </c>
      <c r="H9270" s="63" t="n">
        <v>0.155</v>
      </c>
      <c r="I9270" s="62" t="n">
        <v>88.73</v>
      </c>
      <c r="J9270" s="58" t="inlineStr">
        <is>
          <t>Store</t>
        </is>
      </c>
      <c r="K9270" s="62">
        <f>F9270*(G9270-H9270)</f>
        <v/>
      </c>
      <c r="L9270" s="62">
        <f>K9270-(F9270*I9270)</f>
        <v/>
      </c>
      <c r="M9270" s="64">
        <f>L9270/K9270</f>
        <v/>
      </c>
    </row>
    <row r="9271">
      <c r="A9271" s="58" t="inlineStr">
        <is>
          <t>RT20250820-09270</t>
        </is>
      </c>
      <c r="B9271" s="59" t="inlineStr">
        <is>
          <t>2025-08-20</t>
        </is>
      </c>
      <c r="C9271" s="60" t="inlineStr">
        <is>
          <t>Polar Beverage S-258</t>
        </is>
      </c>
      <c r="D9271" s="58" t="inlineStr">
        <is>
          <t>Grocery</t>
        </is>
      </c>
      <c r="E9271" s="58" t="inlineStr">
        <is>
          <t>North</t>
        </is>
      </c>
      <c r="F9271" s="61" t="n">
        <v>7</v>
      </c>
      <c r="G9271" s="62" t="n">
        <v>12.46</v>
      </c>
      <c r="H9271" s="63" t="n">
        <v>0.155</v>
      </c>
      <c r="I9271" s="62" t="n">
        <v>9.9</v>
      </c>
      <c r="J9271" s="58" t="inlineStr">
        <is>
          <t>Online</t>
        </is>
      </c>
      <c r="K9271" s="62">
        <f>F9271*(G9271-H9271)</f>
        <v/>
      </c>
      <c r="L9271" s="62">
        <f>K9271-(F9271*I9271)</f>
        <v/>
      </c>
      <c r="M9271" s="64">
        <f>L9271/K9271</f>
        <v/>
      </c>
    </row>
    <row r="9272">
      <c r="A9272" s="58" t="inlineStr">
        <is>
          <t>RT20250821-09271</t>
        </is>
      </c>
      <c r="B9272" s="59" t="inlineStr">
        <is>
          <t>2025-08-21</t>
        </is>
      </c>
      <c r="C9272" s="60" t="inlineStr">
        <is>
          <t>Falcon Skincare Max-151</t>
        </is>
      </c>
      <c r="D9272" s="58" t="inlineStr">
        <is>
          <t>Beauty</t>
        </is>
      </c>
      <c r="E9272" s="58" t="inlineStr">
        <is>
          <t>East</t>
        </is>
      </c>
      <c r="F9272" s="61" t="n">
        <v>3</v>
      </c>
      <c r="G9272" s="62" t="n">
        <v>92.59999999999999</v>
      </c>
      <c r="H9272" s="63" t="n">
        <v>0.139</v>
      </c>
      <c r="I9272" s="62" t="n">
        <v>59.63</v>
      </c>
      <c r="J9272" s="58" t="inlineStr">
        <is>
          <t>Store</t>
        </is>
      </c>
      <c r="K9272" s="62">
        <f>F9272*(G9272-H9272)</f>
        <v/>
      </c>
      <c r="L9272" s="62">
        <f>K9272-(F9272*I9272)</f>
        <v/>
      </c>
      <c r="M9272" s="64">
        <f>L9272/K9272</f>
        <v/>
      </c>
    </row>
    <row r="9273">
      <c r="A9273" s="58" t="inlineStr">
        <is>
          <t>RT20250821-09272</t>
        </is>
      </c>
      <c r="B9273" s="59" t="inlineStr">
        <is>
          <t>2025-08-21</t>
        </is>
      </c>
      <c r="C9273" s="60" t="inlineStr">
        <is>
          <t>Orion Supplie S-612</t>
        </is>
      </c>
      <c r="D9273" s="58" t="inlineStr">
        <is>
          <t>Office</t>
        </is>
      </c>
      <c r="E9273" s="58" t="inlineStr">
        <is>
          <t>West</t>
        </is>
      </c>
      <c r="F9273" s="61" t="n">
        <v>1</v>
      </c>
      <c r="G9273" s="62" t="n">
        <v>517.59</v>
      </c>
      <c r="H9273" s="63" t="n">
        <v>0.1</v>
      </c>
      <c r="I9273" s="62" t="n">
        <v>343.32</v>
      </c>
      <c r="J9273" s="58" t="inlineStr">
        <is>
          <t>Store</t>
        </is>
      </c>
      <c r="K9273" s="62">
        <f>F9273*(G9273-H9273)</f>
        <v/>
      </c>
      <c r="L9273" s="62">
        <f>K9273-(F9273*I9273)</f>
        <v/>
      </c>
      <c r="M9273" s="64">
        <f>L9273/K9273</f>
        <v/>
      </c>
    </row>
    <row r="9274">
      <c r="A9274" s="58" t="inlineStr">
        <is>
          <t>RT20250821-09273</t>
        </is>
      </c>
      <c r="B9274" s="59" t="inlineStr">
        <is>
          <t>2025-08-21</t>
        </is>
      </c>
      <c r="C9274" s="60" t="inlineStr">
        <is>
          <t>Solace Snack S-691</t>
        </is>
      </c>
      <c r="D9274" s="58" t="inlineStr">
        <is>
          <t>Grocery</t>
        </is>
      </c>
      <c r="E9274" s="58" t="inlineStr">
        <is>
          <t>West</t>
        </is>
      </c>
      <c r="F9274" s="61" t="n">
        <v>3</v>
      </c>
      <c r="G9274" s="62" t="n">
        <v>9.56</v>
      </c>
      <c r="H9274" s="63" t="n">
        <v>0.138</v>
      </c>
      <c r="I9274" s="62" t="n">
        <v>7.13</v>
      </c>
      <c r="J9274" s="58" t="inlineStr">
        <is>
          <t>Store</t>
        </is>
      </c>
      <c r="K9274" s="62">
        <f>F9274*(G9274-H9274)</f>
        <v/>
      </c>
      <c r="L9274" s="62">
        <f>K9274-(F9274*I9274)</f>
        <v/>
      </c>
      <c r="M9274" s="64">
        <f>L9274/K9274</f>
        <v/>
      </c>
    </row>
    <row r="9275">
      <c r="A9275" s="58" t="inlineStr">
        <is>
          <t>RT20250821-09274</t>
        </is>
      </c>
      <c r="B9275" s="59" t="inlineStr">
        <is>
          <t>2025-08-21</t>
        </is>
      </c>
      <c r="C9275" s="60" t="inlineStr">
        <is>
          <t>Solace Headphone Pro-344</t>
        </is>
      </c>
      <c r="D9275" s="58" t="inlineStr">
        <is>
          <t>Electronics</t>
        </is>
      </c>
      <c r="E9275" s="58" t="inlineStr">
        <is>
          <t>East</t>
        </is>
      </c>
      <c r="F9275" s="61" t="n">
        <v>1</v>
      </c>
      <c r="G9275" s="62" t="n">
        <v>1367.13</v>
      </c>
      <c r="H9275" s="63" t="n">
        <v>0.135</v>
      </c>
      <c r="I9275" s="62" t="n">
        <v>1091.62</v>
      </c>
      <c r="J9275" s="58" t="inlineStr">
        <is>
          <t>Online</t>
        </is>
      </c>
      <c r="K9275" s="62">
        <f>F9275*(G9275-H9275)</f>
        <v/>
      </c>
      <c r="L9275" s="62">
        <f>K9275-(F9275*I9275)</f>
        <v/>
      </c>
      <c r="M9275" s="64">
        <f>L9275/K9275</f>
        <v/>
      </c>
    </row>
    <row r="9276">
      <c r="A9276" s="58" t="inlineStr">
        <is>
          <t>RT20250821-09275</t>
        </is>
      </c>
      <c r="B9276" s="59" t="inlineStr">
        <is>
          <t>2025-08-21</t>
        </is>
      </c>
      <c r="C9276" s="60" t="inlineStr">
        <is>
          <t>Aurora Haircare S-975</t>
        </is>
      </c>
      <c r="D9276" s="58" t="inlineStr">
        <is>
          <t>Beauty</t>
        </is>
      </c>
      <c r="E9276" s="58" t="inlineStr">
        <is>
          <t>East</t>
        </is>
      </c>
      <c r="F9276" s="61" t="n">
        <v>5</v>
      </c>
      <c r="G9276" s="62" t="n">
        <v>102.4</v>
      </c>
      <c r="H9276" s="63" t="n">
        <v>0.111</v>
      </c>
      <c r="I9276" s="62" t="n">
        <v>59.67</v>
      </c>
      <c r="J9276" s="58" t="inlineStr">
        <is>
          <t>Store</t>
        </is>
      </c>
      <c r="K9276" s="62">
        <f>F9276*(G9276-H9276)</f>
        <v/>
      </c>
      <c r="L9276" s="62">
        <f>K9276-(F9276*I9276)</f>
        <v/>
      </c>
      <c r="M9276" s="64">
        <f>L9276/K9276</f>
        <v/>
      </c>
    </row>
    <row r="9277">
      <c r="A9277" s="58" t="inlineStr">
        <is>
          <t>RT20250821-09276</t>
        </is>
      </c>
      <c r="B9277" s="59" t="inlineStr">
        <is>
          <t>2025-08-21</t>
        </is>
      </c>
      <c r="C9277" s="60" t="inlineStr">
        <is>
          <t>Aurora Haircare S-975</t>
        </is>
      </c>
      <c r="D9277" s="58" t="inlineStr">
        <is>
          <t>Beauty</t>
        </is>
      </c>
      <c r="E9277" s="58" t="inlineStr">
        <is>
          <t>West</t>
        </is>
      </c>
      <c r="F9277" s="61" t="n">
        <v>1</v>
      </c>
      <c r="G9277" s="62" t="n">
        <v>95.5</v>
      </c>
      <c r="H9277" s="63" t="n">
        <v>0.144</v>
      </c>
      <c r="I9277" s="62" t="n">
        <v>58.51</v>
      </c>
      <c r="J9277" s="58" t="inlineStr">
        <is>
          <t>Online</t>
        </is>
      </c>
      <c r="K9277" s="62">
        <f>F9277*(G9277-H9277)</f>
        <v/>
      </c>
      <c r="L9277" s="62">
        <f>K9277-(F9277*I9277)</f>
        <v/>
      </c>
      <c r="M9277" s="64">
        <f>L9277/K9277</f>
        <v/>
      </c>
    </row>
    <row r="9278">
      <c r="A9278" s="58" t="inlineStr">
        <is>
          <t>RT20250821-09277</t>
        </is>
      </c>
      <c r="B9278" s="59" t="inlineStr">
        <is>
          <t>2025-08-21</t>
        </is>
      </c>
      <c r="C9278" s="60" t="inlineStr">
        <is>
          <t>Metro Pantry Max-180</t>
        </is>
      </c>
      <c r="D9278" s="58" t="inlineStr">
        <is>
          <t>Grocery</t>
        </is>
      </c>
      <c r="E9278" s="58" t="inlineStr">
        <is>
          <t>Central</t>
        </is>
      </c>
      <c r="F9278" s="61" t="n">
        <v>8</v>
      </c>
      <c r="G9278" s="62" t="n">
        <v>9.699999999999999</v>
      </c>
      <c r="H9278" s="63" t="n">
        <v>0.079</v>
      </c>
      <c r="I9278" s="62" t="n">
        <v>6.72</v>
      </c>
      <c r="J9278" s="58" t="inlineStr">
        <is>
          <t>Online</t>
        </is>
      </c>
      <c r="K9278" s="62">
        <f>F9278*(G9278-H9278)</f>
        <v/>
      </c>
      <c r="L9278" s="62">
        <f>K9278-(F9278*I9278)</f>
        <v/>
      </c>
      <c r="M9278" s="64">
        <f>L9278/K9278</f>
        <v/>
      </c>
    </row>
    <row r="9279">
      <c r="A9279" s="58" t="inlineStr">
        <is>
          <t>RT20250821-09278</t>
        </is>
      </c>
      <c r="B9279" s="59" t="inlineStr">
        <is>
          <t>2025-08-21</t>
        </is>
      </c>
      <c r="C9279" s="60" t="inlineStr">
        <is>
          <t>Vertex Printer Max-692</t>
        </is>
      </c>
      <c r="D9279" s="58" t="inlineStr">
        <is>
          <t>Office</t>
        </is>
      </c>
      <c r="E9279" s="58" t="inlineStr">
        <is>
          <t>East</t>
        </is>
      </c>
      <c r="F9279" s="61" t="n">
        <v>2</v>
      </c>
      <c r="G9279" s="62" t="n">
        <v>180.77</v>
      </c>
      <c r="H9279" s="63" t="n">
        <v>0.186</v>
      </c>
      <c r="I9279" s="62" t="n">
        <v>121.46</v>
      </c>
      <c r="J9279" s="58" t="inlineStr">
        <is>
          <t>Online</t>
        </is>
      </c>
      <c r="K9279" s="62">
        <f>F9279*(G9279-H9279)</f>
        <v/>
      </c>
      <c r="L9279" s="62">
        <f>K9279-(F9279*I9279)</f>
        <v/>
      </c>
      <c r="M9279" s="64">
        <f>L9279/K9279</f>
        <v/>
      </c>
    </row>
    <row r="9280">
      <c r="A9280" s="58" t="inlineStr">
        <is>
          <t>RT20250821-09279</t>
        </is>
      </c>
      <c r="B9280" s="59" t="inlineStr">
        <is>
          <t>2025-08-21</t>
        </is>
      </c>
      <c r="C9280" s="60" t="inlineStr">
        <is>
          <t>Aurora Smartphone Plus-125</t>
        </is>
      </c>
      <c r="D9280" s="58" t="inlineStr">
        <is>
          <t>Electronics</t>
        </is>
      </c>
      <c r="E9280" s="58" t="inlineStr">
        <is>
          <t>South</t>
        </is>
      </c>
      <c r="F9280" s="61" t="n">
        <v>2</v>
      </c>
      <c r="G9280" s="62" t="n">
        <v>1572.81</v>
      </c>
      <c r="H9280" s="63" t="n">
        <v>0.145</v>
      </c>
      <c r="I9280" s="62" t="n">
        <v>1244.24</v>
      </c>
      <c r="J9280" s="58" t="inlineStr">
        <is>
          <t>Online</t>
        </is>
      </c>
      <c r="K9280" s="62">
        <f>F9280*(G9280-H9280)</f>
        <v/>
      </c>
      <c r="L9280" s="62">
        <f>K9280-(F9280*I9280)</f>
        <v/>
      </c>
      <c r="M9280" s="64">
        <f>L9280/K9280</f>
        <v/>
      </c>
    </row>
    <row r="9281">
      <c r="A9281" s="58" t="inlineStr">
        <is>
          <t>RT20250821-09280</t>
        </is>
      </c>
      <c r="B9281" s="59" t="inlineStr">
        <is>
          <t>2025-08-21</t>
        </is>
      </c>
      <c r="C9281" s="60" t="inlineStr">
        <is>
          <t>Vertex Appliance S-159</t>
        </is>
      </c>
      <c r="D9281" s="58" t="inlineStr">
        <is>
          <t>Home</t>
        </is>
      </c>
      <c r="E9281" s="58" t="inlineStr">
        <is>
          <t>North</t>
        </is>
      </c>
      <c r="F9281" s="61" t="n">
        <v>1</v>
      </c>
      <c r="G9281" s="62" t="n">
        <v>460.05</v>
      </c>
      <c r="H9281" s="63" t="n">
        <v>0.169</v>
      </c>
      <c r="I9281" s="62" t="n">
        <v>292.65</v>
      </c>
      <c r="J9281" s="58" t="inlineStr">
        <is>
          <t>Store</t>
        </is>
      </c>
      <c r="K9281" s="62">
        <f>F9281*(G9281-H9281)</f>
        <v/>
      </c>
      <c r="L9281" s="62">
        <f>K9281-(F9281*I9281)</f>
        <v/>
      </c>
      <c r="M9281" s="64">
        <f>L9281/K9281</f>
        <v/>
      </c>
    </row>
    <row r="9282">
      <c r="A9282" s="58" t="inlineStr">
        <is>
          <t>RT20250821-09281</t>
        </is>
      </c>
      <c r="B9282" s="59" t="inlineStr">
        <is>
          <t>2025-08-21</t>
        </is>
      </c>
      <c r="C9282" s="60" t="inlineStr">
        <is>
          <t>Aurora Haircare S-975</t>
        </is>
      </c>
      <c r="D9282" s="58" t="inlineStr">
        <is>
          <t>Beauty</t>
        </is>
      </c>
      <c r="E9282" s="58" t="inlineStr">
        <is>
          <t>East</t>
        </is>
      </c>
      <c r="F9282" s="61" t="n">
        <v>3</v>
      </c>
      <c r="G9282" s="62" t="n">
        <v>99.66</v>
      </c>
      <c r="H9282" s="63" t="n">
        <v>0.144</v>
      </c>
      <c r="I9282" s="62" t="n">
        <v>59.17</v>
      </c>
      <c r="J9282" s="58" t="inlineStr">
        <is>
          <t>Phone</t>
        </is>
      </c>
      <c r="K9282" s="62">
        <f>F9282*(G9282-H9282)</f>
        <v/>
      </c>
      <c r="L9282" s="62">
        <f>K9282-(F9282*I9282)</f>
        <v/>
      </c>
      <c r="M9282" s="64">
        <f>L9282/K9282</f>
        <v/>
      </c>
    </row>
    <row r="9283">
      <c r="A9283" s="58" t="inlineStr">
        <is>
          <t>RT20250821-09282</t>
        </is>
      </c>
      <c r="B9283" s="59" t="inlineStr">
        <is>
          <t>2025-08-21</t>
        </is>
      </c>
      <c r="C9283" s="60" t="inlineStr">
        <is>
          <t>Aurora Fragrance S-971</t>
        </is>
      </c>
      <c r="D9283" s="58" t="inlineStr">
        <is>
          <t>Beauty</t>
        </is>
      </c>
      <c r="E9283" s="58" t="inlineStr">
        <is>
          <t>Central</t>
        </is>
      </c>
      <c r="F9283" s="61" t="n">
        <v>4</v>
      </c>
      <c r="G9283" s="62" t="n">
        <v>104.62</v>
      </c>
      <c r="H9283" s="63" t="n">
        <v>0.152</v>
      </c>
      <c r="I9283" s="62" t="n">
        <v>63.81</v>
      </c>
      <c r="J9283" s="58" t="inlineStr">
        <is>
          <t>Store</t>
        </is>
      </c>
      <c r="K9283" s="62">
        <f>F9283*(G9283-H9283)</f>
        <v/>
      </c>
      <c r="L9283" s="62">
        <f>K9283-(F9283*I9283)</f>
        <v/>
      </c>
      <c r="M9283" s="64">
        <f>L9283/K9283</f>
        <v/>
      </c>
    </row>
    <row r="9284">
      <c r="A9284" s="58" t="inlineStr">
        <is>
          <t>RT20250821-09283</t>
        </is>
      </c>
      <c r="B9284" s="59" t="inlineStr">
        <is>
          <t>2025-08-21</t>
        </is>
      </c>
      <c r="C9284" s="60" t="inlineStr">
        <is>
          <t>Solace Snack S-691</t>
        </is>
      </c>
      <c r="D9284" s="58" t="inlineStr">
        <is>
          <t>Grocery</t>
        </is>
      </c>
      <c r="E9284" s="58" t="inlineStr">
        <is>
          <t>South</t>
        </is>
      </c>
      <c r="F9284" s="61" t="n">
        <v>2</v>
      </c>
      <c r="G9284" s="62" t="n">
        <v>9.51</v>
      </c>
      <c r="H9284" s="63" t="n">
        <v>0.228</v>
      </c>
      <c r="I9284" s="62" t="n">
        <v>7.13</v>
      </c>
      <c r="J9284" s="58" t="inlineStr">
        <is>
          <t>Online</t>
        </is>
      </c>
      <c r="K9284" s="62">
        <f>F9284*(G9284-H9284)</f>
        <v/>
      </c>
      <c r="L9284" s="62">
        <f>K9284-(F9284*I9284)</f>
        <v/>
      </c>
      <c r="M9284" s="64">
        <f>L9284/K9284</f>
        <v/>
      </c>
    </row>
    <row r="9285">
      <c r="A9285" s="58" t="inlineStr">
        <is>
          <t>RT20250821-09284</t>
        </is>
      </c>
      <c r="B9285" s="59" t="inlineStr">
        <is>
          <t>2025-08-21</t>
        </is>
      </c>
      <c r="C9285" s="60" t="inlineStr">
        <is>
          <t>Vertex Pantry Pro-165</t>
        </is>
      </c>
      <c r="D9285" s="58" t="inlineStr">
        <is>
          <t>Grocery</t>
        </is>
      </c>
      <c r="E9285" s="58" t="inlineStr">
        <is>
          <t>East</t>
        </is>
      </c>
      <c r="F9285" s="61" t="n">
        <v>5</v>
      </c>
      <c r="G9285" s="62" t="n">
        <v>16.76</v>
      </c>
      <c r="H9285" s="63" t="n">
        <v>0.171</v>
      </c>
      <c r="I9285" s="62" t="n">
        <v>11.92</v>
      </c>
      <c r="J9285" s="58" t="inlineStr">
        <is>
          <t>Online</t>
        </is>
      </c>
      <c r="K9285" s="62">
        <f>F9285*(G9285-H9285)</f>
        <v/>
      </c>
      <c r="L9285" s="62">
        <f>K9285-(F9285*I9285)</f>
        <v/>
      </c>
      <c r="M9285" s="64">
        <f>L9285/K9285</f>
        <v/>
      </c>
    </row>
    <row r="9286">
      <c r="A9286" s="58" t="inlineStr">
        <is>
          <t>RT20250821-09285</t>
        </is>
      </c>
      <c r="B9286" s="59" t="inlineStr">
        <is>
          <t>2025-08-21</t>
        </is>
      </c>
      <c r="C9286" s="60" t="inlineStr">
        <is>
          <t>Aurora Appliance Max-316</t>
        </is>
      </c>
      <c r="D9286" s="58" t="inlineStr">
        <is>
          <t>Home</t>
        </is>
      </c>
      <c r="E9286" s="58" t="inlineStr">
        <is>
          <t>Central</t>
        </is>
      </c>
      <c r="F9286" s="61" t="n">
        <v>2</v>
      </c>
      <c r="G9286" s="62" t="n">
        <v>291.05</v>
      </c>
      <c r="H9286" s="63" t="n">
        <v>0.208</v>
      </c>
      <c r="I9286" s="62" t="n">
        <v>210.24</v>
      </c>
      <c r="J9286" s="58" t="inlineStr">
        <is>
          <t>Online</t>
        </is>
      </c>
      <c r="K9286" s="62">
        <f>F9286*(G9286-H9286)</f>
        <v/>
      </c>
      <c r="L9286" s="62">
        <f>K9286-(F9286*I9286)</f>
        <v/>
      </c>
      <c r="M9286" s="64">
        <f>L9286/K9286</f>
        <v/>
      </c>
    </row>
    <row r="9287">
      <c r="A9287" s="58" t="inlineStr">
        <is>
          <t>RT20250821-09286</t>
        </is>
      </c>
      <c r="B9287" s="59" t="inlineStr">
        <is>
          <t>2025-08-21</t>
        </is>
      </c>
      <c r="C9287" s="60" t="inlineStr">
        <is>
          <t>Metro Decor Lite-325</t>
        </is>
      </c>
      <c r="D9287" s="58" t="inlineStr">
        <is>
          <t>Home</t>
        </is>
      </c>
      <c r="E9287" s="58" t="inlineStr">
        <is>
          <t>Central</t>
        </is>
      </c>
      <c r="F9287" s="61" t="n">
        <v>2</v>
      </c>
      <c r="G9287" s="62" t="n">
        <v>534.8</v>
      </c>
      <c r="H9287" s="63" t="n">
        <v>0.149</v>
      </c>
      <c r="I9287" s="62" t="n">
        <v>371.01</v>
      </c>
      <c r="J9287" s="58" t="inlineStr">
        <is>
          <t>Store</t>
        </is>
      </c>
      <c r="K9287" s="62">
        <f>F9287*(G9287-H9287)</f>
        <v/>
      </c>
      <c r="L9287" s="62">
        <f>K9287-(F9287*I9287)</f>
        <v/>
      </c>
      <c r="M9287" s="64">
        <f>L9287/K9287</f>
        <v/>
      </c>
    </row>
    <row r="9288">
      <c r="A9288" s="58" t="inlineStr">
        <is>
          <t>RT20250821-09287</t>
        </is>
      </c>
      <c r="B9288" s="59" t="inlineStr">
        <is>
          <t>2025-08-21</t>
        </is>
      </c>
      <c r="C9288" s="60" t="inlineStr">
        <is>
          <t>Orion Storage Plus-961</t>
        </is>
      </c>
      <c r="D9288" s="58" t="inlineStr">
        <is>
          <t>Office</t>
        </is>
      </c>
      <c r="E9288" s="58" t="inlineStr">
        <is>
          <t>East</t>
        </is>
      </c>
      <c r="F9288" s="61" t="n">
        <v>1</v>
      </c>
      <c r="G9288" s="62" t="n">
        <v>503.99</v>
      </c>
      <c r="H9288" s="63" t="n">
        <v>0.125</v>
      </c>
      <c r="I9288" s="62" t="n">
        <v>367.31</v>
      </c>
      <c r="J9288" s="58" t="inlineStr">
        <is>
          <t>Online</t>
        </is>
      </c>
      <c r="K9288" s="62">
        <f>F9288*(G9288-H9288)</f>
        <v/>
      </c>
      <c r="L9288" s="62">
        <f>K9288-(F9288*I9288)</f>
        <v/>
      </c>
      <c r="M9288" s="64">
        <f>L9288/K9288</f>
        <v/>
      </c>
    </row>
    <row r="9289">
      <c r="A9289" s="58" t="inlineStr">
        <is>
          <t>RT20250821-09288</t>
        </is>
      </c>
      <c r="B9289" s="59" t="inlineStr">
        <is>
          <t>2025-08-21</t>
        </is>
      </c>
      <c r="C9289" s="60" t="inlineStr">
        <is>
          <t>Aurora Fitnes Lite-194</t>
        </is>
      </c>
      <c r="D9289" s="58" t="inlineStr">
        <is>
          <t>Sports</t>
        </is>
      </c>
      <c r="E9289" s="58" t="inlineStr">
        <is>
          <t>West</t>
        </is>
      </c>
      <c r="F9289" s="61" t="n">
        <v>1</v>
      </c>
      <c r="G9289" s="62" t="n">
        <v>676.74</v>
      </c>
      <c r="H9289" s="63" t="n">
        <v>0.201</v>
      </c>
      <c r="I9289" s="62" t="n">
        <v>468.54</v>
      </c>
      <c r="J9289" s="58" t="inlineStr">
        <is>
          <t>Online</t>
        </is>
      </c>
      <c r="K9289" s="62">
        <f>F9289*(G9289-H9289)</f>
        <v/>
      </c>
      <c r="L9289" s="62">
        <f>K9289-(F9289*I9289)</f>
        <v/>
      </c>
      <c r="M9289" s="64">
        <f>L9289/K9289</f>
        <v/>
      </c>
    </row>
    <row r="9290">
      <c r="A9290" s="58" t="inlineStr">
        <is>
          <t>RT20250821-09289</t>
        </is>
      </c>
      <c r="B9290" s="59" t="inlineStr">
        <is>
          <t>2025-08-21</t>
        </is>
      </c>
      <c r="C9290" s="60" t="inlineStr">
        <is>
          <t>Falcon Headphone Pro-713</t>
        </is>
      </c>
      <c r="D9290" s="58" t="inlineStr">
        <is>
          <t>Electronics</t>
        </is>
      </c>
      <c r="E9290" s="58" t="inlineStr">
        <is>
          <t>East</t>
        </is>
      </c>
      <c r="F9290" s="61" t="n">
        <v>2</v>
      </c>
      <c r="G9290" s="62" t="n">
        <v>1472.11</v>
      </c>
      <c r="H9290" s="63" t="n">
        <v>0.157</v>
      </c>
      <c r="I9290" s="62" t="n">
        <v>1204.85</v>
      </c>
      <c r="J9290" s="58" t="inlineStr">
        <is>
          <t>Online</t>
        </is>
      </c>
      <c r="K9290" s="62">
        <f>F9290*(G9290-H9290)</f>
        <v/>
      </c>
      <c r="L9290" s="62">
        <f>K9290-(F9290*I9290)</f>
        <v/>
      </c>
      <c r="M9290" s="64">
        <f>L9290/K9290</f>
        <v/>
      </c>
    </row>
    <row r="9291">
      <c r="A9291" s="58" t="inlineStr">
        <is>
          <t>RT20250821-09290</t>
        </is>
      </c>
      <c r="B9291" s="59" t="inlineStr">
        <is>
          <t>2025-08-21</t>
        </is>
      </c>
      <c r="C9291" s="60" t="inlineStr">
        <is>
          <t>Polar Outdoor X-193</t>
        </is>
      </c>
      <c r="D9291" s="58" t="inlineStr">
        <is>
          <t>Sports</t>
        </is>
      </c>
      <c r="E9291" s="58" t="inlineStr">
        <is>
          <t>East</t>
        </is>
      </c>
      <c r="F9291" s="61" t="n">
        <v>3</v>
      </c>
      <c r="G9291" s="62" t="n">
        <v>693.52</v>
      </c>
      <c r="H9291" s="63" t="n">
        <v>0.127</v>
      </c>
      <c r="I9291" s="62" t="n">
        <v>454.34</v>
      </c>
      <c r="J9291" s="58" t="inlineStr">
        <is>
          <t>Online</t>
        </is>
      </c>
      <c r="K9291" s="62">
        <f>F9291*(G9291-H9291)</f>
        <v/>
      </c>
      <c r="L9291" s="62">
        <f>K9291-(F9291*I9291)</f>
        <v/>
      </c>
      <c r="M9291" s="64">
        <f>L9291/K9291</f>
        <v/>
      </c>
    </row>
    <row r="9292">
      <c r="A9292" s="58" t="inlineStr">
        <is>
          <t>RT20250821-09291</t>
        </is>
      </c>
      <c r="B9292" s="59" t="inlineStr">
        <is>
          <t>2025-08-21</t>
        </is>
      </c>
      <c r="C9292" s="60" t="inlineStr">
        <is>
          <t>Nimbus Women Lite-814</t>
        </is>
      </c>
      <c r="D9292" s="58" t="inlineStr">
        <is>
          <t>Apparel</t>
        </is>
      </c>
      <c r="E9292" s="58" t="inlineStr">
        <is>
          <t>South</t>
        </is>
      </c>
      <c r="F9292" s="61" t="n">
        <v>4</v>
      </c>
      <c r="G9292" s="62" t="n">
        <v>147.53</v>
      </c>
      <c r="H9292" s="63" t="n">
        <v>0.191</v>
      </c>
      <c r="I9292" s="62" t="n">
        <v>85.81999999999999</v>
      </c>
      <c r="J9292" s="58" t="inlineStr">
        <is>
          <t>Phone</t>
        </is>
      </c>
      <c r="K9292" s="62">
        <f>F9292*(G9292-H9292)</f>
        <v/>
      </c>
      <c r="L9292" s="62">
        <f>K9292-(F9292*I9292)</f>
        <v/>
      </c>
      <c r="M9292" s="64">
        <f>L9292/K9292</f>
        <v/>
      </c>
    </row>
    <row r="9293">
      <c r="A9293" s="58" t="inlineStr">
        <is>
          <t>RT20250821-09292</t>
        </is>
      </c>
      <c r="B9293" s="59" t="inlineStr">
        <is>
          <t>2025-08-21</t>
        </is>
      </c>
      <c r="C9293" s="60" t="inlineStr">
        <is>
          <t>Vertex Appliance Max-338</t>
        </is>
      </c>
      <c r="D9293" s="58" t="inlineStr">
        <is>
          <t>Home</t>
        </is>
      </c>
      <c r="E9293" s="58" t="inlineStr">
        <is>
          <t>West</t>
        </is>
      </c>
      <c r="F9293" s="61" t="n">
        <v>3</v>
      </c>
      <c r="G9293" s="62" t="n">
        <v>427.44</v>
      </c>
      <c r="H9293" s="63" t="n">
        <v>0.153</v>
      </c>
      <c r="I9293" s="62" t="n">
        <v>288.6</v>
      </c>
      <c r="J9293" s="58" t="inlineStr">
        <is>
          <t>Online</t>
        </is>
      </c>
      <c r="K9293" s="62">
        <f>F9293*(G9293-H9293)</f>
        <v/>
      </c>
      <c r="L9293" s="62">
        <f>K9293-(F9293*I9293)</f>
        <v/>
      </c>
      <c r="M9293" s="64">
        <f>L9293/K9293</f>
        <v/>
      </c>
    </row>
    <row r="9294">
      <c r="A9294" s="58" t="inlineStr">
        <is>
          <t>RT20250821-09293</t>
        </is>
      </c>
      <c r="B9294" s="59" t="inlineStr">
        <is>
          <t>2025-08-21</t>
        </is>
      </c>
      <c r="C9294" s="60" t="inlineStr">
        <is>
          <t>Solace Kitchen Pro-999</t>
        </is>
      </c>
      <c r="D9294" s="58" t="inlineStr">
        <is>
          <t>Home</t>
        </is>
      </c>
      <c r="E9294" s="58" t="inlineStr">
        <is>
          <t>Central</t>
        </is>
      </c>
      <c r="F9294" s="61" t="n">
        <v>2</v>
      </c>
      <c r="G9294" s="62" t="n">
        <v>361.93</v>
      </c>
      <c r="H9294" s="63" t="n">
        <v>0.144</v>
      </c>
      <c r="I9294" s="62" t="n">
        <v>270.29</v>
      </c>
      <c r="J9294" s="58" t="inlineStr">
        <is>
          <t>Online</t>
        </is>
      </c>
      <c r="K9294" s="62">
        <f>F9294*(G9294-H9294)</f>
        <v/>
      </c>
      <c r="L9294" s="62">
        <f>K9294-(F9294*I9294)</f>
        <v/>
      </c>
      <c r="M9294" s="64">
        <f>L9294/K9294</f>
        <v/>
      </c>
    </row>
    <row r="9295">
      <c r="A9295" s="58" t="inlineStr">
        <is>
          <t>RT20250821-09294</t>
        </is>
      </c>
      <c r="B9295" s="59" t="inlineStr">
        <is>
          <t>2025-08-21</t>
        </is>
      </c>
      <c r="C9295" s="60" t="inlineStr">
        <is>
          <t>Polar Decor X-935</t>
        </is>
      </c>
      <c r="D9295" s="58" t="inlineStr">
        <is>
          <t>Home</t>
        </is>
      </c>
      <c r="E9295" s="58" t="inlineStr">
        <is>
          <t>East</t>
        </is>
      </c>
      <c r="F9295" s="61" t="n">
        <v>1</v>
      </c>
      <c r="G9295" s="62" t="n">
        <v>286.01</v>
      </c>
      <c r="H9295" s="63" t="n">
        <v>0.182</v>
      </c>
      <c r="I9295" s="62" t="n">
        <v>204.21</v>
      </c>
      <c r="J9295" s="58" t="inlineStr">
        <is>
          <t>Online</t>
        </is>
      </c>
      <c r="K9295" s="62">
        <f>F9295*(G9295-H9295)</f>
        <v/>
      </c>
      <c r="L9295" s="62">
        <f>K9295-(F9295*I9295)</f>
        <v/>
      </c>
      <c r="M9295" s="64">
        <f>L9295/K9295</f>
        <v/>
      </c>
    </row>
    <row r="9296">
      <c r="A9296" s="58" t="inlineStr">
        <is>
          <t>RT20250821-09295</t>
        </is>
      </c>
      <c r="B9296" s="59" t="inlineStr">
        <is>
          <t>2025-08-21</t>
        </is>
      </c>
      <c r="C9296" s="60" t="inlineStr">
        <is>
          <t>Metro Pantry X-710</t>
        </is>
      </c>
      <c r="D9296" s="58" t="inlineStr">
        <is>
          <t>Grocery</t>
        </is>
      </c>
      <c r="E9296" s="58" t="inlineStr">
        <is>
          <t>West</t>
        </is>
      </c>
      <c r="F9296" s="61" t="n">
        <v>7</v>
      </c>
      <c r="G9296" s="62" t="n">
        <v>5.41</v>
      </c>
      <c r="H9296" s="63" t="n">
        <v>0.134</v>
      </c>
      <c r="I9296" s="62" t="n">
        <v>4.19</v>
      </c>
      <c r="J9296" s="58" t="inlineStr">
        <is>
          <t>Online</t>
        </is>
      </c>
      <c r="K9296" s="62">
        <f>F9296*(G9296-H9296)</f>
        <v/>
      </c>
      <c r="L9296" s="62">
        <f>K9296-(F9296*I9296)</f>
        <v/>
      </c>
      <c r="M9296" s="64">
        <f>L9296/K9296</f>
        <v/>
      </c>
    </row>
    <row r="9297">
      <c r="A9297" s="58" t="inlineStr">
        <is>
          <t>RT20250821-09296</t>
        </is>
      </c>
      <c r="B9297" s="59" t="inlineStr">
        <is>
          <t>2025-08-21</t>
        </is>
      </c>
      <c r="C9297" s="60" t="inlineStr">
        <is>
          <t>Orion Snack X-322</t>
        </is>
      </c>
      <c r="D9297" s="58" t="inlineStr">
        <is>
          <t>Grocery</t>
        </is>
      </c>
      <c r="E9297" s="58" t="inlineStr">
        <is>
          <t>North</t>
        </is>
      </c>
      <c r="F9297" s="61" t="n">
        <v>7</v>
      </c>
      <c r="G9297" s="62" t="n">
        <v>15.27</v>
      </c>
      <c r="H9297" s="63" t="n">
        <v>0.107</v>
      </c>
      <c r="I9297" s="62" t="n">
        <v>10.08</v>
      </c>
      <c r="J9297" s="58" t="inlineStr">
        <is>
          <t>Phone</t>
        </is>
      </c>
      <c r="K9297" s="62">
        <f>F9297*(G9297-H9297)</f>
        <v/>
      </c>
      <c r="L9297" s="62">
        <f>K9297-(F9297*I9297)</f>
        <v/>
      </c>
      <c r="M9297" s="64">
        <f>L9297/K9297</f>
        <v/>
      </c>
    </row>
    <row r="9298">
      <c r="A9298" s="58" t="inlineStr">
        <is>
          <t>RT20250821-09297</t>
        </is>
      </c>
      <c r="B9298" s="59" t="inlineStr">
        <is>
          <t>2025-08-21</t>
        </is>
      </c>
      <c r="C9298" s="60" t="inlineStr">
        <is>
          <t>Falcon Household Pro-865</t>
        </is>
      </c>
      <c r="D9298" s="58" t="inlineStr">
        <is>
          <t>Grocery</t>
        </is>
      </c>
      <c r="E9298" s="58" t="inlineStr">
        <is>
          <t>South</t>
        </is>
      </c>
      <c r="F9298" s="61" t="n">
        <v>3</v>
      </c>
      <c r="G9298" s="62" t="n">
        <v>10.55</v>
      </c>
      <c r="H9298" s="63" t="n">
        <v>0.151</v>
      </c>
      <c r="I9298" s="62" t="n">
        <v>7.87</v>
      </c>
      <c r="J9298" s="58" t="inlineStr">
        <is>
          <t>Online</t>
        </is>
      </c>
      <c r="K9298" s="62">
        <f>F9298*(G9298-H9298)</f>
        <v/>
      </c>
      <c r="L9298" s="62">
        <f>K9298-(F9298*I9298)</f>
        <v/>
      </c>
      <c r="M9298" s="64">
        <f>L9298/K9298</f>
        <v/>
      </c>
    </row>
    <row r="9299">
      <c r="A9299" s="58" t="inlineStr">
        <is>
          <t>RT20250821-09298</t>
        </is>
      </c>
      <c r="B9299" s="59" t="inlineStr">
        <is>
          <t>2025-08-21</t>
        </is>
      </c>
      <c r="C9299" s="60" t="inlineStr">
        <is>
          <t>Metro Wearable Plus-234</t>
        </is>
      </c>
      <c r="D9299" s="58" t="inlineStr">
        <is>
          <t>Electronics</t>
        </is>
      </c>
      <c r="E9299" s="58" t="inlineStr">
        <is>
          <t>South</t>
        </is>
      </c>
      <c r="F9299" s="61" t="n">
        <v>2</v>
      </c>
      <c r="G9299" s="62" t="n">
        <v>1561.65</v>
      </c>
      <c r="H9299" s="63" t="n">
        <v>0.15</v>
      </c>
      <c r="I9299" s="62" t="n">
        <v>1184.7</v>
      </c>
      <c r="J9299" s="58" t="inlineStr">
        <is>
          <t>Store</t>
        </is>
      </c>
      <c r="K9299" s="62">
        <f>F9299*(G9299-H9299)</f>
        <v/>
      </c>
      <c r="L9299" s="62">
        <f>K9299-(F9299*I9299)</f>
        <v/>
      </c>
      <c r="M9299" s="64">
        <f>L9299/K9299</f>
        <v/>
      </c>
    </row>
    <row r="9300">
      <c r="A9300" s="58" t="inlineStr">
        <is>
          <t>RT20250821-09299</t>
        </is>
      </c>
      <c r="B9300" s="59" t="inlineStr">
        <is>
          <t>2025-08-21</t>
        </is>
      </c>
      <c r="C9300" s="60" t="inlineStr">
        <is>
          <t>Polar Snack Pro-641</t>
        </is>
      </c>
      <c r="D9300" s="58" t="inlineStr">
        <is>
          <t>Grocery</t>
        </is>
      </c>
      <c r="E9300" s="58" t="inlineStr">
        <is>
          <t>East</t>
        </is>
      </c>
      <c r="F9300" s="61" t="n">
        <v>3</v>
      </c>
      <c r="G9300" s="62" t="n">
        <v>12.72</v>
      </c>
      <c r="H9300" s="63" t="n">
        <v>0.18</v>
      </c>
      <c r="I9300" s="62" t="n">
        <v>9.710000000000001</v>
      </c>
      <c r="J9300" s="58" t="inlineStr">
        <is>
          <t>Online</t>
        </is>
      </c>
      <c r="K9300" s="62">
        <f>F9300*(G9300-H9300)</f>
        <v/>
      </c>
      <c r="L9300" s="62">
        <f>K9300-(F9300*I9300)</f>
        <v/>
      </c>
      <c r="M9300" s="64">
        <f>L9300/K9300</f>
        <v/>
      </c>
    </row>
    <row r="9301">
      <c r="A9301" s="58" t="inlineStr">
        <is>
          <t>RT20250821-09300</t>
        </is>
      </c>
      <c r="B9301" s="59" t="inlineStr">
        <is>
          <t>2025-08-21</t>
        </is>
      </c>
      <c r="C9301" s="60" t="inlineStr">
        <is>
          <t>Metro Accessorie Max-316</t>
        </is>
      </c>
      <c r="D9301" s="58" t="inlineStr">
        <is>
          <t>Apparel</t>
        </is>
      </c>
      <c r="E9301" s="58" t="inlineStr">
        <is>
          <t>East</t>
        </is>
      </c>
      <c r="F9301" s="61" t="n">
        <v>4</v>
      </c>
      <c r="G9301" s="62" t="n">
        <v>150.81</v>
      </c>
      <c r="H9301" s="63" t="n">
        <v>0.131</v>
      </c>
      <c r="I9301" s="62" t="n">
        <v>90</v>
      </c>
      <c r="J9301" s="58" t="inlineStr">
        <is>
          <t>Store</t>
        </is>
      </c>
      <c r="K9301" s="62">
        <f>F9301*(G9301-H9301)</f>
        <v/>
      </c>
      <c r="L9301" s="62">
        <f>K9301-(F9301*I9301)</f>
        <v/>
      </c>
      <c r="M9301" s="64">
        <f>L9301/K9301</f>
        <v/>
      </c>
    </row>
    <row r="9302">
      <c r="A9302" s="58" t="inlineStr">
        <is>
          <t>RT20250821-09301</t>
        </is>
      </c>
      <c r="B9302" s="59" t="inlineStr">
        <is>
          <t>2025-08-21</t>
        </is>
      </c>
      <c r="C9302" s="60" t="inlineStr">
        <is>
          <t>Solace Fitnes S-324</t>
        </is>
      </c>
      <c r="D9302" s="58" t="inlineStr">
        <is>
          <t>Sports</t>
        </is>
      </c>
      <c r="E9302" s="58" t="inlineStr">
        <is>
          <t>West</t>
        </is>
      </c>
      <c r="F9302" s="61" t="n">
        <v>2</v>
      </c>
      <c r="G9302" s="62" t="n">
        <v>783.39</v>
      </c>
      <c r="H9302" s="63" t="n">
        <v>0.172</v>
      </c>
      <c r="I9302" s="62" t="n">
        <v>518.66</v>
      </c>
      <c r="J9302" s="58" t="inlineStr">
        <is>
          <t>Online</t>
        </is>
      </c>
      <c r="K9302" s="62">
        <f>F9302*(G9302-H9302)</f>
        <v/>
      </c>
      <c r="L9302" s="62">
        <f>K9302-(F9302*I9302)</f>
        <v/>
      </c>
      <c r="M9302" s="64">
        <f>L9302/K9302</f>
        <v/>
      </c>
    </row>
    <row r="9303">
      <c r="A9303" s="58" t="inlineStr">
        <is>
          <t>RT20250821-09302</t>
        </is>
      </c>
      <c r="B9303" s="59" t="inlineStr">
        <is>
          <t>2025-08-21</t>
        </is>
      </c>
      <c r="C9303" s="60" t="inlineStr">
        <is>
          <t>Nimbus Women Lite-814</t>
        </is>
      </c>
      <c r="D9303" s="58" t="inlineStr">
        <is>
          <t>Apparel</t>
        </is>
      </c>
      <c r="E9303" s="58" t="inlineStr">
        <is>
          <t>East</t>
        </is>
      </c>
      <c r="F9303" s="61" t="n">
        <v>3</v>
      </c>
      <c r="G9303" s="62" t="n">
        <v>157.1</v>
      </c>
      <c r="H9303" s="63" t="n">
        <v>0.125</v>
      </c>
      <c r="I9303" s="62" t="n">
        <v>82.55</v>
      </c>
      <c r="J9303" s="58" t="inlineStr">
        <is>
          <t>Online</t>
        </is>
      </c>
      <c r="K9303" s="62">
        <f>F9303*(G9303-H9303)</f>
        <v/>
      </c>
      <c r="L9303" s="62">
        <f>K9303-(F9303*I9303)</f>
        <v/>
      </c>
      <c r="M9303" s="64">
        <f>L9303/K9303</f>
        <v/>
      </c>
    </row>
    <row r="9304">
      <c r="A9304" s="58" t="inlineStr">
        <is>
          <t>RT20250821-09303</t>
        </is>
      </c>
      <c r="B9304" s="59" t="inlineStr">
        <is>
          <t>2025-08-21</t>
        </is>
      </c>
      <c r="C9304" s="60" t="inlineStr">
        <is>
          <t>Falcon Cycling Pro-499</t>
        </is>
      </c>
      <c r="D9304" s="58" t="inlineStr">
        <is>
          <t>Sports</t>
        </is>
      </c>
      <c r="E9304" s="58" t="inlineStr">
        <is>
          <t>East</t>
        </is>
      </c>
      <c r="F9304" s="61" t="n">
        <v>2</v>
      </c>
      <c r="G9304" s="62" t="n">
        <v>575.73</v>
      </c>
      <c r="H9304" s="63" t="n">
        <v>0.141</v>
      </c>
      <c r="I9304" s="62" t="n">
        <v>399.15</v>
      </c>
      <c r="J9304" s="58" t="inlineStr">
        <is>
          <t>Store</t>
        </is>
      </c>
      <c r="K9304" s="62">
        <f>F9304*(G9304-H9304)</f>
        <v/>
      </c>
      <c r="L9304" s="62">
        <f>K9304-(F9304*I9304)</f>
        <v/>
      </c>
      <c r="M9304" s="64">
        <f>L9304/K9304</f>
        <v/>
      </c>
    </row>
    <row r="9305">
      <c r="A9305" s="58" t="inlineStr">
        <is>
          <t>RT20250821-09304</t>
        </is>
      </c>
      <c r="B9305" s="59" t="inlineStr">
        <is>
          <t>2025-08-21</t>
        </is>
      </c>
      <c r="C9305" s="60" t="inlineStr">
        <is>
          <t>Aurora Skincare Max-798</t>
        </is>
      </c>
      <c r="D9305" s="58" t="inlineStr">
        <is>
          <t>Beauty</t>
        </is>
      </c>
      <c r="E9305" s="58" t="inlineStr">
        <is>
          <t>West</t>
        </is>
      </c>
      <c r="F9305" s="61" t="n">
        <v>2</v>
      </c>
      <c r="G9305" s="62" t="n">
        <v>103.22</v>
      </c>
      <c r="H9305" s="63" t="n">
        <v>0.163</v>
      </c>
      <c r="I9305" s="62" t="n">
        <v>70.25</v>
      </c>
      <c r="J9305" s="58" t="inlineStr">
        <is>
          <t>Store</t>
        </is>
      </c>
      <c r="K9305" s="62">
        <f>F9305*(G9305-H9305)</f>
        <v/>
      </c>
      <c r="L9305" s="62">
        <f>K9305-(F9305*I9305)</f>
        <v/>
      </c>
      <c r="M9305" s="64">
        <f>L9305/K9305</f>
        <v/>
      </c>
    </row>
    <row r="9306">
      <c r="A9306" s="58" t="inlineStr">
        <is>
          <t>RT20250822-09305</t>
        </is>
      </c>
      <c r="B9306" s="59" t="inlineStr">
        <is>
          <t>2025-08-22</t>
        </is>
      </c>
      <c r="C9306" s="60" t="inlineStr">
        <is>
          <t>Metro Fragrance Lite-261</t>
        </is>
      </c>
      <c r="D9306" s="58" t="inlineStr">
        <is>
          <t>Beauty</t>
        </is>
      </c>
      <c r="E9306" s="58" t="inlineStr">
        <is>
          <t>East</t>
        </is>
      </c>
      <c r="F9306" s="61" t="n">
        <v>2</v>
      </c>
      <c r="G9306" s="62" t="n">
        <v>93.38</v>
      </c>
      <c r="H9306" s="63" t="n">
        <v>0.155</v>
      </c>
      <c r="I9306" s="62" t="n">
        <v>56.97</v>
      </c>
      <c r="J9306" s="58" t="inlineStr">
        <is>
          <t>Online</t>
        </is>
      </c>
      <c r="K9306" s="62">
        <f>F9306*(G9306-H9306)</f>
        <v/>
      </c>
      <c r="L9306" s="62">
        <f>K9306-(F9306*I9306)</f>
        <v/>
      </c>
      <c r="M9306" s="64">
        <f>L9306/K9306</f>
        <v/>
      </c>
    </row>
    <row r="9307">
      <c r="A9307" s="58" t="inlineStr">
        <is>
          <t>RT20250822-09306</t>
        </is>
      </c>
      <c r="B9307" s="59" t="inlineStr">
        <is>
          <t>2025-08-22</t>
        </is>
      </c>
      <c r="C9307" s="60" t="inlineStr">
        <is>
          <t>Vertex Furniture S-652</t>
        </is>
      </c>
      <c r="D9307" s="58" t="inlineStr">
        <is>
          <t>Office</t>
        </is>
      </c>
      <c r="E9307" s="58" t="inlineStr">
        <is>
          <t>East</t>
        </is>
      </c>
      <c r="F9307" s="61" t="n">
        <v>3</v>
      </c>
      <c r="G9307" s="62" t="n">
        <v>348.66</v>
      </c>
      <c r="H9307" s="63" t="n">
        <v>0.111</v>
      </c>
      <c r="I9307" s="62" t="n">
        <v>265.34</v>
      </c>
      <c r="J9307" s="58" t="inlineStr">
        <is>
          <t>Phone</t>
        </is>
      </c>
      <c r="K9307" s="62">
        <f>F9307*(G9307-H9307)</f>
        <v/>
      </c>
      <c r="L9307" s="62">
        <f>K9307-(F9307*I9307)</f>
        <v/>
      </c>
      <c r="M9307" s="64">
        <f>L9307/K9307</f>
        <v/>
      </c>
    </row>
    <row r="9308">
      <c r="A9308" s="58" t="inlineStr">
        <is>
          <t>RT20250822-09307</t>
        </is>
      </c>
      <c r="B9308" s="59" t="inlineStr">
        <is>
          <t>2025-08-22</t>
        </is>
      </c>
      <c r="C9308" s="60" t="inlineStr">
        <is>
          <t>Falcon Household Plus-796</t>
        </is>
      </c>
      <c r="D9308" s="58" t="inlineStr">
        <is>
          <t>Grocery</t>
        </is>
      </c>
      <c r="E9308" s="58" t="inlineStr">
        <is>
          <t>East</t>
        </is>
      </c>
      <c r="F9308" s="61" t="n">
        <v>4</v>
      </c>
      <c r="G9308" s="62" t="n">
        <v>22.12</v>
      </c>
      <c r="H9308" s="63" t="n">
        <v>0.162</v>
      </c>
      <c r="I9308" s="62" t="n">
        <v>17.47</v>
      </c>
      <c r="J9308" s="58" t="inlineStr">
        <is>
          <t>Online</t>
        </is>
      </c>
      <c r="K9308" s="62">
        <f>F9308*(G9308-H9308)</f>
        <v/>
      </c>
      <c r="L9308" s="62">
        <f>K9308-(F9308*I9308)</f>
        <v/>
      </c>
      <c r="M9308" s="64">
        <f>L9308/K9308</f>
        <v/>
      </c>
    </row>
    <row r="9309">
      <c r="A9309" s="58" t="inlineStr">
        <is>
          <t>RT20250822-09308</t>
        </is>
      </c>
      <c r="B9309" s="59" t="inlineStr">
        <is>
          <t>2025-08-22</t>
        </is>
      </c>
      <c r="C9309" s="60" t="inlineStr">
        <is>
          <t>Solace Kid S-384</t>
        </is>
      </c>
      <c r="D9309" s="58" t="inlineStr">
        <is>
          <t>Apparel</t>
        </is>
      </c>
      <c r="E9309" s="58" t="inlineStr">
        <is>
          <t>East</t>
        </is>
      </c>
      <c r="F9309" s="61" t="n">
        <v>3</v>
      </c>
      <c r="G9309" s="62" t="n">
        <v>111.9</v>
      </c>
      <c r="H9309" s="63" t="n">
        <v>0.197</v>
      </c>
      <c r="I9309" s="62" t="n">
        <v>61.35</v>
      </c>
      <c r="J9309" s="58" t="inlineStr">
        <is>
          <t>Store</t>
        </is>
      </c>
      <c r="K9309" s="62">
        <f>F9309*(G9309-H9309)</f>
        <v/>
      </c>
      <c r="L9309" s="62">
        <f>K9309-(F9309*I9309)</f>
        <v/>
      </c>
      <c r="M9309" s="64">
        <f>L9309/K9309</f>
        <v/>
      </c>
    </row>
    <row r="9310">
      <c r="A9310" s="58" t="inlineStr">
        <is>
          <t>RT20250822-09309</t>
        </is>
      </c>
      <c r="B9310" s="59" t="inlineStr">
        <is>
          <t>2025-08-22</t>
        </is>
      </c>
      <c r="C9310" s="60" t="inlineStr">
        <is>
          <t>Polar Wearable X-119</t>
        </is>
      </c>
      <c r="D9310" s="58" t="inlineStr">
        <is>
          <t>Electronics</t>
        </is>
      </c>
      <c r="E9310" s="58" t="inlineStr">
        <is>
          <t>North</t>
        </is>
      </c>
      <c r="F9310" s="61" t="n">
        <v>2</v>
      </c>
      <c r="G9310" s="62" t="n">
        <v>1503.26</v>
      </c>
      <c r="H9310" s="63" t="n">
        <v>0.191</v>
      </c>
      <c r="I9310" s="62" t="n">
        <v>1180.72</v>
      </c>
      <c r="J9310" s="58" t="inlineStr">
        <is>
          <t>Online</t>
        </is>
      </c>
      <c r="K9310" s="62">
        <f>F9310*(G9310-H9310)</f>
        <v/>
      </c>
      <c r="L9310" s="62">
        <f>K9310-(F9310*I9310)</f>
        <v/>
      </c>
      <c r="M9310" s="64">
        <f>L9310/K9310</f>
        <v/>
      </c>
    </row>
    <row r="9311">
      <c r="A9311" s="58" t="inlineStr">
        <is>
          <t>RT20250822-09310</t>
        </is>
      </c>
      <c r="B9311" s="59" t="inlineStr">
        <is>
          <t>2025-08-22</t>
        </is>
      </c>
      <c r="C9311" s="60" t="inlineStr">
        <is>
          <t>Solace Team Sport Max-548</t>
        </is>
      </c>
      <c r="D9311" s="58" t="inlineStr">
        <is>
          <t>Sports</t>
        </is>
      </c>
      <c r="E9311" s="58" t="inlineStr">
        <is>
          <t>South</t>
        </is>
      </c>
      <c r="F9311" s="61" t="n">
        <v>1</v>
      </c>
      <c r="G9311" s="62" t="n">
        <v>710.46</v>
      </c>
      <c r="H9311" s="63" t="n">
        <v>0.186</v>
      </c>
      <c r="I9311" s="62" t="n">
        <v>465.28</v>
      </c>
      <c r="J9311" s="58" t="inlineStr">
        <is>
          <t>Store</t>
        </is>
      </c>
      <c r="K9311" s="62">
        <f>F9311*(G9311-H9311)</f>
        <v/>
      </c>
      <c r="L9311" s="62">
        <f>K9311-(F9311*I9311)</f>
        <v/>
      </c>
      <c r="M9311" s="64">
        <f>L9311/K9311</f>
        <v/>
      </c>
    </row>
    <row r="9312">
      <c r="A9312" s="58" t="inlineStr">
        <is>
          <t>RT20250822-09311</t>
        </is>
      </c>
      <c r="B9312" s="59" t="inlineStr">
        <is>
          <t>2025-08-22</t>
        </is>
      </c>
      <c r="C9312" s="60" t="inlineStr">
        <is>
          <t>Vertex Appliance S-159</t>
        </is>
      </c>
      <c r="D9312" s="58" t="inlineStr">
        <is>
          <t>Home</t>
        </is>
      </c>
      <c r="E9312" s="58" t="inlineStr">
        <is>
          <t>East</t>
        </is>
      </c>
      <c r="F9312" s="61" t="n">
        <v>1</v>
      </c>
      <c r="G9312" s="62" t="n">
        <v>450.25</v>
      </c>
      <c r="H9312" s="63" t="n">
        <v>0.143</v>
      </c>
      <c r="I9312" s="62" t="n">
        <v>284.38</v>
      </c>
      <c r="J9312" s="58" t="inlineStr">
        <is>
          <t>Online</t>
        </is>
      </c>
      <c r="K9312" s="62">
        <f>F9312*(G9312-H9312)</f>
        <v/>
      </c>
      <c r="L9312" s="62">
        <f>K9312-(F9312*I9312)</f>
        <v/>
      </c>
      <c r="M9312" s="64">
        <f>L9312/K9312</f>
        <v/>
      </c>
    </row>
    <row r="9313">
      <c r="A9313" s="58" t="inlineStr">
        <is>
          <t>RT20250822-09312</t>
        </is>
      </c>
      <c r="B9313" s="59" t="inlineStr">
        <is>
          <t>2025-08-22</t>
        </is>
      </c>
      <c r="C9313" s="60" t="inlineStr">
        <is>
          <t>Metro Accessorie Lite-697</t>
        </is>
      </c>
      <c r="D9313" s="58" t="inlineStr">
        <is>
          <t>Apparel</t>
        </is>
      </c>
      <c r="E9313" s="58" t="inlineStr">
        <is>
          <t>South</t>
        </is>
      </c>
      <c r="F9313" s="61" t="n">
        <v>4</v>
      </c>
      <c r="G9313" s="62" t="n">
        <v>145.54</v>
      </c>
      <c r="H9313" s="63" t="n">
        <v>0.143</v>
      </c>
      <c r="I9313" s="62" t="n">
        <v>74.94</v>
      </c>
      <c r="J9313" s="58" t="inlineStr">
        <is>
          <t>Online</t>
        </is>
      </c>
      <c r="K9313" s="62">
        <f>F9313*(G9313-H9313)</f>
        <v/>
      </c>
      <c r="L9313" s="62">
        <f>K9313-(F9313*I9313)</f>
        <v/>
      </c>
      <c r="M9313" s="64">
        <f>L9313/K9313</f>
        <v/>
      </c>
    </row>
    <row r="9314">
      <c r="A9314" s="58" t="inlineStr">
        <is>
          <t>RT20250822-09313</t>
        </is>
      </c>
      <c r="B9314" s="59" t="inlineStr">
        <is>
          <t>2025-08-22</t>
        </is>
      </c>
      <c r="C9314" s="60" t="inlineStr">
        <is>
          <t>Polar Decor Plus-505</t>
        </is>
      </c>
      <c r="D9314" s="58" t="inlineStr">
        <is>
          <t>Home</t>
        </is>
      </c>
      <c r="E9314" s="58" t="inlineStr">
        <is>
          <t>North</t>
        </is>
      </c>
      <c r="F9314" s="61" t="n">
        <v>2</v>
      </c>
      <c r="G9314" s="62" t="n">
        <v>284.65</v>
      </c>
      <c r="H9314" s="63" t="n">
        <v>0.136</v>
      </c>
      <c r="I9314" s="62" t="n">
        <v>203.29</v>
      </c>
      <c r="J9314" s="58" t="inlineStr">
        <is>
          <t>Online</t>
        </is>
      </c>
      <c r="K9314" s="62">
        <f>F9314*(G9314-H9314)</f>
        <v/>
      </c>
      <c r="L9314" s="62">
        <f>K9314-(F9314*I9314)</f>
        <v/>
      </c>
      <c r="M9314" s="64">
        <f>L9314/K9314</f>
        <v/>
      </c>
    </row>
    <row r="9315">
      <c r="A9315" s="58" t="inlineStr">
        <is>
          <t>RT20250822-09314</t>
        </is>
      </c>
      <c r="B9315" s="59" t="inlineStr">
        <is>
          <t>2025-08-22</t>
        </is>
      </c>
      <c r="C9315" s="60" t="inlineStr">
        <is>
          <t>Polar Haircare Max-614</t>
        </is>
      </c>
      <c r="D9315" s="58" t="inlineStr">
        <is>
          <t>Beauty</t>
        </is>
      </c>
      <c r="E9315" s="58" t="inlineStr">
        <is>
          <t>East</t>
        </is>
      </c>
      <c r="F9315" s="61" t="n">
        <v>5</v>
      </c>
      <c r="G9315" s="62" t="n">
        <v>104.42</v>
      </c>
      <c r="H9315" s="63" t="n">
        <v>0.125</v>
      </c>
      <c r="I9315" s="62" t="n">
        <v>69.76000000000001</v>
      </c>
      <c r="J9315" s="58" t="inlineStr">
        <is>
          <t>Online</t>
        </is>
      </c>
      <c r="K9315" s="62">
        <f>F9315*(G9315-H9315)</f>
        <v/>
      </c>
      <c r="L9315" s="62">
        <f>K9315-(F9315*I9315)</f>
        <v/>
      </c>
      <c r="M9315" s="64">
        <f>L9315/K9315</f>
        <v/>
      </c>
    </row>
    <row r="9316">
      <c r="A9316" s="58" t="inlineStr">
        <is>
          <t>RT20250822-09315</t>
        </is>
      </c>
      <c r="B9316" s="59" t="inlineStr">
        <is>
          <t>2025-08-22</t>
        </is>
      </c>
      <c r="C9316" s="60" t="inlineStr">
        <is>
          <t>Metro Accessorie Lite-697</t>
        </is>
      </c>
      <c r="D9316" s="58" t="inlineStr">
        <is>
          <t>Apparel</t>
        </is>
      </c>
      <c r="E9316" s="58" t="inlineStr">
        <is>
          <t>East</t>
        </is>
      </c>
      <c r="F9316" s="61" t="n">
        <v>1</v>
      </c>
      <c r="G9316" s="62" t="n">
        <v>146.75</v>
      </c>
      <c r="H9316" s="63" t="n">
        <v>0.149</v>
      </c>
      <c r="I9316" s="62" t="n">
        <v>74.86</v>
      </c>
      <c r="J9316" s="58" t="inlineStr">
        <is>
          <t>Store</t>
        </is>
      </c>
      <c r="K9316" s="62">
        <f>F9316*(G9316-H9316)</f>
        <v/>
      </c>
      <c r="L9316" s="62">
        <f>K9316-(F9316*I9316)</f>
        <v/>
      </c>
      <c r="M9316" s="64">
        <f>L9316/K9316</f>
        <v/>
      </c>
    </row>
    <row r="9317">
      <c r="A9317" s="58" t="inlineStr">
        <is>
          <t>RT20250822-09316</t>
        </is>
      </c>
      <c r="B9317" s="59" t="inlineStr">
        <is>
          <t>2025-08-22</t>
        </is>
      </c>
      <c r="C9317" s="60" t="inlineStr">
        <is>
          <t>Metro Smartphone Max-773</t>
        </is>
      </c>
      <c r="D9317" s="58" t="inlineStr">
        <is>
          <t>Electronics</t>
        </is>
      </c>
      <c r="E9317" s="58" t="inlineStr">
        <is>
          <t>West</t>
        </is>
      </c>
      <c r="F9317" s="61" t="n">
        <v>1</v>
      </c>
      <c r="G9317" s="62" t="n">
        <v>1366.33</v>
      </c>
      <c r="H9317" s="63" t="n">
        <v>0.187</v>
      </c>
      <c r="I9317" s="62" t="n">
        <v>1078.47</v>
      </c>
      <c r="J9317" s="58" t="inlineStr">
        <is>
          <t>Online</t>
        </is>
      </c>
      <c r="K9317" s="62">
        <f>F9317*(G9317-H9317)</f>
        <v/>
      </c>
      <c r="L9317" s="62">
        <f>K9317-(F9317*I9317)</f>
        <v/>
      </c>
      <c r="M9317" s="64">
        <f>L9317/K9317</f>
        <v/>
      </c>
    </row>
    <row r="9318">
      <c r="A9318" s="58" t="inlineStr">
        <is>
          <t>RT20250822-09317</t>
        </is>
      </c>
      <c r="B9318" s="59" t="inlineStr">
        <is>
          <t>2025-08-22</t>
        </is>
      </c>
      <c r="C9318" s="60" t="inlineStr">
        <is>
          <t>Falcon Beverage Max-702</t>
        </is>
      </c>
      <c r="D9318" s="58" t="inlineStr">
        <is>
          <t>Grocery</t>
        </is>
      </c>
      <c r="E9318" s="58" t="inlineStr">
        <is>
          <t>West</t>
        </is>
      </c>
      <c r="F9318" s="61" t="n">
        <v>4</v>
      </c>
      <c r="G9318" s="62" t="n">
        <v>28.19</v>
      </c>
      <c r="H9318" s="63" t="n">
        <v>0.14</v>
      </c>
      <c r="I9318" s="62" t="n">
        <v>20.12</v>
      </c>
      <c r="J9318" s="58" t="inlineStr">
        <is>
          <t>Phone</t>
        </is>
      </c>
      <c r="K9318" s="62">
        <f>F9318*(G9318-H9318)</f>
        <v/>
      </c>
      <c r="L9318" s="62">
        <f>K9318-(F9318*I9318)</f>
        <v/>
      </c>
      <c r="M9318" s="64">
        <f>L9318/K9318</f>
        <v/>
      </c>
    </row>
    <row r="9319">
      <c r="A9319" s="58" t="inlineStr">
        <is>
          <t>RT20250822-09318</t>
        </is>
      </c>
      <c r="B9319" s="59" t="inlineStr">
        <is>
          <t>2025-08-22</t>
        </is>
      </c>
      <c r="C9319" s="60" t="inlineStr">
        <is>
          <t>Metro Smartphone Max-773</t>
        </is>
      </c>
      <c r="D9319" s="58" t="inlineStr">
        <is>
          <t>Electronics</t>
        </is>
      </c>
      <c r="E9319" s="58" t="inlineStr">
        <is>
          <t>South</t>
        </is>
      </c>
      <c r="F9319" s="61" t="n">
        <v>2</v>
      </c>
      <c r="G9319" s="62" t="n">
        <v>1608.09</v>
      </c>
      <c r="H9319" s="63" t="n">
        <v>0.184</v>
      </c>
      <c r="I9319" s="62" t="n">
        <v>1120.49</v>
      </c>
      <c r="J9319" s="58" t="inlineStr">
        <is>
          <t>Store</t>
        </is>
      </c>
      <c r="K9319" s="62">
        <f>F9319*(G9319-H9319)</f>
        <v/>
      </c>
      <c r="L9319" s="62">
        <f>K9319-(F9319*I9319)</f>
        <v/>
      </c>
      <c r="M9319" s="64">
        <f>L9319/K9319</f>
        <v/>
      </c>
    </row>
    <row r="9320">
      <c r="A9320" s="58" t="inlineStr">
        <is>
          <t>RT20250822-09319</t>
        </is>
      </c>
      <c r="B9320" s="59" t="inlineStr">
        <is>
          <t>2025-08-22</t>
        </is>
      </c>
      <c r="C9320" s="60" t="inlineStr">
        <is>
          <t>Polar Decor Plus-505</t>
        </is>
      </c>
      <c r="D9320" s="58" t="inlineStr">
        <is>
          <t>Home</t>
        </is>
      </c>
      <c r="E9320" s="58" t="inlineStr">
        <is>
          <t>East</t>
        </is>
      </c>
      <c r="F9320" s="61" t="n">
        <v>1</v>
      </c>
      <c r="G9320" s="62" t="n">
        <v>281.5</v>
      </c>
      <c r="H9320" s="63" t="n">
        <v>0.135</v>
      </c>
      <c r="I9320" s="62" t="n">
        <v>201.11</v>
      </c>
      <c r="J9320" s="58" t="inlineStr">
        <is>
          <t>Online</t>
        </is>
      </c>
      <c r="K9320" s="62">
        <f>F9320*(G9320-H9320)</f>
        <v/>
      </c>
      <c r="L9320" s="62">
        <f>K9320-(F9320*I9320)</f>
        <v/>
      </c>
      <c r="M9320" s="64">
        <f>L9320/K9320</f>
        <v/>
      </c>
    </row>
    <row r="9321">
      <c r="A9321" s="58" t="inlineStr">
        <is>
          <t>RT20250822-09320</t>
        </is>
      </c>
      <c r="B9321" s="59" t="inlineStr">
        <is>
          <t>2025-08-22</t>
        </is>
      </c>
      <c r="C9321" s="60" t="inlineStr">
        <is>
          <t>Orion Fragrance Lite-785</t>
        </is>
      </c>
      <c r="D9321" s="58" t="inlineStr">
        <is>
          <t>Beauty</t>
        </is>
      </c>
      <c r="E9321" s="58" t="inlineStr">
        <is>
          <t>South</t>
        </is>
      </c>
      <c r="F9321" s="61" t="n">
        <v>4</v>
      </c>
      <c r="G9321" s="62" t="n">
        <v>43.39</v>
      </c>
      <c r="H9321" s="63" t="n">
        <v>0.12</v>
      </c>
      <c r="I9321" s="62" t="n">
        <v>27.15</v>
      </c>
      <c r="J9321" s="58" t="inlineStr">
        <is>
          <t>Store</t>
        </is>
      </c>
      <c r="K9321" s="62">
        <f>F9321*(G9321-H9321)</f>
        <v/>
      </c>
      <c r="L9321" s="62">
        <f>K9321-(F9321*I9321)</f>
        <v/>
      </c>
      <c r="M9321" s="64">
        <f>L9321/K9321</f>
        <v/>
      </c>
    </row>
    <row r="9322">
      <c r="A9322" s="58" t="inlineStr">
        <is>
          <t>RT20250822-09321</t>
        </is>
      </c>
      <c r="B9322" s="59" t="inlineStr">
        <is>
          <t>2025-08-22</t>
        </is>
      </c>
      <c r="C9322" s="60" t="inlineStr">
        <is>
          <t>Vertex Appliance Max-338</t>
        </is>
      </c>
      <c r="D9322" s="58" t="inlineStr">
        <is>
          <t>Home</t>
        </is>
      </c>
      <c r="E9322" s="58" t="inlineStr">
        <is>
          <t>Central</t>
        </is>
      </c>
      <c r="F9322" s="61" t="n">
        <v>1</v>
      </c>
      <c r="G9322" s="62" t="n">
        <v>378.64</v>
      </c>
      <c r="H9322" s="63" t="n">
        <v>0.123</v>
      </c>
      <c r="I9322" s="62" t="n">
        <v>292.26</v>
      </c>
      <c r="J9322" s="58" t="inlineStr">
        <is>
          <t>Online</t>
        </is>
      </c>
      <c r="K9322" s="62">
        <f>F9322*(G9322-H9322)</f>
        <v/>
      </c>
      <c r="L9322" s="62">
        <f>K9322-(F9322*I9322)</f>
        <v/>
      </c>
      <c r="M9322" s="64">
        <f>L9322/K9322</f>
        <v/>
      </c>
    </row>
    <row r="9323">
      <c r="A9323" s="58" t="inlineStr">
        <is>
          <t>RT20250822-09322</t>
        </is>
      </c>
      <c r="B9323" s="59" t="inlineStr">
        <is>
          <t>2025-08-22</t>
        </is>
      </c>
      <c r="C9323" s="60" t="inlineStr">
        <is>
          <t>Nimbus Men Plus-231</t>
        </is>
      </c>
      <c r="D9323" s="58" t="inlineStr">
        <is>
          <t>Apparel</t>
        </is>
      </c>
      <c r="E9323" s="58" t="inlineStr">
        <is>
          <t>East</t>
        </is>
      </c>
      <c r="F9323" s="61" t="n">
        <v>3</v>
      </c>
      <c r="G9323" s="62" t="n">
        <v>167.51</v>
      </c>
      <c r="H9323" s="63" t="n">
        <v>0.104</v>
      </c>
      <c r="I9323" s="62" t="n">
        <v>87.8</v>
      </c>
      <c r="J9323" s="58" t="inlineStr">
        <is>
          <t>Online</t>
        </is>
      </c>
      <c r="K9323" s="62">
        <f>F9323*(G9323-H9323)</f>
        <v/>
      </c>
      <c r="L9323" s="62">
        <f>K9323-(F9323*I9323)</f>
        <v/>
      </c>
      <c r="M9323" s="64">
        <f>L9323/K9323</f>
        <v/>
      </c>
    </row>
    <row r="9324">
      <c r="A9324" s="58" t="inlineStr">
        <is>
          <t>RT20250822-09323</t>
        </is>
      </c>
      <c r="B9324" s="59" t="inlineStr">
        <is>
          <t>2025-08-22</t>
        </is>
      </c>
      <c r="C9324" s="60" t="inlineStr">
        <is>
          <t>Nimbus Makeup Max-158</t>
        </is>
      </c>
      <c r="D9324" s="58" t="inlineStr">
        <is>
          <t>Beauty</t>
        </is>
      </c>
      <c r="E9324" s="58" t="inlineStr">
        <is>
          <t>Central</t>
        </is>
      </c>
      <c r="F9324" s="61" t="n">
        <v>2</v>
      </c>
      <c r="G9324" s="62" t="n">
        <v>149.08</v>
      </c>
      <c r="H9324" s="63" t="n">
        <v>0.166</v>
      </c>
      <c r="I9324" s="62" t="n">
        <v>95.43000000000001</v>
      </c>
      <c r="J9324" s="58" t="inlineStr">
        <is>
          <t>Online</t>
        </is>
      </c>
      <c r="K9324" s="62">
        <f>F9324*(G9324-H9324)</f>
        <v/>
      </c>
      <c r="L9324" s="62">
        <f>K9324-(F9324*I9324)</f>
        <v/>
      </c>
      <c r="M9324" s="64">
        <f>L9324/K9324</f>
        <v/>
      </c>
    </row>
    <row r="9325">
      <c r="A9325" s="58" t="inlineStr">
        <is>
          <t>RT20250822-09324</t>
        </is>
      </c>
      <c r="B9325" s="59" t="inlineStr">
        <is>
          <t>2025-08-22</t>
        </is>
      </c>
      <c r="C9325" s="60" t="inlineStr">
        <is>
          <t>Metro Pantry X-710</t>
        </is>
      </c>
      <c r="D9325" s="58" t="inlineStr">
        <is>
          <t>Grocery</t>
        </is>
      </c>
      <c r="E9325" s="58" t="inlineStr">
        <is>
          <t>West</t>
        </is>
      </c>
      <c r="F9325" s="61" t="n">
        <v>7</v>
      </c>
      <c r="G9325" s="62" t="n">
        <v>5.41</v>
      </c>
      <c r="H9325" s="63" t="n">
        <v>0.168</v>
      </c>
      <c r="I9325" s="62" t="n">
        <v>4.2</v>
      </c>
      <c r="J9325" s="58" t="inlineStr">
        <is>
          <t>Online</t>
        </is>
      </c>
      <c r="K9325" s="62">
        <f>F9325*(G9325-H9325)</f>
        <v/>
      </c>
      <c r="L9325" s="62">
        <f>K9325-(F9325*I9325)</f>
        <v/>
      </c>
      <c r="M9325" s="64">
        <f>L9325/K9325</f>
        <v/>
      </c>
    </row>
    <row r="9326">
      <c r="A9326" s="58" t="inlineStr">
        <is>
          <t>RT20250822-09325</t>
        </is>
      </c>
      <c r="B9326" s="59" t="inlineStr">
        <is>
          <t>2025-08-22</t>
        </is>
      </c>
      <c r="C9326" s="60" t="inlineStr">
        <is>
          <t>Polar Decor Plus-505</t>
        </is>
      </c>
      <c r="D9326" s="58" t="inlineStr">
        <is>
          <t>Home</t>
        </is>
      </c>
      <c r="E9326" s="58" t="inlineStr">
        <is>
          <t>East</t>
        </is>
      </c>
      <c r="F9326" s="61" t="n">
        <v>2</v>
      </c>
      <c r="G9326" s="62" t="n">
        <v>265.85</v>
      </c>
      <c r="H9326" s="63" t="n">
        <v>0.187</v>
      </c>
      <c r="I9326" s="62" t="n">
        <v>201.71</v>
      </c>
      <c r="J9326" s="58" t="inlineStr">
        <is>
          <t>Online</t>
        </is>
      </c>
      <c r="K9326" s="62">
        <f>F9326*(G9326-H9326)</f>
        <v/>
      </c>
      <c r="L9326" s="62">
        <f>K9326-(F9326*I9326)</f>
        <v/>
      </c>
      <c r="M9326" s="64">
        <f>L9326/K9326</f>
        <v/>
      </c>
    </row>
    <row r="9327">
      <c r="A9327" s="58" t="inlineStr">
        <is>
          <t>RT20250822-09326</t>
        </is>
      </c>
      <c r="B9327" s="59" t="inlineStr">
        <is>
          <t>2025-08-22</t>
        </is>
      </c>
      <c r="C9327" s="60" t="inlineStr">
        <is>
          <t>Vertex Supplie X-513</t>
        </is>
      </c>
      <c r="D9327" s="58" t="inlineStr">
        <is>
          <t>Office</t>
        </is>
      </c>
      <c r="E9327" s="58" t="inlineStr">
        <is>
          <t>East</t>
        </is>
      </c>
      <c r="F9327" s="61" t="n">
        <v>2</v>
      </c>
      <c r="G9327" s="62" t="n">
        <v>381.86</v>
      </c>
      <c r="H9327" s="63" t="n">
        <v>0.146</v>
      </c>
      <c r="I9327" s="62" t="n">
        <v>274.12</v>
      </c>
      <c r="J9327" s="58" t="inlineStr">
        <is>
          <t>Online</t>
        </is>
      </c>
      <c r="K9327" s="62">
        <f>F9327*(G9327-H9327)</f>
        <v/>
      </c>
      <c r="L9327" s="62">
        <f>K9327-(F9327*I9327)</f>
        <v/>
      </c>
      <c r="M9327" s="64">
        <f>L9327/K9327</f>
        <v/>
      </c>
    </row>
    <row r="9328">
      <c r="A9328" s="58" t="inlineStr">
        <is>
          <t>RT20250822-09327</t>
        </is>
      </c>
      <c r="B9328" s="59" t="inlineStr">
        <is>
          <t>2025-08-22</t>
        </is>
      </c>
      <c r="C9328" s="60" t="inlineStr">
        <is>
          <t>Polar Haircare Max-614</t>
        </is>
      </c>
      <c r="D9328" s="58" t="inlineStr">
        <is>
          <t>Beauty</t>
        </is>
      </c>
      <c r="E9328" s="58" t="inlineStr">
        <is>
          <t>Central</t>
        </is>
      </c>
      <c r="F9328" s="61" t="n">
        <v>1</v>
      </c>
      <c r="G9328" s="62" t="n">
        <v>111.45</v>
      </c>
      <c r="H9328" s="63" t="n">
        <v>0.133</v>
      </c>
      <c r="I9328" s="62" t="n">
        <v>67.75</v>
      </c>
      <c r="J9328" s="58" t="inlineStr">
        <is>
          <t>Online</t>
        </is>
      </c>
      <c r="K9328" s="62">
        <f>F9328*(G9328-H9328)</f>
        <v/>
      </c>
      <c r="L9328" s="62">
        <f>K9328-(F9328*I9328)</f>
        <v/>
      </c>
      <c r="M9328" s="64">
        <f>L9328/K9328</f>
        <v/>
      </c>
    </row>
    <row r="9329">
      <c r="A9329" s="58" t="inlineStr">
        <is>
          <t>RT20250822-09328</t>
        </is>
      </c>
      <c r="B9329" s="59" t="inlineStr">
        <is>
          <t>2025-08-22</t>
        </is>
      </c>
      <c r="C9329" s="60" t="inlineStr">
        <is>
          <t>Metro Pantry X-710</t>
        </is>
      </c>
      <c r="D9329" s="58" t="inlineStr">
        <is>
          <t>Grocery</t>
        </is>
      </c>
      <c r="E9329" s="58" t="inlineStr">
        <is>
          <t>Central</t>
        </is>
      </c>
      <c r="F9329" s="61" t="n">
        <v>4</v>
      </c>
      <c r="G9329" s="62" t="n">
        <v>4.84</v>
      </c>
      <c r="H9329" s="63" t="n">
        <v>0.238</v>
      </c>
      <c r="I9329" s="62" t="n">
        <v>3.58</v>
      </c>
      <c r="J9329" s="58" t="inlineStr">
        <is>
          <t>Online</t>
        </is>
      </c>
      <c r="K9329" s="62">
        <f>F9329*(G9329-H9329)</f>
        <v/>
      </c>
      <c r="L9329" s="62">
        <f>K9329-(F9329*I9329)</f>
        <v/>
      </c>
      <c r="M9329" s="64">
        <f>L9329/K9329</f>
        <v/>
      </c>
    </row>
    <row r="9330">
      <c r="A9330" s="58" t="inlineStr">
        <is>
          <t>RT20250822-09329</t>
        </is>
      </c>
      <c r="B9330" s="59" t="inlineStr">
        <is>
          <t>2025-08-22</t>
        </is>
      </c>
      <c r="C9330" s="60" t="inlineStr">
        <is>
          <t>Aurora Smartphone Plus-125</t>
        </is>
      </c>
      <c r="D9330" s="58" t="inlineStr">
        <is>
          <t>Electronics</t>
        </is>
      </c>
      <c r="E9330" s="58" t="inlineStr">
        <is>
          <t>South</t>
        </is>
      </c>
      <c r="F9330" s="61" t="n">
        <v>2</v>
      </c>
      <c r="G9330" s="62" t="n">
        <v>1579.85</v>
      </c>
      <c r="H9330" s="63" t="n">
        <v>0.144</v>
      </c>
      <c r="I9330" s="62" t="n">
        <v>1203.19</v>
      </c>
      <c r="J9330" s="58" t="inlineStr">
        <is>
          <t>Store</t>
        </is>
      </c>
      <c r="K9330" s="62">
        <f>F9330*(G9330-H9330)</f>
        <v/>
      </c>
      <c r="L9330" s="62">
        <f>K9330-(F9330*I9330)</f>
        <v/>
      </c>
      <c r="M9330" s="64">
        <f>L9330/K9330</f>
        <v/>
      </c>
    </row>
    <row r="9331">
      <c r="A9331" s="58" t="inlineStr">
        <is>
          <t>RT20250822-09330</t>
        </is>
      </c>
      <c r="B9331" s="59" t="inlineStr">
        <is>
          <t>2025-08-22</t>
        </is>
      </c>
      <c r="C9331" s="60" t="inlineStr">
        <is>
          <t>Solace Headphone Pro-344</t>
        </is>
      </c>
      <c r="D9331" s="58" t="inlineStr">
        <is>
          <t>Electronics</t>
        </is>
      </c>
      <c r="E9331" s="58" t="inlineStr">
        <is>
          <t>East</t>
        </is>
      </c>
      <c r="F9331" s="61" t="n">
        <v>2</v>
      </c>
      <c r="G9331" s="62" t="n">
        <v>1449.47</v>
      </c>
      <c r="H9331" s="63" t="n">
        <v>0.179</v>
      </c>
      <c r="I9331" s="62" t="n">
        <v>1091.47</v>
      </c>
      <c r="J9331" s="58" t="inlineStr">
        <is>
          <t>Online</t>
        </is>
      </c>
      <c r="K9331" s="62">
        <f>F9331*(G9331-H9331)</f>
        <v/>
      </c>
      <c r="L9331" s="62">
        <f>K9331-(F9331*I9331)</f>
        <v/>
      </c>
      <c r="M9331" s="64">
        <f>L9331/K9331</f>
        <v/>
      </c>
    </row>
    <row r="9332">
      <c r="A9332" s="58" t="inlineStr">
        <is>
          <t>RT20250822-09331</t>
        </is>
      </c>
      <c r="B9332" s="59" t="inlineStr">
        <is>
          <t>2025-08-22</t>
        </is>
      </c>
      <c r="C9332" s="60" t="inlineStr">
        <is>
          <t>Polar Men Pro-246</t>
        </is>
      </c>
      <c r="D9332" s="58" t="inlineStr">
        <is>
          <t>Apparel</t>
        </is>
      </c>
      <c r="E9332" s="58" t="inlineStr">
        <is>
          <t>North</t>
        </is>
      </c>
      <c r="F9332" s="61" t="n">
        <v>3</v>
      </c>
      <c r="G9332" s="62" t="n">
        <v>132.02</v>
      </c>
      <c r="H9332" s="63" t="n">
        <v>0.147</v>
      </c>
      <c r="I9332" s="62" t="n">
        <v>76.06999999999999</v>
      </c>
      <c r="J9332" s="58" t="inlineStr">
        <is>
          <t>Online</t>
        </is>
      </c>
      <c r="K9332" s="62">
        <f>F9332*(G9332-H9332)</f>
        <v/>
      </c>
      <c r="L9332" s="62">
        <f>K9332-(F9332*I9332)</f>
        <v/>
      </c>
      <c r="M9332" s="64">
        <f>L9332/K9332</f>
        <v/>
      </c>
    </row>
    <row r="9333">
      <c r="A9333" s="58" t="inlineStr">
        <is>
          <t>RT20250822-09332</t>
        </is>
      </c>
      <c r="B9333" s="59" t="inlineStr">
        <is>
          <t>2025-08-22</t>
        </is>
      </c>
      <c r="C9333" s="60" t="inlineStr">
        <is>
          <t>Metro Pantry Max-180</t>
        </is>
      </c>
      <c r="D9333" s="58" t="inlineStr">
        <is>
          <t>Grocery</t>
        </is>
      </c>
      <c r="E9333" s="58" t="inlineStr">
        <is>
          <t>North</t>
        </is>
      </c>
      <c r="F9333" s="61" t="n">
        <v>1</v>
      </c>
      <c r="G9333" s="62" t="n">
        <v>10.27</v>
      </c>
      <c r="H9333" s="63" t="n">
        <v>0.145</v>
      </c>
      <c r="I9333" s="62" t="n">
        <v>6.75</v>
      </c>
      <c r="J9333" s="58" t="inlineStr">
        <is>
          <t>Store</t>
        </is>
      </c>
      <c r="K9333" s="62">
        <f>F9333*(G9333-H9333)</f>
        <v/>
      </c>
      <c r="L9333" s="62">
        <f>K9333-(F9333*I9333)</f>
        <v/>
      </c>
      <c r="M9333" s="64">
        <f>L9333/K9333</f>
        <v/>
      </c>
    </row>
    <row r="9334">
      <c r="A9334" s="58" t="inlineStr">
        <is>
          <t>RT20250822-09333</t>
        </is>
      </c>
      <c r="B9334" s="59" t="inlineStr">
        <is>
          <t>2025-08-22</t>
        </is>
      </c>
      <c r="C9334" s="60" t="inlineStr">
        <is>
          <t>Metro Printer X-294</t>
        </is>
      </c>
      <c r="D9334" s="58" t="inlineStr">
        <is>
          <t>Office</t>
        </is>
      </c>
      <c r="E9334" s="58" t="inlineStr">
        <is>
          <t>East</t>
        </is>
      </c>
      <c r="F9334" s="61" t="n">
        <v>1</v>
      </c>
      <c r="G9334" s="62" t="n">
        <v>569.97</v>
      </c>
      <c r="H9334" s="63" t="n">
        <v>0.146</v>
      </c>
      <c r="I9334" s="62" t="n">
        <v>409.57</v>
      </c>
      <c r="J9334" s="58" t="inlineStr">
        <is>
          <t>Online</t>
        </is>
      </c>
      <c r="K9334" s="62">
        <f>F9334*(G9334-H9334)</f>
        <v/>
      </c>
      <c r="L9334" s="62">
        <f>K9334-(F9334*I9334)</f>
        <v/>
      </c>
      <c r="M9334" s="64">
        <f>L9334/K9334</f>
        <v/>
      </c>
    </row>
    <row r="9335">
      <c r="A9335" s="58" t="inlineStr">
        <is>
          <t>RT20250822-09334</t>
        </is>
      </c>
      <c r="B9335" s="59" t="inlineStr">
        <is>
          <t>2025-08-22</t>
        </is>
      </c>
      <c r="C9335" s="60" t="inlineStr">
        <is>
          <t>Polar Women S-662</t>
        </is>
      </c>
      <c r="D9335" s="58" t="inlineStr">
        <is>
          <t>Apparel</t>
        </is>
      </c>
      <c r="E9335" s="58" t="inlineStr">
        <is>
          <t>West</t>
        </is>
      </c>
      <c r="F9335" s="61" t="n">
        <v>2</v>
      </c>
      <c r="G9335" s="62" t="n">
        <v>161.92</v>
      </c>
      <c r="H9335" s="63" t="n">
        <v>0.145</v>
      </c>
      <c r="I9335" s="62" t="n">
        <v>102.41</v>
      </c>
      <c r="J9335" s="58" t="inlineStr">
        <is>
          <t>Online</t>
        </is>
      </c>
      <c r="K9335" s="62">
        <f>F9335*(G9335-H9335)</f>
        <v/>
      </c>
      <c r="L9335" s="62">
        <f>K9335-(F9335*I9335)</f>
        <v/>
      </c>
      <c r="M9335" s="64">
        <f>L9335/K9335</f>
        <v/>
      </c>
    </row>
    <row r="9336">
      <c r="A9336" s="58" t="inlineStr">
        <is>
          <t>RT20250822-09335</t>
        </is>
      </c>
      <c r="B9336" s="59" t="inlineStr">
        <is>
          <t>2025-08-22</t>
        </is>
      </c>
      <c r="C9336" s="60" t="inlineStr">
        <is>
          <t>Falcon Skincare Max-151</t>
        </is>
      </c>
      <c r="D9336" s="58" t="inlineStr">
        <is>
          <t>Beauty</t>
        </is>
      </c>
      <c r="E9336" s="58" t="inlineStr">
        <is>
          <t>East</t>
        </is>
      </c>
      <c r="F9336" s="61" t="n">
        <v>3</v>
      </c>
      <c r="G9336" s="62" t="n">
        <v>101.28</v>
      </c>
      <c r="H9336" s="63" t="n">
        <v>0.111</v>
      </c>
      <c r="I9336" s="62" t="n">
        <v>60.61</v>
      </c>
      <c r="J9336" s="58" t="inlineStr">
        <is>
          <t>Online</t>
        </is>
      </c>
      <c r="K9336" s="62">
        <f>F9336*(G9336-H9336)</f>
        <v/>
      </c>
      <c r="L9336" s="62">
        <f>K9336-(F9336*I9336)</f>
        <v/>
      </c>
      <c r="M9336" s="64">
        <f>L9336/K9336</f>
        <v/>
      </c>
    </row>
    <row r="9337">
      <c r="A9337" s="58" t="inlineStr">
        <is>
          <t>RT20250823-09336</t>
        </is>
      </c>
      <c r="B9337" s="59" t="inlineStr">
        <is>
          <t>2025-08-23</t>
        </is>
      </c>
      <c r="C9337" s="60" t="inlineStr">
        <is>
          <t>Falcon Kitchen X-130</t>
        </is>
      </c>
      <c r="D9337" s="58" t="inlineStr">
        <is>
          <t>Home</t>
        </is>
      </c>
      <c r="E9337" s="58" t="inlineStr">
        <is>
          <t>West</t>
        </is>
      </c>
      <c r="F9337" s="61" t="n">
        <v>1</v>
      </c>
      <c r="G9337" s="62" t="n">
        <v>437.43</v>
      </c>
      <c r="H9337" s="63" t="n">
        <v>0.06</v>
      </c>
      <c r="I9337" s="62" t="n">
        <v>280.15</v>
      </c>
      <c r="J9337" s="58" t="inlineStr">
        <is>
          <t>Online</t>
        </is>
      </c>
      <c r="K9337" s="62">
        <f>F9337*(G9337-H9337)</f>
        <v/>
      </c>
      <c r="L9337" s="62">
        <f>K9337-(F9337*I9337)</f>
        <v/>
      </c>
      <c r="M9337" s="64">
        <f>L9337/K9337</f>
        <v/>
      </c>
    </row>
    <row r="9338">
      <c r="A9338" s="58" t="inlineStr">
        <is>
          <t>RT20250823-09337</t>
        </is>
      </c>
      <c r="B9338" s="59" t="inlineStr">
        <is>
          <t>2025-08-23</t>
        </is>
      </c>
      <c r="C9338" s="60" t="inlineStr">
        <is>
          <t>Aurora Fragrance S-971</t>
        </is>
      </c>
      <c r="D9338" s="58" t="inlineStr">
        <is>
          <t>Beauty</t>
        </is>
      </c>
      <c r="E9338" s="58" t="inlineStr">
        <is>
          <t>West</t>
        </is>
      </c>
      <c r="F9338" s="61" t="n">
        <v>4</v>
      </c>
      <c r="G9338" s="62" t="n">
        <v>100.29</v>
      </c>
      <c r="H9338" s="63" t="n">
        <v>0.107</v>
      </c>
      <c r="I9338" s="62" t="n">
        <v>65.65000000000001</v>
      </c>
      <c r="J9338" s="58" t="inlineStr">
        <is>
          <t>Online</t>
        </is>
      </c>
      <c r="K9338" s="62">
        <f>F9338*(G9338-H9338)</f>
        <v/>
      </c>
      <c r="L9338" s="62">
        <f>K9338-(F9338*I9338)</f>
        <v/>
      </c>
      <c r="M9338" s="64">
        <f>L9338/K9338</f>
        <v/>
      </c>
    </row>
    <row r="9339">
      <c r="A9339" s="58" t="inlineStr">
        <is>
          <t>RT20250823-09338</t>
        </is>
      </c>
      <c r="B9339" s="59" t="inlineStr">
        <is>
          <t>2025-08-23</t>
        </is>
      </c>
      <c r="C9339" s="60" t="inlineStr">
        <is>
          <t>Falcon Haircare Pro-980</t>
        </is>
      </c>
      <c r="D9339" s="58" t="inlineStr">
        <is>
          <t>Beauty</t>
        </is>
      </c>
      <c r="E9339" s="58" t="inlineStr">
        <is>
          <t>South</t>
        </is>
      </c>
      <c r="F9339" s="61" t="n">
        <v>2</v>
      </c>
      <c r="G9339" s="62" t="n">
        <v>91.14</v>
      </c>
      <c r="H9339" s="63" t="n">
        <v>0.182</v>
      </c>
      <c r="I9339" s="62" t="n">
        <v>55.93</v>
      </c>
      <c r="J9339" s="58" t="inlineStr">
        <is>
          <t>Store</t>
        </is>
      </c>
      <c r="K9339" s="62">
        <f>F9339*(G9339-H9339)</f>
        <v/>
      </c>
      <c r="L9339" s="62">
        <f>K9339-(F9339*I9339)</f>
        <v/>
      </c>
      <c r="M9339" s="64">
        <f>L9339/K9339</f>
        <v/>
      </c>
    </row>
    <row r="9340">
      <c r="A9340" s="58" t="inlineStr">
        <is>
          <t>RT20250823-09339</t>
        </is>
      </c>
      <c r="B9340" s="59" t="inlineStr">
        <is>
          <t>2025-08-23</t>
        </is>
      </c>
      <c r="C9340" s="60" t="inlineStr">
        <is>
          <t>Vertex Furniture S-652</t>
        </is>
      </c>
      <c r="D9340" s="58" t="inlineStr">
        <is>
          <t>Office</t>
        </is>
      </c>
      <c r="E9340" s="58" t="inlineStr">
        <is>
          <t>East</t>
        </is>
      </c>
      <c r="F9340" s="61" t="n">
        <v>2</v>
      </c>
      <c r="G9340" s="62" t="n">
        <v>362.02</v>
      </c>
      <c r="H9340" s="63" t="n">
        <v>0.107</v>
      </c>
      <c r="I9340" s="62" t="n">
        <v>262.49</v>
      </c>
      <c r="J9340" s="58" t="inlineStr">
        <is>
          <t>Store</t>
        </is>
      </c>
      <c r="K9340" s="62">
        <f>F9340*(G9340-H9340)</f>
        <v/>
      </c>
      <c r="L9340" s="62">
        <f>K9340-(F9340*I9340)</f>
        <v/>
      </c>
      <c r="M9340" s="64">
        <f>L9340/K9340</f>
        <v/>
      </c>
    </row>
    <row r="9341">
      <c r="A9341" s="58" t="inlineStr">
        <is>
          <t>RT20250823-09340</t>
        </is>
      </c>
      <c r="B9341" s="59" t="inlineStr">
        <is>
          <t>2025-08-23</t>
        </is>
      </c>
      <c r="C9341" s="60" t="inlineStr">
        <is>
          <t>Aurora Makeup Pro-489</t>
        </is>
      </c>
      <c r="D9341" s="58" t="inlineStr">
        <is>
          <t>Beauty</t>
        </is>
      </c>
      <c r="E9341" s="58" t="inlineStr">
        <is>
          <t>East</t>
        </is>
      </c>
      <c r="F9341" s="61" t="n">
        <v>3</v>
      </c>
      <c r="G9341" s="62" t="n">
        <v>106.7</v>
      </c>
      <c r="H9341" s="63" t="n">
        <v>0.108</v>
      </c>
      <c r="I9341" s="62" t="n">
        <v>63.19</v>
      </c>
      <c r="J9341" s="58" t="inlineStr">
        <is>
          <t>Online</t>
        </is>
      </c>
      <c r="K9341" s="62">
        <f>F9341*(G9341-H9341)</f>
        <v/>
      </c>
      <c r="L9341" s="62">
        <f>K9341-(F9341*I9341)</f>
        <v/>
      </c>
      <c r="M9341" s="64">
        <f>L9341/K9341</f>
        <v/>
      </c>
    </row>
    <row r="9342">
      <c r="A9342" s="58" t="inlineStr">
        <is>
          <t>RT20250823-09341</t>
        </is>
      </c>
      <c r="B9342" s="59" t="inlineStr">
        <is>
          <t>2025-08-23</t>
        </is>
      </c>
      <c r="C9342" s="60" t="inlineStr">
        <is>
          <t>Nimbus Furniture Pro-479</t>
        </is>
      </c>
      <c r="D9342" s="58" t="inlineStr">
        <is>
          <t>Office</t>
        </is>
      </c>
      <c r="E9342" s="58" t="inlineStr">
        <is>
          <t>East</t>
        </is>
      </c>
      <c r="F9342" s="61" t="n">
        <v>3</v>
      </c>
      <c r="G9342" s="62" t="n">
        <v>330</v>
      </c>
      <c r="H9342" s="63" t="n">
        <v>0.198</v>
      </c>
      <c r="I9342" s="62" t="n">
        <v>232.7</v>
      </c>
      <c r="J9342" s="58" t="inlineStr">
        <is>
          <t>Store</t>
        </is>
      </c>
      <c r="K9342" s="62">
        <f>F9342*(G9342-H9342)</f>
        <v/>
      </c>
      <c r="L9342" s="62">
        <f>K9342-(F9342*I9342)</f>
        <v/>
      </c>
      <c r="M9342" s="64">
        <f>L9342/K9342</f>
        <v/>
      </c>
    </row>
    <row r="9343">
      <c r="A9343" s="58" t="inlineStr">
        <is>
          <t>RT20250823-09342</t>
        </is>
      </c>
      <c r="B9343" s="59" t="inlineStr">
        <is>
          <t>2025-08-23</t>
        </is>
      </c>
      <c r="C9343" s="60" t="inlineStr">
        <is>
          <t>Aurora Skincare Max-798</t>
        </is>
      </c>
      <c r="D9343" s="58" t="inlineStr">
        <is>
          <t>Beauty</t>
        </is>
      </c>
      <c r="E9343" s="58" t="inlineStr">
        <is>
          <t>Central</t>
        </is>
      </c>
      <c r="F9343" s="61" t="n">
        <v>3</v>
      </c>
      <c r="G9343" s="62" t="n">
        <v>103.02</v>
      </c>
      <c r="H9343" s="63" t="n">
        <v>0.136</v>
      </c>
      <c r="I9343" s="62" t="n">
        <v>68.94</v>
      </c>
      <c r="J9343" s="58" t="inlineStr">
        <is>
          <t>Online</t>
        </is>
      </c>
      <c r="K9343" s="62">
        <f>F9343*(G9343-H9343)</f>
        <v/>
      </c>
      <c r="L9343" s="62">
        <f>K9343-(F9343*I9343)</f>
        <v/>
      </c>
      <c r="M9343" s="64">
        <f>L9343/K9343</f>
        <v/>
      </c>
    </row>
    <row r="9344">
      <c r="A9344" s="58" t="inlineStr">
        <is>
          <t>RT20250823-09343</t>
        </is>
      </c>
      <c r="B9344" s="59" t="inlineStr">
        <is>
          <t>2025-08-23</t>
        </is>
      </c>
      <c r="C9344" s="60" t="inlineStr">
        <is>
          <t>Aurora Makeup Pro-489</t>
        </is>
      </c>
      <c r="D9344" s="58" t="inlineStr">
        <is>
          <t>Beauty</t>
        </is>
      </c>
      <c r="E9344" s="58" t="inlineStr">
        <is>
          <t>East</t>
        </is>
      </c>
      <c r="F9344" s="61" t="n">
        <v>5</v>
      </c>
      <c r="G9344" s="62" t="n">
        <v>100.06</v>
      </c>
      <c r="H9344" s="63" t="n">
        <v>0.212</v>
      </c>
      <c r="I9344" s="62" t="n">
        <v>63.37</v>
      </c>
      <c r="J9344" s="58" t="inlineStr">
        <is>
          <t>Online</t>
        </is>
      </c>
      <c r="K9344" s="62">
        <f>F9344*(G9344-H9344)</f>
        <v/>
      </c>
      <c r="L9344" s="62">
        <f>K9344-(F9344*I9344)</f>
        <v/>
      </c>
      <c r="M9344" s="64">
        <f>L9344/K9344</f>
        <v/>
      </c>
    </row>
    <row r="9345">
      <c r="A9345" s="58" t="inlineStr">
        <is>
          <t>RT20250823-09344</t>
        </is>
      </c>
      <c r="B9345" s="59" t="inlineStr">
        <is>
          <t>2025-08-23</t>
        </is>
      </c>
      <c r="C9345" s="60" t="inlineStr">
        <is>
          <t>Metro Laptop Plus-376</t>
        </is>
      </c>
      <c r="D9345" s="58" t="inlineStr">
        <is>
          <t>Electronics</t>
        </is>
      </c>
      <c r="E9345" s="58" t="inlineStr">
        <is>
          <t>North</t>
        </is>
      </c>
      <c r="F9345" s="61" t="n">
        <v>2</v>
      </c>
      <c r="G9345" s="62" t="n">
        <v>1323.17</v>
      </c>
      <c r="H9345" s="63" t="n">
        <v>0.055</v>
      </c>
      <c r="I9345" s="62" t="n">
        <v>1054.61</v>
      </c>
      <c r="J9345" s="58" t="inlineStr">
        <is>
          <t>Store</t>
        </is>
      </c>
      <c r="K9345" s="62">
        <f>F9345*(G9345-H9345)</f>
        <v/>
      </c>
      <c r="L9345" s="62">
        <f>K9345-(F9345*I9345)</f>
        <v/>
      </c>
      <c r="M9345" s="64">
        <f>L9345/K9345</f>
        <v/>
      </c>
    </row>
    <row r="9346">
      <c r="A9346" s="58" t="inlineStr">
        <is>
          <t>RT20250823-09345</t>
        </is>
      </c>
      <c r="B9346" s="59" t="inlineStr">
        <is>
          <t>2025-08-23</t>
        </is>
      </c>
      <c r="C9346" s="60" t="inlineStr">
        <is>
          <t>Solace Kid S-384</t>
        </is>
      </c>
      <c r="D9346" s="58" t="inlineStr">
        <is>
          <t>Apparel</t>
        </is>
      </c>
      <c r="E9346" s="58" t="inlineStr">
        <is>
          <t>North</t>
        </is>
      </c>
      <c r="F9346" s="61" t="n">
        <v>4</v>
      </c>
      <c r="G9346" s="62" t="n">
        <v>106.13</v>
      </c>
      <c r="H9346" s="63" t="n">
        <v>0.165</v>
      </c>
      <c r="I9346" s="62" t="n">
        <v>64.37</v>
      </c>
      <c r="J9346" s="58" t="inlineStr">
        <is>
          <t>Online</t>
        </is>
      </c>
      <c r="K9346" s="62">
        <f>F9346*(G9346-H9346)</f>
        <v/>
      </c>
      <c r="L9346" s="62">
        <f>K9346-(F9346*I9346)</f>
        <v/>
      </c>
      <c r="M9346" s="64">
        <f>L9346/K9346</f>
        <v/>
      </c>
    </row>
    <row r="9347">
      <c r="A9347" s="58" t="inlineStr">
        <is>
          <t>RT20250823-09346</t>
        </is>
      </c>
      <c r="B9347" s="59" t="inlineStr">
        <is>
          <t>2025-08-23</t>
        </is>
      </c>
      <c r="C9347" s="60" t="inlineStr">
        <is>
          <t>Vertex Smartphone Pro-256</t>
        </is>
      </c>
      <c r="D9347" s="58" t="inlineStr">
        <is>
          <t>Electronics</t>
        </is>
      </c>
      <c r="E9347" s="58" t="inlineStr">
        <is>
          <t>East</t>
        </is>
      </c>
      <c r="F9347" s="61" t="n">
        <v>2</v>
      </c>
      <c r="G9347" s="62" t="n">
        <v>1300.98</v>
      </c>
      <c r="H9347" s="63" t="n">
        <v>0.171</v>
      </c>
      <c r="I9347" s="62" t="n">
        <v>923.2</v>
      </c>
      <c r="J9347" s="58" t="inlineStr">
        <is>
          <t>Online</t>
        </is>
      </c>
      <c r="K9347" s="62">
        <f>F9347*(G9347-H9347)</f>
        <v/>
      </c>
      <c r="L9347" s="62">
        <f>K9347-(F9347*I9347)</f>
        <v/>
      </c>
      <c r="M9347" s="64">
        <f>L9347/K9347</f>
        <v/>
      </c>
    </row>
    <row r="9348">
      <c r="A9348" s="58" t="inlineStr">
        <is>
          <t>RT20250823-09347</t>
        </is>
      </c>
      <c r="B9348" s="59" t="inlineStr">
        <is>
          <t>2025-08-23</t>
        </is>
      </c>
      <c r="C9348" s="60" t="inlineStr">
        <is>
          <t>Solace Kid S-384</t>
        </is>
      </c>
      <c r="D9348" s="58" t="inlineStr">
        <is>
          <t>Apparel</t>
        </is>
      </c>
      <c r="E9348" s="58" t="inlineStr">
        <is>
          <t>East</t>
        </is>
      </c>
      <c r="F9348" s="61" t="n">
        <v>3</v>
      </c>
      <c r="G9348" s="62" t="n">
        <v>113.91</v>
      </c>
      <c r="H9348" s="63" t="n">
        <v>0.126</v>
      </c>
      <c r="I9348" s="62" t="n">
        <v>64.22</v>
      </c>
      <c r="J9348" s="58" t="inlineStr">
        <is>
          <t>Online</t>
        </is>
      </c>
      <c r="K9348" s="62">
        <f>F9348*(G9348-H9348)</f>
        <v/>
      </c>
      <c r="L9348" s="62">
        <f>K9348-(F9348*I9348)</f>
        <v/>
      </c>
      <c r="M9348" s="64">
        <f>L9348/K9348</f>
        <v/>
      </c>
    </row>
    <row r="9349">
      <c r="A9349" s="58" t="inlineStr">
        <is>
          <t>RT20250823-09348</t>
        </is>
      </c>
      <c r="B9349" s="59" t="inlineStr">
        <is>
          <t>2025-08-23</t>
        </is>
      </c>
      <c r="C9349" s="60" t="inlineStr">
        <is>
          <t>Orion Beverage Plus-949</t>
        </is>
      </c>
      <c r="D9349" s="58" t="inlineStr">
        <is>
          <t>Grocery</t>
        </is>
      </c>
      <c r="E9349" s="58" t="inlineStr">
        <is>
          <t>North</t>
        </is>
      </c>
      <c r="F9349" s="61" t="n">
        <v>6</v>
      </c>
      <c r="G9349" s="62" t="n">
        <v>18.64</v>
      </c>
      <c r="H9349" s="63" t="n">
        <v>0.104</v>
      </c>
      <c r="I9349" s="62" t="n">
        <v>13.61</v>
      </c>
      <c r="J9349" s="58" t="inlineStr">
        <is>
          <t>Online</t>
        </is>
      </c>
      <c r="K9349" s="62">
        <f>F9349*(G9349-H9349)</f>
        <v/>
      </c>
      <c r="L9349" s="62">
        <f>K9349-(F9349*I9349)</f>
        <v/>
      </c>
      <c r="M9349" s="64">
        <f>L9349/K9349</f>
        <v/>
      </c>
    </row>
    <row r="9350">
      <c r="A9350" s="58" t="inlineStr">
        <is>
          <t>RT20250823-09349</t>
        </is>
      </c>
      <c r="B9350" s="59" t="inlineStr">
        <is>
          <t>2025-08-23</t>
        </is>
      </c>
      <c r="C9350" s="60" t="inlineStr">
        <is>
          <t>Orion Men X-928</t>
        </is>
      </c>
      <c r="D9350" s="58" t="inlineStr">
        <is>
          <t>Apparel</t>
        </is>
      </c>
      <c r="E9350" s="58" t="inlineStr">
        <is>
          <t>South</t>
        </is>
      </c>
      <c r="F9350" s="61" t="n">
        <v>2</v>
      </c>
      <c r="G9350" s="62" t="n">
        <v>110.76</v>
      </c>
      <c r="H9350" s="63" t="n">
        <v>0.173</v>
      </c>
      <c r="I9350" s="62" t="n">
        <v>61.1</v>
      </c>
      <c r="J9350" s="58" t="inlineStr">
        <is>
          <t>Store</t>
        </is>
      </c>
      <c r="K9350" s="62">
        <f>F9350*(G9350-H9350)</f>
        <v/>
      </c>
      <c r="L9350" s="62">
        <f>K9350-(F9350*I9350)</f>
        <v/>
      </c>
      <c r="M9350" s="64">
        <f>L9350/K9350</f>
        <v/>
      </c>
    </row>
    <row r="9351">
      <c r="A9351" s="58" t="inlineStr">
        <is>
          <t>RT20250823-09350</t>
        </is>
      </c>
      <c r="B9351" s="59" t="inlineStr">
        <is>
          <t>2025-08-23</t>
        </is>
      </c>
      <c r="C9351" s="60" t="inlineStr">
        <is>
          <t>Aurora Fitnes Lite-194</t>
        </is>
      </c>
      <c r="D9351" s="58" t="inlineStr">
        <is>
          <t>Sports</t>
        </is>
      </c>
      <c r="E9351" s="58" t="inlineStr">
        <is>
          <t>East</t>
        </is>
      </c>
      <c r="F9351" s="61" t="n">
        <v>2</v>
      </c>
      <c r="G9351" s="62" t="n">
        <v>590.8</v>
      </c>
      <c r="H9351" s="63" t="n">
        <v>0.122</v>
      </c>
      <c r="I9351" s="62" t="n">
        <v>461.07</v>
      </c>
      <c r="J9351" s="58" t="inlineStr">
        <is>
          <t>Online</t>
        </is>
      </c>
      <c r="K9351" s="62">
        <f>F9351*(G9351-H9351)</f>
        <v/>
      </c>
      <c r="L9351" s="62">
        <f>K9351-(F9351*I9351)</f>
        <v/>
      </c>
      <c r="M9351" s="64">
        <f>L9351/K9351</f>
        <v/>
      </c>
    </row>
    <row r="9352">
      <c r="A9352" s="58" t="inlineStr">
        <is>
          <t>RT20250823-09351</t>
        </is>
      </c>
      <c r="B9352" s="59" t="inlineStr">
        <is>
          <t>2025-08-23</t>
        </is>
      </c>
      <c r="C9352" s="60" t="inlineStr">
        <is>
          <t>Metro Pantry Max-180</t>
        </is>
      </c>
      <c r="D9352" s="58" t="inlineStr">
        <is>
          <t>Grocery</t>
        </is>
      </c>
      <c r="E9352" s="58" t="inlineStr">
        <is>
          <t>East</t>
        </is>
      </c>
      <c r="F9352" s="61" t="n">
        <v>1</v>
      </c>
      <c r="G9352" s="62" t="n">
        <v>9</v>
      </c>
      <c r="H9352" s="63" t="n">
        <v>0.129</v>
      </c>
      <c r="I9352" s="62" t="n">
        <v>6.69</v>
      </c>
      <c r="J9352" s="58" t="inlineStr">
        <is>
          <t>Online</t>
        </is>
      </c>
      <c r="K9352" s="62">
        <f>F9352*(G9352-H9352)</f>
        <v/>
      </c>
      <c r="L9352" s="62">
        <f>K9352-(F9352*I9352)</f>
        <v/>
      </c>
      <c r="M9352" s="64">
        <f>L9352/K9352</f>
        <v/>
      </c>
    </row>
    <row r="9353">
      <c r="A9353" s="58" t="inlineStr">
        <is>
          <t>RT20250823-09352</t>
        </is>
      </c>
      <c r="B9353" s="59" t="inlineStr">
        <is>
          <t>2025-08-23</t>
        </is>
      </c>
      <c r="C9353" s="60" t="inlineStr">
        <is>
          <t>Aurora Printer Plus-723</t>
        </is>
      </c>
      <c r="D9353" s="58" t="inlineStr">
        <is>
          <t>Office</t>
        </is>
      </c>
      <c r="E9353" s="58" t="inlineStr">
        <is>
          <t>Central</t>
        </is>
      </c>
      <c r="F9353" s="61" t="n">
        <v>3</v>
      </c>
      <c r="G9353" s="62" t="n">
        <v>251.78</v>
      </c>
      <c r="H9353" s="63" t="n">
        <v>0.164</v>
      </c>
      <c r="I9353" s="62" t="n">
        <v>187.44</v>
      </c>
      <c r="J9353" s="58" t="inlineStr">
        <is>
          <t>Online</t>
        </is>
      </c>
      <c r="K9353" s="62">
        <f>F9353*(G9353-H9353)</f>
        <v/>
      </c>
      <c r="L9353" s="62">
        <f>K9353-(F9353*I9353)</f>
        <v/>
      </c>
      <c r="M9353" s="64">
        <f>L9353/K9353</f>
        <v/>
      </c>
    </row>
    <row r="9354">
      <c r="A9354" s="58" t="inlineStr">
        <is>
          <t>RT20250823-09353</t>
        </is>
      </c>
      <c r="B9354" s="59" t="inlineStr">
        <is>
          <t>2025-08-23</t>
        </is>
      </c>
      <c r="C9354" s="60" t="inlineStr">
        <is>
          <t>Polar Cycling S-223</t>
        </is>
      </c>
      <c r="D9354" s="58" t="inlineStr">
        <is>
          <t>Sports</t>
        </is>
      </c>
      <c r="E9354" s="58" t="inlineStr">
        <is>
          <t>South</t>
        </is>
      </c>
      <c r="F9354" s="61" t="n">
        <v>1</v>
      </c>
      <c r="G9354" s="62" t="n">
        <v>1012.13</v>
      </c>
      <c r="H9354" s="63" t="n">
        <v>0.195</v>
      </c>
      <c r="I9354" s="62" t="n">
        <v>625.95</v>
      </c>
      <c r="J9354" s="58" t="inlineStr">
        <is>
          <t>Online</t>
        </is>
      </c>
      <c r="K9354" s="62">
        <f>F9354*(G9354-H9354)</f>
        <v/>
      </c>
      <c r="L9354" s="62">
        <f>K9354-(F9354*I9354)</f>
        <v/>
      </c>
      <c r="M9354" s="64">
        <f>L9354/K9354</f>
        <v/>
      </c>
    </row>
    <row r="9355">
      <c r="A9355" s="58" t="inlineStr">
        <is>
          <t>RT20250823-09354</t>
        </is>
      </c>
      <c r="B9355" s="59" t="inlineStr">
        <is>
          <t>2025-08-23</t>
        </is>
      </c>
      <c r="C9355" s="60" t="inlineStr">
        <is>
          <t>Vertex Snack S-702</t>
        </is>
      </c>
      <c r="D9355" s="58" t="inlineStr">
        <is>
          <t>Grocery</t>
        </is>
      </c>
      <c r="E9355" s="58" t="inlineStr">
        <is>
          <t>South</t>
        </is>
      </c>
      <c r="F9355" s="61" t="n">
        <v>3</v>
      </c>
      <c r="G9355" s="62" t="n">
        <v>2.01</v>
      </c>
      <c r="H9355" s="63" t="n">
        <v>0.111</v>
      </c>
      <c r="I9355" s="62" t="n">
        <v>1.49</v>
      </c>
      <c r="J9355" s="58" t="inlineStr">
        <is>
          <t>Online</t>
        </is>
      </c>
      <c r="K9355" s="62">
        <f>F9355*(G9355-H9355)</f>
        <v/>
      </c>
      <c r="L9355" s="62">
        <f>K9355-(F9355*I9355)</f>
        <v/>
      </c>
      <c r="M9355" s="64">
        <f>L9355/K9355</f>
        <v/>
      </c>
    </row>
    <row r="9356">
      <c r="A9356" s="58" t="inlineStr">
        <is>
          <t>RT20250823-09355</t>
        </is>
      </c>
      <c r="B9356" s="59" t="inlineStr">
        <is>
          <t>2025-08-23</t>
        </is>
      </c>
      <c r="C9356" s="60" t="inlineStr">
        <is>
          <t>Aurora Furniture X-709</t>
        </is>
      </c>
      <c r="D9356" s="58" t="inlineStr">
        <is>
          <t>Office</t>
        </is>
      </c>
      <c r="E9356" s="58" t="inlineStr">
        <is>
          <t>West</t>
        </is>
      </c>
      <c r="F9356" s="61" t="n">
        <v>3</v>
      </c>
      <c r="G9356" s="62" t="n">
        <v>421.02</v>
      </c>
      <c r="H9356" s="63" t="n">
        <v>0.148</v>
      </c>
      <c r="I9356" s="62" t="n">
        <v>309.62</v>
      </c>
      <c r="J9356" s="58" t="inlineStr">
        <is>
          <t>Online</t>
        </is>
      </c>
      <c r="K9356" s="62">
        <f>F9356*(G9356-H9356)</f>
        <v/>
      </c>
      <c r="L9356" s="62">
        <f>K9356-(F9356*I9356)</f>
        <v/>
      </c>
      <c r="M9356" s="64">
        <f>L9356/K9356</f>
        <v/>
      </c>
    </row>
    <row r="9357">
      <c r="A9357" s="58" t="inlineStr">
        <is>
          <t>RT20250823-09356</t>
        </is>
      </c>
      <c r="B9357" s="59" t="inlineStr">
        <is>
          <t>2025-08-23</t>
        </is>
      </c>
      <c r="C9357" s="60" t="inlineStr">
        <is>
          <t>Falcon Furniture Plus-839</t>
        </is>
      </c>
      <c r="D9357" s="58" t="inlineStr">
        <is>
          <t>Office</t>
        </is>
      </c>
      <c r="E9357" s="58" t="inlineStr">
        <is>
          <t>South</t>
        </is>
      </c>
      <c r="F9357" s="61" t="n">
        <v>1</v>
      </c>
      <c r="G9357" s="62" t="n">
        <v>261.85</v>
      </c>
      <c r="H9357" s="63" t="n">
        <v>0.144</v>
      </c>
      <c r="I9357" s="62" t="n">
        <v>217.61</v>
      </c>
      <c r="J9357" s="58" t="inlineStr">
        <is>
          <t>Online</t>
        </is>
      </c>
      <c r="K9357" s="62">
        <f>F9357*(G9357-H9357)</f>
        <v/>
      </c>
      <c r="L9357" s="62">
        <f>K9357-(F9357*I9357)</f>
        <v/>
      </c>
      <c r="M9357" s="64">
        <f>L9357/K9357</f>
        <v/>
      </c>
    </row>
    <row r="9358">
      <c r="A9358" s="58" t="inlineStr">
        <is>
          <t>RT20250823-09357</t>
        </is>
      </c>
      <c r="B9358" s="59" t="inlineStr">
        <is>
          <t>2025-08-23</t>
        </is>
      </c>
      <c r="C9358" s="60" t="inlineStr">
        <is>
          <t>Vertex Smartphone Lite-267</t>
        </is>
      </c>
      <c r="D9358" s="58" t="inlineStr">
        <is>
          <t>Electronics</t>
        </is>
      </c>
      <c r="E9358" s="58" t="inlineStr">
        <is>
          <t>East</t>
        </is>
      </c>
      <c r="F9358" s="61" t="n">
        <v>1</v>
      </c>
      <c r="G9358" s="62" t="n">
        <v>1271.73</v>
      </c>
      <c r="H9358" s="63" t="n">
        <v>0.075</v>
      </c>
      <c r="I9358" s="62" t="n">
        <v>959.3200000000001</v>
      </c>
      <c r="J9358" s="58" t="inlineStr">
        <is>
          <t>Online</t>
        </is>
      </c>
      <c r="K9358" s="62">
        <f>F9358*(G9358-H9358)</f>
        <v/>
      </c>
      <c r="L9358" s="62">
        <f>K9358-(F9358*I9358)</f>
        <v/>
      </c>
      <c r="M9358" s="64">
        <f>L9358/K9358</f>
        <v/>
      </c>
    </row>
    <row r="9359">
      <c r="A9359" s="58" t="inlineStr">
        <is>
          <t>RT20250823-09358</t>
        </is>
      </c>
      <c r="B9359" s="59" t="inlineStr">
        <is>
          <t>2025-08-23</t>
        </is>
      </c>
      <c r="C9359" s="60" t="inlineStr">
        <is>
          <t>Orion Laptop S-350</t>
        </is>
      </c>
      <c r="D9359" s="58" t="inlineStr">
        <is>
          <t>Electronics</t>
        </is>
      </c>
      <c r="E9359" s="58" t="inlineStr">
        <is>
          <t>South</t>
        </is>
      </c>
      <c r="F9359" s="61" t="n">
        <v>2</v>
      </c>
      <c r="G9359" s="62" t="n">
        <v>1515.28</v>
      </c>
      <c r="H9359" s="63" t="n">
        <v>0.113</v>
      </c>
      <c r="I9359" s="62" t="n">
        <v>1080.75</v>
      </c>
      <c r="J9359" s="58" t="inlineStr">
        <is>
          <t>Store</t>
        </is>
      </c>
      <c r="K9359" s="62">
        <f>F9359*(G9359-H9359)</f>
        <v/>
      </c>
      <c r="L9359" s="62">
        <f>K9359-(F9359*I9359)</f>
        <v/>
      </c>
      <c r="M9359" s="64">
        <f>L9359/K9359</f>
        <v/>
      </c>
    </row>
    <row r="9360">
      <c r="A9360" s="58" t="inlineStr">
        <is>
          <t>RT20250823-09359</t>
        </is>
      </c>
      <c r="B9360" s="59" t="inlineStr">
        <is>
          <t>2025-08-23</t>
        </is>
      </c>
      <c r="C9360" s="60" t="inlineStr">
        <is>
          <t>Nimbus Headphone X-854</t>
        </is>
      </c>
      <c r="D9360" s="58" t="inlineStr">
        <is>
          <t>Electronics</t>
        </is>
      </c>
      <c r="E9360" s="58" t="inlineStr">
        <is>
          <t>East</t>
        </is>
      </c>
      <c r="F9360" s="61" t="n">
        <v>1</v>
      </c>
      <c r="G9360" s="62" t="n">
        <v>1617.84</v>
      </c>
      <c r="H9360" s="63" t="n">
        <v>0.102</v>
      </c>
      <c r="I9360" s="62" t="n">
        <v>1257.22</v>
      </c>
      <c r="J9360" s="58" t="inlineStr">
        <is>
          <t>Online</t>
        </is>
      </c>
      <c r="K9360" s="62">
        <f>F9360*(G9360-H9360)</f>
        <v/>
      </c>
      <c r="L9360" s="62">
        <f>K9360-(F9360*I9360)</f>
        <v/>
      </c>
      <c r="M9360" s="64">
        <f>L9360/K9360</f>
        <v/>
      </c>
    </row>
    <row r="9361">
      <c r="A9361" s="58" t="inlineStr">
        <is>
          <t>RT20250823-09360</t>
        </is>
      </c>
      <c r="B9361" s="59" t="inlineStr">
        <is>
          <t>2025-08-23</t>
        </is>
      </c>
      <c r="C9361" s="60" t="inlineStr">
        <is>
          <t>Aurora Appliance Max-316</t>
        </is>
      </c>
      <c r="D9361" s="58" t="inlineStr">
        <is>
          <t>Home</t>
        </is>
      </c>
      <c r="E9361" s="58" t="inlineStr">
        <is>
          <t>East</t>
        </is>
      </c>
      <c r="F9361" s="61" t="n">
        <v>3</v>
      </c>
      <c r="G9361" s="62" t="n">
        <v>298.32</v>
      </c>
      <c r="H9361" s="63" t="n">
        <v>0.154</v>
      </c>
      <c r="I9361" s="62" t="n">
        <v>209.19</v>
      </c>
      <c r="J9361" s="58" t="inlineStr">
        <is>
          <t>Online</t>
        </is>
      </c>
      <c r="K9361" s="62">
        <f>F9361*(G9361-H9361)</f>
        <v/>
      </c>
      <c r="L9361" s="62">
        <f>K9361-(F9361*I9361)</f>
        <v/>
      </c>
      <c r="M9361" s="64">
        <f>L9361/K9361</f>
        <v/>
      </c>
    </row>
    <row r="9362">
      <c r="A9362" s="58" t="inlineStr">
        <is>
          <t>RT20250823-09361</t>
        </is>
      </c>
      <c r="B9362" s="59" t="inlineStr">
        <is>
          <t>2025-08-23</t>
        </is>
      </c>
      <c r="C9362" s="60" t="inlineStr">
        <is>
          <t>Metro Smartphone Max-773</t>
        </is>
      </c>
      <c r="D9362" s="58" t="inlineStr">
        <is>
          <t>Electronics</t>
        </is>
      </c>
      <c r="E9362" s="58" t="inlineStr">
        <is>
          <t>East</t>
        </is>
      </c>
      <c r="F9362" s="61" t="n">
        <v>2</v>
      </c>
      <c r="G9362" s="62" t="n">
        <v>1402.62</v>
      </c>
      <c r="H9362" s="63" t="n">
        <v>0.1</v>
      </c>
      <c r="I9362" s="62" t="n">
        <v>1111</v>
      </c>
      <c r="J9362" s="58" t="inlineStr">
        <is>
          <t>Online</t>
        </is>
      </c>
      <c r="K9362" s="62">
        <f>F9362*(G9362-H9362)</f>
        <v/>
      </c>
      <c r="L9362" s="62">
        <f>K9362-(F9362*I9362)</f>
        <v/>
      </c>
      <c r="M9362" s="64">
        <f>L9362/K9362</f>
        <v/>
      </c>
    </row>
    <row r="9363">
      <c r="A9363" s="58" t="inlineStr">
        <is>
          <t>RT20250823-09362</t>
        </is>
      </c>
      <c r="B9363" s="59" t="inlineStr">
        <is>
          <t>2025-08-23</t>
        </is>
      </c>
      <c r="C9363" s="60" t="inlineStr">
        <is>
          <t>Aurora Kid Plus-151</t>
        </is>
      </c>
      <c r="D9363" s="58" t="inlineStr">
        <is>
          <t>Apparel</t>
        </is>
      </c>
      <c r="E9363" s="58" t="inlineStr">
        <is>
          <t>South</t>
        </is>
      </c>
      <c r="F9363" s="61" t="n">
        <v>4</v>
      </c>
      <c r="G9363" s="62" t="n">
        <v>102.25</v>
      </c>
      <c r="H9363" s="63" t="n">
        <v>0.121</v>
      </c>
      <c r="I9363" s="62" t="n">
        <v>63.79</v>
      </c>
      <c r="J9363" s="58" t="inlineStr">
        <is>
          <t>Online</t>
        </is>
      </c>
      <c r="K9363" s="62">
        <f>F9363*(G9363-H9363)</f>
        <v/>
      </c>
      <c r="L9363" s="62">
        <f>K9363-(F9363*I9363)</f>
        <v/>
      </c>
      <c r="M9363" s="64">
        <f>L9363/K9363</f>
        <v/>
      </c>
    </row>
    <row r="9364">
      <c r="A9364" s="58" t="inlineStr">
        <is>
          <t>RT20250823-09363</t>
        </is>
      </c>
      <c r="B9364" s="59" t="inlineStr">
        <is>
          <t>2025-08-23</t>
        </is>
      </c>
      <c r="C9364" s="60" t="inlineStr">
        <is>
          <t>Vertex Smartphone Lite-267</t>
        </is>
      </c>
      <c r="D9364" s="58" t="inlineStr">
        <is>
          <t>Electronics</t>
        </is>
      </c>
      <c r="E9364" s="58" t="inlineStr">
        <is>
          <t>East</t>
        </is>
      </c>
      <c r="F9364" s="61" t="n">
        <v>1</v>
      </c>
      <c r="G9364" s="62" t="n">
        <v>1285.17</v>
      </c>
      <c r="H9364" s="63" t="n">
        <v>0.143</v>
      </c>
      <c r="I9364" s="62" t="n">
        <v>974.5599999999999</v>
      </c>
      <c r="J9364" s="58" t="inlineStr">
        <is>
          <t>Phone</t>
        </is>
      </c>
      <c r="K9364" s="62">
        <f>F9364*(G9364-H9364)</f>
        <v/>
      </c>
      <c r="L9364" s="62">
        <f>K9364-(F9364*I9364)</f>
        <v/>
      </c>
      <c r="M9364" s="64">
        <f>L9364/K9364</f>
        <v/>
      </c>
    </row>
    <row r="9365">
      <c r="A9365" s="58" t="inlineStr">
        <is>
          <t>RT20250823-09364</t>
        </is>
      </c>
      <c r="B9365" s="59" t="inlineStr">
        <is>
          <t>2025-08-23</t>
        </is>
      </c>
      <c r="C9365" s="60" t="inlineStr">
        <is>
          <t>Solace Headphone Pro-344</t>
        </is>
      </c>
      <c r="D9365" s="58" t="inlineStr">
        <is>
          <t>Electronics</t>
        </is>
      </c>
      <c r="E9365" s="58" t="inlineStr">
        <is>
          <t>South</t>
        </is>
      </c>
      <c r="F9365" s="61" t="n">
        <v>2</v>
      </c>
      <c r="G9365" s="62" t="n">
        <v>1333.62</v>
      </c>
      <c r="H9365" s="63" t="n">
        <v>0.162</v>
      </c>
      <c r="I9365" s="62" t="n">
        <v>1040.35</v>
      </c>
      <c r="J9365" s="58" t="inlineStr">
        <is>
          <t>Store</t>
        </is>
      </c>
      <c r="K9365" s="62">
        <f>F9365*(G9365-H9365)</f>
        <v/>
      </c>
      <c r="L9365" s="62">
        <f>K9365-(F9365*I9365)</f>
        <v/>
      </c>
      <c r="M9365" s="64">
        <f>L9365/K9365</f>
        <v/>
      </c>
    </row>
    <row r="9366">
      <c r="A9366" s="58" t="inlineStr">
        <is>
          <t>RT20250823-09365</t>
        </is>
      </c>
      <c r="B9366" s="59" t="inlineStr">
        <is>
          <t>2025-08-23</t>
        </is>
      </c>
      <c r="C9366" s="60" t="inlineStr">
        <is>
          <t>Solace Kitchen Pro-999</t>
        </is>
      </c>
      <c r="D9366" s="58" t="inlineStr">
        <is>
          <t>Home</t>
        </is>
      </c>
      <c r="E9366" s="58" t="inlineStr">
        <is>
          <t>East</t>
        </is>
      </c>
      <c r="F9366" s="61" t="n">
        <v>2</v>
      </c>
      <c r="G9366" s="62" t="n">
        <v>392.81</v>
      </c>
      <c r="H9366" s="63" t="n">
        <v>0.126</v>
      </c>
      <c r="I9366" s="62" t="n">
        <v>271.77</v>
      </c>
      <c r="J9366" s="58" t="inlineStr">
        <is>
          <t>Online</t>
        </is>
      </c>
      <c r="K9366" s="62">
        <f>F9366*(G9366-H9366)</f>
        <v/>
      </c>
      <c r="L9366" s="62">
        <f>K9366-(F9366*I9366)</f>
        <v/>
      </c>
      <c r="M9366" s="64">
        <f>L9366/K9366</f>
        <v/>
      </c>
    </row>
    <row r="9367">
      <c r="A9367" s="58" t="inlineStr">
        <is>
          <t>RT20250823-09366</t>
        </is>
      </c>
      <c r="B9367" s="59" t="inlineStr">
        <is>
          <t>2025-08-23</t>
        </is>
      </c>
      <c r="C9367" s="60" t="inlineStr">
        <is>
          <t>Polar Decor X-935</t>
        </is>
      </c>
      <c r="D9367" s="58" t="inlineStr">
        <is>
          <t>Home</t>
        </is>
      </c>
      <c r="E9367" s="58" t="inlineStr">
        <is>
          <t>North</t>
        </is>
      </c>
      <c r="F9367" s="61" t="n">
        <v>3</v>
      </c>
      <c r="G9367" s="62" t="n">
        <v>291.47</v>
      </c>
      <c r="H9367" s="63" t="n">
        <v>0.192</v>
      </c>
      <c r="I9367" s="62" t="n">
        <v>205.08</v>
      </c>
      <c r="J9367" s="58" t="inlineStr">
        <is>
          <t>Online</t>
        </is>
      </c>
      <c r="K9367" s="62">
        <f>F9367*(G9367-H9367)</f>
        <v/>
      </c>
      <c r="L9367" s="62">
        <f>K9367-(F9367*I9367)</f>
        <v/>
      </c>
      <c r="M9367" s="64">
        <f>L9367/K9367</f>
        <v/>
      </c>
    </row>
    <row r="9368">
      <c r="A9368" s="58" t="inlineStr">
        <is>
          <t>RT20250823-09367</t>
        </is>
      </c>
      <c r="B9368" s="59" t="inlineStr">
        <is>
          <t>2025-08-23</t>
        </is>
      </c>
      <c r="C9368" s="60" t="inlineStr">
        <is>
          <t>Aurora Outdoor Pro-467</t>
        </is>
      </c>
      <c r="D9368" s="58" t="inlineStr">
        <is>
          <t>Sports</t>
        </is>
      </c>
      <c r="E9368" s="58" t="inlineStr">
        <is>
          <t>South</t>
        </is>
      </c>
      <c r="F9368" s="61" t="n">
        <v>1</v>
      </c>
      <c r="G9368" s="62" t="n">
        <v>323.51</v>
      </c>
      <c r="H9368" s="63" t="n">
        <v>0.134</v>
      </c>
      <c r="I9368" s="62" t="n">
        <v>189.6</v>
      </c>
      <c r="J9368" s="58" t="inlineStr">
        <is>
          <t>Store</t>
        </is>
      </c>
      <c r="K9368" s="62">
        <f>F9368*(G9368-H9368)</f>
        <v/>
      </c>
      <c r="L9368" s="62">
        <f>K9368-(F9368*I9368)</f>
        <v/>
      </c>
      <c r="M9368" s="64">
        <f>L9368/K9368</f>
        <v/>
      </c>
    </row>
    <row r="9369">
      <c r="A9369" s="58" t="inlineStr">
        <is>
          <t>RT20250823-09368</t>
        </is>
      </c>
      <c r="B9369" s="59" t="inlineStr">
        <is>
          <t>2025-08-23</t>
        </is>
      </c>
      <c r="C9369" s="60" t="inlineStr">
        <is>
          <t>Polar Bedding Lite-243</t>
        </is>
      </c>
      <c r="D9369" s="58" t="inlineStr">
        <is>
          <t>Home</t>
        </is>
      </c>
      <c r="E9369" s="58" t="inlineStr">
        <is>
          <t>West</t>
        </is>
      </c>
      <c r="F9369" s="61" t="n">
        <v>3</v>
      </c>
      <c r="G9369" s="62" t="n">
        <v>447.74</v>
      </c>
      <c r="H9369" s="63" t="n">
        <v>0.166</v>
      </c>
      <c r="I9369" s="62" t="n">
        <v>322.71</v>
      </c>
      <c r="J9369" s="58" t="inlineStr">
        <is>
          <t>Online</t>
        </is>
      </c>
      <c r="K9369" s="62">
        <f>F9369*(G9369-H9369)</f>
        <v/>
      </c>
      <c r="L9369" s="62">
        <f>K9369-(F9369*I9369)</f>
        <v/>
      </c>
      <c r="M9369" s="64">
        <f>L9369/K9369</f>
        <v/>
      </c>
    </row>
    <row r="9370">
      <c r="A9370" s="58" t="inlineStr">
        <is>
          <t>RT20250823-09369</t>
        </is>
      </c>
      <c r="B9370" s="59" t="inlineStr">
        <is>
          <t>2025-08-23</t>
        </is>
      </c>
      <c r="C9370" s="60" t="inlineStr">
        <is>
          <t>Falcon Household Plus-172</t>
        </is>
      </c>
      <c r="D9370" s="58" t="inlineStr">
        <is>
          <t>Grocery</t>
        </is>
      </c>
      <c r="E9370" s="58" t="inlineStr">
        <is>
          <t>Central</t>
        </is>
      </c>
      <c r="F9370" s="61" t="n">
        <v>8</v>
      </c>
      <c r="G9370" s="62" t="n">
        <v>22.54</v>
      </c>
      <c r="H9370" s="63" t="n">
        <v>0.162</v>
      </c>
      <c r="I9370" s="62" t="n">
        <v>16.57</v>
      </c>
      <c r="J9370" s="58" t="inlineStr">
        <is>
          <t>Online</t>
        </is>
      </c>
      <c r="K9370" s="62">
        <f>F9370*(G9370-H9370)</f>
        <v/>
      </c>
      <c r="L9370" s="62">
        <f>K9370-(F9370*I9370)</f>
        <v/>
      </c>
      <c r="M9370" s="64">
        <f>L9370/K9370</f>
        <v/>
      </c>
    </row>
    <row r="9371">
      <c r="A9371" s="58" t="inlineStr">
        <is>
          <t>RT20250823-09370</t>
        </is>
      </c>
      <c r="B9371" s="59" t="inlineStr">
        <is>
          <t>2025-08-23</t>
        </is>
      </c>
      <c r="C9371" s="60" t="inlineStr">
        <is>
          <t>Aurora Wearable Lite-704</t>
        </is>
      </c>
      <c r="D9371" s="58" t="inlineStr">
        <is>
          <t>Electronics</t>
        </is>
      </c>
      <c r="E9371" s="58" t="inlineStr">
        <is>
          <t>Central</t>
        </is>
      </c>
      <c r="F9371" s="61" t="n">
        <v>2</v>
      </c>
      <c r="G9371" s="62" t="n">
        <v>1626.85</v>
      </c>
      <c r="H9371" s="63" t="n">
        <v>0.121</v>
      </c>
      <c r="I9371" s="62" t="n">
        <v>1388.35</v>
      </c>
      <c r="J9371" s="58" t="inlineStr">
        <is>
          <t>Online</t>
        </is>
      </c>
      <c r="K9371" s="62">
        <f>F9371*(G9371-H9371)</f>
        <v/>
      </c>
      <c r="L9371" s="62">
        <f>K9371-(F9371*I9371)</f>
        <v/>
      </c>
      <c r="M9371" s="64">
        <f>L9371/K9371</f>
        <v/>
      </c>
    </row>
    <row r="9372">
      <c r="A9372" s="58" t="inlineStr">
        <is>
          <t>RT20250823-09371</t>
        </is>
      </c>
      <c r="B9372" s="59" t="inlineStr">
        <is>
          <t>2025-08-23</t>
        </is>
      </c>
      <c r="C9372" s="60" t="inlineStr">
        <is>
          <t>Vertex Snack S-702</t>
        </is>
      </c>
      <c r="D9372" s="58" t="inlineStr">
        <is>
          <t>Grocery</t>
        </is>
      </c>
      <c r="E9372" s="58" t="inlineStr">
        <is>
          <t>East</t>
        </is>
      </c>
      <c r="F9372" s="61" t="n">
        <v>2</v>
      </c>
      <c r="G9372" s="62" t="n">
        <v>2.03</v>
      </c>
      <c r="H9372" s="63" t="n">
        <v>0.169</v>
      </c>
      <c r="I9372" s="62" t="n">
        <v>1.51</v>
      </c>
      <c r="J9372" s="58" t="inlineStr">
        <is>
          <t>Online</t>
        </is>
      </c>
      <c r="K9372" s="62">
        <f>F9372*(G9372-H9372)</f>
        <v/>
      </c>
      <c r="L9372" s="62">
        <f>K9372-(F9372*I9372)</f>
        <v/>
      </c>
      <c r="M9372" s="64">
        <f>L9372/K9372</f>
        <v/>
      </c>
    </row>
    <row r="9373">
      <c r="A9373" s="58" t="inlineStr">
        <is>
          <t>RT20250823-09372</t>
        </is>
      </c>
      <c r="B9373" s="59" t="inlineStr">
        <is>
          <t>2025-08-23</t>
        </is>
      </c>
      <c r="C9373" s="60" t="inlineStr">
        <is>
          <t>Nimbus Cycling Plus-911</t>
        </is>
      </c>
      <c r="D9373" s="58" t="inlineStr">
        <is>
          <t>Sports</t>
        </is>
      </c>
      <c r="E9373" s="58" t="inlineStr">
        <is>
          <t>West</t>
        </is>
      </c>
      <c r="F9373" s="61" t="n">
        <v>3</v>
      </c>
      <c r="G9373" s="62" t="n">
        <v>609.72</v>
      </c>
      <c r="H9373" s="63" t="n">
        <v>0.142</v>
      </c>
      <c r="I9373" s="62" t="n">
        <v>397.15</v>
      </c>
      <c r="J9373" s="58" t="inlineStr">
        <is>
          <t>Store</t>
        </is>
      </c>
      <c r="K9373" s="62">
        <f>F9373*(G9373-H9373)</f>
        <v/>
      </c>
      <c r="L9373" s="62">
        <f>K9373-(F9373*I9373)</f>
        <v/>
      </c>
      <c r="M9373" s="64">
        <f>L9373/K9373</f>
        <v/>
      </c>
    </row>
    <row r="9374">
      <c r="A9374" s="58" t="inlineStr">
        <is>
          <t>RT20250823-09373</t>
        </is>
      </c>
      <c r="B9374" s="59" t="inlineStr">
        <is>
          <t>2025-08-23</t>
        </is>
      </c>
      <c r="C9374" s="60" t="inlineStr">
        <is>
          <t>Metro Accessorie Lite-697</t>
        </is>
      </c>
      <c r="D9374" s="58" t="inlineStr">
        <is>
          <t>Apparel</t>
        </is>
      </c>
      <c r="E9374" s="58" t="inlineStr">
        <is>
          <t>Central</t>
        </is>
      </c>
      <c r="F9374" s="61" t="n">
        <v>4</v>
      </c>
      <c r="G9374" s="62" t="n">
        <v>142.02</v>
      </c>
      <c r="H9374" s="63" t="n">
        <v>0.09</v>
      </c>
      <c r="I9374" s="62" t="n">
        <v>75.52</v>
      </c>
      <c r="J9374" s="58" t="inlineStr">
        <is>
          <t>Online</t>
        </is>
      </c>
      <c r="K9374" s="62">
        <f>F9374*(G9374-H9374)</f>
        <v/>
      </c>
      <c r="L9374" s="62">
        <f>K9374-(F9374*I9374)</f>
        <v/>
      </c>
      <c r="M9374" s="64">
        <f>L9374/K9374</f>
        <v/>
      </c>
    </row>
    <row r="9375">
      <c r="A9375" s="58" t="inlineStr">
        <is>
          <t>RT20250823-09374</t>
        </is>
      </c>
      <c r="B9375" s="59" t="inlineStr">
        <is>
          <t>2025-08-23</t>
        </is>
      </c>
      <c r="C9375" s="60" t="inlineStr">
        <is>
          <t>Nimbus Decor Lite-385</t>
        </is>
      </c>
      <c r="D9375" s="58" t="inlineStr">
        <is>
          <t>Home</t>
        </is>
      </c>
      <c r="E9375" s="58" t="inlineStr">
        <is>
          <t>Central</t>
        </is>
      </c>
      <c r="F9375" s="61" t="n">
        <v>2</v>
      </c>
      <c r="G9375" s="62" t="n">
        <v>568.51</v>
      </c>
      <c r="H9375" s="63" t="n">
        <v>0.189</v>
      </c>
      <c r="I9375" s="62" t="n">
        <v>403.11</v>
      </c>
      <c r="J9375" s="58" t="inlineStr">
        <is>
          <t>Phone</t>
        </is>
      </c>
      <c r="K9375" s="62">
        <f>F9375*(G9375-H9375)</f>
        <v/>
      </c>
      <c r="L9375" s="62">
        <f>K9375-(F9375*I9375)</f>
        <v/>
      </c>
      <c r="M9375" s="64">
        <f>L9375/K9375</f>
        <v/>
      </c>
    </row>
    <row r="9376">
      <c r="A9376" s="58" t="inlineStr">
        <is>
          <t>RT20250823-09375</t>
        </is>
      </c>
      <c r="B9376" s="59" t="inlineStr">
        <is>
          <t>2025-08-23</t>
        </is>
      </c>
      <c r="C9376" s="60" t="inlineStr">
        <is>
          <t>Metro Laptop Plus-376</t>
        </is>
      </c>
      <c r="D9376" s="58" t="inlineStr">
        <is>
          <t>Electronics</t>
        </is>
      </c>
      <c r="E9376" s="58" t="inlineStr">
        <is>
          <t>Central</t>
        </is>
      </c>
      <c r="F9376" s="61" t="n">
        <v>1</v>
      </c>
      <c r="G9376" s="62" t="n">
        <v>1432.68</v>
      </c>
      <c r="H9376" s="63" t="n">
        <v>0.11</v>
      </c>
      <c r="I9376" s="62" t="n">
        <v>1034.62</v>
      </c>
      <c r="J9376" s="58" t="inlineStr">
        <is>
          <t>Online</t>
        </is>
      </c>
      <c r="K9376" s="62">
        <f>F9376*(G9376-H9376)</f>
        <v/>
      </c>
      <c r="L9376" s="62">
        <f>K9376-(F9376*I9376)</f>
        <v/>
      </c>
      <c r="M9376" s="64">
        <f>L9376/K9376</f>
        <v/>
      </c>
    </row>
    <row r="9377">
      <c r="A9377" s="58" t="inlineStr">
        <is>
          <t>RT20250823-09376</t>
        </is>
      </c>
      <c r="B9377" s="59" t="inlineStr">
        <is>
          <t>2025-08-23</t>
        </is>
      </c>
      <c r="C9377" s="60" t="inlineStr">
        <is>
          <t>Metro Beverage Max-490</t>
        </is>
      </c>
      <c r="D9377" s="58" t="inlineStr">
        <is>
          <t>Grocery</t>
        </is>
      </c>
      <c r="E9377" s="58" t="inlineStr">
        <is>
          <t>West</t>
        </is>
      </c>
      <c r="F9377" s="61" t="n">
        <v>4</v>
      </c>
      <c r="G9377" s="62" t="n">
        <v>10.74</v>
      </c>
      <c r="H9377" s="63" t="n">
        <v>0.16</v>
      </c>
      <c r="I9377" s="62" t="n">
        <v>8.18</v>
      </c>
      <c r="J9377" s="58" t="inlineStr">
        <is>
          <t>Store</t>
        </is>
      </c>
      <c r="K9377" s="62">
        <f>F9377*(G9377-H9377)</f>
        <v/>
      </c>
      <c r="L9377" s="62">
        <f>K9377-(F9377*I9377)</f>
        <v/>
      </c>
      <c r="M9377" s="64">
        <f>L9377/K9377</f>
        <v/>
      </c>
    </row>
    <row r="9378">
      <c r="A9378" s="58" t="inlineStr">
        <is>
          <t>RT20250823-09377</t>
        </is>
      </c>
      <c r="B9378" s="59" t="inlineStr">
        <is>
          <t>2025-08-23</t>
        </is>
      </c>
      <c r="C9378" s="60" t="inlineStr">
        <is>
          <t>Polar Women Max-927</t>
        </is>
      </c>
      <c r="D9378" s="58" t="inlineStr">
        <is>
          <t>Apparel</t>
        </is>
      </c>
      <c r="E9378" s="58" t="inlineStr">
        <is>
          <t>Central</t>
        </is>
      </c>
      <c r="F9378" s="61" t="n">
        <v>4</v>
      </c>
      <c r="G9378" s="62" t="n">
        <v>112.76</v>
      </c>
      <c r="H9378" s="63" t="n">
        <v>0.156</v>
      </c>
      <c r="I9378" s="62" t="n">
        <v>66.39</v>
      </c>
      <c r="J9378" s="58" t="inlineStr">
        <is>
          <t>Online</t>
        </is>
      </c>
      <c r="K9378" s="62">
        <f>F9378*(G9378-H9378)</f>
        <v/>
      </c>
      <c r="L9378" s="62">
        <f>K9378-(F9378*I9378)</f>
        <v/>
      </c>
      <c r="M9378" s="64">
        <f>L9378/K9378</f>
        <v/>
      </c>
    </row>
    <row r="9379">
      <c r="A9379" s="58" t="inlineStr">
        <is>
          <t>RT20250823-09378</t>
        </is>
      </c>
      <c r="B9379" s="59" t="inlineStr">
        <is>
          <t>2025-08-23</t>
        </is>
      </c>
      <c r="C9379" s="60" t="inlineStr">
        <is>
          <t>Polar Bedding Lite-243</t>
        </is>
      </c>
      <c r="D9379" s="58" t="inlineStr">
        <is>
          <t>Home</t>
        </is>
      </c>
      <c r="E9379" s="58" t="inlineStr">
        <is>
          <t>West</t>
        </is>
      </c>
      <c r="F9379" s="61" t="n">
        <v>3</v>
      </c>
      <c r="G9379" s="62" t="n">
        <v>411.08</v>
      </c>
      <c r="H9379" s="63" t="n">
        <v>0.176</v>
      </c>
      <c r="I9379" s="62" t="n">
        <v>325.99</v>
      </c>
      <c r="J9379" s="58" t="inlineStr">
        <is>
          <t>Online</t>
        </is>
      </c>
      <c r="K9379" s="62">
        <f>F9379*(G9379-H9379)</f>
        <v/>
      </c>
      <c r="L9379" s="62">
        <f>K9379-(F9379*I9379)</f>
        <v/>
      </c>
      <c r="M9379" s="64">
        <f>L9379/K9379</f>
        <v/>
      </c>
    </row>
    <row r="9380">
      <c r="A9380" s="58" t="inlineStr">
        <is>
          <t>RT20250823-09379</t>
        </is>
      </c>
      <c r="B9380" s="59" t="inlineStr">
        <is>
          <t>2025-08-23</t>
        </is>
      </c>
      <c r="C9380" s="60" t="inlineStr">
        <is>
          <t>Polar Haircare Max-614</t>
        </is>
      </c>
      <c r="D9380" s="58" t="inlineStr">
        <is>
          <t>Beauty</t>
        </is>
      </c>
      <c r="E9380" s="58" t="inlineStr">
        <is>
          <t>East</t>
        </is>
      </c>
      <c r="F9380" s="61" t="n">
        <v>5</v>
      </c>
      <c r="G9380" s="62" t="n">
        <v>115.95</v>
      </c>
      <c r="H9380" s="63" t="n">
        <v>0.14</v>
      </c>
      <c r="I9380" s="62" t="n">
        <v>71.05</v>
      </c>
      <c r="J9380" s="58" t="inlineStr">
        <is>
          <t>Store</t>
        </is>
      </c>
      <c r="K9380" s="62">
        <f>F9380*(G9380-H9380)</f>
        <v/>
      </c>
      <c r="L9380" s="62">
        <f>K9380-(F9380*I9380)</f>
        <v/>
      </c>
      <c r="M9380" s="64">
        <f>L9380/K9380</f>
        <v/>
      </c>
    </row>
    <row r="9381">
      <c r="A9381" s="58" t="inlineStr">
        <is>
          <t>RT20250823-09380</t>
        </is>
      </c>
      <c r="B9381" s="59" t="inlineStr">
        <is>
          <t>2025-08-23</t>
        </is>
      </c>
      <c r="C9381" s="60" t="inlineStr">
        <is>
          <t>Falcon Storage X-734</t>
        </is>
      </c>
      <c r="D9381" s="58" t="inlineStr">
        <is>
          <t>Office</t>
        </is>
      </c>
      <c r="E9381" s="58" t="inlineStr">
        <is>
          <t>West</t>
        </is>
      </c>
      <c r="F9381" s="61" t="n">
        <v>3</v>
      </c>
      <c r="G9381" s="62" t="n">
        <v>424.74</v>
      </c>
      <c r="H9381" s="63" t="n">
        <v>0.153</v>
      </c>
      <c r="I9381" s="62" t="n">
        <v>280.88</v>
      </c>
      <c r="J9381" s="58" t="inlineStr">
        <is>
          <t>Store</t>
        </is>
      </c>
      <c r="K9381" s="62">
        <f>F9381*(G9381-H9381)</f>
        <v/>
      </c>
      <c r="L9381" s="62">
        <f>K9381-(F9381*I9381)</f>
        <v/>
      </c>
      <c r="M9381" s="64">
        <f>L9381/K9381</f>
        <v/>
      </c>
    </row>
    <row r="9382">
      <c r="A9382" s="58" t="inlineStr">
        <is>
          <t>RT20250823-09381</t>
        </is>
      </c>
      <c r="B9382" s="59" t="inlineStr">
        <is>
          <t>2025-08-23</t>
        </is>
      </c>
      <c r="C9382" s="60" t="inlineStr">
        <is>
          <t>Nimbus Furniture Pro-479</t>
        </is>
      </c>
      <c r="D9382" s="58" t="inlineStr">
        <is>
          <t>Office</t>
        </is>
      </c>
      <c r="E9382" s="58" t="inlineStr">
        <is>
          <t>Central</t>
        </is>
      </c>
      <c r="F9382" s="61" t="n">
        <v>2</v>
      </c>
      <c r="G9382" s="62" t="n">
        <v>353.01</v>
      </c>
      <c r="H9382" s="63" t="n">
        <v>0.148</v>
      </c>
      <c r="I9382" s="62" t="n">
        <v>245.08</v>
      </c>
      <c r="J9382" s="58" t="inlineStr">
        <is>
          <t>Store</t>
        </is>
      </c>
      <c r="K9382" s="62">
        <f>F9382*(G9382-H9382)</f>
        <v/>
      </c>
      <c r="L9382" s="62">
        <f>K9382-(F9382*I9382)</f>
        <v/>
      </c>
      <c r="M9382" s="64">
        <f>L9382/K9382</f>
        <v/>
      </c>
    </row>
    <row r="9383">
      <c r="A9383" s="58" t="inlineStr">
        <is>
          <t>RT20250823-09382</t>
        </is>
      </c>
      <c r="B9383" s="59" t="inlineStr">
        <is>
          <t>2025-08-23</t>
        </is>
      </c>
      <c r="C9383" s="60" t="inlineStr">
        <is>
          <t>Polar Supplie Lite-348</t>
        </is>
      </c>
      <c r="D9383" s="58" t="inlineStr">
        <is>
          <t>Office</t>
        </is>
      </c>
      <c r="E9383" s="58" t="inlineStr">
        <is>
          <t>East</t>
        </is>
      </c>
      <c r="F9383" s="61" t="n">
        <v>2</v>
      </c>
      <c r="G9383" s="62" t="n">
        <v>418.61</v>
      </c>
      <c r="H9383" s="63" t="n">
        <v>0.191</v>
      </c>
      <c r="I9383" s="62" t="n">
        <v>312.36</v>
      </c>
      <c r="J9383" s="58" t="inlineStr">
        <is>
          <t>Online</t>
        </is>
      </c>
      <c r="K9383" s="62">
        <f>F9383*(G9383-H9383)</f>
        <v/>
      </c>
      <c r="L9383" s="62">
        <f>K9383-(F9383*I9383)</f>
        <v/>
      </c>
      <c r="M9383" s="64">
        <f>L9383/K9383</f>
        <v/>
      </c>
    </row>
    <row r="9384">
      <c r="A9384" s="58" t="inlineStr">
        <is>
          <t>RT20250823-09383</t>
        </is>
      </c>
      <c r="B9384" s="59" t="inlineStr">
        <is>
          <t>2025-08-23</t>
        </is>
      </c>
      <c r="C9384" s="60" t="inlineStr">
        <is>
          <t>Vertex Appliance Max-338</t>
        </is>
      </c>
      <c r="D9384" s="58" t="inlineStr">
        <is>
          <t>Home</t>
        </is>
      </c>
      <c r="E9384" s="58" t="inlineStr">
        <is>
          <t>South</t>
        </is>
      </c>
      <c r="F9384" s="61" t="n">
        <v>1</v>
      </c>
      <c r="G9384" s="62" t="n">
        <v>380.93</v>
      </c>
      <c r="H9384" s="63" t="n">
        <v>0.08799999999999999</v>
      </c>
      <c r="I9384" s="62" t="n">
        <v>283.09</v>
      </c>
      <c r="J9384" s="58" t="inlineStr">
        <is>
          <t>Phone</t>
        </is>
      </c>
      <c r="K9384" s="62">
        <f>F9384*(G9384-H9384)</f>
        <v/>
      </c>
      <c r="L9384" s="62">
        <f>K9384-(F9384*I9384)</f>
        <v/>
      </c>
      <c r="M9384" s="64">
        <f>L9384/K9384</f>
        <v/>
      </c>
    </row>
    <row r="9385">
      <c r="A9385" s="58" t="inlineStr">
        <is>
          <t>RT20250823-09384</t>
        </is>
      </c>
      <c r="B9385" s="59" t="inlineStr">
        <is>
          <t>2025-08-23</t>
        </is>
      </c>
      <c r="C9385" s="60" t="inlineStr">
        <is>
          <t>Polar Snack Pro-641</t>
        </is>
      </c>
      <c r="D9385" s="58" t="inlineStr">
        <is>
          <t>Grocery</t>
        </is>
      </c>
      <c r="E9385" s="58" t="inlineStr">
        <is>
          <t>North</t>
        </is>
      </c>
      <c r="F9385" s="61" t="n">
        <v>4</v>
      </c>
      <c r="G9385" s="62" t="n">
        <v>12.82</v>
      </c>
      <c r="H9385" s="63" t="n">
        <v>0.162</v>
      </c>
      <c r="I9385" s="62" t="n">
        <v>9.58</v>
      </c>
      <c r="J9385" s="58" t="inlineStr">
        <is>
          <t>Store</t>
        </is>
      </c>
      <c r="K9385" s="62">
        <f>F9385*(G9385-H9385)</f>
        <v/>
      </c>
      <c r="L9385" s="62">
        <f>K9385-(F9385*I9385)</f>
        <v/>
      </c>
      <c r="M9385" s="64">
        <f>L9385/K9385</f>
        <v/>
      </c>
    </row>
    <row r="9386">
      <c r="A9386" s="58" t="inlineStr">
        <is>
          <t>RT20250823-09385</t>
        </is>
      </c>
      <c r="B9386" s="59" t="inlineStr">
        <is>
          <t>2025-08-23</t>
        </is>
      </c>
      <c r="C9386" s="60" t="inlineStr">
        <is>
          <t>Polar Bedding Lite-243</t>
        </is>
      </c>
      <c r="D9386" s="58" t="inlineStr">
        <is>
          <t>Home</t>
        </is>
      </c>
      <c r="E9386" s="58" t="inlineStr">
        <is>
          <t>North</t>
        </is>
      </c>
      <c r="F9386" s="61" t="n">
        <v>3</v>
      </c>
      <c r="G9386" s="62" t="n">
        <v>504.37</v>
      </c>
      <c r="H9386" s="63" t="n">
        <v>0.152</v>
      </c>
      <c r="I9386" s="62" t="n">
        <v>313.26</v>
      </c>
      <c r="J9386" s="58" t="inlineStr">
        <is>
          <t>Store</t>
        </is>
      </c>
      <c r="K9386" s="62">
        <f>F9386*(G9386-H9386)</f>
        <v/>
      </c>
      <c r="L9386" s="62">
        <f>K9386-(F9386*I9386)</f>
        <v/>
      </c>
      <c r="M9386" s="64">
        <f>L9386/K9386</f>
        <v/>
      </c>
    </row>
    <row r="9387">
      <c r="A9387" s="58" t="inlineStr">
        <is>
          <t>RT20250823-09386</t>
        </is>
      </c>
      <c r="B9387" s="59" t="inlineStr">
        <is>
          <t>2025-08-23</t>
        </is>
      </c>
      <c r="C9387" s="60" t="inlineStr">
        <is>
          <t>Aurora Haircare S-975</t>
        </is>
      </c>
      <c r="D9387" s="58" t="inlineStr">
        <is>
          <t>Beauty</t>
        </is>
      </c>
      <c r="E9387" s="58" t="inlineStr">
        <is>
          <t>East</t>
        </is>
      </c>
      <c r="F9387" s="61" t="n">
        <v>3</v>
      </c>
      <c r="G9387" s="62" t="n">
        <v>87.23999999999999</v>
      </c>
      <c r="H9387" s="63" t="n">
        <v>0.121</v>
      </c>
      <c r="I9387" s="62" t="n">
        <v>58.88</v>
      </c>
      <c r="J9387" s="58" t="inlineStr">
        <is>
          <t>Online</t>
        </is>
      </c>
      <c r="K9387" s="62">
        <f>F9387*(G9387-H9387)</f>
        <v/>
      </c>
      <c r="L9387" s="62">
        <f>K9387-(F9387*I9387)</f>
        <v/>
      </c>
      <c r="M9387" s="64">
        <f>L9387/K9387</f>
        <v/>
      </c>
    </row>
    <row r="9388">
      <c r="A9388" s="58" t="inlineStr">
        <is>
          <t>RT20250823-09387</t>
        </is>
      </c>
      <c r="B9388" s="59" t="inlineStr">
        <is>
          <t>2025-08-23</t>
        </is>
      </c>
      <c r="C9388" s="60" t="inlineStr">
        <is>
          <t>Orion Beverage Plus-949</t>
        </is>
      </c>
      <c r="D9388" s="58" t="inlineStr">
        <is>
          <t>Grocery</t>
        </is>
      </c>
      <c r="E9388" s="58" t="inlineStr">
        <is>
          <t>North</t>
        </is>
      </c>
      <c r="F9388" s="61" t="n">
        <v>5</v>
      </c>
      <c r="G9388" s="62" t="n">
        <v>17.02</v>
      </c>
      <c r="H9388" s="63" t="n">
        <v>0.093</v>
      </c>
      <c r="I9388" s="62" t="n">
        <v>13.62</v>
      </c>
      <c r="J9388" s="58" t="inlineStr">
        <is>
          <t>Store</t>
        </is>
      </c>
      <c r="K9388" s="62">
        <f>F9388*(G9388-H9388)</f>
        <v/>
      </c>
      <c r="L9388" s="62">
        <f>K9388-(F9388*I9388)</f>
        <v/>
      </c>
      <c r="M9388" s="64">
        <f>L9388/K9388</f>
        <v/>
      </c>
    </row>
    <row r="9389">
      <c r="A9389" s="58" t="inlineStr">
        <is>
          <t>RT20250823-09388</t>
        </is>
      </c>
      <c r="B9389" s="59" t="inlineStr">
        <is>
          <t>2025-08-23</t>
        </is>
      </c>
      <c r="C9389" s="60" t="inlineStr">
        <is>
          <t>Metro Accessorie Lite-697</t>
        </is>
      </c>
      <c r="D9389" s="58" t="inlineStr">
        <is>
          <t>Apparel</t>
        </is>
      </c>
      <c r="E9389" s="58" t="inlineStr">
        <is>
          <t>Central</t>
        </is>
      </c>
      <c r="F9389" s="61" t="n">
        <v>3</v>
      </c>
      <c r="G9389" s="62" t="n">
        <v>116.92</v>
      </c>
      <c r="H9389" s="63" t="n">
        <v>0.145</v>
      </c>
      <c r="I9389" s="62" t="n">
        <v>77.95999999999999</v>
      </c>
      <c r="J9389" s="58" t="inlineStr">
        <is>
          <t>Online</t>
        </is>
      </c>
      <c r="K9389" s="62">
        <f>F9389*(G9389-H9389)</f>
        <v/>
      </c>
      <c r="L9389" s="62">
        <f>K9389-(F9389*I9389)</f>
        <v/>
      </c>
      <c r="M9389" s="64">
        <f>L9389/K9389</f>
        <v/>
      </c>
    </row>
    <row r="9390">
      <c r="A9390" s="58" t="inlineStr">
        <is>
          <t>RT20250823-09389</t>
        </is>
      </c>
      <c r="B9390" s="59" t="inlineStr">
        <is>
          <t>2025-08-23</t>
        </is>
      </c>
      <c r="C9390" s="60" t="inlineStr">
        <is>
          <t>Falcon Headphone Plus-789</t>
        </is>
      </c>
      <c r="D9390" s="58" t="inlineStr">
        <is>
          <t>Electronics</t>
        </is>
      </c>
      <c r="E9390" s="58" t="inlineStr">
        <is>
          <t>East</t>
        </is>
      </c>
      <c r="F9390" s="61" t="n">
        <v>2</v>
      </c>
      <c r="G9390" s="62" t="n">
        <v>1646.25</v>
      </c>
      <c r="H9390" s="63" t="n">
        <v>0.167</v>
      </c>
      <c r="I9390" s="62" t="n">
        <v>1302.46</v>
      </c>
      <c r="J9390" s="58" t="inlineStr">
        <is>
          <t>Online</t>
        </is>
      </c>
      <c r="K9390" s="62">
        <f>F9390*(G9390-H9390)</f>
        <v/>
      </c>
      <c r="L9390" s="62">
        <f>K9390-(F9390*I9390)</f>
        <v/>
      </c>
      <c r="M9390" s="64">
        <f>L9390/K9390</f>
        <v/>
      </c>
    </row>
    <row r="9391">
      <c r="A9391" s="58" t="inlineStr">
        <is>
          <t>RT20250823-09390</t>
        </is>
      </c>
      <c r="B9391" s="59" t="inlineStr">
        <is>
          <t>2025-08-23</t>
        </is>
      </c>
      <c r="C9391" s="60" t="inlineStr">
        <is>
          <t>Vertex Appliance Max-338</t>
        </is>
      </c>
      <c r="D9391" s="58" t="inlineStr">
        <is>
          <t>Home</t>
        </is>
      </c>
      <c r="E9391" s="58" t="inlineStr">
        <is>
          <t>East</t>
        </is>
      </c>
      <c r="F9391" s="61" t="n">
        <v>3</v>
      </c>
      <c r="G9391" s="62" t="n">
        <v>419.21</v>
      </c>
      <c r="H9391" s="63" t="n">
        <v>0.152</v>
      </c>
      <c r="I9391" s="62" t="n">
        <v>285.75</v>
      </c>
      <c r="J9391" s="58" t="inlineStr">
        <is>
          <t>Online</t>
        </is>
      </c>
      <c r="K9391" s="62">
        <f>F9391*(G9391-H9391)</f>
        <v/>
      </c>
      <c r="L9391" s="62">
        <f>K9391-(F9391*I9391)</f>
        <v/>
      </c>
      <c r="M9391" s="64">
        <f>L9391/K9391</f>
        <v/>
      </c>
    </row>
    <row r="9392">
      <c r="A9392" s="58" t="inlineStr">
        <is>
          <t>RT20250824-09391</t>
        </is>
      </c>
      <c r="B9392" s="59" t="inlineStr">
        <is>
          <t>2025-08-24</t>
        </is>
      </c>
      <c r="C9392" s="60" t="inlineStr">
        <is>
          <t>Nimbus Men Plus-231</t>
        </is>
      </c>
      <c r="D9392" s="58" t="inlineStr">
        <is>
          <t>Apparel</t>
        </is>
      </c>
      <c r="E9392" s="58" t="inlineStr">
        <is>
          <t>West</t>
        </is>
      </c>
      <c r="F9392" s="61" t="n">
        <v>3</v>
      </c>
      <c r="G9392" s="62" t="n">
        <v>166.32</v>
      </c>
      <c r="H9392" s="63" t="n">
        <v>0.158</v>
      </c>
      <c r="I9392" s="62" t="n">
        <v>87.18000000000001</v>
      </c>
      <c r="J9392" s="58" t="inlineStr">
        <is>
          <t>Online</t>
        </is>
      </c>
      <c r="K9392" s="62">
        <f>F9392*(G9392-H9392)</f>
        <v/>
      </c>
      <c r="L9392" s="62">
        <f>K9392-(F9392*I9392)</f>
        <v/>
      </c>
      <c r="M9392" s="64">
        <f>L9392/K9392</f>
        <v/>
      </c>
    </row>
    <row r="9393">
      <c r="A9393" s="58" t="inlineStr">
        <is>
          <t>RT20250824-09392</t>
        </is>
      </c>
      <c r="B9393" s="59" t="inlineStr">
        <is>
          <t>2025-08-24</t>
        </is>
      </c>
      <c r="C9393" s="60" t="inlineStr">
        <is>
          <t>Polar Decor X-935</t>
        </is>
      </c>
      <c r="D9393" s="58" t="inlineStr">
        <is>
          <t>Home</t>
        </is>
      </c>
      <c r="E9393" s="58" t="inlineStr">
        <is>
          <t>Central</t>
        </is>
      </c>
      <c r="F9393" s="61" t="n">
        <v>1</v>
      </c>
      <c r="G9393" s="62" t="n">
        <v>285.74</v>
      </c>
      <c r="H9393" s="63" t="n">
        <v>0.155</v>
      </c>
      <c r="I9393" s="62" t="n">
        <v>205.02</v>
      </c>
      <c r="J9393" s="58" t="inlineStr">
        <is>
          <t>Online</t>
        </is>
      </c>
      <c r="K9393" s="62">
        <f>F9393*(G9393-H9393)</f>
        <v/>
      </c>
      <c r="L9393" s="62">
        <f>K9393-(F9393*I9393)</f>
        <v/>
      </c>
      <c r="M9393" s="64">
        <f>L9393/K9393</f>
        <v/>
      </c>
    </row>
    <row r="9394">
      <c r="A9394" s="58" t="inlineStr">
        <is>
          <t>RT20250824-09393</t>
        </is>
      </c>
      <c r="B9394" s="59" t="inlineStr">
        <is>
          <t>2025-08-24</t>
        </is>
      </c>
      <c r="C9394" s="60" t="inlineStr">
        <is>
          <t>Nimbus Cycling Plus-911</t>
        </is>
      </c>
      <c r="D9394" s="58" t="inlineStr">
        <is>
          <t>Sports</t>
        </is>
      </c>
      <c r="E9394" s="58" t="inlineStr">
        <is>
          <t>South</t>
        </is>
      </c>
      <c r="F9394" s="61" t="n">
        <v>3</v>
      </c>
      <c r="G9394" s="62" t="n">
        <v>584.01</v>
      </c>
      <c r="H9394" s="63" t="n">
        <v>0.153</v>
      </c>
      <c r="I9394" s="62" t="n">
        <v>391.46</v>
      </c>
      <c r="J9394" s="58" t="inlineStr">
        <is>
          <t>Online</t>
        </is>
      </c>
      <c r="K9394" s="62">
        <f>F9394*(G9394-H9394)</f>
        <v/>
      </c>
      <c r="L9394" s="62">
        <f>K9394-(F9394*I9394)</f>
        <v/>
      </c>
      <c r="M9394" s="64">
        <f>L9394/K9394</f>
        <v/>
      </c>
    </row>
    <row r="9395">
      <c r="A9395" s="58" t="inlineStr">
        <is>
          <t>RT20250824-09394</t>
        </is>
      </c>
      <c r="B9395" s="59" t="inlineStr">
        <is>
          <t>2025-08-24</t>
        </is>
      </c>
      <c r="C9395" s="60" t="inlineStr">
        <is>
          <t>Vertex Appliance Max-338</t>
        </is>
      </c>
      <c r="D9395" s="58" t="inlineStr">
        <is>
          <t>Home</t>
        </is>
      </c>
      <c r="E9395" s="58" t="inlineStr">
        <is>
          <t>East</t>
        </is>
      </c>
      <c r="F9395" s="61" t="n">
        <v>3</v>
      </c>
      <c r="G9395" s="62" t="n">
        <v>455.2</v>
      </c>
      <c r="H9395" s="63" t="n">
        <v>0.211</v>
      </c>
      <c r="I9395" s="62" t="n">
        <v>288.79</v>
      </c>
      <c r="J9395" s="58" t="inlineStr">
        <is>
          <t>Store</t>
        </is>
      </c>
      <c r="K9395" s="62">
        <f>F9395*(G9395-H9395)</f>
        <v/>
      </c>
      <c r="L9395" s="62">
        <f>K9395-(F9395*I9395)</f>
        <v/>
      </c>
      <c r="M9395" s="64">
        <f>L9395/K9395</f>
        <v/>
      </c>
    </row>
    <row r="9396">
      <c r="A9396" s="58" t="inlineStr">
        <is>
          <t>RT20250824-09395</t>
        </is>
      </c>
      <c r="B9396" s="59" t="inlineStr">
        <is>
          <t>2025-08-24</t>
        </is>
      </c>
      <c r="C9396" s="60" t="inlineStr">
        <is>
          <t>Metro Fragrance Lite-261</t>
        </is>
      </c>
      <c r="D9396" s="58" t="inlineStr">
        <is>
          <t>Beauty</t>
        </is>
      </c>
      <c r="E9396" s="58" t="inlineStr">
        <is>
          <t>Central</t>
        </is>
      </c>
      <c r="F9396" s="61" t="n">
        <v>1</v>
      </c>
      <c r="G9396" s="62" t="n">
        <v>88.90000000000001</v>
      </c>
      <c r="H9396" s="63" t="n">
        <v>0.13</v>
      </c>
      <c r="I9396" s="62" t="n">
        <v>56</v>
      </c>
      <c r="J9396" s="58" t="inlineStr">
        <is>
          <t>Online</t>
        </is>
      </c>
      <c r="K9396" s="62">
        <f>F9396*(G9396-H9396)</f>
        <v/>
      </c>
      <c r="L9396" s="62">
        <f>K9396-(F9396*I9396)</f>
        <v/>
      </c>
      <c r="M9396" s="64">
        <f>L9396/K9396</f>
        <v/>
      </c>
    </row>
    <row r="9397">
      <c r="A9397" s="58" t="inlineStr">
        <is>
          <t>RT20250824-09396</t>
        </is>
      </c>
      <c r="B9397" s="59" t="inlineStr">
        <is>
          <t>2025-08-24</t>
        </is>
      </c>
      <c r="C9397" s="60" t="inlineStr">
        <is>
          <t>Aurora Furniture X-709</t>
        </is>
      </c>
      <c r="D9397" s="58" t="inlineStr">
        <is>
          <t>Office</t>
        </is>
      </c>
      <c r="E9397" s="58" t="inlineStr">
        <is>
          <t>Central</t>
        </is>
      </c>
      <c r="F9397" s="61" t="n">
        <v>3</v>
      </c>
      <c r="G9397" s="62" t="n">
        <v>431.89</v>
      </c>
      <c r="H9397" s="63" t="n">
        <v>0.177</v>
      </c>
      <c r="I9397" s="62" t="n">
        <v>311.7</v>
      </c>
      <c r="J9397" s="58" t="inlineStr">
        <is>
          <t>Store</t>
        </is>
      </c>
      <c r="K9397" s="62">
        <f>F9397*(G9397-H9397)</f>
        <v/>
      </c>
      <c r="L9397" s="62">
        <f>K9397-(F9397*I9397)</f>
        <v/>
      </c>
      <c r="M9397" s="64">
        <f>L9397/K9397</f>
        <v/>
      </c>
    </row>
    <row r="9398">
      <c r="A9398" s="58" t="inlineStr">
        <is>
          <t>RT20250824-09397</t>
        </is>
      </c>
      <c r="B9398" s="59" t="inlineStr">
        <is>
          <t>2025-08-24</t>
        </is>
      </c>
      <c r="C9398" s="60" t="inlineStr">
        <is>
          <t>Polar Haircare Max-614</t>
        </is>
      </c>
      <c r="D9398" s="58" t="inlineStr">
        <is>
          <t>Beauty</t>
        </is>
      </c>
      <c r="E9398" s="58" t="inlineStr">
        <is>
          <t>East</t>
        </is>
      </c>
      <c r="F9398" s="61" t="n">
        <v>1</v>
      </c>
      <c r="G9398" s="62" t="n">
        <v>106.6</v>
      </c>
      <c r="H9398" s="63" t="n">
        <v>0.152</v>
      </c>
      <c r="I9398" s="62" t="n">
        <v>69.31999999999999</v>
      </c>
      <c r="J9398" s="58" t="inlineStr">
        <is>
          <t>Online</t>
        </is>
      </c>
      <c r="K9398" s="62">
        <f>F9398*(G9398-H9398)</f>
        <v/>
      </c>
      <c r="L9398" s="62">
        <f>K9398-(F9398*I9398)</f>
        <v/>
      </c>
      <c r="M9398" s="64">
        <f>L9398/K9398</f>
        <v/>
      </c>
    </row>
    <row r="9399">
      <c r="A9399" s="58" t="inlineStr">
        <is>
          <t>RT20250824-09398</t>
        </is>
      </c>
      <c r="B9399" s="59" t="inlineStr">
        <is>
          <t>2025-08-24</t>
        </is>
      </c>
      <c r="C9399" s="60" t="inlineStr">
        <is>
          <t>Orion Kid Max-640</t>
        </is>
      </c>
      <c r="D9399" s="58" t="inlineStr">
        <is>
          <t>Apparel</t>
        </is>
      </c>
      <c r="E9399" s="58" t="inlineStr">
        <is>
          <t>East</t>
        </is>
      </c>
      <c r="F9399" s="61" t="n">
        <v>2</v>
      </c>
      <c r="G9399" s="62" t="n">
        <v>119.7</v>
      </c>
      <c r="H9399" s="63" t="n">
        <v>0.125</v>
      </c>
      <c r="I9399" s="62" t="n">
        <v>71.56</v>
      </c>
      <c r="J9399" s="58" t="inlineStr">
        <is>
          <t>Store</t>
        </is>
      </c>
      <c r="K9399" s="62">
        <f>F9399*(G9399-H9399)</f>
        <v/>
      </c>
      <c r="L9399" s="62">
        <f>K9399-(F9399*I9399)</f>
        <v/>
      </c>
      <c r="M9399" s="64">
        <f>L9399/K9399</f>
        <v/>
      </c>
    </row>
    <row r="9400">
      <c r="A9400" s="58" t="inlineStr">
        <is>
          <t>RT20250824-09399</t>
        </is>
      </c>
      <c r="B9400" s="59" t="inlineStr">
        <is>
          <t>2025-08-24</t>
        </is>
      </c>
      <c r="C9400" s="60" t="inlineStr">
        <is>
          <t>Falcon Skincare X-334</t>
        </is>
      </c>
      <c r="D9400" s="58" t="inlineStr">
        <is>
          <t>Beauty</t>
        </is>
      </c>
      <c r="E9400" s="58" t="inlineStr">
        <is>
          <t>North</t>
        </is>
      </c>
      <c r="F9400" s="61" t="n">
        <v>2</v>
      </c>
      <c r="G9400" s="62" t="n">
        <v>98.31</v>
      </c>
      <c r="H9400" s="63" t="n">
        <v>0.153</v>
      </c>
      <c r="I9400" s="62" t="n">
        <v>63.09</v>
      </c>
      <c r="J9400" s="58" t="inlineStr">
        <is>
          <t>Online</t>
        </is>
      </c>
      <c r="K9400" s="62">
        <f>F9400*(G9400-H9400)</f>
        <v/>
      </c>
      <c r="L9400" s="62">
        <f>K9400-(F9400*I9400)</f>
        <v/>
      </c>
      <c r="M9400" s="64">
        <f>L9400/K9400</f>
        <v/>
      </c>
    </row>
    <row r="9401">
      <c r="A9401" s="58" t="inlineStr">
        <is>
          <t>RT20250824-09400</t>
        </is>
      </c>
      <c r="B9401" s="59" t="inlineStr">
        <is>
          <t>2025-08-24</t>
        </is>
      </c>
      <c r="C9401" s="60" t="inlineStr">
        <is>
          <t>Falcon Wearable X-334</t>
        </is>
      </c>
      <c r="D9401" s="58" t="inlineStr">
        <is>
          <t>Electronics</t>
        </is>
      </c>
      <c r="E9401" s="58" t="inlineStr">
        <is>
          <t>South</t>
        </is>
      </c>
      <c r="F9401" s="61" t="n">
        <v>2</v>
      </c>
      <c r="G9401" s="62" t="n">
        <v>2202.87</v>
      </c>
      <c r="H9401" s="63" t="n">
        <v>0.148</v>
      </c>
      <c r="I9401" s="62" t="n">
        <v>1489.46</v>
      </c>
      <c r="J9401" s="58" t="inlineStr">
        <is>
          <t>Store</t>
        </is>
      </c>
      <c r="K9401" s="62">
        <f>F9401*(G9401-H9401)</f>
        <v/>
      </c>
      <c r="L9401" s="62">
        <f>K9401-(F9401*I9401)</f>
        <v/>
      </c>
      <c r="M9401" s="64">
        <f>L9401/K9401</f>
        <v/>
      </c>
    </row>
    <row r="9402">
      <c r="A9402" s="58" t="inlineStr">
        <is>
          <t>RT20250824-09401</t>
        </is>
      </c>
      <c r="B9402" s="59" t="inlineStr">
        <is>
          <t>2025-08-24</t>
        </is>
      </c>
      <c r="C9402" s="60" t="inlineStr">
        <is>
          <t>Nimbus Headphone X-854</t>
        </is>
      </c>
      <c r="D9402" s="58" t="inlineStr">
        <is>
          <t>Electronics</t>
        </is>
      </c>
      <c r="E9402" s="58" t="inlineStr">
        <is>
          <t>South</t>
        </is>
      </c>
      <c r="F9402" s="61" t="n">
        <v>1</v>
      </c>
      <c r="G9402" s="62" t="n">
        <v>1404.6</v>
      </c>
      <c r="H9402" s="63" t="n">
        <v>0.181</v>
      </c>
      <c r="I9402" s="62" t="n">
        <v>1116.86</v>
      </c>
      <c r="J9402" s="58" t="inlineStr">
        <is>
          <t>Online</t>
        </is>
      </c>
      <c r="K9402" s="62">
        <f>F9402*(G9402-H9402)</f>
        <v/>
      </c>
      <c r="L9402" s="62">
        <f>K9402-(F9402*I9402)</f>
        <v/>
      </c>
      <c r="M9402" s="64">
        <f>L9402/K9402</f>
        <v/>
      </c>
    </row>
    <row r="9403">
      <c r="A9403" s="58" t="inlineStr">
        <is>
          <t>RT20250824-09402</t>
        </is>
      </c>
      <c r="B9403" s="59" t="inlineStr">
        <is>
          <t>2025-08-24</t>
        </is>
      </c>
      <c r="C9403" s="60" t="inlineStr">
        <is>
          <t>Polar Women Max-927</t>
        </is>
      </c>
      <c r="D9403" s="58" t="inlineStr">
        <is>
          <t>Apparel</t>
        </is>
      </c>
      <c r="E9403" s="58" t="inlineStr">
        <is>
          <t>South</t>
        </is>
      </c>
      <c r="F9403" s="61" t="n">
        <v>1</v>
      </c>
      <c r="G9403" s="62" t="n">
        <v>123.05</v>
      </c>
      <c r="H9403" s="63" t="n">
        <v>0.127</v>
      </c>
      <c r="I9403" s="62" t="n">
        <v>64.65000000000001</v>
      </c>
      <c r="J9403" s="58" t="inlineStr">
        <is>
          <t>Store</t>
        </is>
      </c>
      <c r="K9403" s="62">
        <f>F9403*(G9403-H9403)</f>
        <v/>
      </c>
      <c r="L9403" s="62">
        <f>K9403-(F9403*I9403)</f>
        <v/>
      </c>
      <c r="M9403" s="64">
        <f>L9403/K9403</f>
        <v/>
      </c>
    </row>
    <row r="9404">
      <c r="A9404" s="58" t="inlineStr">
        <is>
          <t>RT20250824-09403</t>
        </is>
      </c>
      <c r="B9404" s="59" t="inlineStr">
        <is>
          <t>2025-08-24</t>
        </is>
      </c>
      <c r="C9404" s="60" t="inlineStr">
        <is>
          <t>Orion Storage Plus-961</t>
        </is>
      </c>
      <c r="D9404" s="58" t="inlineStr">
        <is>
          <t>Office</t>
        </is>
      </c>
      <c r="E9404" s="58" t="inlineStr">
        <is>
          <t>South</t>
        </is>
      </c>
      <c r="F9404" s="61" t="n">
        <v>3</v>
      </c>
      <c r="G9404" s="62" t="n">
        <v>496.58</v>
      </c>
      <c r="H9404" s="63" t="n">
        <v>0.162</v>
      </c>
      <c r="I9404" s="62" t="n">
        <v>361.58</v>
      </c>
      <c r="J9404" s="58" t="inlineStr">
        <is>
          <t>Store</t>
        </is>
      </c>
      <c r="K9404" s="62">
        <f>F9404*(G9404-H9404)</f>
        <v/>
      </c>
      <c r="L9404" s="62">
        <f>K9404-(F9404*I9404)</f>
        <v/>
      </c>
      <c r="M9404" s="64">
        <f>L9404/K9404</f>
        <v/>
      </c>
    </row>
    <row r="9405">
      <c r="A9405" s="58" t="inlineStr">
        <is>
          <t>RT20250824-09404</t>
        </is>
      </c>
      <c r="B9405" s="59" t="inlineStr">
        <is>
          <t>2025-08-24</t>
        </is>
      </c>
      <c r="C9405" s="60" t="inlineStr">
        <is>
          <t>Falcon Haircare Pro-980</t>
        </is>
      </c>
      <c r="D9405" s="58" t="inlineStr">
        <is>
          <t>Beauty</t>
        </is>
      </c>
      <c r="E9405" s="58" t="inlineStr">
        <is>
          <t>South</t>
        </is>
      </c>
      <c r="F9405" s="61" t="n">
        <v>2</v>
      </c>
      <c r="G9405" s="62" t="n">
        <v>93.02</v>
      </c>
      <c r="H9405" s="63" t="n">
        <v>0.166</v>
      </c>
      <c r="I9405" s="62" t="n">
        <v>56.84</v>
      </c>
      <c r="J9405" s="58" t="inlineStr">
        <is>
          <t>Online</t>
        </is>
      </c>
      <c r="K9405" s="62">
        <f>F9405*(G9405-H9405)</f>
        <v/>
      </c>
      <c r="L9405" s="62">
        <f>K9405-(F9405*I9405)</f>
        <v/>
      </c>
      <c r="M9405" s="64">
        <f>L9405/K9405</f>
        <v/>
      </c>
    </row>
    <row r="9406">
      <c r="A9406" s="58" t="inlineStr">
        <is>
          <t>RT20250824-09405</t>
        </is>
      </c>
      <c r="B9406" s="59" t="inlineStr">
        <is>
          <t>2025-08-24</t>
        </is>
      </c>
      <c r="C9406" s="60" t="inlineStr">
        <is>
          <t>Vertex Appliance S-296</t>
        </is>
      </c>
      <c r="D9406" s="58" t="inlineStr">
        <is>
          <t>Home</t>
        </is>
      </c>
      <c r="E9406" s="58" t="inlineStr">
        <is>
          <t>East</t>
        </is>
      </c>
      <c r="F9406" s="61" t="n">
        <v>3</v>
      </c>
      <c r="G9406" s="62" t="n">
        <v>529.2</v>
      </c>
      <c r="H9406" s="63" t="n">
        <v>0.063</v>
      </c>
      <c r="I9406" s="62" t="n">
        <v>351.52</v>
      </c>
      <c r="J9406" s="58" t="inlineStr">
        <is>
          <t>Online</t>
        </is>
      </c>
      <c r="K9406" s="62">
        <f>F9406*(G9406-H9406)</f>
        <v/>
      </c>
      <c r="L9406" s="62">
        <f>K9406-(F9406*I9406)</f>
        <v/>
      </c>
      <c r="M9406" s="64">
        <f>L9406/K9406</f>
        <v/>
      </c>
    </row>
    <row r="9407">
      <c r="A9407" s="58" t="inlineStr">
        <is>
          <t>RT20250824-09406</t>
        </is>
      </c>
      <c r="B9407" s="59" t="inlineStr">
        <is>
          <t>2025-08-24</t>
        </is>
      </c>
      <c r="C9407" s="60" t="inlineStr">
        <is>
          <t>Vertex Furniture S-652</t>
        </is>
      </c>
      <c r="D9407" s="58" t="inlineStr">
        <is>
          <t>Office</t>
        </is>
      </c>
      <c r="E9407" s="58" t="inlineStr">
        <is>
          <t>West</t>
        </is>
      </c>
      <c r="F9407" s="61" t="n">
        <v>2</v>
      </c>
      <c r="G9407" s="62" t="n">
        <v>359.56</v>
      </c>
      <c r="H9407" s="63" t="n">
        <v>0.156</v>
      </c>
      <c r="I9407" s="62" t="n">
        <v>261.51</v>
      </c>
      <c r="J9407" s="58" t="inlineStr">
        <is>
          <t>Phone</t>
        </is>
      </c>
      <c r="K9407" s="62">
        <f>F9407*(G9407-H9407)</f>
        <v/>
      </c>
      <c r="L9407" s="62">
        <f>K9407-(F9407*I9407)</f>
        <v/>
      </c>
      <c r="M9407" s="64">
        <f>L9407/K9407</f>
        <v/>
      </c>
    </row>
    <row r="9408">
      <c r="A9408" s="58" t="inlineStr">
        <is>
          <t>RT20250824-09407</t>
        </is>
      </c>
      <c r="B9408" s="59" t="inlineStr">
        <is>
          <t>2025-08-24</t>
        </is>
      </c>
      <c r="C9408" s="60" t="inlineStr">
        <is>
          <t>Polar Wearable X-119</t>
        </is>
      </c>
      <c r="D9408" s="58" t="inlineStr">
        <is>
          <t>Electronics</t>
        </is>
      </c>
      <c r="E9408" s="58" t="inlineStr">
        <is>
          <t>Central</t>
        </is>
      </c>
      <c r="F9408" s="61" t="n">
        <v>2</v>
      </c>
      <c r="G9408" s="62" t="n">
        <v>1755.6</v>
      </c>
      <c r="H9408" s="63" t="n">
        <v>0.178</v>
      </c>
      <c r="I9408" s="62" t="n">
        <v>1298.84</v>
      </c>
      <c r="J9408" s="58" t="inlineStr">
        <is>
          <t>Online</t>
        </is>
      </c>
      <c r="K9408" s="62">
        <f>F9408*(G9408-H9408)</f>
        <v/>
      </c>
      <c r="L9408" s="62">
        <f>K9408-(F9408*I9408)</f>
        <v/>
      </c>
      <c r="M9408" s="64">
        <f>L9408/K9408</f>
        <v/>
      </c>
    </row>
    <row r="9409">
      <c r="A9409" s="58" t="inlineStr">
        <is>
          <t>RT20250824-09408</t>
        </is>
      </c>
      <c r="B9409" s="59" t="inlineStr">
        <is>
          <t>2025-08-24</t>
        </is>
      </c>
      <c r="C9409" s="60" t="inlineStr">
        <is>
          <t>Aurora Bedding Plus-187</t>
        </is>
      </c>
      <c r="D9409" s="58" t="inlineStr">
        <is>
          <t>Home</t>
        </is>
      </c>
      <c r="E9409" s="58" t="inlineStr">
        <is>
          <t>Central</t>
        </is>
      </c>
      <c r="F9409" s="61" t="n">
        <v>2</v>
      </c>
      <c r="G9409" s="62" t="n">
        <v>299.78</v>
      </c>
      <c r="H9409" s="63" t="n">
        <v>0.103</v>
      </c>
      <c r="I9409" s="62" t="n">
        <v>215.72</v>
      </c>
      <c r="J9409" s="58" t="inlineStr">
        <is>
          <t>Online</t>
        </is>
      </c>
      <c r="K9409" s="62">
        <f>F9409*(G9409-H9409)</f>
        <v/>
      </c>
      <c r="L9409" s="62">
        <f>K9409-(F9409*I9409)</f>
        <v/>
      </c>
      <c r="M9409" s="64">
        <f>L9409/K9409</f>
        <v/>
      </c>
    </row>
    <row r="9410">
      <c r="A9410" s="58" t="inlineStr">
        <is>
          <t>RT20250824-09409</t>
        </is>
      </c>
      <c r="B9410" s="59" t="inlineStr">
        <is>
          <t>2025-08-24</t>
        </is>
      </c>
      <c r="C9410" s="60" t="inlineStr">
        <is>
          <t>Aurora Smartphone Plus-125</t>
        </is>
      </c>
      <c r="D9410" s="58" t="inlineStr">
        <is>
          <t>Electronics</t>
        </is>
      </c>
      <c r="E9410" s="58" t="inlineStr">
        <is>
          <t>West</t>
        </is>
      </c>
      <c r="F9410" s="61" t="n">
        <v>1</v>
      </c>
      <c r="G9410" s="62" t="n">
        <v>1544.19</v>
      </c>
      <c r="H9410" s="63" t="n">
        <v>0.137</v>
      </c>
      <c r="I9410" s="62" t="n">
        <v>1230.67</v>
      </c>
      <c r="J9410" s="58" t="inlineStr">
        <is>
          <t>Online</t>
        </is>
      </c>
      <c r="K9410" s="62">
        <f>F9410*(G9410-H9410)</f>
        <v/>
      </c>
      <c r="L9410" s="62">
        <f>K9410-(F9410*I9410)</f>
        <v/>
      </c>
      <c r="M9410" s="64">
        <f>L9410/K9410</f>
        <v/>
      </c>
    </row>
    <row r="9411">
      <c r="A9411" s="58" t="inlineStr">
        <is>
          <t>RT20250824-09410</t>
        </is>
      </c>
      <c r="B9411" s="59" t="inlineStr">
        <is>
          <t>2025-08-24</t>
        </is>
      </c>
      <c r="C9411" s="60" t="inlineStr">
        <is>
          <t>Orion Snack X-322</t>
        </is>
      </c>
      <c r="D9411" s="58" t="inlineStr">
        <is>
          <t>Grocery</t>
        </is>
      </c>
      <c r="E9411" s="58" t="inlineStr">
        <is>
          <t>East</t>
        </is>
      </c>
      <c r="F9411" s="61" t="n">
        <v>2</v>
      </c>
      <c r="G9411" s="62" t="n">
        <v>13.62</v>
      </c>
      <c r="H9411" s="63" t="n">
        <v>0.143</v>
      </c>
      <c r="I9411" s="62" t="n">
        <v>9.98</v>
      </c>
      <c r="J9411" s="58" t="inlineStr">
        <is>
          <t>Store</t>
        </is>
      </c>
      <c r="K9411" s="62">
        <f>F9411*(G9411-H9411)</f>
        <v/>
      </c>
      <c r="L9411" s="62">
        <f>K9411-(F9411*I9411)</f>
        <v/>
      </c>
      <c r="M9411" s="64">
        <f>L9411/K9411</f>
        <v/>
      </c>
    </row>
    <row r="9412">
      <c r="A9412" s="58" t="inlineStr">
        <is>
          <t>RT20250824-09411</t>
        </is>
      </c>
      <c r="B9412" s="59" t="inlineStr">
        <is>
          <t>2025-08-24</t>
        </is>
      </c>
      <c r="C9412" s="60" t="inlineStr">
        <is>
          <t>Vertex Pantry Pro-165</t>
        </is>
      </c>
      <c r="D9412" s="58" t="inlineStr">
        <is>
          <t>Grocery</t>
        </is>
      </c>
      <c r="E9412" s="58" t="inlineStr">
        <is>
          <t>East</t>
        </is>
      </c>
      <c r="F9412" s="61" t="n">
        <v>1</v>
      </c>
      <c r="G9412" s="62" t="n">
        <v>16.3</v>
      </c>
      <c r="H9412" s="63" t="n">
        <v>0.158</v>
      </c>
      <c r="I9412" s="62" t="n">
        <v>11.42</v>
      </c>
      <c r="J9412" s="58" t="inlineStr">
        <is>
          <t>Phone</t>
        </is>
      </c>
      <c r="K9412" s="62">
        <f>F9412*(G9412-H9412)</f>
        <v/>
      </c>
      <c r="L9412" s="62">
        <f>K9412-(F9412*I9412)</f>
        <v/>
      </c>
      <c r="M9412" s="64">
        <f>L9412/K9412</f>
        <v/>
      </c>
    </row>
    <row r="9413">
      <c r="A9413" s="58" t="inlineStr">
        <is>
          <t>RT20250824-09412</t>
        </is>
      </c>
      <c r="B9413" s="59" t="inlineStr">
        <is>
          <t>2025-08-24</t>
        </is>
      </c>
      <c r="C9413" s="60" t="inlineStr">
        <is>
          <t>Falcon Haircare Pro-980</t>
        </is>
      </c>
      <c r="D9413" s="58" t="inlineStr">
        <is>
          <t>Beauty</t>
        </is>
      </c>
      <c r="E9413" s="58" t="inlineStr">
        <is>
          <t>East</t>
        </is>
      </c>
      <c r="F9413" s="61" t="n">
        <v>1</v>
      </c>
      <c r="G9413" s="62" t="n">
        <v>90.27</v>
      </c>
      <c r="H9413" s="63" t="n">
        <v>0.171</v>
      </c>
      <c r="I9413" s="62" t="n">
        <v>55.37</v>
      </c>
      <c r="J9413" s="58" t="inlineStr">
        <is>
          <t>Store</t>
        </is>
      </c>
      <c r="K9413" s="62">
        <f>F9413*(G9413-H9413)</f>
        <v/>
      </c>
      <c r="L9413" s="62">
        <f>K9413-(F9413*I9413)</f>
        <v/>
      </c>
      <c r="M9413" s="64">
        <f>L9413/K9413</f>
        <v/>
      </c>
    </row>
    <row r="9414">
      <c r="A9414" s="58" t="inlineStr">
        <is>
          <t>RT20250824-09413</t>
        </is>
      </c>
      <c r="B9414" s="59" t="inlineStr">
        <is>
          <t>2025-08-24</t>
        </is>
      </c>
      <c r="C9414" s="60" t="inlineStr">
        <is>
          <t>Orion Supplie S-612</t>
        </is>
      </c>
      <c r="D9414" s="58" t="inlineStr">
        <is>
          <t>Office</t>
        </is>
      </c>
      <c r="E9414" s="58" t="inlineStr">
        <is>
          <t>Central</t>
        </is>
      </c>
      <c r="F9414" s="61" t="n">
        <v>3</v>
      </c>
      <c r="G9414" s="62" t="n">
        <v>498.26</v>
      </c>
      <c r="H9414" s="63" t="n">
        <v>0.136</v>
      </c>
      <c r="I9414" s="62" t="n">
        <v>339.87</v>
      </c>
      <c r="J9414" s="58" t="inlineStr">
        <is>
          <t>Store</t>
        </is>
      </c>
      <c r="K9414" s="62">
        <f>F9414*(G9414-H9414)</f>
        <v/>
      </c>
      <c r="L9414" s="62">
        <f>K9414-(F9414*I9414)</f>
        <v/>
      </c>
      <c r="M9414" s="64">
        <f>L9414/K9414</f>
        <v/>
      </c>
    </row>
    <row r="9415">
      <c r="A9415" s="58" t="inlineStr">
        <is>
          <t>RT20250824-09414</t>
        </is>
      </c>
      <c r="B9415" s="59" t="inlineStr">
        <is>
          <t>2025-08-24</t>
        </is>
      </c>
      <c r="C9415" s="60" t="inlineStr">
        <is>
          <t>Polar Men Pro-246</t>
        </is>
      </c>
      <c r="D9415" s="58" t="inlineStr">
        <is>
          <t>Apparel</t>
        </is>
      </c>
      <c r="E9415" s="58" t="inlineStr">
        <is>
          <t>South</t>
        </is>
      </c>
      <c r="F9415" s="61" t="n">
        <v>1</v>
      </c>
      <c r="G9415" s="62" t="n">
        <v>135.55</v>
      </c>
      <c r="H9415" s="63" t="n">
        <v>0.126</v>
      </c>
      <c r="I9415" s="62" t="n">
        <v>74.45</v>
      </c>
      <c r="J9415" s="58" t="inlineStr">
        <is>
          <t>Online</t>
        </is>
      </c>
      <c r="K9415" s="62">
        <f>F9415*(G9415-H9415)</f>
        <v/>
      </c>
      <c r="L9415" s="62">
        <f>K9415-(F9415*I9415)</f>
        <v/>
      </c>
      <c r="M9415" s="64">
        <f>L9415/K9415</f>
        <v/>
      </c>
    </row>
    <row r="9416">
      <c r="A9416" s="58" t="inlineStr">
        <is>
          <t>RT20250824-09415</t>
        </is>
      </c>
      <c r="B9416" s="59" t="inlineStr">
        <is>
          <t>2025-08-24</t>
        </is>
      </c>
      <c r="C9416" s="60" t="inlineStr">
        <is>
          <t>Metro Pantry X-710</t>
        </is>
      </c>
      <c r="D9416" s="58" t="inlineStr">
        <is>
          <t>Grocery</t>
        </is>
      </c>
      <c r="E9416" s="58" t="inlineStr">
        <is>
          <t>West</t>
        </is>
      </c>
      <c r="F9416" s="61" t="n">
        <v>8</v>
      </c>
      <c r="G9416" s="62" t="n">
        <v>6.26</v>
      </c>
      <c r="H9416" s="63" t="n">
        <v>0.164</v>
      </c>
      <c r="I9416" s="62" t="n">
        <v>4.24</v>
      </c>
      <c r="J9416" s="58" t="inlineStr">
        <is>
          <t>Store</t>
        </is>
      </c>
      <c r="K9416" s="62">
        <f>F9416*(G9416-H9416)</f>
        <v/>
      </c>
      <c r="L9416" s="62">
        <f>K9416-(F9416*I9416)</f>
        <v/>
      </c>
      <c r="M9416" s="64">
        <f>L9416/K9416</f>
        <v/>
      </c>
    </row>
    <row r="9417">
      <c r="A9417" s="58" t="inlineStr">
        <is>
          <t>RT20250824-09416</t>
        </is>
      </c>
      <c r="B9417" s="59" t="inlineStr">
        <is>
          <t>2025-08-24</t>
        </is>
      </c>
      <c r="C9417" s="60" t="inlineStr">
        <is>
          <t>Orion Snack X-322</t>
        </is>
      </c>
      <c r="D9417" s="58" t="inlineStr">
        <is>
          <t>Grocery</t>
        </is>
      </c>
      <c r="E9417" s="58" t="inlineStr">
        <is>
          <t>North</t>
        </is>
      </c>
      <c r="F9417" s="61" t="n">
        <v>1</v>
      </c>
      <c r="G9417" s="62" t="n">
        <v>14.65</v>
      </c>
      <c r="H9417" s="63" t="n">
        <v>0.109</v>
      </c>
      <c r="I9417" s="62" t="n">
        <v>10.28</v>
      </c>
      <c r="J9417" s="58" t="inlineStr">
        <is>
          <t>Online</t>
        </is>
      </c>
      <c r="K9417" s="62">
        <f>F9417*(G9417-H9417)</f>
        <v/>
      </c>
      <c r="L9417" s="62">
        <f>K9417-(F9417*I9417)</f>
        <v/>
      </c>
      <c r="M9417" s="64">
        <f>L9417/K9417</f>
        <v/>
      </c>
    </row>
    <row r="9418">
      <c r="A9418" s="58" t="inlineStr">
        <is>
          <t>RT20250824-09417</t>
        </is>
      </c>
      <c r="B9418" s="59" t="inlineStr">
        <is>
          <t>2025-08-24</t>
        </is>
      </c>
      <c r="C9418" s="60" t="inlineStr">
        <is>
          <t>Orion Laptop S-350</t>
        </is>
      </c>
      <c r="D9418" s="58" t="inlineStr">
        <is>
          <t>Electronics</t>
        </is>
      </c>
      <c r="E9418" s="58" t="inlineStr">
        <is>
          <t>East</t>
        </is>
      </c>
      <c r="F9418" s="61" t="n">
        <v>1</v>
      </c>
      <c r="G9418" s="62" t="n">
        <v>1356.49</v>
      </c>
      <c r="H9418" s="63" t="n">
        <v>0.126</v>
      </c>
      <c r="I9418" s="62" t="n">
        <v>1090.7</v>
      </c>
      <c r="J9418" s="58" t="inlineStr">
        <is>
          <t>Online</t>
        </is>
      </c>
      <c r="K9418" s="62">
        <f>F9418*(G9418-H9418)</f>
        <v/>
      </c>
      <c r="L9418" s="62">
        <f>K9418-(F9418*I9418)</f>
        <v/>
      </c>
      <c r="M9418" s="64">
        <f>L9418/K9418</f>
        <v/>
      </c>
    </row>
    <row r="9419">
      <c r="A9419" s="58" t="inlineStr">
        <is>
          <t>RT20250824-09418</t>
        </is>
      </c>
      <c r="B9419" s="59" t="inlineStr">
        <is>
          <t>2025-08-24</t>
        </is>
      </c>
      <c r="C9419" s="60" t="inlineStr">
        <is>
          <t>Solace Makeup Pro-214</t>
        </is>
      </c>
      <c r="D9419" s="58" t="inlineStr">
        <is>
          <t>Beauty</t>
        </is>
      </c>
      <c r="E9419" s="58" t="inlineStr">
        <is>
          <t>West</t>
        </is>
      </c>
      <c r="F9419" s="61" t="n">
        <v>3</v>
      </c>
      <c r="G9419" s="62" t="n">
        <v>99.89</v>
      </c>
      <c r="H9419" s="63" t="n">
        <v>0.13</v>
      </c>
      <c r="I9419" s="62" t="n">
        <v>69.09</v>
      </c>
      <c r="J9419" s="58" t="inlineStr">
        <is>
          <t>Store</t>
        </is>
      </c>
      <c r="K9419" s="62">
        <f>F9419*(G9419-H9419)</f>
        <v/>
      </c>
      <c r="L9419" s="62">
        <f>K9419-(F9419*I9419)</f>
        <v/>
      </c>
      <c r="M9419" s="64">
        <f>L9419/K9419</f>
        <v/>
      </c>
    </row>
    <row r="9420">
      <c r="A9420" s="58" t="inlineStr">
        <is>
          <t>RT20250824-09419</t>
        </is>
      </c>
      <c r="B9420" s="59" t="inlineStr">
        <is>
          <t>2025-08-24</t>
        </is>
      </c>
      <c r="C9420" s="60" t="inlineStr">
        <is>
          <t>Solace Bedding Plus-317</t>
        </is>
      </c>
      <c r="D9420" s="58" t="inlineStr">
        <is>
          <t>Home</t>
        </is>
      </c>
      <c r="E9420" s="58" t="inlineStr">
        <is>
          <t>North</t>
        </is>
      </c>
      <c r="F9420" s="61" t="n">
        <v>3</v>
      </c>
      <c r="G9420" s="62" t="n">
        <v>543.9</v>
      </c>
      <c r="H9420" s="63" t="n">
        <v>0.171</v>
      </c>
      <c r="I9420" s="62" t="n">
        <v>377.98</v>
      </c>
      <c r="J9420" s="58" t="inlineStr">
        <is>
          <t>Phone</t>
        </is>
      </c>
      <c r="K9420" s="62">
        <f>F9420*(G9420-H9420)</f>
        <v/>
      </c>
      <c r="L9420" s="62">
        <f>K9420-(F9420*I9420)</f>
        <v/>
      </c>
      <c r="M9420" s="64">
        <f>L9420/K9420</f>
        <v/>
      </c>
    </row>
    <row r="9421">
      <c r="A9421" s="58" t="inlineStr">
        <is>
          <t>RT20250824-09420</t>
        </is>
      </c>
      <c r="B9421" s="59" t="inlineStr">
        <is>
          <t>2025-08-24</t>
        </is>
      </c>
      <c r="C9421" s="60" t="inlineStr">
        <is>
          <t>Vertex Smartphone Lite-267</t>
        </is>
      </c>
      <c r="D9421" s="58" t="inlineStr">
        <is>
          <t>Electronics</t>
        </is>
      </c>
      <c r="E9421" s="58" t="inlineStr">
        <is>
          <t>West</t>
        </is>
      </c>
      <c r="F9421" s="61" t="n">
        <v>1</v>
      </c>
      <c r="G9421" s="62" t="n">
        <v>1295.22</v>
      </c>
      <c r="H9421" s="63" t="n">
        <v>0.176</v>
      </c>
      <c r="I9421" s="62" t="n">
        <v>990.8</v>
      </c>
      <c r="J9421" s="58" t="inlineStr">
        <is>
          <t>Store</t>
        </is>
      </c>
      <c r="K9421" s="62">
        <f>F9421*(G9421-H9421)</f>
        <v/>
      </c>
      <c r="L9421" s="62">
        <f>K9421-(F9421*I9421)</f>
        <v/>
      </c>
      <c r="M9421" s="64">
        <f>L9421/K9421</f>
        <v/>
      </c>
    </row>
    <row r="9422">
      <c r="A9422" s="58" t="inlineStr">
        <is>
          <t>RT20250825-09421</t>
        </is>
      </c>
      <c r="B9422" s="59" t="inlineStr">
        <is>
          <t>2025-08-25</t>
        </is>
      </c>
      <c r="C9422" s="60" t="inlineStr">
        <is>
          <t>Solace Team Sport Max-548</t>
        </is>
      </c>
      <c r="D9422" s="58" t="inlineStr">
        <is>
          <t>Sports</t>
        </is>
      </c>
      <c r="E9422" s="58" t="inlineStr">
        <is>
          <t>East</t>
        </is>
      </c>
      <c r="F9422" s="61" t="n">
        <v>2</v>
      </c>
      <c r="G9422" s="62" t="n">
        <v>740.1900000000001</v>
      </c>
      <c r="H9422" s="63" t="n">
        <v>0.097</v>
      </c>
      <c r="I9422" s="62" t="n">
        <v>491.76</v>
      </c>
      <c r="J9422" s="58" t="inlineStr">
        <is>
          <t>Online</t>
        </is>
      </c>
      <c r="K9422" s="62">
        <f>F9422*(G9422-H9422)</f>
        <v/>
      </c>
      <c r="L9422" s="62">
        <f>K9422-(F9422*I9422)</f>
        <v/>
      </c>
      <c r="M9422" s="64">
        <f>L9422/K9422</f>
        <v/>
      </c>
    </row>
    <row r="9423">
      <c r="A9423" s="58" t="inlineStr">
        <is>
          <t>RT20250825-09422</t>
        </is>
      </c>
      <c r="B9423" s="59" t="inlineStr">
        <is>
          <t>2025-08-25</t>
        </is>
      </c>
      <c r="C9423" s="60" t="inlineStr">
        <is>
          <t>Aurora Printer Plus-723</t>
        </is>
      </c>
      <c r="D9423" s="58" t="inlineStr">
        <is>
          <t>Office</t>
        </is>
      </c>
      <c r="E9423" s="58" t="inlineStr">
        <is>
          <t>North</t>
        </is>
      </c>
      <c r="F9423" s="61" t="n">
        <v>3</v>
      </c>
      <c r="G9423" s="62" t="n">
        <v>279.24</v>
      </c>
      <c r="H9423" s="63" t="n">
        <v>0.142</v>
      </c>
      <c r="I9423" s="62" t="n">
        <v>189.1</v>
      </c>
      <c r="J9423" s="58" t="inlineStr">
        <is>
          <t>Store</t>
        </is>
      </c>
      <c r="K9423" s="62">
        <f>F9423*(G9423-H9423)</f>
        <v/>
      </c>
      <c r="L9423" s="62">
        <f>K9423-(F9423*I9423)</f>
        <v/>
      </c>
      <c r="M9423" s="64">
        <f>L9423/K9423</f>
        <v/>
      </c>
    </row>
    <row r="9424">
      <c r="A9424" s="58" t="inlineStr">
        <is>
          <t>RT20250825-09423</t>
        </is>
      </c>
      <c r="B9424" s="59" t="inlineStr">
        <is>
          <t>2025-08-25</t>
        </is>
      </c>
      <c r="C9424" s="60" t="inlineStr">
        <is>
          <t>Aurora Team Sport Plus-256</t>
        </is>
      </c>
      <c r="D9424" s="58" t="inlineStr">
        <is>
          <t>Sports</t>
        </is>
      </c>
      <c r="E9424" s="58" t="inlineStr">
        <is>
          <t>East</t>
        </is>
      </c>
      <c r="F9424" s="61" t="n">
        <v>2</v>
      </c>
      <c r="G9424" s="62" t="n">
        <v>694.03</v>
      </c>
      <c r="H9424" s="63" t="n">
        <v>0.092</v>
      </c>
      <c r="I9424" s="62" t="n">
        <v>416.07</v>
      </c>
      <c r="J9424" s="58" t="inlineStr">
        <is>
          <t>Online</t>
        </is>
      </c>
      <c r="K9424" s="62">
        <f>F9424*(G9424-H9424)</f>
        <v/>
      </c>
      <c r="L9424" s="62">
        <f>K9424-(F9424*I9424)</f>
        <v/>
      </c>
      <c r="M9424" s="64">
        <f>L9424/K9424</f>
        <v/>
      </c>
    </row>
    <row r="9425">
      <c r="A9425" s="58" t="inlineStr">
        <is>
          <t>RT20250825-09424</t>
        </is>
      </c>
      <c r="B9425" s="59" t="inlineStr">
        <is>
          <t>2025-08-25</t>
        </is>
      </c>
      <c r="C9425" s="60" t="inlineStr">
        <is>
          <t>Orion Supplie S-612</t>
        </is>
      </c>
      <c r="D9425" s="58" t="inlineStr">
        <is>
          <t>Office</t>
        </is>
      </c>
      <c r="E9425" s="58" t="inlineStr">
        <is>
          <t>West</t>
        </is>
      </c>
      <c r="F9425" s="61" t="n">
        <v>2</v>
      </c>
      <c r="G9425" s="62" t="n">
        <v>450.79</v>
      </c>
      <c r="H9425" s="63" t="n">
        <v>0.136</v>
      </c>
      <c r="I9425" s="62" t="n">
        <v>334.61</v>
      </c>
      <c r="J9425" s="58" t="inlineStr">
        <is>
          <t>Online</t>
        </is>
      </c>
      <c r="K9425" s="62">
        <f>F9425*(G9425-H9425)</f>
        <v/>
      </c>
      <c r="L9425" s="62">
        <f>K9425-(F9425*I9425)</f>
        <v/>
      </c>
      <c r="M9425" s="64">
        <f>L9425/K9425</f>
        <v/>
      </c>
    </row>
    <row r="9426">
      <c r="A9426" s="58" t="inlineStr">
        <is>
          <t>RT20250825-09425</t>
        </is>
      </c>
      <c r="B9426" s="59" t="inlineStr">
        <is>
          <t>2025-08-25</t>
        </is>
      </c>
      <c r="C9426" s="60" t="inlineStr">
        <is>
          <t>Metro Outdoor Plus-787</t>
        </is>
      </c>
      <c r="D9426" s="58" t="inlineStr">
        <is>
          <t>Sports</t>
        </is>
      </c>
      <c r="E9426" s="58" t="inlineStr">
        <is>
          <t>Central</t>
        </is>
      </c>
      <c r="F9426" s="61" t="n">
        <v>1</v>
      </c>
      <c r="G9426" s="62" t="n">
        <v>560.22</v>
      </c>
      <c r="H9426" s="63" t="n">
        <v>0.168</v>
      </c>
      <c r="I9426" s="62" t="n">
        <v>357.92</v>
      </c>
      <c r="J9426" s="58" t="inlineStr">
        <is>
          <t>Store</t>
        </is>
      </c>
      <c r="K9426" s="62">
        <f>F9426*(G9426-H9426)</f>
        <v/>
      </c>
      <c r="L9426" s="62">
        <f>K9426-(F9426*I9426)</f>
        <v/>
      </c>
      <c r="M9426" s="64">
        <f>L9426/K9426</f>
        <v/>
      </c>
    </row>
    <row r="9427">
      <c r="A9427" s="58" t="inlineStr">
        <is>
          <t>RT20250825-09426</t>
        </is>
      </c>
      <c r="B9427" s="59" t="inlineStr">
        <is>
          <t>2025-08-25</t>
        </is>
      </c>
      <c r="C9427" s="60" t="inlineStr">
        <is>
          <t>Falcon Accessorie S-195</t>
        </is>
      </c>
      <c r="D9427" s="58" t="inlineStr">
        <is>
          <t>Apparel</t>
        </is>
      </c>
      <c r="E9427" s="58" t="inlineStr">
        <is>
          <t>East</t>
        </is>
      </c>
      <c r="F9427" s="61" t="n">
        <v>4</v>
      </c>
      <c r="G9427" s="62" t="n">
        <v>80.59</v>
      </c>
      <c r="H9427" s="63" t="n">
        <v>0.143</v>
      </c>
      <c r="I9427" s="62" t="n">
        <v>41.42</v>
      </c>
      <c r="J9427" s="58" t="inlineStr">
        <is>
          <t>Store</t>
        </is>
      </c>
      <c r="K9427" s="62">
        <f>F9427*(G9427-H9427)</f>
        <v/>
      </c>
      <c r="L9427" s="62">
        <f>K9427-(F9427*I9427)</f>
        <v/>
      </c>
      <c r="M9427" s="64">
        <f>L9427/K9427</f>
        <v/>
      </c>
    </row>
    <row r="9428">
      <c r="A9428" s="58" t="inlineStr">
        <is>
          <t>RT20250825-09427</t>
        </is>
      </c>
      <c r="B9428" s="59" t="inlineStr">
        <is>
          <t>2025-08-25</t>
        </is>
      </c>
      <c r="C9428" s="60" t="inlineStr">
        <is>
          <t>Vertex Supplie X-513</t>
        </is>
      </c>
      <c r="D9428" s="58" t="inlineStr">
        <is>
          <t>Office</t>
        </is>
      </c>
      <c r="E9428" s="58" t="inlineStr">
        <is>
          <t>North</t>
        </is>
      </c>
      <c r="F9428" s="61" t="n">
        <v>2</v>
      </c>
      <c r="G9428" s="62" t="n">
        <v>379.67</v>
      </c>
      <c r="H9428" s="63" t="n">
        <v>0.136</v>
      </c>
      <c r="I9428" s="62" t="n">
        <v>279.59</v>
      </c>
      <c r="J9428" s="58" t="inlineStr">
        <is>
          <t>Online</t>
        </is>
      </c>
      <c r="K9428" s="62">
        <f>F9428*(G9428-H9428)</f>
        <v/>
      </c>
      <c r="L9428" s="62">
        <f>K9428-(F9428*I9428)</f>
        <v/>
      </c>
      <c r="M9428" s="64">
        <f>L9428/K9428</f>
        <v/>
      </c>
    </row>
    <row r="9429">
      <c r="A9429" s="58" t="inlineStr">
        <is>
          <t>RT20250825-09428</t>
        </is>
      </c>
      <c r="B9429" s="59" t="inlineStr">
        <is>
          <t>2025-08-25</t>
        </is>
      </c>
      <c r="C9429" s="60" t="inlineStr">
        <is>
          <t>Falcon Household Plus-796</t>
        </is>
      </c>
      <c r="D9429" s="58" t="inlineStr">
        <is>
          <t>Grocery</t>
        </is>
      </c>
      <c r="E9429" s="58" t="inlineStr">
        <is>
          <t>East</t>
        </is>
      </c>
      <c r="F9429" s="61" t="n">
        <v>6</v>
      </c>
      <c r="G9429" s="62" t="n">
        <v>23.45</v>
      </c>
      <c r="H9429" s="63" t="n">
        <v>0.159</v>
      </c>
      <c r="I9429" s="62" t="n">
        <v>17.51</v>
      </c>
      <c r="J9429" s="58" t="inlineStr">
        <is>
          <t>Store</t>
        </is>
      </c>
      <c r="K9429" s="62">
        <f>F9429*(G9429-H9429)</f>
        <v/>
      </c>
      <c r="L9429" s="62">
        <f>K9429-(F9429*I9429)</f>
        <v/>
      </c>
      <c r="M9429" s="64">
        <f>L9429/K9429</f>
        <v/>
      </c>
    </row>
    <row r="9430">
      <c r="A9430" s="58" t="inlineStr">
        <is>
          <t>RT20250825-09429</t>
        </is>
      </c>
      <c r="B9430" s="59" t="inlineStr">
        <is>
          <t>2025-08-25</t>
        </is>
      </c>
      <c r="C9430" s="60" t="inlineStr">
        <is>
          <t>Polar Pantry Lite-392</t>
        </is>
      </c>
      <c r="D9430" s="58" t="inlineStr">
        <is>
          <t>Grocery</t>
        </is>
      </c>
      <c r="E9430" s="58" t="inlineStr">
        <is>
          <t>East</t>
        </is>
      </c>
      <c r="F9430" s="61" t="n">
        <v>7</v>
      </c>
      <c r="G9430" s="62" t="n">
        <v>5.27</v>
      </c>
      <c r="H9430" s="63" t="n">
        <v>0.199</v>
      </c>
      <c r="I9430" s="62" t="n">
        <v>4.1</v>
      </c>
      <c r="J9430" s="58" t="inlineStr">
        <is>
          <t>Online</t>
        </is>
      </c>
      <c r="K9430" s="62">
        <f>F9430*(G9430-H9430)</f>
        <v/>
      </c>
      <c r="L9430" s="62">
        <f>K9430-(F9430*I9430)</f>
        <v/>
      </c>
      <c r="M9430" s="64">
        <f>L9430/K9430</f>
        <v/>
      </c>
    </row>
    <row r="9431">
      <c r="A9431" s="58" t="inlineStr">
        <is>
          <t>RT20250825-09430</t>
        </is>
      </c>
      <c r="B9431" s="59" t="inlineStr">
        <is>
          <t>2025-08-25</t>
        </is>
      </c>
      <c r="C9431" s="60" t="inlineStr">
        <is>
          <t>Polar Decor Plus-505</t>
        </is>
      </c>
      <c r="D9431" s="58" t="inlineStr">
        <is>
          <t>Home</t>
        </is>
      </c>
      <c r="E9431" s="58" t="inlineStr">
        <is>
          <t>South</t>
        </is>
      </c>
      <c r="F9431" s="61" t="n">
        <v>3</v>
      </c>
      <c r="G9431" s="62" t="n">
        <v>340.14</v>
      </c>
      <c r="H9431" s="63" t="n">
        <v>0.163</v>
      </c>
      <c r="I9431" s="62" t="n">
        <v>200.23</v>
      </c>
      <c r="J9431" s="58" t="inlineStr">
        <is>
          <t>Store</t>
        </is>
      </c>
      <c r="K9431" s="62">
        <f>F9431*(G9431-H9431)</f>
        <v/>
      </c>
      <c r="L9431" s="62">
        <f>K9431-(F9431*I9431)</f>
        <v/>
      </c>
      <c r="M9431" s="64">
        <f>L9431/K9431</f>
        <v/>
      </c>
    </row>
    <row r="9432">
      <c r="A9432" s="58" t="inlineStr">
        <is>
          <t>RT20250825-09431</t>
        </is>
      </c>
      <c r="B9432" s="59" t="inlineStr">
        <is>
          <t>2025-08-25</t>
        </is>
      </c>
      <c r="C9432" s="60" t="inlineStr">
        <is>
          <t>Metro Accessorie Max-316</t>
        </is>
      </c>
      <c r="D9432" s="58" t="inlineStr">
        <is>
          <t>Apparel</t>
        </is>
      </c>
      <c r="E9432" s="58" t="inlineStr">
        <is>
          <t>South</t>
        </is>
      </c>
      <c r="F9432" s="61" t="n">
        <v>4</v>
      </c>
      <c r="G9432" s="62" t="n">
        <v>183.02</v>
      </c>
      <c r="H9432" s="63" t="n">
        <v>0.156</v>
      </c>
      <c r="I9432" s="62" t="n">
        <v>92.2</v>
      </c>
      <c r="J9432" s="58" t="inlineStr">
        <is>
          <t>Store</t>
        </is>
      </c>
      <c r="K9432" s="62">
        <f>F9432*(G9432-H9432)</f>
        <v/>
      </c>
      <c r="L9432" s="62">
        <f>K9432-(F9432*I9432)</f>
        <v/>
      </c>
      <c r="M9432" s="64">
        <f>L9432/K9432</f>
        <v/>
      </c>
    </row>
    <row r="9433">
      <c r="A9433" s="58" t="inlineStr">
        <is>
          <t>RT20250825-09432</t>
        </is>
      </c>
      <c r="B9433" s="59" t="inlineStr">
        <is>
          <t>2025-08-25</t>
        </is>
      </c>
      <c r="C9433" s="60" t="inlineStr">
        <is>
          <t>Polar Cycling X-649</t>
        </is>
      </c>
      <c r="D9433" s="58" t="inlineStr">
        <is>
          <t>Sports</t>
        </is>
      </c>
      <c r="E9433" s="58" t="inlineStr">
        <is>
          <t>West</t>
        </is>
      </c>
      <c r="F9433" s="61" t="n">
        <v>3</v>
      </c>
      <c r="G9433" s="62" t="n">
        <v>547.28</v>
      </c>
      <c r="H9433" s="63" t="n">
        <v>0.12</v>
      </c>
      <c r="I9433" s="62" t="n">
        <v>362.63</v>
      </c>
      <c r="J9433" s="58" t="inlineStr">
        <is>
          <t>Store</t>
        </is>
      </c>
      <c r="K9433" s="62">
        <f>F9433*(G9433-H9433)</f>
        <v/>
      </c>
      <c r="L9433" s="62">
        <f>K9433-(F9433*I9433)</f>
        <v/>
      </c>
      <c r="M9433" s="64">
        <f>L9433/K9433</f>
        <v/>
      </c>
    </row>
    <row r="9434">
      <c r="A9434" s="58" t="inlineStr">
        <is>
          <t>RT20250825-09433</t>
        </is>
      </c>
      <c r="B9434" s="59" t="inlineStr">
        <is>
          <t>2025-08-25</t>
        </is>
      </c>
      <c r="C9434" s="60" t="inlineStr">
        <is>
          <t>Falcon Haircare Pro-980</t>
        </is>
      </c>
      <c r="D9434" s="58" t="inlineStr">
        <is>
          <t>Beauty</t>
        </is>
      </c>
      <c r="E9434" s="58" t="inlineStr">
        <is>
          <t>East</t>
        </is>
      </c>
      <c r="F9434" s="61" t="n">
        <v>4</v>
      </c>
      <c r="G9434" s="62" t="n">
        <v>94.01000000000001</v>
      </c>
      <c r="H9434" s="63" t="n">
        <v>0.15</v>
      </c>
      <c r="I9434" s="62" t="n">
        <v>57.4</v>
      </c>
      <c r="J9434" s="58" t="inlineStr">
        <is>
          <t>Online</t>
        </is>
      </c>
      <c r="K9434" s="62">
        <f>F9434*(G9434-H9434)</f>
        <v/>
      </c>
      <c r="L9434" s="62">
        <f>K9434-(F9434*I9434)</f>
        <v/>
      </c>
      <c r="M9434" s="64">
        <f>L9434/K9434</f>
        <v/>
      </c>
    </row>
    <row r="9435">
      <c r="A9435" s="58" t="inlineStr">
        <is>
          <t>RT20250825-09434</t>
        </is>
      </c>
      <c r="B9435" s="59" t="inlineStr">
        <is>
          <t>2025-08-25</t>
        </is>
      </c>
      <c r="C9435" s="60" t="inlineStr">
        <is>
          <t>Polar Decor X-935</t>
        </is>
      </c>
      <c r="D9435" s="58" t="inlineStr">
        <is>
          <t>Home</t>
        </is>
      </c>
      <c r="E9435" s="58" t="inlineStr">
        <is>
          <t>North</t>
        </is>
      </c>
      <c r="F9435" s="61" t="n">
        <v>3</v>
      </c>
      <c r="G9435" s="62" t="n">
        <v>325.41</v>
      </c>
      <c r="H9435" s="63" t="n">
        <v>0.172</v>
      </c>
      <c r="I9435" s="62" t="n">
        <v>196.23</v>
      </c>
      <c r="J9435" s="58" t="inlineStr">
        <is>
          <t>Online</t>
        </is>
      </c>
      <c r="K9435" s="62">
        <f>F9435*(G9435-H9435)</f>
        <v/>
      </c>
      <c r="L9435" s="62">
        <f>K9435-(F9435*I9435)</f>
        <v/>
      </c>
      <c r="M9435" s="64">
        <f>L9435/K9435</f>
        <v/>
      </c>
    </row>
    <row r="9436">
      <c r="A9436" s="58" t="inlineStr">
        <is>
          <t>RT20250825-09435</t>
        </is>
      </c>
      <c r="B9436" s="59" t="inlineStr">
        <is>
          <t>2025-08-25</t>
        </is>
      </c>
      <c r="C9436" s="60" t="inlineStr">
        <is>
          <t>Vertex Appliance Max-338</t>
        </is>
      </c>
      <c r="D9436" s="58" t="inlineStr">
        <is>
          <t>Home</t>
        </is>
      </c>
      <c r="E9436" s="58" t="inlineStr">
        <is>
          <t>Central</t>
        </is>
      </c>
      <c r="F9436" s="61" t="n">
        <v>2</v>
      </c>
      <c r="G9436" s="62" t="n">
        <v>406.57</v>
      </c>
      <c r="H9436" s="63" t="n">
        <v>0.168</v>
      </c>
      <c r="I9436" s="62" t="n">
        <v>282.11</v>
      </c>
      <c r="J9436" s="58" t="inlineStr">
        <is>
          <t>Store</t>
        </is>
      </c>
      <c r="K9436" s="62">
        <f>F9436*(G9436-H9436)</f>
        <v/>
      </c>
      <c r="L9436" s="62">
        <f>K9436-(F9436*I9436)</f>
        <v/>
      </c>
      <c r="M9436" s="64">
        <f>L9436/K9436</f>
        <v/>
      </c>
    </row>
    <row r="9437">
      <c r="A9437" s="58" t="inlineStr">
        <is>
          <t>RT20250825-09436</t>
        </is>
      </c>
      <c r="B9437" s="59" t="inlineStr">
        <is>
          <t>2025-08-25</t>
        </is>
      </c>
      <c r="C9437" s="60" t="inlineStr">
        <is>
          <t>Falcon Cycling Pro-499</t>
        </is>
      </c>
      <c r="D9437" s="58" t="inlineStr">
        <is>
          <t>Sports</t>
        </is>
      </c>
      <c r="E9437" s="58" t="inlineStr">
        <is>
          <t>East</t>
        </is>
      </c>
      <c r="F9437" s="61" t="n">
        <v>1</v>
      </c>
      <c r="G9437" s="62" t="n">
        <v>601.38</v>
      </c>
      <c r="H9437" s="63" t="n">
        <v>0.123</v>
      </c>
      <c r="I9437" s="62" t="n">
        <v>400.76</v>
      </c>
      <c r="J9437" s="58" t="inlineStr">
        <is>
          <t>Store</t>
        </is>
      </c>
      <c r="K9437" s="62">
        <f>F9437*(G9437-H9437)</f>
        <v/>
      </c>
      <c r="L9437" s="62">
        <f>K9437-(F9437*I9437)</f>
        <v/>
      </c>
      <c r="M9437" s="64">
        <f>L9437/K9437</f>
        <v/>
      </c>
    </row>
    <row r="9438">
      <c r="A9438" s="58" t="inlineStr">
        <is>
          <t>RT20250825-09437</t>
        </is>
      </c>
      <c r="B9438" s="59" t="inlineStr">
        <is>
          <t>2025-08-25</t>
        </is>
      </c>
      <c r="C9438" s="60" t="inlineStr">
        <is>
          <t>Nimbus Women Plus-352</t>
        </is>
      </c>
      <c r="D9438" s="58" t="inlineStr">
        <is>
          <t>Apparel</t>
        </is>
      </c>
      <c r="E9438" s="58" t="inlineStr">
        <is>
          <t>South</t>
        </is>
      </c>
      <c r="F9438" s="61" t="n">
        <v>3</v>
      </c>
      <c r="G9438" s="62" t="n">
        <v>54.81</v>
      </c>
      <c r="H9438" s="63" t="n">
        <v>0.128</v>
      </c>
      <c r="I9438" s="62" t="n">
        <v>33.58</v>
      </c>
      <c r="J9438" s="58" t="inlineStr">
        <is>
          <t>Online</t>
        </is>
      </c>
      <c r="K9438" s="62">
        <f>F9438*(G9438-H9438)</f>
        <v/>
      </c>
      <c r="L9438" s="62">
        <f>K9438-(F9438*I9438)</f>
        <v/>
      </c>
      <c r="M9438" s="64">
        <f>L9438/K9438</f>
        <v/>
      </c>
    </row>
    <row r="9439">
      <c r="A9439" s="58" t="inlineStr">
        <is>
          <t>RT20250825-09438</t>
        </is>
      </c>
      <c r="B9439" s="59" t="inlineStr">
        <is>
          <t>2025-08-25</t>
        </is>
      </c>
      <c r="C9439" s="60" t="inlineStr">
        <is>
          <t>Metro Printer X-294</t>
        </is>
      </c>
      <c r="D9439" s="58" t="inlineStr">
        <is>
          <t>Office</t>
        </is>
      </c>
      <c r="E9439" s="58" t="inlineStr">
        <is>
          <t>South</t>
        </is>
      </c>
      <c r="F9439" s="61" t="n">
        <v>1</v>
      </c>
      <c r="G9439" s="62" t="n">
        <v>579.61</v>
      </c>
      <c r="H9439" s="63" t="n">
        <v>0.11</v>
      </c>
      <c r="I9439" s="62" t="n">
        <v>416.89</v>
      </c>
      <c r="J9439" s="58" t="inlineStr">
        <is>
          <t>Online</t>
        </is>
      </c>
      <c r="K9439" s="62">
        <f>F9439*(G9439-H9439)</f>
        <v/>
      </c>
      <c r="L9439" s="62">
        <f>K9439-(F9439*I9439)</f>
        <v/>
      </c>
      <c r="M9439" s="64">
        <f>L9439/K9439</f>
        <v/>
      </c>
    </row>
    <row r="9440">
      <c r="A9440" s="58" t="inlineStr">
        <is>
          <t>RT20250825-09439</t>
        </is>
      </c>
      <c r="B9440" s="59" t="inlineStr">
        <is>
          <t>2025-08-25</t>
        </is>
      </c>
      <c r="C9440" s="60" t="inlineStr">
        <is>
          <t>Falcon Household Pro-865</t>
        </is>
      </c>
      <c r="D9440" s="58" t="inlineStr">
        <is>
          <t>Grocery</t>
        </is>
      </c>
      <c r="E9440" s="58" t="inlineStr">
        <is>
          <t>East</t>
        </is>
      </c>
      <c r="F9440" s="61" t="n">
        <v>7</v>
      </c>
      <c r="G9440" s="62" t="n">
        <v>9.34</v>
      </c>
      <c r="H9440" s="63" t="n">
        <v>0.188</v>
      </c>
      <c r="I9440" s="62" t="n">
        <v>7.36</v>
      </c>
      <c r="J9440" s="58" t="inlineStr">
        <is>
          <t>Online</t>
        </is>
      </c>
      <c r="K9440" s="62">
        <f>F9440*(G9440-H9440)</f>
        <v/>
      </c>
      <c r="L9440" s="62">
        <f>K9440-(F9440*I9440)</f>
        <v/>
      </c>
      <c r="M9440" s="64">
        <f>L9440/K9440</f>
        <v/>
      </c>
    </row>
    <row r="9441">
      <c r="A9441" s="58" t="inlineStr">
        <is>
          <t>RT20250825-09440</t>
        </is>
      </c>
      <c r="B9441" s="59" t="inlineStr">
        <is>
          <t>2025-08-25</t>
        </is>
      </c>
      <c r="C9441" s="60" t="inlineStr">
        <is>
          <t>Vertex Accessorie Pro-881</t>
        </is>
      </c>
      <c r="D9441" s="58" t="inlineStr">
        <is>
          <t>Apparel</t>
        </is>
      </c>
      <c r="E9441" s="58" t="inlineStr">
        <is>
          <t>Central</t>
        </is>
      </c>
      <c r="F9441" s="61" t="n">
        <v>4</v>
      </c>
      <c r="G9441" s="62" t="n">
        <v>115.06</v>
      </c>
      <c r="H9441" s="63" t="n">
        <v>0.188</v>
      </c>
      <c r="I9441" s="62" t="n">
        <v>62.03</v>
      </c>
      <c r="J9441" s="58" t="inlineStr">
        <is>
          <t>Store</t>
        </is>
      </c>
      <c r="K9441" s="62">
        <f>F9441*(G9441-H9441)</f>
        <v/>
      </c>
      <c r="L9441" s="62">
        <f>K9441-(F9441*I9441)</f>
        <v/>
      </c>
      <c r="M9441" s="64">
        <f>L9441/K9441</f>
        <v/>
      </c>
    </row>
    <row r="9442">
      <c r="A9442" s="58" t="inlineStr">
        <is>
          <t>RT20250825-09441</t>
        </is>
      </c>
      <c r="B9442" s="59" t="inlineStr">
        <is>
          <t>2025-08-25</t>
        </is>
      </c>
      <c r="C9442" s="60" t="inlineStr">
        <is>
          <t>Vertex Printer Max-692</t>
        </is>
      </c>
      <c r="D9442" s="58" t="inlineStr">
        <is>
          <t>Office</t>
        </is>
      </c>
      <c r="E9442" s="58" t="inlineStr">
        <is>
          <t>Central</t>
        </is>
      </c>
      <c r="F9442" s="61" t="n">
        <v>2</v>
      </c>
      <c r="G9442" s="62" t="n">
        <v>163.8</v>
      </c>
      <c r="H9442" s="63" t="n">
        <v>0.15</v>
      </c>
      <c r="I9442" s="62" t="n">
        <v>124.44</v>
      </c>
      <c r="J9442" s="58" t="inlineStr">
        <is>
          <t>Online</t>
        </is>
      </c>
      <c r="K9442" s="62">
        <f>F9442*(G9442-H9442)</f>
        <v/>
      </c>
      <c r="L9442" s="62">
        <f>K9442-(F9442*I9442)</f>
        <v/>
      </c>
      <c r="M9442" s="64">
        <f>L9442/K9442</f>
        <v/>
      </c>
    </row>
    <row r="9443">
      <c r="A9443" s="58" t="inlineStr">
        <is>
          <t>RT20250825-09442</t>
        </is>
      </c>
      <c r="B9443" s="59" t="inlineStr">
        <is>
          <t>2025-08-25</t>
        </is>
      </c>
      <c r="C9443" s="60" t="inlineStr">
        <is>
          <t>Aurora Skincare Max-798</t>
        </is>
      </c>
      <c r="D9443" s="58" t="inlineStr">
        <is>
          <t>Beauty</t>
        </is>
      </c>
      <c r="E9443" s="58" t="inlineStr">
        <is>
          <t>East</t>
        </is>
      </c>
      <c r="F9443" s="61" t="n">
        <v>2</v>
      </c>
      <c r="G9443" s="62" t="n">
        <v>111.33</v>
      </c>
      <c r="H9443" s="63" t="n">
        <v>0.181</v>
      </c>
      <c r="I9443" s="62" t="n">
        <v>66.68000000000001</v>
      </c>
      <c r="J9443" s="58" t="inlineStr">
        <is>
          <t>Online</t>
        </is>
      </c>
      <c r="K9443" s="62">
        <f>F9443*(G9443-H9443)</f>
        <v/>
      </c>
      <c r="L9443" s="62">
        <f>K9443-(F9443*I9443)</f>
        <v/>
      </c>
      <c r="M9443" s="64">
        <f>L9443/K9443</f>
        <v/>
      </c>
    </row>
    <row r="9444">
      <c r="A9444" s="58" t="inlineStr">
        <is>
          <t>RT20250825-09443</t>
        </is>
      </c>
      <c r="B9444" s="59" t="inlineStr">
        <is>
          <t>2025-08-25</t>
        </is>
      </c>
      <c r="C9444" s="60" t="inlineStr">
        <is>
          <t>Falcon Skincare Max-151</t>
        </is>
      </c>
      <c r="D9444" s="58" t="inlineStr">
        <is>
          <t>Beauty</t>
        </is>
      </c>
      <c r="E9444" s="58" t="inlineStr">
        <is>
          <t>South</t>
        </is>
      </c>
      <c r="F9444" s="61" t="n">
        <v>5</v>
      </c>
      <c r="G9444" s="62" t="n">
        <v>95.17</v>
      </c>
      <c r="H9444" s="63" t="n">
        <v>0.151</v>
      </c>
      <c r="I9444" s="62" t="n">
        <v>60.39</v>
      </c>
      <c r="J9444" s="58" t="inlineStr">
        <is>
          <t>Store</t>
        </is>
      </c>
      <c r="K9444" s="62">
        <f>F9444*(G9444-H9444)</f>
        <v/>
      </c>
      <c r="L9444" s="62">
        <f>K9444-(F9444*I9444)</f>
        <v/>
      </c>
      <c r="M9444" s="64">
        <f>L9444/K9444</f>
        <v/>
      </c>
    </row>
    <row r="9445">
      <c r="A9445" s="58" t="inlineStr">
        <is>
          <t>RT20250825-09444</t>
        </is>
      </c>
      <c r="B9445" s="59" t="inlineStr">
        <is>
          <t>2025-08-25</t>
        </is>
      </c>
      <c r="C9445" s="60" t="inlineStr">
        <is>
          <t>Metro Accessorie Lite-697</t>
        </is>
      </c>
      <c r="D9445" s="58" t="inlineStr">
        <is>
          <t>Apparel</t>
        </is>
      </c>
      <c r="E9445" s="58" t="inlineStr">
        <is>
          <t>East</t>
        </is>
      </c>
      <c r="F9445" s="61" t="n">
        <v>4</v>
      </c>
      <c r="G9445" s="62" t="n">
        <v>138.42</v>
      </c>
      <c r="H9445" s="63" t="n">
        <v>0.164</v>
      </c>
      <c r="I9445" s="62" t="n">
        <v>77.98999999999999</v>
      </c>
      <c r="J9445" s="58" t="inlineStr">
        <is>
          <t>Online</t>
        </is>
      </c>
      <c r="K9445" s="62">
        <f>F9445*(G9445-H9445)</f>
        <v/>
      </c>
      <c r="L9445" s="62">
        <f>K9445-(F9445*I9445)</f>
        <v/>
      </c>
      <c r="M9445" s="64">
        <f>L9445/K9445</f>
        <v/>
      </c>
    </row>
    <row r="9446">
      <c r="A9446" s="58" t="inlineStr">
        <is>
          <t>RT20250825-09445</t>
        </is>
      </c>
      <c r="B9446" s="59" t="inlineStr">
        <is>
          <t>2025-08-25</t>
        </is>
      </c>
      <c r="C9446" s="60" t="inlineStr">
        <is>
          <t>Solace Kitchen X-919</t>
        </is>
      </c>
      <c r="D9446" s="58" t="inlineStr">
        <is>
          <t>Home</t>
        </is>
      </c>
      <c r="E9446" s="58" t="inlineStr">
        <is>
          <t>South</t>
        </is>
      </c>
      <c r="F9446" s="61" t="n">
        <v>2</v>
      </c>
      <c r="G9446" s="62" t="n">
        <v>368.72</v>
      </c>
      <c r="H9446" s="63" t="n">
        <v>0.162</v>
      </c>
      <c r="I9446" s="62" t="n">
        <v>266.67</v>
      </c>
      <c r="J9446" s="58" t="inlineStr">
        <is>
          <t>Online</t>
        </is>
      </c>
      <c r="K9446" s="62">
        <f>F9446*(G9446-H9446)</f>
        <v/>
      </c>
      <c r="L9446" s="62">
        <f>K9446-(F9446*I9446)</f>
        <v/>
      </c>
      <c r="M9446" s="64">
        <f>L9446/K9446</f>
        <v/>
      </c>
    </row>
    <row r="9447">
      <c r="A9447" s="58" t="inlineStr">
        <is>
          <t>RT20250825-09446</t>
        </is>
      </c>
      <c r="B9447" s="59" t="inlineStr">
        <is>
          <t>2025-08-25</t>
        </is>
      </c>
      <c r="C9447" s="60" t="inlineStr">
        <is>
          <t>Vertex Accessorie Pro-881</t>
        </is>
      </c>
      <c r="D9447" s="58" t="inlineStr">
        <is>
          <t>Apparel</t>
        </is>
      </c>
      <c r="E9447" s="58" t="inlineStr">
        <is>
          <t>East</t>
        </is>
      </c>
      <c r="F9447" s="61" t="n">
        <v>1</v>
      </c>
      <c r="G9447" s="62" t="n">
        <v>109.4</v>
      </c>
      <c r="H9447" s="63" t="n">
        <v>0.154</v>
      </c>
      <c r="I9447" s="62" t="n">
        <v>63.73</v>
      </c>
      <c r="J9447" s="58" t="inlineStr">
        <is>
          <t>Online</t>
        </is>
      </c>
      <c r="K9447" s="62">
        <f>F9447*(G9447-H9447)</f>
        <v/>
      </c>
      <c r="L9447" s="62">
        <f>K9447-(F9447*I9447)</f>
        <v/>
      </c>
      <c r="M9447" s="64">
        <f>L9447/K9447</f>
        <v/>
      </c>
    </row>
    <row r="9448">
      <c r="A9448" s="58" t="inlineStr">
        <is>
          <t>RT20250825-09447</t>
        </is>
      </c>
      <c r="B9448" s="59" t="inlineStr">
        <is>
          <t>2025-08-25</t>
        </is>
      </c>
      <c r="C9448" s="60" t="inlineStr">
        <is>
          <t>Aurora Wearable Lite-162</t>
        </is>
      </c>
      <c r="D9448" s="58" t="inlineStr">
        <is>
          <t>Electronics</t>
        </is>
      </c>
      <c r="E9448" s="58" t="inlineStr">
        <is>
          <t>Central</t>
        </is>
      </c>
      <c r="F9448" s="61" t="n">
        <v>1</v>
      </c>
      <c r="G9448" s="62" t="n">
        <v>1552.13</v>
      </c>
      <c r="H9448" s="63" t="n">
        <v>0.101</v>
      </c>
      <c r="I9448" s="62" t="n">
        <v>1164.52</v>
      </c>
      <c r="J9448" s="58" t="inlineStr">
        <is>
          <t>Store</t>
        </is>
      </c>
      <c r="K9448" s="62">
        <f>F9448*(G9448-H9448)</f>
        <v/>
      </c>
      <c r="L9448" s="62">
        <f>K9448-(F9448*I9448)</f>
        <v/>
      </c>
      <c r="M9448" s="64">
        <f>L9448/K9448</f>
        <v/>
      </c>
    </row>
    <row r="9449">
      <c r="A9449" s="58" t="inlineStr">
        <is>
          <t>RT20250825-09448</t>
        </is>
      </c>
      <c r="B9449" s="59" t="inlineStr">
        <is>
          <t>2025-08-25</t>
        </is>
      </c>
      <c r="C9449" s="60" t="inlineStr">
        <is>
          <t>Aurora Skincare Max-798</t>
        </is>
      </c>
      <c r="D9449" s="58" t="inlineStr">
        <is>
          <t>Beauty</t>
        </is>
      </c>
      <c r="E9449" s="58" t="inlineStr">
        <is>
          <t>Central</t>
        </is>
      </c>
      <c r="F9449" s="61" t="n">
        <v>1</v>
      </c>
      <c r="G9449" s="62" t="n">
        <v>107.77</v>
      </c>
      <c r="H9449" s="63" t="n">
        <v>0.159</v>
      </c>
      <c r="I9449" s="62" t="n">
        <v>69.48</v>
      </c>
      <c r="J9449" s="58" t="inlineStr">
        <is>
          <t>Online</t>
        </is>
      </c>
      <c r="K9449" s="62">
        <f>F9449*(G9449-H9449)</f>
        <v/>
      </c>
      <c r="L9449" s="62">
        <f>K9449-(F9449*I9449)</f>
        <v/>
      </c>
      <c r="M9449" s="64">
        <f>L9449/K9449</f>
        <v/>
      </c>
    </row>
    <row r="9450">
      <c r="A9450" s="58" t="inlineStr">
        <is>
          <t>RT20250825-09449</t>
        </is>
      </c>
      <c r="B9450" s="59" t="inlineStr">
        <is>
          <t>2025-08-25</t>
        </is>
      </c>
      <c r="C9450" s="60" t="inlineStr">
        <is>
          <t>Falcon Accessorie S-195</t>
        </is>
      </c>
      <c r="D9450" s="58" t="inlineStr">
        <is>
          <t>Apparel</t>
        </is>
      </c>
      <c r="E9450" s="58" t="inlineStr">
        <is>
          <t>East</t>
        </is>
      </c>
      <c r="F9450" s="61" t="n">
        <v>3</v>
      </c>
      <c r="G9450" s="62" t="n">
        <v>87.72</v>
      </c>
      <c r="H9450" s="63" t="n">
        <v>0.144</v>
      </c>
      <c r="I9450" s="62" t="n">
        <v>43.89</v>
      </c>
      <c r="J9450" s="58" t="inlineStr">
        <is>
          <t>Store</t>
        </is>
      </c>
      <c r="K9450" s="62">
        <f>F9450*(G9450-H9450)</f>
        <v/>
      </c>
      <c r="L9450" s="62">
        <f>K9450-(F9450*I9450)</f>
        <v/>
      </c>
      <c r="M9450" s="64">
        <f>L9450/K9450</f>
        <v/>
      </c>
    </row>
    <row r="9451">
      <c r="A9451" s="58" t="inlineStr">
        <is>
          <t>RT20250825-09450</t>
        </is>
      </c>
      <c r="B9451" s="59" t="inlineStr">
        <is>
          <t>2025-08-25</t>
        </is>
      </c>
      <c r="C9451" s="60" t="inlineStr">
        <is>
          <t>Metro Outdoor Plus-787</t>
        </is>
      </c>
      <c r="D9451" s="58" t="inlineStr">
        <is>
          <t>Sports</t>
        </is>
      </c>
      <c r="E9451" s="58" t="inlineStr">
        <is>
          <t>North</t>
        </is>
      </c>
      <c r="F9451" s="61" t="n">
        <v>3</v>
      </c>
      <c r="G9451" s="62" t="n">
        <v>568.76</v>
      </c>
      <c r="H9451" s="63" t="n">
        <v>0.124</v>
      </c>
      <c r="I9451" s="62" t="n">
        <v>354.04</v>
      </c>
      <c r="J9451" s="58" t="inlineStr">
        <is>
          <t>Online</t>
        </is>
      </c>
      <c r="K9451" s="62">
        <f>F9451*(G9451-H9451)</f>
        <v/>
      </c>
      <c r="L9451" s="62">
        <f>K9451-(F9451*I9451)</f>
        <v/>
      </c>
      <c r="M9451" s="64">
        <f>L9451/K9451</f>
        <v/>
      </c>
    </row>
    <row r="9452">
      <c r="A9452" s="58" t="inlineStr">
        <is>
          <t>RT20250825-09451</t>
        </is>
      </c>
      <c r="B9452" s="59" t="inlineStr">
        <is>
          <t>2025-08-25</t>
        </is>
      </c>
      <c r="C9452" s="60" t="inlineStr">
        <is>
          <t>Orion Beverage Plus-949</t>
        </is>
      </c>
      <c r="D9452" s="58" t="inlineStr">
        <is>
          <t>Grocery</t>
        </is>
      </c>
      <c r="E9452" s="58" t="inlineStr">
        <is>
          <t>East</t>
        </is>
      </c>
      <c r="F9452" s="61" t="n">
        <v>3</v>
      </c>
      <c r="G9452" s="62" t="n">
        <v>18.53</v>
      </c>
      <c r="H9452" s="63" t="n">
        <v>0.124</v>
      </c>
      <c r="I9452" s="62" t="n">
        <v>13.19</v>
      </c>
      <c r="J9452" s="58" t="inlineStr">
        <is>
          <t>Store</t>
        </is>
      </c>
      <c r="K9452" s="62">
        <f>F9452*(G9452-H9452)</f>
        <v/>
      </c>
      <c r="L9452" s="62">
        <f>K9452-(F9452*I9452)</f>
        <v/>
      </c>
      <c r="M9452" s="64">
        <f>L9452/K9452</f>
        <v/>
      </c>
    </row>
    <row r="9453">
      <c r="A9453" s="58" t="inlineStr">
        <is>
          <t>RT20250825-09452</t>
        </is>
      </c>
      <c r="B9453" s="59" t="inlineStr">
        <is>
          <t>2025-08-25</t>
        </is>
      </c>
      <c r="C9453" s="60" t="inlineStr">
        <is>
          <t>Polar Bedding Lite-243</t>
        </is>
      </c>
      <c r="D9453" s="58" t="inlineStr">
        <is>
          <t>Home</t>
        </is>
      </c>
      <c r="E9453" s="58" t="inlineStr">
        <is>
          <t>North</t>
        </is>
      </c>
      <c r="F9453" s="61" t="n">
        <v>1</v>
      </c>
      <c r="G9453" s="62" t="n">
        <v>487.86</v>
      </c>
      <c r="H9453" s="63" t="n">
        <v>0.168</v>
      </c>
      <c r="I9453" s="62" t="n">
        <v>327.3</v>
      </c>
      <c r="J9453" s="58" t="inlineStr">
        <is>
          <t>Store</t>
        </is>
      </c>
      <c r="K9453" s="62">
        <f>F9453*(G9453-H9453)</f>
        <v/>
      </c>
      <c r="L9453" s="62">
        <f>K9453-(F9453*I9453)</f>
        <v/>
      </c>
      <c r="M9453" s="64">
        <f>L9453/K9453</f>
        <v/>
      </c>
    </row>
    <row r="9454">
      <c r="A9454" s="58" t="inlineStr">
        <is>
          <t>RT20250825-09453</t>
        </is>
      </c>
      <c r="B9454" s="59" t="inlineStr">
        <is>
          <t>2025-08-25</t>
        </is>
      </c>
      <c r="C9454" s="60" t="inlineStr">
        <is>
          <t>Polar Haircare Max-614</t>
        </is>
      </c>
      <c r="D9454" s="58" t="inlineStr">
        <is>
          <t>Beauty</t>
        </is>
      </c>
      <c r="E9454" s="58" t="inlineStr">
        <is>
          <t>East</t>
        </is>
      </c>
      <c r="F9454" s="61" t="n">
        <v>4</v>
      </c>
      <c r="G9454" s="62" t="n">
        <v>113.66</v>
      </c>
      <c r="H9454" s="63" t="n">
        <v>0.147</v>
      </c>
      <c r="I9454" s="62" t="n">
        <v>70.06999999999999</v>
      </c>
      <c r="J9454" s="58" t="inlineStr">
        <is>
          <t>Online</t>
        </is>
      </c>
      <c r="K9454" s="62">
        <f>F9454*(G9454-H9454)</f>
        <v/>
      </c>
      <c r="L9454" s="62">
        <f>K9454-(F9454*I9454)</f>
        <v/>
      </c>
      <c r="M9454" s="64">
        <f>L9454/K9454</f>
        <v/>
      </c>
    </row>
    <row r="9455">
      <c r="A9455" s="58" t="inlineStr">
        <is>
          <t>RT20250825-09454</t>
        </is>
      </c>
      <c r="B9455" s="59" t="inlineStr">
        <is>
          <t>2025-08-25</t>
        </is>
      </c>
      <c r="C9455" s="60" t="inlineStr">
        <is>
          <t>Vertex Snack S-702</t>
        </is>
      </c>
      <c r="D9455" s="58" t="inlineStr">
        <is>
          <t>Grocery</t>
        </is>
      </c>
      <c r="E9455" s="58" t="inlineStr">
        <is>
          <t>North</t>
        </is>
      </c>
      <c r="F9455" s="61" t="n">
        <v>8</v>
      </c>
      <c r="G9455" s="62" t="n">
        <v>2.06</v>
      </c>
      <c r="H9455" s="63" t="n">
        <v>0.099</v>
      </c>
      <c r="I9455" s="62" t="n">
        <v>1.49</v>
      </c>
      <c r="J9455" s="58" t="inlineStr">
        <is>
          <t>Online</t>
        </is>
      </c>
      <c r="K9455" s="62">
        <f>F9455*(G9455-H9455)</f>
        <v/>
      </c>
      <c r="L9455" s="62">
        <f>K9455-(F9455*I9455)</f>
        <v/>
      </c>
      <c r="M9455" s="64">
        <f>L9455/K9455</f>
        <v/>
      </c>
    </row>
    <row r="9456">
      <c r="A9456" s="58" t="inlineStr">
        <is>
          <t>RT20250825-09455</t>
        </is>
      </c>
      <c r="B9456" s="59" t="inlineStr">
        <is>
          <t>2025-08-25</t>
        </is>
      </c>
      <c r="C9456" s="60" t="inlineStr">
        <is>
          <t>Vertex Appliance Max-338</t>
        </is>
      </c>
      <c r="D9456" s="58" t="inlineStr">
        <is>
          <t>Home</t>
        </is>
      </c>
      <c r="E9456" s="58" t="inlineStr">
        <is>
          <t>West</t>
        </is>
      </c>
      <c r="F9456" s="61" t="n">
        <v>1</v>
      </c>
      <c r="G9456" s="62" t="n">
        <v>415.21</v>
      </c>
      <c r="H9456" s="63" t="n">
        <v>0.137</v>
      </c>
      <c r="I9456" s="62" t="n">
        <v>294.87</v>
      </c>
      <c r="J9456" s="58" t="inlineStr">
        <is>
          <t>Online</t>
        </is>
      </c>
      <c r="K9456" s="62">
        <f>F9456*(G9456-H9456)</f>
        <v/>
      </c>
      <c r="L9456" s="62">
        <f>K9456-(F9456*I9456)</f>
        <v/>
      </c>
      <c r="M9456" s="64">
        <f>L9456/K9456</f>
        <v/>
      </c>
    </row>
    <row r="9457">
      <c r="A9457" s="58" t="inlineStr">
        <is>
          <t>RT20250825-09456</t>
        </is>
      </c>
      <c r="B9457" s="59" t="inlineStr">
        <is>
          <t>2025-08-25</t>
        </is>
      </c>
      <c r="C9457" s="60" t="inlineStr">
        <is>
          <t>Aurora Household Plus-146</t>
        </is>
      </c>
      <c r="D9457" s="58" t="inlineStr">
        <is>
          <t>Grocery</t>
        </is>
      </c>
      <c r="E9457" s="58" t="inlineStr">
        <is>
          <t>West</t>
        </is>
      </c>
      <c r="F9457" s="61" t="n">
        <v>6</v>
      </c>
      <c r="G9457" s="62" t="n">
        <v>5.21</v>
      </c>
      <c r="H9457" s="63" t="n">
        <v>0.137</v>
      </c>
      <c r="I9457" s="62" t="n">
        <v>4.36</v>
      </c>
      <c r="J9457" s="58" t="inlineStr">
        <is>
          <t>Store</t>
        </is>
      </c>
      <c r="K9457" s="62">
        <f>F9457*(G9457-H9457)</f>
        <v/>
      </c>
      <c r="L9457" s="62">
        <f>K9457-(F9457*I9457)</f>
        <v/>
      </c>
      <c r="M9457" s="64">
        <f>L9457/K9457</f>
        <v/>
      </c>
    </row>
    <row r="9458">
      <c r="A9458" s="58" t="inlineStr">
        <is>
          <t>RT20250825-09457</t>
        </is>
      </c>
      <c r="B9458" s="59" t="inlineStr">
        <is>
          <t>2025-08-25</t>
        </is>
      </c>
      <c r="C9458" s="60" t="inlineStr">
        <is>
          <t>Polar Men Pro-246</t>
        </is>
      </c>
      <c r="D9458" s="58" t="inlineStr">
        <is>
          <t>Apparel</t>
        </is>
      </c>
      <c r="E9458" s="58" t="inlineStr">
        <is>
          <t>Central</t>
        </is>
      </c>
      <c r="F9458" s="61" t="n">
        <v>4</v>
      </c>
      <c r="G9458" s="62" t="n">
        <v>123.37</v>
      </c>
      <c r="H9458" s="63" t="n">
        <v>0.106</v>
      </c>
      <c r="I9458" s="62" t="n">
        <v>78.56</v>
      </c>
      <c r="J9458" s="58" t="inlineStr">
        <is>
          <t>Online</t>
        </is>
      </c>
      <c r="K9458" s="62">
        <f>F9458*(G9458-H9458)</f>
        <v/>
      </c>
      <c r="L9458" s="62">
        <f>K9458-(F9458*I9458)</f>
        <v/>
      </c>
      <c r="M9458" s="64">
        <f>L9458/K9458</f>
        <v/>
      </c>
    </row>
    <row r="9459">
      <c r="A9459" s="58" t="inlineStr">
        <is>
          <t>RT20250825-09458</t>
        </is>
      </c>
      <c r="B9459" s="59" t="inlineStr">
        <is>
          <t>2025-08-25</t>
        </is>
      </c>
      <c r="C9459" s="60" t="inlineStr">
        <is>
          <t>Nimbus Decor Lite-385</t>
        </is>
      </c>
      <c r="D9459" s="58" t="inlineStr">
        <is>
          <t>Home</t>
        </is>
      </c>
      <c r="E9459" s="58" t="inlineStr">
        <is>
          <t>South</t>
        </is>
      </c>
      <c r="F9459" s="61" t="n">
        <v>1</v>
      </c>
      <c r="G9459" s="62" t="n">
        <v>630.5599999999999</v>
      </c>
      <c r="H9459" s="63" t="n">
        <v>0.14</v>
      </c>
      <c r="I9459" s="62" t="n">
        <v>387.34</v>
      </c>
      <c r="J9459" s="58" t="inlineStr">
        <is>
          <t>Online</t>
        </is>
      </c>
      <c r="K9459" s="62">
        <f>F9459*(G9459-H9459)</f>
        <v/>
      </c>
      <c r="L9459" s="62">
        <f>K9459-(F9459*I9459)</f>
        <v/>
      </c>
      <c r="M9459" s="64">
        <f>L9459/K9459</f>
        <v/>
      </c>
    </row>
    <row r="9460">
      <c r="A9460" s="58" t="inlineStr">
        <is>
          <t>RT20250825-09459</t>
        </is>
      </c>
      <c r="B9460" s="59" t="inlineStr">
        <is>
          <t>2025-08-25</t>
        </is>
      </c>
      <c r="C9460" s="60" t="inlineStr">
        <is>
          <t>Solace Laptop S-367</t>
        </is>
      </c>
      <c r="D9460" s="58" t="inlineStr">
        <is>
          <t>Electronics</t>
        </is>
      </c>
      <c r="E9460" s="58" t="inlineStr">
        <is>
          <t>West</t>
        </is>
      </c>
      <c r="F9460" s="61" t="n">
        <v>2</v>
      </c>
      <c r="G9460" s="62" t="n">
        <v>1888.64</v>
      </c>
      <c r="H9460" s="63" t="n">
        <v>0.161</v>
      </c>
      <c r="I9460" s="62" t="n">
        <v>1538.42</v>
      </c>
      <c r="J9460" s="58" t="inlineStr">
        <is>
          <t>Online</t>
        </is>
      </c>
      <c r="K9460" s="62">
        <f>F9460*(G9460-H9460)</f>
        <v/>
      </c>
      <c r="L9460" s="62">
        <f>K9460-(F9460*I9460)</f>
        <v/>
      </c>
      <c r="M9460" s="64">
        <f>L9460/K9460</f>
        <v/>
      </c>
    </row>
    <row r="9461">
      <c r="A9461" s="58" t="inlineStr">
        <is>
          <t>RT20250826-09460</t>
        </is>
      </c>
      <c r="B9461" s="59" t="inlineStr">
        <is>
          <t>2025-08-26</t>
        </is>
      </c>
      <c r="C9461" s="60" t="inlineStr">
        <is>
          <t>Metro Fragrance Lite-261</t>
        </is>
      </c>
      <c r="D9461" s="58" t="inlineStr">
        <is>
          <t>Beauty</t>
        </is>
      </c>
      <c r="E9461" s="58" t="inlineStr">
        <is>
          <t>East</t>
        </is>
      </c>
      <c r="F9461" s="61" t="n">
        <v>5</v>
      </c>
      <c r="G9461" s="62" t="n">
        <v>91.13</v>
      </c>
      <c r="H9461" s="63" t="n">
        <v>0.206</v>
      </c>
      <c r="I9461" s="62" t="n">
        <v>55.12</v>
      </c>
      <c r="J9461" s="58" t="inlineStr">
        <is>
          <t>Online</t>
        </is>
      </c>
      <c r="K9461" s="62">
        <f>F9461*(G9461-H9461)</f>
        <v/>
      </c>
      <c r="L9461" s="62">
        <f>K9461-(F9461*I9461)</f>
        <v/>
      </c>
      <c r="M9461" s="64">
        <f>L9461/K9461</f>
        <v/>
      </c>
    </row>
    <row r="9462">
      <c r="A9462" s="58" t="inlineStr">
        <is>
          <t>RT20250826-09461</t>
        </is>
      </c>
      <c r="B9462" s="59" t="inlineStr">
        <is>
          <t>2025-08-26</t>
        </is>
      </c>
      <c r="C9462" s="60" t="inlineStr">
        <is>
          <t>Solace Makeup Pro-214</t>
        </is>
      </c>
      <c r="D9462" s="58" t="inlineStr">
        <is>
          <t>Beauty</t>
        </is>
      </c>
      <c r="E9462" s="58" t="inlineStr">
        <is>
          <t>East</t>
        </is>
      </c>
      <c r="F9462" s="61" t="n">
        <v>5</v>
      </c>
      <c r="G9462" s="62" t="n">
        <v>117</v>
      </c>
      <c r="H9462" s="63" t="n">
        <v>0.122</v>
      </c>
      <c r="I9462" s="62" t="n">
        <v>68.16</v>
      </c>
      <c r="J9462" s="58" t="inlineStr">
        <is>
          <t>Store</t>
        </is>
      </c>
      <c r="K9462" s="62">
        <f>F9462*(G9462-H9462)</f>
        <v/>
      </c>
      <c r="L9462" s="62">
        <f>K9462-(F9462*I9462)</f>
        <v/>
      </c>
      <c r="M9462" s="64">
        <f>L9462/K9462</f>
        <v/>
      </c>
    </row>
    <row r="9463">
      <c r="A9463" s="58" t="inlineStr">
        <is>
          <t>RT20250826-09462</t>
        </is>
      </c>
      <c r="B9463" s="59" t="inlineStr">
        <is>
          <t>2025-08-26</t>
        </is>
      </c>
      <c r="C9463" s="60" t="inlineStr">
        <is>
          <t>Polar Men Pro-246</t>
        </is>
      </c>
      <c r="D9463" s="58" t="inlineStr">
        <is>
          <t>Apparel</t>
        </is>
      </c>
      <c r="E9463" s="58" t="inlineStr">
        <is>
          <t>East</t>
        </is>
      </c>
      <c r="F9463" s="61" t="n">
        <v>3</v>
      </c>
      <c r="G9463" s="62" t="n">
        <v>144.04</v>
      </c>
      <c r="H9463" s="63" t="n">
        <v>0.187</v>
      </c>
      <c r="I9463" s="62" t="n">
        <v>74.5</v>
      </c>
      <c r="J9463" s="58" t="inlineStr">
        <is>
          <t>Online</t>
        </is>
      </c>
      <c r="K9463" s="62">
        <f>F9463*(G9463-H9463)</f>
        <v/>
      </c>
      <c r="L9463" s="62">
        <f>K9463-(F9463*I9463)</f>
        <v/>
      </c>
      <c r="M9463" s="64">
        <f>L9463/K9463</f>
        <v/>
      </c>
    </row>
    <row r="9464">
      <c r="A9464" s="58" t="inlineStr">
        <is>
          <t>RT20250826-09463</t>
        </is>
      </c>
      <c r="B9464" s="59" t="inlineStr">
        <is>
          <t>2025-08-26</t>
        </is>
      </c>
      <c r="C9464" s="60" t="inlineStr">
        <is>
          <t>Orion Snack X-322</t>
        </is>
      </c>
      <c r="D9464" s="58" t="inlineStr">
        <is>
          <t>Grocery</t>
        </is>
      </c>
      <c r="E9464" s="58" t="inlineStr">
        <is>
          <t>North</t>
        </is>
      </c>
      <c r="F9464" s="61" t="n">
        <v>3</v>
      </c>
      <c r="G9464" s="62" t="n">
        <v>12.15</v>
      </c>
      <c r="H9464" s="63" t="n">
        <v>0.17</v>
      </c>
      <c r="I9464" s="62" t="n">
        <v>9.789999999999999</v>
      </c>
      <c r="J9464" s="58" t="inlineStr">
        <is>
          <t>Store</t>
        </is>
      </c>
      <c r="K9464" s="62">
        <f>F9464*(G9464-H9464)</f>
        <v/>
      </c>
      <c r="L9464" s="62">
        <f>K9464-(F9464*I9464)</f>
        <v/>
      </c>
      <c r="M9464" s="64">
        <f>L9464/K9464</f>
        <v/>
      </c>
    </row>
    <row r="9465">
      <c r="A9465" s="58" t="inlineStr">
        <is>
          <t>RT20250826-09464</t>
        </is>
      </c>
      <c r="B9465" s="59" t="inlineStr">
        <is>
          <t>2025-08-26</t>
        </is>
      </c>
      <c r="C9465" s="60" t="inlineStr">
        <is>
          <t>Vertex Appliance S-296</t>
        </is>
      </c>
      <c r="D9465" s="58" t="inlineStr">
        <is>
          <t>Home</t>
        </is>
      </c>
      <c r="E9465" s="58" t="inlineStr">
        <is>
          <t>Central</t>
        </is>
      </c>
      <c r="F9465" s="61" t="n">
        <v>1</v>
      </c>
      <c r="G9465" s="62" t="n">
        <v>497.55</v>
      </c>
      <c r="H9465" s="63" t="n">
        <v>0.149</v>
      </c>
      <c r="I9465" s="62" t="n">
        <v>366.03</v>
      </c>
      <c r="J9465" s="58" t="inlineStr">
        <is>
          <t>Online</t>
        </is>
      </c>
      <c r="K9465" s="62">
        <f>F9465*(G9465-H9465)</f>
        <v/>
      </c>
      <c r="L9465" s="62">
        <f>K9465-(F9465*I9465)</f>
        <v/>
      </c>
      <c r="M9465" s="64">
        <f>L9465/K9465</f>
        <v/>
      </c>
    </row>
    <row r="9466">
      <c r="A9466" s="58" t="inlineStr">
        <is>
          <t>RT20250826-09465</t>
        </is>
      </c>
      <c r="B9466" s="59" t="inlineStr">
        <is>
          <t>2025-08-26</t>
        </is>
      </c>
      <c r="C9466" s="60" t="inlineStr">
        <is>
          <t>Metro Accessorie Max-316</t>
        </is>
      </c>
      <c r="D9466" s="58" t="inlineStr">
        <is>
          <t>Apparel</t>
        </is>
      </c>
      <c r="E9466" s="58" t="inlineStr">
        <is>
          <t>East</t>
        </is>
      </c>
      <c r="F9466" s="61" t="n">
        <v>3</v>
      </c>
      <c r="G9466" s="62" t="n">
        <v>150.8</v>
      </c>
      <c r="H9466" s="63" t="n">
        <v>0.187</v>
      </c>
      <c r="I9466" s="62" t="n">
        <v>95.72</v>
      </c>
      <c r="J9466" s="58" t="inlineStr">
        <is>
          <t>Online</t>
        </is>
      </c>
      <c r="K9466" s="62">
        <f>F9466*(G9466-H9466)</f>
        <v/>
      </c>
      <c r="L9466" s="62">
        <f>K9466-(F9466*I9466)</f>
        <v/>
      </c>
      <c r="M9466" s="64">
        <f>L9466/K9466</f>
        <v/>
      </c>
    </row>
    <row r="9467">
      <c r="A9467" s="58" t="inlineStr">
        <is>
          <t>RT20250826-09466</t>
        </is>
      </c>
      <c r="B9467" s="59" t="inlineStr">
        <is>
          <t>2025-08-26</t>
        </is>
      </c>
      <c r="C9467" s="60" t="inlineStr">
        <is>
          <t>Metro Smartphone Max-773</t>
        </is>
      </c>
      <c r="D9467" s="58" t="inlineStr">
        <is>
          <t>Electronics</t>
        </is>
      </c>
      <c r="E9467" s="58" t="inlineStr">
        <is>
          <t>West</t>
        </is>
      </c>
      <c r="F9467" s="61" t="n">
        <v>2</v>
      </c>
      <c r="G9467" s="62" t="n">
        <v>1461.84</v>
      </c>
      <c r="H9467" s="63" t="n">
        <v>0.157</v>
      </c>
      <c r="I9467" s="62" t="n">
        <v>1148.07</v>
      </c>
      <c r="J9467" s="58" t="inlineStr">
        <is>
          <t>Store</t>
        </is>
      </c>
      <c r="K9467" s="62">
        <f>F9467*(G9467-H9467)</f>
        <v/>
      </c>
      <c r="L9467" s="62">
        <f>K9467-(F9467*I9467)</f>
        <v/>
      </c>
      <c r="M9467" s="64">
        <f>L9467/K9467</f>
        <v/>
      </c>
    </row>
    <row r="9468">
      <c r="A9468" s="58" t="inlineStr">
        <is>
          <t>RT20250826-09467</t>
        </is>
      </c>
      <c r="B9468" s="59" t="inlineStr">
        <is>
          <t>2025-08-26</t>
        </is>
      </c>
      <c r="C9468" s="60" t="inlineStr">
        <is>
          <t>Aurora Kid Plus-151</t>
        </is>
      </c>
      <c r="D9468" s="58" t="inlineStr">
        <is>
          <t>Apparel</t>
        </is>
      </c>
      <c r="E9468" s="58" t="inlineStr">
        <is>
          <t>West</t>
        </is>
      </c>
      <c r="F9468" s="61" t="n">
        <v>1</v>
      </c>
      <c r="G9468" s="62" t="n">
        <v>114.18</v>
      </c>
      <c r="H9468" s="63" t="n">
        <v>0.192</v>
      </c>
      <c r="I9468" s="62" t="n">
        <v>64.87</v>
      </c>
      <c r="J9468" s="58" t="inlineStr">
        <is>
          <t>Online</t>
        </is>
      </c>
      <c r="K9468" s="62">
        <f>F9468*(G9468-H9468)</f>
        <v/>
      </c>
      <c r="L9468" s="62">
        <f>K9468-(F9468*I9468)</f>
        <v/>
      </c>
      <c r="M9468" s="64">
        <f>L9468/K9468</f>
        <v/>
      </c>
    </row>
    <row r="9469">
      <c r="A9469" s="58" t="inlineStr">
        <is>
          <t>RT20250826-09468</t>
        </is>
      </c>
      <c r="B9469" s="59" t="inlineStr">
        <is>
          <t>2025-08-26</t>
        </is>
      </c>
      <c r="C9469" s="60" t="inlineStr">
        <is>
          <t>Vertex Decor Pro-618</t>
        </is>
      </c>
      <c r="D9469" s="58" t="inlineStr">
        <is>
          <t>Home</t>
        </is>
      </c>
      <c r="E9469" s="58" t="inlineStr">
        <is>
          <t>South</t>
        </is>
      </c>
      <c r="F9469" s="61" t="n">
        <v>3</v>
      </c>
      <c r="G9469" s="62" t="n">
        <v>531.65</v>
      </c>
      <c r="H9469" s="63" t="n">
        <v>0.126</v>
      </c>
      <c r="I9469" s="62" t="n">
        <v>378.43</v>
      </c>
      <c r="J9469" s="58" t="inlineStr">
        <is>
          <t>Online</t>
        </is>
      </c>
      <c r="K9469" s="62">
        <f>F9469*(G9469-H9469)</f>
        <v/>
      </c>
      <c r="L9469" s="62">
        <f>K9469-(F9469*I9469)</f>
        <v/>
      </c>
      <c r="M9469" s="64">
        <f>L9469/K9469</f>
        <v/>
      </c>
    </row>
    <row r="9470">
      <c r="A9470" s="58" t="inlineStr">
        <is>
          <t>RT20250826-09469</t>
        </is>
      </c>
      <c r="B9470" s="59" t="inlineStr">
        <is>
          <t>2025-08-26</t>
        </is>
      </c>
      <c r="C9470" s="60" t="inlineStr">
        <is>
          <t>Orion Laptop S-350</t>
        </is>
      </c>
      <c r="D9470" s="58" t="inlineStr">
        <is>
          <t>Electronics</t>
        </is>
      </c>
      <c r="E9470" s="58" t="inlineStr">
        <is>
          <t>East</t>
        </is>
      </c>
      <c r="F9470" s="61" t="n">
        <v>1</v>
      </c>
      <c r="G9470" s="62" t="n">
        <v>1401.48</v>
      </c>
      <c r="H9470" s="63" t="n">
        <v>0.141</v>
      </c>
      <c r="I9470" s="62" t="n">
        <v>1079.72</v>
      </c>
      <c r="J9470" s="58" t="inlineStr">
        <is>
          <t>Online</t>
        </is>
      </c>
      <c r="K9470" s="62">
        <f>F9470*(G9470-H9470)</f>
        <v/>
      </c>
      <c r="L9470" s="62">
        <f>K9470-(F9470*I9470)</f>
        <v/>
      </c>
      <c r="M9470" s="64">
        <f>L9470/K9470</f>
        <v/>
      </c>
    </row>
    <row r="9471">
      <c r="A9471" s="58" t="inlineStr">
        <is>
          <t>RT20250826-09470</t>
        </is>
      </c>
      <c r="B9471" s="59" t="inlineStr">
        <is>
          <t>2025-08-26</t>
        </is>
      </c>
      <c r="C9471" s="60" t="inlineStr">
        <is>
          <t>Metro Wearable Plus-234</t>
        </is>
      </c>
      <c r="D9471" s="58" t="inlineStr">
        <is>
          <t>Electronics</t>
        </is>
      </c>
      <c r="E9471" s="58" t="inlineStr">
        <is>
          <t>South</t>
        </is>
      </c>
      <c r="F9471" s="61" t="n">
        <v>2</v>
      </c>
      <c r="G9471" s="62" t="n">
        <v>1355.94</v>
      </c>
      <c r="H9471" s="63" t="n">
        <v>0.16</v>
      </c>
      <c r="I9471" s="62" t="n">
        <v>1105.82</v>
      </c>
      <c r="J9471" s="58" t="inlineStr">
        <is>
          <t>Online</t>
        </is>
      </c>
      <c r="K9471" s="62">
        <f>F9471*(G9471-H9471)</f>
        <v/>
      </c>
      <c r="L9471" s="62">
        <f>K9471-(F9471*I9471)</f>
        <v/>
      </c>
      <c r="M9471" s="64">
        <f>L9471/K9471</f>
        <v/>
      </c>
    </row>
    <row r="9472">
      <c r="A9472" s="58" t="inlineStr">
        <is>
          <t>RT20250826-09471</t>
        </is>
      </c>
      <c r="B9472" s="59" t="inlineStr">
        <is>
          <t>2025-08-26</t>
        </is>
      </c>
      <c r="C9472" s="60" t="inlineStr">
        <is>
          <t>Solace Makeup Pro-214</t>
        </is>
      </c>
      <c r="D9472" s="58" t="inlineStr">
        <is>
          <t>Beauty</t>
        </is>
      </c>
      <c r="E9472" s="58" t="inlineStr">
        <is>
          <t>Central</t>
        </is>
      </c>
      <c r="F9472" s="61" t="n">
        <v>5</v>
      </c>
      <c r="G9472" s="62" t="n">
        <v>112.77</v>
      </c>
      <c r="H9472" s="63" t="n">
        <v>0.137</v>
      </c>
      <c r="I9472" s="62" t="n">
        <v>67.20999999999999</v>
      </c>
      <c r="J9472" s="58" t="inlineStr">
        <is>
          <t>Store</t>
        </is>
      </c>
      <c r="K9472" s="62">
        <f>F9472*(G9472-H9472)</f>
        <v/>
      </c>
      <c r="L9472" s="62">
        <f>K9472-(F9472*I9472)</f>
        <v/>
      </c>
      <c r="M9472" s="64">
        <f>L9472/K9472</f>
        <v/>
      </c>
    </row>
    <row r="9473">
      <c r="A9473" s="58" t="inlineStr">
        <is>
          <t>RT20250826-09472</t>
        </is>
      </c>
      <c r="B9473" s="59" t="inlineStr">
        <is>
          <t>2025-08-26</t>
        </is>
      </c>
      <c r="C9473" s="60" t="inlineStr">
        <is>
          <t>Vertex Men X-995</t>
        </is>
      </c>
      <c r="D9473" s="58" t="inlineStr">
        <is>
          <t>Apparel</t>
        </is>
      </c>
      <c r="E9473" s="58" t="inlineStr">
        <is>
          <t>West</t>
        </is>
      </c>
      <c r="F9473" s="61" t="n">
        <v>3</v>
      </c>
      <c r="G9473" s="62" t="n">
        <v>118.38</v>
      </c>
      <c r="H9473" s="63" t="n">
        <v>0.172</v>
      </c>
      <c r="I9473" s="62" t="n">
        <v>56.71</v>
      </c>
      <c r="J9473" s="58" t="inlineStr">
        <is>
          <t>Store</t>
        </is>
      </c>
      <c r="K9473" s="62">
        <f>F9473*(G9473-H9473)</f>
        <v/>
      </c>
      <c r="L9473" s="62">
        <f>K9473-(F9473*I9473)</f>
        <v/>
      </c>
      <c r="M9473" s="64">
        <f>L9473/K9473</f>
        <v/>
      </c>
    </row>
    <row r="9474">
      <c r="A9474" s="58" t="inlineStr">
        <is>
          <t>RT20250826-09473</t>
        </is>
      </c>
      <c r="B9474" s="59" t="inlineStr">
        <is>
          <t>2025-08-26</t>
        </is>
      </c>
      <c r="C9474" s="60" t="inlineStr">
        <is>
          <t>Solace Fitnes S-324</t>
        </is>
      </c>
      <c r="D9474" s="58" t="inlineStr">
        <is>
          <t>Sports</t>
        </is>
      </c>
      <c r="E9474" s="58" t="inlineStr">
        <is>
          <t>West</t>
        </is>
      </c>
      <c r="F9474" s="61" t="n">
        <v>1</v>
      </c>
      <c r="G9474" s="62" t="n">
        <v>848.29</v>
      </c>
      <c r="H9474" s="63" t="n">
        <v>0.096</v>
      </c>
      <c r="I9474" s="62" t="n">
        <v>535.01</v>
      </c>
      <c r="J9474" s="58" t="inlineStr">
        <is>
          <t>Phone</t>
        </is>
      </c>
      <c r="K9474" s="62">
        <f>F9474*(G9474-H9474)</f>
        <v/>
      </c>
      <c r="L9474" s="62">
        <f>K9474-(F9474*I9474)</f>
        <v/>
      </c>
      <c r="M9474" s="64">
        <f>L9474/K9474</f>
        <v/>
      </c>
    </row>
    <row r="9475">
      <c r="A9475" s="58" t="inlineStr">
        <is>
          <t>RT20250826-09474</t>
        </is>
      </c>
      <c r="B9475" s="59" t="inlineStr">
        <is>
          <t>2025-08-26</t>
        </is>
      </c>
      <c r="C9475" s="60" t="inlineStr">
        <is>
          <t>Polar Laptop Plus-984</t>
        </is>
      </c>
      <c r="D9475" s="58" t="inlineStr">
        <is>
          <t>Electronics</t>
        </is>
      </c>
      <c r="E9475" s="58" t="inlineStr">
        <is>
          <t>West</t>
        </is>
      </c>
      <c r="F9475" s="61" t="n">
        <v>1</v>
      </c>
      <c r="G9475" s="62" t="n">
        <v>1081.82</v>
      </c>
      <c r="H9475" s="63" t="n">
        <v>0.117</v>
      </c>
      <c r="I9475" s="62" t="n">
        <v>927.42</v>
      </c>
      <c r="J9475" s="58" t="inlineStr">
        <is>
          <t>Online</t>
        </is>
      </c>
      <c r="K9475" s="62">
        <f>F9475*(G9475-H9475)</f>
        <v/>
      </c>
      <c r="L9475" s="62">
        <f>K9475-(F9475*I9475)</f>
        <v/>
      </c>
      <c r="M9475" s="64">
        <f>L9475/K9475</f>
        <v/>
      </c>
    </row>
    <row r="9476">
      <c r="A9476" s="58" t="inlineStr">
        <is>
          <t>RT20250826-09475</t>
        </is>
      </c>
      <c r="B9476" s="59" t="inlineStr">
        <is>
          <t>2025-08-26</t>
        </is>
      </c>
      <c r="C9476" s="60" t="inlineStr">
        <is>
          <t>Aurora Skincare Max-798</t>
        </is>
      </c>
      <c r="D9476" s="58" t="inlineStr">
        <is>
          <t>Beauty</t>
        </is>
      </c>
      <c r="E9476" s="58" t="inlineStr">
        <is>
          <t>South</t>
        </is>
      </c>
      <c r="F9476" s="61" t="n">
        <v>3</v>
      </c>
      <c r="G9476" s="62" t="n">
        <v>113.75</v>
      </c>
      <c r="H9476" s="63" t="n">
        <v>0.199</v>
      </c>
      <c r="I9476" s="62" t="n">
        <v>70.25</v>
      </c>
      <c r="J9476" s="58" t="inlineStr">
        <is>
          <t>Online</t>
        </is>
      </c>
      <c r="K9476" s="62">
        <f>F9476*(G9476-H9476)</f>
        <v/>
      </c>
      <c r="L9476" s="62">
        <f>K9476-(F9476*I9476)</f>
        <v/>
      </c>
      <c r="M9476" s="64">
        <f>L9476/K9476</f>
        <v/>
      </c>
    </row>
    <row r="9477">
      <c r="A9477" s="58" t="inlineStr">
        <is>
          <t>RT20250826-09476</t>
        </is>
      </c>
      <c r="B9477" s="59" t="inlineStr">
        <is>
          <t>2025-08-26</t>
        </is>
      </c>
      <c r="C9477" s="60" t="inlineStr">
        <is>
          <t>Orion Team Sport X-926</t>
        </is>
      </c>
      <c r="D9477" s="58" t="inlineStr">
        <is>
          <t>Sports</t>
        </is>
      </c>
      <c r="E9477" s="58" t="inlineStr">
        <is>
          <t>West</t>
        </is>
      </c>
      <c r="F9477" s="61" t="n">
        <v>2</v>
      </c>
      <c r="G9477" s="62" t="n">
        <v>311.28</v>
      </c>
      <c r="H9477" s="63" t="n">
        <v>0.156</v>
      </c>
      <c r="I9477" s="62" t="n">
        <v>217.78</v>
      </c>
      <c r="J9477" s="58" t="inlineStr">
        <is>
          <t>Online</t>
        </is>
      </c>
      <c r="K9477" s="62">
        <f>F9477*(G9477-H9477)</f>
        <v/>
      </c>
      <c r="L9477" s="62">
        <f>K9477-(F9477*I9477)</f>
        <v/>
      </c>
      <c r="M9477" s="64">
        <f>L9477/K9477</f>
        <v/>
      </c>
    </row>
    <row r="9478">
      <c r="A9478" s="58" t="inlineStr">
        <is>
          <t>RT20250826-09477</t>
        </is>
      </c>
      <c r="B9478" s="59" t="inlineStr">
        <is>
          <t>2025-08-26</t>
        </is>
      </c>
      <c r="C9478" s="60" t="inlineStr">
        <is>
          <t>Polar Haircare Max-614</t>
        </is>
      </c>
      <c r="D9478" s="58" t="inlineStr">
        <is>
          <t>Beauty</t>
        </is>
      </c>
      <c r="E9478" s="58" t="inlineStr">
        <is>
          <t>East</t>
        </is>
      </c>
      <c r="F9478" s="61" t="n">
        <v>2</v>
      </c>
      <c r="G9478" s="62" t="n">
        <v>114.49</v>
      </c>
      <c r="H9478" s="63" t="n">
        <v>0.127</v>
      </c>
      <c r="I9478" s="62" t="n">
        <v>70.98999999999999</v>
      </c>
      <c r="J9478" s="58" t="inlineStr">
        <is>
          <t>Store</t>
        </is>
      </c>
      <c r="K9478" s="62">
        <f>F9478*(G9478-H9478)</f>
        <v/>
      </c>
      <c r="L9478" s="62">
        <f>K9478-(F9478*I9478)</f>
        <v/>
      </c>
      <c r="M9478" s="64">
        <f>L9478/K9478</f>
        <v/>
      </c>
    </row>
    <row r="9479">
      <c r="A9479" s="58" t="inlineStr">
        <is>
          <t>RT20250826-09478</t>
        </is>
      </c>
      <c r="B9479" s="59" t="inlineStr">
        <is>
          <t>2025-08-26</t>
        </is>
      </c>
      <c r="C9479" s="60" t="inlineStr">
        <is>
          <t>Vertex Fitnes Pro-830</t>
        </is>
      </c>
      <c r="D9479" s="58" t="inlineStr">
        <is>
          <t>Sports</t>
        </is>
      </c>
      <c r="E9479" s="58" t="inlineStr">
        <is>
          <t>South</t>
        </is>
      </c>
      <c r="F9479" s="61" t="n">
        <v>1</v>
      </c>
      <c r="G9479" s="62" t="n">
        <v>673.03</v>
      </c>
      <c r="H9479" s="63" t="n">
        <v>0.146</v>
      </c>
      <c r="I9479" s="62" t="n">
        <v>478.22</v>
      </c>
      <c r="J9479" s="58" t="inlineStr">
        <is>
          <t>Store</t>
        </is>
      </c>
      <c r="K9479" s="62">
        <f>F9479*(G9479-H9479)</f>
        <v/>
      </c>
      <c r="L9479" s="62">
        <f>K9479-(F9479*I9479)</f>
        <v/>
      </c>
      <c r="M9479" s="64">
        <f>L9479/K9479</f>
        <v/>
      </c>
    </row>
    <row r="9480">
      <c r="A9480" s="58" t="inlineStr">
        <is>
          <t>RT20250826-09479</t>
        </is>
      </c>
      <c r="B9480" s="59" t="inlineStr">
        <is>
          <t>2025-08-26</t>
        </is>
      </c>
      <c r="C9480" s="60" t="inlineStr">
        <is>
          <t>Orion Kitchen Pro-568</t>
        </is>
      </c>
      <c r="D9480" s="58" t="inlineStr">
        <is>
          <t>Home</t>
        </is>
      </c>
      <c r="E9480" s="58" t="inlineStr">
        <is>
          <t>East</t>
        </is>
      </c>
      <c r="F9480" s="61" t="n">
        <v>2</v>
      </c>
      <c r="G9480" s="62" t="n">
        <v>442.16</v>
      </c>
      <c r="H9480" s="63" t="n">
        <v>0.178</v>
      </c>
      <c r="I9480" s="62" t="n">
        <v>315.29</v>
      </c>
      <c r="J9480" s="58" t="inlineStr">
        <is>
          <t>Store</t>
        </is>
      </c>
      <c r="K9480" s="62">
        <f>F9480*(G9480-H9480)</f>
        <v/>
      </c>
      <c r="L9480" s="62">
        <f>K9480-(F9480*I9480)</f>
        <v/>
      </c>
      <c r="M9480" s="64">
        <f>L9480/K9480</f>
        <v/>
      </c>
    </row>
    <row r="9481">
      <c r="A9481" s="58" t="inlineStr">
        <is>
          <t>RT20250826-09480</t>
        </is>
      </c>
      <c r="B9481" s="59" t="inlineStr">
        <is>
          <t>2025-08-26</t>
        </is>
      </c>
      <c r="C9481" s="60" t="inlineStr">
        <is>
          <t>Aurora Wearable Lite-704</t>
        </is>
      </c>
      <c r="D9481" s="58" t="inlineStr">
        <is>
          <t>Electronics</t>
        </is>
      </c>
      <c r="E9481" s="58" t="inlineStr">
        <is>
          <t>East</t>
        </is>
      </c>
      <c r="F9481" s="61" t="n">
        <v>2</v>
      </c>
      <c r="G9481" s="62" t="n">
        <v>1730.17</v>
      </c>
      <c r="H9481" s="63" t="n">
        <v>0.204</v>
      </c>
      <c r="I9481" s="62" t="n">
        <v>1337.1</v>
      </c>
      <c r="J9481" s="58" t="inlineStr">
        <is>
          <t>Online</t>
        </is>
      </c>
      <c r="K9481" s="62">
        <f>F9481*(G9481-H9481)</f>
        <v/>
      </c>
      <c r="L9481" s="62">
        <f>K9481-(F9481*I9481)</f>
        <v/>
      </c>
      <c r="M9481" s="64">
        <f>L9481/K9481</f>
        <v/>
      </c>
    </row>
    <row r="9482">
      <c r="A9482" s="58" t="inlineStr">
        <is>
          <t>RT20250826-09481</t>
        </is>
      </c>
      <c r="B9482" s="59" t="inlineStr">
        <is>
          <t>2025-08-26</t>
        </is>
      </c>
      <c r="C9482" s="60" t="inlineStr">
        <is>
          <t>Vertex Fitnes Pro-830</t>
        </is>
      </c>
      <c r="D9482" s="58" t="inlineStr">
        <is>
          <t>Sports</t>
        </is>
      </c>
      <c r="E9482" s="58" t="inlineStr">
        <is>
          <t>West</t>
        </is>
      </c>
      <c r="F9482" s="61" t="n">
        <v>3</v>
      </c>
      <c r="G9482" s="62" t="n">
        <v>797.96</v>
      </c>
      <c r="H9482" s="63" t="n">
        <v>0.18</v>
      </c>
      <c r="I9482" s="62" t="n">
        <v>471.83</v>
      </c>
      <c r="J9482" s="58" t="inlineStr">
        <is>
          <t>Online</t>
        </is>
      </c>
      <c r="K9482" s="62">
        <f>F9482*(G9482-H9482)</f>
        <v/>
      </c>
      <c r="L9482" s="62">
        <f>K9482-(F9482*I9482)</f>
        <v/>
      </c>
      <c r="M9482" s="64">
        <f>L9482/K9482</f>
        <v/>
      </c>
    </row>
    <row r="9483">
      <c r="A9483" s="58" t="inlineStr">
        <is>
          <t>RT20250826-09482</t>
        </is>
      </c>
      <c r="B9483" s="59" t="inlineStr">
        <is>
          <t>2025-08-26</t>
        </is>
      </c>
      <c r="C9483" s="60" t="inlineStr">
        <is>
          <t>Vertex Smartphone Lite-267</t>
        </is>
      </c>
      <c r="D9483" s="58" t="inlineStr">
        <is>
          <t>Electronics</t>
        </is>
      </c>
      <c r="E9483" s="58" t="inlineStr">
        <is>
          <t>East</t>
        </is>
      </c>
      <c r="F9483" s="61" t="n">
        <v>2</v>
      </c>
      <c r="G9483" s="62" t="n">
        <v>1298.53</v>
      </c>
      <c r="H9483" s="63" t="n">
        <v>0.128</v>
      </c>
      <c r="I9483" s="62" t="n">
        <v>975.02</v>
      </c>
      <c r="J9483" s="58" t="inlineStr">
        <is>
          <t>Store</t>
        </is>
      </c>
      <c r="K9483" s="62">
        <f>F9483*(G9483-H9483)</f>
        <v/>
      </c>
      <c r="L9483" s="62">
        <f>K9483-(F9483*I9483)</f>
        <v/>
      </c>
      <c r="M9483" s="64">
        <f>L9483/K9483</f>
        <v/>
      </c>
    </row>
    <row r="9484">
      <c r="A9484" s="58" t="inlineStr">
        <is>
          <t>RT20250826-09483</t>
        </is>
      </c>
      <c r="B9484" s="59" t="inlineStr">
        <is>
          <t>2025-08-26</t>
        </is>
      </c>
      <c r="C9484" s="60" t="inlineStr">
        <is>
          <t>Metro Smartphone Max-773</t>
        </is>
      </c>
      <c r="D9484" s="58" t="inlineStr">
        <is>
          <t>Electronics</t>
        </is>
      </c>
      <c r="E9484" s="58" t="inlineStr">
        <is>
          <t>West</t>
        </is>
      </c>
      <c r="F9484" s="61" t="n">
        <v>2</v>
      </c>
      <c r="G9484" s="62" t="n">
        <v>1221.96</v>
      </c>
      <c r="H9484" s="63" t="n">
        <v>0.194</v>
      </c>
      <c r="I9484" s="62" t="n">
        <v>956.21</v>
      </c>
      <c r="J9484" s="58" t="inlineStr">
        <is>
          <t>Store</t>
        </is>
      </c>
      <c r="K9484" s="62">
        <f>F9484*(G9484-H9484)</f>
        <v/>
      </c>
      <c r="L9484" s="62">
        <f>K9484-(F9484*I9484)</f>
        <v/>
      </c>
      <c r="M9484" s="64">
        <f>L9484/K9484</f>
        <v/>
      </c>
    </row>
    <row r="9485">
      <c r="A9485" s="58" t="inlineStr">
        <is>
          <t>RT20250826-09484</t>
        </is>
      </c>
      <c r="B9485" s="59" t="inlineStr">
        <is>
          <t>2025-08-26</t>
        </is>
      </c>
      <c r="C9485" s="60" t="inlineStr">
        <is>
          <t>Metro Wearable Plus-234</t>
        </is>
      </c>
      <c r="D9485" s="58" t="inlineStr">
        <is>
          <t>Electronics</t>
        </is>
      </c>
      <c r="E9485" s="58" t="inlineStr">
        <is>
          <t>West</t>
        </is>
      </c>
      <c r="F9485" s="61" t="n">
        <v>1</v>
      </c>
      <c r="G9485" s="62" t="n">
        <v>1605.62</v>
      </c>
      <c r="H9485" s="63" t="n">
        <v>0.16</v>
      </c>
      <c r="I9485" s="62" t="n">
        <v>1149.93</v>
      </c>
      <c r="J9485" s="58" t="inlineStr">
        <is>
          <t>Store</t>
        </is>
      </c>
      <c r="K9485" s="62">
        <f>F9485*(G9485-H9485)</f>
        <v/>
      </c>
      <c r="L9485" s="62">
        <f>K9485-(F9485*I9485)</f>
        <v/>
      </c>
      <c r="M9485" s="64">
        <f>L9485/K9485</f>
        <v/>
      </c>
    </row>
    <row r="9486">
      <c r="A9486" s="58" t="inlineStr">
        <is>
          <t>RT20250826-09485</t>
        </is>
      </c>
      <c r="B9486" s="59" t="inlineStr">
        <is>
          <t>2025-08-26</t>
        </is>
      </c>
      <c r="C9486" s="60" t="inlineStr">
        <is>
          <t>Metro Pantry X-710</t>
        </is>
      </c>
      <c r="D9486" s="58" t="inlineStr">
        <is>
          <t>Grocery</t>
        </is>
      </c>
      <c r="E9486" s="58" t="inlineStr">
        <is>
          <t>West</t>
        </is>
      </c>
      <c r="F9486" s="61" t="n">
        <v>1</v>
      </c>
      <c r="G9486" s="62" t="n">
        <v>5.6</v>
      </c>
      <c r="H9486" s="63" t="n">
        <v>0.23</v>
      </c>
      <c r="I9486" s="62" t="n">
        <v>4.19</v>
      </c>
      <c r="J9486" s="58" t="inlineStr">
        <is>
          <t>Store</t>
        </is>
      </c>
      <c r="K9486" s="62">
        <f>F9486*(G9486-H9486)</f>
        <v/>
      </c>
      <c r="L9486" s="62">
        <f>K9486-(F9486*I9486)</f>
        <v/>
      </c>
      <c r="M9486" s="64">
        <f>L9486/K9486</f>
        <v/>
      </c>
    </row>
    <row r="9487">
      <c r="A9487" s="58" t="inlineStr">
        <is>
          <t>RT20250826-09486</t>
        </is>
      </c>
      <c r="B9487" s="59" t="inlineStr">
        <is>
          <t>2025-08-26</t>
        </is>
      </c>
      <c r="C9487" s="60" t="inlineStr">
        <is>
          <t>Metro Printer X-294</t>
        </is>
      </c>
      <c r="D9487" s="58" t="inlineStr">
        <is>
          <t>Office</t>
        </is>
      </c>
      <c r="E9487" s="58" t="inlineStr">
        <is>
          <t>East</t>
        </is>
      </c>
      <c r="F9487" s="61" t="n">
        <v>1</v>
      </c>
      <c r="G9487" s="62" t="n">
        <v>544.33</v>
      </c>
      <c r="H9487" s="63" t="n">
        <v>0.176</v>
      </c>
      <c r="I9487" s="62" t="n">
        <v>403.75</v>
      </c>
      <c r="J9487" s="58" t="inlineStr">
        <is>
          <t>Store</t>
        </is>
      </c>
      <c r="K9487" s="62">
        <f>F9487*(G9487-H9487)</f>
        <v/>
      </c>
      <c r="L9487" s="62">
        <f>K9487-(F9487*I9487)</f>
        <v/>
      </c>
      <c r="M9487" s="64">
        <f>L9487/K9487</f>
        <v/>
      </c>
    </row>
    <row r="9488">
      <c r="A9488" s="58" t="inlineStr">
        <is>
          <t>RT20250826-09487</t>
        </is>
      </c>
      <c r="B9488" s="59" t="inlineStr">
        <is>
          <t>2025-08-26</t>
        </is>
      </c>
      <c r="C9488" s="60" t="inlineStr">
        <is>
          <t>Falcon Headphone Plus-789</t>
        </is>
      </c>
      <c r="D9488" s="58" t="inlineStr">
        <is>
          <t>Electronics</t>
        </is>
      </c>
      <c r="E9488" s="58" t="inlineStr">
        <is>
          <t>East</t>
        </is>
      </c>
      <c r="F9488" s="61" t="n">
        <v>1</v>
      </c>
      <c r="G9488" s="62" t="n">
        <v>1508.84</v>
      </c>
      <c r="H9488" s="63" t="n">
        <v>0.158</v>
      </c>
      <c r="I9488" s="62" t="n">
        <v>1233.44</v>
      </c>
      <c r="J9488" s="58" t="inlineStr">
        <is>
          <t>Online</t>
        </is>
      </c>
      <c r="K9488" s="62">
        <f>F9488*(G9488-H9488)</f>
        <v/>
      </c>
      <c r="L9488" s="62">
        <f>K9488-(F9488*I9488)</f>
        <v/>
      </c>
      <c r="M9488" s="64">
        <f>L9488/K9488</f>
        <v/>
      </c>
    </row>
    <row r="9489">
      <c r="A9489" s="58" t="inlineStr">
        <is>
          <t>RT20250826-09488</t>
        </is>
      </c>
      <c r="B9489" s="59" t="inlineStr">
        <is>
          <t>2025-08-26</t>
        </is>
      </c>
      <c r="C9489" s="60" t="inlineStr">
        <is>
          <t>Aurora Makeup S-626</t>
        </is>
      </c>
      <c r="D9489" s="58" t="inlineStr">
        <is>
          <t>Beauty</t>
        </is>
      </c>
      <c r="E9489" s="58" t="inlineStr">
        <is>
          <t>West</t>
        </is>
      </c>
      <c r="F9489" s="61" t="n">
        <v>1</v>
      </c>
      <c r="G9489" s="62" t="n">
        <v>100.39</v>
      </c>
      <c r="H9489" s="63" t="n">
        <v>0.167</v>
      </c>
      <c r="I9489" s="62" t="n">
        <v>65.59</v>
      </c>
      <c r="J9489" s="58" t="inlineStr">
        <is>
          <t>Online</t>
        </is>
      </c>
      <c r="K9489" s="62">
        <f>F9489*(G9489-H9489)</f>
        <v/>
      </c>
      <c r="L9489" s="62">
        <f>K9489-(F9489*I9489)</f>
        <v/>
      </c>
      <c r="M9489" s="64">
        <f>L9489/K9489</f>
        <v/>
      </c>
    </row>
    <row r="9490">
      <c r="A9490" s="58" t="inlineStr">
        <is>
          <t>RT20250826-09489</t>
        </is>
      </c>
      <c r="B9490" s="59" t="inlineStr">
        <is>
          <t>2025-08-26</t>
        </is>
      </c>
      <c r="C9490" s="60" t="inlineStr">
        <is>
          <t>Orion Laptop S-350</t>
        </is>
      </c>
      <c r="D9490" s="58" t="inlineStr">
        <is>
          <t>Electronics</t>
        </is>
      </c>
      <c r="E9490" s="58" t="inlineStr">
        <is>
          <t>East</t>
        </is>
      </c>
      <c r="F9490" s="61" t="n">
        <v>2</v>
      </c>
      <c r="G9490" s="62" t="n">
        <v>1245.68</v>
      </c>
      <c r="H9490" s="63" t="n">
        <v>0.145</v>
      </c>
      <c r="I9490" s="62" t="n">
        <v>1034.03</v>
      </c>
      <c r="J9490" s="58" t="inlineStr">
        <is>
          <t>Online</t>
        </is>
      </c>
      <c r="K9490" s="62">
        <f>F9490*(G9490-H9490)</f>
        <v/>
      </c>
      <c r="L9490" s="62">
        <f>K9490-(F9490*I9490)</f>
        <v/>
      </c>
      <c r="M9490" s="64">
        <f>L9490/K9490</f>
        <v/>
      </c>
    </row>
    <row r="9491">
      <c r="A9491" s="58" t="inlineStr">
        <is>
          <t>RT20250826-09490</t>
        </is>
      </c>
      <c r="B9491" s="59" t="inlineStr">
        <is>
          <t>2025-08-26</t>
        </is>
      </c>
      <c r="C9491" s="60" t="inlineStr">
        <is>
          <t>Aurora Wearable Lite-704</t>
        </is>
      </c>
      <c r="D9491" s="58" t="inlineStr">
        <is>
          <t>Electronics</t>
        </is>
      </c>
      <c r="E9491" s="58" t="inlineStr">
        <is>
          <t>East</t>
        </is>
      </c>
      <c r="F9491" s="61" t="n">
        <v>2</v>
      </c>
      <c r="G9491" s="62" t="n">
        <v>1807.95</v>
      </c>
      <c r="H9491" s="63" t="n">
        <v>0.143</v>
      </c>
      <c r="I9491" s="62" t="n">
        <v>1449.2</v>
      </c>
      <c r="J9491" s="58" t="inlineStr">
        <is>
          <t>Online</t>
        </is>
      </c>
      <c r="K9491" s="62">
        <f>F9491*(G9491-H9491)</f>
        <v/>
      </c>
      <c r="L9491" s="62">
        <f>K9491-(F9491*I9491)</f>
        <v/>
      </c>
      <c r="M9491" s="64">
        <f>L9491/K9491</f>
        <v/>
      </c>
    </row>
    <row r="9492">
      <c r="A9492" s="58" t="inlineStr">
        <is>
          <t>RT20250826-09491</t>
        </is>
      </c>
      <c r="B9492" s="59" t="inlineStr">
        <is>
          <t>2025-08-26</t>
        </is>
      </c>
      <c r="C9492" s="60" t="inlineStr">
        <is>
          <t>Aurora Household Plus-146</t>
        </is>
      </c>
      <c r="D9492" s="58" t="inlineStr">
        <is>
          <t>Grocery</t>
        </is>
      </c>
      <c r="E9492" s="58" t="inlineStr">
        <is>
          <t>East</t>
        </is>
      </c>
      <c r="F9492" s="61" t="n">
        <v>5</v>
      </c>
      <c r="G9492" s="62" t="n">
        <v>6.35</v>
      </c>
      <c r="H9492" s="63" t="n">
        <v>0.143</v>
      </c>
      <c r="I9492" s="62" t="n">
        <v>4.5</v>
      </c>
      <c r="J9492" s="58" t="inlineStr">
        <is>
          <t>Store</t>
        </is>
      </c>
      <c r="K9492" s="62">
        <f>F9492*(G9492-H9492)</f>
        <v/>
      </c>
      <c r="L9492" s="62">
        <f>K9492-(F9492*I9492)</f>
        <v/>
      </c>
      <c r="M9492" s="64">
        <f>L9492/K9492</f>
        <v/>
      </c>
    </row>
    <row r="9493">
      <c r="A9493" s="58" t="inlineStr">
        <is>
          <t>RT20250827-09492</t>
        </is>
      </c>
      <c r="B9493" s="59" t="inlineStr">
        <is>
          <t>2025-08-27</t>
        </is>
      </c>
      <c r="C9493" s="60" t="inlineStr">
        <is>
          <t>Vertex Skincare Pro-891</t>
        </is>
      </c>
      <c r="D9493" s="58" t="inlineStr">
        <is>
          <t>Beauty</t>
        </is>
      </c>
      <c r="E9493" s="58" t="inlineStr">
        <is>
          <t>East</t>
        </is>
      </c>
      <c r="F9493" s="61" t="n">
        <v>3</v>
      </c>
      <c r="G9493" s="62" t="n">
        <v>145.76</v>
      </c>
      <c r="H9493" s="63" t="n">
        <v>0.202</v>
      </c>
      <c r="I9493" s="62" t="n">
        <v>90.22</v>
      </c>
      <c r="J9493" s="58" t="inlineStr">
        <is>
          <t>Store</t>
        </is>
      </c>
      <c r="K9493" s="62">
        <f>F9493*(G9493-H9493)</f>
        <v/>
      </c>
      <c r="L9493" s="62">
        <f>K9493-(F9493*I9493)</f>
        <v/>
      </c>
      <c r="M9493" s="64">
        <f>L9493/K9493</f>
        <v/>
      </c>
    </row>
    <row r="9494">
      <c r="A9494" s="58" t="inlineStr">
        <is>
          <t>RT20250827-09493</t>
        </is>
      </c>
      <c r="B9494" s="59" t="inlineStr">
        <is>
          <t>2025-08-27</t>
        </is>
      </c>
      <c r="C9494" s="60" t="inlineStr">
        <is>
          <t>Nimbus Laptop Max-652</t>
        </is>
      </c>
      <c r="D9494" s="58" t="inlineStr">
        <is>
          <t>Electronics</t>
        </is>
      </c>
      <c r="E9494" s="58" t="inlineStr">
        <is>
          <t>Central</t>
        </is>
      </c>
      <c r="F9494" s="61" t="n">
        <v>1</v>
      </c>
      <c r="G9494" s="62" t="n">
        <v>1385.81</v>
      </c>
      <c r="H9494" s="63" t="n">
        <v>0.161</v>
      </c>
      <c r="I9494" s="62" t="n">
        <v>1048.96</v>
      </c>
      <c r="J9494" s="58" t="inlineStr">
        <is>
          <t>Phone</t>
        </is>
      </c>
      <c r="K9494" s="62">
        <f>F9494*(G9494-H9494)</f>
        <v/>
      </c>
      <c r="L9494" s="62">
        <f>K9494-(F9494*I9494)</f>
        <v/>
      </c>
      <c r="M9494" s="64">
        <f>L9494/K9494</f>
        <v/>
      </c>
    </row>
    <row r="9495">
      <c r="A9495" s="58" t="inlineStr">
        <is>
          <t>RT20250827-09494</t>
        </is>
      </c>
      <c r="B9495" s="59" t="inlineStr">
        <is>
          <t>2025-08-27</t>
        </is>
      </c>
      <c r="C9495" s="60" t="inlineStr">
        <is>
          <t>Polar Fragrance Pro-750</t>
        </is>
      </c>
      <c r="D9495" s="58" t="inlineStr">
        <is>
          <t>Beauty</t>
        </is>
      </c>
      <c r="E9495" s="58" t="inlineStr">
        <is>
          <t>Central</t>
        </is>
      </c>
      <c r="F9495" s="61" t="n">
        <v>3</v>
      </c>
      <c r="G9495" s="62" t="n">
        <v>60.38</v>
      </c>
      <c r="H9495" s="63" t="n">
        <v>0.14</v>
      </c>
      <c r="I9495" s="62" t="n">
        <v>35.85</v>
      </c>
      <c r="J9495" s="58" t="inlineStr">
        <is>
          <t>Online</t>
        </is>
      </c>
      <c r="K9495" s="62">
        <f>F9495*(G9495-H9495)</f>
        <v/>
      </c>
      <c r="L9495" s="62">
        <f>K9495-(F9495*I9495)</f>
        <v/>
      </c>
      <c r="M9495" s="64">
        <f>L9495/K9495</f>
        <v/>
      </c>
    </row>
    <row r="9496">
      <c r="A9496" s="58" t="inlineStr">
        <is>
          <t>RT20250827-09495</t>
        </is>
      </c>
      <c r="B9496" s="59" t="inlineStr">
        <is>
          <t>2025-08-27</t>
        </is>
      </c>
      <c r="C9496" s="60" t="inlineStr">
        <is>
          <t>Metro Outdoor Plus-787</t>
        </is>
      </c>
      <c r="D9496" s="58" t="inlineStr">
        <is>
          <t>Sports</t>
        </is>
      </c>
      <c r="E9496" s="58" t="inlineStr">
        <is>
          <t>East</t>
        </is>
      </c>
      <c r="F9496" s="61" t="n">
        <v>1</v>
      </c>
      <c r="G9496" s="62" t="n">
        <v>486.48</v>
      </c>
      <c r="H9496" s="63" t="n">
        <v>0.193</v>
      </c>
      <c r="I9496" s="62" t="n">
        <v>342.9</v>
      </c>
      <c r="J9496" s="58" t="inlineStr">
        <is>
          <t>Online</t>
        </is>
      </c>
      <c r="K9496" s="62">
        <f>F9496*(G9496-H9496)</f>
        <v/>
      </c>
      <c r="L9496" s="62">
        <f>K9496-(F9496*I9496)</f>
        <v/>
      </c>
      <c r="M9496" s="64">
        <f>L9496/K9496</f>
        <v/>
      </c>
    </row>
    <row r="9497">
      <c r="A9497" s="58" t="inlineStr">
        <is>
          <t>RT20250827-09496</t>
        </is>
      </c>
      <c r="B9497" s="59" t="inlineStr">
        <is>
          <t>2025-08-27</t>
        </is>
      </c>
      <c r="C9497" s="60" t="inlineStr">
        <is>
          <t>Aurora Storage Lite-774</t>
        </is>
      </c>
      <c r="D9497" s="58" t="inlineStr">
        <is>
          <t>Office</t>
        </is>
      </c>
      <c r="E9497" s="58" t="inlineStr">
        <is>
          <t>South</t>
        </is>
      </c>
      <c r="F9497" s="61" t="n">
        <v>1</v>
      </c>
      <c r="G9497" s="62" t="n">
        <v>337.11</v>
      </c>
      <c r="H9497" s="63" t="n">
        <v>0.176</v>
      </c>
      <c r="I9497" s="62" t="n">
        <v>240.16</v>
      </c>
      <c r="J9497" s="58" t="inlineStr">
        <is>
          <t>Phone</t>
        </is>
      </c>
      <c r="K9497" s="62">
        <f>F9497*(G9497-H9497)</f>
        <v/>
      </c>
      <c r="L9497" s="62">
        <f>K9497-(F9497*I9497)</f>
        <v/>
      </c>
      <c r="M9497" s="64">
        <f>L9497/K9497</f>
        <v/>
      </c>
    </row>
    <row r="9498">
      <c r="A9498" s="58" t="inlineStr">
        <is>
          <t>RT20250827-09497</t>
        </is>
      </c>
      <c r="B9498" s="59" t="inlineStr">
        <is>
          <t>2025-08-27</t>
        </is>
      </c>
      <c r="C9498" s="60" t="inlineStr">
        <is>
          <t>Falcon Household Plus-796</t>
        </is>
      </c>
      <c r="D9498" s="58" t="inlineStr">
        <is>
          <t>Grocery</t>
        </is>
      </c>
      <c r="E9498" s="58" t="inlineStr">
        <is>
          <t>North</t>
        </is>
      </c>
      <c r="F9498" s="61" t="n">
        <v>4</v>
      </c>
      <c r="G9498" s="62" t="n">
        <v>24.44</v>
      </c>
      <c r="H9498" s="63" t="n">
        <v>0.154</v>
      </c>
      <c r="I9498" s="62" t="n">
        <v>17.01</v>
      </c>
      <c r="J9498" s="58" t="inlineStr">
        <is>
          <t>Online</t>
        </is>
      </c>
      <c r="K9498" s="62">
        <f>F9498*(G9498-H9498)</f>
        <v/>
      </c>
      <c r="L9498" s="62">
        <f>K9498-(F9498*I9498)</f>
        <v/>
      </c>
      <c r="M9498" s="64">
        <f>L9498/K9498</f>
        <v/>
      </c>
    </row>
    <row r="9499">
      <c r="A9499" s="58" t="inlineStr">
        <is>
          <t>RT20250827-09498</t>
        </is>
      </c>
      <c r="B9499" s="59" t="inlineStr">
        <is>
          <t>2025-08-27</t>
        </is>
      </c>
      <c r="C9499" s="60" t="inlineStr">
        <is>
          <t>Vertex Smartphone Lite-267</t>
        </is>
      </c>
      <c r="D9499" s="58" t="inlineStr">
        <is>
          <t>Electronics</t>
        </is>
      </c>
      <c r="E9499" s="58" t="inlineStr">
        <is>
          <t>North</t>
        </is>
      </c>
      <c r="F9499" s="61" t="n">
        <v>2</v>
      </c>
      <c r="G9499" s="62" t="n">
        <v>1324.13</v>
      </c>
      <c r="H9499" s="63" t="n">
        <v>0.074</v>
      </c>
      <c r="I9499" s="62" t="n">
        <v>962.51</v>
      </c>
      <c r="J9499" s="58" t="inlineStr">
        <is>
          <t>Online</t>
        </is>
      </c>
      <c r="K9499" s="62">
        <f>F9499*(G9499-H9499)</f>
        <v/>
      </c>
      <c r="L9499" s="62">
        <f>K9499-(F9499*I9499)</f>
        <v/>
      </c>
      <c r="M9499" s="64">
        <f>L9499/K9499</f>
        <v/>
      </c>
    </row>
    <row r="9500">
      <c r="A9500" s="58" t="inlineStr">
        <is>
          <t>RT20250827-09499</t>
        </is>
      </c>
      <c r="B9500" s="59" t="inlineStr">
        <is>
          <t>2025-08-27</t>
        </is>
      </c>
      <c r="C9500" s="60" t="inlineStr">
        <is>
          <t>Solace Kitchen Pro-999</t>
        </is>
      </c>
      <c r="D9500" s="58" t="inlineStr">
        <is>
          <t>Home</t>
        </is>
      </c>
      <c r="E9500" s="58" t="inlineStr">
        <is>
          <t>West</t>
        </is>
      </c>
      <c r="F9500" s="61" t="n">
        <v>3</v>
      </c>
      <c r="G9500" s="62" t="n">
        <v>370.98</v>
      </c>
      <c r="H9500" s="63" t="n">
        <v>0.166</v>
      </c>
      <c r="I9500" s="62" t="n">
        <v>266.01</v>
      </c>
      <c r="J9500" s="58" t="inlineStr">
        <is>
          <t>Phone</t>
        </is>
      </c>
      <c r="K9500" s="62">
        <f>F9500*(G9500-H9500)</f>
        <v/>
      </c>
      <c r="L9500" s="62">
        <f>K9500-(F9500*I9500)</f>
        <v/>
      </c>
      <c r="M9500" s="64">
        <f>L9500/K9500</f>
        <v/>
      </c>
    </row>
    <row r="9501">
      <c r="A9501" s="58" t="inlineStr">
        <is>
          <t>RT20250827-09500</t>
        </is>
      </c>
      <c r="B9501" s="59" t="inlineStr">
        <is>
          <t>2025-08-27</t>
        </is>
      </c>
      <c r="C9501" s="60" t="inlineStr">
        <is>
          <t>Polar Snack Pro-641</t>
        </is>
      </c>
      <c r="D9501" s="58" t="inlineStr">
        <is>
          <t>Grocery</t>
        </is>
      </c>
      <c r="E9501" s="58" t="inlineStr">
        <is>
          <t>North</t>
        </is>
      </c>
      <c r="F9501" s="61" t="n">
        <v>1</v>
      </c>
      <c r="G9501" s="62" t="n">
        <v>13.65</v>
      </c>
      <c r="H9501" s="63" t="n">
        <v>0.122</v>
      </c>
      <c r="I9501" s="62" t="n">
        <v>9.449999999999999</v>
      </c>
      <c r="J9501" s="58" t="inlineStr">
        <is>
          <t>Store</t>
        </is>
      </c>
      <c r="K9501" s="62">
        <f>F9501*(G9501-H9501)</f>
        <v/>
      </c>
      <c r="L9501" s="62">
        <f>K9501-(F9501*I9501)</f>
        <v/>
      </c>
      <c r="M9501" s="64">
        <f>L9501/K9501</f>
        <v/>
      </c>
    </row>
    <row r="9502">
      <c r="A9502" s="58" t="inlineStr">
        <is>
          <t>RT20250827-09501</t>
        </is>
      </c>
      <c r="B9502" s="59" t="inlineStr">
        <is>
          <t>2025-08-27</t>
        </is>
      </c>
      <c r="C9502" s="60" t="inlineStr">
        <is>
          <t>Nimbus Cycling Plus-911</t>
        </is>
      </c>
      <c r="D9502" s="58" t="inlineStr">
        <is>
          <t>Sports</t>
        </is>
      </c>
      <c r="E9502" s="58" t="inlineStr">
        <is>
          <t>South</t>
        </is>
      </c>
      <c r="F9502" s="61" t="n">
        <v>1</v>
      </c>
      <c r="G9502" s="62" t="n">
        <v>613.88</v>
      </c>
      <c r="H9502" s="63" t="n">
        <v>0.193</v>
      </c>
      <c r="I9502" s="62" t="n">
        <v>387.86</v>
      </c>
      <c r="J9502" s="58" t="inlineStr">
        <is>
          <t>Online</t>
        </is>
      </c>
      <c r="K9502" s="62">
        <f>F9502*(G9502-H9502)</f>
        <v/>
      </c>
      <c r="L9502" s="62">
        <f>K9502-(F9502*I9502)</f>
        <v/>
      </c>
      <c r="M9502" s="64">
        <f>L9502/K9502</f>
        <v/>
      </c>
    </row>
    <row r="9503">
      <c r="A9503" s="58" t="inlineStr">
        <is>
          <t>RT20250827-09502</t>
        </is>
      </c>
      <c r="B9503" s="59" t="inlineStr">
        <is>
          <t>2025-08-27</t>
        </is>
      </c>
      <c r="C9503" s="60" t="inlineStr">
        <is>
          <t>Orion Kid Max-864</t>
        </is>
      </c>
      <c r="D9503" s="58" t="inlineStr">
        <is>
          <t>Apparel</t>
        </is>
      </c>
      <c r="E9503" s="58" t="inlineStr">
        <is>
          <t>West</t>
        </is>
      </c>
      <c r="F9503" s="61" t="n">
        <v>4</v>
      </c>
      <c r="G9503" s="62" t="n">
        <v>81.2</v>
      </c>
      <c r="H9503" s="63" t="n">
        <v>0.153</v>
      </c>
      <c r="I9503" s="62" t="n">
        <v>45.68</v>
      </c>
      <c r="J9503" s="58" t="inlineStr">
        <is>
          <t>Online</t>
        </is>
      </c>
      <c r="K9503" s="62">
        <f>F9503*(G9503-H9503)</f>
        <v/>
      </c>
      <c r="L9503" s="62">
        <f>K9503-(F9503*I9503)</f>
        <v/>
      </c>
      <c r="M9503" s="64">
        <f>L9503/K9503</f>
        <v/>
      </c>
    </row>
    <row r="9504">
      <c r="A9504" s="58" t="inlineStr">
        <is>
          <t>RT20250827-09503</t>
        </is>
      </c>
      <c r="B9504" s="59" t="inlineStr">
        <is>
          <t>2025-08-27</t>
        </is>
      </c>
      <c r="C9504" s="60" t="inlineStr">
        <is>
          <t>Nimbus Storage Plus-646</t>
        </is>
      </c>
      <c r="D9504" s="58" t="inlineStr">
        <is>
          <t>Office</t>
        </is>
      </c>
      <c r="E9504" s="58" t="inlineStr">
        <is>
          <t>South</t>
        </is>
      </c>
      <c r="F9504" s="61" t="n">
        <v>1</v>
      </c>
      <c r="G9504" s="62" t="n">
        <v>510.84</v>
      </c>
      <c r="H9504" s="63" t="n">
        <v>0.162</v>
      </c>
      <c r="I9504" s="62" t="n">
        <v>310.02</v>
      </c>
      <c r="J9504" s="58" t="inlineStr">
        <is>
          <t>Store</t>
        </is>
      </c>
      <c r="K9504" s="62">
        <f>F9504*(G9504-H9504)</f>
        <v/>
      </c>
      <c r="L9504" s="62">
        <f>K9504-(F9504*I9504)</f>
        <v/>
      </c>
      <c r="M9504" s="64">
        <f>L9504/K9504</f>
        <v/>
      </c>
    </row>
    <row r="9505">
      <c r="A9505" s="58" t="inlineStr">
        <is>
          <t>RT20250827-09504</t>
        </is>
      </c>
      <c r="B9505" s="59" t="inlineStr">
        <is>
          <t>2025-08-27</t>
        </is>
      </c>
      <c r="C9505" s="60" t="inlineStr">
        <is>
          <t>Metro Wearable Plus-234</t>
        </is>
      </c>
      <c r="D9505" s="58" t="inlineStr">
        <is>
          <t>Electronics</t>
        </is>
      </c>
      <c r="E9505" s="58" t="inlineStr">
        <is>
          <t>South</t>
        </is>
      </c>
      <c r="F9505" s="61" t="n">
        <v>2</v>
      </c>
      <c r="G9505" s="62" t="n">
        <v>1534.86</v>
      </c>
      <c r="H9505" s="63" t="n">
        <v>0.08799999999999999</v>
      </c>
      <c r="I9505" s="62" t="n">
        <v>1177.04</v>
      </c>
      <c r="J9505" s="58" t="inlineStr">
        <is>
          <t>Phone</t>
        </is>
      </c>
      <c r="K9505" s="62">
        <f>F9505*(G9505-H9505)</f>
        <v/>
      </c>
      <c r="L9505" s="62">
        <f>K9505-(F9505*I9505)</f>
        <v/>
      </c>
      <c r="M9505" s="64">
        <f>L9505/K9505</f>
        <v/>
      </c>
    </row>
    <row r="9506">
      <c r="A9506" s="58" t="inlineStr">
        <is>
          <t>RT20250827-09505</t>
        </is>
      </c>
      <c r="B9506" s="59" t="inlineStr">
        <is>
          <t>2025-08-27</t>
        </is>
      </c>
      <c r="C9506" s="60" t="inlineStr">
        <is>
          <t>Orion Men X-928</t>
        </is>
      </c>
      <c r="D9506" s="58" t="inlineStr">
        <is>
          <t>Apparel</t>
        </is>
      </c>
      <c r="E9506" s="58" t="inlineStr">
        <is>
          <t>West</t>
        </is>
      </c>
      <c r="F9506" s="61" t="n">
        <v>1</v>
      </c>
      <c r="G9506" s="62" t="n">
        <v>108.06</v>
      </c>
      <c r="H9506" s="63" t="n">
        <v>0.168</v>
      </c>
      <c r="I9506" s="62" t="n">
        <v>62.89</v>
      </c>
      <c r="J9506" s="58" t="inlineStr">
        <is>
          <t>Online</t>
        </is>
      </c>
      <c r="K9506" s="62">
        <f>F9506*(G9506-H9506)</f>
        <v/>
      </c>
      <c r="L9506" s="62">
        <f>K9506-(F9506*I9506)</f>
        <v/>
      </c>
      <c r="M9506" s="64">
        <f>L9506/K9506</f>
        <v/>
      </c>
    </row>
    <row r="9507">
      <c r="A9507" s="58" t="inlineStr">
        <is>
          <t>RT20250827-09506</t>
        </is>
      </c>
      <c r="B9507" s="59" t="inlineStr">
        <is>
          <t>2025-08-27</t>
        </is>
      </c>
      <c r="C9507" s="60" t="inlineStr">
        <is>
          <t>Falcon Beverage Max-702</t>
        </is>
      </c>
      <c r="D9507" s="58" t="inlineStr">
        <is>
          <t>Grocery</t>
        </is>
      </c>
      <c r="E9507" s="58" t="inlineStr">
        <is>
          <t>Central</t>
        </is>
      </c>
      <c r="F9507" s="61" t="n">
        <v>4</v>
      </c>
      <c r="G9507" s="62" t="n">
        <v>25.36</v>
      </c>
      <c r="H9507" s="63" t="n">
        <v>0.184</v>
      </c>
      <c r="I9507" s="62" t="n">
        <v>19.99</v>
      </c>
      <c r="J9507" s="58" t="inlineStr">
        <is>
          <t>Online</t>
        </is>
      </c>
      <c r="K9507" s="62">
        <f>F9507*(G9507-H9507)</f>
        <v/>
      </c>
      <c r="L9507" s="62">
        <f>K9507-(F9507*I9507)</f>
        <v/>
      </c>
      <c r="M9507" s="64">
        <f>L9507/K9507</f>
        <v/>
      </c>
    </row>
    <row r="9508">
      <c r="A9508" s="58" t="inlineStr">
        <is>
          <t>RT20250827-09507</t>
        </is>
      </c>
      <c r="B9508" s="59" t="inlineStr">
        <is>
          <t>2025-08-27</t>
        </is>
      </c>
      <c r="C9508" s="60" t="inlineStr">
        <is>
          <t>Falcon Household Plus-172</t>
        </is>
      </c>
      <c r="D9508" s="58" t="inlineStr">
        <is>
          <t>Grocery</t>
        </is>
      </c>
      <c r="E9508" s="58" t="inlineStr">
        <is>
          <t>South</t>
        </is>
      </c>
      <c r="F9508" s="61" t="n">
        <v>4</v>
      </c>
      <c r="G9508" s="62" t="n">
        <v>23.12</v>
      </c>
      <c r="H9508" s="63" t="n">
        <v>0.1</v>
      </c>
      <c r="I9508" s="62" t="n">
        <v>15.84</v>
      </c>
      <c r="J9508" s="58" t="inlineStr">
        <is>
          <t>Online</t>
        </is>
      </c>
      <c r="K9508" s="62">
        <f>F9508*(G9508-H9508)</f>
        <v/>
      </c>
      <c r="L9508" s="62">
        <f>K9508-(F9508*I9508)</f>
        <v/>
      </c>
      <c r="M9508" s="64">
        <f>L9508/K9508</f>
        <v/>
      </c>
    </row>
    <row r="9509">
      <c r="A9509" s="58" t="inlineStr">
        <is>
          <t>RT20250827-09508</t>
        </is>
      </c>
      <c r="B9509" s="59" t="inlineStr">
        <is>
          <t>2025-08-27</t>
        </is>
      </c>
      <c r="C9509" s="60" t="inlineStr">
        <is>
          <t>Solace Kid S-384</t>
        </is>
      </c>
      <c r="D9509" s="58" t="inlineStr">
        <is>
          <t>Apparel</t>
        </is>
      </c>
      <c r="E9509" s="58" t="inlineStr">
        <is>
          <t>East</t>
        </is>
      </c>
      <c r="F9509" s="61" t="n">
        <v>3</v>
      </c>
      <c r="G9509" s="62" t="n">
        <v>96.59999999999999</v>
      </c>
      <c r="H9509" s="63" t="n">
        <v>0.19</v>
      </c>
      <c r="I9509" s="62" t="n">
        <v>62.36</v>
      </c>
      <c r="J9509" s="58" t="inlineStr">
        <is>
          <t>Online</t>
        </is>
      </c>
      <c r="K9509" s="62">
        <f>F9509*(G9509-H9509)</f>
        <v/>
      </c>
      <c r="L9509" s="62">
        <f>K9509-(F9509*I9509)</f>
        <v/>
      </c>
      <c r="M9509" s="64">
        <f>L9509/K9509</f>
        <v/>
      </c>
    </row>
    <row r="9510">
      <c r="A9510" s="58" t="inlineStr">
        <is>
          <t>RT20250827-09509</t>
        </is>
      </c>
      <c r="B9510" s="59" t="inlineStr">
        <is>
          <t>2025-08-27</t>
        </is>
      </c>
      <c r="C9510" s="60" t="inlineStr">
        <is>
          <t>Vertex Headphone Pro-801</t>
        </is>
      </c>
      <c r="D9510" s="58" t="inlineStr">
        <is>
          <t>Electronics</t>
        </is>
      </c>
      <c r="E9510" s="58" t="inlineStr">
        <is>
          <t>West</t>
        </is>
      </c>
      <c r="F9510" s="61" t="n">
        <v>1</v>
      </c>
      <c r="G9510" s="62" t="n">
        <v>1196.87</v>
      </c>
      <c r="H9510" s="63" t="n">
        <v>0.126</v>
      </c>
      <c r="I9510" s="62" t="n">
        <v>996.1900000000001</v>
      </c>
      <c r="J9510" s="58" t="inlineStr">
        <is>
          <t>Store</t>
        </is>
      </c>
      <c r="K9510" s="62">
        <f>F9510*(G9510-H9510)</f>
        <v/>
      </c>
      <c r="L9510" s="62">
        <f>K9510-(F9510*I9510)</f>
        <v/>
      </c>
      <c r="M9510" s="64">
        <f>L9510/K9510</f>
        <v/>
      </c>
    </row>
    <row r="9511">
      <c r="A9511" s="58" t="inlineStr">
        <is>
          <t>RT20250827-09510</t>
        </is>
      </c>
      <c r="B9511" s="59" t="inlineStr">
        <is>
          <t>2025-08-27</t>
        </is>
      </c>
      <c r="C9511" s="60" t="inlineStr">
        <is>
          <t>Polar Haircare Max-614</t>
        </is>
      </c>
      <c r="D9511" s="58" t="inlineStr">
        <is>
          <t>Beauty</t>
        </is>
      </c>
      <c r="E9511" s="58" t="inlineStr">
        <is>
          <t>North</t>
        </is>
      </c>
      <c r="F9511" s="61" t="n">
        <v>4</v>
      </c>
      <c r="G9511" s="62" t="n">
        <v>102.34</v>
      </c>
      <c r="H9511" s="63" t="n">
        <v>0.135</v>
      </c>
      <c r="I9511" s="62" t="n">
        <v>68.72</v>
      </c>
      <c r="J9511" s="58" t="inlineStr">
        <is>
          <t>Phone</t>
        </is>
      </c>
      <c r="K9511" s="62">
        <f>F9511*(G9511-H9511)</f>
        <v/>
      </c>
      <c r="L9511" s="62">
        <f>K9511-(F9511*I9511)</f>
        <v/>
      </c>
      <c r="M9511" s="64">
        <f>L9511/K9511</f>
        <v/>
      </c>
    </row>
    <row r="9512">
      <c r="A9512" s="58" t="inlineStr">
        <is>
          <t>RT20250827-09511</t>
        </is>
      </c>
      <c r="B9512" s="59" t="inlineStr">
        <is>
          <t>2025-08-27</t>
        </is>
      </c>
      <c r="C9512" s="60" t="inlineStr">
        <is>
          <t>Metro Accessorie Lite-697</t>
        </is>
      </c>
      <c r="D9512" s="58" t="inlineStr">
        <is>
          <t>Apparel</t>
        </is>
      </c>
      <c r="E9512" s="58" t="inlineStr">
        <is>
          <t>South</t>
        </is>
      </c>
      <c r="F9512" s="61" t="n">
        <v>1</v>
      </c>
      <c r="G9512" s="62" t="n">
        <v>128.5</v>
      </c>
      <c r="H9512" s="63" t="n">
        <v>0.128</v>
      </c>
      <c r="I9512" s="62" t="n">
        <v>74.18000000000001</v>
      </c>
      <c r="J9512" s="58" t="inlineStr">
        <is>
          <t>Online</t>
        </is>
      </c>
      <c r="K9512" s="62">
        <f>F9512*(G9512-H9512)</f>
        <v/>
      </c>
      <c r="L9512" s="62">
        <f>K9512-(F9512*I9512)</f>
        <v/>
      </c>
      <c r="M9512" s="64">
        <f>L9512/K9512</f>
        <v/>
      </c>
    </row>
    <row r="9513">
      <c r="A9513" s="58" t="inlineStr">
        <is>
          <t>RT20250827-09512</t>
        </is>
      </c>
      <c r="B9513" s="59" t="inlineStr">
        <is>
          <t>2025-08-27</t>
        </is>
      </c>
      <c r="C9513" s="60" t="inlineStr">
        <is>
          <t>Solace Kitchen X-919</t>
        </is>
      </c>
      <c r="D9513" s="58" t="inlineStr">
        <is>
          <t>Home</t>
        </is>
      </c>
      <c r="E9513" s="58" t="inlineStr">
        <is>
          <t>South</t>
        </is>
      </c>
      <c r="F9513" s="61" t="n">
        <v>2</v>
      </c>
      <c r="G9513" s="62" t="n">
        <v>415</v>
      </c>
      <c r="H9513" s="63" t="n">
        <v>0.132</v>
      </c>
      <c r="I9513" s="62" t="n">
        <v>256.27</v>
      </c>
      <c r="J9513" s="58" t="inlineStr">
        <is>
          <t>Online</t>
        </is>
      </c>
      <c r="K9513" s="62">
        <f>F9513*(G9513-H9513)</f>
        <v/>
      </c>
      <c r="L9513" s="62">
        <f>K9513-(F9513*I9513)</f>
        <v/>
      </c>
      <c r="M9513" s="64">
        <f>L9513/K9513</f>
        <v/>
      </c>
    </row>
    <row r="9514">
      <c r="A9514" s="58" t="inlineStr">
        <is>
          <t>RT20250827-09513</t>
        </is>
      </c>
      <c r="B9514" s="59" t="inlineStr">
        <is>
          <t>2025-08-27</t>
        </is>
      </c>
      <c r="C9514" s="60" t="inlineStr">
        <is>
          <t>Polar Decor Plus-505</t>
        </is>
      </c>
      <c r="D9514" s="58" t="inlineStr">
        <is>
          <t>Home</t>
        </is>
      </c>
      <c r="E9514" s="58" t="inlineStr">
        <is>
          <t>West</t>
        </is>
      </c>
      <c r="F9514" s="61" t="n">
        <v>2</v>
      </c>
      <c r="G9514" s="62" t="n">
        <v>310.72</v>
      </c>
      <c r="H9514" s="63" t="n">
        <v>0.148</v>
      </c>
      <c r="I9514" s="62" t="n">
        <v>194.18</v>
      </c>
      <c r="J9514" s="58" t="inlineStr">
        <is>
          <t>Phone</t>
        </is>
      </c>
      <c r="K9514" s="62">
        <f>F9514*(G9514-H9514)</f>
        <v/>
      </c>
      <c r="L9514" s="62">
        <f>K9514-(F9514*I9514)</f>
        <v/>
      </c>
      <c r="M9514" s="64">
        <f>L9514/K9514</f>
        <v/>
      </c>
    </row>
    <row r="9515">
      <c r="A9515" s="58" t="inlineStr">
        <is>
          <t>RT20250827-09514</t>
        </is>
      </c>
      <c r="B9515" s="59" t="inlineStr">
        <is>
          <t>2025-08-27</t>
        </is>
      </c>
      <c r="C9515" s="60" t="inlineStr">
        <is>
          <t>Aurora Bedding Plus-187</t>
        </is>
      </c>
      <c r="D9515" s="58" t="inlineStr">
        <is>
          <t>Home</t>
        </is>
      </c>
      <c r="E9515" s="58" t="inlineStr">
        <is>
          <t>East</t>
        </is>
      </c>
      <c r="F9515" s="61" t="n">
        <v>2</v>
      </c>
      <c r="G9515" s="62" t="n">
        <v>312.87</v>
      </c>
      <c r="H9515" s="63" t="n">
        <v>0.113</v>
      </c>
      <c r="I9515" s="62" t="n">
        <v>204.02</v>
      </c>
      <c r="J9515" s="58" t="inlineStr">
        <is>
          <t>Phone</t>
        </is>
      </c>
      <c r="K9515" s="62">
        <f>F9515*(G9515-H9515)</f>
        <v/>
      </c>
      <c r="L9515" s="62">
        <f>K9515-(F9515*I9515)</f>
        <v/>
      </c>
      <c r="M9515" s="64">
        <f>L9515/K9515</f>
        <v/>
      </c>
    </row>
    <row r="9516">
      <c r="A9516" s="58" t="inlineStr">
        <is>
          <t>RT20250827-09515</t>
        </is>
      </c>
      <c r="B9516" s="59" t="inlineStr">
        <is>
          <t>2025-08-27</t>
        </is>
      </c>
      <c r="C9516" s="60" t="inlineStr">
        <is>
          <t>Solace Kitchen Pro-999</t>
        </is>
      </c>
      <c r="D9516" s="58" t="inlineStr">
        <is>
          <t>Home</t>
        </is>
      </c>
      <c r="E9516" s="58" t="inlineStr">
        <is>
          <t>Central</t>
        </is>
      </c>
      <c r="F9516" s="61" t="n">
        <v>2</v>
      </c>
      <c r="G9516" s="62" t="n">
        <v>435.35</v>
      </c>
      <c r="H9516" s="63" t="n">
        <v>0.187</v>
      </c>
      <c r="I9516" s="62" t="n">
        <v>262.62</v>
      </c>
      <c r="J9516" s="58" t="inlineStr">
        <is>
          <t>Online</t>
        </is>
      </c>
      <c r="K9516" s="62">
        <f>F9516*(G9516-H9516)</f>
        <v/>
      </c>
      <c r="L9516" s="62">
        <f>K9516-(F9516*I9516)</f>
        <v/>
      </c>
      <c r="M9516" s="64">
        <f>L9516/K9516</f>
        <v/>
      </c>
    </row>
    <row r="9517">
      <c r="A9517" s="58" t="inlineStr">
        <is>
          <t>RT20250827-09516</t>
        </is>
      </c>
      <c r="B9517" s="59" t="inlineStr">
        <is>
          <t>2025-08-27</t>
        </is>
      </c>
      <c r="C9517" s="60" t="inlineStr">
        <is>
          <t>Falcon Furniture Plus-839</t>
        </is>
      </c>
      <c r="D9517" s="58" t="inlineStr">
        <is>
          <t>Office</t>
        </is>
      </c>
      <c r="E9517" s="58" t="inlineStr">
        <is>
          <t>West</t>
        </is>
      </c>
      <c r="F9517" s="61" t="n">
        <v>3</v>
      </c>
      <c r="G9517" s="62" t="n">
        <v>271.08</v>
      </c>
      <c r="H9517" s="63" t="n">
        <v>0.141</v>
      </c>
      <c r="I9517" s="62" t="n">
        <v>226.08</v>
      </c>
      <c r="J9517" s="58" t="inlineStr">
        <is>
          <t>Online</t>
        </is>
      </c>
      <c r="K9517" s="62">
        <f>F9517*(G9517-H9517)</f>
        <v/>
      </c>
      <c r="L9517" s="62">
        <f>K9517-(F9517*I9517)</f>
        <v/>
      </c>
      <c r="M9517" s="64">
        <f>L9517/K9517</f>
        <v/>
      </c>
    </row>
    <row r="9518">
      <c r="A9518" s="58" t="inlineStr">
        <is>
          <t>RT20250827-09517</t>
        </is>
      </c>
      <c r="B9518" s="59" t="inlineStr">
        <is>
          <t>2025-08-27</t>
        </is>
      </c>
      <c r="C9518" s="60" t="inlineStr">
        <is>
          <t>Vertex Fitnes Pro-830</t>
        </is>
      </c>
      <c r="D9518" s="58" t="inlineStr">
        <is>
          <t>Sports</t>
        </is>
      </c>
      <c r="E9518" s="58" t="inlineStr">
        <is>
          <t>Central</t>
        </is>
      </c>
      <c r="F9518" s="61" t="n">
        <v>3</v>
      </c>
      <c r="G9518" s="62" t="n">
        <v>724.62</v>
      </c>
      <c r="H9518" s="63" t="n">
        <v>0.185</v>
      </c>
      <c r="I9518" s="62" t="n">
        <v>492.35</v>
      </c>
      <c r="J9518" s="58" t="inlineStr">
        <is>
          <t>Store</t>
        </is>
      </c>
      <c r="K9518" s="62">
        <f>F9518*(G9518-H9518)</f>
        <v/>
      </c>
      <c r="L9518" s="62">
        <f>K9518-(F9518*I9518)</f>
        <v/>
      </c>
      <c r="M9518" s="64">
        <f>L9518/K9518</f>
        <v/>
      </c>
    </row>
    <row r="9519">
      <c r="A9519" s="58" t="inlineStr">
        <is>
          <t>RT20250827-09518</t>
        </is>
      </c>
      <c r="B9519" s="59" t="inlineStr">
        <is>
          <t>2025-08-27</t>
        </is>
      </c>
      <c r="C9519" s="60" t="inlineStr">
        <is>
          <t>Nimbus Decor Lite-385</t>
        </is>
      </c>
      <c r="D9519" s="58" t="inlineStr">
        <is>
          <t>Home</t>
        </is>
      </c>
      <c r="E9519" s="58" t="inlineStr">
        <is>
          <t>Central</t>
        </is>
      </c>
      <c r="F9519" s="61" t="n">
        <v>2</v>
      </c>
      <c r="G9519" s="62" t="n">
        <v>538.0700000000001</v>
      </c>
      <c r="H9519" s="63" t="n">
        <v>0.171</v>
      </c>
      <c r="I9519" s="62" t="n">
        <v>396.14</v>
      </c>
      <c r="J9519" s="58" t="inlineStr">
        <is>
          <t>Online</t>
        </is>
      </c>
      <c r="K9519" s="62">
        <f>F9519*(G9519-H9519)</f>
        <v/>
      </c>
      <c r="L9519" s="62">
        <f>K9519-(F9519*I9519)</f>
        <v/>
      </c>
      <c r="M9519" s="64">
        <f>L9519/K9519</f>
        <v/>
      </c>
    </row>
    <row r="9520">
      <c r="A9520" s="58" t="inlineStr">
        <is>
          <t>RT20250827-09519</t>
        </is>
      </c>
      <c r="B9520" s="59" t="inlineStr">
        <is>
          <t>2025-08-27</t>
        </is>
      </c>
      <c r="C9520" s="60" t="inlineStr">
        <is>
          <t>Metro Printer X-294</t>
        </is>
      </c>
      <c r="D9520" s="58" t="inlineStr">
        <is>
          <t>Office</t>
        </is>
      </c>
      <c r="E9520" s="58" t="inlineStr">
        <is>
          <t>West</t>
        </is>
      </c>
      <c r="F9520" s="61" t="n">
        <v>3</v>
      </c>
      <c r="G9520" s="62" t="n">
        <v>507.97</v>
      </c>
      <c r="H9520" s="63" t="n">
        <v>0.12</v>
      </c>
      <c r="I9520" s="62" t="n">
        <v>407.53</v>
      </c>
      <c r="J9520" s="58" t="inlineStr">
        <is>
          <t>Online</t>
        </is>
      </c>
      <c r="K9520" s="62">
        <f>F9520*(G9520-H9520)</f>
        <v/>
      </c>
      <c r="L9520" s="62">
        <f>K9520-(F9520*I9520)</f>
        <v/>
      </c>
      <c r="M9520" s="64">
        <f>L9520/K9520</f>
        <v/>
      </c>
    </row>
    <row r="9521">
      <c r="A9521" s="58" t="inlineStr">
        <is>
          <t>RT20250827-09520</t>
        </is>
      </c>
      <c r="B9521" s="59" t="inlineStr">
        <is>
          <t>2025-08-27</t>
        </is>
      </c>
      <c r="C9521" s="60" t="inlineStr">
        <is>
          <t>Vertex Smartphone Pro-256</t>
        </is>
      </c>
      <c r="D9521" s="58" t="inlineStr">
        <is>
          <t>Electronics</t>
        </is>
      </c>
      <c r="E9521" s="58" t="inlineStr">
        <is>
          <t>West</t>
        </is>
      </c>
      <c r="F9521" s="61" t="n">
        <v>1</v>
      </c>
      <c r="G9521" s="62" t="n">
        <v>1070.94</v>
      </c>
      <c r="H9521" s="63" t="n">
        <v>0.153</v>
      </c>
      <c r="I9521" s="62" t="n">
        <v>880.66</v>
      </c>
      <c r="J9521" s="58" t="inlineStr">
        <is>
          <t>Online</t>
        </is>
      </c>
      <c r="K9521" s="62">
        <f>F9521*(G9521-H9521)</f>
        <v/>
      </c>
      <c r="L9521" s="62">
        <f>K9521-(F9521*I9521)</f>
        <v/>
      </c>
      <c r="M9521" s="64">
        <f>L9521/K9521</f>
        <v/>
      </c>
    </row>
    <row r="9522">
      <c r="A9522" s="58" t="inlineStr">
        <is>
          <t>RT20250827-09521</t>
        </is>
      </c>
      <c r="B9522" s="59" t="inlineStr">
        <is>
          <t>2025-08-27</t>
        </is>
      </c>
      <c r="C9522" s="60" t="inlineStr">
        <is>
          <t>Vertex Smartphone Pro-256</t>
        </is>
      </c>
      <c r="D9522" s="58" t="inlineStr">
        <is>
          <t>Electronics</t>
        </is>
      </c>
      <c r="E9522" s="58" t="inlineStr">
        <is>
          <t>North</t>
        </is>
      </c>
      <c r="F9522" s="61" t="n">
        <v>2</v>
      </c>
      <c r="G9522" s="62" t="n">
        <v>1261.94</v>
      </c>
      <c r="H9522" s="63" t="n">
        <v>0.152</v>
      </c>
      <c r="I9522" s="62" t="n">
        <v>921.1</v>
      </c>
      <c r="J9522" s="58" t="inlineStr">
        <is>
          <t>Store</t>
        </is>
      </c>
      <c r="K9522" s="62">
        <f>F9522*(G9522-H9522)</f>
        <v/>
      </c>
      <c r="L9522" s="62">
        <f>K9522-(F9522*I9522)</f>
        <v/>
      </c>
      <c r="M9522" s="64">
        <f>L9522/K9522</f>
        <v/>
      </c>
    </row>
    <row r="9523">
      <c r="A9523" s="58" t="inlineStr">
        <is>
          <t>RT20250827-09522</t>
        </is>
      </c>
      <c r="B9523" s="59" t="inlineStr">
        <is>
          <t>2025-08-27</t>
        </is>
      </c>
      <c r="C9523" s="60" t="inlineStr">
        <is>
          <t>Falcon Storage X-734</t>
        </is>
      </c>
      <c r="D9523" s="58" t="inlineStr">
        <is>
          <t>Office</t>
        </is>
      </c>
      <c r="E9523" s="58" t="inlineStr">
        <is>
          <t>South</t>
        </is>
      </c>
      <c r="F9523" s="61" t="n">
        <v>3</v>
      </c>
      <c r="G9523" s="62" t="n">
        <v>381.48</v>
      </c>
      <c r="H9523" s="63" t="n">
        <v>0.166</v>
      </c>
      <c r="I9523" s="62" t="n">
        <v>286.84</v>
      </c>
      <c r="J9523" s="58" t="inlineStr">
        <is>
          <t>Store</t>
        </is>
      </c>
      <c r="K9523" s="62">
        <f>F9523*(G9523-H9523)</f>
        <v/>
      </c>
      <c r="L9523" s="62">
        <f>K9523-(F9523*I9523)</f>
        <v/>
      </c>
      <c r="M9523" s="64">
        <f>L9523/K9523</f>
        <v/>
      </c>
    </row>
    <row r="9524">
      <c r="A9524" s="58" t="inlineStr">
        <is>
          <t>RT20250827-09523</t>
        </is>
      </c>
      <c r="B9524" s="59" t="inlineStr">
        <is>
          <t>2025-08-27</t>
        </is>
      </c>
      <c r="C9524" s="60" t="inlineStr">
        <is>
          <t>Nimbus Furniture Pro-479</t>
        </is>
      </c>
      <c r="D9524" s="58" t="inlineStr">
        <is>
          <t>Office</t>
        </is>
      </c>
      <c r="E9524" s="58" t="inlineStr">
        <is>
          <t>South</t>
        </is>
      </c>
      <c r="F9524" s="61" t="n">
        <v>3</v>
      </c>
      <c r="G9524" s="62" t="n">
        <v>338.76</v>
      </c>
      <c r="H9524" s="63" t="n">
        <v>0.098</v>
      </c>
      <c r="I9524" s="62" t="n">
        <v>243.58</v>
      </c>
      <c r="J9524" s="58" t="inlineStr">
        <is>
          <t>Store</t>
        </is>
      </c>
      <c r="K9524" s="62">
        <f>F9524*(G9524-H9524)</f>
        <v/>
      </c>
      <c r="L9524" s="62">
        <f>K9524-(F9524*I9524)</f>
        <v/>
      </c>
      <c r="M9524" s="64">
        <f>L9524/K9524</f>
        <v/>
      </c>
    </row>
    <row r="9525">
      <c r="A9525" s="58" t="inlineStr">
        <is>
          <t>RT20250827-09524</t>
        </is>
      </c>
      <c r="B9525" s="59" t="inlineStr">
        <is>
          <t>2025-08-27</t>
        </is>
      </c>
      <c r="C9525" s="60" t="inlineStr">
        <is>
          <t>Falcon Storage X-734</t>
        </is>
      </c>
      <c r="D9525" s="58" t="inlineStr">
        <is>
          <t>Office</t>
        </is>
      </c>
      <c r="E9525" s="58" t="inlineStr">
        <is>
          <t>East</t>
        </is>
      </c>
      <c r="F9525" s="61" t="n">
        <v>2</v>
      </c>
      <c r="G9525" s="62" t="n">
        <v>390.01</v>
      </c>
      <c r="H9525" s="63" t="n">
        <v>0.154</v>
      </c>
      <c r="I9525" s="62" t="n">
        <v>278.8</v>
      </c>
      <c r="J9525" s="58" t="inlineStr">
        <is>
          <t>Online</t>
        </is>
      </c>
      <c r="K9525" s="62">
        <f>F9525*(G9525-H9525)</f>
        <v/>
      </c>
      <c r="L9525" s="62">
        <f>K9525-(F9525*I9525)</f>
        <v/>
      </c>
      <c r="M9525" s="64">
        <f>L9525/K9525</f>
        <v/>
      </c>
    </row>
    <row r="9526">
      <c r="A9526" s="58" t="inlineStr">
        <is>
          <t>RT20250827-09525</t>
        </is>
      </c>
      <c r="B9526" s="59" t="inlineStr">
        <is>
          <t>2025-08-27</t>
        </is>
      </c>
      <c r="C9526" s="60" t="inlineStr">
        <is>
          <t>Aurora Outdoor Pro-467</t>
        </is>
      </c>
      <c r="D9526" s="58" t="inlineStr">
        <is>
          <t>Sports</t>
        </is>
      </c>
      <c r="E9526" s="58" t="inlineStr">
        <is>
          <t>South</t>
        </is>
      </c>
      <c r="F9526" s="61" t="n">
        <v>1</v>
      </c>
      <c r="G9526" s="62" t="n">
        <v>330.57</v>
      </c>
      <c r="H9526" s="63" t="n">
        <v>0.133</v>
      </c>
      <c r="I9526" s="62" t="n">
        <v>186.19</v>
      </c>
      <c r="J9526" s="58" t="inlineStr">
        <is>
          <t>Store</t>
        </is>
      </c>
      <c r="K9526" s="62">
        <f>F9526*(G9526-H9526)</f>
        <v/>
      </c>
      <c r="L9526" s="62">
        <f>K9526-(F9526*I9526)</f>
        <v/>
      </c>
      <c r="M9526" s="64">
        <f>L9526/K9526</f>
        <v/>
      </c>
    </row>
    <row r="9527">
      <c r="A9527" s="58" t="inlineStr">
        <is>
          <t>RT20250827-09526</t>
        </is>
      </c>
      <c r="B9527" s="59" t="inlineStr">
        <is>
          <t>2025-08-27</t>
        </is>
      </c>
      <c r="C9527" s="60" t="inlineStr">
        <is>
          <t>Polar Pantry Lite-392</t>
        </is>
      </c>
      <c r="D9527" s="58" t="inlineStr">
        <is>
          <t>Grocery</t>
        </is>
      </c>
      <c r="E9527" s="58" t="inlineStr">
        <is>
          <t>South</t>
        </is>
      </c>
      <c r="F9527" s="61" t="n">
        <v>8</v>
      </c>
      <c r="G9527" s="62" t="n">
        <v>5.92</v>
      </c>
      <c r="H9527" s="63" t="n">
        <v>0.165</v>
      </c>
      <c r="I9527" s="62" t="n">
        <v>4.54</v>
      </c>
      <c r="J9527" s="58" t="inlineStr">
        <is>
          <t>Online</t>
        </is>
      </c>
      <c r="K9527" s="62">
        <f>F9527*(G9527-H9527)</f>
        <v/>
      </c>
      <c r="L9527" s="62">
        <f>K9527-(F9527*I9527)</f>
        <v/>
      </c>
      <c r="M9527" s="64">
        <f>L9527/K9527</f>
        <v/>
      </c>
    </row>
    <row r="9528">
      <c r="A9528" s="58" t="inlineStr">
        <is>
          <t>RT20250827-09527</t>
        </is>
      </c>
      <c r="B9528" s="59" t="inlineStr">
        <is>
          <t>2025-08-27</t>
        </is>
      </c>
      <c r="C9528" s="60" t="inlineStr">
        <is>
          <t>Orion Team Sport X-926</t>
        </is>
      </c>
      <c r="D9528" s="58" t="inlineStr">
        <is>
          <t>Sports</t>
        </is>
      </c>
      <c r="E9528" s="58" t="inlineStr">
        <is>
          <t>Central</t>
        </is>
      </c>
      <c r="F9528" s="61" t="n">
        <v>3</v>
      </c>
      <c r="G9528" s="62" t="n">
        <v>330.87</v>
      </c>
      <c r="H9528" s="63" t="n">
        <v>0.158</v>
      </c>
      <c r="I9528" s="62" t="n">
        <v>212.64</v>
      </c>
      <c r="J9528" s="58" t="inlineStr">
        <is>
          <t>Online</t>
        </is>
      </c>
      <c r="K9528" s="62">
        <f>F9528*(G9528-H9528)</f>
        <v/>
      </c>
      <c r="L9528" s="62">
        <f>K9528-(F9528*I9528)</f>
        <v/>
      </c>
      <c r="M9528" s="64">
        <f>L9528/K9528</f>
        <v/>
      </c>
    </row>
    <row r="9529">
      <c r="A9529" s="58" t="inlineStr">
        <is>
          <t>RT20250827-09528</t>
        </is>
      </c>
      <c r="B9529" s="59" t="inlineStr">
        <is>
          <t>2025-08-27</t>
        </is>
      </c>
      <c r="C9529" s="60" t="inlineStr">
        <is>
          <t>Polar Supplie Lite-348</t>
        </is>
      </c>
      <c r="D9529" s="58" t="inlineStr">
        <is>
          <t>Office</t>
        </is>
      </c>
      <c r="E9529" s="58" t="inlineStr">
        <is>
          <t>South</t>
        </is>
      </c>
      <c r="F9529" s="61" t="n">
        <v>1</v>
      </c>
      <c r="G9529" s="62" t="n">
        <v>511.57</v>
      </c>
      <c r="H9529" s="63" t="n">
        <v>0.11</v>
      </c>
      <c r="I9529" s="62" t="n">
        <v>323.52</v>
      </c>
      <c r="J9529" s="58" t="inlineStr">
        <is>
          <t>Store</t>
        </is>
      </c>
      <c r="K9529" s="62">
        <f>F9529*(G9529-H9529)</f>
        <v/>
      </c>
      <c r="L9529" s="62">
        <f>K9529-(F9529*I9529)</f>
        <v/>
      </c>
      <c r="M9529" s="64">
        <f>L9529/K9529</f>
        <v/>
      </c>
    </row>
    <row r="9530">
      <c r="A9530" s="58" t="inlineStr">
        <is>
          <t>RT20250827-09529</t>
        </is>
      </c>
      <c r="B9530" s="59" t="inlineStr">
        <is>
          <t>2025-08-27</t>
        </is>
      </c>
      <c r="C9530" s="60" t="inlineStr">
        <is>
          <t>Aurora Makeup Pro-489</t>
        </is>
      </c>
      <c r="D9530" s="58" t="inlineStr">
        <is>
          <t>Beauty</t>
        </is>
      </c>
      <c r="E9530" s="58" t="inlineStr">
        <is>
          <t>West</t>
        </is>
      </c>
      <c r="F9530" s="61" t="n">
        <v>1</v>
      </c>
      <c r="G9530" s="62" t="n">
        <v>103.67</v>
      </c>
      <c r="H9530" s="63" t="n">
        <v>0.145</v>
      </c>
      <c r="I9530" s="62" t="n">
        <v>63.7</v>
      </c>
      <c r="J9530" s="58" t="inlineStr">
        <is>
          <t>Online</t>
        </is>
      </c>
      <c r="K9530" s="62">
        <f>F9530*(G9530-H9530)</f>
        <v/>
      </c>
      <c r="L9530" s="62">
        <f>K9530-(F9530*I9530)</f>
        <v/>
      </c>
      <c r="M9530" s="64">
        <f>L9530/K9530</f>
        <v/>
      </c>
    </row>
    <row r="9531">
      <c r="A9531" s="58" t="inlineStr">
        <is>
          <t>RT20250827-09530</t>
        </is>
      </c>
      <c r="B9531" s="59" t="inlineStr">
        <is>
          <t>2025-08-27</t>
        </is>
      </c>
      <c r="C9531" s="60" t="inlineStr">
        <is>
          <t>Polar Supplie Lite-348</t>
        </is>
      </c>
      <c r="D9531" s="58" t="inlineStr">
        <is>
          <t>Office</t>
        </is>
      </c>
      <c r="E9531" s="58" t="inlineStr">
        <is>
          <t>East</t>
        </is>
      </c>
      <c r="F9531" s="61" t="n">
        <v>2</v>
      </c>
      <c r="G9531" s="62" t="n">
        <v>461.91</v>
      </c>
      <c r="H9531" s="63" t="n">
        <v>0.161</v>
      </c>
      <c r="I9531" s="62" t="n">
        <v>316.9</v>
      </c>
      <c r="J9531" s="58" t="inlineStr">
        <is>
          <t>Online</t>
        </is>
      </c>
      <c r="K9531" s="62">
        <f>F9531*(G9531-H9531)</f>
        <v/>
      </c>
      <c r="L9531" s="62">
        <f>K9531-(F9531*I9531)</f>
        <v/>
      </c>
      <c r="M9531" s="64">
        <f>L9531/K9531</f>
        <v/>
      </c>
    </row>
    <row r="9532">
      <c r="A9532" s="58" t="inlineStr">
        <is>
          <t>RT20250827-09531</t>
        </is>
      </c>
      <c r="B9532" s="59" t="inlineStr">
        <is>
          <t>2025-08-27</t>
        </is>
      </c>
      <c r="C9532" s="60" t="inlineStr">
        <is>
          <t>Polar Women Max-927</t>
        </is>
      </c>
      <c r="D9532" s="58" t="inlineStr">
        <is>
          <t>Apparel</t>
        </is>
      </c>
      <c r="E9532" s="58" t="inlineStr">
        <is>
          <t>East</t>
        </is>
      </c>
      <c r="F9532" s="61" t="n">
        <v>4</v>
      </c>
      <c r="G9532" s="62" t="n">
        <v>112.48</v>
      </c>
      <c r="H9532" s="63" t="n">
        <v>0.163</v>
      </c>
      <c r="I9532" s="62" t="n">
        <v>65.78</v>
      </c>
      <c r="J9532" s="58" t="inlineStr">
        <is>
          <t>Online</t>
        </is>
      </c>
      <c r="K9532" s="62">
        <f>F9532*(G9532-H9532)</f>
        <v/>
      </c>
      <c r="L9532" s="62">
        <f>K9532-(F9532*I9532)</f>
        <v/>
      </c>
      <c r="M9532" s="64">
        <f>L9532/K9532</f>
        <v/>
      </c>
    </row>
    <row r="9533">
      <c r="A9533" s="58" t="inlineStr">
        <is>
          <t>RT20250827-09532</t>
        </is>
      </c>
      <c r="B9533" s="59" t="inlineStr">
        <is>
          <t>2025-08-27</t>
        </is>
      </c>
      <c r="C9533" s="60" t="inlineStr">
        <is>
          <t>Falcon Accessorie S-195</t>
        </is>
      </c>
      <c r="D9533" s="58" t="inlineStr">
        <is>
          <t>Apparel</t>
        </is>
      </c>
      <c r="E9533" s="58" t="inlineStr">
        <is>
          <t>East</t>
        </is>
      </c>
      <c r="F9533" s="61" t="n">
        <v>1</v>
      </c>
      <c r="G9533" s="62" t="n">
        <v>82.45</v>
      </c>
      <c r="H9533" s="63" t="n">
        <v>0.111</v>
      </c>
      <c r="I9533" s="62" t="n">
        <v>42.59</v>
      </c>
      <c r="J9533" s="58" t="inlineStr">
        <is>
          <t>Online</t>
        </is>
      </c>
      <c r="K9533" s="62">
        <f>F9533*(G9533-H9533)</f>
        <v/>
      </c>
      <c r="L9533" s="62">
        <f>K9533-(F9533*I9533)</f>
        <v/>
      </c>
      <c r="M9533" s="64">
        <f>L9533/K9533</f>
        <v/>
      </c>
    </row>
    <row r="9534">
      <c r="A9534" s="58" t="inlineStr">
        <is>
          <t>RT20250827-09533</t>
        </is>
      </c>
      <c r="B9534" s="59" t="inlineStr">
        <is>
          <t>2025-08-27</t>
        </is>
      </c>
      <c r="C9534" s="60" t="inlineStr">
        <is>
          <t>Solace Kid S-384</t>
        </is>
      </c>
      <c r="D9534" s="58" t="inlineStr">
        <is>
          <t>Apparel</t>
        </is>
      </c>
      <c r="E9534" s="58" t="inlineStr">
        <is>
          <t>South</t>
        </is>
      </c>
      <c r="F9534" s="61" t="n">
        <v>2</v>
      </c>
      <c r="G9534" s="62" t="n">
        <v>115.37</v>
      </c>
      <c r="H9534" s="63" t="n">
        <v>0.153</v>
      </c>
      <c r="I9534" s="62" t="n">
        <v>61.51</v>
      </c>
      <c r="J9534" s="58" t="inlineStr">
        <is>
          <t>Store</t>
        </is>
      </c>
      <c r="K9534" s="62">
        <f>F9534*(G9534-H9534)</f>
        <v/>
      </c>
      <c r="L9534" s="62">
        <f>K9534-(F9534*I9534)</f>
        <v/>
      </c>
      <c r="M9534" s="64">
        <f>L9534/K9534</f>
        <v/>
      </c>
    </row>
    <row r="9535">
      <c r="A9535" s="58" t="inlineStr">
        <is>
          <t>RT20250827-09534</t>
        </is>
      </c>
      <c r="B9535" s="59" t="inlineStr">
        <is>
          <t>2025-08-27</t>
        </is>
      </c>
      <c r="C9535" s="60" t="inlineStr">
        <is>
          <t>Vertex Decor Pro-618</t>
        </is>
      </c>
      <c r="D9535" s="58" t="inlineStr">
        <is>
          <t>Home</t>
        </is>
      </c>
      <c r="E9535" s="58" t="inlineStr">
        <is>
          <t>West</t>
        </is>
      </c>
      <c r="F9535" s="61" t="n">
        <v>3</v>
      </c>
      <c r="G9535" s="62" t="n">
        <v>580.9299999999999</v>
      </c>
      <c r="H9535" s="63" t="n">
        <v>0.171</v>
      </c>
      <c r="I9535" s="62" t="n">
        <v>366.9</v>
      </c>
      <c r="J9535" s="58" t="inlineStr">
        <is>
          <t>Store</t>
        </is>
      </c>
      <c r="K9535" s="62">
        <f>F9535*(G9535-H9535)</f>
        <v/>
      </c>
      <c r="L9535" s="62">
        <f>K9535-(F9535*I9535)</f>
        <v/>
      </c>
      <c r="M9535" s="64">
        <f>L9535/K9535</f>
        <v/>
      </c>
    </row>
    <row r="9536">
      <c r="A9536" s="58" t="inlineStr">
        <is>
          <t>RT20250827-09535</t>
        </is>
      </c>
      <c r="B9536" s="59" t="inlineStr">
        <is>
          <t>2025-08-27</t>
        </is>
      </c>
      <c r="C9536" s="60" t="inlineStr">
        <is>
          <t>Aurora Kid Plus-151</t>
        </is>
      </c>
      <c r="D9536" s="58" t="inlineStr">
        <is>
          <t>Apparel</t>
        </is>
      </c>
      <c r="E9536" s="58" t="inlineStr">
        <is>
          <t>South</t>
        </is>
      </c>
      <c r="F9536" s="61" t="n">
        <v>1</v>
      </c>
      <c r="G9536" s="62" t="n">
        <v>123.62</v>
      </c>
      <c r="H9536" s="63" t="n">
        <v>0.13</v>
      </c>
      <c r="I9536" s="62" t="n">
        <v>64.84</v>
      </c>
      <c r="J9536" s="58" t="inlineStr">
        <is>
          <t>Phone</t>
        </is>
      </c>
      <c r="K9536" s="62">
        <f>F9536*(G9536-H9536)</f>
        <v/>
      </c>
      <c r="L9536" s="62">
        <f>K9536-(F9536*I9536)</f>
        <v/>
      </c>
      <c r="M9536" s="64">
        <f>L9536/K9536</f>
        <v/>
      </c>
    </row>
    <row r="9537">
      <c r="A9537" s="58" t="inlineStr">
        <is>
          <t>RT20250827-09536</t>
        </is>
      </c>
      <c r="B9537" s="59" t="inlineStr">
        <is>
          <t>2025-08-27</t>
        </is>
      </c>
      <c r="C9537" s="60" t="inlineStr">
        <is>
          <t>Solace Kitchen X-919</t>
        </is>
      </c>
      <c r="D9537" s="58" t="inlineStr">
        <is>
          <t>Home</t>
        </is>
      </c>
      <c r="E9537" s="58" t="inlineStr">
        <is>
          <t>East</t>
        </is>
      </c>
      <c r="F9537" s="61" t="n">
        <v>1</v>
      </c>
      <c r="G9537" s="62" t="n">
        <v>378.5</v>
      </c>
      <c r="H9537" s="63" t="n">
        <v>0.174</v>
      </c>
      <c r="I9537" s="62" t="n">
        <v>264.16</v>
      </c>
      <c r="J9537" s="58" t="inlineStr">
        <is>
          <t>Online</t>
        </is>
      </c>
      <c r="K9537" s="62">
        <f>F9537*(G9537-H9537)</f>
        <v/>
      </c>
      <c r="L9537" s="62">
        <f>K9537-(F9537*I9537)</f>
        <v/>
      </c>
      <c r="M9537" s="64">
        <f>L9537/K9537</f>
        <v/>
      </c>
    </row>
    <row r="9538">
      <c r="A9538" s="58" t="inlineStr">
        <is>
          <t>RT20250827-09537</t>
        </is>
      </c>
      <c r="B9538" s="59" t="inlineStr">
        <is>
          <t>2025-08-27</t>
        </is>
      </c>
      <c r="C9538" s="60" t="inlineStr">
        <is>
          <t>Metro Beverage Max-490</t>
        </is>
      </c>
      <c r="D9538" s="58" t="inlineStr">
        <is>
          <t>Grocery</t>
        </is>
      </c>
      <c r="E9538" s="58" t="inlineStr">
        <is>
          <t>East</t>
        </is>
      </c>
      <c r="F9538" s="61" t="n">
        <v>4</v>
      </c>
      <c r="G9538" s="62" t="n">
        <v>10.35</v>
      </c>
      <c r="H9538" s="63" t="n">
        <v>0.147</v>
      </c>
      <c r="I9538" s="62" t="n">
        <v>8.25</v>
      </c>
      <c r="J9538" s="58" t="inlineStr">
        <is>
          <t>Online</t>
        </is>
      </c>
      <c r="K9538" s="62">
        <f>F9538*(G9538-H9538)</f>
        <v/>
      </c>
      <c r="L9538" s="62">
        <f>K9538-(F9538*I9538)</f>
        <v/>
      </c>
      <c r="M9538" s="64">
        <f>L9538/K9538</f>
        <v/>
      </c>
    </row>
    <row r="9539">
      <c r="A9539" s="58" t="inlineStr">
        <is>
          <t>RT20250827-09538</t>
        </is>
      </c>
      <c r="B9539" s="59" t="inlineStr">
        <is>
          <t>2025-08-27</t>
        </is>
      </c>
      <c r="C9539" s="60" t="inlineStr">
        <is>
          <t>Nimbus Furniture Pro-479</t>
        </is>
      </c>
      <c r="D9539" s="58" t="inlineStr">
        <is>
          <t>Office</t>
        </is>
      </c>
      <c r="E9539" s="58" t="inlineStr">
        <is>
          <t>East</t>
        </is>
      </c>
      <c r="F9539" s="61" t="n">
        <v>3</v>
      </c>
      <c r="G9539" s="62" t="n">
        <v>365.87</v>
      </c>
      <c r="H9539" s="63" t="n">
        <v>0.138</v>
      </c>
      <c r="I9539" s="62" t="n">
        <v>239.87</v>
      </c>
      <c r="J9539" s="58" t="inlineStr">
        <is>
          <t>Store</t>
        </is>
      </c>
      <c r="K9539" s="62">
        <f>F9539*(G9539-H9539)</f>
        <v/>
      </c>
      <c r="L9539" s="62">
        <f>K9539-(F9539*I9539)</f>
        <v/>
      </c>
      <c r="M9539" s="64">
        <f>L9539/K9539</f>
        <v/>
      </c>
    </row>
    <row r="9540">
      <c r="A9540" s="58" t="inlineStr">
        <is>
          <t>RT20250827-09539</t>
        </is>
      </c>
      <c r="B9540" s="59" t="inlineStr">
        <is>
          <t>2025-08-27</t>
        </is>
      </c>
      <c r="C9540" s="60" t="inlineStr">
        <is>
          <t>Falcon Household Plus-172</t>
        </is>
      </c>
      <c r="D9540" s="58" t="inlineStr">
        <is>
          <t>Grocery</t>
        </is>
      </c>
      <c r="E9540" s="58" t="inlineStr">
        <is>
          <t>South</t>
        </is>
      </c>
      <c r="F9540" s="61" t="n">
        <v>7</v>
      </c>
      <c r="G9540" s="62" t="n">
        <v>20.83</v>
      </c>
      <c r="H9540" s="63" t="n">
        <v>0.144</v>
      </c>
      <c r="I9540" s="62" t="n">
        <v>16.62</v>
      </c>
      <c r="J9540" s="58" t="inlineStr">
        <is>
          <t>Store</t>
        </is>
      </c>
      <c r="K9540" s="62">
        <f>F9540*(G9540-H9540)</f>
        <v/>
      </c>
      <c r="L9540" s="62">
        <f>K9540-(F9540*I9540)</f>
        <v/>
      </c>
      <c r="M9540" s="64">
        <f>L9540/K9540</f>
        <v/>
      </c>
    </row>
    <row r="9541">
      <c r="A9541" s="58" t="inlineStr">
        <is>
          <t>RT20250827-09540</t>
        </is>
      </c>
      <c r="B9541" s="59" t="inlineStr">
        <is>
          <t>2025-08-27</t>
        </is>
      </c>
      <c r="C9541" s="60" t="inlineStr">
        <is>
          <t>Orion Team Sport X-926</t>
        </is>
      </c>
      <c r="D9541" s="58" t="inlineStr">
        <is>
          <t>Sports</t>
        </is>
      </c>
      <c r="E9541" s="58" t="inlineStr">
        <is>
          <t>Central</t>
        </is>
      </c>
      <c r="F9541" s="61" t="n">
        <v>1</v>
      </c>
      <c r="G9541" s="62" t="n">
        <v>353.36</v>
      </c>
      <c r="H9541" s="63" t="n">
        <v>0.155</v>
      </c>
      <c r="I9541" s="62" t="n">
        <v>208.43</v>
      </c>
      <c r="J9541" s="58" t="inlineStr">
        <is>
          <t>Phone</t>
        </is>
      </c>
      <c r="K9541" s="62">
        <f>F9541*(G9541-H9541)</f>
        <v/>
      </c>
      <c r="L9541" s="62">
        <f>K9541-(F9541*I9541)</f>
        <v/>
      </c>
      <c r="M9541" s="64">
        <f>L9541/K9541</f>
        <v/>
      </c>
    </row>
    <row r="9542">
      <c r="A9542" s="58" t="inlineStr">
        <is>
          <t>RT20250828-09541</t>
        </is>
      </c>
      <c r="B9542" s="59" t="inlineStr">
        <is>
          <t>2025-08-28</t>
        </is>
      </c>
      <c r="C9542" s="60" t="inlineStr">
        <is>
          <t>Solace Makeup Pro-214</t>
        </is>
      </c>
      <c r="D9542" s="58" t="inlineStr">
        <is>
          <t>Beauty</t>
        </is>
      </c>
      <c r="E9542" s="58" t="inlineStr">
        <is>
          <t>North</t>
        </is>
      </c>
      <c r="F9542" s="61" t="n">
        <v>5</v>
      </c>
      <c r="G9542" s="62" t="n">
        <v>114.99</v>
      </c>
      <c r="H9542" s="63" t="n">
        <v>0.177</v>
      </c>
      <c r="I9542" s="62" t="n">
        <v>66.2</v>
      </c>
      <c r="J9542" s="58" t="inlineStr">
        <is>
          <t>Online</t>
        </is>
      </c>
      <c r="K9542" s="62">
        <f>F9542*(G9542-H9542)</f>
        <v/>
      </c>
      <c r="L9542" s="62">
        <f>K9542-(F9542*I9542)</f>
        <v/>
      </c>
      <c r="M9542" s="64">
        <f>L9542/K9542</f>
        <v/>
      </c>
    </row>
    <row r="9543">
      <c r="A9543" s="58" t="inlineStr">
        <is>
          <t>RT20250828-09542</t>
        </is>
      </c>
      <c r="B9543" s="59" t="inlineStr">
        <is>
          <t>2025-08-28</t>
        </is>
      </c>
      <c r="C9543" s="60" t="inlineStr">
        <is>
          <t>Aurora Makeup S-626</t>
        </is>
      </c>
      <c r="D9543" s="58" t="inlineStr">
        <is>
          <t>Beauty</t>
        </is>
      </c>
      <c r="E9543" s="58" t="inlineStr">
        <is>
          <t>East</t>
        </is>
      </c>
      <c r="F9543" s="61" t="n">
        <v>4</v>
      </c>
      <c r="G9543" s="62" t="n">
        <v>101.02</v>
      </c>
      <c r="H9543" s="63" t="n">
        <v>0.142</v>
      </c>
      <c r="I9543" s="62" t="n">
        <v>64.01000000000001</v>
      </c>
      <c r="J9543" s="58" t="inlineStr">
        <is>
          <t>Store</t>
        </is>
      </c>
      <c r="K9543" s="62">
        <f>F9543*(G9543-H9543)</f>
        <v/>
      </c>
      <c r="L9543" s="62">
        <f>K9543-(F9543*I9543)</f>
        <v/>
      </c>
      <c r="M9543" s="64">
        <f>L9543/K9543</f>
        <v/>
      </c>
    </row>
    <row r="9544">
      <c r="A9544" s="58" t="inlineStr">
        <is>
          <t>RT20250828-09543</t>
        </is>
      </c>
      <c r="B9544" s="59" t="inlineStr">
        <is>
          <t>2025-08-28</t>
        </is>
      </c>
      <c r="C9544" s="60" t="inlineStr">
        <is>
          <t>Aurora Furniture X-709</t>
        </is>
      </c>
      <c r="D9544" s="58" t="inlineStr">
        <is>
          <t>Office</t>
        </is>
      </c>
      <c r="E9544" s="58" t="inlineStr">
        <is>
          <t>West</t>
        </is>
      </c>
      <c r="F9544" s="61" t="n">
        <v>1</v>
      </c>
      <c r="G9544" s="62" t="n">
        <v>385.74</v>
      </c>
      <c r="H9544" s="63" t="n">
        <v>0.16</v>
      </c>
      <c r="I9544" s="62" t="n">
        <v>304.62</v>
      </c>
      <c r="J9544" s="58" t="inlineStr">
        <is>
          <t>Online</t>
        </is>
      </c>
      <c r="K9544" s="62">
        <f>F9544*(G9544-H9544)</f>
        <v/>
      </c>
      <c r="L9544" s="62">
        <f>K9544-(F9544*I9544)</f>
        <v/>
      </c>
      <c r="M9544" s="64">
        <f>L9544/K9544</f>
        <v/>
      </c>
    </row>
    <row r="9545">
      <c r="A9545" s="58" t="inlineStr">
        <is>
          <t>RT20250828-09544</t>
        </is>
      </c>
      <c r="B9545" s="59" t="inlineStr">
        <is>
          <t>2025-08-28</t>
        </is>
      </c>
      <c r="C9545" s="60" t="inlineStr">
        <is>
          <t>Nimbus Fitnes Lite-516</t>
        </is>
      </c>
      <c r="D9545" s="58" t="inlineStr">
        <is>
          <t>Sports</t>
        </is>
      </c>
      <c r="E9545" s="58" t="inlineStr">
        <is>
          <t>Central</t>
        </is>
      </c>
      <c r="F9545" s="61" t="n">
        <v>1</v>
      </c>
      <c r="G9545" s="62" t="n">
        <v>665.03</v>
      </c>
      <c r="H9545" s="63" t="n">
        <v>0.145</v>
      </c>
      <c r="I9545" s="62" t="n">
        <v>480</v>
      </c>
      <c r="J9545" s="58" t="inlineStr">
        <is>
          <t>Online</t>
        </is>
      </c>
      <c r="K9545" s="62">
        <f>F9545*(G9545-H9545)</f>
        <v/>
      </c>
      <c r="L9545" s="62">
        <f>K9545-(F9545*I9545)</f>
        <v/>
      </c>
      <c r="M9545" s="64">
        <f>L9545/K9545</f>
        <v/>
      </c>
    </row>
    <row r="9546">
      <c r="A9546" s="58" t="inlineStr">
        <is>
          <t>RT20250828-09545</t>
        </is>
      </c>
      <c r="B9546" s="59" t="inlineStr">
        <is>
          <t>2025-08-28</t>
        </is>
      </c>
      <c r="C9546" s="60" t="inlineStr">
        <is>
          <t>Falcon Skincare Max-151</t>
        </is>
      </c>
      <c r="D9546" s="58" t="inlineStr">
        <is>
          <t>Beauty</t>
        </is>
      </c>
      <c r="E9546" s="58" t="inlineStr">
        <is>
          <t>South</t>
        </is>
      </c>
      <c r="F9546" s="61" t="n">
        <v>4</v>
      </c>
      <c r="G9546" s="62" t="n">
        <v>100.05</v>
      </c>
      <c r="H9546" s="63" t="n">
        <v>0.18</v>
      </c>
      <c r="I9546" s="62" t="n">
        <v>58.33</v>
      </c>
      <c r="J9546" s="58" t="inlineStr">
        <is>
          <t>Store</t>
        </is>
      </c>
      <c r="K9546" s="62">
        <f>F9546*(G9546-H9546)</f>
        <v/>
      </c>
      <c r="L9546" s="62">
        <f>K9546-(F9546*I9546)</f>
        <v/>
      </c>
      <c r="M9546" s="64">
        <f>L9546/K9546</f>
        <v/>
      </c>
    </row>
    <row r="9547">
      <c r="A9547" s="58" t="inlineStr">
        <is>
          <t>RT20250828-09546</t>
        </is>
      </c>
      <c r="B9547" s="59" t="inlineStr">
        <is>
          <t>2025-08-28</t>
        </is>
      </c>
      <c r="C9547" s="60" t="inlineStr">
        <is>
          <t>Vertex Smartphone Pro-256</t>
        </is>
      </c>
      <c r="D9547" s="58" t="inlineStr">
        <is>
          <t>Electronics</t>
        </is>
      </c>
      <c r="E9547" s="58" t="inlineStr">
        <is>
          <t>East</t>
        </is>
      </c>
      <c r="F9547" s="61" t="n">
        <v>2</v>
      </c>
      <c r="G9547" s="62" t="n">
        <v>1130.22</v>
      </c>
      <c r="H9547" s="63" t="n">
        <v>0.121</v>
      </c>
      <c r="I9547" s="62" t="n">
        <v>907.58</v>
      </c>
      <c r="J9547" s="58" t="inlineStr">
        <is>
          <t>Online</t>
        </is>
      </c>
      <c r="K9547" s="62">
        <f>F9547*(G9547-H9547)</f>
        <v/>
      </c>
      <c r="L9547" s="62">
        <f>K9547-(F9547*I9547)</f>
        <v/>
      </c>
      <c r="M9547" s="64">
        <f>L9547/K9547</f>
        <v/>
      </c>
    </row>
    <row r="9548">
      <c r="A9548" s="58" t="inlineStr">
        <is>
          <t>RT20250828-09547</t>
        </is>
      </c>
      <c r="B9548" s="59" t="inlineStr">
        <is>
          <t>2025-08-28</t>
        </is>
      </c>
      <c r="C9548" s="60" t="inlineStr">
        <is>
          <t>Nimbus Storage Plus-646</t>
        </is>
      </c>
      <c r="D9548" s="58" t="inlineStr">
        <is>
          <t>Office</t>
        </is>
      </c>
      <c r="E9548" s="58" t="inlineStr">
        <is>
          <t>North</t>
        </is>
      </c>
      <c r="F9548" s="61" t="n">
        <v>2</v>
      </c>
      <c r="G9548" s="62" t="n">
        <v>423.22</v>
      </c>
      <c r="H9548" s="63" t="n">
        <v>0.21</v>
      </c>
      <c r="I9548" s="62" t="n">
        <v>321.5</v>
      </c>
      <c r="J9548" s="58" t="inlineStr">
        <is>
          <t>Store</t>
        </is>
      </c>
      <c r="K9548" s="62">
        <f>F9548*(G9548-H9548)</f>
        <v/>
      </c>
      <c r="L9548" s="62">
        <f>K9548-(F9548*I9548)</f>
        <v/>
      </c>
      <c r="M9548" s="64">
        <f>L9548/K9548</f>
        <v/>
      </c>
    </row>
    <row r="9549">
      <c r="A9549" s="58" t="inlineStr">
        <is>
          <t>RT20250828-09548</t>
        </is>
      </c>
      <c r="B9549" s="59" t="inlineStr">
        <is>
          <t>2025-08-28</t>
        </is>
      </c>
      <c r="C9549" s="60" t="inlineStr">
        <is>
          <t>Aurora Appliance Max-316</t>
        </is>
      </c>
      <c r="D9549" s="58" t="inlineStr">
        <is>
          <t>Home</t>
        </is>
      </c>
      <c r="E9549" s="58" t="inlineStr">
        <is>
          <t>East</t>
        </is>
      </c>
      <c r="F9549" s="61" t="n">
        <v>1</v>
      </c>
      <c r="G9549" s="62" t="n">
        <v>298.22</v>
      </c>
      <c r="H9549" s="63" t="n">
        <v>0.175</v>
      </c>
      <c r="I9549" s="62" t="n">
        <v>212.67</v>
      </c>
      <c r="J9549" s="58" t="inlineStr">
        <is>
          <t>Store</t>
        </is>
      </c>
      <c r="K9549" s="62">
        <f>F9549*(G9549-H9549)</f>
        <v/>
      </c>
      <c r="L9549" s="62">
        <f>K9549-(F9549*I9549)</f>
        <v/>
      </c>
      <c r="M9549" s="64">
        <f>L9549/K9549</f>
        <v/>
      </c>
    </row>
    <row r="9550">
      <c r="A9550" s="58" t="inlineStr">
        <is>
          <t>RT20250828-09549</t>
        </is>
      </c>
      <c r="B9550" s="59" t="inlineStr">
        <is>
          <t>2025-08-28</t>
        </is>
      </c>
      <c r="C9550" s="60" t="inlineStr">
        <is>
          <t>Solace Fitnes S-324</t>
        </is>
      </c>
      <c r="D9550" s="58" t="inlineStr">
        <is>
          <t>Sports</t>
        </is>
      </c>
      <c r="E9550" s="58" t="inlineStr">
        <is>
          <t>West</t>
        </is>
      </c>
      <c r="F9550" s="61" t="n">
        <v>3</v>
      </c>
      <c r="G9550" s="62" t="n">
        <v>717.79</v>
      </c>
      <c r="H9550" s="63" t="n">
        <v>0.161</v>
      </c>
      <c r="I9550" s="62" t="n">
        <v>524.73</v>
      </c>
      <c r="J9550" s="58" t="inlineStr">
        <is>
          <t>Online</t>
        </is>
      </c>
      <c r="K9550" s="62">
        <f>F9550*(G9550-H9550)</f>
        <v/>
      </c>
      <c r="L9550" s="62">
        <f>K9550-(F9550*I9550)</f>
        <v/>
      </c>
      <c r="M9550" s="64">
        <f>L9550/K9550</f>
        <v/>
      </c>
    </row>
    <row r="9551">
      <c r="A9551" s="58" t="inlineStr">
        <is>
          <t>RT20250828-09550</t>
        </is>
      </c>
      <c r="B9551" s="59" t="inlineStr">
        <is>
          <t>2025-08-28</t>
        </is>
      </c>
      <c r="C9551" s="60" t="inlineStr">
        <is>
          <t>Aurora Household Plus-146</t>
        </is>
      </c>
      <c r="D9551" s="58" t="inlineStr">
        <is>
          <t>Grocery</t>
        </is>
      </c>
      <c r="E9551" s="58" t="inlineStr">
        <is>
          <t>Central</t>
        </is>
      </c>
      <c r="F9551" s="61" t="n">
        <v>5</v>
      </c>
      <c r="G9551" s="62" t="n">
        <v>6.38</v>
      </c>
      <c r="H9551" s="63" t="n">
        <v>0.172</v>
      </c>
      <c r="I9551" s="62" t="n">
        <v>4.59</v>
      </c>
      <c r="J9551" s="58" t="inlineStr">
        <is>
          <t>Online</t>
        </is>
      </c>
      <c r="K9551" s="62">
        <f>F9551*(G9551-H9551)</f>
        <v/>
      </c>
      <c r="L9551" s="62">
        <f>K9551-(F9551*I9551)</f>
        <v/>
      </c>
      <c r="M9551" s="64">
        <f>L9551/K9551</f>
        <v/>
      </c>
    </row>
    <row r="9552">
      <c r="A9552" s="58" t="inlineStr">
        <is>
          <t>RT20250828-09551</t>
        </is>
      </c>
      <c r="B9552" s="59" t="inlineStr">
        <is>
          <t>2025-08-28</t>
        </is>
      </c>
      <c r="C9552" s="60" t="inlineStr">
        <is>
          <t>Falcon Headphone Plus-789</t>
        </is>
      </c>
      <c r="D9552" s="58" t="inlineStr">
        <is>
          <t>Electronics</t>
        </is>
      </c>
      <c r="E9552" s="58" t="inlineStr">
        <is>
          <t>West</t>
        </is>
      </c>
      <c r="F9552" s="61" t="n">
        <v>1</v>
      </c>
      <c r="G9552" s="62" t="n">
        <v>1444.93</v>
      </c>
      <c r="H9552" s="63" t="n">
        <v>0.159</v>
      </c>
      <c r="I9552" s="62" t="n">
        <v>1179.79</v>
      </c>
      <c r="J9552" s="58" t="inlineStr">
        <is>
          <t>Online</t>
        </is>
      </c>
      <c r="K9552" s="62">
        <f>F9552*(G9552-H9552)</f>
        <v/>
      </c>
      <c r="L9552" s="62">
        <f>K9552-(F9552*I9552)</f>
        <v/>
      </c>
      <c r="M9552" s="64">
        <f>L9552/K9552</f>
        <v/>
      </c>
    </row>
    <row r="9553">
      <c r="A9553" s="58" t="inlineStr">
        <is>
          <t>RT20250828-09552</t>
        </is>
      </c>
      <c r="B9553" s="59" t="inlineStr">
        <is>
          <t>2025-08-28</t>
        </is>
      </c>
      <c r="C9553" s="60" t="inlineStr">
        <is>
          <t>Polar Haircare Max-614</t>
        </is>
      </c>
      <c r="D9553" s="58" t="inlineStr">
        <is>
          <t>Beauty</t>
        </is>
      </c>
      <c r="E9553" s="58" t="inlineStr">
        <is>
          <t>Central</t>
        </is>
      </c>
      <c r="F9553" s="61" t="n">
        <v>1</v>
      </c>
      <c r="G9553" s="62" t="n">
        <v>103.29</v>
      </c>
      <c r="H9553" s="63" t="n">
        <v>0.204</v>
      </c>
      <c r="I9553" s="62" t="n">
        <v>71.59999999999999</v>
      </c>
      <c r="J9553" s="58" t="inlineStr">
        <is>
          <t>Online</t>
        </is>
      </c>
      <c r="K9553" s="62">
        <f>F9553*(G9553-H9553)</f>
        <v/>
      </c>
      <c r="L9553" s="62">
        <f>K9553-(F9553*I9553)</f>
        <v/>
      </c>
      <c r="M9553" s="64">
        <f>L9553/K9553</f>
        <v/>
      </c>
    </row>
    <row r="9554">
      <c r="A9554" s="58" t="inlineStr">
        <is>
          <t>RT20250828-09553</t>
        </is>
      </c>
      <c r="B9554" s="59" t="inlineStr">
        <is>
          <t>2025-08-28</t>
        </is>
      </c>
      <c r="C9554" s="60" t="inlineStr">
        <is>
          <t>Aurora Fragrance S-971</t>
        </is>
      </c>
      <c r="D9554" s="58" t="inlineStr">
        <is>
          <t>Beauty</t>
        </is>
      </c>
      <c r="E9554" s="58" t="inlineStr">
        <is>
          <t>East</t>
        </is>
      </c>
      <c r="F9554" s="61" t="n">
        <v>3</v>
      </c>
      <c r="G9554" s="62" t="n">
        <v>106.33</v>
      </c>
      <c r="H9554" s="63" t="n">
        <v>0.155</v>
      </c>
      <c r="I9554" s="62" t="n">
        <v>63.69</v>
      </c>
      <c r="J9554" s="58" t="inlineStr">
        <is>
          <t>Store</t>
        </is>
      </c>
      <c r="K9554" s="62">
        <f>F9554*(G9554-H9554)</f>
        <v/>
      </c>
      <c r="L9554" s="62">
        <f>K9554-(F9554*I9554)</f>
        <v/>
      </c>
      <c r="M9554" s="64">
        <f>L9554/K9554</f>
        <v/>
      </c>
    </row>
    <row r="9555">
      <c r="A9555" s="58" t="inlineStr">
        <is>
          <t>RT20250828-09554</t>
        </is>
      </c>
      <c r="B9555" s="59" t="inlineStr">
        <is>
          <t>2025-08-28</t>
        </is>
      </c>
      <c r="C9555" s="60" t="inlineStr">
        <is>
          <t>Solace Kitchen X-919</t>
        </is>
      </c>
      <c r="D9555" s="58" t="inlineStr">
        <is>
          <t>Home</t>
        </is>
      </c>
      <c r="E9555" s="58" t="inlineStr">
        <is>
          <t>North</t>
        </is>
      </c>
      <c r="F9555" s="61" t="n">
        <v>3</v>
      </c>
      <c r="G9555" s="62" t="n">
        <v>343.92</v>
      </c>
      <c r="H9555" s="63" t="n">
        <v>0.184</v>
      </c>
      <c r="I9555" s="62" t="n">
        <v>267.36</v>
      </c>
      <c r="J9555" s="58" t="inlineStr">
        <is>
          <t>Online</t>
        </is>
      </c>
      <c r="K9555" s="62">
        <f>F9555*(G9555-H9555)</f>
        <v/>
      </c>
      <c r="L9555" s="62">
        <f>K9555-(F9555*I9555)</f>
        <v/>
      </c>
      <c r="M9555" s="64">
        <f>L9555/K9555</f>
        <v/>
      </c>
    </row>
    <row r="9556">
      <c r="A9556" s="58" t="inlineStr">
        <is>
          <t>RT20250828-09555</t>
        </is>
      </c>
      <c r="B9556" s="59" t="inlineStr">
        <is>
          <t>2025-08-28</t>
        </is>
      </c>
      <c r="C9556" s="60" t="inlineStr">
        <is>
          <t>Polar Men Pro-246</t>
        </is>
      </c>
      <c r="D9556" s="58" t="inlineStr">
        <is>
          <t>Apparel</t>
        </is>
      </c>
      <c r="E9556" s="58" t="inlineStr">
        <is>
          <t>South</t>
        </is>
      </c>
      <c r="F9556" s="61" t="n">
        <v>2</v>
      </c>
      <c r="G9556" s="62" t="n">
        <v>124.51</v>
      </c>
      <c r="H9556" s="63" t="n">
        <v>0.163</v>
      </c>
      <c r="I9556" s="62" t="n">
        <v>74.59</v>
      </c>
      <c r="J9556" s="58" t="inlineStr">
        <is>
          <t>Store</t>
        </is>
      </c>
      <c r="K9556" s="62">
        <f>F9556*(G9556-H9556)</f>
        <v/>
      </c>
      <c r="L9556" s="62">
        <f>K9556-(F9556*I9556)</f>
        <v/>
      </c>
      <c r="M9556" s="64">
        <f>L9556/K9556</f>
        <v/>
      </c>
    </row>
    <row r="9557">
      <c r="A9557" s="58" t="inlineStr">
        <is>
          <t>RT20250828-09556</t>
        </is>
      </c>
      <c r="B9557" s="59" t="inlineStr">
        <is>
          <t>2025-08-28</t>
        </is>
      </c>
      <c r="C9557" s="60" t="inlineStr">
        <is>
          <t>Vertex Headphone Pro-801</t>
        </is>
      </c>
      <c r="D9557" s="58" t="inlineStr">
        <is>
          <t>Electronics</t>
        </is>
      </c>
      <c r="E9557" s="58" t="inlineStr">
        <is>
          <t>North</t>
        </is>
      </c>
      <c r="F9557" s="61" t="n">
        <v>1</v>
      </c>
      <c r="G9557" s="62" t="n">
        <v>1086.04</v>
      </c>
      <c r="H9557" s="63" t="n">
        <v>0.137</v>
      </c>
      <c r="I9557" s="62" t="n">
        <v>909.96</v>
      </c>
      <c r="J9557" s="58" t="inlineStr">
        <is>
          <t>Online</t>
        </is>
      </c>
      <c r="K9557" s="62">
        <f>F9557*(G9557-H9557)</f>
        <v/>
      </c>
      <c r="L9557" s="62">
        <f>K9557-(F9557*I9557)</f>
        <v/>
      </c>
      <c r="M9557" s="64">
        <f>L9557/K9557</f>
        <v/>
      </c>
    </row>
    <row r="9558">
      <c r="A9558" s="58" t="inlineStr">
        <is>
          <t>RT20250828-09557</t>
        </is>
      </c>
      <c r="B9558" s="59" t="inlineStr">
        <is>
          <t>2025-08-28</t>
        </is>
      </c>
      <c r="C9558" s="60" t="inlineStr">
        <is>
          <t>Solace Kid S-384</t>
        </is>
      </c>
      <c r="D9558" s="58" t="inlineStr">
        <is>
          <t>Apparel</t>
        </is>
      </c>
      <c r="E9558" s="58" t="inlineStr">
        <is>
          <t>East</t>
        </is>
      </c>
      <c r="F9558" s="61" t="n">
        <v>1</v>
      </c>
      <c r="G9558" s="62" t="n">
        <v>112.95</v>
      </c>
      <c r="H9558" s="63" t="n">
        <v>0.193</v>
      </c>
      <c r="I9558" s="62" t="n">
        <v>65.12</v>
      </c>
      <c r="J9558" s="58" t="inlineStr">
        <is>
          <t>Store</t>
        </is>
      </c>
      <c r="K9558" s="62">
        <f>F9558*(G9558-H9558)</f>
        <v/>
      </c>
      <c r="L9558" s="62">
        <f>K9558-(F9558*I9558)</f>
        <v/>
      </c>
      <c r="M9558" s="64">
        <f>L9558/K9558</f>
        <v/>
      </c>
    </row>
    <row r="9559">
      <c r="A9559" s="58" t="inlineStr">
        <is>
          <t>RT20250828-09558</t>
        </is>
      </c>
      <c r="B9559" s="59" t="inlineStr">
        <is>
          <t>2025-08-28</t>
        </is>
      </c>
      <c r="C9559" s="60" t="inlineStr">
        <is>
          <t>Nimbus Decor Lite-385</t>
        </is>
      </c>
      <c r="D9559" s="58" t="inlineStr">
        <is>
          <t>Home</t>
        </is>
      </c>
      <c r="E9559" s="58" t="inlineStr">
        <is>
          <t>Central</t>
        </is>
      </c>
      <c r="F9559" s="61" t="n">
        <v>3</v>
      </c>
      <c r="G9559" s="62" t="n">
        <v>622.4299999999999</v>
      </c>
      <c r="H9559" s="63" t="n">
        <v>0.157</v>
      </c>
      <c r="I9559" s="62" t="n">
        <v>408.59</v>
      </c>
      <c r="J9559" s="58" t="inlineStr">
        <is>
          <t>Phone</t>
        </is>
      </c>
      <c r="K9559" s="62">
        <f>F9559*(G9559-H9559)</f>
        <v/>
      </c>
      <c r="L9559" s="62">
        <f>K9559-(F9559*I9559)</f>
        <v/>
      </c>
      <c r="M9559" s="64">
        <f>L9559/K9559</f>
        <v/>
      </c>
    </row>
    <row r="9560">
      <c r="A9560" s="58" t="inlineStr">
        <is>
          <t>RT20250828-09559</t>
        </is>
      </c>
      <c r="B9560" s="59" t="inlineStr">
        <is>
          <t>2025-08-28</t>
        </is>
      </c>
      <c r="C9560" s="60" t="inlineStr">
        <is>
          <t>Polar Women S-662</t>
        </is>
      </c>
      <c r="D9560" s="58" t="inlineStr">
        <is>
          <t>Apparel</t>
        </is>
      </c>
      <c r="E9560" s="58" t="inlineStr">
        <is>
          <t>West</t>
        </is>
      </c>
      <c r="F9560" s="61" t="n">
        <v>3</v>
      </c>
      <c r="G9560" s="62" t="n">
        <v>168.78</v>
      </c>
      <c r="H9560" s="63" t="n">
        <v>0.121</v>
      </c>
      <c r="I9560" s="62" t="n">
        <v>101.54</v>
      </c>
      <c r="J9560" s="58" t="inlineStr">
        <is>
          <t>Store</t>
        </is>
      </c>
      <c r="K9560" s="62">
        <f>F9560*(G9560-H9560)</f>
        <v/>
      </c>
      <c r="L9560" s="62">
        <f>K9560-(F9560*I9560)</f>
        <v/>
      </c>
      <c r="M9560" s="64">
        <f>L9560/K9560</f>
        <v/>
      </c>
    </row>
    <row r="9561">
      <c r="A9561" s="58" t="inlineStr">
        <is>
          <t>RT20250828-09560</t>
        </is>
      </c>
      <c r="B9561" s="59" t="inlineStr">
        <is>
          <t>2025-08-28</t>
        </is>
      </c>
      <c r="C9561" s="60" t="inlineStr">
        <is>
          <t>Vertex Appliance S-296</t>
        </is>
      </c>
      <c r="D9561" s="58" t="inlineStr">
        <is>
          <t>Home</t>
        </is>
      </c>
      <c r="E9561" s="58" t="inlineStr">
        <is>
          <t>East</t>
        </is>
      </c>
      <c r="F9561" s="61" t="n">
        <v>1</v>
      </c>
      <c r="G9561" s="62" t="n">
        <v>511.7</v>
      </c>
      <c r="H9561" s="63" t="n">
        <v>0.145</v>
      </c>
      <c r="I9561" s="62" t="n">
        <v>364.62</v>
      </c>
      <c r="J9561" s="58" t="inlineStr">
        <is>
          <t>Store</t>
        </is>
      </c>
      <c r="K9561" s="62">
        <f>F9561*(G9561-H9561)</f>
        <v/>
      </c>
      <c r="L9561" s="62">
        <f>K9561-(F9561*I9561)</f>
        <v/>
      </c>
      <c r="M9561" s="64">
        <f>L9561/K9561</f>
        <v/>
      </c>
    </row>
    <row r="9562">
      <c r="A9562" s="58" t="inlineStr">
        <is>
          <t>RT20250828-09561</t>
        </is>
      </c>
      <c r="B9562" s="59" t="inlineStr">
        <is>
          <t>2025-08-28</t>
        </is>
      </c>
      <c r="C9562" s="60" t="inlineStr">
        <is>
          <t>Aurora Wearable Lite-162</t>
        </is>
      </c>
      <c r="D9562" s="58" t="inlineStr">
        <is>
          <t>Electronics</t>
        </is>
      </c>
      <c r="E9562" s="58" t="inlineStr">
        <is>
          <t>North</t>
        </is>
      </c>
      <c r="F9562" s="61" t="n">
        <v>2</v>
      </c>
      <c r="G9562" s="62" t="n">
        <v>1515.45</v>
      </c>
      <c r="H9562" s="63" t="n">
        <v>0.177</v>
      </c>
      <c r="I9562" s="62" t="n">
        <v>1158.53</v>
      </c>
      <c r="J9562" s="58" t="inlineStr">
        <is>
          <t>Phone</t>
        </is>
      </c>
      <c r="K9562" s="62">
        <f>F9562*(G9562-H9562)</f>
        <v/>
      </c>
      <c r="L9562" s="62">
        <f>K9562-(F9562*I9562)</f>
        <v/>
      </c>
      <c r="M9562" s="64">
        <f>L9562/K9562</f>
        <v/>
      </c>
    </row>
    <row r="9563">
      <c r="A9563" s="58" t="inlineStr">
        <is>
          <t>RT20250828-09562</t>
        </is>
      </c>
      <c r="B9563" s="59" t="inlineStr">
        <is>
          <t>2025-08-28</t>
        </is>
      </c>
      <c r="C9563" s="60" t="inlineStr">
        <is>
          <t>Polar Decor X-935</t>
        </is>
      </c>
      <c r="D9563" s="58" t="inlineStr">
        <is>
          <t>Home</t>
        </is>
      </c>
      <c r="E9563" s="58" t="inlineStr">
        <is>
          <t>East</t>
        </is>
      </c>
      <c r="F9563" s="61" t="n">
        <v>1</v>
      </c>
      <c r="G9563" s="62" t="n">
        <v>279.93</v>
      </c>
      <c r="H9563" s="63" t="n">
        <v>0.174</v>
      </c>
      <c r="I9563" s="62" t="n">
        <v>204.22</v>
      </c>
      <c r="J9563" s="58" t="inlineStr">
        <is>
          <t>Online</t>
        </is>
      </c>
      <c r="K9563" s="62">
        <f>F9563*(G9563-H9563)</f>
        <v/>
      </c>
      <c r="L9563" s="62">
        <f>K9563-(F9563*I9563)</f>
        <v/>
      </c>
      <c r="M9563" s="64">
        <f>L9563/K9563</f>
        <v/>
      </c>
    </row>
    <row r="9564">
      <c r="A9564" s="58" t="inlineStr">
        <is>
          <t>RT20250828-09563</t>
        </is>
      </c>
      <c r="B9564" s="59" t="inlineStr">
        <is>
          <t>2025-08-28</t>
        </is>
      </c>
      <c r="C9564" s="60" t="inlineStr">
        <is>
          <t>Metro Pantry X-710</t>
        </is>
      </c>
      <c r="D9564" s="58" t="inlineStr">
        <is>
          <t>Grocery</t>
        </is>
      </c>
      <c r="E9564" s="58" t="inlineStr">
        <is>
          <t>South</t>
        </is>
      </c>
      <c r="F9564" s="61" t="n">
        <v>4</v>
      </c>
      <c r="G9564" s="62" t="n">
        <v>5.68</v>
      </c>
      <c r="H9564" s="63" t="n">
        <v>0.07000000000000001</v>
      </c>
      <c r="I9564" s="62" t="n">
        <v>4.3</v>
      </c>
      <c r="J9564" s="58" t="inlineStr">
        <is>
          <t>Online</t>
        </is>
      </c>
      <c r="K9564" s="62">
        <f>F9564*(G9564-H9564)</f>
        <v/>
      </c>
      <c r="L9564" s="62">
        <f>K9564-(F9564*I9564)</f>
        <v/>
      </c>
      <c r="M9564" s="64">
        <f>L9564/K9564</f>
        <v/>
      </c>
    </row>
    <row r="9565">
      <c r="A9565" s="58" t="inlineStr">
        <is>
          <t>RT20250828-09564</t>
        </is>
      </c>
      <c r="B9565" s="59" t="inlineStr">
        <is>
          <t>2025-08-28</t>
        </is>
      </c>
      <c r="C9565" s="60" t="inlineStr">
        <is>
          <t>Falcon Kitchen X-130</t>
        </is>
      </c>
      <c r="D9565" s="58" t="inlineStr">
        <is>
          <t>Home</t>
        </is>
      </c>
      <c r="E9565" s="58" t="inlineStr">
        <is>
          <t>Central</t>
        </is>
      </c>
      <c r="F9565" s="61" t="n">
        <v>1</v>
      </c>
      <c r="G9565" s="62" t="n">
        <v>389.27</v>
      </c>
      <c r="H9565" s="63" t="n">
        <v>0.164</v>
      </c>
      <c r="I9565" s="62" t="n">
        <v>295.23</v>
      </c>
      <c r="J9565" s="58" t="inlineStr">
        <is>
          <t>Online</t>
        </is>
      </c>
      <c r="K9565" s="62">
        <f>F9565*(G9565-H9565)</f>
        <v/>
      </c>
      <c r="L9565" s="62">
        <f>K9565-(F9565*I9565)</f>
        <v/>
      </c>
      <c r="M9565" s="64">
        <f>L9565/K9565</f>
        <v/>
      </c>
    </row>
    <row r="9566">
      <c r="A9566" s="58" t="inlineStr">
        <is>
          <t>RT20250828-09565</t>
        </is>
      </c>
      <c r="B9566" s="59" t="inlineStr">
        <is>
          <t>2025-08-28</t>
        </is>
      </c>
      <c r="C9566" s="60" t="inlineStr">
        <is>
          <t>Nimbus Men Plus-231</t>
        </is>
      </c>
      <c r="D9566" s="58" t="inlineStr">
        <is>
          <t>Apparel</t>
        </is>
      </c>
      <c r="E9566" s="58" t="inlineStr">
        <is>
          <t>North</t>
        </is>
      </c>
      <c r="F9566" s="61" t="n">
        <v>4</v>
      </c>
      <c r="G9566" s="62" t="n">
        <v>154.97</v>
      </c>
      <c r="H9566" s="63" t="n">
        <v>0.097</v>
      </c>
      <c r="I9566" s="62" t="n">
        <v>89.01000000000001</v>
      </c>
      <c r="J9566" s="58" t="inlineStr">
        <is>
          <t>Online</t>
        </is>
      </c>
      <c r="K9566" s="62">
        <f>F9566*(G9566-H9566)</f>
        <v/>
      </c>
      <c r="L9566" s="62">
        <f>K9566-(F9566*I9566)</f>
        <v/>
      </c>
      <c r="M9566" s="64">
        <f>L9566/K9566</f>
        <v/>
      </c>
    </row>
    <row r="9567">
      <c r="A9567" s="58" t="inlineStr">
        <is>
          <t>RT20250828-09566</t>
        </is>
      </c>
      <c r="B9567" s="59" t="inlineStr">
        <is>
          <t>2025-08-28</t>
        </is>
      </c>
      <c r="C9567" s="60" t="inlineStr">
        <is>
          <t>Polar Supplie Lite-348</t>
        </is>
      </c>
      <c r="D9567" s="58" t="inlineStr">
        <is>
          <t>Office</t>
        </is>
      </c>
      <c r="E9567" s="58" t="inlineStr">
        <is>
          <t>South</t>
        </is>
      </c>
      <c r="F9567" s="61" t="n">
        <v>1</v>
      </c>
      <c r="G9567" s="62" t="n">
        <v>393.86</v>
      </c>
      <c r="H9567" s="63" t="n">
        <v>0.167</v>
      </c>
      <c r="I9567" s="62" t="n">
        <v>318.53</v>
      </c>
      <c r="J9567" s="58" t="inlineStr">
        <is>
          <t>Online</t>
        </is>
      </c>
      <c r="K9567" s="62">
        <f>F9567*(G9567-H9567)</f>
        <v/>
      </c>
      <c r="L9567" s="62">
        <f>K9567-(F9567*I9567)</f>
        <v/>
      </c>
      <c r="M9567" s="64">
        <f>L9567/K9567</f>
        <v/>
      </c>
    </row>
    <row r="9568">
      <c r="A9568" s="58" t="inlineStr">
        <is>
          <t>RT20250828-09567</t>
        </is>
      </c>
      <c r="B9568" s="59" t="inlineStr">
        <is>
          <t>2025-08-28</t>
        </is>
      </c>
      <c r="C9568" s="60" t="inlineStr">
        <is>
          <t>Orion Storage Plus-961</t>
        </is>
      </c>
      <c r="D9568" s="58" t="inlineStr">
        <is>
          <t>Office</t>
        </is>
      </c>
      <c r="E9568" s="58" t="inlineStr">
        <is>
          <t>West</t>
        </is>
      </c>
      <c r="F9568" s="61" t="n">
        <v>2</v>
      </c>
      <c r="G9568" s="62" t="n">
        <v>482.65</v>
      </c>
      <c r="H9568" s="63" t="n">
        <v>0.155</v>
      </c>
      <c r="I9568" s="62" t="n">
        <v>354.71</v>
      </c>
      <c r="J9568" s="58" t="inlineStr">
        <is>
          <t>Online</t>
        </is>
      </c>
      <c r="K9568" s="62">
        <f>F9568*(G9568-H9568)</f>
        <v/>
      </c>
      <c r="L9568" s="62">
        <f>K9568-(F9568*I9568)</f>
        <v/>
      </c>
      <c r="M9568" s="64">
        <f>L9568/K9568</f>
        <v/>
      </c>
    </row>
    <row r="9569">
      <c r="A9569" s="58" t="inlineStr">
        <is>
          <t>RT20250828-09568</t>
        </is>
      </c>
      <c r="B9569" s="59" t="inlineStr">
        <is>
          <t>2025-08-28</t>
        </is>
      </c>
      <c r="C9569" s="60" t="inlineStr">
        <is>
          <t>Polar Outdoor Lite-318</t>
        </is>
      </c>
      <c r="D9569" s="58" t="inlineStr">
        <is>
          <t>Sports</t>
        </is>
      </c>
      <c r="E9569" s="58" t="inlineStr">
        <is>
          <t>North</t>
        </is>
      </c>
      <c r="F9569" s="61" t="n">
        <v>1</v>
      </c>
      <c r="G9569" s="62" t="n">
        <v>743.79</v>
      </c>
      <c r="H9569" s="63" t="n">
        <v>0.144</v>
      </c>
      <c r="I9569" s="62" t="n">
        <v>469.13</v>
      </c>
      <c r="J9569" s="58" t="inlineStr">
        <is>
          <t>Online</t>
        </is>
      </c>
      <c r="K9569" s="62">
        <f>F9569*(G9569-H9569)</f>
        <v/>
      </c>
      <c r="L9569" s="62">
        <f>K9569-(F9569*I9569)</f>
        <v/>
      </c>
      <c r="M9569" s="64">
        <f>L9569/K9569</f>
        <v/>
      </c>
    </row>
    <row r="9570">
      <c r="A9570" s="58" t="inlineStr">
        <is>
          <t>RT20250828-09569</t>
        </is>
      </c>
      <c r="B9570" s="59" t="inlineStr">
        <is>
          <t>2025-08-28</t>
        </is>
      </c>
      <c r="C9570" s="60" t="inlineStr">
        <is>
          <t>Polar Bedding Lite-243</t>
        </is>
      </c>
      <c r="D9570" s="58" t="inlineStr">
        <is>
          <t>Home</t>
        </is>
      </c>
      <c r="E9570" s="58" t="inlineStr">
        <is>
          <t>East</t>
        </is>
      </c>
      <c r="F9570" s="61" t="n">
        <v>2</v>
      </c>
      <c r="G9570" s="62" t="n">
        <v>509.55</v>
      </c>
      <c r="H9570" s="63" t="n">
        <v>0.111</v>
      </c>
      <c r="I9570" s="62" t="n">
        <v>321.93</v>
      </c>
      <c r="J9570" s="58" t="inlineStr">
        <is>
          <t>Phone</t>
        </is>
      </c>
      <c r="K9570" s="62">
        <f>F9570*(G9570-H9570)</f>
        <v/>
      </c>
      <c r="L9570" s="62">
        <f>K9570-(F9570*I9570)</f>
        <v/>
      </c>
      <c r="M9570" s="64">
        <f>L9570/K9570</f>
        <v/>
      </c>
    </row>
    <row r="9571">
      <c r="A9571" s="58" t="inlineStr">
        <is>
          <t>RT20250828-09570</t>
        </is>
      </c>
      <c r="B9571" s="59" t="inlineStr">
        <is>
          <t>2025-08-28</t>
        </is>
      </c>
      <c r="C9571" s="60" t="inlineStr">
        <is>
          <t>Falcon Cycling Pro-499</t>
        </is>
      </c>
      <c r="D9571" s="58" t="inlineStr">
        <is>
          <t>Sports</t>
        </is>
      </c>
      <c r="E9571" s="58" t="inlineStr">
        <is>
          <t>West</t>
        </is>
      </c>
      <c r="F9571" s="61" t="n">
        <v>3</v>
      </c>
      <c r="G9571" s="62" t="n">
        <v>593.1900000000001</v>
      </c>
      <c r="H9571" s="63" t="n">
        <v>0.14</v>
      </c>
      <c r="I9571" s="62" t="n">
        <v>398.01</v>
      </c>
      <c r="J9571" s="58" t="inlineStr">
        <is>
          <t>Online</t>
        </is>
      </c>
      <c r="K9571" s="62">
        <f>F9571*(G9571-H9571)</f>
        <v/>
      </c>
      <c r="L9571" s="62">
        <f>K9571-(F9571*I9571)</f>
        <v/>
      </c>
      <c r="M9571" s="64">
        <f>L9571/K9571</f>
        <v/>
      </c>
    </row>
    <row r="9572">
      <c r="A9572" s="58" t="inlineStr">
        <is>
          <t>RT20250828-09571</t>
        </is>
      </c>
      <c r="B9572" s="59" t="inlineStr">
        <is>
          <t>2025-08-28</t>
        </is>
      </c>
      <c r="C9572" s="60" t="inlineStr">
        <is>
          <t>Vertex Appliance S-296</t>
        </is>
      </c>
      <c r="D9572" s="58" t="inlineStr">
        <is>
          <t>Home</t>
        </is>
      </c>
      <c r="E9572" s="58" t="inlineStr">
        <is>
          <t>North</t>
        </is>
      </c>
      <c r="F9572" s="61" t="n">
        <v>1</v>
      </c>
      <c r="G9572" s="62" t="n">
        <v>555.1</v>
      </c>
      <c r="H9572" s="63" t="n">
        <v>0.142</v>
      </c>
      <c r="I9572" s="62" t="n">
        <v>353.26</v>
      </c>
      <c r="J9572" s="58" t="inlineStr">
        <is>
          <t>Store</t>
        </is>
      </c>
      <c r="K9572" s="62">
        <f>F9572*(G9572-H9572)</f>
        <v/>
      </c>
      <c r="L9572" s="62">
        <f>K9572-(F9572*I9572)</f>
        <v/>
      </c>
      <c r="M9572" s="64">
        <f>L9572/K9572</f>
        <v/>
      </c>
    </row>
    <row r="9573">
      <c r="A9573" s="58" t="inlineStr">
        <is>
          <t>RT20250828-09572</t>
        </is>
      </c>
      <c r="B9573" s="59" t="inlineStr">
        <is>
          <t>2025-08-28</t>
        </is>
      </c>
      <c r="C9573" s="60" t="inlineStr">
        <is>
          <t>Metro Beverage Max-490</t>
        </is>
      </c>
      <c r="D9573" s="58" t="inlineStr">
        <is>
          <t>Grocery</t>
        </is>
      </c>
      <c r="E9573" s="58" t="inlineStr">
        <is>
          <t>West</t>
        </is>
      </c>
      <c r="F9573" s="61" t="n">
        <v>6</v>
      </c>
      <c r="G9573" s="62" t="n">
        <v>11.21</v>
      </c>
      <c r="H9573" s="63" t="n">
        <v>0.173</v>
      </c>
      <c r="I9573" s="62" t="n">
        <v>8.15</v>
      </c>
      <c r="J9573" s="58" t="inlineStr">
        <is>
          <t>Phone</t>
        </is>
      </c>
      <c r="K9573" s="62">
        <f>F9573*(G9573-H9573)</f>
        <v/>
      </c>
      <c r="L9573" s="62">
        <f>K9573-(F9573*I9573)</f>
        <v/>
      </c>
      <c r="M9573" s="64">
        <f>L9573/K9573</f>
        <v/>
      </c>
    </row>
    <row r="9574">
      <c r="A9574" s="58" t="inlineStr">
        <is>
          <t>RT20250828-09573</t>
        </is>
      </c>
      <c r="B9574" s="59" t="inlineStr">
        <is>
          <t>2025-08-28</t>
        </is>
      </c>
      <c r="C9574" s="60" t="inlineStr">
        <is>
          <t>Aurora Team Sport Plus-256</t>
        </is>
      </c>
      <c r="D9574" s="58" t="inlineStr">
        <is>
          <t>Sports</t>
        </is>
      </c>
      <c r="E9574" s="58" t="inlineStr">
        <is>
          <t>East</t>
        </is>
      </c>
      <c r="F9574" s="61" t="n">
        <v>1</v>
      </c>
      <c r="G9574" s="62" t="n">
        <v>634.63</v>
      </c>
      <c r="H9574" s="63" t="n">
        <v>0.178</v>
      </c>
      <c r="I9574" s="62" t="n">
        <v>420.82</v>
      </c>
      <c r="J9574" s="58" t="inlineStr">
        <is>
          <t>Online</t>
        </is>
      </c>
      <c r="K9574" s="62">
        <f>F9574*(G9574-H9574)</f>
        <v/>
      </c>
      <c r="L9574" s="62">
        <f>K9574-(F9574*I9574)</f>
        <v/>
      </c>
      <c r="M9574" s="64">
        <f>L9574/K9574</f>
        <v/>
      </c>
    </row>
    <row r="9575">
      <c r="A9575" s="58" t="inlineStr">
        <is>
          <t>RT20250828-09574</t>
        </is>
      </c>
      <c r="B9575" s="59" t="inlineStr">
        <is>
          <t>2025-08-28</t>
        </is>
      </c>
      <c r="C9575" s="60" t="inlineStr">
        <is>
          <t>Solace Kitchen Pro-510</t>
        </is>
      </c>
      <c r="D9575" s="58" t="inlineStr">
        <is>
          <t>Home</t>
        </is>
      </c>
      <c r="E9575" s="58" t="inlineStr">
        <is>
          <t>Central</t>
        </is>
      </c>
      <c r="F9575" s="61" t="n">
        <v>2</v>
      </c>
      <c r="G9575" s="62" t="n">
        <v>432.36</v>
      </c>
      <c r="H9575" s="63" t="n">
        <v>0.159</v>
      </c>
      <c r="I9575" s="62" t="n">
        <v>304.41</v>
      </c>
      <c r="J9575" s="58" t="inlineStr">
        <is>
          <t>Online</t>
        </is>
      </c>
      <c r="K9575" s="62">
        <f>F9575*(G9575-H9575)</f>
        <v/>
      </c>
      <c r="L9575" s="62">
        <f>K9575-(F9575*I9575)</f>
        <v/>
      </c>
      <c r="M9575" s="64">
        <f>L9575/K9575</f>
        <v/>
      </c>
    </row>
    <row r="9576">
      <c r="A9576" s="58" t="inlineStr">
        <is>
          <t>RT20250828-09575</t>
        </is>
      </c>
      <c r="B9576" s="59" t="inlineStr">
        <is>
          <t>2025-08-28</t>
        </is>
      </c>
      <c r="C9576" s="60" t="inlineStr">
        <is>
          <t>Orion Kid Max-640</t>
        </is>
      </c>
      <c r="D9576" s="58" t="inlineStr">
        <is>
          <t>Apparel</t>
        </is>
      </c>
      <c r="E9576" s="58" t="inlineStr">
        <is>
          <t>West</t>
        </is>
      </c>
      <c r="F9576" s="61" t="n">
        <v>4</v>
      </c>
      <c r="G9576" s="62" t="n">
        <v>142.2</v>
      </c>
      <c r="H9576" s="63" t="n">
        <v>0.105</v>
      </c>
      <c r="I9576" s="62" t="n">
        <v>69.41</v>
      </c>
      <c r="J9576" s="58" t="inlineStr">
        <is>
          <t>Store</t>
        </is>
      </c>
      <c r="K9576" s="62">
        <f>F9576*(G9576-H9576)</f>
        <v/>
      </c>
      <c r="L9576" s="62">
        <f>K9576-(F9576*I9576)</f>
        <v/>
      </c>
      <c r="M9576" s="64">
        <f>L9576/K9576</f>
        <v/>
      </c>
    </row>
    <row r="9577">
      <c r="A9577" s="58" t="inlineStr">
        <is>
          <t>RT20250828-09576</t>
        </is>
      </c>
      <c r="B9577" s="59" t="inlineStr">
        <is>
          <t>2025-08-28</t>
        </is>
      </c>
      <c r="C9577" s="60" t="inlineStr">
        <is>
          <t>Aurora Printer Plus-991</t>
        </is>
      </c>
      <c r="D9577" s="58" t="inlineStr">
        <is>
          <t>Office</t>
        </is>
      </c>
      <c r="E9577" s="58" t="inlineStr">
        <is>
          <t>Central</t>
        </is>
      </c>
      <c r="F9577" s="61" t="n">
        <v>1</v>
      </c>
      <c r="G9577" s="62" t="n">
        <v>548.41</v>
      </c>
      <c r="H9577" s="63" t="n">
        <v>0.171</v>
      </c>
      <c r="I9577" s="62" t="n">
        <v>382.28</v>
      </c>
      <c r="J9577" s="58" t="inlineStr">
        <is>
          <t>Store</t>
        </is>
      </c>
      <c r="K9577" s="62">
        <f>F9577*(G9577-H9577)</f>
        <v/>
      </c>
      <c r="L9577" s="62">
        <f>K9577-(F9577*I9577)</f>
        <v/>
      </c>
      <c r="M9577" s="64">
        <f>L9577/K9577</f>
        <v/>
      </c>
    </row>
    <row r="9578">
      <c r="A9578" s="58" t="inlineStr">
        <is>
          <t>RT20250829-09577</t>
        </is>
      </c>
      <c r="B9578" s="59" t="inlineStr">
        <is>
          <t>2025-08-29</t>
        </is>
      </c>
      <c r="C9578" s="60" t="inlineStr">
        <is>
          <t>Falcon Skincare Max-151</t>
        </is>
      </c>
      <c r="D9578" s="58" t="inlineStr">
        <is>
          <t>Beauty</t>
        </is>
      </c>
      <c r="E9578" s="58" t="inlineStr">
        <is>
          <t>North</t>
        </is>
      </c>
      <c r="F9578" s="61" t="n">
        <v>5</v>
      </c>
      <c r="G9578" s="62" t="n">
        <v>98.58</v>
      </c>
      <c r="H9578" s="63" t="n">
        <v>0.17</v>
      </c>
      <c r="I9578" s="62" t="n">
        <v>60.21</v>
      </c>
      <c r="J9578" s="58" t="inlineStr">
        <is>
          <t>Online</t>
        </is>
      </c>
      <c r="K9578" s="62">
        <f>F9578*(G9578-H9578)</f>
        <v/>
      </c>
      <c r="L9578" s="62">
        <f>K9578-(F9578*I9578)</f>
        <v/>
      </c>
      <c r="M9578" s="64">
        <f>L9578/K9578</f>
        <v/>
      </c>
    </row>
    <row r="9579">
      <c r="A9579" s="58" t="inlineStr">
        <is>
          <t>RT20250829-09578</t>
        </is>
      </c>
      <c r="B9579" s="59" t="inlineStr">
        <is>
          <t>2025-08-29</t>
        </is>
      </c>
      <c r="C9579" s="60" t="inlineStr">
        <is>
          <t>Metro Outdoor Plus-787</t>
        </is>
      </c>
      <c r="D9579" s="58" t="inlineStr">
        <is>
          <t>Sports</t>
        </is>
      </c>
      <c r="E9579" s="58" t="inlineStr">
        <is>
          <t>East</t>
        </is>
      </c>
      <c r="F9579" s="61" t="n">
        <v>3</v>
      </c>
      <c r="G9579" s="62" t="n">
        <v>557.37</v>
      </c>
      <c r="H9579" s="63" t="n">
        <v>0.126</v>
      </c>
      <c r="I9579" s="62" t="n">
        <v>357.06</v>
      </c>
      <c r="J9579" s="58" t="inlineStr">
        <is>
          <t>Online</t>
        </is>
      </c>
      <c r="K9579" s="62">
        <f>F9579*(G9579-H9579)</f>
        <v/>
      </c>
      <c r="L9579" s="62">
        <f>K9579-(F9579*I9579)</f>
        <v/>
      </c>
      <c r="M9579" s="64">
        <f>L9579/K9579</f>
        <v/>
      </c>
    </row>
    <row r="9580">
      <c r="A9580" s="58" t="inlineStr">
        <is>
          <t>RT20250829-09579</t>
        </is>
      </c>
      <c r="B9580" s="59" t="inlineStr">
        <is>
          <t>2025-08-29</t>
        </is>
      </c>
      <c r="C9580" s="60" t="inlineStr">
        <is>
          <t>Aurora Bedding Plus-187</t>
        </is>
      </c>
      <c r="D9580" s="58" t="inlineStr">
        <is>
          <t>Home</t>
        </is>
      </c>
      <c r="E9580" s="58" t="inlineStr">
        <is>
          <t>South</t>
        </is>
      </c>
      <c r="F9580" s="61" t="n">
        <v>1</v>
      </c>
      <c r="G9580" s="62" t="n">
        <v>331.01</v>
      </c>
      <c r="H9580" s="63" t="n">
        <v>0.162</v>
      </c>
      <c r="I9580" s="62" t="n">
        <v>204.9</v>
      </c>
      <c r="J9580" s="58" t="inlineStr">
        <is>
          <t>Store</t>
        </is>
      </c>
      <c r="K9580" s="62">
        <f>F9580*(G9580-H9580)</f>
        <v/>
      </c>
      <c r="L9580" s="62">
        <f>K9580-(F9580*I9580)</f>
        <v/>
      </c>
      <c r="M9580" s="64">
        <f>L9580/K9580</f>
        <v/>
      </c>
    </row>
    <row r="9581">
      <c r="A9581" s="58" t="inlineStr">
        <is>
          <t>RT20250829-09580</t>
        </is>
      </c>
      <c r="B9581" s="59" t="inlineStr">
        <is>
          <t>2025-08-29</t>
        </is>
      </c>
      <c r="C9581" s="60" t="inlineStr">
        <is>
          <t>Falcon Household Pro-865</t>
        </is>
      </c>
      <c r="D9581" s="58" t="inlineStr">
        <is>
          <t>Grocery</t>
        </is>
      </c>
      <c r="E9581" s="58" t="inlineStr">
        <is>
          <t>East</t>
        </is>
      </c>
      <c r="F9581" s="61" t="n">
        <v>3</v>
      </c>
      <c r="G9581" s="62" t="n">
        <v>11.65</v>
      </c>
      <c r="H9581" s="63" t="n">
        <v>0.172</v>
      </c>
      <c r="I9581" s="62" t="n">
        <v>7.59</v>
      </c>
      <c r="J9581" s="58" t="inlineStr">
        <is>
          <t>Store</t>
        </is>
      </c>
      <c r="K9581" s="62">
        <f>F9581*(G9581-H9581)</f>
        <v/>
      </c>
      <c r="L9581" s="62">
        <f>K9581-(F9581*I9581)</f>
        <v/>
      </c>
      <c r="M9581" s="64">
        <f>L9581/K9581</f>
        <v/>
      </c>
    </row>
    <row r="9582">
      <c r="A9582" s="58" t="inlineStr">
        <is>
          <t>RT20250829-09581</t>
        </is>
      </c>
      <c r="B9582" s="59" t="inlineStr">
        <is>
          <t>2025-08-29</t>
        </is>
      </c>
      <c r="C9582" s="60" t="inlineStr">
        <is>
          <t>Solace Kitchen Pro-999</t>
        </is>
      </c>
      <c r="D9582" s="58" t="inlineStr">
        <is>
          <t>Home</t>
        </is>
      </c>
      <c r="E9582" s="58" t="inlineStr">
        <is>
          <t>West</t>
        </is>
      </c>
      <c r="F9582" s="61" t="n">
        <v>2</v>
      </c>
      <c r="G9582" s="62" t="n">
        <v>347.7</v>
      </c>
      <c r="H9582" s="63" t="n">
        <v>0.166</v>
      </c>
      <c r="I9582" s="62" t="n">
        <v>263.25</v>
      </c>
      <c r="J9582" s="58" t="inlineStr">
        <is>
          <t>Online</t>
        </is>
      </c>
      <c r="K9582" s="62">
        <f>F9582*(G9582-H9582)</f>
        <v/>
      </c>
      <c r="L9582" s="62">
        <f>K9582-(F9582*I9582)</f>
        <v/>
      </c>
      <c r="M9582" s="64">
        <f>L9582/K9582</f>
        <v/>
      </c>
    </row>
    <row r="9583">
      <c r="A9583" s="58" t="inlineStr">
        <is>
          <t>RT20250829-09582</t>
        </is>
      </c>
      <c r="B9583" s="59" t="inlineStr">
        <is>
          <t>2025-08-29</t>
        </is>
      </c>
      <c r="C9583" s="60" t="inlineStr">
        <is>
          <t>Metro Laptop Plus-376</t>
        </is>
      </c>
      <c r="D9583" s="58" t="inlineStr">
        <is>
          <t>Electronics</t>
        </is>
      </c>
      <c r="E9583" s="58" t="inlineStr">
        <is>
          <t>South</t>
        </is>
      </c>
      <c r="F9583" s="61" t="n">
        <v>1</v>
      </c>
      <c r="G9583" s="62" t="n">
        <v>1311.24</v>
      </c>
      <c r="H9583" s="63" t="n">
        <v>0.163</v>
      </c>
      <c r="I9583" s="62" t="n">
        <v>1023.05</v>
      </c>
      <c r="J9583" s="58" t="inlineStr">
        <is>
          <t>Store</t>
        </is>
      </c>
      <c r="K9583" s="62">
        <f>F9583*(G9583-H9583)</f>
        <v/>
      </c>
      <c r="L9583" s="62">
        <f>K9583-(F9583*I9583)</f>
        <v/>
      </c>
      <c r="M9583" s="64">
        <f>L9583/K9583</f>
        <v/>
      </c>
    </row>
    <row r="9584">
      <c r="A9584" s="58" t="inlineStr">
        <is>
          <t>RT20250829-09583</t>
        </is>
      </c>
      <c r="B9584" s="59" t="inlineStr">
        <is>
          <t>2025-08-29</t>
        </is>
      </c>
      <c r="C9584" s="60" t="inlineStr">
        <is>
          <t>Aurora Fragrance S-971</t>
        </is>
      </c>
      <c r="D9584" s="58" t="inlineStr">
        <is>
          <t>Beauty</t>
        </is>
      </c>
      <c r="E9584" s="58" t="inlineStr">
        <is>
          <t>Central</t>
        </is>
      </c>
      <c r="F9584" s="61" t="n">
        <v>5</v>
      </c>
      <c r="G9584" s="62" t="n">
        <v>99.47</v>
      </c>
      <c r="H9584" s="63" t="n">
        <v>0.108</v>
      </c>
      <c r="I9584" s="62" t="n">
        <v>67.08</v>
      </c>
      <c r="J9584" s="58" t="inlineStr">
        <is>
          <t>Online</t>
        </is>
      </c>
      <c r="K9584" s="62">
        <f>F9584*(G9584-H9584)</f>
        <v/>
      </c>
      <c r="L9584" s="62">
        <f>K9584-(F9584*I9584)</f>
        <v/>
      </c>
      <c r="M9584" s="64">
        <f>L9584/K9584</f>
        <v/>
      </c>
    </row>
    <row r="9585">
      <c r="A9585" s="58" t="inlineStr">
        <is>
          <t>RT20250829-09584</t>
        </is>
      </c>
      <c r="B9585" s="59" t="inlineStr">
        <is>
          <t>2025-08-29</t>
        </is>
      </c>
      <c r="C9585" s="60" t="inlineStr">
        <is>
          <t>Aurora Outdoor Pro-467</t>
        </is>
      </c>
      <c r="D9585" s="58" t="inlineStr">
        <is>
          <t>Sports</t>
        </is>
      </c>
      <c r="E9585" s="58" t="inlineStr">
        <is>
          <t>North</t>
        </is>
      </c>
      <c r="F9585" s="61" t="n">
        <v>1</v>
      </c>
      <c r="G9585" s="62" t="n">
        <v>332.27</v>
      </c>
      <c r="H9585" s="63" t="n">
        <v>0.179</v>
      </c>
      <c r="I9585" s="62" t="n">
        <v>194.67</v>
      </c>
      <c r="J9585" s="58" t="inlineStr">
        <is>
          <t>Store</t>
        </is>
      </c>
      <c r="K9585" s="62">
        <f>F9585*(G9585-H9585)</f>
        <v/>
      </c>
      <c r="L9585" s="62">
        <f>K9585-(F9585*I9585)</f>
        <v/>
      </c>
      <c r="M9585" s="64">
        <f>L9585/K9585</f>
        <v/>
      </c>
    </row>
    <row r="9586">
      <c r="A9586" s="58" t="inlineStr">
        <is>
          <t>RT20250829-09585</t>
        </is>
      </c>
      <c r="B9586" s="59" t="inlineStr">
        <is>
          <t>2025-08-29</t>
        </is>
      </c>
      <c r="C9586" s="60" t="inlineStr">
        <is>
          <t>Orion Laptop S-350</t>
        </is>
      </c>
      <c r="D9586" s="58" t="inlineStr">
        <is>
          <t>Electronics</t>
        </is>
      </c>
      <c r="E9586" s="58" t="inlineStr">
        <is>
          <t>North</t>
        </is>
      </c>
      <c r="F9586" s="61" t="n">
        <v>2</v>
      </c>
      <c r="G9586" s="62" t="n">
        <v>1466.33</v>
      </c>
      <c r="H9586" s="63" t="n">
        <v>0.108</v>
      </c>
      <c r="I9586" s="62" t="n">
        <v>1080.18</v>
      </c>
      <c r="J9586" s="58" t="inlineStr">
        <is>
          <t>Store</t>
        </is>
      </c>
      <c r="K9586" s="62">
        <f>F9586*(G9586-H9586)</f>
        <v/>
      </c>
      <c r="L9586" s="62">
        <f>K9586-(F9586*I9586)</f>
        <v/>
      </c>
      <c r="M9586" s="64">
        <f>L9586/K9586</f>
        <v/>
      </c>
    </row>
    <row r="9587">
      <c r="A9587" s="58" t="inlineStr">
        <is>
          <t>RT20250829-09586</t>
        </is>
      </c>
      <c r="B9587" s="59" t="inlineStr">
        <is>
          <t>2025-08-29</t>
        </is>
      </c>
      <c r="C9587" s="60" t="inlineStr">
        <is>
          <t>Aurora Haircare S-975</t>
        </is>
      </c>
      <c r="D9587" s="58" t="inlineStr">
        <is>
          <t>Beauty</t>
        </is>
      </c>
      <c r="E9587" s="58" t="inlineStr">
        <is>
          <t>East</t>
        </is>
      </c>
      <c r="F9587" s="61" t="n">
        <v>1</v>
      </c>
      <c r="G9587" s="62" t="n">
        <v>103.5</v>
      </c>
      <c r="H9587" s="63" t="n">
        <v>0.16</v>
      </c>
      <c r="I9587" s="62" t="n">
        <v>56.52</v>
      </c>
      <c r="J9587" s="58" t="inlineStr">
        <is>
          <t>Phone</t>
        </is>
      </c>
      <c r="K9587" s="62">
        <f>F9587*(G9587-H9587)</f>
        <v/>
      </c>
      <c r="L9587" s="62">
        <f>K9587-(F9587*I9587)</f>
        <v/>
      </c>
      <c r="M9587" s="64">
        <f>L9587/K9587</f>
        <v/>
      </c>
    </row>
    <row r="9588">
      <c r="A9588" s="58" t="inlineStr">
        <is>
          <t>RT20250829-09587</t>
        </is>
      </c>
      <c r="B9588" s="59" t="inlineStr">
        <is>
          <t>2025-08-29</t>
        </is>
      </c>
      <c r="C9588" s="60" t="inlineStr">
        <is>
          <t>Metro Pantry Max-180</t>
        </is>
      </c>
      <c r="D9588" s="58" t="inlineStr">
        <is>
          <t>Grocery</t>
        </is>
      </c>
      <c r="E9588" s="58" t="inlineStr">
        <is>
          <t>West</t>
        </is>
      </c>
      <c r="F9588" s="61" t="n">
        <v>2</v>
      </c>
      <c r="G9588" s="62" t="n">
        <v>8.52</v>
      </c>
      <c r="H9588" s="63" t="n">
        <v>0.153</v>
      </c>
      <c r="I9588" s="62" t="n">
        <v>6.47</v>
      </c>
      <c r="J9588" s="58" t="inlineStr">
        <is>
          <t>Store</t>
        </is>
      </c>
      <c r="K9588" s="62">
        <f>F9588*(G9588-H9588)</f>
        <v/>
      </c>
      <c r="L9588" s="62">
        <f>K9588-(F9588*I9588)</f>
        <v/>
      </c>
      <c r="M9588" s="64">
        <f>L9588/K9588</f>
        <v/>
      </c>
    </row>
    <row r="9589">
      <c r="A9589" s="58" t="inlineStr">
        <is>
          <t>RT20250829-09588</t>
        </is>
      </c>
      <c r="B9589" s="59" t="inlineStr">
        <is>
          <t>2025-08-29</t>
        </is>
      </c>
      <c r="C9589" s="60" t="inlineStr">
        <is>
          <t>Polar Haircare Max-614</t>
        </is>
      </c>
      <c r="D9589" s="58" t="inlineStr">
        <is>
          <t>Beauty</t>
        </is>
      </c>
      <c r="E9589" s="58" t="inlineStr">
        <is>
          <t>South</t>
        </is>
      </c>
      <c r="F9589" s="61" t="n">
        <v>2</v>
      </c>
      <c r="G9589" s="62" t="n">
        <v>109.42</v>
      </c>
      <c r="H9589" s="63" t="n">
        <v>0.127</v>
      </c>
      <c r="I9589" s="62" t="n">
        <v>71.28</v>
      </c>
      <c r="J9589" s="58" t="inlineStr">
        <is>
          <t>Phone</t>
        </is>
      </c>
      <c r="K9589" s="62">
        <f>F9589*(G9589-H9589)</f>
        <v/>
      </c>
      <c r="L9589" s="62">
        <f>K9589-(F9589*I9589)</f>
        <v/>
      </c>
      <c r="M9589" s="64">
        <f>L9589/K9589</f>
        <v/>
      </c>
    </row>
    <row r="9590">
      <c r="A9590" s="58" t="inlineStr">
        <is>
          <t>RT20250829-09589</t>
        </is>
      </c>
      <c r="B9590" s="59" t="inlineStr">
        <is>
          <t>2025-08-29</t>
        </is>
      </c>
      <c r="C9590" s="60" t="inlineStr">
        <is>
          <t>Solace Kid S-384</t>
        </is>
      </c>
      <c r="D9590" s="58" t="inlineStr">
        <is>
          <t>Apparel</t>
        </is>
      </c>
      <c r="E9590" s="58" t="inlineStr">
        <is>
          <t>North</t>
        </is>
      </c>
      <c r="F9590" s="61" t="n">
        <v>2</v>
      </c>
      <c r="G9590" s="62" t="n">
        <v>120.26</v>
      </c>
      <c r="H9590" s="63" t="n">
        <v>0.175</v>
      </c>
      <c r="I9590" s="62" t="n">
        <v>61.1</v>
      </c>
      <c r="J9590" s="58" t="inlineStr">
        <is>
          <t>Online</t>
        </is>
      </c>
      <c r="K9590" s="62">
        <f>F9590*(G9590-H9590)</f>
        <v/>
      </c>
      <c r="L9590" s="62">
        <f>K9590-(F9590*I9590)</f>
        <v/>
      </c>
      <c r="M9590" s="64">
        <f>L9590/K9590</f>
        <v/>
      </c>
    </row>
    <row r="9591">
      <c r="A9591" s="58" t="inlineStr">
        <is>
          <t>RT20250829-09590</t>
        </is>
      </c>
      <c r="B9591" s="59" t="inlineStr">
        <is>
          <t>2025-08-29</t>
        </is>
      </c>
      <c r="C9591" s="60" t="inlineStr">
        <is>
          <t>Metro Fragrance Lite-261</t>
        </is>
      </c>
      <c r="D9591" s="58" t="inlineStr">
        <is>
          <t>Beauty</t>
        </is>
      </c>
      <c r="E9591" s="58" t="inlineStr">
        <is>
          <t>Central</t>
        </is>
      </c>
      <c r="F9591" s="61" t="n">
        <v>1</v>
      </c>
      <c r="G9591" s="62" t="n">
        <v>82.39</v>
      </c>
      <c r="H9591" s="63" t="n">
        <v>0.161</v>
      </c>
      <c r="I9591" s="62" t="n">
        <v>54.23</v>
      </c>
      <c r="J9591" s="58" t="inlineStr">
        <is>
          <t>Online</t>
        </is>
      </c>
      <c r="K9591" s="62">
        <f>F9591*(G9591-H9591)</f>
        <v/>
      </c>
      <c r="L9591" s="62">
        <f>K9591-(F9591*I9591)</f>
        <v/>
      </c>
      <c r="M9591" s="64">
        <f>L9591/K9591</f>
        <v/>
      </c>
    </row>
    <row r="9592">
      <c r="A9592" s="58" t="inlineStr">
        <is>
          <t>RT20250829-09591</t>
        </is>
      </c>
      <c r="B9592" s="59" t="inlineStr">
        <is>
          <t>2025-08-29</t>
        </is>
      </c>
      <c r="C9592" s="60" t="inlineStr">
        <is>
          <t>Metro Beverage Max-490</t>
        </is>
      </c>
      <c r="D9592" s="58" t="inlineStr">
        <is>
          <t>Grocery</t>
        </is>
      </c>
      <c r="E9592" s="58" t="inlineStr">
        <is>
          <t>South</t>
        </is>
      </c>
      <c r="F9592" s="61" t="n">
        <v>6</v>
      </c>
      <c r="G9592" s="62" t="n">
        <v>12.75</v>
      </c>
      <c r="H9592" s="63" t="n">
        <v>0.176</v>
      </c>
      <c r="I9592" s="62" t="n">
        <v>8.06</v>
      </c>
      <c r="J9592" s="58" t="inlineStr">
        <is>
          <t>Online</t>
        </is>
      </c>
      <c r="K9592" s="62">
        <f>F9592*(G9592-H9592)</f>
        <v/>
      </c>
      <c r="L9592" s="62">
        <f>K9592-(F9592*I9592)</f>
        <v/>
      </c>
      <c r="M9592" s="64">
        <f>L9592/K9592</f>
        <v/>
      </c>
    </row>
    <row r="9593">
      <c r="A9593" s="58" t="inlineStr">
        <is>
          <t>RT20250829-09592</t>
        </is>
      </c>
      <c r="B9593" s="59" t="inlineStr">
        <is>
          <t>2025-08-29</t>
        </is>
      </c>
      <c r="C9593" s="60" t="inlineStr">
        <is>
          <t>Falcon Skincare Max-151</t>
        </is>
      </c>
      <c r="D9593" s="58" t="inlineStr">
        <is>
          <t>Beauty</t>
        </is>
      </c>
      <c r="E9593" s="58" t="inlineStr">
        <is>
          <t>Central</t>
        </is>
      </c>
      <c r="F9593" s="61" t="n">
        <v>3</v>
      </c>
      <c r="G9593" s="62" t="n">
        <v>97.76000000000001</v>
      </c>
      <c r="H9593" s="63" t="n">
        <v>0.135</v>
      </c>
      <c r="I9593" s="62" t="n">
        <v>58.84</v>
      </c>
      <c r="J9593" s="58" t="inlineStr">
        <is>
          <t>Store</t>
        </is>
      </c>
      <c r="K9593" s="62">
        <f>F9593*(G9593-H9593)</f>
        <v/>
      </c>
      <c r="L9593" s="62">
        <f>K9593-(F9593*I9593)</f>
        <v/>
      </c>
      <c r="M9593" s="64">
        <f>L9593/K9593</f>
        <v/>
      </c>
    </row>
    <row r="9594">
      <c r="A9594" s="58" t="inlineStr">
        <is>
          <t>RT20250829-09593</t>
        </is>
      </c>
      <c r="B9594" s="59" t="inlineStr">
        <is>
          <t>2025-08-29</t>
        </is>
      </c>
      <c r="C9594" s="60" t="inlineStr">
        <is>
          <t>Solace Laptop S-367</t>
        </is>
      </c>
      <c r="D9594" s="58" t="inlineStr">
        <is>
          <t>Electronics</t>
        </is>
      </c>
      <c r="E9594" s="58" t="inlineStr">
        <is>
          <t>South</t>
        </is>
      </c>
      <c r="F9594" s="61" t="n">
        <v>1</v>
      </c>
      <c r="G9594" s="62" t="n">
        <v>2129.05</v>
      </c>
      <c r="H9594" s="63" t="n">
        <v>0.19</v>
      </c>
      <c r="I9594" s="62" t="n">
        <v>1540.39</v>
      </c>
      <c r="J9594" s="58" t="inlineStr">
        <is>
          <t>Store</t>
        </is>
      </c>
      <c r="K9594" s="62">
        <f>F9594*(G9594-H9594)</f>
        <v/>
      </c>
      <c r="L9594" s="62">
        <f>K9594-(F9594*I9594)</f>
        <v/>
      </c>
      <c r="M9594" s="64">
        <f>L9594/K9594</f>
        <v/>
      </c>
    </row>
    <row r="9595">
      <c r="A9595" s="58" t="inlineStr">
        <is>
          <t>RT20250829-09594</t>
        </is>
      </c>
      <c r="B9595" s="59" t="inlineStr">
        <is>
          <t>2025-08-29</t>
        </is>
      </c>
      <c r="C9595" s="60" t="inlineStr">
        <is>
          <t>Orion Storage Plus-961</t>
        </is>
      </c>
      <c r="D9595" s="58" t="inlineStr">
        <is>
          <t>Office</t>
        </is>
      </c>
      <c r="E9595" s="58" t="inlineStr">
        <is>
          <t>East</t>
        </is>
      </c>
      <c r="F9595" s="61" t="n">
        <v>2</v>
      </c>
      <c r="G9595" s="62" t="n">
        <v>530.12</v>
      </c>
      <c r="H9595" s="63" t="n">
        <v>0.152</v>
      </c>
      <c r="I9595" s="62" t="n">
        <v>354.85</v>
      </c>
      <c r="J9595" s="58" t="inlineStr">
        <is>
          <t>Phone</t>
        </is>
      </c>
      <c r="K9595" s="62">
        <f>F9595*(G9595-H9595)</f>
        <v/>
      </c>
      <c r="L9595" s="62">
        <f>K9595-(F9595*I9595)</f>
        <v/>
      </c>
      <c r="M9595" s="64">
        <f>L9595/K9595</f>
        <v/>
      </c>
    </row>
    <row r="9596">
      <c r="A9596" s="58" t="inlineStr">
        <is>
          <t>RT20250829-09595</t>
        </is>
      </c>
      <c r="B9596" s="59" t="inlineStr">
        <is>
          <t>2025-08-29</t>
        </is>
      </c>
      <c r="C9596" s="60" t="inlineStr">
        <is>
          <t>Vertex Men X-995</t>
        </is>
      </c>
      <c r="D9596" s="58" t="inlineStr">
        <is>
          <t>Apparel</t>
        </is>
      </c>
      <c r="E9596" s="58" t="inlineStr">
        <is>
          <t>West</t>
        </is>
      </c>
      <c r="F9596" s="61" t="n">
        <v>3</v>
      </c>
      <c r="G9596" s="62" t="n">
        <v>98.89</v>
      </c>
      <c r="H9596" s="63" t="n">
        <v>0.164</v>
      </c>
      <c r="I9596" s="62" t="n">
        <v>58.1</v>
      </c>
      <c r="J9596" s="58" t="inlineStr">
        <is>
          <t>Online</t>
        </is>
      </c>
      <c r="K9596" s="62">
        <f>F9596*(G9596-H9596)</f>
        <v/>
      </c>
      <c r="L9596" s="62">
        <f>K9596-(F9596*I9596)</f>
        <v/>
      </c>
      <c r="M9596" s="64">
        <f>L9596/K9596</f>
        <v/>
      </c>
    </row>
    <row r="9597">
      <c r="A9597" s="58" t="inlineStr">
        <is>
          <t>RT20250829-09596</t>
        </is>
      </c>
      <c r="B9597" s="59" t="inlineStr">
        <is>
          <t>2025-08-29</t>
        </is>
      </c>
      <c r="C9597" s="60" t="inlineStr">
        <is>
          <t>Polar Pantry Lite-392</t>
        </is>
      </c>
      <c r="D9597" s="58" t="inlineStr">
        <is>
          <t>Grocery</t>
        </is>
      </c>
      <c r="E9597" s="58" t="inlineStr">
        <is>
          <t>East</t>
        </is>
      </c>
      <c r="F9597" s="61" t="n">
        <v>3</v>
      </c>
      <c r="G9597" s="62" t="n">
        <v>6.25</v>
      </c>
      <c r="H9597" s="63" t="n">
        <v>0.102</v>
      </c>
      <c r="I9597" s="62" t="n">
        <v>4.44</v>
      </c>
      <c r="J9597" s="58" t="inlineStr">
        <is>
          <t>Online</t>
        </is>
      </c>
      <c r="K9597" s="62">
        <f>F9597*(G9597-H9597)</f>
        <v/>
      </c>
      <c r="L9597" s="62">
        <f>K9597-(F9597*I9597)</f>
        <v/>
      </c>
      <c r="M9597" s="64">
        <f>L9597/K9597</f>
        <v/>
      </c>
    </row>
    <row r="9598">
      <c r="A9598" s="58" t="inlineStr">
        <is>
          <t>RT20250829-09597</t>
        </is>
      </c>
      <c r="B9598" s="59" t="inlineStr">
        <is>
          <t>2025-08-29</t>
        </is>
      </c>
      <c r="C9598" s="60" t="inlineStr">
        <is>
          <t>Polar Haircare Max-614</t>
        </is>
      </c>
      <c r="D9598" s="58" t="inlineStr">
        <is>
          <t>Beauty</t>
        </is>
      </c>
      <c r="E9598" s="58" t="inlineStr">
        <is>
          <t>West</t>
        </is>
      </c>
      <c r="F9598" s="61" t="n">
        <v>1</v>
      </c>
      <c r="G9598" s="62" t="n">
        <v>108.23</v>
      </c>
      <c r="H9598" s="63" t="n">
        <v>0.142</v>
      </c>
      <c r="I9598" s="62" t="n">
        <v>71.55</v>
      </c>
      <c r="J9598" s="58" t="inlineStr">
        <is>
          <t>Online</t>
        </is>
      </c>
      <c r="K9598" s="62">
        <f>F9598*(G9598-H9598)</f>
        <v/>
      </c>
      <c r="L9598" s="62">
        <f>K9598-(F9598*I9598)</f>
        <v/>
      </c>
      <c r="M9598" s="64">
        <f>L9598/K9598</f>
        <v/>
      </c>
    </row>
    <row r="9599">
      <c r="A9599" s="58" t="inlineStr">
        <is>
          <t>RT20250829-09598</t>
        </is>
      </c>
      <c r="B9599" s="59" t="inlineStr">
        <is>
          <t>2025-08-29</t>
        </is>
      </c>
      <c r="C9599" s="60" t="inlineStr">
        <is>
          <t>Orion Men X-928</t>
        </is>
      </c>
      <c r="D9599" s="58" t="inlineStr">
        <is>
          <t>Apparel</t>
        </is>
      </c>
      <c r="E9599" s="58" t="inlineStr">
        <is>
          <t>Central</t>
        </is>
      </c>
      <c r="F9599" s="61" t="n">
        <v>2</v>
      </c>
      <c r="G9599" s="62" t="n">
        <v>120.09</v>
      </c>
      <c r="H9599" s="63" t="n">
        <v>0.127</v>
      </c>
      <c r="I9599" s="62" t="n">
        <v>62.78</v>
      </c>
      <c r="J9599" s="58" t="inlineStr">
        <is>
          <t>Store</t>
        </is>
      </c>
      <c r="K9599" s="62">
        <f>F9599*(G9599-H9599)</f>
        <v/>
      </c>
      <c r="L9599" s="62">
        <f>K9599-(F9599*I9599)</f>
        <v/>
      </c>
      <c r="M9599" s="64">
        <f>L9599/K9599</f>
        <v/>
      </c>
    </row>
    <row r="9600">
      <c r="A9600" s="58" t="inlineStr">
        <is>
          <t>RT20250829-09599</t>
        </is>
      </c>
      <c r="B9600" s="59" t="inlineStr">
        <is>
          <t>2025-08-29</t>
        </is>
      </c>
      <c r="C9600" s="60" t="inlineStr">
        <is>
          <t>Falcon Beverage Max-702</t>
        </is>
      </c>
      <c r="D9600" s="58" t="inlineStr">
        <is>
          <t>Grocery</t>
        </is>
      </c>
      <c r="E9600" s="58" t="inlineStr">
        <is>
          <t>West</t>
        </is>
      </c>
      <c r="F9600" s="61" t="n">
        <v>8</v>
      </c>
      <c r="G9600" s="62" t="n">
        <v>28.77</v>
      </c>
      <c r="H9600" s="63" t="n">
        <v>0.126</v>
      </c>
      <c r="I9600" s="62" t="n">
        <v>20.02</v>
      </c>
      <c r="J9600" s="58" t="inlineStr">
        <is>
          <t>Store</t>
        </is>
      </c>
      <c r="K9600" s="62">
        <f>F9600*(G9600-H9600)</f>
        <v/>
      </c>
      <c r="L9600" s="62">
        <f>K9600-(F9600*I9600)</f>
        <v/>
      </c>
      <c r="M9600" s="64">
        <f>L9600/K9600</f>
        <v/>
      </c>
    </row>
    <row r="9601">
      <c r="A9601" s="58" t="inlineStr">
        <is>
          <t>RT20250829-09600</t>
        </is>
      </c>
      <c r="B9601" s="59" t="inlineStr">
        <is>
          <t>2025-08-29</t>
        </is>
      </c>
      <c r="C9601" s="60" t="inlineStr">
        <is>
          <t>Aurora Outdoor Pro-467</t>
        </is>
      </c>
      <c r="D9601" s="58" t="inlineStr">
        <is>
          <t>Sports</t>
        </is>
      </c>
      <c r="E9601" s="58" t="inlineStr">
        <is>
          <t>West</t>
        </is>
      </c>
      <c r="F9601" s="61" t="n">
        <v>3</v>
      </c>
      <c r="G9601" s="62" t="n">
        <v>286.99</v>
      </c>
      <c r="H9601" s="63" t="n">
        <v>0.141</v>
      </c>
      <c r="I9601" s="62" t="n">
        <v>187.15</v>
      </c>
      <c r="J9601" s="58" t="inlineStr">
        <is>
          <t>Store</t>
        </is>
      </c>
      <c r="K9601" s="62">
        <f>F9601*(G9601-H9601)</f>
        <v/>
      </c>
      <c r="L9601" s="62">
        <f>K9601-(F9601*I9601)</f>
        <v/>
      </c>
      <c r="M9601" s="64">
        <f>L9601/K9601</f>
        <v/>
      </c>
    </row>
    <row r="9602">
      <c r="A9602" s="58" t="inlineStr">
        <is>
          <t>RT20250829-09601</t>
        </is>
      </c>
      <c r="B9602" s="59" t="inlineStr">
        <is>
          <t>2025-08-29</t>
        </is>
      </c>
      <c r="C9602" s="60" t="inlineStr">
        <is>
          <t>Polar Pantry Lite-392</t>
        </is>
      </c>
      <c r="D9602" s="58" t="inlineStr">
        <is>
          <t>Grocery</t>
        </is>
      </c>
      <c r="E9602" s="58" t="inlineStr">
        <is>
          <t>Central</t>
        </is>
      </c>
      <c r="F9602" s="61" t="n">
        <v>5</v>
      </c>
      <c r="G9602" s="62" t="n">
        <v>5.77</v>
      </c>
      <c r="H9602" s="63" t="n">
        <v>0.167</v>
      </c>
      <c r="I9602" s="62" t="n">
        <v>4.5</v>
      </c>
      <c r="J9602" s="58" t="inlineStr">
        <is>
          <t>Online</t>
        </is>
      </c>
      <c r="K9602" s="62">
        <f>F9602*(G9602-H9602)</f>
        <v/>
      </c>
      <c r="L9602" s="62">
        <f>K9602-(F9602*I9602)</f>
        <v/>
      </c>
      <c r="M9602" s="64">
        <f>L9602/K9602</f>
        <v/>
      </c>
    </row>
    <row r="9603">
      <c r="A9603" s="58" t="inlineStr">
        <is>
          <t>RT20250829-09602</t>
        </is>
      </c>
      <c r="B9603" s="59" t="inlineStr">
        <is>
          <t>2025-08-29</t>
        </is>
      </c>
      <c r="C9603" s="60" t="inlineStr">
        <is>
          <t>Falcon Bedding S-674</t>
        </is>
      </c>
      <c r="D9603" s="58" t="inlineStr">
        <is>
          <t>Home</t>
        </is>
      </c>
      <c r="E9603" s="58" t="inlineStr">
        <is>
          <t>East</t>
        </is>
      </c>
      <c r="F9603" s="61" t="n">
        <v>1</v>
      </c>
      <c r="G9603" s="62" t="n">
        <v>662.55</v>
      </c>
      <c r="H9603" s="63" t="n">
        <v>0.106</v>
      </c>
      <c r="I9603" s="62" t="n">
        <v>462.58</v>
      </c>
      <c r="J9603" s="58" t="inlineStr">
        <is>
          <t>Online</t>
        </is>
      </c>
      <c r="K9603" s="62">
        <f>F9603*(G9603-H9603)</f>
        <v/>
      </c>
      <c r="L9603" s="62">
        <f>K9603-(F9603*I9603)</f>
        <v/>
      </c>
      <c r="M9603" s="64">
        <f>L9603/K9603</f>
        <v/>
      </c>
    </row>
    <row r="9604">
      <c r="A9604" s="58" t="inlineStr">
        <is>
          <t>RT20250829-09603</t>
        </is>
      </c>
      <c r="B9604" s="59" t="inlineStr">
        <is>
          <t>2025-08-29</t>
        </is>
      </c>
      <c r="C9604" s="60" t="inlineStr">
        <is>
          <t>Falcon Furniture Plus-839</t>
        </is>
      </c>
      <c r="D9604" s="58" t="inlineStr">
        <is>
          <t>Office</t>
        </is>
      </c>
      <c r="E9604" s="58" t="inlineStr">
        <is>
          <t>West</t>
        </is>
      </c>
      <c r="F9604" s="61" t="n">
        <v>1</v>
      </c>
      <c r="G9604" s="62" t="n">
        <v>355.98</v>
      </c>
      <c r="H9604" s="63" t="n">
        <v>0.185</v>
      </c>
      <c r="I9604" s="62" t="n">
        <v>228.63</v>
      </c>
      <c r="J9604" s="58" t="inlineStr">
        <is>
          <t>Online</t>
        </is>
      </c>
      <c r="K9604" s="62">
        <f>F9604*(G9604-H9604)</f>
        <v/>
      </c>
      <c r="L9604" s="62">
        <f>K9604-(F9604*I9604)</f>
        <v/>
      </c>
      <c r="M9604" s="64">
        <f>L9604/K9604</f>
        <v/>
      </c>
    </row>
    <row r="9605">
      <c r="A9605" s="58" t="inlineStr">
        <is>
          <t>RT20250829-09604</t>
        </is>
      </c>
      <c r="B9605" s="59" t="inlineStr">
        <is>
          <t>2025-08-29</t>
        </is>
      </c>
      <c r="C9605" s="60" t="inlineStr">
        <is>
          <t>Solace Team Sport Max-548</t>
        </is>
      </c>
      <c r="D9605" s="58" t="inlineStr">
        <is>
          <t>Sports</t>
        </is>
      </c>
      <c r="E9605" s="58" t="inlineStr">
        <is>
          <t>Central</t>
        </is>
      </c>
      <c r="F9605" s="61" t="n">
        <v>3</v>
      </c>
      <c r="G9605" s="62" t="n">
        <v>726.15</v>
      </c>
      <c r="H9605" s="63" t="n">
        <v>0.076</v>
      </c>
      <c r="I9605" s="62" t="n">
        <v>473.57</v>
      </c>
      <c r="J9605" s="58" t="inlineStr">
        <is>
          <t>Online</t>
        </is>
      </c>
      <c r="K9605" s="62">
        <f>F9605*(G9605-H9605)</f>
        <v/>
      </c>
      <c r="L9605" s="62">
        <f>K9605-(F9605*I9605)</f>
        <v/>
      </c>
      <c r="M9605" s="64">
        <f>L9605/K9605</f>
        <v/>
      </c>
    </row>
    <row r="9606">
      <c r="A9606" s="58" t="inlineStr">
        <is>
          <t>RT20250829-09605</t>
        </is>
      </c>
      <c r="B9606" s="59" t="inlineStr">
        <is>
          <t>2025-08-29</t>
        </is>
      </c>
      <c r="C9606" s="60" t="inlineStr">
        <is>
          <t>Aurora Skincare Max-798</t>
        </is>
      </c>
      <c r="D9606" s="58" t="inlineStr">
        <is>
          <t>Beauty</t>
        </is>
      </c>
      <c r="E9606" s="58" t="inlineStr">
        <is>
          <t>North</t>
        </is>
      </c>
      <c r="F9606" s="61" t="n">
        <v>1</v>
      </c>
      <c r="G9606" s="62" t="n">
        <v>121.29</v>
      </c>
      <c r="H9606" s="63" t="n">
        <v>0.177</v>
      </c>
      <c r="I9606" s="62" t="n">
        <v>67.87</v>
      </c>
      <c r="J9606" s="58" t="inlineStr">
        <is>
          <t>Online</t>
        </is>
      </c>
      <c r="K9606" s="62">
        <f>F9606*(G9606-H9606)</f>
        <v/>
      </c>
      <c r="L9606" s="62">
        <f>K9606-(F9606*I9606)</f>
        <v/>
      </c>
      <c r="M9606" s="64">
        <f>L9606/K9606</f>
        <v/>
      </c>
    </row>
    <row r="9607">
      <c r="A9607" s="58" t="inlineStr">
        <is>
          <t>RT20250829-09606</t>
        </is>
      </c>
      <c r="B9607" s="59" t="inlineStr">
        <is>
          <t>2025-08-29</t>
        </is>
      </c>
      <c r="C9607" s="60" t="inlineStr">
        <is>
          <t>Vertex Supplie Pro-786</t>
        </is>
      </c>
      <c r="D9607" s="58" t="inlineStr">
        <is>
          <t>Office</t>
        </is>
      </c>
      <c r="E9607" s="58" t="inlineStr">
        <is>
          <t>South</t>
        </is>
      </c>
      <c r="F9607" s="61" t="n">
        <v>1</v>
      </c>
      <c r="G9607" s="62" t="n">
        <v>439.88</v>
      </c>
      <c r="H9607" s="63" t="n">
        <v>0.15</v>
      </c>
      <c r="I9607" s="62" t="n">
        <v>293.34</v>
      </c>
      <c r="J9607" s="58" t="inlineStr">
        <is>
          <t>Online</t>
        </is>
      </c>
      <c r="K9607" s="62">
        <f>F9607*(G9607-H9607)</f>
        <v/>
      </c>
      <c r="L9607" s="62">
        <f>K9607-(F9607*I9607)</f>
        <v/>
      </c>
      <c r="M9607" s="64">
        <f>L9607/K9607</f>
        <v/>
      </c>
    </row>
    <row r="9608">
      <c r="A9608" s="58" t="inlineStr">
        <is>
          <t>RT20250829-09607</t>
        </is>
      </c>
      <c r="B9608" s="59" t="inlineStr">
        <is>
          <t>2025-08-29</t>
        </is>
      </c>
      <c r="C9608" s="60" t="inlineStr">
        <is>
          <t>Nimbus Storage Plus-646</t>
        </is>
      </c>
      <c r="D9608" s="58" t="inlineStr">
        <is>
          <t>Office</t>
        </is>
      </c>
      <c r="E9608" s="58" t="inlineStr">
        <is>
          <t>East</t>
        </is>
      </c>
      <c r="F9608" s="61" t="n">
        <v>1</v>
      </c>
      <c r="G9608" s="62" t="n">
        <v>406.06</v>
      </c>
      <c r="H9608" s="63" t="n">
        <v>0.11</v>
      </c>
      <c r="I9608" s="62" t="n">
        <v>312.85</v>
      </c>
      <c r="J9608" s="58" t="inlineStr">
        <is>
          <t>Store</t>
        </is>
      </c>
      <c r="K9608" s="62">
        <f>F9608*(G9608-H9608)</f>
        <v/>
      </c>
      <c r="L9608" s="62">
        <f>K9608-(F9608*I9608)</f>
        <v/>
      </c>
      <c r="M9608" s="64">
        <f>L9608/K9608</f>
        <v/>
      </c>
    </row>
    <row r="9609">
      <c r="A9609" s="58" t="inlineStr">
        <is>
          <t>RT20250829-09608</t>
        </is>
      </c>
      <c r="B9609" s="59" t="inlineStr">
        <is>
          <t>2025-08-29</t>
        </is>
      </c>
      <c r="C9609" s="60" t="inlineStr">
        <is>
          <t>Vertex Appliance Max-338</t>
        </is>
      </c>
      <c r="D9609" s="58" t="inlineStr">
        <is>
          <t>Home</t>
        </is>
      </c>
      <c r="E9609" s="58" t="inlineStr">
        <is>
          <t>North</t>
        </is>
      </c>
      <c r="F9609" s="61" t="n">
        <v>1</v>
      </c>
      <c r="G9609" s="62" t="n">
        <v>419.39</v>
      </c>
      <c r="H9609" s="63" t="n">
        <v>0.159</v>
      </c>
      <c r="I9609" s="62" t="n">
        <v>296.76</v>
      </c>
      <c r="J9609" s="58" t="inlineStr">
        <is>
          <t>Store</t>
        </is>
      </c>
      <c r="K9609" s="62">
        <f>F9609*(G9609-H9609)</f>
        <v/>
      </c>
      <c r="L9609" s="62">
        <f>K9609-(F9609*I9609)</f>
        <v/>
      </c>
      <c r="M9609" s="64">
        <f>L9609/K9609</f>
        <v/>
      </c>
    </row>
    <row r="9610">
      <c r="A9610" s="58" t="inlineStr">
        <is>
          <t>RT20250829-09609</t>
        </is>
      </c>
      <c r="B9610" s="59" t="inlineStr">
        <is>
          <t>2025-08-29</t>
        </is>
      </c>
      <c r="C9610" s="60" t="inlineStr">
        <is>
          <t>Vertex Snack S-702</t>
        </is>
      </c>
      <c r="D9610" s="58" t="inlineStr">
        <is>
          <t>Grocery</t>
        </is>
      </c>
      <c r="E9610" s="58" t="inlineStr">
        <is>
          <t>West</t>
        </is>
      </c>
      <c r="F9610" s="61" t="n">
        <v>5</v>
      </c>
      <c r="G9610" s="62" t="n">
        <v>2.06</v>
      </c>
      <c r="H9610" s="63" t="n">
        <v>0.199</v>
      </c>
      <c r="I9610" s="62" t="n">
        <v>1.45</v>
      </c>
      <c r="J9610" s="58" t="inlineStr">
        <is>
          <t>Online</t>
        </is>
      </c>
      <c r="K9610" s="62">
        <f>F9610*(G9610-H9610)</f>
        <v/>
      </c>
      <c r="L9610" s="62">
        <f>K9610-(F9610*I9610)</f>
        <v/>
      </c>
      <c r="M9610" s="64">
        <f>L9610/K9610</f>
        <v/>
      </c>
    </row>
    <row r="9611">
      <c r="A9611" s="58" t="inlineStr">
        <is>
          <t>RT20250829-09610</t>
        </is>
      </c>
      <c r="B9611" s="59" t="inlineStr">
        <is>
          <t>2025-08-29</t>
        </is>
      </c>
      <c r="C9611" s="60" t="inlineStr">
        <is>
          <t>Solace Kitchen Pro-999</t>
        </is>
      </c>
      <c r="D9611" s="58" t="inlineStr">
        <is>
          <t>Home</t>
        </is>
      </c>
      <c r="E9611" s="58" t="inlineStr">
        <is>
          <t>North</t>
        </is>
      </c>
      <c r="F9611" s="61" t="n">
        <v>1</v>
      </c>
      <c r="G9611" s="62" t="n">
        <v>427.8</v>
      </c>
      <c r="H9611" s="63" t="n">
        <v>0.164</v>
      </c>
      <c r="I9611" s="62" t="n">
        <v>269.33</v>
      </c>
      <c r="J9611" s="58" t="inlineStr">
        <is>
          <t>Online</t>
        </is>
      </c>
      <c r="K9611" s="62">
        <f>F9611*(G9611-H9611)</f>
        <v/>
      </c>
      <c r="L9611" s="62">
        <f>K9611-(F9611*I9611)</f>
        <v/>
      </c>
      <c r="M9611" s="64">
        <f>L9611/K9611</f>
        <v/>
      </c>
    </row>
    <row r="9612">
      <c r="A9612" s="58" t="inlineStr">
        <is>
          <t>RT20250829-09611</t>
        </is>
      </c>
      <c r="B9612" s="59" t="inlineStr">
        <is>
          <t>2025-08-29</t>
        </is>
      </c>
      <c r="C9612" s="60" t="inlineStr">
        <is>
          <t>Nimbus Fitnes Lite-516</t>
        </is>
      </c>
      <c r="D9612" s="58" t="inlineStr">
        <is>
          <t>Sports</t>
        </is>
      </c>
      <c r="E9612" s="58" t="inlineStr">
        <is>
          <t>West</t>
        </is>
      </c>
      <c r="F9612" s="61" t="n">
        <v>3</v>
      </c>
      <c r="G9612" s="62" t="n">
        <v>706.23</v>
      </c>
      <c r="H9612" s="63" t="n">
        <v>0.175</v>
      </c>
      <c r="I9612" s="62" t="n">
        <v>457.69</v>
      </c>
      <c r="J9612" s="58" t="inlineStr">
        <is>
          <t>Store</t>
        </is>
      </c>
      <c r="K9612" s="62">
        <f>F9612*(G9612-H9612)</f>
        <v/>
      </c>
      <c r="L9612" s="62">
        <f>K9612-(F9612*I9612)</f>
        <v/>
      </c>
      <c r="M9612" s="64">
        <f>L9612/K9612</f>
        <v/>
      </c>
    </row>
    <row r="9613">
      <c r="A9613" s="58" t="inlineStr">
        <is>
          <t>RT20250829-09612</t>
        </is>
      </c>
      <c r="B9613" s="59" t="inlineStr">
        <is>
          <t>2025-08-29</t>
        </is>
      </c>
      <c r="C9613" s="60" t="inlineStr">
        <is>
          <t>Nimbus Furniture Pro-479</t>
        </is>
      </c>
      <c r="D9613" s="58" t="inlineStr">
        <is>
          <t>Office</t>
        </is>
      </c>
      <c r="E9613" s="58" t="inlineStr">
        <is>
          <t>East</t>
        </is>
      </c>
      <c r="F9613" s="61" t="n">
        <v>1</v>
      </c>
      <c r="G9613" s="62" t="n">
        <v>318.89</v>
      </c>
      <c r="H9613" s="63" t="n">
        <v>0.179</v>
      </c>
      <c r="I9613" s="62" t="n">
        <v>239.66</v>
      </c>
      <c r="J9613" s="58" t="inlineStr">
        <is>
          <t>Store</t>
        </is>
      </c>
      <c r="K9613" s="62">
        <f>F9613*(G9613-H9613)</f>
        <v/>
      </c>
      <c r="L9613" s="62">
        <f>K9613-(F9613*I9613)</f>
        <v/>
      </c>
      <c r="M9613" s="64">
        <f>L9613/K9613</f>
        <v/>
      </c>
    </row>
    <row r="9614">
      <c r="A9614" s="58" t="inlineStr">
        <is>
          <t>RT20250829-09613</t>
        </is>
      </c>
      <c r="B9614" s="59" t="inlineStr">
        <is>
          <t>2025-08-29</t>
        </is>
      </c>
      <c r="C9614" s="60" t="inlineStr">
        <is>
          <t>Nimbus Laptop Max-652</t>
        </is>
      </c>
      <c r="D9614" s="58" t="inlineStr">
        <is>
          <t>Electronics</t>
        </is>
      </c>
      <c r="E9614" s="58" t="inlineStr">
        <is>
          <t>Central</t>
        </is>
      </c>
      <c r="F9614" s="61" t="n">
        <v>1</v>
      </c>
      <c r="G9614" s="62" t="n">
        <v>1283.58</v>
      </c>
      <c r="H9614" s="63" t="n">
        <v>0.165</v>
      </c>
      <c r="I9614" s="62" t="n">
        <v>1035.35</v>
      </c>
      <c r="J9614" s="58" t="inlineStr">
        <is>
          <t>Online</t>
        </is>
      </c>
      <c r="K9614" s="62">
        <f>F9614*(G9614-H9614)</f>
        <v/>
      </c>
      <c r="L9614" s="62">
        <f>K9614-(F9614*I9614)</f>
        <v/>
      </c>
      <c r="M9614" s="64">
        <f>L9614/K9614</f>
        <v/>
      </c>
    </row>
    <row r="9615">
      <c r="A9615" s="58" t="inlineStr">
        <is>
          <t>RT20250829-09614</t>
        </is>
      </c>
      <c r="B9615" s="59" t="inlineStr">
        <is>
          <t>2025-08-29</t>
        </is>
      </c>
      <c r="C9615" s="60" t="inlineStr">
        <is>
          <t>Nimbus Storage Plus-646</t>
        </is>
      </c>
      <c r="D9615" s="58" t="inlineStr">
        <is>
          <t>Office</t>
        </is>
      </c>
      <c r="E9615" s="58" t="inlineStr">
        <is>
          <t>South</t>
        </is>
      </c>
      <c r="F9615" s="61" t="n">
        <v>2</v>
      </c>
      <c r="G9615" s="62" t="n">
        <v>416.04</v>
      </c>
      <c r="H9615" s="63" t="n">
        <v>0.116</v>
      </c>
      <c r="I9615" s="62" t="n">
        <v>308.58</v>
      </c>
      <c r="J9615" s="58" t="inlineStr">
        <is>
          <t>Online</t>
        </is>
      </c>
      <c r="K9615" s="62">
        <f>F9615*(G9615-H9615)</f>
        <v/>
      </c>
      <c r="L9615" s="62">
        <f>K9615-(F9615*I9615)</f>
        <v/>
      </c>
      <c r="M9615" s="64">
        <f>L9615/K9615</f>
        <v/>
      </c>
    </row>
    <row r="9616">
      <c r="A9616" s="58" t="inlineStr">
        <is>
          <t>RT20250829-09615</t>
        </is>
      </c>
      <c r="B9616" s="59" t="inlineStr">
        <is>
          <t>2025-08-29</t>
        </is>
      </c>
      <c r="C9616" s="60" t="inlineStr">
        <is>
          <t>Orion Haircare Plus-887</t>
        </is>
      </c>
      <c r="D9616" s="58" t="inlineStr">
        <is>
          <t>Beauty</t>
        </is>
      </c>
      <c r="E9616" s="58" t="inlineStr">
        <is>
          <t>West</t>
        </is>
      </c>
      <c r="F9616" s="61" t="n">
        <v>3</v>
      </c>
      <c r="G9616" s="62" t="n">
        <v>50.78</v>
      </c>
      <c r="H9616" s="63" t="n">
        <v>0.181</v>
      </c>
      <c r="I9616" s="62" t="n">
        <v>30.54</v>
      </c>
      <c r="J9616" s="58" t="inlineStr">
        <is>
          <t>Online</t>
        </is>
      </c>
      <c r="K9616" s="62">
        <f>F9616*(G9616-H9616)</f>
        <v/>
      </c>
      <c r="L9616" s="62">
        <f>K9616-(F9616*I9616)</f>
        <v/>
      </c>
      <c r="M9616" s="64">
        <f>L9616/K9616</f>
        <v/>
      </c>
    </row>
    <row r="9617">
      <c r="A9617" s="58" t="inlineStr">
        <is>
          <t>RT20250829-09616</t>
        </is>
      </c>
      <c r="B9617" s="59" t="inlineStr">
        <is>
          <t>2025-08-29</t>
        </is>
      </c>
      <c r="C9617" s="60" t="inlineStr">
        <is>
          <t>Metro Laptop Plus-376</t>
        </is>
      </c>
      <c r="D9617" s="58" t="inlineStr">
        <is>
          <t>Electronics</t>
        </is>
      </c>
      <c r="E9617" s="58" t="inlineStr">
        <is>
          <t>North</t>
        </is>
      </c>
      <c r="F9617" s="61" t="n">
        <v>2</v>
      </c>
      <c r="G9617" s="62" t="n">
        <v>1434.12</v>
      </c>
      <c r="H9617" s="63" t="n">
        <v>0.168</v>
      </c>
      <c r="I9617" s="62" t="n">
        <v>1063.82</v>
      </c>
      <c r="J9617" s="58" t="inlineStr">
        <is>
          <t>Online</t>
        </is>
      </c>
      <c r="K9617" s="62">
        <f>F9617*(G9617-H9617)</f>
        <v/>
      </c>
      <c r="L9617" s="62">
        <f>K9617-(F9617*I9617)</f>
        <v/>
      </c>
      <c r="M9617" s="64">
        <f>L9617/K9617</f>
        <v/>
      </c>
    </row>
    <row r="9618">
      <c r="A9618" s="58" t="inlineStr">
        <is>
          <t>RT20250829-09617</t>
        </is>
      </c>
      <c r="B9618" s="59" t="inlineStr">
        <is>
          <t>2025-08-29</t>
        </is>
      </c>
      <c r="C9618" s="60" t="inlineStr">
        <is>
          <t>Orion Team Sport X-926</t>
        </is>
      </c>
      <c r="D9618" s="58" t="inlineStr">
        <is>
          <t>Sports</t>
        </is>
      </c>
      <c r="E9618" s="58" t="inlineStr">
        <is>
          <t>North</t>
        </is>
      </c>
      <c r="F9618" s="61" t="n">
        <v>1</v>
      </c>
      <c r="G9618" s="62" t="n">
        <v>303.01</v>
      </c>
      <c r="H9618" s="63" t="n">
        <v>0.08799999999999999</v>
      </c>
      <c r="I9618" s="62" t="n">
        <v>208.4</v>
      </c>
      <c r="J9618" s="58" t="inlineStr">
        <is>
          <t>Online</t>
        </is>
      </c>
      <c r="K9618" s="62">
        <f>F9618*(G9618-H9618)</f>
        <v/>
      </c>
      <c r="L9618" s="62">
        <f>K9618-(F9618*I9618)</f>
        <v/>
      </c>
      <c r="M9618" s="64">
        <f>L9618/K9618</f>
        <v/>
      </c>
    </row>
    <row r="9619">
      <c r="A9619" s="58" t="inlineStr">
        <is>
          <t>RT20250829-09618</t>
        </is>
      </c>
      <c r="B9619" s="59" t="inlineStr">
        <is>
          <t>2025-08-29</t>
        </is>
      </c>
      <c r="C9619" s="60" t="inlineStr">
        <is>
          <t>Orion Laptop S-350</t>
        </is>
      </c>
      <c r="D9619" s="58" t="inlineStr">
        <is>
          <t>Electronics</t>
        </is>
      </c>
      <c r="E9619" s="58" t="inlineStr">
        <is>
          <t>South</t>
        </is>
      </c>
      <c r="F9619" s="61" t="n">
        <v>1</v>
      </c>
      <c r="G9619" s="62" t="n">
        <v>1493.09</v>
      </c>
      <c r="H9619" s="63" t="n">
        <v>0.157</v>
      </c>
      <c r="I9619" s="62" t="n">
        <v>1094.43</v>
      </c>
      <c r="J9619" s="58" t="inlineStr">
        <is>
          <t>Online</t>
        </is>
      </c>
      <c r="K9619" s="62">
        <f>F9619*(G9619-H9619)</f>
        <v/>
      </c>
      <c r="L9619" s="62">
        <f>K9619-(F9619*I9619)</f>
        <v/>
      </c>
      <c r="M9619" s="64">
        <f>L9619/K9619</f>
        <v/>
      </c>
    </row>
    <row r="9620">
      <c r="A9620" s="58" t="inlineStr">
        <is>
          <t>RT20250829-09619</t>
        </is>
      </c>
      <c r="B9620" s="59" t="inlineStr">
        <is>
          <t>2025-08-29</t>
        </is>
      </c>
      <c r="C9620" s="60" t="inlineStr">
        <is>
          <t>Aurora Appliance Lite-109</t>
        </is>
      </c>
      <c r="D9620" s="58" t="inlineStr">
        <is>
          <t>Home</t>
        </is>
      </c>
      <c r="E9620" s="58" t="inlineStr">
        <is>
          <t>East</t>
        </is>
      </c>
      <c r="F9620" s="61" t="n">
        <v>2</v>
      </c>
      <c r="G9620" s="62" t="n">
        <v>307.66</v>
      </c>
      <c r="H9620" s="63" t="n">
        <v>0.16</v>
      </c>
      <c r="I9620" s="62" t="n">
        <v>201.32</v>
      </c>
      <c r="J9620" s="58" t="inlineStr">
        <is>
          <t>Online</t>
        </is>
      </c>
      <c r="K9620" s="62">
        <f>F9620*(G9620-H9620)</f>
        <v/>
      </c>
      <c r="L9620" s="62">
        <f>K9620-(F9620*I9620)</f>
        <v/>
      </c>
      <c r="M9620" s="64">
        <f>L9620/K9620</f>
        <v/>
      </c>
    </row>
    <row r="9621">
      <c r="A9621" s="58" t="inlineStr">
        <is>
          <t>RT20250829-09620</t>
        </is>
      </c>
      <c r="B9621" s="59" t="inlineStr">
        <is>
          <t>2025-08-29</t>
        </is>
      </c>
      <c r="C9621" s="60" t="inlineStr">
        <is>
          <t>Aurora Outdoor Pro-467</t>
        </is>
      </c>
      <c r="D9621" s="58" t="inlineStr">
        <is>
          <t>Sports</t>
        </is>
      </c>
      <c r="E9621" s="58" t="inlineStr">
        <is>
          <t>South</t>
        </is>
      </c>
      <c r="F9621" s="61" t="n">
        <v>2</v>
      </c>
      <c r="G9621" s="62" t="n">
        <v>302.04</v>
      </c>
      <c r="H9621" s="63" t="n">
        <v>0.152</v>
      </c>
      <c r="I9621" s="62" t="n">
        <v>189.87</v>
      </c>
      <c r="J9621" s="58" t="inlineStr">
        <is>
          <t>Online</t>
        </is>
      </c>
      <c r="K9621" s="62">
        <f>F9621*(G9621-H9621)</f>
        <v/>
      </c>
      <c r="L9621" s="62">
        <f>K9621-(F9621*I9621)</f>
        <v/>
      </c>
      <c r="M9621" s="64">
        <f>L9621/K9621</f>
        <v/>
      </c>
    </row>
    <row r="9622">
      <c r="A9622" s="58" t="inlineStr">
        <is>
          <t>RT20250829-09621</t>
        </is>
      </c>
      <c r="B9622" s="59" t="inlineStr">
        <is>
          <t>2025-08-29</t>
        </is>
      </c>
      <c r="C9622" s="60" t="inlineStr">
        <is>
          <t>Nimbus Headphone X-854</t>
        </is>
      </c>
      <c r="D9622" s="58" t="inlineStr">
        <is>
          <t>Electronics</t>
        </is>
      </c>
      <c r="E9622" s="58" t="inlineStr">
        <is>
          <t>North</t>
        </is>
      </c>
      <c r="F9622" s="61" t="n">
        <v>1</v>
      </c>
      <c r="G9622" s="62" t="n">
        <v>1310.54</v>
      </c>
      <c r="H9622" s="63" t="n">
        <v>0.21</v>
      </c>
      <c r="I9622" s="62" t="n">
        <v>1005.17</v>
      </c>
      <c r="J9622" s="58" t="inlineStr">
        <is>
          <t>Online</t>
        </is>
      </c>
      <c r="K9622" s="62">
        <f>F9622*(G9622-H9622)</f>
        <v/>
      </c>
      <c r="L9622" s="62">
        <f>K9622-(F9622*I9622)</f>
        <v/>
      </c>
      <c r="M9622" s="64">
        <f>L9622/K9622</f>
        <v/>
      </c>
    </row>
    <row r="9623">
      <c r="A9623" s="58" t="inlineStr">
        <is>
          <t>RT20250829-09622</t>
        </is>
      </c>
      <c r="B9623" s="59" t="inlineStr">
        <is>
          <t>2025-08-29</t>
        </is>
      </c>
      <c r="C9623" s="60" t="inlineStr">
        <is>
          <t>Nimbus Furniture Pro-479</t>
        </is>
      </c>
      <c r="D9623" s="58" t="inlineStr">
        <is>
          <t>Office</t>
        </is>
      </c>
      <c r="E9623" s="58" t="inlineStr">
        <is>
          <t>West</t>
        </is>
      </c>
      <c r="F9623" s="61" t="n">
        <v>2</v>
      </c>
      <c r="G9623" s="62" t="n">
        <v>375.14</v>
      </c>
      <c r="H9623" s="63" t="n">
        <v>0.125</v>
      </c>
      <c r="I9623" s="62" t="n">
        <v>233.59</v>
      </c>
      <c r="J9623" s="58" t="inlineStr">
        <is>
          <t>Online</t>
        </is>
      </c>
      <c r="K9623" s="62">
        <f>F9623*(G9623-H9623)</f>
        <v/>
      </c>
      <c r="L9623" s="62">
        <f>K9623-(F9623*I9623)</f>
        <v/>
      </c>
      <c r="M9623" s="64">
        <f>L9623/K9623</f>
        <v/>
      </c>
    </row>
    <row r="9624">
      <c r="A9624" s="58" t="inlineStr">
        <is>
          <t>RT20250829-09623</t>
        </is>
      </c>
      <c r="B9624" s="59" t="inlineStr">
        <is>
          <t>2025-08-29</t>
        </is>
      </c>
      <c r="C9624" s="60" t="inlineStr">
        <is>
          <t>Nimbus Fitnes Lite-516</t>
        </is>
      </c>
      <c r="D9624" s="58" t="inlineStr">
        <is>
          <t>Sports</t>
        </is>
      </c>
      <c r="E9624" s="58" t="inlineStr">
        <is>
          <t>South</t>
        </is>
      </c>
      <c r="F9624" s="61" t="n">
        <v>3</v>
      </c>
      <c r="G9624" s="62" t="n">
        <v>682.4299999999999</v>
      </c>
      <c r="H9624" s="63" t="n">
        <v>0.183</v>
      </c>
      <c r="I9624" s="62" t="n">
        <v>483.75</v>
      </c>
      <c r="J9624" s="58" t="inlineStr">
        <is>
          <t>Online</t>
        </is>
      </c>
      <c r="K9624" s="62">
        <f>F9624*(G9624-H9624)</f>
        <v/>
      </c>
      <c r="L9624" s="62">
        <f>K9624-(F9624*I9624)</f>
        <v/>
      </c>
      <c r="M9624" s="64">
        <f>L9624/K9624</f>
        <v/>
      </c>
    </row>
    <row r="9625">
      <c r="A9625" s="58" t="inlineStr">
        <is>
          <t>RT20250829-09624</t>
        </is>
      </c>
      <c r="B9625" s="59" t="inlineStr">
        <is>
          <t>2025-08-29</t>
        </is>
      </c>
      <c r="C9625" s="60" t="inlineStr">
        <is>
          <t>Solace Kid S-384</t>
        </is>
      </c>
      <c r="D9625" s="58" t="inlineStr">
        <is>
          <t>Apparel</t>
        </is>
      </c>
      <c r="E9625" s="58" t="inlineStr">
        <is>
          <t>Central</t>
        </is>
      </c>
      <c r="F9625" s="61" t="n">
        <v>3</v>
      </c>
      <c r="G9625" s="62" t="n">
        <v>111.52</v>
      </c>
      <c r="H9625" s="63" t="n">
        <v>0.117</v>
      </c>
      <c r="I9625" s="62" t="n">
        <v>62.57</v>
      </c>
      <c r="J9625" s="58" t="inlineStr">
        <is>
          <t>Store</t>
        </is>
      </c>
      <c r="K9625" s="62">
        <f>F9625*(G9625-H9625)</f>
        <v/>
      </c>
      <c r="L9625" s="62">
        <f>K9625-(F9625*I9625)</f>
        <v/>
      </c>
      <c r="M9625" s="64">
        <f>L9625/K9625</f>
        <v/>
      </c>
    </row>
    <row r="9626">
      <c r="A9626" s="58" t="inlineStr">
        <is>
          <t>RT20250829-09625</t>
        </is>
      </c>
      <c r="B9626" s="59" t="inlineStr">
        <is>
          <t>2025-08-29</t>
        </is>
      </c>
      <c r="C9626" s="60" t="inlineStr">
        <is>
          <t>Metro Smartphone Max-773</t>
        </is>
      </c>
      <c r="D9626" s="58" t="inlineStr">
        <is>
          <t>Electronics</t>
        </is>
      </c>
      <c r="E9626" s="58" t="inlineStr">
        <is>
          <t>West</t>
        </is>
      </c>
      <c r="F9626" s="61" t="n">
        <v>2</v>
      </c>
      <c r="G9626" s="62" t="n">
        <v>1399.11</v>
      </c>
      <c r="H9626" s="63" t="n">
        <v>0.196</v>
      </c>
      <c r="I9626" s="62" t="n">
        <v>1092.12</v>
      </c>
      <c r="J9626" s="58" t="inlineStr">
        <is>
          <t>Store</t>
        </is>
      </c>
      <c r="K9626" s="62">
        <f>F9626*(G9626-H9626)</f>
        <v/>
      </c>
      <c r="L9626" s="62">
        <f>K9626-(F9626*I9626)</f>
        <v/>
      </c>
      <c r="M9626" s="64">
        <f>L9626/K9626</f>
        <v/>
      </c>
    </row>
    <row r="9627">
      <c r="A9627" s="58" t="inlineStr">
        <is>
          <t>RT20250829-09626</t>
        </is>
      </c>
      <c r="B9627" s="59" t="inlineStr">
        <is>
          <t>2025-08-29</t>
        </is>
      </c>
      <c r="C9627" s="60" t="inlineStr">
        <is>
          <t>Aurora Bedding Plus-187</t>
        </is>
      </c>
      <c r="D9627" s="58" t="inlineStr">
        <is>
          <t>Home</t>
        </is>
      </c>
      <c r="E9627" s="58" t="inlineStr">
        <is>
          <t>West</t>
        </is>
      </c>
      <c r="F9627" s="61" t="n">
        <v>2</v>
      </c>
      <c r="G9627" s="62" t="n">
        <v>299.83</v>
      </c>
      <c r="H9627" s="63" t="n">
        <v>0.168</v>
      </c>
      <c r="I9627" s="62" t="n">
        <v>213.9</v>
      </c>
      <c r="J9627" s="58" t="inlineStr">
        <is>
          <t>Online</t>
        </is>
      </c>
      <c r="K9627" s="62">
        <f>F9627*(G9627-H9627)</f>
        <v/>
      </c>
      <c r="L9627" s="62">
        <f>K9627-(F9627*I9627)</f>
        <v/>
      </c>
      <c r="M9627" s="64">
        <f>L9627/K9627</f>
        <v/>
      </c>
    </row>
    <row r="9628">
      <c r="A9628" s="58" t="inlineStr">
        <is>
          <t>RT20250829-09627</t>
        </is>
      </c>
      <c r="B9628" s="59" t="inlineStr">
        <is>
          <t>2025-08-29</t>
        </is>
      </c>
      <c r="C9628" s="60" t="inlineStr">
        <is>
          <t>Polar Outdoor Lite-318</t>
        </is>
      </c>
      <c r="D9628" s="58" t="inlineStr">
        <is>
          <t>Sports</t>
        </is>
      </c>
      <c r="E9628" s="58" t="inlineStr">
        <is>
          <t>West</t>
        </is>
      </c>
      <c r="F9628" s="61" t="n">
        <v>2</v>
      </c>
      <c r="G9628" s="62" t="n">
        <v>782.48</v>
      </c>
      <c r="H9628" s="63" t="n">
        <v>0.123</v>
      </c>
      <c r="I9628" s="62" t="n">
        <v>453.97</v>
      </c>
      <c r="J9628" s="58" t="inlineStr">
        <is>
          <t>Online</t>
        </is>
      </c>
      <c r="K9628" s="62">
        <f>F9628*(G9628-H9628)</f>
        <v/>
      </c>
      <c r="L9628" s="62">
        <f>K9628-(F9628*I9628)</f>
        <v/>
      </c>
      <c r="M9628" s="64">
        <f>L9628/K9628</f>
        <v/>
      </c>
    </row>
    <row r="9629">
      <c r="A9629" s="58" t="inlineStr">
        <is>
          <t>RT20250829-09628</t>
        </is>
      </c>
      <c r="B9629" s="59" t="inlineStr">
        <is>
          <t>2025-08-29</t>
        </is>
      </c>
      <c r="C9629" s="60" t="inlineStr">
        <is>
          <t>Polar Outdoor Lite-318</t>
        </is>
      </c>
      <c r="D9629" s="58" t="inlineStr">
        <is>
          <t>Sports</t>
        </is>
      </c>
      <c r="E9629" s="58" t="inlineStr">
        <is>
          <t>West</t>
        </is>
      </c>
      <c r="F9629" s="61" t="n">
        <v>2</v>
      </c>
      <c r="G9629" s="62" t="n">
        <v>692.99</v>
      </c>
      <c r="H9629" s="63" t="n">
        <v>0.169</v>
      </c>
      <c r="I9629" s="62" t="n">
        <v>454.51</v>
      </c>
      <c r="J9629" s="58" t="inlineStr">
        <is>
          <t>Online</t>
        </is>
      </c>
      <c r="K9629" s="62">
        <f>F9629*(G9629-H9629)</f>
        <v/>
      </c>
      <c r="L9629" s="62">
        <f>K9629-(F9629*I9629)</f>
        <v/>
      </c>
      <c r="M9629" s="64">
        <f>L9629/K9629</f>
        <v/>
      </c>
    </row>
    <row r="9630">
      <c r="A9630" s="58" t="inlineStr">
        <is>
          <t>RT20250829-09629</t>
        </is>
      </c>
      <c r="B9630" s="59" t="inlineStr">
        <is>
          <t>2025-08-29</t>
        </is>
      </c>
      <c r="C9630" s="60" t="inlineStr">
        <is>
          <t>Solace Team Sport Max-548</t>
        </is>
      </c>
      <c r="D9630" s="58" t="inlineStr">
        <is>
          <t>Sports</t>
        </is>
      </c>
      <c r="E9630" s="58" t="inlineStr">
        <is>
          <t>West</t>
        </is>
      </c>
      <c r="F9630" s="61" t="n">
        <v>1</v>
      </c>
      <c r="G9630" s="62" t="n">
        <v>693.01</v>
      </c>
      <c r="H9630" s="63" t="n">
        <v>0.124</v>
      </c>
      <c r="I9630" s="62" t="n">
        <v>483.28</v>
      </c>
      <c r="J9630" s="58" t="inlineStr">
        <is>
          <t>Store</t>
        </is>
      </c>
      <c r="K9630" s="62">
        <f>F9630*(G9630-H9630)</f>
        <v/>
      </c>
      <c r="L9630" s="62">
        <f>K9630-(F9630*I9630)</f>
        <v/>
      </c>
      <c r="M9630" s="64">
        <f>L9630/K9630</f>
        <v/>
      </c>
    </row>
    <row r="9631">
      <c r="A9631" s="58" t="inlineStr">
        <is>
          <t>RT20250829-09630</t>
        </is>
      </c>
      <c r="B9631" s="59" t="inlineStr">
        <is>
          <t>2025-08-29</t>
        </is>
      </c>
      <c r="C9631" s="60" t="inlineStr">
        <is>
          <t>Aurora Appliance Lite-109</t>
        </is>
      </c>
      <c r="D9631" s="58" t="inlineStr">
        <is>
          <t>Home</t>
        </is>
      </c>
      <c r="E9631" s="58" t="inlineStr">
        <is>
          <t>East</t>
        </is>
      </c>
      <c r="F9631" s="61" t="n">
        <v>2</v>
      </c>
      <c r="G9631" s="62" t="n">
        <v>305.34</v>
      </c>
      <c r="H9631" s="63" t="n">
        <v>0.152</v>
      </c>
      <c r="I9631" s="62" t="n">
        <v>202.32</v>
      </c>
      <c r="J9631" s="58" t="inlineStr">
        <is>
          <t>Store</t>
        </is>
      </c>
      <c r="K9631" s="62">
        <f>F9631*(G9631-H9631)</f>
        <v/>
      </c>
      <c r="L9631" s="62">
        <f>K9631-(F9631*I9631)</f>
        <v/>
      </c>
      <c r="M9631" s="64">
        <f>L9631/K9631</f>
        <v/>
      </c>
    </row>
    <row r="9632">
      <c r="A9632" s="58" t="inlineStr">
        <is>
          <t>RT20250829-09631</t>
        </is>
      </c>
      <c r="B9632" s="59" t="inlineStr">
        <is>
          <t>2025-08-29</t>
        </is>
      </c>
      <c r="C9632" s="60" t="inlineStr">
        <is>
          <t>Metro Smartphone Max-773</t>
        </is>
      </c>
      <c r="D9632" s="58" t="inlineStr">
        <is>
          <t>Electronics</t>
        </is>
      </c>
      <c r="E9632" s="58" t="inlineStr">
        <is>
          <t>East</t>
        </is>
      </c>
      <c r="F9632" s="61" t="n">
        <v>2</v>
      </c>
      <c r="G9632" s="62" t="n">
        <v>1523.02</v>
      </c>
      <c r="H9632" s="63" t="n">
        <v>0.209</v>
      </c>
      <c r="I9632" s="62" t="n">
        <v>1138.15</v>
      </c>
      <c r="J9632" s="58" t="inlineStr">
        <is>
          <t>Store</t>
        </is>
      </c>
      <c r="K9632" s="62">
        <f>F9632*(G9632-H9632)</f>
        <v/>
      </c>
      <c r="L9632" s="62">
        <f>K9632-(F9632*I9632)</f>
        <v/>
      </c>
      <c r="M9632" s="64">
        <f>L9632/K9632</f>
        <v/>
      </c>
    </row>
    <row r="9633">
      <c r="A9633" s="58" t="inlineStr">
        <is>
          <t>RT20250829-09632</t>
        </is>
      </c>
      <c r="B9633" s="59" t="inlineStr">
        <is>
          <t>2025-08-29</t>
        </is>
      </c>
      <c r="C9633" s="60" t="inlineStr">
        <is>
          <t>Polar Bedding Lite-243</t>
        </is>
      </c>
      <c r="D9633" s="58" t="inlineStr">
        <is>
          <t>Home</t>
        </is>
      </c>
      <c r="E9633" s="58" t="inlineStr">
        <is>
          <t>South</t>
        </is>
      </c>
      <c r="F9633" s="61" t="n">
        <v>2</v>
      </c>
      <c r="G9633" s="62" t="n">
        <v>522.42</v>
      </c>
      <c r="H9633" s="63" t="n">
        <v>0.172</v>
      </c>
      <c r="I9633" s="62" t="n">
        <v>320.17</v>
      </c>
      <c r="J9633" s="58" t="inlineStr">
        <is>
          <t>Store</t>
        </is>
      </c>
      <c r="K9633" s="62">
        <f>F9633*(G9633-H9633)</f>
        <v/>
      </c>
      <c r="L9633" s="62">
        <f>K9633-(F9633*I9633)</f>
        <v/>
      </c>
      <c r="M9633" s="64">
        <f>L9633/K9633</f>
        <v/>
      </c>
    </row>
    <row r="9634">
      <c r="A9634" s="58" t="inlineStr">
        <is>
          <t>RT20250829-09633</t>
        </is>
      </c>
      <c r="B9634" s="59" t="inlineStr">
        <is>
          <t>2025-08-29</t>
        </is>
      </c>
      <c r="C9634" s="60" t="inlineStr">
        <is>
          <t>Metro Outdoor Plus-787</t>
        </is>
      </c>
      <c r="D9634" s="58" t="inlineStr">
        <is>
          <t>Sports</t>
        </is>
      </c>
      <c r="E9634" s="58" t="inlineStr">
        <is>
          <t>Central</t>
        </is>
      </c>
      <c r="F9634" s="61" t="n">
        <v>3</v>
      </c>
      <c r="G9634" s="62" t="n">
        <v>560.88</v>
      </c>
      <c r="H9634" s="63" t="n">
        <v>0.136</v>
      </c>
      <c r="I9634" s="62" t="n">
        <v>357.82</v>
      </c>
      <c r="J9634" s="58" t="inlineStr">
        <is>
          <t>Store</t>
        </is>
      </c>
      <c r="K9634" s="62">
        <f>F9634*(G9634-H9634)</f>
        <v/>
      </c>
      <c r="L9634" s="62">
        <f>K9634-(F9634*I9634)</f>
        <v/>
      </c>
      <c r="M9634" s="64">
        <f>L9634/K9634</f>
        <v/>
      </c>
    </row>
    <row r="9635">
      <c r="A9635" s="58" t="inlineStr">
        <is>
          <t>RT20250829-09634</t>
        </is>
      </c>
      <c r="B9635" s="59" t="inlineStr">
        <is>
          <t>2025-08-29</t>
        </is>
      </c>
      <c r="C9635" s="60" t="inlineStr">
        <is>
          <t>Vertex Skincare Pro-891</t>
        </is>
      </c>
      <c r="D9635" s="58" t="inlineStr">
        <is>
          <t>Beauty</t>
        </is>
      </c>
      <c r="E9635" s="58" t="inlineStr">
        <is>
          <t>South</t>
        </is>
      </c>
      <c r="F9635" s="61" t="n">
        <v>3</v>
      </c>
      <c r="G9635" s="62" t="n">
        <v>122.94</v>
      </c>
      <c r="H9635" s="63" t="n">
        <v>0.209</v>
      </c>
      <c r="I9635" s="62" t="n">
        <v>90.41</v>
      </c>
      <c r="J9635" s="58" t="inlineStr">
        <is>
          <t>Online</t>
        </is>
      </c>
      <c r="K9635" s="62">
        <f>F9635*(G9635-H9635)</f>
        <v/>
      </c>
      <c r="L9635" s="62">
        <f>K9635-(F9635*I9635)</f>
        <v/>
      </c>
      <c r="M9635" s="64">
        <f>L9635/K9635</f>
        <v/>
      </c>
    </row>
    <row r="9636">
      <c r="A9636" s="58" t="inlineStr">
        <is>
          <t>RT20250829-09635</t>
        </is>
      </c>
      <c r="B9636" s="59" t="inlineStr">
        <is>
          <t>2025-08-29</t>
        </is>
      </c>
      <c r="C9636" s="60" t="inlineStr">
        <is>
          <t>Solace Fitnes S-324</t>
        </is>
      </c>
      <c r="D9636" s="58" t="inlineStr">
        <is>
          <t>Sports</t>
        </is>
      </c>
      <c r="E9636" s="58" t="inlineStr">
        <is>
          <t>East</t>
        </is>
      </c>
      <c r="F9636" s="61" t="n">
        <v>3</v>
      </c>
      <c r="G9636" s="62" t="n">
        <v>708.55</v>
      </c>
      <c r="H9636" s="63" t="n">
        <v>0.155</v>
      </c>
      <c r="I9636" s="62" t="n">
        <v>520.64</v>
      </c>
      <c r="J9636" s="58" t="inlineStr">
        <is>
          <t>Online</t>
        </is>
      </c>
      <c r="K9636" s="62">
        <f>F9636*(G9636-H9636)</f>
        <v/>
      </c>
      <c r="L9636" s="62">
        <f>K9636-(F9636*I9636)</f>
        <v/>
      </c>
      <c r="M9636" s="64">
        <f>L9636/K9636</f>
        <v/>
      </c>
    </row>
    <row r="9637">
      <c r="A9637" s="58" t="inlineStr">
        <is>
          <t>RT20250829-09636</t>
        </is>
      </c>
      <c r="B9637" s="59" t="inlineStr">
        <is>
          <t>2025-08-29</t>
        </is>
      </c>
      <c r="C9637" s="60" t="inlineStr">
        <is>
          <t>Nimbus Furniture Pro-479</t>
        </is>
      </c>
      <c r="D9637" s="58" t="inlineStr">
        <is>
          <t>Office</t>
        </is>
      </c>
      <c r="E9637" s="58" t="inlineStr">
        <is>
          <t>West</t>
        </is>
      </c>
      <c r="F9637" s="61" t="n">
        <v>1</v>
      </c>
      <c r="G9637" s="62" t="n">
        <v>310.16</v>
      </c>
      <c r="H9637" s="63" t="n">
        <v>0.152</v>
      </c>
      <c r="I9637" s="62" t="n">
        <v>233.56</v>
      </c>
      <c r="J9637" s="58" t="inlineStr">
        <is>
          <t>Online</t>
        </is>
      </c>
      <c r="K9637" s="62">
        <f>F9637*(G9637-H9637)</f>
        <v/>
      </c>
      <c r="L9637" s="62">
        <f>K9637-(F9637*I9637)</f>
        <v/>
      </c>
      <c r="M9637" s="64">
        <f>L9637/K9637</f>
        <v/>
      </c>
    </row>
    <row r="9638">
      <c r="A9638" s="58" t="inlineStr">
        <is>
          <t>RT20250829-09637</t>
        </is>
      </c>
      <c r="B9638" s="59" t="inlineStr">
        <is>
          <t>2025-08-29</t>
        </is>
      </c>
      <c r="C9638" s="60" t="inlineStr">
        <is>
          <t>Aurora Kid Plus-151</t>
        </is>
      </c>
      <c r="D9638" s="58" t="inlineStr">
        <is>
          <t>Apparel</t>
        </is>
      </c>
      <c r="E9638" s="58" t="inlineStr">
        <is>
          <t>East</t>
        </is>
      </c>
      <c r="F9638" s="61" t="n">
        <v>2</v>
      </c>
      <c r="G9638" s="62" t="n">
        <v>102.21</v>
      </c>
      <c r="H9638" s="63" t="n">
        <v>0.156</v>
      </c>
      <c r="I9638" s="62" t="n">
        <v>63.03</v>
      </c>
      <c r="J9638" s="58" t="inlineStr">
        <is>
          <t>Online</t>
        </is>
      </c>
      <c r="K9638" s="62">
        <f>F9638*(G9638-H9638)</f>
        <v/>
      </c>
      <c r="L9638" s="62">
        <f>K9638-(F9638*I9638)</f>
        <v/>
      </c>
      <c r="M9638" s="64">
        <f>L9638/K9638</f>
        <v/>
      </c>
    </row>
    <row r="9639">
      <c r="A9639" s="58" t="inlineStr">
        <is>
          <t>RT20250829-09638</t>
        </is>
      </c>
      <c r="B9639" s="59" t="inlineStr">
        <is>
          <t>2025-08-29</t>
        </is>
      </c>
      <c r="C9639" s="60" t="inlineStr">
        <is>
          <t>Solace Headphone Pro-344</t>
        </is>
      </c>
      <c r="D9639" s="58" t="inlineStr">
        <is>
          <t>Electronics</t>
        </is>
      </c>
      <c r="E9639" s="58" t="inlineStr">
        <is>
          <t>West</t>
        </is>
      </c>
      <c r="F9639" s="61" t="n">
        <v>2</v>
      </c>
      <c r="G9639" s="62" t="n">
        <v>1384.91</v>
      </c>
      <c r="H9639" s="63" t="n">
        <v>0.149</v>
      </c>
      <c r="I9639" s="62" t="n">
        <v>1044.84</v>
      </c>
      <c r="J9639" s="58" t="inlineStr">
        <is>
          <t>Online</t>
        </is>
      </c>
      <c r="K9639" s="62">
        <f>F9639*(G9639-H9639)</f>
        <v/>
      </c>
      <c r="L9639" s="62">
        <f>K9639-(F9639*I9639)</f>
        <v/>
      </c>
      <c r="M9639" s="64">
        <f>L9639/K9639</f>
        <v/>
      </c>
    </row>
    <row r="9640">
      <c r="A9640" s="58" t="inlineStr">
        <is>
          <t>RT20250829-09639</t>
        </is>
      </c>
      <c r="B9640" s="59" t="inlineStr">
        <is>
          <t>2025-08-29</t>
        </is>
      </c>
      <c r="C9640" s="60" t="inlineStr">
        <is>
          <t>Falcon Skincare Max-151</t>
        </is>
      </c>
      <c r="D9640" s="58" t="inlineStr">
        <is>
          <t>Beauty</t>
        </is>
      </c>
      <c r="E9640" s="58" t="inlineStr">
        <is>
          <t>East</t>
        </is>
      </c>
      <c r="F9640" s="61" t="n">
        <v>1</v>
      </c>
      <c r="G9640" s="62" t="n">
        <v>89.29000000000001</v>
      </c>
      <c r="H9640" s="63" t="n">
        <v>0.172</v>
      </c>
      <c r="I9640" s="62" t="n">
        <v>61.15</v>
      </c>
      <c r="J9640" s="58" t="inlineStr">
        <is>
          <t>Online</t>
        </is>
      </c>
      <c r="K9640" s="62">
        <f>F9640*(G9640-H9640)</f>
        <v/>
      </c>
      <c r="L9640" s="62">
        <f>K9640-(F9640*I9640)</f>
        <v/>
      </c>
      <c r="M9640" s="64">
        <f>L9640/K9640</f>
        <v/>
      </c>
    </row>
    <row r="9641">
      <c r="A9641" s="58" t="inlineStr">
        <is>
          <t>RT20250829-09640</t>
        </is>
      </c>
      <c r="B9641" s="59" t="inlineStr">
        <is>
          <t>2025-08-29</t>
        </is>
      </c>
      <c r="C9641" s="60" t="inlineStr">
        <is>
          <t>Nimbus Headphone X-854</t>
        </is>
      </c>
      <c r="D9641" s="58" t="inlineStr">
        <is>
          <t>Electronics</t>
        </is>
      </c>
      <c r="E9641" s="58" t="inlineStr">
        <is>
          <t>South</t>
        </is>
      </c>
      <c r="F9641" s="61" t="n">
        <v>1</v>
      </c>
      <c r="G9641" s="62" t="n">
        <v>1817.54</v>
      </c>
      <c r="H9641" s="63" t="n">
        <v>0.157</v>
      </c>
      <c r="I9641" s="62" t="n">
        <v>1264.42</v>
      </c>
      <c r="J9641" s="58" t="inlineStr">
        <is>
          <t>Store</t>
        </is>
      </c>
      <c r="K9641" s="62">
        <f>F9641*(G9641-H9641)</f>
        <v/>
      </c>
      <c r="L9641" s="62">
        <f>K9641-(F9641*I9641)</f>
        <v/>
      </c>
      <c r="M9641" s="64">
        <f>L9641/K9641</f>
        <v/>
      </c>
    </row>
    <row r="9642">
      <c r="A9642" s="58" t="inlineStr">
        <is>
          <t>RT20250830-09641</t>
        </is>
      </c>
      <c r="B9642" s="59" t="inlineStr">
        <is>
          <t>2025-08-30</t>
        </is>
      </c>
      <c r="C9642" s="60" t="inlineStr">
        <is>
          <t>Aurora Haircare S-975</t>
        </is>
      </c>
      <c r="D9642" s="58" t="inlineStr">
        <is>
          <t>Beauty</t>
        </is>
      </c>
      <c r="E9642" s="58" t="inlineStr">
        <is>
          <t>East</t>
        </is>
      </c>
      <c r="F9642" s="61" t="n">
        <v>4</v>
      </c>
      <c r="G9642" s="62" t="n">
        <v>112.64</v>
      </c>
      <c r="H9642" s="63" t="n">
        <v>0.16</v>
      </c>
      <c r="I9642" s="62" t="n">
        <v>59.83</v>
      </c>
      <c r="J9642" s="58" t="inlineStr">
        <is>
          <t>Store</t>
        </is>
      </c>
      <c r="K9642" s="62">
        <f>F9642*(G9642-H9642)</f>
        <v/>
      </c>
      <c r="L9642" s="62">
        <f>K9642-(F9642*I9642)</f>
        <v/>
      </c>
      <c r="M9642" s="64">
        <f>L9642/K9642</f>
        <v/>
      </c>
    </row>
    <row r="9643">
      <c r="A9643" s="58" t="inlineStr">
        <is>
          <t>RT20250830-09642</t>
        </is>
      </c>
      <c r="B9643" s="59" t="inlineStr">
        <is>
          <t>2025-08-30</t>
        </is>
      </c>
      <c r="C9643" s="60" t="inlineStr">
        <is>
          <t>Polar Outdoor Lite-318</t>
        </is>
      </c>
      <c r="D9643" s="58" t="inlineStr">
        <is>
          <t>Sports</t>
        </is>
      </c>
      <c r="E9643" s="58" t="inlineStr">
        <is>
          <t>West</t>
        </is>
      </c>
      <c r="F9643" s="61" t="n">
        <v>2</v>
      </c>
      <c r="G9643" s="62" t="n">
        <v>614.0700000000001</v>
      </c>
      <c r="H9643" s="63" t="n">
        <v>0.164</v>
      </c>
      <c r="I9643" s="62" t="n">
        <v>462.91</v>
      </c>
      <c r="J9643" s="58" t="inlineStr">
        <is>
          <t>Online</t>
        </is>
      </c>
      <c r="K9643" s="62">
        <f>F9643*(G9643-H9643)</f>
        <v/>
      </c>
      <c r="L9643" s="62">
        <f>K9643-(F9643*I9643)</f>
        <v/>
      </c>
      <c r="M9643" s="64">
        <f>L9643/K9643</f>
        <v/>
      </c>
    </row>
    <row r="9644">
      <c r="A9644" s="58" t="inlineStr">
        <is>
          <t>RT20250830-09643</t>
        </is>
      </c>
      <c r="B9644" s="59" t="inlineStr">
        <is>
          <t>2025-08-30</t>
        </is>
      </c>
      <c r="C9644" s="60" t="inlineStr">
        <is>
          <t>Aurora Fitnes Lite-194</t>
        </is>
      </c>
      <c r="D9644" s="58" t="inlineStr">
        <is>
          <t>Sports</t>
        </is>
      </c>
      <c r="E9644" s="58" t="inlineStr">
        <is>
          <t>North</t>
        </is>
      </c>
      <c r="F9644" s="61" t="n">
        <v>3</v>
      </c>
      <c r="G9644" s="62" t="n">
        <v>691.35</v>
      </c>
      <c r="H9644" s="63" t="n">
        <v>0.155</v>
      </c>
      <c r="I9644" s="62" t="n">
        <v>467.82</v>
      </c>
      <c r="J9644" s="58" t="inlineStr">
        <is>
          <t>Online</t>
        </is>
      </c>
      <c r="K9644" s="62">
        <f>F9644*(G9644-H9644)</f>
        <v/>
      </c>
      <c r="L9644" s="62">
        <f>K9644-(F9644*I9644)</f>
        <v/>
      </c>
      <c r="M9644" s="64">
        <f>L9644/K9644</f>
        <v/>
      </c>
    </row>
    <row r="9645">
      <c r="A9645" s="58" t="inlineStr">
        <is>
          <t>RT20250830-09644</t>
        </is>
      </c>
      <c r="B9645" s="59" t="inlineStr">
        <is>
          <t>2025-08-30</t>
        </is>
      </c>
      <c r="C9645" s="60" t="inlineStr">
        <is>
          <t>Solace Bedding Plus-317</t>
        </is>
      </c>
      <c r="D9645" s="58" t="inlineStr">
        <is>
          <t>Home</t>
        </is>
      </c>
      <c r="E9645" s="58" t="inlineStr">
        <is>
          <t>Central</t>
        </is>
      </c>
      <c r="F9645" s="61" t="n">
        <v>2</v>
      </c>
      <c r="G9645" s="62" t="n">
        <v>531.74</v>
      </c>
      <c r="H9645" s="63" t="n">
        <v>0.129</v>
      </c>
      <c r="I9645" s="62" t="n">
        <v>393.52</v>
      </c>
      <c r="J9645" s="58" t="inlineStr">
        <is>
          <t>Online</t>
        </is>
      </c>
      <c r="K9645" s="62">
        <f>F9645*(G9645-H9645)</f>
        <v/>
      </c>
      <c r="L9645" s="62">
        <f>K9645-(F9645*I9645)</f>
        <v/>
      </c>
      <c r="M9645" s="64">
        <f>L9645/K9645</f>
        <v/>
      </c>
    </row>
    <row r="9646">
      <c r="A9646" s="58" t="inlineStr">
        <is>
          <t>RT20250830-09645</t>
        </is>
      </c>
      <c r="B9646" s="59" t="inlineStr">
        <is>
          <t>2025-08-30</t>
        </is>
      </c>
      <c r="C9646" s="60" t="inlineStr">
        <is>
          <t>Nimbus Men Plus-231</t>
        </is>
      </c>
      <c r="D9646" s="58" t="inlineStr">
        <is>
          <t>Apparel</t>
        </is>
      </c>
      <c r="E9646" s="58" t="inlineStr">
        <is>
          <t>East</t>
        </is>
      </c>
      <c r="F9646" s="61" t="n">
        <v>1</v>
      </c>
      <c r="G9646" s="62" t="n">
        <v>164.45</v>
      </c>
      <c r="H9646" s="63" t="n">
        <v>0.124</v>
      </c>
      <c r="I9646" s="62" t="n">
        <v>90.05</v>
      </c>
      <c r="J9646" s="58" t="inlineStr">
        <is>
          <t>Online</t>
        </is>
      </c>
      <c r="K9646" s="62">
        <f>F9646*(G9646-H9646)</f>
        <v/>
      </c>
      <c r="L9646" s="62">
        <f>K9646-(F9646*I9646)</f>
        <v/>
      </c>
      <c r="M9646" s="64">
        <f>L9646/K9646</f>
        <v/>
      </c>
    </row>
    <row r="9647">
      <c r="A9647" s="58" t="inlineStr">
        <is>
          <t>RT20250830-09646</t>
        </is>
      </c>
      <c r="B9647" s="59" t="inlineStr">
        <is>
          <t>2025-08-30</t>
        </is>
      </c>
      <c r="C9647" s="60" t="inlineStr">
        <is>
          <t>Falcon Kitchen X-130</t>
        </is>
      </c>
      <c r="D9647" s="58" t="inlineStr">
        <is>
          <t>Home</t>
        </is>
      </c>
      <c r="E9647" s="58" t="inlineStr">
        <is>
          <t>West</t>
        </is>
      </c>
      <c r="F9647" s="61" t="n">
        <v>1</v>
      </c>
      <c r="G9647" s="62" t="n">
        <v>391.37</v>
      </c>
      <c r="H9647" s="63" t="n">
        <v>0.182</v>
      </c>
      <c r="I9647" s="62" t="n">
        <v>282.88</v>
      </c>
      <c r="J9647" s="58" t="inlineStr">
        <is>
          <t>Online</t>
        </is>
      </c>
      <c r="K9647" s="62">
        <f>F9647*(G9647-H9647)</f>
        <v/>
      </c>
      <c r="L9647" s="62">
        <f>K9647-(F9647*I9647)</f>
        <v/>
      </c>
      <c r="M9647" s="64">
        <f>L9647/K9647</f>
        <v/>
      </c>
    </row>
    <row r="9648">
      <c r="A9648" s="58" t="inlineStr">
        <is>
          <t>RT20250830-09647</t>
        </is>
      </c>
      <c r="B9648" s="59" t="inlineStr">
        <is>
          <t>2025-08-30</t>
        </is>
      </c>
      <c r="C9648" s="60" t="inlineStr">
        <is>
          <t>Aurora Appliance Max-316</t>
        </is>
      </c>
      <c r="D9648" s="58" t="inlineStr">
        <is>
          <t>Home</t>
        </is>
      </c>
      <c r="E9648" s="58" t="inlineStr">
        <is>
          <t>East</t>
        </is>
      </c>
      <c r="F9648" s="61" t="n">
        <v>2</v>
      </c>
      <c r="G9648" s="62" t="n">
        <v>296.98</v>
      </c>
      <c r="H9648" s="63" t="n">
        <v>0.15</v>
      </c>
      <c r="I9648" s="62" t="n">
        <v>209.07</v>
      </c>
      <c r="J9648" s="58" t="inlineStr">
        <is>
          <t>Online</t>
        </is>
      </c>
      <c r="K9648" s="62">
        <f>F9648*(G9648-H9648)</f>
        <v/>
      </c>
      <c r="L9648" s="62">
        <f>K9648-(F9648*I9648)</f>
        <v/>
      </c>
      <c r="M9648" s="64">
        <f>L9648/K9648</f>
        <v/>
      </c>
    </row>
    <row r="9649">
      <c r="A9649" s="58" t="inlineStr">
        <is>
          <t>RT20250830-09648</t>
        </is>
      </c>
      <c r="B9649" s="59" t="inlineStr">
        <is>
          <t>2025-08-30</t>
        </is>
      </c>
      <c r="C9649" s="60" t="inlineStr">
        <is>
          <t>Falcon Headphone Pro-713</t>
        </is>
      </c>
      <c r="D9649" s="58" t="inlineStr">
        <is>
          <t>Electronics</t>
        </is>
      </c>
      <c r="E9649" s="58" t="inlineStr">
        <is>
          <t>East</t>
        </is>
      </c>
      <c r="F9649" s="61" t="n">
        <v>1</v>
      </c>
      <c r="G9649" s="62" t="n">
        <v>1468.35</v>
      </c>
      <c r="H9649" s="63" t="n">
        <v>0.094</v>
      </c>
      <c r="I9649" s="62" t="n">
        <v>1198.24</v>
      </c>
      <c r="J9649" s="58" t="inlineStr">
        <is>
          <t>Online</t>
        </is>
      </c>
      <c r="K9649" s="62">
        <f>F9649*(G9649-H9649)</f>
        <v/>
      </c>
      <c r="L9649" s="62">
        <f>K9649-(F9649*I9649)</f>
        <v/>
      </c>
      <c r="M9649" s="64">
        <f>L9649/K9649</f>
        <v/>
      </c>
    </row>
    <row r="9650">
      <c r="A9650" s="58" t="inlineStr">
        <is>
          <t>RT20250830-09649</t>
        </is>
      </c>
      <c r="B9650" s="59" t="inlineStr">
        <is>
          <t>2025-08-30</t>
        </is>
      </c>
      <c r="C9650" s="60" t="inlineStr">
        <is>
          <t>Falcon Haircare Pro-980</t>
        </is>
      </c>
      <c r="D9650" s="58" t="inlineStr">
        <is>
          <t>Beauty</t>
        </is>
      </c>
      <c r="E9650" s="58" t="inlineStr">
        <is>
          <t>North</t>
        </is>
      </c>
      <c r="F9650" s="61" t="n">
        <v>2</v>
      </c>
      <c r="G9650" s="62" t="n">
        <v>92.34999999999999</v>
      </c>
      <c r="H9650" s="63" t="n">
        <v>0.113</v>
      </c>
      <c r="I9650" s="62" t="n">
        <v>56.45</v>
      </c>
      <c r="J9650" s="58" t="inlineStr">
        <is>
          <t>Online</t>
        </is>
      </c>
      <c r="K9650" s="62">
        <f>F9650*(G9650-H9650)</f>
        <v/>
      </c>
      <c r="L9650" s="62">
        <f>K9650-(F9650*I9650)</f>
        <v/>
      </c>
      <c r="M9650" s="64">
        <f>L9650/K9650</f>
        <v/>
      </c>
    </row>
    <row r="9651">
      <c r="A9651" s="58" t="inlineStr">
        <is>
          <t>RT20250830-09650</t>
        </is>
      </c>
      <c r="B9651" s="59" t="inlineStr">
        <is>
          <t>2025-08-30</t>
        </is>
      </c>
      <c r="C9651" s="60" t="inlineStr">
        <is>
          <t>Metro Wearable Plus-234</t>
        </is>
      </c>
      <c r="D9651" s="58" t="inlineStr">
        <is>
          <t>Electronics</t>
        </is>
      </c>
      <c r="E9651" s="58" t="inlineStr">
        <is>
          <t>East</t>
        </is>
      </c>
      <c r="F9651" s="61" t="n">
        <v>2</v>
      </c>
      <c r="G9651" s="62" t="n">
        <v>1500.52</v>
      </c>
      <c r="H9651" s="63" t="n">
        <v>0.141</v>
      </c>
      <c r="I9651" s="62" t="n">
        <v>1178.16</v>
      </c>
      <c r="J9651" s="58" t="inlineStr">
        <is>
          <t>Store</t>
        </is>
      </c>
      <c r="K9651" s="62">
        <f>F9651*(G9651-H9651)</f>
        <v/>
      </c>
      <c r="L9651" s="62">
        <f>K9651-(F9651*I9651)</f>
        <v/>
      </c>
      <c r="M9651" s="64">
        <f>L9651/K9651</f>
        <v/>
      </c>
    </row>
    <row r="9652">
      <c r="A9652" s="58" t="inlineStr">
        <is>
          <t>RT20250830-09651</t>
        </is>
      </c>
      <c r="B9652" s="59" t="inlineStr">
        <is>
          <t>2025-08-30</t>
        </is>
      </c>
      <c r="C9652" s="60" t="inlineStr">
        <is>
          <t>Falcon Household Pro-865</t>
        </is>
      </c>
      <c r="D9652" s="58" t="inlineStr">
        <is>
          <t>Grocery</t>
        </is>
      </c>
      <c r="E9652" s="58" t="inlineStr">
        <is>
          <t>East</t>
        </is>
      </c>
      <c r="F9652" s="61" t="n">
        <v>8</v>
      </c>
      <c r="G9652" s="62" t="n">
        <v>9.49</v>
      </c>
      <c r="H9652" s="63" t="n">
        <v>0.129</v>
      </c>
      <c r="I9652" s="62" t="n">
        <v>7.9</v>
      </c>
      <c r="J9652" s="58" t="inlineStr">
        <is>
          <t>Online</t>
        </is>
      </c>
      <c r="K9652" s="62">
        <f>F9652*(G9652-H9652)</f>
        <v/>
      </c>
      <c r="L9652" s="62">
        <f>K9652-(F9652*I9652)</f>
        <v/>
      </c>
      <c r="M9652" s="64">
        <f>L9652/K9652</f>
        <v/>
      </c>
    </row>
    <row r="9653">
      <c r="A9653" s="58" t="inlineStr">
        <is>
          <t>RT20250830-09652</t>
        </is>
      </c>
      <c r="B9653" s="59" t="inlineStr">
        <is>
          <t>2025-08-30</t>
        </is>
      </c>
      <c r="C9653" s="60" t="inlineStr">
        <is>
          <t>Orion Snack X-322</t>
        </is>
      </c>
      <c r="D9653" s="58" t="inlineStr">
        <is>
          <t>Grocery</t>
        </is>
      </c>
      <c r="E9653" s="58" t="inlineStr">
        <is>
          <t>South</t>
        </is>
      </c>
      <c r="F9653" s="61" t="n">
        <v>4</v>
      </c>
      <c r="G9653" s="62" t="n">
        <v>13.69</v>
      </c>
      <c r="H9653" s="63" t="n">
        <v>0.136</v>
      </c>
      <c r="I9653" s="62" t="n">
        <v>10.21</v>
      </c>
      <c r="J9653" s="58" t="inlineStr">
        <is>
          <t>Online</t>
        </is>
      </c>
      <c r="K9653" s="62">
        <f>F9653*(G9653-H9653)</f>
        <v/>
      </c>
      <c r="L9653" s="62">
        <f>K9653-(F9653*I9653)</f>
        <v/>
      </c>
      <c r="M9653" s="64">
        <f>L9653/K9653</f>
        <v/>
      </c>
    </row>
    <row r="9654">
      <c r="A9654" s="58" t="inlineStr">
        <is>
          <t>RT20250830-09653</t>
        </is>
      </c>
      <c r="B9654" s="59" t="inlineStr">
        <is>
          <t>2025-08-30</t>
        </is>
      </c>
      <c r="C9654" s="60" t="inlineStr">
        <is>
          <t>Aurora Haircare S-975</t>
        </is>
      </c>
      <c r="D9654" s="58" t="inlineStr">
        <is>
          <t>Beauty</t>
        </is>
      </c>
      <c r="E9654" s="58" t="inlineStr">
        <is>
          <t>North</t>
        </is>
      </c>
      <c r="F9654" s="61" t="n">
        <v>2</v>
      </c>
      <c r="G9654" s="62" t="n">
        <v>118.37</v>
      </c>
      <c r="H9654" s="63" t="n">
        <v>0.171</v>
      </c>
      <c r="I9654" s="62" t="n">
        <v>58.48</v>
      </c>
      <c r="J9654" s="58" t="inlineStr">
        <is>
          <t>Store</t>
        </is>
      </c>
      <c r="K9654" s="62">
        <f>F9654*(G9654-H9654)</f>
        <v/>
      </c>
      <c r="L9654" s="62">
        <f>K9654-(F9654*I9654)</f>
        <v/>
      </c>
      <c r="M9654" s="64">
        <f>L9654/K9654</f>
        <v/>
      </c>
    </row>
    <row r="9655">
      <c r="A9655" s="58" t="inlineStr">
        <is>
          <t>RT20250830-09654</t>
        </is>
      </c>
      <c r="B9655" s="59" t="inlineStr">
        <is>
          <t>2025-08-30</t>
        </is>
      </c>
      <c r="C9655" s="60" t="inlineStr">
        <is>
          <t>Falcon Kitchen X-130</t>
        </is>
      </c>
      <c r="D9655" s="58" t="inlineStr">
        <is>
          <t>Home</t>
        </is>
      </c>
      <c r="E9655" s="58" t="inlineStr">
        <is>
          <t>North</t>
        </is>
      </c>
      <c r="F9655" s="61" t="n">
        <v>1</v>
      </c>
      <c r="G9655" s="62" t="n">
        <v>402.15</v>
      </c>
      <c r="H9655" s="63" t="n">
        <v>0.198</v>
      </c>
      <c r="I9655" s="62" t="n">
        <v>290.58</v>
      </c>
      <c r="J9655" s="58" t="inlineStr">
        <is>
          <t>Phone</t>
        </is>
      </c>
      <c r="K9655" s="62">
        <f>F9655*(G9655-H9655)</f>
        <v/>
      </c>
      <c r="L9655" s="62">
        <f>K9655-(F9655*I9655)</f>
        <v/>
      </c>
      <c r="M9655" s="64">
        <f>L9655/K9655</f>
        <v/>
      </c>
    </row>
    <row r="9656">
      <c r="A9656" s="58" t="inlineStr">
        <is>
          <t>RT20250830-09655</t>
        </is>
      </c>
      <c r="B9656" s="59" t="inlineStr">
        <is>
          <t>2025-08-30</t>
        </is>
      </c>
      <c r="C9656" s="60" t="inlineStr">
        <is>
          <t>Aurora Haircare S-975</t>
        </is>
      </c>
      <c r="D9656" s="58" t="inlineStr">
        <is>
          <t>Beauty</t>
        </is>
      </c>
      <c r="E9656" s="58" t="inlineStr">
        <is>
          <t>Central</t>
        </is>
      </c>
      <c r="F9656" s="61" t="n">
        <v>1</v>
      </c>
      <c r="G9656" s="62" t="n">
        <v>97.33</v>
      </c>
      <c r="H9656" s="63" t="n">
        <v>0.194</v>
      </c>
      <c r="I9656" s="62" t="n">
        <v>59.79</v>
      </c>
      <c r="J9656" s="58" t="inlineStr">
        <is>
          <t>Online</t>
        </is>
      </c>
      <c r="K9656" s="62">
        <f>F9656*(G9656-H9656)</f>
        <v/>
      </c>
      <c r="L9656" s="62">
        <f>K9656-(F9656*I9656)</f>
        <v/>
      </c>
      <c r="M9656" s="64">
        <f>L9656/K9656</f>
        <v/>
      </c>
    </row>
    <row r="9657">
      <c r="A9657" s="58" t="inlineStr">
        <is>
          <t>RT20250830-09656</t>
        </is>
      </c>
      <c r="B9657" s="59" t="inlineStr">
        <is>
          <t>2025-08-30</t>
        </is>
      </c>
      <c r="C9657" s="60" t="inlineStr">
        <is>
          <t>Vertex Pantry Pro-165</t>
        </is>
      </c>
      <c r="D9657" s="58" t="inlineStr">
        <is>
          <t>Grocery</t>
        </is>
      </c>
      <c r="E9657" s="58" t="inlineStr">
        <is>
          <t>North</t>
        </is>
      </c>
      <c r="F9657" s="61" t="n">
        <v>3</v>
      </c>
      <c r="G9657" s="62" t="n">
        <v>15.41</v>
      </c>
      <c r="H9657" s="63" t="n">
        <v>0.177</v>
      </c>
      <c r="I9657" s="62" t="n">
        <v>11.84</v>
      </c>
      <c r="J9657" s="58" t="inlineStr">
        <is>
          <t>Online</t>
        </is>
      </c>
      <c r="K9657" s="62">
        <f>F9657*(G9657-H9657)</f>
        <v/>
      </c>
      <c r="L9657" s="62">
        <f>K9657-(F9657*I9657)</f>
        <v/>
      </c>
      <c r="M9657" s="64">
        <f>L9657/K9657</f>
        <v/>
      </c>
    </row>
    <row r="9658">
      <c r="A9658" s="58" t="inlineStr">
        <is>
          <t>RT20250830-09657</t>
        </is>
      </c>
      <c r="B9658" s="59" t="inlineStr">
        <is>
          <t>2025-08-30</t>
        </is>
      </c>
      <c r="C9658" s="60" t="inlineStr">
        <is>
          <t>Nimbus Fitnes Lite-516</t>
        </is>
      </c>
      <c r="D9658" s="58" t="inlineStr">
        <is>
          <t>Sports</t>
        </is>
      </c>
      <c r="E9658" s="58" t="inlineStr">
        <is>
          <t>South</t>
        </is>
      </c>
      <c r="F9658" s="61" t="n">
        <v>3</v>
      </c>
      <c r="G9658" s="62" t="n">
        <v>713.88</v>
      </c>
      <c r="H9658" s="63" t="n">
        <v>0.148</v>
      </c>
      <c r="I9658" s="62" t="n">
        <v>461.9</v>
      </c>
      <c r="J9658" s="58" t="inlineStr">
        <is>
          <t>Store</t>
        </is>
      </c>
      <c r="K9658" s="62">
        <f>F9658*(G9658-H9658)</f>
        <v/>
      </c>
      <c r="L9658" s="62">
        <f>K9658-(F9658*I9658)</f>
        <v/>
      </c>
      <c r="M9658" s="64">
        <f>L9658/K9658</f>
        <v/>
      </c>
    </row>
    <row r="9659">
      <c r="A9659" s="58" t="inlineStr">
        <is>
          <t>RT20250830-09658</t>
        </is>
      </c>
      <c r="B9659" s="59" t="inlineStr">
        <is>
          <t>2025-08-30</t>
        </is>
      </c>
      <c r="C9659" s="60" t="inlineStr">
        <is>
          <t>Polar Decor X-935</t>
        </is>
      </c>
      <c r="D9659" s="58" t="inlineStr">
        <is>
          <t>Home</t>
        </is>
      </c>
      <c r="E9659" s="58" t="inlineStr">
        <is>
          <t>West</t>
        </is>
      </c>
      <c r="F9659" s="61" t="n">
        <v>3</v>
      </c>
      <c r="G9659" s="62" t="n">
        <v>296.63</v>
      </c>
      <c r="H9659" s="63" t="n">
        <v>0.117</v>
      </c>
      <c r="I9659" s="62" t="n">
        <v>197.66</v>
      </c>
      <c r="J9659" s="58" t="inlineStr">
        <is>
          <t>Online</t>
        </is>
      </c>
      <c r="K9659" s="62">
        <f>F9659*(G9659-H9659)</f>
        <v/>
      </c>
      <c r="L9659" s="62">
        <f>K9659-(F9659*I9659)</f>
        <v/>
      </c>
      <c r="M9659" s="64">
        <f>L9659/K9659</f>
        <v/>
      </c>
    </row>
    <row r="9660">
      <c r="A9660" s="58" t="inlineStr">
        <is>
          <t>RT20250830-09659</t>
        </is>
      </c>
      <c r="B9660" s="59" t="inlineStr">
        <is>
          <t>2025-08-30</t>
        </is>
      </c>
      <c r="C9660" s="60" t="inlineStr">
        <is>
          <t>Orion Kid Max-640</t>
        </is>
      </c>
      <c r="D9660" s="58" t="inlineStr">
        <is>
          <t>Apparel</t>
        </is>
      </c>
      <c r="E9660" s="58" t="inlineStr">
        <is>
          <t>East</t>
        </is>
      </c>
      <c r="F9660" s="61" t="n">
        <v>3</v>
      </c>
      <c r="G9660" s="62" t="n">
        <v>118</v>
      </c>
      <c r="H9660" s="63" t="n">
        <v>0.131</v>
      </c>
      <c r="I9660" s="62" t="n">
        <v>68.27</v>
      </c>
      <c r="J9660" s="58" t="inlineStr">
        <is>
          <t>Online</t>
        </is>
      </c>
      <c r="K9660" s="62">
        <f>F9660*(G9660-H9660)</f>
        <v/>
      </c>
      <c r="L9660" s="62">
        <f>K9660-(F9660*I9660)</f>
        <v/>
      </c>
      <c r="M9660" s="64">
        <f>L9660/K9660</f>
        <v/>
      </c>
    </row>
    <row r="9661">
      <c r="A9661" s="58" t="inlineStr">
        <is>
          <t>RT20250830-09660</t>
        </is>
      </c>
      <c r="B9661" s="59" t="inlineStr">
        <is>
          <t>2025-08-30</t>
        </is>
      </c>
      <c r="C9661" s="60" t="inlineStr">
        <is>
          <t>Aurora Wearable Lite-162</t>
        </is>
      </c>
      <c r="D9661" s="58" t="inlineStr">
        <is>
          <t>Electronics</t>
        </is>
      </c>
      <c r="E9661" s="58" t="inlineStr">
        <is>
          <t>East</t>
        </is>
      </c>
      <c r="F9661" s="61" t="n">
        <v>1</v>
      </c>
      <c r="G9661" s="62" t="n">
        <v>1561.66</v>
      </c>
      <c r="H9661" s="63" t="n">
        <v>0.174</v>
      </c>
      <c r="I9661" s="62" t="n">
        <v>1209.04</v>
      </c>
      <c r="J9661" s="58" t="inlineStr">
        <is>
          <t>Online</t>
        </is>
      </c>
      <c r="K9661" s="62">
        <f>F9661*(G9661-H9661)</f>
        <v/>
      </c>
      <c r="L9661" s="62">
        <f>K9661-(F9661*I9661)</f>
        <v/>
      </c>
      <c r="M9661" s="64">
        <f>L9661/K9661</f>
        <v/>
      </c>
    </row>
    <row r="9662">
      <c r="A9662" s="58" t="inlineStr">
        <is>
          <t>RT20250830-09661</t>
        </is>
      </c>
      <c r="B9662" s="59" t="inlineStr">
        <is>
          <t>2025-08-30</t>
        </is>
      </c>
      <c r="C9662" s="60" t="inlineStr">
        <is>
          <t>Falcon Bedding S-674</t>
        </is>
      </c>
      <c r="D9662" s="58" t="inlineStr">
        <is>
          <t>Home</t>
        </is>
      </c>
      <c r="E9662" s="58" t="inlineStr">
        <is>
          <t>North</t>
        </is>
      </c>
      <c r="F9662" s="61" t="n">
        <v>2</v>
      </c>
      <c r="G9662" s="62" t="n">
        <v>634.1900000000001</v>
      </c>
      <c r="H9662" s="63" t="n">
        <v>0.109</v>
      </c>
      <c r="I9662" s="62" t="n">
        <v>445.07</v>
      </c>
      <c r="J9662" s="58" t="inlineStr">
        <is>
          <t>Store</t>
        </is>
      </c>
      <c r="K9662" s="62">
        <f>F9662*(G9662-H9662)</f>
        <v/>
      </c>
      <c r="L9662" s="62">
        <f>K9662-(F9662*I9662)</f>
        <v/>
      </c>
      <c r="M9662" s="64">
        <f>L9662/K9662</f>
        <v/>
      </c>
    </row>
    <row r="9663">
      <c r="A9663" s="58" t="inlineStr">
        <is>
          <t>RT20250830-09662</t>
        </is>
      </c>
      <c r="B9663" s="59" t="inlineStr">
        <is>
          <t>2025-08-30</t>
        </is>
      </c>
      <c r="C9663" s="60" t="inlineStr">
        <is>
          <t>Falcon Headphone Pro-713</t>
        </is>
      </c>
      <c r="D9663" s="58" t="inlineStr">
        <is>
          <t>Electronics</t>
        </is>
      </c>
      <c r="E9663" s="58" t="inlineStr">
        <is>
          <t>West</t>
        </is>
      </c>
      <c r="F9663" s="61" t="n">
        <v>1</v>
      </c>
      <c r="G9663" s="62" t="n">
        <v>1420.29</v>
      </c>
      <c r="H9663" s="63" t="n">
        <v>0.17</v>
      </c>
      <c r="I9663" s="62" t="n">
        <v>1144.5</v>
      </c>
      <c r="J9663" s="58" t="inlineStr">
        <is>
          <t>Store</t>
        </is>
      </c>
      <c r="K9663" s="62">
        <f>F9663*(G9663-H9663)</f>
        <v/>
      </c>
      <c r="L9663" s="62">
        <f>K9663-(F9663*I9663)</f>
        <v/>
      </c>
      <c r="M9663" s="64">
        <f>L9663/K9663</f>
        <v/>
      </c>
    </row>
    <row r="9664">
      <c r="A9664" s="58" t="inlineStr">
        <is>
          <t>RT20250830-09663</t>
        </is>
      </c>
      <c r="B9664" s="59" t="inlineStr">
        <is>
          <t>2025-08-30</t>
        </is>
      </c>
      <c r="C9664" s="60" t="inlineStr">
        <is>
          <t>Nimbus Women Plus-352</t>
        </is>
      </c>
      <c r="D9664" s="58" t="inlineStr">
        <is>
          <t>Apparel</t>
        </is>
      </c>
      <c r="E9664" s="58" t="inlineStr">
        <is>
          <t>East</t>
        </is>
      </c>
      <c r="F9664" s="61" t="n">
        <v>3</v>
      </c>
      <c r="G9664" s="62" t="n">
        <v>53.83</v>
      </c>
      <c r="H9664" s="63" t="n">
        <v>0.134</v>
      </c>
      <c r="I9664" s="62" t="n">
        <v>32.72</v>
      </c>
      <c r="J9664" s="58" t="inlineStr">
        <is>
          <t>Online</t>
        </is>
      </c>
      <c r="K9664" s="62">
        <f>F9664*(G9664-H9664)</f>
        <v/>
      </c>
      <c r="L9664" s="62">
        <f>K9664-(F9664*I9664)</f>
        <v/>
      </c>
      <c r="M9664" s="64">
        <f>L9664/K9664</f>
        <v/>
      </c>
    </row>
    <row r="9665">
      <c r="A9665" s="58" t="inlineStr">
        <is>
          <t>RT20250830-09664</t>
        </is>
      </c>
      <c r="B9665" s="59" t="inlineStr">
        <is>
          <t>2025-08-30</t>
        </is>
      </c>
      <c r="C9665" s="60" t="inlineStr">
        <is>
          <t>Nimbus Makeup Max-158</t>
        </is>
      </c>
      <c r="D9665" s="58" t="inlineStr">
        <is>
          <t>Beauty</t>
        </is>
      </c>
      <c r="E9665" s="58" t="inlineStr">
        <is>
          <t>North</t>
        </is>
      </c>
      <c r="F9665" s="61" t="n">
        <v>1</v>
      </c>
      <c r="G9665" s="62" t="n">
        <v>157.44</v>
      </c>
      <c r="H9665" s="63" t="n">
        <v>0.163</v>
      </c>
      <c r="I9665" s="62" t="n">
        <v>96.87</v>
      </c>
      <c r="J9665" s="58" t="inlineStr">
        <is>
          <t>Store</t>
        </is>
      </c>
      <c r="K9665" s="62">
        <f>F9665*(G9665-H9665)</f>
        <v/>
      </c>
      <c r="L9665" s="62">
        <f>K9665-(F9665*I9665)</f>
        <v/>
      </c>
      <c r="M9665" s="64">
        <f>L9665/K9665</f>
        <v/>
      </c>
    </row>
    <row r="9666">
      <c r="A9666" s="58" t="inlineStr">
        <is>
          <t>RT20250830-09665</t>
        </is>
      </c>
      <c r="B9666" s="59" t="inlineStr">
        <is>
          <t>2025-08-30</t>
        </is>
      </c>
      <c r="C9666" s="60" t="inlineStr">
        <is>
          <t>Falcon Skincare X-334</t>
        </is>
      </c>
      <c r="D9666" s="58" t="inlineStr">
        <is>
          <t>Beauty</t>
        </is>
      </c>
      <c r="E9666" s="58" t="inlineStr">
        <is>
          <t>South</t>
        </is>
      </c>
      <c r="F9666" s="61" t="n">
        <v>1</v>
      </c>
      <c r="G9666" s="62" t="n">
        <v>105.02</v>
      </c>
      <c r="H9666" s="63" t="n">
        <v>0.147</v>
      </c>
      <c r="I9666" s="62" t="n">
        <v>64.43000000000001</v>
      </c>
      <c r="J9666" s="58" t="inlineStr">
        <is>
          <t>Online</t>
        </is>
      </c>
      <c r="K9666" s="62">
        <f>F9666*(G9666-H9666)</f>
        <v/>
      </c>
      <c r="L9666" s="62">
        <f>K9666-(F9666*I9666)</f>
        <v/>
      </c>
      <c r="M9666" s="64">
        <f>L9666/K9666</f>
        <v/>
      </c>
    </row>
    <row r="9667">
      <c r="A9667" s="58" t="inlineStr">
        <is>
          <t>RT20250830-09666</t>
        </is>
      </c>
      <c r="B9667" s="59" t="inlineStr">
        <is>
          <t>2025-08-30</t>
        </is>
      </c>
      <c r="C9667" s="60" t="inlineStr">
        <is>
          <t>Vertex Supplie X-513</t>
        </is>
      </c>
      <c r="D9667" s="58" t="inlineStr">
        <is>
          <t>Office</t>
        </is>
      </c>
      <c r="E9667" s="58" t="inlineStr">
        <is>
          <t>West</t>
        </is>
      </c>
      <c r="F9667" s="61" t="n">
        <v>1</v>
      </c>
      <c r="G9667" s="62" t="n">
        <v>400.4</v>
      </c>
      <c r="H9667" s="63" t="n">
        <v>0.153</v>
      </c>
      <c r="I9667" s="62" t="n">
        <v>275.28</v>
      </c>
      <c r="J9667" s="58" t="inlineStr">
        <is>
          <t>Online</t>
        </is>
      </c>
      <c r="K9667" s="62">
        <f>F9667*(G9667-H9667)</f>
        <v/>
      </c>
      <c r="L9667" s="62">
        <f>K9667-(F9667*I9667)</f>
        <v/>
      </c>
      <c r="M9667" s="64">
        <f>L9667/K9667</f>
        <v/>
      </c>
    </row>
    <row r="9668">
      <c r="A9668" s="58" t="inlineStr">
        <is>
          <t>RT20250830-09667</t>
        </is>
      </c>
      <c r="B9668" s="59" t="inlineStr">
        <is>
          <t>2025-08-30</t>
        </is>
      </c>
      <c r="C9668" s="60" t="inlineStr">
        <is>
          <t>Falcon Accessorie S-195</t>
        </is>
      </c>
      <c r="D9668" s="58" t="inlineStr">
        <is>
          <t>Apparel</t>
        </is>
      </c>
      <c r="E9668" s="58" t="inlineStr">
        <is>
          <t>West</t>
        </is>
      </c>
      <c r="F9668" s="61" t="n">
        <v>1</v>
      </c>
      <c r="G9668" s="62" t="n">
        <v>79.98</v>
      </c>
      <c r="H9668" s="63" t="n">
        <v>0.14</v>
      </c>
      <c r="I9668" s="62" t="n">
        <v>41.48</v>
      </c>
      <c r="J9668" s="58" t="inlineStr">
        <is>
          <t>Store</t>
        </is>
      </c>
      <c r="K9668" s="62">
        <f>F9668*(G9668-H9668)</f>
        <v/>
      </c>
      <c r="L9668" s="62">
        <f>K9668-(F9668*I9668)</f>
        <v/>
      </c>
      <c r="M9668" s="64">
        <f>L9668/K9668</f>
        <v/>
      </c>
    </row>
    <row r="9669">
      <c r="A9669" s="58" t="inlineStr">
        <is>
          <t>RT20250830-09668</t>
        </is>
      </c>
      <c r="B9669" s="59" t="inlineStr">
        <is>
          <t>2025-08-30</t>
        </is>
      </c>
      <c r="C9669" s="60" t="inlineStr">
        <is>
          <t>Polar Decor X-935</t>
        </is>
      </c>
      <c r="D9669" s="58" t="inlineStr">
        <is>
          <t>Home</t>
        </is>
      </c>
      <c r="E9669" s="58" t="inlineStr">
        <is>
          <t>South</t>
        </is>
      </c>
      <c r="F9669" s="61" t="n">
        <v>2</v>
      </c>
      <c r="G9669" s="62" t="n">
        <v>269.64</v>
      </c>
      <c r="H9669" s="63" t="n">
        <v>0.164</v>
      </c>
      <c r="I9669" s="62" t="n">
        <v>202.88</v>
      </c>
      <c r="J9669" s="58" t="inlineStr">
        <is>
          <t>Online</t>
        </is>
      </c>
      <c r="K9669" s="62">
        <f>F9669*(G9669-H9669)</f>
        <v/>
      </c>
      <c r="L9669" s="62">
        <f>K9669-(F9669*I9669)</f>
        <v/>
      </c>
      <c r="M9669" s="64">
        <f>L9669/K9669</f>
        <v/>
      </c>
    </row>
    <row r="9670">
      <c r="A9670" s="58" t="inlineStr">
        <is>
          <t>RT20250830-09669</t>
        </is>
      </c>
      <c r="B9670" s="59" t="inlineStr">
        <is>
          <t>2025-08-30</t>
        </is>
      </c>
      <c r="C9670" s="60" t="inlineStr">
        <is>
          <t>Metro Pantry X-710</t>
        </is>
      </c>
      <c r="D9670" s="58" t="inlineStr">
        <is>
          <t>Grocery</t>
        </is>
      </c>
      <c r="E9670" s="58" t="inlineStr">
        <is>
          <t>North</t>
        </is>
      </c>
      <c r="F9670" s="61" t="n">
        <v>5</v>
      </c>
      <c r="G9670" s="62" t="n">
        <v>5.96</v>
      </c>
      <c r="H9670" s="63" t="n">
        <v>0.144</v>
      </c>
      <c r="I9670" s="62" t="n">
        <v>4.11</v>
      </c>
      <c r="J9670" s="58" t="inlineStr">
        <is>
          <t>Store</t>
        </is>
      </c>
      <c r="K9670" s="62">
        <f>F9670*(G9670-H9670)</f>
        <v/>
      </c>
      <c r="L9670" s="62">
        <f>K9670-(F9670*I9670)</f>
        <v/>
      </c>
      <c r="M9670" s="64">
        <f>L9670/K9670</f>
        <v/>
      </c>
    </row>
    <row r="9671">
      <c r="A9671" s="58" t="inlineStr">
        <is>
          <t>RT20250830-09670</t>
        </is>
      </c>
      <c r="B9671" s="59" t="inlineStr">
        <is>
          <t>2025-08-30</t>
        </is>
      </c>
      <c r="C9671" s="60" t="inlineStr">
        <is>
          <t>Vertex Accessorie Pro-881</t>
        </is>
      </c>
      <c r="D9671" s="58" t="inlineStr">
        <is>
          <t>Apparel</t>
        </is>
      </c>
      <c r="E9671" s="58" t="inlineStr">
        <is>
          <t>South</t>
        </is>
      </c>
      <c r="F9671" s="61" t="n">
        <v>1</v>
      </c>
      <c r="G9671" s="62" t="n">
        <v>121.31</v>
      </c>
      <c r="H9671" s="63" t="n">
        <v>0.187</v>
      </c>
      <c r="I9671" s="62" t="n">
        <v>63.93</v>
      </c>
      <c r="J9671" s="58" t="inlineStr">
        <is>
          <t>Online</t>
        </is>
      </c>
      <c r="K9671" s="62">
        <f>F9671*(G9671-H9671)</f>
        <v/>
      </c>
      <c r="L9671" s="62">
        <f>K9671-(F9671*I9671)</f>
        <v/>
      </c>
      <c r="M9671" s="64">
        <f>L9671/K9671</f>
        <v/>
      </c>
    </row>
    <row r="9672">
      <c r="A9672" s="58" t="inlineStr">
        <is>
          <t>RT20250830-09671</t>
        </is>
      </c>
      <c r="B9672" s="59" t="inlineStr">
        <is>
          <t>2025-08-30</t>
        </is>
      </c>
      <c r="C9672" s="60" t="inlineStr">
        <is>
          <t>Solace Smartphone Lite-533</t>
        </is>
      </c>
      <c r="D9672" s="58" t="inlineStr">
        <is>
          <t>Electronics</t>
        </is>
      </c>
      <c r="E9672" s="58" t="inlineStr">
        <is>
          <t>East</t>
        </is>
      </c>
      <c r="F9672" s="61" t="n">
        <v>1</v>
      </c>
      <c r="G9672" s="62" t="n">
        <v>998.78</v>
      </c>
      <c r="H9672" s="63" t="n">
        <v>0.169</v>
      </c>
      <c r="I9672" s="62" t="n">
        <v>805.8099999999999</v>
      </c>
      <c r="J9672" s="58" t="inlineStr">
        <is>
          <t>Online</t>
        </is>
      </c>
      <c r="K9672" s="62">
        <f>F9672*(G9672-H9672)</f>
        <v/>
      </c>
      <c r="L9672" s="62">
        <f>K9672-(F9672*I9672)</f>
        <v/>
      </c>
      <c r="M9672" s="64">
        <f>L9672/K9672</f>
        <v/>
      </c>
    </row>
    <row r="9673">
      <c r="A9673" s="58" t="inlineStr">
        <is>
          <t>RT20250830-09672</t>
        </is>
      </c>
      <c r="B9673" s="59" t="inlineStr">
        <is>
          <t>2025-08-30</t>
        </is>
      </c>
      <c r="C9673" s="60" t="inlineStr">
        <is>
          <t>Falcon Headphone Plus-789</t>
        </is>
      </c>
      <c r="D9673" s="58" t="inlineStr">
        <is>
          <t>Electronics</t>
        </is>
      </c>
      <c r="E9673" s="58" t="inlineStr">
        <is>
          <t>West</t>
        </is>
      </c>
      <c r="F9673" s="61" t="n">
        <v>1</v>
      </c>
      <c r="G9673" s="62" t="n">
        <v>1598.22</v>
      </c>
      <c r="H9673" s="63" t="n">
        <v>0.163</v>
      </c>
      <c r="I9673" s="62" t="n">
        <v>1298.74</v>
      </c>
      <c r="J9673" s="58" t="inlineStr">
        <is>
          <t>Store</t>
        </is>
      </c>
      <c r="K9673" s="62">
        <f>F9673*(G9673-H9673)</f>
        <v/>
      </c>
      <c r="L9673" s="62">
        <f>K9673-(F9673*I9673)</f>
        <v/>
      </c>
      <c r="M9673" s="64">
        <f>L9673/K9673</f>
        <v/>
      </c>
    </row>
    <row r="9674">
      <c r="A9674" s="58" t="inlineStr">
        <is>
          <t>RT20250830-09673</t>
        </is>
      </c>
      <c r="B9674" s="59" t="inlineStr">
        <is>
          <t>2025-08-30</t>
        </is>
      </c>
      <c r="C9674" s="60" t="inlineStr">
        <is>
          <t>Falcon Cycling Pro-499</t>
        </is>
      </c>
      <c r="D9674" s="58" t="inlineStr">
        <is>
          <t>Sports</t>
        </is>
      </c>
      <c r="E9674" s="58" t="inlineStr">
        <is>
          <t>Central</t>
        </is>
      </c>
      <c r="F9674" s="61" t="n">
        <v>1</v>
      </c>
      <c r="G9674" s="62" t="n">
        <v>666.28</v>
      </c>
      <c r="H9674" s="63" t="n">
        <v>0.135</v>
      </c>
      <c r="I9674" s="62" t="n">
        <v>394.67</v>
      </c>
      <c r="J9674" s="58" t="inlineStr">
        <is>
          <t>Online</t>
        </is>
      </c>
      <c r="K9674" s="62">
        <f>F9674*(G9674-H9674)</f>
        <v/>
      </c>
      <c r="L9674" s="62">
        <f>K9674-(F9674*I9674)</f>
        <v/>
      </c>
      <c r="M9674" s="64">
        <f>L9674/K9674</f>
        <v/>
      </c>
    </row>
    <row r="9675">
      <c r="A9675" s="58" t="inlineStr">
        <is>
          <t>RT20250830-09674</t>
        </is>
      </c>
      <c r="B9675" s="59" t="inlineStr">
        <is>
          <t>2025-08-30</t>
        </is>
      </c>
      <c r="C9675" s="60" t="inlineStr">
        <is>
          <t>Falcon Storage X-734</t>
        </is>
      </c>
      <c r="D9675" s="58" t="inlineStr">
        <is>
          <t>Office</t>
        </is>
      </c>
      <c r="E9675" s="58" t="inlineStr">
        <is>
          <t>East</t>
        </is>
      </c>
      <c r="F9675" s="61" t="n">
        <v>1</v>
      </c>
      <c r="G9675" s="62" t="n">
        <v>415.27</v>
      </c>
      <c r="H9675" s="63" t="n">
        <v>0.151</v>
      </c>
      <c r="I9675" s="62" t="n">
        <v>277.94</v>
      </c>
      <c r="J9675" s="58" t="inlineStr">
        <is>
          <t>Online</t>
        </is>
      </c>
      <c r="K9675" s="62">
        <f>F9675*(G9675-H9675)</f>
        <v/>
      </c>
      <c r="L9675" s="62">
        <f>K9675-(F9675*I9675)</f>
        <v/>
      </c>
      <c r="M9675" s="64">
        <f>L9675/K9675</f>
        <v/>
      </c>
    </row>
    <row r="9676">
      <c r="A9676" s="58" t="inlineStr">
        <is>
          <t>RT20250830-09675</t>
        </is>
      </c>
      <c r="B9676" s="59" t="inlineStr">
        <is>
          <t>2025-08-30</t>
        </is>
      </c>
      <c r="C9676" s="60" t="inlineStr">
        <is>
          <t>Solace Smartphone Lite-533</t>
        </is>
      </c>
      <c r="D9676" s="58" t="inlineStr">
        <is>
          <t>Electronics</t>
        </is>
      </c>
      <c r="E9676" s="58" t="inlineStr">
        <is>
          <t>South</t>
        </is>
      </c>
      <c r="F9676" s="61" t="n">
        <v>2</v>
      </c>
      <c r="G9676" s="62" t="n">
        <v>1224.77</v>
      </c>
      <c r="H9676" s="63" t="n">
        <v>0.151</v>
      </c>
      <c r="I9676" s="62" t="n">
        <v>922.74</v>
      </c>
      <c r="J9676" s="58" t="inlineStr">
        <is>
          <t>Online</t>
        </is>
      </c>
      <c r="K9676" s="62">
        <f>F9676*(G9676-H9676)</f>
        <v/>
      </c>
      <c r="L9676" s="62">
        <f>K9676-(F9676*I9676)</f>
        <v/>
      </c>
      <c r="M9676" s="64">
        <f>L9676/K9676</f>
        <v/>
      </c>
    </row>
    <row r="9677">
      <c r="A9677" s="58" t="inlineStr">
        <is>
          <t>RT20250830-09676</t>
        </is>
      </c>
      <c r="B9677" s="59" t="inlineStr">
        <is>
          <t>2025-08-30</t>
        </is>
      </c>
      <c r="C9677" s="60" t="inlineStr">
        <is>
          <t>Orion Kid Max-640</t>
        </is>
      </c>
      <c r="D9677" s="58" t="inlineStr">
        <is>
          <t>Apparel</t>
        </is>
      </c>
      <c r="E9677" s="58" t="inlineStr">
        <is>
          <t>Central</t>
        </is>
      </c>
      <c r="F9677" s="61" t="n">
        <v>1</v>
      </c>
      <c r="G9677" s="62" t="n">
        <v>131.08</v>
      </c>
      <c r="H9677" s="63" t="n">
        <v>0.136</v>
      </c>
      <c r="I9677" s="62" t="n">
        <v>71.98</v>
      </c>
      <c r="J9677" s="58" t="inlineStr">
        <is>
          <t>Store</t>
        </is>
      </c>
      <c r="K9677" s="62">
        <f>F9677*(G9677-H9677)</f>
        <v/>
      </c>
      <c r="L9677" s="62">
        <f>K9677-(F9677*I9677)</f>
        <v/>
      </c>
      <c r="M9677" s="64">
        <f>L9677/K9677</f>
        <v/>
      </c>
    </row>
    <row r="9678">
      <c r="A9678" s="58" t="inlineStr">
        <is>
          <t>RT20250830-09677</t>
        </is>
      </c>
      <c r="B9678" s="59" t="inlineStr">
        <is>
          <t>2025-08-30</t>
        </is>
      </c>
      <c r="C9678" s="60" t="inlineStr">
        <is>
          <t>Orion Kid Max-864</t>
        </is>
      </c>
      <c r="D9678" s="58" t="inlineStr">
        <is>
          <t>Apparel</t>
        </is>
      </c>
      <c r="E9678" s="58" t="inlineStr">
        <is>
          <t>East</t>
        </is>
      </c>
      <c r="F9678" s="61" t="n">
        <v>1</v>
      </c>
      <c r="G9678" s="62" t="n">
        <v>85.41</v>
      </c>
      <c r="H9678" s="63" t="n">
        <v>0.175</v>
      </c>
      <c r="I9678" s="62" t="n">
        <v>45.77</v>
      </c>
      <c r="J9678" s="58" t="inlineStr">
        <is>
          <t>Store</t>
        </is>
      </c>
      <c r="K9678" s="62">
        <f>F9678*(G9678-H9678)</f>
        <v/>
      </c>
      <c r="L9678" s="62">
        <f>K9678-(F9678*I9678)</f>
        <v/>
      </c>
      <c r="M9678" s="64">
        <f>L9678/K9678</f>
        <v/>
      </c>
    </row>
    <row r="9679">
      <c r="A9679" s="58" t="inlineStr">
        <is>
          <t>RT20250830-09678</t>
        </is>
      </c>
      <c r="B9679" s="59" t="inlineStr">
        <is>
          <t>2025-08-30</t>
        </is>
      </c>
      <c r="C9679" s="60" t="inlineStr">
        <is>
          <t>Nimbus Storage Plus-646</t>
        </is>
      </c>
      <c r="D9679" s="58" t="inlineStr">
        <is>
          <t>Office</t>
        </is>
      </c>
      <c r="E9679" s="58" t="inlineStr">
        <is>
          <t>East</t>
        </is>
      </c>
      <c r="F9679" s="61" t="n">
        <v>2</v>
      </c>
      <c r="G9679" s="62" t="n">
        <v>408.06</v>
      </c>
      <c r="H9679" s="63" t="n">
        <v>0.138</v>
      </c>
      <c r="I9679" s="62" t="n">
        <v>318.59</v>
      </c>
      <c r="J9679" s="58" t="inlineStr">
        <is>
          <t>Online</t>
        </is>
      </c>
      <c r="K9679" s="62">
        <f>F9679*(G9679-H9679)</f>
        <v/>
      </c>
      <c r="L9679" s="62">
        <f>K9679-(F9679*I9679)</f>
        <v/>
      </c>
      <c r="M9679" s="64">
        <f>L9679/K9679</f>
        <v/>
      </c>
    </row>
    <row r="9680">
      <c r="A9680" s="58" t="inlineStr">
        <is>
          <t>RT20250830-09679</t>
        </is>
      </c>
      <c r="B9680" s="59" t="inlineStr">
        <is>
          <t>2025-08-30</t>
        </is>
      </c>
      <c r="C9680" s="60" t="inlineStr">
        <is>
          <t>Aurora Makeup Pro-489</t>
        </is>
      </c>
      <c r="D9680" s="58" t="inlineStr">
        <is>
          <t>Beauty</t>
        </is>
      </c>
      <c r="E9680" s="58" t="inlineStr">
        <is>
          <t>West</t>
        </is>
      </c>
      <c r="F9680" s="61" t="n">
        <v>5</v>
      </c>
      <c r="G9680" s="62" t="n">
        <v>107.9</v>
      </c>
      <c r="H9680" s="63" t="n">
        <v>0.163</v>
      </c>
      <c r="I9680" s="62" t="n">
        <v>65.28</v>
      </c>
      <c r="J9680" s="58" t="inlineStr">
        <is>
          <t>Store</t>
        </is>
      </c>
      <c r="K9680" s="62">
        <f>F9680*(G9680-H9680)</f>
        <v/>
      </c>
      <c r="L9680" s="62">
        <f>K9680-(F9680*I9680)</f>
        <v/>
      </c>
      <c r="M9680" s="64">
        <f>L9680/K9680</f>
        <v/>
      </c>
    </row>
    <row r="9681">
      <c r="A9681" s="58" t="inlineStr">
        <is>
          <t>RT20250830-09680</t>
        </is>
      </c>
      <c r="B9681" s="59" t="inlineStr">
        <is>
          <t>2025-08-30</t>
        </is>
      </c>
      <c r="C9681" s="60" t="inlineStr">
        <is>
          <t>Falcon Household Plus-796</t>
        </is>
      </c>
      <c r="D9681" s="58" t="inlineStr">
        <is>
          <t>Grocery</t>
        </is>
      </c>
      <c r="E9681" s="58" t="inlineStr">
        <is>
          <t>South</t>
        </is>
      </c>
      <c r="F9681" s="61" t="n">
        <v>1</v>
      </c>
      <c r="G9681" s="62" t="n">
        <v>21.39</v>
      </c>
      <c r="H9681" s="63" t="n">
        <v>0.194</v>
      </c>
      <c r="I9681" s="62" t="n">
        <v>16.74</v>
      </c>
      <c r="J9681" s="58" t="inlineStr">
        <is>
          <t>Online</t>
        </is>
      </c>
      <c r="K9681" s="62">
        <f>F9681*(G9681-H9681)</f>
        <v/>
      </c>
      <c r="L9681" s="62">
        <f>K9681-(F9681*I9681)</f>
        <v/>
      </c>
      <c r="M9681" s="64">
        <f>L9681/K9681</f>
        <v/>
      </c>
    </row>
    <row r="9682">
      <c r="A9682" s="58" t="inlineStr">
        <is>
          <t>RT20250830-09681</t>
        </is>
      </c>
      <c r="B9682" s="59" t="inlineStr">
        <is>
          <t>2025-08-30</t>
        </is>
      </c>
      <c r="C9682" s="60" t="inlineStr">
        <is>
          <t>Falcon Beverage Max-702</t>
        </is>
      </c>
      <c r="D9682" s="58" t="inlineStr">
        <is>
          <t>Grocery</t>
        </is>
      </c>
      <c r="E9682" s="58" t="inlineStr">
        <is>
          <t>West</t>
        </is>
      </c>
      <c r="F9682" s="61" t="n">
        <v>6</v>
      </c>
      <c r="G9682" s="62" t="n">
        <v>27.43</v>
      </c>
      <c r="H9682" s="63" t="n">
        <v>0.14</v>
      </c>
      <c r="I9682" s="62" t="n">
        <v>20.01</v>
      </c>
      <c r="J9682" s="58" t="inlineStr">
        <is>
          <t>Store</t>
        </is>
      </c>
      <c r="K9682" s="62">
        <f>F9682*(G9682-H9682)</f>
        <v/>
      </c>
      <c r="L9682" s="62">
        <f>K9682-(F9682*I9682)</f>
        <v/>
      </c>
      <c r="M9682" s="64">
        <f>L9682/K9682</f>
        <v/>
      </c>
    </row>
    <row r="9683">
      <c r="A9683" s="58" t="inlineStr">
        <is>
          <t>RT20250831-09682</t>
        </is>
      </c>
      <c r="B9683" s="59" t="inlineStr">
        <is>
          <t>2025-08-31</t>
        </is>
      </c>
      <c r="C9683" s="60" t="inlineStr">
        <is>
          <t>Falcon Household Plus-796</t>
        </is>
      </c>
      <c r="D9683" s="58" t="inlineStr">
        <is>
          <t>Grocery</t>
        </is>
      </c>
      <c r="E9683" s="58" t="inlineStr">
        <is>
          <t>East</t>
        </is>
      </c>
      <c r="F9683" s="61" t="n">
        <v>8</v>
      </c>
      <c r="G9683" s="62" t="n">
        <v>21.72</v>
      </c>
      <c r="H9683" s="63" t="n">
        <v>0.158</v>
      </c>
      <c r="I9683" s="62" t="n">
        <v>17.32</v>
      </c>
      <c r="J9683" s="58" t="inlineStr">
        <is>
          <t>Online</t>
        </is>
      </c>
      <c r="K9683" s="62">
        <f>F9683*(G9683-H9683)</f>
        <v/>
      </c>
      <c r="L9683" s="62">
        <f>K9683-(F9683*I9683)</f>
        <v/>
      </c>
      <c r="M9683" s="64">
        <f>L9683/K9683</f>
        <v/>
      </c>
    </row>
    <row r="9684">
      <c r="A9684" s="58" t="inlineStr">
        <is>
          <t>RT20250831-09683</t>
        </is>
      </c>
      <c r="B9684" s="59" t="inlineStr">
        <is>
          <t>2025-08-31</t>
        </is>
      </c>
      <c r="C9684" s="60" t="inlineStr">
        <is>
          <t>Polar Decor Plus-505</t>
        </is>
      </c>
      <c r="D9684" s="58" t="inlineStr">
        <is>
          <t>Home</t>
        </is>
      </c>
      <c r="E9684" s="58" t="inlineStr">
        <is>
          <t>East</t>
        </is>
      </c>
      <c r="F9684" s="61" t="n">
        <v>2</v>
      </c>
      <c r="G9684" s="62" t="n">
        <v>273.53</v>
      </c>
      <c r="H9684" s="63" t="n">
        <v>0.177</v>
      </c>
      <c r="I9684" s="62" t="n">
        <v>203</v>
      </c>
      <c r="J9684" s="58" t="inlineStr">
        <is>
          <t>Online</t>
        </is>
      </c>
      <c r="K9684" s="62">
        <f>F9684*(G9684-H9684)</f>
        <v/>
      </c>
      <c r="L9684" s="62">
        <f>K9684-(F9684*I9684)</f>
        <v/>
      </c>
      <c r="M9684" s="64">
        <f>L9684/K9684</f>
        <v/>
      </c>
    </row>
    <row r="9685">
      <c r="A9685" s="58" t="inlineStr">
        <is>
          <t>RT20250831-09684</t>
        </is>
      </c>
      <c r="B9685" s="59" t="inlineStr">
        <is>
          <t>2025-08-31</t>
        </is>
      </c>
      <c r="C9685" s="60" t="inlineStr">
        <is>
          <t>Polar Laptop Plus-984</t>
        </is>
      </c>
      <c r="D9685" s="58" t="inlineStr">
        <is>
          <t>Electronics</t>
        </is>
      </c>
      <c r="E9685" s="58" t="inlineStr">
        <is>
          <t>East</t>
        </is>
      </c>
      <c r="F9685" s="61" t="n">
        <v>2</v>
      </c>
      <c r="G9685" s="62" t="n">
        <v>1245.51</v>
      </c>
      <c r="H9685" s="63" t="n">
        <v>0.159</v>
      </c>
      <c r="I9685" s="62" t="n">
        <v>975.85</v>
      </c>
      <c r="J9685" s="58" t="inlineStr">
        <is>
          <t>Online</t>
        </is>
      </c>
      <c r="K9685" s="62">
        <f>F9685*(G9685-H9685)</f>
        <v/>
      </c>
      <c r="L9685" s="62">
        <f>K9685-(F9685*I9685)</f>
        <v/>
      </c>
      <c r="M9685" s="64">
        <f>L9685/K9685</f>
        <v/>
      </c>
    </row>
    <row r="9686">
      <c r="A9686" s="58" t="inlineStr">
        <is>
          <t>RT20250831-09685</t>
        </is>
      </c>
      <c r="B9686" s="59" t="inlineStr">
        <is>
          <t>2025-08-31</t>
        </is>
      </c>
      <c r="C9686" s="60" t="inlineStr">
        <is>
          <t>Polar Women Max-927</t>
        </is>
      </c>
      <c r="D9686" s="58" t="inlineStr">
        <is>
          <t>Apparel</t>
        </is>
      </c>
      <c r="E9686" s="58" t="inlineStr">
        <is>
          <t>East</t>
        </is>
      </c>
      <c r="F9686" s="61" t="n">
        <v>3</v>
      </c>
      <c r="G9686" s="62" t="n">
        <v>110.75</v>
      </c>
      <c r="H9686" s="63" t="n">
        <v>0.156</v>
      </c>
      <c r="I9686" s="62" t="n">
        <v>66.65000000000001</v>
      </c>
      <c r="J9686" s="58" t="inlineStr">
        <is>
          <t>Online</t>
        </is>
      </c>
      <c r="K9686" s="62">
        <f>F9686*(G9686-H9686)</f>
        <v/>
      </c>
      <c r="L9686" s="62">
        <f>K9686-(F9686*I9686)</f>
        <v/>
      </c>
      <c r="M9686" s="64">
        <f>L9686/K9686</f>
        <v/>
      </c>
    </row>
    <row r="9687">
      <c r="A9687" s="58" t="inlineStr">
        <is>
          <t>RT20250831-09686</t>
        </is>
      </c>
      <c r="B9687" s="59" t="inlineStr">
        <is>
          <t>2025-08-31</t>
        </is>
      </c>
      <c r="C9687" s="60" t="inlineStr">
        <is>
          <t>Polar Supplie Lite-348</t>
        </is>
      </c>
      <c r="D9687" s="58" t="inlineStr">
        <is>
          <t>Office</t>
        </is>
      </c>
      <c r="E9687" s="58" t="inlineStr">
        <is>
          <t>East</t>
        </is>
      </c>
      <c r="F9687" s="61" t="n">
        <v>2</v>
      </c>
      <c r="G9687" s="62" t="n">
        <v>426.12</v>
      </c>
      <c r="H9687" s="63" t="n">
        <v>0.175</v>
      </c>
      <c r="I9687" s="62" t="n">
        <v>307.63</v>
      </c>
      <c r="J9687" s="58" t="inlineStr">
        <is>
          <t>Store</t>
        </is>
      </c>
      <c r="K9687" s="62">
        <f>F9687*(G9687-H9687)</f>
        <v/>
      </c>
      <c r="L9687" s="62">
        <f>K9687-(F9687*I9687)</f>
        <v/>
      </c>
      <c r="M9687" s="64">
        <f>L9687/K9687</f>
        <v/>
      </c>
    </row>
    <row r="9688">
      <c r="A9688" s="58" t="inlineStr">
        <is>
          <t>RT20250831-09687</t>
        </is>
      </c>
      <c r="B9688" s="59" t="inlineStr">
        <is>
          <t>2025-08-31</t>
        </is>
      </c>
      <c r="C9688" s="60" t="inlineStr">
        <is>
          <t>Aurora Bedding Max-175</t>
        </is>
      </c>
      <c r="D9688" s="58" t="inlineStr">
        <is>
          <t>Home</t>
        </is>
      </c>
      <c r="E9688" s="58" t="inlineStr">
        <is>
          <t>Central</t>
        </is>
      </c>
      <c r="F9688" s="61" t="n">
        <v>2</v>
      </c>
      <c r="G9688" s="62" t="n">
        <v>603.39</v>
      </c>
      <c r="H9688" s="63" t="n">
        <v>0.154</v>
      </c>
      <c r="I9688" s="62" t="n">
        <v>422.27</v>
      </c>
      <c r="J9688" s="58" t="inlineStr">
        <is>
          <t>Store</t>
        </is>
      </c>
      <c r="K9688" s="62">
        <f>F9688*(G9688-H9688)</f>
        <v/>
      </c>
      <c r="L9688" s="62">
        <f>K9688-(F9688*I9688)</f>
        <v/>
      </c>
      <c r="M9688" s="64">
        <f>L9688/K9688</f>
        <v/>
      </c>
    </row>
    <row r="9689">
      <c r="A9689" s="58" t="inlineStr">
        <is>
          <t>RT20250831-09688</t>
        </is>
      </c>
      <c r="B9689" s="59" t="inlineStr">
        <is>
          <t>2025-08-31</t>
        </is>
      </c>
      <c r="C9689" s="60" t="inlineStr">
        <is>
          <t>Polar Beverage S-258</t>
        </is>
      </c>
      <c r="D9689" s="58" t="inlineStr">
        <is>
          <t>Grocery</t>
        </is>
      </c>
      <c r="E9689" s="58" t="inlineStr">
        <is>
          <t>East</t>
        </is>
      </c>
      <c r="F9689" s="61" t="n">
        <v>6</v>
      </c>
      <c r="G9689" s="62" t="n">
        <v>13.94</v>
      </c>
      <c r="H9689" s="63" t="n">
        <v>0.124</v>
      </c>
      <c r="I9689" s="62" t="n">
        <v>9.68</v>
      </c>
      <c r="J9689" s="58" t="inlineStr">
        <is>
          <t>Store</t>
        </is>
      </c>
      <c r="K9689" s="62">
        <f>F9689*(G9689-H9689)</f>
        <v/>
      </c>
      <c r="L9689" s="62">
        <f>K9689-(F9689*I9689)</f>
        <v/>
      </c>
      <c r="M9689" s="64">
        <f>L9689/K9689</f>
        <v/>
      </c>
    </row>
    <row r="9690">
      <c r="A9690" s="58" t="inlineStr">
        <is>
          <t>RT20250831-09689</t>
        </is>
      </c>
      <c r="B9690" s="59" t="inlineStr">
        <is>
          <t>2025-08-31</t>
        </is>
      </c>
      <c r="C9690" s="60" t="inlineStr">
        <is>
          <t>Polar Women Max-927</t>
        </is>
      </c>
      <c r="D9690" s="58" t="inlineStr">
        <is>
          <t>Apparel</t>
        </is>
      </c>
      <c r="E9690" s="58" t="inlineStr">
        <is>
          <t>East</t>
        </is>
      </c>
      <c r="F9690" s="61" t="n">
        <v>1</v>
      </c>
      <c r="G9690" s="62" t="n">
        <v>120.72</v>
      </c>
      <c r="H9690" s="63" t="n">
        <v>0.156</v>
      </c>
      <c r="I9690" s="62" t="n">
        <v>65.31</v>
      </c>
      <c r="J9690" s="58" t="inlineStr">
        <is>
          <t>Online</t>
        </is>
      </c>
      <c r="K9690" s="62">
        <f>F9690*(G9690-H9690)</f>
        <v/>
      </c>
      <c r="L9690" s="62">
        <f>K9690-(F9690*I9690)</f>
        <v/>
      </c>
      <c r="M9690" s="64">
        <f>L9690/K9690</f>
        <v/>
      </c>
    </row>
    <row r="9691">
      <c r="A9691" s="58" t="inlineStr">
        <is>
          <t>RT20250831-09690</t>
        </is>
      </c>
      <c r="B9691" s="59" t="inlineStr">
        <is>
          <t>2025-08-31</t>
        </is>
      </c>
      <c r="C9691" s="60" t="inlineStr">
        <is>
          <t>Aurora Bedding Max-175</t>
        </is>
      </c>
      <c r="D9691" s="58" t="inlineStr">
        <is>
          <t>Home</t>
        </is>
      </c>
      <c r="E9691" s="58" t="inlineStr">
        <is>
          <t>West</t>
        </is>
      </c>
      <c r="F9691" s="61" t="n">
        <v>2</v>
      </c>
      <c r="G9691" s="62" t="n">
        <v>651.61</v>
      </c>
      <c r="H9691" s="63" t="n">
        <v>0.16</v>
      </c>
      <c r="I9691" s="62" t="n">
        <v>423.47</v>
      </c>
      <c r="J9691" s="58" t="inlineStr">
        <is>
          <t>Phone</t>
        </is>
      </c>
      <c r="K9691" s="62">
        <f>F9691*(G9691-H9691)</f>
        <v/>
      </c>
      <c r="L9691" s="62">
        <f>K9691-(F9691*I9691)</f>
        <v/>
      </c>
      <c r="M9691" s="64">
        <f>L9691/K9691</f>
        <v/>
      </c>
    </row>
    <row r="9692">
      <c r="A9692" s="58" t="inlineStr">
        <is>
          <t>RT20250831-09691</t>
        </is>
      </c>
      <c r="B9692" s="59" t="inlineStr">
        <is>
          <t>2025-08-31</t>
        </is>
      </c>
      <c r="C9692" s="60" t="inlineStr">
        <is>
          <t>Polar Laptop Plus-984</t>
        </is>
      </c>
      <c r="D9692" s="58" t="inlineStr">
        <is>
          <t>Electronics</t>
        </is>
      </c>
      <c r="E9692" s="58" t="inlineStr">
        <is>
          <t>Central</t>
        </is>
      </c>
      <c r="F9692" s="61" t="n">
        <v>2</v>
      </c>
      <c r="G9692" s="62" t="n">
        <v>1279.47</v>
      </c>
      <c r="H9692" s="63" t="n">
        <v>0.097</v>
      </c>
      <c r="I9692" s="62" t="n">
        <v>986.6799999999999</v>
      </c>
      <c r="J9692" s="58" t="inlineStr">
        <is>
          <t>Store</t>
        </is>
      </c>
      <c r="K9692" s="62">
        <f>F9692*(G9692-H9692)</f>
        <v/>
      </c>
      <c r="L9692" s="62">
        <f>K9692-(F9692*I9692)</f>
        <v/>
      </c>
      <c r="M9692" s="64">
        <f>L9692/K9692</f>
        <v/>
      </c>
    </row>
    <row r="9693">
      <c r="A9693" s="58" t="inlineStr">
        <is>
          <t>RT20250831-09692</t>
        </is>
      </c>
      <c r="B9693" s="59" t="inlineStr">
        <is>
          <t>2025-08-31</t>
        </is>
      </c>
      <c r="C9693" s="60" t="inlineStr">
        <is>
          <t>Falcon Cycling Pro-499</t>
        </is>
      </c>
      <c r="D9693" s="58" t="inlineStr">
        <is>
          <t>Sports</t>
        </is>
      </c>
      <c r="E9693" s="58" t="inlineStr">
        <is>
          <t>South</t>
        </is>
      </c>
      <c r="F9693" s="61" t="n">
        <v>1</v>
      </c>
      <c r="G9693" s="62" t="n">
        <v>550.95</v>
      </c>
      <c r="H9693" s="63" t="n">
        <v>0.16</v>
      </c>
      <c r="I9693" s="62" t="n">
        <v>415.98</v>
      </c>
      <c r="J9693" s="58" t="inlineStr">
        <is>
          <t>Online</t>
        </is>
      </c>
      <c r="K9693" s="62">
        <f>F9693*(G9693-H9693)</f>
        <v/>
      </c>
      <c r="L9693" s="62">
        <f>K9693-(F9693*I9693)</f>
        <v/>
      </c>
      <c r="M9693" s="64">
        <f>L9693/K9693</f>
        <v/>
      </c>
    </row>
    <row r="9694">
      <c r="A9694" s="58" t="inlineStr">
        <is>
          <t>RT20250831-09693</t>
        </is>
      </c>
      <c r="B9694" s="59" t="inlineStr">
        <is>
          <t>2025-08-31</t>
        </is>
      </c>
      <c r="C9694" s="60" t="inlineStr">
        <is>
          <t>Polar Bedding Lite-243</t>
        </is>
      </c>
      <c r="D9694" s="58" t="inlineStr">
        <is>
          <t>Home</t>
        </is>
      </c>
      <c r="E9694" s="58" t="inlineStr">
        <is>
          <t>East</t>
        </is>
      </c>
      <c r="F9694" s="61" t="n">
        <v>2</v>
      </c>
      <c r="G9694" s="62" t="n">
        <v>431.47</v>
      </c>
      <c r="H9694" s="63" t="n">
        <v>0.114</v>
      </c>
      <c r="I9694" s="62" t="n">
        <v>318.36</v>
      </c>
      <c r="J9694" s="58" t="inlineStr">
        <is>
          <t>Online</t>
        </is>
      </c>
      <c r="K9694" s="62">
        <f>F9694*(G9694-H9694)</f>
        <v/>
      </c>
      <c r="L9694" s="62">
        <f>K9694-(F9694*I9694)</f>
        <v/>
      </c>
      <c r="M9694" s="64">
        <f>L9694/K9694</f>
        <v/>
      </c>
    </row>
    <row r="9695">
      <c r="A9695" s="58" t="inlineStr">
        <is>
          <t>RT20250831-09694</t>
        </is>
      </c>
      <c r="B9695" s="59" t="inlineStr">
        <is>
          <t>2025-08-31</t>
        </is>
      </c>
      <c r="C9695" s="60" t="inlineStr">
        <is>
          <t>Metro Smartphone Max-773</t>
        </is>
      </c>
      <c r="D9695" s="58" t="inlineStr">
        <is>
          <t>Electronics</t>
        </is>
      </c>
      <c r="E9695" s="58" t="inlineStr">
        <is>
          <t>South</t>
        </is>
      </c>
      <c r="F9695" s="61" t="n">
        <v>2</v>
      </c>
      <c r="G9695" s="62" t="n">
        <v>1429.05</v>
      </c>
      <c r="H9695" s="63" t="n">
        <v>0.177</v>
      </c>
      <c r="I9695" s="62" t="n">
        <v>1141.85</v>
      </c>
      <c r="J9695" s="58" t="inlineStr">
        <is>
          <t>Store</t>
        </is>
      </c>
      <c r="K9695" s="62">
        <f>F9695*(G9695-H9695)</f>
        <v/>
      </c>
      <c r="L9695" s="62">
        <f>K9695-(F9695*I9695)</f>
        <v/>
      </c>
      <c r="M9695" s="64">
        <f>L9695/K9695</f>
        <v/>
      </c>
    </row>
    <row r="9696">
      <c r="A9696" s="58" t="inlineStr">
        <is>
          <t>RT20250831-09695</t>
        </is>
      </c>
      <c r="B9696" s="59" t="inlineStr">
        <is>
          <t>2025-08-31</t>
        </is>
      </c>
      <c r="C9696" s="60" t="inlineStr">
        <is>
          <t>Aurora Appliance Max-316</t>
        </is>
      </c>
      <c r="D9696" s="58" t="inlineStr">
        <is>
          <t>Home</t>
        </is>
      </c>
      <c r="E9696" s="58" t="inlineStr">
        <is>
          <t>Central</t>
        </is>
      </c>
      <c r="F9696" s="61" t="n">
        <v>2</v>
      </c>
      <c r="G9696" s="62" t="n">
        <v>315.4</v>
      </c>
      <c r="H9696" s="63" t="n">
        <v>0.194</v>
      </c>
      <c r="I9696" s="62" t="n">
        <v>220.07</v>
      </c>
      <c r="J9696" s="58" t="inlineStr">
        <is>
          <t>Online</t>
        </is>
      </c>
      <c r="K9696" s="62">
        <f>F9696*(G9696-H9696)</f>
        <v/>
      </c>
      <c r="L9696" s="62">
        <f>K9696-(F9696*I9696)</f>
        <v/>
      </c>
      <c r="M9696" s="64">
        <f>L9696/K9696</f>
        <v/>
      </c>
    </row>
    <row r="9697">
      <c r="A9697" s="58" t="inlineStr">
        <is>
          <t>RT20250831-09696</t>
        </is>
      </c>
      <c r="B9697" s="59" t="inlineStr">
        <is>
          <t>2025-08-31</t>
        </is>
      </c>
      <c r="C9697" s="60" t="inlineStr">
        <is>
          <t>Solace Kitchen Pro-999</t>
        </is>
      </c>
      <c r="D9697" s="58" t="inlineStr">
        <is>
          <t>Home</t>
        </is>
      </c>
      <c r="E9697" s="58" t="inlineStr">
        <is>
          <t>East</t>
        </is>
      </c>
      <c r="F9697" s="61" t="n">
        <v>1</v>
      </c>
      <c r="G9697" s="62" t="n">
        <v>436.6</v>
      </c>
      <c r="H9697" s="63" t="n">
        <v>0.152</v>
      </c>
      <c r="I9697" s="62" t="n">
        <v>267.74</v>
      </c>
      <c r="J9697" s="58" t="inlineStr">
        <is>
          <t>Online</t>
        </is>
      </c>
      <c r="K9697" s="62">
        <f>F9697*(G9697-H9697)</f>
        <v/>
      </c>
      <c r="L9697" s="62">
        <f>K9697-(F9697*I9697)</f>
        <v/>
      </c>
      <c r="M9697" s="64">
        <f>L9697/K9697</f>
        <v/>
      </c>
    </row>
    <row r="9698">
      <c r="A9698" s="58" t="inlineStr">
        <is>
          <t>RT20250831-09697</t>
        </is>
      </c>
      <c r="B9698" s="59" t="inlineStr">
        <is>
          <t>2025-08-31</t>
        </is>
      </c>
      <c r="C9698" s="60" t="inlineStr">
        <is>
          <t>Vertex Furniture S-652</t>
        </is>
      </c>
      <c r="D9698" s="58" t="inlineStr">
        <is>
          <t>Office</t>
        </is>
      </c>
      <c r="E9698" s="58" t="inlineStr">
        <is>
          <t>East</t>
        </is>
      </c>
      <c r="F9698" s="61" t="n">
        <v>3</v>
      </c>
      <c r="G9698" s="62" t="n">
        <v>415.24</v>
      </c>
      <c r="H9698" s="63" t="n">
        <v>0.152</v>
      </c>
      <c r="I9698" s="62" t="n">
        <v>266.02</v>
      </c>
      <c r="J9698" s="58" t="inlineStr">
        <is>
          <t>Store</t>
        </is>
      </c>
      <c r="K9698" s="62">
        <f>F9698*(G9698-H9698)</f>
        <v/>
      </c>
      <c r="L9698" s="62">
        <f>K9698-(F9698*I9698)</f>
        <v/>
      </c>
      <c r="M9698" s="64">
        <f>L9698/K9698</f>
        <v/>
      </c>
    </row>
    <row r="9699">
      <c r="A9699" s="58" t="inlineStr">
        <is>
          <t>RT20250831-09698</t>
        </is>
      </c>
      <c r="B9699" s="59" t="inlineStr">
        <is>
          <t>2025-08-31</t>
        </is>
      </c>
      <c r="C9699" s="60" t="inlineStr">
        <is>
          <t>Falcon Household Plus-172</t>
        </is>
      </c>
      <c r="D9699" s="58" t="inlineStr">
        <is>
          <t>Grocery</t>
        </is>
      </c>
      <c r="E9699" s="58" t="inlineStr">
        <is>
          <t>Central</t>
        </is>
      </c>
      <c r="F9699" s="61" t="n">
        <v>6</v>
      </c>
      <c r="G9699" s="62" t="n">
        <v>20.78</v>
      </c>
      <c r="H9699" s="63" t="n">
        <v>0.151</v>
      </c>
      <c r="I9699" s="62" t="n">
        <v>16.54</v>
      </c>
      <c r="J9699" s="58" t="inlineStr">
        <is>
          <t>Online</t>
        </is>
      </c>
      <c r="K9699" s="62">
        <f>F9699*(G9699-H9699)</f>
        <v/>
      </c>
      <c r="L9699" s="62">
        <f>K9699-(F9699*I9699)</f>
        <v/>
      </c>
      <c r="M9699" s="64">
        <f>L9699/K9699</f>
        <v/>
      </c>
    </row>
    <row r="9700">
      <c r="A9700" s="58" t="inlineStr">
        <is>
          <t>RT20250831-09699</t>
        </is>
      </c>
      <c r="B9700" s="59" t="inlineStr">
        <is>
          <t>2025-08-31</t>
        </is>
      </c>
      <c r="C9700" s="60" t="inlineStr">
        <is>
          <t>Orion Supplie S-612</t>
        </is>
      </c>
      <c r="D9700" s="58" t="inlineStr">
        <is>
          <t>Office</t>
        </is>
      </c>
      <c r="E9700" s="58" t="inlineStr">
        <is>
          <t>East</t>
        </is>
      </c>
      <c r="F9700" s="61" t="n">
        <v>2</v>
      </c>
      <c r="G9700" s="62" t="n">
        <v>449.24</v>
      </c>
      <c r="H9700" s="63" t="n">
        <v>0.166</v>
      </c>
      <c r="I9700" s="62" t="n">
        <v>339.23</v>
      </c>
      <c r="J9700" s="58" t="inlineStr">
        <is>
          <t>Online</t>
        </is>
      </c>
      <c r="K9700" s="62">
        <f>F9700*(G9700-H9700)</f>
        <v/>
      </c>
      <c r="L9700" s="62">
        <f>K9700-(F9700*I9700)</f>
        <v/>
      </c>
      <c r="M9700" s="64">
        <f>L9700/K9700</f>
        <v/>
      </c>
    </row>
    <row r="9701">
      <c r="A9701" s="58" t="inlineStr">
        <is>
          <t>RT20250831-09700</t>
        </is>
      </c>
      <c r="B9701" s="59" t="inlineStr">
        <is>
          <t>2025-08-31</t>
        </is>
      </c>
      <c r="C9701" s="60" t="inlineStr">
        <is>
          <t>Solace Team Sport Max-548</t>
        </is>
      </c>
      <c r="D9701" s="58" t="inlineStr">
        <is>
          <t>Sports</t>
        </is>
      </c>
      <c r="E9701" s="58" t="inlineStr">
        <is>
          <t>Central</t>
        </is>
      </c>
      <c r="F9701" s="61" t="n">
        <v>2</v>
      </c>
      <c r="G9701" s="62" t="n">
        <v>674.97</v>
      </c>
      <c r="H9701" s="63" t="n">
        <v>0.137</v>
      </c>
      <c r="I9701" s="62" t="n">
        <v>474.79</v>
      </c>
      <c r="J9701" s="58" t="inlineStr">
        <is>
          <t>Store</t>
        </is>
      </c>
      <c r="K9701" s="62">
        <f>F9701*(G9701-H9701)</f>
        <v/>
      </c>
      <c r="L9701" s="62">
        <f>K9701-(F9701*I9701)</f>
        <v/>
      </c>
      <c r="M9701" s="64">
        <f>L9701/K9701</f>
        <v/>
      </c>
    </row>
    <row r="9702">
      <c r="A9702" s="58" t="inlineStr">
        <is>
          <t>RT20250831-09701</t>
        </is>
      </c>
      <c r="B9702" s="59" t="inlineStr">
        <is>
          <t>2025-08-31</t>
        </is>
      </c>
      <c r="C9702" s="60" t="inlineStr">
        <is>
          <t>Metro Decor Lite-325</t>
        </is>
      </c>
      <c r="D9702" s="58" t="inlineStr">
        <is>
          <t>Home</t>
        </is>
      </c>
      <c r="E9702" s="58" t="inlineStr">
        <is>
          <t>South</t>
        </is>
      </c>
      <c r="F9702" s="61" t="n">
        <v>3</v>
      </c>
      <c r="G9702" s="62" t="n">
        <v>538.26</v>
      </c>
      <c r="H9702" s="63" t="n">
        <v>0.154</v>
      </c>
      <c r="I9702" s="62" t="n">
        <v>384.14</v>
      </c>
      <c r="J9702" s="58" t="inlineStr">
        <is>
          <t>Online</t>
        </is>
      </c>
      <c r="K9702" s="62">
        <f>F9702*(G9702-H9702)</f>
        <v/>
      </c>
      <c r="L9702" s="62">
        <f>K9702-(F9702*I9702)</f>
        <v/>
      </c>
      <c r="M9702" s="64">
        <f>L9702/K9702</f>
        <v/>
      </c>
    </row>
    <row r="9703">
      <c r="A9703" s="58" t="inlineStr">
        <is>
          <t>RT20250831-09702</t>
        </is>
      </c>
      <c r="B9703" s="59" t="inlineStr">
        <is>
          <t>2025-08-31</t>
        </is>
      </c>
      <c r="C9703" s="60" t="inlineStr">
        <is>
          <t>Orion Supplie S-612</t>
        </is>
      </c>
      <c r="D9703" s="58" t="inlineStr">
        <is>
          <t>Office</t>
        </is>
      </c>
      <c r="E9703" s="58" t="inlineStr">
        <is>
          <t>West</t>
        </is>
      </c>
      <c r="F9703" s="61" t="n">
        <v>3</v>
      </c>
      <c r="G9703" s="62" t="n">
        <v>501.84</v>
      </c>
      <c r="H9703" s="63" t="n">
        <v>0.136</v>
      </c>
      <c r="I9703" s="62" t="n">
        <v>339</v>
      </c>
      <c r="J9703" s="58" t="inlineStr">
        <is>
          <t>Online</t>
        </is>
      </c>
      <c r="K9703" s="62">
        <f>F9703*(G9703-H9703)</f>
        <v/>
      </c>
      <c r="L9703" s="62">
        <f>K9703-(F9703*I9703)</f>
        <v/>
      </c>
      <c r="M9703" s="64">
        <f>L9703/K9703</f>
        <v/>
      </c>
    </row>
    <row r="9704">
      <c r="A9704" s="58" t="inlineStr">
        <is>
          <t>RT20250831-09703</t>
        </is>
      </c>
      <c r="B9704" s="59" t="inlineStr">
        <is>
          <t>2025-08-31</t>
        </is>
      </c>
      <c r="C9704" s="60" t="inlineStr">
        <is>
          <t>Aurora Fitnes Lite-194</t>
        </is>
      </c>
      <c r="D9704" s="58" t="inlineStr">
        <is>
          <t>Sports</t>
        </is>
      </c>
      <c r="E9704" s="58" t="inlineStr">
        <is>
          <t>West</t>
        </is>
      </c>
      <c r="F9704" s="61" t="n">
        <v>1</v>
      </c>
      <c r="G9704" s="62" t="n">
        <v>729.5</v>
      </c>
      <c r="H9704" s="63" t="n">
        <v>0.142</v>
      </c>
      <c r="I9704" s="62" t="n">
        <v>457.81</v>
      </c>
      <c r="J9704" s="58" t="inlineStr">
        <is>
          <t>Store</t>
        </is>
      </c>
      <c r="K9704" s="62">
        <f>F9704*(G9704-H9704)</f>
        <v/>
      </c>
      <c r="L9704" s="62">
        <f>K9704-(F9704*I9704)</f>
        <v/>
      </c>
      <c r="M9704" s="64">
        <f>L9704/K9704</f>
        <v/>
      </c>
    </row>
    <row r="9705">
      <c r="A9705" s="58" t="inlineStr">
        <is>
          <t>RT20250831-09704</t>
        </is>
      </c>
      <c r="B9705" s="59" t="inlineStr">
        <is>
          <t>2025-08-31</t>
        </is>
      </c>
      <c r="C9705" s="60" t="inlineStr">
        <is>
          <t>Polar Outdoor Lite-318</t>
        </is>
      </c>
      <c r="D9705" s="58" t="inlineStr">
        <is>
          <t>Sports</t>
        </is>
      </c>
      <c r="E9705" s="58" t="inlineStr">
        <is>
          <t>Central</t>
        </is>
      </c>
      <c r="F9705" s="61" t="n">
        <v>3</v>
      </c>
      <c r="G9705" s="62" t="n">
        <v>724.1900000000001</v>
      </c>
      <c r="H9705" s="63" t="n">
        <v>0.122</v>
      </c>
      <c r="I9705" s="62" t="n">
        <v>472.95</v>
      </c>
      <c r="J9705" s="58" t="inlineStr">
        <is>
          <t>Online</t>
        </is>
      </c>
      <c r="K9705" s="62">
        <f>F9705*(G9705-H9705)</f>
        <v/>
      </c>
      <c r="L9705" s="62">
        <f>K9705-(F9705*I9705)</f>
        <v/>
      </c>
      <c r="M9705" s="64">
        <f>L9705/K9705</f>
        <v/>
      </c>
    </row>
    <row r="9706">
      <c r="A9706" s="58" t="inlineStr">
        <is>
          <t>RT20250831-09705</t>
        </is>
      </c>
      <c r="B9706" s="59" t="inlineStr">
        <is>
          <t>2025-08-31</t>
        </is>
      </c>
      <c r="C9706" s="60" t="inlineStr">
        <is>
          <t>Aurora Makeup S-626</t>
        </is>
      </c>
      <c r="D9706" s="58" t="inlineStr">
        <is>
          <t>Beauty</t>
        </is>
      </c>
      <c r="E9706" s="58" t="inlineStr">
        <is>
          <t>South</t>
        </is>
      </c>
      <c r="F9706" s="61" t="n">
        <v>5</v>
      </c>
      <c r="G9706" s="62" t="n">
        <v>111.58</v>
      </c>
      <c r="H9706" s="63" t="n">
        <v>0.187</v>
      </c>
      <c r="I9706" s="62" t="n">
        <v>63.31</v>
      </c>
      <c r="J9706" s="58" t="inlineStr">
        <is>
          <t>Store</t>
        </is>
      </c>
      <c r="K9706" s="62">
        <f>F9706*(G9706-H9706)</f>
        <v/>
      </c>
      <c r="L9706" s="62">
        <f>K9706-(F9706*I9706)</f>
        <v/>
      </c>
      <c r="M9706" s="64">
        <f>L9706/K9706</f>
        <v/>
      </c>
    </row>
    <row r="9707">
      <c r="A9707" s="58" t="inlineStr">
        <is>
          <t>RT20250831-09706</t>
        </is>
      </c>
      <c r="B9707" s="59" t="inlineStr">
        <is>
          <t>2025-08-31</t>
        </is>
      </c>
      <c r="C9707" s="60" t="inlineStr">
        <is>
          <t>Nimbus Decor Lite-385</t>
        </is>
      </c>
      <c r="D9707" s="58" t="inlineStr">
        <is>
          <t>Home</t>
        </is>
      </c>
      <c r="E9707" s="58" t="inlineStr">
        <is>
          <t>North</t>
        </is>
      </c>
      <c r="F9707" s="61" t="n">
        <v>1</v>
      </c>
      <c r="G9707" s="62" t="n">
        <v>610.7</v>
      </c>
      <c r="H9707" s="63" t="n">
        <v>0.18</v>
      </c>
      <c r="I9707" s="62" t="n">
        <v>388.78</v>
      </c>
      <c r="J9707" s="58" t="inlineStr">
        <is>
          <t>Phone</t>
        </is>
      </c>
      <c r="K9707" s="62">
        <f>F9707*(G9707-H9707)</f>
        <v/>
      </c>
      <c r="L9707" s="62">
        <f>K9707-(F9707*I9707)</f>
        <v/>
      </c>
      <c r="M9707" s="64">
        <f>L9707/K9707</f>
        <v/>
      </c>
    </row>
    <row r="9708">
      <c r="A9708" s="58" t="inlineStr">
        <is>
          <t>RT20250831-09707</t>
        </is>
      </c>
      <c r="B9708" s="59" t="inlineStr">
        <is>
          <t>2025-08-31</t>
        </is>
      </c>
      <c r="C9708" s="60" t="inlineStr">
        <is>
          <t>Polar Snack Pro-641</t>
        </is>
      </c>
      <c r="D9708" s="58" t="inlineStr">
        <is>
          <t>Grocery</t>
        </is>
      </c>
      <c r="E9708" s="58" t="inlineStr">
        <is>
          <t>East</t>
        </is>
      </c>
      <c r="F9708" s="61" t="n">
        <v>2</v>
      </c>
      <c r="G9708" s="62" t="n">
        <v>12.69</v>
      </c>
      <c r="H9708" s="63" t="n">
        <v>0.196</v>
      </c>
      <c r="I9708" s="62" t="n">
        <v>9.69</v>
      </c>
      <c r="J9708" s="58" t="inlineStr">
        <is>
          <t>Online</t>
        </is>
      </c>
      <c r="K9708" s="62">
        <f>F9708*(G9708-H9708)</f>
        <v/>
      </c>
      <c r="L9708" s="62">
        <f>K9708-(F9708*I9708)</f>
        <v/>
      </c>
      <c r="M9708" s="64">
        <f>L9708/K9708</f>
        <v/>
      </c>
    </row>
    <row r="9709">
      <c r="A9709" s="58" t="inlineStr">
        <is>
          <t>RT20250831-09708</t>
        </is>
      </c>
      <c r="B9709" s="59" t="inlineStr">
        <is>
          <t>2025-08-31</t>
        </is>
      </c>
      <c r="C9709" s="60" t="inlineStr">
        <is>
          <t>Solace Kitchen X-919</t>
        </is>
      </c>
      <c r="D9709" s="58" t="inlineStr">
        <is>
          <t>Home</t>
        </is>
      </c>
      <c r="E9709" s="58" t="inlineStr">
        <is>
          <t>South</t>
        </is>
      </c>
      <c r="F9709" s="61" t="n">
        <v>2</v>
      </c>
      <c r="G9709" s="62" t="n">
        <v>374.1</v>
      </c>
      <c r="H9709" s="63" t="n">
        <v>0.11</v>
      </c>
      <c r="I9709" s="62" t="n">
        <v>266.23</v>
      </c>
      <c r="J9709" s="58" t="inlineStr">
        <is>
          <t>Online</t>
        </is>
      </c>
      <c r="K9709" s="62">
        <f>F9709*(G9709-H9709)</f>
        <v/>
      </c>
      <c r="L9709" s="62">
        <f>K9709-(F9709*I9709)</f>
        <v/>
      </c>
      <c r="M9709" s="64">
        <f>L9709/K9709</f>
        <v/>
      </c>
    </row>
    <row r="9710">
      <c r="A9710" s="58" t="inlineStr">
        <is>
          <t>RT20250831-09709</t>
        </is>
      </c>
      <c r="B9710" s="59" t="inlineStr">
        <is>
          <t>2025-08-31</t>
        </is>
      </c>
      <c r="C9710" s="60" t="inlineStr">
        <is>
          <t>Metro Fragrance Lite-261</t>
        </is>
      </c>
      <c r="D9710" s="58" t="inlineStr">
        <is>
          <t>Beauty</t>
        </is>
      </c>
      <c r="E9710" s="58" t="inlineStr">
        <is>
          <t>Central</t>
        </is>
      </c>
      <c r="F9710" s="61" t="n">
        <v>1</v>
      </c>
      <c r="G9710" s="62" t="n">
        <v>80.7</v>
      </c>
      <c r="H9710" s="63" t="n">
        <v>0.135</v>
      </c>
      <c r="I9710" s="62" t="n">
        <v>55.77</v>
      </c>
      <c r="J9710" s="58" t="inlineStr">
        <is>
          <t>Online</t>
        </is>
      </c>
      <c r="K9710" s="62">
        <f>F9710*(G9710-H9710)</f>
        <v/>
      </c>
      <c r="L9710" s="62">
        <f>K9710-(F9710*I9710)</f>
        <v/>
      </c>
      <c r="M9710" s="64">
        <f>L9710/K9710</f>
        <v/>
      </c>
    </row>
    <row r="9711">
      <c r="A9711" s="58" t="inlineStr">
        <is>
          <t>RT20250831-09710</t>
        </is>
      </c>
      <c r="B9711" s="59" t="inlineStr">
        <is>
          <t>2025-08-31</t>
        </is>
      </c>
      <c r="C9711" s="60" t="inlineStr">
        <is>
          <t>Solace Snack S-691</t>
        </is>
      </c>
      <c r="D9711" s="58" t="inlineStr">
        <is>
          <t>Grocery</t>
        </is>
      </c>
      <c r="E9711" s="58" t="inlineStr">
        <is>
          <t>East</t>
        </is>
      </c>
      <c r="F9711" s="61" t="n">
        <v>2</v>
      </c>
      <c r="G9711" s="62" t="n">
        <v>10.97</v>
      </c>
      <c r="H9711" s="63" t="n">
        <v>0.152</v>
      </c>
      <c r="I9711" s="62" t="n">
        <v>7.14</v>
      </c>
      <c r="J9711" s="58" t="inlineStr">
        <is>
          <t>Store</t>
        </is>
      </c>
      <c r="K9711" s="62">
        <f>F9711*(G9711-H9711)</f>
        <v/>
      </c>
      <c r="L9711" s="62">
        <f>K9711-(F9711*I9711)</f>
        <v/>
      </c>
      <c r="M9711" s="64">
        <f>L9711/K9711</f>
        <v/>
      </c>
    </row>
    <row r="9712">
      <c r="A9712" s="58" t="inlineStr">
        <is>
          <t>RT20250831-09711</t>
        </is>
      </c>
      <c r="B9712" s="59" t="inlineStr">
        <is>
          <t>2025-08-31</t>
        </is>
      </c>
      <c r="C9712" s="60" t="inlineStr">
        <is>
          <t>Aurora Bedding Plus-187</t>
        </is>
      </c>
      <c r="D9712" s="58" t="inlineStr">
        <is>
          <t>Home</t>
        </is>
      </c>
      <c r="E9712" s="58" t="inlineStr">
        <is>
          <t>West</t>
        </is>
      </c>
      <c r="F9712" s="61" t="n">
        <v>3</v>
      </c>
      <c r="G9712" s="62" t="n">
        <v>306.64</v>
      </c>
      <c r="H9712" s="63" t="n">
        <v>0.163</v>
      </c>
      <c r="I9712" s="62" t="n">
        <v>213.8</v>
      </c>
      <c r="J9712" s="58" t="inlineStr">
        <is>
          <t>Online</t>
        </is>
      </c>
      <c r="K9712" s="62">
        <f>F9712*(G9712-H9712)</f>
        <v/>
      </c>
      <c r="L9712" s="62">
        <f>K9712-(F9712*I9712)</f>
        <v/>
      </c>
      <c r="M9712" s="64">
        <f>L9712/K9712</f>
        <v/>
      </c>
    </row>
    <row r="9713">
      <c r="A9713" s="58" t="inlineStr">
        <is>
          <t>RT20250831-09712</t>
        </is>
      </c>
      <c r="B9713" s="59" t="inlineStr">
        <is>
          <t>2025-08-31</t>
        </is>
      </c>
      <c r="C9713" s="60" t="inlineStr">
        <is>
          <t>Vertex Smartphone Pro-256</t>
        </is>
      </c>
      <c r="D9713" s="58" t="inlineStr">
        <is>
          <t>Electronics</t>
        </is>
      </c>
      <c r="E9713" s="58" t="inlineStr">
        <is>
          <t>West</t>
        </is>
      </c>
      <c r="F9713" s="61" t="n">
        <v>2</v>
      </c>
      <c r="G9713" s="62" t="n">
        <v>1170.75</v>
      </c>
      <c r="H9713" s="63" t="n">
        <v>0.161</v>
      </c>
      <c r="I9713" s="62" t="n">
        <v>915.1</v>
      </c>
      <c r="J9713" s="58" t="inlineStr">
        <is>
          <t>Online</t>
        </is>
      </c>
      <c r="K9713" s="62">
        <f>F9713*(G9713-H9713)</f>
        <v/>
      </c>
      <c r="L9713" s="62">
        <f>K9713-(F9713*I9713)</f>
        <v/>
      </c>
      <c r="M9713" s="64">
        <f>L9713/K9713</f>
        <v/>
      </c>
    </row>
    <row r="9714">
      <c r="A9714" s="58" t="inlineStr">
        <is>
          <t>RT20250831-09713</t>
        </is>
      </c>
      <c r="B9714" s="59" t="inlineStr">
        <is>
          <t>2025-08-31</t>
        </is>
      </c>
      <c r="C9714" s="60" t="inlineStr">
        <is>
          <t>Nimbus Women Lite-814</t>
        </is>
      </c>
      <c r="D9714" s="58" t="inlineStr">
        <is>
          <t>Apparel</t>
        </is>
      </c>
      <c r="E9714" s="58" t="inlineStr">
        <is>
          <t>South</t>
        </is>
      </c>
      <c r="F9714" s="61" t="n">
        <v>4</v>
      </c>
      <c r="G9714" s="62" t="n">
        <v>150.93</v>
      </c>
      <c r="H9714" s="63" t="n">
        <v>0.106</v>
      </c>
      <c r="I9714" s="62" t="n">
        <v>84.16</v>
      </c>
      <c r="J9714" s="58" t="inlineStr">
        <is>
          <t>Store</t>
        </is>
      </c>
      <c r="K9714" s="62">
        <f>F9714*(G9714-H9714)</f>
        <v/>
      </c>
      <c r="L9714" s="62">
        <f>K9714-(F9714*I9714)</f>
        <v/>
      </c>
      <c r="M9714" s="64">
        <f>L9714/K9714</f>
        <v/>
      </c>
    </row>
    <row r="9715">
      <c r="A9715" s="58" t="inlineStr">
        <is>
          <t>RT20250831-09714</t>
        </is>
      </c>
      <c r="B9715" s="59" t="inlineStr">
        <is>
          <t>2025-08-31</t>
        </is>
      </c>
      <c r="C9715" s="60" t="inlineStr">
        <is>
          <t>Polar Laptop Plus-984</t>
        </is>
      </c>
      <c r="D9715" s="58" t="inlineStr">
        <is>
          <t>Electronics</t>
        </is>
      </c>
      <c r="E9715" s="58" t="inlineStr">
        <is>
          <t>North</t>
        </is>
      </c>
      <c r="F9715" s="61" t="n">
        <v>1</v>
      </c>
      <c r="G9715" s="62" t="n">
        <v>1175.01</v>
      </c>
      <c r="H9715" s="63" t="n">
        <v>0.145</v>
      </c>
      <c r="I9715" s="62" t="n">
        <v>975.38</v>
      </c>
      <c r="J9715" s="58" t="inlineStr">
        <is>
          <t>Online</t>
        </is>
      </c>
      <c r="K9715" s="62">
        <f>F9715*(G9715-H9715)</f>
        <v/>
      </c>
      <c r="L9715" s="62">
        <f>K9715-(F9715*I9715)</f>
        <v/>
      </c>
      <c r="M9715" s="64">
        <f>L9715/K9715</f>
        <v/>
      </c>
    </row>
    <row r="9716">
      <c r="A9716" s="58" t="inlineStr">
        <is>
          <t>RT20250831-09715</t>
        </is>
      </c>
      <c r="B9716" s="59" t="inlineStr">
        <is>
          <t>2025-08-31</t>
        </is>
      </c>
      <c r="C9716" s="60" t="inlineStr">
        <is>
          <t>Falcon Headphone Pro-713</t>
        </is>
      </c>
      <c r="D9716" s="58" t="inlineStr">
        <is>
          <t>Electronics</t>
        </is>
      </c>
      <c r="E9716" s="58" t="inlineStr">
        <is>
          <t>South</t>
        </is>
      </c>
      <c r="F9716" s="61" t="n">
        <v>1</v>
      </c>
      <c r="G9716" s="62" t="n">
        <v>1726.33</v>
      </c>
      <c r="H9716" s="63" t="n">
        <v>0.173</v>
      </c>
      <c r="I9716" s="62" t="n">
        <v>1195.03</v>
      </c>
      <c r="J9716" s="58" t="inlineStr">
        <is>
          <t>Phone</t>
        </is>
      </c>
      <c r="K9716" s="62">
        <f>F9716*(G9716-H9716)</f>
        <v/>
      </c>
      <c r="L9716" s="62">
        <f>K9716-(F9716*I9716)</f>
        <v/>
      </c>
      <c r="M9716" s="64">
        <f>L9716/K9716</f>
        <v/>
      </c>
    </row>
    <row r="9717">
      <c r="A9717" s="58" t="inlineStr">
        <is>
          <t>RT20250831-09716</t>
        </is>
      </c>
      <c r="B9717" s="59" t="inlineStr">
        <is>
          <t>2025-08-31</t>
        </is>
      </c>
      <c r="C9717" s="60" t="inlineStr">
        <is>
          <t>Orion Men X-928</t>
        </is>
      </c>
      <c r="D9717" s="58" t="inlineStr">
        <is>
          <t>Apparel</t>
        </is>
      </c>
      <c r="E9717" s="58" t="inlineStr">
        <is>
          <t>Central</t>
        </is>
      </c>
      <c r="F9717" s="61" t="n">
        <v>2</v>
      </c>
      <c r="G9717" s="62" t="n">
        <v>113.39</v>
      </c>
      <c r="H9717" s="63" t="n">
        <v>0.189</v>
      </c>
      <c r="I9717" s="62" t="n">
        <v>64.78</v>
      </c>
      <c r="J9717" s="58" t="inlineStr">
        <is>
          <t>Online</t>
        </is>
      </c>
      <c r="K9717" s="62">
        <f>F9717*(G9717-H9717)</f>
        <v/>
      </c>
      <c r="L9717" s="62">
        <f>K9717-(F9717*I9717)</f>
        <v/>
      </c>
      <c r="M9717" s="64">
        <f>L9717/K9717</f>
        <v/>
      </c>
    </row>
    <row r="9718">
      <c r="A9718" s="58" t="inlineStr">
        <is>
          <t>RT20250831-09717</t>
        </is>
      </c>
      <c r="B9718" s="59" t="inlineStr">
        <is>
          <t>2025-08-31</t>
        </is>
      </c>
      <c r="C9718" s="60" t="inlineStr">
        <is>
          <t>Aurora Appliance Max-316</t>
        </is>
      </c>
      <c r="D9718" s="58" t="inlineStr">
        <is>
          <t>Home</t>
        </is>
      </c>
      <c r="E9718" s="58" t="inlineStr">
        <is>
          <t>East</t>
        </is>
      </c>
      <c r="F9718" s="61" t="n">
        <v>2</v>
      </c>
      <c r="G9718" s="62" t="n">
        <v>347.47</v>
      </c>
      <c r="H9718" s="63" t="n">
        <v>0.147</v>
      </c>
      <c r="I9718" s="62" t="n">
        <v>217.6</v>
      </c>
      <c r="J9718" s="58" t="inlineStr">
        <is>
          <t>Online</t>
        </is>
      </c>
      <c r="K9718" s="62">
        <f>F9718*(G9718-H9718)</f>
        <v/>
      </c>
      <c r="L9718" s="62">
        <f>K9718-(F9718*I9718)</f>
        <v/>
      </c>
      <c r="M9718" s="64">
        <f>L9718/K9718</f>
        <v/>
      </c>
    </row>
    <row r="9719">
      <c r="A9719" s="58" t="inlineStr">
        <is>
          <t>RT20250831-09718</t>
        </is>
      </c>
      <c r="B9719" s="59" t="inlineStr">
        <is>
          <t>2025-08-31</t>
        </is>
      </c>
      <c r="C9719" s="60" t="inlineStr">
        <is>
          <t>Falcon Headphone Pro-713</t>
        </is>
      </c>
      <c r="D9719" s="58" t="inlineStr">
        <is>
          <t>Electronics</t>
        </is>
      </c>
      <c r="E9719" s="58" t="inlineStr">
        <is>
          <t>West</t>
        </is>
      </c>
      <c r="F9719" s="61" t="n">
        <v>2</v>
      </c>
      <c r="G9719" s="62" t="n">
        <v>1561.75</v>
      </c>
      <c r="H9719" s="63" t="n">
        <v>0.11</v>
      </c>
      <c r="I9719" s="62" t="n">
        <v>1200.63</v>
      </c>
      <c r="J9719" s="58" t="inlineStr">
        <is>
          <t>Online</t>
        </is>
      </c>
      <c r="K9719" s="62">
        <f>F9719*(G9719-H9719)</f>
        <v/>
      </c>
      <c r="L9719" s="62">
        <f>K9719-(F9719*I9719)</f>
        <v/>
      </c>
      <c r="M9719" s="64">
        <f>L9719/K9719</f>
        <v/>
      </c>
    </row>
    <row r="9720">
      <c r="A9720" s="58" t="inlineStr">
        <is>
          <t>RT20250831-09719</t>
        </is>
      </c>
      <c r="B9720" s="59" t="inlineStr">
        <is>
          <t>2025-08-31</t>
        </is>
      </c>
      <c r="C9720" s="60" t="inlineStr">
        <is>
          <t>Vertex Pantry Pro-165</t>
        </is>
      </c>
      <c r="D9720" s="58" t="inlineStr">
        <is>
          <t>Grocery</t>
        </is>
      </c>
      <c r="E9720" s="58" t="inlineStr">
        <is>
          <t>East</t>
        </is>
      </c>
      <c r="F9720" s="61" t="n">
        <v>2</v>
      </c>
      <c r="G9720" s="62" t="n">
        <v>16.39</v>
      </c>
      <c r="H9720" s="63" t="n">
        <v>0.175</v>
      </c>
      <c r="I9720" s="62" t="n">
        <v>11.73</v>
      </c>
      <c r="J9720" s="58" t="inlineStr">
        <is>
          <t>Store</t>
        </is>
      </c>
      <c r="K9720" s="62">
        <f>F9720*(G9720-H9720)</f>
        <v/>
      </c>
      <c r="L9720" s="62">
        <f>K9720-(F9720*I9720)</f>
        <v/>
      </c>
      <c r="M9720" s="64">
        <f>L9720/K9720</f>
        <v/>
      </c>
    </row>
    <row r="9721">
      <c r="A9721" s="58" t="inlineStr">
        <is>
          <t>RT20250831-09720</t>
        </is>
      </c>
      <c r="B9721" s="59" t="inlineStr">
        <is>
          <t>2025-08-31</t>
        </is>
      </c>
      <c r="C9721" s="60" t="inlineStr">
        <is>
          <t>Vertex Supplie Pro-786</t>
        </is>
      </c>
      <c r="D9721" s="58" t="inlineStr">
        <is>
          <t>Office</t>
        </is>
      </c>
      <c r="E9721" s="58" t="inlineStr">
        <is>
          <t>Central</t>
        </is>
      </c>
      <c r="F9721" s="61" t="n">
        <v>2</v>
      </c>
      <c r="G9721" s="62" t="n">
        <v>401.03</v>
      </c>
      <c r="H9721" s="63" t="n">
        <v>0.132</v>
      </c>
      <c r="I9721" s="62" t="n">
        <v>295.2</v>
      </c>
      <c r="J9721" s="58" t="inlineStr">
        <is>
          <t>Phone</t>
        </is>
      </c>
      <c r="K9721" s="62">
        <f>F9721*(G9721-H9721)</f>
        <v/>
      </c>
      <c r="L9721" s="62">
        <f>K9721-(F9721*I9721)</f>
        <v/>
      </c>
      <c r="M9721" s="64">
        <f>L9721/K9721</f>
        <v/>
      </c>
    </row>
    <row r="9722">
      <c r="A9722" s="58" t="inlineStr">
        <is>
          <t>RT20250831-09721</t>
        </is>
      </c>
      <c r="B9722" s="59" t="inlineStr">
        <is>
          <t>2025-08-31</t>
        </is>
      </c>
      <c r="C9722" s="60" t="inlineStr">
        <is>
          <t>Falcon Skincare X-334</t>
        </is>
      </c>
      <c r="D9722" s="58" t="inlineStr">
        <is>
          <t>Beauty</t>
        </is>
      </c>
      <c r="E9722" s="58" t="inlineStr">
        <is>
          <t>Central</t>
        </is>
      </c>
      <c r="F9722" s="61" t="n">
        <v>3</v>
      </c>
      <c r="G9722" s="62" t="n">
        <v>104.91</v>
      </c>
      <c r="H9722" s="63" t="n">
        <v>0.107</v>
      </c>
      <c r="I9722" s="62" t="n">
        <v>62.2</v>
      </c>
      <c r="J9722" s="58" t="inlineStr">
        <is>
          <t>Online</t>
        </is>
      </c>
      <c r="K9722" s="62">
        <f>F9722*(G9722-H9722)</f>
        <v/>
      </c>
      <c r="L9722" s="62">
        <f>K9722-(F9722*I9722)</f>
        <v/>
      </c>
      <c r="M9722" s="64">
        <f>L9722/K9722</f>
        <v/>
      </c>
    </row>
    <row r="9723">
      <c r="A9723" s="58" t="inlineStr">
        <is>
          <t>RT20250831-09722</t>
        </is>
      </c>
      <c r="B9723" s="59" t="inlineStr">
        <is>
          <t>2025-08-31</t>
        </is>
      </c>
      <c r="C9723" s="60" t="inlineStr">
        <is>
          <t>Polar Beverage S-258</t>
        </is>
      </c>
      <c r="D9723" s="58" t="inlineStr">
        <is>
          <t>Grocery</t>
        </is>
      </c>
      <c r="E9723" s="58" t="inlineStr">
        <is>
          <t>East</t>
        </is>
      </c>
      <c r="F9723" s="61" t="n">
        <v>6</v>
      </c>
      <c r="G9723" s="62" t="n">
        <v>11.73</v>
      </c>
      <c r="H9723" s="63" t="n">
        <v>0.156</v>
      </c>
      <c r="I9723" s="62" t="n">
        <v>9.48</v>
      </c>
      <c r="J9723" s="58" t="inlineStr">
        <is>
          <t>Online</t>
        </is>
      </c>
      <c r="K9723" s="62">
        <f>F9723*(G9723-H9723)</f>
        <v/>
      </c>
      <c r="L9723" s="62">
        <f>K9723-(F9723*I9723)</f>
        <v/>
      </c>
      <c r="M9723" s="64">
        <f>L9723/K9723</f>
        <v/>
      </c>
    </row>
    <row r="9724">
      <c r="A9724" s="58" t="inlineStr">
        <is>
          <t>RT20250831-09723</t>
        </is>
      </c>
      <c r="B9724" s="59" t="inlineStr">
        <is>
          <t>2025-08-31</t>
        </is>
      </c>
      <c r="C9724" s="60" t="inlineStr">
        <is>
          <t>Aurora Wearable Lite-704</t>
        </is>
      </c>
      <c r="D9724" s="58" t="inlineStr">
        <is>
          <t>Electronics</t>
        </is>
      </c>
      <c r="E9724" s="58" t="inlineStr">
        <is>
          <t>East</t>
        </is>
      </c>
      <c r="F9724" s="61" t="n">
        <v>2</v>
      </c>
      <c r="G9724" s="62" t="n">
        <v>2028.56</v>
      </c>
      <c r="H9724" s="63" t="n">
        <v>0.204</v>
      </c>
      <c r="I9724" s="62" t="n">
        <v>1480.23</v>
      </c>
      <c r="J9724" s="58" t="inlineStr">
        <is>
          <t>Store</t>
        </is>
      </c>
      <c r="K9724" s="62">
        <f>F9724*(G9724-H9724)</f>
        <v/>
      </c>
      <c r="L9724" s="62">
        <f>K9724-(F9724*I9724)</f>
        <v/>
      </c>
      <c r="M9724" s="64">
        <f>L9724/K9724</f>
        <v/>
      </c>
    </row>
    <row r="9725">
      <c r="A9725" s="58" t="inlineStr">
        <is>
          <t>RT20250831-09724</t>
        </is>
      </c>
      <c r="B9725" s="59" t="inlineStr">
        <is>
          <t>2025-08-31</t>
        </is>
      </c>
      <c r="C9725" s="60" t="inlineStr">
        <is>
          <t>Metro Beverage Max-490</t>
        </is>
      </c>
      <c r="D9725" s="58" t="inlineStr">
        <is>
          <t>Grocery</t>
        </is>
      </c>
      <c r="E9725" s="58" t="inlineStr">
        <is>
          <t>Central</t>
        </is>
      </c>
      <c r="F9725" s="61" t="n">
        <v>2</v>
      </c>
      <c r="G9725" s="62" t="n">
        <v>9.9</v>
      </c>
      <c r="H9725" s="63" t="n">
        <v>0.123</v>
      </c>
      <c r="I9725" s="62" t="n">
        <v>8.33</v>
      </c>
      <c r="J9725" s="58" t="inlineStr">
        <is>
          <t>Online</t>
        </is>
      </c>
      <c r="K9725" s="62">
        <f>F9725*(G9725-H9725)</f>
        <v/>
      </c>
      <c r="L9725" s="62">
        <f>K9725-(F9725*I9725)</f>
        <v/>
      </c>
      <c r="M9725" s="64">
        <f>L9725/K9725</f>
        <v/>
      </c>
    </row>
    <row r="9726">
      <c r="A9726" s="58" t="inlineStr">
        <is>
          <t>RT20250901-09725</t>
        </is>
      </c>
      <c r="B9726" s="59" t="inlineStr">
        <is>
          <t>2025-09-01</t>
        </is>
      </c>
      <c r="C9726" s="60" t="inlineStr">
        <is>
          <t>Solace Kitchen Pro-510</t>
        </is>
      </c>
      <c r="D9726" s="58" t="inlineStr">
        <is>
          <t>Home</t>
        </is>
      </c>
      <c r="E9726" s="58" t="inlineStr">
        <is>
          <t>North</t>
        </is>
      </c>
      <c r="F9726" s="61" t="n">
        <v>2</v>
      </c>
      <c r="G9726" s="62" t="n">
        <v>418.34</v>
      </c>
      <c r="H9726" s="63" t="n">
        <v>0.115</v>
      </c>
      <c r="I9726" s="62" t="n">
        <v>305.78</v>
      </c>
      <c r="J9726" s="58" t="inlineStr">
        <is>
          <t>Online</t>
        </is>
      </c>
      <c r="K9726" s="62">
        <f>F9726*(G9726-H9726)</f>
        <v/>
      </c>
      <c r="L9726" s="62">
        <f>K9726-(F9726*I9726)</f>
        <v/>
      </c>
      <c r="M9726" s="64">
        <f>L9726/K9726</f>
        <v/>
      </c>
    </row>
    <row r="9727">
      <c r="A9727" s="58" t="inlineStr">
        <is>
          <t>RT20250901-09726</t>
        </is>
      </c>
      <c r="B9727" s="59" t="inlineStr">
        <is>
          <t>2025-09-01</t>
        </is>
      </c>
      <c r="C9727" s="60" t="inlineStr">
        <is>
          <t>Solace Bedding Plus-317</t>
        </is>
      </c>
      <c r="D9727" s="58" t="inlineStr">
        <is>
          <t>Home</t>
        </is>
      </c>
      <c r="E9727" s="58" t="inlineStr">
        <is>
          <t>Central</t>
        </is>
      </c>
      <c r="F9727" s="61" t="n">
        <v>3</v>
      </c>
      <c r="G9727" s="62" t="n">
        <v>502.76</v>
      </c>
      <c r="H9727" s="63" t="n">
        <v>0.074</v>
      </c>
      <c r="I9727" s="62" t="n">
        <v>389.7</v>
      </c>
      <c r="J9727" s="58" t="inlineStr">
        <is>
          <t>Store</t>
        </is>
      </c>
      <c r="K9727" s="62">
        <f>F9727*(G9727-H9727)</f>
        <v/>
      </c>
      <c r="L9727" s="62">
        <f>K9727-(F9727*I9727)</f>
        <v/>
      </c>
      <c r="M9727" s="64">
        <f>L9727/K9727</f>
        <v/>
      </c>
    </row>
    <row r="9728">
      <c r="A9728" s="58" t="inlineStr">
        <is>
          <t>RT20250901-09727</t>
        </is>
      </c>
      <c r="B9728" s="59" t="inlineStr">
        <is>
          <t>2025-09-01</t>
        </is>
      </c>
      <c r="C9728" s="60" t="inlineStr">
        <is>
          <t>Metro Accessorie Max-316</t>
        </is>
      </c>
      <c r="D9728" s="58" t="inlineStr">
        <is>
          <t>Apparel</t>
        </is>
      </c>
      <c r="E9728" s="58" t="inlineStr">
        <is>
          <t>West</t>
        </is>
      </c>
      <c r="F9728" s="61" t="n">
        <v>4</v>
      </c>
      <c r="G9728" s="62" t="n">
        <v>172.05</v>
      </c>
      <c r="H9728" s="63" t="n">
        <v>0.114</v>
      </c>
      <c r="I9728" s="62" t="n">
        <v>92.37</v>
      </c>
      <c r="J9728" s="58" t="inlineStr">
        <is>
          <t>Online</t>
        </is>
      </c>
      <c r="K9728" s="62">
        <f>F9728*(G9728-H9728)</f>
        <v/>
      </c>
      <c r="L9728" s="62">
        <f>K9728-(F9728*I9728)</f>
        <v/>
      </c>
      <c r="M9728" s="64">
        <f>L9728/K9728</f>
        <v/>
      </c>
    </row>
    <row r="9729">
      <c r="A9729" s="58" t="inlineStr">
        <is>
          <t>RT20250901-09728</t>
        </is>
      </c>
      <c r="B9729" s="59" t="inlineStr">
        <is>
          <t>2025-09-01</t>
        </is>
      </c>
      <c r="C9729" s="60" t="inlineStr">
        <is>
          <t>Vertex Supplie Pro-786</t>
        </is>
      </c>
      <c r="D9729" s="58" t="inlineStr">
        <is>
          <t>Office</t>
        </is>
      </c>
      <c r="E9729" s="58" t="inlineStr">
        <is>
          <t>West</t>
        </is>
      </c>
      <c r="F9729" s="61" t="n">
        <v>2</v>
      </c>
      <c r="G9729" s="62" t="n">
        <v>429.91</v>
      </c>
      <c r="H9729" s="63" t="n">
        <v>0.119</v>
      </c>
      <c r="I9729" s="62" t="n">
        <v>292.47</v>
      </c>
      <c r="J9729" s="58" t="inlineStr">
        <is>
          <t>Store</t>
        </is>
      </c>
      <c r="K9729" s="62">
        <f>F9729*(G9729-H9729)</f>
        <v/>
      </c>
      <c r="L9729" s="62">
        <f>K9729-(F9729*I9729)</f>
        <v/>
      </c>
      <c r="M9729" s="64">
        <f>L9729/K9729</f>
        <v/>
      </c>
    </row>
    <row r="9730">
      <c r="A9730" s="58" t="inlineStr">
        <is>
          <t>RT20250901-09729</t>
        </is>
      </c>
      <c r="B9730" s="59" t="inlineStr">
        <is>
          <t>2025-09-01</t>
        </is>
      </c>
      <c r="C9730" s="60" t="inlineStr">
        <is>
          <t>Solace Snack S-691</t>
        </is>
      </c>
      <c r="D9730" s="58" t="inlineStr">
        <is>
          <t>Grocery</t>
        </is>
      </c>
      <c r="E9730" s="58" t="inlineStr">
        <is>
          <t>West</t>
        </is>
      </c>
      <c r="F9730" s="61" t="n">
        <v>8</v>
      </c>
      <c r="G9730" s="62" t="n">
        <v>9.44</v>
      </c>
      <c r="H9730" s="63" t="n">
        <v>0.13</v>
      </c>
      <c r="I9730" s="62" t="n">
        <v>7.08</v>
      </c>
      <c r="J9730" s="58" t="inlineStr">
        <is>
          <t>Store</t>
        </is>
      </c>
      <c r="K9730" s="62">
        <f>F9730*(G9730-H9730)</f>
        <v/>
      </c>
      <c r="L9730" s="62">
        <f>K9730-(F9730*I9730)</f>
        <v/>
      </c>
      <c r="M9730" s="64">
        <f>L9730/K9730</f>
        <v/>
      </c>
    </row>
    <row r="9731">
      <c r="A9731" s="58" t="inlineStr">
        <is>
          <t>RT20250901-09730</t>
        </is>
      </c>
      <c r="B9731" s="59" t="inlineStr">
        <is>
          <t>2025-09-01</t>
        </is>
      </c>
      <c r="C9731" s="60" t="inlineStr">
        <is>
          <t>Nimbus Laptop Max-652</t>
        </is>
      </c>
      <c r="D9731" s="58" t="inlineStr">
        <is>
          <t>Electronics</t>
        </is>
      </c>
      <c r="E9731" s="58" t="inlineStr">
        <is>
          <t>West</t>
        </is>
      </c>
      <c r="F9731" s="61" t="n">
        <v>1</v>
      </c>
      <c r="G9731" s="62" t="n">
        <v>1347.86</v>
      </c>
      <c r="H9731" s="63" t="n">
        <v>0.157</v>
      </c>
      <c r="I9731" s="62" t="n">
        <v>1060.56</v>
      </c>
      <c r="J9731" s="58" t="inlineStr">
        <is>
          <t>Online</t>
        </is>
      </c>
      <c r="K9731" s="62">
        <f>F9731*(G9731-H9731)</f>
        <v/>
      </c>
      <c r="L9731" s="62">
        <f>K9731-(F9731*I9731)</f>
        <v/>
      </c>
      <c r="M9731" s="64">
        <f>L9731/K9731</f>
        <v/>
      </c>
    </row>
    <row r="9732">
      <c r="A9732" s="58" t="inlineStr">
        <is>
          <t>RT20250901-09731</t>
        </is>
      </c>
      <c r="B9732" s="59" t="inlineStr">
        <is>
          <t>2025-09-01</t>
        </is>
      </c>
      <c r="C9732" s="60" t="inlineStr">
        <is>
          <t>Aurora Storage Lite-774</t>
        </is>
      </c>
      <c r="D9732" s="58" t="inlineStr">
        <is>
          <t>Office</t>
        </is>
      </c>
      <c r="E9732" s="58" t="inlineStr">
        <is>
          <t>South</t>
        </is>
      </c>
      <c r="F9732" s="61" t="n">
        <v>2</v>
      </c>
      <c r="G9732" s="62" t="n">
        <v>349.53</v>
      </c>
      <c r="H9732" s="63" t="n">
        <v>0.141</v>
      </c>
      <c r="I9732" s="62" t="n">
        <v>238.07</v>
      </c>
      <c r="J9732" s="58" t="inlineStr">
        <is>
          <t>Store</t>
        </is>
      </c>
      <c r="K9732" s="62">
        <f>F9732*(G9732-H9732)</f>
        <v/>
      </c>
      <c r="L9732" s="62">
        <f>K9732-(F9732*I9732)</f>
        <v/>
      </c>
      <c r="M9732" s="64">
        <f>L9732/K9732</f>
        <v/>
      </c>
    </row>
    <row r="9733">
      <c r="A9733" s="58" t="inlineStr">
        <is>
          <t>RT20250901-09732</t>
        </is>
      </c>
      <c r="B9733" s="59" t="inlineStr">
        <is>
          <t>2025-09-01</t>
        </is>
      </c>
      <c r="C9733" s="60" t="inlineStr">
        <is>
          <t>Aurora Skincare Max-798</t>
        </is>
      </c>
      <c r="D9733" s="58" t="inlineStr">
        <is>
          <t>Beauty</t>
        </is>
      </c>
      <c r="E9733" s="58" t="inlineStr">
        <is>
          <t>South</t>
        </is>
      </c>
      <c r="F9733" s="61" t="n">
        <v>4</v>
      </c>
      <c r="G9733" s="62" t="n">
        <v>109.81</v>
      </c>
      <c r="H9733" s="63" t="n">
        <v>0.164</v>
      </c>
      <c r="I9733" s="62" t="n">
        <v>66.75</v>
      </c>
      <c r="J9733" s="58" t="inlineStr">
        <is>
          <t>Online</t>
        </is>
      </c>
      <c r="K9733" s="62">
        <f>F9733*(G9733-H9733)</f>
        <v/>
      </c>
      <c r="L9733" s="62">
        <f>K9733-(F9733*I9733)</f>
        <v/>
      </c>
      <c r="M9733" s="64">
        <f>L9733/K9733</f>
        <v/>
      </c>
    </row>
    <row r="9734">
      <c r="A9734" s="58" t="inlineStr">
        <is>
          <t>RT20250901-09733</t>
        </is>
      </c>
      <c r="B9734" s="59" t="inlineStr">
        <is>
          <t>2025-09-01</t>
        </is>
      </c>
      <c r="C9734" s="60" t="inlineStr">
        <is>
          <t>Vertex Printer Max-692</t>
        </is>
      </c>
      <c r="D9734" s="58" t="inlineStr">
        <is>
          <t>Office</t>
        </is>
      </c>
      <c r="E9734" s="58" t="inlineStr">
        <is>
          <t>North</t>
        </is>
      </c>
      <c r="F9734" s="61" t="n">
        <v>3</v>
      </c>
      <c r="G9734" s="62" t="n">
        <v>169.71</v>
      </c>
      <c r="H9734" s="63" t="n">
        <v>0.133</v>
      </c>
      <c r="I9734" s="62" t="n">
        <v>125.53</v>
      </c>
      <c r="J9734" s="58" t="inlineStr">
        <is>
          <t>Online</t>
        </is>
      </c>
      <c r="K9734" s="62">
        <f>F9734*(G9734-H9734)</f>
        <v/>
      </c>
      <c r="L9734" s="62">
        <f>K9734-(F9734*I9734)</f>
        <v/>
      </c>
      <c r="M9734" s="64">
        <f>L9734/K9734</f>
        <v/>
      </c>
    </row>
    <row r="9735">
      <c r="A9735" s="58" t="inlineStr">
        <is>
          <t>RT20250901-09734</t>
        </is>
      </c>
      <c r="B9735" s="59" t="inlineStr">
        <is>
          <t>2025-09-01</t>
        </is>
      </c>
      <c r="C9735" s="60" t="inlineStr">
        <is>
          <t>Vertex Printer Max-692</t>
        </is>
      </c>
      <c r="D9735" s="58" t="inlineStr">
        <is>
          <t>Office</t>
        </is>
      </c>
      <c r="E9735" s="58" t="inlineStr">
        <is>
          <t>South</t>
        </is>
      </c>
      <c r="F9735" s="61" t="n">
        <v>2</v>
      </c>
      <c r="G9735" s="62" t="n">
        <v>161.47</v>
      </c>
      <c r="H9735" s="63" t="n">
        <v>0.07099999999999999</v>
      </c>
      <c r="I9735" s="62" t="n">
        <v>126.1</v>
      </c>
      <c r="J9735" s="58" t="inlineStr">
        <is>
          <t>Online</t>
        </is>
      </c>
      <c r="K9735" s="62">
        <f>F9735*(G9735-H9735)</f>
        <v/>
      </c>
      <c r="L9735" s="62">
        <f>K9735-(F9735*I9735)</f>
        <v/>
      </c>
      <c r="M9735" s="64">
        <f>L9735/K9735</f>
        <v/>
      </c>
    </row>
    <row r="9736">
      <c r="A9736" s="58" t="inlineStr">
        <is>
          <t>RT20250901-09735</t>
        </is>
      </c>
      <c r="B9736" s="59" t="inlineStr">
        <is>
          <t>2025-09-01</t>
        </is>
      </c>
      <c r="C9736" s="60" t="inlineStr">
        <is>
          <t>Orion Beverage Plus-949</t>
        </is>
      </c>
      <c r="D9736" s="58" t="inlineStr">
        <is>
          <t>Grocery</t>
        </is>
      </c>
      <c r="E9736" s="58" t="inlineStr">
        <is>
          <t>South</t>
        </is>
      </c>
      <c r="F9736" s="61" t="n">
        <v>7</v>
      </c>
      <c r="G9736" s="62" t="n">
        <v>19.01</v>
      </c>
      <c r="H9736" s="63" t="n">
        <v>0.076</v>
      </c>
      <c r="I9736" s="62" t="n">
        <v>13.51</v>
      </c>
      <c r="J9736" s="58" t="inlineStr">
        <is>
          <t>Store</t>
        </is>
      </c>
      <c r="K9736" s="62">
        <f>F9736*(G9736-H9736)</f>
        <v/>
      </c>
      <c r="L9736" s="62">
        <f>K9736-(F9736*I9736)</f>
        <v/>
      </c>
      <c r="M9736" s="64">
        <f>L9736/K9736</f>
        <v/>
      </c>
    </row>
    <row r="9737">
      <c r="A9737" s="58" t="inlineStr">
        <is>
          <t>RT20250901-09736</t>
        </is>
      </c>
      <c r="B9737" s="59" t="inlineStr">
        <is>
          <t>2025-09-01</t>
        </is>
      </c>
      <c r="C9737" s="60" t="inlineStr">
        <is>
          <t>Nimbus Women Lite-814</t>
        </is>
      </c>
      <c r="D9737" s="58" t="inlineStr">
        <is>
          <t>Apparel</t>
        </is>
      </c>
      <c r="E9737" s="58" t="inlineStr">
        <is>
          <t>East</t>
        </is>
      </c>
      <c r="F9737" s="61" t="n">
        <v>3</v>
      </c>
      <c r="G9737" s="62" t="n">
        <v>149.92</v>
      </c>
      <c r="H9737" s="63" t="n">
        <v>0.2</v>
      </c>
      <c r="I9737" s="62" t="n">
        <v>81.38</v>
      </c>
      <c r="J9737" s="58" t="inlineStr">
        <is>
          <t>Store</t>
        </is>
      </c>
      <c r="K9737" s="62">
        <f>F9737*(G9737-H9737)</f>
        <v/>
      </c>
      <c r="L9737" s="62">
        <f>K9737-(F9737*I9737)</f>
        <v/>
      </c>
      <c r="M9737" s="64">
        <f>L9737/K9737</f>
        <v/>
      </c>
    </row>
    <row r="9738">
      <c r="A9738" s="58" t="inlineStr">
        <is>
          <t>RT20250901-09737</t>
        </is>
      </c>
      <c r="B9738" s="59" t="inlineStr">
        <is>
          <t>2025-09-01</t>
        </is>
      </c>
      <c r="C9738" s="60" t="inlineStr">
        <is>
          <t>Polar Haircare Max-614</t>
        </is>
      </c>
      <c r="D9738" s="58" t="inlineStr">
        <is>
          <t>Beauty</t>
        </is>
      </c>
      <c r="E9738" s="58" t="inlineStr">
        <is>
          <t>East</t>
        </is>
      </c>
      <c r="F9738" s="61" t="n">
        <v>3</v>
      </c>
      <c r="G9738" s="62" t="n">
        <v>109.32</v>
      </c>
      <c r="H9738" s="63" t="n">
        <v>0.096</v>
      </c>
      <c r="I9738" s="62" t="n">
        <v>68.08</v>
      </c>
      <c r="J9738" s="58" t="inlineStr">
        <is>
          <t>Store</t>
        </is>
      </c>
      <c r="K9738" s="62">
        <f>F9738*(G9738-H9738)</f>
        <v/>
      </c>
      <c r="L9738" s="62">
        <f>K9738-(F9738*I9738)</f>
        <v/>
      </c>
      <c r="M9738" s="64">
        <f>L9738/K9738</f>
        <v/>
      </c>
    </row>
    <row r="9739">
      <c r="A9739" s="58" t="inlineStr">
        <is>
          <t>RT20250901-09738</t>
        </is>
      </c>
      <c r="B9739" s="59" t="inlineStr">
        <is>
          <t>2025-09-01</t>
        </is>
      </c>
      <c r="C9739" s="60" t="inlineStr">
        <is>
          <t>Falcon Haircare Pro-980</t>
        </is>
      </c>
      <c r="D9739" s="58" t="inlineStr">
        <is>
          <t>Beauty</t>
        </is>
      </c>
      <c r="E9739" s="58" t="inlineStr">
        <is>
          <t>East</t>
        </is>
      </c>
      <c r="F9739" s="61" t="n">
        <v>1</v>
      </c>
      <c r="G9739" s="62" t="n">
        <v>97.09999999999999</v>
      </c>
      <c r="H9739" s="63" t="n">
        <v>0.073</v>
      </c>
      <c r="I9739" s="62" t="n">
        <v>58.35</v>
      </c>
      <c r="J9739" s="58" t="inlineStr">
        <is>
          <t>Store</t>
        </is>
      </c>
      <c r="K9739" s="62">
        <f>F9739*(G9739-H9739)</f>
        <v/>
      </c>
      <c r="L9739" s="62">
        <f>K9739-(F9739*I9739)</f>
        <v/>
      </c>
      <c r="M9739" s="64">
        <f>L9739/K9739</f>
        <v/>
      </c>
    </row>
    <row r="9740">
      <c r="A9740" s="58" t="inlineStr">
        <is>
          <t>RT20250901-09739</t>
        </is>
      </c>
      <c r="B9740" s="59" t="inlineStr">
        <is>
          <t>2025-09-01</t>
        </is>
      </c>
      <c r="C9740" s="60" t="inlineStr">
        <is>
          <t>Polar Beverage S-258</t>
        </is>
      </c>
      <c r="D9740" s="58" t="inlineStr">
        <is>
          <t>Grocery</t>
        </is>
      </c>
      <c r="E9740" s="58" t="inlineStr">
        <is>
          <t>West</t>
        </is>
      </c>
      <c r="F9740" s="61" t="n">
        <v>2</v>
      </c>
      <c r="G9740" s="62" t="n">
        <v>12.79</v>
      </c>
      <c r="H9740" s="63" t="n">
        <v>0.126</v>
      </c>
      <c r="I9740" s="62" t="n">
        <v>9.84</v>
      </c>
      <c r="J9740" s="58" t="inlineStr">
        <is>
          <t>Online</t>
        </is>
      </c>
      <c r="K9740" s="62">
        <f>F9740*(G9740-H9740)</f>
        <v/>
      </c>
      <c r="L9740" s="62">
        <f>K9740-(F9740*I9740)</f>
        <v/>
      </c>
      <c r="M9740" s="64">
        <f>L9740/K9740</f>
        <v/>
      </c>
    </row>
    <row r="9741">
      <c r="A9741" s="58" t="inlineStr">
        <is>
          <t>RT20250901-09740</t>
        </is>
      </c>
      <c r="B9741" s="59" t="inlineStr">
        <is>
          <t>2025-09-01</t>
        </is>
      </c>
      <c r="C9741" s="60" t="inlineStr">
        <is>
          <t>Falcon Household Pro-865</t>
        </is>
      </c>
      <c r="D9741" s="58" t="inlineStr">
        <is>
          <t>Grocery</t>
        </is>
      </c>
      <c r="E9741" s="58" t="inlineStr">
        <is>
          <t>East</t>
        </is>
      </c>
      <c r="F9741" s="61" t="n">
        <v>5</v>
      </c>
      <c r="G9741" s="62" t="n">
        <v>9.359999999999999</v>
      </c>
      <c r="H9741" s="63" t="n">
        <v>0.134</v>
      </c>
      <c r="I9741" s="62" t="n">
        <v>7.6</v>
      </c>
      <c r="J9741" s="58" t="inlineStr">
        <is>
          <t>Online</t>
        </is>
      </c>
      <c r="K9741" s="62">
        <f>F9741*(G9741-H9741)</f>
        <v/>
      </c>
      <c r="L9741" s="62">
        <f>K9741-(F9741*I9741)</f>
        <v/>
      </c>
      <c r="M9741" s="64">
        <f>L9741/K9741</f>
        <v/>
      </c>
    </row>
    <row r="9742">
      <c r="A9742" s="58" t="inlineStr">
        <is>
          <t>RT20250901-09741</t>
        </is>
      </c>
      <c r="B9742" s="59" t="inlineStr">
        <is>
          <t>2025-09-01</t>
        </is>
      </c>
      <c r="C9742" s="60" t="inlineStr">
        <is>
          <t>Aurora Printer Plus-991</t>
        </is>
      </c>
      <c r="D9742" s="58" t="inlineStr">
        <is>
          <t>Office</t>
        </is>
      </c>
      <c r="E9742" s="58" t="inlineStr">
        <is>
          <t>West</t>
        </is>
      </c>
      <c r="F9742" s="61" t="n">
        <v>3</v>
      </c>
      <c r="G9742" s="62" t="n">
        <v>497.91</v>
      </c>
      <c r="H9742" s="63" t="n">
        <v>0.122</v>
      </c>
      <c r="I9742" s="62" t="n">
        <v>368.44</v>
      </c>
      <c r="J9742" s="58" t="inlineStr">
        <is>
          <t>Store</t>
        </is>
      </c>
      <c r="K9742" s="62">
        <f>F9742*(G9742-H9742)</f>
        <v/>
      </c>
      <c r="L9742" s="62">
        <f>K9742-(F9742*I9742)</f>
        <v/>
      </c>
      <c r="M9742" s="64">
        <f>L9742/K9742</f>
        <v/>
      </c>
    </row>
    <row r="9743">
      <c r="A9743" s="58" t="inlineStr">
        <is>
          <t>RT20250901-09742</t>
        </is>
      </c>
      <c r="B9743" s="59" t="inlineStr">
        <is>
          <t>2025-09-01</t>
        </is>
      </c>
      <c r="C9743" s="60" t="inlineStr">
        <is>
          <t>Nimbus Decor Lite-385</t>
        </is>
      </c>
      <c r="D9743" s="58" t="inlineStr">
        <is>
          <t>Home</t>
        </is>
      </c>
      <c r="E9743" s="58" t="inlineStr">
        <is>
          <t>West</t>
        </is>
      </c>
      <c r="F9743" s="61" t="n">
        <v>1</v>
      </c>
      <c r="G9743" s="62" t="n">
        <v>567.59</v>
      </c>
      <c r="H9743" s="63" t="n">
        <v>0.16</v>
      </c>
      <c r="I9743" s="62" t="n">
        <v>395.83</v>
      </c>
      <c r="J9743" s="58" t="inlineStr">
        <is>
          <t>Online</t>
        </is>
      </c>
      <c r="K9743" s="62">
        <f>F9743*(G9743-H9743)</f>
        <v/>
      </c>
      <c r="L9743" s="62">
        <f>K9743-(F9743*I9743)</f>
        <v/>
      </c>
      <c r="M9743" s="64">
        <f>L9743/K9743</f>
        <v/>
      </c>
    </row>
    <row r="9744">
      <c r="A9744" s="58" t="inlineStr">
        <is>
          <t>RT20250901-09743</t>
        </is>
      </c>
      <c r="B9744" s="59" t="inlineStr">
        <is>
          <t>2025-09-01</t>
        </is>
      </c>
      <c r="C9744" s="60" t="inlineStr">
        <is>
          <t>Aurora Smartphone Plus-125</t>
        </is>
      </c>
      <c r="D9744" s="58" t="inlineStr">
        <is>
          <t>Electronics</t>
        </is>
      </c>
      <c r="E9744" s="58" t="inlineStr">
        <is>
          <t>West</t>
        </is>
      </c>
      <c r="F9744" s="61" t="n">
        <v>2</v>
      </c>
      <c r="G9744" s="62" t="n">
        <v>1575.33</v>
      </c>
      <c r="H9744" s="63" t="n">
        <v>0.09</v>
      </c>
      <c r="I9744" s="62" t="n">
        <v>1236.84</v>
      </c>
      <c r="J9744" s="58" t="inlineStr">
        <is>
          <t>Online</t>
        </is>
      </c>
      <c r="K9744" s="62">
        <f>F9744*(G9744-H9744)</f>
        <v/>
      </c>
      <c r="L9744" s="62">
        <f>K9744-(F9744*I9744)</f>
        <v/>
      </c>
      <c r="M9744" s="64">
        <f>L9744/K9744</f>
        <v/>
      </c>
    </row>
    <row r="9745">
      <c r="A9745" s="58" t="inlineStr">
        <is>
          <t>RT20250901-09744</t>
        </is>
      </c>
      <c r="B9745" s="59" t="inlineStr">
        <is>
          <t>2025-09-01</t>
        </is>
      </c>
      <c r="C9745" s="60" t="inlineStr">
        <is>
          <t>Orion Laptop S-350</t>
        </is>
      </c>
      <c r="D9745" s="58" t="inlineStr">
        <is>
          <t>Electronics</t>
        </is>
      </c>
      <c r="E9745" s="58" t="inlineStr">
        <is>
          <t>East</t>
        </is>
      </c>
      <c r="F9745" s="61" t="n">
        <v>1</v>
      </c>
      <c r="G9745" s="62" t="n">
        <v>1204.47</v>
      </c>
      <c r="H9745" s="63" t="n">
        <v>0.116</v>
      </c>
      <c r="I9745" s="62" t="n">
        <v>1033.74</v>
      </c>
      <c r="J9745" s="58" t="inlineStr">
        <is>
          <t>Online</t>
        </is>
      </c>
      <c r="K9745" s="62">
        <f>F9745*(G9745-H9745)</f>
        <v/>
      </c>
      <c r="L9745" s="62">
        <f>K9745-(F9745*I9745)</f>
        <v/>
      </c>
      <c r="M9745" s="64">
        <f>L9745/K9745</f>
        <v/>
      </c>
    </row>
    <row r="9746">
      <c r="A9746" s="58" t="inlineStr">
        <is>
          <t>RT20250901-09745</t>
        </is>
      </c>
      <c r="B9746" s="59" t="inlineStr">
        <is>
          <t>2025-09-01</t>
        </is>
      </c>
      <c r="C9746" s="60" t="inlineStr">
        <is>
          <t>Metro Accessorie Lite-697</t>
        </is>
      </c>
      <c r="D9746" s="58" t="inlineStr">
        <is>
          <t>Apparel</t>
        </is>
      </c>
      <c r="E9746" s="58" t="inlineStr">
        <is>
          <t>Central</t>
        </is>
      </c>
      <c r="F9746" s="61" t="n">
        <v>3</v>
      </c>
      <c r="G9746" s="62" t="n">
        <v>141.05</v>
      </c>
      <c r="H9746" s="63" t="n">
        <v>0.116</v>
      </c>
      <c r="I9746" s="62" t="n">
        <v>74.13</v>
      </c>
      <c r="J9746" s="58" t="inlineStr">
        <is>
          <t>Online</t>
        </is>
      </c>
      <c r="K9746" s="62">
        <f>F9746*(G9746-H9746)</f>
        <v/>
      </c>
      <c r="L9746" s="62">
        <f>K9746-(F9746*I9746)</f>
        <v/>
      </c>
      <c r="M9746" s="64">
        <f>L9746/K9746</f>
        <v/>
      </c>
    </row>
    <row r="9747">
      <c r="A9747" s="58" t="inlineStr">
        <is>
          <t>RT20250901-09746</t>
        </is>
      </c>
      <c r="B9747" s="59" t="inlineStr">
        <is>
          <t>2025-09-01</t>
        </is>
      </c>
      <c r="C9747" s="60" t="inlineStr">
        <is>
          <t>Solace Kitchen Pro-510</t>
        </is>
      </c>
      <c r="D9747" s="58" t="inlineStr">
        <is>
          <t>Home</t>
        </is>
      </c>
      <c r="E9747" s="58" t="inlineStr">
        <is>
          <t>East</t>
        </is>
      </c>
      <c r="F9747" s="61" t="n">
        <v>3</v>
      </c>
      <c r="G9747" s="62" t="n">
        <v>441.77</v>
      </c>
      <c r="H9747" s="63" t="n">
        <v>0.081</v>
      </c>
      <c r="I9747" s="62" t="n">
        <v>308.05</v>
      </c>
      <c r="J9747" s="58" t="inlineStr">
        <is>
          <t>Online</t>
        </is>
      </c>
      <c r="K9747" s="62">
        <f>F9747*(G9747-H9747)</f>
        <v/>
      </c>
      <c r="L9747" s="62">
        <f>K9747-(F9747*I9747)</f>
        <v/>
      </c>
      <c r="M9747" s="64">
        <f>L9747/K9747</f>
        <v/>
      </c>
    </row>
    <row r="9748">
      <c r="A9748" s="58" t="inlineStr">
        <is>
          <t>RT20250901-09747</t>
        </is>
      </c>
      <c r="B9748" s="59" t="inlineStr">
        <is>
          <t>2025-09-01</t>
        </is>
      </c>
      <c r="C9748" s="60" t="inlineStr">
        <is>
          <t>Aurora Household Plus-146</t>
        </is>
      </c>
      <c r="D9748" s="58" t="inlineStr">
        <is>
          <t>Grocery</t>
        </is>
      </c>
      <c r="E9748" s="58" t="inlineStr">
        <is>
          <t>Central</t>
        </is>
      </c>
      <c r="F9748" s="61" t="n">
        <v>3</v>
      </c>
      <c r="G9748" s="62" t="n">
        <v>5.98</v>
      </c>
      <c r="H9748" s="63" t="n">
        <v>0.066</v>
      </c>
      <c r="I9748" s="62" t="n">
        <v>4.5</v>
      </c>
      <c r="J9748" s="58" t="inlineStr">
        <is>
          <t>Store</t>
        </is>
      </c>
      <c r="K9748" s="62">
        <f>F9748*(G9748-H9748)</f>
        <v/>
      </c>
      <c r="L9748" s="62">
        <f>K9748-(F9748*I9748)</f>
        <v/>
      </c>
      <c r="M9748" s="64">
        <f>L9748/K9748</f>
        <v/>
      </c>
    </row>
    <row r="9749">
      <c r="A9749" s="58" t="inlineStr">
        <is>
          <t>RT20250902-09748</t>
        </is>
      </c>
      <c r="B9749" s="59" t="inlineStr">
        <is>
          <t>2025-09-02</t>
        </is>
      </c>
      <c r="C9749" s="60" t="inlineStr">
        <is>
          <t>Solace Laptop S-367</t>
        </is>
      </c>
      <c r="D9749" s="58" t="inlineStr">
        <is>
          <t>Electronics</t>
        </is>
      </c>
      <c r="E9749" s="58" t="inlineStr">
        <is>
          <t>East</t>
        </is>
      </c>
      <c r="F9749" s="61" t="n">
        <v>2</v>
      </c>
      <c r="G9749" s="62" t="n">
        <v>1892.68</v>
      </c>
      <c r="H9749" s="63" t="n">
        <v>0.099</v>
      </c>
      <c r="I9749" s="62" t="n">
        <v>1592.21</v>
      </c>
      <c r="J9749" s="58" t="inlineStr">
        <is>
          <t>Online</t>
        </is>
      </c>
      <c r="K9749" s="62">
        <f>F9749*(G9749-H9749)</f>
        <v/>
      </c>
      <c r="L9749" s="62">
        <f>K9749-(F9749*I9749)</f>
        <v/>
      </c>
      <c r="M9749" s="64">
        <f>L9749/K9749</f>
        <v/>
      </c>
    </row>
    <row r="9750">
      <c r="A9750" s="58" t="inlineStr">
        <is>
          <t>RT20250902-09749</t>
        </is>
      </c>
      <c r="B9750" s="59" t="inlineStr">
        <is>
          <t>2025-09-02</t>
        </is>
      </c>
      <c r="C9750" s="60" t="inlineStr">
        <is>
          <t>Orion Men X-928</t>
        </is>
      </c>
      <c r="D9750" s="58" t="inlineStr">
        <is>
          <t>Apparel</t>
        </is>
      </c>
      <c r="E9750" s="58" t="inlineStr">
        <is>
          <t>West</t>
        </is>
      </c>
      <c r="F9750" s="61" t="n">
        <v>1</v>
      </c>
      <c r="G9750" s="62" t="n">
        <v>119.01</v>
      </c>
      <c r="H9750" s="63" t="n">
        <v>0.08599999999999999</v>
      </c>
      <c r="I9750" s="62" t="n">
        <v>61.82</v>
      </c>
      <c r="J9750" s="58" t="inlineStr">
        <is>
          <t>Store</t>
        </is>
      </c>
      <c r="K9750" s="62">
        <f>F9750*(G9750-H9750)</f>
        <v/>
      </c>
      <c r="L9750" s="62">
        <f>K9750-(F9750*I9750)</f>
        <v/>
      </c>
      <c r="M9750" s="64">
        <f>L9750/K9750</f>
        <v/>
      </c>
    </row>
    <row r="9751">
      <c r="A9751" s="58" t="inlineStr">
        <is>
          <t>RT20250902-09750</t>
        </is>
      </c>
      <c r="B9751" s="59" t="inlineStr">
        <is>
          <t>2025-09-02</t>
        </is>
      </c>
      <c r="C9751" s="60" t="inlineStr">
        <is>
          <t>Vertex Headphone Pro-801</t>
        </is>
      </c>
      <c r="D9751" s="58" t="inlineStr">
        <is>
          <t>Electronics</t>
        </is>
      </c>
      <c r="E9751" s="58" t="inlineStr">
        <is>
          <t>East</t>
        </is>
      </c>
      <c r="F9751" s="61" t="n">
        <v>2</v>
      </c>
      <c r="G9751" s="62" t="n">
        <v>1291.88</v>
      </c>
      <c r="H9751" s="63" t="n">
        <v>0.125</v>
      </c>
      <c r="I9751" s="62" t="n">
        <v>974.05</v>
      </c>
      <c r="J9751" s="58" t="inlineStr">
        <is>
          <t>Store</t>
        </is>
      </c>
      <c r="K9751" s="62">
        <f>F9751*(G9751-H9751)</f>
        <v/>
      </c>
      <c r="L9751" s="62">
        <f>K9751-(F9751*I9751)</f>
        <v/>
      </c>
      <c r="M9751" s="64">
        <f>L9751/K9751</f>
        <v/>
      </c>
    </row>
    <row r="9752">
      <c r="A9752" s="58" t="inlineStr">
        <is>
          <t>RT20250902-09751</t>
        </is>
      </c>
      <c r="B9752" s="59" t="inlineStr">
        <is>
          <t>2025-09-02</t>
        </is>
      </c>
      <c r="C9752" s="60" t="inlineStr">
        <is>
          <t>Falcon Skincare Max-151</t>
        </is>
      </c>
      <c r="D9752" s="58" t="inlineStr">
        <is>
          <t>Beauty</t>
        </is>
      </c>
      <c r="E9752" s="58" t="inlineStr">
        <is>
          <t>East</t>
        </is>
      </c>
      <c r="F9752" s="61" t="n">
        <v>2</v>
      </c>
      <c r="G9752" s="62" t="n">
        <v>99.68000000000001</v>
      </c>
      <c r="H9752" s="63" t="n">
        <v>0.113</v>
      </c>
      <c r="I9752" s="62" t="n">
        <v>58.28</v>
      </c>
      <c r="J9752" s="58" t="inlineStr">
        <is>
          <t>Online</t>
        </is>
      </c>
      <c r="K9752" s="62">
        <f>F9752*(G9752-H9752)</f>
        <v/>
      </c>
      <c r="L9752" s="62">
        <f>K9752-(F9752*I9752)</f>
        <v/>
      </c>
      <c r="M9752" s="64">
        <f>L9752/K9752</f>
        <v/>
      </c>
    </row>
    <row r="9753">
      <c r="A9753" s="58" t="inlineStr">
        <is>
          <t>RT20250902-09752</t>
        </is>
      </c>
      <c r="B9753" s="59" t="inlineStr">
        <is>
          <t>2025-09-02</t>
        </is>
      </c>
      <c r="C9753" s="60" t="inlineStr">
        <is>
          <t>Vertex Smartphone Lite-267</t>
        </is>
      </c>
      <c r="D9753" s="58" t="inlineStr">
        <is>
          <t>Electronics</t>
        </is>
      </c>
      <c r="E9753" s="58" t="inlineStr">
        <is>
          <t>East</t>
        </is>
      </c>
      <c r="F9753" s="61" t="n">
        <v>1</v>
      </c>
      <c r="G9753" s="62" t="n">
        <v>1147.79</v>
      </c>
      <c r="H9753" s="63" t="n">
        <v>0.07199999999999999</v>
      </c>
      <c r="I9753" s="62" t="n">
        <v>955.21</v>
      </c>
      <c r="J9753" s="58" t="inlineStr">
        <is>
          <t>Online</t>
        </is>
      </c>
      <c r="K9753" s="62">
        <f>F9753*(G9753-H9753)</f>
        <v/>
      </c>
      <c r="L9753" s="62">
        <f>K9753-(F9753*I9753)</f>
        <v/>
      </c>
      <c r="M9753" s="64">
        <f>L9753/K9753</f>
        <v/>
      </c>
    </row>
    <row r="9754">
      <c r="A9754" s="58" t="inlineStr">
        <is>
          <t>RT20250902-09753</t>
        </is>
      </c>
      <c r="B9754" s="59" t="inlineStr">
        <is>
          <t>2025-09-02</t>
        </is>
      </c>
      <c r="C9754" s="60" t="inlineStr">
        <is>
          <t>Aurora Appliance Max-316</t>
        </is>
      </c>
      <c r="D9754" s="58" t="inlineStr">
        <is>
          <t>Home</t>
        </is>
      </c>
      <c r="E9754" s="58" t="inlineStr">
        <is>
          <t>South</t>
        </is>
      </c>
      <c r="F9754" s="61" t="n">
        <v>1</v>
      </c>
      <c r="G9754" s="62" t="n">
        <v>369.34</v>
      </c>
      <c r="H9754" s="63" t="n">
        <v>0.139</v>
      </c>
      <c r="I9754" s="62" t="n">
        <v>208.12</v>
      </c>
      <c r="J9754" s="58" t="inlineStr">
        <is>
          <t>Store</t>
        </is>
      </c>
      <c r="K9754" s="62">
        <f>F9754*(G9754-H9754)</f>
        <v/>
      </c>
      <c r="L9754" s="62">
        <f>K9754-(F9754*I9754)</f>
        <v/>
      </c>
      <c r="M9754" s="64">
        <f>L9754/K9754</f>
        <v/>
      </c>
    </row>
    <row r="9755">
      <c r="A9755" s="58" t="inlineStr">
        <is>
          <t>RT20250902-09754</t>
        </is>
      </c>
      <c r="B9755" s="59" t="inlineStr">
        <is>
          <t>2025-09-02</t>
        </is>
      </c>
      <c r="C9755" s="60" t="inlineStr">
        <is>
          <t>Metro Decor Lite-325</t>
        </is>
      </c>
      <c r="D9755" s="58" t="inlineStr">
        <is>
          <t>Home</t>
        </is>
      </c>
      <c r="E9755" s="58" t="inlineStr">
        <is>
          <t>Central</t>
        </is>
      </c>
      <c r="F9755" s="61" t="n">
        <v>1</v>
      </c>
      <c r="G9755" s="62" t="n">
        <v>541.28</v>
      </c>
      <c r="H9755" s="63" t="n">
        <v>0.105</v>
      </c>
      <c r="I9755" s="62" t="n">
        <v>387.09</v>
      </c>
      <c r="J9755" s="58" t="inlineStr">
        <is>
          <t>Online</t>
        </is>
      </c>
      <c r="K9755" s="62">
        <f>F9755*(G9755-H9755)</f>
        <v/>
      </c>
      <c r="L9755" s="62">
        <f>K9755-(F9755*I9755)</f>
        <v/>
      </c>
      <c r="M9755" s="64">
        <f>L9755/K9755</f>
        <v/>
      </c>
    </row>
    <row r="9756">
      <c r="A9756" s="58" t="inlineStr">
        <is>
          <t>RT20250902-09755</t>
        </is>
      </c>
      <c r="B9756" s="59" t="inlineStr">
        <is>
          <t>2025-09-02</t>
        </is>
      </c>
      <c r="C9756" s="60" t="inlineStr">
        <is>
          <t>Metro Accessorie Max-316</t>
        </is>
      </c>
      <c r="D9756" s="58" t="inlineStr">
        <is>
          <t>Apparel</t>
        </is>
      </c>
      <c r="E9756" s="58" t="inlineStr">
        <is>
          <t>South</t>
        </is>
      </c>
      <c r="F9756" s="61" t="n">
        <v>1</v>
      </c>
      <c r="G9756" s="62" t="n">
        <v>164.38</v>
      </c>
      <c r="H9756" s="63" t="n">
        <v>0.122</v>
      </c>
      <c r="I9756" s="62" t="n">
        <v>93.53</v>
      </c>
      <c r="J9756" s="58" t="inlineStr">
        <is>
          <t>Online</t>
        </is>
      </c>
      <c r="K9756" s="62">
        <f>F9756*(G9756-H9756)</f>
        <v/>
      </c>
      <c r="L9756" s="62">
        <f>K9756-(F9756*I9756)</f>
        <v/>
      </c>
      <c r="M9756" s="64">
        <f>L9756/K9756</f>
        <v/>
      </c>
    </row>
    <row r="9757">
      <c r="A9757" s="58" t="inlineStr">
        <is>
          <t>RT20250902-09756</t>
        </is>
      </c>
      <c r="B9757" s="59" t="inlineStr">
        <is>
          <t>2025-09-02</t>
        </is>
      </c>
      <c r="C9757" s="60" t="inlineStr">
        <is>
          <t>Metro Smartphone Max-773</t>
        </is>
      </c>
      <c r="D9757" s="58" t="inlineStr">
        <is>
          <t>Electronics</t>
        </is>
      </c>
      <c r="E9757" s="58" t="inlineStr">
        <is>
          <t>Central</t>
        </is>
      </c>
      <c r="F9757" s="61" t="n">
        <v>1</v>
      </c>
      <c r="G9757" s="62" t="n">
        <v>1509.04</v>
      </c>
      <c r="H9757" s="63" t="n">
        <v>0.111</v>
      </c>
      <c r="I9757" s="62" t="n">
        <v>1135.29</v>
      </c>
      <c r="J9757" s="58" t="inlineStr">
        <is>
          <t>Online</t>
        </is>
      </c>
      <c r="K9757" s="62">
        <f>F9757*(G9757-H9757)</f>
        <v/>
      </c>
      <c r="L9757" s="62">
        <f>K9757-(F9757*I9757)</f>
        <v/>
      </c>
      <c r="M9757" s="64">
        <f>L9757/K9757</f>
        <v/>
      </c>
    </row>
    <row r="9758">
      <c r="A9758" s="58" t="inlineStr">
        <is>
          <t>RT20250902-09757</t>
        </is>
      </c>
      <c r="B9758" s="59" t="inlineStr">
        <is>
          <t>2025-09-02</t>
        </is>
      </c>
      <c r="C9758" s="60" t="inlineStr">
        <is>
          <t>Nimbus Decor Lite-385</t>
        </is>
      </c>
      <c r="D9758" s="58" t="inlineStr">
        <is>
          <t>Home</t>
        </is>
      </c>
      <c r="E9758" s="58" t="inlineStr">
        <is>
          <t>South</t>
        </is>
      </c>
      <c r="F9758" s="61" t="n">
        <v>3</v>
      </c>
      <c r="G9758" s="62" t="n">
        <v>588.9400000000001</v>
      </c>
      <c r="H9758" s="63" t="n">
        <v>0.136</v>
      </c>
      <c r="I9758" s="62" t="n">
        <v>403.67</v>
      </c>
      <c r="J9758" s="58" t="inlineStr">
        <is>
          <t>Online</t>
        </is>
      </c>
      <c r="K9758" s="62">
        <f>F9758*(G9758-H9758)</f>
        <v/>
      </c>
      <c r="L9758" s="62">
        <f>K9758-(F9758*I9758)</f>
        <v/>
      </c>
      <c r="M9758" s="64">
        <f>L9758/K9758</f>
        <v/>
      </c>
    </row>
    <row r="9759">
      <c r="A9759" s="58" t="inlineStr">
        <is>
          <t>RT20250902-09758</t>
        </is>
      </c>
      <c r="B9759" s="59" t="inlineStr">
        <is>
          <t>2025-09-02</t>
        </is>
      </c>
      <c r="C9759" s="60" t="inlineStr">
        <is>
          <t>Vertex Appliance S-296</t>
        </is>
      </c>
      <c r="D9759" s="58" t="inlineStr">
        <is>
          <t>Home</t>
        </is>
      </c>
      <c r="E9759" s="58" t="inlineStr">
        <is>
          <t>Central</t>
        </is>
      </c>
      <c r="F9759" s="61" t="n">
        <v>2</v>
      </c>
      <c r="G9759" s="62" t="n">
        <v>575.89</v>
      </c>
      <c r="H9759" s="63" t="n">
        <v>0.1</v>
      </c>
      <c r="I9759" s="62" t="n">
        <v>356.13</v>
      </c>
      <c r="J9759" s="58" t="inlineStr">
        <is>
          <t>Store</t>
        </is>
      </c>
      <c r="K9759" s="62">
        <f>F9759*(G9759-H9759)</f>
        <v/>
      </c>
      <c r="L9759" s="62">
        <f>K9759-(F9759*I9759)</f>
        <v/>
      </c>
      <c r="M9759" s="64">
        <f>L9759/K9759</f>
        <v/>
      </c>
    </row>
    <row r="9760">
      <c r="A9760" s="58" t="inlineStr">
        <is>
          <t>RT20250902-09759</t>
        </is>
      </c>
      <c r="B9760" s="59" t="inlineStr">
        <is>
          <t>2025-09-02</t>
        </is>
      </c>
      <c r="C9760" s="60" t="inlineStr">
        <is>
          <t>Nimbus Decor Lite-385</t>
        </is>
      </c>
      <c r="D9760" s="58" t="inlineStr">
        <is>
          <t>Home</t>
        </is>
      </c>
      <c r="E9760" s="58" t="inlineStr">
        <is>
          <t>West</t>
        </is>
      </c>
      <c r="F9760" s="61" t="n">
        <v>1</v>
      </c>
      <c r="G9760" s="62" t="n">
        <v>613.86</v>
      </c>
      <c r="H9760" s="63" t="n">
        <v>0.089</v>
      </c>
      <c r="I9760" s="62" t="n">
        <v>401.89</v>
      </c>
      <c r="J9760" s="58" t="inlineStr">
        <is>
          <t>Store</t>
        </is>
      </c>
      <c r="K9760" s="62">
        <f>F9760*(G9760-H9760)</f>
        <v/>
      </c>
      <c r="L9760" s="62">
        <f>K9760-(F9760*I9760)</f>
        <v/>
      </c>
      <c r="M9760" s="64">
        <f>L9760/K9760</f>
        <v/>
      </c>
    </row>
    <row r="9761">
      <c r="A9761" s="58" t="inlineStr">
        <is>
          <t>RT20250902-09760</t>
        </is>
      </c>
      <c r="B9761" s="59" t="inlineStr">
        <is>
          <t>2025-09-02</t>
        </is>
      </c>
      <c r="C9761" s="60" t="inlineStr">
        <is>
          <t>Polar Outdoor X-193</t>
        </is>
      </c>
      <c r="D9761" s="58" t="inlineStr">
        <is>
          <t>Sports</t>
        </is>
      </c>
      <c r="E9761" s="58" t="inlineStr">
        <is>
          <t>North</t>
        </is>
      </c>
      <c r="F9761" s="61" t="n">
        <v>3</v>
      </c>
      <c r="G9761" s="62" t="n">
        <v>698.89</v>
      </c>
      <c r="H9761" s="63" t="n">
        <v>0.08500000000000001</v>
      </c>
      <c r="I9761" s="62" t="n">
        <v>458.63</v>
      </c>
      <c r="J9761" s="58" t="inlineStr">
        <is>
          <t>Store</t>
        </is>
      </c>
      <c r="K9761" s="62">
        <f>F9761*(G9761-H9761)</f>
        <v/>
      </c>
      <c r="L9761" s="62">
        <f>K9761-(F9761*I9761)</f>
        <v/>
      </c>
      <c r="M9761" s="64">
        <f>L9761/K9761</f>
        <v/>
      </c>
    </row>
    <row r="9762">
      <c r="A9762" s="58" t="inlineStr">
        <is>
          <t>RT20250902-09761</t>
        </is>
      </c>
      <c r="B9762" s="59" t="inlineStr">
        <is>
          <t>2025-09-02</t>
        </is>
      </c>
      <c r="C9762" s="60" t="inlineStr">
        <is>
          <t>Metro Smartphone Max-773</t>
        </is>
      </c>
      <c r="D9762" s="58" t="inlineStr">
        <is>
          <t>Electronics</t>
        </is>
      </c>
      <c r="E9762" s="58" t="inlineStr">
        <is>
          <t>North</t>
        </is>
      </c>
      <c r="F9762" s="61" t="n">
        <v>2</v>
      </c>
      <c r="G9762" s="62" t="n">
        <v>1413.18</v>
      </c>
      <c r="H9762" s="63" t="n">
        <v>0.146</v>
      </c>
      <c r="I9762" s="62" t="n">
        <v>1146.81</v>
      </c>
      <c r="J9762" s="58" t="inlineStr">
        <is>
          <t>Online</t>
        </is>
      </c>
      <c r="K9762" s="62">
        <f>F9762*(G9762-H9762)</f>
        <v/>
      </c>
      <c r="L9762" s="62">
        <f>K9762-(F9762*I9762)</f>
        <v/>
      </c>
      <c r="M9762" s="64">
        <f>L9762/K9762</f>
        <v/>
      </c>
    </row>
    <row r="9763">
      <c r="A9763" s="58" t="inlineStr">
        <is>
          <t>RT20250902-09762</t>
        </is>
      </c>
      <c r="B9763" s="59" t="inlineStr">
        <is>
          <t>2025-09-02</t>
        </is>
      </c>
      <c r="C9763" s="60" t="inlineStr">
        <is>
          <t>Aurora Team Sport Plus-256</t>
        </is>
      </c>
      <c r="D9763" s="58" t="inlineStr">
        <is>
          <t>Sports</t>
        </is>
      </c>
      <c r="E9763" s="58" t="inlineStr">
        <is>
          <t>South</t>
        </is>
      </c>
      <c r="F9763" s="61" t="n">
        <v>2</v>
      </c>
      <c r="G9763" s="62" t="n">
        <v>668.64</v>
      </c>
      <c r="H9763" s="63" t="n">
        <v>0.14</v>
      </c>
      <c r="I9763" s="62" t="n">
        <v>419.49</v>
      </c>
      <c r="J9763" s="58" t="inlineStr">
        <is>
          <t>Online</t>
        </is>
      </c>
      <c r="K9763" s="62">
        <f>F9763*(G9763-H9763)</f>
        <v/>
      </c>
      <c r="L9763" s="62">
        <f>K9763-(F9763*I9763)</f>
        <v/>
      </c>
      <c r="M9763" s="64">
        <f>L9763/K9763</f>
        <v/>
      </c>
    </row>
    <row r="9764">
      <c r="A9764" s="58" t="inlineStr">
        <is>
          <t>RT20250902-09763</t>
        </is>
      </c>
      <c r="B9764" s="59" t="inlineStr">
        <is>
          <t>2025-09-02</t>
        </is>
      </c>
      <c r="C9764" s="60" t="inlineStr">
        <is>
          <t>Metro Smartphone Max-773</t>
        </is>
      </c>
      <c r="D9764" s="58" t="inlineStr">
        <is>
          <t>Electronics</t>
        </is>
      </c>
      <c r="E9764" s="58" t="inlineStr">
        <is>
          <t>North</t>
        </is>
      </c>
      <c r="F9764" s="61" t="n">
        <v>1</v>
      </c>
      <c r="G9764" s="62" t="n">
        <v>1611.87</v>
      </c>
      <c r="H9764" s="63" t="n">
        <v>0.122</v>
      </c>
      <c r="I9764" s="62" t="n">
        <v>1100.28</v>
      </c>
      <c r="J9764" s="58" t="inlineStr">
        <is>
          <t>Store</t>
        </is>
      </c>
      <c r="K9764" s="62">
        <f>F9764*(G9764-H9764)</f>
        <v/>
      </c>
      <c r="L9764" s="62">
        <f>K9764-(F9764*I9764)</f>
        <v/>
      </c>
      <c r="M9764" s="64">
        <f>L9764/K9764</f>
        <v/>
      </c>
    </row>
    <row r="9765">
      <c r="A9765" s="58" t="inlineStr">
        <is>
          <t>RT20250902-09764</t>
        </is>
      </c>
      <c r="B9765" s="59" t="inlineStr">
        <is>
          <t>2025-09-02</t>
        </is>
      </c>
      <c r="C9765" s="60" t="inlineStr">
        <is>
          <t>Falcon Household Pro-865</t>
        </is>
      </c>
      <c r="D9765" s="58" t="inlineStr">
        <is>
          <t>Grocery</t>
        </is>
      </c>
      <c r="E9765" s="58" t="inlineStr">
        <is>
          <t>Central</t>
        </is>
      </c>
      <c r="F9765" s="61" t="n">
        <v>3</v>
      </c>
      <c r="G9765" s="62" t="n">
        <v>11.97</v>
      </c>
      <c r="H9765" s="63" t="n">
        <v>0.171</v>
      </c>
      <c r="I9765" s="62" t="n">
        <v>7.91</v>
      </c>
      <c r="J9765" s="58" t="inlineStr">
        <is>
          <t>Phone</t>
        </is>
      </c>
      <c r="K9765" s="62">
        <f>F9765*(G9765-H9765)</f>
        <v/>
      </c>
      <c r="L9765" s="62">
        <f>K9765-(F9765*I9765)</f>
        <v/>
      </c>
      <c r="M9765" s="64">
        <f>L9765/K9765</f>
        <v/>
      </c>
    </row>
    <row r="9766">
      <c r="A9766" s="58" t="inlineStr">
        <is>
          <t>RT20250902-09765</t>
        </is>
      </c>
      <c r="B9766" s="59" t="inlineStr">
        <is>
          <t>2025-09-02</t>
        </is>
      </c>
      <c r="C9766" s="60" t="inlineStr">
        <is>
          <t>Aurora Fragrance S-971</t>
        </is>
      </c>
      <c r="D9766" s="58" t="inlineStr">
        <is>
          <t>Beauty</t>
        </is>
      </c>
      <c r="E9766" s="58" t="inlineStr">
        <is>
          <t>West</t>
        </is>
      </c>
      <c r="F9766" s="61" t="n">
        <v>4</v>
      </c>
      <c r="G9766" s="62" t="n">
        <v>105.92</v>
      </c>
      <c r="H9766" s="63" t="n">
        <v>0.106</v>
      </c>
      <c r="I9766" s="62" t="n">
        <v>67.43000000000001</v>
      </c>
      <c r="J9766" s="58" t="inlineStr">
        <is>
          <t>Online</t>
        </is>
      </c>
      <c r="K9766" s="62">
        <f>F9766*(G9766-H9766)</f>
        <v/>
      </c>
      <c r="L9766" s="62">
        <f>K9766-(F9766*I9766)</f>
        <v/>
      </c>
      <c r="M9766" s="64">
        <f>L9766/K9766</f>
        <v/>
      </c>
    </row>
    <row r="9767">
      <c r="A9767" s="58" t="inlineStr">
        <is>
          <t>RT20250902-09766</t>
        </is>
      </c>
      <c r="B9767" s="59" t="inlineStr">
        <is>
          <t>2025-09-02</t>
        </is>
      </c>
      <c r="C9767" s="60" t="inlineStr">
        <is>
          <t>Vertex Snack S-702</t>
        </is>
      </c>
      <c r="D9767" s="58" t="inlineStr">
        <is>
          <t>Grocery</t>
        </is>
      </c>
      <c r="E9767" s="58" t="inlineStr">
        <is>
          <t>East</t>
        </is>
      </c>
      <c r="F9767" s="61" t="n">
        <v>1</v>
      </c>
      <c r="G9767" s="62" t="n">
        <v>1.99</v>
      </c>
      <c r="H9767" s="63" t="n">
        <v>0.06900000000000001</v>
      </c>
      <c r="I9767" s="62" t="n">
        <v>1.45</v>
      </c>
      <c r="J9767" s="58" t="inlineStr">
        <is>
          <t>Store</t>
        </is>
      </c>
      <c r="K9767" s="62">
        <f>F9767*(G9767-H9767)</f>
        <v/>
      </c>
      <c r="L9767" s="62">
        <f>K9767-(F9767*I9767)</f>
        <v/>
      </c>
      <c r="M9767" s="64">
        <f>L9767/K9767</f>
        <v/>
      </c>
    </row>
    <row r="9768">
      <c r="A9768" s="58" t="inlineStr">
        <is>
          <t>RT20250902-09767</t>
        </is>
      </c>
      <c r="B9768" s="59" t="inlineStr">
        <is>
          <t>2025-09-02</t>
        </is>
      </c>
      <c r="C9768" s="60" t="inlineStr">
        <is>
          <t>Vertex Accessorie Pro-881</t>
        </is>
      </c>
      <c r="D9768" s="58" t="inlineStr">
        <is>
          <t>Apparel</t>
        </is>
      </c>
      <c r="E9768" s="58" t="inlineStr">
        <is>
          <t>East</t>
        </is>
      </c>
      <c r="F9768" s="61" t="n">
        <v>1</v>
      </c>
      <c r="G9768" s="62" t="n">
        <v>110.87</v>
      </c>
      <c r="H9768" s="63" t="n">
        <v>0.077</v>
      </c>
      <c r="I9768" s="62" t="n">
        <v>61.01</v>
      </c>
      <c r="J9768" s="58" t="inlineStr">
        <is>
          <t>Store</t>
        </is>
      </c>
      <c r="K9768" s="62">
        <f>F9768*(G9768-H9768)</f>
        <v/>
      </c>
      <c r="L9768" s="62">
        <f>K9768-(F9768*I9768)</f>
        <v/>
      </c>
      <c r="M9768" s="64">
        <f>L9768/K9768</f>
        <v/>
      </c>
    </row>
    <row r="9769">
      <c r="A9769" s="58" t="inlineStr">
        <is>
          <t>RT20250902-09768</t>
        </is>
      </c>
      <c r="B9769" s="59" t="inlineStr">
        <is>
          <t>2025-09-02</t>
        </is>
      </c>
      <c r="C9769" s="60" t="inlineStr">
        <is>
          <t>Falcon Skincare X-334</t>
        </is>
      </c>
      <c r="D9769" s="58" t="inlineStr">
        <is>
          <t>Beauty</t>
        </is>
      </c>
      <c r="E9769" s="58" t="inlineStr">
        <is>
          <t>West</t>
        </is>
      </c>
      <c r="F9769" s="61" t="n">
        <v>3</v>
      </c>
      <c r="G9769" s="62" t="n">
        <v>108.16</v>
      </c>
      <c r="H9769" s="63" t="n">
        <v>0.144</v>
      </c>
      <c r="I9769" s="62" t="n">
        <v>62.65</v>
      </c>
      <c r="J9769" s="58" t="inlineStr">
        <is>
          <t>Online</t>
        </is>
      </c>
      <c r="K9769" s="62">
        <f>F9769*(G9769-H9769)</f>
        <v/>
      </c>
      <c r="L9769" s="62">
        <f>K9769-(F9769*I9769)</f>
        <v/>
      </c>
      <c r="M9769" s="64">
        <f>L9769/K9769</f>
        <v/>
      </c>
    </row>
    <row r="9770">
      <c r="A9770" s="58" t="inlineStr">
        <is>
          <t>RT20250902-09769</t>
        </is>
      </c>
      <c r="B9770" s="59" t="inlineStr">
        <is>
          <t>2025-09-02</t>
        </is>
      </c>
      <c r="C9770" s="60" t="inlineStr">
        <is>
          <t>Falcon Haircare Pro-980</t>
        </is>
      </c>
      <c r="D9770" s="58" t="inlineStr">
        <is>
          <t>Beauty</t>
        </is>
      </c>
      <c r="E9770" s="58" t="inlineStr">
        <is>
          <t>East</t>
        </is>
      </c>
      <c r="F9770" s="61" t="n">
        <v>3</v>
      </c>
      <c r="G9770" s="62" t="n">
        <v>87.56999999999999</v>
      </c>
      <c r="H9770" s="63" t="n">
        <v>0.155</v>
      </c>
      <c r="I9770" s="62" t="n">
        <v>58</v>
      </c>
      <c r="J9770" s="58" t="inlineStr">
        <is>
          <t>Store</t>
        </is>
      </c>
      <c r="K9770" s="62">
        <f>F9770*(G9770-H9770)</f>
        <v/>
      </c>
      <c r="L9770" s="62">
        <f>K9770-(F9770*I9770)</f>
        <v/>
      </c>
      <c r="M9770" s="64">
        <f>L9770/K9770</f>
        <v/>
      </c>
    </row>
    <row r="9771">
      <c r="A9771" s="58" t="inlineStr">
        <is>
          <t>RT20250902-09770</t>
        </is>
      </c>
      <c r="B9771" s="59" t="inlineStr">
        <is>
          <t>2025-09-02</t>
        </is>
      </c>
      <c r="C9771" s="60" t="inlineStr">
        <is>
          <t>Aurora Smartphone Plus-125</t>
        </is>
      </c>
      <c r="D9771" s="58" t="inlineStr">
        <is>
          <t>Electronics</t>
        </is>
      </c>
      <c r="E9771" s="58" t="inlineStr">
        <is>
          <t>East</t>
        </is>
      </c>
      <c r="F9771" s="61" t="n">
        <v>1</v>
      </c>
      <c r="G9771" s="62" t="n">
        <v>1538.33</v>
      </c>
      <c r="H9771" s="63" t="n">
        <v>0.099</v>
      </c>
      <c r="I9771" s="62" t="n">
        <v>1235.45</v>
      </c>
      <c r="J9771" s="58" t="inlineStr">
        <is>
          <t>Online</t>
        </is>
      </c>
      <c r="K9771" s="62">
        <f>F9771*(G9771-H9771)</f>
        <v/>
      </c>
      <c r="L9771" s="62">
        <f>K9771-(F9771*I9771)</f>
        <v/>
      </c>
      <c r="M9771" s="64">
        <f>L9771/K9771</f>
        <v/>
      </c>
    </row>
    <row r="9772">
      <c r="A9772" s="58" t="inlineStr">
        <is>
          <t>RT20250902-09771</t>
        </is>
      </c>
      <c r="B9772" s="59" t="inlineStr">
        <is>
          <t>2025-09-02</t>
        </is>
      </c>
      <c r="C9772" s="60" t="inlineStr">
        <is>
          <t>Aurora Fragrance S-971</t>
        </is>
      </c>
      <c r="D9772" s="58" t="inlineStr">
        <is>
          <t>Beauty</t>
        </is>
      </c>
      <c r="E9772" s="58" t="inlineStr">
        <is>
          <t>West</t>
        </is>
      </c>
      <c r="F9772" s="61" t="n">
        <v>2</v>
      </c>
      <c r="G9772" s="62" t="n">
        <v>117.21</v>
      </c>
      <c r="H9772" s="63" t="n">
        <v>0.141</v>
      </c>
      <c r="I9772" s="62" t="n">
        <v>63.38</v>
      </c>
      <c r="J9772" s="58" t="inlineStr">
        <is>
          <t>Phone</t>
        </is>
      </c>
      <c r="K9772" s="62">
        <f>F9772*(G9772-H9772)</f>
        <v/>
      </c>
      <c r="L9772" s="62">
        <f>K9772-(F9772*I9772)</f>
        <v/>
      </c>
      <c r="M9772" s="64">
        <f>L9772/K9772</f>
        <v/>
      </c>
    </row>
    <row r="9773">
      <c r="A9773" s="58" t="inlineStr">
        <is>
          <t>RT20250902-09772</t>
        </is>
      </c>
      <c r="B9773" s="59" t="inlineStr">
        <is>
          <t>2025-09-02</t>
        </is>
      </c>
      <c r="C9773" s="60" t="inlineStr">
        <is>
          <t>Metro Printer X-294</t>
        </is>
      </c>
      <c r="D9773" s="58" t="inlineStr">
        <is>
          <t>Office</t>
        </is>
      </c>
      <c r="E9773" s="58" t="inlineStr">
        <is>
          <t>South</t>
        </is>
      </c>
      <c r="F9773" s="61" t="n">
        <v>1</v>
      </c>
      <c r="G9773" s="62" t="n">
        <v>596.9400000000001</v>
      </c>
      <c r="H9773" s="63" t="n">
        <v>0.108</v>
      </c>
      <c r="I9773" s="62" t="n">
        <v>420.9</v>
      </c>
      <c r="J9773" s="58" t="inlineStr">
        <is>
          <t>Online</t>
        </is>
      </c>
      <c r="K9773" s="62">
        <f>F9773*(G9773-H9773)</f>
        <v/>
      </c>
      <c r="L9773" s="62">
        <f>K9773-(F9773*I9773)</f>
        <v/>
      </c>
      <c r="M9773" s="64">
        <f>L9773/K9773</f>
        <v/>
      </c>
    </row>
    <row r="9774">
      <c r="A9774" s="58" t="inlineStr">
        <is>
          <t>RT20250902-09773</t>
        </is>
      </c>
      <c r="B9774" s="59" t="inlineStr">
        <is>
          <t>2025-09-02</t>
        </is>
      </c>
      <c r="C9774" s="60" t="inlineStr">
        <is>
          <t>Falcon Accessorie S-195</t>
        </is>
      </c>
      <c r="D9774" s="58" t="inlineStr">
        <is>
          <t>Apparel</t>
        </is>
      </c>
      <c r="E9774" s="58" t="inlineStr">
        <is>
          <t>East</t>
        </is>
      </c>
      <c r="F9774" s="61" t="n">
        <v>3</v>
      </c>
      <c r="G9774" s="62" t="n">
        <v>79.95999999999999</v>
      </c>
      <c r="H9774" s="63" t="n">
        <v>0.113</v>
      </c>
      <c r="I9774" s="62" t="n">
        <v>44.07</v>
      </c>
      <c r="J9774" s="58" t="inlineStr">
        <is>
          <t>Store</t>
        </is>
      </c>
      <c r="K9774" s="62">
        <f>F9774*(G9774-H9774)</f>
        <v/>
      </c>
      <c r="L9774" s="62">
        <f>K9774-(F9774*I9774)</f>
        <v/>
      </c>
      <c r="M9774" s="64">
        <f>L9774/K9774</f>
        <v/>
      </c>
    </row>
    <row r="9775">
      <c r="A9775" s="58" t="inlineStr">
        <is>
          <t>RT20250902-09774</t>
        </is>
      </c>
      <c r="B9775" s="59" t="inlineStr">
        <is>
          <t>2025-09-02</t>
        </is>
      </c>
      <c r="C9775" s="60" t="inlineStr">
        <is>
          <t>Vertex Decor Pro-618</t>
        </is>
      </c>
      <c r="D9775" s="58" t="inlineStr">
        <is>
          <t>Home</t>
        </is>
      </c>
      <c r="E9775" s="58" t="inlineStr">
        <is>
          <t>North</t>
        </is>
      </c>
      <c r="F9775" s="61" t="n">
        <v>2</v>
      </c>
      <c r="G9775" s="62" t="n">
        <v>454.75</v>
      </c>
      <c r="H9775" s="63" t="n">
        <v>0.14</v>
      </c>
      <c r="I9775" s="62" t="n">
        <v>379.7</v>
      </c>
      <c r="J9775" s="58" t="inlineStr">
        <is>
          <t>Store</t>
        </is>
      </c>
      <c r="K9775" s="62">
        <f>F9775*(G9775-H9775)</f>
        <v/>
      </c>
      <c r="L9775" s="62">
        <f>K9775-(F9775*I9775)</f>
        <v/>
      </c>
      <c r="M9775" s="64">
        <f>L9775/K9775</f>
        <v/>
      </c>
    </row>
    <row r="9776">
      <c r="A9776" s="58" t="inlineStr">
        <is>
          <t>RT20250902-09775</t>
        </is>
      </c>
      <c r="B9776" s="59" t="inlineStr">
        <is>
          <t>2025-09-02</t>
        </is>
      </c>
      <c r="C9776" s="60" t="inlineStr">
        <is>
          <t>Metro Printer X-294</t>
        </is>
      </c>
      <c r="D9776" s="58" t="inlineStr">
        <is>
          <t>Office</t>
        </is>
      </c>
      <c r="E9776" s="58" t="inlineStr">
        <is>
          <t>West</t>
        </is>
      </c>
      <c r="F9776" s="61" t="n">
        <v>3</v>
      </c>
      <c r="G9776" s="62" t="n">
        <v>572.99</v>
      </c>
      <c r="H9776" s="63" t="n">
        <v>0.125</v>
      </c>
      <c r="I9776" s="62" t="n">
        <v>414.18</v>
      </c>
      <c r="J9776" s="58" t="inlineStr">
        <is>
          <t>Online</t>
        </is>
      </c>
      <c r="K9776" s="62">
        <f>F9776*(G9776-H9776)</f>
        <v/>
      </c>
      <c r="L9776" s="62">
        <f>K9776-(F9776*I9776)</f>
        <v/>
      </c>
      <c r="M9776" s="64">
        <f>L9776/K9776</f>
        <v/>
      </c>
    </row>
    <row r="9777">
      <c r="A9777" s="58" t="inlineStr">
        <is>
          <t>RT20250902-09776</t>
        </is>
      </c>
      <c r="B9777" s="59" t="inlineStr">
        <is>
          <t>2025-09-02</t>
        </is>
      </c>
      <c r="C9777" s="60" t="inlineStr">
        <is>
          <t>Vertex Snack S-702</t>
        </is>
      </c>
      <c r="D9777" s="58" t="inlineStr">
        <is>
          <t>Grocery</t>
        </is>
      </c>
      <c r="E9777" s="58" t="inlineStr">
        <is>
          <t>South</t>
        </is>
      </c>
      <c r="F9777" s="61" t="n">
        <v>7</v>
      </c>
      <c r="G9777" s="62" t="n">
        <v>2.03</v>
      </c>
      <c r="H9777" s="63" t="n">
        <v>0.132</v>
      </c>
      <c r="I9777" s="62" t="n">
        <v>1.49</v>
      </c>
      <c r="J9777" s="58" t="inlineStr">
        <is>
          <t>Store</t>
        </is>
      </c>
      <c r="K9777" s="62">
        <f>F9777*(G9777-H9777)</f>
        <v/>
      </c>
      <c r="L9777" s="62">
        <f>K9777-(F9777*I9777)</f>
        <v/>
      </c>
      <c r="M9777" s="64">
        <f>L9777/K9777</f>
        <v/>
      </c>
    </row>
    <row r="9778">
      <c r="A9778" s="58" t="inlineStr">
        <is>
          <t>RT20250902-09777</t>
        </is>
      </c>
      <c r="B9778" s="59" t="inlineStr">
        <is>
          <t>2025-09-02</t>
        </is>
      </c>
      <c r="C9778" s="60" t="inlineStr">
        <is>
          <t>Metro Pantry Max-180</t>
        </is>
      </c>
      <c r="D9778" s="58" t="inlineStr">
        <is>
          <t>Grocery</t>
        </is>
      </c>
      <c r="E9778" s="58" t="inlineStr">
        <is>
          <t>Central</t>
        </is>
      </c>
      <c r="F9778" s="61" t="n">
        <v>5</v>
      </c>
      <c r="G9778" s="62" t="n">
        <v>8.01</v>
      </c>
      <c r="H9778" s="63" t="n">
        <v>0.093</v>
      </c>
      <c r="I9778" s="62" t="n">
        <v>6.69</v>
      </c>
      <c r="J9778" s="58" t="inlineStr">
        <is>
          <t>Phone</t>
        </is>
      </c>
      <c r="K9778" s="62">
        <f>F9778*(G9778-H9778)</f>
        <v/>
      </c>
      <c r="L9778" s="62">
        <f>K9778-(F9778*I9778)</f>
        <v/>
      </c>
      <c r="M9778" s="64">
        <f>L9778/K9778</f>
        <v/>
      </c>
    </row>
    <row r="9779">
      <c r="A9779" s="58" t="inlineStr">
        <is>
          <t>RT20250902-09778</t>
        </is>
      </c>
      <c r="B9779" s="59" t="inlineStr">
        <is>
          <t>2025-09-02</t>
        </is>
      </c>
      <c r="C9779" s="60" t="inlineStr">
        <is>
          <t>Aurora Bedding Plus-187</t>
        </is>
      </c>
      <c r="D9779" s="58" t="inlineStr">
        <is>
          <t>Home</t>
        </is>
      </c>
      <c r="E9779" s="58" t="inlineStr">
        <is>
          <t>West</t>
        </is>
      </c>
      <c r="F9779" s="61" t="n">
        <v>2</v>
      </c>
      <c r="G9779" s="62" t="n">
        <v>331.2</v>
      </c>
      <c r="H9779" s="63" t="n">
        <v>0.1</v>
      </c>
      <c r="I9779" s="62" t="n">
        <v>206.66</v>
      </c>
      <c r="J9779" s="58" t="inlineStr">
        <is>
          <t>Store</t>
        </is>
      </c>
      <c r="K9779" s="62">
        <f>F9779*(G9779-H9779)</f>
        <v/>
      </c>
      <c r="L9779" s="62">
        <f>K9779-(F9779*I9779)</f>
        <v/>
      </c>
      <c r="M9779" s="64">
        <f>L9779/K9779</f>
        <v/>
      </c>
    </row>
    <row r="9780">
      <c r="A9780" s="58" t="inlineStr">
        <is>
          <t>RT20250902-09779</t>
        </is>
      </c>
      <c r="B9780" s="59" t="inlineStr">
        <is>
          <t>2025-09-02</t>
        </is>
      </c>
      <c r="C9780" s="60" t="inlineStr">
        <is>
          <t>Falcon Headphone Plus-789</t>
        </is>
      </c>
      <c r="D9780" s="58" t="inlineStr">
        <is>
          <t>Electronics</t>
        </is>
      </c>
      <c r="E9780" s="58" t="inlineStr">
        <is>
          <t>East</t>
        </is>
      </c>
      <c r="F9780" s="61" t="n">
        <v>1</v>
      </c>
      <c r="G9780" s="62" t="n">
        <v>1894.74</v>
      </c>
      <c r="H9780" s="63" t="n">
        <v>0.117</v>
      </c>
      <c r="I9780" s="62" t="n">
        <v>1338.59</v>
      </c>
      <c r="J9780" s="58" t="inlineStr">
        <is>
          <t>Store</t>
        </is>
      </c>
      <c r="K9780" s="62">
        <f>F9780*(G9780-H9780)</f>
        <v/>
      </c>
      <c r="L9780" s="62">
        <f>K9780-(F9780*I9780)</f>
        <v/>
      </c>
      <c r="M9780" s="64">
        <f>L9780/K9780</f>
        <v/>
      </c>
    </row>
    <row r="9781">
      <c r="A9781" s="58" t="inlineStr">
        <is>
          <t>RT20250902-09780</t>
        </is>
      </c>
      <c r="B9781" s="59" t="inlineStr">
        <is>
          <t>2025-09-02</t>
        </is>
      </c>
      <c r="C9781" s="60" t="inlineStr">
        <is>
          <t>Vertex Men X-995</t>
        </is>
      </c>
      <c r="D9781" s="58" t="inlineStr">
        <is>
          <t>Apparel</t>
        </is>
      </c>
      <c r="E9781" s="58" t="inlineStr">
        <is>
          <t>East</t>
        </is>
      </c>
      <c r="F9781" s="61" t="n">
        <v>1</v>
      </c>
      <c r="G9781" s="62" t="n">
        <v>106.07</v>
      </c>
      <c r="H9781" s="63" t="n">
        <v>0.139</v>
      </c>
      <c r="I9781" s="62" t="n">
        <v>56.4</v>
      </c>
      <c r="J9781" s="58" t="inlineStr">
        <is>
          <t>Store</t>
        </is>
      </c>
      <c r="K9781" s="62">
        <f>F9781*(G9781-H9781)</f>
        <v/>
      </c>
      <c r="L9781" s="62">
        <f>K9781-(F9781*I9781)</f>
        <v/>
      </c>
      <c r="M9781" s="64">
        <f>L9781/K9781</f>
        <v/>
      </c>
    </row>
    <row r="9782">
      <c r="A9782" s="58" t="inlineStr">
        <is>
          <t>RT20250902-09781</t>
        </is>
      </c>
      <c r="B9782" s="59" t="inlineStr">
        <is>
          <t>2025-09-02</t>
        </is>
      </c>
      <c r="C9782" s="60" t="inlineStr">
        <is>
          <t>Falcon Kitchen X-130</t>
        </is>
      </c>
      <c r="D9782" s="58" t="inlineStr">
        <is>
          <t>Home</t>
        </is>
      </c>
      <c r="E9782" s="58" t="inlineStr">
        <is>
          <t>South</t>
        </is>
      </c>
      <c r="F9782" s="61" t="n">
        <v>2</v>
      </c>
      <c r="G9782" s="62" t="n">
        <v>323.04</v>
      </c>
      <c r="H9782" s="63" t="n">
        <v>0.08500000000000001</v>
      </c>
      <c r="I9782" s="62" t="n">
        <v>286.97</v>
      </c>
      <c r="J9782" s="58" t="inlineStr">
        <is>
          <t>Online</t>
        </is>
      </c>
      <c r="K9782" s="62">
        <f>F9782*(G9782-H9782)</f>
        <v/>
      </c>
      <c r="L9782" s="62">
        <f>K9782-(F9782*I9782)</f>
        <v/>
      </c>
      <c r="M9782" s="64">
        <f>L9782/K9782</f>
        <v/>
      </c>
    </row>
    <row r="9783">
      <c r="A9783" s="58" t="inlineStr">
        <is>
          <t>RT20250902-09782</t>
        </is>
      </c>
      <c r="B9783" s="59" t="inlineStr">
        <is>
          <t>2025-09-02</t>
        </is>
      </c>
      <c r="C9783" s="60" t="inlineStr">
        <is>
          <t>Solace Laptop S-367</t>
        </is>
      </c>
      <c r="D9783" s="58" t="inlineStr">
        <is>
          <t>Electronics</t>
        </is>
      </c>
      <c r="E9783" s="58" t="inlineStr">
        <is>
          <t>Central</t>
        </is>
      </c>
      <c r="F9783" s="61" t="n">
        <v>2</v>
      </c>
      <c r="G9783" s="62" t="n">
        <v>2050.46</v>
      </c>
      <c r="H9783" s="63" t="n">
        <v>0.113</v>
      </c>
      <c r="I9783" s="62" t="n">
        <v>1585.75</v>
      </c>
      <c r="J9783" s="58" t="inlineStr">
        <is>
          <t>Online</t>
        </is>
      </c>
      <c r="K9783" s="62">
        <f>F9783*(G9783-H9783)</f>
        <v/>
      </c>
      <c r="L9783" s="62">
        <f>K9783-(F9783*I9783)</f>
        <v/>
      </c>
      <c r="M9783" s="64">
        <f>L9783/K9783</f>
        <v/>
      </c>
    </row>
    <row r="9784">
      <c r="A9784" s="58" t="inlineStr">
        <is>
          <t>RT20250902-09783</t>
        </is>
      </c>
      <c r="B9784" s="59" t="inlineStr">
        <is>
          <t>2025-09-02</t>
        </is>
      </c>
      <c r="C9784" s="60" t="inlineStr">
        <is>
          <t>Polar Bedding Lite-243</t>
        </is>
      </c>
      <c r="D9784" s="58" t="inlineStr">
        <is>
          <t>Home</t>
        </is>
      </c>
      <c r="E9784" s="58" t="inlineStr">
        <is>
          <t>South</t>
        </is>
      </c>
      <c r="F9784" s="61" t="n">
        <v>2</v>
      </c>
      <c r="G9784" s="62" t="n">
        <v>504.69</v>
      </c>
      <c r="H9784" s="63" t="n">
        <v>0.129</v>
      </c>
      <c r="I9784" s="62" t="n">
        <v>327.09</v>
      </c>
      <c r="J9784" s="58" t="inlineStr">
        <is>
          <t>Online</t>
        </is>
      </c>
      <c r="K9784" s="62">
        <f>F9784*(G9784-H9784)</f>
        <v/>
      </c>
      <c r="L9784" s="62">
        <f>K9784-(F9784*I9784)</f>
        <v/>
      </c>
      <c r="M9784" s="64">
        <f>L9784/K9784</f>
        <v/>
      </c>
    </row>
    <row r="9785">
      <c r="A9785" s="58" t="inlineStr">
        <is>
          <t>RT20250902-09784</t>
        </is>
      </c>
      <c r="B9785" s="59" t="inlineStr">
        <is>
          <t>2025-09-02</t>
        </is>
      </c>
      <c r="C9785" s="60" t="inlineStr">
        <is>
          <t>Metro Accessorie Lite-697</t>
        </is>
      </c>
      <c r="D9785" s="58" t="inlineStr">
        <is>
          <t>Apparel</t>
        </is>
      </c>
      <c r="E9785" s="58" t="inlineStr">
        <is>
          <t>West</t>
        </is>
      </c>
      <c r="F9785" s="61" t="n">
        <v>1</v>
      </c>
      <c r="G9785" s="62" t="n">
        <v>133.82</v>
      </c>
      <c r="H9785" s="63" t="n">
        <v>0.154</v>
      </c>
      <c r="I9785" s="62" t="n">
        <v>76.08</v>
      </c>
      <c r="J9785" s="58" t="inlineStr">
        <is>
          <t>Online</t>
        </is>
      </c>
      <c r="K9785" s="62">
        <f>F9785*(G9785-H9785)</f>
        <v/>
      </c>
      <c r="L9785" s="62">
        <f>K9785-(F9785*I9785)</f>
        <v/>
      </c>
      <c r="M9785" s="64">
        <f>L9785/K9785</f>
        <v/>
      </c>
    </row>
    <row r="9786">
      <c r="A9786" s="58" t="inlineStr">
        <is>
          <t>RT20250902-09785</t>
        </is>
      </c>
      <c r="B9786" s="59" t="inlineStr">
        <is>
          <t>2025-09-02</t>
        </is>
      </c>
      <c r="C9786" s="60" t="inlineStr">
        <is>
          <t>Aurora Appliance Max-316</t>
        </is>
      </c>
      <c r="D9786" s="58" t="inlineStr">
        <is>
          <t>Home</t>
        </is>
      </c>
      <c r="E9786" s="58" t="inlineStr">
        <is>
          <t>East</t>
        </is>
      </c>
      <c r="F9786" s="61" t="n">
        <v>3</v>
      </c>
      <c r="G9786" s="62" t="n">
        <v>316.34</v>
      </c>
      <c r="H9786" s="63" t="n">
        <v>0.132</v>
      </c>
      <c r="I9786" s="62" t="n">
        <v>212.03</v>
      </c>
      <c r="J9786" s="58" t="inlineStr">
        <is>
          <t>Phone</t>
        </is>
      </c>
      <c r="K9786" s="62">
        <f>F9786*(G9786-H9786)</f>
        <v/>
      </c>
      <c r="L9786" s="62">
        <f>K9786-(F9786*I9786)</f>
        <v/>
      </c>
      <c r="M9786" s="64">
        <f>L9786/K9786</f>
        <v/>
      </c>
    </row>
    <row r="9787">
      <c r="A9787" s="58" t="inlineStr">
        <is>
          <t>RT20250902-09786</t>
        </is>
      </c>
      <c r="B9787" s="59" t="inlineStr">
        <is>
          <t>2025-09-02</t>
        </is>
      </c>
      <c r="C9787" s="60" t="inlineStr">
        <is>
          <t>Polar Decor Plus-505</t>
        </is>
      </c>
      <c r="D9787" s="58" t="inlineStr">
        <is>
          <t>Home</t>
        </is>
      </c>
      <c r="E9787" s="58" t="inlineStr">
        <is>
          <t>Central</t>
        </is>
      </c>
      <c r="F9787" s="61" t="n">
        <v>3</v>
      </c>
      <c r="G9787" s="62" t="n">
        <v>272.11</v>
      </c>
      <c r="H9787" s="63" t="n">
        <v>0.172</v>
      </c>
      <c r="I9787" s="62" t="n">
        <v>198.7</v>
      </c>
      <c r="J9787" s="58" t="inlineStr">
        <is>
          <t>Online</t>
        </is>
      </c>
      <c r="K9787" s="62">
        <f>F9787*(G9787-H9787)</f>
        <v/>
      </c>
      <c r="L9787" s="62">
        <f>K9787-(F9787*I9787)</f>
        <v/>
      </c>
      <c r="M9787" s="64">
        <f>L9787/K9787</f>
        <v/>
      </c>
    </row>
    <row r="9788">
      <c r="A9788" s="58" t="inlineStr">
        <is>
          <t>RT20250902-09787</t>
        </is>
      </c>
      <c r="B9788" s="59" t="inlineStr">
        <is>
          <t>2025-09-02</t>
        </is>
      </c>
      <c r="C9788" s="60" t="inlineStr">
        <is>
          <t>Metro Fragrance Lite-261</t>
        </is>
      </c>
      <c r="D9788" s="58" t="inlineStr">
        <is>
          <t>Beauty</t>
        </is>
      </c>
      <c r="E9788" s="58" t="inlineStr">
        <is>
          <t>East</t>
        </is>
      </c>
      <c r="F9788" s="61" t="n">
        <v>3</v>
      </c>
      <c r="G9788" s="62" t="n">
        <v>81.91</v>
      </c>
      <c r="H9788" s="63" t="n">
        <v>0.128</v>
      </c>
      <c r="I9788" s="62" t="n">
        <v>55.35</v>
      </c>
      <c r="J9788" s="58" t="inlineStr">
        <is>
          <t>Online</t>
        </is>
      </c>
      <c r="K9788" s="62">
        <f>F9788*(G9788-H9788)</f>
        <v/>
      </c>
      <c r="L9788" s="62">
        <f>K9788-(F9788*I9788)</f>
        <v/>
      </c>
      <c r="M9788" s="64">
        <f>L9788/K9788</f>
        <v/>
      </c>
    </row>
    <row r="9789">
      <c r="A9789" s="58" t="inlineStr">
        <is>
          <t>RT20250902-09788</t>
        </is>
      </c>
      <c r="B9789" s="59" t="inlineStr">
        <is>
          <t>2025-09-02</t>
        </is>
      </c>
      <c r="C9789" s="60" t="inlineStr">
        <is>
          <t>Vertex Printer Max-692</t>
        </is>
      </c>
      <c r="D9789" s="58" t="inlineStr">
        <is>
          <t>Office</t>
        </is>
      </c>
      <c r="E9789" s="58" t="inlineStr">
        <is>
          <t>West</t>
        </is>
      </c>
      <c r="F9789" s="61" t="n">
        <v>1</v>
      </c>
      <c r="G9789" s="62" t="n">
        <v>140.65</v>
      </c>
      <c r="H9789" s="63" t="n">
        <v>0.119</v>
      </c>
      <c r="I9789" s="62" t="n">
        <v>120.09</v>
      </c>
      <c r="J9789" s="58" t="inlineStr">
        <is>
          <t>Online</t>
        </is>
      </c>
      <c r="K9789" s="62">
        <f>F9789*(G9789-H9789)</f>
        <v/>
      </c>
      <c r="L9789" s="62">
        <f>K9789-(F9789*I9789)</f>
        <v/>
      </c>
      <c r="M9789" s="64">
        <f>L9789/K9789</f>
        <v/>
      </c>
    </row>
    <row r="9790">
      <c r="A9790" s="58" t="inlineStr">
        <is>
          <t>RT20250903-09789</t>
        </is>
      </c>
      <c r="B9790" s="59" t="inlineStr">
        <is>
          <t>2025-09-03</t>
        </is>
      </c>
      <c r="C9790" s="60" t="inlineStr">
        <is>
          <t>Polar Outdoor Lite-318</t>
        </is>
      </c>
      <c r="D9790" s="58" t="inlineStr">
        <is>
          <t>Sports</t>
        </is>
      </c>
      <c r="E9790" s="58" t="inlineStr">
        <is>
          <t>East</t>
        </is>
      </c>
      <c r="F9790" s="61" t="n">
        <v>1</v>
      </c>
      <c r="G9790" s="62" t="n">
        <v>745.4</v>
      </c>
      <c r="H9790" s="63" t="n">
        <v>0.155</v>
      </c>
      <c r="I9790" s="62" t="n">
        <v>456.73</v>
      </c>
      <c r="J9790" s="58" t="inlineStr">
        <is>
          <t>Store</t>
        </is>
      </c>
      <c r="K9790" s="62">
        <f>F9790*(G9790-H9790)</f>
        <v/>
      </c>
      <c r="L9790" s="62">
        <f>K9790-(F9790*I9790)</f>
        <v/>
      </c>
      <c r="M9790" s="64">
        <f>L9790/K9790</f>
        <v/>
      </c>
    </row>
    <row r="9791">
      <c r="A9791" s="58" t="inlineStr">
        <is>
          <t>RT20250903-09790</t>
        </is>
      </c>
      <c r="B9791" s="59" t="inlineStr">
        <is>
          <t>2025-09-03</t>
        </is>
      </c>
      <c r="C9791" s="60" t="inlineStr">
        <is>
          <t>Vertex Fitnes Pro-830</t>
        </is>
      </c>
      <c r="D9791" s="58" t="inlineStr">
        <is>
          <t>Sports</t>
        </is>
      </c>
      <c r="E9791" s="58" t="inlineStr">
        <is>
          <t>Central</t>
        </is>
      </c>
      <c r="F9791" s="61" t="n">
        <v>2</v>
      </c>
      <c r="G9791" s="62" t="n">
        <v>740.09</v>
      </c>
      <c r="H9791" s="63" t="n">
        <v>0.091</v>
      </c>
      <c r="I9791" s="62" t="n">
        <v>467.36</v>
      </c>
      <c r="J9791" s="58" t="inlineStr">
        <is>
          <t>Online</t>
        </is>
      </c>
      <c r="K9791" s="62">
        <f>F9791*(G9791-H9791)</f>
        <v/>
      </c>
      <c r="L9791" s="62">
        <f>K9791-(F9791*I9791)</f>
        <v/>
      </c>
      <c r="M9791" s="64">
        <f>L9791/K9791</f>
        <v/>
      </c>
    </row>
    <row r="9792">
      <c r="A9792" s="58" t="inlineStr">
        <is>
          <t>RT20250903-09791</t>
        </is>
      </c>
      <c r="B9792" s="59" t="inlineStr">
        <is>
          <t>2025-09-03</t>
        </is>
      </c>
      <c r="C9792" s="60" t="inlineStr">
        <is>
          <t>Solace Laptop S-367</t>
        </is>
      </c>
      <c r="D9792" s="58" t="inlineStr">
        <is>
          <t>Electronics</t>
        </is>
      </c>
      <c r="E9792" s="58" t="inlineStr">
        <is>
          <t>South</t>
        </is>
      </c>
      <c r="F9792" s="61" t="n">
        <v>1</v>
      </c>
      <c r="G9792" s="62" t="n">
        <v>1920.5</v>
      </c>
      <c r="H9792" s="63" t="n">
        <v>0.093</v>
      </c>
      <c r="I9792" s="62" t="n">
        <v>1591.28</v>
      </c>
      <c r="J9792" s="58" t="inlineStr">
        <is>
          <t>Store</t>
        </is>
      </c>
      <c r="K9792" s="62">
        <f>F9792*(G9792-H9792)</f>
        <v/>
      </c>
      <c r="L9792" s="62">
        <f>K9792-(F9792*I9792)</f>
        <v/>
      </c>
      <c r="M9792" s="64">
        <f>L9792/K9792</f>
        <v/>
      </c>
    </row>
    <row r="9793">
      <c r="A9793" s="58" t="inlineStr">
        <is>
          <t>RT20250903-09792</t>
        </is>
      </c>
      <c r="B9793" s="59" t="inlineStr">
        <is>
          <t>2025-09-03</t>
        </is>
      </c>
      <c r="C9793" s="60" t="inlineStr">
        <is>
          <t>Metro Outdoor Plus-787</t>
        </is>
      </c>
      <c r="D9793" s="58" t="inlineStr">
        <is>
          <t>Sports</t>
        </is>
      </c>
      <c r="E9793" s="58" t="inlineStr">
        <is>
          <t>East</t>
        </is>
      </c>
      <c r="F9793" s="61" t="n">
        <v>2</v>
      </c>
      <c r="G9793" s="62" t="n">
        <v>565.58</v>
      </c>
      <c r="H9793" s="63" t="n">
        <v>0.115</v>
      </c>
      <c r="I9793" s="62" t="n">
        <v>343.94</v>
      </c>
      <c r="J9793" s="58" t="inlineStr">
        <is>
          <t>Store</t>
        </is>
      </c>
      <c r="K9793" s="62">
        <f>F9793*(G9793-H9793)</f>
        <v/>
      </c>
      <c r="L9793" s="62">
        <f>K9793-(F9793*I9793)</f>
        <v/>
      </c>
      <c r="M9793" s="64">
        <f>L9793/K9793</f>
        <v/>
      </c>
    </row>
    <row r="9794">
      <c r="A9794" s="58" t="inlineStr">
        <is>
          <t>RT20250903-09793</t>
        </is>
      </c>
      <c r="B9794" s="59" t="inlineStr">
        <is>
          <t>2025-09-03</t>
        </is>
      </c>
      <c r="C9794" s="60" t="inlineStr">
        <is>
          <t>Vertex Pantry Pro-165</t>
        </is>
      </c>
      <c r="D9794" s="58" t="inlineStr">
        <is>
          <t>Grocery</t>
        </is>
      </c>
      <c r="E9794" s="58" t="inlineStr">
        <is>
          <t>Central</t>
        </is>
      </c>
      <c r="F9794" s="61" t="n">
        <v>5</v>
      </c>
      <c r="G9794" s="62" t="n">
        <v>15.81</v>
      </c>
      <c r="H9794" s="63" t="n">
        <v>0.08500000000000001</v>
      </c>
      <c r="I9794" s="62" t="n">
        <v>11.9</v>
      </c>
      <c r="J9794" s="58" t="inlineStr">
        <is>
          <t>Online</t>
        </is>
      </c>
      <c r="K9794" s="62">
        <f>F9794*(G9794-H9794)</f>
        <v/>
      </c>
      <c r="L9794" s="62">
        <f>K9794-(F9794*I9794)</f>
        <v/>
      </c>
      <c r="M9794" s="64">
        <f>L9794/K9794</f>
        <v/>
      </c>
    </row>
    <row r="9795">
      <c r="A9795" s="58" t="inlineStr">
        <is>
          <t>RT20250903-09794</t>
        </is>
      </c>
      <c r="B9795" s="59" t="inlineStr">
        <is>
          <t>2025-09-03</t>
        </is>
      </c>
      <c r="C9795" s="60" t="inlineStr">
        <is>
          <t>Aurora Household Plus-146</t>
        </is>
      </c>
      <c r="D9795" s="58" t="inlineStr">
        <is>
          <t>Grocery</t>
        </is>
      </c>
      <c r="E9795" s="58" t="inlineStr">
        <is>
          <t>North</t>
        </is>
      </c>
      <c r="F9795" s="61" t="n">
        <v>2</v>
      </c>
      <c r="G9795" s="62" t="n">
        <v>6.43</v>
      </c>
      <c r="H9795" s="63" t="n">
        <v>0.096</v>
      </c>
      <c r="I9795" s="62" t="n">
        <v>4.46</v>
      </c>
      <c r="J9795" s="58" t="inlineStr">
        <is>
          <t>Online</t>
        </is>
      </c>
      <c r="K9795" s="62">
        <f>F9795*(G9795-H9795)</f>
        <v/>
      </c>
      <c r="L9795" s="62">
        <f>K9795-(F9795*I9795)</f>
        <v/>
      </c>
      <c r="M9795" s="64">
        <f>L9795/K9795</f>
        <v/>
      </c>
    </row>
    <row r="9796">
      <c r="A9796" s="58" t="inlineStr">
        <is>
          <t>RT20250903-09795</t>
        </is>
      </c>
      <c r="B9796" s="59" t="inlineStr">
        <is>
          <t>2025-09-03</t>
        </is>
      </c>
      <c r="C9796" s="60" t="inlineStr">
        <is>
          <t>Falcon Storage X-734</t>
        </is>
      </c>
      <c r="D9796" s="58" t="inlineStr">
        <is>
          <t>Office</t>
        </is>
      </c>
      <c r="E9796" s="58" t="inlineStr">
        <is>
          <t>Central</t>
        </is>
      </c>
      <c r="F9796" s="61" t="n">
        <v>2</v>
      </c>
      <c r="G9796" s="62" t="n">
        <v>379.47</v>
      </c>
      <c r="H9796" s="63" t="n">
        <v>0.183</v>
      </c>
      <c r="I9796" s="62" t="n">
        <v>276.08</v>
      </c>
      <c r="J9796" s="58" t="inlineStr">
        <is>
          <t>Online</t>
        </is>
      </c>
      <c r="K9796" s="62">
        <f>F9796*(G9796-H9796)</f>
        <v/>
      </c>
      <c r="L9796" s="62">
        <f>K9796-(F9796*I9796)</f>
        <v/>
      </c>
      <c r="M9796" s="64">
        <f>L9796/K9796</f>
        <v/>
      </c>
    </row>
    <row r="9797">
      <c r="A9797" s="58" t="inlineStr">
        <is>
          <t>RT20250903-09796</t>
        </is>
      </c>
      <c r="B9797" s="59" t="inlineStr">
        <is>
          <t>2025-09-03</t>
        </is>
      </c>
      <c r="C9797" s="60" t="inlineStr">
        <is>
          <t>Aurora Bedding Max-175</t>
        </is>
      </c>
      <c r="D9797" s="58" t="inlineStr">
        <is>
          <t>Home</t>
        </is>
      </c>
      <c r="E9797" s="58" t="inlineStr">
        <is>
          <t>East</t>
        </is>
      </c>
      <c r="F9797" s="61" t="n">
        <v>2</v>
      </c>
      <c r="G9797" s="62" t="n">
        <v>626.88</v>
      </c>
      <c r="H9797" s="63" t="n">
        <v>0.078</v>
      </c>
      <c r="I9797" s="62" t="n">
        <v>414.33</v>
      </c>
      <c r="J9797" s="58" t="inlineStr">
        <is>
          <t>Store</t>
        </is>
      </c>
      <c r="K9797" s="62">
        <f>F9797*(G9797-H9797)</f>
        <v/>
      </c>
      <c r="L9797" s="62">
        <f>K9797-(F9797*I9797)</f>
        <v/>
      </c>
      <c r="M9797" s="64">
        <f>L9797/K9797</f>
        <v/>
      </c>
    </row>
    <row r="9798">
      <c r="A9798" s="58" t="inlineStr">
        <is>
          <t>RT20250903-09797</t>
        </is>
      </c>
      <c r="B9798" s="59" t="inlineStr">
        <is>
          <t>2025-09-03</t>
        </is>
      </c>
      <c r="C9798" s="60" t="inlineStr">
        <is>
          <t>Aurora Furniture X-709</t>
        </is>
      </c>
      <c r="D9798" s="58" t="inlineStr">
        <is>
          <t>Office</t>
        </is>
      </c>
      <c r="E9798" s="58" t="inlineStr">
        <is>
          <t>South</t>
        </is>
      </c>
      <c r="F9798" s="61" t="n">
        <v>1</v>
      </c>
      <c r="G9798" s="62" t="n">
        <v>439.57</v>
      </c>
      <c r="H9798" s="63" t="n">
        <v>0.135</v>
      </c>
      <c r="I9798" s="62" t="n">
        <v>298.87</v>
      </c>
      <c r="J9798" s="58" t="inlineStr">
        <is>
          <t>Store</t>
        </is>
      </c>
      <c r="K9798" s="62">
        <f>F9798*(G9798-H9798)</f>
        <v/>
      </c>
      <c r="L9798" s="62">
        <f>K9798-(F9798*I9798)</f>
        <v/>
      </c>
      <c r="M9798" s="64">
        <f>L9798/K9798</f>
        <v/>
      </c>
    </row>
    <row r="9799">
      <c r="A9799" s="58" t="inlineStr">
        <is>
          <t>RT20250903-09798</t>
        </is>
      </c>
      <c r="B9799" s="59" t="inlineStr">
        <is>
          <t>2025-09-03</t>
        </is>
      </c>
      <c r="C9799" s="60" t="inlineStr">
        <is>
          <t>Aurora Wearable Lite-704</t>
        </is>
      </c>
      <c r="D9799" s="58" t="inlineStr">
        <is>
          <t>Electronics</t>
        </is>
      </c>
      <c r="E9799" s="58" t="inlineStr">
        <is>
          <t>South</t>
        </is>
      </c>
      <c r="F9799" s="61" t="n">
        <v>2</v>
      </c>
      <c r="G9799" s="62" t="n">
        <v>1675.16</v>
      </c>
      <c r="H9799" s="63" t="n">
        <v>0.111</v>
      </c>
      <c r="I9799" s="62" t="n">
        <v>1445.85</v>
      </c>
      <c r="J9799" s="58" t="inlineStr">
        <is>
          <t>Online</t>
        </is>
      </c>
      <c r="K9799" s="62">
        <f>F9799*(G9799-H9799)</f>
        <v/>
      </c>
      <c r="L9799" s="62">
        <f>K9799-(F9799*I9799)</f>
        <v/>
      </c>
      <c r="M9799" s="64">
        <f>L9799/K9799</f>
        <v/>
      </c>
    </row>
    <row r="9800">
      <c r="A9800" s="58" t="inlineStr">
        <is>
          <t>RT20250903-09799</t>
        </is>
      </c>
      <c r="B9800" s="59" t="inlineStr">
        <is>
          <t>2025-09-03</t>
        </is>
      </c>
      <c r="C9800" s="60" t="inlineStr">
        <is>
          <t>Vertex Skincare Pro-891</t>
        </is>
      </c>
      <c r="D9800" s="58" t="inlineStr">
        <is>
          <t>Beauty</t>
        </is>
      </c>
      <c r="E9800" s="58" t="inlineStr">
        <is>
          <t>East</t>
        </is>
      </c>
      <c r="F9800" s="61" t="n">
        <v>2</v>
      </c>
      <c r="G9800" s="62" t="n">
        <v>135.08</v>
      </c>
      <c r="H9800" s="63" t="n">
        <v>0.136</v>
      </c>
      <c r="I9800" s="62" t="n">
        <v>89.29000000000001</v>
      </c>
      <c r="J9800" s="58" t="inlineStr">
        <is>
          <t>Online</t>
        </is>
      </c>
      <c r="K9800" s="62">
        <f>F9800*(G9800-H9800)</f>
        <v/>
      </c>
      <c r="L9800" s="62">
        <f>K9800-(F9800*I9800)</f>
        <v/>
      </c>
      <c r="M9800" s="64">
        <f>L9800/K9800</f>
        <v/>
      </c>
    </row>
    <row r="9801">
      <c r="A9801" s="58" t="inlineStr">
        <is>
          <t>RT20250903-09800</t>
        </is>
      </c>
      <c r="B9801" s="59" t="inlineStr">
        <is>
          <t>2025-09-03</t>
        </is>
      </c>
      <c r="C9801" s="60" t="inlineStr">
        <is>
          <t>Nimbus Cycling Plus-911</t>
        </is>
      </c>
      <c r="D9801" s="58" t="inlineStr">
        <is>
          <t>Sports</t>
        </is>
      </c>
      <c r="E9801" s="58" t="inlineStr">
        <is>
          <t>North</t>
        </is>
      </c>
      <c r="F9801" s="61" t="n">
        <v>1</v>
      </c>
      <c r="G9801" s="62" t="n">
        <v>683.3099999999999</v>
      </c>
      <c r="H9801" s="63" t="n">
        <v>0.094</v>
      </c>
      <c r="I9801" s="62" t="n">
        <v>391.12</v>
      </c>
      <c r="J9801" s="58" t="inlineStr">
        <is>
          <t>Online</t>
        </is>
      </c>
      <c r="K9801" s="62">
        <f>F9801*(G9801-H9801)</f>
        <v/>
      </c>
      <c r="L9801" s="62">
        <f>K9801-(F9801*I9801)</f>
        <v/>
      </c>
      <c r="M9801" s="64">
        <f>L9801/K9801</f>
        <v/>
      </c>
    </row>
    <row r="9802">
      <c r="A9802" s="58" t="inlineStr">
        <is>
          <t>RT20250903-09801</t>
        </is>
      </c>
      <c r="B9802" s="59" t="inlineStr">
        <is>
          <t>2025-09-03</t>
        </is>
      </c>
      <c r="C9802" s="60" t="inlineStr">
        <is>
          <t>Solace Smartphone Lite-533</t>
        </is>
      </c>
      <c r="D9802" s="58" t="inlineStr">
        <is>
          <t>Electronics</t>
        </is>
      </c>
      <c r="E9802" s="58" t="inlineStr">
        <is>
          <t>South</t>
        </is>
      </c>
      <c r="F9802" s="61" t="n">
        <v>2</v>
      </c>
      <c r="G9802" s="62" t="n">
        <v>1271.39</v>
      </c>
      <c r="H9802" s="63" t="n">
        <v>0.149</v>
      </c>
      <c r="I9802" s="62" t="n">
        <v>919.39</v>
      </c>
      <c r="J9802" s="58" t="inlineStr">
        <is>
          <t>Store</t>
        </is>
      </c>
      <c r="K9802" s="62">
        <f>F9802*(G9802-H9802)</f>
        <v/>
      </c>
      <c r="L9802" s="62">
        <f>K9802-(F9802*I9802)</f>
        <v/>
      </c>
      <c r="M9802" s="64">
        <f>L9802/K9802</f>
        <v/>
      </c>
    </row>
    <row r="9803">
      <c r="A9803" s="58" t="inlineStr">
        <is>
          <t>RT20250903-09802</t>
        </is>
      </c>
      <c r="B9803" s="59" t="inlineStr">
        <is>
          <t>2025-09-03</t>
        </is>
      </c>
      <c r="C9803" s="60" t="inlineStr">
        <is>
          <t>Aurora Wearable Lite-162</t>
        </is>
      </c>
      <c r="D9803" s="58" t="inlineStr">
        <is>
          <t>Electronics</t>
        </is>
      </c>
      <c r="E9803" s="58" t="inlineStr">
        <is>
          <t>Central</t>
        </is>
      </c>
      <c r="F9803" s="61" t="n">
        <v>2</v>
      </c>
      <c r="G9803" s="62" t="n">
        <v>1758.9</v>
      </c>
      <c r="H9803" s="63" t="n">
        <v>0.094</v>
      </c>
      <c r="I9803" s="62" t="n">
        <v>1200.4</v>
      </c>
      <c r="J9803" s="58" t="inlineStr">
        <is>
          <t>Online</t>
        </is>
      </c>
      <c r="K9803" s="62">
        <f>F9803*(G9803-H9803)</f>
        <v/>
      </c>
      <c r="L9803" s="62">
        <f>K9803-(F9803*I9803)</f>
        <v/>
      </c>
      <c r="M9803" s="64">
        <f>L9803/K9803</f>
        <v/>
      </c>
    </row>
    <row r="9804">
      <c r="A9804" s="58" t="inlineStr">
        <is>
          <t>RT20250903-09803</t>
        </is>
      </c>
      <c r="B9804" s="59" t="inlineStr">
        <is>
          <t>2025-09-03</t>
        </is>
      </c>
      <c r="C9804" s="60" t="inlineStr">
        <is>
          <t>Polar Haircare Max-614</t>
        </is>
      </c>
      <c r="D9804" s="58" t="inlineStr">
        <is>
          <t>Beauty</t>
        </is>
      </c>
      <c r="E9804" s="58" t="inlineStr">
        <is>
          <t>North</t>
        </is>
      </c>
      <c r="F9804" s="61" t="n">
        <v>3</v>
      </c>
      <c r="G9804" s="62" t="n">
        <v>107.72</v>
      </c>
      <c r="H9804" s="63" t="n">
        <v>0.113</v>
      </c>
      <c r="I9804" s="62" t="n">
        <v>71.62</v>
      </c>
      <c r="J9804" s="58" t="inlineStr">
        <is>
          <t>Store</t>
        </is>
      </c>
      <c r="K9804" s="62">
        <f>F9804*(G9804-H9804)</f>
        <v/>
      </c>
      <c r="L9804" s="62">
        <f>K9804-(F9804*I9804)</f>
        <v/>
      </c>
      <c r="M9804" s="64">
        <f>L9804/K9804</f>
        <v/>
      </c>
    </row>
    <row r="9805">
      <c r="A9805" s="58" t="inlineStr">
        <is>
          <t>RT20250903-09804</t>
        </is>
      </c>
      <c r="B9805" s="59" t="inlineStr">
        <is>
          <t>2025-09-03</t>
        </is>
      </c>
      <c r="C9805" s="60" t="inlineStr">
        <is>
          <t>Vertex Supplie Pro-786</t>
        </is>
      </c>
      <c r="D9805" s="58" t="inlineStr">
        <is>
          <t>Office</t>
        </is>
      </c>
      <c r="E9805" s="58" t="inlineStr">
        <is>
          <t>North</t>
        </is>
      </c>
      <c r="F9805" s="61" t="n">
        <v>3</v>
      </c>
      <c r="G9805" s="62" t="n">
        <v>417.27</v>
      </c>
      <c r="H9805" s="63" t="n">
        <v>0.186</v>
      </c>
      <c r="I9805" s="62" t="n">
        <v>302.24</v>
      </c>
      <c r="J9805" s="58" t="inlineStr">
        <is>
          <t>Phone</t>
        </is>
      </c>
      <c r="K9805" s="62">
        <f>F9805*(G9805-H9805)</f>
        <v/>
      </c>
      <c r="L9805" s="62">
        <f>K9805-(F9805*I9805)</f>
        <v/>
      </c>
      <c r="M9805" s="64">
        <f>L9805/K9805</f>
        <v/>
      </c>
    </row>
    <row r="9806">
      <c r="A9806" s="58" t="inlineStr">
        <is>
          <t>RT20250903-09805</t>
        </is>
      </c>
      <c r="B9806" s="59" t="inlineStr">
        <is>
          <t>2025-09-03</t>
        </is>
      </c>
      <c r="C9806" s="60" t="inlineStr">
        <is>
          <t>Solace Makeup Pro-214</t>
        </is>
      </c>
      <c r="D9806" s="58" t="inlineStr">
        <is>
          <t>Beauty</t>
        </is>
      </c>
      <c r="E9806" s="58" t="inlineStr">
        <is>
          <t>South</t>
        </is>
      </c>
      <c r="F9806" s="61" t="n">
        <v>4</v>
      </c>
      <c r="G9806" s="62" t="n">
        <v>111.83</v>
      </c>
      <c r="H9806" s="63" t="n">
        <v>0.131</v>
      </c>
      <c r="I9806" s="62" t="n">
        <v>69.20999999999999</v>
      </c>
      <c r="J9806" s="58" t="inlineStr">
        <is>
          <t>Online</t>
        </is>
      </c>
      <c r="K9806" s="62">
        <f>F9806*(G9806-H9806)</f>
        <v/>
      </c>
      <c r="L9806" s="62">
        <f>K9806-(F9806*I9806)</f>
        <v/>
      </c>
      <c r="M9806" s="64">
        <f>L9806/K9806</f>
        <v/>
      </c>
    </row>
    <row r="9807">
      <c r="A9807" s="58" t="inlineStr">
        <is>
          <t>RT20250903-09806</t>
        </is>
      </c>
      <c r="B9807" s="59" t="inlineStr">
        <is>
          <t>2025-09-03</t>
        </is>
      </c>
      <c r="C9807" s="60" t="inlineStr">
        <is>
          <t>Solace Laptop S-367</t>
        </is>
      </c>
      <c r="D9807" s="58" t="inlineStr">
        <is>
          <t>Electronics</t>
        </is>
      </c>
      <c r="E9807" s="58" t="inlineStr">
        <is>
          <t>East</t>
        </is>
      </c>
      <c r="F9807" s="61" t="n">
        <v>2</v>
      </c>
      <c r="G9807" s="62" t="n">
        <v>1986.52</v>
      </c>
      <c r="H9807" s="63" t="n">
        <v>0.129</v>
      </c>
      <c r="I9807" s="62" t="n">
        <v>1599.05</v>
      </c>
      <c r="J9807" s="58" t="inlineStr">
        <is>
          <t>Online</t>
        </is>
      </c>
      <c r="K9807" s="62">
        <f>F9807*(G9807-H9807)</f>
        <v/>
      </c>
      <c r="L9807" s="62">
        <f>K9807-(F9807*I9807)</f>
        <v/>
      </c>
      <c r="M9807" s="64">
        <f>L9807/K9807</f>
        <v/>
      </c>
    </row>
    <row r="9808">
      <c r="A9808" s="58" t="inlineStr">
        <is>
          <t>RT20250903-09807</t>
        </is>
      </c>
      <c r="B9808" s="59" t="inlineStr">
        <is>
          <t>2025-09-03</t>
        </is>
      </c>
      <c r="C9808" s="60" t="inlineStr">
        <is>
          <t>Vertex Supplie X-513</t>
        </is>
      </c>
      <c r="D9808" s="58" t="inlineStr">
        <is>
          <t>Office</t>
        </is>
      </c>
      <c r="E9808" s="58" t="inlineStr">
        <is>
          <t>Central</t>
        </is>
      </c>
      <c r="F9808" s="61" t="n">
        <v>2</v>
      </c>
      <c r="G9808" s="62" t="n">
        <v>411.2</v>
      </c>
      <c r="H9808" s="63" t="n">
        <v>0.115</v>
      </c>
      <c r="I9808" s="62" t="n">
        <v>276.69</v>
      </c>
      <c r="J9808" s="58" t="inlineStr">
        <is>
          <t>Online</t>
        </is>
      </c>
      <c r="K9808" s="62">
        <f>F9808*(G9808-H9808)</f>
        <v/>
      </c>
      <c r="L9808" s="62">
        <f>K9808-(F9808*I9808)</f>
        <v/>
      </c>
      <c r="M9808" s="64">
        <f>L9808/K9808</f>
        <v/>
      </c>
    </row>
    <row r="9809">
      <c r="A9809" s="58" t="inlineStr">
        <is>
          <t>RT20250903-09808</t>
        </is>
      </c>
      <c r="B9809" s="59" t="inlineStr">
        <is>
          <t>2025-09-03</t>
        </is>
      </c>
      <c r="C9809" s="60" t="inlineStr">
        <is>
          <t>Metro Outdoor Plus-787</t>
        </is>
      </c>
      <c r="D9809" s="58" t="inlineStr">
        <is>
          <t>Sports</t>
        </is>
      </c>
      <c r="E9809" s="58" t="inlineStr">
        <is>
          <t>East</t>
        </is>
      </c>
      <c r="F9809" s="61" t="n">
        <v>1</v>
      </c>
      <c r="G9809" s="62" t="n">
        <v>593.64</v>
      </c>
      <c r="H9809" s="63" t="n">
        <v>0.119</v>
      </c>
      <c r="I9809" s="62" t="n">
        <v>355.88</v>
      </c>
      <c r="J9809" s="58" t="inlineStr">
        <is>
          <t>Store</t>
        </is>
      </c>
      <c r="K9809" s="62">
        <f>F9809*(G9809-H9809)</f>
        <v/>
      </c>
      <c r="L9809" s="62">
        <f>K9809-(F9809*I9809)</f>
        <v/>
      </c>
      <c r="M9809" s="64">
        <f>L9809/K9809</f>
        <v/>
      </c>
    </row>
    <row r="9810">
      <c r="A9810" s="58" t="inlineStr">
        <is>
          <t>RT20250903-09809</t>
        </is>
      </c>
      <c r="B9810" s="59" t="inlineStr">
        <is>
          <t>2025-09-03</t>
        </is>
      </c>
      <c r="C9810" s="60" t="inlineStr">
        <is>
          <t>Orion Kid Max-640</t>
        </is>
      </c>
      <c r="D9810" s="58" t="inlineStr">
        <is>
          <t>Apparel</t>
        </is>
      </c>
      <c r="E9810" s="58" t="inlineStr">
        <is>
          <t>West</t>
        </is>
      </c>
      <c r="F9810" s="61" t="n">
        <v>1</v>
      </c>
      <c r="G9810" s="62" t="n">
        <v>122.6</v>
      </c>
      <c r="H9810" s="63" t="n">
        <v>0.06900000000000001</v>
      </c>
      <c r="I9810" s="62" t="n">
        <v>73.19</v>
      </c>
      <c r="J9810" s="58" t="inlineStr">
        <is>
          <t>Online</t>
        </is>
      </c>
      <c r="K9810" s="62">
        <f>F9810*(G9810-H9810)</f>
        <v/>
      </c>
      <c r="L9810" s="62">
        <f>K9810-(F9810*I9810)</f>
        <v/>
      </c>
      <c r="M9810" s="64">
        <f>L9810/K9810</f>
        <v/>
      </c>
    </row>
    <row r="9811">
      <c r="A9811" s="58" t="inlineStr">
        <is>
          <t>RT20250903-09810</t>
        </is>
      </c>
      <c r="B9811" s="59" t="inlineStr">
        <is>
          <t>2025-09-03</t>
        </is>
      </c>
      <c r="C9811" s="60" t="inlineStr">
        <is>
          <t>Aurora Printer Plus-991</t>
        </is>
      </c>
      <c r="D9811" s="58" t="inlineStr">
        <is>
          <t>Office</t>
        </is>
      </c>
      <c r="E9811" s="58" t="inlineStr">
        <is>
          <t>East</t>
        </is>
      </c>
      <c r="F9811" s="61" t="n">
        <v>1</v>
      </c>
      <c r="G9811" s="62" t="n">
        <v>555.61</v>
      </c>
      <c r="H9811" s="63" t="n">
        <v>0.075</v>
      </c>
      <c r="I9811" s="62" t="n">
        <v>367.98</v>
      </c>
      <c r="J9811" s="58" t="inlineStr">
        <is>
          <t>Online</t>
        </is>
      </c>
      <c r="K9811" s="62">
        <f>F9811*(G9811-H9811)</f>
        <v/>
      </c>
      <c r="L9811" s="62">
        <f>K9811-(F9811*I9811)</f>
        <v/>
      </c>
      <c r="M9811" s="64">
        <f>L9811/K9811</f>
        <v/>
      </c>
    </row>
    <row r="9812">
      <c r="A9812" s="58" t="inlineStr">
        <is>
          <t>RT20250903-09811</t>
        </is>
      </c>
      <c r="B9812" s="59" t="inlineStr">
        <is>
          <t>2025-09-03</t>
        </is>
      </c>
      <c r="C9812" s="60" t="inlineStr">
        <is>
          <t>Vertex Skincare Pro-891</t>
        </is>
      </c>
      <c r="D9812" s="58" t="inlineStr">
        <is>
          <t>Beauty</t>
        </is>
      </c>
      <c r="E9812" s="58" t="inlineStr">
        <is>
          <t>East</t>
        </is>
      </c>
      <c r="F9812" s="61" t="n">
        <v>1</v>
      </c>
      <c r="G9812" s="62" t="n">
        <v>150.1</v>
      </c>
      <c r="H9812" s="63" t="n">
        <v>0.136</v>
      </c>
      <c r="I9812" s="62" t="n">
        <v>87.22</v>
      </c>
      <c r="J9812" s="58" t="inlineStr">
        <is>
          <t>Online</t>
        </is>
      </c>
      <c r="K9812" s="62">
        <f>F9812*(G9812-H9812)</f>
        <v/>
      </c>
      <c r="L9812" s="62">
        <f>K9812-(F9812*I9812)</f>
        <v/>
      </c>
      <c r="M9812" s="64">
        <f>L9812/K9812</f>
        <v/>
      </c>
    </row>
    <row r="9813">
      <c r="A9813" s="58" t="inlineStr">
        <is>
          <t>RT20250903-09812</t>
        </is>
      </c>
      <c r="B9813" s="59" t="inlineStr">
        <is>
          <t>2025-09-03</t>
        </is>
      </c>
      <c r="C9813" s="60" t="inlineStr">
        <is>
          <t>Nimbus Storage Plus-646</t>
        </is>
      </c>
      <c r="D9813" s="58" t="inlineStr">
        <is>
          <t>Office</t>
        </is>
      </c>
      <c r="E9813" s="58" t="inlineStr">
        <is>
          <t>East</t>
        </is>
      </c>
      <c r="F9813" s="61" t="n">
        <v>3</v>
      </c>
      <c r="G9813" s="62" t="n">
        <v>496.61</v>
      </c>
      <c r="H9813" s="63" t="n">
        <v>0.067</v>
      </c>
      <c r="I9813" s="62" t="n">
        <v>311.74</v>
      </c>
      <c r="J9813" s="58" t="inlineStr">
        <is>
          <t>Store</t>
        </is>
      </c>
      <c r="K9813" s="62">
        <f>F9813*(G9813-H9813)</f>
        <v/>
      </c>
      <c r="L9813" s="62">
        <f>K9813-(F9813*I9813)</f>
        <v/>
      </c>
      <c r="M9813" s="64">
        <f>L9813/K9813</f>
        <v/>
      </c>
    </row>
    <row r="9814">
      <c r="A9814" s="58" t="inlineStr">
        <is>
          <t>RT20250903-09813</t>
        </is>
      </c>
      <c r="B9814" s="59" t="inlineStr">
        <is>
          <t>2025-09-03</t>
        </is>
      </c>
      <c r="C9814" s="60" t="inlineStr">
        <is>
          <t>Vertex Skincare Pro-891</t>
        </is>
      </c>
      <c r="D9814" s="58" t="inlineStr">
        <is>
          <t>Beauty</t>
        </is>
      </c>
      <c r="E9814" s="58" t="inlineStr">
        <is>
          <t>South</t>
        </is>
      </c>
      <c r="F9814" s="61" t="n">
        <v>1</v>
      </c>
      <c r="G9814" s="62" t="n">
        <v>163.48</v>
      </c>
      <c r="H9814" s="63" t="n">
        <v>0.105</v>
      </c>
      <c r="I9814" s="62" t="n">
        <v>88.05</v>
      </c>
      <c r="J9814" s="58" t="inlineStr">
        <is>
          <t>Store</t>
        </is>
      </c>
      <c r="K9814" s="62">
        <f>F9814*(G9814-H9814)</f>
        <v/>
      </c>
      <c r="L9814" s="62">
        <f>K9814-(F9814*I9814)</f>
        <v/>
      </c>
      <c r="M9814" s="64">
        <f>L9814/K9814</f>
        <v/>
      </c>
    </row>
    <row r="9815">
      <c r="A9815" s="58" t="inlineStr">
        <is>
          <t>RT20250903-09814</t>
        </is>
      </c>
      <c r="B9815" s="59" t="inlineStr">
        <is>
          <t>2025-09-03</t>
        </is>
      </c>
      <c r="C9815" s="60" t="inlineStr">
        <is>
          <t>Nimbus Decor Lite-385</t>
        </is>
      </c>
      <c r="D9815" s="58" t="inlineStr">
        <is>
          <t>Home</t>
        </is>
      </c>
      <c r="E9815" s="58" t="inlineStr">
        <is>
          <t>West</t>
        </is>
      </c>
      <c r="F9815" s="61" t="n">
        <v>2</v>
      </c>
      <c r="G9815" s="62" t="n">
        <v>561.11</v>
      </c>
      <c r="H9815" s="63" t="n">
        <v>0.08500000000000001</v>
      </c>
      <c r="I9815" s="62" t="n">
        <v>403.43</v>
      </c>
      <c r="J9815" s="58" t="inlineStr">
        <is>
          <t>Phone</t>
        </is>
      </c>
      <c r="K9815" s="62">
        <f>F9815*(G9815-H9815)</f>
        <v/>
      </c>
      <c r="L9815" s="62">
        <f>K9815-(F9815*I9815)</f>
        <v/>
      </c>
      <c r="M9815" s="64">
        <f>L9815/K9815</f>
        <v/>
      </c>
    </row>
    <row r="9816">
      <c r="A9816" s="58" t="inlineStr">
        <is>
          <t>RT20250903-09815</t>
        </is>
      </c>
      <c r="B9816" s="59" t="inlineStr">
        <is>
          <t>2025-09-03</t>
        </is>
      </c>
      <c r="C9816" s="60" t="inlineStr">
        <is>
          <t>Vertex Pantry Pro-165</t>
        </is>
      </c>
      <c r="D9816" s="58" t="inlineStr">
        <is>
          <t>Grocery</t>
        </is>
      </c>
      <c r="E9816" s="58" t="inlineStr">
        <is>
          <t>East</t>
        </is>
      </c>
      <c r="F9816" s="61" t="n">
        <v>7</v>
      </c>
      <c r="G9816" s="62" t="n">
        <v>16.01</v>
      </c>
      <c r="H9816" s="63" t="n">
        <v>0.146</v>
      </c>
      <c r="I9816" s="62" t="n">
        <v>11.46</v>
      </c>
      <c r="J9816" s="58" t="inlineStr">
        <is>
          <t>Store</t>
        </is>
      </c>
      <c r="K9816" s="62">
        <f>F9816*(G9816-H9816)</f>
        <v/>
      </c>
      <c r="L9816" s="62">
        <f>K9816-(F9816*I9816)</f>
        <v/>
      </c>
      <c r="M9816" s="64">
        <f>L9816/K9816</f>
        <v/>
      </c>
    </row>
    <row r="9817">
      <c r="A9817" s="58" t="inlineStr">
        <is>
          <t>RT20250903-09816</t>
        </is>
      </c>
      <c r="B9817" s="59" t="inlineStr">
        <is>
          <t>2025-09-03</t>
        </is>
      </c>
      <c r="C9817" s="60" t="inlineStr">
        <is>
          <t>Vertex Appliance Max-338</t>
        </is>
      </c>
      <c r="D9817" s="58" t="inlineStr">
        <is>
          <t>Home</t>
        </is>
      </c>
      <c r="E9817" s="58" t="inlineStr">
        <is>
          <t>East</t>
        </is>
      </c>
      <c r="F9817" s="61" t="n">
        <v>1</v>
      </c>
      <c r="G9817" s="62" t="n">
        <v>365.69</v>
      </c>
      <c r="H9817" s="63" t="n">
        <v>0.123</v>
      </c>
      <c r="I9817" s="62" t="n">
        <v>292.6</v>
      </c>
      <c r="J9817" s="58" t="inlineStr">
        <is>
          <t>Online</t>
        </is>
      </c>
      <c r="K9817" s="62">
        <f>F9817*(G9817-H9817)</f>
        <v/>
      </c>
      <c r="L9817" s="62">
        <f>K9817-(F9817*I9817)</f>
        <v/>
      </c>
      <c r="M9817" s="64">
        <f>L9817/K9817</f>
        <v/>
      </c>
    </row>
    <row r="9818">
      <c r="A9818" s="58" t="inlineStr">
        <is>
          <t>RT20250903-09817</t>
        </is>
      </c>
      <c r="B9818" s="59" t="inlineStr">
        <is>
          <t>2025-09-03</t>
        </is>
      </c>
      <c r="C9818" s="60" t="inlineStr">
        <is>
          <t>Vertex Decor Pro-618</t>
        </is>
      </c>
      <c r="D9818" s="58" t="inlineStr">
        <is>
          <t>Home</t>
        </is>
      </c>
      <c r="E9818" s="58" t="inlineStr">
        <is>
          <t>West</t>
        </is>
      </c>
      <c r="F9818" s="61" t="n">
        <v>3</v>
      </c>
      <c r="G9818" s="62" t="n">
        <v>585.0700000000001</v>
      </c>
      <c r="H9818" s="63" t="n">
        <v>0.121</v>
      </c>
      <c r="I9818" s="62" t="n">
        <v>387.12</v>
      </c>
      <c r="J9818" s="58" t="inlineStr">
        <is>
          <t>Store</t>
        </is>
      </c>
      <c r="K9818" s="62">
        <f>F9818*(G9818-H9818)</f>
        <v/>
      </c>
      <c r="L9818" s="62">
        <f>K9818-(F9818*I9818)</f>
        <v/>
      </c>
      <c r="M9818" s="64">
        <f>L9818/K9818</f>
        <v/>
      </c>
    </row>
    <row r="9819">
      <c r="A9819" s="58" t="inlineStr">
        <is>
          <t>RT20250903-09818</t>
        </is>
      </c>
      <c r="B9819" s="59" t="inlineStr">
        <is>
          <t>2025-09-03</t>
        </is>
      </c>
      <c r="C9819" s="60" t="inlineStr">
        <is>
          <t>Orion Kid Max-864</t>
        </is>
      </c>
      <c r="D9819" s="58" t="inlineStr">
        <is>
          <t>Apparel</t>
        </is>
      </c>
      <c r="E9819" s="58" t="inlineStr">
        <is>
          <t>South</t>
        </is>
      </c>
      <c r="F9819" s="61" t="n">
        <v>1</v>
      </c>
      <c r="G9819" s="62" t="n">
        <v>86.81</v>
      </c>
      <c r="H9819" s="63" t="n">
        <v>0.116</v>
      </c>
      <c r="I9819" s="62" t="n">
        <v>46.22</v>
      </c>
      <c r="J9819" s="58" t="inlineStr">
        <is>
          <t>Online</t>
        </is>
      </c>
      <c r="K9819" s="62">
        <f>F9819*(G9819-H9819)</f>
        <v/>
      </c>
      <c r="L9819" s="62">
        <f>K9819-(F9819*I9819)</f>
        <v/>
      </c>
      <c r="M9819" s="64">
        <f>L9819/K9819</f>
        <v/>
      </c>
    </row>
    <row r="9820">
      <c r="A9820" s="58" t="inlineStr">
        <is>
          <t>RT20250903-09819</t>
        </is>
      </c>
      <c r="B9820" s="59" t="inlineStr">
        <is>
          <t>2025-09-03</t>
        </is>
      </c>
      <c r="C9820" s="60" t="inlineStr">
        <is>
          <t>Aurora Skincare Max-798</t>
        </is>
      </c>
      <c r="D9820" s="58" t="inlineStr">
        <is>
          <t>Beauty</t>
        </is>
      </c>
      <c r="E9820" s="58" t="inlineStr">
        <is>
          <t>West</t>
        </is>
      </c>
      <c r="F9820" s="61" t="n">
        <v>1</v>
      </c>
      <c r="G9820" s="62" t="n">
        <v>97.91</v>
      </c>
      <c r="H9820" s="63" t="n">
        <v>0.076</v>
      </c>
      <c r="I9820" s="62" t="n">
        <v>69.66</v>
      </c>
      <c r="J9820" s="58" t="inlineStr">
        <is>
          <t>Online</t>
        </is>
      </c>
      <c r="K9820" s="62">
        <f>F9820*(G9820-H9820)</f>
        <v/>
      </c>
      <c r="L9820" s="62">
        <f>K9820-(F9820*I9820)</f>
        <v/>
      </c>
      <c r="M9820" s="64">
        <f>L9820/K9820</f>
        <v/>
      </c>
    </row>
    <row r="9821">
      <c r="A9821" s="58" t="inlineStr">
        <is>
          <t>RT20250904-09820</t>
        </is>
      </c>
      <c r="B9821" s="59" t="inlineStr">
        <is>
          <t>2025-09-04</t>
        </is>
      </c>
      <c r="C9821" s="60" t="inlineStr">
        <is>
          <t>Aurora Wearable Lite-704</t>
        </is>
      </c>
      <c r="D9821" s="58" t="inlineStr">
        <is>
          <t>Electronics</t>
        </is>
      </c>
      <c r="E9821" s="58" t="inlineStr">
        <is>
          <t>Central</t>
        </is>
      </c>
      <c r="F9821" s="61" t="n">
        <v>2</v>
      </c>
      <c r="G9821" s="62" t="n">
        <v>1929.1</v>
      </c>
      <c r="H9821" s="63" t="n">
        <v>0.111</v>
      </c>
      <c r="I9821" s="62" t="n">
        <v>1421.46</v>
      </c>
      <c r="J9821" s="58" t="inlineStr">
        <is>
          <t>Store</t>
        </is>
      </c>
      <c r="K9821" s="62">
        <f>F9821*(G9821-H9821)</f>
        <v/>
      </c>
      <c r="L9821" s="62">
        <f>K9821-(F9821*I9821)</f>
        <v/>
      </c>
      <c r="M9821" s="64">
        <f>L9821/K9821</f>
        <v/>
      </c>
    </row>
    <row r="9822">
      <c r="A9822" s="58" t="inlineStr">
        <is>
          <t>RT20250904-09821</t>
        </is>
      </c>
      <c r="B9822" s="59" t="inlineStr">
        <is>
          <t>2025-09-04</t>
        </is>
      </c>
      <c r="C9822" s="60" t="inlineStr">
        <is>
          <t>Orion Men X-928</t>
        </is>
      </c>
      <c r="D9822" s="58" t="inlineStr">
        <is>
          <t>Apparel</t>
        </is>
      </c>
      <c r="E9822" s="58" t="inlineStr">
        <is>
          <t>East</t>
        </is>
      </c>
      <c r="F9822" s="61" t="n">
        <v>2</v>
      </c>
      <c r="G9822" s="62" t="n">
        <v>103.3</v>
      </c>
      <c r="H9822" s="63" t="n">
        <v>0.104</v>
      </c>
      <c r="I9822" s="62" t="n">
        <v>62.06</v>
      </c>
      <c r="J9822" s="58" t="inlineStr">
        <is>
          <t>Online</t>
        </is>
      </c>
      <c r="K9822" s="62">
        <f>F9822*(G9822-H9822)</f>
        <v/>
      </c>
      <c r="L9822" s="62">
        <f>K9822-(F9822*I9822)</f>
        <v/>
      </c>
      <c r="M9822" s="64">
        <f>L9822/K9822</f>
        <v/>
      </c>
    </row>
    <row r="9823">
      <c r="A9823" s="58" t="inlineStr">
        <is>
          <t>RT20250904-09822</t>
        </is>
      </c>
      <c r="B9823" s="59" t="inlineStr">
        <is>
          <t>2025-09-04</t>
        </is>
      </c>
      <c r="C9823" s="60" t="inlineStr">
        <is>
          <t>Solace Bedding Plus-317</t>
        </is>
      </c>
      <c r="D9823" s="58" t="inlineStr">
        <is>
          <t>Home</t>
        </is>
      </c>
      <c r="E9823" s="58" t="inlineStr">
        <is>
          <t>North</t>
        </is>
      </c>
      <c r="F9823" s="61" t="n">
        <v>1</v>
      </c>
      <c r="G9823" s="62" t="n">
        <v>580.17</v>
      </c>
      <c r="H9823" s="63" t="n">
        <v>0.121</v>
      </c>
      <c r="I9823" s="62" t="n">
        <v>388.27</v>
      </c>
      <c r="J9823" s="58" t="inlineStr">
        <is>
          <t>Online</t>
        </is>
      </c>
      <c r="K9823" s="62">
        <f>F9823*(G9823-H9823)</f>
        <v/>
      </c>
      <c r="L9823" s="62">
        <f>K9823-(F9823*I9823)</f>
        <v/>
      </c>
      <c r="M9823" s="64">
        <f>L9823/K9823</f>
        <v/>
      </c>
    </row>
    <row r="9824">
      <c r="A9824" s="58" t="inlineStr">
        <is>
          <t>RT20250904-09823</t>
        </is>
      </c>
      <c r="B9824" s="59" t="inlineStr">
        <is>
          <t>2025-09-04</t>
        </is>
      </c>
      <c r="C9824" s="60" t="inlineStr">
        <is>
          <t>Vertex Appliance S-159</t>
        </is>
      </c>
      <c r="D9824" s="58" t="inlineStr">
        <is>
          <t>Home</t>
        </is>
      </c>
      <c r="E9824" s="58" t="inlineStr">
        <is>
          <t>East</t>
        </is>
      </c>
      <c r="F9824" s="61" t="n">
        <v>3</v>
      </c>
      <c r="G9824" s="62" t="n">
        <v>479.21</v>
      </c>
      <c r="H9824" s="63" t="n">
        <v>0.124</v>
      </c>
      <c r="I9824" s="62" t="n">
        <v>292.35</v>
      </c>
      <c r="J9824" s="58" t="inlineStr">
        <is>
          <t>Store</t>
        </is>
      </c>
      <c r="K9824" s="62">
        <f>F9824*(G9824-H9824)</f>
        <v/>
      </c>
      <c r="L9824" s="62">
        <f>K9824-(F9824*I9824)</f>
        <v/>
      </c>
      <c r="M9824" s="64">
        <f>L9824/K9824</f>
        <v/>
      </c>
    </row>
    <row r="9825">
      <c r="A9825" s="58" t="inlineStr">
        <is>
          <t>RT20250904-09824</t>
        </is>
      </c>
      <c r="B9825" s="59" t="inlineStr">
        <is>
          <t>2025-09-04</t>
        </is>
      </c>
      <c r="C9825" s="60" t="inlineStr">
        <is>
          <t>Metro Wearable Plus-234</t>
        </is>
      </c>
      <c r="D9825" s="58" t="inlineStr">
        <is>
          <t>Electronics</t>
        </is>
      </c>
      <c r="E9825" s="58" t="inlineStr">
        <is>
          <t>West</t>
        </is>
      </c>
      <c r="F9825" s="61" t="n">
        <v>2</v>
      </c>
      <c r="G9825" s="62" t="n">
        <v>1631.62</v>
      </c>
      <c r="H9825" s="63" t="n">
        <v>0.06</v>
      </c>
      <c r="I9825" s="62" t="n">
        <v>1187.36</v>
      </c>
      <c r="J9825" s="58" t="inlineStr">
        <is>
          <t>Online</t>
        </is>
      </c>
      <c r="K9825" s="62">
        <f>F9825*(G9825-H9825)</f>
        <v/>
      </c>
      <c r="L9825" s="62">
        <f>K9825-(F9825*I9825)</f>
        <v/>
      </c>
      <c r="M9825" s="64">
        <f>L9825/K9825</f>
        <v/>
      </c>
    </row>
    <row r="9826">
      <c r="A9826" s="58" t="inlineStr">
        <is>
          <t>RT20250904-09825</t>
        </is>
      </c>
      <c r="B9826" s="59" t="inlineStr">
        <is>
          <t>2025-09-04</t>
        </is>
      </c>
      <c r="C9826" s="60" t="inlineStr">
        <is>
          <t>Polar Wearable X-119</t>
        </is>
      </c>
      <c r="D9826" s="58" t="inlineStr">
        <is>
          <t>Electronics</t>
        </is>
      </c>
      <c r="E9826" s="58" t="inlineStr">
        <is>
          <t>West</t>
        </is>
      </c>
      <c r="F9826" s="61" t="n">
        <v>1</v>
      </c>
      <c r="G9826" s="62" t="n">
        <v>1652.13</v>
      </c>
      <c r="H9826" s="63" t="n">
        <v>0.096</v>
      </c>
      <c r="I9826" s="62" t="n">
        <v>1300.6</v>
      </c>
      <c r="J9826" s="58" t="inlineStr">
        <is>
          <t>Online</t>
        </is>
      </c>
      <c r="K9826" s="62">
        <f>F9826*(G9826-H9826)</f>
        <v/>
      </c>
      <c r="L9826" s="62">
        <f>K9826-(F9826*I9826)</f>
        <v/>
      </c>
      <c r="M9826" s="64">
        <f>L9826/K9826</f>
        <v/>
      </c>
    </row>
    <row r="9827">
      <c r="A9827" s="58" t="inlineStr">
        <is>
          <t>RT20250904-09826</t>
        </is>
      </c>
      <c r="B9827" s="59" t="inlineStr">
        <is>
          <t>2025-09-04</t>
        </is>
      </c>
      <c r="C9827" s="60" t="inlineStr">
        <is>
          <t>Vertex Accessorie Pro-881</t>
        </is>
      </c>
      <c r="D9827" s="58" t="inlineStr">
        <is>
          <t>Apparel</t>
        </is>
      </c>
      <c r="E9827" s="58" t="inlineStr">
        <is>
          <t>Central</t>
        </is>
      </c>
      <c r="F9827" s="61" t="n">
        <v>1</v>
      </c>
      <c r="G9827" s="62" t="n">
        <v>107.11</v>
      </c>
      <c r="H9827" s="63" t="n">
        <v>0.158</v>
      </c>
      <c r="I9827" s="62" t="n">
        <v>62.05</v>
      </c>
      <c r="J9827" s="58" t="inlineStr">
        <is>
          <t>Online</t>
        </is>
      </c>
      <c r="K9827" s="62">
        <f>F9827*(G9827-H9827)</f>
        <v/>
      </c>
      <c r="L9827" s="62">
        <f>K9827-(F9827*I9827)</f>
        <v/>
      </c>
      <c r="M9827" s="64">
        <f>L9827/K9827</f>
        <v/>
      </c>
    </row>
    <row r="9828">
      <c r="A9828" s="58" t="inlineStr">
        <is>
          <t>RT20250904-09827</t>
        </is>
      </c>
      <c r="B9828" s="59" t="inlineStr">
        <is>
          <t>2025-09-04</t>
        </is>
      </c>
      <c r="C9828" s="60" t="inlineStr">
        <is>
          <t>Vertex Supplie Pro-786</t>
        </is>
      </c>
      <c r="D9828" s="58" t="inlineStr">
        <is>
          <t>Office</t>
        </is>
      </c>
      <c r="E9828" s="58" t="inlineStr">
        <is>
          <t>North</t>
        </is>
      </c>
      <c r="F9828" s="61" t="n">
        <v>1</v>
      </c>
      <c r="G9828" s="62" t="n">
        <v>419.25</v>
      </c>
      <c r="H9828" s="63" t="n">
        <v>0.11</v>
      </c>
      <c r="I9828" s="62" t="n">
        <v>301.72</v>
      </c>
      <c r="J9828" s="58" t="inlineStr">
        <is>
          <t>Online</t>
        </is>
      </c>
      <c r="K9828" s="62">
        <f>F9828*(G9828-H9828)</f>
        <v/>
      </c>
      <c r="L9828" s="62">
        <f>K9828-(F9828*I9828)</f>
        <v/>
      </c>
      <c r="M9828" s="64">
        <f>L9828/K9828</f>
        <v/>
      </c>
    </row>
    <row r="9829">
      <c r="A9829" s="58" t="inlineStr">
        <is>
          <t>RT20250904-09828</t>
        </is>
      </c>
      <c r="B9829" s="59" t="inlineStr">
        <is>
          <t>2025-09-04</t>
        </is>
      </c>
      <c r="C9829" s="60" t="inlineStr">
        <is>
          <t>Nimbus Women Plus-352</t>
        </is>
      </c>
      <c r="D9829" s="58" t="inlineStr">
        <is>
          <t>Apparel</t>
        </is>
      </c>
      <c r="E9829" s="58" t="inlineStr">
        <is>
          <t>Central</t>
        </is>
      </c>
      <c r="F9829" s="61" t="n">
        <v>2</v>
      </c>
      <c r="G9829" s="62" t="n">
        <v>55.42</v>
      </c>
      <c r="H9829" s="63" t="n">
        <v>0.131</v>
      </c>
      <c r="I9829" s="62" t="n">
        <v>33.12</v>
      </c>
      <c r="J9829" s="58" t="inlineStr">
        <is>
          <t>Online</t>
        </is>
      </c>
      <c r="K9829" s="62">
        <f>F9829*(G9829-H9829)</f>
        <v/>
      </c>
      <c r="L9829" s="62">
        <f>K9829-(F9829*I9829)</f>
        <v/>
      </c>
      <c r="M9829" s="64">
        <f>L9829/K9829</f>
        <v/>
      </c>
    </row>
    <row r="9830">
      <c r="A9830" s="58" t="inlineStr">
        <is>
          <t>RT20250904-09829</t>
        </is>
      </c>
      <c r="B9830" s="59" t="inlineStr">
        <is>
          <t>2025-09-04</t>
        </is>
      </c>
      <c r="C9830" s="60" t="inlineStr">
        <is>
          <t>Solace Team Sport Max-548</t>
        </is>
      </c>
      <c r="D9830" s="58" t="inlineStr">
        <is>
          <t>Sports</t>
        </is>
      </c>
      <c r="E9830" s="58" t="inlineStr">
        <is>
          <t>South</t>
        </is>
      </c>
      <c r="F9830" s="61" t="n">
        <v>2</v>
      </c>
      <c r="G9830" s="62" t="n">
        <v>712.1900000000001</v>
      </c>
      <c r="H9830" s="63" t="n">
        <v>0.106</v>
      </c>
      <c r="I9830" s="62" t="n">
        <v>484.96</v>
      </c>
      <c r="J9830" s="58" t="inlineStr">
        <is>
          <t>Store</t>
        </is>
      </c>
      <c r="K9830" s="62">
        <f>F9830*(G9830-H9830)</f>
        <v/>
      </c>
      <c r="L9830" s="62">
        <f>K9830-(F9830*I9830)</f>
        <v/>
      </c>
      <c r="M9830" s="64">
        <f>L9830/K9830</f>
        <v/>
      </c>
    </row>
    <row r="9831">
      <c r="A9831" s="58" t="inlineStr">
        <is>
          <t>RT20250904-09830</t>
        </is>
      </c>
      <c r="B9831" s="59" t="inlineStr">
        <is>
          <t>2025-09-04</t>
        </is>
      </c>
      <c r="C9831" s="60" t="inlineStr">
        <is>
          <t>Vertex Furniture S-652</t>
        </is>
      </c>
      <c r="D9831" s="58" t="inlineStr">
        <is>
          <t>Office</t>
        </is>
      </c>
      <c r="E9831" s="58" t="inlineStr">
        <is>
          <t>North</t>
        </is>
      </c>
      <c r="F9831" s="61" t="n">
        <v>3</v>
      </c>
      <c r="G9831" s="62" t="n">
        <v>372.39</v>
      </c>
      <c r="H9831" s="63" t="n">
        <v>0.07199999999999999</v>
      </c>
      <c r="I9831" s="62" t="n">
        <v>260.22</v>
      </c>
      <c r="J9831" s="58" t="inlineStr">
        <is>
          <t>Online</t>
        </is>
      </c>
      <c r="K9831" s="62">
        <f>F9831*(G9831-H9831)</f>
        <v/>
      </c>
      <c r="L9831" s="62">
        <f>K9831-(F9831*I9831)</f>
        <v/>
      </c>
      <c r="M9831" s="64">
        <f>L9831/K9831</f>
        <v/>
      </c>
    </row>
    <row r="9832">
      <c r="A9832" s="58" t="inlineStr">
        <is>
          <t>RT20250904-09831</t>
        </is>
      </c>
      <c r="B9832" s="59" t="inlineStr">
        <is>
          <t>2025-09-04</t>
        </is>
      </c>
      <c r="C9832" s="60" t="inlineStr">
        <is>
          <t>Aurora Appliance Max-316</t>
        </is>
      </c>
      <c r="D9832" s="58" t="inlineStr">
        <is>
          <t>Home</t>
        </is>
      </c>
      <c r="E9832" s="58" t="inlineStr">
        <is>
          <t>South</t>
        </is>
      </c>
      <c r="F9832" s="61" t="n">
        <v>1</v>
      </c>
      <c r="G9832" s="62" t="n">
        <v>324.32</v>
      </c>
      <c r="H9832" s="63" t="n">
        <v>0.128</v>
      </c>
      <c r="I9832" s="62" t="n">
        <v>216.73</v>
      </c>
      <c r="J9832" s="58" t="inlineStr">
        <is>
          <t>Online</t>
        </is>
      </c>
      <c r="K9832" s="62">
        <f>F9832*(G9832-H9832)</f>
        <v/>
      </c>
      <c r="L9832" s="62">
        <f>K9832-(F9832*I9832)</f>
        <v/>
      </c>
      <c r="M9832" s="64">
        <f>L9832/K9832</f>
        <v/>
      </c>
    </row>
    <row r="9833">
      <c r="A9833" s="58" t="inlineStr">
        <is>
          <t>RT20250904-09832</t>
        </is>
      </c>
      <c r="B9833" s="59" t="inlineStr">
        <is>
          <t>2025-09-04</t>
        </is>
      </c>
      <c r="C9833" s="60" t="inlineStr">
        <is>
          <t>Polar Women Max-927</t>
        </is>
      </c>
      <c r="D9833" s="58" t="inlineStr">
        <is>
          <t>Apparel</t>
        </is>
      </c>
      <c r="E9833" s="58" t="inlineStr">
        <is>
          <t>North</t>
        </is>
      </c>
      <c r="F9833" s="61" t="n">
        <v>4</v>
      </c>
      <c r="G9833" s="62" t="n">
        <v>122.72</v>
      </c>
      <c r="H9833" s="63" t="n">
        <v>0.109</v>
      </c>
      <c r="I9833" s="62" t="n">
        <v>67.20999999999999</v>
      </c>
      <c r="J9833" s="58" t="inlineStr">
        <is>
          <t>Store</t>
        </is>
      </c>
      <c r="K9833" s="62">
        <f>F9833*(G9833-H9833)</f>
        <v/>
      </c>
      <c r="L9833" s="62">
        <f>K9833-(F9833*I9833)</f>
        <v/>
      </c>
      <c r="M9833" s="64">
        <f>L9833/K9833</f>
        <v/>
      </c>
    </row>
    <row r="9834">
      <c r="A9834" s="58" t="inlineStr">
        <is>
          <t>RT20250904-09833</t>
        </is>
      </c>
      <c r="B9834" s="59" t="inlineStr">
        <is>
          <t>2025-09-04</t>
        </is>
      </c>
      <c r="C9834" s="60" t="inlineStr">
        <is>
          <t>Vertex Men X-995</t>
        </is>
      </c>
      <c r="D9834" s="58" t="inlineStr">
        <is>
          <t>Apparel</t>
        </is>
      </c>
      <c r="E9834" s="58" t="inlineStr">
        <is>
          <t>West</t>
        </is>
      </c>
      <c r="F9834" s="61" t="n">
        <v>4</v>
      </c>
      <c r="G9834" s="62" t="n">
        <v>108.54</v>
      </c>
      <c r="H9834" s="63" t="n">
        <v>0.131</v>
      </c>
      <c r="I9834" s="62" t="n">
        <v>59.54</v>
      </c>
      <c r="J9834" s="58" t="inlineStr">
        <is>
          <t>Store</t>
        </is>
      </c>
      <c r="K9834" s="62">
        <f>F9834*(G9834-H9834)</f>
        <v/>
      </c>
      <c r="L9834" s="62">
        <f>K9834-(F9834*I9834)</f>
        <v/>
      </c>
      <c r="M9834" s="64">
        <f>L9834/K9834</f>
        <v/>
      </c>
    </row>
    <row r="9835">
      <c r="A9835" s="58" t="inlineStr">
        <is>
          <t>RT20250904-09834</t>
        </is>
      </c>
      <c r="B9835" s="59" t="inlineStr">
        <is>
          <t>2025-09-04</t>
        </is>
      </c>
      <c r="C9835" s="60" t="inlineStr">
        <is>
          <t>Aurora Outdoor Pro-467</t>
        </is>
      </c>
      <c r="D9835" s="58" t="inlineStr">
        <is>
          <t>Sports</t>
        </is>
      </c>
      <c r="E9835" s="58" t="inlineStr">
        <is>
          <t>Central</t>
        </is>
      </c>
      <c r="F9835" s="61" t="n">
        <v>2</v>
      </c>
      <c r="G9835" s="62" t="n">
        <v>302.3</v>
      </c>
      <c r="H9835" s="63" t="n">
        <v>0.08500000000000001</v>
      </c>
      <c r="I9835" s="62" t="n">
        <v>193.56</v>
      </c>
      <c r="J9835" s="58" t="inlineStr">
        <is>
          <t>Store</t>
        </is>
      </c>
      <c r="K9835" s="62">
        <f>F9835*(G9835-H9835)</f>
        <v/>
      </c>
      <c r="L9835" s="62">
        <f>K9835-(F9835*I9835)</f>
        <v/>
      </c>
      <c r="M9835" s="64">
        <f>L9835/K9835</f>
        <v/>
      </c>
    </row>
    <row r="9836">
      <c r="A9836" s="58" t="inlineStr">
        <is>
          <t>RT20250904-09835</t>
        </is>
      </c>
      <c r="B9836" s="59" t="inlineStr">
        <is>
          <t>2025-09-04</t>
        </is>
      </c>
      <c r="C9836" s="60" t="inlineStr">
        <is>
          <t>Vertex Men X-995</t>
        </is>
      </c>
      <c r="D9836" s="58" t="inlineStr">
        <is>
          <t>Apparel</t>
        </is>
      </c>
      <c r="E9836" s="58" t="inlineStr">
        <is>
          <t>South</t>
        </is>
      </c>
      <c r="F9836" s="61" t="n">
        <v>1</v>
      </c>
      <c r="G9836" s="62" t="n">
        <v>103.9</v>
      </c>
      <c r="H9836" s="63" t="n">
        <v>0.098</v>
      </c>
      <c r="I9836" s="62" t="n">
        <v>57.34</v>
      </c>
      <c r="J9836" s="58" t="inlineStr">
        <is>
          <t>Online</t>
        </is>
      </c>
      <c r="K9836" s="62">
        <f>F9836*(G9836-H9836)</f>
        <v/>
      </c>
      <c r="L9836" s="62">
        <f>K9836-(F9836*I9836)</f>
        <v/>
      </c>
      <c r="M9836" s="64">
        <f>L9836/K9836</f>
        <v/>
      </c>
    </row>
    <row r="9837">
      <c r="A9837" s="58" t="inlineStr">
        <is>
          <t>RT20250904-09836</t>
        </is>
      </c>
      <c r="B9837" s="59" t="inlineStr">
        <is>
          <t>2025-09-04</t>
        </is>
      </c>
      <c r="C9837" s="60" t="inlineStr">
        <is>
          <t>Falcon Headphone Pro-713</t>
        </is>
      </c>
      <c r="D9837" s="58" t="inlineStr">
        <is>
          <t>Electronics</t>
        </is>
      </c>
      <c r="E9837" s="58" t="inlineStr">
        <is>
          <t>East</t>
        </is>
      </c>
      <c r="F9837" s="61" t="n">
        <v>1</v>
      </c>
      <c r="G9837" s="62" t="n">
        <v>1536.39</v>
      </c>
      <c r="H9837" s="63" t="n">
        <v>0.135</v>
      </c>
      <c r="I9837" s="62" t="n">
        <v>1191.01</v>
      </c>
      <c r="J9837" s="58" t="inlineStr">
        <is>
          <t>Online</t>
        </is>
      </c>
      <c r="K9837" s="62">
        <f>F9837*(G9837-H9837)</f>
        <v/>
      </c>
      <c r="L9837" s="62">
        <f>K9837-(F9837*I9837)</f>
        <v/>
      </c>
      <c r="M9837" s="64">
        <f>L9837/K9837</f>
        <v/>
      </c>
    </row>
    <row r="9838">
      <c r="A9838" s="58" t="inlineStr">
        <is>
          <t>RT20250904-09837</t>
        </is>
      </c>
      <c r="B9838" s="59" t="inlineStr">
        <is>
          <t>2025-09-04</t>
        </is>
      </c>
      <c r="C9838" s="60" t="inlineStr">
        <is>
          <t>Aurora Printer Plus-991</t>
        </is>
      </c>
      <c r="D9838" s="58" t="inlineStr">
        <is>
          <t>Office</t>
        </is>
      </c>
      <c r="E9838" s="58" t="inlineStr">
        <is>
          <t>East</t>
        </is>
      </c>
      <c r="F9838" s="61" t="n">
        <v>3</v>
      </c>
      <c r="G9838" s="62" t="n">
        <v>516.6</v>
      </c>
      <c r="H9838" s="63" t="n">
        <v>0.117</v>
      </c>
      <c r="I9838" s="62" t="n">
        <v>380.35</v>
      </c>
      <c r="J9838" s="58" t="inlineStr">
        <is>
          <t>Online</t>
        </is>
      </c>
      <c r="K9838" s="62">
        <f>F9838*(G9838-H9838)</f>
        <v/>
      </c>
      <c r="L9838" s="62">
        <f>K9838-(F9838*I9838)</f>
        <v/>
      </c>
      <c r="M9838" s="64">
        <f>L9838/K9838</f>
        <v/>
      </c>
    </row>
    <row r="9839">
      <c r="A9839" s="58" t="inlineStr">
        <is>
          <t>RT20250904-09838</t>
        </is>
      </c>
      <c r="B9839" s="59" t="inlineStr">
        <is>
          <t>2025-09-04</t>
        </is>
      </c>
      <c r="C9839" s="60" t="inlineStr">
        <is>
          <t>Metro Pantry Max-180</t>
        </is>
      </c>
      <c r="D9839" s="58" t="inlineStr">
        <is>
          <t>Grocery</t>
        </is>
      </c>
      <c r="E9839" s="58" t="inlineStr">
        <is>
          <t>West</t>
        </is>
      </c>
      <c r="F9839" s="61" t="n">
        <v>5</v>
      </c>
      <c r="G9839" s="62" t="n">
        <v>7.95</v>
      </c>
      <c r="H9839" s="63" t="n">
        <v>0.129</v>
      </c>
      <c r="I9839" s="62" t="n">
        <v>6.55</v>
      </c>
      <c r="J9839" s="58" t="inlineStr">
        <is>
          <t>Online</t>
        </is>
      </c>
      <c r="K9839" s="62">
        <f>F9839*(G9839-H9839)</f>
        <v/>
      </c>
      <c r="L9839" s="62">
        <f>K9839-(F9839*I9839)</f>
        <v/>
      </c>
      <c r="M9839" s="64">
        <f>L9839/K9839</f>
        <v/>
      </c>
    </row>
    <row r="9840">
      <c r="A9840" s="58" t="inlineStr">
        <is>
          <t>RT20250904-09839</t>
        </is>
      </c>
      <c r="B9840" s="59" t="inlineStr">
        <is>
          <t>2025-09-04</t>
        </is>
      </c>
      <c r="C9840" s="60" t="inlineStr">
        <is>
          <t>Vertex Supplie Pro-786</t>
        </is>
      </c>
      <c r="D9840" s="58" t="inlineStr">
        <is>
          <t>Office</t>
        </is>
      </c>
      <c r="E9840" s="58" t="inlineStr">
        <is>
          <t>East</t>
        </is>
      </c>
      <c r="F9840" s="61" t="n">
        <v>3</v>
      </c>
      <c r="G9840" s="62" t="n">
        <v>465.24</v>
      </c>
      <c r="H9840" s="63" t="n">
        <v>0.128</v>
      </c>
      <c r="I9840" s="62" t="n">
        <v>302.25</v>
      </c>
      <c r="J9840" s="58" t="inlineStr">
        <is>
          <t>Store</t>
        </is>
      </c>
      <c r="K9840" s="62">
        <f>F9840*(G9840-H9840)</f>
        <v/>
      </c>
      <c r="L9840" s="62">
        <f>K9840-(F9840*I9840)</f>
        <v/>
      </c>
      <c r="M9840" s="64">
        <f>L9840/K9840</f>
        <v/>
      </c>
    </row>
    <row r="9841">
      <c r="A9841" s="58" t="inlineStr">
        <is>
          <t>RT20250904-09840</t>
        </is>
      </c>
      <c r="B9841" s="59" t="inlineStr">
        <is>
          <t>2025-09-04</t>
        </is>
      </c>
      <c r="C9841" s="60" t="inlineStr">
        <is>
          <t>Solace Makeup Pro-214</t>
        </is>
      </c>
      <c r="D9841" s="58" t="inlineStr">
        <is>
          <t>Beauty</t>
        </is>
      </c>
      <c r="E9841" s="58" t="inlineStr">
        <is>
          <t>West</t>
        </is>
      </c>
      <c r="F9841" s="61" t="n">
        <v>3</v>
      </c>
      <c r="G9841" s="62" t="n">
        <v>111.78</v>
      </c>
      <c r="H9841" s="63" t="n">
        <v>0.112</v>
      </c>
      <c r="I9841" s="62" t="n">
        <v>69.29000000000001</v>
      </c>
      <c r="J9841" s="58" t="inlineStr">
        <is>
          <t>Store</t>
        </is>
      </c>
      <c r="K9841" s="62">
        <f>F9841*(G9841-H9841)</f>
        <v/>
      </c>
      <c r="L9841" s="62">
        <f>K9841-(F9841*I9841)</f>
        <v/>
      </c>
      <c r="M9841" s="64">
        <f>L9841/K9841</f>
        <v/>
      </c>
    </row>
    <row r="9842">
      <c r="A9842" s="58" t="inlineStr">
        <is>
          <t>RT20250904-09841</t>
        </is>
      </c>
      <c r="B9842" s="59" t="inlineStr">
        <is>
          <t>2025-09-04</t>
        </is>
      </c>
      <c r="C9842" s="60" t="inlineStr">
        <is>
          <t>Falcon Bedding S-674</t>
        </is>
      </c>
      <c r="D9842" s="58" t="inlineStr">
        <is>
          <t>Home</t>
        </is>
      </c>
      <c r="E9842" s="58" t="inlineStr">
        <is>
          <t>South</t>
        </is>
      </c>
      <c r="F9842" s="61" t="n">
        <v>2</v>
      </c>
      <c r="G9842" s="62" t="n">
        <v>745.16</v>
      </c>
      <c r="H9842" s="63" t="n">
        <v>0.121</v>
      </c>
      <c r="I9842" s="62" t="n">
        <v>456</v>
      </c>
      <c r="J9842" s="58" t="inlineStr">
        <is>
          <t>Store</t>
        </is>
      </c>
      <c r="K9842" s="62">
        <f>F9842*(G9842-H9842)</f>
        <v/>
      </c>
      <c r="L9842" s="62">
        <f>K9842-(F9842*I9842)</f>
        <v/>
      </c>
      <c r="M9842" s="64">
        <f>L9842/K9842</f>
        <v/>
      </c>
    </row>
    <row r="9843">
      <c r="A9843" s="58" t="inlineStr">
        <is>
          <t>RT20250904-09842</t>
        </is>
      </c>
      <c r="B9843" s="59" t="inlineStr">
        <is>
          <t>2025-09-04</t>
        </is>
      </c>
      <c r="C9843" s="60" t="inlineStr">
        <is>
          <t>Orion Supplie S-612</t>
        </is>
      </c>
      <c r="D9843" s="58" t="inlineStr">
        <is>
          <t>Office</t>
        </is>
      </c>
      <c r="E9843" s="58" t="inlineStr">
        <is>
          <t>Central</t>
        </is>
      </c>
      <c r="F9843" s="61" t="n">
        <v>2</v>
      </c>
      <c r="G9843" s="62" t="n">
        <v>472.13</v>
      </c>
      <c r="H9843" s="63" t="n">
        <v>0.077</v>
      </c>
      <c r="I9843" s="62" t="n">
        <v>333.73</v>
      </c>
      <c r="J9843" s="58" t="inlineStr">
        <is>
          <t>Store</t>
        </is>
      </c>
      <c r="K9843" s="62">
        <f>F9843*(G9843-H9843)</f>
        <v/>
      </c>
      <c r="L9843" s="62">
        <f>K9843-(F9843*I9843)</f>
        <v/>
      </c>
      <c r="M9843" s="64">
        <f>L9843/K9843</f>
        <v/>
      </c>
    </row>
    <row r="9844">
      <c r="A9844" s="58" t="inlineStr">
        <is>
          <t>RT20250904-09843</t>
        </is>
      </c>
      <c r="B9844" s="59" t="inlineStr">
        <is>
          <t>2025-09-04</t>
        </is>
      </c>
      <c r="C9844" s="60" t="inlineStr">
        <is>
          <t>Orion Beverage Plus-949</t>
        </is>
      </c>
      <c r="D9844" s="58" t="inlineStr">
        <is>
          <t>Grocery</t>
        </is>
      </c>
      <c r="E9844" s="58" t="inlineStr">
        <is>
          <t>West</t>
        </is>
      </c>
      <c r="F9844" s="61" t="n">
        <v>6</v>
      </c>
      <c r="G9844" s="62" t="n">
        <v>18.72</v>
      </c>
      <c r="H9844" s="63" t="n">
        <v>0.119</v>
      </c>
      <c r="I9844" s="62" t="n">
        <v>13.53</v>
      </c>
      <c r="J9844" s="58" t="inlineStr">
        <is>
          <t>Phone</t>
        </is>
      </c>
      <c r="K9844" s="62">
        <f>F9844*(G9844-H9844)</f>
        <v/>
      </c>
      <c r="L9844" s="62">
        <f>K9844-(F9844*I9844)</f>
        <v/>
      </c>
      <c r="M9844" s="64">
        <f>L9844/K9844</f>
        <v/>
      </c>
    </row>
    <row r="9845">
      <c r="A9845" s="58" t="inlineStr">
        <is>
          <t>RT20250904-09844</t>
        </is>
      </c>
      <c r="B9845" s="59" t="inlineStr">
        <is>
          <t>2025-09-04</t>
        </is>
      </c>
      <c r="C9845" s="60" t="inlineStr">
        <is>
          <t>Falcon Furniture Plus-839</t>
        </is>
      </c>
      <c r="D9845" s="58" t="inlineStr">
        <is>
          <t>Office</t>
        </is>
      </c>
      <c r="E9845" s="58" t="inlineStr">
        <is>
          <t>East</t>
        </is>
      </c>
      <c r="F9845" s="61" t="n">
        <v>1</v>
      </c>
      <c r="G9845" s="62" t="n">
        <v>305.71</v>
      </c>
      <c r="H9845" s="63" t="n">
        <v>0.147</v>
      </c>
      <c r="I9845" s="62" t="n">
        <v>230.12</v>
      </c>
      <c r="J9845" s="58" t="inlineStr">
        <is>
          <t>Online</t>
        </is>
      </c>
      <c r="K9845" s="62">
        <f>F9845*(G9845-H9845)</f>
        <v/>
      </c>
      <c r="L9845" s="62">
        <f>K9845-(F9845*I9845)</f>
        <v/>
      </c>
      <c r="M9845" s="64">
        <f>L9845/K9845</f>
        <v/>
      </c>
    </row>
    <row r="9846">
      <c r="A9846" s="58" t="inlineStr">
        <is>
          <t>RT20250904-09845</t>
        </is>
      </c>
      <c r="B9846" s="59" t="inlineStr">
        <is>
          <t>2025-09-04</t>
        </is>
      </c>
      <c r="C9846" s="60" t="inlineStr">
        <is>
          <t>Nimbus Men Plus-231</t>
        </is>
      </c>
      <c r="D9846" s="58" t="inlineStr">
        <is>
          <t>Apparel</t>
        </is>
      </c>
      <c r="E9846" s="58" t="inlineStr">
        <is>
          <t>West</t>
        </is>
      </c>
      <c r="F9846" s="61" t="n">
        <v>3</v>
      </c>
      <c r="G9846" s="62" t="n">
        <v>186.62</v>
      </c>
      <c r="H9846" s="63" t="n">
        <v>0.12</v>
      </c>
      <c r="I9846" s="62" t="n">
        <v>86.81</v>
      </c>
      <c r="J9846" s="58" t="inlineStr">
        <is>
          <t>Online</t>
        </is>
      </c>
      <c r="K9846" s="62">
        <f>F9846*(G9846-H9846)</f>
        <v/>
      </c>
      <c r="L9846" s="62">
        <f>K9846-(F9846*I9846)</f>
        <v/>
      </c>
      <c r="M9846" s="64">
        <f>L9846/K9846</f>
        <v/>
      </c>
    </row>
    <row r="9847">
      <c r="A9847" s="58" t="inlineStr">
        <is>
          <t>RT20250904-09846</t>
        </is>
      </c>
      <c r="B9847" s="59" t="inlineStr">
        <is>
          <t>2025-09-04</t>
        </is>
      </c>
      <c r="C9847" s="60" t="inlineStr">
        <is>
          <t>Polar Fragrance Pro-750</t>
        </is>
      </c>
      <c r="D9847" s="58" t="inlineStr">
        <is>
          <t>Beauty</t>
        </is>
      </c>
      <c r="E9847" s="58" t="inlineStr">
        <is>
          <t>East</t>
        </is>
      </c>
      <c r="F9847" s="61" t="n">
        <v>4</v>
      </c>
      <c r="G9847" s="62" t="n">
        <v>61.84</v>
      </c>
      <c r="H9847" s="63" t="n">
        <v>0.141</v>
      </c>
      <c r="I9847" s="62" t="n">
        <v>36.59</v>
      </c>
      <c r="J9847" s="58" t="inlineStr">
        <is>
          <t>Online</t>
        </is>
      </c>
      <c r="K9847" s="62">
        <f>F9847*(G9847-H9847)</f>
        <v/>
      </c>
      <c r="L9847" s="62">
        <f>K9847-(F9847*I9847)</f>
        <v/>
      </c>
      <c r="M9847" s="64">
        <f>L9847/K9847</f>
        <v/>
      </c>
    </row>
    <row r="9848">
      <c r="A9848" s="58" t="inlineStr">
        <is>
          <t>RT20250904-09847</t>
        </is>
      </c>
      <c r="B9848" s="59" t="inlineStr">
        <is>
          <t>2025-09-04</t>
        </is>
      </c>
      <c r="C9848" s="60" t="inlineStr">
        <is>
          <t>Polar Laptop Plus-984</t>
        </is>
      </c>
      <c r="D9848" s="58" t="inlineStr">
        <is>
          <t>Electronics</t>
        </is>
      </c>
      <c r="E9848" s="58" t="inlineStr">
        <is>
          <t>East</t>
        </is>
      </c>
      <c r="F9848" s="61" t="n">
        <v>2</v>
      </c>
      <c r="G9848" s="62" t="n">
        <v>1363.66</v>
      </c>
      <c r="H9848" s="63" t="n">
        <v>0.101</v>
      </c>
      <c r="I9848" s="62" t="n">
        <v>1018.54</v>
      </c>
      <c r="J9848" s="58" t="inlineStr">
        <is>
          <t>Online</t>
        </is>
      </c>
      <c r="K9848" s="62">
        <f>F9848*(G9848-H9848)</f>
        <v/>
      </c>
      <c r="L9848" s="62">
        <f>K9848-(F9848*I9848)</f>
        <v/>
      </c>
      <c r="M9848" s="64">
        <f>L9848/K9848</f>
        <v/>
      </c>
    </row>
    <row r="9849">
      <c r="A9849" s="58" t="inlineStr">
        <is>
          <t>RT20250904-09848</t>
        </is>
      </c>
      <c r="B9849" s="59" t="inlineStr">
        <is>
          <t>2025-09-04</t>
        </is>
      </c>
      <c r="C9849" s="60" t="inlineStr">
        <is>
          <t>Vertex Smartphone Pro-256</t>
        </is>
      </c>
      <c r="D9849" s="58" t="inlineStr">
        <is>
          <t>Electronics</t>
        </is>
      </c>
      <c r="E9849" s="58" t="inlineStr">
        <is>
          <t>South</t>
        </is>
      </c>
      <c r="F9849" s="61" t="n">
        <v>1</v>
      </c>
      <c r="G9849" s="62" t="n">
        <v>1098.01</v>
      </c>
      <c r="H9849" s="63" t="n">
        <v>0.111</v>
      </c>
      <c r="I9849" s="62" t="n">
        <v>928.1900000000001</v>
      </c>
      <c r="J9849" s="58" t="inlineStr">
        <is>
          <t>Store</t>
        </is>
      </c>
      <c r="K9849" s="62">
        <f>F9849*(G9849-H9849)</f>
        <v/>
      </c>
      <c r="L9849" s="62">
        <f>K9849-(F9849*I9849)</f>
        <v/>
      </c>
      <c r="M9849" s="64">
        <f>L9849/K9849</f>
        <v/>
      </c>
    </row>
    <row r="9850">
      <c r="A9850" s="58" t="inlineStr">
        <is>
          <t>RT20250904-09849</t>
        </is>
      </c>
      <c r="B9850" s="59" t="inlineStr">
        <is>
          <t>2025-09-04</t>
        </is>
      </c>
      <c r="C9850" s="60" t="inlineStr">
        <is>
          <t>Nimbus Fitnes Lite-516</t>
        </is>
      </c>
      <c r="D9850" s="58" t="inlineStr">
        <is>
          <t>Sports</t>
        </is>
      </c>
      <c r="E9850" s="58" t="inlineStr">
        <is>
          <t>East</t>
        </is>
      </c>
      <c r="F9850" s="61" t="n">
        <v>1</v>
      </c>
      <c r="G9850" s="62" t="n">
        <v>755.8200000000001</v>
      </c>
      <c r="H9850" s="63" t="n">
        <v>0.114</v>
      </c>
      <c r="I9850" s="62" t="n">
        <v>475.08</v>
      </c>
      <c r="J9850" s="58" t="inlineStr">
        <is>
          <t>Online</t>
        </is>
      </c>
      <c r="K9850" s="62">
        <f>F9850*(G9850-H9850)</f>
        <v/>
      </c>
      <c r="L9850" s="62">
        <f>K9850-(F9850*I9850)</f>
        <v/>
      </c>
      <c r="M9850" s="64">
        <f>L9850/K9850</f>
        <v/>
      </c>
    </row>
    <row r="9851">
      <c r="A9851" s="58" t="inlineStr">
        <is>
          <t>RT20250904-09850</t>
        </is>
      </c>
      <c r="B9851" s="59" t="inlineStr">
        <is>
          <t>2025-09-04</t>
        </is>
      </c>
      <c r="C9851" s="60" t="inlineStr">
        <is>
          <t>Metro Pantry X-710</t>
        </is>
      </c>
      <c r="D9851" s="58" t="inlineStr">
        <is>
          <t>Grocery</t>
        </is>
      </c>
      <c r="E9851" s="58" t="inlineStr">
        <is>
          <t>Central</t>
        </is>
      </c>
      <c r="F9851" s="61" t="n">
        <v>2</v>
      </c>
      <c r="G9851" s="62" t="n">
        <v>5.39</v>
      </c>
      <c r="H9851" s="63" t="n">
        <v>0.076</v>
      </c>
      <c r="I9851" s="62" t="n">
        <v>4.19</v>
      </c>
      <c r="J9851" s="58" t="inlineStr">
        <is>
          <t>Online</t>
        </is>
      </c>
      <c r="K9851" s="62">
        <f>F9851*(G9851-H9851)</f>
        <v/>
      </c>
      <c r="L9851" s="62">
        <f>K9851-(F9851*I9851)</f>
        <v/>
      </c>
      <c r="M9851" s="64">
        <f>L9851/K9851</f>
        <v/>
      </c>
    </row>
    <row r="9852">
      <c r="A9852" s="58" t="inlineStr">
        <is>
          <t>RT20250904-09851</t>
        </is>
      </c>
      <c r="B9852" s="59" t="inlineStr">
        <is>
          <t>2025-09-04</t>
        </is>
      </c>
      <c r="C9852" s="60" t="inlineStr">
        <is>
          <t>Nimbus Furniture Pro-479</t>
        </is>
      </c>
      <c r="D9852" s="58" t="inlineStr">
        <is>
          <t>Office</t>
        </is>
      </c>
      <c r="E9852" s="58" t="inlineStr">
        <is>
          <t>South</t>
        </is>
      </c>
      <c r="F9852" s="61" t="n">
        <v>1</v>
      </c>
      <c r="G9852" s="62" t="n">
        <v>327.64</v>
      </c>
      <c r="H9852" s="63" t="n">
        <v>0.14</v>
      </c>
      <c r="I9852" s="62" t="n">
        <v>237.42</v>
      </c>
      <c r="J9852" s="58" t="inlineStr">
        <is>
          <t>Online</t>
        </is>
      </c>
      <c r="K9852" s="62">
        <f>F9852*(G9852-H9852)</f>
        <v/>
      </c>
      <c r="L9852" s="62">
        <f>K9852-(F9852*I9852)</f>
        <v/>
      </c>
      <c r="M9852" s="64">
        <f>L9852/K9852</f>
        <v/>
      </c>
    </row>
    <row r="9853">
      <c r="A9853" s="58" t="inlineStr">
        <is>
          <t>RT20250904-09852</t>
        </is>
      </c>
      <c r="B9853" s="59" t="inlineStr">
        <is>
          <t>2025-09-04</t>
        </is>
      </c>
      <c r="C9853" s="60" t="inlineStr">
        <is>
          <t>Metro Fragrance Lite-261</t>
        </is>
      </c>
      <c r="D9853" s="58" t="inlineStr">
        <is>
          <t>Beauty</t>
        </is>
      </c>
      <c r="E9853" s="58" t="inlineStr">
        <is>
          <t>East</t>
        </is>
      </c>
      <c r="F9853" s="61" t="n">
        <v>4</v>
      </c>
      <c r="G9853" s="62" t="n">
        <v>93.86</v>
      </c>
      <c r="H9853" s="63" t="n">
        <v>0.097</v>
      </c>
      <c r="I9853" s="62" t="n">
        <v>55.03</v>
      </c>
      <c r="J9853" s="58" t="inlineStr">
        <is>
          <t>Store</t>
        </is>
      </c>
      <c r="K9853" s="62">
        <f>F9853*(G9853-H9853)</f>
        <v/>
      </c>
      <c r="L9853" s="62">
        <f>K9853-(F9853*I9853)</f>
        <v/>
      </c>
      <c r="M9853" s="64">
        <f>L9853/K9853</f>
        <v/>
      </c>
    </row>
    <row r="9854">
      <c r="A9854" s="58" t="inlineStr">
        <is>
          <t>RT20250904-09853</t>
        </is>
      </c>
      <c r="B9854" s="59" t="inlineStr">
        <is>
          <t>2025-09-04</t>
        </is>
      </c>
      <c r="C9854" s="60" t="inlineStr">
        <is>
          <t>Nimbus Women Plus-352</t>
        </is>
      </c>
      <c r="D9854" s="58" t="inlineStr">
        <is>
          <t>Apparel</t>
        </is>
      </c>
      <c r="E9854" s="58" t="inlineStr">
        <is>
          <t>North</t>
        </is>
      </c>
      <c r="F9854" s="61" t="n">
        <v>4</v>
      </c>
      <c r="G9854" s="62" t="n">
        <v>63.23</v>
      </c>
      <c r="H9854" s="63" t="n">
        <v>0.096</v>
      </c>
      <c r="I9854" s="62" t="n">
        <v>33.22</v>
      </c>
      <c r="J9854" s="58" t="inlineStr">
        <is>
          <t>Store</t>
        </is>
      </c>
      <c r="K9854" s="62">
        <f>F9854*(G9854-H9854)</f>
        <v/>
      </c>
      <c r="L9854" s="62">
        <f>K9854-(F9854*I9854)</f>
        <v/>
      </c>
      <c r="M9854" s="64">
        <f>L9854/K9854</f>
        <v/>
      </c>
    </row>
    <row r="9855">
      <c r="A9855" s="58" t="inlineStr">
        <is>
          <t>RT20250904-09854</t>
        </is>
      </c>
      <c r="B9855" s="59" t="inlineStr">
        <is>
          <t>2025-09-04</t>
        </is>
      </c>
      <c r="C9855" s="60" t="inlineStr">
        <is>
          <t>Solace Fitnes S-324</t>
        </is>
      </c>
      <c r="D9855" s="58" t="inlineStr">
        <is>
          <t>Sports</t>
        </is>
      </c>
      <c r="E9855" s="58" t="inlineStr">
        <is>
          <t>West</t>
        </is>
      </c>
      <c r="F9855" s="61" t="n">
        <v>1</v>
      </c>
      <c r="G9855" s="62" t="n">
        <v>776.71</v>
      </c>
      <c r="H9855" s="63" t="n">
        <v>0.132</v>
      </c>
      <c r="I9855" s="62" t="n">
        <v>536.1</v>
      </c>
      <c r="J9855" s="58" t="inlineStr">
        <is>
          <t>Online</t>
        </is>
      </c>
      <c r="K9855" s="62">
        <f>F9855*(G9855-H9855)</f>
        <v/>
      </c>
      <c r="L9855" s="62">
        <f>K9855-(F9855*I9855)</f>
        <v/>
      </c>
      <c r="M9855" s="64">
        <f>L9855/K9855</f>
        <v/>
      </c>
    </row>
    <row r="9856">
      <c r="A9856" s="58" t="inlineStr">
        <is>
          <t>RT20250904-09855</t>
        </is>
      </c>
      <c r="B9856" s="59" t="inlineStr">
        <is>
          <t>2025-09-04</t>
        </is>
      </c>
      <c r="C9856" s="60" t="inlineStr">
        <is>
          <t>Vertex Accessorie Pro-881</t>
        </is>
      </c>
      <c r="D9856" s="58" t="inlineStr">
        <is>
          <t>Apparel</t>
        </is>
      </c>
      <c r="E9856" s="58" t="inlineStr">
        <is>
          <t>North</t>
        </is>
      </c>
      <c r="F9856" s="61" t="n">
        <v>1</v>
      </c>
      <c r="G9856" s="62" t="n">
        <v>111.6</v>
      </c>
      <c r="H9856" s="63" t="n">
        <v>0.127</v>
      </c>
      <c r="I9856" s="62" t="n">
        <v>65</v>
      </c>
      <c r="J9856" s="58" t="inlineStr">
        <is>
          <t>Online</t>
        </is>
      </c>
      <c r="K9856" s="62">
        <f>F9856*(G9856-H9856)</f>
        <v/>
      </c>
      <c r="L9856" s="62">
        <f>K9856-(F9856*I9856)</f>
        <v/>
      </c>
      <c r="M9856" s="64">
        <f>L9856/K9856</f>
        <v/>
      </c>
    </row>
    <row r="9857">
      <c r="A9857" s="58" t="inlineStr">
        <is>
          <t>RT20250904-09856</t>
        </is>
      </c>
      <c r="B9857" s="59" t="inlineStr">
        <is>
          <t>2025-09-04</t>
        </is>
      </c>
      <c r="C9857" s="60" t="inlineStr">
        <is>
          <t>Solace Headphone Pro-344</t>
        </is>
      </c>
      <c r="D9857" s="58" t="inlineStr">
        <is>
          <t>Electronics</t>
        </is>
      </c>
      <c r="E9857" s="58" t="inlineStr">
        <is>
          <t>Central</t>
        </is>
      </c>
      <c r="F9857" s="61" t="n">
        <v>1</v>
      </c>
      <c r="G9857" s="62" t="n">
        <v>1340.89</v>
      </c>
      <c r="H9857" s="63" t="n">
        <v>0.108</v>
      </c>
      <c r="I9857" s="62" t="n">
        <v>1068.72</v>
      </c>
      <c r="J9857" s="58" t="inlineStr">
        <is>
          <t>Online</t>
        </is>
      </c>
      <c r="K9857" s="62">
        <f>F9857*(G9857-H9857)</f>
        <v/>
      </c>
      <c r="L9857" s="62">
        <f>K9857-(F9857*I9857)</f>
        <v/>
      </c>
      <c r="M9857" s="64">
        <f>L9857/K9857</f>
        <v/>
      </c>
    </row>
    <row r="9858">
      <c r="A9858" s="58" t="inlineStr">
        <is>
          <t>RT20250904-09857</t>
        </is>
      </c>
      <c r="B9858" s="59" t="inlineStr">
        <is>
          <t>2025-09-04</t>
        </is>
      </c>
      <c r="C9858" s="60" t="inlineStr">
        <is>
          <t>Aurora Team Sport Plus-256</t>
        </is>
      </c>
      <c r="D9858" s="58" t="inlineStr">
        <is>
          <t>Sports</t>
        </is>
      </c>
      <c r="E9858" s="58" t="inlineStr">
        <is>
          <t>North</t>
        </is>
      </c>
      <c r="F9858" s="61" t="n">
        <v>1</v>
      </c>
      <c r="G9858" s="62" t="n">
        <v>586.77</v>
      </c>
      <c r="H9858" s="63" t="n">
        <v>0.122</v>
      </c>
      <c r="I9858" s="62" t="n">
        <v>413.13</v>
      </c>
      <c r="J9858" s="58" t="inlineStr">
        <is>
          <t>Online</t>
        </is>
      </c>
      <c r="K9858" s="62">
        <f>F9858*(G9858-H9858)</f>
        <v/>
      </c>
      <c r="L9858" s="62">
        <f>K9858-(F9858*I9858)</f>
        <v/>
      </c>
      <c r="M9858" s="64">
        <f>L9858/K9858</f>
        <v/>
      </c>
    </row>
    <row r="9859">
      <c r="A9859" s="58" t="inlineStr">
        <is>
          <t>RT20250904-09858</t>
        </is>
      </c>
      <c r="B9859" s="59" t="inlineStr">
        <is>
          <t>2025-09-04</t>
        </is>
      </c>
      <c r="C9859" s="60" t="inlineStr">
        <is>
          <t>Aurora Fragrance S-971</t>
        </is>
      </c>
      <c r="D9859" s="58" t="inlineStr">
        <is>
          <t>Beauty</t>
        </is>
      </c>
      <c r="E9859" s="58" t="inlineStr">
        <is>
          <t>East</t>
        </is>
      </c>
      <c r="F9859" s="61" t="n">
        <v>3</v>
      </c>
      <c r="G9859" s="62" t="n">
        <v>110.36</v>
      </c>
      <c r="H9859" s="63" t="n">
        <v>0.127</v>
      </c>
      <c r="I9859" s="62" t="n">
        <v>67.39</v>
      </c>
      <c r="J9859" s="58" t="inlineStr">
        <is>
          <t>Store</t>
        </is>
      </c>
      <c r="K9859" s="62">
        <f>F9859*(G9859-H9859)</f>
        <v/>
      </c>
      <c r="L9859" s="62">
        <f>K9859-(F9859*I9859)</f>
        <v/>
      </c>
      <c r="M9859" s="64">
        <f>L9859/K9859</f>
        <v/>
      </c>
    </row>
    <row r="9860">
      <c r="A9860" s="58" t="inlineStr">
        <is>
          <t>RT20250904-09859</t>
        </is>
      </c>
      <c r="B9860" s="59" t="inlineStr">
        <is>
          <t>2025-09-04</t>
        </is>
      </c>
      <c r="C9860" s="60" t="inlineStr">
        <is>
          <t>Polar Decor Plus-505</t>
        </is>
      </c>
      <c r="D9860" s="58" t="inlineStr">
        <is>
          <t>Home</t>
        </is>
      </c>
      <c r="E9860" s="58" t="inlineStr">
        <is>
          <t>East</t>
        </is>
      </c>
      <c r="F9860" s="61" t="n">
        <v>3</v>
      </c>
      <c r="G9860" s="62" t="n">
        <v>293.94</v>
      </c>
      <c r="H9860" s="63" t="n">
        <v>0.132</v>
      </c>
      <c r="I9860" s="62" t="n">
        <v>203.17</v>
      </c>
      <c r="J9860" s="58" t="inlineStr">
        <is>
          <t>Online</t>
        </is>
      </c>
      <c r="K9860" s="62">
        <f>F9860*(G9860-H9860)</f>
        <v/>
      </c>
      <c r="L9860" s="62">
        <f>K9860-(F9860*I9860)</f>
        <v/>
      </c>
      <c r="M9860" s="64">
        <f>L9860/K9860</f>
        <v/>
      </c>
    </row>
    <row r="9861">
      <c r="A9861" s="58" t="inlineStr">
        <is>
          <t>RT20250905-09860</t>
        </is>
      </c>
      <c r="B9861" s="59" t="inlineStr">
        <is>
          <t>2025-09-05</t>
        </is>
      </c>
      <c r="C9861" s="60" t="inlineStr">
        <is>
          <t>Aurora Wearable Lite-162</t>
        </is>
      </c>
      <c r="D9861" s="58" t="inlineStr">
        <is>
          <t>Electronics</t>
        </is>
      </c>
      <c r="E9861" s="58" t="inlineStr">
        <is>
          <t>East</t>
        </is>
      </c>
      <c r="F9861" s="61" t="n">
        <v>1</v>
      </c>
      <c r="G9861" s="62" t="n">
        <v>1614.74</v>
      </c>
      <c r="H9861" s="63" t="n">
        <v>0.153</v>
      </c>
      <c r="I9861" s="62" t="n">
        <v>1175.81</v>
      </c>
      <c r="J9861" s="58" t="inlineStr">
        <is>
          <t>Store</t>
        </is>
      </c>
      <c r="K9861" s="62">
        <f>F9861*(G9861-H9861)</f>
        <v/>
      </c>
      <c r="L9861" s="62">
        <f>K9861-(F9861*I9861)</f>
        <v/>
      </c>
      <c r="M9861" s="64">
        <f>L9861/K9861</f>
        <v/>
      </c>
    </row>
    <row r="9862">
      <c r="A9862" s="58" t="inlineStr">
        <is>
          <t>RT20250905-09861</t>
        </is>
      </c>
      <c r="B9862" s="59" t="inlineStr">
        <is>
          <t>2025-09-05</t>
        </is>
      </c>
      <c r="C9862" s="60" t="inlineStr">
        <is>
          <t>Aurora Appliance Max-316</t>
        </is>
      </c>
      <c r="D9862" s="58" t="inlineStr">
        <is>
          <t>Home</t>
        </is>
      </c>
      <c r="E9862" s="58" t="inlineStr">
        <is>
          <t>South</t>
        </is>
      </c>
      <c r="F9862" s="61" t="n">
        <v>2</v>
      </c>
      <c r="G9862" s="62" t="n">
        <v>264.94</v>
      </c>
      <c r="H9862" s="63" t="n">
        <v>0.143</v>
      </c>
      <c r="I9862" s="62" t="n">
        <v>219.7</v>
      </c>
      <c r="J9862" s="58" t="inlineStr">
        <is>
          <t>Online</t>
        </is>
      </c>
      <c r="K9862" s="62">
        <f>F9862*(G9862-H9862)</f>
        <v/>
      </c>
      <c r="L9862" s="62">
        <f>K9862-(F9862*I9862)</f>
        <v/>
      </c>
      <c r="M9862" s="64">
        <f>L9862/K9862</f>
        <v/>
      </c>
    </row>
    <row r="9863">
      <c r="A9863" s="58" t="inlineStr">
        <is>
          <t>RT20250905-09862</t>
        </is>
      </c>
      <c r="B9863" s="59" t="inlineStr">
        <is>
          <t>2025-09-05</t>
        </is>
      </c>
      <c r="C9863" s="60" t="inlineStr">
        <is>
          <t>Polar Pantry Lite-392</t>
        </is>
      </c>
      <c r="D9863" s="58" t="inlineStr">
        <is>
          <t>Grocery</t>
        </is>
      </c>
      <c r="E9863" s="58" t="inlineStr">
        <is>
          <t>West</t>
        </is>
      </c>
      <c r="F9863" s="61" t="n">
        <v>1</v>
      </c>
      <c r="G9863" s="62" t="n">
        <v>6.28</v>
      </c>
      <c r="H9863" s="63" t="n">
        <v>0.127</v>
      </c>
      <c r="I9863" s="62" t="n">
        <v>4.5</v>
      </c>
      <c r="J9863" s="58" t="inlineStr">
        <is>
          <t>Online</t>
        </is>
      </c>
      <c r="K9863" s="62">
        <f>F9863*(G9863-H9863)</f>
        <v/>
      </c>
      <c r="L9863" s="62">
        <f>K9863-(F9863*I9863)</f>
        <v/>
      </c>
      <c r="M9863" s="64">
        <f>L9863/K9863</f>
        <v/>
      </c>
    </row>
    <row r="9864">
      <c r="A9864" s="58" t="inlineStr">
        <is>
          <t>RT20250905-09863</t>
        </is>
      </c>
      <c r="B9864" s="59" t="inlineStr">
        <is>
          <t>2025-09-05</t>
        </is>
      </c>
      <c r="C9864" s="60" t="inlineStr">
        <is>
          <t>Falcon Headphone Pro-713</t>
        </is>
      </c>
      <c r="D9864" s="58" t="inlineStr">
        <is>
          <t>Electronics</t>
        </is>
      </c>
      <c r="E9864" s="58" t="inlineStr">
        <is>
          <t>North</t>
        </is>
      </c>
      <c r="F9864" s="61" t="n">
        <v>2</v>
      </c>
      <c r="G9864" s="62" t="n">
        <v>1459.66</v>
      </c>
      <c r="H9864" s="63" t="n">
        <v>0.11</v>
      </c>
      <c r="I9864" s="62" t="n">
        <v>1155.79</v>
      </c>
      <c r="J9864" s="58" t="inlineStr">
        <is>
          <t>Online</t>
        </is>
      </c>
      <c r="K9864" s="62">
        <f>F9864*(G9864-H9864)</f>
        <v/>
      </c>
      <c r="L9864" s="62">
        <f>K9864-(F9864*I9864)</f>
        <v/>
      </c>
      <c r="M9864" s="64">
        <f>L9864/K9864</f>
        <v/>
      </c>
    </row>
    <row r="9865">
      <c r="A9865" s="58" t="inlineStr">
        <is>
          <t>RT20250905-09864</t>
        </is>
      </c>
      <c r="B9865" s="59" t="inlineStr">
        <is>
          <t>2025-09-05</t>
        </is>
      </c>
      <c r="C9865" s="60" t="inlineStr">
        <is>
          <t>Solace Snack S-691</t>
        </is>
      </c>
      <c r="D9865" s="58" t="inlineStr">
        <is>
          <t>Grocery</t>
        </is>
      </c>
      <c r="E9865" s="58" t="inlineStr">
        <is>
          <t>Central</t>
        </is>
      </c>
      <c r="F9865" s="61" t="n">
        <v>8</v>
      </c>
      <c r="G9865" s="62" t="n">
        <v>9.92</v>
      </c>
      <c r="H9865" s="63" t="n">
        <v>0.08</v>
      </c>
      <c r="I9865" s="62" t="n">
        <v>7.23</v>
      </c>
      <c r="J9865" s="58" t="inlineStr">
        <is>
          <t>Online</t>
        </is>
      </c>
      <c r="K9865" s="62">
        <f>F9865*(G9865-H9865)</f>
        <v/>
      </c>
      <c r="L9865" s="62">
        <f>K9865-(F9865*I9865)</f>
        <v/>
      </c>
      <c r="M9865" s="64">
        <f>L9865/K9865</f>
        <v/>
      </c>
    </row>
    <row r="9866">
      <c r="A9866" s="58" t="inlineStr">
        <is>
          <t>RT20250905-09865</t>
        </is>
      </c>
      <c r="B9866" s="59" t="inlineStr">
        <is>
          <t>2025-09-05</t>
        </is>
      </c>
      <c r="C9866" s="60" t="inlineStr">
        <is>
          <t>Polar Outdoor Lite-318</t>
        </is>
      </c>
      <c r="D9866" s="58" t="inlineStr">
        <is>
          <t>Sports</t>
        </is>
      </c>
      <c r="E9866" s="58" t="inlineStr">
        <is>
          <t>East</t>
        </is>
      </c>
      <c r="F9866" s="61" t="n">
        <v>2</v>
      </c>
      <c r="G9866" s="62" t="n">
        <v>727.42</v>
      </c>
      <c r="H9866" s="63" t="n">
        <v>0.149</v>
      </c>
      <c r="I9866" s="62" t="n">
        <v>461.3</v>
      </c>
      <c r="J9866" s="58" t="inlineStr">
        <is>
          <t>Store</t>
        </is>
      </c>
      <c r="K9866" s="62">
        <f>F9866*(G9866-H9866)</f>
        <v/>
      </c>
      <c r="L9866" s="62">
        <f>K9866-(F9866*I9866)</f>
        <v/>
      </c>
      <c r="M9866" s="64">
        <f>L9866/K9866</f>
        <v/>
      </c>
    </row>
    <row r="9867">
      <c r="A9867" s="58" t="inlineStr">
        <is>
          <t>RT20250905-09866</t>
        </is>
      </c>
      <c r="B9867" s="59" t="inlineStr">
        <is>
          <t>2025-09-05</t>
        </is>
      </c>
      <c r="C9867" s="60" t="inlineStr">
        <is>
          <t>Falcon Skincare Max-151</t>
        </is>
      </c>
      <c r="D9867" s="58" t="inlineStr">
        <is>
          <t>Beauty</t>
        </is>
      </c>
      <c r="E9867" s="58" t="inlineStr">
        <is>
          <t>Central</t>
        </is>
      </c>
      <c r="F9867" s="61" t="n">
        <v>2</v>
      </c>
      <c r="G9867" s="62" t="n">
        <v>99.73</v>
      </c>
      <c r="H9867" s="63" t="n">
        <v>0.101</v>
      </c>
      <c r="I9867" s="62" t="n">
        <v>59.34</v>
      </c>
      <c r="J9867" s="58" t="inlineStr">
        <is>
          <t>Online</t>
        </is>
      </c>
      <c r="K9867" s="62">
        <f>F9867*(G9867-H9867)</f>
        <v/>
      </c>
      <c r="L9867" s="62">
        <f>K9867-(F9867*I9867)</f>
        <v/>
      </c>
      <c r="M9867" s="64">
        <f>L9867/K9867</f>
        <v/>
      </c>
    </row>
    <row r="9868">
      <c r="A9868" s="58" t="inlineStr">
        <is>
          <t>RT20250905-09867</t>
        </is>
      </c>
      <c r="B9868" s="59" t="inlineStr">
        <is>
          <t>2025-09-05</t>
        </is>
      </c>
      <c r="C9868" s="60" t="inlineStr">
        <is>
          <t>Metro Pantry Max-180</t>
        </is>
      </c>
      <c r="D9868" s="58" t="inlineStr">
        <is>
          <t>Grocery</t>
        </is>
      </c>
      <c r="E9868" s="58" t="inlineStr">
        <is>
          <t>South</t>
        </is>
      </c>
      <c r="F9868" s="61" t="n">
        <v>7</v>
      </c>
      <c r="G9868" s="62" t="n">
        <v>8.94</v>
      </c>
      <c r="H9868" s="63" t="n">
        <v>0.118</v>
      </c>
      <c r="I9868" s="62" t="n">
        <v>6.64</v>
      </c>
      <c r="J9868" s="58" t="inlineStr">
        <is>
          <t>Online</t>
        </is>
      </c>
      <c r="K9868" s="62">
        <f>F9868*(G9868-H9868)</f>
        <v/>
      </c>
      <c r="L9868" s="62">
        <f>K9868-(F9868*I9868)</f>
        <v/>
      </c>
      <c r="M9868" s="64">
        <f>L9868/K9868</f>
        <v/>
      </c>
    </row>
    <row r="9869">
      <c r="A9869" s="58" t="inlineStr">
        <is>
          <t>RT20250905-09868</t>
        </is>
      </c>
      <c r="B9869" s="59" t="inlineStr">
        <is>
          <t>2025-09-05</t>
        </is>
      </c>
      <c r="C9869" s="60" t="inlineStr">
        <is>
          <t>Falcon Household Plus-172</t>
        </is>
      </c>
      <c r="D9869" s="58" t="inlineStr">
        <is>
          <t>Grocery</t>
        </is>
      </c>
      <c r="E9869" s="58" t="inlineStr">
        <is>
          <t>East</t>
        </is>
      </c>
      <c r="F9869" s="61" t="n">
        <v>7</v>
      </c>
      <c r="G9869" s="62" t="n">
        <v>17.96</v>
      </c>
      <c r="H9869" s="63" t="n">
        <v>0.108</v>
      </c>
      <c r="I9869" s="62" t="n">
        <v>15.55</v>
      </c>
      <c r="J9869" s="58" t="inlineStr">
        <is>
          <t>Online</t>
        </is>
      </c>
      <c r="K9869" s="62">
        <f>F9869*(G9869-H9869)</f>
        <v/>
      </c>
      <c r="L9869" s="62">
        <f>K9869-(F9869*I9869)</f>
        <v/>
      </c>
      <c r="M9869" s="64">
        <f>L9869/K9869</f>
        <v/>
      </c>
    </row>
    <row r="9870">
      <c r="A9870" s="58" t="inlineStr">
        <is>
          <t>RT20250905-09869</t>
        </is>
      </c>
      <c r="B9870" s="59" t="inlineStr">
        <is>
          <t>2025-09-05</t>
        </is>
      </c>
      <c r="C9870" s="60" t="inlineStr">
        <is>
          <t>Aurora Fragrance S-971</t>
        </is>
      </c>
      <c r="D9870" s="58" t="inlineStr">
        <is>
          <t>Beauty</t>
        </is>
      </c>
      <c r="E9870" s="58" t="inlineStr">
        <is>
          <t>South</t>
        </is>
      </c>
      <c r="F9870" s="61" t="n">
        <v>1</v>
      </c>
      <c r="G9870" s="62" t="n">
        <v>103.61</v>
      </c>
      <c r="H9870" s="63" t="n">
        <v>0.11</v>
      </c>
      <c r="I9870" s="62" t="n">
        <v>65.29000000000001</v>
      </c>
      <c r="J9870" s="58" t="inlineStr">
        <is>
          <t>Online</t>
        </is>
      </c>
      <c r="K9870" s="62">
        <f>F9870*(G9870-H9870)</f>
        <v/>
      </c>
      <c r="L9870" s="62">
        <f>K9870-(F9870*I9870)</f>
        <v/>
      </c>
      <c r="M9870" s="64">
        <f>L9870/K9870</f>
        <v/>
      </c>
    </row>
    <row r="9871">
      <c r="A9871" s="58" t="inlineStr">
        <is>
          <t>RT20250905-09870</t>
        </is>
      </c>
      <c r="B9871" s="59" t="inlineStr">
        <is>
          <t>2025-09-05</t>
        </is>
      </c>
      <c r="C9871" s="60" t="inlineStr">
        <is>
          <t>Metro Laptop Plus-376</t>
        </is>
      </c>
      <c r="D9871" s="58" t="inlineStr">
        <is>
          <t>Electronics</t>
        </is>
      </c>
      <c r="E9871" s="58" t="inlineStr">
        <is>
          <t>North</t>
        </is>
      </c>
      <c r="F9871" s="61" t="n">
        <v>2</v>
      </c>
      <c r="G9871" s="62" t="n">
        <v>1334.03</v>
      </c>
      <c r="H9871" s="63" t="n">
        <v>0.127</v>
      </c>
      <c r="I9871" s="62" t="n">
        <v>1028.46</v>
      </c>
      <c r="J9871" s="58" t="inlineStr">
        <is>
          <t>Store</t>
        </is>
      </c>
      <c r="K9871" s="62">
        <f>F9871*(G9871-H9871)</f>
        <v/>
      </c>
      <c r="L9871" s="62">
        <f>K9871-(F9871*I9871)</f>
        <v/>
      </c>
      <c r="M9871" s="64">
        <f>L9871/K9871</f>
        <v/>
      </c>
    </row>
    <row r="9872">
      <c r="A9872" s="58" t="inlineStr">
        <is>
          <t>RT20250905-09871</t>
        </is>
      </c>
      <c r="B9872" s="59" t="inlineStr">
        <is>
          <t>2025-09-05</t>
        </is>
      </c>
      <c r="C9872" s="60" t="inlineStr">
        <is>
          <t>Aurora Bedding Max-175</t>
        </is>
      </c>
      <c r="D9872" s="58" t="inlineStr">
        <is>
          <t>Home</t>
        </is>
      </c>
      <c r="E9872" s="58" t="inlineStr">
        <is>
          <t>East</t>
        </is>
      </c>
      <c r="F9872" s="61" t="n">
        <v>3</v>
      </c>
      <c r="G9872" s="62" t="n">
        <v>554.76</v>
      </c>
      <c r="H9872" s="63" t="n">
        <v>0.081</v>
      </c>
      <c r="I9872" s="62" t="n">
        <v>420.84</v>
      </c>
      <c r="J9872" s="58" t="inlineStr">
        <is>
          <t>Online</t>
        </is>
      </c>
      <c r="K9872" s="62">
        <f>F9872*(G9872-H9872)</f>
        <v/>
      </c>
      <c r="L9872" s="62">
        <f>K9872-(F9872*I9872)</f>
        <v/>
      </c>
      <c r="M9872" s="64">
        <f>L9872/K9872</f>
        <v/>
      </c>
    </row>
    <row r="9873">
      <c r="A9873" s="58" t="inlineStr">
        <is>
          <t>RT20250905-09872</t>
        </is>
      </c>
      <c r="B9873" s="59" t="inlineStr">
        <is>
          <t>2025-09-05</t>
        </is>
      </c>
      <c r="C9873" s="60" t="inlineStr">
        <is>
          <t>Falcon Storage X-734</t>
        </is>
      </c>
      <c r="D9873" s="58" t="inlineStr">
        <is>
          <t>Office</t>
        </is>
      </c>
      <c r="E9873" s="58" t="inlineStr">
        <is>
          <t>Central</t>
        </is>
      </c>
      <c r="F9873" s="61" t="n">
        <v>2</v>
      </c>
      <c r="G9873" s="62" t="n">
        <v>383.77</v>
      </c>
      <c r="H9873" s="63" t="n">
        <v>0.163</v>
      </c>
      <c r="I9873" s="62" t="n">
        <v>280.19</v>
      </c>
      <c r="J9873" s="58" t="inlineStr">
        <is>
          <t>Store</t>
        </is>
      </c>
      <c r="K9873" s="62">
        <f>F9873*(G9873-H9873)</f>
        <v/>
      </c>
      <c r="L9873" s="62">
        <f>K9873-(F9873*I9873)</f>
        <v/>
      </c>
      <c r="M9873" s="64">
        <f>L9873/K9873</f>
        <v/>
      </c>
    </row>
    <row r="9874">
      <c r="A9874" s="58" t="inlineStr">
        <is>
          <t>RT20250905-09873</t>
        </is>
      </c>
      <c r="B9874" s="59" t="inlineStr">
        <is>
          <t>2025-09-05</t>
        </is>
      </c>
      <c r="C9874" s="60" t="inlineStr">
        <is>
          <t>Falcon Beverage Max-702</t>
        </is>
      </c>
      <c r="D9874" s="58" t="inlineStr">
        <is>
          <t>Grocery</t>
        </is>
      </c>
      <c r="E9874" s="58" t="inlineStr">
        <is>
          <t>East</t>
        </is>
      </c>
      <c r="F9874" s="61" t="n">
        <v>3</v>
      </c>
      <c r="G9874" s="62" t="n">
        <v>27.67</v>
      </c>
      <c r="H9874" s="63" t="n">
        <v>0.08500000000000001</v>
      </c>
      <c r="I9874" s="62" t="n">
        <v>19.8</v>
      </c>
      <c r="J9874" s="58" t="inlineStr">
        <is>
          <t>Store</t>
        </is>
      </c>
      <c r="K9874" s="62">
        <f>F9874*(G9874-H9874)</f>
        <v/>
      </c>
      <c r="L9874" s="62">
        <f>K9874-(F9874*I9874)</f>
        <v/>
      </c>
      <c r="M9874" s="64">
        <f>L9874/K9874</f>
        <v/>
      </c>
    </row>
    <row r="9875">
      <c r="A9875" s="58" t="inlineStr">
        <is>
          <t>RT20250905-09874</t>
        </is>
      </c>
      <c r="B9875" s="59" t="inlineStr">
        <is>
          <t>2025-09-05</t>
        </is>
      </c>
      <c r="C9875" s="60" t="inlineStr">
        <is>
          <t>Orion Kid Max-864</t>
        </is>
      </c>
      <c r="D9875" s="58" t="inlineStr">
        <is>
          <t>Apparel</t>
        </is>
      </c>
      <c r="E9875" s="58" t="inlineStr">
        <is>
          <t>West</t>
        </is>
      </c>
      <c r="F9875" s="61" t="n">
        <v>3</v>
      </c>
      <c r="G9875" s="62" t="n">
        <v>76.37</v>
      </c>
      <c r="H9875" s="63" t="n">
        <v>0.137</v>
      </c>
      <c r="I9875" s="62" t="n">
        <v>46.65</v>
      </c>
      <c r="J9875" s="58" t="inlineStr">
        <is>
          <t>Store</t>
        </is>
      </c>
      <c r="K9875" s="62">
        <f>F9875*(G9875-H9875)</f>
        <v/>
      </c>
      <c r="L9875" s="62">
        <f>K9875-(F9875*I9875)</f>
        <v/>
      </c>
      <c r="M9875" s="64">
        <f>L9875/K9875</f>
        <v/>
      </c>
    </row>
    <row r="9876">
      <c r="A9876" s="58" t="inlineStr">
        <is>
          <t>RT20250905-09875</t>
        </is>
      </c>
      <c r="B9876" s="59" t="inlineStr">
        <is>
          <t>2025-09-05</t>
        </is>
      </c>
      <c r="C9876" s="60" t="inlineStr">
        <is>
          <t>Vertex Skincare Pro-891</t>
        </is>
      </c>
      <c r="D9876" s="58" t="inlineStr">
        <is>
          <t>Beauty</t>
        </is>
      </c>
      <c r="E9876" s="58" t="inlineStr">
        <is>
          <t>North</t>
        </is>
      </c>
      <c r="F9876" s="61" t="n">
        <v>3</v>
      </c>
      <c r="G9876" s="62" t="n">
        <v>145.1</v>
      </c>
      <c r="H9876" s="63" t="n">
        <v>0.167</v>
      </c>
      <c r="I9876" s="62" t="n">
        <v>90.66</v>
      </c>
      <c r="J9876" s="58" t="inlineStr">
        <is>
          <t>Store</t>
        </is>
      </c>
      <c r="K9876" s="62">
        <f>F9876*(G9876-H9876)</f>
        <v/>
      </c>
      <c r="L9876" s="62">
        <f>K9876-(F9876*I9876)</f>
        <v/>
      </c>
      <c r="M9876" s="64">
        <f>L9876/K9876</f>
        <v/>
      </c>
    </row>
    <row r="9877">
      <c r="A9877" s="58" t="inlineStr">
        <is>
          <t>RT20250905-09876</t>
        </is>
      </c>
      <c r="B9877" s="59" t="inlineStr">
        <is>
          <t>2025-09-05</t>
        </is>
      </c>
      <c r="C9877" s="60" t="inlineStr">
        <is>
          <t>Aurora Outdoor Pro-467</t>
        </is>
      </c>
      <c r="D9877" s="58" t="inlineStr">
        <is>
          <t>Sports</t>
        </is>
      </c>
      <c r="E9877" s="58" t="inlineStr">
        <is>
          <t>North</t>
        </is>
      </c>
      <c r="F9877" s="61" t="n">
        <v>1</v>
      </c>
      <c r="G9877" s="62" t="n">
        <v>250.24</v>
      </c>
      <c r="H9877" s="63" t="n">
        <v>0.109</v>
      </c>
      <c r="I9877" s="62" t="n">
        <v>186.92</v>
      </c>
      <c r="J9877" s="58" t="inlineStr">
        <is>
          <t>Phone</t>
        </is>
      </c>
      <c r="K9877" s="62">
        <f>F9877*(G9877-H9877)</f>
        <v/>
      </c>
      <c r="L9877" s="62">
        <f>K9877-(F9877*I9877)</f>
        <v/>
      </c>
      <c r="M9877" s="64">
        <f>L9877/K9877</f>
        <v/>
      </c>
    </row>
    <row r="9878">
      <c r="A9878" s="58" t="inlineStr">
        <is>
          <t>RT20250905-09877</t>
        </is>
      </c>
      <c r="B9878" s="59" t="inlineStr">
        <is>
          <t>2025-09-05</t>
        </is>
      </c>
      <c r="C9878" s="60" t="inlineStr">
        <is>
          <t>Polar Beverage S-258</t>
        </is>
      </c>
      <c r="D9878" s="58" t="inlineStr">
        <is>
          <t>Grocery</t>
        </is>
      </c>
      <c r="E9878" s="58" t="inlineStr">
        <is>
          <t>West</t>
        </is>
      </c>
      <c r="F9878" s="61" t="n">
        <v>8</v>
      </c>
      <c r="G9878" s="62" t="n">
        <v>12.63</v>
      </c>
      <c r="H9878" s="63" t="n">
        <v>0.139</v>
      </c>
      <c r="I9878" s="62" t="n">
        <v>9.74</v>
      </c>
      <c r="J9878" s="58" t="inlineStr">
        <is>
          <t>Online</t>
        </is>
      </c>
      <c r="K9878" s="62">
        <f>F9878*(G9878-H9878)</f>
        <v/>
      </c>
      <c r="L9878" s="62">
        <f>K9878-(F9878*I9878)</f>
        <v/>
      </c>
      <c r="M9878" s="64">
        <f>L9878/K9878</f>
        <v/>
      </c>
    </row>
    <row r="9879">
      <c r="A9879" s="58" t="inlineStr">
        <is>
          <t>RT20250905-09878</t>
        </is>
      </c>
      <c r="B9879" s="59" t="inlineStr">
        <is>
          <t>2025-09-05</t>
        </is>
      </c>
      <c r="C9879" s="60" t="inlineStr">
        <is>
          <t>Polar Outdoor X-193</t>
        </is>
      </c>
      <c r="D9879" s="58" t="inlineStr">
        <is>
          <t>Sports</t>
        </is>
      </c>
      <c r="E9879" s="58" t="inlineStr">
        <is>
          <t>West</t>
        </is>
      </c>
      <c r="F9879" s="61" t="n">
        <v>3</v>
      </c>
      <c r="G9879" s="62" t="n">
        <v>673.51</v>
      </c>
      <c r="H9879" s="63" t="n">
        <v>0.121</v>
      </c>
      <c r="I9879" s="62" t="n">
        <v>453.25</v>
      </c>
      <c r="J9879" s="58" t="inlineStr">
        <is>
          <t>Online</t>
        </is>
      </c>
      <c r="K9879" s="62">
        <f>F9879*(G9879-H9879)</f>
        <v/>
      </c>
      <c r="L9879" s="62">
        <f>K9879-(F9879*I9879)</f>
        <v/>
      </c>
      <c r="M9879" s="64">
        <f>L9879/K9879</f>
        <v/>
      </c>
    </row>
    <row r="9880">
      <c r="A9880" s="58" t="inlineStr">
        <is>
          <t>RT20250905-09879</t>
        </is>
      </c>
      <c r="B9880" s="59" t="inlineStr">
        <is>
          <t>2025-09-05</t>
        </is>
      </c>
      <c r="C9880" s="60" t="inlineStr">
        <is>
          <t>Vertex Printer Max-692</t>
        </is>
      </c>
      <c r="D9880" s="58" t="inlineStr">
        <is>
          <t>Office</t>
        </is>
      </c>
      <c r="E9880" s="58" t="inlineStr">
        <is>
          <t>Central</t>
        </is>
      </c>
      <c r="F9880" s="61" t="n">
        <v>3</v>
      </c>
      <c r="G9880" s="62" t="n">
        <v>197.55</v>
      </c>
      <c r="H9880" s="63" t="n">
        <v>0.122</v>
      </c>
      <c r="I9880" s="62" t="n">
        <v>123.19</v>
      </c>
      <c r="J9880" s="58" t="inlineStr">
        <is>
          <t>Store</t>
        </is>
      </c>
      <c r="K9880" s="62">
        <f>F9880*(G9880-H9880)</f>
        <v/>
      </c>
      <c r="L9880" s="62">
        <f>K9880-(F9880*I9880)</f>
        <v/>
      </c>
      <c r="M9880" s="64">
        <f>L9880/K9880</f>
        <v/>
      </c>
    </row>
    <row r="9881">
      <c r="A9881" s="58" t="inlineStr">
        <is>
          <t>RT20250905-09880</t>
        </is>
      </c>
      <c r="B9881" s="59" t="inlineStr">
        <is>
          <t>2025-09-05</t>
        </is>
      </c>
      <c r="C9881" s="60" t="inlineStr">
        <is>
          <t>Nimbus Men Plus-231</t>
        </is>
      </c>
      <c r="D9881" s="58" t="inlineStr">
        <is>
          <t>Apparel</t>
        </is>
      </c>
      <c r="E9881" s="58" t="inlineStr">
        <is>
          <t>East</t>
        </is>
      </c>
      <c r="F9881" s="61" t="n">
        <v>4</v>
      </c>
      <c r="G9881" s="62" t="n">
        <v>150.27</v>
      </c>
      <c r="H9881" s="63" t="n">
        <v>0.121</v>
      </c>
      <c r="I9881" s="62" t="n">
        <v>89.58</v>
      </c>
      <c r="J9881" s="58" t="inlineStr">
        <is>
          <t>Online</t>
        </is>
      </c>
      <c r="K9881" s="62">
        <f>F9881*(G9881-H9881)</f>
        <v/>
      </c>
      <c r="L9881" s="62">
        <f>K9881-(F9881*I9881)</f>
        <v/>
      </c>
      <c r="M9881" s="64">
        <f>L9881/K9881</f>
        <v/>
      </c>
    </row>
    <row r="9882">
      <c r="A9882" s="58" t="inlineStr">
        <is>
          <t>RT20250905-09881</t>
        </is>
      </c>
      <c r="B9882" s="59" t="inlineStr">
        <is>
          <t>2025-09-05</t>
        </is>
      </c>
      <c r="C9882" s="60" t="inlineStr">
        <is>
          <t>Vertex Fitnes Pro-830</t>
        </is>
      </c>
      <c r="D9882" s="58" t="inlineStr">
        <is>
          <t>Sports</t>
        </is>
      </c>
      <c r="E9882" s="58" t="inlineStr">
        <is>
          <t>East</t>
        </is>
      </c>
      <c r="F9882" s="61" t="n">
        <v>3</v>
      </c>
      <c r="G9882" s="62" t="n">
        <v>716.97</v>
      </c>
      <c r="H9882" s="63" t="n">
        <v>0.187</v>
      </c>
      <c r="I9882" s="62" t="n">
        <v>489.71</v>
      </c>
      <c r="J9882" s="58" t="inlineStr">
        <is>
          <t>Online</t>
        </is>
      </c>
      <c r="K9882" s="62">
        <f>F9882*(G9882-H9882)</f>
        <v/>
      </c>
      <c r="L9882" s="62">
        <f>K9882-(F9882*I9882)</f>
        <v/>
      </c>
      <c r="M9882" s="64">
        <f>L9882/K9882</f>
        <v/>
      </c>
    </row>
    <row r="9883">
      <c r="A9883" s="58" t="inlineStr">
        <is>
          <t>RT20250905-09882</t>
        </is>
      </c>
      <c r="B9883" s="59" t="inlineStr">
        <is>
          <t>2025-09-05</t>
        </is>
      </c>
      <c r="C9883" s="60" t="inlineStr">
        <is>
          <t>Falcon Cycling Pro-499</t>
        </is>
      </c>
      <c r="D9883" s="58" t="inlineStr">
        <is>
          <t>Sports</t>
        </is>
      </c>
      <c r="E9883" s="58" t="inlineStr">
        <is>
          <t>Central</t>
        </is>
      </c>
      <c r="F9883" s="61" t="n">
        <v>3</v>
      </c>
      <c r="G9883" s="62" t="n">
        <v>617.24</v>
      </c>
      <c r="H9883" s="63" t="n">
        <v>0.123</v>
      </c>
      <c r="I9883" s="62" t="n">
        <v>409.54</v>
      </c>
      <c r="J9883" s="58" t="inlineStr">
        <is>
          <t>Online</t>
        </is>
      </c>
      <c r="K9883" s="62">
        <f>F9883*(G9883-H9883)</f>
        <v/>
      </c>
      <c r="L9883" s="62">
        <f>K9883-(F9883*I9883)</f>
        <v/>
      </c>
      <c r="M9883" s="64">
        <f>L9883/K9883</f>
        <v/>
      </c>
    </row>
    <row r="9884">
      <c r="A9884" s="58" t="inlineStr">
        <is>
          <t>RT20250905-09883</t>
        </is>
      </c>
      <c r="B9884" s="59" t="inlineStr">
        <is>
          <t>2025-09-05</t>
        </is>
      </c>
      <c r="C9884" s="60" t="inlineStr">
        <is>
          <t>Aurora Appliance Lite-109</t>
        </is>
      </c>
      <c r="D9884" s="58" t="inlineStr">
        <is>
          <t>Home</t>
        </is>
      </c>
      <c r="E9884" s="58" t="inlineStr">
        <is>
          <t>West</t>
        </is>
      </c>
      <c r="F9884" s="61" t="n">
        <v>1</v>
      </c>
      <c r="G9884" s="62" t="n">
        <v>317.75</v>
      </c>
      <c r="H9884" s="63" t="n">
        <v>0.061</v>
      </c>
      <c r="I9884" s="62" t="n">
        <v>199.2</v>
      </c>
      <c r="J9884" s="58" t="inlineStr">
        <is>
          <t>Online</t>
        </is>
      </c>
      <c r="K9884" s="62">
        <f>F9884*(G9884-H9884)</f>
        <v/>
      </c>
      <c r="L9884" s="62">
        <f>K9884-(F9884*I9884)</f>
        <v/>
      </c>
      <c r="M9884" s="64">
        <f>L9884/K9884</f>
        <v/>
      </c>
    </row>
    <row r="9885">
      <c r="A9885" s="58" t="inlineStr">
        <is>
          <t>RT20250905-09884</t>
        </is>
      </c>
      <c r="B9885" s="59" t="inlineStr">
        <is>
          <t>2025-09-05</t>
        </is>
      </c>
      <c r="C9885" s="60" t="inlineStr">
        <is>
          <t>Aurora Outdoor Pro-467</t>
        </is>
      </c>
      <c r="D9885" s="58" t="inlineStr">
        <is>
          <t>Sports</t>
        </is>
      </c>
      <c r="E9885" s="58" t="inlineStr">
        <is>
          <t>Central</t>
        </is>
      </c>
      <c r="F9885" s="61" t="n">
        <v>2</v>
      </c>
      <c r="G9885" s="62" t="n">
        <v>295.99</v>
      </c>
      <c r="H9885" s="63" t="n">
        <v>0.122</v>
      </c>
      <c r="I9885" s="62" t="n">
        <v>195.03</v>
      </c>
      <c r="J9885" s="58" t="inlineStr">
        <is>
          <t>Online</t>
        </is>
      </c>
      <c r="K9885" s="62">
        <f>F9885*(G9885-H9885)</f>
        <v/>
      </c>
      <c r="L9885" s="62">
        <f>K9885-(F9885*I9885)</f>
        <v/>
      </c>
      <c r="M9885" s="64">
        <f>L9885/K9885</f>
        <v/>
      </c>
    </row>
    <row r="9886">
      <c r="A9886" s="58" t="inlineStr">
        <is>
          <t>RT20250905-09885</t>
        </is>
      </c>
      <c r="B9886" s="59" t="inlineStr">
        <is>
          <t>2025-09-05</t>
        </is>
      </c>
      <c r="C9886" s="60" t="inlineStr">
        <is>
          <t>Metro Decor Lite-325</t>
        </is>
      </c>
      <c r="D9886" s="58" t="inlineStr">
        <is>
          <t>Home</t>
        </is>
      </c>
      <c r="E9886" s="58" t="inlineStr">
        <is>
          <t>West</t>
        </is>
      </c>
      <c r="F9886" s="61" t="n">
        <v>1</v>
      </c>
      <c r="G9886" s="62" t="n">
        <v>590.73</v>
      </c>
      <c r="H9886" s="63" t="n">
        <v>0.132</v>
      </c>
      <c r="I9886" s="62" t="n">
        <v>389.13</v>
      </c>
      <c r="J9886" s="58" t="inlineStr">
        <is>
          <t>Store</t>
        </is>
      </c>
      <c r="K9886" s="62">
        <f>F9886*(G9886-H9886)</f>
        <v/>
      </c>
      <c r="L9886" s="62">
        <f>K9886-(F9886*I9886)</f>
        <v/>
      </c>
      <c r="M9886" s="64">
        <f>L9886/K9886</f>
        <v/>
      </c>
    </row>
    <row r="9887">
      <c r="A9887" s="58" t="inlineStr">
        <is>
          <t>RT20250905-09886</t>
        </is>
      </c>
      <c r="B9887" s="59" t="inlineStr">
        <is>
          <t>2025-09-05</t>
        </is>
      </c>
      <c r="C9887" s="60" t="inlineStr">
        <is>
          <t>Solace Bedding Plus-317</t>
        </is>
      </c>
      <c r="D9887" s="58" t="inlineStr">
        <is>
          <t>Home</t>
        </is>
      </c>
      <c r="E9887" s="58" t="inlineStr">
        <is>
          <t>Central</t>
        </is>
      </c>
      <c r="F9887" s="61" t="n">
        <v>1</v>
      </c>
      <c r="G9887" s="62" t="n">
        <v>558.35</v>
      </c>
      <c r="H9887" s="63" t="n">
        <v>0.078</v>
      </c>
      <c r="I9887" s="62" t="n">
        <v>374.38</v>
      </c>
      <c r="J9887" s="58" t="inlineStr">
        <is>
          <t>Phone</t>
        </is>
      </c>
      <c r="K9887" s="62">
        <f>F9887*(G9887-H9887)</f>
        <v/>
      </c>
      <c r="L9887" s="62">
        <f>K9887-(F9887*I9887)</f>
        <v/>
      </c>
      <c r="M9887" s="64">
        <f>L9887/K9887</f>
        <v/>
      </c>
    </row>
    <row r="9888">
      <c r="A9888" s="58" t="inlineStr">
        <is>
          <t>RT20250905-09887</t>
        </is>
      </c>
      <c r="B9888" s="59" t="inlineStr">
        <is>
          <t>2025-09-05</t>
        </is>
      </c>
      <c r="C9888" s="60" t="inlineStr">
        <is>
          <t>Vertex Smartphone Pro-256</t>
        </is>
      </c>
      <c r="D9888" s="58" t="inlineStr">
        <is>
          <t>Electronics</t>
        </is>
      </c>
      <c r="E9888" s="58" t="inlineStr">
        <is>
          <t>East</t>
        </is>
      </c>
      <c r="F9888" s="61" t="n">
        <v>2</v>
      </c>
      <c r="G9888" s="62" t="n">
        <v>1261.2</v>
      </c>
      <c r="H9888" s="63" t="n">
        <v>0.142</v>
      </c>
      <c r="I9888" s="62" t="n">
        <v>918.14</v>
      </c>
      <c r="J9888" s="58" t="inlineStr">
        <is>
          <t>Store</t>
        </is>
      </c>
      <c r="K9888" s="62">
        <f>F9888*(G9888-H9888)</f>
        <v/>
      </c>
      <c r="L9888" s="62">
        <f>K9888-(F9888*I9888)</f>
        <v/>
      </c>
      <c r="M9888" s="64">
        <f>L9888/K9888</f>
        <v/>
      </c>
    </row>
    <row r="9889">
      <c r="A9889" s="58" t="inlineStr">
        <is>
          <t>RT20250905-09888</t>
        </is>
      </c>
      <c r="B9889" s="59" t="inlineStr">
        <is>
          <t>2025-09-05</t>
        </is>
      </c>
      <c r="C9889" s="60" t="inlineStr">
        <is>
          <t>Aurora Bedding Max-175</t>
        </is>
      </c>
      <c r="D9889" s="58" t="inlineStr">
        <is>
          <t>Home</t>
        </is>
      </c>
      <c r="E9889" s="58" t="inlineStr">
        <is>
          <t>West</t>
        </is>
      </c>
      <c r="F9889" s="61" t="n">
        <v>2</v>
      </c>
      <c r="G9889" s="62" t="n">
        <v>585.9299999999999</v>
      </c>
      <c r="H9889" s="63" t="n">
        <v>0.157</v>
      </c>
      <c r="I9889" s="62" t="n">
        <v>407.24</v>
      </c>
      <c r="J9889" s="58" t="inlineStr">
        <is>
          <t>Online</t>
        </is>
      </c>
      <c r="K9889" s="62">
        <f>F9889*(G9889-H9889)</f>
        <v/>
      </c>
      <c r="L9889" s="62">
        <f>K9889-(F9889*I9889)</f>
        <v/>
      </c>
      <c r="M9889" s="64">
        <f>L9889/K9889</f>
        <v/>
      </c>
    </row>
    <row r="9890">
      <c r="A9890" s="58" t="inlineStr">
        <is>
          <t>RT20250905-09889</t>
        </is>
      </c>
      <c r="B9890" s="59" t="inlineStr">
        <is>
          <t>2025-09-05</t>
        </is>
      </c>
      <c r="C9890" s="60" t="inlineStr">
        <is>
          <t>Orion Haircare Plus-887</t>
        </is>
      </c>
      <c r="D9890" s="58" t="inlineStr">
        <is>
          <t>Beauty</t>
        </is>
      </c>
      <c r="E9890" s="58" t="inlineStr">
        <is>
          <t>North</t>
        </is>
      </c>
      <c r="F9890" s="61" t="n">
        <v>2</v>
      </c>
      <c r="G9890" s="62" t="n">
        <v>53.39</v>
      </c>
      <c r="H9890" s="63" t="n">
        <v>0.128</v>
      </c>
      <c r="I9890" s="62" t="n">
        <v>31.28</v>
      </c>
      <c r="J9890" s="58" t="inlineStr">
        <is>
          <t>Store</t>
        </is>
      </c>
      <c r="K9890" s="62">
        <f>F9890*(G9890-H9890)</f>
        <v/>
      </c>
      <c r="L9890" s="62">
        <f>K9890-(F9890*I9890)</f>
        <v/>
      </c>
      <c r="M9890" s="64">
        <f>L9890/K9890</f>
        <v/>
      </c>
    </row>
    <row r="9891">
      <c r="A9891" s="58" t="inlineStr">
        <is>
          <t>RT20250905-09890</t>
        </is>
      </c>
      <c r="B9891" s="59" t="inlineStr">
        <is>
          <t>2025-09-05</t>
        </is>
      </c>
      <c r="C9891" s="60" t="inlineStr">
        <is>
          <t>Aurora Fitnes Lite-194</t>
        </is>
      </c>
      <c r="D9891" s="58" t="inlineStr">
        <is>
          <t>Sports</t>
        </is>
      </c>
      <c r="E9891" s="58" t="inlineStr">
        <is>
          <t>Central</t>
        </is>
      </c>
      <c r="F9891" s="61" t="n">
        <v>3</v>
      </c>
      <c r="G9891" s="62" t="n">
        <v>716.1</v>
      </c>
      <c r="H9891" s="63" t="n">
        <v>0.091</v>
      </c>
      <c r="I9891" s="62" t="n">
        <v>456.26</v>
      </c>
      <c r="J9891" s="58" t="inlineStr">
        <is>
          <t>Store</t>
        </is>
      </c>
      <c r="K9891" s="62">
        <f>F9891*(G9891-H9891)</f>
        <v/>
      </c>
      <c r="L9891" s="62">
        <f>K9891-(F9891*I9891)</f>
        <v/>
      </c>
      <c r="M9891" s="64">
        <f>L9891/K9891</f>
        <v/>
      </c>
    </row>
    <row r="9892">
      <c r="A9892" s="58" t="inlineStr">
        <is>
          <t>RT20250905-09891</t>
        </is>
      </c>
      <c r="B9892" s="59" t="inlineStr">
        <is>
          <t>2025-09-05</t>
        </is>
      </c>
      <c r="C9892" s="60" t="inlineStr">
        <is>
          <t>Falcon Skincare X-334</t>
        </is>
      </c>
      <c r="D9892" s="58" t="inlineStr">
        <is>
          <t>Beauty</t>
        </is>
      </c>
      <c r="E9892" s="58" t="inlineStr">
        <is>
          <t>Central</t>
        </is>
      </c>
      <c r="F9892" s="61" t="n">
        <v>2</v>
      </c>
      <c r="G9892" s="62" t="n">
        <v>111.6</v>
      </c>
      <c r="H9892" s="63" t="n">
        <v>0.142</v>
      </c>
      <c r="I9892" s="62" t="n">
        <v>62.06</v>
      </c>
      <c r="J9892" s="58" t="inlineStr">
        <is>
          <t>Phone</t>
        </is>
      </c>
      <c r="K9892" s="62">
        <f>F9892*(G9892-H9892)</f>
        <v/>
      </c>
      <c r="L9892" s="62">
        <f>K9892-(F9892*I9892)</f>
        <v/>
      </c>
      <c r="M9892" s="64">
        <f>L9892/K9892</f>
        <v/>
      </c>
    </row>
    <row r="9893">
      <c r="A9893" s="58" t="inlineStr">
        <is>
          <t>RT20250905-09892</t>
        </is>
      </c>
      <c r="B9893" s="59" t="inlineStr">
        <is>
          <t>2025-09-05</t>
        </is>
      </c>
      <c r="C9893" s="60" t="inlineStr">
        <is>
          <t>Vertex Printer Max-692</t>
        </is>
      </c>
      <c r="D9893" s="58" t="inlineStr">
        <is>
          <t>Office</t>
        </is>
      </c>
      <c r="E9893" s="58" t="inlineStr">
        <is>
          <t>West</t>
        </is>
      </c>
      <c r="F9893" s="61" t="n">
        <v>1</v>
      </c>
      <c r="G9893" s="62" t="n">
        <v>167.95</v>
      </c>
      <c r="H9893" s="63" t="n">
        <v>0.053</v>
      </c>
      <c r="I9893" s="62" t="n">
        <v>123.43</v>
      </c>
      <c r="J9893" s="58" t="inlineStr">
        <is>
          <t>Online</t>
        </is>
      </c>
      <c r="K9893" s="62">
        <f>F9893*(G9893-H9893)</f>
        <v/>
      </c>
      <c r="L9893" s="62">
        <f>K9893-(F9893*I9893)</f>
        <v/>
      </c>
      <c r="M9893" s="64">
        <f>L9893/K9893</f>
        <v/>
      </c>
    </row>
    <row r="9894">
      <c r="A9894" s="58" t="inlineStr">
        <is>
          <t>RT20250905-09893</t>
        </is>
      </c>
      <c r="B9894" s="59" t="inlineStr">
        <is>
          <t>2025-09-05</t>
        </is>
      </c>
      <c r="C9894" s="60" t="inlineStr">
        <is>
          <t>Vertex Accessorie Pro-881</t>
        </is>
      </c>
      <c r="D9894" s="58" t="inlineStr">
        <is>
          <t>Apparel</t>
        </is>
      </c>
      <c r="E9894" s="58" t="inlineStr">
        <is>
          <t>North</t>
        </is>
      </c>
      <c r="F9894" s="61" t="n">
        <v>3</v>
      </c>
      <c r="G9894" s="62" t="n">
        <v>98.06</v>
      </c>
      <c r="H9894" s="63" t="n">
        <v>0.154</v>
      </c>
      <c r="I9894" s="62" t="n">
        <v>63.45</v>
      </c>
      <c r="J9894" s="58" t="inlineStr">
        <is>
          <t>Online</t>
        </is>
      </c>
      <c r="K9894" s="62">
        <f>F9894*(G9894-H9894)</f>
        <v/>
      </c>
      <c r="L9894" s="62">
        <f>K9894-(F9894*I9894)</f>
        <v/>
      </c>
      <c r="M9894" s="64">
        <f>L9894/K9894</f>
        <v/>
      </c>
    </row>
    <row r="9895">
      <c r="A9895" s="58" t="inlineStr">
        <is>
          <t>RT20250905-09894</t>
        </is>
      </c>
      <c r="B9895" s="59" t="inlineStr">
        <is>
          <t>2025-09-05</t>
        </is>
      </c>
      <c r="C9895" s="60" t="inlineStr">
        <is>
          <t>Vertex Smartphone Pro-256</t>
        </is>
      </c>
      <c r="D9895" s="58" t="inlineStr">
        <is>
          <t>Electronics</t>
        </is>
      </c>
      <c r="E9895" s="58" t="inlineStr">
        <is>
          <t>North</t>
        </is>
      </c>
      <c r="F9895" s="61" t="n">
        <v>2</v>
      </c>
      <c r="G9895" s="62" t="n">
        <v>1301.17</v>
      </c>
      <c r="H9895" s="63" t="n">
        <v>0.151</v>
      </c>
      <c r="I9895" s="62" t="n">
        <v>909.23</v>
      </c>
      <c r="J9895" s="58" t="inlineStr">
        <is>
          <t>Online</t>
        </is>
      </c>
      <c r="K9895" s="62">
        <f>F9895*(G9895-H9895)</f>
        <v/>
      </c>
      <c r="L9895" s="62">
        <f>K9895-(F9895*I9895)</f>
        <v/>
      </c>
      <c r="M9895" s="64">
        <f>L9895/K9895</f>
        <v/>
      </c>
    </row>
    <row r="9896">
      <c r="A9896" s="58" t="inlineStr">
        <is>
          <t>RT20250905-09895</t>
        </is>
      </c>
      <c r="B9896" s="59" t="inlineStr">
        <is>
          <t>2025-09-05</t>
        </is>
      </c>
      <c r="C9896" s="60" t="inlineStr">
        <is>
          <t>Solace Kitchen X-919</t>
        </is>
      </c>
      <c r="D9896" s="58" t="inlineStr">
        <is>
          <t>Home</t>
        </is>
      </c>
      <c r="E9896" s="58" t="inlineStr">
        <is>
          <t>Central</t>
        </is>
      </c>
      <c r="F9896" s="61" t="n">
        <v>1</v>
      </c>
      <c r="G9896" s="62" t="n">
        <v>356.94</v>
      </c>
      <c r="H9896" s="63" t="n">
        <v>0.143</v>
      </c>
      <c r="I9896" s="62" t="n">
        <v>265.88</v>
      </c>
      <c r="J9896" s="58" t="inlineStr">
        <is>
          <t>Online</t>
        </is>
      </c>
      <c r="K9896" s="62">
        <f>F9896*(G9896-H9896)</f>
        <v/>
      </c>
      <c r="L9896" s="62">
        <f>K9896-(F9896*I9896)</f>
        <v/>
      </c>
      <c r="M9896" s="64">
        <f>L9896/K9896</f>
        <v/>
      </c>
    </row>
    <row r="9897">
      <c r="A9897" s="58" t="inlineStr">
        <is>
          <t>RT20250905-09896</t>
        </is>
      </c>
      <c r="B9897" s="59" t="inlineStr">
        <is>
          <t>2025-09-05</t>
        </is>
      </c>
      <c r="C9897" s="60" t="inlineStr">
        <is>
          <t>Aurora Smartphone Plus-125</t>
        </is>
      </c>
      <c r="D9897" s="58" t="inlineStr">
        <is>
          <t>Electronics</t>
        </is>
      </c>
      <c r="E9897" s="58" t="inlineStr">
        <is>
          <t>East</t>
        </is>
      </c>
      <c r="F9897" s="61" t="n">
        <v>2</v>
      </c>
      <c r="G9897" s="62" t="n">
        <v>1667.64</v>
      </c>
      <c r="H9897" s="63" t="n">
        <v>0.14</v>
      </c>
      <c r="I9897" s="62" t="n">
        <v>1207.76</v>
      </c>
      <c r="J9897" s="58" t="inlineStr">
        <is>
          <t>Store</t>
        </is>
      </c>
      <c r="K9897" s="62">
        <f>F9897*(G9897-H9897)</f>
        <v/>
      </c>
      <c r="L9897" s="62">
        <f>K9897-(F9897*I9897)</f>
        <v/>
      </c>
      <c r="M9897" s="64">
        <f>L9897/K9897</f>
        <v/>
      </c>
    </row>
    <row r="9898">
      <c r="A9898" s="58" t="inlineStr">
        <is>
          <t>RT20250905-09897</t>
        </is>
      </c>
      <c r="B9898" s="59" t="inlineStr">
        <is>
          <t>2025-09-05</t>
        </is>
      </c>
      <c r="C9898" s="60" t="inlineStr">
        <is>
          <t>Aurora Fitnes Lite-194</t>
        </is>
      </c>
      <c r="D9898" s="58" t="inlineStr">
        <is>
          <t>Sports</t>
        </is>
      </c>
      <c r="E9898" s="58" t="inlineStr">
        <is>
          <t>East</t>
        </is>
      </c>
      <c r="F9898" s="61" t="n">
        <v>2</v>
      </c>
      <c r="G9898" s="62" t="n">
        <v>670.25</v>
      </c>
      <c r="H9898" s="63" t="n">
        <v>0.092</v>
      </c>
      <c r="I9898" s="62" t="n">
        <v>468.7</v>
      </c>
      <c r="J9898" s="58" t="inlineStr">
        <is>
          <t>Online</t>
        </is>
      </c>
      <c r="K9898" s="62">
        <f>F9898*(G9898-H9898)</f>
        <v/>
      </c>
      <c r="L9898" s="62">
        <f>K9898-(F9898*I9898)</f>
        <v/>
      </c>
      <c r="M9898" s="64">
        <f>L9898/K9898</f>
        <v/>
      </c>
    </row>
    <row r="9899">
      <c r="A9899" s="58" t="inlineStr">
        <is>
          <t>RT20250905-09898</t>
        </is>
      </c>
      <c r="B9899" s="59" t="inlineStr">
        <is>
          <t>2025-09-05</t>
        </is>
      </c>
      <c r="C9899" s="60" t="inlineStr">
        <is>
          <t>Polar Haircare Max-614</t>
        </is>
      </c>
      <c r="D9899" s="58" t="inlineStr">
        <is>
          <t>Beauty</t>
        </is>
      </c>
      <c r="E9899" s="58" t="inlineStr">
        <is>
          <t>East</t>
        </is>
      </c>
      <c r="F9899" s="61" t="n">
        <v>3</v>
      </c>
      <c r="G9899" s="62" t="n">
        <v>98.48</v>
      </c>
      <c r="H9899" s="63" t="n">
        <v>0.06</v>
      </c>
      <c r="I9899" s="62" t="n">
        <v>69.15000000000001</v>
      </c>
      <c r="J9899" s="58" t="inlineStr">
        <is>
          <t>Store</t>
        </is>
      </c>
      <c r="K9899" s="62">
        <f>F9899*(G9899-H9899)</f>
        <v/>
      </c>
      <c r="L9899" s="62">
        <f>K9899-(F9899*I9899)</f>
        <v/>
      </c>
      <c r="M9899" s="64">
        <f>L9899/K9899</f>
        <v/>
      </c>
    </row>
    <row r="9900">
      <c r="A9900" s="58" t="inlineStr">
        <is>
          <t>RT20250905-09899</t>
        </is>
      </c>
      <c r="B9900" s="59" t="inlineStr">
        <is>
          <t>2025-09-05</t>
        </is>
      </c>
      <c r="C9900" s="60" t="inlineStr">
        <is>
          <t>Aurora Printer Plus-991</t>
        </is>
      </c>
      <c r="D9900" s="58" t="inlineStr">
        <is>
          <t>Office</t>
        </is>
      </c>
      <c r="E9900" s="58" t="inlineStr">
        <is>
          <t>South</t>
        </is>
      </c>
      <c r="F9900" s="61" t="n">
        <v>3</v>
      </c>
      <c r="G9900" s="62" t="n">
        <v>564.1900000000001</v>
      </c>
      <c r="H9900" s="63" t="n">
        <v>0.08400000000000001</v>
      </c>
      <c r="I9900" s="62" t="n">
        <v>366.5</v>
      </c>
      <c r="J9900" s="58" t="inlineStr">
        <is>
          <t>Store</t>
        </is>
      </c>
      <c r="K9900" s="62">
        <f>F9900*(G9900-H9900)</f>
        <v/>
      </c>
      <c r="L9900" s="62">
        <f>K9900-(F9900*I9900)</f>
        <v/>
      </c>
      <c r="M9900" s="64">
        <f>L9900/K9900</f>
        <v/>
      </c>
    </row>
    <row r="9901">
      <c r="A9901" s="58" t="inlineStr">
        <is>
          <t>RT20250905-09900</t>
        </is>
      </c>
      <c r="B9901" s="59" t="inlineStr">
        <is>
          <t>2025-09-05</t>
        </is>
      </c>
      <c r="C9901" s="60" t="inlineStr">
        <is>
          <t>Aurora Wearable Lite-162</t>
        </is>
      </c>
      <c r="D9901" s="58" t="inlineStr">
        <is>
          <t>Electronics</t>
        </is>
      </c>
      <c r="E9901" s="58" t="inlineStr">
        <is>
          <t>East</t>
        </is>
      </c>
      <c r="F9901" s="61" t="n">
        <v>1</v>
      </c>
      <c r="G9901" s="62" t="n">
        <v>1601.17</v>
      </c>
      <c r="H9901" s="63" t="n">
        <v>0.183</v>
      </c>
      <c r="I9901" s="62" t="n">
        <v>1210.56</v>
      </c>
      <c r="J9901" s="58" t="inlineStr">
        <is>
          <t>Store</t>
        </is>
      </c>
      <c r="K9901" s="62">
        <f>F9901*(G9901-H9901)</f>
        <v/>
      </c>
      <c r="L9901" s="62">
        <f>K9901-(F9901*I9901)</f>
        <v/>
      </c>
      <c r="M9901" s="64">
        <f>L9901/K9901</f>
        <v/>
      </c>
    </row>
    <row r="9902">
      <c r="A9902" s="58" t="inlineStr">
        <is>
          <t>RT20250905-09901</t>
        </is>
      </c>
      <c r="B9902" s="59" t="inlineStr">
        <is>
          <t>2025-09-05</t>
        </is>
      </c>
      <c r="C9902" s="60" t="inlineStr">
        <is>
          <t>Polar Bedding Lite-243</t>
        </is>
      </c>
      <c r="D9902" s="58" t="inlineStr">
        <is>
          <t>Home</t>
        </is>
      </c>
      <c r="E9902" s="58" t="inlineStr">
        <is>
          <t>East</t>
        </is>
      </c>
      <c r="F9902" s="61" t="n">
        <v>2</v>
      </c>
      <c r="G9902" s="62" t="n">
        <v>423.6</v>
      </c>
      <c r="H9902" s="63" t="n">
        <v>0.121</v>
      </c>
      <c r="I9902" s="62" t="n">
        <v>317.74</v>
      </c>
      <c r="J9902" s="58" t="inlineStr">
        <is>
          <t>Online</t>
        </is>
      </c>
      <c r="K9902" s="62">
        <f>F9902*(G9902-H9902)</f>
        <v/>
      </c>
      <c r="L9902" s="62">
        <f>K9902-(F9902*I9902)</f>
        <v/>
      </c>
      <c r="M9902" s="64">
        <f>L9902/K9902</f>
        <v/>
      </c>
    </row>
    <row r="9903">
      <c r="A9903" s="58" t="inlineStr">
        <is>
          <t>RT20250905-09902</t>
        </is>
      </c>
      <c r="B9903" s="59" t="inlineStr">
        <is>
          <t>2025-09-05</t>
        </is>
      </c>
      <c r="C9903" s="60" t="inlineStr">
        <is>
          <t>Nimbus Storage Plus-646</t>
        </is>
      </c>
      <c r="D9903" s="58" t="inlineStr">
        <is>
          <t>Office</t>
        </is>
      </c>
      <c r="E9903" s="58" t="inlineStr">
        <is>
          <t>East</t>
        </is>
      </c>
      <c r="F9903" s="61" t="n">
        <v>1</v>
      </c>
      <c r="G9903" s="62" t="n">
        <v>426.61</v>
      </c>
      <c r="H9903" s="63" t="n">
        <v>0.158</v>
      </c>
      <c r="I9903" s="62" t="n">
        <v>318.93</v>
      </c>
      <c r="J9903" s="58" t="inlineStr">
        <is>
          <t>Online</t>
        </is>
      </c>
      <c r="K9903" s="62">
        <f>F9903*(G9903-H9903)</f>
        <v/>
      </c>
      <c r="L9903" s="62">
        <f>K9903-(F9903*I9903)</f>
        <v/>
      </c>
      <c r="M9903" s="64">
        <f>L9903/K9903</f>
        <v/>
      </c>
    </row>
    <row r="9904">
      <c r="A9904" s="58" t="inlineStr">
        <is>
          <t>RT20250906-09903</t>
        </is>
      </c>
      <c r="B9904" s="59" t="inlineStr">
        <is>
          <t>2025-09-06</t>
        </is>
      </c>
      <c r="C9904" s="60" t="inlineStr">
        <is>
          <t>Metro Wearable Plus-234</t>
        </is>
      </c>
      <c r="D9904" s="58" t="inlineStr">
        <is>
          <t>Electronics</t>
        </is>
      </c>
      <c r="E9904" s="58" t="inlineStr">
        <is>
          <t>Central</t>
        </is>
      </c>
      <c r="F9904" s="61" t="n">
        <v>1</v>
      </c>
      <c r="G9904" s="62" t="n">
        <v>1526.8</v>
      </c>
      <c r="H9904" s="63" t="n">
        <v>0.134</v>
      </c>
      <c r="I9904" s="62" t="n">
        <v>1184.75</v>
      </c>
      <c r="J9904" s="58" t="inlineStr">
        <is>
          <t>Online</t>
        </is>
      </c>
      <c r="K9904" s="62">
        <f>F9904*(G9904-H9904)</f>
        <v/>
      </c>
      <c r="L9904" s="62">
        <f>K9904-(F9904*I9904)</f>
        <v/>
      </c>
      <c r="M9904" s="64">
        <f>L9904/K9904</f>
        <v/>
      </c>
    </row>
    <row r="9905">
      <c r="A9905" s="58" t="inlineStr">
        <is>
          <t>RT20250906-09904</t>
        </is>
      </c>
      <c r="B9905" s="59" t="inlineStr">
        <is>
          <t>2025-09-06</t>
        </is>
      </c>
      <c r="C9905" s="60" t="inlineStr">
        <is>
          <t>Metro Wearable Plus-234</t>
        </is>
      </c>
      <c r="D9905" s="58" t="inlineStr">
        <is>
          <t>Electronics</t>
        </is>
      </c>
      <c r="E9905" s="58" t="inlineStr">
        <is>
          <t>North</t>
        </is>
      </c>
      <c r="F9905" s="61" t="n">
        <v>2</v>
      </c>
      <c r="G9905" s="62" t="n">
        <v>1457.57</v>
      </c>
      <c r="H9905" s="63" t="n">
        <v>0.119</v>
      </c>
      <c r="I9905" s="62" t="n">
        <v>1173.6</v>
      </c>
      <c r="J9905" s="58" t="inlineStr">
        <is>
          <t>Store</t>
        </is>
      </c>
      <c r="K9905" s="62">
        <f>F9905*(G9905-H9905)</f>
        <v/>
      </c>
      <c r="L9905" s="62">
        <f>K9905-(F9905*I9905)</f>
        <v/>
      </c>
      <c r="M9905" s="64">
        <f>L9905/K9905</f>
        <v/>
      </c>
    </row>
    <row r="9906">
      <c r="A9906" s="58" t="inlineStr">
        <is>
          <t>RT20250906-09905</t>
        </is>
      </c>
      <c r="B9906" s="59" t="inlineStr">
        <is>
          <t>2025-09-06</t>
        </is>
      </c>
      <c r="C9906" s="60" t="inlineStr">
        <is>
          <t>Solace Snack S-691</t>
        </is>
      </c>
      <c r="D9906" s="58" t="inlineStr">
        <is>
          <t>Grocery</t>
        </is>
      </c>
      <c r="E9906" s="58" t="inlineStr">
        <is>
          <t>West</t>
        </is>
      </c>
      <c r="F9906" s="61" t="n">
        <v>6</v>
      </c>
      <c r="G9906" s="62" t="n">
        <v>10.82</v>
      </c>
      <c r="H9906" s="63" t="n">
        <v>0.112</v>
      </c>
      <c r="I9906" s="62" t="n">
        <v>7.17</v>
      </c>
      <c r="J9906" s="58" t="inlineStr">
        <is>
          <t>Store</t>
        </is>
      </c>
      <c r="K9906" s="62">
        <f>F9906*(G9906-H9906)</f>
        <v/>
      </c>
      <c r="L9906" s="62">
        <f>K9906-(F9906*I9906)</f>
        <v/>
      </c>
      <c r="M9906" s="64">
        <f>L9906/K9906</f>
        <v/>
      </c>
    </row>
    <row r="9907">
      <c r="A9907" s="58" t="inlineStr">
        <is>
          <t>RT20250906-09906</t>
        </is>
      </c>
      <c r="B9907" s="59" t="inlineStr">
        <is>
          <t>2025-09-06</t>
        </is>
      </c>
      <c r="C9907" s="60" t="inlineStr">
        <is>
          <t>Orion Storage Plus-961</t>
        </is>
      </c>
      <c r="D9907" s="58" t="inlineStr">
        <is>
          <t>Office</t>
        </is>
      </c>
      <c r="E9907" s="58" t="inlineStr">
        <is>
          <t>South</t>
        </is>
      </c>
      <c r="F9907" s="61" t="n">
        <v>2</v>
      </c>
      <c r="G9907" s="62" t="n">
        <v>494.48</v>
      </c>
      <c r="H9907" s="63" t="n">
        <v>0.093</v>
      </c>
      <c r="I9907" s="62" t="n">
        <v>356.96</v>
      </c>
      <c r="J9907" s="58" t="inlineStr">
        <is>
          <t>Online</t>
        </is>
      </c>
      <c r="K9907" s="62">
        <f>F9907*(G9907-H9907)</f>
        <v/>
      </c>
      <c r="L9907" s="62">
        <f>K9907-(F9907*I9907)</f>
        <v/>
      </c>
      <c r="M9907" s="64">
        <f>L9907/K9907</f>
        <v/>
      </c>
    </row>
    <row r="9908">
      <c r="A9908" s="58" t="inlineStr">
        <is>
          <t>RT20250906-09907</t>
        </is>
      </c>
      <c r="B9908" s="59" t="inlineStr">
        <is>
          <t>2025-09-06</t>
        </is>
      </c>
      <c r="C9908" s="60" t="inlineStr">
        <is>
          <t>Orion Fragrance Lite-785</t>
        </is>
      </c>
      <c r="D9908" s="58" t="inlineStr">
        <is>
          <t>Beauty</t>
        </is>
      </c>
      <c r="E9908" s="58" t="inlineStr">
        <is>
          <t>Central</t>
        </is>
      </c>
      <c r="F9908" s="61" t="n">
        <v>2</v>
      </c>
      <c r="G9908" s="62" t="n">
        <v>46.02</v>
      </c>
      <c r="H9908" s="63" t="n">
        <v>0.144</v>
      </c>
      <c r="I9908" s="62" t="n">
        <v>27.8</v>
      </c>
      <c r="J9908" s="58" t="inlineStr">
        <is>
          <t>Online</t>
        </is>
      </c>
      <c r="K9908" s="62">
        <f>F9908*(G9908-H9908)</f>
        <v/>
      </c>
      <c r="L9908" s="62">
        <f>K9908-(F9908*I9908)</f>
        <v/>
      </c>
      <c r="M9908" s="64">
        <f>L9908/K9908</f>
        <v/>
      </c>
    </row>
    <row r="9909">
      <c r="A9909" s="58" t="inlineStr">
        <is>
          <t>RT20250906-09908</t>
        </is>
      </c>
      <c r="B9909" s="59" t="inlineStr">
        <is>
          <t>2025-09-06</t>
        </is>
      </c>
      <c r="C9909" s="60" t="inlineStr">
        <is>
          <t>Solace Kitchen Pro-510</t>
        </is>
      </c>
      <c r="D9909" s="58" t="inlineStr">
        <is>
          <t>Home</t>
        </is>
      </c>
      <c r="E9909" s="58" t="inlineStr">
        <is>
          <t>North</t>
        </is>
      </c>
      <c r="F9909" s="61" t="n">
        <v>1</v>
      </c>
      <c r="G9909" s="62" t="n">
        <v>430.98</v>
      </c>
      <c r="H9909" s="63" t="n">
        <v>0.08400000000000001</v>
      </c>
      <c r="I9909" s="62" t="n">
        <v>317.08</v>
      </c>
      <c r="J9909" s="58" t="inlineStr">
        <is>
          <t>Store</t>
        </is>
      </c>
      <c r="K9909" s="62">
        <f>F9909*(G9909-H9909)</f>
        <v/>
      </c>
      <c r="L9909" s="62">
        <f>K9909-(F9909*I9909)</f>
        <v/>
      </c>
      <c r="M9909" s="64">
        <f>L9909/K9909</f>
        <v/>
      </c>
    </row>
    <row r="9910">
      <c r="A9910" s="58" t="inlineStr">
        <is>
          <t>RT20250906-09909</t>
        </is>
      </c>
      <c r="B9910" s="59" t="inlineStr">
        <is>
          <t>2025-09-06</t>
        </is>
      </c>
      <c r="C9910" s="60" t="inlineStr">
        <is>
          <t>Orion Beverage Plus-949</t>
        </is>
      </c>
      <c r="D9910" s="58" t="inlineStr">
        <is>
          <t>Grocery</t>
        </is>
      </c>
      <c r="E9910" s="58" t="inlineStr">
        <is>
          <t>Central</t>
        </is>
      </c>
      <c r="F9910" s="61" t="n">
        <v>2</v>
      </c>
      <c r="G9910" s="62" t="n">
        <v>18.48</v>
      </c>
      <c r="H9910" s="63" t="n">
        <v>0.152</v>
      </c>
      <c r="I9910" s="62" t="n">
        <v>13.32</v>
      </c>
      <c r="J9910" s="58" t="inlineStr">
        <is>
          <t>Online</t>
        </is>
      </c>
      <c r="K9910" s="62">
        <f>F9910*(G9910-H9910)</f>
        <v/>
      </c>
      <c r="L9910" s="62">
        <f>K9910-(F9910*I9910)</f>
        <v/>
      </c>
      <c r="M9910" s="64">
        <f>L9910/K9910</f>
        <v/>
      </c>
    </row>
    <row r="9911">
      <c r="A9911" s="58" t="inlineStr">
        <is>
          <t>RT20250906-09910</t>
        </is>
      </c>
      <c r="B9911" s="59" t="inlineStr">
        <is>
          <t>2025-09-06</t>
        </is>
      </c>
      <c r="C9911" s="60" t="inlineStr">
        <is>
          <t>Falcon Cycling Pro-499</t>
        </is>
      </c>
      <c r="D9911" s="58" t="inlineStr">
        <is>
          <t>Sports</t>
        </is>
      </c>
      <c r="E9911" s="58" t="inlineStr">
        <is>
          <t>South</t>
        </is>
      </c>
      <c r="F9911" s="61" t="n">
        <v>1</v>
      </c>
      <c r="G9911" s="62" t="n">
        <v>598.6900000000001</v>
      </c>
      <c r="H9911" s="63" t="n">
        <v>0.11</v>
      </c>
      <c r="I9911" s="62" t="n">
        <v>398.85</v>
      </c>
      <c r="J9911" s="58" t="inlineStr">
        <is>
          <t>Store</t>
        </is>
      </c>
      <c r="K9911" s="62">
        <f>F9911*(G9911-H9911)</f>
        <v/>
      </c>
      <c r="L9911" s="62">
        <f>K9911-(F9911*I9911)</f>
        <v/>
      </c>
      <c r="M9911" s="64">
        <f>L9911/K9911</f>
        <v/>
      </c>
    </row>
    <row r="9912">
      <c r="A9912" s="58" t="inlineStr">
        <is>
          <t>RT20250906-09911</t>
        </is>
      </c>
      <c r="B9912" s="59" t="inlineStr">
        <is>
          <t>2025-09-06</t>
        </is>
      </c>
      <c r="C9912" s="60" t="inlineStr">
        <is>
          <t>Orion Beverage Plus-949</t>
        </is>
      </c>
      <c r="D9912" s="58" t="inlineStr">
        <is>
          <t>Grocery</t>
        </is>
      </c>
      <c r="E9912" s="58" t="inlineStr">
        <is>
          <t>East</t>
        </is>
      </c>
      <c r="F9912" s="61" t="n">
        <v>4</v>
      </c>
      <c r="G9912" s="62" t="n">
        <v>15.61</v>
      </c>
      <c r="H9912" s="63" t="n">
        <v>0.15</v>
      </c>
      <c r="I9912" s="62" t="n">
        <v>12.88</v>
      </c>
      <c r="J9912" s="58" t="inlineStr">
        <is>
          <t>Online</t>
        </is>
      </c>
      <c r="K9912" s="62">
        <f>F9912*(G9912-H9912)</f>
        <v/>
      </c>
      <c r="L9912" s="62">
        <f>K9912-(F9912*I9912)</f>
        <v/>
      </c>
      <c r="M9912" s="64">
        <f>L9912/K9912</f>
        <v/>
      </c>
    </row>
    <row r="9913">
      <c r="A9913" s="58" t="inlineStr">
        <is>
          <t>RT20250906-09912</t>
        </is>
      </c>
      <c r="B9913" s="59" t="inlineStr">
        <is>
          <t>2025-09-06</t>
        </is>
      </c>
      <c r="C9913" s="60" t="inlineStr">
        <is>
          <t>Falcon Household Plus-796</t>
        </is>
      </c>
      <c r="D9913" s="58" t="inlineStr">
        <is>
          <t>Grocery</t>
        </is>
      </c>
      <c r="E9913" s="58" t="inlineStr">
        <is>
          <t>West</t>
        </is>
      </c>
      <c r="F9913" s="61" t="n">
        <v>7</v>
      </c>
      <c r="G9913" s="62" t="n">
        <v>23.16</v>
      </c>
      <c r="H9913" s="63" t="n">
        <v>0.125</v>
      </c>
      <c r="I9913" s="62" t="n">
        <v>17.8</v>
      </c>
      <c r="J9913" s="58" t="inlineStr">
        <is>
          <t>Store</t>
        </is>
      </c>
      <c r="K9913" s="62">
        <f>F9913*(G9913-H9913)</f>
        <v/>
      </c>
      <c r="L9913" s="62">
        <f>K9913-(F9913*I9913)</f>
        <v/>
      </c>
      <c r="M9913" s="64">
        <f>L9913/K9913</f>
        <v/>
      </c>
    </row>
    <row r="9914">
      <c r="A9914" s="58" t="inlineStr">
        <is>
          <t>RT20250906-09913</t>
        </is>
      </c>
      <c r="B9914" s="59" t="inlineStr">
        <is>
          <t>2025-09-06</t>
        </is>
      </c>
      <c r="C9914" s="60" t="inlineStr">
        <is>
          <t>Falcon Accessorie S-195</t>
        </is>
      </c>
      <c r="D9914" s="58" t="inlineStr">
        <is>
          <t>Apparel</t>
        </is>
      </c>
      <c r="E9914" s="58" t="inlineStr">
        <is>
          <t>Central</t>
        </is>
      </c>
      <c r="F9914" s="61" t="n">
        <v>2</v>
      </c>
      <c r="G9914" s="62" t="n">
        <v>76.56</v>
      </c>
      <c r="H9914" s="63" t="n">
        <v>0.16</v>
      </c>
      <c r="I9914" s="62" t="n">
        <v>41.68</v>
      </c>
      <c r="J9914" s="58" t="inlineStr">
        <is>
          <t>Store</t>
        </is>
      </c>
      <c r="K9914" s="62">
        <f>F9914*(G9914-H9914)</f>
        <v/>
      </c>
      <c r="L9914" s="62">
        <f>K9914-(F9914*I9914)</f>
        <v/>
      </c>
      <c r="M9914" s="64">
        <f>L9914/K9914</f>
        <v/>
      </c>
    </row>
    <row r="9915">
      <c r="A9915" s="58" t="inlineStr">
        <is>
          <t>RT20250906-09914</t>
        </is>
      </c>
      <c r="B9915" s="59" t="inlineStr">
        <is>
          <t>2025-09-06</t>
        </is>
      </c>
      <c r="C9915" s="60" t="inlineStr">
        <is>
          <t>Polar Cycling X-649</t>
        </is>
      </c>
      <c r="D9915" s="58" t="inlineStr">
        <is>
          <t>Sports</t>
        </is>
      </c>
      <c r="E9915" s="58" t="inlineStr">
        <is>
          <t>Central</t>
        </is>
      </c>
      <c r="F9915" s="61" t="n">
        <v>1</v>
      </c>
      <c r="G9915" s="62" t="n">
        <v>503.07</v>
      </c>
      <c r="H9915" s="63" t="n">
        <v>0.133</v>
      </c>
      <c r="I9915" s="62" t="n">
        <v>364.6</v>
      </c>
      <c r="J9915" s="58" t="inlineStr">
        <is>
          <t>Store</t>
        </is>
      </c>
      <c r="K9915" s="62">
        <f>F9915*(G9915-H9915)</f>
        <v/>
      </c>
      <c r="L9915" s="62">
        <f>K9915-(F9915*I9915)</f>
        <v/>
      </c>
      <c r="M9915" s="64">
        <f>L9915/K9915</f>
        <v/>
      </c>
    </row>
    <row r="9916">
      <c r="A9916" s="58" t="inlineStr">
        <is>
          <t>RT20250906-09915</t>
        </is>
      </c>
      <c r="B9916" s="59" t="inlineStr">
        <is>
          <t>2025-09-06</t>
        </is>
      </c>
      <c r="C9916" s="60" t="inlineStr">
        <is>
          <t>Metro Smartphone Max-773</t>
        </is>
      </c>
      <c r="D9916" s="58" t="inlineStr">
        <is>
          <t>Electronics</t>
        </is>
      </c>
      <c r="E9916" s="58" t="inlineStr">
        <is>
          <t>West</t>
        </is>
      </c>
      <c r="F9916" s="61" t="n">
        <v>2</v>
      </c>
      <c r="G9916" s="62" t="n">
        <v>1444.53</v>
      </c>
      <c r="H9916" s="63" t="n">
        <v>0.132</v>
      </c>
      <c r="I9916" s="62" t="n">
        <v>1148.06</v>
      </c>
      <c r="J9916" s="58" t="inlineStr">
        <is>
          <t>Store</t>
        </is>
      </c>
      <c r="K9916" s="62">
        <f>F9916*(G9916-H9916)</f>
        <v/>
      </c>
      <c r="L9916" s="62">
        <f>K9916-(F9916*I9916)</f>
        <v/>
      </c>
      <c r="M9916" s="64">
        <f>L9916/K9916</f>
        <v/>
      </c>
    </row>
    <row r="9917">
      <c r="A9917" s="58" t="inlineStr">
        <is>
          <t>RT20250906-09916</t>
        </is>
      </c>
      <c r="B9917" s="59" t="inlineStr">
        <is>
          <t>2025-09-06</t>
        </is>
      </c>
      <c r="C9917" s="60" t="inlineStr">
        <is>
          <t>Aurora Storage Lite-774</t>
        </is>
      </c>
      <c r="D9917" s="58" t="inlineStr">
        <is>
          <t>Office</t>
        </is>
      </c>
      <c r="E9917" s="58" t="inlineStr">
        <is>
          <t>West</t>
        </is>
      </c>
      <c r="F9917" s="61" t="n">
        <v>2</v>
      </c>
      <c r="G9917" s="62" t="n">
        <v>313.5</v>
      </c>
      <c r="H9917" s="63" t="n">
        <v>0.108</v>
      </c>
      <c r="I9917" s="62" t="n">
        <v>246.13</v>
      </c>
      <c r="J9917" s="58" t="inlineStr">
        <is>
          <t>Online</t>
        </is>
      </c>
      <c r="K9917" s="62">
        <f>F9917*(G9917-H9917)</f>
        <v/>
      </c>
      <c r="L9917" s="62">
        <f>K9917-(F9917*I9917)</f>
        <v/>
      </c>
      <c r="M9917" s="64">
        <f>L9917/K9917</f>
        <v/>
      </c>
    </row>
    <row r="9918">
      <c r="A9918" s="58" t="inlineStr">
        <is>
          <t>RT20250906-09917</t>
        </is>
      </c>
      <c r="B9918" s="59" t="inlineStr">
        <is>
          <t>2025-09-06</t>
        </is>
      </c>
      <c r="C9918" s="60" t="inlineStr">
        <is>
          <t>Aurora Household Plus-146</t>
        </is>
      </c>
      <c r="D9918" s="58" t="inlineStr">
        <is>
          <t>Grocery</t>
        </is>
      </c>
      <c r="E9918" s="58" t="inlineStr">
        <is>
          <t>West</t>
        </is>
      </c>
      <c r="F9918" s="61" t="n">
        <v>6</v>
      </c>
      <c r="G9918" s="62" t="n">
        <v>5.16</v>
      </c>
      <c r="H9918" s="63" t="n">
        <v>0.08599999999999999</v>
      </c>
      <c r="I9918" s="62" t="n">
        <v>4.51</v>
      </c>
      <c r="J9918" s="58" t="inlineStr">
        <is>
          <t>Online</t>
        </is>
      </c>
      <c r="K9918" s="62">
        <f>F9918*(G9918-H9918)</f>
        <v/>
      </c>
      <c r="L9918" s="62">
        <f>K9918-(F9918*I9918)</f>
        <v/>
      </c>
      <c r="M9918" s="64">
        <f>L9918/K9918</f>
        <v/>
      </c>
    </row>
    <row r="9919">
      <c r="A9919" s="58" t="inlineStr">
        <is>
          <t>RT20250906-09918</t>
        </is>
      </c>
      <c r="B9919" s="59" t="inlineStr">
        <is>
          <t>2025-09-06</t>
        </is>
      </c>
      <c r="C9919" s="60" t="inlineStr">
        <is>
          <t>Nimbus Cycling Plus-911</t>
        </is>
      </c>
      <c r="D9919" s="58" t="inlineStr">
        <is>
          <t>Sports</t>
        </is>
      </c>
      <c r="E9919" s="58" t="inlineStr">
        <is>
          <t>South</t>
        </is>
      </c>
      <c r="F9919" s="61" t="n">
        <v>3</v>
      </c>
      <c r="G9919" s="62" t="n">
        <v>521.8200000000001</v>
      </c>
      <c r="H9919" s="63" t="n">
        <v>0.134</v>
      </c>
      <c r="I9919" s="62" t="n">
        <v>393.48</v>
      </c>
      <c r="J9919" s="58" t="inlineStr">
        <is>
          <t>Online</t>
        </is>
      </c>
      <c r="K9919" s="62">
        <f>F9919*(G9919-H9919)</f>
        <v/>
      </c>
      <c r="L9919" s="62">
        <f>K9919-(F9919*I9919)</f>
        <v/>
      </c>
      <c r="M9919" s="64">
        <f>L9919/K9919</f>
        <v/>
      </c>
    </row>
    <row r="9920">
      <c r="A9920" s="58" t="inlineStr">
        <is>
          <t>RT20250906-09919</t>
        </is>
      </c>
      <c r="B9920" s="59" t="inlineStr">
        <is>
          <t>2025-09-06</t>
        </is>
      </c>
      <c r="C9920" s="60" t="inlineStr">
        <is>
          <t>Orion Men X-928</t>
        </is>
      </c>
      <c r="D9920" s="58" t="inlineStr">
        <is>
          <t>Apparel</t>
        </is>
      </c>
      <c r="E9920" s="58" t="inlineStr">
        <is>
          <t>South</t>
        </is>
      </c>
      <c r="F9920" s="61" t="n">
        <v>2</v>
      </c>
      <c r="G9920" s="62" t="n">
        <v>118.43</v>
      </c>
      <c r="H9920" s="63" t="n">
        <v>0.102</v>
      </c>
      <c r="I9920" s="62" t="n">
        <v>64.48999999999999</v>
      </c>
      <c r="J9920" s="58" t="inlineStr">
        <is>
          <t>Phone</t>
        </is>
      </c>
      <c r="K9920" s="62">
        <f>F9920*(G9920-H9920)</f>
        <v/>
      </c>
      <c r="L9920" s="62">
        <f>K9920-(F9920*I9920)</f>
        <v/>
      </c>
      <c r="M9920" s="64">
        <f>L9920/K9920</f>
        <v/>
      </c>
    </row>
    <row r="9921">
      <c r="A9921" s="58" t="inlineStr">
        <is>
          <t>RT20250906-09920</t>
        </is>
      </c>
      <c r="B9921" s="59" t="inlineStr">
        <is>
          <t>2025-09-06</t>
        </is>
      </c>
      <c r="C9921" s="60" t="inlineStr">
        <is>
          <t>Orion Haircare Plus-887</t>
        </is>
      </c>
      <c r="D9921" s="58" t="inlineStr">
        <is>
          <t>Beauty</t>
        </is>
      </c>
      <c r="E9921" s="58" t="inlineStr">
        <is>
          <t>West</t>
        </is>
      </c>
      <c r="F9921" s="61" t="n">
        <v>1</v>
      </c>
      <c r="G9921" s="62" t="n">
        <v>53.07</v>
      </c>
      <c r="H9921" s="63" t="n">
        <v>0.129</v>
      </c>
      <c r="I9921" s="62" t="n">
        <v>30.29</v>
      </c>
      <c r="J9921" s="58" t="inlineStr">
        <is>
          <t>Online</t>
        </is>
      </c>
      <c r="K9921" s="62">
        <f>F9921*(G9921-H9921)</f>
        <v/>
      </c>
      <c r="L9921" s="62">
        <f>K9921-(F9921*I9921)</f>
        <v/>
      </c>
      <c r="M9921" s="64">
        <f>L9921/K9921</f>
        <v/>
      </c>
    </row>
    <row r="9922">
      <c r="A9922" s="58" t="inlineStr">
        <is>
          <t>RT20250906-09921</t>
        </is>
      </c>
      <c r="B9922" s="59" t="inlineStr">
        <is>
          <t>2025-09-06</t>
        </is>
      </c>
      <c r="C9922" s="60" t="inlineStr">
        <is>
          <t>Vertex Fitnes Pro-830</t>
        </is>
      </c>
      <c r="D9922" s="58" t="inlineStr">
        <is>
          <t>Sports</t>
        </is>
      </c>
      <c r="E9922" s="58" t="inlineStr">
        <is>
          <t>East</t>
        </is>
      </c>
      <c r="F9922" s="61" t="n">
        <v>3</v>
      </c>
      <c r="G9922" s="62" t="n">
        <v>829.34</v>
      </c>
      <c r="H9922" s="63" t="n">
        <v>0.158</v>
      </c>
      <c r="I9922" s="62" t="n">
        <v>476.58</v>
      </c>
      <c r="J9922" s="58" t="inlineStr">
        <is>
          <t>Store</t>
        </is>
      </c>
      <c r="K9922" s="62">
        <f>F9922*(G9922-H9922)</f>
        <v/>
      </c>
      <c r="L9922" s="62">
        <f>K9922-(F9922*I9922)</f>
        <v/>
      </c>
      <c r="M9922" s="64">
        <f>L9922/K9922</f>
        <v/>
      </c>
    </row>
    <row r="9923">
      <c r="A9923" s="58" t="inlineStr">
        <is>
          <t>RT20250906-09922</t>
        </is>
      </c>
      <c r="B9923" s="59" t="inlineStr">
        <is>
          <t>2025-09-06</t>
        </is>
      </c>
      <c r="C9923" s="60" t="inlineStr">
        <is>
          <t>Orion Men X-928</t>
        </is>
      </c>
      <c r="D9923" s="58" t="inlineStr">
        <is>
          <t>Apparel</t>
        </is>
      </c>
      <c r="E9923" s="58" t="inlineStr">
        <is>
          <t>Central</t>
        </is>
      </c>
      <c r="F9923" s="61" t="n">
        <v>2</v>
      </c>
      <c r="G9923" s="62" t="n">
        <v>106.89</v>
      </c>
      <c r="H9923" s="63" t="n">
        <v>0.106</v>
      </c>
      <c r="I9923" s="62" t="n">
        <v>62.18</v>
      </c>
      <c r="J9923" s="58" t="inlineStr">
        <is>
          <t>Online</t>
        </is>
      </c>
      <c r="K9923" s="62">
        <f>F9923*(G9923-H9923)</f>
        <v/>
      </c>
      <c r="L9923" s="62">
        <f>K9923-(F9923*I9923)</f>
        <v/>
      </c>
      <c r="M9923" s="64">
        <f>L9923/K9923</f>
        <v/>
      </c>
    </row>
    <row r="9924">
      <c r="A9924" s="58" t="inlineStr">
        <is>
          <t>RT20250906-09923</t>
        </is>
      </c>
      <c r="B9924" s="59" t="inlineStr">
        <is>
          <t>2025-09-06</t>
        </is>
      </c>
      <c r="C9924" s="60" t="inlineStr">
        <is>
          <t>Aurora Appliance Max-316</t>
        </is>
      </c>
      <c r="D9924" s="58" t="inlineStr">
        <is>
          <t>Home</t>
        </is>
      </c>
      <c r="E9924" s="58" t="inlineStr">
        <is>
          <t>East</t>
        </is>
      </c>
      <c r="F9924" s="61" t="n">
        <v>2</v>
      </c>
      <c r="G9924" s="62" t="n">
        <v>305.11</v>
      </c>
      <c r="H9924" s="63" t="n">
        <v>0.125</v>
      </c>
      <c r="I9924" s="62" t="n">
        <v>210.32</v>
      </c>
      <c r="J9924" s="58" t="inlineStr">
        <is>
          <t>Online</t>
        </is>
      </c>
      <c r="K9924" s="62">
        <f>F9924*(G9924-H9924)</f>
        <v/>
      </c>
      <c r="L9924" s="62">
        <f>K9924-(F9924*I9924)</f>
        <v/>
      </c>
      <c r="M9924" s="64">
        <f>L9924/K9924</f>
        <v/>
      </c>
    </row>
    <row r="9925">
      <c r="A9925" s="58" t="inlineStr">
        <is>
          <t>RT20250906-09924</t>
        </is>
      </c>
      <c r="B9925" s="59" t="inlineStr">
        <is>
          <t>2025-09-06</t>
        </is>
      </c>
      <c r="C9925" s="60" t="inlineStr">
        <is>
          <t>Falcon Wearable X-334</t>
        </is>
      </c>
      <c r="D9925" s="58" t="inlineStr">
        <is>
          <t>Electronics</t>
        </is>
      </c>
      <c r="E9925" s="58" t="inlineStr">
        <is>
          <t>North</t>
        </is>
      </c>
      <c r="F9925" s="61" t="n">
        <v>1</v>
      </c>
      <c r="G9925" s="62" t="n">
        <v>1686.07</v>
      </c>
      <c r="H9925" s="63" t="n">
        <v>0.107</v>
      </c>
      <c r="I9925" s="62" t="n">
        <v>1461.81</v>
      </c>
      <c r="J9925" s="58" t="inlineStr">
        <is>
          <t>Online</t>
        </is>
      </c>
      <c r="K9925" s="62">
        <f>F9925*(G9925-H9925)</f>
        <v/>
      </c>
      <c r="L9925" s="62">
        <f>K9925-(F9925*I9925)</f>
        <v/>
      </c>
      <c r="M9925" s="64">
        <f>L9925/K9925</f>
        <v/>
      </c>
    </row>
    <row r="9926">
      <c r="A9926" s="58" t="inlineStr">
        <is>
          <t>RT20250906-09925</t>
        </is>
      </c>
      <c r="B9926" s="59" t="inlineStr">
        <is>
          <t>2025-09-06</t>
        </is>
      </c>
      <c r="C9926" s="60" t="inlineStr">
        <is>
          <t>Vertex Men X-995</t>
        </is>
      </c>
      <c r="D9926" s="58" t="inlineStr">
        <is>
          <t>Apparel</t>
        </is>
      </c>
      <c r="E9926" s="58" t="inlineStr">
        <is>
          <t>East</t>
        </is>
      </c>
      <c r="F9926" s="61" t="n">
        <v>4</v>
      </c>
      <c r="G9926" s="62" t="n">
        <v>99.73</v>
      </c>
      <c r="H9926" s="63" t="n">
        <v>0.056</v>
      </c>
      <c r="I9926" s="62" t="n">
        <v>57.98</v>
      </c>
      <c r="J9926" s="58" t="inlineStr">
        <is>
          <t>Online</t>
        </is>
      </c>
      <c r="K9926" s="62">
        <f>F9926*(G9926-H9926)</f>
        <v/>
      </c>
      <c r="L9926" s="62">
        <f>K9926-(F9926*I9926)</f>
        <v/>
      </c>
      <c r="M9926" s="64">
        <f>L9926/K9926</f>
        <v/>
      </c>
    </row>
    <row r="9927">
      <c r="A9927" s="58" t="inlineStr">
        <is>
          <t>RT20250906-09926</t>
        </is>
      </c>
      <c r="B9927" s="59" t="inlineStr">
        <is>
          <t>2025-09-06</t>
        </is>
      </c>
      <c r="C9927" s="60" t="inlineStr">
        <is>
          <t>Polar Women Max-927</t>
        </is>
      </c>
      <c r="D9927" s="58" t="inlineStr">
        <is>
          <t>Apparel</t>
        </is>
      </c>
      <c r="E9927" s="58" t="inlineStr">
        <is>
          <t>East</t>
        </is>
      </c>
      <c r="F9927" s="61" t="n">
        <v>4</v>
      </c>
      <c r="G9927" s="62" t="n">
        <v>123.5</v>
      </c>
      <c r="H9927" s="63" t="n">
        <v>0.125</v>
      </c>
      <c r="I9927" s="62" t="n">
        <v>63.34</v>
      </c>
      <c r="J9927" s="58" t="inlineStr">
        <is>
          <t>Store</t>
        </is>
      </c>
      <c r="K9927" s="62">
        <f>F9927*(G9927-H9927)</f>
        <v/>
      </c>
      <c r="L9927" s="62">
        <f>K9927-(F9927*I9927)</f>
        <v/>
      </c>
      <c r="M9927" s="64">
        <f>L9927/K9927</f>
        <v/>
      </c>
    </row>
    <row r="9928">
      <c r="A9928" s="58" t="inlineStr">
        <is>
          <t>RT20250906-09927</t>
        </is>
      </c>
      <c r="B9928" s="59" t="inlineStr">
        <is>
          <t>2025-09-06</t>
        </is>
      </c>
      <c r="C9928" s="60" t="inlineStr">
        <is>
          <t>Nimbus Laptop Max-652</t>
        </is>
      </c>
      <c r="D9928" s="58" t="inlineStr">
        <is>
          <t>Electronics</t>
        </is>
      </c>
      <c r="E9928" s="58" t="inlineStr">
        <is>
          <t>East</t>
        </is>
      </c>
      <c r="F9928" s="61" t="n">
        <v>1</v>
      </c>
      <c r="G9928" s="62" t="n">
        <v>1301.84</v>
      </c>
      <c r="H9928" s="63" t="n">
        <v>0.156</v>
      </c>
      <c r="I9928" s="62" t="n">
        <v>1049.61</v>
      </c>
      <c r="J9928" s="58" t="inlineStr">
        <is>
          <t>Online</t>
        </is>
      </c>
      <c r="K9928" s="62">
        <f>F9928*(G9928-H9928)</f>
        <v/>
      </c>
      <c r="L9928" s="62">
        <f>K9928-(F9928*I9928)</f>
        <v/>
      </c>
      <c r="M9928" s="64">
        <f>L9928/K9928</f>
        <v/>
      </c>
    </row>
    <row r="9929">
      <c r="A9929" s="58" t="inlineStr">
        <is>
          <t>RT20250906-09928</t>
        </is>
      </c>
      <c r="B9929" s="59" t="inlineStr">
        <is>
          <t>2025-09-06</t>
        </is>
      </c>
      <c r="C9929" s="60" t="inlineStr">
        <is>
          <t>Aurora Fitnes Lite-194</t>
        </is>
      </c>
      <c r="D9929" s="58" t="inlineStr">
        <is>
          <t>Sports</t>
        </is>
      </c>
      <c r="E9929" s="58" t="inlineStr">
        <is>
          <t>West</t>
        </is>
      </c>
      <c r="F9929" s="61" t="n">
        <v>2</v>
      </c>
      <c r="G9929" s="62" t="n">
        <v>803.52</v>
      </c>
      <c r="H9929" s="63" t="n">
        <v>0.132</v>
      </c>
      <c r="I9929" s="62" t="n">
        <v>471.5</v>
      </c>
      <c r="J9929" s="58" t="inlineStr">
        <is>
          <t>Online</t>
        </is>
      </c>
      <c r="K9929" s="62">
        <f>F9929*(G9929-H9929)</f>
        <v/>
      </c>
      <c r="L9929" s="62">
        <f>K9929-(F9929*I9929)</f>
        <v/>
      </c>
      <c r="M9929" s="64">
        <f>L9929/K9929</f>
        <v/>
      </c>
    </row>
    <row r="9930">
      <c r="A9930" s="58" t="inlineStr">
        <is>
          <t>RT20250906-09929</t>
        </is>
      </c>
      <c r="B9930" s="59" t="inlineStr">
        <is>
          <t>2025-09-06</t>
        </is>
      </c>
      <c r="C9930" s="60" t="inlineStr">
        <is>
          <t>Vertex Supplie X-513</t>
        </is>
      </c>
      <c r="D9930" s="58" t="inlineStr">
        <is>
          <t>Office</t>
        </is>
      </c>
      <c r="E9930" s="58" t="inlineStr">
        <is>
          <t>Central</t>
        </is>
      </c>
      <c r="F9930" s="61" t="n">
        <v>2</v>
      </c>
      <c r="G9930" s="62" t="n">
        <v>384.47</v>
      </c>
      <c r="H9930" s="63" t="n">
        <v>0.079</v>
      </c>
      <c r="I9930" s="62" t="n">
        <v>286.93</v>
      </c>
      <c r="J9930" s="58" t="inlineStr">
        <is>
          <t>Online</t>
        </is>
      </c>
      <c r="K9930" s="62">
        <f>F9930*(G9930-H9930)</f>
        <v/>
      </c>
      <c r="L9930" s="62">
        <f>K9930-(F9930*I9930)</f>
        <v/>
      </c>
      <c r="M9930" s="64">
        <f>L9930/K9930</f>
        <v/>
      </c>
    </row>
    <row r="9931">
      <c r="A9931" s="58" t="inlineStr">
        <is>
          <t>RT20250906-09930</t>
        </is>
      </c>
      <c r="B9931" s="59" t="inlineStr">
        <is>
          <t>2025-09-06</t>
        </is>
      </c>
      <c r="C9931" s="60" t="inlineStr">
        <is>
          <t>Aurora Makeup Pro-489</t>
        </is>
      </c>
      <c r="D9931" s="58" t="inlineStr">
        <is>
          <t>Beauty</t>
        </is>
      </c>
      <c r="E9931" s="58" t="inlineStr">
        <is>
          <t>East</t>
        </is>
      </c>
      <c r="F9931" s="61" t="n">
        <v>1</v>
      </c>
      <c r="G9931" s="62" t="n">
        <v>111.34</v>
      </c>
      <c r="H9931" s="63" t="n">
        <v>0.172</v>
      </c>
      <c r="I9931" s="62" t="n">
        <v>65.02</v>
      </c>
      <c r="J9931" s="58" t="inlineStr">
        <is>
          <t>Online</t>
        </is>
      </c>
      <c r="K9931" s="62">
        <f>F9931*(G9931-H9931)</f>
        <v/>
      </c>
      <c r="L9931" s="62">
        <f>K9931-(F9931*I9931)</f>
        <v/>
      </c>
      <c r="M9931" s="64">
        <f>L9931/K9931</f>
        <v/>
      </c>
    </row>
    <row r="9932">
      <c r="A9932" s="58" t="inlineStr">
        <is>
          <t>RT20250906-09931</t>
        </is>
      </c>
      <c r="B9932" s="59" t="inlineStr">
        <is>
          <t>2025-09-06</t>
        </is>
      </c>
      <c r="C9932" s="60" t="inlineStr">
        <is>
          <t>Aurora Storage Lite-774</t>
        </is>
      </c>
      <c r="D9932" s="58" t="inlineStr">
        <is>
          <t>Office</t>
        </is>
      </c>
      <c r="E9932" s="58" t="inlineStr">
        <is>
          <t>South</t>
        </is>
      </c>
      <c r="F9932" s="61" t="n">
        <v>3</v>
      </c>
      <c r="G9932" s="62" t="n">
        <v>318.84</v>
      </c>
      <c r="H9932" s="63" t="n">
        <v>0.149</v>
      </c>
      <c r="I9932" s="62" t="n">
        <v>240.62</v>
      </c>
      <c r="J9932" s="58" t="inlineStr">
        <is>
          <t>Store</t>
        </is>
      </c>
      <c r="K9932" s="62">
        <f>F9932*(G9932-H9932)</f>
        <v/>
      </c>
      <c r="L9932" s="62">
        <f>K9932-(F9932*I9932)</f>
        <v/>
      </c>
      <c r="M9932" s="64">
        <f>L9932/K9932</f>
        <v/>
      </c>
    </row>
    <row r="9933">
      <c r="A9933" s="58" t="inlineStr">
        <is>
          <t>RT20250906-09932</t>
        </is>
      </c>
      <c r="B9933" s="59" t="inlineStr">
        <is>
          <t>2025-09-06</t>
        </is>
      </c>
      <c r="C9933" s="60" t="inlineStr">
        <is>
          <t>Metro Decor Lite-325</t>
        </is>
      </c>
      <c r="D9933" s="58" t="inlineStr">
        <is>
          <t>Home</t>
        </is>
      </c>
      <c r="E9933" s="58" t="inlineStr">
        <is>
          <t>East</t>
        </is>
      </c>
      <c r="F9933" s="61" t="n">
        <v>3</v>
      </c>
      <c r="G9933" s="62" t="n">
        <v>514.61</v>
      </c>
      <c r="H9933" s="63" t="n">
        <v>0.157</v>
      </c>
      <c r="I9933" s="62" t="n">
        <v>379.74</v>
      </c>
      <c r="J9933" s="58" t="inlineStr">
        <is>
          <t>Online</t>
        </is>
      </c>
      <c r="K9933" s="62">
        <f>F9933*(G9933-H9933)</f>
        <v/>
      </c>
      <c r="L9933" s="62">
        <f>K9933-(F9933*I9933)</f>
        <v/>
      </c>
      <c r="M9933" s="64">
        <f>L9933/K9933</f>
        <v/>
      </c>
    </row>
    <row r="9934">
      <c r="A9934" s="58" t="inlineStr">
        <is>
          <t>RT20250906-09933</t>
        </is>
      </c>
      <c r="B9934" s="59" t="inlineStr">
        <is>
          <t>2025-09-06</t>
        </is>
      </c>
      <c r="C9934" s="60" t="inlineStr">
        <is>
          <t>Polar Cycling S-223</t>
        </is>
      </c>
      <c r="D9934" s="58" t="inlineStr">
        <is>
          <t>Sports</t>
        </is>
      </c>
      <c r="E9934" s="58" t="inlineStr">
        <is>
          <t>East</t>
        </is>
      </c>
      <c r="F9934" s="61" t="n">
        <v>1</v>
      </c>
      <c r="G9934" s="62" t="n">
        <v>980.21</v>
      </c>
      <c r="H9934" s="63" t="n">
        <v>0.142</v>
      </c>
      <c r="I9934" s="62" t="n">
        <v>628.01</v>
      </c>
      <c r="J9934" s="58" t="inlineStr">
        <is>
          <t>Online</t>
        </is>
      </c>
      <c r="K9934" s="62">
        <f>F9934*(G9934-H9934)</f>
        <v/>
      </c>
      <c r="L9934" s="62">
        <f>K9934-(F9934*I9934)</f>
        <v/>
      </c>
      <c r="M9934" s="64">
        <f>L9934/K9934</f>
        <v/>
      </c>
    </row>
    <row r="9935">
      <c r="A9935" s="58" t="inlineStr">
        <is>
          <t>RT20250906-09934</t>
        </is>
      </c>
      <c r="B9935" s="59" t="inlineStr">
        <is>
          <t>2025-09-06</t>
        </is>
      </c>
      <c r="C9935" s="60" t="inlineStr">
        <is>
          <t>Polar Snack Pro-641</t>
        </is>
      </c>
      <c r="D9935" s="58" t="inlineStr">
        <is>
          <t>Grocery</t>
        </is>
      </c>
      <c r="E9935" s="58" t="inlineStr">
        <is>
          <t>West</t>
        </is>
      </c>
      <c r="F9935" s="61" t="n">
        <v>3</v>
      </c>
      <c r="G9935" s="62" t="n">
        <v>13.83</v>
      </c>
      <c r="H9935" s="63" t="n">
        <v>0.182</v>
      </c>
      <c r="I9935" s="62" t="n">
        <v>9.49</v>
      </c>
      <c r="J9935" s="58" t="inlineStr">
        <is>
          <t>Store</t>
        </is>
      </c>
      <c r="K9935" s="62">
        <f>F9935*(G9935-H9935)</f>
        <v/>
      </c>
      <c r="L9935" s="62">
        <f>K9935-(F9935*I9935)</f>
        <v/>
      </c>
      <c r="M9935" s="64">
        <f>L9935/K9935</f>
        <v/>
      </c>
    </row>
    <row r="9936">
      <c r="A9936" s="58" t="inlineStr">
        <is>
          <t>RT20250906-09935</t>
        </is>
      </c>
      <c r="B9936" s="59" t="inlineStr">
        <is>
          <t>2025-09-06</t>
        </is>
      </c>
      <c r="C9936" s="60" t="inlineStr">
        <is>
          <t>Aurora Kid Plus-151</t>
        </is>
      </c>
      <c r="D9936" s="58" t="inlineStr">
        <is>
          <t>Apparel</t>
        </is>
      </c>
      <c r="E9936" s="58" t="inlineStr">
        <is>
          <t>North</t>
        </is>
      </c>
      <c r="F9936" s="61" t="n">
        <v>3</v>
      </c>
      <c r="G9936" s="62" t="n">
        <v>110.17</v>
      </c>
      <c r="H9936" s="63" t="n">
        <v>0.096</v>
      </c>
      <c r="I9936" s="62" t="n">
        <v>64.31</v>
      </c>
      <c r="J9936" s="58" t="inlineStr">
        <is>
          <t>Store</t>
        </is>
      </c>
      <c r="K9936" s="62">
        <f>F9936*(G9936-H9936)</f>
        <v/>
      </c>
      <c r="L9936" s="62">
        <f>K9936-(F9936*I9936)</f>
        <v/>
      </c>
      <c r="M9936" s="64">
        <f>L9936/K9936</f>
        <v/>
      </c>
    </row>
    <row r="9937">
      <c r="A9937" s="58" t="inlineStr">
        <is>
          <t>RT20250906-09936</t>
        </is>
      </c>
      <c r="B9937" s="59" t="inlineStr">
        <is>
          <t>2025-09-06</t>
        </is>
      </c>
      <c r="C9937" s="60" t="inlineStr">
        <is>
          <t>Polar Decor Plus-505</t>
        </is>
      </c>
      <c r="D9937" s="58" t="inlineStr">
        <is>
          <t>Home</t>
        </is>
      </c>
      <c r="E9937" s="58" t="inlineStr">
        <is>
          <t>East</t>
        </is>
      </c>
      <c r="F9937" s="61" t="n">
        <v>3</v>
      </c>
      <c r="G9937" s="62" t="n">
        <v>290.15</v>
      </c>
      <c r="H9937" s="63" t="n">
        <v>0.132</v>
      </c>
      <c r="I9937" s="62" t="n">
        <v>196.02</v>
      </c>
      <c r="J9937" s="58" t="inlineStr">
        <is>
          <t>Phone</t>
        </is>
      </c>
      <c r="K9937" s="62">
        <f>F9937*(G9937-H9937)</f>
        <v/>
      </c>
      <c r="L9937" s="62">
        <f>K9937-(F9937*I9937)</f>
        <v/>
      </c>
      <c r="M9937" s="64">
        <f>L9937/K9937</f>
        <v/>
      </c>
    </row>
    <row r="9938">
      <c r="A9938" s="58" t="inlineStr">
        <is>
          <t>RT20250906-09937</t>
        </is>
      </c>
      <c r="B9938" s="59" t="inlineStr">
        <is>
          <t>2025-09-06</t>
        </is>
      </c>
      <c r="C9938" s="60" t="inlineStr">
        <is>
          <t>Vertex Fitnes Pro-830</t>
        </is>
      </c>
      <c r="D9938" s="58" t="inlineStr">
        <is>
          <t>Sports</t>
        </is>
      </c>
      <c r="E9938" s="58" t="inlineStr">
        <is>
          <t>South</t>
        </is>
      </c>
      <c r="F9938" s="61" t="n">
        <v>1</v>
      </c>
      <c r="G9938" s="62" t="n">
        <v>832.41</v>
      </c>
      <c r="H9938" s="63" t="n">
        <v>0.09</v>
      </c>
      <c r="I9938" s="62" t="n">
        <v>490.63</v>
      </c>
      <c r="J9938" s="58" t="inlineStr">
        <is>
          <t>Online</t>
        </is>
      </c>
      <c r="K9938" s="62">
        <f>F9938*(G9938-H9938)</f>
        <v/>
      </c>
      <c r="L9938" s="62">
        <f>K9938-(F9938*I9938)</f>
        <v/>
      </c>
      <c r="M9938" s="64">
        <f>L9938/K9938</f>
        <v/>
      </c>
    </row>
    <row r="9939">
      <c r="A9939" s="58" t="inlineStr">
        <is>
          <t>RT20250906-09938</t>
        </is>
      </c>
      <c r="B9939" s="59" t="inlineStr">
        <is>
          <t>2025-09-06</t>
        </is>
      </c>
      <c r="C9939" s="60" t="inlineStr">
        <is>
          <t>Polar Outdoor X-193</t>
        </is>
      </c>
      <c r="D9939" s="58" t="inlineStr">
        <is>
          <t>Sports</t>
        </is>
      </c>
      <c r="E9939" s="58" t="inlineStr">
        <is>
          <t>East</t>
        </is>
      </c>
      <c r="F9939" s="61" t="n">
        <v>2</v>
      </c>
      <c r="G9939" s="62" t="n">
        <v>667.42</v>
      </c>
      <c r="H9939" s="63" t="n">
        <v>0.113</v>
      </c>
      <c r="I9939" s="62" t="n">
        <v>454.56</v>
      </c>
      <c r="J9939" s="58" t="inlineStr">
        <is>
          <t>Online</t>
        </is>
      </c>
      <c r="K9939" s="62">
        <f>F9939*(G9939-H9939)</f>
        <v/>
      </c>
      <c r="L9939" s="62">
        <f>K9939-(F9939*I9939)</f>
        <v/>
      </c>
      <c r="M9939" s="64">
        <f>L9939/K9939</f>
        <v/>
      </c>
    </row>
    <row r="9940">
      <c r="A9940" s="58" t="inlineStr">
        <is>
          <t>RT20250906-09939</t>
        </is>
      </c>
      <c r="B9940" s="59" t="inlineStr">
        <is>
          <t>2025-09-06</t>
        </is>
      </c>
      <c r="C9940" s="60" t="inlineStr">
        <is>
          <t>Orion Storage Plus-961</t>
        </is>
      </c>
      <c r="D9940" s="58" t="inlineStr">
        <is>
          <t>Office</t>
        </is>
      </c>
      <c r="E9940" s="58" t="inlineStr">
        <is>
          <t>South</t>
        </is>
      </c>
      <c r="F9940" s="61" t="n">
        <v>3</v>
      </c>
      <c r="G9940" s="62" t="n">
        <v>537.5599999999999</v>
      </c>
      <c r="H9940" s="63" t="n">
        <v>0.099</v>
      </c>
      <c r="I9940" s="62" t="n">
        <v>362.34</v>
      </c>
      <c r="J9940" s="58" t="inlineStr">
        <is>
          <t>Online</t>
        </is>
      </c>
      <c r="K9940" s="62">
        <f>F9940*(G9940-H9940)</f>
        <v/>
      </c>
      <c r="L9940" s="62">
        <f>K9940-(F9940*I9940)</f>
        <v/>
      </c>
      <c r="M9940" s="64">
        <f>L9940/K9940</f>
        <v/>
      </c>
    </row>
    <row r="9941">
      <c r="A9941" s="58" t="inlineStr">
        <is>
          <t>RT20250906-09940</t>
        </is>
      </c>
      <c r="B9941" s="59" t="inlineStr">
        <is>
          <t>2025-09-06</t>
        </is>
      </c>
      <c r="C9941" s="60" t="inlineStr">
        <is>
          <t>Falcon Accessorie S-195</t>
        </is>
      </c>
      <c r="D9941" s="58" t="inlineStr">
        <is>
          <t>Apparel</t>
        </is>
      </c>
      <c r="E9941" s="58" t="inlineStr">
        <is>
          <t>Central</t>
        </is>
      </c>
      <c r="F9941" s="61" t="n">
        <v>2</v>
      </c>
      <c r="G9941" s="62" t="n">
        <v>74.59</v>
      </c>
      <c r="H9941" s="63" t="n">
        <v>0.165</v>
      </c>
      <c r="I9941" s="62" t="n">
        <v>44.24</v>
      </c>
      <c r="J9941" s="58" t="inlineStr">
        <is>
          <t>Online</t>
        </is>
      </c>
      <c r="K9941" s="62">
        <f>F9941*(G9941-H9941)</f>
        <v/>
      </c>
      <c r="L9941" s="62">
        <f>K9941-(F9941*I9941)</f>
        <v/>
      </c>
      <c r="M9941" s="64">
        <f>L9941/K9941</f>
        <v/>
      </c>
    </row>
    <row r="9942">
      <c r="A9942" s="58" t="inlineStr">
        <is>
          <t>RT20250906-09941</t>
        </is>
      </c>
      <c r="B9942" s="59" t="inlineStr">
        <is>
          <t>2025-09-06</t>
        </is>
      </c>
      <c r="C9942" s="60" t="inlineStr">
        <is>
          <t>Aurora Team Sport Plus-256</t>
        </is>
      </c>
      <c r="D9942" s="58" t="inlineStr">
        <is>
          <t>Sports</t>
        </is>
      </c>
      <c r="E9942" s="58" t="inlineStr">
        <is>
          <t>East</t>
        </is>
      </c>
      <c r="F9942" s="61" t="n">
        <v>3</v>
      </c>
      <c r="G9942" s="62" t="n">
        <v>635.4299999999999</v>
      </c>
      <c r="H9942" s="63" t="n">
        <v>0.126</v>
      </c>
      <c r="I9942" s="62" t="n">
        <v>425.64</v>
      </c>
      <c r="J9942" s="58" t="inlineStr">
        <is>
          <t>Online</t>
        </is>
      </c>
      <c r="K9942" s="62">
        <f>F9942*(G9942-H9942)</f>
        <v/>
      </c>
      <c r="L9942" s="62">
        <f>K9942-(F9942*I9942)</f>
        <v/>
      </c>
      <c r="M9942" s="64">
        <f>L9942/K9942</f>
        <v/>
      </c>
    </row>
    <row r="9943">
      <c r="A9943" s="58" t="inlineStr">
        <is>
          <t>RT20250906-09942</t>
        </is>
      </c>
      <c r="B9943" s="59" t="inlineStr">
        <is>
          <t>2025-09-06</t>
        </is>
      </c>
      <c r="C9943" s="60" t="inlineStr">
        <is>
          <t>Polar Men Pro-246</t>
        </is>
      </c>
      <c r="D9943" s="58" t="inlineStr">
        <is>
          <t>Apparel</t>
        </is>
      </c>
      <c r="E9943" s="58" t="inlineStr">
        <is>
          <t>East</t>
        </is>
      </c>
      <c r="F9943" s="61" t="n">
        <v>2</v>
      </c>
      <c r="G9943" s="62" t="n">
        <v>155.18</v>
      </c>
      <c r="H9943" s="63" t="n">
        <v>0.102</v>
      </c>
      <c r="I9943" s="62" t="n">
        <v>77.56</v>
      </c>
      <c r="J9943" s="58" t="inlineStr">
        <is>
          <t>Store</t>
        </is>
      </c>
      <c r="K9943" s="62">
        <f>F9943*(G9943-H9943)</f>
        <v/>
      </c>
      <c r="L9943" s="62">
        <f>K9943-(F9943*I9943)</f>
        <v/>
      </c>
      <c r="M9943" s="64">
        <f>L9943/K9943</f>
        <v/>
      </c>
    </row>
    <row r="9944">
      <c r="A9944" s="58" t="inlineStr">
        <is>
          <t>RT20250906-09943</t>
        </is>
      </c>
      <c r="B9944" s="59" t="inlineStr">
        <is>
          <t>2025-09-06</t>
        </is>
      </c>
      <c r="C9944" s="60" t="inlineStr">
        <is>
          <t>Falcon Household Pro-865</t>
        </is>
      </c>
      <c r="D9944" s="58" t="inlineStr">
        <is>
          <t>Grocery</t>
        </is>
      </c>
      <c r="E9944" s="58" t="inlineStr">
        <is>
          <t>Central</t>
        </is>
      </c>
      <c r="F9944" s="61" t="n">
        <v>7</v>
      </c>
      <c r="G9944" s="62" t="n">
        <v>11.54</v>
      </c>
      <c r="H9944" s="63" t="n">
        <v>0.152</v>
      </c>
      <c r="I9944" s="62" t="n">
        <v>7.61</v>
      </c>
      <c r="J9944" s="58" t="inlineStr">
        <is>
          <t>Store</t>
        </is>
      </c>
      <c r="K9944" s="62">
        <f>F9944*(G9944-H9944)</f>
        <v/>
      </c>
      <c r="L9944" s="62">
        <f>K9944-(F9944*I9944)</f>
        <v/>
      </c>
      <c r="M9944" s="64">
        <f>L9944/K9944</f>
        <v/>
      </c>
    </row>
    <row r="9945">
      <c r="A9945" s="58" t="inlineStr">
        <is>
          <t>RT20250906-09944</t>
        </is>
      </c>
      <c r="B9945" s="59" t="inlineStr">
        <is>
          <t>2025-09-06</t>
        </is>
      </c>
      <c r="C9945" s="60" t="inlineStr">
        <is>
          <t>Orion Kid Max-864</t>
        </is>
      </c>
      <c r="D9945" s="58" t="inlineStr">
        <is>
          <t>Apparel</t>
        </is>
      </c>
      <c r="E9945" s="58" t="inlineStr">
        <is>
          <t>Central</t>
        </is>
      </c>
      <c r="F9945" s="61" t="n">
        <v>2</v>
      </c>
      <c r="G9945" s="62" t="n">
        <v>77.16</v>
      </c>
      <c r="H9945" s="63" t="n">
        <v>0.149</v>
      </c>
      <c r="I9945" s="62" t="n">
        <v>46.61</v>
      </c>
      <c r="J9945" s="58" t="inlineStr">
        <is>
          <t>Online</t>
        </is>
      </c>
      <c r="K9945" s="62">
        <f>F9945*(G9945-H9945)</f>
        <v/>
      </c>
      <c r="L9945" s="62">
        <f>K9945-(F9945*I9945)</f>
        <v/>
      </c>
      <c r="M9945" s="64">
        <f>L9945/K9945</f>
        <v/>
      </c>
    </row>
    <row r="9946">
      <c r="A9946" s="58" t="inlineStr">
        <is>
          <t>RT20250906-09945</t>
        </is>
      </c>
      <c r="B9946" s="59" t="inlineStr">
        <is>
          <t>2025-09-06</t>
        </is>
      </c>
      <c r="C9946" s="60" t="inlineStr">
        <is>
          <t>Orion Storage Plus-961</t>
        </is>
      </c>
      <c r="D9946" s="58" t="inlineStr">
        <is>
          <t>Office</t>
        </is>
      </c>
      <c r="E9946" s="58" t="inlineStr">
        <is>
          <t>South</t>
        </is>
      </c>
      <c r="F9946" s="61" t="n">
        <v>1</v>
      </c>
      <c r="G9946" s="62" t="n">
        <v>498.77</v>
      </c>
      <c r="H9946" s="63" t="n">
        <v>0.098</v>
      </c>
      <c r="I9946" s="62" t="n">
        <v>372.03</v>
      </c>
      <c r="J9946" s="58" t="inlineStr">
        <is>
          <t>Online</t>
        </is>
      </c>
      <c r="K9946" s="62">
        <f>F9946*(G9946-H9946)</f>
        <v/>
      </c>
      <c r="L9946" s="62">
        <f>K9946-(F9946*I9946)</f>
        <v/>
      </c>
      <c r="M9946" s="64">
        <f>L9946/K9946</f>
        <v/>
      </c>
    </row>
    <row r="9947">
      <c r="A9947" s="58" t="inlineStr">
        <is>
          <t>RT20250906-09946</t>
        </is>
      </c>
      <c r="B9947" s="59" t="inlineStr">
        <is>
          <t>2025-09-06</t>
        </is>
      </c>
      <c r="C9947" s="60" t="inlineStr">
        <is>
          <t>Falcon Household Plus-172</t>
        </is>
      </c>
      <c r="D9947" s="58" t="inlineStr">
        <is>
          <t>Grocery</t>
        </is>
      </c>
      <c r="E9947" s="58" t="inlineStr">
        <is>
          <t>West</t>
        </is>
      </c>
      <c r="F9947" s="61" t="n">
        <v>6</v>
      </c>
      <c r="G9947" s="62" t="n">
        <v>20.91</v>
      </c>
      <c r="H9947" s="63" t="n">
        <v>0.146</v>
      </c>
      <c r="I9947" s="62" t="n">
        <v>16.37</v>
      </c>
      <c r="J9947" s="58" t="inlineStr">
        <is>
          <t>Online</t>
        </is>
      </c>
      <c r="K9947" s="62">
        <f>F9947*(G9947-H9947)</f>
        <v/>
      </c>
      <c r="L9947" s="62">
        <f>K9947-(F9947*I9947)</f>
        <v/>
      </c>
      <c r="M9947" s="64">
        <f>L9947/K9947</f>
        <v/>
      </c>
    </row>
    <row r="9948">
      <c r="A9948" s="58" t="inlineStr">
        <is>
          <t>RT20250906-09947</t>
        </is>
      </c>
      <c r="B9948" s="59" t="inlineStr">
        <is>
          <t>2025-09-06</t>
        </is>
      </c>
      <c r="C9948" s="60" t="inlineStr">
        <is>
          <t>Solace Kitchen Pro-999</t>
        </is>
      </c>
      <c r="D9948" s="58" t="inlineStr">
        <is>
          <t>Home</t>
        </is>
      </c>
      <c r="E9948" s="58" t="inlineStr">
        <is>
          <t>South</t>
        </is>
      </c>
      <c r="F9948" s="61" t="n">
        <v>3</v>
      </c>
      <c r="G9948" s="62" t="n">
        <v>402.43</v>
      </c>
      <c r="H9948" s="63" t="n">
        <v>0.083</v>
      </c>
      <c r="I9948" s="62" t="n">
        <v>269.97</v>
      </c>
      <c r="J9948" s="58" t="inlineStr">
        <is>
          <t>Store</t>
        </is>
      </c>
      <c r="K9948" s="62">
        <f>F9948*(G9948-H9948)</f>
        <v/>
      </c>
      <c r="L9948" s="62">
        <f>K9948-(F9948*I9948)</f>
        <v/>
      </c>
      <c r="M9948" s="64">
        <f>L9948/K9948</f>
        <v/>
      </c>
    </row>
    <row r="9949">
      <c r="A9949" s="58" t="inlineStr">
        <is>
          <t>RT20250907-09948</t>
        </is>
      </c>
      <c r="B9949" s="59" t="inlineStr">
        <is>
          <t>2025-09-07</t>
        </is>
      </c>
      <c r="C9949" s="60" t="inlineStr">
        <is>
          <t>Nimbus Laptop Max-652</t>
        </is>
      </c>
      <c r="D9949" s="58" t="inlineStr">
        <is>
          <t>Electronics</t>
        </is>
      </c>
      <c r="E9949" s="58" t="inlineStr">
        <is>
          <t>East</t>
        </is>
      </c>
      <c r="F9949" s="61" t="n">
        <v>1</v>
      </c>
      <c r="G9949" s="62" t="n">
        <v>1442.4</v>
      </c>
      <c r="H9949" s="63" t="n">
        <v>0.129</v>
      </c>
      <c r="I9949" s="62" t="n">
        <v>1055.86</v>
      </c>
      <c r="J9949" s="58" t="inlineStr">
        <is>
          <t>Online</t>
        </is>
      </c>
      <c r="K9949" s="62">
        <f>F9949*(G9949-H9949)</f>
        <v/>
      </c>
      <c r="L9949" s="62">
        <f>K9949-(F9949*I9949)</f>
        <v/>
      </c>
      <c r="M9949" s="64">
        <f>L9949/K9949</f>
        <v/>
      </c>
    </row>
    <row r="9950">
      <c r="A9950" s="58" t="inlineStr">
        <is>
          <t>RT20250907-09949</t>
        </is>
      </c>
      <c r="B9950" s="59" t="inlineStr">
        <is>
          <t>2025-09-07</t>
        </is>
      </c>
      <c r="C9950" s="60" t="inlineStr">
        <is>
          <t>Solace Kitchen Pro-510</t>
        </is>
      </c>
      <c r="D9950" s="58" t="inlineStr">
        <is>
          <t>Home</t>
        </is>
      </c>
      <c r="E9950" s="58" t="inlineStr">
        <is>
          <t>East</t>
        </is>
      </c>
      <c r="F9950" s="61" t="n">
        <v>1</v>
      </c>
      <c r="G9950" s="62" t="n">
        <v>488.1</v>
      </c>
      <c r="H9950" s="63" t="n">
        <v>0.121</v>
      </c>
      <c r="I9950" s="62" t="n">
        <v>317.2</v>
      </c>
      <c r="J9950" s="58" t="inlineStr">
        <is>
          <t>Online</t>
        </is>
      </c>
      <c r="K9950" s="62">
        <f>F9950*(G9950-H9950)</f>
        <v/>
      </c>
      <c r="L9950" s="62">
        <f>K9950-(F9950*I9950)</f>
        <v/>
      </c>
      <c r="M9950" s="64">
        <f>L9950/K9950</f>
        <v/>
      </c>
    </row>
    <row r="9951">
      <c r="A9951" s="58" t="inlineStr">
        <is>
          <t>RT20250907-09950</t>
        </is>
      </c>
      <c r="B9951" s="59" t="inlineStr">
        <is>
          <t>2025-09-07</t>
        </is>
      </c>
      <c r="C9951" s="60" t="inlineStr">
        <is>
          <t>Orion Haircare Plus-887</t>
        </is>
      </c>
      <c r="D9951" s="58" t="inlineStr">
        <is>
          <t>Beauty</t>
        </is>
      </c>
      <c r="E9951" s="58" t="inlineStr">
        <is>
          <t>East</t>
        </is>
      </c>
      <c r="F9951" s="61" t="n">
        <v>2</v>
      </c>
      <c r="G9951" s="62" t="n">
        <v>56.22</v>
      </c>
      <c r="H9951" s="63" t="n">
        <v>0.1</v>
      </c>
      <c r="I9951" s="62" t="n">
        <v>29.93</v>
      </c>
      <c r="J9951" s="58" t="inlineStr">
        <is>
          <t>Online</t>
        </is>
      </c>
      <c r="K9951" s="62">
        <f>F9951*(G9951-H9951)</f>
        <v/>
      </c>
      <c r="L9951" s="62">
        <f>K9951-(F9951*I9951)</f>
        <v/>
      </c>
      <c r="M9951" s="64">
        <f>L9951/K9951</f>
        <v/>
      </c>
    </row>
    <row r="9952">
      <c r="A9952" s="58" t="inlineStr">
        <is>
          <t>RT20250907-09951</t>
        </is>
      </c>
      <c r="B9952" s="59" t="inlineStr">
        <is>
          <t>2025-09-07</t>
        </is>
      </c>
      <c r="C9952" s="60" t="inlineStr">
        <is>
          <t>Nimbus Headphone X-854</t>
        </is>
      </c>
      <c r="D9952" s="58" t="inlineStr">
        <is>
          <t>Electronics</t>
        </is>
      </c>
      <c r="E9952" s="58" t="inlineStr">
        <is>
          <t>South</t>
        </is>
      </c>
      <c r="F9952" s="61" t="n">
        <v>2</v>
      </c>
      <c r="G9952" s="62" t="n">
        <v>1613.1</v>
      </c>
      <c r="H9952" s="63" t="n">
        <v>0.12</v>
      </c>
      <c r="I9952" s="62" t="n">
        <v>1252.16</v>
      </c>
      <c r="J9952" s="58" t="inlineStr">
        <is>
          <t>Online</t>
        </is>
      </c>
      <c r="K9952" s="62">
        <f>F9952*(G9952-H9952)</f>
        <v/>
      </c>
      <c r="L9952" s="62">
        <f>K9952-(F9952*I9952)</f>
        <v/>
      </c>
      <c r="M9952" s="64">
        <f>L9952/K9952</f>
        <v/>
      </c>
    </row>
    <row r="9953">
      <c r="A9953" s="58" t="inlineStr">
        <is>
          <t>RT20250907-09952</t>
        </is>
      </c>
      <c r="B9953" s="59" t="inlineStr">
        <is>
          <t>2025-09-07</t>
        </is>
      </c>
      <c r="C9953" s="60" t="inlineStr">
        <is>
          <t>Metro Pantry Max-180</t>
        </is>
      </c>
      <c r="D9953" s="58" t="inlineStr">
        <is>
          <t>Grocery</t>
        </is>
      </c>
      <c r="E9953" s="58" t="inlineStr">
        <is>
          <t>South</t>
        </is>
      </c>
      <c r="F9953" s="61" t="n">
        <v>3</v>
      </c>
      <c r="G9953" s="62" t="n">
        <v>9.92</v>
      </c>
      <c r="H9953" s="63" t="n">
        <v>0.118</v>
      </c>
      <c r="I9953" s="62" t="n">
        <v>6.8</v>
      </c>
      <c r="J9953" s="58" t="inlineStr">
        <is>
          <t>Online</t>
        </is>
      </c>
      <c r="K9953" s="62">
        <f>F9953*(G9953-H9953)</f>
        <v/>
      </c>
      <c r="L9953" s="62">
        <f>K9953-(F9953*I9953)</f>
        <v/>
      </c>
      <c r="M9953" s="64">
        <f>L9953/K9953</f>
        <v/>
      </c>
    </row>
    <row r="9954">
      <c r="A9954" s="58" t="inlineStr">
        <is>
          <t>RT20250907-09953</t>
        </is>
      </c>
      <c r="B9954" s="59" t="inlineStr">
        <is>
          <t>2025-09-07</t>
        </is>
      </c>
      <c r="C9954" s="60" t="inlineStr">
        <is>
          <t>Falcon Storage X-734</t>
        </is>
      </c>
      <c r="D9954" s="58" t="inlineStr">
        <is>
          <t>Office</t>
        </is>
      </c>
      <c r="E9954" s="58" t="inlineStr">
        <is>
          <t>East</t>
        </is>
      </c>
      <c r="F9954" s="61" t="n">
        <v>2</v>
      </c>
      <c r="G9954" s="62" t="n">
        <v>402.46</v>
      </c>
      <c r="H9954" s="63" t="n">
        <v>0.09</v>
      </c>
      <c r="I9954" s="62" t="n">
        <v>275.88</v>
      </c>
      <c r="J9954" s="58" t="inlineStr">
        <is>
          <t>Online</t>
        </is>
      </c>
      <c r="K9954" s="62">
        <f>F9954*(G9954-H9954)</f>
        <v/>
      </c>
      <c r="L9954" s="62">
        <f>K9954-(F9954*I9954)</f>
        <v/>
      </c>
      <c r="M9954" s="64">
        <f>L9954/K9954</f>
        <v/>
      </c>
    </row>
    <row r="9955">
      <c r="A9955" s="58" t="inlineStr">
        <is>
          <t>RT20250907-09954</t>
        </is>
      </c>
      <c r="B9955" s="59" t="inlineStr">
        <is>
          <t>2025-09-07</t>
        </is>
      </c>
      <c r="C9955" s="60" t="inlineStr">
        <is>
          <t>Polar Women S-662</t>
        </is>
      </c>
      <c r="D9955" s="58" t="inlineStr">
        <is>
          <t>Apparel</t>
        </is>
      </c>
      <c r="E9955" s="58" t="inlineStr">
        <is>
          <t>South</t>
        </is>
      </c>
      <c r="F9955" s="61" t="n">
        <v>2</v>
      </c>
      <c r="G9955" s="62" t="n">
        <v>163.71</v>
      </c>
      <c r="H9955" s="63" t="n">
        <v>0.168</v>
      </c>
      <c r="I9955" s="62" t="n">
        <v>99.13</v>
      </c>
      <c r="J9955" s="58" t="inlineStr">
        <is>
          <t>Online</t>
        </is>
      </c>
      <c r="K9955" s="62">
        <f>F9955*(G9955-H9955)</f>
        <v/>
      </c>
      <c r="L9955" s="62">
        <f>K9955-(F9955*I9955)</f>
        <v/>
      </c>
      <c r="M9955" s="64">
        <f>L9955/K9955</f>
        <v/>
      </c>
    </row>
    <row r="9956">
      <c r="A9956" s="58" t="inlineStr">
        <is>
          <t>RT20250907-09955</t>
        </is>
      </c>
      <c r="B9956" s="59" t="inlineStr">
        <is>
          <t>2025-09-07</t>
        </is>
      </c>
      <c r="C9956" s="60" t="inlineStr">
        <is>
          <t>Nimbus Men Plus-231</t>
        </is>
      </c>
      <c r="D9956" s="58" t="inlineStr">
        <is>
          <t>Apparel</t>
        </is>
      </c>
      <c r="E9956" s="58" t="inlineStr">
        <is>
          <t>West</t>
        </is>
      </c>
      <c r="F9956" s="61" t="n">
        <v>1</v>
      </c>
      <c r="G9956" s="62" t="n">
        <v>161.41</v>
      </c>
      <c r="H9956" s="63" t="n">
        <v>0.132</v>
      </c>
      <c r="I9956" s="62" t="n">
        <v>87.59</v>
      </c>
      <c r="J9956" s="58" t="inlineStr">
        <is>
          <t>Online</t>
        </is>
      </c>
      <c r="K9956" s="62">
        <f>F9956*(G9956-H9956)</f>
        <v/>
      </c>
      <c r="L9956" s="62">
        <f>K9956-(F9956*I9956)</f>
        <v/>
      </c>
      <c r="M9956" s="64">
        <f>L9956/K9956</f>
        <v/>
      </c>
    </row>
    <row r="9957">
      <c r="A9957" s="58" t="inlineStr">
        <is>
          <t>RT20250907-09956</t>
        </is>
      </c>
      <c r="B9957" s="59" t="inlineStr">
        <is>
          <t>2025-09-07</t>
        </is>
      </c>
      <c r="C9957" s="60" t="inlineStr">
        <is>
          <t>Solace Fitnes S-324</t>
        </is>
      </c>
      <c r="D9957" s="58" t="inlineStr">
        <is>
          <t>Sports</t>
        </is>
      </c>
      <c r="E9957" s="58" t="inlineStr">
        <is>
          <t>South</t>
        </is>
      </c>
      <c r="F9957" s="61" t="n">
        <v>1</v>
      </c>
      <c r="G9957" s="62" t="n">
        <v>770.76</v>
      </c>
      <c r="H9957" s="63" t="n">
        <v>0.082</v>
      </c>
      <c r="I9957" s="62" t="n">
        <v>511.91</v>
      </c>
      <c r="J9957" s="58" t="inlineStr">
        <is>
          <t>Online</t>
        </is>
      </c>
      <c r="K9957" s="62">
        <f>F9957*(G9957-H9957)</f>
        <v/>
      </c>
      <c r="L9957" s="62">
        <f>K9957-(F9957*I9957)</f>
        <v/>
      </c>
      <c r="M9957" s="64">
        <f>L9957/K9957</f>
        <v/>
      </c>
    </row>
    <row r="9958">
      <c r="A9958" s="58" t="inlineStr">
        <is>
          <t>RT20250907-09957</t>
        </is>
      </c>
      <c r="B9958" s="59" t="inlineStr">
        <is>
          <t>2025-09-07</t>
        </is>
      </c>
      <c r="C9958" s="60" t="inlineStr">
        <is>
          <t>Orion Haircare Plus-887</t>
        </is>
      </c>
      <c r="D9958" s="58" t="inlineStr">
        <is>
          <t>Beauty</t>
        </is>
      </c>
      <c r="E9958" s="58" t="inlineStr">
        <is>
          <t>South</t>
        </is>
      </c>
      <c r="F9958" s="61" t="n">
        <v>1</v>
      </c>
      <c r="G9958" s="62" t="n">
        <v>44.24</v>
      </c>
      <c r="H9958" s="63" t="n">
        <v>0.113</v>
      </c>
      <c r="I9958" s="62" t="n">
        <v>31.26</v>
      </c>
      <c r="J9958" s="58" t="inlineStr">
        <is>
          <t>Online</t>
        </is>
      </c>
      <c r="K9958" s="62">
        <f>F9958*(G9958-H9958)</f>
        <v/>
      </c>
      <c r="L9958" s="62">
        <f>K9958-(F9958*I9958)</f>
        <v/>
      </c>
      <c r="M9958" s="64">
        <f>L9958/K9958</f>
        <v/>
      </c>
    </row>
    <row r="9959">
      <c r="A9959" s="58" t="inlineStr">
        <is>
          <t>RT20250907-09958</t>
        </is>
      </c>
      <c r="B9959" s="59" t="inlineStr">
        <is>
          <t>2025-09-07</t>
        </is>
      </c>
      <c r="C9959" s="60" t="inlineStr">
        <is>
          <t>Metro Pantry Max-180</t>
        </is>
      </c>
      <c r="D9959" s="58" t="inlineStr">
        <is>
          <t>Grocery</t>
        </is>
      </c>
      <c r="E9959" s="58" t="inlineStr">
        <is>
          <t>East</t>
        </is>
      </c>
      <c r="F9959" s="61" t="n">
        <v>8</v>
      </c>
      <c r="G9959" s="62" t="n">
        <v>8.789999999999999</v>
      </c>
      <c r="H9959" s="63" t="n">
        <v>0.138</v>
      </c>
      <c r="I9959" s="62" t="n">
        <v>6.55</v>
      </c>
      <c r="J9959" s="58" t="inlineStr">
        <is>
          <t>Online</t>
        </is>
      </c>
      <c r="K9959" s="62">
        <f>F9959*(G9959-H9959)</f>
        <v/>
      </c>
      <c r="L9959" s="62">
        <f>K9959-(F9959*I9959)</f>
        <v/>
      </c>
      <c r="M9959" s="64">
        <f>L9959/K9959</f>
        <v/>
      </c>
    </row>
    <row r="9960">
      <c r="A9960" s="58" t="inlineStr">
        <is>
          <t>RT20250907-09959</t>
        </is>
      </c>
      <c r="B9960" s="59" t="inlineStr">
        <is>
          <t>2025-09-07</t>
        </is>
      </c>
      <c r="C9960" s="60" t="inlineStr">
        <is>
          <t>Vertex Appliance S-296</t>
        </is>
      </c>
      <c r="D9960" s="58" t="inlineStr">
        <is>
          <t>Home</t>
        </is>
      </c>
      <c r="E9960" s="58" t="inlineStr">
        <is>
          <t>Central</t>
        </is>
      </c>
      <c r="F9960" s="61" t="n">
        <v>3</v>
      </c>
      <c r="G9960" s="62" t="n">
        <v>520.47</v>
      </c>
      <c r="H9960" s="63" t="n">
        <v>0.166</v>
      </c>
      <c r="I9960" s="62" t="n">
        <v>351.95</v>
      </c>
      <c r="J9960" s="58" t="inlineStr">
        <is>
          <t>Online</t>
        </is>
      </c>
      <c r="K9960" s="62">
        <f>F9960*(G9960-H9960)</f>
        <v/>
      </c>
      <c r="L9960" s="62">
        <f>K9960-(F9960*I9960)</f>
        <v/>
      </c>
      <c r="M9960" s="64">
        <f>L9960/K9960</f>
        <v/>
      </c>
    </row>
    <row r="9961">
      <c r="A9961" s="58" t="inlineStr">
        <is>
          <t>RT20250907-09960</t>
        </is>
      </c>
      <c r="B9961" s="59" t="inlineStr">
        <is>
          <t>2025-09-07</t>
        </is>
      </c>
      <c r="C9961" s="60" t="inlineStr">
        <is>
          <t>Vertex Snack S-702</t>
        </is>
      </c>
      <c r="D9961" s="58" t="inlineStr">
        <is>
          <t>Grocery</t>
        </is>
      </c>
      <c r="E9961" s="58" t="inlineStr">
        <is>
          <t>East</t>
        </is>
      </c>
      <c r="F9961" s="61" t="n">
        <v>7</v>
      </c>
      <c r="G9961" s="62" t="n">
        <v>1.74</v>
      </c>
      <c r="H9961" s="63" t="n">
        <v>0.126</v>
      </c>
      <c r="I9961" s="62" t="n">
        <v>1.48</v>
      </c>
      <c r="J9961" s="58" t="inlineStr">
        <is>
          <t>Online</t>
        </is>
      </c>
      <c r="K9961" s="62">
        <f>F9961*(G9961-H9961)</f>
        <v/>
      </c>
      <c r="L9961" s="62">
        <f>K9961-(F9961*I9961)</f>
        <v/>
      </c>
      <c r="M9961" s="64">
        <f>L9961/K9961</f>
        <v/>
      </c>
    </row>
    <row r="9962">
      <c r="A9962" s="58" t="inlineStr">
        <is>
          <t>RT20250907-09961</t>
        </is>
      </c>
      <c r="B9962" s="59" t="inlineStr">
        <is>
          <t>2025-09-07</t>
        </is>
      </c>
      <c r="C9962" s="60" t="inlineStr">
        <is>
          <t>Vertex Men X-995</t>
        </is>
      </c>
      <c r="D9962" s="58" t="inlineStr">
        <is>
          <t>Apparel</t>
        </is>
      </c>
      <c r="E9962" s="58" t="inlineStr">
        <is>
          <t>East</t>
        </is>
      </c>
      <c r="F9962" s="61" t="n">
        <v>1</v>
      </c>
      <c r="G9962" s="62" t="n">
        <v>102.81</v>
      </c>
      <c r="H9962" s="63" t="n">
        <v>0.09</v>
      </c>
      <c r="I9962" s="62" t="n">
        <v>58.08</v>
      </c>
      <c r="J9962" s="58" t="inlineStr">
        <is>
          <t>Online</t>
        </is>
      </c>
      <c r="K9962" s="62">
        <f>F9962*(G9962-H9962)</f>
        <v/>
      </c>
      <c r="L9962" s="62">
        <f>K9962-(F9962*I9962)</f>
        <v/>
      </c>
      <c r="M9962" s="64">
        <f>L9962/K9962</f>
        <v/>
      </c>
    </row>
    <row r="9963">
      <c r="A9963" s="58" t="inlineStr">
        <is>
          <t>RT20250907-09962</t>
        </is>
      </c>
      <c r="B9963" s="59" t="inlineStr">
        <is>
          <t>2025-09-07</t>
        </is>
      </c>
      <c r="C9963" s="60" t="inlineStr">
        <is>
          <t>Polar Cycling S-223</t>
        </is>
      </c>
      <c r="D9963" s="58" t="inlineStr">
        <is>
          <t>Sports</t>
        </is>
      </c>
      <c r="E9963" s="58" t="inlineStr">
        <is>
          <t>West</t>
        </is>
      </c>
      <c r="F9963" s="61" t="n">
        <v>2</v>
      </c>
      <c r="G9963" s="62" t="n">
        <v>961.35</v>
      </c>
      <c r="H9963" s="63" t="n">
        <v>0.096</v>
      </c>
      <c r="I9963" s="62" t="n">
        <v>625.1</v>
      </c>
      <c r="J9963" s="58" t="inlineStr">
        <is>
          <t>Online</t>
        </is>
      </c>
      <c r="K9963" s="62">
        <f>F9963*(G9963-H9963)</f>
        <v/>
      </c>
      <c r="L9963" s="62">
        <f>K9963-(F9963*I9963)</f>
        <v/>
      </c>
      <c r="M9963" s="64">
        <f>L9963/K9963</f>
        <v/>
      </c>
    </row>
    <row r="9964">
      <c r="A9964" s="58" t="inlineStr">
        <is>
          <t>RT20250907-09963</t>
        </is>
      </c>
      <c r="B9964" s="59" t="inlineStr">
        <is>
          <t>2025-09-07</t>
        </is>
      </c>
      <c r="C9964" s="60" t="inlineStr">
        <is>
          <t>Polar Outdoor Lite-318</t>
        </is>
      </c>
      <c r="D9964" s="58" t="inlineStr">
        <is>
          <t>Sports</t>
        </is>
      </c>
      <c r="E9964" s="58" t="inlineStr">
        <is>
          <t>West</t>
        </is>
      </c>
      <c r="F9964" s="61" t="n">
        <v>2</v>
      </c>
      <c r="G9964" s="62" t="n">
        <v>766.1</v>
      </c>
      <c r="H9964" s="63" t="n">
        <v>0.181</v>
      </c>
      <c r="I9964" s="62" t="n">
        <v>454.75</v>
      </c>
      <c r="J9964" s="58" t="inlineStr">
        <is>
          <t>Phone</t>
        </is>
      </c>
      <c r="K9964" s="62">
        <f>F9964*(G9964-H9964)</f>
        <v/>
      </c>
      <c r="L9964" s="62">
        <f>K9964-(F9964*I9964)</f>
        <v/>
      </c>
      <c r="M9964" s="64">
        <f>L9964/K9964</f>
        <v/>
      </c>
    </row>
    <row r="9965">
      <c r="A9965" s="58" t="inlineStr">
        <is>
          <t>RT20250907-09964</t>
        </is>
      </c>
      <c r="B9965" s="59" t="inlineStr">
        <is>
          <t>2025-09-07</t>
        </is>
      </c>
      <c r="C9965" s="60" t="inlineStr">
        <is>
          <t>Vertex Appliance S-296</t>
        </is>
      </c>
      <c r="D9965" s="58" t="inlineStr">
        <is>
          <t>Home</t>
        </is>
      </c>
      <c r="E9965" s="58" t="inlineStr">
        <is>
          <t>South</t>
        </is>
      </c>
      <c r="F9965" s="61" t="n">
        <v>1</v>
      </c>
      <c r="G9965" s="62" t="n">
        <v>532.47</v>
      </c>
      <c r="H9965" s="63" t="n">
        <v>0.103</v>
      </c>
      <c r="I9965" s="62" t="n">
        <v>363.94</v>
      </c>
      <c r="J9965" s="58" t="inlineStr">
        <is>
          <t>Online</t>
        </is>
      </c>
      <c r="K9965" s="62">
        <f>F9965*(G9965-H9965)</f>
        <v/>
      </c>
      <c r="L9965" s="62">
        <f>K9965-(F9965*I9965)</f>
        <v/>
      </c>
      <c r="M9965" s="64">
        <f>L9965/K9965</f>
        <v/>
      </c>
    </row>
    <row r="9966">
      <c r="A9966" s="58" t="inlineStr">
        <is>
          <t>RT20250907-09965</t>
        </is>
      </c>
      <c r="B9966" s="59" t="inlineStr">
        <is>
          <t>2025-09-07</t>
        </is>
      </c>
      <c r="C9966" s="60" t="inlineStr">
        <is>
          <t>Nimbus Headphone X-854</t>
        </is>
      </c>
      <c r="D9966" s="58" t="inlineStr">
        <is>
          <t>Electronics</t>
        </is>
      </c>
      <c r="E9966" s="58" t="inlineStr">
        <is>
          <t>Central</t>
        </is>
      </c>
      <c r="F9966" s="61" t="n">
        <v>2</v>
      </c>
      <c r="G9966" s="62" t="n">
        <v>1574.47</v>
      </c>
      <c r="H9966" s="63" t="n">
        <v>0.07199999999999999</v>
      </c>
      <c r="I9966" s="62" t="n">
        <v>1266.4</v>
      </c>
      <c r="J9966" s="58" t="inlineStr">
        <is>
          <t>Online</t>
        </is>
      </c>
      <c r="K9966" s="62">
        <f>F9966*(G9966-H9966)</f>
        <v/>
      </c>
      <c r="L9966" s="62">
        <f>K9966-(F9966*I9966)</f>
        <v/>
      </c>
      <c r="M9966" s="64">
        <f>L9966/K9966</f>
        <v/>
      </c>
    </row>
    <row r="9967">
      <c r="A9967" s="58" t="inlineStr">
        <is>
          <t>RT20250907-09966</t>
        </is>
      </c>
      <c r="B9967" s="59" t="inlineStr">
        <is>
          <t>2025-09-07</t>
        </is>
      </c>
      <c r="C9967" s="60" t="inlineStr">
        <is>
          <t>Nimbus Furniture Pro-479</t>
        </is>
      </c>
      <c r="D9967" s="58" t="inlineStr">
        <is>
          <t>Office</t>
        </is>
      </c>
      <c r="E9967" s="58" t="inlineStr">
        <is>
          <t>West</t>
        </is>
      </c>
      <c r="F9967" s="61" t="n">
        <v>3</v>
      </c>
      <c r="G9967" s="62" t="n">
        <v>366.19</v>
      </c>
      <c r="H9967" s="63" t="n">
        <v>0.14</v>
      </c>
      <c r="I9967" s="62" t="n">
        <v>244.09</v>
      </c>
      <c r="J9967" s="58" t="inlineStr">
        <is>
          <t>Online</t>
        </is>
      </c>
      <c r="K9967" s="62">
        <f>F9967*(G9967-H9967)</f>
        <v/>
      </c>
      <c r="L9967" s="62">
        <f>K9967-(F9967*I9967)</f>
        <v/>
      </c>
      <c r="M9967" s="64">
        <f>L9967/K9967</f>
        <v/>
      </c>
    </row>
    <row r="9968">
      <c r="A9968" s="58" t="inlineStr">
        <is>
          <t>RT20250907-09967</t>
        </is>
      </c>
      <c r="B9968" s="59" t="inlineStr">
        <is>
          <t>2025-09-07</t>
        </is>
      </c>
      <c r="C9968" s="60" t="inlineStr">
        <is>
          <t>Nimbus Furniture Pro-479</t>
        </is>
      </c>
      <c r="D9968" s="58" t="inlineStr">
        <is>
          <t>Office</t>
        </is>
      </c>
      <c r="E9968" s="58" t="inlineStr">
        <is>
          <t>South</t>
        </is>
      </c>
      <c r="F9968" s="61" t="n">
        <v>1</v>
      </c>
      <c r="G9968" s="62" t="n">
        <v>357.62</v>
      </c>
      <c r="H9968" s="63" t="n">
        <v>0.173</v>
      </c>
      <c r="I9968" s="62" t="n">
        <v>236.19</v>
      </c>
      <c r="J9968" s="58" t="inlineStr">
        <is>
          <t>Online</t>
        </is>
      </c>
      <c r="K9968" s="62">
        <f>F9968*(G9968-H9968)</f>
        <v/>
      </c>
      <c r="L9968" s="62">
        <f>K9968-(F9968*I9968)</f>
        <v/>
      </c>
      <c r="M9968" s="64">
        <f>L9968/K9968</f>
        <v/>
      </c>
    </row>
    <row r="9969">
      <c r="A9969" s="58" t="inlineStr">
        <is>
          <t>RT20250907-09968</t>
        </is>
      </c>
      <c r="B9969" s="59" t="inlineStr">
        <is>
          <t>2025-09-07</t>
        </is>
      </c>
      <c r="C9969" s="60" t="inlineStr">
        <is>
          <t>Falcon Household Plus-172</t>
        </is>
      </c>
      <c r="D9969" s="58" t="inlineStr">
        <is>
          <t>Grocery</t>
        </is>
      </c>
      <c r="E9969" s="58" t="inlineStr">
        <is>
          <t>East</t>
        </is>
      </c>
      <c r="F9969" s="61" t="n">
        <v>6</v>
      </c>
      <c r="G9969" s="62" t="n">
        <v>22.6</v>
      </c>
      <c r="H9969" s="63" t="n">
        <v>0.155</v>
      </c>
      <c r="I9969" s="62" t="n">
        <v>16.61</v>
      </c>
      <c r="J9969" s="58" t="inlineStr">
        <is>
          <t>Online</t>
        </is>
      </c>
      <c r="K9969" s="62">
        <f>F9969*(G9969-H9969)</f>
        <v/>
      </c>
      <c r="L9969" s="62">
        <f>K9969-(F9969*I9969)</f>
        <v/>
      </c>
      <c r="M9969" s="64">
        <f>L9969/K9969</f>
        <v/>
      </c>
    </row>
    <row r="9970">
      <c r="A9970" s="58" t="inlineStr">
        <is>
          <t>RT20250907-09969</t>
        </is>
      </c>
      <c r="B9970" s="59" t="inlineStr">
        <is>
          <t>2025-09-07</t>
        </is>
      </c>
      <c r="C9970" s="60" t="inlineStr">
        <is>
          <t>Polar Snack Pro-641</t>
        </is>
      </c>
      <c r="D9970" s="58" t="inlineStr">
        <is>
          <t>Grocery</t>
        </is>
      </c>
      <c r="E9970" s="58" t="inlineStr">
        <is>
          <t>North</t>
        </is>
      </c>
      <c r="F9970" s="61" t="n">
        <v>3</v>
      </c>
      <c r="G9970" s="62" t="n">
        <v>12.28</v>
      </c>
      <c r="H9970" s="63" t="n">
        <v>0.129</v>
      </c>
      <c r="I9970" s="62" t="n">
        <v>9.35</v>
      </c>
      <c r="J9970" s="58" t="inlineStr">
        <is>
          <t>Online</t>
        </is>
      </c>
      <c r="K9970" s="62">
        <f>F9970*(G9970-H9970)</f>
        <v/>
      </c>
      <c r="L9970" s="62">
        <f>K9970-(F9970*I9970)</f>
        <v/>
      </c>
      <c r="M9970" s="64">
        <f>L9970/K9970</f>
        <v/>
      </c>
    </row>
    <row r="9971">
      <c r="A9971" s="58" t="inlineStr">
        <is>
          <t>RT20250907-09970</t>
        </is>
      </c>
      <c r="B9971" s="59" t="inlineStr">
        <is>
          <t>2025-09-07</t>
        </is>
      </c>
      <c r="C9971" s="60" t="inlineStr">
        <is>
          <t>Nimbus Fitnes Lite-516</t>
        </is>
      </c>
      <c r="D9971" s="58" t="inlineStr">
        <is>
          <t>Sports</t>
        </is>
      </c>
      <c r="E9971" s="58" t="inlineStr">
        <is>
          <t>West</t>
        </is>
      </c>
      <c r="F9971" s="61" t="n">
        <v>1</v>
      </c>
      <c r="G9971" s="62" t="n">
        <v>733.25</v>
      </c>
      <c r="H9971" s="63" t="n">
        <v>0.097</v>
      </c>
      <c r="I9971" s="62" t="n">
        <v>484.44</v>
      </c>
      <c r="J9971" s="58" t="inlineStr">
        <is>
          <t>Online</t>
        </is>
      </c>
      <c r="K9971" s="62">
        <f>F9971*(G9971-H9971)</f>
        <v/>
      </c>
      <c r="L9971" s="62">
        <f>K9971-(F9971*I9971)</f>
        <v/>
      </c>
      <c r="M9971" s="64">
        <f>L9971/K9971</f>
        <v/>
      </c>
    </row>
    <row r="9972">
      <c r="A9972" s="58" t="inlineStr">
        <is>
          <t>RT20250907-09971</t>
        </is>
      </c>
      <c r="B9972" s="59" t="inlineStr">
        <is>
          <t>2025-09-07</t>
        </is>
      </c>
      <c r="C9972" s="60" t="inlineStr">
        <is>
          <t>Solace Snack S-691</t>
        </is>
      </c>
      <c r="D9972" s="58" t="inlineStr">
        <is>
          <t>Grocery</t>
        </is>
      </c>
      <c r="E9972" s="58" t="inlineStr">
        <is>
          <t>West</t>
        </is>
      </c>
      <c r="F9972" s="61" t="n">
        <v>1</v>
      </c>
      <c r="G9972" s="62" t="n">
        <v>10.08</v>
      </c>
      <c r="H9972" s="63" t="n">
        <v>0.137</v>
      </c>
      <c r="I9972" s="62" t="n">
        <v>7.06</v>
      </c>
      <c r="J9972" s="58" t="inlineStr">
        <is>
          <t>Store</t>
        </is>
      </c>
      <c r="K9972" s="62">
        <f>F9972*(G9972-H9972)</f>
        <v/>
      </c>
      <c r="L9972" s="62">
        <f>K9972-(F9972*I9972)</f>
        <v/>
      </c>
      <c r="M9972" s="64">
        <f>L9972/K9972</f>
        <v/>
      </c>
    </row>
    <row r="9973">
      <c r="A9973" s="58" t="inlineStr">
        <is>
          <t>RT20250907-09972</t>
        </is>
      </c>
      <c r="B9973" s="59" t="inlineStr">
        <is>
          <t>2025-09-07</t>
        </is>
      </c>
      <c r="C9973" s="60" t="inlineStr">
        <is>
          <t>Orion Team Sport X-926</t>
        </is>
      </c>
      <c r="D9973" s="58" t="inlineStr">
        <is>
          <t>Sports</t>
        </is>
      </c>
      <c r="E9973" s="58" t="inlineStr">
        <is>
          <t>North</t>
        </is>
      </c>
      <c r="F9973" s="61" t="n">
        <v>3</v>
      </c>
      <c r="G9973" s="62" t="n">
        <v>314.35</v>
      </c>
      <c r="H9973" s="63" t="n">
        <v>0.123</v>
      </c>
      <c r="I9973" s="62" t="n">
        <v>217.85</v>
      </c>
      <c r="J9973" s="58" t="inlineStr">
        <is>
          <t>Online</t>
        </is>
      </c>
      <c r="K9973" s="62">
        <f>F9973*(G9973-H9973)</f>
        <v/>
      </c>
      <c r="L9973" s="62">
        <f>K9973-(F9973*I9973)</f>
        <v/>
      </c>
      <c r="M9973" s="64">
        <f>L9973/K9973</f>
        <v/>
      </c>
    </row>
    <row r="9974">
      <c r="A9974" s="58" t="inlineStr">
        <is>
          <t>RT20250907-09973</t>
        </is>
      </c>
      <c r="B9974" s="59" t="inlineStr">
        <is>
          <t>2025-09-07</t>
        </is>
      </c>
      <c r="C9974" s="60" t="inlineStr">
        <is>
          <t>Solace Laptop S-367</t>
        </is>
      </c>
      <c r="D9974" s="58" t="inlineStr">
        <is>
          <t>Electronics</t>
        </is>
      </c>
      <c r="E9974" s="58" t="inlineStr">
        <is>
          <t>West</t>
        </is>
      </c>
      <c r="F9974" s="61" t="n">
        <v>1</v>
      </c>
      <c r="G9974" s="62" t="n">
        <v>2140.07</v>
      </c>
      <c r="H9974" s="63" t="n">
        <v>0.151</v>
      </c>
      <c r="I9974" s="62" t="n">
        <v>1554.76</v>
      </c>
      <c r="J9974" s="58" t="inlineStr">
        <is>
          <t>Online</t>
        </is>
      </c>
      <c r="K9974" s="62">
        <f>F9974*(G9974-H9974)</f>
        <v/>
      </c>
      <c r="L9974" s="62">
        <f>K9974-(F9974*I9974)</f>
        <v/>
      </c>
      <c r="M9974" s="64">
        <f>L9974/K9974</f>
        <v/>
      </c>
    </row>
    <row r="9975">
      <c r="A9975" s="58" t="inlineStr">
        <is>
          <t>RT20250907-09974</t>
        </is>
      </c>
      <c r="B9975" s="59" t="inlineStr">
        <is>
          <t>2025-09-07</t>
        </is>
      </c>
      <c r="C9975" s="60" t="inlineStr">
        <is>
          <t>Falcon Household Plus-172</t>
        </is>
      </c>
      <c r="D9975" s="58" t="inlineStr">
        <is>
          <t>Grocery</t>
        </is>
      </c>
      <c r="E9975" s="58" t="inlineStr">
        <is>
          <t>Central</t>
        </is>
      </c>
      <c r="F9975" s="61" t="n">
        <v>6</v>
      </c>
      <c r="G9975" s="62" t="n">
        <v>22.74</v>
      </c>
      <c r="H9975" s="63" t="n">
        <v>0.136</v>
      </c>
      <c r="I9975" s="62" t="n">
        <v>16.1</v>
      </c>
      <c r="J9975" s="58" t="inlineStr">
        <is>
          <t>Phone</t>
        </is>
      </c>
      <c r="K9975" s="62">
        <f>F9975*(G9975-H9975)</f>
        <v/>
      </c>
      <c r="L9975" s="62">
        <f>K9975-(F9975*I9975)</f>
        <v/>
      </c>
      <c r="M9975" s="64">
        <f>L9975/K9975</f>
        <v/>
      </c>
    </row>
    <row r="9976">
      <c r="A9976" s="58" t="inlineStr">
        <is>
          <t>RT20250907-09975</t>
        </is>
      </c>
      <c r="B9976" s="59" t="inlineStr">
        <is>
          <t>2025-09-07</t>
        </is>
      </c>
      <c r="C9976" s="60" t="inlineStr">
        <is>
          <t>Orion Storage Plus-961</t>
        </is>
      </c>
      <c r="D9976" s="58" t="inlineStr">
        <is>
          <t>Office</t>
        </is>
      </c>
      <c r="E9976" s="58" t="inlineStr">
        <is>
          <t>East</t>
        </is>
      </c>
      <c r="F9976" s="61" t="n">
        <v>1</v>
      </c>
      <c r="G9976" s="62" t="n">
        <v>542.79</v>
      </c>
      <c r="H9976" s="63" t="n">
        <v>0.175</v>
      </c>
      <c r="I9976" s="62" t="n">
        <v>360.2</v>
      </c>
      <c r="J9976" s="58" t="inlineStr">
        <is>
          <t>Store</t>
        </is>
      </c>
      <c r="K9976" s="62">
        <f>F9976*(G9976-H9976)</f>
        <v/>
      </c>
      <c r="L9976" s="62">
        <f>K9976-(F9976*I9976)</f>
        <v/>
      </c>
      <c r="M9976" s="64">
        <f>L9976/K9976</f>
        <v/>
      </c>
    </row>
    <row r="9977">
      <c r="A9977" s="58" t="inlineStr">
        <is>
          <t>RT20250907-09976</t>
        </is>
      </c>
      <c r="B9977" s="59" t="inlineStr">
        <is>
          <t>2025-09-07</t>
        </is>
      </c>
      <c r="C9977" s="60" t="inlineStr">
        <is>
          <t>Solace Kitchen X-919</t>
        </is>
      </c>
      <c r="D9977" s="58" t="inlineStr">
        <is>
          <t>Home</t>
        </is>
      </c>
      <c r="E9977" s="58" t="inlineStr">
        <is>
          <t>North</t>
        </is>
      </c>
      <c r="F9977" s="61" t="n">
        <v>2</v>
      </c>
      <c r="G9977" s="62" t="n">
        <v>365.98</v>
      </c>
      <c r="H9977" s="63" t="n">
        <v>0.163</v>
      </c>
      <c r="I9977" s="62" t="n">
        <v>255.74</v>
      </c>
      <c r="J9977" s="58" t="inlineStr">
        <is>
          <t>Online</t>
        </is>
      </c>
      <c r="K9977" s="62">
        <f>F9977*(G9977-H9977)</f>
        <v/>
      </c>
      <c r="L9977" s="62">
        <f>K9977-(F9977*I9977)</f>
        <v/>
      </c>
      <c r="M9977" s="64">
        <f>L9977/K9977</f>
        <v/>
      </c>
    </row>
    <row r="9978">
      <c r="A9978" s="58" t="inlineStr">
        <is>
          <t>RT20250907-09977</t>
        </is>
      </c>
      <c r="B9978" s="59" t="inlineStr">
        <is>
          <t>2025-09-07</t>
        </is>
      </c>
      <c r="C9978" s="60" t="inlineStr">
        <is>
          <t>Nimbus Laptop Max-652</t>
        </is>
      </c>
      <c r="D9978" s="58" t="inlineStr">
        <is>
          <t>Electronics</t>
        </is>
      </c>
      <c r="E9978" s="58" t="inlineStr">
        <is>
          <t>East</t>
        </is>
      </c>
      <c r="F9978" s="61" t="n">
        <v>1</v>
      </c>
      <c r="G9978" s="62" t="n">
        <v>1225.02</v>
      </c>
      <c r="H9978" s="63" t="n">
        <v>0.118</v>
      </c>
      <c r="I9978" s="62" t="n">
        <v>1042.96</v>
      </c>
      <c r="J9978" s="58" t="inlineStr">
        <is>
          <t>Store</t>
        </is>
      </c>
      <c r="K9978" s="62">
        <f>F9978*(G9978-H9978)</f>
        <v/>
      </c>
      <c r="L9978" s="62">
        <f>K9978-(F9978*I9978)</f>
        <v/>
      </c>
      <c r="M9978" s="64">
        <f>L9978/K9978</f>
        <v/>
      </c>
    </row>
    <row r="9979">
      <c r="A9979" s="58" t="inlineStr">
        <is>
          <t>RT20250907-09978</t>
        </is>
      </c>
      <c r="B9979" s="59" t="inlineStr">
        <is>
          <t>2025-09-07</t>
        </is>
      </c>
      <c r="C9979" s="60" t="inlineStr">
        <is>
          <t>Vertex Skincare Pro-891</t>
        </is>
      </c>
      <c r="D9979" s="58" t="inlineStr">
        <is>
          <t>Beauty</t>
        </is>
      </c>
      <c r="E9979" s="58" t="inlineStr">
        <is>
          <t>East</t>
        </is>
      </c>
      <c r="F9979" s="61" t="n">
        <v>1</v>
      </c>
      <c r="G9979" s="62" t="n">
        <v>136.92</v>
      </c>
      <c r="H9979" s="63" t="n">
        <v>0.133</v>
      </c>
      <c r="I9979" s="62" t="n">
        <v>87.67</v>
      </c>
      <c r="J9979" s="58" t="inlineStr">
        <is>
          <t>Online</t>
        </is>
      </c>
      <c r="K9979" s="62">
        <f>F9979*(G9979-H9979)</f>
        <v/>
      </c>
      <c r="L9979" s="62">
        <f>K9979-(F9979*I9979)</f>
        <v/>
      </c>
      <c r="M9979" s="64">
        <f>L9979/K9979</f>
        <v/>
      </c>
    </row>
    <row r="9980">
      <c r="A9980" s="58" t="inlineStr">
        <is>
          <t>RT20250907-09979</t>
        </is>
      </c>
      <c r="B9980" s="59" t="inlineStr">
        <is>
          <t>2025-09-07</t>
        </is>
      </c>
      <c r="C9980" s="60" t="inlineStr">
        <is>
          <t>Vertex Smartphone Lite-267</t>
        </is>
      </c>
      <c r="D9980" s="58" t="inlineStr">
        <is>
          <t>Electronics</t>
        </is>
      </c>
      <c r="E9980" s="58" t="inlineStr">
        <is>
          <t>East</t>
        </is>
      </c>
      <c r="F9980" s="61" t="n">
        <v>2</v>
      </c>
      <c r="G9980" s="62" t="n">
        <v>1435.15</v>
      </c>
      <c r="H9980" s="63" t="n">
        <v>0.125</v>
      </c>
      <c r="I9980" s="62" t="n">
        <v>982.16</v>
      </c>
      <c r="J9980" s="58" t="inlineStr">
        <is>
          <t>Store</t>
        </is>
      </c>
      <c r="K9980" s="62">
        <f>F9980*(G9980-H9980)</f>
        <v/>
      </c>
      <c r="L9980" s="62">
        <f>K9980-(F9980*I9980)</f>
        <v/>
      </c>
      <c r="M9980" s="64">
        <f>L9980/K9980</f>
        <v/>
      </c>
    </row>
    <row r="9981">
      <c r="A9981" s="58" t="inlineStr">
        <is>
          <t>RT20250907-09980</t>
        </is>
      </c>
      <c r="B9981" s="59" t="inlineStr">
        <is>
          <t>2025-09-07</t>
        </is>
      </c>
      <c r="C9981" s="60" t="inlineStr">
        <is>
          <t>Metro Smartphone Max-773</t>
        </is>
      </c>
      <c r="D9981" s="58" t="inlineStr">
        <is>
          <t>Electronics</t>
        </is>
      </c>
      <c r="E9981" s="58" t="inlineStr">
        <is>
          <t>East</t>
        </is>
      </c>
      <c r="F9981" s="61" t="n">
        <v>1</v>
      </c>
      <c r="G9981" s="62" t="n">
        <v>1421.35</v>
      </c>
      <c r="H9981" s="63" t="n">
        <v>0.096</v>
      </c>
      <c r="I9981" s="62" t="n">
        <v>1128.26</v>
      </c>
      <c r="J9981" s="58" t="inlineStr">
        <is>
          <t>Online</t>
        </is>
      </c>
      <c r="K9981" s="62">
        <f>F9981*(G9981-H9981)</f>
        <v/>
      </c>
      <c r="L9981" s="62">
        <f>K9981-(F9981*I9981)</f>
        <v/>
      </c>
      <c r="M9981" s="64">
        <f>L9981/K9981</f>
        <v/>
      </c>
    </row>
    <row r="9982">
      <c r="A9982" s="58" t="inlineStr">
        <is>
          <t>RT20250907-09981</t>
        </is>
      </c>
      <c r="B9982" s="59" t="inlineStr">
        <is>
          <t>2025-09-07</t>
        </is>
      </c>
      <c r="C9982" s="60" t="inlineStr">
        <is>
          <t>Vertex Skincare Pro-891</t>
        </is>
      </c>
      <c r="D9982" s="58" t="inlineStr">
        <is>
          <t>Beauty</t>
        </is>
      </c>
      <c r="E9982" s="58" t="inlineStr">
        <is>
          <t>North</t>
        </is>
      </c>
      <c r="F9982" s="61" t="n">
        <v>5</v>
      </c>
      <c r="G9982" s="62" t="n">
        <v>146.33</v>
      </c>
      <c r="H9982" s="63" t="n">
        <v>0.118</v>
      </c>
      <c r="I9982" s="62" t="n">
        <v>90.14</v>
      </c>
      <c r="J9982" s="58" t="inlineStr">
        <is>
          <t>Online</t>
        </is>
      </c>
      <c r="K9982" s="62">
        <f>F9982*(G9982-H9982)</f>
        <v/>
      </c>
      <c r="L9982" s="62">
        <f>K9982-(F9982*I9982)</f>
        <v/>
      </c>
      <c r="M9982" s="64">
        <f>L9982/K9982</f>
        <v/>
      </c>
    </row>
    <row r="9983">
      <c r="A9983" s="58" t="inlineStr">
        <is>
          <t>RT20250907-09982</t>
        </is>
      </c>
      <c r="B9983" s="59" t="inlineStr">
        <is>
          <t>2025-09-07</t>
        </is>
      </c>
      <c r="C9983" s="60" t="inlineStr">
        <is>
          <t>Vertex Appliance S-159</t>
        </is>
      </c>
      <c r="D9983" s="58" t="inlineStr">
        <is>
          <t>Home</t>
        </is>
      </c>
      <c r="E9983" s="58" t="inlineStr">
        <is>
          <t>Central</t>
        </is>
      </c>
      <c r="F9983" s="61" t="n">
        <v>3</v>
      </c>
      <c r="G9983" s="62" t="n">
        <v>477.71</v>
      </c>
      <c r="H9983" s="63" t="n">
        <v>0.132</v>
      </c>
      <c r="I9983" s="62" t="n">
        <v>300.68</v>
      </c>
      <c r="J9983" s="58" t="inlineStr">
        <is>
          <t>Phone</t>
        </is>
      </c>
      <c r="K9983" s="62">
        <f>F9983*(G9983-H9983)</f>
        <v/>
      </c>
      <c r="L9983" s="62">
        <f>K9983-(F9983*I9983)</f>
        <v/>
      </c>
      <c r="M9983" s="64">
        <f>L9983/K9983</f>
        <v/>
      </c>
    </row>
    <row r="9984">
      <c r="A9984" s="58" t="inlineStr">
        <is>
          <t>RT20250907-09983</t>
        </is>
      </c>
      <c r="B9984" s="59" t="inlineStr">
        <is>
          <t>2025-09-07</t>
        </is>
      </c>
      <c r="C9984" s="60" t="inlineStr">
        <is>
          <t>Nimbus Decor Lite-385</t>
        </is>
      </c>
      <c r="D9984" s="58" t="inlineStr">
        <is>
          <t>Home</t>
        </is>
      </c>
      <c r="E9984" s="58" t="inlineStr">
        <is>
          <t>East</t>
        </is>
      </c>
      <c r="F9984" s="61" t="n">
        <v>2</v>
      </c>
      <c r="G9984" s="62" t="n">
        <v>571.72</v>
      </c>
      <c r="H9984" s="63" t="n">
        <v>0.139</v>
      </c>
      <c r="I9984" s="62" t="n">
        <v>405.11</v>
      </c>
      <c r="J9984" s="58" t="inlineStr">
        <is>
          <t>Online</t>
        </is>
      </c>
      <c r="K9984" s="62">
        <f>F9984*(G9984-H9984)</f>
        <v/>
      </c>
      <c r="L9984" s="62">
        <f>K9984-(F9984*I9984)</f>
        <v/>
      </c>
      <c r="M9984" s="64">
        <f>L9984/K9984</f>
        <v/>
      </c>
    </row>
    <row r="9985">
      <c r="A9985" s="58" t="inlineStr">
        <is>
          <t>RT20250907-09984</t>
        </is>
      </c>
      <c r="B9985" s="59" t="inlineStr">
        <is>
          <t>2025-09-07</t>
        </is>
      </c>
      <c r="C9985" s="60" t="inlineStr">
        <is>
          <t>Orion Kid Max-640</t>
        </is>
      </c>
      <c r="D9985" s="58" t="inlineStr">
        <is>
          <t>Apparel</t>
        </is>
      </c>
      <c r="E9985" s="58" t="inlineStr">
        <is>
          <t>Central</t>
        </is>
      </c>
      <c r="F9985" s="61" t="n">
        <v>4</v>
      </c>
      <c r="G9985" s="62" t="n">
        <v>116.89</v>
      </c>
      <c r="H9985" s="63" t="n">
        <v>0.115</v>
      </c>
      <c r="I9985" s="62" t="n">
        <v>72.61</v>
      </c>
      <c r="J9985" s="58" t="inlineStr">
        <is>
          <t>Online</t>
        </is>
      </c>
      <c r="K9985" s="62">
        <f>F9985*(G9985-H9985)</f>
        <v/>
      </c>
      <c r="L9985" s="62">
        <f>K9985-(F9985*I9985)</f>
        <v/>
      </c>
      <c r="M9985" s="64">
        <f>L9985/K9985</f>
        <v/>
      </c>
    </row>
    <row r="9986">
      <c r="A9986" s="58" t="inlineStr">
        <is>
          <t>RT20250907-09985</t>
        </is>
      </c>
      <c r="B9986" s="59" t="inlineStr">
        <is>
          <t>2025-09-07</t>
        </is>
      </c>
      <c r="C9986" s="60" t="inlineStr">
        <is>
          <t>Solace Kitchen Pro-999</t>
        </is>
      </c>
      <c r="D9986" s="58" t="inlineStr">
        <is>
          <t>Home</t>
        </is>
      </c>
      <c r="E9986" s="58" t="inlineStr">
        <is>
          <t>South</t>
        </is>
      </c>
      <c r="F9986" s="61" t="n">
        <v>3</v>
      </c>
      <c r="G9986" s="62" t="n">
        <v>349.5</v>
      </c>
      <c r="H9986" s="63" t="n">
        <v>0.119</v>
      </c>
      <c r="I9986" s="62" t="n">
        <v>260.22</v>
      </c>
      <c r="J9986" s="58" t="inlineStr">
        <is>
          <t>Online</t>
        </is>
      </c>
      <c r="K9986" s="62">
        <f>F9986*(G9986-H9986)</f>
        <v/>
      </c>
      <c r="L9986" s="62">
        <f>K9986-(F9986*I9986)</f>
        <v/>
      </c>
      <c r="M9986" s="64">
        <f>L9986/K9986</f>
        <v/>
      </c>
    </row>
    <row r="9987">
      <c r="A9987" s="58" t="inlineStr">
        <is>
          <t>RT20250907-09986</t>
        </is>
      </c>
      <c r="B9987" s="59" t="inlineStr">
        <is>
          <t>2025-09-07</t>
        </is>
      </c>
      <c r="C9987" s="60" t="inlineStr">
        <is>
          <t>Nimbus Storage Plus-646</t>
        </is>
      </c>
      <c r="D9987" s="58" t="inlineStr">
        <is>
          <t>Office</t>
        </is>
      </c>
      <c r="E9987" s="58" t="inlineStr">
        <is>
          <t>South</t>
        </is>
      </c>
      <c r="F9987" s="61" t="n">
        <v>3</v>
      </c>
      <c r="G9987" s="62" t="n">
        <v>439.71</v>
      </c>
      <c r="H9987" s="63" t="n">
        <v>0.109</v>
      </c>
      <c r="I9987" s="62" t="n">
        <v>321.76</v>
      </c>
      <c r="J9987" s="58" t="inlineStr">
        <is>
          <t>Online</t>
        </is>
      </c>
      <c r="K9987" s="62">
        <f>F9987*(G9987-H9987)</f>
        <v/>
      </c>
      <c r="L9987" s="62">
        <f>K9987-(F9987*I9987)</f>
        <v/>
      </c>
      <c r="M9987" s="64">
        <f>L9987/K9987</f>
        <v/>
      </c>
    </row>
    <row r="9988">
      <c r="A9988" s="58" t="inlineStr">
        <is>
          <t>RT20250907-09987</t>
        </is>
      </c>
      <c r="B9988" s="59" t="inlineStr">
        <is>
          <t>2025-09-07</t>
        </is>
      </c>
      <c r="C9988" s="60" t="inlineStr">
        <is>
          <t>Vertex Smartphone Pro-256</t>
        </is>
      </c>
      <c r="D9988" s="58" t="inlineStr">
        <is>
          <t>Electronics</t>
        </is>
      </c>
      <c r="E9988" s="58" t="inlineStr">
        <is>
          <t>West</t>
        </is>
      </c>
      <c r="F9988" s="61" t="n">
        <v>1</v>
      </c>
      <c r="G9988" s="62" t="n">
        <v>1078.86</v>
      </c>
      <c r="H9988" s="63" t="n">
        <v>0.08599999999999999</v>
      </c>
      <c r="I9988" s="62" t="n">
        <v>916.61</v>
      </c>
      <c r="J9988" s="58" t="inlineStr">
        <is>
          <t>Online</t>
        </is>
      </c>
      <c r="K9988" s="62">
        <f>F9988*(G9988-H9988)</f>
        <v/>
      </c>
      <c r="L9988" s="62">
        <f>K9988-(F9988*I9988)</f>
        <v/>
      </c>
      <c r="M9988" s="64">
        <f>L9988/K9988</f>
        <v/>
      </c>
    </row>
    <row r="9989">
      <c r="A9989" s="58" t="inlineStr">
        <is>
          <t>RT20250907-09988</t>
        </is>
      </c>
      <c r="B9989" s="59" t="inlineStr">
        <is>
          <t>2025-09-07</t>
        </is>
      </c>
      <c r="C9989" s="60" t="inlineStr">
        <is>
          <t>Vertex Appliance S-296</t>
        </is>
      </c>
      <c r="D9989" s="58" t="inlineStr">
        <is>
          <t>Home</t>
        </is>
      </c>
      <c r="E9989" s="58" t="inlineStr">
        <is>
          <t>West</t>
        </is>
      </c>
      <c r="F9989" s="61" t="n">
        <v>2</v>
      </c>
      <c r="G9989" s="62" t="n">
        <v>501.97</v>
      </c>
      <c r="H9989" s="63" t="n">
        <v>0.113</v>
      </c>
      <c r="I9989" s="62" t="n">
        <v>346.34</v>
      </c>
      <c r="J9989" s="58" t="inlineStr">
        <is>
          <t>Store</t>
        </is>
      </c>
      <c r="K9989" s="62">
        <f>F9989*(G9989-H9989)</f>
        <v/>
      </c>
      <c r="L9989" s="62">
        <f>K9989-(F9989*I9989)</f>
        <v/>
      </c>
      <c r="M9989" s="64">
        <f>L9989/K9989</f>
        <v/>
      </c>
    </row>
    <row r="9990">
      <c r="A9990" s="58" t="inlineStr">
        <is>
          <t>RT20250907-09989</t>
        </is>
      </c>
      <c r="B9990" s="59" t="inlineStr">
        <is>
          <t>2025-09-07</t>
        </is>
      </c>
      <c r="C9990" s="60" t="inlineStr">
        <is>
          <t>Nimbus Headphone X-854</t>
        </is>
      </c>
      <c r="D9990" s="58" t="inlineStr">
        <is>
          <t>Electronics</t>
        </is>
      </c>
      <c r="E9990" s="58" t="inlineStr">
        <is>
          <t>East</t>
        </is>
      </c>
      <c r="F9990" s="61" t="n">
        <v>1</v>
      </c>
      <c r="G9990" s="62" t="n">
        <v>1563.59</v>
      </c>
      <c r="H9990" s="63" t="n">
        <v>0.127</v>
      </c>
      <c r="I9990" s="62" t="n">
        <v>1243.31</v>
      </c>
      <c r="J9990" s="58" t="inlineStr">
        <is>
          <t>Store</t>
        </is>
      </c>
      <c r="K9990" s="62">
        <f>F9990*(G9990-H9990)</f>
        <v/>
      </c>
      <c r="L9990" s="62">
        <f>K9990-(F9990*I9990)</f>
        <v/>
      </c>
      <c r="M9990" s="64">
        <f>L9990/K9990</f>
        <v/>
      </c>
    </row>
    <row r="9991">
      <c r="A9991" s="58" t="inlineStr">
        <is>
          <t>RT20250908-09990</t>
        </is>
      </c>
      <c r="B9991" s="59" t="inlineStr">
        <is>
          <t>2025-09-08</t>
        </is>
      </c>
      <c r="C9991" s="60" t="inlineStr">
        <is>
          <t>Falcon Storage X-734</t>
        </is>
      </c>
      <c r="D9991" s="58" t="inlineStr">
        <is>
          <t>Office</t>
        </is>
      </c>
      <c r="E9991" s="58" t="inlineStr">
        <is>
          <t>East</t>
        </is>
      </c>
      <c r="F9991" s="61" t="n">
        <v>1</v>
      </c>
      <c r="G9991" s="62" t="n">
        <v>383.37</v>
      </c>
      <c r="H9991" s="63" t="n">
        <v>0.128</v>
      </c>
      <c r="I9991" s="62" t="n">
        <v>289.17</v>
      </c>
      <c r="J9991" s="58" t="inlineStr">
        <is>
          <t>Online</t>
        </is>
      </c>
      <c r="K9991" s="62">
        <f>F9991*(G9991-H9991)</f>
        <v/>
      </c>
      <c r="L9991" s="62">
        <f>K9991-(F9991*I9991)</f>
        <v/>
      </c>
      <c r="M9991" s="64">
        <f>L9991/K9991</f>
        <v/>
      </c>
    </row>
    <row r="9992">
      <c r="A9992" s="58" t="inlineStr">
        <is>
          <t>RT20250908-09991</t>
        </is>
      </c>
      <c r="B9992" s="59" t="inlineStr">
        <is>
          <t>2025-09-08</t>
        </is>
      </c>
      <c r="C9992" s="60" t="inlineStr">
        <is>
          <t>Aurora Printer Plus-723</t>
        </is>
      </c>
      <c r="D9992" s="58" t="inlineStr">
        <is>
          <t>Office</t>
        </is>
      </c>
      <c r="E9992" s="58" t="inlineStr">
        <is>
          <t>East</t>
        </is>
      </c>
      <c r="F9992" s="61" t="n">
        <v>3</v>
      </c>
      <c r="G9992" s="62" t="n">
        <v>226.35</v>
      </c>
      <c r="H9992" s="63" t="n">
        <v>0.113</v>
      </c>
      <c r="I9992" s="62" t="n">
        <v>193.18</v>
      </c>
      <c r="J9992" s="58" t="inlineStr">
        <is>
          <t>Online</t>
        </is>
      </c>
      <c r="K9992" s="62">
        <f>F9992*(G9992-H9992)</f>
        <v/>
      </c>
      <c r="L9992" s="62">
        <f>K9992-(F9992*I9992)</f>
        <v/>
      </c>
      <c r="M9992" s="64">
        <f>L9992/K9992</f>
        <v/>
      </c>
    </row>
    <row r="9993">
      <c r="A9993" s="58" t="inlineStr">
        <is>
          <t>RT20250908-09992</t>
        </is>
      </c>
      <c r="B9993" s="59" t="inlineStr">
        <is>
          <t>2025-09-08</t>
        </is>
      </c>
      <c r="C9993" s="60" t="inlineStr">
        <is>
          <t>Polar Fragrance Pro-750</t>
        </is>
      </c>
      <c r="D9993" s="58" t="inlineStr">
        <is>
          <t>Beauty</t>
        </is>
      </c>
      <c r="E9993" s="58" t="inlineStr">
        <is>
          <t>West</t>
        </is>
      </c>
      <c r="F9993" s="61" t="n">
        <v>3</v>
      </c>
      <c r="G9993" s="62" t="n">
        <v>60.43</v>
      </c>
      <c r="H9993" s="63" t="n">
        <v>0.172</v>
      </c>
      <c r="I9993" s="62" t="n">
        <v>36.64</v>
      </c>
      <c r="J9993" s="58" t="inlineStr">
        <is>
          <t>Store</t>
        </is>
      </c>
      <c r="K9993" s="62">
        <f>F9993*(G9993-H9993)</f>
        <v/>
      </c>
      <c r="L9993" s="62">
        <f>K9993-(F9993*I9993)</f>
        <v/>
      </c>
      <c r="M9993" s="64">
        <f>L9993/K9993</f>
        <v/>
      </c>
    </row>
    <row r="9994">
      <c r="A9994" s="58" t="inlineStr">
        <is>
          <t>RT20250908-09993</t>
        </is>
      </c>
      <c r="B9994" s="59" t="inlineStr">
        <is>
          <t>2025-09-08</t>
        </is>
      </c>
      <c r="C9994" s="60" t="inlineStr">
        <is>
          <t>Polar Cycling X-649</t>
        </is>
      </c>
      <c r="D9994" s="58" t="inlineStr">
        <is>
          <t>Sports</t>
        </is>
      </c>
      <c r="E9994" s="58" t="inlineStr">
        <is>
          <t>Central</t>
        </is>
      </c>
      <c r="F9994" s="61" t="n">
        <v>3</v>
      </c>
      <c r="G9994" s="62" t="n">
        <v>594.8099999999999</v>
      </c>
      <c r="H9994" s="63" t="n">
        <v>0.131</v>
      </c>
      <c r="I9994" s="62" t="n">
        <v>365.93</v>
      </c>
      <c r="J9994" s="58" t="inlineStr">
        <is>
          <t>Store</t>
        </is>
      </c>
      <c r="K9994" s="62">
        <f>F9994*(G9994-H9994)</f>
        <v/>
      </c>
      <c r="L9994" s="62">
        <f>K9994-(F9994*I9994)</f>
        <v/>
      </c>
      <c r="M9994" s="64">
        <f>L9994/K9994</f>
        <v/>
      </c>
    </row>
    <row r="9995">
      <c r="A9995" s="58" t="inlineStr">
        <is>
          <t>RT20250908-09994</t>
        </is>
      </c>
      <c r="B9995" s="59" t="inlineStr">
        <is>
          <t>2025-09-08</t>
        </is>
      </c>
      <c r="C9995" s="60" t="inlineStr">
        <is>
          <t>Orion Laptop S-350</t>
        </is>
      </c>
      <c r="D9995" s="58" t="inlineStr">
        <is>
          <t>Electronics</t>
        </is>
      </c>
      <c r="E9995" s="58" t="inlineStr">
        <is>
          <t>West</t>
        </is>
      </c>
      <c r="F9995" s="61" t="n">
        <v>1</v>
      </c>
      <c r="G9995" s="62" t="n">
        <v>1322.99</v>
      </c>
      <c r="H9995" s="63" t="n">
        <v>0.077</v>
      </c>
      <c r="I9995" s="62" t="n">
        <v>1057.07</v>
      </c>
      <c r="J9995" s="58" t="inlineStr">
        <is>
          <t>Online</t>
        </is>
      </c>
      <c r="K9995" s="62">
        <f>F9995*(G9995-H9995)</f>
        <v/>
      </c>
      <c r="L9995" s="62">
        <f>K9995-(F9995*I9995)</f>
        <v/>
      </c>
      <c r="M9995" s="64">
        <f>L9995/K9995</f>
        <v/>
      </c>
    </row>
    <row r="9996">
      <c r="A9996" s="58" t="inlineStr">
        <is>
          <t>RT20250908-09995</t>
        </is>
      </c>
      <c r="B9996" s="59" t="inlineStr">
        <is>
          <t>2025-09-08</t>
        </is>
      </c>
      <c r="C9996" s="60" t="inlineStr">
        <is>
          <t>Orion Snack X-322</t>
        </is>
      </c>
      <c r="D9996" s="58" t="inlineStr">
        <is>
          <t>Grocery</t>
        </is>
      </c>
      <c r="E9996" s="58" t="inlineStr">
        <is>
          <t>South</t>
        </is>
      </c>
      <c r="F9996" s="61" t="n">
        <v>2</v>
      </c>
      <c r="G9996" s="62" t="n">
        <v>12.74</v>
      </c>
      <c r="H9996" s="63" t="n">
        <v>0.1</v>
      </c>
      <c r="I9996" s="62" t="n">
        <v>9.91</v>
      </c>
      <c r="J9996" s="58" t="inlineStr">
        <is>
          <t>Online</t>
        </is>
      </c>
      <c r="K9996" s="62">
        <f>F9996*(G9996-H9996)</f>
        <v/>
      </c>
      <c r="L9996" s="62">
        <f>K9996-(F9996*I9996)</f>
        <v/>
      </c>
      <c r="M9996" s="64">
        <f>L9996/K9996</f>
        <v/>
      </c>
    </row>
    <row r="9997">
      <c r="A9997" s="58" t="inlineStr">
        <is>
          <t>RT20250908-09996</t>
        </is>
      </c>
      <c r="B9997" s="59" t="inlineStr">
        <is>
          <t>2025-09-08</t>
        </is>
      </c>
      <c r="C9997" s="60" t="inlineStr">
        <is>
          <t>Aurora Appliance Max-316</t>
        </is>
      </c>
      <c r="D9997" s="58" t="inlineStr">
        <is>
          <t>Home</t>
        </is>
      </c>
      <c r="E9997" s="58" t="inlineStr">
        <is>
          <t>East</t>
        </is>
      </c>
      <c r="F9997" s="61" t="n">
        <v>3</v>
      </c>
      <c r="G9997" s="62" t="n">
        <v>343.37</v>
      </c>
      <c r="H9997" s="63" t="n">
        <v>0.074</v>
      </c>
      <c r="I9997" s="62" t="n">
        <v>212.18</v>
      </c>
      <c r="J9997" s="58" t="inlineStr">
        <is>
          <t>Online</t>
        </is>
      </c>
      <c r="K9997" s="62">
        <f>F9997*(G9997-H9997)</f>
        <v/>
      </c>
      <c r="L9997" s="62">
        <f>K9997-(F9997*I9997)</f>
        <v/>
      </c>
      <c r="M9997" s="64">
        <f>L9997/K9997</f>
        <v/>
      </c>
    </row>
    <row r="9998">
      <c r="A9998" s="58" t="inlineStr">
        <is>
          <t>RT20250908-09997</t>
        </is>
      </c>
      <c r="B9998" s="59" t="inlineStr">
        <is>
          <t>2025-09-08</t>
        </is>
      </c>
      <c r="C9998" s="60" t="inlineStr">
        <is>
          <t>Vertex Supplie Pro-786</t>
        </is>
      </c>
      <c r="D9998" s="58" t="inlineStr">
        <is>
          <t>Office</t>
        </is>
      </c>
      <c r="E9998" s="58" t="inlineStr">
        <is>
          <t>West</t>
        </is>
      </c>
      <c r="F9998" s="61" t="n">
        <v>1</v>
      </c>
      <c r="G9998" s="62" t="n">
        <v>395.99</v>
      </c>
      <c r="H9998" s="63" t="n">
        <v>0.134</v>
      </c>
      <c r="I9998" s="62" t="n">
        <v>297.39</v>
      </c>
      <c r="J9998" s="58" t="inlineStr">
        <is>
          <t>Online</t>
        </is>
      </c>
      <c r="K9998" s="62">
        <f>F9998*(G9998-H9998)</f>
        <v/>
      </c>
      <c r="L9998" s="62">
        <f>K9998-(F9998*I9998)</f>
        <v/>
      </c>
      <c r="M9998" s="64">
        <f>L9998/K9998</f>
        <v/>
      </c>
    </row>
    <row r="9999">
      <c r="A9999" s="58" t="inlineStr">
        <is>
          <t>RT20250908-09998</t>
        </is>
      </c>
      <c r="B9999" s="59" t="inlineStr">
        <is>
          <t>2025-09-08</t>
        </is>
      </c>
      <c r="C9999" s="60" t="inlineStr">
        <is>
          <t>Aurora Skincare Max-798</t>
        </is>
      </c>
      <c r="D9999" s="58" t="inlineStr">
        <is>
          <t>Beauty</t>
        </is>
      </c>
      <c r="E9999" s="58" t="inlineStr">
        <is>
          <t>Central</t>
        </is>
      </c>
      <c r="F9999" s="61" t="n">
        <v>1</v>
      </c>
      <c r="G9999" s="62" t="n">
        <v>110.77</v>
      </c>
      <c r="H9999" s="63" t="n">
        <v>0.111</v>
      </c>
      <c r="I9999" s="62" t="n">
        <v>68.34</v>
      </c>
      <c r="J9999" s="58" t="inlineStr">
        <is>
          <t>Online</t>
        </is>
      </c>
      <c r="K9999" s="62">
        <f>F9999*(G9999-H9999)</f>
        <v/>
      </c>
      <c r="L9999" s="62">
        <f>K9999-(F9999*I9999)</f>
        <v/>
      </c>
      <c r="M9999" s="64">
        <f>L9999/K9999</f>
        <v/>
      </c>
    </row>
    <row r="10000">
      <c r="A10000" s="58" t="inlineStr">
        <is>
          <t>RT20250908-09999</t>
        </is>
      </c>
      <c r="B10000" s="59" t="inlineStr">
        <is>
          <t>2025-09-08</t>
        </is>
      </c>
      <c r="C10000" s="60" t="inlineStr">
        <is>
          <t>Aurora Team Sport Plus-256</t>
        </is>
      </c>
      <c r="D10000" s="58" t="inlineStr">
        <is>
          <t>Sports</t>
        </is>
      </c>
      <c r="E10000" s="58" t="inlineStr">
        <is>
          <t>Central</t>
        </is>
      </c>
      <c r="F10000" s="61" t="n">
        <v>2</v>
      </c>
      <c r="G10000" s="62" t="n">
        <v>610.77</v>
      </c>
      <c r="H10000" s="63" t="n">
        <v>0.133</v>
      </c>
      <c r="I10000" s="62" t="n">
        <v>408.68</v>
      </c>
      <c r="J10000" s="58" t="inlineStr">
        <is>
          <t>Store</t>
        </is>
      </c>
      <c r="K10000" s="62">
        <f>F10000*(G10000-H10000)</f>
        <v/>
      </c>
      <c r="L10000" s="62">
        <f>K10000-(F10000*I10000)</f>
        <v/>
      </c>
      <c r="M10000" s="64">
        <f>L10000/K10000</f>
        <v/>
      </c>
    </row>
    <row r="10001">
      <c r="A10001" s="58" t="inlineStr">
        <is>
          <t>RT20250908-10000</t>
        </is>
      </c>
      <c r="B10001" s="59" t="inlineStr">
        <is>
          <t>2025-09-08</t>
        </is>
      </c>
      <c r="C10001" s="60" t="inlineStr">
        <is>
          <t>Nimbus Women Lite-814</t>
        </is>
      </c>
      <c r="D10001" s="58" t="inlineStr">
        <is>
          <t>Apparel</t>
        </is>
      </c>
      <c r="E10001" s="58" t="inlineStr">
        <is>
          <t>South</t>
        </is>
      </c>
      <c r="F10001" s="61" t="n">
        <v>4</v>
      </c>
      <c r="G10001" s="62" t="n">
        <v>143.36</v>
      </c>
      <c r="H10001" s="63" t="n">
        <v>0.168</v>
      </c>
      <c r="I10001" s="62" t="n">
        <v>85.42</v>
      </c>
      <c r="J10001" s="58" t="inlineStr">
        <is>
          <t>Online</t>
        </is>
      </c>
      <c r="K10001" s="62">
        <f>F10001*(G10001-H10001)</f>
        <v/>
      </c>
      <c r="L10001" s="62">
        <f>K10001-(F10001*I10001)</f>
        <v/>
      </c>
      <c r="M10001" s="64">
        <f>L10001/K10001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1"/>
  <sheetViews>
    <sheetView showGridLines="1" workbookViewId="0">
      <pane ySplit="1" topLeftCell="A2" activePane="bottomLeft" state="frozen"/>
      <selection pane="bottomLeft" activeCell="A1" sqref="A1"/>
    </sheetView>
  </sheetViews>
  <sheetFormatPr baseColWidth="8" defaultRowHeight="15"/>
  <cols>
    <col width="32" customWidth="1" min="1" max="1"/>
    <col width="18" customWidth="1" min="2" max="2"/>
    <col width="20" customWidth="1" min="3" max="3"/>
    <col width="16" customWidth="1" min="4" max="4"/>
  </cols>
  <sheetData>
    <row r="1" ht="24" customHeight="1">
      <c r="A1" s="12" t="inlineStr">
        <is>
          <t>product</t>
        </is>
      </c>
      <c r="B1" s="5" t="inlineStr">
        <is>
          <t>category</t>
        </is>
      </c>
      <c r="C1" s="5" t="inlineStr">
        <is>
          <t>subcategory</t>
        </is>
      </c>
      <c r="D1" s="13" t="inlineStr">
        <is>
          <t>MSRP</t>
        </is>
      </c>
    </row>
    <row r="2">
      <c r="A2" s="15" t="inlineStr">
        <is>
          <t>Aurora Smartphone Plus-125</t>
        </is>
      </c>
      <c r="B2" s="14" t="inlineStr">
        <is>
          <t>Electronics</t>
        </is>
      </c>
      <c r="C2" s="14" t="inlineStr">
        <is>
          <t>Smartphones</t>
        </is>
      </c>
      <c r="D2" s="17" t="n">
        <v>1566.05</v>
      </c>
    </row>
    <row r="3">
      <c r="A3" s="15" t="inlineStr">
        <is>
          <t>Orion Laptop S-350</t>
        </is>
      </c>
      <c r="B3" s="14" t="inlineStr">
        <is>
          <t>Electronics</t>
        </is>
      </c>
      <c r="C3" s="14" t="inlineStr">
        <is>
          <t>Laptops</t>
        </is>
      </c>
      <c r="D3" s="17" t="n">
        <v>1383.18</v>
      </c>
    </row>
    <row r="4">
      <c r="A4" s="15" t="inlineStr">
        <is>
          <t>Nimbus Headphone X-854</t>
        </is>
      </c>
      <c r="B4" s="14" t="inlineStr">
        <is>
          <t>Electronics</t>
        </is>
      </c>
      <c r="C4" s="14" t="inlineStr">
        <is>
          <t>Headphones</t>
        </is>
      </c>
      <c r="D4" s="17" t="n">
        <v>1609.53</v>
      </c>
    </row>
    <row r="5">
      <c r="A5" s="15" t="inlineStr">
        <is>
          <t>Aurora Wearable Lite-704</t>
        </is>
      </c>
      <c r="B5" s="14" t="inlineStr">
        <is>
          <t>Electronics</t>
        </is>
      </c>
      <c r="C5" s="14" t="inlineStr">
        <is>
          <t>Wearables</t>
        </is>
      </c>
      <c r="D5" s="17" t="n">
        <v>1861.63</v>
      </c>
    </row>
    <row r="6">
      <c r="A6" s="15" t="inlineStr">
        <is>
          <t>Falcon Kitchen X-130</t>
        </is>
      </c>
      <c r="B6" s="14" t="inlineStr">
        <is>
          <t>Home</t>
        </is>
      </c>
      <c r="C6" s="14" t="inlineStr">
        <is>
          <t>Kitchen</t>
        </is>
      </c>
      <c r="D6" s="17" t="n">
        <v>424.35</v>
      </c>
    </row>
    <row r="7">
      <c r="A7" s="15" t="inlineStr">
        <is>
          <t>Vertex Appliance Max-338</t>
        </is>
      </c>
      <c r="B7" s="14" t="inlineStr">
        <is>
          <t>Home</t>
        </is>
      </c>
      <c r="C7" s="14" t="inlineStr">
        <is>
          <t>Appliances</t>
        </is>
      </c>
      <c r="D7" s="17" t="n">
        <v>424.35</v>
      </c>
    </row>
    <row r="8">
      <c r="A8" s="15" t="inlineStr">
        <is>
          <t>Falcon Bedding S-674</t>
        </is>
      </c>
      <c r="B8" s="14" t="inlineStr">
        <is>
          <t>Home</t>
        </is>
      </c>
      <c r="C8" s="14" t="inlineStr">
        <is>
          <t>Bedding</t>
        </is>
      </c>
      <c r="D8" s="17" t="n">
        <v>665.61</v>
      </c>
    </row>
    <row r="9">
      <c r="A9" s="15" t="inlineStr">
        <is>
          <t>Metro Decor Lite-325</t>
        </is>
      </c>
      <c r="B9" s="14" t="inlineStr">
        <is>
          <t>Home</t>
        </is>
      </c>
      <c r="C9" s="14" t="inlineStr">
        <is>
          <t>Decor</t>
        </is>
      </c>
      <c r="D9" s="17" t="n">
        <v>557.61</v>
      </c>
    </row>
    <row r="10">
      <c r="A10" s="15" t="inlineStr">
        <is>
          <t>Orion Men X-928</t>
        </is>
      </c>
      <c r="B10" s="14" t="inlineStr">
        <is>
          <t>Apparel</t>
        </is>
      </c>
      <c r="C10" s="14" t="inlineStr">
        <is>
          <t>Men</t>
        </is>
      </c>
      <c r="D10" s="17" t="n">
        <v>112.1</v>
      </c>
    </row>
    <row r="11">
      <c r="A11" s="15" t="inlineStr">
        <is>
          <t>Nimbus Women Lite-814</t>
        </is>
      </c>
      <c r="B11" s="14" t="inlineStr">
        <is>
          <t>Apparel</t>
        </is>
      </c>
      <c r="C11" s="14" t="inlineStr">
        <is>
          <t>Women</t>
        </is>
      </c>
      <c r="D11" s="17" t="n">
        <v>148.53</v>
      </c>
    </row>
    <row r="12">
      <c r="A12" s="15" t="inlineStr">
        <is>
          <t>Solace Kid S-384</t>
        </is>
      </c>
      <c r="B12" s="14" t="inlineStr">
        <is>
          <t>Apparel</t>
        </is>
      </c>
      <c r="C12" s="14" t="inlineStr">
        <is>
          <t>Kids</t>
        </is>
      </c>
      <c r="D12" s="17" t="n">
        <v>112.32</v>
      </c>
    </row>
    <row r="13">
      <c r="A13" s="15" t="inlineStr">
        <is>
          <t>Vertex Accessorie Pro-881</t>
        </is>
      </c>
      <c r="B13" s="14" t="inlineStr">
        <is>
          <t>Apparel</t>
        </is>
      </c>
      <c r="C13" s="14" t="inlineStr">
        <is>
          <t>Accessories</t>
        </is>
      </c>
      <c r="D13" s="17" t="n">
        <v>112.23</v>
      </c>
    </row>
    <row r="14">
      <c r="A14" s="15" t="inlineStr">
        <is>
          <t>Aurora Fitnes Lite-194</t>
        </is>
      </c>
      <c r="B14" s="14" t="inlineStr">
        <is>
          <t>Sports</t>
        </is>
      </c>
      <c r="C14" s="14" t="inlineStr">
        <is>
          <t>Fitness</t>
        </is>
      </c>
      <c r="D14" s="17" t="n">
        <v>703.6</v>
      </c>
    </row>
    <row r="15">
      <c r="A15" s="15" t="inlineStr">
        <is>
          <t>Aurora Outdoor Pro-467</t>
        </is>
      </c>
      <c r="B15" s="14" t="inlineStr">
        <is>
          <t>Sports</t>
        </is>
      </c>
      <c r="C15" s="14" t="inlineStr">
        <is>
          <t>Outdoor</t>
        </is>
      </c>
      <c r="D15" s="17" t="n">
        <v>288.5</v>
      </c>
    </row>
    <row r="16">
      <c r="A16" s="15" t="inlineStr">
        <is>
          <t>Orion Team Sport X-926</t>
        </is>
      </c>
      <c r="B16" s="14" t="inlineStr">
        <is>
          <t>Sports</t>
        </is>
      </c>
      <c r="C16" s="14" t="inlineStr">
        <is>
          <t>Team Sports</t>
        </is>
      </c>
      <c r="D16" s="17" t="n">
        <v>324.78</v>
      </c>
    </row>
    <row r="17">
      <c r="A17" s="15" t="inlineStr">
        <is>
          <t>Polar Cycling X-649</t>
        </is>
      </c>
      <c r="B17" s="14" t="inlineStr">
        <is>
          <t>Sports</t>
        </is>
      </c>
      <c r="C17" s="14" t="inlineStr">
        <is>
          <t>Cycling</t>
        </is>
      </c>
      <c r="D17" s="17" t="n">
        <v>548.7</v>
      </c>
    </row>
    <row r="18">
      <c r="A18" s="15" t="inlineStr">
        <is>
          <t>Metro Pantry Max-180</t>
        </is>
      </c>
      <c r="B18" s="14" t="inlineStr">
        <is>
          <t>Grocery</t>
        </is>
      </c>
      <c r="C18" s="14" t="inlineStr">
        <is>
          <t>Pantry</t>
        </is>
      </c>
      <c r="D18" s="17" t="n">
        <v>8.960000000000001</v>
      </c>
    </row>
    <row r="19">
      <c r="A19" s="15" t="inlineStr">
        <is>
          <t>Orion Beverage Plus-949</t>
        </is>
      </c>
      <c r="B19" s="14" t="inlineStr">
        <is>
          <t>Grocery</t>
        </is>
      </c>
      <c r="C19" s="14" t="inlineStr">
        <is>
          <t>Beverages</t>
        </is>
      </c>
      <c r="D19" s="17" t="n">
        <v>18.32</v>
      </c>
    </row>
    <row r="20">
      <c r="A20" s="15" t="inlineStr">
        <is>
          <t>Solace Snack S-691</t>
        </is>
      </c>
      <c r="B20" s="14" t="inlineStr">
        <is>
          <t>Grocery</t>
        </is>
      </c>
      <c r="C20" s="14" t="inlineStr">
        <is>
          <t>Snacks</t>
        </is>
      </c>
      <c r="D20" s="17" t="n">
        <v>9.699999999999999</v>
      </c>
    </row>
    <row r="21">
      <c r="A21" s="15" t="inlineStr">
        <is>
          <t>Aurora Household Plus-146</t>
        </is>
      </c>
      <c r="B21" s="14" t="inlineStr">
        <is>
          <t>Grocery</t>
        </is>
      </c>
      <c r="C21" s="14" t="inlineStr">
        <is>
          <t>Household</t>
        </is>
      </c>
      <c r="D21" s="17" t="n">
        <v>6.14</v>
      </c>
    </row>
    <row r="22">
      <c r="A22" s="15" t="inlineStr">
        <is>
          <t>Vertex Skincare Pro-891</t>
        </is>
      </c>
      <c r="B22" s="14" t="inlineStr">
        <is>
          <t>Beauty</t>
        </is>
      </c>
      <c r="C22" s="14" t="inlineStr">
        <is>
          <t>Skincare</t>
        </is>
      </c>
      <c r="D22" s="17" t="n">
        <v>144.65</v>
      </c>
    </row>
    <row r="23">
      <c r="A23" s="15" t="inlineStr">
        <is>
          <t>Aurora Haircare S-975</t>
        </is>
      </c>
      <c r="B23" s="14" t="inlineStr">
        <is>
          <t>Beauty</t>
        </is>
      </c>
      <c r="C23" s="14" t="inlineStr">
        <is>
          <t>Haircare</t>
        </is>
      </c>
      <c r="D23" s="17" t="n">
        <v>95.43000000000001</v>
      </c>
    </row>
    <row r="24">
      <c r="A24" s="15" t="inlineStr">
        <is>
          <t>Aurora Makeup Pro-489</t>
        </is>
      </c>
      <c r="B24" s="14" t="inlineStr">
        <is>
          <t>Beauty</t>
        </is>
      </c>
      <c r="C24" s="14" t="inlineStr">
        <is>
          <t>Makeup</t>
        </is>
      </c>
      <c r="D24" s="17" t="n">
        <v>103.97</v>
      </c>
    </row>
    <row r="25">
      <c r="A25" s="15" t="inlineStr">
        <is>
          <t>Polar Fragrance Pro-750</t>
        </is>
      </c>
      <c r="B25" s="14" t="inlineStr">
        <is>
          <t>Beauty</t>
        </is>
      </c>
      <c r="C25" s="14" t="inlineStr">
        <is>
          <t>Fragrance</t>
        </is>
      </c>
      <c r="D25" s="17" t="n">
        <v>60.54</v>
      </c>
    </row>
    <row r="26">
      <c r="A26" s="15" t="inlineStr">
        <is>
          <t>Nimbus Furniture Pro-479</t>
        </is>
      </c>
      <c r="B26" s="14" t="inlineStr">
        <is>
          <t>Office</t>
        </is>
      </c>
      <c r="C26" s="14" t="inlineStr">
        <is>
          <t>Furniture</t>
        </is>
      </c>
      <c r="D26" s="17" t="n">
        <v>337.16</v>
      </c>
    </row>
    <row r="27">
      <c r="A27" s="15" t="inlineStr">
        <is>
          <t>Vertex Supplie Pro-786</t>
        </is>
      </c>
      <c r="B27" s="14" t="inlineStr">
        <is>
          <t>Office</t>
        </is>
      </c>
      <c r="C27" s="14" t="inlineStr">
        <is>
          <t>Supplies</t>
        </is>
      </c>
      <c r="D27" s="17" t="n">
        <v>415.21</v>
      </c>
    </row>
    <row r="28">
      <c r="A28" s="15" t="inlineStr">
        <is>
          <t>Aurora Printer Plus-723</t>
        </is>
      </c>
      <c r="B28" s="14" t="inlineStr">
        <is>
          <t>Office</t>
        </is>
      </c>
      <c r="C28" s="14" t="inlineStr">
        <is>
          <t>Printers</t>
        </is>
      </c>
      <c r="D28" s="17" t="n">
        <v>264.92</v>
      </c>
    </row>
    <row r="29">
      <c r="A29" s="15" t="inlineStr">
        <is>
          <t>Nimbus Storage Plus-646</t>
        </is>
      </c>
      <c r="B29" s="14" t="inlineStr">
        <is>
          <t>Office</t>
        </is>
      </c>
      <c r="C29" s="14" t="inlineStr">
        <is>
          <t>Storage</t>
        </is>
      </c>
      <c r="D29" s="17" t="n">
        <v>446.75</v>
      </c>
    </row>
    <row r="30">
      <c r="A30" s="15" t="inlineStr">
        <is>
          <t>Vertex Smartphone Lite-267</t>
        </is>
      </c>
      <c r="B30" s="14" t="inlineStr">
        <is>
          <t>Electronics</t>
        </is>
      </c>
      <c r="C30" s="14" t="inlineStr">
        <is>
          <t>Smartphones</t>
        </is>
      </c>
      <c r="D30" s="17" t="n">
        <v>1250.02</v>
      </c>
    </row>
    <row r="31">
      <c r="A31" s="15" t="inlineStr">
        <is>
          <t>Metro Laptop Plus-376</t>
        </is>
      </c>
      <c r="B31" s="14" t="inlineStr">
        <is>
          <t>Electronics</t>
        </is>
      </c>
      <c r="C31" s="14" t="inlineStr">
        <is>
          <t>Laptops</t>
        </is>
      </c>
      <c r="D31" s="17" t="n">
        <v>1338.99</v>
      </c>
    </row>
    <row r="32">
      <c r="A32" s="15" t="inlineStr">
        <is>
          <t>Vertex Headphone Pro-801</t>
        </is>
      </c>
      <c r="B32" s="14" t="inlineStr">
        <is>
          <t>Electronics</t>
        </is>
      </c>
      <c r="C32" s="14" t="inlineStr">
        <is>
          <t>Headphones</t>
        </is>
      </c>
      <c r="D32" s="17" t="n">
        <v>1249.71</v>
      </c>
    </row>
    <row r="33">
      <c r="A33" s="15" t="inlineStr">
        <is>
          <t>Falcon Wearable X-334</t>
        </is>
      </c>
      <c r="B33" s="14" t="inlineStr">
        <is>
          <t>Electronics</t>
        </is>
      </c>
      <c r="C33" s="14" t="inlineStr">
        <is>
          <t>Wearables</t>
        </is>
      </c>
      <c r="D33" s="17" t="n">
        <v>1956.46</v>
      </c>
    </row>
    <row r="34">
      <c r="A34" s="15" t="inlineStr">
        <is>
          <t>Solace Kitchen Pro-510</t>
        </is>
      </c>
      <c r="B34" s="14" t="inlineStr">
        <is>
          <t>Home</t>
        </is>
      </c>
      <c r="C34" s="14" t="inlineStr">
        <is>
          <t>Kitchen</t>
        </is>
      </c>
      <c r="D34" s="17" t="n">
        <v>453.7</v>
      </c>
    </row>
    <row r="35">
      <c r="A35" s="15" t="inlineStr">
        <is>
          <t>Aurora Appliance Max-316</t>
        </is>
      </c>
      <c r="B35" s="14" t="inlineStr">
        <is>
          <t>Home</t>
        </is>
      </c>
      <c r="C35" s="14" t="inlineStr">
        <is>
          <t>Appliances</t>
        </is>
      </c>
      <c r="D35" s="17" t="n">
        <v>314.77</v>
      </c>
    </row>
    <row r="36">
      <c r="A36" s="15" t="inlineStr">
        <is>
          <t>Solace Bedding Plus-317</t>
        </is>
      </c>
      <c r="B36" s="14" t="inlineStr">
        <is>
          <t>Home</t>
        </is>
      </c>
      <c r="C36" s="14" t="inlineStr">
        <is>
          <t>Bedding</t>
        </is>
      </c>
      <c r="D36" s="17" t="n">
        <v>564.9400000000001</v>
      </c>
    </row>
    <row r="37">
      <c r="A37" s="15" t="inlineStr">
        <is>
          <t>Polar Decor Plus-505</t>
        </is>
      </c>
      <c r="B37" s="14" t="inlineStr">
        <is>
          <t>Home</t>
        </is>
      </c>
      <c r="C37" s="14" t="inlineStr">
        <is>
          <t>Decor</t>
        </is>
      </c>
      <c r="D37" s="17" t="n">
        <v>293.07</v>
      </c>
    </row>
    <row r="38">
      <c r="A38" s="15" t="inlineStr">
        <is>
          <t>Polar Men Pro-246</t>
        </is>
      </c>
      <c r="B38" s="14" t="inlineStr">
        <is>
          <t>Apparel</t>
        </is>
      </c>
      <c r="C38" s="14" t="inlineStr">
        <is>
          <t>Men</t>
        </is>
      </c>
      <c r="D38" s="17" t="n">
        <v>136.52</v>
      </c>
    </row>
    <row r="39">
      <c r="A39" s="15" t="inlineStr">
        <is>
          <t>Nimbus Women Plus-352</t>
        </is>
      </c>
      <c r="B39" s="14" t="inlineStr">
        <is>
          <t>Apparel</t>
        </is>
      </c>
      <c r="C39" s="14" t="inlineStr">
        <is>
          <t>Women</t>
        </is>
      </c>
      <c r="D39" s="17" t="n">
        <v>58.45</v>
      </c>
    </row>
    <row r="40">
      <c r="A40" s="15" t="inlineStr">
        <is>
          <t>Orion Kid Max-864</t>
        </is>
      </c>
      <c r="B40" s="14" t="inlineStr">
        <is>
          <t>Apparel</t>
        </is>
      </c>
      <c r="C40" s="14" t="inlineStr">
        <is>
          <t>Kids</t>
        </is>
      </c>
      <c r="D40" s="17" t="n">
        <v>81.19</v>
      </c>
    </row>
    <row r="41">
      <c r="A41" s="15" t="inlineStr">
        <is>
          <t>Metro Accessorie Lite-697</t>
        </is>
      </c>
      <c r="B41" s="14" t="inlineStr">
        <is>
          <t>Apparel</t>
        </is>
      </c>
      <c r="C41" s="14" t="inlineStr">
        <is>
          <t>Accessories</t>
        </is>
      </c>
      <c r="D41" s="17" t="n">
        <v>136.09</v>
      </c>
    </row>
    <row r="42">
      <c r="A42" s="15" t="inlineStr">
        <is>
          <t>Solace Fitnes S-324</t>
        </is>
      </c>
      <c r="B42" s="14" t="inlineStr">
        <is>
          <t>Sports</t>
        </is>
      </c>
      <c r="C42" s="14" t="inlineStr">
        <is>
          <t>Fitness</t>
        </is>
      </c>
      <c r="D42" s="17" t="n">
        <v>799.23</v>
      </c>
    </row>
    <row r="43">
      <c r="A43" s="15" t="inlineStr">
        <is>
          <t>Polar Outdoor X-193</t>
        </is>
      </c>
      <c r="B43" s="14" t="inlineStr">
        <is>
          <t>Sports</t>
        </is>
      </c>
      <c r="C43" s="14" t="inlineStr">
        <is>
          <t>Outdoor</t>
        </is>
      </c>
      <c r="D43" s="17" t="n">
        <v>690.01</v>
      </c>
    </row>
    <row r="44">
      <c r="A44" s="15" t="inlineStr">
        <is>
          <t>Aurora Team Sport Plus-256</t>
        </is>
      </c>
      <c r="B44" s="14" t="inlineStr">
        <is>
          <t>Sports</t>
        </is>
      </c>
      <c r="C44" s="14" t="inlineStr">
        <is>
          <t>Team Sports</t>
        </is>
      </c>
      <c r="D44" s="17" t="n">
        <v>634.73</v>
      </c>
    </row>
    <row r="45">
      <c r="A45" s="15" t="inlineStr">
        <is>
          <t>Nimbus Cycling Plus-911</t>
        </is>
      </c>
      <c r="B45" s="14" t="inlineStr">
        <is>
          <t>Sports</t>
        </is>
      </c>
      <c r="C45" s="14" t="inlineStr">
        <is>
          <t>Cycling</t>
        </is>
      </c>
      <c r="D45" s="17" t="n">
        <v>599.01</v>
      </c>
    </row>
    <row r="46">
      <c r="A46" s="15" t="inlineStr">
        <is>
          <t>Metro Pantry X-710</t>
        </is>
      </c>
      <c r="B46" s="14" t="inlineStr">
        <is>
          <t>Grocery</t>
        </is>
      </c>
      <c r="C46" s="14" t="inlineStr">
        <is>
          <t>Pantry</t>
        </is>
      </c>
      <c r="D46" s="17" t="n">
        <v>5.68</v>
      </c>
    </row>
    <row r="47">
      <c r="A47" s="15" t="inlineStr">
        <is>
          <t>Metro Beverage Max-490</t>
        </is>
      </c>
      <c r="B47" s="14" t="inlineStr">
        <is>
          <t>Grocery</t>
        </is>
      </c>
      <c r="C47" s="14" t="inlineStr">
        <is>
          <t>Beverages</t>
        </is>
      </c>
      <c r="D47" s="17" t="n">
        <v>11.03</v>
      </c>
    </row>
    <row r="48">
      <c r="A48" s="15" t="inlineStr">
        <is>
          <t>Polar Snack Pro-641</t>
        </is>
      </c>
      <c r="B48" s="14" t="inlineStr">
        <is>
          <t>Grocery</t>
        </is>
      </c>
      <c r="C48" s="14" t="inlineStr">
        <is>
          <t>Snacks</t>
        </is>
      </c>
      <c r="D48" s="17" t="n">
        <v>12.85</v>
      </c>
    </row>
    <row r="49">
      <c r="A49" s="15" t="inlineStr">
        <is>
          <t>Falcon Household Plus-796</t>
        </is>
      </c>
      <c r="B49" s="14" t="inlineStr">
        <is>
          <t>Grocery</t>
        </is>
      </c>
      <c r="C49" s="14" t="inlineStr">
        <is>
          <t>Household</t>
        </is>
      </c>
      <c r="D49" s="17" t="n">
        <v>23.55</v>
      </c>
    </row>
    <row r="50">
      <c r="A50" s="15" t="inlineStr">
        <is>
          <t>Aurora Skincare Max-798</t>
        </is>
      </c>
      <c r="B50" s="14" t="inlineStr">
        <is>
          <t>Beauty</t>
        </is>
      </c>
      <c r="C50" s="14" t="inlineStr">
        <is>
          <t>Skincare</t>
        </is>
      </c>
      <c r="D50" s="17" t="n">
        <v>112</v>
      </c>
    </row>
    <row r="51">
      <c r="A51" s="15" t="inlineStr">
        <is>
          <t>Orion Haircare Plus-887</t>
        </is>
      </c>
      <c r="B51" s="14" t="inlineStr">
        <is>
          <t>Beauty</t>
        </is>
      </c>
      <c r="C51" s="14" t="inlineStr">
        <is>
          <t>Haircare</t>
        </is>
      </c>
      <c r="D51" s="17" t="n">
        <v>50.7</v>
      </c>
    </row>
    <row r="52">
      <c r="A52" s="15" t="inlineStr">
        <is>
          <t>Solace Makeup Pro-214</t>
        </is>
      </c>
      <c r="B52" s="14" t="inlineStr">
        <is>
          <t>Beauty</t>
        </is>
      </c>
      <c r="C52" s="14" t="inlineStr">
        <is>
          <t>Makeup</t>
        </is>
      </c>
      <c r="D52" s="17" t="n">
        <v>111.43</v>
      </c>
    </row>
    <row r="53">
      <c r="A53" s="15" t="inlineStr">
        <is>
          <t>Metro Fragrance Lite-261</t>
        </is>
      </c>
      <c r="B53" s="14" t="inlineStr">
        <is>
          <t>Beauty</t>
        </is>
      </c>
      <c r="C53" s="14" t="inlineStr">
        <is>
          <t>Fragrance</t>
        </is>
      </c>
      <c r="D53" s="17" t="n">
        <v>90.79000000000001</v>
      </c>
    </row>
    <row r="54">
      <c r="A54" s="15" t="inlineStr">
        <is>
          <t>Falcon Furniture Plus-839</t>
        </is>
      </c>
      <c r="B54" s="14" t="inlineStr">
        <is>
          <t>Office</t>
        </is>
      </c>
      <c r="C54" s="14" t="inlineStr">
        <is>
          <t>Furniture</t>
        </is>
      </c>
      <c r="D54" s="17" t="n">
        <v>321.38</v>
      </c>
    </row>
    <row r="55">
      <c r="A55" s="15" t="inlineStr">
        <is>
          <t>Orion Supplie S-612</t>
        </is>
      </c>
      <c r="B55" s="14" t="inlineStr">
        <is>
          <t>Office</t>
        </is>
      </c>
      <c r="C55" s="14" t="inlineStr">
        <is>
          <t>Supplies</t>
        </is>
      </c>
      <c r="D55" s="17" t="n">
        <v>474.85</v>
      </c>
    </row>
    <row r="56">
      <c r="A56" s="15" t="inlineStr">
        <is>
          <t>Aurora Printer Plus-991</t>
        </is>
      </c>
      <c r="B56" s="14" t="inlineStr">
        <is>
          <t>Office</t>
        </is>
      </c>
      <c r="C56" s="14" t="inlineStr">
        <is>
          <t>Printers</t>
        </is>
      </c>
      <c r="D56" s="17" t="n">
        <v>524.79</v>
      </c>
    </row>
    <row r="57">
      <c r="A57" s="15" t="inlineStr">
        <is>
          <t>Orion Storage Plus-961</t>
        </is>
      </c>
      <c r="B57" s="14" t="inlineStr">
        <is>
          <t>Office</t>
        </is>
      </c>
      <c r="C57" s="14" t="inlineStr">
        <is>
          <t>Storage</t>
        </is>
      </c>
      <c r="D57" s="17" t="n">
        <v>512.92</v>
      </c>
    </row>
    <row r="58">
      <c r="A58" s="15" t="inlineStr">
        <is>
          <t>Vertex Smartphone Pro-256</t>
        </is>
      </c>
      <c r="B58" s="14" t="inlineStr">
        <is>
          <t>Electronics</t>
        </is>
      </c>
      <c r="C58" s="14" t="inlineStr">
        <is>
          <t>Smartphones</t>
        </is>
      </c>
      <c r="D58" s="17" t="n">
        <v>1181.31</v>
      </c>
    </row>
    <row r="59">
      <c r="A59" s="15" t="inlineStr">
        <is>
          <t>Nimbus Laptop Max-652</t>
        </is>
      </c>
      <c r="B59" s="14" t="inlineStr">
        <is>
          <t>Electronics</t>
        </is>
      </c>
      <c r="C59" s="14" t="inlineStr">
        <is>
          <t>Laptops</t>
        </is>
      </c>
      <c r="D59" s="17" t="n">
        <v>1333.95</v>
      </c>
    </row>
    <row r="60">
      <c r="A60" s="15" t="inlineStr">
        <is>
          <t>Falcon Headphone Pro-713</t>
        </is>
      </c>
      <c r="B60" s="14" t="inlineStr">
        <is>
          <t>Electronics</t>
        </is>
      </c>
      <c r="C60" s="14" t="inlineStr">
        <is>
          <t>Headphones</t>
        </is>
      </c>
      <c r="D60" s="17" t="n">
        <v>1518.4</v>
      </c>
    </row>
    <row r="61">
      <c r="A61" s="15" t="inlineStr">
        <is>
          <t>Polar Wearable X-119</t>
        </is>
      </c>
      <c r="B61" s="14" t="inlineStr">
        <is>
          <t>Electronics</t>
        </is>
      </c>
      <c r="C61" s="14" t="inlineStr">
        <is>
          <t>Wearables</t>
        </is>
      </c>
      <c r="D61" s="17" t="n">
        <v>1703.96</v>
      </c>
    </row>
    <row r="62">
      <c r="A62" s="15" t="inlineStr">
        <is>
          <t>Solace Kitchen Pro-999</t>
        </is>
      </c>
      <c r="B62" s="14" t="inlineStr">
        <is>
          <t>Home</t>
        </is>
      </c>
      <c r="C62" s="14" t="inlineStr">
        <is>
          <t>Kitchen</t>
        </is>
      </c>
      <c r="D62" s="17" t="n">
        <v>391.75</v>
      </c>
    </row>
    <row r="63">
      <c r="A63" s="15" t="inlineStr">
        <is>
          <t>Vertex Appliance S-159</t>
        </is>
      </c>
      <c r="B63" s="14" t="inlineStr">
        <is>
          <t>Home</t>
        </is>
      </c>
      <c r="C63" s="14" t="inlineStr">
        <is>
          <t>Appliances</t>
        </is>
      </c>
      <c r="D63" s="17" t="n">
        <v>430.8</v>
      </c>
    </row>
    <row r="64">
      <c r="A64" s="15" t="inlineStr">
        <is>
          <t>Aurora Bedding Plus-187</t>
        </is>
      </c>
      <c r="B64" s="14" t="inlineStr">
        <is>
          <t>Home</t>
        </is>
      </c>
      <c r="C64" s="14" t="inlineStr">
        <is>
          <t>Bedding</t>
        </is>
      </c>
      <c r="D64" s="17" t="n">
        <v>308.3</v>
      </c>
    </row>
    <row r="65">
      <c r="A65" s="15" t="inlineStr">
        <is>
          <t>Polar Decor X-935</t>
        </is>
      </c>
      <c r="B65" s="14" t="inlineStr">
        <is>
          <t>Home</t>
        </is>
      </c>
      <c r="C65" s="14" t="inlineStr">
        <is>
          <t>Decor</t>
        </is>
      </c>
      <c r="D65" s="17" t="n">
        <v>296.34</v>
      </c>
    </row>
    <row r="66">
      <c r="A66" s="15" t="inlineStr">
        <is>
          <t>Nimbus Men Plus-231</t>
        </is>
      </c>
      <c r="B66" s="14" t="inlineStr">
        <is>
          <t>Apparel</t>
        </is>
      </c>
      <c r="C66" s="14" t="inlineStr">
        <is>
          <t>Men</t>
        </is>
      </c>
      <c r="D66" s="17" t="n">
        <v>158.25</v>
      </c>
    </row>
    <row r="67">
      <c r="A67" s="15" t="inlineStr">
        <is>
          <t>Polar Women S-662</t>
        </is>
      </c>
      <c r="B67" s="14" t="inlineStr">
        <is>
          <t>Apparel</t>
        </is>
      </c>
      <c r="C67" s="14" t="inlineStr">
        <is>
          <t>Women</t>
        </is>
      </c>
      <c r="D67" s="17" t="n">
        <v>177.82</v>
      </c>
    </row>
    <row r="68">
      <c r="A68" s="15" t="inlineStr">
        <is>
          <t>Orion Kid Max-640</t>
        </is>
      </c>
      <c r="B68" s="14" t="inlineStr">
        <is>
          <t>Apparel</t>
        </is>
      </c>
      <c r="C68" s="14" t="inlineStr">
        <is>
          <t>Kids</t>
        </is>
      </c>
      <c r="D68" s="17" t="n">
        <v>126.41</v>
      </c>
    </row>
    <row r="69">
      <c r="A69" s="15" t="inlineStr">
        <is>
          <t>Metro Accessorie Max-316</t>
        </is>
      </c>
      <c r="B69" s="14" t="inlineStr">
        <is>
          <t>Apparel</t>
        </is>
      </c>
      <c r="C69" s="14" t="inlineStr">
        <is>
          <t>Accessories</t>
        </is>
      </c>
      <c r="D69" s="17" t="n">
        <v>165.13</v>
      </c>
    </row>
    <row r="70">
      <c r="A70" s="15" t="inlineStr">
        <is>
          <t>Vertex Fitnes Pro-830</t>
        </is>
      </c>
      <c r="B70" s="14" t="inlineStr">
        <is>
          <t>Sports</t>
        </is>
      </c>
      <c r="C70" s="14" t="inlineStr">
        <is>
          <t>Fitness</t>
        </is>
      </c>
      <c r="D70" s="17" t="n">
        <v>726.65</v>
      </c>
    </row>
    <row r="71">
      <c r="A71" s="15" t="inlineStr">
        <is>
          <t>Metro Outdoor Plus-787</t>
        </is>
      </c>
      <c r="B71" s="14" t="inlineStr">
        <is>
          <t>Sports</t>
        </is>
      </c>
      <c r="C71" s="14" t="inlineStr">
        <is>
          <t>Outdoor</t>
        </is>
      </c>
      <c r="D71" s="17" t="n">
        <v>532.75</v>
      </c>
    </row>
    <row r="72">
      <c r="A72" s="15" t="inlineStr">
        <is>
          <t>Solace Team Sport Max-548</t>
        </is>
      </c>
      <c r="B72" s="14" t="inlineStr">
        <is>
          <t>Sports</t>
        </is>
      </c>
      <c r="C72" s="14" t="inlineStr">
        <is>
          <t>Team Sports</t>
        </is>
      </c>
      <c r="D72" s="17" t="n">
        <v>726.6</v>
      </c>
    </row>
    <row r="73">
      <c r="A73" s="15" t="inlineStr">
        <is>
          <t>Polar Cycling S-223</t>
        </is>
      </c>
      <c r="B73" s="14" t="inlineStr">
        <is>
          <t>Sports</t>
        </is>
      </c>
      <c r="C73" s="14" t="inlineStr">
        <is>
          <t>Cycling</t>
        </is>
      </c>
      <c r="D73" s="17" t="n">
        <v>953.23</v>
      </c>
    </row>
    <row r="74">
      <c r="A74" s="15" t="inlineStr">
        <is>
          <t>Vertex Pantry Pro-165</t>
        </is>
      </c>
      <c r="B74" s="14" t="inlineStr">
        <is>
          <t>Grocery</t>
        </is>
      </c>
      <c r="C74" s="14" t="inlineStr">
        <is>
          <t>Pantry</t>
        </is>
      </c>
      <c r="D74" s="17" t="n">
        <v>15.85</v>
      </c>
    </row>
    <row r="75">
      <c r="A75" s="15" t="inlineStr">
        <is>
          <t>Falcon Beverage Max-702</t>
        </is>
      </c>
      <c r="B75" s="14" t="inlineStr">
        <is>
          <t>Grocery</t>
        </is>
      </c>
      <c r="C75" s="14" t="inlineStr">
        <is>
          <t>Beverages</t>
        </is>
      </c>
      <c r="D75" s="17" t="n">
        <v>27.13</v>
      </c>
    </row>
    <row r="76">
      <c r="A76" s="15" t="inlineStr">
        <is>
          <t>Vertex Snack S-702</t>
        </is>
      </c>
      <c r="B76" s="14" t="inlineStr">
        <is>
          <t>Grocery</t>
        </is>
      </c>
      <c r="C76" s="14" t="inlineStr">
        <is>
          <t>Snacks</t>
        </is>
      </c>
      <c r="D76" s="17" t="n">
        <v>2</v>
      </c>
    </row>
    <row r="77">
      <c r="A77" s="15" t="inlineStr">
        <is>
          <t>Falcon Household Plus-172</t>
        </is>
      </c>
      <c r="B77" s="14" t="inlineStr">
        <is>
          <t>Grocery</t>
        </is>
      </c>
      <c r="C77" s="14" t="inlineStr">
        <is>
          <t>Household</t>
        </is>
      </c>
      <c r="D77" s="17" t="n">
        <v>21.89</v>
      </c>
    </row>
    <row r="78">
      <c r="A78" s="15" t="inlineStr">
        <is>
          <t>Falcon Skincare X-334</t>
        </is>
      </c>
      <c r="B78" s="14" t="inlineStr">
        <is>
          <t>Beauty</t>
        </is>
      </c>
      <c r="C78" s="14" t="inlineStr">
        <is>
          <t>Skincare</t>
        </is>
      </c>
      <c r="D78" s="17" t="n">
        <v>104.53</v>
      </c>
    </row>
    <row r="79">
      <c r="A79" s="15" t="inlineStr">
        <is>
          <t>Falcon Haircare Pro-980</t>
        </is>
      </c>
      <c r="B79" s="14" t="inlineStr">
        <is>
          <t>Beauty</t>
        </is>
      </c>
      <c r="C79" s="14" t="inlineStr">
        <is>
          <t>Haircare</t>
        </is>
      </c>
      <c r="D79" s="17" t="n">
        <v>93.3</v>
      </c>
    </row>
    <row r="80">
      <c r="A80" s="15" t="inlineStr">
        <is>
          <t>Aurora Makeup S-626</t>
        </is>
      </c>
      <c r="B80" s="14" t="inlineStr">
        <is>
          <t>Beauty</t>
        </is>
      </c>
      <c r="C80" s="14" t="inlineStr">
        <is>
          <t>Makeup</t>
        </is>
      </c>
      <c r="D80" s="17" t="n">
        <v>104.67</v>
      </c>
    </row>
    <row r="81">
      <c r="A81" s="15" t="inlineStr">
        <is>
          <t>Orion Fragrance Lite-785</t>
        </is>
      </c>
      <c r="B81" s="14" t="inlineStr">
        <is>
          <t>Beauty</t>
        </is>
      </c>
      <c r="C81" s="14" t="inlineStr">
        <is>
          <t>Fragrance</t>
        </is>
      </c>
      <c r="D81" s="17" t="n">
        <v>44.16</v>
      </c>
    </row>
    <row r="82">
      <c r="A82" s="15" t="inlineStr">
        <is>
          <t>Vertex Furniture S-652</t>
        </is>
      </c>
      <c r="B82" s="14" t="inlineStr">
        <is>
          <t>Office</t>
        </is>
      </c>
      <c r="C82" s="14" t="inlineStr">
        <is>
          <t>Furniture</t>
        </is>
      </c>
      <c r="D82" s="17" t="n">
        <v>375.84</v>
      </c>
    </row>
    <row r="83">
      <c r="A83" s="15" t="inlineStr">
        <is>
          <t>Polar Supplie Lite-348</t>
        </is>
      </c>
      <c r="B83" s="14" t="inlineStr">
        <is>
          <t>Office</t>
        </is>
      </c>
      <c r="C83" s="14" t="inlineStr">
        <is>
          <t>Supplies</t>
        </is>
      </c>
      <c r="D83" s="17" t="n">
        <v>444.53</v>
      </c>
    </row>
    <row r="84">
      <c r="A84" s="15" t="inlineStr">
        <is>
          <t>Metro Printer X-294</t>
        </is>
      </c>
      <c r="B84" s="14" t="inlineStr">
        <is>
          <t>Office</t>
        </is>
      </c>
      <c r="C84" s="14" t="inlineStr">
        <is>
          <t>Printers</t>
        </is>
      </c>
      <c r="D84" s="17" t="n">
        <v>578.02</v>
      </c>
    </row>
    <row r="85">
      <c r="A85" s="15" t="inlineStr">
        <is>
          <t>Aurora Storage Lite-774</t>
        </is>
      </c>
      <c r="B85" s="14" t="inlineStr">
        <is>
          <t>Office</t>
        </is>
      </c>
      <c r="C85" s="14" t="inlineStr">
        <is>
          <t>Storage</t>
        </is>
      </c>
      <c r="D85" s="17" t="n">
        <v>340.27</v>
      </c>
    </row>
    <row r="86">
      <c r="A86" s="15" t="inlineStr">
        <is>
          <t>Solace Smartphone Lite-533</t>
        </is>
      </c>
      <c r="B86" s="14" t="inlineStr">
        <is>
          <t>Electronics</t>
        </is>
      </c>
      <c r="C86" s="14" t="inlineStr">
        <is>
          <t>Smartphones</t>
        </is>
      </c>
      <c r="D86" s="17" t="n">
        <v>1190.15</v>
      </c>
    </row>
    <row r="87">
      <c r="A87" s="15" t="inlineStr">
        <is>
          <t>Polar Laptop Plus-984</t>
        </is>
      </c>
      <c r="B87" s="14" t="inlineStr">
        <is>
          <t>Electronics</t>
        </is>
      </c>
      <c r="C87" s="14" t="inlineStr">
        <is>
          <t>Laptops</t>
        </is>
      </c>
      <c r="D87" s="17" t="n">
        <v>1278.49</v>
      </c>
    </row>
    <row r="88">
      <c r="A88" s="15" t="inlineStr">
        <is>
          <t>Falcon Headphone Plus-789</t>
        </is>
      </c>
      <c r="B88" s="14" t="inlineStr">
        <is>
          <t>Electronics</t>
        </is>
      </c>
      <c r="C88" s="14" t="inlineStr">
        <is>
          <t>Headphones</t>
        </is>
      </c>
      <c r="D88" s="17" t="n">
        <v>1686.64</v>
      </c>
    </row>
    <row r="89">
      <c r="A89" s="15" t="inlineStr">
        <is>
          <t>Aurora Wearable Lite-162</t>
        </is>
      </c>
      <c r="B89" s="14" t="inlineStr">
        <is>
          <t>Electronics</t>
        </is>
      </c>
      <c r="C89" s="14" t="inlineStr">
        <is>
          <t>Wearables</t>
        </is>
      </c>
      <c r="D89" s="17" t="n">
        <v>1517.68</v>
      </c>
    </row>
    <row r="90">
      <c r="A90" s="15" t="inlineStr">
        <is>
          <t>Solace Kitchen X-919</t>
        </is>
      </c>
      <c r="B90" s="14" t="inlineStr">
        <is>
          <t>Home</t>
        </is>
      </c>
      <c r="C90" s="14" t="inlineStr">
        <is>
          <t>Kitchen</t>
        </is>
      </c>
      <c r="D90" s="17" t="n">
        <v>385.02</v>
      </c>
    </row>
    <row r="91">
      <c r="A91" s="15" t="inlineStr">
        <is>
          <t>Vertex Appliance S-296</t>
        </is>
      </c>
      <c r="B91" s="14" t="inlineStr">
        <is>
          <t>Home</t>
        </is>
      </c>
      <c r="C91" s="14" t="inlineStr">
        <is>
          <t>Appliances</t>
        </is>
      </c>
      <c r="D91" s="17" t="n">
        <v>523.79</v>
      </c>
    </row>
    <row r="92">
      <c r="A92" s="15" t="inlineStr">
        <is>
          <t>Polar Bedding Lite-243</t>
        </is>
      </c>
      <c r="B92" s="14" t="inlineStr">
        <is>
          <t>Home</t>
        </is>
      </c>
      <c r="C92" s="14" t="inlineStr">
        <is>
          <t>Bedding</t>
        </is>
      </c>
      <c r="D92" s="17" t="n">
        <v>468.42</v>
      </c>
    </row>
    <row r="93">
      <c r="A93" s="15" t="inlineStr">
        <is>
          <t>Nimbus Decor Lite-385</t>
        </is>
      </c>
      <c r="B93" s="14" t="inlineStr">
        <is>
          <t>Home</t>
        </is>
      </c>
      <c r="C93" s="14" t="inlineStr">
        <is>
          <t>Decor</t>
        </is>
      </c>
      <c r="D93" s="17" t="n">
        <v>584.38</v>
      </c>
    </row>
    <row r="94">
      <c r="A94" s="15" t="inlineStr">
        <is>
          <t>Vertex Men X-995</t>
        </is>
      </c>
      <c r="B94" s="14" t="inlineStr">
        <is>
          <t>Apparel</t>
        </is>
      </c>
      <c r="C94" s="14" t="inlineStr">
        <is>
          <t>Men</t>
        </is>
      </c>
      <c r="D94" s="17" t="n">
        <v>103.73</v>
      </c>
    </row>
    <row r="95">
      <c r="A95" s="15" t="inlineStr">
        <is>
          <t>Polar Women Max-927</t>
        </is>
      </c>
      <c r="B95" s="14" t="inlineStr">
        <is>
          <t>Apparel</t>
        </is>
      </c>
      <c r="C95" s="14" t="inlineStr">
        <is>
          <t>Women</t>
        </is>
      </c>
      <c r="D95" s="17" t="n">
        <v>117.2</v>
      </c>
    </row>
    <row r="96">
      <c r="A96" s="15" t="inlineStr">
        <is>
          <t>Aurora Kid Plus-151</t>
        </is>
      </c>
      <c r="B96" s="14" t="inlineStr">
        <is>
          <t>Apparel</t>
        </is>
      </c>
      <c r="C96" s="14" t="inlineStr">
        <is>
          <t>Kids</t>
        </is>
      </c>
      <c r="D96" s="17" t="n">
        <v>114.88</v>
      </c>
    </row>
    <row r="97">
      <c r="A97" s="15" t="inlineStr">
        <is>
          <t>Falcon Accessorie S-195</t>
        </is>
      </c>
      <c r="B97" s="14" t="inlineStr">
        <is>
          <t>Apparel</t>
        </is>
      </c>
      <c r="C97" s="14" t="inlineStr">
        <is>
          <t>Accessories</t>
        </is>
      </c>
      <c r="D97" s="17" t="n">
        <v>76.31</v>
      </c>
    </row>
    <row r="98">
      <c r="A98" s="15" t="inlineStr">
        <is>
          <t>Nimbus Fitnes Lite-516</t>
        </is>
      </c>
      <c r="B98" s="14" t="inlineStr">
        <is>
          <t>Sports</t>
        </is>
      </c>
      <c r="C98" s="14" t="inlineStr">
        <is>
          <t>Fitness</t>
        </is>
      </c>
      <c r="D98" s="17" t="n">
        <v>714.03</v>
      </c>
    </row>
    <row r="99">
      <c r="A99" s="15" t="inlineStr">
        <is>
          <t>Polar Outdoor Lite-318</t>
        </is>
      </c>
      <c r="B99" s="14" t="inlineStr">
        <is>
          <t>Sports</t>
        </is>
      </c>
      <c r="C99" s="14" t="inlineStr">
        <is>
          <t>Outdoor</t>
        </is>
      </c>
      <c r="D99" s="17" t="n">
        <v>707.28</v>
      </c>
    </row>
    <row r="100">
      <c r="A100" s="15" t="inlineStr">
        <is>
          <t>Falcon Team Sport Lite-268</t>
        </is>
      </c>
      <c r="B100" s="14" t="inlineStr">
        <is>
          <t>Sports</t>
        </is>
      </c>
      <c r="C100" s="14" t="inlineStr">
        <is>
          <t>Team Sports</t>
        </is>
      </c>
      <c r="D100" s="17" t="n">
        <v>657.98</v>
      </c>
    </row>
    <row r="101">
      <c r="A101" s="15" t="inlineStr">
        <is>
          <t>Falcon Cycling Pro-499</t>
        </is>
      </c>
      <c r="B101" s="14" t="inlineStr">
        <is>
          <t>Sports</t>
        </is>
      </c>
      <c r="C101" s="14" t="inlineStr">
        <is>
          <t>Cycling</t>
        </is>
      </c>
      <c r="D101" s="17" t="n">
        <v>611.8200000000001</v>
      </c>
    </row>
    <row r="102">
      <c r="A102" s="15" t="inlineStr">
        <is>
          <t>Polar Pantry Lite-392</t>
        </is>
      </c>
      <c r="B102" s="14" t="inlineStr">
        <is>
          <t>Grocery</t>
        </is>
      </c>
      <c r="C102" s="14" t="inlineStr">
        <is>
          <t>Pantry</t>
        </is>
      </c>
      <c r="D102" s="17" t="n">
        <v>6.12</v>
      </c>
    </row>
    <row r="103">
      <c r="A103" s="15" t="inlineStr">
        <is>
          <t>Polar Beverage S-258</t>
        </is>
      </c>
      <c r="B103" s="14" t="inlineStr">
        <is>
          <t>Grocery</t>
        </is>
      </c>
      <c r="C103" s="14" t="inlineStr">
        <is>
          <t>Beverages</t>
        </is>
      </c>
      <c r="D103" s="17" t="n">
        <v>13.13</v>
      </c>
    </row>
    <row r="104">
      <c r="A104" s="15" t="inlineStr">
        <is>
          <t>Orion Snack X-322</t>
        </is>
      </c>
      <c r="B104" s="14" t="inlineStr">
        <is>
          <t>Grocery</t>
        </is>
      </c>
      <c r="C104" s="14" t="inlineStr">
        <is>
          <t>Snacks</t>
        </is>
      </c>
      <c r="D104" s="17" t="n">
        <v>13.68</v>
      </c>
    </row>
    <row r="105">
      <c r="A105" s="15" t="inlineStr">
        <is>
          <t>Falcon Household Pro-865</t>
        </is>
      </c>
      <c r="B105" s="14" t="inlineStr">
        <is>
          <t>Grocery</t>
        </is>
      </c>
      <c r="C105" s="14" t="inlineStr">
        <is>
          <t>Household</t>
        </is>
      </c>
      <c r="D105" s="17" t="n">
        <v>10.44</v>
      </c>
    </row>
    <row r="106">
      <c r="A106" s="15" t="inlineStr">
        <is>
          <t>Falcon Skincare Max-151</t>
        </is>
      </c>
      <c r="B106" s="14" t="inlineStr">
        <is>
          <t>Beauty</t>
        </is>
      </c>
      <c r="C106" s="14" t="inlineStr">
        <is>
          <t>Skincare</t>
        </is>
      </c>
      <c r="D106" s="17" t="n">
        <v>97.31</v>
      </c>
    </row>
    <row r="107">
      <c r="A107" s="15" t="inlineStr">
        <is>
          <t>Polar Haircare Max-614</t>
        </is>
      </c>
      <c r="B107" s="14" t="inlineStr">
        <is>
          <t>Beauty</t>
        </is>
      </c>
      <c r="C107" s="14" t="inlineStr">
        <is>
          <t>Haircare</t>
        </is>
      </c>
      <c r="D107" s="17" t="n">
        <v>113.76</v>
      </c>
    </row>
    <row r="108">
      <c r="A108" s="15" t="inlineStr">
        <is>
          <t>Nimbus Makeup Max-158</t>
        </is>
      </c>
      <c r="B108" s="14" t="inlineStr">
        <is>
          <t>Beauty</t>
        </is>
      </c>
      <c r="C108" s="14" t="inlineStr">
        <is>
          <t>Makeup</t>
        </is>
      </c>
      <c r="D108" s="17" t="n">
        <v>156.89</v>
      </c>
    </row>
    <row r="109">
      <c r="A109" s="15" t="inlineStr">
        <is>
          <t>Aurora Fragrance S-971</t>
        </is>
      </c>
      <c r="B109" s="14" t="inlineStr">
        <is>
          <t>Beauty</t>
        </is>
      </c>
      <c r="C109" s="14" t="inlineStr">
        <is>
          <t>Fragrance</t>
        </is>
      </c>
      <c r="D109" s="17" t="n">
        <v>107.08</v>
      </c>
    </row>
    <row r="110">
      <c r="A110" s="15" t="inlineStr">
        <is>
          <t>Aurora Furniture X-709</t>
        </is>
      </c>
      <c r="B110" s="14" t="inlineStr">
        <is>
          <t>Office</t>
        </is>
      </c>
      <c r="C110" s="14" t="inlineStr">
        <is>
          <t>Furniture</t>
        </is>
      </c>
      <c r="D110" s="17" t="n">
        <v>432.67</v>
      </c>
    </row>
    <row r="111">
      <c r="A111" s="15" t="inlineStr">
        <is>
          <t>Vertex Supplie X-513</t>
        </is>
      </c>
      <c r="B111" s="14" t="inlineStr">
        <is>
          <t>Office</t>
        </is>
      </c>
      <c r="C111" s="14" t="inlineStr">
        <is>
          <t>Supplies</t>
        </is>
      </c>
      <c r="D111" s="17" t="n">
        <v>393.13</v>
      </c>
    </row>
    <row r="112">
      <c r="A112" s="15" t="inlineStr">
        <is>
          <t>Vertex Printer Max-692</t>
        </is>
      </c>
      <c r="B112" s="14" t="inlineStr">
        <is>
          <t>Office</t>
        </is>
      </c>
      <c r="C112" s="14" t="inlineStr">
        <is>
          <t>Printers</t>
        </is>
      </c>
      <c r="D112" s="17" t="n">
        <v>173.47</v>
      </c>
    </row>
    <row r="113">
      <c r="A113" s="15" t="inlineStr">
        <is>
          <t>Falcon Storage X-734</t>
        </is>
      </c>
      <c r="B113" s="14" t="inlineStr">
        <is>
          <t>Office</t>
        </is>
      </c>
      <c r="C113" s="14" t="inlineStr">
        <is>
          <t>Storage</t>
        </is>
      </c>
      <c r="D113" s="17" t="n">
        <v>398.84</v>
      </c>
    </row>
    <row r="114">
      <c r="A114" s="15" t="inlineStr">
        <is>
          <t>Metro Smartphone Max-773</t>
        </is>
      </c>
      <c r="B114" s="14" t="inlineStr">
        <is>
          <t>Electronics</t>
        </is>
      </c>
      <c r="C114" s="14" t="inlineStr">
        <is>
          <t>Smartphones</t>
        </is>
      </c>
      <c r="D114" s="17" t="n">
        <v>1440.35</v>
      </c>
    </row>
    <row r="115">
      <c r="A115" s="15" t="inlineStr">
        <is>
          <t>Solace Laptop S-367</t>
        </is>
      </c>
      <c r="B115" s="14" t="inlineStr">
        <is>
          <t>Electronics</t>
        </is>
      </c>
      <c r="C115" s="14" t="inlineStr">
        <is>
          <t>Laptops</t>
        </is>
      </c>
      <c r="D115" s="17" t="n">
        <v>1999</v>
      </c>
    </row>
    <row r="116">
      <c r="A116" s="15" t="inlineStr">
        <is>
          <t>Solace Headphone Pro-344</t>
        </is>
      </c>
      <c r="B116" s="14" t="inlineStr">
        <is>
          <t>Electronics</t>
        </is>
      </c>
      <c r="C116" s="14" t="inlineStr">
        <is>
          <t>Headphones</t>
        </is>
      </c>
      <c r="D116" s="17" t="n">
        <v>1367.6</v>
      </c>
    </row>
    <row r="117">
      <c r="A117" s="15" t="inlineStr">
        <is>
          <t>Metro Wearable Plus-234</t>
        </is>
      </c>
      <c r="B117" s="14" t="inlineStr">
        <is>
          <t>Electronics</t>
        </is>
      </c>
      <c r="C117" s="14" t="inlineStr">
        <is>
          <t>Wearables</t>
        </is>
      </c>
      <c r="D117" s="17" t="n">
        <v>1509.85</v>
      </c>
    </row>
    <row r="118">
      <c r="A118" s="15" t="inlineStr">
        <is>
          <t>Orion Kitchen Pro-568</t>
        </is>
      </c>
      <c r="B118" s="14" t="inlineStr">
        <is>
          <t>Home</t>
        </is>
      </c>
      <c r="C118" s="14" t="inlineStr">
        <is>
          <t>Kitchen</t>
        </is>
      </c>
      <c r="D118" s="17" t="n">
        <v>450.88</v>
      </c>
    </row>
    <row r="119">
      <c r="A119" s="15" t="inlineStr">
        <is>
          <t>Aurora Appliance Lite-109</t>
        </is>
      </c>
      <c r="B119" s="14" t="inlineStr">
        <is>
          <t>Home</t>
        </is>
      </c>
      <c r="C119" s="14" t="inlineStr">
        <is>
          <t>Appliances</t>
        </is>
      </c>
      <c r="D119" s="17" t="n">
        <v>300.01</v>
      </c>
    </row>
    <row r="120">
      <c r="A120" s="15" t="inlineStr">
        <is>
          <t>Aurora Bedding Max-175</t>
        </is>
      </c>
      <c r="B120" s="14" t="inlineStr">
        <is>
          <t>Home</t>
        </is>
      </c>
      <c r="C120" s="14" t="inlineStr">
        <is>
          <t>Bedding</t>
        </is>
      </c>
      <c r="D120" s="17" t="n">
        <v>607.55</v>
      </c>
    </row>
    <row r="121">
      <c r="A121" s="15" t="inlineStr">
        <is>
          <t>Vertex Decor Pro-618</t>
        </is>
      </c>
      <c r="B121" s="14" t="inlineStr">
        <is>
          <t>Home</t>
        </is>
      </c>
      <c r="C121" s="14" t="inlineStr">
        <is>
          <t>Decor</t>
        </is>
      </c>
      <c r="D121" s="17" t="n">
        <v>555.54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2026-10-15T15:59:53Z</dcterms:created>
  <dcterms:modified xmlns:dcterms="http://purl.org/dc/terms/" xmlns:xsi="http://www.w3.org/2001/XMLSchema-instance" xsi:type="dcterms:W3CDTF">2026-10-15T15:59:55Z</dcterms:modified>
</cp:coreProperties>
</file>